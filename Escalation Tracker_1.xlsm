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3500" activeTab="1"/>
  </bookViews>
  <sheets>
    <sheet name="User Guide" sheetId="1" r:id="rId1"/>
    <sheet name="365 Days" sheetId="2" r:id="rId2"/>
    <sheet name="180 Days" sheetId="3" r:id="rId3"/>
    <sheet name="120 Days" sheetId="4" r:id="rId4"/>
    <sheet name="90 Days" sheetId="5" r:id="rId5"/>
    <sheet name="Holidays" sheetId="6" r:id="rId6"/>
  </sheets>
  <definedNames>
    <definedName name="Holidays">Holidays!$A$2:$A$101</definedName>
  </definedNames>
  <calcPr calcId="124519" fullCalcOnLoad="1"/>
</workbook>
</file>

<file path=xl/sharedStrings.xml><?xml version="1.0" encoding="utf-8"?>
<sst xmlns="http://schemas.openxmlformats.org/spreadsheetml/2006/main" count="198" uniqueCount="98">
  <si>
    <t>3 DAYS</t>
  </si>
  <si>
    <t>48 HOURS</t>
  </si>
  <si>
    <t>CategoryCode</t>
  </si>
  <si>
    <t>AccountNo</t>
  </si>
  <si>
    <t>AccountName</t>
  </si>
  <si>
    <t>PolicyNo</t>
  </si>
  <si>
    <t>EntryDate</t>
  </si>
  <si>
    <t>EffDate</t>
  </si>
  <si>
    <t>Type</t>
  </si>
  <si>
    <t>Insured</t>
  </si>
  <si>
    <t>Ccy</t>
  </si>
  <si>
    <t>OpenAmt</t>
  </si>
  <si>
    <t>Request Inv</t>
  </si>
  <si>
    <t>Collection Email</t>
  </si>
  <si>
    <t>1st Email Follow-up</t>
  </si>
  <si>
    <t>2nd Email Follow-up</t>
  </si>
  <si>
    <t>ESCALATE LOCAL OFFICE</t>
  </si>
  <si>
    <t>ESCALATE TO CBE</t>
  </si>
  <si>
    <t>ESCALATE TO ROXANNE</t>
  </si>
  <si>
    <t>PC COMMENTS</t>
  </si>
  <si>
    <t>RESOLUTION</t>
  </si>
  <si>
    <t>STATUS</t>
  </si>
  <si>
    <t>STATUS DESCRIPTION</t>
  </si>
  <si>
    <t>AGING STAGE</t>
  </si>
  <si>
    <t>_StageNo</t>
  </si>
  <si>
    <t>_LastAction</t>
  </si>
  <si>
    <t>_NextDue</t>
  </si>
  <si>
    <t>_NextStep</t>
  </si>
  <si>
    <t>HOLIDAY DATE</t>
  </si>
  <si>
    <t>DESCRIPTION</t>
  </si>
  <si>
    <t>Optional. Dates listed here are skipped by all aging and due-date formulas (same as weekends).</t>
  </si>
  <si>
    <t>Maintained by the SME/admin: click LOCK / UNLOCK SHEETS on a tracker sheet, edit, then click it again to lock.</t>
  </si>
  <si>
    <t>ESCALATION TRACKER - USER GUIDE</t>
  </si>
  <si>
    <t>Purpose</t>
  </si>
  <si>
    <t>This tracker is used to monitor collection email activities and escalation requirements for outstanding accounts.</t>
  </si>
  <si>
    <t>The tracker automatically identifies: Completed Actions, Due Tomorrow, Overdue Actions, Escalated Accounts and Final Escalations.</t>
  </si>
  <si>
    <t>Aging Process</t>
  </si>
  <si>
    <t>The collection process starts once the Collection Email is time stamped.</t>
  </si>
  <si>
    <t>Request Inv is for reference only and is not included in aging calculations.</t>
  </si>
  <si>
    <t>All aging calculations use Business Days only. Weekends (Saturday and Sunday) are excluded, plus any dates listed on the Holidays sheet.</t>
  </si>
  <si>
    <t>Each next step is due a set number of business days after the previous step was actually sent.</t>
  </si>
  <si>
    <t>AGING STAGE shows the current stage, the business day within that stage's band (e.g. 1st Follow-up - Day 2 of 3) and the total business days since the Collection Email.</t>
  </si>
  <si>
    <t>STATUS and STATUS DESCRIPTION are evaluated against today's date, so they change automatically each day as the account moves through its aging band.</t>
  </si>
  <si>
    <t>Escalation Timeline</t>
  </si>
  <si>
    <t>Start of aging</t>
  </si>
  <si>
    <t>+3 business days after Collection Email</t>
  </si>
  <si>
    <t>+3 business days after 1st Follow-up</t>
  </si>
  <si>
    <t>Escalate Local Office</t>
  </si>
  <si>
    <t>+2 business days (48 hours) after 2nd Follow-up</t>
  </si>
  <si>
    <t>Escalate to CBE</t>
  </si>
  <si>
    <t>+2 business days (48 hours) after Local Office</t>
  </si>
  <si>
    <t>Escalate to Roxanne</t>
  </si>
  <si>
    <t>+3 business days after CBE (final escalation)</t>
  </si>
  <si>
    <t>Status Color Guide</t>
  </si>
  <si>
    <t>EMAIL SENT</t>
  </si>
  <si>
    <t>Action completed today. No immediate action required.</t>
  </si>
  <si>
    <t>PAID</t>
  </si>
  <si>
    <t>Account paid (set in RESOLUTION). Action completed.</t>
  </si>
  <si>
    <t>CLOSED</t>
  </si>
  <si>
    <t>Account closed (set in RESOLUTION). No further action required.</t>
  </si>
  <si>
    <t>DUE TOMORROW</t>
  </si>
  <si>
    <t>Next action is due today or on the next business day.</t>
  </si>
  <si>
    <t>OVERDUE</t>
  </si>
  <si>
    <t>Required action has not been completed by the due date.</t>
  </si>
  <si>
    <t>ESCALATED TO LOCAL OFFICE</t>
  </si>
  <si>
    <t>Escalation has been completed and sent.</t>
  </si>
  <si>
    <t>ESCALATED TO CBE</t>
  </si>
  <si>
    <t>ESCALATED TO ROXANNE</t>
  </si>
  <si>
    <t>Final escalation completed.</t>
  </si>
  <si>
    <t>MONITORING</t>
  </si>
  <si>
    <t>Waiting for next due date. No action required today.</t>
  </si>
  <si>
    <t>Priority when more than one applies: Paid/Closed &gt; Overdue &gt; Due Tomorrow &gt; Escalated &gt; Email Sent &gt; Monitoring.</t>
  </si>
  <si>
    <t>How to Use</t>
  </si>
  <si>
    <t>Step 1</t>
  </si>
  <si>
    <t>Account details are loaded by the SME/admin (account columns are locked for collectors).</t>
  </si>
  <si>
    <t>Step 2</t>
  </si>
  <si>
    <t>After sending the initial collection email, select any cell in the account's row and click EMAIL SENT - TIME STAMP (upper right). The first click stamps the Collection Email date and time.</t>
  </si>
  <si>
    <t>Step 3</t>
  </si>
  <si>
    <t>Click EMAIL SENT - TIME STAMP whenever a follow-up or escalation email has been sent. It records the date and time for the next stage in order. Stages cannot be skipped or overwritten.</t>
  </si>
  <si>
    <t>Step 4</t>
  </si>
  <si>
    <t>Review STATUS and STATUS DESCRIPTION daily. Focus on OVERDUE (red) and DUE TOMORROW (yellow) items first.</t>
  </si>
  <si>
    <t>Step 5</t>
  </si>
  <si>
    <t>Use PC COMMENTS for collector remarks, customer responses, payment updates and investigation notes.</t>
  </si>
  <si>
    <t>Step 6</t>
  </si>
  <si>
    <t>When an account is settled, set RESOLUTION to Paid or Closed from the dropdown.</t>
  </si>
  <si>
    <t>Lock / Unlock</t>
  </si>
  <si>
    <t>Click LOCK / UNLOCK SHEETS (upper right). Unlocking asks for the password; sheets stay unlocked until you click it again. Time stamping does not change the lock state.</t>
  </si>
  <si>
    <t>Mistake?</t>
  </si>
  <si>
    <t>Select the row and click Undo Last Stage to clear the most recent time stamp (asks for confirmation).</t>
  </si>
  <si>
    <t>Important Notes</t>
  </si>
  <si>
    <t>•  Request Inv is not part of the aging calculation.</t>
  </si>
  <si>
    <t>•  Aging starts at Collection Email.</t>
  </si>
  <si>
    <t>•  Business days exclude weekends (and listed holidays).</t>
  </si>
  <si>
    <t>•  STATUS, STATUS DESCRIPTION and AGING STAGE are system-generated.</t>
  </si>
  <si>
    <t>•  Collectors can only edit PC COMMENTS and RESOLUTION. Stage time stamps are recorded only through the button after the email has been sent.</t>
  </si>
  <si>
    <t>•  Filtering is available. Sorting is disabled while the sheet is protected.</t>
  </si>
  <si>
    <t>•  Macros must be enabled for the buttons to work (click Enable Content when the file opens).</t>
  </si>
  <si>
    <t>•  Formulas are hidden and the sheets are password-protected.</t>
  </si>
</sst>
</file>

<file path=xl/styles.xml><?xml version="1.0" encoding="utf-8"?>
<styleSheet xmlns="http://schemas.openxmlformats.org/spreadsheetml/2006/main">
  <numFmts count="5">
    <numFmt numFmtId="164" formatCode="d-mmm-yy"/>
    <numFmt numFmtId="165" formatCode="#,##0.00"/>
    <numFmt numFmtId="166" formatCode="d-mmm h:mm AM/PM"/>
    <numFmt numFmtId="167" formatCode="d-mmm"/>
    <numFmt numFmtId="168" formatCode="dd-mmm-yyyy"/>
  </numFmts>
  <fonts count="14">
    <font>
      <sz val="11"/>
      <color theme="1"/>
      <name val="Calibri"/>
      <family val="2"/>
      <scheme val="minor"/>
    </font>
    <font>
      <b/>
      <sz val="16"/>
      <color rgb="FF1F3864"/>
      <name val="Arial"/>
      <family val="2"/>
    </font>
    <font>
      <b/>
      <sz val="13"/>
      <color rgb="FF1F3864"/>
      <name val="Arial"/>
      <family val="2"/>
    </font>
    <font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rgb="FF006100"/>
      <name val="Arial"/>
      <family val="2"/>
    </font>
    <font>
      <b/>
      <sz val="10"/>
      <color rgb="FF7F6000"/>
      <name val="Arial"/>
      <family val="2"/>
    </font>
    <font>
      <b/>
      <sz val="10"/>
      <color rgb="FF9C0006"/>
      <name val="Arial"/>
      <family val="2"/>
    </font>
    <font>
      <b/>
      <sz val="10"/>
      <color rgb="FF1F4E78"/>
      <name val="Arial"/>
      <family val="2"/>
    </font>
    <font>
      <b/>
      <sz val="10"/>
      <color rgb="FF5B2C6F"/>
      <name val="Arial"/>
      <family val="2"/>
    </font>
    <font>
      <b/>
      <sz val="10"/>
      <color rgb="FF404040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i/>
      <sz val="9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C3E9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top" wrapText="1"/>
    </xf>
    <xf numFmtId="0" fontId="4" fillId="0" borderId="0" xfId="0" applyFont="1"/>
    <xf numFmtId="0" fontId="5" fillId="2" borderId="0" xfId="0" applyFont="1" applyFill="1"/>
    <xf numFmtId="0" fontId="6" fillId="3" borderId="0" xfId="0" applyFont="1" applyFill="1"/>
    <xf numFmtId="0" fontId="7" fillId="4" borderId="0" xfId="0" applyFont="1" applyFill="1"/>
    <xf numFmtId="0" fontId="8" fillId="5" borderId="0" xfId="0" applyFont="1" applyFill="1"/>
    <xf numFmtId="0" fontId="9" fillId="6" borderId="0" xfId="0" applyFont="1" applyFill="1"/>
    <xf numFmtId="0" fontId="10" fillId="7" borderId="0" xfId="0" applyFont="1" applyFill="1"/>
    <xf numFmtId="0" fontId="3" fillId="0" borderId="1" xfId="0" applyFont="1" applyBorder="1"/>
    <xf numFmtId="164" fontId="3" fillId="0" borderId="1" xfId="0" applyNumberFormat="1" applyFont="1" applyBorder="1"/>
    <xf numFmtId="165" fontId="3" fillId="0" borderId="1" xfId="0" applyNumberFormat="1" applyFont="1" applyBorder="1"/>
    <xf numFmtId="166" fontId="3" fillId="0" borderId="1" xfId="0" applyNumberFormat="1" applyFont="1" applyBorder="1"/>
    <xf numFmtId="0" fontId="3" fillId="8" borderId="1" xfId="0" applyFont="1" applyFill="1" applyBorder="1" applyAlignment="1" applyProtection="1">
      <alignment vertical="top" wrapText="1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Protection="1">
      <protection hidden="1"/>
    </xf>
    <xf numFmtId="167" fontId="3" fillId="0" borderId="1" xfId="0" applyNumberFormat="1" applyFont="1" applyBorder="1" applyProtection="1">
      <protection hidden="1"/>
    </xf>
    <xf numFmtId="0" fontId="11" fillId="9" borderId="0" xfId="0" applyFont="1" applyFill="1"/>
    <xf numFmtId="0" fontId="12" fillId="10" borderId="1" xfId="0" applyFont="1" applyFill="1" applyBorder="1" applyAlignment="1">
      <alignment vertical="center" wrapText="1"/>
    </xf>
    <xf numFmtId="0" fontId="11" fillId="9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center" wrapText="1"/>
    </xf>
    <xf numFmtId="168" fontId="3" fillId="0" borderId="0" xfId="0" applyNumberFormat="1" applyFont="1"/>
    <xf numFmtId="0" fontId="12" fillId="10" borderId="0" xfId="0" applyFont="1" applyFill="1"/>
    <xf numFmtId="0" fontId="13" fillId="0" borderId="0" xfId="0" applyFont="1"/>
  </cellXfs>
  <cellStyles count="1">
    <cellStyle name="Normal" xfId="0" builtinId="0"/>
  </cellStyles>
  <dxfs count="6">
    <dxf>
      <font>
        <b/>
        <color rgb="FF006100"/>
      </font>
      <fill>
        <patternFill>
          <bgColor rgb="FFC6EFCE"/>
        </patternFill>
      </fill>
    </dxf>
    <dxf>
      <font>
        <b/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1F4E78"/>
      </font>
      <fill>
        <patternFill>
          <bgColor rgb="FFBDD7EE"/>
        </patternFill>
      </fill>
    </dxf>
    <dxf>
      <font>
        <b/>
        <color rgb="FF5B2C6F"/>
      </font>
      <fill>
        <patternFill>
          <bgColor rgb="FFD9C3E9"/>
        </patternFill>
      </fill>
    </dxf>
    <dxf>
      <font>
        <b/>
        <color rgb="FF404040"/>
      </font>
      <fill>
        <patternFill>
          <bgColor rgb="FFE7E6E6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racker365" displayName="Tracker365" ref="A3:Z1003" totalsRowShown="0">
  <autoFilter ref="A3:Z1003"/>
  <tableColumns count="26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Request Inv"/>
    <tableColumn id="12" name="Collection Email"/>
    <tableColumn id="13" name="1st Email Follow-up"/>
    <tableColumn id="14" name="2nd Email Follow-up"/>
    <tableColumn id="15" name="ESCALATE LOCAL OFFICE"/>
    <tableColumn id="16" name="ESCALATE TO CBE"/>
    <tableColumn id="17" name="ESCALATE TO ROXANNE"/>
    <tableColumn id="18" name="PC COMMENTS"/>
    <tableColumn id="19" name="RESOLUTION"/>
    <tableColumn id="20" name="STATUS"/>
    <tableColumn id="21" name="STATUS DESCRIPTION"/>
    <tableColumn id="22" name="AGING STAGE"/>
    <tableColumn id="23" name="_StageNo"/>
    <tableColumn id="24" name="_LastAction"/>
    <tableColumn id="25" name="_NextDue"/>
    <tableColumn id="26" name="_NextStep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Tracker180" displayName="Tracker180" ref="A3:Z1003" totalsRowShown="0">
  <autoFilter ref="A3:Z1003"/>
  <tableColumns count="26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Request Inv"/>
    <tableColumn id="12" name="Collection Email"/>
    <tableColumn id="13" name="1st Email Follow-up"/>
    <tableColumn id="14" name="2nd Email Follow-up"/>
    <tableColumn id="15" name="ESCALATE LOCAL OFFICE"/>
    <tableColumn id="16" name="ESCALATE TO CBE"/>
    <tableColumn id="17" name="ESCALATE TO ROXANNE"/>
    <tableColumn id="18" name="PC COMMENTS"/>
    <tableColumn id="19" name="RESOLUTION"/>
    <tableColumn id="20" name="STATUS"/>
    <tableColumn id="21" name="STATUS DESCRIPTION"/>
    <tableColumn id="22" name="AGING STAGE"/>
    <tableColumn id="23" name="_StageNo"/>
    <tableColumn id="24" name="_LastAction"/>
    <tableColumn id="25" name="_NextDue"/>
    <tableColumn id="26" name="_NextStep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Tracker120" displayName="Tracker120" ref="A3:Z1003" totalsRowShown="0">
  <autoFilter ref="A3:Z1003"/>
  <tableColumns count="26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Request Inv"/>
    <tableColumn id="12" name="Collection Email"/>
    <tableColumn id="13" name="1st Email Follow-up"/>
    <tableColumn id="14" name="2nd Email Follow-up"/>
    <tableColumn id="15" name="ESCALATE LOCAL OFFICE"/>
    <tableColumn id="16" name="ESCALATE TO CBE"/>
    <tableColumn id="17" name="ESCALATE TO ROXANNE"/>
    <tableColumn id="18" name="PC COMMENTS"/>
    <tableColumn id="19" name="RESOLUTION"/>
    <tableColumn id="20" name="STATUS"/>
    <tableColumn id="21" name="STATUS DESCRIPTION"/>
    <tableColumn id="22" name="AGING STAGE"/>
    <tableColumn id="23" name="_StageNo"/>
    <tableColumn id="24" name="_LastAction"/>
    <tableColumn id="25" name="_NextDue"/>
    <tableColumn id="26" name="_NextStep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Tracker90" displayName="Tracker90" ref="A3:Z1003" totalsRowShown="0">
  <autoFilter ref="A3:Z1003"/>
  <tableColumns count="26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Request Inv"/>
    <tableColumn id="12" name="Collection Email"/>
    <tableColumn id="13" name="1st Email Follow-up"/>
    <tableColumn id="14" name="2nd Email Follow-up"/>
    <tableColumn id="15" name="ESCALATE LOCAL OFFICE"/>
    <tableColumn id="16" name="ESCALATE TO CBE"/>
    <tableColumn id="17" name="ESCALATE TO ROXANNE"/>
    <tableColumn id="18" name="PC COMMENTS"/>
    <tableColumn id="19" name="RESOLUTION"/>
    <tableColumn id="20" name="STATUS"/>
    <tableColumn id="21" name="STATUS DESCRIPTION"/>
    <tableColumn id="22" name="AGING STAGE"/>
    <tableColumn id="23" name="_StageNo"/>
    <tableColumn id="24" name="_LastAction"/>
    <tableColumn id="25" name="_NextDue"/>
    <tableColumn id="26" name="_NextStep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table" Target="../tables/table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table" Target="../tables/table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54"/>
  <sheetViews>
    <sheetView showGridLines="0" workbookViewId="0"/>
  </sheetViews>
  <sheetFormatPr defaultRowHeight="15"/>
  <cols>
    <col min="1" max="1" width="3.7109375" customWidth="1"/>
    <col min="2" max="2" width="30.7109375" customWidth="1"/>
    <col min="3" max="3" width="95.7109375" customWidth="1"/>
  </cols>
  <sheetData>
    <row r="2" spans="2:3">
      <c r="B2" s="1" t="s">
        <v>32</v>
      </c>
    </row>
    <row r="4" spans="2:3">
      <c r="B4" s="2" t="s">
        <v>33</v>
      </c>
    </row>
    <row r="5" spans="2:3">
      <c r="B5" s="3" t="s">
        <v>34</v>
      </c>
      <c r="C5" s="3"/>
    </row>
    <row r="6" spans="2:3">
      <c r="B6" s="3" t="s">
        <v>35</v>
      </c>
      <c r="C6" s="3"/>
    </row>
    <row r="8" spans="2:3">
      <c r="B8" s="2" t="s">
        <v>36</v>
      </c>
    </row>
    <row r="9" spans="2:3">
      <c r="B9" s="3" t="s">
        <v>37</v>
      </c>
      <c r="C9" s="3"/>
    </row>
    <row r="10" spans="2:3">
      <c r="B10" s="3" t="s">
        <v>38</v>
      </c>
      <c r="C10" s="3"/>
    </row>
    <row r="11" spans="2:3">
      <c r="B11" s="3" t="s">
        <v>39</v>
      </c>
      <c r="C11" s="3"/>
    </row>
    <row r="12" spans="2:3">
      <c r="B12" s="3" t="s">
        <v>40</v>
      </c>
      <c r="C12" s="3"/>
    </row>
    <row r="13" spans="2:3">
      <c r="B13" s="3" t="s">
        <v>41</v>
      </c>
      <c r="C13" s="3"/>
    </row>
    <row r="14" spans="2:3">
      <c r="B14" s="3" t="s">
        <v>42</v>
      </c>
      <c r="C14" s="3"/>
    </row>
    <row r="16" spans="2:3">
      <c r="B16" s="2" t="s">
        <v>43</v>
      </c>
    </row>
    <row r="17" spans="2:3">
      <c r="B17" s="4" t="s">
        <v>13</v>
      </c>
      <c r="C17" s="3" t="s">
        <v>44</v>
      </c>
    </row>
    <row r="18" spans="2:3">
      <c r="B18" s="4" t="s">
        <v>14</v>
      </c>
      <c r="C18" s="3" t="s">
        <v>45</v>
      </c>
    </row>
    <row r="19" spans="2:3">
      <c r="B19" s="4" t="s">
        <v>15</v>
      </c>
      <c r="C19" s="3" t="s">
        <v>46</v>
      </c>
    </row>
    <row r="20" spans="2:3">
      <c r="B20" s="4" t="s">
        <v>47</v>
      </c>
      <c r="C20" s="3" t="s">
        <v>48</v>
      </c>
    </row>
    <row r="21" spans="2:3">
      <c r="B21" s="4" t="s">
        <v>49</v>
      </c>
      <c r="C21" s="3" t="s">
        <v>50</v>
      </c>
    </row>
    <row r="22" spans="2:3">
      <c r="B22" s="4" t="s">
        <v>51</v>
      </c>
      <c r="C22" s="3" t="s">
        <v>52</v>
      </c>
    </row>
    <row r="24" spans="2:3">
      <c r="B24" s="2" t="s">
        <v>53</v>
      </c>
    </row>
    <row r="25" spans="2:3">
      <c r="B25" s="5" t="s">
        <v>54</v>
      </c>
      <c r="C25" s="3" t="s">
        <v>55</v>
      </c>
    </row>
    <row r="26" spans="2:3">
      <c r="B26" s="5" t="s">
        <v>56</v>
      </c>
      <c r="C26" s="3" t="s">
        <v>57</v>
      </c>
    </row>
    <row r="27" spans="2:3">
      <c r="B27" s="5" t="s">
        <v>58</v>
      </c>
      <c r="C27" s="3" t="s">
        <v>59</v>
      </c>
    </row>
    <row r="28" spans="2:3">
      <c r="B28" s="6" t="s">
        <v>60</v>
      </c>
      <c r="C28" s="3" t="s">
        <v>61</v>
      </c>
    </row>
    <row r="29" spans="2:3">
      <c r="B29" s="7" t="s">
        <v>62</v>
      </c>
      <c r="C29" s="3" t="s">
        <v>63</v>
      </c>
    </row>
    <row r="30" spans="2:3">
      <c r="B30" s="8" t="s">
        <v>64</v>
      </c>
      <c r="C30" s="3" t="s">
        <v>65</v>
      </c>
    </row>
    <row r="31" spans="2:3">
      <c r="B31" s="8" t="s">
        <v>66</v>
      </c>
      <c r="C31" s="3" t="s">
        <v>65</v>
      </c>
    </row>
    <row r="32" spans="2:3">
      <c r="B32" s="9" t="s">
        <v>67</v>
      </c>
      <c r="C32" s="3" t="s">
        <v>68</v>
      </c>
    </row>
    <row r="33" spans="2:3">
      <c r="B33" s="10" t="s">
        <v>69</v>
      </c>
      <c r="C33" s="3" t="s">
        <v>70</v>
      </c>
    </row>
    <row r="34" spans="2:3">
      <c r="B34" s="3" t="s">
        <v>71</v>
      </c>
      <c r="C34" s="3"/>
    </row>
    <row r="36" spans="2:3">
      <c r="B36" s="2" t="s">
        <v>72</v>
      </c>
    </row>
    <row r="37" spans="2:3">
      <c r="B37" s="4" t="s">
        <v>73</v>
      </c>
      <c r="C37" s="3" t="s">
        <v>74</v>
      </c>
    </row>
    <row r="38" spans="2:3">
      <c r="B38" s="4" t="s">
        <v>75</v>
      </c>
      <c r="C38" s="3" t="s">
        <v>76</v>
      </c>
    </row>
    <row r="39" spans="2:3">
      <c r="B39" s="4" t="s">
        <v>77</v>
      </c>
      <c r="C39" s="3" t="s">
        <v>78</v>
      </c>
    </row>
    <row r="40" spans="2:3">
      <c r="B40" s="4" t="s">
        <v>79</v>
      </c>
      <c r="C40" s="3" t="s">
        <v>80</v>
      </c>
    </row>
    <row r="41" spans="2:3">
      <c r="B41" s="4" t="s">
        <v>81</v>
      </c>
      <c r="C41" s="3" t="s">
        <v>82</v>
      </c>
    </row>
    <row r="42" spans="2:3">
      <c r="B42" s="4" t="s">
        <v>83</v>
      </c>
      <c r="C42" s="3" t="s">
        <v>84</v>
      </c>
    </row>
    <row r="43" spans="2:3">
      <c r="B43" s="4" t="s">
        <v>85</v>
      </c>
      <c r="C43" s="3" t="s">
        <v>86</v>
      </c>
    </row>
    <row r="44" spans="2:3">
      <c r="B44" s="4" t="s">
        <v>87</v>
      </c>
      <c r="C44" s="3" t="s">
        <v>88</v>
      </c>
    </row>
    <row r="46" spans="2:3">
      <c r="B46" s="2" t="s">
        <v>89</v>
      </c>
    </row>
    <row r="47" spans="2:3">
      <c r="B47" s="3" t="s">
        <v>90</v>
      </c>
      <c r="C47" s="3"/>
    </row>
    <row r="48" spans="2:3">
      <c r="B48" s="3" t="s">
        <v>91</v>
      </c>
      <c r="C48" s="3"/>
    </row>
    <row r="49" spans="2:3">
      <c r="B49" s="3" t="s">
        <v>92</v>
      </c>
      <c r="C49" s="3"/>
    </row>
    <row r="50" spans="2:3">
      <c r="B50" s="3" t="s">
        <v>93</v>
      </c>
      <c r="C50" s="3"/>
    </row>
    <row r="51" spans="2:3">
      <c r="B51" s="3" t="s">
        <v>94</v>
      </c>
      <c r="C51" s="3"/>
    </row>
    <row r="52" spans="2:3">
      <c r="B52" s="3" t="s">
        <v>95</v>
      </c>
      <c r="C52" s="3"/>
    </row>
    <row r="53" spans="2:3">
      <c r="B53" s="3" t="s">
        <v>96</v>
      </c>
      <c r="C53" s="3"/>
    </row>
    <row r="54" spans="2:3">
      <c r="B54" s="3" t="s">
        <v>97</v>
      </c>
      <c r="C54" s="3"/>
    </row>
  </sheetData>
  <sheetProtection password="F422" sheet="1" objects="1" scenarios="1" autoFilter="0"/>
  <mergeCells count="17">
    <mergeCell ref="B5:C5"/>
    <mergeCell ref="B6:C6"/>
    <mergeCell ref="B9:C9"/>
    <mergeCell ref="B10:C10"/>
    <mergeCell ref="B11:C11"/>
    <mergeCell ref="B12:C12"/>
    <mergeCell ref="B13:C13"/>
    <mergeCell ref="B14:C14"/>
    <mergeCell ref="B34:C34"/>
    <mergeCell ref="B47:C47"/>
    <mergeCell ref="B48:C48"/>
    <mergeCell ref="B49:C49"/>
    <mergeCell ref="B50:C50"/>
    <mergeCell ref="B51:C51"/>
    <mergeCell ref="B52:C52"/>
    <mergeCell ref="B53:C53"/>
    <mergeCell ref="B54:C5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1003"/>
  <sheetViews>
    <sheetView tabSelected="1"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1" customWidth="1"/>
    <col min="12" max="12" width="15.7109375" style="14" customWidth="1"/>
    <col min="13" max="14" width="16.7109375" style="14" customWidth="1"/>
    <col min="15" max="16" width="18.7109375" style="14" customWidth="1"/>
    <col min="17" max="17" width="20.7109375" style="14" customWidth="1"/>
    <col min="18" max="18" width="40.7109375" style="15" customWidth="1"/>
    <col min="19" max="19" width="14.7109375" style="16" customWidth="1"/>
    <col min="20" max="20" width="26.7109375" style="17" customWidth="1"/>
    <col min="21" max="21" width="60.7109375" style="17" customWidth="1"/>
    <col min="22" max="22" width="22.7109375" style="17" customWidth="1"/>
    <col min="23" max="23" width="8.7109375" style="17" hidden="1" customWidth="1"/>
    <col min="24" max="25" width="12.7109375" style="18" hidden="1" customWidth="1"/>
    <col min="26" max="26" width="22.7109375" style="17" hidden="1" customWidth="1"/>
  </cols>
  <sheetData>
    <row r="1" spans="1:26" ht="30" customHeight="1"/>
    <row r="2" spans="1:26">
      <c r="M2" s="19" t="s">
        <v>0</v>
      </c>
      <c r="N2" s="19" t="s">
        <v>0</v>
      </c>
      <c r="O2" s="19" t="s">
        <v>1</v>
      </c>
      <c r="P2" s="19" t="s">
        <v>1</v>
      </c>
      <c r="Q2" s="19" t="s">
        <v>0</v>
      </c>
    </row>
    <row r="3" spans="1:26" ht="32" customHeight="1">
      <c r="A3" s="20" t="s">
        <v>2</v>
      </c>
      <c r="B3" s="20" t="s">
        <v>3</v>
      </c>
      <c r="C3" s="20" t="s">
        <v>4</v>
      </c>
      <c r="D3" s="20" t="s">
        <v>5</v>
      </c>
      <c r="E3" s="20" t="s">
        <v>6</v>
      </c>
      <c r="F3" s="20" t="s">
        <v>7</v>
      </c>
      <c r="G3" s="20" t="s">
        <v>8</v>
      </c>
      <c r="H3" s="20" t="s">
        <v>9</v>
      </c>
      <c r="I3" s="20" t="s">
        <v>10</v>
      </c>
      <c r="J3" s="20" t="s">
        <v>11</v>
      </c>
      <c r="K3" s="20" t="s">
        <v>12</v>
      </c>
      <c r="L3" s="21" t="s">
        <v>13</v>
      </c>
      <c r="M3" s="21" t="s">
        <v>14</v>
      </c>
      <c r="N3" s="21" t="s">
        <v>15</v>
      </c>
      <c r="O3" s="21" t="s">
        <v>16</v>
      </c>
      <c r="P3" s="21" t="s">
        <v>17</v>
      </c>
      <c r="Q3" s="21" t="s">
        <v>18</v>
      </c>
      <c r="R3" s="22" t="s">
        <v>19</v>
      </c>
      <c r="S3" s="22" t="s">
        <v>20</v>
      </c>
      <c r="T3" s="20" t="s">
        <v>21</v>
      </c>
      <c r="U3" s="20" t="s">
        <v>22</v>
      </c>
      <c r="V3" s="20" t="s">
        <v>23</v>
      </c>
      <c r="W3" s="20" t="s">
        <v>24</v>
      </c>
      <c r="X3" s="20" t="s">
        <v>25</v>
      </c>
      <c r="Y3" s="20" t="s">
        <v>26</v>
      </c>
      <c r="Z3" s="20" t="s">
        <v>27</v>
      </c>
    </row>
    <row r="4" spans="1:26">
      <c r="R4" s="15"/>
      <c r="S4" s="16"/>
      <c r="T4" s="17">
        <f>IF(AND(COUNTA($A4:$K4)=0,$L4=""),"",IF($S4="Paid","PAID",IF($S4="Closed","CLOSED",IF($W4="","",IF($W4=6,"ESCALATED TO ROXANNE",IF(TODAY()&gt;$Y4,"OVERDUE",IF($Y4&lt;=WORKDAY(TODAY(),1,Holidays),"DUE TOMORROW",IF($W4=4,"ESCALATED TO LOCAL OFFICE",IF($W4=5,"ESCALATED TO CBE",IF($X4=TODAY(),"EMAIL SENT","MONITORING"))))))))))</f>
        <v/>
      </c>
      <c r="U4" s="17">
        <f>IF($T4="",IF(AND(COUNTA($A4:$K4)&gt;0,$L4=""),"Awaiting Collection Email time stamp.",""),IF(OR($T4="PAID",$T4="CLOSED"),IF($T4="PAID","Account paid. Action completed.","Account closed. No further action required."),CHOOSE($W4,"Collection Email","1st Email Follow-up","2nd Email Follow-up","Escalation to Local Office","Escalation to CBE","Escalation to Roxanne")&amp;" sent "&amp;TEXT($X4,"dd-mmm")&amp;". "&amp;IF($W4=6,"Final escalation completed.",IF($T4="OVERDUE","Next: "&amp;$Z4&amp;" was due "&amp;TEXT($Y4,"dd-mmm")&amp;" - "&amp;(NETWORKDAYS($Y4,TODAY(),Holidays)-1)&amp;" business day(s) late. Send now.",IF($T4="DUE TOMORROW","Next: "&amp;$Z4&amp;IF($Y4&lt;=TODAY()," is due TODAY ("," is due next business day (")&amp;TEXT($Y4,"dd-mmm")&amp;").","Next: "&amp;$Z4&amp;" due "&amp;TEXT($Y4,"dd-mmm")&amp;" ("&amp;(NETWORKDAYS(TODAY(),$Y4,Holidays)-1)&amp;" business day(s) left).")))))</f>
        <v/>
      </c>
      <c r="V4" s="17">
        <f>IF($W4="","",CHOOSE($W4,"Collection Email","1st Follow-up","2nd Follow-up","Local Office","CBE","Roxanne")&amp;IF($W4=6," - Final"," - Day "&amp;MAX(0,NETWORKDAYS($X4,TODAY(),Holidays)-1)&amp;" of "&amp;CHOOSE($W4,3,3,2,2,3))&amp;" | Total Day "&amp;MAX(0,NETWORKDAYS($L4,TODAY(),Holidays)-1))</f>
        <v/>
      </c>
      <c r="W4" s="17">
        <f>IF($L4="","",COUNT($L4:$Q4))</f>
        <v/>
      </c>
      <c r="X4" s="18">
        <f>IF($W4="","",INT(INDEX($L4:$Q4,$W4)))</f>
        <v/>
      </c>
      <c r="Y4" s="18">
        <f>IF(OR($W4="",$W4=6),"",WORKDAY($X4,CHOOSE($W4,3,3,2,2,3),Holidays))</f>
        <v/>
      </c>
      <c r="Z4" s="17">
        <f>IF(OR($W4="",$W4=6),"",CHOOSE($W4,"1st Email Follow-up","2nd Email Follow-up","Escalate Local Office","Escalate to CBE","Escalate to Roxanne"))</f>
        <v/>
      </c>
    </row>
    <row r="5" spans="1:26">
      <c r="R5" s="15"/>
      <c r="S5" s="16"/>
      <c r="T5" s="17">
        <f>IF(AND(COUNTA($A5:$K5)=0,$L5=""),"",IF($S5="Paid","PAID",IF($S5="Closed","CLOSED",IF($W5="","",IF($W5=6,"ESCALATED TO ROXANNE",IF(TODAY()&gt;$Y5,"OVERDUE",IF($Y5&lt;=WORKDAY(TODAY(),1,Holidays),"DUE TOMORROW",IF($W5=4,"ESCALATED TO LOCAL OFFICE",IF($W5=5,"ESCALATED TO CBE",IF($X5=TODAY(),"EMAIL SENT","MONITORING"))))))))))</f>
        <v/>
      </c>
      <c r="U5" s="17">
        <f>IF($T5="",IF(AND(COUNTA($A5:$K5)&gt;0,$L5=""),"Awaiting Collection Email time stamp.",""),IF(OR($T5="PAID",$T5="CLOSED"),IF($T5="PAID","Account paid. Action completed.","Account closed. No further action required."),CHOOSE($W5,"Collection Email","1st Email Follow-up","2nd Email Follow-up","Escalation to Local Office","Escalation to CBE","Escalation to Roxanne")&amp;" sent "&amp;TEXT($X5,"dd-mmm")&amp;". "&amp;IF($W5=6,"Final escalation completed.",IF($T5="OVERDUE","Next: "&amp;$Z5&amp;" was due "&amp;TEXT($Y5,"dd-mmm")&amp;" - "&amp;(NETWORKDAYS($Y5,TODAY(),Holidays)-1)&amp;" business day(s) late. Send now.",IF($T5="DUE TOMORROW","Next: "&amp;$Z5&amp;IF($Y5&lt;=TODAY()," is due TODAY ("," is due next business day (")&amp;TEXT($Y5,"dd-mmm")&amp;").","Next: "&amp;$Z5&amp;" due "&amp;TEXT($Y5,"dd-mmm")&amp;" ("&amp;(NETWORKDAYS(TODAY(),$Y5,Holidays)-1)&amp;" business day(s) left).")))))</f>
        <v/>
      </c>
      <c r="V5" s="17">
        <f>IF($W5="","",CHOOSE($W5,"Collection Email","1st Follow-up","2nd Follow-up","Local Office","CBE","Roxanne")&amp;IF($W5=6," - Final"," - Day "&amp;MAX(0,NETWORKDAYS($X5,TODAY(),Holidays)-1)&amp;" of "&amp;CHOOSE($W5,3,3,2,2,3))&amp;" | Total Day "&amp;MAX(0,NETWORKDAYS($L5,TODAY(),Holidays)-1))</f>
        <v/>
      </c>
      <c r="W5" s="17">
        <f>IF($L5="","",COUNT($L5:$Q5))</f>
        <v/>
      </c>
      <c r="X5" s="18">
        <f>IF($W5="","",INT(INDEX($L5:$Q5,$W5)))</f>
        <v/>
      </c>
      <c r="Y5" s="18">
        <f>IF(OR($W5="",$W5=6),"",WORKDAY($X5,CHOOSE($W5,3,3,2,2,3),Holidays))</f>
        <v/>
      </c>
      <c r="Z5" s="17">
        <f>IF(OR($W5="",$W5=6),"",CHOOSE($W5,"1st Email Follow-up","2nd Email Follow-up","Escalate Local Office","Escalate to CBE","Escalate to Roxanne"))</f>
        <v/>
      </c>
    </row>
    <row r="6" spans="1:26">
      <c r="R6" s="15"/>
      <c r="S6" s="16"/>
      <c r="T6" s="17">
        <f>IF(AND(COUNTA($A6:$K6)=0,$L6=""),"",IF($S6="Paid","PAID",IF($S6="Closed","CLOSED",IF($W6="","",IF($W6=6,"ESCALATED TO ROXANNE",IF(TODAY()&gt;$Y6,"OVERDUE",IF($Y6&lt;=WORKDAY(TODAY(),1,Holidays),"DUE TOMORROW",IF($W6=4,"ESCALATED TO LOCAL OFFICE",IF($W6=5,"ESCALATED TO CBE",IF($X6=TODAY(),"EMAIL SENT","MONITORING"))))))))))</f>
        <v/>
      </c>
      <c r="U6" s="17">
        <f>IF($T6="",IF(AND(COUNTA($A6:$K6)&gt;0,$L6=""),"Awaiting Collection Email time stamp.",""),IF(OR($T6="PAID",$T6="CLOSED"),IF($T6="PAID","Account paid. Action completed.","Account closed. No further action required."),CHOOSE($W6,"Collection Email","1st Email Follow-up","2nd Email Follow-up","Escalation to Local Office","Escalation to CBE","Escalation to Roxanne")&amp;" sent "&amp;TEXT($X6,"dd-mmm")&amp;". "&amp;IF($W6=6,"Final escalation completed.",IF($T6="OVERDUE","Next: "&amp;$Z6&amp;" was due "&amp;TEXT($Y6,"dd-mmm")&amp;" - "&amp;(NETWORKDAYS($Y6,TODAY(),Holidays)-1)&amp;" business day(s) late. Send now.",IF($T6="DUE TOMORROW","Next: "&amp;$Z6&amp;IF($Y6&lt;=TODAY()," is due TODAY ("," is due next business day (")&amp;TEXT($Y6,"dd-mmm")&amp;").","Next: "&amp;$Z6&amp;" due "&amp;TEXT($Y6,"dd-mmm")&amp;" ("&amp;(NETWORKDAYS(TODAY(),$Y6,Holidays)-1)&amp;" business day(s) left).")))))</f>
        <v/>
      </c>
      <c r="V6" s="17">
        <f>IF($W6="","",CHOOSE($W6,"Collection Email","1st Follow-up","2nd Follow-up","Local Office","CBE","Roxanne")&amp;IF($W6=6," - Final"," - Day "&amp;MAX(0,NETWORKDAYS($X6,TODAY(),Holidays)-1)&amp;" of "&amp;CHOOSE($W6,3,3,2,2,3))&amp;" | Total Day "&amp;MAX(0,NETWORKDAYS($L6,TODAY(),Holidays)-1))</f>
        <v/>
      </c>
      <c r="W6" s="17">
        <f>IF($L6="","",COUNT($L6:$Q6))</f>
        <v/>
      </c>
      <c r="X6" s="18">
        <f>IF($W6="","",INT(INDEX($L6:$Q6,$W6)))</f>
        <v/>
      </c>
      <c r="Y6" s="18">
        <f>IF(OR($W6="",$W6=6),"",WORKDAY($X6,CHOOSE($W6,3,3,2,2,3),Holidays))</f>
        <v/>
      </c>
      <c r="Z6" s="17">
        <f>IF(OR($W6="",$W6=6),"",CHOOSE($W6,"1st Email Follow-up","2nd Email Follow-up","Escalate Local Office","Escalate to CBE","Escalate to Roxanne"))</f>
        <v/>
      </c>
    </row>
    <row r="7" spans="1:26">
      <c r="R7" s="15"/>
      <c r="S7" s="16"/>
      <c r="T7" s="17">
        <f>IF(AND(COUNTA($A7:$K7)=0,$L7=""),"",IF($S7="Paid","PAID",IF($S7="Closed","CLOSED",IF($W7="","",IF($W7=6,"ESCALATED TO ROXANNE",IF(TODAY()&gt;$Y7,"OVERDUE",IF($Y7&lt;=WORKDAY(TODAY(),1,Holidays),"DUE TOMORROW",IF($W7=4,"ESCALATED TO LOCAL OFFICE",IF($W7=5,"ESCALATED TO CBE",IF($X7=TODAY(),"EMAIL SENT","MONITORING"))))))))))</f>
        <v/>
      </c>
      <c r="U7" s="17">
        <f>IF($T7="",IF(AND(COUNTA($A7:$K7)&gt;0,$L7=""),"Awaiting Collection Email time stamp.",""),IF(OR($T7="PAID",$T7="CLOSED"),IF($T7="PAID","Account paid. Action completed.","Account closed. No further action required."),CHOOSE($W7,"Collection Email","1st Email Follow-up","2nd Email Follow-up","Escalation to Local Office","Escalation to CBE","Escalation to Roxanne")&amp;" sent "&amp;TEXT($X7,"dd-mmm")&amp;". "&amp;IF($W7=6,"Final escalation completed.",IF($T7="OVERDUE","Next: "&amp;$Z7&amp;" was due "&amp;TEXT($Y7,"dd-mmm")&amp;" - "&amp;(NETWORKDAYS($Y7,TODAY(),Holidays)-1)&amp;" business day(s) late. Send now.",IF($T7="DUE TOMORROW","Next: "&amp;$Z7&amp;IF($Y7&lt;=TODAY()," is due TODAY ("," is due next business day (")&amp;TEXT($Y7,"dd-mmm")&amp;").","Next: "&amp;$Z7&amp;" due "&amp;TEXT($Y7,"dd-mmm")&amp;" ("&amp;(NETWORKDAYS(TODAY(),$Y7,Holidays)-1)&amp;" business day(s) left).")))))</f>
        <v/>
      </c>
      <c r="V7" s="17">
        <f>IF($W7="","",CHOOSE($W7,"Collection Email","1st Follow-up","2nd Follow-up","Local Office","CBE","Roxanne")&amp;IF($W7=6," - Final"," - Day "&amp;MAX(0,NETWORKDAYS($X7,TODAY(),Holidays)-1)&amp;" of "&amp;CHOOSE($W7,3,3,2,2,3))&amp;" | Total Day "&amp;MAX(0,NETWORKDAYS($L7,TODAY(),Holidays)-1))</f>
        <v/>
      </c>
      <c r="W7" s="17">
        <f>IF($L7="","",COUNT($L7:$Q7))</f>
        <v/>
      </c>
      <c r="X7" s="18">
        <f>IF($W7="","",INT(INDEX($L7:$Q7,$W7)))</f>
        <v/>
      </c>
      <c r="Y7" s="18">
        <f>IF(OR($W7="",$W7=6),"",WORKDAY($X7,CHOOSE($W7,3,3,2,2,3),Holidays))</f>
        <v/>
      </c>
      <c r="Z7" s="17">
        <f>IF(OR($W7="",$W7=6),"",CHOOSE($W7,"1st Email Follow-up","2nd Email Follow-up","Escalate Local Office","Escalate to CBE","Escalate to Roxanne"))</f>
        <v/>
      </c>
    </row>
    <row r="8" spans="1:26">
      <c r="R8" s="15"/>
      <c r="S8" s="16"/>
      <c r="T8" s="17">
        <f>IF(AND(COUNTA($A8:$K8)=0,$L8=""),"",IF($S8="Paid","PAID",IF($S8="Closed","CLOSED",IF($W8="","",IF($W8=6,"ESCALATED TO ROXANNE",IF(TODAY()&gt;$Y8,"OVERDUE",IF($Y8&lt;=WORKDAY(TODAY(),1,Holidays),"DUE TOMORROW",IF($W8=4,"ESCALATED TO LOCAL OFFICE",IF($W8=5,"ESCALATED TO CBE",IF($X8=TODAY(),"EMAIL SENT","MONITORING"))))))))))</f>
        <v/>
      </c>
      <c r="U8" s="17">
        <f>IF($T8="",IF(AND(COUNTA($A8:$K8)&gt;0,$L8=""),"Awaiting Collection Email time stamp.",""),IF(OR($T8="PAID",$T8="CLOSED"),IF($T8="PAID","Account paid. Action completed.","Account closed. No further action required."),CHOOSE($W8,"Collection Email","1st Email Follow-up","2nd Email Follow-up","Escalation to Local Office","Escalation to CBE","Escalation to Roxanne")&amp;" sent "&amp;TEXT($X8,"dd-mmm")&amp;". "&amp;IF($W8=6,"Final escalation completed.",IF($T8="OVERDUE","Next: "&amp;$Z8&amp;" was due "&amp;TEXT($Y8,"dd-mmm")&amp;" - "&amp;(NETWORKDAYS($Y8,TODAY(),Holidays)-1)&amp;" business day(s) late. Send now.",IF($T8="DUE TOMORROW","Next: "&amp;$Z8&amp;IF($Y8&lt;=TODAY()," is due TODAY ("," is due next business day (")&amp;TEXT($Y8,"dd-mmm")&amp;").","Next: "&amp;$Z8&amp;" due "&amp;TEXT($Y8,"dd-mmm")&amp;" ("&amp;(NETWORKDAYS(TODAY(),$Y8,Holidays)-1)&amp;" business day(s) left).")))))</f>
        <v/>
      </c>
      <c r="V8" s="17">
        <f>IF($W8="","",CHOOSE($W8,"Collection Email","1st Follow-up","2nd Follow-up","Local Office","CBE","Roxanne")&amp;IF($W8=6," - Final"," - Day "&amp;MAX(0,NETWORKDAYS($X8,TODAY(),Holidays)-1)&amp;" of "&amp;CHOOSE($W8,3,3,2,2,3))&amp;" | Total Day "&amp;MAX(0,NETWORKDAYS($L8,TODAY(),Holidays)-1))</f>
        <v/>
      </c>
      <c r="W8" s="17">
        <f>IF($L8="","",COUNT($L8:$Q8))</f>
        <v/>
      </c>
      <c r="X8" s="18">
        <f>IF($W8="","",INT(INDEX($L8:$Q8,$W8)))</f>
        <v/>
      </c>
      <c r="Y8" s="18">
        <f>IF(OR($W8="",$W8=6),"",WORKDAY($X8,CHOOSE($W8,3,3,2,2,3),Holidays))</f>
        <v/>
      </c>
      <c r="Z8" s="17">
        <f>IF(OR($W8="",$W8=6),"",CHOOSE($W8,"1st Email Follow-up","2nd Email Follow-up","Escalate Local Office","Escalate to CBE","Escalate to Roxanne"))</f>
        <v/>
      </c>
    </row>
    <row r="9" spans="1:26">
      <c r="R9" s="15"/>
      <c r="S9" s="16"/>
      <c r="T9" s="17">
        <f>IF(AND(COUNTA($A9:$K9)=0,$L9=""),"",IF($S9="Paid","PAID",IF($S9="Closed","CLOSED",IF($W9="","",IF($W9=6,"ESCALATED TO ROXANNE",IF(TODAY()&gt;$Y9,"OVERDUE",IF($Y9&lt;=WORKDAY(TODAY(),1,Holidays),"DUE TOMORROW",IF($W9=4,"ESCALATED TO LOCAL OFFICE",IF($W9=5,"ESCALATED TO CBE",IF($X9=TODAY(),"EMAIL SENT","MONITORING"))))))))))</f>
        <v/>
      </c>
      <c r="U9" s="17">
        <f>IF($T9="",IF(AND(COUNTA($A9:$K9)&gt;0,$L9=""),"Awaiting Collection Email time stamp.",""),IF(OR($T9="PAID",$T9="CLOSED"),IF($T9="PAID","Account paid. Action completed.","Account closed. No further action required."),CHOOSE($W9,"Collection Email","1st Email Follow-up","2nd Email Follow-up","Escalation to Local Office","Escalation to CBE","Escalation to Roxanne")&amp;" sent "&amp;TEXT($X9,"dd-mmm")&amp;". "&amp;IF($W9=6,"Final escalation completed.",IF($T9="OVERDUE","Next: "&amp;$Z9&amp;" was due "&amp;TEXT($Y9,"dd-mmm")&amp;" - "&amp;(NETWORKDAYS($Y9,TODAY(),Holidays)-1)&amp;" business day(s) late. Send now.",IF($T9="DUE TOMORROW","Next: "&amp;$Z9&amp;IF($Y9&lt;=TODAY()," is due TODAY ("," is due next business day (")&amp;TEXT($Y9,"dd-mmm")&amp;").","Next: "&amp;$Z9&amp;" due "&amp;TEXT($Y9,"dd-mmm")&amp;" ("&amp;(NETWORKDAYS(TODAY(),$Y9,Holidays)-1)&amp;" business day(s) left).")))))</f>
        <v/>
      </c>
      <c r="V9" s="17">
        <f>IF($W9="","",CHOOSE($W9,"Collection Email","1st Follow-up","2nd Follow-up","Local Office","CBE","Roxanne")&amp;IF($W9=6," - Final"," - Day "&amp;MAX(0,NETWORKDAYS($X9,TODAY(),Holidays)-1)&amp;" of "&amp;CHOOSE($W9,3,3,2,2,3))&amp;" | Total Day "&amp;MAX(0,NETWORKDAYS($L9,TODAY(),Holidays)-1))</f>
        <v/>
      </c>
      <c r="W9" s="17">
        <f>IF($L9="","",COUNT($L9:$Q9))</f>
        <v/>
      </c>
      <c r="X9" s="18">
        <f>IF($W9="","",INT(INDEX($L9:$Q9,$W9)))</f>
        <v/>
      </c>
      <c r="Y9" s="18">
        <f>IF(OR($W9="",$W9=6),"",WORKDAY($X9,CHOOSE($W9,3,3,2,2,3),Holidays))</f>
        <v/>
      </c>
      <c r="Z9" s="17">
        <f>IF(OR($W9="",$W9=6),"",CHOOSE($W9,"1st Email Follow-up","2nd Email Follow-up","Escalate Local Office","Escalate to CBE","Escalate to Roxanne"))</f>
        <v/>
      </c>
    </row>
    <row r="10" spans="1:26">
      <c r="R10" s="15"/>
      <c r="S10" s="16"/>
      <c r="T10" s="17">
        <f>IF(AND(COUNTA($A10:$K10)=0,$L10=""),"",IF($S10="Paid","PAID",IF($S10="Closed","CLOSED",IF($W10="","",IF($W10=6,"ESCALATED TO ROXANNE",IF(TODAY()&gt;$Y10,"OVERDUE",IF($Y10&lt;=WORKDAY(TODAY(),1,Holidays),"DUE TOMORROW",IF($W10=4,"ESCALATED TO LOCAL OFFICE",IF($W10=5,"ESCALATED TO CBE",IF($X10=TODAY(),"EMAIL SENT","MONITORING"))))))))))</f>
        <v/>
      </c>
      <c r="U10" s="17">
        <f>IF($T10="",IF(AND(COUNTA($A10:$K10)&gt;0,$L10=""),"Awaiting Collection Email time stamp.",""),IF(OR($T10="PAID",$T10="CLOSED"),IF($T10="PAID","Account paid. Action completed.","Account closed. No further action required."),CHOOSE($W10,"Collection Email","1st Email Follow-up","2nd Email Follow-up","Escalation to Local Office","Escalation to CBE","Escalation to Roxanne")&amp;" sent "&amp;TEXT($X10,"dd-mmm")&amp;". "&amp;IF($W10=6,"Final escalation completed.",IF($T10="OVERDUE","Next: "&amp;$Z10&amp;" was due "&amp;TEXT($Y10,"dd-mmm")&amp;" - "&amp;(NETWORKDAYS($Y10,TODAY(),Holidays)-1)&amp;" business day(s) late. Send now.",IF($T10="DUE TOMORROW","Next: "&amp;$Z10&amp;IF($Y10&lt;=TODAY()," is due TODAY ("," is due next business day (")&amp;TEXT($Y10,"dd-mmm")&amp;").","Next: "&amp;$Z10&amp;" due "&amp;TEXT($Y10,"dd-mmm")&amp;" ("&amp;(NETWORKDAYS(TODAY(),$Y10,Holidays)-1)&amp;" business day(s) left).")))))</f>
        <v/>
      </c>
      <c r="V10" s="17">
        <f>IF($W10="","",CHOOSE($W10,"Collection Email","1st Follow-up","2nd Follow-up","Local Office","CBE","Roxanne")&amp;IF($W10=6," - Final"," - Day "&amp;MAX(0,NETWORKDAYS($X10,TODAY(),Holidays)-1)&amp;" of "&amp;CHOOSE($W10,3,3,2,2,3))&amp;" | Total Day "&amp;MAX(0,NETWORKDAYS($L10,TODAY(),Holidays)-1))</f>
        <v/>
      </c>
      <c r="W10" s="17">
        <f>IF($L10="","",COUNT($L10:$Q10))</f>
        <v/>
      </c>
      <c r="X10" s="18">
        <f>IF($W10="","",INT(INDEX($L10:$Q10,$W10)))</f>
        <v/>
      </c>
      <c r="Y10" s="18">
        <f>IF(OR($W10="",$W10=6),"",WORKDAY($X10,CHOOSE($W10,3,3,2,2,3),Holidays))</f>
        <v/>
      </c>
      <c r="Z10" s="17">
        <f>IF(OR($W10="",$W10=6),"",CHOOSE($W10,"1st Email Follow-up","2nd Email Follow-up","Escalate Local Office","Escalate to CBE","Escalate to Roxanne"))</f>
        <v/>
      </c>
    </row>
    <row r="11" spans="1:26">
      <c r="R11" s="15"/>
      <c r="S11" s="16"/>
      <c r="T11" s="17">
        <f>IF(AND(COUNTA($A11:$K11)=0,$L11=""),"",IF($S11="Paid","PAID",IF($S11="Closed","CLOSED",IF($W11="","",IF($W11=6,"ESCALATED TO ROXANNE",IF(TODAY()&gt;$Y11,"OVERDUE",IF($Y11&lt;=WORKDAY(TODAY(),1,Holidays),"DUE TOMORROW",IF($W11=4,"ESCALATED TO LOCAL OFFICE",IF($W11=5,"ESCALATED TO CBE",IF($X11=TODAY(),"EMAIL SENT","MONITORING"))))))))))</f>
        <v/>
      </c>
      <c r="U11" s="17">
        <f>IF($T11="",IF(AND(COUNTA($A11:$K11)&gt;0,$L11=""),"Awaiting Collection Email time stamp.",""),IF(OR($T11="PAID",$T11="CLOSED"),IF($T11="PAID","Account paid. Action completed.","Account closed. No further action required."),CHOOSE($W11,"Collection Email","1st Email Follow-up","2nd Email Follow-up","Escalation to Local Office","Escalation to CBE","Escalation to Roxanne")&amp;" sent "&amp;TEXT($X11,"dd-mmm")&amp;". "&amp;IF($W11=6,"Final escalation completed.",IF($T11="OVERDUE","Next: "&amp;$Z11&amp;" was due "&amp;TEXT($Y11,"dd-mmm")&amp;" - "&amp;(NETWORKDAYS($Y11,TODAY(),Holidays)-1)&amp;" business day(s) late. Send now.",IF($T11="DUE TOMORROW","Next: "&amp;$Z11&amp;IF($Y11&lt;=TODAY()," is due TODAY ("," is due next business day (")&amp;TEXT($Y11,"dd-mmm")&amp;").","Next: "&amp;$Z11&amp;" due "&amp;TEXT($Y11,"dd-mmm")&amp;" ("&amp;(NETWORKDAYS(TODAY(),$Y11,Holidays)-1)&amp;" business day(s) left).")))))</f>
        <v/>
      </c>
      <c r="V11" s="17">
        <f>IF($W11="","",CHOOSE($W11,"Collection Email","1st Follow-up","2nd Follow-up","Local Office","CBE","Roxanne")&amp;IF($W11=6," - Final"," - Day "&amp;MAX(0,NETWORKDAYS($X11,TODAY(),Holidays)-1)&amp;" of "&amp;CHOOSE($W11,3,3,2,2,3))&amp;" | Total Day "&amp;MAX(0,NETWORKDAYS($L11,TODAY(),Holidays)-1))</f>
        <v/>
      </c>
      <c r="W11" s="17">
        <f>IF($L11="","",COUNT($L11:$Q11))</f>
        <v/>
      </c>
      <c r="X11" s="18">
        <f>IF($W11="","",INT(INDEX($L11:$Q11,$W11)))</f>
        <v/>
      </c>
      <c r="Y11" s="18">
        <f>IF(OR($W11="",$W11=6),"",WORKDAY($X11,CHOOSE($W11,3,3,2,2,3),Holidays))</f>
        <v/>
      </c>
      <c r="Z11" s="17">
        <f>IF(OR($W11="",$W11=6),"",CHOOSE($W11,"1st Email Follow-up","2nd Email Follow-up","Escalate Local Office","Escalate to CBE","Escalate to Roxanne"))</f>
        <v/>
      </c>
    </row>
    <row r="12" spans="1:26">
      <c r="R12" s="15"/>
      <c r="S12" s="16"/>
      <c r="T12" s="17">
        <f>IF(AND(COUNTA($A12:$K12)=0,$L12=""),"",IF($S12="Paid","PAID",IF($S12="Closed","CLOSED",IF($W12="","",IF($W12=6,"ESCALATED TO ROXANNE",IF(TODAY()&gt;$Y12,"OVERDUE",IF($Y12&lt;=WORKDAY(TODAY(),1,Holidays),"DUE TOMORROW",IF($W12=4,"ESCALATED TO LOCAL OFFICE",IF($W12=5,"ESCALATED TO CBE",IF($X12=TODAY(),"EMAIL SENT","MONITORING"))))))))))</f>
        <v/>
      </c>
      <c r="U12" s="17">
        <f>IF($T12="",IF(AND(COUNTA($A12:$K12)&gt;0,$L12=""),"Awaiting Collection Email time stamp.",""),IF(OR($T12="PAID",$T12="CLOSED"),IF($T12="PAID","Account paid. Action completed.","Account closed. No further action required."),CHOOSE($W12,"Collection Email","1st Email Follow-up","2nd Email Follow-up","Escalation to Local Office","Escalation to CBE","Escalation to Roxanne")&amp;" sent "&amp;TEXT($X12,"dd-mmm")&amp;". "&amp;IF($W12=6,"Final escalation completed.",IF($T12="OVERDUE","Next: "&amp;$Z12&amp;" was due "&amp;TEXT($Y12,"dd-mmm")&amp;" - "&amp;(NETWORKDAYS($Y12,TODAY(),Holidays)-1)&amp;" business day(s) late. Send now.",IF($T12="DUE TOMORROW","Next: "&amp;$Z12&amp;IF($Y12&lt;=TODAY()," is due TODAY ("," is due next business day (")&amp;TEXT($Y12,"dd-mmm")&amp;").","Next: "&amp;$Z12&amp;" due "&amp;TEXT($Y12,"dd-mmm")&amp;" ("&amp;(NETWORKDAYS(TODAY(),$Y12,Holidays)-1)&amp;" business day(s) left).")))))</f>
        <v/>
      </c>
      <c r="V12" s="17">
        <f>IF($W12="","",CHOOSE($W12,"Collection Email","1st Follow-up","2nd Follow-up","Local Office","CBE","Roxanne")&amp;IF($W12=6," - Final"," - Day "&amp;MAX(0,NETWORKDAYS($X12,TODAY(),Holidays)-1)&amp;" of "&amp;CHOOSE($W12,3,3,2,2,3))&amp;" | Total Day "&amp;MAX(0,NETWORKDAYS($L12,TODAY(),Holidays)-1))</f>
        <v/>
      </c>
      <c r="W12" s="17">
        <f>IF($L12="","",COUNT($L12:$Q12))</f>
        <v/>
      </c>
      <c r="X12" s="18">
        <f>IF($W12="","",INT(INDEX($L12:$Q12,$W12)))</f>
        <v/>
      </c>
      <c r="Y12" s="18">
        <f>IF(OR($W12="",$W12=6),"",WORKDAY($X12,CHOOSE($W12,3,3,2,2,3),Holidays))</f>
        <v/>
      </c>
      <c r="Z12" s="17">
        <f>IF(OR($W12="",$W12=6),"",CHOOSE($W12,"1st Email Follow-up","2nd Email Follow-up","Escalate Local Office","Escalate to CBE","Escalate to Roxanne"))</f>
        <v/>
      </c>
    </row>
    <row r="13" spans="1:26">
      <c r="R13" s="15"/>
      <c r="S13" s="16"/>
      <c r="T13" s="17">
        <f>IF(AND(COUNTA($A13:$K13)=0,$L13=""),"",IF($S13="Paid","PAID",IF($S13="Closed","CLOSED",IF($W13="","",IF($W13=6,"ESCALATED TO ROXANNE",IF(TODAY()&gt;$Y13,"OVERDUE",IF($Y13&lt;=WORKDAY(TODAY(),1,Holidays),"DUE TOMORROW",IF($W13=4,"ESCALATED TO LOCAL OFFICE",IF($W13=5,"ESCALATED TO CBE",IF($X13=TODAY(),"EMAIL SENT","MONITORING"))))))))))</f>
        <v/>
      </c>
      <c r="U13" s="17">
        <f>IF($T13="",IF(AND(COUNTA($A13:$K13)&gt;0,$L13=""),"Awaiting Collection Email time stamp.",""),IF(OR($T13="PAID",$T13="CLOSED"),IF($T13="PAID","Account paid. Action completed.","Account closed. No further action required."),CHOOSE($W13,"Collection Email","1st Email Follow-up","2nd Email Follow-up","Escalation to Local Office","Escalation to CBE","Escalation to Roxanne")&amp;" sent "&amp;TEXT($X13,"dd-mmm")&amp;". "&amp;IF($W13=6,"Final escalation completed.",IF($T13="OVERDUE","Next: "&amp;$Z13&amp;" was due "&amp;TEXT($Y13,"dd-mmm")&amp;" - "&amp;(NETWORKDAYS($Y13,TODAY(),Holidays)-1)&amp;" business day(s) late. Send now.",IF($T13="DUE TOMORROW","Next: "&amp;$Z13&amp;IF($Y13&lt;=TODAY()," is due TODAY ("," is due next business day (")&amp;TEXT($Y13,"dd-mmm")&amp;").","Next: "&amp;$Z13&amp;" due "&amp;TEXT($Y13,"dd-mmm")&amp;" ("&amp;(NETWORKDAYS(TODAY(),$Y13,Holidays)-1)&amp;" business day(s) left).")))))</f>
        <v/>
      </c>
      <c r="V13" s="17">
        <f>IF($W13="","",CHOOSE($W13,"Collection Email","1st Follow-up","2nd Follow-up","Local Office","CBE","Roxanne")&amp;IF($W13=6," - Final"," - Day "&amp;MAX(0,NETWORKDAYS($X13,TODAY(),Holidays)-1)&amp;" of "&amp;CHOOSE($W13,3,3,2,2,3))&amp;" | Total Day "&amp;MAX(0,NETWORKDAYS($L13,TODAY(),Holidays)-1))</f>
        <v/>
      </c>
      <c r="W13" s="17">
        <f>IF($L13="","",COUNT($L13:$Q13))</f>
        <v/>
      </c>
      <c r="X13" s="18">
        <f>IF($W13="","",INT(INDEX($L13:$Q13,$W13)))</f>
        <v/>
      </c>
      <c r="Y13" s="18">
        <f>IF(OR($W13="",$W13=6),"",WORKDAY($X13,CHOOSE($W13,3,3,2,2,3),Holidays))</f>
        <v/>
      </c>
      <c r="Z13" s="17">
        <f>IF(OR($W13="",$W13=6),"",CHOOSE($W13,"1st Email Follow-up","2nd Email Follow-up","Escalate Local Office","Escalate to CBE","Escalate to Roxanne"))</f>
        <v/>
      </c>
    </row>
    <row r="14" spans="1:26">
      <c r="R14" s="15"/>
      <c r="S14" s="16"/>
      <c r="T14" s="17">
        <f>IF(AND(COUNTA($A14:$K14)=0,$L14=""),"",IF($S14="Paid","PAID",IF($S14="Closed","CLOSED",IF($W14="","",IF($W14=6,"ESCALATED TO ROXANNE",IF(TODAY()&gt;$Y14,"OVERDUE",IF($Y14&lt;=WORKDAY(TODAY(),1,Holidays),"DUE TOMORROW",IF($W14=4,"ESCALATED TO LOCAL OFFICE",IF($W14=5,"ESCALATED TO CBE",IF($X14=TODAY(),"EMAIL SENT","MONITORING"))))))))))</f>
        <v/>
      </c>
      <c r="U14" s="17">
        <f>IF($T14="",IF(AND(COUNTA($A14:$K14)&gt;0,$L14=""),"Awaiting Collection Email time stamp.",""),IF(OR($T14="PAID",$T14="CLOSED"),IF($T14="PAID","Account paid. Action completed.","Account closed. No further action required."),CHOOSE($W14,"Collection Email","1st Email Follow-up","2nd Email Follow-up","Escalation to Local Office","Escalation to CBE","Escalation to Roxanne")&amp;" sent "&amp;TEXT($X14,"dd-mmm")&amp;". "&amp;IF($W14=6,"Final escalation completed.",IF($T14="OVERDUE","Next: "&amp;$Z14&amp;" was due "&amp;TEXT($Y14,"dd-mmm")&amp;" - "&amp;(NETWORKDAYS($Y14,TODAY(),Holidays)-1)&amp;" business day(s) late. Send now.",IF($T14="DUE TOMORROW","Next: "&amp;$Z14&amp;IF($Y14&lt;=TODAY()," is due TODAY ("," is due next business day (")&amp;TEXT($Y14,"dd-mmm")&amp;").","Next: "&amp;$Z14&amp;" due "&amp;TEXT($Y14,"dd-mmm")&amp;" ("&amp;(NETWORKDAYS(TODAY(),$Y14,Holidays)-1)&amp;" business day(s) left).")))))</f>
        <v/>
      </c>
      <c r="V14" s="17">
        <f>IF($W14="","",CHOOSE($W14,"Collection Email","1st Follow-up","2nd Follow-up","Local Office","CBE","Roxanne")&amp;IF($W14=6," - Final"," - Day "&amp;MAX(0,NETWORKDAYS($X14,TODAY(),Holidays)-1)&amp;" of "&amp;CHOOSE($W14,3,3,2,2,3))&amp;" | Total Day "&amp;MAX(0,NETWORKDAYS($L14,TODAY(),Holidays)-1))</f>
        <v/>
      </c>
      <c r="W14" s="17">
        <f>IF($L14="","",COUNT($L14:$Q14))</f>
        <v/>
      </c>
      <c r="X14" s="18">
        <f>IF($W14="","",INT(INDEX($L14:$Q14,$W14)))</f>
        <v/>
      </c>
      <c r="Y14" s="18">
        <f>IF(OR($W14="",$W14=6),"",WORKDAY($X14,CHOOSE($W14,3,3,2,2,3),Holidays))</f>
        <v/>
      </c>
      <c r="Z14" s="17">
        <f>IF(OR($W14="",$W14=6),"",CHOOSE($W14,"1st Email Follow-up","2nd Email Follow-up","Escalate Local Office","Escalate to CBE","Escalate to Roxanne"))</f>
        <v/>
      </c>
    </row>
    <row r="15" spans="1:26">
      <c r="R15" s="15"/>
      <c r="S15" s="16"/>
      <c r="T15" s="17">
        <f>IF(AND(COUNTA($A15:$K15)=0,$L15=""),"",IF($S15="Paid","PAID",IF($S15="Closed","CLOSED",IF($W15="","",IF($W15=6,"ESCALATED TO ROXANNE",IF(TODAY()&gt;$Y15,"OVERDUE",IF($Y15&lt;=WORKDAY(TODAY(),1,Holidays),"DUE TOMORROW",IF($W15=4,"ESCALATED TO LOCAL OFFICE",IF($W15=5,"ESCALATED TO CBE",IF($X15=TODAY(),"EMAIL SENT","MONITORING"))))))))))</f>
        <v/>
      </c>
      <c r="U15" s="17">
        <f>IF($T15="",IF(AND(COUNTA($A15:$K15)&gt;0,$L15=""),"Awaiting Collection Email time stamp.",""),IF(OR($T15="PAID",$T15="CLOSED"),IF($T15="PAID","Account paid. Action completed.","Account closed. No further action required."),CHOOSE($W15,"Collection Email","1st Email Follow-up","2nd Email Follow-up","Escalation to Local Office","Escalation to CBE","Escalation to Roxanne")&amp;" sent "&amp;TEXT($X15,"dd-mmm")&amp;". "&amp;IF($W15=6,"Final escalation completed.",IF($T15="OVERDUE","Next: "&amp;$Z15&amp;" was due "&amp;TEXT($Y15,"dd-mmm")&amp;" - "&amp;(NETWORKDAYS($Y15,TODAY(),Holidays)-1)&amp;" business day(s) late. Send now.",IF($T15="DUE TOMORROW","Next: "&amp;$Z15&amp;IF($Y15&lt;=TODAY()," is due TODAY ("," is due next business day (")&amp;TEXT($Y15,"dd-mmm")&amp;").","Next: "&amp;$Z15&amp;" due "&amp;TEXT($Y15,"dd-mmm")&amp;" ("&amp;(NETWORKDAYS(TODAY(),$Y15,Holidays)-1)&amp;" business day(s) left).")))))</f>
        <v/>
      </c>
      <c r="V15" s="17">
        <f>IF($W15="","",CHOOSE($W15,"Collection Email","1st Follow-up","2nd Follow-up","Local Office","CBE","Roxanne")&amp;IF($W15=6," - Final"," - Day "&amp;MAX(0,NETWORKDAYS($X15,TODAY(),Holidays)-1)&amp;" of "&amp;CHOOSE($W15,3,3,2,2,3))&amp;" | Total Day "&amp;MAX(0,NETWORKDAYS($L15,TODAY(),Holidays)-1))</f>
        <v/>
      </c>
      <c r="W15" s="17">
        <f>IF($L15="","",COUNT($L15:$Q15))</f>
        <v/>
      </c>
      <c r="X15" s="18">
        <f>IF($W15="","",INT(INDEX($L15:$Q15,$W15)))</f>
        <v/>
      </c>
      <c r="Y15" s="18">
        <f>IF(OR($W15="",$W15=6),"",WORKDAY($X15,CHOOSE($W15,3,3,2,2,3),Holidays))</f>
        <v/>
      </c>
      <c r="Z15" s="17">
        <f>IF(OR($W15="",$W15=6),"",CHOOSE($W15,"1st Email Follow-up","2nd Email Follow-up","Escalate Local Office","Escalate to CBE","Escalate to Roxanne"))</f>
        <v/>
      </c>
    </row>
    <row r="16" spans="1:26">
      <c r="R16" s="15"/>
      <c r="S16" s="16"/>
      <c r="T16" s="17">
        <f>IF(AND(COUNTA($A16:$K16)=0,$L16=""),"",IF($S16="Paid","PAID",IF($S16="Closed","CLOSED",IF($W16="","",IF($W16=6,"ESCALATED TO ROXANNE",IF(TODAY()&gt;$Y16,"OVERDUE",IF($Y16&lt;=WORKDAY(TODAY(),1,Holidays),"DUE TOMORROW",IF($W16=4,"ESCALATED TO LOCAL OFFICE",IF($W16=5,"ESCALATED TO CBE",IF($X16=TODAY(),"EMAIL SENT","MONITORING"))))))))))</f>
        <v/>
      </c>
      <c r="U16" s="17">
        <f>IF($T16="",IF(AND(COUNTA($A16:$K16)&gt;0,$L16=""),"Awaiting Collection Email time stamp.",""),IF(OR($T16="PAID",$T16="CLOSED"),IF($T16="PAID","Account paid. Action completed.","Account closed. No further action required."),CHOOSE($W16,"Collection Email","1st Email Follow-up","2nd Email Follow-up","Escalation to Local Office","Escalation to CBE","Escalation to Roxanne")&amp;" sent "&amp;TEXT($X16,"dd-mmm")&amp;". "&amp;IF($W16=6,"Final escalation completed.",IF($T16="OVERDUE","Next: "&amp;$Z16&amp;" was due "&amp;TEXT($Y16,"dd-mmm")&amp;" - "&amp;(NETWORKDAYS($Y16,TODAY(),Holidays)-1)&amp;" business day(s) late. Send now.",IF($T16="DUE TOMORROW","Next: "&amp;$Z16&amp;IF($Y16&lt;=TODAY()," is due TODAY ("," is due next business day (")&amp;TEXT($Y16,"dd-mmm")&amp;").","Next: "&amp;$Z16&amp;" due "&amp;TEXT($Y16,"dd-mmm")&amp;" ("&amp;(NETWORKDAYS(TODAY(),$Y16,Holidays)-1)&amp;" business day(s) left).")))))</f>
        <v/>
      </c>
      <c r="V16" s="17">
        <f>IF($W16="","",CHOOSE($W16,"Collection Email","1st Follow-up","2nd Follow-up","Local Office","CBE","Roxanne")&amp;IF($W16=6," - Final"," - Day "&amp;MAX(0,NETWORKDAYS($X16,TODAY(),Holidays)-1)&amp;" of "&amp;CHOOSE($W16,3,3,2,2,3))&amp;" | Total Day "&amp;MAX(0,NETWORKDAYS($L16,TODAY(),Holidays)-1))</f>
        <v/>
      </c>
      <c r="W16" s="17">
        <f>IF($L16="","",COUNT($L16:$Q16))</f>
        <v/>
      </c>
      <c r="X16" s="18">
        <f>IF($W16="","",INT(INDEX($L16:$Q16,$W16)))</f>
        <v/>
      </c>
      <c r="Y16" s="18">
        <f>IF(OR($W16="",$W16=6),"",WORKDAY($X16,CHOOSE($W16,3,3,2,2,3),Holidays))</f>
        <v/>
      </c>
      <c r="Z16" s="17">
        <f>IF(OR($W16="",$W16=6),"",CHOOSE($W16,"1st Email Follow-up","2nd Email Follow-up","Escalate Local Office","Escalate to CBE","Escalate to Roxanne"))</f>
        <v/>
      </c>
    </row>
    <row r="17" spans="18:26">
      <c r="R17" s="15"/>
      <c r="S17" s="16"/>
      <c r="T17" s="17">
        <f>IF(AND(COUNTA($A17:$K17)=0,$L17=""),"",IF($S17="Paid","PAID",IF($S17="Closed","CLOSED",IF($W17="","",IF($W17=6,"ESCALATED TO ROXANNE",IF(TODAY()&gt;$Y17,"OVERDUE",IF($Y17&lt;=WORKDAY(TODAY(),1,Holidays),"DUE TOMORROW",IF($W17=4,"ESCALATED TO LOCAL OFFICE",IF($W17=5,"ESCALATED TO CBE",IF($X17=TODAY(),"EMAIL SENT","MONITORING"))))))))))</f>
        <v/>
      </c>
      <c r="U17" s="17">
        <f>IF($T17="",IF(AND(COUNTA($A17:$K17)&gt;0,$L17=""),"Awaiting Collection Email time stamp.",""),IF(OR($T17="PAID",$T17="CLOSED"),IF($T17="PAID","Account paid. Action completed.","Account closed. No further action required."),CHOOSE($W17,"Collection Email","1st Email Follow-up","2nd Email Follow-up","Escalation to Local Office","Escalation to CBE","Escalation to Roxanne")&amp;" sent "&amp;TEXT($X17,"dd-mmm")&amp;". "&amp;IF($W17=6,"Final escalation completed.",IF($T17="OVERDUE","Next: "&amp;$Z17&amp;" was due "&amp;TEXT($Y17,"dd-mmm")&amp;" - "&amp;(NETWORKDAYS($Y17,TODAY(),Holidays)-1)&amp;" business day(s) late. Send now.",IF($T17="DUE TOMORROW","Next: "&amp;$Z17&amp;IF($Y17&lt;=TODAY()," is due TODAY ("," is due next business day (")&amp;TEXT($Y17,"dd-mmm")&amp;").","Next: "&amp;$Z17&amp;" due "&amp;TEXT($Y17,"dd-mmm")&amp;" ("&amp;(NETWORKDAYS(TODAY(),$Y17,Holidays)-1)&amp;" business day(s) left).")))))</f>
        <v/>
      </c>
      <c r="V17" s="17">
        <f>IF($W17="","",CHOOSE($W17,"Collection Email","1st Follow-up","2nd Follow-up","Local Office","CBE","Roxanne")&amp;IF($W17=6," - Final"," - Day "&amp;MAX(0,NETWORKDAYS($X17,TODAY(),Holidays)-1)&amp;" of "&amp;CHOOSE($W17,3,3,2,2,3))&amp;" | Total Day "&amp;MAX(0,NETWORKDAYS($L17,TODAY(),Holidays)-1))</f>
        <v/>
      </c>
      <c r="W17" s="17">
        <f>IF($L17="","",COUNT($L17:$Q17))</f>
        <v/>
      </c>
      <c r="X17" s="18">
        <f>IF($W17="","",INT(INDEX($L17:$Q17,$W17)))</f>
        <v/>
      </c>
      <c r="Y17" s="18">
        <f>IF(OR($W17="",$W17=6),"",WORKDAY($X17,CHOOSE($W17,3,3,2,2,3),Holidays))</f>
        <v/>
      </c>
      <c r="Z17" s="17">
        <f>IF(OR($W17="",$W17=6),"",CHOOSE($W17,"1st Email Follow-up","2nd Email Follow-up","Escalate Local Office","Escalate to CBE","Escalate to Roxanne"))</f>
        <v/>
      </c>
    </row>
    <row r="18" spans="18:26">
      <c r="R18" s="15"/>
      <c r="S18" s="16"/>
      <c r="T18" s="17">
        <f>IF(AND(COUNTA($A18:$K18)=0,$L18=""),"",IF($S18="Paid","PAID",IF($S18="Closed","CLOSED",IF($W18="","",IF($W18=6,"ESCALATED TO ROXANNE",IF(TODAY()&gt;$Y18,"OVERDUE",IF($Y18&lt;=WORKDAY(TODAY(),1,Holidays),"DUE TOMORROW",IF($W18=4,"ESCALATED TO LOCAL OFFICE",IF($W18=5,"ESCALATED TO CBE",IF($X18=TODAY(),"EMAIL SENT","MONITORING"))))))))))</f>
        <v/>
      </c>
      <c r="U18" s="17">
        <f>IF($T18="",IF(AND(COUNTA($A18:$K18)&gt;0,$L18=""),"Awaiting Collection Email time stamp.",""),IF(OR($T18="PAID",$T18="CLOSED"),IF($T18="PAID","Account paid. Action completed.","Account closed. No further action required."),CHOOSE($W18,"Collection Email","1st Email Follow-up","2nd Email Follow-up","Escalation to Local Office","Escalation to CBE","Escalation to Roxanne")&amp;" sent "&amp;TEXT($X18,"dd-mmm")&amp;". "&amp;IF($W18=6,"Final escalation completed.",IF($T18="OVERDUE","Next: "&amp;$Z18&amp;" was due "&amp;TEXT($Y18,"dd-mmm")&amp;" - "&amp;(NETWORKDAYS($Y18,TODAY(),Holidays)-1)&amp;" business day(s) late. Send now.",IF($T18="DUE TOMORROW","Next: "&amp;$Z18&amp;IF($Y18&lt;=TODAY()," is due TODAY ("," is due next business day (")&amp;TEXT($Y18,"dd-mmm")&amp;").","Next: "&amp;$Z18&amp;" due "&amp;TEXT($Y18,"dd-mmm")&amp;" ("&amp;(NETWORKDAYS(TODAY(),$Y18,Holidays)-1)&amp;" business day(s) left).")))))</f>
        <v/>
      </c>
      <c r="V18" s="17">
        <f>IF($W18="","",CHOOSE($W18,"Collection Email","1st Follow-up","2nd Follow-up","Local Office","CBE","Roxanne")&amp;IF($W18=6," - Final"," - Day "&amp;MAX(0,NETWORKDAYS($X18,TODAY(),Holidays)-1)&amp;" of "&amp;CHOOSE($W18,3,3,2,2,3))&amp;" | Total Day "&amp;MAX(0,NETWORKDAYS($L18,TODAY(),Holidays)-1))</f>
        <v/>
      </c>
      <c r="W18" s="17">
        <f>IF($L18="","",COUNT($L18:$Q18))</f>
        <v/>
      </c>
      <c r="X18" s="18">
        <f>IF($W18="","",INT(INDEX($L18:$Q18,$W18)))</f>
        <v/>
      </c>
      <c r="Y18" s="18">
        <f>IF(OR($W18="",$W18=6),"",WORKDAY($X18,CHOOSE($W18,3,3,2,2,3),Holidays))</f>
        <v/>
      </c>
      <c r="Z18" s="17">
        <f>IF(OR($W18="",$W18=6),"",CHOOSE($W18,"1st Email Follow-up","2nd Email Follow-up","Escalate Local Office","Escalate to CBE","Escalate to Roxanne"))</f>
        <v/>
      </c>
    </row>
    <row r="19" spans="18:26">
      <c r="R19" s="15"/>
      <c r="S19" s="16"/>
      <c r="T19" s="17">
        <f>IF(AND(COUNTA($A19:$K19)=0,$L19=""),"",IF($S19="Paid","PAID",IF($S19="Closed","CLOSED",IF($W19="","",IF($W19=6,"ESCALATED TO ROXANNE",IF(TODAY()&gt;$Y19,"OVERDUE",IF($Y19&lt;=WORKDAY(TODAY(),1,Holidays),"DUE TOMORROW",IF($W19=4,"ESCALATED TO LOCAL OFFICE",IF($W19=5,"ESCALATED TO CBE",IF($X19=TODAY(),"EMAIL SENT","MONITORING"))))))))))</f>
        <v/>
      </c>
      <c r="U19" s="17">
        <f>IF($T19="",IF(AND(COUNTA($A19:$K19)&gt;0,$L19=""),"Awaiting Collection Email time stamp.",""),IF(OR($T19="PAID",$T19="CLOSED"),IF($T19="PAID","Account paid. Action completed.","Account closed. No further action required."),CHOOSE($W19,"Collection Email","1st Email Follow-up","2nd Email Follow-up","Escalation to Local Office","Escalation to CBE","Escalation to Roxanne")&amp;" sent "&amp;TEXT($X19,"dd-mmm")&amp;". "&amp;IF($W19=6,"Final escalation completed.",IF($T19="OVERDUE","Next: "&amp;$Z19&amp;" was due "&amp;TEXT($Y19,"dd-mmm")&amp;" - "&amp;(NETWORKDAYS($Y19,TODAY(),Holidays)-1)&amp;" business day(s) late. Send now.",IF($T19="DUE TOMORROW","Next: "&amp;$Z19&amp;IF($Y19&lt;=TODAY()," is due TODAY ("," is due next business day (")&amp;TEXT($Y19,"dd-mmm")&amp;").","Next: "&amp;$Z19&amp;" due "&amp;TEXT($Y19,"dd-mmm")&amp;" ("&amp;(NETWORKDAYS(TODAY(),$Y19,Holidays)-1)&amp;" business day(s) left).")))))</f>
        <v/>
      </c>
      <c r="V19" s="17">
        <f>IF($W19="","",CHOOSE($W19,"Collection Email","1st Follow-up","2nd Follow-up","Local Office","CBE","Roxanne")&amp;IF($W19=6," - Final"," - Day "&amp;MAX(0,NETWORKDAYS($X19,TODAY(),Holidays)-1)&amp;" of "&amp;CHOOSE($W19,3,3,2,2,3))&amp;" | Total Day "&amp;MAX(0,NETWORKDAYS($L19,TODAY(),Holidays)-1))</f>
        <v/>
      </c>
      <c r="W19" s="17">
        <f>IF($L19="","",COUNT($L19:$Q19))</f>
        <v/>
      </c>
      <c r="X19" s="18">
        <f>IF($W19="","",INT(INDEX($L19:$Q19,$W19)))</f>
        <v/>
      </c>
      <c r="Y19" s="18">
        <f>IF(OR($W19="",$W19=6),"",WORKDAY($X19,CHOOSE($W19,3,3,2,2,3),Holidays))</f>
        <v/>
      </c>
      <c r="Z19" s="17">
        <f>IF(OR($W19="",$W19=6),"",CHOOSE($W19,"1st Email Follow-up","2nd Email Follow-up","Escalate Local Office","Escalate to CBE","Escalate to Roxanne"))</f>
        <v/>
      </c>
    </row>
    <row r="20" spans="18:26">
      <c r="R20" s="15"/>
      <c r="S20" s="16"/>
      <c r="T20" s="17">
        <f>IF(AND(COUNTA($A20:$K20)=0,$L20=""),"",IF($S20="Paid","PAID",IF($S20="Closed","CLOSED",IF($W20="","",IF($W20=6,"ESCALATED TO ROXANNE",IF(TODAY()&gt;$Y20,"OVERDUE",IF($Y20&lt;=WORKDAY(TODAY(),1,Holidays),"DUE TOMORROW",IF($W20=4,"ESCALATED TO LOCAL OFFICE",IF($W20=5,"ESCALATED TO CBE",IF($X20=TODAY(),"EMAIL SENT","MONITORING"))))))))))</f>
        <v/>
      </c>
      <c r="U20" s="17">
        <f>IF($T20="",IF(AND(COUNTA($A20:$K20)&gt;0,$L20=""),"Awaiting Collection Email time stamp.",""),IF(OR($T20="PAID",$T20="CLOSED"),IF($T20="PAID","Account paid. Action completed.","Account closed. No further action required."),CHOOSE($W20,"Collection Email","1st Email Follow-up","2nd Email Follow-up","Escalation to Local Office","Escalation to CBE","Escalation to Roxanne")&amp;" sent "&amp;TEXT($X20,"dd-mmm")&amp;". "&amp;IF($W20=6,"Final escalation completed.",IF($T20="OVERDUE","Next: "&amp;$Z20&amp;" was due "&amp;TEXT($Y20,"dd-mmm")&amp;" - "&amp;(NETWORKDAYS($Y20,TODAY(),Holidays)-1)&amp;" business day(s) late. Send now.",IF($T20="DUE TOMORROW","Next: "&amp;$Z20&amp;IF($Y20&lt;=TODAY()," is due TODAY ("," is due next business day (")&amp;TEXT($Y20,"dd-mmm")&amp;").","Next: "&amp;$Z20&amp;" due "&amp;TEXT($Y20,"dd-mmm")&amp;" ("&amp;(NETWORKDAYS(TODAY(),$Y20,Holidays)-1)&amp;" business day(s) left).")))))</f>
        <v/>
      </c>
      <c r="V20" s="17">
        <f>IF($W20="","",CHOOSE($W20,"Collection Email","1st Follow-up","2nd Follow-up","Local Office","CBE","Roxanne")&amp;IF($W20=6," - Final"," - Day "&amp;MAX(0,NETWORKDAYS($X20,TODAY(),Holidays)-1)&amp;" of "&amp;CHOOSE($W20,3,3,2,2,3))&amp;" | Total Day "&amp;MAX(0,NETWORKDAYS($L20,TODAY(),Holidays)-1))</f>
        <v/>
      </c>
      <c r="W20" s="17">
        <f>IF($L20="","",COUNT($L20:$Q20))</f>
        <v/>
      </c>
      <c r="X20" s="18">
        <f>IF($W20="","",INT(INDEX($L20:$Q20,$W20)))</f>
        <v/>
      </c>
      <c r="Y20" s="18">
        <f>IF(OR($W20="",$W20=6),"",WORKDAY($X20,CHOOSE($W20,3,3,2,2,3),Holidays))</f>
        <v/>
      </c>
      <c r="Z20" s="17">
        <f>IF(OR($W20="",$W20=6),"",CHOOSE($W20,"1st Email Follow-up","2nd Email Follow-up","Escalate Local Office","Escalate to CBE","Escalate to Roxanne"))</f>
        <v/>
      </c>
    </row>
    <row r="21" spans="18:26">
      <c r="R21" s="15"/>
      <c r="S21" s="16"/>
      <c r="T21" s="17">
        <f>IF(AND(COUNTA($A21:$K21)=0,$L21=""),"",IF($S21="Paid","PAID",IF($S21="Closed","CLOSED",IF($W21="","",IF($W21=6,"ESCALATED TO ROXANNE",IF(TODAY()&gt;$Y21,"OVERDUE",IF($Y21&lt;=WORKDAY(TODAY(),1,Holidays),"DUE TOMORROW",IF($W21=4,"ESCALATED TO LOCAL OFFICE",IF($W21=5,"ESCALATED TO CBE",IF($X21=TODAY(),"EMAIL SENT","MONITORING"))))))))))</f>
        <v/>
      </c>
      <c r="U21" s="17">
        <f>IF($T21="",IF(AND(COUNTA($A21:$K21)&gt;0,$L21=""),"Awaiting Collection Email time stamp.",""),IF(OR($T21="PAID",$T21="CLOSED"),IF($T21="PAID","Account paid. Action completed.","Account closed. No further action required."),CHOOSE($W21,"Collection Email","1st Email Follow-up","2nd Email Follow-up","Escalation to Local Office","Escalation to CBE","Escalation to Roxanne")&amp;" sent "&amp;TEXT($X21,"dd-mmm")&amp;". "&amp;IF($W21=6,"Final escalation completed.",IF($T21="OVERDUE","Next: "&amp;$Z21&amp;" was due "&amp;TEXT($Y21,"dd-mmm")&amp;" - "&amp;(NETWORKDAYS($Y21,TODAY(),Holidays)-1)&amp;" business day(s) late. Send now.",IF($T21="DUE TOMORROW","Next: "&amp;$Z21&amp;IF($Y21&lt;=TODAY()," is due TODAY ("," is due next business day (")&amp;TEXT($Y21,"dd-mmm")&amp;").","Next: "&amp;$Z21&amp;" due "&amp;TEXT($Y21,"dd-mmm")&amp;" ("&amp;(NETWORKDAYS(TODAY(),$Y21,Holidays)-1)&amp;" business day(s) left).")))))</f>
        <v/>
      </c>
      <c r="V21" s="17">
        <f>IF($W21="","",CHOOSE($W21,"Collection Email","1st Follow-up","2nd Follow-up","Local Office","CBE","Roxanne")&amp;IF($W21=6," - Final"," - Day "&amp;MAX(0,NETWORKDAYS($X21,TODAY(),Holidays)-1)&amp;" of "&amp;CHOOSE($W21,3,3,2,2,3))&amp;" | Total Day "&amp;MAX(0,NETWORKDAYS($L21,TODAY(),Holidays)-1))</f>
        <v/>
      </c>
      <c r="W21" s="17">
        <f>IF($L21="","",COUNT($L21:$Q21))</f>
        <v/>
      </c>
      <c r="X21" s="18">
        <f>IF($W21="","",INT(INDEX($L21:$Q21,$W21)))</f>
        <v/>
      </c>
      <c r="Y21" s="18">
        <f>IF(OR($W21="",$W21=6),"",WORKDAY($X21,CHOOSE($W21,3,3,2,2,3),Holidays))</f>
        <v/>
      </c>
      <c r="Z21" s="17">
        <f>IF(OR($W21="",$W21=6),"",CHOOSE($W21,"1st Email Follow-up","2nd Email Follow-up","Escalate Local Office","Escalate to CBE","Escalate to Roxanne"))</f>
        <v/>
      </c>
    </row>
    <row r="22" spans="18:26">
      <c r="R22" s="15"/>
      <c r="S22" s="16"/>
      <c r="T22" s="17">
        <f>IF(AND(COUNTA($A22:$K22)=0,$L22=""),"",IF($S22="Paid","PAID",IF($S22="Closed","CLOSED",IF($W22="","",IF($W22=6,"ESCALATED TO ROXANNE",IF(TODAY()&gt;$Y22,"OVERDUE",IF($Y22&lt;=WORKDAY(TODAY(),1,Holidays),"DUE TOMORROW",IF($W22=4,"ESCALATED TO LOCAL OFFICE",IF($W22=5,"ESCALATED TO CBE",IF($X22=TODAY(),"EMAIL SENT","MONITORING"))))))))))</f>
        <v/>
      </c>
      <c r="U22" s="17">
        <f>IF($T22="",IF(AND(COUNTA($A22:$K22)&gt;0,$L22=""),"Awaiting Collection Email time stamp.",""),IF(OR($T22="PAID",$T22="CLOSED"),IF($T22="PAID","Account paid. Action completed.","Account closed. No further action required."),CHOOSE($W22,"Collection Email","1st Email Follow-up","2nd Email Follow-up","Escalation to Local Office","Escalation to CBE","Escalation to Roxanne")&amp;" sent "&amp;TEXT($X22,"dd-mmm")&amp;". "&amp;IF($W22=6,"Final escalation completed.",IF($T22="OVERDUE","Next: "&amp;$Z22&amp;" was due "&amp;TEXT($Y22,"dd-mmm")&amp;" - "&amp;(NETWORKDAYS($Y22,TODAY(),Holidays)-1)&amp;" business day(s) late. Send now.",IF($T22="DUE TOMORROW","Next: "&amp;$Z22&amp;IF($Y22&lt;=TODAY()," is due TODAY ("," is due next business day (")&amp;TEXT($Y22,"dd-mmm")&amp;").","Next: "&amp;$Z22&amp;" due "&amp;TEXT($Y22,"dd-mmm")&amp;" ("&amp;(NETWORKDAYS(TODAY(),$Y22,Holidays)-1)&amp;" business day(s) left).")))))</f>
        <v/>
      </c>
      <c r="V22" s="17">
        <f>IF($W22="","",CHOOSE($W22,"Collection Email","1st Follow-up","2nd Follow-up","Local Office","CBE","Roxanne")&amp;IF($W22=6," - Final"," - Day "&amp;MAX(0,NETWORKDAYS($X22,TODAY(),Holidays)-1)&amp;" of "&amp;CHOOSE($W22,3,3,2,2,3))&amp;" | Total Day "&amp;MAX(0,NETWORKDAYS($L22,TODAY(),Holidays)-1))</f>
        <v/>
      </c>
      <c r="W22" s="17">
        <f>IF($L22="","",COUNT($L22:$Q22))</f>
        <v/>
      </c>
      <c r="X22" s="18">
        <f>IF($W22="","",INT(INDEX($L22:$Q22,$W22)))</f>
        <v/>
      </c>
      <c r="Y22" s="18">
        <f>IF(OR($W22="",$W22=6),"",WORKDAY($X22,CHOOSE($W22,3,3,2,2,3),Holidays))</f>
        <v/>
      </c>
      <c r="Z22" s="17">
        <f>IF(OR($W22="",$W22=6),"",CHOOSE($W22,"1st Email Follow-up","2nd Email Follow-up","Escalate Local Office","Escalate to CBE","Escalate to Roxanne"))</f>
        <v/>
      </c>
    </row>
    <row r="23" spans="18:26">
      <c r="R23" s="15"/>
      <c r="S23" s="16"/>
      <c r="T23" s="17">
        <f>IF(AND(COUNTA($A23:$K23)=0,$L23=""),"",IF($S23="Paid","PAID",IF($S23="Closed","CLOSED",IF($W23="","",IF($W23=6,"ESCALATED TO ROXANNE",IF(TODAY()&gt;$Y23,"OVERDUE",IF($Y23&lt;=WORKDAY(TODAY(),1,Holidays),"DUE TOMORROW",IF($W23=4,"ESCALATED TO LOCAL OFFICE",IF($W23=5,"ESCALATED TO CBE",IF($X23=TODAY(),"EMAIL SENT","MONITORING"))))))))))</f>
        <v/>
      </c>
      <c r="U23" s="17">
        <f>IF($T23="",IF(AND(COUNTA($A23:$K23)&gt;0,$L23=""),"Awaiting Collection Email time stamp.",""),IF(OR($T23="PAID",$T23="CLOSED"),IF($T23="PAID","Account paid. Action completed.","Account closed. No further action required."),CHOOSE($W23,"Collection Email","1st Email Follow-up","2nd Email Follow-up","Escalation to Local Office","Escalation to CBE","Escalation to Roxanne")&amp;" sent "&amp;TEXT($X23,"dd-mmm")&amp;". "&amp;IF($W23=6,"Final escalation completed.",IF($T23="OVERDUE","Next: "&amp;$Z23&amp;" was due "&amp;TEXT($Y23,"dd-mmm")&amp;" - "&amp;(NETWORKDAYS($Y23,TODAY(),Holidays)-1)&amp;" business day(s) late. Send now.",IF($T23="DUE TOMORROW","Next: "&amp;$Z23&amp;IF($Y23&lt;=TODAY()," is due TODAY ("," is due next business day (")&amp;TEXT($Y23,"dd-mmm")&amp;").","Next: "&amp;$Z23&amp;" due "&amp;TEXT($Y23,"dd-mmm")&amp;" ("&amp;(NETWORKDAYS(TODAY(),$Y23,Holidays)-1)&amp;" business day(s) left).")))))</f>
        <v/>
      </c>
      <c r="V23" s="17">
        <f>IF($W23="","",CHOOSE($W23,"Collection Email","1st Follow-up","2nd Follow-up","Local Office","CBE","Roxanne")&amp;IF($W23=6," - Final"," - Day "&amp;MAX(0,NETWORKDAYS($X23,TODAY(),Holidays)-1)&amp;" of "&amp;CHOOSE($W23,3,3,2,2,3))&amp;" | Total Day "&amp;MAX(0,NETWORKDAYS($L23,TODAY(),Holidays)-1))</f>
        <v/>
      </c>
      <c r="W23" s="17">
        <f>IF($L23="","",COUNT($L23:$Q23))</f>
        <v/>
      </c>
      <c r="X23" s="18">
        <f>IF($W23="","",INT(INDEX($L23:$Q23,$W23)))</f>
        <v/>
      </c>
      <c r="Y23" s="18">
        <f>IF(OR($W23="",$W23=6),"",WORKDAY($X23,CHOOSE($W23,3,3,2,2,3),Holidays))</f>
        <v/>
      </c>
      <c r="Z23" s="17">
        <f>IF(OR($W23="",$W23=6),"",CHOOSE($W23,"1st Email Follow-up","2nd Email Follow-up","Escalate Local Office","Escalate to CBE","Escalate to Roxanne"))</f>
        <v/>
      </c>
    </row>
    <row r="24" spans="18:26">
      <c r="R24" s="15"/>
      <c r="S24" s="16"/>
      <c r="T24" s="17">
        <f>IF(AND(COUNTA($A24:$K24)=0,$L24=""),"",IF($S24="Paid","PAID",IF($S24="Closed","CLOSED",IF($W24="","",IF($W24=6,"ESCALATED TO ROXANNE",IF(TODAY()&gt;$Y24,"OVERDUE",IF($Y24&lt;=WORKDAY(TODAY(),1,Holidays),"DUE TOMORROW",IF($W24=4,"ESCALATED TO LOCAL OFFICE",IF($W24=5,"ESCALATED TO CBE",IF($X24=TODAY(),"EMAIL SENT","MONITORING"))))))))))</f>
        <v/>
      </c>
      <c r="U24" s="17">
        <f>IF($T24="",IF(AND(COUNTA($A24:$K24)&gt;0,$L24=""),"Awaiting Collection Email time stamp.",""),IF(OR($T24="PAID",$T24="CLOSED"),IF($T24="PAID","Account paid. Action completed.","Account closed. No further action required."),CHOOSE($W24,"Collection Email","1st Email Follow-up","2nd Email Follow-up","Escalation to Local Office","Escalation to CBE","Escalation to Roxanne")&amp;" sent "&amp;TEXT($X24,"dd-mmm")&amp;". "&amp;IF($W24=6,"Final escalation completed.",IF($T24="OVERDUE","Next: "&amp;$Z24&amp;" was due "&amp;TEXT($Y24,"dd-mmm")&amp;" - "&amp;(NETWORKDAYS($Y24,TODAY(),Holidays)-1)&amp;" business day(s) late. Send now.",IF($T24="DUE TOMORROW","Next: "&amp;$Z24&amp;IF($Y24&lt;=TODAY()," is due TODAY ("," is due next business day (")&amp;TEXT($Y24,"dd-mmm")&amp;").","Next: "&amp;$Z24&amp;" due "&amp;TEXT($Y24,"dd-mmm")&amp;" ("&amp;(NETWORKDAYS(TODAY(),$Y24,Holidays)-1)&amp;" business day(s) left).")))))</f>
        <v/>
      </c>
      <c r="V24" s="17">
        <f>IF($W24="","",CHOOSE($W24,"Collection Email","1st Follow-up","2nd Follow-up","Local Office","CBE","Roxanne")&amp;IF($W24=6," - Final"," - Day "&amp;MAX(0,NETWORKDAYS($X24,TODAY(),Holidays)-1)&amp;" of "&amp;CHOOSE($W24,3,3,2,2,3))&amp;" | Total Day "&amp;MAX(0,NETWORKDAYS($L24,TODAY(),Holidays)-1))</f>
        <v/>
      </c>
      <c r="W24" s="17">
        <f>IF($L24="","",COUNT($L24:$Q24))</f>
        <v/>
      </c>
      <c r="X24" s="18">
        <f>IF($W24="","",INT(INDEX($L24:$Q24,$W24)))</f>
        <v/>
      </c>
      <c r="Y24" s="18">
        <f>IF(OR($W24="",$W24=6),"",WORKDAY($X24,CHOOSE($W24,3,3,2,2,3),Holidays))</f>
        <v/>
      </c>
      <c r="Z24" s="17">
        <f>IF(OR($W24="",$W24=6),"",CHOOSE($W24,"1st Email Follow-up","2nd Email Follow-up","Escalate Local Office","Escalate to CBE","Escalate to Roxanne"))</f>
        <v/>
      </c>
    </row>
    <row r="25" spans="18:26">
      <c r="R25" s="15"/>
      <c r="S25" s="16"/>
      <c r="T25" s="17">
        <f>IF(AND(COUNTA($A25:$K25)=0,$L25=""),"",IF($S25="Paid","PAID",IF($S25="Closed","CLOSED",IF($W25="","",IF($W25=6,"ESCALATED TO ROXANNE",IF(TODAY()&gt;$Y25,"OVERDUE",IF($Y25&lt;=WORKDAY(TODAY(),1,Holidays),"DUE TOMORROW",IF($W25=4,"ESCALATED TO LOCAL OFFICE",IF($W25=5,"ESCALATED TO CBE",IF($X25=TODAY(),"EMAIL SENT","MONITORING"))))))))))</f>
        <v/>
      </c>
      <c r="U25" s="17">
        <f>IF($T25="",IF(AND(COUNTA($A25:$K25)&gt;0,$L25=""),"Awaiting Collection Email time stamp.",""),IF(OR($T25="PAID",$T25="CLOSED"),IF($T25="PAID","Account paid. Action completed.","Account closed. No further action required."),CHOOSE($W25,"Collection Email","1st Email Follow-up","2nd Email Follow-up","Escalation to Local Office","Escalation to CBE","Escalation to Roxanne")&amp;" sent "&amp;TEXT($X25,"dd-mmm")&amp;". "&amp;IF($W25=6,"Final escalation completed.",IF($T25="OVERDUE","Next: "&amp;$Z25&amp;" was due "&amp;TEXT($Y25,"dd-mmm")&amp;" - "&amp;(NETWORKDAYS($Y25,TODAY(),Holidays)-1)&amp;" business day(s) late. Send now.",IF($T25="DUE TOMORROW","Next: "&amp;$Z25&amp;IF($Y25&lt;=TODAY()," is due TODAY ("," is due next business day (")&amp;TEXT($Y25,"dd-mmm")&amp;").","Next: "&amp;$Z25&amp;" due "&amp;TEXT($Y25,"dd-mmm")&amp;" ("&amp;(NETWORKDAYS(TODAY(),$Y25,Holidays)-1)&amp;" business day(s) left).")))))</f>
        <v/>
      </c>
      <c r="V25" s="17">
        <f>IF($W25="","",CHOOSE($W25,"Collection Email","1st Follow-up","2nd Follow-up","Local Office","CBE","Roxanne")&amp;IF($W25=6," - Final"," - Day "&amp;MAX(0,NETWORKDAYS($X25,TODAY(),Holidays)-1)&amp;" of "&amp;CHOOSE($W25,3,3,2,2,3))&amp;" | Total Day "&amp;MAX(0,NETWORKDAYS($L25,TODAY(),Holidays)-1))</f>
        <v/>
      </c>
      <c r="W25" s="17">
        <f>IF($L25="","",COUNT($L25:$Q25))</f>
        <v/>
      </c>
      <c r="X25" s="18">
        <f>IF($W25="","",INT(INDEX($L25:$Q25,$W25)))</f>
        <v/>
      </c>
      <c r="Y25" s="18">
        <f>IF(OR($W25="",$W25=6),"",WORKDAY($X25,CHOOSE($W25,3,3,2,2,3),Holidays))</f>
        <v/>
      </c>
      <c r="Z25" s="17">
        <f>IF(OR($W25="",$W25=6),"",CHOOSE($W25,"1st Email Follow-up","2nd Email Follow-up","Escalate Local Office","Escalate to CBE","Escalate to Roxanne"))</f>
        <v/>
      </c>
    </row>
    <row r="26" spans="18:26">
      <c r="R26" s="15"/>
      <c r="S26" s="16"/>
      <c r="T26" s="17">
        <f>IF(AND(COUNTA($A26:$K26)=0,$L26=""),"",IF($S26="Paid","PAID",IF($S26="Closed","CLOSED",IF($W26="","",IF($W26=6,"ESCALATED TO ROXANNE",IF(TODAY()&gt;$Y26,"OVERDUE",IF($Y26&lt;=WORKDAY(TODAY(),1,Holidays),"DUE TOMORROW",IF($W26=4,"ESCALATED TO LOCAL OFFICE",IF($W26=5,"ESCALATED TO CBE",IF($X26=TODAY(),"EMAIL SENT","MONITORING"))))))))))</f>
        <v/>
      </c>
      <c r="U26" s="17">
        <f>IF($T26="",IF(AND(COUNTA($A26:$K26)&gt;0,$L26=""),"Awaiting Collection Email time stamp.",""),IF(OR($T26="PAID",$T26="CLOSED"),IF($T26="PAID","Account paid. Action completed.","Account closed. No further action required."),CHOOSE($W26,"Collection Email","1st Email Follow-up","2nd Email Follow-up","Escalation to Local Office","Escalation to CBE","Escalation to Roxanne")&amp;" sent "&amp;TEXT($X26,"dd-mmm")&amp;". "&amp;IF($W26=6,"Final escalation completed.",IF($T26="OVERDUE","Next: "&amp;$Z26&amp;" was due "&amp;TEXT($Y26,"dd-mmm")&amp;" - "&amp;(NETWORKDAYS($Y26,TODAY(),Holidays)-1)&amp;" business day(s) late. Send now.",IF($T26="DUE TOMORROW","Next: "&amp;$Z26&amp;IF($Y26&lt;=TODAY()," is due TODAY ("," is due next business day (")&amp;TEXT($Y26,"dd-mmm")&amp;").","Next: "&amp;$Z26&amp;" due "&amp;TEXT($Y26,"dd-mmm")&amp;" ("&amp;(NETWORKDAYS(TODAY(),$Y26,Holidays)-1)&amp;" business day(s) left).")))))</f>
        <v/>
      </c>
      <c r="V26" s="17">
        <f>IF($W26="","",CHOOSE($W26,"Collection Email","1st Follow-up","2nd Follow-up","Local Office","CBE","Roxanne")&amp;IF($W26=6," - Final"," - Day "&amp;MAX(0,NETWORKDAYS($X26,TODAY(),Holidays)-1)&amp;" of "&amp;CHOOSE($W26,3,3,2,2,3))&amp;" | Total Day "&amp;MAX(0,NETWORKDAYS($L26,TODAY(),Holidays)-1))</f>
        <v/>
      </c>
      <c r="W26" s="17">
        <f>IF($L26="","",COUNT($L26:$Q26))</f>
        <v/>
      </c>
      <c r="X26" s="18">
        <f>IF($W26="","",INT(INDEX($L26:$Q26,$W26)))</f>
        <v/>
      </c>
      <c r="Y26" s="18">
        <f>IF(OR($W26="",$W26=6),"",WORKDAY($X26,CHOOSE($W26,3,3,2,2,3),Holidays))</f>
        <v/>
      </c>
      <c r="Z26" s="17">
        <f>IF(OR($W26="",$W26=6),"",CHOOSE($W26,"1st Email Follow-up","2nd Email Follow-up","Escalate Local Office","Escalate to CBE","Escalate to Roxanne"))</f>
        <v/>
      </c>
    </row>
    <row r="27" spans="18:26">
      <c r="R27" s="15"/>
      <c r="S27" s="16"/>
      <c r="T27" s="17">
        <f>IF(AND(COUNTA($A27:$K27)=0,$L27=""),"",IF($S27="Paid","PAID",IF($S27="Closed","CLOSED",IF($W27="","",IF($W27=6,"ESCALATED TO ROXANNE",IF(TODAY()&gt;$Y27,"OVERDUE",IF($Y27&lt;=WORKDAY(TODAY(),1,Holidays),"DUE TOMORROW",IF($W27=4,"ESCALATED TO LOCAL OFFICE",IF($W27=5,"ESCALATED TO CBE",IF($X27=TODAY(),"EMAIL SENT","MONITORING"))))))))))</f>
        <v/>
      </c>
      <c r="U27" s="17">
        <f>IF($T27="",IF(AND(COUNTA($A27:$K27)&gt;0,$L27=""),"Awaiting Collection Email time stamp.",""),IF(OR($T27="PAID",$T27="CLOSED"),IF($T27="PAID","Account paid. Action completed.","Account closed. No further action required."),CHOOSE($W27,"Collection Email","1st Email Follow-up","2nd Email Follow-up","Escalation to Local Office","Escalation to CBE","Escalation to Roxanne")&amp;" sent "&amp;TEXT($X27,"dd-mmm")&amp;". "&amp;IF($W27=6,"Final escalation completed.",IF($T27="OVERDUE","Next: "&amp;$Z27&amp;" was due "&amp;TEXT($Y27,"dd-mmm")&amp;" - "&amp;(NETWORKDAYS($Y27,TODAY(),Holidays)-1)&amp;" business day(s) late. Send now.",IF($T27="DUE TOMORROW","Next: "&amp;$Z27&amp;IF($Y27&lt;=TODAY()," is due TODAY ("," is due next business day (")&amp;TEXT($Y27,"dd-mmm")&amp;").","Next: "&amp;$Z27&amp;" due "&amp;TEXT($Y27,"dd-mmm")&amp;" ("&amp;(NETWORKDAYS(TODAY(),$Y27,Holidays)-1)&amp;" business day(s) left).")))))</f>
        <v/>
      </c>
      <c r="V27" s="17">
        <f>IF($W27="","",CHOOSE($W27,"Collection Email","1st Follow-up","2nd Follow-up","Local Office","CBE","Roxanne")&amp;IF($W27=6," - Final"," - Day "&amp;MAX(0,NETWORKDAYS($X27,TODAY(),Holidays)-1)&amp;" of "&amp;CHOOSE($W27,3,3,2,2,3))&amp;" | Total Day "&amp;MAX(0,NETWORKDAYS($L27,TODAY(),Holidays)-1))</f>
        <v/>
      </c>
      <c r="W27" s="17">
        <f>IF($L27="","",COUNT($L27:$Q27))</f>
        <v/>
      </c>
      <c r="X27" s="18">
        <f>IF($W27="","",INT(INDEX($L27:$Q27,$W27)))</f>
        <v/>
      </c>
      <c r="Y27" s="18">
        <f>IF(OR($W27="",$W27=6),"",WORKDAY($X27,CHOOSE($W27,3,3,2,2,3),Holidays))</f>
        <v/>
      </c>
      <c r="Z27" s="17">
        <f>IF(OR($W27="",$W27=6),"",CHOOSE($W27,"1st Email Follow-up","2nd Email Follow-up","Escalate Local Office","Escalate to CBE","Escalate to Roxanne"))</f>
        <v/>
      </c>
    </row>
    <row r="28" spans="18:26">
      <c r="R28" s="15"/>
      <c r="S28" s="16"/>
      <c r="T28" s="17">
        <f>IF(AND(COUNTA($A28:$K28)=0,$L28=""),"",IF($S28="Paid","PAID",IF($S28="Closed","CLOSED",IF($W28="","",IF($W28=6,"ESCALATED TO ROXANNE",IF(TODAY()&gt;$Y28,"OVERDUE",IF($Y28&lt;=WORKDAY(TODAY(),1,Holidays),"DUE TOMORROW",IF($W28=4,"ESCALATED TO LOCAL OFFICE",IF($W28=5,"ESCALATED TO CBE",IF($X28=TODAY(),"EMAIL SENT","MONITORING"))))))))))</f>
        <v/>
      </c>
      <c r="U28" s="17">
        <f>IF($T28="",IF(AND(COUNTA($A28:$K28)&gt;0,$L28=""),"Awaiting Collection Email time stamp.",""),IF(OR($T28="PAID",$T28="CLOSED"),IF($T28="PAID","Account paid. Action completed.","Account closed. No further action required."),CHOOSE($W28,"Collection Email","1st Email Follow-up","2nd Email Follow-up","Escalation to Local Office","Escalation to CBE","Escalation to Roxanne")&amp;" sent "&amp;TEXT($X28,"dd-mmm")&amp;". "&amp;IF($W28=6,"Final escalation completed.",IF($T28="OVERDUE","Next: "&amp;$Z28&amp;" was due "&amp;TEXT($Y28,"dd-mmm")&amp;" - "&amp;(NETWORKDAYS($Y28,TODAY(),Holidays)-1)&amp;" business day(s) late. Send now.",IF($T28="DUE TOMORROW","Next: "&amp;$Z28&amp;IF($Y28&lt;=TODAY()," is due TODAY ("," is due next business day (")&amp;TEXT($Y28,"dd-mmm")&amp;").","Next: "&amp;$Z28&amp;" due "&amp;TEXT($Y28,"dd-mmm")&amp;" ("&amp;(NETWORKDAYS(TODAY(),$Y28,Holidays)-1)&amp;" business day(s) left).")))))</f>
        <v/>
      </c>
      <c r="V28" s="17">
        <f>IF($W28="","",CHOOSE($W28,"Collection Email","1st Follow-up","2nd Follow-up","Local Office","CBE","Roxanne")&amp;IF($W28=6," - Final"," - Day "&amp;MAX(0,NETWORKDAYS($X28,TODAY(),Holidays)-1)&amp;" of "&amp;CHOOSE($W28,3,3,2,2,3))&amp;" | Total Day "&amp;MAX(0,NETWORKDAYS($L28,TODAY(),Holidays)-1))</f>
        <v/>
      </c>
      <c r="W28" s="17">
        <f>IF($L28="","",COUNT($L28:$Q28))</f>
        <v/>
      </c>
      <c r="X28" s="18">
        <f>IF($W28="","",INT(INDEX($L28:$Q28,$W28)))</f>
        <v/>
      </c>
      <c r="Y28" s="18">
        <f>IF(OR($W28="",$W28=6),"",WORKDAY($X28,CHOOSE($W28,3,3,2,2,3),Holidays))</f>
        <v/>
      </c>
      <c r="Z28" s="17">
        <f>IF(OR($W28="",$W28=6),"",CHOOSE($W28,"1st Email Follow-up","2nd Email Follow-up","Escalate Local Office","Escalate to CBE","Escalate to Roxanne"))</f>
        <v/>
      </c>
    </row>
    <row r="29" spans="18:26">
      <c r="R29" s="15"/>
      <c r="S29" s="16"/>
      <c r="T29" s="17">
        <f>IF(AND(COUNTA($A29:$K29)=0,$L29=""),"",IF($S29="Paid","PAID",IF($S29="Closed","CLOSED",IF($W29="","",IF($W29=6,"ESCALATED TO ROXANNE",IF(TODAY()&gt;$Y29,"OVERDUE",IF($Y29&lt;=WORKDAY(TODAY(),1,Holidays),"DUE TOMORROW",IF($W29=4,"ESCALATED TO LOCAL OFFICE",IF($W29=5,"ESCALATED TO CBE",IF($X29=TODAY(),"EMAIL SENT","MONITORING"))))))))))</f>
        <v/>
      </c>
      <c r="U29" s="17">
        <f>IF($T29="",IF(AND(COUNTA($A29:$K29)&gt;0,$L29=""),"Awaiting Collection Email time stamp.",""),IF(OR($T29="PAID",$T29="CLOSED"),IF($T29="PAID","Account paid. Action completed.","Account closed. No further action required."),CHOOSE($W29,"Collection Email","1st Email Follow-up","2nd Email Follow-up","Escalation to Local Office","Escalation to CBE","Escalation to Roxanne")&amp;" sent "&amp;TEXT($X29,"dd-mmm")&amp;". "&amp;IF($W29=6,"Final escalation completed.",IF($T29="OVERDUE","Next: "&amp;$Z29&amp;" was due "&amp;TEXT($Y29,"dd-mmm")&amp;" - "&amp;(NETWORKDAYS($Y29,TODAY(),Holidays)-1)&amp;" business day(s) late. Send now.",IF($T29="DUE TOMORROW","Next: "&amp;$Z29&amp;IF($Y29&lt;=TODAY()," is due TODAY ("," is due next business day (")&amp;TEXT($Y29,"dd-mmm")&amp;").","Next: "&amp;$Z29&amp;" due "&amp;TEXT($Y29,"dd-mmm")&amp;" ("&amp;(NETWORKDAYS(TODAY(),$Y29,Holidays)-1)&amp;" business day(s) left).")))))</f>
        <v/>
      </c>
      <c r="V29" s="17">
        <f>IF($W29="","",CHOOSE($W29,"Collection Email","1st Follow-up","2nd Follow-up","Local Office","CBE","Roxanne")&amp;IF($W29=6," - Final"," - Day "&amp;MAX(0,NETWORKDAYS($X29,TODAY(),Holidays)-1)&amp;" of "&amp;CHOOSE($W29,3,3,2,2,3))&amp;" | Total Day "&amp;MAX(0,NETWORKDAYS($L29,TODAY(),Holidays)-1))</f>
        <v/>
      </c>
      <c r="W29" s="17">
        <f>IF($L29="","",COUNT($L29:$Q29))</f>
        <v/>
      </c>
      <c r="X29" s="18">
        <f>IF($W29="","",INT(INDEX($L29:$Q29,$W29)))</f>
        <v/>
      </c>
      <c r="Y29" s="18">
        <f>IF(OR($W29="",$W29=6),"",WORKDAY($X29,CHOOSE($W29,3,3,2,2,3),Holidays))</f>
        <v/>
      </c>
      <c r="Z29" s="17">
        <f>IF(OR($W29="",$W29=6),"",CHOOSE($W29,"1st Email Follow-up","2nd Email Follow-up","Escalate Local Office","Escalate to CBE","Escalate to Roxanne"))</f>
        <v/>
      </c>
    </row>
    <row r="30" spans="18:26">
      <c r="R30" s="15"/>
      <c r="S30" s="16"/>
      <c r="T30" s="17">
        <f>IF(AND(COUNTA($A30:$K30)=0,$L30=""),"",IF($S30="Paid","PAID",IF($S30="Closed","CLOSED",IF($W30="","",IF($W30=6,"ESCALATED TO ROXANNE",IF(TODAY()&gt;$Y30,"OVERDUE",IF($Y30&lt;=WORKDAY(TODAY(),1,Holidays),"DUE TOMORROW",IF($W30=4,"ESCALATED TO LOCAL OFFICE",IF($W30=5,"ESCALATED TO CBE",IF($X30=TODAY(),"EMAIL SENT","MONITORING"))))))))))</f>
        <v/>
      </c>
      <c r="U30" s="17">
        <f>IF($T30="",IF(AND(COUNTA($A30:$K30)&gt;0,$L30=""),"Awaiting Collection Email time stamp.",""),IF(OR($T30="PAID",$T30="CLOSED"),IF($T30="PAID","Account paid. Action completed.","Account closed. No further action required."),CHOOSE($W30,"Collection Email","1st Email Follow-up","2nd Email Follow-up","Escalation to Local Office","Escalation to CBE","Escalation to Roxanne")&amp;" sent "&amp;TEXT($X30,"dd-mmm")&amp;". "&amp;IF($W30=6,"Final escalation completed.",IF($T30="OVERDUE","Next: "&amp;$Z30&amp;" was due "&amp;TEXT($Y30,"dd-mmm")&amp;" - "&amp;(NETWORKDAYS($Y30,TODAY(),Holidays)-1)&amp;" business day(s) late. Send now.",IF($T30="DUE TOMORROW","Next: "&amp;$Z30&amp;IF($Y30&lt;=TODAY()," is due TODAY ("," is due next business day (")&amp;TEXT($Y30,"dd-mmm")&amp;").","Next: "&amp;$Z30&amp;" due "&amp;TEXT($Y30,"dd-mmm")&amp;" ("&amp;(NETWORKDAYS(TODAY(),$Y30,Holidays)-1)&amp;" business day(s) left).")))))</f>
        <v/>
      </c>
      <c r="V30" s="17">
        <f>IF($W30="","",CHOOSE($W30,"Collection Email","1st Follow-up","2nd Follow-up","Local Office","CBE","Roxanne")&amp;IF($W30=6," - Final"," - Day "&amp;MAX(0,NETWORKDAYS($X30,TODAY(),Holidays)-1)&amp;" of "&amp;CHOOSE($W30,3,3,2,2,3))&amp;" | Total Day "&amp;MAX(0,NETWORKDAYS($L30,TODAY(),Holidays)-1))</f>
        <v/>
      </c>
      <c r="W30" s="17">
        <f>IF($L30="","",COUNT($L30:$Q30))</f>
        <v/>
      </c>
      <c r="X30" s="18">
        <f>IF($W30="","",INT(INDEX($L30:$Q30,$W30)))</f>
        <v/>
      </c>
      <c r="Y30" s="18">
        <f>IF(OR($W30="",$W30=6),"",WORKDAY($X30,CHOOSE($W30,3,3,2,2,3),Holidays))</f>
        <v/>
      </c>
      <c r="Z30" s="17">
        <f>IF(OR($W30="",$W30=6),"",CHOOSE($W30,"1st Email Follow-up","2nd Email Follow-up","Escalate Local Office","Escalate to CBE","Escalate to Roxanne"))</f>
        <v/>
      </c>
    </row>
    <row r="31" spans="18:26">
      <c r="R31" s="15"/>
      <c r="S31" s="16"/>
      <c r="T31" s="17">
        <f>IF(AND(COUNTA($A31:$K31)=0,$L31=""),"",IF($S31="Paid","PAID",IF($S31="Closed","CLOSED",IF($W31="","",IF($W31=6,"ESCALATED TO ROXANNE",IF(TODAY()&gt;$Y31,"OVERDUE",IF($Y31&lt;=WORKDAY(TODAY(),1,Holidays),"DUE TOMORROW",IF($W31=4,"ESCALATED TO LOCAL OFFICE",IF($W31=5,"ESCALATED TO CBE",IF($X31=TODAY(),"EMAIL SENT","MONITORING"))))))))))</f>
        <v/>
      </c>
      <c r="U31" s="17">
        <f>IF($T31="",IF(AND(COUNTA($A31:$K31)&gt;0,$L31=""),"Awaiting Collection Email time stamp.",""),IF(OR($T31="PAID",$T31="CLOSED"),IF($T31="PAID","Account paid. Action completed.","Account closed. No further action required."),CHOOSE($W31,"Collection Email","1st Email Follow-up","2nd Email Follow-up","Escalation to Local Office","Escalation to CBE","Escalation to Roxanne")&amp;" sent "&amp;TEXT($X31,"dd-mmm")&amp;". "&amp;IF($W31=6,"Final escalation completed.",IF($T31="OVERDUE","Next: "&amp;$Z31&amp;" was due "&amp;TEXT($Y31,"dd-mmm")&amp;" - "&amp;(NETWORKDAYS($Y31,TODAY(),Holidays)-1)&amp;" business day(s) late. Send now.",IF($T31="DUE TOMORROW","Next: "&amp;$Z31&amp;IF($Y31&lt;=TODAY()," is due TODAY ("," is due next business day (")&amp;TEXT($Y31,"dd-mmm")&amp;").","Next: "&amp;$Z31&amp;" due "&amp;TEXT($Y31,"dd-mmm")&amp;" ("&amp;(NETWORKDAYS(TODAY(),$Y31,Holidays)-1)&amp;" business day(s) left).")))))</f>
        <v/>
      </c>
      <c r="V31" s="17">
        <f>IF($W31="","",CHOOSE($W31,"Collection Email","1st Follow-up","2nd Follow-up","Local Office","CBE","Roxanne")&amp;IF($W31=6," - Final"," - Day "&amp;MAX(0,NETWORKDAYS($X31,TODAY(),Holidays)-1)&amp;" of "&amp;CHOOSE($W31,3,3,2,2,3))&amp;" | Total Day "&amp;MAX(0,NETWORKDAYS($L31,TODAY(),Holidays)-1))</f>
        <v/>
      </c>
      <c r="W31" s="17">
        <f>IF($L31="","",COUNT($L31:$Q31))</f>
        <v/>
      </c>
      <c r="X31" s="18">
        <f>IF($W31="","",INT(INDEX($L31:$Q31,$W31)))</f>
        <v/>
      </c>
      <c r="Y31" s="18">
        <f>IF(OR($W31="",$W31=6),"",WORKDAY($X31,CHOOSE($W31,3,3,2,2,3),Holidays))</f>
        <v/>
      </c>
      <c r="Z31" s="17">
        <f>IF(OR($W31="",$W31=6),"",CHOOSE($W31,"1st Email Follow-up","2nd Email Follow-up","Escalate Local Office","Escalate to CBE","Escalate to Roxanne"))</f>
        <v/>
      </c>
    </row>
    <row r="32" spans="18:26">
      <c r="R32" s="15"/>
      <c r="S32" s="16"/>
      <c r="T32" s="17">
        <f>IF(AND(COUNTA($A32:$K32)=0,$L32=""),"",IF($S32="Paid","PAID",IF($S32="Closed","CLOSED",IF($W32="","",IF($W32=6,"ESCALATED TO ROXANNE",IF(TODAY()&gt;$Y32,"OVERDUE",IF($Y32&lt;=WORKDAY(TODAY(),1,Holidays),"DUE TOMORROW",IF($W32=4,"ESCALATED TO LOCAL OFFICE",IF($W32=5,"ESCALATED TO CBE",IF($X32=TODAY(),"EMAIL SENT","MONITORING"))))))))))</f>
        <v/>
      </c>
      <c r="U32" s="17">
        <f>IF($T32="",IF(AND(COUNTA($A32:$K32)&gt;0,$L32=""),"Awaiting Collection Email time stamp.",""),IF(OR($T32="PAID",$T32="CLOSED"),IF($T32="PAID","Account paid. Action completed.","Account closed. No further action required."),CHOOSE($W32,"Collection Email","1st Email Follow-up","2nd Email Follow-up","Escalation to Local Office","Escalation to CBE","Escalation to Roxanne")&amp;" sent "&amp;TEXT($X32,"dd-mmm")&amp;". "&amp;IF($W32=6,"Final escalation completed.",IF($T32="OVERDUE","Next: "&amp;$Z32&amp;" was due "&amp;TEXT($Y32,"dd-mmm")&amp;" - "&amp;(NETWORKDAYS($Y32,TODAY(),Holidays)-1)&amp;" business day(s) late. Send now.",IF($T32="DUE TOMORROW","Next: "&amp;$Z32&amp;IF($Y32&lt;=TODAY()," is due TODAY ("," is due next business day (")&amp;TEXT($Y32,"dd-mmm")&amp;").","Next: "&amp;$Z32&amp;" due "&amp;TEXT($Y32,"dd-mmm")&amp;" ("&amp;(NETWORKDAYS(TODAY(),$Y32,Holidays)-1)&amp;" business day(s) left).")))))</f>
        <v/>
      </c>
      <c r="V32" s="17">
        <f>IF($W32="","",CHOOSE($W32,"Collection Email","1st Follow-up","2nd Follow-up","Local Office","CBE","Roxanne")&amp;IF($W32=6," - Final"," - Day "&amp;MAX(0,NETWORKDAYS($X32,TODAY(),Holidays)-1)&amp;" of "&amp;CHOOSE($W32,3,3,2,2,3))&amp;" | Total Day "&amp;MAX(0,NETWORKDAYS($L32,TODAY(),Holidays)-1))</f>
        <v/>
      </c>
      <c r="W32" s="17">
        <f>IF($L32="","",COUNT($L32:$Q32))</f>
        <v/>
      </c>
      <c r="X32" s="18">
        <f>IF($W32="","",INT(INDEX($L32:$Q32,$W32)))</f>
        <v/>
      </c>
      <c r="Y32" s="18">
        <f>IF(OR($W32="",$W32=6),"",WORKDAY($X32,CHOOSE($W32,3,3,2,2,3),Holidays))</f>
        <v/>
      </c>
      <c r="Z32" s="17">
        <f>IF(OR($W32="",$W32=6),"",CHOOSE($W32,"1st Email Follow-up","2nd Email Follow-up","Escalate Local Office","Escalate to CBE","Escalate to Roxanne"))</f>
        <v/>
      </c>
    </row>
    <row r="33" spans="18:26">
      <c r="R33" s="15"/>
      <c r="S33" s="16"/>
      <c r="T33" s="17">
        <f>IF(AND(COUNTA($A33:$K33)=0,$L33=""),"",IF($S33="Paid","PAID",IF($S33="Closed","CLOSED",IF($W33="","",IF($W33=6,"ESCALATED TO ROXANNE",IF(TODAY()&gt;$Y33,"OVERDUE",IF($Y33&lt;=WORKDAY(TODAY(),1,Holidays),"DUE TOMORROW",IF($W33=4,"ESCALATED TO LOCAL OFFICE",IF($W33=5,"ESCALATED TO CBE",IF($X33=TODAY(),"EMAIL SENT","MONITORING"))))))))))</f>
        <v/>
      </c>
      <c r="U33" s="17">
        <f>IF($T33="",IF(AND(COUNTA($A33:$K33)&gt;0,$L33=""),"Awaiting Collection Email time stamp.",""),IF(OR($T33="PAID",$T33="CLOSED"),IF($T33="PAID","Account paid. Action completed.","Account closed. No further action required."),CHOOSE($W33,"Collection Email","1st Email Follow-up","2nd Email Follow-up","Escalation to Local Office","Escalation to CBE","Escalation to Roxanne")&amp;" sent "&amp;TEXT($X33,"dd-mmm")&amp;". "&amp;IF($W33=6,"Final escalation completed.",IF($T33="OVERDUE","Next: "&amp;$Z33&amp;" was due "&amp;TEXT($Y33,"dd-mmm")&amp;" - "&amp;(NETWORKDAYS($Y33,TODAY(),Holidays)-1)&amp;" business day(s) late. Send now.",IF($T33="DUE TOMORROW","Next: "&amp;$Z33&amp;IF($Y33&lt;=TODAY()," is due TODAY ("," is due next business day (")&amp;TEXT($Y33,"dd-mmm")&amp;").","Next: "&amp;$Z33&amp;" due "&amp;TEXT($Y33,"dd-mmm")&amp;" ("&amp;(NETWORKDAYS(TODAY(),$Y33,Holidays)-1)&amp;" business day(s) left).")))))</f>
        <v/>
      </c>
      <c r="V33" s="17">
        <f>IF($W33="","",CHOOSE($W33,"Collection Email","1st Follow-up","2nd Follow-up","Local Office","CBE","Roxanne")&amp;IF($W33=6," - Final"," - Day "&amp;MAX(0,NETWORKDAYS($X33,TODAY(),Holidays)-1)&amp;" of "&amp;CHOOSE($W33,3,3,2,2,3))&amp;" | Total Day "&amp;MAX(0,NETWORKDAYS($L33,TODAY(),Holidays)-1))</f>
        <v/>
      </c>
      <c r="W33" s="17">
        <f>IF($L33="","",COUNT($L33:$Q33))</f>
        <v/>
      </c>
      <c r="X33" s="18">
        <f>IF($W33="","",INT(INDEX($L33:$Q33,$W33)))</f>
        <v/>
      </c>
      <c r="Y33" s="18">
        <f>IF(OR($W33="",$W33=6),"",WORKDAY($X33,CHOOSE($W33,3,3,2,2,3),Holidays))</f>
        <v/>
      </c>
      <c r="Z33" s="17">
        <f>IF(OR($W33="",$W33=6),"",CHOOSE($W33,"1st Email Follow-up","2nd Email Follow-up","Escalate Local Office","Escalate to CBE","Escalate to Roxanne"))</f>
        <v/>
      </c>
    </row>
    <row r="34" spans="18:26">
      <c r="R34" s="15"/>
      <c r="S34" s="16"/>
      <c r="T34" s="17">
        <f>IF(AND(COUNTA($A34:$K34)=0,$L34=""),"",IF($S34="Paid","PAID",IF($S34="Closed","CLOSED",IF($W34="","",IF($W34=6,"ESCALATED TO ROXANNE",IF(TODAY()&gt;$Y34,"OVERDUE",IF($Y34&lt;=WORKDAY(TODAY(),1,Holidays),"DUE TOMORROW",IF($W34=4,"ESCALATED TO LOCAL OFFICE",IF($W34=5,"ESCALATED TO CBE",IF($X34=TODAY(),"EMAIL SENT","MONITORING"))))))))))</f>
        <v/>
      </c>
      <c r="U34" s="17">
        <f>IF($T34="",IF(AND(COUNTA($A34:$K34)&gt;0,$L34=""),"Awaiting Collection Email time stamp.",""),IF(OR($T34="PAID",$T34="CLOSED"),IF($T34="PAID","Account paid. Action completed.","Account closed. No further action required."),CHOOSE($W34,"Collection Email","1st Email Follow-up","2nd Email Follow-up","Escalation to Local Office","Escalation to CBE","Escalation to Roxanne")&amp;" sent "&amp;TEXT($X34,"dd-mmm")&amp;". "&amp;IF($W34=6,"Final escalation completed.",IF($T34="OVERDUE","Next: "&amp;$Z34&amp;" was due "&amp;TEXT($Y34,"dd-mmm")&amp;" - "&amp;(NETWORKDAYS($Y34,TODAY(),Holidays)-1)&amp;" business day(s) late. Send now.",IF($T34="DUE TOMORROW","Next: "&amp;$Z34&amp;IF($Y34&lt;=TODAY()," is due TODAY ("," is due next business day (")&amp;TEXT($Y34,"dd-mmm")&amp;").","Next: "&amp;$Z34&amp;" due "&amp;TEXT($Y34,"dd-mmm")&amp;" ("&amp;(NETWORKDAYS(TODAY(),$Y34,Holidays)-1)&amp;" business day(s) left).")))))</f>
        <v/>
      </c>
      <c r="V34" s="17">
        <f>IF($W34="","",CHOOSE($W34,"Collection Email","1st Follow-up","2nd Follow-up","Local Office","CBE","Roxanne")&amp;IF($W34=6," - Final"," - Day "&amp;MAX(0,NETWORKDAYS($X34,TODAY(),Holidays)-1)&amp;" of "&amp;CHOOSE($W34,3,3,2,2,3))&amp;" | Total Day "&amp;MAX(0,NETWORKDAYS($L34,TODAY(),Holidays)-1))</f>
        <v/>
      </c>
      <c r="W34" s="17">
        <f>IF($L34="","",COUNT($L34:$Q34))</f>
        <v/>
      </c>
      <c r="X34" s="18">
        <f>IF($W34="","",INT(INDEX($L34:$Q34,$W34)))</f>
        <v/>
      </c>
      <c r="Y34" s="18">
        <f>IF(OR($W34="",$W34=6),"",WORKDAY($X34,CHOOSE($W34,3,3,2,2,3),Holidays))</f>
        <v/>
      </c>
      <c r="Z34" s="17">
        <f>IF(OR($W34="",$W34=6),"",CHOOSE($W34,"1st Email Follow-up","2nd Email Follow-up","Escalate Local Office","Escalate to CBE","Escalate to Roxanne"))</f>
        <v/>
      </c>
    </row>
    <row r="35" spans="18:26">
      <c r="R35" s="15"/>
      <c r="S35" s="16"/>
      <c r="T35" s="17">
        <f>IF(AND(COUNTA($A35:$K35)=0,$L35=""),"",IF($S35="Paid","PAID",IF($S35="Closed","CLOSED",IF($W35="","",IF($W35=6,"ESCALATED TO ROXANNE",IF(TODAY()&gt;$Y35,"OVERDUE",IF($Y35&lt;=WORKDAY(TODAY(),1,Holidays),"DUE TOMORROW",IF($W35=4,"ESCALATED TO LOCAL OFFICE",IF($W35=5,"ESCALATED TO CBE",IF($X35=TODAY(),"EMAIL SENT","MONITORING"))))))))))</f>
        <v/>
      </c>
      <c r="U35" s="17">
        <f>IF($T35="",IF(AND(COUNTA($A35:$K35)&gt;0,$L35=""),"Awaiting Collection Email time stamp.",""),IF(OR($T35="PAID",$T35="CLOSED"),IF($T35="PAID","Account paid. Action completed.","Account closed. No further action required."),CHOOSE($W35,"Collection Email","1st Email Follow-up","2nd Email Follow-up","Escalation to Local Office","Escalation to CBE","Escalation to Roxanne")&amp;" sent "&amp;TEXT($X35,"dd-mmm")&amp;". "&amp;IF($W35=6,"Final escalation completed.",IF($T35="OVERDUE","Next: "&amp;$Z35&amp;" was due "&amp;TEXT($Y35,"dd-mmm")&amp;" - "&amp;(NETWORKDAYS($Y35,TODAY(),Holidays)-1)&amp;" business day(s) late. Send now.",IF($T35="DUE TOMORROW","Next: "&amp;$Z35&amp;IF($Y35&lt;=TODAY()," is due TODAY ("," is due next business day (")&amp;TEXT($Y35,"dd-mmm")&amp;").","Next: "&amp;$Z35&amp;" due "&amp;TEXT($Y35,"dd-mmm")&amp;" ("&amp;(NETWORKDAYS(TODAY(),$Y35,Holidays)-1)&amp;" business day(s) left).")))))</f>
        <v/>
      </c>
      <c r="V35" s="17">
        <f>IF($W35="","",CHOOSE($W35,"Collection Email","1st Follow-up","2nd Follow-up","Local Office","CBE","Roxanne")&amp;IF($W35=6," - Final"," - Day "&amp;MAX(0,NETWORKDAYS($X35,TODAY(),Holidays)-1)&amp;" of "&amp;CHOOSE($W35,3,3,2,2,3))&amp;" | Total Day "&amp;MAX(0,NETWORKDAYS($L35,TODAY(),Holidays)-1))</f>
        <v/>
      </c>
      <c r="W35" s="17">
        <f>IF($L35="","",COUNT($L35:$Q35))</f>
        <v/>
      </c>
      <c r="X35" s="18">
        <f>IF($W35="","",INT(INDEX($L35:$Q35,$W35)))</f>
        <v/>
      </c>
      <c r="Y35" s="18">
        <f>IF(OR($W35="",$W35=6),"",WORKDAY($X35,CHOOSE($W35,3,3,2,2,3),Holidays))</f>
        <v/>
      </c>
      <c r="Z35" s="17">
        <f>IF(OR($W35="",$W35=6),"",CHOOSE($W35,"1st Email Follow-up","2nd Email Follow-up","Escalate Local Office","Escalate to CBE","Escalate to Roxanne"))</f>
        <v/>
      </c>
    </row>
    <row r="36" spans="18:26">
      <c r="R36" s="15"/>
      <c r="S36" s="16"/>
      <c r="T36" s="17">
        <f>IF(AND(COUNTA($A36:$K36)=0,$L36=""),"",IF($S36="Paid","PAID",IF($S36="Closed","CLOSED",IF($W36="","",IF($W36=6,"ESCALATED TO ROXANNE",IF(TODAY()&gt;$Y36,"OVERDUE",IF($Y36&lt;=WORKDAY(TODAY(),1,Holidays),"DUE TOMORROW",IF($W36=4,"ESCALATED TO LOCAL OFFICE",IF($W36=5,"ESCALATED TO CBE",IF($X36=TODAY(),"EMAIL SENT","MONITORING"))))))))))</f>
        <v/>
      </c>
      <c r="U36" s="17">
        <f>IF($T36="",IF(AND(COUNTA($A36:$K36)&gt;0,$L36=""),"Awaiting Collection Email time stamp.",""),IF(OR($T36="PAID",$T36="CLOSED"),IF($T36="PAID","Account paid. Action completed.","Account closed. No further action required."),CHOOSE($W36,"Collection Email","1st Email Follow-up","2nd Email Follow-up","Escalation to Local Office","Escalation to CBE","Escalation to Roxanne")&amp;" sent "&amp;TEXT($X36,"dd-mmm")&amp;". "&amp;IF($W36=6,"Final escalation completed.",IF($T36="OVERDUE","Next: "&amp;$Z36&amp;" was due "&amp;TEXT($Y36,"dd-mmm")&amp;" - "&amp;(NETWORKDAYS($Y36,TODAY(),Holidays)-1)&amp;" business day(s) late. Send now.",IF($T36="DUE TOMORROW","Next: "&amp;$Z36&amp;IF($Y36&lt;=TODAY()," is due TODAY ("," is due next business day (")&amp;TEXT($Y36,"dd-mmm")&amp;").","Next: "&amp;$Z36&amp;" due "&amp;TEXT($Y36,"dd-mmm")&amp;" ("&amp;(NETWORKDAYS(TODAY(),$Y36,Holidays)-1)&amp;" business day(s) left).")))))</f>
        <v/>
      </c>
      <c r="V36" s="17">
        <f>IF($W36="","",CHOOSE($W36,"Collection Email","1st Follow-up","2nd Follow-up","Local Office","CBE","Roxanne")&amp;IF($W36=6," - Final"," - Day "&amp;MAX(0,NETWORKDAYS($X36,TODAY(),Holidays)-1)&amp;" of "&amp;CHOOSE($W36,3,3,2,2,3))&amp;" | Total Day "&amp;MAX(0,NETWORKDAYS($L36,TODAY(),Holidays)-1))</f>
        <v/>
      </c>
      <c r="W36" s="17">
        <f>IF($L36="","",COUNT($L36:$Q36))</f>
        <v/>
      </c>
      <c r="X36" s="18">
        <f>IF($W36="","",INT(INDEX($L36:$Q36,$W36)))</f>
        <v/>
      </c>
      <c r="Y36" s="18">
        <f>IF(OR($W36="",$W36=6),"",WORKDAY($X36,CHOOSE($W36,3,3,2,2,3),Holidays))</f>
        <v/>
      </c>
      <c r="Z36" s="17">
        <f>IF(OR($W36="",$W36=6),"",CHOOSE($W36,"1st Email Follow-up","2nd Email Follow-up","Escalate Local Office","Escalate to CBE","Escalate to Roxanne"))</f>
        <v/>
      </c>
    </row>
    <row r="37" spans="18:26">
      <c r="R37" s="15"/>
      <c r="S37" s="16"/>
      <c r="T37" s="17">
        <f>IF(AND(COUNTA($A37:$K37)=0,$L37=""),"",IF($S37="Paid","PAID",IF($S37="Closed","CLOSED",IF($W37="","",IF($W37=6,"ESCALATED TO ROXANNE",IF(TODAY()&gt;$Y37,"OVERDUE",IF($Y37&lt;=WORKDAY(TODAY(),1,Holidays),"DUE TOMORROW",IF($W37=4,"ESCALATED TO LOCAL OFFICE",IF($W37=5,"ESCALATED TO CBE",IF($X37=TODAY(),"EMAIL SENT","MONITORING"))))))))))</f>
        <v/>
      </c>
      <c r="U37" s="17">
        <f>IF($T37="",IF(AND(COUNTA($A37:$K37)&gt;0,$L37=""),"Awaiting Collection Email time stamp.",""),IF(OR($T37="PAID",$T37="CLOSED"),IF($T37="PAID","Account paid. Action completed.","Account closed. No further action required."),CHOOSE($W37,"Collection Email","1st Email Follow-up","2nd Email Follow-up","Escalation to Local Office","Escalation to CBE","Escalation to Roxanne")&amp;" sent "&amp;TEXT($X37,"dd-mmm")&amp;". "&amp;IF($W37=6,"Final escalation completed.",IF($T37="OVERDUE","Next: "&amp;$Z37&amp;" was due "&amp;TEXT($Y37,"dd-mmm")&amp;" - "&amp;(NETWORKDAYS($Y37,TODAY(),Holidays)-1)&amp;" business day(s) late. Send now.",IF($T37="DUE TOMORROW","Next: "&amp;$Z37&amp;IF($Y37&lt;=TODAY()," is due TODAY ("," is due next business day (")&amp;TEXT($Y37,"dd-mmm")&amp;").","Next: "&amp;$Z37&amp;" due "&amp;TEXT($Y37,"dd-mmm")&amp;" ("&amp;(NETWORKDAYS(TODAY(),$Y37,Holidays)-1)&amp;" business day(s) left).")))))</f>
        <v/>
      </c>
      <c r="V37" s="17">
        <f>IF($W37="","",CHOOSE($W37,"Collection Email","1st Follow-up","2nd Follow-up","Local Office","CBE","Roxanne")&amp;IF($W37=6," - Final"," - Day "&amp;MAX(0,NETWORKDAYS($X37,TODAY(),Holidays)-1)&amp;" of "&amp;CHOOSE($W37,3,3,2,2,3))&amp;" | Total Day "&amp;MAX(0,NETWORKDAYS($L37,TODAY(),Holidays)-1))</f>
        <v/>
      </c>
      <c r="W37" s="17">
        <f>IF($L37="","",COUNT($L37:$Q37))</f>
        <v/>
      </c>
      <c r="X37" s="18">
        <f>IF($W37="","",INT(INDEX($L37:$Q37,$W37)))</f>
        <v/>
      </c>
      <c r="Y37" s="18">
        <f>IF(OR($W37="",$W37=6),"",WORKDAY($X37,CHOOSE($W37,3,3,2,2,3),Holidays))</f>
        <v/>
      </c>
      <c r="Z37" s="17">
        <f>IF(OR($W37="",$W37=6),"",CHOOSE($W37,"1st Email Follow-up","2nd Email Follow-up","Escalate Local Office","Escalate to CBE","Escalate to Roxanne"))</f>
        <v/>
      </c>
    </row>
    <row r="38" spans="18:26">
      <c r="R38" s="15"/>
      <c r="S38" s="16"/>
      <c r="T38" s="17">
        <f>IF(AND(COUNTA($A38:$K38)=0,$L38=""),"",IF($S38="Paid","PAID",IF($S38="Closed","CLOSED",IF($W38="","",IF($W38=6,"ESCALATED TO ROXANNE",IF(TODAY()&gt;$Y38,"OVERDUE",IF($Y38&lt;=WORKDAY(TODAY(),1,Holidays),"DUE TOMORROW",IF($W38=4,"ESCALATED TO LOCAL OFFICE",IF($W38=5,"ESCALATED TO CBE",IF($X38=TODAY(),"EMAIL SENT","MONITORING"))))))))))</f>
        <v/>
      </c>
      <c r="U38" s="17">
        <f>IF($T38="",IF(AND(COUNTA($A38:$K38)&gt;0,$L38=""),"Awaiting Collection Email time stamp.",""),IF(OR($T38="PAID",$T38="CLOSED"),IF($T38="PAID","Account paid. Action completed.","Account closed. No further action required."),CHOOSE($W38,"Collection Email","1st Email Follow-up","2nd Email Follow-up","Escalation to Local Office","Escalation to CBE","Escalation to Roxanne")&amp;" sent "&amp;TEXT($X38,"dd-mmm")&amp;". "&amp;IF($W38=6,"Final escalation completed.",IF($T38="OVERDUE","Next: "&amp;$Z38&amp;" was due "&amp;TEXT($Y38,"dd-mmm")&amp;" - "&amp;(NETWORKDAYS($Y38,TODAY(),Holidays)-1)&amp;" business day(s) late. Send now.",IF($T38="DUE TOMORROW","Next: "&amp;$Z38&amp;IF($Y38&lt;=TODAY()," is due TODAY ("," is due next business day (")&amp;TEXT($Y38,"dd-mmm")&amp;").","Next: "&amp;$Z38&amp;" due "&amp;TEXT($Y38,"dd-mmm")&amp;" ("&amp;(NETWORKDAYS(TODAY(),$Y38,Holidays)-1)&amp;" business day(s) left).")))))</f>
        <v/>
      </c>
      <c r="V38" s="17">
        <f>IF($W38="","",CHOOSE($W38,"Collection Email","1st Follow-up","2nd Follow-up","Local Office","CBE","Roxanne")&amp;IF($W38=6," - Final"," - Day "&amp;MAX(0,NETWORKDAYS($X38,TODAY(),Holidays)-1)&amp;" of "&amp;CHOOSE($W38,3,3,2,2,3))&amp;" | Total Day "&amp;MAX(0,NETWORKDAYS($L38,TODAY(),Holidays)-1))</f>
        <v/>
      </c>
      <c r="W38" s="17">
        <f>IF($L38="","",COUNT($L38:$Q38))</f>
        <v/>
      </c>
      <c r="X38" s="18">
        <f>IF($W38="","",INT(INDEX($L38:$Q38,$W38)))</f>
        <v/>
      </c>
      <c r="Y38" s="18">
        <f>IF(OR($W38="",$W38=6),"",WORKDAY($X38,CHOOSE($W38,3,3,2,2,3),Holidays))</f>
        <v/>
      </c>
      <c r="Z38" s="17">
        <f>IF(OR($W38="",$W38=6),"",CHOOSE($W38,"1st Email Follow-up","2nd Email Follow-up","Escalate Local Office","Escalate to CBE","Escalate to Roxanne"))</f>
        <v/>
      </c>
    </row>
    <row r="39" spans="18:26">
      <c r="R39" s="15"/>
      <c r="S39" s="16"/>
      <c r="T39" s="17">
        <f>IF(AND(COUNTA($A39:$K39)=0,$L39=""),"",IF($S39="Paid","PAID",IF($S39="Closed","CLOSED",IF($W39="","",IF($W39=6,"ESCALATED TO ROXANNE",IF(TODAY()&gt;$Y39,"OVERDUE",IF($Y39&lt;=WORKDAY(TODAY(),1,Holidays),"DUE TOMORROW",IF($W39=4,"ESCALATED TO LOCAL OFFICE",IF($W39=5,"ESCALATED TO CBE",IF($X39=TODAY(),"EMAIL SENT","MONITORING"))))))))))</f>
        <v/>
      </c>
      <c r="U39" s="17">
        <f>IF($T39="",IF(AND(COUNTA($A39:$K39)&gt;0,$L39=""),"Awaiting Collection Email time stamp.",""),IF(OR($T39="PAID",$T39="CLOSED"),IF($T39="PAID","Account paid. Action completed.","Account closed. No further action required."),CHOOSE($W39,"Collection Email","1st Email Follow-up","2nd Email Follow-up","Escalation to Local Office","Escalation to CBE","Escalation to Roxanne")&amp;" sent "&amp;TEXT($X39,"dd-mmm")&amp;". "&amp;IF($W39=6,"Final escalation completed.",IF($T39="OVERDUE","Next: "&amp;$Z39&amp;" was due "&amp;TEXT($Y39,"dd-mmm")&amp;" - "&amp;(NETWORKDAYS($Y39,TODAY(),Holidays)-1)&amp;" business day(s) late. Send now.",IF($T39="DUE TOMORROW","Next: "&amp;$Z39&amp;IF($Y39&lt;=TODAY()," is due TODAY ("," is due next business day (")&amp;TEXT($Y39,"dd-mmm")&amp;").","Next: "&amp;$Z39&amp;" due "&amp;TEXT($Y39,"dd-mmm")&amp;" ("&amp;(NETWORKDAYS(TODAY(),$Y39,Holidays)-1)&amp;" business day(s) left).")))))</f>
        <v/>
      </c>
      <c r="V39" s="17">
        <f>IF($W39="","",CHOOSE($W39,"Collection Email","1st Follow-up","2nd Follow-up","Local Office","CBE","Roxanne")&amp;IF($W39=6," - Final"," - Day "&amp;MAX(0,NETWORKDAYS($X39,TODAY(),Holidays)-1)&amp;" of "&amp;CHOOSE($W39,3,3,2,2,3))&amp;" | Total Day "&amp;MAX(0,NETWORKDAYS($L39,TODAY(),Holidays)-1))</f>
        <v/>
      </c>
      <c r="W39" s="17">
        <f>IF($L39="","",COUNT($L39:$Q39))</f>
        <v/>
      </c>
      <c r="X39" s="18">
        <f>IF($W39="","",INT(INDEX($L39:$Q39,$W39)))</f>
        <v/>
      </c>
      <c r="Y39" s="18">
        <f>IF(OR($W39="",$W39=6),"",WORKDAY($X39,CHOOSE($W39,3,3,2,2,3),Holidays))</f>
        <v/>
      </c>
      <c r="Z39" s="17">
        <f>IF(OR($W39="",$W39=6),"",CHOOSE($W39,"1st Email Follow-up","2nd Email Follow-up","Escalate Local Office","Escalate to CBE","Escalate to Roxanne"))</f>
        <v/>
      </c>
    </row>
    <row r="40" spans="18:26">
      <c r="R40" s="15"/>
      <c r="S40" s="16"/>
      <c r="T40" s="17">
        <f>IF(AND(COUNTA($A40:$K40)=0,$L40=""),"",IF($S40="Paid","PAID",IF($S40="Closed","CLOSED",IF($W40="","",IF($W40=6,"ESCALATED TO ROXANNE",IF(TODAY()&gt;$Y40,"OVERDUE",IF($Y40&lt;=WORKDAY(TODAY(),1,Holidays),"DUE TOMORROW",IF($W40=4,"ESCALATED TO LOCAL OFFICE",IF($W40=5,"ESCALATED TO CBE",IF($X40=TODAY(),"EMAIL SENT","MONITORING"))))))))))</f>
        <v/>
      </c>
      <c r="U40" s="17">
        <f>IF($T40="",IF(AND(COUNTA($A40:$K40)&gt;0,$L40=""),"Awaiting Collection Email time stamp.",""),IF(OR($T40="PAID",$T40="CLOSED"),IF($T40="PAID","Account paid. Action completed.","Account closed. No further action required."),CHOOSE($W40,"Collection Email","1st Email Follow-up","2nd Email Follow-up","Escalation to Local Office","Escalation to CBE","Escalation to Roxanne")&amp;" sent "&amp;TEXT($X40,"dd-mmm")&amp;". "&amp;IF($W40=6,"Final escalation completed.",IF($T40="OVERDUE","Next: "&amp;$Z40&amp;" was due "&amp;TEXT($Y40,"dd-mmm")&amp;" - "&amp;(NETWORKDAYS($Y40,TODAY(),Holidays)-1)&amp;" business day(s) late. Send now.",IF($T40="DUE TOMORROW","Next: "&amp;$Z40&amp;IF($Y40&lt;=TODAY()," is due TODAY ("," is due next business day (")&amp;TEXT($Y40,"dd-mmm")&amp;").","Next: "&amp;$Z40&amp;" due "&amp;TEXT($Y40,"dd-mmm")&amp;" ("&amp;(NETWORKDAYS(TODAY(),$Y40,Holidays)-1)&amp;" business day(s) left).")))))</f>
        <v/>
      </c>
      <c r="V40" s="17">
        <f>IF($W40="","",CHOOSE($W40,"Collection Email","1st Follow-up","2nd Follow-up","Local Office","CBE","Roxanne")&amp;IF($W40=6," - Final"," - Day "&amp;MAX(0,NETWORKDAYS($X40,TODAY(),Holidays)-1)&amp;" of "&amp;CHOOSE($W40,3,3,2,2,3))&amp;" | Total Day "&amp;MAX(0,NETWORKDAYS($L40,TODAY(),Holidays)-1))</f>
        <v/>
      </c>
      <c r="W40" s="17">
        <f>IF($L40="","",COUNT($L40:$Q40))</f>
        <v/>
      </c>
      <c r="X40" s="18">
        <f>IF($W40="","",INT(INDEX($L40:$Q40,$W40)))</f>
        <v/>
      </c>
      <c r="Y40" s="18">
        <f>IF(OR($W40="",$W40=6),"",WORKDAY($X40,CHOOSE($W40,3,3,2,2,3),Holidays))</f>
        <v/>
      </c>
      <c r="Z40" s="17">
        <f>IF(OR($W40="",$W40=6),"",CHOOSE($W40,"1st Email Follow-up","2nd Email Follow-up","Escalate Local Office","Escalate to CBE","Escalate to Roxanne"))</f>
        <v/>
      </c>
    </row>
    <row r="41" spans="18:26">
      <c r="R41" s="15"/>
      <c r="S41" s="16"/>
      <c r="T41" s="17">
        <f>IF(AND(COUNTA($A41:$K41)=0,$L41=""),"",IF($S41="Paid","PAID",IF($S41="Closed","CLOSED",IF($W41="","",IF($W41=6,"ESCALATED TO ROXANNE",IF(TODAY()&gt;$Y41,"OVERDUE",IF($Y41&lt;=WORKDAY(TODAY(),1,Holidays),"DUE TOMORROW",IF($W41=4,"ESCALATED TO LOCAL OFFICE",IF($W41=5,"ESCALATED TO CBE",IF($X41=TODAY(),"EMAIL SENT","MONITORING"))))))))))</f>
        <v/>
      </c>
      <c r="U41" s="17">
        <f>IF($T41="",IF(AND(COUNTA($A41:$K41)&gt;0,$L41=""),"Awaiting Collection Email time stamp.",""),IF(OR($T41="PAID",$T41="CLOSED"),IF($T41="PAID","Account paid. Action completed.","Account closed. No further action required."),CHOOSE($W41,"Collection Email","1st Email Follow-up","2nd Email Follow-up","Escalation to Local Office","Escalation to CBE","Escalation to Roxanne")&amp;" sent "&amp;TEXT($X41,"dd-mmm")&amp;". "&amp;IF($W41=6,"Final escalation completed.",IF($T41="OVERDUE","Next: "&amp;$Z41&amp;" was due "&amp;TEXT($Y41,"dd-mmm")&amp;" - "&amp;(NETWORKDAYS($Y41,TODAY(),Holidays)-1)&amp;" business day(s) late. Send now.",IF($T41="DUE TOMORROW","Next: "&amp;$Z41&amp;IF($Y41&lt;=TODAY()," is due TODAY ("," is due next business day (")&amp;TEXT($Y41,"dd-mmm")&amp;").","Next: "&amp;$Z41&amp;" due "&amp;TEXT($Y41,"dd-mmm")&amp;" ("&amp;(NETWORKDAYS(TODAY(),$Y41,Holidays)-1)&amp;" business day(s) left).")))))</f>
        <v/>
      </c>
      <c r="V41" s="17">
        <f>IF($W41="","",CHOOSE($W41,"Collection Email","1st Follow-up","2nd Follow-up","Local Office","CBE","Roxanne")&amp;IF($W41=6," - Final"," - Day "&amp;MAX(0,NETWORKDAYS($X41,TODAY(),Holidays)-1)&amp;" of "&amp;CHOOSE($W41,3,3,2,2,3))&amp;" | Total Day "&amp;MAX(0,NETWORKDAYS($L41,TODAY(),Holidays)-1))</f>
        <v/>
      </c>
      <c r="W41" s="17">
        <f>IF($L41="","",COUNT($L41:$Q41))</f>
        <v/>
      </c>
      <c r="X41" s="18">
        <f>IF($W41="","",INT(INDEX($L41:$Q41,$W41)))</f>
        <v/>
      </c>
      <c r="Y41" s="18">
        <f>IF(OR($W41="",$W41=6),"",WORKDAY($X41,CHOOSE($W41,3,3,2,2,3),Holidays))</f>
        <v/>
      </c>
      <c r="Z41" s="17">
        <f>IF(OR($W41="",$W41=6),"",CHOOSE($W41,"1st Email Follow-up","2nd Email Follow-up","Escalate Local Office","Escalate to CBE","Escalate to Roxanne"))</f>
        <v/>
      </c>
    </row>
    <row r="42" spans="18:26">
      <c r="R42" s="15"/>
      <c r="S42" s="16"/>
      <c r="T42" s="17">
        <f>IF(AND(COUNTA($A42:$K42)=0,$L42=""),"",IF($S42="Paid","PAID",IF($S42="Closed","CLOSED",IF($W42="","",IF($W42=6,"ESCALATED TO ROXANNE",IF(TODAY()&gt;$Y42,"OVERDUE",IF($Y42&lt;=WORKDAY(TODAY(),1,Holidays),"DUE TOMORROW",IF($W42=4,"ESCALATED TO LOCAL OFFICE",IF($W42=5,"ESCALATED TO CBE",IF($X42=TODAY(),"EMAIL SENT","MONITORING"))))))))))</f>
        <v/>
      </c>
      <c r="U42" s="17">
        <f>IF($T42="",IF(AND(COUNTA($A42:$K42)&gt;0,$L42=""),"Awaiting Collection Email time stamp.",""),IF(OR($T42="PAID",$T42="CLOSED"),IF($T42="PAID","Account paid. Action completed.","Account closed. No further action required."),CHOOSE($W42,"Collection Email","1st Email Follow-up","2nd Email Follow-up","Escalation to Local Office","Escalation to CBE","Escalation to Roxanne")&amp;" sent "&amp;TEXT($X42,"dd-mmm")&amp;". "&amp;IF($W42=6,"Final escalation completed.",IF($T42="OVERDUE","Next: "&amp;$Z42&amp;" was due "&amp;TEXT($Y42,"dd-mmm")&amp;" - "&amp;(NETWORKDAYS($Y42,TODAY(),Holidays)-1)&amp;" business day(s) late. Send now.",IF($T42="DUE TOMORROW","Next: "&amp;$Z42&amp;IF($Y42&lt;=TODAY()," is due TODAY ("," is due next business day (")&amp;TEXT($Y42,"dd-mmm")&amp;").","Next: "&amp;$Z42&amp;" due "&amp;TEXT($Y42,"dd-mmm")&amp;" ("&amp;(NETWORKDAYS(TODAY(),$Y42,Holidays)-1)&amp;" business day(s) left).")))))</f>
        <v/>
      </c>
      <c r="V42" s="17">
        <f>IF($W42="","",CHOOSE($W42,"Collection Email","1st Follow-up","2nd Follow-up","Local Office","CBE","Roxanne")&amp;IF($W42=6," - Final"," - Day "&amp;MAX(0,NETWORKDAYS($X42,TODAY(),Holidays)-1)&amp;" of "&amp;CHOOSE($W42,3,3,2,2,3))&amp;" | Total Day "&amp;MAX(0,NETWORKDAYS($L42,TODAY(),Holidays)-1))</f>
        <v/>
      </c>
      <c r="W42" s="17">
        <f>IF($L42="","",COUNT($L42:$Q42))</f>
        <v/>
      </c>
      <c r="X42" s="18">
        <f>IF($W42="","",INT(INDEX($L42:$Q42,$W42)))</f>
        <v/>
      </c>
      <c r="Y42" s="18">
        <f>IF(OR($W42="",$W42=6),"",WORKDAY($X42,CHOOSE($W42,3,3,2,2,3),Holidays))</f>
        <v/>
      </c>
      <c r="Z42" s="17">
        <f>IF(OR($W42="",$W42=6),"",CHOOSE($W42,"1st Email Follow-up","2nd Email Follow-up","Escalate Local Office","Escalate to CBE","Escalate to Roxanne"))</f>
        <v/>
      </c>
    </row>
    <row r="43" spans="18:26">
      <c r="R43" s="15"/>
      <c r="S43" s="16"/>
      <c r="T43" s="17">
        <f>IF(AND(COUNTA($A43:$K43)=0,$L43=""),"",IF($S43="Paid","PAID",IF($S43="Closed","CLOSED",IF($W43="","",IF($W43=6,"ESCALATED TO ROXANNE",IF(TODAY()&gt;$Y43,"OVERDUE",IF($Y43&lt;=WORKDAY(TODAY(),1,Holidays),"DUE TOMORROW",IF($W43=4,"ESCALATED TO LOCAL OFFICE",IF($W43=5,"ESCALATED TO CBE",IF($X43=TODAY(),"EMAIL SENT","MONITORING"))))))))))</f>
        <v/>
      </c>
      <c r="U43" s="17">
        <f>IF($T43="",IF(AND(COUNTA($A43:$K43)&gt;0,$L43=""),"Awaiting Collection Email time stamp.",""),IF(OR($T43="PAID",$T43="CLOSED"),IF($T43="PAID","Account paid. Action completed.","Account closed. No further action required."),CHOOSE($W43,"Collection Email","1st Email Follow-up","2nd Email Follow-up","Escalation to Local Office","Escalation to CBE","Escalation to Roxanne")&amp;" sent "&amp;TEXT($X43,"dd-mmm")&amp;". "&amp;IF($W43=6,"Final escalation completed.",IF($T43="OVERDUE","Next: "&amp;$Z43&amp;" was due "&amp;TEXT($Y43,"dd-mmm")&amp;" - "&amp;(NETWORKDAYS($Y43,TODAY(),Holidays)-1)&amp;" business day(s) late. Send now.",IF($T43="DUE TOMORROW","Next: "&amp;$Z43&amp;IF($Y43&lt;=TODAY()," is due TODAY ("," is due next business day (")&amp;TEXT($Y43,"dd-mmm")&amp;").","Next: "&amp;$Z43&amp;" due "&amp;TEXT($Y43,"dd-mmm")&amp;" ("&amp;(NETWORKDAYS(TODAY(),$Y43,Holidays)-1)&amp;" business day(s) left).")))))</f>
        <v/>
      </c>
      <c r="V43" s="17">
        <f>IF($W43="","",CHOOSE($W43,"Collection Email","1st Follow-up","2nd Follow-up","Local Office","CBE","Roxanne")&amp;IF($W43=6," - Final"," - Day "&amp;MAX(0,NETWORKDAYS($X43,TODAY(),Holidays)-1)&amp;" of "&amp;CHOOSE($W43,3,3,2,2,3))&amp;" | Total Day "&amp;MAX(0,NETWORKDAYS($L43,TODAY(),Holidays)-1))</f>
        <v/>
      </c>
      <c r="W43" s="17">
        <f>IF($L43="","",COUNT($L43:$Q43))</f>
        <v/>
      </c>
      <c r="X43" s="18">
        <f>IF($W43="","",INT(INDEX($L43:$Q43,$W43)))</f>
        <v/>
      </c>
      <c r="Y43" s="18">
        <f>IF(OR($W43="",$W43=6),"",WORKDAY($X43,CHOOSE($W43,3,3,2,2,3),Holidays))</f>
        <v/>
      </c>
      <c r="Z43" s="17">
        <f>IF(OR($W43="",$W43=6),"",CHOOSE($W43,"1st Email Follow-up","2nd Email Follow-up","Escalate Local Office","Escalate to CBE","Escalate to Roxanne"))</f>
        <v/>
      </c>
    </row>
    <row r="44" spans="18:26">
      <c r="R44" s="15"/>
      <c r="S44" s="16"/>
      <c r="T44" s="17">
        <f>IF(AND(COUNTA($A44:$K44)=0,$L44=""),"",IF($S44="Paid","PAID",IF($S44="Closed","CLOSED",IF($W44="","",IF($W44=6,"ESCALATED TO ROXANNE",IF(TODAY()&gt;$Y44,"OVERDUE",IF($Y44&lt;=WORKDAY(TODAY(),1,Holidays),"DUE TOMORROW",IF($W44=4,"ESCALATED TO LOCAL OFFICE",IF($W44=5,"ESCALATED TO CBE",IF($X44=TODAY(),"EMAIL SENT","MONITORING"))))))))))</f>
        <v/>
      </c>
      <c r="U44" s="17">
        <f>IF($T44="",IF(AND(COUNTA($A44:$K44)&gt;0,$L44=""),"Awaiting Collection Email time stamp.",""),IF(OR($T44="PAID",$T44="CLOSED"),IF($T44="PAID","Account paid. Action completed.","Account closed. No further action required."),CHOOSE($W44,"Collection Email","1st Email Follow-up","2nd Email Follow-up","Escalation to Local Office","Escalation to CBE","Escalation to Roxanne")&amp;" sent "&amp;TEXT($X44,"dd-mmm")&amp;". "&amp;IF($W44=6,"Final escalation completed.",IF($T44="OVERDUE","Next: "&amp;$Z44&amp;" was due "&amp;TEXT($Y44,"dd-mmm")&amp;" - "&amp;(NETWORKDAYS($Y44,TODAY(),Holidays)-1)&amp;" business day(s) late. Send now.",IF($T44="DUE TOMORROW","Next: "&amp;$Z44&amp;IF($Y44&lt;=TODAY()," is due TODAY ("," is due next business day (")&amp;TEXT($Y44,"dd-mmm")&amp;").","Next: "&amp;$Z44&amp;" due "&amp;TEXT($Y44,"dd-mmm")&amp;" ("&amp;(NETWORKDAYS(TODAY(),$Y44,Holidays)-1)&amp;" business day(s) left).")))))</f>
        <v/>
      </c>
      <c r="V44" s="17">
        <f>IF($W44="","",CHOOSE($W44,"Collection Email","1st Follow-up","2nd Follow-up","Local Office","CBE","Roxanne")&amp;IF($W44=6," - Final"," - Day "&amp;MAX(0,NETWORKDAYS($X44,TODAY(),Holidays)-1)&amp;" of "&amp;CHOOSE($W44,3,3,2,2,3))&amp;" | Total Day "&amp;MAX(0,NETWORKDAYS($L44,TODAY(),Holidays)-1))</f>
        <v/>
      </c>
      <c r="W44" s="17">
        <f>IF($L44="","",COUNT($L44:$Q44))</f>
        <v/>
      </c>
      <c r="X44" s="18">
        <f>IF($W44="","",INT(INDEX($L44:$Q44,$W44)))</f>
        <v/>
      </c>
      <c r="Y44" s="18">
        <f>IF(OR($W44="",$W44=6),"",WORKDAY($X44,CHOOSE($W44,3,3,2,2,3),Holidays))</f>
        <v/>
      </c>
      <c r="Z44" s="17">
        <f>IF(OR($W44="",$W44=6),"",CHOOSE($W44,"1st Email Follow-up","2nd Email Follow-up","Escalate Local Office","Escalate to CBE","Escalate to Roxanne"))</f>
        <v/>
      </c>
    </row>
    <row r="45" spans="18:26">
      <c r="R45" s="15"/>
      <c r="S45" s="16"/>
      <c r="T45" s="17">
        <f>IF(AND(COUNTA($A45:$K45)=0,$L45=""),"",IF($S45="Paid","PAID",IF($S45="Closed","CLOSED",IF($W45="","",IF($W45=6,"ESCALATED TO ROXANNE",IF(TODAY()&gt;$Y45,"OVERDUE",IF($Y45&lt;=WORKDAY(TODAY(),1,Holidays),"DUE TOMORROW",IF($W45=4,"ESCALATED TO LOCAL OFFICE",IF($W45=5,"ESCALATED TO CBE",IF($X45=TODAY(),"EMAIL SENT","MONITORING"))))))))))</f>
        <v/>
      </c>
      <c r="U45" s="17">
        <f>IF($T45="",IF(AND(COUNTA($A45:$K45)&gt;0,$L45=""),"Awaiting Collection Email time stamp.",""),IF(OR($T45="PAID",$T45="CLOSED"),IF($T45="PAID","Account paid. Action completed.","Account closed. No further action required."),CHOOSE($W45,"Collection Email","1st Email Follow-up","2nd Email Follow-up","Escalation to Local Office","Escalation to CBE","Escalation to Roxanne")&amp;" sent "&amp;TEXT($X45,"dd-mmm")&amp;". "&amp;IF($W45=6,"Final escalation completed.",IF($T45="OVERDUE","Next: "&amp;$Z45&amp;" was due "&amp;TEXT($Y45,"dd-mmm")&amp;" - "&amp;(NETWORKDAYS($Y45,TODAY(),Holidays)-1)&amp;" business day(s) late. Send now.",IF($T45="DUE TOMORROW","Next: "&amp;$Z45&amp;IF($Y45&lt;=TODAY()," is due TODAY ("," is due next business day (")&amp;TEXT($Y45,"dd-mmm")&amp;").","Next: "&amp;$Z45&amp;" due "&amp;TEXT($Y45,"dd-mmm")&amp;" ("&amp;(NETWORKDAYS(TODAY(),$Y45,Holidays)-1)&amp;" business day(s) left).")))))</f>
        <v/>
      </c>
      <c r="V45" s="17">
        <f>IF($W45="","",CHOOSE($W45,"Collection Email","1st Follow-up","2nd Follow-up","Local Office","CBE","Roxanne")&amp;IF($W45=6," - Final"," - Day "&amp;MAX(0,NETWORKDAYS($X45,TODAY(),Holidays)-1)&amp;" of "&amp;CHOOSE($W45,3,3,2,2,3))&amp;" | Total Day "&amp;MAX(0,NETWORKDAYS($L45,TODAY(),Holidays)-1))</f>
        <v/>
      </c>
      <c r="W45" s="17">
        <f>IF($L45="","",COUNT($L45:$Q45))</f>
        <v/>
      </c>
      <c r="X45" s="18">
        <f>IF($W45="","",INT(INDEX($L45:$Q45,$W45)))</f>
        <v/>
      </c>
      <c r="Y45" s="18">
        <f>IF(OR($W45="",$W45=6),"",WORKDAY($X45,CHOOSE($W45,3,3,2,2,3),Holidays))</f>
        <v/>
      </c>
      <c r="Z45" s="17">
        <f>IF(OR($W45="",$W45=6),"",CHOOSE($W45,"1st Email Follow-up","2nd Email Follow-up","Escalate Local Office","Escalate to CBE","Escalate to Roxanne"))</f>
        <v/>
      </c>
    </row>
    <row r="46" spans="18:26">
      <c r="R46" s="15"/>
      <c r="S46" s="16"/>
      <c r="T46" s="17">
        <f>IF(AND(COUNTA($A46:$K46)=0,$L46=""),"",IF($S46="Paid","PAID",IF($S46="Closed","CLOSED",IF($W46="","",IF($W46=6,"ESCALATED TO ROXANNE",IF(TODAY()&gt;$Y46,"OVERDUE",IF($Y46&lt;=WORKDAY(TODAY(),1,Holidays),"DUE TOMORROW",IF($W46=4,"ESCALATED TO LOCAL OFFICE",IF($W46=5,"ESCALATED TO CBE",IF($X46=TODAY(),"EMAIL SENT","MONITORING"))))))))))</f>
        <v/>
      </c>
      <c r="U46" s="17">
        <f>IF($T46="",IF(AND(COUNTA($A46:$K46)&gt;0,$L46=""),"Awaiting Collection Email time stamp.",""),IF(OR($T46="PAID",$T46="CLOSED"),IF($T46="PAID","Account paid. Action completed.","Account closed. No further action required."),CHOOSE($W46,"Collection Email","1st Email Follow-up","2nd Email Follow-up","Escalation to Local Office","Escalation to CBE","Escalation to Roxanne")&amp;" sent "&amp;TEXT($X46,"dd-mmm")&amp;". "&amp;IF($W46=6,"Final escalation completed.",IF($T46="OVERDUE","Next: "&amp;$Z46&amp;" was due "&amp;TEXT($Y46,"dd-mmm")&amp;" - "&amp;(NETWORKDAYS($Y46,TODAY(),Holidays)-1)&amp;" business day(s) late. Send now.",IF($T46="DUE TOMORROW","Next: "&amp;$Z46&amp;IF($Y46&lt;=TODAY()," is due TODAY ("," is due next business day (")&amp;TEXT($Y46,"dd-mmm")&amp;").","Next: "&amp;$Z46&amp;" due "&amp;TEXT($Y46,"dd-mmm")&amp;" ("&amp;(NETWORKDAYS(TODAY(),$Y46,Holidays)-1)&amp;" business day(s) left).")))))</f>
        <v/>
      </c>
      <c r="V46" s="17">
        <f>IF($W46="","",CHOOSE($W46,"Collection Email","1st Follow-up","2nd Follow-up","Local Office","CBE","Roxanne")&amp;IF($W46=6," - Final"," - Day "&amp;MAX(0,NETWORKDAYS($X46,TODAY(),Holidays)-1)&amp;" of "&amp;CHOOSE($W46,3,3,2,2,3))&amp;" | Total Day "&amp;MAX(0,NETWORKDAYS($L46,TODAY(),Holidays)-1))</f>
        <v/>
      </c>
      <c r="W46" s="17">
        <f>IF($L46="","",COUNT($L46:$Q46))</f>
        <v/>
      </c>
      <c r="X46" s="18">
        <f>IF($W46="","",INT(INDEX($L46:$Q46,$W46)))</f>
        <v/>
      </c>
      <c r="Y46" s="18">
        <f>IF(OR($W46="",$W46=6),"",WORKDAY($X46,CHOOSE($W46,3,3,2,2,3),Holidays))</f>
        <v/>
      </c>
      <c r="Z46" s="17">
        <f>IF(OR($W46="",$W46=6),"",CHOOSE($W46,"1st Email Follow-up","2nd Email Follow-up","Escalate Local Office","Escalate to CBE","Escalate to Roxanne"))</f>
        <v/>
      </c>
    </row>
    <row r="47" spans="18:26">
      <c r="R47" s="15"/>
      <c r="S47" s="16"/>
      <c r="T47" s="17">
        <f>IF(AND(COUNTA($A47:$K47)=0,$L47=""),"",IF($S47="Paid","PAID",IF($S47="Closed","CLOSED",IF($W47="","",IF($W47=6,"ESCALATED TO ROXANNE",IF(TODAY()&gt;$Y47,"OVERDUE",IF($Y47&lt;=WORKDAY(TODAY(),1,Holidays),"DUE TOMORROW",IF($W47=4,"ESCALATED TO LOCAL OFFICE",IF($W47=5,"ESCALATED TO CBE",IF($X47=TODAY(),"EMAIL SENT","MONITORING"))))))))))</f>
        <v/>
      </c>
      <c r="U47" s="17">
        <f>IF($T47="",IF(AND(COUNTA($A47:$K47)&gt;0,$L47=""),"Awaiting Collection Email time stamp.",""),IF(OR($T47="PAID",$T47="CLOSED"),IF($T47="PAID","Account paid. Action completed.","Account closed. No further action required."),CHOOSE($W47,"Collection Email","1st Email Follow-up","2nd Email Follow-up","Escalation to Local Office","Escalation to CBE","Escalation to Roxanne")&amp;" sent "&amp;TEXT($X47,"dd-mmm")&amp;". "&amp;IF($W47=6,"Final escalation completed.",IF($T47="OVERDUE","Next: "&amp;$Z47&amp;" was due "&amp;TEXT($Y47,"dd-mmm")&amp;" - "&amp;(NETWORKDAYS($Y47,TODAY(),Holidays)-1)&amp;" business day(s) late. Send now.",IF($T47="DUE TOMORROW","Next: "&amp;$Z47&amp;IF($Y47&lt;=TODAY()," is due TODAY ("," is due next business day (")&amp;TEXT($Y47,"dd-mmm")&amp;").","Next: "&amp;$Z47&amp;" due "&amp;TEXT($Y47,"dd-mmm")&amp;" ("&amp;(NETWORKDAYS(TODAY(),$Y47,Holidays)-1)&amp;" business day(s) left).")))))</f>
        <v/>
      </c>
      <c r="V47" s="17">
        <f>IF($W47="","",CHOOSE($W47,"Collection Email","1st Follow-up","2nd Follow-up","Local Office","CBE","Roxanne")&amp;IF($W47=6," - Final"," - Day "&amp;MAX(0,NETWORKDAYS($X47,TODAY(),Holidays)-1)&amp;" of "&amp;CHOOSE($W47,3,3,2,2,3))&amp;" | Total Day "&amp;MAX(0,NETWORKDAYS($L47,TODAY(),Holidays)-1))</f>
        <v/>
      </c>
      <c r="W47" s="17">
        <f>IF($L47="","",COUNT($L47:$Q47))</f>
        <v/>
      </c>
      <c r="X47" s="18">
        <f>IF($W47="","",INT(INDEX($L47:$Q47,$W47)))</f>
        <v/>
      </c>
      <c r="Y47" s="18">
        <f>IF(OR($W47="",$W47=6),"",WORKDAY($X47,CHOOSE($W47,3,3,2,2,3),Holidays))</f>
        <v/>
      </c>
      <c r="Z47" s="17">
        <f>IF(OR($W47="",$W47=6),"",CHOOSE($W47,"1st Email Follow-up","2nd Email Follow-up","Escalate Local Office","Escalate to CBE","Escalate to Roxanne"))</f>
        <v/>
      </c>
    </row>
    <row r="48" spans="18:26">
      <c r="R48" s="15"/>
      <c r="S48" s="16"/>
      <c r="T48" s="17">
        <f>IF(AND(COUNTA($A48:$K48)=0,$L48=""),"",IF($S48="Paid","PAID",IF($S48="Closed","CLOSED",IF($W48="","",IF($W48=6,"ESCALATED TO ROXANNE",IF(TODAY()&gt;$Y48,"OVERDUE",IF($Y48&lt;=WORKDAY(TODAY(),1,Holidays),"DUE TOMORROW",IF($W48=4,"ESCALATED TO LOCAL OFFICE",IF($W48=5,"ESCALATED TO CBE",IF($X48=TODAY(),"EMAIL SENT","MONITORING"))))))))))</f>
        <v/>
      </c>
      <c r="U48" s="17">
        <f>IF($T48="",IF(AND(COUNTA($A48:$K48)&gt;0,$L48=""),"Awaiting Collection Email time stamp.",""),IF(OR($T48="PAID",$T48="CLOSED"),IF($T48="PAID","Account paid. Action completed.","Account closed. No further action required."),CHOOSE($W48,"Collection Email","1st Email Follow-up","2nd Email Follow-up","Escalation to Local Office","Escalation to CBE","Escalation to Roxanne")&amp;" sent "&amp;TEXT($X48,"dd-mmm")&amp;". "&amp;IF($W48=6,"Final escalation completed.",IF($T48="OVERDUE","Next: "&amp;$Z48&amp;" was due "&amp;TEXT($Y48,"dd-mmm")&amp;" - "&amp;(NETWORKDAYS($Y48,TODAY(),Holidays)-1)&amp;" business day(s) late. Send now.",IF($T48="DUE TOMORROW","Next: "&amp;$Z48&amp;IF($Y48&lt;=TODAY()," is due TODAY ("," is due next business day (")&amp;TEXT($Y48,"dd-mmm")&amp;").","Next: "&amp;$Z48&amp;" due "&amp;TEXT($Y48,"dd-mmm")&amp;" ("&amp;(NETWORKDAYS(TODAY(),$Y48,Holidays)-1)&amp;" business day(s) left).")))))</f>
        <v/>
      </c>
      <c r="V48" s="17">
        <f>IF($W48="","",CHOOSE($W48,"Collection Email","1st Follow-up","2nd Follow-up","Local Office","CBE","Roxanne")&amp;IF($W48=6," - Final"," - Day "&amp;MAX(0,NETWORKDAYS($X48,TODAY(),Holidays)-1)&amp;" of "&amp;CHOOSE($W48,3,3,2,2,3))&amp;" | Total Day "&amp;MAX(0,NETWORKDAYS($L48,TODAY(),Holidays)-1))</f>
        <v/>
      </c>
      <c r="W48" s="17">
        <f>IF($L48="","",COUNT($L48:$Q48))</f>
        <v/>
      </c>
      <c r="X48" s="18">
        <f>IF($W48="","",INT(INDEX($L48:$Q48,$W48)))</f>
        <v/>
      </c>
      <c r="Y48" s="18">
        <f>IF(OR($W48="",$W48=6),"",WORKDAY($X48,CHOOSE($W48,3,3,2,2,3),Holidays))</f>
        <v/>
      </c>
      <c r="Z48" s="17">
        <f>IF(OR($W48="",$W48=6),"",CHOOSE($W48,"1st Email Follow-up","2nd Email Follow-up","Escalate Local Office","Escalate to CBE","Escalate to Roxanne"))</f>
        <v/>
      </c>
    </row>
    <row r="49" spans="18:26">
      <c r="R49" s="15"/>
      <c r="S49" s="16"/>
      <c r="T49" s="17">
        <f>IF(AND(COUNTA($A49:$K49)=0,$L49=""),"",IF($S49="Paid","PAID",IF($S49="Closed","CLOSED",IF($W49="","",IF($W49=6,"ESCALATED TO ROXANNE",IF(TODAY()&gt;$Y49,"OVERDUE",IF($Y49&lt;=WORKDAY(TODAY(),1,Holidays),"DUE TOMORROW",IF($W49=4,"ESCALATED TO LOCAL OFFICE",IF($W49=5,"ESCALATED TO CBE",IF($X49=TODAY(),"EMAIL SENT","MONITORING"))))))))))</f>
        <v/>
      </c>
      <c r="U49" s="17">
        <f>IF($T49="",IF(AND(COUNTA($A49:$K49)&gt;0,$L49=""),"Awaiting Collection Email time stamp.",""),IF(OR($T49="PAID",$T49="CLOSED"),IF($T49="PAID","Account paid. Action completed.","Account closed. No further action required."),CHOOSE($W49,"Collection Email","1st Email Follow-up","2nd Email Follow-up","Escalation to Local Office","Escalation to CBE","Escalation to Roxanne")&amp;" sent "&amp;TEXT($X49,"dd-mmm")&amp;". "&amp;IF($W49=6,"Final escalation completed.",IF($T49="OVERDUE","Next: "&amp;$Z49&amp;" was due "&amp;TEXT($Y49,"dd-mmm")&amp;" - "&amp;(NETWORKDAYS($Y49,TODAY(),Holidays)-1)&amp;" business day(s) late. Send now.",IF($T49="DUE TOMORROW","Next: "&amp;$Z49&amp;IF($Y49&lt;=TODAY()," is due TODAY ("," is due next business day (")&amp;TEXT($Y49,"dd-mmm")&amp;").","Next: "&amp;$Z49&amp;" due "&amp;TEXT($Y49,"dd-mmm")&amp;" ("&amp;(NETWORKDAYS(TODAY(),$Y49,Holidays)-1)&amp;" business day(s) left).")))))</f>
        <v/>
      </c>
      <c r="V49" s="17">
        <f>IF($W49="","",CHOOSE($W49,"Collection Email","1st Follow-up","2nd Follow-up","Local Office","CBE","Roxanne")&amp;IF($W49=6," - Final"," - Day "&amp;MAX(0,NETWORKDAYS($X49,TODAY(),Holidays)-1)&amp;" of "&amp;CHOOSE($W49,3,3,2,2,3))&amp;" | Total Day "&amp;MAX(0,NETWORKDAYS($L49,TODAY(),Holidays)-1))</f>
        <v/>
      </c>
      <c r="W49" s="17">
        <f>IF($L49="","",COUNT($L49:$Q49))</f>
        <v/>
      </c>
      <c r="X49" s="18">
        <f>IF($W49="","",INT(INDEX($L49:$Q49,$W49)))</f>
        <v/>
      </c>
      <c r="Y49" s="18">
        <f>IF(OR($W49="",$W49=6),"",WORKDAY($X49,CHOOSE($W49,3,3,2,2,3),Holidays))</f>
        <v/>
      </c>
      <c r="Z49" s="17">
        <f>IF(OR($W49="",$W49=6),"",CHOOSE($W49,"1st Email Follow-up","2nd Email Follow-up","Escalate Local Office","Escalate to CBE","Escalate to Roxanne"))</f>
        <v/>
      </c>
    </row>
    <row r="50" spans="18:26">
      <c r="R50" s="15"/>
      <c r="S50" s="16"/>
      <c r="T50" s="17">
        <f>IF(AND(COUNTA($A50:$K50)=0,$L50=""),"",IF($S50="Paid","PAID",IF($S50="Closed","CLOSED",IF($W50="","",IF($W50=6,"ESCALATED TO ROXANNE",IF(TODAY()&gt;$Y50,"OVERDUE",IF($Y50&lt;=WORKDAY(TODAY(),1,Holidays),"DUE TOMORROW",IF($W50=4,"ESCALATED TO LOCAL OFFICE",IF($W50=5,"ESCALATED TO CBE",IF($X50=TODAY(),"EMAIL SENT","MONITORING"))))))))))</f>
        <v/>
      </c>
      <c r="U50" s="17">
        <f>IF($T50="",IF(AND(COUNTA($A50:$K50)&gt;0,$L50=""),"Awaiting Collection Email time stamp.",""),IF(OR($T50="PAID",$T50="CLOSED"),IF($T50="PAID","Account paid. Action completed.","Account closed. No further action required."),CHOOSE($W50,"Collection Email","1st Email Follow-up","2nd Email Follow-up","Escalation to Local Office","Escalation to CBE","Escalation to Roxanne")&amp;" sent "&amp;TEXT($X50,"dd-mmm")&amp;". "&amp;IF($W50=6,"Final escalation completed.",IF($T50="OVERDUE","Next: "&amp;$Z50&amp;" was due "&amp;TEXT($Y50,"dd-mmm")&amp;" - "&amp;(NETWORKDAYS($Y50,TODAY(),Holidays)-1)&amp;" business day(s) late. Send now.",IF($T50="DUE TOMORROW","Next: "&amp;$Z50&amp;IF($Y50&lt;=TODAY()," is due TODAY ("," is due next business day (")&amp;TEXT($Y50,"dd-mmm")&amp;").","Next: "&amp;$Z50&amp;" due "&amp;TEXT($Y50,"dd-mmm")&amp;" ("&amp;(NETWORKDAYS(TODAY(),$Y50,Holidays)-1)&amp;" business day(s) left).")))))</f>
        <v/>
      </c>
      <c r="V50" s="17">
        <f>IF($W50="","",CHOOSE($W50,"Collection Email","1st Follow-up","2nd Follow-up","Local Office","CBE","Roxanne")&amp;IF($W50=6," - Final"," - Day "&amp;MAX(0,NETWORKDAYS($X50,TODAY(),Holidays)-1)&amp;" of "&amp;CHOOSE($W50,3,3,2,2,3))&amp;" | Total Day "&amp;MAX(0,NETWORKDAYS($L50,TODAY(),Holidays)-1))</f>
        <v/>
      </c>
      <c r="W50" s="17">
        <f>IF($L50="","",COUNT($L50:$Q50))</f>
        <v/>
      </c>
      <c r="X50" s="18">
        <f>IF($W50="","",INT(INDEX($L50:$Q50,$W50)))</f>
        <v/>
      </c>
      <c r="Y50" s="18">
        <f>IF(OR($W50="",$W50=6),"",WORKDAY($X50,CHOOSE($W50,3,3,2,2,3),Holidays))</f>
        <v/>
      </c>
      <c r="Z50" s="17">
        <f>IF(OR($W50="",$W50=6),"",CHOOSE($W50,"1st Email Follow-up","2nd Email Follow-up","Escalate Local Office","Escalate to CBE","Escalate to Roxanne"))</f>
        <v/>
      </c>
    </row>
    <row r="51" spans="18:26">
      <c r="R51" s="15"/>
      <c r="S51" s="16"/>
      <c r="T51" s="17">
        <f>IF(AND(COUNTA($A51:$K51)=0,$L51=""),"",IF($S51="Paid","PAID",IF($S51="Closed","CLOSED",IF($W51="","",IF($W51=6,"ESCALATED TO ROXANNE",IF(TODAY()&gt;$Y51,"OVERDUE",IF($Y51&lt;=WORKDAY(TODAY(),1,Holidays),"DUE TOMORROW",IF($W51=4,"ESCALATED TO LOCAL OFFICE",IF($W51=5,"ESCALATED TO CBE",IF($X51=TODAY(),"EMAIL SENT","MONITORING"))))))))))</f>
        <v/>
      </c>
      <c r="U51" s="17">
        <f>IF($T51="",IF(AND(COUNTA($A51:$K51)&gt;0,$L51=""),"Awaiting Collection Email time stamp.",""),IF(OR($T51="PAID",$T51="CLOSED"),IF($T51="PAID","Account paid. Action completed.","Account closed. No further action required."),CHOOSE($W51,"Collection Email","1st Email Follow-up","2nd Email Follow-up","Escalation to Local Office","Escalation to CBE","Escalation to Roxanne")&amp;" sent "&amp;TEXT($X51,"dd-mmm")&amp;". "&amp;IF($W51=6,"Final escalation completed.",IF($T51="OVERDUE","Next: "&amp;$Z51&amp;" was due "&amp;TEXT($Y51,"dd-mmm")&amp;" - "&amp;(NETWORKDAYS($Y51,TODAY(),Holidays)-1)&amp;" business day(s) late. Send now.",IF($T51="DUE TOMORROW","Next: "&amp;$Z51&amp;IF($Y51&lt;=TODAY()," is due TODAY ("," is due next business day (")&amp;TEXT($Y51,"dd-mmm")&amp;").","Next: "&amp;$Z51&amp;" due "&amp;TEXT($Y51,"dd-mmm")&amp;" ("&amp;(NETWORKDAYS(TODAY(),$Y51,Holidays)-1)&amp;" business day(s) left).")))))</f>
        <v/>
      </c>
      <c r="V51" s="17">
        <f>IF($W51="","",CHOOSE($W51,"Collection Email","1st Follow-up","2nd Follow-up","Local Office","CBE","Roxanne")&amp;IF($W51=6," - Final"," - Day "&amp;MAX(0,NETWORKDAYS($X51,TODAY(),Holidays)-1)&amp;" of "&amp;CHOOSE($W51,3,3,2,2,3))&amp;" | Total Day "&amp;MAX(0,NETWORKDAYS($L51,TODAY(),Holidays)-1))</f>
        <v/>
      </c>
      <c r="W51" s="17">
        <f>IF($L51="","",COUNT($L51:$Q51))</f>
        <v/>
      </c>
      <c r="X51" s="18">
        <f>IF($W51="","",INT(INDEX($L51:$Q51,$W51)))</f>
        <v/>
      </c>
      <c r="Y51" s="18">
        <f>IF(OR($W51="",$W51=6),"",WORKDAY($X51,CHOOSE($W51,3,3,2,2,3),Holidays))</f>
        <v/>
      </c>
      <c r="Z51" s="17">
        <f>IF(OR($W51="",$W51=6),"",CHOOSE($W51,"1st Email Follow-up","2nd Email Follow-up","Escalate Local Office","Escalate to CBE","Escalate to Roxanne"))</f>
        <v/>
      </c>
    </row>
    <row r="52" spans="18:26">
      <c r="R52" s="15"/>
      <c r="S52" s="16"/>
      <c r="T52" s="17">
        <f>IF(AND(COUNTA($A52:$K52)=0,$L52=""),"",IF($S52="Paid","PAID",IF($S52="Closed","CLOSED",IF($W52="","",IF($W52=6,"ESCALATED TO ROXANNE",IF(TODAY()&gt;$Y52,"OVERDUE",IF($Y52&lt;=WORKDAY(TODAY(),1,Holidays),"DUE TOMORROW",IF($W52=4,"ESCALATED TO LOCAL OFFICE",IF($W52=5,"ESCALATED TO CBE",IF($X52=TODAY(),"EMAIL SENT","MONITORING"))))))))))</f>
        <v/>
      </c>
      <c r="U52" s="17">
        <f>IF($T52="",IF(AND(COUNTA($A52:$K52)&gt;0,$L52=""),"Awaiting Collection Email time stamp.",""),IF(OR($T52="PAID",$T52="CLOSED"),IF($T52="PAID","Account paid. Action completed.","Account closed. No further action required."),CHOOSE($W52,"Collection Email","1st Email Follow-up","2nd Email Follow-up","Escalation to Local Office","Escalation to CBE","Escalation to Roxanne")&amp;" sent "&amp;TEXT($X52,"dd-mmm")&amp;". "&amp;IF($W52=6,"Final escalation completed.",IF($T52="OVERDUE","Next: "&amp;$Z52&amp;" was due "&amp;TEXT($Y52,"dd-mmm")&amp;" - "&amp;(NETWORKDAYS($Y52,TODAY(),Holidays)-1)&amp;" business day(s) late. Send now.",IF($T52="DUE TOMORROW","Next: "&amp;$Z52&amp;IF($Y52&lt;=TODAY()," is due TODAY ("," is due next business day (")&amp;TEXT($Y52,"dd-mmm")&amp;").","Next: "&amp;$Z52&amp;" due "&amp;TEXT($Y52,"dd-mmm")&amp;" ("&amp;(NETWORKDAYS(TODAY(),$Y52,Holidays)-1)&amp;" business day(s) left).")))))</f>
        <v/>
      </c>
      <c r="V52" s="17">
        <f>IF($W52="","",CHOOSE($W52,"Collection Email","1st Follow-up","2nd Follow-up","Local Office","CBE","Roxanne")&amp;IF($W52=6," - Final"," - Day "&amp;MAX(0,NETWORKDAYS($X52,TODAY(),Holidays)-1)&amp;" of "&amp;CHOOSE($W52,3,3,2,2,3))&amp;" | Total Day "&amp;MAX(0,NETWORKDAYS($L52,TODAY(),Holidays)-1))</f>
        <v/>
      </c>
      <c r="W52" s="17">
        <f>IF($L52="","",COUNT($L52:$Q52))</f>
        <v/>
      </c>
      <c r="X52" s="18">
        <f>IF($W52="","",INT(INDEX($L52:$Q52,$W52)))</f>
        <v/>
      </c>
      <c r="Y52" s="18">
        <f>IF(OR($W52="",$W52=6),"",WORKDAY($X52,CHOOSE($W52,3,3,2,2,3),Holidays))</f>
        <v/>
      </c>
      <c r="Z52" s="17">
        <f>IF(OR($W52="",$W52=6),"",CHOOSE($W52,"1st Email Follow-up","2nd Email Follow-up","Escalate Local Office","Escalate to CBE","Escalate to Roxanne"))</f>
        <v/>
      </c>
    </row>
    <row r="53" spans="18:26">
      <c r="R53" s="15"/>
      <c r="S53" s="16"/>
      <c r="T53" s="17">
        <f>IF(AND(COUNTA($A53:$K53)=0,$L53=""),"",IF($S53="Paid","PAID",IF($S53="Closed","CLOSED",IF($W53="","",IF($W53=6,"ESCALATED TO ROXANNE",IF(TODAY()&gt;$Y53,"OVERDUE",IF($Y53&lt;=WORKDAY(TODAY(),1,Holidays),"DUE TOMORROW",IF($W53=4,"ESCALATED TO LOCAL OFFICE",IF($W53=5,"ESCALATED TO CBE",IF($X53=TODAY(),"EMAIL SENT","MONITORING"))))))))))</f>
        <v/>
      </c>
      <c r="U53" s="17">
        <f>IF($T53="",IF(AND(COUNTA($A53:$K53)&gt;0,$L53=""),"Awaiting Collection Email time stamp.",""),IF(OR($T53="PAID",$T53="CLOSED"),IF($T53="PAID","Account paid. Action completed.","Account closed. No further action required."),CHOOSE($W53,"Collection Email","1st Email Follow-up","2nd Email Follow-up","Escalation to Local Office","Escalation to CBE","Escalation to Roxanne")&amp;" sent "&amp;TEXT($X53,"dd-mmm")&amp;". "&amp;IF($W53=6,"Final escalation completed.",IF($T53="OVERDUE","Next: "&amp;$Z53&amp;" was due "&amp;TEXT($Y53,"dd-mmm")&amp;" - "&amp;(NETWORKDAYS($Y53,TODAY(),Holidays)-1)&amp;" business day(s) late. Send now.",IF($T53="DUE TOMORROW","Next: "&amp;$Z53&amp;IF($Y53&lt;=TODAY()," is due TODAY ("," is due next business day (")&amp;TEXT($Y53,"dd-mmm")&amp;").","Next: "&amp;$Z53&amp;" due "&amp;TEXT($Y53,"dd-mmm")&amp;" ("&amp;(NETWORKDAYS(TODAY(),$Y53,Holidays)-1)&amp;" business day(s) left).")))))</f>
        <v/>
      </c>
      <c r="V53" s="17">
        <f>IF($W53="","",CHOOSE($W53,"Collection Email","1st Follow-up","2nd Follow-up","Local Office","CBE","Roxanne")&amp;IF($W53=6," - Final"," - Day "&amp;MAX(0,NETWORKDAYS($X53,TODAY(),Holidays)-1)&amp;" of "&amp;CHOOSE($W53,3,3,2,2,3))&amp;" | Total Day "&amp;MAX(0,NETWORKDAYS($L53,TODAY(),Holidays)-1))</f>
        <v/>
      </c>
      <c r="W53" s="17">
        <f>IF($L53="","",COUNT($L53:$Q53))</f>
        <v/>
      </c>
      <c r="X53" s="18">
        <f>IF($W53="","",INT(INDEX($L53:$Q53,$W53)))</f>
        <v/>
      </c>
      <c r="Y53" s="18">
        <f>IF(OR($W53="",$W53=6),"",WORKDAY($X53,CHOOSE($W53,3,3,2,2,3),Holidays))</f>
        <v/>
      </c>
      <c r="Z53" s="17">
        <f>IF(OR($W53="",$W53=6),"",CHOOSE($W53,"1st Email Follow-up","2nd Email Follow-up","Escalate Local Office","Escalate to CBE","Escalate to Roxanne"))</f>
        <v/>
      </c>
    </row>
    <row r="54" spans="18:26">
      <c r="R54" s="15"/>
      <c r="S54" s="16"/>
      <c r="T54" s="17">
        <f>IF(AND(COUNTA($A54:$K54)=0,$L54=""),"",IF($S54="Paid","PAID",IF($S54="Closed","CLOSED",IF($W54="","",IF($W54=6,"ESCALATED TO ROXANNE",IF(TODAY()&gt;$Y54,"OVERDUE",IF($Y54&lt;=WORKDAY(TODAY(),1,Holidays),"DUE TOMORROW",IF($W54=4,"ESCALATED TO LOCAL OFFICE",IF($W54=5,"ESCALATED TO CBE",IF($X54=TODAY(),"EMAIL SENT","MONITORING"))))))))))</f>
        <v/>
      </c>
      <c r="U54" s="17">
        <f>IF($T54="",IF(AND(COUNTA($A54:$K54)&gt;0,$L54=""),"Awaiting Collection Email time stamp.",""),IF(OR($T54="PAID",$T54="CLOSED"),IF($T54="PAID","Account paid. Action completed.","Account closed. No further action required."),CHOOSE($W54,"Collection Email","1st Email Follow-up","2nd Email Follow-up","Escalation to Local Office","Escalation to CBE","Escalation to Roxanne")&amp;" sent "&amp;TEXT($X54,"dd-mmm")&amp;". "&amp;IF($W54=6,"Final escalation completed.",IF($T54="OVERDUE","Next: "&amp;$Z54&amp;" was due "&amp;TEXT($Y54,"dd-mmm")&amp;" - "&amp;(NETWORKDAYS($Y54,TODAY(),Holidays)-1)&amp;" business day(s) late. Send now.",IF($T54="DUE TOMORROW","Next: "&amp;$Z54&amp;IF($Y54&lt;=TODAY()," is due TODAY ("," is due next business day (")&amp;TEXT($Y54,"dd-mmm")&amp;").","Next: "&amp;$Z54&amp;" due "&amp;TEXT($Y54,"dd-mmm")&amp;" ("&amp;(NETWORKDAYS(TODAY(),$Y54,Holidays)-1)&amp;" business day(s) left).")))))</f>
        <v/>
      </c>
      <c r="V54" s="17">
        <f>IF($W54="","",CHOOSE($W54,"Collection Email","1st Follow-up","2nd Follow-up","Local Office","CBE","Roxanne")&amp;IF($W54=6," - Final"," - Day "&amp;MAX(0,NETWORKDAYS($X54,TODAY(),Holidays)-1)&amp;" of "&amp;CHOOSE($W54,3,3,2,2,3))&amp;" | Total Day "&amp;MAX(0,NETWORKDAYS($L54,TODAY(),Holidays)-1))</f>
        <v/>
      </c>
      <c r="W54" s="17">
        <f>IF($L54="","",COUNT($L54:$Q54))</f>
        <v/>
      </c>
      <c r="X54" s="18">
        <f>IF($W54="","",INT(INDEX($L54:$Q54,$W54)))</f>
        <v/>
      </c>
      <c r="Y54" s="18">
        <f>IF(OR($W54="",$W54=6),"",WORKDAY($X54,CHOOSE($W54,3,3,2,2,3),Holidays))</f>
        <v/>
      </c>
      <c r="Z54" s="17">
        <f>IF(OR($W54="",$W54=6),"",CHOOSE($W54,"1st Email Follow-up","2nd Email Follow-up","Escalate Local Office","Escalate to CBE","Escalate to Roxanne"))</f>
        <v/>
      </c>
    </row>
    <row r="55" spans="18:26">
      <c r="R55" s="15"/>
      <c r="S55" s="16"/>
      <c r="T55" s="17">
        <f>IF(AND(COUNTA($A55:$K55)=0,$L55=""),"",IF($S55="Paid","PAID",IF($S55="Closed","CLOSED",IF($W55="","",IF($W55=6,"ESCALATED TO ROXANNE",IF(TODAY()&gt;$Y55,"OVERDUE",IF($Y55&lt;=WORKDAY(TODAY(),1,Holidays),"DUE TOMORROW",IF($W55=4,"ESCALATED TO LOCAL OFFICE",IF($W55=5,"ESCALATED TO CBE",IF($X55=TODAY(),"EMAIL SENT","MONITORING"))))))))))</f>
        <v/>
      </c>
      <c r="U55" s="17">
        <f>IF($T55="",IF(AND(COUNTA($A55:$K55)&gt;0,$L55=""),"Awaiting Collection Email time stamp.",""),IF(OR($T55="PAID",$T55="CLOSED"),IF($T55="PAID","Account paid. Action completed.","Account closed. No further action required."),CHOOSE($W55,"Collection Email","1st Email Follow-up","2nd Email Follow-up","Escalation to Local Office","Escalation to CBE","Escalation to Roxanne")&amp;" sent "&amp;TEXT($X55,"dd-mmm")&amp;". "&amp;IF($W55=6,"Final escalation completed.",IF($T55="OVERDUE","Next: "&amp;$Z55&amp;" was due "&amp;TEXT($Y55,"dd-mmm")&amp;" - "&amp;(NETWORKDAYS($Y55,TODAY(),Holidays)-1)&amp;" business day(s) late. Send now.",IF($T55="DUE TOMORROW","Next: "&amp;$Z55&amp;IF($Y55&lt;=TODAY()," is due TODAY ("," is due next business day (")&amp;TEXT($Y55,"dd-mmm")&amp;").","Next: "&amp;$Z55&amp;" due "&amp;TEXT($Y55,"dd-mmm")&amp;" ("&amp;(NETWORKDAYS(TODAY(),$Y55,Holidays)-1)&amp;" business day(s) left).")))))</f>
        <v/>
      </c>
      <c r="V55" s="17">
        <f>IF($W55="","",CHOOSE($W55,"Collection Email","1st Follow-up","2nd Follow-up","Local Office","CBE","Roxanne")&amp;IF($W55=6," - Final"," - Day "&amp;MAX(0,NETWORKDAYS($X55,TODAY(),Holidays)-1)&amp;" of "&amp;CHOOSE($W55,3,3,2,2,3))&amp;" | Total Day "&amp;MAX(0,NETWORKDAYS($L55,TODAY(),Holidays)-1))</f>
        <v/>
      </c>
      <c r="W55" s="17">
        <f>IF($L55="","",COUNT($L55:$Q55))</f>
        <v/>
      </c>
      <c r="X55" s="18">
        <f>IF($W55="","",INT(INDEX($L55:$Q55,$W55)))</f>
        <v/>
      </c>
      <c r="Y55" s="18">
        <f>IF(OR($W55="",$W55=6),"",WORKDAY($X55,CHOOSE($W55,3,3,2,2,3),Holidays))</f>
        <v/>
      </c>
      <c r="Z55" s="17">
        <f>IF(OR($W55="",$W55=6),"",CHOOSE($W55,"1st Email Follow-up","2nd Email Follow-up","Escalate Local Office","Escalate to CBE","Escalate to Roxanne"))</f>
        <v/>
      </c>
    </row>
    <row r="56" spans="18:26">
      <c r="R56" s="15"/>
      <c r="S56" s="16"/>
      <c r="T56" s="17">
        <f>IF(AND(COUNTA($A56:$K56)=0,$L56=""),"",IF($S56="Paid","PAID",IF($S56="Closed","CLOSED",IF($W56="","",IF($W56=6,"ESCALATED TO ROXANNE",IF(TODAY()&gt;$Y56,"OVERDUE",IF($Y56&lt;=WORKDAY(TODAY(),1,Holidays),"DUE TOMORROW",IF($W56=4,"ESCALATED TO LOCAL OFFICE",IF($W56=5,"ESCALATED TO CBE",IF($X56=TODAY(),"EMAIL SENT","MONITORING"))))))))))</f>
        <v/>
      </c>
      <c r="U56" s="17">
        <f>IF($T56="",IF(AND(COUNTA($A56:$K56)&gt;0,$L56=""),"Awaiting Collection Email time stamp.",""),IF(OR($T56="PAID",$T56="CLOSED"),IF($T56="PAID","Account paid. Action completed.","Account closed. No further action required."),CHOOSE($W56,"Collection Email","1st Email Follow-up","2nd Email Follow-up","Escalation to Local Office","Escalation to CBE","Escalation to Roxanne")&amp;" sent "&amp;TEXT($X56,"dd-mmm")&amp;". "&amp;IF($W56=6,"Final escalation completed.",IF($T56="OVERDUE","Next: "&amp;$Z56&amp;" was due "&amp;TEXT($Y56,"dd-mmm")&amp;" - "&amp;(NETWORKDAYS($Y56,TODAY(),Holidays)-1)&amp;" business day(s) late. Send now.",IF($T56="DUE TOMORROW","Next: "&amp;$Z56&amp;IF($Y56&lt;=TODAY()," is due TODAY ("," is due next business day (")&amp;TEXT($Y56,"dd-mmm")&amp;").","Next: "&amp;$Z56&amp;" due "&amp;TEXT($Y56,"dd-mmm")&amp;" ("&amp;(NETWORKDAYS(TODAY(),$Y56,Holidays)-1)&amp;" business day(s) left).")))))</f>
        <v/>
      </c>
      <c r="V56" s="17">
        <f>IF($W56="","",CHOOSE($W56,"Collection Email","1st Follow-up","2nd Follow-up","Local Office","CBE","Roxanne")&amp;IF($W56=6," - Final"," - Day "&amp;MAX(0,NETWORKDAYS($X56,TODAY(),Holidays)-1)&amp;" of "&amp;CHOOSE($W56,3,3,2,2,3))&amp;" | Total Day "&amp;MAX(0,NETWORKDAYS($L56,TODAY(),Holidays)-1))</f>
        <v/>
      </c>
      <c r="W56" s="17">
        <f>IF($L56="","",COUNT($L56:$Q56))</f>
        <v/>
      </c>
      <c r="X56" s="18">
        <f>IF($W56="","",INT(INDEX($L56:$Q56,$W56)))</f>
        <v/>
      </c>
      <c r="Y56" s="18">
        <f>IF(OR($W56="",$W56=6),"",WORKDAY($X56,CHOOSE($W56,3,3,2,2,3),Holidays))</f>
        <v/>
      </c>
      <c r="Z56" s="17">
        <f>IF(OR($W56="",$W56=6),"",CHOOSE($W56,"1st Email Follow-up","2nd Email Follow-up","Escalate Local Office","Escalate to CBE","Escalate to Roxanne"))</f>
        <v/>
      </c>
    </row>
    <row r="57" spans="18:26">
      <c r="R57" s="15"/>
      <c r="S57" s="16"/>
      <c r="T57" s="17">
        <f>IF(AND(COUNTA($A57:$K57)=0,$L57=""),"",IF($S57="Paid","PAID",IF($S57="Closed","CLOSED",IF($W57="","",IF($W57=6,"ESCALATED TO ROXANNE",IF(TODAY()&gt;$Y57,"OVERDUE",IF($Y57&lt;=WORKDAY(TODAY(),1,Holidays),"DUE TOMORROW",IF($W57=4,"ESCALATED TO LOCAL OFFICE",IF($W57=5,"ESCALATED TO CBE",IF($X57=TODAY(),"EMAIL SENT","MONITORING"))))))))))</f>
        <v/>
      </c>
      <c r="U57" s="17">
        <f>IF($T57="",IF(AND(COUNTA($A57:$K57)&gt;0,$L57=""),"Awaiting Collection Email time stamp.",""),IF(OR($T57="PAID",$T57="CLOSED"),IF($T57="PAID","Account paid. Action completed.","Account closed. No further action required."),CHOOSE($W57,"Collection Email","1st Email Follow-up","2nd Email Follow-up","Escalation to Local Office","Escalation to CBE","Escalation to Roxanne")&amp;" sent "&amp;TEXT($X57,"dd-mmm")&amp;". "&amp;IF($W57=6,"Final escalation completed.",IF($T57="OVERDUE","Next: "&amp;$Z57&amp;" was due "&amp;TEXT($Y57,"dd-mmm")&amp;" - "&amp;(NETWORKDAYS($Y57,TODAY(),Holidays)-1)&amp;" business day(s) late. Send now.",IF($T57="DUE TOMORROW","Next: "&amp;$Z57&amp;IF($Y57&lt;=TODAY()," is due TODAY ("," is due next business day (")&amp;TEXT($Y57,"dd-mmm")&amp;").","Next: "&amp;$Z57&amp;" due "&amp;TEXT($Y57,"dd-mmm")&amp;" ("&amp;(NETWORKDAYS(TODAY(),$Y57,Holidays)-1)&amp;" business day(s) left).")))))</f>
        <v/>
      </c>
      <c r="V57" s="17">
        <f>IF($W57="","",CHOOSE($W57,"Collection Email","1st Follow-up","2nd Follow-up","Local Office","CBE","Roxanne")&amp;IF($W57=6," - Final"," - Day "&amp;MAX(0,NETWORKDAYS($X57,TODAY(),Holidays)-1)&amp;" of "&amp;CHOOSE($W57,3,3,2,2,3))&amp;" | Total Day "&amp;MAX(0,NETWORKDAYS($L57,TODAY(),Holidays)-1))</f>
        <v/>
      </c>
      <c r="W57" s="17">
        <f>IF($L57="","",COUNT($L57:$Q57))</f>
        <v/>
      </c>
      <c r="X57" s="18">
        <f>IF($W57="","",INT(INDEX($L57:$Q57,$W57)))</f>
        <v/>
      </c>
      <c r="Y57" s="18">
        <f>IF(OR($W57="",$W57=6),"",WORKDAY($X57,CHOOSE($W57,3,3,2,2,3),Holidays))</f>
        <v/>
      </c>
      <c r="Z57" s="17">
        <f>IF(OR($W57="",$W57=6),"",CHOOSE($W57,"1st Email Follow-up","2nd Email Follow-up","Escalate Local Office","Escalate to CBE","Escalate to Roxanne"))</f>
        <v/>
      </c>
    </row>
    <row r="58" spans="18:26">
      <c r="R58" s="15"/>
      <c r="S58" s="16"/>
      <c r="T58" s="17">
        <f>IF(AND(COUNTA($A58:$K58)=0,$L58=""),"",IF($S58="Paid","PAID",IF($S58="Closed","CLOSED",IF($W58="","",IF($W58=6,"ESCALATED TO ROXANNE",IF(TODAY()&gt;$Y58,"OVERDUE",IF($Y58&lt;=WORKDAY(TODAY(),1,Holidays),"DUE TOMORROW",IF($W58=4,"ESCALATED TO LOCAL OFFICE",IF($W58=5,"ESCALATED TO CBE",IF($X58=TODAY(),"EMAIL SENT","MONITORING"))))))))))</f>
        <v/>
      </c>
      <c r="U58" s="17">
        <f>IF($T58="",IF(AND(COUNTA($A58:$K58)&gt;0,$L58=""),"Awaiting Collection Email time stamp.",""),IF(OR($T58="PAID",$T58="CLOSED"),IF($T58="PAID","Account paid. Action completed.","Account closed. No further action required."),CHOOSE($W58,"Collection Email","1st Email Follow-up","2nd Email Follow-up","Escalation to Local Office","Escalation to CBE","Escalation to Roxanne")&amp;" sent "&amp;TEXT($X58,"dd-mmm")&amp;". "&amp;IF($W58=6,"Final escalation completed.",IF($T58="OVERDUE","Next: "&amp;$Z58&amp;" was due "&amp;TEXT($Y58,"dd-mmm")&amp;" - "&amp;(NETWORKDAYS($Y58,TODAY(),Holidays)-1)&amp;" business day(s) late. Send now.",IF($T58="DUE TOMORROW","Next: "&amp;$Z58&amp;IF($Y58&lt;=TODAY()," is due TODAY ("," is due next business day (")&amp;TEXT($Y58,"dd-mmm")&amp;").","Next: "&amp;$Z58&amp;" due "&amp;TEXT($Y58,"dd-mmm")&amp;" ("&amp;(NETWORKDAYS(TODAY(),$Y58,Holidays)-1)&amp;" business day(s) left).")))))</f>
        <v/>
      </c>
      <c r="V58" s="17">
        <f>IF($W58="","",CHOOSE($W58,"Collection Email","1st Follow-up","2nd Follow-up","Local Office","CBE","Roxanne")&amp;IF($W58=6," - Final"," - Day "&amp;MAX(0,NETWORKDAYS($X58,TODAY(),Holidays)-1)&amp;" of "&amp;CHOOSE($W58,3,3,2,2,3))&amp;" | Total Day "&amp;MAX(0,NETWORKDAYS($L58,TODAY(),Holidays)-1))</f>
        <v/>
      </c>
      <c r="W58" s="17">
        <f>IF($L58="","",COUNT($L58:$Q58))</f>
        <v/>
      </c>
      <c r="X58" s="18">
        <f>IF($W58="","",INT(INDEX($L58:$Q58,$W58)))</f>
        <v/>
      </c>
      <c r="Y58" s="18">
        <f>IF(OR($W58="",$W58=6),"",WORKDAY($X58,CHOOSE($W58,3,3,2,2,3),Holidays))</f>
        <v/>
      </c>
      <c r="Z58" s="17">
        <f>IF(OR($W58="",$W58=6),"",CHOOSE($W58,"1st Email Follow-up","2nd Email Follow-up","Escalate Local Office","Escalate to CBE","Escalate to Roxanne"))</f>
        <v/>
      </c>
    </row>
    <row r="59" spans="18:26">
      <c r="R59" s="15"/>
      <c r="S59" s="16"/>
      <c r="T59" s="17">
        <f>IF(AND(COUNTA($A59:$K59)=0,$L59=""),"",IF($S59="Paid","PAID",IF($S59="Closed","CLOSED",IF($W59="","",IF($W59=6,"ESCALATED TO ROXANNE",IF(TODAY()&gt;$Y59,"OVERDUE",IF($Y59&lt;=WORKDAY(TODAY(),1,Holidays),"DUE TOMORROW",IF($W59=4,"ESCALATED TO LOCAL OFFICE",IF($W59=5,"ESCALATED TO CBE",IF($X59=TODAY(),"EMAIL SENT","MONITORING"))))))))))</f>
        <v/>
      </c>
      <c r="U59" s="17">
        <f>IF($T59="",IF(AND(COUNTA($A59:$K59)&gt;0,$L59=""),"Awaiting Collection Email time stamp.",""),IF(OR($T59="PAID",$T59="CLOSED"),IF($T59="PAID","Account paid. Action completed.","Account closed. No further action required."),CHOOSE($W59,"Collection Email","1st Email Follow-up","2nd Email Follow-up","Escalation to Local Office","Escalation to CBE","Escalation to Roxanne")&amp;" sent "&amp;TEXT($X59,"dd-mmm")&amp;". "&amp;IF($W59=6,"Final escalation completed.",IF($T59="OVERDUE","Next: "&amp;$Z59&amp;" was due "&amp;TEXT($Y59,"dd-mmm")&amp;" - "&amp;(NETWORKDAYS($Y59,TODAY(),Holidays)-1)&amp;" business day(s) late. Send now.",IF($T59="DUE TOMORROW","Next: "&amp;$Z59&amp;IF($Y59&lt;=TODAY()," is due TODAY ("," is due next business day (")&amp;TEXT($Y59,"dd-mmm")&amp;").","Next: "&amp;$Z59&amp;" due "&amp;TEXT($Y59,"dd-mmm")&amp;" ("&amp;(NETWORKDAYS(TODAY(),$Y59,Holidays)-1)&amp;" business day(s) left).")))))</f>
        <v/>
      </c>
      <c r="V59" s="17">
        <f>IF($W59="","",CHOOSE($W59,"Collection Email","1st Follow-up","2nd Follow-up","Local Office","CBE","Roxanne")&amp;IF($W59=6," - Final"," - Day "&amp;MAX(0,NETWORKDAYS($X59,TODAY(),Holidays)-1)&amp;" of "&amp;CHOOSE($W59,3,3,2,2,3))&amp;" | Total Day "&amp;MAX(0,NETWORKDAYS($L59,TODAY(),Holidays)-1))</f>
        <v/>
      </c>
      <c r="W59" s="17">
        <f>IF($L59="","",COUNT($L59:$Q59))</f>
        <v/>
      </c>
      <c r="X59" s="18">
        <f>IF($W59="","",INT(INDEX($L59:$Q59,$W59)))</f>
        <v/>
      </c>
      <c r="Y59" s="18">
        <f>IF(OR($W59="",$W59=6),"",WORKDAY($X59,CHOOSE($W59,3,3,2,2,3),Holidays))</f>
        <v/>
      </c>
      <c r="Z59" s="17">
        <f>IF(OR($W59="",$W59=6),"",CHOOSE($W59,"1st Email Follow-up","2nd Email Follow-up","Escalate Local Office","Escalate to CBE","Escalate to Roxanne"))</f>
        <v/>
      </c>
    </row>
    <row r="60" spans="18:26">
      <c r="R60" s="15"/>
      <c r="S60" s="16"/>
      <c r="T60" s="17">
        <f>IF(AND(COUNTA($A60:$K60)=0,$L60=""),"",IF($S60="Paid","PAID",IF($S60="Closed","CLOSED",IF($W60="","",IF($W60=6,"ESCALATED TO ROXANNE",IF(TODAY()&gt;$Y60,"OVERDUE",IF($Y60&lt;=WORKDAY(TODAY(),1,Holidays),"DUE TOMORROW",IF($W60=4,"ESCALATED TO LOCAL OFFICE",IF($W60=5,"ESCALATED TO CBE",IF($X60=TODAY(),"EMAIL SENT","MONITORING"))))))))))</f>
        <v/>
      </c>
      <c r="U60" s="17">
        <f>IF($T60="",IF(AND(COUNTA($A60:$K60)&gt;0,$L60=""),"Awaiting Collection Email time stamp.",""),IF(OR($T60="PAID",$T60="CLOSED"),IF($T60="PAID","Account paid. Action completed.","Account closed. No further action required."),CHOOSE($W60,"Collection Email","1st Email Follow-up","2nd Email Follow-up","Escalation to Local Office","Escalation to CBE","Escalation to Roxanne")&amp;" sent "&amp;TEXT($X60,"dd-mmm")&amp;". "&amp;IF($W60=6,"Final escalation completed.",IF($T60="OVERDUE","Next: "&amp;$Z60&amp;" was due "&amp;TEXT($Y60,"dd-mmm")&amp;" - "&amp;(NETWORKDAYS($Y60,TODAY(),Holidays)-1)&amp;" business day(s) late. Send now.",IF($T60="DUE TOMORROW","Next: "&amp;$Z60&amp;IF($Y60&lt;=TODAY()," is due TODAY ("," is due next business day (")&amp;TEXT($Y60,"dd-mmm")&amp;").","Next: "&amp;$Z60&amp;" due "&amp;TEXT($Y60,"dd-mmm")&amp;" ("&amp;(NETWORKDAYS(TODAY(),$Y60,Holidays)-1)&amp;" business day(s) left).")))))</f>
        <v/>
      </c>
      <c r="V60" s="17">
        <f>IF($W60="","",CHOOSE($W60,"Collection Email","1st Follow-up","2nd Follow-up","Local Office","CBE","Roxanne")&amp;IF($W60=6," - Final"," - Day "&amp;MAX(0,NETWORKDAYS($X60,TODAY(),Holidays)-1)&amp;" of "&amp;CHOOSE($W60,3,3,2,2,3))&amp;" | Total Day "&amp;MAX(0,NETWORKDAYS($L60,TODAY(),Holidays)-1))</f>
        <v/>
      </c>
      <c r="W60" s="17">
        <f>IF($L60="","",COUNT($L60:$Q60))</f>
        <v/>
      </c>
      <c r="X60" s="18">
        <f>IF($W60="","",INT(INDEX($L60:$Q60,$W60)))</f>
        <v/>
      </c>
      <c r="Y60" s="18">
        <f>IF(OR($W60="",$W60=6),"",WORKDAY($X60,CHOOSE($W60,3,3,2,2,3),Holidays))</f>
        <v/>
      </c>
      <c r="Z60" s="17">
        <f>IF(OR($W60="",$W60=6),"",CHOOSE($W60,"1st Email Follow-up","2nd Email Follow-up","Escalate Local Office","Escalate to CBE","Escalate to Roxanne"))</f>
        <v/>
      </c>
    </row>
    <row r="61" spans="18:26">
      <c r="R61" s="15"/>
      <c r="S61" s="16"/>
      <c r="T61" s="17">
        <f>IF(AND(COUNTA($A61:$K61)=0,$L61=""),"",IF($S61="Paid","PAID",IF($S61="Closed","CLOSED",IF($W61="","",IF($W61=6,"ESCALATED TO ROXANNE",IF(TODAY()&gt;$Y61,"OVERDUE",IF($Y61&lt;=WORKDAY(TODAY(),1,Holidays),"DUE TOMORROW",IF($W61=4,"ESCALATED TO LOCAL OFFICE",IF($W61=5,"ESCALATED TO CBE",IF($X61=TODAY(),"EMAIL SENT","MONITORING"))))))))))</f>
        <v/>
      </c>
      <c r="U61" s="17">
        <f>IF($T61="",IF(AND(COUNTA($A61:$K61)&gt;0,$L61=""),"Awaiting Collection Email time stamp.",""),IF(OR($T61="PAID",$T61="CLOSED"),IF($T61="PAID","Account paid. Action completed.","Account closed. No further action required."),CHOOSE($W61,"Collection Email","1st Email Follow-up","2nd Email Follow-up","Escalation to Local Office","Escalation to CBE","Escalation to Roxanne")&amp;" sent "&amp;TEXT($X61,"dd-mmm")&amp;". "&amp;IF($W61=6,"Final escalation completed.",IF($T61="OVERDUE","Next: "&amp;$Z61&amp;" was due "&amp;TEXT($Y61,"dd-mmm")&amp;" - "&amp;(NETWORKDAYS($Y61,TODAY(),Holidays)-1)&amp;" business day(s) late. Send now.",IF($T61="DUE TOMORROW","Next: "&amp;$Z61&amp;IF($Y61&lt;=TODAY()," is due TODAY ("," is due next business day (")&amp;TEXT($Y61,"dd-mmm")&amp;").","Next: "&amp;$Z61&amp;" due "&amp;TEXT($Y61,"dd-mmm")&amp;" ("&amp;(NETWORKDAYS(TODAY(),$Y61,Holidays)-1)&amp;" business day(s) left).")))))</f>
        <v/>
      </c>
      <c r="V61" s="17">
        <f>IF($W61="","",CHOOSE($W61,"Collection Email","1st Follow-up","2nd Follow-up","Local Office","CBE","Roxanne")&amp;IF($W61=6," - Final"," - Day "&amp;MAX(0,NETWORKDAYS($X61,TODAY(),Holidays)-1)&amp;" of "&amp;CHOOSE($W61,3,3,2,2,3))&amp;" | Total Day "&amp;MAX(0,NETWORKDAYS($L61,TODAY(),Holidays)-1))</f>
        <v/>
      </c>
      <c r="W61" s="17">
        <f>IF($L61="","",COUNT($L61:$Q61))</f>
        <v/>
      </c>
      <c r="X61" s="18">
        <f>IF($W61="","",INT(INDEX($L61:$Q61,$W61)))</f>
        <v/>
      </c>
      <c r="Y61" s="18">
        <f>IF(OR($W61="",$W61=6),"",WORKDAY($X61,CHOOSE($W61,3,3,2,2,3),Holidays))</f>
        <v/>
      </c>
      <c r="Z61" s="17">
        <f>IF(OR($W61="",$W61=6),"",CHOOSE($W61,"1st Email Follow-up","2nd Email Follow-up","Escalate Local Office","Escalate to CBE","Escalate to Roxanne"))</f>
        <v/>
      </c>
    </row>
    <row r="62" spans="18:26">
      <c r="R62" s="15"/>
      <c r="S62" s="16"/>
      <c r="T62" s="17">
        <f>IF(AND(COUNTA($A62:$K62)=0,$L62=""),"",IF($S62="Paid","PAID",IF($S62="Closed","CLOSED",IF($W62="","",IF($W62=6,"ESCALATED TO ROXANNE",IF(TODAY()&gt;$Y62,"OVERDUE",IF($Y62&lt;=WORKDAY(TODAY(),1,Holidays),"DUE TOMORROW",IF($W62=4,"ESCALATED TO LOCAL OFFICE",IF($W62=5,"ESCALATED TO CBE",IF($X62=TODAY(),"EMAIL SENT","MONITORING"))))))))))</f>
        <v/>
      </c>
      <c r="U62" s="17">
        <f>IF($T62="",IF(AND(COUNTA($A62:$K62)&gt;0,$L62=""),"Awaiting Collection Email time stamp.",""),IF(OR($T62="PAID",$T62="CLOSED"),IF($T62="PAID","Account paid. Action completed.","Account closed. No further action required."),CHOOSE($W62,"Collection Email","1st Email Follow-up","2nd Email Follow-up","Escalation to Local Office","Escalation to CBE","Escalation to Roxanne")&amp;" sent "&amp;TEXT($X62,"dd-mmm")&amp;". "&amp;IF($W62=6,"Final escalation completed.",IF($T62="OVERDUE","Next: "&amp;$Z62&amp;" was due "&amp;TEXT($Y62,"dd-mmm")&amp;" - "&amp;(NETWORKDAYS($Y62,TODAY(),Holidays)-1)&amp;" business day(s) late. Send now.",IF($T62="DUE TOMORROW","Next: "&amp;$Z62&amp;IF($Y62&lt;=TODAY()," is due TODAY ("," is due next business day (")&amp;TEXT($Y62,"dd-mmm")&amp;").","Next: "&amp;$Z62&amp;" due "&amp;TEXT($Y62,"dd-mmm")&amp;" ("&amp;(NETWORKDAYS(TODAY(),$Y62,Holidays)-1)&amp;" business day(s) left).")))))</f>
        <v/>
      </c>
      <c r="V62" s="17">
        <f>IF($W62="","",CHOOSE($W62,"Collection Email","1st Follow-up","2nd Follow-up","Local Office","CBE","Roxanne")&amp;IF($W62=6," - Final"," - Day "&amp;MAX(0,NETWORKDAYS($X62,TODAY(),Holidays)-1)&amp;" of "&amp;CHOOSE($W62,3,3,2,2,3))&amp;" | Total Day "&amp;MAX(0,NETWORKDAYS($L62,TODAY(),Holidays)-1))</f>
        <v/>
      </c>
      <c r="W62" s="17">
        <f>IF($L62="","",COUNT($L62:$Q62))</f>
        <v/>
      </c>
      <c r="X62" s="18">
        <f>IF($W62="","",INT(INDEX($L62:$Q62,$W62)))</f>
        <v/>
      </c>
      <c r="Y62" s="18">
        <f>IF(OR($W62="",$W62=6),"",WORKDAY($X62,CHOOSE($W62,3,3,2,2,3),Holidays))</f>
        <v/>
      </c>
      <c r="Z62" s="17">
        <f>IF(OR($W62="",$W62=6),"",CHOOSE($W62,"1st Email Follow-up","2nd Email Follow-up","Escalate Local Office","Escalate to CBE","Escalate to Roxanne"))</f>
        <v/>
      </c>
    </row>
    <row r="63" spans="18:26">
      <c r="R63" s="15"/>
      <c r="S63" s="16"/>
      <c r="T63" s="17">
        <f>IF(AND(COUNTA($A63:$K63)=0,$L63=""),"",IF($S63="Paid","PAID",IF($S63="Closed","CLOSED",IF($W63="","",IF($W63=6,"ESCALATED TO ROXANNE",IF(TODAY()&gt;$Y63,"OVERDUE",IF($Y63&lt;=WORKDAY(TODAY(),1,Holidays),"DUE TOMORROW",IF($W63=4,"ESCALATED TO LOCAL OFFICE",IF($W63=5,"ESCALATED TO CBE",IF($X63=TODAY(),"EMAIL SENT","MONITORING"))))))))))</f>
        <v/>
      </c>
      <c r="U63" s="17">
        <f>IF($T63="",IF(AND(COUNTA($A63:$K63)&gt;0,$L63=""),"Awaiting Collection Email time stamp.",""),IF(OR($T63="PAID",$T63="CLOSED"),IF($T63="PAID","Account paid. Action completed.","Account closed. No further action required."),CHOOSE($W63,"Collection Email","1st Email Follow-up","2nd Email Follow-up","Escalation to Local Office","Escalation to CBE","Escalation to Roxanne")&amp;" sent "&amp;TEXT($X63,"dd-mmm")&amp;". "&amp;IF($W63=6,"Final escalation completed.",IF($T63="OVERDUE","Next: "&amp;$Z63&amp;" was due "&amp;TEXT($Y63,"dd-mmm")&amp;" - "&amp;(NETWORKDAYS($Y63,TODAY(),Holidays)-1)&amp;" business day(s) late. Send now.",IF($T63="DUE TOMORROW","Next: "&amp;$Z63&amp;IF($Y63&lt;=TODAY()," is due TODAY ("," is due next business day (")&amp;TEXT($Y63,"dd-mmm")&amp;").","Next: "&amp;$Z63&amp;" due "&amp;TEXT($Y63,"dd-mmm")&amp;" ("&amp;(NETWORKDAYS(TODAY(),$Y63,Holidays)-1)&amp;" business day(s) left).")))))</f>
        <v/>
      </c>
      <c r="V63" s="17">
        <f>IF($W63="","",CHOOSE($W63,"Collection Email","1st Follow-up","2nd Follow-up","Local Office","CBE","Roxanne")&amp;IF($W63=6," - Final"," - Day "&amp;MAX(0,NETWORKDAYS($X63,TODAY(),Holidays)-1)&amp;" of "&amp;CHOOSE($W63,3,3,2,2,3))&amp;" | Total Day "&amp;MAX(0,NETWORKDAYS($L63,TODAY(),Holidays)-1))</f>
        <v/>
      </c>
      <c r="W63" s="17">
        <f>IF($L63="","",COUNT($L63:$Q63))</f>
        <v/>
      </c>
      <c r="X63" s="18">
        <f>IF($W63="","",INT(INDEX($L63:$Q63,$W63)))</f>
        <v/>
      </c>
      <c r="Y63" s="18">
        <f>IF(OR($W63="",$W63=6),"",WORKDAY($X63,CHOOSE($W63,3,3,2,2,3),Holidays))</f>
        <v/>
      </c>
      <c r="Z63" s="17">
        <f>IF(OR($W63="",$W63=6),"",CHOOSE($W63,"1st Email Follow-up","2nd Email Follow-up","Escalate Local Office","Escalate to CBE","Escalate to Roxanne"))</f>
        <v/>
      </c>
    </row>
    <row r="64" spans="18:26">
      <c r="R64" s="15"/>
      <c r="S64" s="16"/>
      <c r="T64" s="17">
        <f>IF(AND(COUNTA($A64:$K64)=0,$L64=""),"",IF($S64="Paid","PAID",IF($S64="Closed","CLOSED",IF($W64="","",IF($W64=6,"ESCALATED TO ROXANNE",IF(TODAY()&gt;$Y64,"OVERDUE",IF($Y64&lt;=WORKDAY(TODAY(),1,Holidays),"DUE TOMORROW",IF($W64=4,"ESCALATED TO LOCAL OFFICE",IF($W64=5,"ESCALATED TO CBE",IF($X64=TODAY(),"EMAIL SENT","MONITORING"))))))))))</f>
        <v/>
      </c>
      <c r="U64" s="17">
        <f>IF($T64="",IF(AND(COUNTA($A64:$K64)&gt;0,$L64=""),"Awaiting Collection Email time stamp.",""),IF(OR($T64="PAID",$T64="CLOSED"),IF($T64="PAID","Account paid. Action completed.","Account closed. No further action required."),CHOOSE($W64,"Collection Email","1st Email Follow-up","2nd Email Follow-up","Escalation to Local Office","Escalation to CBE","Escalation to Roxanne")&amp;" sent "&amp;TEXT($X64,"dd-mmm")&amp;". "&amp;IF($W64=6,"Final escalation completed.",IF($T64="OVERDUE","Next: "&amp;$Z64&amp;" was due "&amp;TEXT($Y64,"dd-mmm")&amp;" - "&amp;(NETWORKDAYS($Y64,TODAY(),Holidays)-1)&amp;" business day(s) late. Send now.",IF($T64="DUE TOMORROW","Next: "&amp;$Z64&amp;IF($Y64&lt;=TODAY()," is due TODAY ("," is due next business day (")&amp;TEXT($Y64,"dd-mmm")&amp;").","Next: "&amp;$Z64&amp;" due "&amp;TEXT($Y64,"dd-mmm")&amp;" ("&amp;(NETWORKDAYS(TODAY(),$Y64,Holidays)-1)&amp;" business day(s) left).")))))</f>
        <v/>
      </c>
      <c r="V64" s="17">
        <f>IF($W64="","",CHOOSE($W64,"Collection Email","1st Follow-up","2nd Follow-up","Local Office","CBE","Roxanne")&amp;IF($W64=6," - Final"," - Day "&amp;MAX(0,NETWORKDAYS($X64,TODAY(),Holidays)-1)&amp;" of "&amp;CHOOSE($W64,3,3,2,2,3))&amp;" | Total Day "&amp;MAX(0,NETWORKDAYS($L64,TODAY(),Holidays)-1))</f>
        <v/>
      </c>
      <c r="W64" s="17">
        <f>IF($L64="","",COUNT($L64:$Q64))</f>
        <v/>
      </c>
      <c r="X64" s="18">
        <f>IF($W64="","",INT(INDEX($L64:$Q64,$W64)))</f>
        <v/>
      </c>
      <c r="Y64" s="18">
        <f>IF(OR($W64="",$W64=6),"",WORKDAY($X64,CHOOSE($W64,3,3,2,2,3),Holidays))</f>
        <v/>
      </c>
      <c r="Z64" s="17">
        <f>IF(OR($W64="",$W64=6),"",CHOOSE($W64,"1st Email Follow-up","2nd Email Follow-up","Escalate Local Office","Escalate to CBE","Escalate to Roxanne"))</f>
        <v/>
      </c>
    </row>
    <row r="65" spans="18:26">
      <c r="R65" s="15"/>
      <c r="S65" s="16"/>
      <c r="T65" s="17">
        <f>IF(AND(COUNTA($A65:$K65)=0,$L65=""),"",IF($S65="Paid","PAID",IF($S65="Closed","CLOSED",IF($W65="","",IF($W65=6,"ESCALATED TO ROXANNE",IF(TODAY()&gt;$Y65,"OVERDUE",IF($Y65&lt;=WORKDAY(TODAY(),1,Holidays),"DUE TOMORROW",IF($W65=4,"ESCALATED TO LOCAL OFFICE",IF($W65=5,"ESCALATED TO CBE",IF($X65=TODAY(),"EMAIL SENT","MONITORING"))))))))))</f>
        <v/>
      </c>
      <c r="U65" s="17">
        <f>IF($T65="",IF(AND(COUNTA($A65:$K65)&gt;0,$L65=""),"Awaiting Collection Email time stamp.",""),IF(OR($T65="PAID",$T65="CLOSED"),IF($T65="PAID","Account paid. Action completed.","Account closed. No further action required."),CHOOSE($W65,"Collection Email","1st Email Follow-up","2nd Email Follow-up","Escalation to Local Office","Escalation to CBE","Escalation to Roxanne")&amp;" sent "&amp;TEXT($X65,"dd-mmm")&amp;". "&amp;IF($W65=6,"Final escalation completed.",IF($T65="OVERDUE","Next: "&amp;$Z65&amp;" was due "&amp;TEXT($Y65,"dd-mmm")&amp;" - "&amp;(NETWORKDAYS($Y65,TODAY(),Holidays)-1)&amp;" business day(s) late. Send now.",IF($T65="DUE TOMORROW","Next: "&amp;$Z65&amp;IF($Y65&lt;=TODAY()," is due TODAY ("," is due next business day (")&amp;TEXT($Y65,"dd-mmm")&amp;").","Next: "&amp;$Z65&amp;" due "&amp;TEXT($Y65,"dd-mmm")&amp;" ("&amp;(NETWORKDAYS(TODAY(),$Y65,Holidays)-1)&amp;" business day(s) left).")))))</f>
        <v/>
      </c>
      <c r="V65" s="17">
        <f>IF($W65="","",CHOOSE($W65,"Collection Email","1st Follow-up","2nd Follow-up","Local Office","CBE","Roxanne")&amp;IF($W65=6," - Final"," - Day "&amp;MAX(0,NETWORKDAYS($X65,TODAY(),Holidays)-1)&amp;" of "&amp;CHOOSE($W65,3,3,2,2,3))&amp;" | Total Day "&amp;MAX(0,NETWORKDAYS($L65,TODAY(),Holidays)-1))</f>
        <v/>
      </c>
      <c r="W65" s="17">
        <f>IF($L65="","",COUNT($L65:$Q65))</f>
        <v/>
      </c>
      <c r="X65" s="18">
        <f>IF($W65="","",INT(INDEX($L65:$Q65,$W65)))</f>
        <v/>
      </c>
      <c r="Y65" s="18">
        <f>IF(OR($W65="",$W65=6),"",WORKDAY($X65,CHOOSE($W65,3,3,2,2,3),Holidays))</f>
        <v/>
      </c>
      <c r="Z65" s="17">
        <f>IF(OR($W65="",$W65=6),"",CHOOSE($W65,"1st Email Follow-up","2nd Email Follow-up","Escalate Local Office","Escalate to CBE","Escalate to Roxanne"))</f>
        <v/>
      </c>
    </row>
    <row r="66" spans="18:26">
      <c r="R66" s="15"/>
      <c r="S66" s="16"/>
      <c r="T66" s="17">
        <f>IF(AND(COUNTA($A66:$K66)=0,$L66=""),"",IF($S66="Paid","PAID",IF($S66="Closed","CLOSED",IF($W66="","",IF($W66=6,"ESCALATED TO ROXANNE",IF(TODAY()&gt;$Y66,"OVERDUE",IF($Y66&lt;=WORKDAY(TODAY(),1,Holidays),"DUE TOMORROW",IF($W66=4,"ESCALATED TO LOCAL OFFICE",IF($W66=5,"ESCALATED TO CBE",IF($X66=TODAY(),"EMAIL SENT","MONITORING"))))))))))</f>
        <v/>
      </c>
      <c r="U66" s="17">
        <f>IF($T66="",IF(AND(COUNTA($A66:$K66)&gt;0,$L66=""),"Awaiting Collection Email time stamp.",""),IF(OR($T66="PAID",$T66="CLOSED"),IF($T66="PAID","Account paid. Action completed.","Account closed. No further action required."),CHOOSE($W66,"Collection Email","1st Email Follow-up","2nd Email Follow-up","Escalation to Local Office","Escalation to CBE","Escalation to Roxanne")&amp;" sent "&amp;TEXT($X66,"dd-mmm")&amp;". "&amp;IF($W66=6,"Final escalation completed.",IF($T66="OVERDUE","Next: "&amp;$Z66&amp;" was due "&amp;TEXT($Y66,"dd-mmm")&amp;" - "&amp;(NETWORKDAYS($Y66,TODAY(),Holidays)-1)&amp;" business day(s) late. Send now.",IF($T66="DUE TOMORROW","Next: "&amp;$Z66&amp;IF($Y66&lt;=TODAY()," is due TODAY ("," is due next business day (")&amp;TEXT($Y66,"dd-mmm")&amp;").","Next: "&amp;$Z66&amp;" due "&amp;TEXT($Y66,"dd-mmm")&amp;" ("&amp;(NETWORKDAYS(TODAY(),$Y66,Holidays)-1)&amp;" business day(s) left).")))))</f>
        <v/>
      </c>
      <c r="V66" s="17">
        <f>IF($W66="","",CHOOSE($W66,"Collection Email","1st Follow-up","2nd Follow-up","Local Office","CBE","Roxanne")&amp;IF($W66=6," - Final"," - Day "&amp;MAX(0,NETWORKDAYS($X66,TODAY(),Holidays)-1)&amp;" of "&amp;CHOOSE($W66,3,3,2,2,3))&amp;" | Total Day "&amp;MAX(0,NETWORKDAYS($L66,TODAY(),Holidays)-1))</f>
        <v/>
      </c>
      <c r="W66" s="17">
        <f>IF($L66="","",COUNT($L66:$Q66))</f>
        <v/>
      </c>
      <c r="X66" s="18">
        <f>IF($W66="","",INT(INDEX($L66:$Q66,$W66)))</f>
        <v/>
      </c>
      <c r="Y66" s="18">
        <f>IF(OR($W66="",$W66=6),"",WORKDAY($X66,CHOOSE($W66,3,3,2,2,3),Holidays))</f>
        <v/>
      </c>
      <c r="Z66" s="17">
        <f>IF(OR($W66="",$W66=6),"",CHOOSE($W66,"1st Email Follow-up","2nd Email Follow-up","Escalate Local Office","Escalate to CBE","Escalate to Roxanne"))</f>
        <v/>
      </c>
    </row>
    <row r="67" spans="18:26">
      <c r="R67" s="15"/>
      <c r="S67" s="16"/>
      <c r="T67" s="17">
        <f>IF(AND(COUNTA($A67:$K67)=0,$L67=""),"",IF($S67="Paid","PAID",IF($S67="Closed","CLOSED",IF($W67="","",IF($W67=6,"ESCALATED TO ROXANNE",IF(TODAY()&gt;$Y67,"OVERDUE",IF($Y67&lt;=WORKDAY(TODAY(),1,Holidays),"DUE TOMORROW",IF($W67=4,"ESCALATED TO LOCAL OFFICE",IF($W67=5,"ESCALATED TO CBE",IF($X67=TODAY(),"EMAIL SENT","MONITORING"))))))))))</f>
        <v/>
      </c>
      <c r="U67" s="17">
        <f>IF($T67="",IF(AND(COUNTA($A67:$K67)&gt;0,$L67=""),"Awaiting Collection Email time stamp.",""),IF(OR($T67="PAID",$T67="CLOSED"),IF($T67="PAID","Account paid. Action completed.","Account closed. No further action required."),CHOOSE($W67,"Collection Email","1st Email Follow-up","2nd Email Follow-up","Escalation to Local Office","Escalation to CBE","Escalation to Roxanne")&amp;" sent "&amp;TEXT($X67,"dd-mmm")&amp;". "&amp;IF($W67=6,"Final escalation completed.",IF($T67="OVERDUE","Next: "&amp;$Z67&amp;" was due "&amp;TEXT($Y67,"dd-mmm")&amp;" - "&amp;(NETWORKDAYS($Y67,TODAY(),Holidays)-1)&amp;" business day(s) late. Send now.",IF($T67="DUE TOMORROW","Next: "&amp;$Z67&amp;IF($Y67&lt;=TODAY()," is due TODAY ("," is due next business day (")&amp;TEXT($Y67,"dd-mmm")&amp;").","Next: "&amp;$Z67&amp;" due "&amp;TEXT($Y67,"dd-mmm")&amp;" ("&amp;(NETWORKDAYS(TODAY(),$Y67,Holidays)-1)&amp;" business day(s) left).")))))</f>
        <v/>
      </c>
      <c r="V67" s="17">
        <f>IF($W67="","",CHOOSE($W67,"Collection Email","1st Follow-up","2nd Follow-up","Local Office","CBE","Roxanne")&amp;IF($W67=6," - Final"," - Day "&amp;MAX(0,NETWORKDAYS($X67,TODAY(),Holidays)-1)&amp;" of "&amp;CHOOSE($W67,3,3,2,2,3))&amp;" | Total Day "&amp;MAX(0,NETWORKDAYS($L67,TODAY(),Holidays)-1))</f>
        <v/>
      </c>
      <c r="W67" s="17">
        <f>IF($L67="","",COUNT($L67:$Q67))</f>
        <v/>
      </c>
      <c r="X67" s="18">
        <f>IF($W67="","",INT(INDEX($L67:$Q67,$W67)))</f>
        <v/>
      </c>
      <c r="Y67" s="18">
        <f>IF(OR($W67="",$W67=6),"",WORKDAY($X67,CHOOSE($W67,3,3,2,2,3),Holidays))</f>
        <v/>
      </c>
      <c r="Z67" s="17">
        <f>IF(OR($W67="",$W67=6),"",CHOOSE($W67,"1st Email Follow-up","2nd Email Follow-up","Escalate Local Office","Escalate to CBE","Escalate to Roxanne"))</f>
        <v/>
      </c>
    </row>
    <row r="68" spans="18:26">
      <c r="R68" s="15"/>
      <c r="S68" s="16"/>
      <c r="T68" s="17">
        <f>IF(AND(COUNTA($A68:$K68)=0,$L68=""),"",IF($S68="Paid","PAID",IF($S68="Closed","CLOSED",IF($W68="","",IF($W68=6,"ESCALATED TO ROXANNE",IF(TODAY()&gt;$Y68,"OVERDUE",IF($Y68&lt;=WORKDAY(TODAY(),1,Holidays),"DUE TOMORROW",IF($W68=4,"ESCALATED TO LOCAL OFFICE",IF($W68=5,"ESCALATED TO CBE",IF($X68=TODAY(),"EMAIL SENT","MONITORING"))))))))))</f>
        <v/>
      </c>
      <c r="U68" s="17">
        <f>IF($T68="",IF(AND(COUNTA($A68:$K68)&gt;0,$L68=""),"Awaiting Collection Email time stamp.",""),IF(OR($T68="PAID",$T68="CLOSED"),IF($T68="PAID","Account paid. Action completed.","Account closed. No further action required."),CHOOSE($W68,"Collection Email","1st Email Follow-up","2nd Email Follow-up","Escalation to Local Office","Escalation to CBE","Escalation to Roxanne")&amp;" sent "&amp;TEXT($X68,"dd-mmm")&amp;". "&amp;IF($W68=6,"Final escalation completed.",IF($T68="OVERDUE","Next: "&amp;$Z68&amp;" was due "&amp;TEXT($Y68,"dd-mmm")&amp;" - "&amp;(NETWORKDAYS($Y68,TODAY(),Holidays)-1)&amp;" business day(s) late. Send now.",IF($T68="DUE TOMORROW","Next: "&amp;$Z68&amp;IF($Y68&lt;=TODAY()," is due TODAY ("," is due next business day (")&amp;TEXT($Y68,"dd-mmm")&amp;").","Next: "&amp;$Z68&amp;" due "&amp;TEXT($Y68,"dd-mmm")&amp;" ("&amp;(NETWORKDAYS(TODAY(),$Y68,Holidays)-1)&amp;" business day(s) left).")))))</f>
        <v/>
      </c>
      <c r="V68" s="17">
        <f>IF($W68="","",CHOOSE($W68,"Collection Email","1st Follow-up","2nd Follow-up","Local Office","CBE","Roxanne")&amp;IF($W68=6," - Final"," - Day "&amp;MAX(0,NETWORKDAYS($X68,TODAY(),Holidays)-1)&amp;" of "&amp;CHOOSE($W68,3,3,2,2,3))&amp;" | Total Day "&amp;MAX(0,NETWORKDAYS($L68,TODAY(),Holidays)-1))</f>
        <v/>
      </c>
      <c r="W68" s="17">
        <f>IF($L68="","",COUNT($L68:$Q68))</f>
        <v/>
      </c>
      <c r="X68" s="18">
        <f>IF($W68="","",INT(INDEX($L68:$Q68,$W68)))</f>
        <v/>
      </c>
      <c r="Y68" s="18">
        <f>IF(OR($W68="",$W68=6),"",WORKDAY($X68,CHOOSE($W68,3,3,2,2,3),Holidays))</f>
        <v/>
      </c>
      <c r="Z68" s="17">
        <f>IF(OR($W68="",$W68=6),"",CHOOSE($W68,"1st Email Follow-up","2nd Email Follow-up","Escalate Local Office","Escalate to CBE","Escalate to Roxanne"))</f>
        <v/>
      </c>
    </row>
    <row r="69" spans="18:26">
      <c r="R69" s="15"/>
      <c r="S69" s="16"/>
      <c r="T69" s="17">
        <f>IF(AND(COUNTA($A69:$K69)=0,$L69=""),"",IF($S69="Paid","PAID",IF($S69="Closed","CLOSED",IF($W69="","",IF($W69=6,"ESCALATED TO ROXANNE",IF(TODAY()&gt;$Y69,"OVERDUE",IF($Y69&lt;=WORKDAY(TODAY(),1,Holidays),"DUE TOMORROW",IF($W69=4,"ESCALATED TO LOCAL OFFICE",IF($W69=5,"ESCALATED TO CBE",IF($X69=TODAY(),"EMAIL SENT","MONITORING"))))))))))</f>
        <v/>
      </c>
      <c r="U69" s="17">
        <f>IF($T69="",IF(AND(COUNTA($A69:$K69)&gt;0,$L69=""),"Awaiting Collection Email time stamp.",""),IF(OR($T69="PAID",$T69="CLOSED"),IF($T69="PAID","Account paid. Action completed.","Account closed. No further action required."),CHOOSE($W69,"Collection Email","1st Email Follow-up","2nd Email Follow-up","Escalation to Local Office","Escalation to CBE","Escalation to Roxanne")&amp;" sent "&amp;TEXT($X69,"dd-mmm")&amp;". "&amp;IF($W69=6,"Final escalation completed.",IF($T69="OVERDUE","Next: "&amp;$Z69&amp;" was due "&amp;TEXT($Y69,"dd-mmm")&amp;" - "&amp;(NETWORKDAYS($Y69,TODAY(),Holidays)-1)&amp;" business day(s) late. Send now.",IF($T69="DUE TOMORROW","Next: "&amp;$Z69&amp;IF($Y69&lt;=TODAY()," is due TODAY ("," is due next business day (")&amp;TEXT($Y69,"dd-mmm")&amp;").","Next: "&amp;$Z69&amp;" due "&amp;TEXT($Y69,"dd-mmm")&amp;" ("&amp;(NETWORKDAYS(TODAY(),$Y69,Holidays)-1)&amp;" business day(s) left).")))))</f>
        <v/>
      </c>
      <c r="V69" s="17">
        <f>IF($W69="","",CHOOSE($W69,"Collection Email","1st Follow-up","2nd Follow-up","Local Office","CBE","Roxanne")&amp;IF($W69=6," - Final"," - Day "&amp;MAX(0,NETWORKDAYS($X69,TODAY(),Holidays)-1)&amp;" of "&amp;CHOOSE($W69,3,3,2,2,3))&amp;" | Total Day "&amp;MAX(0,NETWORKDAYS($L69,TODAY(),Holidays)-1))</f>
        <v/>
      </c>
      <c r="W69" s="17">
        <f>IF($L69="","",COUNT($L69:$Q69))</f>
        <v/>
      </c>
      <c r="X69" s="18">
        <f>IF($W69="","",INT(INDEX($L69:$Q69,$W69)))</f>
        <v/>
      </c>
      <c r="Y69" s="18">
        <f>IF(OR($W69="",$W69=6),"",WORKDAY($X69,CHOOSE($W69,3,3,2,2,3),Holidays))</f>
        <v/>
      </c>
      <c r="Z69" s="17">
        <f>IF(OR($W69="",$W69=6),"",CHOOSE($W69,"1st Email Follow-up","2nd Email Follow-up","Escalate Local Office","Escalate to CBE","Escalate to Roxanne"))</f>
        <v/>
      </c>
    </row>
    <row r="70" spans="18:26">
      <c r="R70" s="15"/>
      <c r="S70" s="16"/>
      <c r="T70" s="17">
        <f>IF(AND(COUNTA($A70:$K70)=0,$L70=""),"",IF($S70="Paid","PAID",IF($S70="Closed","CLOSED",IF($W70="","",IF($W70=6,"ESCALATED TO ROXANNE",IF(TODAY()&gt;$Y70,"OVERDUE",IF($Y70&lt;=WORKDAY(TODAY(),1,Holidays),"DUE TOMORROW",IF($W70=4,"ESCALATED TO LOCAL OFFICE",IF($W70=5,"ESCALATED TO CBE",IF($X70=TODAY(),"EMAIL SENT","MONITORING"))))))))))</f>
        <v/>
      </c>
      <c r="U70" s="17">
        <f>IF($T70="",IF(AND(COUNTA($A70:$K70)&gt;0,$L70=""),"Awaiting Collection Email time stamp.",""),IF(OR($T70="PAID",$T70="CLOSED"),IF($T70="PAID","Account paid. Action completed.","Account closed. No further action required."),CHOOSE($W70,"Collection Email","1st Email Follow-up","2nd Email Follow-up","Escalation to Local Office","Escalation to CBE","Escalation to Roxanne")&amp;" sent "&amp;TEXT($X70,"dd-mmm")&amp;". "&amp;IF($W70=6,"Final escalation completed.",IF($T70="OVERDUE","Next: "&amp;$Z70&amp;" was due "&amp;TEXT($Y70,"dd-mmm")&amp;" - "&amp;(NETWORKDAYS($Y70,TODAY(),Holidays)-1)&amp;" business day(s) late. Send now.",IF($T70="DUE TOMORROW","Next: "&amp;$Z70&amp;IF($Y70&lt;=TODAY()," is due TODAY ("," is due next business day (")&amp;TEXT($Y70,"dd-mmm")&amp;").","Next: "&amp;$Z70&amp;" due "&amp;TEXT($Y70,"dd-mmm")&amp;" ("&amp;(NETWORKDAYS(TODAY(),$Y70,Holidays)-1)&amp;" business day(s) left).")))))</f>
        <v/>
      </c>
      <c r="V70" s="17">
        <f>IF($W70="","",CHOOSE($W70,"Collection Email","1st Follow-up","2nd Follow-up","Local Office","CBE","Roxanne")&amp;IF($W70=6," - Final"," - Day "&amp;MAX(0,NETWORKDAYS($X70,TODAY(),Holidays)-1)&amp;" of "&amp;CHOOSE($W70,3,3,2,2,3))&amp;" | Total Day "&amp;MAX(0,NETWORKDAYS($L70,TODAY(),Holidays)-1))</f>
        <v/>
      </c>
      <c r="W70" s="17">
        <f>IF($L70="","",COUNT($L70:$Q70))</f>
        <v/>
      </c>
      <c r="X70" s="18">
        <f>IF($W70="","",INT(INDEX($L70:$Q70,$W70)))</f>
        <v/>
      </c>
      <c r="Y70" s="18">
        <f>IF(OR($W70="",$W70=6),"",WORKDAY($X70,CHOOSE($W70,3,3,2,2,3),Holidays))</f>
        <v/>
      </c>
      <c r="Z70" s="17">
        <f>IF(OR($W70="",$W70=6),"",CHOOSE($W70,"1st Email Follow-up","2nd Email Follow-up","Escalate Local Office","Escalate to CBE","Escalate to Roxanne"))</f>
        <v/>
      </c>
    </row>
    <row r="71" spans="18:26">
      <c r="R71" s="15"/>
      <c r="S71" s="16"/>
      <c r="T71" s="17">
        <f>IF(AND(COUNTA($A71:$K71)=0,$L71=""),"",IF($S71="Paid","PAID",IF($S71="Closed","CLOSED",IF($W71="","",IF($W71=6,"ESCALATED TO ROXANNE",IF(TODAY()&gt;$Y71,"OVERDUE",IF($Y71&lt;=WORKDAY(TODAY(),1,Holidays),"DUE TOMORROW",IF($W71=4,"ESCALATED TO LOCAL OFFICE",IF($W71=5,"ESCALATED TO CBE",IF($X71=TODAY(),"EMAIL SENT","MONITORING"))))))))))</f>
        <v/>
      </c>
      <c r="U71" s="17">
        <f>IF($T71="",IF(AND(COUNTA($A71:$K71)&gt;0,$L71=""),"Awaiting Collection Email time stamp.",""),IF(OR($T71="PAID",$T71="CLOSED"),IF($T71="PAID","Account paid. Action completed.","Account closed. No further action required."),CHOOSE($W71,"Collection Email","1st Email Follow-up","2nd Email Follow-up","Escalation to Local Office","Escalation to CBE","Escalation to Roxanne")&amp;" sent "&amp;TEXT($X71,"dd-mmm")&amp;". "&amp;IF($W71=6,"Final escalation completed.",IF($T71="OVERDUE","Next: "&amp;$Z71&amp;" was due "&amp;TEXT($Y71,"dd-mmm")&amp;" - "&amp;(NETWORKDAYS($Y71,TODAY(),Holidays)-1)&amp;" business day(s) late. Send now.",IF($T71="DUE TOMORROW","Next: "&amp;$Z71&amp;IF($Y71&lt;=TODAY()," is due TODAY ("," is due next business day (")&amp;TEXT($Y71,"dd-mmm")&amp;").","Next: "&amp;$Z71&amp;" due "&amp;TEXT($Y71,"dd-mmm")&amp;" ("&amp;(NETWORKDAYS(TODAY(),$Y71,Holidays)-1)&amp;" business day(s) left).")))))</f>
        <v/>
      </c>
      <c r="V71" s="17">
        <f>IF($W71="","",CHOOSE($W71,"Collection Email","1st Follow-up","2nd Follow-up","Local Office","CBE","Roxanne")&amp;IF($W71=6," - Final"," - Day "&amp;MAX(0,NETWORKDAYS($X71,TODAY(),Holidays)-1)&amp;" of "&amp;CHOOSE($W71,3,3,2,2,3))&amp;" | Total Day "&amp;MAX(0,NETWORKDAYS($L71,TODAY(),Holidays)-1))</f>
        <v/>
      </c>
      <c r="W71" s="17">
        <f>IF($L71="","",COUNT($L71:$Q71))</f>
        <v/>
      </c>
      <c r="X71" s="18">
        <f>IF($W71="","",INT(INDEX($L71:$Q71,$W71)))</f>
        <v/>
      </c>
      <c r="Y71" s="18">
        <f>IF(OR($W71="",$W71=6),"",WORKDAY($X71,CHOOSE($W71,3,3,2,2,3),Holidays))</f>
        <v/>
      </c>
      <c r="Z71" s="17">
        <f>IF(OR($W71="",$W71=6),"",CHOOSE($W71,"1st Email Follow-up","2nd Email Follow-up","Escalate Local Office","Escalate to CBE","Escalate to Roxanne"))</f>
        <v/>
      </c>
    </row>
    <row r="72" spans="18:26">
      <c r="R72" s="15"/>
      <c r="S72" s="16"/>
      <c r="T72" s="17">
        <f>IF(AND(COUNTA($A72:$K72)=0,$L72=""),"",IF($S72="Paid","PAID",IF($S72="Closed","CLOSED",IF($W72="","",IF($W72=6,"ESCALATED TO ROXANNE",IF(TODAY()&gt;$Y72,"OVERDUE",IF($Y72&lt;=WORKDAY(TODAY(),1,Holidays),"DUE TOMORROW",IF($W72=4,"ESCALATED TO LOCAL OFFICE",IF($W72=5,"ESCALATED TO CBE",IF($X72=TODAY(),"EMAIL SENT","MONITORING"))))))))))</f>
        <v/>
      </c>
      <c r="U72" s="17">
        <f>IF($T72="",IF(AND(COUNTA($A72:$K72)&gt;0,$L72=""),"Awaiting Collection Email time stamp.",""),IF(OR($T72="PAID",$T72="CLOSED"),IF($T72="PAID","Account paid. Action completed.","Account closed. No further action required."),CHOOSE($W72,"Collection Email","1st Email Follow-up","2nd Email Follow-up","Escalation to Local Office","Escalation to CBE","Escalation to Roxanne")&amp;" sent "&amp;TEXT($X72,"dd-mmm")&amp;". "&amp;IF($W72=6,"Final escalation completed.",IF($T72="OVERDUE","Next: "&amp;$Z72&amp;" was due "&amp;TEXT($Y72,"dd-mmm")&amp;" - "&amp;(NETWORKDAYS($Y72,TODAY(),Holidays)-1)&amp;" business day(s) late. Send now.",IF($T72="DUE TOMORROW","Next: "&amp;$Z72&amp;IF($Y72&lt;=TODAY()," is due TODAY ("," is due next business day (")&amp;TEXT($Y72,"dd-mmm")&amp;").","Next: "&amp;$Z72&amp;" due "&amp;TEXT($Y72,"dd-mmm")&amp;" ("&amp;(NETWORKDAYS(TODAY(),$Y72,Holidays)-1)&amp;" business day(s) left).")))))</f>
        <v/>
      </c>
      <c r="V72" s="17">
        <f>IF($W72="","",CHOOSE($W72,"Collection Email","1st Follow-up","2nd Follow-up","Local Office","CBE","Roxanne")&amp;IF($W72=6," - Final"," - Day "&amp;MAX(0,NETWORKDAYS($X72,TODAY(),Holidays)-1)&amp;" of "&amp;CHOOSE($W72,3,3,2,2,3))&amp;" | Total Day "&amp;MAX(0,NETWORKDAYS($L72,TODAY(),Holidays)-1))</f>
        <v/>
      </c>
      <c r="W72" s="17">
        <f>IF($L72="","",COUNT($L72:$Q72))</f>
        <v/>
      </c>
      <c r="X72" s="18">
        <f>IF($W72="","",INT(INDEX($L72:$Q72,$W72)))</f>
        <v/>
      </c>
      <c r="Y72" s="18">
        <f>IF(OR($W72="",$W72=6),"",WORKDAY($X72,CHOOSE($W72,3,3,2,2,3),Holidays))</f>
        <v/>
      </c>
      <c r="Z72" s="17">
        <f>IF(OR($W72="",$W72=6),"",CHOOSE($W72,"1st Email Follow-up","2nd Email Follow-up","Escalate Local Office","Escalate to CBE","Escalate to Roxanne"))</f>
        <v/>
      </c>
    </row>
    <row r="73" spans="18:26">
      <c r="R73" s="15"/>
      <c r="S73" s="16"/>
      <c r="T73" s="17">
        <f>IF(AND(COUNTA($A73:$K73)=0,$L73=""),"",IF($S73="Paid","PAID",IF($S73="Closed","CLOSED",IF($W73="","",IF($W73=6,"ESCALATED TO ROXANNE",IF(TODAY()&gt;$Y73,"OVERDUE",IF($Y73&lt;=WORKDAY(TODAY(),1,Holidays),"DUE TOMORROW",IF($W73=4,"ESCALATED TO LOCAL OFFICE",IF($W73=5,"ESCALATED TO CBE",IF($X73=TODAY(),"EMAIL SENT","MONITORING"))))))))))</f>
        <v/>
      </c>
      <c r="U73" s="17">
        <f>IF($T73="",IF(AND(COUNTA($A73:$K73)&gt;0,$L73=""),"Awaiting Collection Email time stamp.",""),IF(OR($T73="PAID",$T73="CLOSED"),IF($T73="PAID","Account paid. Action completed.","Account closed. No further action required."),CHOOSE($W73,"Collection Email","1st Email Follow-up","2nd Email Follow-up","Escalation to Local Office","Escalation to CBE","Escalation to Roxanne")&amp;" sent "&amp;TEXT($X73,"dd-mmm")&amp;". "&amp;IF($W73=6,"Final escalation completed.",IF($T73="OVERDUE","Next: "&amp;$Z73&amp;" was due "&amp;TEXT($Y73,"dd-mmm")&amp;" - "&amp;(NETWORKDAYS($Y73,TODAY(),Holidays)-1)&amp;" business day(s) late. Send now.",IF($T73="DUE TOMORROW","Next: "&amp;$Z73&amp;IF($Y73&lt;=TODAY()," is due TODAY ("," is due next business day (")&amp;TEXT($Y73,"dd-mmm")&amp;").","Next: "&amp;$Z73&amp;" due "&amp;TEXT($Y73,"dd-mmm")&amp;" ("&amp;(NETWORKDAYS(TODAY(),$Y73,Holidays)-1)&amp;" business day(s) left).")))))</f>
        <v/>
      </c>
      <c r="V73" s="17">
        <f>IF($W73="","",CHOOSE($W73,"Collection Email","1st Follow-up","2nd Follow-up","Local Office","CBE","Roxanne")&amp;IF($W73=6," - Final"," - Day "&amp;MAX(0,NETWORKDAYS($X73,TODAY(),Holidays)-1)&amp;" of "&amp;CHOOSE($W73,3,3,2,2,3))&amp;" | Total Day "&amp;MAX(0,NETWORKDAYS($L73,TODAY(),Holidays)-1))</f>
        <v/>
      </c>
      <c r="W73" s="17">
        <f>IF($L73="","",COUNT($L73:$Q73))</f>
        <v/>
      </c>
      <c r="X73" s="18">
        <f>IF($W73="","",INT(INDEX($L73:$Q73,$W73)))</f>
        <v/>
      </c>
      <c r="Y73" s="18">
        <f>IF(OR($W73="",$W73=6),"",WORKDAY($X73,CHOOSE($W73,3,3,2,2,3),Holidays))</f>
        <v/>
      </c>
      <c r="Z73" s="17">
        <f>IF(OR($W73="",$W73=6),"",CHOOSE($W73,"1st Email Follow-up","2nd Email Follow-up","Escalate Local Office","Escalate to CBE","Escalate to Roxanne"))</f>
        <v/>
      </c>
    </row>
    <row r="74" spans="18:26">
      <c r="R74" s="15"/>
      <c r="S74" s="16"/>
      <c r="T74" s="17">
        <f>IF(AND(COUNTA($A74:$K74)=0,$L74=""),"",IF($S74="Paid","PAID",IF($S74="Closed","CLOSED",IF($W74="","",IF($W74=6,"ESCALATED TO ROXANNE",IF(TODAY()&gt;$Y74,"OVERDUE",IF($Y74&lt;=WORKDAY(TODAY(),1,Holidays),"DUE TOMORROW",IF($W74=4,"ESCALATED TO LOCAL OFFICE",IF($W74=5,"ESCALATED TO CBE",IF($X74=TODAY(),"EMAIL SENT","MONITORING"))))))))))</f>
        <v/>
      </c>
      <c r="U74" s="17">
        <f>IF($T74="",IF(AND(COUNTA($A74:$K74)&gt;0,$L74=""),"Awaiting Collection Email time stamp.",""),IF(OR($T74="PAID",$T74="CLOSED"),IF($T74="PAID","Account paid. Action completed.","Account closed. No further action required."),CHOOSE($W74,"Collection Email","1st Email Follow-up","2nd Email Follow-up","Escalation to Local Office","Escalation to CBE","Escalation to Roxanne")&amp;" sent "&amp;TEXT($X74,"dd-mmm")&amp;". "&amp;IF($W74=6,"Final escalation completed.",IF($T74="OVERDUE","Next: "&amp;$Z74&amp;" was due "&amp;TEXT($Y74,"dd-mmm")&amp;" - "&amp;(NETWORKDAYS($Y74,TODAY(),Holidays)-1)&amp;" business day(s) late. Send now.",IF($T74="DUE TOMORROW","Next: "&amp;$Z74&amp;IF($Y74&lt;=TODAY()," is due TODAY ("," is due next business day (")&amp;TEXT($Y74,"dd-mmm")&amp;").","Next: "&amp;$Z74&amp;" due "&amp;TEXT($Y74,"dd-mmm")&amp;" ("&amp;(NETWORKDAYS(TODAY(),$Y74,Holidays)-1)&amp;" business day(s) left).")))))</f>
        <v/>
      </c>
      <c r="V74" s="17">
        <f>IF($W74="","",CHOOSE($W74,"Collection Email","1st Follow-up","2nd Follow-up","Local Office","CBE","Roxanne")&amp;IF($W74=6," - Final"," - Day "&amp;MAX(0,NETWORKDAYS($X74,TODAY(),Holidays)-1)&amp;" of "&amp;CHOOSE($W74,3,3,2,2,3))&amp;" | Total Day "&amp;MAX(0,NETWORKDAYS($L74,TODAY(),Holidays)-1))</f>
        <v/>
      </c>
      <c r="W74" s="17">
        <f>IF($L74="","",COUNT($L74:$Q74))</f>
        <v/>
      </c>
      <c r="X74" s="18">
        <f>IF($W74="","",INT(INDEX($L74:$Q74,$W74)))</f>
        <v/>
      </c>
      <c r="Y74" s="18">
        <f>IF(OR($W74="",$W74=6),"",WORKDAY($X74,CHOOSE($W74,3,3,2,2,3),Holidays))</f>
        <v/>
      </c>
      <c r="Z74" s="17">
        <f>IF(OR($W74="",$W74=6),"",CHOOSE($W74,"1st Email Follow-up","2nd Email Follow-up","Escalate Local Office","Escalate to CBE","Escalate to Roxanne"))</f>
        <v/>
      </c>
    </row>
    <row r="75" spans="18:26">
      <c r="R75" s="15"/>
      <c r="S75" s="16"/>
      <c r="T75" s="17">
        <f>IF(AND(COUNTA($A75:$K75)=0,$L75=""),"",IF($S75="Paid","PAID",IF($S75="Closed","CLOSED",IF($W75="","",IF($W75=6,"ESCALATED TO ROXANNE",IF(TODAY()&gt;$Y75,"OVERDUE",IF($Y75&lt;=WORKDAY(TODAY(),1,Holidays),"DUE TOMORROW",IF($W75=4,"ESCALATED TO LOCAL OFFICE",IF($W75=5,"ESCALATED TO CBE",IF($X75=TODAY(),"EMAIL SENT","MONITORING"))))))))))</f>
        <v/>
      </c>
      <c r="U75" s="17">
        <f>IF($T75="",IF(AND(COUNTA($A75:$K75)&gt;0,$L75=""),"Awaiting Collection Email time stamp.",""),IF(OR($T75="PAID",$T75="CLOSED"),IF($T75="PAID","Account paid. Action completed.","Account closed. No further action required."),CHOOSE($W75,"Collection Email","1st Email Follow-up","2nd Email Follow-up","Escalation to Local Office","Escalation to CBE","Escalation to Roxanne")&amp;" sent "&amp;TEXT($X75,"dd-mmm")&amp;". "&amp;IF($W75=6,"Final escalation completed.",IF($T75="OVERDUE","Next: "&amp;$Z75&amp;" was due "&amp;TEXT($Y75,"dd-mmm")&amp;" - "&amp;(NETWORKDAYS($Y75,TODAY(),Holidays)-1)&amp;" business day(s) late. Send now.",IF($T75="DUE TOMORROW","Next: "&amp;$Z75&amp;IF($Y75&lt;=TODAY()," is due TODAY ("," is due next business day (")&amp;TEXT($Y75,"dd-mmm")&amp;").","Next: "&amp;$Z75&amp;" due "&amp;TEXT($Y75,"dd-mmm")&amp;" ("&amp;(NETWORKDAYS(TODAY(),$Y75,Holidays)-1)&amp;" business day(s) left).")))))</f>
        <v/>
      </c>
      <c r="V75" s="17">
        <f>IF($W75="","",CHOOSE($W75,"Collection Email","1st Follow-up","2nd Follow-up","Local Office","CBE","Roxanne")&amp;IF($W75=6," - Final"," - Day "&amp;MAX(0,NETWORKDAYS($X75,TODAY(),Holidays)-1)&amp;" of "&amp;CHOOSE($W75,3,3,2,2,3))&amp;" | Total Day "&amp;MAX(0,NETWORKDAYS($L75,TODAY(),Holidays)-1))</f>
        <v/>
      </c>
      <c r="W75" s="17">
        <f>IF($L75="","",COUNT($L75:$Q75))</f>
        <v/>
      </c>
      <c r="X75" s="18">
        <f>IF($W75="","",INT(INDEX($L75:$Q75,$W75)))</f>
        <v/>
      </c>
      <c r="Y75" s="18">
        <f>IF(OR($W75="",$W75=6),"",WORKDAY($X75,CHOOSE($W75,3,3,2,2,3),Holidays))</f>
        <v/>
      </c>
      <c r="Z75" s="17">
        <f>IF(OR($W75="",$W75=6),"",CHOOSE($W75,"1st Email Follow-up","2nd Email Follow-up","Escalate Local Office","Escalate to CBE","Escalate to Roxanne"))</f>
        <v/>
      </c>
    </row>
    <row r="76" spans="18:26">
      <c r="R76" s="15"/>
      <c r="S76" s="16"/>
      <c r="T76" s="17">
        <f>IF(AND(COUNTA($A76:$K76)=0,$L76=""),"",IF($S76="Paid","PAID",IF($S76="Closed","CLOSED",IF($W76="","",IF($W76=6,"ESCALATED TO ROXANNE",IF(TODAY()&gt;$Y76,"OVERDUE",IF($Y76&lt;=WORKDAY(TODAY(),1,Holidays),"DUE TOMORROW",IF($W76=4,"ESCALATED TO LOCAL OFFICE",IF($W76=5,"ESCALATED TO CBE",IF($X76=TODAY(),"EMAIL SENT","MONITORING"))))))))))</f>
        <v/>
      </c>
      <c r="U76" s="17">
        <f>IF($T76="",IF(AND(COUNTA($A76:$K76)&gt;0,$L76=""),"Awaiting Collection Email time stamp.",""),IF(OR($T76="PAID",$T76="CLOSED"),IF($T76="PAID","Account paid. Action completed.","Account closed. No further action required."),CHOOSE($W76,"Collection Email","1st Email Follow-up","2nd Email Follow-up","Escalation to Local Office","Escalation to CBE","Escalation to Roxanne")&amp;" sent "&amp;TEXT($X76,"dd-mmm")&amp;". "&amp;IF($W76=6,"Final escalation completed.",IF($T76="OVERDUE","Next: "&amp;$Z76&amp;" was due "&amp;TEXT($Y76,"dd-mmm")&amp;" - "&amp;(NETWORKDAYS($Y76,TODAY(),Holidays)-1)&amp;" business day(s) late. Send now.",IF($T76="DUE TOMORROW","Next: "&amp;$Z76&amp;IF($Y76&lt;=TODAY()," is due TODAY ("," is due next business day (")&amp;TEXT($Y76,"dd-mmm")&amp;").","Next: "&amp;$Z76&amp;" due "&amp;TEXT($Y76,"dd-mmm")&amp;" ("&amp;(NETWORKDAYS(TODAY(),$Y76,Holidays)-1)&amp;" business day(s) left).")))))</f>
        <v/>
      </c>
      <c r="V76" s="17">
        <f>IF($W76="","",CHOOSE($W76,"Collection Email","1st Follow-up","2nd Follow-up","Local Office","CBE","Roxanne")&amp;IF($W76=6," - Final"," - Day "&amp;MAX(0,NETWORKDAYS($X76,TODAY(),Holidays)-1)&amp;" of "&amp;CHOOSE($W76,3,3,2,2,3))&amp;" | Total Day "&amp;MAX(0,NETWORKDAYS($L76,TODAY(),Holidays)-1))</f>
        <v/>
      </c>
      <c r="W76" s="17">
        <f>IF($L76="","",COUNT($L76:$Q76))</f>
        <v/>
      </c>
      <c r="X76" s="18">
        <f>IF($W76="","",INT(INDEX($L76:$Q76,$W76)))</f>
        <v/>
      </c>
      <c r="Y76" s="18">
        <f>IF(OR($W76="",$W76=6),"",WORKDAY($X76,CHOOSE($W76,3,3,2,2,3),Holidays))</f>
        <v/>
      </c>
      <c r="Z76" s="17">
        <f>IF(OR($W76="",$W76=6),"",CHOOSE($W76,"1st Email Follow-up","2nd Email Follow-up","Escalate Local Office","Escalate to CBE","Escalate to Roxanne"))</f>
        <v/>
      </c>
    </row>
    <row r="77" spans="18:26">
      <c r="R77" s="15"/>
      <c r="S77" s="16"/>
      <c r="T77" s="17">
        <f>IF(AND(COUNTA($A77:$K77)=0,$L77=""),"",IF($S77="Paid","PAID",IF($S77="Closed","CLOSED",IF($W77="","",IF($W77=6,"ESCALATED TO ROXANNE",IF(TODAY()&gt;$Y77,"OVERDUE",IF($Y77&lt;=WORKDAY(TODAY(),1,Holidays),"DUE TOMORROW",IF($W77=4,"ESCALATED TO LOCAL OFFICE",IF($W77=5,"ESCALATED TO CBE",IF($X77=TODAY(),"EMAIL SENT","MONITORING"))))))))))</f>
        <v/>
      </c>
      <c r="U77" s="17">
        <f>IF($T77="",IF(AND(COUNTA($A77:$K77)&gt;0,$L77=""),"Awaiting Collection Email time stamp.",""),IF(OR($T77="PAID",$T77="CLOSED"),IF($T77="PAID","Account paid. Action completed.","Account closed. No further action required."),CHOOSE($W77,"Collection Email","1st Email Follow-up","2nd Email Follow-up","Escalation to Local Office","Escalation to CBE","Escalation to Roxanne")&amp;" sent "&amp;TEXT($X77,"dd-mmm")&amp;". "&amp;IF($W77=6,"Final escalation completed.",IF($T77="OVERDUE","Next: "&amp;$Z77&amp;" was due "&amp;TEXT($Y77,"dd-mmm")&amp;" - "&amp;(NETWORKDAYS($Y77,TODAY(),Holidays)-1)&amp;" business day(s) late. Send now.",IF($T77="DUE TOMORROW","Next: "&amp;$Z77&amp;IF($Y77&lt;=TODAY()," is due TODAY ("," is due next business day (")&amp;TEXT($Y77,"dd-mmm")&amp;").","Next: "&amp;$Z77&amp;" due "&amp;TEXT($Y77,"dd-mmm")&amp;" ("&amp;(NETWORKDAYS(TODAY(),$Y77,Holidays)-1)&amp;" business day(s) left).")))))</f>
        <v/>
      </c>
      <c r="V77" s="17">
        <f>IF($W77="","",CHOOSE($W77,"Collection Email","1st Follow-up","2nd Follow-up","Local Office","CBE","Roxanne")&amp;IF($W77=6," - Final"," - Day "&amp;MAX(0,NETWORKDAYS($X77,TODAY(),Holidays)-1)&amp;" of "&amp;CHOOSE($W77,3,3,2,2,3))&amp;" | Total Day "&amp;MAX(0,NETWORKDAYS($L77,TODAY(),Holidays)-1))</f>
        <v/>
      </c>
      <c r="W77" s="17">
        <f>IF($L77="","",COUNT($L77:$Q77))</f>
        <v/>
      </c>
      <c r="X77" s="18">
        <f>IF($W77="","",INT(INDEX($L77:$Q77,$W77)))</f>
        <v/>
      </c>
      <c r="Y77" s="18">
        <f>IF(OR($W77="",$W77=6),"",WORKDAY($X77,CHOOSE($W77,3,3,2,2,3),Holidays))</f>
        <v/>
      </c>
      <c r="Z77" s="17">
        <f>IF(OR($W77="",$W77=6),"",CHOOSE($W77,"1st Email Follow-up","2nd Email Follow-up","Escalate Local Office","Escalate to CBE","Escalate to Roxanne"))</f>
        <v/>
      </c>
    </row>
    <row r="78" spans="18:26">
      <c r="R78" s="15"/>
      <c r="S78" s="16"/>
      <c r="T78" s="17">
        <f>IF(AND(COUNTA($A78:$K78)=0,$L78=""),"",IF($S78="Paid","PAID",IF($S78="Closed","CLOSED",IF($W78="","",IF($W78=6,"ESCALATED TO ROXANNE",IF(TODAY()&gt;$Y78,"OVERDUE",IF($Y78&lt;=WORKDAY(TODAY(),1,Holidays),"DUE TOMORROW",IF($W78=4,"ESCALATED TO LOCAL OFFICE",IF($W78=5,"ESCALATED TO CBE",IF($X78=TODAY(),"EMAIL SENT","MONITORING"))))))))))</f>
        <v/>
      </c>
      <c r="U78" s="17">
        <f>IF($T78="",IF(AND(COUNTA($A78:$K78)&gt;0,$L78=""),"Awaiting Collection Email time stamp.",""),IF(OR($T78="PAID",$T78="CLOSED"),IF($T78="PAID","Account paid. Action completed.","Account closed. No further action required."),CHOOSE($W78,"Collection Email","1st Email Follow-up","2nd Email Follow-up","Escalation to Local Office","Escalation to CBE","Escalation to Roxanne")&amp;" sent "&amp;TEXT($X78,"dd-mmm")&amp;". "&amp;IF($W78=6,"Final escalation completed.",IF($T78="OVERDUE","Next: "&amp;$Z78&amp;" was due "&amp;TEXT($Y78,"dd-mmm")&amp;" - "&amp;(NETWORKDAYS($Y78,TODAY(),Holidays)-1)&amp;" business day(s) late. Send now.",IF($T78="DUE TOMORROW","Next: "&amp;$Z78&amp;IF($Y78&lt;=TODAY()," is due TODAY ("," is due next business day (")&amp;TEXT($Y78,"dd-mmm")&amp;").","Next: "&amp;$Z78&amp;" due "&amp;TEXT($Y78,"dd-mmm")&amp;" ("&amp;(NETWORKDAYS(TODAY(),$Y78,Holidays)-1)&amp;" business day(s) left).")))))</f>
        <v/>
      </c>
      <c r="V78" s="17">
        <f>IF($W78="","",CHOOSE($W78,"Collection Email","1st Follow-up","2nd Follow-up","Local Office","CBE","Roxanne")&amp;IF($W78=6," - Final"," - Day "&amp;MAX(0,NETWORKDAYS($X78,TODAY(),Holidays)-1)&amp;" of "&amp;CHOOSE($W78,3,3,2,2,3))&amp;" | Total Day "&amp;MAX(0,NETWORKDAYS($L78,TODAY(),Holidays)-1))</f>
        <v/>
      </c>
      <c r="W78" s="17">
        <f>IF($L78="","",COUNT($L78:$Q78))</f>
        <v/>
      </c>
      <c r="X78" s="18">
        <f>IF($W78="","",INT(INDEX($L78:$Q78,$W78)))</f>
        <v/>
      </c>
      <c r="Y78" s="18">
        <f>IF(OR($W78="",$W78=6),"",WORKDAY($X78,CHOOSE($W78,3,3,2,2,3),Holidays))</f>
        <v/>
      </c>
      <c r="Z78" s="17">
        <f>IF(OR($W78="",$W78=6),"",CHOOSE($W78,"1st Email Follow-up","2nd Email Follow-up","Escalate Local Office","Escalate to CBE","Escalate to Roxanne"))</f>
        <v/>
      </c>
    </row>
    <row r="79" spans="18:26">
      <c r="R79" s="15"/>
      <c r="S79" s="16"/>
      <c r="T79" s="17">
        <f>IF(AND(COUNTA($A79:$K79)=0,$L79=""),"",IF($S79="Paid","PAID",IF($S79="Closed","CLOSED",IF($W79="","",IF($W79=6,"ESCALATED TO ROXANNE",IF(TODAY()&gt;$Y79,"OVERDUE",IF($Y79&lt;=WORKDAY(TODAY(),1,Holidays),"DUE TOMORROW",IF($W79=4,"ESCALATED TO LOCAL OFFICE",IF($W79=5,"ESCALATED TO CBE",IF($X79=TODAY(),"EMAIL SENT","MONITORING"))))))))))</f>
        <v/>
      </c>
      <c r="U79" s="17">
        <f>IF($T79="",IF(AND(COUNTA($A79:$K79)&gt;0,$L79=""),"Awaiting Collection Email time stamp.",""),IF(OR($T79="PAID",$T79="CLOSED"),IF($T79="PAID","Account paid. Action completed.","Account closed. No further action required."),CHOOSE($W79,"Collection Email","1st Email Follow-up","2nd Email Follow-up","Escalation to Local Office","Escalation to CBE","Escalation to Roxanne")&amp;" sent "&amp;TEXT($X79,"dd-mmm")&amp;". "&amp;IF($W79=6,"Final escalation completed.",IF($T79="OVERDUE","Next: "&amp;$Z79&amp;" was due "&amp;TEXT($Y79,"dd-mmm")&amp;" - "&amp;(NETWORKDAYS($Y79,TODAY(),Holidays)-1)&amp;" business day(s) late. Send now.",IF($T79="DUE TOMORROW","Next: "&amp;$Z79&amp;IF($Y79&lt;=TODAY()," is due TODAY ("," is due next business day (")&amp;TEXT($Y79,"dd-mmm")&amp;").","Next: "&amp;$Z79&amp;" due "&amp;TEXT($Y79,"dd-mmm")&amp;" ("&amp;(NETWORKDAYS(TODAY(),$Y79,Holidays)-1)&amp;" business day(s) left).")))))</f>
        <v/>
      </c>
      <c r="V79" s="17">
        <f>IF($W79="","",CHOOSE($W79,"Collection Email","1st Follow-up","2nd Follow-up","Local Office","CBE","Roxanne")&amp;IF($W79=6," - Final"," - Day "&amp;MAX(0,NETWORKDAYS($X79,TODAY(),Holidays)-1)&amp;" of "&amp;CHOOSE($W79,3,3,2,2,3))&amp;" | Total Day "&amp;MAX(0,NETWORKDAYS($L79,TODAY(),Holidays)-1))</f>
        <v/>
      </c>
      <c r="W79" s="17">
        <f>IF($L79="","",COUNT($L79:$Q79))</f>
        <v/>
      </c>
      <c r="X79" s="18">
        <f>IF($W79="","",INT(INDEX($L79:$Q79,$W79)))</f>
        <v/>
      </c>
      <c r="Y79" s="18">
        <f>IF(OR($W79="",$W79=6),"",WORKDAY($X79,CHOOSE($W79,3,3,2,2,3),Holidays))</f>
        <v/>
      </c>
      <c r="Z79" s="17">
        <f>IF(OR($W79="",$W79=6),"",CHOOSE($W79,"1st Email Follow-up","2nd Email Follow-up","Escalate Local Office","Escalate to CBE","Escalate to Roxanne"))</f>
        <v/>
      </c>
    </row>
    <row r="80" spans="18:26">
      <c r="R80" s="15"/>
      <c r="S80" s="16"/>
      <c r="T80" s="17">
        <f>IF(AND(COUNTA($A80:$K80)=0,$L80=""),"",IF($S80="Paid","PAID",IF($S80="Closed","CLOSED",IF($W80="","",IF($W80=6,"ESCALATED TO ROXANNE",IF(TODAY()&gt;$Y80,"OVERDUE",IF($Y80&lt;=WORKDAY(TODAY(),1,Holidays),"DUE TOMORROW",IF($W80=4,"ESCALATED TO LOCAL OFFICE",IF($W80=5,"ESCALATED TO CBE",IF($X80=TODAY(),"EMAIL SENT","MONITORING"))))))))))</f>
        <v/>
      </c>
      <c r="U80" s="17">
        <f>IF($T80="",IF(AND(COUNTA($A80:$K80)&gt;0,$L80=""),"Awaiting Collection Email time stamp.",""),IF(OR($T80="PAID",$T80="CLOSED"),IF($T80="PAID","Account paid. Action completed.","Account closed. No further action required."),CHOOSE($W80,"Collection Email","1st Email Follow-up","2nd Email Follow-up","Escalation to Local Office","Escalation to CBE","Escalation to Roxanne")&amp;" sent "&amp;TEXT($X80,"dd-mmm")&amp;". "&amp;IF($W80=6,"Final escalation completed.",IF($T80="OVERDUE","Next: "&amp;$Z80&amp;" was due "&amp;TEXT($Y80,"dd-mmm")&amp;" - "&amp;(NETWORKDAYS($Y80,TODAY(),Holidays)-1)&amp;" business day(s) late. Send now.",IF($T80="DUE TOMORROW","Next: "&amp;$Z80&amp;IF($Y80&lt;=TODAY()," is due TODAY ("," is due next business day (")&amp;TEXT($Y80,"dd-mmm")&amp;").","Next: "&amp;$Z80&amp;" due "&amp;TEXT($Y80,"dd-mmm")&amp;" ("&amp;(NETWORKDAYS(TODAY(),$Y80,Holidays)-1)&amp;" business day(s) left).")))))</f>
        <v/>
      </c>
      <c r="V80" s="17">
        <f>IF($W80="","",CHOOSE($W80,"Collection Email","1st Follow-up","2nd Follow-up","Local Office","CBE","Roxanne")&amp;IF($W80=6," - Final"," - Day "&amp;MAX(0,NETWORKDAYS($X80,TODAY(),Holidays)-1)&amp;" of "&amp;CHOOSE($W80,3,3,2,2,3))&amp;" | Total Day "&amp;MAX(0,NETWORKDAYS($L80,TODAY(),Holidays)-1))</f>
        <v/>
      </c>
      <c r="W80" s="17">
        <f>IF($L80="","",COUNT($L80:$Q80))</f>
        <v/>
      </c>
      <c r="X80" s="18">
        <f>IF($W80="","",INT(INDEX($L80:$Q80,$W80)))</f>
        <v/>
      </c>
      <c r="Y80" s="18">
        <f>IF(OR($W80="",$W80=6),"",WORKDAY($X80,CHOOSE($W80,3,3,2,2,3),Holidays))</f>
        <v/>
      </c>
      <c r="Z80" s="17">
        <f>IF(OR($W80="",$W80=6),"",CHOOSE($W80,"1st Email Follow-up","2nd Email Follow-up","Escalate Local Office","Escalate to CBE","Escalate to Roxanne"))</f>
        <v/>
      </c>
    </row>
    <row r="81" spans="18:26">
      <c r="R81" s="15"/>
      <c r="S81" s="16"/>
      <c r="T81" s="17">
        <f>IF(AND(COUNTA($A81:$K81)=0,$L81=""),"",IF($S81="Paid","PAID",IF($S81="Closed","CLOSED",IF($W81="","",IF($W81=6,"ESCALATED TO ROXANNE",IF(TODAY()&gt;$Y81,"OVERDUE",IF($Y81&lt;=WORKDAY(TODAY(),1,Holidays),"DUE TOMORROW",IF($W81=4,"ESCALATED TO LOCAL OFFICE",IF($W81=5,"ESCALATED TO CBE",IF($X81=TODAY(),"EMAIL SENT","MONITORING"))))))))))</f>
        <v/>
      </c>
      <c r="U81" s="17">
        <f>IF($T81="",IF(AND(COUNTA($A81:$K81)&gt;0,$L81=""),"Awaiting Collection Email time stamp.",""),IF(OR($T81="PAID",$T81="CLOSED"),IF($T81="PAID","Account paid. Action completed.","Account closed. No further action required."),CHOOSE($W81,"Collection Email","1st Email Follow-up","2nd Email Follow-up","Escalation to Local Office","Escalation to CBE","Escalation to Roxanne")&amp;" sent "&amp;TEXT($X81,"dd-mmm")&amp;". "&amp;IF($W81=6,"Final escalation completed.",IF($T81="OVERDUE","Next: "&amp;$Z81&amp;" was due "&amp;TEXT($Y81,"dd-mmm")&amp;" - "&amp;(NETWORKDAYS($Y81,TODAY(),Holidays)-1)&amp;" business day(s) late. Send now.",IF($T81="DUE TOMORROW","Next: "&amp;$Z81&amp;IF($Y81&lt;=TODAY()," is due TODAY ("," is due next business day (")&amp;TEXT($Y81,"dd-mmm")&amp;").","Next: "&amp;$Z81&amp;" due "&amp;TEXT($Y81,"dd-mmm")&amp;" ("&amp;(NETWORKDAYS(TODAY(),$Y81,Holidays)-1)&amp;" business day(s) left).")))))</f>
        <v/>
      </c>
      <c r="V81" s="17">
        <f>IF($W81="","",CHOOSE($W81,"Collection Email","1st Follow-up","2nd Follow-up","Local Office","CBE","Roxanne")&amp;IF($W81=6," - Final"," - Day "&amp;MAX(0,NETWORKDAYS($X81,TODAY(),Holidays)-1)&amp;" of "&amp;CHOOSE($W81,3,3,2,2,3))&amp;" | Total Day "&amp;MAX(0,NETWORKDAYS($L81,TODAY(),Holidays)-1))</f>
        <v/>
      </c>
      <c r="W81" s="17">
        <f>IF($L81="","",COUNT($L81:$Q81))</f>
        <v/>
      </c>
      <c r="X81" s="18">
        <f>IF($W81="","",INT(INDEX($L81:$Q81,$W81)))</f>
        <v/>
      </c>
      <c r="Y81" s="18">
        <f>IF(OR($W81="",$W81=6),"",WORKDAY($X81,CHOOSE($W81,3,3,2,2,3),Holidays))</f>
        <v/>
      </c>
      <c r="Z81" s="17">
        <f>IF(OR($W81="",$W81=6),"",CHOOSE($W81,"1st Email Follow-up","2nd Email Follow-up","Escalate Local Office","Escalate to CBE","Escalate to Roxanne"))</f>
        <v/>
      </c>
    </row>
    <row r="82" spans="18:26">
      <c r="R82" s="15"/>
      <c r="S82" s="16"/>
      <c r="T82" s="17">
        <f>IF(AND(COUNTA($A82:$K82)=0,$L82=""),"",IF($S82="Paid","PAID",IF($S82="Closed","CLOSED",IF($W82="","",IF($W82=6,"ESCALATED TO ROXANNE",IF(TODAY()&gt;$Y82,"OVERDUE",IF($Y82&lt;=WORKDAY(TODAY(),1,Holidays),"DUE TOMORROW",IF($W82=4,"ESCALATED TO LOCAL OFFICE",IF($W82=5,"ESCALATED TO CBE",IF($X82=TODAY(),"EMAIL SENT","MONITORING"))))))))))</f>
        <v/>
      </c>
      <c r="U82" s="17">
        <f>IF($T82="",IF(AND(COUNTA($A82:$K82)&gt;0,$L82=""),"Awaiting Collection Email time stamp.",""),IF(OR($T82="PAID",$T82="CLOSED"),IF($T82="PAID","Account paid. Action completed.","Account closed. No further action required."),CHOOSE($W82,"Collection Email","1st Email Follow-up","2nd Email Follow-up","Escalation to Local Office","Escalation to CBE","Escalation to Roxanne")&amp;" sent "&amp;TEXT($X82,"dd-mmm")&amp;". "&amp;IF($W82=6,"Final escalation completed.",IF($T82="OVERDUE","Next: "&amp;$Z82&amp;" was due "&amp;TEXT($Y82,"dd-mmm")&amp;" - "&amp;(NETWORKDAYS($Y82,TODAY(),Holidays)-1)&amp;" business day(s) late. Send now.",IF($T82="DUE TOMORROW","Next: "&amp;$Z82&amp;IF($Y82&lt;=TODAY()," is due TODAY ("," is due next business day (")&amp;TEXT($Y82,"dd-mmm")&amp;").","Next: "&amp;$Z82&amp;" due "&amp;TEXT($Y82,"dd-mmm")&amp;" ("&amp;(NETWORKDAYS(TODAY(),$Y82,Holidays)-1)&amp;" business day(s) left).")))))</f>
        <v/>
      </c>
      <c r="V82" s="17">
        <f>IF($W82="","",CHOOSE($W82,"Collection Email","1st Follow-up","2nd Follow-up","Local Office","CBE","Roxanne")&amp;IF($W82=6," - Final"," - Day "&amp;MAX(0,NETWORKDAYS($X82,TODAY(),Holidays)-1)&amp;" of "&amp;CHOOSE($W82,3,3,2,2,3))&amp;" | Total Day "&amp;MAX(0,NETWORKDAYS($L82,TODAY(),Holidays)-1))</f>
        <v/>
      </c>
      <c r="W82" s="17">
        <f>IF($L82="","",COUNT($L82:$Q82))</f>
        <v/>
      </c>
      <c r="X82" s="18">
        <f>IF($W82="","",INT(INDEX($L82:$Q82,$W82)))</f>
        <v/>
      </c>
      <c r="Y82" s="18">
        <f>IF(OR($W82="",$W82=6),"",WORKDAY($X82,CHOOSE($W82,3,3,2,2,3),Holidays))</f>
        <v/>
      </c>
      <c r="Z82" s="17">
        <f>IF(OR($W82="",$W82=6),"",CHOOSE($W82,"1st Email Follow-up","2nd Email Follow-up","Escalate Local Office","Escalate to CBE","Escalate to Roxanne"))</f>
        <v/>
      </c>
    </row>
    <row r="83" spans="18:26">
      <c r="R83" s="15"/>
      <c r="S83" s="16"/>
      <c r="T83" s="17">
        <f>IF(AND(COUNTA($A83:$K83)=0,$L83=""),"",IF($S83="Paid","PAID",IF($S83="Closed","CLOSED",IF($W83="","",IF($W83=6,"ESCALATED TO ROXANNE",IF(TODAY()&gt;$Y83,"OVERDUE",IF($Y83&lt;=WORKDAY(TODAY(),1,Holidays),"DUE TOMORROW",IF($W83=4,"ESCALATED TO LOCAL OFFICE",IF($W83=5,"ESCALATED TO CBE",IF($X83=TODAY(),"EMAIL SENT","MONITORING"))))))))))</f>
        <v/>
      </c>
      <c r="U83" s="17">
        <f>IF($T83="",IF(AND(COUNTA($A83:$K83)&gt;0,$L83=""),"Awaiting Collection Email time stamp.",""),IF(OR($T83="PAID",$T83="CLOSED"),IF($T83="PAID","Account paid. Action completed.","Account closed. No further action required."),CHOOSE($W83,"Collection Email","1st Email Follow-up","2nd Email Follow-up","Escalation to Local Office","Escalation to CBE","Escalation to Roxanne")&amp;" sent "&amp;TEXT($X83,"dd-mmm")&amp;". "&amp;IF($W83=6,"Final escalation completed.",IF($T83="OVERDUE","Next: "&amp;$Z83&amp;" was due "&amp;TEXT($Y83,"dd-mmm")&amp;" - "&amp;(NETWORKDAYS($Y83,TODAY(),Holidays)-1)&amp;" business day(s) late. Send now.",IF($T83="DUE TOMORROW","Next: "&amp;$Z83&amp;IF($Y83&lt;=TODAY()," is due TODAY ("," is due next business day (")&amp;TEXT($Y83,"dd-mmm")&amp;").","Next: "&amp;$Z83&amp;" due "&amp;TEXT($Y83,"dd-mmm")&amp;" ("&amp;(NETWORKDAYS(TODAY(),$Y83,Holidays)-1)&amp;" business day(s) left).")))))</f>
        <v/>
      </c>
      <c r="V83" s="17">
        <f>IF($W83="","",CHOOSE($W83,"Collection Email","1st Follow-up","2nd Follow-up","Local Office","CBE","Roxanne")&amp;IF($W83=6," - Final"," - Day "&amp;MAX(0,NETWORKDAYS($X83,TODAY(),Holidays)-1)&amp;" of "&amp;CHOOSE($W83,3,3,2,2,3))&amp;" | Total Day "&amp;MAX(0,NETWORKDAYS($L83,TODAY(),Holidays)-1))</f>
        <v/>
      </c>
      <c r="W83" s="17">
        <f>IF($L83="","",COUNT($L83:$Q83))</f>
        <v/>
      </c>
      <c r="X83" s="18">
        <f>IF($W83="","",INT(INDEX($L83:$Q83,$W83)))</f>
        <v/>
      </c>
      <c r="Y83" s="18">
        <f>IF(OR($W83="",$W83=6),"",WORKDAY($X83,CHOOSE($W83,3,3,2,2,3),Holidays))</f>
        <v/>
      </c>
      <c r="Z83" s="17">
        <f>IF(OR($W83="",$W83=6),"",CHOOSE($W83,"1st Email Follow-up","2nd Email Follow-up","Escalate Local Office","Escalate to CBE","Escalate to Roxanne"))</f>
        <v/>
      </c>
    </row>
    <row r="84" spans="18:26">
      <c r="R84" s="15"/>
      <c r="S84" s="16"/>
      <c r="T84" s="17">
        <f>IF(AND(COUNTA($A84:$K84)=0,$L84=""),"",IF($S84="Paid","PAID",IF($S84="Closed","CLOSED",IF($W84="","",IF($W84=6,"ESCALATED TO ROXANNE",IF(TODAY()&gt;$Y84,"OVERDUE",IF($Y84&lt;=WORKDAY(TODAY(),1,Holidays),"DUE TOMORROW",IF($W84=4,"ESCALATED TO LOCAL OFFICE",IF($W84=5,"ESCALATED TO CBE",IF($X84=TODAY(),"EMAIL SENT","MONITORING"))))))))))</f>
        <v/>
      </c>
      <c r="U84" s="17">
        <f>IF($T84="",IF(AND(COUNTA($A84:$K84)&gt;0,$L84=""),"Awaiting Collection Email time stamp.",""),IF(OR($T84="PAID",$T84="CLOSED"),IF($T84="PAID","Account paid. Action completed.","Account closed. No further action required."),CHOOSE($W84,"Collection Email","1st Email Follow-up","2nd Email Follow-up","Escalation to Local Office","Escalation to CBE","Escalation to Roxanne")&amp;" sent "&amp;TEXT($X84,"dd-mmm")&amp;". "&amp;IF($W84=6,"Final escalation completed.",IF($T84="OVERDUE","Next: "&amp;$Z84&amp;" was due "&amp;TEXT($Y84,"dd-mmm")&amp;" - "&amp;(NETWORKDAYS($Y84,TODAY(),Holidays)-1)&amp;" business day(s) late. Send now.",IF($T84="DUE TOMORROW","Next: "&amp;$Z84&amp;IF($Y84&lt;=TODAY()," is due TODAY ("," is due next business day (")&amp;TEXT($Y84,"dd-mmm")&amp;").","Next: "&amp;$Z84&amp;" due "&amp;TEXT($Y84,"dd-mmm")&amp;" ("&amp;(NETWORKDAYS(TODAY(),$Y84,Holidays)-1)&amp;" business day(s) left).")))))</f>
        <v/>
      </c>
      <c r="V84" s="17">
        <f>IF($W84="","",CHOOSE($W84,"Collection Email","1st Follow-up","2nd Follow-up","Local Office","CBE","Roxanne")&amp;IF($W84=6," - Final"," - Day "&amp;MAX(0,NETWORKDAYS($X84,TODAY(),Holidays)-1)&amp;" of "&amp;CHOOSE($W84,3,3,2,2,3))&amp;" | Total Day "&amp;MAX(0,NETWORKDAYS($L84,TODAY(),Holidays)-1))</f>
        <v/>
      </c>
      <c r="W84" s="17">
        <f>IF($L84="","",COUNT($L84:$Q84))</f>
        <v/>
      </c>
      <c r="X84" s="18">
        <f>IF($W84="","",INT(INDEX($L84:$Q84,$W84)))</f>
        <v/>
      </c>
      <c r="Y84" s="18">
        <f>IF(OR($W84="",$W84=6),"",WORKDAY($X84,CHOOSE($W84,3,3,2,2,3),Holidays))</f>
        <v/>
      </c>
      <c r="Z84" s="17">
        <f>IF(OR($W84="",$W84=6),"",CHOOSE($W84,"1st Email Follow-up","2nd Email Follow-up","Escalate Local Office","Escalate to CBE","Escalate to Roxanne"))</f>
        <v/>
      </c>
    </row>
    <row r="85" spans="18:26">
      <c r="R85" s="15"/>
      <c r="S85" s="16"/>
      <c r="T85" s="17">
        <f>IF(AND(COUNTA($A85:$K85)=0,$L85=""),"",IF($S85="Paid","PAID",IF($S85="Closed","CLOSED",IF($W85="","",IF($W85=6,"ESCALATED TO ROXANNE",IF(TODAY()&gt;$Y85,"OVERDUE",IF($Y85&lt;=WORKDAY(TODAY(),1,Holidays),"DUE TOMORROW",IF($W85=4,"ESCALATED TO LOCAL OFFICE",IF($W85=5,"ESCALATED TO CBE",IF($X85=TODAY(),"EMAIL SENT","MONITORING"))))))))))</f>
        <v/>
      </c>
      <c r="U85" s="17">
        <f>IF($T85="",IF(AND(COUNTA($A85:$K85)&gt;0,$L85=""),"Awaiting Collection Email time stamp.",""),IF(OR($T85="PAID",$T85="CLOSED"),IF($T85="PAID","Account paid. Action completed.","Account closed. No further action required."),CHOOSE($W85,"Collection Email","1st Email Follow-up","2nd Email Follow-up","Escalation to Local Office","Escalation to CBE","Escalation to Roxanne")&amp;" sent "&amp;TEXT($X85,"dd-mmm")&amp;". "&amp;IF($W85=6,"Final escalation completed.",IF($T85="OVERDUE","Next: "&amp;$Z85&amp;" was due "&amp;TEXT($Y85,"dd-mmm")&amp;" - "&amp;(NETWORKDAYS($Y85,TODAY(),Holidays)-1)&amp;" business day(s) late. Send now.",IF($T85="DUE TOMORROW","Next: "&amp;$Z85&amp;IF($Y85&lt;=TODAY()," is due TODAY ("," is due next business day (")&amp;TEXT($Y85,"dd-mmm")&amp;").","Next: "&amp;$Z85&amp;" due "&amp;TEXT($Y85,"dd-mmm")&amp;" ("&amp;(NETWORKDAYS(TODAY(),$Y85,Holidays)-1)&amp;" business day(s) left).")))))</f>
        <v/>
      </c>
      <c r="V85" s="17">
        <f>IF($W85="","",CHOOSE($W85,"Collection Email","1st Follow-up","2nd Follow-up","Local Office","CBE","Roxanne")&amp;IF($W85=6," - Final"," - Day "&amp;MAX(0,NETWORKDAYS($X85,TODAY(),Holidays)-1)&amp;" of "&amp;CHOOSE($W85,3,3,2,2,3))&amp;" | Total Day "&amp;MAX(0,NETWORKDAYS($L85,TODAY(),Holidays)-1))</f>
        <v/>
      </c>
      <c r="W85" s="17">
        <f>IF($L85="","",COUNT($L85:$Q85))</f>
        <v/>
      </c>
      <c r="X85" s="18">
        <f>IF($W85="","",INT(INDEX($L85:$Q85,$W85)))</f>
        <v/>
      </c>
      <c r="Y85" s="18">
        <f>IF(OR($W85="",$W85=6),"",WORKDAY($X85,CHOOSE($W85,3,3,2,2,3),Holidays))</f>
        <v/>
      </c>
      <c r="Z85" s="17">
        <f>IF(OR($W85="",$W85=6),"",CHOOSE($W85,"1st Email Follow-up","2nd Email Follow-up","Escalate Local Office","Escalate to CBE","Escalate to Roxanne"))</f>
        <v/>
      </c>
    </row>
    <row r="86" spans="18:26">
      <c r="R86" s="15"/>
      <c r="S86" s="16"/>
      <c r="T86" s="17">
        <f>IF(AND(COUNTA($A86:$K86)=0,$L86=""),"",IF($S86="Paid","PAID",IF($S86="Closed","CLOSED",IF($W86="","",IF($W86=6,"ESCALATED TO ROXANNE",IF(TODAY()&gt;$Y86,"OVERDUE",IF($Y86&lt;=WORKDAY(TODAY(),1,Holidays),"DUE TOMORROW",IF($W86=4,"ESCALATED TO LOCAL OFFICE",IF($W86=5,"ESCALATED TO CBE",IF($X86=TODAY(),"EMAIL SENT","MONITORING"))))))))))</f>
        <v/>
      </c>
      <c r="U86" s="17">
        <f>IF($T86="",IF(AND(COUNTA($A86:$K86)&gt;0,$L86=""),"Awaiting Collection Email time stamp.",""),IF(OR($T86="PAID",$T86="CLOSED"),IF($T86="PAID","Account paid. Action completed.","Account closed. No further action required."),CHOOSE($W86,"Collection Email","1st Email Follow-up","2nd Email Follow-up","Escalation to Local Office","Escalation to CBE","Escalation to Roxanne")&amp;" sent "&amp;TEXT($X86,"dd-mmm")&amp;". "&amp;IF($W86=6,"Final escalation completed.",IF($T86="OVERDUE","Next: "&amp;$Z86&amp;" was due "&amp;TEXT($Y86,"dd-mmm")&amp;" - "&amp;(NETWORKDAYS($Y86,TODAY(),Holidays)-1)&amp;" business day(s) late. Send now.",IF($T86="DUE TOMORROW","Next: "&amp;$Z86&amp;IF($Y86&lt;=TODAY()," is due TODAY ("," is due next business day (")&amp;TEXT($Y86,"dd-mmm")&amp;").","Next: "&amp;$Z86&amp;" due "&amp;TEXT($Y86,"dd-mmm")&amp;" ("&amp;(NETWORKDAYS(TODAY(),$Y86,Holidays)-1)&amp;" business day(s) left).")))))</f>
        <v/>
      </c>
      <c r="V86" s="17">
        <f>IF($W86="","",CHOOSE($W86,"Collection Email","1st Follow-up","2nd Follow-up","Local Office","CBE","Roxanne")&amp;IF($W86=6," - Final"," - Day "&amp;MAX(0,NETWORKDAYS($X86,TODAY(),Holidays)-1)&amp;" of "&amp;CHOOSE($W86,3,3,2,2,3))&amp;" | Total Day "&amp;MAX(0,NETWORKDAYS($L86,TODAY(),Holidays)-1))</f>
        <v/>
      </c>
      <c r="W86" s="17">
        <f>IF($L86="","",COUNT($L86:$Q86))</f>
        <v/>
      </c>
      <c r="X86" s="18">
        <f>IF($W86="","",INT(INDEX($L86:$Q86,$W86)))</f>
        <v/>
      </c>
      <c r="Y86" s="18">
        <f>IF(OR($W86="",$W86=6),"",WORKDAY($X86,CHOOSE($W86,3,3,2,2,3),Holidays))</f>
        <v/>
      </c>
      <c r="Z86" s="17">
        <f>IF(OR($W86="",$W86=6),"",CHOOSE($W86,"1st Email Follow-up","2nd Email Follow-up","Escalate Local Office","Escalate to CBE","Escalate to Roxanne"))</f>
        <v/>
      </c>
    </row>
    <row r="87" spans="18:26">
      <c r="R87" s="15"/>
      <c r="S87" s="16"/>
      <c r="T87" s="17">
        <f>IF(AND(COUNTA($A87:$K87)=0,$L87=""),"",IF($S87="Paid","PAID",IF($S87="Closed","CLOSED",IF($W87="","",IF($W87=6,"ESCALATED TO ROXANNE",IF(TODAY()&gt;$Y87,"OVERDUE",IF($Y87&lt;=WORKDAY(TODAY(),1,Holidays),"DUE TOMORROW",IF($W87=4,"ESCALATED TO LOCAL OFFICE",IF($W87=5,"ESCALATED TO CBE",IF($X87=TODAY(),"EMAIL SENT","MONITORING"))))))))))</f>
        <v/>
      </c>
      <c r="U87" s="17">
        <f>IF($T87="",IF(AND(COUNTA($A87:$K87)&gt;0,$L87=""),"Awaiting Collection Email time stamp.",""),IF(OR($T87="PAID",$T87="CLOSED"),IF($T87="PAID","Account paid. Action completed.","Account closed. No further action required."),CHOOSE($W87,"Collection Email","1st Email Follow-up","2nd Email Follow-up","Escalation to Local Office","Escalation to CBE","Escalation to Roxanne")&amp;" sent "&amp;TEXT($X87,"dd-mmm")&amp;". "&amp;IF($W87=6,"Final escalation completed.",IF($T87="OVERDUE","Next: "&amp;$Z87&amp;" was due "&amp;TEXT($Y87,"dd-mmm")&amp;" - "&amp;(NETWORKDAYS($Y87,TODAY(),Holidays)-1)&amp;" business day(s) late. Send now.",IF($T87="DUE TOMORROW","Next: "&amp;$Z87&amp;IF($Y87&lt;=TODAY()," is due TODAY ("," is due next business day (")&amp;TEXT($Y87,"dd-mmm")&amp;").","Next: "&amp;$Z87&amp;" due "&amp;TEXT($Y87,"dd-mmm")&amp;" ("&amp;(NETWORKDAYS(TODAY(),$Y87,Holidays)-1)&amp;" business day(s) left).")))))</f>
        <v/>
      </c>
      <c r="V87" s="17">
        <f>IF($W87="","",CHOOSE($W87,"Collection Email","1st Follow-up","2nd Follow-up","Local Office","CBE","Roxanne")&amp;IF($W87=6," - Final"," - Day "&amp;MAX(0,NETWORKDAYS($X87,TODAY(),Holidays)-1)&amp;" of "&amp;CHOOSE($W87,3,3,2,2,3))&amp;" | Total Day "&amp;MAX(0,NETWORKDAYS($L87,TODAY(),Holidays)-1))</f>
        <v/>
      </c>
      <c r="W87" s="17">
        <f>IF($L87="","",COUNT($L87:$Q87))</f>
        <v/>
      </c>
      <c r="X87" s="18">
        <f>IF($W87="","",INT(INDEX($L87:$Q87,$W87)))</f>
        <v/>
      </c>
      <c r="Y87" s="18">
        <f>IF(OR($W87="",$W87=6),"",WORKDAY($X87,CHOOSE($W87,3,3,2,2,3),Holidays))</f>
        <v/>
      </c>
      <c r="Z87" s="17">
        <f>IF(OR($W87="",$W87=6),"",CHOOSE($W87,"1st Email Follow-up","2nd Email Follow-up","Escalate Local Office","Escalate to CBE","Escalate to Roxanne"))</f>
        <v/>
      </c>
    </row>
    <row r="88" spans="18:26">
      <c r="R88" s="15"/>
      <c r="S88" s="16"/>
      <c r="T88" s="17">
        <f>IF(AND(COUNTA($A88:$K88)=0,$L88=""),"",IF($S88="Paid","PAID",IF($S88="Closed","CLOSED",IF($W88="","",IF($W88=6,"ESCALATED TO ROXANNE",IF(TODAY()&gt;$Y88,"OVERDUE",IF($Y88&lt;=WORKDAY(TODAY(),1,Holidays),"DUE TOMORROW",IF($W88=4,"ESCALATED TO LOCAL OFFICE",IF($W88=5,"ESCALATED TO CBE",IF($X88=TODAY(),"EMAIL SENT","MONITORING"))))))))))</f>
        <v/>
      </c>
      <c r="U88" s="17">
        <f>IF($T88="",IF(AND(COUNTA($A88:$K88)&gt;0,$L88=""),"Awaiting Collection Email time stamp.",""),IF(OR($T88="PAID",$T88="CLOSED"),IF($T88="PAID","Account paid. Action completed.","Account closed. No further action required."),CHOOSE($W88,"Collection Email","1st Email Follow-up","2nd Email Follow-up","Escalation to Local Office","Escalation to CBE","Escalation to Roxanne")&amp;" sent "&amp;TEXT($X88,"dd-mmm")&amp;". "&amp;IF($W88=6,"Final escalation completed.",IF($T88="OVERDUE","Next: "&amp;$Z88&amp;" was due "&amp;TEXT($Y88,"dd-mmm")&amp;" - "&amp;(NETWORKDAYS($Y88,TODAY(),Holidays)-1)&amp;" business day(s) late. Send now.",IF($T88="DUE TOMORROW","Next: "&amp;$Z88&amp;IF($Y88&lt;=TODAY()," is due TODAY ("," is due next business day (")&amp;TEXT($Y88,"dd-mmm")&amp;").","Next: "&amp;$Z88&amp;" due "&amp;TEXT($Y88,"dd-mmm")&amp;" ("&amp;(NETWORKDAYS(TODAY(),$Y88,Holidays)-1)&amp;" business day(s) left).")))))</f>
        <v/>
      </c>
      <c r="V88" s="17">
        <f>IF($W88="","",CHOOSE($W88,"Collection Email","1st Follow-up","2nd Follow-up","Local Office","CBE","Roxanne")&amp;IF($W88=6," - Final"," - Day "&amp;MAX(0,NETWORKDAYS($X88,TODAY(),Holidays)-1)&amp;" of "&amp;CHOOSE($W88,3,3,2,2,3))&amp;" | Total Day "&amp;MAX(0,NETWORKDAYS($L88,TODAY(),Holidays)-1))</f>
        <v/>
      </c>
      <c r="W88" s="17">
        <f>IF($L88="","",COUNT($L88:$Q88))</f>
        <v/>
      </c>
      <c r="X88" s="18">
        <f>IF($W88="","",INT(INDEX($L88:$Q88,$W88)))</f>
        <v/>
      </c>
      <c r="Y88" s="18">
        <f>IF(OR($W88="",$W88=6),"",WORKDAY($X88,CHOOSE($W88,3,3,2,2,3),Holidays))</f>
        <v/>
      </c>
      <c r="Z88" s="17">
        <f>IF(OR($W88="",$W88=6),"",CHOOSE($W88,"1st Email Follow-up","2nd Email Follow-up","Escalate Local Office","Escalate to CBE","Escalate to Roxanne"))</f>
        <v/>
      </c>
    </row>
    <row r="89" spans="18:26">
      <c r="R89" s="15"/>
      <c r="S89" s="16"/>
      <c r="T89" s="17">
        <f>IF(AND(COUNTA($A89:$K89)=0,$L89=""),"",IF($S89="Paid","PAID",IF($S89="Closed","CLOSED",IF($W89="","",IF($W89=6,"ESCALATED TO ROXANNE",IF(TODAY()&gt;$Y89,"OVERDUE",IF($Y89&lt;=WORKDAY(TODAY(),1,Holidays),"DUE TOMORROW",IF($W89=4,"ESCALATED TO LOCAL OFFICE",IF($W89=5,"ESCALATED TO CBE",IF($X89=TODAY(),"EMAIL SENT","MONITORING"))))))))))</f>
        <v/>
      </c>
      <c r="U89" s="17">
        <f>IF($T89="",IF(AND(COUNTA($A89:$K89)&gt;0,$L89=""),"Awaiting Collection Email time stamp.",""),IF(OR($T89="PAID",$T89="CLOSED"),IF($T89="PAID","Account paid. Action completed.","Account closed. No further action required."),CHOOSE($W89,"Collection Email","1st Email Follow-up","2nd Email Follow-up","Escalation to Local Office","Escalation to CBE","Escalation to Roxanne")&amp;" sent "&amp;TEXT($X89,"dd-mmm")&amp;". "&amp;IF($W89=6,"Final escalation completed.",IF($T89="OVERDUE","Next: "&amp;$Z89&amp;" was due "&amp;TEXT($Y89,"dd-mmm")&amp;" - "&amp;(NETWORKDAYS($Y89,TODAY(),Holidays)-1)&amp;" business day(s) late. Send now.",IF($T89="DUE TOMORROW","Next: "&amp;$Z89&amp;IF($Y89&lt;=TODAY()," is due TODAY ("," is due next business day (")&amp;TEXT($Y89,"dd-mmm")&amp;").","Next: "&amp;$Z89&amp;" due "&amp;TEXT($Y89,"dd-mmm")&amp;" ("&amp;(NETWORKDAYS(TODAY(),$Y89,Holidays)-1)&amp;" business day(s) left).")))))</f>
        <v/>
      </c>
      <c r="V89" s="17">
        <f>IF($W89="","",CHOOSE($W89,"Collection Email","1st Follow-up","2nd Follow-up","Local Office","CBE","Roxanne")&amp;IF($W89=6," - Final"," - Day "&amp;MAX(0,NETWORKDAYS($X89,TODAY(),Holidays)-1)&amp;" of "&amp;CHOOSE($W89,3,3,2,2,3))&amp;" | Total Day "&amp;MAX(0,NETWORKDAYS($L89,TODAY(),Holidays)-1))</f>
        <v/>
      </c>
      <c r="W89" s="17">
        <f>IF($L89="","",COUNT($L89:$Q89))</f>
        <v/>
      </c>
      <c r="X89" s="18">
        <f>IF($W89="","",INT(INDEX($L89:$Q89,$W89)))</f>
        <v/>
      </c>
      <c r="Y89" s="18">
        <f>IF(OR($W89="",$W89=6),"",WORKDAY($X89,CHOOSE($W89,3,3,2,2,3),Holidays))</f>
        <v/>
      </c>
      <c r="Z89" s="17">
        <f>IF(OR($W89="",$W89=6),"",CHOOSE($W89,"1st Email Follow-up","2nd Email Follow-up","Escalate Local Office","Escalate to CBE","Escalate to Roxanne"))</f>
        <v/>
      </c>
    </row>
    <row r="90" spans="18:26">
      <c r="R90" s="15"/>
      <c r="S90" s="16"/>
      <c r="T90" s="17">
        <f>IF(AND(COUNTA($A90:$K90)=0,$L90=""),"",IF($S90="Paid","PAID",IF($S90="Closed","CLOSED",IF($W90="","",IF($W90=6,"ESCALATED TO ROXANNE",IF(TODAY()&gt;$Y90,"OVERDUE",IF($Y90&lt;=WORKDAY(TODAY(),1,Holidays),"DUE TOMORROW",IF($W90=4,"ESCALATED TO LOCAL OFFICE",IF($W90=5,"ESCALATED TO CBE",IF($X90=TODAY(),"EMAIL SENT","MONITORING"))))))))))</f>
        <v/>
      </c>
      <c r="U90" s="17">
        <f>IF($T90="",IF(AND(COUNTA($A90:$K90)&gt;0,$L90=""),"Awaiting Collection Email time stamp.",""),IF(OR($T90="PAID",$T90="CLOSED"),IF($T90="PAID","Account paid. Action completed.","Account closed. No further action required."),CHOOSE($W90,"Collection Email","1st Email Follow-up","2nd Email Follow-up","Escalation to Local Office","Escalation to CBE","Escalation to Roxanne")&amp;" sent "&amp;TEXT($X90,"dd-mmm")&amp;". "&amp;IF($W90=6,"Final escalation completed.",IF($T90="OVERDUE","Next: "&amp;$Z90&amp;" was due "&amp;TEXT($Y90,"dd-mmm")&amp;" - "&amp;(NETWORKDAYS($Y90,TODAY(),Holidays)-1)&amp;" business day(s) late. Send now.",IF($T90="DUE TOMORROW","Next: "&amp;$Z90&amp;IF($Y90&lt;=TODAY()," is due TODAY ("," is due next business day (")&amp;TEXT($Y90,"dd-mmm")&amp;").","Next: "&amp;$Z90&amp;" due "&amp;TEXT($Y90,"dd-mmm")&amp;" ("&amp;(NETWORKDAYS(TODAY(),$Y90,Holidays)-1)&amp;" business day(s) left).")))))</f>
        <v/>
      </c>
      <c r="V90" s="17">
        <f>IF($W90="","",CHOOSE($W90,"Collection Email","1st Follow-up","2nd Follow-up","Local Office","CBE","Roxanne")&amp;IF($W90=6," - Final"," - Day "&amp;MAX(0,NETWORKDAYS($X90,TODAY(),Holidays)-1)&amp;" of "&amp;CHOOSE($W90,3,3,2,2,3))&amp;" | Total Day "&amp;MAX(0,NETWORKDAYS($L90,TODAY(),Holidays)-1))</f>
        <v/>
      </c>
      <c r="W90" s="17">
        <f>IF($L90="","",COUNT($L90:$Q90))</f>
        <v/>
      </c>
      <c r="X90" s="18">
        <f>IF($W90="","",INT(INDEX($L90:$Q90,$W90)))</f>
        <v/>
      </c>
      <c r="Y90" s="18">
        <f>IF(OR($W90="",$W90=6),"",WORKDAY($X90,CHOOSE($W90,3,3,2,2,3),Holidays))</f>
        <v/>
      </c>
      <c r="Z90" s="17">
        <f>IF(OR($W90="",$W90=6),"",CHOOSE($W90,"1st Email Follow-up","2nd Email Follow-up","Escalate Local Office","Escalate to CBE","Escalate to Roxanne"))</f>
        <v/>
      </c>
    </row>
    <row r="91" spans="18:26">
      <c r="R91" s="15"/>
      <c r="S91" s="16"/>
      <c r="T91" s="17">
        <f>IF(AND(COUNTA($A91:$K91)=0,$L91=""),"",IF($S91="Paid","PAID",IF($S91="Closed","CLOSED",IF($W91="","",IF($W91=6,"ESCALATED TO ROXANNE",IF(TODAY()&gt;$Y91,"OVERDUE",IF($Y91&lt;=WORKDAY(TODAY(),1,Holidays),"DUE TOMORROW",IF($W91=4,"ESCALATED TO LOCAL OFFICE",IF($W91=5,"ESCALATED TO CBE",IF($X91=TODAY(),"EMAIL SENT","MONITORING"))))))))))</f>
        <v/>
      </c>
      <c r="U91" s="17">
        <f>IF($T91="",IF(AND(COUNTA($A91:$K91)&gt;0,$L91=""),"Awaiting Collection Email time stamp.",""),IF(OR($T91="PAID",$T91="CLOSED"),IF($T91="PAID","Account paid. Action completed.","Account closed. No further action required."),CHOOSE($W91,"Collection Email","1st Email Follow-up","2nd Email Follow-up","Escalation to Local Office","Escalation to CBE","Escalation to Roxanne")&amp;" sent "&amp;TEXT($X91,"dd-mmm")&amp;". "&amp;IF($W91=6,"Final escalation completed.",IF($T91="OVERDUE","Next: "&amp;$Z91&amp;" was due "&amp;TEXT($Y91,"dd-mmm")&amp;" - "&amp;(NETWORKDAYS($Y91,TODAY(),Holidays)-1)&amp;" business day(s) late. Send now.",IF($T91="DUE TOMORROW","Next: "&amp;$Z91&amp;IF($Y91&lt;=TODAY()," is due TODAY ("," is due next business day (")&amp;TEXT($Y91,"dd-mmm")&amp;").","Next: "&amp;$Z91&amp;" due "&amp;TEXT($Y91,"dd-mmm")&amp;" ("&amp;(NETWORKDAYS(TODAY(),$Y91,Holidays)-1)&amp;" business day(s) left).")))))</f>
        <v/>
      </c>
      <c r="V91" s="17">
        <f>IF($W91="","",CHOOSE($W91,"Collection Email","1st Follow-up","2nd Follow-up","Local Office","CBE","Roxanne")&amp;IF($W91=6," - Final"," - Day "&amp;MAX(0,NETWORKDAYS($X91,TODAY(),Holidays)-1)&amp;" of "&amp;CHOOSE($W91,3,3,2,2,3))&amp;" | Total Day "&amp;MAX(0,NETWORKDAYS($L91,TODAY(),Holidays)-1))</f>
        <v/>
      </c>
      <c r="W91" s="17">
        <f>IF($L91="","",COUNT($L91:$Q91))</f>
        <v/>
      </c>
      <c r="X91" s="18">
        <f>IF($W91="","",INT(INDEX($L91:$Q91,$W91)))</f>
        <v/>
      </c>
      <c r="Y91" s="18">
        <f>IF(OR($W91="",$W91=6),"",WORKDAY($X91,CHOOSE($W91,3,3,2,2,3),Holidays))</f>
        <v/>
      </c>
      <c r="Z91" s="17">
        <f>IF(OR($W91="",$W91=6),"",CHOOSE($W91,"1st Email Follow-up","2nd Email Follow-up","Escalate Local Office","Escalate to CBE","Escalate to Roxanne"))</f>
        <v/>
      </c>
    </row>
    <row r="92" spans="18:26">
      <c r="R92" s="15"/>
      <c r="S92" s="16"/>
      <c r="T92" s="17">
        <f>IF(AND(COUNTA($A92:$K92)=0,$L92=""),"",IF($S92="Paid","PAID",IF($S92="Closed","CLOSED",IF($W92="","",IF($W92=6,"ESCALATED TO ROXANNE",IF(TODAY()&gt;$Y92,"OVERDUE",IF($Y92&lt;=WORKDAY(TODAY(),1,Holidays),"DUE TOMORROW",IF($W92=4,"ESCALATED TO LOCAL OFFICE",IF($W92=5,"ESCALATED TO CBE",IF($X92=TODAY(),"EMAIL SENT","MONITORING"))))))))))</f>
        <v/>
      </c>
      <c r="U92" s="17">
        <f>IF($T92="",IF(AND(COUNTA($A92:$K92)&gt;0,$L92=""),"Awaiting Collection Email time stamp.",""),IF(OR($T92="PAID",$T92="CLOSED"),IF($T92="PAID","Account paid. Action completed.","Account closed. No further action required."),CHOOSE($W92,"Collection Email","1st Email Follow-up","2nd Email Follow-up","Escalation to Local Office","Escalation to CBE","Escalation to Roxanne")&amp;" sent "&amp;TEXT($X92,"dd-mmm")&amp;". "&amp;IF($W92=6,"Final escalation completed.",IF($T92="OVERDUE","Next: "&amp;$Z92&amp;" was due "&amp;TEXT($Y92,"dd-mmm")&amp;" - "&amp;(NETWORKDAYS($Y92,TODAY(),Holidays)-1)&amp;" business day(s) late. Send now.",IF($T92="DUE TOMORROW","Next: "&amp;$Z92&amp;IF($Y92&lt;=TODAY()," is due TODAY ("," is due next business day (")&amp;TEXT($Y92,"dd-mmm")&amp;").","Next: "&amp;$Z92&amp;" due "&amp;TEXT($Y92,"dd-mmm")&amp;" ("&amp;(NETWORKDAYS(TODAY(),$Y92,Holidays)-1)&amp;" business day(s) left).")))))</f>
        <v/>
      </c>
      <c r="V92" s="17">
        <f>IF($W92="","",CHOOSE($W92,"Collection Email","1st Follow-up","2nd Follow-up","Local Office","CBE","Roxanne")&amp;IF($W92=6," - Final"," - Day "&amp;MAX(0,NETWORKDAYS($X92,TODAY(),Holidays)-1)&amp;" of "&amp;CHOOSE($W92,3,3,2,2,3))&amp;" | Total Day "&amp;MAX(0,NETWORKDAYS($L92,TODAY(),Holidays)-1))</f>
        <v/>
      </c>
      <c r="W92" s="17">
        <f>IF($L92="","",COUNT($L92:$Q92))</f>
        <v/>
      </c>
      <c r="X92" s="18">
        <f>IF($W92="","",INT(INDEX($L92:$Q92,$W92)))</f>
        <v/>
      </c>
      <c r="Y92" s="18">
        <f>IF(OR($W92="",$W92=6),"",WORKDAY($X92,CHOOSE($W92,3,3,2,2,3),Holidays))</f>
        <v/>
      </c>
      <c r="Z92" s="17">
        <f>IF(OR($W92="",$W92=6),"",CHOOSE($W92,"1st Email Follow-up","2nd Email Follow-up","Escalate Local Office","Escalate to CBE","Escalate to Roxanne"))</f>
        <v/>
      </c>
    </row>
    <row r="93" spans="18:26">
      <c r="R93" s="15"/>
      <c r="S93" s="16"/>
      <c r="T93" s="17">
        <f>IF(AND(COUNTA($A93:$K93)=0,$L93=""),"",IF($S93="Paid","PAID",IF($S93="Closed","CLOSED",IF($W93="","",IF($W93=6,"ESCALATED TO ROXANNE",IF(TODAY()&gt;$Y93,"OVERDUE",IF($Y93&lt;=WORKDAY(TODAY(),1,Holidays),"DUE TOMORROW",IF($W93=4,"ESCALATED TO LOCAL OFFICE",IF($W93=5,"ESCALATED TO CBE",IF($X93=TODAY(),"EMAIL SENT","MONITORING"))))))))))</f>
        <v/>
      </c>
      <c r="U93" s="17">
        <f>IF($T93="",IF(AND(COUNTA($A93:$K93)&gt;0,$L93=""),"Awaiting Collection Email time stamp.",""),IF(OR($T93="PAID",$T93="CLOSED"),IF($T93="PAID","Account paid. Action completed.","Account closed. No further action required."),CHOOSE($W93,"Collection Email","1st Email Follow-up","2nd Email Follow-up","Escalation to Local Office","Escalation to CBE","Escalation to Roxanne")&amp;" sent "&amp;TEXT($X93,"dd-mmm")&amp;". "&amp;IF($W93=6,"Final escalation completed.",IF($T93="OVERDUE","Next: "&amp;$Z93&amp;" was due "&amp;TEXT($Y93,"dd-mmm")&amp;" - "&amp;(NETWORKDAYS($Y93,TODAY(),Holidays)-1)&amp;" business day(s) late. Send now.",IF($T93="DUE TOMORROW","Next: "&amp;$Z93&amp;IF($Y93&lt;=TODAY()," is due TODAY ("," is due next business day (")&amp;TEXT($Y93,"dd-mmm")&amp;").","Next: "&amp;$Z93&amp;" due "&amp;TEXT($Y93,"dd-mmm")&amp;" ("&amp;(NETWORKDAYS(TODAY(),$Y93,Holidays)-1)&amp;" business day(s) left).")))))</f>
        <v/>
      </c>
      <c r="V93" s="17">
        <f>IF($W93="","",CHOOSE($W93,"Collection Email","1st Follow-up","2nd Follow-up","Local Office","CBE","Roxanne")&amp;IF($W93=6," - Final"," - Day "&amp;MAX(0,NETWORKDAYS($X93,TODAY(),Holidays)-1)&amp;" of "&amp;CHOOSE($W93,3,3,2,2,3))&amp;" | Total Day "&amp;MAX(0,NETWORKDAYS($L93,TODAY(),Holidays)-1))</f>
        <v/>
      </c>
      <c r="W93" s="17">
        <f>IF($L93="","",COUNT($L93:$Q93))</f>
        <v/>
      </c>
      <c r="X93" s="18">
        <f>IF($W93="","",INT(INDEX($L93:$Q93,$W93)))</f>
        <v/>
      </c>
      <c r="Y93" s="18">
        <f>IF(OR($W93="",$W93=6),"",WORKDAY($X93,CHOOSE($W93,3,3,2,2,3),Holidays))</f>
        <v/>
      </c>
      <c r="Z93" s="17">
        <f>IF(OR($W93="",$W93=6),"",CHOOSE($W93,"1st Email Follow-up","2nd Email Follow-up","Escalate Local Office","Escalate to CBE","Escalate to Roxanne"))</f>
        <v/>
      </c>
    </row>
    <row r="94" spans="18:26">
      <c r="R94" s="15"/>
      <c r="S94" s="16"/>
      <c r="T94" s="17">
        <f>IF(AND(COUNTA($A94:$K94)=0,$L94=""),"",IF($S94="Paid","PAID",IF($S94="Closed","CLOSED",IF($W94="","",IF($W94=6,"ESCALATED TO ROXANNE",IF(TODAY()&gt;$Y94,"OVERDUE",IF($Y94&lt;=WORKDAY(TODAY(),1,Holidays),"DUE TOMORROW",IF($W94=4,"ESCALATED TO LOCAL OFFICE",IF($W94=5,"ESCALATED TO CBE",IF($X94=TODAY(),"EMAIL SENT","MONITORING"))))))))))</f>
        <v/>
      </c>
      <c r="U94" s="17">
        <f>IF($T94="",IF(AND(COUNTA($A94:$K94)&gt;0,$L94=""),"Awaiting Collection Email time stamp.",""),IF(OR($T94="PAID",$T94="CLOSED"),IF($T94="PAID","Account paid. Action completed.","Account closed. No further action required."),CHOOSE($W94,"Collection Email","1st Email Follow-up","2nd Email Follow-up","Escalation to Local Office","Escalation to CBE","Escalation to Roxanne")&amp;" sent "&amp;TEXT($X94,"dd-mmm")&amp;". "&amp;IF($W94=6,"Final escalation completed.",IF($T94="OVERDUE","Next: "&amp;$Z94&amp;" was due "&amp;TEXT($Y94,"dd-mmm")&amp;" - "&amp;(NETWORKDAYS($Y94,TODAY(),Holidays)-1)&amp;" business day(s) late. Send now.",IF($T94="DUE TOMORROW","Next: "&amp;$Z94&amp;IF($Y94&lt;=TODAY()," is due TODAY ("," is due next business day (")&amp;TEXT($Y94,"dd-mmm")&amp;").","Next: "&amp;$Z94&amp;" due "&amp;TEXT($Y94,"dd-mmm")&amp;" ("&amp;(NETWORKDAYS(TODAY(),$Y94,Holidays)-1)&amp;" business day(s) left).")))))</f>
        <v/>
      </c>
      <c r="V94" s="17">
        <f>IF($W94="","",CHOOSE($W94,"Collection Email","1st Follow-up","2nd Follow-up","Local Office","CBE","Roxanne")&amp;IF($W94=6," - Final"," - Day "&amp;MAX(0,NETWORKDAYS($X94,TODAY(),Holidays)-1)&amp;" of "&amp;CHOOSE($W94,3,3,2,2,3))&amp;" | Total Day "&amp;MAX(0,NETWORKDAYS($L94,TODAY(),Holidays)-1))</f>
        <v/>
      </c>
      <c r="W94" s="17">
        <f>IF($L94="","",COUNT($L94:$Q94))</f>
        <v/>
      </c>
      <c r="X94" s="18">
        <f>IF($W94="","",INT(INDEX($L94:$Q94,$W94)))</f>
        <v/>
      </c>
      <c r="Y94" s="18">
        <f>IF(OR($W94="",$W94=6),"",WORKDAY($X94,CHOOSE($W94,3,3,2,2,3),Holidays))</f>
        <v/>
      </c>
      <c r="Z94" s="17">
        <f>IF(OR($W94="",$W94=6),"",CHOOSE($W94,"1st Email Follow-up","2nd Email Follow-up","Escalate Local Office","Escalate to CBE","Escalate to Roxanne"))</f>
        <v/>
      </c>
    </row>
    <row r="95" spans="18:26">
      <c r="R95" s="15"/>
      <c r="S95" s="16"/>
      <c r="T95" s="17">
        <f>IF(AND(COUNTA($A95:$K95)=0,$L95=""),"",IF($S95="Paid","PAID",IF($S95="Closed","CLOSED",IF($W95="","",IF($W95=6,"ESCALATED TO ROXANNE",IF(TODAY()&gt;$Y95,"OVERDUE",IF($Y95&lt;=WORKDAY(TODAY(),1,Holidays),"DUE TOMORROW",IF($W95=4,"ESCALATED TO LOCAL OFFICE",IF($W95=5,"ESCALATED TO CBE",IF($X95=TODAY(),"EMAIL SENT","MONITORING"))))))))))</f>
        <v/>
      </c>
      <c r="U95" s="17">
        <f>IF($T95="",IF(AND(COUNTA($A95:$K95)&gt;0,$L95=""),"Awaiting Collection Email time stamp.",""),IF(OR($T95="PAID",$T95="CLOSED"),IF($T95="PAID","Account paid. Action completed.","Account closed. No further action required."),CHOOSE($W95,"Collection Email","1st Email Follow-up","2nd Email Follow-up","Escalation to Local Office","Escalation to CBE","Escalation to Roxanne")&amp;" sent "&amp;TEXT($X95,"dd-mmm")&amp;". "&amp;IF($W95=6,"Final escalation completed.",IF($T95="OVERDUE","Next: "&amp;$Z95&amp;" was due "&amp;TEXT($Y95,"dd-mmm")&amp;" - "&amp;(NETWORKDAYS($Y95,TODAY(),Holidays)-1)&amp;" business day(s) late. Send now.",IF($T95="DUE TOMORROW","Next: "&amp;$Z95&amp;IF($Y95&lt;=TODAY()," is due TODAY ("," is due next business day (")&amp;TEXT($Y95,"dd-mmm")&amp;").","Next: "&amp;$Z95&amp;" due "&amp;TEXT($Y95,"dd-mmm")&amp;" ("&amp;(NETWORKDAYS(TODAY(),$Y95,Holidays)-1)&amp;" business day(s) left).")))))</f>
        <v/>
      </c>
      <c r="V95" s="17">
        <f>IF($W95="","",CHOOSE($W95,"Collection Email","1st Follow-up","2nd Follow-up","Local Office","CBE","Roxanne")&amp;IF($W95=6," - Final"," - Day "&amp;MAX(0,NETWORKDAYS($X95,TODAY(),Holidays)-1)&amp;" of "&amp;CHOOSE($W95,3,3,2,2,3))&amp;" | Total Day "&amp;MAX(0,NETWORKDAYS($L95,TODAY(),Holidays)-1))</f>
        <v/>
      </c>
      <c r="W95" s="17">
        <f>IF($L95="","",COUNT($L95:$Q95))</f>
        <v/>
      </c>
      <c r="X95" s="18">
        <f>IF($W95="","",INT(INDEX($L95:$Q95,$W95)))</f>
        <v/>
      </c>
      <c r="Y95" s="18">
        <f>IF(OR($W95="",$W95=6),"",WORKDAY($X95,CHOOSE($W95,3,3,2,2,3),Holidays))</f>
        <v/>
      </c>
      <c r="Z95" s="17">
        <f>IF(OR($W95="",$W95=6),"",CHOOSE($W95,"1st Email Follow-up","2nd Email Follow-up","Escalate Local Office","Escalate to CBE","Escalate to Roxanne"))</f>
        <v/>
      </c>
    </row>
    <row r="96" spans="18:26">
      <c r="R96" s="15"/>
      <c r="S96" s="16"/>
      <c r="T96" s="17">
        <f>IF(AND(COUNTA($A96:$K96)=0,$L96=""),"",IF($S96="Paid","PAID",IF($S96="Closed","CLOSED",IF($W96="","",IF($W96=6,"ESCALATED TO ROXANNE",IF(TODAY()&gt;$Y96,"OVERDUE",IF($Y96&lt;=WORKDAY(TODAY(),1,Holidays),"DUE TOMORROW",IF($W96=4,"ESCALATED TO LOCAL OFFICE",IF($W96=5,"ESCALATED TO CBE",IF($X96=TODAY(),"EMAIL SENT","MONITORING"))))))))))</f>
        <v/>
      </c>
      <c r="U96" s="17">
        <f>IF($T96="",IF(AND(COUNTA($A96:$K96)&gt;0,$L96=""),"Awaiting Collection Email time stamp.",""),IF(OR($T96="PAID",$T96="CLOSED"),IF($T96="PAID","Account paid. Action completed.","Account closed. No further action required."),CHOOSE($W96,"Collection Email","1st Email Follow-up","2nd Email Follow-up","Escalation to Local Office","Escalation to CBE","Escalation to Roxanne")&amp;" sent "&amp;TEXT($X96,"dd-mmm")&amp;". "&amp;IF($W96=6,"Final escalation completed.",IF($T96="OVERDUE","Next: "&amp;$Z96&amp;" was due "&amp;TEXT($Y96,"dd-mmm")&amp;" - "&amp;(NETWORKDAYS($Y96,TODAY(),Holidays)-1)&amp;" business day(s) late. Send now.",IF($T96="DUE TOMORROW","Next: "&amp;$Z96&amp;IF($Y96&lt;=TODAY()," is due TODAY ("," is due next business day (")&amp;TEXT($Y96,"dd-mmm")&amp;").","Next: "&amp;$Z96&amp;" due "&amp;TEXT($Y96,"dd-mmm")&amp;" ("&amp;(NETWORKDAYS(TODAY(),$Y96,Holidays)-1)&amp;" business day(s) left).")))))</f>
        <v/>
      </c>
      <c r="V96" s="17">
        <f>IF($W96="","",CHOOSE($W96,"Collection Email","1st Follow-up","2nd Follow-up","Local Office","CBE","Roxanne")&amp;IF($W96=6," - Final"," - Day "&amp;MAX(0,NETWORKDAYS($X96,TODAY(),Holidays)-1)&amp;" of "&amp;CHOOSE($W96,3,3,2,2,3))&amp;" | Total Day "&amp;MAX(0,NETWORKDAYS($L96,TODAY(),Holidays)-1))</f>
        <v/>
      </c>
      <c r="W96" s="17">
        <f>IF($L96="","",COUNT($L96:$Q96))</f>
        <v/>
      </c>
      <c r="X96" s="18">
        <f>IF($W96="","",INT(INDEX($L96:$Q96,$W96)))</f>
        <v/>
      </c>
      <c r="Y96" s="18">
        <f>IF(OR($W96="",$W96=6),"",WORKDAY($X96,CHOOSE($W96,3,3,2,2,3),Holidays))</f>
        <v/>
      </c>
      <c r="Z96" s="17">
        <f>IF(OR($W96="",$W96=6),"",CHOOSE($W96,"1st Email Follow-up","2nd Email Follow-up","Escalate Local Office","Escalate to CBE","Escalate to Roxanne"))</f>
        <v/>
      </c>
    </row>
    <row r="97" spans="18:26">
      <c r="R97" s="15"/>
      <c r="S97" s="16"/>
      <c r="T97" s="17">
        <f>IF(AND(COUNTA($A97:$K97)=0,$L97=""),"",IF($S97="Paid","PAID",IF($S97="Closed","CLOSED",IF($W97="","",IF($W97=6,"ESCALATED TO ROXANNE",IF(TODAY()&gt;$Y97,"OVERDUE",IF($Y97&lt;=WORKDAY(TODAY(),1,Holidays),"DUE TOMORROW",IF($W97=4,"ESCALATED TO LOCAL OFFICE",IF($W97=5,"ESCALATED TO CBE",IF($X97=TODAY(),"EMAIL SENT","MONITORING"))))))))))</f>
        <v/>
      </c>
      <c r="U97" s="17">
        <f>IF($T97="",IF(AND(COUNTA($A97:$K97)&gt;0,$L97=""),"Awaiting Collection Email time stamp.",""),IF(OR($T97="PAID",$T97="CLOSED"),IF($T97="PAID","Account paid. Action completed.","Account closed. No further action required."),CHOOSE($W97,"Collection Email","1st Email Follow-up","2nd Email Follow-up","Escalation to Local Office","Escalation to CBE","Escalation to Roxanne")&amp;" sent "&amp;TEXT($X97,"dd-mmm")&amp;". "&amp;IF($W97=6,"Final escalation completed.",IF($T97="OVERDUE","Next: "&amp;$Z97&amp;" was due "&amp;TEXT($Y97,"dd-mmm")&amp;" - "&amp;(NETWORKDAYS($Y97,TODAY(),Holidays)-1)&amp;" business day(s) late. Send now.",IF($T97="DUE TOMORROW","Next: "&amp;$Z97&amp;IF($Y97&lt;=TODAY()," is due TODAY ("," is due next business day (")&amp;TEXT($Y97,"dd-mmm")&amp;").","Next: "&amp;$Z97&amp;" due "&amp;TEXT($Y97,"dd-mmm")&amp;" ("&amp;(NETWORKDAYS(TODAY(),$Y97,Holidays)-1)&amp;" business day(s) left).")))))</f>
        <v/>
      </c>
      <c r="V97" s="17">
        <f>IF($W97="","",CHOOSE($W97,"Collection Email","1st Follow-up","2nd Follow-up","Local Office","CBE","Roxanne")&amp;IF($W97=6," - Final"," - Day "&amp;MAX(0,NETWORKDAYS($X97,TODAY(),Holidays)-1)&amp;" of "&amp;CHOOSE($W97,3,3,2,2,3))&amp;" | Total Day "&amp;MAX(0,NETWORKDAYS($L97,TODAY(),Holidays)-1))</f>
        <v/>
      </c>
      <c r="W97" s="17">
        <f>IF($L97="","",COUNT($L97:$Q97))</f>
        <v/>
      </c>
      <c r="X97" s="18">
        <f>IF($W97="","",INT(INDEX($L97:$Q97,$W97)))</f>
        <v/>
      </c>
      <c r="Y97" s="18">
        <f>IF(OR($W97="",$W97=6),"",WORKDAY($X97,CHOOSE($W97,3,3,2,2,3),Holidays))</f>
        <v/>
      </c>
      <c r="Z97" s="17">
        <f>IF(OR($W97="",$W97=6),"",CHOOSE($W97,"1st Email Follow-up","2nd Email Follow-up","Escalate Local Office","Escalate to CBE","Escalate to Roxanne"))</f>
        <v/>
      </c>
    </row>
    <row r="98" spans="18:26">
      <c r="R98" s="15"/>
      <c r="S98" s="16"/>
      <c r="T98" s="17">
        <f>IF(AND(COUNTA($A98:$K98)=0,$L98=""),"",IF($S98="Paid","PAID",IF($S98="Closed","CLOSED",IF($W98="","",IF($W98=6,"ESCALATED TO ROXANNE",IF(TODAY()&gt;$Y98,"OVERDUE",IF($Y98&lt;=WORKDAY(TODAY(),1,Holidays),"DUE TOMORROW",IF($W98=4,"ESCALATED TO LOCAL OFFICE",IF($W98=5,"ESCALATED TO CBE",IF($X98=TODAY(),"EMAIL SENT","MONITORING"))))))))))</f>
        <v/>
      </c>
      <c r="U98" s="17">
        <f>IF($T98="",IF(AND(COUNTA($A98:$K98)&gt;0,$L98=""),"Awaiting Collection Email time stamp.",""),IF(OR($T98="PAID",$T98="CLOSED"),IF($T98="PAID","Account paid. Action completed.","Account closed. No further action required."),CHOOSE($W98,"Collection Email","1st Email Follow-up","2nd Email Follow-up","Escalation to Local Office","Escalation to CBE","Escalation to Roxanne")&amp;" sent "&amp;TEXT($X98,"dd-mmm")&amp;". "&amp;IF($W98=6,"Final escalation completed.",IF($T98="OVERDUE","Next: "&amp;$Z98&amp;" was due "&amp;TEXT($Y98,"dd-mmm")&amp;" - "&amp;(NETWORKDAYS($Y98,TODAY(),Holidays)-1)&amp;" business day(s) late. Send now.",IF($T98="DUE TOMORROW","Next: "&amp;$Z98&amp;IF($Y98&lt;=TODAY()," is due TODAY ("," is due next business day (")&amp;TEXT($Y98,"dd-mmm")&amp;").","Next: "&amp;$Z98&amp;" due "&amp;TEXT($Y98,"dd-mmm")&amp;" ("&amp;(NETWORKDAYS(TODAY(),$Y98,Holidays)-1)&amp;" business day(s) left).")))))</f>
        <v/>
      </c>
      <c r="V98" s="17">
        <f>IF($W98="","",CHOOSE($W98,"Collection Email","1st Follow-up","2nd Follow-up","Local Office","CBE","Roxanne")&amp;IF($W98=6," - Final"," - Day "&amp;MAX(0,NETWORKDAYS($X98,TODAY(),Holidays)-1)&amp;" of "&amp;CHOOSE($W98,3,3,2,2,3))&amp;" | Total Day "&amp;MAX(0,NETWORKDAYS($L98,TODAY(),Holidays)-1))</f>
        <v/>
      </c>
      <c r="W98" s="17">
        <f>IF($L98="","",COUNT($L98:$Q98))</f>
        <v/>
      </c>
      <c r="X98" s="18">
        <f>IF($W98="","",INT(INDEX($L98:$Q98,$W98)))</f>
        <v/>
      </c>
      <c r="Y98" s="18">
        <f>IF(OR($W98="",$W98=6),"",WORKDAY($X98,CHOOSE($W98,3,3,2,2,3),Holidays))</f>
        <v/>
      </c>
      <c r="Z98" s="17">
        <f>IF(OR($W98="",$W98=6),"",CHOOSE($W98,"1st Email Follow-up","2nd Email Follow-up","Escalate Local Office","Escalate to CBE","Escalate to Roxanne"))</f>
        <v/>
      </c>
    </row>
    <row r="99" spans="18:26">
      <c r="R99" s="15"/>
      <c r="S99" s="16"/>
      <c r="T99" s="17">
        <f>IF(AND(COUNTA($A99:$K99)=0,$L99=""),"",IF($S99="Paid","PAID",IF($S99="Closed","CLOSED",IF($W99="","",IF($W99=6,"ESCALATED TO ROXANNE",IF(TODAY()&gt;$Y99,"OVERDUE",IF($Y99&lt;=WORKDAY(TODAY(),1,Holidays),"DUE TOMORROW",IF($W99=4,"ESCALATED TO LOCAL OFFICE",IF($W99=5,"ESCALATED TO CBE",IF($X99=TODAY(),"EMAIL SENT","MONITORING"))))))))))</f>
        <v/>
      </c>
      <c r="U99" s="17">
        <f>IF($T99="",IF(AND(COUNTA($A99:$K99)&gt;0,$L99=""),"Awaiting Collection Email time stamp.",""),IF(OR($T99="PAID",$T99="CLOSED"),IF($T99="PAID","Account paid. Action completed.","Account closed. No further action required."),CHOOSE($W99,"Collection Email","1st Email Follow-up","2nd Email Follow-up","Escalation to Local Office","Escalation to CBE","Escalation to Roxanne")&amp;" sent "&amp;TEXT($X99,"dd-mmm")&amp;". "&amp;IF($W99=6,"Final escalation completed.",IF($T99="OVERDUE","Next: "&amp;$Z99&amp;" was due "&amp;TEXT($Y99,"dd-mmm")&amp;" - "&amp;(NETWORKDAYS($Y99,TODAY(),Holidays)-1)&amp;" business day(s) late. Send now.",IF($T99="DUE TOMORROW","Next: "&amp;$Z99&amp;IF($Y99&lt;=TODAY()," is due TODAY ("," is due next business day (")&amp;TEXT($Y99,"dd-mmm")&amp;").","Next: "&amp;$Z99&amp;" due "&amp;TEXT($Y99,"dd-mmm")&amp;" ("&amp;(NETWORKDAYS(TODAY(),$Y99,Holidays)-1)&amp;" business day(s) left).")))))</f>
        <v/>
      </c>
      <c r="V99" s="17">
        <f>IF($W99="","",CHOOSE($W99,"Collection Email","1st Follow-up","2nd Follow-up","Local Office","CBE","Roxanne")&amp;IF($W99=6," - Final"," - Day "&amp;MAX(0,NETWORKDAYS($X99,TODAY(),Holidays)-1)&amp;" of "&amp;CHOOSE($W99,3,3,2,2,3))&amp;" | Total Day "&amp;MAX(0,NETWORKDAYS($L99,TODAY(),Holidays)-1))</f>
        <v/>
      </c>
      <c r="W99" s="17">
        <f>IF($L99="","",COUNT($L99:$Q99))</f>
        <v/>
      </c>
      <c r="X99" s="18">
        <f>IF($W99="","",INT(INDEX($L99:$Q99,$W99)))</f>
        <v/>
      </c>
      <c r="Y99" s="18">
        <f>IF(OR($W99="",$W99=6),"",WORKDAY($X99,CHOOSE($W99,3,3,2,2,3),Holidays))</f>
        <v/>
      </c>
      <c r="Z99" s="17">
        <f>IF(OR($W99="",$W99=6),"",CHOOSE($W99,"1st Email Follow-up","2nd Email Follow-up","Escalate Local Office","Escalate to CBE","Escalate to Roxanne"))</f>
        <v/>
      </c>
    </row>
    <row r="100" spans="18:26">
      <c r="R100" s="15"/>
      <c r="S100" s="16"/>
      <c r="T100" s="17">
        <f>IF(AND(COUNTA($A100:$K100)=0,$L100=""),"",IF($S100="Paid","PAID",IF($S100="Closed","CLOSED",IF($W100="","",IF($W100=6,"ESCALATED TO ROXANNE",IF(TODAY()&gt;$Y100,"OVERDUE",IF($Y100&lt;=WORKDAY(TODAY(),1,Holidays),"DUE TOMORROW",IF($W100=4,"ESCALATED TO LOCAL OFFICE",IF($W100=5,"ESCALATED TO CBE",IF($X100=TODAY(),"EMAIL SENT","MONITORING"))))))))))</f>
        <v/>
      </c>
      <c r="U100" s="17">
        <f>IF($T100="",IF(AND(COUNTA($A100:$K100)&gt;0,$L100=""),"Awaiting Collection Email time stamp.",""),IF(OR($T100="PAID",$T100="CLOSED"),IF($T100="PAID","Account paid. Action completed.","Account closed. No further action required."),CHOOSE($W100,"Collection Email","1st Email Follow-up","2nd Email Follow-up","Escalation to Local Office","Escalation to CBE","Escalation to Roxanne")&amp;" sent "&amp;TEXT($X100,"dd-mmm")&amp;". "&amp;IF($W100=6,"Final escalation completed.",IF($T100="OVERDUE","Next: "&amp;$Z100&amp;" was due "&amp;TEXT($Y100,"dd-mmm")&amp;" - "&amp;(NETWORKDAYS($Y100,TODAY(),Holidays)-1)&amp;" business day(s) late. Send now.",IF($T100="DUE TOMORROW","Next: "&amp;$Z100&amp;IF($Y100&lt;=TODAY()," is due TODAY ("," is due next business day (")&amp;TEXT($Y100,"dd-mmm")&amp;").","Next: "&amp;$Z100&amp;" due "&amp;TEXT($Y100,"dd-mmm")&amp;" ("&amp;(NETWORKDAYS(TODAY(),$Y100,Holidays)-1)&amp;" business day(s) left).")))))</f>
        <v/>
      </c>
      <c r="V100" s="17">
        <f>IF($W100="","",CHOOSE($W100,"Collection Email","1st Follow-up","2nd Follow-up","Local Office","CBE","Roxanne")&amp;IF($W100=6," - Final"," - Day "&amp;MAX(0,NETWORKDAYS($X100,TODAY(),Holidays)-1)&amp;" of "&amp;CHOOSE($W100,3,3,2,2,3))&amp;" | Total Day "&amp;MAX(0,NETWORKDAYS($L100,TODAY(),Holidays)-1))</f>
        <v/>
      </c>
      <c r="W100" s="17">
        <f>IF($L100="","",COUNT($L100:$Q100))</f>
        <v/>
      </c>
      <c r="X100" s="18">
        <f>IF($W100="","",INT(INDEX($L100:$Q100,$W100)))</f>
        <v/>
      </c>
      <c r="Y100" s="18">
        <f>IF(OR($W100="",$W100=6),"",WORKDAY($X100,CHOOSE($W100,3,3,2,2,3),Holidays))</f>
        <v/>
      </c>
      <c r="Z100" s="17">
        <f>IF(OR($W100="",$W100=6),"",CHOOSE($W100,"1st Email Follow-up","2nd Email Follow-up","Escalate Local Office","Escalate to CBE","Escalate to Roxanne"))</f>
        <v/>
      </c>
    </row>
    <row r="101" spans="18:26">
      <c r="R101" s="15"/>
      <c r="S101" s="16"/>
      <c r="T101" s="17">
        <f>IF(AND(COUNTA($A101:$K101)=0,$L101=""),"",IF($S101="Paid","PAID",IF($S101="Closed","CLOSED",IF($W101="","",IF($W101=6,"ESCALATED TO ROXANNE",IF(TODAY()&gt;$Y101,"OVERDUE",IF($Y101&lt;=WORKDAY(TODAY(),1,Holidays),"DUE TOMORROW",IF($W101=4,"ESCALATED TO LOCAL OFFICE",IF($W101=5,"ESCALATED TO CBE",IF($X101=TODAY(),"EMAIL SENT","MONITORING"))))))))))</f>
        <v/>
      </c>
      <c r="U101" s="17">
        <f>IF($T101="",IF(AND(COUNTA($A101:$K101)&gt;0,$L101=""),"Awaiting Collection Email time stamp.",""),IF(OR($T101="PAID",$T101="CLOSED"),IF($T101="PAID","Account paid. Action completed.","Account closed. No further action required."),CHOOSE($W101,"Collection Email","1st Email Follow-up","2nd Email Follow-up","Escalation to Local Office","Escalation to CBE","Escalation to Roxanne")&amp;" sent "&amp;TEXT($X101,"dd-mmm")&amp;". "&amp;IF($W101=6,"Final escalation completed.",IF($T101="OVERDUE","Next: "&amp;$Z101&amp;" was due "&amp;TEXT($Y101,"dd-mmm")&amp;" - "&amp;(NETWORKDAYS($Y101,TODAY(),Holidays)-1)&amp;" business day(s) late. Send now.",IF($T101="DUE TOMORROW","Next: "&amp;$Z101&amp;IF($Y101&lt;=TODAY()," is due TODAY ("," is due next business day (")&amp;TEXT($Y101,"dd-mmm")&amp;").","Next: "&amp;$Z101&amp;" due "&amp;TEXT($Y101,"dd-mmm")&amp;" ("&amp;(NETWORKDAYS(TODAY(),$Y101,Holidays)-1)&amp;" business day(s) left).")))))</f>
        <v/>
      </c>
      <c r="V101" s="17">
        <f>IF($W101="","",CHOOSE($W101,"Collection Email","1st Follow-up","2nd Follow-up","Local Office","CBE","Roxanne")&amp;IF($W101=6," - Final"," - Day "&amp;MAX(0,NETWORKDAYS($X101,TODAY(),Holidays)-1)&amp;" of "&amp;CHOOSE($W101,3,3,2,2,3))&amp;" | Total Day "&amp;MAX(0,NETWORKDAYS($L101,TODAY(),Holidays)-1))</f>
        <v/>
      </c>
      <c r="W101" s="17">
        <f>IF($L101="","",COUNT($L101:$Q101))</f>
        <v/>
      </c>
      <c r="X101" s="18">
        <f>IF($W101="","",INT(INDEX($L101:$Q101,$W101)))</f>
        <v/>
      </c>
      <c r="Y101" s="18">
        <f>IF(OR($W101="",$W101=6),"",WORKDAY($X101,CHOOSE($W101,3,3,2,2,3),Holidays))</f>
        <v/>
      </c>
      <c r="Z101" s="17">
        <f>IF(OR($W101="",$W101=6),"",CHOOSE($W101,"1st Email Follow-up","2nd Email Follow-up","Escalate Local Office","Escalate to CBE","Escalate to Roxanne"))</f>
        <v/>
      </c>
    </row>
    <row r="102" spans="18:26">
      <c r="R102" s="15"/>
      <c r="S102" s="16"/>
      <c r="T102" s="17">
        <f>IF(AND(COUNTA($A102:$K102)=0,$L102=""),"",IF($S102="Paid","PAID",IF($S102="Closed","CLOSED",IF($W102="","",IF($W102=6,"ESCALATED TO ROXANNE",IF(TODAY()&gt;$Y102,"OVERDUE",IF($Y102&lt;=WORKDAY(TODAY(),1,Holidays),"DUE TOMORROW",IF($W102=4,"ESCALATED TO LOCAL OFFICE",IF($W102=5,"ESCALATED TO CBE",IF($X102=TODAY(),"EMAIL SENT","MONITORING"))))))))))</f>
        <v/>
      </c>
      <c r="U102" s="17">
        <f>IF($T102="",IF(AND(COUNTA($A102:$K102)&gt;0,$L102=""),"Awaiting Collection Email time stamp.",""),IF(OR($T102="PAID",$T102="CLOSED"),IF($T102="PAID","Account paid. Action completed.","Account closed. No further action required."),CHOOSE($W102,"Collection Email","1st Email Follow-up","2nd Email Follow-up","Escalation to Local Office","Escalation to CBE","Escalation to Roxanne")&amp;" sent "&amp;TEXT($X102,"dd-mmm")&amp;". "&amp;IF($W102=6,"Final escalation completed.",IF($T102="OVERDUE","Next: "&amp;$Z102&amp;" was due "&amp;TEXT($Y102,"dd-mmm")&amp;" - "&amp;(NETWORKDAYS($Y102,TODAY(),Holidays)-1)&amp;" business day(s) late. Send now.",IF($T102="DUE TOMORROW","Next: "&amp;$Z102&amp;IF($Y102&lt;=TODAY()," is due TODAY ("," is due next business day (")&amp;TEXT($Y102,"dd-mmm")&amp;").","Next: "&amp;$Z102&amp;" due "&amp;TEXT($Y102,"dd-mmm")&amp;" ("&amp;(NETWORKDAYS(TODAY(),$Y102,Holidays)-1)&amp;" business day(s) left).")))))</f>
        <v/>
      </c>
      <c r="V102" s="17">
        <f>IF($W102="","",CHOOSE($W102,"Collection Email","1st Follow-up","2nd Follow-up","Local Office","CBE","Roxanne")&amp;IF($W102=6," - Final"," - Day "&amp;MAX(0,NETWORKDAYS($X102,TODAY(),Holidays)-1)&amp;" of "&amp;CHOOSE($W102,3,3,2,2,3))&amp;" | Total Day "&amp;MAX(0,NETWORKDAYS($L102,TODAY(),Holidays)-1))</f>
        <v/>
      </c>
      <c r="W102" s="17">
        <f>IF($L102="","",COUNT($L102:$Q102))</f>
        <v/>
      </c>
      <c r="X102" s="18">
        <f>IF($W102="","",INT(INDEX($L102:$Q102,$W102)))</f>
        <v/>
      </c>
      <c r="Y102" s="18">
        <f>IF(OR($W102="",$W102=6),"",WORKDAY($X102,CHOOSE($W102,3,3,2,2,3),Holidays))</f>
        <v/>
      </c>
      <c r="Z102" s="17">
        <f>IF(OR($W102="",$W102=6),"",CHOOSE($W102,"1st Email Follow-up","2nd Email Follow-up","Escalate Local Office","Escalate to CBE","Escalate to Roxanne"))</f>
        <v/>
      </c>
    </row>
    <row r="103" spans="18:26">
      <c r="R103" s="15"/>
      <c r="S103" s="16"/>
      <c r="T103" s="17">
        <f>IF(AND(COUNTA($A103:$K103)=0,$L103=""),"",IF($S103="Paid","PAID",IF($S103="Closed","CLOSED",IF($W103="","",IF($W103=6,"ESCALATED TO ROXANNE",IF(TODAY()&gt;$Y103,"OVERDUE",IF($Y103&lt;=WORKDAY(TODAY(),1,Holidays),"DUE TOMORROW",IF($W103=4,"ESCALATED TO LOCAL OFFICE",IF($W103=5,"ESCALATED TO CBE",IF($X103=TODAY(),"EMAIL SENT","MONITORING"))))))))))</f>
        <v/>
      </c>
      <c r="U103" s="17">
        <f>IF($T103="",IF(AND(COUNTA($A103:$K103)&gt;0,$L103=""),"Awaiting Collection Email time stamp.",""),IF(OR($T103="PAID",$T103="CLOSED"),IF($T103="PAID","Account paid. Action completed.","Account closed. No further action required."),CHOOSE($W103,"Collection Email","1st Email Follow-up","2nd Email Follow-up","Escalation to Local Office","Escalation to CBE","Escalation to Roxanne")&amp;" sent "&amp;TEXT($X103,"dd-mmm")&amp;". "&amp;IF($W103=6,"Final escalation completed.",IF($T103="OVERDUE","Next: "&amp;$Z103&amp;" was due "&amp;TEXT($Y103,"dd-mmm")&amp;" - "&amp;(NETWORKDAYS($Y103,TODAY(),Holidays)-1)&amp;" business day(s) late. Send now.",IF($T103="DUE TOMORROW","Next: "&amp;$Z103&amp;IF($Y103&lt;=TODAY()," is due TODAY ("," is due next business day (")&amp;TEXT($Y103,"dd-mmm")&amp;").","Next: "&amp;$Z103&amp;" due "&amp;TEXT($Y103,"dd-mmm")&amp;" ("&amp;(NETWORKDAYS(TODAY(),$Y103,Holidays)-1)&amp;" business day(s) left).")))))</f>
        <v/>
      </c>
      <c r="V103" s="17">
        <f>IF($W103="","",CHOOSE($W103,"Collection Email","1st Follow-up","2nd Follow-up","Local Office","CBE","Roxanne")&amp;IF($W103=6," - Final"," - Day "&amp;MAX(0,NETWORKDAYS($X103,TODAY(),Holidays)-1)&amp;" of "&amp;CHOOSE($W103,3,3,2,2,3))&amp;" | Total Day "&amp;MAX(0,NETWORKDAYS($L103,TODAY(),Holidays)-1))</f>
        <v/>
      </c>
      <c r="W103" s="17">
        <f>IF($L103="","",COUNT($L103:$Q103))</f>
        <v/>
      </c>
      <c r="X103" s="18">
        <f>IF($W103="","",INT(INDEX($L103:$Q103,$W103)))</f>
        <v/>
      </c>
      <c r="Y103" s="18">
        <f>IF(OR($W103="",$W103=6),"",WORKDAY($X103,CHOOSE($W103,3,3,2,2,3),Holidays))</f>
        <v/>
      </c>
      <c r="Z103" s="17">
        <f>IF(OR($W103="",$W103=6),"",CHOOSE($W103,"1st Email Follow-up","2nd Email Follow-up","Escalate Local Office","Escalate to CBE","Escalate to Roxanne"))</f>
        <v/>
      </c>
    </row>
    <row r="104" spans="18:26">
      <c r="R104" s="15"/>
      <c r="S104" s="16"/>
      <c r="T104" s="17">
        <f>IF(AND(COUNTA($A104:$K104)=0,$L104=""),"",IF($S104="Paid","PAID",IF($S104="Closed","CLOSED",IF($W104="","",IF($W104=6,"ESCALATED TO ROXANNE",IF(TODAY()&gt;$Y104,"OVERDUE",IF($Y104&lt;=WORKDAY(TODAY(),1,Holidays),"DUE TOMORROW",IF($W104=4,"ESCALATED TO LOCAL OFFICE",IF($W104=5,"ESCALATED TO CBE",IF($X104=TODAY(),"EMAIL SENT","MONITORING"))))))))))</f>
        <v/>
      </c>
      <c r="U104" s="17">
        <f>IF($T104="",IF(AND(COUNTA($A104:$K104)&gt;0,$L104=""),"Awaiting Collection Email time stamp.",""),IF(OR($T104="PAID",$T104="CLOSED"),IF($T104="PAID","Account paid. Action completed.","Account closed. No further action required."),CHOOSE($W104,"Collection Email","1st Email Follow-up","2nd Email Follow-up","Escalation to Local Office","Escalation to CBE","Escalation to Roxanne")&amp;" sent "&amp;TEXT($X104,"dd-mmm")&amp;". "&amp;IF($W104=6,"Final escalation completed.",IF($T104="OVERDUE","Next: "&amp;$Z104&amp;" was due "&amp;TEXT($Y104,"dd-mmm")&amp;" - "&amp;(NETWORKDAYS($Y104,TODAY(),Holidays)-1)&amp;" business day(s) late. Send now.",IF($T104="DUE TOMORROW","Next: "&amp;$Z104&amp;IF($Y104&lt;=TODAY()," is due TODAY ("," is due next business day (")&amp;TEXT($Y104,"dd-mmm")&amp;").","Next: "&amp;$Z104&amp;" due "&amp;TEXT($Y104,"dd-mmm")&amp;" ("&amp;(NETWORKDAYS(TODAY(),$Y104,Holidays)-1)&amp;" business day(s) left).")))))</f>
        <v/>
      </c>
      <c r="V104" s="17">
        <f>IF($W104="","",CHOOSE($W104,"Collection Email","1st Follow-up","2nd Follow-up","Local Office","CBE","Roxanne")&amp;IF($W104=6," - Final"," - Day "&amp;MAX(0,NETWORKDAYS($X104,TODAY(),Holidays)-1)&amp;" of "&amp;CHOOSE($W104,3,3,2,2,3))&amp;" | Total Day "&amp;MAX(0,NETWORKDAYS($L104,TODAY(),Holidays)-1))</f>
        <v/>
      </c>
      <c r="W104" s="17">
        <f>IF($L104="","",COUNT($L104:$Q104))</f>
        <v/>
      </c>
      <c r="X104" s="18">
        <f>IF($W104="","",INT(INDEX($L104:$Q104,$W104)))</f>
        <v/>
      </c>
      <c r="Y104" s="18">
        <f>IF(OR($W104="",$W104=6),"",WORKDAY($X104,CHOOSE($W104,3,3,2,2,3),Holidays))</f>
        <v/>
      </c>
      <c r="Z104" s="17">
        <f>IF(OR($W104="",$W104=6),"",CHOOSE($W104,"1st Email Follow-up","2nd Email Follow-up","Escalate Local Office","Escalate to CBE","Escalate to Roxanne"))</f>
        <v/>
      </c>
    </row>
    <row r="105" spans="18:26">
      <c r="R105" s="15"/>
      <c r="S105" s="16"/>
      <c r="T105" s="17">
        <f>IF(AND(COUNTA($A105:$K105)=0,$L105=""),"",IF($S105="Paid","PAID",IF($S105="Closed","CLOSED",IF($W105="","",IF($W105=6,"ESCALATED TO ROXANNE",IF(TODAY()&gt;$Y105,"OVERDUE",IF($Y105&lt;=WORKDAY(TODAY(),1,Holidays),"DUE TOMORROW",IF($W105=4,"ESCALATED TO LOCAL OFFICE",IF($W105=5,"ESCALATED TO CBE",IF($X105=TODAY(),"EMAIL SENT","MONITORING"))))))))))</f>
        <v/>
      </c>
      <c r="U105" s="17">
        <f>IF($T105="",IF(AND(COUNTA($A105:$K105)&gt;0,$L105=""),"Awaiting Collection Email time stamp.",""),IF(OR($T105="PAID",$T105="CLOSED"),IF($T105="PAID","Account paid. Action completed.","Account closed. No further action required."),CHOOSE($W105,"Collection Email","1st Email Follow-up","2nd Email Follow-up","Escalation to Local Office","Escalation to CBE","Escalation to Roxanne")&amp;" sent "&amp;TEXT($X105,"dd-mmm")&amp;". "&amp;IF($W105=6,"Final escalation completed.",IF($T105="OVERDUE","Next: "&amp;$Z105&amp;" was due "&amp;TEXT($Y105,"dd-mmm")&amp;" - "&amp;(NETWORKDAYS($Y105,TODAY(),Holidays)-1)&amp;" business day(s) late. Send now.",IF($T105="DUE TOMORROW","Next: "&amp;$Z105&amp;IF($Y105&lt;=TODAY()," is due TODAY ("," is due next business day (")&amp;TEXT($Y105,"dd-mmm")&amp;").","Next: "&amp;$Z105&amp;" due "&amp;TEXT($Y105,"dd-mmm")&amp;" ("&amp;(NETWORKDAYS(TODAY(),$Y105,Holidays)-1)&amp;" business day(s) left).")))))</f>
        <v/>
      </c>
      <c r="V105" s="17">
        <f>IF($W105="","",CHOOSE($W105,"Collection Email","1st Follow-up","2nd Follow-up","Local Office","CBE","Roxanne")&amp;IF($W105=6," - Final"," - Day "&amp;MAX(0,NETWORKDAYS($X105,TODAY(),Holidays)-1)&amp;" of "&amp;CHOOSE($W105,3,3,2,2,3))&amp;" | Total Day "&amp;MAX(0,NETWORKDAYS($L105,TODAY(),Holidays)-1))</f>
        <v/>
      </c>
      <c r="W105" s="17">
        <f>IF($L105="","",COUNT($L105:$Q105))</f>
        <v/>
      </c>
      <c r="X105" s="18">
        <f>IF($W105="","",INT(INDEX($L105:$Q105,$W105)))</f>
        <v/>
      </c>
      <c r="Y105" s="18">
        <f>IF(OR($W105="",$W105=6),"",WORKDAY($X105,CHOOSE($W105,3,3,2,2,3),Holidays))</f>
        <v/>
      </c>
      <c r="Z105" s="17">
        <f>IF(OR($W105="",$W105=6),"",CHOOSE($W105,"1st Email Follow-up","2nd Email Follow-up","Escalate Local Office","Escalate to CBE","Escalate to Roxanne"))</f>
        <v/>
      </c>
    </row>
    <row r="106" spans="18:26">
      <c r="R106" s="15"/>
      <c r="S106" s="16"/>
      <c r="T106" s="17">
        <f>IF(AND(COUNTA($A106:$K106)=0,$L106=""),"",IF($S106="Paid","PAID",IF($S106="Closed","CLOSED",IF($W106="","",IF($W106=6,"ESCALATED TO ROXANNE",IF(TODAY()&gt;$Y106,"OVERDUE",IF($Y106&lt;=WORKDAY(TODAY(),1,Holidays),"DUE TOMORROW",IF($W106=4,"ESCALATED TO LOCAL OFFICE",IF($W106=5,"ESCALATED TO CBE",IF($X106=TODAY(),"EMAIL SENT","MONITORING"))))))))))</f>
        <v/>
      </c>
      <c r="U106" s="17">
        <f>IF($T106="",IF(AND(COUNTA($A106:$K106)&gt;0,$L106=""),"Awaiting Collection Email time stamp.",""),IF(OR($T106="PAID",$T106="CLOSED"),IF($T106="PAID","Account paid. Action completed.","Account closed. No further action required."),CHOOSE($W106,"Collection Email","1st Email Follow-up","2nd Email Follow-up","Escalation to Local Office","Escalation to CBE","Escalation to Roxanne")&amp;" sent "&amp;TEXT($X106,"dd-mmm")&amp;". "&amp;IF($W106=6,"Final escalation completed.",IF($T106="OVERDUE","Next: "&amp;$Z106&amp;" was due "&amp;TEXT($Y106,"dd-mmm")&amp;" - "&amp;(NETWORKDAYS($Y106,TODAY(),Holidays)-1)&amp;" business day(s) late. Send now.",IF($T106="DUE TOMORROW","Next: "&amp;$Z106&amp;IF($Y106&lt;=TODAY()," is due TODAY ("," is due next business day (")&amp;TEXT($Y106,"dd-mmm")&amp;").","Next: "&amp;$Z106&amp;" due "&amp;TEXT($Y106,"dd-mmm")&amp;" ("&amp;(NETWORKDAYS(TODAY(),$Y106,Holidays)-1)&amp;" business day(s) left).")))))</f>
        <v/>
      </c>
      <c r="V106" s="17">
        <f>IF($W106="","",CHOOSE($W106,"Collection Email","1st Follow-up","2nd Follow-up","Local Office","CBE","Roxanne")&amp;IF($W106=6," - Final"," - Day "&amp;MAX(0,NETWORKDAYS($X106,TODAY(),Holidays)-1)&amp;" of "&amp;CHOOSE($W106,3,3,2,2,3))&amp;" | Total Day "&amp;MAX(0,NETWORKDAYS($L106,TODAY(),Holidays)-1))</f>
        <v/>
      </c>
      <c r="W106" s="17">
        <f>IF($L106="","",COUNT($L106:$Q106))</f>
        <v/>
      </c>
      <c r="X106" s="18">
        <f>IF($W106="","",INT(INDEX($L106:$Q106,$W106)))</f>
        <v/>
      </c>
      <c r="Y106" s="18">
        <f>IF(OR($W106="",$W106=6),"",WORKDAY($X106,CHOOSE($W106,3,3,2,2,3),Holidays))</f>
        <v/>
      </c>
      <c r="Z106" s="17">
        <f>IF(OR($W106="",$W106=6),"",CHOOSE($W106,"1st Email Follow-up","2nd Email Follow-up","Escalate Local Office","Escalate to CBE","Escalate to Roxanne"))</f>
        <v/>
      </c>
    </row>
    <row r="107" spans="18:26">
      <c r="R107" s="15"/>
      <c r="S107" s="16"/>
      <c r="T107" s="17">
        <f>IF(AND(COUNTA($A107:$K107)=0,$L107=""),"",IF($S107="Paid","PAID",IF($S107="Closed","CLOSED",IF($W107="","",IF($W107=6,"ESCALATED TO ROXANNE",IF(TODAY()&gt;$Y107,"OVERDUE",IF($Y107&lt;=WORKDAY(TODAY(),1,Holidays),"DUE TOMORROW",IF($W107=4,"ESCALATED TO LOCAL OFFICE",IF($W107=5,"ESCALATED TO CBE",IF($X107=TODAY(),"EMAIL SENT","MONITORING"))))))))))</f>
        <v/>
      </c>
      <c r="U107" s="17">
        <f>IF($T107="",IF(AND(COUNTA($A107:$K107)&gt;0,$L107=""),"Awaiting Collection Email time stamp.",""),IF(OR($T107="PAID",$T107="CLOSED"),IF($T107="PAID","Account paid. Action completed.","Account closed. No further action required."),CHOOSE($W107,"Collection Email","1st Email Follow-up","2nd Email Follow-up","Escalation to Local Office","Escalation to CBE","Escalation to Roxanne")&amp;" sent "&amp;TEXT($X107,"dd-mmm")&amp;". "&amp;IF($W107=6,"Final escalation completed.",IF($T107="OVERDUE","Next: "&amp;$Z107&amp;" was due "&amp;TEXT($Y107,"dd-mmm")&amp;" - "&amp;(NETWORKDAYS($Y107,TODAY(),Holidays)-1)&amp;" business day(s) late. Send now.",IF($T107="DUE TOMORROW","Next: "&amp;$Z107&amp;IF($Y107&lt;=TODAY()," is due TODAY ("," is due next business day (")&amp;TEXT($Y107,"dd-mmm")&amp;").","Next: "&amp;$Z107&amp;" due "&amp;TEXT($Y107,"dd-mmm")&amp;" ("&amp;(NETWORKDAYS(TODAY(),$Y107,Holidays)-1)&amp;" business day(s) left).")))))</f>
        <v/>
      </c>
      <c r="V107" s="17">
        <f>IF($W107="","",CHOOSE($W107,"Collection Email","1st Follow-up","2nd Follow-up","Local Office","CBE","Roxanne")&amp;IF($W107=6," - Final"," - Day "&amp;MAX(0,NETWORKDAYS($X107,TODAY(),Holidays)-1)&amp;" of "&amp;CHOOSE($W107,3,3,2,2,3))&amp;" | Total Day "&amp;MAX(0,NETWORKDAYS($L107,TODAY(),Holidays)-1))</f>
        <v/>
      </c>
      <c r="W107" s="17">
        <f>IF($L107="","",COUNT($L107:$Q107))</f>
        <v/>
      </c>
      <c r="X107" s="18">
        <f>IF($W107="","",INT(INDEX($L107:$Q107,$W107)))</f>
        <v/>
      </c>
      <c r="Y107" s="18">
        <f>IF(OR($W107="",$W107=6),"",WORKDAY($X107,CHOOSE($W107,3,3,2,2,3),Holidays))</f>
        <v/>
      </c>
      <c r="Z107" s="17">
        <f>IF(OR($W107="",$W107=6),"",CHOOSE($W107,"1st Email Follow-up","2nd Email Follow-up","Escalate Local Office","Escalate to CBE","Escalate to Roxanne"))</f>
        <v/>
      </c>
    </row>
    <row r="108" spans="18:26">
      <c r="R108" s="15"/>
      <c r="S108" s="16"/>
      <c r="T108" s="17">
        <f>IF(AND(COUNTA($A108:$K108)=0,$L108=""),"",IF($S108="Paid","PAID",IF($S108="Closed","CLOSED",IF($W108="","",IF($W108=6,"ESCALATED TO ROXANNE",IF(TODAY()&gt;$Y108,"OVERDUE",IF($Y108&lt;=WORKDAY(TODAY(),1,Holidays),"DUE TOMORROW",IF($W108=4,"ESCALATED TO LOCAL OFFICE",IF($W108=5,"ESCALATED TO CBE",IF($X108=TODAY(),"EMAIL SENT","MONITORING"))))))))))</f>
        <v/>
      </c>
      <c r="U108" s="17">
        <f>IF($T108="",IF(AND(COUNTA($A108:$K108)&gt;0,$L108=""),"Awaiting Collection Email time stamp.",""),IF(OR($T108="PAID",$T108="CLOSED"),IF($T108="PAID","Account paid. Action completed.","Account closed. No further action required."),CHOOSE($W108,"Collection Email","1st Email Follow-up","2nd Email Follow-up","Escalation to Local Office","Escalation to CBE","Escalation to Roxanne")&amp;" sent "&amp;TEXT($X108,"dd-mmm")&amp;". "&amp;IF($W108=6,"Final escalation completed.",IF($T108="OVERDUE","Next: "&amp;$Z108&amp;" was due "&amp;TEXT($Y108,"dd-mmm")&amp;" - "&amp;(NETWORKDAYS($Y108,TODAY(),Holidays)-1)&amp;" business day(s) late. Send now.",IF($T108="DUE TOMORROW","Next: "&amp;$Z108&amp;IF($Y108&lt;=TODAY()," is due TODAY ("," is due next business day (")&amp;TEXT($Y108,"dd-mmm")&amp;").","Next: "&amp;$Z108&amp;" due "&amp;TEXT($Y108,"dd-mmm")&amp;" ("&amp;(NETWORKDAYS(TODAY(),$Y108,Holidays)-1)&amp;" business day(s) left).")))))</f>
        <v/>
      </c>
      <c r="V108" s="17">
        <f>IF($W108="","",CHOOSE($W108,"Collection Email","1st Follow-up","2nd Follow-up","Local Office","CBE","Roxanne")&amp;IF($W108=6," - Final"," - Day "&amp;MAX(0,NETWORKDAYS($X108,TODAY(),Holidays)-1)&amp;" of "&amp;CHOOSE($W108,3,3,2,2,3))&amp;" | Total Day "&amp;MAX(0,NETWORKDAYS($L108,TODAY(),Holidays)-1))</f>
        <v/>
      </c>
      <c r="W108" s="17">
        <f>IF($L108="","",COUNT($L108:$Q108))</f>
        <v/>
      </c>
      <c r="X108" s="18">
        <f>IF($W108="","",INT(INDEX($L108:$Q108,$W108)))</f>
        <v/>
      </c>
      <c r="Y108" s="18">
        <f>IF(OR($W108="",$W108=6),"",WORKDAY($X108,CHOOSE($W108,3,3,2,2,3),Holidays))</f>
        <v/>
      </c>
      <c r="Z108" s="17">
        <f>IF(OR($W108="",$W108=6),"",CHOOSE($W108,"1st Email Follow-up","2nd Email Follow-up","Escalate Local Office","Escalate to CBE","Escalate to Roxanne"))</f>
        <v/>
      </c>
    </row>
    <row r="109" spans="18:26">
      <c r="R109" s="15"/>
      <c r="S109" s="16"/>
      <c r="T109" s="17">
        <f>IF(AND(COUNTA($A109:$K109)=0,$L109=""),"",IF($S109="Paid","PAID",IF($S109="Closed","CLOSED",IF($W109="","",IF($W109=6,"ESCALATED TO ROXANNE",IF(TODAY()&gt;$Y109,"OVERDUE",IF($Y109&lt;=WORKDAY(TODAY(),1,Holidays),"DUE TOMORROW",IF($W109=4,"ESCALATED TO LOCAL OFFICE",IF($W109=5,"ESCALATED TO CBE",IF($X109=TODAY(),"EMAIL SENT","MONITORING"))))))))))</f>
        <v/>
      </c>
      <c r="U109" s="17">
        <f>IF($T109="",IF(AND(COUNTA($A109:$K109)&gt;0,$L109=""),"Awaiting Collection Email time stamp.",""),IF(OR($T109="PAID",$T109="CLOSED"),IF($T109="PAID","Account paid. Action completed.","Account closed. No further action required."),CHOOSE($W109,"Collection Email","1st Email Follow-up","2nd Email Follow-up","Escalation to Local Office","Escalation to CBE","Escalation to Roxanne")&amp;" sent "&amp;TEXT($X109,"dd-mmm")&amp;". "&amp;IF($W109=6,"Final escalation completed.",IF($T109="OVERDUE","Next: "&amp;$Z109&amp;" was due "&amp;TEXT($Y109,"dd-mmm")&amp;" - "&amp;(NETWORKDAYS($Y109,TODAY(),Holidays)-1)&amp;" business day(s) late. Send now.",IF($T109="DUE TOMORROW","Next: "&amp;$Z109&amp;IF($Y109&lt;=TODAY()," is due TODAY ("," is due next business day (")&amp;TEXT($Y109,"dd-mmm")&amp;").","Next: "&amp;$Z109&amp;" due "&amp;TEXT($Y109,"dd-mmm")&amp;" ("&amp;(NETWORKDAYS(TODAY(),$Y109,Holidays)-1)&amp;" business day(s) left).")))))</f>
        <v/>
      </c>
      <c r="V109" s="17">
        <f>IF($W109="","",CHOOSE($W109,"Collection Email","1st Follow-up","2nd Follow-up","Local Office","CBE","Roxanne")&amp;IF($W109=6," - Final"," - Day "&amp;MAX(0,NETWORKDAYS($X109,TODAY(),Holidays)-1)&amp;" of "&amp;CHOOSE($W109,3,3,2,2,3))&amp;" | Total Day "&amp;MAX(0,NETWORKDAYS($L109,TODAY(),Holidays)-1))</f>
        <v/>
      </c>
      <c r="W109" s="17">
        <f>IF($L109="","",COUNT($L109:$Q109))</f>
        <v/>
      </c>
      <c r="X109" s="18">
        <f>IF($W109="","",INT(INDEX($L109:$Q109,$W109)))</f>
        <v/>
      </c>
      <c r="Y109" s="18">
        <f>IF(OR($W109="",$W109=6),"",WORKDAY($X109,CHOOSE($W109,3,3,2,2,3),Holidays))</f>
        <v/>
      </c>
      <c r="Z109" s="17">
        <f>IF(OR($W109="",$W109=6),"",CHOOSE($W109,"1st Email Follow-up","2nd Email Follow-up","Escalate Local Office","Escalate to CBE","Escalate to Roxanne"))</f>
        <v/>
      </c>
    </row>
    <row r="110" spans="18:26">
      <c r="R110" s="15"/>
      <c r="S110" s="16"/>
      <c r="T110" s="17">
        <f>IF(AND(COUNTA($A110:$K110)=0,$L110=""),"",IF($S110="Paid","PAID",IF($S110="Closed","CLOSED",IF($W110="","",IF($W110=6,"ESCALATED TO ROXANNE",IF(TODAY()&gt;$Y110,"OVERDUE",IF($Y110&lt;=WORKDAY(TODAY(),1,Holidays),"DUE TOMORROW",IF($W110=4,"ESCALATED TO LOCAL OFFICE",IF($W110=5,"ESCALATED TO CBE",IF($X110=TODAY(),"EMAIL SENT","MONITORING"))))))))))</f>
        <v/>
      </c>
      <c r="U110" s="17">
        <f>IF($T110="",IF(AND(COUNTA($A110:$K110)&gt;0,$L110=""),"Awaiting Collection Email time stamp.",""),IF(OR($T110="PAID",$T110="CLOSED"),IF($T110="PAID","Account paid. Action completed.","Account closed. No further action required."),CHOOSE($W110,"Collection Email","1st Email Follow-up","2nd Email Follow-up","Escalation to Local Office","Escalation to CBE","Escalation to Roxanne")&amp;" sent "&amp;TEXT($X110,"dd-mmm")&amp;". "&amp;IF($W110=6,"Final escalation completed.",IF($T110="OVERDUE","Next: "&amp;$Z110&amp;" was due "&amp;TEXT($Y110,"dd-mmm")&amp;" - "&amp;(NETWORKDAYS($Y110,TODAY(),Holidays)-1)&amp;" business day(s) late. Send now.",IF($T110="DUE TOMORROW","Next: "&amp;$Z110&amp;IF($Y110&lt;=TODAY()," is due TODAY ("," is due next business day (")&amp;TEXT($Y110,"dd-mmm")&amp;").","Next: "&amp;$Z110&amp;" due "&amp;TEXT($Y110,"dd-mmm")&amp;" ("&amp;(NETWORKDAYS(TODAY(),$Y110,Holidays)-1)&amp;" business day(s) left).")))))</f>
        <v/>
      </c>
      <c r="V110" s="17">
        <f>IF($W110="","",CHOOSE($W110,"Collection Email","1st Follow-up","2nd Follow-up","Local Office","CBE","Roxanne")&amp;IF($W110=6," - Final"," - Day "&amp;MAX(0,NETWORKDAYS($X110,TODAY(),Holidays)-1)&amp;" of "&amp;CHOOSE($W110,3,3,2,2,3))&amp;" | Total Day "&amp;MAX(0,NETWORKDAYS($L110,TODAY(),Holidays)-1))</f>
        <v/>
      </c>
      <c r="W110" s="17">
        <f>IF($L110="","",COUNT($L110:$Q110))</f>
        <v/>
      </c>
      <c r="X110" s="18">
        <f>IF($W110="","",INT(INDEX($L110:$Q110,$W110)))</f>
        <v/>
      </c>
      <c r="Y110" s="18">
        <f>IF(OR($W110="",$W110=6),"",WORKDAY($X110,CHOOSE($W110,3,3,2,2,3),Holidays))</f>
        <v/>
      </c>
      <c r="Z110" s="17">
        <f>IF(OR($W110="",$W110=6),"",CHOOSE($W110,"1st Email Follow-up","2nd Email Follow-up","Escalate Local Office","Escalate to CBE","Escalate to Roxanne"))</f>
        <v/>
      </c>
    </row>
    <row r="111" spans="18:26">
      <c r="R111" s="15"/>
      <c r="S111" s="16"/>
      <c r="T111" s="17">
        <f>IF(AND(COUNTA($A111:$K111)=0,$L111=""),"",IF($S111="Paid","PAID",IF($S111="Closed","CLOSED",IF($W111="","",IF($W111=6,"ESCALATED TO ROXANNE",IF(TODAY()&gt;$Y111,"OVERDUE",IF($Y111&lt;=WORKDAY(TODAY(),1,Holidays),"DUE TOMORROW",IF($W111=4,"ESCALATED TO LOCAL OFFICE",IF($W111=5,"ESCALATED TO CBE",IF($X111=TODAY(),"EMAIL SENT","MONITORING"))))))))))</f>
        <v/>
      </c>
      <c r="U111" s="17">
        <f>IF($T111="",IF(AND(COUNTA($A111:$K111)&gt;0,$L111=""),"Awaiting Collection Email time stamp.",""),IF(OR($T111="PAID",$T111="CLOSED"),IF($T111="PAID","Account paid. Action completed.","Account closed. No further action required."),CHOOSE($W111,"Collection Email","1st Email Follow-up","2nd Email Follow-up","Escalation to Local Office","Escalation to CBE","Escalation to Roxanne")&amp;" sent "&amp;TEXT($X111,"dd-mmm")&amp;". "&amp;IF($W111=6,"Final escalation completed.",IF($T111="OVERDUE","Next: "&amp;$Z111&amp;" was due "&amp;TEXT($Y111,"dd-mmm")&amp;" - "&amp;(NETWORKDAYS($Y111,TODAY(),Holidays)-1)&amp;" business day(s) late. Send now.",IF($T111="DUE TOMORROW","Next: "&amp;$Z111&amp;IF($Y111&lt;=TODAY()," is due TODAY ("," is due next business day (")&amp;TEXT($Y111,"dd-mmm")&amp;").","Next: "&amp;$Z111&amp;" due "&amp;TEXT($Y111,"dd-mmm")&amp;" ("&amp;(NETWORKDAYS(TODAY(),$Y111,Holidays)-1)&amp;" business day(s) left).")))))</f>
        <v/>
      </c>
      <c r="V111" s="17">
        <f>IF($W111="","",CHOOSE($W111,"Collection Email","1st Follow-up","2nd Follow-up","Local Office","CBE","Roxanne")&amp;IF($W111=6," - Final"," - Day "&amp;MAX(0,NETWORKDAYS($X111,TODAY(),Holidays)-1)&amp;" of "&amp;CHOOSE($W111,3,3,2,2,3))&amp;" | Total Day "&amp;MAX(0,NETWORKDAYS($L111,TODAY(),Holidays)-1))</f>
        <v/>
      </c>
      <c r="W111" s="17">
        <f>IF($L111="","",COUNT($L111:$Q111))</f>
        <v/>
      </c>
      <c r="X111" s="18">
        <f>IF($W111="","",INT(INDEX($L111:$Q111,$W111)))</f>
        <v/>
      </c>
      <c r="Y111" s="18">
        <f>IF(OR($W111="",$W111=6),"",WORKDAY($X111,CHOOSE($W111,3,3,2,2,3),Holidays))</f>
        <v/>
      </c>
      <c r="Z111" s="17">
        <f>IF(OR($W111="",$W111=6),"",CHOOSE($W111,"1st Email Follow-up","2nd Email Follow-up","Escalate Local Office","Escalate to CBE","Escalate to Roxanne"))</f>
        <v/>
      </c>
    </row>
    <row r="112" spans="18:26">
      <c r="R112" s="15"/>
      <c r="S112" s="16"/>
      <c r="T112" s="17">
        <f>IF(AND(COUNTA($A112:$K112)=0,$L112=""),"",IF($S112="Paid","PAID",IF($S112="Closed","CLOSED",IF($W112="","",IF($W112=6,"ESCALATED TO ROXANNE",IF(TODAY()&gt;$Y112,"OVERDUE",IF($Y112&lt;=WORKDAY(TODAY(),1,Holidays),"DUE TOMORROW",IF($W112=4,"ESCALATED TO LOCAL OFFICE",IF($W112=5,"ESCALATED TO CBE",IF($X112=TODAY(),"EMAIL SENT","MONITORING"))))))))))</f>
        <v/>
      </c>
      <c r="U112" s="17">
        <f>IF($T112="",IF(AND(COUNTA($A112:$K112)&gt;0,$L112=""),"Awaiting Collection Email time stamp.",""),IF(OR($T112="PAID",$T112="CLOSED"),IF($T112="PAID","Account paid. Action completed.","Account closed. No further action required."),CHOOSE($W112,"Collection Email","1st Email Follow-up","2nd Email Follow-up","Escalation to Local Office","Escalation to CBE","Escalation to Roxanne")&amp;" sent "&amp;TEXT($X112,"dd-mmm")&amp;". "&amp;IF($W112=6,"Final escalation completed.",IF($T112="OVERDUE","Next: "&amp;$Z112&amp;" was due "&amp;TEXT($Y112,"dd-mmm")&amp;" - "&amp;(NETWORKDAYS($Y112,TODAY(),Holidays)-1)&amp;" business day(s) late. Send now.",IF($T112="DUE TOMORROW","Next: "&amp;$Z112&amp;IF($Y112&lt;=TODAY()," is due TODAY ("," is due next business day (")&amp;TEXT($Y112,"dd-mmm")&amp;").","Next: "&amp;$Z112&amp;" due "&amp;TEXT($Y112,"dd-mmm")&amp;" ("&amp;(NETWORKDAYS(TODAY(),$Y112,Holidays)-1)&amp;" business day(s) left).")))))</f>
        <v/>
      </c>
      <c r="V112" s="17">
        <f>IF($W112="","",CHOOSE($W112,"Collection Email","1st Follow-up","2nd Follow-up","Local Office","CBE","Roxanne")&amp;IF($W112=6," - Final"," - Day "&amp;MAX(0,NETWORKDAYS($X112,TODAY(),Holidays)-1)&amp;" of "&amp;CHOOSE($W112,3,3,2,2,3))&amp;" | Total Day "&amp;MAX(0,NETWORKDAYS($L112,TODAY(),Holidays)-1))</f>
        <v/>
      </c>
      <c r="W112" s="17">
        <f>IF($L112="","",COUNT($L112:$Q112))</f>
        <v/>
      </c>
      <c r="X112" s="18">
        <f>IF($W112="","",INT(INDEX($L112:$Q112,$W112)))</f>
        <v/>
      </c>
      <c r="Y112" s="18">
        <f>IF(OR($W112="",$W112=6),"",WORKDAY($X112,CHOOSE($W112,3,3,2,2,3),Holidays))</f>
        <v/>
      </c>
      <c r="Z112" s="17">
        <f>IF(OR($W112="",$W112=6),"",CHOOSE($W112,"1st Email Follow-up","2nd Email Follow-up","Escalate Local Office","Escalate to CBE","Escalate to Roxanne"))</f>
        <v/>
      </c>
    </row>
    <row r="113" spans="18:26">
      <c r="R113" s="15"/>
      <c r="S113" s="16"/>
      <c r="T113" s="17">
        <f>IF(AND(COUNTA($A113:$K113)=0,$L113=""),"",IF($S113="Paid","PAID",IF($S113="Closed","CLOSED",IF($W113="","",IF($W113=6,"ESCALATED TO ROXANNE",IF(TODAY()&gt;$Y113,"OVERDUE",IF($Y113&lt;=WORKDAY(TODAY(),1,Holidays),"DUE TOMORROW",IF($W113=4,"ESCALATED TO LOCAL OFFICE",IF($W113=5,"ESCALATED TO CBE",IF($X113=TODAY(),"EMAIL SENT","MONITORING"))))))))))</f>
        <v/>
      </c>
      <c r="U113" s="17">
        <f>IF($T113="",IF(AND(COUNTA($A113:$K113)&gt;0,$L113=""),"Awaiting Collection Email time stamp.",""),IF(OR($T113="PAID",$T113="CLOSED"),IF($T113="PAID","Account paid. Action completed.","Account closed. No further action required."),CHOOSE($W113,"Collection Email","1st Email Follow-up","2nd Email Follow-up","Escalation to Local Office","Escalation to CBE","Escalation to Roxanne")&amp;" sent "&amp;TEXT($X113,"dd-mmm")&amp;". "&amp;IF($W113=6,"Final escalation completed.",IF($T113="OVERDUE","Next: "&amp;$Z113&amp;" was due "&amp;TEXT($Y113,"dd-mmm")&amp;" - "&amp;(NETWORKDAYS($Y113,TODAY(),Holidays)-1)&amp;" business day(s) late. Send now.",IF($T113="DUE TOMORROW","Next: "&amp;$Z113&amp;IF($Y113&lt;=TODAY()," is due TODAY ("," is due next business day (")&amp;TEXT($Y113,"dd-mmm")&amp;").","Next: "&amp;$Z113&amp;" due "&amp;TEXT($Y113,"dd-mmm")&amp;" ("&amp;(NETWORKDAYS(TODAY(),$Y113,Holidays)-1)&amp;" business day(s) left).")))))</f>
        <v/>
      </c>
      <c r="V113" s="17">
        <f>IF($W113="","",CHOOSE($W113,"Collection Email","1st Follow-up","2nd Follow-up","Local Office","CBE","Roxanne")&amp;IF($W113=6," - Final"," - Day "&amp;MAX(0,NETWORKDAYS($X113,TODAY(),Holidays)-1)&amp;" of "&amp;CHOOSE($W113,3,3,2,2,3))&amp;" | Total Day "&amp;MAX(0,NETWORKDAYS($L113,TODAY(),Holidays)-1))</f>
        <v/>
      </c>
      <c r="W113" s="17">
        <f>IF($L113="","",COUNT($L113:$Q113))</f>
        <v/>
      </c>
      <c r="X113" s="18">
        <f>IF($W113="","",INT(INDEX($L113:$Q113,$W113)))</f>
        <v/>
      </c>
      <c r="Y113" s="18">
        <f>IF(OR($W113="",$W113=6),"",WORKDAY($X113,CHOOSE($W113,3,3,2,2,3),Holidays))</f>
        <v/>
      </c>
      <c r="Z113" s="17">
        <f>IF(OR($W113="",$W113=6),"",CHOOSE($W113,"1st Email Follow-up","2nd Email Follow-up","Escalate Local Office","Escalate to CBE","Escalate to Roxanne"))</f>
        <v/>
      </c>
    </row>
    <row r="114" spans="18:26">
      <c r="R114" s="15"/>
      <c r="S114" s="16"/>
      <c r="T114" s="17">
        <f>IF(AND(COUNTA($A114:$K114)=0,$L114=""),"",IF($S114="Paid","PAID",IF($S114="Closed","CLOSED",IF($W114="","",IF($W114=6,"ESCALATED TO ROXANNE",IF(TODAY()&gt;$Y114,"OVERDUE",IF($Y114&lt;=WORKDAY(TODAY(),1,Holidays),"DUE TOMORROW",IF($W114=4,"ESCALATED TO LOCAL OFFICE",IF($W114=5,"ESCALATED TO CBE",IF($X114=TODAY(),"EMAIL SENT","MONITORING"))))))))))</f>
        <v/>
      </c>
      <c r="U114" s="17">
        <f>IF($T114="",IF(AND(COUNTA($A114:$K114)&gt;0,$L114=""),"Awaiting Collection Email time stamp.",""),IF(OR($T114="PAID",$T114="CLOSED"),IF($T114="PAID","Account paid. Action completed.","Account closed. No further action required."),CHOOSE($W114,"Collection Email","1st Email Follow-up","2nd Email Follow-up","Escalation to Local Office","Escalation to CBE","Escalation to Roxanne")&amp;" sent "&amp;TEXT($X114,"dd-mmm")&amp;". "&amp;IF($W114=6,"Final escalation completed.",IF($T114="OVERDUE","Next: "&amp;$Z114&amp;" was due "&amp;TEXT($Y114,"dd-mmm")&amp;" - "&amp;(NETWORKDAYS($Y114,TODAY(),Holidays)-1)&amp;" business day(s) late. Send now.",IF($T114="DUE TOMORROW","Next: "&amp;$Z114&amp;IF($Y114&lt;=TODAY()," is due TODAY ("," is due next business day (")&amp;TEXT($Y114,"dd-mmm")&amp;").","Next: "&amp;$Z114&amp;" due "&amp;TEXT($Y114,"dd-mmm")&amp;" ("&amp;(NETWORKDAYS(TODAY(),$Y114,Holidays)-1)&amp;" business day(s) left).")))))</f>
        <v/>
      </c>
      <c r="V114" s="17">
        <f>IF($W114="","",CHOOSE($W114,"Collection Email","1st Follow-up","2nd Follow-up","Local Office","CBE","Roxanne")&amp;IF($W114=6," - Final"," - Day "&amp;MAX(0,NETWORKDAYS($X114,TODAY(),Holidays)-1)&amp;" of "&amp;CHOOSE($W114,3,3,2,2,3))&amp;" | Total Day "&amp;MAX(0,NETWORKDAYS($L114,TODAY(),Holidays)-1))</f>
        <v/>
      </c>
      <c r="W114" s="17">
        <f>IF($L114="","",COUNT($L114:$Q114))</f>
        <v/>
      </c>
      <c r="X114" s="18">
        <f>IF($W114="","",INT(INDEX($L114:$Q114,$W114)))</f>
        <v/>
      </c>
      <c r="Y114" s="18">
        <f>IF(OR($W114="",$W114=6),"",WORKDAY($X114,CHOOSE($W114,3,3,2,2,3),Holidays))</f>
        <v/>
      </c>
      <c r="Z114" s="17">
        <f>IF(OR($W114="",$W114=6),"",CHOOSE($W114,"1st Email Follow-up","2nd Email Follow-up","Escalate Local Office","Escalate to CBE","Escalate to Roxanne"))</f>
        <v/>
      </c>
    </row>
    <row r="115" spans="18:26">
      <c r="R115" s="15"/>
      <c r="S115" s="16"/>
      <c r="T115" s="17">
        <f>IF(AND(COUNTA($A115:$K115)=0,$L115=""),"",IF($S115="Paid","PAID",IF($S115="Closed","CLOSED",IF($W115="","",IF($W115=6,"ESCALATED TO ROXANNE",IF(TODAY()&gt;$Y115,"OVERDUE",IF($Y115&lt;=WORKDAY(TODAY(),1,Holidays),"DUE TOMORROW",IF($W115=4,"ESCALATED TO LOCAL OFFICE",IF($W115=5,"ESCALATED TO CBE",IF($X115=TODAY(),"EMAIL SENT","MONITORING"))))))))))</f>
        <v/>
      </c>
      <c r="U115" s="17">
        <f>IF($T115="",IF(AND(COUNTA($A115:$K115)&gt;0,$L115=""),"Awaiting Collection Email time stamp.",""),IF(OR($T115="PAID",$T115="CLOSED"),IF($T115="PAID","Account paid. Action completed.","Account closed. No further action required."),CHOOSE($W115,"Collection Email","1st Email Follow-up","2nd Email Follow-up","Escalation to Local Office","Escalation to CBE","Escalation to Roxanne")&amp;" sent "&amp;TEXT($X115,"dd-mmm")&amp;". "&amp;IF($W115=6,"Final escalation completed.",IF($T115="OVERDUE","Next: "&amp;$Z115&amp;" was due "&amp;TEXT($Y115,"dd-mmm")&amp;" - "&amp;(NETWORKDAYS($Y115,TODAY(),Holidays)-1)&amp;" business day(s) late. Send now.",IF($T115="DUE TOMORROW","Next: "&amp;$Z115&amp;IF($Y115&lt;=TODAY()," is due TODAY ("," is due next business day (")&amp;TEXT($Y115,"dd-mmm")&amp;").","Next: "&amp;$Z115&amp;" due "&amp;TEXT($Y115,"dd-mmm")&amp;" ("&amp;(NETWORKDAYS(TODAY(),$Y115,Holidays)-1)&amp;" business day(s) left).")))))</f>
        <v/>
      </c>
      <c r="V115" s="17">
        <f>IF($W115="","",CHOOSE($W115,"Collection Email","1st Follow-up","2nd Follow-up","Local Office","CBE","Roxanne")&amp;IF($W115=6," - Final"," - Day "&amp;MAX(0,NETWORKDAYS($X115,TODAY(),Holidays)-1)&amp;" of "&amp;CHOOSE($W115,3,3,2,2,3))&amp;" | Total Day "&amp;MAX(0,NETWORKDAYS($L115,TODAY(),Holidays)-1))</f>
        <v/>
      </c>
      <c r="W115" s="17">
        <f>IF($L115="","",COUNT($L115:$Q115))</f>
        <v/>
      </c>
      <c r="X115" s="18">
        <f>IF($W115="","",INT(INDEX($L115:$Q115,$W115)))</f>
        <v/>
      </c>
      <c r="Y115" s="18">
        <f>IF(OR($W115="",$W115=6),"",WORKDAY($X115,CHOOSE($W115,3,3,2,2,3),Holidays))</f>
        <v/>
      </c>
      <c r="Z115" s="17">
        <f>IF(OR($W115="",$W115=6),"",CHOOSE($W115,"1st Email Follow-up","2nd Email Follow-up","Escalate Local Office","Escalate to CBE","Escalate to Roxanne"))</f>
        <v/>
      </c>
    </row>
    <row r="116" spans="18:26">
      <c r="R116" s="15"/>
      <c r="S116" s="16"/>
      <c r="T116" s="17">
        <f>IF(AND(COUNTA($A116:$K116)=0,$L116=""),"",IF($S116="Paid","PAID",IF($S116="Closed","CLOSED",IF($W116="","",IF($W116=6,"ESCALATED TO ROXANNE",IF(TODAY()&gt;$Y116,"OVERDUE",IF($Y116&lt;=WORKDAY(TODAY(),1,Holidays),"DUE TOMORROW",IF($W116=4,"ESCALATED TO LOCAL OFFICE",IF($W116=5,"ESCALATED TO CBE",IF($X116=TODAY(),"EMAIL SENT","MONITORING"))))))))))</f>
        <v/>
      </c>
      <c r="U116" s="17">
        <f>IF($T116="",IF(AND(COUNTA($A116:$K116)&gt;0,$L116=""),"Awaiting Collection Email time stamp.",""),IF(OR($T116="PAID",$T116="CLOSED"),IF($T116="PAID","Account paid. Action completed.","Account closed. No further action required."),CHOOSE($W116,"Collection Email","1st Email Follow-up","2nd Email Follow-up","Escalation to Local Office","Escalation to CBE","Escalation to Roxanne")&amp;" sent "&amp;TEXT($X116,"dd-mmm")&amp;". "&amp;IF($W116=6,"Final escalation completed.",IF($T116="OVERDUE","Next: "&amp;$Z116&amp;" was due "&amp;TEXT($Y116,"dd-mmm")&amp;" - "&amp;(NETWORKDAYS($Y116,TODAY(),Holidays)-1)&amp;" business day(s) late. Send now.",IF($T116="DUE TOMORROW","Next: "&amp;$Z116&amp;IF($Y116&lt;=TODAY()," is due TODAY ("," is due next business day (")&amp;TEXT($Y116,"dd-mmm")&amp;").","Next: "&amp;$Z116&amp;" due "&amp;TEXT($Y116,"dd-mmm")&amp;" ("&amp;(NETWORKDAYS(TODAY(),$Y116,Holidays)-1)&amp;" business day(s) left).")))))</f>
        <v/>
      </c>
      <c r="V116" s="17">
        <f>IF($W116="","",CHOOSE($W116,"Collection Email","1st Follow-up","2nd Follow-up","Local Office","CBE","Roxanne")&amp;IF($W116=6," - Final"," - Day "&amp;MAX(0,NETWORKDAYS($X116,TODAY(),Holidays)-1)&amp;" of "&amp;CHOOSE($W116,3,3,2,2,3))&amp;" | Total Day "&amp;MAX(0,NETWORKDAYS($L116,TODAY(),Holidays)-1))</f>
        <v/>
      </c>
      <c r="W116" s="17">
        <f>IF($L116="","",COUNT($L116:$Q116))</f>
        <v/>
      </c>
      <c r="X116" s="18">
        <f>IF($W116="","",INT(INDEX($L116:$Q116,$W116)))</f>
        <v/>
      </c>
      <c r="Y116" s="18">
        <f>IF(OR($W116="",$W116=6),"",WORKDAY($X116,CHOOSE($W116,3,3,2,2,3),Holidays))</f>
        <v/>
      </c>
      <c r="Z116" s="17">
        <f>IF(OR($W116="",$W116=6),"",CHOOSE($W116,"1st Email Follow-up","2nd Email Follow-up","Escalate Local Office","Escalate to CBE","Escalate to Roxanne"))</f>
        <v/>
      </c>
    </row>
    <row r="117" spans="18:26">
      <c r="R117" s="15"/>
      <c r="S117" s="16"/>
      <c r="T117" s="17">
        <f>IF(AND(COUNTA($A117:$K117)=0,$L117=""),"",IF($S117="Paid","PAID",IF($S117="Closed","CLOSED",IF($W117="","",IF($W117=6,"ESCALATED TO ROXANNE",IF(TODAY()&gt;$Y117,"OVERDUE",IF($Y117&lt;=WORKDAY(TODAY(),1,Holidays),"DUE TOMORROW",IF($W117=4,"ESCALATED TO LOCAL OFFICE",IF($W117=5,"ESCALATED TO CBE",IF($X117=TODAY(),"EMAIL SENT","MONITORING"))))))))))</f>
        <v/>
      </c>
      <c r="U117" s="17">
        <f>IF($T117="",IF(AND(COUNTA($A117:$K117)&gt;0,$L117=""),"Awaiting Collection Email time stamp.",""),IF(OR($T117="PAID",$T117="CLOSED"),IF($T117="PAID","Account paid. Action completed.","Account closed. No further action required."),CHOOSE($W117,"Collection Email","1st Email Follow-up","2nd Email Follow-up","Escalation to Local Office","Escalation to CBE","Escalation to Roxanne")&amp;" sent "&amp;TEXT($X117,"dd-mmm")&amp;". "&amp;IF($W117=6,"Final escalation completed.",IF($T117="OVERDUE","Next: "&amp;$Z117&amp;" was due "&amp;TEXT($Y117,"dd-mmm")&amp;" - "&amp;(NETWORKDAYS($Y117,TODAY(),Holidays)-1)&amp;" business day(s) late. Send now.",IF($T117="DUE TOMORROW","Next: "&amp;$Z117&amp;IF($Y117&lt;=TODAY()," is due TODAY ("," is due next business day (")&amp;TEXT($Y117,"dd-mmm")&amp;").","Next: "&amp;$Z117&amp;" due "&amp;TEXT($Y117,"dd-mmm")&amp;" ("&amp;(NETWORKDAYS(TODAY(),$Y117,Holidays)-1)&amp;" business day(s) left).")))))</f>
        <v/>
      </c>
      <c r="V117" s="17">
        <f>IF($W117="","",CHOOSE($W117,"Collection Email","1st Follow-up","2nd Follow-up","Local Office","CBE","Roxanne")&amp;IF($W117=6," - Final"," - Day "&amp;MAX(0,NETWORKDAYS($X117,TODAY(),Holidays)-1)&amp;" of "&amp;CHOOSE($W117,3,3,2,2,3))&amp;" | Total Day "&amp;MAX(0,NETWORKDAYS($L117,TODAY(),Holidays)-1))</f>
        <v/>
      </c>
      <c r="W117" s="17">
        <f>IF($L117="","",COUNT($L117:$Q117))</f>
        <v/>
      </c>
      <c r="X117" s="18">
        <f>IF($W117="","",INT(INDEX($L117:$Q117,$W117)))</f>
        <v/>
      </c>
      <c r="Y117" s="18">
        <f>IF(OR($W117="",$W117=6),"",WORKDAY($X117,CHOOSE($W117,3,3,2,2,3),Holidays))</f>
        <v/>
      </c>
      <c r="Z117" s="17">
        <f>IF(OR($W117="",$W117=6),"",CHOOSE($W117,"1st Email Follow-up","2nd Email Follow-up","Escalate Local Office","Escalate to CBE","Escalate to Roxanne"))</f>
        <v/>
      </c>
    </row>
    <row r="118" spans="18:26">
      <c r="R118" s="15"/>
      <c r="S118" s="16"/>
      <c r="T118" s="17">
        <f>IF(AND(COUNTA($A118:$K118)=0,$L118=""),"",IF($S118="Paid","PAID",IF($S118="Closed","CLOSED",IF($W118="","",IF($W118=6,"ESCALATED TO ROXANNE",IF(TODAY()&gt;$Y118,"OVERDUE",IF($Y118&lt;=WORKDAY(TODAY(),1,Holidays),"DUE TOMORROW",IF($W118=4,"ESCALATED TO LOCAL OFFICE",IF($W118=5,"ESCALATED TO CBE",IF($X118=TODAY(),"EMAIL SENT","MONITORING"))))))))))</f>
        <v/>
      </c>
      <c r="U118" s="17">
        <f>IF($T118="",IF(AND(COUNTA($A118:$K118)&gt;0,$L118=""),"Awaiting Collection Email time stamp.",""),IF(OR($T118="PAID",$T118="CLOSED"),IF($T118="PAID","Account paid. Action completed.","Account closed. No further action required."),CHOOSE($W118,"Collection Email","1st Email Follow-up","2nd Email Follow-up","Escalation to Local Office","Escalation to CBE","Escalation to Roxanne")&amp;" sent "&amp;TEXT($X118,"dd-mmm")&amp;". "&amp;IF($W118=6,"Final escalation completed.",IF($T118="OVERDUE","Next: "&amp;$Z118&amp;" was due "&amp;TEXT($Y118,"dd-mmm")&amp;" - "&amp;(NETWORKDAYS($Y118,TODAY(),Holidays)-1)&amp;" business day(s) late. Send now.",IF($T118="DUE TOMORROW","Next: "&amp;$Z118&amp;IF($Y118&lt;=TODAY()," is due TODAY ("," is due next business day (")&amp;TEXT($Y118,"dd-mmm")&amp;").","Next: "&amp;$Z118&amp;" due "&amp;TEXT($Y118,"dd-mmm")&amp;" ("&amp;(NETWORKDAYS(TODAY(),$Y118,Holidays)-1)&amp;" business day(s) left).")))))</f>
        <v/>
      </c>
      <c r="V118" s="17">
        <f>IF($W118="","",CHOOSE($W118,"Collection Email","1st Follow-up","2nd Follow-up","Local Office","CBE","Roxanne")&amp;IF($W118=6," - Final"," - Day "&amp;MAX(0,NETWORKDAYS($X118,TODAY(),Holidays)-1)&amp;" of "&amp;CHOOSE($W118,3,3,2,2,3))&amp;" | Total Day "&amp;MAX(0,NETWORKDAYS($L118,TODAY(),Holidays)-1))</f>
        <v/>
      </c>
      <c r="W118" s="17">
        <f>IF($L118="","",COUNT($L118:$Q118))</f>
        <v/>
      </c>
      <c r="X118" s="18">
        <f>IF($W118="","",INT(INDEX($L118:$Q118,$W118)))</f>
        <v/>
      </c>
      <c r="Y118" s="18">
        <f>IF(OR($W118="",$W118=6),"",WORKDAY($X118,CHOOSE($W118,3,3,2,2,3),Holidays))</f>
        <v/>
      </c>
      <c r="Z118" s="17">
        <f>IF(OR($W118="",$W118=6),"",CHOOSE($W118,"1st Email Follow-up","2nd Email Follow-up","Escalate Local Office","Escalate to CBE","Escalate to Roxanne"))</f>
        <v/>
      </c>
    </row>
    <row r="119" spans="18:26">
      <c r="R119" s="15"/>
      <c r="S119" s="16"/>
      <c r="T119" s="17">
        <f>IF(AND(COUNTA($A119:$K119)=0,$L119=""),"",IF($S119="Paid","PAID",IF($S119="Closed","CLOSED",IF($W119="","",IF($W119=6,"ESCALATED TO ROXANNE",IF(TODAY()&gt;$Y119,"OVERDUE",IF($Y119&lt;=WORKDAY(TODAY(),1,Holidays),"DUE TOMORROW",IF($W119=4,"ESCALATED TO LOCAL OFFICE",IF($W119=5,"ESCALATED TO CBE",IF($X119=TODAY(),"EMAIL SENT","MONITORING"))))))))))</f>
        <v/>
      </c>
      <c r="U119" s="17">
        <f>IF($T119="",IF(AND(COUNTA($A119:$K119)&gt;0,$L119=""),"Awaiting Collection Email time stamp.",""),IF(OR($T119="PAID",$T119="CLOSED"),IF($T119="PAID","Account paid. Action completed.","Account closed. No further action required."),CHOOSE($W119,"Collection Email","1st Email Follow-up","2nd Email Follow-up","Escalation to Local Office","Escalation to CBE","Escalation to Roxanne")&amp;" sent "&amp;TEXT($X119,"dd-mmm")&amp;". "&amp;IF($W119=6,"Final escalation completed.",IF($T119="OVERDUE","Next: "&amp;$Z119&amp;" was due "&amp;TEXT($Y119,"dd-mmm")&amp;" - "&amp;(NETWORKDAYS($Y119,TODAY(),Holidays)-1)&amp;" business day(s) late. Send now.",IF($T119="DUE TOMORROW","Next: "&amp;$Z119&amp;IF($Y119&lt;=TODAY()," is due TODAY ("," is due next business day (")&amp;TEXT($Y119,"dd-mmm")&amp;").","Next: "&amp;$Z119&amp;" due "&amp;TEXT($Y119,"dd-mmm")&amp;" ("&amp;(NETWORKDAYS(TODAY(),$Y119,Holidays)-1)&amp;" business day(s) left).")))))</f>
        <v/>
      </c>
      <c r="V119" s="17">
        <f>IF($W119="","",CHOOSE($W119,"Collection Email","1st Follow-up","2nd Follow-up","Local Office","CBE","Roxanne")&amp;IF($W119=6," - Final"," - Day "&amp;MAX(0,NETWORKDAYS($X119,TODAY(),Holidays)-1)&amp;" of "&amp;CHOOSE($W119,3,3,2,2,3))&amp;" | Total Day "&amp;MAX(0,NETWORKDAYS($L119,TODAY(),Holidays)-1))</f>
        <v/>
      </c>
      <c r="W119" s="17">
        <f>IF($L119="","",COUNT($L119:$Q119))</f>
        <v/>
      </c>
      <c r="X119" s="18">
        <f>IF($W119="","",INT(INDEX($L119:$Q119,$W119)))</f>
        <v/>
      </c>
      <c r="Y119" s="18">
        <f>IF(OR($W119="",$W119=6),"",WORKDAY($X119,CHOOSE($W119,3,3,2,2,3),Holidays))</f>
        <v/>
      </c>
      <c r="Z119" s="17">
        <f>IF(OR($W119="",$W119=6),"",CHOOSE($W119,"1st Email Follow-up","2nd Email Follow-up","Escalate Local Office","Escalate to CBE","Escalate to Roxanne"))</f>
        <v/>
      </c>
    </row>
    <row r="120" spans="18:26">
      <c r="R120" s="15"/>
      <c r="S120" s="16"/>
      <c r="T120" s="17">
        <f>IF(AND(COUNTA($A120:$K120)=0,$L120=""),"",IF($S120="Paid","PAID",IF($S120="Closed","CLOSED",IF($W120="","",IF($W120=6,"ESCALATED TO ROXANNE",IF(TODAY()&gt;$Y120,"OVERDUE",IF($Y120&lt;=WORKDAY(TODAY(),1,Holidays),"DUE TOMORROW",IF($W120=4,"ESCALATED TO LOCAL OFFICE",IF($W120=5,"ESCALATED TO CBE",IF($X120=TODAY(),"EMAIL SENT","MONITORING"))))))))))</f>
        <v/>
      </c>
      <c r="U120" s="17">
        <f>IF($T120="",IF(AND(COUNTA($A120:$K120)&gt;0,$L120=""),"Awaiting Collection Email time stamp.",""),IF(OR($T120="PAID",$T120="CLOSED"),IF($T120="PAID","Account paid. Action completed.","Account closed. No further action required."),CHOOSE($W120,"Collection Email","1st Email Follow-up","2nd Email Follow-up","Escalation to Local Office","Escalation to CBE","Escalation to Roxanne")&amp;" sent "&amp;TEXT($X120,"dd-mmm")&amp;". "&amp;IF($W120=6,"Final escalation completed.",IF($T120="OVERDUE","Next: "&amp;$Z120&amp;" was due "&amp;TEXT($Y120,"dd-mmm")&amp;" - "&amp;(NETWORKDAYS($Y120,TODAY(),Holidays)-1)&amp;" business day(s) late. Send now.",IF($T120="DUE TOMORROW","Next: "&amp;$Z120&amp;IF($Y120&lt;=TODAY()," is due TODAY ("," is due next business day (")&amp;TEXT($Y120,"dd-mmm")&amp;").","Next: "&amp;$Z120&amp;" due "&amp;TEXT($Y120,"dd-mmm")&amp;" ("&amp;(NETWORKDAYS(TODAY(),$Y120,Holidays)-1)&amp;" business day(s) left).")))))</f>
        <v/>
      </c>
      <c r="V120" s="17">
        <f>IF($W120="","",CHOOSE($W120,"Collection Email","1st Follow-up","2nd Follow-up","Local Office","CBE","Roxanne")&amp;IF($W120=6," - Final"," - Day "&amp;MAX(0,NETWORKDAYS($X120,TODAY(),Holidays)-1)&amp;" of "&amp;CHOOSE($W120,3,3,2,2,3))&amp;" | Total Day "&amp;MAX(0,NETWORKDAYS($L120,TODAY(),Holidays)-1))</f>
        <v/>
      </c>
      <c r="W120" s="17">
        <f>IF($L120="","",COUNT($L120:$Q120))</f>
        <v/>
      </c>
      <c r="X120" s="18">
        <f>IF($W120="","",INT(INDEX($L120:$Q120,$W120)))</f>
        <v/>
      </c>
      <c r="Y120" s="18">
        <f>IF(OR($W120="",$W120=6),"",WORKDAY($X120,CHOOSE($W120,3,3,2,2,3),Holidays))</f>
        <v/>
      </c>
      <c r="Z120" s="17">
        <f>IF(OR($W120="",$W120=6),"",CHOOSE($W120,"1st Email Follow-up","2nd Email Follow-up","Escalate Local Office","Escalate to CBE","Escalate to Roxanne"))</f>
        <v/>
      </c>
    </row>
    <row r="121" spans="18:26">
      <c r="R121" s="15"/>
      <c r="S121" s="16"/>
      <c r="T121" s="17">
        <f>IF(AND(COUNTA($A121:$K121)=0,$L121=""),"",IF($S121="Paid","PAID",IF($S121="Closed","CLOSED",IF($W121="","",IF($W121=6,"ESCALATED TO ROXANNE",IF(TODAY()&gt;$Y121,"OVERDUE",IF($Y121&lt;=WORKDAY(TODAY(),1,Holidays),"DUE TOMORROW",IF($W121=4,"ESCALATED TO LOCAL OFFICE",IF($W121=5,"ESCALATED TO CBE",IF($X121=TODAY(),"EMAIL SENT","MONITORING"))))))))))</f>
        <v/>
      </c>
      <c r="U121" s="17">
        <f>IF($T121="",IF(AND(COUNTA($A121:$K121)&gt;0,$L121=""),"Awaiting Collection Email time stamp.",""),IF(OR($T121="PAID",$T121="CLOSED"),IF($T121="PAID","Account paid. Action completed.","Account closed. No further action required."),CHOOSE($W121,"Collection Email","1st Email Follow-up","2nd Email Follow-up","Escalation to Local Office","Escalation to CBE","Escalation to Roxanne")&amp;" sent "&amp;TEXT($X121,"dd-mmm")&amp;". "&amp;IF($W121=6,"Final escalation completed.",IF($T121="OVERDUE","Next: "&amp;$Z121&amp;" was due "&amp;TEXT($Y121,"dd-mmm")&amp;" - "&amp;(NETWORKDAYS($Y121,TODAY(),Holidays)-1)&amp;" business day(s) late. Send now.",IF($T121="DUE TOMORROW","Next: "&amp;$Z121&amp;IF($Y121&lt;=TODAY()," is due TODAY ("," is due next business day (")&amp;TEXT($Y121,"dd-mmm")&amp;").","Next: "&amp;$Z121&amp;" due "&amp;TEXT($Y121,"dd-mmm")&amp;" ("&amp;(NETWORKDAYS(TODAY(),$Y121,Holidays)-1)&amp;" business day(s) left).")))))</f>
        <v/>
      </c>
      <c r="V121" s="17">
        <f>IF($W121="","",CHOOSE($W121,"Collection Email","1st Follow-up","2nd Follow-up","Local Office","CBE","Roxanne")&amp;IF($W121=6," - Final"," - Day "&amp;MAX(0,NETWORKDAYS($X121,TODAY(),Holidays)-1)&amp;" of "&amp;CHOOSE($W121,3,3,2,2,3))&amp;" | Total Day "&amp;MAX(0,NETWORKDAYS($L121,TODAY(),Holidays)-1))</f>
        <v/>
      </c>
      <c r="W121" s="17">
        <f>IF($L121="","",COUNT($L121:$Q121))</f>
        <v/>
      </c>
      <c r="X121" s="18">
        <f>IF($W121="","",INT(INDEX($L121:$Q121,$W121)))</f>
        <v/>
      </c>
      <c r="Y121" s="18">
        <f>IF(OR($W121="",$W121=6),"",WORKDAY($X121,CHOOSE($W121,3,3,2,2,3),Holidays))</f>
        <v/>
      </c>
      <c r="Z121" s="17">
        <f>IF(OR($W121="",$W121=6),"",CHOOSE($W121,"1st Email Follow-up","2nd Email Follow-up","Escalate Local Office","Escalate to CBE","Escalate to Roxanne"))</f>
        <v/>
      </c>
    </row>
    <row r="122" spans="18:26">
      <c r="R122" s="15"/>
      <c r="S122" s="16"/>
      <c r="T122" s="17">
        <f>IF(AND(COUNTA($A122:$K122)=0,$L122=""),"",IF($S122="Paid","PAID",IF($S122="Closed","CLOSED",IF($W122="","",IF($W122=6,"ESCALATED TO ROXANNE",IF(TODAY()&gt;$Y122,"OVERDUE",IF($Y122&lt;=WORKDAY(TODAY(),1,Holidays),"DUE TOMORROW",IF($W122=4,"ESCALATED TO LOCAL OFFICE",IF($W122=5,"ESCALATED TO CBE",IF($X122=TODAY(),"EMAIL SENT","MONITORING"))))))))))</f>
        <v/>
      </c>
      <c r="U122" s="17">
        <f>IF($T122="",IF(AND(COUNTA($A122:$K122)&gt;0,$L122=""),"Awaiting Collection Email time stamp.",""),IF(OR($T122="PAID",$T122="CLOSED"),IF($T122="PAID","Account paid. Action completed.","Account closed. No further action required."),CHOOSE($W122,"Collection Email","1st Email Follow-up","2nd Email Follow-up","Escalation to Local Office","Escalation to CBE","Escalation to Roxanne")&amp;" sent "&amp;TEXT($X122,"dd-mmm")&amp;". "&amp;IF($W122=6,"Final escalation completed.",IF($T122="OVERDUE","Next: "&amp;$Z122&amp;" was due "&amp;TEXT($Y122,"dd-mmm")&amp;" - "&amp;(NETWORKDAYS($Y122,TODAY(),Holidays)-1)&amp;" business day(s) late. Send now.",IF($T122="DUE TOMORROW","Next: "&amp;$Z122&amp;IF($Y122&lt;=TODAY()," is due TODAY ("," is due next business day (")&amp;TEXT($Y122,"dd-mmm")&amp;").","Next: "&amp;$Z122&amp;" due "&amp;TEXT($Y122,"dd-mmm")&amp;" ("&amp;(NETWORKDAYS(TODAY(),$Y122,Holidays)-1)&amp;" business day(s) left).")))))</f>
        <v/>
      </c>
      <c r="V122" s="17">
        <f>IF($W122="","",CHOOSE($W122,"Collection Email","1st Follow-up","2nd Follow-up","Local Office","CBE","Roxanne")&amp;IF($W122=6," - Final"," - Day "&amp;MAX(0,NETWORKDAYS($X122,TODAY(),Holidays)-1)&amp;" of "&amp;CHOOSE($W122,3,3,2,2,3))&amp;" | Total Day "&amp;MAX(0,NETWORKDAYS($L122,TODAY(),Holidays)-1))</f>
        <v/>
      </c>
      <c r="W122" s="17">
        <f>IF($L122="","",COUNT($L122:$Q122))</f>
        <v/>
      </c>
      <c r="X122" s="18">
        <f>IF($W122="","",INT(INDEX($L122:$Q122,$W122)))</f>
        <v/>
      </c>
      <c r="Y122" s="18">
        <f>IF(OR($W122="",$W122=6),"",WORKDAY($X122,CHOOSE($W122,3,3,2,2,3),Holidays))</f>
        <v/>
      </c>
      <c r="Z122" s="17">
        <f>IF(OR($W122="",$W122=6),"",CHOOSE($W122,"1st Email Follow-up","2nd Email Follow-up","Escalate Local Office","Escalate to CBE","Escalate to Roxanne"))</f>
        <v/>
      </c>
    </row>
    <row r="123" spans="18:26">
      <c r="R123" s="15"/>
      <c r="S123" s="16"/>
      <c r="T123" s="17">
        <f>IF(AND(COUNTA($A123:$K123)=0,$L123=""),"",IF($S123="Paid","PAID",IF($S123="Closed","CLOSED",IF($W123="","",IF($W123=6,"ESCALATED TO ROXANNE",IF(TODAY()&gt;$Y123,"OVERDUE",IF($Y123&lt;=WORKDAY(TODAY(),1,Holidays),"DUE TOMORROW",IF($W123=4,"ESCALATED TO LOCAL OFFICE",IF($W123=5,"ESCALATED TO CBE",IF($X123=TODAY(),"EMAIL SENT","MONITORING"))))))))))</f>
        <v/>
      </c>
      <c r="U123" s="17">
        <f>IF($T123="",IF(AND(COUNTA($A123:$K123)&gt;0,$L123=""),"Awaiting Collection Email time stamp.",""),IF(OR($T123="PAID",$T123="CLOSED"),IF($T123="PAID","Account paid. Action completed.","Account closed. No further action required."),CHOOSE($W123,"Collection Email","1st Email Follow-up","2nd Email Follow-up","Escalation to Local Office","Escalation to CBE","Escalation to Roxanne")&amp;" sent "&amp;TEXT($X123,"dd-mmm")&amp;". "&amp;IF($W123=6,"Final escalation completed.",IF($T123="OVERDUE","Next: "&amp;$Z123&amp;" was due "&amp;TEXT($Y123,"dd-mmm")&amp;" - "&amp;(NETWORKDAYS($Y123,TODAY(),Holidays)-1)&amp;" business day(s) late. Send now.",IF($T123="DUE TOMORROW","Next: "&amp;$Z123&amp;IF($Y123&lt;=TODAY()," is due TODAY ("," is due next business day (")&amp;TEXT($Y123,"dd-mmm")&amp;").","Next: "&amp;$Z123&amp;" due "&amp;TEXT($Y123,"dd-mmm")&amp;" ("&amp;(NETWORKDAYS(TODAY(),$Y123,Holidays)-1)&amp;" business day(s) left).")))))</f>
        <v/>
      </c>
      <c r="V123" s="17">
        <f>IF($W123="","",CHOOSE($W123,"Collection Email","1st Follow-up","2nd Follow-up","Local Office","CBE","Roxanne")&amp;IF($W123=6," - Final"," - Day "&amp;MAX(0,NETWORKDAYS($X123,TODAY(),Holidays)-1)&amp;" of "&amp;CHOOSE($W123,3,3,2,2,3))&amp;" | Total Day "&amp;MAX(0,NETWORKDAYS($L123,TODAY(),Holidays)-1))</f>
        <v/>
      </c>
      <c r="W123" s="17">
        <f>IF($L123="","",COUNT($L123:$Q123))</f>
        <v/>
      </c>
      <c r="X123" s="18">
        <f>IF($W123="","",INT(INDEX($L123:$Q123,$W123)))</f>
        <v/>
      </c>
      <c r="Y123" s="18">
        <f>IF(OR($W123="",$W123=6),"",WORKDAY($X123,CHOOSE($W123,3,3,2,2,3),Holidays))</f>
        <v/>
      </c>
      <c r="Z123" s="17">
        <f>IF(OR($W123="",$W123=6),"",CHOOSE($W123,"1st Email Follow-up","2nd Email Follow-up","Escalate Local Office","Escalate to CBE","Escalate to Roxanne"))</f>
        <v/>
      </c>
    </row>
    <row r="124" spans="18:26">
      <c r="R124" s="15"/>
      <c r="S124" s="16"/>
      <c r="T124" s="17">
        <f>IF(AND(COUNTA($A124:$K124)=0,$L124=""),"",IF($S124="Paid","PAID",IF($S124="Closed","CLOSED",IF($W124="","",IF($W124=6,"ESCALATED TO ROXANNE",IF(TODAY()&gt;$Y124,"OVERDUE",IF($Y124&lt;=WORKDAY(TODAY(),1,Holidays),"DUE TOMORROW",IF($W124=4,"ESCALATED TO LOCAL OFFICE",IF($W124=5,"ESCALATED TO CBE",IF($X124=TODAY(),"EMAIL SENT","MONITORING"))))))))))</f>
        <v/>
      </c>
      <c r="U124" s="17">
        <f>IF($T124="",IF(AND(COUNTA($A124:$K124)&gt;0,$L124=""),"Awaiting Collection Email time stamp.",""),IF(OR($T124="PAID",$T124="CLOSED"),IF($T124="PAID","Account paid. Action completed.","Account closed. No further action required."),CHOOSE($W124,"Collection Email","1st Email Follow-up","2nd Email Follow-up","Escalation to Local Office","Escalation to CBE","Escalation to Roxanne")&amp;" sent "&amp;TEXT($X124,"dd-mmm")&amp;". "&amp;IF($W124=6,"Final escalation completed.",IF($T124="OVERDUE","Next: "&amp;$Z124&amp;" was due "&amp;TEXT($Y124,"dd-mmm")&amp;" - "&amp;(NETWORKDAYS($Y124,TODAY(),Holidays)-1)&amp;" business day(s) late. Send now.",IF($T124="DUE TOMORROW","Next: "&amp;$Z124&amp;IF($Y124&lt;=TODAY()," is due TODAY ("," is due next business day (")&amp;TEXT($Y124,"dd-mmm")&amp;").","Next: "&amp;$Z124&amp;" due "&amp;TEXT($Y124,"dd-mmm")&amp;" ("&amp;(NETWORKDAYS(TODAY(),$Y124,Holidays)-1)&amp;" business day(s) left).")))))</f>
        <v/>
      </c>
      <c r="V124" s="17">
        <f>IF($W124="","",CHOOSE($W124,"Collection Email","1st Follow-up","2nd Follow-up","Local Office","CBE","Roxanne")&amp;IF($W124=6," - Final"," - Day "&amp;MAX(0,NETWORKDAYS($X124,TODAY(),Holidays)-1)&amp;" of "&amp;CHOOSE($W124,3,3,2,2,3))&amp;" | Total Day "&amp;MAX(0,NETWORKDAYS($L124,TODAY(),Holidays)-1))</f>
        <v/>
      </c>
      <c r="W124" s="17">
        <f>IF($L124="","",COUNT($L124:$Q124))</f>
        <v/>
      </c>
      <c r="X124" s="18">
        <f>IF($W124="","",INT(INDEX($L124:$Q124,$W124)))</f>
        <v/>
      </c>
      <c r="Y124" s="18">
        <f>IF(OR($W124="",$W124=6),"",WORKDAY($X124,CHOOSE($W124,3,3,2,2,3),Holidays))</f>
        <v/>
      </c>
      <c r="Z124" s="17">
        <f>IF(OR($W124="",$W124=6),"",CHOOSE($W124,"1st Email Follow-up","2nd Email Follow-up","Escalate Local Office","Escalate to CBE","Escalate to Roxanne"))</f>
        <v/>
      </c>
    </row>
    <row r="125" spans="18:26">
      <c r="R125" s="15"/>
      <c r="S125" s="16"/>
      <c r="T125" s="17">
        <f>IF(AND(COUNTA($A125:$K125)=0,$L125=""),"",IF($S125="Paid","PAID",IF($S125="Closed","CLOSED",IF($W125="","",IF($W125=6,"ESCALATED TO ROXANNE",IF(TODAY()&gt;$Y125,"OVERDUE",IF($Y125&lt;=WORKDAY(TODAY(),1,Holidays),"DUE TOMORROW",IF($W125=4,"ESCALATED TO LOCAL OFFICE",IF($W125=5,"ESCALATED TO CBE",IF($X125=TODAY(),"EMAIL SENT","MONITORING"))))))))))</f>
        <v/>
      </c>
      <c r="U125" s="17">
        <f>IF($T125="",IF(AND(COUNTA($A125:$K125)&gt;0,$L125=""),"Awaiting Collection Email time stamp.",""),IF(OR($T125="PAID",$T125="CLOSED"),IF($T125="PAID","Account paid. Action completed.","Account closed. No further action required."),CHOOSE($W125,"Collection Email","1st Email Follow-up","2nd Email Follow-up","Escalation to Local Office","Escalation to CBE","Escalation to Roxanne")&amp;" sent "&amp;TEXT($X125,"dd-mmm")&amp;". "&amp;IF($W125=6,"Final escalation completed.",IF($T125="OVERDUE","Next: "&amp;$Z125&amp;" was due "&amp;TEXT($Y125,"dd-mmm")&amp;" - "&amp;(NETWORKDAYS($Y125,TODAY(),Holidays)-1)&amp;" business day(s) late. Send now.",IF($T125="DUE TOMORROW","Next: "&amp;$Z125&amp;IF($Y125&lt;=TODAY()," is due TODAY ("," is due next business day (")&amp;TEXT($Y125,"dd-mmm")&amp;").","Next: "&amp;$Z125&amp;" due "&amp;TEXT($Y125,"dd-mmm")&amp;" ("&amp;(NETWORKDAYS(TODAY(),$Y125,Holidays)-1)&amp;" business day(s) left).")))))</f>
        <v/>
      </c>
      <c r="V125" s="17">
        <f>IF($W125="","",CHOOSE($W125,"Collection Email","1st Follow-up","2nd Follow-up","Local Office","CBE","Roxanne")&amp;IF($W125=6," - Final"," - Day "&amp;MAX(0,NETWORKDAYS($X125,TODAY(),Holidays)-1)&amp;" of "&amp;CHOOSE($W125,3,3,2,2,3))&amp;" | Total Day "&amp;MAX(0,NETWORKDAYS($L125,TODAY(),Holidays)-1))</f>
        <v/>
      </c>
      <c r="W125" s="17">
        <f>IF($L125="","",COUNT($L125:$Q125))</f>
        <v/>
      </c>
      <c r="X125" s="18">
        <f>IF($W125="","",INT(INDEX($L125:$Q125,$W125)))</f>
        <v/>
      </c>
      <c r="Y125" s="18">
        <f>IF(OR($W125="",$W125=6),"",WORKDAY($X125,CHOOSE($W125,3,3,2,2,3),Holidays))</f>
        <v/>
      </c>
      <c r="Z125" s="17">
        <f>IF(OR($W125="",$W125=6),"",CHOOSE($W125,"1st Email Follow-up","2nd Email Follow-up","Escalate Local Office","Escalate to CBE","Escalate to Roxanne"))</f>
        <v/>
      </c>
    </row>
    <row r="126" spans="18:26">
      <c r="R126" s="15"/>
      <c r="S126" s="16"/>
      <c r="T126" s="17">
        <f>IF(AND(COUNTA($A126:$K126)=0,$L126=""),"",IF($S126="Paid","PAID",IF($S126="Closed","CLOSED",IF($W126="","",IF($W126=6,"ESCALATED TO ROXANNE",IF(TODAY()&gt;$Y126,"OVERDUE",IF($Y126&lt;=WORKDAY(TODAY(),1,Holidays),"DUE TOMORROW",IF($W126=4,"ESCALATED TO LOCAL OFFICE",IF($W126=5,"ESCALATED TO CBE",IF($X126=TODAY(),"EMAIL SENT","MONITORING"))))))))))</f>
        <v/>
      </c>
      <c r="U126" s="17">
        <f>IF($T126="",IF(AND(COUNTA($A126:$K126)&gt;0,$L126=""),"Awaiting Collection Email time stamp.",""),IF(OR($T126="PAID",$T126="CLOSED"),IF($T126="PAID","Account paid. Action completed.","Account closed. No further action required."),CHOOSE($W126,"Collection Email","1st Email Follow-up","2nd Email Follow-up","Escalation to Local Office","Escalation to CBE","Escalation to Roxanne")&amp;" sent "&amp;TEXT($X126,"dd-mmm")&amp;". "&amp;IF($W126=6,"Final escalation completed.",IF($T126="OVERDUE","Next: "&amp;$Z126&amp;" was due "&amp;TEXT($Y126,"dd-mmm")&amp;" - "&amp;(NETWORKDAYS($Y126,TODAY(),Holidays)-1)&amp;" business day(s) late. Send now.",IF($T126="DUE TOMORROW","Next: "&amp;$Z126&amp;IF($Y126&lt;=TODAY()," is due TODAY ("," is due next business day (")&amp;TEXT($Y126,"dd-mmm")&amp;").","Next: "&amp;$Z126&amp;" due "&amp;TEXT($Y126,"dd-mmm")&amp;" ("&amp;(NETWORKDAYS(TODAY(),$Y126,Holidays)-1)&amp;" business day(s) left).")))))</f>
        <v/>
      </c>
      <c r="V126" s="17">
        <f>IF($W126="","",CHOOSE($W126,"Collection Email","1st Follow-up","2nd Follow-up","Local Office","CBE","Roxanne")&amp;IF($W126=6," - Final"," - Day "&amp;MAX(0,NETWORKDAYS($X126,TODAY(),Holidays)-1)&amp;" of "&amp;CHOOSE($W126,3,3,2,2,3))&amp;" | Total Day "&amp;MAX(0,NETWORKDAYS($L126,TODAY(),Holidays)-1))</f>
        <v/>
      </c>
      <c r="W126" s="17">
        <f>IF($L126="","",COUNT($L126:$Q126))</f>
        <v/>
      </c>
      <c r="X126" s="18">
        <f>IF($W126="","",INT(INDEX($L126:$Q126,$W126)))</f>
        <v/>
      </c>
      <c r="Y126" s="18">
        <f>IF(OR($W126="",$W126=6),"",WORKDAY($X126,CHOOSE($W126,3,3,2,2,3),Holidays))</f>
        <v/>
      </c>
      <c r="Z126" s="17">
        <f>IF(OR($W126="",$W126=6),"",CHOOSE($W126,"1st Email Follow-up","2nd Email Follow-up","Escalate Local Office","Escalate to CBE","Escalate to Roxanne"))</f>
        <v/>
      </c>
    </row>
    <row r="127" spans="18:26">
      <c r="R127" s="15"/>
      <c r="S127" s="16"/>
      <c r="T127" s="17">
        <f>IF(AND(COUNTA($A127:$K127)=0,$L127=""),"",IF($S127="Paid","PAID",IF($S127="Closed","CLOSED",IF($W127="","",IF($W127=6,"ESCALATED TO ROXANNE",IF(TODAY()&gt;$Y127,"OVERDUE",IF($Y127&lt;=WORKDAY(TODAY(),1,Holidays),"DUE TOMORROW",IF($W127=4,"ESCALATED TO LOCAL OFFICE",IF($W127=5,"ESCALATED TO CBE",IF($X127=TODAY(),"EMAIL SENT","MONITORING"))))))))))</f>
        <v/>
      </c>
      <c r="U127" s="17">
        <f>IF($T127="",IF(AND(COUNTA($A127:$K127)&gt;0,$L127=""),"Awaiting Collection Email time stamp.",""),IF(OR($T127="PAID",$T127="CLOSED"),IF($T127="PAID","Account paid. Action completed.","Account closed. No further action required."),CHOOSE($W127,"Collection Email","1st Email Follow-up","2nd Email Follow-up","Escalation to Local Office","Escalation to CBE","Escalation to Roxanne")&amp;" sent "&amp;TEXT($X127,"dd-mmm")&amp;". "&amp;IF($W127=6,"Final escalation completed.",IF($T127="OVERDUE","Next: "&amp;$Z127&amp;" was due "&amp;TEXT($Y127,"dd-mmm")&amp;" - "&amp;(NETWORKDAYS($Y127,TODAY(),Holidays)-1)&amp;" business day(s) late. Send now.",IF($T127="DUE TOMORROW","Next: "&amp;$Z127&amp;IF($Y127&lt;=TODAY()," is due TODAY ("," is due next business day (")&amp;TEXT($Y127,"dd-mmm")&amp;").","Next: "&amp;$Z127&amp;" due "&amp;TEXT($Y127,"dd-mmm")&amp;" ("&amp;(NETWORKDAYS(TODAY(),$Y127,Holidays)-1)&amp;" business day(s) left).")))))</f>
        <v/>
      </c>
      <c r="V127" s="17">
        <f>IF($W127="","",CHOOSE($W127,"Collection Email","1st Follow-up","2nd Follow-up","Local Office","CBE","Roxanne")&amp;IF($W127=6," - Final"," - Day "&amp;MAX(0,NETWORKDAYS($X127,TODAY(),Holidays)-1)&amp;" of "&amp;CHOOSE($W127,3,3,2,2,3))&amp;" | Total Day "&amp;MAX(0,NETWORKDAYS($L127,TODAY(),Holidays)-1))</f>
        <v/>
      </c>
      <c r="W127" s="17">
        <f>IF($L127="","",COUNT($L127:$Q127))</f>
        <v/>
      </c>
      <c r="X127" s="18">
        <f>IF($W127="","",INT(INDEX($L127:$Q127,$W127)))</f>
        <v/>
      </c>
      <c r="Y127" s="18">
        <f>IF(OR($W127="",$W127=6),"",WORKDAY($X127,CHOOSE($W127,3,3,2,2,3),Holidays))</f>
        <v/>
      </c>
      <c r="Z127" s="17">
        <f>IF(OR($W127="",$W127=6),"",CHOOSE($W127,"1st Email Follow-up","2nd Email Follow-up","Escalate Local Office","Escalate to CBE","Escalate to Roxanne"))</f>
        <v/>
      </c>
    </row>
    <row r="128" spans="18:26">
      <c r="R128" s="15"/>
      <c r="S128" s="16"/>
      <c r="T128" s="17">
        <f>IF(AND(COUNTA($A128:$K128)=0,$L128=""),"",IF($S128="Paid","PAID",IF($S128="Closed","CLOSED",IF($W128="","",IF($W128=6,"ESCALATED TO ROXANNE",IF(TODAY()&gt;$Y128,"OVERDUE",IF($Y128&lt;=WORKDAY(TODAY(),1,Holidays),"DUE TOMORROW",IF($W128=4,"ESCALATED TO LOCAL OFFICE",IF($W128=5,"ESCALATED TO CBE",IF($X128=TODAY(),"EMAIL SENT","MONITORING"))))))))))</f>
        <v/>
      </c>
      <c r="U128" s="17">
        <f>IF($T128="",IF(AND(COUNTA($A128:$K128)&gt;0,$L128=""),"Awaiting Collection Email time stamp.",""),IF(OR($T128="PAID",$T128="CLOSED"),IF($T128="PAID","Account paid. Action completed.","Account closed. No further action required."),CHOOSE($W128,"Collection Email","1st Email Follow-up","2nd Email Follow-up","Escalation to Local Office","Escalation to CBE","Escalation to Roxanne")&amp;" sent "&amp;TEXT($X128,"dd-mmm")&amp;". "&amp;IF($W128=6,"Final escalation completed.",IF($T128="OVERDUE","Next: "&amp;$Z128&amp;" was due "&amp;TEXT($Y128,"dd-mmm")&amp;" - "&amp;(NETWORKDAYS($Y128,TODAY(),Holidays)-1)&amp;" business day(s) late. Send now.",IF($T128="DUE TOMORROW","Next: "&amp;$Z128&amp;IF($Y128&lt;=TODAY()," is due TODAY ("," is due next business day (")&amp;TEXT($Y128,"dd-mmm")&amp;").","Next: "&amp;$Z128&amp;" due "&amp;TEXT($Y128,"dd-mmm")&amp;" ("&amp;(NETWORKDAYS(TODAY(),$Y128,Holidays)-1)&amp;" business day(s) left).")))))</f>
        <v/>
      </c>
      <c r="V128" s="17">
        <f>IF($W128="","",CHOOSE($W128,"Collection Email","1st Follow-up","2nd Follow-up","Local Office","CBE","Roxanne")&amp;IF($W128=6," - Final"," - Day "&amp;MAX(0,NETWORKDAYS($X128,TODAY(),Holidays)-1)&amp;" of "&amp;CHOOSE($W128,3,3,2,2,3))&amp;" | Total Day "&amp;MAX(0,NETWORKDAYS($L128,TODAY(),Holidays)-1))</f>
        <v/>
      </c>
      <c r="W128" s="17">
        <f>IF($L128="","",COUNT($L128:$Q128))</f>
        <v/>
      </c>
      <c r="X128" s="18">
        <f>IF($W128="","",INT(INDEX($L128:$Q128,$W128)))</f>
        <v/>
      </c>
      <c r="Y128" s="18">
        <f>IF(OR($W128="",$W128=6),"",WORKDAY($X128,CHOOSE($W128,3,3,2,2,3),Holidays))</f>
        <v/>
      </c>
      <c r="Z128" s="17">
        <f>IF(OR($W128="",$W128=6),"",CHOOSE($W128,"1st Email Follow-up","2nd Email Follow-up","Escalate Local Office","Escalate to CBE","Escalate to Roxanne"))</f>
        <v/>
      </c>
    </row>
    <row r="129" spans="18:26">
      <c r="R129" s="15"/>
      <c r="S129" s="16"/>
      <c r="T129" s="17">
        <f>IF(AND(COUNTA($A129:$K129)=0,$L129=""),"",IF($S129="Paid","PAID",IF($S129="Closed","CLOSED",IF($W129="","",IF($W129=6,"ESCALATED TO ROXANNE",IF(TODAY()&gt;$Y129,"OVERDUE",IF($Y129&lt;=WORKDAY(TODAY(),1,Holidays),"DUE TOMORROW",IF($W129=4,"ESCALATED TO LOCAL OFFICE",IF($W129=5,"ESCALATED TO CBE",IF($X129=TODAY(),"EMAIL SENT","MONITORING"))))))))))</f>
        <v/>
      </c>
      <c r="U129" s="17">
        <f>IF($T129="",IF(AND(COUNTA($A129:$K129)&gt;0,$L129=""),"Awaiting Collection Email time stamp.",""),IF(OR($T129="PAID",$T129="CLOSED"),IF($T129="PAID","Account paid. Action completed.","Account closed. No further action required."),CHOOSE($W129,"Collection Email","1st Email Follow-up","2nd Email Follow-up","Escalation to Local Office","Escalation to CBE","Escalation to Roxanne")&amp;" sent "&amp;TEXT($X129,"dd-mmm")&amp;". "&amp;IF($W129=6,"Final escalation completed.",IF($T129="OVERDUE","Next: "&amp;$Z129&amp;" was due "&amp;TEXT($Y129,"dd-mmm")&amp;" - "&amp;(NETWORKDAYS($Y129,TODAY(),Holidays)-1)&amp;" business day(s) late. Send now.",IF($T129="DUE TOMORROW","Next: "&amp;$Z129&amp;IF($Y129&lt;=TODAY()," is due TODAY ("," is due next business day (")&amp;TEXT($Y129,"dd-mmm")&amp;").","Next: "&amp;$Z129&amp;" due "&amp;TEXT($Y129,"dd-mmm")&amp;" ("&amp;(NETWORKDAYS(TODAY(),$Y129,Holidays)-1)&amp;" business day(s) left).")))))</f>
        <v/>
      </c>
      <c r="V129" s="17">
        <f>IF($W129="","",CHOOSE($W129,"Collection Email","1st Follow-up","2nd Follow-up","Local Office","CBE","Roxanne")&amp;IF($W129=6," - Final"," - Day "&amp;MAX(0,NETWORKDAYS($X129,TODAY(),Holidays)-1)&amp;" of "&amp;CHOOSE($W129,3,3,2,2,3))&amp;" | Total Day "&amp;MAX(0,NETWORKDAYS($L129,TODAY(),Holidays)-1))</f>
        <v/>
      </c>
      <c r="W129" s="17">
        <f>IF($L129="","",COUNT($L129:$Q129))</f>
        <v/>
      </c>
      <c r="X129" s="18">
        <f>IF($W129="","",INT(INDEX($L129:$Q129,$W129)))</f>
        <v/>
      </c>
      <c r="Y129" s="18">
        <f>IF(OR($W129="",$W129=6),"",WORKDAY($X129,CHOOSE($W129,3,3,2,2,3),Holidays))</f>
        <v/>
      </c>
      <c r="Z129" s="17">
        <f>IF(OR($W129="",$W129=6),"",CHOOSE($W129,"1st Email Follow-up","2nd Email Follow-up","Escalate Local Office","Escalate to CBE","Escalate to Roxanne"))</f>
        <v/>
      </c>
    </row>
    <row r="130" spans="18:26">
      <c r="R130" s="15"/>
      <c r="S130" s="16"/>
      <c r="T130" s="17">
        <f>IF(AND(COUNTA($A130:$K130)=0,$L130=""),"",IF($S130="Paid","PAID",IF($S130="Closed","CLOSED",IF($W130="","",IF($W130=6,"ESCALATED TO ROXANNE",IF(TODAY()&gt;$Y130,"OVERDUE",IF($Y130&lt;=WORKDAY(TODAY(),1,Holidays),"DUE TOMORROW",IF($W130=4,"ESCALATED TO LOCAL OFFICE",IF($W130=5,"ESCALATED TO CBE",IF($X130=TODAY(),"EMAIL SENT","MONITORING"))))))))))</f>
        <v/>
      </c>
      <c r="U130" s="17">
        <f>IF($T130="",IF(AND(COUNTA($A130:$K130)&gt;0,$L130=""),"Awaiting Collection Email time stamp.",""),IF(OR($T130="PAID",$T130="CLOSED"),IF($T130="PAID","Account paid. Action completed.","Account closed. No further action required."),CHOOSE($W130,"Collection Email","1st Email Follow-up","2nd Email Follow-up","Escalation to Local Office","Escalation to CBE","Escalation to Roxanne")&amp;" sent "&amp;TEXT($X130,"dd-mmm")&amp;". "&amp;IF($W130=6,"Final escalation completed.",IF($T130="OVERDUE","Next: "&amp;$Z130&amp;" was due "&amp;TEXT($Y130,"dd-mmm")&amp;" - "&amp;(NETWORKDAYS($Y130,TODAY(),Holidays)-1)&amp;" business day(s) late. Send now.",IF($T130="DUE TOMORROW","Next: "&amp;$Z130&amp;IF($Y130&lt;=TODAY()," is due TODAY ("," is due next business day (")&amp;TEXT($Y130,"dd-mmm")&amp;").","Next: "&amp;$Z130&amp;" due "&amp;TEXT($Y130,"dd-mmm")&amp;" ("&amp;(NETWORKDAYS(TODAY(),$Y130,Holidays)-1)&amp;" business day(s) left).")))))</f>
        <v/>
      </c>
      <c r="V130" s="17">
        <f>IF($W130="","",CHOOSE($W130,"Collection Email","1st Follow-up","2nd Follow-up","Local Office","CBE","Roxanne")&amp;IF($W130=6," - Final"," - Day "&amp;MAX(0,NETWORKDAYS($X130,TODAY(),Holidays)-1)&amp;" of "&amp;CHOOSE($W130,3,3,2,2,3))&amp;" | Total Day "&amp;MAX(0,NETWORKDAYS($L130,TODAY(),Holidays)-1))</f>
        <v/>
      </c>
      <c r="W130" s="17">
        <f>IF($L130="","",COUNT($L130:$Q130))</f>
        <v/>
      </c>
      <c r="X130" s="18">
        <f>IF($W130="","",INT(INDEX($L130:$Q130,$W130)))</f>
        <v/>
      </c>
      <c r="Y130" s="18">
        <f>IF(OR($W130="",$W130=6),"",WORKDAY($X130,CHOOSE($W130,3,3,2,2,3),Holidays))</f>
        <v/>
      </c>
      <c r="Z130" s="17">
        <f>IF(OR($W130="",$W130=6),"",CHOOSE($W130,"1st Email Follow-up","2nd Email Follow-up","Escalate Local Office","Escalate to CBE","Escalate to Roxanne"))</f>
        <v/>
      </c>
    </row>
    <row r="131" spans="18:26">
      <c r="R131" s="15"/>
      <c r="S131" s="16"/>
      <c r="T131" s="17">
        <f>IF(AND(COUNTA($A131:$K131)=0,$L131=""),"",IF($S131="Paid","PAID",IF($S131="Closed","CLOSED",IF($W131="","",IF($W131=6,"ESCALATED TO ROXANNE",IF(TODAY()&gt;$Y131,"OVERDUE",IF($Y131&lt;=WORKDAY(TODAY(),1,Holidays),"DUE TOMORROW",IF($W131=4,"ESCALATED TO LOCAL OFFICE",IF($W131=5,"ESCALATED TO CBE",IF($X131=TODAY(),"EMAIL SENT","MONITORING"))))))))))</f>
        <v/>
      </c>
      <c r="U131" s="17">
        <f>IF($T131="",IF(AND(COUNTA($A131:$K131)&gt;0,$L131=""),"Awaiting Collection Email time stamp.",""),IF(OR($T131="PAID",$T131="CLOSED"),IF($T131="PAID","Account paid. Action completed.","Account closed. No further action required."),CHOOSE($W131,"Collection Email","1st Email Follow-up","2nd Email Follow-up","Escalation to Local Office","Escalation to CBE","Escalation to Roxanne")&amp;" sent "&amp;TEXT($X131,"dd-mmm")&amp;". "&amp;IF($W131=6,"Final escalation completed.",IF($T131="OVERDUE","Next: "&amp;$Z131&amp;" was due "&amp;TEXT($Y131,"dd-mmm")&amp;" - "&amp;(NETWORKDAYS($Y131,TODAY(),Holidays)-1)&amp;" business day(s) late. Send now.",IF($T131="DUE TOMORROW","Next: "&amp;$Z131&amp;IF($Y131&lt;=TODAY()," is due TODAY ("," is due next business day (")&amp;TEXT($Y131,"dd-mmm")&amp;").","Next: "&amp;$Z131&amp;" due "&amp;TEXT($Y131,"dd-mmm")&amp;" ("&amp;(NETWORKDAYS(TODAY(),$Y131,Holidays)-1)&amp;" business day(s) left).")))))</f>
        <v/>
      </c>
      <c r="V131" s="17">
        <f>IF($W131="","",CHOOSE($W131,"Collection Email","1st Follow-up","2nd Follow-up","Local Office","CBE","Roxanne")&amp;IF($W131=6," - Final"," - Day "&amp;MAX(0,NETWORKDAYS($X131,TODAY(),Holidays)-1)&amp;" of "&amp;CHOOSE($W131,3,3,2,2,3))&amp;" | Total Day "&amp;MAX(0,NETWORKDAYS($L131,TODAY(),Holidays)-1))</f>
        <v/>
      </c>
      <c r="W131" s="17">
        <f>IF($L131="","",COUNT($L131:$Q131))</f>
        <v/>
      </c>
      <c r="X131" s="18">
        <f>IF($W131="","",INT(INDEX($L131:$Q131,$W131)))</f>
        <v/>
      </c>
      <c r="Y131" s="18">
        <f>IF(OR($W131="",$W131=6),"",WORKDAY($X131,CHOOSE($W131,3,3,2,2,3),Holidays))</f>
        <v/>
      </c>
      <c r="Z131" s="17">
        <f>IF(OR($W131="",$W131=6),"",CHOOSE($W131,"1st Email Follow-up","2nd Email Follow-up","Escalate Local Office","Escalate to CBE","Escalate to Roxanne"))</f>
        <v/>
      </c>
    </row>
    <row r="132" spans="18:26">
      <c r="R132" s="15"/>
      <c r="S132" s="16"/>
      <c r="T132" s="17">
        <f>IF(AND(COUNTA($A132:$K132)=0,$L132=""),"",IF($S132="Paid","PAID",IF($S132="Closed","CLOSED",IF($W132="","",IF($W132=6,"ESCALATED TO ROXANNE",IF(TODAY()&gt;$Y132,"OVERDUE",IF($Y132&lt;=WORKDAY(TODAY(),1,Holidays),"DUE TOMORROW",IF($W132=4,"ESCALATED TO LOCAL OFFICE",IF($W132=5,"ESCALATED TO CBE",IF($X132=TODAY(),"EMAIL SENT","MONITORING"))))))))))</f>
        <v/>
      </c>
      <c r="U132" s="17">
        <f>IF($T132="",IF(AND(COUNTA($A132:$K132)&gt;0,$L132=""),"Awaiting Collection Email time stamp.",""),IF(OR($T132="PAID",$T132="CLOSED"),IF($T132="PAID","Account paid. Action completed.","Account closed. No further action required."),CHOOSE($W132,"Collection Email","1st Email Follow-up","2nd Email Follow-up","Escalation to Local Office","Escalation to CBE","Escalation to Roxanne")&amp;" sent "&amp;TEXT($X132,"dd-mmm")&amp;". "&amp;IF($W132=6,"Final escalation completed.",IF($T132="OVERDUE","Next: "&amp;$Z132&amp;" was due "&amp;TEXT($Y132,"dd-mmm")&amp;" - "&amp;(NETWORKDAYS($Y132,TODAY(),Holidays)-1)&amp;" business day(s) late. Send now.",IF($T132="DUE TOMORROW","Next: "&amp;$Z132&amp;IF($Y132&lt;=TODAY()," is due TODAY ("," is due next business day (")&amp;TEXT($Y132,"dd-mmm")&amp;").","Next: "&amp;$Z132&amp;" due "&amp;TEXT($Y132,"dd-mmm")&amp;" ("&amp;(NETWORKDAYS(TODAY(),$Y132,Holidays)-1)&amp;" business day(s) left).")))))</f>
        <v/>
      </c>
      <c r="V132" s="17">
        <f>IF($W132="","",CHOOSE($W132,"Collection Email","1st Follow-up","2nd Follow-up","Local Office","CBE","Roxanne")&amp;IF($W132=6," - Final"," - Day "&amp;MAX(0,NETWORKDAYS($X132,TODAY(),Holidays)-1)&amp;" of "&amp;CHOOSE($W132,3,3,2,2,3))&amp;" | Total Day "&amp;MAX(0,NETWORKDAYS($L132,TODAY(),Holidays)-1))</f>
        <v/>
      </c>
      <c r="W132" s="17">
        <f>IF($L132="","",COUNT($L132:$Q132))</f>
        <v/>
      </c>
      <c r="X132" s="18">
        <f>IF($W132="","",INT(INDEX($L132:$Q132,$W132)))</f>
        <v/>
      </c>
      <c r="Y132" s="18">
        <f>IF(OR($W132="",$W132=6),"",WORKDAY($X132,CHOOSE($W132,3,3,2,2,3),Holidays))</f>
        <v/>
      </c>
      <c r="Z132" s="17">
        <f>IF(OR($W132="",$W132=6),"",CHOOSE($W132,"1st Email Follow-up","2nd Email Follow-up","Escalate Local Office","Escalate to CBE","Escalate to Roxanne"))</f>
        <v/>
      </c>
    </row>
    <row r="133" spans="18:26">
      <c r="R133" s="15"/>
      <c r="S133" s="16"/>
      <c r="T133" s="17">
        <f>IF(AND(COUNTA($A133:$K133)=0,$L133=""),"",IF($S133="Paid","PAID",IF($S133="Closed","CLOSED",IF($W133="","",IF($W133=6,"ESCALATED TO ROXANNE",IF(TODAY()&gt;$Y133,"OVERDUE",IF($Y133&lt;=WORKDAY(TODAY(),1,Holidays),"DUE TOMORROW",IF($W133=4,"ESCALATED TO LOCAL OFFICE",IF($W133=5,"ESCALATED TO CBE",IF($X133=TODAY(),"EMAIL SENT","MONITORING"))))))))))</f>
        <v/>
      </c>
      <c r="U133" s="17">
        <f>IF($T133="",IF(AND(COUNTA($A133:$K133)&gt;0,$L133=""),"Awaiting Collection Email time stamp.",""),IF(OR($T133="PAID",$T133="CLOSED"),IF($T133="PAID","Account paid. Action completed.","Account closed. No further action required."),CHOOSE($W133,"Collection Email","1st Email Follow-up","2nd Email Follow-up","Escalation to Local Office","Escalation to CBE","Escalation to Roxanne")&amp;" sent "&amp;TEXT($X133,"dd-mmm")&amp;". "&amp;IF($W133=6,"Final escalation completed.",IF($T133="OVERDUE","Next: "&amp;$Z133&amp;" was due "&amp;TEXT($Y133,"dd-mmm")&amp;" - "&amp;(NETWORKDAYS($Y133,TODAY(),Holidays)-1)&amp;" business day(s) late. Send now.",IF($T133="DUE TOMORROW","Next: "&amp;$Z133&amp;IF($Y133&lt;=TODAY()," is due TODAY ("," is due next business day (")&amp;TEXT($Y133,"dd-mmm")&amp;").","Next: "&amp;$Z133&amp;" due "&amp;TEXT($Y133,"dd-mmm")&amp;" ("&amp;(NETWORKDAYS(TODAY(),$Y133,Holidays)-1)&amp;" business day(s) left).")))))</f>
        <v/>
      </c>
      <c r="V133" s="17">
        <f>IF($W133="","",CHOOSE($W133,"Collection Email","1st Follow-up","2nd Follow-up","Local Office","CBE","Roxanne")&amp;IF($W133=6," - Final"," - Day "&amp;MAX(0,NETWORKDAYS($X133,TODAY(),Holidays)-1)&amp;" of "&amp;CHOOSE($W133,3,3,2,2,3))&amp;" | Total Day "&amp;MAX(0,NETWORKDAYS($L133,TODAY(),Holidays)-1))</f>
        <v/>
      </c>
      <c r="W133" s="17">
        <f>IF($L133="","",COUNT($L133:$Q133))</f>
        <v/>
      </c>
      <c r="X133" s="18">
        <f>IF($W133="","",INT(INDEX($L133:$Q133,$W133)))</f>
        <v/>
      </c>
      <c r="Y133" s="18">
        <f>IF(OR($W133="",$W133=6),"",WORKDAY($X133,CHOOSE($W133,3,3,2,2,3),Holidays))</f>
        <v/>
      </c>
      <c r="Z133" s="17">
        <f>IF(OR($W133="",$W133=6),"",CHOOSE($W133,"1st Email Follow-up","2nd Email Follow-up","Escalate Local Office","Escalate to CBE","Escalate to Roxanne"))</f>
        <v/>
      </c>
    </row>
    <row r="134" spans="18:26">
      <c r="R134" s="15"/>
      <c r="S134" s="16"/>
      <c r="T134" s="17">
        <f>IF(AND(COUNTA($A134:$K134)=0,$L134=""),"",IF($S134="Paid","PAID",IF($S134="Closed","CLOSED",IF($W134="","",IF($W134=6,"ESCALATED TO ROXANNE",IF(TODAY()&gt;$Y134,"OVERDUE",IF($Y134&lt;=WORKDAY(TODAY(),1,Holidays),"DUE TOMORROW",IF($W134=4,"ESCALATED TO LOCAL OFFICE",IF($W134=5,"ESCALATED TO CBE",IF($X134=TODAY(),"EMAIL SENT","MONITORING"))))))))))</f>
        <v/>
      </c>
      <c r="U134" s="17">
        <f>IF($T134="",IF(AND(COUNTA($A134:$K134)&gt;0,$L134=""),"Awaiting Collection Email time stamp.",""),IF(OR($T134="PAID",$T134="CLOSED"),IF($T134="PAID","Account paid. Action completed.","Account closed. No further action required."),CHOOSE($W134,"Collection Email","1st Email Follow-up","2nd Email Follow-up","Escalation to Local Office","Escalation to CBE","Escalation to Roxanne")&amp;" sent "&amp;TEXT($X134,"dd-mmm")&amp;". "&amp;IF($W134=6,"Final escalation completed.",IF($T134="OVERDUE","Next: "&amp;$Z134&amp;" was due "&amp;TEXT($Y134,"dd-mmm")&amp;" - "&amp;(NETWORKDAYS($Y134,TODAY(),Holidays)-1)&amp;" business day(s) late. Send now.",IF($T134="DUE TOMORROW","Next: "&amp;$Z134&amp;IF($Y134&lt;=TODAY()," is due TODAY ("," is due next business day (")&amp;TEXT($Y134,"dd-mmm")&amp;").","Next: "&amp;$Z134&amp;" due "&amp;TEXT($Y134,"dd-mmm")&amp;" ("&amp;(NETWORKDAYS(TODAY(),$Y134,Holidays)-1)&amp;" business day(s) left).")))))</f>
        <v/>
      </c>
      <c r="V134" s="17">
        <f>IF($W134="","",CHOOSE($W134,"Collection Email","1st Follow-up","2nd Follow-up","Local Office","CBE","Roxanne")&amp;IF($W134=6," - Final"," - Day "&amp;MAX(0,NETWORKDAYS($X134,TODAY(),Holidays)-1)&amp;" of "&amp;CHOOSE($W134,3,3,2,2,3))&amp;" | Total Day "&amp;MAX(0,NETWORKDAYS($L134,TODAY(),Holidays)-1))</f>
        <v/>
      </c>
      <c r="W134" s="17">
        <f>IF($L134="","",COUNT($L134:$Q134))</f>
        <v/>
      </c>
      <c r="X134" s="18">
        <f>IF($W134="","",INT(INDEX($L134:$Q134,$W134)))</f>
        <v/>
      </c>
      <c r="Y134" s="18">
        <f>IF(OR($W134="",$W134=6),"",WORKDAY($X134,CHOOSE($W134,3,3,2,2,3),Holidays))</f>
        <v/>
      </c>
      <c r="Z134" s="17">
        <f>IF(OR($W134="",$W134=6),"",CHOOSE($W134,"1st Email Follow-up","2nd Email Follow-up","Escalate Local Office","Escalate to CBE","Escalate to Roxanne"))</f>
        <v/>
      </c>
    </row>
    <row r="135" spans="18:26">
      <c r="R135" s="15"/>
      <c r="S135" s="16"/>
      <c r="T135" s="17">
        <f>IF(AND(COUNTA($A135:$K135)=0,$L135=""),"",IF($S135="Paid","PAID",IF($S135="Closed","CLOSED",IF($W135="","",IF($W135=6,"ESCALATED TO ROXANNE",IF(TODAY()&gt;$Y135,"OVERDUE",IF($Y135&lt;=WORKDAY(TODAY(),1,Holidays),"DUE TOMORROW",IF($W135=4,"ESCALATED TO LOCAL OFFICE",IF($W135=5,"ESCALATED TO CBE",IF($X135=TODAY(),"EMAIL SENT","MONITORING"))))))))))</f>
        <v/>
      </c>
      <c r="U135" s="17">
        <f>IF($T135="",IF(AND(COUNTA($A135:$K135)&gt;0,$L135=""),"Awaiting Collection Email time stamp.",""),IF(OR($T135="PAID",$T135="CLOSED"),IF($T135="PAID","Account paid. Action completed.","Account closed. No further action required."),CHOOSE($W135,"Collection Email","1st Email Follow-up","2nd Email Follow-up","Escalation to Local Office","Escalation to CBE","Escalation to Roxanne")&amp;" sent "&amp;TEXT($X135,"dd-mmm")&amp;". "&amp;IF($W135=6,"Final escalation completed.",IF($T135="OVERDUE","Next: "&amp;$Z135&amp;" was due "&amp;TEXT($Y135,"dd-mmm")&amp;" - "&amp;(NETWORKDAYS($Y135,TODAY(),Holidays)-1)&amp;" business day(s) late. Send now.",IF($T135="DUE TOMORROW","Next: "&amp;$Z135&amp;IF($Y135&lt;=TODAY()," is due TODAY ("," is due next business day (")&amp;TEXT($Y135,"dd-mmm")&amp;").","Next: "&amp;$Z135&amp;" due "&amp;TEXT($Y135,"dd-mmm")&amp;" ("&amp;(NETWORKDAYS(TODAY(),$Y135,Holidays)-1)&amp;" business day(s) left).")))))</f>
        <v/>
      </c>
      <c r="V135" s="17">
        <f>IF($W135="","",CHOOSE($W135,"Collection Email","1st Follow-up","2nd Follow-up","Local Office","CBE","Roxanne")&amp;IF($W135=6," - Final"," - Day "&amp;MAX(0,NETWORKDAYS($X135,TODAY(),Holidays)-1)&amp;" of "&amp;CHOOSE($W135,3,3,2,2,3))&amp;" | Total Day "&amp;MAX(0,NETWORKDAYS($L135,TODAY(),Holidays)-1))</f>
        <v/>
      </c>
      <c r="W135" s="17">
        <f>IF($L135="","",COUNT($L135:$Q135))</f>
        <v/>
      </c>
      <c r="X135" s="18">
        <f>IF($W135="","",INT(INDEX($L135:$Q135,$W135)))</f>
        <v/>
      </c>
      <c r="Y135" s="18">
        <f>IF(OR($W135="",$W135=6),"",WORKDAY($X135,CHOOSE($W135,3,3,2,2,3),Holidays))</f>
        <v/>
      </c>
      <c r="Z135" s="17">
        <f>IF(OR($W135="",$W135=6),"",CHOOSE($W135,"1st Email Follow-up","2nd Email Follow-up","Escalate Local Office","Escalate to CBE","Escalate to Roxanne"))</f>
        <v/>
      </c>
    </row>
    <row r="136" spans="18:26">
      <c r="R136" s="15"/>
      <c r="S136" s="16"/>
      <c r="T136" s="17">
        <f>IF(AND(COUNTA($A136:$K136)=0,$L136=""),"",IF($S136="Paid","PAID",IF($S136="Closed","CLOSED",IF($W136="","",IF($W136=6,"ESCALATED TO ROXANNE",IF(TODAY()&gt;$Y136,"OVERDUE",IF($Y136&lt;=WORKDAY(TODAY(),1,Holidays),"DUE TOMORROW",IF($W136=4,"ESCALATED TO LOCAL OFFICE",IF($W136=5,"ESCALATED TO CBE",IF($X136=TODAY(),"EMAIL SENT","MONITORING"))))))))))</f>
        <v/>
      </c>
      <c r="U136" s="17">
        <f>IF($T136="",IF(AND(COUNTA($A136:$K136)&gt;0,$L136=""),"Awaiting Collection Email time stamp.",""),IF(OR($T136="PAID",$T136="CLOSED"),IF($T136="PAID","Account paid. Action completed.","Account closed. No further action required."),CHOOSE($W136,"Collection Email","1st Email Follow-up","2nd Email Follow-up","Escalation to Local Office","Escalation to CBE","Escalation to Roxanne")&amp;" sent "&amp;TEXT($X136,"dd-mmm")&amp;". "&amp;IF($W136=6,"Final escalation completed.",IF($T136="OVERDUE","Next: "&amp;$Z136&amp;" was due "&amp;TEXT($Y136,"dd-mmm")&amp;" - "&amp;(NETWORKDAYS($Y136,TODAY(),Holidays)-1)&amp;" business day(s) late. Send now.",IF($T136="DUE TOMORROW","Next: "&amp;$Z136&amp;IF($Y136&lt;=TODAY()," is due TODAY ("," is due next business day (")&amp;TEXT($Y136,"dd-mmm")&amp;").","Next: "&amp;$Z136&amp;" due "&amp;TEXT($Y136,"dd-mmm")&amp;" ("&amp;(NETWORKDAYS(TODAY(),$Y136,Holidays)-1)&amp;" business day(s) left).")))))</f>
        <v/>
      </c>
      <c r="V136" s="17">
        <f>IF($W136="","",CHOOSE($W136,"Collection Email","1st Follow-up","2nd Follow-up","Local Office","CBE","Roxanne")&amp;IF($W136=6," - Final"," - Day "&amp;MAX(0,NETWORKDAYS($X136,TODAY(),Holidays)-1)&amp;" of "&amp;CHOOSE($W136,3,3,2,2,3))&amp;" | Total Day "&amp;MAX(0,NETWORKDAYS($L136,TODAY(),Holidays)-1))</f>
        <v/>
      </c>
      <c r="W136" s="17">
        <f>IF($L136="","",COUNT($L136:$Q136))</f>
        <v/>
      </c>
      <c r="X136" s="18">
        <f>IF($W136="","",INT(INDEX($L136:$Q136,$W136)))</f>
        <v/>
      </c>
      <c r="Y136" s="18">
        <f>IF(OR($W136="",$W136=6),"",WORKDAY($X136,CHOOSE($W136,3,3,2,2,3),Holidays))</f>
        <v/>
      </c>
      <c r="Z136" s="17">
        <f>IF(OR($W136="",$W136=6),"",CHOOSE($W136,"1st Email Follow-up","2nd Email Follow-up","Escalate Local Office","Escalate to CBE","Escalate to Roxanne"))</f>
        <v/>
      </c>
    </row>
    <row r="137" spans="18:26">
      <c r="R137" s="15"/>
      <c r="S137" s="16"/>
      <c r="T137" s="17">
        <f>IF(AND(COUNTA($A137:$K137)=0,$L137=""),"",IF($S137="Paid","PAID",IF($S137="Closed","CLOSED",IF($W137="","",IF($W137=6,"ESCALATED TO ROXANNE",IF(TODAY()&gt;$Y137,"OVERDUE",IF($Y137&lt;=WORKDAY(TODAY(),1,Holidays),"DUE TOMORROW",IF($W137=4,"ESCALATED TO LOCAL OFFICE",IF($W137=5,"ESCALATED TO CBE",IF($X137=TODAY(),"EMAIL SENT","MONITORING"))))))))))</f>
        <v/>
      </c>
      <c r="U137" s="17">
        <f>IF($T137="",IF(AND(COUNTA($A137:$K137)&gt;0,$L137=""),"Awaiting Collection Email time stamp.",""),IF(OR($T137="PAID",$T137="CLOSED"),IF($T137="PAID","Account paid. Action completed.","Account closed. No further action required."),CHOOSE($W137,"Collection Email","1st Email Follow-up","2nd Email Follow-up","Escalation to Local Office","Escalation to CBE","Escalation to Roxanne")&amp;" sent "&amp;TEXT($X137,"dd-mmm")&amp;". "&amp;IF($W137=6,"Final escalation completed.",IF($T137="OVERDUE","Next: "&amp;$Z137&amp;" was due "&amp;TEXT($Y137,"dd-mmm")&amp;" - "&amp;(NETWORKDAYS($Y137,TODAY(),Holidays)-1)&amp;" business day(s) late. Send now.",IF($T137="DUE TOMORROW","Next: "&amp;$Z137&amp;IF($Y137&lt;=TODAY()," is due TODAY ("," is due next business day (")&amp;TEXT($Y137,"dd-mmm")&amp;").","Next: "&amp;$Z137&amp;" due "&amp;TEXT($Y137,"dd-mmm")&amp;" ("&amp;(NETWORKDAYS(TODAY(),$Y137,Holidays)-1)&amp;" business day(s) left).")))))</f>
        <v/>
      </c>
      <c r="V137" s="17">
        <f>IF($W137="","",CHOOSE($W137,"Collection Email","1st Follow-up","2nd Follow-up","Local Office","CBE","Roxanne")&amp;IF($W137=6," - Final"," - Day "&amp;MAX(0,NETWORKDAYS($X137,TODAY(),Holidays)-1)&amp;" of "&amp;CHOOSE($W137,3,3,2,2,3))&amp;" | Total Day "&amp;MAX(0,NETWORKDAYS($L137,TODAY(),Holidays)-1))</f>
        <v/>
      </c>
      <c r="W137" s="17">
        <f>IF($L137="","",COUNT($L137:$Q137))</f>
        <v/>
      </c>
      <c r="X137" s="18">
        <f>IF($W137="","",INT(INDEX($L137:$Q137,$W137)))</f>
        <v/>
      </c>
      <c r="Y137" s="18">
        <f>IF(OR($W137="",$W137=6),"",WORKDAY($X137,CHOOSE($W137,3,3,2,2,3),Holidays))</f>
        <v/>
      </c>
      <c r="Z137" s="17">
        <f>IF(OR($W137="",$W137=6),"",CHOOSE($W137,"1st Email Follow-up","2nd Email Follow-up","Escalate Local Office","Escalate to CBE","Escalate to Roxanne"))</f>
        <v/>
      </c>
    </row>
    <row r="138" spans="18:26">
      <c r="R138" s="15"/>
      <c r="S138" s="16"/>
      <c r="T138" s="17">
        <f>IF(AND(COUNTA($A138:$K138)=0,$L138=""),"",IF($S138="Paid","PAID",IF($S138="Closed","CLOSED",IF($W138="","",IF($W138=6,"ESCALATED TO ROXANNE",IF(TODAY()&gt;$Y138,"OVERDUE",IF($Y138&lt;=WORKDAY(TODAY(),1,Holidays),"DUE TOMORROW",IF($W138=4,"ESCALATED TO LOCAL OFFICE",IF($W138=5,"ESCALATED TO CBE",IF($X138=TODAY(),"EMAIL SENT","MONITORING"))))))))))</f>
        <v/>
      </c>
      <c r="U138" s="17">
        <f>IF($T138="",IF(AND(COUNTA($A138:$K138)&gt;0,$L138=""),"Awaiting Collection Email time stamp.",""),IF(OR($T138="PAID",$T138="CLOSED"),IF($T138="PAID","Account paid. Action completed.","Account closed. No further action required."),CHOOSE($W138,"Collection Email","1st Email Follow-up","2nd Email Follow-up","Escalation to Local Office","Escalation to CBE","Escalation to Roxanne")&amp;" sent "&amp;TEXT($X138,"dd-mmm")&amp;". "&amp;IF($W138=6,"Final escalation completed.",IF($T138="OVERDUE","Next: "&amp;$Z138&amp;" was due "&amp;TEXT($Y138,"dd-mmm")&amp;" - "&amp;(NETWORKDAYS($Y138,TODAY(),Holidays)-1)&amp;" business day(s) late. Send now.",IF($T138="DUE TOMORROW","Next: "&amp;$Z138&amp;IF($Y138&lt;=TODAY()," is due TODAY ("," is due next business day (")&amp;TEXT($Y138,"dd-mmm")&amp;").","Next: "&amp;$Z138&amp;" due "&amp;TEXT($Y138,"dd-mmm")&amp;" ("&amp;(NETWORKDAYS(TODAY(),$Y138,Holidays)-1)&amp;" business day(s) left).")))))</f>
        <v/>
      </c>
      <c r="V138" s="17">
        <f>IF($W138="","",CHOOSE($W138,"Collection Email","1st Follow-up","2nd Follow-up","Local Office","CBE","Roxanne")&amp;IF($W138=6," - Final"," - Day "&amp;MAX(0,NETWORKDAYS($X138,TODAY(),Holidays)-1)&amp;" of "&amp;CHOOSE($W138,3,3,2,2,3))&amp;" | Total Day "&amp;MAX(0,NETWORKDAYS($L138,TODAY(),Holidays)-1))</f>
        <v/>
      </c>
      <c r="W138" s="17">
        <f>IF($L138="","",COUNT($L138:$Q138))</f>
        <v/>
      </c>
      <c r="X138" s="18">
        <f>IF($W138="","",INT(INDEX($L138:$Q138,$W138)))</f>
        <v/>
      </c>
      <c r="Y138" s="18">
        <f>IF(OR($W138="",$W138=6),"",WORKDAY($X138,CHOOSE($W138,3,3,2,2,3),Holidays))</f>
        <v/>
      </c>
      <c r="Z138" s="17">
        <f>IF(OR($W138="",$W138=6),"",CHOOSE($W138,"1st Email Follow-up","2nd Email Follow-up","Escalate Local Office","Escalate to CBE","Escalate to Roxanne"))</f>
        <v/>
      </c>
    </row>
    <row r="139" spans="18:26">
      <c r="R139" s="15"/>
      <c r="S139" s="16"/>
      <c r="T139" s="17">
        <f>IF(AND(COUNTA($A139:$K139)=0,$L139=""),"",IF($S139="Paid","PAID",IF($S139="Closed","CLOSED",IF($W139="","",IF($W139=6,"ESCALATED TO ROXANNE",IF(TODAY()&gt;$Y139,"OVERDUE",IF($Y139&lt;=WORKDAY(TODAY(),1,Holidays),"DUE TOMORROW",IF($W139=4,"ESCALATED TO LOCAL OFFICE",IF($W139=5,"ESCALATED TO CBE",IF($X139=TODAY(),"EMAIL SENT","MONITORING"))))))))))</f>
        <v/>
      </c>
      <c r="U139" s="17">
        <f>IF($T139="",IF(AND(COUNTA($A139:$K139)&gt;0,$L139=""),"Awaiting Collection Email time stamp.",""),IF(OR($T139="PAID",$T139="CLOSED"),IF($T139="PAID","Account paid. Action completed.","Account closed. No further action required."),CHOOSE($W139,"Collection Email","1st Email Follow-up","2nd Email Follow-up","Escalation to Local Office","Escalation to CBE","Escalation to Roxanne")&amp;" sent "&amp;TEXT($X139,"dd-mmm")&amp;". "&amp;IF($W139=6,"Final escalation completed.",IF($T139="OVERDUE","Next: "&amp;$Z139&amp;" was due "&amp;TEXT($Y139,"dd-mmm")&amp;" - "&amp;(NETWORKDAYS($Y139,TODAY(),Holidays)-1)&amp;" business day(s) late. Send now.",IF($T139="DUE TOMORROW","Next: "&amp;$Z139&amp;IF($Y139&lt;=TODAY()," is due TODAY ("," is due next business day (")&amp;TEXT($Y139,"dd-mmm")&amp;").","Next: "&amp;$Z139&amp;" due "&amp;TEXT($Y139,"dd-mmm")&amp;" ("&amp;(NETWORKDAYS(TODAY(),$Y139,Holidays)-1)&amp;" business day(s) left).")))))</f>
        <v/>
      </c>
      <c r="V139" s="17">
        <f>IF($W139="","",CHOOSE($W139,"Collection Email","1st Follow-up","2nd Follow-up","Local Office","CBE","Roxanne")&amp;IF($W139=6," - Final"," - Day "&amp;MAX(0,NETWORKDAYS($X139,TODAY(),Holidays)-1)&amp;" of "&amp;CHOOSE($W139,3,3,2,2,3))&amp;" | Total Day "&amp;MAX(0,NETWORKDAYS($L139,TODAY(),Holidays)-1))</f>
        <v/>
      </c>
      <c r="W139" s="17">
        <f>IF($L139="","",COUNT($L139:$Q139))</f>
        <v/>
      </c>
      <c r="X139" s="18">
        <f>IF($W139="","",INT(INDEX($L139:$Q139,$W139)))</f>
        <v/>
      </c>
      <c r="Y139" s="18">
        <f>IF(OR($W139="",$W139=6),"",WORKDAY($X139,CHOOSE($W139,3,3,2,2,3),Holidays))</f>
        <v/>
      </c>
      <c r="Z139" s="17">
        <f>IF(OR($W139="",$W139=6),"",CHOOSE($W139,"1st Email Follow-up","2nd Email Follow-up","Escalate Local Office","Escalate to CBE","Escalate to Roxanne"))</f>
        <v/>
      </c>
    </row>
    <row r="140" spans="18:26">
      <c r="R140" s="15"/>
      <c r="S140" s="16"/>
      <c r="T140" s="17">
        <f>IF(AND(COUNTA($A140:$K140)=0,$L140=""),"",IF($S140="Paid","PAID",IF($S140="Closed","CLOSED",IF($W140="","",IF($W140=6,"ESCALATED TO ROXANNE",IF(TODAY()&gt;$Y140,"OVERDUE",IF($Y140&lt;=WORKDAY(TODAY(),1,Holidays),"DUE TOMORROW",IF($W140=4,"ESCALATED TO LOCAL OFFICE",IF($W140=5,"ESCALATED TO CBE",IF($X140=TODAY(),"EMAIL SENT","MONITORING"))))))))))</f>
        <v/>
      </c>
      <c r="U140" s="17">
        <f>IF($T140="",IF(AND(COUNTA($A140:$K140)&gt;0,$L140=""),"Awaiting Collection Email time stamp.",""),IF(OR($T140="PAID",$T140="CLOSED"),IF($T140="PAID","Account paid. Action completed.","Account closed. No further action required."),CHOOSE($W140,"Collection Email","1st Email Follow-up","2nd Email Follow-up","Escalation to Local Office","Escalation to CBE","Escalation to Roxanne")&amp;" sent "&amp;TEXT($X140,"dd-mmm")&amp;". "&amp;IF($W140=6,"Final escalation completed.",IF($T140="OVERDUE","Next: "&amp;$Z140&amp;" was due "&amp;TEXT($Y140,"dd-mmm")&amp;" - "&amp;(NETWORKDAYS($Y140,TODAY(),Holidays)-1)&amp;" business day(s) late. Send now.",IF($T140="DUE TOMORROW","Next: "&amp;$Z140&amp;IF($Y140&lt;=TODAY()," is due TODAY ("," is due next business day (")&amp;TEXT($Y140,"dd-mmm")&amp;").","Next: "&amp;$Z140&amp;" due "&amp;TEXT($Y140,"dd-mmm")&amp;" ("&amp;(NETWORKDAYS(TODAY(),$Y140,Holidays)-1)&amp;" business day(s) left).")))))</f>
        <v/>
      </c>
      <c r="V140" s="17">
        <f>IF($W140="","",CHOOSE($W140,"Collection Email","1st Follow-up","2nd Follow-up","Local Office","CBE","Roxanne")&amp;IF($W140=6," - Final"," - Day "&amp;MAX(0,NETWORKDAYS($X140,TODAY(),Holidays)-1)&amp;" of "&amp;CHOOSE($W140,3,3,2,2,3))&amp;" | Total Day "&amp;MAX(0,NETWORKDAYS($L140,TODAY(),Holidays)-1))</f>
        <v/>
      </c>
      <c r="W140" s="17">
        <f>IF($L140="","",COUNT($L140:$Q140))</f>
        <v/>
      </c>
      <c r="X140" s="18">
        <f>IF($W140="","",INT(INDEX($L140:$Q140,$W140)))</f>
        <v/>
      </c>
      <c r="Y140" s="18">
        <f>IF(OR($W140="",$W140=6),"",WORKDAY($X140,CHOOSE($W140,3,3,2,2,3),Holidays))</f>
        <v/>
      </c>
      <c r="Z140" s="17">
        <f>IF(OR($W140="",$W140=6),"",CHOOSE($W140,"1st Email Follow-up","2nd Email Follow-up","Escalate Local Office","Escalate to CBE","Escalate to Roxanne"))</f>
        <v/>
      </c>
    </row>
    <row r="141" spans="18:26">
      <c r="R141" s="15"/>
      <c r="S141" s="16"/>
      <c r="T141" s="17">
        <f>IF(AND(COUNTA($A141:$K141)=0,$L141=""),"",IF($S141="Paid","PAID",IF($S141="Closed","CLOSED",IF($W141="","",IF($W141=6,"ESCALATED TO ROXANNE",IF(TODAY()&gt;$Y141,"OVERDUE",IF($Y141&lt;=WORKDAY(TODAY(),1,Holidays),"DUE TOMORROW",IF($W141=4,"ESCALATED TO LOCAL OFFICE",IF($W141=5,"ESCALATED TO CBE",IF($X141=TODAY(),"EMAIL SENT","MONITORING"))))))))))</f>
        <v/>
      </c>
      <c r="U141" s="17">
        <f>IF($T141="",IF(AND(COUNTA($A141:$K141)&gt;0,$L141=""),"Awaiting Collection Email time stamp.",""),IF(OR($T141="PAID",$T141="CLOSED"),IF($T141="PAID","Account paid. Action completed.","Account closed. No further action required."),CHOOSE($W141,"Collection Email","1st Email Follow-up","2nd Email Follow-up","Escalation to Local Office","Escalation to CBE","Escalation to Roxanne")&amp;" sent "&amp;TEXT($X141,"dd-mmm")&amp;". "&amp;IF($W141=6,"Final escalation completed.",IF($T141="OVERDUE","Next: "&amp;$Z141&amp;" was due "&amp;TEXT($Y141,"dd-mmm")&amp;" - "&amp;(NETWORKDAYS($Y141,TODAY(),Holidays)-1)&amp;" business day(s) late. Send now.",IF($T141="DUE TOMORROW","Next: "&amp;$Z141&amp;IF($Y141&lt;=TODAY()," is due TODAY ("," is due next business day (")&amp;TEXT($Y141,"dd-mmm")&amp;").","Next: "&amp;$Z141&amp;" due "&amp;TEXT($Y141,"dd-mmm")&amp;" ("&amp;(NETWORKDAYS(TODAY(),$Y141,Holidays)-1)&amp;" business day(s) left).")))))</f>
        <v/>
      </c>
      <c r="V141" s="17">
        <f>IF($W141="","",CHOOSE($W141,"Collection Email","1st Follow-up","2nd Follow-up","Local Office","CBE","Roxanne")&amp;IF($W141=6," - Final"," - Day "&amp;MAX(0,NETWORKDAYS($X141,TODAY(),Holidays)-1)&amp;" of "&amp;CHOOSE($W141,3,3,2,2,3))&amp;" | Total Day "&amp;MAX(0,NETWORKDAYS($L141,TODAY(),Holidays)-1))</f>
        <v/>
      </c>
      <c r="W141" s="17">
        <f>IF($L141="","",COUNT($L141:$Q141))</f>
        <v/>
      </c>
      <c r="X141" s="18">
        <f>IF($W141="","",INT(INDEX($L141:$Q141,$W141)))</f>
        <v/>
      </c>
      <c r="Y141" s="18">
        <f>IF(OR($W141="",$W141=6),"",WORKDAY($X141,CHOOSE($W141,3,3,2,2,3),Holidays))</f>
        <v/>
      </c>
      <c r="Z141" s="17">
        <f>IF(OR($W141="",$W141=6),"",CHOOSE($W141,"1st Email Follow-up","2nd Email Follow-up","Escalate Local Office","Escalate to CBE","Escalate to Roxanne"))</f>
        <v/>
      </c>
    </row>
    <row r="142" spans="18:26">
      <c r="R142" s="15"/>
      <c r="S142" s="16"/>
      <c r="T142" s="17">
        <f>IF(AND(COUNTA($A142:$K142)=0,$L142=""),"",IF($S142="Paid","PAID",IF($S142="Closed","CLOSED",IF($W142="","",IF($W142=6,"ESCALATED TO ROXANNE",IF(TODAY()&gt;$Y142,"OVERDUE",IF($Y142&lt;=WORKDAY(TODAY(),1,Holidays),"DUE TOMORROW",IF($W142=4,"ESCALATED TO LOCAL OFFICE",IF($W142=5,"ESCALATED TO CBE",IF($X142=TODAY(),"EMAIL SENT","MONITORING"))))))))))</f>
        <v/>
      </c>
      <c r="U142" s="17">
        <f>IF($T142="",IF(AND(COUNTA($A142:$K142)&gt;0,$L142=""),"Awaiting Collection Email time stamp.",""),IF(OR($T142="PAID",$T142="CLOSED"),IF($T142="PAID","Account paid. Action completed.","Account closed. No further action required."),CHOOSE($W142,"Collection Email","1st Email Follow-up","2nd Email Follow-up","Escalation to Local Office","Escalation to CBE","Escalation to Roxanne")&amp;" sent "&amp;TEXT($X142,"dd-mmm")&amp;". "&amp;IF($W142=6,"Final escalation completed.",IF($T142="OVERDUE","Next: "&amp;$Z142&amp;" was due "&amp;TEXT($Y142,"dd-mmm")&amp;" - "&amp;(NETWORKDAYS($Y142,TODAY(),Holidays)-1)&amp;" business day(s) late. Send now.",IF($T142="DUE TOMORROW","Next: "&amp;$Z142&amp;IF($Y142&lt;=TODAY()," is due TODAY ("," is due next business day (")&amp;TEXT($Y142,"dd-mmm")&amp;").","Next: "&amp;$Z142&amp;" due "&amp;TEXT($Y142,"dd-mmm")&amp;" ("&amp;(NETWORKDAYS(TODAY(),$Y142,Holidays)-1)&amp;" business day(s) left).")))))</f>
        <v/>
      </c>
      <c r="V142" s="17">
        <f>IF($W142="","",CHOOSE($W142,"Collection Email","1st Follow-up","2nd Follow-up","Local Office","CBE","Roxanne")&amp;IF($W142=6," - Final"," - Day "&amp;MAX(0,NETWORKDAYS($X142,TODAY(),Holidays)-1)&amp;" of "&amp;CHOOSE($W142,3,3,2,2,3))&amp;" | Total Day "&amp;MAX(0,NETWORKDAYS($L142,TODAY(),Holidays)-1))</f>
        <v/>
      </c>
      <c r="W142" s="17">
        <f>IF($L142="","",COUNT($L142:$Q142))</f>
        <v/>
      </c>
      <c r="X142" s="18">
        <f>IF($W142="","",INT(INDEX($L142:$Q142,$W142)))</f>
        <v/>
      </c>
      <c r="Y142" s="18">
        <f>IF(OR($W142="",$W142=6),"",WORKDAY($X142,CHOOSE($W142,3,3,2,2,3),Holidays))</f>
        <v/>
      </c>
      <c r="Z142" s="17">
        <f>IF(OR($W142="",$W142=6),"",CHOOSE($W142,"1st Email Follow-up","2nd Email Follow-up","Escalate Local Office","Escalate to CBE","Escalate to Roxanne"))</f>
        <v/>
      </c>
    </row>
    <row r="143" spans="18:26">
      <c r="R143" s="15"/>
      <c r="S143" s="16"/>
      <c r="T143" s="17">
        <f>IF(AND(COUNTA($A143:$K143)=0,$L143=""),"",IF($S143="Paid","PAID",IF($S143="Closed","CLOSED",IF($W143="","",IF($W143=6,"ESCALATED TO ROXANNE",IF(TODAY()&gt;$Y143,"OVERDUE",IF($Y143&lt;=WORKDAY(TODAY(),1,Holidays),"DUE TOMORROW",IF($W143=4,"ESCALATED TO LOCAL OFFICE",IF($W143=5,"ESCALATED TO CBE",IF($X143=TODAY(),"EMAIL SENT","MONITORING"))))))))))</f>
        <v/>
      </c>
      <c r="U143" s="17">
        <f>IF($T143="",IF(AND(COUNTA($A143:$K143)&gt;0,$L143=""),"Awaiting Collection Email time stamp.",""),IF(OR($T143="PAID",$T143="CLOSED"),IF($T143="PAID","Account paid. Action completed.","Account closed. No further action required."),CHOOSE($W143,"Collection Email","1st Email Follow-up","2nd Email Follow-up","Escalation to Local Office","Escalation to CBE","Escalation to Roxanne")&amp;" sent "&amp;TEXT($X143,"dd-mmm")&amp;". "&amp;IF($W143=6,"Final escalation completed.",IF($T143="OVERDUE","Next: "&amp;$Z143&amp;" was due "&amp;TEXT($Y143,"dd-mmm")&amp;" - "&amp;(NETWORKDAYS($Y143,TODAY(),Holidays)-1)&amp;" business day(s) late. Send now.",IF($T143="DUE TOMORROW","Next: "&amp;$Z143&amp;IF($Y143&lt;=TODAY()," is due TODAY ("," is due next business day (")&amp;TEXT($Y143,"dd-mmm")&amp;").","Next: "&amp;$Z143&amp;" due "&amp;TEXT($Y143,"dd-mmm")&amp;" ("&amp;(NETWORKDAYS(TODAY(),$Y143,Holidays)-1)&amp;" business day(s) left).")))))</f>
        <v/>
      </c>
      <c r="V143" s="17">
        <f>IF($W143="","",CHOOSE($W143,"Collection Email","1st Follow-up","2nd Follow-up","Local Office","CBE","Roxanne")&amp;IF($W143=6," - Final"," - Day "&amp;MAX(0,NETWORKDAYS($X143,TODAY(),Holidays)-1)&amp;" of "&amp;CHOOSE($W143,3,3,2,2,3))&amp;" | Total Day "&amp;MAX(0,NETWORKDAYS($L143,TODAY(),Holidays)-1))</f>
        <v/>
      </c>
      <c r="W143" s="17">
        <f>IF($L143="","",COUNT($L143:$Q143))</f>
        <v/>
      </c>
      <c r="X143" s="18">
        <f>IF($W143="","",INT(INDEX($L143:$Q143,$W143)))</f>
        <v/>
      </c>
      <c r="Y143" s="18">
        <f>IF(OR($W143="",$W143=6),"",WORKDAY($X143,CHOOSE($W143,3,3,2,2,3),Holidays))</f>
        <v/>
      </c>
      <c r="Z143" s="17">
        <f>IF(OR($W143="",$W143=6),"",CHOOSE($W143,"1st Email Follow-up","2nd Email Follow-up","Escalate Local Office","Escalate to CBE","Escalate to Roxanne"))</f>
        <v/>
      </c>
    </row>
    <row r="144" spans="18:26">
      <c r="R144" s="15"/>
      <c r="S144" s="16"/>
      <c r="T144" s="17">
        <f>IF(AND(COUNTA($A144:$K144)=0,$L144=""),"",IF($S144="Paid","PAID",IF($S144="Closed","CLOSED",IF($W144="","",IF($W144=6,"ESCALATED TO ROXANNE",IF(TODAY()&gt;$Y144,"OVERDUE",IF($Y144&lt;=WORKDAY(TODAY(),1,Holidays),"DUE TOMORROW",IF($W144=4,"ESCALATED TO LOCAL OFFICE",IF($W144=5,"ESCALATED TO CBE",IF($X144=TODAY(),"EMAIL SENT","MONITORING"))))))))))</f>
        <v/>
      </c>
      <c r="U144" s="17">
        <f>IF($T144="",IF(AND(COUNTA($A144:$K144)&gt;0,$L144=""),"Awaiting Collection Email time stamp.",""),IF(OR($T144="PAID",$T144="CLOSED"),IF($T144="PAID","Account paid. Action completed.","Account closed. No further action required."),CHOOSE($W144,"Collection Email","1st Email Follow-up","2nd Email Follow-up","Escalation to Local Office","Escalation to CBE","Escalation to Roxanne")&amp;" sent "&amp;TEXT($X144,"dd-mmm")&amp;". "&amp;IF($W144=6,"Final escalation completed.",IF($T144="OVERDUE","Next: "&amp;$Z144&amp;" was due "&amp;TEXT($Y144,"dd-mmm")&amp;" - "&amp;(NETWORKDAYS($Y144,TODAY(),Holidays)-1)&amp;" business day(s) late. Send now.",IF($T144="DUE TOMORROW","Next: "&amp;$Z144&amp;IF($Y144&lt;=TODAY()," is due TODAY ("," is due next business day (")&amp;TEXT($Y144,"dd-mmm")&amp;").","Next: "&amp;$Z144&amp;" due "&amp;TEXT($Y144,"dd-mmm")&amp;" ("&amp;(NETWORKDAYS(TODAY(),$Y144,Holidays)-1)&amp;" business day(s) left).")))))</f>
        <v/>
      </c>
      <c r="V144" s="17">
        <f>IF($W144="","",CHOOSE($W144,"Collection Email","1st Follow-up","2nd Follow-up","Local Office","CBE","Roxanne")&amp;IF($W144=6," - Final"," - Day "&amp;MAX(0,NETWORKDAYS($X144,TODAY(),Holidays)-1)&amp;" of "&amp;CHOOSE($W144,3,3,2,2,3))&amp;" | Total Day "&amp;MAX(0,NETWORKDAYS($L144,TODAY(),Holidays)-1))</f>
        <v/>
      </c>
      <c r="W144" s="17">
        <f>IF($L144="","",COUNT($L144:$Q144))</f>
        <v/>
      </c>
      <c r="X144" s="18">
        <f>IF($W144="","",INT(INDEX($L144:$Q144,$W144)))</f>
        <v/>
      </c>
      <c r="Y144" s="18">
        <f>IF(OR($W144="",$W144=6),"",WORKDAY($X144,CHOOSE($W144,3,3,2,2,3),Holidays))</f>
        <v/>
      </c>
      <c r="Z144" s="17">
        <f>IF(OR($W144="",$W144=6),"",CHOOSE($W144,"1st Email Follow-up","2nd Email Follow-up","Escalate Local Office","Escalate to CBE","Escalate to Roxanne"))</f>
        <v/>
      </c>
    </row>
    <row r="145" spans="18:26">
      <c r="R145" s="15"/>
      <c r="S145" s="16"/>
      <c r="T145" s="17">
        <f>IF(AND(COUNTA($A145:$K145)=0,$L145=""),"",IF($S145="Paid","PAID",IF($S145="Closed","CLOSED",IF($W145="","",IF($W145=6,"ESCALATED TO ROXANNE",IF(TODAY()&gt;$Y145,"OVERDUE",IF($Y145&lt;=WORKDAY(TODAY(),1,Holidays),"DUE TOMORROW",IF($W145=4,"ESCALATED TO LOCAL OFFICE",IF($W145=5,"ESCALATED TO CBE",IF($X145=TODAY(),"EMAIL SENT","MONITORING"))))))))))</f>
        <v/>
      </c>
      <c r="U145" s="17">
        <f>IF($T145="",IF(AND(COUNTA($A145:$K145)&gt;0,$L145=""),"Awaiting Collection Email time stamp.",""),IF(OR($T145="PAID",$T145="CLOSED"),IF($T145="PAID","Account paid. Action completed.","Account closed. No further action required."),CHOOSE($W145,"Collection Email","1st Email Follow-up","2nd Email Follow-up","Escalation to Local Office","Escalation to CBE","Escalation to Roxanne")&amp;" sent "&amp;TEXT($X145,"dd-mmm")&amp;". "&amp;IF($W145=6,"Final escalation completed.",IF($T145="OVERDUE","Next: "&amp;$Z145&amp;" was due "&amp;TEXT($Y145,"dd-mmm")&amp;" - "&amp;(NETWORKDAYS($Y145,TODAY(),Holidays)-1)&amp;" business day(s) late. Send now.",IF($T145="DUE TOMORROW","Next: "&amp;$Z145&amp;IF($Y145&lt;=TODAY()," is due TODAY ("," is due next business day (")&amp;TEXT($Y145,"dd-mmm")&amp;").","Next: "&amp;$Z145&amp;" due "&amp;TEXT($Y145,"dd-mmm")&amp;" ("&amp;(NETWORKDAYS(TODAY(),$Y145,Holidays)-1)&amp;" business day(s) left).")))))</f>
        <v/>
      </c>
      <c r="V145" s="17">
        <f>IF($W145="","",CHOOSE($W145,"Collection Email","1st Follow-up","2nd Follow-up","Local Office","CBE","Roxanne")&amp;IF($W145=6," - Final"," - Day "&amp;MAX(0,NETWORKDAYS($X145,TODAY(),Holidays)-1)&amp;" of "&amp;CHOOSE($W145,3,3,2,2,3))&amp;" | Total Day "&amp;MAX(0,NETWORKDAYS($L145,TODAY(),Holidays)-1))</f>
        <v/>
      </c>
      <c r="W145" s="17">
        <f>IF($L145="","",COUNT($L145:$Q145))</f>
        <v/>
      </c>
      <c r="X145" s="18">
        <f>IF($W145="","",INT(INDEX($L145:$Q145,$W145)))</f>
        <v/>
      </c>
      <c r="Y145" s="18">
        <f>IF(OR($W145="",$W145=6),"",WORKDAY($X145,CHOOSE($W145,3,3,2,2,3),Holidays))</f>
        <v/>
      </c>
      <c r="Z145" s="17">
        <f>IF(OR($W145="",$W145=6),"",CHOOSE($W145,"1st Email Follow-up","2nd Email Follow-up","Escalate Local Office","Escalate to CBE","Escalate to Roxanne"))</f>
        <v/>
      </c>
    </row>
    <row r="146" spans="18:26">
      <c r="R146" s="15"/>
      <c r="S146" s="16"/>
      <c r="T146" s="17">
        <f>IF(AND(COUNTA($A146:$K146)=0,$L146=""),"",IF($S146="Paid","PAID",IF($S146="Closed","CLOSED",IF($W146="","",IF($W146=6,"ESCALATED TO ROXANNE",IF(TODAY()&gt;$Y146,"OVERDUE",IF($Y146&lt;=WORKDAY(TODAY(),1,Holidays),"DUE TOMORROW",IF($W146=4,"ESCALATED TO LOCAL OFFICE",IF($W146=5,"ESCALATED TO CBE",IF($X146=TODAY(),"EMAIL SENT","MONITORING"))))))))))</f>
        <v/>
      </c>
      <c r="U146" s="17">
        <f>IF($T146="",IF(AND(COUNTA($A146:$K146)&gt;0,$L146=""),"Awaiting Collection Email time stamp.",""),IF(OR($T146="PAID",$T146="CLOSED"),IF($T146="PAID","Account paid. Action completed.","Account closed. No further action required."),CHOOSE($W146,"Collection Email","1st Email Follow-up","2nd Email Follow-up","Escalation to Local Office","Escalation to CBE","Escalation to Roxanne")&amp;" sent "&amp;TEXT($X146,"dd-mmm")&amp;". "&amp;IF($W146=6,"Final escalation completed.",IF($T146="OVERDUE","Next: "&amp;$Z146&amp;" was due "&amp;TEXT($Y146,"dd-mmm")&amp;" - "&amp;(NETWORKDAYS($Y146,TODAY(),Holidays)-1)&amp;" business day(s) late. Send now.",IF($T146="DUE TOMORROW","Next: "&amp;$Z146&amp;IF($Y146&lt;=TODAY()," is due TODAY ("," is due next business day (")&amp;TEXT($Y146,"dd-mmm")&amp;").","Next: "&amp;$Z146&amp;" due "&amp;TEXT($Y146,"dd-mmm")&amp;" ("&amp;(NETWORKDAYS(TODAY(),$Y146,Holidays)-1)&amp;" business day(s) left).")))))</f>
        <v/>
      </c>
      <c r="V146" s="17">
        <f>IF($W146="","",CHOOSE($W146,"Collection Email","1st Follow-up","2nd Follow-up","Local Office","CBE","Roxanne")&amp;IF($W146=6," - Final"," - Day "&amp;MAX(0,NETWORKDAYS($X146,TODAY(),Holidays)-1)&amp;" of "&amp;CHOOSE($W146,3,3,2,2,3))&amp;" | Total Day "&amp;MAX(0,NETWORKDAYS($L146,TODAY(),Holidays)-1))</f>
        <v/>
      </c>
      <c r="W146" s="17">
        <f>IF($L146="","",COUNT($L146:$Q146))</f>
        <v/>
      </c>
      <c r="X146" s="18">
        <f>IF($W146="","",INT(INDEX($L146:$Q146,$W146)))</f>
        <v/>
      </c>
      <c r="Y146" s="18">
        <f>IF(OR($W146="",$W146=6),"",WORKDAY($X146,CHOOSE($W146,3,3,2,2,3),Holidays))</f>
        <v/>
      </c>
      <c r="Z146" s="17">
        <f>IF(OR($W146="",$W146=6),"",CHOOSE($W146,"1st Email Follow-up","2nd Email Follow-up","Escalate Local Office","Escalate to CBE","Escalate to Roxanne"))</f>
        <v/>
      </c>
    </row>
    <row r="147" spans="18:26">
      <c r="R147" s="15"/>
      <c r="S147" s="16"/>
      <c r="T147" s="17">
        <f>IF(AND(COUNTA($A147:$K147)=0,$L147=""),"",IF($S147="Paid","PAID",IF($S147="Closed","CLOSED",IF($W147="","",IF($W147=6,"ESCALATED TO ROXANNE",IF(TODAY()&gt;$Y147,"OVERDUE",IF($Y147&lt;=WORKDAY(TODAY(),1,Holidays),"DUE TOMORROW",IF($W147=4,"ESCALATED TO LOCAL OFFICE",IF($W147=5,"ESCALATED TO CBE",IF($X147=TODAY(),"EMAIL SENT","MONITORING"))))))))))</f>
        <v/>
      </c>
      <c r="U147" s="17">
        <f>IF($T147="",IF(AND(COUNTA($A147:$K147)&gt;0,$L147=""),"Awaiting Collection Email time stamp.",""),IF(OR($T147="PAID",$T147="CLOSED"),IF($T147="PAID","Account paid. Action completed.","Account closed. No further action required."),CHOOSE($W147,"Collection Email","1st Email Follow-up","2nd Email Follow-up","Escalation to Local Office","Escalation to CBE","Escalation to Roxanne")&amp;" sent "&amp;TEXT($X147,"dd-mmm")&amp;". "&amp;IF($W147=6,"Final escalation completed.",IF($T147="OVERDUE","Next: "&amp;$Z147&amp;" was due "&amp;TEXT($Y147,"dd-mmm")&amp;" - "&amp;(NETWORKDAYS($Y147,TODAY(),Holidays)-1)&amp;" business day(s) late. Send now.",IF($T147="DUE TOMORROW","Next: "&amp;$Z147&amp;IF($Y147&lt;=TODAY()," is due TODAY ("," is due next business day (")&amp;TEXT($Y147,"dd-mmm")&amp;").","Next: "&amp;$Z147&amp;" due "&amp;TEXT($Y147,"dd-mmm")&amp;" ("&amp;(NETWORKDAYS(TODAY(),$Y147,Holidays)-1)&amp;" business day(s) left).")))))</f>
        <v/>
      </c>
      <c r="V147" s="17">
        <f>IF($W147="","",CHOOSE($W147,"Collection Email","1st Follow-up","2nd Follow-up","Local Office","CBE","Roxanne")&amp;IF($W147=6," - Final"," - Day "&amp;MAX(0,NETWORKDAYS($X147,TODAY(),Holidays)-1)&amp;" of "&amp;CHOOSE($W147,3,3,2,2,3))&amp;" | Total Day "&amp;MAX(0,NETWORKDAYS($L147,TODAY(),Holidays)-1))</f>
        <v/>
      </c>
      <c r="W147" s="17">
        <f>IF($L147="","",COUNT($L147:$Q147))</f>
        <v/>
      </c>
      <c r="X147" s="18">
        <f>IF($W147="","",INT(INDEX($L147:$Q147,$W147)))</f>
        <v/>
      </c>
      <c r="Y147" s="18">
        <f>IF(OR($W147="",$W147=6),"",WORKDAY($X147,CHOOSE($W147,3,3,2,2,3),Holidays))</f>
        <v/>
      </c>
      <c r="Z147" s="17">
        <f>IF(OR($W147="",$W147=6),"",CHOOSE($W147,"1st Email Follow-up","2nd Email Follow-up","Escalate Local Office","Escalate to CBE","Escalate to Roxanne"))</f>
        <v/>
      </c>
    </row>
    <row r="148" spans="18:26">
      <c r="R148" s="15"/>
      <c r="S148" s="16"/>
      <c r="T148" s="17">
        <f>IF(AND(COUNTA($A148:$K148)=0,$L148=""),"",IF($S148="Paid","PAID",IF($S148="Closed","CLOSED",IF($W148="","",IF($W148=6,"ESCALATED TO ROXANNE",IF(TODAY()&gt;$Y148,"OVERDUE",IF($Y148&lt;=WORKDAY(TODAY(),1,Holidays),"DUE TOMORROW",IF($W148=4,"ESCALATED TO LOCAL OFFICE",IF($W148=5,"ESCALATED TO CBE",IF($X148=TODAY(),"EMAIL SENT","MONITORING"))))))))))</f>
        <v/>
      </c>
      <c r="U148" s="17">
        <f>IF($T148="",IF(AND(COUNTA($A148:$K148)&gt;0,$L148=""),"Awaiting Collection Email time stamp.",""),IF(OR($T148="PAID",$T148="CLOSED"),IF($T148="PAID","Account paid. Action completed.","Account closed. No further action required."),CHOOSE($W148,"Collection Email","1st Email Follow-up","2nd Email Follow-up","Escalation to Local Office","Escalation to CBE","Escalation to Roxanne")&amp;" sent "&amp;TEXT($X148,"dd-mmm")&amp;". "&amp;IF($W148=6,"Final escalation completed.",IF($T148="OVERDUE","Next: "&amp;$Z148&amp;" was due "&amp;TEXT($Y148,"dd-mmm")&amp;" - "&amp;(NETWORKDAYS($Y148,TODAY(),Holidays)-1)&amp;" business day(s) late. Send now.",IF($T148="DUE TOMORROW","Next: "&amp;$Z148&amp;IF($Y148&lt;=TODAY()," is due TODAY ("," is due next business day (")&amp;TEXT($Y148,"dd-mmm")&amp;").","Next: "&amp;$Z148&amp;" due "&amp;TEXT($Y148,"dd-mmm")&amp;" ("&amp;(NETWORKDAYS(TODAY(),$Y148,Holidays)-1)&amp;" business day(s) left).")))))</f>
        <v/>
      </c>
      <c r="V148" s="17">
        <f>IF($W148="","",CHOOSE($W148,"Collection Email","1st Follow-up","2nd Follow-up","Local Office","CBE","Roxanne")&amp;IF($W148=6," - Final"," - Day "&amp;MAX(0,NETWORKDAYS($X148,TODAY(),Holidays)-1)&amp;" of "&amp;CHOOSE($W148,3,3,2,2,3))&amp;" | Total Day "&amp;MAX(0,NETWORKDAYS($L148,TODAY(),Holidays)-1))</f>
        <v/>
      </c>
      <c r="W148" s="17">
        <f>IF($L148="","",COUNT($L148:$Q148))</f>
        <v/>
      </c>
      <c r="X148" s="18">
        <f>IF($W148="","",INT(INDEX($L148:$Q148,$W148)))</f>
        <v/>
      </c>
      <c r="Y148" s="18">
        <f>IF(OR($W148="",$W148=6),"",WORKDAY($X148,CHOOSE($W148,3,3,2,2,3),Holidays))</f>
        <v/>
      </c>
      <c r="Z148" s="17">
        <f>IF(OR($W148="",$W148=6),"",CHOOSE($W148,"1st Email Follow-up","2nd Email Follow-up","Escalate Local Office","Escalate to CBE","Escalate to Roxanne"))</f>
        <v/>
      </c>
    </row>
    <row r="149" spans="18:26">
      <c r="R149" s="15"/>
      <c r="S149" s="16"/>
      <c r="T149" s="17">
        <f>IF(AND(COUNTA($A149:$K149)=0,$L149=""),"",IF($S149="Paid","PAID",IF($S149="Closed","CLOSED",IF($W149="","",IF($W149=6,"ESCALATED TO ROXANNE",IF(TODAY()&gt;$Y149,"OVERDUE",IF($Y149&lt;=WORKDAY(TODAY(),1,Holidays),"DUE TOMORROW",IF($W149=4,"ESCALATED TO LOCAL OFFICE",IF($W149=5,"ESCALATED TO CBE",IF($X149=TODAY(),"EMAIL SENT","MONITORING"))))))))))</f>
        <v/>
      </c>
      <c r="U149" s="17">
        <f>IF($T149="",IF(AND(COUNTA($A149:$K149)&gt;0,$L149=""),"Awaiting Collection Email time stamp.",""),IF(OR($T149="PAID",$T149="CLOSED"),IF($T149="PAID","Account paid. Action completed.","Account closed. No further action required."),CHOOSE($W149,"Collection Email","1st Email Follow-up","2nd Email Follow-up","Escalation to Local Office","Escalation to CBE","Escalation to Roxanne")&amp;" sent "&amp;TEXT($X149,"dd-mmm")&amp;". "&amp;IF($W149=6,"Final escalation completed.",IF($T149="OVERDUE","Next: "&amp;$Z149&amp;" was due "&amp;TEXT($Y149,"dd-mmm")&amp;" - "&amp;(NETWORKDAYS($Y149,TODAY(),Holidays)-1)&amp;" business day(s) late. Send now.",IF($T149="DUE TOMORROW","Next: "&amp;$Z149&amp;IF($Y149&lt;=TODAY()," is due TODAY ("," is due next business day (")&amp;TEXT($Y149,"dd-mmm")&amp;").","Next: "&amp;$Z149&amp;" due "&amp;TEXT($Y149,"dd-mmm")&amp;" ("&amp;(NETWORKDAYS(TODAY(),$Y149,Holidays)-1)&amp;" business day(s) left).")))))</f>
        <v/>
      </c>
      <c r="V149" s="17">
        <f>IF($W149="","",CHOOSE($W149,"Collection Email","1st Follow-up","2nd Follow-up","Local Office","CBE","Roxanne")&amp;IF($W149=6," - Final"," - Day "&amp;MAX(0,NETWORKDAYS($X149,TODAY(),Holidays)-1)&amp;" of "&amp;CHOOSE($W149,3,3,2,2,3))&amp;" | Total Day "&amp;MAX(0,NETWORKDAYS($L149,TODAY(),Holidays)-1))</f>
        <v/>
      </c>
      <c r="W149" s="17">
        <f>IF($L149="","",COUNT($L149:$Q149))</f>
        <v/>
      </c>
      <c r="X149" s="18">
        <f>IF($W149="","",INT(INDEX($L149:$Q149,$W149)))</f>
        <v/>
      </c>
      <c r="Y149" s="18">
        <f>IF(OR($W149="",$W149=6),"",WORKDAY($X149,CHOOSE($W149,3,3,2,2,3),Holidays))</f>
        <v/>
      </c>
      <c r="Z149" s="17">
        <f>IF(OR($W149="",$W149=6),"",CHOOSE($W149,"1st Email Follow-up","2nd Email Follow-up","Escalate Local Office","Escalate to CBE","Escalate to Roxanne"))</f>
        <v/>
      </c>
    </row>
    <row r="150" spans="18:26">
      <c r="R150" s="15"/>
      <c r="S150" s="16"/>
      <c r="T150" s="17">
        <f>IF(AND(COUNTA($A150:$K150)=0,$L150=""),"",IF($S150="Paid","PAID",IF($S150="Closed","CLOSED",IF($W150="","",IF($W150=6,"ESCALATED TO ROXANNE",IF(TODAY()&gt;$Y150,"OVERDUE",IF($Y150&lt;=WORKDAY(TODAY(),1,Holidays),"DUE TOMORROW",IF($W150=4,"ESCALATED TO LOCAL OFFICE",IF($W150=5,"ESCALATED TO CBE",IF($X150=TODAY(),"EMAIL SENT","MONITORING"))))))))))</f>
        <v/>
      </c>
      <c r="U150" s="17">
        <f>IF($T150="",IF(AND(COUNTA($A150:$K150)&gt;0,$L150=""),"Awaiting Collection Email time stamp.",""),IF(OR($T150="PAID",$T150="CLOSED"),IF($T150="PAID","Account paid. Action completed.","Account closed. No further action required."),CHOOSE($W150,"Collection Email","1st Email Follow-up","2nd Email Follow-up","Escalation to Local Office","Escalation to CBE","Escalation to Roxanne")&amp;" sent "&amp;TEXT($X150,"dd-mmm")&amp;". "&amp;IF($W150=6,"Final escalation completed.",IF($T150="OVERDUE","Next: "&amp;$Z150&amp;" was due "&amp;TEXT($Y150,"dd-mmm")&amp;" - "&amp;(NETWORKDAYS($Y150,TODAY(),Holidays)-1)&amp;" business day(s) late. Send now.",IF($T150="DUE TOMORROW","Next: "&amp;$Z150&amp;IF($Y150&lt;=TODAY()," is due TODAY ("," is due next business day (")&amp;TEXT($Y150,"dd-mmm")&amp;").","Next: "&amp;$Z150&amp;" due "&amp;TEXT($Y150,"dd-mmm")&amp;" ("&amp;(NETWORKDAYS(TODAY(),$Y150,Holidays)-1)&amp;" business day(s) left).")))))</f>
        <v/>
      </c>
      <c r="V150" s="17">
        <f>IF($W150="","",CHOOSE($W150,"Collection Email","1st Follow-up","2nd Follow-up","Local Office","CBE","Roxanne")&amp;IF($W150=6," - Final"," - Day "&amp;MAX(0,NETWORKDAYS($X150,TODAY(),Holidays)-1)&amp;" of "&amp;CHOOSE($W150,3,3,2,2,3))&amp;" | Total Day "&amp;MAX(0,NETWORKDAYS($L150,TODAY(),Holidays)-1))</f>
        <v/>
      </c>
      <c r="W150" s="17">
        <f>IF($L150="","",COUNT($L150:$Q150))</f>
        <v/>
      </c>
      <c r="X150" s="18">
        <f>IF($W150="","",INT(INDEX($L150:$Q150,$W150)))</f>
        <v/>
      </c>
      <c r="Y150" s="18">
        <f>IF(OR($W150="",$W150=6),"",WORKDAY($X150,CHOOSE($W150,3,3,2,2,3),Holidays))</f>
        <v/>
      </c>
      <c r="Z150" s="17">
        <f>IF(OR($W150="",$W150=6),"",CHOOSE($W150,"1st Email Follow-up","2nd Email Follow-up","Escalate Local Office","Escalate to CBE","Escalate to Roxanne"))</f>
        <v/>
      </c>
    </row>
    <row r="151" spans="18:26">
      <c r="R151" s="15"/>
      <c r="S151" s="16"/>
      <c r="T151" s="17">
        <f>IF(AND(COUNTA($A151:$K151)=0,$L151=""),"",IF($S151="Paid","PAID",IF($S151="Closed","CLOSED",IF($W151="","",IF($W151=6,"ESCALATED TO ROXANNE",IF(TODAY()&gt;$Y151,"OVERDUE",IF($Y151&lt;=WORKDAY(TODAY(),1,Holidays),"DUE TOMORROW",IF($W151=4,"ESCALATED TO LOCAL OFFICE",IF($W151=5,"ESCALATED TO CBE",IF($X151=TODAY(),"EMAIL SENT","MONITORING"))))))))))</f>
        <v/>
      </c>
      <c r="U151" s="17">
        <f>IF($T151="",IF(AND(COUNTA($A151:$K151)&gt;0,$L151=""),"Awaiting Collection Email time stamp.",""),IF(OR($T151="PAID",$T151="CLOSED"),IF($T151="PAID","Account paid. Action completed.","Account closed. No further action required."),CHOOSE($W151,"Collection Email","1st Email Follow-up","2nd Email Follow-up","Escalation to Local Office","Escalation to CBE","Escalation to Roxanne")&amp;" sent "&amp;TEXT($X151,"dd-mmm")&amp;". "&amp;IF($W151=6,"Final escalation completed.",IF($T151="OVERDUE","Next: "&amp;$Z151&amp;" was due "&amp;TEXT($Y151,"dd-mmm")&amp;" - "&amp;(NETWORKDAYS($Y151,TODAY(),Holidays)-1)&amp;" business day(s) late. Send now.",IF($T151="DUE TOMORROW","Next: "&amp;$Z151&amp;IF($Y151&lt;=TODAY()," is due TODAY ("," is due next business day (")&amp;TEXT($Y151,"dd-mmm")&amp;").","Next: "&amp;$Z151&amp;" due "&amp;TEXT($Y151,"dd-mmm")&amp;" ("&amp;(NETWORKDAYS(TODAY(),$Y151,Holidays)-1)&amp;" business day(s) left).")))))</f>
        <v/>
      </c>
      <c r="V151" s="17">
        <f>IF($W151="","",CHOOSE($W151,"Collection Email","1st Follow-up","2nd Follow-up","Local Office","CBE","Roxanne")&amp;IF($W151=6," - Final"," - Day "&amp;MAX(0,NETWORKDAYS($X151,TODAY(),Holidays)-1)&amp;" of "&amp;CHOOSE($W151,3,3,2,2,3))&amp;" | Total Day "&amp;MAX(0,NETWORKDAYS($L151,TODAY(),Holidays)-1))</f>
        <v/>
      </c>
      <c r="W151" s="17">
        <f>IF($L151="","",COUNT($L151:$Q151))</f>
        <v/>
      </c>
      <c r="X151" s="18">
        <f>IF($W151="","",INT(INDEX($L151:$Q151,$W151)))</f>
        <v/>
      </c>
      <c r="Y151" s="18">
        <f>IF(OR($W151="",$W151=6),"",WORKDAY($X151,CHOOSE($W151,3,3,2,2,3),Holidays))</f>
        <v/>
      </c>
      <c r="Z151" s="17">
        <f>IF(OR($W151="",$W151=6),"",CHOOSE($W151,"1st Email Follow-up","2nd Email Follow-up","Escalate Local Office","Escalate to CBE","Escalate to Roxanne"))</f>
        <v/>
      </c>
    </row>
    <row r="152" spans="18:26">
      <c r="R152" s="15"/>
      <c r="S152" s="16"/>
      <c r="T152" s="17">
        <f>IF(AND(COUNTA($A152:$K152)=0,$L152=""),"",IF($S152="Paid","PAID",IF($S152="Closed","CLOSED",IF($W152="","",IF($W152=6,"ESCALATED TO ROXANNE",IF(TODAY()&gt;$Y152,"OVERDUE",IF($Y152&lt;=WORKDAY(TODAY(),1,Holidays),"DUE TOMORROW",IF($W152=4,"ESCALATED TO LOCAL OFFICE",IF($W152=5,"ESCALATED TO CBE",IF($X152=TODAY(),"EMAIL SENT","MONITORING"))))))))))</f>
        <v/>
      </c>
      <c r="U152" s="17">
        <f>IF($T152="",IF(AND(COUNTA($A152:$K152)&gt;0,$L152=""),"Awaiting Collection Email time stamp.",""),IF(OR($T152="PAID",$T152="CLOSED"),IF($T152="PAID","Account paid. Action completed.","Account closed. No further action required."),CHOOSE($W152,"Collection Email","1st Email Follow-up","2nd Email Follow-up","Escalation to Local Office","Escalation to CBE","Escalation to Roxanne")&amp;" sent "&amp;TEXT($X152,"dd-mmm")&amp;". "&amp;IF($W152=6,"Final escalation completed.",IF($T152="OVERDUE","Next: "&amp;$Z152&amp;" was due "&amp;TEXT($Y152,"dd-mmm")&amp;" - "&amp;(NETWORKDAYS($Y152,TODAY(),Holidays)-1)&amp;" business day(s) late. Send now.",IF($T152="DUE TOMORROW","Next: "&amp;$Z152&amp;IF($Y152&lt;=TODAY()," is due TODAY ("," is due next business day (")&amp;TEXT($Y152,"dd-mmm")&amp;").","Next: "&amp;$Z152&amp;" due "&amp;TEXT($Y152,"dd-mmm")&amp;" ("&amp;(NETWORKDAYS(TODAY(),$Y152,Holidays)-1)&amp;" business day(s) left).")))))</f>
        <v/>
      </c>
      <c r="V152" s="17">
        <f>IF($W152="","",CHOOSE($W152,"Collection Email","1st Follow-up","2nd Follow-up","Local Office","CBE","Roxanne")&amp;IF($W152=6," - Final"," - Day "&amp;MAX(0,NETWORKDAYS($X152,TODAY(),Holidays)-1)&amp;" of "&amp;CHOOSE($W152,3,3,2,2,3))&amp;" | Total Day "&amp;MAX(0,NETWORKDAYS($L152,TODAY(),Holidays)-1))</f>
        <v/>
      </c>
      <c r="W152" s="17">
        <f>IF($L152="","",COUNT($L152:$Q152))</f>
        <v/>
      </c>
      <c r="X152" s="18">
        <f>IF($W152="","",INT(INDEX($L152:$Q152,$W152)))</f>
        <v/>
      </c>
      <c r="Y152" s="18">
        <f>IF(OR($W152="",$W152=6),"",WORKDAY($X152,CHOOSE($W152,3,3,2,2,3),Holidays))</f>
        <v/>
      </c>
      <c r="Z152" s="17">
        <f>IF(OR($W152="",$W152=6),"",CHOOSE($W152,"1st Email Follow-up","2nd Email Follow-up","Escalate Local Office","Escalate to CBE","Escalate to Roxanne"))</f>
        <v/>
      </c>
    </row>
    <row r="153" spans="18:26">
      <c r="R153" s="15"/>
      <c r="S153" s="16"/>
      <c r="T153" s="17">
        <f>IF(AND(COUNTA($A153:$K153)=0,$L153=""),"",IF($S153="Paid","PAID",IF($S153="Closed","CLOSED",IF($W153="","",IF($W153=6,"ESCALATED TO ROXANNE",IF(TODAY()&gt;$Y153,"OVERDUE",IF($Y153&lt;=WORKDAY(TODAY(),1,Holidays),"DUE TOMORROW",IF($W153=4,"ESCALATED TO LOCAL OFFICE",IF($W153=5,"ESCALATED TO CBE",IF($X153=TODAY(),"EMAIL SENT","MONITORING"))))))))))</f>
        <v/>
      </c>
      <c r="U153" s="17">
        <f>IF($T153="",IF(AND(COUNTA($A153:$K153)&gt;0,$L153=""),"Awaiting Collection Email time stamp.",""),IF(OR($T153="PAID",$T153="CLOSED"),IF($T153="PAID","Account paid. Action completed.","Account closed. No further action required."),CHOOSE($W153,"Collection Email","1st Email Follow-up","2nd Email Follow-up","Escalation to Local Office","Escalation to CBE","Escalation to Roxanne")&amp;" sent "&amp;TEXT($X153,"dd-mmm")&amp;". "&amp;IF($W153=6,"Final escalation completed.",IF($T153="OVERDUE","Next: "&amp;$Z153&amp;" was due "&amp;TEXT($Y153,"dd-mmm")&amp;" - "&amp;(NETWORKDAYS($Y153,TODAY(),Holidays)-1)&amp;" business day(s) late. Send now.",IF($T153="DUE TOMORROW","Next: "&amp;$Z153&amp;IF($Y153&lt;=TODAY()," is due TODAY ("," is due next business day (")&amp;TEXT($Y153,"dd-mmm")&amp;").","Next: "&amp;$Z153&amp;" due "&amp;TEXT($Y153,"dd-mmm")&amp;" ("&amp;(NETWORKDAYS(TODAY(),$Y153,Holidays)-1)&amp;" business day(s) left).")))))</f>
        <v/>
      </c>
      <c r="V153" s="17">
        <f>IF($W153="","",CHOOSE($W153,"Collection Email","1st Follow-up","2nd Follow-up","Local Office","CBE","Roxanne")&amp;IF($W153=6," - Final"," - Day "&amp;MAX(0,NETWORKDAYS($X153,TODAY(),Holidays)-1)&amp;" of "&amp;CHOOSE($W153,3,3,2,2,3))&amp;" | Total Day "&amp;MAX(0,NETWORKDAYS($L153,TODAY(),Holidays)-1))</f>
        <v/>
      </c>
      <c r="W153" s="17">
        <f>IF($L153="","",COUNT($L153:$Q153))</f>
        <v/>
      </c>
      <c r="X153" s="18">
        <f>IF($W153="","",INT(INDEX($L153:$Q153,$W153)))</f>
        <v/>
      </c>
      <c r="Y153" s="18">
        <f>IF(OR($W153="",$W153=6),"",WORKDAY($X153,CHOOSE($W153,3,3,2,2,3),Holidays))</f>
        <v/>
      </c>
      <c r="Z153" s="17">
        <f>IF(OR($W153="",$W153=6),"",CHOOSE($W153,"1st Email Follow-up","2nd Email Follow-up","Escalate Local Office","Escalate to CBE","Escalate to Roxanne"))</f>
        <v/>
      </c>
    </row>
    <row r="154" spans="18:26">
      <c r="R154" s="15"/>
      <c r="S154" s="16"/>
      <c r="T154" s="17">
        <f>IF(AND(COUNTA($A154:$K154)=0,$L154=""),"",IF($S154="Paid","PAID",IF($S154="Closed","CLOSED",IF($W154="","",IF($W154=6,"ESCALATED TO ROXANNE",IF(TODAY()&gt;$Y154,"OVERDUE",IF($Y154&lt;=WORKDAY(TODAY(),1,Holidays),"DUE TOMORROW",IF($W154=4,"ESCALATED TO LOCAL OFFICE",IF($W154=5,"ESCALATED TO CBE",IF($X154=TODAY(),"EMAIL SENT","MONITORING"))))))))))</f>
        <v/>
      </c>
      <c r="U154" s="17">
        <f>IF($T154="",IF(AND(COUNTA($A154:$K154)&gt;0,$L154=""),"Awaiting Collection Email time stamp.",""),IF(OR($T154="PAID",$T154="CLOSED"),IF($T154="PAID","Account paid. Action completed.","Account closed. No further action required."),CHOOSE($W154,"Collection Email","1st Email Follow-up","2nd Email Follow-up","Escalation to Local Office","Escalation to CBE","Escalation to Roxanne")&amp;" sent "&amp;TEXT($X154,"dd-mmm")&amp;". "&amp;IF($W154=6,"Final escalation completed.",IF($T154="OVERDUE","Next: "&amp;$Z154&amp;" was due "&amp;TEXT($Y154,"dd-mmm")&amp;" - "&amp;(NETWORKDAYS($Y154,TODAY(),Holidays)-1)&amp;" business day(s) late. Send now.",IF($T154="DUE TOMORROW","Next: "&amp;$Z154&amp;IF($Y154&lt;=TODAY()," is due TODAY ("," is due next business day (")&amp;TEXT($Y154,"dd-mmm")&amp;").","Next: "&amp;$Z154&amp;" due "&amp;TEXT($Y154,"dd-mmm")&amp;" ("&amp;(NETWORKDAYS(TODAY(),$Y154,Holidays)-1)&amp;" business day(s) left).")))))</f>
        <v/>
      </c>
      <c r="V154" s="17">
        <f>IF($W154="","",CHOOSE($W154,"Collection Email","1st Follow-up","2nd Follow-up","Local Office","CBE","Roxanne")&amp;IF($W154=6," - Final"," - Day "&amp;MAX(0,NETWORKDAYS($X154,TODAY(),Holidays)-1)&amp;" of "&amp;CHOOSE($W154,3,3,2,2,3))&amp;" | Total Day "&amp;MAX(0,NETWORKDAYS($L154,TODAY(),Holidays)-1))</f>
        <v/>
      </c>
      <c r="W154" s="17">
        <f>IF($L154="","",COUNT($L154:$Q154))</f>
        <v/>
      </c>
      <c r="X154" s="18">
        <f>IF($W154="","",INT(INDEX($L154:$Q154,$W154)))</f>
        <v/>
      </c>
      <c r="Y154" s="18">
        <f>IF(OR($W154="",$W154=6),"",WORKDAY($X154,CHOOSE($W154,3,3,2,2,3),Holidays))</f>
        <v/>
      </c>
      <c r="Z154" s="17">
        <f>IF(OR($W154="",$W154=6),"",CHOOSE($W154,"1st Email Follow-up","2nd Email Follow-up","Escalate Local Office","Escalate to CBE","Escalate to Roxanne"))</f>
        <v/>
      </c>
    </row>
    <row r="155" spans="18:26">
      <c r="R155" s="15"/>
      <c r="S155" s="16"/>
      <c r="T155" s="17">
        <f>IF(AND(COUNTA($A155:$K155)=0,$L155=""),"",IF($S155="Paid","PAID",IF($S155="Closed","CLOSED",IF($W155="","",IF($W155=6,"ESCALATED TO ROXANNE",IF(TODAY()&gt;$Y155,"OVERDUE",IF($Y155&lt;=WORKDAY(TODAY(),1,Holidays),"DUE TOMORROW",IF($W155=4,"ESCALATED TO LOCAL OFFICE",IF($W155=5,"ESCALATED TO CBE",IF($X155=TODAY(),"EMAIL SENT","MONITORING"))))))))))</f>
        <v/>
      </c>
      <c r="U155" s="17">
        <f>IF($T155="",IF(AND(COUNTA($A155:$K155)&gt;0,$L155=""),"Awaiting Collection Email time stamp.",""),IF(OR($T155="PAID",$T155="CLOSED"),IF($T155="PAID","Account paid. Action completed.","Account closed. No further action required."),CHOOSE($W155,"Collection Email","1st Email Follow-up","2nd Email Follow-up","Escalation to Local Office","Escalation to CBE","Escalation to Roxanne")&amp;" sent "&amp;TEXT($X155,"dd-mmm")&amp;". "&amp;IF($W155=6,"Final escalation completed.",IF($T155="OVERDUE","Next: "&amp;$Z155&amp;" was due "&amp;TEXT($Y155,"dd-mmm")&amp;" - "&amp;(NETWORKDAYS($Y155,TODAY(),Holidays)-1)&amp;" business day(s) late. Send now.",IF($T155="DUE TOMORROW","Next: "&amp;$Z155&amp;IF($Y155&lt;=TODAY()," is due TODAY ("," is due next business day (")&amp;TEXT($Y155,"dd-mmm")&amp;").","Next: "&amp;$Z155&amp;" due "&amp;TEXT($Y155,"dd-mmm")&amp;" ("&amp;(NETWORKDAYS(TODAY(),$Y155,Holidays)-1)&amp;" business day(s) left).")))))</f>
        <v/>
      </c>
      <c r="V155" s="17">
        <f>IF($W155="","",CHOOSE($W155,"Collection Email","1st Follow-up","2nd Follow-up","Local Office","CBE","Roxanne")&amp;IF($W155=6," - Final"," - Day "&amp;MAX(0,NETWORKDAYS($X155,TODAY(),Holidays)-1)&amp;" of "&amp;CHOOSE($W155,3,3,2,2,3))&amp;" | Total Day "&amp;MAX(0,NETWORKDAYS($L155,TODAY(),Holidays)-1))</f>
        <v/>
      </c>
      <c r="W155" s="17">
        <f>IF($L155="","",COUNT($L155:$Q155))</f>
        <v/>
      </c>
      <c r="X155" s="18">
        <f>IF($W155="","",INT(INDEX($L155:$Q155,$W155)))</f>
        <v/>
      </c>
      <c r="Y155" s="18">
        <f>IF(OR($W155="",$W155=6),"",WORKDAY($X155,CHOOSE($W155,3,3,2,2,3),Holidays))</f>
        <v/>
      </c>
      <c r="Z155" s="17">
        <f>IF(OR($W155="",$W155=6),"",CHOOSE($W155,"1st Email Follow-up","2nd Email Follow-up","Escalate Local Office","Escalate to CBE","Escalate to Roxanne"))</f>
        <v/>
      </c>
    </row>
    <row r="156" spans="18:26">
      <c r="R156" s="15"/>
      <c r="S156" s="16"/>
      <c r="T156" s="17">
        <f>IF(AND(COUNTA($A156:$K156)=0,$L156=""),"",IF($S156="Paid","PAID",IF($S156="Closed","CLOSED",IF($W156="","",IF($W156=6,"ESCALATED TO ROXANNE",IF(TODAY()&gt;$Y156,"OVERDUE",IF($Y156&lt;=WORKDAY(TODAY(),1,Holidays),"DUE TOMORROW",IF($W156=4,"ESCALATED TO LOCAL OFFICE",IF($W156=5,"ESCALATED TO CBE",IF($X156=TODAY(),"EMAIL SENT","MONITORING"))))))))))</f>
        <v/>
      </c>
      <c r="U156" s="17">
        <f>IF($T156="",IF(AND(COUNTA($A156:$K156)&gt;0,$L156=""),"Awaiting Collection Email time stamp.",""),IF(OR($T156="PAID",$T156="CLOSED"),IF($T156="PAID","Account paid. Action completed.","Account closed. No further action required."),CHOOSE($W156,"Collection Email","1st Email Follow-up","2nd Email Follow-up","Escalation to Local Office","Escalation to CBE","Escalation to Roxanne")&amp;" sent "&amp;TEXT($X156,"dd-mmm")&amp;". "&amp;IF($W156=6,"Final escalation completed.",IF($T156="OVERDUE","Next: "&amp;$Z156&amp;" was due "&amp;TEXT($Y156,"dd-mmm")&amp;" - "&amp;(NETWORKDAYS($Y156,TODAY(),Holidays)-1)&amp;" business day(s) late. Send now.",IF($T156="DUE TOMORROW","Next: "&amp;$Z156&amp;IF($Y156&lt;=TODAY()," is due TODAY ("," is due next business day (")&amp;TEXT($Y156,"dd-mmm")&amp;").","Next: "&amp;$Z156&amp;" due "&amp;TEXT($Y156,"dd-mmm")&amp;" ("&amp;(NETWORKDAYS(TODAY(),$Y156,Holidays)-1)&amp;" business day(s) left).")))))</f>
        <v/>
      </c>
      <c r="V156" s="17">
        <f>IF($W156="","",CHOOSE($W156,"Collection Email","1st Follow-up","2nd Follow-up","Local Office","CBE","Roxanne")&amp;IF($W156=6," - Final"," - Day "&amp;MAX(0,NETWORKDAYS($X156,TODAY(),Holidays)-1)&amp;" of "&amp;CHOOSE($W156,3,3,2,2,3))&amp;" | Total Day "&amp;MAX(0,NETWORKDAYS($L156,TODAY(),Holidays)-1))</f>
        <v/>
      </c>
      <c r="W156" s="17">
        <f>IF($L156="","",COUNT($L156:$Q156))</f>
        <v/>
      </c>
      <c r="X156" s="18">
        <f>IF($W156="","",INT(INDEX($L156:$Q156,$W156)))</f>
        <v/>
      </c>
      <c r="Y156" s="18">
        <f>IF(OR($W156="",$W156=6),"",WORKDAY($X156,CHOOSE($W156,3,3,2,2,3),Holidays))</f>
        <v/>
      </c>
      <c r="Z156" s="17">
        <f>IF(OR($W156="",$W156=6),"",CHOOSE($W156,"1st Email Follow-up","2nd Email Follow-up","Escalate Local Office","Escalate to CBE","Escalate to Roxanne"))</f>
        <v/>
      </c>
    </row>
    <row r="157" spans="18:26">
      <c r="R157" s="15"/>
      <c r="S157" s="16"/>
      <c r="T157" s="17">
        <f>IF(AND(COUNTA($A157:$K157)=0,$L157=""),"",IF($S157="Paid","PAID",IF($S157="Closed","CLOSED",IF($W157="","",IF($W157=6,"ESCALATED TO ROXANNE",IF(TODAY()&gt;$Y157,"OVERDUE",IF($Y157&lt;=WORKDAY(TODAY(),1,Holidays),"DUE TOMORROW",IF($W157=4,"ESCALATED TO LOCAL OFFICE",IF($W157=5,"ESCALATED TO CBE",IF($X157=TODAY(),"EMAIL SENT","MONITORING"))))))))))</f>
        <v/>
      </c>
      <c r="U157" s="17">
        <f>IF($T157="",IF(AND(COUNTA($A157:$K157)&gt;0,$L157=""),"Awaiting Collection Email time stamp.",""),IF(OR($T157="PAID",$T157="CLOSED"),IF($T157="PAID","Account paid. Action completed.","Account closed. No further action required."),CHOOSE($W157,"Collection Email","1st Email Follow-up","2nd Email Follow-up","Escalation to Local Office","Escalation to CBE","Escalation to Roxanne")&amp;" sent "&amp;TEXT($X157,"dd-mmm")&amp;". "&amp;IF($W157=6,"Final escalation completed.",IF($T157="OVERDUE","Next: "&amp;$Z157&amp;" was due "&amp;TEXT($Y157,"dd-mmm")&amp;" - "&amp;(NETWORKDAYS($Y157,TODAY(),Holidays)-1)&amp;" business day(s) late. Send now.",IF($T157="DUE TOMORROW","Next: "&amp;$Z157&amp;IF($Y157&lt;=TODAY()," is due TODAY ("," is due next business day (")&amp;TEXT($Y157,"dd-mmm")&amp;").","Next: "&amp;$Z157&amp;" due "&amp;TEXT($Y157,"dd-mmm")&amp;" ("&amp;(NETWORKDAYS(TODAY(),$Y157,Holidays)-1)&amp;" business day(s) left).")))))</f>
        <v/>
      </c>
      <c r="V157" s="17">
        <f>IF($W157="","",CHOOSE($W157,"Collection Email","1st Follow-up","2nd Follow-up","Local Office","CBE","Roxanne")&amp;IF($W157=6," - Final"," - Day "&amp;MAX(0,NETWORKDAYS($X157,TODAY(),Holidays)-1)&amp;" of "&amp;CHOOSE($W157,3,3,2,2,3))&amp;" | Total Day "&amp;MAX(0,NETWORKDAYS($L157,TODAY(),Holidays)-1))</f>
        <v/>
      </c>
      <c r="W157" s="17">
        <f>IF($L157="","",COUNT($L157:$Q157))</f>
        <v/>
      </c>
      <c r="X157" s="18">
        <f>IF($W157="","",INT(INDEX($L157:$Q157,$W157)))</f>
        <v/>
      </c>
      <c r="Y157" s="18">
        <f>IF(OR($W157="",$W157=6),"",WORKDAY($X157,CHOOSE($W157,3,3,2,2,3),Holidays))</f>
        <v/>
      </c>
      <c r="Z157" s="17">
        <f>IF(OR($W157="",$W157=6),"",CHOOSE($W157,"1st Email Follow-up","2nd Email Follow-up","Escalate Local Office","Escalate to CBE","Escalate to Roxanne"))</f>
        <v/>
      </c>
    </row>
    <row r="158" spans="18:26">
      <c r="R158" s="15"/>
      <c r="S158" s="16"/>
      <c r="T158" s="17">
        <f>IF(AND(COUNTA($A158:$K158)=0,$L158=""),"",IF($S158="Paid","PAID",IF($S158="Closed","CLOSED",IF($W158="","",IF($W158=6,"ESCALATED TO ROXANNE",IF(TODAY()&gt;$Y158,"OVERDUE",IF($Y158&lt;=WORKDAY(TODAY(),1,Holidays),"DUE TOMORROW",IF($W158=4,"ESCALATED TO LOCAL OFFICE",IF($W158=5,"ESCALATED TO CBE",IF($X158=TODAY(),"EMAIL SENT","MONITORING"))))))))))</f>
        <v/>
      </c>
      <c r="U158" s="17">
        <f>IF($T158="",IF(AND(COUNTA($A158:$K158)&gt;0,$L158=""),"Awaiting Collection Email time stamp.",""),IF(OR($T158="PAID",$T158="CLOSED"),IF($T158="PAID","Account paid. Action completed.","Account closed. No further action required."),CHOOSE($W158,"Collection Email","1st Email Follow-up","2nd Email Follow-up","Escalation to Local Office","Escalation to CBE","Escalation to Roxanne")&amp;" sent "&amp;TEXT($X158,"dd-mmm")&amp;". "&amp;IF($W158=6,"Final escalation completed.",IF($T158="OVERDUE","Next: "&amp;$Z158&amp;" was due "&amp;TEXT($Y158,"dd-mmm")&amp;" - "&amp;(NETWORKDAYS($Y158,TODAY(),Holidays)-1)&amp;" business day(s) late. Send now.",IF($T158="DUE TOMORROW","Next: "&amp;$Z158&amp;IF($Y158&lt;=TODAY()," is due TODAY ("," is due next business day (")&amp;TEXT($Y158,"dd-mmm")&amp;").","Next: "&amp;$Z158&amp;" due "&amp;TEXT($Y158,"dd-mmm")&amp;" ("&amp;(NETWORKDAYS(TODAY(),$Y158,Holidays)-1)&amp;" business day(s) left).")))))</f>
        <v/>
      </c>
      <c r="V158" s="17">
        <f>IF($W158="","",CHOOSE($W158,"Collection Email","1st Follow-up","2nd Follow-up","Local Office","CBE","Roxanne")&amp;IF($W158=6," - Final"," - Day "&amp;MAX(0,NETWORKDAYS($X158,TODAY(),Holidays)-1)&amp;" of "&amp;CHOOSE($W158,3,3,2,2,3))&amp;" | Total Day "&amp;MAX(0,NETWORKDAYS($L158,TODAY(),Holidays)-1))</f>
        <v/>
      </c>
      <c r="W158" s="17">
        <f>IF($L158="","",COUNT($L158:$Q158))</f>
        <v/>
      </c>
      <c r="X158" s="18">
        <f>IF($W158="","",INT(INDEX($L158:$Q158,$W158)))</f>
        <v/>
      </c>
      <c r="Y158" s="18">
        <f>IF(OR($W158="",$W158=6),"",WORKDAY($X158,CHOOSE($W158,3,3,2,2,3),Holidays))</f>
        <v/>
      </c>
      <c r="Z158" s="17">
        <f>IF(OR($W158="",$W158=6),"",CHOOSE($W158,"1st Email Follow-up","2nd Email Follow-up","Escalate Local Office","Escalate to CBE","Escalate to Roxanne"))</f>
        <v/>
      </c>
    </row>
    <row r="159" spans="18:26">
      <c r="R159" s="15"/>
      <c r="S159" s="16"/>
      <c r="T159" s="17">
        <f>IF(AND(COUNTA($A159:$K159)=0,$L159=""),"",IF($S159="Paid","PAID",IF($S159="Closed","CLOSED",IF($W159="","",IF($W159=6,"ESCALATED TO ROXANNE",IF(TODAY()&gt;$Y159,"OVERDUE",IF($Y159&lt;=WORKDAY(TODAY(),1,Holidays),"DUE TOMORROW",IF($W159=4,"ESCALATED TO LOCAL OFFICE",IF($W159=5,"ESCALATED TO CBE",IF($X159=TODAY(),"EMAIL SENT","MONITORING"))))))))))</f>
        <v/>
      </c>
      <c r="U159" s="17">
        <f>IF($T159="",IF(AND(COUNTA($A159:$K159)&gt;0,$L159=""),"Awaiting Collection Email time stamp.",""),IF(OR($T159="PAID",$T159="CLOSED"),IF($T159="PAID","Account paid. Action completed.","Account closed. No further action required."),CHOOSE($W159,"Collection Email","1st Email Follow-up","2nd Email Follow-up","Escalation to Local Office","Escalation to CBE","Escalation to Roxanne")&amp;" sent "&amp;TEXT($X159,"dd-mmm")&amp;". "&amp;IF($W159=6,"Final escalation completed.",IF($T159="OVERDUE","Next: "&amp;$Z159&amp;" was due "&amp;TEXT($Y159,"dd-mmm")&amp;" - "&amp;(NETWORKDAYS($Y159,TODAY(),Holidays)-1)&amp;" business day(s) late. Send now.",IF($T159="DUE TOMORROW","Next: "&amp;$Z159&amp;IF($Y159&lt;=TODAY()," is due TODAY ("," is due next business day (")&amp;TEXT($Y159,"dd-mmm")&amp;").","Next: "&amp;$Z159&amp;" due "&amp;TEXT($Y159,"dd-mmm")&amp;" ("&amp;(NETWORKDAYS(TODAY(),$Y159,Holidays)-1)&amp;" business day(s) left).")))))</f>
        <v/>
      </c>
      <c r="V159" s="17">
        <f>IF($W159="","",CHOOSE($W159,"Collection Email","1st Follow-up","2nd Follow-up","Local Office","CBE","Roxanne")&amp;IF($W159=6," - Final"," - Day "&amp;MAX(0,NETWORKDAYS($X159,TODAY(),Holidays)-1)&amp;" of "&amp;CHOOSE($W159,3,3,2,2,3))&amp;" | Total Day "&amp;MAX(0,NETWORKDAYS($L159,TODAY(),Holidays)-1))</f>
        <v/>
      </c>
      <c r="W159" s="17">
        <f>IF($L159="","",COUNT($L159:$Q159))</f>
        <v/>
      </c>
      <c r="X159" s="18">
        <f>IF($W159="","",INT(INDEX($L159:$Q159,$W159)))</f>
        <v/>
      </c>
      <c r="Y159" s="18">
        <f>IF(OR($W159="",$W159=6),"",WORKDAY($X159,CHOOSE($W159,3,3,2,2,3),Holidays))</f>
        <v/>
      </c>
      <c r="Z159" s="17">
        <f>IF(OR($W159="",$W159=6),"",CHOOSE($W159,"1st Email Follow-up","2nd Email Follow-up","Escalate Local Office","Escalate to CBE","Escalate to Roxanne"))</f>
        <v/>
      </c>
    </row>
    <row r="160" spans="18:26">
      <c r="R160" s="15"/>
      <c r="S160" s="16"/>
      <c r="T160" s="17">
        <f>IF(AND(COUNTA($A160:$K160)=0,$L160=""),"",IF($S160="Paid","PAID",IF($S160="Closed","CLOSED",IF($W160="","",IF($W160=6,"ESCALATED TO ROXANNE",IF(TODAY()&gt;$Y160,"OVERDUE",IF($Y160&lt;=WORKDAY(TODAY(),1,Holidays),"DUE TOMORROW",IF($W160=4,"ESCALATED TO LOCAL OFFICE",IF($W160=5,"ESCALATED TO CBE",IF($X160=TODAY(),"EMAIL SENT","MONITORING"))))))))))</f>
        <v/>
      </c>
      <c r="U160" s="17">
        <f>IF($T160="",IF(AND(COUNTA($A160:$K160)&gt;0,$L160=""),"Awaiting Collection Email time stamp.",""),IF(OR($T160="PAID",$T160="CLOSED"),IF($T160="PAID","Account paid. Action completed.","Account closed. No further action required."),CHOOSE($W160,"Collection Email","1st Email Follow-up","2nd Email Follow-up","Escalation to Local Office","Escalation to CBE","Escalation to Roxanne")&amp;" sent "&amp;TEXT($X160,"dd-mmm")&amp;". "&amp;IF($W160=6,"Final escalation completed.",IF($T160="OVERDUE","Next: "&amp;$Z160&amp;" was due "&amp;TEXT($Y160,"dd-mmm")&amp;" - "&amp;(NETWORKDAYS($Y160,TODAY(),Holidays)-1)&amp;" business day(s) late. Send now.",IF($T160="DUE TOMORROW","Next: "&amp;$Z160&amp;IF($Y160&lt;=TODAY()," is due TODAY ("," is due next business day (")&amp;TEXT($Y160,"dd-mmm")&amp;").","Next: "&amp;$Z160&amp;" due "&amp;TEXT($Y160,"dd-mmm")&amp;" ("&amp;(NETWORKDAYS(TODAY(),$Y160,Holidays)-1)&amp;" business day(s) left).")))))</f>
        <v/>
      </c>
      <c r="V160" s="17">
        <f>IF($W160="","",CHOOSE($W160,"Collection Email","1st Follow-up","2nd Follow-up","Local Office","CBE","Roxanne")&amp;IF($W160=6," - Final"," - Day "&amp;MAX(0,NETWORKDAYS($X160,TODAY(),Holidays)-1)&amp;" of "&amp;CHOOSE($W160,3,3,2,2,3))&amp;" | Total Day "&amp;MAX(0,NETWORKDAYS($L160,TODAY(),Holidays)-1))</f>
        <v/>
      </c>
      <c r="W160" s="17">
        <f>IF($L160="","",COUNT($L160:$Q160))</f>
        <v/>
      </c>
      <c r="X160" s="18">
        <f>IF($W160="","",INT(INDEX($L160:$Q160,$W160)))</f>
        <v/>
      </c>
      <c r="Y160" s="18">
        <f>IF(OR($W160="",$W160=6),"",WORKDAY($X160,CHOOSE($W160,3,3,2,2,3),Holidays))</f>
        <v/>
      </c>
      <c r="Z160" s="17">
        <f>IF(OR($W160="",$W160=6),"",CHOOSE($W160,"1st Email Follow-up","2nd Email Follow-up","Escalate Local Office","Escalate to CBE","Escalate to Roxanne"))</f>
        <v/>
      </c>
    </row>
    <row r="161" spans="18:26">
      <c r="R161" s="15"/>
      <c r="S161" s="16"/>
      <c r="T161" s="17">
        <f>IF(AND(COUNTA($A161:$K161)=0,$L161=""),"",IF($S161="Paid","PAID",IF($S161="Closed","CLOSED",IF($W161="","",IF($W161=6,"ESCALATED TO ROXANNE",IF(TODAY()&gt;$Y161,"OVERDUE",IF($Y161&lt;=WORKDAY(TODAY(),1,Holidays),"DUE TOMORROW",IF($W161=4,"ESCALATED TO LOCAL OFFICE",IF($W161=5,"ESCALATED TO CBE",IF($X161=TODAY(),"EMAIL SENT","MONITORING"))))))))))</f>
        <v/>
      </c>
      <c r="U161" s="17">
        <f>IF($T161="",IF(AND(COUNTA($A161:$K161)&gt;0,$L161=""),"Awaiting Collection Email time stamp.",""),IF(OR($T161="PAID",$T161="CLOSED"),IF($T161="PAID","Account paid. Action completed.","Account closed. No further action required."),CHOOSE($W161,"Collection Email","1st Email Follow-up","2nd Email Follow-up","Escalation to Local Office","Escalation to CBE","Escalation to Roxanne")&amp;" sent "&amp;TEXT($X161,"dd-mmm")&amp;". "&amp;IF($W161=6,"Final escalation completed.",IF($T161="OVERDUE","Next: "&amp;$Z161&amp;" was due "&amp;TEXT($Y161,"dd-mmm")&amp;" - "&amp;(NETWORKDAYS($Y161,TODAY(),Holidays)-1)&amp;" business day(s) late. Send now.",IF($T161="DUE TOMORROW","Next: "&amp;$Z161&amp;IF($Y161&lt;=TODAY()," is due TODAY ("," is due next business day (")&amp;TEXT($Y161,"dd-mmm")&amp;").","Next: "&amp;$Z161&amp;" due "&amp;TEXT($Y161,"dd-mmm")&amp;" ("&amp;(NETWORKDAYS(TODAY(),$Y161,Holidays)-1)&amp;" business day(s) left).")))))</f>
        <v/>
      </c>
      <c r="V161" s="17">
        <f>IF($W161="","",CHOOSE($W161,"Collection Email","1st Follow-up","2nd Follow-up","Local Office","CBE","Roxanne")&amp;IF($W161=6," - Final"," - Day "&amp;MAX(0,NETWORKDAYS($X161,TODAY(),Holidays)-1)&amp;" of "&amp;CHOOSE($W161,3,3,2,2,3))&amp;" | Total Day "&amp;MAX(0,NETWORKDAYS($L161,TODAY(),Holidays)-1))</f>
        <v/>
      </c>
      <c r="W161" s="17">
        <f>IF($L161="","",COUNT($L161:$Q161))</f>
        <v/>
      </c>
      <c r="X161" s="18">
        <f>IF($W161="","",INT(INDEX($L161:$Q161,$W161)))</f>
        <v/>
      </c>
      <c r="Y161" s="18">
        <f>IF(OR($W161="",$W161=6),"",WORKDAY($X161,CHOOSE($W161,3,3,2,2,3),Holidays))</f>
        <v/>
      </c>
      <c r="Z161" s="17">
        <f>IF(OR($W161="",$W161=6),"",CHOOSE($W161,"1st Email Follow-up","2nd Email Follow-up","Escalate Local Office","Escalate to CBE","Escalate to Roxanne"))</f>
        <v/>
      </c>
    </row>
    <row r="162" spans="18:26">
      <c r="R162" s="15"/>
      <c r="S162" s="16"/>
      <c r="T162" s="17">
        <f>IF(AND(COUNTA($A162:$K162)=0,$L162=""),"",IF($S162="Paid","PAID",IF($S162="Closed","CLOSED",IF($W162="","",IF($W162=6,"ESCALATED TO ROXANNE",IF(TODAY()&gt;$Y162,"OVERDUE",IF($Y162&lt;=WORKDAY(TODAY(),1,Holidays),"DUE TOMORROW",IF($W162=4,"ESCALATED TO LOCAL OFFICE",IF($W162=5,"ESCALATED TO CBE",IF($X162=TODAY(),"EMAIL SENT","MONITORING"))))))))))</f>
        <v/>
      </c>
      <c r="U162" s="17">
        <f>IF($T162="",IF(AND(COUNTA($A162:$K162)&gt;0,$L162=""),"Awaiting Collection Email time stamp.",""),IF(OR($T162="PAID",$T162="CLOSED"),IF($T162="PAID","Account paid. Action completed.","Account closed. No further action required."),CHOOSE($W162,"Collection Email","1st Email Follow-up","2nd Email Follow-up","Escalation to Local Office","Escalation to CBE","Escalation to Roxanne")&amp;" sent "&amp;TEXT($X162,"dd-mmm")&amp;". "&amp;IF($W162=6,"Final escalation completed.",IF($T162="OVERDUE","Next: "&amp;$Z162&amp;" was due "&amp;TEXT($Y162,"dd-mmm")&amp;" - "&amp;(NETWORKDAYS($Y162,TODAY(),Holidays)-1)&amp;" business day(s) late. Send now.",IF($T162="DUE TOMORROW","Next: "&amp;$Z162&amp;IF($Y162&lt;=TODAY()," is due TODAY ("," is due next business day (")&amp;TEXT($Y162,"dd-mmm")&amp;").","Next: "&amp;$Z162&amp;" due "&amp;TEXT($Y162,"dd-mmm")&amp;" ("&amp;(NETWORKDAYS(TODAY(),$Y162,Holidays)-1)&amp;" business day(s) left).")))))</f>
        <v/>
      </c>
      <c r="V162" s="17">
        <f>IF($W162="","",CHOOSE($W162,"Collection Email","1st Follow-up","2nd Follow-up","Local Office","CBE","Roxanne")&amp;IF($W162=6," - Final"," - Day "&amp;MAX(0,NETWORKDAYS($X162,TODAY(),Holidays)-1)&amp;" of "&amp;CHOOSE($W162,3,3,2,2,3))&amp;" | Total Day "&amp;MAX(0,NETWORKDAYS($L162,TODAY(),Holidays)-1))</f>
        <v/>
      </c>
      <c r="W162" s="17">
        <f>IF($L162="","",COUNT($L162:$Q162))</f>
        <v/>
      </c>
      <c r="X162" s="18">
        <f>IF($W162="","",INT(INDEX($L162:$Q162,$W162)))</f>
        <v/>
      </c>
      <c r="Y162" s="18">
        <f>IF(OR($W162="",$W162=6),"",WORKDAY($X162,CHOOSE($W162,3,3,2,2,3),Holidays))</f>
        <v/>
      </c>
      <c r="Z162" s="17">
        <f>IF(OR($W162="",$W162=6),"",CHOOSE($W162,"1st Email Follow-up","2nd Email Follow-up","Escalate Local Office","Escalate to CBE","Escalate to Roxanne"))</f>
        <v/>
      </c>
    </row>
    <row r="163" spans="18:26">
      <c r="R163" s="15"/>
      <c r="S163" s="16"/>
      <c r="T163" s="17">
        <f>IF(AND(COUNTA($A163:$K163)=0,$L163=""),"",IF($S163="Paid","PAID",IF($S163="Closed","CLOSED",IF($W163="","",IF($W163=6,"ESCALATED TO ROXANNE",IF(TODAY()&gt;$Y163,"OVERDUE",IF($Y163&lt;=WORKDAY(TODAY(),1,Holidays),"DUE TOMORROW",IF($W163=4,"ESCALATED TO LOCAL OFFICE",IF($W163=5,"ESCALATED TO CBE",IF($X163=TODAY(),"EMAIL SENT","MONITORING"))))))))))</f>
        <v/>
      </c>
      <c r="U163" s="17">
        <f>IF($T163="",IF(AND(COUNTA($A163:$K163)&gt;0,$L163=""),"Awaiting Collection Email time stamp.",""),IF(OR($T163="PAID",$T163="CLOSED"),IF($T163="PAID","Account paid. Action completed.","Account closed. No further action required."),CHOOSE($W163,"Collection Email","1st Email Follow-up","2nd Email Follow-up","Escalation to Local Office","Escalation to CBE","Escalation to Roxanne")&amp;" sent "&amp;TEXT($X163,"dd-mmm")&amp;". "&amp;IF($W163=6,"Final escalation completed.",IF($T163="OVERDUE","Next: "&amp;$Z163&amp;" was due "&amp;TEXT($Y163,"dd-mmm")&amp;" - "&amp;(NETWORKDAYS($Y163,TODAY(),Holidays)-1)&amp;" business day(s) late. Send now.",IF($T163="DUE TOMORROW","Next: "&amp;$Z163&amp;IF($Y163&lt;=TODAY()," is due TODAY ("," is due next business day (")&amp;TEXT($Y163,"dd-mmm")&amp;").","Next: "&amp;$Z163&amp;" due "&amp;TEXT($Y163,"dd-mmm")&amp;" ("&amp;(NETWORKDAYS(TODAY(),$Y163,Holidays)-1)&amp;" business day(s) left).")))))</f>
        <v/>
      </c>
      <c r="V163" s="17">
        <f>IF($W163="","",CHOOSE($W163,"Collection Email","1st Follow-up","2nd Follow-up","Local Office","CBE","Roxanne")&amp;IF($W163=6," - Final"," - Day "&amp;MAX(0,NETWORKDAYS($X163,TODAY(),Holidays)-1)&amp;" of "&amp;CHOOSE($W163,3,3,2,2,3))&amp;" | Total Day "&amp;MAX(0,NETWORKDAYS($L163,TODAY(),Holidays)-1))</f>
        <v/>
      </c>
      <c r="W163" s="17">
        <f>IF($L163="","",COUNT($L163:$Q163))</f>
        <v/>
      </c>
      <c r="X163" s="18">
        <f>IF($W163="","",INT(INDEX($L163:$Q163,$W163)))</f>
        <v/>
      </c>
      <c r="Y163" s="18">
        <f>IF(OR($W163="",$W163=6),"",WORKDAY($X163,CHOOSE($W163,3,3,2,2,3),Holidays))</f>
        <v/>
      </c>
      <c r="Z163" s="17">
        <f>IF(OR($W163="",$W163=6),"",CHOOSE($W163,"1st Email Follow-up","2nd Email Follow-up","Escalate Local Office","Escalate to CBE","Escalate to Roxanne"))</f>
        <v/>
      </c>
    </row>
    <row r="164" spans="18:26">
      <c r="R164" s="15"/>
      <c r="S164" s="16"/>
      <c r="T164" s="17">
        <f>IF(AND(COUNTA($A164:$K164)=0,$L164=""),"",IF($S164="Paid","PAID",IF($S164="Closed","CLOSED",IF($W164="","",IF($W164=6,"ESCALATED TO ROXANNE",IF(TODAY()&gt;$Y164,"OVERDUE",IF($Y164&lt;=WORKDAY(TODAY(),1,Holidays),"DUE TOMORROW",IF($W164=4,"ESCALATED TO LOCAL OFFICE",IF($W164=5,"ESCALATED TO CBE",IF($X164=TODAY(),"EMAIL SENT","MONITORING"))))))))))</f>
        <v/>
      </c>
      <c r="U164" s="17">
        <f>IF($T164="",IF(AND(COUNTA($A164:$K164)&gt;0,$L164=""),"Awaiting Collection Email time stamp.",""),IF(OR($T164="PAID",$T164="CLOSED"),IF($T164="PAID","Account paid. Action completed.","Account closed. No further action required."),CHOOSE($W164,"Collection Email","1st Email Follow-up","2nd Email Follow-up","Escalation to Local Office","Escalation to CBE","Escalation to Roxanne")&amp;" sent "&amp;TEXT($X164,"dd-mmm")&amp;". "&amp;IF($W164=6,"Final escalation completed.",IF($T164="OVERDUE","Next: "&amp;$Z164&amp;" was due "&amp;TEXT($Y164,"dd-mmm")&amp;" - "&amp;(NETWORKDAYS($Y164,TODAY(),Holidays)-1)&amp;" business day(s) late. Send now.",IF($T164="DUE TOMORROW","Next: "&amp;$Z164&amp;IF($Y164&lt;=TODAY()," is due TODAY ("," is due next business day (")&amp;TEXT($Y164,"dd-mmm")&amp;").","Next: "&amp;$Z164&amp;" due "&amp;TEXT($Y164,"dd-mmm")&amp;" ("&amp;(NETWORKDAYS(TODAY(),$Y164,Holidays)-1)&amp;" business day(s) left).")))))</f>
        <v/>
      </c>
      <c r="V164" s="17">
        <f>IF($W164="","",CHOOSE($W164,"Collection Email","1st Follow-up","2nd Follow-up","Local Office","CBE","Roxanne")&amp;IF($W164=6," - Final"," - Day "&amp;MAX(0,NETWORKDAYS($X164,TODAY(),Holidays)-1)&amp;" of "&amp;CHOOSE($W164,3,3,2,2,3))&amp;" | Total Day "&amp;MAX(0,NETWORKDAYS($L164,TODAY(),Holidays)-1))</f>
        <v/>
      </c>
      <c r="W164" s="17">
        <f>IF($L164="","",COUNT($L164:$Q164))</f>
        <v/>
      </c>
      <c r="X164" s="18">
        <f>IF($W164="","",INT(INDEX($L164:$Q164,$W164)))</f>
        <v/>
      </c>
      <c r="Y164" s="18">
        <f>IF(OR($W164="",$W164=6),"",WORKDAY($X164,CHOOSE($W164,3,3,2,2,3),Holidays))</f>
        <v/>
      </c>
      <c r="Z164" s="17">
        <f>IF(OR($W164="",$W164=6),"",CHOOSE($W164,"1st Email Follow-up","2nd Email Follow-up","Escalate Local Office","Escalate to CBE","Escalate to Roxanne"))</f>
        <v/>
      </c>
    </row>
    <row r="165" spans="18:26">
      <c r="R165" s="15"/>
      <c r="S165" s="16"/>
      <c r="T165" s="17">
        <f>IF(AND(COUNTA($A165:$K165)=0,$L165=""),"",IF($S165="Paid","PAID",IF($S165="Closed","CLOSED",IF($W165="","",IF($W165=6,"ESCALATED TO ROXANNE",IF(TODAY()&gt;$Y165,"OVERDUE",IF($Y165&lt;=WORKDAY(TODAY(),1,Holidays),"DUE TOMORROW",IF($W165=4,"ESCALATED TO LOCAL OFFICE",IF($W165=5,"ESCALATED TO CBE",IF($X165=TODAY(),"EMAIL SENT","MONITORING"))))))))))</f>
        <v/>
      </c>
      <c r="U165" s="17">
        <f>IF($T165="",IF(AND(COUNTA($A165:$K165)&gt;0,$L165=""),"Awaiting Collection Email time stamp.",""),IF(OR($T165="PAID",$T165="CLOSED"),IF($T165="PAID","Account paid. Action completed.","Account closed. No further action required."),CHOOSE($W165,"Collection Email","1st Email Follow-up","2nd Email Follow-up","Escalation to Local Office","Escalation to CBE","Escalation to Roxanne")&amp;" sent "&amp;TEXT($X165,"dd-mmm")&amp;". "&amp;IF($W165=6,"Final escalation completed.",IF($T165="OVERDUE","Next: "&amp;$Z165&amp;" was due "&amp;TEXT($Y165,"dd-mmm")&amp;" - "&amp;(NETWORKDAYS($Y165,TODAY(),Holidays)-1)&amp;" business day(s) late. Send now.",IF($T165="DUE TOMORROW","Next: "&amp;$Z165&amp;IF($Y165&lt;=TODAY()," is due TODAY ("," is due next business day (")&amp;TEXT($Y165,"dd-mmm")&amp;").","Next: "&amp;$Z165&amp;" due "&amp;TEXT($Y165,"dd-mmm")&amp;" ("&amp;(NETWORKDAYS(TODAY(),$Y165,Holidays)-1)&amp;" business day(s) left).")))))</f>
        <v/>
      </c>
      <c r="V165" s="17">
        <f>IF($W165="","",CHOOSE($W165,"Collection Email","1st Follow-up","2nd Follow-up","Local Office","CBE","Roxanne")&amp;IF($W165=6," - Final"," - Day "&amp;MAX(0,NETWORKDAYS($X165,TODAY(),Holidays)-1)&amp;" of "&amp;CHOOSE($W165,3,3,2,2,3))&amp;" | Total Day "&amp;MAX(0,NETWORKDAYS($L165,TODAY(),Holidays)-1))</f>
        <v/>
      </c>
      <c r="W165" s="17">
        <f>IF($L165="","",COUNT($L165:$Q165))</f>
        <v/>
      </c>
      <c r="X165" s="18">
        <f>IF($W165="","",INT(INDEX($L165:$Q165,$W165)))</f>
        <v/>
      </c>
      <c r="Y165" s="18">
        <f>IF(OR($W165="",$W165=6),"",WORKDAY($X165,CHOOSE($W165,3,3,2,2,3),Holidays))</f>
        <v/>
      </c>
      <c r="Z165" s="17">
        <f>IF(OR($W165="",$W165=6),"",CHOOSE($W165,"1st Email Follow-up","2nd Email Follow-up","Escalate Local Office","Escalate to CBE","Escalate to Roxanne"))</f>
        <v/>
      </c>
    </row>
    <row r="166" spans="18:26">
      <c r="R166" s="15"/>
      <c r="S166" s="16"/>
      <c r="T166" s="17">
        <f>IF(AND(COUNTA($A166:$K166)=0,$L166=""),"",IF($S166="Paid","PAID",IF($S166="Closed","CLOSED",IF($W166="","",IF($W166=6,"ESCALATED TO ROXANNE",IF(TODAY()&gt;$Y166,"OVERDUE",IF($Y166&lt;=WORKDAY(TODAY(),1,Holidays),"DUE TOMORROW",IF($W166=4,"ESCALATED TO LOCAL OFFICE",IF($W166=5,"ESCALATED TO CBE",IF($X166=TODAY(),"EMAIL SENT","MONITORING"))))))))))</f>
        <v/>
      </c>
      <c r="U166" s="17">
        <f>IF($T166="",IF(AND(COUNTA($A166:$K166)&gt;0,$L166=""),"Awaiting Collection Email time stamp.",""),IF(OR($T166="PAID",$T166="CLOSED"),IF($T166="PAID","Account paid. Action completed.","Account closed. No further action required."),CHOOSE($W166,"Collection Email","1st Email Follow-up","2nd Email Follow-up","Escalation to Local Office","Escalation to CBE","Escalation to Roxanne")&amp;" sent "&amp;TEXT($X166,"dd-mmm")&amp;". "&amp;IF($W166=6,"Final escalation completed.",IF($T166="OVERDUE","Next: "&amp;$Z166&amp;" was due "&amp;TEXT($Y166,"dd-mmm")&amp;" - "&amp;(NETWORKDAYS($Y166,TODAY(),Holidays)-1)&amp;" business day(s) late. Send now.",IF($T166="DUE TOMORROW","Next: "&amp;$Z166&amp;IF($Y166&lt;=TODAY()," is due TODAY ("," is due next business day (")&amp;TEXT($Y166,"dd-mmm")&amp;").","Next: "&amp;$Z166&amp;" due "&amp;TEXT($Y166,"dd-mmm")&amp;" ("&amp;(NETWORKDAYS(TODAY(),$Y166,Holidays)-1)&amp;" business day(s) left).")))))</f>
        <v/>
      </c>
      <c r="V166" s="17">
        <f>IF($W166="","",CHOOSE($W166,"Collection Email","1st Follow-up","2nd Follow-up","Local Office","CBE","Roxanne")&amp;IF($W166=6," - Final"," - Day "&amp;MAX(0,NETWORKDAYS($X166,TODAY(),Holidays)-1)&amp;" of "&amp;CHOOSE($W166,3,3,2,2,3))&amp;" | Total Day "&amp;MAX(0,NETWORKDAYS($L166,TODAY(),Holidays)-1))</f>
        <v/>
      </c>
      <c r="W166" s="17">
        <f>IF($L166="","",COUNT($L166:$Q166))</f>
        <v/>
      </c>
      <c r="X166" s="18">
        <f>IF($W166="","",INT(INDEX($L166:$Q166,$W166)))</f>
        <v/>
      </c>
      <c r="Y166" s="18">
        <f>IF(OR($W166="",$W166=6),"",WORKDAY($X166,CHOOSE($W166,3,3,2,2,3),Holidays))</f>
        <v/>
      </c>
      <c r="Z166" s="17">
        <f>IF(OR($W166="",$W166=6),"",CHOOSE($W166,"1st Email Follow-up","2nd Email Follow-up","Escalate Local Office","Escalate to CBE","Escalate to Roxanne"))</f>
        <v/>
      </c>
    </row>
    <row r="167" spans="18:26">
      <c r="R167" s="15"/>
      <c r="S167" s="16"/>
      <c r="T167" s="17">
        <f>IF(AND(COUNTA($A167:$K167)=0,$L167=""),"",IF($S167="Paid","PAID",IF($S167="Closed","CLOSED",IF($W167="","",IF($W167=6,"ESCALATED TO ROXANNE",IF(TODAY()&gt;$Y167,"OVERDUE",IF($Y167&lt;=WORKDAY(TODAY(),1,Holidays),"DUE TOMORROW",IF($W167=4,"ESCALATED TO LOCAL OFFICE",IF($W167=5,"ESCALATED TO CBE",IF($X167=TODAY(),"EMAIL SENT","MONITORING"))))))))))</f>
        <v/>
      </c>
      <c r="U167" s="17">
        <f>IF($T167="",IF(AND(COUNTA($A167:$K167)&gt;0,$L167=""),"Awaiting Collection Email time stamp.",""),IF(OR($T167="PAID",$T167="CLOSED"),IF($T167="PAID","Account paid. Action completed.","Account closed. No further action required."),CHOOSE($W167,"Collection Email","1st Email Follow-up","2nd Email Follow-up","Escalation to Local Office","Escalation to CBE","Escalation to Roxanne")&amp;" sent "&amp;TEXT($X167,"dd-mmm")&amp;". "&amp;IF($W167=6,"Final escalation completed.",IF($T167="OVERDUE","Next: "&amp;$Z167&amp;" was due "&amp;TEXT($Y167,"dd-mmm")&amp;" - "&amp;(NETWORKDAYS($Y167,TODAY(),Holidays)-1)&amp;" business day(s) late. Send now.",IF($T167="DUE TOMORROW","Next: "&amp;$Z167&amp;IF($Y167&lt;=TODAY()," is due TODAY ("," is due next business day (")&amp;TEXT($Y167,"dd-mmm")&amp;").","Next: "&amp;$Z167&amp;" due "&amp;TEXT($Y167,"dd-mmm")&amp;" ("&amp;(NETWORKDAYS(TODAY(),$Y167,Holidays)-1)&amp;" business day(s) left).")))))</f>
        <v/>
      </c>
      <c r="V167" s="17">
        <f>IF($W167="","",CHOOSE($W167,"Collection Email","1st Follow-up","2nd Follow-up","Local Office","CBE","Roxanne")&amp;IF($W167=6," - Final"," - Day "&amp;MAX(0,NETWORKDAYS($X167,TODAY(),Holidays)-1)&amp;" of "&amp;CHOOSE($W167,3,3,2,2,3))&amp;" | Total Day "&amp;MAX(0,NETWORKDAYS($L167,TODAY(),Holidays)-1))</f>
        <v/>
      </c>
      <c r="W167" s="17">
        <f>IF($L167="","",COUNT($L167:$Q167))</f>
        <v/>
      </c>
      <c r="X167" s="18">
        <f>IF($W167="","",INT(INDEX($L167:$Q167,$W167)))</f>
        <v/>
      </c>
      <c r="Y167" s="18">
        <f>IF(OR($W167="",$W167=6),"",WORKDAY($X167,CHOOSE($W167,3,3,2,2,3),Holidays))</f>
        <v/>
      </c>
      <c r="Z167" s="17">
        <f>IF(OR($W167="",$W167=6),"",CHOOSE($W167,"1st Email Follow-up","2nd Email Follow-up","Escalate Local Office","Escalate to CBE","Escalate to Roxanne"))</f>
        <v/>
      </c>
    </row>
    <row r="168" spans="18:26">
      <c r="R168" s="15"/>
      <c r="S168" s="16"/>
      <c r="T168" s="17">
        <f>IF(AND(COUNTA($A168:$K168)=0,$L168=""),"",IF($S168="Paid","PAID",IF($S168="Closed","CLOSED",IF($W168="","",IF($W168=6,"ESCALATED TO ROXANNE",IF(TODAY()&gt;$Y168,"OVERDUE",IF($Y168&lt;=WORKDAY(TODAY(),1,Holidays),"DUE TOMORROW",IF($W168=4,"ESCALATED TO LOCAL OFFICE",IF($W168=5,"ESCALATED TO CBE",IF($X168=TODAY(),"EMAIL SENT","MONITORING"))))))))))</f>
        <v/>
      </c>
      <c r="U168" s="17">
        <f>IF($T168="",IF(AND(COUNTA($A168:$K168)&gt;0,$L168=""),"Awaiting Collection Email time stamp.",""),IF(OR($T168="PAID",$T168="CLOSED"),IF($T168="PAID","Account paid. Action completed.","Account closed. No further action required."),CHOOSE($W168,"Collection Email","1st Email Follow-up","2nd Email Follow-up","Escalation to Local Office","Escalation to CBE","Escalation to Roxanne")&amp;" sent "&amp;TEXT($X168,"dd-mmm")&amp;". "&amp;IF($W168=6,"Final escalation completed.",IF($T168="OVERDUE","Next: "&amp;$Z168&amp;" was due "&amp;TEXT($Y168,"dd-mmm")&amp;" - "&amp;(NETWORKDAYS($Y168,TODAY(),Holidays)-1)&amp;" business day(s) late. Send now.",IF($T168="DUE TOMORROW","Next: "&amp;$Z168&amp;IF($Y168&lt;=TODAY()," is due TODAY ("," is due next business day (")&amp;TEXT($Y168,"dd-mmm")&amp;").","Next: "&amp;$Z168&amp;" due "&amp;TEXT($Y168,"dd-mmm")&amp;" ("&amp;(NETWORKDAYS(TODAY(),$Y168,Holidays)-1)&amp;" business day(s) left).")))))</f>
        <v/>
      </c>
      <c r="V168" s="17">
        <f>IF($W168="","",CHOOSE($W168,"Collection Email","1st Follow-up","2nd Follow-up","Local Office","CBE","Roxanne")&amp;IF($W168=6," - Final"," - Day "&amp;MAX(0,NETWORKDAYS($X168,TODAY(),Holidays)-1)&amp;" of "&amp;CHOOSE($W168,3,3,2,2,3))&amp;" | Total Day "&amp;MAX(0,NETWORKDAYS($L168,TODAY(),Holidays)-1))</f>
        <v/>
      </c>
      <c r="W168" s="17">
        <f>IF($L168="","",COUNT($L168:$Q168))</f>
        <v/>
      </c>
      <c r="X168" s="18">
        <f>IF($W168="","",INT(INDEX($L168:$Q168,$W168)))</f>
        <v/>
      </c>
      <c r="Y168" s="18">
        <f>IF(OR($W168="",$W168=6),"",WORKDAY($X168,CHOOSE($W168,3,3,2,2,3),Holidays))</f>
        <v/>
      </c>
      <c r="Z168" s="17">
        <f>IF(OR($W168="",$W168=6),"",CHOOSE($W168,"1st Email Follow-up","2nd Email Follow-up","Escalate Local Office","Escalate to CBE","Escalate to Roxanne"))</f>
        <v/>
      </c>
    </row>
    <row r="169" spans="18:26">
      <c r="R169" s="15"/>
      <c r="S169" s="16"/>
      <c r="T169" s="17">
        <f>IF(AND(COUNTA($A169:$K169)=0,$L169=""),"",IF($S169="Paid","PAID",IF($S169="Closed","CLOSED",IF($W169="","",IF($W169=6,"ESCALATED TO ROXANNE",IF(TODAY()&gt;$Y169,"OVERDUE",IF($Y169&lt;=WORKDAY(TODAY(),1,Holidays),"DUE TOMORROW",IF($W169=4,"ESCALATED TO LOCAL OFFICE",IF($W169=5,"ESCALATED TO CBE",IF($X169=TODAY(),"EMAIL SENT","MONITORING"))))))))))</f>
        <v/>
      </c>
      <c r="U169" s="17">
        <f>IF($T169="",IF(AND(COUNTA($A169:$K169)&gt;0,$L169=""),"Awaiting Collection Email time stamp.",""),IF(OR($T169="PAID",$T169="CLOSED"),IF($T169="PAID","Account paid. Action completed.","Account closed. No further action required."),CHOOSE($W169,"Collection Email","1st Email Follow-up","2nd Email Follow-up","Escalation to Local Office","Escalation to CBE","Escalation to Roxanne")&amp;" sent "&amp;TEXT($X169,"dd-mmm")&amp;". "&amp;IF($W169=6,"Final escalation completed.",IF($T169="OVERDUE","Next: "&amp;$Z169&amp;" was due "&amp;TEXT($Y169,"dd-mmm")&amp;" - "&amp;(NETWORKDAYS($Y169,TODAY(),Holidays)-1)&amp;" business day(s) late. Send now.",IF($T169="DUE TOMORROW","Next: "&amp;$Z169&amp;IF($Y169&lt;=TODAY()," is due TODAY ("," is due next business day (")&amp;TEXT($Y169,"dd-mmm")&amp;").","Next: "&amp;$Z169&amp;" due "&amp;TEXT($Y169,"dd-mmm")&amp;" ("&amp;(NETWORKDAYS(TODAY(),$Y169,Holidays)-1)&amp;" business day(s) left).")))))</f>
        <v/>
      </c>
      <c r="V169" s="17">
        <f>IF($W169="","",CHOOSE($W169,"Collection Email","1st Follow-up","2nd Follow-up","Local Office","CBE","Roxanne")&amp;IF($W169=6," - Final"," - Day "&amp;MAX(0,NETWORKDAYS($X169,TODAY(),Holidays)-1)&amp;" of "&amp;CHOOSE($W169,3,3,2,2,3))&amp;" | Total Day "&amp;MAX(0,NETWORKDAYS($L169,TODAY(),Holidays)-1))</f>
        <v/>
      </c>
      <c r="W169" s="17">
        <f>IF($L169="","",COUNT($L169:$Q169))</f>
        <v/>
      </c>
      <c r="X169" s="18">
        <f>IF($W169="","",INT(INDEX($L169:$Q169,$W169)))</f>
        <v/>
      </c>
      <c r="Y169" s="18">
        <f>IF(OR($W169="",$W169=6),"",WORKDAY($X169,CHOOSE($W169,3,3,2,2,3),Holidays))</f>
        <v/>
      </c>
      <c r="Z169" s="17">
        <f>IF(OR($W169="",$W169=6),"",CHOOSE($W169,"1st Email Follow-up","2nd Email Follow-up","Escalate Local Office","Escalate to CBE","Escalate to Roxanne"))</f>
        <v/>
      </c>
    </row>
    <row r="170" spans="18:26">
      <c r="R170" s="15"/>
      <c r="S170" s="16"/>
      <c r="T170" s="17">
        <f>IF(AND(COUNTA($A170:$K170)=0,$L170=""),"",IF($S170="Paid","PAID",IF($S170="Closed","CLOSED",IF($W170="","",IF($W170=6,"ESCALATED TO ROXANNE",IF(TODAY()&gt;$Y170,"OVERDUE",IF($Y170&lt;=WORKDAY(TODAY(),1,Holidays),"DUE TOMORROW",IF($W170=4,"ESCALATED TO LOCAL OFFICE",IF($W170=5,"ESCALATED TO CBE",IF($X170=TODAY(),"EMAIL SENT","MONITORING"))))))))))</f>
        <v/>
      </c>
      <c r="U170" s="17">
        <f>IF($T170="",IF(AND(COUNTA($A170:$K170)&gt;0,$L170=""),"Awaiting Collection Email time stamp.",""),IF(OR($T170="PAID",$T170="CLOSED"),IF($T170="PAID","Account paid. Action completed.","Account closed. No further action required."),CHOOSE($W170,"Collection Email","1st Email Follow-up","2nd Email Follow-up","Escalation to Local Office","Escalation to CBE","Escalation to Roxanne")&amp;" sent "&amp;TEXT($X170,"dd-mmm")&amp;". "&amp;IF($W170=6,"Final escalation completed.",IF($T170="OVERDUE","Next: "&amp;$Z170&amp;" was due "&amp;TEXT($Y170,"dd-mmm")&amp;" - "&amp;(NETWORKDAYS($Y170,TODAY(),Holidays)-1)&amp;" business day(s) late. Send now.",IF($T170="DUE TOMORROW","Next: "&amp;$Z170&amp;IF($Y170&lt;=TODAY()," is due TODAY ("," is due next business day (")&amp;TEXT($Y170,"dd-mmm")&amp;").","Next: "&amp;$Z170&amp;" due "&amp;TEXT($Y170,"dd-mmm")&amp;" ("&amp;(NETWORKDAYS(TODAY(),$Y170,Holidays)-1)&amp;" business day(s) left).")))))</f>
        <v/>
      </c>
      <c r="V170" s="17">
        <f>IF($W170="","",CHOOSE($W170,"Collection Email","1st Follow-up","2nd Follow-up","Local Office","CBE","Roxanne")&amp;IF($W170=6," - Final"," - Day "&amp;MAX(0,NETWORKDAYS($X170,TODAY(),Holidays)-1)&amp;" of "&amp;CHOOSE($W170,3,3,2,2,3))&amp;" | Total Day "&amp;MAX(0,NETWORKDAYS($L170,TODAY(),Holidays)-1))</f>
        <v/>
      </c>
      <c r="W170" s="17">
        <f>IF($L170="","",COUNT($L170:$Q170))</f>
        <v/>
      </c>
      <c r="X170" s="18">
        <f>IF($W170="","",INT(INDEX($L170:$Q170,$W170)))</f>
        <v/>
      </c>
      <c r="Y170" s="18">
        <f>IF(OR($W170="",$W170=6),"",WORKDAY($X170,CHOOSE($W170,3,3,2,2,3),Holidays))</f>
        <v/>
      </c>
      <c r="Z170" s="17">
        <f>IF(OR($W170="",$W170=6),"",CHOOSE($W170,"1st Email Follow-up","2nd Email Follow-up","Escalate Local Office","Escalate to CBE","Escalate to Roxanne"))</f>
        <v/>
      </c>
    </row>
    <row r="171" spans="18:26">
      <c r="R171" s="15"/>
      <c r="S171" s="16"/>
      <c r="T171" s="17">
        <f>IF(AND(COUNTA($A171:$K171)=0,$L171=""),"",IF($S171="Paid","PAID",IF($S171="Closed","CLOSED",IF($W171="","",IF($W171=6,"ESCALATED TO ROXANNE",IF(TODAY()&gt;$Y171,"OVERDUE",IF($Y171&lt;=WORKDAY(TODAY(),1,Holidays),"DUE TOMORROW",IF($W171=4,"ESCALATED TO LOCAL OFFICE",IF($W171=5,"ESCALATED TO CBE",IF($X171=TODAY(),"EMAIL SENT","MONITORING"))))))))))</f>
        <v/>
      </c>
      <c r="U171" s="17">
        <f>IF($T171="",IF(AND(COUNTA($A171:$K171)&gt;0,$L171=""),"Awaiting Collection Email time stamp.",""),IF(OR($T171="PAID",$T171="CLOSED"),IF($T171="PAID","Account paid. Action completed.","Account closed. No further action required."),CHOOSE($W171,"Collection Email","1st Email Follow-up","2nd Email Follow-up","Escalation to Local Office","Escalation to CBE","Escalation to Roxanne")&amp;" sent "&amp;TEXT($X171,"dd-mmm")&amp;". "&amp;IF($W171=6,"Final escalation completed.",IF($T171="OVERDUE","Next: "&amp;$Z171&amp;" was due "&amp;TEXT($Y171,"dd-mmm")&amp;" - "&amp;(NETWORKDAYS($Y171,TODAY(),Holidays)-1)&amp;" business day(s) late. Send now.",IF($T171="DUE TOMORROW","Next: "&amp;$Z171&amp;IF($Y171&lt;=TODAY()," is due TODAY ("," is due next business day (")&amp;TEXT($Y171,"dd-mmm")&amp;").","Next: "&amp;$Z171&amp;" due "&amp;TEXT($Y171,"dd-mmm")&amp;" ("&amp;(NETWORKDAYS(TODAY(),$Y171,Holidays)-1)&amp;" business day(s) left).")))))</f>
        <v/>
      </c>
      <c r="V171" s="17">
        <f>IF($W171="","",CHOOSE($W171,"Collection Email","1st Follow-up","2nd Follow-up","Local Office","CBE","Roxanne")&amp;IF($W171=6," - Final"," - Day "&amp;MAX(0,NETWORKDAYS($X171,TODAY(),Holidays)-1)&amp;" of "&amp;CHOOSE($W171,3,3,2,2,3))&amp;" | Total Day "&amp;MAX(0,NETWORKDAYS($L171,TODAY(),Holidays)-1))</f>
        <v/>
      </c>
      <c r="W171" s="17">
        <f>IF($L171="","",COUNT($L171:$Q171))</f>
        <v/>
      </c>
      <c r="X171" s="18">
        <f>IF($W171="","",INT(INDEX($L171:$Q171,$W171)))</f>
        <v/>
      </c>
      <c r="Y171" s="18">
        <f>IF(OR($W171="",$W171=6),"",WORKDAY($X171,CHOOSE($W171,3,3,2,2,3),Holidays))</f>
        <v/>
      </c>
      <c r="Z171" s="17">
        <f>IF(OR($W171="",$W171=6),"",CHOOSE($W171,"1st Email Follow-up","2nd Email Follow-up","Escalate Local Office","Escalate to CBE","Escalate to Roxanne"))</f>
        <v/>
      </c>
    </row>
    <row r="172" spans="18:26">
      <c r="R172" s="15"/>
      <c r="S172" s="16"/>
      <c r="T172" s="17">
        <f>IF(AND(COUNTA($A172:$K172)=0,$L172=""),"",IF($S172="Paid","PAID",IF($S172="Closed","CLOSED",IF($W172="","",IF($W172=6,"ESCALATED TO ROXANNE",IF(TODAY()&gt;$Y172,"OVERDUE",IF($Y172&lt;=WORKDAY(TODAY(),1,Holidays),"DUE TOMORROW",IF($W172=4,"ESCALATED TO LOCAL OFFICE",IF($W172=5,"ESCALATED TO CBE",IF($X172=TODAY(),"EMAIL SENT","MONITORING"))))))))))</f>
        <v/>
      </c>
      <c r="U172" s="17">
        <f>IF($T172="",IF(AND(COUNTA($A172:$K172)&gt;0,$L172=""),"Awaiting Collection Email time stamp.",""),IF(OR($T172="PAID",$T172="CLOSED"),IF($T172="PAID","Account paid. Action completed.","Account closed. No further action required."),CHOOSE($W172,"Collection Email","1st Email Follow-up","2nd Email Follow-up","Escalation to Local Office","Escalation to CBE","Escalation to Roxanne")&amp;" sent "&amp;TEXT($X172,"dd-mmm")&amp;". "&amp;IF($W172=6,"Final escalation completed.",IF($T172="OVERDUE","Next: "&amp;$Z172&amp;" was due "&amp;TEXT($Y172,"dd-mmm")&amp;" - "&amp;(NETWORKDAYS($Y172,TODAY(),Holidays)-1)&amp;" business day(s) late. Send now.",IF($T172="DUE TOMORROW","Next: "&amp;$Z172&amp;IF($Y172&lt;=TODAY()," is due TODAY ("," is due next business day (")&amp;TEXT($Y172,"dd-mmm")&amp;").","Next: "&amp;$Z172&amp;" due "&amp;TEXT($Y172,"dd-mmm")&amp;" ("&amp;(NETWORKDAYS(TODAY(),$Y172,Holidays)-1)&amp;" business day(s) left).")))))</f>
        <v/>
      </c>
      <c r="V172" s="17">
        <f>IF($W172="","",CHOOSE($W172,"Collection Email","1st Follow-up","2nd Follow-up","Local Office","CBE","Roxanne")&amp;IF($W172=6," - Final"," - Day "&amp;MAX(0,NETWORKDAYS($X172,TODAY(),Holidays)-1)&amp;" of "&amp;CHOOSE($W172,3,3,2,2,3))&amp;" | Total Day "&amp;MAX(0,NETWORKDAYS($L172,TODAY(),Holidays)-1))</f>
        <v/>
      </c>
      <c r="W172" s="17">
        <f>IF($L172="","",COUNT($L172:$Q172))</f>
        <v/>
      </c>
      <c r="X172" s="18">
        <f>IF($W172="","",INT(INDEX($L172:$Q172,$W172)))</f>
        <v/>
      </c>
      <c r="Y172" s="18">
        <f>IF(OR($W172="",$W172=6),"",WORKDAY($X172,CHOOSE($W172,3,3,2,2,3),Holidays))</f>
        <v/>
      </c>
      <c r="Z172" s="17">
        <f>IF(OR($W172="",$W172=6),"",CHOOSE($W172,"1st Email Follow-up","2nd Email Follow-up","Escalate Local Office","Escalate to CBE","Escalate to Roxanne"))</f>
        <v/>
      </c>
    </row>
    <row r="173" spans="18:26">
      <c r="R173" s="15"/>
      <c r="S173" s="16"/>
      <c r="T173" s="17">
        <f>IF(AND(COUNTA($A173:$K173)=0,$L173=""),"",IF($S173="Paid","PAID",IF($S173="Closed","CLOSED",IF($W173="","",IF($W173=6,"ESCALATED TO ROXANNE",IF(TODAY()&gt;$Y173,"OVERDUE",IF($Y173&lt;=WORKDAY(TODAY(),1,Holidays),"DUE TOMORROW",IF($W173=4,"ESCALATED TO LOCAL OFFICE",IF($W173=5,"ESCALATED TO CBE",IF($X173=TODAY(),"EMAIL SENT","MONITORING"))))))))))</f>
        <v/>
      </c>
      <c r="U173" s="17">
        <f>IF($T173="",IF(AND(COUNTA($A173:$K173)&gt;0,$L173=""),"Awaiting Collection Email time stamp.",""),IF(OR($T173="PAID",$T173="CLOSED"),IF($T173="PAID","Account paid. Action completed.","Account closed. No further action required."),CHOOSE($W173,"Collection Email","1st Email Follow-up","2nd Email Follow-up","Escalation to Local Office","Escalation to CBE","Escalation to Roxanne")&amp;" sent "&amp;TEXT($X173,"dd-mmm")&amp;". "&amp;IF($W173=6,"Final escalation completed.",IF($T173="OVERDUE","Next: "&amp;$Z173&amp;" was due "&amp;TEXT($Y173,"dd-mmm")&amp;" - "&amp;(NETWORKDAYS($Y173,TODAY(),Holidays)-1)&amp;" business day(s) late. Send now.",IF($T173="DUE TOMORROW","Next: "&amp;$Z173&amp;IF($Y173&lt;=TODAY()," is due TODAY ("," is due next business day (")&amp;TEXT($Y173,"dd-mmm")&amp;").","Next: "&amp;$Z173&amp;" due "&amp;TEXT($Y173,"dd-mmm")&amp;" ("&amp;(NETWORKDAYS(TODAY(),$Y173,Holidays)-1)&amp;" business day(s) left).")))))</f>
        <v/>
      </c>
      <c r="V173" s="17">
        <f>IF($W173="","",CHOOSE($W173,"Collection Email","1st Follow-up","2nd Follow-up","Local Office","CBE","Roxanne")&amp;IF($W173=6," - Final"," - Day "&amp;MAX(0,NETWORKDAYS($X173,TODAY(),Holidays)-1)&amp;" of "&amp;CHOOSE($W173,3,3,2,2,3))&amp;" | Total Day "&amp;MAX(0,NETWORKDAYS($L173,TODAY(),Holidays)-1))</f>
        <v/>
      </c>
      <c r="W173" s="17">
        <f>IF($L173="","",COUNT($L173:$Q173))</f>
        <v/>
      </c>
      <c r="X173" s="18">
        <f>IF($W173="","",INT(INDEX($L173:$Q173,$W173)))</f>
        <v/>
      </c>
      <c r="Y173" s="18">
        <f>IF(OR($W173="",$W173=6),"",WORKDAY($X173,CHOOSE($W173,3,3,2,2,3),Holidays))</f>
        <v/>
      </c>
      <c r="Z173" s="17">
        <f>IF(OR($W173="",$W173=6),"",CHOOSE($W173,"1st Email Follow-up","2nd Email Follow-up","Escalate Local Office","Escalate to CBE","Escalate to Roxanne"))</f>
        <v/>
      </c>
    </row>
    <row r="174" spans="18:26">
      <c r="R174" s="15"/>
      <c r="S174" s="16"/>
      <c r="T174" s="17">
        <f>IF(AND(COUNTA($A174:$K174)=0,$L174=""),"",IF($S174="Paid","PAID",IF($S174="Closed","CLOSED",IF($W174="","",IF($W174=6,"ESCALATED TO ROXANNE",IF(TODAY()&gt;$Y174,"OVERDUE",IF($Y174&lt;=WORKDAY(TODAY(),1,Holidays),"DUE TOMORROW",IF($W174=4,"ESCALATED TO LOCAL OFFICE",IF($W174=5,"ESCALATED TO CBE",IF($X174=TODAY(),"EMAIL SENT","MONITORING"))))))))))</f>
        <v/>
      </c>
      <c r="U174" s="17">
        <f>IF($T174="",IF(AND(COUNTA($A174:$K174)&gt;0,$L174=""),"Awaiting Collection Email time stamp.",""),IF(OR($T174="PAID",$T174="CLOSED"),IF($T174="PAID","Account paid. Action completed.","Account closed. No further action required."),CHOOSE($W174,"Collection Email","1st Email Follow-up","2nd Email Follow-up","Escalation to Local Office","Escalation to CBE","Escalation to Roxanne")&amp;" sent "&amp;TEXT($X174,"dd-mmm")&amp;". "&amp;IF($W174=6,"Final escalation completed.",IF($T174="OVERDUE","Next: "&amp;$Z174&amp;" was due "&amp;TEXT($Y174,"dd-mmm")&amp;" - "&amp;(NETWORKDAYS($Y174,TODAY(),Holidays)-1)&amp;" business day(s) late. Send now.",IF($T174="DUE TOMORROW","Next: "&amp;$Z174&amp;IF($Y174&lt;=TODAY()," is due TODAY ("," is due next business day (")&amp;TEXT($Y174,"dd-mmm")&amp;").","Next: "&amp;$Z174&amp;" due "&amp;TEXT($Y174,"dd-mmm")&amp;" ("&amp;(NETWORKDAYS(TODAY(),$Y174,Holidays)-1)&amp;" business day(s) left).")))))</f>
        <v/>
      </c>
      <c r="V174" s="17">
        <f>IF($W174="","",CHOOSE($W174,"Collection Email","1st Follow-up","2nd Follow-up","Local Office","CBE","Roxanne")&amp;IF($W174=6," - Final"," - Day "&amp;MAX(0,NETWORKDAYS($X174,TODAY(),Holidays)-1)&amp;" of "&amp;CHOOSE($W174,3,3,2,2,3))&amp;" | Total Day "&amp;MAX(0,NETWORKDAYS($L174,TODAY(),Holidays)-1))</f>
        <v/>
      </c>
      <c r="W174" s="17">
        <f>IF($L174="","",COUNT($L174:$Q174))</f>
        <v/>
      </c>
      <c r="X174" s="18">
        <f>IF($W174="","",INT(INDEX($L174:$Q174,$W174)))</f>
        <v/>
      </c>
      <c r="Y174" s="18">
        <f>IF(OR($W174="",$W174=6),"",WORKDAY($X174,CHOOSE($W174,3,3,2,2,3),Holidays))</f>
        <v/>
      </c>
      <c r="Z174" s="17">
        <f>IF(OR($W174="",$W174=6),"",CHOOSE($W174,"1st Email Follow-up","2nd Email Follow-up","Escalate Local Office","Escalate to CBE","Escalate to Roxanne"))</f>
        <v/>
      </c>
    </row>
    <row r="175" spans="18:26">
      <c r="R175" s="15"/>
      <c r="S175" s="16"/>
      <c r="T175" s="17">
        <f>IF(AND(COUNTA($A175:$K175)=0,$L175=""),"",IF($S175="Paid","PAID",IF($S175="Closed","CLOSED",IF($W175="","",IF($W175=6,"ESCALATED TO ROXANNE",IF(TODAY()&gt;$Y175,"OVERDUE",IF($Y175&lt;=WORKDAY(TODAY(),1,Holidays),"DUE TOMORROW",IF($W175=4,"ESCALATED TO LOCAL OFFICE",IF($W175=5,"ESCALATED TO CBE",IF($X175=TODAY(),"EMAIL SENT","MONITORING"))))))))))</f>
        <v/>
      </c>
      <c r="U175" s="17">
        <f>IF($T175="",IF(AND(COUNTA($A175:$K175)&gt;0,$L175=""),"Awaiting Collection Email time stamp.",""),IF(OR($T175="PAID",$T175="CLOSED"),IF($T175="PAID","Account paid. Action completed.","Account closed. No further action required."),CHOOSE($W175,"Collection Email","1st Email Follow-up","2nd Email Follow-up","Escalation to Local Office","Escalation to CBE","Escalation to Roxanne")&amp;" sent "&amp;TEXT($X175,"dd-mmm")&amp;". "&amp;IF($W175=6,"Final escalation completed.",IF($T175="OVERDUE","Next: "&amp;$Z175&amp;" was due "&amp;TEXT($Y175,"dd-mmm")&amp;" - "&amp;(NETWORKDAYS($Y175,TODAY(),Holidays)-1)&amp;" business day(s) late. Send now.",IF($T175="DUE TOMORROW","Next: "&amp;$Z175&amp;IF($Y175&lt;=TODAY()," is due TODAY ("," is due next business day (")&amp;TEXT($Y175,"dd-mmm")&amp;").","Next: "&amp;$Z175&amp;" due "&amp;TEXT($Y175,"dd-mmm")&amp;" ("&amp;(NETWORKDAYS(TODAY(),$Y175,Holidays)-1)&amp;" business day(s) left).")))))</f>
        <v/>
      </c>
      <c r="V175" s="17">
        <f>IF($W175="","",CHOOSE($W175,"Collection Email","1st Follow-up","2nd Follow-up","Local Office","CBE","Roxanne")&amp;IF($W175=6," - Final"," - Day "&amp;MAX(0,NETWORKDAYS($X175,TODAY(),Holidays)-1)&amp;" of "&amp;CHOOSE($W175,3,3,2,2,3))&amp;" | Total Day "&amp;MAX(0,NETWORKDAYS($L175,TODAY(),Holidays)-1))</f>
        <v/>
      </c>
      <c r="W175" s="17">
        <f>IF($L175="","",COUNT($L175:$Q175))</f>
        <v/>
      </c>
      <c r="X175" s="18">
        <f>IF($W175="","",INT(INDEX($L175:$Q175,$W175)))</f>
        <v/>
      </c>
      <c r="Y175" s="18">
        <f>IF(OR($W175="",$W175=6),"",WORKDAY($X175,CHOOSE($W175,3,3,2,2,3),Holidays))</f>
        <v/>
      </c>
      <c r="Z175" s="17">
        <f>IF(OR($W175="",$W175=6),"",CHOOSE($W175,"1st Email Follow-up","2nd Email Follow-up","Escalate Local Office","Escalate to CBE","Escalate to Roxanne"))</f>
        <v/>
      </c>
    </row>
    <row r="176" spans="18:26">
      <c r="R176" s="15"/>
      <c r="S176" s="16"/>
      <c r="T176" s="17">
        <f>IF(AND(COUNTA($A176:$K176)=0,$L176=""),"",IF($S176="Paid","PAID",IF($S176="Closed","CLOSED",IF($W176="","",IF($W176=6,"ESCALATED TO ROXANNE",IF(TODAY()&gt;$Y176,"OVERDUE",IF($Y176&lt;=WORKDAY(TODAY(),1,Holidays),"DUE TOMORROW",IF($W176=4,"ESCALATED TO LOCAL OFFICE",IF($W176=5,"ESCALATED TO CBE",IF($X176=TODAY(),"EMAIL SENT","MONITORING"))))))))))</f>
        <v/>
      </c>
      <c r="U176" s="17">
        <f>IF($T176="",IF(AND(COUNTA($A176:$K176)&gt;0,$L176=""),"Awaiting Collection Email time stamp.",""),IF(OR($T176="PAID",$T176="CLOSED"),IF($T176="PAID","Account paid. Action completed.","Account closed. No further action required."),CHOOSE($W176,"Collection Email","1st Email Follow-up","2nd Email Follow-up","Escalation to Local Office","Escalation to CBE","Escalation to Roxanne")&amp;" sent "&amp;TEXT($X176,"dd-mmm")&amp;". "&amp;IF($W176=6,"Final escalation completed.",IF($T176="OVERDUE","Next: "&amp;$Z176&amp;" was due "&amp;TEXT($Y176,"dd-mmm")&amp;" - "&amp;(NETWORKDAYS($Y176,TODAY(),Holidays)-1)&amp;" business day(s) late. Send now.",IF($T176="DUE TOMORROW","Next: "&amp;$Z176&amp;IF($Y176&lt;=TODAY()," is due TODAY ("," is due next business day (")&amp;TEXT($Y176,"dd-mmm")&amp;").","Next: "&amp;$Z176&amp;" due "&amp;TEXT($Y176,"dd-mmm")&amp;" ("&amp;(NETWORKDAYS(TODAY(),$Y176,Holidays)-1)&amp;" business day(s) left).")))))</f>
        <v/>
      </c>
      <c r="V176" s="17">
        <f>IF($W176="","",CHOOSE($W176,"Collection Email","1st Follow-up","2nd Follow-up","Local Office","CBE","Roxanne")&amp;IF($W176=6," - Final"," - Day "&amp;MAX(0,NETWORKDAYS($X176,TODAY(),Holidays)-1)&amp;" of "&amp;CHOOSE($W176,3,3,2,2,3))&amp;" | Total Day "&amp;MAX(0,NETWORKDAYS($L176,TODAY(),Holidays)-1))</f>
        <v/>
      </c>
      <c r="W176" s="17">
        <f>IF($L176="","",COUNT($L176:$Q176))</f>
        <v/>
      </c>
      <c r="X176" s="18">
        <f>IF($W176="","",INT(INDEX($L176:$Q176,$W176)))</f>
        <v/>
      </c>
      <c r="Y176" s="18">
        <f>IF(OR($W176="",$W176=6),"",WORKDAY($X176,CHOOSE($W176,3,3,2,2,3),Holidays))</f>
        <v/>
      </c>
      <c r="Z176" s="17">
        <f>IF(OR($W176="",$W176=6),"",CHOOSE($W176,"1st Email Follow-up","2nd Email Follow-up","Escalate Local Office","Escalate to CBE","Escalate to Roxanne"))</f>
        <v/>
      </c>
    </row>
    <row r="177" spans="18:26">
      <c r="R177" s="15"/>
      <c r="S177" s="16"/>
      <c r="T177" s="17">
        <f>IF(AND(COUNTA($A177:$K177)=0,$L177=""),"",IF($S177="Paid","PAID",IF($S177="Closed","CLOSED",IF($W177="","",IF($W177=6,"ESCALATED TO ROXANNE",IF(TODAY()&gt;$Y177,"OVERDUE",IF($Y177&lt;=WORKDAY(TODAY(),1,Holidays),"DUE TOMORROW",IF($W177=4,"ESCALATED TO LOCAL OFFICE",IF($W177=5,"ESCALATED TO CBE",IF($X177=TODAY(),"EMAIL SENT","MONITORING"))))))))))</f>
        <v/>
      </c>
      <c r="U177" s="17">
        <f>IF($T177="",IF(AND(COUNTA($A177:$K177)&gt;0,$L177=""),"Awaiting Collection Email time stamp.",""),IF(OR($T177="PAID",$T177="CLOSED"),IF($T177="PAID","Account paid. Action completed.","Account closed. No further action required."),CHOOSE($W177,"Collection Email","1st Email Follow-up","2nd Email Follow-up","Escalation to Local Office","Escalation to CBE","Escalation to Roxanne")&amp;" sent "&amp;TEXT($X177,"dd-mmm")&amp;". "&amp;IF($W177=6,"Final escalation completed.",IF($T177="OVERDUE","Next: "&amp;$Z177&amp;" was due "&amp;TEXT($Y177,"dd-mmm")&amp;" - "&amp;(NETWORKDAYS($Y177,TODAY(),Holidays)-1)&amp;" business day(s) late. Send now.",IF($T177="DUE TOMORROW","Next: "&amp;$Z177&amp;IF($Y177&lt;=TODAY()," is due TODAY ("," is due next business day (")&amp;TEXT($Y177,"dd-mmm")&amp;").","Next: "&amp;$Z177&amp;" due "&amp;TEXT($Y177,"dd-mmm")&amp;" ("&amp;(NETWORKDAYS(TODAY(),$Y177,Holidays)-1)&amp;" business day(s) left).")))))</f>
        <v/>
      </c>
      <c r="V177" s="17">
        <f>IF($W177="","",CHOOSE($W177,"Collection Email","1st Follow-up","2nd Follow-up","Local Office","CBE","Roxanne")&amp;IF($W177=6," - Final"," - Day "&amp;MAX(0,NETWORKDAYS($X177,TODAY(),Holidays)-1)&amp;" of "&amp;CHOOSE($W177,3,3,2,2,3))&amp;" | Total Day "&amp;MAX(0,NETWORKDAYS($L177,TODAY(),Holidays)-1))</f>
        <v/>
      </c>
      <c r="W177" s="17">
        <f>IF($L177="","",COUNT($L177:$Q177))</f>
        <v/>
      </c>
      <c r="X177" s="18">
        <f>IF($W177="","",INT(INDEX($L177:$Q177,$W177)))</f>
        <v/>
      </c>
      <c r="Y177" s="18">
        <f>IF(OR($W177="",$W177=6),"",WORKDAY($X177,CHOOSE($W177,3,3,2,2,3),Holidays))</f>
        <v/>
      </c>
      <c r="Z177" s="17">
        <f>IF(OR($W177="",$W177=6),"",CHOOSE($W177,"1st Email Follow-up","2nd Email Follow-up","Escalate Local Office","Escalate to CBE","Escalate to Roxanne"))</f>
        <v/>
      </c>
    </row>
    <row r="178" spans="18:26">
      <c r="R178" s="15"/>
      <c r="S178" s="16"/>
      <c r="T178" s="17">
        <f>IF(AND(COUNTA($A178:$K178)=0,$L178=""),"",IF($S178="Paid","PAID",IF($S178="Closed","CLOSED",IF($W178="","",IF($W178=6,"ESCALATED TO ROXANNE",IF(TODAY()&gt;$Y178,"OVERDUE",IF($Y178&lt;=WORKDAY(TODAY(),1,Holidays),"DUE TOMORROW",IF($W178=4,"ESCALATED TO LOCAL OFFICE",IF($W178=5,"ESCALATED TO CBE",IF($X178=TODAY(),"EMAIL SENT","MONITORING"))))))))))</f>
        <v/>
      </c>
      <c r="U178" s="17">
        <f>IF($T178="",IF(AND(COUNTA($A178:$K178)&gt;0,$L178=""),"Awaiting Collection Email time stamp.",""),IF(OR($T178="PAID",$T178="CLOSED"),IF($T178="PAID","Account paid. Action completed.","Account closed. No further action required."),CHOOSE($W178,"Collection Email","1st Email Follow-up","2nd Email Follow-up","Escalation to Local Office","Escalation to CBE","Escalation to Roxanne")&amp;" sent "&amp;TEXT($X178,"dd-mmm")&amp;". "&amp;IF($W178=6,"Final escalation completed.",IF($T178="OVERDUE","Next: "&amp;$Z178&amp;" was due "&amp;TEXT($Y178,"dd-mmm")&amp;" - "&amp;(NETWORKDAYS($Y178,TODAY(),Holidays)-1)&amp;" business day(s) late. Send now.",IF($T178="DUE TOMORROW","Next: "&amp;$Z178&amp;IF($Y178&lt;=TODAY()," is due TODAY ("," is due next business day (")&amp;TEXT($Y178,"dd-mmm")&amp;").","Next: "&amp;$Z178&amp;" due "&amp;TEXT($Y178,"dd-mmm")&amp;" ("&amp;(NETWORKDAYS(TODAY(),$Y178,Holidays)-1)&amp;" business day(s) left).")))))</f>
        <v/>
      </c>
      <c r="V178" s="17">
        <f>IF($W178="","",CHOOSE($W178,"Collection Email","1st Follow-up","2nd Follow-up","Local Office","CBE","Roxanne")&amp;IF($W178=6," - Final"," - Day "&amp;MAX(0,NETWORKDAYS($X178,TODAY(),Holidays)-1)&amp;" of "&amp;CHOOSE($W178,3,3,2,2,3))&amp;" | Total Day "&amp;MAX(0,NETWORKDAYS($L178,TODAY(),Holidays)-1))</f>
        <v/>
      </c>
      <c r="W178" s="17">
        <f>IF($L178="","",COUNT($L178:$Q178))</f>
        <v/>
      </c>
      <c r="X178" s="18">
        <f>IF($W178="","",INT(INDEX($L178:$Q178,$W178)))</f>
        <v/>
      </c>
      <c r="Y178" s="18">
        <f>IF(OR($W178="",$W178=6),"",WORKDAY($X178,CHOOSE($W178,3,3,2,2,3),Holidays))</f>
        <v/>
      </c>
      <c r="Z178" s="17">
        <f>IF(OR($W178="",$W178=6),"",CHOOSE($W178,"1st Email Follow-up","2nd Email Follow-up","Escalate Local Office","Escalate to CBE","Escalate to Roxanne"))</f>
        <v/>
      </c>
    </row>
    <row r="179" spans="18:26">
      <c r="R179" s="15"/>
      <c r="S179" s="16"/>
      <c r="T179" s="17">
        <f>IF(AND(COUNTA($A179:$K179)=0,$L179=""),"",IF($S179="Paid","PAID",IF($S179="Closed","CLOSED",IF($W179="","",IF($W179=6,"ESCALATED TO ROXANNE",IF(TODAY()&gt;$Y179,"OVERDUE",IF($Y179&lt;=WORKDAY(TODAY(),1,Holidays),"DUE TOMORROW",IF($W179=4,"ESCALATED TO LOCAL OFFICE",IF($W179=5,"ESCALATED TO CBE",IF($X179=TODAY(),"EMAIL SENT","MONITORING"))))))))))</f>
        <v/>
      </c>
      <c r="U179" s="17">
        <f>IF($T179="",IF(AND(COUNTA($A179:$K179)&gt;0,$L179=""),"Awaiting Collection Email time stamp.",""),IF(OR($T179="PAID",$T179="CLOSED"),IF($T179="PAID","Account paid. Action completed.","Account closed. No further action required."),CHOOSE($W179,"Collection Email","1st Email Follow-up","2nd Email Follow-up","Escalation to Local Office","Escalation to CBE","Escalation to Roxanne")&amp;" sent "&amp;TEXT($X179,"dd-mmm")&amp;". "&amp;IF($W179=6,"Final escalation completed.",IF($T179="OVERDUE","Next: "&amp;$Z179&amp;" was due "&amp;TEXT($Y179,"dd-mmm")&amp;" - "&amp;(NETWORKDAYS($Y179,TODAY(),Holidays)-1)&amp;" business day(s) late. Send now.",IF($T179="DUE TOMORROW","Next: "&amp;$Z179&amp;IF($Y179&lt;=TODAY()," is due TODAY ("," is due next business day (")&amp;TEXT($Y179,"dd-mmm")&amp;").","Next: "&amp;$Z179&amp;" due "&amp;TEXT($Y179,"dd-mmm")&amp;" ("&amp;(NETWORKDAYS(TODAY(),$Y179,Holidays)-1)&amp;" business day(s) left).")))))</f>
        <v/>
      </c>
      <c r="V179" s="17">
        <f>IF($W179="","",CHOOSE($W179,"Collection Email","1st Follow-up","2nd Follow-up","Local Office","CBE","Roxanne")&amp;IF($W179=6," - Final"," - Day "&amp;MAX(0,NETWORKDAYS($X179,TODAY(),Holidays)-1)&amp;" of "&amp;CHOOSE($W179,3,3,2,2,3))&amp;" | Total Day "&amp;MAX(0,NETWORKDAYS($L179,TODAY(),Holidays)-1))</f>
        <v/>
      </c>
      <c r="W179" s="17">
        <f>IF($L179="","",COUNT($L179:$Q179))</f>
        <v/>
      </c>
      <c r="X179" s="18">
        <f>IF($W179="","",INT(INDEX($L179:$Q179,$W179)))</f>
        <v/>
      </c>
      <c r="Y179" s="18">
        <f>IF(OR($W179="",$W179=6),"",WORKDAY($X179,CHOOSE($W179,3,3,2,2,3),Holidays))</f>
        <v/>
      </c>
      <c r="Z179" s="17">
        <f>IF(OR($W179="",$W179=6),"",CHOOSE($W179,"1st Email Follow-up","2nd Email Follow-up","Escalate Local Office","Escalate to CBE","Escalate to Roxanne"))</f>
        <v/>
      </c>
    </row>
    <row r="180" spans="18:26">
      <c r="R180" s="15"/>
      <c r="S180" s="16"/>
      <c r="T180" s="17">
        <f>IF(AND(COUNTA($A180:$K180)=0,$L180=""),"",IF($S180="Paid","PAID",IF($S180="Closed","CLOSED",IF($W180="","",IF($W180=6,"ESCALATED TO ROXANNE",IF(TODAY()&gt;$Y180,"OVERDUE",IF($Y180&lt;=WORKDAY(TODAY(),1,Holidays),"DUE TOMORROW",IF($W180=4,"ESCALATED TO LOCAL OFFICE",IF($W180=5,"ESCALATED TO CBE",IF($X180=TODAY(),"EMAIL SENT","MONITORING"))))))))))</f>
        <v/>
      </c>
      <c r="U180" s="17">
        <f>IF($T180="",IF(AND(COUNTA($A180:$K180)&gt;0,$L180=""),"Awaiting Collection Email time stamp.",""),IF(OR($T180="PAID",$T180="CLOSED"),IF($T180="PAID","Account paid. Action completed.","Account closed. No further action required."),CHOOSE($W180,"Collection Email","1st Email Follow-up","2nd Email Follow-up","Escalation to Local Office","Escalation to CBE","Escalation to Roxanne")&amp;" sent "&amp;TEXT($X180,"dd-mmm")&amp;". "&amp;IF($W180=6,"Final escalation completed.",IF($T180="OVERDUE","Next: "&amp;$Z180&amp;" was due "&amp;TEXT($Y180,"dd-mmm")&amp;" - "&amp;(NETWORKDAYS($Y180,TODAY(),Holidays)-1)&amp;" business day(s) late. Send now.",IF($T180="DUE TOMORROW","Next: "&amp;$Z180&amp;IF($Y180&lt;=TODAY()," is due TODAY ("," is due next business day (")&amp;TEXT($Y180,"dd-mmm")&amp;").","Next: "&amp;$Z180&amp;" due "&amp;TEXT($Y180,"dd-mmm")&amp;" ("&amp;(NETWORKDAYS(TODAY(),$Y180,Holidays)-1)&amp;" business day(s) left).")))))</f>
        <v/>
      </c>
      <c r="V180" s="17">
        <f>IF($W180="","",CHOOSE($W180,"Collection Email","1st Follow-up","2nd Follow-up","Local Office","CBE","Roxanne")&amp;IF($W180=6," - Final"," - Day "&amp;MAX(0,NETWORKDAYS($X180,TODAY(),Holidays)-1)&amp;" of "&amp;CHOOSE($W180,3,3,2,2,3))&amp;" | Total Day "&amp;MAX(0,NETWORKDAYS($L180,TODAY(),Holidays)-1))</f>
        <v/>
      </c>
      <c r="W180" s="17">
        <f>IF($L180="","",COUNT($L180:$Q180))</f>
        <v/>
      </c>
      <c r="X180" s="18">
        <f>IF($W180="","",INT(INDEX($L180:$Q180,$W180)))</f>
        <v/>
      </c>
      <c r="Y180" s="18">
        <f>IF(OR($W180="",$W180=6),"",WORKDAY($X180,CHOOSE($W180,3,3,2,2,3),Holidays))</f>
        <v/>
      </c>
      <c r="Z180" s="17">
        <f>IF(OR($W180="",$W180=6),"",CHOOSE($W180,"1st Email Follow-up","2nd Email Follow-up","Escalate Local Office","Escalate to CBE","Escalate to Roxanne"))</f>
        <v/>
      </c>
    </row>
    <row r="181" spans="18:26">
      <c r="R181" s="15"/>
      <c r="S181" s="16"/>
      <c r="T181" s="17">
        <f>IF(AND(COUNTA($A181:$K181)=0,$L181=""),"",IF($S181="Paid","PAID",IF($S181="Closed","CLOSED",IF($W181="","",IF($W181=6,"ESCALATED TO ROXANNE",IF(TODAY()&gt;$Y181,"OVERDUE",IF($Y181&lt;=WORKDAY(TODAY(),1,Holidays),"DUE TOMORROW",IF($W181=4,"ESCALATED TO LOCAL OFFICE",IF($W181=5,"ESCALATED TO CBE",IF($X181=TODAY(),"EMAIL SENT","MONITORING"))))))))))</f>
        <v/>
      </c>
      <c r="U181" s="17">
        <f>IF($T181="",IF(AND(COUNTA($A181:$K181)&gt;0,$L181=""),"Awaiting Collection Email time stamp.",""),IF(OR($T181="PAID",$T181="CLOSED"),IF($T181="PAID","Account paid. Action completed.","Account closed. No further action required."),CHOOSE($W181,"Collection Email","1st Email Follow-up","2nd Email Follow-up","Escalation to Local Office","Escalation to CBE","Escalation to Roxanne")&amp;" sent "&amp;TEXT($X181,"dd-mmm")&amp;". "&amp;IF($W181=6,"Final escalation completed.",IF($T181="OVERDUE","Next: "&amp;$Z181&amp;" was due "&amp;TEXT($Y181,"dd-mmm")&amp;" - "&amp;(NETWORKDAYS($Y181,TODAY(),Holidays)-1)&amp;" business day(s) late. Send now.",IF($T181="DUE TOMORROW","Next: "&amp;$Z181&amp;IF($Y181&lt;=TODAY()," is due TODAY ("," is due next business day (")&amp;TEXT($Y181,"dd-mmm")&amp;").","Next: "&amp;$Z181&amp;" due "&amp;TEXT($Y181,"dd-mmm")&amp;" ("&amp;(NETWORKDAYS(TODAY(),$Y181,Holidays)-1)&amp;" business day(s) left).")))))</f>
        <v/>
      </c>
      <c r="V181" s="17">
        <f>IF($W181="","",CHOOSE($W181,"Collection Email","1st Follow-up","2nd Follow-up","Local Office","CBE","Roxanne")&amp;IF($W181=6," - Final"," - Day "&amp;MAX(0,NETWORKDAYS($X181,TODAY(),Holidays)-1)&amp;" of "&amp;CHOOSE($W181,3,3,2,2,3))&amp;" | Total Day "&amp;MAX(0,NETWORKDAYS($L181,TODAY(),Holidays)-1))</f>
        <v/>
      </c>
      <c r="W181" s="17">
        <f>IF($L181="","",COUNT($L181:$Q181))</f>
        <v/>
      </c>
      <c r="X181" s="18">
        <f>IF($W181="","",INT(INDEX($L181:$Q181,$W181)))</f>
        <v/>
      </c>
      <c r="Y181" s="18">
        <f>IF(OR($W181="",$W181=6),"",WORKDAY($X181,CHOOSE($W181,3,3,2,2,3),Holidays))</f>
        <v/>
      </c>
      <c r="Z181" s="17">
        <f>IF(OR($W181="",$W181=6),"",CHOOSE($W181,"1st Email Follow-up","2nd Email Follow-up","Escalate Local Office","Escalate to CBE","Escalate to Roxanne"))</f>
        <v/>
      </c>
    </row>
    <row r="182" spans="18:26">
      <c r="R182" s="15"/>
      <c r="S182" s="16"/>
      <c r="T182" s="17">
        <f>IF(AND(COUNTA($A182:$K182)=0,$L182=""),"",IF($S182="Paid","PAID",IF($S182="Closed","CLOSED",IF($W182="","",IF($W182=6,"ESCALATED TO ROXANNE",IF(TODAY()&gt;$Y182,"OVERDUE",IF($Y182&lt;=WORKDAY(TODAY(),1,Holidays),"DUE TOMORROW",IF($W182=4,"ESCALATED TO LOCAL OFFICE",IF($W182=5,"ESCALATED TO CBE",IF($X182=TODAY(),"EMAIL SENT","MONITORING"))))))))))</f>
        <v/>
      </c>
      <c r="U182" s="17">
        <f>IF($T182="",IF(AND(COUNTA($A182:$K182)&gt;0,$L182=""),"Awaiting Collection Email time stamp.",""),IF(OR($T182="PAID",$T182="CLOSED"),IF($T182="PAID","Account paid. Action completed.","Account closed. No further action required."),CHOOSE($W182,"Collection Email","1st Email Follow-up","2nd Email Follow-up","Escalation to Local Office","Escalation to CBE","Escalation to Roxanne")&amp;" sent "&amp;TEXT($X182,"dd-mmm")&amp;". "&amp;IF($W182=6,"Final escalation completed.",IF($T182="OVERDUE","Next: "&amp;$Z182&amp;" was due "&amp;TEXT($Y182,"dd-mmm")&amp;" - "&amp;(NETWORKDAYS($Y182,TODAY(),Holidays)-1)&amp;" business day(s) late. Send now.",IF($T182="DUE TOMORROW","Next: "&amp;$Z182&amp;IF($Y182&lt;=TODAY()," is due TODAY ("," is due next business day (")&amp;TEXT($Y182,"dd-mmm")&amp;").","Next: "&amp;$Z182&amp;" due "&amp;TEXT($Y182,"dd-mmm")&amp;" ("&amp;(NETWORKDAYS(TODAY(),$Y182,Holidays)-1)&amp;" business day(s) left).")))))</f>
        <v/>
      </c>
      <c r="V182" s="17">
        <f>IF($W182="","",CHOOSE($W182,"Collection Email","1st Follow-up","2nd Follow-up","Local Office","CBE","Roxanne")&amp;IF($W182=6," - Final"," - Day "&amp;MAX(0,NETWORKDAYS($X182,TODAY(),Holidays)-1)&amp;" of "&amp;CHOOSE($W182,3,3,2,2,3))&amp;" | Total Day "&amp;MAX(0,NETWORKDAYS($L182,TODAY(),Holidays)-1))</f>
        <v/>
      </c>
      <c r="W182" s="17">
        <f>IF($L182="","",COUNT($L182:$Q182))</f>
        <v/>
      </c>
      <c r="X182" s="18">
        <f>IF($W182="","",INT(INDEX($L182:$Q182,$W182)))</f>
        <v/>
      </c>
      <c r="Y182" s="18">
        <f>IF(OR($W182="",$W182=6),"",WORKDAY($X182,CHOOSE($W182,3,3,2,2,3),Holidays))</f>
        <v/>
      </c>
      <c r="Z182" s="17">
        <f>IF(OR($W182="",$W182=6),"",CHOOSE($W182,"1st Email Follow-up","2nd Email Follow-up","Escalate Local Office","Escalate to CBE","Escalate to Roxanne"))</f>
        <v/>
      </c>
    </row>
    <row r="183" spans="18:26">
      <c r="R183" s="15"/>
      <c r="S183" s="16"/>
      <c r="T183" s="17">
        <f>IF(AND(COUNTA($A183:$K183)=0,$L183=""),"",IF($S183="Paid","PAID",IF($S183="Closed","CLOSED",IF($W183="","",IF($W183=6,"ESCALATED TO ROXANNE",IF(TODAY()&gt;$Y183,"OVERDUE",IF($Y183&lt;=WORKDAY(TODAY(),1,Holidays),"DUE TOMORROW",IF($W183=4,"ESCALATED TO LOCAL OFFICE",IF($W183=5,"ESCALATED TO CBE",IF($X183=TODAY(),"EMAIL SENT","MONITORING"))))))))))</f>
        <v/>
      </c>
      <c r="U183" s="17">
        <f>IF($T183="",IF(AND(COUNTA($A183:$K183)&gt;0,$L183=""),"Awaiting Collection Email time stamp.",""),IF(OR($T183="PAID",$T183="CLOSED"),IF($T183="PAID","Account paid. Action completed.","Account closed. No further action required."),CHOOSE($W183,"Collection Email","1st Email Follow-up","2nd Email Follow-up","Escalation to Local Office","Escalation to CBE","Escalation to Roxanne")&amp;" sent "&amp;TEXT($X183,"dd-mmm")&amp;". "&amp;IF($W183=6,"Final escalation completed.",IF($T183="OVERDUE","Next: "&amp;$Z183&amp;" was due "&amp;TEXT($Y183,"dd-mmm")&amp;" - "&amp;(NETWORKDAYS($Y183,TODAY(),Holidays)-1)&amp;" business day(s) late. Send now.",IF($T183="DUE TOMORROW","Next: "&amp;$Z183&amp;IF($Y183&lt;=TODAY()," is due TODAY ("," is due next business day (")&amp;TEXT($Y183,"dd-mmm")&amp;").","Next: "&amp;$Z183&amp;" due "&amp;TEXT($Y183,"dd-mmm")&amp;" ("&amp;(NETWORKDAYS(TODAY(),$Y183,Holidays)-1)&amp;" business day(s) left).")))))</f>
        <v/>
      </c>
      <c r="V183" s="17">
        <f>IF($W183="","",CHOOSE($W183,"Collection Email","1st Follow-up","2nd Follow-up","Local Office","CBE","Roxanne")&amp;IF($W183=6," - Final"," - Day "&amp;MAX(0,NETWORKDAYS($X183,TODAY(),Holidays)-1)&amp;" of "&amp;CHOOSE($W183,3,3,2,2,3))&amp;" | Total Day "&amp;MAX(0,NETWORKDAYS($L183,TODAY(),Holidays)-1))</f>
        <v/>
      </c>
      <c r="W183" s="17">
        <f>IF($L183="","",COUNT($L183:$Q183))</f>
        <v/>
      </c>
      <c r="X183" s="18">
        <f>IF($W183="","",INT(INDEX($L183:$Q183,$W183)))</f>
        <v/>
      </c>
      <c r="Y183" s="18">
        <f>IF(OR($W183="",$W183=6),"",WORKDAY($X183,CHOOSE($W183,3,3,2,2,3),Holidays))</f>
        <v/>
      </c>
      <c r="Z183" s="17">
        <f>IF(OR($W183="",$W183=6),"",CHOOSE($W183,"1st Email Follow-up","2nd Email Follow-up","Escalate Local Office","Escalate to CBE","Escalate to Roxanne"))</f>
        <v/>
      </c>
    </row>
    <row r="184" spans="18:26">
      <c r="R184" s="15"/>
      <c r="S184" s="16"/>
      <c r="T184" s="17">
        <f>IF(AND(COUNTA($A184:$K184)=0,$L184=""),"",IF($S184="Paid","PAID",IF($S184="Closed","CLOSED",IF($W184="","",IF($W184=6,"ESCALATED TO ROXANNE",IF(TODAY()&gt;$Y184,"OVERDUE",IF($Y184&lt;=WORKDAY(TODAY(),1,Holidays),"DUE TOMORROW",IF($W184=4,"ESCALATED TO LOCAL OFFICE",IF($W184=5,"ESCALATED TO CBE",IF($X184=TODAY(),"EMAIL SENT","MONITORING"))))))))))</f>
        <v/>
      </c>
      <c r="U184" s="17">
        <f>IF($T184="",IF(AND(COUNTA($A184:$K184)&gt;0,$L184=""),"Awaiting Collection Email time stamp.",""),IF(OR($T184="PAID",$T184="CLOSED"),IF($T184="PAID","Account paid. Action completed.","Account closed. No further action required."),CHOOSE($W184,"Collection Email","1st Email Follow-up","2nd Email Follow-up","Escalation to Local Office","Escalation to CBE","Escalation to Roxanne")&amp;" sent "&amp;TEXT($X184,"dd-mmm")&amp;". "&amp;IF($W184=6,"Final escalation completed.",IF($T184="OVERDUE","Next: "&amp;$Z184&amp;" was due "&amp;TEXT($Y184,"dd-mmm")&amp;" - "&amp;(NETWORKDAYS($Y184,TODAY(),Holidays)-1)&amp;" business day(s) late. Send now.",IF($T184="DUE TOMORROW","Next: "&amp;$Z184&amp;IF($Y184&lt;=TODAY()," is due TODAY ("," is due next business day (")&amp;TEXT($Y184,"dd-mmm")&amp;").","Next: "&amp;$Z184&amp;" due "&amp;TEXT($Y184,"dd-mmm")&amp;" ("&amp;(NETWORKDAYS(TODAY(),$Y184,Holidays)-1)&amp;" business day(s) left).")))))</f>
        <v/>
      </c>
      <c r="V184" s="17">
        <f>IF($W184="","",CHOOSE($W184,"Collection Email","1st Follow-up","2nd Follow-up","Local Office","CBE","Roxanne")&amp;IF($W184=6," - Final"," - Day "&amp;MAX(0,NETWORKDAYS($X184,TODAY(),Holidays)-1)&amp;" of "&amp;CHOOSE($W184,3,3,2,2,3))&amp;" | Total Day "&amp;MAX(0,NETWORKDAYS($L184,TODAY(),Holidays)-1))</f>
        <v/>
      </c>
      <c r="W184" s="17">
        <f>IF($L184="","",COUNT($L184:$Q184))</f>
        <v/>
      </c>
      <c r="X184" s="18">
        <f>IF($W184="","",INT(INDEX($L184:$Q184,$W184)))</f>
        <v/>
      </c>
      <c r="Y184" s="18">
        <f>IF(OR($W184="",$W184=6),"",WORKDAY($X184,CHOOSE($W184,3,3,2,2,3),Holidays))</f>
        <v/>
      </c>
      <c r="Z184" s="17">
        <f>IF(OR($W184="",$W184=6),"",CHOOSE($W184,"1st Email Follow-up","2nd Email Follow-up","Escalate Local Office","Escalate to CBE","Escalate to Roxanne"))</f>
        <v/>
      </c>
    </row>
    <row r="185" spans="18:26">
      <c r="R185" s="15"/>
      <c r="S185" s="16"/>
      <c r="T185" s="17">
        <f>IF(AND(COUNTA($A185:$K185)=0,$L185=""),"",IF($S185="Paid","PAID",IF($S185="Closed","CLOSED",IF($W185="","",IF($W185=6,"ESCALATED TO ROXANNE",IF(TODAY()&gt;$Y185,"OVERDUE",IF($Y185&lt;=WORKDAY(TODAY(),1,Holidays),"DUE TOMORROW",IF($W185=4,"ESCALATED TO LOCAL OFFICE",IF($W185=5,"ESCALATED TO CBE",IF($X185=TODAY(),"EMAIL SENT","MONITORING"))))))))))</f>
        <v/>
      </c>
      <c r="U185" s="17">
        <f>IF($T185="",IF(AND(COUNTA($A185:$K185)&gt;0,$L185=""),"Awaiting Collection Email time stamp.",""),IF(OR($T185="PAID",$T185="CLOSED"),IF($T185="PAID","Account paid. Action completed.","Account closed. No further action required."),CHOOSE($W185,"Collection Email","1st Email Follow-up","2nd Email Follow-up","Escalation to Local Office","Escalation to CBE","Escalation to Roxanne")&amp;" sent "&amp;TEXT($X185,"dd-mmm")&amp;". "&amp;IF($W185=6,"Final escalation completed.",IF($T185="OVERDUE","Next: "&amp;$Z185&amp;" was due "&amp;TEXT($Y185,"dd-mmm")&amp;" - "&amp;(NETWORKDAYS($Y185,TODAY(),Holidays)-1)&amp;" business day(s) late. Send now.",IF($T185="DUE TOMORROW","Next: "&amp;$Z185&amp;IF($Y185&lt;=TODAY()," is due TODAY ("," is due next business day (")&amp;TEXT($Y185,"dd-mmm")&amp;").","Next: "&amp;$Z185&amp;" due "&amp;TEXT($Y185,"dd-mmm")&amp;" ("&amp;(NETWORKDAYS(TODAY(),$Y185,Holidays)-1)&amp;" business day(s) left).")))))</f>
        <v/>
      </c>
      <c r="V185" s="17">
        <f>IF($W185="","",CHOOSE($W185,"Collection Email","1st Follow-up","2nd Follow-up","Local Office","CBE","Roxanne")&amp;IF($W185=6," - Final"," - Day "&amp;MAX(0,NETWORKDAYS($X185,TODAY(),Holidays)-1)&amp;" of "&amp;CHOOSE($W185,3,3,2,2,3))&amp;" | Total Day "&amp;MAX(0,NETWORKDAYS($L185,TODAY(),Holidays)-1))</f>
        <v/>
      </c>
      <c r="W185" s="17">
        <f>IF($L185="","",COUNT($L185:$Q185))</f>
        <v/>
      </c>
      <c r="X185" s="18">
        <f>IF($W185="","",INT(INDEX($L185:$Q185,$W185)))</f>
        <v/>
      </c>
      <c r="Y185" s="18">
        <f>IF(OR($W185="",$W185=6),"",WORKDAY($X185,CHOOSE($W185,3,3,2,2,3),Holidays))</f>
        <v/>
      </c>
      <c r="Z185" s="17">
        <f>IF(OR($W185="",$W185=6),"",CHOOSE($W185,"1st Email Follow-up","2nd Email Follow-up","Escalate Local Office","Escalate to CBE","Escalate to Roxanne"))</f>
        <v/>
      </c>
    </row>
    <row r="186" spans="18:26">
      <c r="R186" s="15"/>
      <c r="S186" s="16"/>
      <c r="T186" s="17">
        <f>IF(AND(COUNTA($A186:$K186)=0,$L186=""),"",IF($S186="Paid","PAID",IF($S186="Closed","CLOSED",IF($W186="","",IF($W186=6,"ESCALATED TO ROXANNE",IF(TODAY()&gt;$Y186,"OVERDUE",IF($Y186&lt;=WORKDAY(TODAY(),1,Holidays),"DUE TOMORROW",IF($W186=4,"ESCALATED TO LOCAL OFFICE",IF($W186=5,"ESCALATED TO CBE",IF($X186=TODAY(),"EMAIL SENT","MONITORING"))))))))))</f>
        <v/>
      </c>
      <c r="U186" s="17">
        <f>IF($T186="",IF(AND(COUNTA($A186:$K186)&gt;0,$L186=""),"Awaiting Collection Email time stamp.",""),IF(OR($T186="PAID",$T186="CLOSED"),IF($T186="PAID","Account paid. Action completed.","Account closed. No further action required."),CHOOSE($W186,"Collection Email","1st Email Follow-up","2nd Email Follow-up","Escalation to Local Office","Escalation to CBE","Escalation to Roxanne")&amp;" sent "&amp;TEXT($X186,"dd-mmm")&amp;". "&amp;IF($W186=6,"Final escalation completed.",IF($T186="OVERDUE","Next: "&amp;$Z186&amp;" was due "&amp;TEXT($Y186,"dd-mmm")&amp;" - "&amp;(NETWORKDAYS($Y186,TODAY(),Holidays)-1)&amp;" business day(s) late. Send now.",IF($T186="DUE TOMORROW","Next: "&amp;$Z186&amp;IF($Y186&lt;=TODAY()," is due TODAY ("," is due next business day (")&amp;TEXT($Y186,"dd-mmm")&amp;").","Next: "&amp;$Z186&amp;" due "&amp;TEXT($Y186,"dd-mmm")&amp;" ("&amp;(NETWORKDAYS(TODAY(),$Y186,Holidays)-1)&amp;" business day(s) left).")))))</f>
        <v/>
      </c>
      <c r="V186" s="17">
        <f>IF($W186="","",CHOOSE($W186,"Collection Email","1st Follow-up","2nd Follow-up","Local Office","CBE","Roxanne")&amp;IF($W186=6," - Final"," - Day "&amp;MAX(0,NETWORKDAYS($X186,TODAY(),Holidays)-1)&amp;" of "&amp;CHOOSE($W186,3,3,2,2,3))&amp;" | Total Day "&amp;MAX(0,NETWORKDAYS($L186,TODAY(),Holidays)-1))</f>
        <v/>
      </c>
      <c r="W186" s="17">
        <f>IF($L186="","",COUNT($L186:$Q186))</f>
        <v/>
      </c>
      <c r="X186" s="18">
        <f>IF($W186="","",INT(INDEX($L186:$Q186,$W186)))</f>
        <v/>
      </c>
      <c r="Y186" s="18">
        <f>IF(OR($W186="",$W186=6),"",WORKDAY($X186,CHOOSE($W186,3,3,2,2,3),Holidays))</f>
        <v/>
      </c>
      <c r="Z186" s="17">
        <f>IF(OR($W186="",$W186=6),"",CHOOSE($W186,"1st Email Follow-up","2nd Email Follow-up","Escalate Local Office","Escalate to CBE","Escalate to Roxanne"))</f>
        <v/>
      </c>
    </row>
    <row r="187" spans="18:26">
      <c r="R187" s="15"/>
      <c r="S187" s="16"/>
      <c r="T187" s="17">
        <f>IF(AND(COUNTA($A187:$K187)=0,$L187=""),"",IF($S187="Paid","PAID",IF($S187="Closed","CLOSED",IF($W187="","",IF($W187=6,"ESCALATED TO ROXANNE",IF(TODAY()&gt;$Y187,"OVERDUE",IF($Y187&lt;=WORKDAY(TODAY(),1,Holidays),"DUE TOMORROW",IF($W187=4,"ESCALATED TO LOCAL OFFICE",IF($W187=5,"ESCALATED TO CBE",IF($X187=TODAY(),"EMAIL SENT","MONITORING"))))))))))</f>
        <v/>
      </c>
      <c r="U187" s="17">
        <f>IF($T187="",IF(AND(COUNTA($A187:$K187)&gt;0,$L187=""),"Awaiting Collection Email time stamp.",""),IF(OR($T187="PAID",$T187="CLOSED"),IF($T187="PAID","Account paid. Action completed.","Account closed. No further action required."),CHOOSE($W187,"Collection Email","1st Email Follow-up","2nd Email Follow-up","Escalation to Local Office","Escalation to CBE","Escalation to Roxanne")&amp;" sent "&amp;TEXT($X187,"dd-mmm")&amp;". "&amp;IF($W187=6,"Final escalation completed.",IF($T187="OVERDUE","Next: "&amp;$Z187&amp;" was due "&amp;TEXT($Y187,"dd-mmm")&amp;" - "&amp;(NETWORKDAYS($Y187,TODAY(),Holidays)-1)&amp;" business day(s) late. Send now.",IF($T187="DUE TOMORROW","Next: "&amp;$Z187&amp;IF($Y187&lt;=TODAY()," is due TODAY ("," is due next business day (")&amp;TEXT($Y187,"dd-mmm")&amp;").","Next: "&amp;$Z187&amp;" due "&amp;TEXT($Y187,"dd-mmm")&amp;" ("&amp;(NETWORKDAYS(TODAY(),$Y187,Holidays)-1)&amp;" business day(s) left).")))))</f>
        <v/>
      </c>
      <c r="V187" s="17">
        <f>IF($W187="","",CHOOSE($W187,"Collection Email","1st Follow-up","2nd Follow-up","Local Office","CBE","Roxanne")&amp;IF($W187=6," - Final"," - Day "&amp;MAX(0,NETWORKDAYS($X187,TODAY(),Holidays)-1)&amp;" of "&amp;CHOOSE($W187,3,3,2,2,3))&amp;" | Total Day "&amp;MAX(0,NETWORKDAYS($L187,TODAY(),Holidays)-1))</f>
        <v/>
      </c>
      <c r="W187" s="17">
        <f>IF($L187="","",COUNT($L187:$Q187))</f>
        <v/>
      </c>
      <c r="X187" s="18">
        <f>IF($W187="","",INT(INDEX($L187:$Q187,$W187)))</f>
        <v/>
      </c>
      <c r="Y187" s="18">
        <f>IF(OR($W187="",$W187=6),"",WORKDAY($X187,CHOOSE($W187,3,3,2,2,3),Holidays))</f>
        <v/>
      </c>
      <c r="Z187" s="17">
        <f>IF(OR($W187="",$W187=6),"",CHOOSE($W187,"1st Email Follow-up","2nd Email Follow-up","Escalate Local Office","Escalate to CBE","Escalate to Roxanne"))</f>
        <v/>
      </c>
    </row>
    <row r="188" spans="18:26">
      <c r="R188" s="15"/>
      <c r="S188" s="16"/>
      <c r="T188" s="17">
        <f>IF(AND(COUNTA($A188:$K188)=0,$L188=""),"",IF($S188="Paid","PAID",IF($S188="Closed","CLOSED",IF($W188="","",IF($W188=6,"ESCALATED TO ROXANNE",IF(TODAY()&gt;$Y188,"OVERDUE",IF($Y188&lt;=WORKDAY(TODAY(),1,Holidays),"DUE TOMORROW",IF($W188=4,"ESCALATED TO LOCAL OFFICE",IF($W188=5,"ESCALATED TO CBE",IF($X188=TODAY(),"EMAIL SENT","MONITORING"))))))))))</f>
        <v/>
      </c>
      <c r="U188" s="17">
        <f>IF($T188="",IF(AND(COUNTA($A188:$K188)&gt;0,$L188=""),"Awaiting Collection Email time stamp.",""),IF(OR($T188="PAID",$T188="CLOSED"),IF($T188="PAID","Account paid. Action completed.","Account closed. No further action required."),CHOOSE($W188,"Collection Email","1st Email Follow-up","2nd Email Follow-up","Escalation to Local Office","Escalation to CBE","Escalation to Roxanne")&amp;" sent "&amp;TEXT($X188,"dd-mmm")&amp;". "&amp;IF($W188=6,"Final escalation completed.",IF($T188="OVERDUE","Next: "&amp;$Z188&amp;" was due "&amp;TEXT($Y188,"dd-mmm")&amp;" - "&amp;(NETWORKDAYS($Y188,TODAY(),Holidays)-1)&amp;" business day(s) late. Send now.",IF($T188="DUE TOMORROW","Next: "&amp;$Z188&amp;IF($Y188&lt;=TODAY()," is due TODAY ("," is due next business day (")&amp;TEXT($Y188,"dd-mmm")&amp;").","Next: "&amp;$Z188&amp;" due "&amp;TEXT($Y188,"dd-mmm")&amp;" ("&amp;(NETWORKDAYS(TODAY(),$Y188,Holidays)-1)&amp;" business day(s) left).")))))</f>
        <v/>
      </c>
      <c r="V188" s="17">
        <f>IF($W188="","",CHOOSE($W188,"Collection Email","1st Follow-up","2nd Follow-up","Local Office","CBE","Roxanne")&amp;IF($W188=6," - Final"," - Day "&amp;MAX(0,NETWORKDAYS($X188,TODAY(),Holidays)-1)&amp;" of "&amp;CHOOSE($W188,3,3,2,2,3))&amp;" | Total Day "&amp;MAX(0,NETWORKDAYS($L188,TODAY(),Holidays)-1))</f>
        <v/>
      </c>
      <c r="W188" s="17">
        <f>IF($L188="","",COUNT($L188:$Q188))</f>
        <v/>
      </c>
      <c r="X188" s="18">
        <f>IF($W188="","",INT(INDEX($L188:$Q188,$W188)))</f>
        <v/>
      </c>
      <c r="Y188" s="18">
        <f>IF(OR($W188="",$W188=6),"",WORKDAY($X188,CHOOSE($W188,3,3,2,2,3),Holidays))</f>
        <v/>
      </c>
      <c r="Z188" s="17">
        <f>IF(OR($W188="",$W188=6),"",CHOOSE($W188,"1st Email Follow-up","2nd Email Follow-up","Escalate Local Office","Escalate to CBE","Escalate to Roxanne"))</f>
        <v/>
      </c>
    </row>
    <row r="189" spans="18:26">
      <c r="R189" s="15"/>
      <c r="S189" s="16"/>
      <c r="T189" s="17">
        <f>IF(AND(COUNTA($A189:$K189)=0,$L189=""),"",IF($S189="Paid","PAID",IF($S189="Closed","CLOSED",IF($W189="","",IF($W189=6,"ESCALATED TO ROXANNE",IF(TODAY()&gt;$Y189,"OVERDUE",IF($Y189&lt;=WORKDAY(TODAY(),1,Holidays),"DUE TOMORROW",IF($W189=4,"ESCALATED TO LOCAL OFFICE",IF($W189=5,"ESCALATED TO CBE",IF($X189=TODAY(),"EMAIL SENT","MONITORING"))))))))))</f>
        <v/>
      </c>
      <c r="U189" s="17">
        <f>IF($T189="",IF(AND(COUNTA($A189:$K189)&gt;0,$L189=""),"Awaiting Collection Email time stamp.",""),IF(OR($T189="PAID",$T189="CLOSED"),IF($T189="PAID","Account paid. Action completed.","Account closed. No further action required."),CHOOSE($W189,"Collection Email","1st Email Follow-up","2nd Email Follow-up","Escalation to Local Office","Escalation to CBE","Escalation to Roxanne")&amp;" sent "&amp;TEXT($X189,"dd-mmm")&amp;". "&amp;IF($W189=6,"Final escalation completed.",IF($T189="OVERDUE","Next: "&amp;$Z189&amp;" was due "&amp;TEXT($Y189,"dd-mmm")&amp;" - "&amp;(NETWORKDAYS($Y189,TODAY(),Holidays)-1)&amp;" business day(s) late. Send now.",IF($T189="DUE TOMORROW","Next: "&amp;$Z189&amp;IF($Y189&lt;=TODAY()," is due TODAY ("," is due next business day (")&amp;TEXT($Y189,"dd-mmm")&amp;").","Next: "&amp;$Z189&amp;" due "&amp;TEXT($Y189,"dd-mmm")&amp;" ("&amp;(NETWORKDAYS(TODAY(),$Y189,Holidays)-1)&amp;" business day(s) left).")))))</f>
        <v/>
      </c>
      <c r="V189" s="17">
        <f>IF($W189="","",CHOOSE($W189,"Collection Email","1st Follow-up","2nd Follow-up","Local Office","CBE","Roxanne")&amp;IF($W189=6," - Final"," - Day "&amp;MAX(0,NETWORKDAYS($X189,TODAY(),Holidays)-1)&amp;" of "&amp;CHOOSE($W189,3,3,2,2,3))&amp;" | Total Day "&amp;MAX(0,NETWORKDAYS($L189,TODAY(),Holidays)-1))</f>
        <v/>
      </c>
      <c r="W189" s="17">
        <f>IF($L189="","",COUNT($L189:$Q189))</f>
        <v/>
      </c>
      <c r="X189" s="18">
        <f>IF($W189="","",INT(INDEX($L189:$Q189,$W189)))</f>
        <v/>
      </c>
      <c r="Y189" s="18">
        <f>IF(OR($W189="",$W189=6),"",WORKDAY($X189,CHOOSE($W189,3,3,2,2,3),Holidays))</f>
        <v/>
      </c>
      <c r="Z189" s="17">
        <f>IF(OR($W189="",$W189=6),"",CHOOSE($W189,"1st Email Follow-up","2nd Email Follow-up","Escalate Local Office","Escalate to CBE","Escalate to Roxanne"))</f>
        <v/>
      </c>
    </row>
    <row r="190" spans="18:26">
      <c r="R190" s="15"/>
      <c r="S190" s="16"/>
      <c r="T190" s="17">
        <f>IF(AND(COUNTA($A190:$K190)=0,$L190=""),"",IF($S190="Paid","PAID",IF($S190="Closed","CLOSED",IF($W190="","",IF($W190=6,"ESCALATED TO ROXANNE",IF(TODAY()&gt;$Y190,"OVERDUE",IF($Y190&lt;=WORKDAY(TODAY(),1,Holidays),"DUE TOMORROW",IF($W190=4,"ESCALATED TO LOCAL OFFICE",IF($W190=5,"ESCALATED TO CBE",IF($X190=TODAY(),"EMAIL SENT","MONITORING"))))))))))</f>
        <v/>
      </c>
      <c r="U190" s="17">
        <f>IF($T190="",IF(AND(COUNTA($A190:$K190)&gt;0,$L190=""),"Awaiting Collection Email time stamp.",""),IF(OR($T190="PAID",$T190="CLOSED"),IF($T190="PAID","Account paid. Action completed.","Account closed. No further action required."),CHOOSE($W190,"Collection Email","1st Email Follow-up","2nd Email Follow-up","Escalation to Local Office","Escalation to CBE","Escalation to Roxanne")&amp;" sent "&amp;TEXT($X190,"dd-mmm")&amp;". "&amp;IF($W190=6,"Final escalation completed.",IF($T190="OVERDUE","Next: "&amp;$Z190&amp;" was due "&amp;TEXT($Y190,"dd-mmm")&amp;" - "&amp;(NETWORKDAYS($Y190,TODAY(),Holidays)-1)&amp;" business day(s) late. Send now.",IF($T190="DUE TOMORROW","Next: "&amp;$Z190&amp;IF($Y190&lt;=TODAY()," is due TODAY ("," is due next business day (")&amp;TEXT($Y190,"dd-mmm")&amp;").","Next: "&amp;$Z190&amp;" due "&amp;TEXT($Y190,"dd-mmm")&amp;" ("&amp;(NETWORKDAYS(TODAY(),$Y190,Holidays)-1)&amp;" business day(s) left).")))))</f>
        <v/>
      </c>
      <c r="V190" s="17">
        <f>IF($W190="","",CHOOSE($W190,"Collection Email","1st Follow-up","2nd Follow-up","Local Office","CBE","Roxanne")&amp;IF($W190=6," - Final"," - Day "&amp;MAX(0,NETWORKDAYS($X190,TODAY(),Holidays)-1)&amp;" of "&amp;CHOOSE($W190,3,3,2,2,3))&amp;" | Total Day "&amp;MAX(0,NETWORKDAYS($L190,TODAY(),Holidays)-1))</f>
        <v/>
      </c>
      <c r="W190" s="17">
        <f>IF($L190="","",COUNT($L190:$Q190))</f>
        <v/>
      </c>
      <c r="X190" s="18">
        <f>IF($W190="","",INT(INDEX($L190:$Q190,$W190)))</f>
        <v/>
      </c>
      <c r="Y190" s="18">
        <f>IF(OR($W190="",$W190=6),"",WORKDAY($X190,CHOOSE($W190,3,3,2,2,3),Holidays))</f>
        <v/>
      </c>
      <c r="Z190" s="17">
        <f>IF(OR($W190="",$W190=6),"",CHOOSE($W190,"1st Email Follow-up","2nd Email Follow-up","Escalate Local Office","Escalate to CBE","Escalate to Roxanne"))</f>
        <v/>
      </c>
    </row>
    <row r="191" spans="18:26">
      <c r="R191" s="15"/>
      <c r="S191" s="16"/>
      <c r="T191" s="17">
        <f>IF(AND(COUNTA($A191:$K191)=0,$L191=""),"",IF($S191="Paid","PAID",IF($S191="Closed","CLOSED",IF($W191="","",IF($W191=6,"ESCALATED TO ROXANNE",IF(TODAY()&gt;$Y191,"OVERDUE",IF($Y191&lt;=WORKDAY(TODAY(),1,Holidays),"DUE TOMORROW",IF($W191=4,"ESCALATED TO LOCAL OFFICE",IF($W191=5,"ESCALATED TO CBE",IF($X191=TODAY(),"EMAIL SENT","MONITORING"))))))))))</f>
        <v/>
      </c>
      <c r="U191" s="17">
        <f>IF($T191="",IF(AND(COUNTA($A191:$K191)&gt;0,$L191=""),"Awaiting Collection Email time stamp.",""),IF(OR($T191="PAID",$T191="CLOSED"),IF($T191="PAID","Account paid. Action completed.","Account closed. No further action required."),CHOOSE($W191,"Collection Email","1st Email Follow-up","2nd Email Follow-up","Escalation to Local Office","Escalation to CBE","Escalation to Roxanne")&amp;" sent "&amp;TEXT($X191,"dd-mmm")&amp;". "&amp;IF($W191=6,"Final escalation completed.",IF($T191="OVERDUE","Next: "&amp;$Z191&amp;" was due "&amp;TEXT($Y191,"dd-mmm")&amp;" - "&amp;(NETWORKDAYS($Y191,TODAY(),Holidays)-1)&amp;" business day(s) late. Send now.",IF($T191="DUE TOMORROW","Next: "&amp;$Z191&amp;IF($Y191&lt;=TODAY()," is due TODAY ("," is due next business day (")&amp;TEXT($Y191,"dd-mmm")&amp;").","Next: "&amp;$Z191&amp;" due "&amp;TEXT($Y191,"dd-mmm")&amp;" ("&amp;(NETWORKDAYS(TODAY(),$Y191,Holidays)-1)&amp;" business day(s) left).")))))</f>
        <v/>
      </c>
      <c r="V191" s="17">
        <f>IF($W191="","",CHOOSE($W191,"Collection Email","1st Follow-up","2nd Follow-up","Local Office","CBE","Roxanne")&amp;IF($W191=6," - Final"," - Day "&amp;MAX(0,NETWORKDAYS($X191,TODAY(),Holidays)-1)&amp;" of "&amp;CHOOSE($W191,3,3,2,2,3))&amp;" | Total Day "&amp;MAX(0,NETWORKDAYS($L191,TODAY(),Holidays)-1))</f>
        <v/>
      </c>
      <c r="W191" s="17">
        <f>IF($L191="","",COUNT($L191:$Q191))</f>
        <v/>
      </c>
      <c r="X191" s="18">
        <f>IF($W191="","",INT(INDEX($L191:$Q191,$W191)))</f>
        <v/>
      </c>
      <c r="Y191" s="18">
        <f>IF(OR($W191="",$W191=6),"",WORKDAY($X191,CHOOSE($W191,3,3,2,2,3),Holidays))</f>
        <v/>
      </c>
      <c r="Z191" s="17">
        <f>IF(OR($W191="",$W191=6),"",CHOOSE($W191,"1st Email Follow-up","2nd Email Follow-up","Escalate Local Office","Escalate to CBE","Escalate to Roxanne"))</f>
        <v/>
      </c>
    </row>
    <row r="192" spans="18:26">
      <c r="R192" s="15"/>
      <c r="S192" s="16"/>
      <c r="T192" s="17">
        <f>IF(AND(COUNTA($A192:$K192)=0,$L192=""),"",IF($S192="Paid","PAID",IF($S192="Closed","CLOSED",IF($W192="","",IF($W192=6,"ESCALATED TO ROXANNE",IF(TODAY()&gt;$Y192,"OVERDUE",IF($Y192&lt;=WORKDAY(TODAY(),1,Holidays),"DUE TOMORROW",IF($W192=4,"ESCALATED TO LOCAL OFFICE",IF($W192=5,"ESCALATED TO CBE",IF($X192=TODAY(),"EMAIL SENT","MONITORING"))))))))))</f>
        <v/>
      </c>
      <c r="U192" s="17">
        <f>IF($T192="",IF(AND(COUNTA($A192:$K192)&gt;0,$L192=""),"Awaiting Collection Email time stamp.",""),IF(OR($T192="PAID",$T192="CLOSED"),IF($T192="PAID","Account paid. Action completed.","Account closed. No further action required."),CHOOSE($W192,"Collection Email","1st Email Follow-up","2nd Email Follow-up","Escalation to Local Office","Escalation to CBE","Escalation to Roxanne")&amp;" sent "&amp;TEXT($X192,"dd-mmm")&amp;". "&amp;IF($W192=6,"Final escalation completed.",IF($T192="OVERDUE","Next: "&amp;$Z192&amp;" was due "&amp;TEXT($Y192,"dd-mmm")&amp;" - "&amp;(NETWORKDAYS($Y192,TODAY(),Holidays)-1)&amp;" business day(s) late. Send now.",IF($T192="DUE TOMORROW","Next: "&amp;$Z192&amp;IF($Y192&lt;=TODAY()," is due TODAY ("," is due next business day (")&amp;TEXT($Y192,"dd-mmm")&amp;").","Next: "&amp;$Z192&amp;" due "&amp;TEXT($Y192,"dd-mmm")&amp;" ("&amp;(NETWORKDAYS(TODAY(),$Y192,Holidays)-1)&amp;" business day(s) left).")))))</f>
        <v/>
      </c>
      <c r="V192" s="17">
        <f>IF($W192="","",CHOOSE($W192,"Collection Email","1st Follow-up","2nd Follow-up","Local Office","CBE","Roxanne")&amp;IF($W192=6," - Final"," - Day "&amp;MAX(0,NETWORKDAYS($X192,TODAY(),Holidays)-1)&amp;" of "&amp;CHOOSE($W192,3,3,2,2,3))&amp;" | Total Day "&amp;MAX(0,NETWORKDAYS($L192,TODAY(),Holidays)-1))</f>
        <v/>
      </c>
      <c r="W192" s="17">
        <f>IF($L192="","",COUNT($L192:$Q192))</f>
        <v/>
      </c>
      <c r="X192" s="18">
        <f>IF($W192="","",INT(INDEX($L192:$Q192,$W192)))</f>
        <v/>
      </c>
      <c r="Y192" s="18">
        <f>IF(OR($W192="",$W192=6),"",WORKDAY($X192,CHOOSE($W192,3,3,2,2,3),Holidays))</f>
        <v/>
      </c>
      <c r="Z192" s="17">
        <f>IF(OR($W192="",$W192=6),"",CHOOSE($W192,"1st Email Follow-up","2nd Email Follow-up","Escalate Local Office","Escalate to CBE","Escalate to Roxanne"))</f>
        <v/>
      </c>
    </row>
    <row r="193" spans="18:26">
      <c r="R193" s="15"/>
      <c r="S193" s="16"/>
      <c r="T193" s="17">
        <f>IF(AND(COUNTA($A193:$K193)=0,$L193=""),"",IF($S193="Paid","PAID",IF($S193="Closed","CLOSED",IF($W193="","",IF($W193=6,"ESCALATED TO ROXANNE",IF(TODAY()&gt;$Y193,"OVERDUE",IF($Y193&lt;=WORKDAY(TODAY(),1,Holidays),"DUE TOMORROW",IF($W193=4,"ESCALATED TO LOCAL OFFICE",IF($W193=5,"ESCALATED TO CBE",IF($X193=TODAY(),"EMAIL SENT","MONITORING"))))))))))</f>
        <v/>
      </c>
      <c r="U193" s="17">
        <f>IF($T193="",IF(AND(COUNTA($A193:$K193)&gt;0,$L193=""),"Awaiting Collection Email time stamp.",""),IF(OR($T193="PAID",$T193="CLOSED"),IF($T193="PAID","Account paid. Action completed.","Account closed. No further action required."),CHOOSE($W193,"Collection Email","1st Email Follow-up","2nd Email Follow-up","Escalation to Local Office","Escalation to CBE","Escalation to Roxanne")&amp;" sent "&amp;TEXT($X193,"dd-mmm")&amp;". "&amp;IF($W193=6,"Final escalation completed.",IF($T193="OVERDUE","Next: "&amp;$Z193&amp;" was due "&amp;TEXT($Y193,"dd-mmm")&amp;" - "&amp;(NETWORKDAYS($Y193,TODAY(),Holidays)-1)&amp;" business day(s) late. Send now.",IF($T193="DUE TOMORROW","Next: "&amp;$Z193&amp;IF($Y193&lt;=TODAY()," is due TODAY ("," is due next business day (")&amp;TEXT($Y193,"dd-mmm")&amp;").","Next: "&amp;$Z193&amp;" due "&amp;TEXT($Y193,"dd-mmm")&amp;" ("&amp;(NETWORKDAYS(TODAY(),$Y193,Holidays)-1)&amp;" business day(s) left).")))))</f>
        <v/>
      </c>
      <c r="V193" s="17">
        <f>IF($W193="","",CHOOSE($W193,"Collection Email","1st Follow-up","2nd Follow-up","Local Office","CBE","Roxanne")&amp;IF($W193=6," - Final"," - Day "&amp;MAX(0,NETWORKDAYS($X193,TODAY(),Holidays)-1)&amp;" of "&amp;CHOOSE($W193,3,3,2,2,3))&amp;" | Total Day "&amp;MAX(0,NETWORKDAYS($L193,TODAY(),Holidays)-1))</f>
        <v/>
      </c>
      <c r="W193" s="17">
        <f>IF($L193="","",COUNT($L193:$Q193))</f>
        <v/>
      </c>
      <c r="X193" s="18">
        <f>IF($W193="","",INT(INDEX($L193:$Q193,$W193)))</f>
        <v/>
      </c>
      <c r="Y193" s="18">
        <f>IF(OR($W193="",$W193=6),"",WORKDAY($X193,CHOOSE($W193,3,3,2,2,3),Holidays))</f>
        <v/>
      </c>
      <c r="Z193" s="17">
        <f>IF(OR($W193="",$W193=6),"",CHOOSE($W193,"1st Email Follow-up","2nd Email Follow-up","Escalate Local Office","Escalate to CBE","Escalate to Roxanne"))</f>
        <v/>
      </c>
    </row>
    <row r="194" spans="18:26">
      <c r="R194" s="15"/>
      <c r="S194" s="16"/>
      <c r="T194" s="17">
        <f>IF(AND(COUNTA($A194:$K194)=0,$L194=""),"",IF($S194="Paid","PAID",IF($S194="Closed","CLOSED",IF($W194="","",IF($W194=6,"ESCALATED TO ROXANNE",IF(TODAY()&gt;$Y194,"OVERDUE",IF($Y194&lt;=WORKDAY(TODAY(),1,Holidays),"DUE TOMORROW",IF($W194=4,"ESCALATED TO LOCAL OFFICE",IF($W194=5,"ESCALATED TO CBE",IF($X194=TODAY(),"EMAIL SENT","MONITORING"))))))))))</f>
        <v/>
      </c>
      <c r="U194" s="17">
        <f>IF($T194="",IF(AND(COUNTA($A194:$K194)&gt;0,$L194=""),"Awaiting Collection Email time stamp.",""),IF(OR($T194="PAID",$T194="CLOSED"),IF($T194="PAID","Account paid. Action completed.","Account closed. No further action required."),CHOOSE($W194,"Collection Email","1st Email Follow-up","2nd Email Follow-up","Escalation to Local Office","Escalation to CBE","Escalation to Roxanne")&amp;" sent "&amp;TEXT($X194,"dd-mmm")&amp;". "&amp;IF($W194=6,"Final escalation completed.",IF($T194="OVERDUE","Next: "&amp;$Z194&amp;" was due "&amp;TEXT($Y194,"dd-mmm")&amp;" - "&amp;(NETWORKDAYS($Y194,TODAY(),Holidays)-1)&amp;" business day(s) late. Send now.",IF($T194="DUE TOMORROW","Next: "&amp;$Z194&amp;IF($Y194&lt;=TODAY()," is due TODAY ("," is due next business day (")&amp;TEXT($Y194,"dd-mmm")&amp;").","Next: "&amp;$Z194&amp;" due "&amp;TEXT($Y194,"dd-mmm")&amp;" ("&amp;(NETWORKDAYS(TODAY(),$Y194,Holidays)-1)&amp;" business day(s) left).")))))</f>
        <v/>
      </c>
      <c r="V194" s="17">
        <f>IF($W194="","",CHOOSE($W194,"Collection Email","1st Follow-up","2nd Follow-up","Local Office","CBE","Roxanne")&amp;IF($W194=6," - Final"," - Day "&amp;MAX(0,NETWORKDAYS($X194,TODAY(),Holidays)-1)&amp;" of "&amp;CHOOSE($W194,3,3,2,2,3))&amp;" | Total Day "&amp;MAX(0,NETWORKDAYS($L194,TODAY(),Holidays)-1))</f>
        <v/>
      </c>
      <c r="W194" s="17">
        <f>IF($L194="","",COUNT($L194:$Q194))</f>
        <v/>
      </c>
      <c r="X194" s="18">
        <f>IF($W194="","",INT(INDEX($L194:$Q194,$W194)))</f>
        <v/>
      </c>
      <c r="Y194" s="18">
        <f>IF(OR($W194="",$W194=6),"",WORKDAY($X194,CHOOSE($W194,3,3,2,2,3),Holidays))</f>
        <v/>
      </c>
      <c r="Z194" s="17">
        <f>IF(OR($W194="",$W194=6),"",CHOOSE($W194,"1st Email Follow-up","2nd Email Follow-up","Escalate Local Office","Escalate to CBE","Escalate to Roxanne"))</f>
        <v/>
      </c>
    </row>
    <row r="195" spans="18:26">
      <c r="R195" s="15"/>
      <c r="S195" s="16"/>
      <c r="T195" s="17">
        <f>IF(AND(COUNTA($A195:$K195)=0,$L195=""),"",IF($S195="Paid","PAID",IF($S195="Closed","CLOSED",IF($W195="","",IF($W195=6,"ESCALATED TO ROXANNE",IF(TODAY()&gt;$Y195,"OVERDUE",IF($Y195&lt;=WORKDAY(TODAY(),1,Holidays),"DUE TOMORROW",IF($W195=4,"ESCALATED TO LOCAL OFFICE",IF($W195=5,"ESCALATED TO CBE",IF($X195=TODAY(),"EMAIL SENT","MONITORING"))))))))))</f>
        <v/>
      </c>
      <c r="U195" s="17">
        <f>IF($T195="",IF(AND(COUNTA($A195:$K195)&gt;0,$L195=""),"Awaiting Collection Email time stamp.",""),IF(OR($T195="PAID",$T195="CLOSED"),IF($T195="PAID","Account paid. Action completed.","Account closed. No further action required."),CHOOSE($W195,"Collection Email","1st Email Follow-up","2nd Email Follow-up","Escalation to Local Office","Escalation to CBE","Escalation to Roxanne")&amp;" sent "&amp;TEXT($X195,"dd-mmm")&amp;". "&amp;IF($W195=6,"Final escalation completed.",IF($T195="OVERDUE","Next: "&amp;$Z195&amp;" was due "&amp;TEXT($Y195,"dd-mmm")&amp;" - "&amp;(NETWORKDAYS($Y195,TODAY(),Holidays)-1)&amp;" business day(s) late. Send now.",IF($T195="DUE TOMORROW","Next: "&amp;$Z195&amp;IF($Y195&lt;=TODAY()," is due TODAY ("," is due next business day (")&amp;TEXT($Y195,"dd-mmm")&amp;").","Next: "&amp;$Z195&amp;" due "&amp;TEXT($Y195,"dd-mmm")&amp;" ("&amp;(NETWORKDAYS(TODAY(),$Y195,Holidays)-1)&amp;" business day(s) left).")))))</f>
        <v/>
      </c>
      <c r="V195" s="17">
        <f>IF($W195="","",CHOOSE($W195,"Collection Email","1st Follow-up","2nd Follow-up","Local Office","CBE","Roxanne")&amp;IF($W195=6," - Final"," - Day "&amp;MAX(0,NETWORKDAYS($X195,TODAY(),Holidays)-1)&amp;" of "&amp;CHOOSE($W195,3,3,2,2,3))&amp;" | Total Day "&amp;MAX(0,NETWORKDAYS($L195,TODAY(),Holidays)-1))</f>
        <v/>
      </c>
      <c r="W195" s="17">
        <f>IF($L195="","",COUNT($L195:$Q195))</f>
        <v/>
      </c>
      <c r="X195" s="18">
        <f>IF($W195="","",INT(INDEX($L195:$Q195,$W195)))</f>
        <v/>
      </c>
      <c r="Y195" s="18">
        <f>IF(OR($W195="",$W195=6),"",WORKDAY($X195,CHOOSE($W195,3,3,2,2,3),Holidays))</f>
        <v/>
      </c>
      <c r="Z195" s="17">
        <f>IF(OR($W195="",$W195=6),"",CHOOSE($W195,"1st Email Follow-up","2nd Email Follow-up","Escalate Local Office","Escalate to CBE","Escalate to Roxanne"))</f>
        <v/>
      </c>
    </row>
    <row r="196" spans="18:26">
      <c r="R196" s="15"/>
      <c r="S196" s="16"/>
      <c r="T196" s="17">
        <f>IF(AND(COUNTA($A196:$K196)=0,$L196=""),"",IF($S196="Paid","PAID",IF($S196="Closed","CLOSED",IF($W196="","",IF($W196=6,"ESCALATED TO ROXANNE",IF(TODAY()&gt;$Y196,"OVERDUE",IF($Y196&lt;=WORKDAY(TODAY(),1,Holidays),"DUE TOMORROW",IF($W196=4,"ESCALATED TO LOCAL OFFICE",IF($W196=5,"ESCALATED TO CBE",IF($X196=TODAY(),"EMAIL SENT","MONITORING"))))))))))</f>
        <v/>
      </c>
      <c r="U196" s="17">
        <f>IF($T196="",IF(AND(COUNTA($A196:$K196)&gt;0,$L196=""),"Awaiting Collection Email time stamp.",""),IF(OR($T196="PAID",$T196="CLOSED"),IF($T196="PAID","Account paid. Action completed.","Account closed. No further action required."),CHOOSE($W196,"Collection Email","1st Email Follow-up","2nd Email Follow-up","Escalation to Local Office","Escalation to CBE","Escalation to Roxanne")&amp;" sent "&amp;TEXT($X196,"dd-mmm")&amp;". "&amp;IF($W196=6,"Final escalation completed.",IF($T196="OVERDUE","Next: "&amp;$Z196&amp;" was due "&amp;TEXT($Y196,"dd-mmm")&amp;" - "&amp;(NETWORKDAYS($Y196,TODAY(),Holidays)-1)&amp;" business day(s) late. Send now.",IF($T196="DUE TOMORROW","Next: "&amp;$Z196&amp;IF($Y196&lt;=TODAY()," is due TODAY ("," is due next business day (")&amp;TEXT($Y196,"dd-mmm")&amp;").","Next: "&amp;$Z196&amp;" due "&amp;TEXT($Y196,"dd-mmm")&amp;" ("&amp;(NETWORKDAYS(TODAY(),$Y196,Holidays)-1)&amp;" business day(s) left).")))))</f>
        <v/>
      </c>
      <c r="V196" s="17">
        <f>IF($W196="","",CHOOSE($W196,"Collection Email","1st Follow-up","2nd Follow-up","Local Office","CBE","Roxanne")&amp;IF($W196=6," - Final"," - Day "&amp;MAX(0,NETWORKDAYS($X196,TODAY(),Holidays)-1)&amp;" of "&amp;CHOOSE($W196,3,3,2,2,3))&amp;" | Total Day "&amp;MAX(0,NETWORKDAYS($L196,TODAY(),Holidays)-1))</f>
        <v/>
      </c>
      <c r="W196" s="17">
        <f>IF($L196="","",COUNT($L196:$Q196))</f>
        <v/>
      </c>
      <c r="X196" s="18">
        <f>IF($W196="","",INT(INDEX($L196:$Q196,$W196)))</f>
        <v/>
      </c>
      <c r="Y196" s="18">
        <f>IF(OR($W196="",$W196=6),"",WORKDAY($X196,CHOOSE($W196,3,3,2,2,3),Holidays))</f>
        <v/>
      </c>
      <c r="Z196" s="17">
        <f>IF(OR($W196="",$W196=6),"",CHOOSE($W196,"1st Email Follow-up","2nd Email Follow-up","Escalate Local Office","Escalate to CBE","Escalate to Roxanne"))</f>
        <v/>
      </c>
    </row>
    <row r="197" spans="18:26">
      <c r="R197" s="15"/>
      <c r="S197" s="16"/>
      <c r="T197" s="17">
        <f>IF(AND(COUNTA($A197:$K197)=0,$L197=""),"",IF($S197="Paid","PAID",IF($S197="Closed","CLOSED",IF($W197="","",IF($W197=6,"ESCALATED TO ROXANNE",IF(TODAY()&gt;$Y197,"OVERDUE",IF($Y197&lt;=WORKDAY(TODAY(),1,Holidays),"DUE TOMORROW",IF($W197=4,"ESCALATED TO LOCAL OFFICE",IF($W197=5,"ESCALATED TO CBE",IF($X197=TODAY(),"EMAIL SENT","MONITORING"))))))))))</f>
        <v/>
      </c>
      <c r="U197" s="17">
        <f>IF($T197="",IF(AND(COUNTA($A197:$K197)&gt;0,$L197=""),"Awaiting Collection Email time stamp.",""),IF(OR($T197="PAID",$T197="CLOSED"),IF($T197="PAID","Account paid. Action completed.","Account closed. No further action required."),CHOOSE($W197,"Collection Email","1st Email Follow-up","2nd Email Follow-up","Escalation to Local Office","Escalation to CBE","Escalation to Roxanne")&amp;" sent "&amp;TEXT($X197,"dd-mmm")&amp;". "&amp;IF($W197=6,"Final escalation completed.",IF($T197="OVERDUE","Next: "&amp;$Z197&amp;" was due "&amp;TEXT($Y197,"dd-mmm")&amp;" - "&amp;(NETWORKDAYS($Y197,TODAY(),Holidays)-1)&amp;" business day(s) late. Send now.",IF($T197="DUE TOMORROW","Next: "&amp;$Z197&amp;IF($Y197&lt;=TODAY()," is due TODAY ("," is due next business day (")&amp;TEXT($Y197,"dd-mmm")&amp;").","Next: "&amp;$Z197&amp;" due "&amp;TEXT($Y197,"dd-mmm")&amp;" ("&amp;(NETWORKDAYS(TODAY(),$Y197,Holidays)-1)&amp;" business day(s) left).")))))</f>
        <v/>
      </c>
      <c r="V197" s="17">
        <f>IF($W197="","",CHOOSE($W197,"Collection Email","1st Follow-up","2nd Follow-up","Local Office","CBE","Roxanne")&amp;IF($W197=6," - Final"," - Day "&amp;MAX(0,NETWORKDAYS($X197,TODAY(),Holidays)-1)&amp;" of "&amp;CHOOSE($W197,3,3,2,2,3))&amp;" | Total Day "&amp;MAX(0,NETWORKDAYS($L197,TODAY(),Holidays)-1))</f>
        <v/>
      </c>
      <c r="W197" s="17">
        <f>IF($L197="","",COUNT($L197:$Q197))</f>
        <v/>
      </c>
      <c r="X197" s="18">
        <f>IF($W197="","",INT(INDEX($L197:$Q197,$W197)))</f>
        <v/>
      </c>
      <c r="Y197" s="18">
        <f>IF(OR($W197="",$W197=6),"",WORKDAY($X197,CHOOSE($W197,3,3,2,2,3),Holidays))</f>
        <v/>
      </c>
      <c r="Z197" s="17">
        <f>IF(OR($W197="",$W197=6),"",CHOOSE($W197,"1st Email Follow-up","2nd Email Follow-up","Escalate Local Office","Escalate to CBE","Escalate to Roxanne"))</f>
        <v/>
      </c>
    </row>
    <row r="198" spans="18:26">
      <c r="R198" s="15"/>
      <c r="S198" s="16"/>
      <c r="T198" s="17">
        <f>IF(AND(COUNTA($A198:$K198)=0,$L198=""),"",IF($S198="Paid","PAID",IF($S198="Closed","CLOSED",IF($W198="","",IF($W198=6,"ESCALATED TO ROXANNE",IF(TODAY()&gt;$Y198,"OVERDUE",IF($Y198&lt;=WORKDAY(TODAY(),1,Holidays),"DUE TOMORROW",IF($W198=4,"ESCALATED TO LOCAL OFFICE",IF($W198=5,"ESCALATED TO CBE",IF($X198=TODAY(),"EMAIL SENT","MONITORING"))))))))))</f>
        <v/>
      </c>
      <c r="U198" s="17">
        <f>IF($T198="",IF(AND(COUNTA($A198:$K198)&gt;0,$L198=""),"Awaiting Collection Email time stamp.",""),IF(OR($T198="PAID",$T198="CLOSED"),IF($T198="PAID","Account paid. Action completed.","Account closed. No further action required."),CHOOSE($W198,"Collection Email","1st Email Follow-up","2nd Email Follow-up","Escalation to Local Office","Escalation to CBE","Escalation to Roxanne")&amp;" sent "&amp;TEXT($X198,"dd-mmm")&amp;". "&amp;IF($W198=6,"Final escalation completed.",IF($T198="OVERDUE","Next: "&amp;$Z198&amp;" was due "&amp;TEXT($Y198,"dd-mmm")&amp;" - "&amp;(NETWORKDAYS($Y198,TODAY(),Holidays)-1)&amp;" business day(s) late. Send now.",IF($T198="DUE TOMORROW","Next: "&amp;$Z198&amp;IF($Y198&lt;=TODAY()," is due TODAY ("," is due next business day (")&amp;TEXT($Y198,"dd-mmm")&amp;").","Next: "&amp;$Z198&amp;" due "&amp;TEXT($Y198,"dd-mmm")&amp;" ("&amp;(NETWORKDAYS(TODAY(),$Y198,Holidays)-1)&amp;" business day(s) left).")))))</f>
        <v/>
      </c>
      <c r="V198" s="17">
        <f>IF($W198="","",CHOOSE($W198,"Collection Email","1st Follow-up","2nd Follow-up","Local Office","CBE","Roxanne")&amp;IF($W198=6," - Final"," - Day "&amp;MAX(0,NETWORKDAYS($X198,TODAY(),Holidays)-1)&amp;" of "&amp;CHOOSE($W198,3,3,2,2,3))&amp;" | Total Day "&amp;MAX(0,NETWORKDAYS($L198,TODAY(),Holidays)-1))</f>
        <v/>
      </c>
      <c r="W198" s="17">
        <f>IF($L198="","",COUNT($L198:$Q198))</f>
        <v/>
      </c>
      <c r="X198" s="18">
        <f>IF($W198="","",INT(INDEX($L198:$Q198,$W198)))</f>
        <v/>
      </c>
      <c r="Y198" s="18">
        <f>IF(OR($W198="",$W198=6),"",WORKDAY($X198,CHOOSE($W198,3,3,2,2,3),Holidays))</f>
        <v/>
      </c>
      <c r="Z198" s="17">
        <f>IF(OR($W198="",$W198=6),"",CHOOSE($W198,"1st Email Follow-up","2nd Email Follow-up","Escalate Local Office","Escalate to CBE","Escalate to Roxanne"))</f>
        <v/>
      </c>
    </row>
    <row r="199" spans="18:26">
      <c r="R199" s="15"/>
      <c r="S199" s="16"/>
      <c r="T199" s="17">
        <f>IF(AND(COUNTA($A199:$K199)=0,$L199=""),"",IF($S199="Paid","PAID",IF($S199="Closed","CLOSED",IF($W199="","",IF($W199=6,"ESCALATED TO ROXANNE",IF(TODAY()&gt;$Y199,"OVERDUE",IF($Y199&lt;=WORKDAY(TODAY(),1,Holidays),"DUE TOMORROW",IF($W199=4,"ESCALATED TO LOCAL OFFICE",IF($W199=5,"ESCALATED TO CBE",IF($X199=TODAY(),"EMAIL SENT","MONITORING"))))))))))</f>
        <v/>
      </c>
      <c r="U199" s="17">
        <f>IF($T199="",IF(AND(COUNTA($A199:$K199)&gt;0,$L199=""),"Awaiting Collection Email time stamp.",""),IF(OR($T199="PAID",$T199="CLOSED"),IF($T199="PAID","Account paid. Action completed.","Account closed. No further action required."),CHOOSE($W199,"Collection Email","1st Email Follow-up","2nd Email Follow-up","Escalation to Local Office","Escalation to CBE","Escalation to Roxanne")&amp;" sent "&amp;TEXT($X199,"dd-mmm")&amp;". "&amp;IF($W199=6,"Final escalation completed.",IF($T199="OVERDUE","Next: "&amp;$Z199&amp;" was due "&amp;TEXT($Y199,"dd-mmm")&amp;" - "&amp;(NETWORKDAYS($Y199,TODAY(),Holidays)-1)&amp;" business day(s) late. Send now.",IF($T199="DUE TOMORROW","Next: "&amp;$Z199&amp;IF($Y199&lt;=TODAY()," is due TODAY ("," is due next business day (")&amp;TEXT($Y199,"dd-mmm")&amp;").","Next: "&amp;$Z199&amp;" due "&amp;TEXT($Y199,"dd-mmm")&amp;" ("&amp;(NETWORKDAYS(TODAY(),$Y199,Holidays)-1)&amp;" business day(s) left).")))))</f>
        <v/>
      </c>
      <c r="V199" s="17">
        <f>IF($W199="","",CHOOSE($W199,"Collection Email","1st Follow-up","2nd Follow-up","Local Office","CBE","Roxanne")&amp;IF($W199=6," - Final"," - Day "&amp;MAX(0,NETWORKDAYS($X199,TODAY(),Holidays)-1)&amp;" of "&amp;CHOOSE($W199,3,3,2,2,3))&amp;" | Total Day "&amp;MAX(0,NETWORKDAYS($L199,TODAY(),Holidays)-1))</f>
        <v/>
      </c>
      <c r="W199" s="17">
        <f>IF($L199="","",COUNT($L199:$Q199))</f>
        <v/>
      </c>
      <c r="X199" s="18">
        <f>IF($W199="","",INT(INDEX($L199:$Q199,$W199)))</f>
        <v/>
      </c>
      <c r="Y199" s="18">
        <f>IF(OR($W199="",$W199=6),"",WORKDAY($X199,CHOOSE($W199,3,3,2,2,3),Holidays))</f>
        <v/>
      </c>
      <c r="Z199" s="17">
        <f>IF(OR($W199="",$W199=6),"",CHOOSE($W199,"1st Email Follow-up","2nd Email Follow-up","Escalate Local Office","Escalate to CBE","Escalate to Roxanne"))</f>
        <v/>
      </c>
    </row>
    <row r="200" spans="18:26">
      <c r="R200" s="15"/>
      <c r="S200" s="16"/>
      <c r="T200" s="17">
        <f>IF(AND(COUNTA($A200:$K200)=0,$L200=""),"",IF($S200="Paid","PAID",IF($S200="Closed","CLOSED",IF($W200="","",IF($W200=6,"ESCALATED TO ROXANNE",IF(TODAY()&gt;$Y200,"OVERDUE",IF($Y200&lt;=WORKDAY(TODAY(),1,Holidays),"DUE TOMORROW",IF($W200=4,"ESCALATED TO LOCAL OFFICE",IF($W200=5,"ESCALATED TO CBE",IF($X200=TODAY(),"EMAIL SENT","MONITORING"))))))))))</f>
        <v/>
      </c>
      <c r="U200" s="17">
        <f>IF($T200="",IF(AND(COUNTA($A200:$K200)&gt;0,$L200=""),"Awaiting Collection Email time stamp.",""),IF(OR($T200="PAID",$T200="CLOSED"),IF($T200="PAID","Account paid. Action completed.","Account closed. No further action required."),CHOOSE($W200,"Collection Email","1st Email Follow-up","2nd Email Follow-up","Escalation to Local Office","Escalation to CBE","Escalation to Roxanne")&amp;" sent "&amp;TEXT($X200,"dd-mmm")&amp;". "&amp;IF($W200=6,"Final escalation completed.",IF($T200="OVERDUE","Next: "&amp;$Z200&amp;" was due "&amp;TEXT($Y200,"dd-mmm")&amp;" - "&amp;(NETWORKDAYS($Y200,TODAY(),Holidays)-1)&amp;" business day(s) late. Send now.",IF($T200="DUE TOMORROW","Next: "&amp;$Z200&amp;IF($Y200&lt;=TODAY()," is due TODAY ("," is due next business day (")&amp;TEXT($Y200,"dd-mmm")&amp;").","Next: "&amp;$Z200&amp;" due "&amp;TEXT($Y200,"dd-mmm")&amp;" ("&amp;(NETWORKDAYS(TODAY(),$Y200,Holidays)-1)&amp;" business day(s) left).")))))</f>
        <v/>
      </c>
      <c r="V200" s="17">
        <f>IF($W200="","",CHOOSE($W200,"Collection Email","1st Follow-up","2nd Follow-up","Local Office","CBE","Roxanne")&amp;IF($W200=6," - Final"," - Day "&amp;MAX(0,NETWORKDAYS($X200,TODAY(),Holidays)-1)&amp;" of "&amp;CHOOSE($W200,3,3,2,2,3))&amp;" | Total Day "&amp;MAX(0,NETWORKDAYS($L200,TODAY(),Holidays)-1))</f>
        <v/>
      </c>
      <c r="W200" s="17">
        <f>IF($L200="","",COUNT($L200:$Q200))</f>
        <v/>
      </c>
      <c r="X200" s="18">
        <f>IF($W200="","",INT(INDEX($L200:$Q200,$W200)))</f>
        <v/>
      </c>
      <c r="Y200" s="18">
        <f>IF(OR($W200="",$W200=6),"",WORKDAY($X200,CHOOSE($W200,3,3,2,2,3),Holidays))</f>
        <v/>
      </c>
      <c r="Z200" s="17">
        <f>IF(OR($W200="",$W200=6),"",CHOOSE($W200,"1st Email Follow-up","2nd Email Follow-up","Escalate Local Office","Escalate to CBE","Escalate to Roxanne"))</f>
        <v/>
      </c>
    </row>
    <row r="201" spans="18:26">
      <c r="R201" s="15"/>
      <c r="S201" s="16"/>
      <c r="T201" s="17">
        <f>IF(AND(COUNTA($A201:$K201)=0,$L201=""),"",IF($S201="Paid","PAID",IF($S201="Closed","CLOSED",IF($W201="","",IF($W201=6,"ESCALATED TO ROXANNE",IF(TODAY()&gt;$Y201,"OVERDUE",IF($Y201&lt;=WORKDAY(TODAY(),1,Holidays),"DUE TOMORROW",IF($W201=4,"ESCALATED TO LOCAL OFFICE",IF($W201=5,"ESCALATED TO CBE",IF($X201=TODAY(),"EMAIL SENT","MONITORING"))))))))))</f>
        <v/>
      </c>
      <c r="U201" s="17">
        <f>IF($T201="",IF(AND(COUNTA($A201:$K201)&gt;0,$L201=""),"Awaiting Collection Email time stamp.",""),IF(OR($T201="PAID",$T201="CLOSED"),IF($T201="PAID","Account paid. Action completed.","Account closed. No further action required."),CHOOSE($W201,"Collection Email","1st Email Follow-up","2nd Email Follow-up","Escalation to Local Office","Escalation to CBE","Escalation to Roxanne")&amp;" sent "&amp;TEXT($X201,"dd-mmm")&amp;". "&amp;IF($W201=6,"Final escalation completed.",IF($T201="OVERDUE","Next: "&amp;$Z201&amp;" was due "&amp;TEXT($Y201,"dd-mmm")&amp;" - "&amp;(NETWORKDAYS($Y201,TODAY(),Holidays)-1)&amp;" business day(s) late. Send now.",IF($T201="DUE TOMORROW","Next: "&amp;$Z201&amp;IF($Y201&lt;=TODAY()," is due TODAY ("," is due next business day (")&amp;TEXT($Y201,"dd-mmm")&amp;").","Next: "&amp;$Z201&amp;" due "&amp;TEXT($Y201,"dd-mmm")&amp;" ("&amp;(NETWORKDAYS(TODAY(),$Y201,Holidays)-1)&amp;" business day(s) left).")))))</f>
        <v/>
      </c>
      <c r="V201" s="17">
        <f>IF($W201="","",CHOOSE($W201,"Collection Email","1st Follow-up","2nd Follow-up","Local Office","CBE","Roxanne")&amp;IF($W201=6," - Final"," - Day "&amp;MAX(0,NETWORKDAYS($X201,TODAY(),Holidays)-1)&amp;" of "&amp;CHOOSE($W201,3,3,2,2,3))&amp;" | Total Day "&amp;MAX(0,NETWORKDAYS($L201,TODAY(),Holidays)-1))</f>
        <v/>
      </c>
      <c r="W201" s="17">
        <f>IF($L201="","",COUNT($L201:$Q201))</f>
        <v/>
      </c>
      <c r="X201" s="18">
        <f>IF($W201="","",INT(INDEX($L201:$Q201,$W201)))</f>
        <v/>
      </c>
      <c r="Y201" s="18">
        <f>IF(OR($W201="",$W201=6),"",WORKDAY($X201,CHOOSE($W201,3,3,2,2,3),Holidays))</f>
        <v/>
      </c>
      <c r="Z201" s="17">
        <f>IF(OR($W201="",$W201=6),"",CHOOSE($W201,"1st Email Follow-up","2nd Email Follow-up","Escalate Local Office","Escalate to CBE","Escalate to Roxanne"))</f>
        <v/>
      </c>
    </row>
    <row r="202" spans="18:26">
      <c r="R202" s="15"/>
      <c r="S202" s="16"/>
      <c r="T202" s="17">
        <f>IF(AND(COUNTA($A202:$K202)=0,$L202=""),"",IF($S202="Paid","PAID",IF($S202="Closed","CLOSED",IF($W202="","",IF($W202=6,"ESCALATED TO ROXANNE",IF(TODAY()&gt;$Y202,"OVERDUE",IF($Y202&lt;=WORKDAY(TODAY(),1,Holidays),"DUE TOMORROW",IF($W202=4,"ESCALATED TO LOCAL OFFICE",IF($W202=5,"ESCALATED TO CBE",IF($X202=TODAY(),"EMAIL SENT","MONITORING"))))))))))</f>
        <v/>
      </c>
      <c r="U202" s="17">
        <f>IF($T202="",IF(AND(COUNTA($A202:$K202)&gt;0,$L202=""),"Awaiting Collection Email time stamp.",""),IF(OR($T202="PAID",$T202="CLOSED"),IF($T202="PAID","Account paid. Action completed.","Account closed. No further action required."),CHOOSE($W202,"Collection Email","1st Email Follow-up","2nd Email Follow-up","Escalation to Local Office","Escalation to CBE","Escalation to Roxanne")&amp;" sent "&amp;TEXT($X202,"dd-mmm")&amp;". "&amp;IF($W202=6,"Final escalation completed.",IF($T202="OVERDUE","Next: "&amp;$Z202&amp;" was due "&amp;TEXT($Y202,"dd-mmm")&amp;" - "&amp;(NETWORKDAYS($Y202,TODAY(),Holidays)-1)&amp;" business day(s) late. Send now.",IF($T202="DUE TOMORROW","Next: "&amp;$Z202&amp;IF($Y202&lt;=TODAY()," is due TODAY ("," is due next business day (")&amp;TEXT($Y202,"dd-mmm")&amp;").","Next: "&amp;$Z202&amp;" due "&amp;TEXT($Y202,"dd-mmm")&amp;" ("&amp;(NETWORKDAYS(TODAY(),$Y202,Holidays)-1)&amp;" business day(s) left).")))))</f>
        <v/>
      </c>
      <c r="V202" s="17">
        <f>IF($W202="","",CHOOSE($W202,"Collection Email","1st Follow-up","2nd Follow-up","Local Office","CBE","Roxanne")&amp;IF($W202=6," - Final"," - Day "&amp;MAX(0,NETWORKDAYS($X202,TODAY(),Holidays)-1)&amp;" of "&amp;CHOOSE($W202,3,3,2,2,3))&amp;" | Total Day "&amp;MAX(0,NETWORKDAYS($L202,TODAY(),Holidays)-1))</f>
        <v/>
      </c>
      <c r="W202" s="17">
        <f>IF($L202="","",COUNT($L202:$Q202))</f>
        <v/>
      </c>
      <c r="X202" s="18">
        <f>IF($W202="","",INT(INDEX($L202:$Q202,$W202)))</f>
        <v/>
      </c>
      <c r="Y202" s="18">
        <f>IF(OR($W202="",$W202=6),"",WORKDAY($X202,CHOOSE($W202,3,3,2,2,3),Holidays))</f>
        <v/>
      </c>
      <c r="Z202" s="17">
        <f>IF(OR($W202="",$W202=6),"",CHOOSE($W202,"1st Email Follow-up","2nd Email Follow-up","Escalate Local Office","Escalate to CBE","Escalate to Roxanne"))</f>
        <v/>
      </c>
    </row>
    <row r="203" spans="18:26">
      <c r="R203" s="15"/>
      <c r="S203" s="16"/>
      <c r="T203" s="17">
        <f>IF(AND(COUNTA($A203:$K203)=0,$L203=""),"",IF($S203="Paid","PAID",IF($S203="Closed","CLOSED",IF($W203="","",IF($W203=6,"ESCALATED TO ROXANNE",IF(TODAY()&gt;$Y203,"OVERDUE",IF($Y203&lt;=WORKDAY(TODAY(),1,Holidays),"DUE TOMORROW",IF($W203=4,"ESCALATED TO LOCAL OFFICE",IF($W203=5,"ESCALATED TO CBE",IF($X203=TODAY(),"EMAIL SENT","MONITORING"))))))))))</f>
        <v/>
      </c>
      <c r="U203" s="17">
        <f>IF($T203="",IF(AND(COUNTA($A203:$K203)&gt;0,$L203=""),"Awaiting Collection Email time stamp.",""),IF(OR($T203="PAID",$T203="CLOSED"),IF($T203="PAID","Account paid. Action completed.","Account closed. No further action required."),CHOOSE($W203,"Collection Email","1st Email Follow-up","2nd Email Follow-up","Escalation to Local Office","Escalation to CBE","Escalation to Roxanne")&amp;" sent "&amp;TEXT($X203,"dd-mmm")&amp;". "&amp;IF($W203=6,"Final escalation completed.",IF($T203="OVERDUE","Next: "&amp;$Z203&amp;" was due "&amp;TEXT($Y203,"dd-mmm")&amp;" - "&amp;(NETWORKDAYS($Y203,TODAY(),Holidays)-1)&amp;" business day(s) late. Send now.",IF($T203="DUE TOMORROW","Next: "&amp;$Z203&amp;IF($Y203&lt;=TODAY()," is due TODAY ("," is due next business day (")&amp;TEXT($Y203,"dd-mmm")&amp;").","Next: "&amp;$Z203&amp;" due "&amp;TEXT($Y203,"dd-mmm")&amp;" ("&amp;(NETWORKDAYS(TODAY(),$Y203,Holidays)-1)&amp;" business day(s) left).")))))</f>
        <v/>
      </c>
      <c r="V203" s="17">
        <f>IF($W203="","",CHOOSE($W203,"Collection Email","1st Follow-up","2nd Follow-up","Local Office","CBE","Roxanne")&amp;IF($W203=6," - Final"," - Day "&amp;MAX(0,NETWORKDAYS($X203,TODAY(),Holidays)-1)&amp;" of "&amp;CHOOSE($W203,3,3,2,2,3))&amp;" | Total Day "&amp;MAX(0,NETWORKDAYS($L203,TODAY(),Holidays)-1))</f>
        <v/>
      </c>
      <c r="W203" s="17">
        <f>IF($L203="","",COUNT($L203:$Q203))</f>
        <v/>
      </c>
      <c r="X203" s="18">
        <f>IF($W203="","",INT(INDEX($L203:$Q203,$W203)))</f>
        <v/>
      </c>
      <c r="Y203" s="18">
        <f>IF(OR($W203="",$W203=6),"",WORKDAY($X203,CHOOSE($W203,3,3,2,2,3),Holidays))</f>
        <v/>
      </c>
      <c r="Z203" s="17">
        <f>IF(OR($W203="",$W203=6),"",CHOOSE($W203,"1st Email Follow-up","2nd Email Follow-up","Escalate Local Office","Escalate to CBE","Escalate to Roxanne"))</f>
        <v/>
      </c>
    </row>
    <row r="204" spans="18:26">
      <c r="R204" s="15"/>
      <c r="S204" s="16"/>
      <c r="T204" s="17">
        <f>IF(AND(COUNTA($A204:$K204)=0,$L204=""),"",IF($S204="Paid","PAID",IF($S204="Closed","CLOSED",IF($W204="","",IF($W204=6,"ESCALATED TO ROXANNE",IF(TODAY()&gt;$Y204,"OVERDUE",IF($Y204&lt;=WORKDAY(TODAY(),1,Holidays),"DUE TOMORROW",IF($W204=4,"ESCALATED TO LOCAL OFFICE",IF($W204=5,"ESCALATED TO CBE",IF($X204=TODAY(),"EMAIL SENT","MONITORING"))))))))))</f>
        <v/>
      </c>
      <c r="U204" s="17">
        <f>IF($T204="",IF(AND(COUNTA($A204:$K204)&gt;0,$L204=""),"Awaiting Collection Email time stamp.",""),IF(OR($T204="PAID",$T204="CLOSED"),IF($T204="PAID","Account paid. Action completed.","Account closed. No further action required."),CHOOSE($W204,"Collection Email","1st Email Follow-up","2nd Email Follow-up","Escalation to Local Office","Escalation to CBE","Escalation to Roxanne")&amp;" sent "&amp;TEXT($X204,"dd-mmm")&amp;". "&amp;IF($W204=6,"Final escalation completed.",IF($T204="OVERDUE","Next: "&amp;$Z204&amp;" was due "&amp;TEXT($Y204,"dd-mmm")&amp;" - "&amp;(NETWORKDAYS($Y204,TODAY(),Holidays)-1)&amp;" business day(s) late. Send now.",IF($T204="DUE TOMORROW","Next: "&amp;$Z204&amp;IF($Y204&lt;=TODAY()," is due TODAY ("," is due next business day (")&amp;TEXT($Y204,"dd-mmm")&amp;").","Next: "&amp;$Z204&amp;" due "&amp;TEXT($Y204,"dd-mmm")&amp;" ("&amp;(NETWORKDAYS(TODAY(),$Y204,Holidays)-1)&amp;" business day(s) left).")))))</f>
        <v/>
      </c>
      <c r="V204" s="17">
        <f>IF($W204="","",CHOOSE($W204,"Collection Email","1st Follow-up","2nd Follow-up","Local Office","CBE","Roxanne")&amp;IF($W204=6," - Final"," - Day "&amp;MAX(0,NETWORKDAYS($X204,TODAY(),Holidays)-1)&amp;" of "&amp;CHOOSE($W204,3,3,2,2,3))&amp;" | Total Day "&amp;MAX(0,NETWORKDAYS($L204,TODAY(),Holidays)-1))</f>
        <v/>
      </c>
      <c r="W204" s="17">
        <f>IF($L204="","",COUNT($L204:$Q204))</f>
        <v/>
      </c>
      <c r="X204" s="18">
        <f>IF($W204="","",INT(INDEX($L204:$Q204,$W204)))</f>
        <v/>
      </c>
      <c r="Y204" s="18">
        <f>IF(OR($W204="",$W204=6),"",WORKDAY($X204,CHOOSE($W204,3,3,2,2,3),Holidays))</f>
        <v/>
      </c>
      <c r="Z204" s="17">
        <f>IF(OR($W204="",$W204=6),"",CHOOSE($W204,"1st Email Follow-up","2nd Email Follow-up","Escalate Local Office","Escalate to CBE","Escalate to Roxanne"))</f>
        <v/>
      </c>
    </row>
    <row r="205" spans="18:26">
      <c r="R205" s="15"/>
      <c r="S205" s="16"/>
      <c r="T205" s="17">
        <f>IF(AND(COUNTA($A205:$K205)=0,$L205=""),"",IF($S205="Paid","PAID",IF($S205="Closed","CLOSED",IF($W205="","",IF($W205=6,"ESCALATED TO ROXANNE",IF(TODAY()&gt;$Y205,"OVERDUE",IF($Y205&lt;=WORKDAY(TODAY(),1,Holidays),"DUE TOMORROW",IF($W205=4,"ESCALATED TO LOCAL OFFICE",IF($W205=5,"ESCALATED TO CBE",IF($X205=TODAY(),"EMAIL SENT","MONITORING"))))))))))</f>
        <v/>
      </c>
      <c r="U205" s="17">
        <f>IF($T205="",IF(AND(COUNTA($A205:$K205)&gt;0,$L205=""),"Awaiting Collection Email time stamp.",""),IF(OR($T205="PAID",$T205="CLOSED"),IF($T205="PAID","Account paid. Action completed.","Account closed. No further action required."),CHOOSE($W205,"Collection Email","1st Email Follow-up","2nd Email Follow-up","Escalation to Local Office","Escalation to CBE","Escalation to Roxanne")&amp;" sent "&amp;TEXT($X205,"dd-mmm")&amp;". "&amp;IF($W205=6,"Final escalation completed.",IF($T205="OVERDUE","Next: "&amp;$Z205&amp;" was due "&amp;TEXT($Y205,"dd-mmm")&amp;" - "&amp;(NETWORKDAYS($Y205,TODAY(),Holidays)-1)&amp;" business day(s) late. Send now.",IF($T205="DUE TOMORROW","Next: "&amp;$Z205&amp;IF($Y205&lt;=TODAY()," is due TODAY ("," is due next business day (")&amp;TEXT($Y205,"dd-mmm")&amp;").","Next: "&amp;$Z205&amp;" due "&amp;TEXT($Y205,"dd-mmm")&amp;" ("&amp;(NETWORKDAYS(TODAY(),$Y205,Holidays)-1)&amp;" business day(s) left).")))))</f>
        <v/>
      </c>
      <c r="V205" s="17">
        <f>IF($W205="","",CHOOSE($W205,"Collection Email","1st Follow-up","2nd Follow-up","Local Office","CBE","Roxanne")&amp;IF($W205=6," - Final"," - Day "&amp;MAX(0,NETWORKDAYS($X205,TODAY(),Holidays)-1)&amp;" of "&amp;CHOOSE($W205,3,3,2,2,3))&amp;" | Total Day "&amp;MAX(0,NETWORKDAYS($L205,TODAY(),Holidays)-1))</f>
        <v/>
      </c>
      <c r="W205" s="17">
        <f>IF($L205="","",COUNT($L205:$Q205))</f>
        <v/>
      </c>
      <c r="X205" s="18">
        <f>IF($W205="","",INT(INDEX($L205:$Q205,$W205)))</f>
        <v/>
      </c>
      <c r="Y205" s="18">
        <f>IF(OR($W205="",$W205=6),"",WORKDAY($X205,CHOOSE($W205,3,3,2,2,3),Holidays))</f>
        <v/>
      </c>
      <c r="Z205" s="17">
        <f>IF(OR($W205="",$W205=6),"",CHOOSE($W205,"1st Email Follow-up","2nd Email Follow-up","Escalate Local Office","Escalate to CBE","Escalate to Roxanne"))</f>
        <v/>
      </c>
    </row>
    <row r="206" spans="18:26">
      <c r="R206" s="15"/>
      <c r="S206" s="16"/>
      <c r="T206" s="17">
        <f>IF(AND(COUNTA($A206:$K206)=0,$L206=""),"",IF($S206="Paid","PAID",IF($S206="Closed","CLOSED",IF($W206="","",IF($W206=6,"ESCALATED TO ROXANNE",IF(TODAY()&gt;$Y206,"OVERDUE",IF($Y206&lt;=WORKDAY(TODAY(),1,Holidays),"DUE TOMORROW",IF($W206=4,"ESCALATED TO LOCAL OFFICE",IF($W206=5,"ESCALATED TO CBE",IF($X206=TODAY(),"EMAIL SENT","MONITORING"))))))))))</f>
        <v/>
      </c>
      <c r="U206" s="17">
        <f>IF($T206="",IF(AND(COUNTA($A206:$K206)&gt;0,$L206=""),"Awaiting Collection Email time stamp.",""),IF(OR($T206="PAID",$T206="CLOSED"),IF($T206="PAID","Account paid. Action completed.","Account closed. No further action required."),CHOOSE($W206,"Collection Email","1st Email Follow-up","2nd Email Follow-up","Escalation to Local Office","Escalation to CBE","Escalation to Roxanne")&amp;" sent "&amp;TEXT($X206,"dd-mmm")&amp;". "&amp;IF($W206=6,"Final escalation completed.",IF($T206="OVERDUE","Next: "&amp;$Z206&amp;" was due "&amp;TEXT($Y206,"dd-mmm")&amp;" - "&amp;(NETWORKDAYS($Y206,TODAY(),Holidays)-1)&amp;" business day(s) late. Send now.",IF($T206="DUE TOMORROW","Next: "&amp;$Z206&amp;IF($Y206&lt;=TODAY()," is due TODAY ("," is due next business day (")&amp;TEXT($Y206,"dd-mmm")&amp;").","Next: "&amp;$Z206&amp;" due "&amp;TEXT($Y206,"dd-mmm")&amp;" ("&amp;(NETWORKDAYS(TODAY(),$Y206,Holidays)-1)&amp;" business day(s) left).")))))</f>
        <v/>
      </c>
      <c r="V206" s="17">
        <f>IF($W206="","",CHOOSE($W206,"Collection Email","1st Follow-up","2nd Follow-up","Local Office","CBE","Roxanne")&amp;IF($W206=6," - Final"," - Day "&amp;MAX(0,NETWORKDAYS($X206,TODAY(),Holidays)-1)&amp;" of "&amp;CHOOSE($W206,3,3,2,2,3))&amp;" | Total Day "&amp;MAX(0,NETWORKDAYS($L206,TODAY(),Holidays)-1))</f>
        <v/>
      </c>
      <c r="W206" s="17">
        <f>IF($L206="","",COUNT($L206:$Q206))</f>
        <v/>
      </c>
      <c r="X206" s="18">
        <f>IF($W206="","",INT(INDEX($L206:$Q206,$W206)))</f>
        <v/>
      </c>
      <c r="Y206" s="18">
        <f>IF(OR($W206="",$W206=6),"",WORKDAY($X206,CHOOSE($W206,3,3,2,2,3),Holidays))</f>
        <v/>
      </c>
      <c r="Z206" s="17">
        <f>IF(OR($W206="",$W206=6),"",CHOOSE($W206,"1st Email Follow-up","2nd Email Follow-up","Escalate Local Office","Escalate to CBE","Escalate to Roxanne"))</f>
        <v/>
      </c>
    </row>
    <row r="207" spans="18:26">
      <c r="R207" s="15"/>
      <c r="S207" s="16"/>
      <c r="T207" s="17">
        <f>IF(AND(COUNTA($A207:$K207)=0,$L207=""),"",IF($S207="Paid","PAID",IF($S207="Closed","CLOSED",IF($W207="","",IF($W207=6,"ESCALATED TO ROXANNE",IF(TODAY()&gt;$Y207,"OVERDUE",IF($Y207&lt;=WORKDAY(TODAY(),1,Holidays),"DUE TOMORROW",IF($W207=4,"ESCALATED TO LOCAL OFFICE",IF($W207=5,"ESCALATED TO CBE",IF($X207=TODAY(),"EMAIL SENT","MONITORING"))))))))))</f>
        <v/>
      </c>
      <c r="U207" s="17">
        <f>IF($T207="",IF(AND(COUNTA($A207:$K207)&gt;0,$L207=""),"Awaiting Collection Email time stamp.",""),IF(OR($T207="PAID",$T207="CLOSED"),IF($T207="PAID","Account paid. Action completed.","Account closed. No further action required."),CHOOSE($W207,"Collection Email","1st Email Follow-up","2nd Email Follow-up","Escalation to Local Office","Escalation to CBE","Escalation to Roxanne")&amp;" sent "&amp;TEXT($X207,"dd-mmm")&amp;". "&amp;IF($W207=6,"Final escalation completed.",IF($T207="OVERDUE","Next: "&amp;$Z207&amp;" was due "&amp;TEXT($Y207,"dd-mmm")&amp;" - "&amp;(NETWORKDAYS($Y207,TODAY(),Holidays)-1)&amp;" business day(s) late. Send now.",IF($T207="DUE TOMORROW","Next: "&amp;$Z207&amp;IF($Y207&lt;=TODAY()," is due TODAY ("," is due next business day (")&amp;TEXT($Y207,"dd-mmm")&amp;").","Next: "&amp;$Z207&amp;" due "&amp;TEXT($Y207,"dd-mmm")&amp;" ("&amp;(NETWORKDAYS(TODAY(),$Y207,Holidays)-1)&amp;" business day(s) left).")))))</f>
        <v/>
      </c>
      <c r="V207" s="17">
        <f>IF($W207="","",CHOOSE($W207,"Collection Email","1st Follow-up","2nd Follow-up","Local Office","CBE","Roxanne")&amp;IF($W207=6," - Final"," - Day "&amp;MAX(0,NETWORKDAYS($X207,TODAY(),Holidays)-1)&amp;" of "&amp;CHOOSE($W207,3,3,2,2,3))&amp;" | Total Day "&amp;MAX(0,NETWORKDAYS($L207,TODAY(),Holidays)-1))</f>
        <v/>
      </c>
      <c r="W207" s="17">
        <f>IF($L207="","",COUNT($L207:$Q207))</f>
        <v/>
      </c>
      <c r="X207" s="18">
        <f>IF($W207="","",INT(INDEX($L207:$Q207,$W207)))</f>
        <v/>
      </c>
      <c r="Y207" s="18">
        <f>IF(OR($W207="",$W207=6),"",WORKDAY($X207,CHOOSE($W207,3,3,2,2,3),Holidays))</f>
        <v/>
      </c>
      <c r="Z207" s="17">
        <f>IF(OR($W207="",$W207=6),"",CHOOSE($W207,"1st Email Follow-up","2nd Email Follow-up","Escalate Local Office","Escalate to CBE","Escalate to Roxanne"))</f>
        <v/>
      </c>
    </row>
    <row r="208" spans="18:26">
      <c r="R208" s="15"/>
      <c r="S208" s="16"/>
      <c r="T208" s="17">
        <f>IF(AND(COUNTA($A208:$K208)=0,$L208=""),"",IF($S208="Paid","PAID",IF($S208="Closed","CLOSED",IF($W208="","",IF($W208=6,"ESCALATED TO ROXANNE",IF(TODAY()&gt;$Y208,"OVERDUE",IF($Y208&lt;=WORKDAY(TODAY(),1,Holidays),"DUE TOMORROW",IF($W208=4,"ESCALATED TO LOCAL OFFICE",IF($W208=5,"ESCALATED TO CBE",IF($X208=TODAY(),"EMAIL SENT","MONITORING"))))))))))</f>
        <v/>
      </c>
      <c r="U208" s="17">
        <f>IF($T208="",IF(AND(COUNTA($A208:$K208)&gt;0,$L208=""),"Awaiting Collection Email time stamp.",""),IF(OR($T208="PAID",$T208="CLOSED"),IF($T208="PAID","Account paid. Action completed.","Account closed. No further action required."),CHOOSE($W208,"Collection Email","1st Email Follow-up","2nd Email Follow-up","Escalation to Local Office","Escalation to CBE","Escalation to Roxanne")&amp;" sent "&amp;TEXT($X208,"dd-mmm")&amp;". "&amp;IF($W208=6,"Final escalation completed.",IF($T208="OVERDUE","Next: "&amp;$Z208&amp;" was due "&amp;TEXT($Y208,"dd-mmm")&amp;" - "&amp;(NETWORKDAYS($Y208,TODAY(),Holidays)-1)&amp;" business day(s) late. Send now.",IF($T208="DUE TOMORROW","Next: "&amp;$Z208&amp;IF($Y208&lt;=TODAY()," is due TODAY ("," is due next business day (")&amp;TEXT($Y208,"dd-mmm")&amp;").","Next: "&amp;$Z208&amp;" due "&amp;TEXT($Y208,"dd-mmm")&amp;" ("&amp;(NETWORKDAYS(TODAY(),$Y208,Holidays)-1)&amp;" business day(s) left).")))))</f>
        <v/>
      </c>
      <c r="V208" s="17">
        <f>IF($W208="","",CHOOSE($W208,"Collection Email","1st Follow-up","2nd Follow-up","Local Office","CBE","Roxanne")&amp;IF($W208=6," - Final"," - Day "&amp;MAX(0,NETWORKDAYS($X208,TODAY(),Holidays)-1)&amp;" of "&amp;CHOOSE($W208,3,3,2,2,3))&amp;" | Total Day "&amp;MAX(0,NETWORKDAYS($L208,TODAY(),Holidays)-1))</f>
        <v/>
      </c>
      <c r="W208" s="17">
        <f>IF($L208="","",COUNT($L208:$Q208))</f>
        <v/>
      </c>
      <c r="X208" s="18">
        <f>IF($W208="","",INT(INDEX($L208:$Q208,$W208)))</f>
        <v/>
      </c>
      <c r="Y208" s="18">
        <f>IF(OR($W208="",$W208=6),"",WORKDAY($X208,CHOOSE($W208,3,3,2,2,3),Holidays))</f>
        <v/>
      </c>
      <c r="Z208" s="17">
        <f>IF(OR($W208="",$W208=6),"",CHOOSE($W208,"1st Email Follow-up","2nd Email Follow-up","Escalate Local Office","Escalate to CBE","Escalate to Roxanne"))</f>
        <v/>
      </c>
    </row>
    <row r="209" spans="18:26">
      <c r="R209" s="15"/>
      <c r="S209" s="16"/>
      <c r="T209" s="17">
        <f>IF(AND(COUNTA($A209:$K209)=0,$L209=""),"",IF($S209="Paid","PAID",IF($S209="Closed","CLOSED",IF($W209="","",IF($W209=6,"ESCALATED TO ROXANNE",IF(TODAY()&gt;$Y209,"OVERDUE",IF($Y209&lt;=WORKDAY(TODAY(),1,Holidays),"DUE TOMORROW",IF($W209=4,"ESCALATED TO LOCAL OFFICE",IF($W209=5,"ESCALATED TO CBE",IF($X209=TODAY(),"EMAIL SENT","MONITORING"))))))))))</f>
        <v/>
      </c>
      <c r="U209" s="17">
        <f>IF($T209="",IF(AND(COUNTA($A209:$K209)&gt;0,$L209=""),"Awaiting Collection Email time stamp.",""),IF(OR($T209="PAID",$T209="CLOSED"),IF($T209="PAID","Account paid. Action completed.","Account closed. No further action required."),CHOOSE($W209,"Collection Email","1st Email Follow-up","2nd Email Follow-up","Escalation to Local Office","Escalation to CBE","Escalation to Roxanne")&amp;" sent "&amp;TEXT($X209,"dd-mmm")&amp;". "&amp;IF($W209=6,"Final escalation completed.",IF($T209="OVERDUE","Next: "&amp;$Z209&amp;" was due "&amp;TEXT($Y209,"dd-mmm")&amp;" - "&amp;(NETWORKDAYS($Y209,TODAY(),Holidays)-1)&amp;" business day(s) late. Send now.",IF($T209="DUE TOMORROW","Next: "&amp;$Z209&amp;IF($Y209&lt;=TODAY()," is due TODAY ("," is due next business day (")&amp;TEXT($Y209,"dd-mmm")&amp;").","Next: "&amp;$Z209&amp;" due "&amp;TEXT($Y209,"dd-mmm")&amp;" ("&amp;(NETWORKDAYS(TODAY(),$Y209,Holidays)-1)&amp;" business day(s) left).")))))</f>
        <v/>
      </c>
      <c r="V209" s="17">
        <f>IF($W209="","",CHOOSE($W209,"Collection Email","1st Follow-up","2nd Follow-up","Local Office","CBE","Roxanne")&amp;IF($W209=6," - Final"," - Day "&amp;MAX(0,NETWORKDAYS($X209,TODAY(),Holidays)-1)&amp;" of "&amp;CHOOSE($W209,3,3,2,2,3))&amp;" | Total Day "&amp;MAX(0,NETWORKDAYS($L209,TODAY(),Holidays)-1))</f>
        <v/>
      </c>
      <c r="W209" s="17">
        <f>IF($L209="","",COUNT($L209:$Q209))</f>
        <v/>
      </c>
      <c r="X209" s="18">
        <f>IF($W209="","",INT(INDEX($L209:$Q209,$W209)))</f>
        <v/>
      </c>
      <c r="Y209" s="18">
        <f>IF(OR($W209="",$W209=6),"",WORKDAY($X209,CHOOSE($W209,3,3,2,2,3),Holidays))</f>
        <v/>
      </c>
      <c r="Z209" s="17">
        <f>IF(OR($W209="",$W209=6),"",CHOOSE($W209,"1st Email Follow-up","2nd Email Follow-up","Escalate Local Office","Escalate to CBE","Escalate to Roxanne"))</f>
        <v/>
      </c>
    </row>
    <row r="210" spans="18:26">
      <c r="R210" s="15"/>
      <c r="S210" s="16"/>
      <c r="T210" s="17">
        <f>IF(AND(COUNTA($A210:$K210)=0,$L210=""),"",IF($S210="Paid","PAID",IF($S210="Closed","CLOSED",IF($W210="","",IF($W210=6,"ESCALATED TO ROXANNE",IF(TODAY()&gt;$Y210,"OVERDUE",IF($Y210&lt;=WORKDAY(TODAY(),1,Holidays),"DUE TOMORROW",IF($W210=4,"ESCALATED TO LOCAL OFFICE",IF($W210=5,"ESCALATED TO CBE",IF($X210=TODAY(),"EMAIL SENT","MONITORING"))))))))))</f>
        <v/>
      </c>
      <c r="U210" s="17">
        <f>IF($T210="",IF(AND(COUNTA($A210:$K210)&gt;0,$L210=""),"Awaiting Collection Email time stamp.",""),IF(OR($T210="PAID",$T210="CLOSED"),IF($T210="PAID","Account paid. Action completed.","Account closed. No further action required."),CHOOSE($W210,"Collection Email","1st Email Follow-up","2nd Email Follow-up","Escalation to Local Office","Escalation to CBE","Escalation to Roxanne")&amp;" sent "&amp;TEXT($X210,"dd-mmm")&amp;". "&amp;IF($W210=6,"Final escalation completed.",IF($T210="OVERDUE","Next: "&amp;$Z210&amp;" was due "&amp;TEXT($Y210,"dd-mmm")&amp;" - "&amp;(NETWORKDAYS($Y210,TODAY(),Holidays)-1)&amp;" business day(s) late. Send now.",IF($T210="DUE TOMORROW","Next: "&amp;$Z210&amp;IF($Y210&lt;=TODAY()," is due TODAY ("," is due next business day (")&amp;TEXT($Y210,"dd-mmm")&amp;").","Next: "&amp;$Z210&amp;" due "&amp;TEXT($Y210,"dd-mmm")&amp;" ("&amp;(NETWORKDAYS(TODAY(),$Y210,Holidays)-1)&amp;" business day(s) left).")))))</f>
        <v/>
      </c>
      <c r="V210" s="17">
        <f>IF($W210="","",CHOOSE($W210,"Collection Email","1st Follow-up","2nd Follow-up","Local Office","CBE","Roxanne")&amp;IF($W210=6," - Final"," - Day "&amp;MAX(0,NETWORKDAYS($X210,TODAY(),Holidays)-1)&amp;" of "&amp;CHOOSE($W210,3,3,2,2,3))&amp;" | Total Day "&amp;MAX(0,NETWORKDAYS($L210,TODAY(),Holidays)-1))</f>
        <v/>
      </c>
      <c r="W210" s="17">
        <f>IF($L210="","",COUNT($L210:$Q210))</f>
        <v/>
      </c>
      <c r="X210" s="18">
        <f>IF($W210="","",INT(INDEX($L210:$Q210,$W210)))</f>
        <v/>
      </c>
      <c r="Y210" s="18">
        <f>IF(OR($W210="",$W210=6),"",WORKDAY($X210,CHOOSE($W210,3,3,2,2,3),Holidays))</f>
        <v/>
      </c>
      <c r="Z210" s="17">
        <f>IF(OR($W210="",$W210=6),"",CHOOSE($W210,"1st Email Follow-up","2nd Email Follow-up","Escalate Local Office","Escalate to CBE","Escalate to Roxanne"))</f>
        <v/>
      </c>
    </row>
    <row r="211" spans="18:26">
      <c r="R211" s="15"/>
      <c r="S211" s="16"/>
      <c r="T211" s="17">
        <f>IF(AND(COUNTA($A211:$K211)=0,$L211=""),"",IF($S211="Paid","PAID",IF($S211="Closed","CLOSED",IF($W211="","",IF($W211=6,"ESCALATED TO ROXANNE",IF(TODAY()&gt;$Y211,"OVERDUE",IF($Y211&lt;=WORKDAY(TODAY(),1,Holidays),"DUE TOMORROW",IF($W211=4,"ESCALATED TO LOCAL OFFICE",IF($W211=5,"ESCALATED TO CBE",IF($X211=TODAY(),"EMAIL SENT","MONITORING"))))))))))</f>
        <v/>
      </c>
      <c r="U211" s="17">
        <f>IF($T211="",IF(AND(COUNTA($A211:$K211)&gt;0,$L211=""),"Awaiting Collection Email time stamp.",""),IF(OR($T211="PAID",$T211="CLOSED"),IF($T211="PAID","Account paid. Action completed.","Account closed. No further action required."),CHOOSE($W211,"Collection Email","1st Email Follow-up","2nd Email Follow-up","Escalation to Local Office","Escalation to CBE","Escalation to Roxanne")&amp;" sent "&amp;TEXT($X211,"dd-mmm")&amp;". "&amp;IF($W211=6,"Final escalation completed.",IF($T211="OVERDUE","Next: "&amp;$Z211&amp;" was due "&amp;TEXT($Y211,"dd-mmm")&amp;" - "&amp;(NETWORKDAYS($Y211,TODAY(),Holidays)-1)&amp;" business day(s) late. Send now.",IF($T211="DUE TOMORROW","Next: "&amp;$Z211&amp;IF($Y211&lt;=TODAY()," is due TODAY ("," is due next business day (")&amp;TEXT($Y211,"dd-mmm")&amp;").","Next: "&amp;$Z211&amp;" due "&amp;TEXT($Y211,"dd-mmm")&amp;" ("&amp;(NETWORKDAYS(TODAY(),$Y211,Holidays)-1)&amp;" business day(s) left).")))))</f>
        <v/>
      </c>
      <c r="V211" s="17">
        <f>IF($W211="","",CHOOSE($W211,"Collection Email","1st Follow-up","2nd Follow-up","Local Office","CBE","Roxanne")&amp;IF($W211=6," - Final"," - Day "&amp;MAX(0,NETWORKDAYS($X211,TODAY(),Holidays)-1)&amp;" of "&amp;CHOOSE($W211,3,3,2,2,3))&amp;" | Total Day "&amp;MAX(0,NETWORKDAYS($L211,TODAY(),Holidays)-1))</f>
        <v/>
      </c>
      <c r="W211" s="17">
        <f>IF($L211="","",COUNT($L211:$Q211))</f>
        <v/>
      </c>
      <c r="X211" s="18">
        <f>IF($W211="","",INT(INDEX($L211:$Q211,$W211)))</f>
        <v/>
      </c>
      <c r="Y211" s="18">
        <f>IF(OR($W211="",$W211=6),"",WORKDAY($X211,CHOOSE($W211,3,3,2,2,3),Holidays))</f>
        <v/>
      </c>
      <c r="Z211" s="17">
        <f>IF(OR($W211="",$W211=6),"",CHOOSE($W211,"1st Email Follow-up","2nd Email Follow-up","Escalate Local Office","Escalate to CBE","Escalate to Roxanne"))</f>
        <v/>
      </c>
    </row>
    <row r="212" spans="18:26">
      <c r="R212" s="15"/>
      <c r="S212" s="16"/>
      <c r="T212" s="17">
        <f>IF(AND(COUNTA($A212:$K212)=0,$L212=""),"",IF($S212="Paid","PAID",IF($S212="Closed","CLOSED",IF($W212="","",IF($W212=6,"ESCALATED TO ROXANNE",IF(TODAY()&gt;$Y212,"OVERDUE",IF($Y212&lt;=WORKDAY(TODAY(),1,Holidays),"DUE TOMORROW",IF($W212=4,"ESCALATED TO LOCAL OFFICE",IF($W212=5,"ESCALATED TO CBE",IF($X212=TODAY(),"EMAIL SENT","MONITORING"))))))))))</f>
        <v/>
      </c>
      <c r="U212" s="17">
        <f>IF($T212="",IF(AND(COUNTA($A212:$K212)&gt;0,$L212=""),"Awaiting Collection Email time stamp.",""),IF(OR($T212="PAID",$T212="CLOSED"),IF($T212="PAID","Account paid. Action completed.","Account closed. No further action required."),CHOOSE($W212,"Collection Email","1st Email Follow-up","2nd Email Follow-up","Escalation to Local Office","Escalation to CBE","Escalation to Roxanne")&amp;" sent "&amp;TEXT($X212,"dd-mmm")&amp;". "&amp;IF($W212=6,"Final escalation completed.",IF($T212="OVERDUE","Next: "&amp;$Z212&amp;" was due "&amp;TEXT($Y212,"dd-mmm")&amp;" - "&amp;(NETWORKDAYS($Y212,TODAY(),Holidays)-1)&amp;" business day(s) late. Send now.",IF($T212="DUE TOMORROW","Next: "&amp;$Z212&amp;IF($Y212&lt;=TODAY()," is due TODAY ("," is due next business day (")&amp;TEXT($Y212,"dd-mmm")&amp;").","Next: "&amp;$Z212&amp;" due "&amp;TEXT($Y212,"dd-mmm")&amp;" ("&amp;(NETWORKDAYS(TODAY(),$Y212,Holidays)-1)&amp;" business day(s) left).")))))</f>
        <v/>
      </c>
      <c r="V212" s="17">
        <f>IF($W212="","",CHOOSE($W212,"Collection Email","1st Follow-up","2nd Follow-up","Local Office","CBE","Roxanne")&amp;IF($W212=6," - Final"," - Day "&amp;MAX(0,NETWORKDAYS($X212,TODAY(),Holidays)-1)&amp;" of "&amp;CHOOSE($W212,3,3,2,2,3))&amp;" | Total Day "&amp;MAX(0,NETWORKDAYS($L212,TODAY(),Holidays)-1))</f>
        <v/>
      </c>
      <c r="W212" s="17">
        <f>IF($L212="","",COUNT($L212:$Q212))</f>
        <v/>
      </c>
      <c r="X212" s="18">
        <f>IF($W212="","",INT(INDEX($L212:$Q212,$W212)))</f>
        <v/>
      </c>
      <c r="Y212" s="18">
        <f>IF(OR($W212="",$W212=6),"",WORKDAY($X212,CHOOSE($W212,3,3,2,2,3),Holidays))</f>
        <v/>
      </c>
      <c r="Z212" s="17">
        <f>IF(OR($W212="",$W212=6),"",CHOOSE($W212,"1st Email Follow-up","2nd Email Follow-up","Escalate Local Office","Escalate to CBE","Escalate to Roxanne"))</f>
        <v/>
      </c>
    </row>
    <row r="213" spans="18:26">
      <c r="R213" s="15"/>
      <c r="S213" s="16"/>
      <c r="T213" s="17">
        <f>IF(AND(COUNTA($A213:$K213)=0,$L213=""),"",IF($S213="Paid","PAID",IF($S213="Closed","CLOSED",IF($W213="","",IF($W213=6,"ESCALATED TO ROXANNE",IF(TODAY()&gt;$Y213,"OVERDUE",IF($Y213&lt;=WORKDAY(TODAY(),1,Holidays),"DUE TOMORROW",IF($W213=4,"ESCALATED TO LOCAL OFFICE",IF($W213=5,"ESCALATED TO CBE",IF($X213=TODAY(),"EMAIL SENT","MONITORING"))))))))))</f>
        <v/>
      </c>
      <c r="U213" s="17">
        <f>IF($T213="",IF(AND(COUNTA($A213:$K213)&gt;0,$L213=""),"Awaiting Collection Email time stamp.",""),IF(OR($T213="PAID",$T213="CLOSED"),IF($T213="PAID","Account paid. Action completed.","Account closed. No further action required."),CHOOSE($W213,"Collection Email","1st Email Follow-up","2nd Email Follow-up","Escalation to Local Office","Escalation to CBE","Escalation to Roxanne")&amp;" sent "&amp;TEXT($X213,"dd-mmm")&amp;". "&amp;IF($W213=6,"Final escalation completed.",IF($T213="OVERDUE","Next: "&amp;$Z213&amp;" was due "&amp;TEXT($Y213,"dd-mmm")&amp;" - "&amp;(NETWORKDAYS($Y213,TODAY(),Holidays)-1)&amp;" business day(s) late. Send now.",IF($T213="DUE TOMORROW","Next: "&amp;$Z213&amp;IF($Y213&lt;=TODAY()," is due TODAY ("," is due next business day (")&amp;TEXT($Y213,"dd-mmm")&amp;").","Next: "&amp;$Z213&amp;" due "&amp;TEXT($Y213,"dd-mmm")&amp;" ("&amp;(NETWORKDAYS(TODAY(),$Y213,Holidays)-1)&amp;" business day(s) left).")))))</f>
        <v/>
      </c>
      <c r="V213" s="17">
        <f>IF($W213="","",CHOOSE($W213,"Collection Email","1st Follow-up","2nd Follow-up","Local Office","CBE","Roxanne")&amp;IF($W213=6," - Final"," - Day "&amp;MAX(0,NETWORKDAYS($X213,TODAY(),Holidays)-1)&amp;" of "&amp;CHOOSE($W213,3,3,2,2,3))&amp;" | Total Day "&amp;MAX(0,NETWORKDAYS($L213,TODAY(),Holidays)-1))</f>
        <v/>
      </c>
      <c r="W213" s="17">
        <f>IF($L213="","",COUNT($L213:$Q213))</f>
        <v/>
      </c>
      <c r="X213" s="18">
        <f>IF($W213="","",INT(INDEX($L213:$Q213,$W213)))</f>
        <v/>
      </c>
      <c r="Y213" s="18">
        <f>IF(OR($W213="",$W213=6),"",WORKDAY($X213,CHOOSE($W213,3,3,2,2,3),Holidays))</f>
        <v/>
      </c>
      <c r="Z213" s="17">
        <f>IF(OR($W213="",$W213=6),"",CHOOSE($W213,"1st Email Follow-up","2nd Email Follow-up","Escalate Local Office","Escalate to CBE","Escalate to Roxanne"))</f>
        <v/>
      </c>
    </row>
    <row r="214" spans="18:26">
      <c r="R214" s="15"/>
      <c r="S214" s="16"/>
      <c r="T214" s="17">
        <f>IF(AND(COUNTA($A214:$K214)=0,$L214=""),"",IF($S214="Paid","PAID",IF($S214="Closed","CLOSED",IF($W214="","",IF($W214=6,"ESCALATED TO ROXANNE",IF(TODAY()&gt;$Y214,"OVERDUE",IF($Y214&lt;=WORKDAY(TODAY(),1,Holidays),"DUE TOMORROW",IF($W214=4,"ESCALATED TO LOCAL OFFICE",IF($W214=5,"ESCALATED TO CBE",IF($X214=TODAY(),"EMAIL SENT","MONITORING"))))))))))</f>
        <v/>
      </c>
      <c r="U214" s="17">
        <f>IF($T214="",IF(AND(COUNTA($A214:$K214)&gt;0,$L214=""),"Awaiting Collection Email time stamp.",""),IF(OR($T214="PAID",$T214="CLOSED"),IF($T214="PAID","Account paid. Action completed.","Account closed. No further action required."),CHOOSE($W214,"Collection Email","1st Email Follow-up","2nd Email Follow-up","Escalation to Local Office","Escalation to CBE","Escalation to Roxanne")&amp;" sent "&amp;TEXT($X214,"dd-mmm")&amp;". "&amp;IF($W214=6,"Final escalation completed.",IF($T214="OVERDUE","Next: "&amp;$Z214&amp;" was due "&amp;TEXT($Y214,"dd-mmm")&amp;" - "&amp;(NETWORKDAYS($Y214,TODAY(),Holidays)-1)&amp;" business day(s) late. Send now.",IF($T214="DUE TOMORROW","Next: "&amp;$Z214&amp;IF($Y214&lt;=TODAY()," is due TODAY ("," is due next business day (")&amp;TEXT($Y214,"dd-mmm")&amp;").","Next: "&amp;$Z214&amp;" due "&amp;TEXT($Y214,"dd-mmm")&amp;" ("&amp;(NETWORKDAYS(TODAY(),$Y214,Holidays)-1)&amp;" business day(s) left).")))))</f>
        <v/>
      </c>
      <c r="V214" s="17">
        <f>IF($W214="","",CHOOSE($W214,"Collection Email","1st Follow-up","2nd Follow-up","Local Office","CBE","Roxanne")&amp;IF($W214=6," - Final"," - Day "&amp;MAX(0,NETWORKDAYS($X214,TODAY(),Holidays)-1)&amp;" of "&amp;CHOOSE($W214,3,3,2,2,3))&amp;" | Total Day "&amp;MAX(0,NETWORKDAYS($L214,TODAY(),Holidays)-1))</f>
        <v/>
      </c>
      <c r="W214" s="17">
        <f>IF($L214="","",COUNT($L214:$Q214))</f>
        <v/>
      </c>
      <c r="X214" s="18">
        <f>IF($W214="","",INT(INDEX($L214:$Q214,$W214)))</f>
        <v/>
      </c>
      <c r="Y214" s="18">
        <f>IF(OR($W214="",$W214=6),"",WORKDAY($X214,CHOOSE($W214,3,3,2,2,3),Holidays))</f>
        <v/>
      </c>
      <c r="Z214" s="17">
        <f>IF(OR($W214="",$W214=6),"",CHOOSE($W214,"1st Email Follow-up","2nd Email Follow-up","Escalate Local Office","Escalate to CBE","Escalate to Roxanne"))</f>
        <v/>
      </c>
    </row>
    <row r="215" spans="18:26">
      <c r="R215" s="15"/>
      <c r="S215" s="16"/>
      <c r="T215" s="17">
        <f>IF(AND(COUNTA($A215:$K215)=0,$L215=""),"",IF($S215="Paid","PAID",IF($S215="Closed","CLOSED",IF($W215="","",IF($W215=6,"ESCALATED TO ROXANNE",IF(TODAY()&gt;$Y215,"OVERDUE",IF($Y215&lt;=WORKDAY(TODAY(),1,Holidays),"DUE TOMORROW",IF($W215=4,"ESCALATED TO LOCAL OFFICE",IF($W215=5,"ESCALATED TO CBE",IF($X215=TODAY(),"EMAIL SENT","MONITORING"))))))))))</f>
        <v/>
      </c>
      <c r="U215" s="17">
        <f>IF($T215="",IF(AND(COUNTA($A215:$K215)&gt;0,$L215=""),"Awaiting Collection Email time stamp.",""),IF(OR($T215="PAID",$T215="CLOSED"),IF($T215="PAID","Account paid. Action completed.","Account closed. No further action required."),CHOOSE($W215,"Collection Email","1st Email Follow-up","2nd Email Follow-up","Escalation to Local Office","Escalation to CBE","Escalation to Roxanne")&amp;" sent "&amp;TEXT($X215,"dd-mmm")&amp;". "&amp;IF($W215=6,"Final escalation completed.",IF($T215="OVERDUE","Next: "&amp;$Z215&amp;" was due "&amp;TEXT($Y215,"dd-mmm")&amp;" - "&amp;(NETWORKDAYS($Y215,TODAY(),Holidays)-1)&amp;" business day(s) late. Send now.",IF($T215="DUE TOMORROW","Next: "&amp;$Z215&amp;IF($Y215&lt;=TODAY()," is due TODAY ("," is due next business day (")&amp;TEXT($Y215,"dd-mmm")&amp;").","Next: "&amp;$Z215&amp;" due "&amp;TEXT($Y215,"dd-mmm")&amp;" ("&amp;(NETWORKDAYS(TODAY(),$Y215,Holidays)-1)&amp;" business day(s) left).")))))</f>
        <v/>
      </c>
      <c r="V215" s="17">
        <f>IF($W215="","",CHOOSE($W215,"Collection Email","1st Follow-up","2nd Follow-up","Local Office","CBE","Roxanne")&amp;IF($W215=6," - Final"," - Day "&amp;MAX(0,NETWORKDAYS($X215,TODAY(),Holidays)-1)&amp;" of "&amp;CHOOSE($W215,3,3,2,2,3))&amp;" | Total Day "&amp;MAX(0,NETWORKDAYS($L215,TODAY(),Holidays)-1))</f>
        <v/>
      </c>
      <c r="W215" s="17">
        <f>IF($L215="","",COUNT($L215:$Q215))</f>
        <v/>
      </c>
      <c r="X215" s="18">
        <f>IF($W215="","",INT(INDEX($L215:$Q215,$W215)))</f>
        <v/>
      </c>
      <c r="Y215" s="18">
        <f>IF(OR($W215="",$W215=6),"",WORKDAY($X215,CHOOSE($W215,3,3,2,2,3),Holidays))</f>
        <v/>
      </c>
      <c r="Z215" s="17">
        <f>IF(OR($W215="",$W215=6),"",CHOOSE($W215,"1st Email Follow-up","2nd Email Follow-up","Escalate Local Office","Escalate to CBE","Escalate to Roxanne"))</f>
        <v/>
      </c>
    </row>
    <row r="216" spans="18:26">
      <c r="R216" s="15"/>
      <c r="S216" s="16"/>
      <c r="T216" s="17">
        <f>IF(AND(COUNTA($A216:$K216)=0,$L216=""),"",IF($S216="Paid","PAID",IF($S216="Closed","CLOSED",IF($W216="","",IF($W216=6,"ESCALATED TO ROXANNE",IF(TODAY()&gt;$Y216,"OVERDUE",IF($Y216&lt;=WORKDAY(TODAY(),1,Holidays),"DUE TOMORROW",IF($W216=4,"ESCALATED TO LOCAL OFFICE",IF($W216=5,"ESCALATED TO CBE",IF($X216=TODAY(),"EMAIL SENT","MONITORING"))))))))))</f>
        <v/>
      </c>
      <c r="U216" s="17">
        <f>IF($T216="",IF(AND(COUNTA($A216:$K216)&gt;0,$L216=""),"Awaiting Collection Email time stamp.",""),IF(OR($T216="PAID",$T216="CLOSED"),IF($T216="PAID","Account paid. Action completed.","Account closed. No further action required."),CHOOSE($W216,"Collection Email","1st Email Follow-up","2nd Email Follow-up","Escalation to Local Office","Escalation to CBE","Escalation to Roxanne")&amp;" sent "&amp;TEXT($X216,"dd-mmm")&amp;". "&amp;IF($W216=6,"Final escalation completed.",IF($T216="OVERDUE","Next: "&amp;$Z216&amp;" was due "&amp;TEXT($Y216,"dd-mmm")&amp;" - "&amp;(NETWORKDAYS($Y216,TODAY(),Holidays)-1)&amp;" business day(s) late. Send now.",IF($T216="DUE TOMORROW","Next: "&amp;$Z216&amp;IF($Y216&lt;=TODAY()," is due TODAY ("," is due next business day (")&amp;TEXT($Y216,"dd-mmm")&amp;").","Next: "&amp;$Z216&amp;" due "&amp;TEXT($Y216,"dd-mmm")&amp;" ("&amp;(NETWORKDAYS(TODAY(),$Y216,Holidays)-1)&amp;" business day(s) left).")))))</f>
        <v/>
      </c>
      <c r="V216" s="17">
        <f>IF($W216="","",CHOOSE($W216,"Collection Email","1st Follow-up","2nd Follow-up","Local Office","CBE","Roxanne")&amp;IF($W216=6," - Final"," - Day "&amp;MAX(0,NETWORKDAYS($X216,TODAY(),Holidays)-1)&amp;" of "&amp;CHOOSE($W216,3,3,2,2,3))&amp;" | Total Day "&amp;MAX(0,NETWORKDAYS($L216,TODAY(),Holidays)-1))</f>
        <v/>
      </c>
      <c r="W216" s="17">
        <f>IF($L216="","",COUNT($L216:$Q216))</f>
        <v/>
      </c>
      <c r="X216" s="18">
        <f>IF($W216="","",INT(INDEX($L216:$Q216,$W216)))</f>
        <v/>
      </c>
      <c r="Y216" s="18">
        <f>IF(OR($W216="",$W216=6),"",WORKDAY($X216,CHOOSE($W216,3,3,2,2,3),Holidays))</f>
        <v/>
      </c>
      <c r="Z216" s="17">
        <f>IF(OR($W216="",$W216=6),"",CHOOSE($W216,"1st Email Follow-up","2nd Email Follow-up","Escalate Local Office","Escalate to CBE","Escalate to Roxanne"))</f>
        <v/>
      </c>
    </row>
    <row r="217" spans="18:26">
      <c r="R217" s="15"/>
      <c r="S217" s="16"/>
      <c r="T217" s="17">
        <f>IF(AND(COUNTA($A217:$K217)=0,$L217=""),"",IF($S217="Paid","PAID",IF($S217="Closed","CLOSED",IF($W217="","",IF($W217=6,"ESCALATED TO ROXANNE",IF(TODAY()&gt;$Y217,"OVERDUE",IF($Y217&lt;=WORKDAY(TODAY(),1,Holidays),"DUE TOMORROW",IF($W217=4,"ESCALATED TO LOCAL OFFICE",IF($W217=5,"ESCALATED TO CBE",IF($X217=TODAY(),"EMAIL SENT","MONITORING"))))))))))</f>
        <v/>
      </c>
      <c r="U217" s="17">
        <f>IF($T217="",IF(AND(COUNTA($A217:$K217)&gt;0,$L217=""),"Awaiting Collection Email time stamp.",""),IF(OR($T217="PAID",$T217="CLOSED"),IF($T217="PAID","Account paid. Action completed.","Account closed. No further action required."),CHOOSE($W217,"Collection Email","1st Email Follow-up","2nd Email Follow-up","Escalation to Local Office","Escalation to CBE","Escalation to Roxanne")&amp;" sent "&amp;TEXT($X217,"dd-mmm")&amp;". "&amp;IF($W217=6,"Final escalation completed.",IF($T217="OVERDUE","Next: "&amp;$Z217&amp;" was due "&amp;TEXT($Y217,"dd-mmm")&amp;" - "&amp;(NETWORKDAYS($Y217,TODAY(),Holidays)-1)&amp;" business day(s) late. Send now.",IF($T217="DUE TOMORROW","Next: "&amp;$Z217&amp;IF($Y217&lt;=TODAY()," is due TODAY ("," is due next business day (")&amp;TEXT($Y217,"dd-mmm")&amp;").","Next: "&amp;$Z217&amp;" due "&amp;TEXT($Y217,"dd-mmm")&amp;" ("&amp;(NETWORKDAYS(TODAY(),$Y217,Holidays)-1)&amp;" business day(s) left).")))))</f>
        <v/>
      </c>
      <c r="V217" s="17">
        <f>IF($W217="","",CHOOSE($W217,"Collection Email","1st Follow-up","2nd Follow-up","Local Office","CBE","Roxanne")&amp;IF($W217=6," - Final"," - Day "&amp;MAX(0,NETWORKDAYS($X217,TODAY(),Holidays)-1)&amp;" of "&amp;CHOOSE($W217,3,3,2,2,3))&amp;" | Total Day "&amp;MAX(0,NETWORKDAYS($L217,TODAY(),Holidays)-1))</f>
        <v/>
      </c>
      <c r="W217" s="17">
        <f>IF($L217="","",COUNT($L217:$Q217))</f>
        <v/>
      </c>
      <c r="X217" s="18">
        <f>IF($W217="","",INT(INDEX($L217:$Q217,$W217)))</f>
        <v/>
      </c>
      <c r="Y217" s="18">
        <f>IF(OR($W217="",$W217=6),"",WORKDAY($X217,CHOOSE($W217,3,3,2,2,3),Holidays))</f>
        <v/>
      </c>
      <c r="Z217" s="17">
        <f>IF(OR($W217="",$W217=6),"",CHOOSE($W217,"1st Email Follow-up","2nd Email Follow-up","Escalate Local Office","Escalate to CBE","Escalate to Roxanne"))</f>
        <v/>
      </c>
    </row>
    <row r="218" spans="18:26">
      <c r="R218" s="15"/>
      <c r="S218" s="16"/>
      <c r="T218" s="17">
        <f>IF(AND(COUNTA($A218:$K218)=0,$L218=""),"",IF($S218="Paid","PAID",IF($S218="Closed","CLOSED",IF($W218="","",IF($W218=6,"ESCALATED TO ROXANNE",IF(TODAY()&gt;$Y218,"OVERDUE",IF($Y218&lt;=WORKDAY(TODAY(),1,Holidays),"DUE TOMORROW",IF($W218=4,"ESCALATED TO LOCAL OFFICE",IF($W218=5,"ESCALATED TO CBE",IF($X218=TODAY(),"EMAIL SENT","MONITORING"))))))))))</f>
        <v/>
      </c>
      <c r="U218" s="17">
        <f>IF($T218="",IF(AND(COUNTA($A218:$K218)&gt;0,$L218=""),"Awaiting Collection Email time stamp.",""),IF(OR($T218="PAID",$T218="CLOSED"),IF($T218="PAID","Account paid. Action completed.","Account closed. No further action required."),CHOOSE($W218,"Collection Email","1st Email Follow-up","2nd Email Follow-up","Escalation to Local Office","Escalation to CBE","Escalation to Roxanne")&amp;" sent "&amp;TEXT($X218,"dd-mmm")&amp;". "&amp;IF($W218=6,"Final escalation completed.",IF($T218="OVERDUE","Next: "&amp;$Z218&amp;" was due "&amp;TEXT($Y218,"dd-mmm")&amp;" - "&amp;(NETWORKDAYS($Y218,TODAY(),Holidays)-1)&amp;" business day(s) late. Send now.",IF($T218="DUE TOMORROW","Next: "&amp;$Z218&amp;IF($Y218&lt;=TODAY()," is due TODAY ("," is due next business day (")&amp;TEXT($Y218,"dd-mmm")&amp;").","Next: "&amp;$Z218&amp;" due "&amp;TEXT($Y218,"dd-mmm")&amp;" ("&amp;(NETWORKDAYS(TODAY(),$Y218,Holidays)-1)&amp;" business day(s) left).")))))</f>
        <v/>
      </c>
      <c r="V218" s="17">
        <f>IF($W218="","",CHOOSE($W218,"Collection Email","1st Follow-up","2nd Follow-up","Local Office","CBE","Roxanne")&amp;IF($W218=6," - Final"," - Day "&amp;MAX(0,NETWORKDAYS($X218,TODAY(),Holidays)-1)&amp;" of "&amp;CHOOSE($W218,3,3,2,2,3))&amp;" | Total Day "&amp;MAX(0,NETWORKDAYS($L218,TODAY(),Holidays)-1))</f>
        <v/>
      </c>
      <c r="W218" s="17">
        <f>IF($L218="","",COUNT($L218:$Q218))</f>
        <v/>
      </c>
      <c r="X218" s="18">
        <f>IF($W218="","",INT(INDEX($L218:$Q218,$W218)))</f>
        <v/>
      </c>
      <c r="Y218" s="18">
        <f>IF(OR($W218="",$W218=6),"",WORKDAY($X218,CHOOSE($W218,3,3,2,2,3),Holidays))</f>
        <v/>
      </c>
      <c r="Z218" s="17">
        <f>IF(OR($W218="",$W218=6),"",CHOOSE($W218,"1st Email Follow-up","2nd Email Follow-up","Escalate Local Office","Escalate to CBE","Escalate to Roxanne"))</f>
        <v/>
      </c>
    </row>
    <row r="219" spans="18:26">
      <c r="R219" s="15"/>
      <c r="S219" s="16"/>
      <c r="T219" s="17">
        <f>IF(AND(COUNTA($A219:$K219)=0,$L219=""),"",IF($S219="Paid","PAID",IF($S219="Closed","CLOSED",IF($W219="","",IF($W219=6,"ESCALATED TO ROXANNE",IF(TODAY()&gt;$Y219,"OVERDUE",IF($Y219&lt;=WORKDAY(TODAY(),1,Holidays),"DUE TOMORROW",IF($W219=4,"ESCALATED TO LOCAL OFFICE",IF($W219=5,"ESCALATED TO CBE",IF($X219=TODAY(),"EMAIL SENT","MONITORING"))))))))))</f>
        <v/>
      </c>
      <c r="U219" s="17">
        <f>IF($T219="",IF(AND(COUNTA($A219:$K219)&gt;0,$L219=""),"Awaiting Collection Email time stamp.",""),IF(OR($T219="PAID",$T219="CLOSED"),IF($T219="PAID","Account paid. Action completed.","Account closed. No further action required."),CHOOSE($W219,"Collection Email","1st Email Follow-up","2nd Email Follow-up","Escalation to Local Office","Escalation to CBE","Escalation to Roxanne")&amp;" sent "&amp;TEXT($X219,"dd-mmm")&amp;". "&amp;IF($W219=6,"Final escalation completed.",IF($T219="OVERDUE","Next: "&amp;$Z219&amp;" was due "&amp;TEXT($Y219,"dd-mmm")&amp;" - "&amp;(NETWORKDAYS($Y219,TODAY(),Holidays)-1)&amp;" business day(s) late. Send now.",IF($T219="DUE TOMORROW","Next: "&amp;$Z219&amp;IF($Y219&lt;=TODAY()," is due TODAY ("," is due next business day (")&amp;TEXT($Y219,"dd-mmm")&amp;").","Next: "&amp;$Z219&amp;" due "&amp;TEXT($Y219,"dd-mmm")&amp;" ("&amp;(NETWORKDAYS(TODAY(),$Y219,Holidays)-1)&amp;" business day(s) left).")))))</f>
        <v/>
      </c>
      <c r="V219" s="17">
        <f>IF($W219="","",CHOOSE($W219,"Collection Email","1st Follow-up","2nd Follow-up","Local Office","CBE","Roxanne")&amp;IF($W219=6," - Final"," - Day "&amp;MAX(0,NETWORKDAYS($X219,TODAY(),Holidays)-1)&amp;" of "&amp;CHOOSE($W219,3,3,2,2,3))&amp;" | Total Day "&amp;MAX(0,NETWORKDAYS($L219,TODAY(),Holidays)-1))</f>
        <v/>
      </c>
      <c r="W219" s="17">
        <f>IF($L219="","",COUNT($L219:$Q219))</f>
        <v/>
      </c>
      <c r="X219" s="18">
        <f>IF($W219="","",INT(INDEX($L219:$Q219,$W219)))</f>
        <v/>
      </c>
      <c r="Y219" s="18">
        <f>IF(OR($W219="",$W219=6),"",WORKDAY($X219,CHOOSE($W219,3,3,2,2,3),Holidays))</f>
        <v/>
      </c>
      <c r="Z219" s="17">
        <f>IF(OR($W219="",$W219=6),"",CHOOSE($W219,"1st Email Follow-up","2nd Email Follow-up","Escalate Local Office","Escalate to CBE","Escalate to Roxanne"))</f>
        <v/>
      </c>
    </row>
    <row r="220" spans="18:26">
      <c r="R220" s="15"/>
      <c r="S220" s="16"/>
      <c r="T220" s="17">
        <f>IF(AND(COUNTA($A220:$K220)=0,$L220=""),"",IF($S220="Paid","PAID",IF($S220="Closed","CLOSED",IF($W220="","",IF($W220=6,"ESCALATED TO ROXANNE",IF(TODAY()&gt;$Y220,"OVERDUE",IF($Y220&lt;=WORKDAY(TODAY(),1,Holidays),"DUE TOMORROW",IF($W220=4,"ESCALATED TO LOCAL OFFICE",IF($W220=5,"ESCALATED TO CBE",IF($X220=TODAY(),"EMAIL SENT","MONITORING"))))))))))</f>
        <v/>
      </c>
      <c r="U220" s="17">
        <f>IF($T220="",IF(AND(COUNTA($A220:$K220)&gt;0,$L220=""),"Awaiting Collection Email time stamp.",""),IF(OR($T220="PAID",$T220="CLOSED"),IF($T220="PAID","Account paid. Action completed.","Account closed. No further action required."),CHOOSE($W220,"Collection Email","1st Email Follow-up","2nd Email Follow-up","Escalation to Local Office","Escalation to CBE","Escalation to Roxanne")&amp;" sent "&amp;TEXT($X220,"dd-mmm")&amp;". "&amp;IF($W220=6,"Final escalation completed.",IF($T220="OVERDUE","Next: "&amp;$Z220&amp;" was due "&amp;TEXT($Y220,"dd-mmm")&amp;" - "&amp;(NETWORKDAYS($Y220,TODAY(),Holidays)-1)&amp;" business day(s) late. Send now.",IF($T220="DUE TOMORROW","Next: "&amp;$Z220&amp;IF($Y220&lt;=TODAY()," is due TODAY ("," is due next business day (")&amp;TEXT($Y220,"dd-mmm")&amp;").","Next: "&amp;$Z220&amp;" due "&amp;TEXT($Y220,"dd-mmm")&amp;" ("&amp;(NETWORKDAYS(TODAY(),$Y220,Holidays)-1)&amp;" business day(s) left).")))))</f>
        <v/>
      </c>
      <c r="V220" s="17">
        <f>IF($W220="","",CHOOSE($W220,"Collection Email","1st Follow-up","2nd Follow-up","Local Office","CBE","Roxanne")&amp;IF($W220=6," - Final"," - Day "&amp;MAX(0,NETWORKDAYS($X220,TODAY(),Holidays)-1)&amp;" of "&amp;CHOOSE($W220,3,3,2,2,3))&amp;" | Total Day "&amp;MAX(0,NETWORKDAYS($L220,TODAY(),Holidays)-1))</f>
        <v/>
      </c>
      <c r="W220" s="17">
        <f>IF($L220="","",COUNT($L220:$Q220))</f>
        <v/>
      </c>
      <c r="X220" s="18">
        <f>IF($W220="","",INT(INDEX($L220:$Q220,$W220)))</f>
        <v/>
      </c>
      <c r="Y220" s="18">
        <f>IF(OR($W220="",$W220=6),"",WORKDAY($X220,CHOOSE($W220,3,3,2,2,3),Holidays))</f>
        <v/>
      </c>
      <c r="Z220" s="17">
        <f>IF(OR($W220="",$W220=6),"",CHOOSE($W220,"1st Email Follow-up","2nd Email Follow-up","Escalate Local Office","Escalate to CBE","Escalate to Roxanne"))</f>
        <v/>
      </c>
    </row>
    <row r="221" spans="18:26">
      <c r="R221" s="15"/>
      <c r="S221" s="16"/>
      <c r="T221" s="17">
        <f>IF(AND(COUNTA($A221:$K221)=0,$L221=""),"",IF($S221="Paid","PAID",IF($S221="Closed","CLOSED",IF($W221="","",IF($W221=6,"ESCALATED TO ROXANNE",IF(TODAY()&gt;$Y221,"OVERDUE",IF($Y221&lt;=WORKDAY(TODAY(),1,Holidays),"DUE TOMORROW",IF($W221=4,"ESCALATED TO LOCAL OFFICE",IF($W221=5,"ESCALATED TO CBE",IF($X221=TODAY(),"EMAIL SENT","MONITORING"))))))))))</f>
        <v/>
      </c>
      <c r="U221" s="17">
        <f>IF($T221="",IF(AND(COUNTA($A221:$K221)&gt;0,$L221=""),"Awaiting Collection Email time stamp.",""),IF(OR($T221="PAID",$T221="CLOSED"),IF($T221="PAID","Account paid. Action completed.","Account closed. No further action required."),CHOOSE($W221,"Collection Email","1st Email Follow-up","2nd Email Follow-up","Escalation to Local Office","Escalation to CBE","Escalation to Roxanne")&amp;" sent "&amp;TEXT($X221,"dd-mmm")&amp;". "&amp;IF($W221=6,"Final escalation completed.",IF($T221="OVERDUE","Next: "&amp;$Z221&amp;" was due "&amp;TEXT($Y221,"dd-mmm")&amp;" - "&amp;(NETWORKDAYS($Y221,TODAY(),Holidays)-1)&amp;" business day(s) late. Send now.",IF($T221="DUE TOMORROW","Next: "&amp;$Z221&amp;IF($Y221&lt;=TODAY()," is due TODAY ("," is due next business day (")&amp;TEXT($Y221,"dd-mmm")&amp;").","Next: "&amp;$Z221&amp;" due "&amp;TEXT($Y221,"dd-mmm")&amp;" ("&amp;(NETWORKDAYS(TODAY(),$Y221,Holidays)-1)&amp;" business day(s) left).")))))</f>
        <v/>
      </c>
      <c r="V221" s="17">
        <f>IF($W221="","",CHOOSE($W221,"Collection Email","1st Follow-up","2nd Follow-up","Local Office","CBE","Roxanne")&amp;IF($W221=6," - Final"," - Day "&amp;MAX(0,NETWORKDAYS($X221,TODAY(),Holidays)-1)&amp;" of "&amp;CHOOSE($W221,3,3,2,2,3))&amp;" | Total Day "&amp;MAX(0,NETWORKDAYS($L221,TODAY(),Holidays)-1))</f>
        <v/>
      </c>
      <c r="W221" s="17">
        <f>IF($L221="","",COUNT($L221:$Q221))</f>
        <v/>
      </c>
      <c r="X221" s="18">
        <f>IF($W221="","",INT(INDEX($L221:$Q221,$W221)))</f>
        <v/>
      </c>
      <c r="Y221" s="18">
        <f>IF(OR($W221="",$W221=6),"",WORKDAY($X221,CHOOSE($W221,3,3,2,2,3),Holidays))</f>
        <v/>
      </c>
      <c r="Z221" s="17">
        <f>IF(OR($W221="",$W221=6),"",CHOOSE($W221,"1st Email Follow-up","2nd Email Follow-up","Escalate Local Office","Escalate to CBE","Escalate to Roxanne"))</f>
        <v/>
      </c>
    </row>
    <row r="222" spans="18:26">
      <c r="R222" s="15"/>
      <c r="S222" s="16"/>
      <c r="T222" s="17">
        <f>IF(AND(COUNTA($A222:$K222)=0,$L222=""),"",IF($S222="Paid","PAID",IF($S222="Closed","CLOSED",IF($W222="","",IF($W222=6,"ESCALATED TO ROXANNE",IF(TODAY()&gt;$Y222,"OVERDUE",IF($Y222&lt;=WORKDAY(TODAY(),1,Holidays),"DUE TOMORROW",IF($W222=4,"ESCALATED TO LOCAL OFFICE",IF($W222=5,"ESCALATED TO CBE",IF($X222=TODAY(),"EMAIL SENT","MONITORING"))))))))))</f>
        <v/>
      </c>
      <c r="U222" s="17">
        <f>IF($T222="",IF(AND(COUNTA($A222:$K222)&gt;0,$L222=""),"Awaiting Collection Email time stamp.",""),IF(OR($T222="PAID",$T222="CLOSED"),IF($T222="PAID","Account paid. Action completed.","Account closed. No further action required."),CHOOSE($W222,"Collection Email","1st Email Follow-up","2nd Email Follow-up","Escalation to Local Office","Escalation to CBE","Escalation to Roxanne")&amp;" sent "&amp;TEXT($X222,"dd-mmm")&amp;". "&amp;IF($W222=6,"Final escalation completed.",IF($T222="OVERDUE","Next: "&amp;$Z222&amp;" was due "&amp;TEXT($Y222,"dd-mmm")&amp;" - "&amp;(NETWORKDAYS($Y222,TODAY(),Holidays)-1)&amp;" business day(s) late. Send now.",IF($T222="DUE TOMORROW","Next: "&amp;$Z222&amp;IF($Y222&lt;=TODAY()," is due TODAY ("," is due next business day (")&amp;TEXT($Y222,"dd-mmm")&amp;").","Next: "&amp;$Z222&amp;" due "&amp;TEXT($Y222,"dd-mmm")&amp;" ("&amp;(NETWORKDAYS(TODAY(),$Y222,Holidays)-1)&amp;" business day(s) left).")))))</f>
        <v/>
      </c>
      <c r="V222" s="17">
        <f>IF($W222="","",CHOOSE($W222,"Collection Email","1st Follow-up","2nd Follow-up","Local Office","CBE","Roxanne")&amp;IF($W222=6," - Final"," - Day "&amp;MAX(0,NETWORKDAYS($X222,TODAY(),Holidays)-1)&amp;" of "&amp;CHOOSE($W222,3,3,2,2,3))&amp;" | Total Day "&amp;MAX(0,NETWORKDAYS($L222,TODAY(),Holidays)-1))</f>
        <v/>
      </c>
      <c r="W222" s="17">
        <f>IF($L222="","",COUNT($L222:$Q222))</f>
        <v/>
      </c>
      <c r="X222" s="18">
        <f>IF($W222="","",INT(INDEX($L222:$Q222,$W222)))</f>
        <v/>
      </c>
      <c r="Y222" s="18">
        <f>IF(OR($W222="",$W222=6),"",WORKDAY($X222,CHOOSE($W222,3,3,2,2,3),Holidays))</f>
        <v/>
      </c>
      <c r="Z222" s="17">
        <f>IF(OR($W222="",$W222=6),"",CHOOSE($W222,"1st Email Follow-up","2nd Email Follow-up","Escalate Local Office","Escalate to CBE","Escalate to Roxanne"))</f>
        <v/>
      </c>
    </row>
    <row r="223" spans="18:26">
      <c r="R223" s="15"/>
      <c r="S223" s="16"/>
      <c r="T223" s="17">
        <f>IF(AND(COUNTA($A223:$K223)=0,$L223=""),"",IF($S223="Paid","PAID",IF($S223="Closed","CLOSED",IF($W223="","",IF($W223=6,"ESCALATED TO ROXANNE",IF(TODAY()&gt;$Y223,"OVERDUE",IF($Y223&lt;=WORKDAY(TODAY(),1,Holidays),"DUE TOMORROW",IF($W223=4,"ESCALATED TO LOCAL OFFICE",IF($W223=5,"ESCALATED TO CBE",IF($X223=TODAY(),"EMAIL SENT","MONITORING"))))))))))</f>
        <v/>
      </c>
      <c r="U223" s="17">
        <f>IF($T223="",IF(AND(COUNTA($A223:$K223)&gt;0,$L223=""),"Awaiting Collection Email time stamp.",""),IF(OR($T223="PAID",$T223="CLOSED"),IF($T223="PAID","Account paid. Action completed.","Account closed. No further action required."),CHOOSE($W223,"Collection Email","1st Email Follow-up","2nd Email Follow-up","Escalation to Local Office","Escalation to CBE","Escalation to Roxanne")&amp;" sent "&amp;TEXT($X223,"dd-mmm")&amp;". "&amp;IF($W223=6,"Final escalation completed.",IF($T223="OVERDUE","Next: "&amp;$Z223&amp;" was due "&amp;TEXT($Y223,"dd-mmm")&amp;" - "&amp;(NETWORKDAYS($Y223,TODAY(),Holidays)-1)&amp;" business day(s) late. Send now.",IF($T223="DUE TOMORROW","Next: "&amp;$Z223&amp;IF($Y223&lt;=TODAY()," is due TODAY ("," is due next business day (")&amp;TEXT($Y223,"dd-mmm")&amp;").","Next: "&amp;$Z223&amp;" due "&amp;TEXT($Y223,"dd-mmm")&amp;" ("&amp;(NETWORKDAYS(TODAY(),$Y223,Holidays)-1)&amp;" business day(s) left).")))))</f>
        <v/>
      </c>
      <c r="V223" s="17">
        <f>IF($W223="","",CHOOSE($W223,"Collection Email","1st Follow-up","2nd Follow-up","Local Office","CBE","Roxanne")&amp;IF($W223=6," - Final"," - Day "&amp;MAX(0,NETWORKDAYS($X223,TODAY(),Holidays)-1)&amp;" of "&amp;CHOOSE($W223,3,3,2,2,3))&amp;" | Total Day "&amp;MAX(0,NETWORKDAYS($L223,TODAY(),Holidays)-1))</f>
        <v/>
      </c>
      <c r="W223" s="17">
        <f>IF($L223="","",COUNT($L223:$Q223))</f>
        <v/>
      </c>
      <c r="X223" s="18">
        <f>IF($W223="","",INT(INDEX($L223:$Q223,$W223)))</f>
        <v/>
      </c>
      <c r="Y223" s="18">
        <f>IF(OR($W223="",$W223=6),"",WORKDAY($X223,CHOOSE($W223,3,3,2,2,3),Holidays))</f>
        <v/>
      </c>
      <c r="Z223" s="17">
        <f>IF(OR($W223="",$W223=6),"",CHOOSE($W223,"1st Email Follow-up","2nd Email Follow-up","Escalate Local Office","Escalate to CBE","Escalate to Roxanne"))</f>
        <v/>
      </c>
    </row>
    <row r="224" spans="18:26">
      <c r="R224" s="15"/>
      <c r="S224" s="16"/>
      <c r="T224" s="17">
        <f>IF(AND(COUNTA($A224:$K224)=0,$L224=""),"",IF($S224="Paid","PAID",IF($S224="Closed","CLOSED",IF($W224="","",IF($W224=6,"ESCALATED TO ROXANNE",IF(TODAY()&gt;$Y224,"OVERDUE",IF($Y224&lt;=WORKDAY(TODAY(),1,Holidays),"DUE TOMORROW",IF($W224=4,"ESCALATED TO LOCAL OFFICE",IF($W224=5,"ESCALATED TO CBE",IF($X224=TODAY(),"EMAIL SENT","MONITORING"))))))))))</f>
        <v/>
      </c>
      <c r="U224" s="17">
        <f>IF($T224="",IF(AND(COUNTA($A224:$K224)&gt;0,$L224=""),"Awaiting Collection Email time stamp.",""),IF(OR($T224="PAID",$T224="CLOSED"),IF($T224="PAID","Account paid. Action completed.","Account closed. No further action required."),CHOOSE($W224,"Collection Email","1st Email Follow-up","2nd Email Follow-up","Escalation to Local Office","Escalation to CBE","Escalation to Roxanne")&amp;" sent "&amp;TEXT($X224,"dd-mmm")&amp;". "&amp;IF($W224=6,"Final escalation completed.",IF($T224="OVERDUE","Next: "&amp;$Z224&amp;" was due "&amp;TEXT($Y224,"dd-mmm")&amp;" - "&amp;(NETWORKDAYS($Y224,TODAY(),Holidays)-1)&amp;" business day(s) late. Send now.",IF($T224="DUE TOMORROW","Next: "&amp;$Z224&amp;IF($Y224&lt;=TODAY()," is due TODAY ("," is due next business day (")&amp;TEXT($Y224,"dd-mmm")&amp;").","Next: "&amp;$Z224&amp;" due "&amp;TEXT($Y224,"dd-mmm")&amp;" ("&amp;(NETWORKDAYS(TODAY(),$Y224,Holidays)-1)&amp;" business day(s) left).")))))</f>
        <v/>
      </c>
      <c r="V224" s="17">
        <f>IF($W224="","",CHOOSE($W224,"Collection Email","1st Follow-up","2nd Follow-up","Local Office","CBE","Roxanne")&amp;IF($W224=6," - Final"," - Day "&amp;MAX(0,NETWORKDAYS($X224,TODAY(),Holidays)-1)&amp;" of "&amp;CHOOSE($W224,3,3,2,2,3))&amp;" | Total Day "&amp;MAX(0,NETWORKDAYS($L224,TODAY(),Holidays)-1))</f>
        <v/>
      </c>
      <c r="W224" s="17">
        <f>IF($L224="","",COUNT($L224:$Q224))</f>
        <v/>
      </c>
      <c r="X224" s="18">
        <f>IF($W224="","",INT(INDEX($L224:$Q224,$W224)))</f>
        <v/>
      </c>
      <c r="Y224" s="18">
        <f>IF(OR($W224="",$W224=6),"",WORKDAY($X224,CHOOSE($W224,3,3,2,2,3),Holidays))</f>
        <v/>
      </c>
      <c r="Z224" s="17">
        <f>IF(OR($W224="",$W224=6),"",CHOOSE($W224,"1st Email Follow-up","2nd Email Follow-up","Escalate Local Office","Escalate to CBE","Escalate to Roxanne"))</f>
        <v/>
      </c>
    </row>
    <row r="225" spans="18:26">
      <c r="R225" s="15"/>
      <c r="S225" s="16"/>
      <c r="T225" s="17">
        <f>IF(AND(COUNTA($A225:$K225)=0,$L225=""),"",IF($S225="Paid","PAID",IF($S225="Closed","CLOSED",IF($W225="","",IF($W225=6,"ESCALATED TO ROXANNE",IF(TODAY()&gt;$Y225,"OVERDUE",IF($Y225&lt;=WORKDAY(TODAY(),1,Holidays),"DUE TOMORROW",IF($W225=4,"ESCALATED TO LOCAL OFFICE",IF($W225=5,"ESCALATED TO CBE",IF($X225=TODAY(),"EMAIL SENT","MONITORING"))))))))))</f>
        <v/>
      </c>
      <c r="U225" s="17">
        <f>IF($T225="",IF(AND(COUNTA($A225:$K225)&gt;0,$L225=""),"Awaiting Collection Email time stamp.",""),IF(OR($T225="PAID",$T225="CLOSED"),IF($T225="PAID","Account paid. Action completed.","Account closed. No further action required."),CHOOSE($W225,"Collection Email","1st Email Follow-up","2nd Email Follow-up","Escalation to Local Office","Escalation to CBE","Escalation to Roxanne")&amp;" sent "&amp;TEXT($X225,"dd-mmm")&amp;". "&amp;IF($W225=6,"Final escalation completed.",IF($T225="OVERDUE","Next: "&amp;$Z225&amp;" was due "&amp;TEXT($Y225,"dd-mmm")&amp;" - "&amp;(NETWORKDAYS($Y225,TODAY(),Holidays)-1)&amp;" business day(s) late. Send now.",IF($T225="DUE TOMORROW","Next: "&amp;$Z225&amp;IF($Y225&lt;=TODAY()," is due TODAY ("," is due next business day (")&amp;TEXT($Y225,"dd-mmm")&amp;").","Next: "&amp;$Z225&amp;" due "&amp;TEXT($Y225,"dd-mmm")&amp;" ("&amp;(NETWORKDAYS(TODAY(),$Y225,Holidays)-1)&amp;" business day(s) left).")))))</f>
        <v/>
      </c>
      <c r="V225" s="17">
        <f>IF($W225="","",CHOOSE($W225,"Collection Email","1st Follow-up","2nd Follow-up","Local Office","CBE","Roxanne")&amp;IF($W225=6," - Final"," - Day "&amp;MAX(0,NETWORKDAYS($X225,TODAY(),Holidays)-1)&amp;" of "&amp;CHOOSE($W225,3,3,2,2,3))&amp;" | Total Day "&amp;MAX(0,NETWORKDAYS($L225,TODAY(),Holidays)-1))</f>
        <v/>
      </c>
      <c r="W225" s="17">
        <f>IF($L225="","",COUNT($L225:$Q225))</f>
        <v/>
      </c>
      <c r="X225" s="18">
        <f>IF($W225="","",INT(INDEX($L225:$Q225,$W225)))</f>
        <v/>
      </c>
      <c r="Y225" s="18">
        <f>IF(OR($W225="",$W225=6),"",WORKDAY($X225,CHOOSE($W225,3,3,2,2,3),Holidays))</f>
        <v/>
      </c>
      <c r="Z225" s="17">
        <f>IF(OR($W225="",$W225=6),"",CHOOSE($W225,"1st Email Follow-up","2nd Email Follow-up","Escalate Local Office","Escalate to CBE","Escalate to Roxanne"))</f>
        <v/>
      </c>
    </row>
    <row r="226" spans="18:26">
      <c r="R226" s="15"/>
      <c r="S226" s="16"/>
      <c r="T226" s="17">
        <f>IF(AND(COUNTA($A226:$K226)=0,$L226=""),"",IF($S226="Paid","PAID",IF($S226="Closed","CLOSED",IF($W226="","",IF($W226=6,"ESCALATED TO ROXANNE",IF(TODAY()&gt;$Y226,"OVERDUE",IF($Y226&lt;=WORKDAY(TODAY(),1,Holidays),"DUE TOMORROW",IF($W226=4,"ESCALATED TO LOCAL OFFICE",IF($W226=5,"ESCALATED TO CBE",IF($X226=TODAY(),"EMAIL SENT","MONITORING"))))))))))</f>
        <v/>
      </c>
      <c r="U226" s="17">
        <f>IF($T226="",IF(AND(COUNTA($A226:$K226)&gt;0,$L226=""),"Awaiting Collection Email time stamp.",""),IF(OR($T226="PAID",$T226="CLOSED"),IF($T226="PAID","Account paid. Action completed.","Account closed. No further action required."),CHOOSE($W226,"Collection Email","1st Email Follow-up","2nd Email Follow-up","Escalation to Local Office","Escalation to CBE","Escalation to Roxanne")&amp;" sent "&amp;TEXT($X226,"dd-mmm")&amp;". "&amp;IF($W226=6,"Final escalation completed.",IF($T226="OVERDUE","Next: "&amp;$Z226&amp;" was due "&amp;TEXT($Y226,"dd-mmm")&amp;" - "&amp;(NETWORKDAYS($Y226,TODAY(),Holidays)-1)&amp;" business day(s) late. Send now.",IF($T226="DUE TOMORROW","Next: "&amp;$Z226&amp;IF($Y226&lt;=TODAY()," is due TODAY ("," is due next business day (")&amp;TEXT($Y226,"dd-mmm")&amp;").","Next: "&amp;$Z226&amp;" due "&amp;TEXT($Y226,"dd-mmm")&amp;" ("&amp;(NETWORKDAYS(TODAY(),$Y226,Holidays)-1)&amp;" business day(s) left).")))))</f>
        <v/>
      </c>
      <c r="V226" s="17">
        <f>IF($W226="","",CHOOSE($W226,"Collection Email","1st Follow-up","2nd Follow-up","Local Office","CBE","Roxanne")&amp;IF($W226=6," - Final"," - Day "&amp;MAX(0,NETWORKDAYS($X226,TODAY(),Holidays)-1)&amp;" of "&amp;CHOOSE($W226,3,3,2,2,3))&amp;" | Total Day "&amp;MAX(0,NETWORKDAYS($L226,TODAY(),Holidays)-1))</f>
        <v/>
      </c>
      <c r="W226" s="17">
        <f>IF($L226="","",COUNT($L226:$Q226))</f>
        <v/>
      </c>
      <c r="X226" s="18">
        <f>IF($W226="","",INT(INDEX($L226:$Q226,$W226)))</f>
        <v/>
      </c>
      <c r="Y226" s="18">
        <f>IF(OR($W226="",$W226=6),"",WORKDAY($X226,CHOOSE($W226,3,3,2,2,3),Holidays))</f>
        <v/>
      </c>
      <c r="Z226" s="17">
        <f>IF(OR($W226="",$W226=6),"",CHOOSE($W226,"1st Email Follow-up","2nd Email Follow-up","Escalate Local Office","Escalate to CBE","Escalate to Roxanne"))</f>
        <v/>
      </c>
    </row>
    <row r="227" spans="18:26">
      <c r="R227" s="15"/>
      <c r="S227" s="16"/>
      <c r="T227" s="17">
        <f>IF(AND(COUNTA($A227:$K227)=0,$L227=""),"",IF($S227="Paid","PAID",IF($S227="Closed","CLOSED",IF($W227="","",IF($W227=6,"ESCALATED TO ROXANNE",IF(TODAY()&gt;$Y227,"OVERDUE",IF($Y227&lt;=WORKDAY(TODAY(),1,Holidays),"DUE TOMORROW",IF($W227=4,"ESCALATED TO LOCAL OFFICE",IF($W227=5,"ESCALATED TO CBE",IF($X227=TODAY(),"EMAIL SENT","MONITORING"))))))))))</f>
        <v/>
      </c>
      <c r="U227" s="17">
        <f>IF($T227="",IF(AND(COUNTA($A227:$K227)&gt;0,$L227=""),"Awaiting Collection Email time stamp.",""),IF(OR($T227="PAID",$T227="CLOSED"),IF($T227="PAID","Account paid. Action completed.","Account closed. No further action required."),CHOOSE($W227,"Collection Email","1st Email Follow-up","2nd Email Follow-up","Escalation to Local Office","Escalation to CBE","Escalation to Roxanne")&amp;" sent "&amp;TEXT($X227,"dd-mmm")&amp;". "&amp;IF($W227=6,"Final escalation completed.",IF($T227="OVERDUE","Next: "&amp;$Z227&amp;" was due "&amp;TEXT($Y227,"dd-mmm")&amp;" - "&amp;(NETWORKDAYS($Y227,TODAY(),Holidays)-1)&amp;" business day(s) late. Send now.",IF($T227="DUE TOMORROW","Next: "&amp;$Z227&amp;IF($Y227&lt;=TODAY()," is due TODAY ("," is due next business day (")&amp;TEXT($Y227,"dd-mmm")&amp;").","Next: "&amp;$Z227&amp;" due "&amp;TEXT($Y227,"dd-mmm")&amp;" ("&amp;(NETWORKDAYS(TODAY(),$Y227,Holidays)-1)&amp;" business day(s) left).")))))</f>
        <v/>
      </c>
      <c r="V227" s="17">
        <f>IF($W227="","",CHOOSE($W227,"Collection Email","1st Follow-up","2nd Follow-up","Local Office","CBE","Roxanne")&amp;IF($W227=6," - Final"," - Day "&amp;MAX(0,NETWORKDAYS($X227,TODAY(),Holidays)-1)&amp;" of "&amp;CHOOSE($W227,3,3,2,2,3))&amp;" | Total Day "&amp;MAX(0,NETWORKDAYS($L227,TODAY(),Holidays)-1))</f>
        <v/>
      </c>
      <c r="W227" s="17">
        <f>IF($L227="","",COUNT($L227:$Q227))</f>
        <v/>
      </c>
      <c r="X227" s="18">
        <f>IF($W227="","",INT(INDEX($L227:$Q227,$W227)))</f>
        <v/>
      </c>
      <c r="Y227" s="18">
        <f>IF(OR($W227="",$W227=6),"",WORKDAY($X227,CHOOSE($W227,3,3,2,2,3),Holidays))</f>
        <v/>
      </c>
      <c r="Z227" s="17">
        <f>IF(OR($W227="",$W227=6),"",CHOOSE($W227,"1st Email Follow-up","2nd Email Follow-up","Escalate Local Office","Escalate to CBE","Escalate to Roxanne"))</f>
        <v/>
      </c>
    </row>
    <row r="228" spans="18:26">
      <c r="R228" s="15"/>
      <c r="S228" s="16"/>
      <c r="T228" s="17">
        <f>IF(AND(COUNTA($A228:$K228)=0,$L228=""),"",IF($S228="Paid","PAID",IF($S228="Closed","CLOSED",IF($W228="","",IF($W228=6,"ESCALATED TO ROXANNE",IF(TODAY()&gt;$Y228,"OVERDUE",IF($Y228&lt;=WORKDAY(TODAY(),1,Holidays),"DUE TOMORROW",IF($W228=4,"ESCALATED TO LOCAL OFFICE",IF($W228=5,"ESCALATED TO CBE",IF($X228=TODAY(),"EMAIL SENT","MONITORING"))))))))))</f>
        <v/>
      </c>
      <c r="U228" s="17">
        <f>IF($T228="",IF(AND(COUNTA($A228:$K228)&gt;0,$L228=""),"Awaiting Collection Email time stamp.",""),IF(OR($T228="PAID",$T228="CLOSED"),IF($T228="PAID","Account paid. Action completed.","Account closed. No further action required."),CHOOSE($W228,"Collection Email","1st Email Follow-up","2nd Email Follow-up","Escalation to Local Office","Escalation to CBE","Escalation to Roxanne")&amp;" sent "&amp;TEXT($X228,"dd-mmm")&amp;". "&amp;IF($W228=6,"Final escalation completed.",IF($T228="OVERDUE","Next: "&amp;$Z228&amp;" was due "&amp;TEXT($Y228,"dd-mmm")&amp;" - "&amp;(NETWORKDAYS($Y228,TODAY(),Holidays)-1)&amp;" business day(s) late. Send now.",IF($T228="DUE TOMORROW","Next: "&amp;$Z228&amp;IF($Y228&lt;=TODAY()," is due TODAY ("," is due next business day (")&amp;TEXT($Y228,"dd-mmm")&amp;").","Next: "&amp;$Z228&amp;" due "&amp;TEXT($Y228,"dd-mmm")&amp;" ("&amp;(NETWORKDAYS(TODAY(),$Y228,Holidays)-1)&amp;" business day(s) left).")))))</f>
        <v/>
      </c>
      <c r="V228" s="17">
        <f>IF($W228="","",CHOOSE($W228,"Collection Email","1st Follow-up","2nd Follow-up","Local Office","CBE","Roxanne")&amp;IF($W228=6," - Final"," - Day "&amp;MAX(0,NETWORKDAYS($X228,TODAY(),Holidays)-1)&amp;" of "&amp;CHOOSE($W228,3,3,2,2,3))&amp;" | Total Day "&amp;MAX(0,NETWORKDAYS($L228,TODAY(),Holidays)-1))</f>
        <v/>
      </c>
      <c r="W228" s="17">
        <f>IF($L228="","",COUNT($L228:$Q228))</f>
        <v/>
      </c>
      <c r="X228" s="18">
        <f>IF($W228="","",INT(INDEX($L228:$Q228,$W228)))</f>
        <v/>
      </c>
      <c r="Y228" s="18">
        <f>IF(OR($W228="",$W228=6),"",WORKDAY($X228,CHOOSE($W228,3,3,2,2,3),Holidays))</f>
        <v/>
      </c>
      <c r="Z228" s="17">
        <f>IF(OR($W228="",$W228=6),"",CHOOSE($W228,"1st Email Follow-up","2nd Email Follow-up","Escalate Local Office","Escalate to CBE","Escalate to Roxanne"))</f>
        <v/>
      </c>
    </row>
    <row r="229" spans="18:26">
      <c r="R229" s="15"/>
      <c r="S229" s="16"/>
      <c r="T229" s="17">
        <f>IF(AND(COUNTA($A229:$K229)=0,$L229=""),"",IF($S229="Paid","PAID",IF($S229="Closed","CLOSED",IF($W229="","",IF($W229=6,"ESCALATED TO ROXANNE",IF(TODAY()&gt;$Y229,"OVERDUE",IF($Y229&lt;=WORKDAY(TODAY(),1,Holidays),"DUE TOMORROW",IF($W229=4,"ESCALATED TO LOCAL OFFICE",IF($W229=5,"ESCALATED TO CBE",IF($X229=TODAY(),"EMAIL SENT","MONITORING"))))))))))</f>
        <v/>
      </c>
      <c r="U229" s="17">
        <f>IF($T229="",IF(AND(COUNTA($A229:$K229)&gt;0,$L229=""),"Awaiting Collection Email time stamp.",""),IF(OR($T229="PAID",$T229="CLOSED"),IF($T229="PAID","Account paid. Action completed.","Account closed. No further action required."),CHOOSE($W229,"Collection Email","1st Email Follow-up","2nd Email Follow-up","Escalation to Local Office","Escalation to CBE","Escalation to Roxanne")&amp;" sent "&amp;TEXT($X229,"dd-mmm")&amp;". "&amp;IF($W229=6,"Final escalation completed.",IF($T229="OVERDUE","Next: "&amp;$Z229&amp;" was due "&amp;TEXT($Y229,"dd-mmm")&amp;" - "&amp;(NETWORKDAYS($Y229,TODAY(),Holidays)-1)&amp;" business day(s) late. Send now.",IF($T229="DUE TOMORROW","Next: "&amp;$Z229&amp;IF($Y229&lt;=TODAY()," is due TODAY ("," is due next business day (")&amp;TEXT($Y229,"dd-mmm")&amp;").","Next: "&amp;$Z229&amp;" due "&amp;TEXT($Y229,"dd-mmm")&amp;" ("&amp;(NETWORKDAYS(TODAY(),$Y229,Holidays)-1)&amp;" business day(s) left).")))))</f>
        <v/>
      </c>
      <c r="V229" s="17">
        <f>IF($W229="","",CHOOSE($W229,"Collection Email","1st Follow-up","2nd Follow-up","Local Office","CBE","Roxanne")&amp;IF($W229=6," - Final"," - Day "&amp;MAX(0,NETWORKDAYS($X229,TODAY(),Holidays)-1)&amp;" of "&amp;CHOOSE($W229,3,3,2,2,3))&amp;" | Total Day "&amp;MAX(0,NETWORKDAYS($L229,TODAY(),Holidays)-1))</f>
        <v/>
      </c>
      <c r="W229" s="17">
        <f>IF($L229="","",COUNT($L229:$Q229))</f>
        <v/>
      </c>
      <c r="X229" s="18">
        <f>IF($W229="","",INT(INDEX($L229:$Q229,$W229)))</f>
        <v/>
      </c>
      <c r="Y229" s="18">
        <f>IF(OR($W229="",$W229=6),"",WORKDAY($X229,CHOOSE($W229,3,3,2,2,3),Holidays))</f>
        <v/>
      </c>
      <c r="Z229" s="17">
        <f>IF(OR($W229="",$W229=6),"",CHOOSE($W229,"1st Email Follow-up","2nd Email Follow-up","Escalate Local Office","Escalate to CBE","Escalate to Roxanne"))</f>
        <v/>
      </c>
    </row>
    <row r="230" spans="18:26">
      <c r="R230" s="15"/>
      <c r="S230" s="16"/>
      <c r="T230" s="17">
        <f>IF(AND(COUNTA($A230:$K230)=0,$L230=""),"",IF($S230="Paid","PAID",IF($S230="Closed","CLOSED",IF($W230="","",IF($W230=6,"ESCALATED TO ROXANNE",IF(TODAY()&gt;$Y230,"OVERDUE",IF($Y230&lt;=WORKDAY(TODAY(),1,Holidays),"DUE TOMORROW",IF($W230=4,"ESCALATED TO LOCAL OFFICE",IF($W230=5,"ESCALATED TO CBE",IF($X230=TODAY(),"EMAIL SENT","MONITORING"))))))))))</f>
        <v/>
      </c>
      <c r="U230" s="17">
        <f>IF($T230="",IF(AND(COUNTA($A230:$K230)&gt;0,$L230=""),"Awaiting Collection Email time stamp.",""),IF(OR($T230="PAID",$T230="CLOSED"),IF($T230="PAID","Account paid. Action completed.","Account closed. No further action required."),CHOOSE($W230,"Collection Email","1st Email Follow-up","2nd Email Follow-up","Escalation to Local Office","Escalation to CBE","Escalation to Roxanne")&amp;" sent "&amp;TEXT($X230,"dd-mmm")&amp;". "&amp;IF($W230=6,"Final escalation completed.",IF($T230="OVERDUE","Next: "&amp;$Z230&amp;" was due "&amp;TEXT($Y230,"dd-mmm")&amp;" - "&amp;(NETWORKDAYS($Y230,TODAY(),Holidays)-1)&amp;" business day(s) late. Send now.",IF($T230="DUE TOMORROW","Next: "&amp;$Z230&amp;IF($Y230&lt;=TODAY()," is due TODAY ("," is due next business day (")&amp;TEXT($Y230,"dd-mmm")&amp;").","Next: "&amp;$Z230&amp;" due "&amp;TEXT($Y230,"dd-mmm")&amp;" ("&amp;(NETWORKDAYS(TODAY(),$Y230,Holidays)-1)&amp;" business day(s) left).")))))</f>
        <v/>
      </c>
      <c r="V230" s="17">
        <f>IF($W230="","",CHOOSE($W230,"Collection Email","1st Follow-up","2nd Follow-up","Local Office","CBE","Roxanne")&amp;IF($W230=6," - Final"," - Day "&amp;MAX(0,NETWORKDAYS($X230,TODAY(),Holidays)-1)&amp;" of "&amp;CHOOSE($W230,3,3,2,2,3))&amp;" | Total Day "&amp;MAX(0,NETWORKDAYS($L230,TODAY(),Holidays)-1))</f>
        <v/>
      </c>
      <c r="W230" s="17">
        <f>IF($L230="","",COUNT($L230:$Q230))</f>
        <v/>
      </c>
      <c r="X230" s="18">
        <f>IF($W230="","",INT(INDEX($L230:$Q230,$W230)))</f>
        <v/>
      </c>
      <c r="Y230" s="18">
        <f>IF(OR($W230="",$W230=6),"",WORKDAY($X230,CHOOSE($W230,3,3,2,2,3),Holidays))</f>
        <v/>
      </c>
      <c r="Z230" s="17">
        <f>IF(OR($W230="",$W230=6),"",CHOOSE($W230,"1st Email Follow-up","2nd Email Follow-up","Escalate Local Office","Escalate to CBE","Escalate to Roxanne"))</f>
        <v/>
      </c>
    </row>
    <row r="231" spans="18:26">
      <c r="R231" s="15"/>
      <c r="S231" s="16"/>
      <c r="T231" s="17">
        <f>IF(AND(COUNTA($A231:$K231)=0,$L231=""),"",IF($S231="Paid","PAID",IF($S231="Closed","CLOSED",IF($W231="","",IF($W231=6,"ESCALATED TO ROXANNE",IF(TODAY()&gt;$Y231,"OVERDUE",IF($Y231&lt;=WORKDAY(TODAY(),1,Holidays),"DUE TOMORROW",IF($W231=4,"ESCALATED TO LOCAL OFFICE",IF($W231=5,"ESCALATED TO CBE",IF($X231=TODAY(),"EMAIL SENT","MONITORING"))))))))))</f>
        <v/>
      </c>
      <c r="U231" s="17">
        <f>IF($T231="",IF(AND(COUNTA($A231:$K231)&gt;0,$L231=""),"Awaiting Collection Email time stamp.",""),IF(OR($T231="PAID",$T231="CLOSED"),IF($T231="PAID","Account paid. Action completed.","Account closed. No further action required."),CHOOSE($W231,"Collection Email","1st Email Follow-up","2nd Email Follow-up","Escalation to Local Office","Escalation to CBE","Escalation to Roxanne")&amp;" sent "&amp;TEXT($X231,"dd-mmm")&amp;". "&amp;IF($W231=6,"Final escalation completed.",IF($T231="OVERDUE","Next: "&amp;$Z231&amp;" was due "&amp;TEXT($Y231,"dd-mmm")&amp;" - "&amp;(NETWORKDAYS($Y231,TODAY(),Holidays)-1)&amp;" business day(s) late. Send now.",IF($T231="DUE TOMORROW","Next: "&amp;$Z231&amp;IF($Y231&lt;=TODAY()," is due TODAY ("," is due next business day (")&amp;TEXT($Y231,"dd-mmm")&amp;").","Next: "&amp;$Z231&amp;" due "&amp;TEXT($Y231,"dd-mmm")&amp;" ("&amp;(NETWORKDAYS(TODAY(),$Y231,Holidays)-1)&amp;" business day(s) left).")))))</f>
        <v/>
      </c>
      <c r="V231" s="17">
        <f>IF($W231="","",CHOOSE($W231,"Collection Email","1st Follow-up","2nd Follow-up","Local Office","CBE","Roxanne")&amp;IF($W231=6," - Final"," - Day "&amp;MAX(0,NETWORKDAYS($X231,TODAY(),Holidays)-1)&amp;" of "&amp;CHOOSE($W231,3,3,2,2,3))&amp;" | Total Day "&amp;MAX(0,NETWORKDAYS($L231,TODAY(),Holidays)-1))</f>
        <v/>
      </c>
      <c r="W231" s="17">
        <f>IF($L231="","",COUNT($L231:$Q231))</f>
        <v/>
      </c>
      <c r="X231" s="18">
        <f>IF($W231="","",INT(INDEX($L231:$Q231,$W231)))</f>
        <v/>
      </c>
      <c r="Y231" s="18">
        <f>IF(OR($W231="",$W231=6),"",WORKDAY($X231,CHOOSE($W231,3,3,2,2,3),Holidays))</f>
        <v/>
      </c>
      <c r="Z231" s="17">
        <f>IF(OR($W231="",$W231=6),"",CHOOSE($W231,"1st Email Follow-up","2nd Email Follow-up","Escalate Local Office","Escalate to CBE","Escalate to Roxanne"))</f>
        <v/>
      </c>
    </row>
    <row r="232" spans="18:26">
      <c r="R232" s="15"/>
      <c r="S232" s="16"/>
      <c r="T232" s="17">
        <f>IF(AND(COUNTA($A232:$K232)=0,$L232=""),"",IF($S232="Paid","PAID",IF($S232="Closed","CLOSED",IF($W232="","",IF($W232=6,"ESCALATED TO ROXANNE",IF(TODAY()&gt;$Y232,"OVERDUE",IF($Y232&lt;=WORKDAY(TODAY(),1,Holidays),"DUE TOMORROW",IF($W232=4,"ESCALATED TO LOCAL OFFICE",IF($W232=5,"ESCALATED TO CBE",IF($X232=TODAY(),"EMAIL SENT","MONITORING"))))))))))</f>
        <v/>
      </c>
      <c r="U232" s="17">
        <f>IF($T232="",IF(AND(COUNTA($A232:$K232)&gt;0,$L232=""),"Awaiting Collection Email time stamp.",""),IF(OR($T232="PAID",$T232="CLOSED"),IF($T232="PAID","Account paid. Action completed.","Account closed. No further action required."),CHOOSE($W232,"Collection Email","1st Email Follow-up","2nd Email Follow-up","Escalation to Local Office","Escalation to CBE","Escalation to Roxanne")&amp;" sent "&amp;TEXT($X232,"dd-mmm")&amp;". "&amp;IF($W232=6,"Final escalation completed.",IF($T232="OVERDUE","Next: "&amp;$Z232&amp;" was due "&amp;TEXT($Y232,"dd-mmm")&amp;" - "&amp;(NETWORKDAYS($Y232,TODAY(),Holidays)-1)&amp;" business day(s) late. Send now.",IF($T232="DUE TOMORROW","Next: "&amp;$Z232&amp;IF($Y232&lt;=TODAY()," is due TODAY ("," is due next business day (")&amp;TEXT($Y232,"dd-mmm")&amp;").","Next: "&amp;$Z232&amp;" due "&amp;TEXT($Y232,"dd-mmm")&amp;" ("&amp;(NETWORKDAYS(TODAY(),$Y232,Holidays)-1)&amp;" business day(s) left).")))))</f>
        <v/>
      </c>
      <c r="V232" s="17">
        <f>IF($W232="","",CHOOSE($W232,"Collection Email","1st Follow-up","2nd Follow-up","Local Office","CBE","Roxanne")&amp;IF($W232=6," - Final"," - Day "&amp;MAX(0,NETWORKDAYS($X232,TODAY(),Holidays)-1)&amp;" of "&amp;CHOOSE($W232,3,3,2,2,3))&amp;" | Total Day "&amp;MAX(0,NETWORKDAYS($L232,TODAY(),Holidays)-1))</f>
        <v/>
      </c>
      <c r="W232" s="17">
        <f>IF($L232="","",COUNT($L232:$Q232))</f>
        <v/>
      </c>
      <c r="X232" s="18">
        <f>IF($W232="","",INT(INDEX($L232:$Q232,$W232)))</f>
        <v/>
      </c>
      <c r="Y232" s="18">
        <f>IF(OR($W232="",$W232=6),"",WORKDAY($X232,CHOOSE($W232,3,3,2,2,3),Holidays))</f>
        <v/>
      </c>
      <c r="Z232" s="17">
        <f>IF(OR($W232="",$W232=6),"",CHOOSE($W232,"1st Email Follow-up","2nd Email Follow-up","Escalate Local Office","Escalate to CBE","Escalate to Roxanne"))</f>
        <v/>
      </c>
    </row>
    <row r="233" spans="18:26">
      <c r="R233" s="15"/>
      <c r="S233" s="16"/>
      <c r="T233" s="17">
        <f>IF(AND(COUNTA($A233:$K233)=0,$L233=""),"",IF($S233="Paid","PAID",IF($S233="Closed","CLOSED",IF($W233="","",IF($W233=6,"ESCALATED TO ROXANNE",IF(TODAY()&gt;$Y233,"OVERDUE",IF($Y233&lt;=WORKDAY(TODAY(),1,Holidays),"DUE TOMORROW",IF($W233=4,"ESCALATED TO LOCAL OFFICE",IF($W233=5,"ESCALATED TO CBE",IF($X233=TODAY(),"EMAIL SENT","MONITORING"))))))))))</f>
        <v/>
      </c>
      <c r="U233" s="17">
        <f>IF($T233="",IF(AND(COUNTA($A233:$K233)&gt;0,$L233=""),"Awaiting Collection Email time stamp.",""),IF(OR($T233="PAID",$T233="CLOSED"),IF($T233="PAID","Account paid. Action completed.","Account closed. No further action required."),CHOOSE($W233,"Collection Email","1st Email Follow-up","2nd Email Follow-up","Escalation to Local Office","Escalation to CBE","Escalation to Roxanne")&amp;" sent "&amp;TEXT($X233,"dd-mmm")&amp;". "&amp;IF($W233=6,"Final escalation completed.",IF($T233="OVERDUE","Next: "&amp;$Z233&amp;" was due "&amp;TEXT($Y233,"dd-mmm")&amp;" - "&amp;(NETWORKDAYS($Y233,TODAY(),Holidays)-1)&amp;" business day(s) late. Send now.",IF($T233="DUE TOMORROW","Next: "&amp;$Z233&amp;IF($Y233&lt;=TODAY()," is due TODAY ("," is due next business day (")&amp;TEXT($Y233,"dd-mmm")&amp;").","Next: "&amp;$Z233&amp;" due "&amp;TEXT($Y233,"dd-mmm")&amp;" ("&amp;(NETWORKDAYS(TODAY(),$Y233,Holidays)-1)&amp;" business day(s) left).")))))</f>
        <v/>
      </c>
      <c r="V233" s="17">
        <f>IF($W233="","",CHOOSE($W233,"Collection Email","1st Follow-up","2nd Follow-up","Local Office","CBE","Roxanne")&amp;IF($W233=6," - Final"," - Day "&amp;MAX(0,NETWORKDAYS($X233,TODAY(),Holidays)-1)&amp;" of "&amp;CHOOSE($W233,3,3,2,2,3))&amp;" | Total Day "&amp;MAX(0,NETWORKDAYS($L233,TODAY(),Holidays)-1))</f>
        <v/>
      </c>
      <c r="W233" s="17">
        <f>IF($L233="","",COUNT($L233:$Q233))</f>
        <v/>
      </c>
      <c r="X233" s="18">
        <f>IF($W233="","",INT(INDEX($L233:$Q233,$W233)))</f>
        <v/>
      </c>
      <c r="Y233" s="18">
        <f>IF(OR($W233="",$W233=6),"",WORKDAY($X233,CHOOSE($W233,3,3,2,2,3),Holidays))</f>
        <v/>
      </c>
      <c r="Z233" s="17">
        <f>IF(OR($W233="",$W233=6),"",CHOOSE($W233,"1st Email Follow-up","2nd Email Follow-up","Escalate Local Office","Escalate to CBE","Escalate to Roxanne"))</f>
        <v/>
      </c>
    </row>
    <row r="234" spans="18:26">
      <c r="R234" s="15"/>
      <c r="S234" s="16"/>
      <c r="T234" s="17">
        <f>IF(AND(COUNTA($A234:$K234)=0,$L234=""),"",IF($S234="Paid","PAID",IF($S234="Closed","CLOSED",IF($W234="","",IF($W234=6,"ESCALATED TO ROXANNE",IF(TODAY()&gt;$Y234,"OVERDUE",IF($Y234&lt;=WORKDAY(TODAY(),1,Holidays),"DUE TOMORROW",IF($W234=4,"ESCALATED TO LOCAL OFFICE",IF($W234=5,"ESCALATED TO CBE",IF($X234=TODAY(),"EMAIL SENT","MONITORING"))))))))))</f>
        <v/>
      </c>
      <c r="U234" s="17">
        <f>IF($T234="",IF(AND(COUNTA($A234:$K234)&gt;0,$L234=""),"Awaiting Collection Email time stamp.",""),IF(OR($T234="PAID",$T234="CLOSED"),IF($T234="PAID","Account paid. Action completed.","Account closed. No further action required."),CHOOSE($W234,"Collection Email","1st Email Follow-up","2nd Email Follow-up","Escalation to Local Office","Escalation to CBE","Escalation to Roxanne")&amp;" sent "&amp;TEXT($X234,"dd-mmm")&amp;". "&amp;IF($W234=6,"Final escalation completed.",IF($T234="OVERDUE","Next: "&amp;$Z234&amp;" was due "&amp;TEXT($Y234,"dd-mmm")&amp;" - "&amp;(NETWORKDAYS($Y234,TODAY(),Holidays)-1)&amp;" business day(s) late. Send now.",IF($T234="DUE TOMORROW","Next: "&amp;$Z234&amp;IF($Y234&lt;=TODAY()," is due TODAY ("," is due next business day (")&amp;TEXT($Y234,"dd-mmm")&amp;").","Next: "&amp;$Z234&amp;" due "&amp;TEXT($Y234,"dd-mmm")&amp;" ("&amp;(NETWORKDAYS(TODAY(),$Y234,Holidays)-1)&amp;" business day(s) left).")))))</f>
        <v/>
      </c>
      <c r="V234" s="17">
        <f>IF($W234="","",CHOOSE($W234,"Collection Email","1st Follow-up","2nd Follow-up","Local Office","CBE","Roxanne")&amp;IF($W234=6," - Final"," - Day "&amp;MAX(0,NETWORKDAYS($X234,TODAY(),Holidays)-1)&amp;" of "&amp;CHOOSE($W234,3,3,2,2,3))&amp;" | Total Day "&amp;MAX(0,NETWORKDAYS($L234,TODAY(),Holidays)-1))</f>
        <v/>
      </c>
      <c r="W234" s="17">
        <f>IF($L234="","",COUNT($L234:$Q234))</f>
        <v/>
      </c>
      <c r="X234" s="18">
        <f>IF($W234="","",INT(INDEX($L234:$Q234,$W234)))</f>
        <v/>
      </c>
      <c r="Y234" s="18">
        <f>IF(OR($W234="",$W234=6),"",WORKDAY($X234,CHOOSE($W234,3,3,2,2,3),Holidays))</f>
        <v/>
      </c>
      <c r="Z234" s="17">
        <f>IF(OR($W234="",$W234=6),"",CHOOSE($W234,"1st Email Follow-up","2nd Email Follow-up","Escalate Local Office","Escalate to CBE","Escalate to Roxanne"))</f>
        <v/>
      </c>
    </row>
    <row r="235" spans="18:26">
      <c r="R235" s="15"/>
      <c r="S235" s="16"/>
      <c r="T235" s="17">
        <f>IF(AND(COUNTA($A235:$K235)=0,$L235=""),"",IF($S235="Paid","PAID",IF($S235="Closed","CLOSED",IF($W235="","",IF($W235=6,"ESCALATED TO ROXANNE",IF(TODAY()&gt;$Y235,"OVERDUE",IF($Y235&lt;=WORKDAY(TODAY(),1,Holidays),"DUE TOMORROW",IF($W235=4,"ESCALATED TO LOCAL OFFICE",IF($W235=5,"ESCALATED TO CBE",IF($X235=TODAY(),"EMAIL SENT","MONITORING"))))))))))</f>
        <v/>
      </c>
      <c r="U235" s="17">
        <f>IF($T235="",IF(AND(COUNTA($A235:$K235)&gt;0,$L235=""),"Awaiting Collection Email time stamp.",""),IF(OR($T235="PAID",$T235="CLOSED"),IF($T235="PAID","Account paid. Action completed.","Account closed. No further action required."),CHOOSE($W235,"Collection Email","1st Email Follow-up","2nd Email Follow-up","Escalation to Local Office","Escalation to CBE","Escalation to Roxanne")&amp;" sent "&amp;TEXT($X235,"dd-mmm")&amp;". "&amp;IF($W235=6,"Final escalation completed.",IF($T235="OVERDUE","Next: "&amp;$Z235&amp;" was due "&amp;TEXT($Y235,"dd-mmm")&amp;" - "&amp;(NETWORKDAYS($Y235,TODAY(),Holidays)-1)&amp;" business day(s) late. Send now.",IF($T235="DUE TOMORROW","Next: "&amp;$Z235&amp;IF($Y235&lt;=TODAY()," is due TODAY ("," is due next business day (")&amp;TEXT($Y235,"dd-mmm")&amp;").","Next: "&amp;$Z235&amp;" due "&amp;TEXT($Y235,"dd-mmm")&amp;" ("&amp;(NETWORKDAYS(TODAY(),$Y235,Holidays)-1)&amp;" business day(s) left).")))))</f>
        <v/>
      </c>
      <c r="V235" s="17">
        <f>IF($W235="","",CHOOSE($W235,"Collection Email","1st Follow-up","2nd Follow-up","Local Office","CBE","Roxanne")&amp;IF($W235=6," - Final"," - Day "&amp;MAX(0,NETWORKDAYS($X235,TODAY(),Holidays)-1)&amp;" of "&amp;CHOOSE($W235,3,3,2,2,3))&amp;" | Total Day "&amp;MAX(0,NETWORKDAYS($L235,TODAY(),Holidays)-1))</f>
        <v/>
      </c>
      <c r="W235" s="17">
        <f>IF($L235="","",COUNT($L235:$Q235))</f>
        <v/>
      </c>
      <c r="X235" s="18">
        <f>IF($W235="","",INT(INDEX($L235:$Q235,$W235)))</f>
        <v/>
      </c>
      <c r="Y235" s="18">
        <f>IF(OR($W235="",$W235=6),"",WORKDAY($X235,CHOOSE($W235,3,3,2,2,3),Holidays))</f>
        <v/>
      </c>
      <c r="Z235" s="17">
        <f>IF(OR($W235="",$W235=6),"",CHOOSE($W235,"1st Email Follow-up","2nd Email Follow-up","Escalate Local Office","Escalate to CBE","Escalate to Roxanne"))</f>
        <v/>
      </c>
    </row>
    <row r="236" spans="18:26">
      <c r="R236" s="15"/>
      <c r="S236" s="16"/>
      <c r="T236" s="17">
        <f>IF(AND(COUNTA($A236:$K236)=0,$L236=""),"",IF($S236="Paid","PAID",IF($S236="Closed","CLOSED",IF($W236="","",IF($W236=6,"ESCALATED TO ROXANNE",IF(TODAY()&gt;$Y236,"OVERDUE",IF($Y236&lt;=WORKDAY(TODAY(),1,Holidays),"DUE TOMORROW",IF($W236=4,"ESCALATED TO LOCAL OFFICE",IF($W236=5,"ESCALATED TO CBE",IF($X236=TODAY(),"EMAIL SENT","MONITORING"))))))))))</f>
        <v/>
      </c>
      <c r="U236" s="17">
        <f>IF($T236="",IF(AND(COUNTA($A236:$K236)&gt;0,$L236=""),"Awaiting Collection Email time stamp.",""),IF(OR($T236="PAID",$T236="CLOSED"),IF($T236="PAID","Account paid. Action completed.","Account closed. No further action required."),CHOOSE($W236,"Collection Email","1st Email Follow-up","2nd Email Follow-up","Escalation to Local Office","Escalation to CBE","Escalation to Roxanne")&amp;" sent "&amp;TEXT($X236,"dd-mmm")&amp;". "&amp;IF($W236=6,"Final escalation completed.",IF($T236="OVERDUE","Next: "&amp;$Z236&amp;" was due "&amp;TEXT($Y236,"dd-mmm")&amp;" - "&amp;(NETWORKDAYS($Y236,TODAY(),Holidays)-1)&amp;" business day(s) late. Send now.",IF($T236="DUE TOMORROW","Next: "&amp;$Z236&amp;IF($Y236&lt;=TODAY()," is due TODAY ("," is due next business day (")&amp;TEXT($Y236,"dd-mmm")&amp;").","Next: "&amp;$Z236&amp;" due "&amp;TEXT($Y236,"dd-mmm")&amp;" ("&amp;(NETWORKDAYS(TODAY(),$Y236,Holidays)-1)&amp;" business day(s) left).")))))</f>
        <v/>
      </c>
      <c r="V236" s="17">
        <f>IF($W236="","",CHOOSE($W236,"Collection Email","1st Follow-up","2nd Follow-up","Local Office","CBE","Roxanne")&amp;IF($W236=6," - Final"," - Day "&amp;MAX(0,NETWORKDAYS($X236,TODAY(),Holidays)-1)&amp;" of "&amp;CHOOSE($W236,3,3,2,2,3))&amp;" | Total Day "&amp;MAX(0,NETWORKDAYS($L236,TODAY(),Holidays)-1))</f>
        <v/>
      </c>
      <c r="W236" s="17">
        <f>IF($L236="","",COUNT($L236:$Q236))</f>
        <v/>
      </c>
      <c r="X236" s="18">
        <f>IF($W236="","",INT(INDEX($L236:$Q236,$W236)))</f>
        <v/>
      </c>
      <c r="Y236" s="18">
        <f>IF(OR($W236="",$W236=6),"",WORKDAY($X236,CHOOSE($W236,3,3,2,2,3),Holidays))</f>
        <v/>
      </c>
      <c r="Z236" s="17">
        <f>IF(OR($W236="",$W236=6),"",CHOOSE($W236,"1st Email Follow-up","2nd Email Follow-up","Escalate Local Office","Escalate to CBE","Escalate to Roxanne"))</f>
        <v/>
      </c>
    </row>
    <row r="237" spans="18:26">
      <c r="R237" s="15"/>
      <c r="S237" s="16"/>
      <c r="T237" s="17">
        <f>IF(AND(COUNTA($A237:$K237)=0,$L237=""),"",IF($S237="Paid","PAID",IF($S237="Closed","CLOSED",IF($W237="","",IF($W237=6,"ESCALATED TO ROXANNE",IF(TODAY()&gt;$Y237,"OVERDUE",IF($Y237&lt;=WORKDAY(TODAY(),1,Holidays),"DUE TOMORROW",IF($W237=4,"ESCALATED TO LOCAL OFFICE",IF($W237=5,"ESCALATED TO CBE",IF($X237=TODAY(),"EMAIL SENT","MONITORING"))))))))))</f>
        <v/>
      </c>
      <c r="U237" s="17">
        <f>IF($T237="",IF(AND(COUNTA($A237:$K237)&gt;0,$L237=""),"Awaiting Collection Email time stamp.",""),IF(OR($T237="PAID",$T237="CLOSED"),IF($T237="PAID","Account paid. Action completed.","Account closed. No further action required."),CHOOSE($W237,"Collection Email","1st Email Follow-up","2nd Email Follow-up","Escalation to Local Office","Escalation to CBE","Escalation to Roxanne")&amp;" sent "&amp;TEXT($X237,"dd-mmm")&amp;". "&amp;IF($W237=6,"Final escalation completed.",IF($T237="OVERDUE","Next: "&amp;$Z237&amp;" was due "&amp;TEXT($Y237,"dd-mmm")&amp;" - "&amp;(NETWORKDAYS($Y237,TODAY(),Holidays)-1)&amp;" business day(s) late. Send now.",IF($T237="DUE TOMORROW","Next: "&amp;$Z237&amp;IF($Y237&lt;=TODAY()," is due TODAY ("," is due next business day (")&amp;TEXT($Y237,"dd-mmm")&amp;").","Next: "&amp;$Z237&amp;" due "&amp;TEXT($Y237,"dd-mmm")&amp;" ("&amp;(NETWORKDAYS(TODAY(),$Y237,Holidays)-1)&amp;" business day(s) left).")))))</f>
        <v/>
      </c>
      <c r="V237" s="17">
        <f>IF($W237="","",CHOOSE($W237,"Collection Email","1st Follow-up","2nd Follow-up","Local Office","CBE","Roxanne")&amp;IF($W237=6," - Final"," - Day "&amp;MAX(0,NETWORKDAYS($X237,TODAY(),Holidays)-1)&amp;" of "&amp;CHOOSE($W237,3,3,2,2,3))&amp;" | Total Day "&amp;MAX(0,NETWORKDAYS($L237,TODAY(),Holidays)-1))</f>
        <v/>
      </c>
      <c r="W237" s="17">
        <f>IF($L237="","",COUNT($L237:$Q237))</f>
        <v/>
      </c>
      <c r="X237" s="18">
        <f>IF($W237="","",INT(INDEX($L237:$Q237,$W237)))</f>
        <v/>
      </c>
      <c r="Y237" s="18">
        <f>IF(OR($W237="",$W237=6),"",WORKDAY($X237,CHOOSE($W237,3,3,2,2,3),Holidays))</f>
        <v/>
      </c>
      <c r="Z237" s="17">
        <f>IF(OR($W237="",$W237=6),"",CHOOSE($W237,"1st Email Follow-up","2nd Email Follow-up","Escalate Local Office","Escalate to CBE","Escalate to Roxanne"))</f>
        <v/>
      </c>
    </row>
    <row r="238" spans="18:26">
      <c r="R238" s="15"/>
      <c r="S238" s="16"/>
      <c r="T238" s="17">
        <f>IF(AND(COUNTA($A238:$K238)=0,$L238=""),"",IF($S238="Paid","PAID",IF($S238="Closed","CLOSED",IF($W238="","",IF($W238=6,"ESCALATED TO ROXANNE",IF(TODAY()&gt;$Y238,"OVERDUE",IF($Y238&lt;=WORKDAY(TODAY(),1,Holidays),"DUE TOMORROW",IF($W238=4,"ESCALATED TO LOCAL OFFICE",IF($W238=5,"ESCALATED TO CBE",IF($X238=TODAY(),"EMAIL SENT","MONITORING"))))))))))</f>
        <v/>
      </c>
      <c r="U238" s="17">
        <f>IF($T238="",IF(AND(COUNTA($A238:$K238)&gt;0,$L238=""),"Awaiting Collection Email time stamp.",""),IF(OR($T238="PAID",$T238="CLOSED"),IF($T238="PAID","Account paid. Action completed.","Account closed. No further action required."),CHOOSE($W238,"Collection Email","1st Email Follow-up","2nd Email Follow-up","Escalation to Local Office","Escalation to CBE","Escalation to Roxanne")&amp;" sent "&amp;TEXT($X238,"dd-mmm")&amp;". "&amp;IF($W238=6,"Final escalation completed.",IF($T238="OVERDUE","Next: "&amp;$Z238&amp;" was due "&amp;TEXT($Y238,"dd-mmm")&amp;" - "&amp;(NETWORKDAYS($Y238,TODAY(),Holidays)-1)&amp;" business day(s) late. Send now.",IF($T238="DUE TOMORROW","Next: "&amp;$Z238&amp;IF($Y238&lt;=TODAY()," is due TODAY ("," is due next business day (")&amp;TEXT($Y238,"dd-mmm")&amp;").","Next: "&amp;$Z238&amp;" due "&amp;TEXT($Y238,"dd-mmm")&amp;" ("&amp;(NETWORKDAYS(TODAY(),$Y238,Holidays)-1)&amp;" business day(s) left).")))))</f>
        <v/>
      </c>
      <c r="V238" s="17">
        <f>IF($W238="","",CHOOSE($W238,"Collection Email","1st Follow-up","2nd Follow-up","Local Office","CBE","Roxanne")&amp;IF($W238=6," - Final"," - Day "&amp;MAX(0,NETWORKDAYS($X238,TODAY(),Holidays)-1)&amp;" of "&amp;CHOOSE($W238,3,3,2,2,3))&amp;" | Total Day "&amp;MAX(0,NETWORKDAYS($L238,TODAY(),Holidays)-1))</f>
        <v/>
      </c>
      <c r="W238" s="17">
        <f>IF($L238="","",COUNT($L238:$Q238))</f>
        <v/>
      </c>
      <c r="X238" s="18">
        <f>IF($W238="","",INT(INDEX($L238:$Q238,$W238)))</f>
        <v/>
      </c>
      <c r="Y238" s="18">
        <f>IF(OR($W238="",$W238=6),"",WORKDAY($X238,CHOOSE($W238,3,3,2,2,3),Holidays))</f>
        <v/>
      </c>
      <c r="Z238" s="17">
        <f>IF(OR($W238="",$W238=6),"",CHOOSE($W238,"1st Email Follow-up","2nd Email Follow-up","Escalate Local Office","Escalate to CBE","Escalate to Roxanne"))</f>
        <v/>
      </c>
    </row>
    <row r="239" spans="18:26">
      <c r="R239" s="15"/>
      <c r="S239" s="16"/>
      <c r="T239" s="17">
        <f>IF(AND(COUNTA($A239:$K239)=0,$L239=""),"",IF($S239="Paid","PAID",IF($S239="Closed","CLOSED",IF($W239="","",IF($W239=6,"ESCALATED TO ROXANNE",IF(TODAY()&gt;$Y239,"OVERDUE",IF($Y239&lt;=WORKDAY(TODAY(),1,Holidays),"DUE TOMORROW",IF($W239=4,"ESCALATED TO LOCAL OFFICE",IF($W239=5,"ESCALATED TO CBE",IF($X239=TODAY(),"EMAIL SENT","MONITORING"))))))))))</f>
        <v/>
      </c>
      <c r="U239" s="17">
        <f>IF($T239="",IF(AND(COUNTA($A239:$K239)&gt;0,$L239=""),"Awaiting Collection Email time stamp.",""),IF(OR($T239="PAID",$T239="CLOSED"),IF($T239="PAID","Account paid. Action completed.","Account closed. No further action required."),CHOOSE($W239,"Collection Email","1st Email Follow-up","2nd Email Follow-up","Escalation to Local Office","Escalation to CBE","Escalation to Roxanne")&amp;" sent "&amp;TEXT($X239,"dd-mmm")&amp;". "&amp;IF($W239=6,"Final escalation completed.",IF($T239="OVERDUE","Next: "&amp;$Z239&amp;" was due "&amp;TEXT($Y239,"dd-mmm")&amp;" - "&amp;(NETWORKDAYS($Y239,TODAY(),Holidays)-1)&amp;" business day(s) late. Send now.",IF($T239="DUE TOMORROW","Next: "&amp;$Z239&amp;IF($Y239&lt;=TODAY()," is due TODAY ("," is due next business day (")&amp;TEXT($Y239,"dd-mmm")&amp;").","Next: "&amp;$Z239&amp;" due "&amp;TEXT($Y239,"dd-mmm")&amp;" ("&amp;(NETWORKDAYS(TODAY(),$Y239,Holidays)-1)&amp;" business day(s) left).")))))</f>
        <v/>
      </c>
      <c r="V239" s="17">
        <f>IF($W239="","",CHOOSE($W239,"Collection Email","1st Follow-up","2nd Follow-up","Local Office","CBE","Roxanne")&amp;IF($W239=6," - Final"," - Day "&amp;MAX(0,NETWORKDAYS($X239,TODAY(),Holidays)-1)&amp;" of "&amp;CHOOSE($W239,3,3,2,2,3))&amp;" | Total Day "&amp;MAX(0,NETWORKDAYS($L239,TODAY(),Holidays)-1))</f>
        <v/>
      </c>
      <c r="W239" s="17">
        <f>IF($L239="","",COUNT($L239:$Q239))</f>
        <v/>
      </c>
      <c r="X239" s="18">
        <f>IF($W239="","",INT(INDEX($L239:$Q239,$W239)))</f>
        <v/>
      </c>
      <c r="Y239" s="18">
        <f>IF(OR($W239="",$W239=6),"",WORKDAY($X239,CHOOSE($W239,3,3,2,2,3),Holidays))</f>
        <v/>
      </c>
      <c r="Z239" s="17">
        <f>IF(OR($W239="",$W239=6),"",CHOOSE($W239,"1st Email Follow-up","2nd Email Follow-up","Escalate Local Office","Escalate to CBE","Escalate to Roxanne"))</f>
        <v/>
      </c>
    </row>
    <row r="240" spans="18:26">
      <c r="R240" s="15"/>
      <c r="S240" s="16"/>
      <c r="T240" s="17">
        <f>IF(AND(COUNTA($A240:$K240)=0,$L240=""),"",IF($S240="Paid","PAID",IF($S240="Closed","CLOSED",IF($W240="","",IF($W240=6,"ESCALATED TO ROXANNE",IF(TODAY()&gt;$Y240,"OVERDUE",IF($Y240&lt;=WORKDAY(TODAY(),1,Holidays),"DUE TOMORROW",IF($W240=4,"ESCALATED TO LOCAL OFFICE",IF($W240=5,"ESCALATED TO CBE",IF($X240=TODAY(),"EMAIL SENT","MONITORING"))))))))))</f>
        <v/>
      </c>
      <c r="U240" s="17">
        <f>IF($T240="",IF(AND(COUNTA($A240:$K240)&gt;0,$L240=""),"Awaiting Collection Email time stamp.",""),IF(OR($T240="PAID",$T240="CLOSED"),IF($T240="PAID","Account paid. Action completed.","Account closed. No further action required."),CHOOSE($W240,"Collection Email","1st Email Follow-up","2nd Email Follow-up","Escalation to Local Office","Escalation to CBE","Escalation to Roxanne")&amp;" sent "&amp;TEXT($X240,"dd-mmm")&amp;". "&amp;IF($W240=6,"Final escalation completed.",IF($T240="OVERDUE","Next: "&amp;$Z240&amp;" was due "&amp;TEXT($Y240,"dd-mmm")&amp;" - "&amp;(NETWORKDAYS($Y240,TODAY(),Holidays)-1)&amp;" business day(s) late. Send now.",IF($T240="DUE TOMORROW","Next: "&amp;$Z240&amp;IF($Y240&lt;=TODAY()," is due TODAY ("," is due next business day (")&amp;TEXT($Y240,"dd-mmm")&amp;").","Next: "&amp;$Z240&amp;" due "&amp;TEXT($Y240,"dd-mmm")&amp;" ("&amp;(NETWORKDAYS(TODAY(),$Y240,Holidays)-1)&amp;" business day(s) left).")))))</f>
        <v/>
      </c>
      <c r="V240" s="17">
        <f>IF($W240="","",CHOOSE($W240,"Collection Email","1st Follow-up","2nd Follow-up","Local Office","CBE","Roxanne")&amp;IF($W240=6," - Final"," - Day "&amp;MAX(0,NETWORKDAYS($X240,TODAY(),Holidays)-1)&amp;" of "&amp;CHOOSE($W240,3,3,2,2,3))&amp;" | Total Day "&amp;MAX(0,NETWORKDAYS($L240,TODAY(),Holidays)-1))</f>
        <v/>
      </c>
      <c r="W240" s="17">
        <f>IF($L240="","",COUNT($L240:$Q240))</f>
        <v/>
      </c>
      <c r="X240" s="18">
        <f>IF($W240="","",INT(INDEX($L240:$Q240,$W240)))</f>
        <v/>
      </c>
      <c r="Y240" s="18">
        <f>IF(OR($W240="",$W240=6),"",WORKDAY($X240,CHOOSE($W240,3,3,2,2,3),Holidays))</f>
        <v/>
      </c>
      <c r="Z240" s="17">
        <f>IF(OR($W240="",$W240=6),"",CHOOSE($W240,"1st Email Follow-up","2nd Email Follow-up","Escalate Local Office","Escalate to CBE","Escalate to Roxanne"))</f>
        <v/>
      </c>
    </row>
    <row r="241" spans="18:26">
      <c r="R241" s="15"/>
      <c r="S241" s="16"/>
      <c r="T241" s="17">
        <f>IF(AND(COUNTA($A241:$K241)=0,$L241=""),"",IF($S241="Paid","PAID",IF($S241="Closed","CLOSED",IF($W241="","",IF($W241=6,"ESCALATED TO ROXANNE",IF(TODAY()&gt;$Y241,"OVERDUE",IF($Y241&lt;=WORKDAY(TODAY(),1,Holidays),"DUE TOMORROW",IF($W241=4,"ESCALATED TO LOCAL OFFICE",IF($W241=5,"ESCALATED TO CBE",IF($X241=TODAY(),"EMAIL SENT","MONITORING"))))))))))</f>
        <v/>
      </c>
      <c r="U241" s="17">
        <f>IF($T241="",IF(AND(COUNTA($A241:$K241)&gt;0,$L241=""),"Awaiting Collection Email time stamp.",""),IF(OR($T241="PAID",$T241="CLOSED"),IF($T241="PAID","Account paid. Action completed.","Account closed. No further action required."),CHOOSE($W241,"Collection Email","1st Email Follow-up","2nd Email Follow-up","Escalation to Local Office","Escalation to CBE","Escalation to Roxanne")&amp;" sent "&amp;TEXT($X241,"dd-mmm")&amp;". "&amp;IF($W241=6,"Final escalation completed.",IF($T241="OVERDUE","Next: "&amp;$Z241&amp;" was due "&amp;TEXT($Y241,"dd-mmm")&amp;" - "&amp;(NETWORKDAYS($Y241,TODAY(),Holidays)-1)&amp;" business day(s) late. Send now.",IF($T241="DUE TOMORROW","Next: "&amp;$Z241&amp;IF($Y241&lt;=TODAY()," is due TODAY ("," is due next business day (")&amp;TEXT($Y241,"dd-mmm")&amp;").","Next: "&amp;$Z241&amp;" due "&amp;TEXT($Y241,"dd-mmm")&amp;" ("&amp;(NETWORKDAYS(TODAY(),$Y241,Holidays)-1)&amp;" business day(s) left).")))))</f>
        <v/>
      </c>
      <c r="V241" s="17">
        <f>IF($W241="","",CHOOSE($W241,"Collection Email","1st Follow-up","2nd Follow-up","Local Office","CBE","Roxanne")&amp;IF($W241=6," - Final"," - Day "&amp;MAX(0,NETWORKDAYS($X241,TODAY(),Holidays)-1)&amp;" of "&amp;CHOOSE($W241,3,3,2,2,3))&amp;" | Total Day "&amp;MAX(0,NETWORKDAYS($L241,TODAY(),Holidays)-1))</f>
        <v/>
      </c>
      <c r="W241" s="17">
        <f>IF($L241="","",COUNT($L241:$Q241))</f>
        <v/>
      </c>
      <c r="X241" s="18">
        <f>IF($W241="","",INT(INDEX($L241:$Q241,$W241)))</f>
        <v/>
      </c>
      <c r="Y241" s="18">
        <f>IF(OR($W241="",$W241=6),"",WORKDAY($X241,CHOOSE($W241,3,3,2,2,3),Holidays))</f>
        <v/>
      </c>
      <c r="Z241" s="17">
        <f>IF(OR($W241="",$W241=6),"",CHOOSE($W241,"1st Email Follow-up","2nd Email Follow-up","Escalate Local Office","Escalate to CBE","Escalate to Roxanne"))</f>
        <v/>
      </c>
    </row>
    <row r="242" spans="18:26">
      <c r="R242" s="15"/>
      <c r="S242" s="16"/>
      <c r="T242" s="17">
        <f>IF(AND(COUNTA($A242:$K242)=0,$L242=""),"",IF($S242="Paid","PAID",IF($S242="Closed","CLOSED",IF($W242="","",IF($W242=6,"ESCALATED TO ROXANNE",IF(TODAY()&gt;$Y242,"OVERDUE",IF($Y242&lt;=WORKDAY(TODAY(),1,Holidays),"DUE TOMORROW",IF($W242=4,"ESCALATED TO LOCAL OFFICE",IF($W242=5,"ESCALATED TO CBE",IF($X242=TODAY(),"EMAIL SENT","MONITORING"))))))))))</f>
        <v/>
      </c>
      <c r="U242" s="17">
        <f>IF($T242="",IF(AND(COUNTA($A242:$K242)&gt;0,$L242=""),"Awaiting Collection Email time stamp.",""),IF(OR($T242="PAID",$T242="CLOSED"),IF($T242="PAID","Account paid. Action completed.","Account closed. No further action required."),CHOOSE($W242,"Collection Email","1st Email Follow-up","2nd Email Follow-up","Escalation to Local Office","Escalation to CBE","Escalation to Roxanne")&amp;" sent "&amp;TEXT($X242,"dd-mmm")&amp;". "&amp;IF($W242=6,"Final escalation completed.",IF($T242="OVERDUE","Next: "&amp;$Z242&amp;" was due "&amp;TEXT($Y242,"dd-mmm")&amp;" - "&amp;(NETWORKDAYS($Y242,TODAY(),Holidays)-1)&amp;" business day(s) late. Send now.",IF($T242="DUE TOMORROW","Next: "&amp;$Z242&amp;IF($Y242&lt;=TODAY()," is due TODAY ("," is due next business day (")&amp;TEXT($Y242,"dd-mmm")&amp;").","Next: "&amp;$Z242&amp;" due "&amp;TEXT($Y242,"dd-mmm")&amp;" ("&amp;(NETWORKDAYS(TODAY(),$Y242,Holidays)-1)&amp;" business day(s) left).")))))</f>
        <v/>
      </c>
      <c r="V242" s="17">
        <f>IF($W242="","",CHOOSE($W242,"Collection Email","1st Follow-up","2nd Follow-up","Local Office","CBE","Roxanne")&amp;IF($W242=6," - Final"," - Day "&amp;MAX(0,NETWORKDAYS($X242,TODAY(),Holidays)-1)&amp;" of "&amp;CHOOSE($W242,3,3,2,2,3))&amp;" | Total Day "&amp;MAX(0,NETWORKDAYS($L242,TODAY(),Holidays)-1))</f>
        <v/>
      </c>
      <c r="W242" s="17">
        <f>IF($L242="","",COUNT($L242:$Q242))</f>
        <v/>
      </c>
      <c r="X242" s="18">
        <f>IF($W242="","",INT(INDEX($L242:$Q242,$W242)))</f>
        <v/>
      </c>
      <c r="Y242" s="18">
        <f>IF(OR($W242="",$W242=6),"",WORKDAY($X242,CHOOSE($W242,3,3,2,2,3),Holidays))</f>
        <v/>
      </c>
      <c r="Z242" s="17">
        <f>IF(OR($W242="",$W242=6),"",CHOOSE($W242,"1st Email Follow-up","2nd Email Follow-up","Escalate Local Office","Escalate to CBE","Escalate to Roxanne"))</f>
        <v/>
      </c>
    </row>
    <row r="243" spans="18:26">
      <c r="R243" s="15"/>
      <c r="S243" s="16"/>
      <c r="T243" s="17">
        <f>IF(AND(COUNTA($A243:$K243)=0,$L243=""),"",IF($S243="Paid","PAID",IF($S243="Closed","CLOSED",IF($W243="","",IF($W243=6,"ESCALATED TO ROXANNE",IF(TODAY()&gt;$Y243,"OVERDUE",IF($Y243&lt;=WORKDAY(TODAY(),1,Holidays),"DUE TOMORROW",IF($W243=4,"ESCALATED TO LOCAL OFFICE",IF($W243=5,"ESCALATED TO CBE",IF($X243=TODAY(),"EMAIL SENT","MONITORING"))))))))))</f>
        <v/>
      </c>
      <c r="U243" s="17">
        <f>IF($T243="",IF(AND(COUNTA($A243:$K243)&gt;0,$L243=""),"Awaiting Collection Email time stamp.",""),IF(OR($T243="PAID",$T243="CLOSED"),IF($T243="PAID","Account paid. Action completed.","Account closed. No further action required."),CHOOSE($W243,"Collection Email","1st Email Follow-up","2nd Email Follow-up","Escalation to Local Office","Escalation to CBE","Escalation to Roxanne")&amp;" sent "&amp;TEXT($X243,"dd-mmm")&amp;". "&amp;IF($W243=6,"Final escalation completed.",IF($T243="OVERDUE","Next: "&amp;$Z243&amp;" was due "&amp;TEXT($Y243,"dd-mmm")&amp;" - "&amp;(NETWORKDAYS($Y243,TODAY(),Holidays)-1)&amp;" business day(s) late. Send now.",IF($T243="DUE TOMORROW","Next: "&amp;$Z243&amp;IF($Y243&lt;=TODAY()," is due TODAY ("," is due next business day (")&amp;TEXT($Y243,"dd-mmm")&amp;").","Next: "&amp;$Z243&amp;" due "&amp;TEXT($Y243,"dd-mmm")&amp;" ("&amp;(NETWORKDAYS(TODAY(),$Y243,Holidays)-1)&amp;" business day(s) left).")))))</f>
        <v/>
      </c>
      <c r="V243" s="17">
        <f>IF($W243="","",CHOOSE($W243,"Collection Email","1st Follow-up","2nd Follow-up","Local Office","CBE","Roxanne")&amp;IF($W243=6," - Final"," - Day "&amp;MAX(0,NETWORKDAYS($X243,TODAY(),Holidays)-1)&amp;" of "&amp;CHOOSE($W243,3,3,2,2,3))&amp;" | Total Day "&amp;MAX(0,NETWORKDAYS($L243,TODAY(),Holidays)-1))</f>
        <v/>
      </c>
      <c r="W243" s="17">
        <f>IF($L243="","",COUNT($L243:$Q243))</f>
        <v/>
      </c>
      <c r="X243" s="18">
        <f>IF($W243="","",INT(INDEX($L243:$Q243,$W243)))</f>
        <v/>
      </c>
      <c r="Y243" s="18">
        <f>IF(OR($W243="",$W243=6),"",WORKDAY($X243,CHOOSE($W243,3,3,2,2,3),Holidays))</f>
        <v/>
      </c>
      <c r="Z243" s="17">
        <f>IF(OR($W243="",$W243=6),"",CHOOSE($W243,"1st Email Follow-up","2nd Email Follow-up","Escalate Local Office","Escalate to CBE","Escalate to Roxanne"))</f>
        <v/>
      </c>
    </row>
    <row r="244" spans="18:26">
      <c r="R244" s="15"/>
      <c r="S244" s="16"/>
      <c r="T244" s="17">
        <f>IF(AND(COUNTA($A244:$K244)=0,$L244=""),"",IF($S244="Paid","PAID",IF($S244="Closed","CLOSED",IF($W244="","",IF($W244=6,"ESCALATED TO ROXANNE",IF(TODAY()&gt;$Y244,"OVERDUE",IF($Y244&lt;=WORKDAY(TODAY(),1,Holidays),"DUE TOMORROW",IF($W244=4,"ESCALATED TO LOCAL OFFICE",IF($W244=5,"ESCALATED TO CBE",IF($X244=TODAY(),"EMAIL SENT","MONITORING"))))))))))</f>
        <v/>
      </c>
      <c r="U244" s="17">
        <f>IF($T244="",IF(AND(COUNTA($A244:$K244)&gt;0,$L244=""),"Awaiting Collection Email time stamp.",""),IF(OR($T244="PAID",$T244="CLOSED"),IF($T244="PAID","Account paid. Action completed.","Account closed. No further action required."),CHOOSE($W244,"Collection Email","1st Email Follow-up","2nd Email Follow-up","Escalation to Local Office","Escalation to CBE","Escalation to Roxanne")&amp;" sent "&amp;TEXT($X244,"dd-mmm")&amp;". "&amp;IF($W244=6,"Final escalation completed.",IF($T244="OVERDUE","Next: "&amp;$Z244&amp;" was due "&amp;TEXT($Y244,"dd-mmm")&amp;" - "&amp;(NETWORKDAYS($Y244,TODAY(),Holidays)-1)&amp;" business day(s) late. Send now.",IF($T244="DUE TOMORROW","Next: "&amp;$Z244&amp;IF($Y244&lt;=TODAY()," is due TODAY ("," is due next business day (")&amp;TEXT($Y244,"dd-mmm")&amp;").","Next: "&amp;$Z244&amp;" due "&amp;TEXT($Y244,"dd-mmm")&amp;" ("&amp;(NETWORKDAYS(TODAY(),$Y244,Holidays)-1)&amp;" business day(s) left).")))))</f>
        <v/>
      </c>
      <c r="V244" s="17">
        <f>IF($W244="","",CHOOSE($W244,"Collection Email","1st Follow-up","2nd Follow-up","Local Office","CBE","Roxanne")&amp;IF($W244=6," - Final"," - Day "&amp;MAX(0,NETWORKDAYS($X244,TODAY(),Holidays)-1)&amp;" of "&amp;CHOOSE($W244,3,3,2,2,3))&amp;" | Total Day "&amp;MAX(0,NETWORKDAYS($L244,TODAY(),Holidays)-1))</f>
        <v/>
      </c>
      <c r="W244" s="17">
        <f>IF($L244="","",COUNT($L244:$Q244))</f>
        <v/>
      </c>
      <c r="X244" s="18">
        <f>IF($W244="","",INT(INDEX($L244:$Q244,$W244)))</f>
        <v/>
      </c>
      <c r="Y244" s="18">
        <f>IF(OR($W244="",$W244=6),"",WORKDAY($X244,CHOOSE($W244,3,3,2,2,3),Holidays))</f>
        <v/>
      </c>
      <c r="Z244" s="17">
        <f>IF(OR($W244="",$W244=6),"",CHOOSE($W244,"1st Email Follow-up","2nd Email Follow-up","Escalate Local Office","Escalate to CBE","Escalate to Roxanne"))</f>
        <v/>
      </c>
    </row>
    <row r="245" spans="18:26">
      <c r="R245" s="15"/>
      <c r="S245" s="16"/>
      <c r="T245" s="17">
        <f>IF(AND(COUNTA($A245:$K245)=0,$L245=""),"",IF($S245="Paid","PAID",IF($S245="Closed","CLOSED",IF($W245="","",IF($W245=6,"ESCALATED TO ROXANNE",IF(TODAY()&gt;$Y245,"OVERDUE",IF($Y245&lt;=WORKDAY(TODAY(),1,Holidays),"DUE TOMORROW",IF($W245=4,"ESCALATED TO LOCAL OFFICE",IF($W245=5,"ESCALATED TO CBE",IF($X245=TODAY(),"EMAIL SENT","MONITORING"))))))))))</f>
        <v/>
      </c>
      <c r="U245" s="17">
        <f>IF($T245="",IF(AND(COUNTA($A245:$K245)&gt;0,$L245=""),"Awaiting Collection Email time stamp.",""),IF(OR($T245="PAID",$T245="CLOSED"),IF($T245="PAID","Account paid. Action completed.","Account closed. No further action required."),CHOOSE($W245,"Collection Email","1st Email Follow-up","2nd Email Follow-up","Escalation to Local Office","Escalation to CBE","Escalation to Roxanne")&amp;" sent "&amp;TEXT($X245,"dd-mmm")&amp;". "&amp;IF($W245=6,"Final escalation completed.",IF($T245="OVERDUE","Next: "&amp;$Z245&amp;" was due "&amp;TEXT($Y245,"dd-mmm")&amp;" - "&amp;(NETWORKDAYS($Y245,TODAY(),Holidays)-1)&amp;" business day(s) late. Send now.",IF($T245="DUE TOMORROW","Next: "&amp;$Z245&amp;IF($Y245&lt;=TODAY()," is due TODAY ("," is due next business day (")&amp;TEXT($Y245,"dd-mmm")&amp;").","Next: "&amp;$Z245&amp;" due "&amp;TEXT($Y245,"dd-mmm")&amp;" ("&amp;(NETWORKDAYS(TODAY(),$Y245,Holidays)-1)&amp;" business day(s) left).")))))</f>
        <v/>
      </c>
      <c r="V245" s="17">
        <f>IF($W245="","",CHOOSE($W245,"Collection Email","1st Follow-up","2nd Follow-up","Local Office","CBE","Roxanne")&amp;IF($W245=6," - Final"," - Day "&amp;MAX(0,NETWORKDAYS($X245,TODAY(),Holidays)-1)&amp;" of "&amp;CHOOSE($W245,3,3,2,2,3))&amp;" | Total Day "&amp;MAX(0,NETWORKDAYS($L245,TODAY(),Holidays)-1))</f>
        <v/>
      </c>
      <c r="W245" s="17">
        <f>IF($L245="","",COUNT($L245:$Q245))</f>
        <v/>
      </c>
      <c r="X245" s="18">
        <f>IF($W245="","",INT(INDEX($L245:$Q245,$W245)))</f>
        <v/>
      </c>
      <c r="Y245" s="18">
        <f>IF(OR($W245="",$W245=6),"",WORKDAY($X245,CHOOSE($W245,3,3,2,2,3),Holidays))</f>
        <v/>
      </c>
      <c r="Z245" s="17">
        <f>IF(OR($W245="",$W245=6),"",CHOOSE($W245,"1st Email Follow-up","2nd Email Follow-up","Escalate Local Office","Escalate to CBE","Escalate to Roxanne"))</f>
        <v/>
      </c>
    </row>
    <row r="246" spans="18:26">
      <c r="R246" s="15"/>
      <c r="S246" s="16"/>
      <c r="T246" s="17">
        <f>IF(AND(COUNTA($A246:$K246)=0,$L246=""),"",IF($S246="Paid","PAID",IF($S246="Closed","CLOSED",IF($W246="","",IF($W246=6,"ESCALATED TO ROXANNE",IF(TODAY()&gt;$Y246,"OVERDUE",IF($Y246&lt;=WORKDAY(TODAY(),1,Holidays),"DUE TOMORROW",IF($W246=4,"ESCALATED TO LOCAL OFFICE",IF($W246=5,"ESCALATED TO CBE",IF($X246=TODAY(),"EMAIL SENT","MONITORING"))))))))))</f>
        <v/>
      </c>
      <c r="U246" s="17">
        <f>IF($T246="",IF(AND(COUNTA($A246:$K246)&gt;0,$L246=""),"Awaiting Collection Email time stamp.",""),IF(OR($T246="PAID",$T246="CLOSED"),IF($T246="PAID","Account paid. Action completed.","Account closed. No further action required."),CHOOSE($W246,"Collection Email","1st Email Follow-up","2nd Email Follow-up","Escalation to Local Office","Escalation to CBE","Escalation to Roxanne")&amp;" sent "&amp;TEXT($X246,"dd-mmm")&amp;". "&amp;IF($W246=6,"Final escalation completed.",IF($T246="OVERDUE","Next: "&amp;$Z246&amp;" was due "&amp;TEXT($Y246,"dd-mmm")&amp;" - "&amp;(NETWORKDAYS($Y246,TODAY(),Holidays)-1)&amp;" business day(s) late. Send now.",IF($T246="DUE TOMORROW","Next: "&amp;$Z246&amp;IF($Y246&lt;=TODAY()," is due TODAY ("," is due next business day (")&amp;TEXT($Y246,"dd-mmm")&amp;").","Next: "&amp;$Z246&amp;" due "&amp;TEXT($Y246,"dd-mmm")&amp;" ("&amp;(NETWORKDAYS(TODAY(),$Y246,Holidays)-1)&amp;" business day(s) left).")))))</f>
        <v/>
      </c>
      <c r="V246" s="17">
        <f>IF($W246="","",CHOOSE($W246,"Collection Email","1st Follow-up","2nd Follow-up","Local Office","CBE","Roxanne")&amp;IF($W246=6," - Final"," - Day "&amp;MAX(0,NETWORKDAYS($X246,TODAY(),Holidays)-1)&amp;" of "&amp;CHOOSE($W246,3,3,2,2,3))&amp;" | Total Day "&amp;MAX(0,NETWORKDAYS($L246,TODAY(),Holidays)-1))</f>
        <v/>
      </c>
      <c r="W246" s="17">
        <f>IF($L246="","",COUNT($L246:$Q246))</f>
        <v/>
      </c>
      <c r="X246" s="18">
        <f>IF($W246="","",INT(INDEX($L246:$Q246,$W246)))</f>
        <v/>
      </c>
      <c r="Y246" s="18">
        <f>IF(OR($W246="",$W246=6),"",WORKDAY($X246,CHOOSE($W246,3,3,2,2,3),Holidays))</f>
        <v/>
      </c>
      <c r="Z246" s="17">
        <f>IF(OR($W246="",$W246=6),"",CHOOSE($W246,"1st Email Follow-up","2nd Email Follow-up","Escalate Local Office","Escalate to CBE","Escalate to Roxanne"))</f>
        <v/>
      </c>
    </row>
    <row r="247" spans="18:26">
      <c r="R247" s="15"/>
      <c r="S247" s="16"/>
      <c r="T247" s="17">
        <f>IF(AND(COUNTA($A247:$K247)=0,$L247=""),"",IF($S247="Paid","PAID",IF($S247="Closed","CLOSED",IF($W247="","",IF($W247=6,"ESCALATED TO ROXANNE",IF(TODAY()&gt;$Y247,"OVERDUE",IF($Y247&lt;=WORKDAY(TODAY(),1,Holidays),"DUE TOMORROW",IF($W247=4,"ESCALATED TO LOCAL OFFICE",IF($W247=5,"ESCALATED TO CBE",IF($X247=TODAY(),"EMAIL SENT","MONITORING"))))))))))</f>
        <v/>
      </c>
      <c r="U247" s="17">
        <f>IF($T247="",IF(AND(COUNTA($A247:$K247)&gt;0,$L247=""),"Awaiting Collection Email time stamp.",""),IF(OR($T247="PAID",$T247="CLOSED"),IF($T247="PAID","Account paid. Action completed.","Account closed. No further action required."),CHOOSE($W247,"Collection Email","1st Email Follow-up","2nd Email Follow-up","Escalation to Local Office","Escalation to CBE","Escalation to Roxanne")&amp;" sent "&amp;TEXT($X247,"dd-mmm")&amp;". "&amp;IF($W247=6,"Final escalation completed.",IF($T247="OVERDUE","Next: "&amp;$Z247&amp;" was due "&amp;TEXT($Y247,"dd-mmm")&amp;" - "&amp;(NETWORKDAYS($Y247,TODAY(),Holidays)-1)&amp;" business day(s) late. Send now.",IF($T247="DUE TOMORROW","Next: "&amp;$Z247&amp;IF($Y247&lt;=TODAY()," is due TODAY ("," is due next business day (")&amp;TEXT($Y247,"dd-mmm")&amp;").","Next: "&amp;$Z247&amp;" due "&amp;TEXT($Y247,"dd-mmm")&amp;" ("&amp;(NETWORKDAYS(TODAY(),$Y247,Holidays)-1)&amp;" business day(s) left).")))))</f>
        <v/>
      </c>
      <c r="V247" s="17">
        <f>IF($W247="","",CHOOSE($W247,"Collection Email","1st Follow-up","2nd Follow-up","Local Office","CBE","Roxanne")&amp;IF($W247=6," - Final"," - Day "&amp;MAX(0,NETWORKDAYS($X247,TODAY(),Holidays)-1)&amp;" of "&amp;CHOOSE($W247,3,3,2,2,3))&amp;" | Total Day "&amp;MAX(0,NETWORKDAYS($L247,TODAY(),Holidays)-1))</f>
        <v/>
      </c>
      <c r="W247" s="17">
        <f>IF($L247="","",COUNT($L247:$Q247))</f>
        <v/>
      </c>
      <c r="X247" s="18">
        <f>IF($W247="","",INT(INDEX($L247:$Q247,$W247)))</f>
        <v/>
      </c>
      <c r="Y247" s="18">
        <f>IF(OR($W247="",$W247=6),"",WORKDAY($X247,CHOOSE($W247,3,3,2,2,3),Holidays))</f>
        <v/>
      </c>
      <c r="Z247" s="17">
        <f>IF(OR($W247="",$W247=6),"",CHOOSE($W247,"1st Email Follow-up","2nd Email Follow-up","Escalate Local Office","Escalate to CBE","Escalate to Roxanne"))</f>
        <v/>
      </c>
    </row>
    <row r="248" spans="18:26">
      <c r="R248" s="15"/>
      <c r="S248" s="16"/>
      <c r="T248" s="17">
        <f>IF(AND(COUNTA($A248:$K248)=0,$L248=""),"",IF($S248="Paid","PAID",IF($S248="Closed","CLOSED",IF($W248="","",IF($W248=6,"ESCALATED TO ROXANNE",IF(TODAY()&gt;$Y248,"OVERDUE",IF($Y248&lt;=WORKDAY(TODAY(),1,Holidays),"DUE TOMORROW",IF($W248=4,"ESCALATED TO LOCAL OFFICE",IF($W248=5,"ESCALATED TO CBE",IF($X248=TODAY(),"EMAIL SENT","MONITORING"))))))))))</f>
        <v/>
      </c>
      <c r="U248" s="17">
        <f>IF($T248="",IF(AND(COUNTA($A248:$K248)&gt;0,$L248=""),"Awaiting Collection Email time stamp.",""),IF(OR($T248="PAID",$T248="CLOSED"),IF($T248="PAID","Account paid. Action completed.","Account closed. No further action required."),CHOOSE($W248,"Collection Email","1st Email Follow-up","2nd Email Follow-up","Escalation to Local Office","Escalation to CBE","Escalation to Roxanne")&amp;" sent "&amp;TEXT($X248,"dd-mmm")&amp;". "&amp;IF($W248=6,"Final escalation completed.",IF($T248="OVERDUE","Next: "&amp;$Z248&amp;" was due "&amp;TEXT($Y248,"dd-mmm")&amp;" - "&amp;(NETWORKDAYS($Y248,TODAY(),Holidays)-1)&amp;" business day(s) late. Send now.",IF($T248="DUE TOMORROW","Next: "&amp;$Z248&amp;IF($Y248&lt;=TODAY()," is due TODAY ("," is due next business day (")&amp;TEXT($Y248,"dd-mmm")&amp;").","Next: "&amp;$Z248&amp;" due "&amp;TEXT($Y248,"dd-mmm")&amp;" ("&amp;(NETWORKDAYS(TODAY(),$Y248,Holidays)-1)&amp;" business day(s) left).")))))</f>
        <v/>
      </c>
      <c r="V248" s="17">
        <f>IF($W248="","",CHOOSE($W248,"Collection Email","1st Follow-up","2nd Follow-up","Local Office","CBE","Roxanne")&amp;IF($W248=6," - Final"," - Day "&amp;MAX(0,NETWORKDAYS($X248,TODAY(),Holidays)-1)&amp;" of "&amp;CHOOSE($W248,3,3,2,2,3))&amp;" | Total Day "&amp;MAX(0,NETWORKDAYS($L248,TODAY(),Holidays)-1))</f>
        <v/>
      </c>
      <c r="W248" s="17">
        <f>IF($L248="","",COUNT($L248:$Q248))</f>
        <v/>
      </c>
      <c r="X248" s="18">
        <f>IF($W248="","",INT(INDEX($L248:$Q248,$W248)))</f>
        <v/>
      </c>
      <c r="Y248" s="18">
        <f>IF(OR($W248="",$W248=6),"",WORKDAY($X248,CHOOSE($W248,3,3,2,2,3),Holidays))</f>
        <v/>
      </c>
      <c r="Z248" s="17">
        <f>IF(OR($W248="",$W248=6),"",CHOOSE($W248,"1st Email Follow-up","2nd Email Follow-up","Escalate Local Office","Escalate to CBE","Escalate to Roxanne"))</f>
        <v/>
      </c>
    </row>
    <row r="249" spans="18:26">
      <c r="R249" s="15"/>
      <c r="S249" s="16"/>
      <c r="T249" s="17">
        <f>IF(AND(COUNTA($A249:$K249)=0,$L249=""),"",IF($S249="Paid","PAID",IF($S249="Closed","CLOSED",IF($W249="","",IF($W249=6,"ESCALATED TO ROXANNE",IF(TODAY()&gt;$Y249,"OVERDUE",IF($Y249&lt;=WORKDAY(TODAY(),1,Holidays),"DUE TOMORROW",IF($W249=4,"ESCALATED TO LOCAL OFFICE",IF($W249=5,"ESCALATED TO CBE",IF($X249=TODAY(),"EMAIL SENT","MONITORING"))))))))))</f>
        <v/>
      </c>
      <c r="U249" s="17">
        <f>IF($T249="",IF(AND(COUNTA($A249:$K249)&gt;0,$L249=""),"Awaiting Collection Email time stamp.",""),IF(OR($T249="PAID",$T249="CLOSED"),IF($T249="PAID","Account paid. Action completed.","Account closed. No further action required."),CHOOSE($W249,"Collection Email","1st Email Follow-up","2nd Email Follow-up","Escalation to Local Office","Escalation to CBE","Escalation to Roxanne")&amp;" sent "&amp;TEXT($X249,"dd-mmm")&amp;". "&amp;IF($W249=6,"Final escalation completed.",IF($T249="OVERDUE","Next: "&amp;$Z249&amp;" was due "&amp;TEXT($Y249,"dd-mmm")&amp;" - "&amp;(NETWORKDAYS($Y249,TODAY(),Holidays)-1)&amp;" business day(s) late. Send now.",IF($T249="DUE TOMORROW","Next: "&amp;$Z249&amp;IF($Y249&lt;=TODAY()," is due TODAY ("," is due next business day (")&amp;TEXT($Y249,"dd-mmm")&amp;").","Next: "&amp;$Z249&amp;" due "&amp;TEXT($Y249,"dd-mmm")&amp;" ("&amp;(NETWORKDAYS(TODAY(),$Y249,Holidays)-1)&amp;" business day(s) left).")))))</f>
        <v/>
      </c>
      <c r="V249" s="17">
        <f>IF($W249="","",CHOOSE($W249,"Collection Email","1st Follow-up","2nd Follow-up","Local Office","CBE","Roxanne")&amp;IF($W249=6," - Final"," - Day "&amp;MAX(0,NETWORKDAYS($X249,TODAY(),Holidays)-1)&amp;" of "&amp;CHOOSE($W249,3,3,2,2,3))&amp;" | Total Day "&amp;MAX(0,NETWORKDAYS($L249,TODAY(),Holidays)-1))</f>
        <v/>
      </c>
      <c r="W249" s="17">
        <f>IF($L249="","",COUNT($L249:$Q249))</f>
        <v/>
      </c>
      <c r="X249" s="18">
        <f>IF($W249="","",INT(INDEX($L249:$Q249,$W249)))</f>
        <v/>
      </c>
      <c r="Y249" s="18">
        <f>IF(OR($W249="",$W249=6),"",WORKDAY($X249,CHOOSE($W249,3,3,2,2,3),Holidays))</f>
        <v/>
      </c>
      <c r="Z249" s="17">
        <f>IF(OR($W249="",$W249=6),"",CHOOSE($W249,"1st Email Follow-up","2nd Email Follow-up","Escalate Local Office","Escalate to CBE","Escalate to Roxanne"))</f>
        <v/>
      </c>
    </row>
    <row r="250" spans="18:26">
      <c r="R250" s="15"/>
      <c r="S250" s="16"/>
      <c r="T250" s="17">
        <f>IF(AND(COUNTA($A250:$K250)=0,$L250=""),"",IF($S250="Paid","PAID",IF($S250="Closed","CLOSED",IF($W250="","",IF($W250=6,"ESCALATED TO ROXANNE",IF(TODAY()&gt;$Y250,"OVERDUE",IF($Y250&lt;=WORKDAY(TODAY(),1,Holidays),"DUE TOMORROW",IF($W250=4,"ESCALATED TO LOCAL OFFICE",IF($W250=5,"ESCALATED TO CBE",IF($X250=TODAY(),"EMAIL SENT","MONITORING"))))))))))</f>
        <v/>
      </c>
      <c r="U250" s="17">
        <f>IF($T250="",IF(AND(COUNTA($A250:$K250)&gt;0,$L250=""),"Awaiting Collection Email time stamp.",""),IF(OR($T250="PAID",$T250="CLOSED"),IF($T250="PAID","Account paid. Action completed.","Account closed. No further action required."),CHOOSE($W250,"Collection Email","1st Email Follow-up","2nd Email Follow-up","Escalation to Local Office","Escalation to CBE","Escalation to Roxanne")&amp;" sent "&amp;TEXT($X250,"dd-mmm")&amp;". "&amp;IF($W250=6,"Final escalation completed.",IF($T250="OVERDUE","Next: "&amp;$Z250&amp;" was due "&amp;TEXT($Y250,"dd-mmm")&amp;" - "&amp;(NETWORKDAYS($Y250,TODAY(),Holidays)-1)&amp;" business day(s) late. Send now.",IF($T250="DUE TOMORROW","Next: "&amp;$Z250&amp;IF($Y250&lt;=TODAY()," is due TODAY ("," is due next business day (")&amp;TEXT($Y250,"dd-mmm")&amp;").","Next: "&amp;$Z250&amp;" due "&amp;TEXT($Y250,"dd-mmm")&amp;" ("&amp;(NETWORKDAYS(TODAY(),$Y250,Holidays)-1)&amp;" business day(s) left).")))))</f>
        <v/>
      </c>
      <c r="V250" s="17">
        <f>IF($W250="","",CHOOSE($W250,"Collection Email","1st Follow-up","2nd Follow-up","Local Office","CBE","Roxanne")&amp;IF($W250=6," - Final"," - Day "&amp;MAX(0,NETWORKDAYS($X250,TODAY(),Holidays)-1)&amp;" of "&amp;CHOOSE($W250,3,3,2,2,3))&amp;" | Total Day "&amp;MAX(0,NETWORKDAYS($L250,TODAY(),Holidays)-1))</f>
        <v/>
      </c>
      <c r="W250" s="17">
        <f>IF($L250="","",COUNT($L250:$Q250))</f>
        <v/>
      </c>
      <c r="X250" s="18">
        <f>IF($W250="","",INT(INDEX($L250:$Q250,$W250)))</f>
        <v/>
      </c>
      <c r="Y250" s="18">
        <f>IF(OR($W250="",$W250=6),"",WORKDAY($X250,CHOOSE($W250,3,3,2,2,3),Holidays))</f>
        <v/>
      </c>
      <c r="Z250" s="17">
        <f>IF(OR($W250="",$W250=6),"",CHOOSE($W250,"1st Email Follow-up","2nd Email Follow-up","Escalate Local Office","Escalate to CBE","Escalate to Roxanne"))</f>
        <v/>
      </c>
    </row>
    <row r="251" spans="18:26">
      <c r="R251" s="15"/>
      <c r="S251" s="16"/>
      <c r="T251" s="17">
        <f>IF(AND(COUNTA($A251:$K251)=0,$L251=""),"",IF($S251="Paid","PAID",IF($S251="Closed","CLOSED",IF($W251="","",IF($W251=6,"ESCALATED TO ROXANNE",IF(TODAY()&gt;$Y251,"OVERDUE",IF($Y251&lt;=WORKDAY(TODAY(),1,Holidays),"DUE TOMORROW",IF($W251=4,"ESCALATED TO LOCAL OFFICE",IF($W251=5,"ESCALATED TO CBE",IF($X251=TODAY(),"EMAIL SENT","MONITORING"))))))))))</f>
        <v/>
      </c>
      <c r="U251" s="17">
        <f>IF($T251="",IF(AND(COUNTA($A251:$K251)&gt;0,$L251=""),"Awaiting Collection Email time stamp.",""),IF(OR($T251="PAID",$T251="CLOSED"),IF($T251="PAID","Account paid. Action completed.","Account closed. No further action required."),CHOOSE($W251,"Collection Email","1st Email Follow-up","2nd Email Follow-up","Escalation to Local Office","Escalation to CBE","Escalation to Roxanne")&amp;" sent "&amp;TEXT($X251,"dd-mmm")&amp;". "&amp;IF($W251=6,"Final escalation completed.",IF($T251="OVERDUE","Next: "&amp;$Z251&amp;" was due "&amp;TEXT($Y251,"dd-mmm")&amp;" - "&amp;(NETWORKDAYS($Y251,TODAY(),Holidays)-1)&amp;" business day(s) late. Send now.",IF($T251="DUE TOMORROW","Next: "&amp;$Z251&amp;IF($Y251&lt;=TODAY()," is due TODAY ("," is due next business day (")&amp;TEXT($Y251,"dd-mmm")&amp;").","Next: "&amp;$Z251&amp;" due "&amp;TEXT($Y251,"dd-mmm")&amp;" ("&amp;(NETWORKDAYS(TODAY(),$Y251,Holidays)-1)&amp;" business day(s) left).")))))</f>
        <v/>
      </c>
      <c r="V251" s="17">
        <f>IF($W251="","",CHOOSE($W251,"Collection Email","1st Follow-up","2nd Follow-up","Local Office","CBE","Roxanne")&amp;IF($W251=6," - Final"," - Day "&amp;MAX(0,NETWORKDAYS($X251,TODAY(),Holidays)-1)&amp;" of "&amp;CHOOSE($W251,3,3,2,2,3))&amp;" | Total Day "&amp;MAX(0,NETWORKDAYS($L251,TODAY(),Holidays)-1))</f>
        <v/>
      </c>
      <c r="W251" s="17">
        <f>IF($L251="","",COUNT($L251:$Q251))</f>
        <v/>
      </c>
      <c r="X251" s="18">
        <f>IF($W251="","",INT(INDEX($L251:$Q251,$W251)))</f>
        <v/>
      </c>
      <c r="Y251" s="18">
        <f>IF(OR($W251="",$W251=6),"",WORKDAY($X251,CHOOSE($W251,3,3,2,2,3),Holidays))</f>
        <v/>
      </c>
      <c r="Z251" s="17">
        <f>IF(OR($W251="",$W251=6),"",CHOOSE($W251,"1st Email Follow-up","2nd Email Follow-up","Escalate Local Office","Escalate to CBE","Escalate to Roxanne"))</f>
        <v/>
      </c>
    </row>
    <row r="252" spans="18:26">
      <c r="R252" s="15"/>
      <c r="S252" s="16"/>
      <c r="T252" s="17">
        <f>IF(AND(COUNTA($A252:$K252)=0,$L252=""),"",IF($S252="Paid","PAID",IF($S252="Closed","CLOSED",IF($W252="","",IF($W252=6,"ESCALATED TO ROXANNE",IF(TODAY()&gt;$Y252,"OVERDUE",IF($Y252&lt;=WORKDAY(TODAY(),1,Holidays),"DUE TOMORROW",IF($W252=4,"ESCALATED TO LOCAL OFFICE",IF($W252=5,"ESCALATED TO CBE",IF($X252=TODAY(),"EMAIL SENT","MONITORING"))))))))))</f>
        <v/>
      </c>
      <c r="U252" s="17">
        <f>IF($T252="",IF(AND(COUNTA($A252:$K252)&gt;0,$L252=""),"Awaiting Collection Email time stamp.",""),IF(OR($T252="PAID",$T252="CLOSED"),IF($T252="PAID","Account paid. Action completed.","Account closed. No further action required."),CHOOSE($W252,"Collection Email","1st Email Follow-up","2nd Email Follow-up","Escalation to Local Office","Escalation to CBE","Escalation to Roxanne")&amp;" sent "&amp;TEXT($X252,"dd-mmm")&amp;". "&amp;IF($W252=6,"Final escalation completed.",IF($T252="OVERDUE","Next: "&amp;$Z252&amp;" was due "&amp;TEXT($Y252,"dd-mmm")&amp;" - "&amp;(NETWORKDAYS($Y252,TODAY(),Holidays)-1)&amp;" business day(s) late. Send now.",IF($T252="DUE TOMORROW","Next: "&amp;$Z252&amp;IF($Y252&lt;=TODAY()," is due TODAY ("," is due next business day (")&amp;TEXT($Y252,"dd-mmm")&amp;").","Next: "&amp;$Z252&amp;" due "&amp;TEXT($Y252,"dd-mmm")&amp;" ("&amp;(NETWORKDAYS(TODAY(),$Y252,Holidays)-1)&amp;" business day(s) left).")))))</f>
        <v/>
      </c>
      <c r="V252" s="17">
        <f>IF($W252="","",CHOOSE($W252,"Collection Email","1st Follow-up","2nd Follow-up","Local Office","CBE","Roxanne")&amp;IF($W252=6," - Final"," - Day "&amp;MAX(0,NETWORKDAYS($X252,TODAY(),Holidays)-1)&amp;" of "&amp;CHOOSE($W252,3,3,2,2,3))&amp;" | Total Day "&amp;MAX(0,NETWORKDAYS($L252,TODAY(),Holidays)-1))</f>
        <v/>
      </c>
      <c r="W252" s="17">
        <f>IF($L252="","",COUNT($L252:$Q252))</f>
        <v/>
      </c>
      <c r="X252" s="18">
        <f>IF($W252="","",INT(INDEX($L252:$Q252,$W252)))</f>
        <v/>
      </c>
      <c r="Y252" s="18">
        <f>IF(OR($W252="",$W252=6),"",WORKDAY($X252,CHOOSE($W252,3,3,2,2,3),Holidays))</f>
        <v/>
      </c>
      <c r="Z252" s="17">
        <f>IF(OR($W252="",$W252=6),"",CHOOSE($W252,"1st Email Follow-up","2nd Email Follow-up","Escalate Local Office","Escalate to CBE","Escalate to Roxanne"))</f>
        <v/>
      </c>
    </row>
    <row r="253" spans="18:26">
      <c r="R253" s="15"/>
      <c r="S253" s="16"/>
      <c r="T253" s="17">
        <f>IF(AND(COUNTA($A253:$K253)=0,$L253=""),"",IF($S253="Paid","PAID",IF($S253="Closed","CLOSED",IF($W253="","",IF($W253=6,"ESCALATED TO ROXANNE",IF(TODAY()&gt;$Y253,"OVERDUE",IF($Y253&lt;=WORKDAY(TODAY(),1,Holidays),"DUE TOMORROW",IF($W253=4,"ESCALATED TO LOCAL OFFICE",IF($W253=5,"ESCALATED TO CBE",IF($X253=TODAY(),"EMAIL SENT","MONITORING"))))))))))</f>
        <v/>
      </c>
      <c r="U253" s="17">
        <f>IF($T253="",IF(AND(COUNTA($A253:$K253)&gt;0,$L253=""),"Awaiting Collection Email time stamp.",""),IF(OR($T253="PAID",$T253="CLOSED"),IF($T253="PAID","Account paid. Action completed.","Account closed. No further action required."),CHOOSE($W253,"Collection Email","1st Email Follow-up","2nd Email Follow-up","Escalation to Local Office","Escalation to CBE","Escalation to Roxanne")&amp;" sent "&amp;TEXT($X253,"dd-mmm")&amp;". "&amp;IF($W253=6,"Final escalation completed.",IF($T253="OVERDUE","Next: "&amp;$Z253&amp;" was due "&amp;TEXT($Y253,"dd-mmm")&amp;" - "&amp;(NETWORKDAYS($Y253,TODAY(),Holidays)-1)&amp;" business day(s) late. Send now.",IF($T253="DUE TOMORROW","Next: "&amp;$Z253&amp;IF($Y253&lt;=TODAY()," is due TODAY ("," is due next business day (")&amp;TEXT($Y253,"dd-mmm")&amp;").","Next: "&amp;$Z253&amp;" due "&amp;TEXT($Y253,"dd-mmm")&amp;" ("&amp;(NETWORKDAYS(TODAY(),$Y253,Holidays)-1)&amp;" business day(s) left).")))))</f>
        <v/>
      </c>
      <c r="V253" s="17">
        <f>IF($W253="","",CHOOSE($W253,"Collection Email","1st Follow-up","2nd Follow-up","Local Office","CBE","Roxanne")&amp;IF($W253=6," - Final"," - Day "&amp;MAX(0,NETWORKDAYS($X253,TODAY(),Holidays)-1)&amp;" of "&amp;CHOOSE($W253,3,3,2,2,3))&amp;" | Total Day "&amp;MAX(0,NETWORKDAYS($L253,TODAY(),Holidays)-1))</f>
        <v/>
      </c>
      <c r="W253" s="17">
        <f>IF($L253="","",COUNT($L253:$Q253))</f>
        <v/>
      </c>
      <c r="X253" s="18">
        <f>IF($W253="","",INT(INDEX($L253:$Q253,$W253)))</f>
        <v/>
      </c>
      <c r="Y253" s="18">
        <f>IF(OR($W253="",$W253=6),"",WORKDAY($X253,CHOOSE($W253,3,3,2,2,3),Holidays))</f>
        <v/>
      </c>
      <c r="Z253" s="17">
        <f>IF(OR($W253="",$W253=6),"",CHOOSE($W253,"1st Email Follow-up","2nd Email Follow-up","Escalate Local Office","Escalate to CBE","Escalate to Roxanne"))</f>
        <v/>
      </c>
    </row>
    <row r="254" spans="18:26">
      <c r="R254" s="15"/>
      <c r="S254" s="16"/>
      <c r="T254" s="17">
        <f>IF(AND(COUNTA($A254:$K254)=0,$L254=""),"",IF($S254="Paid","PAID",IF($S254="Closed","CLOSED",IF($W254="","",IF($W254=6,"ESCALATED TO ROXANNE",IF(TODAY()&gt;$Y254,"OVERDUE",IF($Y254&lt;=WORKDAY(TODAY(),1,Holidays),"DUE TOMORROW",IF($W254=4,"ESCALATED TO LOCAL OFFICE",IF($W254=5,"ESCALATED TO CBE",IF($X254=TODAY(),"EMAIL SENT","MONITORING"))))))))))</f>
        <v/>
      </c>
      <c r="U254" s="17">
        <f>IF($T254="",IF(AND(COUNTA($A254:$K254)&gt;0,$L254=""),"Awaiting Collection Email time stamp.",""),IF(OR($T254="PAID",$T254="CLOSED"),IF($T254="PAID","Account paid. Action completed.","Account closed. No further action required."),CHOOSE($W254,"Collection Email","1st Email Follow-up","2nd Email Follow-up","Escalation to Local Office","Escalation to CBE","Escalation to Roxanne")&amp;" sent "&amp;TEXT($X254,"dd-mmm")&amp;". "&amp;IF($W254=6,"Final escalation completed.",IF($T254="OVERDUE","Next: "&amp;$Z254&amp;" was due "&amp;TEXT($Y254,"dd-mmm")&amp;" - "&amp;(NETWORKDAYS($Y254,TODAY(),Holidays)-1)&amp;" business day(s) late. Send now.",IF($T254="DUE TOMORROW","Next: "&amp;$Z254&amp;IF($Y254&lt;=TODAY()," is due TODAY ("," is due next business day (")&amp;TEXT($Y254,"dd-mmm")&amp;").","Next: "&amp;$Z254&amp;" due "&amp;TEXT($Y254,"dd-mmm")&amp;" ("&amp;(NETWORKDAYS(TODAY(),$Y254,Holidays)-1)&amp;" business day(s) left).")))))</f>
        <v/>
      </c>
      <c r="V254" s="17">
        <f>IF($W254="","",CHOOSE($W254,"Collection Email","1st Follow-up","2nd Follow-up","Local Office","CBE","Roxanne")&amp;IF($W254=6," - Final"," - Day "&amp;MAX(0,NETWORKDAYS($X254,TODAY(),Holidays)-1)&amp;" of "&amp;CHOOSE($W254,3,3,2,2,3))&amp;" | Total Day "&amp;MAX(0,NETWORKDAYS($L254,TODAY(),Holidays)-1))</f>
        <v/>
      </c>
      <c r="W254" s="17">
        <f>IF($L254="","",COUNT($L254:$Q254))</f>
        <v/>
      </c>
      <c r="X254" s="18">
        <f>IF($W254="","",INT(INDEX($L254:$Q254,$W254)))</f>
        <v/>
      </c>
      <c r="Y254" s="18">
        <f>IF(OR($W254="",$W254=6),"",WORKDAY($X254,CHOOSE($W254,3,3,2,2,3),Holidays))</f>
        <v/>
      </c>
      <c r="Z254" s="17">
        <f>IF(OR($W254="",$W254=6),"",CHOOSE($W254,"1st Email Follow-up","2nd Email Follow-up","Escalate Local Office","Escalate to CBE","Escalate to Roxanne"))</f>
        <v/>
      </c>
    </row>
    <row r="255" spans="18:26">
      <c r="R255" s="15"/>
      <c r="S255" s="16"/>
      <c r="T255" s="17">
        <f>IF(AND(COUNTA($A255:$K255)=0,$L255=""),"",IF($S255="Paid","PAID",IF($S255="Closed","CLOSED",IF($W255="","",IF($W255=6,"ESCALATED TO ROXANNE",IF(TODAY()&gt;$Y255,"OVERDUE",IF($Y255&lt;=WORKDAY(TODAY(),1,Holidays),"DUE TOMORROW",IF($W255=4,"ESCALATED TO LOCAL OFFICE",IF($W255=5,"ESCALATED TO CBE",IF($X255=TODAY(),"EMAIL SENT","MONITORING"))))))))))</f>
        <v/>
      </c>
      <c r="U255" s="17">
        <f>IF($T255="",IF(AND(COUNTA($A255:$K255)&gt;0,$L255=""),"Awaiting Collection Email time stamp.",""),IF(OR($T255="PAID",$T255="CLOSED"),IF($T255="PAID","Account paid. Action completed.","Account closed. No further action required."),CHOOSE($W255,"Collection Email","1st Email Follow-up","2nd Email Follow-up","Escalation to Local Office","Escalation to CBE","Escalation to Roxanne")&amp;" sent "&amp;TEXT($X255,"dd-mmm")&amp;". "&amp;IF($W255=6,"Final escalation completed.",IF($T255="OVERDUE","Next: "&amp;$Z255&amp;" was due "&amp;TEXT($Y255,"dd-mmm")&amp;" - "&amp;(NETWORKDAYS($Y255,TODAY(),Holidays)-1)&amp;" business day(s) late. Send now.",IF($T255="DUE TOMORROW","Next: "&amp;$Z255&amp;IF($Y255&lt;=TODAY()," is due TODAY ("," is due next business day (")&amp;TEXT($Y255,"dd-mmm")&amp;").","Next: "&amp;$Z255&amp;" due "&amp;TEXT($Y255,"dd-mmm")&amp;" ("&amp;(NETWORKDAYS(TODAY(),$Y255,Holidays)-1)&amp;" business day(s) left).")))))</f>
        <v/>
      </c>
      <c r="V255" s="17">
        <f>IF($W255="","",CHOOSE($W255,"Collection Email","1st Follow-up","2nd Follow-up","Local Office","CBE","Roxanne")&amp;IF($W255=6," - Final"," - Day "&amp;MAX(0,NETWORKDAYS($X255,TODAY(),Holidays)-1)&amp;" of "&amp;CHOOSE($W255,3,3,2,2,3))&amp;" | Total Day "&amp;MAX(0,NETWORKDAYS($L255,TODAY(),Holidays)-1))</f>
        <v/>
      </c>
      <c r="W255" s="17">
        <f>IF($L255="","",COUNT($L255:$Q255))</f>
        <v/>
      </c>
      <c r="X255" s="18">
        <f>IF($W255="","",INT(INDEX($L255:$Q255,$W255)))</f>
        <v/>
      </c>
      <c r="Y255" s="18">
        <f>IF(OR($W255="",$W255=6),"",WORKDAY($X255,CHOOSE($W255,3,3,2,2,3),Holidays))</f>
        <v/>
      </c>
      <c r="Z255" s="17">
        <f>IF(OR($W255="",$W255=6),"",CHOOSE($W255,"1st Email Follow-up","2nd Email Follow-up","Escalate Local Office","Escalate to CBE","Escalate to Roxanne"))</f>
        <v/>
      </c>
    </row>
    <row r="256" spans="18:26">
      <c r="R256" s="15"/>
      <c r="S256" s="16"/>
      <c r="T256" s="17">
        <f>IF(AND(COUNTA($A256:$K256)=0,$L256=""),"",IF($S256="Paid","PAID",IF($S256="Closed","CLOSED",IF($W256="","",IF($W256=6,"ESCALATED TO ROXANNE",IF(TODAY()&gt;$Y256,"OVERDUE",IF($Y256&lt;=WORKDAY(TODAY(),1,Holidays),"DUE TOMORROW",IF($W256=4,"ESCALATED TO LOCAL OFFICE",IF($W256=5,"ESCALATED TO CBE",IF($X256=TODAY(),"EMAIL SENT","MONITORING"))))))))))</f>
        <v/>
      </c>
      <c r="U256" s="17">
        <f>IF($T256="",IF(AND(COUNTA($A256:$K256)&gt;0,$L256=""),"Awaiting Collection Email time stamp.",""),IF(OR($T256="PAID",$T256="CLOSED"),IF($T256="PAID","Account paid. Action completed.","Account closed. No further action required."),CHOOSE($W256,"Collection Email","1st Email Follow-up","2nd Email Follow-up","Escalation to Local Office","Escalation to CBE","Escalation to Roxanne")&amp;" sent "&amp;TEXT($X256,"dd-mmm")&amp;". "&amp;IF($W256=6,"Final escalation completed.",IF($T256="OVERDUE","Next: "&amp;$Z256&amp;" was due "&amp;TEXT($Y256,"dd-mmm")&amp;" - "&amp;(NETWORKDAYS($Y256,TODAY(),Holidays)-1)&amp;" business day(s) late. Send now.",IF($T256="DUE TOMORROW","Next: "&amp;$Z256&amp;IF($Y256&lt;=TODAY()," is due TODAY ("," is due next business day (")&amp;TEXT($Y256,"dd-mmm")&amp;").","Next: "&amp;$Z256&amp;" due "&amp;TEXT($Y256,"dd-mmm")&amp;" ("&amp;(NETWORKDAYS(TODAY(),$Y256,Holidays)-1)&amp;" business day(s) left).")))))</f>
        <v/>
      </c>
      <c r="V256" s="17">
        <f>IF($W256="","",CHOOSE($W256,"Collection Email","1st Follow-up","2nd Follow-up","Local Office","CBE","Roxanne")&amp;IF($W256=6," - Final"," - Day "&amp;MAX(0,NETWORKDAYS($X256,TODAY(),Holidays)-1)&amp;" of "&amp;CHOOSE($W256,3,3,2,2,3))&amp;" | Total Day "&amp;MAX(0,NETWORKDAYS($L256,TODAY(),Holidays)-1))</f>
        <v/>
      </c>
      <c r="W256" s="17">
        <f>IF($L256="","",COUNT($L256:$Q256))</f>
        <v/>
      </c>
      <c r="X256" s="18">
        <f>IF($W256="","",INT(INDEX($L256:$Q256,$W256)))</f>
        <v/>
      </c>
      <c r="Y256" s="18">
        <f>IF(OR($W256="",$W256=6),"",WORKDAY($X256,CHOOSE($W256,3,3,2,2,3),Holidays))</f>
        <v/>
      </c>
      <c r="Z256" s="17">
        <f>IF(OR($W256="",$W256=6),"",CHOOSE($W256,"1st Email Follow-up","2nd Email Follow-up","Escalate Local Office","Escalate to CBE","Escalate to Roxanne"))</f>
        <v/>
      </c>
    </row>
    <row r="257" spans="18:26">
      <c r="R257" s="15"/>
      <c r="S257" s="16"/>
      <c r="T257" s="17">
        <f>IF(AND(COUNTA($A257:$K257)=0,$L257=""),"",IF($S257="Paid","PAID",IF($S257="Closed","CLOSED",IF($W257="","",IF($W257=6,"ESCALATED TO ROXANNE",IF(TODAY()&gt;$Y257,"OVERDUE",IF($Y257&lt;=WORKDAY(TODAY(),1,Holidays),"DUE TOMORROW",IF($W257=4,"ESCALATED TO LOCAL OFFICE",IF($W257=5,"ESCALATED TO CBE",IF($X257=TODAY(),"EMAIL SENT","MONITORING"))))))))))</f>
        <v/>
      </c>
      <c r="U257" s="17">
        <f>IF($T257="",IF(AND(COUNTA($A257:$K257)&gt;0,$L257=""),"Awaiting Collection Email time stamp.",""),IF(OR($T257="PAID",$T257="CLOSED"),IF($T257="PAID","Account paid. Action completed.","Account closed. No further action required."),CHOOSE($W257,"Collection Email","1st Email Follow-up","2nd Email Follow-up","Escalation to Local Office","Escalation to CBE","Escalation to Roxanne")&amp;" sent "&amp;TEXT($X257,"dd-mmm")&amp;". "&amp;IF($W257=6,"Final escalation completed.",IF($T257="OVERDUE","Next: "&amp;$Z257&amp;" was due "&amp;TEXT($Y257,"dd-mmm")&amp;" - "&amp;(NETWORKDAYS($Y257,TODAY(),Holidays)-1)&amp;" business day(s) late. Send now.",IF($T257="DUE TOMORROW","Next: "&amp;$Z257&amp;IF($Y257&lt;=TODAY()," is due TODAY ("," is due next business day (")&amp;TEXT($Y257,"dd-mmm")&amp;").","Next: "&amp;$Z257&amp;" due "&amp;TEXT($Y257,"dd-mmm")&amp;" ("&amp;(NETWORKDAYS(TODAY(),$Y257,Holidays)-1)&amp;" business day(s) left).")))))</f>
        <v/>
      </c>
      <c r="V257" s="17">
        <f>IF($W257="","",CHOOSE($W257,"Collection Email","1st Follow-up","2nd Follow-up","Local Office","CBE","Roxanne")&amp;IF($W257=6," - Final"," - Day "&amp;MAX(0,NETWORKDAYS($X257,TODAY(),Holidays)-1)&amp;" of "&amp;CHOOSE($W257,3,3,2,2,3))&amp;" | Total Day "&amp;MAX(0,NETWORKDAYS($L257,TODAY(),Holidays)-1))</f>
        <v/>
      </c>
      <c r="W257" s="17">
        <f>IF($L257="","",COUNT($L257:$Q257))</f>
        <v/>
      </c>
      <c r="X257" s="18">
        <f>IF($W257="","",INT(INDEX($L257:$Q257,$W257)))</f>
        <v/>
      </c>
      <c r="Y257" s="18">
        <f>IF(OR($W257="",$W257=6),"",WORKDAY($X257,CHOOSE($W257,3,3,2,2,3),Holidays))</f>
        <v/>
      </c>
      <c r="Z257" s="17">
        <f>IF(OR($W257="",$W257=6),"",CHOOSE($W257,"1st Email Follow-up","2nd Email Follow-up","Escalate Local Office","Escalate to CBE","Escalate to Roxanne"))</f>
        <v/>
      </c>
    </row>
    <row r="258" spans="18:26">
      <c r="R258" s="15"/>
      <c r="S258" s="16"/>
      <c r="T258" s="17">
        <f>IF(AND(COUNTA($A258:$K258)=0,$L258=""),"",IF($S258="Paid","PAID",IF($S258="Closed","CLOSED",IF($W258="","",IF($W258=6,"ESCALATED TO ROXANNE",IF(TODAY()&gt;$Y258,"OVERDUE",IF($Y258&lt;=WORKDAY(TODAY(),1,Holidays),"DUE TOMORROW",IF($W258=4,"ESCALATED TO LOCAL OFFICE",IF($W258=5,"ESCALATED TO CBE",IF($X258=TODAY(),"EMAIL SENT","MONITORING"))))))))))</f>
        <v/>
      </c>
      <c r="U258" s="17">
        <f>IF($T258="",IF(AND(COUNTA($A258:$K258)&gt;0,$L258=""),"Awaiting Collection Email time stamp.",""),IF(OR($T258="PAID",$T258="CLOSED"),IF($T258="PAID","Account paid. Action completed.","Account closed. No further action required."),CHOOSE($W258,"Collection Email","1st Email Follow-up","2nd Email Follow-up","Escalation to Local Office","Escalation to CBE","Escalation to Roxanne")&amp;" sent "&amp;TEXT($X258,"dd-mmm")&amp;". "&amp;IF($W258=6,"Final escalation completed.",IF($T258="OVERDUE","Next: "&amp;$Z258&amp;" was due "&amp;TEXT($Y258,"dd-mmm")&amp;" - "&amp;(NETWORKDAYS($Y258,TODAY(),Holidays)-1)&amp;" business day(s) late. Send now.",IF($T258="DUE TOMORROW","Next: "&amp;$Z258&amp;IF($Y258&lt;=TODAY()," is due TODAY ("," is due next business day (")&amp;TEXT($Y258,"dd-mmm")&amp;").","Next: "&amp;$Z258&amp;" due "&amp;TEXT($Y258,"dd-mmm")&amp;" ("&amp;(NETWORKDAYS(TODAY(),$Y258,Holidays)-1)&amp;" business day(s) left).")))))</f>
        <v/>
      </c>
      <c r="V258" s="17">
        <f>IF($W258="","",CHOOSE($W258,"Collection Email","1st Follow-up","2nd Follow-up","Local Office","CBE","Roxanne")&amp;IF($W258=6," - Final"," - Day "&amp;MAX(0,NETWORKDAYS($X258,TODAY(),Holidays)-1)&amp;" of "&amp;CHOOSE($W258,3,3,2,2,3))&amp;" | Total Day "&amp;MAX(0,NETWORKDAYS($L258,TODAY(),Holidays)-1))</f>
        <v/>
      </c>
      <c r="W258" s="17">
        <f>IF($L258="","",COUNT($L258:$Q258))</f>
        <v/>
      </c>
      <c r="X258" s="18">
        <f>IF($W258="","",INT(INDEX($L258:$Q258,$W258)))</f>
        <v/>
      </c>
      <c r="Y258" s="18">
        <f>IF(OR($W258="",$W258=6),"",WORKDAY($X258,CHOOSE($W258,3,3,2,2,3),Holidays))</f>
        <v/>
      </c>
      <c r="Z258" s="17">
        <f>IF(OR($W258="",$W258=6),"",CHOOSE($W258,"1st Email Follow-up","2nd Email Follow-up","Escalate Local Office","Escalate to CBE","Escalate to Roxanne"))</f>
        <v/>
      </c>
    </row>
    <row r="259" spans="18:26">
      <c r="R259" s="15"/>
      <c r="S259" s="16"/>
      <c r="T259" s="17">
        <f>IF(AND(COUNTA($A259:$K259)=0,$L259=""),"",IF($S259="Paid","PAID",IF($S259="Closed","CLOSED",IF($W259="","",IF($W259=6,"ESCALATED TO ROXANNE",IF(TODAY()&gt;$Y259,"OVERDUE",IF($Y259&lt;=WORKDAY(TODAY(),1,Holidays),"DUE TOMORROW",IF($W259=4,"ESCALATED TO LOCAL OFFICE",IF($W259=5,"ESCALATED TO CBE",IF($X259=TODAY(),"EMAIL SENT","MONITORING"))))))))))</f>
        <v/>
      </c>
      <c r="U259" s="17">
        <f>IF($T259="",IF(AND(COUNTA($A259:$K259)&gt;0,$L259=""),"Awaiting Collection Email time stamp.",""),IF(OR($T259="PAID",$T259="CLOSED"),IF($T259="PAID","Account paid. Action completed.","Account closed. No further action required."),CHOOSE($W259,"Collection Email","1st Email Follow-up","2nd Email Follow-up","Escalation to Local Office","Escalation to CBE","Escalation to Roxanne")&amp;" sent "&amp;TEXT($X259,"dd-mmm")&amp;". "&amp;IF($W259=6,"Final escalation completed.",IF($T259="OVERDUE","Next: "&amp;$Z259&amp;" was due "&amp;TEXT($Y259,"dd-mmm")&amp;" - "&amp;(NETWORKDAYS($Y259,TODAY(),Holidays)-1)&amp;" business day(s) late. Send now.",IF($T259="DUE TOMORROW","Next: "&amp;$Z259&amp;IF($Y259&lt;=TODAY()," is due TODAY ("," is due next business day (")&amp;TEXT($Y259,"dd-mmm")&amp;").","Next: "&amp;$Z259&amp;" due "&amp;TEXT($Y259,"dd-mmm")&amp;" ("&amp;(NETWORKDAYS(TODAY(),$Y259,Holidays)-1)&amp;" business day(s) left).")))))</f>
        <v/>
      </c>
      <c r="V259" s="17">
        <f>IF($W259="","",CHOOSE($W259,"Collection Email","1st Follow-up","2nd Follow-up","Local Office","CBE","Roxanne")&amp;IF($W259=6," - Final"," - Day "&amp;MAX(0,NETWORKDAYS($X259,TODAY(),Holidays)-1)&amp;" of "&amp;CHOOSE($W259,3,3,2,2,3))&amp;" | Total Day "&amp;MAX(0,NETWORKDAYS($L259,TODAY(),Holidays)-1))</f>
        <v/>
      </c>
      <c r="W259" s="17">
        <f>IF($L259="","",COUNT($L259:$Q259))</f>
        <v/>
      </c>
      <c r="X259" s="18">
        <f>IF($W259="","",INT(INDEX($L259:$Q259,$W259)))</f>
        <v/>
      </c>
      <c r="Y259" s="18">
        <f>IF(OR($W259="",$W259=6),"",WORKDAY($X259,CHOOSE($W259,3,3,2,2,3),Holidays))</f>
        <v/>
      </c>
      <c r="Z259" s="17">
        <f>IF(OR($W259="",$W259=6),"",CHOOSE($W259,"1st Email Follow-up","2nd Email Follow-up","Escalate Local Office","Escalate to CBE","Escalate to Roxanne"))</f>
        <v/>
      </c>
    </row>
    <row r="260" spans="18:26">
      <c r="R260" s="15"/>
      <c r="S260" s="16"/>
      <c r="T260" s="17">
        <f>IF(AND(COUNTA($A260:$K260)=0,$L260=""),"",IF($S260="Paid","PAID",IF($S260="Closed","CLOSED",IF($W260="","",IF($W260=6,"ESCALATED TO ROXANNE",IF(TODAY()&gt;$Y260,"OVERDUE",IF($Y260&lt;=WORKDAY(TODAY(),1,Holidays),"DUE TOMORROW",IF($W260=4,"ESCALATED TO LOCAL OFFICE",IF($W260=5,"ESCALATED TO CBE",IF($X260=TODAY(),"EMAIL SENT","MONITORING"))))))))))</f>
        <v/>
      </c>
      <c r="U260" s="17">
        <f>IF($T260="",IF(AND(COUNTA($A260:$K260)&gt;0,$L260=""),"Awaiting Collection Email time stamp.",""),IF(OR($T260="PAID",$T260="CLOSED"),IF($T260="PAID","Account paid. Action completed.","Account closed. No further action required."),CHOOSE($W260,"Collection Email","1st Email Follow-up","2nd Email Follow-up","Escalation to Local Office","Escalation to CBE","Escalation to Roxanne")&amp;" sent "&amp;TEXT($X260,"dd-mmm")&amp;". "&amp;IF($W260=6,"Final escalation completed.",IF($T260="OVERDUE","Next: "&amp;$Z260&amp;" was due "&amp;TEXT($Y260,"dd-mmm")&amp;" - "&amp;(NETWORKDAYS($Y260,TODAY(),Holidays)-1)&amp;" business day(s) late. Send now.",IF($T260="DUE TOMORROW","Next: "&amp;$Z260&amp;IF($Y260&lt;=TODAY()," is due TODAY ("," is due next business day (")&amp;TEXT($Y260,"dd-mmm")&amp;").","Next: "&amp;$Z260&amp;" due "&amp;TEXT($Y260,"dd-mmm")&amp;" ("&amp;(NETWORKDAYS(TODAY(),$Y260,Holidays)-1)&amp;" business day(s) left).")))))</f>
        <v/>
      </c>
      <c r="V260" s="17">
        <f>IF($W260="","",CHOOSE($W260,"Collection Email","1st Follow-up","2nd Follow-up","Local Office","CBE","Roxanne")&amp;IF($W260=6," - Final"," - Day "&amp;MAX(0,NETWORKDAYS($X260,TODAY(),Holidays)-1)&amp;" of "&amp;CHOOSE($W260,3,3,2,2,3))&amp;" | Total Day "&amp;MAX(0,NETWORKDAYS($L260,TODAY(),Holidays)-1))</f>
        <v/>
      </c>
      <c r="W260" s="17">
        <f>IF($L260="","",COUNT($L260:$Q260))</f>
        <v/>
      </c>
      <c r="X260" s="18">
        <f>IF($W260="","",INT(INDEX($L260:$Q260,$W260)))</f>
        <v/>
      </c>
      <c r="Y260" s="18">
        <f>IF(OR($W260="",$W260=6),"",WORKDAY($X260,CHOOSE($W260,3,3,2,2,3),Holidays))</f>
        <v/>
      </c>
      <c r="Z260" s="17">
        <f>IF(OR($W260="",$W260=6),"",CHOOSE($W260,"1st Email Follow-up","2nd Email Follow-up","Escalate Local Office","Escalate to CBE","Escalate to Roxanne"))</f>
        <v/>
      </c>
    </row>
    <row r="261" spans="18:26">
      <c r="R261" s="15"/>
      <c r="S261" s="16"/>
      <c r="T261" s="17">
        <f>IF(AND(COUNTA($A261:$K261)=0,$L261=""),"",IF($S261="Paid","PAID",IF($S261="Closed","CLOSED",IF($W261="","",IF($W261=6,"ESCALATED TO ROXANNE",IF(TODAY()&gt;$Y261,"OVERDUE",IF($Y261&lt;=WORKDAY(TODAY(),1,Holidays),"DUE TOMORROW",IF($W261=4,"ESCALATED TO LOCAL OFFICE",IF($W261=5,"ESCALATED TO CBE",IF($X261=TODAY(),"EMAIL SENT","MONITORING"))))))))))</f>
        <v/>
      </c>
      <c r="U261" s="17">
        <f>IF($T261="",IF(AND(COUNTA($A261:$K261)&gt;0,$L261=""),"Awaiting Collection Email time stamp.",""),IF(OR($T261="PAID",$T261="CLOSED"),IF($T261="PAID","Account paid. Action completed.","Account closed. No further action required."),CHOOSE($W261,"Collection Email","1st Email Follow-up","2nd Email Follow-up","Escalation to Local Office","Escalation to CBE","Escalation to Roxanne")&amp;" sent "&amp;TEXT($X261,"dd-mmm")&amp;". "&amp;IF($W261=6,"Final escalation completed.",IF($T261="OVERDUE","Next: "&amp;$Z261&amp;" was due "&amp;TEXT($Y261,"dd-mmm")&amp;" - "&amp;(NETWORKDAYS($Y261,TODAY(),Holidays)-1)&amp;" business day(s) late. Send now.",IF($T261="DUE TOMORROW","Next: "&amp;$Z261&amp;IF($Y261&lt;=TODAY()," is due TODAY ("," is due next business day (")&amp;TEXT($Y261,"dd-mmm")&amp;").","Next: "&amp;$Z261&amp;" due "&amp;TEXT($Y261,"dd-mmm")&amp;" ("&amp;(NETWORKDAYS(TODAY(),$Y261,Holidays)-1)&amp;" business day(s) left).")))))</f>
        <v/>
      </c>
      <c r="V261" s="17">
        <f>IF($W261="","",CHOOSE($W261,"Collection Email","1st Follow-up","2nd Follow-up","Local Office","CBE","Roxanne")&amp;IF($W261=6," - Final"," - Day "&amp;MAX(0,NETWORKDAYS($X261,TODAY(),Holidays)-1)&amp;" of "&amp;CHOOSE($W261,3,3,2,2,3))&amp;" | Total Day "&amp;MAX(0,NETWORKDAYS($L261,TODAY(),Holidays)-1))</f>
        <v/>
      </c>
      <c r="W261" s="17">
        <f>IF($L261="","",COUNT($L261:$Q261))</f>
        <v/>
      </c>
      <c r="X261" s="18">
        <f>IF($W261="","",INT(INDEX($L261:$Q261,$W261)))</f>
        <v/>
      </c>
      <c r="Y261" s="18">
        <f>IF(OR($W261="",$W261=6),"",WORKDAY($X261,CHOOSE($W261,3,3,2,2,3),Holidays))</f>
        <v/>
      </c>
      <c r="Z261" s="17">
        <f>IF(OR($W261="",$W261=6),"",CHOOSE($W261,"1st Email Follow-up","2nd Email Follow-up","Escalate Local Office","Escalate to CBE","Escalate to Roxanne"))</f>
        <v/>
      </c>
    </row>
    <row r="262" spans="18:26">
      <c r="R262" s="15"/>
      <c r="S262" s="16"/>
      <c r="T262" s="17">
        <f>IF(AND(COUNTA($A262:$K262)=0,$L262=""),"",IF($S262="Paid","PAID",IF($S262="Closed","CLOSED",IF($W262="","",IF($W262=6,"ESCALATED TO ROXANNE",IF(TODAY()&gt;$Y262,"OVERDUE",IF($Y262&lt;=WORKDAY(TODAY(),1,Holidays),"DUE TOMORROW",IF($W262=4,"ESCALATED TO LOCAL OFFICE",IF($W262=5,"ESCALATED TO CBE",IF($X262=TODAY(),"EMAIL SENT","MONITORING"))))))))))</f>
        <v/>
      </c>
      <c r="U262" s="17">
        <f>IF($T262="",IF(AND(COUNTA($A262:$K262)&gt;0,$L262=""),"Awaiting Collection Email time stamp.",""),IF(OR($T262="PAID",$T262="CLOSED"),IF($T262="PAID","Account paid. Action completed.","Account closed. No further action required."),CHOOSE($W262,"Collection Email","1st Email Follow-up","2nd Email Follow-up","Escalation to Local Office","Escalation to CBE","Escalation to Roxanne")&amp;" sent "&amp;TEXT($X262,"dd-mmm")&amp;". "&amp;IF($W262=6,"Final escalation completed.",IF($T262="OVERDUE","Next: "&amp;$Z262&amp;" was due "&amp;TEXT($Y262,"dd-mmm")&amp;" - "&amp;(NETWORKDAYS($Y262,TODAY(),Holidays)-1)&amp;" business day(s) late. Send now.",IF($T262="DUE TOMORROW","Next: "&amp;$Z262&amp;IF($Y262&lt;=TODAY()," is due TODAY ("," is due next business day (")&amp;TEXT($Y262,"dd-mmm")&amp;").","Next: "&amp;$Z262&amp;" due "&amp;TEXT($Y262,"dd-mmm")&amp;" ("&amp;(NETWORKDAYS(TODAY(),$Y262,Holidays)-1)&amp;" business day(s) left).")))))</f>
        <v/>
      </c>
      <c r="V262" s="17">
        <f>IF($W262="","",CHOOSE($W262,"Collection Email","1st Follow-up","2nd Follow-up","Local Office","CBE","Roxanne")&amp;IF($W262=6," - Final"," - Day "&amp;MAX(0,NETWORKDAYS($X262,TODAY(),Holidays)-1)&amp;" of "&amp;CHOOSE($W262,3,3,2,2,3))&amp;" | Total Day "&amp;MAX(0,NETWORKDAYS($L262,TODAY(),Holidays)-1))</f>
        <v/>
      </c>
      <c r="W262" s="17">
        <f>IF($L262="","",COUNT($L262:$Q262))</f>
        <v/>
      </c>
      <c r="X262" s="18">
        <f>IF($W262="","",INT(INDEX($L262:$Q262,$W262)))</f>
        <v/>
      </c>
      <c r="Y262" s="18">
        <f>IF(OR($W262="",$W262=6),"",WORKDAY($X262,CHOOSE($W262,3,3,2,2,3),Holidays))</f>
        <v/>
      </c>
      <c r="Z262" s="17">
        <f>IF(OR($W262="",$W262=6),"",CHOOSE($W262,"1st Email Follow-up","2nd Email Follow-up","Escalate Local Office","Escalate to CBE","Escalate to Roxanne"))</f>
        <v/>
      </c>
    </row>
    <row r="263" spans="18:26">
      <c r="R263" s="15"/>
      <c r="S263" s="16"/>
      <c r="T263" s="17">
        <f>IF(AND(COUNTA($A263:$K263)=0,$L263=""),"",IF($S263="Paid","PAID",IF($S263="Closed","CLOSED",IF($W263="","",IF($W263=6,"ESCALATED TO ROXANNE",IF(TODAY()&gt;$Y263,"OVERDUE",IF($Y263&lt;=WORKDAY(TODAY(),1,Holidays),"DUE TOMORROW",IF($W263=4,"ESCALATED TO LOCAL OFFICE",IF($W263=5,"ESCALATED TO CBE",IF($X263=TODAY(),"EMAIL SENT","MONITORING"))))))))))</f>
        <v/>
      </c>
      <c r="U263" s="17">
        <f>IF($T263="",IF(AND(COUNTA($A263:$K263)&gt;0,$L263=""),"Awaiting Collection Email time stamp.",""),IF(OR($T263="PAID",$T263="CLOSED"),IF($T263="PAID","Account paid. Action completed.","Account closed. No further action required."),CHOOSE($W263,"Collection Email","1st Email Follow-up","2nd Email Follow-up","Escalation to Local Office","Escalation to CBE","Escalation to Roxanne")&amp;" sent "&amp;TEXT($X263,"dd-mmm")&amp;". "&amp;IF($W263=6,"Final escalation completed.",IF($T263="OVERDUE","Next: "&amp;$Z263&amp;" was due "&amp;TEXT($Y263,"dd-mmm")&amp;" - "&amp;(NETWORKDAYS($Y263,TODAY(),Holidays)-1)&amp;" business day(s) late. Send now.",IF($T263="DUE TOMORROW","Next: "&amp;$Z263&amp;IF($Y263&lt;=TODAY()," is due TODAY ("," is due next business day (")&amp;TEXT($Y263,"dd-mmm")&amp;").","Next: "&amp;$Z263&amp;" due "&amp;TEXT($Y263,"dd-mmm")&amp;" ("&amp;(NETWORKDAYS(TODAY(),$Y263,Holidays)-1)&amp;" business day(s) left).")))))</f>
        <v/>
      </c>
      <c r="V263" s="17">
        <f>IF($W263="","",CHOOSE($W263,"Collection Email","1st Follow-up","2nd Follow-up","Local Office","CBE","Roxanne")&amp;IF($W263=6," - Final"," - Day "&amp;MAX(0,NETWORKDAYS($X263,TODAY(),Holidays)-1)&amp;" of "&amp;CHOOSE($W263,3,3,2,2,3))&amp;" | Total Day "&amp;MAX(0,NETWORKDAYS($L263,TODAY(),Holidays)-1))</f>
        <v/>
      </c>
      <c r="W263" s="17">
        <f>IF($L263="","",COUNT($L263:$Q263))</f>
        <v/>
      </c>
      <c r="X263" s="18">
        <f>IF($W263="","",INT(INDEX($L263:$Q263,$W263)))</f>
        <v/>
      </c>
      <c r="Y263" s="18">
        <f>IF(OR($W263="",$W263=6),"",WORKDAY($X263,CHOOSE($W263,3,3,2,2,3),Holidays))</f>
        <v/>
      </c>
      <c r="Z263" s="17">
        <f>IF(OR($W263="",$W263=6),"",CHOOSE($W263,"1st Email Follow-up","2nd Email Follow-up","Escalate Local Office","Escalate to CBE","Escalate to Roxanne"))</f>
        <v/>
      </c>
    </row>
    <row r="264" spans="18:26">
      <c r="R264" s="15"/>
      <c r="S264" s="16"/>
      <c r="T264" s="17">
        <f>IF(AND(COUNTA($A264:$K264)=0,$L264=""),"",IF($S264="Paid","PAID",IF($S264="Closed","CLOSED",IF($W264="","",IF($W264=6,"ESCALATED TO ROXANNE",IF(TODAY()&gt;$Y264,"OVERDUE",IF($Y264&lt;=WORKDAY(TODAY(),1,Holidays),"DUE TOMORROW",IF($W264=4,"ESCALATED TO LOCAL OFFICE",IF($W264=5,"ESCALATED TO CBE",IF($X264=TODAY(),"EMAIL SENT","MONITORING"))))))))))</f>
        <v/>
      </c>
      <c r="U264" s="17">
        <f>IF($T264="",IF(AND(COUNTA($A264:$K264)&gt;0,$L264=""),"Awaiting Collection Email time stamp.",""),IF(OR($T264="PAID",$T264="CLOSED"),IF($T264="PAID","Account paid. Action completed.","Account closed. No further action required."),CHOOSE($W264,"Collection Email","1st Email Follow-up","2nd Email Follow-up","Escalation to Local Office","Escalation to CBE","Escalation to Roxanne")&amp;" sent "&amp;TEXT($X264,"dd-mmm")&amp;". "&amp;IF($W264=6,"Final escalation completed.",IF($T264="OVERDUE","Next: "&amp;$Z264&amp;" was due "&amp;TEXT($Y264,"dd-mmm")&amp;" - "&amp;(NETWORKDAYS($Y264,TODAY(),Holidays)-1)&amp;" business day(s) late. Send now.",IF($T264="DUE TOMORROW","Next: "&amp;$Z264&amp;IF($Y264&lt;=TODAY()," is due TODAY ("," is due next business day (")&amp;TEXT($Y264,"dd-mmm")&amp;").","Next: "&amp;$Z264&amp;" due "&amp;TEXT($Y264,"dd-mmm")&amp;" ("&amp;(NETWORKDAYS(TODAY(),$Y264,Holidays)-1)&amp;" business day(s) left).")))))</f>
        <v/>
      </c>
      <c r="V264" s="17">
        <f>IF($W264="","",CHOOSE($W264,"Collection Email","1st Follow-up","2nd Follow-up","Local Office","CBE","Roxanne")&amp;IF($W264=6," - Final"," - Day "&amp;MAX(0,NETWORKDAYS($X264,TODAY(),Holidays)-1)&amp;" of "&amp;CHOOSE($W264,3,3,2,2,3))&amp;" | Total Day "&amp;MAX(0,NETWORKDAYS($L264,TODAY(),Holidays)-1))</f>
        <v/>
      </c>
      <c r="W264" s="17">
        <f>IF($L264="","",COUNT($L264:$Q264))</f>
        <v/>
      </c>
      <c r="X264" s="18">
        <f>IF($W264="","",INT(INDEX($L264:$Q264,$W264)))</f>
        <v/>
      </c>
      <c r="Y264" s="18">
        <f>IF(OR($W264="",$W264=6),"",WORKDAY($X264,CHOOSE($W264,3,3,2,2,3),Holidays))</f>
        <v/>
      </c>
      <c r="Z264" s="17">
        <f>IF(OR($W264="",$W264=6),"",CHOOSE($W264,"1st Email Follow-up","2nd Email Follow-up","Escalate Local Office","Escalate to CBE","Escalate to Roxanne"))</f>
        <v/>
      </c>
    </row>
    <row r="265" spans="18:26">
      <c r="R265" s="15"/>
      <c r="S265" s="16"/>
      <c r="T265" s="17">
        <f>IF(AND(COUNTA($A265:$K265)=0,$L265=""),"",IF($S265="Paid","PAID",IF($S265="Closed","CLOSED",IF($W265="","",IF($W265=6,"ESCALATED TO ROXANNE",IF(TODAY()&gt;$Y265,"OVERDUE",IF($Y265&lt;=WORKDAY(TODAY(),1,Holidays),"DUE TOMORROW",IF($W265=4,"ESCALATED TO LOCAL OFFICE",IF($W265=5,"ESCALATED TO CBE",IF($X265=TODAY(),"EMAIL SENT","MONITORING"))))))))))</f>
        <v/>
      </c>
      <c r="U265" s="17">
        <f>IF($T265="",IF(AND(COUNTA($A265:$K265)&gt;0,$L265=""),"Awaiting Collection Email time stamp.",""),IF(OR($T265="PAID",$T265="CLOSED"),IF($T265="PAID","Account paid. Action completed.","Account closed. No further action required."),CHOOSE($W265,"Collection Email","1st Email Follow-up","2nd Email Follow-up","Escalation to Local Office","Escalation to CBE","Escalation to Roxanne")&amp;" sent "&amp;TEXT($X265,"dd-mmm")&amp;". "&amp;IF($W265=6,"Final escalation completed.",IF($T265="OVERDUE","Next: "&amp;$Z265&amp;" was due "&amp;TEXT($Y265,"dd-mmm")&amp;" - "&amp;(NETWORKDAYS($Y265,TODAY(),Holidays)-1)&amp;" business day(s) late. Send now.",IF($T265="DUE TOMORROW","Next: "&amp;$Z265&amp;IF($Y265&lt;=TODAY()," is due TODAY ("," is due next business day (")&amp;TEXT($Y265,"dd-mmm")&amp;").","Next: "&amp;$Z265&amp;" due "&amp;TEXT($Y265,"dd-mmm")&amp;" ("&amp;(NETWORKDAYS(TODAY(),$Y265,Holidays)-1)&amp;" business day(s) left).")))))</f>
        <v/>
      </c>
      <c r="V265" s="17">
        <f>IF($W265="","",CHOOSE($W265,"Collection Email","1st Follow-up","2nd Follow-up","Local Office","CBE","Roxanne")&amp;IF($W265=6," - Final"," - Day "&amp;MAX(0,NETWORKDAYS($X265,TODAY(),Holidays)-1)&amp;" of "&amp;CHOOSE($W265,3,3,2,2,3))&amp;" | Total Day "&amp;MAX(0,NETWORKDAYS($L265,TODAY(),Holidays)-1))</f>
        <v/>
      </c>
      <c r="W265" s="17">
        <f>IF($L265="","",COUNT($L265:$Q265))</f>
        <v/>
      </c>
      <c r="X265" s="18">
        <f>IF($W265="","",INT(INDEX($L265:$Q265,$W265)))</f>
        <v/>
      </c>
      <c r="Y265" s="18">
        <f>IF(OR($W265="",$W265=6),"",WORKDAY($X265,CHOOSE($W265,3,3,2,2,3),Holidays))</f>
        <v/>
      </c>
      <c r="Z265" s="17">
        <f>IF(OR($W265="",$W265=6),"",CHOOSE($W265,"1st Email Follow-up","2nd Email Follow-up","Escalate Local Office","Escalate to CBE","Escalate to Roxanne"))</f>
        <v/>
      </c>
    </row>
    <row r="266" spans="18:26">
      <c r="R266" s="15"/>
      <c r="S266" s="16"/>
      <c r="T266" s="17">
        <f>IF(AND(COUNTA($A266:$K266)=0,$L266=""),"",IF($S266="Paid","PAID",IF($S266="Closed","CLOSED",IF($W266="","",IF($W266=6,"ESCALATED TO ROXANNE",IF(TODAY()&gt;$Y266,"OVERDUE",IF($Y266&lt;=WORKDAY(TODAY(),1,Holidays),"DUE TOMORROW",IF($W266=4,"ESCALATED TO LOCAL OFFICE",IF($W266=5,"ESCALATED TO CBE",IF($X266=TODAY(),"EMAIL SENT","MONITORING"))))))))))</f>
        <v/>
      </c>
      <c r="U266" s="17">
        <f>IF($T266="",IF(AND(COUNTA($A266:$K266)&gt;0,$L266=""),"Awaiting Collection Email time stamp.",""),IF(OR($T266="PAID",$T266="CLOSED"),IF($T266="PAID","Account paid. Action completed.","Account closed. No further action required."),CHOOSE($W266,"Collection Email","1st Email Follow-up","2nd Email Follow-up","Escalation to Local Office","Escalation to CBE","Escalation to Roxanne")&amp;" sent "&amp;TEXT($X266,"dd-mmm")&amp;". "&amp;IF($W266=6,"Final escalation completed.",IF($T266="OVERDUE","Next: "&amp;$Z266&amp;" was due "&amp;TEXT($Y266,"dd-mmm")&amp;" - "&amp;(NETWORKDAYS($Y266,TODAY(),Holidays)-1)&amp;" business day(s) late. Send now.",IF($T266="DUE TOMORROW","Next: "&amp;$Z266&amp;IF($Y266&lt;=TODAY()," is due TODAY ("," is due next business day (")&amp;TEXT($Y266,"dd-mmm")&amp;").","Next: "&amp;$Z266&amp;" due "&amp;TEXT($Y266,"dd-mmm")&amp;" ("&amp;(NETWORKDAYS(TODAY(),$Y266,Holidays)-1)&amp;" business day(s) left).")))))</f>
        <v/>
      </c>
      <c r="V266" s="17">
        <f>IF($W266="","",CHOOSE($W266,"Collection Email","1st Follow-up","2nd Follow-up","Local Office","CBE","Roxanne")&amp;IF($W266=6," - Final"," - Day "&amp;MAX(0,NETWORKDAYS($X266,TODAY(),Holidays)-1)&amp;" of "&amp;CHOOSE($W266,3,3,2,2,3))&amp;" | Total Day "&amp;MAX(0,NETWORKDAYS($L266,TODAY(),Holidays)-1))</f>
        <v/>
      </c>
      <c r="W266" s="17">
        <f>IF($L266="","",COUNT($L266:$Q266))</f>
        <v/>
      </c>
      <c r="X266" s="18">
        <f>IF($W266="","",INT(INDEX($L266:$Q266,$W266)))</f>
        <v/>
      </c>
      <c r="Y266" s="18">
        <f>IF(OR($W266="",$W266=6),"",WORKDAY($X266,CHOOSE($W266,3,3,2,2,3),Holidays))</f>
        <v/>
      </c>
      <c r="Z266" s="17">
        <f>IF(OR($W266="",$W266=6),"",CHOOSE($W266,"1st Email Follow-up","2nd Email Follow-up","Escalate Local Office","Escalate to CBE","Escalate to Roxanne"))</f>
        <v/>
      </c>
    </row>
    <row r="267" spans="18:26">
      <c r="R267" s="15"/>
      <c r="S267" s="16"/>
      <c r="T267" s="17">
        <f>IF(AND(COUNTA($A267:$K267)=0,$L267=""),"",IF($S267="Paid","PAID",IF($S267="Closed","CLOSED",IF($W267="","",IF($W267=6,"ESCALATED TO ROXANNE",IF(TODAY()&gt;$Y267,"OVERDUE",IF($Y267&lt;=WORKDAY(TODAY(),1,Holidays),"DUE TOMORROW",IF($W267=4,"ESCALATED TO LOCAL OFFICE",IF($W267=5,"ESCALATED TO CBE",IF($X267=TODAY(),"EMAIL SENT","MONITORING"))))))))))</f>
        <v/>
      </c>
      <c r="U267" s="17">
        <f>IF($T267="",IF(AND(COUNTA($A267:$K267)&gt;0,$L267=""),"Awaiting Collection Email time stamp.",""),IF(OR($T267="PAID",$T267="CLOSED"),IF($T267="PAID","Account paid. Action completed.","Account closed. No further action required."),CHOOSE($W267,"Collection Email","1st Email Follow-up","2nd Email Follow-up","Escalation to Local Office","Escalation to CBE","Escalation to Roxanne")&amp;" sent "&amp;TEXT($X267,"dd-mmm")&amp;". "&amp;IF($W267=6,"Final escalation completed.",IF($T267="OVERDUE","Next: "&amp;$Z267&amp;" was due "&amp;TEXT($Y267,"dd-mmm")&amp;" - "&amp;(NETWORKDAYS($Y267,TODAY(),Holidays)-1)&amp;" business day(s) late. Send now.",IF($T267="DUE TOMORROW","Next: "&amp;$Z267&amp;IF($Y267&lt;=TODAY()," is due TODAY ("," is due next business day (")&amp;TEXT($Y267,"dd-mmm")&amp;").","Next: "&amp;$Z267&amp;" due "&amp;TEXT($Y267,"dd-mmm")&amp;" ("&amp;(NETWORKDAYS(TODAY(),$Y267,Holidays)-1)&amp;" business day(s) left).")))))</f>
        <v/>
      </c>
      <c r="V267" s="17">
        <f>IF($W267="","",CHOOSE($W267,"Collection Email","1st Follow-up","2nd Follow-up","Local Office","CBE","Roxanne")&amp;IF($W267=6," - Final"," - Day "&amp;MAX(0,NETWORKDAYS($X267,TODAY(),Holidays)-1)&amp;" of "&amp;CHOOSE($W267,3,3,2,2,3))&amp;" | Total Day "&amp;MAX(0,NETWORKDAYS($L267,TODAY(),Holidays)-1))</f>
        <v/>
      </c>
      <c r="W267" s="17">
        <f>IF($L267="","",COUNT($L267:$Q267))</f>
        <v/>
      </c>
      <c r="X267" s="18">
        <f>IF($W267="","",INT(INDEX($L267:$Q267,$W267)))</f>
        <v/>
      </c>
      <c r="Y267" s="18">
        <f>IF(OR($W267="",$W267=6),"",WORKDAY($X267,CHOOSE($W267,3,3,2,2,3),Holidays))</f>
        <v/>
      </c>
      <c r="Z267" s="17">
        <f>IF(OR($W267="",$W267=6),"",CHOOSE($W267,"1st Email Follow-up","2nd Email Follow-up","Escalate Local Office","Escalate to CBE","Escalate to Roxanne"))</f>
        <v/>
      </c>
    </row>
    <row r="268" spans="18:26">
      <c r="R268" s="15"/>
      <c r="S268" s="16"/>
      <c r="T268" s="17">
        <f>IF(AND(COUNTA($A268:$K268)=0,$L268=""),"",IF($S268="Paid","PAID",IF($S268="Closed","CLOSED",IF($W268="","",IF($W268=6,"ESCALATED TO ROXANNE",IF(TODAY()&gt;$Y268,"OVERDUE",IF($Y268&lt;=WORKDAY(TODAY(),1,Holidays),"DUE TOMORROW",IF($W268=4,"ESCALATED TO LOCAL OFFICE",IF($W268=5,"ESCALATED TO CBE",IF($X268=TODAY(),"EMAIL SENT","MONITORING"))))))))))</f>
        <v/>
      </c>
      <c r="U268" s="17">
        <f>IF($T268="",IF(AND(COUNTA($A268:$K268)&gt;0,$L268=""),"Awaiting Collection Email time stamp.",""),IF(OR($T268="PAID",$T268="CLOSED"),IF($T268="PAID","Account paid. Action completed.","Account closed. No further action required."),CHOOSE($W268,"Collection Email","1st Email Follow-up","2nd Email Follow-up","Escalation to Local Office","Escalation to CBE","Escalation to Roxanne")&amp;" sent "&amp;TEXT($X268,"dd-mmm")&amp;". "&amp;IF($W268=6,"Final escalation completed.",IF($T268="OVERDUE","Next: "&amp;$Z268&amp;" was due "&amp;TEXT($Y268,"dd-mmm")&amp;" - "&amp;(NETWORKDAYS($Y268,TODAY(),Holidays)-1)&amp;" business day(s) late. Send now.",IF($T268="DUE TOMORROW","Next: "&amp;$Z268&amp;IF($Y268&lt;=TODAY()," is due TODAY ("," is due next business day (")&amp;TEXT($Y268,"dd-mmm")&amp;").","Next: "&amp;$Z268&amp;" due "&amp;TEXT($Y268,"dd-mmm")&amp;" ("&amp;(NETWORKDAYS(TODAY(),$Y268,Holidays)-1)&amp;" business day(s) left).")))))</f>
        <v/>
      </c>
      <c r="V268" s="17">
        <f>IF($W268="","",CHOOSE($W268,"Collection Email","1st Follow-up","2nd Follow-up","Local Office","CBE","Roxanne")&amp;IF($W268=6," - Final"," - Day "&amp;MAX(0,NETWORKDAYS($X268,TODAY(),Holidays)-1)&amp;" of "&amp;CHOOSE($W268,3,3,2,2,3))&amp;" | Total Day "&amp;MAX(0,NETWORKDAYS($L268,TODAY(),Holidays)-1))</f>
        <v/>
      </c>
      <c r="W268" s="17">
        <f>IF($L268="","",COUNT($L268:$Q268))</f>
        <v/>
      </c>
      <c r="X268" s="18">
        <f>IF($W268="","",INT(INDEX($L268:$Q268,$W268)))</f>
        <v/>
      </c>
      <c r="Y268" s="18">
        <f>IF(OR($W268="",$W268=6),"",WORKDAY($X268,CHOOSE($W268,3,3,2,2,3),Holidays))</f>
        <v/>
      </c>
      <c r="Z268" s="17">
        <f>IF(OR($W268="",$W268=6),"",CHOOSE($W268,"1st Email Follow-up","2nd Email Follow-up","Escalate Local Office","Escalate to CBE","Escalate to Roxanne"))</f>
        <v/>
      </c>
    </row>
    <row r="269" spans="18:26">
      <c r="R269" s="15"/>
      <c r="S269" s="16"/>
      <c r="T269" s="17">
        <f>IF(AND(COUNTA($A269:$K269)=0,$L269=""),"",IF($S269="Paid","PAID",IF($S269="Closed","CLOSED",IF($W269="","",IF($W269=6,"ESCALATED TO ROXANNE",IF(TODAY()&gt;$Y269,"OVERDUE",IF($Y269&lt;=WORKDAY(TODAY(),1,Holidays),"DUE TOMORROW",IF($W269=4,"ESCALATED TO LOCAL OFFICE",IF($W269=5,"ESCALATED TO CBE",IF($X269=TODAY(),"EMAIL SENT","MONITORING"))))))))))</f>
        <v/>
      </c>
      <c r="U269" s="17">
        <f>IF($T269="",IF(AND(COUNTA($A269:$K269)&gt;0,$L269=""),"Awaiting Collection Email time stamp.",""),IF(OR($T269="PAID",$T269="CLOSED"),IF($T269="PAID","Account paid. Action completed.","Account closed. No further action required."),CHOOSE($W269,"Collection Email","1st Email Follow-up","2nd Email Follow-up","Escalation to Local Office","Escalation to CBE","Escalation to Roxanne")&amp;" sent "&amp;TEXT($X269,"dd-mmm")&amp;". "&amp;IF($W269=6,"Final escalation completed.",IF($T269="OVERDUE","Next: "&amp;$Z269&amp;" was due "&amp;TEXT($Y269,"dd-mmm")&amp;" - "&amp;(NETWORKDAYS($Y269,TODAY(),Holidays)-1)&amp;" business day(s) late. Send now.",IF($T269="DUE TOMORROW","Next: "&amp;$Z269&amp;IF($Y269&lt;=TODAY()," is due TODAY ("," is due next business day (")&amp;TEXT($Y269,"dd-mmm")&amp;").","Next: "&amp;$Z269&amp;" due "&amp;TEXT($Y269,"dd-mmm")&amp;" ("&amp;(NETWORKDAYS(TODAY(),$Y269,Holidays)-1)&amp;" business day(s) left).")))))</f>
        <v/>
      </c>
      <c r="V269" s="17">
        <f>IF($W269="","",CHOOSE($W269,"Collection Email","1st Follow-up","2nd Follow-up","Local Office","CBE","Roxanne")&amp;IF($W269=6," - Final"," - Day "&amp;MAX(0,NETWORKDAYS($X269,TODAY(),Holidays)-1)&amp;" of "&amp;CHOOSE($W269,3,3,2,2,3))&amp;" | Total Day "&amp;MAX(0,NETWORKDAYS($L269,TODAY(),Holidays)-1))</f>
        <v/>
      </c>
      <c r="W269" s="17">
        <f>IF($L269="","",COUNT($L269:$Q269))</f>
        <v/>
      </c>
      <c r="X269" s="18">
        <f>IF($W269="","",INT(INDEX($L269:$Q269,$W269)))</f>
        <v/>
      </c>
      <c r="Y269" s="18">
        <f>IF(OR($W269="",$W269=6),"",WORKDAY($X269,CHOOSE($W269,3,3,2,2,3),Holidays))</f>
        <v/>
      </c>
      <c r="Z269" s="17">
        <f>IF(OR($W269="",$W269=6),"",CHOOSE($W269,"1st Email Follow-up","2nd Email Follow-up","Escalate Local Office","Escalate to CBE","Escalate to Roxanne"))</f>
        <v/>
      </c>
    </row>
    <row r="270" spans="18:26">
      <c r="R270" s="15"/>
      <c r="S270" s="16"/>
      <c r="T270" s="17">
        <f>IF(AND(COUNTA($A270:$K270)=0,$L270=""),"",IF($S270="Paid","PAID",IF($S270="Closed","CLOSED",IF($W270="","",IF($W270=6,"ESCALATED TO ROXANNE",IF(TODAY()&gt;$Y270,"OVERDUE",IF($Y270&lt;=WORKDAY(TODAY(),1,Holidays),"DUE TOMORROW",IF($W270=4,"ESCALATED TO LOCAL OFFICE",IF($W270=5,"ESCALATED TO CBE",IF($X270=TODAY(),"EMAIL SENT","MONITORING"))))))))))</f>
        <v/>
      </c>
      <c r="U270" s="17">
        <f>IF($T270="",IF(AND(COUNTA($A270:$K270)&gt;0,$L270=""),"Awaiting Collection Email time stamp.",""),IF(OR($T270="PAID",$T270="CLOSED"),IF($T270="PAID","Account paid. Action completed.","Account closed. No further action required."),CHOOSE($W270,"Collection Email","1st Email Follow-up","2nd Email Follow-up","Escalation to Local Office","Escalation to CBE","Escalation to Roxanne")&amp;" sent "&amp;TEXT($X270,"dd-mmm")&amp;". "&amp;IF($W270=6,"Final escalation completed.",IF($T270="OVERDUE","Next: "&amp;$Z270&amp;" was due "&amp;TEXT($Y270,"dd-mmm")&amp;" - "&amp;(NETWORKDAYS($Y270,TODAY(),Holidays)-1)&amp;" business day(s) late. Send now.",IF($T270="DUE TOMORROW","Next: "&amp;$Z270&amp;IF($Y270&lt;=TODAY()," is due TODAY ("," is due next business day (")&amp;TEXT($Y270,"dd-mmm")&amp;").","Next: "&amp;$Z270&amp;" due "&amp;TEXT($Y270,"dd-mmm")&amp;" ("&amp;(NETWORKDAYS(TODAY(),$Y270,Holidays)-1)&amp;" business day(s) left).")))))</f>
        <v/>
      </c>
      <c r="V270" s="17">
        <f>IF($W270="","",CHOOSE($W270,"Collection Email","1st Follow-up","2nd Follow-up","Local Office","CBE","Roxanne")&amp;IF($W270=6," - Final"," - Day "&amp;MAX(0,NETWORKDAYS($X270,TODAY(),Holidays)-1)&amp;" of "&amp;CHOOSE($W270,3,3,2,2,3))&amp;" | Total Day "&amp;MAX(0,NETWORKDAYS($L270,TODAY(),Holidays)-1))</f>
        <v/>
      </c>
      <c r="W270" s="17">
        <f>IF($L270="","",COUNT($L270:$Q270))</f>
        <v/>
      </c>
      <c r="X270" s="18">
        <f>IF($W270="","",INT(INDEX($L270:$Q270,$W270)))</f>
        <v/>
      </c>
      <c r="Y270" s="18">
        <f>IF(OR($W270="",$W270=6),"",WORKDAY($X270,CHOOSE($W270,3,3,2,2,3),Holidays))</f>
        <v/>
      </c>
      <c r="Z270" s="17">
        <f>IF(OR($W270="",$W270=6),"",CHOOSE($W270,"1st Email Follow-up","2nd Email Follow-up","Escalate Local Office","Escalate to CBE","Escalate to Roxanne"))</f>
        <v/>
      </c>
    </row>
    <row r="271" spans="18:26">
      <c r="R271" s="15"/>
      <c r="S271" s="16"/>
      <c r="T271" s="17">
        <f>IF(AND(COUNTA($A271:$K271)=0,$L271=""),"",IF($S271="Paid","PAID",IF($S271="Closed","CLOSED",IF($W271="","",IF($W271=6,"ESCALATED TO ROXANNE",IF(TODAY()&gt;$Y271,"OVERDUE",IF($Y271&lt;=WORKDAY(TODAY(),1,Holidays),"DUE TOMORROW",IF($W271=4,"ESCALATED TO LOCAL OFFICE",IF($W271=5,"ESCALATED TO CBE",IF($X271=TODAY(),"EMAIL SENT","MONITORING"))))))))))</f>
        <v/>
      </c>
      <c r="U271" s="17">
        <f>IF($T271="",IF(AND(COUNTA($A271:$K271)&gt;0,$L271=""),"Awaiting Collection Email time stamp.",""),IF(OR($T271="PAID",$T271="CLOSED"),IF($T271="PAID","Account paid. Action completed.","Account closed. No further action required."),CHOOSE($W271,"Collection Email","1st Email Follow-up","2nd Email Follow-up","Escalation to Local Office","Escalation to CBE","Escalation to Roxanne")&amp;" sent "&amp;TEXT($X271,"dd-mmm")&amp;". "&amp;IF($W271=6,"Final escalation completed.",IF($T271="OVERDUE","Next: "&amp;$Z271&amp;" was due "&amp;TEXT($Y271,"dd-mmm")&amp;" - "&amp;(NETWORKDAYS($Y271,TODAY(),Holidays)-1)&amp;" business day(s) late. Send now.",IF($T271="DUE TOMORROW","Next: "&amp;$Z271&amp;IF($Y271&lt;=TODAY()," is due TODAY ("," is due next business day (")&amp;TEXT($Y271,"dd-mmm")&amp;").","Next: "&amp;$Z271&amp;" due "&amp;TEXT($Y271,"dd-mmm")&amp;" ("&amp;(NETWORKDAYS(TODAY(),$Y271,Holidays)-1)&amp;" business day(s) left).")))))</f>
        <v/>
      </c>
      <c r="V271" s="17">
        <f>IF($W271="","",CHOOSE($W271,"Collection Email","1st Follow-up","2nd Follow-up","Local Office","CBE","Roxanne")&amp;IF($W271=6," - Final"," - Day "&amp;MAX(0,NETWORKDAYS($X271,TODAY(),Holidays)-1)&amp;" of "&amp;CHOOSE($W271,3,3,2,2,3))&amp;" | Total Day "&amp;MAX(0,NETWORKDAYS($L271,TODAY(),Holidays)-1))</f>
        <v/>
      </c>
      <c r="W271" s="17">
        <f>IF($L271="","",COUNT($L271:$Q271))</f>
        <v/>
      </c>
      <c r="X271" s="18">
        <f>IF($W271="","",INT(INDEX($L271:$Q271,$W271)))</f>
        <v/>
      </c>
      <c r="Y271" s="18">
        <f>IF(OR($W271="",$W271=6),"",WORKDAY($X271,CHOOSE($W271,3,3,2,2,3),Holidays))</f>
        <v/>
      </c>
      <c r="Z271" s="17">
        <f>IF(OR($W271="",$W271=6),"",CHOOSE($W271,"1st Email Follow-up","2nd Email Follow-up","Escalate Local Office","Escalate to CBE","Escalate to Roxanne"))</f>
        <v/>
      </c>
    </row>
    <row r="272" spans="18:26">
      <c r="R272" s="15"/>
      <c r="S272" s="16"/>
      <c r="T272" s="17">
        <f>IF(AND(COUNTA($A272:$K272)=0,$L272=""),"",IF($S272="Paid","PAID",IF($S272="Closed","CLOSED",IF($W272="","",IF($W272=6,"ESCALATED TO ROXANNE",IF(TODAY()&gt;$Y272,"OVERDUE",IF($Y272&lt;=WORKDAY(TODAY(),1,Holidays),"DUE TOMORROW",IF($W272=4,"ESCALATED TO LOCAL OFFICE",IF($W272=5,"ESCALATED TO CBE",IF($X272=TODAY(),"EMAIL SENT","MONITORING"))))))))))</f>
        <v/>
      </c>
      <c r="U272" s="17">
        <f>IF($T272="",IF(AND(COUNTA($A272:$K272)&gt;0,$L272=""),"Awaiting Collection Email time stamp.",""),IF(OR($T272="PAID",$T272="CLOSED"),IF($T272="PAID","Account paid. Action completed.","Account closed. No further action required."),CHOOSE($W272,"Collection Email","1st Email Follow-up","2nd Email Follow-up","Escalation to Local Office","Escalation to CBE","Escalation to Roxanne")&amp;" sent "&amp;TEXT($X272,"dd-mmm")&amp;". "&amp;IF($W272=6,"Final escalation completed.",IF($T272="OVERDUE","Next: "&amp;$Z272&amp;" was due "&amp;TEXT($Y272,"dd-mmm")&amp;" - "&amp;(NETWORKDAYS($Y272,TODAY(),Holidays)-1)&amp;" business day(s) late. Send now.",IF($T272="DUE TOMORROW","Next: "&amp;$Z272&amp;IF($Y272&lt;=TODAY()," is due TODAY ("," is due next business day (")&amp;TEXT($Y272,"dd-mmm")&amp;").","Next: "&amp;$Z272&amp;" due "&amp;TEXT($Y272,"dd-mmm")&amp;" ("&amp;(NETWORKDAYS(TODAY(),$Y272,Holidays)-1)&amp;" business day(s) left).")))))</f>
        <v/>
      </c>
      <c r="V272" s="17">
        <f>IF($W272="","",CHOOSE($W272,"Collection Email","1st Follow-up","2nd Follow-up","Local Office","CBE","Roxanne")&amp;IF($W272=6," - Final"," - Day "&amp;MAX(0,NETWORKDAYS($X272,TODAY(),Holidays)-1)&amp;" of "&amp;CHOOSE($W272,3,3,2,2,3))&amp;" | Total Day "&amp;MAX(0,NETWORKDAYS($L272,TODAY(),Holidays)-1))</f>
        <v/>
      </c>
      <c r="W272" s="17">
        <f>IF($L272="","",COUNT($L272:$Q272))</f>
        <v/>
      </c>
      <c r="X272" s="18">
        <f>IF($W272="","",INT(INDEX($L272:$Q272,$W272)))</f>
        <v/>
      </c>
      <c r="Y272" s="18">
        <f>IF(OR($W272="",$W272=6),"",WORKDAY($X272,CHOOSE($W272,3,3,2,2,3),Holidays))</f>
        <v/>
      </c>
      <c r="Z272" s="17">
        <f>IF(OR($W272="",$W272=6),"",CHOOSE($W272,"1st Email Follow-up","2nd Email Follow-up","Escalate Local Office","Escalate to CBE","Escalate to Roxanne"))</f>
        <v/>
      </c>
    </row>
    <row r="273" spans="18:26">
      <c r="R273" s="15"/>
      <c r="S273" s="16"/>
      <c r="T273" s="17">
        <f>IF(AND(COUNTA($A273:$K273)=0,$L273=""),"",IF($S273="Paid","PAID",IF($S273="Closed","CLOSED",IF($W273="","",IF($W273=6,"ESCALATED TO ROXANNE",IF(TODAY()&gt;$Y273,"OVERDUE",IF($Y273&lt;=WORKDAY(TODAY(),1,Holidays),"DUE TOMORROW",IF($W273=4,"ESCALATED TO LOCAL OFFICE",IF($W273=5,"ESCALATED TO CBE",IF($X273=TODAY(),"EMAIL SENT","MONITORING"))))))))))</f>
        <v/>
      </c>
      <c r="U273" s="17">
        <f>IF($T273="",IF(AND(COUNTA($A273:$K273)&gt;0,$L273=""),"Awaiting Collection Email time stamp.",""),IF(OR($T273="PAID",$T273="CLOSED"),IF($T273="PAID","Account paid. Action completed.","Account closed. No further action required."),CHOOSE($W273,"Collection Email","1st Email Follow-up","2nd Email Follow-up","Escalation to Local Office","Escalation to CBE","Escalation to Roxanne")&amp;" sent "&amp;TEXT($X273,"dd-mmm")&amp;". "&amp;IF($W273=6,"Final escalation completed.",IF($T273="OVERDUE","Next: "&amp;$Z273&amp;" was due "&amp;TEXT($Y273,"dd-mmm")&amp;" - "&amp;(NETWORKDAYS($Y273,TODAY(),Holidays)-1)&amp;" business day(s) late. Send now.",IF($T273="DUE TOMORROW","Next: "&amp;$Z273&amp;IF($Y273&lt;=TODAY()," is due TODAY ("," is due next business day (")&amp;TEXT($Y273,"dd-mmm")&amp;").","Next: "&amp;$Z273&amp;" due "&amp;TEXT($Y273,"dd-mmm")&amp;" ("&amp;(NETWORKDAYS(TODAY(),$Y273,Holidays)-1)&amp;" business day(s) left).")))))</f>
        <v/>
      </c>
      <c r="V273" s="17">
        <f>IF($W273="","",CHOOSE($W273,"Collection Email","1st Follow-up","2nd Follow-up","Local Office","CBE","Roxanne")&amp;IF($W273=6," - Final"," - Day "&amp;MAX(0,NETWORKDAYS($X273,TODAY(),Holidays)-1)&amp;" of "&amp;CHOOSE($W273,3,3,2,2,3))&amp;" | Total Day "&amp;MAX(0,NETWORKDAYS($L273,TODAY(),Holidays)-1))</f>
        <v/>
      </c>
      <c r="W273" s="17">
        <f>IF($L273="","",COUNT($L273:$Q273))</f>
        <v/>
      </c>
      <c r="X273" s="18">
        <f>IF($W273="","",INT(INDEX($L273:$Q273,$W273)))</f>
        <v/>
      </c>
      <c r="Y273" s="18">
        <f>IF(OR($W273="",$W273=6),"",WORKDAY($X273,CHOOSE($W273,3,3,2,2,3),Holidays))</f>
        <v/>
      </c>
      <c r="Z273" s="17">
        <f>IF(OR($W273="",$W273=6),"",CHOOSE($W273,"1st Email Follow-up","2nd Email Follow-up","Escalate Local Office","Escalate to CBE","Escalate to Roxanne"))</f>
        <v/>
      </c>
    </row>
    <row r="274" spans="18:26">
      <c r="R274" s="15"/>
      <c r="S274" s="16"/>
      <c r="T274" s="17">
        <f>IF(AND(COUNTA($A274:$K274)=0,$L274=""),"",IF($S274="Paid","PAID",IF($S274="Closed","CLOSED",IF($W274="","",IF($W274=6,"ESCALATED TO ROXANNE",IF(TODAY()&gt;$Y274,"OVERDUE",IF($Y274&lt;=WORKDAY(TODAY(),1,Holidays),"DUE TOMORROW",IF($W274=4,"ESCALATED TO LOCAL OFFICE",IF($W274=5,"ESCALATED TO CBE",IF($X274=TODAY(),"EMAIL SENT","MONITORING"))))))))))</f>
        <v/>
      </c>
      <c r="U274" s="17">
        <f>IF($T274="",IF(AND(COUNTA($A274:$K274)&gt;0,$L274=""),"Awaiting Collection Email time stamp.",""),IF(OR($T274="PAID",$T274="CLOSED"),IF($T274="PAID","Account paid. Action completed.","Account closed. No further action required."),CHOOSE($W274,"Collection Email","1st Email Follow-up","2nd Email Follow-up","Escalation to Local Office","Escalation to CBE","Escalation to Roxanne")&amp;" sent "&amp;TEXT($X274,"dd-mmm")&amp;". "&amp;IF($W274=6,"Final escalation completed.",IF($T274="OVERDUE","Next: "&amp;$Z274&amp;" was due "&amp;TEXT($Y274,"dd-mmm")&amp;" - "&amp;(NETWORKDAYS($Y274,TODAY(),Holidays)-1)&amp;" business day(s) late. Send now.",IF($T274="DUE TOMORROW","Next: "&amp;$Z274&amp;IF($Y274&lt;=TODAY()," is due TODAY ("," is due next business day (")&amp;TEXT($Y274,"dd-mmm")&amp;").","Next: "&amp;$Z274&amp;" due "&amp;TEXT($Y274,"dd-mmm")&amp;" ("&amp;(NETWORKDAYS(TODAY(),$Y274,Holidays)-1)&amp;" business day(s) left).")))))</f>
        <v/>
      </c>
      <c r="V274" s="17">
        <f>IF($W274="","",CHOOSE($W274,"Collection Email","1st Follow-up","2nd Follow-up","Local Office","CBE","Roxanne")&amp;IF($W274=6," - Final"," - Day "&amp;MAX(0,NETWORKDAYS($X274,TODAY(),Holidays)-1)&amp;" of "&amp;CHOOSE($W274,3,3,2,2,3))&amp;" | Total Day "&amp;MAX(0,NETWORKDAYS($L274,TODAY(),Holidays)-1))</f>
        <v/>
      </c>
      <c r="W274" s="17">
        <f>IF($L274="","",COUNT($L274:$Q274))</f>
        <v/>
      </c>
      <c r="X274" s="18">
        <f>IF($W274="","",INT(INDEX($L274:$Q274,$W274)))</f>
        <v/>
      </c>
      <c r="Y274" s="18">
        <f>IF(OR($W274="",$W274=6),"",WORKDAY($X274,CHOOSE($W274,3,3,2,2,3),Holidays))</f>
        <v/>
      </c>
      <c r="Z274" s="17">
        <f>IF(OR($W274="",$W274=6),"",CHOOSE($W274,"1st Email Follow-up","2nd Email Follow-up","Escalate Local Office","Escalate to CBE","Escalate to Roxanne"))</f>
        <v/>
      </c>
    </row>
    <row r="275" spans="18:26">
      <c r="R275" s="15"/>
      <c r="S275" s="16"/>
      <c r="T275" s="17">
        <f>IF(AND(COUNTA($A275:$K275)=0,$L275=""),"",IF($S275="Paid","PAID",IF($S275="Closed","CLOSED",IF($W275="","",IF($W275=6,"ESCALATED TO ROXANNE",IF(TODAY()&gt;$Y275,"OVERDUE",IF($Y275&lt;=WORKDAY(TODAY(),1,Holidays),"DUE TOMORROW",IF($W275=4,"ESCALATED TO LOCAL OFFICE",IF($W275=5,"ESCALATED TO CBE",IF($X275=TODAY(),"EMAIL SENT","MONITORING"))))))))))</f>
        <v/>
      </c>
      <c r="U275" s="17">
        <f>IF($T275="",IF(AND(COUNTA($A275:$K275)&gt;0,$L275=""),"Awaiting Collection Email time stamp.",""),IF(OR($T275="PAID",$T275="CLOSED"),IF($T275="PAID","Account paid. Action completed.","Account closed. No further action required."),CHOOSE($W275,"Collection Email","1st Email Follow-up","2nd Email Follow-up","Escalation to Local Office","Escalation to CBE","Escalation to Roxanne")&amp;" sent "&amp;TEXT($X275,"dd-mmm")&amp;". "&amp;IF($W275=6,"Final escalation completed.",IF($T275="OVERDUE","Next: "&amp;$Z275&amp;" was due "&amp;TEXT($Y275,"dd-mmm")&amp;" - "&amp;(NETWORKDAYS($Y275,TODAY(),Holidays)-1)&amp;" business day(s) late. Send now.",IF($T275="DUE TOMORROW","Next: "&amp;$Z275&amp;IF($Y275&lt;=TODAY()," is due TODAY ("," is due next business day (")&amp;TEXT($Y275,"dd-mmm")&amp;").","Next: "&amp;$Z275&amp;" due "&amp;TEXT($Y275,"dd-mmm")&amp;" ("&amp;(NETWORKDAYS(TODAY(),$Y275,Holidays)-1)&amp;" business day(s) left).")))))</f>
        <v/>
      </c>
      <c r="V275" s="17">
        <f>IF($W275="","",CHOOSE($W275,"Collection Email","1st Follow-up","2nd Follow-up","Local Office","CBE","Roxanne")&amp;IF($W275=6," - Final"," - Day "&amp;MAX(0,NETWORKDAYS($X275,TODAY(),Holidays)-1)&amp;" of "&amp;CHOOSE($W275,3,3,2,2,3))&amp;" | Total Day "&amp;MAX(0,NETWORKDAYS($L275,TODAY(),Holidays)-1))</f>
        <v/>
      </c>
      <c r="W275" s="17">
        <f>IF($L275="","",COUNT($L275:$Q275))</f>
        <v/>
      </c>
      <c r="X275" s="18">
        <f>IF($W275="","",INT(INDEX($L275:$Q275,$W275)))</f>
        <v/>
      </c>
      <c r="Y275" s="18">
        <f>IF(OR($W275="",$W275=6),"",WORKDAY($X275,CHOOSE($W275,3,3,2,2,3),Holidays))</f>
        <v/>
      </c>
      <c r="Z275" s="17">
        <f>IF(OR($W275="",$W275=6),"",CHOOSE($W275,"1st Email Follow-up","2nd Email Follow-up","Escalate Local Office","Escalate to CBE","Escalate to Roxanne"))</f>
        <v/>
      </c>
    </row>
    <row r="276" spans="18:26">
      <c r="R276" s="15"/>
      <c r="S276" s="16"/>
      <c r="T276" s="17">
        <f>IF(AND(COUNTA($A276:$K276)=0,$L276=""),"",IF($S276="Paid","PAID",IF($S276="Closed","CLOSED",IF($W276="","",IF($W276=6,"ESCALATED TO ROXANNE",IF(TODAY()&gt;$Y276,"OVERDUE",IF($Y276&lt;=WORKDAY(TODAY(),1,Holidays),"DUE TOMORROW",IF($W276=4,"ESCALATED TO LOCAL OFFICE",IF($W276=5,"ESCALATED TO CBE",IF($X276=TODAY(),"EMAIL SENT","MONITORING"))))))))))</f>
        <v/>
      </c>
      <c r="U276" s="17">
        <f>IF($T276="",IF(AND(COUNTA($A276:$K276)&gt;0,$L276=""),"Awaiting Collection Email time stamp.",""),IF(OR($T276="PAID",$T276="CLOSED"),IF($T276="PAID","Account paid. Action completed.","Account closed. No further action required."),CHOOSE($W276,"Collection Email","1st Email Follow-up","2nd Email Follow-up","Escalation to Local Office","Escalation to CBE","Escalation to Roxanne")&amp;" sent "&amp;TEXT($X276,"dd-mmm")&amp;". "&amp;IF($W276=6,"Final escalation completed.",IF($T276="OVERDUE","Next: "&amp;$Z276&amp;" was due "&amp;TEXT($Y276,"dd-mmm")&amp;" - "&amp;(NETWORKDAYS($Y276,TODAY(),Holidays)-1)&amp;" business day(s) late. Send now.",IF($T276="DUE TOMORROW","Next: "&amp;$Z276&amp;IF($Y276&lt;=TODAY()," is due TODAY ("," is due next business day (")&amp;TEXT($Y276,"dd-mmm")&amp;").","Next: "&amp;$Z276&amp;" due "&amp;TEXT($Y276,"dd-mmm")&amp;" ("&amp;(NETWORKDAYS(TODAY(),$Y276,Holidays)-1)&amp;" business day(s) left).")))))</f>
        <v/>
      </c>
      <c r="V276" s="17">
        <f>IF($W276="","",CHOOSE($W276,"Collection Email","1st Follow-up","2nd Follow-up","Local Office","CBE","Roxanne")&amp;IF($W276=6," - Final"," - Day "&amp;MAX(0,NETWORKDAYS($X276,TODAY(),Holidays)-1)&amp;" of "&amp;CHOOSE($W276,3,3,2,2,3))&amp;" | Total Day "&amp;MAX(0,NETWORKDAYS($L276,TODAY(),Holidays)-1))</f>
        <v/>
      </c>
      <c r="W276" s="17">
        <f>IF($L276="","",COUNT($L276:$Q276))</f>
        <v/>
      </c>
      <c r="X276" s="18">
        <f>IF($W276="","",INT(INDEX($L276:$Q276,$W276)))</f>
        <v/>
      </c>
      <c r="Y276" s="18">
        <f>IF(OR($W276="",$W276=6),"",WORKDAY($X276,CHOOSE($W276,3,3,2,2,3),Holidays))</f>
        <v/>
      </c>
      <c r="Z276" s="17">
        <f>IF(OR($W276="",$W276=6),"",CHOOSE($W276,"1st Email Follow-up","2nd Email Follow-up","Escalate Local Office","Escalate to CBE","Escalate to Roxanne"))</f>
        <v/>
      </c>
    </row>
    <row r="277" spans="18:26">
      <c r="R277" s="15"/>
      <c r="S277" s="16"/>
      <c r="T277" s="17">
        <f>IF(AND(COUNTA($A277:$K277)=0,$L277=""),"",IF($S277="Paid","PAID",IF($S277="Closed","CLOSED",IF($W277="","",IF($W277=6,"ESCALATED TO ROXANNE",IF(TODAY()&gt;$Y277,"OVERDUE",IF($Y277&lt;=WORKDAY(TODAY(),1,Holidays),"DUE TOMORROW",IF($W277=4,"ESCALATED TO LOCAL OFFICE",IF($W277=5,"ESCALATED TO CBE",IF($X277=TODAY(),"EMAIL SENT","MONITORING"))))))))))</f>
        <v/>
      </c>
      <c r="U277" s="17">
        <f>IF($T277="",IF(AND(COUNTA($A277:$K277)&gt;0,$L277=""),"Awaiting Collection Email time stamp.",""),IF(OR($T277="PAID",$T277="CLOSED"),IF($T277="PAID","Account paid. Action completed.","Account closed. No further action required."),CHOOSE($W277,"Collection Email","1st Email Follow-up","2nd Email Follow-up","Escalation to Local Office","Escalation to CBE","Escalation to Roxanne")&amp;" sent "&amp;TEXT($X277,"dd-mmm")&amp;". "&amp;IF($W277=6,"Final escalation completed.",IF($T277="OVERDUE","Next: "&amp;$Z277&amp;" was due "&amp;TEXT($Y277,"dd-mmm")&amp;" - "&amp;(NETWORKDAYS($Y277,TODAY(),Holidays)-1)&amp;" business day(s) late. Send now.",IF($T277="DUE TOMORROW","Next: "&amp;$Z277&amp;IF($Y277&lt;=TODAY()," is due TODAY ("," is due next business day (")&amp;TEXT($Y277,"dd-mmm")&amp;").","Next: "&amp;$Z277&amp;" due "&amp;TEXT($Y277,"dd-mmm")&amp;" ("&amp;(NETWORKDAYS(TODAY(),$Y277,Holidays)-1)&amp;" business day(s) left).")))))</f>
        <v/>
      </c>
      <c r="V277" s="17">
        <f>IF($W277="","",CHOOSE($W277,"Collection Email","1st Follow-up","2nd Follow-up","Local Office","CBE","Roxanne")&amp;IF($W277=6," - Final"," - Day "&amp;MAX(0,NETWORKDAYS($X277,TODAY(),Holidays)-1)&amp;" of "&amp;CHOOSE($W277,3,3,2,2,3))&amp;" | Total Day "&amp;MAX(0,NETWORKDAYS($L277,TODAY(),Holidays)-1))</f>
        <v/>
      </c>
      <c r="W277" s="17">
        <f>IF($L277="","",COUNT($L277:$Q277))</f>
        <v/>
      </c>
      <c r="X277" s="18">
        <f>IF($W277="","",INT(INDEX($L277:$Q277,$W277)))</f>
        <v/>
      </c>
      <c r="Y277" s="18">
        <f>IF(OR($W277="",$W277=6),"",WORKDAY($X277,CHOOSE($W277,3,3,2,2,3),Holidays))</f>
        <v/>
      </c>
      <c r="Z277" s="17">
        <f>IF(OR($W277="",$W277=6),"",CHOOSE($W277,"1st Email Follow-up","2nd Email Follow-up","Escalate Local Office","Escalate to CBE","Escalate to Roxanne"))</f>
        <v/>
      </c>
    </row>
    <row r="278" spans="18:26">
      <c r="R278" s="15"/>
      <c r="S278" s="16"/>
      <c r="T278" s="17">
        <f>IF(AND(COUNTA($A278:$K278)=0,$L278=""),"",IF($S278="Paid","PAID",IF($S278="Closed","CLOSED",IF($W278="","",IF($W278=6,"ESCALATED TO ROXANNE",IF(TODAY()&gt;$Y278,"OVERDUE",IF($Y278&lt;=WORKDAY(TODAY(),1,Holidays),"DUE TOMORROW",IF($W278=4,"ESCALATED TO LOCAL OFFICE",IF($W278=5,"ESCALATED TO CBE",IF($X278=TODAY(),"EMAIL SENT","MONITORING"))))))))))</f>
        <v/>
      </c>
      <c r="U278" s="17">
        <f>IF($T278="",IF(AND(COUNTA($A278:$K278)&gt;0,$L278=""),"Awaiting Collection Email time stamp.",""),IF(OR($T278="PAID",$T278="CLOSED"),IF($T278="PAID","Account paid. Action completed.","Account closed. No further action required."),CHOOSE($W278,"Collection Email","1st Email Follow-up","2nd Email Follow-up","Escalation to Local Office","Escalation to CBE","Escalation to Roxanne")&amp;" sent "&amp;TEXT($X278,"dd-mmm")&amp;". "&amp;IF($W278=6,"Final escalation completed.",IF($T278="OVERDUE","Next: "&amp;$Z278&amp;" was due "&amp;TEXT($Y278,"dd-mmm")&amp;" - "&amp;(NETWORKDAYS($Y278,TODAY(),Holidays)-1)&amp;" business day(s) late. Send now.",IF($T278="DUE TOMORROW","Next: "&amp;$Z278&amp;IF($Y278&lt;=TODAY()," is due TODAY ("," is due next business day (")&amp;TEXT($Y278,"dd-mmm")&amp;").","Next: "&amp;$Z278&amp;" due "&amp;TEXT($Y278,"dd-mmm")&amp;" ("&amp;(NETWORKDAYS(TODAY(),$Y278,Holidays)-1)&amp;" business day(s) left).")))))</f>
        <v/>
      </c>
      <c r="V278" s="17">
        <f>IF($W278="","",CHOOSE($W278,"Collection Email","1st Follow-up","2nd Follow-up","Local Office","CBE","Roxanne")&amp;IF($W278=6," - Final"," - Day "&amp;MAX(0,NETWORKDAYS($X278,TODAY(),Holidays)-1)&amp;" of "&amp;CHOOSE($W278,3,3,2,2,3))&amp;" | Total Day "&amp;MAX(0,NETWORKDAYS($L278,TODAY(),Holidays)-1))</f>
        <v/>
      </c>
      <c r="W278" s="17">
        <f>IF($L278="","",COUNT($L278:$Q278))</f>
        <v/>
      </c>
      <c r="X278" s="18">
        <f>IF($W278="","",INT(INDEX($L278:$Q278,$W278)))</f>
        <v/>
      </c>
      <c r="Y278" s="18">
        <f>IF(OR($W278="",$W278=6),"",WORKDAY($X278,CHOOSE($W278,3,3,2,2,3),Holidays))</f>
        <v/>
      </c>
      <c r="Z278" s="17">
        <f>IF(OR($W278="",$W278=6),"",CHOOSE($W278,"1st Email Follow-up","2nd Email Follow-up","Escalate Local Office","Escalate to CBE","Escalate to Roxanne"))</f>
        <v/>
      </c>
    </row>
    <row r="279" spans="18:26">
      <c r="R279" s="15"/>
      <c r="S279" s="16"/>
      <c r="T279" s="17">
        <f>IF(AND(COUNTA($A279:$K279)=0,$L279=""),"",IF($S279="Paid","PAID",IF($S279="Closed","CLOSED",IF($W279="","",IF($W279=6,"ESCALATED TO ROXANNE",IF(TODAY()&gt;$Y279,"OVERDUE",IF($Y279&lt;=WORKDAY(TODAY(),1,Holidays),"DUE TOMORROW",IF($W279=4,"ESCALATED TO LOCAL OFFICE",IF($W279=5,"ESCALATED TO CBE",IF($X279=TODAY(),"EMAIL SENT","MONITORING"))))))))))</f>
        <v/>
      </c>
      <c r="U279" s="17">
        <f>IF($T279="",IF(AND(COUNTA($A279:$K279)&gt;0,$L279=""),"Awaiting Collection Email time stamp.",""),IF(OR($T279="PAID",$T279="CLOSED"),IF($T279="PAID","Account paid. Action completed.","Account closed. No further action required."),CHOOSE($W279,"Collection Email","1st Email Follow-up","2nd Email Follow-up","Escalation to Local Office","Escalation to CBE","Escalation to Roxanne")&amp;" sent "&amp;TEXT($X279,"dd-mmm")&amp;". "&amp;IF($W279=6,"Final escalation completed.",IF($T279="OVERDUE","Next: "&amp;$Z279&amp;" was due "&amp;TEXT($Y279,"dd-mmm")&amp;" - "&amp;(NETWORKDAYS($Y279,TODAY(),Holidays)-1)&amp;" business day(s) late. Send now.",IF($T279="DUE TOMORROW","Next: "&amp;$Z279&amp;IF($Y279&lt;=TODAY()," is due TODAY ("," is due next business day (")&amp;TEXT($Y279,"dd-mmm")&amp;").","Next: "&amp;$Z279&amp;" due "&amp;TEXT($Y279,"dd-mmm")&amp;" ("&amp;(NETWORKDAYS(TODAY(),$Y279,Holidays)-1)&amp;" business day(s) left).")))))</f>
        <v/>
      </c>
      <c r="V279" s="17">
        <f>IF($W279="","",CHOOSE($W279,"Collection Email","1st Follow-up","2nd Follow-up","Local Office","CBE","Roxanne")&amp;IF($W279=6," - Final"," - Day "&amp;MAX(0,NETWORKDAYS($X279,TODAY(),Holidays)-1)&amp;" of "&amp;CHOOSE($W279,3,3,2,2,3))&amp;" | Total Day "&amp;MAX(0,NETWORKDAYS($L279,TODAY(),Holidays)-1))</f>
        <v/>
      </c>
      <c r="W279" s="17">
        <f>IF($L279="","",COUNT($L279:$Q279))</f>
        <v/>
      </c>
      <c r="X279" s="18">
        <f>IF($W279="","",INT(INDEX($L279:$Q279,$W279)))</f>
        <v/>
      </c>
      <c r="Y279" s="18">
        <f>IF(OR($W279="",$W279=6),"",WORKDAY($X279,CHOOSE($W279,3,3,2,2,3),Holidays))</f>
        <v/>
      </c>
      <c r="Z279" s="17">
        <f>IF(OR($W279="",$W279=6),"",CHOOSE($W279,"1st Email Follow-up","2nd Email Follow-up","Escalate Local Office","Escalate to CBE","Escalate to Roxanne"))</f>
        <v/>
      </c>
    </row>
    <row r="280" spans="18:26">
      <c r="R280" s="15"/>
      <c r="S280" s="16"/>
      <c r="T280" s="17">
        <f>IF(AND(COUNTA($A280:$K280)=0,$L280=""),"",IF($S280="Paid","PAID",IF($S280="Closed","CLOSED",IF($W280="","",IF($W280=6,"ESCALATED TO ROXANNE",IF(TODAY()&gt;$Y280,"OVERDUE",IF($Y280&lt;=WORKDAY(TODAY(),1,Holidays),"DUE TOMORROW",IF($W280=4,"ESCALATED TO LOCAL OFFICE",IF($W280=5,"ESCALATED TO CBE",IF($X280=TODAY(),"EMAIL SENT","MONITORING"))))))))))</f>
        <v/>
      </c>
      <c r="U280" s="17">
        <f>IF($T280="",IF(AND(COUNTA($A280:$K280)&gt;0,$L280=""),"Awaiting Collection Email time stamp.",""),IF(OR($T280="PAID",$T280="CLOSED"),IF($T280="PAID","Account paid. Action completed.","Account closed. No further action required."),CHOOSE($W280,"Collection Email","1st Email Follow-up","2nd Email Follow-up","Escalation to Local Office","Escalation to CBE","Escalation to Roxanne")&amp;" sent "&amp;TEXT($X280,"dd-mmm")&amp;". "&amp;IF($W280=6,"Final escalation completed.",IF($T280="OVERDUE","Next: "&amp;$Z280&amp;" was due "&amp;TEXT($Y280,"dd-mmm")&amp;" - "&amp;(NETWORKDAYS($Y280,TODAY(),Holidays)-1)&amp;" business day(s) late. Send now.",IF($T280="DUE TOMORROW","Next: "&amp;$Z280&amp;IF($Y280&lt;=TODAY()," is due TODAY ("," is due next business day (")&amp;TEXT($Y280,"dd-mmm")&amp;").","Next: "&amp;$Z280&amp;" due "&amp;TEXT($Y280,"dd-mmm")&amp;" ("&amp;(NETWORKDAYS(TODAY(),$Y280,Holidays)-1)&amp;" business day(s) left).")))))</f>
        <v/>
      </c>
      <c r="V280" s="17">
        <f>IF($W280="","",CHOOSE($W280,"Collection Email","1st Follow-up","2nd Follow-up","Local Office","CBE","Roxanne")&amp;IF($W280=6," - Final"," - Day "&amp;MAX(0,NETWORKDAYS($X280,TODAY(),Holidays)-1)&amp;" of "&amp;CHOOSE($W280,3,3,2,2,3))&amp;" | Total Day "&amp;MAX(0,NETWORKDAYS($L280,TODAY(),Holidays)-1))</f>
        <v/>
      </c>
      <c r="W280" s="17">
        <f>IF($L280="","",COUNT($L280:$Q280))</f>
        <v/>
      </c>
      <c r="X280" s="18">
        <f>IF($W280="","",INT(INDEX($L280:$Q280,$W280)))</f>
        <v/>
      </c>
      <c r="Y280" s="18">
        <f>IF(OR($W280="",$W280=6),"",WORKDAY($X280,CHOOSE($W280,3,3,2,2,3),Holidays))</f>
        <v/>
      </c>
      <c r="Z280" s="17">
        <f>IF(OR($W280="",$W280=6),"",CHOOSE($W280,"1st Email Follow-up","2nd Email Follow-up","Escalate Local Office","Escalate to CBE","Escalate to Roxanne"))</f>
        <v/>
      </c>
    </row>
    <row r="281" spans="18:26">
      <c r="R281" s="15"/>
      <c r="S281" s="16"/>
      <c r="T281" s="17">
        <f>IF(AND(COUNTA($A281:$K281)=0,$L281=""),"",IF($S281="Paid","PAID",IF($S281="Closed","CLOSED",IF($W281="","",IF($W281=6,"ESCALATED TO ROXANNE",IF(TODAY()&gt;$Y281,"OVERDUE",IF($Y281&lt;=WORKDAY(TODAY(),1,Holidays),"DUE TOMORROW",IF($W281=4,"ESCALATED TO LOCAL OFFICE",IF($W281=5,"ESCALATED TO CBE",IF($X281=TODAY(),"EMAIL SENT","MONITORING"))))))))))</f>
        <v/>
      </c>
      <c r="U281" s="17">
        <f>IF($T281="",IF(AND(COUNTA($A281:$K281)&gt;0,$L281=""),"Awaiting Collection Email time stamp.",""),IF(OR($T281="PAID",$T281="CLOSED"),IF($T281="PAID","Account paid. Action completed.","Account closed. No further action required."),CHOOSE($W281,"Collection Email","1st Email Follow-up","2nd Email Follow-up","Escalation to Local Office","Escalation to CBE","Escalation to Roxanne")&amp;" sent "&amp;TEXT($X281,"dd-mmm")&amp;". "&amp;IF($W281=6,"Final escalation completed.",IF($T281="OVERDUE","Next: "&amp;$Z281&amp;" was due "&amp;TEXT($Y281,"dd-mmm")&amp;" - "&amp;(NETWORKDAYS($Y281,TODAY(),Holidays)-1)&amp;" business day(s) late. Send now.",IF($T281="DUE TOMORROW","Next: "&amp;$Z281&amp;IF($Y281&lt;=TODAY()," is due TODAY ("," is due next business day (")&amp;TEXT($Y281,"dd-mmm")&amp;").","Next: "&amp;$Z281&amp;" due "&amp;TEXT($Y281,"dd-mmm")&amp;" ("&amp;(NETWORKDAYS(TODAY(),$Y281,Holidays)-1)&amp;" business day(s) left).")))))</f>
        <v/>
      </c>
      <c r="V281" s="17">
        <f>IF($W281="","",CHOOSE($W281,"Collection Email","1st Follow-up","2nd Follow-up","Local Office","CBE","Roxanne")&amp;IF($W281=6," - Final"," - Day "&amp;MAX(0,NETWORKDAYS($X281,TODAY(),Holidays)-1)&amp;" of "&amp;CHOOSE($W281,3,3,2,2,3))&amp;" | Total Day "&amp;MAX(0,NETWORKDAYS($L281,TODAY(),Holidays)-1))</f>
        <v/>
      </c>
      <c r="W281" s="17">
        <f>IF($L281="","",COUNT($L281:$Q281))</f>
        <v/>
      </c>
      <c r="X281" s="18">
        <f>IF($W281="","",INT(INDEX($L281:$Q281,$W281)))</f>
        <v/>
      </c>
      <c r="Y281" s="18">
        <f>IF(OR($W281="",$W281=6),"",WORKDAY($X281,CHOOSE($W281,3,3,2,2,3),Holidays))</f>
        <v/>
      </c>
      <c r="Z281" s="17">
        <f>IF(OR($W281="",$W281=6),"",CHOOSE($W281,"1st Email Follow-up","2nd Email Follow-up","Escalate Local Office","Escalate to CBE","Escalate to Roxanne"))</f>
        <v/>
      </c>
    </row>
    <row r="282" spans="18:26">
      <c r="R282" s="15"/>
      <c r="S282" s="16"/>
      <c r="T282" s="17">
        <f>IF(AND(COUNTA($A282:$K282)=0,$L282=""),"",IF($S282="Paid","PAID",IF($S282="Closed","CLOSED",IF($W282="","",IF($W282=6,"ESCALATED TO ROXANNE",IF(TODAY()&gt;$Y282,"OVERDUE",IF($Y282&lt;=WORKDAY(TODAY(),1,Holidays),"DUE TOMORROW",IF($W282=4,"ESCALATED TO LOCAL OFFICE",IF($W282=5,"ESCALATED TO CBE",IF($X282=TODAY(),"EMAIL SENT","MONITORING"))))))))))</f>
        <v/>
      </c>
      <c r="U282" s="17">
        <f>IF($T282="",IF(AND(COUNTA($A282:$K282)&gt;0,$L282=""),"Awaiting Collection Email time stamp.",""),IF(OR($T282="PAID",$T282="CLOSED"),IF($T282="PAID","Account paid. Action completed.","Account closed. No further action required."),CHOOSE($W282,"Collection Email","1st Email Follow-up","2nd Email Follow-up","Escalation to Local Office","Escalation to CBE","Escalation to Roxanne")&amp;" sent "&amp;TEXT($X282,"dd-mmm")&amp;". "&amp;IF($W282=6,"Final escalation completed.",IF($T282="OVERDUE","Next: "&amp;$Z282&amp;" was due "&amp;TEXT($Y282,"dd-mmm")&amp;" - "&amp;(NETWORKDAYS($Y282,TODAY(),Holidays)-1)&amp;" business day(s) late. Send now.",IF($T282="DUE TOMORROW","Next: "&amp;$Z282&amp;IF($Y282&lt;=TODAY()," is due TODAY ("," is due next business day (")&amp;TEXT($Y282,"dd-mmm")&amp;").","Next: "&amp;$Z282&amp;" due "&amp;TEXT($Y282,"dd-mmm")&amp;" ("&amp;(NETWORKDAYS(TODAY(),$Y282,Holidays)-1)&amp;" business day(s) left).")))))</f>
        <v/>
      </c>
      <c r="V282" s="17">
        <f>IF($W282="","",CHOOSE($W282,"Collection Email","1st Follow-up","2nd Follow-up","Local Office","CBE","Roxanne")&amp;IF($W282=6," - Final"," - Day "&amp;MAX(0,NETWORKDAYS($X282,TODAY(),Holidays)-1)&amp;" of "&amp;CHOOSE($W282,3,3,2,2,3))&amp;" | Total Day "&amp;MAX(0,NETWORKDAYS($L282,TODAY(),Holidays)-1))</f>
        <v/>
      </c>
      <c r="W282" s="17">
        <f>IF($L282="","",COUNT($L282:$Q282))</f>
        <v/>
      </c>
      <c r="X282" s="18">
        <f>IF($W282="","",INT(INDEX($L282:$Q282,$W282)))</f>
        <v/>
      </c>
      <c r="Y282" s="18">
        <f>IF(OR($W282="",$W282=6),"",WORKDAY($X282,CHOOSE($W282,3,3,2,2,3),Holidays))</f>
        <v/>
      </c>
      <c r="Z282" s="17">
        <f>IF(OR($W282="",$W282=6),"",CHOOSE($W282,"1st Email Follow-up","2nd Email Follow-up","Escalate Local Office","Escalate to CBE","Escalate to Roxanne"))</f>
        <v/>
      </c>
    </row>
    <row r="283" spans="18:26">
      <c r="R283" s="15"/>
      <c r="S283" s="16"/>
      <c r="T283" s="17">
        <f>IF(AND(COUNTA($A283:$K283)=0,$L283=""),"",IF($S283="Paid","PAID",IF($S283="Closed","CLOSED",IF($W283="","",IF($W283=6,"ESCALATED TO ROXANNE",IF(TODAY()&gt;$Y283,"OVERDUE",IF($Y283&lt;=WORKDAY(TODAY(),1,Holidays),"DUE TOMORROW",IF($W283=4,"ESCALATED TO LOCAL OFFICE",IF($W283=5,"ESCALATED TO CBE",IF($X283=TODAY(),"EMAIL SENT","MONITORING"))))))))))</f>
        <v/>
      </c>
      <c r="U283" s="17">
        <f>IF($T283="",IF(AND(COUNTA($A283:$K283)&gt;0,$L283=""),"Awaiting Collection Email time stamp.",""),IF(OR($T283="PAID",$T283="CLOSED"),IF($T283="PAID","Account paid. Action completed.","Account closed. No further action required."),CHOOSE($W283,"Collection Email","1st Email Follow-up","2nd Email Follow-up","Escalation to Local Office","Escalation to CBE","Escalation to Roxanne")&amp;" sent "&amp;TEXT($X283,"dd-mmm")&amp;". "&amp;IF($W283=6,"Final escalation completed.",IF($T283="OVERDUE","Next: "&amp;$Z283&amp;" was due "&amp;TEXT($Y283,"dd-mmm")&amp;" - "&amp;(NETWORKDAYS($Y283,TODAY(),Holidays)-1)&amp;" business day(s) late. Send now.",IF($T283="DUE TOMORROW","Next: "&amp;$Z283&amp;IF($Y283&lt;=TODAY()," is due TODAY ("," is due next business day (")&amp;TEXT($Y283,"dd-mmm")&amp;").","Next: "&amp;$Z283&amp;" due "&amp;TEXT($Y283,"dd-mmm")&amp;" ("&amp;(NETWORKDAYS(TODAY(),$Y283,Holidays)-1)&amp;" business day(s) left).")))))</f>
        <v/>
      </c>
      <c r="V283" s="17">
        <f>IF($W283="","",CHOOSE($W283,"Collection Email","1st Follow-up","2nd Follow-up","Local Office","CBE","Roxanne")&amp;IF($W283=6," - Final"," - Day "&amp;MAX(0,NETWORKDAYS($X283,TODAY(),Holidays)-1)&amp;" of "&amp;CHOOSE($W283,3,3,2,2,3))&amp;" | Total Day "&amp;MAX(0,NETWORKDAYS($L283,TODAY(),Holidays)-1))</f>
        <v/>
      </c>
      <c r="W283" s="17">
        <f>IF($L283="","",COUNT($L283:$Q283))</f>
        <v/>
      </c>
      <c r="X283" s="18">
        <f>IF($W283="","",INT(INDEX($L283:$Q283,$W283)))</f>
        <v/>
      </c>
      <c r="Y283" s="18">
        <f>IF(OR($W283="",$W283=6),"",WORKDAY($X283,CHOOSE($W283,3,3,2,2,3),Holidays))</f>
        <v/>
      </c>
      <c r="Z283" s="17">
        <f>IF(OR($W283="",$W283=6),"",CHOOSE($W283,"1st Email Follow-up","2nd Email Follow-up","Escalate Local Office","Escalate to CBE","Escalate to Roxanne"))</f>
        <v/>
      </c>
    </row>
    <row r="284" spans="18:26">
      <c r="R284" s="15"/>
      <c r="S284" s="16"/>
      <c r="T284" s="17">
        <f>IF(AND(COUNTA($A284:$K284)=0,$L284=""),"",IF($S284="Paid","PAID",IF($S284="Closed","CLOSED",IF($W284="","",IF($W284=6,"ESCALATED TO ROXANNE",IF(TODAY()&gt;$Y284,"OVERDUE",IF($Y284&lt;=WORKDAY(TODAY(),1,Holidays),"DUE TOMORROW",IF($W284=4,"ESCALATED TO LOCAL OFFICE",IF($W284=5,"ESCALATED TO CBE",IF($X284=TODAY(),"EMAIL SENT","MONITORING"))))))))))</f>
        <v/>
      </c>
      <c r="U284" s="17">
        <f>IF($T284="",IF(AND(COUNTA($A284:$K284)&gt;0,$L284=""),"Awaiting Collection Email time stamp.",""),IF(OR($T284="PAID",$T284="CLOSED"),IF($T284="PAID","Account paid. Action completed.","Account closed. No further action required."),CHOOSE($W284,"Collection Email","1st Email Follow-up","2nd Email Follow-up","Escalation to Local Office","Escalation to CBE","Escalation to Roxanne")&amp;" sent "&amp;TEXT($X284,"dd-mmm")&amp;". "&amp;IF($W284=6,"Final escalation completed.",IF($T284="OVERDUE","Next: "&amp;$Z284&amp;" was due "&amp;TEXT($Y284,"dd-mmm")&amp;" - "&amp;(NETWORKDAYS($Y284,TODAY(),Holidays)-1)&amp;" business day(s) late. Send now.",IF($T284="DUE TOMORROW","Next: "&amp;$Z284&amp;IF($Y284&lt;=TODAY()," is due TODAY ("," is due next business day (")&amp;TEXT($Y284,"dd-mmm")&amp;").","Next: "&amp;$Z284&amp;" due "&amp;TEXT($Y284,"dd-mmm")&amp;" ("&amp;(NETWORKDAYS(TODAY(),$Y284,Holidays)-1)&amp;" business day(s) left).")))))</f>
        <v/>
      </c>
      <c r="V284" s="17">
        <f>IF($W284="","",CHOOSE($W284,"Collection Email","1st Follow-up","2nd Follow-up","Local Office","CBE","Roxanne")&amp;IF($W284=6," - Final"," - Day "&amp;MAX(0,NETWORKDAYS($X284,TODAY(),Holidays)-1)&amp;" of "&amp;CHOOSE($W284,3,3,2,2,3))&amp;" | Total Day "&amp;MAX(0,NETWORKDAYS($L284,TODAY(),Holidays)-1))</f>
        <v/>
      </c>
      <c r="W284" s="17">
        <f>IF($L284="","",COUNT($L284:$Q284))</f>
        <v/>
      </c>
      <c r="X284" s="18">
        <f>IF($W284="","",INT(INDEX($L284:$Q284,$W284)))</f>
        <v/>
      </c>
      <c r="Y284" s="18">
        <f>IF(OR($W284="",$W284=6),"",WORKDAY($X284,CHOOSE($W284,3,3,2,2,3),Holidays))</f>
        <v/>
      </c>
      <c r="Z284" s="17">
        <f>IF(OR($W284="",$W284=6),"",CHOOSE($W284,"1st Email Follow-up","2nd Email Follow-up","Escalate Local Office","Escalate to CBE","Escalate to Roxanne"))</f>
        <v/>
      </c>
    </row>
    <row r="285" spans="18:26">
      <c r="R285" s="15"/>
      <c r="S285" s="16"/>
      <c r="T285" s="17">
        <f>IF(AND(COUNTA($A285:$K285)=0,$L285=""),"",IF($S285="Paid","PAID",IF($S285="Closed","CLOSED",IF($W285="","",IF($W285=6,"ESCALATED TO ROXANNE",IF(TODAY()&gt;$Y285,"OVERDUE",IF($Y285&lt;=WORKDAY(TODAY(),1,Holidays),"DUE TOMORROW",IF($W285=4,"ESCALATED TO LOCAL OFFICE",IF($W285=5,"ESCALATED TO CBE",IF($X285=TODAY(),"EMAIL SENT","MONITORING"))))))))))</f>
        <v/>
      </c>
      <c r="U285" s="17">
        <f>IF($T285="",IF(AND(COUNTA($A285:$K285)&gt;0,$L285=""),"Awaiting Collection Email time stamp.",""),IF(OR($T285="PAID",$T285="CLOSED"),IF($T285="PAID","Account paid. Action completed.","Account closed. No further action required."),CHOOSE($W285,"Collection Email","1st Email Follow-up","2nd Email Follow-up","Escalation to Local Office","Escalation to CBE","Escalation to Roxanne")&amp;" sent "&amp;TEXT($X285,"dd-mmm")&amp;". "&amp;IF($W285=6,"Final escalation completed.",IF($T285="OVERDUE","Next: "&amp;$Z285&amp;" was due "&amp;TEXT($Y285,"dd-mmm")&amp;" - "&amp;(NETWORKDAYS($Y285,TODAY(),Holidays)-1)&amp;" business day(s) late. Send now.",IF($T285="DUE TOMORROW","Next: "&amp;$Z285&amp;IF($Y285&lt;=TODAY()," is due TODAY ("," is due next business day (")&amp;TEXT($Y285,"dd-mmm")&amp;").","Next: "&amp;$Z285&amp;" due "&amp;TEXT($Y285,"dd-mmm")&amp;" ("&amp;(NETWORKDAYS(TODAY(),$Y285,Holidays)-1)&amp;" business day(s) left).")))))</f>
        <v/>
      </c>
      <c r="V285" s="17">
        <f>IF($W285="","",CHOOSE($W285,"Collection Email","1st Follow-up","2nd Follow-up","Local Office","CBE","Roxanne")&amp;IF($W285=6," - Final"," - Day "&amp;MAX(0,NETWORKDAYS($X285,TODAY(),Holidays)-1)&amp;" of "&amp;CHOOSE($W285,3,3,2,2,3))&amp;" | Total Day "&amp;MAX(0,NETWORKDAYS($L285,TODAY(),Holidays)-1))</f>
        <v/>
      </c>
      <c r="W285" s="17">
        <f>IF($L285="","",COUNT($L285:$Q285))</f>
        <v/>
      </c>
      <c r="X285" s="18">
        <f>IF($W285="","",INT(INDEX($L285:$Q285,$W285)))</f>
        <v/>
      </c>
      <c r="Y285" s="18">
        <f>IF(OR($W285="",$W285=6),"",WORKDAY($X285,CHOOSE($W285,3,3,2,2,3),Holidays))</f>
        <v/>
      </c>
      <c r="Z285" s="17">
        <f>IF(OR($W285="",$W285=6),"",CHOOSE($W285,"1st Email Follow-up","2nd Email Follow-up","Escalate Local Office","Escalate to CBE","Escalate to Roxanne"))</f>
        <v/>
      </c>
    </row>
    <row r="286" spans="18:26">
      <c r="R286" s="15"/>
      <c r="S286" s="16"/>
      <c r="T286" s="17">
        <f>IF(AND(COUNTA($A286:$K286)=0,$L286=""),"",IF($S286="Paid","PAID",IF($S286="Closed","CLOSED",IF($W286="","",IF($W286=6,"ESCALATED TO ROXANNE",IF(TODAY()&gt;$Y286,"OVERDUE",IF($Y286&lt;=WORKDAY(TODAY(),1,Holidays),"DUE TOMORROW",IF($W286=4,"ESCALATED TO LOCAL OFFICE",IF($W286=5,"ESCALATED TO CBE",IF($X286=TODAY(),"EMAIL SENT","MONITORING"))))))))))</f>
        <v/>
      </c>
      <c r="U286" s="17">
        <f>IF($T286="",IF(AND(COUNTA($A286:$K286)&gt;0,$L286=""),"Awaiting Collection Email time stamp.",""),IF(OR($T286="PAID",$T286="CLOSED"),IF($T286="PAID","Account paid. Action completed.","Account closed. No further action required."),CHOOSE($W286,"Collection Email","1st Email Follow-up","2nd Email Follow-up","Escalation to Local Office","Escalation to CBE","Escalation to Roxanne")&amp;" sent "&amp;TEXT($X286,"dd-mmm")&amp;". "&amp;IF($W286=6,"Final escalation completed.",IF($T286="OVERDUE","Next: "&amp;$Z286&amp;" was due "&amp;TEXT($Y286,"dd-mmm")&amp;" - "&amp;(NETWORKDAYS($Y286,TODAY(),Holidays)-1)&amp;" business day(s) late. Send now.",IF($T286="DUE TOMORROW","Next: "&amp;$Z286&amp;IF($Y286&lt;=TODAY()," is due TODAY ("," is due next business day (")&amp;TEXT($Y286,"dd-mmm")&amp;").","Next: "&amp;$Z286&amp;" due "&amp;TEXT($Y286,"dd-mmm")&amp;" ("&amp;(NETWORKDAYS(TODAY(),$Y286,Holidays)-1)&amp;" business day(s) left).")))))</f>
        <v/>
      </c>
      <c r="V286" s="17">
        <f>IF($W286="","",CHOOSE($W286,"Collection Email","1st Follow-up","2nd Follow-up","Local Office","CBE","Roxanne")&amp;IF($W286=6," - Final"," - Day "&amp;MAX(0,NETWORKDAYS($X286,TODAY(),Holidays)-1)&amp;" of "&amp;CHOOSE($W286,3,3,2,2,3))&amp;" | Total Day "&amp;MAX(0,NETWORKDAYS($L286,TODAY(),Holidays)-1))</f>
        <v/>
      </c>
      <c r="W286" s="17">
        <f>IF($L286="","",COUNT($L286:$Q286))</f>
        <v/>
      </c>
      <c r="X286" s="18">
        <f>IF($W286="","",INT(INDEX($L286:$Q286,$W286)))</f>
        <v/>
      </c>
      <c r="Y286" s="18">
        <f>IF(OR($W286="",$W286=6),"",WORKDAY($X286,CHOOSE($W286,3,3,2,2,3),Holidays))</f>
        <v/>
      </c>
      <c r="Z286" s="17">
        <f>IF(OR($W286="",$W286=6),"",CHOOSE($W286,"1st Email Follow-up","2nd Email Follow-up","Escalate Local Office","Escalate to CBE","Escalate to Roxanne"))</f>
        <v/>
      </c>
    </row>
    <row r="287" spans="18:26">
      <c r="R287" s="15"/>
      <c r="S287" s="16"/>
      <c r="T287" s="17">
        <f>IF(AND(COUNTA($A287:$K287)=0,$L287=""),"",IF($S287="Paid","PAID",IF($S287="Closed","CLOSED",IF($W287="","",IF($W287=6,"ESCALATED TO ROXANNE",IF(TODAY()&gt;$Y287,"OVERDUE",IF($Y287&lt;=WORKDAY(TODAY(),1,Holidays),"DUE TOMORROW",IF($W287=4,"ESCALATED TO LOCAL OFFICE",IF($W287=5,"ESCALATED TO CBE",IF($X287=TODAY(),"EMAIL SENT","MONITORING"))))))))))</f>
        <v/>
      </c>
      <c r="U287" s="17">
        <f>IF($T287="",IF(AND(COUNTA($A287:$K287)&gt;0,$L287=""),"Awaiting Collection Email time stamp.",""),IF(OR($T287="PAID",$T287="CLOSED"),IF($T287="PAID","Account paid. Action completed.","Account closed. No further action required."),CHOOSE($W287,"Collection Email","1st Email Follow-up","2nd Email Follow-up","Escalation to Local Office","Escalation to CBE","Escalation to Roxanne")&amp;" sent "&amp;TEXT($X287,"dd-mmm")&amp;". "&amp;IF($W287=6,"Final escalation completed.",IF($T287="OVERDUE","Next: "&amp;$Z287&amp;" was due "&amp;TEXT($Y287,"dd-mmm")&amp;" - "&amp;(NETWORKDAYS($Y287,TODAY(),Holidays)-1)&amp;" business day(s) late. Send now.",IF($T287="DUE TOMORROW","Next: "&amp;$Z287&amp;IF($Y287&lt;=TODAY()," is due TODAY ("," is due next business day (")&amp;TEXT($Y287,"dd-mmm")&amp;").","Next: "&amp;$Z287&amp;" due "&amp;TEXT($Y287,"dd-mmm")&amp;" ("&amp;(NETWORKDAYS(TODAY(),$Y287,Holidays)-1)&amp;" business day(s) left).")))))</f>
        <v/>
      </c>
      <c r="V287" s="17">
        <f>IF($W287="","",CHOOSE($W287,"Collection Email","1st Follow-up","2nd Follow-up","Local Office","CBE","Roxanne")&amp;IF($W287=6," - Final"," - Day "&amp;MAX(0,NETWORKDAYS($X287,TODAY(),Holidays)-1)&amp;" of "&amp;CHOOSE($W287,3,3,2,2,3))&amp;" | Total Day "&amp;MAX(0,NETWORKDAYS($L287,TODAY(),Holidays)-1))</f>
        <v/>
      </c>
      <c r="W287" s="17">
        <f>IF($L287="","",COUNT($L287:$Q287))</f>
        <v/>
      </c>
      <c r="X287" s="18">
        <f>IF($W287="","",INT(INDEX($L287:$Q287,$W287)))</f>
        <v/>
      </c>
      <c r="Y287" s="18">
        <f>IF(OR($W287="",$W287=6),"",WORKDAY($X287,CHOOSE($W287,3,3,2,2,3),Holidays))</f>
        <v/>
      </c>
      <c r="Z287" s="17">
        <f>IF(OR($W287="",$W287=6),"",CHOOSE($W287,"1st Email Follow-up","2nd Email Follow-up","Escalate Local Office","Escalate to CBE","Escalate to Roxanne"))</f>
        <v/>
      </c>
    </row>
    <row r="288" spans="18:26">
      <c r="R288" s="15"/>
      <c r="S288" s="16"/>
      <c r="T288" s="17">
        <f>IF(AND(COUNTA($A288:$K288)=0,$L288=""),"",IF($S288="Paid","PAID",IF($S288="Closed","CLOSED",IF($W288="","",IF($W288=6,"ESCALATED TO ROXANNE",IF(TODAY()&gt;$Y288,"OVERDUE",IF($Y288&lt;=WORKDAY(TODAY(),1,Holidays),"DUE TOMORROW",IF($W288=4,"ESCALATED TO LOCAL OFFICE",IF($W288=5,"ESCALATED TO CBE",IF($X288=TODAY(),"EMAIL SENT","MONITORING"))))))))))</f>
        <v/>
      </c>
      <c r="U288" s="17">
        <f>IF($T288="",IF(AND(COUNTA($A288:$K288)&gt;0,$L288=""),"Awaiting Collection Email time stamp.",""),IF(OR($T288="PAID",$T288="CLOSED"),IF($T288="PAID","Account paid. Action completed.","Account closed. No further action required."),CHOOSE($W288,"Collection Email","1st Email Follow-up","2nd Email Follow-up","Escalation to Local Office","Escalation to CBE","Escalation to Roxanne")&amp;" sent "&amp;TEXT($X288,"dd-mmm")&amp;". "&amp;IF($W288=6,"Final escalation completed.",IF($T288="OVERDUE","Next: "&amp;$Z288&amp;" was due "&amp;TEXT($Y288,"dd-mmm")&amp;" - "&amp;(NETWORKDAYS($Y288,TODAY(),Holidays)-1)&amp;" business day(s) late. Send now.",IF($T288="DUE TOMORROW","Next: "&amp;$Z288&amp;IF($Y288&lt;=TODAY()," is due TODAY ("," is due next business day (")&amp;TEXT($Y288,"dd-mmm")&amp;").","Next: "&amp;$Z288&amp;" due "&amp;TEXT($Y288,"dd-mmm")&amp;" ("&amp;(NETWORKDAYS(TODAY(),$Y288,Holidays)-1)&amp;" business day(s) left).")))))</f>
        <v/>
      </c>
      <c r="V288" s="17">
        <f>IF($W288="","",CHOOSE($W288,"Collection Email","1st Follow-up","2nd Follow-up","Local Office","CBE","Roxanne")&amp;IF($W288=6," - Final"," - Day "&amp;MAX(0,NETWORKDAYS($X288,TODAY(),Holidays)-1)&amp;" of "&amp;CHOOSE($W288,3,3,2,2,3))&amp;" | Total Day "&amp;MAX(0,NETWORKDAYS($L288,TODAY(),Holidays)-1))</f>
        <v/>
      </c>
      <c r="W288" s="17">
        <f>IF($L288="","",COUNT($L288:$Q288))</f>
        <v/>
      </c>
      <c r="X288" s="18">
        <f>IF($W288="","",INT(INDEX($L288:$Q288,$W288)))</f>
        <v/>
      </c>
      <c r="Y288" s="18">
        <f>IF(OR($W288="",$W288=6),"",WORKDAY($X288,CHOOSE($W288,3,3,2,2,3),Holidays))</f>
        <v/>
      </c>
      <c r="Z288" s="17">
        <f>IF(OR($W288="",$W288=6),"",CHOOSE($W288,"1st Email Follow-up","2nd Email Follow-up","Escalate Local Office","Escalate to CBE","Escalate to Roxanne"))</f>
        <v/>
      </c>
    </row>
    <row r="289" spans="18:26">
      <c r="R289" s="15"/>
      <c r="S289" s="16"/>
      <c r="T289" s="17">
        <f>IF(AND(COUNTA($A289:$K289)=0,$L289=""),"",IF($S289="Paid","PAID",IF($S289="Closed","CLOSED",IF($W289="","",IF($W289=6,"ESCALATED TO ROXANNE",IF(TODAY()&gt;$Y289,"OVERDUE",IF($Y289&lt;=WORKDAY(TODAY(),1,Holidays),"DUE TOMORROW",IF($W289=4,"ESCALATED TO LOCAL OFFICE",IF($W289=5,"ESCALATED TO CBE",IF($X289=TODAY(),"EMAIL SENT","MONITORING"))))))))))</f>
        <v/>
      </c>
      <c r="U289" s="17">
        <f>IF($T289="",IF(AND(COUNTA($A289:$K289)&gt;0,$L289=""),"Awaiting Collection Email time stamp.",""),IF(OR($T289="PAID",$T289="CLOSED"),IF($T289="PAID","Account paid. Action completed.","Account closed. No further action required."),CHOOSE($W289,"Collection Email","1st Email Follow-up","2nd Email Follow-up","Escalation to Local Office","Escalation to CBE","Escalation to Roxanne")&amp;" sent "&amp;TEXT($X289,"dd-mmm")&amp;". "&amp;IF($W289=6,"Final escalation completed.",IF($T289="OVERDUE","Next: "&amp;$Z289&amp;" was due "&amp;TEXT($Y289,"dd-mmm")&amp;" - "&amp;(NETWORKDAYS($Y289,TODAY(),Holidays)-1)&amp;" business day(s) late. Send now.",IF($T289="DUE TOMORROW","Next: "&amp;$Z289&amp;IF($Y289&lt;=TODAY()," is due TODAY ("," is due next business day (")&amp;TEXT($Y289,"dd-mmm")&amp;").","Next: "&amp;$Z289&amp;" due "&amp;TEXT($Y289,"dd-mmm")&amp;" ("&amp;(NETWORKDAYS(TODAY(),$Y289,Holidays)-1)&amp;" business day(s) left).")))))</f>
        <v/>
      </c>
      <c r="V289" s="17">
        <f>IF($W289="","",CHOOSE($W289,"Collection Email","1st Follow-up","2nd Follow-up","Local Office","CBE","Roxanne")&amp;IF($W289=6," - Final"," - Day "&amp;MAX(0,NETWORKDAYS($X289,TODAY(),Holidays)-1)&amp;" of "&amp;CHOOSE($W289,3,3,2,2,3))&amp;" | Total Day "&amp;MAX(0,NETWORKDAYS($L289,TODAY(),Holidays)-1))</f>
        <v/>
      </c>
      <c r="W289" s="17">
        <f>IF($L289="","",COUNT($L289:$Q289))</f>
        <v/>
      </c>
      <c r="X289" s="18">
        <f>IF($W289="","",INT(INDEX($L289:$Q289,$W289)))</f>
        <v/>
      </c>
      <c r="Y289" s="18">
        <f>IF(OR($W289="",$W289=6),"",WORKDAY($X289,CHOOSE($W289,3,3,2,2,3),Holidays))</f>
        <v/>
      </c>
      <c r="Z289" s="17">
        <f>IF(OR($W289="",$W289=6),"",CHOOSE($W289,"1st Email Follow-up","2nd Email Follow-up","Escalate Local Office","Escalate to CBE","Escalate to Roxanne"))</f>
        <v/>
      </c>
    </row>
    <row r="290" spans="18:26">
      <c r="R290" s="15"/>
      <c r="S290" s="16"/>
      <c r="T290" s="17">
        <f>IF(AND(COUNTA($A290:$K290)=0,$L290=""),"",IF($S290="Paid","PAID",IF($S290="Closed","CLOSED",IF($W290="","",IF($W290=6,"ESCALATED TO ROXANNE",IF(TODAY()&gt;$Y290,"OVERDUE",IF($Y290&lt;=WORKDAY(TODAY(),1,Holidays),"DUE TOMORROW",IF($W290=4,"ESCALATED TO LOCAL OFFICE",IF($W290=5,"ESCALATED TO CBE",IF($X290=TODAY(),"EMAIL SENT","MONITORING"))))))))))</f>
        <v/>
      </c>
      <c r="U290" s="17">
        <f>IF($T290="",IF(AND(COUNTA($A290:$K290)&gt;0,$L290=""),"Awaiting Collection Email time stamp.",""),IF(OR($T290="PAID",$T290="CLOSED"),IF($T290="PAID","Account paid. Action completed.","Account closed. No further action required."),CHOOSE($W290,"Collection Email","1st Email Follow-up","2nd Email Follow-up","Escalation to Local Office","Escalation to CBE","Escalation to Roxanne")&amp;" sent "&amp;TEXT($X290,"dd-mmm")&amp;". "&amp;IF($W290=6,"Final escalation completed.",IF($T290="OVERDUE","Next: "&amp;$Z290&amp;" was due "&amp;TEXT($Y290,"dd-mmm")&amp;" - "&amp;(NETWORKDAYS($Y290,TODAY(),Holidays)-1)&amp;" business day(s) late. Send now.",IF($T290="DUE TOMORROW","Next: "&amp;$Z290&amp;IF($Y290&lt;=TODAY()," is due TODAY ("," is due next business day (")&amp;TEXT($Y290,"dd-mmm")&amp;").","Next: "&amp;$Z290&amp;" due "&amp;TEXT($Y290,"dd-mmm")&amp;" ("&amp;(NETWORKDAYS(TODAY(),$Y290,Holidays)-1)&amp;" business day(s) left).")))))</f>
        <v/>
      </c>
      <c r="V290" s="17">
        <f>IF($W290="","",CHOOSE($W290,"Collection Email","1st Follow-up","2nd Follow-up","Local Office","CBE","Roxanne")&amp;IF($W290=6," - Final"," - Day "&amp;MAX(0,NETWORKDAYS($X290,TODAY(),Holidays)-1)&amp;" of "&amp;CHOOSE($W290,3,3,2,2,3))&amp;" | Total Day "&amp;MAX(0,NETWORKDAYS($L290,TODAY(),Holidays)-1))</f>
        <v/>
      </c>
      <c r="W290" s="17">
        <f>IF($L290="","",COUNT($L290:$Q290))</f>
        <v/>
      </c>
      <c r="X290" s="18">
        <f>IF($W290="","",INT(INDEX($L290:$Q290,$W290)))</f>
        <v/>
      </c>
      <c r="Y290" s="18">
        <f>IF(OR($W290="",$W290=6),"",WORKDAY($X290,CHOOSE($W290,3,3,2,2,3),Holidays))</f>
        <v/>
      </c>
      <c r="Z290" s="17">
        <f>IF(OR($W290="",$W290=6),"",CHOOSE($W290,"1st Email Follow-up","2nd Email Follow-up","Escalate Local Office","Escalate to CBE","Escalate to Roxanne"))</f>
        <v/>
      </c>
    </row>
    <row r="291" spans="18:26">
      <c r="R291" s="15"/>
      <c r="S291" s="16"/>
      <c r="T291" s="17">
        <f>IF(AND(COUNTA($A291:$K291)=0,$L291=""),"",IF($S291="Paid","PAID",IF($S291="Closed","CLOSED",IF($W291="","",IF($W291=6,"ESCALATED TO ROXANNE",IF(TODAY()&gt;$Y291,"OVERDUE",IF($Y291&lt;=WORKDAY(TODAY(),1,Holidays),"DUE TOMORROW",IF($W291=4,"ESCALATED TO LOCAL OFFICE",IF($W291=5,"ESCALATED TO CBE",IF($X291=TODAY(),"EMAIL SENT","MONITORING"))))))))))</f>
        <v/>
      </c>
      <c r="U291" s="17">
        <f>IF($T291="",IF(AND(COUNTA($A291:$K291)&gt;0,$L291=""),"Awaiting Collection Email time stamp.",""),IF(OR($T291="PAID",$T291="CLOSED"),IF($T291="PAID","Account paid. Action completed.","Account closed. No further action required."),CHOOSE($W291,"Collection Email","1st Email Follow-up","2nd Email Follow-up","Escalation to Local Office","Escalation to CBE","Escalation to Roxanne")&amp;" sent "&amp;TEXT($X291,"dd-mmm")&amp;". "&amp;IF($W291=6,"Final escalation completed.",IF($T291="OVERDUE","Next: "&amp;$Z291&amp;" was due "&amp;TEXT($Y291,"dd-mmm")&amp;" - "&amp;(NETWORKDAYS($Y291,TODAY(),Holidays)-1)&amp;" business day(s) late. Send now.",IF($T291="DUE TOMORROW","Next: "&amp;$Z291&amp;IF($Y291&lt;=TODAY()," is due TODAY ("," is due next business day (")&amp;TEXT($Y291,"dd-mmm")&amp;").","Next: "&amp;$Z291&amp;" due "&amp;TEXT($Y291,"dd-mmm")&amp;" ("&amp;(NETWORKDAYS(TODAY(),$Y291,Holidays)-1)&amp;" business day(s) left).")))))</f>
        <v/>
      </c>
      <c r="V291" s="17">
        <f>IF($W291="","",CHOOSE($W291,"Collection Email","1st Follow-up","2nd Follow-up","Local Office","CBE","Roxanne")&amp;IF($W291=6," - Final"," - Day "&amp;MAX(0,NETWORKDAYS($X291,TODAY(),Holidays)-1)&amp;" of "&amp;CHOOSE($W291,3,3,2,2,3))&amp;" | Total Day "&amp;MAX(0,NETWORKDAYS($L291,TODAY(),Holidays)-1))</f>
        <v/>
      </c>
      <c r="W291" s="17">
        <f>IF($L291="","",COUNT($L291:$Q291))</f>
        <v/>
      </c>
      <c r="X291" s="18">
        <f>IF($W291="","",INT(INDEX($L291:$Q291,$W291)))</f>
        <v/>
      </c>
      <c r="Y291" s="18">
        <f>IF(OR($W291="",$W291=6),"",WORKDAY($X291,CHOOSE($W291,3,3,2,2,3),Holidays))</f>
        <v/>
      </c>
      <c r="Z291" s="17">
        <f>IF(OR($W291="",$W291=6),"",CHOOSE($W291,"1st Email Follow-up","2nd Email Follow-up","Escalate Local Office","Escalate to CBE","Escalate to Roxanne"))</f>
        <v/>
      </c>
    </row>
    <row r="292" spans="18:26">
      <c r="R292" s="15"/>
      <c r="S292" s="16"/>
      <c r="T292" s="17">
        <f>IF(AND(COUNTA($A292:$K292)=0,$L292=""),"",IF($S292="Paid","PAID",IF($S292="Closed","CLOSED",IF($W292="","",IF($W292=6,"ESCALATED TO ROXANNE",IF(TODAY()&gt;$Y292,"OVERDUE",IF($Y292&lt;=WORKDAY(TODAY(),1,Holidays),"DUE TOMORROW",IF($W292=4,"ESCALATED TO LOCAL OFFICE",IF($W292=5,"ESCALATED TO CBE",IF($X292=TODAY(),"EMAIL SENT","MONITORING"))))))))))</f>
        <v/>
      </c>
      <c r="U292" s="17">
        <f>IF($T292="",IF(AND(COUNTA($A292:$K292)&gt;0,$L292=""),"Awaiting Collection Email time stamp.",""),IF(OR($T292="PAID",$T292="CLOSED"),IF($T292="PAID","Account paid. Action completed.","Account closed. No further action required."),CHOOSE($W292,"Collection Email","1st Email Follow-up","2nd Email Follow-up","Escalation to Local Office","Escalation to CBE","Escalation to Roxanne")&amp;" sent "&amp;TEXT($X292,"dd-mmm")&amp;". "&amp;IF($W292=6,"Final escalation completed.",IF($T292="OVERDUE","Next: "&amp;$Z292&amp;" was due "&amp;TEXT($Y292,"dd-mmm")&amp;" - "&amp;(NETWORKDAYS($Y292,TODAY(),Holidays)-1)&amp;" business day(s) late. Send now.",IF($T292="DUE TOMORROW","Next: "&amp;$Z292&amp;IF($Y292&lt;=TODAY()," is due TODAY ("," is due next business day (")&amp;TEXT($Y292,"dd-mmm")&amp;").","Next: "&amp;$Z292&amp;" due "&amp;TEXT($Y292,"dd-mmm")&amp;" ("&amp;(NETWORKDAYS(TODAY(),$Y292,Holidays)-1)&amp;" business day(s) left).")))))</f>
        <v/>
      </c>
      <c r="V292" s="17">
        <f>IF($W292="","",CHOOSE($W292,"Collection Email","1st Follow-up","2nd Follow-up","Local Office","CBE","Roxanne")&amp;IF($W292=6," - Final"," - Day "&amp;MAX(0,NETWORKDAYS($X292,TODAY(),Holidays)-1)&amp;" of "&amp;CHOOSE($W292,3,3,2,2,3))&amp;" | Total Day "&amp;MAX(0,NETWORKDAYS($L292,TODAY(),Holidays)-1))</f>
        <v/>
      </c>
      <c r="W292" s="17">
        <f>IF($L292="","",COUNT($L292:$Q292))</f>
        <v/>
      </c>
      <c r="X292" s="18">
        <f>IF($W292="","",INT(INDEX($L292:$Q292,$W292)))</f>
        <v/>
      </c>
      <c r="Y292" s="18">
        <f>IF(OR($W292="",$W292=6),"",WORKDAY($X292,CHOOSE($W292,3,3,2,2,3),Holidays))</f>
        <v/>
      </c>
      <c r="Z292" s="17">
        <f>IF(OR($W292="",$W292=6),"",CHOOSE($W292,"1st Email Follow-up","2nd Email Follow-up","Escalate Local Office","Escalate to CBE","Escalate to Roxanne"))</f>
        <v/>
      </c>
    </row>
    <row r="293" spans="18:26">
      <c r="R293" s="15"/>
      <c r="S293" s="16"/>
      <c r="T293" s="17">
        <f>IF(AND(COUNTA($A293:$K293)=0,$L293=""),"",IF($S293="Paid","PAID",IF($S293="Closed","CLOSED",IF($W293="","",IF($W293=6,"ESCALATED TO ROXANNE",IF(TODAY()&gt;$Y293,"OVERDUE",IF($Y293&lt;=WORKDAY(TODAY(),1,Holidays),"DUE TOMORROW",IF($W293=4,"ESCALATED TO LOCAL OFFICE",IF($W293=5,"ESCALATED TO CBE",IF($X293=TODAY(),"EMAIL SENT","MONITORING"))))))))))</f>
        <v/>
      </c>
      <c r="U293" s="17">
        <f>IF($T293="",IF(AND(COUNTA($A293:$K293)&gt;0,$L293=""),"Awaiting Collection Email time stamp.",""),IF(OR($T293="PAID",$T293="CLOSED"),IF($T293="PAID","Account paid. Action completed.","Account closed. No further action required."),CHOOSE($W293,"Collection Email","1st Email Follow-up","2nd Email Follow-up","Escalation to Local Office","Escalation to CBE","Escalation to Roxanne")&amp;" sent "&amp;TEXT($X293,"dd-mmm")&amp;". "&amp;IF($W293=6,"Final escalation completed.",IF($T293="OVERDUE","Next: "&amp;$Z293&amp;" was due "&amp;TEXT($Y293,"dd-mmm")&amp;" - "&amp;(NETWORKDAYS($Y293,TODAY(),Holidays)-1)&amp;" business day(s) late. Send now.",IF($T293="DUE TOMORROW","Next: "&amp;$Z293&amp;IF($Y293&lt;=TODAY()," is due TODAY ("," is due next business day (")&amp;TEXT($Y293,"dd-mmm")&amp;").","Next: "&amp;$Z293&amp;" due "&amp;TEXT($Y293,"dd-mmm")&amp;" ("&amp;(NETWORKDAYS(TODAY(),$Y293,Holidays)-1)&amp;" business day(s) left).")))))</f>
        <v/>
      </c>
      <c r="V293" s="17">
        <f>IF($W293="","",CHOOSE($W293,"Collection Email","1st Follow-up","2nd Follow-up","Local Office","CBE","Roxanne")&amp;IF($W293=6," - Final"," - Day "&amp;MAX(0,NETWORKDAYS($X293,TODAY(),Holidays)-1)&amp;" of "&amp;CHOOSE($W293,3,3,2,2,3))&amp;" | Total Day "&amp;MAX(0,NETWORKDAYS($L293,TODAY(),Holidays)-1))</f>
        <v/>
      </c>
      <c r="W293" s="17">
        <f>IF($L293="","",COUNT($L293:$Q293))</f>
        <v/>
      </c>
      <c r="X293" s="18">
        <f>IF($W293="","",INT(INDEX($L293:$Q293,$W293)))</f>
        <v/>
      </c>
      <c r="Y293" s="18">
        <f>IF(OR($W293="",$W293=6),"",WORKDAY($X293,CHOOSE($W293,3,3,2,2,3),Holidays))</f>
        <v/>
      </c>
      <c r="Z293" s="17">
        <f>IF(OR($W293="",$W293=6),"",CHOOSE($W293,"1st Email Follow-up","2nd Email Follow-up","Escalate Local Office","Escalate to CBE","Escalate to Roxanne"))</f>
        <v/>
      </c>
    </row>
    <row r="294" spans="18:26">
      <c r="R294" s="15"/>
      <c r="S294" s="16"/>
      <c r="T294" s="17">
        <f>IF(AND(COUNTA($A294:$K294)=0,$L294=""),"",IF($S294="Paid","PAID",IF($S294="Closed","CLOSED",IF($W294="","",IF($W294=6,"ESCALATED TO ROXANNE",IF(TODAY()&gt;$Y294,"OVERDUE",IF($Y294&lt;=WORKDAY(TODAY(),1,Holidays),"DUE TOMORROW",IF($W294=4,"ESCALATED TO LOCAL OFFICE",IF($W294=5,"ESCALATED TO CBE",IF($X294=TODAY(),"EMAIL SENT","MONITORING"))))))))))</f>
        <v/>
      </c>
      <c r="U294" s="17">
        <f>IF($T294="",IF(AND(COUNTA($A294:$K294)&gt;0,$L294=""),"Awaiting Collection Email time stamp.",""),IF(OR($T294="PAID",$T294="CLOSED"),IF($T294="PAID","Account paid. Action completed.","Account closed. No further action required."),CHOOSE($W294,"Collection Email","1st Email Follow-up","2nd Email Follow-up","Escalation to Local Office","Escalation to CBE","Escalation to Roxanne")&amp;" sent "&amp;TEXT($X294,"dd-mmm")&amp;". "&amp;IF($W294=6,"Final escalation completed.",IF($T294="OVERDUE","Next: "&amp;$Z294&amp;" was due "&amp;TEXT($Y294,"dd-mmm")&amp;" - "&amp;(NETWORKDAYS($Y294,TODAY(),Holidays)-1)&amp;" business day(s) late. Send now.",IF($T294="DUE TOMORROW","Next: "&amp;$Z294&amp;IF($Y294&lt;=TODAY()," is due TODAY ("," is due next business day (")&amp;TEXT($Y294,"dd-mmm")&amp;").","Next: "&amp;$Z294&amp;" due "&amp;TEXT($Y294,"dd-mmm")&amp;" ("&amp;(NETWORKDAYS(TODAY(),$Y294,Holidays)-1)&amp;" business day(s) left).")))))</f>
        <v/>
      </c>
      <c r="V294" s="17">
        <f>IF($W294="","",CHOOSE($W294,"Collection Email","1st Follow-up","2nd Follow-up","Local Office","CBE","Roxanne")&amp;IF($W294=6," - Final"," - Day "&amp;MAX(0,NETWORKDAYS($X294,TODAY(),Holidays)-1)&amp;" of "&amp;CHOOSE($W294,3,3,2,2,3))&amp;" | Total Day "&amp;MAX(0,NETWORKDAYS($L294,TODAY(),Holidays)-1))</f>
        <v/>
      </c>
      <c r="W294" s="17">
        <f>IF($L294="","",COUNT($L294:$Q294))</f>
        <v/>
      </c>
      <c r="X294" s="18">
        <f>IF($W294="","",INT(INDEX($L294:$Q294,$W294)))</f>
        <v/>
      </c>
      <c r="Y294" s="18">
        <f>IF(OR($W294="",$W294=6),"",WORKDAY($X294,CHOOSE($W294,3,3,2,2,3),Holidays))</f>
        <v/>
      </c>
      <c r="Z294" s="17">
        <f>IF(OR($W294="",$W294=6),"",CHOOSE($W294,"1st Email Follow-up","2nd Email Follow-up","Escalate Local Office","Escalate to CBE","Escalate to Roxanne"))</f>
        <v/>
      </c>
    </row>
    <row r="295" spans="18:26">
      <c r="R295" s="15"/>
      <c r="S295" s="16"/>
      <c r="T295" s="17">
        <f>IF(AND(COUNTA($A295:$K295)=0,$L295=""),"",IF($S295="Paid","PAID",IF($S295="Closed","CLOSED",IF($W295="","",IF($W295=6,"ESCALATED TO ROXANNE",IF(TODAY()&gt;$Y295,"OVERDUE",IF($Y295&lt;=WORKDAY(TODAY(),1,Holidays),"DUE TOMORROW",IF($W295=4,"ESCALATED TO LOCAL OFFICE",IF($W295=5,"ESCALATED TO CBE",IF($X295=TODAY(),"EMAIL SENT","MONITORING"))))))))))</f>
        <v/>
      </c>
      <c r="U295" s="17">
        <f>IF($T295="",IF(AND(COUNTA($A295:$K295)&gt;0,$L295=""),"Awaiting Collection Email time stamp.",""),IF(OR($T295="PAID",$T295="CLOSED"),IF($T295="PAID","Account paid. Action completed.","Account closed. No further action required."),CHOOSE($W295,"Collection Email","1st Email Follow-up","2nd Email Follow-up","Escalation to Local Office","Escalation to CBE","Escalation to Roxanne")&amp;" sent "&amp;TEXT($X295,"dd-mmm")&amp;". "&amp;IF($W295=6,"Final escalation completed.",IF($T295="OVERDUE","Next: "&amp;$Z295&amp;" was due "&amp;TEXT($Y295,"dd-mmm")&amp;" - "&amp;(NETWORKDAYS($Y295,TODAY(),Holidays)-1)&amp;" business day(s) late. Send now.",IF($T295="DUE TOMORROW","Next: "&amp;$Z295&amp;IF($Y295&lt;=TODAY()," is due TODAY ("," is due next business day (")&amp;TEXT($Y295,"dd-mmm")&amp;").","Next: "&amp;$Z295&amp;" due "&amp;TEXT($Y295,"dd-mmm")&amp;" ("&amp;(NETWORKDAYS(TODAY(),$Y295,Holidays)-1)&amp;" business day(s) left).")))))</f>
        <v/>
      </c>
      <c r="V295" s="17">
        <f>IF($W295="","",CHOOSE($W295,"Collection Email","1st Follow-up","2nd Follow-up","Local Office","CBE","Roxanne")&amp;IF($W295=6," - Final"," - Day "&amp;MAX(0,NETWORKDAYS($X295,TODAY(),Holidays)-1)&amp;" of "&amp;CHOOSE($W295,3,3,2,2,3))&amp;" | Total Day "&amp;MAX(0,NETWORKDAYS($L295,TODAY(),Holidays)-1))</f>
        <v/>
      </c>
      <c r="W295" s="17">
        <f>IF($L295="","",COUNT($L295:$Q295))</f>
        <v/>
      </c>
      <c r="X295" s="18">
        <f>IF($W295="","",INT(INDEX($L295:$Q295,$W295)))</f>
        <v/>
      </c>
      <c r="Y295" s="18">
        <f>IF(OR($W295="",$W295=6),"",WORKDAY($X295,CHOOSE($W295,3,3,2,2,3),Holidays))</f>
        <v/>
      </c>
      <c r="Z295" s="17">
        <f>IF(OR($W295="",$W295=6),"",CHOOSE($W295,"1st Email Follow-up","2nd Email Follow-up","Escalate Local Office","Escalate to CBE","Escalate to Roxanne"))</f>
        <v/>
      </c>
    </row>
    <row r="296" spans="18:26">
      <c r="R296" s="15"/>
      <c r="S296" s="16"/>
      <c r="T296" s="17">
        <f>IF(AND(COUNTA($A296:$K296)=0,$L296=""),"",IF($S296="Paid","PAID",IF($S296="Closed","CLOSED",IF($W296="","",IF($W296=6,"ESCALATED TO ROXANNE",IF(TODAY()&gt;$Y296,"OVERDUE",IF($Y296&lt;=WORKDAY(TODAY(),1,Holidays),"DUE TOMORROW",IF($W296=4,"ESCALATED TO LOCAL OFFICE",IF($W296=5,"ESCALATED TO CBE",IF($X296=TODAY(),"EMAIL SENT","MONITORING"))))))))))</f>
        <v/>
      </c>
      <c r="U296" s="17">
        <f>IF($T296="",IF(AND(COUNTA($A296:$K296)&gt;0,$L296=""),"Awaiting Collection Email time stamp.",""),IF(OR($T296="PAID",$T296="CLOSED"),IF($T296="PAID","Account paid. Action completed.","Account closed. No further action required."),CHOOSE($W296,"Collection Email","1st Email Follow-up","2nd Email Follow-up","Escalation to Local Office","Escalation to CBE","Escalation to Roxanne")&amp;" sent "&amp;TEXT($X296,"dd-mmm")&amp;". "&amp;IF($W296=6,"Final escalation completed.",IF($T296="OVERDUE","Next: "&amp;$Z296&amp;" was due "&amp;TEXT($Y296,"dd-mmm")&amp;" - "&amp;(NETWORKDAYS($Y296,TODAY(),Holidays)-1)&amp;" business day(s) late. Send now.",IF($T296="DUE TOMORROW","Next: "&amp;$Z296&amp;IF($Y296&lt;=TODAY()," is due TODAY ("," is due next business day (")&amp;TEXT($Y296,"dd-mmm")&amp;").","Next: "&amp;$Z296&amp;" due "&amp;TEXT($Y296,"dd-mmm")&amp;" ("&amp;(NETWORKDAYS(TODAY(),$Y296,Holidays)-1)&amp;" business day(s) left).")))))</f>
        <v/>
      </c>
      <c r="V296" s="17">
        <f>IF($W296="","",CHOOSE($W296,"Collection Email","1st Follow-up","2nd Follow-up","Local Office","CBE","Roxanne")&amp;IF($W296=6," - Final"," - Day "&amp;MAX(0,NETWORKDAYS($X296,TODAY(),Holidays)-1)&amp;" of "&amp;CHOOSE($W296,3,3,2,2,3))&amp;" | Total Day "&amp;MAX(0,NETWORKDAYS($L296,TODAY(),Holidays)-1))</f>
        <v/>
      </c>
      <c r="W296" s="17">
        <f>IF($L296="","",COUNT($L296:$Q296))</f>
        <v/>
      </c>
      <c r="X296" s="18">
        <f>IF($W296="","",INT(INDEX($L296:$Q296,$W296)))</f>
        <v/>
      </c>
      <c r="Y296" s="18">
        <f>IF(OR($W296="",$W296=6),"",WORKDAY($X296,CHOOSE($W296,3,3,2,2,3),Holidays))</f>
        <v/>
      </c>
      <c r="Z296" s="17">
        <f>IF(OR($W296="",$W296=6),"",CHOOSE($W296,"1st Email Follow-up","2nd Email Follow-up","Escalate Local Office","Escalate to CBE","Escalate to Roxanne"))</f>
        <v/>
      </c>
    </row>
    <row r="297" spans="18:26">
      <c r="R297" s="15"/>
      <c r="S297" s="16"/>
      <c r="T297" s="17">
        <f>IF(AND(COUNTA($A297:$K297)=0,$L297=""),"",IF($S297="Paid","PAID",IF($S297="Closed","CLOSED",IF($W297="","",IF($W297=6,"ESCALATED TO ROXANNE",IF(TODAY()&gt;$Y297,"OVERDUE",IF($Y297&lt;=WORKDAY(TODAY(),1,Holidays),"DUE TOMORROW",IF($W297=4,"ESCALATED TO LOCAL OFFICE",IF($W297=5,"ESCALATED TO CBE",IF($X297=TODAY(),"EMAIL SENT","MONITORING"))))))))))</f>
        <v/>
      </c>
      <c r="U297" s="17">
        <f>IF($T297="",IF(AND(COUNTA($A297:$K297)&gt;0,$L297=""),"Awaiting Collection Email time stamp.",""),IF(OR($T297="PAID",$T297="CLOSED"),IF($T297="PAID","Account paid. Action completed.","Account closed. No further action required."),CHOOSE($W297,"Collection Email","1st Email Follow-up","2nd Email Follow-up","Escalation to Local Office","Escalation to CBE","Escalation to Roxanne")&amp;" sent "&amp;TEXT($X297,"dd-mmm")&amp;". "&amp;IF($W297=6,"Final escalation completed.",IF($T297="OVERDUE","Next: "&amp;$Z297&amp;" was due "&amp;TEXT($Y297,"dd-mmm")&amp;" - "&amp;(NETWORKDAYS($Y297,TODAY(),Holidays)-1)&amp;" business day(s) late. Send now.",IF($T297="DUE TOMORROW","Next: "&amp;$Z297&amp;IF($Y297&lt;=TODAY()," is due TODAY ("," is due next business day (")&amp;TEXT($Y297,"dd-mmm")&amp;").","Next: "&amp;$Z297&amp;" due "&amp;TEXT($Y297,"dd-mmm")&amp;" ("&amp;(NETWORKDAYS(TODAY(),$Y297,Holidays)-1)&amp;" business day(s) left).")))))</f>
        <v/>
      </c>
      <c r="V297" s="17">
        <f>IF($W297="","",CHOOSE($W297,"Collection Email","1st Follow-up","2nd Follow-up","Local Office","CBE","Roxanne")&amp;IF($W297=6," - Final"," - Day "&amp;MAX(0,NETWORKDAYS($X297,TODAY(),Holidays)-1)&amp;" of "&amp;CHOOSE($W297,3,3,2,2,3))&amp;" | Total Day "&amp;MAX(0,NETWORKDAYS($L297,TODAY(),Holidays)-1))</f>
        <v/>
      </c>
      <c r="W297" s="17">
        <f>IF($L297="","",COUNT($L297:$Q297))</f>
        <v/>
      </c>
      <c r="X297" s="18">
        <f>IF($W297="","",INT(INDEX($L297:$Q297,$W297)))</f>
        <v/>
      </c>
      <c r="Y297" s="18">
        <f>IF(OR($W297="",$W297=6),"",WORKDAY($X297,CHOOSE($W297,3,3,2,2,3),Holidays))</f>
        <v/>
      </c>
      <c r="Z297" s="17">
        <f>IF(OR($W297="",$W297=6),"",CHOOSE($W297,"1st Email Follow-up","2nd Email Follow-up","Escalate Local Office","Escalate to CBE","Escalate to Roxanne"))</f>
        <v/>
      </c>
    </row>
    <row r="298" spans="18:26">
      <c r="R298" s="15"/>
      <c r="S298" s="16"/>
      <c r="T298" s="17">
        <f>IF(AND(COUNTA($A298:$K298)=0,$L298=""),"",IF($S298="Paid","PAID",IF($S298="Closed","CLOSED",IF($W298="","",IF($W298=6,"ESCALATED TO ROXANNE",IF(TODAY()&gt;$Y298,"OVERDUE",IF($Y298&lt;=WORKDAY(TODAY(),1,Holidays),"DUE TOMORROW",IF($W298=4,"ESCALATED TO LOCAL OFFICE",IF($W298=5,"ESCALATED TO CBE",IF($X298=TODAY(),"EMAIL SENT","MONITORING"))))))))))</f>
        <v/>
      </c>
      <c r="U298" s="17">
        <f>IF($T298="",IF(AND(COUNTA($A298:$K298)&gt;0,$L298=""),"Awaiting Collection Email time stamp.",""),IF(OR($T298="PAID",$T298="CLOSED"),IF($T298="PAID","Account paid. Action completed.","Account closed. No further action required."),CHOOSE($W298,"Collection Email","1st Email Follow-up","2nd Email Follow-up","Escalation to Local Office","Escalation to CBE","Escalation to Roxanne")&amp;" sent "&amp;TEXT($X298,"dd-mmm")&amp;". "&amp;IF($W298=6,"Final escalation completed.",IF($T298="OVERDUE","Next: "&amp;$Z298&amp;" was due "&amp;TEXT($Y298,"dd-mmm")&amp;" - "&amp;(NETWORKDAYS($Y298,TODAY(),Holidays)-1)&amp;" business day(s) late. Send now.",IF($T298="DUE TOMORROW","Next: "&amp;$Z298&amp;IF($Y298&lt;=TODAY()," is due TODAY ("," is due next business day (")&amp;TEXT($Y298,"dd-mmm")&amp;").","Next: "&amp;$Z298&amp;" due "&amp;TEXT($Y298,"dd-mmm")&amp;" ("&amp;(NETWORKDAYS(TODAY(),$Y298,Holidays)-1)&amp;" business day(s) left).")))))</f>
        <v/>
      </c>
      <c r="V298" s="17">
        <f>IF($W298="","",CHOOSE($W298,"Collection Email","1st Follow-up","2nd Follow-up","Local Office","CBE","Roxanne")&amp;IF($W298=6," - Final"," - Day "&amp;MAX(0,NETWORKDAYS($X298,TODAY(),Holidays)-1)&amp;" of "&amp;CHOOSE($W298,3,3,2,2,3))&amp;" | Total Day "&amp;MAX(0,NETWORKDAYS($L298,TODAY(),Holidays)-1))</f>
        <v/>
      </c>
      <c r="W298" s="17">
        <f>IF($L298="","",COUNT($L298:$Q298))</f>
        <v/>
      </c>
      <c r="X298" s="18">
        <f>IF($W298="","",INT(INDEX($L298:$Q298,$W298)))</f>
        <v/>
      </c>
      <c r="Y298" s="18">
        <f>IF(OR($W298="",$W298=6),"",WORKDAY($X298,CHOOSE($W298,3,3,2,2,3),Holidays))</f>
        <v/>
      </c>
      <c r="Z298" s="17">
        <f>IF(OR($W298="",$W298=6),"",CHOOSE($W298,"1st Email Follow-up","2nd Email Follow-up","Escalate Local Office","Escalate to CBE","Escalate to Roxanne"))</f>
        <v/>
      </c>
    </row>
    <row r="299" spans="18:26">
      <c r="R299" s="15"/>
      <c r="S299" s="16"/>
      <c r="T299" s="17">
        <f>IF(AND(COUNTA($A299:$K299)=0,$L299=""),"",IF($S299="Paid","PAID",IF($S299="Closed","CLOSED",IF($W299="","",IF($W299=6,"ESCALATED TO ROXANNE",IF(TODAY()&gt;$Y299,"OVERDUE",IF($Y299&lt;=WORKDAY(TODAY(),1,Holidays),"DUE TOMORROW",IF($W299=4,"ESCALATED TO LOCAL OFFICE",IF($W299=5,"ESCALATED TO CBE",IF($X299=TODAY(),"EMAIL SENT","MONITORING"))))))))))</f>
        <v/>
      </c>
      <c r="U299" s="17">
        <f>IF($T299="",IF(AND(COUNTA($A299:$K299)&gt;0,$L299=""),"Awaiting Collection Email time stamp.",""),IF(OR($T299="PAID",$T299="CLOSED"),IF($T299="PAID","Account paid. Action completed.","Account closed. No further action required."),CHOOSE($W299,"Collection Email","1st Email Follow-up","2nd Email Follow-up","Escalation to Local Office","Escalation to CBE","Escalation to Roxanne")&amp;" sent "&amp;TEXT($X299,"dd-mmm")&amp;". "&amp;IF($W299=6,"Final escalation completed.",IF($T299="OVERDUE","Next: "&amp;$Z299&amp;" was due "&amp;TEXT($Y299,"dd-mmm")&amp;" - "&amp;(NETWORKDAYS($Y299,TODAY(),Holidays)-1)&amp;" business day(s) late. Send now.",IF($T299="DUE TOMORROW","Next: "&amp;$Z299&amp;IF($Y299&lt;=TODAY()," is due TODAY ("," is due next business day (")&amp;TEXT($Y299,"dd-mmm")&amp;").","Next: "&amp;$Z299&amp;" due "&amp;TEXT($Y299,"dd-mmm")&amp;" ("&amp;(NETWORKDAYS(TODAY(),$Y299,Holidays)-1)&amp;" business day(s) left).")))))</f>
        <v/>
      </c>
      <c r="V299" s="17">
        <f>IF($W299="","",CHOOSE($W299,"Collection Email","1st Follow-up","2nd Follow-up","Local Office","CBE","Roxanne")&amp;IF($W299=6," - Final"," - Day "&amp;MAX(0,NETWORKDAYS($X299,TODAY(),Holidays)-1)&amp;" of "&amp;CHOOSE($W299,3,3,2,2,3))&amp;" | Total Day "&amp;MAX(0,NETWORKDAYS($L299,TODAY(),Holidays)-1))</f>
        <v/>
      </c>
      <c r="W299" s="17">
        <f>IF($L299="","",COUNT($L299:$Q299))</f>
        <v/>
      </c>
      <c r="X299" s="18">
        <f>IF($W299="","",INT(INDEX($L299:$Q299,$W299)))</f>
        <v/>
      </c>
      <c r="Y299" s="18">
        <f>IF(OR($W299="",$W299=6),"",WORKDAY($X299,CHOOSE($W299,3,3,2,2,3),Holidays))</f>
        <v/>
      </c>
      <c r="Z299" s="17">
        <f>IF(OR($W299="",$W299=6),"",CHOOSE($W299,"1st Email Follow-up","2nd Email Follow-up","Escalate Local Office","Escalate to CBE","Escalate to Roxanne"))</f>
        <v/>
      </c>
    </row>
    <row r="300" spans="18:26">
      <c r="R300" s="15"/>
      <c r="S300" s="16"/>
      <c r="T300" s="17">
        <f>IF(AND(COUNTA($A300:$K300)=0,$L300=""),"",IF($S300="Paid","PAID",IF($S300="Closed","CLOSED",IF($W300="","",IF($W300=6,"ESCALATED TO ROXANNE",IF(TODAY()&gt;$Y300,"OVERDUE",IF($Y300&lt;=WORKDAY(TODAY(),1,Holidays),"DUE TOMORROW",IF($W300=4,"ESCALATED TO LOCAL OFFICE",IF($W300=5,"ESCALATED TO CBE",IF($X300=TODAY(),"EMAIL SENT","MONITORING"))))))))))</f>
        <v/>
      </c>
      <c r="U300" s="17">
        <f>IF($T300="",IF(AND(COUNTA($A300:$K300)&gt;0,$L300=""),"Awaiting Collection Email time stamp.",""),IF(OR($T300="PAID",$T300="CLOSED"),IF($T300="PAID","Account paid. Action completed.","Account closed. No further action required."),CHOOSE($W300,"Collection Email","1st Email Follow-up","2nd Email Follow-up","Escalation to Local Office","Escalation to CBE","Escalation to Roxanne")&amp;" sent "&amp;TEXT($X300,"dd-mmm")&amp;". "&amp;IF($W300=6,"Final escalation completed.",IF($T300="OVERDUE","Next: "&amp;$Z300&amp;" was due "&amp;TEXT($Y300,"dd-mmm")&amp;" - "&amp;(NETWORKDAYS($Y300,TODAY(),Holidays)-1)&amp;" business day(s) late. Send now.",IF($T300="DUE TOMORROW","Next: "&amp;$Z300&amp;IF($Y300&lt;=TODAY()," is due TODAY ("," is due next business day (")&amp;TEXT($Y300,"dd-mmm")&amp;").","Next: "&amp;$Z300&amp;" due "&amp;TEXT($Y300,"dd-mmm")&amp;" ("&amp;(NETWORKDAYS(TODAY(),$Y300,Holidays)-1)&amp;" business day(s) left).")))))</f>
        <v/>
      </c>
      <c r="V300" s="17">
        <f>IF($W300="","",CHOOSE($W300,"Collection Email","1st Follow-up","2nd Follow-up","Local Office","CBE","Roxanne")&amp;IF($W300=6," - Final"," - Day "&amp;MAX(0,NETWORKDAYS($X300,TODAY(),Holidays)-1)&amp;" of "&amp;CHOOSE($W300,3,3,2,2,3))&amp;" | Total Day "&amp;MAX(0,NETWORKDAYS($L300,TODAY(),Holidays)-1))</f>
        <v/>
      </c>
      <c r="W300" s="17">
        <f>IF($L300="","",COUNT($L300:$Q300))</f>
        <v/>
      </c>
      <c r="X300" s="18">
        <f>IF($W300="","",INT(INDEX($L300:$Q300,$W300)))</f>
        <v/>
      </c>
      <c r="Y300" s="18">
        <f>IF(OR($W300="",$W300=6),"",WORKDAY($X300,CHOOSE($W300,3,3,2,2,3),Holidays))</f>
        <v/>
      </c>
      <c r="Z300" s="17">
        <f>IF(OR($W300="",$W300=6),"",CHOOSE($W300,"1st Email Follow-up","2nd Email Follow-up","Escalate Local Office","Escalate to CBE","Escalate to Roxanne"))</f>
        <v/>
      </c>
    </row>
    <row r="301" spans="18:26">
      <c r="R301" s="15"/>
      <c r="S301" s="16"/>
      <c r="T301" s="17">
        <f>IF(AND(COUNTA($A301:$K301)=0,$L301=""),"",IF($S301="Paid","PAID",IF($S301="Closed","CLOSED",IF($W301="","",IF($W301=6,"ESCALATED TO ROXANNE",IF(TODAY()&gt;$Y301,"OVERDUE",IF($Y301&lt;=WORKDAY(TODAY(),1,Holidays),"DUE TOMORROW",IF($W301=4,"ESCALATED TO LOCAL OFFICE",IF($W301=5,"ESCALATED TO CBE",IF($X301=TODAY(),"EMAIL SENT","MONITORING"))))))))))</f>
        <v/>
      </c>
      <c r="U301" s="17">
        <f>IF($T301="",IF(AND(COUNTA($A301:$K301)&gt;0,$L301=""),"Awaiting Collection Email time stamp.",""),IF(OR($T301="PAID",$T301="CLOSED"),IF($T301="PAID","Account paid. Action completed.","Account closed. No further action required."),CHOOSE($W301,"Collection Email","1st Email Follow-up","2nd Email Follow-up","Escalation to Local Office","Escalation to CBE","Escalation to Roxanne")&amp;" sent "&amp;TEXT($X301,"dd-mmm")&amp;". "&amp;IF($W301=6,"Final escalation completed.",IF($T301="OVERDUE","Next: "&amp;$Z301&amp;" was due "&amp;TEXT($Y301,"dd-mmm")&amp;" - "&amp;(NETWORKDAYS($Y301,TODAY(),Holidays)-1)&amp;" business day(s) late. Send now.",IF($T301="DUE TOMORROW","Next: "&amp;$Z301&amp;IF($Y301&lt;=TODAY()," is due TODAY ("," is due next business day (")&amp;TEXT($Y301,"dd-mmm")&amp;").","Next: "&amp;$Z301&amp;" due "&amp;TEXT($Y301,"dd-mmm")&amp;" ("&amp;(NETWORKDAYS(TODAY(),$Y301,Holidays)-1)&amp;" business day(s) left).")))))</f>
        <v/>
      </c>
      <c r="V301" s="17">
        <f>IF($W301="","",CHOOSE($W301,"Collection Email","1st Follow-up","2nd Follow-up","Local Office","CBE","Roxanne")&amp;IF($W301=6," - Final"," - Day "&amp;MAX(0,NETWORKDAYS($X301,TODAY(),Holidays)-1)&amp;" of "&amp;CHOOSE($W301,3,3,2,2,3))&amp;" | Total Day "&amp;MAX(0,NETWORKDAYS($L301,TODAY(),Holidays)-1))</f>
        <v/>
      </c>
      <c r="W301" s="17">
        <f>IF($L301="","",COUNT($L301:$Q301))</f>
        <v/>
      </c>
      <c r="X301" s="18">
        <f>IF($W301="","",INT(INDEX($L301:$Q301,$W301)))</f>
        <v/>
      </c>
      <c r="Y301" s="18">
        <f>IF(OR($W301="",$W301=6),"",WORKDAY($X301,CHOOSE($W301,3,3,2,2,3),Holidays))</f>
        <v/>
      </c>
      <c r="Z301" s="17">
        <f>IF(OR($W301="",$W301=6),"",CHOOSE($W301,"1st Email Follow-up","2nd Email Follow-up","Escalate Local Office","Escalate to CBE","Escalate to Roxanne"))</f>
        <v/>
      </c>
    </row>
    <row r="302" spans="18:26">
      <c r="R302" s="15"/>
      <c r="S302" s="16"/>
      <c r="T302" s="17">
        <f>IF(AND(COUNTA($A302:$K302)=0,$L302=""),"",IF($S302="Paid","PAID",IF($S302="Closed","CLOSED",IF($W302="","",IF($W302=6,"ESCALATED TO ROXANNE",IF(TODAY()&gt;$Y302,"OVERDUE",IF($Y302&lt;=WORKDAY(TODAY(),1,Holidays),"DUE TOMORROW",IF($W302=4,"ESCALATED TO LOCAL OFFICE",IF($W302=5,"ESCALATED TO CBE",IF($X302=TODAY(),"EMAIL SENT","MONITORING"))))))))))</f>
        <v/>
      </c>
      <c r="U302" s="17">
        <f>IF($T302="",IF(AND(COUNTA($A302:$K302)&gt;0,$L302=""),"Awaiting Collection Email time stamp.",""),IF(OR($T302="PAID",$T302="CLOSED"),IF($T302="PAID","Account paid. Action completed.","Account closed. No further action required."),CHOOSE($W302,"Collection Email","1st Email Follow-up","2nd Email Follow-up","Escalation to Local Office","Escalation to CBE","Escalation to Roxanne")&amp;" sent "&amp;TEXT($X302,"dd-mmm")&amp;". "&amp;IF($W302=6,"Final escalation completed.",IF($T302="OVERDUE","Next: "&amp;$Z302&amp;" was due "&amp;TEXT($Y302,"dd-mmm")&amp;" - "&amp;(NETWORKDAYS($Y302,TODAY(),Holidays)-1)&amp;" business day(s) late. Send now.",IF($T302="DUE TOMORROW","Next: "&amp;$Z302&amp;IF($Y302&lt;=TODAY()," is due TODAY ("," is due next business day (")&amp;TEXT($Y302,"dd-mmm")&amp;").","Next: "&amp;$Z302&amp;" due "&amp;TEXT($Y302,"dd-mmm")&amp;" ("&amp;(NETWORKDAYS(TODAY(),$Y302,Holidays)-1)&amp;" business day(s) left).")))))</f>
        <v/>
      </c>
      <c r="V302" s="17">
        <f>IF($W302="","",CHOOSE($W302,"Collection Email","1st Follow-up","2nd Follow-up","Local Office","CBE","Roxanne")&amp;IF($W302=6," - Final"," - Day "&amp;MAX(0,NETWORKDAYS($X302,TODAY(),Holidays)-1)&amp;" of "&amp;CHOOSE($W302,3,3,2,2,3))&amp;" | Total Day "&amp;MAX(0,NETWORKDAYS($L302,TODAY(),Holidays)-1))</f>
        <v/>
      </c>
      <c r="W302" s="17">
        <f>IF($L302="","",COUNT($L302:$Q302))</f>
        <v/>
      </c>
      <c r="X302" s="18">
        <f>IF($W302="","",INT(INDEX($L302:$Q302,$W302)))</f>
        <v/>
      </c>
      <c r="Y302" s="18">
        <f>IF(OR($W302="",$W302=6),"",WORKDAY($X302,CHOOSE($W302,3,3,2,2,3),Holidays))</f>
        <v/>
      </c>
      <c r="Z302" s="17">
        <f>IF(OR($W302="",$W302=6),"",CHOOSE($W302,"1st Email Follow-up","2nd Email Follow-up","Escalate Local Office","Escalate to CBE","Escalate to Roxanne"))</f>
        <v/>
      </c>
    </row>
    <row r="303" spans="18:26">
      <c r="R303" s="15"/>
      <c r="S303" s="16"/>
      <c r="T303" s="17">
        <f>IF(AND(COUNTA($A303:$K303)=0,$L303=""),"",IF($S303="Paid","PAID",IF($S303="Closed","CLOSED",IF($W303="","",IF($W303=6,"ESCALATED TO ROXANNE",IF(TODAY()&gt;$Y303,"OVERDUE",IF($Y303&lt;=WORKDAY(TODAY(),1,Holidays),"DUE TOMORROW",IF($W303=4,"ESCALATED TO LOCAL OFFICE",IF($W303=5,"ESCALATED TO CBE",IF($X303=TODAY(),"EMAIL SENT","MONITORING"))))))))))</f>
        <v/>
      </c>
      <c r="U303" s="17">
        <f>IF($T303="",IF(AND(COUNTA($A303:$K303)&gt;0,$L303=""),"Awaiting Collection Email time stamp.",""),IF(OR($T303="PAID",$T303="CLOSED"),IF($T303="PAID","Account paid. Action completed.","Account closed. No further action required."),CHOOSE($W303,"Collection Email","1st Email Follow-up","2nd Email Follow-up","Escalation to Local Office","Escalation to CBE","Escalation to Roxanne")&amp;" sent "&amp;TEXT($X303,"dd-mmm")&amp;". "&amp;IF($W303=6,"Final escalation completed.",IF($T303="OVERDUE","Next: "&amp;$Z303&amp;" was due "&amp;TEXT($Y303,"dd-mmm")&amp;" - "&amp;(NETWORKDAYS($Y303,TODAY(),Holidays)-1)&amp;" business day(s) late. Send now.",IF($T303="DUE TOMORROW","Next: "&amp;$Z303&amp;IF($Y303&lt;=TODAY()," is due TODAY ("," is due next business day (")&amp;TEXT($Y303,"dd-mmm")&amp;").","Next: "&amp;$Z303&amp;" due "&amp;TEXT($Y303,"dd-mmm")&amp;" ("&amp;(NETWORKDAYS(TODAY(),$Y303,Holidays)-1)&amp;" business day(s) left).")))))</f>
        <v/>
      </c>
      <c r="V303" s="17">
        <f>IF($W303="","",CHOOSE($W303,"Collection Email","1st Follow-up","2nd Follow-up","Local Office","CBE","Roxanne")&amp;IF($W303=6," - Final"," - Day "&amp;MAX(0,NETWORKDAYS($X303,TODAY(),Holidays)-1)&amp;" of "&amp;CHOOSE($W303,3,3,2,2,3))&amp;" | Total Day "&amp;MAX(0,NETWORKDAYS($L303,TODAY(),Holidays)-1))</f>
        <v/>
      </c>
      <c r="W303" s="17">
        <f>IF($L303="","",COUNT($L303:$Q303))</f>
        <v/>
      </c>
      <c r="X303" s="18">
        <f>IF($W303="","",INT(INDEX($L303:$Q303,$W303)))</f>
        <v/>
      </c>
      <c r="Y303" s="18">
        <f>IF(OR($W303="",$W303=6),"",WORKDAY($X303,CHOOSE($W303,3,3,2,2,3),Holidays))</f>
        <v/>
      </c>
      <c r="Z303" s="17">
        <f>IF(OR($W303="",$W303=6),"",CHOOSE($W303,"1st Email Follow-up","2nd Email Follow-up","Escalate Local Office","Escalate to CBE","Escalate to Roxanne"))</f>
        <v/>
      </c>
    </row>
    <row r="304" spans="18:26">
      <c r="R304" s="15"/>
      <c r="S304" s="16"/>
      <c r="T304" s="17">
        <f>IF(AND(COUNTA($A304:$K304)=0,$L304=""),"",IF($S304="Paid","PAID",IF($S304="Closed","CLOSED",IF($W304="","",IF($W304=6,"ESCALATED TO ROXANNE",IF(TODAY()&gt;$Y304,"OVERDUE",IF($Y304&lt;=WORKDAY(TODAY(),1,Holidays),"DUE TOMORROW",IF($W304=4,"ESCALATED TO LOCAL OFFICE",IF($W304=5,"ESCALATED TO CBE",IF($X304=TODAY(),"EMAIL SENT","MONITORING"))))))))))</f>
        <v/>
      </c>
      <c r="U304" s="17">
        <f>IF($T304="",IF(AND(COUNTA($A304:$K304)&gt;0,$L304=""),"Awaiting Collection Email time stamp.",""),IF(OR($T304="PAID",$T304="CLOSED"),IF($T304="PAID","Account paid. Action completed.","Account closed. No further action required."),CHOOSE($W304,"Collection Email","1st Email Follow-up","2nd Email Follow-up","Escalation to Local Office","Escalation to CBE","Escalation to Roxanne")&amp;" sent "&amp;TEXT($X304,"dd-mmm")&amp;". "&amp;IF($W304=6,"Final escalation completed.",IF($T304="OVERDUE","Next: "&amp;$Z304&amp;" was due "&amp;TEXT($Y304,"dd-mmm")&amp;" - "&amp;(NETWORKDAYS($Y304,TODAY(),Holidays)-1)&amp;" business day(s) late. Send now.",IF($T304="DUE TOMORROW","Next: "&amp;$Z304&amp;IF($Y304&lt;=TODAY()," is due TODAY ("," is due next business day (")&amp;TEXT($Y304,"dd-mmm")&amp;").","Next: "&amp;$Z304&amp;" due "&amp;TEXT($Y304,"dd-mmm")&amp;" ("&amp;(NETWORKDAYS(TODAY(),$Y304,Holidays)-1)&amp;" business day(s) left).")))))</f>
        <v/>
      </c>
      <c r="V304" s="17">
        <f>IF($W304="","",CHOOSE($W304,"Collection Email","1st Follow-up","2nd Follow-up","Local Office","CBE","Roxanne")&amp;IF($W304=6," - Final"," - Day "&amp;MAX(0,NETWORKDAYS($X304,TODAY(),Holidays)-1)&amp;" of "&amp;CHOOSE($W304,3,3,2,2,3))&amp;" | Total Day "&amp;MAX(0,NETWORKDAYS($L304,TODAY(),Holidays)-1))</f>
        <v/>
      </c>
      <c r="W304" s="17">
        <f>IF($L304="","",COUNT($L304:$Q304))</f>
        <v/>
      </c>
      <c r="X304" s="18">
        <f>IF($W304="","",INT(INDEX($L304:$Q304,$W304)))</f>
        <v/>
      </c>
      <c r="Y304" s="18">
        <f>IF(OR($W304="",$W304=6),"",WORKDAY($X304,CHOOSE($W304,3,3,2,2,3),Holidays))</f>
        <v/>
      </c>
      <c r="Z304" s="17">
        <f>IF(OR($W304="",$W304=6),"",CHOOSE($W304,"1st Email Follow-up","2nd Email Follow-up","Escalate Local Office","Escalate to CBE","Escalate to Roxanne"))</f>
        <v/>
      </c>
    </row>
    <row r="305" spans="18:26">
      <c r="R305" s="15"/>
      <c r="S305" s="16"/>
      <c r="T305" s="17">
        <f>IF(AND(COUNTA($A305:$K305)=0,$L305=""),"",IF($S305="Paid","PAID",IF($S305="Closed","CLOSED",IF($W305="","",IF($W305=6,"ESCALATED TO ROXANNE",IF(TODAY()&gt;$Y305,"OVERDUE",IF($Y305&lt;=WORKDAY(TODAY(),1,Holidays),"DUE TOMORROW",IF($W305=4,"ESCALATED TO LOCAL OFFICE",IF($W305=5,"ESCALATED TO CBE",IF($X305=TODAY(),"EMAIL SENT","MONITORING"))))))))))</f>
        <v/>
      </c>
      <c r="U305" s="17">
        <f>IF($T305="",IF(AND(COUNTA($A305:$K305)&gt;0,$L305=""),"Awaiting Collection Email time stamp.",""),IF(OR($T305="PAID",$T305="CLOSED"),IF($T305="PAID","Account paid. Action completed.","Account closed. No further action required."),CHOOSE($W305,"Collection Email","1st Email Follow-up","2nd Email Follow-up","Escalation to Local Office","Escalation to CBE","Escalation to Roxanne")&amp;" sent "&amp;TEXT($X305,"dd-mmm")&amp;". "&amp;IF($W305=6,"Final escalation completed.",IF($T305="OVERDUE","Next: "&amp;$Z305&amp;" was due "&amp;TEXT($Y305,"dd-mmm")&amp;" - "&amp;(NETWORKDAYS($Y305,TODAY(),Holidays)-1)&amp;" business day(s) late. Send now.",IF($T305="DUE TOMORROW","Next: "&amp;$Z305&amp;IF($Y305&lt;=TODAY()," is due TODAY ("," is due next business day (")&amp;TEXT($Y305,"dd-mmm")&amp;").","Next: "&amp;$Z305&amp;" due "&amp;TEXT($Y305,"dd-mmm")&amp;" ("&amp;(NETWORKDAYS(TODAY(),$Y305,Holidays)-1)&amp;" business day(s) left).")))))</f>
        <v/>
      </c>
      <c r="V305" s="17">
        <f>IF($W305="","",CHOOSE($W305,"Collection Email","1st Follow-up","2nd Follow-up","Local Office","CBE","Roxanne")&amp;IF($W305=6," - Final"," - Day "&amp;MAX(0,NETWORKDAYS($X305,TODAY(),Holidays)-1)&amp;" of "&amp;CHOOSE($W305,3,3,2,2,3))&amp;" | Total Day "&amp;MAX(0,NETWORKDAYS($L305,TODAY(),Holidays)-1))</f>
        <v/>
      </c>
      <c r="W305" s="17">
        <f>IF($L305="","",COUNT($L305:$Q305))</f>
        <v/>
      </c>
      <c r="X305" s="18">
        <f>IF($W305="","",INT(INDEX($L305:$Q305,$W305)))</f>
        <v/>
      </c>
      <c r="Y305" s="18">
        <f>IF(OR($W305="",$W305=6),"",WORKDAY($X305,CHOOSE($W305,3,3,2,2,3),Holidays))</f>
        <v/>
      </c>
      <c r="Z305" s="17">
        <f>IF(OR($W305="",$W305=6),"",CHOOSE($W305,"1st Email Follow-up","2nd Email Follow-up","Escalate Local Office","Escalate to CBE","Escalate to Roxanne"))</f>
        <v/>
      </c>
    </row>
    <row r="306" spans="18:26">
      <c r="R306" s="15"/>
      <c r="S306" s="16"/>
      <c r="T306" s="17">
        <f>IF(AND(COUNTA($A306:$K306)=0,$L306=""),"",IF($S306="Paid","PAID",IF($S306="Closed","CLOSED",IF($W306="","",IF($W306=6,"ESCALATED TO ROXANNE",IF(TODAY()&gt;$Y306,"OVERDUE",IF($Y306&lt;=WORKDAY(TODAY(),1,Holidays),"DUE TOMORROW",IF($W306=4,"ESCALATED TO LOCAL OFFICE",IF($W306=5,"ESCALATED TO CBE",IF($X306=TODAY(),"EMAIL SENT","MONITORING"))))))))))</f>
        <v/>
      </c>
      <c r="U306" s="17">
        <f>IF($T306="",IF(AND(COUNTA($A306:$K306)&gt;0,$L306=""),"Awaiting Collection Email time stamp.",""),IF(OR($T306="PAID",$T306="CLOSED"),IF($T306="PAID","Account paid. Action completed.","Account closed. No further action required."),CHOOSE($W306,"Collection Email","1st Email Follow-up","2nd Email Follow-up","Escalation to Local Office","Escalation to CBE","Escalation to Roxanne")&amp;" sent "&amp;TEXT($X306,"dd-mmm")&amp;". "&amp;IF($W306=6,"Final escalation completed.",IF($T306="OVERDUE","Next: "&amp;$Z306&amp;" was due "&amp;TEXT($Y306,"dd-mmm")&amp;" - "&amp;(NETWORKDAYS($Y306,TODAY(),Holidays)-1)&amp;" business day(s) late. Send now.",IF($T306="DUE TOMORROW","Next: "&amp;$Z306&amp;IF($Y306&lt;=TODAY()," is due TODAY ("," is due next business day (")&amp;TEXT($Y306,"dd-mmm")&amp;").","Next: "&amp;$Z306&amp;" due "&amp;TEXT($Y306,"dd-mmm")&amp;" ("&amp;(NETWORKDAYS(TODAY(),$Y306,Holidays)-1)&amp;" business day(s) left).")))))</f>
        <v/>
      </c>
      <c r="V306" s="17">
        <f>IF($W306="","",CHOOSE($W306,"Collection Email","1st Follow-up","2nd Follow-up","Local Office","CBE","Roxanne")&amp;IF($W306=6," - Final"," - Day "&amp;MAX(0,NETWORKDAYS($X306,TODAY(),Holidays)-1)&amp;" of "&amp;CHOOSE($W306,3,3,2,2,3))&amp;" | Total Day "&amp;MAX(0,NETWORKDAYS($L306,TODAY(),Holidays)-1))</f>
        <v/>
      </c>
      <c r="W306" s="17">
        <f>IF($L306="","",COUNT($L306:$Q306))</f>
        <v/>
      </c>
      <c r="X306" s="18">
        <f>IF($W306="","",INT(INDEX($L306:$Q306,$W306)))</f>
        <v/>
      </c>
      <c r="Y306" s="18">
        <f>IF(OR($W306="",$W306=6),"",WORKDAY($X306,CHOOSE($W306,3,3,2,2,3),Holidays))</f>
        <v/>
      </c>
      <c r="Z306" s="17">
        <f>IF(OR($W306="",$W306=6),"",CHOOSE($W306,"1st Email Follow-up","2nd Email Follow-up","Escalate Local Office","Escalate to CBE","Escalate to Roxanne"))</f>
        <v/>
      </c>
    </row>
    <row r="307" spans="18:26">
      <c r="R307" s="15"/>
      <c r="S307" s="16"/>
      <c r="T307" s="17">
        <f>IF(AND(COUNTA($A307:$K307)=0,$L307=""),"",IF($S307="Paid","PAID",IF($S307="Closed","CLOSED",IF($W307="","",IF($W307=6,"ESCALATED TO ROXANNE",IF(TODAY()&gt;$Y307,"OVERDUE",IF($Y307&lt;=WORKDAY(TODAY(),1,Holidays),"DUE TOMORROW",IF($W307=4,"ESCALATED TO LOCAL OFFICE",IF($W307=5,"ESCALATED TO CBE",IF($X307=TODAY(),"EMAIL SENT","MONITORING"))))))))))</f>
        <v/>
      </c>
      <c r="U307" s="17">
        <f>IF($T307="",IF(AND(COUNTA($A307:$K307)&gt;0,$L307=""),"Awaiting Collection Email time stamp.",""),IF(OR($T307="PAID",$T307="CLOSED"),IF($T307="PAID","Account paid. Action completed.","Account closed. No further action required."),CHOOSE($W307,"Collection Email","1st Email Follow-up","2nd Email Follow-up","Escalation to Local Office","Escalation to CBE","Escalation to Roxanne")&amp;" sent "&amp;TEXT($X307,"dd-mmm")&amp;". "&amp;IF($W307=6,"Final escalation completed.",IF($T307="OVERDUE","Next: "&amp;$Z307&amp;" was due "&amp;TEXT($Y307,"dd-mmm")&amp;" - "&amp;(NETWORKDAYS($Y307,TODAY(),Holidays)-1)&amp;" business day(s) late. Send now.",IF($T307="DUE TOMORROW","Next: "&amp;$Z307&amp;IF($Y307&lt;=TODAY()," is due TODAY ("," is due next business day (")&amp;TEXT($Y307,"dd-mmm")&amp;").","Next: "&amp;$Z307&amp;" due "&amp;TEXT($Y307,"dd-mmm")&amp;" ("&amp;(NETWORKDAYS(TODAY(),$Y307,Holidays)-1)&amp;" business day(s) left).")))))</f>
        <v/>
      </c>
      <c r="V307" s="17">
        <f>IF($W307="","",CHOOSE($W307,"Collection Email","1st Follow-up","2nd Follow-up","Local Office","CBE","Roxanne")&amp;IF($W307=6," - Final"," - Day "&amp;MAX(0,NETWORKDAYS($X307,TODAY(),Holidays)-1)&amp;" of "&amp;CHOOSE($W307,3,3,2,2,3))&amp;" | Total Day "&amp;MAX(0,NETWORKDAYS($L307,TODAY(),Holidays)-1))</f>
        <v/>
      </c>
      <c r="W307" s="17">
        <f>IF($L307="","",COUNT($L307:$Q307))</f>
        <v/>
      </c>
      <c r="X307" s="18">
        <f>IF($W307="","",INT(INDEX($L307:$Q307,$W307)))</f>
        <v/>
      </c>
      <c r="Y307" s="18">
        <f>IF(OR($W307="",$W307=6),"",WORKDAY($X307,CHOOSE($W307,3,3,2,2,3),Holidays))</f>
        <v/>
      </c>
      <c r="Z307" s="17">
        <f>IF(OR($W307="",$W307=6),"",CHOOSE($W307,"1st Email Follow-up","2nd Email Follow-up","Escalate Local Office","Escalate to CBE","Escalate to Roxanne"))</f>
        <v/>
      </c>
    </row>
    <row r="308" spans="18:26">
      <c r="R308" s="15"/>
      <c r="S308" s="16"/>
      <c r="T308" s="17">
        <f>IF(AND(COUNTA($A308:$K308)=0,$L308=""),"",IF($S308="Paid","PAID",IF($S308="Closed","CLOSED",IF($W308="","",IF($W308=6,"ESCALATED TO ROXANNE",IF(TODAY()&gt;$Y308,"OVERDUE",IF($Y308&lt;=WORKDAY(TODAY(),1,Holidays),"DUE TOMORROW",IF($W308=4,"ESCALATED TO LOCAL OFFICE",IF($W308=5,"ESCALATED TO CBE",IF($X308=TODAY(),"EMAIL SENT","MONITORING"))))))))))</f>
        <v/>
      </c>
      <c r="U308" s="17">
        <f>IF($T308="",IF(AND(COUNTA($A308:$K308)&gt;0,$L308=""),"Awaiting Collection Email time stamp.",""),IF(OR($T308="PAID",$T308="CLOSED"),IF($T308="PAID","Account paid. Action completed.","Account closed. No further action required."),CHOOSE($W308,"Collection Email","1st Email Follow-up","2nd Email Follow-up","Escalation to Local Office","Escalation to CBE","Escalation to Roxanne")&amp;" sent "&amp;TEXT($X308,"dd-mmm")&amp;". "&amp;IF($W308=6,"Final escalation completed.",IF($T308="OVERDUE","Next: "&amp;$Z308&amp;" was due "&amp;TEXT($Y308,"dd-mmm")&amp;" - "&amp;(NETWORKDAYS($Y308,TODAY(),Holidays)-1)&amp;" business day(s) late. Send now.",IF($T308="DUE TOMORROW","Next: "&amp;$Z308&amp;IF($Y308&lt;=TODAY()," is due TODAY ("," is due next business day (")&amp;TEXT($Y308,"dd-mmm")&amp;").","Next: "&amp;$Z308&amp;" due "&amp;TEXT($Y308,"dd-mmm")&amp;" ("&amp;(NETWORKDAYS(TODAY(),$Y308,Holidays)-1)&amp;" business day(s) left).")))))</f>
        <v/>
      </c>
      <c r="V308" s="17">
        <f>IF($W308="","",CHOOSE($W308,"Collection Email","1st Follow-up","2nd Follow-up","Local Office","CBE","Roxanne")&amp;IF($W308=6," - Final"," - Day "&amp;MAX(0,NETWORKDAYS($X308,TODAY(),Holidays)-1)&amp;" of "&amp;CHOOSE($W308,3,3,2,2,3))&amp;" | Total Day "&amp;MAX(0,NETWORKDAYS($L308,TODAY(),Holidays)-1))</f>
        <v/>
      </c>
      <c r="W308" s="17">
        <f>IF($L308="","",COUNT($L308:$Q308))</f>
        <v/>
      </c>
      <c r="X308" s="18">
        <f>IF($W308="","",INT(INDEX($L308:$Q308,$W308)))</f>
        <v/>
      </c>
      <c r="Y308" s="18">
        <f>IF(OR($W308="",$W308=6),"",WORKDAY($X308,CHOOSE($W308,3,3,2,2,3),Holidays))</f>
        <v/>
      </c>
      <c r="Z308" s="17">
        <f>IF(OR($W308="",$W308=6),"",CHOOSE($W308,"1st Email Follow-up","2nd Email Follow-up","Escalate Local Office","Escalate to CBE","Escalate to Roxanne"))</f>
        <v/>
      </c>
    </row>
    <row r="309" spans="18:26">
      <c r="R309" s="15"/>
      <c r="S309" s="16"/>
      <c r="T309" s="17">
        <f>IF(AND(COUNTA($A309:$K309)=0,$L309=""),"",IF($S309="Paid","PAID",IF($S309="Closed","CLOSED",IF($W309="","",IF($W309=6,"ESCALATED TO ROXANNE",IF(TODAY()&gt;$Y309,"OVERDUE",IF($Y309&lt;=WORKDAY(TODAY(),1,Holidays),"DUE TOMORROW",IF($W309=4,"ESCALATED TO LOCAL OFFICE",IF($W309=5,"ESCALATED TO CBE",IF($X309=TODAY(),"EMAIL SENT","MONITORING"))))))))))</f>
        <v/>
      </c>
      <c r="U309" s="17">
        <f>IF($T309="",IF(AND(COUNTA($A309:$K309)&gt;0,$L309=""),"Awaiting Collection Email time stamp.",""),IF(OR($T309="PAID",$T309="CLOSED"),IF($T309="PAID","Account paid. Action completed.","Account closed. No further action required."),CHOOSE($W309,"Collection Email","1st Email Follow-up","2nd Email Follow-up","Escalation to Local Office","Escalation to CBE","Escalation to Roxanne")&amp;" sent "&amp;TEXT($X309,"dd-mmm")&amp;". "&amp;IF($W309=6,"Final escalation completed.",IF($T309="OVERDUE","Next: "&amp;$Z309&amp;" was due "&amp;TEXT($Y309,"dd-mmm")&amp;" - "&amp;(NETWORKDAYS($Y309,TODAY(),Holidays)-1)&amp;" business day(s) late. Send now.",IF($T309="DUE TOMORROW","Next: "&amp;$Z309&amp;IF($Y309&lt;=TODAY()," is due TODAY ("," is due next business day (")&amp;TEXT($Y309,"dd-mmm")&amp;").","Next: "&amp;$Z309&amp;" due "&amp;TEXT($Y309,"dd-mmm")&amp;" ("&amp;(NETWORKDAYS(TODAY(),$Y309,Holidays)-1)&amp;" business day(s) left).")))))</f>
        <v/>
      </c>
      <c r="V309" s="17">
        <f>IF($W309="","",CHOOSE($W309,"Collection Email","1st Follow-up","2nd Follow-up","Local Office","CBE","Roxanne")&amp;IF($W309=6," - Final"," - Day "&amp;MAX(0,NETWORKDAYS($X309,TODAY(),Holidays)-1)&amp;" of "&amp;CHOOSE($W309,3,3,2,2,3))&amp;" | Total Day "&amp;MAX(0,NETWORKDAYS($L309,TODAY(),Holidays)-1))</f>
        <v/>
      </c>
      <c r="W309" s="17">
        <f>IF($L309="","",COUNT($L309:$Q309))</f>
        <v/>
      </c>
      <c r="X309" s="18">
        <f>IF($W309="","",INT(INDEX($L309:$Q309,$W309)))</f>
        <v/>
      </c>
      <c r="Y309" s="18">
        <f>IF(OR($W309="",$W309=6),"",WORKDAY($X309,CHOOSE($W309,3,3,2,2,3),Holidays))</f>
        <v/>
      </c>
      <c r="Z309" s="17">
        <f>IF(OR($W309="",$W309=6),"",CHOOSE($W309,"1st Email Follow-up","2nd Email Follow-up","Escalate Local Office","Escalate to CBE","Escalate to Roxanne"))</f>
        <v/>
      </c>
    </row>
    <row r="310" spans="18:26">
      <c r="R310" s="15"/>
      <c r="S310" s="16"/>
      <c r="T310" s="17">
        <f>IF(AND(COUNTA($A310:$K310)=0,$L310=""),"",IF($S310="Paid","PAID",IF($S310="Closed","CLOSED",IF($W310="","",IF($W310=6,"ESCALATED TO ROXANNE",IF(TODAY()&gt;$Y310,"OVERDUE",IF($Y310&lt;=WORKDAY(TODAY(),1,Holidays),"DUE TOMORROW",IF($W310=4,"ESCALATED TO LOCAL OFFICE",IF($W310=5,"ESCALATED TO CBE",IF($X310=TODAY(),"EMAIL SENT","MONITORING"))))))))))</f>
        <v/>
      </c>
      <c r="U310" s="17">
        <f>IF($T310="",IF(AND(COUNTA($A310:$K310)&gt;0,$L310=""),"Awaiting Collection Email time stamp.",""),IF(OR($T310="PAID",$T310="CLOSED"),IF($T310="PAID","Account paid. Action completed.","Account closed. No further action required."),CHOOSE($W310,"Collection Email","1st Email Follow-up","2nd Email Follow-up","Escalation to Local Office","Escalation to CBE","Escalation to Roxanne")&amp;" sent "&amp;TEXT($X310,"dd-mmm")&amp;". "&amp;IF($W310=6,"Final escalation completed.",IF($T310="OVERDUE","Next: "&amp;$Z310&amp;" was due "&amp;TEXT($Y310,"dd-mmm")&amp;" - "&amp;(NETWORKDAYS($Y310,TODAY(),Holidays)-1)&amp;" business day(s) late. Send now.",IF($T310="DUE TOMORROW","Next: "&amp;$Z310&amp;IF($Y310&lt;=TODAY()," is due TODAY ("," is due next business day (")&amp;TEXT($Y310,"dd-mmm")&amp;").","Next: "&amp;$Z310&amp;" due "&amp;TEXT($Y310,"dd-mmm")&amp;" ("&amp;(NETWORKDAYS(TODAY(),$Y310,Holidays)-1)&amp;" business day(s) left).")))))</f>
        <v/>
      </c>
      <c r="V310" s="17">
        <f>IF($W310="","",CHOOSE($W310,"Collection Email","1st Follow-up","2nd Follow-up","Local Office","CBE","Roxanne")&amp;IF($W310=6," - Final"," - Day "&amp;MAX(0,NETWORKDAYS($X310,TODAY(),Holidays)-1)&amp;" of "&amp;CHOOSE($W310,3,3,2,2,3))&amp;" | Total Day "&amp;MAX(0,NETWORKDAYS($L310,TODAY(),Holidays)-1))</f>
        <v/>
      </c>
      <c r="W310" s="17">
        <f>IF($L310="","",COUNT($L310:$Q310))</f>
        <v/>
      </c>
      <c r="X310" s="18">
        <f>IF($W310="","",INT(INDEX($L310:$Q310,$W310)))</f>
        <v/>
      </c>
      <c r="Y310" s="18">
        <f>IF(OR($W310="",$W310=6),"",WORKDAY($X310,CHOOSE($W310,3,3,2,2,3),Holidays))</f>
        <v/>
      </c>
      <c r="Z310" s="17">
        <f>IF(OR($W310="",$W310=6),"",CHOOSE($W310,"1st Email Follow-up","2nd Email Follow-up","Escalate Local Office","Escalate to CBE","Escalate to Roxanne"))</f>
        <v/>
      </c>
    </row>
    <row r="311" spans="18:26">
      <c r="R311" s="15"/>
      <c r="S311" s="16"/>
      <c r="T311" s="17">
        <f>IF(AND(COUNTA($A311:$K311)=0,$L311=""),"",IF($S311="Paid","PAID",IF($S311="Closed","CLOSED",IF($W311="","",IF($W311=6,"ESCALATED TO ROXANNE",IF(TODAY()&gt;$Y311,"OVERDUE",IF($Y311&lt;=WORKDAY(TODAY(),1,Holidays),"DUE TOMORROW",IF($W311=4,"ESCALATED TO LOCAL OFFICE",IF($W311=5,"ESCALATED TO CBE",IF($X311=TODAY(),"EMAIL SENT","MONITORING"))))))))))</f>
        <v/>
      </c>
      <c r="U311" s="17">
        <f>IF($T311="",IF(AND(COUNTA($A311:$K311)&gt;0,$L311=""),"Awaiting Collection Email time stamp.",""),IF(OR($T311="PAID",$T311="CLOSED"),IF($T311="PAID","Account paid. Action completed.","Account closed. No further action required."),CHOOSE($W311,"Collection Email","1st Email Follow-up","2nd Email Follow-up","Escalation to Local Office","Escalation to CBE","Escalation to Roxanne")&amp;" sent "&amp;TEXT($X311,"dd-mmm")&amp;". "&amp;IF($W311=6,"Final escalation completed.",IF($T311="OVERDUE","Next: "&amp;$Z311&amp;" was due "&amp;TEXT($Y311,"dd-mmm")&amp;" - "&amp;(NETWORKDAYS($Y311,TODAY(),Holidays)-1)&amp;" business day(s) late. Send now.",IF($T311="DUE TOMORROW","Next: "&amp;$Z311&amp;IF($Y311&lt;=TODAY()," is due TODAY ("," is due next business day (")&amp;TEXT($Y311,"dd-mmm")&amp;").","Next: "&amp;$Z311&amp;" due "&amp;TEXT($Y311,"dd-mmm")&amp;" ("&amp;(NETWORKDAYS(TODAY(),$Y311,Holidays)-1)&amp;" business day(s) left).")))))</f>
        <v/>
      </c>
      <c r="V311" s="17">
        <f>IF($W311="","",CHOOSE($W311,"Collection Email","1st Follow-up","2nd Follow-up","Local Office","CBE","Roxanne")&amp;IF($W311=6," - Final"," - Day "&amp;MAX(0,NETWORKDAYS($X311,TODAY(),Holidays)-1)&amp;" of "&amp;CHOOSE($W311,3,3,2,2,3))&amp;" | Total Day "&amp;MAX(0,NETWORKDAYS($L311,TODAY(),Holidays)-1))</f>
        <v/>
      </c>
      <c r="W311" s="17">
        <f>IF($L311="","",COUNT($L311:$Q311))</f>
        <v/>
      </c>
      <c r="X311" s="18">
        <f>IF($W311="","",INT(INDEX($L311:$Q311,$W311)))</f>
        <v/>
      </c>
      <c r="Y311" s="18">
        <f>IF(OR($W311="",$W311=6),"",WORKDAY($X311,CHOOSE($W311,3,3,2,2,3),Holidays))</f>
        <v/>
      </c>
      <c r="Z311" s="17">
        <f>IF(OR($W311="",$W311=6),"",CHOOSE($W311,"1st Email Follow-up","2nd Email Follow-up","Escalate Local Office","Escalate to CBE","Escalate to Roxanne"))</f>
        <v/>
      </c>
    </row>
    <row r="312" spans="18:26">
      <c r="R312" s="15"/>
      <c r="S312" s="16"/>
      <c r="T312" s="17">
        <f>IF(AND(COUNTA($A312:$K312)=0,$L312=""),"",IF($S312="Paid","PAID",IF($S312="Closed","CLOSED",IF($W312="","",IF($W312=6,"ESCALATED TO ROXANNE",IF(TODAY()&gt;$Y312,"OVERDUE",IF($Y312&lt;=WORKDAY(TODAY(),1,Holidays),"DUE TOMORROW",IF($W312=4,"ESCALATED TO LOCAL OFFICE",IF($W312=5,"ESCALATED TO CBE",IF($X312=TODAY(),"EMAIL SENT","MONITORING"))))))))))</f>
        <v/>
      </c>
      <c r="U312" s="17">
        <f>IF($T312="",IF(AND(COUNTA($A312:$K312)&gt;0,$L312=""),"Awaiting Collection Email time stamp.",""),IF(OR($T312="PAID",$T312="CLOSED"),IF($T312="PAID","Account paid. Action completed.","Account closed. No further action required."),CHOOSE($W312,"Collection Email","1st Email Follow-up","2nd Email Follow-up","Escalation to Local Office","Escalation to CBE","Escalation to Roxanne")&amp;" sent "&amp;TEXT($X312,"dd-mmm")&amp;". "&amp;IF($W312=6,"Final escalation completed.",IF($T312="OVERDUE","Next: "&amp;$Z312&amp;" was due "&amp;TEXT($Y312,"dd-mmm")&amp;" - "&amp;(NETWORKDAYS($Y312,TODAY(),Holidays)-1)&amp;" business day(s) late. Send now.",IF($T312="DUE TOMORROW","Next: "&amp;$Z312&amp;IF($Y312&lt;=TODAY()," is due TODAY ("," is due next business day (")&amp;TEXT($Y312,"dd-mmm")&amp;").","Next: "&amp;$Z312&amp;" due "&amp;TEXT($Y312,"dd-mmm")&amp;" ("&amp;(NETWORKDAYS(TODAY(),$Y312,Holidays)-1)&amp;" business day(s) left).")))))</f>
        <v/>
      </c>
      <c r="V312" s="17">
        <f>IF($W312="","",CHOOSE($W312,"Collection Email","1st Follow-up","2nd Follow-up","Local Office","CBE","Roxanne")&amp;IF($W312=6," - Final"," - Day "&amp;MAX(0,NETWORKDAYS($X312,TODAY(),Holidays)-1)&amp;" of "&amp;CHOOSE($W312,3,3,2,2,3))&amp;" | Total Day "&amp;MAX(0,NETWORKDAYS($L312,TODAY(),Holidays)-1))</f>
        <v/>
      </c>
      <c r="W312" s="17">
        <f>IF($L312="","",COUNT($L312:$Q312))</f>
        <v/>
      </c>
      <c r="X312" s="18">
        <f>IF($W312="","",INT(INDEX($L312:$Q312,$W312)))</f>
        <v/>
      </c>
      <c r="Y312" s="18">
        <f>IF(OR($W312="",$W312=6),"",WORKDAY($X312,CHOOSE($W312,3,3,2,2,3),Holidays))</f>
        <v/>
      </c>
      <c r="Z312" s="17">
        <f>IF(OR($W312="",$W312=6),"",CHOOSE($W312,"1st Email Follow-up","2nd Email Follow-up","Escalate Local Office","Escalate to CBE","Escalate to Roxanne"))</f>
        <v/>
      </c>
    </row>
    <row r="313" spans="18:26">
      <c r="R313" s="15"/>
      <c r="S313" s="16"/>
      <c r="T313" s="17">
        <f>IF(AND(COUNTA($A313:$K313)=0,$L313=""),"",IF($S313="Paid","PAID",IF($S313="Closed","CLOSED",IF($W313="","",IF($W313=6,"ESCALATED TO ROXANNE",IF(TODAY()&gt;$Y313,"OVERDUE",IF($Y313&lt;=WORKDAY(TODAY(),1,Holidays),"DUE TOMORROW",IF($W313=4,"ESCALATED TO LOCAL OFFICE",IF($W313=5,"ESCALATED TO CBE",IF($X313=TODAY(),"EMAIL SENT","MONITORING"))))))))))</f>
        <v/>
      </c>
      <c r="U313" s="17">
        <f>IF($T313="",IF(AND(COUNTA($A313:$K313)&gt;0,$L313=""),"Awaiting Collection Email time stamp.",""),IF(OR($T313="PAID",$T313="CLOSED"),IF($T313="PAID","Account paid. Action completed.","Account closed. No further action required."),CHOOSE($W313,"Collection Email","1st Email Follow-up","2nd Email Follow-up","Escalation to Local Office","Escalation to CBE","Escalation to Roxanne")&amp;" sent "&amp;TEXT($X313,"dd-mmm")&amp;". "&amp;IF($W313=6,"Final escalation completed.",IF($T313="OVERDUE","Next: "&amp;$Z313&amp;" was due "&amp;TEXT($Y313,"dd-mmm")&amp;" - "&amp;(NETWORKDAYS($Y313,TODAY(),Holidays)-1)&amp;" business day(s) late. Send now.",IF($T313="DUE TOMORROW","Next: "&amp;$Z313&amp;IF($Y313&lt;=TODAY()," is due TODAY ("," is due next business day (")&amp;TEXT($Y313,"dd-mmm")&amp;").","Next: "&amp;$Z313&amp;" due "&amp;TEXT($Y313,"dd-mmm")&amp;" ("&amp;(NETWORKDAYS(TODAY(),$Y313,Holidays)-1)&amp;" business day(s) left).")))))</f>
        <v/>
      </c>
      <c r="V313" s="17">
        <f>IF($W313="","",CHOOSE($W313,"Collection Email","1st Follow-up","2nd Follow-up","Local Office","CBE","Roxanne")&amp;IF($W313=6," - Final"," - Day "&amp;MAX(0,NETWORKDAYS($X313,TODAY(),Holidays)-1)&amp;" of "&amp;CHOOSE($W313,3,3,2,2,3))&amp;" | Total Day "&amp;MAX(0,NETWORKDAYS($L313,TODAY(),Holidays)-1))</f>
        <v/>
      </c>
      <c r="W313" s="17">
        <f>IF($L313="","",COUNT($L313:$Q313))</f>
        <v/>
      </c>
      <c r="X313" s="18">
        <f>IF($W313="","",INT(INDEX($L313:$Q313,$W313)))</f>
        <v/>
      </c>
      <c r="Y313" s="18">
        <f>IF(OR($W313="",$W313=6),"",WORKDAY($X313,CHOOSE($W313,3,3,2,2,3),Holidays))</f>
        <v/>
      </c>
      <c r="Z313" s="17">
        <f>IF(OR($W313="",$W313=6),"",CHOOSE($W313,"1st Email Follow-up","2nd Email Follow-up","Escalate Local Office","Escalate to CBE","Escalate to Roxanne"))</f>
        <v/>
      </c>
    </row>
    <row r="314" spans="18:26">
      <c r="R314" s="15"/>
      <c r="S314" s="16"/>
      <c r="T314" s="17">
        <f>IF(AND(COUNTA($A314:$K314)=0,$L314=""),"",IF($S314="Paid","PAID",IF($S314="Closed","CLOSED",IF($W314="","",IF($W314=6,"ESCALATED TO ROXANNE",IF(TODAY()&gt;$Y314,"OVERDUE",IF($Y314&lt;=WORKDAY(TODAY(),1,Holidays),"DUE TOMORROW",IF($W314=4,"ESCALATED TO LOCAL OFFICE",IF($W314=5,"ESCALATED TO CBE",IF($X314=TODAY(),"EMAIL SENT","MONITORING"))))))))))</f>
        <v/>
      </c>
      <c r="U314" s="17">
        <f>IF($T314="",IF(AND(COUNTA($A314:$K314)&gt;0,$L314=""),"Awaiting Collection Email time stamp.",""),IF(OR($T314="PAID",$T314="CLOSED"),IF($T314="PAID","Account paid. Action completed.","Account closed. No further action required."),CHOOSE($W314,"Collection Email","1st Email Follow-up","2nd Email Follow-up","Escalation to Local Office","Escalation to CBE","Escalation to Roxanne")&amp;" sent "&amp;TEXT($X314,"dd-mmm")&amp;". "&amp;IF($W314=6,"Final escalation completed.",IF($T314="OVERDUE","Next: "&amp;$Z314&amp;" was due "&amp;TEXT($Y314,"dd-mmm")&amp;" - "&amp;(NETWORKDAYS($Y314,TODAY(),Holidays)-1)&amp;" business day(s) late. Send now.",IF($T314="DUE TOMORROW","Next: "&amp;$Z314&amp;IF($Y314&lt;=TODAY()," is due TODAY ("," is due next business day (")&amp;TEXT($Y314,"dd-mmm")&amp;").","Next: "&amp;$Z314&amp;" due "&amp;TEXT($Y314,"dd-mmm")&amp;" ("&amp;(NETWORKDAYS(TODAY(),$Y314,Holidays)-1)&amp;" business day(s) left).")))))</f>
        <v/>
      </c>
      <c r="V314" s="17">
        <f>IF($W314="","",CHOOSE($W314,"Collection Email","1st Follow-up","2nd Follow-up","Local Office","CBE","Roxanne")&amp;IF($W314=6," - Final"," - Day "&amp;MAX(0,NETWORKDAYS($X314,TODAY(),Holidays)-1)&amp;" of "&amp;CHOOSE($W314,3,3,2,2,3))&amp;" | Total Day "&amp;MAX(0,NETWORKDAYS($L314,TODAY(),Holidays)-1))</f>
        <v/>
      </c>
      <c r="W314" s="17">
        <f>IF($L314="","",COUNT($L314:$Q314))</f>
        <v/>
      </c>
      <c r="X314" s="18">
        <f>IF($W314="","",INT(INDEX($L314:$Q314,$W314)))</f>
        <v/>
      </c>
      <c r="Y314" s="18">
        <f>IF(OR($W314="",$W314=6),"",WORKDAY($X314,CHOOSE($W314,3,3,2,2,3),Holidays))</f>
        <v/>
      </c>
      <c r="Z314" s="17">
        <f>IF(OR($W314="",$W314=6),"",CHOOSE($W314,"1st Email Follow-up","2nd Email Follow-up","Escalate Local Office","Escalate to CBE","Escalate to Roxanne"))</f>
        <v/>
      </c>
    </row>
    <row r="315" spans="18:26">
      <c r="R315" s="15"/>
      <c r="S315" s="16"/>
      <c r="T315" s="17">
        <f>IF(AND(COUNTA($A315:$K315)=0,$L315=""),"",IF($S315="Paid","PAID",IF($S315="Closed","CLOSED",IF($W315="","",IF($W315=6,"ESCALATED TO ROXANNE",IF(TODAY()&gt;$Y315,"OVERDUE",IF($Y315&lt;=WORKDAY(TODAY(),1,Holidays),"DUE TOMORROW",IF($W315=4,"ESCALATED TO LOCAL OFFICE",IF($W315=5,"ESCALATED TO CBE",IF($X315=TODAY(),"EMAIL SENT","MONITORING"))))))))))</f>
        <v/>
      </c>
      <c r="U315" s="17">
        <f>IF($T315="",IF(AND(COUNTA($A315:$K315)&gt;0,$L315=""),"Awaiting Collection Email time stamp.",""),IF(OR($T315="PAID",$T315="CLOSED"),IF($T315="PAID","Account paid. Action completed.","Account closed. No further action required."),CHOOSE($W315,"Collection Email","1st Email Follow-up","2nd Email Follow-up","Escalation to Local Office","Escalation to CBE","Escalation to Roxanne")&amp;" sent "&amp;TEXT($X315,"dd-mmm")&amp;". "&amp;IF($W315=6,"Final escalation completed.",IF($T315="OVERDUE","Next: "&amp;$Z315&amp;" was due "&amp;TEXT($Y315,"dd-mmm")&amp;" - "&amp;(NETWORKDAYS($Y315,TODAY(),Holidays)-1)&amp;" business day(s) late. Send now.",IF($T315="DUE TOMORROW","Next: "&amp;$Z315&amp;IF($Y315&lt;=TODAY()," is due TODAY ("," is due next business day (")&amp;TEXT($Y315,"dd-mmm")&amp;").","Next: "&amp;$Z315&amp;" due "&amp;TEXT($Y315,"dd-mmm")&amp;" ("&amp;(NETWORKDAYS(TODAY(),$Y315,Holidays)-1)&amp;" business day(s) left).")))))</f>
        <v/>
      </c>
      <c r="V315" s="17">
        <f>IF($W315="","",CHOOSE($W315,"Collection Email","1st Follow-up","2nd Follow-up","Local Office","CBE","Roxanne")&amp;IF($W315=6," - Final"," - Day "&amp;MAX(0,NETWORKDAYS($X315,TODAY(),Holidays)-1)&amp;" of "&amp;CHOOSE($W315,3,3,2,2,3))&amp;" | Total Day "&amp;MAX(0,NETWORKDAYS($L315,TODAY(),Holidays)-1))</f>
        <v/>
      </c>
      <c r="W315" s="17">
        <f>IF($L315="","",COUNT($L315:$Q315))</f>
        <v/>
      </c>
      <c r="X315" s="18">
        <f>IF($W315="","",INT(INDEX($L315:$Q315,$W315)))</f>
        <v/>
      </c>
      <c r="Y315" s="18">
        <f>IF(OR($W315="",$W315=6),"",WORKDAY($X315,CHOOSE($W315,3,3,2,2,3),Holidays))</f>
        <v/>
      </c>
      <c r="Z315" s="17">
        <f>IF(OR($W315="",$W315=6),"",CHOOSE($W315,"1st Email Follow-up","2nd Email Follow-up","Escalate Local Office","Escalate to CBE","Escalate to Roxanne"))</f>
        <v/>
      </c>
    </row>
    <row r="316" spans="18:26">
      <c r="R316" s="15"/>
      <c r="S316" s="16"/>
      <c r="T316" s="17">
        <f>IF(AND(COUNTA($A316:$K316)=0,$L316=""),"",IF($S316="Paid","PAID",IF($S316="Closed","CLOSED",IF($W316="","",IF($W316=6,"ESCALATED TO ROXANNE",IF(TODAY()&gt;$Y316,"OVERDUE",IF($Y316&lt;=WORKDAY(TODAY(),1,Holidays),"DUE TOMORROW",IF($W316=4,"ESCALATED TO LOCAL OFFICE",IF($W316=5,"ESCALATED TO CBE",IF($X316=TODAY(),"EMAIL SENT","MONITORING"))))))))))</f>
        <v/>
      </c>
      <c r="U316" s="17">
        <f>IF($T316="",IF(AND(COUNTA($A316:$K316)&gt;0,$L316=""),"Awaiting Collection Email time stamp.",""),IF(OR($T316="PAID",$T316="CLOSED"),IF($T316="PAID","Account paid. Action completed.","Account closed. No further action required."),CHOOSE($W316,"Collection Email","1st Email Follow-up","2nd Email Follow-up","Escalation to Local Office","Escalation to CBE","Escalation to Roxanne")&amp;" sent "&amp;TEXT($X316,"dd-mmm")&amp;". "&amp;IF($W316=6,"Final escalation completed.",IF($T316="OVERDUE","Next: "&amp;$Z316&amp;" was due "&amp;TEXT($Y316,"dd-mmm")&amp;" - "&amp;(NETWORKDAYS($Y316,TODAY(),Holidays)-1)&amp;" business day(s) late. Send now.",IF($T316="DUE TOMORROW","Next: "&amp;$Z316&amp;IF($Y316&lt;=TODAY()," is due TODAY ("," is due next business day (")&amp;TEXT($Y316,"dd-mmm")&amp;").","Next: "&amp;$Z316&amp;" due "&amp;TEXT($Y316,"dd-mmm")&amp;" ("&amp;(NETWORKDAYS(TODAY(),$Y316,Holidays)-1)&amp;" business day(s) left).")))))</f>
        <v/>
      </c>
      <c r="V316" s="17">
        <f>IF($W316="","",CHOOSE($W316,"Collection Email","1st Follow-up","2nd Follow-up","Local Office","CBE","Roxanne")&amp;IF($W316=6," - Final"," - Day "&amp;MAX(0,NETWORKDAYS($X316,TODAY(),Holidays)-1)&amp;" of "&amp;CHOOSE($W316,3,3,2,2,3))&amp;" | Total Day "&amp;MAX(0,NETWORKDAYS($L316,TODAY(),Holidays)-1))</f>
        <v/>
      </c>
      <c r="W316" s="17">
        <f>IF($L316="","",COUNT($L316:$Q316))</f>
        <v/>
      </c>
      <c r="X316" s="18">
        <f>IF($W316="","",INT(INDEX($L316:$Q316,$W316)))</f>
        <v/>
      </c>
      <c r="Y316" s="18">
        <f>IF(OR($W316="",$W316=6),"",WORKDAY($X316,CHOOSE($W316,3,3,2,2,3),Holidays))</f>
        <v/>
      </c>
      <c r="Z316" s="17">
        <f>IF(OR($W316="",$W316=6),"",CHOOSE($W316,"1st Email Follow-up","2nd Email Follow-up","Escalate Local Office","Escalate to CBE","Escalate to Roxanne"))</f>
        <v/>
      </c>
    </row>
    <row r="317" spans="18:26">
      <c r="R317" s="15"/>
      <c r="S317" s="16"/>
      <c r="T317" s="17">
        <f>IF(AND(COUNTA($A317:$K317)=0,$L317=""),"",IF($S317="Paid","PAID",IF($S317="Closed","CLOSED",IF($W317="","",IF($W317=6,"ESCALATED TO ROXANNE",IF(TODAY()&gt;$Y317,"OVERDUE",IF($Y317&lt;=WORKDAY(TODAY(),1,Holidays),"DUE TOMORROW",IF($W317=4,"ESCALATED TO LOCAL OFFICE",IF($W317=5,"ESCALATED TO CBE",IF($X317=TODAY(),"EMAIL SENT","MONITORING"))))))))))</f>
        <v/>
      </c>
      <c r="U317" s="17">
        <f>IF($T317="",IF(AND(COUNTA($A317:$K317)&gt;0,$L317=""),"Awaiting Collection Email time stamp.",""),IF(OR($T317="PAID",$T317="CLOSED"),IF($T317="PAID","Account paid. Action completed.","Account closed. No further action required."),CHOOSE($W317,"Collection Email","1st Email Follow-up","2nd Email Follow-up","Escalation to Local Office","Escalation to CBE","Escalation to Roxanne")&amp;" sent "&amp;TEXT($X317,"dd-mmm")&amp;". "&amp;IF($W317=6,"Final escalation completed.",IF($T317="OVERDUE","Next: "&amp;$Z317&amp;" was due "&amp;TEXT($Y317,"dd-mmm")&amp;" - "&amp;(NETWORKDAYS($Y317,TODAY(),Holidays)-1)&amp;" business day(s) late. Send now.",IF($T317="DUE TOMORROW","Next: "&amp;$Z317&amp;IF($Y317&lt;=TODAY()," is due TODAY ("," is due next business day (")&amp;TEXT($Y317,"dd-mmm")&amp;").","Next: "&amp;$Z317&amp;" due "&amp;TEXT($Y317,"dd-mmm")&amp;" ("&amp;(NETWORKDAYS(TODAY(),$Y317,Holidays)-1)&amp;" business day(s) left).")))))</f>
        <v/>
      </c>
      <c r="V317" s="17">
        <f>IF($W317="","",CHOOSE($W317,"Collection Email","1st Follow-up","2nd Follow-up","Local Office","CBE","Roxanne")&amp;IF($W317=6," - Final"," - Day "&amp;MAX(0,NETWORKDAYS($X317,TODAY(),Holidays)-1)&amp;" of "&amp;CHOOSE($W317,3,3,2,2,3))&amp;" | Total Day "&amp;MAX(0,NETWORKDAYS($L317,TODAY(),Holidays)-1))</f>
        <v/>
      </c>
      <c r="W317" s="17">
        <f>IF($L317="","",COUNT($L317:$Q317))</f>
        <v/>
      </c>
      <c r="X317" s="18">
        <f>IF($W317="","",INT(INDEX($L317:$Q317,$W317)))</f>
        <v/>
      </c>
      <c r="Y317" s="18">
        <f>IF(OR($W317="",$W317=6),"",WORKDAY($X317,CHOOSE($W317,3,3,2,2,3),Holidays))</f>
        <v/>
      </c>
      <c r="Z317" s="17">
        <f>IF(OR($W317="",$W317=6),"",CHOOSE($W317,"1st Email Follow-up","2nd Email Follow-up","Escalate Local Office","Escalate to CBE","Escalate to Roxanne"))</f>
        <v/>
      </c>
    </row>
    <row r="318" spans="18:26">
      <c r="R318" s="15"/>
      <c r="S318" s="16"/>
      <c r="T318" s="17">
        <f>IF(AND(COUNTA($A318:$K318)=0,$L318=""),"",IF($S318="Paid","PAID",IF($S318="Closed","CLOSED",IF($W318="","",IF($W318=6,"ESCALATED TO ROXANNE",IF(TODAY()&gt;$Y318,"OVERDUE",IF($Y318&lt;=WORKDAY(TODAY(),1,Holidays),"DUE TOMORROW",IF($W318=4,"ESCALATED TO LOCAL OFFICE",IF($W318=5,"ESCALATED TO CBE",IF($X318=TODAY(),"EMAIL SENT","MONITORING"))))))))))</f>
        <v/>
      </c>
      <c r="U318" s="17">
        <f>IF($T318="",IF(AND(COUNTA($A318:$K318)&gt;0,$L318=""),"Awaiting Collection Email time stamp.",""),IF(OR($T318="PAID",$T318="CLOSED"),IF($T318="PAID","Account paid. Action completed.","Account closed. No further action required."),CHOOSE($W318,"Collection Email","1st Email Follow-up","2nd Email Follow-up","Escalation to Local Office","Escalation to CBE","Escalation to Roxanne")&amp;" sent "&amp;TEXT($X318,"dd-mmm")&amp;". "&amp;IF($W318=6,"Final escalation completed.",IF($T318="OVERDUE","Next: "&amp;$Z318&amp;" was due "&amp;TEXT($Y318,"dd-mmm")&amp;" - "&amp;(NETWORKDAYS($Y318,TODAY(),Holidays)-1)&amp;" business day(s) late. Send now.",IF($T318="DUE TOMORROW","Next: "&amp;$Z318&amp;IF($Y318&lt;=TODAY()," is due TODAY ("," is due next business day (")&amp;TEXT($Y318,"dd-mmm")&amp;").","Next: "&amp;$Z318&amp;" due "&amp;TEXT($Y318,"dd-mmm")&amp;" ("&amp;(NETWORKDAYS(TODAY(),$Y318,Holidays)-1)&amp;" business day(s) left).")))))</f>
        <v/>
      </c>
      <c r="V318" s="17">
        <f>IF($W318="","",CHOOSE($W318,"Collection Email","1st Follow-up","2nd Follow-up","Local Office","CBE","Roxanne")&amp;IF($W318=6," - Final"," - Day "&amp;MAX(0,NETWORKDAYS($X318,TODAY(),Holidays)-1)&amp;" of "&amp;CHOOSE($W318,3,3,2,2,3))&amp;" | Total Day "&amp;MAX(0,NETWORKDAYS($L318,TODAY(),Holidays)-1))</f>
        <v/>
      </c>
      <c r="W318" s="17">
        <f>IF($L318="","",COUNT($L318:$Q318))</f>
        <v/>
      </c>
      <c r="X318" s="18">
        <f>IF($W318="","",INT(INDEX($L318:$Q318,$W318)))</f>
        <v/>
      </c>
      <c r="Y318" s="18">
        <f>IF(OR($W318="",$W318=6),"",WORKDAY($X318,CHOOSE($W318,3,3,2,2,3),Holidays))</f>
        <v/>
      </c>
      <c r="Z318" s="17">
        <f>IF(OR($W318="",$W318=6),"",CHOOSE($W318,"1st Email Follow-up","2nd Email Follow-up","Escalate Local Office","Escalate to CBE","Escalate to Roxanne"))</f>
        <v/>
      </c>
    </row>
    <row r="319" spans="18:26">
      <c r="R319" s="15"/>
      <c r="S319" s="16"/>
      <c r="T319" s="17">
        <f>IF(AND(COUNTA($A319:$K319)=0,$L319=""),"",IF($S319="Paid","PAID",IF($S319="Closed","CLOSED",IF($W319="","",IF($W319=6,"ESCALATED TO ROXANNE",IF(TODAY()&gt;$Y319,"OVERDUE",IF($Y319&lt;=WORKDAY(TODAY(),1,Holidays),"DUE TOMORROW",IF($W319=4,"ESCALATED TO LOCAL OFFICE",IF($W319=5,"ESCALATED TO CBE",IF($X319=TODAY(),"EMAIL SENT","MONITORING"))))))))))</f>
        <v/>
      </c>
      <c r="U319" s="17">
        <f>IF($T319="",IF(AND(COUNTA($A319:$K319)&gt;0,$L319=""),"Awaiting Collection Email time stamp.",""),IF(OR($T319="PAID",$T319="CLOSED"),IF($T319="PAID","Account paid. Action completed.","Account closed. No further action required."),CHOOSE($W319,"Collection Email","1st Email Follow-up","2nd Email Follow-up","Escalation to Local Office","Escalation to CBE","Escalation to Roxanne")&amp;" sent "&amp;TEXT($X319,"dd-mmm")&amp;". "&amp;IF($W319=6,"Final escalation completed.",IF($T319="OVERDUE","Next: "&amp;$Z319&amp;" was due "&amp;TEXT($Y319,"dd-mmm")&amp;" - "&amp;(NETWORKDAYS($Y319,TODAY(),Holidays)-1)&amp;" business day(s) late. Send now.",IF($T319="DUE TOMORROW","Next: "&amp;$Z319&amp;IF($Y319&lt;=TODAY()," is due TODAY ("," is due next business day (")&amp;TEXT($Y319,"dd-mmm")&amp;").","Next: "&amp;$Z319&amp;" due "&amp;TEXT($Y319,"dd-mmm")&amp;" ("&amp;(NETWORKDAYS(TODAY(),$Y319,Holidays)-1)&amp;" business day(s) left).")))))</f>
        <v/>
      </c>
      <c r="V319" s="17">
        <f>IF($W319="","",CHOOSE($W319,"Collection Email","1st Follow-up","2nd Follow-up","Local Office","CBE","Roxanne")&amp;IF($W319=6," - Final"," - Day "&amp;MAX(0,NETWORKDAYS($X319,TODAY(),Holidays)-1)&amp;" of "&amp;CHOOSE($W319,3,3,2,2,3))&amp;" | Total Day "&amp;MAX(0,NETWORKDAYS($L319,TODAY(),Holidays)-1))</f>
        <v/>
      </c>
      <c r="W319" s="17">
        <f>IF($L319="","",COUNT($L319:$Q319))</f>
        <v/>
      </c>
      <c r="X319" s="18">
        <f>IF($W319="","",INT(INDEX($L319:$Q319,$W319)))</f>
        <v/>
      </c>
      <c r="Y319" s="18">
        <f>IF(OR($W319="",$W319=6),"",WORKDAY($X319,CHOOSE($W319,3,3,2,2,3),Holidays))</f>
        <v/>
      </c>
      <c r="Z319" s="17">
        <f>IF(OR($W319="",$W319=6),"",CHOOSE($W319,"1st Email Follow-up","2nd Email Follow-up","Escalate Local Office","Escalate to CBE","Escalate to Roxanne"))</f>
        <v/>
      </c>
    </row>
    <row r="320" spans="18:26">
      <c r="R320" s="15"/>
      <c r="S320" s="16"/>
      <c r="T320" s="17">
        <f>IF(AND(COUNTA($A320:$K320)=0,$L320=""),"",IF($S320="Paid","PAID",IF($S320="Closed","CLOSED",IF($W320="","",IF($W320=6,"ESCALATED TO ROXANNE",IF(TODAY()&gt;$Y320,"OVERDUE",IF($Y320&lt;=WORKDAY(TODAY(),1,Holidays),"DUE TOMORROW",IF($W320=4,"ESCALATED TO LOCAL OFFICE",IF($W320=5,"ESCALATED TO CBE",IF($X320=TODAY(),"EMAIL SENT","MONITORING"))))))))))</f>
        <v/>
      </c>
      <c r="U320" s="17">
        <f>IF($T320="",IF(AND(COUNTA($A320:$K320)&gt;0,$L320=""),"Awaiting Collection Email time stamp.",""),IF(OR($T320="PAID",$T320="CLOSED"),IF($T320="PAID","Account paid. Action completed.","Account closed. No further action required."),CHOOSE($W320,"Collection Email","1st Email Follow-up","2nd Email Follow-up","Escalation to Local Office","Escalation to CBE","Escalation to Roxanne")&amp;" sent "&amp;TEXT($X320,"dd-mmm")&amp;". "&amp;IF($W320=6,"Final escalation completed.",IF($T320="OVERDUE","Next: "&amp;$Z320&amp;" was due "&amp;TEXT($Y320,"dd-mmm")&amp;" - "&amp;(NETWORKDAYS($Y320,TODAY(),Holidays)-1)&amp;" business day(s) late. Send now.",IF($T320="DUE TOMORROW","Next: "&amp;$Z320&amp;IF($Y320&lt;=TODAY()," is due TODAY ("," is due next business day (")&amp;TEXT($Y320,"dd-mmm")&amp;").","Next: "&amp;$Z320&amp;" due "&amp;TEXT($Y320,"dd-mmm")&amp;" ("&amp;(NETWORKDAYS(TODAY(),$Y320,Holidays)-1)&amp;" business day(s) left).")))))</f>
        <v/>
      </c>
      <c r="V320" s="17">
        <f>IF($W320="","",CHOOSE($W320,"Collection Email","1st Follow-up","2nd Follow-up","Local Office","CBE","Roxanne")&amp;IF($W320=6," - Final"," - Day "&amp;MAX(0,NETWORKDAYS($X320,TODAY(),Holidays)-1)&amp;" of "&amp;CHOOSE($W320,3,3,2,2,3))&amp;" | Total Day "&amp;MAX(0,NETWORKDAYS($L320,TODAY(),Holidays)-1))</f>
        <v/>
      </c>
      <c r="W320" s="17">
        <f>IF($L320="","",COUNT($L320:$Q320))</f>
        <v/>
      </c>
      <c r="X320" s="18">
        <f>IF($W320="","",INT(INDEX($L320:$Q320,$W320)))</f>
        <v/>
      </c>
      <c r="Y320" s="18">
        <f>IF(OR($W320="",$W320=6),"",WORKDAY($X320,CHOOSE($W320,3,3,2,2,3),Holidays))</f>
        <v/>
      </c>
      <c r="Z320" s="17">
        <f>IF(OR($W320="",$W320=6),"",CHOOSE($W320,"1st Email Follow-up","2nd Email Follow-up","Escalate Local Office","Escalate to CBE","Escalate to Roxanne"))</f>
        <v/>
      </c>
    </row>
    <row r="321" spans="18:26">
      <c r="R321" s="15"/>
      <c r="S321" s="16"/>
      <c r="T321" s="17">
        <f>IF(AND(COUNTA($A321:$K321)=0,$L321=""),"",IF($S321="Paid","PAID",IF($S321="Closed","CLOSED",IF($W321="","",IF($W321=6,"ESCALATED TO ROXANNE",IF(TODAY()&gt;$Y321,"OVERDUE",IF($Y321&lt;=WORKDAY(TODAY(),1,Holidays),"DUE TOMORROW",IF($W321=4,"ESCALATED TO LOCAL OFFICE",IF($W321=5,"ESCALATED TO CBE",IF($X321=TODAY(),"EMAIL SENT","MONITORING"))))))))))</f>
        <v/>
      </c>
      <c r="U321" s="17">
        <f>IF($T321="",IF(AND(COUNTA($A321:$K321)&gt;0,$L321=""),"Awaiting Collection Email time stamp.",""),IF(OR($T321="PAID",$T321="CLOSED"),IF($T321="PAID","Account paid. Action completed.","Account closed. No further action required."),CHOOSE($W321,"Collection Email","1st Email Follow-up","2nd Email Follow-up","Escalation to Local Office","Escalation to CBE","Escalation to Roxanne")&amp;" sent "&amp;TEXT($X321,"dd-mmm")&amp;". "&amp;IF($W321=6,"Final escalation completed.",IF($T321="OVERDUE","Next: "&amp;$Z321&amp;" was due "&amp;TEXT($Y321,"dd-mmm")&amp;" - "&amp;(NETWORKDAYS($Y321,TODAY(),Holidays)-1)&amp;" business day(s) late. Send now.",IF($T321="DUE TOMORROW","Next: "&amp;$Z321&amp;IF($Y321&lt;=TODAY()," is due TODAY ("," is due next business day (")&amp;TEXT($Y321,"dd-mmm")&amp;").","Next: "&amp;$Z321&amp;" due "&amp;TEXT($Y321,"dd-mmm")&amp;" ("&amp;(NETWORKDAYS(TODAY(),$Y321,Holidays)-1)&amp;" business day(s) left).")))))</f>
        <v/>
      </c>
      <c r="V321" s="17">
        <f>IF($W321="","",CHOOSE($W321,"Collection Email","1st Follow-up","2nd Follow-up","Local Office","CBE","Roxanne")&amp;IF($W321=6," - Final"," - Day "&amp;MAX(0,NETWORKDAYS($X321,TODAY(),Holidays)-1)&amp;" of "&amp;CHOOSE($W321,3,3,2,2,3))&amp;" | Total Day "&amp;MAX(0,NETWORKDAYS($L321,TODAY(),Holidays)-1))</f>
        <v/>
      </c>
      <c r="W321" s="17">
        <f>IF($L321="","",COUNT($L321:$Q321))</f>
        <v/>
      </c>
      <c r="X321" s="18">
        <f>IF($W321="","",INT(INDEX($L321:$Q321,$W321)))</f>
        <v/>
      </c>
      <c r="Y321" s="18">
        <f>IF(OR($W321="",$W321=6),"",WORKDAY($X321,CHOOSE($W321,3,3,2,2,3),Holidays))</f>
        <v/>
      </c>
      <c r="Z321" s="17">
        <f>IF(OR($W321="",$W321=6),"",CHOOSE($W321,"1st Email Follow-up","2nd Email Follow-up","Escalate Local Office","Escalate to CBE","Escalate to Roxanne"))</f>
        <v/>
      </c>
    </row>
    <row r="322" spans="18:26">
      <c r="R322" s="15"/>
      <c r="S322" s="16"/>
      <c r="T322" s="17">
        <f>IF(AND(COUNTA($A322:$K322)=0,$L322=""),"",IF($S322="Paid","PAID",IF($S322="Closed","CLOSED",IF($W322="","",IF($W322=6,"ESCALATED TO ROXANNE",IF(TODAY()&gt;$Y322,"OVERDUE",IF($Y322&lt;=WORKDAY(TODAY(),1,Holidays),"DUE TOMORROW",IF($W322=4,"ESCALATED TO LOCAL OFFICE",IF($W322=5,"ESCALATED TO CBE",IF($X322=TODAY(),"EMAIL SENT","MONITORING"))))))))))</f>
        <v/>
      </c>
      <c r="U322" s="17">
        <f>IF($T322="",IF(AND(COUNTA($A322:$K322)&gt;0,$L322=""),"Awaiting Collection Email time stamp.",""),IF(OR($T322="PAID",$T322="CLOSED"),IF($T322="PAID","Account paid. Action completed.","Account closed. No further action required."),CHOOSE($W322,"Collection Email","1st Email Follow-up","2nd Email Follow-up","Escalation to Local Office","Escalation to CBE","Escalation to Roxanne")&amp;" sent "&amp;TEXT($X322,"dd-mmm")&amp;". "&amp;IF($W322=6,"Final escalation completed.",IF($T322="OVERDUE","Next: "&amp;$Z322&amp;" was due "&amp;TEXT($Y322,"dd-mmm")&amp;" - "&amp;(NETWORKDAYS($Y322,TODAY(),Holidays)-1)&amp;" business day(s) late. Send now.",IF($T322="DUE TOMORROW","Next: "&amp;$Z322&amp;IF($Y322&lt;=TODAY()," is due TODAY ("," is due next business day (")&amp;TEXT($Y322,"dd-mmm")&amp;").","Next: "&amp;$Z322&amp;" due "&amp;TEXT($Y322,"dd-mmm")&amp;" ("&amp;(NETWORKDAYS(TODAY(),$Y322,Holidays)-1)&amp;" business day(s) left).")))))</f>
        <v/>
      </c>
      <c r="V322" s="17">
        <f>IF($W322="","",CHOOSE($W322,"Collection Email","1st Follow-up","2nd Follow-up","Local Office","CBE","Roxanne")&amp;IF($W322=6," - Final"," - Day "&amp;MAX(0,NETWORKDAYS($X322,TODAY(),Holidays)-1)&amp;" of "&amp;CHOOSE($W322,3,3,2,2,3))&amp;" | Total Day "&amp;MAX(0,NETWORKDAYS($L322,TODAY(),Holidays)-1))</f>
        <v/>
      </c>
      <c r="W322" s="17">
        <f>IF($L322="","",COUNT($L322:$Q322))</f>
        <v/>
      </c>
      <c r="X322" s="18">
        <f>IF($W322="","",INT(INDEX($L322:$Q322,$W322)))</f>
        <v/>
      </c>
      <c r="Y322" s="18">
        <f>IF(OR($W322="",$W322=6),"",WORKDAY($X322,CHOOSE($W322,3,3,2,2,3),Holidays))</f>
        <v/>
      </c>
      <c r="Z322" s="17">
        <f>IF(OR($W322="",$W322=6),"",CHOOSE($W322,"1st Email Follow-up","2nd Email Follow-up","Escalate Local Office","Escalate to CBE","Escalate to Roxanne"))</f>
        <v/>
      </c>
    </row>
    <row r="323" spans="18:26">
      <c r="R323" s="15"/>
      <c r="S323" s="16"/>
      <c r="T323" s="17">
        <f>IF(AND(COUNTA($A323:$K323)=0,$L323=""),"",IF($S323="Paid","PAID",IF($S323="Closed","CLOSED",IF($W323="","",IF($W323=6,"ESCALATED TO ROXANNE",IF(TODAY()&gt;$Y323,"OVERDUE",IF($Y323&lt;=WORKDAY(TODAY(),1,Holidays),"DUE TOMORROW",IF($W323=4,"ESCALATED TO LOCAL OFFICE",IF($W323=5,"ESCALATED TO CBE",IF($X323=TODAY(),"EMAIL SENT","MONITORING"))))))))))</f>
        <v/>
      </c>
      <c r="U323" s="17">
        <f>IF($T323="",IF(AND(COUNTA($A323:$K323)&gt;0,$L323=""),"Awaiting Collection Email time stamp.",""),IF(OR($T323="PAID",$T323="CLOSED"),IF($T323="PAID","Account paid. Action completed.","Account closed. No further action required."),CHOOSE($W323,"Collection Email","1st Email Follow-up","2nd Email Follow-up","Escalation to Local Office","Escalation to CBE","Escalation to Roxanne")&amp;" sent "&amp;TEXT($X323,"dd-mmm")&amp;". "&amp;IF($W323=6,"Final escalation completed.",IF($T323="OVERDUE","Next: "&amp;$Z323&amp;" was due "&amp;TEXT($Y323,"dd-mmm")&amp;" - "&amp;(NETWORKDAYS($Y323,TODAY(),Holidays)-1)&amp;" business day(s) late. Send now.",IF($T323="DUE TOMORROW","Next: "&amp;$Z323&amp;IF($Y323&lt;=TODAY()," is due TODAY ("," is due next business day (")&amp;TEXT($Y323,"dd-mmm")&amp;").","Next: "&amp;$Z323&amp;" due "&amp;TEXT($Y323,"dd-mmm")&amp;" ("&amp;(NETWORKDAYS(TODAY(),$Y323,Holidays)-1)&amp;" business day(s) left).")))))</f>
        <v/>
      </c>
      <c r="V323" s="17">
        <f>IF($W323="","",CHOOSE($W323,"Collection Email","1st Follow-up","2nd Follow-up","Local Office","CBE","Roxanne")&amp;IF($W323=6," - Final"," - Day "&amp;MAX(0,NETWORKDAYS($X323,TODAY(),Holidays)-1)&amp;" of "&amp;CHOOSE($W323,3,3,2,2,3))&amp;" | Total Day "&amp;MAX(0,NETWORKDAYS($L323,TODAY(),Holidays)-1))</f>
        <v/>
      </c>
      <c r="W323" s="17">
        <f>IF($L323="","",COUNT($L323:$Q323))</f>
        <v/>
      </c>
      <c r="X323" s="18">
        <f>IF($W323="","",INT(INDEX($L323:$Q323,$W323)))</f>
        <v/>
      </c>
      <c r="Y323" s="18">
        <f>IF(OR($W323="",$W323=6),"",WORKDAY($X323,CHOOSE($W323,3,3,2,2,3),Holidays))</f>
        <v/>
      </c>
      <c r="Z323" s="17">
        <f>IF(OR($W323="",$W323=6),"",CHOOSE($W323,"1st Email Follow-up","2nd Email Follow-up","Escalate Local Office","Escalate to CBE","Escalate to Roxanne"))</f>
        <v/>
      </c>
    </row>
    <row r="324" spans="18:26">
      <c r="R324" s="15"/>
      <c r="S324" s="16"/>
      <c r="T324" s="17">
        <f>IF(AND(COUNTA($A324:$K324)=0,$L324=""),"",IF($S324="Paid","PAID",IF($S324="Closed","CLOSED",IF($W324="","",IF($W324=6,"ESCALATED TO ROXANNE",IF(TODAY()&gt;$Y324,"OVERDUE",IF($Y324&lt;=WORKDAY(TODAY(),1,Holidays),"DUE TOMORROW",IF($W324=4,"ESCALATED TO LOCAL OFFICE",IF($W324=5,"ESCALATED TO CBE",IF($X324=TODAY(),"EMAIL SENT","MONITORING"))))))))))</f>
        <v/>
      </c>
      <c r="U324" s="17">
        <f>IF($T324="",IF(AND(COUNTA($A324:$K324)&gt;0,$L324=""),"Awaiting Collection Email time stamp.",""),IF(OR($T324="PAID",$T324="CLOSED"),IF($T324="PAID","Account paid. Action completed.","Account closed. No further action required."),CHOOSE($W324,"Collection Email","1st Email Follow-up","2nd Email Follow-up","Escalation to Local Office","Escalation to CBE","Escalation to Roxanne")&amp;" sent "&amp;TEXT($X324,"dd-mmm")&amp;". "&amp;IF($W324=6,"Final escalation completed.",IF($T324="OVERDUE","Next: "&amp;$Z324&amp;" was due "&amp;TEXT($Y324,"dd-mmm")&amp;" - "&amp;(NETWORKDAYS($Y324,TODAY(),Holidays)-1)&amp;" business day(s) late. Send now.",IF($T324="DUE TOMORROW","Next: "&amp;$Z324&amp;IF($Y324&lt;=TODAY()," is due TODAY ("," is due next business day (")&amp;TEXT($Y324,"dd-mmm")&amp;").","Next: "&amp;$Z324&amp;" due "&amp;TEXT($Y324,"dd-mmm")&amp;" ("&amp;(NETWORKDAYS(TODAY(),$Y324,Holidays)-1)&amp;" business day(s) left).")))))</f>
        <v/>
      </c>
      <c r="V324" s="17">
        <f>IF($W324="","",CHOOSE($W324,"Collection Email","1st Follow-up","2nd Follow-up","Local Office","CBE","Roxanne")&amp;IF($W324=6," - Final"," - Day "&amp;MAX(0,NETWORKDAYS($X324,TODAY(),Holidays)-1)&amp;" of "&amp;CHOOSE($W324,3,3,2,2,3))&amp;" | Total Day "&amp;MAX(0,NETWORKDAYS($L324,TODAY(),Holidays)-1))</f>
        <v/>
      </c>
      <c r="W324" s="17">
        <f>IF($L324="","",COUNT($L324:$Q324))</f>
        <v/>
      </c>
      <c r="X324" s="18">
        <f>IF($W324="","",INT(INDEX($L324:$Q324,$W324)))</f>
        <v/>
      </c>
      <c r="Y324" s="18">
        <f>IF(OR($W324="",$W324=6),"",WORKDAY($X324,CHOOSE($W324,3,3,2,2,3),Holidays))</f>
        <v/>
      </c>
      <c r="Z324" s="17">
        <f>IF(OR($W324="",$W324=6),"",CHOOSE($W324,"1st Email Follow-up","2nd Email Follow-up","Escalate Local Office","Escalate to CBE","Escalate to Roxanne"))</f>
        <v/>
      </c>
    </row>
    <row r="325" spans="18:26">
      <c r="R325" s="15"/>
      <c r="S325" s="16"/>
      <c r="T325" s="17">
        <f>IF(AND(COUNTA($A325:$K325)=0,$L325=""),"",IF($S325="Paid","PAID",IF($S325="Closed","CLOSED",IF($W325="","",IF($W325=6,"ESCALATED TO ROXANNE",IF(TODAY()&gt;$Y325,"OVERDUE",IF($Y325&lt;=WORKDAY(TODAY(),1,Holidays),"DUE TOMORROW",IF($W325=4,"ESCALATED TO LOCAL OFFICE",IF($W325=5,"ESCALATED TO CBE",IF($X325=TODAY(),"EMAIL SENT","MONITORING"))))))))))</f>
        <v/>
      </c>
      <c r="U325" s="17">
        <f>IF($T325="",IF(AND(COUNTA($A325:$K325)&gt;0,$L325=""),"Awaiting Collection Email time stamp.",""),IF(OR($T325="PAID",$T325="CLOSED"),IF($T325="PAID","Account paid. Action completed.","Account closed. No further action required."),CHOOSE($W325,"Collection Email","1st Email Follow-up","2nd Email Follow-up","Escalation to Local Office","Escalation to CBE","Escalation to Roxanne")&amp;" sent "&amp;TEXT($X325,"dd-mmm")&amp;". "&amp;IF($W325=6,"Final escalation completed.",IF($T325="OVERDUE","Next: "&amp;$Z325&amp;" was due "&amp;TEXT($Y325,"dd-mmm")&amp;" - "&amp;(NETWORKDAYS($Y325,TODAY(),Holidays)-1)&amp;" business day(s) late. Send now.",IF($T325="DUE TOMORROW","Next: "&amp;$Z325&amp;IF($Y325&lt;=TODAY()," is due TODAY ("," is due next business day (")&amp;TEXT($Y325,"dd-mmm")&amp;").","Next: "&amp;$Z325&amp;" due "&amp;TEXT($Y325,"dd-mmm")&amp;" ("&amp;(NETWORKDAYS(TODAY(),$Y325,Holidays)-1)&amp;" business day(s) left).")))))</f>
        <v/>
      </c>
      <c r="V325" s="17">
        <f>IF($W325="","",CHOOSE($W325,"Collection Email","1st Follow-up","2nd Follow-up","Local Office","CBE","Roxanne")&amp;IF($W325=6," - Final"," - Day "&amp;MAX(0,NETWORKDAYS($X325,TODAY(),Holidays)-1)&amp;" of "&amp;CHOOSE($W325,3,3,2,2,3))&amp;" | Total Day "&amp;MAX(0,NETWORKDAYS($L325,TODAY(),Holidays)-1))</f>
        <v/>
      </c>
      <c r="W325" s="17">
        <f>IF($L325="","",COUNT($L325:$Q325))</f>
        <v/>
      </c>
      <c r="X325" s="18">
        <f>IF($W325="","",INT(INDEX($L325:$Q325,$W325)))</f>
        <v/>
      </c>
      <c r="Y325" s="18">
        <f>IF(OR($W325="",$W325=6),"",WORKDAY($X325,CHOOSE($W325,3,3,2,2,3),Holidays))</f>
        <v/>
      </c>
      <c r="Z325" s="17">
        <f>IF(OR($W325="",$W325=6),"",CHOOSE($W325,"1st Email Follow-up","2nd Email Follow-up","Escalate Local Office","Escalate to CBE","Escalate to Roxanne"))</f>
        <v/>
      </c>
    </row>
    <row r="326" spans="18:26">
      <c r="R326" s="15"/>
      <c r="S326" s="16"/>
      <c r="T326" s="17">
        <f>IF(AND(COUNTA($A326:$K326)=0,$L326=""),"",IF($S326="Paid","PAID",IF($S326="Closed","CLOSED",IF($W326="","",IF($W326=6,"ESCALATED TO ROXANNE",IF(TODAY()&gt;$Y326,"OVERDUE",IF($Y326&lt;=WORKDAY(TODAY(),1,Holidays),"DUE TOMORROW",IF($W326=4,"ESCALATED TO LOCAL OFFICE",IF($W326=5,"ESCALATED TO CBE",IF($X326=TODAY(),"EMAIL SENT","MONITORING"))))))))))</f>
        <v/>
      </c>
      <c r="U326" s="17">
        <f>IF($T326="",IF(AND(COUNTA($A326:$K326)&gt;0,$L326=""),"Awaiting Collection Email time stamp.",""),IF(OR($T326="PAID",$T326="CLOSED"),IF($T326="PAID","Account paid. Action completed.","Account closed. No further action required."),CHOOSE($W326,"Collection Email","1st Email Follow-up","2nd Email Follow-up","Escalation to Local Office","Escalation to CBE","Escalation to Roxanne")&amp;" sent "&amp;TEXT($X326,"dd-mmm")&amp;". "&amp;IF($W326=6,"Final escalation completed.",IF($T326="OVERDUE","Next: "&amp;$Z326&amp;" was due "&amp;TEXT($Y326,"dd-mmm")&amp;" - "&amp;(NETWORKDAYS($Y326,TODAY(),Holidays)-1)&amp;" business day(s) late. Send now.",IF($T326="DUE TOMORROW","Next: "&amp;$Z326&amp;IF($Y326&lt;=TODAY()," is due TODAY ("," is due next business day (")&amp;TEXT($Y326,"dd-mmm")&amp;").","Next: "&amp;$Z326&amp;" due "&amp;TEXT($Y326,"dd-mmm")&amp;" ("&amp;(NETWORKDAYS(TODAY(),$Y326,Holidays)-1)&amp;" business day(s) left).")))))</f>
        <v/>
      </c>
      <c r="V326" s="17">
        <f>IF($W326="","",CHOOSE($W326,"Collection Email","1st Follow-up","2nd Follow-up","Local Office","CBE","Roxanne")&amp;IF($W326=6," - Final"," - Day "&amp;MAX(0,NETWORKDAYS($X326,TODAY(),Holidays)-1)&amp;" of "&amp;CHOOSE($W326,3,3,2,2,3))&amp;" | Total Day "&amp;MAX(0,NETWORKDAYS($L326,TODAY(),Holidays)-1))</f>
        <v/>
      </c>
      <c r="W326" s="17">
        <f>IF($L326="","",COUNT($L326:$Q326))</f>
        <v/>
      </c>
      <c r="X326" s="18">
        <f>IF($W326="","",INT(INDEX($L326:$Q326,$W326)))</f>
        <v/>
      </c>
      <c r="Y326" s="18">
        <f>IF(OR($W326="",$W326=6),"",WORKDAY($X326,CHOOSE($W326,3,3,2,2,3),Holidays))</f>
        <v/>
      </c>
      <c r="Z326" s="17">
        <f>IF(OR($W326="",$W326=6),"",CHOOSE($W326,"1st Email Follow-up","2nd Email Follow-up","Escalate Local Office","Escalate to CBE","Escalate to Roxanne"))</f>
        <v/>
      </c>
    </row>
    <row r="327" spans="18:26">
      <c r="R327" s="15"/>
      <c r="S327" s="16"/>
      <c r="T327" s="17">
        <f>IF(AND(COUNTA($A327:$K327)=0,$L327=""),"",IF($S327="Paid","PAID",IF($S327="Closed","CLOSED",IF($W327="","",IF($W327=6,"ESCALATED TO ROXANNE",IF(TODAY()&gt;$Y327,"OVERDUE",IF($Y327&lt;=WORKDAY(TODAY(),1,Holidays),"DUE TOMORROW",IF($W327=4,"ESCALATED TO LOCAL OFFICE",IF($W327=5,"ESCALATED TO CBE",IF($X327=TODAY(),"EMAIL SENT","MONITORING"))))))))))</f>
        <v/>
      </c>
      <c r="U327" s="17">
        <f>IF($T327="",IF(AND(COUNTA($A327:$K327)&gt;0,$L327=""),"Awaiting Collection Email time stamp.",""),IF(OR($T327="PAID",$T327="CLOSED"),IF($T327="PAID","Account paid. Action completed.","Account closed. No further action required."),CHOOSE($W327,"Collection Email","1st Email Follow-up","2nd Email Follow-up","Escalation to Local Office","Escalation to CBE","Escalation to Roxanne")&amp;" sent "&amp;TEXT($X327,"dd-mmm")&amp;". "&amp;IF($W327=6,"Final escalation completed.",IF($T327="OVERDUE","Next: "&amp;$Z327&amp;" was due "&amp;TEXT($Y327,"dd-mmm")&amp;" - "&amp;(NETWORKDAYS($Y327,TODAY(),Holidays)-1)&amp;" business day(s) late. Send now.",IF($T327="DUE TOMORROW","Next: "&amp;$Z327&amp;IF($Y327&lt;=TODAY()," is due TODAY ("," is due next business day (")&amp;TEXT($Y327,"dd-mmm")&amp;").","Next: "&amp;$Z327&amp;" due "&amp;TEXT($Y327,"dd-mmm")&amp;" ("&amp;(NETWORKDAYS(TODAY(),$Y327,Holidays)-1)&amp;" business day(s) left).")))))</f>
        <v/>
      </c>
      <c r="V327" s="17">
        <f>IF($W327="","",CHOOSE($W327,"Collection Email","1st Follow-up","2nd Follow-up","Local Office","CBE","Roxanne")&amp;IF($W327=6," - Final"," - Day "&amp;MAX(0,NETWORKDAYS($X327,TODAY(),Holidays)-1)&amp;" of "&amp;CHOOSE($W327,3,3,2,2,3))&amp;" | Total Day "&amp;MAX(0,NETWORKDAYS($L327,TODAY(),Holidays)-1))</f>
        <v/>
      </c>
      <c r="W327" s="17">
        <f>IF($L327="","",COUNT($L327:$Q327))</f>
        <v/>
      </c>
      <c r="X327" s="18">
        <f>IF($W327="","",INT(INDEX($L327:$Q327,$W327)))</f>
        <v/>
      </c>
      <c r="Y327" s="18">
        <f>IF(OR($W327="",$W327=6),"",WORKDAY($X327,CHOOSE($W327,3,3,2,2,3),Holidays))</f>
        <v/>
      </c>
      <c r="Z327" s="17">
        <f>IF(OR($W327="",$W327=6),"",CHOOSE($W327,"1st Email Follow-up","2nd Email Follow-up","Escalate Local Office","Escalate to CBE","Escalate to Roxanne"))</f>
        <v/>
      </c>
    </row>
    <row r="328" spans="18:26">
      <c r="R328" s="15"/>
      <c r="S328" s="16"/>
      <c r="T328" s="17">
        <f>IF(AND(COUNTA($A328:$K328)=0,$L328=""),"",IF($S328="Paid","PAID",IF($S328="Closed","CLOSED",IF($W328="","",IF($W328=6,"ESCALATED TO ROXANNE",IF(TODAY()&gt;$Y328,"OVERDUE",IF($Y328&lt;=WORKDAY(TODAY(),1,Holidays),"DUE TOMORROW",IF($W328=4,"ESCALATED TO LOCAL OFFICE",IF($W328=5,"ESCALATED TO CBE",IF($X328=TODAY(),"EMAIL SENT","MONITORING"))))))))))</f>
        <v/>
      </c>
      <c r="U328" s="17">
        <f>IF($T328="",IF(AND(COUNTA($A328:$K328)&gt;0,$L328=""),"Awaiting Collection Email time stamp.",""),IF(OR($T328="PAID",$T328="CLOSED"),IF($T328="PAID","Account paid. Action completed.","Account closed. No further action required."),CHOOSE($W328,"Collection Email","1st Email Follow-up","2nd Email Follow-up","Escalation to Local Office","Escalation to CBE","Escalation to Roxanne")&amp;" sent "&amp;TEXT($X328,"dd-mmm")&amp;". "&amp;IF($W328=6,"Final escalation completed.",IF($T328="OVERDUE","Next: "&amp;$Z328&amp;" was due "&amp;TEXT($Y328,"dd-mmm")&amp;" - "&amp;(NETWORKDAYS($Y328,TODAY(),Holidays)-1)&amp;" business day(s) late. Send now.",IF($T328="DUE TOMORROW","Next: "&amp;$Z328&amp;IF($Y328&lt;=TODAY()," is due TODAY ("," is due next business day (")&amp;TEXT($Y328,"dd-mmm")&amp;").","Next: "&amp;$Z328&amp;" due "&amp;TEXT($Y328,"dd-mmm")&amp;" ("&amp;(NETWORKDAYS(TODAY(),$Y328,Holidays)-1)&amp;" business day(s) left).")))))</f>
        <v/>
      </c>
      <c r="V328" s="17">
        <f>IF($W328="","",CHOOSE($W328,"Collection Email","1st Follow-up","2nd Follow-up","Local Office","CBE","Roxanne")&amp;IF($W328=6," - Final"," - Day "&amp;MAX(0,NETWORKDAYS($X328,TODAY(),Holidays)-1)&amp;" of "&amp;CHOOSE($W328,3,3,2,2,3))&amp;" | Total Day "&amp;MAX(0,NETWORKDAYS($L328,TODAY(),Holidays)-1))</f>
        <v/>
      </c>
      <c r="W328" s="17">
        <f>IF($L328="","",COUNT($L328:$Q328))</f>
        <v/>
      </c>
      <c r="X328" s="18">
        <f>IF($W328="","",INT(INDEX($L328:$Q328,$W328)))</f>
        <v/>
      </c>
      <c r="Y328" s="18">
        <f>IF(OR($W328="",$W328=6),"",WORKDAY($X328,CHOOSE($W328,3,3,2,2,3),Holidays))</f>
        <v/>
      </c>
      <c r="Z328" s="17">
        <f>IF(OR($W328="",$W328=6),"",CHOOSE($W328,"1st Email Follow-up","2nd Email Follow-up","Escalate Local Office","Escalate to CBE","Escalate to Roxanne"))</f>
        <v/>
      </c>
    </row>
    <row r="329" spans="18:26">
      <c r="R329" s="15"/>
      <c r="S329" s="16"/>
      <c r="T329" s="17">
        <f>IF(AND(COUNTA($A329:$K329)=0,$L329=""),"",IF($S329="Paid","PAID",IF($S329="Closed","CLOSED",IF($W329="","",IF($W329=6,"ESCALATED TO ROXANNE",IF(TODAY()&gt;$Y329,"OVERDUE",IF($Y329&lt;=WORKDAY(TODAY(),1,Holidays),"DUE TOMORROW",IF($W329=4,"ESCALATED TO LOCAL OFFICE",IF($W329=5,"ESCALATED TO CBE",IF($X329=TODAY(),"EMAIL SENT","MONITORING"))))))))))</f>
        <v/>
      </c>
      <c r="U329" s="17">
        <f>IF($T329="",IF(AND(COUNTA($A329:$K329)&gt;0,$L329=""),"Awaiting Collection Email time stamp.",""),IF(OR($T329="PAID",$T329="CLOSED"),IF($T329="PAID","Account paid. Action completed.","Account closed. No further action required."),CHOOSE($W329,"Collection Email","1st Email Follow-up","2nd Email Follow-up","Escalation to Local Office","Escalation to CBE","Escalation to Roxanne")&amp;" sent "&amp;TEXT($X329,"dd-mmm")&amp;". "&amp;IF($W329=6,"Final escalation completed.",IF($T329="OVERDUE","Next: "&amp;$Z329&amp;" was due "&amp;TEXT($Y329,"dd-mmm")&amp;" - "&amp;(NETWORKDAYS($Y329,TODAY(),Holidays)-1)&amp;" business day(s) late. Send now.",IF($T329="DUE TOMORROW","Next: "&amp;$Z329&amp;IF($Y329&lt;=TODAY()," is due TODAY ("," is due next business day (")&amp;TEXT($Y329,"dd-mmm")&amp;").","Next: "&amp;$Z329&amp;" due "&amp;TEXT($Y329,"dd-mmm")&amp;" ("&amp;(NETWORKDAYS(TODAY(),$Y329,Holidays)-1)&amp;" business day(s) left).")))))</f>
        <v/>
      </c>
      <c r="V329" s="17">
        <f>IF($W329="","",CHOOSE($W329,"Collection Email","1st Follow-up","2nd Follow-up","Local Office","CBE","Roxanne")&amp;IF($W329=6," - Final"," - Day "&amp;MAX(0,NETWORKDAYS($X329,TODAY(),Holidays)-1)&amp;" of "&amp;CHOOSE($W329,3,3,2,2,3))&amp;" | Total Day "&amp;MAX(0,NETWORKDAYS($L329,TODAY(),Holidays)-1))</f>
        <v/>
      </c>
      <c r="W329" s="17">
        <f>IF($L329="","",COUNT($L329:$Q329))</f>
        <v/>
      </c>
      <c r="X329" s="18">
        <f>IF($W329="","",INT(INDEX($L329:$Q329,$W329)))</f>
        <v/>
      </c>
      <c r="Y329" s="18">
        <f>IF(OR($W329="",$W329=6),"",WORKDAY($X329,CHOOSE($W329,3,3,2,2,3),Holidays))</f>
        <v/>
      </c>
      <c r="Z329" s="17">
        <f>IF(OR($W329="",$W329=6),"",CHOOSE($W329,"1st Email Follow-up","2nd Email Follow-up","Escalate Local Office","Escalate to CBE","Escalate to Roxanne"))</f>
        <v/>
      </c>
    </row>
    <row r="330" spans="18:26">
      <c r="R330" s="15"/>
      <c r="S330" s="16"/>
      <c r="T330" s="17">
        <f>IF(AND(COUNTA($A330:$K330)=0,$L330=""),"",IF($S330="Paid","PAID",IF($S330="Closed","CLOSED",IF($W330="","",IF($W330=6,"ESCALATED TO ROXANNE",IF(TODAY()&gt;$Y330,"OVERDUE",IF($Y330&lt;=WORKDAY(TODAY(),1,Holidays),"DUE TOMORROW",IF($W330=4,"ESCALATED TO LOCAL OFFICE",IF($W330=5,"ESCALATED TO CBE",IF($X330=TODAY(),"EMAIL SENT","MONITORING"))))))))))</f>
        <v/>
      </c>
      <c r="U330" s="17">
        <f>IF($T330="",IF(AND(COUNTA($A330:$K330)&gt;0,$L330=""),"Awaiting Collection Email time stamp.",""),IF(OR($T330="PAID",$T330="CLOSED"),IF($T330="PAID","Account paid. Action completed.","Account closed. No further action required."),CHOOSE($W330,"Collection Email","1st Email Follow-up","2nd Email Follow-up","Escalation to Local Office","Escalation to CBE","Escalation to Roxanne")&amp;" sent "&amp;TEXT($X330,"dd-mmm")&amp;". "&amp;IF($W330=6,"Final escalation completed.",IF($T330="OVERDUE","Next: "&amp;$Z330&amp;" was due "&amp;TEXT($Y330,"dd-mmm")&amp;" - "&amp;(NETWORKDAYS($Y330,TODAY(),Holidays)-1)&amp;" business day(s) late. Send now.",IF($T330="DUE TOMORROW","Next: "&amp;$Z330&amp;IF($Y330&lt;=TODAY()," is due TODAY ("," is due next business day (")&amp;TEXT($Y330,"dd-mmm")&amp;").","Next: "&amp;$Z330&amp;" due "&amp;TEXT($Y330,"dd-mmm")&amp;" ("&amp;(NETWORKDAYS(TODAY(),$Y330,Holidays)-1)&amp;" business day(s) left).")))))</f>
        <v/>
      </c>
      <c r="V330" s="17">
        <f>IF($W330="","",CHOOSE($W330,"Collection Email","1st Follow-up","2nd Follow-up","Local Office","CBE","Roxanne")&amp;IF($W330=6," - Final"," - Day "&amp;MAX(0,NETWORKDAYS($X330,TODAY(),Holidays)-1)&amp;" of "&amp;CHOOSE($W330,3,3,2,2,3))&amp;" | Total Day "&amp;MAX(0,NETWORKDAYS($L330,TODAY(),Holidays)-1))</f>
        <v/>
      </c>
      <c r="W330" s="17">
        <f>IF($L330="","",COUNT($L330:$Q330))</f>
        <v/>
      </c>
      <c r="X330" s="18">
        <f>IF($W330="","",INT(INDEX($L330:$Q330,$W330)))</f>
        <v/>
      </c>
      <c r="Y330" s="18">
        <f>IF(OR($W330="",$W330=6),"",WORKDAY($X330,CHOOSE($W330,3,3,2,2,3),Holidays))</f>
        <v/>
      </c>
      <c r="Z330" s="17">
        <f>IF(OR($W330="",$W330=6),"",CHOOSE($W330,"1st Email Follow-up","2nd Email Follow-up","Escalate Local Office","Escalate to CBE","Escalate to Roxanne"))</f>
        <v/>
      </c>
    </row>
    <row r="331" spans="18:26">
      <c r="R331" s="15"/>
      <c r="S331" s="16"/>
      <c r="T331" s="17">
        <f>IF(AND(COUNTA($A331:$K331)=0,$L331=""),"",IF($S331="Paid","PAID",IF($S331="Closed","CLOSED",IF($W331="","",IF($W331=6,"ESCALATED TO ROXANNE",IF(TODAY()&gt;$Y331,"OVERDUE",IF($Y331&lt;=WORKDAY(TODAY(),1,Holidays),"DUE TOMORROW",IF($W331=4,"ESCALATED TO LOCAL OFFICE",IF($W331=5,"ESCALATED TO CBE",IF($X331=TODAY(),"EMAIL SENT","MONITORING"))))))))))</f>
        <v/>
      </c>
      <c r="U331" s="17">
        <f>IF($T331="",IF(AND(COUNTA($A331:$K331)&gt;0,$L331=""),"Awaiting Collection Email time stamp.",""),IF(OR($T331="PAID",$T331="CLOSED"),IF($T331="PAID","Account paid. Action completed.","Account closed. No further action required."),CHOOSE($W331,"Collection Email","1st Email Follow-up","2nd Email Follow-up","Escalation to Local Office","Escalation to CBE","Escalation to Roxanne")&amp;" sent "&amp;TEXT($X331,"dd-mmm")&amp;". "&amp;IF($W331=6,"Final escalation completed.",IF($T331="OVERDUE","Next: "&amp;$Z331&amp;" was due "&amp;TEXT($Y331,"dd-mmm")&amp;" - "&amp;(NETWORKDAYS($Y331,TODAY(),Holidays)-1)&amp;" business day(s) late. Send now.",IF($T331="DUE TOMORROW","Next: "&amp;$Z331&amp;IF($Y331&lt;=TODAY()," is due TODAY ("," is due next business day (")&amp;TEXT($Y331,"dd-mmm")&amp;").","Next: "&amp;$Z331&amp;" due "&amp;TEXT($Y331,"dd-mmm")&amp;" ("&amp;(NETWORKDAYS(TODAY(),$Y331,Holidays)-1)&amp;" business day(s) left).")))))</f>
        <v/>
      </c>
      <c r="V331" s="17">
        <f>IF($W331="","",CHOOSE($W331,"Collection Email","1st Follow-up","2nd Follow-up","Local Office","CBE","Roxanne")&amp;IF($W331=6," - Final"," - Day "&amp;MAX(0,NETWORKDAYS($X331,TODAY(),Holidays)-1)&amp;" of "&amp;CHOOSE($W331,3,3,2,2,3))&amp;" | Total Day "&amp;MAX(0,NETWORKDAYS($L331,TODAY(),Holidays)-1))</f>
        <v/>
      </c>
      <c r="W331" s="17">
        <f>IF($L331="","",COUNT($L331:$Q331))</f>
        <v/>
      </c>
      <c r="X331" s="18">
        <f>IF($W331="","",INT(INDEX($L331:$Q331,$W331)))</f>
        <v/>
      </c>
      <c r="Y331" s="18">
        <f>IF(OR($W331="",$W331=6),"",WORKDAY($X331,CHOOSE($W331,3,3,2,2,3),Holidays))</f>
        <v/>
      </c>
      <c r="Z331" s="17">
        <f>IF(OR($W331="",$W331=6),"",CHOOSE($W331,"1st Email Follow-up","2nd Email Follow-up","Escalate Local Office","Escalate to CBE","Escalate to Roxanne"))</f>
        <v/>
      </c>
    </row>
    <row r="332" spans="18:26">
      <c r="R332" s="15"/>
      <c r="S332" s="16"/>
      <c r="T332" s="17">
        <f>IF(AND(COUNTA($A332:$K332)=0,$L332=""),"",IF($S332="Paid","PAID",IF($S332="Closed","CLOSED",IF($W332="","",IF($W332=6,"ESCALATED TO ROXANNE",IF(TODAY()&gt;$Y332,"OVERDUE",IF($Y332&lt;=WORKDAY(TODAY(),1,Holidays),"DUE TOMORROW",IF($W332=4,"ESCALATED TO LOCAL OFFICE",IF($W332=5,"ESCALATED TO CBE",IF($X332=TODAY(),"EMAIL SENT","MONITORING"))))))))))</f>
        <v/>
      </c>
      <c r="U332" s="17">
        <f>IF($T332="",IF(AND(COUNTA($A332:$K332)&gt;0,$L332=""),"Awaiting Collection Email time stamp.",""),IF(OR($T332="PAID",$T332="CLOSED"),IF($T332="PAID","Account paid. Action completed.","Account closed. No further action required."),CHOOSE($W332,"Collection Email","1st Email Follow-up","2nd Email Follow-up","Escalation to Local Office","Escalation to CBE","Escalation to Roxanne")&amp;" sent "&amp;TEXT($X332,"dd-mmm")&amp;". "&amp;IF($W332=6,"Final escalation completed.",IF($T332="OVERDUE","Next: "&amp;$Z332&amp;" was due "&amp;TEXT($Y332,"dd-mmm")&amp;" - "&amp;(NETWORKDAYS($Y332,TODAY(),Holidays)-1)&amp;" business day(s) late. Send now.",IF($T332="DUE TOMORROW","Next: "&amp;$Z332&amp;IF($Y332&lt;=TODAY()," is due TODAY ("," is due next business day (")&amp;TEXT($Y332,"dd-mmm")&amp;").","Next: "&amp;$Z332&amp;" due "&amp;TEXT($Y332,"dd-mmm")&amp;" ("&amp;(NETWORKDAYS(TODAY(),$Y332,Holidays)-1)&amp;" business day(s) left).")))))</f>
        <v/>
      </c>
      <c r="V332" s="17">
        <f>IF($W332="","",CHOOSE($W332,"Collection Email","1st Follow-up","2nd Follow-up","Local Office","CBE","Roxanne")&amp;IF($W332=6," - Final"," - Day "&amp;MAX(0,NETWORKDAYS($X332,TODAY(),Holidays)-1)&amp;" of "&amp;CHOOSE($W332,3,3,2,2,3))&amp;" | Total Day "&amp;MAX(0,NETWORKDAYS($L332,TODAY(),Holidays)-1))</f>
        <v/>
      </c>
      <c r="W332" s="17">
        <f>IF($L332="","",COUNT($L332:$Q332))</f>
        <v/>
      </c>
      <c r="X332" s="18">
        <f>IF($W332="","",INT(INDEX($L332:$Q332,$W332)))</f>
        <v/>
      </c>
      <c r="Y332" s="18">
        <f>IF(OR($W332="",$W332=6),"",WORKDAY($X332,CHOOSE($W332,3,3,2,2,3),Holidays))</f>
        <v/>
      </c>
      <c r="Z332" s="17">
        <f>IF(OR($W332="",$W332=6),"",CHOOSE($W332,"1st Email Follow-up","2nd Email Follow-up","Escalate Local Office","Escalate to CBE","Escalate to Roxanne"))</f>
        <v/>
      </c>
    </row>
    <row r="333" spans="18:26">
      <c r="R333" s="15"/>
      <c r="S333" s="16"/>
      <c r="T333" s="17">
        <f>IF(AND(COUNTA($A333:$K333)=0,$L333=""),"",IF($S333="Paid","PAID",IF($S333="Closed","CLOSED",IF($W333="","",IF($W333=6,"ESCALATED TO ROXANNE",IF(TODAY()&gt;$Y333,"OVERDUE",IF($Y333&lt;=WORKDAY(TODAY(),1,Holidays),"DUE TOMORROW",IF($W333=4,"ESCALATED TO LOCAL OFFICE",IF($W333=5,"ESCALATED TO CBE",IF($X333=TODAY(),"EMAIL SENT","MONITORING"))))))))))</f>
        <v/>
      </c>
      <c r="U333" s="17">
        <f>IF($T333="",IF(AND(COUNTA($A333:$K333)&gt;0,$L333=""),"Awaiting Collection Email time stamp.",""),IF(OR($T333="PAID",$T333="CLOSED"),IF($T333="PAID","Account paid. Action completed.","Account closed. No further action required."),CHOOSE($W333,"Collection Email","1st Email Follow-up","2nd Email Follow-up","Escalation to Local Office","Escalation to CBE","Escalation to Roxanne")&amp;" sent "&amp;TEXT($X333,"dd-mmm")&amp;". "&amp;IF($W333=6,"Final escalation completed.",IF($T333="OVERDUE","Next: "&amp;$Z333&amp;" was due "&amp;TEXT($Y333,"dd-mmm")&amp;" - "&amp;(NETWORKDAYS($Y333,TODAY(),Holidays)-1)&amp;" business day(s) late. Send now.",IF($T333="DUE TOMORROW","Next: "&amp;$Z333&amp;IF($Y333&lt;=TODAY()," is due TODAY ("," is due next business day (")&amp;TEXT($Y333,"dd-mmm")&amp;").","Next: "&amp;$Z333&amp;" due "&amp;TEXT($Y333,"dd-mmm")&amp;" ("&amp;(NETWORKDAYS(TODAY(),$Y333,Holidays)-1)&amp;" business day(s) left).")))))</f>
        <v/>
      </c>
      <c r="V333" s="17">
        <f>IF($W333="","",CHOOSE($W333,"Collection Email","1st Follow-up","2nd Follow-up","Local Office","CBE","Roxanne")&amp;IF($W333=6," - Final"," - Day "&amp;MAX(0,NETWORKDAYS($X333,TODAY(),Holidays)-1)&amp;" of "&amp;CHOOSE($W333,3,3,2,2,3))&amp;" | Total Day "&amp;MAX(0,NETWORKDAYS($L333,TODAY(),Holidays)-1))</f>
        <v/>
      </c>
      <c r="W333" s="17">
        <f>IF($L333="","",COUNT($L333:$Q333))</f>
        <v/>
      </c>
      <c r="X333" s="18">
        <f>IF($W333="","",INT(INDEX($L333:$Q333,$W333)))</f>
        <v/>
      </c>
      <c r="Y333" s="18">
        <f>IF(OR($W333="",$W333=6),"",WORKDAY($X333,CHOOSE($W333,3,3,2,2,3),Holidays))</f>
        <v/>
      </c>
      <c r="Z333" s="17">
        <f>IF(OR($W333="",$W333=6),"",CHOOSE($W333,"1st Email Follow-up","2nd Email Follow-up","Escalate Local Office","Escalate to CBE","Escalate to Roxanne"))</f>
        <v/>
      </c>
    </row>
    <row r="334" spans="18:26">
      <c r="R334" s="15"/>
      <c r="S334" s="16"/>
      <c r="T334" s="17">
        <f>IF(AND(COUNTA($A334:$K334)=0,$L334=""),"",IF($S334="Paid","PAID",IF($S334="Closed","CLOSED",IF($W334="","",IF($W334=6,"ESCALATED TO ROXANNE",IF(TODAY()&gt;$Y334,"OVERDUE",IF($Y334&lt;=WORKDAY(TODAY(),1,Holidays),"DUE TOMORROW",IF($W334=4,"ESCALATED TO LOCAL OFFICE",IF($W334=5,"ESCALATED TO CBE",IF($X334=TODAY(),"EMAIL SENT","MONITORING"))))))))))</f>
        <v/>
      </c>
      <c r="U334" s="17">
        <f>IF($T334="",IF(AND(COUNTA($A334:$K334)&gt;0,$L334=""),"Awaiting Collection Email time stamp.",""),IF(OR($T334="PAID",$T334="CLOSED"),IF($T334="PAID","Account paid. Action completed.","Account closed. No further action required."),CHOOSE($W334,"Collection Email","1st Email Follow-up","2nd Email Follow-up","Escalation to Local Office","Escalation to CBE","Escalation to Roxanne")&amp;" sent "&amp;TEXT($X334,"dd-mmm")&amp;". "&amp;IF($W334=6,"Final escalation completed.",IF($T334="OVERDUE","Next: "&amp;$Z334&amp;" was due "&amp;TEXT($Y334,"dd-mmm")&amp;" - "&amp;(NETWORKDAYS($Y334,TODAY(),Holidays)-1)&amp;" business day(s) late. Send now.",IF($T334="DUE TOMORROW","Next: "&amp;$Z334&amp;IF($Y334&lt;=TODAY()," is due TODAY ("," is due next business day (")&amp;TEXT($Y334,"dd-mmm")&amp;").","Next: "&amp;$Z334&amp;" due "&amp;TEXT($Y334,"dd-mmm")&amp;" ("&amp;(NETWORKDAYS(TODAY(),$Y334,Holidays)-1)&amp;" business day(s) left).")))))</f>
        <v/>
      </c>
      <c r="V334" s="17">
        <f>IF($W334="","",CHOOSE($W334,"Collection Email","1st Follow-up","2nd Follow-up","Local Office","CBE","Roxanne")&amp;IF($W334=6," - Final"," - Day "&amp;MAX(0,NETWORKDAYS($X334,TODAY(),Holidays)-1)&amp;" of "&amp;CHOOSE($W334,3,3,2,2,3))&amp;" | Total Day "&amp;MAX(0,NETWORKDAYS($L334,TODAY(),Holidays)-1))</f>
        <v/>
      </c>
      <c r="W334" s="17">
        <f>IF($L334="","",COUNT($L334:$Q334))</f>
        <v/>
      </c>
      <c r="X334" s="18">
        <f>IF($W334="","",INT(INDEX($L334:$Q334,$W334)))</f>
        <v/>
      </c>
      <c r="Y334" s="18">
        <f>IF(OR($W334="",$W334=6),"",WORKDAY($X334,CHOOSE($W334,3,3,2,2,3),Holidays))</f>
        <v/>
      </c>
      <c r="Z334" s="17">
        <f>IF(OR($W334="",$W334=6),"",CHOOSE($W334,"1st Email Follow-up","2nd Email Follow-up","Escalate Local Office","Escalate to CBE","Escalate to Roxanne"))</f>
        <v/>
      </c>
    </row>
    <row r="335" spans="18:26">
      <c r="R335" s="15"/>
      <c r="S335" s="16"/>
      <c r="T335" s="17">
        <f>IF(AND(COUNTA($A335:$K335)=0,$L335=""),"",IF($S335="Paid","PAID",IF($S335="Closed","CLOSED",IF($W335="","",IF($W335=6,"ESCALATED TO ROXANNE",IF(TODAY()&gt;$Y335,"OVERDUE",IF($Y335&lt;=WORKDAY(TODAY(),1,Holidays),"DUE TOMORROW",IF($W335=4,"ESCALATED TO LOCAL OFFICE",IF($W335=5,"ESCALATED TO CBE",IF($X335=TODAY(),"EMAIL SENT","MONITORING"))))))))))</f>
        <v/>
      </c>
      <c r="U335" s="17">
        <f>IF($T335="",IF(AND(COUNTA($A335:$K335)&gt;0,$L335=""),"Awaiting Collection Email time stamp.",""),IF(OR($T335="PAID",$T335="CLOSED"),IF($T335="PAID","Account paid. Action completed.","Account closed. No further action required."),CHOOSE($W335,"Collection Email","1st Email Follow-up","2nd Email Follow-up","Escalation to Local Office","Escalation to CBE","Escalation to Roxanne")&amp;" sent "&amp;TEXT($X335,"dd-mmm")&amp;". "&amp;IF($W335=6,"Final escalation completed.",IF($T335="OVERDUE","Next: "&amp;$Z335&amp;" was due "&amp;TEXT($Y335,"dd-mmm")&amp;" - "&amp;(NETWORKDAYS($Y335,TODAY(),Holidays)-1)&amp;" business day(s) late. Send now.",IF($T335="DUE TOMORROW","Next: "&amp;$Z335&amp;IF($Y335&lt;=TODAY()," is due TODAY ("," is due next business day (")&amp;TEXT($Y335,"dd-mmm")&amp;").","Next: "&amp;$Z335&amp;" due "&amp;TEXT($Y335,"dd-mmm")&amp;" ("&amp;(NETWORKDAYS(TODAY(),$Y335,Holidays)-1)&amp;" business day(s) left).")))))</f>
        <v/>
      </c>
      <c r="V335" s="17">
        <f>IF($W335="","",CHOOSE($W335,"Collection Email","1st Follow-up","2nd Follow-up","Local Office","CBE","Roxanne")&amp;IF($W335=6," - Final"," - Day "&amp;MAX(0,NETWORKDAYS($X335,TODAY(),Holidays)-1)&amp;" of "&amp;CHOOSE($W335,3,3,2,2,3))&amp;" | Total Day "&amp;MAX(0,NETWORKDAYS($L335,TODAY(),Holidays)-1))</f>
        <v/>
      </c>
      <c r="W335" s="17">
        <f>IF($L335="","",COUNT($L335:$Q335))</f>
        <v/>
      </c>
      <c r="X335" s="18">
        <f>IF($W335="","",INT(INDEX($L335:$Q335,$W335)))</f>
        <v/>
      </c>
      <c r="Y335" s="18">
        <f>IF(OR($W335="",$W335=6),"",WORKDAY($X335,CHOOSE($W335,3,3,2,2,3),Holidays))</f>
        <v/>
      </c>
      <c r="Z335" s="17">
        <f>IF(OR($W335="",$W335=6),"",CHOOSE($W335,"1st Email Follow-up","2nd Email Follow-up","Escalate Local Office","Escalate to CBE","Escalate to Roxanne"))</f>
        <v/>
      </c>
    </row>
    <row r="336" spans="18:26">
      <c r="R336" s="15"/>
      <c r="S336" s="16"/>
      <c r="T336" s="17">
        <f>IF(AND(COUNTA($A336:$K336)=0,$L336=""),"",IF($S336="Paid","PAID",IF($S336="Closed","CLOSED",IF($W336="","",IF($W336=6,"ESCALATED TO ROXANNE",IF(TODAY()&gt;$Y336,"OVERDUE",IF($Y336&lt;=WORKDAY(TODAY(),1,Holidays),"DUE TOMORROW",IF($W336=4,"ESCALATED TO LOCAL OFFICE",IF($W336=5,"ESCALATED TO CBE",IF($X336=TODAY(),"EMAIL SENT","MONITORING"))))))))))</f>
        <v/>
      </c>
      <c r="U336" s="17">
        <f>IF($T336="",IF(AND(COUNTA($A336:$K336)&gt;0,$L336=""),"Awaiting Collection Email time stamp.",""),IF(OR($T336="PAID",$T336="CLOSED"),IF($T336="PAID","Account paid. Action completed.","Account closed. No further action required."),CHOOSE($W336,"Collection Email","1st Email Follow-up","2nd Email Follow-up","Escalation to Local Office","Escalation to CBE","Escalation to Roxanne")&amp;" sent "&amp;TEXT($X336,"dd-mmm")&amp;". "&amp;IF($W336=6,"Final escalation completed.",IF($T336="OVERDUE","Next: "&amp;$Z336&amp;" was due "&amp;TEXT($Y336,"dd-mmm")&amp;" - "&amp;(NETWORKDAYS($Y336,TODAY(),Holidays)-1)&amp;" business day(s) late. Send now.",IF($T336="DUE TOMORROW","Next: "&amp;$Z336&amp;IF($Y336&lt;=TODAY()," is due TODAY ("," is due next business day (")&amp;TEXT($Y336,"dd-mmm")&amp;").","Next: "&amp;$Z336&amp;" due "&amp;TEXT($Y336,"dd-mmm")&amp;" ("&amp;(NETWORKDAYS(TODAY(),$Y336,Holidays)-1)&amp;" business day(s) left).")))))</f>
        <v/>
      </c>
      <c r="V336" s="17">
        <f>IF($W336="","",CHOOSE($W336,"Collection Email","1st Follow-up","2nd Follow-up","Local Office","CBE","Roxanne")&amp;IF($W336=6," - Final"," - Day "&amp;MAX(0,NETWORKDAYS($X336,TODAY(),Holidays)-1)&amp;" of "&amp;CHOOSE($W336,3,3,2,2,3))&amp;" | Total Day "&amp;MAX(0,NETWORKDAYS($L336,TODAY(),Holidays)-1))</f>
        <v/>
      </c>
      <c r="W336" s="17">
        <f>IF($L336="","",COUNT($L336:$Q336))</f>
        <v/>
      </c>
      <c r="X336" s="18">
        <f>IF($W336="","",INT(INDEX($L336:$Q336,$W336)))</f>
        <v/>
      </c>
      <c r="Y336" s="18">
        <f>IF(OR($W336="",$W336=6),"",WORKDAY($X336,CHOOSE($W336,3,3,2,2,3),Holidays))</f>
        <v/>
      </c>
      <c r="Z336" s="17">
        <f>IF(OR($W336="",$W336=6),"",CHOOSE($W336,"1st Email Follow-up","2nd Email Follow-up","Escalate Local Office","Escalate to CBE","Escalate to Roxanne"))</f>
        <v/>
      </c>
    </row>
    <row r="337" spans="18:26">
      <c r="R337" s="15"/>
      <c r="S337" s="16"/>
      <c r="T337" s="17">
        <f>IF(AND(COUNTA($A337:$K337)=0,$L337=""),"",IF($S337="Paid","PAID",IF($S337="Closed","CLOSED",IF($W337="","",IF($W337=6,"ESCALATED TO ROXANNE",IF(TODAY()&gt;$Y337,"OVERDUE",IF($Y337&lt;=WORKDAY(TODAY(),1,Holidays),"DUE TOMORROW",IF($W337=4,"ESCALATED TO LOCAL OFFICE",IF($W337=5,"ESCALATED TO CBE",IF($X337=TODAY(),"EMAIL SENT","MONITORING"))))))))))</f>
        <v/>
      </c>
      <c r="U337" s="17">
        <f>IF($T337="",IF(AND(COUNTA($A337:$K337)&gt;0,$L337=""),"Awaiting Collection Email time stamp.",""),IF(OR($T337="PAID",$T337="CLOSED"),IF($T337="PAID","Account paid. Action completed.","Account closed. No further action required."),CHOOSE($W337,"Collection Email","1st Email Follow-up","2nd Email Follow-up","Escalation to Local Office","Escalation to CBE","Escalation to Roxanne")&amp;" sent "&amp;TEXT($X337,"dd-mmm")&amp;". "&amp;IF($W337=6,"Final escalation completed.",IF($T337="OVERDUE","Next: "&amp;$Z337&amp;" was due "&amp;TEXT($Y337,"dd-mmm")&amp;" - "&amp;(NETWORKDAYS($Y337,TODAY(),Holidays)-1)&amp;" business day(s) late. Send now.",IF($T337="DUE TOMORROW","Next: "&amp;$Z337&amp;IF($Y337&lt;=TODAY()," is due TODAY ("," is due next business day (")&amp;TEXT($Y337,"dd-mmm")&amp;").","Next: "&amp;$Z337&amp;" due "&amp;TEXT($Y337,"dd-mmm")&amp;" ("&amp;(NETWORKDAYS(TODAY(),$Y337,Holidays)-1)&amp;" business day(s) left).")))))</f>
        <v/>
      </c>
      <c r="V337" s="17">
        <f>IF($W337="","",CHOOSE($W337,"Collection Email","1st Follow-up","2nd Follow-up","Local Office","CBE","Roxanne")&amp;IF($W337=6," - Final"," - Day "&amp;MAX(0,NETWORKDAYS($X337,TODAY(),Holidays)-1)&amp;" of "&amp;CHOOSE($W337,3,3,2,2,3))&amp;" | Total Day "&amp;MAX(0,NETWORKDAYS($L337,TODAY(),Holidays)-1))</f>
        <v/>
      </c>
      <c r="W337" s="17">
        <f>IF($L337="","",COUNT($L337:$Q337))</f>
        <v/>
      </c>
      <c r="X337" s="18">
        <f>IF($W337="","",INT(INDEX($L337:$Q337,$W337)))</f>
        <v/>
      </c>
      <c r="Y337" s="18">
        <f>IF(OR($W337="",$W337=6),"",WORKDAY($X337,CHOOSE($W337,3,3,2,2,3),Holidays))</f>
        <v/>
      </c>
      <c r="Z337" s="17">
        <f>IF(OR($W337="",$W337=6),"",CHOOSE($W337,"1st Email Follow-up","2nd Email Follow-up","Escalate Local Office","Escalate to CBE","Escalate to Roxanne"))</f>
        <v/>
      </c>
    </row>
    <row r="338" spans="18:26">
      <c r="R338" s="15"/>
      <c r="S338" s="16"/>
      <c r="T338" s="17">
        <f>IF(AND(COUNTA($A338:$K338)=0,$L338=""),"",IF($S338="Paid","PAID",IF($S338="Closed","CLOSED",IF($W338="","",IF($W338=6,"ESCALATED TO ROXANNE",IF(TODAY()&gt;$Y338,"OVERDUE",IF($Y338&lt;=WORKDAY(TODAY(),1,Holidays),"DUE TOMORROW",IF($W338=4,"ESCALATED TO LOCAL OFFICE",IF($W338=5,"ESCALATED TO CBE",IF($X338=TODAY(),"EMAIL SENT","MONITORING"))))))))))</f>
        <v/>
      </c>
      <c r="U338" s="17">
        <f>IF($T338="",IF(AND(COUNTA($A338:$K338)&gt;0,$L338=""),"Awaiting Collection Email time stamp.",""),IF(OR($T338="PAID",$T338="CLOSED"),IF($T338="PAID","Account paid. Action completed.","Account closed. No further action required."),CHOOSE($W338,"Collection Email","1st Email Follow-up","2nd Email Follow-up","Escalation to Local Office","Escalation to CBE","Escalation to Roxanne")&amp;" sent "&amp;TEXT($X338,"dd-mmm")&amp;". "&amp;IF($W338=6,"Final escalation completed.",IF($T338="OVERDUE","Next: "&amp;$Z338&amp;" was due "&amp;TEXT($Y338,"dd-mmm")&amp;" - "&amp;(NETWORKDAYS($Y338,TODAY(),Holidays)-1)&amp;" business day(s) late. Send now.",IF($T338="DUE TOMORROW","Next: "&amp;$Z338&amp;IF($Y338&lt;=TODAY()," is due TODAY ("," is due next business day (")&amp;TEXT($Y338,"dd-mmm")&amp;").","Next: "&amp;$Z338&amp;" due "&amp;TEXT($Y338,"dd-mmm")&amp;" ("&amp;(NETWORKDAYS(TODAY(),$Y338,Holidays)-1)&amp;" business day(s) left).")))))</f>
        <v/>
      </c>
      <c r="V338" s="17">
        <f>IF($W338="","",CHOOSE($W338,"Collection Email","1st Follow-up","2nd Follow-up","Local Office","CBE","Roxanne")&amp;IF($W338=6," - Final"," - Day "&amp;MAX(0,NETWORKDAYS($X338,TODAY(),Holidays)-1)&amp;" of "&amp;CHOOSE($W338,3,3,2,2,3))&amp;" | Total Day "&amp;MAX(0,NETWORKDAYS($L338,TODAY(),Holidays)-1))</f>
        <v/>
      </c>
      <c r="W338" s="17">
        <f>IF($L338="","",COUNT($L338:$Q338))</f>
        <v/>
      </c>
      <c r="X338" s="18">
        <f>IF($W338="","",INT(INDEX($L338:$Q338,$W338)))</f>
        <v/>
      </c>
      <c r="Y338" s="18">
        <f>IF(OR($W338="",$W338=6),"",WORKDAY($X338,CHOOSE($W338,3,3,2,2,3),Holidays))</f>
        <v/>
      </c>
      <c r="Z338" s="17">
        <f>IF(OR($W338="",$W338=6),"",CHOOSE($W338,"1st Email Follow-up","2nd Email Follow-up","Escalate Local Office","Escalate to CBE","Escalate to Roxanne"))</f>
        <v/>
      </c>
    </row>
    <row r="339" spans="18:26">
      <c r="R339" s="15"/>
      <c r="S339" s="16"/>
      <c r="T339" s="17">
        <f>IF(AND(COUNTA($A339:$K339)=0,$L339=""),"",IF($S339="Paid","PAID",IF($S339="Closed","CLOSED",IF($W339="","",IF($W339=6,"ESCALATED TO ROXANNE",IF(TODAY()&gt;$Y339,"OVERDUE",IF($Y339&lt;=WORKDAY(TODAY(),1,Holidays),"DUE TOMORROW",IF($W339=4,"ESCALATED TO LOCAL OFFICE",IF($W339=5,"ESCALATED TO CBE",IF($X339=TODAY(),"EMAIL SENT","MONITORING"))))))))))</f>
        <v/>
      </c>
      <c r="U339" s="17">
        <f>IF($T339="",IF(AND(COUNTA($A339:$K339)&gt;0,$L339=""),"Awaiting Collection Email time stamp.",""),IF(OR($T339="PAID",$T339="CLOSED"),IF($T339="PAID","Account paid. Action completed.","Account closed. No further action required."),CHOOSE($W339,"Collection Email","1st Email Follow-up","2nd Email Follow-up","Escalation to Local Office","Escalation to CBE","Escalation to Roxanne")&amp;" sent "&amp;TEXT($X339,"dd-mmm")&amp;". "&amp;IF($W339=6,"Final escalation completed.",IF($T339="OVERDUE","Next: "&amp;$Z339&amp;" was due "&amp;TEXT($Y339,"dd-mmm")&amp;" - "&amp;(NETWORKDAYS($Y339,TODAY(),Holidays)-1)&amp;" business day(s) late. Send now.",IF($T339="DUE TOMORROW","Next: "&amp;$Z339&amp;IF($Y339&lt;=TODAY()," is due TODAY ("," is due next business day (")&amp;TEXT($Y339,"dd-mmm")&amp;").","Next: "&amp;$Z339&amp;" due "&amp;TEXT($Y339,"dd-mmm")&amp;" ("&amp;(NETWORKDAYS(TODAY(),$Y339,Holidays)-1)&amp;" business day(s) left).")))))</f>
        <v/>
      </c>
      <c r="V339" s="17">
        <f>IF($W339="","",CHOOSE($W339,"Collection Email","1st Follow-up","2nd Follow-up","Local Office","CBE","Roxanne")&amp;IF($W339=6," - Final"," - Day "&amp;MAX(0,NETWORKDAYS($X339,TODAY(),Holidays)-1)&amp;" of "&amp;CHOOSE($W339,3,3,2,2,3))&amp;" | Total Day "&amp;MAX(0,NETWORKDAYS($L339,TODAY(),Holidays)-1))</f>
        <v/>
      </c>
      <c r="W339" s="17">
        <f>IF($L339="","",COUNT($L339:$Q339))</f>
        <v/>
      </c>
      <c r="X339" s="18">
        <f>IF($W339="","",INT(INDEX($L339:$Q339,$W339)))</f>
        <v/>
      </c>
      <c r="Y339" s="18">
        <f>IF(OR($W339="",$W339=6),"",WORKDAY($X339,CHOOSE($W339,3,3,2,2,3),Holidays))</f>
        <v/>
      </c>
      <c r="Z339" s="17">
        <f>IF(OR($W339="",$W339=6),"",CHOOSE($W339,"1st Email Follow-up","2nd Email Follow-up","Escalate Local Office","Escalate to CBE","Escalate to Roxanne"))</f>
        <v/>
      </c>
    </row>
    <row r="340" spans="18:26">
      <c r="R340" s="15"/>
      <c r="S340" s="16"/>
      <c r="T340" s="17">
        <f>IF(AND(COUNTA($A340:$K340)=0,$L340=""),"",IF($S340="Paid","PAID",IF($S340="Closed","CLOSED",IF($W340="","",IF($W340=6,"ESCALATED TO ROXANNE",IF(TODAY()&gt;$Y340,"OVERDUE",IF($Y340&lt;=WORKDAY(TODAY(),1,Holidays),"DUE TOMORROW",IF($W340=4,"ESCALATED TO LOCAL OFFICE",IF($W340=5,"ESCALATED TO CBE",IF($X340=TODAY(),"EMAIL SENT","MONITORING"))))))))))</f>
        <v/>
      </c>
      <c r="U340" s="17">
        <f>IF($T340="",IF(AND(COUNTA($A340:$K340)&gt;0,$L340=""),"Awaiting Collection Email time stamp.",""),IF(OR($T340="PAID",$T340="CLOSED"),IF($T340="PAID","Account paid. Action completed.","Account closed. No further action required."),CHOOSE($W340,"Collection Email","1st Email Follow-up","2nd Email Follow-up","Escalation to Local Office","Escalation to CBE","Escalation to Roxanne")&amp;" sent "&amp;TEXT($X340,"dd-mmm")&amp;". "&amp;IF($W340=6,"Final escalation completed.",IF($T340="OVERDUE","Next: "&amp;$Z340&amp;" was due "&amp;TEXT($Y340,"dd-mmm")&amp;" - "&amp;(NETWORKDAYS($Y340,TODAY(),Holidays)-1)&amp;" business day(s) late. Send now.",IF($T340="DUE TOMORROW","Next: "&amp;$Z340&amp;IF($Y340&lt;=TODAY()," is due TODAY ("," is due next business day (")&amp;TEXT($Y340,"dd-mmm")&amp;").","Next: "&amp;$Z340&amp;" due "&amp;TEXT($Y340,"dd-mmm")&amp;" ("&amp;(NETWORKDAYS(TODAY(),$Y340,Holidays)-1)&amp;" business day(s) left).")))))</f>
        <v/>
      </c>
      <c r="V340" s="17">
        <f>IF($W340="","",CHOOSE($W340,"Collection Email","1st Follow-up","2nd Follow-up","Local Office","CBE","Roxanne")&amp;IF($W340=6," - Final"," - Day "&amp;MAX(0,NETWORKDAYS($X340,TODAY(),Holidays)-1)&amp;" of "&amp;CHOOSE($W340,3,3,2,2,3))&amp;" | Total Day "&amp;MAX(0,NETWORKDAYS($L340,TODAY(),Holidays)-1))</f>
        <v/>
      </c>
      <c r="W340" s="17">
        <f>IF($L340="","",COUNT($L340:$Q340))</f>
        <v/>
      </c>
      <c r="X340" s="18">
        <f>IF($W340="","",INT(INDEX($L340:$Q340,$W340)))</f>
        <v/>
      </c>
      <c r="Y340" s="18">
        <f>IF(OR($W340="",$W340=6),"",WORKDAY($X340,CHOOSE($W340,3,3,2,2,3),Holidays))</f>
        <v/>
      </c>
      <c r="Z340" s="17">
        <f>IF(OR($W340="",$W340=6),"",CHOOSE($W340,"1st Email Follow-up","2nd Email Follow-up","Escalate Local Office","Escalate to CBE","Escalate to Roxanne"))</f>
        <v/>
      </c>
    </row>
    <row r="341" spans="18:26">
      <c r="R341" s="15"/>
      <c r="S341" s="16"/>
      <c r="T341" s="17">
        <f>IF(AND(COUNTA($A341:$K341)=0,$L341=""),"",IF($S341="Paid","PAID",IF($S341="Closed","CLOSED",IF($W341="","",IF($W341=6,"ESCALATED TO ROXANNE",IF(TODAY()&gt;$Y341,"OVERDUE",IF($Y341&lt;=WORKDAY(TODAY(),1,Holidays),"DUE TOMORROW",IF($W341=4,"ESCALATED TO LOCAL OFFICE",IF($W341=5,"ESCALATED TO CBE",IF($X341=TODAY(),"EMAIL SENT","MONITORING"))))))))))</f>
        <v/>
      </c>
      <c r="U341" s="17">
        <f>IF($T341="",IF(AND(COUNTA($A341:$K341)&gt;0,$L341=""),"Awaiting Collection Email time stamp.",""),IF(OR($T341="PAID",$T341="CLOSED"),IF($T341="PAID","Account paid. Action completed.","Account closed. No further action required."),CHOOSE($W341,"Collection Email","1st Email Follow-up","2nd Email Follow-up","Escalation to Local Office","Escalation to CBE","Escalation to Roxanne")&amp;" sent "&amp;TEXT($X341,"dd-mmm")&amp;". "&amp;IF($W341=6,"Final escalation completed.",IF($T341="OVERDUE","Next: "&amp;$Z341&amp;" was due "&amp;TEXT($Y341,"dd-mmm")&amp;" - "&amp;(NETWORKDAYS($Y341,TODAY(),Holidays)-1)&amp;" business day(s) late. Send now.",IF($T341="DUE TOMORROW","Next: "&amp;$Z341&amp;IF($Y341&lt;=TODAY()," is due TODAY ("," is due next business day (")&amp;TEXT($Y341,"dd-mmm")&amp;").","Next: "&amp;$Z341&amp;" due "&amp;TEXT($Y341,"dd-mmm")&amp;" ("&amp;(NETWORKDAYS(TODAY(),$Y341,Holidays)-1)&amp;" business day(s) left).")))))</f>
        <v/>
      </c>
      <c r="V341" s="17">
        <f>IF($W341="","",CHOOSE($W341,"Collection Email","1st Follow-up","2nd Follow-up","Local Office","CBE","Roxanne")&amp;IF($W341=6," - Final"," - Day "&amp;MAX(0,NETWORKDAYS($X341,TODAY(),Holidays)-1)&amp;" of "&amp;CHOOSE($W341,3,3,2,2,3))&amp;" | Total Day "&amp;MAX(0,NETWORKDAYS($L341,TODAY(),Holidays)-1))</f>
        <v/>
      </c>
      <c r="W341" s="17">
        <f>IF($L341="","",COUNT($L341:$Q341))</f>
        <v/>
      </c>
      <c r="X341" s="18">
        <f>IF($W341="","",INT(INDEX($L341:$Q341,$W341)))</f>
        <v/>
      </c>
      <c r="Y341" s="18">
        <f>IF(OR($W341="",$W341=6),"",WORKDAY($X341,CHOOSE($W341,3,3,2,2,3),Holidays))</f>
        <v/>
      </c>
      <c r="Z341" s="17">
        <f>IF(OR($W341="",$W341=6),"",CHOOSE($W341,"1st Email Follow-up","2nd Email Follow-up","Escalate Local Office","Escalate to CBE","Escalate to Roxanne"))</f>
        <v/>
      </c>
    </row>
    <row r="342" spans="18:26">
      <c r="R342" s="15"/>
      <c r="S342" s="16"/>
      <c r="T342" s="17">
        <f>IF(AND(COUNTA($A342:$K342)=0,$L342=""),"",IF($S342="Paid","PAID",IF($S342="Closed","CLOSED",IF($W342="","",IF($W342=6,"ESCALATED TO ROXANNE",IF(TODAY()&gt;$Y342,"OVERDUE",IF($Y342&lt;=WORKDAY(TODAY(),1,Holidays),"DUE TOMORROW",IF($W342=4,"ESCALATED TO LOCAL OFFICE",IF($W342=5,"ESCALATED TO CBE",IF($X342=TODAY(),"EMAIL SENT","MONITORING"))))))))))</f>
        <v/>
      </c>
      <c r="U342" s="17">
        <f>IF($T342="",IF(AND(COUNTA($A342:$K342)&gt;0,$L342=""),"Awaiting Collection Email time stamp.",""),IF(OR($T342="PAID",$T342="CLOSED"),IF($T342="PAID","Account paid. Action completed.","Account closed. No further action required."),CHOOSE($W342,"Collection Email","1st Email Follow-up","2nd Email Follow-up","Escalation to Local Office","Escalation to CBE","Escalation to Roxanne")&amp;" sent "&amp;TEXT($X342,"dd-mmm")&amp;". "&amp;IF($W342=6,"Final escalation completed.",IF($T342="OVERDUE","Next: "&amp;$Z342&amp;" was due "&amp;TEXT($Y342,"dd-mmm")&amp;" - "&amp;(NETWORKDAYS($Y342,TODAY(),Holidays)-1)&amp;" business day(s) late. Send now.",IF($T342="DUE TOMORROW","Next: "&amp;$Z342&amp;IF($Y342&lt;=TODAY()," is due TODAY ("," is due next business day (")&amp;TEXT($Y342,"dd-mmm")&amp;").","Next: "&amp;$Z342&amp;" due "&amp;TEXT($Y342,"dd-mmm")&amp;" ("&amp;(NETWORKDAYS(TODAY(),$Y342,Holidays)-1)&amp;" business day(s) left).")))))</f>
        <v/>
      </c>
      <c r="V342" s="17">
        <f>IF($W342="","",CHOOSE($W342,"Collection Email","1st Follow-up","2nd Follow-up","Local Office","CBE","Roxanne")&amp;IF($W342=6," - Final"," - Day "&amp;MAX(0,NETWORKDAYS($X342,TODAY(),Holidays)-1)&amp;" of "&amp;CHOOSE($W342,3,3,2,2,3))&amp;" | Total Day "&amp;MAX(0,NETWORKDAYS($L342,TODAY(),Holidays)-1))</f>
        <v/>
      </c>
      <c r="W342" s="17">
        <f>IF($L342="","",COUNT($L342:$Q342))</f>
        <v/>
      </c>
      <c r="X342" s="18">
        <f>IF($W342="","",INT(INDEX($L342:$Q342,$W342)))</f>
        <v/>
      </c>
      <c r="Y342" s="18">
        <f>IF(OR($W342="",$W342=6),"",WORKDAY($X342,CHOOSE($W342,3,3,2,2,3),Holidays))</f>
        <v/>
      </c>
      <c r="Z342" s="17">
        <f>IF(OR($W342="",$W342=6),"",CHOOSE($W342,"1st Email Follow-up","2nd Email Follow-up","Escalate Local Office","Escalate to CBE","Escalate to Roxanne"))</f>
        <v/>
      </c>
    </row>
    <row r="343" spans="18:26">
      <c r="R343" s="15"/>
      <c r="S343" s="16"/>
      <c r="T343" s="17">
        <f>IF(AND(COUNTA($A343:$K343)=0,$L343=""),"",IF($S343="Paid","PAID",IF($S343="Closed","CLOSED",IF($W343="","",IF($W343=6,"ESCALATED TO ROXANNE",IF(TODAY()&gt;$Y343,"OVERDUE",IF($Y343&lt;=WORKDAY(TODAY(),1,Holidays),"DUE TOMORROW",IF($W343=4,"ESCALATED TO LOCAL OFFICE",IF($W343=5,"ESCALATED TO CBE",IF($X343=TODAY(),"EMAIL SENT","MONITORING"))))))))))</f>
        <v/>
      </c>
      <c r="U343" s="17">
        <f>IF($T343="",IF(AND(COUNTA($A343:$K343)&gt;0,$L343=""),"Awaiting Collection Email time stamp.",""),IF(OR($T343="PAID",$T343="CLOSED"),IF($T343="PAID","Account paid. Action completed.","Account closed. No further action required."),CHOOSE($W343,"Collection Email","1st Email Follow-up","2nd Email Follow-up","Escalation to Local Office","Escalation to CBE","Escalation to Roxanne")&amp;" sent "&amp;TEXT($X343,"dd-mmm")&amp;". "&amp;IF($W343=6,"Final escalation completed.",IF($T343="OVERDUE","Next: "&amp;$Z343&amp;" was due "&amp;TEXT($Y343,"dd-mmm")&amp;" - "&amp;(NETWORKDAYS($Y343,TODAY(),Holidays)-1)&amp;" business day(s) late. Send now.",IF($T343="DUE TOMORROW","Next: "&amp;$Z343&amp;IF($Y343&lt;=TODAY()," is due TODAY ("," is due next business day (")&amp;TEXT($Y343,"dd-mmm")&amp;").","Next: "&amp;$Z343&amp;" due "&amp;TEXT($Y343,"dd-mmm")&amp;" ("&amp;(NETWORKDAYS(TODAY(),$Y343,Holidays)-1)&amp;" business day(s) left).")))))</f>
        <v/>
      </c>
      <c r="V343" s="17">
        <f>IF($W343="","",CHOOSE($W343,"Collection Email","1st Follow-up","2nd Follow-up","Local Office","CBE","Roxanne")&amp;IF($W343=6," - Final"," - Day "&amp;MAX(0,NETWORKDAYS($X343,TODAY(),Holidays)-1)&amp;" of "&amp;CHOOSE($W343,3,3,2,2,3))&amp;" | Total Day "&amp;MAX(0,NETWORKDAYS($L343,TODAY(),Holidays)-1))</f>
        <v/>
      </c>
      <c r="W343" s="17">
        <f>IF($L343="","",COUNT($L343:$Q343))</f>
        <v/>
      </c>
      <c r="X343" s="18">
        <f>IF($W343="","",INT(INDEX($L343:$Q343,$W343)))</f>
        <v/>
      </c>
      <c r="Y343" s="18">
        <f>IF(OR($W343="",$W343=6),"",WORKDAY($X343,CHOOSE($W343,3,3,2,2,3),Holidays))</f>
        <v/>
      </c>
      <c r="Z343" s="17">
        <f>IF(OR($W343="",$W343=6),"",CHOOSE($W343,"1st Email Follow-up","2nd Email Follow-up","Escalate Local Office","Escalate to CBE","Escalate to Roxanne"))</f>
        <v/>
      </c>
    </row>
    <row r="344" spans="18:26">
      <c r="R344" s="15"/>
      <c r="S344" s="16"/>
      <c r="T344" s="17">
        <f>IF(AND(COUNTA($A344:$K344)=0,$L344=""),"",IF($S344="Paid","PAID",IF($S344="Closed","CLOSED",IF($W344="","",IF($W344=6,"ESCALATED TO ROXANNE",IF(TODAY()&gt;$Y344,"OVERDUE",IF($Y344&lt;=WORKDAY(TODAY(),1,Holidays),"DUE TOMORROW",IF($W344=4,"ESCALATED TO LOCAL OFFICE",IF($W344=5,"ESCALATED TO CBE",IF($X344=TODAY(),"EMAIL SENT","MONITORING"))))))))))</f>
        <v/>
      </c>
      <c r="U344" s="17">
        <f>IF($T344="",IF(AND(COUNTA($A344:$K344)&gt;0,$L344=""),"Awaiting Collection Email time stamp.",""),IF(OR($T344="PAID",$T344="CLOSED"),IF($T344="PAID","Account paid. Action completed.","Account closed. No further action required."),CHOOSE($W344,"Collection Email","1st Email Follow-up","2nd Email Follow-up","Escalation to Local Office","Escalation to CBE","Escalation to Roxanne")&amp;" sent "&amp;TEXT($X344,"dd-mmm")&amp;". "&amp;IF($W344=6,"Final escalation completed.",IF($T344="OVERDUE","Next: "&amp;$Z344&amp;" was due "&amp;TEXT($Y344,"dd-mmm")&amp;" - "&amp;(NETWORKDAYS($Y344,TODAY(),Holidays)-1)&amp;" business day(s) late. Send now.",IF($T344="DUE TOMORROW","Next: "&amp;$Z344&amp;IF($Y344&lt;=TODAY()," is due TODAY ("," is due next business day (")&amp;TEXT($Y344,"dd-mmm")&amp;").","Next: "&amp;$Z344&amp;" due "&amp;TEXT($Y344,"dd-mmm")&amp;" ("&amp;(NETWORKDAYS(TODAY(),$Y344,Holidays)-1)&amp;" business day(s) left).")))))</f>
        <v/>
      </c>
      <c r="V344" s="17">
        <f>IF($W344="","",CHOOSE($W344,"Collection Email","1st Follow-up","2nd Follow-up","Local Office","CBE","Roxanne")&amp;IF($W344=6," - Final"," - Day "&amp;MAX(0,NETWORKDAYS($X344,TODAY(),Holidays)-1)&amp;" of "&amp;CHOOSE($W344,3,3,2,2,3))&amp;" | Total Day "&amp;MAX(0,NETWORKDAYS($L344,TODAY(),Holidays)-1))</f>
        <v/>
      </c>
      <c r="W344" s="17">
        <f>IF($L344="","",COUNT($L344:$Q344))</f>
        <v/>
      </c>
      <c r="X344" s="18">
        <f>IF($W344="","",INT(INDEX($L344:$Q344,$W344)))</f>
        <v/>
      </c>
      <c r="Y344" s="18">
        <f>IF(OR($W344="",$W344=6),"",WORKDAY($X344,CHOOSE($W344,3,3,2,2,3),Holidays))</f>
        <v/>
      </c>
      <c r="Z344" s="17">
        <f>IF(OR($W344="",$W344=6),"",CHOOSE($W344,"1st Email Follow-up","2nd Email Follow-up","Escalate Local Office","Escalate to CBE","Escalate to Roxanne"))</f>
        <v/>
      </c>
    </row>
    <row r="345" spans="18:26">
      <c r="R345" s="15"/>
      <c r="S345" s="16"/>
      <c r="T345" s="17">
        <f>IF(AND(COUNTA($A345:$K345)=0,$L345=""),"",IF($S345="Paid","PAID",IF($S345="Closed","CLOSED",IF($W345="","",IF($W345=6,"ESCALATED TO ROXANNE",IF(TODAY()&gt;$Y345,"OVERDUE",IF($Y345&lt;=WORKDAY(TODAY(),1,Holidays),"DUE TOMORROW",IF($W345=4,"ESCALATED TO LOCAL OFFICE",IF($W345=5,"ESCALATED TO CBE",IF($X345=TODAY(),"EMAIL SENT","MONITORING"))))))))))</f>
        <v/>
      </c>
      <c r="U345" s="17">
        <f>IF($T345="",IF(AND(COUNTA($A345:$K345)&gt;0,$L345=""),"Awaiting Collection Email time stamp.",""),IF(OR($T345="PAID",$T345="CLOSED"),IF($T345="PAID","Account paid. Action completed.","Account closed. No further action required."),CHOOSE($W345,"Collection Email","1st Email Follow-up","2nd Email Follow-up","Escalation to Local Office","Escalation to CBE","Escalation to Roxanne")&amp;" sent "&amp;TEXT($X345,"dd-mmm")&amp;". "&amp;IF($W345=6,"Final escalation completed.",IF($T345="OVERDUE","Next: "&amp;$Z345&amp;" was due "&amp;TEXT($Y345,"dd-mmm")&amp;" - "&amp;(NETWORKDAYS($Y345,TODAY(),Holidays)-1)&amp;" business day(s) late. Send now.",IF($T345="DUE TOMORROW","Next: "&amp;$Z345&amp;IF($Y345&lt;=TODAY()," is due TODAY ("," is due next business day (")&amp;TEXT($Y345,"dd-mmm")&amp;").","Next: "&amp;$Z345&amp;" due "&amp;TEXT($Y345,"dd-mmm")&amp;" ("&amp;(NETWORKDAYS(TODAY(),$Y345,Holidays)-1)&amp;" business day(s) left).")))))</f>
        <v/>
      </c>
      <c r="V345" s="17">
        <f>IF($W345="","",CHOOSE($W345,"Collection Email","1st Follow-up","2nd Follow-up","Local Office","CBE","Roxanne")&amp;IF($W345=6," - Final"," - Day "&amp;MAX(0,NETWORKDAYS($X345,TODAY(),Holidays)-1)&amp;" of "&amp;CHOOSE($W345,3,3,2,2,3))&amp;" | Total Day "&amp;MAX(0,NETWORKDAYS($L345,TODAY(),Holidays)-1))</f>
        <v/>
      </c>
      <c r="W345" s="17">
        <f>IF($L345="","",COUNT($L345:$Q345))</f>
        <v/>
      </c>
      <c r="X345" s="18">
        <f>IF($W345="","",INT(INDEX($L345:$Q345,$W345)))</f>
        <v/>
      </c>
      <c r="Y345" s="18">
        <f>IF(OR($W345="",$W345=6),"",WORKDAY($X345,CHOOSE($W345,3,3,2,2,3),Holidays))</f>
        <v/>
      </c>
      <c r="Z345" s="17">
        <f>IF(OR($W345="",$W345=6),"",CHOOSE($W345,"1st Email Follow-up","2nd Email Follow-up","Escalate Local Office","Escalate to CBE","Escalate to Roxanne"))</f>
        <v/>
      </c>
    </row>
    <row r="346" spans="18:26">
      <c r="R346" s="15"/>
      <c r="S346" s="16"/>
      <c r="T346" s="17">
        <f>IF(AND(COUNTA($A346:$K346)=0,$L346=""),"",IF($S346="Paid","PAID",IF($S346="Closed","CLOSED",IF($W346="","",IF($W346=6,"ESCALATED TO ROXANNE",IF(TODAY()&gt;$Y346,"OVERDUE",IF($Y346&lt;=WORKDAY(TODAY(),1,Holidays),"DUE TOMORROW",IF($W346=4,"ESCALATED TO LOCAL OFFICE",IF($W346=5,"ESCALATED TO CBE",IF($X346=TODAY(),"EMAIL SENT","MONITORING"))))))))))</f>
        <v/>
      </c>
      <c r="U346" s="17">
        <f>IF($T346="",IF(AND(COUNTA($A346:$K346)&gt;0,$L346=""),"Awaiting Collection Email time stamp.",""),IF(OR($T346="PAID",$T346="CLOSED"),IF($T346="PAID","Account paid. Action completed.","Account closed. No further action required."),CHOOSE($W346,"Collection Email","1st Email Follow-up","2nd Email Follow-up","Escalation to Local Office","Escalation to CBE","Escalation to Roxanne")&amp;" sent "&amp;TEXT($X346,"dd-mmm")&amp;". "&amp;IF($W346=6,"Final escalation completed.",IF($T346="OVERDUE","Next: "&amp;$Z346&amp;" was due "&amp;TEXT($Y346,"dd-mmm")&amp;" - "&amp;(NETWORKDAYS($Y346,TODAY(),Holidays)-1)&amp;" business day(s) late. Send now.",IF($T346="DUE TOMORROW","Next: "&amp;$Z346&amp;IF($Y346&lt;=TODAY()," is due TODAY ("," is due next business day (")&amp;TEXT($Y346,"dd-mmm")&amp;").","Next: "&amp;$Z346&amp;" due "&amp;TEXT($Y346,"dd-mmm")&amp;" ("&amp;(NETWORKDAYS(TODAY(),$Y346,Holidays)-1)&amp;" business day(s) left).")))))</f>
        <v/>
      </c>
      <c r="V346" s="17">
        <f>IF($W346="","",CHOOSE($W346,"Collection Email","1st Follow-up","2nd Follow-up","Local Office","CBE","Roxanne")&amp;IF($W346=6," - Final"," - Day "&amp;MAX(0,NETWORKDAYS($X346,TODAY(),Holidays)-1)&amp;" of "&amp;CHOOSE($W346,3,3,2,2,3))&amp;" | Total Day "&amp;MAX(0,NETWORKDAYS($L346,TODAY(),Holidays)-1))</f>
        <v/>
      </c>
      <c r="W346" s="17">
        <f>IF($L346="","",COUNT($L346:$Q346))</f>
        <v/>
      </c>
      <c r="X346" s="18">
        <f>IF($W346="","",INT(INDEX($L346:$Q346,$W346)))</f>
        <v/>
      </c>
      <c r="Y346" s="18">
        <f>IF(OR($W346="",$W346=6),"",WORKDAY($X346,CHOOSE($W346,3,3,2,2,3),Holidays))</f>
        <v/>
      </c>
      <c r="Z346" s="17">
        <f>IF(OR($W346="",$W346=6),"",CHOOSE($W346,"1st Email Follow-up","2nd Email Follow-up","Escalate Local Office","Escalate to CBE","Escalate to Roxanne"))</f>
        <v/>
      </c>
    </row>
    <row r="347" spans="18:26">
      <c r="R347" s="15"/>
      <c r="S347" s="16"/>
      <c r="T347" s="17">
        <f>IF(AND(COUNTA($A347:$K347)=0,$L347=""),"",IF($S347="Paid","PAID",IF($S347="Closed","CLOSED",IF($W347="","",IF($W347=6,"ESCALATED TO ROXANNE",IF(TODAY()&gt;$Y347,"OVERDUE",IF($Y347&lt;=WORKDAY(TODAY(),1,Holidays),"DUE TOMORROW",IF($W347=4,"ESCALATED TO LOCAL OFFICE",IF($W347=5,"ESCALATED TO CBE",IF($X347=TODAY(),"EMAIL SENT","MONITORING"))))))))))</f>
        <v/>
      </c>
      <c r="U347" s="17">
        <f>IF($T347="",IF(AND(COUNTA($A347:$K347)&gt;0,$L347=""),"Awaiting Collection Email time stamp.",""),IF(OR($T347="PAID",$T347="CLOSED"),IF($T347="PAID","Account paid. Action completed.","Account closed. No further action required."),CHOOSE($W347,"Collection Email","1st Email Follow-up","2nd Email Follow-up","Escalation to Local Office","Escalation to CBE","Escalation to Roxanne")&amp;" sent "&amp;TEXT($X347,"dd-mmm")&amp;". "&amp;IF($W347=6,"Final escalation completed.",IF($T347="OVERDUE","Next: "&amp;$Z347&amp;" was due "&amp;TEXT($Y347,"dd-mmm")&amp;" - "&amp;(NETWORKDAYS($Y347,TODAY(),Holidays)-1)&amp;" business day(s) late. Send now.",IF($T347="DUE TOMORROW","Next: "&amp;$Z347&amp;IF($Y347&lt;=TODAY()," is due TODAY ("," is due next business day (")&amp;TEXT($Y347,"dd-mmm")&amp;").","Next: "&amp;$Z347&amp;" due "&amp;TEXT($Y347,"dd-mmm")&amp;" ("&amp;(NETWORKDAYS(TODAY(),$Y347,Holidays)-1)&amp;" business day(s) left).")))))</f>
        <v/>
      </c>
      <c r="V347" s="17">
        <f>IF($W347="","",CHOOSE($W347,"Collection Email","1st Follow-up","2nd Follow-up","Local Office","CBE","Roxanne")&amp;IF($W347=6," - Final"," - Day "&amp;MAX(0,NETWORKDAYS($X347,TODAY(),Holidays)-1)&amp;" of "&amp;CHOOSE($W347,3,3,2,2,3))&amp;" | Total Day "&amp;MAX(0,NETWORKDAYS($L347,TODAY(),Holidays)-1))</f>
        <v/>
      </c>
      <c r="W347" s="17">
        <f>IF($L347="","",COUNT($L347:$Q347))</f>
        <v/>
      </c>
      <c r="X347" s="18">
        <f>IF($W347="","",INT(INDEX($L347:$Q347,$W347)))</f>
        <v/>
      </c>
      <c r="Y347" s="18">
        <f>IF(OR($W347="",$W347=6),"",WORKDAY($X347,CHOOSE($W347,3,3,2,2,3),Holidays))</f>
        <v/>
      </c>
      <c r="Z347" s="17">
        <f>IF(OR($W347="",$W347=6),"",CHOOSE($W347,"1st Email Follow-up","2nd Email Follow-up","Escalate Local Office","Escalate to CBE","Escalate to Roxanne"))</f>
        <v/>
      </c>
    </row>
    <row r="348" spans="18:26">
      <c r="R348" s="15"/>
      <c r="S348" s="16"/>
      <c r="T348" s="17">
        <f>IF(AND(COUNTA($A348:$K348)=0,$L348=""),"",IF($S348="Paid","PAID",IF($S348="Closed","CLOSED",IF($W348="","",IF($W348=6,"ESCALATED TO ROXANNE",IF(TODAY()&gt;$Y348,"OVERDUE",IF($Y348&lt;=WORKDAY(TODAY(),1,Holidays),"DUE TOMORROW",IF($W348=4,"ESCALATED TO LOCAL OFFICE",IF($W348=5,"ESCALATED TO CBE",IF($X348=TODAY(),"EMAIL SENT","MONITORING"))))))))))</f>
        <v/>
      </c>
      <c r="U348" s="17">
        <f>IF($T348="",IF(AND(COUNTA($A348:$K348)&gt;0,$L348=""),"Awaiting Collection Email time stamp.",""),IF(OR($T348="PAID",$T348="CLOSED"),IF($T348="PAID","Account paid. Action completed.","Account closed. No further action required."),CHOOSE($W348,"Collection Email","1st Email Follow-up","2nd Email Follow-up","Escalation to Local Office","Escalation to CBE","Escalation to Roxanne")&amp;" sent "&amp;TEXT($X348,"dd-mmm")&amp;". "&amp;IF($W348=6,"Final escalation completed.",IF($T348="OVERDUE","Next: "&amp;$Z348&amp;" was due "&amp;TEXT($Y348,"dd-mmm")&amp;" - "&amp;(NETWORKDAYS($Y348,TODAY(),Holidays)-1)&amp;" business day(s) late. Send now.",IF($T348="DUE TOMORROW","Next: "&amp;$Z348&amp;IF($Y348&lt;=TODAY()," is due TODAY ("," is due next business day (")&amp;TEXT($Y348,"dd-mmm")&amp;").","Next: "&amp;$Z348&amp;" due "&amp;TEXT($Y348,"dd-mmm")&amp;" ("&amp;(NETWORKDAYS(TODAY(),$Y348,Holidays)-1)&amp;" business day(s) left).")))))</f>
        <v/>
      </c>
      <c r="V348" s="17">
        <f>IF($W348="","",CHOOSE($W348,"Collection Email","1st Follow-up","2nd Follow-up","Local Office","CBE","Roxanne")&amp;IF($W348=6," - Final"," - Day "&amp;MAX(0,NETWORKDAYS($X348,TODAY(),Holidays)-1)&amp;" of "&amp;CHOOSE($W348,3,3,2,2,3))&amp;" | Total Day "&amp;MAX(0,NETWORKDAYS($L348,TODAY(),Holidays)-1))</f>
        <v/>
      </c>
      <c r="W348" s="17">
        <f>IF($L348="","",COUNT($L348:$Q348))</f>
        <v/>
      </c>
      <c r="X348" s="18">
        <f>IF($W348="","",INT(INDEX($L348:$Q348,$W348)))</f>
        <v/>
      </c>
      <c r="Y348" s="18">
        <f>IF(OR($W348="",$W348=6),"",WORKDAY($X348,CHOOSE($W348,3,3,2,2,3),Holidays))</f>
        <v/>
      </c>
      <c r="Z348" s="17">
        <f>IF(OR($W348="",$W348=6),"",CHOOSE($W348,"1st Email Follow-up","2nd Email Follow-up","Escalate Local Office","Escalate to CBE","Escalate to Roxanne"))</f>
        <v/>
      </c>
    </row>
    <row r="349" spans="18:26">
      <c r="R349" s="15"/>
      <c r="S349" s="16"/>
      <c r="T349" s="17">
        <f>IF(AND(COUNTA($A349:$K349)=0,$L349=""),"",IF($S349="Paid","PAID",IF($S349="Closed","CLOSED",IF($W349="","",IF($W349=6,"ESCALATED TO ROXANNE",IF(TODAY()&gt;$Y349,"OVERDUE",IF($Y349&lt;=WORKDAY(TODAY(),1,Holidays),"DUE TOMORROW",IF($W349=4,"ESCALATED TO LOCAL OFFICE",IF($W349=5,"ESCALATED TO CBE",IF($X349=TODAY(),"EMAIL SENT","MONITORING"))))))))))</f>
        <v/>
      </c>
      <c r="U349" s="17">
        <f>IF($T349="",IF(AND(COUNTA($A349:$K349)&gt;0,$L349=""),"Awaiting Collection Email time stamp.",""),IF(OR($T349="PAID",$T349="CLOSED"),IF($T349="PAID","Account paid. Action completed.","Account closed. No further action required."),CHOOSE($W349,"Collection Email","1st Email Follow-up","2nd Email Follow-up","Escalation to Local Office","Escalation to CBE","Escalation to Roxanne")&amp;" sent "&amp;TEXT($X349,"dd-mmm")&amp;". "&amp;IF($W349=6,"Final escalation completed.",IF($T349="OVERDUE","Next: "&amp;$Z349&amp;" was due "&amp;TEXT($Y349,"dd-mmm")&amp;" - "&amp;(NETWORKDAYS($Y349,TODAY(),Holidays)-1)&amp;" business day(s) late. Send now.",IF($T349="DUE TOMORROW","Next: "&amp;$Z349&amp;IF($Y349&lt;=TODAY()," is due TODAY ("," is due next business day (")&amp;TEXT($Y349,"dd-mmm")&amp;").","Next: "&amp;$Z349&amp;" due "&amp;TEXT($Y349,"dd-mmm")&amp;" ("&amp;(NETWORKDAYS(TODAY(),$Y349,Holidays)-1)&amp;" business day(s) left).")))))</f>
        <v/>
      </c>
      <c r="V349" s="17">
        <f>IF($W349="","",CHOOSE($W349,"Collection Email","1st Follow-up","2nd Follow-up","Local Office","CBE","Roxanne")&amp;IF($W349=6," - Final"," - Day "&amp;MAX(0,NETWORKDAYS($X349,TODAY(),Holidays)-1)&amp;" of "&amp;CHOOSE($W349,3,3,2,2,3))&amp;" | Total Day "&amp;MAX(0,NETWORKDAYS($L349,TODAY(),Holidays)-1))</f>
        <v/>
      </c>
      <c r="W349" s="17">
        <f>IF($L349="","",COUNT($L349:$Q349))</f>
        <v/>
      </c>
      <c r="X349" s="18">
        <f>IF($W349="","",INT(INDEX($L349:$Q349,$W349)))</f>
        <v/>
      </c>
      <c r="Y349" s="18">
        <f>IF(OR($W349="",$W349=6),"",WORKDAY($X349,CHOOSE($W349,3,3,2,2,3),Holidays))</f>
        <v/>
      </c>
      <c r="Z349" s="17">
        <f>IF(OR($W349="",$W349=6),"",CHOOSE($W349,"1st Email Follow-up","2nd Email Follow-up","Escalate Local Office","Escalate to CBE","Escalate to Roxanne"))</f>
        <v/>
      </c>
    </row>
    <row r="350" spans="18:26">
      <c r="R350" s="15"/>
      <c r="S350" s="16"/>
      <c r="T350" s="17">
        <f>IF(AND(COUNTA($A350:$K350)=0,$L350=""),"",IF($S350="Paid","PAID",IF($S350="Closed","CLOSED",IF($W350="","",IF($W350=6,"ESCALATED TO ROXANNE",IF(TODAY()&gt;$Y350,"OVERDUE",IF($Y350&lt;=WORKDAY(TODAY(),1,Holidays),"DUE TOMORROW",IF($W350=4,"ESCALATED TO LOCAL OFFICE",IF($W350=5,"ESCALATED TO CBE",IF($X350=TODAY(),"EMAIL SENT","MONITORING"))))))))))</f>
        <v/>
      </c>
      <c r="U350" s="17">
        <f>IF($T350="",IF(AND(COUNTA($A350:$K350)&gt;0,$L350=""),"Awaiting Collection Email time stamp.",""),IF(OR($T350="PAID",$T350="CLOSED"),IF($T350="PAID","Account paid. Action completed.","Account closed. No further action required."),CHOOSE($W350,"Collection Email","1st Email Follow-up","2nd Email Follow-up","Escalation to Local Office","Escalation to CBE","Escalation to Roxanne")&amp;" sent "&amp;TEXT($X350,"dd-mmm")&amp;". "&amp;IF($W350=6,"Final escalation completed.",IF($T350="OVERDUE","Next: "&amp;$Z350&amp;" was due "&amp;TEXT($Y350,"dd-mmm")&amp;" - "&amp;(NETWORKDAYS($Y350,TODAY(),Holidays)-1)&amp;" business day(s) late. Send now.",IF($T350="DUE TOMORROW","Next: "&amp;$Z350&amp;IF($Y350&lt;=TODAY()," is due TODAY ("," is due next business day (")&amp;TEXT($Y350,"dd-mmm")&amp;").","Next: "&amp;$Z350&amp;" due "&amp;TEXT($Y350,"dd-mmm")&amp;" ("&amp;(NETWORKDAYS(TODAY(),$Y350,Holidays)-1)&amp;" business day(s) left).")))))</f>
        <v/>
      </c>
      <c r="V350" s="17">
        <f>IF($W350="","",CHOOSE($W350,"Collection Email","1st Follow-up","2nd Follow-up","Local Office","CBE","Roxanne")&amp;IF($W350=6," - Final"," - Day "&amp;MAX(0,NETWORKDAYS($X350,TODAY(),Holidays)-1)&amp;" of "&amp;CHOOSE($W350,3,3,2,2,3))&amp;" | Total Day "&amp;MAX(0,NETWORKDAYS($L350,TODAY(),Holidays)-1))</f>
        <v/>
      </c>
      <c r="W350" s="17">
        <f>IF($L350="","",COUNT($L350:$Q350))</f>
        <v/>
      </c>
      <c r="X350" s="18">
        <f>IF($W350="","",INT(INDEX($L350:$Q350,$W350)))</f>
        <v/>
      </c>
      <c r="Y350" s="18">
        <f>IF(OR($W350="",$W350=6),"",WORKDAY($X350,CHOOSE($W350,3,3,2,2,3),Holidays))</f>
        <v/>
      </c>
      <c r="Z350" s="17">
        <f>IF(OR($W350="",$W350=6),"",CHOOSE($W350,"1st Email Follow-up","2nd Email Follow-up","Escalate Local Office","Escalate to CBE","Escalate to Roxanne"))</f>
        <v/>
      </c>
    </row>
    <row r="351" spans="18:26">
      <c r="R351" s="15"/>
      <c r="S351" s="16"/>
      <c r="T351" s="17">
        <f>IF(AND(COUNTA($A351:$K351)=0,$L351=""),"",IF($S351="Paid","PAID",IF($S351="Closed","CLOSED",IF($W351="","",IF($W351=6,"ESCALATED TO ROXANNE",IF(TODAY()&gt;$Y351,"OVERDUE",IF($Y351&lt;=WORKDAY(TODAY(),1,Holidays),"DUE TOMORROW",IF($W351=4,"ESCALATED TO LOCAL OFFICE",IF($W351=5,"ESCALATED TO CBE",IF($X351=TODAY(),"EMAIL SENT","MONITORING"))))))))))</f>
        <v/>
      </c>
      <c r="U351" s="17">
        <f>IF($T351="",IF(AND(COUNTA($A351:$K351)&gt;0,$L351=""),"Awaiting Collection Email time stamp.",""),IF(OR($T351="PAID",$T351="CLOSED"),IF($T351="PAID","Account paid. Action completed.","Account closed. No further action required."),CHOOSE($W351,"Collection Email","1st Email Follow-up","2nd Email Follow-up","Escalation to Local Office","Escalation to CBE","Escalation to Roxanne")&amp;" sent "&amp;TEXT($X351,"dd-mmm")&amp;". "&amp;IF($W351=6,"Final escalation completed.",IF($T351="OVERDUE","Next: "&amp;$Z351&amp;" was due "&amp;TEXT($Y351,"dd-mmm")&amp;" - "&amp;(NETWORKDAYS($Y351,TODAY(),Holidays)-1)&amp;" business day(s) late. Send now.",IF($T351="DUE TOMORROW","Next: "&amp;$Z351&amp;IF($Y351&lt;=TODAY()," is due TODAY ("," is due next business day (")&amp;TEXT($Y351,"dd-mmm")&amp;").","Next: "&amp;$Z351&amp;" due "&amp;TEXT($Y351,"dd-mmm")&amp;" ("&amp;(NETWORKDAYS(TODAY(),$Y351,Holidays)-1)&amp;" business day(s) left).")))))</f>
        <v/>
      </c>
      <c r="V351" s="17">
        <f>IF($W351="","",CHOOSE($W351,"Collection Email","1st Follow-up","2nd Follow-up","Local Office","CBE","Roxanne")&amp;IF($W351=6," - Final"," - Day "&amp;MAX(0,NETWORKDAYS($X351,TODAY(),Holidays)-1)&amp;" of "&amp;CHOOSE($W351,3,3,2,2,3))&amp;" | Total Day "&amp;MAX(0,NETWORKDAYS($L351,TODAY(),Holidays)-1))</f>
        <v/>
      </c>
      <c r="W351" s="17">
        <f>IF($L351="","",COUNT($L351:$Q351))</f>
        <v/>
      </c>
      <c r="X351" s="18">
        <f>IF($W351="","",INT(INDEX($L351:$Q351,$W351)))</f>
        <v/>
      </c>
      <c r="Y351" s="18">
        <f>IF(OR($W351="",$W351=6),"",WORKDAY($X351,CHOOSE($W351,3,3,2,2,3),Holidays))</f>
        <v/>
      </c>
      <c r="Z351" s="17">
        <f>IF(OR($W351="",$W351=6),"",CHOOSE($W351,"1st Email Follow-up","2nd Email Follow-up","Escalate Local Office","Escalate to CBE","Escalate to Roxanne"))</f>
        <v/>
      </c>
    </row>
    <row r="352" spans="18:26">
      <c r="R352" s="15"/>
      <c r="S352" s="16"/>
      <c r="T352" s="17">
        <f>IF(AND(COUNTA($A352:$K352)=0,$L352=""),"",IF($S352="Paid","PAID",IF($S352="Closed","CLOSED",IF($W352="","",IF($W352=6,"ESCALATED TO ROXANNE",IF(TODAY()&gt;$Y352,"OVERDUE",IF($Y352&lt;=WORKDAY(TODAY(),1,Holidays),"DUE TOMORROW",IF($W352=4,"ESCALATED TO LOCAL OFFICE",IF($W352=5,"ESCALATED TO CBE",IF($X352=TODAY(),"EMAIL SENT","MONITORING"))))))))))</f>
        <v/>
      </c>
      <c r="U352" s="17">
        <f>IF($T352="",IF(AND(COUNTA($A352:$K352)&gt;0,$L352=""),"Awaiting Collection Email time stamp.",""),IF(OR($T352="PAID",$T352="CLOSED"),IF($T352="PAID","Account paid. Action completed.","Account closed. No further action required."),CHOOSE($W352,"Collection Email","1st Email Follow-up","2nd Email Follow-up","Escalation to Local Office","Escalation to CBE","Escalation to Roxanne")&amp;" sent "&amp;TEXT($X352,"dd-mmm")&amp;". "&amp;IF($W352=6,"Final escalation completed.",IF($T352="OVERDUE","Next: "&amp;$Z352&amp;" was due "&amp;TEXT($Y352,"dd-mmm")&amp;" - "&amp;(NETWORKDAYS($Y352,TODAY(),Holidays)-1)&amp;" business day(s) late. Send now.",IF($T352="DUE TOMORROW","Next: "&amp;$Z352&amp;IF($Y352&lt;=TODAY()," is due TODAY ("," is due next business day (")&amp;TEXT($Y352,"dd-mmm")&amp;").","Next: "&amp;$Z352&amp;" due "&amp;TEXT($Y352,"dd-mmm")&amp;" ("&amp;(NETWORKDAYS(TODAY(),$Y352,Holidays)-1)&amp;" business day(s) left).")))))</f>
        <v/>
      </c>
      <c r="V352" s="17">
        <f>IF($W352="","",CHOOSE($W352,"Collection Email","1st Follow-up","2nd Follow-up","Local Office","CBE","Roxanne")&amp;IF($W352=6," - Final"," - Day "&amp;MAX(0,NETWORKDAYS($X352,TODAY(),Holidays)-1)&amp;" of "&amp;CHOOSE($W352,3,3,2,2,3))&amp;" | Total Day "&amp;MAX(0,NETWORKDAYS($L352,TODAY(),Holidays)-1))</f>
        <v/>
      </c>
      <c r="W352" s="17">
        <f>IF($L352="","",COUNT($L352:$Q352))</f>
        <v/>
      </c>
      <c r="X352" s="18">
        <f>IF($W352="","",INT(INDEX($L352:$Q352,$W352)))</f>
        <v/>
      </c>
      <c r="Y352" s="18">
        <f>IF(OR($W352="",$W352=6),"",WORKDAY($X352,CHOOSE($W352,3,3,2,2,3),Holidays))</f>
        <v/>
      </c>
      <c r="Z352" s="17">
        <f>IF(OR($W352="",$W352=6),"",CHOOSE($W352,"1st Email Follow-up","2nd Email Follow-up","Escalate Local Office","Escalate to CBE","Escalate to Roxanne"))</f>
        <v/>
      </c>
    </row>
    <row r="353" spans="18:26">
      <c r="R353" s="15"/>
      <c r="S353" s="16"/>
      <c r="T353" s="17">
        <f>IF(AND(COUNTA($A353:$K353)=0,$L353=""),"",IF($S353="Paid","PAID",IF($S353="Closed","CLOSED",IF($W353="","",IF($W353=6,"ESCALATED TO ROXANNE",IF(TODAY()&gt;$Y353,"OVERDUE",IF($Y353&lt;=WORKDAY(TODAY(),1,Holidays),"DUE TOMORROW",IF($W353=4,"ESCALATED TO LOCAL OFFICE",IF($W353=5,"ESCALATED TO CBE",IF($X353=TODAY(),"EMAIL SENT","MONITORING"))))))))))</f>
        <v/>
      </c>
      <c r="U353" s="17">
        <f>IF($T353="",IF(AND(COUNTA($A353:$K353)&gt;0,$L353=""),"Awaiting Collection Email time stamp.",""),IF(OR($T353="PAID",$T353="CLOSED"),IF($T353="PAID","Account paid. Action completed.","Account closed. No further action required."),CHOOSE($W353,"Collection Email","1st Email Follow-up","2nd Email Follow-up","Escalation to Local Office","Escalation to CBE","Escalation to Roxanne")&amp;" sent "&amp;TEXT($X353,"dd-mmm")&amp;". "&amp;IF($W353=6,"Final escalation completed.",IF($T353="OVERDUE","Next: "&amp;$Z353&amp;" was due "&amp;TEXT($Y353,"dd-mmm")&amp;" - "&amp;(NETWORKDAYS($Y353,TODAY(),Holidays)-1)&amp;" business day(s) late. Send now.",IF($T353="DUE TOMORROW","Next: "&amp;$Z353&amp;IF($Y353&lt;=TODAY()," is due TODAY ("," is due next business day (")&amp;TEXT($Y353,"dd-mmm")&amp;").","Next: "&amp;$Z353&amp;" due "&amp;TEXT($Y353,"dd-mmm")&amp;" ("&amp;(NETWORKDAYS(TODAY(),$Y353,Holidays)-1)&amp;" business day(s) left).")))))</f>
        <v/>
      </c>
      <c r="V353" s="17">
        <f>IF($W353="","",CHOOSE($W353,"Collection Email","1st Follow-up","2nd Follow-up","Local Office","CBE","Roxanne")&amp;IF($W353=6," - Final"," - Day "&amp;MAX(0,NETWORKDAYS($X353,TODAY(),Holidays)-1)&amp;" of "&amp;CHOOSE($W353,3,3,2,2,3))&amp;" | Total Day "&amp;MAX(0,NETWORKDAYS($L353,TODAY(),Holidays)-1))</f>
        <v/>
      </c>
      <c r="W353" s="17">
        <f>IF($L353="","",COUNT($L353:$Q353))</f>
        <v/>
      </c>
      <c r="X353" s="18">
        <f>IF($W353="","",INT(INDEX($L353:$Q353,$W353)))</f>
        <v/>
      </c>
      <c r="Y353" s="18">
        <f>IF(OR($W353="",$W353=6),"",WORKDAY($X353,CHOOSE($W353,3,3,2,2,3),Holidays))</f>
        <v/>
      </c>
      <c r="Z353" s="17">
        <f>IF(OR($W353="",$W353=6),"",CHOOSE($W353,"1st Email Follow-up","2nd Email Follow-up","Escalate Local Office","Escalate to CBE","Escalate to Roxanne"))</f>
        <v/>
      </c>
    </row>
    <row r="354" spans="18:26">
      <c r="R354" s="15"/>
      <c r="S354" s="16"/>
      <c r="T354" s="17">
        <f>IF(AND(COUNTA($A354:$K354)=0,$L354=""),"",IF($S354="Paid","PAID",IF($S354="Closed","CLOSED",IF($W354="","",IF($W354=6,"ESCALATED TO ROXANNE",IF(TODAY()&gt;$Y354,"OVERDUE",IF($Y354&lt;=WORKDAY(TODAY(),1,Holidays),"DUE TOMORROW",IF($W354=4,"ESCALATED TO LOCAL OFFICE",IF($W354=5,"ESCALATED TO CBE",IF($X354=TODAY(),"EMAIL SENT","MONITORING"))))))))))</f>
        <v/>
      </c>
      <c r="U354" s="17">
        <f>IF($T354="",IF(AND(COUNTA($A354:$K354)&gt;0,$L354=""),"Awaiting Collection Email time stamp.",""),IF(OR($T354="PAID",$T354="CLOSED"),IF($T354="PAID","Account paid. Action completed.","Account closed. No further action required."),CHOOSE($W354,"Collection Email","1st Email Follow-up","2nd Email Follow-up","Escalation to Local Office","Escalation to CBE","Escalation to Roxanne")&amp;" sent "&amp;TEXT($X354,"dd-mmm")&amp;". "&amp;IF($W354=6,"Final escalation completed.",IF($T354="OVERDUE","Next: "&amp;$Z354&amp;" was due "&amp;TEXT($Y354,"dd-mmm")&amp;" - "&amp;(NETWORKDAYS($Y354,TODAY(),Holidays)-1)&amp;" business day(s) late. Send now.",IF($T354="DUE TOMORROW","Next: "&amp;$Z354&amp;IF($Y354&lt;=TODAY()," is due TODAY ("," is due next business day (")&amp;TEXT($Y354,"dd-mmm")&amp;").","Next: "&amp;$Z354&amp;" due "&amp;TEXT($Y354,"dd-mmm")&amp;" ("&amp;(NETWORKDAYS(TODAY(),$Y354,Holidays)-1)&amp;" business day(s) left).")))))</f>
        <v/>
      </c>
      <c r="V354" s="17">
        <f>IF($W354="","",CHOOSE($W354,"Collection Email","1st Follow-up","2nd Follow-up","Local Office","CBE","Roxanne")&amp;IF($W354=6," - Final"," - Day "&amp;MAX(0,NETWORKDAYS($X354,TODAY(),Holidays)-1)&amp;" of "&amp;CHOOSE($W354,3,3,2,2,3))&amp;" | Total Day "&amp;MAX(0,NETWORKDAYS($L354,TODAY(),Holidays)-1))</f>
        <v/>
      </c>
      <c r="W354" s="17">
        <f>IF($L354="","",COUNT($L354:$Q354))</f>
        <v/>
      </c>
      <c r="X354" s="18">
        <f>IF($W354="","",INT(INDEX($L354:$Q354,$W354)))</f>
        <v/>
      </c>
      <c r="Y354" s="18">
        <f>IF(OR($W354="",$W354=6),"",WORKDAY($X354,CHOOSE($W354,3,3,2,2,3),Holidays))</f>
        <v/>
      </c>
      <c r="Z354" s="17">
        <f>IF(OR($W354="",$W354=6),"",CHOOSE($W354,"1st Email Follow-up","2nd Email Follow-up","Escalate Local Office","Escalate to CBE","Escalate to Roxanne"))</f>
        <v/>
      </c>
    </row>
    <row r="355" spans="18:26">
      <c r="R355" s="15"/>
      <c r="S355" s="16"/>
      <c r="T355" s="17">
        <f>IF(AND(COUNTA($A355:$K355)=0,$L355=""),"",IF($S355="Paid","PAID",IF($S355="Closed","CLOSED",IF($W355="","",IF($W355=6,"ESCALATED TO ROXANNE",IF(TODAY()&gt;$Y355,"OVERDUE",IF($Y355&lt;=WORKDAY(TODAY(),1,Holidays),"DUE TOMORROW",IF($W355=4,"ESCALATED TO LOCAL OFFICE",IF($W355=5,"ESCALATED TO CBE",IF($X355=TODAY(),"EMAIL SENT","MONITORING"))))))))))</f>
        <v/>
      </c>
      <c r="U355" s="17">
        <f>IF($T355="",IF(AND(COUNTA($A355:$K355)&gt;0,$L355=""),"Awaiting Collection Email time stamp.",""),IF(OR($T355="PAID",$T355="CLOSED"),IF($T355="PAID","Account paid. Action completed.","Account closed. No further action required."),CHOOSE($W355,"Collection Email","1st Email Follow-up","2nd Email Follow-up","Escalation to Local Office","Escalation to CBE","Escalation to Roxanne")&amp;" sent "&amp;TEXT($X355,"dd-mmm")&amp;". "&amp;IF($W355=6,"Final escalation completed.",IF($T355="OVERDUE","Next: "&amp;$Z355&amp;" was due "&amp;TEXT($Y355,"dd-mmm")&amp;" - "&amp;(NETWORKDAYS($Y355,TODAY(),Holidays)-1)&amp;" business day(s) late. Send now.",IF($T355="DUE TOMORROW","Next: "&amp;$Z355&amp;IF($Y355&lt;=TODAY()," is due TODAY ("," is due next business day (")&amp;TEXT($Y355,"dd-mmm")&amp;").","Next: "&amp;$Z355&amp;" due "&amp;TEXT($Y355,"dd-mmm")&amp;" ("&amp;(NETWORKDAYS(TODAY(),$Y355,Holidays)-1)&amp;" business day(s) left).")))))</f>
        <v/>
      </c>
      <c r="V355" s="17">
        <f>IF($W355="","",CHOOSE($W355,"Collection Email","1st Follow-up","2nd Follow-up","Local Office","CBE","Roxanne")&amp;IF($W355=6," - Final"," - Day "&amp;MAX(0,NETWORKDAYS($X355,TODAY(),Holidays)-1)&amp;" of "&amp;CHOOSE($W355,3,3,2,2,3))&amp;" | Total Day "&amp;MAX(0,NETWORKDAYS($L355,TODAY(),Holidays)-1))</f>
        <v/>
      </c>
      <c r="W355" s="17">
        <f>IF($L355="","",COUNT($L355:$Q355))</f>
        <v/>
      </c>
      <c r="X355" s="18">
        <f>IF($W355="","",INT(INDEX($L355:$Q355,$W355)))</f>
        <v/>
      </c>
      <c r="Y355" s="18">
        <f>IF(OR($W355="",$W355=6),"",WORKDAY($X355,CHOOSE($W355,3,3,2,2,3),Holidays))</f>
        <v/>
      </c>
      <c r="Z355" s="17">
        <f>IF(OR($W355="",$W355=6),"",CHOOSE($W355,"1st Email Follow-up","2nd Email Follow-up","Escalate Local Office","Escalate to CBE","Escalate to Roxanne"))</f>
        <v/>
      </c>
    </row>
    <row r="356" spans="18:26">
      <c r="R356" s="15"/>
      <c r="S356" s="16"/>
      <c r="T356" s="17">
        <f>IF(AND(COUNTA($A356:$K356)=0,$L356=""),"",IF($S356="Paid","PAID",IF($S356="Closed","CLOSED",IF($W356="","",IF($W356=6,"ESCALATED TO ROXANNE",IF(TODAY()&gt;$Y356,"OVERDUE",IF($Y356&lt;=WORKDAY(TODAY(),1,Holidays),"DUE TOMORROW",IF($W356=4,"ESCALATED TO LOCAL OFFICE",IF($W356=5,"ESCALATED TO CBE",IF($X356=TODAY(),"EMAIL SENT","MONITORING"))))))))))</f>
        <v/>
      </c>
      <c r="U356" s="17">
        <f>IF($T356="",IF(AND(COUNTA($A356:$K356)&gt;0,$L356=""),"Awaiting Collection Email time stamp.",""),IF(OR($T356="PAID",$T356="CLOSED"),IF($T356="PAID","Account paid. Action completed.","Account closed. No further action required."),CHOOSE($W356,"Collection Email","1st Email Follow-up","2nd Email Follow-up","Escalation to Local Office","Escalation to CBE","Escalation to Roxanne")&amp;" sent "&amp;TEXT($X356,"dd-mmm")&amp;". "&amp;IF($W356=6,"Final escalation completed.",IF($T356="OVERDUE","Next: "&amp;$Z356&amp;" was due "&amp;TEXT($Y356,"dd-mmm")&amp;" - "&amp;(NETWORKDAYS($Y356,TODAY(),Holidays)-1)&amp;" business day(s) late. Send now.",IF($T356="DUE TOMORROW","Next: "&amp;$Z356&amp;IF($Y356&lt;=TODAY()," is due TODAY ("," is due next business day (")&amp;TEXT($Y356,"dd-mmm")&amp;").","Next: "&amp;$Z356&amp;" due "&amp;TEXT($Y356,"dd-mmm")&amp;" ("&amp;(NETWORKDAYS(TODAY(),$Y356,Holidays)-1)&amp;" business day(s) left).")))))</f>
        <v/>
      </c>
      <c r="V356" s="17">
        <f>IF($W356="","",CHOOSE($W356,"Collection Email","1st Follow-up","2nd Follow-up","Local Office","CBE","Roxanne")&amp;IF($W356=6," - Final"," - Day "&amp;MAX(0,NETWORKDAYS($X356,TODAY(),Holidays)-1)&amp;" of "&amp;CHOOSE($W356,3,3,2,2,3))&amp;" | Total Day "&amp;MAX(0,NETWORKDAYS($L356,TODAY(),Holidays)-1))</f>
        <v/>
      </c>
      <c r="W356" s="17">
        <f>IF($L356="","",COUNT($L356:$Q356))</f>
        <v/>
      </c>
      <c r="X356" s="18">
        <f>IF($W356="","",INT(INDEX($L356:$Q356,$W356)))</f>
        <v/>
      </c>
      <c r="Y356" s="18">
        <f>IF(OR($W356="",$W356=6),"",WORKDAY($X356,CHOOSE($W356,3,3,2,2,3),Holidays))</f>
        <v/>
      </c>
      <c r="Z356" s="17">
        <f>IF(OR($W356="",$W356=6),"",CHOOSE($W356,"1st Email Follow-up","2nd Email Follow-up","Escalate Local Office","Escalate to CBE","Escalate to Roxanne"))</f>
        <v/>
      </c>
    </row>
    <row r="357" spans="18:26">
      <c r="R357" s="15"/>
      <c r="S357" s="16"/>
      <c r="T357" s="17">
        <f>IF(AND(COUNTA($A357:$K357)=0,$L357=""),"",IF($S357="Paid","PAID",IF($S357="Closed","CLOSED",IF($W357="","",IF($W357=6,"ESCALATED TO ROXANNE",IF(TODAY()&gt;$Y357,"OVERDUE",IF($Y357&lt;=WORKDAY(TODAY(),1,Holidays),"DUE TOMORROW",IF($W357=4,"ESCALATED TO LOCAL OFFICE",IF($W357=5,"ESCALATED TO CBE",IF($X357=TODAY(),"EMAIL SENT","MONITORING"))))))))))</f>
        <v/>
      </c>
      <c r="U357" s="17">
        <f>IF($T357="",IF(AND(COUNTA($A357:$K357)&gt;0,$L357=""),"Awaiting Collection Email time stamp.",""),IF(OR($T357="PAID",$T357="CLOSED"),IF($T357="PAID","Account paid. Action completed.","Account closed. No further action required."),CHOOSE($W357,"Collection Email","1st Email Follow-up","2nd Email Follow-up","Escalation to Local Office","Escalation to CBE","Escalation to Roxanne")&amp;" sent "&amp;TEXT($X357,"dd-mmm")&amp;". "&amp;IF($W357=6,"Final escalation completed.",IF($T357="OVERDUE","Next: "&amp;$Z357&amp;" was due "&amp;TEXT($Y357,"dd-mmm")&amp;" - "&amp;(NETWORKDAYS($Y357,TODAY(),Holidays)-1)&amp;" business day(s) late. Send now.",IF($T357="DUE TOMORROW","Next: "&amp;$Z357&amp;IF($Y357&lt;=TODAY()," is due TODAY ("," is due next business day (")&amp;TEXT($Y357,"dd-mmm")&amp;").","Next: "&amp;$Z357&amp;" due "&amp;TEXT($Y357,"dd-mmm")&amp;" ("&amp;(NETWORKDAYS(TODAY(),$Y357,Holidays)-1)&amp;" business day(s) left).")))))</f>
        <v/>
      </c>
      <c r="V357" s="17">
        <f>IF($W357="","",CHOOSE($W357,"Collection Email","1st Follow-up","2nd Follow-up","Local Office","CBE","Roxanne")&amp;IF($W357=6," - Final"," - Day "&amp;MAX(0,NETWORKDAYS($X357,TODAY(),Holidays)-1)&amp;" of "&amp;CHOOSE($W357,3,3,2,2,3))&amp;" | Total Day "&amp;MAX(0,NETWORKDAYS($L357,TODAY(),Holidays)-1))</f>
        <v/>
      </c>
      <c r="W357" s="17">
        <f>IF($L357="","",COUNT($L357:$Q357))</f>
        <v/>
      </c>
      <c r="X357" s="18">
        <f>IF($W357="","",INT(INDEX($L357:$Q357,$W357)))</f>
        <v/>
      </c>
      <c r="Y357" s="18">
        <f>IF(OR($W357="",$W357=6),"",WORKDAY($X357,CHOOSE($W357,3,3,2,2,3),Holidays))</f>
        <v/>
      </c>
      <c r="Z357" s="17">
        <f>IF(OR($W357="",$W357=6),"",CHOOSE($W357,"1st Email Follow-up","2nd Email Follow-up","Escalate Local Office","Escalate to CBE","Escalate to Roxanne"))</f>
        <v/>
      </c>
    </row>
    <row r="358" spans="18:26">
      <c r="R358" s="15"/>
      <c r="S358" s="16"/>
      <c r="T358" s="17">
        <f>IF(AND(COUNTA($A358:$K358)=0,$L358=""),"",IF($S358="Paid","PAID",IF($S358="Closed","CLOSED",IF($W358="","",IF($W358=6,"ESCALATED TO ROXANNE",IF(TODAY()&gt;$Y358,"OVERDUE",IF($Y358&lt;=WORKDAY(TODAY(),1,Holidays),"DUE TOMORROW",IF($W358=4,"ESCALATED TO LOCAL OFFICE",IF($W358=5,"ESCALATED TO CBE",IF($X358=TODAY(),"EMAIL SENT","MONITORING"))))))))))</f>
        <v/>
      </c>
      <c r="U358" s="17">
        <f>IF($T358="",IF(AND(COUNTA($A358:$K358)&gt;0,$L358=""),"Awaiting Collection Email time stamp.",""),IF(OR($T358="PAID",$T358="CLOSED"),IF($T358="PAID","Account paid. Action completed.","Account closed. No further action required."),CHOOSE($W358,"Collection Email","1st Email Follow-up","2nd Email Follow-up","Escalation to Local Office","Escalation to CBE","Escalation to Roxanne")&amp;" sent "&amp;TEXT($X358,"dd-mmm")&amp;". "&amp;IF($W358=6,"Final escalation completed.",IF($T358="OVERDUE","Next: "&amp;$Z358&amp;" was due "&amp;TEXT($Y358,"dd-mmm")&amp;" - "&amp;(NETWORKDAYS($Y358,TODAY(),Holidays)-1)&amp;" business day(s) late. Send now.",IF($T358="DUE TOMORROW","Next: "&amp;$Z358&amp;IF($Y358&lt;=TODAY()," is due TODAY ("," is due next business day (")&amp;TEXT($Y358,"dd-mmm")&amp;").","Next: "&amp;$Z358&amp;" due "&amp;TEXT($Y358,"dd-mmm")&amp;" ("&amp;(NETWORKDAYS(TODAY(),$Y358,Holidays)-1)&amp;" business day(s) left).")))))</f>
        <v/>
      </c>
      <c r="V358" s="17">
        <f>IF($W358="","",CHOOSE($W358,"Collection Email","1st Follow-up","2nd Follow-up","Local Office","CBE","Roxanne")&amp;IF($W358=6," - Final"," - Day "&amp;MAX(0,NETWORKDAYS($X358,TODAY(),Holidays)-1)&amp;" of "&amp;CHOOSE($W358,3,3,2,2,3))&amp;" | Total Day "&amp;MAX(0,NETWORKDAYS($L358,TODAY(),Holidays)-1))</f>
        <v/>
      </c>
      <c r="W358" s="17">
        <f>IF($L358="","",COUNT($L358:$Q358))</f>
        <v/>
      </c>
      <c r="X358" s="18">
        <f>IF($W358="","",INT(INDEX($L358:$Q358,$W358)))</f>
        <v/>
      </c>
      <c r="Y358" s="18">
        <f>IF(OR($W358="",$W358=6),"",WORKDAY($X358,CHOOSE($W358,3,3,2,2,3),Holidays))</f>
        <v/>
      </c>
      <c r="Z358" s="17">
        <f>IF(OR($W358="",$W358=6),"",CHOOSE($W358,"1st Email Follow-up","2nd Email Follow-up","Escalate Local Office","Escalate to CBE","Escalate to Roxanne"))</f>
        <v/>
      </c>
    </row>
    <row r="359" spans="18:26">
      <c r="R359" s="15"/>
      <c r="S359" s="16"/>
      <c r="T359" s="17">
        <f>IF(AND(COUNTA($A359:$K359)=0,$L359=""),"",IF($S359="Paid","PAID",IF($S359="Closed","CLOSED",IF($W359="","",IF($W359=6,"ESCALATED TO ROXANNE",IF(TODAY()&gt;$Y359,"OVERDUE",IF($Y359&lt;=WORKDAY(TODAY(),1,Holidays),"DUE TOMORROW",IF($W359=4,"ESCALATED TO LOCAL OFFICE",IF($W359=5,"ESCALATED TO CBE",IF($X359=TODAY(),"EMAIL SENT","MONITORING"))))))))))</f>
        <v/>
      </c>
      <c r="U359" s="17">
        <f>IF($T359="",IF(AND(COUNTA($A359:$K359)&gt;0,$L359=""),"Awaiting Collection Email time stamp.",""),IF(OR($T359="PAID",$T359="CLOSED"),IF($T359="PAID","Account paid. Action completed.","Account closed. No further action required."),CHOOSE($W359,"Collection Email","1st Email Follow-up","2nd Email Follow-up","Escalation to Local Office","Escalation to CBE","Escalation to Roxanne")&amp;" sent "&amp;TEXT($X359,"dd-mmm")&amp;". "&amp;IF($W359=6,"Final escalation completed.",IF($T359="OVERDUE","Next: "&amp;$Z359&amp;" was due "&amp;TEXT($Y359,"dd-mmm")&amp;" - "&amp;(NETWORKDAYS($Y359,TODAY(),Holidays)-1)&amp;" business day(s) late. Send now.",IF($T359="DUE TOMORROW","Next: "&amp;$Z359&amp;IF($Y359&lt;=TODAY()," is due TODAY ("," is due next business day (")&amp;TEXT($Y359,"dd-mmm")&amp;").","Next: "&amp;$Z359&amp;" due "&amp;TEXT($Y359,"dd-mmm")&amp;" ("&amp;(NETWORKDAYS(TODAY(),$Y359,Holidays)-1)&amp;" business day(s) left).")))))</f>
        <v/>
      </c>
      <c r="V359" s="17">
        <f>IF($W359="","",CHOOSE($W359,"Collection Email","1st Follow-up","2nd Follow-up","Local Office","CBE","Roxanne")&amp;IF($W359=6," - Final"," - Day "&amp;MAX(0,NETWORKDAYS($X359,TODAY(),Holidays)-1)&amp;" of "&amp;CHOOSE($W359,3,3,2,2,3))&amp;" | Total Day "&amp;MAX(0,NETWORKDAYS($L359,TODAY(),Holidays)-1))</f>
        <v/>
      </c>
      <c r="W359" s="17">
        <f>IF($L359="","",COUNT($L359:$Q359))</f>
        <v/>
      </c>
      <c r="X359" s="18">
        <f>IF($W359="","",INT(INDEX($L359:$Q359,$W359)))</f>
        <v/>
      </c>
      <c r="Y359" s="18">
        <f>IF(OR($W359="",$W359=6),"",WORKDAY($X359,CHOOSE($W359,3,3,2,2,3),Holidays))</f>
        <v/>
      </c>
      <c r="Z359" s="17">
        <f>IF(OR($W359="",$W359=6),"",CHOOSE($W359,"1st Email Follow-up","2nd Email Follow-up","Escalate Local Office","Escalate to CBE","Escalate to Roxanne"))</f>
        <v/>
      </c>
    </row>
    <row r="360" spans="18:26">
      <c r="R360" s="15"/>
      <c r="S360" s="16"/>
      <c r="T360" s="17">
        <f>IF(AND(COUNTA($A360:$K360)=0,$L360=""),"",IF($S360="Paid","PAID",IF($S360="Closed","CLOSED",IF($W360="","",IF($W360=6,"ESCALATED TO ROXANNE",IF(TODAY()&gt;$Y360,"OVERDUE",IF($Y360&lt;=WORKDAY(TODAY(),1,Holidays),"DUE TOMORROW",IF($W360=4,"ESCALATED TO LOCAL OFFICE",IF($W360=5,"ESCALATED TO CBE",IF($X360=TODAY(),"EMAIL SENT","MONITORING"))))))))))</f>
        <v/>
      </c>
      <c r="U360" s="17">
        <f>IF($T360="",IF(AND(COUNTA($A360:$K360)&gt;0,$L360=""),"Awaiting Collection Email time stamp.",""),IF(OR($T360="PAID",$T360="CLOSED"),IF($T360="PAID","Account paid. Action completed.","Account closed. No further action required."),CHOOSE($W360,"Collection Email","1st Email Follow-up","2nd Email Follow-up","Escalation to Local Office","Escalation to CBE","Escalation to Roxanne")&amp;" sent "&amp;TEXT($X360,"dd-mmm")&amp;". "&amp;IF($W360=6,"Final escalation completed.",IF($T360="OVERDUE","Next: "&amp;$Z360&amp;" was due "&amp;TEXT($Y360,"dd-mmm")&amp;" - "&amp;(NETWORKDAYS($Y360,TODAY(),Holidays)-1)&amp;" business day(s) late. Send now.",IF($T360="DUE TOMORROW","Next: "&amp;$Z360&amp;IF($Y360&lt;=TODAY()," is due TODAY ("," is due next business day (")&amp;TEXT($Y360,"dd-mmm")&amp;").","Next: "&amp;$Z360&amp;" due "&amp;TEXT($Y360,"dd-mmm")&amp;" ("&amp;(NETWORKDAYS(TODAY(),$Y360,Holidays)-1)&amp;" business day(s) left).")))))</f>
        <v/>
      </c>
      <c r="V360" s="17">
        <f>IF($W360="","",CHOOSE($W360,"Collection Email","1st Follow-up","2nd Follow-up","Local Office","CBE","Roxanne")&amp;IF($W360=6," - Final"," - Day "&amp;MAX(0,NETWORKDAYS($X360,TODAY(),Holidays)-1)&amp;" of "&amp;CHOOSE($W360,3,3,2,2,3))&amp;" | Total Day "&amp;MAX(0,NETWORKDAYS($L360,TODAY(),Holidays)-1))</f>
        <v/>
      </c>
      <c r="W360" s="17">
        <f>IF($L360="","",COUNT($L360:$Q360))</f>
        <v/>
      </c>
      <c r="X360" s="18">
        <f>IF($W360="","",INT(INDEX($L360:$Q360,$W360)))</f>
        <v/>
      </c>
      <c r="Y360" s="18">
        <f>IF(OR($W360="",$W360=6),"",WORKDAY($X360,CHOOSE($W360,3,3,2,2,3),Holidays))</f>
        <v/>
      </c>
      <c r="Z360" s="17">
        <f>IF(OR($W360="",$W360=6),"",CHOOSE($W360,"1st Email Follow-up","2nd Email Follow-up","Escalate Local Office","Escalate to CBE","Escalate to Roxanne"))</f>
        <v/>
      </c>
    </row>
    <row r="361" spans="18:26">
      <c r="R361" s="15"/>
      <c r="S361" s="16"/>
      <c r="T361" s="17">
        <f>IF(AND(COUNTA($A361:$K361)=0,$L361=""),"",IF($S361="Paid","PAID",IF($S361="Closed","CLOSED",IF($W361="","",IF($W361=6,"ESCALATED TO ROXANNE",IF(TODAY()&gt;$Y361,"OVERDUE",IF($Y361&lt;=WORKDAY(TODAY(),1,Holidays),"DUE TOMORROW",IF($W361=4,"ESCALATED TO LOCAL OFFICE",IF($W361=5,"ESCALATED TO CBE",IF($X361=TODAY(),"EMAIL SENT","MONITORING"))))))))))</f>
        <v/>
      </c>
      <c r="U361" s="17">
        <f>IF($T361="",IF(AND(COUNTA($A361:$K361)&gt;0,$L361=""),"Awaiting Collection Email time stamp.",""),IF(OR($T361="PAID",$T361="CLOSED"),IF($T361="PAID","Account paid. Action completed.","Account closed. No further action required."),CHOOSE($W361,"Collection Email","1st Email Follow-up","2nd Email Follow-up","Escalation to Local Office","Escalation to CBE","Escalation to Roxanne")&amp;" sent "&amp;TEXT($X361,"dd-mmm")&amp;". "&amp;IF($W361=6,"Final escalation completed.",IF($T361="OVERDUE","Next: "&amp;$Z361&amp;" was due "&amp;TEXT($Y361,"dd-mmm")&amp;" - "&amp;(NETWORKDAYS($Y361,TODAY(),Holidays)-1)&amp;" business day(s) late. Send now.",IF($T361="DUE TOMORROW","Next: "&amp;$Z361&amp;IF($Y361&lt;=TODAY()," is due TODAY ("," is due next business day (")&amp;TEXT($Y361,"dd-mmm")&amp;").","Next: "&amp;$Z361&amp;" due "&amp;TEXT($Y361,"dd-mmm")&amp;" ("&amp;(NETWORKDAYS(TODAY(),$Y361,Holidays)-1)&amp;" business day(s) left).")))))</f>
        <v/>
      </c>
      <c r="V361" s="17">
        <f>IF($W361="","",CHOOSE($W361,"Collection Email","1st Follow-up","2nd Follow-up","Local Office","CBE","Roxanne")&amp;IF($W361=6," - Final"," - Day "&amp;MAX(0,NETWORKDAYS($X361,TODAY(),Holidays)-1)&amp;" of "&amp;CHOOSE($W361,3,3,2,2,3))&amp;" | Total Day "&amp;MAX(0,NETWORKDAYS($L361,TODAY(),Holidays)-1))</f>
        <v/>
      </c>
      <c r="W361" s="17">
        <f>IF($L361="","",COUNT($L361:$Q361))</f>
        <v/>
      </c>
      <c r="X361" s="18">
        <f>IF($W361="","",INT(INDEX($L361:$Q361,$W361)))</f>
        <v/>
      </c>
      <c r="Y361" s="18">
        <f>IF(OR($W361="",$W361=6),"",WORKDAY($X361,CHOOSE($W361,3,3,2,2,3),Holidays))</f>
        <v/>
      </c>
      <c r="Z361" s="17">
        <f>IF(OR($W361="",$W361=6),"",CHOOSE($W361,"1st Email Follow-up","2nd Email Follow-up","Escalate Local Office","Escalate to CBE","Escalate to Roxanne"))</f>
        <v/>
      </c>
    </row>
    <row r="362" spans="18:26">
      <c r="R362" s="15"/>
      <c r="S362" s="16"/>
      <c r="T362" s="17">
        <f>IF(AND(COUNTA($A362:$K362)=0,$L362=""),"",IF($S362="Paid","PAID",IF($S362="Closed","CLOSED",IF($W362="","",IF($W362=6,"ESCALATED TO ROXANNE",IF(TODAY()&gt;$Y362,"OVERDUE",IF($Y362&lt;=WORKDAY(TODAY(),1,Holidays),"DUE TOMORROW",IF($W362=4,"ESCALATED TO LOCAL OFFICE",IF($W362=5,"ESCALATED TO CBE",IF($X362=TODAY(),"EMAIL SENT","MONITORING"))))))))))</f>
        <v/>
      </c>
      <c r="U362" s="17">
        <f>IF($T362="",IF(AND(COUNTA($A362:$K362)&gt;0,$L362=""),"Awaiting Collection Email time stamp.",""),IF(OR($T362="PAID",$T362="CLOSED"),IF($T362="PAID","Account paid. Action completed.","Account closed. No further action required."),CHOOSE($W362,"Collection Email","1st Email Follow-up","2nd Email Follow-up","Escalation to Local Office","Escalation to CBE","Escalation to Roxanne")&amp;" sent "&amp;TEXT($X362,"dd-mmm")&amp;". "&amp;IF($W362=6,"Final escalation completed.",IF($T362="OVERDUE","Next: "&amp;$Z362&amp;" was due "&amp;TEXT($Y362,"dd-mmm")&amp;" - "&amp;(NETWORKDAYS($Y362,TODAY(),Holidays)-1)&amp;" business day(s) late. Send now.",IF($T362="DUE TOMORROW","Next: "&amp;$Z362&amp;IF($Y362&lt;=TODAY()," is due TODAY ("," is due next business day (")&amp;TEXT($Y362,"dd-mmm")&amp;").","Next: "&amp;$Z362&amp;" due "&amp;TEXT($Y362,"dd-mmm")&amp;" ("&amp;(NETWORKDAYS(TODAY(),$Y362,Holidays)-1)&amp;" business day(s) left).")))))</f>
        <v/>
      </c>
      <c r="V362" s="17">
        <f>IF($W362="","",CHOOSE($W362,"Collection Email","1st Follow-up","2nd Follow-up","Local Office","CBE","Roxanne")&amp;IF($W362=6," - Final"," - Day "&amp;MAX(0,NETWORKDAYS($X362,TODAY(),Holidays)-1)&amp;" of "&amp;CHOOSE($W362,3,3,2,2,3))&amp;" | Total Day "&amp;MAX(0,NETWORKDAYS($L362,TODAY(),Holidays)-1))</f>
        <v/>
      </c>
      <c r="W362" s="17">
        <f>IF($L362="","",COUNT($L362:$Q362))</f>
        <v/>
      </c>
      <c r="X362" s="18">
        <f>IF($W362="","",INT(INDEX($L362:$Q362,$W362)))</f>
        <v/>
      </c>
      <c r="Y362" s="18">
        <f>IF(OR($W362="",$W362=6),"",WORKDAY($X362,CHOOSE($W362,3,3,2,2,3),Holidays))</f>
        <v/>
      </c>
      <c r="Z362" s="17">
        <f>IF(OR($W362="",$W362=6),"",CHOOSE($W362,"1st Email Follow-up","2nd Email Follow-up","Escalate Local Office","Escalate to CBE","Escalate to Roxanne"))</f>
        <v/>
      </c>
    </row>
    <row r="363" spans="18:26">
      <c r="R363" s="15"/>
      <c r="S363" s="16"/>
      <c r="T363" s="17">
        <f>IF(AND(COUNTA($A363:$K363)=0,$L363=""),"",IF($S363="Paid","PAID",IF($S363="Closed","CLOSED",IF($W363="","",IF($W363=6,"ESCALATED TO ROXANNE",IF(TODAY()&gt;$Y363,"OVERDUE",IF($Y363&lt;=WORKDAY(TODAY(),1,Holidays),"DUE TOMORROW",IF($W363=4,"ESCALATED TO LOCAL OFFICE",IF($W363=5,"ESCALATED TO CBE",IF($X363=TODAY(),"EMAIL SENT","MONITORING"))))))))))</f>
        <v/>
      </c>
      <c r="U363" s="17">
        <f>IF($T363="",IF(AND(COUNTA($A363:$K363)&gt;0,$L363=""),"Awaiting Collection Email time stamp.",""),IF(OR($T363="PAID",$T363="CLOSED"),IF($T363="PAID","Account paid. Action completed.","Account closed. No further action required."),CHOOSE($W363,"Collection Email","1st Email Follow-up","2nd Email Follow-up","Escalation to Local Office","Escalation to CBE","Escalation to Roxanne")&amp;" sent "&amp;TEXT($X363,"dd-mmm")&amp;". "&amp;IF($W363=6,"Final escalation completed.",IF($T363="OVERDUE","Next: "&amp;$Z363&amp;" was due "&amp;TEXT($Y363,"dd-mmm")&amp;" - "&amp;(NETWORKDAYS($Y363,TODAY(),Holidays)-1)&amp;" business day(s) late. Send now.",IF($T363="DUE TOMORROW","Next: "&amp;$Z363&amp;IF($Y363&lt;=TODAY()," is due TODAY ("," is due next business day (")&amp;TEXT($Y363,"dd-mmm")&amp;").","Next: "&amp;$Z363&amp;" due "&amp;TEXT($Y363,"dd-mmm")&amp;" ("&amp;(NETWORKDAYS(TODAY(),$Y363,Holidays)-1)&amp;" business day(s) left).")))))</f>
        <v/>
      </c>
      <c r="V363" s="17">
        <f>IF($W363="","",CHOOSE($W363,"Collection Email","1st Follow-up","2nd Follow-up","Local Office","CBE","Roxanne")&amp;IF($W363=6," - Final"," - Day "&amp;MAX(0,NETWORKDAYS($X363,TODAY(),Holidays)-1)&amp;" of "&amp;CHOOSE($W363,3,3,2,2,3))&amp;" | Total Day "&amp;MAX(0,NETWORKDAYS($L363,TODAY(),Holidays)-1))</f>
        <v/>
      </c>
      <c r="W363" s="17">
        <f>IF($L363="","",COUNT($L363:$Q363))</f>
        <v/>
      </c>
      <c r="X363" s="18">
        <f>IF($W363="","",INT(INDEX($L363:$Q363,$W363)))</f>
        <v/>
      </c>
      <c r="Y363" s="18">
        <f>IF(OR($W363="",$W363=6),"",WORKDAY($X363,CHOOSE($W363,3,3,2,2,3),Holidays))</f>
        <v/>
      </c>
      <c r="Z363" s="17">
        <f>IF(OR($W363="",$W363=6),"",CHOOSE($W363,"1st Email Follow-up","2nd Email Follow-up","Escalate Local Office","Escalate to CBE","Escalate to Roxanne"))</f>
        <v/>
      </c>
    </row>
    <row r="364" spans="18:26">
      <c r="R364" s="15"/>
      <c r="S364" s="16"/>
      <c r="T364" s="17">
        <f>IF(AND(COUNTA($A364:$K364)=0,$L364=""),"",IF($S364="Paid","PAID",IF($S364="Closed","CLOSED",IF($W364="","",IF($W364=6,"ESCALATED TO ROXANNE",IF(TODAY()&gt;$Y364,"OVERDUE",IF($Y364&lt;=WORKDAY(TODAY(),1,Holidays),"DUE TOMORROW",IF($W364=4,"ESCALATED TO LOCAL OFFICE",IF($W364=5,"ESCALATED TO CBE",IF($X364=TODAY(),"EMAIL SENT","MONITORING"))))))))))</f>
        <v/>
      </c>
      <c r="U364" s="17">
        <f>IF($T364="",IF(AND(COUNTA($A364:$K364)&gt;0,$L364=""),"Awaiting Collection Email time stamp.",""),IF(OR($T364="PAID",$T364="CLOSED"),IF($T364="PAID","Account paid. Action completed.","Account closed. No further action required."),CHOOSE($W364,"Collection Email","1st Email Follow-up","2nd Email Follow-up","Escalation to Local Office","Escalation to CBE","Escalation to Roxanne")&amp;" sent "&amp;TEXT($X364,"dd-mmm")&amp;". "&amp;IF($W364=6,"Final escalation completed.",IF($T364="OVERDUE","Next: "&amp;$Z364&amp;" was due "&amp;TEXT($Y364,"dd-mmm")&amp;" - "&amp;(NETWORKDAYS($Y364,TODAY(),Holidays)-1)&amp;" business day(s) late. Send now.",IF($T364="DUE TOMORROW","Next: "&amp;$Z364&amp;IF($Y364&lt;=TODAY()," is due TODAY ("," is due next business day (")&amp;TEXT($Y364,"dd-mmm")&amp;").","Next: "&amp;$Z364&amp;" due "&amp;TEXT($Y364,"dd-mmm")&amp;" ("&amp;(NETWORKDAYS(TODAY(),$Y364,Holidays)-1)&amp;" business day(s) left).")))))</f>
        <v/>
      </c>
      <c r="V364" s="17">
        <f>IF($W364="","",CHOOSE($W364,"Collection Email","1st Follow-up","2nd Follow-up","Local Office","CBE","Roxanne")&amp;IF($W364=6," - Final"," - Day "&amp;MAX(0,NETWORKDAYS($X364,TODAY(),Holidays)-1)&amp;" of "&amp;CHOOSE($W364,3,3,2,2,3))&amp;" | Total Day "&amp;MAX(0,NETWORKDAYS($L364,TODAY(),Holidays)-1))</f>
        <v/>
      </c>
      <c r="W364" s="17">
        <f>IF($L364="","",COUNT($L364:$Q364))</f>
        <v/>
      </c>
      <c r="X364" s="18">
        <f>IF($W364="","",INT(INDEX($L364:$Q364,$W364)))</f>
        <v/>
      </c>
      <c r="Y364" s="18">
        <f>IF(OR($W364="",$W364=6),"",WORKDAY($X364,CHOOSE($W364,3,3,2,2,3),Holidays))</f>
        <v/>
      </c>
      <c r="Z364" s="17">
        <f>IF(OR($W364="",$W364=6),"",CHOOSE($W364,"1st Email Follow-up","2nd Email Follow-up","Escalate Local Office","Escalate to CBE","Escalate to Roxanne"))</f>
        <v/>
      </c>
    </row>
    <row r="365" spans="18:26">
      <c r="R365" s="15"/>
      <c r="S365" s="16"/>
      <c r="T365" s="17">
        <f>IF(AND(COUNTA($A365:$K365)=0,$L365=""),"",IF($S365="Paid","PAID",IF($S365="Closed","CLOSED",IF($W365="","",IF($W365=6,"ESCALATED TO ROXANNE",IF(TODAY()&gt;$Y365,"OVERDUE",IF($Y365&lt;=WORKDAY(TODAY(),1,Holidays),"DUE TOMORROW",IF($W365=4,"ESCALATED TO LOCAL OFFICE",IF($W365=5,"ESCALATED TO CBE",IF($X365=TODAY(),"EMAIL SENT","MONITORING"))))))))))</f>
        <v/>
      </c>
      <c r="U365" s="17">
        <f>IF($T365="",IF(AND(COUNTA($A365:$K365)&gt;0,$L365=""),"Awaiting Collection Email time stamp.",""),IF(OR($T365="PAID",$T365="CLOSED"),IF($T365="PAID","Account paid. Action completed.","Account closed. No further action required."),CHOOSE($W365,"Collection Email","1st Email Follow-up","2nd Email Follow-up","Escalation to Local Office","Escalation to CBE","Escalation to Roxanne")&amp;" sent "&amp;TEXT($X365,"dd-mmm")&amp;". "&amp;IF($W365=6,"Final escalation completed.",IF($T365="OVERDUE","Next: "&amp;$Z365&amp;" was due "&amp;TEXT($Y365,"dd-mmm")&amp;" - "&amp;(NETWORKDAYS($Y365,TODAY(),Holidays)-1)&amp;" business day(s) late. Send now.",IF($T365="DUE TOMORROW","Next: "&amp;$Z365&amp;IF($Y365&lt;=TODAY()," is due TODAY ("," is due next business day (")&amp;TEXT($Y365,"dd-mmm")&amp;").","Next: "&amp;$Z365&amp;" due "&amp;TEXT($Y365,"dd-mmm")&amp;" ("&amp;(NETWORKDAYS(TODAY(),$Y365,Holidays)-1)&amp;" business day(s) left).")))))</f>
        <v/>
      </c>
      <c r="V365" s="17">
        <f>IF($W365="","",CHOOSE($W365,"Collection Email","1st Follow-up","2nd Follow-up","Local Office","CBE","Roxanne")&amp;IF($W365=6," - Final"," - Day "&amp;MAX(0,NETWORKDAYS($X365,TODAY(),Holidays)-1)&amp;" of "&amp;CHOOSE($W365,3,3,2,2,3))&amp;" | Total Day "&amp;MAX(0,NETWORKDAYS($L365,TODAY(),Holidays)-1))</f>
        <v/>
      </c>
      <c r="W365" s="17">
        <f>IF($L365="","",COUNT($L365:$Q365))</f>
        <v/>
      </c>
      <c r="X365" s="18">
        <f>IF($W365="","",INT(INDEX($L365:$Q365,$W365)))</f>
        <v/>
      </c>
      <c r="Y365" s="18">
        <f>IF(OR($W365="",$W365=6),"",WORKDAY($X365,CHOOSE($W365,3,3,2,2,3),Holidays))</f>
        <v/>
      </c>
      <c r="Z365" s="17">
        <f>IF(OR($W365="",$W365=6),"",CHOOSE($W365,"1st Email Follow-up","2nd Email Follow-up","Escalate Local Office","Escalate to CBE","Escalate to Roxanne"))</f>
        <v/>
      </c>
    </row>
    <row r="366" spans="18:26">
      <c r="R366" s="15"/>
      <c r="S366" s="16"/>
      <c r="T366" s="17">
        <f>IF(AND(COUNTA($A366:$K366)=0,$L366=""),"",IF($S366="Paid","PAID",IF($S366="Closed","CLOSED",IF($W366="","",IF($W366=6,"ESCALATED TO ROXANNE",IF(TODAY()&gt;$Y366,"OVERDUE",IF($Y366&lt;=WORKDAY(TODAY(),1,Holidays),"DUE TOMORROW",IF($W366=4,"ESCALATED TO LOCAL OFFICE",IF($W366=5,"ESCALATED TO CBE",IF($X366=TODAY(),"EMAIL SENT","MONITORING"))))))))))</f>
        <v/>
      </c>
      <c r="U366" s="17">
        <f>IF($T366="",IF(AND(COUNTA($A366:$K366)&gt;0,$L366=""),"Awaiting Collection Email time stamp.",""),IF(OR($T366="PAID",$T366="CLOSED"),IF($T366="PAID","Account paid. Action completed.","Account closed. No further action required."),CHOOSE($W366,"Collection Email","1st Email Follow-up","2nd Email Follow-up","Escalation to Local Office","Escalation to CBE","Escalation to Roxanne")&amp;" sent "&amp;TEXT($X366,"dd-mmm")&amp;". "&amp;IF($W366=6,"Final escalation completed.",IF($T366="OVERDUE","Next: "&amp;$Z366&amp;" was due "&amp;TEXT($Y366,"dd-mmm")&amp;" - "&amp;(NETWORKDAYS($Y366,TODAY(),Holidays)-1)&amp;" business day(s) late. Send now.",IF($T366="DUE TOMORROW","Next: "&amp;$Z366&amp;IF($Y366&lt;=TODAY()," is due TODAY ("," is due next business day (")&amp;TEXT($Y366,"dd-mmm")&amp;").","Next: "&amp;$Z366&amp;" due "&amp;TEXT($Y366,"dd-mmm")&amp;" ("&amp;(NETWORKDAYS(TODAY(),$Y366,Holidays)-1)&amp;" business day(s) left).")))))</f>
        <v/>
      </c>
      <c r="V366" s="17">
        <f>IF($W366="","",CHOOSE($W366,"Collection Email","1st Follow-up","2nd Follow-up","Local Office","CBE","Roxanne")&amp;IF($W366=6," - Final"," - Day "&amp;MAX(0,NETWORKDAYS($X366,TODAY(),Holidays)-1)&amp;" of "&amp;CHOOSE($W366,3,3,2,2,3))&amp;" | Total Day "&amp;MAX(0,NETWORKDAYS($L366,TODAY(),Holidays)-1))</f>
        <v/>
      </c>
      <c r="W366" s="17">
        <f>IF($L366="","",COUNT($L366:$Q366))</f>
        <v/>
      </c>
      <c r="X366" s="18">
        <f>IF($W366="","",INT(INDEX($L366:$Q366,$W366)))</f>
        <v/>
      </c>
      <c r="Y366" s="18">
        <f>IF(OR($W366="",$W366=6),"",WORKDAY($X366,CHOOSE($W366,3,3,2,2,3),Holidays))</f>
        <v/>
      </c>
      <c r="Z366" s="17">
        <f>IF(OR($W366="",$W366=6),"",CHOOSE($W366,"1st Email Follow-up","2nd Email Follow-up","Escalate Local Office","Escalate to CBE","Escalate to Roxanne"))</f>
        <v/>
      </c>
    </row>
    <row r="367" spans="18:26">
      <c r="R367" s="15"/>
      <c r="S367" s="16"/>
      <c r="T367" s="17">
        <f>IF(AND(COUNTA($A367:$K367)=0,$L367=""),"",IF($S367="Paid","PAID",IF($S367="Closed","CLOSED",IF($W367="","",IF($W367=6,"ESCALATED TO ROXANNE",IF(TODAY()&gt;$Y367,"OVERDUE",IF($Y367&lt;=WORKDAY(TODAY(),1,Holidays),"DUE TOMORROW",IF($W367=4,"ESCALATED TO LOCAL OFFICE",IF($W367=5,"ESCALATED TO CBE",IF($X367=TODAY(),"EMAIL SENT","MONITORING"))))))))))</f>
        <v/>
      </c>
      <c r="U367" s="17">
        <f>IF($T367="",IF(AND(COUNTA($A367:$K367)&gt;0,$L367=""),"Awaiting Collection Email time stamp.",""),IF(OR($T367="PAID",$T367="CLOSED"),IF($T367="PAID","Account paid. Action completed.","Account closed. No further action required."),CHOOSE($W367,"Collection Email","1st Email Follow-up","2nd Email Follow-up","Escalation to Local Office","Escalation to CBE","Escalation to Roxanne")&amp;" sent "&amp;TEXT($X367,"dd-mmm")&amp;". "&amp;IF($W367=6,"Final escalation completed.",IF($T367="OVERDUE","Next: "&amp;$Z367&amp;" was due "&amp;TEXT($Y367,"dd-mmm")&amp;" - "&amp;(NETWORKDAYS($Y367,TODAY(),Holidays)-1)&amp;" business day(s) late. Send now.",IF($T367="DUE TOMORROW","Next: "&amp;$Z367&amp;IF($Y367&lt;=TODAY()," is due TODAY ("," is due next business day (")&amp;TEXT($Y367,"dd-mmm")&amp;").","Next: "&amp;$Z367&amp;" due "&amp;TEXT($Y367,"dd-mmm")&amp;" ("&amp;(NETWORKDAYS(TODAY(),$Y367,Holidays)-1)&amp;" business day(s) left).")))))</f>
        <v/>
      </c>
      <c r="V367" s="17">
        <f>IF($W367="","",CHOOSE($W367,"Collection Email","1st Follow-up","2nd Follow-up","Local Office","CBE","Roxanne")&amp;IF($W367=6," - Final"," - Day "&amp;MAX(0,NETWORKDAYS($X367,TODAY(),Holidays)-1)&amp;" of "&amp;CHOOSE($W367,3,3,2,2,3))&amp;" | Total Day "&amp;MAX(0,NETWORKDAYS($L367,TODAY(),Holidays)-1))</f>
        <v/>
      </c>
      <c r="W367" s="17">
        <f>IF($L367="","",COUNT($L367:$Q367))</f>
        <v/>
      </c>
      <c r="X367" s="18">
        <f>IF($W367="","",INT(INDEX($L367:$Q367,$W367)))</f>
        <v/>
      </c>
      <c r="Y367" s="18">
        <f>IF(OR($W367="",$W367=6),"",WORKDAY($X367,CHOOSE($W367,3,3,2,2,3),Holidays))</f>
        <v/>
      </c>
      <c r="Z367" s="17">
        <f>IF(OR($W367="",$W367=6),"",CHOOSE($W367,"1st Email Follow-up","2nd Email Follow-up","Escalate Local Office","Escalate to CBE","Escalate to Roxanne"))</f>
        <v/>
      </c>
    </row>
    <row r="368" spans="18:26">
      <c r="R368" s="15"/>
      <c r="S368" s="16"/>
      <c r="T368" s="17">
        <f>IF(AND(COUNTA($A368:$K368)=0,$L368=""),"",IF($S368="Paid","PAID",IF($S368="Closed","CLOSED",IF($W368="","",IF($W368=6,"ESCALATED TO ROXANNE",IF(TODAY()&gt;$Y368,"OVERDUE",IF($Y368&lt;=WORKDAY(TODAY(),1,Holidays),"DUE TOMORROW",IF($W368=4,"ESCALATED TO LOCAL OFFICE",IF($W368=5,"ESCALATED TO CBE",IF($X368=TODAY(),"EMAIL SENT","MONITORING"))))))))))</f>
        <v/>
      </c>
      <c r="U368" s="17">
        <f>IF($T368="",IF(AND(COUNTA($A368:$K368)&gt;0,$L368=""),"Awaiting Collection Email time stamp.",""),IF(OR($T368="PAID",$T368="CLOSED"),IF($T368="PAID","Account paid. Action completed.","Account closed. No further action required."),CHOOSE($W368,"Collection Email","1st Email Follow-up","2nd Email Follow-up","Escalation to Local Office","Escalation to CBE","Escalation to Roxanne")&amp;" sent "&amp;TEXT($X368,"dd-mmm")&amp;". "&amp;IF($W368=6,"Final escalation completed.",IF($T368="OVERDUE","Next: "&amp;$Z368&amp;" was due "&amp;TEXT($Y368,"dd-mmm")&amp;" - "&amp;(NETWORKDAYS($Y368,TODAY(),Holidays)-1)&amp;" business day(s) late. Send now.",IF($T368="DUE TOMORROW","Next: "&amp;$Z368&amp;IF($Y368&lt;=TODAY()," is due TODAY ("," is due next business day (")&amp;TEXT($Y368,"dd-mmm")&amp;").","Next: "&amp;$Z368&amp;" due "&amp;TEXT($Y368,"dd-mmm")&amp;" ("&amp;(NETWORKDAYS(TODAY(),$Y368,Holidays)-1)&amp;" business day(s) left).")))))</f>
        <v/>
      </c>
      <c r="V368" s="17">
        <f>IF($W368="","",CHOOSE($W368,"Collection Email","1st Follow-up","2nd Follow-up","Local Office","CBE","Roxanne")&amp;IF($W368=6," - Final"," - Day "&amp;MAX(0,NETWORKDAYS($X368,TODAY(),Holidays)-1)&amp;" of "&amp;CHOOSE($W368,3,3,2,2,3))&amp;" | Total Day "&amp;MAX(0,NETWORKDAYS($L368,TODAY(),Holidays)-1))</f>
        <v/>
      </c>
      <c r="W368" s="17">
        <f>IF($L368="","",COUNT($L368:$Q368))</f>
        <v/>
      </c>
      <c r="X368" s="18">
        <f>IF($W368="","",INT(INDEX($L368:$Q368,$W368)))</f>
        <v/>
      </c>
      <c r="Y368" s="18">
        <f>IF(OR($W368="",$W368=6),"",WORKDAY($X368,CHOOSE($W368,3,3,2,2,3),Holidays))</f>
        <v/>
      </c>
      <c r="Z368" s="17">
        <f>IF(OR($W368="",$W368=6),"",CHOOSE($W368,"1st Email Follow-up","2nd Email Follow-up","Escalate Local Office","Escalate to CBE","Escalate to Roxanne"))</f>
        <v/>
      </c>
    </row>
    <row r="369" spans="18:26">
      <c r="R369" s="15"/>
      <c r="S369" s="16"/>
      <c r="T369" s="17">
        <f>IF(AND(COUNTA($A369:$K369)=0,$L369=""),"",IF($S369="Paid","PAID",IF($S369="Closed","CLOSED",IF($W369="","",IF($W369=6,"ESCALATED TO ROXANNE",IF(TODAY()&gt;$Y369,"OVERDUE",IF($Y369&lt;=WORKDAY(TODAY(),1,Holidays),"DUE TOMORROW",IF($W369=4,"ESCALATED TO LOCAL OFFICE",IF($W369=5,"ESCALATED TO CBE",IF($X369=TODAY(),"EMAIL SENT","MONITORING"))))))))))</f>
        <v/>
      </c>
      <c r="U369" s="17">
        <f>IF($T369="",IF(AND(COUNTA($A369:$K369)&gt;0,$L369=""),"Awaiting Collection Email time stamp.",""),IF(OR($T369="PAID",$T369="CLOSED"),IF($T369="PAID","Account paid. Action completed.","Account closed. No further action required."),CHOOSE($W369,"Collection Email","1st Email Follow-up","2nd Email Follow-up","Escalation to Local Office","Escalation to CBE","Escalation to Roxanne")&amp;" sent "&amp;TEXT($X369,"dd-mmm")&amp;". "&amp;IF($W369=6,"Final escalation completed.",IF($T369="OVERDUE","Next: "&amp;$Z369&amp;" was due "&amp;TEXT($Y369,"dd-mmm")&amp;" - "&amp;(NETWORKDAYS($Y369,TODAY(),Holidays)-1)&amp;" business day(s) late. Send now.",IF($T369="DUE TOMORROW","Next: "&amp;$Z369&amp;IF($Y369&lt;=TODAY()," is due TODAY ("," is due next business day (")&amp;TEXT($Y369,"dd-mmm")&amp;").","Next: "&amp;$Z369&amp;" due "&amp;TEXT($Y369,"dd-mmm")&amp;" ("&amp;(NETWORKDAYS(TODAY(),$Y369,Holidays)-1)&amp;" business day(s) left).")))))</f>
        <v/>
      </c>
      <c r="V369" s="17">
        <f>IF($W369="","",CHOOSE($W369,"Collection Email","1st Follow-up","2nd Follow-up","Local Office","CBE","Roxanne")&amp;IF($W369=6," - Final"," - Day "&amp;MAX(0,NETWORKDAYS($X369,TODAY(),Holidays)-1)&amp;" of "&amp;CHOOSE($W369,3,3,2,2,3))&amp;" | Total Day "&amp;MAX(0,NETWORKDAYS($L369,TODAY(),Holidays)-1))</f>
        <v/>
      </c>
      <c r="W369" s="17">
        <f>IF($L369="","",COUNT($L369:$Q369))</f>
        <v/>
      </c>
      <c r="X369" s="18">
        <f>IF($W369="","",INT(INDEX($L369:$Q369,$W369)))</f>
        <v/>
      </c>
      <c r="Y369" s="18">
        <f>IF(OR($W369="",$W369=6),"",WORKDAY($X369,CHOOSE($W369,3,3,2,2,3),Holidays))</f>
        <v/>
      </c>
      <c r="Z369" s="17">
        <f>IF(OR($W369="",$W369=6),"",CHOOSE($W369,"1st Email Follow-up","2nd Email Follow-up","Escalate Local Office","Escalate to CBE","Escalate to Roxanne"))</f>
        <v/>
      </c>
    </row>
    <row r="370" spans="18:26">
      <c r="R370" s="15"/>
      <c r="S370" s="16"/>
      <c r="T370" s="17">
        <f>IF(AND(COUNTA($A370:$K370)=0,$L370=""),"",IF($S370="Paid","PAID",IF($S370="Closed","CLOSED",IF($W370="","",IF($W370=6,"ESCALATED TO ROXANNE",IF(TODAY()&gt;$Y370,"OVERDUE",IF($Y370&lt;=WORKDAY(TODAY(),1,Holidays),"DUE TOMORROW",IF($W370=4,"ESCALATED TO LOCAL OFFICE",IF($W370=5,"ESCALATED TO CBE",IF($X370=TODAY(),"EMAIL SENT","MONITORING"))))))))))</f>
        <v/>
      </c>
      <c r="U370" s="17">
        <f>IF($T370="",IF(AND(COUNTA($A370:$K370)&gt;0,$L370=""),"Awaiting Collection Email time stamp.",""),IF(OR($T370="PAID",$T370="CLOSED"),IF($T370="PAID","Account paid. Action completed.","Account closed. No further action required."),CHOOSE($W370,"Collection Email","1st Email Follow-up","2nd Email Follow-up","Escalation to Local Office","Escalation to CBE","Escalation to Roxanne")&amp;" sent "&amp;TEXT($X370,"dd-mmm")&amp;". "&amp;IF($W370=6,"Final escalation completed.",IF($T370="OVERDUE","Next: "&amp;$Z370&amp;" was due "&amp;TEXT($Y370,"dd-mmm")&amp;" - "&amp;(NETWORKDAYS($Y370,TODAY(),Holidays)-1)&amp;" business day(s) late. Send now.",IF($T370="DUE TOMORROW","Next: "&amp;$Z370&amp;IF($Y370&lt;=TODAY()," is due TODAY ("," is due next business day (")&amp;TEXT($Y370,"dd-mmm")&amp;").","Next: "&amp;$Z370&amp;" due "&amp;TEXT($Y370,"dd-mmm")&amp;" ("&amp;(NETWORKDAYS(TODAY(),$Y370,Holidays)-1)&amp;" business day(s) left).")))))</f>
        <v/>
      </c>
      <c r="V370" s="17">
        <f>IF($W370="","",CHOOSE($W370,"Collection Email","1st Follow-up","2nd Follow-up","Local Office","CBE","Roxanne")&amp;IF($W370=6," - Final"," - Day "&amp;MAX(0,NETWORKDAYS($X370,TODAY(),Holidays)-1)&amp;" of "&amp;CHOOSE($W370,3,3,2,2,3))&amp;" | Total Day "&amp;MAX(0,NETWORKDAYS($L370,TODAY(),Holidays)-1))</f>
        <v/>
      </c>
      <c r="W370" s="17">
        <f>IF($L370="","",COUNT($L370:$Q370))</f>
        <v/>
      </c>
      <c r="X370" s="18">
        <f>IF($W370="","",INT(INDEX($L370:$Q370,$W370)))</f>
        <v/>
      </c>
      <c r="Y370" s="18">
        <f>IF(OR($W370="",$W370=6),"",WORKDAY($X370,CHOOSE($W370,3,3,2,2,3),Holidays))</f>
        <v/>
      </c>
      <c r="Z370" s="17">
        <f>IF(OR($W370="",$W370=6),"",CHOOSE($W370,"1st Email Follow-up","2nd Email Follow-up","Escalate Local Office","Escalate to CBE","Escalate to Roxanne"))</f>
        <v/>
      </c>
    </row>
    <row r="371" spans="18:26">
      <c r="R371" s="15"/>
      <c r="S371" s="16"/>
      <c r="T371" s="17">
        <f>IF(AND(COUNTA($A371:$K371)=0,$L371=""),"",IF($S371="Paid","PAID",IF($S371="Closed","CLOSED",IF($W371="","",IF($W371=6,"ESCALATED TO ROXANNE",IF(TODAY()&gt;$Y371,"OVERDUE",IF($Y371&lt;=WORKDAY(TODAY(),1,Holidays),"DUE TOMORROW",IF($W371=4,"ESCALATED TO LOCAL OFFICE",IF($W371=5,"ESCALATED TO CBE",IF($X371=TODAY(),"EMAIL SENT","MONITORING"))))))))))</f>
        <v/>
      </c>
      <c r="U371" s="17">
        <f>IF($T371="",IF(AND(COUNTA($A371:$K371)&gt;0,$L371=""),"Awaiting Collection Email time stamp.",""),IF(OR($T371="PAID",$T371="CLOSED"),IF($T371="PAID","Account paid. Action completed.","Account closed. No further action required."),CHOOSE($W371,"Collection Email","1st Email Follow-up","2nd Email Follow-up","Escalation to Local Office","Escalation to CBE","Escalation to Roxanne")&amp;" sent "&amp;TEXT($X371,"dd-mmm")&amp;". "&amp;IF($W371=6,"Final escalation completed.",IF($T371="OVERDUE","Next: "&amp;$Z371&amp;" was due "&amp;TEXT($Y371,"dd-mmm")&amp;" - "&amp;(NETWORKDAYS($Y371,TODAY(),Holidays)-1)&amp;" business day(s) late. Send now.",IF($T371="DUE TOMORROW","Next: "&amp;$Z371&amp;IF($Y371&lt;=TODAY()," is due TODAY ("," is due next business day (")&amp;TEXT($Y371,"dd-mmm")&amp;").","Next: "&amp;$Z371&amp;" due "&amp;TEXT($Y371,"dd-mmm")&amp;" ("&amp;(NETWORKDAYS(TODAY(),$Y371,Holidays)-1)&amp;" business day(s) left).")))))</f>
        <v/>
      </c>
      <c r="V371" s="17">
        <f>IF($W371="","",CHOOSE($W371,"Collection Email","1st Follow-up","2nd Follow-up","Local Office","CBE","Roxanne")&amp;IF($W371=6," - Final"," - Day "&amp;MAX(0,NETWORKDAYS($X371,TODAY(),Holidays)-1)&amp;" of "&amp;CHOOSE($W371,3,3,2,2,3))&amp;" | Total Day "&amp;MAX(0,NETWORKDAYS($L371,TODAY(),Holidays)-1))</f>
        <v/>
      </c>
      <c r="W371" s="17">
        <f>IF($L371="","",COUNT($L371:$Q371))</f>
        <v/>
      </c>
      <c r="X371" s="18">
        <f>IF($W371="","",INT(INDEX($L371:$Q371,$W371)))</f>
        <v/>
      </c>
      <c r="Y371" s="18">
        <f>IF(OR($W371="",$W371=6),"",WORKDAY($X371,CHOOSE($W371,3,3,2,2,3),Holidays))</f>
        <v/>
      </c>
      <c r="Z371" s="17">
        <f>IF(OR($W371="",$W371=6),"",CHOOSE($W371,"1st Email Follow-up","2nd Email Follow-up","Escalate Local Office","Escalate to CBE","Escalate to Roxanne"))</f>
        <v/>
      </c>
    </row>
    <row r="372" spans="18:26">
      <c r="R372" s="15"/>
      <c r="S372" s="16"/>
      <c r="T372" s="17">
        <f>IF(AND(COUNTA($A372:$K372)=0,$L372=""),"",IF($S372="Paid","PAID",IF($S372="Closed","CLOSED",IF($W372="","",IF($W372=6,"ESCALATED TO ROXANNE",IF(TODAY()&gt;$Y372,"OVERDUE",IF($Y372&lt;=WORKDAY(TODAY(),1,Holidays),"DUE TOMORROW",IF($W372=4,"ESCALATED TO LOCAL OFFICE",IF($W372=5,"ESCALATED TO CBE",IF($X372=TODAY(),"EMAIL SENT","MONITORING"))))))))))</f>
        <v/>
      </c>
      <c r="U372" s="17">
        <f>IF($T372="",IF(AND(COUNTA($A372:$K372)&gt;0,$L372=""),"Awaiting Collection Email time stamp.",""),IF(OR($T372="PAID",$T372="CLOSED"),IF($T372="PAID","Account paid. Action completed.","Account closed. No further action required."),CHOOSE($W372,"Collection Email","1st Email Follow-up","2nd Email Follow-up","Escalation to Local Office","Escalation to CBE","Escalation to Roxanne")&amp;" sent "&amp;TEXT($X372,"dd-mmm")&amp;". "&amp;IF($W372=6,"Final escalation completed.",IF($T372="OVERDUE","Next: "&amp;$Z372&amp;" was due "&amp;TEXT($Y372,"dd-mmm")&amp;" - "&amp;(NETWORKDAYS($Y372,TODAY(),Holidays)-1)&amp;" business day(s) late. Send now.",IF($T372="DUE TOMORROW","Next: "&amp;$Z372&amp;IF($Y372&lt;=TODAY()," is due TODAY ("," is due next business day (")&amp;TEXT($Y372,"dd-mmm")&amp;").","Next: "&amp;$Z372&amp;" due "&amp;TEXT($Y372,"dd-mmm")&amp;" ("&amp;(NETWORKDAYS(TODAY(),$Y372,Holidays)-1)&amp;" business day(s) left).")))))</f>
        <v/>
      </c>
      <c r="V372" s="17">
        <f>IF($W372="","",CHOOSE($W372,"Collection Email","1st Follow-up","2nd Follow-up","Local Office","CBE","Roxanne")&amp;IF($W372=6," - Final"," - Day "&amp;MAX(0,NETWORKDAYS($X372,TODAY(),Holidays)-1)&amp;" of "&amp;CHOOSE($W372,3,3,2,2,3))&amp;" | Total Day "&amp;MAX(0,NETWORKDAYS($L372,TODAY(),Holidays)-1))</f>
        <v/>
      </c>
      <c r="W372" s="17">
        <f>IF($L372="","",COUNT($L372:$Q372))</f>
        <v/>
      </c>
      <c r="X372" s="18">
        <f>IF($W372="","",INT(INDEX($L372:$Q372,$W372)))</f>
        <v/>
      </c>
      <c r="Y372" s="18">
        <f>IF(OR($W372="",$W372=6),"",WORKDAY($X372,CHOOSE($W372,3,3,2,2,3),Holidays))</f>
        <v/>
      </c>
      <c r="Z372" s="17">
        <f>IF(OR($W372="",$W372=6),"",CHOOSE($W372,"1st Email Follow-up","2nd Email Follow-up","Escalate Local Office","Escalate to CBE","Escalate to Roxanne"))</f>
        <v/>
      </c>
    </row>
    <row r="373" spans="18:26">
      <c r="R373" s="15"/>
      <c r="S373" s="16"/>
      <c r="T373" s="17">
        <f>IF(AND(COUNTA($A373:$K373)=0,$L373=""),"",IF($S373="Paid","PAID",IF($S373="Closed","CLOSED",IF($W373="","",IF($W373=6,"ESCALATED TO ROXANNE",IF(TODAY()&gt;$Y373,"OVERDUE",IF($Y373&lt;=WORKDAY(TODAY(),1,Holidays),"DUE TOMORROW",IF($W373=4,"ESCALATED TO LOCAL OFFICE",IF($W373=5,"ESCALATED TO CBE",IF($X373=TODAY(),"EMAIL SENT","MONITORING"))))))))))</f>
        <v/>
      </c>
      <c r="U373" s="17">
        <f>IF($T373="",IF(AND(COUNTA($A373:$K373)&gt;0,$L373=""),"Awaiting Collection Email time stamp.",""),IF(OR($T373="PAID",$T373="CLOSED"),IF($T373="PAID","Account paid. Action completed.","Account closed. No further action required."),CHOOSE($W373,"Collection Email","1st Email Follow-up","2nd Email Follow-up","Escalation to Local Office","Escalation to CBE","Escalation to Roxanne")&amp;" sent "&amp;TEXT($X373,"dd-mmm")&amp;". "&amp;IF($W373=6,"Final escalation completed.",IF($T373="OVERDUE","Next: "&amp;$Z373&amp;" was due "&amp;TEXT($Y373,"dd-mmm")&amp;" - "&amp;(NETWORKDAYS($Y373,TODAY(),Holidays)-1)&amp;" business day(s) late. Send now.",IF($T373="DUE TOMORROW","Next: "&amp;$Z373&amp;IF($Y373&lt;=TODAY()," is due TODAY ("," is due next business day (")&amp;TEXT($Y373,"dd-mmm")&amp;").","Next: "&amp;$Z373&amp;" due "&amp;TEXT($Y373,"dd-mmm")&amp;" ("&amp;(NETWORKDAYS(TODAY(),$Y373,Holidays)-1)&amp;" business day(s) left).")))))</f>
        <v/>
      </c>
      <c r="V373" s="17">
        <f>IF($W373="","",CHOOSE($W373,"Collection Email","1st Follow-up","2nd Follow-up","Local Office","CBE","Roxanne")&amp;IF($W373=6," - Final"," - Day "&amp;MAX(0,NETWORKDAYS($X373,TODAY(),Holidays)-1)&amp;" of "&amp;CHOOSE($W373,3,3,2,2,3))&amp;" | Total Day "&amp;MAX(0,NETWORKDAYS($L373,TODAY(),Holidays)-1))</f>
        <v/>
      </c>
      <c r="W373" s="17">
        <f>IF($L373="","",COUNT($L373:$Q373))</f>
        <v/>
      </c>
      <c r="X373" s="18">
        <f>IF($W373="","",INT(INDEX($L373:$Q373,$W373)))</f>
        <v/>
      </c>
      <c r="Y373" s="18">
        <f>IF(OR($W373="",$W373=6),"",WORKDAY($X373,CHOOSE($W373,3,3,2,2,3),Holidays))</f>
        <v/>
      </c>
      <c r="Z373" s="17">
        <f>IF(OR($W373="",$W373=6),"",CHOOSE($W373,"1st Email Follow-up","2nd Email Follow-up","Escalate Local Office","Escalate to CBE","Escalate to Roxanne"))</f>
        <v/>
      </c>
    </row>
    <row r="374" spans="18:26">
      <c r="R374" s="15"/>
      <c r="S374" s="16"/>
      <c r="T374" s="17">
        <f>IF(AND(COUNTA($A374:$K374)=0,$L374=""),"",IF($S374="Paid","PAID",IF($S374="Closed","CLOSED",IF($W374="","",IF($W374=6,"ESCALATED TO ROXANNE",IF(TODAY()&gt;$Y374,"OVERDUE",IF($Y374&lt;=WORKDAY(TODAY(),1,Holidays),"DUE TOMORROW",IF($W374=4,"ESCALATED TO LOCAL OFFICE",IF($W374=5,"ESCALATED TO CBE",IF($X374=TODAY(),"EMAIL SENT","MONITORING"))))))))))</f>
        <v/>
      </c>
      <c r="U374" s="17">
        <f>IF($T374="",IF(AND(COUNTA($A374:$K374)&gt;0,$L374=""),"Awaiting Collection Email time stamp.",""),IF(OR($T374="PAID",$T374="CLOSED"),IF($T374="PAID","Account paid. Action completed.","Account closed. No further action required."),CHOOSE($W374,"Collection Email","1st Email Follow-up","2nd Email Follow-up","Escalation to Local Office","Escalation to CBE","Escalation to Roxanne")&amp;" sent "&amp;TEXT($X374,"dd-mmm")&amp;". "&amp;IF($W374=6,"Final escalation completed.",IF($T374="OVERDUE","Next: "&amp;$Z374&amp;" was due "&amp;TEXT($Y374,"dd-mmm")&amp;" - "&amp;(NETWORKDAYS($Y374,TODAY(),Holidays)-1)&amp;" business day(s) late. Send now.",IF($T374="DUE TOMORROW","Next: "&amp;$Z374&amp;IF($Y374&lt;=TODAY()," is due TODAY ("," is due next business day (")&amp;TEXT($Y374,"dd-mmm")&amp;").","Next: "&amp;$Z374&amp;" due "&amp;TEXT($Y374,"dd-mmm")&amp;" ("&amp;(NETWORKDAYS(TODAY(),$Y374,Holidays)-1)&amp;" business day(s) left).")))))</f>
        <v/>
      </c>
      <c r="V374" s="17">
        <f>IF($W374="","",CHOOSE($W374,"Collection Email","1st Follow-up","2nd Follow-up","Local Office","CBE","Roxanne")&amp;IF($W374=6," - Final"," - Day "&amp;MAX(0,NETWORKDAYS($X374,TODAY(),Holidays)-1)&amp;" of "&amp;CHOOSE($W374,3,3,2,2,3))&amp;" | Total Day "&amp;MAX(0,NETWORKDAYS($L374,TODAY(),Holidays)-1))</f>
        <v/>
      </c>
      <c r="W374" s="17">
        <f>IF($L374="","",COUNT($L374:$Q374))</f>
        <v/>
      </c>
      <c r="X374" s="18">
        <f>IF($W374="","",INT(INDEX($L374:$Q374,$W374)))</f>
        <v/>
      </c>
      <c r="Y374" s="18">
        <f>IF(OR($W374="",$W374=6),"",WORKDAY($X374,CHOOSE($W374,3,3,2,2,3),Holidays))</f>
        <v/>
      </c>
      <c r="Z374" s="17">
        <f>IF(OR($W374="",$W374=6),"",CHOOSE($W374,"1st Email Follow-up","2nd Email Follow-up","Escalate Local Office","Escalate to CBE","Escalate to Roxanne"))</f>
        <v/>
      </c>
    </row>
    <row r="375" spans="18:26">
      <c r="R375" s="15"/>
      <c r="S375" s="16"/>
      <c r="T375" s="17">
        <f>IF(AND(COUNTA($A375:$K375)=0,$L375=""),"",IF($S375="Paid","PAID",IF($S375="Closed","CLOSED",IF($W375="","",IF($W375=6,"ESCALATED TO ROXANNE",IF(TODAY()&gt;$Y375,"OVERDUE",IF($Y375&lt;=WORKDAY(TODAY(),1,Holidays),"DUE TOMORROW",IF($W375=4,"ESCALATED TO LOCAL OFFICE",IF($W375=5,"ESCALATED TO CBE",IF($X375=TODAY(),"EMAIL SENT","MONITORING"))))))))))</f>
        <v/>
      </c>
      <c r="U375" s="17">
        <f>IF($T375="",IF(AND(COUNTA($A375:$K375)&gt;0,$L375=""),"Awaiting Collection Email time stamp.",""),IF(OR($T375="PAID",$T375="CLOSED"),IF($T375="PAID","Account paid. Action completed.","Account closed. No further action required."),CHOOSE($W375,"Collection Email","1st Email Follow-up","2nd Email Follow-up","Escalation to Local Office","Escalation to CBE","Escalation to Roxanne")&amp;" sent "&amp;TEXT($X375,"dd-mmm")&amp;". "&amp;IF($W375=6,"Final escalation completed.",IF($T375="OVERDUE","Next: "&amp;$Z375&amp;" was due "&amp;TEXT($Y375,"dd-mmm")&amp;" - "&amp;(NETWORKDAYS($Y375,TODAY(),Holidays)-1)&amp;" business day(s) late. Send now.",IF($T375="DUE TOMORROW","Next: "&amp;$Z375&amp;IF($Y375&lt;=TODAY()," is due TODAY ("," is due next business day (")&amp;TEXT($Y375,"dd-mmm")&amp;").","Next: "&amp;$Z375&amp;" due "&amp;TEXT($Y375,"dd-mmm")&amp;" ("&amp;(NETWORKDAYS(TODAY(),$Y375,Holidays)-1)&amp;" business day(s) left).")))))</f>
        <v/>
      </c>
      <c r="V375" s="17">
        <f>IF($W375="","",CHOOSE($W375,"Collection Email","1st Follow-up","2nd Follow-up","Local Office","CBE","Roxanne")&amp;IF($W375=6," - Final"," - Day "&amp;MAX(0,NETWORKDAYS($X375,TODAY(),Holidays)-1)&amp;" of "&amp;CHOOSE($W375,3,3,2,2,3))&amp;" | Total Day "&amp;MAX(0,NETWORKDAYS($L375,TODAY(),Holidays)-1))</f>
        <v/>
      </c>
      <c r="W375" s="17">
        <f>IF($L375="","",COUNT($L375:$Q375))</f>
        <v/>
      </c>
      <c r="X375" s="18">
        <f>IF($W375="","",INT(INDEX($L375:$Q375,$W375)))</f>
        <v/>
      </c>
      <c r="Y375" s="18">
        <f>IF(OR($W375="",$W375=6),"",WORKDAY($X375,CHOOSE($W375,3,3,2,2,3),Holidays))</f>
        <v/>
      </c>
      <c r="Z375" s="17">
        <f>IF(OR($W375="",$W375=6),"",CHOOSE($W375,"1st Email Follow-up","2nd Email Follow-up","Escalate Local Office","Escalate to CBE","Escalate to Roxanne"))</f>
        <v/>
      </c>
    </row>
    <row r="376" spans="18:26">
      <c r="R376" s="15"/>
      <c r="S376" s="16"/>
      <c r="T376" s="17">
        <f>IF(AND(COUNTA($A376:$K376)=0,$L376=""),"",IF($S376="Paid","PAID",IF($S376="Closed","CLOSED",IF($W376="","",IF($W376=6,"ESCALATED TO ROXANNE",IF(TODAY()&gt;$Y376,"OVERDUE",IF($Y376&lt;=WORKDAY(TODAY(),1,Holidays),"DUE TOMORROW",IF($W376=4,"ESCALATED TO LOCAL OFFICE",IF($W376=5,"ESCALATED TO CBE",IF($X376=TODAY(),"EMAIL SENT","MONITORING"))))))))))</f>
        <v/>
      </c>
      <c r="U376" s="17">
        <f>IF($T376="",IF(AND(COUNTA($A376:$K376)&gt;0,$L376=""),"Awaiting Collection Email time stamp.",""),IF(OR($T376="PAID",$T376="CLOSED"),IF($T376="PAID","Account paid. Action completed.","Account closed. No further action required."),CHOOSE($W376,"Collection Email","1st Email Follow-up","2nd Email Follow-up","Escalation to Local Office","Escalation to CBE","Escalation to Roxanne")&amp;" sent "&amp;TEXT($X376,"dd-mmm")&amp;". "&amp;IF($W376=6,"Final escalation completed.",IF($T376="OVERDUE","Next: "&amp;$Z376&amp;" was due "&amp;TEXT($Y376,"dd-mmm")&amp;" - "&amp;(NETWORKDAYS($Y376,TODAY(),Holidays)-1)&amp;" business day(s) late. Send now.",IF($T376="DUE TOMORROW","Next: "&amp;$Z376&amp;IF($Y376&lt;=TODAY()," is due TODAY ("," is due next business day (")&amp;TEXT($Y376,"dd-mmm")&amp;").","Next: "&amp;$Z376&amp;" due "&amp;TEXT($Y376,"dd-mmm")&amp;" ("&amp;(NETWORKDAYS(TODAY(),$Y376,Holidays)-1)&amp;" business day(s) left).")))))</f>
        <v/>
      </c>
      <c r="V376" s="17">
        <f>IF($W376="","",CHOOSE($W376,"Collection Email","1st Follow-up","2nd Follow-up","Local Office","CBE","Roxanne")&amp;IF($W376=6," - Final"," - Day "&amp;MAX(0,NETWORKDAYS($X376,TODAY(),Holidays)-1)&amp;" of "&amp;CHOOSE($W376,3,3,2,2,3))&amp;" | Total Day "&amp;MAX(0,NETWORKDAYS($L376,TODAY(),Holidays)-1))</f>
        <v/>
      </c>
      <c r="W376" s="17">
        <f>IF($L376="","",COUNT($L376:$Q376))</f>
        <v/>
      </c>
      <c r="X376" s="18">
        <f>IF($W376="","",INT(INDEX($L376:$Q376,$W376)))</f>
        <v/>
      </c>
      <c r="Y376" s="18">
        <f>IF(OR($W376="",$W376=6),"",WORKDAY($X376,CHOOSE($W376,3,3,2,2,3),Holidays))</f>
        <v/>
      </c>
      <c r="Z376" s="17">
        <f>IF(OR($W376="",$W376=6),"",CHOOSE($W376,"1st Email Follow-up","2nd Email Follow-up","Escalate Local Office","Escalate to CBE","Escalate to Roxanne"))</f>
        <v/>
      </c>
    </row>
    <row r="377" spans="18:26">
      <c r="R377" s="15"/>
      <c r="S377" s="16"/>
      <c r="T377" s="17">
        <f>IF(AND(COUNTA($A377:$K377)=0,$L377=""),"",IF($S377="Paid","PAID",IF($S377="Closed","CLOSED",IF($W377="","",IF($W377=6,"ESCALATED TO ROXANNE",IF(TODAY()&gt;$Y377,"OVERDUE",IF($Y377&lt;=WORKDAY(TODAY(),1,Holidays),"DUE TOMORROW",IF($W377=4,"ESCALATED TO LOCAL OFFICE",IF($W377=5,"ESCALATED TO CBE",IF($X377=TODAY(),"EMAIL SENT","MONITORING"))))))))))</f>
        <v/>
      </c>
      <c r="U377" s="17">
        <f>IF($T377="",IF(AND(COUNTA($A377:$K377)&gt;0,$L377=""),"Awaiting Collection Email time stamp.",""),IF(OR($T377="PAID",$T377="CLOSED"),IF($T377="PAID","Account paid. Action completed.","Account closed. No further action required."),CHOOSE($W377,"Collection Email","1st Email Follow-up","2nd Email Follow-up","Escalation to Local Office","Escalation to CBE","Escalation to Roxanne")&amp;" sent "&amp;TEXT($X377,"dd-mmm")&amp;". "&amp;IF($W377=6,"Final escalation completed.",IF($T377="OVERDUE","Next: "&amp;$Z377&amp;" was due "&amp;TEXT($Y377,"dd-mmm")&amp;" - "&amp;(NETWORKDAYS($Y377,TODAY(),Holidays)-1)&amp;" business day(s) late. Send now.",IF($T377="DUE TOMORROW","Next: "&amp;$Z377&amp;IF($Y377&lt;=TODAY()," is due TODAY ("," is due next business day (")&amp;TEXT($Y377,"dd-mmm")&amp;").","Next: "&amp;$Z377&amp;" due "&amp;TEXT($Y377,"dd-mmm")&amp;" ("&amp;(NETWORKDAYS(TODAY(),$Y377,Holidays)-1)&amp;" business day(s) left).")))))</f>
        <v/>
      </c>
      <c r="V377" s="17">
        <f>IF($W377="","",CHOOSE($W377,"Collection Email","1st Follow-up","2nd Follow-up","Local Office","CBE","Roxanne")&amp;IF($W377=6," - Final"," - Day "&amp;MAX(0,NETWORKDAYS($X377,TODAY(),Holidays)-1)&amp;" of "&amp;CHOOSE($W377,3,3,2,2,3))&amp;" | Total Day "&amp;MAX(0,NETWORKDAYS($L377,TODAY(),Holidays)-1))</f>
        <v/>
      </c>
      <c r="W377" s="17">
        <f>IF($L377="","",COUNT($L377:$Q377))</f>
        <v/>
      </c>
      <c r="X377" s="18">
        <f>IF($W377="","",INT(INDEX($L377:$Q377,$W377)))</f>
        <v/>
      </c>
      <c r="Y377" s="18">
        <f>IF(OR($W377="",$W377=6),"",WORKDAY($X377,CHOOSE($W377,3,3,2,2,3),Holidays))</f>
        <v/>
      </c>
      <c r="Z377" s="17">
        <f>IF(OR($W377="",$W377=6),"",CHOOSE($W377,"1st Email Follow-up","2nd Email Follow-up","Escalate Local Office","Escalate to CBE","Escalate to Roxanne"))</f>
        <v/>
      </c>
    </row>
    <row r="378" spans="18:26">
      <c r="R378" s="15"/>
      <c r="S378" s="16"/>
      <c r="T378" s="17">
        <f>IF(AND(COUNTA($A378:$K378)=0,$L378=""),"",IF($S378="Paid","PAID",IF($S378="Closed","CLOSED",IF($W378="","",IF($W378=6,"ESCALATED TO ROXANNE",IF(TODAY()&gt;$Y378,"OVERDUE",IF($Y378&lt;=WORKDAY(TODAY(),1,Holidays),"DUE TOMORROW",IF($W378=4,"ESCALATED TO LOCAL OFFICE",IF($W378=5,"ESCALATED TO CBE",IF($X378=TODAY(),"EMAIL SENT","MONITORING"))))))))))</f>
        <v/>
      </c>
      <c r="U378" s="17">
        <f>IF($T378="",IF(AND(COUNTA($A378:$K378)&gt;0,$L378=""),"Awaiting Collection Email time stamp.",""),IF(OR($T378="PAID",$T378="CLOSED"),IF($T378="PAID","Account paid. Action completed.","Account closed. No further action required."),CHOOSE($W378,"Collection Email","1st Email Follow-up","2nd Email Follow-up","Escalation to Local Office","Escalation to CBE","Escalation to Roxanne")&amp;" sent "&amp;TEXT($X378,"dd-mmm")&amp;". "&amp;IF($W378=6,"Final escalation completed.",IF($T378="OVERDUE","Next: "&amp;$Z378&amp;" was due "&amp;TEXT($Y378,"dd-mmm")&amp;" - "&amp;(NETWORKDAYS($Y378,TODAY(),Holidays)-1)&amp;" business day(s) late. Send now.",IF($T378="DUE TOMORROW","Next: "&amp;$Z378&amp;IF($Y378&lt;=TODAY()," is due TODAY ("," is due next business day (")&amp;TEXT($Y378,"dd-mmm")&amp;").","Next: "&amp;$Z378&amp;" due "&amp;TEXT($Y378,"dd-mmm")&amp;" ("&amp;(NETWORKDAYS(TODAY(),$Y378,Holidays)-1)&amp;" business day(s) left).")))))</f>
        <v/>
      </c>
      <c r="V378" s="17">
        <f>IF($W378="","",CHOOSE($W378,"Collection Email","1st Follow-up","2nd Follow-up","Local Office","CBE","Roxanne")&amp;IF($W378=6," - Final"," - Day "&amp;MAX(0,NETWORKDAYS($X378,TODAY(),Holidays)-1)&amp;" of "&amp;CHOOSE($W378,3,3,2,2,3))&amp;" | Total Day "&amp;MAX(0,NETWORKDAYS($L378,TODAY(),Holidays)-1))</f>
        <v/>
      </c>
      <c r="W378" s="17">
        <f>IF($L378="","",COUNT($L378:$Q378))</f>
        <v/>
      </c>
      <c r="X378" s="18">
        <f>IF($W378="","",INT(INDEX($L378:$Q378,$W378)))</f>
        <v/>
      </c>
      <c r="Y378" s="18">
        <f>IF(OR($W378="",$W378=6),"",WORKDAY($X378,CHOOSE($W378,3,3,2,2,3),Holidays))</f>
        <v/>
      </c>
      <c r="Z378" s="17">
        <f>IF(OR($W378="",$W378=6),"",CHOOSE($W378,"1st Email Follow-up","2nd Email Follow-up","Escalate Local Office","Escalate to CBE","Escalate to Roxanne"))</f>
        <v/>
      </c>
    </row>
    <row r="379" spans="18:26">
      <c r="R379" s="15"/>
      <c r="S379" s="16"/>
      <c r="T379" s="17">
        <f>IF(AND(COUNTA($A379:$K379)=0,$L379=""),"",IF($S379="Paid","PAID",IF($S379="Closed","CLOSED",IF($W379="","",IF($W379=6,"ESCALATED TO ROXANNE",IF(TODAY()&gt;$Y379,"OVERDUE",IF($Y379&lt;=WORKDAY(TODAY(),1,Holidays),"DUE TOMORROW",IF($W379=4,"ESCALATED TO LOCAL OFFICE",IF($W379=5,"ESCALATED TO CBE",IF($X379=TODAY(),"EMAIL SENT","MONITORING"))))))))))</f>
        <v/>
      </c>
      <c r="U379" s="17">
        <f>IF($T379="",IF(AND(COUNTA($A379:$K379)&gt;0,$L379=""),"Awaiting Collection Email time stamp.",""),IF(OR($T379="PAID",$T379="CLOSED"),IF($T379="PAID","Account paid. Action completed.","Account closed. No further action required."),CHOOSE($W379,"Collection Email","1st Email Follow-up","2nd Email Follow-up","Escalation to Local Office","Escalation to CBE","Escalation to Roxanne")&amp;" sent "&amp;TEXT($X379,"dd-mmm")&amp;". "&amp;IF($W379=6,"Final escalation completed.",IF($T379="OVERDUE","Next: "&amp;$Z379&amp;" was due "&amp;TEXT($Y379,"dd-mmm")&amp;" - "&amp;(NETWORKDAYS($Y379,TODAY(),Holidays)-1)&amp;" business day(s) late. Send now.",IF($T379="DUE TOMORROW","Next: "&amp;$Z379&amp;IF($Y379&lt;=TODAY()," is due TODAY ("," is due next business day (")&amp;TEXT($Y379,"dd-mmm")&amp;").","Next: "&amp;$Z379&amp;" due "&amp;TEXT($Y379,"dd-mmm")&amp;" ("&amp;(NETWORKDAYS(TODAY(),$Y379,Holidays)-1)&amp;" business day(s) left).")))))</f>
        <v/>
      </c>
      <c r="V379" s="17">
        <f>IF($W379="","",CHOOSE($W379,"Collection Email","1st Follow-up","2nd Follow-up","Local Office","CBE","Roxanne")&amp;IF($W379=6," - Final"," - Day "&amp;MAX(0,NETWORKDAYS($X379,TODAY(),Holidays)-1)&amp;" of "&amp;CHOOSE($W379,3,3,2,2,3))&amp;" | Total Day "&amp;MAX(0,NETWORKDAYS($L379,TODAY(),Holidays)-1))</f>
        <v/>
      </c>
      <c r="W379" s="17">
        <f>IF($L379="","",COUNT($L379:$Q379))</f>
        <v/>
      </c>
      <c r="X379" s="18">
        <f>IF($W379="","",INT(INDEX($L379:$Q379,$W379)))</f>
        <v/>
      </c>
      <c r="Y379" s="18">
        <f>IF(OR($W379="",$W379=6),"",WORKDAY($X379,CHOOSE($W379,3,3,2,2,3),Holidays))</f>
        <v/>
      </c>
      <c r="Z379" s="17">
        <f>IF(OR($W379="",$W379=6),"",CHOOSE($W379,"1st Email Follow-up","2nd Email Follow-up","Escalate Local Office","Escalate to CBE","Escalate to Roxanne"))</f>
        <v/>
      </c>
    </row>
    <row r="380" spans="18:26">
      <c r="R380" s="15"/>
      <c r="S380" s="16"/>
      <c r="T380" s="17">
        <f>IF(AND(COUNTA($A380:$K380)=0,$L380=""),"",IF($S380="Paid","PAID",IF($S380="Closed","CLOSED",IF($W380="","",IF($W380=6,"ESCALATED TO ROXANNE",IF(TODAY()&gt;$Y380,"OVERDUE",IF($Y380&lt;=WORKDAY(TODAY(),1,Holidays),"DUE TOMORROW",IF($W380=4,"ESCALATED TO LOCAL OFFICE",IF($W380=5,"ESCALATED TO CBE",IF($X380=TODAY(),"EMAIL SENT","MONITORING"))))))))))</f>
        <v/>
      </c>
      <c r="U380" s="17">
        <f>IF($T380="",IF(AND(COUNTA($A380:$K380)&gt;0,$L380=""),"Awaiting Collection Email time stamp.",""),IF(OR($T380="PAID",$T380="CLOSED"),IF($T380="PAID","Account paid. Action completed.","Account closed. No further action required."),CHOOSE($W380,"Collection Email","1st Email Follow-up","2nd Email Follow-up","Escalation to Local Office","Escalation to CBE","Escalation to Roxanne")&amp;" sent "&amp;TEXT($X380,"dd-mmm")&amp;". "&amp;IF($W380=6,"Final escalation completed.",IF($T380="OVERDUE","Next: "&amp;$Z380&amp;" was due "&amp;TEXT($Y380,"dd-mmm")&amp;" - "&amp;(NETWORKDAYS($Y380,TODAY(),Holidays)-1)&amp;" business day(s) late. Send now.",IF($T380="DUE TOMORROW","Next: "&amp;$Z380&amp;IF($Y380&lt;=TODAY()," is due TODAY ("," is due next business day (")&amp;TEXT($Y380,"dd-mmm")&amp;").","Next: "&amp;$Z380&amp;" due "&amp;TEXT($Y380,"dd-mmm")&amp;" ("&amp;(NETWORKDAYS(TODAY(),$Y380,Holidays)-1)&amp;" business day(s) left).")))))</f>
        <v/>
      </c>
      <c r="V380" s="17">
        <f>IF($W380="","",CHOOSE($W380,"Collection Email","1st Follow-up","2nd Follow-up","Local Office","CBE","Roxanne")&amp;IF($W380=6," - Final"," - Day "&amp;MAX(0,NETWORKDAYS($X380,TODAY(),Holidays)-1)&amp;" of "&amp;CHOOSE($W380,3,3,2,2,3))&amp;" | Total Day "&amp;MAX(0,NETWORKDAYS($L380,TODAY(),Holidays)-1))</f>
        <v/>
      </c>
      <c r="W380" s="17">
        <f>IF($L380="","",COUNT($L380:$Q380))</f>
        <v/>
      </c>
      <c r="X380" s="18">
        <f>IF($W380="","",INT(INDEX($L380:$Q380,$W380)))</f>
        <v/>
      </c>
      <c r="Y380" s="18">
        <f>IF(OR($W380="",$W380=6),"",WORKDAY($X380,CHOOSE($W380,3,3,2,2,3),Holidays))</f>
        <v/>
      </c>
      <c r="Z380" s="17">
        <f>IF(OR($W380="",$W380=6),"",CHOOSE($W380,"1st Email Follow-up","2nd Email Follow-up","Escalate Local Office","Escalate to CBE","Escalate to Roxanne"))</f>
        <v/>
      </c>
    </row>
    <row r="381" spans="18:26">
      <c r="R381" s="15"/>
      <c r="S381" s="16"/>
      <c r="T381" s="17">
        <f>IF(AND(COUNTA($A381:$K381)=0,$L381=""),"",IF($S381="Paid","PAID",IF($S381="Closed","CLOSED",IF($W381="","",IF($W381=6,"ESCALATED TO ROXANNE",IF(TODAY()&gt;$Y381,"OVERDUE",IF($Y381&lt;=WORKDAY(TODAY(),1,Holidays),"DUE TOMORROW",IF($W381=4,"ESCALATED TO LOCAL OFFICE",IF($W381=5,"ESCALATED TO CBE",IF($X381=TODAY(),"EMAIL SENT","MONITORING"))))))))))</f>
        <v/>
      </c>
      <c r="U381" s="17">
        <f>IF($T381="",IF(AND(COUNTA($A381:$K381)&gt;0,$L381=""),"Awaiting Collection Email time stamp.",""),IF(OR($T381="PAID",$T381="CLOSED"),IF($T381="PAID","Account paid. Action completed.","Account closed. No further action required."),CHOOSE($W381,"Collection Email","1st Email Follow-up","2nd Email Follow-up","Escalation to Local Office","Escalation to CBE","Escalation to Roxanne")&amp;" sent "&amp;TEXT($X381,"dd-mmm")&amp;". "&amp;IF($W381=6,"Final escalation completed.",IF($T381="OVERDUE","Next: "&amp;$Z381&amp;" was due "&amp;TEXT($Y381,"dd-mmm")&amp;" - "&amp;(NETWORKDAYS($Y381,TODAY(),Holidays)-1)&amp;" business day(s) late. Send now.",IF($T381="DUE TOMORROW","Next: "&amp;$Z381&amp;IF($Y381&lt;=TODAY()," is due TODAY ("," is due next business day (")&amp;TEXT($Y381,"dd-mmm")&amp;").","Next: "&amp;$Z381&amp;" due "&amp;TEXT($Y381,"dd-mmm")&amp;" ("&amp;(NETWORKDAYS(TODAY(),$Y381,Holidays)-1)&amp;" business day(s) left).")))))</f>
        <v/>
      </c>
      <c r="V381" s="17">
        <f>IF($W381="","",CHOOSE($W381,"Collection Email","1st Follow-up","2nd Follow-up","Local Office","CBE","Roxanne")&amp;IF($W381=6," - Final"," - Day "&amp;MAX(0,NETWORKDAYS($X381,TODAY(),Holidays)-1)&amp;" of "&amp;CHOOSE($W381,3,3,2,2,3))&amp;" | Total Day "&amp;MAX(0,NETWORKDAYS($L381,TODAY(),Holidays)-1))</f>
        <v/>
      </c>
      <c r="W381" s="17">
        <f>IF($L381="","",COUNT($L381:$Q381))</f>
        <v/>
      </c>
      <c r="X381" s="18">
        <f>IF($W381="","",INT(INDEX($L381:$Q381,$W381)))</f>
        <v/>
      </c>
      <c r="Y381" s="18">
        <f>IF(OR($W381="",$W381=6),"",WORKDAY($X381,CHOOSE($W381,3,3,2,2,3),Holidays))</f>
        <v/>
      </c>
      <c r="Z381" s="17">
        <f>IF(OR($W381="",$W381=6),"",CHOOSE($W381,"1st Email Follow-up","2nd Email Follow-up","Escalate Local Office","Escalate to CBE","Escalate to Roxanne"))</f>
        <v/>
      </c>
    </row>
    <row r="382" spans="18:26">
      <c r="R382" s="15"/>
      <c r="S382" s="16"/>
      <c r="T382" s="17">
        <f>IF(AND(COUNTA($A382:$K382)=0,$L382=""),"",IF($S382="Paid","PAID",IF($S382="Closed","CLOSED",IF($W382="","",IF($W382=6,"ESCALATED TO ROXANNE",IF(TODAY()&gt;$Y382,"OVERDUE",IF($Y382&lt;=WORKDAY(TODAY(),1,Holidays),"DUE TOMORROW",IF($W382=4,"ESCALATED TO LOCAL OFFICE",IF($W382=5,"ESCALATED TO CBE",IF($X382=TODAY(),"EMAIL SENT","MONITORING"))))))))))</f>
        <v/>
      </c>
      <c r="U382" s="17">
        <f>IF($T382="",IF(AND(COUNTA($A382:$K382)&gt;0,$L382=""),"Awaiting Collection Email time stamp.",""),IF(OR($T382="PAID",$T382="CLOSED"),IF($T382="PAID","Account paid. Action completed.","Account closed. No further action required."),CHOOSE($W382,"Collection Email","1st Email Follow-up","2nd Email Follow-up","Escalation to Local Office","Escalation to CBE","Escalation to Roxanne")&amp;" sent "&amp;TEXT($X382,"dd-mmm")&amp;". "&amp;IF($W382=6,"Final escalation completed.",IF($T382="OVERDUE","Next: "&amp;$Z382&amp;" was due "&amp;TEXT($Y382,"dd-mmm")&amp;" - "&amp;(NETWORKDAYS($Y382,TODAY(),Holidays)-1)&amp;" business day(s) late. Send now.",IF($T382="DUE TOMORROW","Next: "&amp;$Z382&amp;IF($Y382&lt;=TODAY()," is due TODAY ("," is due next business day (")&amp;TEXT($Y382,"dd-mmm")&amp;").","Next: "&amp;$Z382&amp;" due "&amp;TEXT($Y382,"dd-mmm")&amp;" ("&amp;(NETWORKDAYS(TODAY(),$Y382,Holidays)-1)&amp;" business day(s) left).")))))</f>
        <v/>
      </c>
      <c r="V382" s="17">
        <f>IF($W382="","",CHOOSE($W382,"Collection Email","1st Follow-up","2nd Follow-up","Local Office","CBE","Roxanne")&amp;IF($W382=6," - Final"," - Day "&amp;MAX(0,NETWORKDAYS($X382,TODAY(),Holidays)-1)&amp;" of "&amp;CHOOSE($W382,3,3,2,2,3))&amp;" | Total Day "&amp;MAX(0,NETWORKDAYS($L382,TODAY(),Holidays)-1))</f>
        <v/>
      </c>
      <c r="W382" s="17">
        <f>IF($L382="","",COUNT($L382:$Q382))</f>
        <v/>
      </c>
      <c r="X382" s="18">
        <f>IF($W382="","",INT(INDEX($L382:$Q382,$W382)))</f>
        <v/>
      </c>
      <c r="Y382" s="18">
        <f>IF(OR($W382="",$W382=6),"",WORKDAY($X382,CHOOSE($W382,3,3,2,2,3),Holidays))</f>
        <v/>
      </c>
      <c r="Z382" s="17">
        <f>IF(OR($W382="",$W382=6),"",CHOOSE($W382,"1st Email Follow-up","2nd Email Follow-up","Escalate Local Office","Escalate to CBE","Escalate to Roxanne"))</f>
        <v/>
      </c>
    </row>
    <row r="383" spans="18:26">
      <c r="R383" s="15"/>
      <c r="S383" s="16"/>
      <c r="T383" s="17">
        <f>IF(AND(COUNTA($A383:$K383)=0,$L383=""),"",IF($S383="Paid","PAID",IF($S383="Closed","CLOSED",IF($W383="","",IF($W383=6,"ESCALATED TO ROXANNE",IF(TODAY()&gt;$Y383,"OVERDUE",IF($Y383&lt;=WORKDAY(TODAY(),1,Holidays),"DUE TOMORROW",IF($W383=4,"ESCALATED TO LOCAL OFFICE",IF($W383=5,"ESCALATED TO CBE",IF($X383=TODAY(),"EMAIL SENT","MONITORING"))))))))))</f>
        <v/>
      </c>
      <c r="U383" s="17">
        <f>IF($T383="",IF(AND(COUNTA($A383:$K383)&gt;0,$L383=""),"Awaiting Collection Email time stamp.",""),IF(OR($T383="PAID",$T383="CLOSED"),IF($T383="PAID","Account paid. Action completed.","Account closed. No further action required."),CHOOSE($W383,"Collection Email","1st Email Follow-up","2nd Email Follow-up","Escalation to Local Office","Escalation to CBE","Escalation to Roxanne")&amp;" sent "&amp;TEXT($X383,"dd-mmm")&amp;". "&amp;IF($W383=6,"Final escalation completed.",IF($T383="OVERDUE","Next: "&amp;$Z383&amp;" was due "&amp;TEXT($Y383,"dd-mmm")&amp;" - "&amp;(NETWORKDAYS($Y383,TODAY(),Holidays)-1)&amp;" business day(s) late. Send now.",IF($T383="DUE TOMORROW","Next: "&amp;$Z383&amp;IF($Y383&lt;=TODAY()," is due TODAY ("," is due next business day (")&amp;TEXT($Y383,"dd-mmm")&amp;").","Next: "&amp;$Z383&amp;" due "&amp;TEXT($Y383,"dd-mmm")&amp;" ("&amp;(NETWORKDAYS(TODAY(),$Y383,Holidays)-1)&amp;" business day(s) left).")))))</f>
        <v/>
      </c>
      <c r="V383" s="17">
        <f>IF($W383="","",CHOOSE($W383,"Collection Email","1st Follow-up","2nd Follow-up","Local Office","CBE","Roxanne")&amp;IF($W383=6," - Final"," - Day "&amp;MAX(0,NETWORKDAYS($X383,TODAY(),Holidays)-1)&amp;" of "&amp;CHOOSE($W383,3,3,2,2,3))&amp;" | Total Day "&amp;MAX(0,NETWORKDAYS($L383,TODAY(),Holidays)-1))</f>
        <v/>
      </c>
      <c r="W383" s="17">
        <f>IF($L383="","",COUNT($L383:$Q383))</f>
        <v/>
      </c>
      <c r="X383" s="18">
        <f>IF($W383="","",INT(INDEX($L383:$Q383,$W383)))</f>
        <v/>
      </c>
      <c r="Y383" s="18">
        <f>IF(OR($W383="",$W383=6),"",WORKDAY($X383,CHOOSE($W383,3,3,2,2,3),Holidays))</f>
        <v/>
      </c>
      <c r="Z383" s="17">
        <f>IF(OR($W383="",$W383=6),"",CHOOSE($W383,"1st Email Follow-up","2nd Email Follow-up","Escalate Local Office","Escalate to CBE","Escalate to Roxanne"))</f>
        <v/>
      </c>
    </row>
    <row r="384" spans="18:26">
      <c r="R384" s="15"/>
      <c r="S384" s="16"/>
      <c r="T384" s="17">
        <f>IF(AND(COUNTA($A384:$K384)=0,$L384=""),"",IF($S384="Paid","PAID",IF($S384="Closed","CLOSED",IF($W384="","",IF($W384=6,"ESCALATED TO ROXANNE",IF(TODAY()&gt;$Y384,"OVERDUE",IF($Y384&lt;=WORKDAY(TODAY(),1,Holidays),"DUE TOMORROW",IF($W384=4,"ESCALATED TO LOCAL OFFICE",IF($W384=5,"ESCALATED TO CBE",IF($X384=TODAY(),"EMAIL SENT","MONITORING"))))))))))</f>
        <v/>
      </c>
      <c r="U384" s="17">
        <f>IF($T384="",IF(AND(COUNTA($A384:$K384)&gt;0,$L384=""),"Awaiting Collection Email time stamp.",""),IF(OR($T384="PAID",$T384="CLOSED"),IF($T384="PAID","Account paid. Action completed.","Account closed. No further action required."),CHOOSE($W384,"Collection Email","1st Email Follow-up","2nd Email Follow-up","Escalation to Local Office","Escalation to CBE","Escalation to Roxanne")&amp;" sent "&amp;TEXT($X384,"dd-mmm")&amp;". "&amp;IF($W384=6,"Final escalation completed.",IF($T384="OVERDUE","Next: "&amp;$Z384&amp;" was due "&amp;TEXT($Y384,"dd-mmm")&amp;" - "&amp;(NETWORKDAYS($Y384,TODAY(),Holidays)-1)&amp;" business day(s) late. Send now.",IF($T384="DUE TOMORROW","Next: "&amp;$Z384&amp;IF($Y384&lt;=TODAY()," is due TODAY ("," is due next business day (")&amp;TEXT($Y384,"dd-mmm")&amp;").","Next: "&amp;$Z384&amp;" due "&amp;TEXT($Y384,"dd-mmm")&amp;" ("&amp;(NETWORKDAYS(TODAY(),$Y384,Holidays)-1)&amp;" business day(s) left).")))))</f>
        <v/>
      </c>
      <c r="V384" s="17">
        <f>IF($W384="","",CHOOSE($W384,"Collection Email","1st Follow-up","2nd Follow-up","Local Office","CBE","Roxanne")&amp;IF($W384=6," - Final"," - Day "&amp;MAX(0,NETWORKDAYS($X384,TODAY(),Holidays)-1)&amp;" of "&amp;CHOOSE($W384,3,3,2,2,3))&amp;" | Total Day "&amp;MAX(0,NETWORKDAYS($L384,TODAY(),Holidays)-1))</f>
        <v/>
      </c>
      <c r="W384" s="17">
        <f>IF($L384="","",COUNT($L384:$Q384))</f>
        <v/>
      </c>
      <c r="X384" s="18">
        <f>IF($W384="","",INT(INDEX($L384:$Q384,$W384)))</f>
        <v/>
      </c>
      <c r="Y384" s="18">
        <f>IF(OR($W384="",$W384=6),"",WORKDAY($X384,CHOOSE($W384,3,3,2,2,3),Holidays))</f>
        <v/>
      </c>
      <c r="Z384" s="17">
        <f>IF(OR($W384="",$W384=6),"",CHOOSE($W384,"1st Email Follow-up","2nd Email Follow-up","Escalate Local Office","Escalate to CBE","Escalate to Roxanne"))</f>
        <v/>
      </c>
    </row>
    <row r="385" spans="18:26">
      <c r="R385" s="15"/>
      <c r="S385" s="16"/>
      <c r="T385" s="17">
        <f>IF(AND(COUNTA($A385:$K385)=0,$L385=""),"",IF($S385="Paid","PAID",IF($S385="Closed","CLOSED",IF($W385="","",IF($W385=6,"ESCALATED TO ROXANNE",IF(TODAY()&gt;$Y385,"OVERDUE",IF($Y385&lt;=WORKDAY(TODAY(),1,Holidays),"DUE TOMORROW",IF($W385=4,"ESCALATED TO LOCAL OFFICE",IF($W385=5,"ESCALATED TO CBE",IF($X385=TODAY(),"EMAIL SENT","MONITORING"))))))))))</f>
        <v/>
      </c>
      <c r="U385" s="17">
        <f>IF($T385="",IF(AND(COUNTA($A385:$K385)&gt;0,$L385=""),"Awaiting Collection Email time stamp.",""),IF(OR($T385="PAID",$T385="CLOSED"),IF($T385="PAID","Account paid. Action completed.","Account closed. No further action required."),CHOOSE($W385,"Collection Email","1st Email Follow-up","2nd Email Follow-up","Escalation to Local Office","Escalation to CBE","Escalation to Roxanne")&amp;" sent "&amp;TEXT($X385,"dd-mmm")&amp;". "&amp;IF($W385=6,"Final escalation completed.",IF($T385="OVERDUE","Next: "&amp;$Z385&amp;" was due "&amp;TEXT($Y385,"dd-mmm")&amp;" - "&amp;(NETWORKDAYS($Y385,TODAY(),Holidays)-1)&amp;" business day(s) late. Send now.",IF($T385="DUE TOMORROW","Next: "&amp;$Z385&amp;IF($Y385&lt;=TODAY()," is due TODAY ("," is due next business day (")&amp;TEXT($Y385,"dd-mmm")&amp;").","Next: "&amp;$Z385&amp;" due "&amp;TEXT($Y385,"dd-mmm")&amp;" ("&amp;(NETWORKDAYS(TODAY(),$Y385,Holidays)-1)&amp;" business day(s) left).")))))</f>
        <v/>
      </c>
      <c r="V385" s="17">
        <f>IF($W385="","",CHOOSE($W385,"Collection Email","1st Follow-up","2nd Follow-up","Local Office","CBE","Roxanne")&amp;IF($W385=6," - Final"," - Day "&amp;MAX(0,NETWORKDAYS($X385,TODAY(),Holidays)-1)&amp;" of "&amp;CHOOSE($W385,3,3,2,2,3))&amp;" | Total Day "&amp;MAX(0,NETWORKDAYS($L385,TODAY(),Holidays)-1))</f>
        <v/>
      </c>
      <c r="W385" s="17">
        <f>IF($L385="","",COUNT($L385:$Q385))</f>
        <v/>
      </c>
      <c r="X385" s="18">
        <f>IF($W385="","",INT(INDEX($L385:$Q385,$W385)))</f>
        <v/>
      </c>
      <c r="Y385" s="18">
        <f>IF(OR($W385="",$W385=6),"",WORKDAY($X385,CHOOSE($W385,3,3,2,2,3),Holidays))</f>
        <v/>
      </c>
      <c r="Z385" s="17">
        <f>IF(OR($W385="",$W385=6),"",CHOOSE($W385,"1st Email Follow-up","2nd Email Follow-up","Escalate Local Office","Escalate to CBE","Escalate to Roxanne"))</f>
        <v/>
      </c>
    </row>
    <row r="386" spans="18:26">
      <c r="R386" s="15"/>
      <c r="S386" s="16"/>
      <c r="T386" s="17">
        <f>IF(AND(COUNTA($A386:$K386)=0,$L386=""),"",IF($S386="Paid","PAID",IF($S386="Closed","CLOSED",IF($W386="","",IF($W386=6,"ESCALATED TO ROXANNE",IF(TODAY()&gt;$Y386,"OVERDUE",IF($Y386&lt;=WORKDAY(TODAY(),1,Holidays),"DUE TOMORROW",IF($W386=4,"ESCALATED TO LOCAL OFFICE",IF($W386=5,"ESCALATED TO CBE",IF($X386=TODAY(),"EMAIL SENT","MONITORING"))))))))))</f>
        <v/>
      </c>
      <c r="U386" s="17">
        <f>IF($T386="",IF(AND(COUNTA($A386:$K386)&gt;0,$L386=""),"Awaiting Collection Email time stamp.",""),IF(OR($T386="PAID",$T386="CLOSED"),IF($T386="PAID","Account paid. Action completed.","Account closed. No further action required."),CHOOSE($W386,"Collection Email","1st Email Follow-up","2nd Email Follow-up","Escalation to Local Office","Escalation to CBE","Escalation to Roxanne")&amp;" sent "&amp;TEXT($X386,"dd-mmm")&amp;". "&amp;IF($W386=6,"Final escalation completed.",IF($T386="OVERDUE","Next: "&amp;$Z386&amp;" was due "&amp;TEXT($Y386,"dd-mmm")&amp;" - "&amp;(NETWORKDAYS($Y386,TODAY(),Holidays)-1)&amp;" business day(s) late. Send now.",IF($T386="DUE TOMORROW","Next: "&amp;$Z386&amp;IF($Y386&lt;=TODAY()," is due TODAY ("," is due next business day (")&amp;TEXT($Y386,"dd-mmm")&amp;").","Next: "&amp;$Z386&amp;" due "&amp;TEXT($Y386,"dd-mmm")&amp;" ("&amp;(NETWORKDAYS(TODAY(),$Y386,Holidays)-1)&amp;" business day(s) left).")))))</f>
        <v/>
      </c>
      <c r="V386" s="17">
        <f>IF($W386="","",CHOOSE($W386,"Collection Email","1st Follow-up","2nd Follow-up","Local Office","CBE","Roxanne")&amp;IF($W386=6," - Final"," - Day "&amp;MAX(0,NETWORKDAYS($X386,TODAY(),Holidays)-1)&amp;" of "&amp;CHOOSE($W386,3,3,2,2,3))&amp;" | Total Day "&amp;MAX(0,NETWORKDAYS($L386,TODAY(),Holidays)-1))</f>
        <v/>
      </c>
      <c r="W386" s="17">
        <f>IF($L386="","",COUNT($L386:$Q386))</f>
        <v/>
      </c>
      <c r="X386" s="18">
        <f>IF($W386="","",INT(INDEX($L386:$Q386,$W386)))</f>
        <v/>
      </c>
      <c r="Y386" s="18">
        <f>IF(OR($W386="",$W386=6),"",WORKDAY($X386,CHOOSE($W386,3,3,2,2,3),Holidays))</f>
        <v/>
      </c>
      <c r="Z386" s="17">
        <f>IF(OR($W386="",$W386=6),"",CHOOSE($W386,"1st Email Follow-up","2nd Email Follow-up","Escalate Local Office","Escalate to CBE","Escalate to Roxanne"))</f>
        <v/>
      </c>
    </row>
    <row r="387" spans="18:26">
      <c r="R387" s="15"/>
      <c r="S387" s="16"/>
      <c r="T387" s="17">
        <f>IF(AND(COUNTA($A387:$K387)=0,$L387=""),"",IF($S387="Paid","PAID",IF($S387="Closed","CLOSED",IF($W387="","",IF($W387=6,"ESCALATED TO ROXANNE",IF(TODAY()&gt;$Y387,"OVERDUE",IF($Y387&lt;=WORKDAY(TODAY(),1,Holidays),"DUE TOMORROW",IF($W387=4,"ESCALATED TO LOCAL OFFICE",IF($W387=5,"ESCALATED TO CBE",IF($X387=TODAY(),"EMAIL SENT","MONITORING"))))))))))</f>
        <v/>
      </c>
      <c r="U387" s="17">
        <f>IF($T387="",IF(AND(COUNTA($A387:$K387)&gt;0,$L387=""),"Awaiting Collection Email time stamp.",""),IF(OR($T387="PAID",$T387="CLOSED"),IF($T387="PAID","Account paid. Action completed.","Account closed. No further action required."),CHOOSE($W387,"Collection Email","1st Email Follow-up","2nd Email Follow-up","Escalation to Local Office","Escalation to CBE","Escalation to Roxanne")&amp;" sent "&amp;TEXT($X387,"dd-mmm")&amp;". "&amp;IF($W387=6,"Final escalation completed.",IF($T387="OVERDUE","Next: "&amp;$Z387&amp;" was due "&amp;TEXT($Y387,"dd-mmm")&amp;" - "&amp;(NETWORKDAYS($Y387,TODAY(),Holidays)-1)&amp;" business day(s) late. Send now.",IF($T387="DUE TOMORROW","Next: "&amp;$Z387&amp;IF($Y387&lt;=TODAY()," is due TODAY ("," is due next business day (")&amp;TEXT($Y387,"dd-mmm")&amp;").","Next: "&amp;$Z387&amp;" due "&amp;TEXT($Y387,"dd-mmm")&amp;" ("&amp;(NETWORKDAYS(TODAY(),$Y387,Holidays)-1)&amp;" business day(s) left).")))))</f>
        <v/>
      </c>
      <c r="V387" s="17">
        <f>IF($W387="","",CHOOSE($W387,"Collection Email","1st Follow-up","2nd Follow-up","Local Office","CBE","Roxanne")&amp;IF($W387=6," - Final"," - Day "&amp;MAX(0,NETWORKDAYS($X387,TODAY(),Holidays)-1)&amp;" of "&amp;CHOOSE($W387,3,3,2,2,3))&amp;" | Total Day "&amp;MAX(0,NETWORKDAYS($L387,TODAY(),Holidays)-1))</f>
        <v/>
      </c>
      <c r="W387" s="17">
        <f>IF($L387="","",COUNT($L387:$Q387))</f>
        <v/>
      </c>
      <c r="X387" s="18">
        <f>IF($W387="","",INT(INDEX($L387:$Q387,$W387)))</f>
        <v/>
      </c>
      <c r="Y387" s="18">
        <f>IF(OR($W387="",$W387=6),"",WORKDAY($X387,CHOOSE($W387,3,3,2,2,3),Holidays))</f>
        <v/>
      </c>
      <c r="Z387" s="17">
        <f>IF(OR($W387="",$W387=6),"",CHOOSE($W387,"1st Email Follow-up","2nd Email Follow-up","Escalate Local Office","Escalate to CBE","Escalate to Roxanne"))</f>
        <v/>
      </c>
    </row>
    <row r="388" spans="18:26">
      <c r="R388" s="15"/>
      <c r="S388" s="16"/>
      <c r="T388" s="17">
        <f>IF(AND(COUNTA($A388:$K388)=0,$L388=""),"",IF($S388="Paid","PAID",IF($S388="Closed","CLOSED",IF($W388="","",IF($W388=6,"ESCALATED TO ROXANNE",IF(TODAY()&gt;$Y388,"OVERDUE",IF($Y388&lt;=WORKDAY(TODAY(),1,Holidays),"DUE TOMORROW",IF($W388=4,"ESCALATED TO LOCAL OFFICE",IF($W388=5,"ESCALATED TO CBE",IF($X388=TODAY(),"EMAIL SENT","MONITORING"))))))))))</f>
        <v/>
      </c>
      <c r="U388" s="17">
        <f>IF($T388="",IF(AND(COUNTA($A388:$K388)&gt;0,$L388=""),"Awaiting Collection Email time stamp.",""),IF(OR($T388="PAID",$T388="CLOSED"),IF($T388="PAID","Account paid. Action completed.","Account closed. No further action required."),CHOOSE($W388,"Collection Email","1st Email Follow-up","2nd Email Follow-up","Escalation to Local Office","Escalation to CBE","Escalation to Roxanne")&amp;" sent "&amp;TEXT($X388,"dd-mmm")&amp;". "&amp;IF($W388=6,"Final escalation completed.",IF($T388="OVERDUE","Next: "&amp;$Z388&amp;" was due "&amp;TEXT($Y388,"dd-mmm")&amp;" - "&amp;(NETWORKDAYS($Y388,TODAY(),Holidays)-1)&amp;" business day(s) late. Send now.",IF($T388="DUE TOMORROW","Next: "&amp;$Z388&amp;IF($Y388&lt;=TODAY()," is due TODAY ("," is due next business day (")&amp;TEXT($Y388,"dd-mmm")&amp;").","Next: "&amp;$Z388&amp;" due "&amp;TEXT($Y388,"dd-mmm")&amp;" ("&amp;(NETWORKDAYS(TODAY(),$Y388,Holidays)-1)&amp;" business day(s) left).")))))</f>
        <v/>
      </c>
      <c r="V388" s="17">
        <f>IF($W388="","",CHOOSE($W388,"Collection Email","1st Follow-up","2nd Follow-up","Local Office","CBE","Roxanne")&amp;IF($W388=6," - Final"," - Day "&amp;MAX(0,NETWORKDAYS($X388,TODAY(),Holidays)-1)&amp;" of "&amp;CHOOSE($W388,3,3,2,2,3))&amp;" | Total Day "&amp;MAX(0,NETWORKDAYS($L388,TODAY(),Holidays)-1))</f>
        <v/>
      </c>
      <c r="W388" s="17">
        <f>IF($L388="","",COUNT($L388:$Q388))</f>
        <v/>
      </c>
      <c r="X388" s="18">
        <f>IF($W388="","",INT(INDEX($L388:$Q388,$W388)))</f>
        <v/>
      </c>
      <c r="Y388" s="18">
        <f>IF(OR($W388="",$W388=6),"",WORKDAY($X388,CHOOSE($W388,3,3,2,2,3),Holidays))</f>
        <v/>
      </c>
      <c r="Z388" s="17">
        <f>IF(OR($W388="",$W388=6),"",CHOOSE($W388,"1st Email Follow-up","2nd Email Follow-up","Escalate Local Office","Escalate to CBE","Escalate to Roxanne"))</f>
        <v/>
      </c>
    </row>
    <row r="389" spans="18:26">
      <c r="R389" s="15"/>
      <c r="S389" s="16"/>
      <c r="T389" s="17">
        <f>IF(AND(COUNTA($A389:$K389)=0,$L389=""),"",IF($S389="Paid","PAID",IF($S389="Closed","CLOSED",IF($W389="","",IF($W389=6,"ESCALATED TO ROXANNE",IF(TODAY()&gt;$Y389,"OVERDUE",IF($Y389&lt;=WORKDAY(TODAY(),1,Holidays),"DUE TOMORROW",IF($W389=4,"ESCALATED TO LOCAL OFFICE",IF($W389=5,"ESCALATED TO CBE",IF($X389=TODAY(),"EMAIL SENT","MONITORING"))))))))))</f>
        <v/>
      </c>
      <c r="U389" s="17">
        <f>IF($T389="",IF(AND(COUNTA($A389:$K389)&gt;0,$L389=""),"Awaiting Collection Email time stamp.",""),IF(OR($T389="PAID",$T389="CLOSED"),IF($T389="PAID","Account paid. Action completed.","Account closed. No further action required."),CHOOSE($W389,"Collection Email","1st Email Follow-up","2nd Email Follow-up","Escalation to Local Office","Escalation to CBE","Escalation to Roxanne")&amp;" sent "&amp;TEXT($X389,"dd-mmm")&amp;". "&amp;IF($W389=6,"Final escalation completed.",IF($T389="OVERDUE","Next: "&amp;$Z389&amp;" was due "&amp;TEXT($Y389,"dd-mmm")&amp;" - "&amp;(NETWORKDAYS($Y389,TODAY(),Holidays)-1)&amp;" business day(s) late. Send now.",IF($T389="DUE TOMORROW","Next: "&amp;$Z389&amp;IF($Y389&lt;=TODAY()," is due TODAY ("," is due next business day (")&amp;TEXT($Y389,"dd-mmm")&amp;").","Next: "&amp;$Z389&amp;" due "&amp;TEXT($Y389,"dd-mmm")&amp;" ("&amp;(NETWORKDAYS(TODAY(),$Y389,Holidays)-1)&amp;" business day(s) left).")))))</f>
        <v/>
      </c>
      <c r="V389" s="17">
        <f>IF($W389="","",CHOOSE($W389,"Collection Email","1st Follow-up","2nd Follow-up","Local Office","CBE","Roxanne")&amp;IF($W389=6," - Final"," - Day "&amp;MAX(0,NETWORKDAYS($X389,TODAY(),Holidays)-1)&amp;" of "&amp;CHOOSE($W389,3,3,2,2,3))&amp;" | Total Day "&amp;MAX(0,NETWORKDAYS($L389,TODAY(),Holidays)-1))</f>
        <v/>
      </c>
      <c r="W389" s="17">
        <f>IF($L389="","",COUNT($L389:$Q389))</f>
        <v/>
      </c>
      <c r="X389" s="18">
        <f>IF($W389="","",INT(INDEX($L389:$Q389,$W389)))</f>
        <v/>
      </c>
      <c r="Y389" s="18">
        <f>IF(OR($W389="",$W389=6),"",WORKDAY($X389,CHOOSE($W389,3,3,2,2,3),Holidays))</f>
        <v/>
      </c>
      <c r="Z389" s="17">
        <f>IF(OR($W389="",$W389=6),"",CHOOSE($W389,"1st Email Follow-up","2nd Email Follow-up","Escalate Local Office","Escalate to CBE","Escalate to Roxanne"))</f>
        <v/>
      </c>
    </row>
    <row r="390" spans="18:26">
      <c r="R390" s="15"/>
      <c r="S390" s="16"/>
      <c r="T390" s="17">
        <f>IF(AND(COUNTA($A390:$K390)=0,$L390=""),"",IF($S390="Paid","PAID",IF($S390="Closed","CLOSED",IF($W390="","",IF($W390=6,"ESCALATED TO ROXANNE",IF(TODAY()&gt;$Y390,"OVERDUE",IF($Y390&lt;=WORKDAY(TODAY(),1,Holidays),"DUE TOMORROW",IF($W390=4,"ESCALATED TO LOCAL OFFICE",IF($W390=5,"ESCALATED TO CBE",IF($X390=TODAY(),"EMAIL SENT","MONITORING"))))))))))</f>
        <v/>
      </c>
      <c r="U390" s="17">
        <f>IF($T390="",IF(AND(COUNTA($A390:$K390)&gt;0,$L390=""),"Awaiting Collection Email time stamp.",""),IF(OR($T390="PAID",$T390="CLOSED"),IF($T390="PAID","Account paid. Action completed.","Account closed. No further action required."),CHOOSE($W390,"Collection Email","1st Email Follow-up","2nd Email Follow-up","Escalation to Local Office","Escalation to CBE","Escalation to Roxanne")&amp;" sent "&amp;TEXT($X390,"dd-mmm")&amp;". "&amp;IF($W390=6,"Final escalation completed.",IF($T390="OVERDUE","Next: "&amp;$Z390&amp;" was due "&amp;TEXT($Y390,"dd-mmm")&amp;" - "&amp;(NETWORKDAYS($Y390,TODAY(),Holidays)-1)&amp;" business day(s) late. Send now.",IF($T390="DUE TOMORROW","Next: "&amp;$Z390&amp;IF($Y390&lt;=TODAY()," is due TODAY ("," is due next business day (")&amp;TEXT($Y390,"dd-mmm")&amp;").","Next: "&amp;$Z390&amp;" due "&amp;TEXT($Y390,"dd-mmm")&amp;" ("&amp;(NETWORKDAYS(TODAY(),$Y390,Holidays)-1)&amp;" business day(s) left).")))))</f>
        <v/>
      </c>
      <c r="V390" s="17">
        <f>IF($W390="","",CHOOSE($W390,"Collection Email","1st Follow-up","2nd Follow-up","Local Office","CBE","Roxanne")&amp;IF($W390=6," - Final"," - Day "&amp;MAX(0,NETWORKDAYS($X390,TODAY(),Holidays)-1)&amp;" of "&amp;CHOOSE($W390,3,3,2,2,3))&amp;" | Total Day "&amp;MAX(0,NETWORKDAYS($L390,TODAY(),Holidays)-1))</f>
        <v/>
      </c>
      <c r="W390" s="17">
        <f>IF($L390="","",COUNT($L390:$Q390))</f>
        <v/>
      </c>
      <c r="X390" s="18">
        <f>IF($W390="","",INT(INDEX($L390:$Q390,$W390)))</f>
        <v/>
      </c>
      <c r="Y390" s="18">
        <f>IF(OR($W390="",$W390=6),"",WORKDAY($X390,CHOOSE($W390,3,3,2,2,3),Holidays))</f>
        <v/>
      </c>
      <c r="Z390" s="17">
        <f>IF(OR($W390="",$W390=6),"",CHOOSE($W390,"1st Email Follow-up","2nd Email Follow-up","Escalate Local Office","Escalate to CBE","Escalate to Roxanne"))</f>
        <v/>
      </c>
    </row>
    <row r="391" spans="18:26">
      <c r="R391" s="15"/>
      <c r="S391" s="16"/>
      <c r="T391" s="17">
        <f>IF(AND(COUNTA($A391:$K391)=0,$L391=""),"",IF($S391="Paid","PAID",IF($S391="Closed","CLOSED",IF($W391="","",IF($W391=6,"ESCALATED TO ROXANNE",IF(TODAY()&gt;$Y391,"OVERDUE",IF($Y391&lt;=WORKDAY(TODAY(),1,Holidays),"DUE TOMORROW",IF($W391=4,"ESCALATED TO LOCAL OFFICE",IF($W391=5,"ESCALATED TO CBE",IF($X391=TODAY(),"EMAIL SENT","MONITORING"))))))))))</f>
        <v/>
      </c>
      <c r="U391" s="17">
        <f>IF($T391="",IF(AND(COUNTA($A391:$K391)&gt;0,$L391=""),"Awaiting Collection Email time stamp.",""),IF(OR($T391="PAID",$T391="CLOSED"),IF($T391="PAID","Account paid. Action completed.","Account closed. No further action required."),CHOOSE($W391,"Collection Email","1st Email Follow-up","2nd Email Follow-up","Escalation to Local Office","Escalation to CBE","Escalation to Roxanne")&amp;" sent "&amp;TEXT($X391,"dd-mmm")&amp;". "&amp;IF($W391=6,"Final escalation completed.",IF($T391="OVERDUE","Next: "&amp;$Z391&amp;" was due "&amp;TEXT($Y391,"dd-mmm")&amp;" - "&amp;(NETWORKDAYS($Y391,TODAY(),Holidays)-1)&amp;" business day(s) late. Send now.",IF($T391="DUE TOMORROW","Next: "&amp;$Z391&amp;IF($Y391&lt;=TODAY()," is due TODAY ("," is due next business day (")&amp;TEXT($Y391,"dd-mmm")&amp;").","Next: "&amp;$Z391&amp;" due "&amp;TEXT($Y391,"dd-mmm")&amp;" ("&amp;(NETWORKDAYS(TODAY(),$Y391,Holidays)-1)&amp;" business day(s) left).")))))</f>
        <v/>
      </c>
      <c r="V391" s="17">
        <f>IF($W391="","",CHOOSE($W391,"Collection Email","1st Follow-up","2nd Follow-up","Local Office","CBE","Roxanne")&amp;IF($W391=6," - Final"," - Day "&amp;MAX(0,NETWORKDAYS($X391,TODAY(),Holidays)-1)&amp;" of "&amp;CHOOSE($W391,3,3,2,2,3))&amp;" | Total Day "&amp;MAX(0,NETWORKDAYS($L391,TODAY(),Holidays)-1))</f>
        <v/>
      </c>
      <c r="W391" s="17">
        <f>IF($L391="","",COUNT($L391:$Q391))</f>
        <v/>
      </c>
      <c r="X391" s="18">
        <f>IF($W391="","",INT(INDEX($L391:$Q391,$W391)))</f>
        <v/>
      </c>
      <c r="Y391" s="18">
        <f>IF(OR($W391="",$W391=6),"",WORKDAY($X391,CHOOSE($W391,3,3,2,2,3),Holidays))</f>
        <v/>
      </c>
      <c r="Z391" s="17">
        <f>IF(OR($W391="",$W391=6),"",CHOOSE($W391,"1st Email Follow-up","2nd Email Follow-up","Escalate Local Office","Escalate to CBE","Escalate to Roxanne"))</f>
        <v/>
      </c>
    </row>
    <row r="392" spans="18:26">
      <c r="R392" s="15"/>
      <c r="S392" s="16"/>
      <c r="T392" s="17">
        <f>IF(AND(COUNTA($A392:$K392)=0,$L392=""),"",IF($S392="Paid","PAID",IF($S392="Closed","CLOSED",IF($W392="","",IF($W392=6,"ESCALATED TO ROXANNE",IF(TODAY()&gt;$Y392,"OVERDUE",IF($Y392&lt;=WORKDAY(TODAY(),1,Holidays),"DUE TOMORROW",IF($W392=4,"ESCALATED TO LOCAL OFFICE",IF($W392=5,"ESCALATED TO CBE",IF($X392=TODAY(),"EMAIL SENT","MONITORING"))))))))))</f>
        <v/>
      </c>
      <c r="U392" s="17">
        <f>IF($T392="",IF(AND(COUNTA($A392:$K392)&gt;0,$L392=""),"Awaiting Collection Email time stamp.",""),IF(OR($T392="PAID",$T392="CLOSED"),IF($T392="PAID","Account paid. Action completed.","Account closed. No further action required."),CHOOSE($W392,"Collection Email","1st Email Follow-up","2nd Email Follow-up","Escalation to Local Office","Escalation to CBE","Escalation to Roxanne")&amp;" sent "&amp;TEXT($X392,"dd-mmm")&amp;". "&amp;IF($W392=6,"Final escalation completed.",IF($T392="OVERDUE","Next: "&amp;$Z392&amp;" was due "&amp;TEXT($Y392,"dd-mmm")&amp;" - "&amp;(NETWORKDAYS($Y392,TODAY(),Holidays)-1)&amp;" business day(s) late. Send now.",IF($T392="DUE TOMORROW","Next: "&amp;$Z392&amp;IF($Y392&lt;=TODAY()," is due TODAY ("," is due next business day (")&amp;TEXT($Y392,"dd-mmm")&amp;").","Next: "&amp;$Z392&amp;" due "&amp;TEXT($Y392,"dd-mmm")&amp;" ("&amp;(NETWORKDAYS(TODAY(),$Y392,Holidays)-1)&amp;" business day(s) left).")))))</f>
        <v/>
      </c>
      <c r="V392" s="17">
        <f>IF($W392="","",CHOOSE($W392,"Collection Email","1st Follow-up","2nd Follow-up","Local Office","CBE","Roxanne")&amp;IF($W392=6," - Final"," - Day "&amp;MAX(0,NETWORKDAYS($X392,TODAY(),Holidays)-1)&amp;" of "&amp;CHOOSE($W392,3,3,2,2,3))&amp;" | Total Day "&amp;MAX(0,NETWORKDAYS($L392,TODAY(),Holidays)-1))</f>
        <v/>
      </c>
      <c r="W392" s="17">
        <f>IF($L392="","",COUNT($L392:$Q392))</f>
        <v/>
      </c>
      <c r="X392" s="18">
        <f>IF($W392="","",INT(INDEX($L392:$Q392,$W392)))</f>
        <v/>
      </c>
      <c r="Y392" s="18">
        <f>IF(OR($W392="",$W392=6),"",WORKDAY($X392,CHOOSE($W392,3,3,2,2,3),Holidays))</f>
        <v/>
      </c>
      <c r="Z392" s="17">
        <f>IF(OR($W392="",$W392=6),"",CHOOSE($W392,"1st Email Follow-up","2nd Email Follow-up","Escalate Local Office","Escalate to CBE","Escalate to Roxanne"))</f>
        <v/>
      </c>
    </row>
    <row r="393" spans="18:26">
      <c r="R393" s="15"/>
      <c r="S393" s="16"/>
      <c r="T393" s="17">
        <f>IF(AND(COUNTA($A393:$K393)=0,$L393=""),"",IF($S393="Paid","PAID",IF($S393="Closed","CLOSED",IF($W393="","",IF($W393=6,"ESCALATED TO ROXANNE",IF(TODAY()&gt;$Y393,"OVERDUE",IF($Y393&lt;=WORKDAY(TODAY(),1,Holidays),"DUE TOMORROW",IF($W393=4,"ESCALATED TO LOCAL OFFICE",IF($W393=5,"ESCALATED TO CBE",IF($X393=TODAY(),"EMAIL SENT","MONITORING"))))))))))</f>
        <v/>
      </c>
      <c r="U393" s="17">
        <f>IF($T393="",IF(AND(COUNTA($A393:$K393)&gt;0,$L393=""),"Awaiting Collection Email time stamp.",""),IF(OR($T393="PAID",$T393="CLOSED"),IF($T393="PAID","Account paid. Action completed.","Account closed. No further action required."),CHOOSE($W393,"Collection Email","1st Email Follow-up","2nd Email Follow-up","Escalation to Local Office","Escalation to CBE","Escalation to Roxanne")&amp;" sent "&amp;TEXT($X393,"dd-mmm")&amp;". "&amp;IF($W393=6,"Final escalation completed.",IF($T393="OVERDUE","Next: "&amp;$Z393&amp;" was due "&amp;TEXT($Y393,"dd-mmm")&amp;" - "&amp;(NETWORKDAYS($Y393,TODAY(),Holidays)-1)&amp;" business day(s) late. Send now.",IF($T393="DUE TOMORROW","Next: "&amp;$Z393&amp;IF($Y393&lt;=TODAY()," is due TODAY ("," is due next business day (")&amp;TEXT($Y393,"dd-mmm")&amp;").","Next: "&amp;$Z393&amp;" due "&amp;TEXT($Y393,"dd-mmm")&amp;" ("&amp;(NETWORKDAYS(TODAY(),$Y393,Holidays)-1)&amp;" business day(s) left).")))))</f>
        <v/>
      </c>
      <c r="V393" s="17">
        <f>IF($W393="","",CHOOSE($W393,"Collection Email","1st Follow-up","2nd Follow-up","Local Office","CBE","Roxanne")&amp;IF($W393=6," - Final"," - Day "&amp;MAX(0,NETWORKDAYS($X393,TODAY(),Holidays)-1)&amp;" of "&amp;CHOOSE($W393,3,3,2,2,3))&amp;" | Total Day "&amp;MAX(0,NETWORKDAYS($L393,TODAY(),Holidays)-1))</f>
        <v/>
      </c>
      <c r="W393" s="17">
        <f>IF($L393="","",COUNT($L393:$Q393))</f>
        <v/>
      </c>
      <c r="X393" s="18">
        <f>IF($W393="","",INT(INDEX($L393:$Q393,$W393)))</f>
        <v/>
      </c>
      <c r="Y393" s="18">
        <f>IF(OR($W393="",$W393=6),"",WORKDAY($X393,CHOOSE($W393,3,3,2,2,3),Holidays))</f>
        <v/>
      </c>
      <c r="Z393" s="17">
        <f>IF(OR($W393="",$W393=6),"",CHOOSE($W393,"1st Email Follow-up","2nd Email Follow-up","Escalate Local Office","Escalate to CBE","Escalate to Roxanne"))</f>
        <v/>
      </c>
    </row>
    <row r="394" spans="18:26">
      <c r="R394" s="15"/>
      <c r="S394" s="16"/>
      <c r="T394" s="17">
        <f>IF(AND(COUNTA($A394:$K394)=0,$L394=""),"",IF($S394="Paid","PAID",IF($S394="Closed","CLOSED",IF($W394="","",IF($W394=6,"ESCALATED TO ROXANNE",IF(TODAY()&gt;$Y394,"OVERDUE",IF($Y394&lt;=WORKDAY(TODAY(),1,Holidays),"DUE TOMORROW",IF($W394=4,"ESCALATED TO LOCAL OFFICE",IF($W394=5,"ESCALATED TO CBE",IF($X394=TODAY(),"EMAIL SENT","MONITORING"))))))))))</f>
        <v/>
      </c>
      <c r="U394" s="17">
        <f>IF($T394="",IF(AND(COUNTA($A394:$K394)&gt;0,$L394=""),"Awaiting Collection Email time stamp.",""),IF(OR($T394="PAID",$T394="CLOSED"),IF($T394="PAID","Account paid. Action completed.","Account closed. No further action required."),CHOOSE($W394,"Collection Email","1st Email Follow-up","2nd Email Follow-up","Escalation to Local Office","Escalation to CBE","Escalation to Roxanne")&amp;" sent "&amp;TEXT($X394,"dd-mmm")&amp;". "&amp;IF($W394=6,"Final escalation completed.",IF($T394="OVERDUE","Next: "&amp;$Z394&amp;" was due "&amp;TEXT($Y394,"dd-mmm")&amp;" - "&amp;(NETWORKDAYS($Y394,TODAY(),Holidays)-1)&amp;" business day(s) late. Send now.",IF($T394="DUE TOMORROW","Next: "&amp;$Z394&amp;IF($Y394&lt;=TODAY()," is due TODAY ("," is due next business day (")&amp;TEXT($Y394,"dd-mmm")&amp;").","Next: "&amp;$Z394&amp;" due "&amp;TEXT($Y394,"dd-mmm")&amp;" ("&amp;(NETWORKDAYS(TODAY(),$Y394,Holidays)-1)&amp;" business day(s) left).")))))</f>
        <v/>
      </c>
      <c r="V394" s="17">
        <f>IF($W394="","",CHOOSE($W394,"Collection Email","1st Follow-up","2nd Follow-up","Local Office","CBE","Roxanne")&amp;IF($W394=6," - Final"," - Day "&amp;MAX(0,NETWORKDAYS($X394,TODAY(),Holidays)-1)&amp;" of "&amp;CHOOSE($W394,3,3,2,2,3))&amp;" | Total Day "&amp;MAX(0,NETWORKDAYS($L394,TODAY(),Holidays)-1))</f>
        <v/>
      </c>
      <c r="W394" s="17">
        <f>IF($L394="","",COUNT($L394:$Q394))</f>
        <v/>
      </c>
      <c r="X394" s="18">
        <f>IF($W394="","",INT(INDEX($L394:$Q394,$W394)))</f>
        <v/>
      </c>
      <c r="Y394" s="18">
        <f>IF(OR($W394="",$W394=6),"",WORKDAY($X394,CHOOSE($W394,3,3,2,2,3),Holidays))</f>
        <v/>
      </c>
      <c r="Z394" s="17">
        <f>IF(OR($W394="",$W394=6),"",CHOOSE($W394,"1st Email Follow-up","2nd Email Follow-up","Escalate Local Office","Escalate to CBE","Escalate to Roxanne"))</f>
        <v/>
      </c>
    </row>
    <row r="395" spans="18:26">
      <c r="R395" s="15"/>
      <c r="S395" s="16"/>
      <c r="T395" s="17">
        <f>IF(AND(COUNTA($A395:$K395)=0,$L395=""),"",IF($S395="Paid","PAID",IF($S395="Closed","CLOSED",IF($W395="","",IF($W395=6,"ESCALATED TO ROXANNE",IF(TODAY()&gt;$Y395,"OVERDUE",IF($Y395&lt;=WORKDAY(TODAY(),1,Holidays),"DUE TOMORROW",IF($W395=4,"ESCALATED TO LOCAL OFFICE",IF($W395=5,"ESCALATED TO CBE",IF($X395=TODAY(),"EMAIL SENT","MONITORING"))))))))))</f>
        <v/>
      </c>
      <c r="U395" s="17">
        <f>IF($T395="",IF(AND(COUNTA($A395:$K395)&gt;0,$L395=""),"Awaiting Collection Email time stamp.",""),IF(OR($T395="PAID",$T395="CLOSED"),IF($T395="PAID","Account paid. Action completed.","Account closed. No further action required."),CHOOSE($W395,"Collection Email","1st Email Follow-up","2nd Email Follow-up","Escalation to Local Office","Escalation to CBE","Escalation to Roxanne")&amp;" sent "&amp;TEXT($X395,"dd-mmm")&amp;". "&amp;IF($W395=6,"Final escalation completed.",IF($T395="OVERDUE","Next: "&amp;$Z395&amp;" was due "&amp;TEXT($Y395,"dd-mmm")&amp;" - "&amp;(NETWORKDAYS($Y395,TODAY(),Holidays)-1)&amp;" business day(s) late. Send now.",IF($T395="DUE TOMORROW","Next: "&amp;$Z395&amp;IF($Y395&lt;=TODAY()," is due TODAY ("," is due next business day (")&amp;TEXT($Y395,"dd-mmm")&amp;").","Next: "&amp;$Z395&amp;" due "&amp;TEXT($Y395,"dd-mmm")&amp;" ("&amp;(NETWORKDAYS(TODAY(),$Y395,Holidays)-1)&amp;" business day(s) left).")))))</f>
        <v/>
      </c>
      <c r="V395" s="17">
        <f>IF($W395="","",CHOOSE($W395,"Collection Email","1st Follow-up","2nd Follow-up","Local Office","CBE","Roxanne")&amp;IF($W395=6," - Final"," - Day "&amp;MAX(0,NETWORKDAYS($X395,TODAY(),Holidays)-1)&amp;" of "&amp;CHOOSE($W395,3,3,2,2,3))&amp;" | Total Day "&amp;MAX(0,NETWORKDAYS($L395,TODAY(),Holidays)-1))</f>
        <v/>
      </c>
      <c r="W395" s="17">
        <f>IF($L395="","",COUNT($L395:$Q395))</f>
        <v/>
      </c>
      <c r="X395" s="18">
        <f>IF($W395="","",INT(INDEX($L395:$Q395,$W395)))</f>
        <v/>
      </c>
      <c r="Y395" s="18">
        <f>IF(OR($W395="",$W395=6),"",WORKDAY($X395,CHOOSE($W395,3,3,2,2,3),Holidays))</f>
        <v/>
      </c>
      <c r="Z395" s="17">
        <f>IF(OR($W395="",$W395=6),"",CHOOSE($W395,"1st Email Follow-up","2nd Email Follow-up","Escalate Local Office","Escalate to CBE","Escalate to Roxanne"))</f>
        <v/>
      </c>
    </row>
    <row r="396" spans="18:26">
      <c r="R396" s="15"/>
      <c r="S396" s="16"/>
      <c r="T396" s="17">
        <f>IF(AND(COUNTA($A396:$K396)=0,$L396=""),"",IF($S396="Paid","PAID",IF($S396="Closed","CLOSED",IF($W396="","",IF($W396=6,"ESCALATED TO ROXANNE",IF(TODAY()&gt;$Y396,"OVERDUE",IF($Y396&lt;=WORKDAY(TODAY(),1,Holidays),"DUE TOMORROW",IF($W396=4,"ESCALATED TO LOCAL OFFICE",IF($W396=5,"ESCALATED TO CBE",IF($X396=TODAY(),"EMAIL SENT","MONITORING"))))))))))</f>
        <v/>
      </c>
      <c r="U396" s="17">
        <f>IF($T396="",IF(AND(COUNTA($A396:$K396)&gt;0,$L396=""),"Awaiting Collection Email time stamp.",""),IF(OR($T396="PAID",$T396="CLOSED"),IF($T396="PAID","Account paid. Action completed.","Account closed. No further action required."),CHOOSE($W396,"Collection Email","1st Email Follow-up","2nd Email Follow-up","Escalation to Local Office","Escalation to CBE","Escalation to Roxanne")&amp;" sent "&amp;TEXT($X396,"dd-mmm")&amp;". "&amp;IF($W396=6,"Final escalation completed.",IF($T396="OVERDUE","Next: "&amp;$Z396&amp;" was due "&amp;TEXT($Y396,"dd-mmm")&amp;" - "&amp;(NETWORKDAYS($Y396,TODAY(),Holidays)-1)&amp;" business day(s) late. Send now.",IF($T396="DUE TOMORROW","Next: "&amp;$Z396&amp;IF($Y396&lt;=TODAY()," is due TODAY ("," is due next business day (")&amp;TEXT($Y396,"dd-mmm")&amp;").","Next: "&amp;$Z396&amp;" due "&amp;TEXT($Y396,"dd-mmm")&amp;" ("&amp;(NETWORKDAYS(TODAY(),$Y396,Holidays)-1)&amp;" business day(s) left).")))))</f>
        <v/>
      </c>
      <c r="V396" s="17">
        <f>IF($W396="","",CHOOSE($W396,"Collection Email","1st Follow-up","2nd Follow-up","Local Office","CBE","Roxanne")&amp;IF($W396=6," - Final"," - Day "&amp;MAX(0,NETWORKDAYS($X396,TODAY(),Holidays)-1)&amp;" of "&amp;CHOOSE($W396,3,3,2,2,3))&amp;" | Total Day "&amp;MAX(0,NETWORKDAYS($L396,TODAY(),Holidays)-1))</f>
        <v/>
      </c>
      <c r="W396" s="17">
        <f>IF($L396="","",COUNT($L396:$Q396))</f>
        <v/>
      </c>
      <c r="X396" s="18">
        <f>IF($W396="","",INT(INDEX($L396:$Q396,$W396)))</f>
        <v/>
      </c>
      <c r="Y396" s="18">
        <f>IF(OR($W396="",$W396=6),"",WORKDAY($X396,CHOOSE($W396,3,3,2,2,3),Holidays))</f>
        <v/>
      </c>
      <c r="Z396" s="17">
        <f>IF(OR($W396="",$W396=6),"",CHOOSE($W396,"1st Email Follow-up","2nd Email Follow-up","Escalate Local Office","Escalate to CBE","Escalate to Roxanne"))</f>
        <v/>
      </c>
    </row>
    <row r="397" spans="18:26">
      <c r="R397" s="15"/>
      <c r="S397" s="16"/>
      <c r="T397" s="17">
        <f>IF(AND(COUNTA($A397:$K397)=0,$L397=""),"",IF($S397="Paid","PAID",IF($S397="Closed","CLOSED",IF($W397="","",IF($W397=6,"ESCALATED TO ROXANNE",IF(TODAY()&gt;$Y397,"OVERDUE",IF($Y397&lt;=WORKDAY(TODAY(),1,Holidays),"DUE TOMORROW",IF($W397=4,"ESCALATED TO LOCAL OFFICE",IF($W397=5,"ESCALATED TO CBE",IF($X397=TODAY(),"EMAIL SENT","MONITORING"))))))))))</f>
        <v/>
      </c>
      <c r="U397" s="17">
        <f>IF($T397="",IF(AND(COUNTA($A397:$K397)&gt;0,$L397=""),"Awaiting Collection Email time stamp.",""),IF(OR($T397="PAID",$T397="CLOSED"),IF($T397="PAID","Account paid. Action completed.","Account closed. No further action required."),CHOOSE($W397,"Collection Email","1st Email Follow-up","2nd Email Follow-up","Escalation to Local Office","Escalation to CBE","Escalation to Roxanne")&amp;" sent "&amp;TEXT($X397,"dd-mmm")&amp;". "&amp;IF($W397=6,"Final escalation completed.",IF($T397="OVERDUE","Next: "&amp;$Z397&amp;" was due "&amp;TEXT($Y397,"dd-mmm")&amp;" - "&amp;(NETWORKDAYS($Y397,TODAY(),Holidays)-1)&amp;" business day(s) late. Send now.",IF($T397="DUE TOMORROW","Next: "&amp;$Z397&amp;IF($Y397&lt;=TODAY()," is due TODAY ("," is due next business day (")&amp;TEXT($Y397,"dd-mmm")&amp;").","Next: "&amp;$Z397&amp;" due "&amp;TEXT($Y397,"dd-mmm")&amp;" ("&amp;(NETWORKDAYS(TODAY(),$Y397,Holidays)-1)&amp;" business day(s) left).")))))</f>
        <v/>
      </c>
      <c r="V397" s="17">
        <f>IF($W397="","",CHOOSE($W397,"Collection Email","1st Follow-up","2nd Follow-up","Local Office","CBE","Roxanne")&amp;IF($W397=6," - Final"," - Day "&amp;MAX(0,NETWORKDAYS($X397,TODAY(),Holidays)-1)&amp;" of "&amp;CHOOSE($W397,3,3,2,2,3))&amp;" | Total Day "&amp;MAX(0,NETWORKDAYS($L397,TODAY(),Holidays)-1))</f>
        <v/>
      </c>
      <c r="W397" s="17">
        <f>IF($L397="","",COUNT($L397:$Q397))</f>
        <v/>
      </c>
      <c r="X397" s="18">
        <f>IF($W397="","",INT(INDEX($L397:$Q397,$W397)))</f>
        <v/>
      </c>
      <c r="Y397" s="18">
        <f>IF(OR($W397="",$W397=6),"",WORKDAY($X397,CHOOSE($W397,3,3,2,2,3),Holidays))</f>
        <v/>
      </c>
      <c r="Z397" s="17">
        <f>IF(OR($W397="",$W397=6),"",CHOOSE($W397,"1st Email Follow-up","2nd Email Follow-up","Escalate Local Office","Escalate to CBE","Escalate to Roxanne"))</f>
        <v/>
      </c>
    </row>
    <row r="398" spans="18:26">
      <c r="R398" s="15"/>
      <c r="S398" s="16"/>
      <c r="T398" s="17">
        <f>IF(AND(COUNTA($A398:$K398)=0,$L398=""),"",IF($S398="Paid","PAID",IF($S398="Closed","CLOSED",IF($W398="","",IF($W398=6,"ESCALATED TO ROXANNE",IF(TODAY()&gt;$Y398,"OVERDUE",IF($Y398&lt;=WORKDAY(TODAY(),1,Holidays),"DUE TOMORROW",IF($W398=4,"ESCALATED TO LOCAL OFFICE",IF($W398=5,"ESCALATED TO CBE",IF($X398=TODAY(),"EMAIL SENT","MONITORING"))))))))))</f>
        <v/>
      </c>
      <c r="U398" s="17">
        <f>IF($T398="",IF(AND(COUNTA($A398:$K398)&gt;0,$L398=""),"Awaiting Collection Email time stamp.",""),IF(OR($T398="PAID",$T398="CLOSED"),IF($T398="PAID","Account paid. Action completed.","Account closed. No further action required."),CHOOSE($W398,"Collection Email","1st Email Follow-up","2nd Email Follow-up","Escalation to Local Office","Escalation to CBE","Escalation to Roxanne")&amp;" sent "&amp;TEXT($X398,"dd-mmm")&amp;". "&amp;IF($W398=6,"Final escalation completed.",IF($T398="OVERDUE","Next: "&amp;$Z398&amp;" was due "&amp;TEXT($Y398,"dd-mmm")&amp;" - "&amp;(NETWORKDAYS($Y398,TODAY(),Holidays)-1)&amp;" business day(s) late. Send now.",IF($T398="DUE TOMORROW","Next: "&amp;$Z398&amp;IF($Y398&lt;=TODAY()," is due TODAY ("," is due next business day (")&amp;TEXT($Y398,"dd-mmm")&amp;").","Next: "&amp;$Z398&amp;" due "&amp;TEXT($Y398,"dd-mmm")&amp;" ("&amp;(NETWORKDAYS(TODAY(),$Y398,Holidays)-1)&amp;" business day(s) left).")))))</f>
        <v/>
      </c>
      <c r="V398" s="17">
        <f>IF($W398="","",CHOOSE($W398,"Collection Email","1st Follow-up","2nd Follow-up","Local Office","CBE","Roxanne")&amp;IF($W398=6," - Final"," - Day "&amp;MAX(0,NETWORKDAYS($X398,TODAY(),Holidays)-1)&amp;" of "&amp;CHOOSE($W398,3,3,2,2,3))&amp;" | Total Day "&amp;MAX(0,NETWORKDAYS($L398,TODAY(),Holidays)-1))</f>
        <v/>
      </c>
      <c r="W398" s="17">
        <f>IF($L398="","",COUNT($L398:$Q398))</f>
        <v/>
      </c>
      <c r="X398" s="18">
        <f>IF($W398="","",INT(INDEX($L398:$Q398,$W398)))</f>
        <v/>
      </c>
      <c r="Y398" s="18">
        <f>IF(OR($W398="",$W398=6),"",WORKDAY($X398,CHOOSE($W398,3,3,2,2,3),Holidays))</f>
        <v/>
      </c>
      <c r="Z398" s="17">
        <f>IF(OR($W398="",$W398=6),"",CHOOSE($W398,"1st Email Follow-up","2nd Email Follow-up","Escalate Local Office","Escalate to CBE","Escalate to Roxanne"))</f>
        <v/>
      </c>
    </row>
    <row r="399" spans="18:26">
      <c r="R399" s="15"/>
      <c r="S399" s="16"/>
      <c r="T399" s="17">
        <f>IF(AND(COUNTA($A399:$K399)=0,$L399=""),"",IF($S399="Paid","PAID",IF($S399="Closed","CLOSED",IF($W399="","",IF($W399=6,"ESCALATED TO ROXANNE",IF(TODAY()&gt;$Y399,"OVERDUE",IF($Y399&lt;=WORKDAY(TODAY(),1,Holidays),"DUE TOMORROW",IF($W399=4,"ESCALATED TO LOCAL OFFICE",IF($W399=5,"ESCALATED TO CBE",IF($X399=TODAY(),"EMAIL SENT","MONITORING"))))))))))</f>
        <v/>
      </c>
      <c r="U399" s="17">
        <f>IF($T399="",IF(AND(COUNTA($A399:$K399)&gt;0,$L399=""),"Awaiting Collection Email time stamp.",""),IF(OR($T399="PAID",$T399="CLOSED"),IF($T399="PAID","Account paid. Action completed.","Account closed. No further action required."),CHOOSE($W399,"Collection Email","1st Email Follow-up","2nd Email Follow-up","Escalation to Local Office","Escalation to CBE","Escalation to Roxanne")&amp;" sent "&amp;TEXT($X399,"dd-mmm")&amp;". "&amp;IF($W399=6,"Final escalation completed.",IF($T399="OVERDUE","Next: "&amp;$Z399&amp;" was due "&amp;TEXT($Y399,"dd-mmm")&amp;" - "&amp;(NETWORKDAYS($Y399,TODAY(),Holidays)-1)&amp;" business day(s) late. Send now.",IF($T399="DUE TOMORROW","Next: "&amp;$Z399&amp;IF($Y399&lt;=TODAY()," is due TODAY ("," is due next business day (")&amp;TEXT($Y399,"dd-mmm")&amp;").","Next: "&amp;$Z399&amp;" due "&amp;TEXT($Y399,"dd-mmm")&amp;" ("&amp;(NETWORKDAYS(TODAY(),$Y399,Holidays)-1)&amp;" business day(s) left).")))))</f>
        <v/>
      </c>
      <c r="V399" s="17">
        <f>IF($W399="","",CHOOSE($W399,"Collection Email","1st Follow-up","2nd Follow-up","Local Office","CBE","Roxanne")&amp;IF($W399=6," - Final"," - Day "&amp;MAX(0,NETWORKDAYS($X399,TODAY(),Holidays)-1)&amp;" of "&amp;CHOOSE($W399,3,3,2,2,3))&amp;" | Total Day "&amp;MAX(0,NETWORKDAYS($L399,TODAY(),Holidays)-1))</f>
        <v/>
      </c>
      <c r="W399" s="17">
        <f>IF($L399="","",COUNT($L399:$Q399))</f>
        <v/>
      </c>
      <c r="X399" s="18">
        <f>IF($W399="","",INT(INDEX($L399:$Q399,$W399)))</f>
        <v/>
      </c>
      <c r="Y399" s="18">
        <f>IF(OR($W399="",$W399=6),"",WORKDAY($X399,CHOOSE($W399,3,3,2,2,3),Holidays))</f>
        <v/>
      </c>
      <c r="Z399" s="17">
        <f>IF(OR($W399="",$W399=6),"",CHOOSE($W399,"1st Email Follow-up","2nd Email Follow-up","Escalate Local Office","Escalate to CBE","Escalate to Roxanne"))</f>
        <v/>
      </c>
    </row>
    <row r="400" spans="18:26">
      <c r="R400" s="15"/>
      <c r="S400" s="16"/>
      <c r="T400" s="17">
        <f>IF(AND(COUNTA($A400:$K400)=0,$L400=""),"",IF($S400="Paid","PAID",IF($S400="Closed","CLOSED",IF($W400="","",IF($W400=6,"ESCALATED TO ROXANNE",IF(TODAY()&gt;$Y400,"OVERDUE",IF($Y400&lt;=WORKDAY(TODAY(),1,Holidays),"DUE TOMORROW",IF($W400=4,"ESCALATED TO LOCAL OFFICE",IF($W400=5,"ESCALATED TO CBE",IF($X400=TODAY(),"EMAIL SENT","MONITORING"))))))))))</f>
        <v/>
      </c>
      <c r="U400" s="17">
        <f>IF($T400="",IF(AND(COUNTA($A400:$K400)&gt;0,$L400=""),"Awaiting Collection Email time stamp.",""),IF(OR($T400="PAID",$T400="CLOSED"),IF($T400="PAID","Account paid. Action completed.","Account closed. No further action required."),CHOOSE($W400,"Collection Email","1st Email Follow-up","2nd Email Follow-up","Escalation to Local Office","Escalation to CBE","Escalation to Roxanne")&amp;" sent "&amp;TEXT($X400,"dd-mmm")&amp;". "&amp;IF($W400=6,"Final escalation completed.",IF($T400="OVERDUE","Next: "&amp;$Z400&amp;" was due "&amp;TEXT($Y400,"dd-mmm")&amp;" - "&amp;(NETWORKDAYS($Y400,TODAY(),Holidays)-1)&amp;" business day(s) late. Send now.",IF($T400="DUE TOMORROW","Next: "&amp;$Z400&amp;IF($Y400&lt;=TODAY()," is due TODAY ("," is due next business day (")&amp;TEXT($Y400,"dd-mmm")&amp;").","Next: "&amp;$Z400&amp;" due "&amp;TEXT($Y400,"dd-mmm")&amp;" ("&amp;(NETWORKDAYS(TODAY(),$Y400,Holidays)-1)&amp;" business day(s) left).")))))</f>
        <v/>
      </c>
      <c r="V400" s="17">
        <f>IF($W400="","",CHOOSE($W400,"Collection Email","1st Follow-up","2nd Follow-up","Local Office","CBE","Roxanne")&amp;IF($W400=6," - Final"," - Day "&amp;MAX(0,NETWORKDAYS($X400,TODAY(),Holidays)-1)&amp;" of "&amp;CHOOSE($W400,3,3,2,2,3))&amp;" | Total Day "&amp;MAX(0,NETWORKDAYS($L400,TODAY(),Holidays)-1))</f>
        <v/>
      </c>
      <c r="W400" s="17">
        <f>IF($L400="","",COUNT($L400:$Q400))</f>
        <v/>
      </c>
      <c r="X400" s="18">
        <f>IF($W400="","",INT(INDEX($L400:$Q400,$W400)))</f>
        <v/>
      </c>
      <c r="Y400" s="18">
        <f>IF(OR($W400="",$W400=6),"",WORKDAY($X400,CHOOSE($W400,3,3,2,2,3),Holidays))</f>
        <v/>
      </c>
      <c r="Z400" s="17">
        <f>IF(OR($W400="",$W400=6),"",CHOOSE($W400,"1st Email Follow-up","2nd Email Follow-up","Escalate Local Office","Escalate to CBE","Escalate to Roxanne"))</f>
        <v/>
      </c>
    </row>
    <row r="401" spans="18:26">
      <c r="R401" s="15"/>
      <c r="S401" s="16"/>
      <c r="T401" s="17">
        <f>IF(AND(COUNTA($A401:$K401)=0,$L401=""),"",IF($S401="Paid","PAID",IF($S401="Closed","CLOSED",IF($W401="","",IF($W401=6,"ESCALATED TO ROXANNE",IF(TODAY()&gt;$Y401,"OVERDUE",IF($Y401&lt;=WORKDAY(TODAY(),1,Holidays),"DUE TOMORROW",IF($W401=4,"ESCALATED TO LOCAL OFFICE",IF($W401=5,"ESCALATED TO CBE",IF($X401=TODAY(),"EMAIL SENT","MONITORING"))))))))))</f>
        <v/>
      </c>
      <c r="U401" s="17">
        <f>IF($T401="",IF(AND(COUNTA($A401:$K401)&gt;0,$L401=""),"Awaiting Collection Email time stamp.",""),IF(OR($T401="PAID",$T401="CLOSED"),IF($T401="PAID","Account paid. Action completed.","Account closed. No further action required."),CHOOSE($W401,"Collection Email","1st Email Follow-up","2nd Email Follow-up","Escalation to Local Office","Escalation to CBE","Escalation to Roxanne")&amp;" sent "&amp;TEXT($X401,"dd-mmm")&amp;". "&amp;IF($W401=6,"Final escalation completed.",IF($T401="OVERDUE","Next: "&amp;$Z401&amp;" was due "&amp;TEXT($Y401,"dd-mmm")&amp;" - "&amp;(NETWORKDAYS($Y401,TODAY(),Holidays)-1)&amp;" business day(s) late. Send now.",IF($T401="DUE TOMORROW","Next: "&amp;$Z401&amp;IF($Y401&lt;=TODAY()," is due TODAY ("," is due next business day (")&amp;TEXT($Y401,"dd-mmm")&amp;").","Next: "&amp;$Z401&amp;" due "&amp;TEXT($Y401,"dd-mmm")&amp;" ("&amp;(NETWORKDAYS(TODAY(),$Y401,Holidays)-1)&amp;" business day(s) left).")))))</f>
        <v/>
      </c>
      <c r="V401" s="17">
        <f>IF($W401="","",CHOOSE($W401,"Collection Email","1st Follow-up","2nd Follow-up","Local Office","CBE","Roxanne")&amp;IF($W401=6," - Final"," - Day "&amp;MAX(0,NETWORKDAYS($X401,TODAY(),Holidays)-1)&amp;" of "&amp;CHOOSE($W401,3,3,2,2,3))&amp;" | Total Day "&amp;MAX(0,NETWORKDAYS($L401,TODAY(),Holidays)-1))</f>
        <v/>
      </c>
      <c r="W401" s="17">
        <f>IF($L401="","",COUNT($L401:$Q401))</f>
        <v/>
      </c>
      <c r="X401" s="18">
        <f>IF($W401="","",INT(INDEX($L401:$Q401,$W401)))</f>
        <v/>
      </c>
      <c r="Y401" s="18">
        <f>IF(OR($W401="",$W401=6),"",WORKDAY($X401,CHOOSE($W401,3,3,2,2,3),Holidays))</f>
        <v/>
      </c>
      <c r="Z401" s="17">
        <f>IF(OR($W401="",$W401=6),"",CHOOSE($W401,"1st Email Follow-up","2nd Email Follow-up","Escalate Local Office","Escalate to CBE","Escalate to Roxanne"))</f>
        <v/>
      </c>
    </row>
    <row r="402" spans="18:26">
      <c r="R402" s="15"/>
      <c r="S402" s="16"/>
      <c r="T402" s="17">
        <f>IF(AND(COUNTA($A402:$K402)=0,$L402=""),"",IF($S402="Paid","PAID",IF($S402="Closed","CLOSED",IF($W402="","",IF($W402=6,"ESCALATED TO ROXANNE",IF(TODAY()&gt;$Y402,"OVERDUE",IF($Y402&lt;=WORKDAY(TODAY(),1,Holidays),"DUE TOMORROW",IF($W402=4,"ESCALATED TO LOCAL OFFICE",IF($W402=5,"ESCALATED TO CBE",IF($X402=TODAY(),"EMAIL SENT","MONITORING"))))))))))</f>
        <v/>
      </c>
      <c r="U402" s="17">
        <f>IF($T402="",IF(AND(COUNTA($A402:$K402)&gt;0,$L402=""),"Awaiting Collection Email time stamp.",""),IF(OR($T402="PAID",$T402="CLOSED"),IF($T402="PAID","Account paid. Action completed.","Account closed. No further action required."),CHOOSE($W402,"Collection Email","1st Email Follow-up","2nd Email Follow-up","Escalation to Local Office","Escalation to CBE","Escalation to Roxanne")&amp;" sent "&amp;TEXT($X402,"dd-mmm")&amp;". "&amp;IF($W402=6,"Final escalation completed.",IF($T402="OVERDUE","Next: "&amp;$Z402&amp;" was due "&amp;TEXT($Y402,"dd-mmm")&amp;" - "&amp;(NETWORKDAYS($Y402,TODAY(),Holidays)-1)&amp;" business day(s) late. Send now.",IF($T402="DUE TOMORROW","Next: "&amp;$Z402&amp;IF($Y402&lt;=TODAY()," is due TODAY ("," is due next business day (")&amp;TEXT($Y402,"dd-mmm")&amp;").","Next: "&amp;$Z402&amp;" due "&amp;TEXT($Y402,"dd-mmm")&amp;" ("&amp;(NETWORKDAYS(TODAY(),$Y402,Holidays)-1)&amp;" business day(s) left).")))))</f>
        <v/>
      </c>
      <c r="V402" s="17">
        <f>IF($W402="","",CHOOSE($W402,"Collection Email","1st Follow-up","2nd Follow-up","Local Office","CBE","Roxanne")&amp;IF($W402=6," - Final"," - Day "&amp;MAX(0,NETWORKDAYS($X402,TODAY(),Holidays)-1)&amp;" of "&amp;CHOOSE($W402,3,3,2,2,3))&amp;" | Total Day "&amp;MAX(0,NETWORKDAYS($L402,TODAY(),Holidays)-1))</f>
        <v/>
      </c>
      <c r="W402" s="17">
        <f>IF($L402="","",COUNT($L402:$Q402))</f>
        <v/>
      </c>
      <c r="X402" s="18">
        <f>IF($W402="","",INT(INDEX($L402:$Q402,$W402)))</f>
        <v/>
      </c>
      <c r="Y402" s="18">
        <f>IF(OR($W402="",$W402=6),"",WORKDAY($X402,CHOOSE($W402,3,3,2,2,3),Holidays))</f>
        <v/>
      </c>
      <c r="Z402" s="17">
        <f>IF(OR($W402="",$W402=6),"",CHOOSE($W402,"1st Email Follow-up","2nd Email Follow-up","Escalate Local Office","Escalate to CBE","Escalate to Roxanne"))</f>
        <v/>
      </c>
    </row>
    <row r="403" spans="18:26">
      <c r="R403" s="15"/>
      <c r="S403" s="16"/>
      <c r="T403" s="17">
        <f>IF(AND(COUNTA($A403:$K403)=0,$L403=""),"",IF($S403="Paid","PAID",IF($S403="Closed","CLOSED",IF($W403="","",IF($W403=6,"ESCALATED TO ROXANNE",IF(TODAY()&gt;$Y403,"OVERDUE",IF($Y403&lt;=WORKDAY(TODAY(),1,Holidays),"DUE TOMORROW",IF($W403=4,"ESCALATED TO LOCAL OFFICE",IF($W403=5,"ESCALATED TO CBE",IF($X403=TODAY(),"EMAIL SENT","MONITORING"))))))))))</f>
        <v/>
      </c>
      <c r="U403" s="17">
        <f>IF($T403="",IF(AND(COUNTA($A403:$K403)&gt;0,$L403=""),"Awaiting Collection Email time stamp.",""),IF(OR($T403="PAID",$T403="CLOSED"),IF($T403="PAID","Account paid. Action completed.","Account closed. No further action required."),CHOOSE($W403,"Collection Email","1st Email Follow-up","2nd Email Follow-up","Escalation to Local Office","Escalation to CBE","Escalation to Roxanne")&amp;" sent "&amp;TEXT($X403,"dd-mmm")&amp;". "&amp;IF($W403=6,"Final escalation completed.",IF($T403="OVERDUE","Next: "&amp;$Z403&amp;" was due "&amp;TEXT($Y403,"dd-mmm")&amp;" - "&amp;(NETWORKDAYS($Y403,TODAY(),Holidays)-1)&amp;" business day(s) late. Send now.",IF($T403="DUE TOMORROW","Next: "&amp;$Z403&amp;IF($Y403&lt;=TODAY()," is due TODAY ("," is due next business day (")&amp;TEXT($Y403,"dd-mmm")&amp;").","Next: "&amp;$Z403&amp;" due "&amp;TEXT($Y403,"dd-mmm")&amp;" ("&amp;(NETWORKDAYS(TODAY(),$Y403,Holidays)-1)&amp;" business day(s) left).")))))</f>
        <v/>
      </c>
      <c r="V403" s="17">
        <f>IF($W403="","",CHOOSE($W403,"Collection Email","1st Follow-up","2nd Follow-up","Local Office","CBE","Roxanne")&amp;IF($W403=6," - Final"," - Day "&amp;MAX(0,NETWORKDAYS($X403,TODAY(),Holidays)-1)&amp;" of "&amp;CHOOSE($W403,3,3,2,2,3))&amp;" | Total Day "&amp;MAX(0,NETWORKDAYS($L403,TODAY(),Holidays)-1))</f>
        <v/>
      </c>
      <c r="W403" s="17">
        <f>IF($L403="","",COUNT($L403:$Q403))</f>
        <v/>
      </c>
      <c r="X403" s="18">
        <f>IF($W403="","",INT(INDEX($L403:$Q403,$W403)))</f>
        <v/>
      </c>
      <c r="Y403" s="18">
        <f>IF(OR($W403="",$W403=6),"",WORKDAY($X403,CHOOSE($W403,3,3,2,2,3),Holidays))</f>
        <v/>
      </c>
      <c r="Z403" s="17">
        <f>IF(OR($W403="",$W403=6),"",CHOOSE($W403,"1st Email Follow-up","2nd Email Follow-up","Escalate Local Office","Escalate to CBE","Escalate to Roxanne"))</f>
        <v/>
      </c>
    </row>
    <row r="404" spans="18:26">
      <c r="R404" s="15"/>
      <c r="S404" s="16"/>
      <c r="T404" s="17">
        <f>IF(AND(COUNTA($A404:$K404)=0,$L404=""),"",IF($S404="Paid","PAID",IF($S404="Closed","CLOSED",IF($W404="","",IF($W404=6,"ESCALATED TO ROXANNE",IF(TODAY()&gt;$Y404,"OVERDUE",IF($Y404&lt;=WORKDAY(TODAY(),1,Holidays),"DUE TOMORROW",IF($W404=4,"ESCALATED TO LOCAL OFFICE",IF($W404=5,"ESCALATED TO CBE",IF($X404=TODAY(),"EMAIL SENT","MONITORING"))))))))))</f>
        <v/>
      </c>
      <c r="U404" s="17">
        <f>IF($T404="",IF(AND(COUNTA($A404:$K404)&gt;0,$L404=""),"Awaiting Collection Email time stamp.",""),IF(OR($T404="PAID",$T404="CLOSED"),IF($T404="PAID","Account paid. Action completed.","Account closed. No further action required."),CHOOSE($W404,"Collection Email","1st Email Follow-up","2nd Email Follow-up","Escalation to Local Office","Escalation to CBE","Escalation to Roxanne")&amp;" sent "&amp;TEXT($X404,"dd-mmm")&amp;". "&amp;IF($W404=6,"Final escalation completed.",IF($T404="OVERDUE","Next: "&amp;$Z404&amp;" was due "&amp;TEXT($Y404,"dd-mmm")&amp;" - "&amp;(NETWORKDAYS($Y404,TODAY(),Holidays)-1)&amp;" business day(s) late. Send now.",IF($T404="DUE TOMORROW","Next: "&amp;$Z404&amp;IF($Y404&lt;=TODAY()," is due TODAY ("," is due next business day (")&amp;TEXT($Y404,"dd-mmm")&amp;").","Next: "&amp;$Z404&amp;" due "&amp;TEXT($Y404,"dd-mmm")&amp;" ("&amp;(NETWORKDAYS(TODAY(),$Y404,Holidays)-1)&amp;" business day(s) left).")))))</f>
        <v/>
      </c>
      <c r="V404" s="17">
        <f>IF($W404="","",CHOOSE($W404,"Collection Email","1st Follow-up","2nd Follow-up","Local Office","CBE","Roxanne")&amp;IF($W404=6," - Final"," - Day "&amp;MAX(0,NETWORKDAYS($X404,TODAY(),Holidays)-1)&amp;" of "&amp;CHOOSE($W404,3,3,2,2,3))&amp;" | Total Day "&amp;MAX(0,NETWORKDAYS($L404,TODAY(),Holidays)-1))</f>
        <v/>
      </c>
      <c r="W404" s="17">
        <f>IF($L404="","",COUNT($L404:$Q404))</f>
        <v/>
      </c>
      <c r="X404" s="18">
        <f>IF($W404="","",INT(INDEX($L404:$Q404,$W404)))</f>
        <v/>
      </c>
      <c r="Y404" s="18">
        <f>IF(OR($W404="",$W404=6),"",WORKDAY($X404,CHOOSE($W404,3,3,2,2,3),Holidays))</f>
        <v/>
      </c>
      <c r="Z404" s="17">
        <f>IF(OR($W404="",$W404=6),"",CHOOSE($W404,"1st Email Follow-up","2nd Email Follow-up","Escalate Local Office","Escalate to CBE","Escalate to Roxanne"))</f>
        <v/>
      </c>
    </row>
    <row r="405" spans="18:26">
      <c r="R405" s="15"/>
      <c r="S405" s="16"/>
      <c r="T405" s="17">
        <f>IF(AND(COUNTA($A405:$K405)=0,$L405=""),"",IF($S405="Paid","PAID",IF($S405="Closed","CLOSED",IF($W405="","",IF($W405=6,"ESCALATED TO ROXANNE",IF(TODAY()&gt;$Y405,"OVERDUE",IF($Y405&lt;=WORKDAY(TODAY(),1,Holidays),"DUE TOMORROW",IF($W405=4,"ESCALATED TO LOCAL OFFICE",IF($W405=5,"ESCALATED TO CBE",IF($X405=TODAY(),"EMAIL SENT","MONITORING"))))))))))</f>
        <v/>
      </c>
      <c r="U405" s="17">
        <f>IF($T405="",IF(AND(COUNTA($A405:$K405)&gt;0,$L405=""),"Awaiting Collection Email time stamp.",""),IF(OR($T405="PAID",$T405="CLOSED"),IF($T405="PAID","Account paid. Action completed.","Account closed. No further action required."),CHOOSE($W405,"Collection Email","1st Email Follow-up","2nd Email Follow-up","Escalation to Local Office","Escalation to CBE","Escalation to Roxanne")&amp;" sent "&amp;TEXT($X405,"dd-mmm")&amp;". "&amp;IF($W405=6,"Final escalation completed.",IF($T405="OVERDUE","Next: "&amp;$Z405&amp;" was due "&amp;TEXT($Y405,"dd-mmm")&amp;" - "&amp;(NETWORKDAYS($Y405,TODAY(),Holidays)-1)&amp;" business day(s) late. Send now.",IF($T405="DUE TOMORROW","Next: "&amp;$Z405&amp;IF($Y405&lt;=TODAY()," is due TODAY ("," is due next business day (")&amp;TEXT($Y405,"dd-mmm")&amp;").","Next: "&amp;$Z405&amp;" due "&amp;TEXT($Y405,"dd-mmm")&amp;" ("&amp;(NETWORKDAYS(TODAY(),$Y405,Holidays)-1)&amp;" business day(s) left).")))))</f>
        <v/>
      </c>
      <c r="V405" s="17">
        <f>IF($W405="","",CHOOSE($W405,"Collection Email","1st Follow-up","2nd Follow-up","Local Office","CBE","Roxanne")&amp;IF($W405=6," - Final"," - Day "&amp;MAX(0,NETWORKDAYS($X405,TODAY(),Holidays)-1)&amp;" of "&amp;CHOOSE($W405,3,3,2,2,3))&amp;" | Total Day "&amp;MAX(0,NETWORKDAYS($L405,TODAY(),Holidays)-1))</f>
        <v/>
      </c>
      <c r="W405" s="17">
        <f>IF($L405="","",COUNT($L405:$Q405))</f>
        <v/>
      </c>
      <c r="X405" s="18">
        <f>IF($W405="","",INT(INDEX($L405:$Q405,$W405)))</f>
        <v/>
      </c>
      <c r="Y405" s="18">
        <f>IF(OR($W405="",$W405=6),"",WORKDAY($X405,CHOOSE($W405,3,3,2,2,3),Holidays))</f>
        <v/>
      </c>
      <c r="Z405" s="17">
        <f>IF(OR($W405="",$W405=6),"",CHOOSE($W405,"1st Email Follow-up","2nd Email Follow-up","Escalate Local Office","Escalate to CBE","Escalate to Roxanne"))</f>
        <v/>
      </c>
    </row>
    <row r="406" spans="18:26">
      <c r="R406" s="15"/>
      <c r="S406" s="16"/>
      <c r="T406" s="17">
        <f>IF(AND(COUNTA($A406:$K406)=0,$L406=""),"",IF($S406="Paid","PAID",IF($S406="Closed","CLOSED",IF($W406="","",IF($W406=6,"ESCALATED TO ROXANNE",IF(TODAY()&gt;$Y406,"OVERDUE",IF($Y406&lt;=WORKDAY(TODAY(),1,Holidays),"DUE TOMORROW",IF($W406=4,"ESCALATED TO LOCAL OFFICE",IF($W406=5,"ESCALATED TO CBE",IF($X406=TODAY(),"EMAIL SENT","MONITORING"))))))))))</f>
        <v/>
      </c>
      <c r="U406" s="17">
        <f>IF($T406="",IF(AND(COUNTA($A406:$K406)&gt;0,$L406=""),"Awaiting Collection Email time stamp.",""),IF(OR($T406="PAID",$T406="CLOSED"),IF($T406="PAID","Account paid. Action completed.","Account closed. No further action required."),CHOOSE($W406,"Collection Email","1st Email Follow-up","2nd Email Follow-up","Escalation to Local Office","Escalation to CBE","Escalation to Roxanne")&amp;" sent "&amp;TEXT($X406,"dd-mmm")&amp;". "&amp;IF($W406=6,"Final escalation completed.",IF($T406="OVERDUE","Next: "&amp;$Z406&amp;" was due "&amp;TEXT($Y406,"dd-mmm")&amp;" - "&amp;(NETWORKDAYS($Y406,TODAY(),Holidays)-1)&amp;" business day(s) late. Send now.",IF($T406="DUE TOMORROW","Next: "&amp;$Z406&amp;IF($Y406&lt;=TODAY()," is due TODAY ("," is due next business day (")&amp;TEXT($Y406,"dd-mmm")&amp;").","Next: "&amp;$Z406&amp;" due "&amp;TEXT($Y406,"dd-mmm")&amp;" ("&amp;(NETWORKDAYS(TODAY(),$Y406,Holidays)-1)&amp;" business day(s) left).")))))</f>
        <v/>
      </c>
      <c r="V406" s="17">
        <f>IF($W406="","",CHOOSE($W406,"Collection Email","1st Follow-up","2nd Follow-up","Local Office","CBE","Roxanne")&amp;IF($W406=6," - Final"," - Day "&amp;MAX(0,NETWORKDAYS($X406,TODAY(),Holidays)-1)&amp;" of "&amp;CHOOSE($W406,3,3,2,2,3))&amp;" | Total Day "&amp;MAX(0,NETWORKDAYS($L406,TODAY(),Holidays)-1))</f>
        <v/>
      </c>
      <c r="W406" s="17">
        <f>IF($L406="","",COUNT($L406:$Q406))</f>
        <v/>
      </c>
      <c r="X406" s="18">
        <f>IF($W406="","",INT(INDEX($L406:$Q406,$W406)))</f>
        <v/>
      </c>
      <c r="Y406" s="18">
        <f>IF(OR($W406="",$W406=6),"",WORKDAY($X406,CHOOSE($W406,3,3,2,2,3),Holidays))</f>
        <v/>
      </c>
      <c r="Z406" s="17">
        <f>IF(OR($W406="",$W406=6),"",CHOOSE($W406,"1st Email Follow-up","2nd Email Follow-up","Escalate Local Office","Escalate to CBE","Escalate to Roxanne"))</f>
        <v/>
      </c>
    </row>
    <row r="407" spans="18:26">
      <c r="R407" s="15"/>
      <c r="S407" s="16"/>
      <c r="T407" s="17">
        <f>IF(AND(COUNTA($A407:$K407)=0,$L407=""),"",IF($S407="Paid","PAID",IF($S407="Closed","CLOSED",IF($W407="","",IF($W407=6,"ESCALATED TO ROXANNE",IF(TODAY()&gt;$Y407,"OVERDUE",IF($Y407&lt;=WORKDAY(TODAY(),1,Holidays),"DUE TOMORROW",IF($W407=4,"ESCALATED TO LOCAL OFFICE",IF($W407=5,"ESCALATED TO CBE",IF($X407=TODAY(),"EMAIL SENT","MONITORING"))))))))))</f>
        <v/>
      </c>
      <c r="U407" s="17">
        <f>IF($T407="",IF(AND(COUNTA($A407:$K407)&gt;0,$L407=""),"Awaiting Collection Email time stamp.",""),IF(OR($T407="PAID",$T407="CLOSED"),IF($T407="PAID","Account paid. Action completed.","Account closed. No further action required."),CHOOSE($W407,"Collection Email","1st Email Follow-up","2nd Email Follow-up","Escalation to Local Office","Escalation to CBE","Escalation to Roxanne")&amp;" sent "&amp;TEXT($X407,"dd-mmm")&amp;". "&amp;IF($W407=6,"Final escalation completed.",IF($T407="OVERDUE","Next: "&amp;$Z407&amp;" was due "&amp;TEXT($Y407,"dd-mmm")&amp;" - "&amp;(NETWORKDAYS($Y407,TODAY(),Holidays)-1)&amp;" business day(s) late. Send now.",IF($T407="DUE TOMORROW","Next: "&amp;$Z407&amp;IF($Y407&lt;=TODAY()," is due TODAY ("," is due next business day (")&amp;TEXT($Y407,"dd-mmm")&amp;").","Next: "&amp;$Z407&amp;" due "&amp;TEXT($Y407,"dd-mmm")&amp;" ("&amp;(NETWORKDAYS(TODAY(),$Y407,Holidays)-1)&amp;" business day(s) left).")))))</f>
        <v/>
      </c>
      <c r="V407" s="17">
        <f>IF($W407="","",CHOOSE($W407,"Collection Email","1st Follow-up","2nd Follow-up","Local Office","CBE","Roxanne")&amp;IF($W407=6," - Final"," - Day "&amp;MAX(0,NETWORKDAYS($X407,TODAY(),Holidays)-1)&amp;" of "&amp;CHOOSE($W407,3,3,2,2,3))&amp;" | Total Day "&amp;MAX(0,NETWORKDAYS($L407,TODAY(),Holidays)-1))</f>
        <v/>
      </c>
      <c r="W407" s="17">
        <f>IF($L407="","",COUNT($L407:$Q407))</f>
        <v/>
      </c>
      <c r="X407" s="18">
        <f>IF($W407="","",INT(INDEX($L407:$Q407,$W407)))</f>
        <v/>
      </c>
      <c r="Y407" s="18">
        <f>IF(OR($W407="",$W407=6),"",WORKDAY($X407,CHOOSE($W407,3,3,2,2,3),Holidays))</f>
        <v/>
      </c>
      <c r="Z407" s="17">
        <f>IF(OR($W407="",$W407=6),"",CHOOSE($W407,"1st Email Follow-up","2nd Email Follow-up","Escalate Local Office","Escalate to CBE","Escalate to Roxanne"))</f>
        <v/>
      </c>
    </row>
    <row r="408" spans="18:26">
      <c r="R408" s="15"/>
      <c r="S408" s="16"/>
      <c r="T408" s="17">
        <f>IF(AND(COUNTA($A408:$K408)=0,$L408=""),"",IF($S408="Paid","PAID",IF($S408="Closed","CLOSED",IF($W408="","",IF($W408=6,"ESCALATED TO ROXANNE",IF(TODAY()&gt;$Y408,"OVERDUE",IF($Y408&lt;=WORKDAY(TODAY(),1,Holidays),"DUE TOMORROW",IF($W408=4,"ESCALATED TO LOCAL OFFICE",IF($W408=5,"ESCALATED TO CBE",IF($X408=TODAY(),"EMAIL SENT","MONITORING"))))))))))</f>
        <v/>
      </c>
      <c r="U408" s="17">
        <f>IF($T408="",IF(AND(COUNTA($A408:$K408)&gt;0,$L408=""),"Awaiting Collection Email time stamp.",""),IF(OR($T408="PAID",$T408="CLOSED"),IF($T408="PAID","Account paid. Action completed.","Account closed. No further action required."),CHOOSE($W408,"Collection Email","1st Email Follow-up","2nd Email Follow-up","Escalation to Local Office","Escalation to CBE","Escalation to Roxanne")&amp;" sent "&amp;TEXT($X408,"dd-mmm")&amp;". "&amp;IF($W408=6,"Final escalation completed.",IF($T408="OVERDUE","Next: "&amp;$Z408&amp;" was due "&amp;TEXT($Y408,"dd-mmm")&amp;" - "&amp;(NETWORKDAYS($Y408,TODAY(),Holidays)-1)&amp;" business day(s) late. Send now.",IF($T408="DUE TOMORROW","Next: "&amp;$Z408&amp;IF($Y408&lt;=TODAY()," is due TODAY ("," is due next business day (")&amp;TEXT($Y408,"dd-mmm")&amp;").","Next: "&amp;$Z408&amp;" due "&amp;TEXT($Y408,"dd-mmm")&amp;" ("&amp;(NETWORKDAYS(TODAY(),$Y408,Holidays)-1)&amp;" business day(s) left).")))))</f>
        <v/>
      </c>
      <c r="V408" s="17">
        <f>IF($W408="","",CHOOSE($W408,"Collection Email","1st Follow-up","2nd Follow-up","Local Office","CBE","Roxanne")&amp;IF($W408=6," - Final"," - Day "&amp;MAX(0,NETWORKDAYS($X408,TODAY(),Holidays)-1)&amp;" of "&amp;CHOOSE($W408,3,3,2,2,3))&amp;" | Total Day "&amp;MAX(0,NETWORKDAYS($L408,TODAY(),Holidays)-1))</f>
        <v/>
      </c>
      <c r="W408" s="17">
        <f>IF($L408="","",COUNT($L408:$Q408))</f>
        <v/>
      </c>
      <c r="X408" s="18">
        <f>IF($W408="","",INT(INDEX($L408:$Q408,$W408)))</f>
        <v/>
      </c>
      <c r="Y408" s="18">
        <f>IF(OR($W408="",$W408=6),"",WORKDAY($X408,CHOOSE($W408,3,3,2,2,3),Holidays))</f>
        <v/>
      </c>
      <c r="Z408" s="17">
        <f>IF(OR($W408="",$W408=6),"",CHOOSE($W408,"1st Email Follow-up","2nd Email Follow-up","Escalate Local Office","Escalate to CBE","Escalate to Roxanne"))</f>
        <v/>
      </c>
    </row>
    <row r="409" spans="18:26">
      <c r="R409" s="15"/>
      <c r="S409" s="16"/>
      <c r="T409" s="17">
        <f>IF(AND(COUNTA($A409:$K409)=0,$L409=""),"",IF($S409="Paid","PAID",IF($S409="Closed","CLOSED",IF($W409="","",IF($W409=6,"ESCALATED TO ROXANNE",IF(TODAY()&gt;$Y409,"OVERDUE",IF($Y409&lt;=WORKDAY(TODAY(),1,Holidays),"DUE TOMORROW",IF($W409=4,"ESCALATED TO LOCAL OFFICE",IF($W409=5,"ESCALATED TO CBE",IF($X409=TODAY(),"EMAIL SENT","MONITORING"))))))))))</f>
        <v/>
      </c>
      <c r="U409" s="17">
        <f>IF($T409="",IF(AND(COUNTA($A409:$K409)&gt;0,$L409=""),"Awaiting Collection Email time stamp.",""),IF(OR($T409="PAID",$T409="CLOSED"),IF($T409="PAID","Account paid. Action completed.","Account closed. No further action required."),CHOOSE($W409,"Collection Email","1st Email Follow-up","2nd Email Follow-up","Escalation to Local Office","Escalation to CBE","Escalation to Roxanne")&amp;" sent "&amp;TEXT($X409,"dd-mmm")&amp;". "&amp;IF($W409=6,"Final escalation completed.",IF($T409="OVERDUE","Next: "&amp;$Z409&amp;" was due "&amp;TEXT($Y409,"dd-mmm")&amp;" - "&amp;(NETWORKDAYS($Y409,TODAY(),Holidays)-1)&amp;" business day(s) late. Send now.",IF($T409="DUE TOMORROW","Next: "&amp;$Z409&amp;IF($Y409&lt;=TODAY()," is due TODAY ("," is due next business day (")&amp;TEXT($Y409,"dd-mmm")&amp;").","Next: "&amp;$Z409&amp;" due "&amp;TEXT($Y409,"dd-mmm")&amp;" ("&amp;(NETWORKDAYS(TODAY(),$Y409,Holidays)-1)&amp;" business day(s) left).")))))</f>
        <v/>
      </c>
      <c r="V409" s="17">
        <f>IF($W409="","",CHOOSE($W409,"Collection Email","1st Follow-up","2nd Follow-up","Local Office","CBE","Roxanne")&amp;IF($W409=6," - Final"," - Day "&amp;MAX(0,NETWORKDAYS($X409,TODAY(),Holidays)-1)&amp;" of "&amp;CHOOSE($W409,3,3,2,2,3))&amp;" | Total Day "&amp;MAX(0,NETWORKDAYS($L409,TODAY(),Holidays)-1))</f>
        <v/>
      </c>
      <c r="W409" s="17">
        <f>IF($L409="","",COUNT($L409:$Q409))</f>
        <v/>
      </c>
      <c r="X409" s="18">
        <f>IF($W409="","",INT(INDEX($L409:$Q409,$W409)))</f>
        <v/>
      </c>
      <c r="Y409" s="18">
        <f>IF(OR($W409="",$W409=6),"",WORKDAY($X409,CHOOSE($W409,3,3,2,2,3),Holidays))</f>
        <v/>
      </c>
      <c r="Z409" s="17">
        <f>IF(OR($W409="",$W409=6),"",CHOOSE($W409,"1st Email Follow-up","2nd Email Follow-up","Escalate Local Office","Escalate to CBE","Escalate to Roxanne"))</f>
        <v/>
      </c>
    </row>
    <row r="410" spans="18:26">
      <c r="R410" s="15"/>
      <c r="S410" s="16"/>
      <c r="T410" s="17">
        <f>IF(AND(COUNTA($A410:$K410)=0,$L410=""),"",IF($S410="Paid","PAID",IF($S410="Closed","CLOSED",IF($W410="","",IF($W410=6,"ESCALATED TO ROXANNE",IF(TODAY()&gt;$Y410,"OVERDUE",IF($Y410&lt;=WORKDAY(TODAY(),1,Holidays),"DUE TOMORROW",IF($W410=4,"ESCALATED TO LOCAL OFFICE",IF($W410=5,"ESCALATED TO CBE",IF($X410=TODAY(),"EMAIL SENT","MONITORING"))))))))))</f>
        <v/>
      </c>
      <c r="U410" s="17">
        <f>IF($T410="",IF(AND(COUNTA($A410:$K410)&gt;0,$L410=""),"Awaiting Collection Email time stamp.",""),IF(OR($T410="PAID",$T410="CLOSED"),IF($T410="PAID","Account paid. Action completed.","Account closed. No further action required."),CHOOSE($W410,"Collection Email","1st Email Follow-up","2nd Email Follow-up","Escalation to Local Office","Escalation to CBE","Escalation to Roxanne")&amp;" sent "&amp;TEXT($X410,"dd-mmm")&amp;". "&amp;IF($W410=6,"Final escalation completed.",IF($T410="OVERDUE","Next: "&amp;$Z410&amp;" was due "&amp;TEXT($Y410,"dd-mmm")&amp;" - "&amp;(NETWORKDAYS($Y410,TODAY(),Holidays)-1)&amp;" business day(s) late. Send now.",IF($T410="DUE TOMORROW","Next: "&amp;$Z410&amp;IF($Y410&lt;=TODAY()," is due TODAY ("," is due next business day (")&amp;TEXT($Y410,"dd-mmm")&amp;").","Next: "&amp;$Z410&amp;" due "&amp;TEXT($Y410,"dd-mmm")&amp;" ("&amp;(NETWORKDAYS(TODAY(),$Y410,Holidays)-1)&amp;" business day(s) left).")))))</f>
        <v/>
      </c>
      <c r="V410" s="17">
        <f>IF($W410="","",CHOOSE($W410,"Collection Email","1st Follow-up","2nd Follow-up","Local Office","CBE","Roxanne")&amp;IF($W410=6," - Final"," - Day "&amp;MAX(0,NETWORKDAYS($X410,TODAY(),Holidays)-1)&amp;" of "&amp;CHOOSE($W410,3,3,2,2,3))&amp;" | Total Day "&amp;MAX(0,NETWORKDAYS($L410,TODAY(),Holidays)-1))</f>
        <v/>
      </c>
      <c r="W410" s="17">
        <f>IF($L410="","",COUNT($L410:$Q410))</f>
        <v/>
      </c>
      <c r="X410" s="18">
        <f>IF($W410="","",INT(INDEX($L410:$Q410,$W410)))</f>
        <v/>
      </c>
      <c r="Y410" s="18">
        <f>IF(OR($W410="",$W410=6),"",WORKDAY($X410,CHOOSE($W410,3,3,2,2,3),Holidays))</f>
        <v/>
      </c>
      <c r="Z410" s="17">
        <f>IF(OR($W410="",$W410=6),"",CHOOSE($W410,"1st Email Follow-up","2nd Email Follow-up","Escalate Local Office","Escalate to CBE","Escalate to Roxanne"))</f>
        <v/>
      </c>
    </row>
    <row r="411" spans="18:26">
      <c r="R411" s="15"/>
      <c r="S411" s="16"/>
      <c r="T411" s="17">
        <f>IF(AND(COUNTA($A411:$K411)=0,$L411=""),"",IF($S411="Paid","PAID",IF($S411="Closed","CLOSED",IF($W411="","",IF($W411=6,"ESCALATED TO ROXANNE",IF(TODAY()&gt;$Y411,"OVERDUE",IF($Y411&lt;=WORKDAY(TODAY(),1,Holidays),"DUE TOMORROW",IF($W411=4,"ESCALATED TO LOCAL OFFICE",IF($W411=5,"ESCALATED TO CBE",IF($X411=TODAY(),"EMAIL SENT","MONITORING"))))))))))</f>
        <v/>
      </c>
      <c r="U411" s="17">
        <f>IF($T411="",IF(AND(COUNTA($A411:$K411)&gt;0,$L411=""),"Awaiting Collection Email time stamp.",""),IF(OR($T411="PAID",$T411="CLOSED"),IF($T411="PAID","Account paid. Action completed.","Account closed. No further action required."),CHOOSE($W411,"Collection Email","1st Email Follow-up","2nd Email Follow-up","Escalation to Local Office","Escalation to CBE","Escalation to Roxanne")&amp;" sent "&amp;TEXT($X411,"dd-mmm")&amp;". "&amp;IF($W411=6,"Final escalation completed.",IF($T411="OVERDUE","Next: "&amp;$Z411&amp;" was due "&amp;TEXT($Y411,"dd-mmm")&amp;" - "&amp;(NETWORKDAYS($Y411,TODAY(),Holidays)-1)&amp;" business day(s) late. Send now.",IF($T411="DUE TOMORROW","Next: "&amp;$Z411&amp;IF($Y411&lt;=TODAY()," is due TODAY ("," is due next business day (")&amp;TEXT($Y411,"dd-mmm")&amp;").","Next: "&amp;$Z411&amp;" due "&amp;TEXT($Y411,"dd-mmm")&amp;" ("&amp;(NETWORKDAYS(TODAY(),$Y411,Holidays)-1)&amp;" business day(s) left).")))))</f>
        <v/>
      </c>
      <c r="V411" s="17">
        <f>IF($W411="","",CHOOSE($W411,"Collection Email","1st Follow-up","2nd Follow-up","Local Office","CBE","Roxanne")&amp;IF($W411=6," - Final"," - Day "&amp;MAX(0,NETWORKDAYS($X411,TODAY(),Holidays)-1)&amp;" of "&amp;CHOOSE($W411,3,3,2,2,3))&amp;" | Total Day "&amp;MAX(0,NETWORKDAYS($L411,TODAY(),Holidays)-1))</f>
        <v/>
      </c>
      <c r="W411" s="17">
        <f>IF($L411="","",COUNT($L411:$Q411))</f>
        <v/>
      </c>
      <c r="X411" s="18">
        <f>IF($W411="","",INT(INDEX($L411:$Q411,$W411)))</f>
        <v/>
      </c>
      <c r="Y411" s="18">
        <f>IF(OR($W411="",$W411=6),"",WORKDAY($X411,CHOOSE($W411,3,3,2,2,3),Holidays))</f>
        <v/>
      </c>
      <c r="Z411" s="17">
        <f>IF(OR($W411="",$W411=6),"",CHOOSE($W411,"1st Email Follow-up","2nd Email Follow-up","Escalate Local Office","Escalate to CBE","Escalate to Roxanne"))</f>
        <v/>
      </c>
    </row>
    <row r="412" spans="18:26">
      <c r="R412" s="15"/>
      <c r="S412" s="16"/>
      <c r="T412" s="17">
        <f>IF(AND(COUNTA($A412:$K412)=0,$L412=""),"",IF($S412="Paid","PAID",IF($S412="Closed","CLOSED",IF($W412="","",IF($W412=6,"ESCALATED TO ROXANNE",IF(TODAY()&gt;$Y412,"OVERDUE",IF($Y412&lt;=WORKDAY(TODAY(),1,Holidays),"DUE TOMORROW",IF($W412=4,"ESCALATED TO LOCAL OFFICE",IF($W412=5,"ESCALATED TO CBE",IF($X412=TODAY(),"EMAIL SENT","MONITORING"))))))))))</f>
        <v/>
      </c>
      <c r="U412" s="17">
        <f>IF($T412="",IF(AND(COUNTA($A412:$K412)&gt;0,$L412=""),"Awaiting Collection Email time stamp.",""),IF(OR($T412="PAID",$T412="CLOSED"),IF($T412="PAID","Account paid. Action completed.","Account closed. No further action required."),CHOOSE($W412,"Collection Email","1st Email Follow-up","2nd Email Follow-up","Escalation to Local Office","Escalation to CBE","Escalation to Roxanne")&amp;" sent "&amp;TEXT($X412,"dd-mmm")&amp;". "&amp;IF($W412=6,"Final escalation completed.",IF($T412="OVERDUE","Next: "&amp;$Z412&amp;" was due "&amp;TEXT($Y412,"dd-mmm")&amp;" - "&amp;(NETWORKDAYS($Y412,TODAY(),Holidays)-1)&amp;" business day(s) late. Send now.",IF($T412="DUE TOMORROW","Next: "&amp;$Z412&amp;IF($Y412&lt;=TODAY()," is due TODAY ("," is due next business day (")&amp;TEXT($Y412,"dd-mmm")&amp;").","Next: "&amp;$Z412&amp;" due "&amp;TEXT($Y412,"dd-mmm")&amp;" ("&amp;(NETWORKDAYS(TODAY(),$Y412,Holidays)-1)&amp;" business day(s) left).")))))</f>
        <v/>
      </c>
      <c r="V412" s="17">
        <f>IF($W412="","",CHOOSE($W412,"Collection Email","1st Follow-up","2nd Follow-up","Local Office","CBE","Roxanne")&amp;IF($W412=6," - Final"," - Day "&amp;MAX(0,NETWORKDAYS($X412,TODAY(),Holidays)-1)&amp;" of "&amp;CHOOSE($W412,3,3,2,2,3))&amp;" | Total Day "&amp;MAX(0,NETWORKDAYS($L412,TODAY(),Holidays)-1))</f>
        <v/>
      </c>
      <c r="W412" s="17">
        <f>IF($L412="","",COUNT($L412:$Q412))</f>
        <v/>
      </c>
      <c r="X412" s="18">
        <f>IF($W412="","",INT(INDEX($L412:$Q412,$W412)))</f>
        <v/>
      </c>
      <c r="Y412" s="18">
        <f>IF(OR($W412="",$W412=6),"",WORKDAY($X412,CHOOSE($W412,3,3,2,2,3),Holidays))</f>
        <v/>
      </c>
      <c r="Z412" s="17">
        <f>IF(OR($W412="",$W412=6),"",CHOOSE($W412,"1st Email Follow-up","2nd Email Follow-up","Escalate Local Office","Escalate to CBE","Escalate to Roxanne"))</f>
        <v/>
      </c>
    </row>
    <row r="413" spans="18:26">
      <c r="R413" s="15"/>
      <c r="S413" s="16"/>
      <c r="T413" s="17">
        <f>IF(AND(COUNTA($A413:$K413)=0,$L413=""),"",IF($S413="Paid","PAID",IF($S413="Closed","CLOSED",IF($W413="","",IF($W413=6,"ESCALATED TO ROXANNE",IF(TODAY()&gt;$Y413,"OVERDUE",IF($Y413&lt;=WORKDAY(TODAY(),1,Holidays),"DUE TOMORROW",IF($W413=4,"ESCALATED TO LOCAL OFFICE",IF($W413=5,"ESCALATED TO CBE",IF($X413=TODAY(),"EMAIL SENT","MONITORING"))))))))))</f>
        <v/>
      </c>
      <c r="U413" s="17">
        <f>IF($T413="",IF(AND(COUNTA($A413:$K413)&gt;0,$L413=""),"Awaiting Collection Email time stamp.",""),IF(OR($T413="PAID",$T413="CLOSED"),IF($T413="PAID","Account paid. Action completed.","Account closed. No further action required."),CHOOSE($W413,"Collection Email","1st Email Follow-up","2nd Email Follow-up","Escalation to Local Office","Escalation to CBE","Escalation to Roxanne")&amp;" sent "&amp;TEXT($X413,"dd-mmm")&amp;". "&amp;IF($W413=6,"Final escalation completed.",IF($T413="OVERDUE","Next: "&amp;$Z413&amp;" was due "&amp;TEXT($Y413,"dd-mmm")&amp;" - "&amp;(NETWORKDAYS($Y413,TODAY(),Holidays)-1)&amp;" business day(s) late. Send now.",IF($T413="DUE TOMORROW","Next: "&amp;$Z413&amp;IF($Y413&lt;=TODAY()," is due TODAY ("," is due next business day (")&amp;TEXT($Y413,"dd-mmm")&amp;").","Next: "&amp;$Z413&amp;" due "&amp;TEXT($Y413,"dd-mmm")&amp;" ("&amp;(NETWORKDAYS(TODAY(),$Y413,Holidays)-1)&amp;" business day(s) left).")))))</f>
        <v/>
      </c>
      <c r="V413" s="17">
        <f>IF($W413="","",CHOOSE($W413,"Collection Email","1st Follow-up","2nd Follow-up","Local Office","CBE","Roxanne")&amp;IF($W413=6," - Final"," - Day "&amp;MAX(0,NETWORKDAYS($X413,TODAY(),Holidays)-1)&amp;" of "&amp;CHOOSE($W413,3,3,2,2,3))&amp;" | Total Day "&amp;MAX(0,NETWORKDAYS($L413,TODAY(),Holidays)-1))</f>
        <v/>
      </c>
      <c r="W413" s="17">
        <f>IF($L413="","",COUNT($L413:$Q413))</f>
        <v/>
      </c>
      <c r="X413" s="18">
        <f>IF($W413="","",INT(INDEX($L413:$Q413,$W413)))</f>
        <v/>
      </c>
      <c r="Y413" s="18">
        <f>IF(OR($W413="",$W413=6),"",WORKDAY($X413,CHOOSE($W413,3,3,2,2,3),Holidays))</f>
        <v/>
      </c>
      <c r="Z413" s="17">
        <f>IF(OR($W413="",$W413=6),"",CHOOSE($W413,"1st Email Follow-up","2nd Email Follow-up","Escalate Local Office","Escalate to CBE","Escalate to Roxanne"))</f>
        <v/>
      </c>
    </row>
    <row r="414" spans="18:26">
      <c r="R414" s="15"/>
      <c r="S414" s="16"/>
      <c r="T414" s="17">
        <f>IF(AND(COUNTA($A414:$K414)=0,$L414=""),"",IF($S414="Paid","PAID",IF($S414="Closed","CLOSED",IF($W414="","",IF($W414=6,"ESCALATED TO ROXANNE",IF(TODAY()&gt;$Y414,"OVERDUE",IF($Y414&lt;=WORKDAY(TODAY(),1,Holidays),"DUE TOMORROW",IF($W414=4,"ESCALATED TO LOCAL OFFICE",IF($W414=5,"ESCALATED TO CBE",IF($X414=TODAY(),"EMAIL SENT","MONITORING"))))))))))</f>
        <v/>
      </c>
      <c r="U414" s="17">
        <f>IF($T414="",IF(AND(COUNTA($A414:$K414)&gt;0,$L414=""),"Awaiting Collection Email time stamp.",""),IF(OR($T414="PAID",$T414="CLOSED"),IF($T414="PAID","Account paid. Action completed.","Account closed. No further action required."),CHOOSE($W414,"Collection Email","1st Email Follow-up","2nd Email Follow-up","Escalation to Local Office","Escalation to CBE","Escalation to Roxanne")&amp;" sent "&amp;TEXT($X414,"dd-mmm")&amp;". "&amp;IF($W414=6,"Final escalation completed.",IF($T414="OVERDUE","Next: "&amp;$Z414&amp;" was due "&amp;TEXT($Y414,"dd-mmm")&amp;" - "&amp;(NETWORKDAYS($Y414,TODAY(),Holidays)-1)&amp;" business day(s) late. Send now.",IF($T414="DUE TOMORROW","Next: "&amp;$Z414&amp;IF($Y414&lt;=TODAY()," is due TODAY ("," is due next business day (")&amp;TEXT($Y414,"dd-mmm")&amp;").","Next: "&amp;$Z414&amp;" due "&amp;TEXT($Y414,"dd-mmm")&amp;" ("&amp;(NETWORKDAYS(TODAY(),$Y414,Holidays)-1)&amp;" business day(s) left).")))))</f>
        <v/>
      </c>
      <c r="V414" s="17">
        <f>IF($W414="","",CHOOSE($W414,"Collection Email","1st Follow-up","2nd Follow-up","Local Office","CBE","Roxanne")&amp;IF($W414=6," - Final"," - Day "&amp;MAX(0,NETWORKDAYS($X414,TODAY(),Holidays)-1)&amp;" of "&amp;CHOOSE($W414,3,3,2,2,3))&amp;" | Total Day "&amp;MAX(0,NETWORKDAYS($L414,TODAY(),Holidays)-1))</f>
        <v/>
      </c>
      <c r="W414" s="17">
        <f>IF($L414="","",COUNT($L414:$Q414))</f>
        <v/>
      </c>
      <c r="X414" s="18">
        <f>IF($W414="","",INT(INDEX($L414:$Q414,$W414)))</f>
        <v/>
      </c>
      <c r="Y414" s="18">
        <f>IF(OR($W414="",$W414=6),"",WORKDAY($X414,CHOOSE($W414,3,3,2,2,3),Holidays))</f>
        <v/>
      </c>
      <c r="Z414" s="17">
        <f>IF(OR($W414="",$W414=6),"",CHOOSE($W414,"1st Email Follow-up","2nd Email Follow-up","Escalate Local Office","Escalate to CBE","Escalate to Roxanne"))</f>
        <v/>
      </c>
    </row>
    <row r="415" spans="18:26">
      <c r="R415" s="15"/>
      <c r="S415" s="16"/>
      <c r="T415" s="17">
        <f>IF(AND(COUNTA($A415:$K415)=0,$L415=""),"",IF($S415="Paid","PAID",IF($S415="Closed","CLOSED",IF($W415="","",IF($W415=6,"ESCALATED TO ROXANNE",IF(TODAY()&gt;$Y415,"OVERDUE",IF($Y415&lt;=WORKDAY(TODAY(),1,Holidays),"DUE TOMORROW",IF($W415=4,"ESCALATED TO LOCAL OFFICE",IF($W415=5,"ESCALATED TO CBE",IF($X415=TODAY(),"EMAIL SENT","MONITORING"))))))))))</f>
        <v/>
      </c>
      <c r="U415" s="17">
        <f>IF($T415="",IF(AND(COUNTA($A415:$K415)&gt;0,$L415=""),"Awaiting Collection Email time stamp.",""),IF(OR($T415="PAID",$T415="CLOSED"),IF($T415="PAID","Account paid. Action completed.","Account closed. No further action required."),CHOOSE($W415,"Collection Email","1st Email Follow-up","2nd Email Follow-up","Escalation to Local Office","Escalation to CBE","Escalation to Roxanne")&amp;" sent "&amp;TEXT($X415,"dd-mmm")&amp;". "&amp;IF($W415=6,"Final escalation completed.",IF($T415="OVERDUE","Next: "&amp;$Z415&amp;" was due "&amp;TEXT($Y415,"dd-mmm")&amp;" - "&amp;(NETWORKDAYS($Y415,TODAY(),Holidays)-1)&amp;" business day(s) late. Send now.",IF($T415="DUE TOMORROW","Next: "&amp;$Z415&amp;IF($Y415&lt;=TODAY()," is due TODAY ("," is due next business day (")&amp;TEXT($Y415,"dd-mmm")&amp;").","Next: "&amp;$Z415&amp;" due "&amp;TEXT($Y415,"dd-mmm")&amp;" ("&amp;(NETWORKDAYS(TODAY(),$Y415,Holidays)-1)&amp;" business day(s) left).")))))</f>
        <v/>
      </c>
      <c r="V415" s="17">
        <f>IF($W415="","",CHOOSE($W415,"Collection Email","1st Follow-up","2nd Follow-up","Local Office","CBE","Roxanne")&amp;IF($W415=6," - Final"," - Day "&amp;MAX(0,NETWORKDAYS($X415,TODAY(),Holidays)-1)&amp;" of "&amp;CHOOSE($W415,3,3,2,2,3))&amp;" | Total Day "&amp;MAX(0,NETWORKDAYS($L415,TODAY(),Holidays)-1))</f>
        <v/>
      </c>
      <c r="W415" s="17">
        <f>IF($L415="","",COUNT($L415:$Q415))</f>
        <v/>
      </c>
      <c r="X415" s="18">
        <f>IF($W415="","",INT(INDEX($L415:$Q415,$W415)))</f>
        <v/>
      </c>
      <c r="Y415" s="18">
        <f>IF(OR($W415="",$W415=6),"",WORKDAY($X415,CHOOSE($W415,3,3,2,2,3),Holidays))</f>
        <v/>
      </c>
      <c r="Z415" s="17">
        <f>IF(OR($W415="",$W415=6),"",CHOOSE($W415,"1st Email Follow-up","2nd Email Follow-up","Escalate Local Office","Escalate to CBE","Escalate to Roxanne"))</f>
        <v/>
      </c>
    </row>
    <row r="416" spans="18:26">
      <c r="R416" s="15"/>
      <c r="S416" s="16"/>
      <c r="T416" s="17">
        <f>IF(AND(COUNTA($A416:$K416)=0,$L416=""),"",IF($S416="Paid","PAID",IF($S416="Closed","CLOSED",IF($W416="","",IF($W416=6,"ESCALATED TO ROXANNE",IF(TODAY()&gt;$Y416,"OVERDUE",IF($Y416&lt;=WORKDAY(TODAY(),1,Holidays),"DUE TOMORROW",IF($W416=4,"ESCALATED TO LOCAL OFFICE",IF($W416=5,"ESCALATED TO CBE",IF($X416=TODAY(),"EMAIL SENT","MONITORING"))))))))))</f>
        <v/>
      </c>
      <c r="U416" s="17">
        <f>IF($T416="",IF(AND(COUNTA($A416:$K416)&gt;0,$L416=""),"Awaiting Collection Email time stamp.",""),IF(OR($T416="PAID",$T416="CLOSED"),IF($T416="PAID","Account paid. Action completed.","Account closed. No further action required."),CHOOSE($W416,"Collection Email","1st Email Follow-up","2nd Email Follow-up","Escalation to Local Office","Escalation to CBE","Escalation to Roxanne")&amp;" sent "&amp;TEXT($X416,"dd-mmm")&amp;". "&amp;IF($W416=6,"Final escalation completed.",IF($T416="OVERDUE","Next: "&amp;$Z416&amp;" was due "&amp;TEXT($Y416,"dd-mmm")&amp;" - "&amp;(NETWORKDAYS($Y416,TODAY(),Holidays)-1)&amp;" business day(s) late. Send now.",IF($T416="DUE TOMORROW","Next: "&amp;$Z416&amp;IF($Y416&lt;=TODAY()," is due TODAY ("," is due next business day (")&amp;TEXT($Y416,"dd-mmm")&amp;").","Next: "&amp;$Z416&amp;" due "&amp;TEXT($Y416,"dd-mmm")&amp;" ("&amp;(NETWORKDAYS(TODAY(),$Y416,Holidays)-1)&amp;" business day(s) left).")))))</f>
        <v/>
      </c>
      <c r="V416" s="17">
        <f>IF($W416="","",CHOOSE($W416,"Collection Email","1st Follow-up","2nd Follow-up","Local Office","CBE","Roxanne")&amp;IF($W416=6," - Final"," - Day "&amp;MAX(0,NETWORKDAYS($X416,TODAY(),Holidays)-1)&amp;" of "&amp;CHOOSE($W416,3,3,2,2,3))&amp;" | Total Day "&amp;MAX(0,NETWORKDAYS($L416,TODAY(),Holidays)-1))</f>
        <v/>
      </c>
      <c r="W416" s="17">
        <f>IF($L416="","",COUNT($L416:$Q416))</f>
        <v/>
      </c>
      <c r="X416" s="18">
        <f>IF($W416="","",INT(INDEX($L416:$Q416,$W416)))</f>
        <v/>
      </c>
      <c r="Y416" s="18">
        <f>IF(OR($W416="",$W416=6),"",WORKDAY($X416,CHOOSE($W416,3,3,2,2,3),Holidays))</f>
        <v/>
      </c>
      <c r="Z416" s="17">
        <f>IF(OR($W416="",$W416=6),"",CHOOSE($W416,"1st Email Follow-up","2nd Email Follow-up","Escalate Local Office","Escalate to CBE","Escalate to Roxanne"))</f>
        <v/>
      </c>
    </row>
    <row r="417" spans="18:26">
      <c r="R417" s="15"/>
      <c r="S417" s="16"/>
      <c r="T417" s="17">
        <f>IF(AND(COUNTA($A417:$K417)=0,$L417=""),"",IF($S417="Paid","PAID",IF($S417="Closed","CLOSED",IF($W417="","",IF($W417=6,"ESCALATED TO ROXANNE",IF(TODAY()&gt;$Y417,"OVERDUE",IF($Y417&lt;=WORKDAY(TODAY(),1,Holidays),"DUE TOMORROW",IF($W417=4,"ESCALATED TO LOCAL OFFICE",IF($W417=5,"ESCALATED TO CBE",IF($X417=TODAY(),"EMAIL SENT","MONITORING"))))))))))</f>
        <v/>
      </c>
      <c r="U417" s="17">
        <f>IF($T417="",IF(AND(COUNTA($A417:$K417)&gt;0,$L417=""),"Awaiting Collection Email time stamp.",""),IF(OR($T417="PAID",$T417="CLOSED"),IF($T417="PAID","Account paid. Action completed.","Account closed. No further action required."),CHOOSE($W417,"Collection Email","1st Email Follow-up","2nd Email Follow-up","Escalation to Local Office","Escalation to CBE","Escalation to Roxanne")&amp;" sent "&amp;TEXT($X417,"dd-mmm")&amp;". "&amp;IF($W417=6,"Final escalation completed.",IF($T417="OVERDUE","Next: "&amp;$Z417&amp;" was due "&amp;TEXT($Y417,"dd-mmm")&amp;" - "&amp;(NETWORKDAYS($Y417,TODAY(),Holidays)-1)&amp;" business day(s) late. Send now.",IF($T417="DUE TOMORROW","Next: "&amp;$Z417&amp;IF($Y417&lt;=TODAY()," is due TODAY ("," is due next business day (")&amp;TEXT($Y417,"dd-mmm")&amp;").","Next: "&amp;$Z417&amp;" due "&amp;TEXT($Y417,"dd-mmm")&amp;" ("&amp;(NETWORKDAYS(TODAY(),$Y417,Holidays)-1)&amp;" business day(s) left).")))))</f>
        <v/>
      </c>
      <c r="V417" s="17">
        <f>IF($W417="","",CHOOSE($W417,"Collection Email","1st Follow-up","2nd Follow-up","Local Office","CBE","Roxanne")&amp;IF($W417=6," - Final"," - Day "&amp;MAX(0,NETWORKDAYS($X417,TODAY(),Holidays)-1)&amp;" of "&amp;CHOOSE($W417,3,3,2,2,3))&amp;" | Total Day "&amp;MAX(0,NETWORKDAYS($L417,TODAY(),Holidays)-1))</f>
        <v/>
      </c>
      <c r="W417" s="17">
        <f>IF($L417="","",COUNT($L417:$Q417))</f>
        <v/>
      </c>
      <c r="X417" s="18">
        <f>IF($W417="","",INT(INDEX($L417:$Q417,$W417)))</f>
        <v/>
      </c>
      <c r="Y417" s="18">
        <f>IF(OR($W417="",$W417=6),"",WORKDAY($X417,CHOOSE($W417,3,3,2,2,3),Holidays))</f>
        <v/>
      </c>
      <c r="Z417" s="17">
        <f>IF(OR($W417="",$W417=6),"",CHOOSE($W417,"1st Email Follow-up","2nd Email Follow-up","Escalate Local Office","Escalate to CBE","Escalate to Roxanne"))</f>
        <v/>
      </c>
    </row>
    <row r="418" spans="18:26">
      <c r="R418" s="15"/>
      <c r="S418" s="16"/>
      <c r="T418" s="17">
        <f>IF(AND(COUNTA($A418:$K418)=0,$L418=""),"",IF($S418="Paid","PAID",IF($S418="Closed","CLOSED",IF($W418="","",IF($W418=6,"ESCALATED TO ROXANNE",IF(TODAY()&gt;$Y418,"OVERDUE",IF($Y418&lt;=WORKDAY(TODAY(),1,Holidays),"DUE TOMORROW",IF($W418=4,"ESCALATED TO LOCAL OFFICE",IF($W418=5,"ESCALATED TO CBE",IF($X418=TODAY(),"EMAIL SENT","MONITORING"))))))))))</f>
        <v/>
      </c>
      <c r="U418" s="17">
        <f>IF($T418="",IF(AND(COUNTA($A418:$K418)&gt;0,$L418=""),"Awaiting Collection Email time stamp.",""),IF(OR($T418="PAID",$T418="CLOSED"),IF($T418="PAID","Account paid. Action completed.","Account closed. No further action required."),CHOOSE($W418,"Collection Email","1st Email Follow-up","2nd Email Follow-up","Escalation to Local Office","Escalation to CBE","Escalation to Roxanne")&amp;" sent "&amp;TEXT($X418,"dd-mmm")&amp;". "&amp;IF($W418=6,"Final escalation completed.",IF($T418="OVERDUE","Next: "&amp;$Z418&amp;" was due "&amp;TEXT($Y418,"dd-mmm")&amp;" - "&amp;(NETWORKDAYS($Y418,TODAY(),Holidays)-1)&amp;" business day(s) late. Send now.",IF($T418="DUE TOMORROW","Next: "&amp;$Z418&amp;IF($Y418&lt;=TODAY()," is due TODAY ("," is due next business day (")&amp;TEXT($Y418,"dd-mmm")&amp;").","Next: "&amp;$Z418&amp;" due "&amp;TEXT($Y418,"dd-mmm")&amp;" ("&amp;(NETWORKDAYS(TODAY(),$Y418,Holidays)-1)&amp;" business day(s) left).")))))</f>
        <v/>
      </c>
      <c r="V418" s="17">
        <f>IF($W418="","",CHOOSE($W418,"Collection Email","1st Follow-up","2nd Follow-up","Local Office","CBE","Roxanne")&amp;IF($W418=6," - Final"," - Day "&amp;MAX(0,NETWORKDAYS($X418,TODAY(),Holidays)-1)&amp;" of "&amp;CHOOSE($W418,3,3,2,2,3))&amp;" | Total Day "&amp;MAX(0,NETWORKDAYS($L418,TODAY(),Holidays)-1))</f>
        <v/>
      </c>
      <c r="W418" s="17">
        <f>IF($L418="","",COUNT($L418:$Q418))</f>
        <v/>
      </c>
      <c r="X418" s="18">
        <f>IF($W418="","",INT(INDEX($L418:$Q418,$W418)))</f>
        <v/>
      </c>
      <c r="Y418" s="18">
        <f>IF(OR($W418="",$W418=6),"",WORKDAY($X418,CHOOSE($W418,3,3,2,2,3),Holidays))</f>
        <v/>
      </c>
      <c r="Z418" s="17">
        <f>IF(OR($W418="",$W418=6),"",CHOOSE($W418,"1st Email Follow-up","2nd Email Follow-up","Escalate Local Office","Escalate to CBE","Escalate to Roxanne"))</f>
        <v/>
      </c>
    </row>
    <row r="419" spans="18:26">
      <c r="R419" s="15"/>
      <c r="S419" s="16"/>
      <c r="T419" s="17">
        <f>IF(AND(COUNTA($A419:$K419)=0,$L419=""),"",IF($S419="Paid","PAID",IF($S419="Closed","CLOSED",IF($W419="","",IF($W419=6,"ESCALATED TO ROXANNE",IF(TODAY()&gt;$Y419,"OVERDUE",IF($Y419&lt;=WORKDAY(TODAY(),1,Holidays),"DUE TOMORROW",IF($W419=4,"ESCALATED TO LOCAL OFFICE",IF($W419=5,"ESCALATED TO CBE",IF($X419=TODAY(),"EMAIL SENT","MONITORING"))))))))))</f>
        <v/>
      </c>
      <c r="U419" s="17">
        <f>IF($T419="",IF(AND(COUNTA($A419:$K419)&gt;0,$L419=""),"Awaiting Collection Email time stamp.",""),IF(OR($T419="PAID",$T419="CLOSED"),IF($T419="PAID","Account paid. Action completed.","Account closed. No further action required."),CHOOSE($W419,"Collection Email","1st Email Follow-up","2nd Email Follow-up","Escalation to Local Office","Escalation to CBE","Escalation to Roxanne")&amp;" sent "&amp;TEXT($X419,"dd-mmm")&amp;". "&amp;IF($W419=6,"Final escalation completed.",IF($T419="OVERDUE","Next: "&amp;$Z419&amp;" was due "&amp;TEXT($Y419,"dd-mmm")&amp;" - "&amp;(NETWORKDAYS($Y419,TODAY(),Holidays)-1)&amp;" business day(s) late. Send now.",IF($T419="DUE TOMORROW","Next: "&amp;$Z419&amp;IF($Y419&lt;=TODAY()," is due TODAY ("," is due next business day (")&amp;TEXT($Y419,"dd-mmm")&amp;").","Next: "&amp;$Z419&amp;" due "&amp;TEXT($Y419,"dd-mmm")&amp;" ("&amp;(NETWORKDAYS(TODAY(),$Y419,Holidays)-1)&amp;" business day(s) left).")))))</f>
        <v/>
      </c>
      <c r="V419" s="17">
        <f>IF($W419="","",CHOOSE($W419,"Collection Email","1st Follow-up","2nd Follow-up","Local Office","CBE","Roxanne")&amp;IF($W419=6," - Final"," - Day "&amp;MAX(0,NETWORKDAYS($X419,TODAY(),Holidays)-1)&amp;" of "&amp;CHOOSE($W419,3,3,2,2,3))&amp;" | Total Day "&amp;MAX(0,NETWORKDAYS($L419,TODAY(),Holidays)-1))</f>
        <v/>
      </c>
      <c r="W419" s="17">
        <f>IF($L419="","",COUNT($L419:$Q419))</f>
        <v/>
      </c>
      <c r="X419" s="18">
        <f>IF($W419="","",INT(INDEX($L419:$Q419,$W419)))</f>
        <v/>
      </c>
      <c r="Y419" s="18">
        <f>IF(OR($W419="",$W419=6),"",WORKDAY($X419,CHOOSE($W419,3,3,2,2,3),Holidays))</f>
        <v/>
      </c>
      <c r="Z419" s="17">
        <f>IF(OR($W419="",$W419=6),"",CHOOSE($W419,"1st Email Follow-up","2nd Email Follow-up","Escalate Local Office","Escalate to CBE","Escalate to Roxanne"))</f>
        <v/>
      </c>
    </row>
    <row r="420" spans="18:26">
      <c r="R420" s="15"/>
      <c r="S420" s="16"/>
      <c r="T420" s="17">
        <f>IF(AND(COUNTA($A420:$K420)=0,$L420=""),"",IF($S420="Paid","PAID",IF($S420="Closed","CLOSED",IF($W420="","",IF($W420=6,"ESCALATED TO ROXANNE",IF(TODAY()&gt;$Y420,"OVERDUE",IF($Y420&lt;=WORKDAY(TODAY(),1,Holidays),"DUE TOMORROW",IF($W420=4,"ESCALATED TO LOCAL OFFICE",IF($W420=5,"ESCALATED TO CBE",IF($X420=TODAY(),"EMAIL SENT","MONITORING"))))))))))</f>
        <v/>
      </c>
      <c r="U420" s="17">
        <f>IF($T420="",IF(AND(COUNTA($A420:$K420)&gt;0,$L420=""),"Awaiting Collection Email time stamp.",""),IF(OR($T420="PAID",$T420="CLOSED"),IF($T420="PAID","Account paid. Action completed.","Account closed. No further action required."),CHOOSE($W420,"Collection Email","1st Email Follow-up","2nd Email Follow-up","Escalation to Local Office","Escalation to CBE","Escalation to Roxanne")&amp;" sent "&amp;TEXT($X420,"dd-mmm")&amp;". "&amp;IF($W420=6,"Final escalation completed.",IF($T420="OVERDUE","Next: "&amp;$Z420&amp;" was due "&amp;TEXT($Y420,"dd-mmm")&amp;" - "&amp;(NETWORKDAYS($Y420,TODAY(),Holidays)-1)&amp;" business day(s) late. Send now.",IF($T420="DUE TOMORROW","Next: "&amp;$Z420&amp;IF($Y420&lt;=TODAY()," is due TODAY ("," is due next business day (")&amp;TEXT($Y420,"dd-mmm")&amp;").","Next: "&amp;$Z420&amp;" due "&amp;TEXT($Y420,"dd-mmm")&amp;" ("&amp;(NETWORKDAYS(TODAY(),$Y420,Holidays)-1)&amp;" business day(s) left).")))))</f>
        <v/>
      </c>
      <c r="V420" s="17">
        <f>IF($W420="","",CHOOSE($W420,"Collection Email","1st Follow-up","2nd Follow-up","Local Office","CBE","Roxanne")&amp;IF($W420=6," - Final"," - Day "&amp;MAX(0,NETWORKDAYS($X420,TODAY(),Holidays)-1)&amp;" of "&amp;CHOOSE($W420,3,3,2,2,3))&amp;" | Total Day "&amp;MAX(0,NETWORKDAYS($L420,TODAY(),Holidays)-1))</f>
        <v/>
      </c>
      <c r="W420" s="17">
        <f>IF($L420="","",COUNT($L420:$Q420))</f>
        <v/>
      </c>
      <c r="X420" s="18">
        <f>IF($W420="","",INT(INDEX($L420:$Q420,$W420)))</f>
        <v/>
      </c>
      <c r="Y420" s="18">
        <f>IF(OR($W420="",$W420=6),"",WORKDAY($X420,CHOOSE($W420,3,3,2,2,3),Holidays))</f>
        <v/>
      </c>
      <c r="Z420" s="17">
        <f>IF(OR($W420="",$W420=6),"",CHOOSE($W420,"1st Email Follow-up","2nd Email Follow-up","Escalate Local Office","Escalate to CBE","Escalate to Roxanne"))</f>
        <v/>
      </c>
    </row>
    <row r="421" spans="18:26">
      <c r="R421" s="15"/>
      <c r="S421" s="16"/>
      <c r="T421" s="17">
        <f>IF(AND(COUNTA($A421:$K421)=0,$L421=""),"",IF($S421="Paid","PAID",IF($S421="Closed","CLOSED",IF($W421="","",IF($W421=6,"ESCALATED TO ROXANNE",IF(TODAY()&gt;$Y421,"OVERDUE",IF($Y421&lt;=WORKDAY(TODAY(),1,Holidays),"DUE TOMORROW",IF($W421=4,"ESCALATED TO LOCAL OFFICE",IF($W421=5,"ESCALATED TO CBE",IF($X421=TODAY(),"EMAIL SENT","MONITORING"))))))))))</f>
        <v/>
      </c>
      <c r="U421" s="17">
        <f>IF($T421="",IF(AND(COUNTA($A421:$K421)&gt;0,$L421=""),"Awaiting Collection Email time stamp.",""),IF(OR($T421="PAID",$T421="CLOSED"),IF($T421="PAID","Account paid. Action completed.","Account closed. No further action required."),CHOOSE($W421,"Collection Email","1st Email Follow-up","2nd Email Follow-up","Escalation to Local Office","Escalation to CBE","Escalation to Roxanne")&amp;" sent "&amp;TEXT($X421,"dd-mmm")&amp;". "&amp;IF($W421=6,"Final escalation completed.",IF($T421="OVERDUE","Next: "&amp;$Z421&amp;" was due "&amp;TEXT($Y421,"dd-mmm")&amp;" - "&amp;(NETWORKDAYS($Y421,TODAY(),Holidays)-1)&amp;" business day(s) late. Send now.",IF($T421="DUE TOMORROW","Next: "&amp;$Z421&amp;IF($Y421&lt;=TODAY()," is due TODAY ("," is due next business day (")&amp;TEXT($Y421,"dd-mmm")&amp;").","Next: "&amp;$Z421&amp;" due "&amp;TEXT($Y421,"dd-mmm")&amp;" ("&amp;(NETWORKDAYS(TODAY(),$Y421,Holidays)-1)&amp;" business day(s) left).")))))</f>
        <v/>
      </c>
      <c r="V421" s="17">
        <f>IF($W421="","",CHOOSE($W421,"Collection Email","1st Follow-up","2nd Follow-up","Local Office","CBE","Roxanne")&amp;IF($W421=6," - Final"," - Day "&amp;MAX(0,NETWORKDAYS($X421,TODAY(),Holidays)-1)&amp;" of "&amp;CHOOSE($W421,3,3,2,2,3))&amp;" | Total Day "&amp;MAX(0,NETWORKDAYS($L421,TODAY(),Holidays)-1))</f>
        <v/>
      </c>
      <c r="W421" s="17">
        <f>IF($L421="","",COUNT($L421:$Q421))</f>
        <v/>
      </c>
      <c r="X421" s="18">
        <f>IF($W421="","",INT(INDEX($L421:$Q421,$W421)))</f>
        <v/>
      </c>
      <c r="Y421" s="18">
        <f>IF(OR($W421="",$W421=6),"",WORKDAY($X421,CHOOSE($W421,3,3,2,2,3),Holidays))</f>
        <v/>
      </c>
      <c r="Z421" s="17">
        <f>IF(OR($W421="",$W421=6),"",CHOOSE($W421,"1st Email Follow-up","2nd Email Follow-up","Escalate Local Office","Escalate to CBE","Escalate to Roxanne"))</f>
        <v/>
      </c>
    </row>
    <row r="422" spans="18:26">
      <c r="R422" s="15"/>
      <c r="S422" s="16"/>
      <c r="T422" s="17">
        <f>IF(AND(COUNTA($A422:$K422)=0,$L422=""),"",IF($S422="Paid","PAID",IF($S422="Closed","CLOSED",IF($W422="","",IF($W422=6,"ESCALATED TO ROXANNE",IF(TODAY()&gt;$Y422,"OVERDUE",IF($Y422&lt;=WORKDAY(TODAY(),1,Holidays),"DUE TOMORROW",IF($W422=4,"ESCALATED TO LOCAL OFFICE",IF($W422=5,"ESCALATED TO CBE",IF($X422=TODAY(),"EMAIL SENT","MONITORING"))))))))))</f>
        <v/>
      </c>
      <c r="U422" s="17">
        <f>IF($T422="",IF(AND(COUNTA($A422:$K422)&gt;0,$L422=""),"Awaiting Collection Email time stamp.",""),IF(OR($T422="PAID",$T422="CLOSED"),IF($T422="PAID","Account paid. Action completed.","Account closed. No further action required."),CHOOSE($W422,"Collection Email","1st Email Follow-up","2nd Email Follow-up","Escalation to Local Office","Escalation to CBE","Escalation to Roxanne")&amp;" sent "&amp;TEXT($X422,"dd-mmm")&amp;". "&amp;IF($W422=6,"Final escalation completed.",IF($T422="OVERDUE","Next: "&amp;$Z422&amp;" was due "&amp;TEXT($Y422,"dd-mmm")&amp;" - "&amp;(NETWORKDAYS($Y422,TODAY(),Holidays)-1)&amp;" business day(s) late. Send now.",IF($T422="DUE TOMORROW","Next: "&amp;$Z422&amp;IF($Y422&lt;=TODAY()," is due TODAY ("," is due next business day (")&amp;TEXT($Y422,"dd-mmm")&amp;").","Next: "&amp;$Z422&amp;" due "&amp;TEXT($Y422,"dd-mmm")&amp;" ("&amp;(NETWORKDAYS(TODAY(),$Y422,Holidays)-1)&amp;" business day(s) left).")))))</f>
        <v/>
      </c>
      <c r="V422" s="17">
        <f>IF($W422="","",CHOOSE($W422,"Collection Email","1st Follow-up","2nd Follow-up","Local Office","CBE","Roxanne")&amp;IF($W422=6," - Final"," - Day "&amp;MAX(0,NETWORKDAYS($X422,TODAY(),Holidays)-1)&amp;" of "&amp;CHOOSE($W422,3,3,2,2,3))&amp;" | Total Day "&amp;MAX(0,NETWORKDAYS($L422,TODAY(),Holidays)-1))</f>
        <v/>
      </c>
      <c r="W422" s="17">
        <f>IF($L422="","",COUNT($L422:$Q422))</f>
        <v/>
      </c>
      <c r="X422" s="18">
        <f>IF($W422="","",INT(INDEX($L422:$Q422,$W422)))</f>
        <v/>
      </c>
      <c r="Y422" s="18">
        <f>IF(OR($W422="",$W422=6),"",WORKDAY($X422,CHOOSE($W422,3,3,2,2,3),Holidays))</f>
        <v/>
      </c>
      <c r="Z422" s="17">
        <f>IF(OR($W422="",$W422=6),"",CHOOSE($W422,"1st Email Follow-up","2nd Email Follow-up","Escalate Local Office","Escalate to CBE","Escalate to Roxanne"))</f>
        <v/>
      </c>
    </row>
    <row r="423" spans="18:26">
      <c r="R423" s="15"/>
      <c r="S423" s="16"/>
      <c r="T423" s="17">
        <f>IF(AND(COUNTA($A423:$K423)=0,$L423=""),"",IF($S423="Paid","PAID",IF($S423="Closed","CLOSED",IF($W423="","",IF($W423=6,"ESCALATED TO ROXANNE",IF(TODAY()&gt;$Y423,"OVERDUE",IF($Y423&lt;=WORKDAY(TODAY(),1,Holidays),"DUE TOMORROW",IF($W423=4,"ESCALATED TO LOCAL OFFICE",IF($W423=5,"ESCALATED TO CBE",IF($X423=TODAY(),"EMAIL SENT","MONITORING"))))))))))</f>
        <v/>
      </c>
      <c r="U423" s="17">
        <f>IF($T423="",IF(AND(COUNTA($A423:$K423)&gt;0,$L423=""),"Awaiting Collection Email time stamp.",""),IF(OR($T423="PAID",$T423="CLOSED"),IF($T423="PAID","Account paid. Action completed.","Account closed. No further action required."),CHOOSE($W423,"Collection Email","1st Email Follow-up","2nd Email Follow-up","Escalation to Local Office","Escalation to CBE","Escalation to Roxanne")&amp;" sent "&amp;TEXT($X423,"dd-mmm")&amp;". "&amp;IF($W423=6,"Final escalation completed.",IF($T423="OVERDUE","Next: "&amp;$Z423&amp;" was due "&amp;TEXT($Y423,"dd-mmm")&amp;" - "&amp;(NETWORKDAYS($Y423,TODAY(),Holidays)-1)&amp;" business day(s) late. Send now.",IF($T423="DUE TOMORROW","Next: "&amp;$Z423&amp;IF($Y423&lt;=TODAY()," is due TODAY ("," is due next business day (")&amp;TEXT($Y423,"dd-mmm")&amp;").","Next: "&amp;$Z423&amp;" due "&amp;TEXT($Y423,"dd-mmm")&amp;" ("&amp;(NETWORKDAYS(TODAY(),$Y423,Holidays)-1)&amp;" business day(s) left).")))))</f>
        <v/>
      </c>
      <c r="V423" s="17">
        <f>IF($W423="","",CHOOSE($W423,"Collection Email","1st Follow-up","2nd Follow-up","Local Office","CBE","Roxanne")&amp;IF($W423=6," - Final"," - Day "&amp;MAX(0,NETWORKDAYS($X423,TODAY(),Holidays)-1)&amp;" of "&amp;CHOOSE($W423,3,3,2,2,3))&amp;" | Total Day "&amp;MAX(0,NETWORKDAYS($L423,TODAY(),Holidays)-1))</f>
        <v/>
      </c>
      <c r="W423" s="17">
        <f>IF($L423="","",COUNT($L423:$Q423))</f>
        <v/>
      </c>
      <c r="X423" s="18">
        <f>IF($W423="","",INT(INDEX($L423:$Q423,$W423)))</f>
        <v/>
      </c>
      <c r="Y423" s="18">
        <f>IF(OR($W423="",$W423=6),"",WORKDAY($X423,CHOOSE($W423,3,3,2,2,3),Holidays))</f>
        <v/>
      </c>
      <c r="Z423" s="17">
        <f>IF(OR($W423="",$W423=6),"",CHOOSE($W423,"1st Email Follow-up","2nd Email Follow-up","Escalate Local Office","Escalate to CBE","Escalate to Roxanne"))</f>
        <v/>
      </c>
    </row>
    <row r="424" spans="18:26">
      <c r="R424" s="15"/>
      <c r="S424" s="16"/>
      <c r="T424" s="17">
        <f>IF(AND(COUNTA($A424:$K424)=0,$L424=""),"",IF($S424="Paid","PAID",IF($S424="Closed","CLOSED",IF($W424="","",IF($W424=6,"ESCALATED TO ROXANNE",IF(TODAY()&gt;$Y424,"OVERDUE",IF($Y424&lt;=WORKDAY(TODAY(),1,Holidays),"DUE TOMORROW",IF($W424=4,"ESCALATED TO LOCAL OFFICE",IF($W424=5,"ESCALATED TO CBE",IF($X424=TODAY(),"EMAIL SENT","MONITORING"))))))))))</f>
        <v/>
      </c>
      <c r="U424" s="17">
        <f>IF($T424="",IF(AND(COUNTA($A424:$K424)&gt;0,$L424=""),"Awaiting Collection Email time stamp.",""),IF(OR($T424="PAID",$T424="CLOSED"),IF($T424="PAID","Account paid. Action completed.","Account closed. No further action required."),CHOOSE($W424,"Collection Email","1st Email Follow-up","2nd Email Follow-up","Escalation to Local Office","Escalation to CBE","Escalation to Roxanne")&amp;" sent "&amp;TEXT($X424,"dd-mmm")&amp;". "&amp;IF($W424=6,"Final escalation completed.",IF($T424="OVERDUE","Next: "&amp;$Z424&amp;" was due "&amp;TEXT($Y424,"dd-mmm")&amp;" - "&amp;(NETWORKDAYS($Y424,TODAY(),Holidays)-1)&amp;" business day(s) late. Send now.",IF($T424="DUE TOMORROW","Next: "&amp;$Z424&amp;IF($Y424&lt;=TODAY()," is due TODAY ("," is due next business day (")&amp;TEXT($Y424,"dd-mmm")&amp;").","Next: "&amp;$Z424&amp;" due "&amp;TEXT($Y424,"dd-mmm")&amp;" ("&amp;(NETWORKDAYS(TODAY(),$Y424,Holidays)-1)&amp;" business day(s) left).")))))</f>
        <v/>
      </c>
      <c r="V424" s="17">
        <f>IF($W424="","",CHOOSE($W424,"Collection Email","1st Follow-up","2nd Follow-up","Local Office","CBE","Roxanne")&amp;IF($W424=6," - Final"," - Day "&amp;MAX(0,NETWORKDAYS($X424,TODAY(),Holidays)-1)&amp;" of "&amp;CHOOSE($W424,3,3,2,2,3))&amp;" | Total Day "&amp;MAX(0,NETWORKDAYS($L424,TODAY(),Holidays)-1))</f>
        <v/>
      </c>
      <c r="W424" s="17">
        <f>IF($L424="","",COUNT($L424:$Q424))</f>
        <v/>
      </c>
      <c r="X424" s="18">
        <f>IF($W424="","",INT(INDEX($L424:$Q424,$W424)))</f>
        <v/>
      </c>
      <c r="Y424" s="18">
        <f>IF(OR($W424="",$W424=6),"",WORKDAY($X424,CHOOSE($W424,3,3,2,2,3),Holidays))</f>
        <v/>
      </c>
      <c r="Z424" s="17">
        <f>IF(OR($W424="",$W424=6),"",CHOOSE($W424,"1st Email Follow-up","2nd Email Follow-up","Escalate Local Office","Escalate to CBE","Escalate to Roxanne"))</f>
        <v/>
      </c>
    </row>
    <row r="425" spans="18:26">
      <c r="R425" s="15"/>
      <c r="S425" s="16"/>
      <c r="T425" s="17">
        <f>IF(AND(COUNTA($A425:$K425)=0,$L425=""),"",IF($S425="Paid","PAID",IF($S425="Closed","CLOSED",IF($W425="","",IF($W425=6,"ESCALATED TO ROXANNE",IF(TODAY()&gt;$Y425,"OVERDUE",IF($Y425&lt;=WORKDAY(TODAY(),1,Holidays),"DUE TOMORROW",IF($W425=4,"ESCALATED TO LOCAL OFFICE",IF($W425=5,"ESCALATED TO CBE",IF($X425=TODAY(),"EMAIL SENT","MONITORING"))))))))))</f>
        <v/>
      </c>
      <c r="U425" s="17">
        <f>IF($T425="",IF(AND(COUNTA($A425:$K425)&gt;0,$L425=""),"Awaiting Collection Email time stamp.",""),IF(OR($T425="PAID",$T425="CLOSED"),IF($T425="PAID","Account paid. Action completed.","Account closed. No further action required."),CHOOSE($W425,"Collection Email","1st Email Follow-up","2nd Email Follow-up","Escalation to Local Office","Escalation to CBE","Escalation to Roxanne")&amp;" sent "&amp;TEXT($X425,"dd-mmm")&amp;". "&amp;IF($W425=6,"Final escalation completed.",IF($T425="OVERDUE","Next: "&amp;$Z425&amp;" was due "&amp;TEXT($Y425,"dd-mmm")&amp;" - "&amp;(NETWORKDAYS($Y425,TODAY(),Holidays)-1)&amp;" business day(s) late. Send now.",IF($T425="DUE TOMORROW","Next: "&amp;$Z425&amp;IF($Y425&lt;=TODAY()," is due TODAY ("," is due next business day (")&amp;TEXT($Y425,"dd-mmm")&amp;").","Next: "&amp;$Z425&amp;" due "&amp;TEXT($Y425,"dd-mmm")&amp;" ("&amp;(NETWORKDAYS(TODAY(),$Y425,Holidays)-1)&amp;" business day(s) left).")))))</f>
        <v/>
      </c>
      <c r="V425" s="17">
        <f>IF($W425="","",CHOOSE($W425,"Collection Email","1st Follow-up","2nd Follow-up","Local Office","CBE","Roxanne")&amp;IF($W425=6," - Final"," - Day "&amp;MAX(0,NETWORKDAYS($X425,TODAY(),Holidays)-1)&amp;" of "&amp;CHOOSE($W425,3,3,2,2,3))&amp;" | Total Day "&amp;MAX(0,NETWORKDAYS($L425,TODAY(),Holidays)-1))</f>
        <v/>
      </c>
      <c r="W425" s="17">
        <f>IF($L425="","",COUNT($L425:$Q425))</f>
        <v/>
      </c>
      <c r="X425" s="18">
        <f>IF($W425="","",INT(INDEX($L425:$Q425,$W425)))</f>
        <v/>
      </c>
      <c r="Y425" s="18">
        <f>IF(OR($W425="",$W425=6),"",WORKDAY($X425,CHOOSE($W425,3,3,2,2,3),Holidays))</f>
        <v/>
      </c>
      <c r="Z425" s="17">
        <f>IF(OR($W425="",$W425=6),"",CHOOSE($W425,"1st Email Follow-up","2nd Email Follow-up","Escalate Local Office","Escalate to CBE","Escalate to Roxanne"))</f>
        <v/>
      </c>
    </row>
    <row r="426" spans="18:26">
      <c r="R426" s="15"/>
      <c r="S426" s="16"/>
      <c r="T426" s="17">
        <f>IF(AND(COUNTA($A426:$K426)=0,$L426=""),"",IF($S426="Paid","PAID",IF($S426="Closed","CLOSED",IF($W426="","",IF($W426=6,"ESCALATED TO ROXANNE",IF(TODAY()&gt;$Y426,"OVERDUE",IF($Y426&lt;=WORKDAY(TODAY(),1,Holidays),"DUE TOMORROW",IF($W426=4,"ESCALATED TO LOCAL OFFICE",IF($W426=5,"ESCALATED TO CBE",IF($X426=TODAY(),"EMAIL SENT","MONITORING"))))))))))</f>
        <v/>
      </c>
      <c r="U426" s="17">
        <f>IF($T426="",IF(AND(COUNTA($A426:$K426)&gt;0,$L426=""),"Awaiting Collection Email time stamp.",""),IF(OR($T426="PAID",$T426="CLOSED"),IF($T426="PAID","Account paid. Action completed.","Account closed. No further action required."),CHOOSE($W426,"Collection Email","1st Email Follow-up","2nd Email Follow-up","Escalation to Local Office","Escalation to CBE","Escalation to Roxanne")&amp;" sent "&amp;TEXT($X426,"dd-mmm")&amp;". "&amp;IF($W426=6,"Final escalation completed.",IF($T426="OVERDUE","Next: "&amp;$Z426&amp;" was due "&amp;TEXT($Y426,"dd-mmm")&amp;" - "&amp;(NETWORKDAYS($Y426,TODAY(),Holidays)-1)&amp;" business day(s) late. Send now.",IF($T426="DUE TOMORROW","Next: "&amp;$Z426&amp;IF($Y426&lt;=TODAY()," is due TODAY ("," is due next business day (")&amp;TEXT($Y426,"dd-mmm")&amp;").","Next: "&amp;$Z426&amp;" due "&amp;TEXT($Y426,"dd-mmm")&amp;" ("&amp;(NETWORKDAYS(TODAY(),$Y426,Holidays)-1)&amp;" business day(s) left).")))))</f>
        <v/>
      </c>
      <c r="V426" s="17">
        <f>IF($W426="","",CHOOSE($W426,"Collection Email","1st Follow-up","2nd Follow-up","Local Office","CBE","Roxanne")&amp;IF($W426=6," - Final"," - Day "&amp;MAX(0,NETWORKDAYS($X426,TODAY(),Holidays)-1)&amp;" of "&amp;CHOOSE($W426,3,3,2,2,3))&amp;" | Total Day "&amp;MAX(0,NETWORKDAYS($L426,TODAY(),Holidays)-1))</f>
        <v/>
      </c>
      <c r="W426" s="17">
        <f>IF($L426="","",COUNT($L426:$Q426))</f>
        <v/>
      </c>
      <c r="X426" s="18">
        <f>IF($W426="","",INT(INDEX($L426:$Q426,$W426)))</f>
        <v/>
      </c>
      <c r="Y426" s="18">
        <f>IF(OR($W426="",$W426=6),"",WORKDAY($X426,CHOOSE($W426,3,3,2,2,3),Holidays))</f>
        <v/>
      </c>
      <c r="Z426" s="17">
        <f>IF(OR($W426="",$W426=6),"",CHOOSE($W426,"1st Email Follow-up","2nd Email Follow-up","Escalate Local Office","Escalate to CBE","Escalate to Roxanne"))</f>
        <v/>
      </c>
    </row>
    <row r="427" spans="18:26">
      <c r="R427" s="15"/>
      <c r="S427" s="16"/>
      <c r="T427" s="17">
        <f>IF(AND(COUNTA($A427:$K427)=0,$L427=""),"",IF($S427="Paid","PAID",IF($S427="Closed","CLOSED",IF($W427="","",IF($W427=6,"ESCALATED TO ROXANNE",IF(TODAY()&gt;$Y427,"OVERDUE",IF($Y427&lt;=WORKDAY(TODAY(),1,Holidays),"DUE TOMORROW",IF($W427=4,"ESCALATED TO LOCAL OFFICE",IF($W427=5,"ESCALATED TO CBE",IF($X427=TODAY(),"EMAIL SENT","MONITORING"))))))))))</f>
        <v/>
      </c>
      <c r="U427" s="17">
        <f>IF($T427="",IF(AND(COUNTA($A427:$K427)&gt;0,$L427=""),"Awaiting Collection Email time stamp.",""),IF(OR($T427="PAID",$T427="CLOSED"),IF($T427="PAID","Account paid. Action completed.","Account closed. No further action required."),CHOOSE($W427,"Collection Email","1st Email Follow-up","2nd Email Follow-up","Escalation to Local Office","Escalation to CBE","Escalation to Roxanne")&amp;" sent "&amp;TEXT($X427,"dd-mmm")&amp;". "&amp;IF($W427=6,"Final escalation completed.",IF($T427="OVERDUE","Next: "&amp;$Z427&amp;" was due "&amp;TEXT($Y427,"dd-mmm")&amp;" - "&amp;(NETWORKDAYS($Y427,TODAY(),Holidays)-1)&amp;" business day(s) late. Send now.",IF($T427="DUE TOMORROW","Next: "&amp;$Z427&amp;IF($Y427&lt;=TODAY()," is due TODAY ("," is due next business day (")&amp;TEXT($Y427,"dd-mmm")&amp;").","Next: "&amp;$Z427&amp;" due "&amp;TEXT($Y427,"dd-mmm")&amp;" ("&amp;(NETWORKDAYS(TODAY(),$Y427,Holidays)-1)&amp;" business day(s) left).")))))</f>
        <v/>
      </c>
      <c r="V427" s="17">
        <f>IF($W427="","",CHOOSE($W427,"Collection Email","1st Follow-up","2nd Follow-up","Local Office","CBE","Roxanne")&amp;IF($W427=6," - Final"," - Day "&amp;MAX(0,NETWORKDAYS($X427,TODAY(),Holidays)-1)&amp;" of "&amp;CHOOSE($W427,3,3,2,2,3))&amp;" | Total Day "&amp;MAX(0,NETWORKDAYS($L427,TODAY(),Holidays)-1))</f>
        <v/>
      </c>
      <c r="W427" s="17">
        <f>IF($L427="","",COUNT($L427:$Q427))</f>
        <v/>
      </c>
      <c r="X427" s="18">
        <f>IF($W427="","",INT(INDEX($L427:$Q427,$W427)))</f>
        <v/>
      </c>
      <c r="Y427" s="18">
        <f>IF(OR($W427="",$W427=6),"",WORKDAY($X427,CHOOSE($W427,3,3,2,2,3),Holidays))</f>
        <v/>
      </c>
      <c r="Z427" s="17">
        <f>IF(OR($W427="",$W427=6),"",CHOOSE($W427,"1st Email Follow-up","2nd Email Follow-up","Escalate Local Office","Escalate to CBE","Escalate to Roxanne"))</f>
        <v/>
      </c>
    </row>
    <row r="428" spans="18:26">
      <c r="R428" s="15"/>
      <c r="S428" s="16"/>
      <c r="T428" s="17">
        <f>IF(AND(COUNTA($A428:$K428)=0,$L428=""),"",IF($S428="Paid","PAID",IF($S428="Closed","CLOSED",IF($W428="","",IF($W428=6,"ESCALATED TO ROXANNE",IF(TODAY()&gt;$Y428,"OVERDUE",IF($Y428&lt;=WORKDAY(TODAY(),1,Holidays),"DUE TOMORROW",IF($W428=4,"ESCALATED TO LOCAL OFFICE",IF($W428=5,"ESCALATED TO CBE",IF($X428=TODAY(),"EMAIL SENT","MONITORING"))))))))))</f>
        <v/>
      </c>
      <c r="U428" s="17">
        <f>IF($T428="",IF(AND(COUNTA($A428:$K428)&gt;0,$L428=""),"Awaiting Collection Email time stamp.",""),IF(OR($T428="PAID",$T428="CLOSED"),IF($T428="PAID","Account paid. Action completed.","Account closed. No further action required."),CHOOSE($W428,"Collection Email","1st Email Follow-up","2nd Email Follow-up","Escalation to Local Office","Escalation to CBE","Escalation to Roxanne")&amp;" sent "&amp;TEXT($X428,"dd-mmm")&amp;". "&amp;IF($W428=6,"Final escalation completed.",IF($T428="OVERDUE","Next: "&amp;$Z428&amp;" was due "&amp;TEXT($Y428,"dd-mmm")&amp;" - "&amp;(NETWORKDAYS($Y428,TODAY(),Holidays)-1)&amp;" business day(s) late. Send now.",IF($T428="DUE TOMORROW","Next: "&amp;$Z428&amp;IF($Y428&lt;=TODAY()," is due TODAY ("," is due next business day (")&amp;TEXT($Y428,"dd-mmm")&amp;").","Next: "&amp;$Z428&amp;" due "&amp;TEXT($Y428,"dd-mmm")&amp;" ("&amp;(NETWORKDAYS(TODAY(),$Y428,Holidays)-1)&amp;" business day(s) left).")))))</f>
        <v/>
      </c>
      <c r="V428" s="17">
        <f>IF($W428="","",CHOOSE($W428,"Collection Email","1st Follow-up","2nd Follow-up","Local Office","CBE","Roxanne")&amp;IF($W428=6," - Final"," - Day "&amp;MAX(0,NETWORKDAYS($X428,TODAY(),Holidays)-1)&amp;" of "&amp;CHOOSE($W428,3,3,2,2,3))&amp;" | Total Day "&amp;MAX(0,NETWORKDAYS($L428,TODAY(),Holidays)-1))</f>
        <v/>
      </c>
      <c r="W428" s="17">
        <f>IF($L428="","",COUNT($L428:$Q428))</f>
        <v/>
      </c>
      <c r="X428" s="18">
        <f>IF($W428="","",INT(INDEX($L428:$Q428,$W428)))</f>
        <v/>
      </c>
      <c r="Y428" s="18">
        <f>IF(OR($W428="",$W428=6),"",WORKDAY($X428,CHOOSE($W428,3,3,2,2,3),Holidays))</f>
        <v/>
      </c>
      <c r="Z428" s="17">
        <f>IF(OR($W428="",$W428=6),"",CHOOSE($W428,"1st Email Follow-up","2nd Email Follow-up","Escalate Local Office","Escalate to CBE","Escalate to Roxanne"))</f>
        <v/>
      </c>
    </row>
    <row r="429" spans="18:26">
      <c r="R429" s="15"/>
      <c r="S429" s="16"/>
      <c r="T429" s="17">
        <f>IF(AND(COUNTA($A429:$K429)=0,$L429=""),"",IF($S429="Paid","PAID",IF($S429="Closed","CLOSED",IF($W429="","",IF($W429=6,"ESCALATED TO ROXANNE",IF(TODAY()&gt;$Y429,"OVERDUE",IF($Y429&lt;=WORKDAY(TODAY(),1,Holidays),"DUE TOMORROW",IF($W429=4,"ESCALATED TO LOCAL OFFICE",IF($W429=5,"ESCALATED TO CBE",IF($X429=TODAY(),"EMAIL SENT","MONITORING"))))))))))</f>
        <v/>
      </c>
      <c r="U429" s="17">
        <f>IF($T429="",IF(AND(COUNTA($A429:$K429)&gt;0,$L429=""),"Awaiting Collection Email time stamp.",""),IF(OR($T429="PAID",$T429="CLOSED"),IF($T429="PAID","Account paid. Action completed.","Account closed. No further action required."),CHOOSE($W429,"Collection Email","1st Email Follow-up","2nd Email Follow-up","Escalation to Local Office","Escalation to CBE","Escalation to Roxanne")&amp;" sent "&amp;TEXT($X429,"dd-mmm")&amp;". "&amp;IF($W429=6,"Final escalation completed.",IF($T429="OVERDUE","Next: "&amp;$Z429&amp;" was due "&amp;TEXT($Y429,"dd-mmm")&amp;" - "&amp;(NETWORKDAYS($Y429,TODAY(),Holidays)-1)&amp;" business day(s) late. Send now.",IF($T429="DUE TOMORROW","Next: "&amp;$Z429&amp;IF($Y429&lt;=TODAY()," is due TODAY ("," is due next business day (")&amp;TEXT($Y429,"dd-mmm")&amp;").","Next: "&amp;$Z429&amp;" due "&amp;TEXT($Y429,"dd-mmm")&amp;" ("&amp;(NETWORKDAYS(TODAY(),$Y429,Holidays)-1)&amp;" business day(s) left).")))))</f>
        <v/>
      </c>
      <c r="V429" s="17">
        <f>IF($W429="","",CHOOSE($W429,"Collection Email","1st Follow-up","2nd Follow-up","Local Office","CBE","Roxanne")&amp;IF($W429=6," - Final"," - Day "&amp;MAX(0,NETWORKDAYS($X429,TODAY(),Holidays)-1)&amp;" of "&amp;CHOOSE($W429,3,3,2,2,3))&amp;" | Total Day "&amp;MAX(0,NETWORKDAYS($L429,TODAY(),Holidays)-1))</f>
        <v/>
      </c>
      <c r="W429" s="17">
        <f>IF($L429="","",COUNT($L429:$Q429))</f>
        <v/>
      </c>
      <c r="X429" s="18">
        <f>IF($W429="","",INT(INDEX($L429:$Q429,$W429)))</f>
        <v/>
      </c>
      <c r="Y429" s="18">
        <f>IF(OR($W429="",$W429=6),"",WORKDAY($X429,CHOOSE($W429,3,3,2,2,3),Holidays))</f>
        <v/>
      </c>
      <c r="Z429" s="17">
        <f>IF(OR($W429="",$W429=6),"",CHOOSE($W429,"1st Email Follow-up","2nd Email Follow-up","Escalate Local Office","Escalate to CBE","Escalate to Roxanne"))</f>
        <v/>
      </c>
    </row>
    <row r="430" spans="18:26">
      <c r="R430" s="15"/>
      <c r="S430" s="16"/>
      <c r="T430" s="17">
        <f>IF(AND(COUNTA($A430:$K430)=0,$L430=""),"",IF($S430="Paid","PAID",IF($S430="Closed","CLOSED",IF($W430="","",IF($W430=6,"ESCALATED TO ROXANNE",IF(TODAY()&gt;$Y430,"OVERDUE",IF($Y430&lt;=WORKDAY(TODAY(),1,Holidays),"DUE TOMORROW",IF($W430=4,"ESCALATED TO LOCAL OFFICE",IF($W430=5,"ESCALATED TO CBE",IF($X430=TODAY(),"EMAIL SENT","MONITORING"))))))))))</f>
        <v/>
      </c>
      <c r="U430" s="17">
        <f>IF($T430="",IF(AND(COUNTA($A430:$K430)&gt;0,$L430=""),"Awaiting Collection Email time stamp.",""),IF(OR($T430="PAID",$T430="CLOSED"),IF($T430="PAID","Account paid. Action completed.","Account closed. No further action required."),CHOOSE($W430,"Collection Email","1st Email Follow-up","2nd Email Follow-up","Escalation to Local Office","Escalation to CBE","Escalation to Roxanne")&amp;" sent "&amp;TEXT($X430,"dd-mmm")&amp;". "&amp;IF($W430=6,"Final escalation completed.",IF($T430="OVERDUE","Next: "&amp;$Z430&amp;" was due "&amp;TEXT($Y430,"dd-mmm")&amp;" - "&amp;(NETWORKDAYS($Y430,TODAY(),Holidays)-1)&amp;" business day(s) late. Send now.",IF($T430="DUE TOMORROW","Next: "&amp;$Z430&amp;IF($Y430&lt;=TODAY()," is due TODAY ("," is due next business day (")&amp;TEXT($Y430,"dd-mmm")&amp;").","Next: "&amp;$Z430&amp;" due "&amp;TEXT($Y430,"dd-mmm")&amp;" ("&amp;(NETWORKDAYS(TODAY(),$Y430,Holidays)-1)&amp;" business day(s) left).")))))</f>
        <v/>
      </c>
      <c r="V430" s="17">
        <f>IF($W430="","",CHOOSE($W430,"Collection Email","1st Follow-up","2nd Follow-up","Local Office","CBE","Roxanne")&amp;IF($W430=6," - Final"," - Day "&amp;MAX(0,NETWORKDAYS($X430,TODAY(),Holidays)-1)&amp;" of "&amp;CHOOSE($W430,3,3,2,2,3))&amp;" | Total Day "&amp;MAX(0,NETWORKDAYS($L430,TODAY(),Holidays)-1))</f>
        <v/>
      </c>
      <c r="W430" s="17">
        <f>IF($L430="","",COUNT($L430:$Q430))</f>
        <v/>
      </c>
      <c r="X430" s="18">
        <f>IF($W430="","",INT(INDEX($L430:$Q430,$W430)))</f>
        <v/>
      </c>
      <c r="Y430" s="18">
        <f>IF(OR($W430="",$W430=6),"",WORKDAY($X430,CHOOSE($W430,3,3,2,2,3),Holidays))</f>
        <v/>
      </c>
      <c r="Z430" s="17">
        <f>IF(OR($W430="",$W430=6),"",CHOOSE($W430,"1st Email Follow-up","2nd Email Follow-up","Escalate Local Office","Escalate to CBE","Escalate to Roxanne"))</f>
        <v/>
      </c>
    </row>
    <row r="431" spans="18:26">
      <c r="R431" s="15"/>
      <c r="S431" s="16"/>
      <c r="T431" s="17">
        <f>IF(AND(COUNTA($A431:$K431)=0,$L431=""),"",IF($S431="Paid","PAID",IF($S431="Closed","CLOSED",IF($W431="","",IF($W431=6,"ESCALATED TO ROXANNE",IF(TODAY()&gt;$Y431,"OVERDUE",IF($Y431&lt;=WORKDAY(TODAY(),1,Holidays),"DUE TOMORROW",IF($W431=4,"ESCALATED TO LOCAL OFFICE",IF($W431=5,"ESCALATED TO CBE",IF($X431=TODAY(),"EMAIL SENT","MONITORING"))))))))))</f>
        <v/>
      </c>
      <c r="U431" s="17">
        <f>IF($T431="",IF(AND(COUNTA($A431:$K431)&gt;0,$L431=""),"Awaiting Collection Email time stamp.",""),IF(OR($T431="PAID",$T431="CLOSED"),IF($T431="PAID","Account paid. Action completed.","Account closed. No further action required."),CHOOSE($W431,"Collection Email","1st Email Follow-up","2nd Email Follow-up","Escalation to Local Office","Escalation to CBE","Escalation to Roxanne")&amp;" sent "&amp;TEXT($X431,"dd-mmm")&amp;". "&amp;IF($W431=6,"Final escalation completed.",IF($T431="OVERDUE","Next: "&amp;$Z431&amp;" was due "&amp;TEXT($Y431,"dd-mmm")&amp;" - "&amp;(NETWORKDAYS($Y431,TODAY(),Holidays)-1)&amp;" business day(s) late. Send now.",IF($T431="DUE TOMORROW","Next: "&amp;$Z431&amp;IF($Y431&lt;=TODAY()," is due TODAY ("," is due next business day (")&amp;TEXT($Y431,"dd-mmm")&amp;").","Next: "&amp;$Z431&amp;" due "&amp;TEXT($Y431,"dd-mmm")&amp;" ("&amp;(NETWORKDAYS(TODAY(),$Y431,Holidays)-1)&amp;" business day(s) left).")))))</f>
        <v/>
      </c>
      <c r="V431" s="17">
        <f>IF($W431="","",CHOOSE($W431,"Collection Email","1st Follow-up","2nd Follow-up","Local Office","CBE","Roxanne")&amp;IF($W431=6," - Final"," - Day "&amp;MAX(0,NETWORKDAYS($X431,TODAY(),Holidays)-1)&amp;" of "&amp;CHOOSE($W431,3,3,2,2,3))&amp;" | Total Day "&amp;MAX(0,NETWORKDAYS($L431,TODAY(),Holidays)-1))</f>
        <v/>
      </c>
      <c r="W431" s="17">
        <f>IF($L431="","",COUNT($L431:$Q431))</f>
        <v/>
      </c>
      <c r="X431" s="18">
        <f>IF($W431="","",INT(INDEX($L431:$Q431,$W431)))</f>
        <v/>
      </c>
      <c r="Y431" s="18">
        <f>IF(OR($W431="",$W431=6),"",WORKDAY($X431,CHOOSE($W431,3,3,2,2,3),Holidays))</f>
        <v/>
      </c>
      <c r="Z431" s="17">
        <f>IF(OR($W431="",$W431=6),"",CHOOSE($W431,"1st Email Follow-up","2nd Email Follow-up","Escalate Local Office","Escalate to CBE","Escalate to Roxanne"))</f>
        <v/>
      </c>
    </row>
    <row r="432" spans="18:26">
      <c r="R432" s="15"/>
      <c r="S432" s="16"/>
      <c r="T432" s="17">
        <f>IF(AND(COUNTA($A432:$K432)=0,$L432=""),"",IF($S432="Paid","PAID",IF($S432="Closed","CLOSED",IF($W432="","",IF($W432=6,"ESCALATED TO ROXANNE",IF(TODAY()&gt;$Y432,"OVERDUE",IF($Y432&lt;=WORKDAY(TODAY(),1,Holidays),"DUE TOMORROW",IF($W432=4,"ESCALATED TO LOCAL OFFICE",IF($W432=5,"ESCALATED TO CBE",IF($X432=TODAY(),"EMAIL SENT","MONITORING"))))))))))</f>
        <v/>
      </c>
      <c r="U432" s="17">
        <f>IF($T432="",IF(AND(COUNTA($A432:$K432)&gt;0,$L432=""),"Awaiting Collection Email time stamp.",""),IF(OR($T432="PAID",$T432="CLOSED"),IF($T432="PAID","Account paid. Action completed.","Account closed. No further action required."),CHOOSE($W432,"Collection Email","1st Email Follow-up","2nd Email Follow-up","Escalation to Local Office","Escalation to CBE","Escalation to Roxanne")&amp;" sent "&amp;TEXT($X432,"dd-mmm")&amp;". "&amp;IF($W432=6,"Final escalation completed.",IF($T432="OVERDUE","Next: "&amp;$Z432&amp;" was due "&amp;TEXT($Y432,"dd-mmm")&amp;" - "&amp;(NETWORKDAYS($Y432,TODAY(),Holidays)-1)&amp;" business day(s) late. Send now.",IF($T432="DUE TOMORROW","Next: "&amp;$Z432&amp;IF($Y432&lt;=TODAY()," is due TODAY ("," is due next business day (")&amp;TEXT($Y432,"dd-mmm")&amp;").","Next: "&amp;$Z432&amp;" due "&amp;TEXT($Y432,"dd-mmm")&amp;" ("&amp;(NETWORKDAYS(TODAY(),$Y432,Holidays)-1)&amp;" business day(s) left).")))))</f>
        <v/>
      </c>
      <c r="V432" s="17">
        <f>IF($W432="","",CHOOSE($W432,"Collection Email","1st Follow-up","2nd Follow-up","Local Office","CBE","Roxanne")&amp;IF($W432=6," - Final"," - Day "&amp;MAX(0,NETWORKDAYS($X432,TODAY(),Holidays)-1)&amp;" of "&amp;CHOOSE($W432,3,3,2,2,3))&amp;" | Total Day "&amp;MAX(0,NETWORKDAYS($L432,TODAY(),Holidays)-1))</f>
        <v/>
      </c>
      <c r="W432" s="17">
        <f>IF($L432="","",COUNT($L432:$Q432))</f>
        <v/>
      </c>
      <c r="X432" s="18">
        <f>IF($W432="","",INT(INDEX($L432:$Q432,$W432)))</f>
        <v/>
      </c>
      <c r="Y432" s="18">
        <f>IF(OR($W432="",$W432=6),"",WORKDAY($X432,CHOOSE($W432,3,3,2,2,3),Holidays))</f>
        <v/>
      </c>
      <c r="Z432" s="17">
        <f>IF(OR($W432="",$W432=6),"",CHOOSE($W432,"1st Email Follow-up","2nd Email Follow-up","Escalate Local Office","Escalate to CBE","Escalate to Roxanne"))</f>
        <v/>
      </c>
    </row>
    <row r="433" spans="18:26">
      <c r="R433" s="15"/>
      <c r="S433" s="16"/>
      <c r="T433" s="17">
        <f>IF(AND(COUNTA($A433:$K433)=0,$L433=""),"",IF($S433="Paid","PAID",IF($S433="Closed","CLOSED",IF($W433="","",IF($W433=6,"ESCALATED TO ROXANNE",IF(TODAY()&gt;$Y433,"OVERDUE",IF($Y433&lt;=WORKDAY(TODAY(),1,Holidays),"DUE TOMORROW",IF($W433=4,"ESCALATED TO LOCAL OFFICE",IF($W433=5,"ESCALATED TO CBE",IF($X433=TODAY(),"EMAIL SENT","MONITORING"))))))))))</f>
        <v/>
      </c>
      <c r="U433" s="17">
        <f>IF($T433="",IF(AND(COUNTA($A433:$K433)&gt;0,$L433=""),"Awaiting Collection Email time stamp.",""),IF(OR($T433="PAID",$T433="CLOSED"),IF($T433="PAID","Account paid. Action completed.","Account closed. No further action required."),CHOOSE($W433,"Collection Email","1st Email Follow-up","2nd Email Follow-up","Escalation to Local Office","Escalation to CBE","Escalation to Roxanne")&amp;" sent "&amp;TEXT($X433,"dd-mmm")&amp;". "&amp;IF($W433=6,"Final escalation completed.",IF($T433="OVERDUE","Next: "&amp;$Z433&amp;" was due "&amp;TEXT($Y433,"dd-mmm")&amp;" - "&amp;(NETWORKDAYS($Y433,TODAY(),Holidays)-1)&amp;" business day(s) late. Send now.",IF($T433="DUE TOMORROW","Next: "&amp;$Z433&amp;IF($Y433&lt;=TODAY()," is due TODAY ("," is due next business day (")&amp;TEXT($Y433,"dd-mmm")&amp;").","Next: "&amp;$Z433&amp;" due "&amp;TEXT($Y433,"dd-mmm")&amp;" ("&amp;(NETWORKDAYS(TODAY(),$Y433,Holidays)-1)&amp;" business day(s) left).")))))</f>
        <v/>
      </c>
      <c r="V433" s="17">
        <f>IF($W433="","",CHOOSE($W433,"Collection Email","1st Follow-up","2nd Follow-up","Local Office","CBE","Roxanne")&amp;IF($W433=6," - Final"," - Day "&amp;MAX(0,NETWORKDAYS($X433,TODAY(),Holidays)-1)&amp;" of "&amp;CHOOSE($W433,3,3,2,2,3))&amp;" | Total Day "&amp;MAX(0,NETWORKDAYS($L433,TODAY(),Holidays)-1))</f>
        <v/>
      </c>
      <c r="W433" s="17">
        <f>IF($L433="","",COUNT($L433:$Q433))</f>
        <v/>
      </c>
      <c r="X433" s="18">
        <f>IF($W433="","",INT(INDEX($L433:$Q433,$W433)))</f>
        <v/>
      </c>
      <c r="Y433" s="18">
        <f>IF(OR($W433="",$W433=6),"",WORKDAY($X433,CHOOSE($W433,3,3,2,2,3),Holidays))</f>
        <v/>
      </c>
      <c r="Z433" s="17">
        <f>IF(OR($W433="",$W433=6),"",CHOOSE($W433,"1st Email Follow-up","2nd Email Follow-up","Escalate Local Office","Escalate to CBE","Escalate to Roxanne"))</f>
        <v/>
      </c>
    </row>
    <row r="434" spans="18:26">
      <c r="R434" s="15"/>
      <c r="S434" s="16"/>
      <c r="T434" s="17">
        <f>IF(AND(COUNTA($A434:$K434)=0,$L434=""),"",IF($S434="Paid","PAID",IF($S434="Closed","CLOSED",IF($W434="","",IF($W434=6,"ESCALATED TO ROXANNE",IF(TODAY()&gt;$Y434,"OVERDUE",IF($Y434&lt;=WORKDAY(TODAY(),1,Holidays),"DUE TOMORROW",IF($W434=4,"ESCALATED TO LOCAL OFFICE",IF($W434=5,"ESCALATED TO CBE",IF($X434=TODAY(),"EMAIL SENT","MONITORING"))))))))))</f>
        <v/>
      </c>
      <c r="U434" s="17">
        <f>IF($T434="",IF(AND(COUNTA($A434:$K434)&gt;0,$L434=""),"Awaiting Collection Email time stamp.",""),IF(OR($T434="PAID",$T434="CLOSED"),IF($T434="PAID","Account paid. Action completed.","Account closed. No further action required."),CHOOSE($W434,"Collection Email","1st Email Follow-up","2nd Email Follow-up","Escalation to Local Office","Escalation to CBE","Escalation to Roxanne")&amp;" sent "&amp;TEXT($X434,"dd-mmm")&amp;". "&amp;IF($W434=6,"Final escalation completed.",IF($T434="OVERDUE","Next: "&amp;$Z434&amp;" was due "&amp;TEXT($Y434,"dd-mmm")&amp;" - "&amp;(NETWORKDAYS($Y434,TODAY(),Holidays)-1)&amp;" business day(s) late. Send now.",IF($T434="DUE TOMORROW","Next: "&amp;$Z434&amp;IF($Y434&lt;=TODAY()," is due TODAY ("," is due next business day (")&amp;TEXT($Y434,"dd-mmm")&amp;").","Next: "&amp;$Z434&amp;" due "&amp;TEXT($Y434,"dd-mmm")&amp;" ("&amp;(NETWORKDAYS(TODAY(),$Y434,Holidays)-1)&amp;" business day(s) left).")))))</f>
        <v/>
      </c>
      <c r="V434" s="17">
        <f>IF($W434="","",CHOOSE($W434,"Collection Email","1st Follow-up","2nd Follow-up","Local Office","CBE","Roxanne")&amp;IF($W434=6," - Final"," - Day "&amp;MAX(0,NETWORKDAYS($X434,TODAY(),Holidays)-1)&amp;" of "&amp;CHOOSE($W434,3,3,2,2,3))&amp;" | Total Day "&amp;MAX(0,NETWORKDAYS($L434,TODAY(),Holidays)-1))</f>
        <v/>
      </c>
      <c r="W434" s="17">
        <f>IF($L434="","",COUNT($L434:$Q434))</f>
        <v/>
      </c>
      <c r="X434" s="18">
        <f>IF($W434="","",INT(INDEX($L434:$Q434,$W434)))</f>
        <v/>
      </c>
      <c r="Y434" s="18">
        <f>IF(OR($W434="",$W434=6),"",WORKDAY($X434,CHOOSE($W434,3,3,2,2,3),Holidays))</f>
        <v/>
      </c>
      <c r="Z434" s="17">
        <f>IF(OR($W434="",$W434=6),"",CHOOSE($W434,"1st Email Follow-up","2nd Email Follow-up","Escalate Local Office","Escalate to CBE","Escalate to Roxanne"))</f>
        <v/>
      </c>
    </row>
    <row r="435" spans="18:26">
      <c r="R435" s="15"/>
      <c r="S435" s="16"/>
      <c r="T435" s="17">
        <f>IF(AND(COUNTA($A435:$K435)=0,$L435=""),"",IF($S435="Paid","PAID",IF($S435="Closed","CLOSED",IF($W435="","",IF($W435=6,"ESCALATED TO ROXANNE",IF(TODAY()&gt;$Y435,"OVERDUE",IF($Y435&lt;=WORKDAY(TODAY(),1,Holidays),"DUE TOMORROW",IF($W435=4,"ESCALATED TO LOCAL OFFICE",IF($W435=5,"ESCALATED TO CBE",IF($X435=TODAY(),"EMAIL SENT","MONITORING"))))))))))</f>
        <v/>
      </c>
      <c r="U435" s="17">
        <f>IF($T435="",IF(AND(COUNTA($A435:$K435)&gt;0,$L435=""),"Awaiting Collection Email time stamp.",""),IF(OR($T435="PAID",$T435="CLOSED"),IF($T435="PAID","Account paid. Action completed.","Account closed. No further action required."),CHOOSE($W435,"Collection Email","1st Email Follow-up","2nd Email Follow-up","Escalation to Local Office","Escalation to CBE","Escalation to Roxanne")&amp;" sent "&amp;TEXT($X435,"dd-mmm")&amp;". "&amp;IF($W435=6,"Final escalation completed.",IF($T435="OVERDUE","Next: "&amp;$Z435&amp;" was due "&amp;TEXT($Y435,"dd-mmm")&amp;" - "&amp;(NETWORKDAYS($Y435,TODAY(),Holidays)-1)&amp;" business day(s) late. Send now.",IF($T435="DUE TOMORROW","Next: "&amp;$Z435&amp;IF($Y435&lt;=TODAY()," is due TODAY ("," is due next business day (")&amp;TEXT($Y435,"dd-mmm")&amp;").","Next: "&amp;$Z435&amp;" due "&amp;TEXT($Y435,"dd-mmm")&amp;" ("&amp;(NETWORKDAYS(TODAY(),$Y435,Holidays)-1)&amp;" business day(s) left).")))))</f>
        <v/>
      </c>
      <c r="V435" s="17">
        <f>IF($W435="","",CHOOSE($W435,"Collection Email","1st Follow-up","2nd Follow-up","Local Office","CBE","Roxanne")&amp;IF($W435=6," - Final"," - Day "&amp;MAX(0,NETWORKDAYS($X435,TODAY(),Holidays)-1)&amp;" of "&amp;CHOOSE($W435,3,3,2,2,3))&amp;" | Total Day "&amp;MAX(0,NETWORKDAYS($L435,TODAY(),Holidays)-1))</f>
        <v/>
      </c>
      <c r="W435" s="17">
        <f>IF($L435="","",COUNT($L435:$Q435))</f>
        <v/>
      </c>
      <c r="X435" s="18">
        <f>IF($W435="","",INT(INDEX($L435:$Q435,$W435)))</f>
        <v/>
      </c>
      <c r="Y435" s="18">
        <f>IF(OR($W435="",$W435=6),"",WORKDAY($X435,CHOOSE($W435,3,3,2,2,3),Holidays))</f>
        <v/>
      </c>
      <c r="Z435" s="17">
        <f>IF(OR($W435="",$W435=6),"",CHOOSE($W435,"1st Email Follow-up","2nd Email Follow-up","Escalate Local Office","Escalate to CBE","Escalate to Roxanne"))</f>
        <v/>
      </c>
    </row>
    <row r="436" spans="18:26">
      <c r="R436" s="15"/>
      <c r="S436" s="16"/>
      <c r="T436" s="17">
        <f>IF(AND(COUNTA($A436:$K436)=0,$L436=""),"",IF($S436="Paid","PAID",IF($S436="Closed","CLOSED",IF($W436="","",IF($W436=6,"ESCALATED TO ROXANNE",IF(TODAY()&gt;$Y436,"OVERDUE",IF($Y436&lt;=WORKDAY(TODAY(),1,Holidays),"DUE TOMORROW",IF($W436=4,"ESCALATED TO LOCAL OFFICE",IF($W436=5,"ESCALATED TO CBE",IF($X436=TODAY(),"EMAIL SENT","MONITORING"))))))))))</f>
        <v/>
      </c>
      <c r="U436" s="17">
        <f>IF($T436="",IF(AND(COUNTA($A436:$K436)&gt;0,$L436=""),"Awaiting Collection Email time stamp.",""),IF(OR($T436="PAID",$T436="CLOSED"),IF($T436="PAID","Account paid. Action completed.","Account closed. No further action required."),CHOOSE($W436,"Collection Email","1st Email Follow-up","2nd Email Follow-up","Escalation to Local Office","Escalation to CBE","Escalation to Roxanne")&amp;" sent "&amp;TEXT($X436,"dd-mmm")&amp;". "&amp;IF($W436=6,"Final escalation completed.",IF($T436="OVERDUE","Next: "&amp;$Z436&amp;" was due "&amp;TEXT($Y436,"dd-mmm")&amp;" - "&amp;(NETWORKDAYS($Y436,TODAY(),Holidays)-1)&amp;" business day(s) late. Send now.",IF($T436="DUE TOMORROW","Next: "&amp;$Z436&amp;IF($Y436&lt;=TODAY()," is due TODAY ("," is due next business day (")&amp;TEXT($Y436,"dd-mmm")&amp;").","Next: "&amp;$Z436&amp;" due "&amp;TEXT($Y436,"dd-mmm")&amp;" ("&amp;(NETWORKDAYS(TODAY(),$Y436,Holidays)-1)&amp;" business day(s) left).")))))</f>
        <v/>
      </c>
      <c r="V436" s="17">
        <f>IF($W436="","",CHOOSE($W436,"Collection Email","1st Follow-up","2nd Follow-up","Local Office","CBE","Roxanne")&amp;IF($W436=6," - Final"," - Day "&amp;MAX(0,NETWORKDAYS($X436,TODAY(),Holidays)-1)&amp;" of "&amp;CHOOSE($W436,3,3,2,2,3))&amp;" | Total Day "&amp;MAX(0,NETWORKDAYS($L436,TODAY(),Holidays)-1))</f>
        <v/>
      </c>
      <c r="W436" s="17">
        <f>IF($L436="","",COUNT($L436:$Q436))</f>
        <v/>
      </c>
      <c r="X436" s="18">
        <f>IF($W436="","",INT(INDEX($L436:$Q436,$W436)))</f>
        <v/>
      </c>
      <c r="Y436" s="18">
        <f>IF(OR($W436="",$W436=6),"",WORKDAY($X436,CHOOSE($W436,3,3,2,2,3),Holidays))</f>
        <v/>
      </c>
      <c r="Z436" s="17">
        <f>IF(OR($W436="",$W436=6),"",CHOOSE($W436,"1st Email Follow-up","2nd Email Follow-up","Escalate Local Office","Escalate to CBE","Escalate to Roxanne"))</f>
        <v/>
      </c>
    </row>
    <row r="437" spans="18:26">
      <c r="R437" s="15"/>
      <c r="S437" s="16"/>
      <c r="T437" s="17">
        <f>IF(AND(COUNTA($A437:$K437)=0,$L437=""),"",IF($S437="Paid","PAID",IF($S437="Closed","CLOSED",IF($W437="","",IF($W437=6,"ESCALATED TO ROXANNE",IF(TODAY()&gt;$Y437,"OVERDUE",IF($Y437&lt;=WORKDAY(TODAY(),1,Holidays),"DUE TOMORROW",IF($W437=4,"ESCALATED TO LOCAL OFFICE",IF($W437=5,"ESCALATED TO CBE",IF($X437=TODAY(),"EMAIL SENT","MONITORING"))))))))))</f>
        <v/>
      </c>
      <c r="U437" s="17">
        <f>IF($T437="",IF(AND(COUNTA($A437:$K437)&gt;0,$L437=""),"Awaiting Collection Email time stamp.",""),IF(OR($T437="PAID",$T437="CLOSED"),IF($T437="PAID","Account paid. Action completed.","Account closed. No further action required."),CHOOSE($W437,"Collection Email","1st Email Follow-up","2nd Email Follow-up","Escalation to Local Office","Escalation to CBE","Escalation to Roxanne")&amp;" sent "&amp;TEXT($X437,"dd-mmm")&amp;". "&amp;IF($W437=6,"Final escalation completed.",IF($T437="OVERDUE","Next: "&amp;$Z437&amp;" was due "&amp;TEXT($Y437,"dd-mmm")&amp;" - "&amp;(NETWORKDAYS($Y437,TODAY(),Holidays)-1)&amp;" business day(s) late. Send now.",IF($T437="DUE TOMORROW","Next: "&amp;$Z437&amp;IF($Y437&lt;=TODAY()," is due TODAY ("," is due next business day (")&amp;TEXT($Y437,"dd-mmm")&amp;").","Next: "&amp;$Z437&amp;" due "&amp;TEXT($Y437,"dd-mmm")&amp;" ("&amp;(NETWORKDAYS(TODAY(),$Y437,Holidays)-1)&amp;" business day(s) left).")))))</f>
        <v/>
      </c>
      <c r="V437" s="17">
        <f>IF($W437="","",CHOOSE($W437,"Collection Email","1st Follow-up","2nd Follow-up","Local Office","CBE","Roxanne")&amp;IF($W437=6," - Final"," - Day "&amp;MAX(0,NETWORKDAYS($X437,TODAY(),Holidays)-1)&amp;" of "&amp;CHOOSE($W437,3,3,2,2,3))&amp;" | Total Day "&amp;MAX(0,NETWORKDAYS($L437,TODAY(),Holidays)-1))</f>
        <v/>
      </c>
      <c r="W437" s="17">
        <f>IF($L437="","",COUNT($L437:$Q437))</f>
        <v/>
      </c>
      <c r="X437" s="18">
        <f>IF($W437="","",INT(INDEX($L437:$Q437,$W437)))</f>
        <v/>
      </c>
      <c r="Y437" s="18">
        <f>IF(OR($W437="",$W437=6),"",WORKDAY($X437,CHOOSE($W437,3,3,2,2,3),Holidays))</f>
        <v/>
      </c>
      <c r="Z437" s="17">
        <f>IF(OR($W437="",$W437=6),"",CHOOSE($W437,"1st Email Follow-up","2nd Email Follow-up","Escalate Local Office","Escalate to CBE","Escalate to Roxanne"))</f>
        <v/>
      </c>
    </row>
    <row r="438" spans="18:26">
      <c r="R438" s="15"/>
      <c r="S438" s="16"/>
      <c r="T438" s="17">
        <f>IF(AND(COUNTA($A438:$K438)=0,$L438=""),"",IF($S438="Paid","PAID",IF($S438="Closed","CLOSED",IF($W438="","",IF($W438=6,"ESCALATED TO ROXANNE",IF(TODAY()&gt;$Y438,"OVERDUE",IF($Y438&lt;=WORKDAY(TODAY(),1,Holidays),"DUE TOMORROW",IF($W438=4,"ESCALATED TO LOCAL OFFICE",IF($W438=5,"ESCALATED TO CBE",IF($X438=TODAY(),"EMAIL SENT","MONITORING"))))))))))</f>
        <v/>
      </c>
      <c r="U438" s="17">
        <f>IF($T438="",IF(AND(COUNTA($A438:$K438)&gt;0,$L438=""),"Awaiting Collection Email time stamp.",""),IF(OR($T438="PAID",$T438="CLOSED"),IF($T438="PAID","Account paid. Action completed.","Account closed. No further action required."),CHOOSE($W438,"Collection Email","1st Email Follow-up","2nd Email Follow-up","Escalation to Local Office","Escalation to CBE","Escalation to Roxanne")&amp;" sent "&amp;TEXT($X438,"dd-mmm")&amp;". "&amp;IF($W438=6,"Final escalation completed.",IF($T438="OVERDUE","Next: "&amp;$Z438&amp;" was due "&amp;TEXT($Y438,"dd-mmm")&amp;" - "&amp;(NETWORKDAYS($Y438,TODAY(),Holidays)-1)&amp;" business day(s) late. Send now.",IF($T438="DUE TOMORROW","Next: "&amp;$Z438&amp;IF($Y438&lt;=TODAY()," is due TODAY ("," is due next business day (")&amp;TEXT($Y438,"dd-mmm")&amp;").","Next: "&amp;$Z438&amp;" due "&amp;TEXT($Y438,"dd-mmm")&amp;" ("&amp;(NETWORKDAYS(TODAY(),$Y438,Holidays)-1)&amp;" business day(s) left).")))))</f>
        <v/>
      </c>
      <c r="V438" s="17">
        <f>IF($W438="","",CHOOSE($W438,"Collection Email","1st Follow-up","2nd Follow-up","Local Office","CBE","Roxanne")&amp;IF($W438=6," - Final"," - Day "&amp;MAX(0,NETWORKDAYS($X438,TODAY(),Holidays)-1)&amp;" of "&amp;CHOOSE($W438,3,3,2,2,3))&amp;" | Total Day "&amp;MAX(0,NETWORKDAYS($L438,TODAY(),Holidays)-1))</f>
        <v/>
      </c>
      <c r="W438" s="17">
        <f>IF($L438="","",COUNT($L438:$Q438))</f>
        <v/>
      </c>
      <c r="X438" s="18">
        <f>IF($W438="","",INT(INDEX($L438:$Q438,$W438)))</f>
        <v/>
      </c>
      <c r="Y438" s="18">
        <f>IF(OR($W438="",$W438=6),"",WORKDAY($X438,CHOOSE($W438,3,3,2,2,3),Holidays))</f>
        <v/>
      </c>
      <c r="Z438" s="17">
        <f>IF(OR($W438="",$W438=6),"",CHOOSE($W438,"1st Email Follow-up","2nd Email Follow-up","Escalate Local Office","Escalate to CBE","Escalate to Roxanne"))</f>
        <v/>
      </c>
    </row>
    <row r="439" spans="18:26">
      <c r="R439" s="15"/>
      <c r="S439" s="16"/>
      <c r="T439" s="17">
        <f>IF(AND(COUNTA($A439:$K439)=0,$L439=""),"",IF($S439="Paid","PAID",IF($S439="Closed","CLOSED",IF($W439="","",IF($W439=6,"ESCALATED TO ROXANNE",IF(TODAY()&gt;$Y439,"OVERDUE",IF($Y439&lt;=WORKDAY(TODAY(),1,Holidays),"DUE TOMORROW",IF($W439=4,"ESCALATED TO LOCAL OFFICE",IF($W439=5,"ESCALATED TO CBE",IF($X439=TODAY(),"EMAIL SENT","MONITORING"))))))))))</f>
        <v/>
      </c>
      <c r="U439" s="17">
        <f>IF($T439="",IF(AND(COUNTA($A439:$K439)&gt;0,$L439=""),"Awaiting Collection Email time stamp.",""),IF(OR($T439="PAID",$T439="CLOSED"),IF($T439="PAID","Account paid. Action completed.","Account closed. No further action required."),CHOOSE($W439,"Collection Email","1st Email Follow-up","2nd Email Follow-up","Escalation to Local Office","Escalation to CBE","Escalation to Roxanne")&amp;" sent "&amp;TEXT($X439,"dd-mmm")&amp;". "&amp;IF($W439=6,"Final escalation completed.",IF($T439="OVERDUE","Next: "&amp;$Z439&amp;" was due "&amp;TEXT($Y439,"dd-mmm")&amp;" - "&amp;(NETWORKDAYS($Y439,TODAY(),Holidays)-1)&amp;" business day(s) late. Send now.",IF($T439="DUE TOMORROW","Next: "&amp;$Z439&amp;IF($Y439&lt;=TODAY()," is due TODAY ("," is due next business day (")&amp;TEXT($Y439,"dd-mmm")&amp;").","Next: "&amp;$Z439&amp;" due "&amp;TEXT($Y439,"dd-mmm")&amp;" ("&amp;(NETWORKDAYS(TODAY(),$Y439,Holidays)-1)&amp;" business day(s) left).")))))</f>
        <v/>
      </c>
      <c r="V439" s="17">
        <f>IF($W439="","",CHOOSE($W439,"Collection Email","1st Follow-up","2nd Follow-up","Local Office","CBE","Roxanne")&amp;IF($W439=6," - Final"," - Day "&amp;MAX(0,NETWORKDAYS($X439,TODAY(),Holidays)-1)&amp;" of "&amp;CHOOSE($W439,3,3,2,2,3))&amp;" | Total Day "&amp;MAX(0,NETWORKDAYS($L439,TODAY(),Holidays)-1))</f>
        <v/>
      </c>
      <c r="W439" s="17">
        <f>IF($L439="","",COUNT($L439:$Q439))</f>
        <v/>
      </c>
      <c r="X439" s="18">
        <f>IF($W439="","",INT(INDEX($L439:$Q439,$W439)))</f>
        <v/>
      </c>
      <c r="Y439" s="18">
        <f>IF(OR($W439="",$W439=6),"",WORKDAY($X439,CHOOSE($W439,3,3,2,2,3),Holidays))</f>
        <v/>
      </c>
      <c r="Z439" s="17">
        <f>IF(OR($W439="",$W439=6),"",CHOOSE($W439,"1st Email Follow-up","2nd Email Follow-up","Escalate Local Office","Escalate to CBE","Escalate to Roxanne"))</f>
        <v/>
      </c>
    </row>
    <row r="440" spans="18:26">
      <c r="R440" s="15"/>
      <c r="S440" s="16"/>
      <c r="T440" s="17">
        <f>IF(AND(COUNTA($A440:$K440)=0,$L440=""),"",IF($S440="Paid","PAID",IF($S440="Closed","CLOSED",IF($W440="","",IF($W440=6,"ESCALATED TO ROXANNE",IF(TODAY()&gt;$Y440,"OVERDUE",IF($Y440&lt;=WORKDAY(TODAY(),1,Holidays),"DUE TOMORROW",IF($W440=4,"ESCALATED TO LOCAL OFFICE",IF($W440=5,"ESCALATED TO CBE",IF($X440=TODAY(),"EMAIL SENT","MONITORING"))))))))))</f>
        <v/>
      </c>
      <c r="U440" s="17">
        <f>IF($T440="",IF(AND(COUNTA($A440:$K440)&gt;0,$L440=""),"Awaiting Collection Email time stamp.",""),IF(OR($T440="PAID",$T440="CLOSED"),IF($T440="PAID","Account paid. Action completed.","Account closed. No further action required."),CHOOSE($W440,"Collection Email","1st Email Follow-up","2nd Email Follow-up","Escalation to Local Office","Escalation to CBE","Escalation to Roxanne")&amp;" sent "&amp;TEXT($X440,"dd-mmm")&amp;". "&amp;IF($W440=6,"Final escalation completed.",IF($T440="OVERDUE","Next: "&amp;$Z440&amp;" was due "&amp;TEXT($Y440,"dd-mmm")&amp;" - "&amp;(NETWORKDAYS($Y440,TODAY(),Holidays)-1)&amp;" business day(s) late. Send now.",IF($T440="DUE TOMORROW","Next: "&amp;$Z440&amp;IF($Y440&lt;=TODAY()," is due TODAY ("," is due next business day (")&amp;TEXT($Y440,"dd-mmm")&amp;").","Next: "&amp;$Z440&amp;" due "&amp;TEXT($Y440,"dd-mmm")&amp;" ("&amp;(NETWORKDAYS(TODAY(),$Y440,Holidays)-1)&amp;" business day(s) left).")))))</f>
        <v/>
      </c>
      <c r="V440" s="17">
        <f>IF($W440="","",CHOOSE($W440,"Collection Email","1st Follow-up","2nd Follow-up","Local Office","CBE","Roxanne")&amp;IF($W440=6," - Final"," - Day "&amp;MAX(0,NETWORKDAYS($X440,TODAY(),Holidays)-1)&amp;" of "&amp;CHOOSE($W440,3,3,2,2,3))&amp;" | Total Day "&amp;MAX(0,NETWORKDAYS($L440,TODAY(),Holidays)-1))</f>
        <v/>
      </c>
      <c r="W440" s="17">
        <f>IF($L440="","",COUNT($L440:$Q440))</f>
        <v/>
      </c>
      <c r="X440" s="18">
        <f>IF($W440="","",INT(INDEX($L440:$Q440,$W440)))</f>
        <v/>
      </c>
      <c r="Y440" s="18">
        <f>IF(OR($W440="",$W440=6),"",WORKDAY($X440,CHOOSE($W440,3,3,2,2,3),Holidays))</f>
        <v/>
      </c>
      <c r="Z440" s="17">
        <f>IF(OR($W440="",$W440=6),"",CHOOSE($W440,"1st Email Follow-up","2nd Email Follow-up","Escalate Local Office","Escalate to CBE","Escalate to Roxanne"))</f>
        <v/>
      </c>
    </row>
    <row r="441" spans="18:26">
      <c r="R441" s="15"/>
      <c r="S441" s="16"/>
      <c r="T441" s="17">
        <f>IF(AND(COUNTA($A441:$K441)=0,$L441=""),"",IF($S441="Paid","PAID",IF($S441="Closed","CLOSED",IF($W441="","",IF($W441=6,"ESCALATED TO ROXANNE",IF(TODAY()&gt;$Y441,"OVERDUE",IF($Y441&lt;=WORKDAY(TODAY(),1,Holidays),"DUE TOMORROW",IF($W441=4,"ESCALATED TO LOCAL OFFICE",IF($W441=5,"ESCALATED TO CBE",IF($X441=TODAY(),"EMAIL SENT","MONITORING"))))))))))</f>
        <v/>
      </c>
      <c r="U441" s="17">
        <f>IF($T441="",IF(AND(COUNTA($A441:$K441)&gt;0,$L441=""),"Awaiting Collection Email time stamp.",""),IF(OR($T441="PAID",$T441="CLOSED"),IF($T441="PAID","Account paid. Action completed.","Account closed. No further action required."),CHOOSE($W441,"Collection Email","1st Email Follow-up","2nd Email Follow-up","Escalation to Local Office","Escalation to CBE","Escalation to Roxanne")&amp;" sent "&amp;TEXT($X441,"dd-mmm")&amp;". "&amp;IF($W441=6,"Final escalation completed.",IF($T441="OVERDUE","Next: "&amp;$Z441&amp;" was due "&amp;TEXT($Y441,"dd-mmm")&amp;" - "&amp;(NETWORKDAYS($Y441,TODAY(),Holidays)-1)&amp;" business day(s) late. Send now.",IF($T441="DUE TOMORROW","Next: "&amp;$Z441&amp;IF($Y441&lt;=TODAY()," is due TODAY ("," is due next business day (")&amp;TEXT($Y441,"dd-mmm")&amp;").","Next: "&amp;$Z441&amp;" due "&amp;TEXT($Y441,"dd-mmm")&amp;" ("&amp;(NETWORKDAYS(TODAY(),$Y441,Holidays)-1)&amp;" business day(s) left).")))))</f>
        <v/>
      </c>
      <c r="V441" s="17">
        <f>IF($W441="","",CHOOSE($W441,"Collection Email","1st Follow-up","2nd Follow-up","Local Office","CBE","Roxanne")&amp;IF($W441=6," - Final"," - Day "&amp;MAX(0,NETWORKDAYS($X441,TODAY(),Holidays)-1)&amp;" of "&amp;CHOOSE($W441,3,3,2,2,3))&amp;" | Total Day "&amp;MAX(0,NETWORKDAYS($L441,TODAY(),Holidays)-1))</f>
        <v/>
      </c>
      <c r="W441" s="17">
        <f>IF($L441="","",COUNT($L441:$Q441))</f>
        <v/>
      </c>
      <c r="X441" s="18">
        <f>IF($W441="","",INT(INDEX($L441:$Q441,$W441)))</f>
        <v/>
      </c>
      <c r="Y441" s="18">
        <f>IF(OR($W441="",$W441=6),"",WORKDAY($X441,CHOOSE($W441,3,3,2,2,3),Holidays))</f>
        <v/>
      </c>
      <c r="Z441" s="17">
        <f>IF(OR($W441="",$W441=6),"",CHOOSE($W441,"1st Email Follow-up","2nd Email Follow-up","Escalate Local Office","Escalate to CBE","Escalate to Roxanne"))</f>
        <v/>
      </c>
    </row>
    <row r="442" spans="18:26">
      <c r="R442" s="15"/>
      <c r="S442" s="16"/>
      <c r="T442" s="17">
        <f>IF(AND(COUNTA($A442:$K442)=0,$L442=""),"",IF($S442="Paid","PAID",IF($S442="Closed","CLOSED",IF($W442="","",IF($W442=6,"ESCALATED TO ROXANNE",IF(TODAY()&gt;$Y442,"OVERDUE",IF($Y442&lt;=WORKDAY(TODAY(),1,Holidays),"DUE TOMORROW",IF($W442=4,"ESCALATED TO LOCAL OFFICE",IF($W442=5,"ESCALATED TO CBE",IF($X442=TODAY(),"EMAIL SENT","MONITORING"))))))))))</f>
        <v/>
      </c>
      <c r="U442" s="17">
        <f>IF($T442="",IF(AND(COUNTA($A442:$K442)&gt;0,$L442=""),"Awaiting Collection Email time stamp.",""),IF(OR($T442="PAID",$T442="CLOSED"),IF($T442="PAID","Account paid. Action completed.","Account closed. No further action required."),CHOOSE($W442,"Collection Email","1st Email Follow-up","2nd Email Follow-up","Escalation to Local Office","Escalation to CBE","Escalation to Roxanne")&amp;" sent "&amp;TEXT($X442,"dd-mmm")&amp;". "&amp;IF($W442=6,"Final escalation completed.",IF($T442="OVERDUE","Next: "&amp;$Z442&amp;" was due "&amp;TEXT($Y442,"dd-mmm")&amp;" - "&amp;(NETWORKDAYS($Y442,TODAY(),Holidays)-1)&amp;" business day(s) late. Send now.",IF($T442="DUE TOMORROW","Next: "&amp;$Z442&amp;IF($Y442&lt;=TODAY()," is due TODAY ("," is due next business day (")&amp;TEXT($Y442,"dd-mmm")&amp;").","Next: "&amp;$Z442&amp;" due "&amp;TEXT($Y442,"dd-mmm")&amp;" ("&amp;(NETWORKDAYS(TODAY(),$Y442,Holidays)-1)&amp;" business day(s) left).")))))</f>
        <v/>
      </c>
      <c r="V442" s="17">
        <f>IF($W442="","",CHOOSE($W442,"Collection Email","1st Follow-up","2nd Follow-up","Local Office","CBE","Roxanne")&amp;IF($W442=6," - Final"," - Day "&amp;MAX(0,NETWORKDAYS($X442,TODAY(),Holidays)-1)&amp;" of "&amp;CHOOSE($W442,3,3,2,2,3))&amp;" | Total Day "&amp;MAX(0,NETWORKDAYS($L442,TODAY(),Holidays)-1))</f>
        <v/>
      </c>
      <c r="W442" s="17">
        <f>IF($L442="","",COUNT($L442:$Q442))</f>
        <v/>
      </c>
      <c r="X442" s="18">
        <f>IF($W442="","",INT(INDEX($L442:$Q442,$W442)))</f>
        <v/>
      </c>
      <c r="Y442" s="18">
        <f>IF(OR($W442="",$W442=6),"",WORKDAY($X442,CHOOSE($W442,3,3,2,2,3),Holidays))</f>
        <v/>
      </c>
      <c r="Z442" s="17">
        <f>IF(OR($W442="",$W442=6),"",CHOOSE($W442,"1st Email Follow-up","2nd Email Follow-up","Escalate Local Office","Escalate to CBE","Escalate to Roxanne"))</f>
        <v/>
      </c>
    </row>
    <row r="443" spans="18:26">
      <c r="R443" s="15"/>
      <c r="S443" s="16"/>
      <c r="T443" s="17">
        <f>IF(AND(COUNTA($A443:$K443)=0,$L443=""),"",IF($S443="Paid","PAID",IF($S443="Closed","CLOSED",IF($W443="","",IF($W443=6,"ESCALATED TO ROXANNE",IF(TODAY()&gt;$Y443,"OVERDUE",IF($Y443&lt;=WORKDAY(TODAY(),1,Holidays),"DUE TOMORROW",IF($W443=4,"ESCALATED TO LOCAL OFFICE",IF($W443=5,"ESCALATED TO CBE",IF($X443=TODAY(),"EMAIL SENT","MONITORING"))))))))))</f>
        <v/>
      </c>
      <c r="U443" s="17">
        <f>IF($T443="",IF(AND(COUNTA($A443:$K443)&gt;0,$L443=""),"Awaiting Collection Email time stamp.",""),IF(OR($T443="PAID",$T443="CLOSED"),IF($T443="PAID","Account paid. Action completed.","Account closed. No further action required."),CHOOSE($W443,"Collection Email","1st Email Follow-up","2nd Email Follow-up","Escalation to Local Office","Escalation to CBE","Escalation to Roxanne")&amp;" sent "&amp;TEXT($X443,"dd-mmm")&amp;". "&amp;IF($W443=6,"Final escalation completed.",IF($T443="OVERDUE","Next: "&amp;$Z443&amp;" was due "&amp;TEXT($Y443,"dd-mmm")&amp;" - "&amp;(NETWORKDAYS($Y443,TODAY(),Holidays)-1)&amp;" business day(s) late. Send now.",IF($T443="DUE TOMORROW","Next: "&amp;$Z443&amp;IF($Y443&lt;=TODAY()," is due TODAY ("," is due next business day (")&amp;TEXT($Y443,"dd-mmm")&amp;").","Next: "&amp;$Z443&amp;" due "&amp;TEXT($Y443,"dd-mmm")&amp;" ("&amp;(NETWORKDAYS(TODAY(),$Y443,Holidays)-1)&amp;" business day(s) left).")))))</f>
        <v/>
      </c>
      <c r="V443" s="17">
        <f>IF($W443="","",CHOOSE($W443,"Collection Email","1st Follow-up","2nd Follow-up","Local Office","CBE","Roxanne")&amp;IF($W443=6," - Final"," - Day "&amp;MAX(0,NETWORKDAYS($X443,TODAY(),Holidays)-1)&amp;" of "&amp;CHOOSE($W443,3,3,2,2,3))&amp;" | Total Day "&amp;MAX(0,NETWORKDAYS($L443,TODAY(),Holidays)-1))</f>
        <v/>
      </c>
      <c r="W443" s="17">
        <f>IF($L443="","",COUNT($L443:$Q443))</f>
        <v/>
      </c>
      <c r="X443" s="18">
        <f>IF($W443="","",INT(INDEX($L443:$Q443,$W443)))</f>
        <v/>
      </c>
      <c r="Y443" s="18">
        <f>IF(OR($W443="",$W443=6),"",WORKDAY($X443,CHOOSE($W443,3,3,2,2,3),Holidays))</f>
        <v/>
      </c>
      <c r="Z443" s="17">
        <f>IF(OR($W443="",$W443=6),"",CHOOSE($W443,"1st Email Follow-up","2nd Email Follow-up","Escalate Local Office","Escalate to CBE","Escalate to Roxanne"))</f>
        <v/>
      </c>
    </row>
    <row r="444" spans="18:26">
      <c r="R444" s="15"/>
      <c r="S444" s="16"/>
      <c r="T444" s="17">
        <f>IF(AND(COUNTA($A444:$K444)=0,$L444=""),"",IF($S444="Paid","PAID",IF($S444="Closed","CLOSED",IF($W444="","",IF($W444=6,"ESCALATED TO ROXANNE",IF(TODAY()&gt;$Y444,"OVERDUE",IF($Y444&lt;=WORKDAY(TODAY(),1,Holidays),"DUE TOMORROW",IF($W444=4,"ESCALATED TO LOCAL OFFICE",IF($W444=5,"ESCALATED TO CBE",IF($X444=TODAY(),"EMAIL SENT","MONITORING"))))))))))</f>
        <v/>
      </c>
      <c r="U444" s="17">
        <f>IF($T444="",IF(AND(COUNTA($A444:$K444)&gt;0,$L444=""),"Awaiting Collection Email time stamp.",""),IF(OR($T444="PAID",$T444="CLOSED"),IF($T444="PAID","Account paid. Action completed.","Account closed. No further action required."),CHOOSE($W444,"Collection Email","1st Email Follow-up","2nd Email Follow-up","Escalation to Local Office","Escalation to CBE","Escalation to Roxanne")&amp;" sent "&amp;TEXT($X444,"dd-mmm")&amp;". "&amp;IF($W444=6,"Final escalation completed.",IF($T444="OVERDUE","Next: "&amp;$Z444&amp;" was due "&amp;TEXT($Y444,"dd-mmm")&amp;" - "&amp;(NETWORKDAYS($Y444,TODAY(),Holidays)-1)&amp;" business day(s) late. Send now.",IF($T444="DUE TOMORROW","Next: "&amp;$Z444&amp;IF($Y444&lt;=TODAY()," is due TODAY ("," is due next business day (")&amp;TEXT($Y444,"dd-mmm")&amp;").","Next: "&amp;$Z444&amp;" due "&amp;TEXT($Y444,"dd-mmm")&amp;" ("&amp;(NETWORKDAYS(TODAY(),$Y444,Holidays)-1)&amp;" business day(s) left).")))))</f>
        <v/>
      </c>
      <c r="V444" s="17">
        <f>IF($W444="","",CHOOSE($W444,"Collection Email","1st Follow-up","2nd Follow-up","Local Office","CBE","Roxanne")&amp;IF($W444=6," - Final"," - Day "&amp;MAX(0,NETWORKDAYS($X444,TODAY(),Holidays)-1)&amp;" of "&amp;CHOOSE($W444,3,3,2,2,3))&amp;" | Total Day "&amp;MAX(0,NETWORKDAYS($L444,TODAY(),Holidays)-1))</f>
        <v/>
      </c>
      <c r="W444" s="17">
        <f>IF($L444="","",COUNT($L444:$Q444))</f>
        <v/>
      </c>
      <c r="X444" s="18">
        <f>IF($W444="","",INT(INDEX($L444:$Q444,$W444)))</f>
        <v/>
      </c>
      <c r="Y444" s="18">
        <f>IF(OR($W444="",$W444=6),"",WORKDAY($X444,CHOOSE($W444,3,3,2,2,3),Holidays))</f>
        <v/>
      </c>
      <c r="Z444" s="17">
        <f>IF(OR($W444="",$W444=6),"",CHOOSE($W444,"1st Email Follow-up","2nd Email Follow-up","Escalate Local Office","Escalate to CBE","Escalate to Roxanne"))</f>
        <v/>
      </c>
    </row>
    <row r="445" spans="18:26">
      <c r="R445" s="15"/>
      <c r="S445" s="16"/>
      <c r="T445" s="17">
        <f>IF(AND(COUNTA($A445:$K445)=0,$L445=""),"",IF($S445="Paid","PAID",IF($S445="Closed","CLOSED",IF($W445="","",IF($W445=6,"ESCALATED TO ROXANNE",IF(TODAY()&gt;$Y445,"OVERDUE",IF($Y445&lt;=WORKDAY(TODAY(),1,Holidays),"DUE TOMORROW",IF($W445=4,"ESCALATED TO LOCAL OFFICE",IF($W445=5,"ESCALATED TO CBE",IF($X445=TODAY(),"EMAIL SENT","MONITORING"))))))))))</f>
        <v/>
      </c>
      <c r="U445" s="17">
        <f>IF($T445="",IF(AND(COUNTA($A445:$K445)&gt;0,$L445=""),"Awaiting Collection Email time stamp.",""),IF(OR($T445="PAID",$T445="CLOSED"),IF($T445="PAID","Account paid. Action completed.","Account closed. No further action required."),CHOOSE($W445,"Collection Email","1st Email Follow-up","2nd Email Follow-up","Escalation to Local Office","Escalation to CBE","Escalation to Roxanne")&amp;" sent "&amp;TEXT($X445,"dd-mmm")&amp;". "&amp;IF($W445=6,"Final escalation completed.",IF($T445="OVERDUE","Next: "&amp;$Z445&amp;" was due "&amp;TEXT($Y445,"dd-mmm")&amp;" - "&amp;(NETWORKDAYS($Y445,TODAY(),Holidays)-1)&amp;" business day(s) late. Send now.",IF($T445="DUE TOMORROW","Next: "&amp;$Z445&amp;IF($Y445&lt;=TODAY()," is due TODAY ("," is due next business day (")&amp;TEXT($Y445,"dd-mmm")&amp;").","Next: "&amp;$Z445&amp;" due "&amp;TEXT($Y445,"dd-mmm")&amp;" ("&amp;(NETWORKDAYS(TODAY(),$Y445,Holidays)-1)&amp;" business day(s) left).")))))</f>
        <v/>
      </c>
      <c r="V445" s="17">
        <f>IF($W445="","",CHOOSE($W445,"Collection Email","1st Follow-up","2nd Follow-up","Local Office","CBE","Roxanne")&amp;IF($W445=6," - Final"," - Day "&amp;MAX(0,NETWORKDAYS($X445,TODAY(),Holidays)-1)&amp;" of "&amp;CHOOSE($W445,3,3,2,2,3))&amp;" | Total Day "&amp;MAX(0,NETWORKDAYS($L445,TODAY(),Holidays)-1))</f>
        <v/>
      </c>
      <c r="W445" s="17">
        <f>IF($L445="","",COUNT($L445:$Q445))</f>
        <v/>
      </c>
      <c r="X445" s="18">
        <f>IF($W445="","",INT(INDEX($L445:$Q445,$W445)))</f>
        <v/>
      </c>
      <c r="Y445" s="18">
        <f>IF(OR($W445="",$W445=6),"",WORKDAY($X445,CHOOSE($W445,3,3,2,2,3),Holidays))</f>
        <v/>
      </c>
      <c r="Z445" s="17">
        <f>IF(OR($W445="",$W445=6),"",CHOOSE($W445,"1st Email Follow-up","2nd Email Follow-up","Escalate Local Office","Escalate to CBE","Escalate to Roxanne"))</f>
        <v/>
      </c>
    </row>
    <row r="446" spans="18:26">
      <c r="R446" s="15"/>
      <c r="S446" s="16"/>
      <c r="T446" s="17">
        <f>IF(AND(COUNTA($A446:$K446)=0,$L446=""),"",IF($S446="Paid","PAID",IF($S446="Closed","CLOSED",IF($W446="","",IF($W446=6,"ESCALATED TO ROXANNE",IF(TODAY()&gt;$Y446,"OVERDUE",IF($Y446&lt;=WORKDAY(TODAY(),1,Holidays),"DUE TOMORROW",IF($W446=4,"ESCALATED TO LOCAL OFFICE",IF($W446=5,"ESCALATED TO CBE",IF($X446=TODAY(),"EMAIL SENT","MONITORING"))))))))))</f>
        <v/>
      </c>
      <c r="U446" s="17">
        <f>IF($T446="",IF(AND(COUNTA($A446:$K446)&gt;0,$L446=""),"Awaiting Collection Email time stamp.",""),IF(OR($T446="PAID",$T446="CLOSED"),IF($T446="PAID","Account paid. Action completed.","Account closed. No further action required."),CHOOSE($W446,"Collection Email","1st Email Follow-up","2nd Email Follow-up","Escalation to Local Office","Escalation to CBE","Escalation to Roxanne")&amp;" sent "&amp;TEXT($X446,"dd-mmm")&amp;". "&amp;IF($W446=6,"Final escalation completed.",IF($T446="OVERDUE","Next: "&amp;$Z446&amp;" was due "&amp;TEXT($Y446,"dd-mmm")&amp;" - "&amp;(NETWORKDAYS($Y446,TODAY(),Holidays)-1)&amp;" business day(s) late. Send now.",IF($T446="DUE TOMORROW","Next: "&amp;$Z446&amp;IF($Y446&lt;=TODAY()," is due TODAY ("," is due next business day (")&amp;TEXT($Y446,"dd-mmm")&amp;").","Next: "&amp;$Z446&amp;" due "&amp;TEXT($Y446,"dd-mmm")&amp;" ("&amp;(NETWORKDAYS(TODAY(),$Y446,Holidays)-1)&amp;" business day(s) left).")))))</f>
        <v/>
      </c>
      <c r="V446" s="17">
        <f>IF($W446="","",CHOOSE($W446,"Collection Email","1st Follow-up","2nd Follow-up","Local Office","CBE","Roxanne")&amp;IF($W446=6," - Final"," - Day "&amp;MAX(0,NETWORKDAYS($X446,TODAY(),Holidays)-1)&amp;" of "&amp;CHOOSE($W446,3,3,2,2,3))&amp;" | Total Day "&amp;MAX(0,NETWORKDAYS($L446,TODAY(),Holidays)-1))</f>
        <v/>
      </c>
      <c r="W446" s="17">
        <f>IF($L446="","",COUNT($L446:$Q446))</f>
        <v/>
      </c>
      <c r="X446" s="18">
        <f>IF($W446="","",INT(INDEX($L446:$Q446,$W446)))</f>
        <v/>
      </c>
      <c r="Y446" s="18">
        <f>IF(OR($W446="",$W446=6),"",WORKDAY($X446,CHOOSE($W446,3,3,2,2,3),Holidays))</f>
        <v/>
      </c>
      <c r="Z446" s="17">
        <f>IF(OR($W446="",$W446=6),"",CHOOSE($W446,"1st Email Follow-up","2nd Email Follow-up","Escalate Local Office","Escalate to CBE","Escalate to Roxanne"))</f>
        <v/>
      </c>
    </row>
    <row r="447" spans="18:26">
      <c r="R447" s="15"/>
      <c r="S447" s="16"/>
      <c r="T447" s="17">
        <f>IF(AND(COUNTA($A447:$K447)=0,$L447=""),"",IF($S447="Paid","PAID",IF($S447="Closed","CLOSED",IF($W447="","",IF($W447=6,"ESCALATED TO ROXANNE",IF(TODAY()&gt;$Y447,"OVERDUE",IF($Y447&lt;=WORKDAY(TODAY(),1,Holidays),"DUE TOMORROW",IF($W447=4,"ESCALATED TO LOCAL OFFICE",IF($W447=5,"ESCALATED TO CBE",IF($X447=TODAY(),"EMAIL SENT","MONITORING"))))))))))</f>
        <v/>
      </c>
      <c r="U447" s="17">
        <f>IF($T447="",IF(AND(COUNTA($A447:$K447)&gt;0,$L447=""),"Awaiting Collection Email time stamp.",""),IF(OR($T447="PAID",$T447="CLOSED"),IF($T447="PAID","Account paid. Action completed.","Account closed. No further action required."),CHOOSE($W447,"Collection Email","1st Email Follow-up","2nd Email Follow-up","Escalation to Local Office","Escalation to CBE","Escalation to Roxanne")&amp;" sent "&amp;TEXT($X447,"dd-mmm")&amp;". "&amp;IF($W447=6,"Final escalation completed.",IF($T447="OVERDUE","Next: "&amp;$Z447&amp;" was due "&amp;TEXT($Y447,"dd-mmm")&amp;" - "&amp;(NETWORKDAYS($Y447,TODAY(),Holidays)-1)&amp;" business day(s) late. Send now.",IF($T447="DUE TOMORROW","Next: "&amp;$Z447&amp;IF($Y447&lt;=TODAY()," is due TODAY ("," is due next business day (")&amp;TEXT($Y447,"dd-mmm")&amp;").","Next: "&amp;$Z447&amp;" due "&amp;TEXT($Y447,"dd-mmm")&amp;" ("&amp;(NETWORKDAYS(TODAY(),$Y447,Holidays)-1)&amp;" business day(s) left).")))))</f>
        <v/>
      </c>
      <c r="V447" s="17">
        <f>IF($W447="","",CHOOSE($W447,"Collection Email","1st Follow-up","2nd Follow-up","Local Office","CBE","Roxanne")&amp;IF($W447=6," - Final"," - Day "&amp;MAX(0,NETWORKDAYS($X447,TODAY(),Holidays)-1)&amp;" of "&amp;CHOOSE($W447,3,3,2,2,3))&amp;" | Total Day "&amp;MAX(0,NETWORKDAYS($L447,TODAY(),Holidays)-1))</f>
        <v/>
      </c>
      <c r="W447" s="17">
        <f>IF($L447="","",COUNT($L447:$Q447))</f>
        <v/>
      </c>
      <c r="X447" s="18">
        <f>IF($W447="","",INT(INDEX($L447:$Q447,$W447)))</f>
        <v/>
      </c>
      <c r="Y447" s="18">
        <f>IF(OR($W447="",$W447=6),"",WORKDAY($X447,CHOOSE($W447,3,3,2,2,3),Holidays))</f>
        <v/>
      </c>
      <c r="Z447" s="17">
        <f>IF(OR($W447="",$W447=6),"",CHOOSE($W447,"1st Email Follow-up","2nd Email Follow-up","Escalate Local Office","Escalate to CBE","Escalate to Roxanne"))</f>
        <v/>
      </c>
    </row>
    <row r="448" spans="18:26">
      <c r="R448" s="15"/>
      <c r="S448" s="16"/>
      <c r="T448" s="17">
        <f>IF(AND(COUNTA($A448:$K448)=0,$L448=""),"",IF($S448="Paid","PAID",IF($S448="Closed","CLOSED",IF($W448="","",IF($W448=6,"ESCALATED TO ROXANNE",IF(TODAY()&gt;$Y448,"OVERDUE",IF($Y448&lt;=WORKDAY(TODAY(),1,Holidays),"DUE TOMORROW",IF($W448=4,"ESCALATED TO LOCAL OFFICE",IF($W448=5,"ESCALATED TO CBE",IF($X448=TODAY(),"EMAIL SENT","MONITORING"))))))))))</f>
        <v/>
      </c>
      <c r="U448" s="17">
        <f>IF($T448="",IF(AND(COUNTA($A448:$K448)&gt;0,$L448=""),"Awaiting Collection Email time stamp.",""),IF(OR($T448="PAID",$T448="CLOSED"),IF($T448="PAID","Account paid. Action completed.","Account closed. No further action required."),CHOOSE($W448,"Collection Email","1st Email Follow-up","2nd Email Follow-up","Escalation to Local Office","Escalation to CBE","Escalation to Roxanne")&amp;" sent "&amp;TEXT($X448,"dd-mmm")&amp;". "&amp;IF($W448=6,"Final escalation completed.",IF($T448="OVERDUE","Next: "&amp;$Z448&amp;" was due "&amp;TEXT($Y448,"dd-mmm")&amp;" - "&amp;(NETWORKDAYS($Y448,TODAY(),Holidays)-1)&amp;" business day(s) late. Send now.",IF($T448="DUE TOMORROW","Next: "&amp;$Z448&amp;IF($Y448&lt;=TODAY()," is due TODAY ("," is due next business day (")&amp;TEXT($Y448,"dd-mmm")&amp;").","Next: "&amp;$Z448&amp;" due "&amp;TEXT($Y448,"dd-mmm")&amp;" ("&amp;(NETWORKDAYS(TODAY(),$Y448,Holidays)-1)&amp;" business day(s) left).")))))</f>
        <v/>
      </c>
      <c r="V448" s="17">
        <f>IF($W448="","",CHOOSE($W448,"Collection Email","1st Follow-up","2nd Follow-up","Local Office","CBE","Roxanne")&amp;IF($W448=6," - Final"," - Day "&amp;MAX(0,NETWORKDAYS($X448,TODAY(),Holidays)-1)&amp;" of "&amp;CHOOSE($W448,3,3,2,2,3))&amp;" | Total Day "&amp;MAX(0,NETWORKDAYS($L448,TODAY(),Holidays)-1))</f>
        <v/>
      </c>
      <c r="W448" s="17">
        <f>IF($L448="","",COUNT($L448:$Q448))</f>
        <v/>
      </c>
      <c r="X448" s="18">
        <f>IF($W448="","",INT(INDEX($L448:$Q448,$W448)))</f>
        <v/>
      </c>
      <c r="Y448" s="18">
        <f>IF(OR($W448="",$W448=6),"",WORKDAY($X448,CHOOSE($W448,3,3,2,2,3),Holidays))</f>
        <v/>
      </c>
      <c r="Z448" s="17">
        <f>IF(OR($W448="",$W448=6),"",CHOOSE($W448,"1st Email Follow-up","2nd Email Follow-up","Escalate Local Office","Escalate to CBE","Escalate to Roxanne"))</f>
        <v/>
      </c>
    </row>
    <row r="449" spans="18:26">
      <c r="R449" s="15"/>
      <c r="S449" s="16"/>
      <c r="T449" s="17">
        <f>IF(AND(COUNTA($A449:$K449)=0,$L449=""),"",IF($S449="Paid","PAID",IF($S449="Closed","CLOSED",IF($W449="","",IF($W449=6,"ESCALATED TO ROXANNE",IF(TODAY()&gt;$Y449,"OVERDUE",IF($Y449&lt;=WORKDAY(TODAY(),1,Holidays),"DUE TOMORROW",IF($W449=4,"ESCALATED TO LOCAL OFFICE",IF($W449=5,"ESCALATED TO CBE",IF($X449=TODAY(),"EMAIL SENT","MONITORING"))))))))))</f>
        <v/>
      </c>
      <c r="U449" s="17">
        <f>IF($T449="",IF(AND(COUNTA($A449:$K449)&gt;0,$L449=""),"Awaiting Collection Email time stamp.",""),IF(OR($T449="PAID",$T449="CLOSED"),IF($T449="PAID","Account paid. Action completed.","Account closed. No further action required."),CHOOSE($W449,"Collection Email","1st Email Follow-up","2nd Email Follow-up","Escalation to Local Office","Escalation to CBE","Escalation to Roxanne")&amp;" sent "&amp;TEXT($X449,"dd-mmm")&amp;". "&amp;IF($W449=6,"Final escalation completed.",IF($T449="OVERDUE","Next: "&amp;$Z449&amp;" was due "&amp;TEXT($Y449,"dd-mmm")&amp;" - "&amp;(NETWORKDAYS($Y449,TODAY(),Holidays)-1)&amp;" business day(s) late. Send now.",IF($T449="DUE TOMORROW","Next: "&amp;$Z449&amp;IF($Y449&lt;=TODAY()," is due TODAY ("," is due next business day (")&amp;TEXT($Y449,"dd-mmm")&amp;").","Next: "&amp;$Z449&amp;" due "&amp;TEXT($Y449,"dd-mmm")&amp;" ("&amp;(NETWORKDAYS(TODAY(),$Y449,Holidays)-1)&amp;" business day(s) left).")))))</f>
        <v/>
      </c>
      <c r="V449" s="17">
        <f>IF($W449="","",CHOOSE($W449,"Collection Email","1st Follow-up","2nd Follow-up","Local Office","CBE","Roxanne")&amp;IF($W449=6," - Final"," - Day "&amp;MAX(0,NETWORKDAYS($X449,TODAY(),Holidays)-1)&amp;" of "&amp;CHOOSE($W449,3,3,2,2,3))&amp;" | Total Day "&amp;MAX(0,NETWORKDAYS($L449,TODAY(),Holidays)-1))</f>
        <v/>
      </c>
      <c r="W449" s="17">
        <f>IF($L449="","",COUNT($L449:$Q449))</f>
        <v/>
      </c>
      <c r="X449" s="18">
        <f>IF($W449="","",INT(INDEX($L449:$Q449,$W449)))</f>
        <v/>
      </c>
      <c r="Y449" s="18">
        <f>IF(OR($W449="",$W449=6),"",WORKDAY($X449,CHOOSE($W449,3,3,2,2,3),Holidays))</f>
        <v/>
      </c>
      <c r="Z449" s="17">
        <f>IF(OR($W449="",$W449=6),"",CHOOSE($W449,"1st Email Follow-up","2nd Email Follow-up","Escalate Local Office","Escalate to CBE","Escalate to Roxanne"))</f>
        <v/>
      </c>
    </row>
    <row r="450" spans="18:26">
      <c r="R450" s="15"/>
      <c r="S450" s="16"/>
      <c r="T450" s="17">
        <f>IF(AND(COUNTA($A450:$K450)=0,$L450=""),"",IF($S450="Paid","PAID",IF($S450="Closed","CLOSED",IF($W450="","",IF($W450=6,"ESCALATED TO ROXANNE",IF(TODAY()&gt;$Y450,"OVERDUE",IF($Y450&lt;=WORKDAY(TODAY(),1,Holidays),"DUE TOMORROW",IF($W450=4,"ESCALATED TO LOCAL OFFICE",IF($W450=5,"ESCALATED TO CBE",IF($X450=TODAY(),"EMAIL SENT","MONITORING"))))))))))</f>
        <v/>
      </c>
      <c r="U450" s="17">
        <f>IF($T450="",IF(AND(COUNTA($A450:$K450)&gt;0,$L450=""),"Awaiting Collection Email time stamp.",""),IF(OR($T450="PAID",$T450="CLOSED"),IF($T450="PAID","Account paid. Action completed.","Account closed. No further action required."),CHOOSE($W450,"Collection Email","1st Email Follow-up","2nd Email Follow-up","Escalation to Local Office","Escalation to CBE","Escalation to Roxanne")&amp;" sent "&amp;TEXT($X450,"dd-mmm")&amp;". "&amp;IF($W450=6,"Final escalation completed.",IF($T450="OVERDUE","Next: "&amp;$Z450&amp;" was due "&amp;TEXT($Y450,"dd-mmm")&amp;" - "&amp;(NETWORKDAYS($Y450,TODAY(),Holidays)-1)&amp;" business day(s) late. Send now.",IF($T450="DUE TOMORROW","Next: "&amp;$Z450&amp;IF($Y450&lt;=TODAY()," is due TODAY ("," is due next business day (")&amp;TEXT($Y450,"dd-mmm")&amp;").","Next: "&amp;$Z450&amp;" due "&amp;TEXT($Y450,"dd-mmm")&amp;" ("&amp;(NETWORKDAYS(TODAY(),$Y450,Holidays)-1)&amp;" business day(s) left).")))))</f>
        <v/>
      </c>
      <c r="V450" s="17">
        <f>IF($W450="","",CHOOSE($W450,"Collection Email","1st Follow-up","2nd Follow-up","Local Office","CBE","Roxanne")&amp;IF($W450=6," - Final"," - Day "&amp;MAX(0,NETWORKDAYS($X450,TODAY(),Holidays)-1)&amp;" of "&amp;CHOOSE($W450,3,3,2,2,3))&amp;" | Total Day "&amp;MAX(0,NETWORKDAYS($L450,TODAY(),Holidays)-1))</f>
        <v/>
      </c>
      <c r="W450" s="17">
        <f>IF($L450="","",COUNT($L450:$Q450))</f>
        <v/>
      </c>
      <c r="X450" s="18">
        <f>IF($W450="","",INT(INDEX($L450:$Q450,$W450)))</f>
        <v/>
      </c>
      <c r="Y450" s="18">
        <f>IF(OR($W450="",$W450=6),"",WORKDAY($X450,CHOOSE($W450,3,3,2,2,3),Holidays))</f>
        <v/>
      </c>
      <c r="Z450" s="17">
        <f>IF(OR($W450="",$W450=6),"",CHOOSE($W450,"1st Email Follow-up","2nd Email Follow-up","Escalate Local Office","Escalate to CBE","Escalate to Roxanne"))</f>
        <v/>
      </c>
    </row>
    <row r="451" spans="18:26">
      <c r="R451" s="15"/>
      <c r="S451" s="16"/>
      <c r="T451" s="17">
        <f>IF(AND(COUNTA($A451:$K451)=0,$L451=""),"",IF($S451="Paid","PAID",IF($S451="Closed","CLOSED",IF($W451="","",IF($W451=6,"ESCALATED TO ROXANNE",IF(TODAY()&gt;$Y451,"OVERDUE",IF($Y451&lt;=WORKDAY(TODAY(),1,Holidays),"DUE TOMORROW",IF($W451=4,"ESCALATED TO LOCAL OFFICE",IF($W451=5,"ESCALATED TO CBE",IF($X451=TODAY(),"EMAIL SENT","MONITORING"))))))))))</f>
        <v/>
      </c>
      <c r="U451" s="17">
        <f>IF($T451="",IF(AND(COUNTA($A451:$K451)&gt;0,$L451=""),"Awaiting Collection Email time stamp.",""),IF(OR($T451="PAID",$T451="CLOSED"),IF($T451="PAID","Account paid. Action completed.","Account closed. No further action required."),CHOOSE($W451,"Collection Email","1st Email Follow-up","2nd Email Follow-up","Escalation to Local Office","Escalation to CBE","Escalation to Roxanne")&amp;" sent "&amp;TEXT($X451,"dd-mmm")&amp;". "&amp;IF($W451=6,"Final escalation completed.",IF($T451="OVERDUE","Next: "&amp;$Z451&amp;" was due "&amp;TEXT($Y451,"dd-mmm")&amp;" - "&amp;(NETWORKDAYS($Y451,TODAY(),Holidays)-1)&amp;" business day(s) late. Send now.",IF($T451="DUE TOMORROW","Next: "&amp;$Z451&amp;IF($Y451&lt;=TODAY()," is due TODAY ("," is due next business day (")&amp;TEXT($Y451,"dd-mmm")&amp;").","Next: "&amp;$Z451&amp;" due "&amp;TEXT($Y451,"dd-mmm")&amp;" ("&amp;(NETWORKDAYS(TODAY(),$Y451,Holidays)-1)&amp;" business day(s) left).")))))</f>
        <v/>
      </c>
      <c r="V451" s="17">
        <f>IF($W451="","",CHOOSE($W451,"Collection Email","1st Follow-up","2nd Follow-up","Local Office","CBE","Roxanne")&amp;IF($W451=6," - Final"," - Day "&amp;MAX(0,NETWORKDAYS($X451,TODAY(),Holidays)-1)&amp;" of "&amp;CHOOSE($W451,3,3,2,2,3))&amp;" | Total Day "&amp;MAX(0,NETWORKDAYS($L451,TODAY(),Holidays)-1))</f>
        <v/>
      </c>
      <c r="W451" s="17">
        <f>IF($L451="","",COUNT($L451:$Q451))</f>
        <v/>
      </c>
      <c r="X451" s="18">
        <f>IF($W451="","",INT(INDEX($L451:$Q451,$W451)))</f>
        <v/>
      </c>
      <c r="Y451" s="18">
        <f>IF(OR($W451="",$W451=6),"",WORKDAY($X451,CHOOSE($W451,3,3,2,2,3),Holidays))</f>
        <v/>
      </c>
      <c r="Z451" s="17">
        <f>IF(OR($W451="",$W451=6),"",CHOOSE($W451,"1st Email Follow-up","2nd Email Follow-up","Escalate Local Office","Escalate to CBE","Escalate to Roxanne"))</f>
        <v/>
      </c>
    </row>
    <row r="452" spans="18:26">
      <c r="R452" s="15"/>
      <c r="S452" s="16"/>
      <c r="T452" s="17">
        <f>IF(AND(COUNTA($A452:$K452)=0,$L452=""),"",IF($S452="Paid","PAID",IF($S452="Closed","CLOSED",IF($W452="","",IF($W452=6,"ESCALATED TO ROXANNE",IF(TODAY()&gt;$Y452,"OVERDUE",IF($Y452&lt;=WORKDAY(TODAY(),1,Holidays),"DUE TOMORROW",IF($W452=4,"ESCALATED TO LOCAL OFFICE",IF($W452=5,"ESCALATED TO CBE",IF($X452=TODAY(),"EMAIL SENT","MONITORING"))))))))))</f>
        <v/>
      </c>
      <c r="U452" s="17">
        <f>IF($T452="",IF(AND(COUNTA($A452:$K452)&gt;0,$L452=""),"Awaiting Collection Email time stamp.",""),IF(OR($T452="PAID",$T452="CLOSED"),IF($T452="PAID","Account paid. Action completed.","Account closed. No further action required."),CHOOSE($W452,"Collection Email","1st Email Follow-up","2nd Email Follow-up","Escalation to Local Office","Escalation to CBE","Escalation to Roxanne")&amp;" sent "&amp;TEXT($X452,"dd-mmm")&amp;". "&amp;IF($W452=6,"Final escalation completed.",IF($T452="OVERDUE","Next: "&amp;$Z452&amp;" was due "&amp;TEXT($Y452,"dd-mmm")&amp;" - "&amp;(NETWORKDAYS($Y452,TODAY(),Holidays)-1)&amp;" business day(s) late. Send now.",IF($T452="DUE TOMORROW","Next: "&amp;$Z452&amp;IF($Y452&lt;=TODAY()," is due TODAY ("," is due next business day (")&amp;TEXT($Y452,"dd-mmm")&amp;").","Next: "&amp;$Z452&amp;" due "&amp;TEXT($Y452,"dd-mmm")&amp;" ("&amp;(NETWORKDAYS(TODAY(),$Y452,Holidays)-1)&amp;" business day(s) left).")))))</f>
        <v/>
      </c>
      <c r="V452" s="17">
        <f>IF($W452="","",CHOOSE($W452,"Collection Email","1st Follow-up","2nd Follow-up","Local Office","CBE","Roxanne")&amp;IF($W452=6," - Final"," - Day "&amp;MAX(0,NETWORKDAYS($X452,TODAY(),Holidays)-1)&amp;" of "&amp;CHOOSE($W452,3,3,2,2,3))&amp;" | Total Day "&amp;MAX(0,NETWORKDAYS($L452,TODAY(),Holidays)-1))</f>
        <v/>
      </c>
      <c r="W452" s="17">
        <f>IF($L452="","",COUNT($L452:$Q452))</f>
        <v/>
      </c>
      <c r="X452" s="18">
        <f>IF($W452="","",INT(INDEX($L452:$Q452,$W452)))</f>
        <v/>
      </c>
      <c r="Y452" s="18">
        <f>IF(OR($W452="",$W452=6),"",WORKDAY($X452,CHOOSE($W452,3,3,2,2,3),Holidays))</f>
        <v/>
      </c>
      <c r="Z452" s="17">
        <f>IF(OR($W452="",$W452=6),"",CHOOSE($W452,"1st Email Follow-up","2nd Email Follow-up","Escalate Local Office","Escalate to CBE","Escalate to Roxanne"))</f>
        <v/>
      </c>
    </row>
    <row r="453" spans="18:26">
      <c r="R453" s="15"/>
      <c r="S453" s="16"/>
      <c r="T453" s="17">
        <f>IF(AND(COUNTA($A453:$K453)=0,$L453=""),"",IF($S453="Paid","PAID",IF($S453="Closed","CLOSED",IF($W453="","",IF($W453=6,"ESCALATED TO ROXANNE",IF(TODAY()&gt;$Y453,"OVERDUE",IF($Y453&lt;=WORKDAY(TODAY(),1,Holidays),"DUE TOMORROW",IF($W453=4,"ESCALATED TO LOCAL OFFICE",IF($W453=5,"ESCALATED TO CBE",IF($X453=TODAY(),"EMAIL SENT","MONITORING"))))))))))</f>
        <v/>
      </c>
      <c r="U453" s="17">
        <f>IF($T453="",IF(AND(COUNTA($A453:$K453)&gt;0,$L453=""),"Awaiting Collection Email time stamp.",""),IF(OR($T453="PAID",$T453="CLOSED"),IF($T453="PAID","Account paid. Action completed.","Account closed. No further action required."),CHOOSE($W453,"Collection Email","1st Email Follow-up","2nd Email Follow-up","Escalation to Local Office","Escalation to CBE","Escalation to Roxanne")&amp;" sent "&amp;TEXT($X453,"dd-mmm")&amp;". "&amp;IF($W453=6,"Final escalation completed.",IF($T453="OVERDUE","Next: "&amp;$Z453&amp;" was due "&amp;TEXT($Y453,"dd-mmm")&amp;" - "&amp;(NETWORKDAYS($Y453,TODAY(),Holidays)-1)&amp;" business day(s) late. Send now.",IF($T453="DUE TOMORROW","Next: "&amp;$Z453&amp;IF($Y453&lt;=TODAY()," is due TODAY ("," is due next business day (")&amp;TEXT($Y453,"dd-mmm")&amp;").","Next: "&amp;$Z453&amp;" due "&amp;TEXT($Y453,"dd-mmm")&amp;" ("&amp;(NETWORKDAYS(TODAY(),$Y453,Holidays)-1)&amp;" business day(s) left).")))))</f>
        <v/>
      </c>
      <c r="V453" s="17">
        <f>IF($W453="","",CHOOSE($W453,"Collection Email","1st Follow-up","2nd Follow-up","Local Office","CBE","Roxanne")&amp;IF($W453=6," - Final"," - Day "&amp;MAX(0,NETWORKDAYS($X453,TODAY(),Holidays)-1)&amp;" of "&amp;CHOOSE($W453,3,3,2,2,3))&amp;" | Total Day "&amp;MAX(0,NETWORKDAYS($L453,TODAY(),Holidays)-1))</f>
        <v/>
      </c>
      <c r="W453" s="17">
        <f>IF($L453="","",COUNT($L453:$Q453))</f>
        <v/>
      </c>
      <c r="X453" s="18">
        <f>IF($W453="","",INT(INDEX($L453:$Q453,$W453)))</f>
        <v/>
      </c>
      <c r="Y453" s="18">
        <f>IF(OR($W453="",$W453=6),"",WORKDAY($X453,CHOOSE($W453,3,3,2,2,3),Holidays))</f>
        <v/>
      </c>
      <c r="Z453" s="17">
        <f>IF(OR($W453="",$W453=6),"",CHOOSE($W453,"1st Email Follow-up","2nd Email Follow-up","Escalate Local Office","Escalate to CBE","Escalate to Roxanne"))</f>
        <v/>
      </c>
    </row>
    <row r="454" spans="18:26">
      <c r="R454" s="15"/>
      <c r="S454" s="16"/>
      <c r="T454" s="17">
        <f>IF(AND(COUNTA($A454:$K454)=0,$L454=""),"",IF($S454="Paid","PAID",IF($S454="Closed","CLOSED",IF($W454="","",IF($W454=6,"ESCALATED TO ROXANNE",IF(TODAY()&gt;$Y454,"OVERDUE",IF($Y454&lt;=WORKDAY(TODAY(),1,Holidays),"DUE TOMORROW",IF($W454=4,"ESCALATED TO LOCAL OFFICE",IF($W454=5,"ESCALATED TO CBE",IF($X454=TODAY(),"EMAIL SENT","MONITORING"))))))))))</f>
        <v/>
      </c>
      <c r="U454" s="17">
        <f>IF($T454="",IF(AND(COUNTA($A454:$K454)&gt;0,$L454=""),"Awaiting Collection Email time stamp.",""),IF(OR($T454="PAID",$T454="CLOSED"),IF($T454="PAID","Account paid. Action completed.","Account closed. No further action required."),CHOOSE($W454,"Collection Email","1st Email Follow-up","2nd Email Follow-up","Escalation to Local Office","Escalation to CBE","Escalation to Roxanne")&amp;" sent "&amp;TEXT($X454,"dd-mmm")&amp;". "&amp;IF($W454=6,"Final escalation completed.",IF($T454="OVERDUE","Next: "&amp;$Z454&amp;" was due "&amp;TEXT($Y454,"dd-mmm")&amp;" - "&amp;(NETWORKDAYS($Y454,TODAY(),Holidays)-1)&amp;" business day(s) late. Send now.",IF($T454="DUE TOMORROW","Next: "&amp;$Z454&amp;IF($Y454&lt;=TODAY()," is due TODAY ("," is due next business day (")&amp;TEXT($Y454,"dd-mmm")&amp;").","Next: "&amp;$Z454&amp;" due "&amp;TEXT($Y454,"dd-mmm")&amp;" ("&amp;(NETWORKDAYS(TODAY(),$Y454,Holidays)-1)&amp;" business day(s) left).")))))</f>
        <v/>
      </c>
      <c r="V454" s="17">
        <f>IF($W454="","",CHOOSE($W454,"Collection Email","1st Follow-up","2nd Follow-up","Local Office","CBE","Roxanne")&amp;IF($W454=6," - Final"," - Day "&amp;MAX(0,NETWORKDAYS($X454,TODAY(),Holidays)-1)&amp;" of "&amp;CHOOSE($W454,3,3,2,2,3))&amp;" | Total Day "&amp;MAX(0,NETWORKDAYS($L454,TODAY(),Holidays)-1))</f>
        <v/>
      </c>
      <c r="W454" s="17">
        <f>IF($L454="","",COUNT($L454:$Q454))</f>
        <v/>
      </c>
      <c r="X454" s="18">
        <f>IF($W454="","",INT(INDEX($L454:$Q454,$W454)))</f>
        <v/>
      </c>
      <c r="Y454" s="18">
        <f>IF(OR($W454="",$W454=6),"",WORKDAY($X454,CHOOSE($W454,3,3,2,2,3),Holidays))</f>
        <v/>
      </c>
      <c r="Z454" s="17">
        <f>IF(OR($W454="",$W454=6),"",CHOOSE($W454,"1st Email Follow-up","2nd Email Follow-up","Escalate Local Office","Escalate to CBE","Escalate to Roxanne"))</f>
        <v/>
      </c>
    </row>
    <row r="455" spans="18:26">
      <c r="R455" s="15"/>
      <c r="S455" s="16"/>
      <c r="T455" s="17">
        <f>IF(AND(COUNTA($A455:$K455)=0,$L455=""),"",IF($S455="Paid","PAID",IF($S455="Closed","CLOSED",IF($W455="","",IF($W455=6,"ESCALATED TO ROXANNE",IF(TODAY()&gt;$Y455,"OVERDUE",IF($Y455&lt;=WORKDAY(TODAY(),1,Holidays),"DUE TOMORROW",IF($W455=4,"ESCALATED TO LOCAL OFFICE",IF($W455=5,"ESCALATED TO CBE",IF($X455=TODAY(),"EMAIL SENT","MONITORING"))))))))))</f>
        <v/>
      </c>
      <c r="U455" s="17">
        <f>IF($T455="",IF(AND(COUNTA($A455:$K455)&gt;0,$L455=""),"Awaiting Collection Email time stamp.",""),IF(OR($T455="PAID",$T455="CLOSED"),IF($T455="PAID","Account paid. Action completed.","Account closed. No further action required."),CHOOSE($W455,"Collection Email","1st Email Follow-up","2nd Email Follow-up","Escalation to Local Office","Escalation to CBE","Escalation to Roxanne")&amp;" sent "&amp;TEXT($X455,"dd-mmm")&amp;". "&amp;IF($W455=6,"Final escalation completed.",IF($T455="OVERDUE","Next: "&amp;$Z455&amp;" was due "&amp;TEXT($Y455,"dd-mmm")&amp;" - "&amp;(NETWORKDAYS($Y455,TODAY(),Holidays)-1)&amp;" business day(s) late. Send now.",IF($T455="DUE TOMORROW","Next: "&amp;$Z455&amp;IF($Y455&lt;=TODAY()," is due TODAY ("," is due next business day (")&amp;TEXT($Y455,"dd-mmm")&amp;").","Next: "&amp;$Z455&amp;" due "&amp;TEXT($Y455,"dd-mmm")&amp;" ("&amp;(NETWORKDAYS(TODAY(),$Y455,Holidays)-1)&amp;" business day(s) left).")))))</f>
        <v/>
      </c>
      <c r="V455" s="17">
        <f>IF($W455="","",CHOOSE($W455,"Collection Email","1st Follow-up","2nd Follow-up","Local Office","CBE","Roxanne")&amp;IF($W455=6," - Final"," - Day "&amp;MAX(0,NETWORKDAYS($X455,TODAY(),Holidays)-1)&amp;" of "&amp;CHOOSE($W455,3,3,2,2,3))&amp;" | Total Day "&amp;MAX(0,NETWORKDAYS($L455,TODAY(),Holidays)-1))</f>
        <v/>
      </c>
      <c r="W455" s="17">
        <f>IF($L455="","",COUNT($L455:$Q455))</f>
        <v/>
      </c>
      <c r="X455" s="18">
        <f>IF($W455="","",INT(INDEX($L455:$Q455,$W455)))</f>
        <v/>
      </c>
      <c r="Y455" s="18">
        <f>IF(OR($W455="",$W455=6),"",WORKDAY($X455,CHOOSE($W455,3,3,2,2,3),Holidays))</f>
        <v/>
      </c>
      <c r="Z455" s="17">
        <f>IF(OR($W455="",$W455=6),"",CHOOSE($W455,"1st Email Follow-up","2nd Email Follow-up","Escalate Local Office","Escalate to CBE","Escalate to Roxanne"))</f>
        <v/>
      </c>
    </row>
    <row r="456" spans="18:26">
      <c r="R456" s="15"/>
      <c r="S456" s="16"/>
      <c r="T456" s="17">
        <f>IF(AND(COUNTA($A456:$K456)=0,$L456=""),"",IF($S456="Paid","PAID",IF($S456="Closed","CLOSED",IF($W456="","",IF($W456=6,"ESCALATED TO ROXANNE",IF(TODAY()&gt;$Y456,"OVERDUE",IF($Y456&lt;=WORKDAY(TODAY(),1,Holidays),"DUE TOMORROW",IF($W456=4,"ESCALATED TO LOCAL OFFICE",IF($W456=5,"ESCALATED TO CBE",IF($X456=TODAY(),"EMAIL SENT","MONITORING"))))))))))</f>
        <v/>
      </c>
      <c r="U456" s="17">
        <f>IF($T456="",IF(AND(COUNTA($A456:$K456)&gt;0,$L456=""),"Awaiting Collection Email time stamp.",""),IF(OR($T456="PAID",$T456="CLOSED"),IF($T456="PAID","Account paid. Action completed.","Account closed. No further action required."),CHOOSE($W456,"Collection Email","1st Email Follow-up","2nd Email Follow-up","Escalation to Local Office","Escalation to CBE","Escalation to Roxanne")&amp;" sent "&amp;TEXT($X456,"dd-mmm")&amp;". "&amp;IF($W456=6,"Final escalation completed.",IF($T456="OVERDUE","Next: "&amp;$Z456&amp;" was due "&amp;TEXT($Y456,"dd-mmm")&amp;" - "&amp;(NETWORKDAYS($Y456,TODAY(),Holidays)-1)&amp;" business day(s) late. Send now.",IF($T456="DUE TOMORROW","Next: "&amp;$Z456&amp;IF($Y456&lt;=TODAY()," is due TODAY ("," is due next business day (")&amp;TEXT($Y456,"dd-mmm")&amp;").","Next: "&amp;$Z456&amp;" due "&amp;TEXT($Y456,"dd-mmm")&amp;" ("&amp;(NETWORKDAYS(TODAY(),$Y456,Holidays)-1)&amp;" business day(s) left).")))))</f>
        <v/>
      </c>
      <c r="V456" s="17">
        <f>IF($W456="","",CHOOSE($W456,"Collection Email","1st Follow-up","2nd Follow-up","Local Office","CBE","Roxanne")&amp;IF($W456=6," - Final"," - Day "&amp;MAX(0,NETWORKDAYS($X456,TODAY(),Holidays)-1)&amp;" of "&amp;CHOOSE($W456,3,3,2,2,3))&amp;" | Total Day "&amp;MAX(0,NETWORKDAYS($L456,TODAY(),Holidays)-1))</f>
        <v/>
      </c>
      <c r="W456" s="17">
        <f>IF($L456="","",COUNT($L456:$Q456))</f>
        <v/>
      </c>
      <c r="X456" s="18">
        <f>IF($W456="","",INT(INDEX($L456:$Q456,$W456)))</f>
        <v/>
      </c>
      <c r="Y456" s="18">
        <f>IF(OR($W456="",$W456=6),"",WORKDAY($X456,CHOOSE($W456,3,3,2,2,3),Holidays))</f>
        <v/>
      </c>
      <c r="Z456" s="17">
        <f>IF(OR($W456="",$W456=6),"",CHOOSE($W456,"1st Email Follow-up","2nd Email Follow-up","Escalate Local Office","Escalate to CBE","Escalate to Roxanne"))</f>
        <v/>
      </c>
    </row>
    <row r="457" spans="18:26">
      <c r="R457" s="15"/>
      <c r="S457" s="16"/>
      <c r="T457" s="17">
        <f>IF(AND(COUNTA($A457:$K457)=0,$L457=""),"",IF($S457="Paid","PAID",IF($S457="Closed","CLOSED",IF($W457="","",IF($W457=6,"ESCALATED TO ROXANNE",IF(TODAY()&gt;$Y457,"OVERDUE",IF($Y457&lt;=WORKDAY(TODAY(),1,Holidays),"DUE TOMORROW",IF($W457=4,"ESCALATED TO LOCAL OFFICE",IF($W457=5,"ESCALATED TO CBE",IF($X457=TODAY(),"EMAIL SENT","MONITORING"))))))))))</f>
        <v/>
      </c>
      <c r="U457" s="17">
        <f>IF($T457="",IF(AND(COUNTA($A457:$K457)&gt;0,$L457=""),"Awaiting Collection Email time stamp.",""),IF(OR($T457="PAID",$T457="CLOSED"),IF($T457="PAID","Account paid. Action completed.","Account closed. No further action required."),CHOOSE($W457,"Collection Email","1st Email Follow-up","2nd Email Follow-up","Escalation to Local Office","Escalation to CBE","Escalation to Roxanne")&amp;" sent "&amp;TEXT($X457,"dd-mmm")&amp;". "&amp;IF($W457=6,"Final escalation completed.",IF($T457="OVERDUE","Next: "&amp;$Z457&amp;" was due "&amp;TEXT($Y457,"dd-mmm")&amp;" - "&amp;(NETWORKDAYS($Y457,TODAY(),Holidays)-1)&amp;" business day(s) late. Send now.",IF($T457="DUE TOMORROW","Next: "&amp;$Z457&amp;IF($Y457&lt;=TODAY()," is due TODAY ("," is due next business day (")&amp;TEXT($Y457,"dd-mmm")&amp;").","Next: "&amp;$Z457&amp;" due "&amp;TEXT($Y457,"dd-mmm")&amp;" ("&amp;(NETWORKDAYS(TODAY(),$Y457,Holidays)-1)&amp;" business day(s) left).")))))</f>
        <v/>
      </c>
      <c r="V457" s="17">
        <f>IF($W457="","",CHOOSE($W457,"Collection Email","1st Follow-up","2nd Follow-up","Local Office","CBE","Roxanne")&amp;IF($W457=6," - Final"," - Day "&amp;MAX(0,NETWORKDAYS($X457,TODAY(),Holidays)-1)&amp;" of "&amp;CHOOSE($W457,3,3,2,2,3))&amp;" | Total Day "&amp;MAX(0,NETWORKDAYS($L457,TODAY(),Holidays)-1))</f>
        <v/>
      </c>
      <c r="W457" s="17">
        <f>IF($L457="","",COUNT($L457:$Q457))</f>
        <v/>
      </c>
      <c r="X457" s="18">
        <f>IF($W457="","",INT(INDEX($L457:$Q457,$W457)))</f>
        <v/>
      </c>
      <c r="Y457" s="18">
        <f>IF(OR($W457="",$W457=6),"",WORKDAY($X457,CHOOSE($W457,3,3,2,2,3),Holidays))</f>
        <v/>
      </c>
      <c r="Z457" s="17">
        <f>IF(OR($W457="",$W457=6),"",CHOOSE($W457,"1st Email Follow-up","2nd Email Follow-up","Escalate Local Office","Escalate to CBE","Escalate to Roxanne"))</f>
        <v/>
      </c>
    </row>
    <row r="458" spans="18:26">
      <c r="R458" s="15"/>
      <c r="S458" s="16"/>
      <c r="T458" s="17">
        <f>IF(AND(COUNTA($A458:$K458)=0,$L458=""),"",IF($S458="Paid","PAID",IF($S458="Closed","CLOSED",IF($W458="","",IF($W458=6,"ESCALATED TO ROXANNE",IF(TODAY()&gt;$Y458,"OVERDUE",IF($Y458&lt;=WORKDAY(TODAY(),1,Holidays),"DUE TOMORROW",IF($W458=4,"ESCALATED TO LOCAL OFFICE",IF($W458=5,"ESCALATED TO CBE",IF($X458=TODAY(),"EMAIL SENT","MONITORING"))))))))))</f>
        <v/>
      </c>
      <c r="U458" s="17">
        <f>IF($T458="",IF(AND(COUNTA($A458:$K458)&gt;0,$L458=""),"Awaiting Collection Email time stamp.",""),IF(OR($T458="PAID",$T458="CLOSED"),IF($T458="PAID","Account paid. Action completed.","Account closed. No further action required."),CHOOSE($W458,"Collection Email","1st Email Follow-up","2nd Email Follow-up","Escalation to Local Office","Escalation to CBE","Escalation to Roxanne")&amp;" sent "&amp;TEXT($X458,"dd-mmm")&amp;". "&amp;IF($W458=6,"Final escalation completed.",IF($T458="OVERDUE","Next: "&amp;$Z458&amp;" was due "&amp;TEXT($Y458,"dd-mmm")&amp;" - "&amp;(NETWORKDAYS($Y458,TODAY(),Holidays)-1)&amp;" business day(s) late. Send now.",IF($T458="DUE TOMORROW","Next: "&amp;$Z458&amp;IF($Y458&lt;=TODAY()," is due TODAY ("," is due next business day (")&amp;TEXT($Y458,"dd-mmm")&amp;").","Next: "&amp;$Z458&amp;" due "&amp;TEXT($Y458,"dd-mmm")&amp;" ("&amp;(NETWORKDAYS(TODAY(),$Y458,Holidays)-1)&amp;" business day(s) left).")))))</f>
        <v/>
      </c>
      <c r="V458" s="17">
        <f>IF($W458="","",CHOOSE($W458,"Collection Email","1st Follow-up","2nd Follow-up","Local Office","CBE","Roxanne")&amp;IF($W458=6," - Final"," - Day "&amp;MAX(0,NETWORKDAYS($X458,TODAY(),Holidays)-1)&amp;" of "&amp;CHOOSE($W458,3,3,2,2,3))&amp;" | Total Day "&amp;MAX(0,NETWORKDAYS($L458,TODAY(),Holidays)-1))</f>
        <v/>
      </c>
      <c r="W458" s="17">
        <f>IF($L458="","",COUNT($L458:$Q458))</f>
        <v/>
      </c>
      <c r="X458" s="18">
        <f>IF($W458="","",INT(INDEX($L458:$Q458,$W458)))</f>
        <v/>
      </c>
      <c r="Y458" s="18">
        <f>IF(OR($W458="",$W458=6),"",WORKDAY($X458,CHOOSE($W458,3,3,2,2,3),Holidays))</f>
        <v/>
      </c>
      <c r="Z458" s="17">
        <f>IF(OR($W458="",$W458=6),"",CHOOSE($W458,"1st Email Follow-up","2nd Email Follow-up","Escalate Local Office","Escalate to CBE","Escalate to Roxanne"))</f>
        <v/>
      </c>
    </row>
    <row r="459" spans="18:26">
      <c r="R459" s="15"/>
      <c r="S459" s="16"/>
      <c r="T459" s="17">
        <f>IF(AND(COUNTA($A459:$K459)=0,$L459=""),"",IF($S459="Paid","PAID",IF($S459="Closed","CLOSED",IF($W459="","",IF($W459=6,"ESCALATED TO ROXANNE",IF(TODAY()&gt;$Y459,"OVERDUE",IF($Y459&lt;=WORKDAY(TODAY(),1,Holidays),"DUE TOMORROW",IF($W459=4,"ESCALATED TO LOCAL OFFICE",IF($W459=5,"ESCALATED TO CBE",IF($X459=TODAY(),"EMAIL SENT","MONITORING"))))))))))</f>
        <v/>
      </c>
      <c r="U459" s="17">
        <f>IF($T459="",IF(AND(COUNTA($A459:$K459)&gt;0,$L459=""),"Awaiting Collection Email time stamp.",""),IF(OR($T459="PAID",$T459="CLOSED"),IF($T459="PAID","Account paid. Action completed.","Account closed. No further action required."),CHOOSE($W459,"Collection Email","1st Email Follow-up","2nd Email Follow-up","Escalation to Local Office","Escalation to CBE","Escalation to Roxanne")&amp;" sent "&amp;TEXT($X459,"dd-mmm")&amp;". "&amp;IF($W459=6,"Final escalation completed.",IF($T459="OVERDUE","Next: "&amp;$Z459&amp;" was due "&amp;TEXT($Y459,"dd-mmm")&amp;" - "&amp;(NETWORKDAYS($Y459,TODAY(),Holidays)-1)&amp;" business day(s) late. Send now.",IF($T459="DUE TOMORROW","Next: "&amp;$Z459&amp;IF($Y459&lt;=TODAY()," is due TODAY ("," is due next business day (")&amp;TEXT($Y459,"dd-mmm")&amp;").","Next: "&amp;$Z459&amp;" due "&amp;TEXT($Y459,"dd-mmm")&amp;" ("&amp;(NETWORKDAYS(TODAY(),$Y459,Holidays)-1)&amp;" business day(s) left).")))))</f>
        <v/>
      </c>
      <c r="V459" s="17">
        <f>IF($W459="","",CHOOSE($W459,"Collection Email","1st Follow-up","2nd Follow-up","Local Office","CBE","Roxanne")&amp;IF($W459=6," - Final"," - Day "&amp;MAX(0,NETWORKDAYS($X459,TODAY(),Holidays)-1)&amp;" of "&amp;CHOOSE($W459,3,3,2,2,3))&amp;" | Total Day "&amp;MAX(0,NETWORKDAYS($L459,TODAY(),Holidays)-1))</f>
        <v/>
      </c>
      <c r="W459" s="17">
        <f>IF($L459="","",COUNT($L459:$Q459))</f>
        <v/>
      </c>
      <c r="X459" s="18">
        <f>IF($W459="","",INT(INDEX($L459:$Q459,$W459)))</f>
        <v/>
      </c>
      <c r="Y459" s="18">
        <f>IF(OR($W459="",$W459=6),"",WORKDAY($X459,CHOOSE($W459,3,3,2,2,3),Holidays))</f>
        <v/>
      </c>
      <c r="Z459" s="17">
        <f>IF(OR($W459="",$W459=6),"",CHOOSE($W459,"1st Email Follow-up","2nd Email Follow-up","Escalate Local Office","Escalate to CBE","Escalate to Roxanne"))</f>
        <v/>
      </c>
    </row>
    <row r="460" spans="18:26">
      <c r="R460" s="15"/>
      <c r="S460" s="16"/>
      <c r="T460" s="17">
        <f>IF(AND(COUNTA($A460:$K460)=0,$L460=""),"",IF($S460="Paid","PAID",IF($S460="Closed","CLOSED",IF($W460="","",IF($W460=6,"ESCALATED TO ROXANNE",IF(TODAY()&gt;$Y460,"OVERDUE",IF($Y460&lt;=WORKDAY(TODAY(),1,Holidays),"DUE TOMORROW",IF($W460=4,"ESCALATED TO LOCAL OFFICE",IF($W460=5,"ESCALATED TO CBE",IF($X460=TODAY(),"EMAIL SENT","MONITORING"))))))))))</f>
        <v/>
      </c>
      <c r="U460" s="17">
        <f>IF($T460="",IF(AND(COUNTA($A460:$K460)&gt;0,$L460=""),"Awaiting Collection Email time stamp.",""),IF(OR($T460="PAID",$T460="CLOSED"),IF($T460="PAID","Account paid. Action completed.","Account closed. No further action required."),CHOOSE($W460,"Collection Email","1st Email Follow-up","2nd Email Follow-up","Escalation to Local Office","Escalation to CBE","Escalation to Roxanne")&amp;" sent "&amp;TEXT($X460,"dd-mmm")&amp;". "&amp;IF($W460=6,"Final escalation completed.",IF($T460="OVERDUE","Next: "&amp;$Z460&amp;" was due "&amp;TEXT($Y460,"dd-mmm")&amp;" - "&amp;(NETWORKDAYS($Y460,TODAY(),Holidays)-1)&amp;" business day(s) late. Send now.",IF($T460="DUE TOMORROW","Next: "&amp;$Z460&amp;IF($Y460&lt;=TODAY()," is due TODAY ("," is due next business day (")&amp;TEXT($Y460,"dd-mmm")&amp;").","Next: "&amp;$Z460&amp;" due "&amp;TEXT($Y460,"dd-mmm")&amp;" ("&amp;(NETWORKDAYS(TODAY(),$Y460,Holidays)-1)&amp;" business day(s) left).")))))</f>
        <v/>
      </c>
      <c r="V460" s="17">
        <f>IF($W460="","",CHOOSE($W460,"Collection Email","1st Follow-up","2nd Follow-up","Local Office","CBE","Roxanne")&amp;IF($W460=6," - Final"," - Day "&amp;MAX(0,NETWORKDAYS($X460,TODAY(),Holidays)-1)&amp;" of "&amp;CHOOSE($W460,3,3,2,2,3))&amp;" | Total Day "&amp;MAX(0,NETWORKDAYS($L460,TODAY(),Holidays)-1))</f>
        <v/>
      </c>
      <c r="W460" s="17">
        <f>IF($L460="","",COUNT($L460:$Q460))</f>
        <v/>
      </c>
      <c r="X460" s="18">
        <f>IF($W460="","",INT(INDEX($L460:$Q460,$W460)))</f>
        <v/>
      </c>
      <c r="Y460" s="18">
        <f>IF(OR($W460="",$W460=6),"",WORKDAY($X460,CHOOSE($W460,3,3,2,2,3),Holidays))</f>
        <v/>
      </c>
      <c r="Z460" s="17">
        <f>IF(OR($W460="",$W460=6),"",CHOOSE($W460,"1st Email Follow-up","2nd Email Follow-up","Escalate Local Office","Escalate to CBE","Escalate to Roxanne"))</f>
        <v/>
      </c>
    </row>
    <row r="461" spans="18:26">
      <c r="R461" s="15"/>
      <c r="S461" s="16"/>
      <c r="T461" s="17">
        <f>IF(AND(COUNTA($A461:$K461)=0,$L461=""),"",IF($S461="Paid","PAID",IF($S461="Closed","CLOSED",IF($W461="","",IF($W461=6,"ESCALATED TO ROXANNE",IF(TODAY()&gt;$Y461,"OVERDUE",IF($Y461&lt;=WORKDAY(TODAY(),1,Holidays),"DUE TOMORROW",IF($W461=4,"ESCALATED TO LOCAL OFFICE",IF($W461=5,"ESCALATED TO CBE",IF($X461=TODAY(),"EMAIL SENT","MONITORING"))))))))))</f>
        <v/>
      </c>
      <c r="U461" s="17">
        <f>IF($T461="",IF(AND(COUNTA($A461:$K461)&gt;0,$L461=""),"Awaiting Collection Email time stamp.",""),IF(OR($T461="PAID",$T461="CLOSED"),IF($T461="PAID","Account paid. Action completed.","Account closed. No further action required."),CHOOSE($W461,"Collection Email","1st Email Follow-up","2nd Email Follow-up","Escalation to Local Office","Escalation to CBE","Escalation to Roxanne")&amp;" sent "&amp;TEXT($X461,"dd-mmm")&amp;". "&amp;IF($W461=6,"Final escalation completed.",IF($T461="OVERDUE","Next: "&amp;$Z461&amp;" was due "&amp;TEXT($Y461,"dd-mmm")&amp;" - "&amp;(NETWORKDAYS($Y461,TODAY(),Holidays)-1)&amp;" business day(s) late. Send now.",IF($T461="DUE TOMORROW","Next: "&amp;$Z461&amp;IF($Y461&lt;=TODAY()," is due TODAY ("," is due next business day (")&amp;TEXT($Y461,"dd-mmm")&amp;").","Next: "&amp;$Z461&amp;" due "&amp;TEXT($Y461,"dd-mmm")&amp;" ("&amp;(NETWORKDAYS(TODAY(),$Y461,Holidays)-1)&amp;" business day(s) left).")))))</f>
        <v/>
      </c>
      <c r="V461" s="17">
        <f>IF($W461="","",CHOOSE($W461,"Collection Email","1st Follow-up","2nd Follow-up","Local Office","CBE","Roxanne")&amp;IF($W461=6," - Final"," - Day "&amp;MAX(0,NETWORKDAYS($X461,TODAY(),Holidays)-1)&amp;" of "&amp;CHOOSE($W461,3,3,2,2,3))&amp;" | Total Day "&amp;MAX(0,NETWORKDAYS($L461,TODAY(),Holidays)-1))</f>
        <v/>
      </c>
      <c r="W461" s="17">
        <f>IF($L461="","",COUNT($L461:$Q461))</f>
        <v/>
      </c>
      <c r="X461" s="18">
        <f>IF($W461="","",INT(INDEX($L461:$Q461,$W461)))</f>
        <v/>
      </c>
      <c r="Y461" s="18">
        <f>IF(OR($W461="",$W461=6),"",WORKDAY($X461,CHOOSE($W461,3,3,2,2,3),Holidays))</f>
        <v/>
      </c>
      <c r="Z461" s="17">
        <f>IF(OR($W461="",$W461=6),"",CHOOSE($W461,"1st Email Follow-up","2nd Email Follow-up","Escalate Local Office","Escalate to CBE","Escalate to Roxanne"))</f>
        <v/>
      </c>
    </row>
    <row r="462" spans="18:26">
      <c r="R462" s="15"/>
      <c r="S462" s="16"/>
      <c r="T462" s="17">
        <f>IF(AND(COUNTA($A462:$K462)=0,$L462=""),"",IF($S462="Paid","PAID",IF($S462="Closed","CLOSED",IF($W462="","",IF($W462=6,"ESCALATED TO ROXANNE",IF(TODAY()&gt;$Y462,"OVERDUE",IF($Y462&lt;=WORKDAY(TODAY(),1,Holidays),"DUE TOMORROW",IF($W462=4,"ESCALATED TO LOCAL OFFICE",IF($W462=5,"ESCALATED TO CBE",IF($X462=TODAY(),"EMAIL SENT","MONITORING"))))))))))</f>
        <v/>
      </c>
      <c r="U462" s="17">
        <f>IF($T462="",IF(AND(COUNTA($A462:$K462)&gt;0,$L462=""),"Awaiting Collection Email time stamp.",""),IF(OR($T462="PAID",$T462="CLOSED"),IF($T462="PAID","Account paid. Action completed.","Account closed. No further action required."),CHOOSE($W462,"Collection Email","1st Email Follow-up","2nd Email Follow-up","Escalation to Local Office","Escalation to CBE","Escalation to Roxanne")&amp;" sent "&amp;TEXT($X462,"dd-mmm")&amp;". "&amp;IF($W462=6,"Final escalation completed.",IF($T462="OVERDUE","Next: "&amp;$Z462&amp;" was due "&amp;TEXT($Y462,"dd-mmm")&amp;" - "&amp;(NETWORKDAYS($Y462,TODAY(),Holidays)-1)&amp;" business day(s) late. Send now.",IF($T462="DUE TOMORROW","Next: "&amp;$Z462&amp;IF($Y462&lt;=TODAY()," is due TODAY ("," is due next business day (")&amp;TEXT($Y462,"dd-mmm")&amp;").","Next: "&amp;$Z462&amp;" due "&amp;TEXT($Y462,"dd-mmm")&amp;" ("&amp;(NETWORKDAYS(TODAY(),$Y462,Holidays)-1)&amp;" business day(s) left).")))))</f>
        <v/>
      </c>
      <c r="V462" s="17">
        <f>IF($W462="","",CHOOSE($W462,"Collection Email","1st Follow-up","2nd Follow-up","Local Office","CBE","Roxanne")&amp;IF($W462=6," - Final"," - Day "&amp;MAX(0,NETWORKDAYS($X462,TODAY(),Holidays)-1)&amp;" of "&amp;CHOOSE($W462,3,3,2,2,3))&amp;" | Total Day "&amp;MAX(0,NETWORKDAYS($L462,TODAY(),Holidays)-1))</f>
        <v/>
      </c>
      <c r="W462" s="17">
        <f>IF($L462="","",COUNT($L462:$Q462))</f>
        <v/>
      </c>
      <c r="X462" s="18">
        <f>IF($W462="","",INT(INDEX($L462:$Q462,$W462)))</f>
        <v/>
      </c>
      <c r="Y462" s="18">
        <f>IF(OR($W462="",$W462=6),"",WORKDAY($X462,CHOOSE($W462,3,3,2,2,3),Holidays))</f>
        <v/>
      </c>
      <c r="Z462" s="17">
        <f>IF(OR($W462="",$W462=6),"",CHOOSE($W462,"1st Email Follow-up","2nd Email Follow-up","Escalate Local Office","Escalate to CBE","Escalate to Roxanne"))</f>
        <v/>
      </c>
    </row>
    <row r="463" spans="18:26">
      <c r="R463" s="15"/>
      <c r="S463" s="16"/>
      <c r="T463" s="17">
        <f>IF(AND(COUNTA($A463:$K463)=0,$L463=""),"",IF($S463="Paid","PAID",IF($S463="Closed","CLOSED",IF($W463="","",IF($W463=6,"ESCALATED TO ROXANNE",IF(TODAY()&gt;$Y463,"OVERDUE",IF($Y463&lt;=WORKDAY(TODAY(),1,Holidays),"DUE TOMORROW",IF($W463=4,"ESCALATED TO LOCAL OFFICE",IF($W463=5,"ESCALATED TO CBE",IF($X463=TODAY(),"EMAIL SENT","MONITORING"))))))))))</f>
        <v/>
      </c>
      <c r="U463" s="17">
        <f>IF($T463="",IF(AND(COUNTA($A463:$K463)&gt;0,$L463=""),"Awaiting Collection Email time stamp.",""),IF(OR($T463="PAID",$T463="CLOSED"),IF($T463="PAID","Account paid. Action completed.","Account closed. No further action required."),CHOOSE($W463,"Collection Email","1st Email Follow-up","2nd Email Follow-up","Escalation to Local Office","Escalation to CBE","Escalation to Roxanne")&amp;" sent "&amp;TEXT($X463,"dd-mmm")&amp;". "&amp;IF($W463=6,"Final escalation completed.",IF($T463="OVERDUE","Next: "&amp;$Z463&amp;" was due "&amp;TEXT($Y463,"dd-mmm")&amp;" - "&amp;(NETWORKDAYS($Y463,TODAY(),Holidays)-1)&amp;" business day(s) late. Send now.",IF($T463="DUE TOMORROW","Next: "&amp;$Z463&amp;IF($Y463&lt;=TODAY()," is due TODAY ("," is due next business day (")&amp;TEXT($Y463,"dd-mmm")&amp;").","Next: "&amp;$Z463&amp;" due "&amp;TEXT($Y463,"dd-mmm")&amp;" ("&amp;(NETWORKDAYS(TODAY(),$Y463,Holidays)-1)&amp;" business day(s) left).")))))</f>
        <v/>
      </c>
      <c r="V463" s="17">
        <f>IF($W463="","",CHOOSE($W463,"Collection Email","1st Follow-up","2nd Follow-up","Local Office","CBE","Roxanne")&amp;IF($W463=6," - Final"," - Day "&amp;MAX(0,NETWORKDAYS($X463,TODAY(),Holidays)-1)&amp;" of "&amp;CHOOSE($W463,3,3,2,2,3))&amp;" | Total Day "&amp;MAX(0,NETWORKDAYS($L463,TODAY(),Holidays)-1))</f>
        <v/>
      </c>
      <c r="W463" s="17">
        <f>IF($L463="","",COUNT($L463:$Q463))</f>
        <v/>
      </c>
      <c r="X463" s="18">
        <f>IF($W463="","",INT(INDEX($L463:$Q463,$W463)))</f>
        <v/>
      </c>
      <c r="Y463" s="18">
        <f>IF(OR($W463="",$W463=6),"",WORKDAY($X463,CHOOSE($W463,3,3,2,2,3),Holidays))</f>
        <v/>
      </c>
      <c r="Z463" s="17">
        <f>IF(OR($W463="",$W463=6),"",CHOOSE($W463,"1st Email Follow-up","2nd Email Follow-up","Escalate Local Office","Escalate to CBE","Escalate to Roxanne"))</f>
        <v/>
      </c>
    </row>
    <row r="464" spans="18:26">
      <c r="R464" s="15"/>
      <c r="S464" s="16"/>
      <c r="T464" s="17">
        <f>IF(AND(COUNTA($A464:$K464)=0,$L464=""),"",IF($S464="Paid","PAID",IF($S464="Closed","CLOSED",IF($W464="","",IF($W464=6,"ESCALATED TO ROXANNE",IF(TODAY()&gt;$Y464,"OVERDUE",IF($Y464&lt;=WORKDAY(TODAY(),1,Holidays),"DUE TOMORROW",IF($W464=4,"ESCALATED TO LOCAL OFFICE",IF($W464=5,"ESCALATED TO CBE",IF($X464=TODAY(),"EMAIL SENT","MONITORING"))))))))))</f>
        <v/>
      </c>
      <c r="U464" s="17">
        <f>IF($T464="",IF(AND(COUNTA($A464:$K464)&gt;0,$L464=""),"Awaiting Collection Email time stamp.",""),IF(OR($T464="PAID",$T464="CLOSED"),IF($T464="PAID","Account paid. Action completed.","Account closed. No further action required."),CHOOSE($W464,"Collection Email","1st Email Follow-up","2nd Email Follow-up","Escalation to Local Office","Escalation to CBE","Escalation to Roxanne")&amp;" sent "&amp;TEXT($X464,"dd-mmm")&amp;". "&amp;IF($W464=6,"Final escalation completed.",IF($T464="OVERDUE","Next: "&amp;$Z464&amp;" was due "&amp;TEXT($Y464,"dd-mmm")&amp;" - "&amp;(NETWORKDAYS($Y464,TODAY(),Holidays)-1)&amp;" business day(s) late. Send now.",IF($T464="DUE TOMORROW","Next: "&amp;$Z464&amp;IF($Y464&lt;=TODAY()," is due TODAY ("," is due next business day (")&amp;TEXT($Y464,"dd-mmm")&amp;").","Next: "&amp;$Z464&amp;" due "&amp;TEXT($Y464,"dd-mmm")&amp;" ("&amp;(NETWORKDAYS(TODAY(),$Y464,Holidays)-1)&amp;" business day(s) left).")))))</f>
        <v/>
      </c>
      <c r="V464" s="17">
        <f>IF($W464="","",CHOOSE($W464,"Collection Email","1st Follow-up","2nd Follow-up","Local Office","CBE","Roxanne")&amp;IF($W464=6," - Final"," - Day "&amp;MAX(0,NETWORKDAYS($X464,TODAY(),Holidays)-1)&amp;" of "&amp;CHOOSE($W464,3,3,2,2,3))&amp;" | Total Day "&amp;MAX(0,NETWORKDAYS($L464,TODAY(),Holidays)-1))</f>
        <v/>
      </c>
      <c r="W464" s="17">
        <f>IF($L464="","",COUNT($L464:$Q464))</f>
        <v/>
      </c>
      <c r="X464" s="18">
        <f>IF($W464="","",INT(INDEX($L464:$Q464,$W464)))</f>
        <v/>
      </c>
      <c r="Y464" s="18">
        <f>IF(OR($W464="",$W464=6),"",WORKDAY($X464,CHOOSE($W464,3,3,2,2,3),Holidays))</f>
        <v/>
      </c>
      <c r="Z464" s="17">
        <f>IF(OR($W464="",$W464=6),"",CHOOSE($W464,"1st Email Follow-up","2nd Email Follow-up","Escalate Local Office","Escalate to CBE","Escalate to Roxanne"))</f>
        <v/>
      </c>
    </row>
    <row r="465" spans="18:26">
      <c r="R465" s="15"/>
      <c r="S465" s="16"/>
      <c r="T465" s="17">
        <f>IF(AND(COUNTA($A465:$K465)=0,$L465=""),"",IF($S465="Paid","PAID",IF($S465="Closed","CLOSED",IF($W465="","",IF($W465=6,"ESCALATED TO ROXANNE",IF(TODAY()&gt;$Y465,"OVERDUE",IF($Y465&lt;=WORKDAY(TODAY(),1,Holidays),"DUE TOMORROW",IF($W465=4,"ESCALATED TO LOCAL OFFICE",IF($W465=5,"ESCALATED TO CBE",IF($X465=TODAY(),"EMAIL SENT","MONITORING"))))))))))</f>
        <v/>
      </c>
      <c r="U465" s="17">
        <f>IF($T465="",IF(AND(COUNTA($A465:$K465)&gt;0,$L465=""),"Awaiting Collection Email time stamp.",""),IF(OR($T465="PAID",$T465="CLOSED"),IF($T465="PAID","Account paid. Action completed.","Account closed. No further action required."),CHOOSE($W465,"Collection Email","1st Email Follow-up","2nd Email Follow-up","Escalation to Local Office","Escalation to CBE","Escalation to Roxanne")&amp;" sent "&amp;TEXT($X465,"dd-mmm")&amp;". "&amp;IF($W465=6,"Final escalation completed.",IF($T465="OVERDUE","Next: "&amp;$Z465&amp;" was due "&amp;TEXT($Y465,"dd-mmm")&amp;" - "&amp;(NETWORKDAYS($Y465,TODAY(),Holidays)-1)&amp;" business day(s) late. Send now.",IF($T465="DUE TOMORROW","Next: "&amp;$Z465&amp;IF($Y465&lt;=TODAY()," is due TODAY ("," is due next business day (")&amp;TEXT($Y465,"dd-mmm")&amp;").","Next: "&amp;$Z465&amp;" due "&amp;TEXT($Y465,"dd-mmm")&amp;" ("&amp;(NETWORKDAYS(TODAY(),$Y465,Holidays)-1)&amp;" business day(s) left).")))))</f>
        <v/>
      </c>
      <c r="V465" s="17">
        <f>IF($W465="","",CHOOSE($W465,"Collection Email","1st Follow-up","2nd Follow-up","Local Office","CBE","Roxanne")&amp;IF($W465=6," - Final"," - Day "&amp;MAX(0,NETWORKDAYS($X465,TODAY(),Holidays)-1)&amp;" of "&amp;CHOOSE($W465,3,3,2,2,3))&amp;" | Total Day "&amp;MAX(0,NETWORKDAYS($L465,TODAY(),Holidays)-1))</f>
        <v/>
      </c>
      <c r="W465" s="17">
        <f>IF($L465="","",COUNT($L465:$Q465))</f>
        <v/>
      </c>
      <c r="X465" s="18">
        <f>IF($W465="","",INT(INDEX($L465:$Q465,$W465)))</f>
        <v/>
      </c>
      <c r="Y465" s="18">
        <f>IF(OR($W465="",$W465=6),"",WORKDAY($X465,CHOOSE($W465,3,3,2,2,3),Holidays))</f>
        <v/>
      </c>
      <c r="Z465" s="17">
        <f>IF(OR($W465="",$W465=6),"",CHOOSE($W465,"1st Email Follow-up","2nd Email Follow-up","Escalate Local Office","Escalate to CBE","Escalate to Roxanne"))</f>
        <v/>
      </c>
    </row>
    <row r="466" spans="18:26">
      <c r="R466" s="15"/>
      <c r="S466" s="16"/>
      <c r="T466" s="17">
        <f>IF(AND(COUNTA($A466:$K466)=0,$L466=""),"",IF($S466="Paid","PAID",IF($S466="Closed","CLOSED",IF($W466="","",IF($W466=6,"ESCALATED TO ROXANNE",IF(TODAY()&gt;$Y466,"OVERDUE",IF($Y466&lt;=WORKDAY(TODAY(),1,Holidays),"DUE TOMORROW",IF($W466=4,"ESCALATED TO LOCAL OFFICE",IF($W466=5,"ESCALATED TO CBE",IF($X466=TODAY(),"EMAIL SENT","MONITORING"))))))))))</f>
        <v/>
      </c>
      <c r="U466" s="17">
        <f>IF($T466="",IF(AND(COUNTA($A466:$K466)&gt;0,$L466=""),"Awaiting Collection Email time stamp.",""),IF(OR($T466="PAID",$T466="CLOSED"),IF($T466="PAID","Account paid. Action completed.","Account closed. No further action required."),CHOOSE($W466,"Collection Email","1st Email Follow-up","2nd Email Follow-up","Escalation to Local Office","Escalation to CBE","Escalation to Roxanne")&amp;" sent "&amp;TEXT($X466,"dd-mmm")&amp;". "&amp;IF($W466=6,"Final escalation completed.",IF($T466="OVERDUE","Next: "&amp;$Z466&amp;" was due "&amp;TEXT($Y466,"dd-mmm")&amp;" - "&amp;(NETWORKDAYS($Y466,TODAY(),Holidays)-1)&amp;" business day(s) late. Send now.",IF($T466="DUE TOMORROW","Next: "&amp;$Z466&amp;IF($Y466&lt;=TODAY()," is due TODAY ("," is due next business day (")&amp;TEXT($Y466,"dd-mmm")&amp;").","Next: "&amp;$Z466&amp;" due "&amp;TEXT($Y466,"dd-mmm")&amp;" ("&amp;(NETWORKDAYS(TODAY(),$Y466,Holidays)-1)&amp;" business day(s) left).")))))</f>
        <v/>
      </c>
      <c r="V466" s="17">
        <f>IF($W466="","",CHOOSE($W466,"Collection Email","1st Follow-up","2nd Follow-up","Local Office","CBE","Roxanne")&amp;IF($W466=6," - Final"," - Day "&amp;MAX(0,NETWORKDAYS($X466,TODAY(),Holidays)-1)&amp;" of "&amp;CHOOSE($W466,3,3,2,2,3))&amp;" | Total Day "&amp;MAX(0,NETWORKDAYS($L466,TODAY(),Holidays)-1))</f>
        <v/>
      </c>
      <c r="W466" s="17">
        <f>IF($L466="","",COUNT($L466:$Q466))</f>
        <v/>
      </c>
      <c r="X466" s="18">
        <f>IF($W466="","",INT(INDEX($L466:$Q466,$W466)))</f>
        <v/>
      </c>
      <c r="Y466" s="18">
        <f>IF(OR($W466="",$W466=6),"",WORKDAY($X466,CHOOSE($W466,3,3,2,2,3),Holidays))</f>
        <v/>
      </c>
      <c r="Z466" s="17">
        <f>IF(OR($W466="",$W466=6),"",CHOOSE($W466,"1st Email Follow-up","2nd Email Follow-up","Escalate Local Office","Escalate to CBE","Escalate to Roxanne"))</f>
        <v/>
      </c>
    </row>
    <row r="467" spans="18:26">
      <c r="R467" s="15"/>
      <c r="S467" s="16"/>
      <c r="T467" s="17">
        <f>IF(AND(COUNTA($A467:$K467)=0,$L467=""),"",IF($S467="Paid","PAID",IF($S467="Closed","CLOSED",IF($W467="","",IF($W467=6,"ESCALATED TO ROXANNE",IF(TODAY()&gt;$Y467,"OVERDUE",IF($Y467&lt;=WORKDAY(TODAY(),1,Holidays),"DUE TOMORROW",IF($W467=4,"ESCALATED TO LOCAL OFFICE",IF($W467=5,"ESCALATED TO CBE",IF($X467=TODAY(),"EMAIL SENT","MONITORING"))))))))))</f>
        <v/>
      </c>
      <c r="U467" s="17">
        <f>IF($T467="",IF(AND(COUNTA($A467:$K467)&gt;0,$L467=""),"Awaiting Collection Email time stamp.",""),IF(OR($T467="PAID",$T467="CLOSED"),IF($T467="PAID","Account paid. Action completed.","Account closed. No further action required."),CHOOSE($W467,"Collection Email","1st Email Follow-up","2nd Email Follow-up","Escalation to Local Office","Escalation to CBE","Escalation to Roxanne")&amp;" sent "&amp;TEXT($X467,"dd-mmm")&amp;". "&amp;IF($W467=6,"Final escalation completed.",IF($T467="OVERDUE","Next: "&amp;$Z467&amp;" was due "&amp;TEXT($Y467,"dd-mmm")&amp;" - "&amp;(NETWORKDAYS($Y467,TODAY(),Holidays)-1)&amp;" business day(s) late. Send now.",IF($T467="DUE TOMORROW","Next: "&amp;$Z467&amp;IF($Y467&lt;=TODAY()," is due TODAY ("," is due next business day (")&amp;TEXT($Y467,"dd-mmm")&amp;").","Next: "&amp;$Z467&amp;" due "&amp;TEXT($Y467,"dd-mmm")&amp;" ("&amp;(NETWORKDAYS(TODAY(),$Y467,Holidays)-1)&amp;" business day(s) left).")))))</f>
        <v/>
      </c>
      <c r="V467" s="17">
        <f>IF($W467="","",CHOOSE($W467,"Collection Email","1st Follow-up","2nd Follow-up","Local Office","CBE","Roxanne")&amp;IF($W467=6," - Final"," - Day "&amp;MAX(0,NETWORKDAYS($X467,TODAY(),Holidays)-1)&amp;" of "&amp;CHOOSE($W467,3,3,2,2,3))&amp;" | Total Day "&amp;MAX(0,NETWORKDAYS($L467,TODAY(),Holidays)-1))</f>
        <v/>
      </c>
      <c r="W467" s="17">
        <f>IF($L467="","",COUNT($L467:$Q467))</f>
        <v/>
      </c>
      <c r="X467" s="18">
        <f>IF($W467="","",INT(INDEX($L467:$Q467,$W467)))</f>
        <v/>
      </c>
      <c r="Y467" s="18">
        <f>IF(OR($W467="",$W467=6),"",WORKDAY($X467,CHOOSE($W467,3,3,2,2,3),Holidays))</f>
        <v/>
      </c>
      <c r="Z467" s="17">
        <f>IF(OR($W467="",$W467=6),"",CHOOSE($W467,"1st Email Follow-up","2nd Email Follow-up","Escalate Local Office","Escalate to CBE","Escalate to Roxanne"))</f>
        <v/>
      </c>
    </row>
    <row r="468" spans="18:26">
      <c r="R468" s="15"/>
      <c r="S468" s="16"/>
      <c r="T468" s="17">
        <f>IF(AND(COUNTA($A468:$K468)=0,$L468=""),"",IF($S468="Paid","PAID",IF($S468="Closed","CLOSED",IF($W468="","",IF($W468=6,"ESCALATED TO ROXANNE",IF(TODAY()&gt;$Y468,"OVERDUE",IF($Y468&lt;=WORKDAY(TODAY(),1,Holidays),"DUE TOMORROW",IF($W468=4,"ESCALATED TO LOCAL OFFICE",IF($W468=5,"ESCALATED TO CBE",IF($X468=TODAY(),"EMAIL SENT","MONITORING"))))))))))</f>
        <v/>
      </c>
      <c r="U468" s="17">
        <f>IF($T468="",IF(AND(COUNTA($A468:$K468)&gt;0,$L468=""),"Awaiting Collection Email time stamp.",""),IF(OR($T468="PAID",$T468="CLOSED"),IF($T468="PAID","Account paid. Action completed.","Account closed. No further action required."),CHOOSE($W468,"Collection Email","1st Email Follow-up","2nd Email Follow-up","Escalation to Local Office","Escalation to CBE","Escalation to Roxanne")&amp;" sent "&amp;TEXT($X468,"dd-mmm")&amp;". "&amp;IF($W468=6,"Final escalation completed.",IF($T468="OVERDUE","Next: "&amp;$Z468&amp;" was due "&amp;TEXT($Y468,"dd-mmm")&amp;" - "&amp;(NETWORKDAYS($Y468,TODAY(),Holidays)-1)&amp;" business day(s) late. Send now.",IF($T468="DUE TOMORROW","Next: "&amp;$Z468&amp;IF($Y468&lt;=TODAY()," is due TODAY ("," is due next business day (")&amp;TEXT($Y468,"dd-mmm")&amp;").","Next: "&amp;$Z468&amp;" due "&amp;TEXT($Y468,"dd-mmm")&amp;" ("&amp;(NETWORKDAYS(TODAY(),$Y468,Holidays)-1)&amp;" business day(s) left).")))))</f>
        <v/>
      </c>
      <c r="V468" s="17">
        <f>IF($W468="","",CHOOSE($W468,"Collection Email","1st Follow-up","2nd Follow-up","Local Office","CBE","Roxanne")&amp;IF($W468=6," - Final"," - Day "&amp;MAX(0,NETWORKDAYS($X468,TODAY(),Holidays)-1)&amp;" of "&amp;CHOOSE($W468,3,3,2,2,3))&amp;" | Total Day "&amp;MAX(0,NETWORKDAYS($L468,TODAY(),Holidays)-1))</f>
        <v/>
      </c>
      <c r="W468" s="17">
        <f>IF($L468="","",COUNT($L468:$Q468))</f>
        <v/>
      </c>
      <c r="X468" s="18">
        <f>IF($W468="","",INT(INDEX($L468:$Q468,$W468)))</f>
        <v/>
      </c>
      <c r="Y468" s="18">
        <f>IF(OR($W468="",$W468=6),"",WORKDAY($X468,CHOOSE($W468,3,3,2,2,3),Holidays))</f>
        <v/>
      </c>
      <c r="Z468" s="17">
        <f>IF(OR($W468="",$W468=6),"",CHOOSE($W468,"1st Email Follow-up","2nd Email Follow-up","Escalate Local Office","Escalate to CBE","Escalate to Roxanne"))</f>
        <v/>
      </c>
    </row>
    <row r="469" spans="18:26">
      <c r="R469" s="15"/>
      <c r="S469" s="16"/>
      <c r="T469" s="17">
        <f>IF(AND(COUNTA($A469:$K469)=0,$L469=""),"",IF($S469="Paid","PAID",IF($S469="Closed","CLOSED",IF($W469="","",IF($W469=6,"ESCALATED TO ROXANNE",IF(TODAY()&gt;$Y469,"OVERDUE",IF($Y469&lt;=WORKDAY(TODAY(),1,Holidays),"DUE TOMORROW",IF($W469=4,"ESCALATED TO LOCAL OFFICE",IF($W469=5,"ESCALATED TO CBE",IF($X469=TODAY(),"EMAIL SENT","MONITORING"))))))))))</f>
        <v/>
      </c>
      <c r="U469" s="17">
        <f>IF($T469="",IF(AND(COUNTA($A469:$K469)&gt;0,$L469=""),"Awaiting Collection Email time stamp.",""),IF(OR($T469="PAID",$T469="CLOSED"),IF($T469="PAID","Account paid. Action completed.","Account closed. No further action required."),CHOOSE($W469,"Collection Email","1st Email Follow-up","2nd Email Follow-up","Escalation to Local Office","Escalation to CBE","Escalation to Roxanne")&amp;" sent "&amp;TEXT($X469,"dd-mmm")&amp;". "&amp;IF($W469=6,"Final escalation completed.",IF($T469="OVERDUE","Next: "&amp;$Z469&amp;" was due "&amp;TEXT($Y469,"dd-mmm")&amp;" - "&amp;(NETWORKDAYS($Y469,TODAY(),Holidays)-1)&amp;" business day(s) late. Send now.",IF($T469="DUE TOMORROW","Next: "&amp;$Z469&amp;IF($Y469&lt;=TODAY()," is due TODAY ("," is due next business day (")&amp;TEXT($Y469,"dd-mmm")&amp;").","Next: "&amp;$Z469&amp;" due "&amp;TEXT($Y469,"dd-mmm")&amp;" ("&amp;(NETWORKDAYS(TODAY(),$Y469,Holidays)-1)&amp;" business day(s) left).")))))</f>
        <v/>
      </c>
      <c r="V469" s="17">
        <f>IF($W469="","",CHOOSE($W469,"Collection Email","1st Follow-up","2nd Follow-up","Local Office","CBE","Roxanne")&amp;IF($W469=6," - Final"," - Day "&amp;MAX(0,NETWORKDAYS($X469,TODAY(),Holidays)-1)&amp;" of "&amp;CHOOSE($W469,3,3,2,2,3))&amp;" | Total Day "&amp;MAX(0,NETWORKDAYS($L469,TODAY(),Holidays)-1))</f>
        <v/>
      </c>
      <c r="W469" s="17">
        <f>IF($L469="","",COUNT($L469:$Q469))</f>
        <v/>
      </c>
      <c r="X469" s="18">
        <f>IF($W469="","",INT(INDEX($L469:$Q469,$W469)))</f>
        <v/>
      </c>
      <c r="Y469" s="18">
        <f>IF(OR($W469="",$W469=6),"",WORKDAY($X469,CHOOSE($W469,3,3,2,2,3),Holidays))</f>
        <v/>
      </c>
      <c r="Z469" s="17">
        <f>IF(OR($W469="",$W469=6),"",CHOOSE($W469,"1st Email Follow-up","2nd Email Follow-up","Escalate Local Office","Escalate to CBE","Escalate to Roxanne"))</f>
        <v/>
      </c>
    </row>
    <row r="470" spans="18:26">
      <c r="R470" s="15"/>
      <c r="S470" s="16"/>
      <c r="T470" s="17">
        <f>IF(AND(COUNTA($A470:$K470)=0,$L470=""),"",IF($S470="Paid","PAID",IF($S470="Closed","CLOSED",IF($W470="","",IF($W470=6,"ESCALATED TO ROXANNE",IF(TODAY()&gt;$Y470,"OVERDUE",IF($Y470&lt;=WORKDAY(TODAY(),1,Holidays),"DUE TOMORROW",IF($W470=4,"ESCALATED TO LOCAL OFFICE",IF($W470=5,"ESCALATED TO CBE",IF($X470=TODAY(),"EMAIL SENT","MONITORING"))))))))))</f>
        <v/>
      </c>
      <c r="U470" s="17">
        <f>IF($T470="",IF(AND(COUNTA($A470:$K470)&gt;0,$L470=""),"Awaiting Collection Email time stamp.",""),IF(OR($T470="PAID",$T470="CLOSED"),IF($T470="PAID","Account paid. Action completed.","Account closed. No further action required."),CHOOSE($W470,"Collection Email","1st Email Follow-up","2nd Email Follow-up","Escalation to Local Office","Escalation to CBE","Escalation to Roxanne")&amp;" sent "&amp;TEXT($X470,"dd-mmm")&amp;". "&amp;IF($W470=6,"Final escalation completed.",IF($T470="OVERDUE","Next: "&amp;$Z470&amp;" was due "&amp;TEXT($Y470,"dd-mmm")&amp;" - "&amp;(NETWORKDAYS($Y470,TODAY(),Holidays)-1)&amp;" business day(s) late. Send now.",IF($T470="DUE TOMORROW","Next: "&amp;$Z470&amp;IF($Y470&lt;=TODAY()," is due TODAY ("," is due next business day (")&amp;TEXT($Y470,"dd-mmm")&amp;").","Next: "&amp;$Z470&amp;" due "&amp;TEXT($Y470,"dd-mmm")&amp;" ("&amp;(NETWORKDAYS(TODAY(),$Y470,Holidays)-1)&amp;" business day(s) left).")))))</f>
        <v/>
      </c>
      <c r="V470" s="17">
        <f>IF($W470="","",CHOOSE($W470,"Collection Email","1st Follow-up","2nd Follow-up","Local Office","CBE","Roxanne")&amp;IF($W470=6," - Final"," - Day "&amp;MAX(0,NETWORKDAYS($X470,TODAY(),Holidays)-1)&amp;" of "&amp;CHOOSE($W470,3,3,2,2,3))&amp;" | Total Day "&amp;MAX(0,NETWORKDAYS($L470,TODAY(),Holidays)-1))</f>
        <v/>
      </c>
      <c r="W470" s="17">
        <f>IF($L470="","",COUNT($L470:$Q470))</f>
        <v/>
      </c>
      <c r="X470" s="18">
        <f>IF($W470="","",INT(INDEX($L470:$Q470,$W470)))</f>
        <v/>
      </c>
      <c r="Y470" s="18">
        <f>IF(OR($W470="",$W470=6),"",WORKDAY($X470,CHOOSE($W470,3,3,2,2,3),Holidays))</f>
        <v/>
      </c>
      <c r="Z470" s="17">
        <f>IF(OR($W470="",$W470=6),"",CHOOSE($W470,"1st Email Follow-up","2nd Email Follow-up","Escalate Local Office","Escalate to CBE","Escalate to Roxanne"))</f>
        <v/>
      </c>
    </row>
    <row r="471" spans="18:26">
      <c r="R471" s="15"/>
      <c r="S471" s="16"/>
      <c r="T471" s="17">
        <f>IF(AND(COUNTA($A471:$K471)=0,$L471=""),"",IF($S471="Paid","PAID",IF($S471="Closed","CLOSED",IF($W471="","",IF($W471=6,"ESCALATED TO ROXANNE",IF(TODAY()&gt;$Y471,"OVERDUE",IF($Y471&lt;=WORKDAY(TODAY(),1,Holidays),"DUE TOMORROW",IF($W471=4,"ESCALATED TO LOCAL OFFICE",IF($W471=5,"ESCALATED TO CBE",IF($X471=TODAY(),"EMAIL SENT","MONITORING"))))))))))</f>
        <v/>
      </c>
      <c r="U471" s="17">
        <f>IF($T471="",IF(AND(COUNTA($A471:$K471)&gt;0,$L471=""),"Awaiting Collection Email time stamp.",""),IF(OR($T471="PAID",$T471="CLOSED"),IF($T471="PAID","Account paid. Action completed.","Account closed. No further action required."),CHOOSE($W471,"Collection Email","1st Email Follow-up","2nd Email Follow-up","Escalation to Local Office","Escalation to CBE","Escalation to Roxanne")&amp;" sent "&amp;TEXT($X471,"dd-mmm")&amp;". "&amp;IF($W471=6,"Final escalation completed.",IF($T471="OVERDUE","Next: "&amp;$Z471&amp;" was due "&amp;TEXT($Y471,"dd-mmm")&amp;" - "&amp;(NETWORKDAYS($Y471,TODAY(),Holidays)-1)&amp;" business day(s) late. Send now.",IF($T471="DUE TOMORROW","Next: "&amp;$Z471&amp;IF($Y471&lt;=TODAY()," is due TODAY ("," is due next business day (")&amp;TEXT($Y471,"dd-mmm")&amp;").","Next: "&amp;$Z471&amp;" due "&amp;TEXT($Y471,"dd-mmm")&amp;" ("&amp;(NETWORKDAYS(TODAY(),$Y471,Holidays)-1)&amp;" business day(s) left).")))))</f>
        <v/>
      </c>
      <c r="V471" s="17">
        <f>IF($W471="","",CHOOSE($W471,"Collection Email","1st Follow-up","2nd Follow-up","Local Office","CBE","Roxanne")&amp;IF($W471=6," - Final"," - Day "&amp;MAX(0,NETWORKDAYS($X471,TODAY(),Holidays)-1)&amp;" of "&amp;CHOOSE($W471,3,3,2,2,3))&amp;" | Total Day "&amp;MAX(0,NETWORKDAYS($L471,TODAY(),Holidays)-1))</f>
        <v/>
      </c>
      <c r="W471" s="17">
        <f>IF($L471="","",COUNT($L471:$Q471))</f>
        <v/>
      </c>
      <c r="X471" s="18">
        <f>IF($W471="","",INT(INDEX($L471:$Q471,$W471)))</f>
        <v/>
      </c>
      <c r="Y471" s="18">
        <f>IF(OR($W471="",$W471=6),"",WORKDAY($X471,CHOOSE($W471,3,3,2,2,3),Holidays))</f>
        <v/>
      </c>
      <c r="Z471" s="17">
        <f>IF(OR($W471="",$W471=6),"",CHOOSE($W471,"1st Email Follow-up","2nd Email Follow-up","Escalate Local Office","Escalate to CBE","Escalate to Roxanne"))</f>
        <v/>
      </c>
    </row>
    <row r="472" spans="18:26">
      <c r="R472" s="15"/>
      <c r="S472" s="16"/>
      <c r="T472" s="17">
        <f>IF(AND(COUNTA($A472:$K472)=0,$L472=""),"",IF($S472="Paid","PAID",IF($S472="Closed","CLOSED",IF($W472="","",IF($W472=6,"ESCALATED TO ROXANNE",IF(TODAY()&gt;$Y472,"OVERDUE",IF($Y472&lt;=WORKDAY(TODAY(),1,Holidays),"DUE TOMORROW",IF($W472=4,"ESCALATED TO LOCAL OFFICE",IF($W472=5,"ESCALATED TO CBE",IF($X472=TODAY(),"EMAIL SENT","MONITORING"))))))))))</f>
        <v/>
      </c>
      <c r="U472" s="17">
        <f>IF($T472="",IF(AND(COUNTA($A472:$K472)&gt;0,$L472=""),"Awaiting Collection Email time stamp.",""),IF(OR($T472="PAID",$T472="CLOSED"),IF($T472="PAID","Account paid. Action completed.","Account closed. No further action required."),CHOOSE($W472,"Collection Email","1st Email Follow-up","2nd Email Follow-up","Escalation to Local Office","Escalation to CBE","Escalation to Roxanne")&amp;" sent "&amp;TEXT($X472,"dd-mmm")&amp;". "&amp;IF($W472=6,"Final escalation completed.",IF($T472="OVERDUE","Next: "&amp;$Z472&amp;" was due "&amp;TEXT($Y472,"dd-mmm")&amp;" - "&amp;(NETWORKDAYS($Y472,TODAY(),Holidays)-1)&amp;" business day(s) late. Send now.",IF($T472="DUE TOMORROW","Next: "&amp;$Z472&amp;IF($Y472&lt;=TODAY()," is due TODAY ("," is due next business day (")&amp;TEXT($Y472,"dd-mmm")&amp;").","Next: "&amp;$Z472&amp;" due "&amp;TEXT($Y472,"dd-mmm")&amp;" ("&amp;(NETWORKDAYS(TODAY(),$Y472,Holidays)-1)&amp;" business day(s) left).")))))</f>
        <v/>
      </c>
      <c r="V472" s="17">
        <f>IF($W472="","",CHOOSE($W472,"Collection Email","1st Follow-up","2nd Follow-up","Local Office","CBE","Roxanne")&amp;IF($W472=6," - Final"," - Day "&amp;MAX(0,NETWORKDAYS($X472,TODAY(),Holidays)-1)&amp;" of "&amp;CHOOSE($W472,3,3,2,2,3))&amp;" | Total Day "&amp;MAX(0,NETWORKDAYS($L472,TODAY(),Holidays)-1))</f>
        <v/>
      </c>
      <c r="W472" s="17">
        <f>IF($L472="","",COUNT($L472:$Q472))</f>
        <v/>
      </c>
      <c r="X472" s="18">
        <f>IF($W472="","",INT(INDEX($L472:$Q472,$W472)))</f>
        <v/>
      </c>
      <c r="Y472" s="18">
        <f>IF(OR($W472="",$W472=6),"",WORKDAY($X472,CHOOSE($W472,3,3,2,2,3),Holidays))</f>
        <v/>
      </c>
      <c r="Z472" s="17">
        <f>IF(OR($W472="",$W472=6),"",CHOOSE($W472,"1st Email Follow-up","2nd Email Follow-up","Escalate Local Office","Escalate to CBE","Escalate to Roxanne"))</f>
        <v/>
      </c>
    </row>
    <row r="473" spans="18:26">
      <c r="R473" s="15"/>
      <c r="S473" s="16"/>
      <c r="T473" s="17">
        <f>IF(AND(COUNTA($A473:$K473)=0,$L473=""),"",IF($S473="Paid","PAID",IF($S473="Closed","CLOSED",IF($W473="","",IF($W473=6,"ESCALATED TO ROXANNE",IF(TODAY()&gt;$Y473,"OVERDUE",IF($Y473&lt;=WORKDAY(TODAY(),1,Holidays),"DUE TOMORROW",IF($W473=4,"ESCALATED TO LOCAL OFFICE",IF($W473=5,"ESCALATED TO CBE",IF($X473=TODAY(),"EMAIL SENT","MONITORING"))))))))))</f>
        <v/>
      </c>
      <c r="U473" s="17">
        <f>IF($T473="",IF(AND(COUNTA($A473:$K473)&gt;0,$L473=""),"Awaiting Collection Email time stamp.",""),IF(OR($T473="PAID",$T473="CLOSED"),IF($T473="PAID","Account paid. Action completed.","Account closed. No further action required."),CHOOSE($W473,"Collection Email","1st Email Follow-up","2nd Email Follow-up","Escalation to Local Office","Escalation to CBE","Escalation to Roxanne")&amp;" sent "&amp;TEXT($X473,"dd-mmm")&amp;". "&amp;IF($W473=6,"Final escalation completed.",IF($T473="OVERDUE","Next: "&amp;$Z473&amp;" was due "&amp;TEXT($Y473,"dd-mmm")&amp;" - "&amp;(NETWORKDAYS($Y473,TODAY(),Holidays)-1)&amp;" business day(s) late. Send now.",IF($T473="DUE TOMORROW","Next: "&amp;$Z473&amp;IF($Y473&lt;=TODAY()," is due TODAY ("," is due next business day (")&amp;TEXT($Y473,"dd-mmm")&amp;").","Next: "&amp;$Z473&amp;" due "&amp;TEXT($Y473,"dd-mmm")&amp;" ("&amp;(NETWORKDAYS(TODAY(),$Y473,Holidays)-1)&amp;" business day(s) left).")))))</f>
        <v/>
      </c>
      <c r="V473" s="17">
        <f>IF($W473="","",CHOOSE($W473,"Collection Email","1st Follow-up","2nd Follow-up","Local Office","CBE","Roxanne")&amp;IF($W473=6," - Final"," - Day "&amp;MAX(0,NETWORKDAYS($X473,TODAY(),Holidays)-1)&amp;" of "&amp;CHOOSE($W473,3,3,2,2,3))&amp;" | Total Day "&amp;MAX(0,NETWORKDAYS($L473,TODAY(),Holidays)-1))</f>
        <v/>
      </c>
      <c r="W473" s="17">
        <f>IF($L473="","",COUNT($L473:$Q473))</f>
        <v/>
      </c>
      <c r="X473" s="18">
        <f>IF($W473="","",INT(INDEX($L473:$Q473,$W473)))</f>
        <v/>
      </c>
      <c r="Y473" s="18">
        <f>IF(OR($W473="",$W473=6),"",WORKDAY($X473,CHOOSE($W473,3,3,2,2,3),Holidays))</f>
        <v/>
      </c>
      <c r="Z473" s="17">
        <f>IF(OR($W473="",$W473=6),"",CHOOSE($W473,"1st Email Follow-up","2nd Email Follow-up","Escalate Local Office","Escalate to CBE","Escalate to Roxanne"))</f>
        <v/>
      </c>
    </row>
    <row r="474" spans="18:26">
      <c r="R474" s="15"/>
      <c r="S474" s="16"/>
      <c r="T474" s="17">
        <f>IF(AND(COUNTA($A474:$K474)=0,$L474=""),"",IF($S474="Paid","PAID",IF($S474="Closed","CLOSED",IF($W474="","",IF($W474=6,"ESCALATED TO ROXANNE",IF(TODAY()&gt;$Y474,"OVERDUE",IF($Y474&lt;=WORKDAY(TODAY(),1,Holidays),"DUE TOMORROW",IF($W474=4,"ESCALATED TO LOCAL OFFICE",IF($W474=5,"ESCALATED TO CBE",IF($X474=TODAY(),"EMAIL SENT","MONITORING"))))))))))</f>
        <v/>
      </c>
      <c r="U474" s="17">
        <f>IF($T474="",IF(AND(COUNTA($A474:$K474)&gt;0,$L474=""),"Awaiting Collection Email time stamp.",""),IF(OR($T474="PAID",$T474="CLOSED"),IF($T474="PAID","Account paid. Action completed.","Account closed. No further action required."),CHOOSE($W474,"Collection Email","1st Email Follow-up","2nd Email Follow-up","Escalation to Local Office","Escalation to CBE","Escalation to Roxanne")&amp;" sent "&amp;TEXT($X474,"dd-mmm")&amp;". "&amp;IF($W474=6,"Final escalation completed.",IF($T474="OVERDUE","Next: "&amp;$Z474&amp;" was due "&amp;TEXT($Y474,"dd-mmm")&amp;" - "&amp;(NETWORKDAYS($Y474,TODAY(),Holidays)-1)&amp;" business day(s) late. Send now.",IF($T474="DUE TOMORROW","Next: "&amp;$Z474&amp;IF($Y474&lt;=TODAY()," is due TODAY ("," is due next business day (")&amp;TEXT($Y474,"dd-mmm")&amp;").","Next: "&amp;$Z474&amp;" due "&amp;TEXT($Y474,"dd-mmm")&amp;" ("&amp;(NETWORKDAYS(TODAY(),$Y474,Holidays)-1)&amp;" business day(s) left).")))))</f>
        <v/>
      </c>
      <c r="V474" s="17">
        <f>IF($W474="","",CHOOSE($W474,"Collection Email","1st Follow-up","2nd Follow-up","Local Office","CBE","Roxanne")&amp;IF($W474=6," - Final"," - Day "&amp;MAX(0,NETWORKDAYS($X474,TODAY(),Holidays)-1)&amp;" of "&amp;CHOOSE($W474,3,3,2,2,3))&amp;" | Total Day "&amp;MAX(0,NETWORKDAYS($L474,TODAY(),Holidays)-1))</f>
        <v/>
      </c>
      <c r="W474" s="17">
        <f>IF($L474="","",COUNT($L474:$Q474))</f>
        <v/>
      </c>
      <c r="X474" s="18">
        <f>IF($W474="","",INT(INDEX($L474:$Q474,$W474)))</f>
        <v/>
      </c>
      <c r="Y474" s="18">
        <f>IF(OR($W474="",$W474=6),"",WORKDAY($X474,CHOOSE($W474,3,3,2,2,3),Holidays))</f>
        <v/>
      </c>
      <c r="Z474" s="17">
        <f>IF(OR($W474="",$W474=6),"",CHOOSE($W474,"1st Email Follow-up","2nd Email Follow-up","Escalate Local Office","Escalate to CBE","Escalate to Roxanne"))</f>
        <v/>
      </c>
    </row>
    <row r="475" spans="18:26">
      <c r="R475" s="15"/>
      <c r="S475" s="16"/>
      <c r="T475" s="17">
        <f>IF(AND(COUNTA($A475:$K475)=0,$L475=""),"",IF($S475="Paid","PAID",IF($S475="Closed","CLOSED",IF($W475="","",IF($W475=6,"ESCALATED TO ROXANNE",IF(TODAY()&gt;$Y475,"OVERDUE",IF($Y475&lt;=WORKDAY(TODAY(),1,Holidays),"DUE TOMORROW",IF($W475=4,"ESCALATED TO LOCAL OFFICE",IF($W475=5,"ESCALATED TO CBE",IF($X475=TODAY(),"EMAIL SENT","MONITORING"))))))))))</f>
        <v/>
      </c>
      <c r="U475" s="17">
        <f>IF($T475="",IF(AND(COUNTA($A475:$K475)&gt;0,$L475=""),"Awaiting Collection Email time stamp.",""),IF(OR($T475="PAID",$T475="CLOSED"),IF($T475="PAID","Account paid. Action completed.","Account closed. No further action required."),CHOOSE($W475,"Collection Email","1st Email Follow-up","2nd Email Follow-up","Escalation to Local Office","Escalation to CBE","Escalation to Roxanne")&amp;" sent "&amp;TEXT($X475,"dd-mmm")&amp;". "&amp;IF($W475=6,"Final escalation completed.",IF($T475="OVERDUE","Next: "&amp;$Z475&amp;" was due "&amp;TEXT($Y475,"dd-mmm")&amp;" - "&amp;(NETWORKDAYS($Y475,TODAY(),Holidays)-1)&amp;" business day(s) late. Send now.",IF($T475="DUE TOMORROW","Next: "&amp;$Z475&amp;IF($Y475&lt;=TODAY()," is due TODAY ("," is due next business day (")&amp;TEXT($Y475,"dd-mmm")&amp;").","Next: "&amp;$Z475&amp;" due "&amp;TEXT($Y475,"dd-mmm")&amp;" ("&amp;(NETWORKDAYS(TODAY(),$Y475,Holidays)-1)&amp;" business day(s) left).")))))</f>
        <v/>
      </c>
      <c r="V475" s="17">
        <f>IF($W475="","",CHOOSE($W475,"Collection Email","1st Follow-up","2nd Follow-up","Local Office","CBE","Roxanne")&amp;IF($W475=6," - Final"," - Day "&amp;MAX(0,NETWORKDAYS($X475,TODAY(),Holidays)-1)&amp;" of "&amp;CHOOSE($W475,3,3,2,2,3))&amp;" | Total Day "&amp;MAX(0,NETWORKDAYS($L475,TODAY(),Holidays)-1))</f>
        <v/>
      </c>
      <c r="W475" s="17">
        <f>IF($L475="","",COUNT($L475:$Q475))</f>
        <v/>
      </c>
      <c r="X475" s="18">
        <f>IF($W475="","",INT(INDEX($L475:$Q475,$W475)))</f>
        <v/>
      </c>
      <c r="Y475" s="18">
        <f>IF(OR($W475="",$W475=6),"",WORKDAY($X475,CHOOSE($W475,3,3,2,2,3),Holidays))</f>
        <v/>
      </c>
      <c r="Z475" s="17">
        <f>IF(OR($W475="",$W475=6),"",CHOOSE($W475,"1st Email Follow-up","2nd Email Follow-up","Escalate Local Office","Escalate to CBE","Escalate to Roxanne"))</f>
        <v/>
      </c>
    </row>
    <row r="476" spans="18:26">
      <c r="R476" s="15"/>
      <c r="S476" s="16"/>
      <c r="T476" s="17">
        <f>IF(AND(COUNTA($A476:$K476)=0,$L476=""),"",IF($S476="Paid","PAID",IF($S476="Closed","CLOSED",IF($W476="","",IF($W476=6,"ESCALATED TO ROXANNE",IF(TODAY()&gt;$Y476,"OVERDUE",IF($Y476&lt;=WORKDAY(TODAY(),1,Holidays),"DUE TOMORROW",IF($W476=4,"ESCALATED TO LOCAL OFFICE",IF($W476=5,"ESCALATED TO CBE",IF($X476=TODAY(),"EMAIL SENT","MONITORING"))))))))))</f>
        <v/>
      </c>
      <c r="U476" s="17">
        <f>IF($T476="",IF(AND(COUNTA($A476:$K476)&gt;0,$L476=""),"Awaiting Collection Email time stamp.",""),IF(OR($T476="PAID",$T476="CLOSED"),IF($T476="PAID","Account paid. Action completed.","Account closed. No further action required."),CHOOSE($W476,"Collection Email","1st Email Follow-up","2nd Email Follow-up","Escalation to Local Office","Escalation to CBE","Escalation to Roxanne")&amp;" sent "&amp;TEXT($X476,"dd-mmm")&amp;". "&amp;IF($W476=6,"Final escalation completed.",IF($T476="OVERDUE","Next: "&amp;$Z476&amp;" was due "&amp;TEXT($Y476,"dd-mmm")&amp;" - "&amp;(NETWORKDAYS($Y476,TODAY(),Holidays)-1)&amp;" business day(s) late. Send now.",IF($T476="DUE TOMORROW","Next: "&amp;$Z476&amp;IF($Y476&lt;=TODAY()," is due TODAY ("," is due next business day (")&amp;TEXT($Y476,"dd-mmm")&amp;").","Next: "&amp;$Z476&amp;" due "&amp;TEXT($Y476,"dd-mmm")&amp;" ("&amp;(NETWORKDAYS(TODAY(),$Y476,Holidays)-1)&amp;" business day(s) left).")))))</f>
        <v/>
      </c>
      <c r="V476" s="17">
        <f>IF($W476="","",CHOOSE($W476,"Collection Email","1st Follow-up","2nd Follow-up","Local Office","CBE","Roxanne")&amp;IF($W476=6," - Final"," - Day "&amp;MAX(0,NETWORKDAYS($X476,TODAY(),Holidays)-1)&amp;" of "&amp;CHOOSE($W476,3,3,2,2,3))&amp;" | Total Day "&amp;MAX(0,NETWORKDAYS($L476,TODAY(),Holidays)-1))</f>
        <v/>
      </c>
      <c r="W476" s="17">
        <f>IF($L476="","",COUNT($L476:$Q476))</f>
        <v/>
      </c>
      <c r="X476" s="18">
        <f>IF($W476="","",INT(INDEX($L476:$Q476,$W476)))</f>
        <v/>
      </c>
      <c r="Y476" s="18">
        <f>IF(OR($W476="",$W476=6),"",WORKDAY($X476,CHOOSE($W476,3,3,2,2,3),Holidays))</f>
        <v/>
      </c>
      <c r="Z476" s="17">
        <f>IF(OR($W476="",$W476=6),"",CHOOSE($W476,"1st Email Follow-up","2nd Email Follow-up","Escalate Local Office","Escalate to CBE","Escalate to Roxanne"))</f>
        <v/>
      </c>
    </row>
    <row r="477" spans="18:26">
      <c r="R477" s="15"/>
      <c r="S477" s="16"/>
      <c r="T477" s="17">
        <f>IF(AND(COUNTA($A477:$K477)=0,$L477=""),"",IF($S477="Paid","PAID",IF($S477="Closed","CLOSED",IF($W477="","",IF($W477=6,"ESCALATED TO ROXANNE",IF(TODAY()&gt;$Y477,"OVERDUE",IF($Y477&lt;=WORKDAY(TODAY(),1,Holidays),"DUE TOMORROW",IF($W477=4,"ESCALATED TO LOCAL OFFICE",IF($W477=5,"ESCALATED TO CBE",IF($X477=TODAY(),"EMAIL SENT","MONITORING"))))))))))</f>
        <v/>
      </c>
      <c r="U477" s="17">
        <f>IF($T477="",IF(AND(COUNTA($A477:$K477)&gt;0,$L477=""),"Awaiting Collection Email time stamp.",""),IF(OR($T477="PAID",$T477="CLOSED"),IF($T477="PAID","Account paid. Action completed.","Account closed. No further action required."),CHOOSE($W477,"Collection Email","1st Email Follow-up","2nd Email Follow-up","Escalation to Local Office","Escalation to CBE","Escalation to Roxanne")&amp;" sent "&amp;TEXT($X477,"dd-mmm")&amp;". "&amp;IF($W477=6,"Final escalation completed.",IF($T477="OVERDUE","Next: "&amp;$Z477&amp;" was due "&amp;TEXT($Y477,"dd-mmm")&amp;" - "&amp;(NETWORKDAYS($Y477,TODAY(),Holidays)-1)&amp;" business day(s) late. Send now.",IF($T477="DUE TOMORROW","Next: "&amp;$Z477&amp;IF($Y477&lt;=TODAY()," is due TODAY ("," is due next business day (")&amp;TEXT($Y477,"dd-mmm")&amp;").","Next: "&amp;$Z477&amp;" due "&amp;TEXT($Y477,"dd-mmm")&amp;" ("&amp;(NETWORKDAYS(TODAY(),$Y477,Holidays)-1)&amp;" business day(s) left).")))))</f>
        <v/>
      </c>
      <c r="V477" s="17">
        <f>IF($W477="","",CHOOSE($W477,"Collection Email","1st Follow-up","2nd Follow-up","Local Office","CBE","Roxanne")&amp;IF($W477=6," - Final"," - Day "&amp;MAX(0,NETWORKDAYS($X477,TODAY(),Holidays)-1)&amp;" of "&amp;CHOOSE($W477,3,3,2,2,3))&amp;" | Total Day "&amp;MAX(0,NETWORKDAYS($L477,TODAY(),Holidays)-1))</f>
        <v/>
      </c>
      <c r="W477" s="17">
        <f>IF($L477="","",COUNT($L477:$Q477))</f>
        <v/>
      </c>
      <c r="X477" s="18">
        <f>IF($W477="","",INT(INDEX($L477:$Q477,$W477)))</f>
        <v/>
      </c>
      <c r="Y477" s="18">
        <f>IF(OR($W477="",$W477=6),"",WORKDAY($X477,CHOOSE($W477,3,3,2,2,3),Holidays))</f>
        <v/>
      </c>
      <c r="Z477" s="17">
        <f>IF(OR($W477="",$W477=6),"",CHOOSE($W477,"1st Email Follow-up","2nd Email Follow-up","Escalate Local Office","Escalate to CBE","Escalate to Roxanne"))</f>
        <v/>
      </c>
    </row>
    <row r="478" spans="18:26">
      <c r="R478" s="15"/>
      <c r="S478" s="16"/>
      <c r="T478" s="17">
        <f>IF(AND(COUNTA($A478:$K478)=0,$L478=""),"",IF($S478="Paid","PAID",IF($S478="Closed","CLOSED",IF($W478="","",IF($W478=6,"ESCALATED TO ROXANNE",IF(TODAY()&gt;$Y478,"OVERDUE",IF($Y478&lt;=WORKDAY(TODAY(),1,Holidays),"DUE TOMORROW",IF($W478=4,"ESCALATED TO LOCAL OFFICE",IF($W478=5,"ESCALATED TO CBE",IF($X478=TODAY(),"EMAIL SENT","MONITORING"))))))))))</f>
        <v/>
      </c>
      <c r="U478" s="17">
        <f>IF($T478="",IF(AND(COUNTA($A478:$K478)&gt;0,$L478=""),"Awaiting Collection Email time stamp.",""),IF(OR($T478="PAID",$T478="CLOSED"),IF($T478="PAID","Account paid. Action completed.","Account closed. No further action required."),CHOOSE($W478,"Collection Email","1st Email Follow-up","2nd Email Follow-up","Escalation to Local Office","Escalation to CBE","Escalation to Roxanne")&amp;" sent "&amp;TEXT($X478,"dd-mmm")&amp;". "&amp;IF($W478=6,"Final escalation completed.",IF($T478="OVERDUE","Next: "&amp;$Z478&amp;" was due "&amp;TEXT($Y478,"dd-mmm")&amp;" - "&amp;(NETWORKDAYS($Y478,TODAY(),Holidays)-1)&amp;" business day(s) late. Send now.",IF($T478="DUE TOMORROW","Next: "&amp;$Z478&amp;IF($Y478&lt;=TODAY()," is due TODAY ("," is due next business day (")&amp;TEXT($Y478,"dd-mmm")&amp;").","Next: "&amp;$Z478&amp;" due "&amp;TEXT($Y478,"dd-mmm")&amp;" ("&amp;(NETWORKDAYS(TODAY(),$Y478,Holidays)-1)&amp;" business day(s) left).")))))</f>
        <v/>
      </c>
      <c r="V478" s="17">
        <f>IF($W478="","",CHOOSE($W478,"Collection Email","1st Follow-up","2nd Follow-up","Local Office","CBE","Roxanne")&amp;IF($W478=6," - Final"," - Day "&amp;MAX(0,NETWORKDAYS($X478,TODAY(),Holidays)-1)&amp;" of "&amp;CHOOSE($W478,3,3,2,2,3))&amp;" | Total Day "&amp;MAX(0,NETWORKDAYS($L478,TODAY(),Holidays)-1))</f>
        <v/>
      </c>
      <c r="W478" s="17">
        <f>IF($L478="","",COUNT($L478:$Q478))</f>
        <v/>
      </c>
      <c r="X478" s="18">
        <f>IF($W478="","",INT(INDEX($L478:$Q478,$W478)))</f>
        <v/>
      </c>
      <c r="Y478" s="18">
        <f>IF(OR($W478="",$W478=6),"",WORKDAY($X478,CHOOSE($W478,3,3,2,2,3),Holidays))</f>
        <v/>
      </c>
      <c r="Z478" s="17">
        <f>IF(OR($W478="",$W478=6),"",CHOOSE($W478,"1st Email Follow-up","2nd Email Follow-up","Escalate Local Office","Escalate to CBE","Escalate to Roxanne"))</f>
        <v/>
      </c>
    </row>
    <row r="479" spans="18:26">
      <c r="R479" s="15"/>
      <c r="S479" s="16"/>
      <c r="T479" s="17">
        <f>IF(AND(COUNTA($A479:$K479)=0,$L479=""),"",IF($S479="Paid","PAID",IF($S479="Closed","CLOSED",IF($W479="","",IF($W479=6,"ESCALATED TO ROXANNE",IF(TODAY()&gt;$Y479,"OVERDUE",IF($Y479&lt;=WORKDAY(TODAY(),1,Holidays),"DUE TOMORROW",IF($W479=4,"ESCALATED TO LOCAL OFFICE",IF($W479=5,"ESCALATED TO CBE",IF($X479=TODAY(),"EMAIL SENT","MONITORING"))))))))))</f>
        <v/>
      </c>
      <c r="U479" s="17">
        <f>IF($T479="",IF(AND(COUNTA($A479:$K479)&gt;0,$L479=""),"Awaiting Collection Email time stamp.",""),IF(OR($T479="PAID",$T479="CLOSED"),IF($T479="PAID","Account paid. Action completed.","Account closed. No further action required."),CHOOSE($W479,"Collection Email","1st Email Follow-up","2nd Email Follow-up","Escalation to Local Office","Escalation to CBE","Escalation to Roxanne")&amp;" sent "&amp;TEXT($X479,"dd-mmm")&amp;". "&amp;IF($W479=6,"Final escalation completed.",IF($T479="OVERDUE","Next: "&amp;$Z479&amp;" was due "&amp;TEXT($Y479,"dd-mmm")&amp;" - "&amp;(NETWORKDAYS($Y479,TODAY(),Holidays)-1)&amp;" business day(s) late. Send now.",IF($T479="DUE TOMORROW","Next: "&amp;$Z479&amp;IF($Y479&lt;=TODAY()," is due TODAY ("," is due next business day (")&amp;TEXT($Y479,"dd-mmm")&amp;").","Next: "&amp;$Z479&amp;" due "&amp;TEXT($Y479,"dd-mmm")&amp;" ("&amp;(NETWORKDAYS(TODAY(),$Y479,Holidays)-1)&amp;" business day(s) left).")))))</f>
        <v/>
      </c>
      <c r="V479" s="17">
        <f>IF($W479="","",CHOOSE($W479,"Collection Email","1st Follow-up","2nd Follow-up","Local Office","CBE","Roxanne")&amp;IF($W479=6," - Final"," - Day "&amp;MAX(0,NETWORKDAYS($X479,TODAY(),Holidays)-1)&amp;" of "&amp;CHOOSE($W479,3,3,2,2,3))&amp;" | Total Day "&amp;MAX(0,NETWORKDAYS($L479,TODAY(),Holidays)-1))</f>
        <v/>
      </c>
      <c r="W479" s="17">
        <f>IF($L479="","",COUNT($L479:$Q479))</f>
        <v/>
      </c>
      <c r="X479" s="18">
        <f>IF($W479="","",INT(INDEX($L479:$Q479,$W479)))</f>
        <v/>
      </c>
      <c r="Y479" s="18">
        <f>IF(OR($W479="",$W479=6),"",WORKDAY($X479,CHOOSE($W479,3,3,2,2,3),Holidays))</f>
        <v/>
      </c>
      <c r="Z479" s="17">
        <f>IF(OR($W479="",$W479=6),"",CHOOSE($W479,"1st Email Follow-up","2nd Email Follow-up","Escalate Local Office","Escalate to CBE","Escalate to Roxanne"))</f>
        <v/>
      </c>
    </row>
    <row r="480" spans="18:26">
      <c r="R480" s="15"/>
      <c r="S480" s="16"/>
      <c r="T480" s="17">
        <f>IF(AND(COUNTA($A480:$K480)=0,$L480=""),"",IF($S480="Paid","PAID",IF($S480="Closed","CLOSED",IF($W480="","",IF($W480=6,"ESCALATED TO ROXANNE",IF(TODAY()&gt;$Y480,"OVERDUE",IF($Y480&lt;=WORKDAY(TODAY(),1,Holidays),"DUE TOMORROW",IF($W480=4,"ESCALATED TO LOCAL OFFICE",IF($W480=5,"ESCALATED TO CBE",IF($X480=TODAY(),"EMAIL SENT","MONITORING"))))))))))</f>
        <v/>
      </c>
      <c r="U480" s="17">
        <f>IF($T480="",IF(AND(COUNTA($A480:$K480)&gt;0,$L480=""),"Awaiting Collection Email time stamp.",""),IF(OR($T480="PAID",$T480="CLOSED"),IF($T480="PAID","Account paid. Action completed.","Account closed. No further action required."),CHOOSE($W480,"Collection Email","1st Email Follow-up","2nd Email Follow-up","Escalation to Local Office","Escalation to CBE","Escalation to Roxanne")&amp;" sent "&amp;TEXT($X480,"dd-mmm")&amp;". "&amp;IF($W480=6,"Final escalation completed.",IF($T480="OVERDUE","Next: "&amp;$Z480&amp;" was due "&amp;TEXT($Y480,"dd-mmm")&amp;" - "&amp;(NETWORKDAYS($Y480,TODAY(),Holidays)-1)&amp;" business day(s) late. Send now.",IF($T480="DUE TOMORROW","Next: "&amp;$Z480&amp;IF($Y480&lt;=TODAY()," is due TODAY ("," is due next business day (")&amp;TEXT($Y480,"dd-mmm")&amp;").","Next: "&amp;$Z480&amp;" due "&amp;TEXT($Y480,"dd-mmm")&amp;" ("&amp;(NETWORKDAYS(TODAY(),$Y480,Holidays)-1)&amp;" business day(s) left).")))))</f>
        <v/>
      </c>
      <c r="V480" s="17">
        <f>IF($W480="","",CHOOSE($W480,"Collection Email","1st Follow-up","2nd Follow-up","Local Office","CBE","Roxanne")&amp;IF($W480=6," - Final"," - Day "&amp;MAX(0,NETWORKDAYS($X480,TODAY(),Holidays)-1)&amp;" of "&amp;CHOOSE($W480,3,3,2,2,3))&amp;" | Total Day "&amp;MAX(0,NETWORKDAYS($L480,TODAY(),Holidays)-1))</f>
        <v/>
      </c>
      <c r="W480" s="17">
        <f>IF($L480="","",COUNT($L480:$Q480))</f>
        <v/>
      </c>
      <c r="X480" s="18">
        <f>IF($W480="","",INT(INDEX($L480:$Q480,$W480)))</f>
        <v/>
      </c>
      <c r="Y480" s="18">
        <f>IF(OR($W480="",$W480=6),"",WORKDAY($X480,CHOOSE($W480,3,3,2,2,3),Holidays))</f>
        <v/>
      </c>
      <c r="Z480" s="17">
        <f>IF(OR($W480="",$W480=6),"",CHOOSE($W480,"1st Email Follow-up","2nd Email Follow-up","Escalate Local Office","Escalate to CBE","Escalate to Roxanne"))</f>
        <v/>
      </c>
    </row>
    <row r="481" spans="18:26">
      <c r="R481" s="15"/>
      <c r="S481" s="16"/>
      <c r="T481" s="17">
        <f>IF(AND(COUNTA($A481:$K481)=0,$L481=""),"",IF($S481="Paid","PAID",IF($S481="Closed","CLOSED",IF($W481="","",IF($W481=6,"ESCALATED TO ROXANNE",IF(TODAY()&gt;$Y481,"OVERDUE",IF($Y481&lt;=WORKDAY(TODAY(),1,Holidays),"DUE TOMORROW",IF($W481=4,"ESCALATED TO LOCAL OFFICE",IF($W481=5,"ESCALATED TO CBE",IF($X481=TODAY(),"EMAIL SENT","MONITORING"))))))))))</f>
        <v/>
      </c>
      <c r="U481" s="17">
        <f>IF($T481="",IF(AND(COUNTA($A481:$K481)&gt;0,$L481=""),"Awaiting Collection Email time stamp.",""),IF(OR($T481="PAID",$T481="CLOSED"),IF($T481="PAID","Account paid. Action completed.","Account closed. No further action required."),CHOOSE($W481,"Collection Email","1st Email Follow-up","2nd Email Follow-up","Escalation to Local Office","Escalation to CBE","Escalation to Roxanne")&amp;" sent "&amp;TEXT($X481,"dd-mmm")&amp;". "&amp;IF($W481=6,"Final escalation completed.",IF($T481="OVERDUE","Next: "&amp;$Z481&amp;" was due "&amp;TEXT($Y481,"dd-mmm")&amp;" - "&amp;(NETWORKDAYS($Y481,TODAY(),Holidays)-1)&amp;" business day(s) late. Send now.",IF($T481="DUE TOMORROW","Next: "&amp;$Z481&amp;IF($Y481&lt;=TODAY()," is due TODAY ("," is due next business day (")&amp;TEXT($Y481,"dd-mmm")&amp;").","Next: "&amp;$Z481&amp;" due "&amp;TEXT($Y481,"dd-mmm")&amp;" ("&amp;(NETWORKDAYS(TODAY(),$Y481,Holidays)-1)&amp;" business day(s) left).")))))</f>
        <v/>
      </c>
      <c r="V481" s="17">
        <f>IF($W481="","",CHOOSE($W481,"Collection Email","1st Follow-up","2nd Follow-up","Local Office","CBE","Roxanne")&amp;IF($W481=6," - Final"," - Day "&amp;MAX(0,NETWORKDAYS($X481,TODAY(),Holidays)-1)&amp;" of "&amp;CHOOSE($W481,3,3,2,2,3))&amp;" | Total Day "&amp;MAX(0,NETWORKDAYS($L481,TODAY(),Holidays)-1))</f>
        <v/>
      </c>
      <c r="W481" s="17">
        <f>IF($L481="","",COUNT($L481:$Q481))</f>
        <v/>
      </c>
      <c r="X481" s="18">
        <f>IF($W481="","",INT(INDEX($L481:$Q481,$W481)))</f>
        <v/>
      </c>
      <c r="Y481" s="18">
        <f>IF(OR($W481="",$W481=6),"",WORKDAY($X481,CHOOSE($W481,3,3,2,2,3),Holidays))</f>
        <v/>
      </c>
      <c r="Z481" s="17">
        <f>IF(OR($W481="",$W481=6),"",CHOOSE($W481,"1st Email Follow-up","2nd Email Follow-up","Escalate Local Office","Escalate to CBE","Escalate to Roxanne"))</f>
        <v/>
      </c>
    </row>
    <row r="482" spans="18:26">
      <c r="R482" s="15"/>
      <c r="S482" s="16"/>
      <c r="T482" s="17">
        <f>IF(AND(COUNTA($A482:$K482)=0,$L482=""),"",IF($S482="Paid","PAID",IF($S482="Closed","CLOSED",IF($W482="","",IF($W482=6,"ESCALATED TO ROXANNE",IF(TODAY()&gt;$Y482,"OVERDUE",IF($Y482&lt;=WORKDAY(TODAY(),1,Holidays),"DUE TOMORROW",IF($W482=4,"ESCALATED TO LOCAL OFFICE",IF($W482=5,"ESCALATED TO CBE",IF($X482=TODAY(),"EMAIL SENT","MONITORING"))))))))))</f>
        <v/>
      </c>
      <c r="U482" s="17">
        <f>IF($T482="",IF(AND(COUNTA($A482:$K482)&gt;0,$L482=""),"Awaiting Collection Email time stamp.",""),IF(OR($T482="PAID",$T482="CLOSED"),IF($T482="PAID","Account paid. Action completed.","Account closed. No further action required."),CHOOSE($W482,"Collection Email","1st Email Follow-up","2nd Email Follow-up","Escalation to Local Office","Escalation to CBE","Escalation to Roxanne")&amp;" sent "&amp;TEXT($X482,"dd-mmm")&amp;". "&amp;IF($W482=6,"Final escalation completed.",IF($T482="OVERDUE","Next: "&amp;$Z482&amp;" was due "&amp;TEXT($Y482,"dd-mmm")&amp;" - "&amp;(NETWORKDAYS($Y482,TODAY(),Holidays)-1)&amp;" business day(s) late. Send now.",IF($T482="DUE TOMORROW","Next: "&amp;$Z482&amp;IF($Y482&lt;=TODAY()," is due TODAY ("," is due next business day (")&amp;TEXT($Y482,"dd-mmm")&amp;").","Next: "&amp;$Z482&amp;" due "&amp;TEXT($Y482,"dd-mmm")&amp;" ("&amp;(NETWORKDAYS(TODAY(),$Y482,Holidays)-1)&amp;" business day(s) left).")))))</f>
        <v/>
      </c>
      <c r="V482" s="17">
        <f>IF($W482="","",CHOOSE($W482,"Collection Email","1st Follow-up","2nd Follow-up","Local Office","CBE","Roxanne")&amp;IF($W482=6," - Final"," - Day "&amp;MAX(0,NETWORKDAYS($X482,TODAY(),Holidays)-1)&amp;" of "&amp;CHOOSE($W482,3,3,2,2,3))&amp;" | Total Day "&amp;MAX(0,NETWORKDAYS($L482,TODAY(),Holidays)-1))</f>
        <v/>
      </c>
      <c r="W482" s="17">
        <f>IF($L482="","",COUNT($L482:$Q482))</f>
        <v/>
      </c>
      <c r="X482" s="18">
        <f>IF($W482="","",INT(INDEX($L482:$Q482,$W482)))</f>
        <v/>
      </c>
      <c r="Y482" s="18">
        <f>IF(OR($W482="",$W482=6),"",WORKDAY($X482,CHOOSE($W482,3,3,2,2,3),Holidays))</f>
        <v/>
      </c>
      <c r="Z482" s="17">
        <f>IF(OR($W482="",$W482=6),"",CHOOSE($W482,"1st Email Follow-up","2nd Email Follow-up","Escalate Local Office","Escalate to CBE","Escalate to Roxanne"))</f>
        <v/>
      </c>
    </row>
    <row r="483" spans="18:26">
      <c r="R483" s="15"/>
      <c r="S483" s="16"/>
      <c r="T483" s="17">
        <f>IF(AND(COUNTA($A483:$K483)=0,$L483=""),"",IF($S483="Paid","PAID",IF($S483="Closed","CLOSED",IF($W483="","",IF($W483=6,"ESCALATED TO ROXANNE",IF(TODAY()&gt;$Y483,"OVERDUE",IF($Y483&lt;=WORKDAY(TODAY(),1,Holidays),"DUE TOMORROW",IF($W483=4,"ESCALATED TO LOCAL OFFICE",IF($W483=5,"ESCALATED TO CBE",IF($X483=TODAY(),"EMAIL SENT","MONITORING"))))))))))</f>
        <v/>
      </c>
      <c r="U483" s="17">
        <f>IF($T483="",IF(AND(COUNTA($A483:$K483)&gt;0,$L483=""),"Awaiting Collection Email time stamp.",""),IF(OR($T483="PAID",$T483="CLOSED"),IF($T483="PAID","Account paid. Action completed.","Account closed. No further action required."),CHOOSE($W483,"Collection Email","1st Email Follow-up","2nd Email Follow-up","Escalation to Local Office","Escalation to CBE","Escalation to Roxanne")&amp;" sent "&amp;TEXT($X483,"dd-mmm")&amp;". "&amp;IF($W483=6,"Final escalation completed.",IF($T483="OVERDUE","Next: "&amp;$Z483&amp;" was due "&amp;TEXT($Y483,"dd-mmm")&amp;" - "&amp;(NETWORKDAYS($Y483,TODAY(),Holidays)-1)&amp;" business day(s) late. Send now.",IF($T483="DUE TOMORROW","Next: "&amp;$Z483&amp;IF($Y483&lt;=TODAY()," is due TODAY ("," is due next business day (")&amp;TEXT($Y483,"dd-mmm")&amp;").","Next: "&amp;$Z483&amp;" due "&amp;TEXT($Y483,"dd-mmm")&amp;" ("&amp;(NETWORKDAYS(TODAY(),$Y483,Holidays)-1)&amp;" business day(s) left).")))))</f>
        <v/>
      </c>
      <c r="V483" s="17">
        <f>IF($W483="","",CHOOSE($W483,"Collection Email","1st Follow-up","2nd Follow-up","Local Office","CBE","Roxanne")&amp;IF($W483=6," - Final"," - Day "&amp;MAX(0,NETWORKDAYS($X483,TODAY(),Holidays)-1)&amp;" of "&amp;CHOOSE($W483,3,3,2,2,3))&amp;" | Total Day "&amp;MAX(0,NETWORKDAYS($L483,TODAY(),Holidays)-1))</f>
        <v/>
      </c>
      <c r="W483" s="17">
        <f>IF($L483="","",COUNT($L483:$Q483))</f>
        <v/>
      </c>
      <c r="X483" s="18">
        <f>IF($W483="","",INT(INDEX($L483:$Q483,$W483)))</f>
        <v/>
      </c>
      <c r="Y483" s="18">
        <f>IF(OR($W483="",$W483=6),"",WORKDAY($X483,CHOOSE($W483,3,3,2,2,3),Holidays))</f>
        <v/>
      </c>
      <c r="Z483" s="17">
        <f>IF(OR($W483="",$W483=6),"",CHOOSE($W483,"1st Email Follow-up","2nd Email Follow-up","Escalate Local Office","Escalate to CBE","Escalate to Roxanne"))</f>
        <v/>
      </c>
    </row>
    <row r="484" spans="18:26">
      <c r="R484" s="15"/>
      <c r="S484" s="16"/>
      <c r="T484" s="17">
        <f>IF(AND(COUNTA($A484:$K484)=0,$L484=""),"",IF($S484="Paid","PAID",IF($S484="Closed","CLOSED",IF($W484="","",IF($W484=6,"ESCALATED TO ROXANNE",IF(TODAY()&gt;$Y484,"OVERDUE",IF($Y484&lt;=WORKDAY(TODAY(),1,Holidays),"DUE TOMORROW",IF($W484=4,"ESCALATED TO LOCAL OFFICE",IF($W484=5,"ESCALATED TO CBE",IF($X484=TODAY(),"EMAIL SENT","MONITORING"))))))))))</f>
        <v/>
      </c>
      <c r="U484" s="17">
        <f>IF($T484="",IF(AND(COUNTA($A484:$K484)&gt;0,$L484=""),"Awaiting Collection Email time stamp.",""),IF(OR($T484="PAID",$T484="CLOSED"),IF($T484="PAID","Account paid. Action completed.","Account closed. No further action required."),CHOOSE($W484,"Collection Email","1st Email Follow-up","2nd Email Follow-up","Escalation to Local Office","Escalation to CBE","Escalation to Roxanne")&amp;" sent "&amp;TEXT($X484,"dd-mmm")&amp;". "&amp;IF($W484=6,"Final escalation completed.",IF($T484="OVERDUE","Next: "&amp;$Z484&amp;" was due "&amp;TEXT($Y484,"dd-mmm")&amp;" - "&amp;(NETWORKDAYS($Y484,TODAY(),Holidays)-1)&amp;" business day(s) late. Send now.",IF($T484="DUE TOMORROW","Next: "&amp;$Z484&amp;IF($Y484&lt;=TODAY()," is due TODAY ("," is due next business day (")&amp;TEXT($Y484,"dd-mmm")&amp;").","Next: "&amp;$Z484&amp;" due "&amp;TEXT($Y484,"dd-mmm")&amp;" ("&amp;(NETWORKDAYS(TODAY(),$Y484,Holidays)-1)&amp;" business day(s) left).")))))</f>
        <v/>
      </c>
      <c r="V484" s="17">
        <f>IF($W484="","",CHOOSE($W484,"Collection Email","1st Follow-up","2nd Follow-up","Local Office","CBE","Roxanne")&amp;IF($W484=6," - Final"," - Day "&amp;MAX(0,NETWORKDAYS($X484,TODAY(),Holidays)-1)&amp;" of "&amp;CHOOSE($W484,3,3,2,2,3))&amp;" | Total Day "&amp;MAX(0,NETWORKDAYS($L484,TODAY(),Holidays)-1))</f>
        <v/>
      </c>
      <c r="W484" s="17">
        <f>IF($L484="","",COUNT($L484:$Q484))</f>
        <v/>
      </c>
      <c r="X484" s="18">
        <f>IF($W484="","",INT(INDEX($L484:$Q484,$W484)))</f>
        <v/>
      </c>
      <c r="Y484" s="18">
        <f>IF(OR($W484="",$W484=6),"",WORKDAY($X484,CHOOSE($W484,3,3,2,2,3),Holidays))</f>
        <v/>
      </c>
      <c r="Z484" s="17">
        <f>IF(OR($W484="",$W484=6),"",CHOOSE($W484,"1st Email Follow-up","2nd Email Follow-up","Escalate Local Office","Escalate to CBE","Escalate to Roxanne"))</f>
        <v/>
      </c>
    </row>
    <row r="485" spans="18:26">
      <c r="R485" s="15"/>
      <c r="S485" s="16"/>
      <c r="T485" s="17">
        <f>IF(AND(COUNTA($A485:$K485)=0,$L485=""),"",IF($S485="Paid","PAID",IF($S485="Closed","CLOSED",IF($W485="","",IF($W485=6,"ESCALATED TO ROXANNE",IF(TODAY()&gt;$Y485,"OVERDUE",IF($Y485&lt;=WORKDAY(TODAY(),1,Holidays),"DUE TOMORROW",IF($W485=4,"ESCALATED TO LOCAL OFFICE",IF($W485=5,"ESCALATED TO CBE",IF($X485=TODAY(),"EMAIL SENT","MONITORING"))))))))))</f>
        <v/>
      </c>
      <c r="U485" s="17">
        <f>IF($T485="",IF(AND(COUNTA($A485:$K485)&gt;0,$L485=""),"Awaiting Collection Email time stamp.",""),IF(OR($T485="PAID",$T485="CLOSED"),IF($T485="PAID","Account paid. Action completed.","Account closed. No further action required."),CHOOSE($W485,"Collection Email","1st Email Follow-up","2nd Email Follow-up","Escalation to Local Office","Escalation to CBE","Escalation to Roxanne")&amp;" sent "&amp;TEXT($X485,"dd-mmm")&amp;". "&amp;IF($W485=6,"Final escalation completed.",IF($T485="OVERDUE","Next: "&amp;$Z485&amp;" was due "&amp;TEXT($Y485,"dd-mmm")&amp;" - "&amp;(NETWORKDAYS($Y485,TODAY(),Holidays)-1)&amp;" business day(s) late. Send now.",IF($T485="DUE TOMORROW","Next: "&amp;$Z485&amp;IF($Y485&lt;=TODAY()," is due TODAY ("," is due next business day (")&amp;TEXT($Y485,"dd-mmm")&amp;").","Next: "&amp;$Z485&amp;" due "&amp;TEXT($Y485,"dd-mmm")&amp;" ("&amp;(NETWORKDAYS(TODAY(),$Y485,Holidays)-1)&amp;" business day(s) left).")))))</f>
        <v/>
      </c>
      <c r="V485" s="17">
        <f>IF($W485="","",CHOOSE($W485,"Collection Email","1st Follow-up","2nd Follow-up","Local Office","CBE","Roxanne")&amp;IF($W485=6," - Final"," - Day "&amp;MAX(0,NETWORKDAYS($X485,TODAY(),Holidays)-1)&amp;" of "&amp;CHOOSE($W485,3,3,2,2,3))&amp;" | Total Day "&amp;MAX(0,NETWORKDAYS($L485,TODAY(),Holidays)-1))</f>
        <v/>
      </c>
      <c r="W485" s="17">
        <f>IF($L485="","",COUNT($L485:$Q485))</f>
        <v/>
      </c>
      <c r="X485" s="18">
        <f>IF($W485="","",INT(INDEX($L485:$Q485,$W485)))</f>
        <v/>
      </c>
      <c r="Y485" s="18">
        <f>IF(OR($W485="",$W485=6),"",WORKDAY($X485,CHOOSE($W485,3,3,2,2,3),Holidays))</f>
        <v/>
      </c>
      <c r="Z485" s="17">
        <f>IF(OR($W485="",$W485=6),"",CHOOSE($W485,"1st Email Follow-up","2nd Email Follow-up","Escalate Local Office","Escalate to CBE","Escalate to Roxanne"))</f>
        <v/>
      </c>
    </row>
    <row r="486" spans="18:26">
      <c r="R486" s="15"/>
      <c r="S486" s="16"/>
      <c r="T486" s="17">
        <f>IF(AND(COUNTA($A486:$K486)=0,$L486=""),"",IF($S486="Paid","PAID",IF($S486="Closed","CLOSED",IF($W486="","",IF($W486=6,"ESCALATED TO ROXANNE",IF(TODAY()&gt;$Y486,"OVERDUE",IF($Y486&lt;=WORKDAY(TODAY(),1,Holidays),"DUE TOMORROW",IF($W486=4,"ESCALATED TO LOCAL OFFICE",IF($W486=5,"ESCALATED TO CBE",IF($X486=TODAY(),"EMAIL SENT","MONITORING"))))))))))</f>
        <v/>
      </c>
      <c r="U486" s="17">
        <f>IF($T486="",IF(AND(COUNTA($A486:$K486)&gt;0,$L486=""),"Awaiting Collection Email time stamp.",""),IF(OR($T486="PAID",$T486="CLOSED"),IF($T486="PAID","Account paid. Action completed.","Account closed. No further action required."),CHOOSE($W486,"Collection Email","1st Email Follow-up","2nd Email Follow-up","Escalation to Local Office","Escalation to CBE","Escalation to Roxanne")&amp;" sent "&amp;TEXT($X486,"dd-mmm")&amp;". "&amp;IF($W486=6,"Final escalation completed.",IF($T486="OVERDUE","Next: "&amp;$Z486&amp;" was due "&amp;TEXT($Y486,"dd-mmm")&amp;" - "&amp;(NETWORKDAYS($Y486,TODAY(),Holidays)-1)&amp;" business day(s) late. Send now.",IF($T486="DUE TOMORROW","Next: "&amp;$Z486&amp;IF($Y486&lt;=TODAY()," is due TODAY ("," is due next business day (")&amp;TEXT($Y486,"dd-mmm")&amp;").","Next: "&amp;$Z486&amp;" due "&amp;TEXT($Y486,"dd-mmm")&amp;" ("&amp;(NETWORKDAYS(TODAY(),$Y486,Holidays)-1)&amp;" business day(s) left).")))))</f>
        <v/>
      </c>
      <c r="V486" s="17">
        <f>IF($W486="","",CHOOSE($W486,"Collection Email","1st Follow-up","2nd Follow-up","Local Office","CBE","Roxanne")&amp;IF($W486=6," - Final"," - Day "&amp;MAX(0,NETWORKDAYS($X486,TODAY(),Holidays)-1)&amp;" of "&amp;CHOOSE($W486,3,3,2,2,3))&amp;" | Total Day "&amp;MAX(0,NETWORKDAYS($L486,TODAY(),Holidays)-1))</f>
        <v/>
      </c>
      <c r="W486" s="17">
        <f>IF($L486="","",COUNT($L486:$Q486))</f>
        <v/>
      </c>
      <c r="X486" s="18">
        <f>IF($W486="","",INT(INDEX($L486:$Q486,$W486)))</f>
        <v/>
      </c>
      <c r="Y486" s="18">
        <f>IF(OR($W486="",$W486=6),"",WORKDAY($X486,CHOOSE($W486,3,3,2,2,3),Holidays))</f>
        <v/>
      </c>
      <c r="Z486" s="17">
        <f>IF(OR($W486="",$W486=6),"",CHOOSE($W486,"1st Email Follow-up","2nd Email Follow-up","Escalate Local Office","Escalate to CBE","Escalate to Roxanne"))</f>
        <v/>
      </c>
    </row>
    <row r="487" spans="18:26">
      <c r="R487" s="15"/>
      <c r="S487" s="16"/>
      <c r="T487" s="17">
        <f>IF(AND(COUNTA($A487:$K487)=0,$L487=""),"",IF($S487="Paid","PAID",IF($S487="Closed","CLOSED",IF($W487="","",IF($W487=6,"ESCALATED TO ROXANNE",IF(TODAY()&gt;$Y487,"OVERDUE",IF($Y487&lt;=WORKDAY(TODAY(),1,Holidays),"DUE TOMORROW",IF($W487=4,"ESCALATED TO LOCAL OFFICE",IF($W487=5,"ESCALATED TO CBE",IF($X487=TODAY(),"EMAIL SENT","MONITORING"))))))))))</f>
        <v/>
      </c>
      <c r="U487" s="17">
        <f>IF($T487="",IF(AND(COUNTA($A487:$K487)&gt;0,$L487=""),"Awaiting Collection Email time stamp.",""),IF(OR($T487="PAID",$T487="CLOSED"),IF($T487="PAID","Account paid. Action completed.","Account closed. No further action required."),CHOOSE($W487,"Collection Email","1st Email Follow-up","2nd Email Follow-up","Escalation to Local Office","Escalation to CBE","Escalation to Roxanne")&amp;" sent "&amp;TEXT($X487,"dd-mmm")&amp;". "&amp;IF($W487=6,"Final escalation completed.",IF($T487="OVERDUE","Next: "&amp;$Z487&amp;" was due "&amp;TEXT($Y487,"dd-mmm")&amp;" - "&amp;(NETWORKDAYS($Y487,TODAY(),Holidays)-1)&amp;" business day(s) late. Send now.",IF($T487="DUE TOMORROW","Next: "&amp;$Z487&amp;IF($Y487&lt;=TODAY()," is due TODAY ("," is due next business day (")&amp;TEXT($Y487,"dd-mmm")&amp;").","Next: "&amp;$Z487&amp;" due "&amp;TEXT($Y487,"dd-mmm")&amp;" ("&amp;(NETWORKDAYS(TODAY(),$Y487,Holidays)-1)&amp;" business day(s) left).")))))</f>
        <v/>
      </c>
      <c r="V487" s="17">
        <f>IF($W487="","",CHOOSE($W487,"Collection Email","1st Follow-up","2nd Follow-up","Local Office","CBE","Roxanne")&amp;IF($W487=6," - Final"," - Day "&amp;MAX(0,NETWORKDAYS($X487,TODAY(),Holidays)-1)&amp;" of "&amp;CHOOSE($W487,3,3,2,2,3))&amp;" | Total Day "&amp;MAX(0,NETWORKDAYS($L487,TODAY(),Holidays)-1))</f>
        <v/>
      </c>
      <c r="W487" s="17">
        <f>IF($L487="","",COUNT($L487:$Q487))</f>
        <v/>
      </c>
      <c r="X487" s="18">
        <f>IF($W487="","",INT(INDEX($L487:$Q487,$W487)))</f>
        <v/>
      </c>
      <c r="Y487" s="18">
        <f>IF(OR($W487="",$W487=6),"",WORKDAY($X487,CHOOSE($W487,3,3,2,2,3),Holidays))</f>
        <v/>
      </c>
      <c r="Z487" s="17">
        <f>IF(OR($W487="",$W487=6),"",CHOOSE($W487,"1st Email Follow-up","2nd Email Follow-up","Escalate Local Office","Escalate to CBE","Escalate to Roxanne"))</f>
        <v/>
      </c>
    </row>
    <row r="488" spans="18:26">
      <c r="R488" s="15"/>
      <c r="S488" s="16"/>
      <c r="T488" s="17">
        <f>IF(AND(COUNTA($A488:$K488)=0,$L488=""),"",IF($S488="Paid","PAID",IF($S488="Closed","CLOSED",IF($W488="","",IF($W488=6,"ESCALATED TO ROXANNE",IF(TODAY()&gt;$Y488,"OVERDUE",IF($Y488&lt;=WORKDAY(TODAY(),1,Holidays),"DUE TOMORROW",IF($W488=4,"ESCALATED TO LOCAL OFFICE",IF($W488=5,"ESCALATED TO CBE",IF($X488=TODAY(),"EMAIL SENT","MONITORING"))))))))))</f>
        <v/>
      </c>
      <c r="U488" s="17">
        <f>IF($T488="",IF(AND(COUNTA($A488:$K488)&gt;0,$L488=""),"Awaiting Collection Email time stamp.",""),IF(OR($T488="PAID",$T488="CLOSED"),IF($T488="PAID","Account paid. Action completed.","Account closed. No further action required."),CHOOSE($W488,"Collection Email","1st Email Follow-up","2nd Email Follow-up","Escalation to Local Office","Escalation to CBE","Escalation to Roxanne")&amp;" sent "&amp;TEXT($X488,"dd-mmm")&amp;". "&amp;IF($W488=6,"Final escalation completed.",IF($T488="OVERDUE","Next: "&amp;$Z488&amp;" was due "&amp;TEXT($Y488,"dd-mmm")&amp;" - "&amp;(NETWORKDAYS($Y488,TODAY(),Holidays)-1)&amp;" business day(s) late. Send now.",IF($T488="DUE TOMORROW","Next: "&amp;$Z488&amp;IF($Y488&lt;=TODAY()," is due TODAY ("," is due next business day (")&amp;TEXT($Y488,"dd-mmm")&amp;").","Next: "&amp;$Z488&amp;" due "&amp;TEXT($Y488,"dd-mmm")&amp;" ("&amp;(NETWORKDAYS(TODAY(),$Y488,Holidays)-1)&amp;" business day(s) left).")))))</f>
        <v/>
      </c>
      <c r="V488" s="17">
        <f>IF($W488="","",CHOOSE($W488,"Collection Email","1st Follow-up","2nd Follow-up","Local Office","CBE","Roxanne")&amp;IF($W488=6," - Final"," - Day "&amp;MAX(0,NETWORKDAYS($X488,TODAY(),Holidays)-1)&amp;" of "&amp;CHOOSE($W488,3,3,2,2,3))&amp;" | Total Day "&amp;MAX(0,NETWORKDAYS($L488,TODAY(),Holidays)-1))</f>
        <v/>
      </c>
      <c r="W488" s="17">
        <f>IF($L488="","",COUNT($L488:$Q488))</f>
        <v/>
      </c>
      <c r="X488" s="18">
        <f>IF($W488="","",INT(INDEX($L488:$Q488,$W488)))</f>
        <v/>
      </c>
      <c r="Y488" s="18">
        <f>IF(OR($W488="",$W488=6),"",WORKDAY($X488,CHOOSE($W488,3,3,2,2,3),Holidays))</f>
        <v/>
      </c>
      <c r="Z488" s="17">
        <f>IF(OR($W488="",$W488=6),"",CHOOSE($W488,"1st Email Follow-up","2nd Email Follow-up","Escalate Local Office","Escalate to CBE","Escalate to Roxanne"))</f>
        <v/>
      </c>
    </row>
    <row r="489" spans="18:26">
      <c r="R489" s="15"/>
      <c r="S489" s="16"/>
      <c r="T489" s="17">
        <f>IF(AND(COUNTA($A489:$K489)=0,$L489=""),"",IF($S489="Paid","PAID",IF($S489="Closed","CLOSED",IF($W489="","",IF($W489=6,"ESCALATED TO ROXANNE",IF(TODAY()&gt;$Y489,"OVERDUE",IF($Y489&lt;=WORKDAY(TODAY(),1,Holidays),"DUE TOMORROW",IF($W489=4,"ESCALATED TO LOCAL OFFICE",IF($W489=5,"ESCALATED TO CBE",IF($X489=TODAY(),"EMAIL SENT","MONITORING"))))))))))</f>
        <v/>
      </c>
      <c r="U489" s="17">
        <f>IF($T489="",IF(AND(COUNTA($A489:$K489)&gt;0,$L489=""),"Awaiting Collection Email time stamp.",""),IF(OR($T489="PAID",$T489="CLOSED"),IF($T489="PAID","Account paid. Action completed.","Account closed. No further action required."),CHOOSE($W489,"Collection Email","1st Email Follow-up","2nd Email Follow-up","Escalation to Local Office","Escalation to CBE","Escalation to Roxanne")&amp;" sent "&amp;TEXT($X489,"dd-mmm")&amp;". "&amp;IF($W489=6,"Final escalation completed.",IF($T489="OVERDUE","Next: "&amp;$Z489&amp;" was due "&amp;TEXT($Y489,"dd-mmm")&amp;" - "&amp;(NETWORKDAYS($Y489,TODAY(),Holidays)-1)&amp;" business day(s) late. Send now.",IF($T489="DUE TOMORROW","Next: "&amp;$Z489&amp;IF($Y489&lt;=TODAY()," is due TODAY ("," is due next business day (")&amp;TEXT($Y489,"dd-mmm")&amp;").","Next: "&amp;$Z489&amp;" due "&amp;TEXT($Y489,"dd-mmm")&amp;" ("&amp;(NETWORKDAYS(TODAY(),$Y489,Holidays)-1)&amp;" business day(s) left).")))))</f>
        <v/>
      </c>
      <c r="V489" s="17">
        <f>IF($W489="","",CHOOSE($W489,"Collection Email","1st Follow-up","2nd Follow-up","Local Office","CBE","Roxanne")&amp;IF($W489=6," - Final"," - Day "&amp;MAX(0,NETWORKDAYS($X489,TODAY(),Holidays)-1)&amp;" of "&amp;CHOOSE($W489,3,3,2,2,3))&amp;" | Total Day "&amp;MAX(0,NETWORKDAYS($L489,TODAY(),Holidays)-1))</f>
        <v/>
      </c>
      <c r="W489" s="17">
        <f>IF($L489="","",COUNT($L489:$Q489))</f>
        <v/>
      </c>
      <c r="X489" s="18">
        <f>IF($W489="","",INT(INDEX($L489:$Q489,$W489)))</f>
        <v/>
      </c>
      <c r="Y489" s="18">
        <f>IF(OR($W489="",$W489=6),"",WORKDAY($X489,CHOOSE($W489,3,3,2,2,3),Holidays))</f>
        <v/>
      </c>
      <c r="Z489" s="17">
        <f>IF(OR($W489="",$W489=6),"",CHOOSE($W489,"1st Email Follow-up","2nd Email Follow-up","Escalate Local Office","Escalate to CBE","Escalate to Roxanne"))</f>
        <v/>
      </c>
    </row>
    <row r="490" spans="18:26">
      <c r="R490" s="15"/>
      <c r="S490" s="16"/>
      <c r="T490" s="17">
        <f>IF(AND(COUNTA($A490:$K490)=0,$L490=""),"",IF($S490="Paid","PAID",IF($S490="Closed","CLOSED",IF($W490="","",IF($W490=6,"ESCALATED TO ROXANNE",IF(TODAY()&gt;$Y490,"OVERDUE",IF($Y490&lt;=WORKDAY(TODAY(),1,Holidays),"DUE TOMORROW",IF($W490=4,"ESCALATED TO LOCAL OFFICE",IF($W490=5,"ESCALATED TO CBE",IF($X490=TODAY(),"EMAIL SENT","MONITORING"))))))))))</f>
        <v/>
      </c>
      <c r="U490" s="17">
        <f>IF($T490="",IF(AND(COUNTA($A490:$K490)&gt;0,$L490=""),"Awaiting Collection Email time stamp.",""),IF(OR($T490="PAID",$T490="CLOSED"),IF($T490="PAID","Account paid. Action completed.","Account closed. No further action required."),CHOOSE($W490,"Collection Email","1st Email Follow-up","2nd Email Follow-up","Escalation to Local Office","Escalation to CBE","Escalation to Roxanne")&amp;" sent "&amp;TEXT($X490,"dd-mmm")&amp;". "&amp;IF($W490=6,"Final escalation completed.",IF($T490="OVERDUE","Next: "&amp;$Z490&amp;" was due "&amp;TEXT($Y490,"dd-mmm")&amp;" - "&amp;(NETWORKDAYS($Y490,TODAY(),Holidays)-1)&amp;" business day(s) late. Send now.",IF($T490="DUE TOMORROW","Next: "&amp;$Z490&amp;IF($Y490&lt;=TODAY()," is due TODAY ("," is due next business day (")&amp;TEXT($Y490,"dd-mmm")&amp;").","Next: "&amp;$Z490&amp;" due "&amp;TEXT($Y490,"dd-mmm")&amp;" ("&amp;(NETWORKDAYS(TODAY(),$Y490,Holidays)-1)&amp;" business day(s) left).")))))</f>
        <v/>
      </c>
      <c r="V490" s="17">
        <f>IF($W490="","",CHOOSE($W490,"Collection Email","1st Follow-up","2nd Follow-up","Local Office","CBE","Roxanne")&amp;IF($W490=6," - Final"," - Day "&amp;MAX(0,NETWORKDAYS($X490,TODAY(),Holidays)-1)&amp;" of "&amp;CHOOSE($W490,3,3,2,2,3))&amp;" | Total Day "&amp;MAX(0,NETWORKDAYS($L490,TODAY(),Holidays)-1))</f>
        <v/>
      </c>
      <c r="W490" s="17">
        <f>IF($L490="","",COUNT($L490:$Q490))</f>
        <v/>
      </c>
      <c r="X490" s="18">
        <f>IF($W490="","",INT(INDEX($L490:$Q490,$W490)))</f>
        <v/>
      </c>
      <c r="Y490" s="18">
        <f>IF(OR($W490="",$W490=6),"",WORKDAY($X490,CHOOSE($W490,3,3,2,2,3),Holidays))</f>
        <v/>
      </c>
      <c r="Z490" s="17">
        <f>IF(OR($W490="",$W490=6),"",CHOOSE($W490,"1st Email Follow-up","2nd Email Follow-up","Escalate Local Office","Escalate to CBE","Escalate to Roxanne"))</f>
        <v/>
      </c>
    </row>
    <row r="491" spans="18:26">
      <c r="R491" s="15"/>
      <c r="S491" s="16"/>
      <c r="T491" s="17">
        <f>IF(AND(COUNTA($A491:$K491)=0,$L491=""),"",IF($S491="Paid","PAID",IF($S491="Closed","CLOSED",IF($W491="","",IF($W491=6,"ESCALATED TO ROXANNE",IF(TODAY()&gt;$Y491,"OVERDUE",IF($Y491&lt;=WORKDAY(TODAY(),1,Holidays),"DUE TOMORROW",IF($W491=4,"ESCALATED TO LOCAL OFFICE",IF($W491=5,"ESCALATED TO CBE",IF($X491=TODAY(),"EMAIL SENT","MONITORING"))))))))))</f>
        <v/>
      </c>
      <c r="U491" s="17">
        <f>IF($T491="",IF(AND(COUNTA($A491:$K491)&gt;0,$L491=""),"Awaiting Collection Email time stamp.",""),IF(OR($T491="PAID",$T491="CLOSED"),IF($T491="PAID","Account paid. Action completed.","Account closed. No further action required."),CHOOSE($W491,"Collection Email","1st Email Follow-up","2nd Email Follow-up","Escalation to Local Office","Escalation to CBE","Escalation to Roxanne")&amp;" sent "&amp;TEXT($X491,"dd-mmm")&amp;". "&amp;IF($W491=6,"Final escalation completed.",IF($T491="OVERDUE","Next: "&amp;$Z491&amp;" was due "&amp;TEXT($Y491,"dd-mmm")&amp;" - "&amp;(NETWORKDAYS($Y491,TODAY(),Holidays)-1)&amp;" business day(s) late. Send now.",IF($T491="DUE TOMORROW","Next: "&amp;$Z491&amp;IF($Y491&lt;=TODAY()," is due TODAY ("," is due next business day (")&amp;TEXT($Y491,"dd-mmm")&amp;").","Next: "&amp;$Z491&amp;" due "&amp;TEXT($Y491,"dd-mmm")&amp;" ("&amp;(NETWORKDAYS(TODAY(),$Y491,Holidays)-1)&amp;" business day(s) left).")))))</f>
        <v/>
      </c>
      <c r="V491" s="17">
        <f>IF($W491="","",CHOOSE($W491,"Collection Email","1st Follow-up","2nd Follow-up","Local Office","CBE","Roxanne")&amp;IF($W491=6," - Final"," - Day "&amp;MAX(0,NETWORKDAYS($X491,TODAY(),Holidays)-1)&amp;" of "&amp;CHOOSE($W491,3,3,2,2,3))&amp;" | Total Day "&amp;MAX(0,NETWORKDAYS($L491,TODAY(),Holidays)-1))</f>
        <v/>
      </c>
      <c r="W491" s="17">
        <f>IF($L491="","",COUNT($L491:$Q491))</f>
        <v/>
      </c>
      <c r="X491" s="18">
        <f>IF($W491="","",INT(INDEX($L491:$Q491,$W491)))</f>
        <v/>
      </c>
      <c r="Y491" s="18">
        <f>IF(OR($W491="",$W491=6),"",WORKDAY($X491,CHOOSE($W491,3,3,2,2,3),Holidays))</f>
        <v/>
      </c>
      <c r="Z491" s="17">
        <f>IF(OR($W491="",$W491=6),"",CHOOSE($W491,"1st Email Follow-up","2nd Email Follow-up","Escalate Local Office","Escalate to CBE","Escalate to Roxanne"))</f>
        <v/>
      </c>
    </row>
    <row r="492" spans="18:26">
      <c r="R492" s="15"/>
      <c r="S492" s="16"/>
      <c r="T492" s="17">
        <f>IF(AND(COUNTA($A492:$K492)=0,$L492=""),"",IF($S492="Paid","PAID",IF($S492="Closed","CLOSED",IF($W492="","",IF($W492=6,"ESCALATED TO ROXANNE",IF(TODAY()&gt;$Y492,"OVERDUE",IF($Y492&lt;=WORKDAY(TODAY(),1,Holidays),"DUE TOMORROW",IF($W492=4,"ESCALATED TO LOCAL OFFICE",IF($W492=5,"ESCALATED TO CBE",IF($X492=TODAY(),"EMAIL SENT","MONITORING"))))))))))</f>
        <v/>
      </c>
      <c r="U492" s="17">
        <f>IF($T492="",IF(AND(COUNTA($A492:$K492)&gt;0,$L492=""),"Awaiting Collection Email time stamp.",""),IF(OR($T492="PAID",$T492="CLOSED"),IF($T492="PAID","Account paid. Action completed.","Account closed. No further action required."),CHOOSE($W492,"Collection Email","1st Email Follow-up","2nd Email Follow-up","Escalation to Local Office","Escalation to CBE","Escalation to Roxanne")&amp;" sent "&amp;TEXT($X492,"dd-mmm")&amp;". "&amp;IF($W492=6,"Final escalation completed.",IF($T492="OVERDUE","Next: "&amp;$Z492&amp;" was due "&amp;TEXT($Y492,"dd-mmm")&amp;" - "&amp;(NETWORKDAYS($Y492,TODAY(),Holidays)-1)&amp;" business day(s) late. Send now.",IF($T492="DUE TOMORROW","Next: "&amp;$Z492&amp;IF($Y492&lt;=TODAY()," is due TODAY ("," is due next business day (")&amp;TEXT($Y492,"dd-mmm")&amp;").","Next: "&amp;$Z492&amp;" due "&amp;TEXT($Y492,"dd-mmm")&amp;" ("&amp;(NETWORKDAYS(TODAY(),$Y492,Holidays)-1)&amp;" business day(s) left).")))))</f>
        <v/>
      </c>
      <c r="V492" s="17">
        <f>IF($W492="","",CHOOSE($W492,"Collection Email","1st Follow-up","2nd Follow-up","Local Office","CBE","Roxanne")&amp;IF($W492=6," - Final"," - Day "&amp;MAX(0,NETWORKDAYS($X492,TODAY(),Holidays)-1)&amp;" of "&amp;CHOOSE($W492,3,3,2,2,3))&amp;" | Total Day "&amp;MAX(0,NETWORKDAYS($L492,TODAY(),Holidays)-1))</f>
        <v/>
      </c>
      <c r="W492" s="17">
        <f>IF($L492="","",COUNT($L492:$Q492))</f>
        <v/>
      </c>
      <c r="X492" s="18">
        <f>IF($W492="","",INT(INDEX($L492:$Q492,$W492)))</f>
        <v/>
      </c>
      <c r="Y492" s="18">
        <f>IF(OR($W492="",$W492=6),"",WORKDAY($X492,CHOOSE($W492,3,3,2,2,3),Holidays))</f>
        <v/>
      </c>
      <c r="Z492" s="17">
        <f>IF(OR($W492="",$W492=6),"",CHOOSE($W492,"1st Email Follow-up","2nd Email Follow-up","Escalate Local Office","Escalate to CBE","Escalate to Roxanne"))</f>
        <v/>
      </c>
    </row>
    <row r="493" spans="18:26">
      <c r="R493" s="15"/>
      <c r="S493" s="16"/>
      <c r="T493" s="17">
        <f>IF(AND(COUNTA($A493:$K493)=0,$L493=""),"",IF($S493="Paid","PAID",IF($S493="Closed","CLOSED",IF($W493="","",IF($W493=6,"ESCALATED TO ROXANNE",IF(TODAY()&gt;$Y493,"OVERDUE",IF($Y493&lt;=WORKDAY(TODAY(),1,Holidays),"DUE TOMORROW",IF($W493=4,"ESCALATED TO LOCAL OFFICE",IF($W493=5,"ESCALATED TO CBE",IF($X493=TODAY(),"EMAIL SENT","MONITORING"))))))))))</f>
        <v/>
      </c>
      <c r="U493" s="17">
        <f>IF($T493="",IF(AND(COUNTA($A493:$K493)&gt;0,$L493=""),"Awaiting Collection Email time stamp.",""),IF(OR($T493="PAID",$T493="CLOSED"),IF($T493="PAID","Account paid. Action completed.","Account closed. No further action required."),CHOOSE($W493,"Collection Email","1st Email Follow-up","2nd Email Follow-up","Escalation to Local Office","Escalation to CBE","Escalation to Roxanne")&amp;" sent "&amp;TEXT($X493,"dd-mmm")&amp;". "&amp;IF($W493=6,"Final escalation completed.",IF($T493="OVERDUE","Next: "&amp;$Z493&amp;" was due "&amp;TEXT($Y493,"dd-mmm")&amp;" - "&amp;(NETWORKDAYS($Y493,TODAY(),Holidays)-1)&amp;" business day(s) late. Send now.",IF($T493="DUE TOMORROW","Next: "&amp;$Z493&amp;IF($Y493&lt;=TODAY()," is due TODAY ("," is due next business day (")&amp;TEXT($Y493,"dd-mmm")&amp;").","Next: "&amp;$Z493&amp;" due "&amp;TEXT($Y493,"dd-mmm")&amp;" ("&amp;(NETWORKDAYS(TODAY(),$Y493,Holidays)-1)&amp;" business day(s) left).")))))</f>
        <v/>
      </c>
      <c r="V493" s="17">
        <f>IF($W493="","",CHOOSE($W493,"Collection Email","1st Follow-up","2nd Follow-up","Local Office","CBE","Roxanne")&amp;IF($W493=6," - Final"," - Day "&amp;MAX(0,NETWORKDAYS($X493,TODAY(),Holidays)-1)&amp;" of "&amp;CHOOSE($W493,3,3,2,2,3))&amp;" | Total Day "&amp;MAX(0,NETWORKDAYS($L493,TODAY(),Holidays)-1))</f>
        <v/>
      </c>
      <c r="W493" s="17">
        <f>IF($L493="","",COUNT($L493:$Q493))</f>
        <v/>
      </c>
      <c r="X493" s="18">
        <f>IF($W493="","",INT(INDEX($L493:$Q493,$W493)))</f>
        <v/>
      </c>
      <c r="Y493" s="18">
        <f>IF(OR($W493="",$W493=6),"",WORKDAY($X493,CHOOSE($W493,3,3,2,2,3),Holidays))</f>
        <v/>
      </c>
      <c r="Z493" s="17">
        <f>IF(OR($W493="",$W493=6),"",CHOOSE($W493,"1st Email Follow-up","2nd Email Follow-up","Escalate Local Office","Escalate to CBE","Escalate to Roxanne"))</f>
        <v/>
      </c>
    </row>
    <row r="494" spans="18:26">
      <c r="R494" s="15"/>
      <c r="S494" s="16"/>
      <c r="T494" s="17">
        <f>IF(AND(COUNTA($A494:$K494)=0,$L494=""),"",IF($S494="Paid","PAID",IF($S494="Closed","CLOSED",IF($W494="","",IF($W494=6,"ESCALATED TO ROXANNE",IF(TODAY()&gt;$Y494,"OVERDUE",IF($Y494&lt;=WORKDAY(TODAY(),1,Holidays),"DUE TOMORROW",IF($W494=4,"ESCALATED TO LOCAL OFFICE",IF($W494=5,"ESCALATED TO CBE",IF($X494=TODAY(),"EMAIL SENT","MONITORING"))))))))))</f>
        <v/>
      </c>
      <c r="U494" s="17">
        <f>IF($T494="",IF(AND(COUNTA($A494:$K494)&gt;0,$L494=""),"Awaiting Collection Email time stamp.",""),IF(OR($T494="PAID",$T494="CLOSED"),IF($T494="PAID","Account paid. Action completed.","Account closed. No further action required."),CHOOSE($W494,"Collection Email","1st Email Follow-up","2nd Email Follow-up","Escalation to Local Office","Escalation to CBE","Escalation to Roxanne")&amp;" sent "&amp;TEXT($X494,"dd-mmm")&amp;". "&amp;IF($W494=6,"Final escalation completed.",IF($T494="OVERDUE","Next: "&amp;$Z494&amp;" was due "&amp;TEXT($Y494,"dd-mmm")&amp;" - "&amp;(NETWORKDAYS($Y494,TODAY(),Holidays)-1)&amp;" business day(s) late. Send now.",IF($T494="DUE TOMORROW","Next: "&amp;$Z494&amp;IF($Y494&lt;=TODAY()," is due TODAY ("," is due next business day (")&amp;TEXT($Y494,"dd-mmm")&amp;").","Next: "&amp;$Z494&amp;" due "&amp;TEXT($Y494,"dd-mmm")&amp;" ("&amp;(NETWORKDAYS(TODAY(),$Y494,Holidays)-1)&amp;" business day(s) left).")))))</f>
        <v/>
      </c>
      <c r="V494" s="17">
        <f>IF($W494="","",CHOOSE($W494,"Collection Email","1st Follow-up","2nd Follow-up","Local Office","CBE","Roxanne")&amp;IF($W494=6," - Final"," - Day "&amp;MAX(0,NETWORKDAYS($X494,TODAY(),Holidays)-1)&amp;" of "&amp;CHOOSE($W494,3,3,2,2,3))&amp;" | Total Day "&amp;MAX(0,NETWORKDAYS($L494,TODAY(),Holidays)-1))</f>
        <v/>
      </c>
      <c r="W494" s="17">
        <f>IF($L494="","",COUNT($L494:$Q494))</f>
        <v/>
      </c>
      <c r="X494" s="18">
        <f>IF($W494="","",INT(INDEX($L494:$Q494,$W494)))</f>
        <v/>
      </c>
      <c r="Y494" s="18">
        <f>IF(OR($W494="",$W494=6),"",WORKDAY($X494,CHOOSE($W494,3,3,2,2,3),Holidays))</f>
        <v/>
      </c>
      <c r="Z494" s="17">
        <f>IF(OR($W494="",$W494=6),"",CHOOSE($W494,"1st Email Follow-up","2nd Email Follow-up","Escalate Local Office","Escalate to CBE","Escalate to Roxanne"))</f>
        <v/>
      </c>
    </row>
    <row r="495" spans="18:26">
      <c r="R495" s="15"/>
      <c r="S495" s="16"/>
      <c r="T495" s="17">
        <f>IF(AND(COUNTA($A495:$K495)=0,$L495=""),"",IF($S495="Paid","PAID",IF($S495="Closed","CLOSED",IF($W495="","",IF($W495=6,"ESCALATED TO ROXANNE",IF(TODAY()&gt;$Y495,"OVERDUE",IF($Y495&lt;=WORKDAY(TODAY(),1,Holidays),"DUE TOMORROW",IF($W495=4,"ESCALATED TO LOCAL OFFICE",IF($W495=5,"ESCALATED TO CBE",IF($X495=TODAY(),"EMAIL SENT","MONITORING"))))))))))</f>
        <v/>
      </c>
      <c r="U495" s="17">
        <f>IF($T495="",IF(AND(COUNTA($A495:$K495)&gt;0,$L495=""),"Awaiting Collection Email time stamp.",""),IF(OR($T495="PAID",$T495="CLOSED"),IF($T495="PAID","Account paid. Action completed.","Account closed. No further action required."),CHOOSE($W495,"Collection Email","1st Email Follow-up","2nd Email Follow-up","Escalation to Local Office","Escalation to CBE","Escalation to Roxanne")&amp;" sent "&amp;TEXT($X495,"dd-mmm")&amp;". "&amp;IF($W495=6,"Final escalation completed.",IF($T495="OVERDUE","Next: "&amp;$Z495&amp;" was due "&amp;TEXT($Y495,"dd-mmm")&amp;" - "&amp;(NETWORKDAYS($Y495,TODAY(),Holidays)-1)&amp;" business day(s) late. Send now.",IF($T495="DUE TOMORROW","Next: "&amp;$Z495&amp;IF($Y495&lt;=TODAY()," is due TODAY ("," is due next business day (")&amp;TEXT($Y495,"dd-mmm")&amp;").","Next: "&amp;$Z495&amp;" due "&amp;TEXT($Y495,"dd-mmm")&amp;" ("&amp;(NETWORKDAYS(TODAY(),$Y495,Holidays)-1)&amp;" business day(s) left).")))))</f>
        <v/>
      </c>
      <c r="V495" s="17">
        <f>IF($W495="","",CHOOSE($W495,"Collection Email","1st Follow-up","2nd Follow-up","Local Office","CBE","Roxanne")&amp;IF($W495=6," - Final"," - Day "&amp;MAX(0,NETWORKDAYS($X495,TODAY(),Holidays)-1)&amp;" of "&amp;CHOOSE($W495,3,3,2,2,3))&amp;" | Total Day "&amp;MAX(0,NETWORKDAYS($L495,TODAY(),Holidays)-1))</f>
        <v/>
      </c>
      <c r="W495" s="17">
        <f>IF($L495="","",COUNT($L495:$Q495))</f>
        <v/>
      </c>
      <c r="X495" s="18">
        <f>IF($W495="","",INT(INDEX($L495:$Q495,$W495)))</f>
        <v/>
      </c>
      <c r="Y495" s="18">
        <f>IF(OR($W495="",$W495=6),"",WORKDAY($X495,CHOOSE($W495,3,3,2,2,3),Holidays))</f>
        <v/>
      </c>
      <c r="Z495" s="17">
        <f>IF(OR($W495="",$W495=6),"",CHOOSE($W495,"1st Email Follow-up","2nd Email Follow-up","Escalate Local Office","Escalate to CBE","Escalate to Roxanne"))</f>
        <v/>
      </c>
    </row>
    <row r="496" spans="18:26">
      <c r="R496" s="15"/>
      <c r="S496" s="16"/>
      <c r="T496" s="17">
        <f>IF(AND(COUNTA($A496:$K496)=0,$L496=""),"",IF($S496="Paid","PAID",IF($S496="Closed","CLOSED",IF($W496="","",IF($W496=6,"ESCALATED TO ROXANNE",IF(TODAY()&gt;$Y496,"OVERDUE",IF($Y496&lt;=WORKDAY(TODAY(),1,Holidays),"DUE TOMORROW",IF($W496=4,"ESCALATED TO LOCAL OFFICE",IF($W496=5,"ESCALATED TO CBE",IF($X496=TODAY(),"EMAIL SENT","MONITORING"))))))))))</f>
        <v/>
      </c>
      <c r="U496" s="17">
        <f>IF($T496="",IF(AND(COUNTA($A496:$K496)&gt;0,$L496=""),"Awaiting Collection Email time stamp.",""),IF(OR($T496="PAID",$T496="CLOSED"),IF($T496="PAID","Account paid. Action completed.","Account closed. No further action required."),CHOOSE($W496,"Collection Email","1st Email Follow-up","2nd Email Follow-up","Escalation to Local Office","Escalation to CBE","Escalation to Roxanne")&amp;" sent "&amp;TEXT($X496,"dd-mmm")&amp;". "&amp;IF($W496=6,"Final escalation completed.",IF($T496="OVERDUE","Next: "&amp;$Z496&amp;" was due "&amp;TEXT($Y496,"dd-mmm")&amp;" - "&amp;(NETWORKDAYS($Y496,TODAY(),Holidays)-1)&amp;" business day(s) late. Send now.",IF($T496="DUE TOMORROW","Next: "&amp;$Z496&amp;IF($Y496&lt;=TODAY()," is due TODAY ("," is due next business day (")&amp;TEXT($Y496,"dd-mmm")&amp;").","Next: "&amp;$Z496&amp;" due "&amp;TEXT($Y496,"dd-mmm")&amp;" ("&amp;(NETWORKDAYS(TODAY(),$Y496,Holidays)-1)&amp;" business day(s) left).")))))</f>
        <v/>
      </c>
      <c r="V496" s="17">
        <f>IF($W496="","",CHOOSE($W496,"Collection Email","1st Follow-up","2nd Follow-up","Local Office","CBE","Roxanne")&amp;IF($W496=6," - Final"," - Day "&amp;MAX(0,NETWORKDAYS($X496,TODAY(),Holidays)-1)&amp;" of "&amp;CHOOSE($W496,3,3,2,2,3))&amp;" | Total Day "&amp;MAX(0,NETWORKDAYS($L496,TODAY(),Holidays)-1))</f>
        <v/>
      </c>
      <c r="W496" s="17">
        <f>IF($L496="","",COUNT($L496:$Q496))</f>
        <v/>
      </c>
      <c r="X496" s="18">
        <f>IF($W496="","",INT(INDEX($L496:$Q496,$W496)))</f>
        <v/>
      </c>
      <c r="Y496" s="18">
        <f>IF(OR($W496="",$W496=6),"",WORKDAY($X496,CHOOSE($W496,3,3,2,2,3),Holidays))</f>
        <v/>
      </c>
      <c r="Z496" s="17">
        <f>IF(OR($W496="",$W496=6),"",CHOOSE($W496,"1st Email Follow-up","2nd Email Follow-up","Escalate Local Office","Escalate to CBE","Escalate to Roxanne"))</f>
        <v/>
      </c>
    </row>
    <row r="497" spans="18:26">
      <c r="R497" s="15"/>
      <c r="S497" s="16"/>
      <c r="T497" s="17">
        <f>IF(AND(COUNTA($A497:$K497)=0,$L497=""),"",IF($S497="Paid","PAID",IF($S497="Closed","CLOSED",IF($W497="","",IF($W497=6,"ESCALATED TO ROXANNE",IF(TODAY()&gt;$Y497,"OVERDUE",IF($Y497&lt;=WORKDAY(TODAY(),1,Holidays),"DUE TOMORROW",IF($W497=4,"ESCALATED TO LOCAL OFFICE",IF($W497=5,"ESCALATED TO CBE",IF($X497=TODAY(),"EMAIL SENT","MONITORING"))))))))))</f>
        <v/>
      </c>
      <c r="U497" s="17">
        <f>IF($T497="",IF(AND(COUNTA($A497:$K497)&gt;0,$L497=""),"Awaiting Collection Email time stamp.",""),IF(OR($T497="PAID",$T497="CLOSED"),IF($T497="PAID","Account paid. Action completed.","Account closed. No further action required."),CHOOSE($W497,"Collection Email","1st Email Follow-up","2nd Email Follow-up","Escalation to Local Office","Escalation to CBE","Escalation to Roxanne")&amp;" sent "&amp;TEXT($X497,"dd-mmm")&amp;". "&amp;IF($W497=6,"Final escalation completed.",IF($T497="OVERDUE","Next: "&amp;$Z497&amp;" was due "&amp;TEXT($Y497,"dd-mmm")&amp;" - "&amp;(NETWORKDAYS($Y497,TODAY(),Holidays)-1)&amp;" business day(s) late. Send now.",IF($T497="DUE TOMORROW","Next: "&amp;$Z497&amp;IF($Y497&lt;=TODAY()," is due TODAY ("," is due next business day (")&amp;TEXT($Y497,"dd-mmm")&amp;").","Next: "&amp;$Z497&amp;" due "&amp;TEXT($Y497,"dd-mmm")&amp;" ("&amp;(NETWORKDAYS(TODAY(),$Y497,Holidays)-1)&amp;" business day(s) left).")))))</f>
        <v/>
      </c>
      <c r="V497" s="17">
        <f>IF($W497="","",CHOOSE($W497,"Collection Email","1st Follow-up","2nd Follow-up","Local Office","CBE","Roxanne")&amp;IF($W497=6," - Final"," - Day "&amp;MAX(0,NETWORKDAYS($X497,TODAY(),Holidays)-1)&amp;" of "&amp;CHOOSE($W497,3,3,2,2,3))&amp;" | Total Day "&amp;MAX(0,NETWORKDAYS($L497,TODAY(),Holidays)-1))</f>
        <v/>
      </c>
      <c r="W497" s="17">
        <f>IF($L497="","",COUNT($L497:$Q497))</f>
        <v/>
      </c>
      <c r="X497" s="18">
        <f>IF($W497="","",INT(INDEX($L497:$Q497,$W497)))</f>
        <v/>
      </c>
      <c r="Y497" s="18">
        <f>IF(OR($W497="",$W497=6),"",WORKDAY($X497,CHOOSE($W497,3,3,2,2,3),Holidays))</f>
        <v/>
      </c>
      <c r="Z497" s="17">
        <f>IF(OR($W497="",$W497=6),"",CHOOSE($W497,"1st Email Follow-up","2nd Email Follow-up","Escalate Local Office","Escalate to CBE","Escalate to Roxanne"))</f>
        <v/>
      </c>
    </row>
    <row r="498" spans="18:26">
      <c r="R498" s="15"/>
      <c r="S498" s="16"/>
      <c r="T498" s="17">
        <f>IF(AND(COUNTA($A498:$K498)=0,$L498=""),"",IF($S498="Paid","PAID",IF($S498="Closed","CLOSED",IF($W498="","",IF($W498=6,"ESCALATED TO ROXANNE",IF(TODAY()&gt;$Y498,"OVERDUE",IF($Y498&lt;=WORKDAY(TODAY(),1,Holidays),"DUE TOMORROW",IF($W498=4,"ESCALATED TO LOCAL OFFICE",IF($W498=5,"ESCALATED TO CBE",IF($X498=TODAY(),"EMAIL SENT","MONITORING"))))))))))</f>
        <v/>
      </c>
      <c r="U498" s="17">
        <f>IF($T498="",IF(AND(COUNTA($A498:$K498)&gt;0,$L498=""),"Awaiting Collection Email time stamp.",""),IF(OR($T498="PAID",$T498="CLOSED"),IF($T498="PAID","Account paid. Action completed.","Account closed. No further action required."),CHOOSE($W498,"Collection Email","1st Email Follow-up","2nd Email Follow-up","Escalation to Local Office","Escalation to CBE","Escalation to Roxanne")&amp;" sent "&amp;TEXT($X498,"dd-mmm")&amp;". "&amp;IF($W498=6,"Final escalation completed.",IF($T498="OVERDUE","Next: "&amp;$Z498&amp;" was due "&amp;TEXT($Y498,"dd-mmm")&amp;" - "&amp;(NETWORKDAYS($Y498,TODAY(),Holidays)-1)&amp;" business day(s) late. Send now.",IF($T498="DUE TOMORROW","Next: "&amp;$Z498&amp;IF($Y498&lt;=TODAY()," is due TODAY ("," is due next business day (")&amp;TEXT($Y498,"dd-mmm")&amp;").","Next: "&amp;$Z498&amp;" due "&amp;TEXT($Y498,"dd-mmm")&amp;" ("&amp;(NETWORKDAYS(TODAY(),$Y498,Holidays)-1)&amp;" business day(s) left).")))))</f>
        <v/>
      </c>
      <c r="V498" s="17">
        <f>IF($W498="","",CHOOSE($W498,"Collection Email","1st Follow-up","2nd Follow-up","Local Office","CBE","Roxanne")&amp;IF($W498=6," - Final"," - Day "&amp;MAX(0,NETWORKDAYS($X498,TODAY(),Holidays)-1)&amp;" of "&amp;CHOOSE($W498,3,3,2,2,3))&amp;" | Total Day "&amp;MAX(0,NETWORKDAYS($L498,TODAY(),Holidays)-1))</f>
        <v/>
      </c>
      <c r="W498" s="17">
        <f>IF($L498="","",COUNT($L498:$Q498))</f>
        <v/>
      </c>
      <c r="X498" s="18">
        <f>IF($W498="","",INT(INDEX($L498:$Q498,$W498)))</f>
        <v/>
      </c>
      <c r="Y498" s="18">
        <f>IF(OR($W498="",$W498=6),"",WORKDAY($X498,CHOOSE($W498,3,3,2,2,3),Holidays))</f>
        <v/>
      </c>
      <c r="Z498" s="17">
        <f>IF(OR($W498="",$W498=6),"",CHOOSE($W498,"1st Email Follow-up","2nd Email Follow-up","Escalate Local Office","Escalate to CBE","Escalate to Roxanne"))</f>
        <v/>
      </c>
    </row>
    <row r="499" spans="18:26">
      <c r="R499" s="15"/>
      <c r="S499" s="16"/>
      <c r="T499" s="17">
        <f>IF(AND(COUNTA($A499:$K499)=0,$L499=""),"",IF($S499="Paid","PAID",IF($S499="Closed","CLOSED",IF($W499="","",IF($W499=6,"ESCALATED TO ROXANNE",IF(TODAY()&gt;$Y499,"OVERDUE",IF($Y499&lt;=WORKDAY(TODAY(),1,Holidays),"DUE TOMORROW",IF($W499=4,"ESCALATED TO LOCAL OFFICE",IF($W499=5,"ESCALATED TO CBE",IF($X499=TODAY(),"EMAIL SENT","MONITORING"))))))))))</f>
        <v/>
      </c>
      <c r="U499" s="17">
        <f>IF($T499="",IF(AND(COUNTA($A499:$K499)&gt;0,$L499=""),"Awaiting Collection Email time stamp.",""),IF(OR($T499="PAID",$T499="CLOSED"),IF($T499="PAID","Account paid. Action completed.","Account closed. No further action required."),CHOOSE($W499,"Collection Email","1st Email Follow-up","2nd Email Follow-up","Escalation to Local Office","Escalation to CBE","Escalation to Roxanne")&amp;" sent "&amp;TEXT($X499,"dd-mmm")&amp;". "&amp;IF($W499=6,"Final escalation completed.",IF($T499="OVERDUE","Next: "&amp;$Z499&amp;" was due "&amp;TEXT($Y499,"dd-mmm")&amp;" - "&amp;(NETWORKDAYS($Y499,TODAY(),Holidays)-1)&amp;" business day(s) late. Send now.",IF($T499="DUE TOMORROW","Next: "&amp;$Z499&amp;IF($Y499&lt;=TODAY()," is due TODAY ("," is due next business day (")&amp;TEXT($Y499,"dd-mmm")&amp;").","Next: "&amp;$Z499&amp;" due "&amp;TEXT($Y499,"dd-mmm")&amp;" ("&amp;(NETWORKDAYS(TODAY(),$Y499,Holidays)-1)&amp;" business day(s) left).")))))</f>
        <v/>
      </c>
      <c r="V499" s="17">
        <f>IF($W499="","",CHOOSE($W499,"Collection Email","1st Follow-up","2nd Follow-up","Local Office","CBE","Roxanne")&amp;IF($W499=6," - Final"," - Day "&amp;MAX(0,NETWORKDAYS($X499,TODAY(),Holidays)-1)&amp;" of "&amp;CHOOSE($W499,3,3,2,2,3))&amp;" | Total Day "&amp;MAX(0,NETWORKDAYS($L499,TODAY(),Holidays)-1))</f>
        <v/>
      </c>
      <c r="W499" s="17">
        <f>IF($L499="","",COUNT($L499:$Q499))</f>
        <v/>
      </c>
      <c r="X499" s="18">
        <f>IF($W499="","",INT(INDEX($L499:$Q499,$W499)))</f>
        <v/>
      </c>
      <c r="Y499" s="18">
        <f>IF(OR($W499="",$W499=6),"",WORKDAY($X499,CHOOSE($W499,3,3,2,2,3),Holidays))</f>
        <v/>
      </c>
      <c r="Z499" s="17">
        <f>IF(OR($W499="",$W499=6),"",CHOOSE($W499,"1st Email Follow-up","2nd Email Follow-up","Escalate Local Office","Escalate to CBE","Escalate to Roxanne"))</f>
        <v/>
      </c>
    </row>
    <row r="500" spans="18:26">
      <c r="R500" s="15"/>
      <c r="S500" s="16"/>
      <c r="T500" s="17">
        <f>IF(AND(COUNTA($A500:$K500)=0,$L500=""),"",IF($S500="Paid","PAID",IF($S500="Closed","CLOSED",IF($W500="","",IF($W500=6,"ESCALATED TO ROXANNE",IF(TODAY()&gt;$Y500,"OVERDUE",IF($Y500&lt;=WORKDAY(TODAY(),1,Holidays),"DUE TOMORROW",IF($W500=4,"ESCALATED TO LOCAL OFFICE",IF($W500=5,"ESCALATED TO CBE",IF($X500=TODAY(),"EMAIL SENT","MONITORING"))))))))))</f>
        <v/>
      </c>
      <c r="U500" s="17">
        <f>IF($T500="",IF(AND(COUNTA($A500:$K500)&gt;0,$L500=""),"Awaiting Collection Email time stamp.",""),IF(OR($T500="PAID",$T500="CLOSED"),IF($T500="PAID","Account paid. Action completed.","Account closed. No further action required."),CHOOSE($W500,"Collection Email","1st Email Follow-up","2nd Email Follow-up","Escalation to Local Office","Escalation to CBE","Escalation to Roxanne")&amp;" sent "&amp;TEXT($X500,"dd-mmm")&amp;". "&amp;IF($W500=6,"Final escalation completed.",IF($T500="OVERDUE","Next: "&amp;$Z500&amp;" was due "&amp;TEXT($Y500,"dd-mmm")&amp;" - "&amp;(NETWORKDAYS($Y500,TODAY(),Holidays)-1)&amp;" business day(s) late. Send now.",IF($T500="DUE TOMORROW","Next: "&amp;$Z500&amp;IF($Y500&lt;=TODAY()," is due TODAY ("," is due next business day (")&amp;TEXT($Y500,"dd-mmm")&amp;").","Next: "&amp;$Z500&amp;" due "&amp;TEXT($Y500,"dd-mmm")&amp;" ("&amp;(NETWORKDAYS(TODAY(),$Y500,Holidays)-1)&amp;" business day(s) left).")))))</f>
        <v/>
      </c>
      <c r="V500" s="17">
        <f>IF($W500="","",CHOOSE($W500,"Collection Email","1st Follow-up","2nd Follow-up","Local Office","CBE","Roxanne")&amp;IF($W500=6," - Final"," - Day "&amp;MAX(0,NETWORKDAYS($X500,TODAY(),Holidays)-1)&amp;" of "&amp;CHOOSE($W500,3,3,2,2,3))&amp;" | Total Day "&amp;MAX(0,NETWORKDAYS($L500,TODAY(),Holidays)-1))</f>
        <v/>
      </c>
      <c r="W500" s="17">
        <f>IF($L500="","",COUNT($L500:$Q500))</f>
        <v/>
      </c>
      <c r="X500" s="18">
        <f>IF($W500="","",INT(INDEX($L500:$Q500,$W500)))</f>
        <v/>
      </c>
      <c r="Y500" s="18">
        <f>IF(OR($W500="",$W500=6),"",WORKDAY($X500,CHOOSE($W500,3,3,2,2,3),Holidays))</f>
        <v/>
      </c>
      <c r="Z500" s="17">
        <f>IF(OR($W500="",$W500=6),"",CHOOSE($W500,"1st Email Follow-up","2nd Email Follow-up","Escalate Local Office","Escalate to CBE","Escalate to Roxanne"))</f>
        <v/>
      </c>
    </row>
    <row r="501" spans="18:26">
      <c r="R501" s="15"/>
      <c r="S501" s="16"/>
      <c r="T501" s="17">
        <f>IF(AND(COUNTA($A501:$K501)=0,$L501=""),"",IF($S501="Paid","PAID",IF($S501="Closed","CLOSED",IF($W501="","",IF($W501=6,"ESCALATED TO ROXANNE",IF(TODAY()&gt;$Y501,"OVERDUE",IF($Y501&lt;=WORKDAY(TODAY(),1,Holidays),"DUE TOMORROW",IF($W501=4,"ESCALATED TO LOCAL OFFICE",IF($W501=5,"ESCALATED TO CBE",IF($X501=TODAY(),"EMAIL SENT","MONITORING"))))))))))</f>
        <v/>
      </c>
      <c r="U501" s="17">
        <f>IF($T501="",IF(AND(COUNTA($A501:$K501)&gt;0,$L501=""),"Awaiting Collection Email time stamp.",""),IF(OR($T501="PAID",$T501="CLOSED"),IF($T501="PAID","Account paid. Action completed.","Account closed. No further action required."),CHOOSE($W501,"Collection Email","1st Email Follow-up","2nd Email Follow-up","Escalation to Local Office","Escalation to CBE","Escalation to Roxanne")&amp;" sent "&amp;TEXT($X501,"dd-mmm")&amp;". "&amp;IF($W501=6,"Final escalation completed.",IF($T501="OVERDUE","Next: "&amp;$Z501&amp;" was due "&amp;TEXT($Y501,"dd-mmm")&amp;" - "&amp;(NETWORKDAYS($Y501,TODAY(),Holidays)-1)&amp;" business day(s) late. Send now.",IF($T501="DUE TOMORROW","Next: "&amp;$Z501&amp;IF($Y501&lt;=TODAY()," is due TODAY ("," is due next business day (")&amp;TEXT($Y501,"dd-mmm")&amp;").","Next: "&amp;$Z501&amp;" due "&amp;TEXT($Y501,"dd-mmm")&amp;" ("&amp;(NETWORKDAYS(TODAY(),$Y501,Holidays)-1)&amp;" business day(s) left).")))))</f>
        <v/>
      </c>
      <c r="V501" s="17">
        <f>IF($W501="","",CHOOSE($W501,"Collection Email","1st Follow-up","2nd Follow-up","Local Office","CBE","Roxanne")&amp;IF($W501=6," - Final"," - Day "&amp;MAX(0,NETWORKDAYS($X501,TODAY(),Holidays)-1)&amp;" of "&amp;CHOOSE($W501,3,3,2,2,3))&amp;" | Total Day "&amp;MAX(0,NETWORKDAYS($L501,TODAY(),Holidays)-1))</f>
        <v/>
      </c>
      <c r="W501" s="17">
        <f>IF($L501="","",COUNT($L501:$Q501))</f>
        <v/>
      </c>
      <c r="X501" s="18">
        <f>IF($W501="","",INT(INDEX($L501:$Q501,$W501)))</f>
        <v/>
      </c>
      <c r="Y501" s="18">
        <f>IF(OR($W501="",$W501=6),"",WORKDAY($X501,CHOOSE($W501,3,3,2,2,3),Holidays))</f>
        <v/>
      </c>
      <c r="Z501" s="17">
        <f>IF(OR($W501="",$W501=6),"",CHOOSE($W501,"1st Email Follow-up","2nd Email Follow-up","Escalate Local Office","Escalate to CBE","Escalate to Roxanne"))</f>
        <v/>
      </c>
    </row>
    <row r="502" spans="18:26">
      <c r="R502" s="15"/>
      <c r="S502" s="16"/>
      <c r="T502" s="17">
        <f>IF(AND(COUNTA($A502:$K502)=0,$L502=""),"",IF($S502="Paid","PAID",IF($S502="Closed","CLOSED",IF($W502="","",IF($W502=6,"ESCALATED TO ROXANNE",IF(TODAY()&gt;$Y502,"OVERDUE",IF($Y502&lt;=WORKDAY(TODAY(),1,Holidays),"DUE TOMORROW",IF($W502=4,"ESCALATED TO LOCAL OFFICE",IF($W502=5,"ESCALATED TO CBE",IF($X502=TODAY(),"EMAIL SENT","MONITORING"))))))))))</f>
        <v/>
      </c>
      <c r="U502" s="17">
        <f>IF($T502="",IF(AND(COUNTA($A502:$K502)&gt;0,$L502=""),"Awaiting Collection Email time stamp.",""),IF(OR($T502="PAID",$T502="CLOSED"),IF($T502="PAID","Account paid. Action completed.","Account closed. No further action required."),CHOOSE($W502,"Collection Email","1st Email Follow-up","2nd Email Follow-up","Escalation to Local Office","Escalation to CBE","Escalation to Roxanne")&amp;" sent "&amp;TEXT($X502,"dd-mmm")&amp;". "&amp;IF($W502=6,"Final escalation completed.",IF($T502="OVERDUE","Next: "&amp;$Z502&amp;" was due "&amp;TEXT($Y502,"dd-mmm")&amp;" - "&amp;(NETWORKDAYS($Y502,TODAY(),Holidays)-1)&amp;" business day(s) late. Send now.",IF($T502="DUE TOMORROW","Next: "&amp;$Z502&amp;IF($Y502&lt;=TODAY()," is due TODAY ("," is due next business day (")&amp;TEXT($Y502,"dd-mmm")&amp;").","Next: "&amp;$Z502&amp;" due "&amp;TEXT($Y502,"dd-mmm")&amp;" ("&amp;(NETWORKDAYS(TODAY(),$Y502,Holidays)-1)&amp;" business day(s) left).")))))</f>
        <v/>
      </c>
      <c r="V502" s="17">
        <f>IF($W502="","",CHOOSE($W502,"Collection Email","1st Follow-up","2nd Follow-up","Local Office","CBE","Roxanne")&amp;IF($W502=6," - Final"," - Day "&amp;MAX(0,NETWORKDAYS($X502,TODAY(),Holidays)-1)&amp;" of "&amp;CHOOSE($W502,3,3,2,2,3))&amp;" | Total Day "&amp;MAX(0,NETWORKDAYS($L502,TODAY(),Holidays)-1))</f>
        <v/>
      </c>
      <c r="W502" s="17">
        <f>IF($L502="","",COUNT($L502:$Q502))</f>
        <v/>
      </c>
      <c r="X502" s="18">
        <f>IF($W502="","",INT(INDEX($L502:$Q502,$W502)))</f>
        <v/>
      </c>
      <c r="Y502" s="18">
        <f>IF(OR($W502="",$W502=6),"",WORKDAY($X502,CHOOSE($W502,3,3,2,2,3),Holidays))</f>
        <v/>
      </c>
      <c r="Z502" s="17">
        <f>IF(OR($W502="",$W502=6),"",CHOOSE($W502,"1st Email Follow-up","2nd Email Follow-up","Escalate Local Office","Escalate to CBE","Escalate to Roxanne"))</f>
        <v/>
      </c>
    </row>
    <row r="503" spans="18:26">
      <c r="R503" s="15"/>
      <c r="S503" s="16"/>
      <c r="T503" s="17">
        <f>IF(AND(COUNTA($A503:$K503)=0,$L503=""),"",IF($S503="Paid","PAID",IF($S503="Closed","CLOSED",IF($W503="","",IF($W503=6,"ESCALATED TO ROXANNE",IF(TODAY()&gt;$Y503,"OVERDUE",IF($Y503&lt;=WORKDAY(TODAY(),1,Holidays),"DUE TOMORROW",IF($W503=4,"ESCALATED TO LOCAL OFFICE",IF($W503=5,"ESCALATED TO CBE",IF($X503=TODAY(),"EMAIL SENT","MONITORING"))))))))))</f>
        <v/>
      </c>
      <c r="U503" s="17">
        <f>IF($T503="",IF(AND(COUNTA($A503:$K503)&gt;0,$L503=""),"Awaiting Collection Email time stamp.",""),IF(OR($T503="PAID",$T503="CLOSED"),IF($T503="PAID","Account paid. Action completed.","Account closed. No further action required."),CHOOSE($W503,"Collection Email","1st Email Follow-up","2nd Email Follow-up","Escalation to Local Office","Escalation to CBE","Escalation to Roxanne")&amp;" sent "&amp;TEXT($X503,"dd-mmm")&amp;". "&amp;IF($W503=6,"Final escalation completed.",IF($T503="OVERDUE","Next: "&amp;$Z503&amp;" was due "&amp;TEXT($Y503,"dd-mmm")&amp;" - "&amp;(NETWORKDAYS($Y503,TODAY(),Holidays)-1)&amp;" business day(s) late. Send now.",IF($T503="DUE TOMORROW","Next: "&amp;$Z503&amp;IF($Y503&lt;=TODAY()," is due TODAY ("," is due next business day (")&amp;TEXT($Y503,"dd-mmm")&amp;").","Next: "&amp;$Z503&amp;" due "&amp;TEXT($Y503,"dd-mmm")&amp;" ("&amp;(NETWORKDAYS(TODAY(),$Y503,Holidays)-1)&amp;" business day(s) left).")))))</f>
        <v/>
      </c>
      <c r="V503" s="17">
        <f>IF($W503="","",CHOOSE($W503,"Collection Email","1st Follow-up","2nd Follow-up","Local Office","CBE","Roxanne")&amp;IF($W503=6," - Final"," - Day "&amp;MAX(0,NETWORKDAYS($X503,TODAY(),Holidays)-1)&amp;" of "&amp;CHOOSE($W503,3,3,2,2,3))&amp;" | Total Day "&amp;MAX(0,NETWORKDAYS($L503,TODAY(),Holidays)-1))</f>
        <v/>
      </c>
      <c r="W503" s="17">
        <f>IF($L503="","",COUNT($L503:$Q503))</f>
        <v/>
      </c>
      <c r="X503" s="18">
        <f>IF($W503="","",INT(INDEX($L503:$Q503,$W503)))</f>
        <v/>
      </c>
      <c r="Y503" s="18">
        <f>IF(OR($W503="",$W503=6),"",WORKDAY($X503,CHOOSE($W503,3,3,2,2,3),Holidays))</f>
        <v/>
      </c>
      <c r="Z503" s="17">
        <f>IF(OR($W503="",$W503=6),"",CHOOSE($W503,"1st Email Follow-up","2nd Email Follow-up","Escalate Local Office","Escalate to CBE","Escalate to Roxanne"))</f>
        <v/>
      </c>
    </row>
    <row r="504" spans="18:26">
      <c r="R504" s="15"/>
      <c r="S504" s="16"/>
      <c r="T504" s="17">
        <f>IF(AND(COUNTA($A504:$K504)=0,$L504=""),"",IF($S504="Paid","PAID",IF($S504="Closed","CLOSED",IF($W504="","",IF($W504=6,"ESCALATED TO ROXANNE",IF(TODAY()&gt;$Y504,"OVERDUE",IF($Y504&lt;=WORKDAY(TODAY(),1,Holidays),"DUE TOMORROW",IF($W504=4,"ESCALATED TO LOCAL OFFICE",IF($W504=5,"ESCALATED TO CBE",IF($X504=TODAY(),"EMAIL SENT","MONITORING"))))))))))</f>
        <v/>
      </c>
      <c r="U504" s="17">
        <f>IF($T504="",IF(AND(COUNTA($A504:$K504)&gt;0,$L504=""),"Awaiting Collection Email time stamp.",""),IF(OR($T504="PAID",$T504="CLOSED"),IF($T504="PAID","Account paid. Action completed.","Account closed. No further action required."),CHOOSE($W504,"Collection Email","1st Email Follow-up","2nd Email Follow-up","Escalation to Local Office","Escalation to CBE","Escalation to Roxanne")&amp;" sent "&amp;TEXT($X504,"dd-mmm")&amp;". "&amp;IF($W504=6,"Final escalation completed.",IF($T504="OVERDUE","Next: "&amp;$Z504&amp;" was due "&amp;TEXT($Y504,"dd-mmm")&amp;" - "&amp;(NETWORKDAYS($Y504,TODAY(),Holidays)-1)&amp;" business day(s) late. Send now.",IF($T504="DUE TOMORROW","Next: "&amp;$Z504&amp;IF($Y504&lt;=TODAY()," is due TODAY ("," is due next business day (")&amp;TEXT($Y504,"dd-mmm")&amp;").","Next: "&amp;$Z504&amp;" due "&amp;TEXT($Y504,"dd-mmm")&amp;" ("&amp;(NETWORKDAYS(TODAY(),$Y504,Holidays)-1)&amp;" business day(s) left).")))))</f>
        <v/>
      </c>
      <c r="V504" s="17">
        <f>IF($W504="","",CHOOSE($W504,"Collection Email","1st Follow-up","2nd Follow-up","Local Office","CBE","Roxanne")&amp;IF($W504=6," - Final"," - Day "&amp;MAX(0,NETWORKDAYS($X504,TODAY(),Holidays)-1)&amp;" of "&amp;CHOOSE($W504,3,3,2,2,3))&amp;" | Total Day "&amp;MAX(0,NETWORKDAYS($L504,TODAY(),Holidays)-1))</f>
        <v/>
      </c>
      <c r="W504" s="17">
        <f>IF($L504="","",COUNT($L504:$Q504))</f>
        <v/>
      </c>
      <c r="X504" s="18">
        <f>IF($W504="","",INT(INDEX($L504:$Q504,$W504)))</f>
        <v/>
      </c>
      <c r="Y504" s="18">
        <f>IF(OR($W504="",$W504=6),"",WORKDAY($X504,CHOOSE($W504,3,3,2,2,3),Holidays))</f>
        <v/>
      </c>
      <c r="Z504" s="17">
        <f>IF(OR($W504="",$W504=6),"",CHOOSE($W504,"1st Email Follow-up","2nd Email Follow-up","Escalate Local Office","Escalate to CBE","Escalate to Roxanne"))</f>
        <v/>
      </c>
    </row>
    <row r="505" spans="18:26">
      <c r="R505" s="15"/>
      <c r="S505" s="16"/>
      <c r="T505" s="17">
        <f>IF(AND(COUNTA($A505:$K505)=0,$L505=""),"",IF($S505="Paid","PAID",IF($S505="Closed","CLOSED",IF($W505="","",IF($W505=6,"ESCALATED TO ROXANNE",IF(TODAY()&gt;$Y505,"OVERDUE",IF($Y505&lt;=WORKDAY(TODAY(),1,Holidays),"DUE TOMORROW",IF($W505=4,"ESCALATED TO LOCAL OFFICE",IF($W505=5,"ESCALATED TO CBE",IF($X505=TODAY(),"EMAIL SENT","MONITORING"))))))))))</f>
        <v/>
      </c>
      <c r="U505" s="17">
        <f>IF($T505="",IF(AND(COUNTA($A505:$K505)&gt;0,$L505=""),"Awaiting Collection Email time stamp.",""),IF(OR($T505="PAID",$T505="CLOSED"),IF($T505="PAID","Account paid. Action completed.","Account closed. No further action required."),CHOOSE($W505,"Collection Email","1st Email Follow-up","2nd Email Follow-up","Escalation to Local Office","Escalation to CBE","Escalation to Roxanne")&amp;" sent "&amp;TEXT($X505,"dd-mmm")&amp;". "&amp;IF($W505=6,"Final escalation completed.",IF($T505="OVERDUE","Next: "&amp;$Z505&amp;" was due "&amp;TEXT($Y505,"dd-mmm")&amp;" - "&amp;(NETWORKDAYS($Y505,TODAY(),Holidays)-1)&amp;" business day(s) late. Send now.",IF($T505="DUE TOMORROW","Next: "&amp;$Z505&amp;IF($Y505&lt;=TODAY()," is due TODAY ("," is due next business day (")&amp;TEXT($Y505,"dd-mmm")&amp;").","Next: "&amp;$Z505&amp;" due "&amp;TEXT($Y505,"dd-mmm")&amp;" ("&amp;(NETWORKDAYS(TODAY(),$Y505,Holidays)-1)&amp;" business day(s) left).")))))</f>
        <v/>
      </c>
      <c r="V505" s="17">
        <f>IF($W505="","",CHOOSE($W505,"Collection Email","1st Follow-up","2nd Follow-up","Local Office","CBE","Roxanne")&amp;IF($W505=6," - Final"," - Day "&amp;MAX(0,NETWORKDAYS($X505,TODAY(),Holidays)-1)&amp;" of "&amp;CHOOSE($W505,3,3,2,2,3))&amp;" | Total Day "&amp;MAX(0,NETWORKDAYS($L505,TODAY(),Holidays)-1))</f>
        <v/>
      </c>
      <c r="W505" s="17">
        <f>IF($L505="","",COUNT($L505:$Q505))</f>
        <v/>
      </c>
      <c r="X505" s="18">
        <f>IF($W505="","",INT(INDEX($L505:$Q505,$W505)))</f>
        <v/>
      </c>
      <c r="Y505" s="18">
        <f>IF(OR($W505="",$W505=6),"",WORKDAY($X505,CHOOSE($W505,3,3,2,2,3),Holidays))</f>
        <v/>
      </c>
      <c r="Z505" s="17">
        <f>IF(OR($W505="",$W505=6),"",CHOOSE($W505,"1st Email Follow-up","2nd Email Follow-up","Escalate Local Office","Escalate to CBE","Escalate to Roxanne"))</f>
        <v/>
      </c>
    </row>
    <row r="506" spans="18:26">
      <c r="R506" s="15"/>
      <c r="S506" s="16"/>
      <c r="T506" s="17">
        <f>IF(AND(COUNTA($A506:$K506)=0,$L506=""),"",IF($S506="Paid","PAID",IF($S506="Closed","CLOSED",IF($W506="","",IF($W506=6,"ESCALATED TO ROXANNE",IF(TODAY()&gt;$Y506,"OVERDUE",IF($Y506&lt;=WORKDAY(TODAY(),1,Holidays),"DUE TOMORROW",IF($W506=4,"ESCALATED TO LOCAL OFFICE",IF($W506=5,"ESCALATED TO CBE",IF($X506=TODAY(),"EMAIL SENT","MONITORING"))))))))))</f>
        <v/>
      </c>
      <c r="U506" s="17">
        <f>IF($T506="",IF(AND(COUNTA($A506:$K506)&gt;0,$L506=""),"Awaiting Collection Email time stamp.",""),IF(OR($T506="PAID",$T506="CLOSED"),IF($T506="PAID","Account paid. Action completed.","Account closed. No further action required."),CHOOSE($W506,"Collection Email","1st Email Follow-up","2nd Email Follow-up","Escalation to Local Office","Escalation to CBE","Escalation to Roxanne")&amp;" sent "&amp;TEXT($X506,"dd-mmm")&amp;". "&amp;IF($W506=6,"Final escalation completed.",IF($T506="OVERDUE","Next: "&amp;$Z506&amp;" was due "&amp;TEXT($Y506,"dd-mmm")&amp;" - "&amp;(NETWORKDAYS($Y506,TODAY(),Holidays)-1)&amp;" business day(s) late. Send now.",IF($T506="DUE TOMORROW","Next: "&amp;$Z506&amp;IF($Y506&lt;=TODAY()," is due TODAY ("," is due next business day (")&amp;TEXT($Y506,"dd-mmm")&amp;").","Next: "&amp;$Z506&amp;" due "&amp;TEXT($Y506,"dd-mmm")&amp;" ("&amp;(NETWORKDAYS(TODAY(),$Y506,Holidays)-1)&amp;" business day(s) left).")))))</f>
        <v/>
      </c>
      <c r="V506" s="17">
        <f>IF($W506="","",CHOOSE($W506,"Collection Email","1st Follow-up","2nd Follow-up","Local Office","CBE","Roxanne")&amp;IF($W506=6," - Final"," - Day "&amp;MAX(0,NETWORKDAYS($X506,TODAY(),Holidays)-1)&amp;" of "&amp;CHOOSE($W506,3,3,2,2,3))&amp;" | Total Day "&amp;MAX(0,NETWORKDAYS($L506,TODAY(),Holidays)-1))</f>
        <v/>
      </c>
      <c r="W506" s="17">
        <f>IF($L506="","",COUNT($L506:$Q506))</f>
        <v/>
      </c>
      <c r="X506" s="18">
        <f>IF($W506="","",INT(INDEX($L506:$Q506,$W506)))</f>
        <v/>
      </c>
      <c r="Y506" s="18">
        <f>IF(OR($W506="",$W506=6),"",WORKDAY($X506,CHOOSE($W506,3,3,2,2,3),Holidays))</f>
        <v/>
      </c>
      <c r="Z506" s="17">
        <f>IF(OR($W506="",$W506=6),"",CHOOSE($W506,"1st Email Follow-up","2nd Email Follow-up","Escalate Local Office","Escalate to CBE","Escalate to Roxanne"))</f>
        <v/>
      </c>
    </row>
    <row r="507" spans="18:26">
      <c r="R507" s="15"/>
      <c r="S507" s="16"/>
      <c r="T507" s="17">
        <f>IF(AND(COUNTA($A507:$K507)=0,$L507=""),"",IF($S507="Paid","PAID",IF($S507="Closed","CLOSED",IF($W507="","",IF($W507=6,"ESCALATED TO ROXANNE",IF(TODAY()&gt;$Y507,"OVERDUE",IF($Y507&lt;=WORKDAY(TODAY(),1,Holidays),"DUE TOMORROW",IF($W507=4,"ESCALATED TO LOCAL OFFICE",IF($W507=5,"ESCALATED TO CBE",IF($X507=TODAY(),"EMAIL SENT","MONITORING"))))))))))</f>
        <v/>
      </c>
      <c r="U507" s="17">
        <f>IF($T507="",IF(AND(COUNTA($A507:$K507)&gt;0,$L507=""),"Awaiting Collection Email time stamp.",""),IF(OR($T507="PAID",$T507="CLOSED"),IF($T507="PAID","Account paid. Action completed.","Account closed. No further action required."),CHOOSE($W507,"Collection Email","1st Email Follow-up","2nd Email Follow-up","Escalation to Local Office","Escalation to CBE","Escalation to Roxanne")&amp;" sent "&amp;TEXT($X507,"dd-mmm")&amp;". "&amp;IF($W507=6,"Final escalation completed.",IF($T507="OVERDUE","Next: "&amp;$Z507&amp;" was due "&amp;TEXT($Y507,"dd-mmm")&amp;" - "&amp;(NETWORKDAYS($Y507,TODAY(),Holidays)-1)&amp;" business day(s) late. Send now.",IF($T507="DUE TOMORROW","Next: "&amp;$Z507&amp;IF($Y507&lt;=TODAY()," is due TODAY ("," is due next business day (")&amp;TEXT($Y507,"dd-mmm")&amp;").","Next: "&amp;$Z507&amp;" due "&amp;TEXT($Y507,"dd-mmm")&amp;" ("&amp;(NETWORKDAYS(TODAY(),$Y507,Holidays)-1)&amp;" business day(s) left).")))))</f>
        <v/>
      </c>
      <c r="V507" s="17">
        <f>IF($W507="","",CHOOSE($W507,"Collection Email","1st Follow-up","2nd Follow-up","Local Office","CBE","Roxanne")&amp;IF($W507=6," - Final"," - Day "&amp;MAX(0,NETWORKDAYS($X507,TODAY(),Holidays)-1)&amp;" of "&amp;CHOOSE($W507,3,3,2,2,3))&amp;" | Total Day "&amp;MAX(0,NETWORKDAYS($L507,TODAY(),Holidays)-1))</f>
        <v/>
      </c>
      <c r="W507" s="17">
        <f>IF($L507="","",COUNT($L507:$Q507))</f>
        <v/>
      </c>
      <c r="X507" s="18">
        <f>IF($W507="","",INT(INDEX($L507:$Q507,$W507)))</f>
        <v/>
      </c>
      <c r="Y507" s="18">
        <f>IF(OR($W507="",$W507=6),"",WORKDAY($X507,CHOOSE($W507,3,3,2,2,3),Holidays))</f>
        <v/>
      </c>
      <c r="Z507" s="17">
        <f>IF(OR($W507="",$W507=6),"",CHOOSE($W507,"1st Email Follow-up","2nd Email Follow-up","Escalate Local Office","Escalate to CBE","Escalate to Roxanne"))</f>
        <v/>
      </c>
    </row>
    <row r="508" spans="18:26">
      <c r="R508" s="15"/>
      <c r="S508" s="16"/>
      <c r="T508" s="17">
        <f>IF(AND(COUNTA($A508:$K508)=0,$L508=""),"",IF($S508="Paid","PAID",IF($S508="Closed","CLOSED",IF($W508="","",IF($W508=6,"ESCALATED TO ROXANNE",IF(TODAY()&gt;$Y508,"OVERDUE",IF($Y508&lt;=WORKDAY(TODAY(),1,Holidays),"DUE TOMORROW",IF($W508=4,"ESCALATED TO LOCAL OFFICE",IF($W508=5,"ESCALATED TO CBE",IF($X508=TODAY(),"EMAIL SENT","MONITORING"))))))))))</f>
        <v/>
      </c>
      <c r="U508" s="17">
        <f>IF($T508="",IF(AND(COUNTA($A508:$K508)&gt;0,$L508=""),"Awaiting Collection Email time stamp.",""),IF(OR($T508="PAID",$T508="CLOSED"),IF($T508="PAID","Account paid. Action completed.","Account closed. No further action required."),CHOOSE($W508,"Collection Email","1st Email Follow-up","2nd Email Follow-up","Escalation to Local Office","Escalation to CBE","Escalation to Roxanne")&amp;" sent "&amp;TEXT($X508,"dd-mmm")&amp;". "&amp;IF($W508=6,"Final escalation completed.",IF($T508="OVERDUE","Next: "&amp;$Z508&amp;" was due "&amp;TEXT($Y508,"dd-mmm")&amp;" - "&amp;(NETWORKDAYS($Y508,TODAY(),Holidays)-1)&amp;" business day(s) late. Send now.",IF($T508="DUE TOMORROW","Next: "&amp;$Z508&amp;IF($Y508&lt;=TODAY()," is due TODAY ("," is due next business day (")&amp;TEXT($Y508,"dd-mmm")&amp;").","Next: "&amp;$Z508&amp;" due "&amp;TEXT($Y508,"dd-mmm")&amp;" ("&amp;(NETWORKDAYS(TODAY(),$Y508,Holidays)-1)&amp;" business day(s) left).")))))</f>
        <v/>
      </c>
      <c r="V508" s="17">
        <f>IF($W508="","",CHOOSE($W508,"Collection Email","1st Follow-up","2nd Follow-up","Local Office","CBE","Roxanne")&amp;IF($W508=6," - Final"," - Day "&amp;MAX(0,NETWORKDAYS($X508,TODAY(),Holidays)-1)&amp;" of "&amp;CHOOSE($W508,3,3,2,2,3))&amp;" | Total Day "&amp;MAX(0,NETWORKDAYS($L508,TODAY(),Holidays)-1))</f>
        <v/>
      </c>
      <c r="W508" s="17">
        <f>IF($L508="","",COUNT($L508:$Q508))</f>
        <v/>
      </c>
      <c r="X508" s="18">
        <f>IF($W508="","",INT(INDEX($L508:$Q508,$W508)))</f>
        <v/>
      </c>
      <c r="Y508" s="18">
        <f>IF(OR($W508="",$W508=6),"",WORKDAY($X508,CHOOSE($W508,3,3,2,2,3),Holidays))</f>
        <v/>
      </c>
      <c r="Z508" s="17">
        <f>IF(OR($W508="",$W508=6),"",CHOOSE($W508,"1st Email Follow-up","2nd Email Follow-up","Escalate Local Office","Escalate to CBE","Escalate to Roxanne"))</f>
        <v/>
      </c>
    </row>
    <row r="509" spans="18:26">
      <c r="R509" s="15"/>
      <c r="S509" s="16"/>
      <c r="T509" s="17">
        <f>IF(AND(COUNTA($A509:$K509)=0,$L509=""),"",IF($S509="Paid","PAID",IF($S509="Closed","CLOSED",IF($W509="","",IF($W509=6,"ESCALATED TO ROXANNE",IF(TODAY()&gt;$Y509,"OVERDUE",IF($Y509&lt;=WORKDAY(TODAY(),1,Holidays),"DUE TOMORROW",IF($W509=4,"ESCALATED TO LOCAL OFFICE",IF($W509=5,"ESCALATED TO CBE",IF($X509=TODAY(),"EMAIL SENT","MONITORING"))))))))))</f>
        <v/>
      </c>
      <c r="U509" s="17">
        <f>IF($T509="",IF(AND(COUNTA($A509:$K509)&gt;0,$L509=""),"Awaiting Collection Email time stamp.",""),IF(OR($T509="PAID",$T509="CLOSED"),IF($T509="PAID","Account paid. Action completed.","Account closed. No further action required."),CHOOSE($W509,"Collection Email","1st Email Follow-up","2nd Email Follow-up","Escalation to Local Office","Escalation to CBE","Escalation to Roxanne")&amp;" sent "&amp;TEXT($X509,"dd-mmm")&amp;". "&amp;IF($W509=6,"Final escalation completed.",IF($T509="OVERDUE","Next: "&amp;$Z509&amp;" was due "&amp;TEXT($Y509,"dd-mmm")&amp;" - "&amp;(NETWORKDAYS($Y509,TODAY(),Holidays)-1)&amp;" business day(s) late. Send now.",IF($T509="DUE TOMORROW","Next: "&amp;$Z509&amp;IF($Y509&lt;=TODAY()," is due TODAY ("," is due next business day (")&amp;TEXT($Y509,"dd-mmm")&amp;").","Next: "&amp;$Z509&amp;" due "&amp;TEXT($Y509,"dd-mmm")&amp;" ("&amp;(NETWORKDAYS(TODAY(),$Y509,Holidays)-1)&amp;" business day(s) left).")))))</f>
        <v/>
      </c>
      <c r="V509" s="17">
        <f>IF($W509="","",CHOOSE($W509,"Collection Email","1st Follow-up","2nd Follow-up","Local Office","CBE","Roxanne")&amp;IF($W509=6," - Final"," - Day "&amp;MAX(0,NETWORKDAYS($X509,TODAY(),Holidays)-1)&amp;" of "&amp;CHOOSE($W509,3,3,2,2,3))&amp;" | Total Day "&amp;MAX(0,NETWORKDAYS($L509,TODAY(),Holidays)-1))</f>
        <v/>
      </c>
      <c r="W509" s="17">
        <f>IF($L509="","",COUNT($L509:$Q509))</f>
        <v/>
      </c>
      <c r="X509" s="18">
        <f>IF($W509="","",INT(INDEX($L509:$Q509,$W509)))</f>
        <v/>
      </c>
      <c r="Y509" s="18">
        <f>IF(OR($W509="",$W509=6),"",WORKDAY($X509,CHOOSE($W509,3,3,2,2,3),Holidays))</f>
        <v/>
      </c>
      <c r="Z509" s="17">
        <f>IF(OR($W509="",$W509=6),"",CHOOSE($W509,"1st Email Follow-up","2nd Email Follow-up","Escalate Local Office","Escalate to CBE","Escalate to Roxanne"))</f>
        <v/>
      </c>
    </row>
    <row r="510" spans="18:26">
      <c r="R510" s="15"/>
      <c r="S510" s="16"/>
      <c r="T510" s="17">
        <f>IF(AND(COUNTA($A510:$K510)=0,$L510=""),"",IF($S510="Paid","PAID",IF($S510="Closed","CLOSED",IF($W510="","",IF($W510=6,"ESCALATED TO ROXANNE",IF(TODAY()&gt;$Y510,"OVERDUE",IF($Y510&lt;=WORKDAY(TODAY(),1,Holidays),"DUE TOMORROW",IF($W510=4,"ESCALATED TO LOCAL OFFICE",IF($W510=5,"ESCALATED TO CBE",IF($X510=TODAY(),"EMAIL SENT","MONITORING"))))))))))</f>
        <v/>
      </c>
      <c r="U510" s="17">
        <f>IF($T510="",IF(AND(COUNTA($A510:$K510)&gt;0,$L510=""),"Awaiting Collection Email time stamp.",""),IF(OR($T510="PAID",$T510="CLOSED"),IF($T510="PAID","Account paid. Action completed.","Account closed. No further action required."),CHOOSE($W510,"Collection Email","1st Email Follow-up","2nd Email Follow-up","Escalation to Local Office","Escalation to CBE","Escalation to Roxanne")&amp;" sent "&amp;TEXT($X510,"dd-mmm")&amp;". "&amp;IF($W510=6,"Final escalation completed.",IF($T510="OVERDUE","Next: "&amp;$Z510&amp;" was due "&amp;TEXT($Y510,"dd-mmm")&amp;" - "&amp;(NETWORKDAYS($Y510,TODAY(),Holidays)-1)&amp;" business day(s) late. Send now.",IF($T510="DUE TOMORROW","Next: "&amp;$Z510&amp;IF($Y510&lt;=TODAY()," is due TODAY ("," is due next business day (")&amp;TEXT($Y510,"dd-mmm")&amp;").","Next: "&amp;$Z510&amp;" due "&amp;TEXT($Y510,"dd-mmm")&amp;" ("&amp;(NETWORKDAYS(TODAY(),$Y510,Holidays)-1)&amp;" business day(s) left).")))))</f>
        <v/>
      </c>
      <c r="V510" s="17">
        <f>IF($W510="","",CHOOSE($W510,"Collection Email","1st Follow-up","2nd Follow-up","Local Office","CBE","Roxanne")&amp;IF($W510=6," - Final"," - Day "&amp;MAX(0,NETWORKDAYS($X510,TODAY(),Holidays)-1)&amp;" of "&amp;CHOOSE($W510,3,3,2,2,3))&amp;" | Total Day "&amp;MAX(0,NETWORKDAYS($L510,TODAY(),Holidays)-1))</f>
        <v/>
      </c>
      <c r="W510" s="17">
        <f>IF($L510="","",COUNT($L510:$Q510))</f>
        <v/>
      </c>
      <c r="X510" s="18">
        <f>IF($W510="","",INT(INDEX($L510:$Q510,$W510)))</f>
        <v/>
      </c>
      <c r="Y510" s="18">
        <f>IF(OR($W510="",$W510=6),"",WORKDAY($X510,CHOOSE($W510,3,3,2,2,3),Holidays))</f>
        <v/>
      </c>
      <c r="Z510" s="17">
        <f>IF(OR($W510="",$W510=6),"",CHOOSE($W510,"1st Email Follow-up","2nd Email Follow-up","Escalate Local Office","Escalate to CBE","Escalate to Roxanne"))</f>
        <v/>
      </c>
    </row>
    <row r="511" spans="18:26">
      <c r="R511" s="15"/>
      <c r="S511" s="16"/>
      <c r="T511" s="17">
        <f>IF(AND(COUNTA($A511:$K511)=0,$L511=""),"",IF($S511="Paid","PAID",IF($S511="Closed","CLOSED",IF($W511="","",IF($W511=6,"ESCALATED TO ROXANNE",IF(TODAY()&gt;$Y511,"OVERDUE",IF($Y511&lt;=WORKDAY(TODAY(),1,Holidays),"DUE TOMORROW",IF($W511=4,"ESCALATED TO LOCAL OFFICE",IF($W511=5,"ESCALATED TO CBE",IF($X511=TODAY(),"EMAIL SENT","MONITORING"))))))))))</f>
        <v/>
      </c>
      <c r="U511" s="17">
        <f>IF($T511="",IF(AND(COUNTA($A511:$K511)&gt;0,$L511=""),"Awaiting Collection Email time stamp.",""),IF(OR($T511="PAID",$T511="CLOSED"),IF($T511="PAID","Account paid. Action completed.","Account closed. No further action required."),CHOOSE($W511,"Collection Email","1st Email Follow-up","2nd Email Follow-up","Escalation to Local Office","Escalation to CBE","Escalation to Roxanne")&amp;" sent "&amp;TEXT($X511,"dd-mmm")&amp;". "&amp;IF($W511=6,"Final escalation completed.",IF($T511="OVERDUE","Next: "&amp;$Z511&amp;" was due "&amp;TEXT($Y511,"dd-mmm")&amp;" - "&amp;(NETWORKDAYS($Y511,TODAY(),Holidays)-1)&amp;" business day(s) late. Send now.",IF($T511="DUE TOMORROW","Next: "&amp;$Z511&amp;IF($Y511&lt;=TODAY()," is due TODAY ("," is due next business day (")&amp;TEXT($Y511,"dd-mmm")&amp;").","Next: "&amp;$Z511&amp;" due "&amp;TEXT($Y511,"dd-mmm")&amp;" ("&amp;(NETWORKDAYS(TODAY(),$Y511,Holidays)-1)&amp;" business day(s) left).")))))</f>
        <v/>
      </c>
      <c r="V511" s="17">
        <f>IF($W511="","",CHOOSE($W511,"Collection Email","1st Follow-up","2nd Follow-up","Local Office","CBE","Roxanne")&amp;IF($W511=6," - Final"," - Day "&amp;MAX(0,NETWORKDAYS($X511,TODAY(),Holidays)-1)&amp;" of "&amp;CHOOSE($W511,3,3,2,2,3))&amp;" | Total Day "&amp;MAX(0,NETWORKDAYS($L511,TODAY(),Holidays)-1))</f>
        <v/>
      </c>
      <c r="W511" s="17">
        <f>IF($L511="","",COUNT($L511:$Q511))</f>
        <v/>
      </c>
      <c r="X511" s="18">
        <f>IF($W511="","",INT(INDEX($L511:$Q511,$W511)))</f>
        <v/>
      </c>
      <c r="Y511" s="18">
        <f>IF(OR($W511="",$W511=6),"",WORKDAY($X511,CHOOSE($W511,3,3,2,2,3),Holidays))</f>
        <v/>
      </c>
      <c r="Z511" s="17">
        <f>IF(OR($W511="",$W511=6),"",CHOOSE($W511,"1st Email Follow-up","2nd Email Follow-up","Escalate Local Office","Escalate to CBE","Escalate to Roxanne"))</f>
        <v/>
      </c>
    </row>
    <row r="512" spans="18:26">
      <c r="R512" s="15"/>
      <c r="S512" s="16"/>
      <c r="T512" s="17">
        <f>IF(AND(COUNTA($A512:$K512)=0,$L512=""),"",IF($S512="Paid","PAID",IF($S512="Closed","CLOSED",IF($W512="","",IF($W512=6,"ESCALATED TO ROXANNE",IF(TODAY()&gt;$Y512,"OVERDUE",IF($Y512&lt;=WORKDAY(TODAY(),1,Holidays),"DUE TOMORROW",IF($W512=4,"ESCALATED TO LOCAL OFFICE",IF($W512=5,"ESCALATED TO CBE",IF($X512=TODAY(),"EMAIL SENT","MONITORING"))))))))))</f>
        <v/>
      </c>
      <c r="U512" s="17">
        <f>IF($T512="",IF(AND(COUNTA($A512:$K512)&gt;0,$L512=""),"Awaiting Collection Email time stamp.",""),IF(OR($T512="PAID",$T512="CLOSED"),IF($T512="PAID","Account paid. Action completed.","Account closed. No further action required."),CHOOSE($W512,"Collection Email","1st Email Follow-up","2nd Email Follow-up","Escalation to Local Office","Escalation to CBE","Escalation to Roxanne")&amp;" sent "&amp;TEXT($X512,"dd-mmm")&amp;". "&amp;IF($W512=6,"Final escalation completed.",IF($T512="OVERDUE","Next: "&amp;$Z512&amp;" was due "&amp;TEXT($Y512,"dd-mmm")&amp;" - "&amp;(NETWORKDAYS($Y512,TODAY(),Holidays)-1)&amp;" business day(s) late. Send now.",IF($T512="DUE TOMORROW","Next: "&amp;$Z512&amp;IF($Y512&lt;=TODAY()," is due TODAY ("," is due next business day (")&amp;TEXT($Y512,"dd-mmm")&amp;").","Next: "&amp;$Z512&amp;" due "&amp;TEXT($Y512,"dd-mmm")&amp;" ("&amp;(NETWORKDAYS(TODAY(),$Y512,Holidays)-1)&amp;" business day(s) left).")))))</f>
        <v/>
      </c>
      <c r="V512" s="17">
        <f>IF($W512="","",CHOOSE($W512,"Collection Email","1st Follow-up","2nd Follow-up","Local Office","CBE","Roxanne")&amp;IF($W512=6," - Final"," - Day "&amp;MAX(0,NETWORKDAYS($X512,TODAY(),Holidays)-1)&amp;" of "&amp;CHOOSE($W512,3,3,2,2,3))&amp;" | Total Day "&amp;MAX(0,NETWORKDAYS($L512,TODAY(),Holidays)-1))</f>
        <v/>
      </c>
      <c r="W512" s="17">
        <f>IF($L512="","",COUNT($L512:$Q512))</f>
        <v/>
      </c>
      <c r="X512" s="18">
        <f>IF($W512="","",INT(INDEX($L512:$Q512,$W512)))</f>
        <v/>
      </c>
      <c r="Y512" s="18">
        <f>IF(OR($W512="",$W512=6),"",WORKDAY($X512,CHOOSE($W512,3,3,2,2,3),Holidays))</f>
        <v/>
      </c>
      <c r="Z512" s="17">
        <f>IF(OR($W512="",$W512=6),"",CHOOSE($W512,"1st Email Follow-up","2nd Email Follow-up","Escalate Local Office","Escalate to CBE","Escalate to Roxanne"))</f>
        <v/>
      </c>
    </row>
    <row r="513" spans="18:26">
      <c r="R513" s="15"/>
      <c r="S513" s="16"/>
      <c r="T513" s="17">
        <f>IF(AND(COUNTA($A513:$K513)=0,$L513=""),"",IF($S513="Paid","PAID",IF($S513="Closed","CLOSED",IF($W513="","",IF($W513=6,"ESCALATED TO ROXANNE",IF(TODAY()&gt;$Y513,"OVERDUE",IF($Y513&lt;=WORKDAY(TODAY(),1,Holidays),"DUE TOMORROW",IF($W513=4,"ESCALATED TO LOCAL OFFICE",IF($W513=5,"ESCALATED TO CBE",IF($X513=TODAY(),"EMAIL SENT","MONITORING"))))))))))</f>
        <v/>
      </c>
      <c r="U513" s="17">
        <f>IF($T513="",IF(AND(COUNTA($A513:$K513)&gt;0,$L513=""),"Awaiting Collection Email time stamp.",""),IF(OR($T513="PAID",$T513="CLOSED"),IF($T513="PAID","Account paid. Action completed.","Account closed. No further action required."),CHOOSE($W513,"Collection Email","1st Email Follow-up","2nd Email Follow-up","Escalation to Local Office","Escalation to CBE","Escalation to Roxanne")&amp;" sent "&amp;TEXT($X513,"dd-mmm")&amp;". "&amp;IF($W513=6,"Final escalation completed.",IF($T513="OVERDUE","Next: "&amp;$Z513&amp;" was due "&amp;TEXT($Y513,"dd-mmm")&amp;" - "&amp;(NETWORKDAYS($Y513,TODAY(),Holidays)-1)&amp;" business day(s) late. Send now.",IF($T513="DUE TOMORROW","Next: "&amp;$Z513&amp;IF($Y513&lt;=TODAY()," is due TODAY ("," is due next business day (")&amp;TEXT($Y513,"dd-mmm")&amp;").","Next: "&amp;$Z513&amp;" due "&amp;TEXT($Y513,"dd-mmm")&amp;" ("&amp;(NETWORKDAYS(TODAY(),$Y513,Holidays)-1)&amp;" business day(s) left).")))))</f>
        <v/>
      </c>
      <c r="V513" s="17">
        <f>IF($W513="","",CHOOSE($W513,"Collection Email","1st Follow-up","2nd Follow-up","Local Office","CBE","Roxanne")&amp;IF($W513=6," - Final"," - Day "&amp;MAX(0,NETWORKDAYS($X513,TODAY(),Holidays)-1)&amp;" of "&amp;CHOOSE($W513,3,3,2,2,3))&amp;" | Total Day "&amp;MAX(0,NETWORKDAYS($L513,TODAY(),Holidays)-1))</f>
        <v/>
      </c>
      <c r="W513" s="17">
        <f>IF($L513="","",COUNT($L513:$Q513))</f>
        <v/>
      </c>
      <c r="X513" s="18">
        <f>IF($W513="","",INT(INDEX($L513:$Q513,$W513)))</f>
        <v/>
      </c>
      <c r="Y513" s="18">
        <f>IF(OR($W513="",$W513=6),"",WORKDAY($X513,CHOOSE($W513,3,3,2,2,3),Holidays))</f>
        <v/>
      </c>
      <c r="Z513" s="17">
        <f>IF(OR($W513="",$W513=6),"",CHOOSE($W513,"1st Email Follow-up","2nd Email Follow-up","Escalate Local Office","Escalate to CBE","Escalate to Roxanne"))</f>
        <v/>
      </c>
    </row>
    <row r="514" spans="18:26">
      <c r="R514" s="15"/>
      <c r="S514" s="16"/>
      <c r="T514" s="17">
        <f>IF(AND(COUNTA($A514:$K514)=0,$L514=""),"",IF($S514="Paid","PAID",IF($S514="Closed","CLOSED",IF($W514="","",IF($W514=6,"ESCALATED TO ROXANNE",IF(TODAY()&gt;$Y514,"OVERDUE",IF($Y514&lt;=WORKDAY(TODAY(),1,Holidays),"DUE TOMORROW",IF($W514=4,"ESCALATED TO LOCAL OFFICE",IF($W514=5,"ESCALATED TO CBE",IF($X514=TODAY(),"EMAIL SENT","MONITORING"))))))))))</f>
        <v/>
      </c>
      <c r="U514" s="17">
        <f>IF($T514="",IF(AND(COUNTA($A514:$K514)&gt;0,$L514=""),"Awaiting Collection Email time stamp.",""),IF(OR($T514="PAID",$T514="CLOSED"),IF($T514="PAID","Account paid. Action completed.","Account closed. No further action required."),CHOOSE($W514,"Collection Email","1st Email Follow-up","2nd Email Follow-up","Escalation to Local Office","Escalation to CBE","Escalation to Roxanne")&amp;" sent "&amp;TEXT($X514,"dd-mmm")&amp;". "&amp;IF($W514=6,"Final escalation completed.",IF($T514="OVERDUE","Next: "&amp;$Z514&amp;" was due "&amp;TEXT($Y514,"dd-mmm")&amp;" - "&amp;(NETWORKDAYS($Y514,TODAY(),Holidays)-1)&amp;" business day(s) late. Send now.",IF($T514="DUE TOMORROW","Next: "&amp;$Z514&amp;IF($Y514&lt;=TODAY()," is due TODAY ("," is due next business day (")&amp;TEXT($Y514,"dd-mmm")&amp;").","Next: "&amp;$Z514&amp;" due "&amp;TEXT($Y514,"dd-mmm")&amp;" ("&amp;(NETWORKDAYS(TODAY(),$Y514,Holidays)-1)&amp;" business day(s) left).")))))</f>
        <v/>
      </c>
      <c r="V514" s="17">
        <f>IF($W514="","",CHOOSE($W514,"Collection Email","1st Follow-up","2nd Follow-up","Local Office","CBE","Roxanne")&amp;IF($W514=6," - Final"," - Day "&amp;MAX(0,NETWORKDAYS($X514,TODAY(),Holidays)-1)&amp;" of "&amp;CHOOSE($W514,3,3,2,2,3))&amp;" | Total Day "&amp;MAX(0,NETWORKDAYS($L514,TODAY(),Holidays)-1))</f>
        <v/>
      </c>
      <c r="W514" s="17">
        <f>IF($L514="","",COUNT($L514:$Q514))</f>
        <v/>
      </c>
      <c r="X514" s="18">
        <f>IF($W514="","",INT(INDEX($L514:$Q514,$W514)))</f>
        <v/>
      </c>
      <c r="Y514" s="18">
        <f>IF(OR($W514="",$W514=6),"",WORKDAY($X514,CHOOSE($W514,3,3,2,2,3),Holidays))</f>
        <v/>
      </c>
      <c r="Z514" s="17">
        <f>IF(OR($W514="",$W514=6),"",CHOOSE($W514,"1st Email Follow-up","2nd Email Follow-up","Escalate Local Office","Escalate to CBE","Escalate to Roxanne"))</f>
        <v/>
      </c>
    </row>
    <row r="515" spans="18:26">
      <c r="R515" s="15"/>
      <c r="S515" s="16"/>
      <c r="T515" s="17">
        <f>IF(AND(COUNTA($A515:$K515)=0,$L515=""),"",IF($S515="Paid","PAID",IF($S515="Closed","CLOSED",IF($W515="","",IF($W515=6,"ESCALATED TO ROXANNE",IF(TODAY()&gt;$Y515,"OVERDUE",IF($Y515&lt;=WORKDAY(TODAY(),1,Holidays),"DUE TOMORROW",IF($W515=4,"ESCALATED TO LOCAL OFFICE",IF($W515=5,"ESCALATED TO CBE",IF($X515=TODAY(),"EMAIL SENT","MONITORING"))))))))))</f>
        <v/>
      </c>
      <c r="U515" s="17">
        <f>IF($T515="",IF(AND(COUNTA($A515:$K515)&gt;0,$L515=""),"Awaiting Collection Email time stamp.",""),IF(OR($T515="PAID",$T515="CLOSED"),IF($T515="PAID","Account paid. Action completed.","Account closed. No further action required."),CHOOSE($W515,"Collection Email","1st Email Follow-up","2nd Email Follow-up","Escalation to Local Office","Escalation to CBE","Escalation to Roxanne")&amp;" sent "&amp;TEXT($X515,"dd-mmm")&amp;". "&amp;IF($W515=6,"Final escalation completed.",IF($T515="OVERDUE","Next: "&amp;$Z515&amp;" was due "&amp;TEXT($Y515,"dd-mmm")&amp;" - "&amp;(NETWORKDAYS($Y515,TODAY(),Holidays)-1)&amp;" business day(s) late. Send now.",IF($T515="DUE TOMORROW","Next: "&amp;$Z515&amp;IF($Y515&lt;=TODAY()," is due TODAY ("," is due next business day (")&amp;TEXT($Y515,"dd-mmm")&amp;").","Next: "&amp;$Z515&amp;" due "&amp;TEXT($Y515,"dd-mmm")&amp;" ("&amp;(NETWORKDAYS(TODAY(),$Y515,Holidays)-1)&amp;" business day(s) left).")))))</f>
        <v/>
      </c>
      <c r="V515" s="17">
        <f>IF($W515="","",CHOOSE($W515,"Collection Email","1st Follow-up","2nd Follow-up","Local Office","CBE","Roxanne")&amp;IF($W515=6," - Final"," - Day "&amp;MAX(0,NETWORKDAYS($X515,TODAY(),Holidays)-1)&amp;" of "&amp;CHOOSE($W515,3,3,2,2,3))&amp;" | Total Day "&amp;MAX(0,NETWORKDAYS($L515,TODAY(),Holidays)-1))</f>
        <v/>
      </c>
      <c r="W515" s="17">
        <f>IF($L515="","",COUNT($L515:$Q515))</f>
        <v/>
      </c>
      <c r="X515" s="18">
        <f>IF($W515="","",INT(INDEX($L515:$Q515,$W515)))</f>
        <v/>
      </c>
      <c r="Y515" s="18">
        <f>IF(OR($W515="",$W515=6),"",WORKDAY($X515,CHOOSE($W515,3,3,2,2,3),Holidays))</f>
        <v/>
      </c>
      <c r="Z515" s="17">
        <f>IF(OR($W515="",$W515=6),"",CHOOSE($W515,"1st Email Follow-up","2nd Email Follow-up","Escalate Local Office","Escalate to CBE","Escalate to Roxanne"))</f>
        <v/>
      </c>
    </row>
    <row r="516" spans="18:26">
      <c r="R516" s="15"/>
      <c r="S516" s="16"/>
      <c r="T516" s="17">
        <f>IF(AND(COUNTA($A516:$K516)=0,$L516=""),"",IF($S516="Paid","PAID",IF($S516="Closed","CLOSED",IF($W516="","",IF($W516=6,"ESCALATED TO ROXANNE",IF(TODAY()&gt;$Y516,"OVERDUE",IF($Y516&lt;=WORKDAY(TODAY(),1,Holidays),"DUE TOMORROW",IF($W516=4,"ESCALATED TO LOCAL OFFICE",IF($W516=5,"ESCALATED TO CBE",IF($X516=TODAY(),"EMAIL SENT","MONITORING"))))))))))</f>
        <v/>
      </c>
      <c r="U516" s="17">
        <f>IF($T516="",IF(AND(COUNTA($A516:$K516)&gt;0,$L516=""),"Awaiting Collection Email time stamp.",""),IF(OR($T516="PAID",$T516="CLOSED"),IF($T516="PAID","Account paid. Action completed.","Account closed. No further action required."),CHOOSE($W516,"Collection Email","1st Email Follow-up","2nd Email Follow-up","Escalation to Local Office","Escalation to CBE","Escalation to Roxanne")&amp;" sent "&amp;TEXT($X516,"dd-mmm")&amp;". "&amp;IF($W516=6,"Final escalation completed.",IF($T516="OVERDUE","Next: "&amp;$Z516&amp;" was due "&amp;TEXT($Y516,"dd-mmm")&amp;" - "&amp;(NETWORKDAYS($Y516,TODAY(),Holidays)-1)&amp;" business day(s) late. Send now.",IF($T516="DUE TOMORROW","Next: "&amp;$Z516&amp;IF($Y516&lt;=TODAY()," is due TODAY ("," is due next business day (")&amp;TEXT($Y516,"dd-mmm")&amp;").","Next: "&amp;$Z516&amp;" due "&amp;TEXT($Y516,"dd-mmm")&amp;" ("&amp;(NETWORKDAYS(TODAY(),$Y516,Holidays)-1)&amp;" business day(s) left).")))))</f>
        <v/>
      </c>
      <c r="V516" s="17">
        <f>IF($W516="","",CHOOSE($W516,"Collection Email","1st Follow-up","2nd Follow-up","Local Office","CBE","Roxanne")&amp;IF($W516=6," - Final"," - Day "&amp;MAX(0,NETWORKDAYS($X516,TODAY(),Holidays)-1)&amp;" of "&amp;CHOOSE($W516,3,3,2,2,3))&amp;" | Total Day "&amp;MAX(0,NETWORKDAYS($L516,TODAY(),Holidays)-1))</f>
        <v/>
      </c>
      <c r="W516" s="17">
        <f>IF($L516="","",COUNT($L516:$Q516))</f>
        <v/>
      </c>
      <c r="X516" s="18">
        <f>IF($W516="","",INT(INDEX($L516:$Q516,$W516)))</f>
        <v/>
      </c>
      <c r="Y516" s="18">
        <f>IF(OR($W516="",$W516=6),"",WORKDAY($X516,CHOOSE($W516,3,3,2,2,3),Holidays))</f>
        <v/>
      </c>
      <c r="Z516" s="17">
        <f>IF(OR($W516="",$W516=6),"",CHOOSE($W516,"1st Email Follow-up","2nd Email Follow-up","Escalate Local Office","Escalate to CBE","Escalate to Roxanne"))</f>
        <v/>
      </c>
    </row>
    <row r="517" spans="18:26">
      <c r="R517" s="15"/>
      <c r="S517" s="16"/>
      <c r="T517" s="17">
        <f>IF(AND(COUNTA($A517:$K517)=0,$L517=""),"",IF($S517="Paid","PAID",IF($S517="Closed","CLOSED",IF($W517="","",IF($W517=6,"ESCALATED TO ROXANNE",IF(TODAY()&gt;$Y517,"OVERDUE",IF($Y517&lt;=WORKDAY(TODAY(),1,Holidays),"DUE TOMORROW",IF($W517=4,"ESCALATED TO LOCAL OFFICE",IF($W517=5,"ESCALATED TO CBE",IF($X517=TODAY(),"EMAIL SENT","MONITORING"))))))))))</f>
        <v/>
      </c>
      <c r="U517" s="17">
        <f>IF($T517="",IF(AND(COUNTA($A517:$K517)&gt;0,$L517=""),"Awaiting Collection Email time stamp.",""),IF(OR($T517="PAID",$T517="CLOSED"),IF($T517="PAID","Account paid. Action completed.","Account closed. No further action required."),CHOOSE($W517,"Collection Email","1st Email Follow-up","2nd Email Follow-up","Escalation to Local Office","Escalation to CBE","Escalation to Roxanne")&amp;" sent "&amp;TEXT($X517,"dd-mmm")&amp;". "&amp;IF($W517=6,"Final escalation completed.",IF($T517="OVERDUE","Next: "&amp;$Z517&amp;" was due "&amp;TEXT($Y517,"dd-mmm")&amp;" - "&amp;(NETWORKDAYS($Y517,TODAY(),Holidays)-1)&amp;" business day(s) late. Send now.",IF($T517="DUE TOMORROW","Next: "&amp;$Z517&amp;IF($Y517&lt;=TODAY()," is due TODAY ("," is due next business day (")&amp;TEXT($Y517,"dd-mmm")&amp;").","Next: "&amp;$Z517&amp;" due "&amp;TEXT($Y517,"dd-mmm")&amp;" ("&amp;(NETWORKDAYS(TODAY(),$Y517,Holidays)-1)&amp;" business day(s) left).")))))</f>
        <v/>
      </c>
      <c r="V517" s="17">
        <f>IF($W517="","",CHOOSE($W517,"Collection Email","1st Follow-up","2nd Follow-up","Local Office","CBE","Roxanne")&amp;IF($W517=6," - Final"," - Day "&amp;MAX(0,NETWORKDAYS($X517,TODAY(),Holidays)-1)&amp;" of "&amp;CHOOSE($W517,3,3,2,2,3))&amp;" | Total Day "&amp;MAX(0,NETWORKDAYS($L517,TODAY(),Holidays)-1))</f>
        <v/>
      </c>
      <c r="W517" s="17">
        <f>IF($L517="","",COUNT($L517:$Q517))</f>
        <v/>
      </c>
      <c r="X517" s="18">
        <f>IF($W517="","",INT(INDEX($L517:$Q517,$W517)))</f>
        <v/>
      </c>
      <c r="Y517" s="18">
        <f>IF(OR($W517="",$W517=6),"",WORKDAY($X517,CHOOSE($W517,3,3,2,2,3),Holidays))</f>
        <v/>
      </c>
      <c r="Z517" s="17">
        <f>IF(OR($W517="",$W517=6),"",CHOOSE($W517,"1st Email Follow-up","2nd Email Follow-up","Escalate Local Office","Escalate to CBE","Escalate to Roxanne"))</f>
        <v/>
      </c>
    </row>
    <row r="518" spans="18:26">
      <c r="R518" s="15"/>
      <c r="S518" s="16"/>
      <c r="T518" s="17">
        <f>IF(AND(COUNTA($A518:$K518)=0,$L518=""),"",IF($S518="Paid","PAID",IF($S518="Closed","CLOSED",IF($W518="","",IF($W518=6,"ESCALATED TO ROXANNE",IF(TODAY()&gt;$Y518,"OVERDUE",IF($Y518&lt;=WORKDAY(TODAY(),1,Holidays),"DUE TOMORROW",IF($W518=4,"ESCALATED TO LOCAL OFFICE",IF($W518=5,"ESCALATED TO CBE",IF($X518=TODAY(),"EMAIL SENT","MONITORING"))))))))))</f>
        <v/>
      </c>
      <c r="U518" s="17">
        <f>IF($T518="",IF(AND(COUNTA($A518:$K518)&gt;0,$L518=""),"Awaiting Collection Email time stamp.",""),IF(OR($T518="PAID",$T518="CLOSED"),IF($T518="PAID","Account paid. Action completed.","Account closed. No further action required."),CHOOSE($W518,"Collection Email","1st Email Follow-up","2nd Email Follow-up","Escalation to Local Office","Escalation to CBE","Escalation to Roxanne")&amp;" sent "&amp;TEXT($X518,"dd-mmm")&amp;". "&amp;IF($W518=6,"Final escalation completed.",IF($T518="OVERDUE","Next: "&amp;$Z518&amp;" was due "&amp;TEXT($Y518,"dd-mmm")&amp;" - "&amp;(NETWORKDAYS($Y518,TODAY(),Holidays)-1)&amp;" business day(s) late. Send now.",IF($T518="DUE TOMORROW","Next: "&amp;$Z518&amp;IF($Y518&lt;=TODAY()," is due TODAY ("," is due next business day (")&amp;TEXT($Y518,"dd-mmm")&amp;").","Next: "&amp;$Z518&amp;" due "&amp;TEXT($Y518,"dd-mmm")&amp;" ("&amp;(NETWORKDAYS(TODAY(),$Y518,Holidays)-1)&amp;" business day(s) left).")))))</f>
        <v/>
      </c>
      <c r="V518" s="17">
        <f>IF($W518="","",CHOOSE($W518,"Collection Email","1st Follow-up","2nd Follow-up","Local Office","CBE","Roxanne")&amp;IF($W518=6," - Final"," - Day "&amp;MAX(0,NETWORKDAYS($X518,TODAY(),Holidays)-1)&amp;" of "&amp;CHOOSE($W518,3,3,2,2,3))&amp;" | Total Day "&amp;MAX(0,NETWORKDAYS($L518,TODAY(),Holidays)-1))</f>
        <v/>
      </c>
      <c r="W518" s="17">
        <f>IF($L518="","",COUNT($L518:$Q518))</f>
        <v/>
      </c>
      <c r="X518" s="18">
        <f>IF($W518="","",INT(INDEX($L518:$Q518,$W518)))</f>
        <v/>
      </c>
      <c r="Y518" s="18">
        <f>IF(OR($W518="",$W518=6),"",WORKDAY($X518,CHOOSE($W518,3,3,2,2,3),Holidays))</f>
        <v/>
      </c>
      <c r="Z518" s="17">
        <f>IF(OR($W518="",$W518=6),"",CHOOSE($W518,"1st Email Follow-up","2nd Email Follow-up","Escalate Local Office","Escalate to CBE","Escalate to Roxanne"))</f>
        <v/>
      </c>
    </row>
    <row r="519" spans="18:26">
      <c r="R519" s="15"/>
      <c r="S519" s="16"/>
      <c r="T519" s="17">
        <f>IF(AND(COUNTA($A519:$K519)=0,$L519=""),"",IF($S519="Paid","PAID",IF($S519="Closed","CLOSED",IF($W519="","",IF($W519=6,"ESCALATED TO ROXANNE",IF(TODAY()&gt;$Y519,"OVERDUE",IF($Y519&lt;=WORKDAY(TODAY(),1,Holidays),"DUE TOMORROW",IF($W519=4,"ESCALATED TO LOCAL OFFICE",IF($W519=5,"ESCALATED TO CBE",IF($X519=TODAY(),"EMAIL SENT","MONITORING"))))))))))</f>
        <v/>
      </c>
      <c r="U519" s="17">
        <f>IF($T519="",IF(AND(COUNTA($A519:$K519)&gt;0,$L519=""),"Awaiting Collection Email time stamp.",""),IF(OR($T519="PAID",$T519="CLOSED"),IF($T519="PAID","Account paid. Action completed.","Account closed. No further action required."),CHOOSE($W519,"Collection Email","1st Email Follow-up","2nd Email Follow-up","Escalation to Local Office","Escalation to CBE","Escalation to Roxanne")&amp;" sent "&amp;TEXT($X519,"dd-mmm")&amp;". "&amp;IF($W519=6,"Final escalation completed.",IF($T519="OVERDUE","Next: "&amp;$Z519&amp;" was due "&amp;TEXT($Y519,"dd-mmm")&amp;" - "&amp;(NETWORKDAYS($Y519,TODAY(),Holidays)-1)&amp;" business day(s) late. Send now.",IF($T519="DUE TOMORROW","Next: "&amp;$Z519&amp;IF($Y519&lt;=TODAY()," is due TODAY ("," is due next business day (")&amp;TEXT($Y519,"dd-mmm")&amp;").","Next: "&amp;$Z519&amp;" due "&amp;TEXT($Y519,"dd-mmm")&amp;" ("&amp;(NETWORKDAYS(TODAY(),$Y519,Holidays)-1)&amp;" business day(s) left).")))))</f>
        <v/>
      </c>
      <c r="V519" s="17">
        <f>IF($W519="","",CHOOSE($W519,"Collection Email","1st Follow-up","2nd Follow-up","Local Office","CBE","Roxanne")&amp;IF($W519=6," - Final"," - Day "&amp;MAX(0,NETWORKDAYS($X519,TODAY(),Holidays)-1)&amp;" of "&amp;CHOOSE($W519,3,3,2,2,3))&amp;" | Total Day "&amp;MAX(0,NETWORKDAYS($L519,TODAY(),Holidays)-1))</f>
        <v/>
      </c>
      <c r="W519" s="17">
        <f>IF($L519="","",COUNT($L519:$Q519))</f>
        <v/>
      </c>
      <c r="X519" s="18">
        <f>IF($W519="","",INT(INDEX($L519:$Q519,$W519)))</f>
        <v/>
      </c>
      <c r="Y519" s="18">
        <f>IF(OR($W519="",$W519=6),"",WORKDAY($X519,CHOOSE($W519,3,3,2,2,3),Holidays))</f>
        <v/>
      </c>
      <c r="Z519" s="17">
        <f>IF(OR($W519="",$W519=6),"",CHOOSE($W519,"1st Email Follow-up","2nd Email Follow-up","Escalate Local Office","Escalate to CBE","Escalate to Roxanne"))</f>
        <v/>
      </c>
    </row>
    <row r="520" spans="18:26">
      <c r="R520" s="15"/>
      <c r="S520" s="16"/>
      <c r="T520" s="17">
        <f>IF(AND(COUNTA($A520:$K520)=0,$L520=""),"",IF($S520="Paid","PAID",IF($S520="Closed","CLOSED",IF($W520="","",IF($W520=6,"ESCALATED TO ROXANNE",IF(TODAY()&gt;$Y520,"OVERDUE",IF($Y520&lt;=WORKDAY(TODAY(),1,Holidays),"DUE TOMORROW",IF($W520=4,"ESCALATED TO LOCAL OFFICE",IF($W520=5,"ESCALATED TO CBE",IF($X520=TODAY(),"EMAIL SENT","MONITORING"))))))))))</f>
        <v/>
      </c>
      <c r="U520" s="17">
        <f>IF($T520="",IF(AND(COUNTA($A520:$K520)&gt;0,$L520=""),"Awaiting Collection Email time stamp.",""),IF(OR($T520="PAID",$T520="CLOSED"),IF($T520="PAID","Account paid. Action completed.","Account closed. No further action required."),CHOOSE($W520,"Collection Email","1st Email Follow-up","2nd Email Follow-up","Escalation to Local Office","Escalation to CBE","Escalation to Roxanne")&amp;" sent "&amp;TEXT($X520,"dd-mmm")&amp;". "&amp;IF($W520=6,"Final escalation completed.",IF($T520="OVERDUE","Next: "&amp;$Z520&amp;" was due "&amp;TEXT($Y520,"dd-mmm")&amp;" - "&amp;(NETWORKDAYS($Y520,TODAY(),Holidays)-1)&amp;" business day(s) late. Send now.",IF($T520="DUE TOMORROW","Next: "&amp;$Z520&amp;IF($Y520&lt;=TODAY()," is due TODAY ("," is due next business day (")&amp;TEXT($Y520,"dd-mmm")&amp;").","Next: "&amp;$Z520&amp;" due "&amp;TEXT($Y520,"dd-mmm")&amp;" ("&amp;(NETWORKDAYS(TODAY(),$Y520,Holidays)-1)&amp;" business day(s) left).")))))</f>
        <v/>
      </c>
      <c r="V520" s="17">
        <f>IF($W520="","",CHOOSE($W520,"Collection Email","1st Follow-up","2nd Follow-up","Local Office","CBE","Roxanne")&amp;IF($W520=6," - Final"," - Day "&amp;MAX(0,NETWORKDAYS($X520,TODAY(),Holidays)-1)&amp;" of "&amp;CHOOSE($W520,3,3,2,2,3))&amp;" | Total Day "&amp;MAX(0,NETWORKDAYS($L520,TODAY(),Holidays)-1))</f>
        <v/>
      </c>
      <c r="W520" s="17">
        <f>IF($L520="","",COUNT($L520:$Q520))</f>
        <v/>
      </c>
      <c r="X520" s="18">
        <f>IF($W520="","",INT(INDEX($L520:$Q520,$W520)))</f>
        <v/>
      </c>
      <c r="Y520" s="18">
        <f>IF(OR($W520="",$W520=6),"",WORKDAY($X520,CHOOSE($W520,3,3,2,2,3),Holidays))</f>
        <v/>
      </c>
      <c r="Z520" s="17">
        <f>IF(OR($W520="",$W520=6),"",CHOOSE($W520,"1st Email Follow-up","2nd Email Follow-up","Escalate Local Office","Escalate to CBE","Escalate to Roxanne"))</f>
        <v/>
      </c>
    </row>
    <row r="521" spans="18:26">
      <c r="R521" s="15"/>
      <c r="S521" s="16"/>
      <c r="T521" s="17">
        <f>IF(AND(COUNTA($A521:$K521)=0,$L521=""),"",IF($S521="Paid","PAID",IF($S521="Closed","CLOSED",IF($W521="","",IF($W521=6,"ESCALATED TO ROXANNE",IF(TODAY()&gt;$Y521,"OVERDUE",IF($Y521&lt;=WORKDAY(TODAY(),1,Holidays),"DUE TOMORROW",IF($W521=4,"ESCALATED TO LOCAL OFFICE",IF($W521=5,"ESCALATED TO CBE",IF($X521=TODAY(),"EMAIL SENT","MONITORING"))))))))))</f>
        <v/>
      </c>
      <c r="U521" s="17">
        <f>IF($T521="",IF(AND(COUNTA($A521:$K521)&gt;0,$L521=""),"Awaiting Collection Email time stamp.",""),IF(OR($T521="PAID",$T521="CLOSED"),IF($T521="PAID","Account paid. Action completed.","Account closed. No further action required."),CHOOSE($W521,"Collection Email","1st Email Follow-up","2nd Email Follow-up","Escalation to Local Office","Escalation to CBE","Escalation to Roxanne")&amp;" sent "&amp;TEXT($X521,"dd-mmm")&amp;". "&amp;IF($W521=6,"Final escalation completed.",IF($T521="OVERDUE","Next: "&amp;$Z521&amp;" was due "&amp;TEXT($Y521,"dd-mmm")&amp;" - "&amp;(NETWORKDAYS($Y521,TODAY(),Holidays)-1)&amp;" business day(s) late. Send now.",IF($T521="DUE TOMORROW","Next: "&amp;$Z521&amp;IF($Y521&lt;=TODAY()," is due TODAY ("," is due next business day (")&amp;TEXT($Y521,"dd-mmm")&amp;").","Next: "&amp;$Z521&amp;" due "&amp;TEXT($Y521,"dd-mmm")&amp;" ("&amp;(NETWORKDAYS(TODAY(),$Y521,Holidays)-1)&amp;" business day(s) left).")))))</f>
        <v/>
      </c>
      <c r="V521" s="17">
        <f>IF($W521="","",CHOOSE($W521,"Collection Email","1st Follow-up","2nd Follow-up","Local Office","CBE","Roxanne")&amp;IF($W521=6," - Final"," - Day "&amp;MAX(0,NETWORKDAYS($X521,TODAY(),Holidays)-1)&amp;" of "&amp;CHOOSE($W521,3,3,2,2,3))&amp;" | Total Day "&amp;MAX(0,NETWORKDAYS($L521,TODAY(),Holidays)-1))</f>
        <v/>
      </c>
      <c r="W521" s="17">
        <f>IF($L521="","",COUNT($L521:$Q521))</f>
        <v/>
      </c>
      <c r="X521" s="18">
        <f>IF($W521="","",INT(INDEX($L521:$Q521,$W521)))</f>
        <v/>
      </c>
      <c r="Y521" s="18">
        <f>IF(OR($W521="",$W521=6),"",WORKDAY($X521,CHOOSE($W521,3,3,2,2,3),Holidays))</f>
        <v/>
      </c>
      <c r="Z521" s="17">
        <f>IF(OR($W521="",$W521=6),"",CHOOSE($W521,"1st Email Follow-up","2nd Email Follow-up","Escalate Local Office","Escalate to CBE","Escalate to Roxanne"))</f>
        <v/>
      </c>
    </row>
    <row r="522" spans="18:26">
      <c r="R522" s="15"/>
      <c r="S522" s="16"/>
      <c r="T522" s="17">
        <f>IF(AND(COUNTA($A522:$K522)=0,$L522=""),"",IF($S522="Paid","PAID",IF($S522="Closed","CLOSED",IF($W522="","",IF($W522=6,"ESCALATED TO ROXANNE",IF(TODAY()&gt;$Y522,"OVERDUE",IF($Y522&lt;=WORKDAY(TODAY(),1,Holidays),"DUE TOMORROW",IF($W522=4,"ESCALATED TO LOCAL OFFICE",IF($W522=5,"ESCALATED TO CBE",IF($X522=TODAY(),"EMAIL SENT","MONITORING"))))))))))</f>
        <v/>
      </c>
      <c r="U522" s="17">
        <f>IF($T522="",IF(AND(COUNTA($A522:$K522)&gt;0,$L522=""),"Awaiting Collection Email time stamp.",""),IF(OR($T522="PAID",$T522="CLOSED"),IF($T522="PAID","Account paid. Action completed.","Account closed. No further action required."),CHOOSE($W522,"Collection Email","1st Email Follow-up","2nd Email Follow-up","Escalation to Local Office","Escalation to CBE","Escalation to Roxanne")&amp;" sent "&amp;TEXT($X522,"dd-mmm")&amp;". "&amp;IF($W522=6,"Final escalation completed.",IF($T522="OVERDUE","Next: "&amp;$Z522&amp;" was due "&amp;TEXT($Y522,"dd-mmm")&amp;" - "&amp;(NETWORKDAYS($Y522,TODAY(),Holidays)-1)&amp;" business day(s) late. Send now.",IF($T522="DUE TOMORROW","Next: "&amp;$Z522&amp;IF($Y522&lt;=TODAY()," is due TODAY ("," is due next business day (")&amp;TEXT($Y522,"dd-mmm")&amp;").","Next: "&amp;$Z522&amp;" due "&amp;TEXT($Y522,"dd-mmm")&amp;" ("&amp;(NETWORKDAYS(TODAY(),$Y522,Holidays)-1)&amp;" business day(s) left).")))))</f>
        <v/>
      </c>
      <c r="V522" s="17">
        <f>IF($W522="","",CHOOSE($W522,"Collection Email","1st Follow-up","2nd Follow-up","Local Office","CBE","Roxanne")&amp;IF($W522=6," - Final"," - Day "&amp;MAX(0,NETWORKDAYS($X522,TODAY(),Holidays)-1)&amp;" of "&amp;CHOOSE($W522,3,3,2,2,3))&amp;" | Total Day "&amp;MAX(0,NETWORKDAYS($L522,TODAY(),Holidays)-1))</f>
        <v/>
      </c>
      <c r="W522" s="17">
        <f>IF($L522="","",COUNT($L522:$Q522))</f>
        <v/>
      </c>
      <c r="X522" s="18">
        <f>IF($W522="","",INT(INDEX($L522:$Q522,$W522)))</f>
        <v/>
      </c>
      <c r="Y522" s="18">
        <f>IF(OR($W522="",$W522=6),"",WORKDAY($X522,CHOOSE($W522,3,3,2,2,3),Holidays))</f>
        <v/>
      </c>
      <c r="Z522" s="17">
        <f>IF(OR($W522="",$W522=6),"",CHOOSE($W522,"1st Email Follow-up","2nd Email Follow-up","Escalate Local Office","Escalate to CBE","Escalate to Roxanne"))</f>
        <v/>
      </c>
    </row>
    <row r="523" spans="18:26">
      <c r="R523" s="15"/>
      <c r="S523" s="16"/>
      <c r="T523" s="17">
        <f>IF(AND(COUNTA($A523:$K523)=0,$L523=""),"",IF($S523="Paid","PAID",IF($S523="Closed","CLOSED",IF($W523="","",IF($W523=6,"ESCALATED TO ROXANNE",IF(TODAY()&gt;$Y523,"OVERDUE",IF($Y523&lt;=WORKDAY(TODAY(),1,Holidays),"DUE TOMORROW",IF($W523=4,"ESCALATED TO LOCAL OFFICE",IF($W523=5,"ESCALATED TO CBE",IF($X523=TODAY(),"EMAIL SENT","MONITORING"))))))))))</f>
        <v/>
      </c>
      <c r="U523" s="17">
        <f>IF($T523="",IF(AND(COUNTA($A523:$K523)&gt;0,$L523=""),"Awaiting Collection Email time stamp.",""),IF(OR($T523="PAID",$T523="CLOSED"),IF($T523="PAID","Account paid. Action completed.","Account closed. No further action required."),CHOOSE($W523,"Collection Email","1st Email Follow-up","2nd Email Follow-up","Escalation to Local Office","Escalation to CBE","Escalation to Roxanne")&amp;" sent "&amp;TEXT($X523,"dd-mmm")&amp;". "&amp;IF($W523=6,"Final escalation completed.",IF($T523="OVERDUE","Next: "&amp;$Z523&amp;" was due "&amp;TEXT($Y523,"dd-mmm")&amp;" - "&amp;(NETWORKDAYS($Y523,TODAY(),Holidays)-1)&amp;" business day(s) late. Send now.",IF($T523="DUE TOMORROW","Next: "&amp;$Z523&amp;IF($Y523&lt;=TODAY()," is due TODAY ("," is due next business day (")&amp;TEXT($Y523,"dd-mmm")&amp;").","Next: "&amp;$Z523&amp;" due "&amp;TEXT($Y523,"dd-mmm")&amp;" ("&amp;(NETWORKDAYS(TODAY(),$Y523,Holidays)-1)&amp;" business day(s) left).")))))</f>
        <v/>
      </c>
      <c r="V523" s="17">
        <f>IF($W523="","",CHOOSE($W523,"Collection Email","1st Follow-up","2nd Follow-up","Local Office","CBE","Roxanne")&amp;IF($W523=6," - Final"," - Day "&amp;MAX(0,NETWORKDAYS($X523,TODAY(),Holidays)-1)&amp;" of "&amp;CHOOSE($W523,3,3,2,2,3))&amp;" | Total Day "&amp;MAX(0,NETWORKDAYS($L523,TODAY(),Holidays)-1))</f>
        <v/>
      </c>
      <c r="W523" s="17">
        <f>IF($L523="","",COUNT($L523:$Q523))</f>
        <v/>
      </c>
      <c r="X523" s="18">
        <f>IF($W523="","",INT(INDEX($L523:$Q523,$W523)))</f>
        <v/>
      </c>
      <c r="Y523" s="18">
        <f>IF(OR($W523="",$W523=6),"",WORKDAY($X523,CHOOSE($W523,3,3,2,2,3),Holidays))</f>
        <v/>
      </c>
      <c r="Z523" s="17">
        <f>IF(OR($W523="",$W523=6),"",CHOOSE($W523,"1st Email Follow-up","2nd Email Follow-up","Escalate Local Office","Escalate to CBE","Escalate to Roxanne"))</f>
        <v/>
      </c>
    </row>
    <row r="524" spans="18:26">
      <c r="R524" s="15"/>
      <c r="S524" s="16"/>
      <c r="T524" s="17">
        <f>IF(AND(COUNTA($A524:$K524)=0,$L524=""),"",IF($S524="Paid","PAID",IF($S524="Closed","CLOSED",IF($W524="","",IF($W524=6,"ESCALATED TO ROXANNE",IF(TODAY()&gt;$Y524,"OVERDUE",IF($Y524&lt;=WORKDAY(TODAY(),1,Holidays),"DUE TOMORROW",IF($W524=4,"ESCALATED TO LOCAL OFFICE",IF($W524=5,"ESCALATED TO CBE",IF($X524=TODAY(),"EMAIL SENT","MONITORING"))))))))))</f>
        <v/>
      </c>
      <c r="U524" s="17">
        <f>IF($T524="",IF(AND(COUNTA($A524:$K524)&gt;0,$L524=""),"Awaiting Collection Email time stamp.",""),IF(OR($T524="PAID",$T524="CLOSED"),IF($T524="PAID","Account paid. Action completed.","Account closed. No further action required."),CHOOSE($W524,"Collection Email","1st Email Follow-up","2nd Email Follow-up","Escalation to Local Office","Escalation to CBE","Escalation to Roxanne")&amp;" sent "&amp;TEXT($X524,"dd-mmm")&amp;". "&amp;IF($W524=6,"Final escalation completed.",IF($T524="OVERDUE","Next: "&amp;$Z524&amp;" was due "&amp;TEXT($Y524,"dd-mmm")&amp;" - "&amp;(NETWORKDAYS($Y524,TODAY(),Holidays)-1)&amp;" business day(s) late. Send now.",IF($T524="DUE TOMORROW","Next: "&amp;$Z524&amp;IF($Y524&lt;=TODAY()," is due TODAY ("," is due next business day (")&amp;TEXT($Y524,"dd-mmm")&amp;").","Next: "&amp;$Z524&amp;" due "&amp;TEXT($Y524,"dd-mmm")&amp;" ("&amp;(NETWORKDAYS(TODAY(),$Y524,Holidays)-1)&amp;" business day(s) left).")))))</f>
        <v/>
      </c>
      <c r="V524" s="17">
        <f>IF($W524="","",CHOOSE($W524,"Collection Email","1st Follow-up","2nd Follow-up","Local Office","CBE","Roxanne")&amp;IF($W524=6," - Final"," - Day "&amp;MAX(0,NETWORKDAYS($X524,TODAY(),Holidays)-1)&amp;" of "&amp;CHOOSE($W524,3,3,2,2,3))&amp;" | Total Day "&amp;MAX(0,NETWORKDAYS($L524,TODAY(),Holidays)-1))</f>
        <v/>
      </c>
      <c r="W524" s="17">
        <f>IF($L524="","",COUNT($L524:$Q524))</f>
        <v/>
      </c>
      <c r="X524" s="18">
        <f>IF($W524="","",INT(INDEX($L524:$Q524,$W524)))</f>
        <v/>
      </c>
      <c r="Y524" s="18">
        <f>IF(OR($W524="",$W524=6),"",WORKDAY($X524,CHOOSE($W524,3,3,2,2,3),Holidays))</f>
        <v/>
      </c>
      <c r="Z524" s="17">
        <f>IF(OR($W524="",$W524=6),"",CHOOSE($W524,"1st Email Follow-up","2nd Email Follow-up","Escalate Local Office","Escalate to CBE","Escalate to Roxanne"))</f>
        <v/>
      </c>
    </row>
    <row r="525" spans="18:26">
      <c r="R525" s="15"/>
      <c r="S525" s="16"/>
      <c r="T525" s="17">
        <f>IF(AND(COUNTA($A525:$K525)=0,$L525=""),"",IF($S525="Paid","PAID",IF($S525="Closed","CLOSED",IF($W525="","",IF($W525=6,"ESCALATED TO ROXANNE",IF(TODAY()&gt;$Y525,"OVERDUE",IF($Y525&lt;=WORKDAY(TODAY(),1,Holidays),"DUE TOMORROW",IF($W525=4,"ESCALATED TO LOCAL OFFICE",IF($W525=5,"ESCALATED TO CBE",IF($X525=TODAY(),"EMAIL SENT","MONITORING"))))))))))</f>
        <v/>
      </c>
      <c r="U525" s="17">
        <f>IF($T525="",IF(AND(COUNTA($A525:$K525)&gt;0,$L525=""),"Awaiting Collection Email time stamp.",""),IF(OR($T525="PAID",$T525="CLOSED"),IF($T525="PAID","Account paid. Action completed.","Account closed. No further action required."),CHOOSE($W525,"Collection Email","1st Email Follow-up","2nd Email Follow-up","Escalation to Local Office","Escalation to CBE","Escalation to Roxanne")&amp;" sent "&amp;TEXT($X525,"dd-mmm")&amp;". "&amp;IF($W525=6,"Final escalation completed.",IF($T525="OVERDUE","Next: "&amp;$Z525&amp;" was due "&amp;TEXT($Y525,"dd-mmm")&amp;" - "&amp;(NETWORKDAYS($Y525,TODAY(),Holidays)-1)&amp;" business day(s) late. Send now.",IF($T525="DUE TOMORROW","Next: "&amp;$Z525&amp;IF($Y525&lt;=TODAY()," is due TODAY ("," is due next business day (")&amp;TEXT($Y525,"dd-mmm")&amp;").","Next: "&amp;$Z525&amp;" due "&amp;TEXT($Y525,"dd-mmm")&amp;" ("&amp;(NETWORKDAYS(TODAY(),$Y525,Holidays)-1)&amp;" business day(s) left).")))))</f>
        <v/>
      </c>
      <c r="V525" s="17">
        <f>IF($W525="","",CHOOSE($W525,"Collection Email","1st Follow-up","2nd Follow-up","Local Office","CBE","Roxanne")&amp;IF($W525=6," - Final"," - Day "&amp;MAX(0,NETWORKDAYS($X525,TODAY(),Holidays)-1)&amp;" of "&amp;CHOOSE($W525,3,3,2,2,3))&amp;" | Total Day "&amp;MAX(0,NETWORKDAYS($L525,TODAY(),Holidays)-1))</f>
        <v/>
      </c>
      <c r="W525" s="17">
        <f>IF($L525="","",COUNT($L525:$Q525))</f>
        <v/>
      </c>
      <c r="X525" s="18">
        <f>IF($W525="","",INT(INDEX($L525:$Q525,$W525)))</f>
        <v/>
      </c>
      <c r="Y525" s="18">
        <f>IF(OR($W525="",$W525=6),"",WORKDAY($X525,CHOOSE($W525,3,3,2,2,3),Holidays))</f>
        <v/>
      </c>
      <c r="Z525" s="17">
        <f>IF(OR($W525="",$W525=6),"",CHOOSE($W525,"1st Email Follow-up","2nd Email Follow-up","Escalate Local Office","Escalate to CBE","Escalate to Roxanne"))</f>
        <v/>
      </c>
    </row>
    <row r="526" spans="18:26">
      <c r="R526" s="15"/>
      <c r="S526" s="16"/>
      <c r="T526" s="17">
        <f>IF(AND(COUNTA($A526:$K526)=0,$L526=""),"",IF($S526="Paid","PAID",IF($S526="Closed","CLOSED",IF($W526="","",IF($W526=6,"ESCALATED TO ROXANNE",IF(TODAY()&gt;$Y526,"OVERDUE",IF($Y526&lt;=WORKDAY(TODAY(),1,Holidays),"DUE TOMORROW",IF($W526=4,"ESCALATED TO LOCAL OFFICE",IF($W526=5,"ESCALATED TO CBE",IF($X526=TODAY(),"EMAIL SENT","MONITORING"))))))))))</f>
        <v/>
      </c>
      <c r="U526" s="17">
        <f>IF($T526="",IF(AND(COUNTA($A526:$K526)&gt;0,$L526=""),"Awaiting Collection Email time stamp.",""),IF(OR($T526="PAID",$T526="CLOSED"),IF($T526="PAID","Account paid. Action completed.","Account closed. No further action required."),CHOOSE($W526,"Collection Email","1st Email Follow-up","2nd Email Follow-up","Escalation to Local Office","Escalation to CBE","Escalation to Roxanne")&amp;" sent "&amp;TEXT($X526,"dd-mmm")&amp;". "&amp;IF($W526=6,"Final escalation completed.",IF($T526="OVERDUE","Next: "&amp;$Z526&amp;" was due "&amp;TEXT($Y526,"dd-mmm")&amp;" - "&amp;(NETWORKDAYS($Y526,TODAY(),Holidays)-1)&amp;" business day(s) late. Send now.",IF($T526="DUE TOMORROW","Next: "&amp;$Z526&amp;IF($Y526&lt;=TODAY()," is due TODAY ("," is due next business day (")&amp;TEXT($Y526,"dd-mmm")&amp;").","Next: "&amp;$Z526&amp;" due "&amp;TEXT($Y526,"dd-mmm")&amp;" ("&amp;(NETWORKDAYS(TODAY(),$Y526,Holidays)-1)&amp;" business day(s) left).")))))</f>
        <v/>
      </c>
      <c r="V526" s="17">
        <f>IF($W526="","",CHOOSE($W526,"Collection Email","1st Follow-up","2nd Follow-up","Local Office","CBE","Roxanne")&amp;IF($W526=6," - Final"," - Day "&amp;MAX(0,NETWORKDAYS($X526,TODAY(),Holidays)-1)&amp;" of "&amp;CHOOSE($W526,3,3,2,2,3))&amp;" | Total Day "&amp;MAX(0,NETWORKDAYS($L526,TODAY(),Holidays)-1))</f>
        <v/>
      </c>
      <c r="W526" s="17">
        <f>IF($L526="","",COUNT($L526:$Q526))</f>
        <v/>
      </c>
      <c r="X526" s="18">
        <f>IF($W526="","",INT(INDEX($L526:$Q526,$W526)))</f>
        <v/>
      </c>
      <c r="Y526" s="18">
        <f>IF(OR($W526="",$W526=6),"",WORKDAY($X526,CHOOSE($W526,3,3,2,2,3),Holidays))</f>
        <v/>
      </c>
      <c r="Z526" s="17">
        <f>IF(OR($W526="",$W526=6),"",CHOOSE($W526,"1st Email Follow-up","2nd Email Follow-up","Escalate Local Office","Escalate to CBE","Escalate to Roxanne"))</f>
        <v/>
      </c>
    </row>
    <row r="527" spans="18:26">
      <c r="R527" s="15"/>
      <c r="S527" s="16"/>
      <c r="T527" s="17">
        <f>IF(AND(COUNTA($A527:$K527)=0,$L527=""),"",IF($S527="Paid","PAID",IF($S527="Closed","CLOSED",IF($W527="","",IF($W527=6,"ESCALATED TO ROXANNE",IF(TODAY()&gt;$Y527,"OVERDUE",IF($Y527&lt;=WORKDAY(TODAY(),1,Holidays),"DUE TOMORROW",IF($W527=4,"ESCALATED TO LOCAL OFFICE",IF($W527=5,"ESCALATED TO CBE",IF($X527=TODAY(),"EMAIL SENT","MONITORING"))))))))))</f>
        <v/>
      </c>
      <c r="U527" s="17">
        <f>IF($T527="",IF(AND(COUNTA($A527:$K527)&gt;0,$L527=""),"Awaiting Collection Email time stamp.",""),IF(OR($T527="PAID",$T527="CLOSED"),IF($T527="PAID","Account paid. Action completed.","Account closed. No further action required."),CHOOSE($W527,"Collection Email","1st Email Follow-up","2nd Email Follow-up","Escalation to Local Office","Escalation to CBE","Escalation to Roxanne")&amp;" sent "&amp;TEXT($X527,"dd-mmm")&amp;". "&amp;IF($W527=6,"Final escalation completed.",IF($T527="OVERDUE","Next: "&amp;$Z527&amp;" was due "&amp;TEXT($Y527,"dd-mmm")&amp;" - "&amp;(NETWORKDAYS($Y527,TODAY(),Holidays)-1)&amp;" business day(s) late. Send now.",IF($T527="DUE TOMORROW","Next: "&amp;$Z527&amp;IF($Y527&lt;=TODAY()," is due TODAY ("," is due next business day (")&amp;TEXT($Y527,"dd-mmm")&amp;").","Next: "&amp;$Z527&amp;" due "&amp;TEXT($Y527,"dd-mmm")&amp;" ("&amp;(NETWORKDAYS(TODAY(),$Y527,Holidays)-1)&amp;" business day(s) left).")))))</f>
        <v/>
      </c>
      <c r="V527" s="17">
        <f>IF($W527="","",CHOOSE($W527,"Collection Email","1st Follow-up","2nd Follow-up","Local Office","CBE","Roxanne")&amp;IF($W527=6," - Final"," - Day "&amp;MAX(0,NETWORKDAYS($X527,TODAY(),Holidays)-1)&amp;" of "&amp;CHOOSE($W527,3,3,2,2,3))&amp;" | Total Day "&amp;MAX(0,NETWORKDAYS($L527,TODAY(),Holidays)-1))</f>
        <v/>
      </c>
      <c r="W527" s="17">
        <f>IF($L527="","",COUNT($L527:$Q527))</f>
        <v/>
      </c>
      <c r="X527" s="18">
        <f>IF($W527="","",INT(INDEX($L527:$Q527,$W527)))</f>
        <v/>
      </c>
      <c r="Y527" s="18">
        <f>IF(OR($W527="",$W527=6),"",WORKDAY($X527,CHOOSE($W527,3,3,2,2,3),Holidays))</f>
        <v/>
      </c>
      <c r="Z527" s="17">
        <f>IF(OR($W527="",$W527=6),"",CHOOSE($W527,"1st Email Follow-up","2nd Email Follow-up","Escalate Local Office","Escalate to CBE","Escalate to Roxanne"))</f>
        <v/>
      </c>
    </row>
    <row r="528" spans="18:26">
      <c r="R528" s="15"/>
      <c r="S528" s="16"/>
      <c r="T528" s="17">
        <f>IF(AND(COUNTA($A528:$K528)=0,$L528=""),"",IF($S528="Paid","PAID",IF($S528="Closed","CLOSED",IF($W528="","",IF($W528=6,"ESCALATED TO ROXANNE",IF(TODAY()&gt;$Y528,"OVERDUE",IF($Y528&lt;=WORKDAY(TODAY(),1,Holidays),"DUE TOMORROW",IF($W528=4,"ESCALATED TO LOCAL OFFICE",IF($W528=5,"ESCALATED TO CBE",IF($X528=TODAY(),"EMAIL SENT","MONITORING"))))))))))</f>
        <v/>
      </c>
      <c r="U528" s="17">
        <f>IF($T528="",IF(AND(COUNTA($A528:$K528)&gt;0,$L528=""),"Awaiting Collection Email time stamp.",""),IF(OR($T528="PAID",$T528="CLOSED"),IF($T528="PAID","Account paid. Action completed.","Account closed. No further action required."),CHOOSE($W528,"Collection Email","1st Email Follow-up","2nd Email Follow-up","Escalation to Local Office","Escalation to CBE","Escalation to Roxanne")&amp;" sent "&amp;TEXT($X528,"dd-mmm")&amp;". "&amp;IF($W528=6,"Final escalation completed.",IF($T528="OVERDUE","Next: "&amp;$Z528&amp;" was due "&amp;TEXT($Y528,"dd-mmm")&amp;" - "&amp;(NETWORKDAYS($Y528,TODAY(),Holidays)-1)&amp;" business day(s) late. Send now.",IF($T528="DUE TOMORROW","Next: "&amp;$Z528&amp;IF($Y528&lt;=TODAY()," is due TODAY ("," is due next business day (")&amp;TEXT($Y528,"dd-mmm")&amp;").","Next: "&amp;$Z528&amp;" due "&amp;TEXT($Y528,"dd-mmm")&amp;" ("&amp;(NETWORKDAYS(TODAY(),$Y528,Holidays)-1)&amp;" business day(s) left).")))))</f>
        <v/>
      </c>
      <c r="V528" s="17">
        <f>IF($W528="","",CHOOSE($W528,"Collection Email","1st Follow-up","2nd Follow-up","Local Office","CBE","Roxanne")&amp;IF($W528=6," - Final"," - Day "&amp;MAX(0,NETWORKDAYS($X528,TODAY(),Holidays)-1)&amp;" of "&amp;CHOOSE($W528,3,3,2,2,3))&amp;" | Total Day "&amp;MAX(0,NETWORKDAYS($L528,TODAY(),Holidays)-1))</f>
        <v/>
      </c>
      <c r="W528" s="17">
        <f>IF($L528="","",COUNT($L528:$Q528))</f>
        <v/>
      </c>
      <c r="X528" s="18">
        <f>IF($W528="","",INT(INDEX($L528:$Q528,$W528)))</f>
        <v/>
      </c>
      <c r="Y528" s="18">
        <f>IF(OR($W528="",$W528=6),"",WORKDAY($X528,CHOOSE($W528,3,3,2,2,3),Holidays))</f>
        <v/>
      </c>
      <c r="Z528" s="17">
        <f>IF(OR($W528="",$W528=6),"",CHOOSE($W528,"1st Email Follow-up","2nd Email Follow-up","Escalate Local Office","Escalate to CBE","Escalate to Roxanne"))</f>
        <v/>
      </c>
    </row>
    <row r="529" spans="18:26">
      <c r="R529" s="15"/>
      <c r="S529" s="16"/>
      <c r="T529" s="17">
        <f>IF(AND(COUNTA($A529:$K529)=0,$L529=""),"",IF($S529="Paid","PAID",IF($S529="Closed","CLOSED",IF($W529="","",IF($W529=6,"ESCALATED TO ROXANNE",IF(TODAY()&gt;$Y529,"OVERDUE",IF($Y529&lt;=WORKDAY(TODAY(),1,Holidays),"DUE TOMORROW",IF($W529=4,"ESCALATED TO LOCAL OFFICE",IF($W529=5,"ESCALATED TO CBE",IF($X529=TODAY(),"EMAIL SENT","MONITORING"))))))))))</f>
        <v/>
      </c>
      <c r="U529" s="17">
        <f>IF($T529="",IF(AND(COUNTA($A529:$K529)&gt;0,$L529=""),"Awaiting Collection Email time stamp.",""),IF(OR($T529="PAID",$T529="CLOSED"),IF($T529="PAID","Account paid. Action completed.","Account closed. No further action required."),CHOOSE($W529,"Collection Email","1st Email Follow-up","2nd Email Follow-up","Escalation to Local Office","Escalation to CBE","Escalation to Roxanne")&amp;" sent "&amp;TEXT($X529,"dd-mmm")&amp;". "&amp;IF($W529=6,"Final escalation completed.",IF($T529="OVERDUE","Next: "&amp;$Z529&amp;" was due "&amp;TEXT($Y529,"dd-mmm")&amp;" - "&amp;(NETWORKDAYS($Y529,TODAY(),Holidays)-1)&amp;" business day(s) late. Send now.",IF($T529="DUE TOMORROW","Next: "&amp;$Z529&amp;IF($Y529&lt;=TODAY()," is due TODAY ("," is due next business day (")&amp;TEXT($Y529,"dd-mmm")&amp;").","Next: "&amp;$Z529&amp;" due "&amp;TEXT($Y529,"dd-mmm")&amp;" ("&amp;(NETWORKDAYS(TODAY(),$Y529,Holidays)-1)&amp;" business day(s) left).")))))</f>
        <v/>
      </c>
      <c r="V529" s="17">
        <f>IF($W529="","",CHOOSE($W529,"Collection Email","1st Follow-up","2nd Follow-up","Local Office","CBE","Roxanne")&amp;IF($W529=6," - Final"," - Day "&amp;MAX(0,NETWORKDAYS($X529,TODAY(),Holidays)-1)&amp;" of "&amp;CHOOSE($W529,3,3,2,2,3))&amp;" | Total Day "&amp;MAX(0,NETWORKDAYS($L529,TODAY(),Holidays)-1))</f>
        <v/>
      </c>
      <c r="W529" s="17">
        <f>IF($L529="","",COUNT($L529:$Q529))</f>
        <v/>
      </c>
      <c r="X529" s="18">
        <f>IF($W529="","",INT(INDEX($L529:$Q529,$W529)))</f>
        <v/>
      </c>
      <c r="Y529" s="18">
        <f>IF(OR($W529="",$W529=6),"",WORKDAY($X529,CHOOSE($W529,3,3,2,2,3),Holidays))</f>
        <v/>
      </c>
      <c r="Z529" s="17">
        <f>IF(OR($W529="",$W529=6),"",CHOOSE($W529,"1st Email Follow-up","2nd Email Follow-up","Escalate Local Office","Escalate to CBE","Escalate to Roxanne"))</f>
        <v/>
      </c>
    </row>
    <row r="530" spans="18:26">
      <c r="R530" s="15"/>
      <c r="S530" s="16"/>
      <c r="T530" s="17">
        <f>IF(AND(COUNTA($A530:$K530)=0,$L530=""),"",IF($S530="Paid","PAID",IF($S530="Closed","CLOSED",IF($W530="","",IF($W530=6,"ESCALATED TO ROXANNE",IF(TODAY()&gt;$Y530,"OVERDUE",IF($Y530&lt;=WORKDAY(TODAY(),1,Holidays),"DUE TOMORROW",IF($W530=4,"ESCALATED TO LOCAL OFFICE",IF($W530=5,"ESCALATED TO CBE",IF($X530=TODAY(),"EMAIL SENT","MONITORING"))))))))))</f>
        <v/>
      </c>
      <c r="U530" s="17">
        <f>IF($T530="",IF(AND(COUNTA($A530:$K530)&gt;0,$L530=""),"Awaiting Collection Email time stamp.",""),IF(OR($T530="PAID",$T530="CLOSED"),IF($T530="PAID","Account paid. Action completed.","Account closed. No further action required."),CHOOSE($W530,"Collection Email","1st Email Follow-up","2nd Email Follow-up","Escalation to Local Office","Escalation to CBE","Escalation to Roxanne")&amp;" sent "&amp;TEXT($X530,"dd-mmm")&amp;". "&amp;IF($W530=6,"Final escalation completed.",IF($T530="OVERDUE","Next: "&amp;$Z530&amp;" was due "&amp;TEXT($Y530,"dd-mmm")&amp;" - "&amp;(NETWORKDAYS($Y530,TODAY(),Holidays)-1)&amp;" business day(s) late. Send now.",IF($T530="DUE TOMORROW","Next: "&amp;$Z530&amp;IF($Y530&lt;=TODAY()," is due TODAY ("," is due next business day (")&amp;TEXT($Y530,"dd-mmm")&amp;").","Next: "&amp;$Z530&amp;" due "&amp;TEXT($Y530,"dd-mmm")&amp;" ("&amp;(NETWORKDAYS(TODAY(),$Y530,Holidays)-1)&amp;" business day(s) left).")))))</f>
        <v/>
      </c>
      <c r="V530" s="17">
        <f>IF($W530="","",CHOOSE($W530,"Collection Email","1st Follow-up","2nd Follow-up","Local Office","CBE","Roxanne")&amp;IF($W530=6," - Final"," - Day "&amp;MAX(0,NETWORKDAYS($X530,TODAY(),Holidays)-1)&amp;" of "&amp;CHOOSE($W530,3,3,2,2,3))&amp;" | Total Day "&amp;MAX(0,NETWORKDAYS($L530,TODAY(),Holidays)-1))</f>
        <v/>
      </c>
      <c r="W530" s="17">
        <f>IF($L530="","",COUNT($L530:$Q530))</f>
        <v/>
      </c>
      <c r="X530" s="18">
        <f>IF($W530="","",INT(INDEX($L530:$Q530,$W530)))</f>
        <v/>
      </c>
      <c r="Y530" s="18">
        <f>IF(OR($W530="",$W530=6),"",WORKDAY($X530,CHOOSE($W530,3,3,2,2,3),Holidays))</f>
        <v/>
      </c>
      <c r="Z530" s="17">
        <f>IF(OR($W530="",$W530=6),"",CHOOSE($W530,"1st Email Follow-up","2nd Email Follow-up","Escalate Local Office","Escalate to CBE","Escalate to Roxanne"))</f>
        <v/>
      </c>
    </row>
    <row r="531" spans="18:26">
      <c r="R531" s="15"/>
      <c r="S531" s="16"/>
      <c r="T531" s="17">
        <f>IF(AND(COUNTA($A531:$K531)=0,$L531=""),"",IF($S531="Paid","PAID",IF($S531="Closed","CLOSED",IF($W531="","",IF($W531=6,"ESCALATED TO ROXANNE",IF(TODAY()&gt;$Y531,"OVERDUE",IF($Y531&lt;=WORKDAY(TODAY(),1,Holidays),"DUE TOMORROW",IF($W531=4,"ESCALATED TO LOCAL OFFICE",IF($W531=5,"ESCALATED TO CBE",IF($X531=TODAY(),"EMAIL SENT","MONITORING"))))))))))</f>
        <v/>
      </c>
      <c r="U531" s="17">
        <f>IF($T531="",IF(AND(COUNTA($A531:$K531)&gt;0,$L531=""),"Awaiting Collection Email time stamp.",""),IF(OR($T531="PAID",$T531="CLOSED"),IF($T531="PAID","Account paid. Action completed.","Account closed. No further action required."),CHOOSE($W531,"Collection Email","1st Email Follow-up","2nd Email Follow-up","Escalation to Local Office","Escalation to CBE","Escalation to Roxanne")&amp;" sent "&amp;TEXT($X531,"dd-mmm")&amp;". "&amp;IF($W531=6,"Final escalation completed.",IF($T531="OVERDUE","Next: "&amp;$Z531&amp;" was due "&amp;TEXT($Y531,"dd-mmm")&amp;" - "&amp;(NETWORKDAYS($Y531,TODAY(),Holidays)-1)&amp;" business day(s) late. Send now.",IF($T531="DUE TOMORROW","Next: "&amp;$Z531&amp;IF($Y531&lt;=TODAY()," is due TODAY ("," is due next business day (")&amp;TEXT($Y531,"dd-mmm")&amp;").","Next: "&amp;$Z531&amp;" due "&amp;TEXT($Y531,"dd-mmm")&amp;" ("&amp;(NETWORKDAYS(TODAY(),$Y531,Holidays)-1)&amp;" business day(s) left).")))))</f>
        <v/>
      </c>
      <c r="V531" s="17">
        <f>IF($W531="","",CHOOSE($W531,"Collection Email","1st Follow-up","2nd Follow-up","Local Office","CBE","Roxanne")&amp;IF($W531=6," - Final"," - Day "&amp;MAX(0,NETWORKDAYS($X531,TODAY(),Holidays)-1)&amp;" of "&amp;CHOOSE($W531,3,3,2,2,3))&amp;" | Total Day "&amp;MAX(0,NETWORKDAYS($L531,TODAY(),Holidays)-1))</f>
        <v/>
      </c>
      <c r="W531" s="17">
        <f>IF($L531="","",COUNT($L531:$Q531))</f>
        <v/>
      </c>
      <c r="X531" s="18">
        <f>IF($W531="","",INT(INDEX($L531:$Q531,$W531)))</f>
        <v/>
      </c>
      <c r="Y531" s="18">
        <f>IF(OR($W531="",$W531=6),"",WORKDAY($X531,CHOOSE($W531,3,3,2,2,3),Holidays))</f>
        <v/>
      </c>
      <c r="Z531" s="17">
        <f>IF(OR($W531="",$W531=6),"",CHOOSE($W531,"1st Email Follow-up","2nd Email Follow-up","Escalate Local Office","Escalate to CBE","Escalate to Roxanne"))</f>
        <v/>
      </c>
    </row>
    <row r="532" spans="18:26">
      <c r="R532" s="15"/>
      <c r="S532" s="16"/>
      <c r="T532" s="17">
        <f>IF(AND(COUNTA($A532:$K532)=0,$L532=""),"",IF($S532="Paid","PAID",IF($S532="Closed","CLOSED",IF($W532="","",IF($W532=6,"ESCALATED TO ROXANNE",IF(TODAY()&gt;$Y532,"OVERDUE",IF($Y532&lt;=WORKDAY(TODAY(),1,Holidays),"DUE TOMORROW",IF($W532=4,"ESCALATED TO LOCAL OFFICE",IF($W532=5,"ESCALATED TO CBE",IF($X532=TODAY(),"EMAIL SENT","MONITORING"))))))))))</f>
        <v/>
      </c>
      <c r="U532" s="17">
        <f>IF($T532="",IF(AND(COUNTA($A532:$K532)&gt;0,$L532=""),"Awaiting Collection Email time stamp.",""),IF(OR($T532="PAID",$T532="CLOSED"),IF($T532="PAID","Account paid. Action completed.","Account closed. No further action required."),CHOOSE($W532,"Collection Email","1st Email Follow-up","2nd Email Follow-up","Escalation to Local Office","Escalation to CBE","Escalation to Roxanne")&amp;" sent "&amp;TEXT($X532,"dd-mmm")&amp;". "&amp;IF($W532=6,"Final escalation completed.",IF($T532="OVERDUE","Next: "&amp;$Z532&amp;" was due "&amp;TEXT($Y532,"dd-mmm")&amp;" - "&amp;(NETWORKDAYS($Y532,TODAY(),Holidays)-1)&amp;" business day(s) late. Send now.",IF($T532="DUE TOMORROW","Next: "&amp;$Z532&amp;IF($Y532&lt;=TODAY()," is due TODAY ("," is due next business day (")&amp;TEXT($Y532,"dd-mmm")&amp;").","Next: "&amp;$Z532&amp;" due "&amp;TEXT($Y532,"dd-mmm")&amp;" ("&amp;(NETWORKDAYS(TODAY(),$Y532,Holidays)-1)&amp;" business day(s) left).")))))</f>
        <v/>
      </c>
      <c r="V532" s="17">
        <f>IF($W532="","",CHOOSE($W532,"Collection Email","1st Follow-up","2nd Follow-up","Local Office","CBE","Roxanne")&amp;IF($W532=6," - Final"," - Day "&amp;MAX(0,NETWORKDAYS($X532,TODAY(),Holidays)-1)&amp;" of "&amp;CHOOSE($W532,3,3,2,2,3))&amp;" | Total Day "&amp;MAX(0,NETWORKDAYS($L532,TODAY(),Holidays)-1))</f>
        <v/>
      </c>
      <c r="W532" s="17">
        <f>IF($L532="","",COUNT($L532:$Q532))</f>
        <v/>
      </c>
      <c r="X532" s="18">
        <f>IF($W532="","",INT(INDEX($L532:$Q532,$W532)))</f>
        <v/>
      </c>
      <c r="Y532" s="18">
        <f>IF(OR($W532="",$W532=6),"",WORKDAY($X532,CHOOSE($W532,3,3,2,2,3),Holidays))</f>
        <v/>
      </c>
      <c r="Z532" s="17">
        <f>IF(OR($W532="",$W532=6),"",CHOOSE($W532,"1st Email Follow-up","2nd Email Follow-up","Escalate Local Office","Escalate to CBE","Escalate to Roxanne"))</f>
        <v/>
      </c>
    </row>
    <row r="533" spans="18:26">
      <c r="R533" s="15"/>
      <c r="S533" s="16"/>
      <c r="T533" s="17">
        <f>IF(AND(COUNTA($A533:$K533)=0,$L533=""),"",IF($S533="Paid","PAID",IF($S533="Closed","CLOSED",IF($W533="","",IF($W533=6,"ESCALATED TO ROXANNE",IF(TODAY()&gt;$Y533,"OVERDUE",IF($Y533&lt;=WORKDAY(TODAY(),1,Holidays),"DUE TOMORROW",IF($W533=4,"ESCALATED TO LOCAL OFFICE",IF($W533=5,"ESCALATED TO CBE",IF($X533=TODAY(),"EMAIL SENT","MONITORING"))))))))))</f>
        <v/>
      </c>
      <c r="U533" s="17">
        <f>IF($T533="",IF(AND(COUNTA($A533:$K533)&gt;0,$L533=""),"Awaiting Collection Email time stamp.",""),IF(OR($T533="PAID",$T533="CLOSED"),IF($T533="PAID","Account paid. Action completed.","Account closed. No further action required."),CHOOSE($W533,"Collection Email","1st Email Follow-up","2nd Email Follow-up","Escalation to Local Office","Escalation to CBE","Escalation to Roxanne")&amp;" sent "&amp;TEXT($X533,"dd-mmm")&amp;". "&amp;IF($W533=6,"Final escalation completed.",IF($T533="OVERDUE","Next: "&amp;$Z533&amp;" was due "&amp;TEXT($Y533,"dd-mmm")&amp;" - "&amp;(NETWORKDAYS($Y533,TODAY(),Holidays)-1)&amp;" business day(s) late. Send now.",IF($T533="DUE TOMORROW","Next: "&amp;$Z533&amp;IF($Y533&lt;=TODAY()," is due TODAY ("," is due next business day (")&amp;TEXT($Y533,"dd-mmm")&amp;").","Next: "&amp;$Z533&amp;" due "&amp;TEXT($Y533,"dd-mmm")&amp;" ("&amp;(NETWORKDAYS(TODAY(),$Y533,Holidays)-1)&amp;" business day(s) left).")))))</f>
        <v/>
      </c>
      <c r="V533" s="17">
        <f>IF($W533="","",CHOOSE($W533,"Collection Email","1st Follow-up","2nd Follow-up","Local Office","CBE","Roxanne")&amp;IF($W533=6," - Final"," - Day "&amp;MAX(0,NETWORKDAYS($X533,TODAY(),Holidays)-1)&amp;" of "&amp;CHOOSE($W533,3,3,2,2,3))&amp;" | Total Day "&amp;MAX(0,NETWORKDAYS($L533,TODAY(),Holidays)-1))</f>
        <v/>
      </c>
      <c r="W533" s="17">
        <f>IF($L533="","",COUNT($L533:$Q533))</f>
        <v/>
      </c>
      <c r="X533" s="18">
        <f>IF($W533="","",INT(INDEX($L533:$Q533,$W533)))</f>
        <v/>
      </c>
      <c r="Y533" s="18">
        <f>IF(OR($W533="",$W533=6),"",WORKDAY($X533,CHOOSE($W533,3,3,2,2,3),Holidays))</f>
        <v/>
      </c>
      <c r="Z533" s="17">
        <f>IF(OR($W533="",$W533=6),"",CHOOSE($W533,"1st Email Follow-up","2nd Email Follow-up","Escalate Local Office","Escalate to CBE","Escalate to Roxanne"))</f>
        <v/>
      </c>
    </row>
    <row r="534" spans="18:26">
      <c r="R534" s="15"/>
      <c r="S534" s="16"/>
      <c r="T534" s="17">
        <f>IF(AND(COUNTA($A534:$K534)=0,$L534=""),"",IF($S534="Paid","PAID",IF($S534="Closed","CLOSED",IF($W534="","",IF($W534=6,"ESCALATED TO ROXANNE",IF(TODAY()&gt;$Y534,"OVERDUE",IF($Y534&lt;=WORKDAY(TODAY(),1,Holidays),"DUE TOMORROW",IF($W534=4,"ESCALATED TO LOCAL OFFICE",IF($W534=5,"ESCALATED TO CBE",IF($X534=TODAY(),"EMAIL SENT","MONITORING"))))))))))</f>
        <v/>
      </c>
      <c r="U534" s="17">
        <f>IF($T534="",IF(AND(COUNTA($A534:$K534)&gt;0,$L534=""),"Awaiting Collection Email time stamp.",""),IF(OR($T534="PAID",$T534="CLOSED"),IF($T534="PAID","Account paid. Action completed.","Account closed. No further action required."),CHOOSE($W534,"Collection Email","1st Email Follow-up","2nd Email Follow-up","Escalation to Local Office","Escalation to CBE","Escalation to Roxanne")&amp;" sent "&amp;TEXT($X534,"dd-mmm")&amp;". "&amp;IF($W534=6,"Final escalation completed.",IF($T534="OVERDUE","Next: "&amp;$Z534&amp;" was due "&amp;TEXT($Y534,"dd-mmm")&amp;" - "&amp;(NETWORKDAYS($Y534,TODAY(),Holidays)-1)&amp;" business day(s) late. Send now.",IF($T534="DUE TOMORROW","Next: "&amp;$Z534&amp;IF($Y534&lt;=TODAY()," is due TODAY ("," is due next business day (")&amp;TEXT($Y534,"dd-mmm")&amp;").","Next: "&amp;$Z534&amp;" due "&amp;TEXT($Y534,"dd-mmm")&amp;" ("&amp;(NETWORKDAYS(TODAY(),$Y534,Holidays)-1)&amp;" business day(s) left).")))))</f>
        <v/>
      </c>
      <c r="V534" s="17">
        <f>IF($W534="","",CHOOSE($W534,"Collection Email","1st Follow-up","2nd Follow-up","Local Office","CBE","Roxanne")&amp;IF($W534=6," - Final"," - Day "&amp;MAX(0,NETWORKDAYS($X534,TODAY(),Holidays)-1)&amp;" of "&amp;CHOOSE($W534,3,3,2,2,3))&amp;" | Total Day "&amp;MAX(0,NETWORKDAYS($L534,TODAY(),Holidays)-1))</f>
        <v/>
      </c>
      <c r="W534" s="17">
        <f>IF($L534="","",COUNT($L534:$Q534))</f>
        <v/>
      </c>
      <c r="X534" s="18">
        <f>IF($W534="","",INT(INDEX($L534:$Q534,$W534)))</f>
        <v/>
      </c>
      <c r="Y534" s="18">
        <f>IF(OR($W534="",$W534=6),"",WORKDAY($X534,CHOOSE($W534,3,3,2,2,3),Holidays))</f>
        <v/>
      </c>
      <c r="Z534" s="17">
        <f>IF(OR($W534="",$W534=6),"",CHOOSE($W534,"1st Email Follow-up","2nd Email Follow-up","Escalate Local Office","Escalate to CBE","Escalate to Roxanne"))</f>
        <v/>
      </c>
    </row>
    <row r="535" spans="18:26">
      <c r="R535" s="15"/>
      <c r="S535" s="16"/>
      <c r="T535" s="17">
        <f>IF(AND(COUNTA($A535:$K535)=0,$L535=""),"",IF($S535="Paid","PAID",IF($S535="Closed","CLOSED",IF($W535="","",IF($W535=6,"ESCALATED TO ROXANNE",IF(TODAY()&gt;$Y535,"OVERDUE",IF($Y535&lt;=WORKDAY(TODAY(),1,Holidays),"DUE TOMORROW",IF($W535=4,"ESCALATED TO LOCAL OFFICE",IF($W535=5,"ESCALATED TO CBE",IF($X535=TODAY(),"EMAIL SENT","MONITORING"))))))))))</f>
        <v/>
      </c>
      <c r="U535" s="17">
        <f>IF($T535="",IF(AND(COUNTA($A535:$K535)&gt;0,$L535=""),"Awaiting Collection Email time stamp.",""),IF(OR($T535="PAID",$T535="CLOSED"),IF($T535="PAID","Account paid. Action completed.","Account closed. No further action required."),CHOOSE($W535,"Collection Email","1st Email Follow-up","2nd Email Follow-up","Escalation to Local Office","Escalation to CBE","Escalation to Roxanne")&amp;" sent "&amp;TEXT($X535,"dd-mmm")&amp;". "&amp;IF($W535=6,"Final escalation completed.",IF($T535="OVERDUE","Next: "&amp;$Z535&amp;" was due "&amp;TEXT($Y535,"dd-mmm")&amp;" - "&amp;(NETWORKDAYS($Y535,TODAY(),Holidays)-1)&amp;" business day(s) late. Send now.",IF($T535="DUE TOMORROW","Next: "&amp;$Z535&amp;IF($Y535&lt;=TODAY()," is due TODAY ("," is due next business day (")&amp;TEXT($Y535,"dd-mmm")&amp;").","Next: "&amp;$Z535&amp;" due "&amp;TEXT($Y535,"dd-mmm")&amp;" ("&amp;(NETWORKDAYS(TODAY(),$Y535,Holidays)-1)&amp;" business day(s) left).")))))</f>
        <v/>
      </c>
      <c r="V535" s="17">
        <f>IF($W535="","",CHOOSE($W535,"Collection Email","1st Follow-up","2nd Follow-up","Local Office","CBE","Roxanne")&amp;IF($W535=6," - Final"," - Day "&amp;MAX(0,NETWORKDAYS($X535,TODAY(),Holidays)-1)&amp;" of "&amp;CHOOSE($W535,3,3,2,2,3))&amp;" | Total Day "&amp;MAX(0,NETWORKDAYS($L535,TODAY(),Holidays)-1))</f>
        <v/>
      </c>
      <c r="W535" s="17">
        <f>IF($L535="","",COUNT($L535:$Q535))</f>
        <v/>
      </c>
      <c r="X535" s="18">
        <f>IF($W535="","",INT(INDEX($L535:$Q535,$W535)))</f>
        <v/>
      </c>
      <c r="Y535" s="18">
        <f>IF(OR($W535="",$W535=6),"",WORKDAY($X535,CHOOSE($W535,3,3,2,2,3),Holidays))</f>
        <v/>
      </c>
      <c r="Z535" s="17">
        <f>IF(OR($W535="",$W535=6),"",CHOOSE($W535,"1st Email Follow-up","2nd Email Follow-up","Escalate Local Office","Escalate to CBE","Escalate to Roxanne"))</f>
        <v/>
      </c>
    </row>
    <row r="536" spans="18:26">
      <c r="R536" s="15"/>
      <c r="S536" s="16"/>
      <c r="T536" s="17">
        <f>IF(AND(COUNTA($A536:$K536)=0,$L536=""),"",IF($S536="Paid","PAID",IF($S536="Closed","CLOSED",IF($W536="","",IF($W536=6,"ESCALATED TO ROXANNE",IF(TODAY()&gt;$Y536,"OVERDUE",IF($Y536&lt;=WORKDAY(TODAY(),1,Holidays),"DUE TOMORROW",IF($W536=4,"ESCALATED TO LOCAL OFFICE",IF($W536=5,"ESCALATED TO CBE",IF($X536=TODAY(),"EMAIL SENT","MONITORING"))))))))))</f>
        <v/>
      </c>
      <c r="U536" s="17">
        <f>IF($T536="",IF(AND(COUNTA($A536:$K536)&gt;0,$L536=""),"Awaiting Collection Email time stamp.",""),IF(OR($T536="PAID",$T536="CLOSED"),IF($T536="PAID","Account paid. Action completed.","Account closed. No further action required."),CHOOSE($W536,"Collection Email","1st Email Follow-up","2nd Email Follow-up","Escalation to Local Office","Escalation to CBE","Escalation to Roxanne")&amp;" sent "&amp;TEXT($X536,"dd-mmm")&amp;". "&amp;IF($W536=6,"Final escalation completed.",IF($T536="OVERDUE","Next: "&amp;$Z536&amp;" was due "&amp;TEXT($Y536,"dd-mmm")&amp;" - "&amp;(NETWORKDAYS($Y536,TODAY(),Holidays)-1)&amp;" business day(s) late. Send now.",IF($T536="DUE TOMORROW","Next: "&amp;$Z536&amp;IF($Y536&lt;=TODAY()," is due TODAY ("," is due next business day (")&amp;TEXT($Y536,"dd-mmm")&amp;").","Next: "&amp;$Z536&amp;" due "&amp;TEXT($Y536,"dd-mmm")&amp;" ("&amp;(NETWORKDAYS(TODAY(),$Y536,Holidays)-1)&amp;" business day(s) left).")))))</f>
        <v/>
      </c>
      <c r="V536" s="17">
        <f>IF($W536="","",CHOOSE($W536,"Collection Email","1st Follow-up","2nd Follow-up","Local Office","CBE","Roxanne")&amp;IF($W536=6," - Final"," - Day "&amp;MAX(0,NETWORKDAYS($X536,TODAY(),Holidays)-1)&amp;" of "&amp;CHOOSE($W536,3,3,2,2,3))&amp;" | Total Day "&amp;MAX(0,NETWORKDAYS($L536,TODAY(),Holidays)-1))</f>
        <v/>
      </c>
      <c r="W536" s="17">
        <f>IF($L536="","",COUNT($L536:$Q536))</f>
        <v/>
      </c>
      <c r="X536" s="18">
        <f>IF($W536="","",INT(INDEX($L536:$Q536,$W536)))</f>
        <v/>
      </c>
      <c r="Y536" s="18">
        <f>IF(OR($W536="",$W536=6),"",WORKDAY($X536,CHOOSE($W536,3,3,2,2,3),Holidays))</f>
        <v/>
      </c>
      <c r="Z536" s="17">
        <f>IF(OR($W536="",$W536=6),"",CHOOSE($W536,"1st Email Follow-up","2nd Email Follow-up","Escalate Local Office","Escalate to CBE","Escalate to Roxanne"))</f>
        <v/>
      </c>
    </row>
    <row r="537" spans="18:26">
      <c r="R537" s="15"/>
      <c r="S537" s="16"/>
      <c r="T537" s="17">
        <f>IF(AND(COUNTA($A537:$K537)=0,$L537=""),"",IF($S537="Paid","PAID",IF($S537="Closed","CLOSED",IF($W537="","",IF($W537=6,"ESCALATED TO ROXANNE",IF(TODAY()&gt;$Y537,"OVERDUE",IF($Y537&lt;=WORKDAY(TODAY(),1,Holidays),"DUE TOMORROW",IF($W537=4,"ESCALATED TO LOCAL OFFICE",IF($W537=5,"ESCALATED TO CBE",IF($X537=TODAY(),"EMAIL SENT","MONITORING"))))))))))</f>
        <v/>
      </c>
      <c r="U537" s="17">
        <f>IF($T537="",IF(AND(COUNTA($A537:$K537)&gt;0,$L537=""),"Awaiting Collection Email time stamp.",""),IF(OR($T537="PAID",$T537="CLOSED"),IF($T537="PAID","Account paid. Action completed.","Account closed. No further action required."),CHOOSE($W537,"Collection Email","1st Email Follow-up","2nd Email Follow-up","Escalation to Local Office","Escalation to CBE","Escalation to Roxanne")&amp;" sent "&amp;TEXT($X537,"dd-mmm")&amp;". "&amp;IF($W537=6,"Final escalation completed.",IF($T537="OVERDUE","Next: "&amp;$Z537&amp;" was due "&amp;TEXT($Y537,"dd-mmm")&amp;" - "&amp;(NETWORKDAYS($Y537,TODAY(),Holidays)-1)&amp;" business day(s) late. Send now.",IF($T537="DUE TOMORROW","Next: "&amp;$Z537&amp;IF($Y537&lt;=TODAY()," is due TODAY ("," is due next business day (")&amp;TEXT($Y537,"dd-mmm")&amp;").","Next: "&amp;$Z537&amp;" due "&amp;TEXT($Y537,"dd-mmm")&amp;" ("&amp;(NETWORKDAYS(TODAY(),$Y537,Holidays)-1)&amp;" business day(s) left).")))))</f>
        <v/>
      </c>
      <c r="V537" s="17">
        <f>IF($W537="","",CHOOSE($W537,"Collection Email","1st Follow-up","2nd Follow-up","Local Office","CBE","Roxanne")&amp;IF($W537=6," - Final"," - Day "&amp;MAX(0,NETWORKDAYS($X537,TODAY(),Holidays)-1)&amp;" of "&amp;CHOOSE($W537,3,3,2,2,3))&amp;" | Total Day "&amp;MAX(0,NETWORKDAYS($L537,TODAY(),Holidays)-1))</f>
        <v/>
      </c>
      <c r="W537" s="17">
        <f>IF($L537="","",COUNT($L537:$Q537))</f>
        <v/>
      </c>
      <c r="X537" s="18">
        <f>IF($W537="","",INT(INDEX($L537:$Q537,$W537)))</f>
        <v/>
      </c>
      <c r="Y537" s="18">
        <f>IF(OR($W537="",$W537=6),"",WORKDAY($X537,CHOOSE($W537,3,3,2,2,3),Holidays))</f>
        <v/>
      </c>
      <c r="Z537" s="17">
        <f>IF(OR($W537="",$W537=6),"",CHOOSE($W537,"1st Email Follow-up","2nd Email Follow-up","Escalate Local Office","Escalate to CBE","Escalate to Roxanne"))</f>
        <v/>
      </c>
    </row>
    <row r="538" spans="18:26">
      <c r="R538" s="15"/>
      <c r="S538" s="16"/>
      <c r="T538" s="17">
        <f>IF(AND(COUNTA($A538:$K538)=0,$L538=""),"",IF($S538="Paid","PAID",IF($S538="Closed","CLOSED",IF($W538="","",IF($W538=6,"ESCALATED TO ROXANNE",IF(TODAY()&gt;$Y538,"OVERDUE",IF($Y538&lt;=WORKDAY(TODAY(),1,Holidays),"DUE TOMORROW",IF($W538=4,"ESCALATED TO LOCAL OFFICE",IF($W538=5,"ESCALATED TO CBE",IF($X538=TODAY(),"EMAIL SENT","MONITORING"))))))))))</f>
        <v/>
      </c>
      <c r="U538" s="17">
        <f>IF($T538="",IF(AND(COUNTA($A538:$K538)&gt;0,$L538=""),"Awaiting Collection Email time stamp.",""),IF(OR($T538="PAID",$T538="CLOSED"),IF($T538="PAID","Account paid. Action completed.","Account closed. No further action required."),CHOOSE($W538,"Collection Email","1st Email Follow-up","2nd Email Follow-up","Escalation to Local Office","Escalation to CBE","Escalation to Roxanne")&amp;" sent "&amp;TEXT($X538,"dd-mmm")&amp;". "&amp;IF($W538=6,"Final escalation completed.",IF($T538="OVERDUE","Next: "&amp;$Z538&amp;" was due "&amp;TEXT($Y538,"dd-mmm")&amp;" - "&amp;(NETWORKDAYS($Y538,TODAY(),Holidays)-1)&amp;" business day(s) late. Send now.",IF($T538="DUE TOMORROW","Next: "&amp;$Z538&amp;IF($Y538&lt;=TODAY()," is due TODAY ("," is due next business day (")&amp;TEXT($Y538,"dd-mmm")&amp;").","Next: "&amp;$Z538&amp;" due "&amp;TEXT($Y538,"dd-mmm")&amp;" ("&amp;(NETWORKDAYS(TODAY(),$Y538,Holidays)-1)&amp;" business day(s) left).")))))</f>
        <v/>
      </c>
      <c r="V538" s="17">
        <f>IF($W538="","",CHOOSE($W538,"Collection Email","1st Follow-up","2nd Follow-up","Local Office","CBE","Roxanne")&amp;IF($W538=6," - Final"," - Day "&amp;MAX(0,NETWORKDAYS($X538,TODAY(),Holidays)-1)&amp;" of "&amp;CHOOSE($W538,3,3,2,2,3))&amp;" | Total Day "&amp;MAX(0,NETWORKDAYS($L538,TODAY(),Holidays)-1))</f>
        <v/>
      </c>
      <c r="W538" s="17">
        <f>IF($L538="","",COUNT($L538:$Q538))</f>
        <v/>
      </c>
      <c r="X538" s="18">
        <f>IF($W538="","",INT(INDEX($L538:$Q538,$W538)))</f>
        <v/>
      </c>
      <c r="Y538" s="18">
        <f>IF(OR($W538="",$W538=6),"",WORKDAY($X538,CHOOSE($W538,3,3,2,2,3),Holidays))</f>
        <v/>
      </c>
      <c r="Z538" s="17">
        <f>IF(OR($W538="",$W538=6),"",CHOOSE($W538,"1st Email Follow-up","2nd Email Follow-up","Escalate Local Office","Escalate to CBE","Escalate to Roxanne"))</f>
        <v/>
      </c>
    </row>
    <row r="539" spans="18:26">
      <c r="R539" s="15"/>
      <c r="S539" s="16"/>
      <c r="T539" s="17">
        <f>IF(AND(COUNTA($A539:$K539)=0,$L539=""),"",IF($S539="Paid","PAID",IF($S539="Closed","CLOSED",IF($W539="","",IF($W539=6,"ESCALATED TO ROXANNE",IF(TODAY()&gt;$Y539,"OVERDUE",IF($Y539&lt;=WORKDAY(TODAY(),1,Holidays),"DUE TOMORROW",IF($W539=4,"ESCALATED TO LOCAL OFFICE",IF($W539=5,"ESCALATED TO CBE",IF($X539=TODAY(),"EMAIL SENT","MONITORING"))))))))))</f>
        <v/>
      </c>
      <c r="U539" s="17">
        <f>IF($T539="",IF(AND(COUNTA($A539:$K539)&gt;0,$L539=""),"Awaiting Collection Email time stamp.",""),IF(OR($T539="PAID",$T539="CLOSED"),IF($T539="PAID","Account paid. Action completed.","Account closed. No further action required."),CHOOSE($W539,"Collection Email","1st Email Follow-up","2nd Email Follow-up","Escalation to Local Office","Escalation to CBE","Escalation to Roxanne")&amp;" sent "&amp;TEXT($X539,"dd-mmm")&amp;". "&amp;IF($W539=6,"Final escalation completed.",IF($T539="OVERDUE","Next: "&amp;$Z539&amp;" was due "&amp;TEXT($Y539,"dd-mmm")&amp;" - "&amp;(NETWORKDAYS($Y539,TODAY(),Holidays)-1)&amp;" business day(s) late. Send now.",IF($T539="DUE TOMORROW","Next: "&amp;$Z539&amp;IF($Y539&lt;=TODAY()," is due TODAY ("," is due next business day (")&amp;TEXT($Y539,"dd-mmm")&amp;").","Next: "&amp;$Z539&amp;" due "&amp;TEXT($Y539,"dd-mmm")&amp;" ("&amp;(NETWORKDAYS(TODAY(),$Y539,Holidays)-1)&amp;" business day(s) left).")))))</f>
        <v/>
      </c>
      <c r="V539" s="17">
        <f>IF($W539="","",CHOOSE($W539,"Collection Email","1st Follow-up","2nd Follow-up","Local Office","CBE","Roxanne")&amp;IF($W539=6," - Final"," - Day "&amp;MAX(0,NETWORKDAYS($X539,TODAY(),Holidays)-1)&amp;" of "&amp;CHOOSE($W539,3,3,2,2,3))&amp;" | Total Day "&amp;MAX(0,NETWORKDAYS($L539,TODAY(),Holidays)-1))</f>
        <v/>
      </c>
      <c r="W539" s="17">
        <f>IF($L539="","",COUNT($L539:$Q539))</f>
        <v/>
      </c>
      <c r="X539" s="18">
        <f>IF($W539="","",INT(INDEX($L539:$Q539,$W539)))</f>
        <v/>
      </c>
      <c r="Y539" s="18">
        <f>IF(OR($W539="",$W539=6),"",WORKDAY($X539,CHOOSE($W539,3,3,2,2,3),Holidays))</f>
        <v/>
      </c>
      <c r="Z539" s="17">
        <f>IF(OR($W539="",$W539=6),"",CHOOSE($W539,"1st Email Follow-up","2nd Email Follow-up","Escalate Local Office","Escalate to CBE","Escalate to Roxanne"))</f>
        <v/>
      </c>
    </row>
    <row r="540" spans="18:26">
      <c r="R540" s="15"/>
      <c r="S540" s="16"/>
      <c r="T540" s="17">
        <f>IF(AND(COUNTA($A540:$K540)=0,$L540=""),"",IF($S540="Paid","PAID",IF($S540="Closed","CLOSED",IF($W540="","",IF($W540=6,"ESCALATED TO ROXANNE",IF(TODAY()&gt;$Y540,"OVERDUE",IF($Y540&lt;=WORKDAY(TODAY(),1,Holidays),"DUE TOMORROW",IF($W540=4,"ESCALATED TO LOCAL OFFICE",IF($W540=5,"ESCALATED TO CBE",IF($X540=TODAY(),"EMAIL SENT","MONITORING"))))))))))</f>
        <v/>
      </c>
      <c r="U540" s="17">
        <f>IF($T540="",IF(AND(COUNTA($A540:$K540)&gt;0,$L540=""),"Awaiting Collection Email time stamp.",""),IF(OR($T540="PAID",$T540="CLOSED"),IF($T540="PAID","Account paid. Action completed.","Account closed. No further action required."),CHOOSE($W540,"Collection Email","1st Email Follow-up","2nd Email Follow-up","Escalation to Local Office","Escalation to CBE","Escalation to Roxanne")&amp;" sent "&amp;TEXT($X540,"dd-mmm")&amp;". "&amp;IF($W540=6,"Final escalation completed.",IF($T540="OVERDUE","Next: "&amp;$Z540&amp;" was due "&amp;TEXT($Y540,"dd-mmm")&amp;" - "&amp;(NETWORKDAYS($Y540,TODAY(),Holidays)-1)&amp;" business day(s) late. Send now.",IF($T540="DUE TOMORROW","Next: "&amp;$Z540&amp;IF($Y540&lt;=TODAY()," is due TODAY ("," is due next business day (")&amp;TEXT($Y540,"dd-mmm")&amp;").","Next: "&amp;$Z540&amp;" due "&amp;TEXT($Y540,"dd-mmm")&amp;" ("&amp;(NETWORKDAYS(TODAY(),$Y540,Holidays)-1)&amp;" business day(s) left).")))))</f>
        <v/>
      </c>
      <c r="V540" s="17">
        <f>IF($W540="","",CHOOSE($W540,"Collection Email","1st Follow-up","2nd Follow-up","Local Office","CBE","Roxanne")&amp;IF($W540=6," - Final"," - Day "&amp;MAX(0,NETWORKDAYS($X540,TODAY(),Holidays)-1)&amp;" of "&amp;CHOOSE($W540,3,3,2,2,3))&amp;" | Total Day "&amp;MAX(0,NETWORKDAYS($L540,TODAY(),Holidays)-1))</f>
        <v/>
      </c>
      <c r="W540" s="17">
        <f>IF($L540="","",COUNT($L540:$Q540))</f>
        <v/>
      </c>
      <c r="X540" s="18">
        <f>IF($W540="","",INT(INDEX($L540:$Q540,$W540)))</f>
        <v/>
      </c>
      <c r="Y540" s="18">
        <f>IF(OR($W540="",$W540=6),"",WORKDAY($X540,CHOOSE($W540,3,3,2,2,3),Holidays))</f>
        <v/>
      </c>
      <c r="Z540" s="17">
        <f>IF(OR($W540="",$W540=6),"",CHOOSE($W540,"1st Email Follow-up","2nd Email Follow-up","Escalate Local Office","Escalate to CBE","Escalate to Roxanne"))</f>
        <v/>
      </c>
    </row>
    <row r="541" spans="18:26">
      <c r="R541" s="15"/>
      <c r="S541" s="16"/>
      <c r="T541" s="17">
        <f>IF(AND(COUNTA($A541:$K541)=0,$L541=""),"",IF($S541="Paid","PAID",IF($S541="Closed","CLOSED",IF($W541="","",IF($W541=6,"ESCALATED TO ROXANNE",IF(TODAY()&gt;$Y541,"OVERDUE",IF($Y541&lt;=WORKDAY(TODAY(),1,Holidays),"DUE TOMORROW",IF($W541=4,"ESCALATED TO LOCAL OFFICE",IF($W541=5,"ESCALATED TO CBE",IF($X541=TODAY(),"EMAIL SENT","MONITORING"))))))))))</f>
        <v/>
      </c>
      <c r="U541" s="17">
        <f>IF($T541="",IF(AND(COUNTA($A541:$K541)&gt;0,$L541=""),"Awaiting Collection Email time stamp.",""),IF(OR($T541="PAID",$T541="CLOSED"),IF($T541="PAID","Account paid. Action completed.","Account closed. No further action required."),CHOOSE($W541,"Collection Email","1st Email Follow-up","2nd Email Follow-up","Escalation to Local Office","Escalation to CBE","Escalation to Roxanne")&amp;" sent "&amp;TEXT($X541,"dd-mmm")&amp;". "&amp;IF($W541=6,"Final escalation completed.",IF($T541="OVERDUE","Next: "&amp;$Z541&amp;" was due "&amp;TEXT($Y541,"dd-mmm")&amp;" - "&amp;(NETWORKDAYS($Y541,TODAY(),Holidays)-1)&amp;" business day(s) late. Send now.",IF($T541="DUE TOMORROW","Next: "&amp;$Z541&amp;IF($Y541&lt;=TODAY()," is due TODAY ("," is due next business day (")&amp;TEXT($Y541,"dd-mmm")&amp;").","Next: "&amp;$Z541&amp;" due "&amp;TEXT($Y541,"dd-mmm")&amp;" ("&amp;(NETWORKDAYS(TODAY(),$Y541,Holidays)-1)&amp;" business day(s) left).")))))</f>
        <v/>
      </c>
      <c r="V541" s="17">
        <f>IF($W541="","",CHOOSE($W541,"Collection Email","1st Follow-up","2nd Follow-up","Local Office","CBE","Roxanne")&amp;IF($W541=6," - Final"," - Day "&amp;MAX(0,NETWORKDAYS($X541,TODAY(),Holidays)-1)&amp;" of "&amp;CHOOSE($W541,3,3,2,2,3))&amp;" | Total Day "&amp;MAX(0,NETWORKDAYS($L541,TODAY(),Holidays)-1))</f>
        <v/>
      </c>
      <c r="W541" s="17">
        <f>IF($L541="","",COUNT($L541:$Q541))</f>
        <v/>
      </c>
      <c r="X541" s="18">
        <f>IF($W541="","",INT(INDEX($L541:$Q541,$W541)))</f>
        <v/>
      </c>
      <c r="Y541" s="18">
        <f>IF(OR($W541="",$W541=6),"",WORKDAY($X541,CHOOSE($W541,3,3,2,2,3),Holidays))</f>
        <v/>
      </c>
      <c r="Z541" s="17">
        <f>IF(OR($W541="",$W541=6),"",CHOOSE($W541,"1st Email Follow-up","2nd Email Follow-up","Escalate Local Office","Escalate to CBE","Escalate to Roxanne"))</f>
        <v/>
      </c>
    </row>
    <row r="542" spans="18:26">
      <c r="R542" s="15"/>
      <c r="S542" s="16"/>
      <c r="T542" s="17">
        <f>IF(AND(COUNTA($A542:$K542)=0,$L542=""),"",IF($S542="Paid","PAID",IF($S542="Closed","CLOSED",IF($W542="","",IF($W542=6,"ESCALATED TO ROXANNE",IF(TODAY()&gt;$Y542,"OVERDUE",IF($Y542&lt;=WORKDAY(TODAY(),1,Holidays),"DUE TOMORROW",IF($W542=4,"ESCALATED TO LOCAL OFFICE",IF($W542=5,"ESCALATED TO CBE",IF($X542=TODAY(),"EMAIL SENT","MONITORING"))))))))))</f>
        <v/>
      </c>
      <c r="U542" s="17">
        <f>IF($T542="",IF(AND(COUNTA($A542:$K542)&gt;0,$L542=""),"Awaiting Collection Email time stamp.",""),IF(OR($T542="PAID",$T542="CLOSED"),IF($T542="PAID","Account paid. Action completed.","Account closed. No further action required."),CHOOSE($W542,"Collection Email","1st Email Follow-up","2nd Email Follow-up","Escalation to Local Office","Escalation to CBE","Escalation to Roxanne")&amp;" sent "&amp;TEXT($X542,"dd-mmm")&amp;". "&amp;IF($W542=6,"Final escalation completed.",IF($T542="OVERDUE","Next: "&amp;$Z542&amp;" was due "&amp;TEXT($Y542,"dd-mmm")&amp;" - "&amp;(NETWORKDAYS($Y542,TODAY(),Holidays)-1)&amp;" business day(s) late. Send now.",IF($T542="DUE TOMORROW","Next: "&amp;$Z542&amp;IF($Y542&lt;=TODAY()," is due TODAY ("," is due next business day (")&amp;TEXT($Y542,"dd-mmm")&amp;").","Next: "&amp;$Z542&amp;" due "&amp;TEXT($Y542,"dd-mmm")&amp;" ("&amp;(NETWORKDAYS(TODAY(),$Y542,Holidays)-1)&amp;" business day(s) left).")))))</f>
        <v/>
      </c>
      <c r="V542" s="17">
        <f>IF($W542="","",CHOOSE($W542,"Collection Email","1st Follow-up","2nd Follow-up","Local Office","CBE","Roxanne")&amp;IF($W542=6," - Final"," - Day "&amp;MAX(0,NETWORKDAYS($X542,TODAY(),Holidays)-1)&amp;" of "&amp;CHOOSE($W542,3,3,2,2,3))&amp;" | Total Day "&amp;MAX(0,NETWORKDAYS($L542,TODAY(),Holidays)-1))</f>
        <v/>
      </c>
      <c r="W542" s="17">
        <f>IF($L542="","",COUNT($L542:$Q542))</f>
        <v/>
      </c>
      <c r="X542" s="18">
        <f>IF($W542="","",INT(INDEX($L542:$Q542,$W542)))</f>
        <v/>
      </c>
      <c r="Y542" s="18">
        <f>IF(OR($W542="",$W542=6),"",WORKDAY($X542,CHOOSE($W542,3,3,2,2,3),Holidays))</f>
        <v/>
      </c>
      <c r="Z542" s="17">
        <f>IF(OR($W542="",$W542=6),"",CHOOSE($W542,"1st Email Follow-up","2nd Email Follow-up","Escalate Local Office","Escalate to CBE","Escalate to Roxanne"))</f>
        <v/>
      </c>
    </row>
    <row r="543" spans="18:26">
      <c r="R543" s="15"/>
      <c r="S543" s="16"/>
      <c r="T543" s="17">
        <f>IF(AND(COUNTA($A543:$K543)=0,$L543=""),"",IF($S543="Paid","PAID",IF($S543="Closed","CLOSED",IF($W543="","",IF($W543=6,"ESCALATED TO ROXANNE",IF(TODAY()&gt;$Y543,"OVERDUE",IF($Y543&lt;=WORKDAY(TODAY(),1,Holidays),"DUE TOMORROW",IF($W543=4,"ESCALATED TO LOCAL OFFICE",IF($W543=5,"ESCALATED TO CBE",IF($X543=TODAY(),"EMAIL SENT","MONITORING"))))))))))</f>
        <v/>
      </c>
      <c r="U543" s="17">
        <f>IF($T543="",IF(AND(COUNTA($A543:$K543)&gt;0,$L543=""),"Awaiting Collection Email time stamp.",""),IF(OR($T543="PAID",$T543="CLOSED"),IF($T543="PAID","Account paid. Action completed.","Account closed. No further action required."),CHOOSE($W543,"Collection Email","1st Email Follow-up","2nd Email Follow-up","Escalation to Local Office","Escalation to CBE","Escalation to Roxanne")&amp;" sent "&amp;TEXT($X543,"dd-mmm")&amp;". "&amp;IF($W543=6,"Final escalation completed.",IF($T543="OVERDUE","Next: "&amp;$Z543&amp;" was due "&amp;TEXT($Y543,"dd-mmm")&amp;" - "&amp;(NETWORKDAYS($Y543,TODAY(),Holidays)-1)&amp;" business day(s) late. Send now.",IF($T543="DUE TOMORROW","Next: "&amp;$Z543&amp;IF($Y543&lt;=TODAY()," is due TODAY ("," is due next business day (")&amp;TEXT($Y543,"dd-mmm")&amp;").","Next: "&amp;$Z543&amp;" due "&amp;TEXT($Y543,"dd-mmm")&amp;" ("&amp;(NETWORKDAYS(TODAY(),$Y543,Holidays)-1)&amp;" business day(s) left).")))))</f>
        <v/>
      </c>
      <c r="V543" s="17">
        <f>IF($W543="","",CHOOSE($W543,"Collection Email","1st Follow-up","2nd Follow-up","Local Office","CBE","Roxanne")&amp;IF($W543=6," - Final"," - Day "&amp;MAX(0,NETWORKDAYS($X543,TODAY(),Holidays)-1)&amp;" of "&amp;CHOOSE($W543,3,3,2,2,3))&amp;" | Total Day "&amp;MAX(0,NETWORKDAYS($L543,TODAY(),Holidays)-1))</f>
        <v/>
      </c>
      <c r="W543" s="17">
        <f>IF($L543="","",COUNT($L543:$Q543))</f>
        <v/>
      </c>
      <c r="X543" s="18">
        <f>IF($W543="","",INT(INDEX($L543:$Q543,$W543)))</f>
        <v/>
      </c>
      <c r="Y543" s="18">
        <f>IF(OR($W543="",$W543=6),"",WORKDAY($X543,CHOOSE($W543,3,3,2,2,3),Holidays))</f>
        <v/>
      </c>
      <c r="Z543" s="17">
        <f>IF(OR($W543="",$W543=6),"",CHOOSE($W543,"1st Email Follow-up","2nd Email Follow-up","Escalate Local Office","Escalate to CBE","Escalate to Roxanne"))</f>
        <v/>
      </c>
    </row>
    <row r="544" spans="18:26">
      <c r="R544" s="15"/>
      <c r="S544" s="16"/>
      <c r="T544" s="17">
        <f>IF(AND(COUNTA($A544:$K544)=0,$L544=""),"",IF($S544="Paid","PAID",IF($S544="Closed","CLOSED",IF($W544="","",IF($W544=6,"ESCALATED TO ROXANNE",IF(TODAY()&gt;$Y544,"OVERDUE",IF($Y544&lt;=WORKDAY(TODAY(),1,Holidays),"DUE TOMORROW",IF($W544=4,"ESCALATED TO LOCAL OFFICE",IF($W544=5,"ESCALATED TO CBE",IF($X544=TODAY(),"EMAIL SENT","MONITORING"))))))))))</f>
        <v/>
      </c>
      <c r="U544" s="17">
        <f>IF($T544="",IF(AND(COUNTA($A544:$K544)&gt;0,$L544=""),"Awaiting Collection Email time stamp.",""),IF(OR($T544="PAID",$T544="CLOSED"),IF($T544="PAID","Account paid. Action completed.","Account closed. No further action required."),CHOOSE($W544,"Collection Email","1st Email Follow-up","2nd Email Follow-up","Escalation to Local Office","Escalation to CBE","Escalation to Roxanne")&amp;" sent "&amp;TEXT($X544,"dd-mmm")&amp;". "&amp;IF($W544=6,"Final escalation completed.",IF($T544="OVERDUE","Next: "&amp;$Z544&amp;" was due "&amp;TEXT($Y544,"dd-mmm")&amp;" - "&amp;(NETWORKDAYS($Y544,TODAY(),Holidays)-1)&amp;" business day(s) late. Send now.",IF($T544="DUE TOMORROW","Next: "&amp;$Z544&amp;IF($Y544&lt;=TODAY()," is due TODAY ("," is due next business day (")&amp;TEXT($Y544,"dd-mmm")&amp;").","Next: "&amp;$Z544&amp;" due "&amp;TEXT($Y544,"dd-mmm")&amp;" ("&amp;(NETWORKDAYS(TODAY(),$Y544,Holidays)-1)&amp;" business day(s) left).")))))</f>
        <v/>
      </c>
      <c r="V544" s="17">
        <f>IF($W544="","",CHOOSE($W544,"Collection Email","1st Follow-up","2nd Follow-up","Local Office","CBE","Roxanne")&amp;IF($W544=6," - Final"," - Day "&amp;MAX(0,NETWORKDAYS($X544,TODAY(),Holidays)-1)&amp;" of "&amp;CHOOSE($W544,3,3,2,2,3))&amp;" | Total Day "&amp;MAX(0,NETWORKDAYS($L544,TODAY(),Holidays)-1))</f>
        <v/>
      </c>
      <c r="W544" s="17">
        <f>IF($L544="","",COUNT($L544:$Q544))</f>
        <v/>
      </c>
      <c r="X544" s="18">
        <f>IF($W544="","",INT(INDEX($L544:$Q544,$W544)))</f>
        <v/>
      </c>
      <c r="Y544" s="18">
        <f>IF(OR($W544="",$W544=6),"",WORKDAY($X544,CHOOSE($W544,3,3,2,2,3),Holidays))</f>
        <v/>
      </c>
      <c r="Z544" s="17">
        <f>IF(OR($W544="",$W544=6),"",CHOOSE($W544,"1st Email Follow-up","2nd Email Follow-up","Escalate Local Office","Escalate to CBE","Escalate to Roxanne"))</f>
        <v/>
      </c>
    </row>
    <row r="545" spans="18:26">
      <c r="R545" s="15"/>
      <c r="S545" s="16"/>
      <c r="T545" s="17">
        <f>IF(AND(COUNTA($A545:$K545)=0,$L545=""),"",IF($S545="Paid","PAID",IF($S545="Closed","CLOSED",IF($W545="","",IF($W545=6,"ESCALATED TO ROXANNE",IF(TODAY()&gt;$Y545,"OVERDUE",IF($Y545&lt;=WORKDAY(TODAY(),1,Holidays),"DUE TOMORROW",IF($W545=4,"ESCALATED TO LOCAL OFFICE",IF($W545=5,"ESCALATED TO CBE",IF($X545=TODAY(),"EMAIL SENT","MONITORING"))))))))))</f>
        <v/>
      </c>
      <c r="U545" s="17">
        <f>IF($T545="",IF(AND(COUNTA($A545:$K545)&gt;0,$L545=""),"Awaiting Collection Email time stamp.",""),IF(OR($T545="PAID",$T545="CLOSED"),IF($T545="PAID","Account paid. Action completed.","Account closed. No further action required."),CHOOSE($W545,"Collection Email","1st Email Follow-up","2nd Email Follow-up","Escalation to Local Office","Escalation to CBE","Escalation to Roxanne")&amp;" sent "&amp;TEXT($X545,"dd-mmm")&amp;". "&amp;IF($W545=6,"Final escalation completed.",IF($T545="OVERDUE","Next: "&amp;$Z545&amp;" was due "&amp;TEXT($Y545,"dd-mmm")&amp;" - "&amp;(NETWORKDAYS($Y545,TODAY(),Holidays)-1)&amp;" business day(s) late. Send now.",IF($T545="DUE TOMORROW","Next: "&amp;$Z545&amp;IF($Y545&lt;=TODAY()," is due TODAY ("," is due next business day (")&amp;TEXT($Y545,"dd-mmm")&amp;").","Next: "&amp;$Z545&amp;" due "&amp;TEXT($Y545,"dd-mmm")&amp;" ("&amp;(NETWORKDAYS(TODAY(),$Y545,Holidays)-1)&amp;" business day(s) left).")))))</f>
        <v/>
      </c>
      <c r="V545" s="17">
        <f>IF($W545="","",CHOOSE($W545,"Collection Email","1st Follow-up","2nd Follow-up","Local Office","CBE","Roxanne")&amp;IF($W545=6," - Final"," - Day "&amp;MAX(0,NETWORKDAYS($X545,TODAY(),Holidays)-1)&amp;" of "&amp;CHOOSE($W545,3,3,2,2,3))&amp;" | Total Day "&amp;MAX(0,NETWORKDAYS($L545,TODAY(),Holidays)-1))</f>
        <v/>
      </c>
      <c r="W545" s="17">
        <f>IF($L545="","",COUNT($L545:$Q545))</f>
        <v/>
      </c>
      <c r="X545" s="18">
        <f>IF($W545="","",INT(INDEX($L545:$Q545,$W545)))</f>
        <v/>
      </c>
      <c r="Y545" s="18">
        <f>IF(OR($W545="",$W545=6),"",WORKDAY($X545,CHOOSE($W545,3,3,2,2,3),Holidays))</f>
        <v/>
      </c>
      <c r="Z545" s="17">
        <f>IF(OR($W545="",$W545=6),"",CHOOSE($W545,"1st Email Follow-up","2nd Email Follow-up","Escalate Local Office","Escalate to CBE","Escalate to Roxanne"))</f>
        <v/>
      </c>
    </row>
    <row r="546" spans="18:26">
      <c r="R546" s="15"/>
      <c r="S546" s="16"/>
      <c r="T546" s="17">
        <f>IF(AND(COUNTA($A546:$K546)=0,$L546=""),"",IF($S546="Paid","PAID",IF($S546="Closed","CLOSED",IF($W546="","",IF($W546=6,"ESCALATED TO ROXANNE",IF(TODAY()&gt;$Y546,"OVERDUE",IF($Y546&lt;=WORKDAY(TODAY(),1,Holidays),"DUE TOMORROW",IF($W546=4,"ESCALATED TO LOCAL OFFICE",IF($W546=5,"ESCALATED TO CBE",IF($X546=TODAY(),"EMAIL SENT","MONITORING"))))))))))</f>
        <v/>
      </c>
      <c r="U546" s="17">
        <f>IF($T546="",IF(AND(COUNTA($A546:$K546)&gt;0,$L546=""),"Awaiting Collection Email time stamp.",""),IF(OR($T546="PAID",$T546="CLOSED"),IF($T546="PAID","Account paid. Action completed.","Account closed. No further action required."),CHOOSE($W546,"Collection Email","1st Email Follow-up","2nd Email Follow-up","Escalation to Local Office","Escalation to CBE","Escalation to Roxanne")&amp;" sent "&amp;TEXT($X546,"dd-mmm")&amp;". "&amp;IF($W546=6,"Final escalation completed.",IF($T546="OVERDUE","Next: "&amp;$Z546&amp;" was due "&amp;TEXT($Y546,"dd-mmm")&amp;" - "&amp;(NETWORKDAYS($Y546,TODAY(),Holidays)-1)&amp;" business day(s) late. Send now.",IF($T546="DUE TOMORROW","Next: "&amp;$Z546&amp;IF($Y546&lt;=TODAY()," is due TODAY ("," is due next business day (")&amp;TEXT($Y546,"dd-mmm")&amp;").","Next: "&amp;$Z546&amp;" due "&amp;TEXT($Y546,"dd-mmm")&amp;" ("&amp;(NETWORKDAYS(TODAY(),$Y546,Holidays)-1)&amp;" business day(s) left).")))))</f>
        <v/>
      </c>
      <c r="V546" s="17">
        <f>IF($W546="","",CHOOSE($W546,"Collection Email","1st Follow-up","2nd Follow-up","Local Office","CBE","Roxanne")&amp;IF($W546=6," - Final"," - Day "&amp;MAX(0,NETWORKDAYS($X546,TODAY(),Holidays)-1)&amp;" of "&amp;CHOOSE($W546,3,3,2,2,3))&amp;" | Total Day "&amp;MAX(0,NETWORKDAYS($L546,TODAY(),Holidays)-1))</f>
        <v/>
      </c>
      <c r="W546" s="17">
        <f>IF($L546="","",COUNT($L546:$Q546))</f>
        <v/>
      </c>
      <c r="X546" s="18">
        <f>IF($W546="","",INT(INDEX($L546:$Q546,$W546)))</f>
        <v/>
      </c>
      <c r="Y546" s="18">
        <f>IF(OR($W546="",$W546=6),"",WORKDAY($X546,CHOOSE($W546,3,3,2,2,3),Holidays))</f>
        <v/>
      </c>
      <c r="Z546" s="17">
        <f>IF(OR($W546="",$W546=6),"",CHOOSE($W546,"1st Email Follow-up","2nd Email Follow-up","Escalate Local Office","Escalate to CBE","Escalate to Roxanne"))</f>
        <v/>
      </c>
    </row>
    <row r="547" spans="18:26">
      <c r="R547" s="15"/>
      <c r="S547" s="16"/>
      <c r="T547" s="17">
        <f>IF(AND(COUNTA($A547:$K547)=0,$L547=""),"",IF($S547="Paid","PAID",IF($S547="Closed","CLOSED",IF($W547="","",IF($W547=6,"ESCALATED TO ROXANNE",IF(TODAY()&gt;$Y547,"OVERDUE",IF($Y547&lt;=WORKDAY(TODAY(),1,Holidays),"DUE TOMORROW",IF($W547=4,"ESCALATED TO LOCAL OFFICE",IF($W547=5,"ESCALATED TO CBE",IF($X547=TODAY(),"EMAIL SENT","MONITORING"))))))))))</f>
        <v/>
      </c>
      <c r="U547" s="17">
        <f>IF($T547="",IF(AND(COUNTA($A547:$K547)&gt;0,$L547=""),"Awaiting Collection Email time stamp.",""),IF(OR($T547="PAID",$T547="CLOSED"),IF($T547="PAID","Account paid. Action completed.","Account closed. No further action required."),CHOOSE($W547,"Collection Email","1st Email Follow-up","2nd Email Follow-up","Escalation to Local Office","Escalation to CBE","Escalation to Roxanne")&amp;" sent "&amp;TEXT($X547,"dd-mmm")&amp;". "&amp;IF($W547=6,"Final escalation completed.",IF($T547="OVERDUE","Next: "&amp;$Z547&amp;" was due "&amp;TEXT($Y547,"dd-mmm")&amp;" - "&amp;(NETWORKDAYS($Y547,TODAY(),Holidays)-1)&amp;" business day(s) late. Send now.",IF($T547="DUE TOMORROW","Next: "&amp;$Z547&amp;IF($Y547&lt;=TODAY()," is due TODAY ("," is due next business day (")&amp;TEXT($Y547,"dd-mmm")&amp;").","Next: "&amp;$Z547&amp;" due "&amp;TEXT($Y547,"dd-mmm")&amp;" ("&amp;(NETWORKDAYS(TODAY(),$Y547,Holidays)-1)&amp;" business day(s) left).")))))</f>
        <v/>
      </c>
      <c r="V547" s="17">
        <f>IF($W547="","",CHOOSE($W547,"Collection Email","1st Follow-up","2nd Follow-up","Local Office","CBE","Roxanne")&amp;IF($W547=6," - Final"," - Day "&amp;MAX(0,NETWORKDAYS($X547,TODAY(),Holidays)-1)&amp;" of "&amp;CHOOSE($W547,3,3,2,2,3))&amp;" | Total Day "&amp;MAX(0,NETWORKDAYS($L547,TODAY(),Holidays)-1))</f>
        <v/>
      </c>
      <c r="W547" s="17">
        <f>IF($L547="","",COUNT($L547:$Q547))</f>
        <v/>
      </c>
      <c r="X547" s="18">
        <f>IF($W547="","",INT(INDEX($L547:$Q547,$W547)))</f>
        <v/>
      </c>
      <c r="Y547" s="18">
        <f>IF(OR($W547="",$W547=6),"",WORKDAY($X547,CHOOSE($W547,3,3,2,2,3),Holidays))</f>
        <v/>
      </c>
      <c r="Z547" s="17">
        <f>IF(OR($W547="",$W547=6),"",CHOOSE($W547,"1st Email Follow-up","2nd Email Follow-up","Escalate Local Office","Escalate to CBE","Escalate to Roxanne"))</f>
        <v/>
      </c>
    </row>
    <row r="548" spans="18:26">
      <c r="R548" s="15"/>
      <c r="S548" s="16"/>
      <c r="T548" s="17">
        <f>IF(AND(COUNTA($A548:$K548)=0,$L548=""),"",IF($S548="Paid","PAID",IF($S548="Closed","CLOSED",IF($W548="","",IF($W548=6,"ESCALATED TO ROXANNE",IF(TODAY()&gt;$Y548,"OVERDUE",IF($Y548&lt;=WORKDAY(TODAY(),1,Holidays),"DUE TOMORROW",IF($W548=4,"ESCALATED TO LOCAL OFFICE",IF($W548=5,"ESCALATED TO CBE",IF($X548=TODAY(),"EMAIL SENT","MONITORING"))))))))))</f>
        <v/>
      </c>
      <c r="U548" s="17">
        <f>IF($T548="",IF(AND(COUNTA($A548:$K548)&gt;0,$L548=""),"Awaiting Collection Email time stamp.",""),IF(OR($T548="PAID",$T548="CLOSED"),IF($T548="PAID","Account paid. Action completed.","Account closed. No further action required."),CHOOSE($W548,"Collection Email","1st Email Follow-up","2nd Email Follow-up","Escalation to Local Office","Escalation to CBE","Escalation to Roxanne")&amp;" sent "&amp;TEXT($X548,"dd-mmm")&amp;". "&amp;IF($W548=6,"Final escalation completed.",IF($T548="OVERDUE","Next: "&amp;$Z548&amp;" was due "&amp;TEXT($Y548,"dd-mmm")&amp;" - "&amp;(NETWORKDAYS($Y548,TODAY(),Holidays)-1)&amp;" business day(s) late. Send now.",IF($T548="DUE TOMORROW","Next: "&amp;$Z548&amp;IF($Y548&lt;=TODAY()," is due TODAY ("," is due next business day (")&amp;TEXT($Y548,"dd-mmm")&amp;").","Next: "&amp;$Z548&amp;" due "&amp;TEXT($Y548,"dd-mmm")&amp;" ("&amp;(NETWORKDAYS(TODAY(),$Y548,Holidays)-1)&amp;" business day(s) left).")))))</f>
        <v/>
      </c>
      <c r="V548" s="17">
        <f>IF($W548="","",CHOOSE($W548,"Collection Email","1st Follow-up","2nd Follow-up","Local Office","CBE","Roxanne")&amp;IF($W548=6," - Final"," - Day "&amp;MAX(0,NETWORKDAYS($X548,TODAY(),Holidays)-1)&amp;" of "&amp;CHOOSE($W548,3,3,2,2,3))&amp;" | Total Day "&amp;MAX(0,NETWORKDAYS($L548,TODAY(),Holidays)-1))</f>
        <v/>
      </c>
      <c r="W548" s="17">
        <f>IF($L548="","",COUNT($L548:$Q548))</f>
        <v/>
      </c>
      <c r="X548" s="18">
        <f>IF($W548="","",INT(INDEX($L548:$Q548,$W548)))</f>
        <v/>
      </c>
      <c r="Y548" s="18">
        <f>IF(OR($W548="",$W548=6),"",WORKDAY($X548,CHOOSE($W548,3,3,2,2,3),Holidays))</f>
        <v/>
      </c>
      <c r="Z548" s="17">
        <f>IF(OR($W548="",$W548=6),"",CHOOSE($W548,"1st Email Follow-up","2nd Email Follow-up","Escalate Local Office","Escalate to CBE","Escalate to Roxanne"))</f>
        <v/>
      </c>
    </row>
    <row r="549" spans="18:26">
      <c r="R549" s="15"/>
      <c r="S549" s="16"/>
      <c r="T549" s="17">
        <f>IF(AND(COUNTA($A549:$K549)=0,$L549=""),"",IF($S549="Paid","PAID",IF($S549="Closed","CLOSED",IF($W549="","",IF($W549=6,"ESCALATED TO ROXANNE",IF(TODAY()&gt;$Y549,"OVERDUE",IF($Y549&lt;=WORKDAY(TODAY(),1,Holidays),"DUE TOMORROW",IF($W549=4,"ESCALATED TO LOCAL OFFICE",IF($W549=5,"ESCALATED TO CBE",IF($X549=TODAY(),"EMAIL SENT","MONITORING"))))))))))</f>
        <v/>
      </c>
      <c r="U549" s="17">
        <f>IF($T549="",IF(AND(COUNTA($A549:$K549)&gt;0,$L549=""),"Awaiting Collection Email time stamp.",""),IF(OR($T549="PAID",$T549="CLOSED"),IF($T549="PAID","Account paid. Action completed.","Account closed. No further action required."),CHOOSE($W549,"Collection Email","1st Email Follow-up","2nd Email Follow-up","Escalation to Local Office","Escalation to CBE","Escalation to Roxanne")&amp;" sent "&amp;TEXT($X549,"dd-mmm")&amp;". "&amp;IF($W549=6,"Final escalation completed.",IF($T549="OVERDUE","Next: "&amp;$Z549&amp;" was due "&amp;TEXT($Y549,"dd-mmm")&amp;" - "&amp;(NETWORKDAYS($Y549,TODAY(),Holidays)-1)&amp;" business day(s) late. Send now.",IF($T549="DUE TOMORROW","Next: "&amp;$Z549&amp;IF($Y549&lt;=TODAY()," is due TODAY ("," is due next business day (")&amp;TEXT($Y549,"dd-mmm")&amp;").","Next: "&amp;$Z549&amp;" due "&amp;TEXT($Y549,"dd-mmm")&amp;" ("&amp;(NETWORKDAYS(TODAY(),$Y549,Holidays)-1)&amp;" business day(s) left).")))))</f>
        <v/>
      </c>
      <c r="V549" s="17">
        <f>IF($W549="","",CHOOSE($W549,"Collection Email","1st Follow-up","2nd Follow-up","Local Office","CBE","Roxanne")&amp;IF($W549=6," - Final"," - Day "&amp;MAX(0,NETWORKDAYS($X549,TODAY(),Holidays)-1)&amp;" of "&amp;CHOOSE($W549,3,3,2,2,3))&amp;" | Total Day "&amp;MAX(0,NETWORKDAYS($L549,TODAY(),Holidays)-1))</f>
        <v/>
      </c>
      <c r="W549" s="17">
        <f>IF($L549="","",COUNT($L549:$Q549))</f>
        <v/>
      </c>
      <c r="X549" s="18">
        <f>IF($W549="","",INT(INDEX($L549:$Q549,$W549)))</f>
        <v/>
      </c>
      <c r="Y549" s="18">
        <f>IF(OR($W549="",$W549=6),"",WORKDAY($X549,CHOOSE($W549,3,3,2,2,3),Holidays))</f>
        <v/>
      </c>
      <c r="Z549" s="17">
        <f>IF(OR($W549="",$W549=6),"",CHOOSE($W549,"1st Email Follow-up","2nd Email Follow-up","Escalate Local Office","Escalate to CBE","Escalate to Roxanne"))</f>
        <v/>
      </c>
    </row>
    <row r="550" spans="18:26">
      <c r="R550" s="15"/>
      <c r="S550" s="16"/>
      <c r="T550" s="17">
        <f>IF(AND(COUNTA($A550:$K550)=0,$L550=""),"",IF($S550="Paid","PAID",IF($S550="Closed","CLOSED",IF($W550="","",IF($W550=6,"ESCALATED TO ROXANNE",IF(TODAY()&gt;$Y550,"OVERDUE",IF($Y550&lt;=WORKDAY(TODAY(),1,Holidays),"DUE TOMORROW",IF($W550=4,"ESCALATED TO LOCAL OFFICE",IF($W550=5,"ESCALATED TO CBE",IF($X550=TODAY(),"EMAIL SENT","MONITORING"))))))))))</f>
        <v/>
      </c>
      <c r="U550" s="17">
        <f>IF($T550="",IF(AND(COUNTA($A550:$K550)&gt;0,$L550=""),"Awaiting Collection Email time stamp.",""),IF(OR($T550="PAID",$T550="CLOSED"),IF($T550="PAID","Account paid. Action completed.","Account closed. No further action required."),CHOOSE($W550,"Collection Email","1st Email Follow-up","2nd Email Follow-up","Escalation to Local Office","Escalation to CBE","Escalation to Roxanne")&amp;" sent "&amp;TEXT($X550,"dd-mmm")&amp;". "&amp;IF($W550=6,"Final escalation completed.",IF($T550="OVERDUE","Next: "&amp;$Z550&amp;" was due "&amp;TEXT($Y550,"dd-mmm")&amp;" - "&amp;(NETWORKDAYS($Y550,TODAY(),Holidays)-1)&amp;" business day(s) late. Send now.",IF($T550="DUE TOMORROW","Next: "&amp;$Z550&amp;IF($Y550&lt;=TODAY()," is due TODAY ("," is due next business day (")&amp;TEXT($Y550,"dd-mmm")&amp;").","Next: "&amp;$Z550&amp;" due "&amp;TEXT($Y550,"dd-mmm")&amp;" ("&amp;(NETWORKDAYS(TODAY(),$Y550,Holidays)-1)&amp;" business day(s) left).")))))</f>
        <v/>
      </c>
      <c r="V550" s="17">
        <f>IF($W550="","",CHOOSE($W550,"Collection Email","1st Follow-up","2nd Follow-up","Local Office","CBE","Roxanne")&amp;IF($W550=6," - Final"," - Day "&amp;MAX(0,NETWORKDAYS($X550,TODAY(),Holidays)-1)&amp;" of "&amp;CHOOSE($W550,3,3,2,2,3))&amp;" | Total Day "&amp;MAX(0,NETWORKDAYS($L550,TODAY(),Holidays)-1))</f>
        <v/>
      </c>
      <c r="W550" s="17">
        <f>IF($L550="","",COUNT($L550:$Q550))</f>
        <v/>
      </c>
      <c r="X550" s="18">
        <f>IF($W550="","",INT(INDEX($L550:$Q550,$W550)))</f>
        <v/>
      </c>
      <c r="Y550" s="18">
        <f>IF(OR($W550="",$W550=6),"",WORKDAY($X550,CHOOSE($W550,3,3,2,2,3),Holidays))</f>
        <v/>
      </c>
      <c r="Z550" s="17">
        <f>IF(OR($W550="",$W550=6),"",CHOOSE($W550,"1st Email Follow-up","2nd Email Follow-up","Escalate Local Office","Escalate to CBE","Escalate to Roxanne"))</f>
        <v/>
      </c>
    </row>
    <row r="551" spans="18:26">
      <c r="R551" s="15"/>
      <c r="S551" s="16"/>
      <c r="T551" s="17">
        <f>IF(AND(COUNTA($A551:$K551)=0,$L551=""),"",IF($S551="Paid","PAID",IF($S551="Closed","CLOSED",IF($W551="","",IF($W551=6,"ESCALATED TO ROXANNE",IF(TODAY()&gt;$Y551,"OVERDUE",IF($Y551&lt;=WORKDAY(TODAY(),1,Holidays),"DUE TOMORROW",IF($W551=4,"ESCALATED TO LOCAL OFFICE",IF($W551=5,"ESCALATED TO CBE",IF($X551=TODAY(),"EMAIL SENT","MONITORING"))))))))))</f>
        <v/>
      </c>
      <c r="U551" s="17">
        <f>IF($T551="",IF(AND(COUNTA($A551:$K551)&gt;0,$L551=""),"Awaiting Collection Email time stamp.",""),IF(OR($T551="PAID",$T551="CLOSED"),IF($T551="PAID","Account paid. Action completed.","Account closed. No further action required."),CHOOSE($W551,"Collection Email","1st Email Follow-up","2nd Email Follow-up","Escalation to Local Office","Escalation to CBE","Escalation to Roxanne")&amp;" sent "&amp;TEXT($X551,"dd-mmm")&amp;". "&amp;IF($W551=6,"Final escalation completed.",IF($T551="OVERDUE","Next: "&amp;$Z551&amp;" was due "&amp;TEXT($Y551,"dd-mmm")&amp;" - "&amp;(NETWORKDAYS($Y551,TODAY(),Holidays)-1)&amp;" business day(s) late. Send now.",IF($T551="DUE TOMORROW","Next: "&amp;$Z551&amp;IF($Y551&lt;=TODAY()," is due TODAY ("," is due next business day (")&amp;TEXT($Y551,"dd-mmm")&amp;").","Next: "&amp;$Z551&amp;" due "&amp;TEXT($Y551,"dd-mmm")&amp;" ("&amp;(NETWORKDAYS(TODAY(),$Y551,Holidays)-1)&amp;" business day(s) left).")))))</f>
        <v/>
      </c>
      <c r="V551" s="17">
        <f>IF($W551="","",CHOOSE($W551,"Collection Email","1st Follow-up","2nd Follow-up","Local Office","CBE","Roxanne")&amp;IF($W551=6," - Final"," - Day "&amp;MAX(0,NETWORKDAYS($X551,TODAY(),Holidays)-1)&amp;" of "&amp;CHOOSE($W551,3,3,2,2,3))&amp;" | Total Day "&amp;MAX(0,NETWORKDAYS($L551,TODAY(),Holidays)-1))</f>
        <v/>
      </c>
      <c r="W551" s="17">
        <f>IF($L551="","",COUNT($L551:$Q551))</f>
        <v/>
      </c>
      <c r="X551" s="18">
        <f>IF($W551="","",INT(INDEX($L551:$Q551,$W551)))</f>
        <v/>
      </c>
      <c r="Y551" s="18">
        <f>IF(OR($W551="",$W551=6),"",WORKDAY($X551,CHOOSE($W551,3,3,2,2,3),Holidays))</f>
        <v/>
      </c>
      <c r="Z551" s="17">
        <f>IF(OR($W551="",$W551=6),"",CHOOSE($W551,"1st Email Follow-up","2nd Email Follow-up","Escalate Local Office","Escalate to CBE","Escalate to Roxanne"))</f>
        <v/>
      </c>
    </row>
    <row r="552" spans="18:26">
      <c r="R552" s="15"/>
      <c r="S552" s="16"/>
      <c r="T552" s="17">
        <f>IF(AND(COUNTA($A552:$K552)=0,$L552=""),"",IF($S552="Paid","PAID",IF($S552="Closed","CLOSED",IF($W552="","",IF($W552=6,"ESCALATED TO ROXANNE",IF(TODAY()&gt;$Y552,"OVERDUE",IF($Y552&lt;=WORKDAY(TODAY(),1,Holidays),"DUE TOMORROW",IF($W552=4,"ESCALATED TO LOCAL OFFICE",IF($W552=5,"ESCALATED TO CBE",IF($X552=TODAY(),"EMAIL SENT","MONITORING"))))))))))</f>
        <v/>
      </c>
      <c r="U552" s="17">
        <f>IF($T552="",IF(AND(COUNTA($A552:$K552)&gt;0,$L552=""),"Awaiting Collection Email time stamp.",""),IF(OR($T552="PAID",$T552="CLOSED"),IF($T552="PAID","Account paid. Action completed.","Account closed. No further action required."),CHOOSE($W552,"Collection Email","1st Email Follow-up","2nd Email Follow-up","Escalation to Local Office","Escalation to CBE","Escalation to Roxanne")&amp;" sent "&amp;TEXT($X552,"dd-mmm")&amp;". "&amp;IF($W552=6,"Final escalation completed.",IF($T552="OVERDUE","Next: "&amp;$Z552&amp;" was due "&amp;TEXT($Y552,"dd-mmm")&amp;" - "&amp;(NETWORKDAYS($Y552,TODAY(),Holidays)-1)&amp;" business day(s) late. Send now.",IF($T552="DUE TOMORROW","Next: "&amp;$Z552&amp;IF($Y552&lt;=TODAY()," is due TODAY ("," is due next business day (")&amp;TEXT($Y552,"dd-mmm")&amp;").","Next: "&amp;$Z552&amp;" due "&amp;TEXT($Y552,"dd-mmm")&amp;" ("&amp;(NETWORKDAYS(TODAY(),$Y552,Holidays)-1)&amp;" business day(s) left).")))))</f>
        <v/>
      </c>
      <c r="V552" s="17">
        <f>IF($W552="","",CHOOSE($W552,"Collection Email","1st Follow-up","2nd Follow-up","Local Office","CBE","Roxanne")&amp;IF($W552=6," - Final"," - Day "&amp;MAX(0,NETWORKDAYS($X552,TODAY(),Holidays)-1)&amp;" of "&amp;CHOOSE($W552,3,3,2,2,3))&amp;" | Total Day "&amp;MAX(0,NETWORKDAYS($L552,TODAY(),Holidays)-1))</f>
        <v/>
      </c>
      <c r="W552" s="17">
        <f>IF($L552="","",COUNT($L552:$Q552))</f>
        <v/>
      </c>
      <c r="X552" s="18">
        <f>IF($W552="","",INT(INDEX($L552:$Q552,$W552)))</f>
        <v/>
      </c>
      <c r="Y552" s="18">
        <f>IF(OR($W552="",$W552=6),"",WORKDAY($X552,CHOOSE($W552,3,3,2,2,3),Holidays))</f>
        <v/>
      </c>
      <c r="Z552" s="17">
        <f>IF(OR($W552="",$W552=6),"",CHOOSE($W552,"1st Email Follow-up","2nd Email Follow-up","Escalate Local Office","Escalate to CBE","Escalate to Roxanne"))</f>
        <v/>
      </c>
    </row>
    <row r="553" spans="18:26">
      <c r="R553" s="15"/>
      <c r="S553" s="16"/>
      <c r="T553" s="17">
        <f>IF(AND(COUNTA($A553:$K553)=0,$L553=""),"",IF($S553="Paid","PAID",IF($S553="Closed","CLOSED",IF($W553="","",IF($W553=6,"ESCALATED TO ROXANNE",IF(TODAY()&gt;$Y553,"OVERDUE",IF($Y553&lt;=WORKDAY(TODAY(),1,Holidays),"DUE TOMORROW",IF($W553=4,"ESCALATED TO LOCAL OFFICE",IF($W553=5,"ESCALATED TO CBE",IF($X553=TODAY(),"EMAIL SENT","MONITORING"))))))))))</f>
        <v/>
      </c>
      <c r="U553" s="17">
        <f>IF($T553="",IF(AND(COUNTA($A553:$K553)&gt;0,$L553=""),"Awaiting Collection Email time stamp.",""),IF(OR($T553="PAID",$T553="CLOSED"),IF($T553="PAID","Account paid. Action completed.","Account closed. No further action required."),CHOOSE($W553,"Collection Email","1st Email Follow-up","2nd Email Follow-up","Escalation to Local Office","Escalation to CBE","Escalation to Roxanne")&amp;" sent "&amp;TEXT($X553,"dd-mmm")&amp;". "&amp;IF($W553=6,"Final escalation completed.",IF($T553="OVERDUE","Next: "&amp;$Z553&amp;" was due "&amp;TEXT($Y553,"dd-mmm")&amp;" - "&amp;(NETWORKDAYS($Y553,TODAY(),Holidays)-1)&amp;" business day(s) late. Send now.",IF($T553="DUE TOMORROW","Next: "&amp;$Z553&amp;IF($Y553&lt;=TODAY()," is due TODAY ("," is due next business day (")&amp;TEXT($Y553,"dd-mmm")&amp;").","Next: "&amp;$Z553&amp;" due "&amp;TEXT($Y553,"dd-mmm")&amp;" ("&amp;(NETWORKDAYS(TODAY(),$Y553,Holidays)-1)&amp;" business day(s) left).")))))</f>
        <v/>
      </c>
      <c r="V553" s="17">
        <f>IF($W553="","",CHOOSE($W553,"Collection Email","1st Follow-up","2nd Follow-up","Local Office","CBE","Roxanne")&amp;IF($W553=6," - Final"," - Day "&amp;MAX(0,NETWORKDAYS($X553,TODAY(),Holidays)-1)&amp;" of "&amp;CHOOSE($W553,3,3,2,2,3))&amp;" | Total Day "&amp;MAX(0,NETWORKDAYS($L553,TODAY(),Holidays)-1))</f>
        <v/>
      </c>
      <c r="W553" s="17">
        <f>IF($L553="","",COUNT($L553:$Q553))</f>
        <v/>
      </c>
      <c r="X553" s="18">
        <f>IF($W553="","",INT(INDEX($L553:$Q553,$W553)))</f>
        <v/>
      </c>
      <c r="Y553" s="18">
        <f>IF(OR($W553="",$W553=6),"",WORKDAY($X553,CHOOSE($W553,3,3,2,2,3),Holidays))</f>
        <v/>
      </c>
      <c r="Z553" s="17">
        <f>IF(OR($W553="",$W553=6),"",CHOOSE($W553,"1st Email Follow-up","2nd Email Follow-up","Escalate Local Office","Escalate to CBE","Escalate to Roxanne"))</f>
        <v/>
      </c>
    </row>
    <row r="554" spans="18:26">
      <c r="R554" s="15"/>
      <c r="S554" s="16"/>
      <c r="T554" s="17">
        <f>IF(AND(COUNTA($A554:$K554)=0,$L554=""),"",IF($S554="Paid","PAID",IF($S554="Closed","CLOSED",IF($W554="","",IF($W554=6,"ESCALATED TO ROXANNE",IF(TODAY()&gt;$Y554,"OVERDUE",IF($Y554&lt;=WORKDAY(TODAY(),1,Holidays),"DUE TOMORROW",IF($W554=4,"ESCALATED TO LOCAL OFFICE",IF($W554=5,"ESCALATED TO CBE",IF($X554=TODAY(),"EMAIL SENT","MONITORING"))))))))))</f>
        <v/>
      </c>
      <c r="U554" s="17">
        <f>IF($T554="",IF(AND(COUNTA($A554:$K554)&gt;0,$L554=""),"Awaiting Collection Email time stamp.",""),IF(OR($T554="PAID",$T554="CLOSED"),IF($T554="PAID","Account paid. Action completed.","Account closed. No further action required."),CHOOSE($W554,"Collection Email","1st Email Follow-up","2nd Email Follow-up","Escalation to Local Office","Escalation to CBE","Escalation to Roxanne")&amp;" sent "&amp;TEXT($X554,"dd-mmm")&amp;". "&amp;IF($W554=6,"Final escalation completed.",IF($T554="OVERDUE","Next: "&amp;$Z554&amp;" was due "&amp;TEXT($Y554,"dd-mmm")&amp;" - "&amp;(NETWORKDAYS($Y554,TODAY(),Holidays)-1)&amp;" business day(s) late. Send now.",IF($T554="DUE TOMORROW","Next: "&amp;$Z554&amp;IF($Y554&lt;=TODAY()," is due TODAY ("," is due next business day (")&amp;TEXT($Y554,"dd-mmm")&amp;").","Next: "&amp;$Z554&amp;" due "&amp;TEXT($Y554,"dd-mmm")&amp;" ("&amp;(NETWORKDAYS(TODAY(),$Y554,Holidays)-1)&amp;" business day(s) left).")))))</f>
        <v/>
      </c>
      <c r="V554" s="17">
        <f>IF($W554="","",CHOOSE($W554,"Collection Email","1st Follow-up","2nd Follow-up","Local Office","CBE","Roxanne")&amp;IF($W554=6," - Final"," - Day "&amp;MAX(0,NETWORKDAYS($X554,TODAY(),Holidays)-1)&amp;" of "&amp;CHOOSE($W554,3,3,2,2,3))&amp;" | Total Day "&amp;MAX(0,NETWORKDAYS($L554,TODAY(),Holidays)-1))</f>
        <v/>
      </c>
      <c r="W554" s="17">
        <f>IF($L554="","",COUNT($L554:$Q554))</f>
        <v/>
      </c>
      <c r="X554" s="18">
        <f>IF($W554="","",INT(INDEX($L554:$Q554,$W554)))</f>
        <v/>
      </c>
      <c r="Y554" s="18">
        <f>IF(OR($W554="",$W554=6),"",WORKDAY($X554,CHOOSE($W554,3,3,2,2,3),Holidays))</f>
        <v/>
      </c>
      <c r="Z554" s="17">
        <f>IF(OR($W554="",$W554=6),"",CHOOSE($W554,"1st Email Follow-up","2nd Email Follow-up","Escalate Local Office","Escalate to CBE","Escalate to Roxanne"))</f>
        <v/>
      </c>
    </row>
    <row r="555" spans="18:26">
      <c r="R555" s="15"/>
      <c r="S555" s="16"/>
      <c r="T555" s="17">
        <f>IF(AND(COUNTA($A555:$K555)=0,$L555=""),"",IF($S555="Paid","PAID",IF($S555="Closed","CLOSED",IF($W555="","",IF($W555=6,"ESCALATED TO ROXANNE",IF(TODAY()&gt;$Y555,"OVERDUE",IF($Y555&lt;=WORKDAY(TODAY(),1,Holidays),"DUE TOMORROW",IF($W555=4,"ESCALATED TO LOCAL OFFICE",IF($W555=5,"ESCALATED TO CBE",IF($X555=TODAY(),"EMAIL SENT","MONITORING"))))))))))</f>
        <v/>
      </c>
      <c r="U555" s="17">
        <f>IF($T555="",IF(AND(COUNTA($A555:$K555)&gt;0,$L555=""),"Awaiting Collection Email time stamp.",""),IF(OR($T555="PAID",$T555="CLOSED"),IF($T555="PAID","Account paid. Action completed.","Account closed. No further action required."),CHOOSE($W555,"Collection Email","1st Email Follow-up","2nd Email Follow-up","Escalation to Local Office","Escalation to CBE","Escalation to Roxanne")&amp;" sent "&amp;TEXT($X555,"dd-mmm")&amp;". "&amp;IF($W555=6,"Final escalation completed.",IF($T555="OVERDUE","Next: "&amp;$Z555&amp;" was due "&amp;TEXT($Y555,"dd-mmm")&amp;" - "&amp;(NETWORKDAYS($Y555,TODAY(),Holidays)-1)&amp;" business day(s) late. Send now.",IF($T555="DUE TOMORROW","Next: "&amp;$Z555&amp;IF($Y555&lt;=TODAY()," is due TODAY ("," is due next business day (")&amp;TEXT($Y555,"dd-mmm")&amp;").","Next: "&amp;$Z555&amp;" due "&amp;TEXT($Y555,"dd-mmm")&amp;" ("&amp;(NETWORKDAYS(TODAY(),$Y555,Holidays)-1)&amp;" business day(s) left).")))))</f>
        <v/>
      </c>
      <c r="V555" s="17">
        <f>IF($W555="","",CHOOSE($W555,"Collection Email","1st Follow-up","2nd Follow-up","Local Office","CBE","Roxanne")&amp;IF($W555=6," - Final"," - Day "&amp;MAX(0,NETWORKDAYS($X555,TODAY(),Holidays)-1)&amp;" of "&amp;CHOOSE($W555,3,3,2,2,3))&amp;" | Total Day "&amp;MAX(0,NETWORKDAYS($L555,TODAY(),Holidays)-1))</f>
        <v/>
      </c>
      <c r="W555" s="17">
        <f>IF($L555="","",COUNT($L555:$Q555))</f>
        <v/>
      </c>
      <c r="X555" s="18">
        <f>IF($W555="","",INT(INDEX($L555:$Q555,$W555)))</f>
        <v/>
      </c>
      <c r="Y555" s="18">
        <f>IF(OR($W555="",$W555=6),"",WORKDAY($X555,CHOOSE($W555,3,3,2,2,3),Holidays))</f>
        <v/>
      </c>
      <c r="Z555" s="17">
        <f>IF(OR($W555="",$W555=6),"",CHOOSE($W555,"1st Email Follow-up","2nd Email Follow-up","Escalate Local Office","Escalate to CBE","Escalate to Roxanne"))</f>
        <v/>
      </c>
    </row>
    <row r="556" spans="18:26">
      <c r="R556" s="15"/>
      <c r="S556" s="16"/>
      <c r="T556" s="17">
        <f>IF(AND(COUNTA($A556:$K556)=0,$L556=""),"",IF($S556="Paid","PAID",IF($S556="Closed","CLOSED",IF($W556="","",IF($W556=6,"ESCALATED TO ROXANNE",IF(TODAY()&gt;$Y556,"OVERDUE",IF($Y556&lt;=WORKDAY(TODAY(),1,Holidays),"DUE TOMORROW",IF($W556=4,"ESCALATED TO LOCAL OFFICE",IF($W556=5,"ESCALATED TO CBE",IF($X556=TODAY(),"EMAIL SENT","MONITORING"))))))))))</f>
        <v/>
      </c>
      <c r="U556" s="17">
        <f>IF($T556="",IF(AND(COUNTA($A556:$K556)&gt;0,$L556=""),"Awaiting Collection Email time stamp.",""),IF(OR($T556="PAID",$T556="CLOSED"),IF($T556="PAID","Account paid. Action completed.","Account closed. No further action required."),CHOOSE($W556,"Collection Email","1st Email Follow-up","2nd Email Follow-up","Escalation to Local Office","Escalation to CBE","Escalation to Roxanne")&amp;" sent "&amp;TEXT($X556,"dd-mmm")&amp;". "&amp;IF($W556=6,"Final escalation completed.",IF($T556="OVERDUE","Next: "&amp;$Z556&amp;" was due "&amp;TEXT($Y556,"dd-mmm")&amp;" - "&amp;(NETWORKDAYS($Y556,TODAY(),Holidays)-1)&amp;" business day(s) late. Send now.",IF($T556="DUE TOMORROW","Next: "&amp;$Z556&amp;IF($Y556&lt;=TODAY()," is due TODAY ("," is due next business day (")&amp;TEXT($Y556,"dd-mmm")&amp;").","Next: "&amp;$Z556&amp;" due "&amp;TEXT($Y556,"dd-mmm")&amp;" ("&amp;(NETWORKDAYS(TODAY(),$Y556,Holidays)-1)&amp;" business day(s) left).")))))</f>
        <v/>
      </c>
      <c r="V556" s="17">
        <f>IF($W556="","",CHOOSE($W556,"Collection Email","1st Follow-up","2nd Follow-up","Local Office","CBE","Roxanne")&amp;IF($W556=6," - Final"," - Day "&amp;MAX(0,NETWORKDAYS($X556,TODAY(),Holidays)-1)&amp;" of "&amp;CHOOSE($W556,3,3,2,2,3))&amp;" | Total Day "&amp;MAX(0,NETWORKDAYS($L556,TODAY(),Holidays)-1))</f>
        <v/>
      </c>
      <c r="W556" s="17">
        <f>IF($L556="","",COUNT($L556:$Q556))</f>
        <v/>
      </c>
      <c r="X556" s="18">
        <f>IF($W556="","",INT(INDEX($L556:$Q556,$W556)))</f>
        <v/>
      </c>
      <c r="Y556" s="18">
        <f>IF(OR($W556="",$W556=6),"",WORKDAY($X556,CHOOSE($W556,3,3,2,2,3),Holidays))</f>
        <v/>
      </c>
      <c r="Z556" s="17">
        <f>IF(OR($W556="",$W556=6),"",CHOOSE($W556,"1st Email Follow-up","2nd Email Follow-up","Escalate Local Office","Escalate to CBE","Escalate to Roxanne"))</f>
        <v/>
      </c>
    </row>
    <row r="557" spans="18:26">
      <c r="R557" s="15"/>
      <c r="S557" s="16"/>
      <c r="T557" s="17">
        <f>IF(AND(COUNTA($A557:$K557)=0,$L557=""),"",IF($S557="Paid","PAID",IF($S557="Closed","CLOSED",IF($W557="","",IF($W557=6,"ESCALATED TO ROXANNE",IF(TODAY()&gt;$Y557,"OVERDUE",IF($Y557&lt;=WORKDAY(TODAY(),1,Holidays),"DUE TOMORROW",IF($W557=4,"ESCALATED TO LOCAL OFFICE",IF($W557=5,"ESCALATED TO CBE",IF($X557=TODAY(),"EMAIL SENT","MONITORING"))))))))))</f>
        <v/>
      </c>
      <c r="U557" s="17">
        <f>IF($T557="",IF(AND(COUNTA($A557:$K557)&gt;0,$L557=""),"Awaiting Collection Email time stamp.",""),IF(OR($T557="PAID",$T557="CLOSED"),IF($T557="PAID","Account paid. Action completed.","Account closed. No further action required."),CHOOSE($W557,"Collection Email","1st Email Follow-up","2nd Email Follow-up","Escalation to Local Office","Escalation to CBE","Escalation to Roxanne")&amp;" sent "&amp;TEXT($X557,"dd-mmm")&amp;". "&amp;IF($W557=6,"Final escalation completed.",IF($T557="OVERDUE","Next: "&amp;$Z557&amp;" was due "&amp;TEXT($Y557,"dd-mmm")&amp;" - "&amp;(NETWORKDAYS($Y557,TODAY(),Holidays)-1)&amp;" business day(s) late. Send now.",IF($T557="DUE TOMORROW","Next: "&amp;$Z557&amp;IF($Y557&lt;=TODAY()," is due TODAY ("," is due next business day (")&amp;TEXT($Y557,"dd-mmm")&amp;").","Next: "&amp;$Z557&amp;" due "&amp;TEXT($Y557,"dd-mmm")&amp;" ("&amp;(NETWORKDAYS(TODAY(),$Y557,Holidays)-1)&amp;" business day(s) left).")))))</f>
        <v/>
      </c>
      <c r="V557" s="17">
        <f>IF($W557="","",CHOOSE($W557,"Collection Email","1st Follow-up","2nd Follow-up","Local Office","CBE","Roxanne")&amp;IF($W557=6," - Final"," - Day "&amp;MAX(0,NETWORKDAYS($X557,TODAY(),Holidays)-1)&amp;" of "&amp;CHOOSE($W557,3,3,2,2,3))&amp;" | Total Day "&amp;MAX(0,NETWORKDAYS($L557,TODAY(),Holidays)-1))</f>
        <v/>
      </c>
      <c r="W557" s="17">
        <f>IF($L557="","",COUNT($L557:$Q557))</f>
        <v/>
      </c>
      <c r="X557" s="18">
        <f>IF($W557="","",INT(INDEX($L557:$Q557,$W557)))</f>
        <v/>
      </c>
      <c r="Y557" s="18">
        <f>IF(OR($W557="",$W557=6),"",WORKDAY($X557,CHOOSE($W557,3,3,2,2,3),Holidays))</f>
        <v/>
      </c>
      <c r="Z557" s="17">
        <f>IF(OR($W557="",$W557=6),"",CHOOSE($W557,"1st Email Follow-up","2nd Email Follow-up","Escalate Local Office","Escalate to CBE","Escalate to Roxanne"))</f>
        <v/>
      </c>
    </row>
    <row r="558" spans="18:26">
      <c r="R558" s="15"/>
      <c r="S558" s="16"/>
      <c r="T558" s="17">
        <f>IF(AND(COUNTA($A558:$K558)=0,$L558=""),"",IF($S558="Paid","PAID",IF($S558="Closed","CLOSED",IF($W558="","",IF($W558=6,"ESCALATED TO ROXANNE",IF(TODAY()&gt;$Y558,"OVERDUE",IF($Y558&lt;=WORKDAY(TODAY(),1,Holidays),"DUE TOMORROW",IF($W558=4,"ESCALATED TO LOCAL OFFICE",IF($W558=5,"ESCALATED TO CBE",IF($X558=TODAY(),"EMAIL SENT","MONITORING"))))))))))</f>
        <v/>
      </c>
      <c r="U558" s="17">
        <f>IF($T558="",IF(AND(COUNTA($A558:$K558)&gt;0,$L558=""),"Awaiting Collection Email time stamp.",""),IF(OR($T558="PAID",$T558="CLOSED"),IF($T558="PAID","Account paid. Action completed.","Account closed. No further action required."),CHOOSE($W558,"Collection Email","1st Email Follow-up","2nd Email Follow-up","Escalation to Local Office","Escalation to CBE","Escalation to Roxanne")&amp;" sent "&amp;TEXT($X558,"dd-mmm")&amp;". "&amp;IF($W558=6,"Final escalation completed.",IF($T558="OVERDUE","Next: "&amp;$Z558&amp;" was due "&amp;TEXT($Y558,"dd-mmm")&amp;" - "&amp;(NETWORKDAYS($Y558,TODAY(),Holidays)-1)&amp;" business day(s) late. Send now.",IF($T558="DUE TOMORROW","Next: "&amp;$Z558&amp;IF($Y558&lt;=TODAY()," is due TODAY ("," is due next business day (")&amp;TEXT($Y558,"dd-mmm")&amp;").","Next: "&amp;$Z558&amp;" due "&amp;TEXT($Y558,"dd-mmm")&amp;" ("&amp;(NETWORKDAYS(TODAY(),$Y558,Holidays)-1)&amp;" business day(s) left).")))))</f>
        <v/>
      </c>
      <c r="V558" s="17">
        <f>IF($W558="","",CHOOSE($W558,"Collection Email","1st Follow-up","2nd Follow-up","Local Office","CBE","Roxanne")&amp;IF($W558=6," - Final"," - Day "&amp;MAX(0,NETWORKDAYS($X558,TODAY(),Holidays)-1)&amp;" of "&amp;CHOOSE($W558,3,3,2,2,3))&amp;" | Total Day "&amp;MAX(0,NETWORKDAYS($L558,TODAY(),Holidays)-1))</f>
        <v/>
      </c>
      <c r="W558" s="17">
        <f>IF($L558="","",COUNT($L558:$Q558))</f>
        <v/>
      </c>
      <c r="X558" s="18">
        <f>IF($W558="","",INT(INDEX($L558:$Q558,$W558)))</f>
        <v/>
      </c>
      <c r="Y558" s="18">
        <f>IF(OR($W558="",$W558=6),"",WORKDAY($X558,CHOOSE($W558,3,3,2,2,3),Holidays))</f>
        <v/>
      </c>
      <c r="Z558" s="17">
        <f>IF(OR($W558="",$W558=6),"",CHOOSE($W558,"1st Email Follow-up","2nd Email Follow-up","Escalate Local Office","Escalate to CBE","Escalate to Roxanne"))</f>
        <v/>
      </c>
    </row>
    <row r="559" spans="18:26">
      <c r="R559" s="15"/>
      <c r="S559" s="16"/>
      <c r="T559" s="17">
        <f>IF(AND(COUNTA($A559:$K559)=0,$L559=""),"",IF($S559="Paid","PAID",IF($S559="Closed","CLOSED",IF($W559="","",IF($W559=6,"ESCALATED TO ROXANNE",IF(TODAY()&gt;$Y559,"OVERDUE",IF($Y559&lt;=WORKDAY(TODAY(),1,Holidays),"DUE TOMORROW",IF($W559=4,"ESCALATED TO LOCAL OFFICE",IF($W559=5,"ESCALATED TO CBE",IF($X559=TODAY(),"EMAIL SENT","MONITORING"))))))))))</f>
        <v/>
      </c>
      <c r="U559" s="17">
        <f>IF($T559="",IF(AND(COUNTA($A559:$K559)&gt;0,$L559=""),"Awaiting Collection Email time stamp.",""),IF(OR($T559="PAID",$T559="CLOSED"),IF($T559="PAID","Account paid. Action completed.","Account closed. No further action required."),CHOOSE($W559,"Collection Email","1st Email Follow-up","2nd Email Follow-up","Escalation to Local Office","Escalation to CBE","Escalation to Roxanne")&amp;" sent "&amp;TEXT($X559,"dd-mmm")&amp;". "&amp;IF($W559=6,"Final escalation completed.",IF($T559="OVERDUE","Next: "&amp;$Z559&amp;" was due "&amp;TEXT($Y559,"dd-mmm")&amp;" - "&amp;(NETWORKDAYS($Y559,TODAY(),Holidays)-1)&amp;" business day(s) late. Send now.",IF($T559="DUE TOMORROW","Next: "&amp;$Z559&amp;IF($Y559&lt;=TODAY()," is due TODAY ("," is due next business day (")&amp;TEXT($Y559,"dd-mmm")&amp;").","Next: "&amp;$Z559&amp;" due "&amp;TEXT($Y559,"dd-mmm")&amp;" ("&amp;(NETWORKDAYS(TODAY(),$Y559,Holidays)-1)&amp;" business day(s) left).")))))</f>
        <v/>
      </c>
      <c r="V559" s="17">
        <f>IF($W559="","",CHOOSE($W559,"Collection Email","1st Follow-up","2nd Follow-up","Local Office","CBE","Roxanne")&amp;IF($W559=6," - Final"," - Day "&amp;MAX(0,NETWORKDAYS($X559,TODAY(),Holidays)-1)&amp;" of "&amp;CHOOSE($W559,3,3,2,2,3))&amp;" | Total Day "&amp;MAX(0,NETWORKDAYS($L559,TODAY(),Holidays)-1))</f>
        <v/>
      </c>
      <c r="W559" s="17">
        <f>IF($L559="","",COUNT($L559:$Q559))</f>
        <v/>
      </c>
      <c r="X559" s="18">
        <f>IF($W559="","",INT(INDEX($L559:$Q559,$W559)))</f>
        <v/>
      </c>
      <c r="Y559" s="18">
        <f>IF(OR($W559="",$W559=6),"",WORKDAY($X559,CHOOSE($W559,3,3,2,2,3),Holidays))</f>
        <v/>
      </c>
      <c r="Z559" s="17">
        <f>IF(OR($W559="",$W559=6),"",CHOOSE($W559,"1st Email Follow-up","2nd Email Follow-up","Escalate Local Office","Escalate to CBE","Escalate to Roxanne"))</f>
        <v/>
      </c>
    </row>
    <row r="560" spans="18:26">
      <c r="R560" s="15"/>
      <c r="S560" s="16"/>
      <c r="T560" s="17">
        <f>IF(AND(COUNTA($A560:$K560)=0,$L560=""),"",IF($S560="Paid","PAID",IF($S560="Closed","CLOSED",IF($W560="","",IF($W560=6,"ESCALATED TO ROXANNE",IF(TODAY()&gt;$Y560,"OVERDUE",IF($Y560&lt;=WORKDAY(TODAY(),1,Holidays),"DUE TOMORROW",IF($W560=4,"ESCALATED TO LOCAL OFFICE",IF($W560=5,"ESCALATED TO CBE",IF($X560=TODAY(),"EMAIL SENT","MONITORING"))))))))))</f>
        <v/>
      </c>
      <c r="U560" s="17">
        <f>IF($T560="",IF(AND(COUNTA($A560:$K560)&gt;0,$L560=""),"Awaiting Collection Email time stamp.",""),IF(OR($T560="PAID",$T560="CLOSED"),IF($T560="PAID","Account paid. Action completed.","Account closed. No further action required."),CHOOSE($W560,"Collection Email","1st Email Follow-up","2nd Email Follow-up","Escalation to Local Office","Escalation to CBE","Escalation to Roxanne")&amp;" sent "&amp;TEXT($X560,"dd-mmm")&amp;". "&amp;IF($W560=6,"Final escalation completed.",IF($T560="OVERDUE","Next: "&amp;$Z560&amp;" was due "&amp;TEXT($Y560,"dd-mmm")&amp;" - "&amp;(NETWORKDAYS($Y560,TODAY(),Holidays)-1)&amp;" business day(s) late. Send now.",IF($T560="DUE TOMORROW","Next: "&amp;$Z560&amp;IF($Y560&lt;=TODAY()," is due TODAY ("," is due next business day (")&amp;TEXT($Y560,"dd-mmm")&amp;").","Next: "&amp;$Z560&amp;" due "&amp;TEXT($Y560,"dd-mmm")&amp;" ("&amp;(NETWORKDAYS(TODAY(),$Y560,Holidays)-1)&amp;" business day(s) left).")))))</f>
        <v/>
      </c>
      <c r="V560" s="17">
        <f>IF($W560="","",CHOOSE($W560,"Collection Email","1st Follow-up","2nd Follow-up","Local Office","CBE","Roxanne")&amp;IF($W560=6," - Final"," - Day "&amp;MAX(0,NETWORKDAYS($X560,TODAY(),Holidays)-1)&amp;" of "&amp;CHOOSE($W560,3,3,2,2,3))&amp;" | Total Day "&amp;MAX(0,NETWORKDAYS($L560,TODAY(),Holidays)-1))</f>
        <v/>
      </c>
      <c r="W560" s="17">
        <f>IF($L560="","",COUNT($L560:$Q560))</f>
        <v/>
      </c>
      <c r="X560" s="18">
        <f>IF($W560="","",INT(INDEX($L560:$Q560,$W560)))</f>
        <v/>
      </c>
      <c r="Y560" s="18">
        <f>IF(OR($W560="",$W560=6),"",WORKDAY($X560,CHOOSE($W560,3,3,2,2,3),Holidays))</f>
        <v/>
      </c>
      <c r="Z560" s="17">
        <f>IF(OR($W560="",$W560=6),"",CHOOSE($W560,"1st Email Follow-up","2nd Email Follow-up","Escalate Local Office","Escalate to CBE","Escalate to Roxanne"))</f>
        <v/>
      </c>
    </row>
    <row r="561" spans="18:26">
      <c r="R561" s="15"/>
      <c r="S561" s="16"/>
      <c r="T561" s="17">
        <f>IF(AND(COUNTA($A561:$K561)=0,$L561=""),"",IF($S561="Paid","PAID",IF($S561="Closed","CLOSED",IF($W561="","",IF($W561=6,"ESCALATED TO ROXANNE",IF(TODAY()&gt;$Y561,"OVERDUE",IF($Y561&lt;=WORKDAY(TODAY(),1,Holidays),"DUE TOMORROW",IF($W561=4,"ESCALATED TO LOCAL OFFICE",IF($W561=5,"ESCALATED TO CBE",IF($X561=TODAY(),"EMAIL SENT","MONITORING"))))))))))</f>
        <v/>
      </c>
      <c r="U561" s="17">
        <f>IF($T561="",IF(AND(COUNTA($A561:$K561)&gt;0,$L561=""),"Awaiting Collection Email time stamp.",""),IF(OR($T561="PAID",$T561="CLOSED"),IF($T561="PAID","Account paid. Action completed.","Account closed. No further action required."),CHOOSE($W561,"Collection Email","1st Email Follow-up","2nd Email Follow-up","Escalation to Local Office","Escalation to CBE","Escalation to Roxanne")&amp;" sent "&amp;TEXT($X561,"dd-mmm")&amp;". "&amp;IF($W561=6,"Final escalation completed.",IF($T561="OVERDUE","Next: "&amp;$Z561&amp;" was due "&amp;TEXT($Y561,"dd-mmm")&amp;" - "&amp;(NETWORKDAYS($Y561,TODAY(),Holidays)-1)&amp;" business day(s) late. Send now.",IF($T561="DUE TOMORROW","Next: "&amp;$Z561&amp;IF($Y561&lt;=TODAY()," is due TODAY ("," is due next business day (")&amp;TEXT($Y561,"dd-mmm")&amp;").","Next: "&amp;$Z561&amp;" due "&amp;TEXT($Y561,"dd-mmm")&amp;" ("&amp;(NETWORKDAYS(TODAY(),$Y561,Holidays)-1)&amp;" business day(s) left).")))))</f>
        <v/>
      </c>
      <c r="V561" s="17">
        <f>IF($W561="","",CHOOSE($W561,"Collection Email","1st Follow-up","2nd Follow-up","Local Office","CBE","Roxanne")&amp;IF($W561=6," - Final"," - Day "&amp;MAX(0,NETWORKDAYS($X561,TODAY(),Holidays)-1)&amp;" of "&amp;CHOOSE($W561,3,3,2,2,3))&amp;" | Total Day "&amp;MAX(0,NETWORKDAYS($L561,TODAY(),Holidays)-1))</f>
        <v/>
      </c>
      <c r="W561" s="17">
        <f>IF($L561="","",COUNT($L561:$Q561))</f>
        <v/>
      </c>
      <c r="X561" s="18">
        <f>IF($W561="","",INT(INDEX($L561:$Q561,$W561)))</f>
        <v/>
      </c>
      <c r="Y561" s="18">
        <f>IF(OR($W561="",$W561=6),"",WORKDAY($X561,CHOOSE($W561,3,3,2,2,3),Holidays))</f>
        <v/>
      </c>
      <c r="Z561" s="17">
        <f>IF(OR($W561="",$W561=6),"",CHOOSE($W561,"1st Email Follow-up","2nd Email Follow-up","Escalate Local Office","Escalate to CBE","Escalate to Roxanne"))</f>
        <v/>
      </c>
    </row>
    <row r="562" spans="18:26">
      <c r="R562" s="15"/>
      <c r="S562" s="16"/>
      <c r="T562" s="17">
        <f>IF(AND(COUNTA($A562:$K562)=0,$L562=""),"",IF($S562="Paid","PAID",IF($S562="Closed","CLOSED",IF($W562="","",IF($W562=6,"ESCALATED TO ROXANNE",IF(TODAY()&gt;$Y562,"OVERDUE",IF($Y562&lt;=WORKDAY(TODAY(),1,Holidays),"DUE TOMORROW",IF($W562=4,"ESCALATED TO LOCAL OFFICE",IF($W562=5,"ESCALATED TO CBE",IF($X562=TODAY(),"EMAIL SENT","MONITORING"))))))))))</f>
        <v/>
      </c>
      <c r="U562" s="17">
        <f>IF($T562="",IF(AND(COUNTA($A562:$K562)&gt;0,$L562=""),"Awaiting Collection Email time stamp.",""),IF(OR($T562="PAID",$T562="CLOSED"),IF($T562="PAID","Account paid. Action completed.","Account closed. No further action required."),CHOOSE($W562,"Collection Email","1st Email Follow-up","2nd Email Follow-up","Escalation to Local Office","Escalation to CBE","Escalation to Roxanne")&amp;" sent "&amp;TEXT($X562,"dd-mmm")&amp;". "&amp;IF($W562=6,"Final escalation completed.",IF($T562="OVERDUE","Next: "&amp;$Z562&amp;" was due "&amp;TEXT($Y562,"dd-mmm")&amp;" - "&amp;(NETWORKDAYS($Y562,TODAY(),Holidays)-1)&amp;" business day(s) late. Send now.",IF($T562="DUE TOMORROW","Next: "&amp;$Z562&amp;IF($Y562&lt;=TODAY()," is due TODAY ("," is due next business day (")&amp;TEXT($Y562,"dd-mmm")&amp;").","Next: "&amp;$Z562&amp;" due "&amp;TEXT($Y562,"dd-mmm")&amp;" ("&amp;(NETWORKDAYS(TODAY(),$Y562,Holidays)-1)&amp;" business day(s) left).")))))</f>
        <v/>
      </c>
      <c r="V562" s="17">
        <f>IF($W562="","",CHOOSE($W562,"Collection Email","1st Follow-up","2nd Follow-up","Local Office","CBE","Roxanne")&amp;IF($W562=6," - Final"," - Day "&amp;MAX(0,NETWORKDAYS($X562,TODAY(),Holidays)-1)&amp;" of "&amp;CHOOSE($W562,3,3,2,2,3))&amp;" | Total Day "&amp;MAX(0,NETWORKDAYS($L562,TODAY(),Holidays)-1))</f>
        <v/>
      </c>
      <c r="W562" s="17">
        <f>IF($L562="","",COUNT($L562:$Q562))</f>
        <v/>
      </c>
      <c r="X562" s="18">
        <f>IF($W562="","",INT(INDEX($L562:$Q562,$W562)))</f>
        <v/>
      </c>
      <c r="Y562" s="18">
        <f>IF(OR($W562="",$W562=6),"",WORKDAY($X562,CHOOSE($W562,3,3,2,2,3),Holidays))</f>
        <v/>
      </c>
      <c r="Z562" s="17">
        <f>IF(OR($W562="",$W562=6),"",CHOOSE($W562,"1st Email Follow-up","2nd Email Follow-up","Escalate Local Office","Escalate to CBE","Escalate to Roxanne"))</f>
        <v/>
      </c>
    </row>
    <row r="563" spans="18:26">
      <c r="R563" s="15"/>
      <c r="S563" s="16"/>
      <c r="T563" s="17">
        <f>IF(AND(COUNTA($A563:$K563)=0,$L563=""),"",IF($S563="Paid","PAID",IF($S563="Closed","CLOSED",IF($W563="","",IF($W563=6,"ESCALATED TO ROXANNE",IF(TODAY()&gt;$Y563,"OVERDUE",IF($Y563&lt;=WORKDAY(TODAY(),1,Holidays),"DUE TOMORROW",IF($W563=4,"ESCALATED TO LOCAL OFFICE",IF($W563=5,"ESCALATED TO CBE",IF($X563=TODAY(),"EMAIL SENT","MONITORING"))))))))))</f>
        <v/>
      </c>
      <c r="U563" s="17">
        <f>IF($T563="",IF(AND(COUNTA($A563:$K563)&gt;0,$L563=""),"Awaiting Collection Email time stamp.",""),IF(OR($T563="PAID",$T563="CLOSED"),IF($T563="PAID","Account paid. Action completed.","Account closed. No further action required."),CHOOSE($W563,"Collection Email","1st Email Follow-up","2nd Email Follow-up","Escalation to Local Office","Escalation to CBE","Escalation to Roxanne")&amp;" sent "&amp;TEXT($X563,"dd-mmm")&amp;". "&amp;IF($W563=6,"Final escalation completed.",IF($T563="OVERDUE","Next: "&amp;$Z563&amp;" was due "&amp;TEXT($Y563,"dd-mmm")&amp;" - "&amp;(NETWORKDAYS($Y563,TODAY(),Holidays)-1)&amp;" business day(s) late. Send now.",IF($T563="DUE TOMORROW","Next: "&amp;$Z563&amp;IF($Y563&lt;=TODAY()," is due TODAY ("," is due next business day (")&amp;TEXT($Y563,"dd-mmm")&amp;").","Next: "&amp;$Z563&amp;" due "&amp;TEXT($Y563,"dd-mmm")&amp;" ("&amp;(NETWORKDAYS(TODAY(),$Y563,Holidays)-1)&amp;" business day(s) left).")))))</f>
        <v/>
      </c>
      <c r="V563" s="17">
        <f>IF($W563="","",CHOOSE($W563,"Collection Email","1st Follow-up","2nd Follow-up","Local Office","CBE","Roxanne")&amp;IF($W563=6," - Final"," - Day "&amp;MAX(0,NETWORKDAYS($X563,TODAY(),Holidays)-1)&amp;" of "&amp;CHOOSE($W563,3,3,2,2,3))&amp;" | Total Day "&amp;MAX(0,NETWORKDAYS($L563,TODAY(),Holidays)-1))</f>
        <v/>
      </c>
      <c r="W563" s="17">
        <f>IF($L563="","",COUNT($L563:$Q563))</f>
        <v/>
      </c>
      <c r="X563" s="18">
        <f>IF($W563="","",INT(INDEX($L563:$Q563,$W563)))</f>
        <v/>
      </c>
      <c r="Y563" s="18">
        <f>IF(OR($W563="",$W563=6),"",WORKDAY($X563,CHOOSE($W563,3,3,2,2,3),Holidays))</f>
        <v/>
      </c>
      <c r="Z563" s="17">
        <f>IF(OR($W563="",$W563=6),"",CHOOSE($W563,"1st Email Follow-up","2nd Email Follow-up","Escalate Local Office","Escalate to CBE","Escalate to Roxanne"))</f>
        <v/>
      </c>
    </row>
    <row r="564" spans="18:26">
      <c r="R564" s="15"/>
      <c r="S564" s="16"/>
      <c r="T564" s="17">
        <f>IF(AND(COUNTA($A564:$K564)=0,$L564=""),"",IF($S564="Paid","PAID",IF($S564="Closed","CLOSED",IF($W564="","",IF($W564=6,"ESCALATED TO ROXANNE",IF(TODAY()&gt;$Y564,"OVERDUE",IF($Y564&lt;=WORKDAY(TODAY(),1,Holidays),"DUE TOMORROW",IF($W564=4,"ESCALATED TO LOCAL OFFICE",IF($W564=5,"ESCALATED TO CBE",IF($X564=TODAY(),"EMAIL SENT","MONITORING"))))))))))</f>
        <v/>
      </c>
      <c r="U564" s="17">
        <f>IF($T564="",IF(AND(COUNTA($A564:$K564)&gt;0,$L564=""),"Awaiting Collection Email time stamp.",""),IF(OR($T564="PAID",$T564="CLOSED"),IF($T564="PAID","Account paid. Action completed.","Account closed. No further action required."),CHOOSE($W564,"Collection Email","1st Email Follow-up","2nd Email Follow-up","Escalation to Local Office","Escalation to CBE","Escalation to Roxanne")&amp;" sent "&amp;TEXT($X564,"dd-mmm")&amp;". "&amp;IF($W564=6,"Final escalation completed.",IF($T564="OVERDUE","Next: "&amp;$Z564&amp;" was due "&amp;TEXT($Y564,"dd-mmm")&amp;" - "&amp;(NETWORKDAYS($Y564,TODAY(),Holidays)-1)&amp;" business day(s) late. Send now.",IF($T564="DUE TOMORROW","Next: "&amp;$Z564&amp;IF($Y564&lt;=TODAY()," is due TODAY ("," is due next business day (")&amp;TEXT($Y564,"dd-mmm")&amp;").","Next: "&amp;$Z564&amp;" due "&amp;TEXT($Y564,"dd-mmm")&amp;" ("&amp;(NETWORKDAYS(TODAY(),$Y564,Holidays)-1)&amp;" business day(s) left).")))))</f>
        <v/>
      </c>
      <c r="V564" s="17">
        <f>IF($W564="","",CHOOSE($W564,"Collection Email","1st Follow-up","2nd Follow-up","Local Office","CBE","Roxanne")&amp;IF($W564=6," - Final"," - Day "&amp;MAX(0,NETWORKDAYS($X564,TODAY(),Holidays)-1)&amp;" of "&amp;CHOOSE($W564,3,3,2,2,3))&amp;" | Total Day "&amp;MAX(0,NETWORKDAYS($L564,TODAY(),Holidays)-1))</f>
        <v/>
      </c>
      <c r="W564" s="17">
        <f>IF($L564="","",COUNT($L564:$Q564))</f>
        <v/>
      </c>
      <c r="X564" s="18">
        <f>IF($W564="","",INT(INDEX($L564:$Q564,$W564)))</f>
        <v/>
      </c>
      <c r="Y564" s="18">
        <f>IF(OR($W564="",$W564=6),"",WORKDAY($X564,CHOOSE($W564,3,3,2,2,3),Holidays))</f>
        <v/>
      </c>
      <c r="Z564" s="17">
        <f>IF(OR($W564="",$W564=6),"",CHOOSE($W564,"1st Email Follow-up","2nd Email Follow-up","Escalate Local Office","Escalate to CBE","Escalate to Roxanne"))</f>
        <v/>
      </c>
    </row>
    <row r="565" spans="18:26">
      <c r="R565" s="15"/>
      <c r="S565" s="16"/>
      <c r="T565" s="17">
        <f>IF(AND(COUNTA($A565:$K565)=0,$L565=""),"",IF($S565="Paid","PAID",IF($S565="Closed","CLOSED",IF($W565="","",IF($W565=6,"ESCALATED TO ROXANNE",IF(TODAY()&gt;$Y565,"OVERDUE",IF($Y565&lt;=WORKDAY(TODAY(),1,Holidays),"DUE TOMORROW",IF($W565=4,"ESCALATED TO LOCAL OFFICE",IF($W565=5,"ESCALATED TO CBE",IF($X565=TODAY(),"EMAIL SENT","MONITORING"))))))))))</f>
        <v/>
      </c>
      <c r="U565" s="17">
        <f>IF($T565="",IF(AND(COUNTA($A565:$K565)&gt;0,$L565=""),"Awaiting Collection Email time stamp.",""),IF(OR($T565="PAID",$T565="CLOSED"),IF($T565="PAID","Account paid. Action completed.","Account closed. No further action required."),CHOOSE($W565,"Collection Email","1st Email Follow-up","2nd Email Follow-up","Escalation to Local Office","Escalation to CBE","Escalation to Roxanne")&amp;" sent "&amp;TEXT($X565,"dd-mmm")&amp;". "&amp;IF($W565=6,"Final escalation completed.",IF($T565="OVERDUE","Next: "&amp;$Z565&amp;" was due "&amp;TEXT($Y565,"dd-mmm")&amp;" - "&amp;(NETWORKDAYS($Y565,TODAY(),Holidays)-1)&amp;" business day(s) late. Send now.",IF($T565="DUE TOMORROW","Next: "&amp;$Z565&amp;IF($Y565&lt;=TODAY()," is due TODAY ("," is due next business day (")&amp;TEXT($Y565,"dd-mmm")&amp;").","Next: "&amp;$Z565&amp;" due "&amp;TEXT($Y565,"dd-mmm")&amp;" ("&amp;(NETWORKDAYS(TODAY(),$Y565,Holidays)-1)&amp;" business day(s) left).")))))</f>
        <v/>
      </c>
      <c r="V565" s="17">
        <f>IF($W565="","",CHOOSE($W565,"Collection Email","1st Follow-up","2nd Follow-up","Local Office","CBE","Roxanne")&amp;IF($W565=6," - Final"," - Day "&amp;MAX(0,NETWORKDAYS($X565,TODAY(),Holidays)-1)&amp;" of "&amp;CHOOSE($W565,3,3,2,2,3))&amp;" | Total Day "&amp;MAX(0,NETWORKDAYS($L565,TODAY(),Holidays)-1))</f>
        <v/>
      </c>
      <c r="W565" s="17">
        <f>IF($L565="","",COUNT($L565:$Q565))</f>
        <v/>
      </c>
      <c r="X565" s="18">
        <f>IF($W565="","",INT(INDEX($L565:$Q565,$W565)))</f>
        <v/>
      </c>
      <c r="Y565" s="18">
        <f>IF(OR($W565="",$W565=6),"",WORKDAY($X565,CHOOSE($W565,3,3,2,2,3),Holidays))</f>
        <v/>
      </c>
      <c r="Z565" s="17">
        <f>IF(OR($W565="",$W565=6),"",CHOOSE($W565,"1st Email Follow-up","2nd Email Follow-up","Escalate Local Office","Escalate to CBE","Escalate to Roxanne"))</f>
        <v/>
      </c>
    </row>
    <row r="566" spans="18:26">
      <c r="R566" s="15"/>
      <c r="S566" s="16"/>
      <c r="T566" s="17">
        <f>IF(AND(COUNTA($A566:$K566)=0,$L566=""),"",IF($S566="Paid","PAID",IF($S566="Closed","CLOSED",IF($W566="","",IF($W566=6,"ESCALATED TO ROXANNE",IF(TODAY()&gt;$Y566,"OVERDUE",IF($Y566&lt;=WORKDAY(TODAY(),1,Holidays),"DUE TOMORROW",IF($W566=4,"ESCALATED TO LOCAL OFFICE",IF($W566=5,"ESCALATED TO CBE",IF($X566=TODAY(),"EMAIL SENT","MONITORING"))))))))))</f>
        <v/>
      </c>
      <c r="U566" s="17">
        <f>IF($T566="",IF(AND(COUNTA($A566:$K566)&gt;0,$L566=""),"Awaiting Collection Email time stamp.",""),IF(OR($T566="PAID",$T566="CLOSED"),IF($T566="PAID","Account paid. Action completed.","Account closed. No further action required."),CHOOSE($W566,"Collection Email","1st Email Follow-up","2nd Email Follow-up","Escalation to Local Office","Escalation to CBE","Escalation to Roxanne")&amp;" sent "&amp;TEXT($X566,"dd-mmm")&amp;". "&amp;IF($W566=6,"Final escalation completed.",IF($T566="OVERDUE","Next: "&amp;$Z566&amp;" was due "&amp;TEXT($Y566,"dd-mmm")&amp;" - "&amp;(NETWORKDAYS($Y566,TODAY(),Holidays)-1)&amp;" business day(s) late. Send now.",IF($T566="DUE TOMORROW","Next: "&amp;$Z566&amp;IF($Y566&lt;=TODAY()," is due TODAY ("," is due next business day (")&amp;TEXT($Y566,"dd-mmm")&amp;").","Next: "&amp;$Z566&amp;" due "&amp;TEXT($Y566,"dd-mmm")&amp;" ("&amp;(NETWORKDAYS(TODAY(),$Y566,Holidays)-1)&amp;" business day(s) left).")))))</f>
        <v/>
      </c>
      <c r="V566" s="17">
        <f>IF($W566="","",CHOOSE($W566,"Collection Email","1st Follow-up","2nd Follow-up","Local Office","CBE","Roxanne")&amp;IF($W566=6," - Final"," - Day "&amp;MAX(0,NETWORKDAYS($X566,TODAY(),Holidays)-1)&amp;" of "&amp;CHOOSE($W566,3,3,2,2,3))&amp;" | Total Day "&amp;MAX(0,NETWORKDAYS($L566,TODAY(),Holidays)-1))</f>
        <v/>
      </c>
      <c r="W566" s="17">
        <f>IF($L566="","",COUNT($L566:$Q566))</f>
        <v/>
      </c>
      <c r="X566" s="18">
        <f>IF($W566="","",INT(INDEX($L566:$Q566,$W566)))</f>
        <v/>
      </c>
      <c r="Y566" s="18">
        <f>IF(OR($W566="",$W566=6),"",WORKDAY($X566,CHOOSE($W566,3,3,2,2,3),Holidays))</f>
        <v/>
      </c>
      <c r="Z566" s="17">
        <f>IF(OR($W566="",$W566=6),"",CHOOSE($W566,"1st Email Follow-up","2nd Email Follow-up","Escalate Local Office","Escalate to CBE","Escalate to Roxanne"))</f>
        <v/>
      </c>
    </row>
    <row r="567" spans="18:26">
      <c r="R567" s="15"/>
      <c r="S567" s="16"/>
      <c r="T567" s="17">
        <f>IF(AND(COUNTA($A567:$K567)=0,$L567=""),"",IF($S567="Paid","PAID",IF($S567="Closed","CLOSED",IF($W567="","",IF($W567=6,"ESCALATED TO ROXANNE",IF(TODAY()&gt;$Y567,"OVERDUE",IF($Y567&lt;=WORKDAY(TODAY(),1,Holidays),"DUE TOMORROW",IF($W567=4,"ESCALATED TO LOCAL OFFICE",IF($W567=5,"ESCALATED TO CBE",IF($X567=TODAY(),"EMAIL SENT","MONITORING"))))))))))</f>
        <v/>
      </c>
      <c r="U567" s="17">
        <f>IF($T567="",IF(AND(COUNTA($A567:$K567)&gt;0,$L567=""),"Awaiting Collection Email time stamp.",""),IF(OR($T567="PAID",$T567="CLOSED"),IF($T567="PAID","Account paid. Action completed.","Account closed. No further action required."),CHOOSE($W567,"Collection Email","1st Email Follow-up","2nd Email Follow-up","Escalation to Local Office","Escalation to CBE","Escalation to Roxanne")&amp;" sent "&amp;TEXT($X567,"dd-mmm")&amp;". "&amp;IF($W567=6,"Final escalation completed.",IF($T567="OVERDUE","Next: "&amp;$Z567&amp;" was due "&amp;TEXT($Y567,"dd-mmm")&amp;" - "&amp;(NETWORKDAYS($Y567,TODAY(),Holidays)-1)&amp;" business day(s) late. Send now.",IF($T567="DUE TOMORROW","Next: "&amp;$Z567&amp;IF($Y567&lt;=TODAY()," is due TODAY ("," is due next business day (")&amp;TEXT($Y567,"dd-mmm")&amp;").","Next: "&amp;$Z567&amp;" due "&amp;TEXT($Y567,"dd-mmm")&amp;" ("&amp;(NETWORKDAYS(TODAY(),$Y567,Holidays)-1)&amp;" business day(s) left).")))))</f>
        <v/>
      </c>
      <c r="V567" s="17">
        <f>IF($W567="","",CHOOSE($W567,"Collection Email","1st Follow-up","2nd Follow-up","Local Office","CBE","Roxanne")&amp;IF($W567=6," - Final"," - Day "&amp;MAX(0,NETWORKDAYS($X567,TODAY(),Holidays)-1)&amp;" of "&amp;CHOOSE($W567,3,3,2,2,3))&amp;" | Total Day "&amp;MAX(0,NETWORKDAYS($L567,TODAY(),Holidays)-1))</f>
        <v/>
      </c>
      <c r="W567" s="17">
        <f>IF($L567="","",COUNT($L567:$Q567))</f>
        <v/>
      </c>
      <c r="X567" s="18">
        <f>IF($W567="","",INT(INDEX($L567:$Q567,$W567)))</f>
        <v/>
      </c>
      <c r="Y567" s="18">
        <f>IF(OR($W567="",$W567=6),"",WORKDAY($X567,CHOOSE($W567,3,3,2,2,3),Holidays))</f>
        <v/>
      </c>
      <c r="Z567" s="17">
        <f>IF(OR($W567="",$W567=6),"",CHOOSE($W567,"1st Email Follow-up","2nd Email Follow-up","Escalate Local Office","Escalate to CBE","Escalate to Roxanne"))</f>
        <v/>
      </c>
    </row>
    <row r="568" spans="18:26">
      <c r="R568" s="15"/>
      <c r="S568" s="16"/>
      <c r="T568" s="17">
        <f>IF(AND(COUNTA($A568:$K568)=0,$L568=""),"",IF($S568="Paid","PAID",IF($S568="Closed","CLOSED",IF($W568="","",IF($W568=6,"ESCALATED TO ROXANNE",IF(TODAY()&gt;$Y568,"OVERDUE",IF($Y568&lt;=WORKDAY(TODAY(),1,Holidays),"DUE TOMORROW",IF($W568=4,"ESCALATED TO LOCAL OFFICE",IF($W568=5,"ESCALATED TO CBE",IF($X568=TODAY(),"EMAIL SENT","MONITORING"))))))))))</f>
        <v/>
      </c>
      <c r="U568" s="17">
        <f>IF($T568="",IF(AND(COUNTA($A568:$K568)&gt;0,$L568=""),"Awaiting Collection Email time stamp.",""),IF(OR($T568="PAID",$T568="CLOSED"),IF($T568="PAID","Account paid. Action completed.","Account closed. No further action required."),CHOOSE($W568,"Collection Email","1st Email Follow-up","2nd Email Follow-up","Escalation to Local Office","Escalation to CBE","Escalation to Roxanne")&amp;" sent "&amp;TEXT($X568,"dd-mmm")&amp;". "&amp;IF($W568=6,"Final escalation completed.",IF($T568="OVERDUE","Next: "&amp;$Z568&amp;" was due "&amp;TEXT($Y568,"dd-mmm")&amp;" - "&amp;(NETWORKDAYS($Y568,TODAY(),Holidays)-1)&amp;" business day(s) late. Send now.",IF($T568="DUE TOMORROW","Next: "&amp;$Z568&amp;IF($Y568&lt;=TODAY()," is due TODAY ("," is due next business day (")&amp;TEXT($Y568,"dd-mmm")&amp;").","Next: "&amp;$Z568&amp;" due "&amp;TEXT($Y568,"dd-mmm")&amp;" ("&amp;(NETWORKDAYS(TODAY(),$Y568,Holidays)-1)&amp;" business day(s) left).")))))</f>
        <v/>
      </c>
      <c r="V568" s="17">
        <f>IF($W568="","",CHOOSE($W568,"Collection Email","1st Follow-up","2nd Follow-up","Local Office","CBE","Roxanne")&amp;IF($W568=6," - Final"," - Day "&amp;MAX(0,NETWORKDAYS($X568,TODAY(),Holidays)-1)&amp;" of "&amp;CHOOSE($W568,3,3,2,2,3))&amp;" | Total Day "&amp;MAX(0,NETWORKDAYS($L568,TODAY(),Holidays)-1))</f>
        <v/>
      </c>
      <c r="W568" s="17">
        <f>IF($L568="","",COUNT($L568:$Q568))</f>
        <v/>
      </c>
      <c r="X568" s="18">
        <f>IF($W568="","",INT(INDEX($L568:$Q568,$W568)))</f>
        <v/>
      </c>
      <c r="Y568" s="18">
        <f>IF(OR($W568="",$W568=6),"",WORKDAY($X568,CHOOSE($W568,3,3,2,2,3),Holidays))</f>
        <v/>
      </c>
      <c r="Z568" s="17">
        <f>IF(OR($W568="",$W568=6),"",CHOOSE($W568,"1st Email Follow-up","2nd Email Follow-up","Escalate Local Office","Escalate to CBE","Escalate to Roxanne"))</f>
        <v/>
      </c>
    </row>
    <row r="569" spans="18:26">
      <c r="R569" s="15"/>
      <c r="S569" s="16"/>
      <c r="T569" s="17">
        <f>IF(AND(COUNTA($A569:$K569)=0,$L569=""),"",IF($S569="Paid","PAID",IF($S569="Closed","CLOSED",IF($W569="","",IF($W569=6,"ESCALATED TO ROXANNE",IF(TODAY()&gt;$Y569,"OVERDUE",IF($Y569&lt;=WORKDAY(TODAY(),1,Holidays),"DUE TOMORROW",IF($W569=4,"ESCALATED TO LOCAL OFFICE",IF($W569=5,"ESCALATED TO CBE",IF($X569=TODAY(),"EMAIL SENT","MONITORING"))))))))))</f>
        <v/>
      </c>
      <c r="U569" s="17">
        <f>IF($T569="",IF(AND(COUNTA($A569:$K569)&gt;0,$L569=""),"Awaiting Collection Email time stamp.",""),IF(OR($T569="PAID",$T569="CLOSED"),IF($T569="PAID","Account paid. Action completed.","Account closed. No further action required."),CHOOSE($W569,"Collection Email","1st Email Follow-up","2nd Email Follow-up","Escalation to Local Office","Escalation to CBE","Escalation to Roxanne")&amp;" sent "&amp;TEXT($X569,"dd-mmm")&amp;". "&amp;IF($W569=6,"Final escalation completed.",IF($T569="OVERDUE","Next: "&amp;$Z569&amp;" was due "&amp;TEXT($Y569,"dd-mmm")&amp;" - "&amp;(NETWORKDAYS($Y569,TODAY(),Holidays)-1)&amp;" business day(s) late. Send now.",IF($T569="DUE TOMORROW","Next: "&amp;$Z569&amp;IF($Y569&lt;=TODAY()," is due TODAY ("," is due next business day (")&amp;TEXT($Y569,"dd-mmm")&amp;").","Next: "&amp;$Z569&amp;" due "&amp;TEXT($Y569,"dd-mmm")&amp;" ("&amp;(NETWORKDAYS(TODAY(),$Y569,Holidays)-1)&amp;" business day(s) left).")))))</f>
        <v/>
      </c>
      <c r="V569" s="17">
        <f>IF($W569="","",CHOOSE($W569,"Collection Email","1st Follow-up","2nd Follow-up","Local Office","CBE","Roxanne")&amp;IF($W569=6," - Final"," - Day "&amp;MAX(0,NETWORKDAYS($X569,TODAY(),Holidays)-1)&amp;" of "&amp;CHOOSE($W569,3,3,2,2,3))&amp;" | Total Day "&amp;MAX(0,NETWORKDAYS($L569,TODAY(),Holidays)-1))</f>
        <v/>
      </c>
      <c r="W569" s="17">
        <f>IF($L569="","",COUNT($L569:$Q569))</f>
        <v/>
      </c>
      <c r="X569" s="18">
        <f>IF($W569="","",INT(INDEX($L569:$Q569,$W569)))</f>
        <v/>
      </c>
      <c r="Y569" s="18">
        <f>IF(OR($W569="",$W569=6),"",WORKDAY($X569,CHOOSE($W569,3,3,2,2,3),Holidays))</f>
        <v/>
      </c>
      <c r="Z569" s="17">
        <f>IF(OR($W569="",$W569=6),"",CHOOSE($W569,"1st Email Follow-up","2nd Email Follow-up","Escalate Local Office","Escalate to CBE","Escalate to Roxanne"))</f>
        <v/>
      </c>
    </row>
    <row r="570" spans="18:26">
      <c r="R570" s="15"/>
      <c r="S570" s="16"/>
      <c r="T570" s="17">
        <f>IF(AND(COUNTA($A570:$K570)=0,$L570=""),"",IF($S570="Paid","PAID",IF($S570="Closed","CLOSED",IF($W570="","",IF($W570=6,"ESCALATED TO ROXANNE",IF(TODAY()&gt;$Y570,"OVERDUE",IF($Y570&lt;=WORKDAY(TODAY(),1,Holidays),"DUE TOMORROW",IF($W570=4,"ESCALATED TO LOCAL OFFICE",IF($W570=5,"ESCALATED TO CBE",IF($X570=TODAY(),"EMAIL SENT","MONITORING"))))))))))</f>
        <v/>
      </c>
      <c r="U570" s="17">
        <f>IF($T570="",IF(AND(COUNTA($A570:$K570)&gt;0,$L570=""),"Awaiting Collection Email time stamp.",""),IF(OR($T570="PAID",$T570="CLOSED"),IF($T570="PAID","Account paid. Action completed.","Account closed. No further action required."),CHOOSE($W570,"Collection Email","1st Email Follow-up","2nd Email Follow-up","Escalation to Local Office","Escalation to CBE","Escalation to Roxanne")&amp;" sent "&amp;TEXT($X570,"dd-mmm")&amp;". "&amp;IF($W570=6,"Final escalation completed.",IF($T570="OVERDUE","Next: "&amp;$Z570&amp;" was due "&amp;TEXT($Y570,"dd-mmm")&amp;" - "&amp;(NETWORKDAYS($Y570,TODAY(),Holidays)-1)&amp;" business day(s) late. Send now.",IF($T570="DUE TOMORROW","Next: "&amp;$Z570&amp;IF($Y570&lt;=TODAY()," is due TODAY ("," is due next business day (")&amp;TEXT($Y570,"dd-mmm")&amp;").","Next: "&amp;$Z570&amp;" due "&amp;TEXT($Y570,"dd-mmm")&amp;" ("&amp;(NETWORKDAYS(TODAY(),$Y570,Holidays)-1)&amp;" business day(s) left).")))))</f>
        <v/>
      </c>
      <c r="V570" s="17">
        <f>IF($W570="","",CHOOSE($W570,"Collection Email","1st Follow-up","2nd Follow-up","Local Office","CBE","Roxanne")&amp;IF($W570=6," - Final"," - Day "&amp;MAX(0,NETWORKDAYS($X570,TODAY(),Holidays)-1)&amp;" of "&amp;CHOOSE($W570,3,3,2,2,3))&amp;" | Total Day "&amp;MAX(0,NETWORKDAYS($L570,TODAY(),Holidays)-1))</f>
        <v/>
      </c>
      <c r="W570" s="17">
        <f>IF($L570="","",COUNT($L570:$Q570))</f>
        <v/>
      </c>
      <c r="X570" s="18">
        <f>IF($W570="","",INT(INDEX($L570:$Q570,$W570)))</f>
        <v/>
      </c>
      <c r="Y570" s="18">
        <f>IF(OR($W570="",$W570=6),"",WORKDAY($X570,CHOOSE($W570,3,3,2,2,3),Holidays))</f>
        <v/>
      </c>
      <c r="Z570" s="17">
        <f>IF(OR($W570="",$W570=6),"",CHOOSE($W570,"1st Email Follow-up","2nd Email Follow-up","Escalate Local Office","Escalate to CBE","Escalate to Roxanne"))</f>
        <v/>
      </c>
    </row>
    <row r="571" spans="18:26">
      <c r="R571" s="15"/>
      <c r="S571" s="16"/>
      <c r="T571" s="17">
        <f>IF(AND(COUNTA($A571:$K571)=0,$L571=""),"",IF($S571="Paid","PAID",IF($S571="Closed","CLOSED",IF($W571="","",IF($W571=6,"ESCALATED TO ROXANNE",IF(TODAY()&gt;$Y571,"OVERDUE",IF($Y571&lt;=WORKDAY(TODAY(),1,Holidays),"DUE TOMORROW",IF($W571=4,"ESCALATED TO LOCAL OFFICE",IF($W571=5,"ESCALATED TO CBE",IF($X571=TODAY(),"EMAIL SENT","MONITORING"))))))))))</f>
        <v/>
      </c>
      <c r="U571" s="17">
        <f>IF($T571="",IF(AND(COUNTA($A571:$K571)&gt;0,$L571=""),"Awaiting Collection Email time stamp.",""),IF(OR($T571="PAID",$T571="CLOSED"),IF($T571="PAID","Account paid. Action completed.","Account closed. No further action required."),CHOOSE($W571,"Collection Email","1st Email Follow-up","2nd Email Follow-up","Escalation to Local Office","Escalation to CBE","Escalation to Roxanne")&amp;" sent "&amp;TEXT($X571,"dd-mmm")&amp;". "&amp;IF($W571=6,"Final escalation completed.",IF($T571="OVERDUE","Next: "&amp;$Z571&amp;" was due "&amp;TEXT($Y571,"dd-mmm")&amp;" - "&amp;(NETWORKDAYS($Y571,TODAY(),Holidays)-1)&amp;" business day(s) late. Send now.",IF($T571="DUE TOMORROW","Next: "&amp;$Z571&amp;IF($Y571&lt;=TODAY()," is due TODAY ("," is due next business day (")&amp;TEXT($Y571,"dd-mmm")&amp;").","Next: "&amp;$Z571&amp;" due "&amp;TEXT($Y571,"dd-mmm")&amp;" ("&amp;(NETWORKDAYS(TODAY(),$Y571,Holidays)-1)&amp;" business day(s) left).")))))</f>
        <v/>
      </c>
      <c r="V571" s="17">
        <f>IF($W571="","",CHOOSE($W571,"Collection Email","1st Follow-up","2nd Follow-up","Local Office","CBE","Roxanne")&amp;IF($W571=6," - Final"," - Day "&amp;MAX(0,NETWORKDAYS($X571,TODAY(),Holidays)-1)&amp;" of "&amp;CHOOSE($W571,3,3,2,2,3))&amp;" | Total Day "&amp;MAX(0,NETWORKDAYS($L571,TODAY(),Holidays)-1))</f>
        <v/>
      </c>
      <c r="W571" s="17">
        <f>IF($L571="","",COUNT($L571:$Q571))</f>
        <v/>
      </c>
      <c r="X571" s="18">
        <f>IF($W571="","",INT(INDEX($L571:$Q571,$W571)))</f>
        <v/>
      </c>
      <c r="Y571" s="18">
        <f>IF(OR($W571="",$W571=6),"",WORKDAY($X571,CHOOSE($W571,3,3,2,2,3),Holidays))</f>
        <v/>
      </c>
      <c r="Z571" s="17">
        <f>IF(OR($W571="",$W571=6),"",CHOOSE($W571,"1st Email Follow-up","2nd Email Follow-up","Escalate Local Office","Escalate to CBE","Escalate to Roxanne"))</f>
        <v/>
      </c>
    </row>
    <row r="572" spans="18:26">
      <c r="R572" s="15"/>
      <c r="S572" s="16"/>
      <c r="T572" s="17">
        <f>IF(AND(COUNTA($A572:$K572)=0,$L572=""),"",IF($S572="Paid","PAID",IF($S572="Closed","CLOSED",IF($W572="","",IF($W572=6,"ESCALATED TO ROXANNE",IF(TODAY()&gt;$Y572,"OVERDUE",IF($Y572&lt;=WORKDAY(TODAY(),1,Holidays),"DUE TOMORROW",IF($W572=4,"ESCALATED TO LOCAL OFFICE",IF($W572=5,"ESCALATED TO CBE",IF($X572=TODAY(),"EMAIL SENT","MONITORING"))))))))))</f>
        <v/>
      </c>
      <c r="U572" s="17">
        <f>IF($T572="",IF(AND(COUNTA($A572:$K572)&gt;0,$L572=""),"Awaiting Collection Email time stamp.",""),IF(OR($T572="PAID",$T572="CLOSED"),IF($T572="PAID","Account paid. Action completed.","Account closed. No further action required."),CHOOSE($W572,"Collection Email","1st Email Follow-up","2nd Email Follow-up","Escalation to Local Office","Escalation to CBE","Escalation to Roxanne")&amp;" sent "&amp;TEXT($X572,"dd-mmm")&amp;". "&amp;IF($W572=6,"Final escalation completed.",IF($T572="OVERDUE","Next: "&amp;$Z572&amp;" was due "&amp;TEXT($Y572,"dd-mmm")&amp;" - "&amp;(NETWORKDAYS($Y572,TODAY(),Holidays)-1)&amp;" business day(s) late. Send now.",IF($T572="DUE TOMORROW","Next: "&amp;$Z572&amp;IF($Y572&lt;=TODAY()," is due TODAY ("," is due next business day (")&amp;TEXT($Y572,"dd-mmm")&amp;").","Next: "&amp;$Z572&amp;" due "&amp;TEXT($Y572,"dd-mmm")&amp;" ("&amp;(NETWORKDAYS(TODAY(),$Y572,Holidays)-1)&amp;" business day(s) left).")))))</f>
        <v/>
      </c>
      <c r="V572" s="17">
        <f>IF($W572="","",CHOOSE($W572,"Collection Email","1st Follow-up","2nd Follow-up","Local Office","CBE","Roxanne")&amp;IF($W572=6," - Final"," - Day "&amp;MAX(0,NETWORKDAYS($X572,TODAY(),Holidays)-1)&amp;" of "&amp;CHOOSE($W572,3,3,2,2,3))&amp;" | Total Day "&amp;MAX(0,NETWORKDAYS($L572,TODAY(),Holidays)-1))</f>
        <v/>
      </c>
      <c r="W572" s="17">
        <f>IF($L572="","",COUNT($L572:$Q572))</f>
        <v/>
      </c>
      <c r="X572" s="18">
        <f>IF($W572="","",INT(INDEX($L572:$Q572,$W572)))</f>
        <v/>
      </c>
      <c r="Y572" s="18">
        <f>IF(OR($W572="",$W572=6),"",WORKDAY($X572,CHOOSE($W572,3,3,2,2,3),Holidays))</f>
        <v/>
      </c>
      <c r="Z572" s="17">
        <f>IF(OR($W572="",$W572=6),"",CHOOSE($W572,"1st Email Follow-up","2nd Email Follow-up","Escalate Local Office","Escalate to CBE","Escalate to Roxanne"))</f>
        <v/>
      </c>
    </row>
    <row r="573" spans="18:26">
      <c r="R573" s="15"/>
      <c r="S573" s="16"/>
      <c r="T573" s="17">
        <f>IF(AND(COUNTA($A573:$K573)=0,$L573=""),"",IF($S573="Paid","PAID",IF($S573="Closed","CLOSED",IF($W573="","",IF($W573=6,"ESCALATED TO ROXANNE",IF(TODAY()&gt;$Y573,"OVERDUE",IF($Y573&lt;=WORKDAY(TODAY(),1,Holidays),"DUE TOMORROW",IF($W573=4,"ESCALATED TO LOCAL OFFICE",IF($W573=5,"ESCALATED TO CBE",IF($X573=TODAY(),"EMAIL SENT","MONITORING"))))))))))</f>
        <v/>
      </c>
      <c r="U573" s="17">
        <f>IF($T573="",IF(AND(COUNTA($A573:$K573)&gt;0,$L573=""),"Awaiting Collection Email time stamp.",""),IF(OR($T573="PAID",$T573="CLOSED"),IF($T573="PAID","Account paid. Action completed.","Account closed. No further action required."),CHOOSE($W573,"Collection Email","1st Email Follow-up","2nd Email Follow-up","Escalation to Local Office","Escalation to CBE","Escalation to Roxanne")&amp;" sent "&amp;TEXT($X573,"dd-mmm")&amp;". "&amp;IF($W573=6,"Final escalation completed.",IF($T573="OVERDUE","Next: "&amp;$Z573&amp;" was due "&amp;TEXT($Y573,"dd-mmm")&amp;" - "&amp;(NETWORKDAYS($Y573,TODAY(),Holidays)-1)&amp;" business day(s) late. Send now.",IF($T573="DUE TOMORROW","Next: "&amp;$Z573&amp;IF($Y573&lt;=TODAY()," is due TODAY ("," is due next business day (")&amp;TEXT($Y573,"dd-mmm")&amp;").","Next: "&amp;$Z573&amp;" due "&amp;TEXT($Y573,"dd-mmm")&amp;" ("&amp;(NETWORKDAYS(TODAY(),$Y573,Holidays)-1)&amp;" business day(s) left).")))))</f>
        <v/>
      </c>
      <c r="V573" s="17">
        <f>IF($W573="","",CHOOSE($W573,"Collection Email","1st Follow-up","2nd Follow-up","Local Office","CBE","Roxanne")&amp;IF($W573=6," - Final"," - Day "&amp;MAX(0,NETWORKDAYS($X573,TODAY(),Holidays)-1)&amp;" of "&amp;CHOOSE($W573,3,3,2,2,3))&amp;" | Total Day "&amp;MAX(0,NETWORKDAYS($L573,TODAY(),Holidays)-1))</f>
        <v/>
      </c>
      <c r="W573" s="17">
        <f>IF($L573="","",COUNT($L573:$Q573))</f>
        <v/>
      </c>
      <c r="X573" s="18">
        <f>IF($W573="","",INT(INDEX($L573:$Q573,$W573)))</f>
        <v/>
      </c>
      <c r="Y573" s="18">
        <f>IF(OR($W573="",$W573=6),"",WORKDAY($X573,CHOOSE($W573,3,3,2,2,3),Holidays))</f>
        <v/>
      </c>
      <c r="Z573" s="17">
        <f>IF(OR($W573="",$W573=6),"",CHOOSE($W573,"1st Email Follow-up","2nd Email Follow-up","Escalate Local Office","Escalate to CBE","Escalate to Roxanne"))</f>
        <v/>
      </c>
    </row>
    <row r="574" spans="18:26">
      <c r="R574" s="15"/>
      <c r="S574" s="16"/>
      <c r="T574" s="17">
        <f>IF(AND(COUNTA($A574:$K574)=0,$L574=""),"",IF($S574="Paid","PAID",IF($S574="Closed","CLOSED",IF($W574="","",IF($W574=6,"ESCALATED TO ROXANNE",IF(TODAY()&gt;$Y574,"OVERDUE",IF($Y574&lt;=WORKDAY(TODAY(),1,Holidays),"DUE TOMORROW",IF($W574=4,"ESCALATED TO LOCAL OFFICE",IF($W574=5,"ESCALATED TO CBE",IF($X574=TODAY(),"EMAIL SENT","MONITORING"))))))))))</f>
        <v/>
      </c>
      <c r="U574" s="17">
        <f>IF($T574="",IF(AND(COUNTA($A574:$K574)&gt;0,$L574=""),"Awaiting Collection Email time stamp.",""),IF(OR($T574="PAID",$T574="CLOSED"),IF($T574="PAID","Account paid. Action completed.","Account closed. No further action required."),CHOOSE($W574,"Collection Email","1st Email Follow-up","2nd Email Follow-up","Escalation to Local Office","Escalation to CBE","Escalation to Roxanne")&amp;" sent "&amp;TEXT($X574,"dd-mmm")&amp;". "&amp;IF($W574=6,"Final escalation completed.",IF($T574="OVERDUE","Next: "&amp;$Z574&amp;" was due "&amp;TEXT($Y574,"dd-mmm")&amp;" - "&amp;(NETWORKDAYS($Y574,TODAY(),Holidays)-1)&amp;" business day(s) late. Send now.",IF($T574="DUE TOMORROW","Next: "&amp;$Z574&amp;IF($Y574&lt;=TODAY()," is due TODAY ("," is due next business day (")&amp;TEXT($Y574,"dd-mmm")&amp;").","Next: "&amp;$Z574&amp;" due "&amp;TEXT($Y574,"dd-mmm")&amp;" ("&amp;(NETWORKDAYS(TODAY(),$Y574,Holidays)-1)&amp;" business day(s) left).")))))</f>
        <v/>
      </c>
      <c r="V574" s="17">
        <f>IF($W574="","",CHOOSE($W574,"Collection Email","1st Follow-up","2nd Follow-up","Local Office","CBE","Roxanne")&amp;IF($W574=6," - Final"," - Day "&amp;MAX(0,NETWORKDAYS($X574,TODAY(),Holidays)-1)&amp;" of "&amp;CHOOSE($W574,3,3,2,2,3))&amp;" | Total Day "&amp;MAX(0,NETWORKDAYS($L574,TODAY(),Holidays)-1))</f>
        <v/>
      </c>
      <c r="W574" s="17">
        <f>IF($L574="","",COUNT($L574:$Q574))</f>
        <v/>
      </c>
      <c r="X574" s="18">
        <f>IF($W574="","",INT(INDEX($L574:$Q574,$W574)))</f>
        <v/>
      </c>
      <c r="Y574" s="18">
        <f>IF(OR($W574="",$W574=6),"",WORKDAY($X574,CHOOSE($W574,3,3,2,2,3),Holidays))</f>
        <v/>
      </c>
      <c r="Z574" s="17">
        <f>IF(OR($W574="",$W574=6),"",CHOOSE($W574,"1st Email Follow-up","2nd Email Follow-up","Escalate Local Office","Escalate to CBE","Escalate to Roxanne"))</f>
        <v/>
      </c>
    </row>
    <row r="575" spans="18:26">
      <c r="R575" s="15"/>
      <c r="S575" s="16"/>
      <c r="T575" s="17">
        <f>IF(AND(COUNTA($A575:$K575)=0,$L575=""),"",IF($S575="Paid","PAID",IF($S575="Closed","CLOSED",IF($W575="","",IF($W575=6,"ESCALATED TO ROXANNE",IF(TODAY()&gt;$Y575,"OVERDUE",IF($Y575&lt;=WORKDAY(TODAY(),1,Holidays),"DUE TOMORROW",IF($W575=4,"ESCALATED TO LOCAL OFFICE",IF($W575=5,"ESCALATED TO CBE",IF($X575=TODAY(),"EMAIL SENT","MONITORING"))))))))))</f>
        <v/>
      </c>
      <c r="U575" s="17">
        <f>IF($T575="",IF(AND(COUNTA($A575:$K575)&gt;0,$L575=""),"Awaiting Collection Email time stamp.",""),IF(OR($T575="PAID",$T575="CLOSED"),IF($T575="PAID","Account paid. Action completed.","Account closed. No further action required."),CHOOSE($W575,"Collection Email","1st Email Follow-up","2nd Email Follow-up","Escalation to Local Office","Escalation to CBE","Escalation to Roxanne")&amp;" sent "&amp;TEXT($X575,"dd-mmm")&amp;". "&amp;IF($W575=6,"Final escalation completed.",IF($T575="OVERDUE","Next: "&amp;$Z575&amp;" was due "&amp;TEXT($Y575,"dd-mmm")&amp;" - "&amp;(NETWORKDAYS($Y575,TODAY(),Holidays)-1)&amp;" business day(s) late. Send now.",IF($T575="DUE TOMORROW","Next: "&amp;$Z575&amp;IF($Y575&lt;=TODAY()," is due TODAY ("," is due next business day (")&amp;TEXT($Y575,"dd-mmm")&amp;").","Next: "&amp;$Z575&amp;" due "&amp;TEXT($Y575,"dd-mmm")&amp;" ("&amp;(NETWORKDAYS(TODAY(),$Y575,Holidays)-1)&amp;" business day(s) left).")))))</f>
        <v/>
      </c>
      <c r="V575" s="17">
        <f>IF($W575="","",CHOOSE($W575,"Collection Email","1st Follow-up","2nd Follow-up","Local Office","CBE","Roxanne")&amp;IF($W575=6," - Final"," - Day "&amp;MAX(0,NETWORKDAYS($X575,TODAY(),Holidays)-1)&amp;" of "&amp;CHOOSE($W575,3,3,2,2,3))&amp;" | Total Day "&amp;MAX(0,NETWORKDAYS($L575,TODAY(),Holidays)-1))</f>
        <v/>
      </c>
      <c r="W575" s="17">
        <f>IF($L575="","",COUNT($L575:$Q575))</f>
        <v/>
      </c>
      <c r="X575" s="18">
        <f>IF($W575="","",INT(INDEX($L575:$Q575,$W575)))</f>
        <v/>
      </c>
      <c r="Y575" s="18">
        <f>IF(OR($W575="",$W575=6),"",WORKDAY($X575,CHOOSE($W575,3,3,2,2,3),Holidays))</f>
        <v/>
      </c>
      <c r="Z575" s="17">
        <f>IF(OR($W575="",$W575=6),"",CHOOSE($W575,"1st Email Follow-up","2nd Email Follow-up","Escalate Local Office","Escalate to CBE","Escalate to Roxanne"))</f>
        <v/>
      </c>
    </row>
    <row r="576" spans="18:26">
      <c r="R576" s="15"/>
      <c r="S576" s="16"/>
      <c r="T576" s="17">
        <f>IF(AND(COUNTA($A576:$K576)=0,$L576=""),"",IF($S576="Paid","PAID",IF($S576="Closed","CLOSED",IF($W576="","",IF($W576=6,"ESCALATED TO ROXANNE",IF(TODAY()&gt;$Y576,"OVERDUE",IF($Y576&lt;=WORKDAY(TODAY(),1,Holidays),"DUE TOMORROW",IF($W576=4,"ESCALATED TO LOCAL OFFICE",IF($W576=5,"ESCALATED TO CBE",IF($X576=TODAY(),"EMAIL SENT","MONITORING"))))))))))</f>
        <v/>
      </c>
      <c r="U576" s="17">
        <f>IF($T576="",IF(AND(COUNTA($A576:$K576)&gt;0,$L576=""),"Awaiting Collection Email time stamp.",""),IF(OR($T576="PAID",$T576="CLOSED"),IF($T576="PAID","Account paid. Action completed.","Account closed. No further action required."),CHOOSE($W576,"Collection Email","1st Email Follow-up","2nd Email Follow-up","Escalation to Local Office","Escalation to CBE","Escalation to Roxanne")&amp;" sent "&amp;TEXT($X576,"dd-mmm")&amp;". "&amp;IF($W576=6,"Final escalation completed.",IF($T576="OVERDUE","Next: "&amp;$Z576&amp;" was due "&amp;TEXT($Y576,"dd-mmm")&amp;" - "&amp;(NETWORKDAYS($Y576,TODAY(),Holidays)-1)&amp;" business day(s) late. Send now.",IF($T576="DUE TOMORROW","Next: "&amp;$Z576&amp;IF($Y576&lt;=TODAY()," is due TODAY ("," is due next business day (")&amp;TEXT($Y576,"dd-mmm")&amp;").","Next: "&amp;$Z576&amp;" due "&amp;TEXT($Y576,"dd-mmm")&amp;" ("&amp;(NETWORKDAYS(TODAY(),$Y576,Holidays)-1)&amp;" business day(s) left).")))))</f>
        <v/>
      </c>
      <c r="V576" s="17">
        <f>IF($W576="","",CHOOSE($W576,"Collection Email","1st Follow-up","2nd Follow-up","Local Office","CBE","Roxanne")&amp;IF($W576=6," - Final"," - Day "&amp;MAX(0,NETWORKDAYS($X576,TODAY(),Holidays)-1)&amp;" of "&amp;CHOOSE($W576,3,3,2,2,3))&amp;" | Total Day "&amp;MAX(0,NETWORKDAYS($L576,TODAY(),Holidays)-1))</f>
        <v/>
      </c>
      <c r="W576" s="17">
        <f>IF($L576="","",COUNT($L576:$Q576))</f>
        <v/>
      </c>
      <c r="X576" s="18">
        <f>IF($W576="","",INT(INDEX($L576:$Q576,$W576)))</f>
        <v/>
      </c>
      <c r="Y576" s="18">
        <f>IF(OR($W576="",$W576=6),"",WORKDAY($X576,CHOOSE($W576,3,3,2,2,3),Holidays))</f>
        <v/>
      </c>
      <c r="Z576" s="17">
        <f>IF(OR($W576="",$W576=6),"",CHOOSE($W576,"1st Email Follow-up","2nd Email Follow-up","Escalate Local Office","Escalate to CBE","Escalate to Roxanne"))</f>
        <v/>
      </c>
    </row>
    <row r="577" spans="18:26">
      <c r="R577" s="15"/>
      <c r="S577" s="16"/>
      <c r="T577" s="17">
        <f>IF(AND(COUNTA($A577:$K577)=0,$L577=""),"",IF($S577="Paid","PAID",IF($S577="Closed","CLOSED",IF($W577="","",IF($W577=6,"ESCALATED TO ROXANNE",IF(TODAY()&gt;$Y577,"OVERDUE",IF($Y577&lt;=WORKDAY(TODAY(),1,Holidays),"DUE TOMORROW",IF($W577=4,"ESCALATED TO LOCAL OFFICE",IF($W577=5,"ESCALATED TO CBE",IF($X577=TODAY(),"EMAIL SENT","MONITORING"))))))))))</f>
        <v/>
      </c>
      <c r="U577" s="17">
        <f>IF($T577="",IF(AND(COUNTA($A577:$K577)&gt;0,$L577=""),"Awaiting Collection Email time stamp.",""),IF(OR($T577="PAID",$T577="CLOSED"),IF($T577="PAID","Account paid. Action completed.","Account closed. No further action required."),CHOOSE($W577,"Collection Email","1st Email Follow-up","2nd Email Follow-up","Escalation to Local Office","Escalation to CBE","Escalation to Roxanne")&amp;" sent "&amp;TEXT($X577,"dd-mmm")&amp;". "&amp;IF($W577=6,"Final escalation completed.",IF($T577="OVERDUE","Next: "&amp;$Z577&amp;" was due "&amp;TEXT($Y577,"dd-mmm")&amp;" - "&amp;(NETWORKDAYS($Y577,TODAY(),Holidays)-1)&amp;" business day(s) late. Send now.",IF($T577="DUE TOMORROW","Next: "&amp;$Z577&amp;IF($Y577&lt;=TODAY()," is due TODAY ("," is due next business day (")&amp;TEXT($Y577,"dd-mmm")&amp;").","Next: "&amp;$Z577&amp;" due "&amp;TEXT($Y577,"dd-mmm")&amp;" ("&amp;(NETWORKDAYS(TODAY(),$Y577,Holidays)-1)&amp;" business day(s) left).")))))</f>
        <v/>
      </c>
      <c r="V577" s="17">
        <f>IF($W577="","",CHOOSE($W577,"Collection Email","1st Follow-up","2nd Follow-up","Local Office","CBE","Roxanne")&amp;IF($W577=6," - Final"," - Day "&amp;MAX(0,NETWORKDAYS($X577,TODAY(),Holidays)-1)&amp;" of "&amp;CHOOSE($W577,3,3,2,2,3))&amp;" | Total Day "&amp;MAX(0,NETWORKDAYS($L577,TODAY(),Holidays)-1))</f>
        <v/>
      </c>
      <c r="W577" s="17">
        <f>IF($L577="","",COUNT($L577:$Q577))</f>
        <v/>
      </c>
      <c r="X577" s="18">
        <f>IF($W577="","",INT(INDEX($L577:$Q577,$W577)))</f>
        <v/>
      </c>
      <c r="Y577" s="18">
        <f>IF(OR($W577="",$W577=6),"",WORKDAY($X577,CHOOSE($W577,3,3,2,2,3),Holidays))</f>
        <v/>
      </c>
      <c r="Z577" s="17">
        <f>IF(OR($W577="",$W577=6),"",CHOOSE($W577,"1st Email Follow-up","2nd Email Follow-up","Escalate Local Office","Escalate to CBE","Escalate to Roxanne"))</f>
        <v/>
      </c>
    </row>
    <row r="578" spans="18:26">
      <c r="R578" s="15"/>
      <c r="S578" s="16"/>
      <c r="T578" s="17">
        <f>IF(AND(COUNTA($A578:$K578)=0,$L578=""),"",IF($S578="Paid","PAID",IF($S578="Closed","CLOSED",IF($W578="","",IF($W578=6,"ESCALATED TO ROXANNE",IF(TODAY()&gt;$Y578,"OVERDUE",IF($Y578&lt;=WORKDAY(TODAY(),1,Holidays),"DUE TOMORROW",IF($W578=4,"ESCALATED TO LOCAL OFFICE",IF($W578=5,"ESCALATED TO CBE",IF($X578=TODAY(),"EMAIL SENT","MONITORING"))))))))))</f>
        <v/>
      </c>
      <c r="U578" s="17">
        <f>IF($T578="",IF(AND(COUNTA($A578:$K578)&gt;0,$L578=""),"Awaiting Collection Email time stamp.",""),IF(OR($T578="PAID",$T578="CLOSED"),IF($T578="PAID","Account paid. Action completed.","Account closed. No further action required."),CHOOSE($W578,"Collection Email","1st Email Follow-up","2nd Email Follow-up","Escalation to Local Office","Escalation to CBE","Escalation to Roxanne")&amp;" sent "&amp;TEXT($X578,"dd-mmm")&amp;". "&amp;IF($W578=6,"Final escalation completed.",IF($T578="OVERDUE","Next: "&amp;$Z578&amp;" was due "&amp;TEXT($Y578,"dd-mmm")&amp;" - "&amp;(NETWORKDAYS($Y578,TODAY(),Holidays)-1)&amp;" business day(s) late. Send now.",IF($T578="DUE TOMORROW","Next: "&amp;$Z578&amp;IF($Y578&lt;=TODAY()," is due TODAY ("," is due next business day (")&amp;TEXT($Y578,"dd-mmm")&amp;").","Next: "&amp;$Z578&amp;" due "&amp;TEXT($Y578,"dd-mmm")&amp;" ("&amp;(NETWORKDAYS(TODAY(),$Y578,Holidays)-1)&amp;" business day(s) left).")))))</f>
        <v/>
      </c>
      <c r="V578" s="17">
        <f>IF($W578="","",CHOOSE($W578,"Collection Email","1st Follow-up","2nd Follow-up","Local Office","CBE","Roxanne")&amp;IF($W578=6," - Final"," - Day "&amp;MAX(0,NETWORKDAYS($X578,TODAY(),Holidays)-1)&amp;" of "&amp;CHOOSE($W578,3,3,2,2,3))&amp;" | Total Day "&amp;MAX(0,NETWORKDAYS($L578,TODAY(),Holidays)-1))</f>
        <v/>
      </c>
      <c r="W578" s="17">
        <f>IF($L578="","",COUNT($L578:$Q578))</f>
        <v/>
      </c>
      <c r="X578" s="18">
        <f>IF($W578="","",INT(INDEX($L578:$Q578,$W578)))</f>
        <v/>
      </c>
      <c r="Y578" s="18">
        <f>IF(OR($W578="",$W578=6),"",WORKDAY($X578,CHOOSE($W578,3,3,2,2,3),Holidays))</f>
        <v/>
      </c>
      <c r="Z578" s="17">
        <f>IF(OR($W578="",$W578=6),"",CHOOSE($W578,"1st Email Follow-up","2nd Email Follow-up","Escalate Local Office","Escalate to CBE","Escalate to Roxanne"))</f>
        <v/>
      </c>
    </row>
    <row r="579" spans="18:26">
      <c r="R579" s="15"/>
      <c r="S579" s="16"/>
      <c r="T579" s="17">
        <f>IF(AND(COUNTA($A579:$K579)=0,$L579=""),"",IF($S579="Paid","PAID",IF($S579="Closed","CLOSED",IF($W579="","",IF($W579=6,"ESCALATED TO ROXANNE",IF(TODAY()&gt;$Y579,"OVERDUE",IF($Y579&lt;=WORKDAY(TODAY(),1,Holidays),"DUE TOMORROW",IF($W579=4,"ESCALATED TO LOCAL OFFICE",IF($W579=5,"ESCALATED TO CBE",IF($X579=TODAY(),"EMAIL SENT","MONITORING"))))))))))</f>
        <v/>
      </c>
      <c r="U579" s="17">
        <f>IF($T579="",IF(AND(COUNTA($A579:$K579)&gt;0,$L579=""),"Awaiting Collection Email time stamp.",""),IF(OR($T579="PAID",$T579="CLOSED"),IF($T579="PAID","Account paid. Action completed.","Account closed. No further action required."),CHOOSE($W579,"Collection Email","1st Email Follow-up","2nd Email Follow-up","Escalation to Local Office","Escalation to CBE","Escalation to Roxanne")&amp;" sent "&amp;TEXT($X579,"dd-mmm")&amp;". "&amp;IF($W579=6,"Final escalation completed.",IF($T579="OVERDUE","Next: "&amp;$Z579&amp;" was due "&amp;TEXT($Y579,"dd-mmm")&amp;" - "&amp;(NETWORKDAYS($Y579,TODAY(),Holidays)-1)&amp;" business day(s) late. Send now.",IF($T579="DUE TOMORROW","Next: "&amp;$Z579&amp;IF($Y579&lt;=TODAY()," is due TODAY ("," is due next business day (")&amp;TEXT($Y579,"dd-mmm")&amp;").","Next: "&amp;$Z579&amp;" due "&amp;TEXT($Y579,"dd-mmm")&amp;" ("&amp;(NETWORKDAYS(TODAY(),$Y579,Holidays)-1)&amp;" business day(s) left).")))))</f>
        <v/>
      </c>
      <c r="V579" s="17">
        <f>IF($W579="","",CHOOSE($W579,"Collection Email","1st Follow-up","2nd Follow-up","Local Office","CBE","Roxanne")&amp;IF($W579=6," - Final"," - Day "&amp;MAX(0,NETWORKDAYS($X579,TODAY(),Holidays)-1)&amp;" of "&amp;CHOOSE($W579,3,3,2,2,3))&amp;" | Total Day "&amp;MAX(0,NETWORKDAYS($L579,TODAY(),Holidays)-1))</f>
        <v/>
      </c>
      <c r="W579" s="17">
        <f>IF($L579="","",COUNT($L579:$Q579))</f>
        <v/>
      </c>
      <c r="X579" s="18">
        <f>IF($W579="","",INT(INDEX($L579:$Q579,$W579)))</f>
        <v/>
      </c>
      <c r="Y579" s="18">
        <f>IF(OR($W579="",$W579=6),"",WORKDAY($X579,CHOOSE($W579,3,3,2,2,3),Holidays))</f>
        <v/>
      </c>
      <c r="Z579" s="17">
        <f>IF(OR($W579="",$W579=6),"",CHOOSE($W579,"1st Email Follow-up","2nd Email Follow-up","Escalate Local Office","Escalate to CBE","Escalate to Roxanne"))</f>
        <v/>
      </c>
    </row>
    <row r="580" spans="18:26">
      <c r="R580" s="15"/>
      <c r="S580" s="16"/>
      <c r="T580" s="17">
        <f>IF(AND(COUNTA($A580:$K580)=0,$L580=""),"",IF($S580="Paid","PAID",IF($S580="Closed","CLOSED",IF($W580="","",IF($W580=6,"ESCALATED TO ROXANNE",IF(TODAY()&gt;$Y580,"OVERDUE",IF($Y580&lt;=WORKDAY(TODAY(),1,Holidays),"DUE TOMORROW",IF($W580=4,"ESCALATED TO LOCAL OFFICE",IF($W580=5,"ESCALATED TO CBE",IF($X580=TODAY(),"EMAIL SENT","MONITORING"))))))))))</f>
        <v/>
      </c>
      <c r="U580" s="17">
        <f>IF($T580="",IF(AND(COUNTA($A580:$K580)&gt;0,$L580=""),"Awaiting Collection Email time stamp.",""),IF(OR($T580="PAID",$T580="CLOSED"),IF($T580="PAID","Account paid. Action completed.","Account closed. No further action required."),CHOOSE($W580,"Collection Email","1st Email Follow-up","2nd Email Follow-up","Escalation to Local Office","Escalation to CBE","Escalation to Roxanne")&amp;" sent "&amp;TEXT($X580,"dd-mmm")&amp;". "&amp;IF($W580=6,"Final escalation completed.",IF($T580="OVERDUE","Next: "&amp;$Z580&amp;" was due "&amp;TEXT($Y580,"dd-mmm")&amp;" - "&amp;(NETWORKDAYS($Y580,TODAY(),Holidays)-1)&amp;" business day(s) late. Send now.",IF($T580="DUE TOMORROW","Next: "&amp;$Z580&amp;IF($Y580&lt;=TODAY()," is due TODAY ("," is due next business day (")&amp;TEXT($Y580,"dd-mmm")&amp;").","Next: "&amp;$Z580&amp;" due "&amp;TEXT($Y580,"dd-mmm")&amp;" ("&amp;(NETWORKDAYS(TODAY(),$Y580,Holidays)-1)&amp;" business day(s) left).")))))</f>
        <v/>
      </c>
      <c r="V580" s="17">
        <f>IF($W580="","",CHOOSE($W580,"Collection Email","1st Follow-up","2nd Follow-up","Local Office","CBE","Roxanne")&amp;IF($W580=6," - Final"," - Day "&amp;MAX(0,NETWORKDAYS($X580,TODAY(),Holidays)-1)&amp;" of "&amp;CHOOSE($W580,3,3,2,2,3))&amp;" | Total Day "&amp;MAX(0,NETWORKDAYS($L580,TODAY(),Holidays)-1))</f>
        <v/>
      </c>
      <c r="W580" s="17">
        <f>IF($L580="","",COUNT($L580:$Q580))</f>
        <v/>
      </c>
      <c r="X580" s="18">
        <f>IF($W580="","",INT(INDEX($L580:$Q580,$W580)))</f>
        <v/>
      </c>
      <c r="Y580" s="18">
        <f>IF(OR($W580="",$W580=6),"",WORKDAY($X580,CHOOSE($W580,3,3,2,2,3),Holidays))</f>
        <v/>
      </c>
      <c r="Z580" s="17">
        <f>IF(OR($W580="",$W580=6),"",CHOOSE($W580,"1st Email Follow-up","2nd Email Follow-up","Escalate Local Office","Escalate to CBE","Escalate to Roxanne"))</f>
        <v/>
      </c>
    </row>
    <row r="581" spans="18:26">
      <c r="R581" s="15"/>
      <c r="S581" s="16"/>
      <c r="T581" s="17">
        <f>IF(AND(COUNTA($A581:$K581)=0,$L581=""),"",IF($S581="Paid","PAID",IF($S581="Closed","CLOSED",IF($W581="","",IF($W581=6,"ESCALATED TO ROXANNE",IF(TODAY()&gt;$Y581,"OVERDUE",IF($Y581&lt;=WORKDAY(TODAY(),1,Holidays),"DUE TOMORROW",IF($W581=4,"ESCALATED TO LOCAL OFFICE",IF($W581=5,"ESCALATED TO CBE",IF($X581=TODAY(),"EMAIL SENT","MONITORING"))))))))))</f>
        <v/>
      </c>
      <c r="U581" s="17">
        <f>IF($T581="",IF(AND(COUNTA($A581:$K581)&gt;0,$L581=""),"Awaiting Collection Email time stamp.",""),IF(OR($T581="PAID",$T581="CLOSED"),IF($T581="PAID","Account paid. Action completed.","Account closed. No further action required."),CHOOSE($W581,"Collection Email","1st Email Follow-up","2nd Email Follow-up","Escalation to Local Office","Escalation to CBE","Escalation to Roxanne")&amp;" sent "&amp;TEXT($X581,"dd-mmm")&amp;". "&amp;IF($W581=6,"Final escalation completed.",IF($T581="OVERDUE","Next: "&amp;$Z581&amp;" was due "&amp;TEXT($Y581,"dd-mmm")&amp;" - "&amp;(NETWORKDAYS($Y581,TODAY(),Holidays)-1)&amp;" business day(s) late. Send now.",IF($T581="DUE TOMORROW","Next: "&amp;$Z581&amp;IF($Y581&lt;=TODAY()," is due TODAY ("," is due next business day (")&amp;TEXT($Y581,"dd-mmm")&amp;").","Next: "&amp;$Z581&amp;" due "&amp;TEXT($Y581,"dd-mmm")&amp;" ("&amp;(NETWORKDAYS(TODAY(),$Y581,Holidays)-1)&amp;" business day(s) left).")))))</f>
        <v/>
      </c>
      <c r="V581" s="17">
        <f>IF($W581="","",CHOOSE($W581,"Collection Email","1st Follow-up","2nd Follow-up","Local Office","CBE","Roxanne")&amp;IF($W581=6," - Final"," - Day "&amp;MAX(0,NETWORKDAYS($X581,TODAY(),Holidays)-1)&amp;" of "&amp;CHOOSE($W581,3,3,2,2,3))&amp;" | Total Day "&amp;MAX(0,NETWORKDAYS($L581,TODAY(),Holidays)-1))</f>
        <v/>
      </c>
      <c r="W581" s="17">
        <f>IF($L581="","",COUNT($L581:$Q581))</f>
        <v/>
      </c>
      <c r="X581" s="18">
        <f>IF($W581="","",INT(INDEX($L581:$Q581,$W581)))</f>
        <v/>
      </c>
      <c r="Y581" s="18">
        <f>IF(OR($W581="",$W581=6),"",WORKDAY($X581,CHOOSE($W581,3,3,2,2,3),Holidays))</f>
        <v/>
      </c>
      <c r="Z581" s="17">
        <f>IF(OR($W581="",$W581=6),"",CHOOSE($W581,"1st Email Follow-up","2nd Email Follow-up","Escalate Local Office","Escalate to CBE","Escalate to Roxanne"))</f>
        <v/>
      </c>
    </row>
    <row r="582" spans="18:26">
      <c r="R582" s="15"/>
      <c r="S582" s="16"/>
      <c r="T582" s="17">
        <f>IF(AND(COUNTA($A582:$K582)=0,$L582=""),"",IF($S582="Paid","PAID",IF($S582="Closed","CLOSED",IF($W582="","",IF($W582=6,"ESCALATED TO ROXANNE",IF(TODAY()&gt;$Y582,"OVERDUE",IF($Y582&lt;=WORKDAY(TODAY(),1,Holidays),"DUE TOMORROW",IF($W582=4,"ESCALATED TO LOCAL OFFICE",IF($W582=5,"ESCALATED TO CBE",IF($X582=TODAY(),"EMAIL SENT","MONITORING"))))))))))</f>
        <v/>
      </c>
      <c r="U582" s="17">
        <f>IF($T582="",IF(AND(COUNTA($A582:$K582)&gt;0,$L582=""),"Awaiting Collection Email time stamp.",""),IF(OR($T582="PAID",$T582="CLOSED"),IF($T582="PAID","Account paid. Action completed.","Account closed. No further action required."),CHOOSE($W582,"Collection Email","1st Email Follow-up","2nd Email Follow-up","Escalation to Local Office","Escalation to CBE","Escalation to Roxanne")&amp;" sent "&amp;TEXT($X582,"dd-mmm")&amp;". "&amp;IF($W582=6,"Final escalation completed.",IF($T582="OVERDUE","Next: "&amp;$Z582&amp;" was due "&amp;TEXT($Y582,"dd-mmm")&amp;" - "&amp;(NETWORKDAYS($Y582,TODAY(),Holidays)-1)&amp;" business day(s) late. Send now.",IF($T582="DUE TOMORROW","Next: "&amp;$Z582&amp;IF($Y582&lt;=TODAY()," is due TODAY ("," is due next business day (")&amp;TEXT($Y582,"dd-mmm")&amp;").","Next: "&amp;$Z582&amp;" due "&amp;TEXT($Y582,"dd-mmm")&amp;" ("&amp;(NETWORKDAYS(TODAY(),$Y582,Holidays)-1)&amp;" business day(s) left).")))))</f>
        <v/>
      </c>
      <c r="V582" s="17">
        <f>IF($W582="","",CHOOSE($W582,"Collection Email","1st Follow-up","2nd Follow-up","Local Office","CBE","Roxanne")&amp;IF($W582=6," - Final"," - Day "&amp;MAX(0,NETWORKDAYS($X582,TODAY(),Holidays)-1)&amp;" of "&amp;CHOOSE($W582,3,3,2,2,3))&amp;" | Total Day "&amp;MAX(0,NETWORKDAYS($L582,TODAY(),Holidays)-1))</f>
        <v/>
      </c>
      <c r="W582" s="17">
        <f>IF($L582="","",COUNT($L582:$Q582))</f>
        <v/>
      </c>
      <c r="X582" s="18">
        <f>IF($W582="","",INT(INDEX($L582:$Q582,$W582)))</f>
        <v/>
      </c>
      <c r="Y582" s="18">
        <f>IF(OR($W582="",$W582=6),"",WORKDAY($X582,CHOOSE($W582,3,3,2,2,3),Holidays))</f>
        <v/>
      </c>
      <c r="Z582" s="17">
        <f>IF(OR($W582="",$W582=6),"",CHOOSE($W582,"1st Email Follow-up","2nd Email Follow-up","Escalate Local Office","Escalate to CBE","Escalate to Roxanne"))</f>
        <v/>
      </c>
    </row>
    <row r="583" spans="18:26">
      <c r="R583" s="15"/>
      <c r="S583" s="16"/>
      <c r="T583" s="17">
        <f>IF(AND(COUNTA($A583:$K583)=0,$L583=""),"",IF($S583="Paid","PAID",IF($S583="Closed","CLOSED",IF($W583="","",IF($W583=6,"ESCALATED TO ROXANNE",IF(TODAY()&gt;$Y583,"OVERDUE",IF($Y583&lt;=WORKDAY(TODAY(),1,Holidays),"DUE TOMORROW",IF($W583=4,"ESCALATED TO LOCAL OFFICE",IF($W583=5,"ESCALATED TO CBE",IF($X583=TODAY(),"EMAIL SENT","MONITORING"))))))))))</f>
        <v/>
      </c>
      <c r="U583" s="17">
        <f>IF($T583="",IF(AND(COUNTA($A583:$K583)&gt;0,$L583=""),"Awaiting Collection Email time stamp.",""),IF(OR($T583="PAID",$T583="CLOSED"),IF($T583="PAID","Account paid. Action completed.","Account closed. No further action required."),CHOOSE($W583,"Collection Email","1st Email Follow-up","2nd Email Follow-up","Escalation to Local Office","Escalation to CBE","Escalation to Roxanne")&amp;" sent "&amp;TEXT($X583,"dd-mmm")&amp;". "&amp;IF($W583=6,"Final escalation completed.",IF($T583="OVERDUE","Next: "&amp;$Z583&amp;" was due "&amp;TEXT($Y583,"dd-mmm")&amp;" - "&amp;(NETWORKDAYS($Y583,TODAY(),Holidays)-1)&amp;" business day(s) late. Send now.",IF($T583="DUE TOMORROW","Next: "&amp;$Z583&amp;IF($Y583&lt;=TODAY()," is due TODAY ("," is due next business day (")&amp;TEXT($Y583,"dd-mmm")&amp;").","Next: "&amp;$Z583&amp;" due "&amp;TEXT($Y583,"dd-mmm")&amp;" ("&amp;(NETWORKDAYS(TODAY(),$Y583,Holidays)-1)&amp;" business day(s) left).")))))</f>
        <v/>
      </c>
      <c r="V583" s="17">
        <f>IF($W583="","",CHOOSE($W583,"Collection Email","1st Follow-up","2nd Follow-up","Local Office","CBE","Roxanne")&amp;IF($W583=6," - Final"," - Day "&amp;MAX(0,NETWORKDAYS($X583,TODAY(),Holidays)-1)&amp;" of "&amp;CHOOSE($W583,3,3,2,2,3))&amp;" | Total Day "&amp;MAX(0,NETWORKDAYS($L583,TODAY(),Holidays)-1))</f>
        <v/>
      </c>
      <c r="W583" s="17">
        <f>IF($L583="","",COUNT($L583:$Q583))</f>
        <v/>
      </c>
      <c r="X583" s="18">
        <f>IF($W583="","",INT(INDEX($L583:$Q583,$W583)))</f>
        <v/>
      </c>
      <c r="Y583" s="18">
        <f>IF(OR($W583="",$W583=6),"",WORKDAY($X583,CHOOSE($W583,3,3,2,2,3),Holidays))</f>
        <v/>
      </c>
      <c r="Z583" s="17">
        <f>IF(OR($W583="",$W583=6),"",CHOOSE($W583,"1st Email Follow-up","2nd Email Follow-up","Escalate Local Office","Escalate to CBE","Escalate to Roxanne"))</f>
        <v/>
      </c>
    </row>
    <row r="584" spans="18:26">
      <c r="R584" s="15"/>
      <c r="S584" s="16"/>
      <c r="T584" s="17">
        <f>IF(AND(COUNTA($A584:$K584)=0,$L584=""),"",IF($S584="Paid","PAID",IF($S584="Closed","CLOSED",IF($W584="","",IF($W584=6,"ESCALATED TO ROXANNE",IF(TODAY()&gt;$Y584,"OVERDUE",IF($Y584&lt;=WORKDAY(TODAY(),1,Holidays),"DUE TOMORROW",IF($W584=4,"ESCALATED TO LOCAL OFFICE",IF($W584=5,"ESCALATED TO CBE",IF($X584=TODAY(),"EMAIL SENT","MONITORING"))))))))))</f>
        <v/>
      </c>
      <c r="U584" s="17">
        <f>IF($T584="",IF(AND(COUNTA($A584:$K584)&gt;0,$L584=""),"Awaiting Collection Email time stamp.",""),IF(OR($T584="PAID",$T584="CLOSED"),IF($T584="PAID","Account paid. Action completed.","Account closed. No further action required."),CHOOSE($W584,"Collection Email","1st Email Follow-up","2nd Email Follow-up","Escalation to Local Office","Escalation to CBE","Escalation to Roxanne")&amp;" sent "&amp;TEXT($X584,"dd-mmm")&amp;". "&amp;IF($W584=6,"Final escalation completed.",IF($T584="OVERDUE","Next: "&amp;$Z584&amp;" was due "&amp;TEXT($Y584,"dd-mmm")&amp;" - "&amp;(NETWORKDAYS($Y584,TODAY(),Holidays)-1)&amp;" business day(s) late. Send now.",IF($T584="DUE TOMORROW","Next: "&amp;$Z584&amp;IF($Y584&lt;=TODAY()," is due TODAY ("," is due next business day (")&amp;TEXT($Y584,"dd-mmm")&amp;").","Next: "&amp;$Z584&amp;" due "&amp;TEXT($Y584,"dd-mmm")&amp;" ("&amp;(NETWORKDAYS(TODAY(),$Y584,Holidays)-1)&amp;" business day(s) left).")))))</f>
        <v/>
      </c>
      <c r="V584" s="17">
        <f>IF($W584="","",CHOOSE($W584,"Collection Email","1st Follow-up","2nd Follow-up","Local Office","CBE","Roxanne")&amp;IF($W584=6," - Final"," - Day "&amp;MAX(0,NETWORKDAYS($X584,TODAY(),Holidays)-1)&amp;" of "&amp;CHOOSE($W584,3,3,2,2,3))&amp;" | Total Day "&amp;MAX(0,NETWORKDAYS($L584,TODAY(),Holidays)-1))</f>
        <v/>
      </c>
      <c r="W584" s="17">
        <f>IF($L584="","",COUNT($L584:$Q584))</f>
        <v/>
      </c>
      <c r="X584" s="18">
        <f>IF($W584="","",INT(INDEX($L584:$Q584,$W584)))</f>
        <v/>
      </c>
      <c r="Y584" s="18">
        <f>IF(OR($W584="",$W584=6),"",WORKDAY($X584,CHOOSE($W584,3,3,2,2,3),Holidays))</f>
        <v/>
      </c>
      <c r="Z584" s="17">
        <f>IF(OR($W584="",$W584=6),"",CHOOSE($W584,"1st Email Follow-up","2nd Email Follow-up","Escalate Local Office","Escalate to CBE","Escalate to Roxanne"))</f>
        <v/>
      </c>
    </row>
    <row r="585" spans="18:26">
      <c r="R585" s="15"/>
      <c r="S585" s="16"/>
      <c r="T585" s="17">
        <f>IF(AND(COUNTA($A585:$K585)=0,$L585=""),"",IF($S585="Paid","PAID",IF($S585="Closed","CLOSED",IF($W585="","",IF($W585=6,"ESCALATED TO ROXANNE",IF(TODAY()&gt;$Y585,"OVERDUE",IF($Y585&lt;=WORKDAY(TODAY(),1,Holidays),"DUE TOMORROW",IF($W585=4,"ESCALATED TO LOCAL OFFICE",IF($W585=5,"ESCALATED TO CBE",IF($X585=TODAY(),"EMAIL SENT","MONITORING"))))))))))</f>
        <v/>
      </c>
      <c r="U585" s="17">
        <f>IF($T585="",IF(AND(COUNTA($A585:$K585)&gt;0,$L585=""),"Awaiting Collection Email time stamp.",""),IF(OR($T585="PAID",$T585="CLOSED"),IF($T585="PAID","Account paid. Action completed.","Account closed. No further action required."),CHOOSE($W585,"Collection Email","1st Email Follow-up","2nd Email Follow-up","Escalation to Local Office","Escalation to CBE","Escalation to Roxanne")&amp;" sent "&amp;TEXT($X585,"dd-mmm")&amp;". "&amp;IF($W585=6,"Final escalation completed.",IF($T585="OVERDUE","Next: "&amp;$Z585&amp;" was due "&amp;TEXT($Y585,"dd-mmm")&amp;" - "&amp;(NETWORKDAYS($Y585,TODAY(),Holidays)-1)&amp;" business day(s) late. Send now.",IF($T585="DUE TOMORROW","Next: "&amp;$Z585&amp;IF($Y585&lt;=TODAY()," is due TODAY ("," is due next business day (")&amp;TEXT($Y585,"dd-mmm")&amp;").","Next: "&amp;$Z585&amp;" due "&amp;TEXT($Y585,"dd-mmm")&amp;" ("&amp;(NETWORKDAYS(TODAY(),$Y585,Holidays)-1)&amp;" business day(s) left).")))))</f>
        <v/>
      </c>
      <c r="V585" s="17">
        <f>IF($W585="","",CHOOSE($W585,"Collection Email","1st Follow-up","2nd Follow-up","Local Office","CBE","Roxanne")&amp;IF($W585=6," - Final"," - Day "&amp;MAX(0,NETWORKDAYS($X585,TODAY(),Holidays)-1)&amp;" of "&amp;CHOOSE($W585,3,3,2,2,3))&amp;" | Total Day "&amp;MAX(0,NETWORKDAYS($L585,TODAY(),Holidays)-1))</f>
        <v/>
      </c>
      <c r="W585" s="17">
        <f>IF($L585="","",COUNT($L585:$Q585))</f>
        <v/>
      </c>
      <c r="X585" s="18">
        <f>IF($W585="","",INT(INDEX($L585:$Q585,$W585)))</f>
        <v/>
      </c>
      <c r="Y585" s="18">
        <f>IF(OR($W585="",$W585=6),"",WORKDAY($X585,CHOOSE($W585,3,3,2,2,3),Holidays))</f>
        <v/>
      </c>
      <c r="Z585" s="17">
        <f>IF(OR($W585="",$W585=6),"",CHOOSE($W585,"1st Email Follow-up","2nd Email Follow-up","Escalate Local Office","Escalate to CBE","Escalate to Roxanne"))</f>
        <v/>
      </c>
    </row>
    <row r="586" spans="18:26">
      <c r="R586" s="15"/>
      <c r="S586" s="16"/>
      <c r="T586" s="17">
        <f>IF(AND(COUNTA($A586:$K586)=0,$L586=""),"",IF($S586="Paid","PAID",IF($S586="Closed","CLOSED",IF($W586="","",IF($W586=6,"ESCALATED TO ROXANNE",IF(TODAY()&gt;$Y586,"OVERDUE",IF($Y586&lt;=WORKDAY(TODAY(),1,Holidays),"DUE TOMORROW",IF($W586=4,"ESCALATED TO LOCAL OFFICE",IF($W586=5,"ESCALATED TO CBE",IF($X586=TODAY(),"EMAIL SENT","MONITORING"))))))))))</f>
        <v/>
      </c>
      <c r="U586" s="17">
        <f>IF($T586="",IF(AND(COUNTA($A586:$K586)&gt;0,$L586=""),"Awaiting Collection Email time stamp.",""),IF(OR($T586="PAID",$T586="CLOSED"),IF($T586="PAID","Account paid. Action completed.","Account closed. No further action required."),CHOOSE($W586,"Collection Email","1st Email Follow-up","2nd Email Follow-up","Escalation to Local Office","Escalation to CBE","Escalation to Roxanne")&amp;" sent "&amp;TEXT($X586,"dd-mmm")&amp;". "&amp;IF($W586=6,"Final escalation completed.",IF($T586="OVERDUE","Next: "&amp;$Z586&amp;" was due "&amp;TEXT($Y586,"dd-mmm")&amp;" - "&amp;(NETWORKDAYS($Y586,TODAY(),Holidays)-1)&amp;" business day(s) late. Send now.",IF($T586="DUE TOMORROW","Next: "&amp;$Z586&amp;IF($Y586&lt;=TODAY()," is due TODAY ("," is due next business day (")&amp;TEXT($Y586,"dd-mmm")&amp;").","Next: "&amp;$Z586&amp;" due "&amp;TEXT($Y586,"dd-mmm")&amp;" ("&amp;(NETWORKDAYS(TODAY(),$Y586,Holidays)-1)&amp;" business day(s) left).")))))</f>
        <v/>
      </c>
      <c r="V586" s="17">
        <f>IF($W586="","",CHOOSE($W586,"Collection Email","1st Follow-up","2nd Follow-up","Local Office","CBE","Roxanne")&amp;IF($W586=6," - Final"," - Day "&amp;MAX(0,NETWORKDAYS($X586,TODAY(),Holidays)-1)&amp;" of "&amp;CHOOSE($W586,3,3,2,2,3))&amp;" | Total Day "&amp;MAX(0,NETWORKDAYS($L586,TODAY(),Holidays)-1))</f>
        <v/>
      </c>
      <c r="W586" s="17">
        <f>IF($L586="","",COUNT($L586:$Q586))</f>
        <v/>
      </c>
      <c r="X586" s="18">
        <f>IF($W586="","",INT(INDEX($L586:$Q586,$W586)))</f>
        <v/>
      </c>
      <c r="Y586" s="18">
        <f>IF(OR($W586="",$W586=6),"",WORKDAY($X586,CHOOSE($W586,3,3,2,2,3),Holidays))</f>
        <v/>
      </c>
      <c r="Z586" s="17">
        <f>IF(OR($W586="",$W586=6),"",CHOOSE($W586,"1st Email Follow-up","2nd Email Follow-up","Escalate Local Office","Escalate to CBE","Escalate to Roxanne"))</f>
        <v/>
      </c>
    </row>
    <row r="587" spans="18:26">
      <c r="R587" s="15"/>
      <c r="S587" s="16"/>
      <c r="T587" s="17">
        <f>IF(AND(COUNTA($A587:$K587)=0,$L587=""),"",IF($S587="Paid","PAID",IF($S587="Closed","CLOSED",IF($W587="","",IF($W587=6,"ESCALATED TO ROXANNE",IF(TODAY()&gt;$Y587,"OVERDUE",IF($Y587&lt;=WORKDAY(TODAY(),1,Holidays),"DUE TOMORROW",IF($W587=4,"ESCALATED TO LOCAL OFFICE",IF($W587=5,"ESCALATED TO CBE",IF($X587=TODAY(),"EMAIL SENT","MONITORING"))))))))))</f>
        <v/>
      </c>
      <c r="U587" s="17">
        <f>IF($T587="",IF(AND(COUNTA($A587:$K587)&gt;0,$L587=""),"Awaiting Collection Email time stamp.",""),IF(OR($T587="PAID",$T587="CLOSED"),IF($T587="PAID","Account paid. Action completed.","Account closed. No further action required."),CHOOSE($W587,"Collection Email","1st Email Follow-up","2nd Email Follow-up","Escalation to Local Office","Escalation to CBE","Escalation to Roxanne")&amp;" sent "&amp;TEXT($X587,"dd-mmm")&amp;". "&amp;IF($W587=6,"Final escalation completed.",IF($T587="OVERDUE","Next: "&amp;$Z587&amp;" was due "&amp;TEXT($Y587,"dd-mmm")&amp;" - "&amp;(NETWORKDAYS($Y587,TODAY(),Holidays)-1)&amp;" business day(s) late. Send now.",IF($T587="DUE TOMORROW","Next: "&amp;$Z587&amp;IF($Y587&lt;=TODAY()," is due TODAY ("," is due next business day (")&amp;TEXT($Y587,"dd-mmm")&amp;").","Next: "&amp;$Z587&amp;" due "&amp;TEXT($Y587,"dd-mmm")&amp;" ("&amp;(NETWORKDAYS(TODAY(),$Y587,Holidays)-1)&amp;" business day(s) left).")))))</f>
        <v/>
      </c>
      <c r="V587" s="17">
        <f>IF($W587="","",CHOOSE($W587,"Collection Email","1st Follow-up","2nd Follow-up","Local Office","CBE","Roxanne")&amp;IF($W587=6," - Final"," - Day "&amp;MAX(0,NETWORKDAYS($X587,TODAY(),Holidays)-1)&amp;" of "&amp;CHOOSE($W587,3,3,2,2,3))&amp;" | Total Day "&amp;MAX(0,NETWORKDAYS($L587,TODAY(),Holidays)-1))</f>
        <v/>
      </c>
      <c r="W587" s="17">
        <f>IF($L587="","",COUNT($L587:$Q587))</f>
        <v/>
      </c>
      <c r="X587" s="18">
        <f>IF($W587="","",INT(INDEX($L587:$Q587,$W587)))</f>
        <v/>
      </c>
      <c r="Y587" s="18">
        <f>IF(OR($W587="",$W587=6),"",WORKDAY($X587,CHOOSE($W587,3,3,2,2,3),Holidays))</f>
        <v/>
      </c>
      <c r="Z587" s="17">
        <f>IF(OR($W587="",$W587=6),"",CHOOSE($W587,"1st Email Follow-up","2nd Email Follow-up","Escalate Local Office","Escalate to CBE","Escalate to Roxanne"))</f>
        <v/>
      </c>
    </row>
    <row r="588" spans="18:26">
      <c r="R588" s="15"/>
      <c r="S588" s="16"/>
      <c r="T588" s="17">
        <f>IF(AND(COUNTA($A588:$K588)=0,$L588=""),"",IF($S588="Paid","PAID",IF($S588="Closed","CLOSED",IF($W588="","",IF($W588=6,"ESCALATED TO ROXANNE",IF(TODAY()&gt;$Y588,"OVERDUE",IF($Y588&lt;=WORKDAY(TODAY(),1,Holidays),"DUE TOMORROW",IF($W588=4,"ESCALATED TO LOCAL OFFICE",IF($W588=5,"ESCALATED TO CBE",IF($X588=TODAY(),"EMAIL SENT","MONITORING"))))))))))</f>
        <v/>
      </c>
      <c r="U588" s="17">
        <f>IF($T588="",IF(AND(COUNTA($A588:$K588)&gt;0,$L588=""),"Awaiting Collection Email time stamp.",""),IF(OR($T588="PAID",$T588="CLOSED"),IF($T588="PAID","Account paid. Action completed.","Account closed. No further action required."),CHOOSE($W588,"Collection Email","1st Email Follow-up","2nd Email Follow-up","Escalation to Local Office","Escalation to CBE","Escalation to Roxanne")&amp;" sent "&amp;TEXT($X588,"dd-mmm")&amp;". "&amp;IF($W588=6,"Final escalation completed.",IF($T588="OVERDUE","Next: "&amp;$Z588&amp;" was due "&amp;TEXT($Y588,"dd-mmm")&amp;" - "&amp;(NETWORKDAYS($Y588,TODAY(),Holidays)-1)&amp;" business day(s) late. Send now.",IF($T588="DUE TOMORROW","Next: "&amp;$Z588&amp;IF($Y588&lt;=TODAY()," is due TODAY ("," is due next business day (")&amp;TEXT($Y588,"dd-mmm")&amp;").","Next: "&amp;$Z588&amp;" due "&amp;TEXT($Y588,"dd-mmm")&amp;" ("&amp;(NETWORKDAYS(TODAY(),$Y588,Holidays)-1)&amp;" business day(s) left).")))))</f>
        <v/>
      </c>
      <c r="V588" s="17">
        <f>IF($W588="","",CHOOSE($W588,"Collection Email","1st Follow-up","2nd Follow-up","Local Office","CBE","Roxanne")&amp;IF($W588=6," - Final"," - Day "&amp;MAX(0,NETWORKDAYS($X588,TODAY(),Holidays)-1)&amp;" of "&amp;CHOOSE($W588,3,3,2,2,3))&amp;" | Total Day "&amp;MAX(0,NETWORKDAYS($L588,TODAY(),Holidays)-1))</f>
        <v/>
      </c>
      <c r="W588" s="17">
        <f>IF($L588="","",COUNT($L588:$Q588))</f>
        <v/>
      </c>
      <c r="X588" s="18">
        <f>IF($W588="","",INT(INDEX($L588:$Q588,$W588)))</f>
        <v/>
      </c>
      <c r="Y588" s="18">
        <f>IF(OR($W588="",$W588=6),"",WORKDAY($X588,CHOOSE($W588,3,3,2,2,3),Holidays))</f>
        <v/>
      </c>
      <c r="Z588" s="17">
        <f>IF(OR($W588="",$W588=6),"",CHOOSE($W588,"1st Email Follow-up","2nd Email Follow-up","Escalate Local Office","Escalate to CBE","Escalate to Roxanne"))</f>
        <v/>
      </c>
    </row>
    <row r="589" spans="18:26">
      <c r="R589" s="15"/>
      <c r="S589" s="16"/>
      <c r="T589" s="17">
        <f>IF(AND(COUNTA($A589:$K589)=0,$L589=""),"",IF($S589="Paid","PAID",IF($S589="Closed","CLOSED",IF($W589="","",IF($W589=6,"ESCALATED TO ROXANNE",IF(TODAY()&gt;$Y589,"OVERDUE",IF($Y589&lt;=WORKDAY(TODAY(),1,Holidays),"DUE TOMORROW",IF($W589=4,"ESCALATED TO LOCAL OFFICE",IF($W589=5,"ESCALATED TO CBE",IF($X589=TODAY(),"EMAIL SENT","MONITORING"))))))))))</f>
        <v/>
      </c>
      <c r="U589" s="17">
        <f>IF($T589="",IF(AND(COUNTA($A589:$K589)&gt;0,$L589=""),"Awaiting Collection Email time stamp.",""),IF(OR($T589="PAID",$T589="CLOSED"),IF($T589="PAID","Account paid. Action completed.","Account closed. No further action required."),CHOOSE($W589,"Collection Email","1st Email Follow-up","2nd Email Follow-up","Escalation to Local Office","Escalation to CBE","Escalation to Roxanne")&amp;" sent "&amp;TEXT($X589,"dd-mmm")&amp;". "&amp;IF($W589=6,"Final escalation completed.",IF($T589="OVERDUE","Next: "&amp;$Z589&amp;" was due "&amp;TEXT($Y589,"dd-mmm")&amp;" - "&amp;(NETWORKDAYS($Y589,TODAY(),Holidays)-1)&amp;" business day(s) late. Send now.",IF($T589="DUE TOMORROW","Next: "&amp;$Z589&amp;IF($Y589&lt;=TODAY()," is due TODAY ("," is due next business day (")&amp;TEXT($Y589,"dd-mmm")&amp;").","Next: "&amp;$Z589&amp;" due "&amp;TEXT($Y589,"dd-mmm")&amp;" ("&amp;(NETWORKDAYS(TODAY(),$Y589,Holidays)-1)&amp;" business day(s) left).")))))</f>
        <v/>
      </c>
      <c r="V589" s="17">
        <f>IF($W589="","",CHOOSE($W589,"Collection Email","1st Follow-up","2nd Follow-up","Local Office","CBE","Roxanne")&amp;IF($W589=6," - Final"," - Day "&amp;MAX(0,NETWORKDAYS($X589,TODAY(),Holidays)-1)&amp;" of "&amp;CHOOSE($W589,3,3,2,2,3))&amp;" | Total Day "&amp;MAX(0,NETWORKDAYS($L589,TODAY(),Holidays)-1))</f>
        <v/>
      </c>
      <c r="W589" s="17">
        <f>IF($L589="","",COUNT($L589:$Q589))</f>
        <v/>
      </c>
      <c r="X589" s="18">
        <f>IF($W589="","",INT(INDEX($L589:$Q589,$W589)))</f>
        <v/>
      </c>
      <c r="Y589" s="18">
        <f>IF(OR($W589="",$W589=6),"",WORKDAY($X589,CHOOSE($W589,3,3,2,2,3),Holidays))</f>
        <v/>
      </c>
      <c r="Z589" s="17">
        <f>IF(OR($W589="",$W589=6),"",CHOOSE($W589,"1st Email Follow-up","2nd Email Follow-up","Escalate Local Office","Escalate to CBE","Escalate to Roxanne"))</f>
        <v/>
      </c>
    </row>
    <row r="590" spans="18:26">
      <c r="R590" s="15"/>
      <c r="S590" s="16"/>
      <c r="T590" s="17">
        <f>IF(AND(COUNTA($A590:$K590)=0,$L590=""),"",IF($S590="Paid","PAID",IF($S590="Closed","CLOSED",IF($W590="","",IF($W590=6,"ESCALATED TO ROXANNE",IF(TODAY()&gt;$Y590,"OVERDUE",IF($Y590&lt;=WORKDAY(TODAY(),1,Holidays),"DUE TOMORROW",IF($W590=4,"ESCALATED TO LOCAL OFFICE",IF($W590=5,"ESCALATED TO CBE",IF($X590=TODAY(),"EMAIL SENT","MONITORING"))))))))))</f>
        <v/>
      </c>
      <c r="U590" s="17">
        <f>IF($T590="",IF(AND(COUNTA($A590:$K590)&gt;0,$L590=""),"Awaiting Collection Email time stamp.",""),IF(OR($T590="PAID",$T590="CLOSED"),IF($T590="PAID","Account paid. Action completed.","Account closed. No further action required."),CHOOSE($W590,"Collection Email","1st Email Follow-up","2nd Email Follow-up","Escalation to Local Office","Escalation to CBE","Escalation to Roxanne")&amp;" sent "&amp;TEXT($X590,"dd-mmm")&amp;". "&amp;IF($W590=6,"Final escalation completed.",IF($T590="OVERDUE","Next: "&amp;$Z590&amp;" was due "&amp;TEXT($Y590,"dd-mmm")&amp;" - "&amp;(NETWORKDAYS($Y590,TODAY(),Holidays)-1)&amp;" business day(s) late. Send now.",IF($T590="DUE TOMORROW","Next: "&amp;$Z590&amp;IF($Y590&lt;=TODAY()," is due TODAY ("," is due next business day (")&amp;TEXT($Y590,"dd-mmm")&amp;").","Next: "&amp;$Z590&amp;" due "&amp;TEXT($Y590,"dd-mmm")&amp;" ("&amp;(NETWORKDAYS(TODAY(),$Y590,Holidays)-1)&amp;" business day(s) left).")))))</f>
        <v/>
      </c>
      <c r="V590" s="17">
        <f>IF($W590="","",CHOOSE($W590,"Collection Email","1st Follow-up","2nd Follow-up","Local Office","CBE","Roxanne")&amp;IF($W590=6," - Final"," - Day "&amp;MAX(0,NETWORKDAYS($X590,TODAY(),Holidays)-1)&amp;" of "&amp;CHOOSE($W590,3,3,2,2,3))&amp;" | Total Day "&amp;MAX(0,NETWORKDAYS($L590,TODAY(),Holidays)-1))</f>
        <v/>
      </c>
      <c r="W590" s="17">
        <f>IF($L590="","",COUNT($L590:$Q590))</f>
        <v/>
      </c>
      <c r="X590" s="18">
        <f>IF($W590="","",INT(INDEX($L590:$Q590,$W590)))</f>
        <v/>
      </c>
      <c r="Y590" s="18">
        <f>IF(OR($W590="",$W590=6),"",WORKDAY($X590,CHOOSE($W590,3,3,2,2,3),Holidays))</f>
        <v/>
      </c>
      <c r="Z590" s="17">
        <f>IF(OR($W590="",$W590=6),"",CHOOSE($W590,"1st Email Follow-up","2nd Email Follow-up","Escalate Local Office","Escalate to CBE","Escalate to Roxanne"))</f>
        <v/>
      </c>
    </row>
    <row r="591" spans="18:26">
      <c r="R591" s="15"/>
      <c r="S591" s="16"/>
      <c r="T591" s="17">
        <f>IF(AND(COUNTA($A591:$K591)=0,$L591=""),"",IF($S591="Paid","PAID",IF($S591="Closed","CLOSED",IF($W591="","",IF($W591=6,"ESCALATED TO ROXANNE",IF(TODAY()&gt;$Y591,"OVERDUE",IF($Y591&lt;=WORKDAY(TODAY(),1,Holidays),"DUE TOMORROW",IF($W591=4,"ESCALATED TO LOCAL OFFICE",IF($W591=5,"ESCALATED TO CBE",IF($X591=TODAY(),"EMAIL SENT","MONITORING"))))))))))</f>
        <v/>
      </c>
      <c r="U591" s="17">
        <f>IF($T591="",IF(AND(COUNTA($A591:$K591)&gt;0,$L591=""),"Awaiting Collection Email time stamp.",""),IF(OR($T591="PAID",$T591="CLOSED"),IF($T591="PAID","Account paid. Action completed.","Account closed. No further action required."),CHOOSE($W591,"Collection Email","1st Email Follow-up","2nd Email Follow-up","Escalation to Local Office","Escalation to CBE","Escalation to Roxanne")&amp;" sent "&amp;TEXT($X591,"dd-mmm")&amp;". "&amp;IF($W591=6,"Final escalation completed.",IF($T591="OVERDUE","Next: "&amp;$Z591&amp;" was due "&amp;TEXT($Y591,"dd-mmm")&amp;" - "&amp;(NETWORKDAYS($Y591,TODAY(),Holidays)-1)&amp;" business day(s) late. Send now.",IF($T591="DUE TOMORROW","Next: "&amp;$Z591&amp;IF($Y591&lt;=TODAY()," is due TODAY ("," is due next business day (")&amp;TEXT($Y591,"dd-mmm")&amp;").","Next: "&amp;$Z591&amp;" due "&amp;TEXT($Y591,"dd-mmm")&amp;" ("&amp;(NETWORKDAYS(TODAY(),$Y591,Holidays)-1)&amp;" business day(s) left).")))))</f>
        <v/>
      </c>
      <c r="V591" s="17">
        <f>IF($W591="","",CHOOSE($W591,"Collection Email","1st Follow-up","2nd Follow-up","Local Office","CBE","Roxanne")&amp;IF($W591=6," - Final"," - Day "&amp;MAX(0,NETWORKDAYS($X591,TODAY(),Holidays)-1)&amp;" of "&amp;CHOOSE($W591,3,3,2,2,3))&amp;" | Total Day "&amp;MAX(0,NETWORKDAYS($L591,TODAY(),Holidays)-1))</f>
        <v/>
      </c>
      <c r="W591" s="17">
        <f>IF($L591="","",COUNT($L591:$Q591))</f>
        <v/>
      </c>
      <c r="X591" s="18">
        <f>IF($W591="","",INT(INDEX($L591:$Q591,$W591)))</f>
        <v/>
      </c>
      <c r="Y591" s="18">
        <f>IF(OR($W591="",$W591=6),"",WORKDAY($X591,CHOOSE($W591,3,3,2,2,3),Holidays))</f>
        <v/>
      </c>
      <c r="Z591" s="17">
        <f>IF(OR($W591="",$W591=6),"",CHOOSE($W591,"1st Email Follow-up","2nd Email Follow-up","Escalate Local Office","Escalate to CBE","Escalate to Roxanne"))</f>
        <v/>
      </c>
    </row>
    <row r="592" spans="18:26">
      <c r="R592" s="15"/>
      <c r="S592" s="16"/>
      <c r="T592" s="17">
        <f>IF(AND(COUNTA($A592:$K592)=0,$L592=""),"",IF($S592="Paid","PAID",IF($S592="Closed","CLOSED",IF($W592="","",IF($W592=6,"ESCALATED TO ROXANNE",IF(TODAY()&gt;$Y592,"OVERDUE",IF($Y592&lt;=WORKDAY(TODAY(),1,Holidays),"DUE TOMORROW",IF($W592=4,"ESCALATED TO LOCAL OFFICE",IF($W592=5,"ESCALATED TO CBE",IF($X592=TODAY(),"EMAIL SENT","MONITORING"))))))))))</f>
        <v/>
      </c>
      <c r="U592" s="17">
        <f>IF($T592="",IF(AND(COUNTA($A592:$K592)&gt;0,$L592=""),"Awaiting Collection Email time stamp.",""),IF(OR($T592="PAID",$T592="CLOSED"),IF($T592="PAID","Account paid. Action completed.","Account closed. No further action required."),CHOOSE($W592,"Collection Email","1st Email Follow-up","2nd Email Follow-up","Escalation to Local Office","Escalation to CBE","Escalation to Roxanne")&amp;" sent "&amp;TEXT($X592,"dd-mmm")&amp;". "&amp;IF($W592=6,"Final escalation completed.",IF($T592="OVERDUE","Next: "&amp;$Z592&amp;" was due "&amp;TEXT($Y592,"dd-mmm")&amp;" - "&amp;(NETWORKDAYS($Y592,TODAY(),Holidays)-1)&amp;" business day(s) late. Send now.",IF($T592="DUE TOMORROW","Next: "&amp;$Z592&amp;IF($Y592&lt;=TODAY()," is due TODAY ("," is due next business day (")&amp;TEXT($Y592,"dd-mmm")&amp;").","Next: "&amp;$Z592&amp;" due "&amp;TEXT($Y592,"dd-mmm")&amp;" ("&amp;(NETWORKDAYS(TODAY(),$Y592,Holidays)-1)&amp;" business day(s) left).")))))</f>
        <v/>
      </c>
      <c r="V592" s="17">
        <f>IF($W592="","",CHOOSE($W592,"Collection Email","1st Follow-up","2nd Follow-up","Local Office","CBE","Roxanne")&amp;IF($W592=6," - Final"," - Day "&amp;MAX(0,NETWORKDAYS($X592,TODAY(),Holidays)-1)&amp;" of "&amp;CHOOSE($W592,3,3,2,2,3))&amp;" | Total Day "&amp;MAX(0,NETWORKDAYS($L592,TODAY(),Holidays)-1))</f>
        <v/>
      </c>
      <c r="W592" s="17">
        <f>IF($L592="","",COUNT($L592:$Q592))</f>
        <v/>
      </c>
      <c r="X592" s="18">
        <f>IF($W592="","",INT(INDEX($L592:$Q592,$W592)))</f>
        <v/>
      </c>
      <c r="Y592" s="18">
        <f>IF(OR($W592="",$W592=6),"",WORKDAY($X592,CHOOSE($W592,3,3,2,2,3),Holidays))</f>
        <v/>
      </c>
      <c r="Z592" s="17">
        <f>IF(OR($W592="",$W592=6),"",CHOOSE($W592,"1st Email Follow-up","2nd Email Follow-up","Escalate Local Office","Escalate to CBE","Escalate to Roxanne"))</f>
        <v/>
      </c>
    </row>
    <row r="593" spans="18:26">
      <c r="R593" s="15"/>
      <c r="S593" s="16"/>
      <c r="T593" s="17">
        <f>IF(AND(COUNTA($A593:$K593)=0,$L593=""),"",IF($S593="Paid","PAID",IF($S593="Closed","CLOSED",IF($W593="","",IF($W593=6,"ESCALATED TO ROXANNE",IF(TODAY()&gt;$Y593,"OVERDUE",IF($Y593&lt;=WORKDAY(TODAY(),1,Holidays),"DUE TOMORROW",IF($W593=4,"ESCALATED TO LOCAL OFFICE",IF($W593=5,"ESCALATED TO CBE",IF($X593=TODAY(),"EMAIL SENT","MONITORING"))))))))))</f>
        <v/>
      </c>
      <c r="U593" s="17">
        <f>IF($T593="",IF(AND(COUNTA($A593:$K593)&gt;0,$L593=""),"Awaiting Collection Email time stamp.",""),IF(OR($T593="PAID",$T593="CLOSED"),IF($T593="PAID","Account paid. Action completed.","Account closed. No further action required."),CHOOSE($W593,"Collection Email","1st Email Follow-up","2nd Email Follow-up","Escalation to Local Office","Escalation to CBE","Escalation to Roxanne")&amp;" sent "&amp;TEXT($X593,"dd-mmm")&amp;". "&amp;IF($W593=6,"Final escalation completed.",IF($T593="OVERDUE","Next: "&amp;$Z593&amp;" was due "&amp;TEXT($Y593,"dd-mmm")&amp;" - "&amp;(NETWORKDAYS($Y593,TODAY(),Holidays)-1)&amp;" business day(s) late. Send now.",IF($T593="DUE TOMORROW","Next: "&amp;$Z593&amp;IF($Y593&lt;=TODAY()," is due TODAY ("," is due next business day (")&amp;TEXT($Y593,"dd-mmm")&amp;").","Next: "&amp;$Z593&amp;" due "&amp;TEXT($Y593,"dd-mmm")&amp;" ("&amp;(NETWORKDAYS(TODAY(),$Y593,Holidays)-1)&amp;" business day(s) left).")))))</f>
        <v/>
      </c>
      <c r="V593" s="17">
        <f>IF($W593="","",CHOOSE($W593,"Collection Email","1st Follow-up","2nd Follow-up","Local Office","CBE","Roxanne")&amp;IF($W593=6," - Final"," - Day "&amp;MAX(0,NETWORKDAYS($X593,TODAY(),Holidays)-1)&amp;" of "&amp;CHOOSE($W593,3,3,2,2,3))&amp;" | Total Day "&amp;MAX(0,NETWORKDAYS($L593,TODAY(),Holidays)-1))</f>
        <v/>
      </c>
      <c r="W593" s="17">
        <f>IF($L593="","",COUNT($L593:$Q593))</f>
        <v/>
      </c>
      <c r="X593" s="18">
        <f>IF($W593="","",INT(INDEX($L593:$Q593,$W593)))</f>
        <v/>
      </c>
      <c r="Y593" s="18">
        <f>IF(OR($W593="",$W593=6),"",WORKDAY($X593,CHOOSE($W593,3,3,2,2,3),Holidays))</f>
        <v/>
      </c>
      <c r="Z593" s="17">
        <f>IF(OR($W593="",$W593=6),"",CHOOSE($W593,"1st Email Follow-up","2nd Email Follow-up","Escalate Local Office","Escalate to CBE","Escalate to Roxanne"))</f>
        <v/>
      </c>
    </row>
    <row r="594" spans="18:26">
      <c r="R594" s="15"/>
      <c r="S594" s="16"/>
      <c r="T594" s="17">
        <f>IF(AND(COUNTA($A594:$K594)=0,$L594=""),"",IF($S594="Paid","PAID",IF($S594="Closed","CLOSED",IF($W594="","",IF($W594=6,"ESCALATED TO ROXANNE",IF(TODAY()&gt;$Y594,"OVERDUE",IF($Y594&lt;=WORKDAY(TODAY(),1,Holidays),"DUE TOMORROW",IF($W594=4,"ESCALATED TO LOCAL OFFICE",IF($W594=5,"ESCALATED TO CBE",IF($X594=TODAY(),"EMAIL SENT","MONITORING"))))))))))</f>
        <v/>
      </c>
      <c r="U594" s="17">
        <f>IF($T594="",IF(AND(COUNTA($A594:$K594)&gt;0,$L594=""),"Awaiting Collection Email time stamp.",""),IF(OR($T594="PAID",$T594="CLOSED"),IF($T594="PAID","Account paid. Action completed.","Account closed. No further action required."),CHOOSE($W594,"Collection Email","1st Email Follow-up","2nd Email Follow-up","Escalation to Local Office","Escalation to CBE","Escalation to Roxanne")&amp;" sent "&amp;TEXT($X594,"dd-mmm")&amp;". "&amp;IF($W594=6,"Final escalation completed.",IF($T594="OVERDUE","Next: "&amp;$Z594&amp;" was due "&amp;TEXT($Y594,"dd-mmm")&amp;" - "&amp;(NETWORKDAYS($Y594,TODAY(),Holidays)-1)&amp;" business day(s) late. Send now.",IF($T594="DUE TOMORROW","Next: "&amp;$Z594&amp;IF($Y594&lt;=TODAY()," is due TODAY ("," is due next business day (")&amp;TEXT($Y594,"dd-mmm")&amp;").","Next: "&amp;$Z594&amp;" due "&amp;TEXT($Y594,"dd-mmm")&amp;" ("&amp;(NETWORKDAYS(TODAY(),$Y594,Holidays)-1)&amp;" business day(s) left).")))))</f>
        <v/>
      </c>
      <c r="V594" s="17">
        <f>IF($W594="","",CHOOSE($W594,"Collection Email","1st Follow-up","2nd Follow-up","Local Office","CBE","Roxanne")&amp;IF($W594=6," - Final"," - Day "&amp;MAX(0,NETWORKDAYS($X594,TODAY(),Holidays)-1)&amp;" of "&amp;CHOOSE($W594,3,3,2,2,3))&amp;" | Total Day "&amp;MAX(0,NETWORKDAYS($L594,TODAY(),Holidays)-1))</f>
        <v/>
      </c>
      <c r="W594" s="17">
        <f>IF($L594="","",COUNT($L594:$Q594))</f>
        <v/>
      </c>
      <c r="X594" s="18">
        <f>IF($W594="","",INT(INDEX($L594:$Q594,$W594)))</f>
        <v/>
      </c>
      <c r="Y594" s="18">
        <f>IF(OR($W594="",$W594=6),"",WORKDAY($X594,CHOOSE($W594,3,3,2,2,3),Holidays))</f>
        <v/>
      </c>
      <c r="Z594" s="17">
        <f>IF(OR($W594="",$W594=6),"",CHOOSE($W594,"1st Email Follow-up","2nd Email Follow-up","Escalate Local Office","Escalate to CBE","Escalate to Roxanne"))</f>
        <v/>
      </c>
    </row>
    <row r="595" spans="18:26">
      <c r="R595" s="15"/>
      <c r="S595" s="16"/>
      <c r="T595" s="17">
        <f>IF(AND(COUNTA($A595:$K595)=0,$L595=""),"",IF($S595="Paid","PAID",IF($S595="Closed","CLOSED",IF($W595="","",IF($W595=6,"ESCALATED TO ROXANNE",IF(TODAY()&gt;$Y595,"OVERDUE",IF($Y595&lt;=WORKDAY(TODAY(),1,Holidays),"DUE TOMORROW",IF($W595=4,"ESCALATED TO LOCAL OFFICE",IF($W595=5,"ESCALATED TO CBE",IF($X595=TODAY(),"EMAIL SENT","MONITORING"))))))))))</f>
        <v/>
      </c>
      <c r="U595" s="17">
        <f>IF($T595="",IF(AND(COUNTA($A595:$K595)&gt;0,$L595=""),"Awaiting Collection Email time stamp.",""),IF(OR($T595="PAID",$T595="CLOSED"),IF($T595="PAID","Account paid. Action completed.","Account closed. No further action required."),CHOOSE($W595,"Collection Email","1st Email Follow-up","2nd Email Follow-up","Escalation to Local Office","Escalation to CBE","Escalation to Roxanne")&amp;" sent "&amp;TEXT($X595,"dd-mmm")&amp;". "&amp;IF($W595=6,"Final escalation completed.",IF($T595="OVERDUE","Next: "&amp;$Z595&amp;" was due "&amp;TEXT($Y595,"dd-mmm")&amp;" - "&amp;(NETWORKDAYS($Y595,TODAY(),Holidays)-1)&amp;" business day(s) late. Send now.",IF($T595="DUE TOMORROW","Next: "&amp;$Z595&amp;IF($Y595&lt;=TODAY()," is due TODAY ("," is due next business day (")&amp;TEXT($Y595,"dd-mmm")&amp;").","Next: "&amp;$Z595&amp;" due "&amp;TEXT($Y595,"dd-mmm")&amp;" ("&amp;(NETWORKDAYS(TODAY(),$Y595,Holidays)-1)&amp;" business day(s) left).")))))</f>
        <v/>
      </c>
      <c r="V595" s="17">
        <f>IF($W595="","",CHOOSE($W595,"Collection Email","1st Follow-up","2nd Follow-up","Local Office","CBE","Roxanne")&amp;IF($W595=6," - Final"," - Day "&amp;MAX(0,NETWORKDAYS($X595,TODAY(),Holidays)-1)&amp;" of "&amp;CHOOSE($W595,3,3,2,2,3))&amp;" | Total Day "&amp;MAX(0,NETWORKDAYS($L595,TODAY(),Holidays)-1))</f>
        <v/>
      </c>
      <c r="W595" s="17">
        <f>IF($L595="","",COUNT($L595:$Q595))</f>
        <v/>
      </c>
      <c r="X595" s="18">
        <f>IF($W595="","",INT(INDEX($L595:$Q595,$W595)))</f>
        <v/>
      </c>
      <c r="Y595" s="18">
        <f>IF(OR($W595="",$W595=6),"",WORKDAY($X595,CHOOSE($W595,3,3,2,2,3),Holidays))</f>
        <v/>
      </c>
      <c r="Z595" s="17">
        <f>IF(OR($W595="",$W595=6),"",CHOOSE($W595,"1st Email Follow-up","2nd Email Follow-up","Escalate Local Office","Escalate to CBE","Escalate to Roxanne"))</f>
        <v/>
      </c>
    </row>
    <row r="596" spans="18:26">
      <c r="R596" s="15"/>
      <c r="S596" s="16"/>
      <c r="T596" s="17">
        <f>IF(AND(COUNTA($A596:$K596)=0,$L596=""),"",IF($S596="Paid","PAID",IF($S596="Closed","CLOSED",IF($W596="","",IF($W596=6,"ESCALATED TO ROXANNE",IF(TODAY()&gt;$Y596,"OVERDUE",IF($Y596&lt;=WORKDAY(TODAY(),1,Holidays),"DUE TOMORROW",IF($W596=4,"ESCALATED TO LOCAL OFFICE",IF($W596=5,"ESCALATED TO CBE",IF($X596=TODAY(),"EMAIL SENT","MONITORING"))))))))))</f>
        <v/>
      </c>
      <c r="U596" s="17">
        <f>IF($T596="",IF(AND(COUNTA($A596:$K596)&gt;0,$L596=""),"Awaiting Collection Email time stamp.",""),IF(OR($T596="PAID",$T596="CLOSED"),IF($T596="PAID","Account paid. Action completed.","Account closed. No further action required."),CHOOSE($W596,"Collection Email","1st Email Follow-up","2nd Email Follow-up","Escalation to Local Office","Escalation to CBE","Escalation to Roxanne")&amp;" sent "&amp;TEXT($X596,"dd-mmm")&amp;". "&amp;IF($W596=6,"Final escalation completed.",IF($T596="OVERDUE","Next: "&amp;$Z596&amp;" was due "&amp;TEXT($Y596,"dd-mmm")&amp;" - "&amp;(NETWORKDAYS($Y596,TODAY(),Holidays)-1)&amp;" business day(s) late. Send now.",IF($T596="DUE TOMORROW","Next: "&amp;$Z596&amp;IF($Y596&lt;=TODAY()," is due TODAY ("," is due next business day (")&amp;TEXT($Y596,"dd-mmm")&amp;").","Next: "&amp;$Z596&amp;" due "&amp;TEXT($Y596,"dd-mmm")&amp;" ("&amp;(NETWORKDAYS(TODAY(),$Y596,Holidays)-1)&amp;" business day(s) left).")))))</f>
        <v/>
      </c>
      <c r="V596" s="17">
        <f>IF($W596="","",CHOOSE($W596,"Collection Email","1st Follow-up","2nd Follow-up","Local Office","CBE","Roxanne")&amp;IF($W596=6," - Final"," - Day "&amp;MAX(0,NETWORKDAYS($X596,TODAY(),Holidays)-1)&amp;" of "&amp;CHOOSE($W596,3,3,2,2,3))&amp;" | Total Day "&amp;MAX(0,NETWORKDAYS($L596,TODAY(),Holidays)-1))</f>
        <v/>
      </c>
      <c r="W596" s="17">
        <f>IF($L596="","",COUNT($L596:$Q596))</f>
        <v/>
      </c>
      <c r="X596" s="18">
        <f>IF($W596="","",INT(INDEX($L596:$Q596,$W596)))</f>
        <v/>
      </c>
      <c r="Y596" s="18">
        <f>IF(OR($W596="",$W596=6),"",WORKDAY($X596,CHOOSE($W596,3,3,2,2,3),Holidays))</f>
        <v/>
      </c>
      <c r="Z596" s="17">
        <f>IF(OR($W596="",$W596=6),"",CHOOSE($W596,"1st Email Follow-up","2nd Email Follow-up","Escalate Local Office","Escalate to CBE","Escalate to Roxanne"))</f>
        <v/>
      </c>
    </row>
    <row r="597" spans="18:26">
      <c r="R597" s="15"/>
      <c r="S597" s="16"/>
      <c r="T597" s="17">
        <f>IF(AND(COUNTA($A597:$K597)=0,$L597=""),"",IF($S597="Paid","PAID",IF($S597="Closed","CLOSED",IF($W597="","",IF($W597=6,"ESCALATED TO ROXANNE",IF(TODAY()&gt;$Y597,"OVERDUE",IF($Y597&lt;=WORKDAY(TODAY(),1,Holidays),"DUE TOMORROW",IF($W597=4,"ESCALATED TO LOCAL OFFICE",IF($W597=5,"ESCALATED TO CBE",IF($X597=TODAY(),"EMAIL SENT","MONITORING"))))))))))</f>
        <v/>
      </c>
      <c r="U597" s="17">
        <f>IF($T597="",IF(AND(COUNTA($A597:$K597)&gt;0,$L597=""),"Awaiting Collection Email time stamp.",""),IF(OR($T597="PAID",$T597="CLOSED"),IF($T597="PAID","Account paid. Action completed.","Account closed. No further action required."),CHOOSE($W597,"Collection Email","1st Email Follow-up","2nd Email Follow-up","Escalation to Local Office","Escalation to CBE","Escalation to Roxanne")&amp;" sent "&amp;TEXT($X597,"dd-mmm")&amp;". "&amp;IF($W597=6,"Final escalation completed.",IF($T597="OVERDUE","Next: "&amp;$Z597&amp;" was due "&amp;TEXT($Y597,"dd-mmm")&amp;" - "&amp;(NETWORKDAYS($Y597,TODAY(),Holidays)-1)&amp;" business day(s) late. Send now.",IF($T597="DUE TOMORROW","Next: "&amp;$Z597&amp;IF($Y597&lt;=TODAY()," is due TODAY ("," is due next business day (")&amp;TEXT($Y597,"dd-mmm")&amp;").","Next: "&amp;$Z597&amp;" due "&amp;TEXT($Y597,"dd-mmm")&amp;" ("&amp;(NETWORKDAYS(TODAY(),$Y597,Holidays)-1)&amp;" business day(s) left).")))))</f>
        <v/>
      </c>
      <c r="V597" s="17">
        <f>IF($W597="","",CHOOSE($W597,"Collection Email","1st Follow-up","2nd Follow-up","Local Office","CBE","Roxanne")&amp;IF($W597=6," - Final"," - Day "&amp;MAX(0,NETWORKDAYS($X597,TODAY(),Holidays)-1)&amp;" of "&amp;CHOOSE($W597,3,3,2,2,3))&amp;" | Total Day "&amp;MAX(0,NETWORKDAYS($L597,TODAY(),Holidays)-1))</f>
        <v/>
      </c>
      <c r="W597" s="17">
        <f>IF($L597="","",COUNT($L597:$Q597))</f>
        <v/>
      </c>
      <c r="X597" s="18">
        <f>IF($W597="","",INT(INDEX($L597:$Q597,$W597)))</f>
        <v/>
      </c>
      <c r="Y597" s="18">
        <f>IF(OR($W597="",$W597=6),"",WORKDAY($X597,CHOOSE($W597,3,3,2,2,3),Holidays))</f>
        <v/>
      </c>
      <c r="Z597" s="17">
        <f>IF(OR($W597="",$W597=6),"",CHOOSE($W597,"1st Email Follow-up","2nd Email Follow-up","Escalate Local Office","Escalate to CBE","Escalate to Roxanne"))</f>
        <v/>
      </c>
    </row>
    <row r="598" spans="18:26">
      <c r="R598" s="15"/>
      <c r="S598" s="16"/>
      <c r="T598" s="17">
        <f>IF(AND(COUNTA($A598:$K598)=0,$L598=""),"",IF($S598="Paid","PAID",IF($S598="Closed","CLOSED",IF($W598="","",IF($W598=6,"ESCALATED TO ROXANNE",IF(TODAY()&gt;$Y598,"OVERDUE",IF($Y598&lt;=WORKDAY(TODAY(),1,Holidays),"DUE TOMORROW",IF($W598=4,"ESCALATED TO LOCAL OFFICE",IF($W598=5,"ESCALATED TO CBE",IF($X598=TODAY(),"EMAIL SENT","MONITORING"))))))))))</f>
        <v/>
      </c>
      <c r="U598" s="17">
        <f>IF($T598="",IF(AND(COUNTA($A598:$K598)&gt;0,$L598=""),"Awaiting Collection Email time stamp.",""),IF(OR($T598="PAID",$T598="CLOSED"),IF($T598="PAID","Account paid. Action completed.","Account closed. No further action required."),CHOOSE($W598,"Collection Email","1st Email Follow-up","2nd Email Follow-up","Escalation to Local Office","Escalation to CBE","Escalation to Roxanne")&amp;" sent "&amp;TEXT($X598,"dd-mmm")&amp;". "&amp;IF($W598=6,"Final escalation completed.",IF($T598="OVERDUE","Next: "&amp;$Z598&amp;" was due "&amp;TEXT($Y598,"dd-mmm")&amp;" - "&amp;(NETWORKDAYS($Y598,TODAY(),Holidays)-1)&amp;" business day(s) late. Send now.",IF($T598="DUE TOMORROW","Next: "&amp;$Z598&amp;IF($Y598&lt;=TODAY()," is due TODAY ("," is due next business day (")&amp;TEXT($Y598,"dd-mmm")&amp;").","Next: "&amp;$Z598&amp;" due "&amp;TEXT($Y598,"dd-mmm")&amp;" ("&amp;(NETWORKDAYS(TODAY(),$Y598,Holidays)-1)&amp;" business day(s) left).")))))</f>
        <v/>
      </c>
      <c r="V598" s="17">
        <f>IF($W598="","",CHOOSE($W598,"Collection Email","1st Follow-up","2nd Follow-up","Local Office","CBE","Roxanne")&amp;IF($W598=6," - Final"," - Day "&amp;MAX(0,NETWORKDAYS($X598,TODAY(),Holidays)-1)&amp;" of "&amp;CHOOSE($W598,3,3,2,2,3))&amp;" | Total Day "&amp;MAX(0,NETWORKDAYS($L598,TODAY(),Holidays)-1))</f>
        <v/>
      </c>
      <c r="W598" s="17">
        <f>IF($L598="","",COUNT($L598:$Q598))</f>
        <v/>
      </c>
      <c r="X598" s="18">
        <f>IF($W598="","",INT(INDEX($L598:$Q598,$W598)))</f>
        <v/>
      </c>
      <c r="Y598" s="18">
        <f>IF(OR($W598="",$W598=6),"",WORKDAY($X598,CHOOSE($W598,3,3,2,2,3),Holidays))</f>
        <v/>
      </c>
      <c r="Z598" s="17">
        <f>IF(OR($W598="",$W598=6),"",CHOOSE($W598,"1st Email Follow-up","2nd Email Follow-up","Escalate Local Office","Escalate to CBE","Escalate to Roxanne"))</f>
        <v/>
      </c>
    </row>
    <row r="599" spans="18:26">
      <c r="R599" s="15"/>
      <c r="S599" s="16"/>
      <c r="T599" s="17">
        <f>IF(AND(COUNTA($A599:$K599)=0,$L599=""),"",IF($S599="Paid","PAID",IF($S599="Closed","CLOSED",IF($W599="","",IF($W599=6,"ESCALATED TO ROXANNE",IF(TODAY()&gt;$Y599,"OVERDUE",IF($Y599&lt;=WORKDAY(TODAY(),1,Holidays),"DUE TOMORROW",IF($W599=4,"ESCALATED TO LOCAL OFFICE",IF($W599=5,"ESCALATED TO CBE",IF($X599=TODAY(),"EMAIL SENT","MONITORING"))))))))))</f>
        <v/>
      </c>
      <c r="U599" s="17">
        <f>IF($T599="",IF(AND(COUNTA($A599:$K599)&gt;0,$L599=""),"Awaiting Collection Email time stamp.",""),IF(OR($T599="PAID",$T599="CLOSED"),IF($T599="PAID","Account paid. Action completed.","Account closed. No further action required."),CHOOSE($W599,"Collection Email","1st Email Follow-up","2nd Email Follow-up","Escalation to Local Office","Escalation to CBE","Escalation to Roxanne")&amp;" sent "&amp;TEXT($X599,"dd-mmm")&amp;". "&amp;IF($W599=6,"Final escalation completed.",IF($T599="OVERDUE","Next: "&amp;$Z599&amp;" was due "&amp;TEXT($Y599,"dd-mmm")&amp;" - "&amp;(NETWORKDAYS($Y599,TODAY(),Holidays)-1)&amp;" business day(s) late. Send now.",IF($T599="DUE TOMORROW","Next: "&amp;$Z599&amp;IF($Y599&lt;=TODAY()," is due TODAY ("," is due next business day (")&amp;TEXT($Y599,"dd-mmm")&amp;").","Next: "&amp;$Z599&amp;" due "&amp;TEXT($Y599,"dd-mmm")&amp;" ("&amp;(NETWORKDAYS(TODAY(),$Y599,Holidays)-1)&amp;" business day(s) left).")))))</f>
        <v/>
      </c>
      <c r="V599" s="17">
        <f>IF($W599="","",CHOOSE($W599,"Collection Email","1st Follow-up","2nd Follow-up","Local Office","CBE","Roxanne")&amp;IF($W599=6," - Final"," - Day "&amp;MAX(0,NETWORKDAYS($X599,TODAY(),Holidays)-1)&amp;" of "&amp;CHOOSE($W599,3,3,2,2,3))&amp;" | Total Day "&amp;MAX(0,NETWORKDAYS($L599,TODAY(),Holidays)-1))</f>
        <v/>
      </c>
      <c r="W599" s="17">
        <f>IF($L599="","",COUNT($L599:$Q599))</f>
        <v/>
      </c>
      <c r="X599" s="18">
        <f>IF($W599="","",INT(INDEX($L599:$Q599,$W599)))</f>
        <v/>
      </c>
      <c r="Y599" s="18">
        <f>IF(OR($W599="",$W599=6),"",WORKDAY($X599,CHOOSE($W599,3,3,2,2,3),Holidays))</f>
        <v/>
      </c>
      <c r="Z599" s="17">
        <f>IF(OR($W599="",$W599=6),"",CHOOSE($W599,"1st Email Follow-up","2nd Email Follow-up","Escalate Local Office","Escalate to CBE","Escalate to Roxanne"))</f>
        <v/>
      </c>
    </row>
    <row r="600" spans="18:26">
      <c r="R600" s="15"/>
      <c r="S600" s="16"/>
      <c r="T600" s="17">
        <f>IF(AND(COUNTA($A600:$K600)=0,$L600=""),"",IF($S600="Paid","PAID",IF($S600="Closed","CLOSED",IF($W600="","",IF($W600=6,"ESCALATED TO ROXANNE",IF(TODAY()&gt;$Y600,"OVERDUE",IF($Y600&lt;=WORKDAY(TODAY(),1,Holidays),"DUE TOMORROW",IF($W600=4,"ESCALATED TO LOCAL OFFICE",IF($W600=5,"ESCALATED TO CBE",IF($X600=TODAY(),"EMAIL SENT","MONITORING"))))))))))</f>
        <v/>
      </c>
      <c r="U600" s="17">
        <f>IF($T600="",IF(AND(COUNTA($A600:$K600)&gt;0,$L600=""),"Awaiting Collection Email time stamp.",""),IF(OR($T600="PAID",$T600="CLOSED"),IF($T600="PAID","Account paid. Action completed.","Account closed. No further action required."),CHOOSE($W600,"Collection Email","1st Email Follow-up","2nd Email Follow-up","Escalation to Local Office","Escalation to CBE","Escalation to Roxanne")&amp;" sent "&amp;TEXT($X600,"dd-mmm")&amp;". "&amp;IF($W600=6,"Final escalation completed.",IF($T600="OVERDUE","Next: "&amp;$Z600&amp;" was due "&amp;TEXT($Y600,"dd-mmm")&amp;" - "&amp;(NETWORKDAYS($Y600,TODAY(),Holidays)-1)&amp;" business day(s) late. Send now.",IF($T600="DUE TOMORROW","Next: "&amp;$Z600&amp;IF($Y600&lt;=TODAY()," is due TODAY ("," is due next business day (")&amp;TEXT($Y600,"dd-mmm")&amp;").","Next: "&amp;$Z600&amp;" due "&amp;TEXT($Y600,"dd-mmm")&amp;" ("&amp;(NETWORKDAYS(TODAY(),$Y600,Holidays)-1)&amp;" business day(s) left).")))))</f>
        <v/>
      </c>
      <c r="V600" s="17">
        <f>IF($W600="","",CHOOSE($W600,"Collection Email","1st Follow-up","2nd Follow-up","Local Office","CBE","Roxanne")&amp;IF($W600=6," - Final"," - Day "&amp;MAX(0,NETWORKDAYS($X600,TODAY(),Holidays)-1)&amp;" of "&amp;CHOOSE($W600,3,3,2,2,3))&amp;" | Total Day "&amp;MAX(0,NETWORKDAYS($L600,TODAY(),Holidays)-1))</f>
        <v/>
      </c>
      <c r="W600" s="17">
        <f>IF($L600="","",COUNT($L600:$Q600))</f>
        <v/>
      </c>
      <c r="X600" s="18">
        <f>IF($W600="","",INT(INDEX($L600:$Q600,$W600)))</f>
        <v/>
      </c>
      <c r="Y600" s="18">
        <f>IF(OR($W600="",$W600=6),"",WORKDAY($X600,CHOOSE($W600,3,3,2,2,3),Holidays))</f>
        <v/>
      </c>
      <c r="Z600" s="17">
        <f>IF(OR($W600="",$W600=6),"",CHOOSE($W600,"1st Email Follow-up","2nd Email Follow-up","Escalate Local Office","Escalate to CBE","Escalate to Roxanne"))</f>
        <v/>
      </c>
    </row>
    <row r="601" spans="18:26">
      <c r="R601" s="15"/>
      <c r="S601" s="16"/>
      <c r="T601" s="17">
        <f>IF(AND(COUNTA($A601:$K601)=0,$L601=""),"",IF($S601="Paid","PAID",IF($S601="Closed","CLOSED",IF($W601="","",IF($W601=6,"ESCALATED TO ROXANNE",IF(TODAY()&gt;$Y601,"OVERDUE",IF($Y601&lt;=WORKDAY(TODAY(),1,Holidays),"DUE TOMORROW",IF($W601=4,"ESCALATED TO LOCAL OFFICE",IF($W601=5,"ESCALATED TO CBE",IF($X601=TODAY(),"EMAIL SENT","MONITORING"))))))))))</f>
        <v/>
      </c>
      <c r="U601" s="17">
        <f>IF($T601="",IF(AND(COUNTA($A601:$K601)&gt;0,$L601=""),"Awaiting Collection Email time stamp.",""),IF(OR($T601="PAID",$T601="CLOSED"),IF($T601="PAID","Account paid. Action completed.","Account closed. No further action required."),CHOOSE($W601,"Collection Email","1st Email Follow-up","2nd Email Follow-up","Escalation to Local Office","Escalation to CBE","Escalation to Roxanne")&amp;" sent "&amp;TEXT($X601,"dd-mmm")&amp;". "&amp;IF($W601=6,"Final escalation completed.",IF($T601="OVERDUE","Next: "&amp;$Z601&amp;" was due "&amp;TEXT($Y601,"dd-mmm")&amp;" - "&amp;(NETWORKDAYS($Y601,TODAY(),Holidays)-1)&amp;" business day(s) late. Send now.",IF($T601="DUE TOMORROW","Next: "&amp;$Z601&amp;IF($Y601&lt;=TODAY()," is due TODAY ("," is due next business day (")&amp;TEXT($Y601,"dd-mmm")&amp;").","Next: "&amp;$Z601&amp;" due "&amp;TEXT($Y601,"dd-mmm")&amp;" ("&amp;(NETWORKDAYS(TODAY(),$Y601,Holidays)-1)&amp;" business day(s) left).")))))</f>
        <v/>
      </c>
      <c r="V601" s="17">
        <f>IF($W601="","",CHOOSE($W601,"Collection Email","1st Follow-up","2nd Follow-up","Local Office","CBE","Roxanne")&amp;IF($W601=6," - Final"," - Day "&amp;MAX(0,NETWORKDAYS($X601,TODAY(),Holidays)-1)&amp;" of "&amp;CHOOSE($W601,3,3,2,2,3))&amp;" | Total Day "&amp;MAX(0,NETWORKDAYS($L601,TODAY(),Holidays)-1))</f>
        <v/>
      </c>
      <c r="W601" s="17">
        <f>IF($L601="","",COUNT($L601:$Q601))</f>
        <v/>
      </c>
      <c r="X601" s="18">
        <f>IF($W601="","",INT(INDEX($L601:$Q601,$W601)))</f>
        <v/>
      </c>
      <c r="Y601" s="18">
        <f>IF(OR($W601="",$W601=6),"",WORKDAY($X601,CHOOSE($W601,3,3,2,2,3),Holidays))</f>
        <v/>
      </c>
      <c r="Z601" s="17">
        <f>IF(OR($W601="",$W601=6),"",CHOOSE($W601,"1st Email Follow-up","2nd Email Follow-up","Escalate Local Office","Escalate to CBE","Escalate to Roxanne"))</f>
        <v/>
      </c>
    </row>
    <row r="602" spans="18:26">
      <c r="R602" s="15"/>
      <c r="S602" s="16"/>
      <c r="T602" s="17">
        <f>IF(AND(COUNTA($A602:$K602)=0,$L602=""),"",IF($S602="Paid","PAID",IF($S602="Closed","CLOSED",IF($W602="","",IF($W602=6,"ESCALATED TO ROXANNE",IF(TODAY()&gt;$Y602,"OVERDUE",IF($Y602&lt;=WORKDAY(TODAY(),1,Holidays),"DUE TOMORROW",IF($W602=4,"ESCALATED TO LOCAL OFFICE",IF($W602=5,"ESCALATED TO CBE",IF($X602=TODAY(),"EMAIL SENT","MONITORING"))))))))))</f>
        <v/>
      </c>
      <c r="U602" s="17">
        <f>IF($T602="",IF(AND(COUNTA($A602:$K602)&gt;0,$L602=""),"Awaiting Collection Email time stamp.",""),IF(OR($T602="PAID",$T602="CLOSED"),IF($T602="PAID","Account paid. Action completed.","Account closed. No further action required."),CHOOSE($W602,"Collection Email","1st Email Follow-up","2nd Email Follow-up","Escalation to Local Office","Escalation to CBE","Escalation to Roxanne")&amp;" sent "&amp;TEXT($X602,"dd-mmm")&amp;". "&amp;IF($W602=6,"Final escalation completed.",IF($T602="OVERDUE","Next: "&amp;$Z602&amp;" was due "&amp;TEXT($Y602,"dd-mmm")&amp;" - "&amp;(NETWORKDAYS($Y602,TODAY(),Holidays)-1)&amp;" business day(s) late. Send now.",IF($T602="DUE TOMORROW","Next: "&amp;$Z602&amp;IF($Y602&lt;=TODAY()," is due TODAY ("," is due next business day (")&amp;TEXT($Y602,"dd-mmm")&amp;").","Next: "&amp;$Z602&amp;" due "&amp;TEXT($Y602,"dd-mmm")&amp;" ("&amp;(NETWORKDAYS(TODAY(),$Y602,Holidays)-1)&amp;" business day(s) left).")))))</f>
        <v/>
      </c>
      <c r="V602" s="17">
        <f>IF($W602="","",CHOOSE($W602,"Collection Email","1st Follow-up","2nd Follow-up","Local Office","CBE","Roxanne")&amp;IF($W602=6," - Final"," - Day "&amp;MAX(0,NETWORKDAYS($X602,TODAY(),Holidays)-1)&amp;" of "&amp;CHOOSE($W602,3,3,2,2,3))&amp;" | Total Day "&amp;MAX(0,NETWORKDAYS($L602,TODAY(),Holidays)-1))</f>
        <v/>
      </c>
      <c r="W602" s="17">
        <f>IF($L602="","",COUNT($L602:$Q602))</f>
        <v/>
      </c>
      <c r="X602" s="18">
        <f>IF($W602="","",INT(INDEX($L602:$Q602,$W602)))</f>
        <v/>
      </c>
      <c r="Y602" s="18">
        <f>IF(OR($W602="",$W602=6),"",WORKDAY($X602,CHOOSE($W602,3,3,2,2,3),Holidays))</f>
        <v/>
      </c>
      <c r="Z602" s="17">
        <f>IF(OR($W602="",$W602=6),"",CHOOSE($W602,"1st Email Follow-up","2nd Email Follow-up","Escalate Local Office","Escalate to CBE","Escalate to Roxanne"))</f>
        <v/>
      </c>
    </row>
    <row r="603" spans="18:26">
      <c r="R603" s="15"/>
      <c r="S603" s="16"/>
      <c r="T603" s="17">
        <f>IF(AND(COUNTA($A603:$K603)=0,$L603=""),"",IF($S603="Paid","PAID",IF($S603="Closed","CLOSED",IF($W603="","",IF($W603=6,"ESCALATED TO ROXANNE",IF(TODAY()&gt;$Y603,"OVERDUE",IF($Y603&lt;=WORKDAY(TODAY(),1,Holidays),"DUE TOMORROW",IF($W603=4,"ESCALATED TO LOCAL OFFICE",IF($W603=5,"ESCALATED TO CBE",IF($X603=TODAY(),"EMAIL SENT","MONITORING"))))))))))</f>
        <v/>
      </c>
      <c r="U603" s="17">
        <f>IF($T603="",IF(AND(COUNTA($A603:$K603)&gt;0,$L603=""),"Awaiting Collection Email time stamp.",""),IF(OR($T603="PAID",$T603="CLOSED"),IF($T603="PAID","Account paid. Action completed.","Account closed. No further action required."),CHOOSE($W603,"Collection Email","1st Email Follow-up","2nd Email Follow-up","Escalation to Local Office","Escalation to CBE","Escalation to Roxanne")&amp;" sent "&amp;TEXT($X603,"dd-mmm")&amp;". "&amp;IF($W603=6,"Final escalation completed.",IF($T603="OVERDUE","Next: "&amp;$Z603&amp;" was due "&amp;TEXT($Y603,"dd-mmm")&amp;" - "&amp;(NETWORKDAYS($Y603,TODAY(),Holidays)-1)&amp;" business day(s) late. Send now.",IF($T603="DUE TOMORROW","Next: "&amp;$Z603&amp;IF($Y603&lt;=TODAY()," is due TODAY ("," is due next business day (")&amp;TEXT($Y603,"dd-mmm")&amp;").","Next: "&amp;$Z603&amp;" due "&amp;TEXT($Y603,"dd-mmm")&amp;" ("&amp;(NETWORKDAYS(TODAY(),$Y603,Holidays)-1)&amp;" business day(s) left).")))))</f>
        <v/>
      </c>
      <c r="V603" s="17">
        <f>IF($W603="","",CHOOSE($W603,"Collection Email","1st Follow-up","2nd Follow-up","Local Office","CBE","Roxanne")&amp;IF($W603=6," - Final"," - Day "&amp;MAX(0,NETWORKDAYS($X603,TODAY(),Holidays)-1)&amp;" of "&amp;CHOOSE($W603,3,3,2,2,3))&amp;" | Total Day "&amp;MAX(0,NETWORKDAYS($L603,TODAY(),Holidays)-1))</f>
        <v/>
      </c>
      <c r="W603" s="17">
        <f>IF($L603="","",COUNT($L603:$Q603))</f>
        <v/>
      </c>
      <c r="X603" s="18">
        <f>IF($W603="","",INT(INDEX($L603:$Q603,$W603)))</f>
        <v/>
      </c>
      <c r="Y603" s="18">
        <f>IF(OR($W603="",$W603=6),"",WORKDAY($X603,CHOOSE($W603,3,3,2,2,3),Holidays))</f>
        <v/>
      </c>
      <c r="Z603" s="17">
        <f>IF(OR($W603="",$W603=6),"",CHOOSE($W603,"1st Email Follow-up","2nd Email Follow-up","Escalate Local Office","Escalate to CBE","Escalate to Roxanne"))</f>
        <v/>
      </c>
    </row>
    <row r="604" spans="18:26">
      <c r="R604" s="15"/>
      <c r="S604" s="16"/>
      <c r="T604" s="17">
        <f>IF(AND(COUNTA($A604:$K604)=0,$L604=""),"",IF($S604="Paid","PAID",IF($S604="Closed","CLOSED",IF($W604="","",IF($W604=6,"ESCALATED TO ROXANNE",IF(TODAY()&gt;$Y604,"OVERDUE",IF($Y604&lt;=WORKDAY(TODAY(),1,Holidays),"DUE TOMORROW",IF($W604=4,"ESCALATED TO LOCAL OFFICE",IF($W604=5,"ESCALATED TO CBE",IF($X604=TODAY(),"EMAIL SENT","MONITORING"))))))))))</f>
        <v/>
      </c>
      <c r="U604" s="17">
        <f>IF($T604="",IF(AND(COUNTA($A604:$K604)&gt;0,$L604=""),"Awaiting Collection Email time stamp.",""),IF(OR($T604="PAID",$T604="CLOSED"),IF($T604="PAID","Account paid. Action completed.","Account closed. No further action required."),CHOOSE($W604,"Collection Email","1st Email Follow-up","2nd Email Follow-up","Escalation to Local Office","Escalation to CBE","Escalation to Roxanne")&amp;" sent "&amp;TEXT($X604,"dd-mmm")&amp;". "&amp;IF($W604=6,"Final escalation completed.",IF($T604="OVERDUE","Next: "&amp;$Z604&amp;" was due "&amp;TEXT($Y604,"dd-mmm")&amp;" - "&amp;(NETWORKDAYS($Y604,TODAY(),Holidays)-1)&amp;" business day(s) late. Send now.",IF($T604="DUE TOMORROW","Next: "&amp;$Z604&amp;IF($Y604&lt;=TODAY()," is due TODAY ("," is due next business day (")&amp;TEXT($Y604,"dd-mmm")&amp;").","Next: "&amp;$Z604&amp;" due "&amp;TEXT($Y604,"dd-mmm")&amp;" ("&amp;(NETWORKDAYS(TODAY(),$Y604,Holidays)-1)&amp;" business day(s) left).")))))</f>
        <v/>
      </c>
      <c r="V604" s="17">
        <f>IF($W604="","",CHOOSE($W604,"Collection Email","1st Follow-up","2nd Follow-up","Local Office","CBE","Roxanne")&amp;IF($W604=6," - Final"," - Day "&amp;MAX(0,NETWORKDAYS($X604,TODAY(),Holidays)-1)&amp;" of "&amp;CHOOSE($W604,3,3,2,2,3))&amp;" | Total Day "&amp;MAX(0,NETWORKDAYS($L604,TODAY(),Holidays)-1))</f>
        <v/>
      </c>
      <c r="W604" s="17">
        <f>IF($L604="","",COUNT($L604:$Q604))</f>
        <v/>
      </c>
      <c r="X604" s="18">
        <f>IF($W604="","",INT(INDEX($L604:$Q604,$W604)))</f>
        <v/>
      </c>
      <c r="Y604" s="18">
        <f>IF(OR($W604="",$W604=6),"",WORKDAY($X604,CHOOSE($W604,3,3,2,2,3),Holidays))</f>
        <v/>
      </c>
      <c r="Z604" s="17">
        <f>IF(OR($W604="",$W604=6),"",CHOOSE($W604,"1st Email Follow-up","2nd Email Follow-up","Escalate Local Office","Escalate to CBE","Escalate to Roxanne"))</f>
        <v/>
      </c>
    </row>
    <row r="605" spans="18:26">
      <c r="R605" s="15"/>
      <c r="S605" s="16"/>
      <c r="T605" s="17">
        <f>IF(AND(COUNTA($A605:$K605)=0,$L605=""),"",IF($S605="Paid","PAID",IF($S605="Closed","CLOSED",IF($W605="","",IF($W605=6,"ESCALATED TO ROXANNE",IF(TODAY()&gt;$Y605,"OVERDUE",IF($Y605&lt;=WORKDAY(TODAY(),1,Holidays),"DUE TOMORROW",IF($W605=4,"ESCALATED TO LOCAL OFFICE",IF($W605=5,"ESCALATED TO CBE",IF($X605=TODAY(),"EMAIL SENT","MONITORING"))))))))))</f>
        <v/>
      </c>
      <c r="U605" s="17">
        <f>IF($T605="",IF(AND(COUNTA($A605:$K605)&gt;0,$L605=""),"Awaiting Collection Email time stamp.",""),IF(OR($T605="PAID",$T605="CLOSED"),IF($T605="PAID","Account paid. Action completed.","Account closed. No further action required."),CHOOSE($W605,"Collection Email","1st Email Follow-up","2nd Email Follow-up","Escalation to Local Office","Escalation to CBE","Escalation to Roxanne")&amp;" sent "&amp;TEXT($X605,"dd-mmm")&amp;". "&amp;IF($W605=6,"Final escalation completed.",IF($T605="OVERDUE","Next: "&amp;$Z605&amp;" was due "&amp;TEXT($Y605,"dd-mmm")&amp;" - "&amp;(NETWORKDAYS($Y605,TODAY(),Holidays)-1)&amp;" business day(s) late. Send now.",IF($T605="DUE TOMORROW","Next: "&amp;$Z605&amp;IF($Y605&lt;=TODAY()," is due TODAY ("," is due next business day (")&amp;TEXT($Y605,"dd-mmm")&amp;").","Next: "&amp;$Z605&amp;" due "&amp;TEXT($Y605,"dd-mmm")&amp;" ("&amp;(NETWORKDAYS(TODAY(),$Y605,Holidays)-1)&amp;" business day(s) left).")))))</f>
        <v/>
      </c>
      <c r="V605" s="17">
        <f>IF($W605="","",CHOOSE($W605,"Collection Email","1st Follow-up","2nd Follow-up","Local Office","CBE","Roxanne")&amp;IF($W605=6," - Final"," - Day "&amp;MAX(0,NETWORKDAYS($X605,TODAY(),Holidays)-1)&amp;" of "&amp;CHOOSE($W605,3,3,2,2,3))&amp;" | Total Day "&amp;MAX(0,NETWORKDAYS($L605,TODAY(),Holidays)-1))</f>
        <v/>
      </c>
      <c r="W605" s="17">
        <f>IF($L605="","",COUNT($L605:$Q605))</f>
        <v/>
      </c>
      <c r="X605" s="18">
        <f>IF($W605="","",INT(INDEX($L605:$Q605,$W605)))</f>
        <v/>
      </c>
      <c r="Y605" s="18">
        <f>IF(OR($W605="",$W605=6),"",WORKDAY($X605,CHOOSE($W605,3,3,2,2,3),Holidays))</f>
        <v/>
      </c>
      <c r="Z605" s="17">
        <f>IF(OR($W605="",$W605=6),"",CHOOSE($W605,"1st Email Follow-up","2nd Email Follow-up","Escalate Local Office","Escalate to CBE","Escalate to Roxanne"))</f>
        <v/>
      </c>
    </row>
    <row r="606" spans="18:26">
      <c r="R606" s="15"/>
      <c r="S606" s="16"/>
      <c r="T606" s="17">
        <f>IF(AND(COUNTA($A606:$K606)=0,$L606=""),"",IF($S606="Paid","PAID",IF($S606="Closed","CLOSED",IF($W606="","",IF($W606=6,"ESCALATED TO ROXANNE",IF(TODAY()&gt;$Y606,"OVERDUE",IF($Y606&lt;=WORKDAY(TODAY(),1,Holidays),"DUE TOMORROW",IF($W606=4,"ESCALATED TO LOCAL OFFICE",IF($W606=5,"ESCALATED TO CBE",IF($X606=TODAY(),"EMAIL SENT","MONITORING"))))))))))</f>
        <v/>
      </c>
      <c r="U606" s="17">
        <f>IF($T606="",IF(AND(COUNTA($A606:$K606)&gt;0,$L606=""),"Awaiting Collection Email time stamp.",""),IF(OR($T606="PAID",$T606="CLOSED"),IF($T606="PAID","Account paid. Action completed.","Account closed. No further action required."),CHOOSE($W606,"Collection Email","1st Email Follow-up","2nd Email Follow-up","Escalation to Local Office","Escalation to CBE","Escalation to Roxanne")&amp;" sent "&amp;TEXT($X606,"dd-mmm")&amp;". "&amp;IF($W606=6,"Final escalation completed.",IF($T606="OVERDUE","Next: "&amp;$Z606&amp;" was due "&amp;TEXT($Y606,"dd-mmm")&amp;" - "&amp;(NETWORKDAYS($Y606,TODAY(),Holidays)-1)&amp;" business day(s) late. Send now.",IF($T606="DUE TOMORROW","Next: "&amp;$Z606&amp;IF($Y606&lt;=TODAY()," is due TODAY ("," is due next business day (")&amp;TEXT($Y606,"dd-mmm")&amp;").","Next: "&amp;$Z606&amp;" due "&amp;TEXT($Y606,"dd-mmm")&amp;" ("&amp;(NETWORKDAYS(TODAY(),$Y606,Holidays)-1)&amp;" business day(s) left).")))))</f>
        <v/>
      </c>
      <c r="V606" s="17">
        <f>IF($W606="","",CHOOSE($W606,"Collection Email","1st Follow-up","2nd Follow-up","Local Office","CBE","Roxanne")&amp;IF($W606=6," - Final"," - Day "&amp;MAX(0,NETWORKDAYS($X606,TODAY(),Holidays)-1)&amp;" of "&amp;CHOOSE($W606,3,3,2,2,3))&amp;" | Total Day "&amp;MAX(0,NETWORKDAYS($L606,TODAY(),Holidays)-1))</f>
        <v/>
      </c>
      <c r="W606" s="17">
        <f>IF($L606="","",COUNT($L606:$Q606))</f>
        <v/>
      </c>
      <c r="X606" s="18">
        <f>IF($W606="","",INT(INDEX($L606:$Q606,$W606)))</f>
        <v/>
      </c>
      <c r="Y606" s="18">
        <f>IF(OR($W606="",$W606=6),"",WORKDAY($X606,CHOOSE($W606,3,3,2,2,3),Holidays))</f>
        <v/>
      </c>
      <c r="Z606" s="17">
        <f>IF(OR($W606="",$W606=6),"",CHOOSE($W606,"1st Email Follow-up","2nd Email Follow-up","Escalate Local Office","Escalate to CBE","Escalate to Roxanne"))</f>
        <v/>
      </c>
    </row>
    <row r="607" spans="18:26">
      <c r="R607" s="15"/>
      <c r="S607" s="16"/>
      <c r="T607" s="17">
        <f>IF(AND(COUNTA($A607:$K607)=0,$L607=""),"",IF($S607="Paid","PAID",IF($S607="Closed","CLOSED",IF($W607="","",IF($W607=6,"ESCALATED TO ROXANNE",IF(TODAY()&gt;$Y607,"OVERDUE",IF($Y607&lt;=WORKDAY(TODAY(),1,Holidays),"DUE TOMORROW",IF($W607=4,"ESCALATED TO LOCAL OFFICE",IF($W607=5,"ESCALATED TO CBE",IF($X607=TODAY(),"EMAIL SENT","MONITORING"))))))))))</f>
        <v/>
      </c>
      <c r="U607" s="17">
        <f>IF($T607="",IF(AND(COUNTA($A607:$K607)&gt;0,$L607=""),"Awaiting Collection Email time stamp.",""),IF(OR($T607="PAID",$T607="CLOSED"),IF($T607="PAID","Account paid. Action completed.","Account closed. No further action required."),CHOOSE($W607,"Collection Email","1st Email Follow-up","2nd Email Follow-up","Escalation to Local Office","Escalation to CBE","Escalation to Roxanne")&amp;" sent "&amp;TEXT($X607,"dd-mmm")&amp;". "&amp;IF($W607=6,"Final escalation completed.",IF($T607="OVERDUE","Next: "&amp;$Z607&amp;" was due "&amp;TEXT($Y607,"dd-mmm")&amp;" - "&amp;(NETWORKDAYS($Y607,TODAY(),Holidays)-1)&amp;" business day(s) late. Send now.",IF($T607="DUE TOMORROW","Next: "&amp;$Z607&amp;IF($Y607&lt;=TODAY()," is due TODAY ("," is due next business day (")&amp;TEXT($Y607,"dd-mmm")&amp;").","Next: "&amp;$Z607&amp;" due "&amp;TEXT($Y607,"dd-mmm")&amp;" ("&amp;(NETWORKDAYS(TODAY(),$Y607,Holidays)-1)&amp;" business day(s) left).")))))</f>
        <v/>
      </c>
      <c r="V607" s="17">
        <f>IF($W607="","",CHOOSE($W607,"Collection Email","1st Follow-up","2nd Follow-up","Local Office","CBE","Roxanne")&amp;IF($W607=6," - Final"," - Day "&amp;MAX(0,NETWORKDAYS($X607,TODAY(),Holidays)-1)&amp;" of "&amp;CHOOSE($W607,3,3,2,2,3))&amp;" | Total Day "&amp;MAX(0,NETWORKDAYS($L607,TODAY(),Holidays)-1))</f>
        <v/>
      </c>
      <c r="W607" s="17">
        <f>IF($L607="","",COUNT($L607:$Q607))</f>
        <v/>
      </c>
      <c r="X607" s="18">
        <f>IF($W607="","",INT(INDEX($L607:$Q607,$W607)))</f>
        <v/>
      </c>
      <c r="Y607" s="18">
        <f>IF(OR($W607="",$W607=6),"",WORKDAY($X607,CHOOSE($W607,3,3,2,2,3),Holidays))</f>
        <v/>
      </c>
      <c r="Z607" s="17">
        <f>IF(OR($W607="",$W607=6),"",CHOOSE($W607,"1st Email Follow-up","2nd Email Follow-up","Escalate Local Office","Escalate to CBE","Escalate to Roxanne"))</f>
        <v/>
      </c>
    </row>
    <row r="608" spans="18:26">
      <c r="R608" s="15"/>
      <c r="S608" s="16"/>
      <c r="T608" s="17">
        <f>IF(AND(COUNTA($A608:$K608)=0,$L608=""),"",IF($S608="Paid","PAID",IF($S608="Closed","CLOSED",IF($W608="","",IF($W608=6,"ESCALATED TO ROXANNE",IF(TODAY()&gt;$Y608,"OVERDUE",IF($Y608&lt;=WORKDAY(TODAY(),1,Holidays),"DUE TOMORROW",IF($W608=4,"ESCALATED TO LOCAL OFFICE",IF($W608=5,"ESCALATED TO CBE",IF($X608=TODAY(),"EMAIL SENT","MONITORING"))))))))))</f>
        <v/>
      </c>
      <c r="U608" s="17">
        <f>IF($T608="",IF(AND(COUNTA($A608:$K608)&gt;0,$L608=""),"Awaiting Collection Email time stamp.",""),IF(OR($T608="PAID",$T608="CLOSED"),IF($T608="PAID","Account paid. Action completed.","Account closed. No further action required."),CHOOSE($W608,"Collection Email","1st Email Follow-up","2nd Email Follow-up","Escalation to Local Office","Escalation to CBE","Escalation to Roxanne")&amp;" sent "&amp;TEXT($X608,"dd-mmm")&amp;". "&amp;IF($W608=6,"Final escalation completed.",IF($T608="OVERDUE","Next: "&amp;$Z608&amp;" was due "&amp;TEXT($Y608,"dd-mmm")&amp;" - "&amp;(NETWORKDAYS($Y608,TODAY(),Holidays)-1)&amp;" business day(s) late. Send now.",IF($T608="DUE TOMORROW","Next: "&amp;$Z608&amp;IF($Y608&lt;=TODAY()," is due TODAY ("," is due next business day (")&amp;TEXT($Y608,"dd-mmm")&amp;").","Next: "&amp;$Z608&amp;" due "&amp;TEXT($Y608,"dd-mmm")&amp;" ("&amp;(NETWORKDAYS(TODAY(),$Y608,Holidays)-1)&amp;" business day(s) left).")))))</f>
        <v/>
      </c>
      <c r="V608" s="17">
        <f>IF($W608="","",CHOOSE($W608,"Collection Email","1st Follow-up","2nd Follow-up","Local Office","CBE","Roxanne")&amp;IF($W608=6," - Final"," - Day "&amp;MAX(0,NETWORKDAYS($X608,TODAY(),Holidays)-1)&amp;" of "&amp;CHOOSE($W608,3,3,2,2,3))&amp;" | Total Day "&amp;MAX(0,NETWORKDAYS($L608,TODAY(),Holidays)-1))</f>
        <v/>
      </c>
      <c r="W608" s="17">
        <f>IF($L608="","",COUNT($L608:$Q608))</f>
        <v/>
      </c>
      <c r="X608" s="18">
        <f>IF($W608="","",INT(INDEX($L608:$Q608,$W608)))</f>
        <v/>
      </c>
      <c r="Y608" s="18">
        <f>IF(OR($W608="",$W608=6),"",WORKDAY($X608,CHOOSE($W608,3,3,2,2,3),Holidays))</f>
        <v/>
      </c>
      <c r="Z608" s="17">
        <f>IF(OR($W608="",$W608=6),"",CHOOSE($W608,"1st Email Follow-up","2nd Email Follow-up","Escalate Local Office","Escalate to CBE","Escalate to Roxanne"))</f>
        <v/>
      </c>
    </row>
    <row r="609" spans="18:26">
      <c r="R609" s="15"/>
      <c r="S609" s="16"/>
      <c r="T609" s="17">
        <f>IF(AND(COUNTA($A609:$K609)=0,$L609=""),"",IF($S609="Paid","PAID",IF($S609="Closed","CLOSED",IF($W609="","",IF($W609=6,"ESCALATED TO ROXANNE",IF(TODAY()&gt;$Y609,"OVERDUE",IF($Y609&lt;=WORKDAY(TODAY(),1,Holidays),"DUE TOMORROW",IF($W609=4,"ESCALATED TO LOCAL OFFICE",IF($W609=5,"ESCALATED TO CBE",IF($X609=TODAY(),"EMAIL SENT","MONITORING"))))))))))</f>
        <v/>
      </c>
      <c r="U609" s="17">
        <f>IF($T609="",IF(AND(COUNTA($A609:$K609)&gt;0,$L609=""),"Awaiting Collection Email time stamp.",""),IF(OR($T609="PAID",$T609="CLOSED"),IF($T609="PAID","Account paid. Action completed.","Account closed. No further action required."),CHOOSE($W609,"Collection Email","1st Email Follow-up","2nd Email Follow-up","Escalation to Local Office","Escalation to CBE","Escalation to Roxanne")&amp;" sent "&amp;TEXT($X609,"dd-mmm")&amp;". "&amp;IF($W609=6,"Final escalation completed.",IF($T609="OVERDUE","Next: "&amp;$Z609&amp;" was due "&amp;TEXT($Y609,"dd-mmm")&amp;" - "&amp;(NETWORKDAYS($Y609,TODAY(),Holidays)-1)&amp;" business day(s) late. Send now.",IF($T609="DUE TOMORROW","Next: "&amp;$Z609&amp;IF($Y609&lt;=TODAY()," is due TODAY ("," is due next business day (")&amp;TEXT($Y609,"dd-mmm")&amp;").","Next: "&amp;$Z609&amp;" due "&amp;TEXT($Y609,"dd-mmm")&amp;" ("&amp;(NETWORKDAYS(TODAY(),$Y609,Holidays)-1)&amp;" business day(s) left).")))))</f>
        <v/>
      </c>
      <c r="V609" s="17">
        <f>IF($W609="","",CHOOSE($W609,"Collection Email","1st Follow-up","2nd Follow-up","Local Office","CBE","Roxanne")&amp;IF($W609=6," - Final"," - Day "&amp;MAX(0,NETWORKDAYS($X609,TODAY(),Holidays)-1)&amp;" of "&amp;CHOOSE($W609,3,3,2,2,3))&amp;" | Total Day "&amp;MAX(0,NETWORKDAYS($L609,TODAY(),Holidays)-1))</f>
        <v/>
      </c>
      <c r="W609" s="17">
        <f>IF($L609="","",COUNT($L609:$Q609))</f>
        <v/>
      </c>
      <c r="X609" s="18">
        <f>IF($W609="","",INT(INDEX($L609:$Q609,$W609)))</f>
        <v/>
      </c>
      <c r="Y609" s="18">
        <f>IF(OR($W609="",$W609=6),"",WORKDAY($X609,CHOOSE($W609,3,3,2,2,3),Holidays))</f>
        <v/>
      </c>
      <c r="Z609" s="17">
        <f>IF(OR($W609="",$W609=6),"",CHOOSE($W609,"1st Email Follow-up","2nd Email Follow-up","Escalate Local Office","Escalate to CBE","Escalate to Roxanne"))</f>
        <v/>
      </c>
    </row>
    <row r="610" spans="18:26">
      <c r="R610" s="15"/>
      <c r="S610" s="16"/>
      <c r="T610" s="17">
        <f>IF(AND(COUNTA($A610:$K610)=0,$L610=""),"",IF($S610="Paid","PAID",IF($S610="Closed","CLOSED",IF($W610="","",IF($W610=6,"ESCALATED TO ROXANNE",IF(TODAY()&gt;$Y610,"OVERDUE",IF($Y610&lt;=WORKDAY(TODAY(),1,Holidays),"DUE TOMORROW",IF($W610=4,"ESCALATED TO LOCAL OFFICE",IF($W610=5,"ESCALATED TO CBE",IF($X610=TODAY(),"EMAIL SENT","MONITORING"))))))))))</f>
        <v/>
      </c>
      <c r="U610" s="17">
        <f>IF($T610="",IF(AND(COUNTA($A610:$K610)&gt;0,$L610=""),"Awaiting Collection Email time stamp.",""),IF(OR($T610="PAID",$T610="CLOSED"),IF($T610="PAID","Account paid. Action completed.","Account closed. No further action required."),CHOOSE($W610,"Collection Email","1st Email Follow-up","2nd Email Follow-up","Escalation to Local Office","Escalation to CBE","Escalation to Roxanne")&amp;" sent "&amp;TEXT($X610,"dd-mmm")&amp;". "&amp;IF($W610=6,"Final escalation completed.",IF($T610="OVERDUE","Next: "&amp;$Z610&amp;" was due "&amp;TEXT($Y610,"dd-mmm")&amp;" - "&amp;(NETWORKDAYS($Y610,TODAY(),Holidays)-1)&amp;" business day(s) late. Send now.",IF($T610="DUE TOMORROW","Next: "&amp;$Z610&amp;IF($Y610&lt;=TODAY()," is due TODAY ("," is due next business day (")&amp;TEXT($Y610,"dd-mmm")&amp;").","Next: "&amp;$Z610&amp;" due "&amp;TEXT($Y610,"dd-mmm")&amp;" ("&amp;(NETWORKDAYS(TODAY(),$Y610,Holidays)-1)&amp;" business day(s) left).")))))</f>
        <v/>
      </c>
      <c r="V610" s="17">
        <f>IF($W610="","",CHOOSE($W610,"Collection Email","1st Follow-up","2nd Follow-up","Local Office","CBE","Roxanne")&amp;IF($W610=6," - Final"," - Day "&amp;MAX(0,NETWORKDAYS($X610,TODAY(),Holidays)-1)&amp;" of "&amp;CHOOSE($W610,3,3,2,2,3))&amp;" | Total Day "&amp;MAX(0,NETWORKDAYS($L610,TODAY(),Holidays)-1))</f>
        <v/>
      </c>
      <c r="W610" s="17">
        <f>IF($L610="","",COUNT($L610:$Q610))</f>
        <v/>
      </c>
      <c r="X610" s="18">
        <f>IF($W610="","",INT(INDEX($L610:$Q610,$W610)))</f>
        <v/>
      </c>
      <c r="Y610" s="18">
        <f>IF(OR($W610="",$W610=6),"",WORKDAY($X610,CHOOSE($W610,3,3,2,2,3),Holidays))</f>
        <v/>
      </c>
      <c r="Z610" s="17">
        <f>IF(OR($W610="",$W610=6),"",CHOOSE($W610,"1st Email Follow-up","2nd Email Follow-up","Escalate Local Office","Escalate to CBE","Escalate to Roxanne"))</f>
        <v/>
      </c>
    </row>
    <row r="611" spans="18:26">
      <c r="R611" s="15"/>
      <c r="S611" s="16"/>
      <c r="T611" s="17">
        <f>IF(AND(COUNTA($A611:$K611)=0,$L611=""),"",IF($S611="Paid","PAID",IF($S611="Closed","CLOSED",IF($W611="","",IF($W611=6,"ESCALATED TO ROXANNE",IF(TODAY()&gt;$Y611,"OVERDUE",IF($Y611&lt;=WORKDAY(TODAY(),1,Holidays),"DUE TOMORROW",IF($W611=4,"ESCALATED TO LOCAL OFFICE",IF($W611=5,"ESCALATED TO CBE",IF($X611=TODAY(),"EMAIL SENT","MONITORING"))))))))))</f>
        <v/>
      </c>
      <c r="U611" s="17">
        <f>IF($T611="",IF(AND(COUNTA($A611:$K611)&gt;0,$L611=""),"Awaiting Collection Email time stamp.",""),IF(OR($T611="PAID",$T611="CLOSED"),IF($T611="PAID","Account paid. Action completed.","Account closed. No further action required."),CHOOSE($W611,"Collection Email","1st Email Follow-up","2nd Email Follow-up","Escalation to Local Office","Escalation to CBE","Escalation to Roxanne")&amp;" sent "&amp;TEXT($X611,"dd-mmm")&amp;". "&amp;IF($W611=6,"Final escalation completed.",IF($T611="OVERDUE","Next: "&amp;$Z611&amp;" was due "&amp;TEXT($Y611,"dd-mmm")&amp;" - "&amp;(NETWORKDAYS($Y611,TODAY(),Holidays)-1)&amp;" business day(s) late. Send now.",IF($T611="DUE TOMORROW","Next: "&amp;$Z611&amp;IF($Y611&lt;=TODAY()," is due TODAY ("," is due next business day (")&amp;TEXT($Y611,"dd-mmm")&amp;").","Next: "&amp;$Z611&amp;" due "&amp;TEXT($Y611,"dd-mmm")&amp;" ("&amp;(NETWORKDAYS(TODAY(),$Y611,Holidays)-1)&amp;" business day(s) left).")))))</f>
        <v/>
      </c>
      <c r="V611" s="17">
        <f>IF($W611="","",CHOOSE($W611,"Collection Email","1st Follow-up","2nd Follow-up","Local Office","CBE","Roxanne")&amp;IF($W611=6," - Final"," - Day "&amp;MAX(0,NETWORKDAYS($X611,TODAY(),Holidays)-1)&amp;" of "&amp;CHOOSE($W611,3,3,2,2,3))&amp;" | Total Day "&amp;MAX(0,NETWORKDAYS($L611,TODAY(),Holidays)-1))</f>
        <v/>
      </c>
      <c r="W611" s="17">
        <f>IF($L611="","",COUNT($L611:$Q611))</f>
        <v/>
      </c>
      <c r="X611" s="18">
        <f>IF($W611="","",INT(INDEX($L611:$Q611,$W611)))</f>
        <v/>
      </c>
      <c r="Y611" s="18">
        <f>IF(OR($W611="",$W611=6),"",WORKDAY($X611,CHOOSE($W611,3,3,2,2,3),Holidays))</f>
        <v/>
      </c>
      <c r="Z611" s="17">
        <f>IF(OR($W611="",$W611=6),"",CHOOSE($W611,"1st Email Follow-up","2nd Email Follow-up","Escalate Local Office","Escalate to CBE","Escalate to Roxanne"))</f>
        <v/>
      </c>
    </row>
    <row r="612" spans="18:26">
      <c r="R612" s="15"/>
      <c r="S612" s="16"/>
      <c r="T612" s="17">
        <f>IF(AND(COUNTA($A612:$K612)=0,$L612=""),"",IF($S612="Paid","PAID",IF($S612="Closed","CLOSED",IF($W612="","",IF($W612=6,"ESCALATED TO ROXANNE",IF(TODAY()&gt;$Y612,"OVERDUE",IF($Y612&lt;=WORKDAY(TODAY(),1,Holidays),"DUE TOMORROW",IF($W612=4,"ESCALATED TO LOCAL OFFICE",IF($W612=5,"ESCALATED TO CBE",IF($X612=TODAY(),"EMAIL SENT","MONITORING"))))))))))</f>
        <v/>
      </c>
      <c r="U612" s="17">
        <f>IF($T612="",IF(AND(COUNTA($A612:$K612)&gt;0,$L612=""),"Awaiting Collection Email time stamp.",""),IF(OR($T612="PAID",$T612="CLOSED"),IF($T612="PAID","Account paid. Action completed.","Account closed. No further action required."),CHOOSE($W612,"Collection Email","1st Email Follow-up","2nd Email Follow-up","Escalation to Local Office","Escalation to CBE","Escalation to Roxanne")&amp;" sent "&amp;TEXT($X612,"dd-mmm")&amp;". "&amp;IF($W612=6,"Final escalation completed.",IF($T612="OVERDUE","Next: "&amp;$Z612&amp;" was due "&amp;TEXT($Y612,"dd-mmm")&amp;" - "&amp;(NETWORKDAYS($Y612,TODAY(),Holidays)-1)&amp;" business day(s) late. Send now.",IF($T612="DUE TOMORROW","Next: "&amp;$Z612&amp;IF($Y612&lt;=TODAY()," is due TODAY ("," is due next business day (")&amp;TEXT($Y612,"dd-mmm")&amp;").","Next: "&amp;$Z612&amp;" due "&amp;TEXT($Y612,"dd-mmm")&amp;" ("&amp;(NETWORKDAYS(TODAY(),$Y612,Holidays)-1)&amp;" business day(s) left).")))))</f>
        <v/>
      </c>
      <c r="V612" s="17">
        <f>IF($W612="","",CHOOSE($W612,"Collection Email","1st Follow-up","2nd Follow-up","Local Office","CBE","Roxanne")&amp;IF($W612=6," - Final"," - Day "&amp;MAX(0,NETWORKDAYS($X612,TODAY(),Holidays)-1)&amp;" of "&amp;CHOOSE($W612,3,3,2,2,3))&amp;" | Total Day "&amp;MAX(0,NETWORKDAYS($L612,TODAY(),Holidays)-1))</f>
        <v/>
      </c>
      <c r="W612" s="17">
        <f>IF($L612="","",COUNT($L612:$Q612))</f>
        <v/>
      </c>
      <c r="X612" s="18">
        <f>IF($W612="","",INT(INDEX($L612:$Q612,$W612)))</f>
        <v/>
      </c>
      <c r="Y612" s="18">
        <f>IF(OR($W612="",$W612=6),"",WORKDAY($X612,CHOOSE($W612,3,3,2,2,3),Holidays))</f>
        <v/>
      </c>
      <c r="Z612" s="17">
        <f>IF(OR($W612="",$W612=6),"",CHOOSE($W612,"1st Email Follow-up","2nd Email Follow-up","Escalate Local Office","Escalate to CBE","Escalate to Roxanne"))</f>
        <v/>
      </c>
    </row>
    <row r="613" spans="18:26">
      <c r="R613" s="15"/>
      <c r="S613" s="16"/>
      <c r="T613" s="17">
        <f>IF(AND(COUNTA($A613:$K613)=0,$L613=""),"",IF($S613="Paid","PAID",IF($S613="Closed","CLOSED",IF($W613="","",IF($W613=6,"ESCALATED TO ROXANNE",IF(TODAY()&gt;$Y613,"OVERDUE",IF($Y613&lt;=WORKDAY(TODAY(),1,Holidays),"DUE TOMORROW",IF($W613=4,"ESCALATED TO LOCAL OFFICE",IF($W613=5,"ESCALATED TO CBE",IF($X613=TODAY(),"EMAIL SENT","MONITORING"))))))))))</f>
        <v/>
      </c>
      <c r="U613" s="17">
        <f>IF($T613="",IF(AND(COUNTA($A613:$K613)&gt;0,$L613=""),"Awaiting Collection Email time stamp.",""),IF(OR($T613="PAID",$T613="CLOSED"),IF($T613="PAID","Account paid. Action completed.","Account closed. No further action required."),CHOOSE($W613,"Collection Email","1st Email Follow-up","2nd Email Follow-up","Escalation to Local Office","Escalation to CBE","Escalation to Roxanne")&amp;" sent "&amp;TEXT($X613,"dd-mmm")&amp;". "&amp;IF($W613=6,"Final escalation completed.",IF($T613="OVERDUE","Next: "&amp;$Z613&amp;" was due "&amp;TEXT($Y613,"dd-mmm")&amp;" - "&amp;(NETWORKDAYS($Y613,TODAY(),Holidays)-1)&amp;" business day(s) late. Send now.",IF($T613="DUE TOMORROW","Next: "&amp;$Z613&amp;IF($Y613&lt;=TODAY()," is due TODAY ("," is due next business day (")&amp;TEXT($Y613,"dd-mmm")&amp;").","Next: "&amp;$Z613&amp;" due "&amp;TEXT($Y613,"dd-mmm")&amp;" ("&amp;(NETWORKDAYS(TODAY(),$Y613,Holidays)-1)&amp;" business day(s) left).")))))</f>
        <v/>
      </c>
      <c r="V613" s="17">
        <f>IF($W613="","",CHOOSE($W613,"Collection Email","1st Follow-up","2nd Follow-up","Local Office","CBE","Roxanne")&amp;IF($W613=6," - Final"," - Day "&amp;MAX(0,NETWORKDAYS($X613,TODAY(),Holidays)-1)&amp;" of "&amp;CHOOSE($W613,3,3,2,2,3))&amp;" | Total Day "&amp;MAX(0,NETWORKDAYS($L613,TODAY(),Holidays)-1))</f>
        <v/>
      </c>
      <c r="W613" s="17">
        <f>IF($L613="","",COUNT($L613:$Q613))</f>
        <v/>
      </c>
      <c r="X613" s="18">
        <f>IF($W613="","",INT(INDEX($L613:$Q613,$W613)))</f>
        <v/>
      </c>
      <c r="Y613" s="18">
        <f>IF(OR($W613="",$W613=6),"",WORKDAY($X613,CHOOSE($W613,3,3,2,2,3),Holidays))</f>
        <v/>
      </c>
      <c r="Z613" s="17">
        <f>IF(OR($W613="",$W613=6),"",CHOOSE($W613,"1st Email Follow-up","2nd Email Follow-up","Escalate Local Office","Escalate to CBE","Escalate to Roxanne"))</f>
        <v/>
      </c>
    </row>
    <row r="614" spans="18:26">
      <c r="R614" s="15"/>
      <c r="S614" s="16"/>
      <c r="T614" s="17">
        <f>IF(AND(COUNTA($A614:$K614)=0,$L614=""),"",IF($S614="Paid","PAID",IF($S614="Closed","CLOSED",IF($W614="","",IF($W614=6,"ESCALATED TO ROXANNE",IF(TODAY()&gt;$Y614,"OVERDUE",IF($Y614&lt;=WORKDAY(TODAY(),1,Holidays),"DUE TOMORROW",IF($W614=4,"ESCALATED TO LOCAL OFFICE",IF($W614=5,"ESCALATED TO CBE",IF($X614=TODAY(),"EMAIL SENT","MONITORING"))))))))))</f>
        <v/>
      </c>
      <c r="U614" s="17">
        <f>IF($T614="",IF(AND(COUNTA($A614:$K614)&gt;0,$L614=""),"Awaiting Collection Email time stamp.",""),IF(OR($T614="PAID",$T614="CLOSED"),IF($T614="PAID","Account paid. Action completed.","Account closed. No further action required."),CHOOSE($W614,"Collection Email","1st Email Follow-up","2nd Email Follow-up","Escalation to Local Office","Escalation to CBE","Escalation to Roxanne")&amp;" sent "&amp;TEXT($X614,"dd-mmm")&amp;". "&amp;IF($W614=6,"Final escalation completed.",IF($T614="OVERDUE","Next: "&amp;$Z614&amp;" was due "&amp;TEXT($Y614,"dd-mmm")&amp;" - "&amp;(NETWORKDAYS($Y614,TODAY(),Holidays)-1)&amp;" business day(s) late. Send now.",IF($T614="DUE TOMORROW","Next: "&amp;$Z614&amp;IF($Y614&lt;=TODAY()," is due TODAY ("," is due next business day (")&amp;TEXT($Y614,"dd-mmm")&amp;").","Next: "&amp;$Z614&amp;" due "&amp;TEXT($Y614,"dd-mmm")&amp;" ("&amp;(NETWORKDAYS(TODAY(),$Y614,Holidays)-1)&amp;" business day(s) left).")))))</f>
        <v/>
      </c>
      <c r="V614" s="17">
        <f>IF($W614="","",CHOOSE($W614,"Collection Email","1st Follow-up","2nd Follow-up","Local Office","CBE","Roxanne")&amp;IF($W614=6," - Final"," - Day "&amp;MAX(0,NETWORKDAYS($X614,TODAY(),Holidays)-1)&amp;" of "&amp;CHOOSE($W614,3,3,2,2,3))&amp;" | Total Day "&amp;MAX(0,NETWORKDAYS($L614,TODAY(),Holidays)-1))</f>
        <v/>
      </c>
      <c r="W614" s="17">
        <f>IF($L614="","",COUNT($L614:$Q614))</f>
        <v/>
      </c>
      <c r="X614" s="18">
        <f>IF($W614="","",INT(INDEX($L614:$Q614,$W614)))</f>
        <v/>
      </c>
      <c r="Y614" s="18">
        <f>IF(OR($W614="",$W614=6),"",WORKDAY($X614,CHOOSE($W614,3,3,2,2,3),Holidays))</f>
        <v/>
      </c>
      <c r="Z614" s="17">
        <f>IF(OR($W614="",$W614=6),"",CHOOSE($W614,"1st Email Follow-up","2nd Email Follow-up","Escalate Local Office","Escalate to CBE","Escalate to Roxanne"))</f>
        <v/>
      </c>
    </row>
    <row r="615" spans="18:26">
      <c r="R615" s="15"/>
      <c r="S615" s="16"/>
      <c r="T615" s="17">
        <f>IF(AND(COUNTA($A615:$K615)=0,$L615=""),"",IF($S615="Paid","PAID",IF($S615="Closed","CLOSED",IF($W615="","",IF($W615=6,"ESCALATED TO ROXANNE",IF(TODAY()&gt;$Y615,"OVERDUE",IF($Y615&lt;=WORKDAY(TODAY(),1,Holidays),"DUE TOMORROW",IF($W615=4,"ESCALATED TO LOCAL OFFICE",IF($W615=5,"ESCALATED TO CBE",IF($X615=TODAY(),"EMAIL SENT","MONITORING"))))))))))</f>
        <v/>
      </c>
      <c r="U615" s="17">
        <f>IF($T615="",IF(AND(COUNTA($A615:$K615)&gt;0,$L615=""),"Awaiting Collection Email time stamp.",""),IF(OR($T615="PAID",$T615="CLOSED"),IF($T615="PAID","Account paid. Action completed.","Account closed. No further action required."),CHOOSE($W615,"Collection Email","1st Email Follow-up","2nd Email Follow-up","Escalation to Local Office","Escalation to CBE","Escalation to Roxanne")&amp;" sent "&amp;TEXT($X615,"dd-mmm")&amp;". "&amp;IF($W615=6,"Final escalation completed.",IF($T615="OVERDUE","Next: "&amp;$Z615&amp;" was due "&amp;TEXT($Y615,"dd-mmm")&amp;" - "&amp;(NETWORKDAYS($Y615,TODAY(),Holidays)-1)&amp;" business day(s) late. Send now.",IF($T615="DUE TOMORROW","Next: "&amp;$Z615&amp;IF($Y615&lt;=TODAY()," is due TODAY ("," is due next business day (")&amp;TEXT($Y615,"dd-mmm")&amp;").","Next: "&amp;$Z615&amp;" due "&amp;TEXT($Y615,"dd-mmm")&amp;" ("&amp;(NETWORKDAYS(TODAY(),$Y615,Holidays)-1)&amp;" business day(s) left).")))))</f>
        <v/>
      </c>
      <c r="V615" s="17">
        <f>IF($W615="","",CHOOSE($W615,"Collection Email","1st Follow-up","2nd Follow-up","Local Office","CBE","Roxanne")&amp;IF($W615=6," - Final"," - Day "&amp;MAX(0,NETWORKDAYS($X615,TODAY(),Holidays)-1)&amp;" of "&amp;CHOOSE($W615,3,3,2,2,3))&amp;" | Total Day "&amp;MAX(0,NETWORKDAYS($L615,TODAY(),Holidays)-1))</f>
        <v/>
      </c>
      <c r="W615" s="17">
        <f>IF($L615="","",COUNT($L615:$Q615))</f>
        <v/>
      </c>
      <c r="X615" s="18">
        <f>IF($W615="","",INT(INDEX($L615:$Q615,$W615)))</f>
        <v/>
      </c>
      <c r="Y615" s="18">
        <f>IF(OR($W615="",$W615=6),"",WORKDAY($X615,CHOOSE($W615,3,3,2,2,3),Holidays))</f>
        <v/>
      </c>
      <c r="Z615" s="17">
        <f>IF(OR($W615="",$W615=6),"",CHOOSE($W615,"1st Email Follow-up","2nd Email Follow-up","Escalate Local Office","Escalate to CBE","Escalate to Roxanne"))</f>
        <v/>
      </c>
    </row>
    <row r="616" spans="18:26">
      <c r="R616" s="15"/>
      <c r="S616" s="16"/>
      <c r="T616" s="17">
        <f>IF(AND(COUNTA($A616:$K616)=0,$L616=""),"",IF($S616="Paid","PAID",IF($S616="Closed","CLOSED",IF($W616="","",IF($W616=6,"ESCALATED TO ROXANNE",IF(TODAY()&gt;$Y616,"OVERDUE",IF($Y616&lt;=WORKDAY(TODAY(),1,Holidays),"DUE TOMORROW",IF($W616=4,"ESCALATED TO LOCAL OFFICE",IF($W616=5,"ESCALATED TO CBE",IF($X616=TODAY(),"EMAIL SENT","MONITORING"))))))))))</f>
        <v/>
      </c>
      <c r="U616" s="17">
        <f>IF($T616="",IF(AND(COUNTA($A616:$K616)&gt;0,$L616=""),"Awaiting Collection Email time stamp.",""),IF(OR($T616="PAID",$T616="CLOSED"),IF($T616="PAID","Account paid. Action completed.","Account closed. No further action required."),CHOOSE($W616,"Collection Email","1st Email Follow-up","2nd Email Follow-up","Escalation to Local Office","Escalation to CBE","Escalation to Roxanne")&amp;" sent "&amp;TEXT($X616,"dd-mmm")&amp;". "&amp;IF($W616=6,"Final escalation completed.",IF($T616="OVERDUE","Next: "&amp;$Z616&amp;" was due "&amp;TEXT($Y616,"dd-mmm")&amp;" - "&amp;(NETWORKDAYS($Y616,TODAY(),Holidays)-1)&amp;" business day(s) late. Send now.",IF($T616="DUE TOMORROW","Next: "&amp;$Z616&amp;IF($Y616&lt;=TODAY()," is due TODAY ("," is due next business day (")&amp;TEXT($Y616,"dd-mmm")&amp;").","Next: "&amp;$Z616&amp;" due "&amp;TEXT($Y616,"dd-mmm")&amp;" ("&amp;(NETWORKDAYS(TODAY(),$Y616,Holidays)-1)&amp;" business day(s) left).")))))</f>
        <v/>
      </c>
      <c r="V616" s="17">
        <f>IF($W616="","",CHOOSE($W616,"Collection Email","1st Follow-up","2nd Follow-up","Local Office","CBE","Roxanne")&amp;IF($W616=6," - Final"," - Day "&amp;MAX(0,NETWORKDAYS($X616,TODAY(),Holidays)-1)&amp;" of "&amp;CHOOSE($W616,3,3,2,2,3))&amp;" | Total Day "&amp;MAX(0,NETWORKDAYS($L616,TODAY(),Holidays)-1))</f>
        <v/>
      </c>
      <c r="W616" s="17">
        <f>IF($L616="","",COUNT($L616:$Q616))</f>
        <v/>
      </c>
      <c r="X616" s="18">
        <f>IF($W616="","",INT(INDEX($L616:$Q616,$W616)))</f>
        <v/>
      </c>
      <c r="Y616" s="18">
        <f>IF(OR($W616="",$W616=6),"",WORKDAY($X616,CHOOSE($W616,3,3,2,2,3),Holidays))</f>
        <v/>
      </c>
      <c r="Z616" s="17">
        <f>IF(OR($W616="",$W616=6),"",CHOOSE($W616,"1st Email Follow-up","2nd Email Follow-up","Escalate Local Office","Escalate to CBE","Escalate to Roxanne"))</f>
        <v/>
      </c>
    </row>
    <row r="617" spans="18:26">
      <c r="R617" s="15"/>
      <c r="S617" s="16"/>
      <c r="T617" s="17">
        <f>IF(AND(COUNTA($A617:$K617)=0,$L617=""),"",IF($S617="Paid","PAID",IF($S617="Closed","CLOSED",IF($W617="","",IF($W617=6,"ESCALATED TO ROXANNE",IF(TODAY()&gt;$Y617,"OVERDUE",IF($Y617&lt;=WORKDAY(TODAY(),1,Holidays),"DUE TOMORROW",IF($W617=4,"ESCALATED TO LOCAL OFFICE",IF($W617=5,"ESCALATED TO CBE",IF($X617=TODAY(),"EMAIL SENT","MONITORING"))))))))))</f>
        <v/>
      </c>
      <c r="U617" s="17">
        <f>IF($T617="",IF(AND(COUNTA($A617:$K617)&gt;0,$L617=""),"Awaiting Collection Email time stamp.",""),IF(OR($T617="PAID",$T617="CLOSED"),IF($T617="PAID","Account paid. Action completed.","Account closed. No further action required."),CHOOSE($W617,"Collection Email","1st Email Follow-up","2nd Email Follow-up","Escalation to Local Office","Escalation to CBE","Escalation to Roxanne")&amp;" sent "&amp;TEXT($X617,"dd-mmm")&amp;". "&amp;IF($W617=6,"Final escalation completed.",IF($T617="OVERDUE","Next: "&amp;$Z617&amp;" was due "&amp;TEXT($Y617,"dd-mmm")&amp;" - "&amp;(NETWORKDAYS($Y617,TODAY(),Holidays)-1)&amp;" business day(s) late. Send now.",IF($T617="DUE TOMORROW","Next: "&amp;$Z617&amp;IF($Y617&lt;=TODAY()," is due TODAY ("," is due next business day (")&amp;TEXT($Y617,"dd-mmm")&amp;").","Next: "&amp;$Z617&amp;" due "&amp;TEXT($Y617,"dd-mmm")&amp;" ("&amp;(NETWORKDAYS(TODAY(),$Y617,Holidays)-1)&amp;" business day(s) left).")))))</f>
        <v/>
      </c>
      <c r="V617" s="17">
        <f>IF($W617="","",CHOOSE($W617,"Collection Email","1st Follow-up","2nd Follow-up","Local Office","CBE","Roxanne")&amp;IF($W617=6," - Final"," - Day "&amp;MAX(0,NETWORKDAYS($X617,TODAY(),Holidays)-1)&amp;" of "&amp;CHOOSE($W617,3,3,2,2,3))&amp;" | Total Day "&amp;MAX(0,NETWORKDAYS($L617,TODAY(),Holidays)-1))</f>
        <v/>
      </c>
      <c r="W617" s="17">
        <f>IF($L617="","",COUNT($L617:$Q617))</f>
        <v/>
      </c>
      <c r="X617" s="18">
        <f>IF($W617="","",INT(INDEX($L617:$Q617,$W617)))</f>
        <v/>
      </c>
      <c r="Y617" s="18">
        <f>IF(OR($W617="",$W617=6),"",WORKDAY($X617,CHOOSE($W617,3,3,2,2,3),Holidays))</f>
        <v/>
      </c>
      <c r="Z617" s="17">
        <f>IF(OR($W617="",$W617=6),"",CHOOSE($W617,"1st Email Follow-up","2nd Email Follow-up","Escalate Local Office","Escalate to CBE","Escalate to Roxanne"))</f>
        <v/>
      </c>
    </row>
    <row r="618" spans="18:26">
      <c r="R618" s="15"/>
      <c r="S618" s="16"/>
      <c r="T618" s="17">
        <f>IF(AND(COUNTA($A618:$K618)=0,$L618=""),"",IF($S618="Paid","PAID",IF($S618="Closed","CLOSED",IF($W618="","",IF($W618=6,"ESCALATED TO ROXANNE",IF(TODAY()&gt;$Y618,"OVERDUE",IF($Y618&lt;=WORKDAY(TODAY(),1,Holidays),"DUE TOMORROW",IF($W618=4,"ESCALATED TO LOCAL OFFICE",IF($W618=5,"ESCALATED TO CBE",IF($X618=TODAY(),"EMAIL SENT","MONITORING"))))))))))</f>
        <v/>
      </c>
      <c r="U618" s="17">
        <f>IF($T618="",IF(AND(COUNTA($A618:$K618)&gt;0,$L618=""),"Awaiting Collection Email time stamp.",""),IF(OR($T618="PAID",$T618="CLOSED"),IF($T618="PAID","Account paid. Action completed.","Account closed. No further action required."),CHOOSE($W618,"Collection Email","1st Email Follow-up","2nd Email Follow-up","Escalation to Local Office","Escalation to CBE","Escalation to Roxanne")&amp;" sent "&amp;TEXT($X618,"dd-mmm")&amp;". "&amp;IF($W618=6,"Final escalation completed.",IF($T618="OVERDUE","Next: "&amp;$Z618&amp;" was due "&amp;TEXT($Y618,"dd-mmm")&amp;" - "&amp;(NETWORKDAYS($Y618,TODAY(),Holidays)-1)&amp;" business day(s) late. Send now.",IF($T618="DUE TOMORROW","Next: "&amp;$Z618&amp;IF($Y618&lt;=TODAY()," is due TODAY ("," is due next business day (")&amp;TEXT($Y618,"dd-mmm")&amp;").","Next: "&amp;$Z618&amp;" due "&amp;TEXT($Y618,"dd-mmm")&amp;" ("&amp;(NETWORKDAYS(TODAY(),$Y618,Holidays)-1)&amp;" business day(s) left).")))))</f>
        <v/>
      </c>
      <c r="V618" s="17">
        <f>IF($W618="","",CHOOSE($W618,"Collection Email","1st Follow-up","2nd Follow-up","Local Office","CBE","Roxanne")&amp;IF($W618=6," - Final"," - Day "&amp;MAX(0,NETWORKDAYS($X618,TODAY(),Holidays)-1)&amp;" of "&amp;CHOOSE($W618,3,3,2,2,3))&amp;" | Total Day "&amp;MAX(0,NETWORKDAYS($L618,TODAY(),Holidays)-1))</f>
        <v/>
      </c>
      <c r="W618" s="17">
        <f>IF($L618="","",COUNT($L618:$Q618))</f>
        <v/>
      </c>
      <c r="X618" s="18">
        <f>IF($W618="","",INT(INDEX($L618:$Q618,$W618)))</f>
        <v/>
      </c>
      <c r="Y618" s="18">
        <f>IF(OR($W618="",$W618=6),"",WORKDAY($X618,CHOOSE($W618,3,3,2,2,3),Holidays))</f>
        <v/>
      </c>
      <c r="Z618" s="17">
        <f>IF(OR($W618="",$W618=6),"",CHOOSE($W618,"1st Email Follow-up","2nd Email Follow-up","Escalate Local Office","Escalate to CBE","Escalate to Roxanne"))</f>
        <v/>
      </c>
    </row>
    <row r="619" spans="18:26">
      <c r="R619" s="15"/>
      <c r="S619" s="16"/>
      <c r="T619" s="17">
        <f>IF(AND(COUNTA($A619:$K619)=0,$L619=""),"",IF($S619="Paid","PAID",IF($S619="Closed","CLOSED",IF($W619="","",IF($W619=6,"ESCALATED TO ROXANNE",IF(TODAY()&gt;$Y619,"OVERDUE",IF($Y619&lt;=WORKDAY(TODAY(),1,Holidays),"DUE TOMORROW",IF($W619=4,"ESCALATED TO LOCAL OFFICE",IF($W619=5,"ESCALATED TO CBE",IF($X619=TODAY(),"EMAIL SENT","MONITORING"))))))))))</f>
        <v/>
      </c>
      <c r="U619" s="17">
        <f>IF($T619="",IF(AND(COUNTA($A619:$K619)&gt;0,$L619=""),"Awaiting Collection Email time stamp.",""),IF(OR($T619="PAID",$T619="CLOSED"),IF($T619="PAID","Account paid. Action completed.","Account closed. No further action required."),CHOOSE($W619,"Collection Email","1st Email Follow-up","2nd Email Follow-up","Escalation to Local Office","Escalation to CBE","Escalation to Roxanne")&amp;" sent "&amp;TEXT($X619,"dd-mmm")&amp;". "&amp;IF($W619=6,"Final escalation completed.",IF($T619="OVERDUE","Next: "&amp;$Z619&amp;" was due "&amp;TEXT($Y619,"dd-mmm")&amp;" - "&amp;(NETWORKDAYS($Y619,TODAY(),Holidays)-1)&amp;" business day(s) late. Send now.",IF($T619="DUE TOMORROW","Next: "&amp;$Z619&amp;IF($Y619&lt;=TODAY()," is due TODAY ("," is due next business day (")&amp;TEXT($Y619,"dd-mmm")&amp;").","Next: "&amp;$Z619&amp;" due "&amp;TEXT($Y619,"dd-mmm")&amp;" ("&amp;(NETWORKDAYS(TODAY(),$Y619,Holidays)-1)&amp;" business day(s) left).")))))</f>
        <v/>
      </c>
      <c r="V619" s="17">
        <f>IF($W619="","",CHOOSE($W619,"Collection Email","1st Follow-up","2nd Follow-up","Local Office","CBE","Roxanne")&amp;IF($W619=6," - Final"," - Day "&amp;MAX(0,NETWORKDAYS($X619,TODAY(),Holidays)-1)&amp;" of "&amp;CHOOSE($W619,3,3,2,2,3))&amp;" | Total Day "&amp;MAX(0,NETWORKDAYS($L619,TODAY(),Holidays)-1))</f>
        <v/>
      </c>
      <c r="W619" s="17">
        <f>IF($L619="","",COUNT($L619:$Q619))</f>
        <v/>
      </c>
      <c r="X619" s="18">
        <f>IF($W619="","",INT(INDEX($L619:$Q619,$W619)))</f>
        <v/>
      </c>
      <c r="Y619" s="18">
        <f>IF(OR($W619="",$W619=6),"",WORKDAY($X619,CHOOSE($W619,3,3,2,2,3),Holidays))</f>
        <v/>
      </c>
      <c r="Z619" s="17">
        <f>IF(OR($W619="",$W619=6),"",CHOOSE($W619,"1st Email Follow-up","2nd Email Follow-up","Escalate Local Office","Escalate to CBE","Escalate to Roxanne"))</f>
        <v/>
      </c>
    </row>
    <row r="620" spans="18:26">
      <c r="R620" s="15"/>
      <c r="S620" s="16"/>
      <c r="T620" s="17">
        <f>IF(AND(COUNTA($A620:$K620)=0,$L620=""),"",IF($S620="Paid","PAID",IF($S620="Closed","CLOSED",IF($W620="","",IF($W620=6,"ESCALATED TO ROXANNE",IF(TODAY()&gt;$Y620,"OVERDUE",IF($Y620&lt;=WORKDAY(TODAY(),1,Holidays),"DUE TOMORROW",IF($W620=4,"ESCALATED TO LOCAL OFFICE",IF($W620=5,"ESCALATED TO CBE",IF($X620=TODAY(),"EMAIL SENT","MONITORING"))))))))))</f>
        <v/>
      </c>
      <c r="U620" s="17">
        <f>IF($T620="",IF(AND(COUNTA($A620:$K620)&gt;0,$L620=""),"Awaiting Collection Email time stamp.",""),IF(OR($T620="PAID",$T620="CLOSED"),IF($T620="PAID","Account paid. Action completed.","Account closed. No further action required."),CHOOSE($W620,"Collection Email","1st Email Follow-up","2nd Email Follow-up","Escalation to Local Office","Escalation to CBE","Escalation to Roxanne")&amp;" sent "&amp;TEXT($X620,"dd-mmm")&amp;". "&amp;IF($W620=6,"Final escalation completed.",IF($T620="OVERDUE","Next: "&amp;$Z620&amp;" was due "&amp;TEXT($Y620,"dd-mmm")&amp;" - "&amp;(NETWORKDAYS($Y620,TODAY(),Holidays)-1)&amp;" business day(s) late. Send now.",IF($T620="DUE TOMORROW","Next: "&amp;$Z620&amp;IF($Y620&lt;=TODAY()," is due TODAY ("," is due next business day (")&amp;TEXT($Y620,"dd-mmm")&amp;").","Next: "&amp;$Z620&amp;" due "&amp;TEXT($Y620,"dd-mmm")&amp;" ("&amp;(NETWORKDAYS(TODAY(),$Y620,Holidays)-1)&amp;" business day(s) left).")))))</f>
        <v/>
      </c>
      <c r="V620" s="17">
        <f>IF($W620="","",CHOOSE($W620,"Collection Email","1st Follow-up","2nd Follow-up","Local Office","CBE","Roxanne")&amp;IF($W620=6," - Final"," - Day "&amp;MAX(0,NETWORKDAYS($X620,TODAY(),Holidays)-1)&amp;" of "&amp;CHOOSE($W620,3,3,2,2,3))&amp;" | Total Day "&amp;MAX(0,NETWORKDAYS($L620,TODAY(),Holidays)-1))</f>
        <v/>
      </c>
      <c r="W620" s="17">
        <f>IF($L620="","",COUNT($L620:$Q620))</f>
        <v/>
      </c>
      <c r="X620" s="18">
        <f>IF($W620="","",INT(INDEX($L620:$Q620,$W620)))</f>
        <v/>
      </c>
      <c r="Y620" s="18">
        <f>IF(OR($W620="",$W620=6),"",WORKDAY($X620,CHOOSE($W620,3,3,2,2,3),Holidays))</f>
        <v/>
      </c>
      <c r="Z620" s="17">
        <f>IF(OR($W620="",$W620=6),"",CHOOSE($W620,"1st Email Follow-up","2nd Email Follow-up","Escalate Local Office","Escalate to CBE","Escalate to Roxanne"))</f>
        <v/>
      </c>
    </row>
    <row r="621" spans="18:26">
      <c r="R621" s="15"/>
      <c r="S621" s="16"/>
      <c r="T621" s="17">
        <f>IF(AND(COUNTA($A621:$K621)=0,$L621=""),"",IF($S621="Paid","PAID",IF($S621="Closed","CLOSED",IF($W621="","",IF($W621=6,"ESCALATED TO ROXANNE",IF(TODAY()&gt;$Y621,"OVERDUE",IF($Y621&lt;=WORKDAY(TODAY(),1,Holidays),"DUE TOMORROW",IF($W621=4,"ESCALATED TO LOCAL OFFICE",IF($W621=5,"ESCALATED TO CBE",IF($X621=TODAY(),"EMAIL SENT","MONITORING"))))))))))</f>
        <v/>
      </c>
      <c r="U621" s="17">
        <f>IF($T621="",IF(AND(COUNTA($A621:$K621)&gt;0,$L621=""),"Awaiting Collection Email time stamp.",""),IF(OR($T621="PAID",$T621="CLOSED"),IF($T621="PAID","Account paid. Action completed.","Account closed. No further action required."),CHOOSE($W621,"Collection Email","1st Email Follow-up","2nd Email Follow-up","Escalation to Local Office","Escalation to CBE","Escalation to Roxanne")&amp;" sent "&amp;TEXT($X621,"dd-mmm")&amp;". "&amp;IF($W621=6,"Final escalation completed.",IF($T621="OVERDUE","Next: "&amp;$Z621&amp;" was due "&amp;TEXT($Y621,"dd-mmm")&amp;" - "&amp;(NETWORKDAYS($Y621,TODAY(),Holidays)-1)&amp;" business day(s) late. Send now.",IF($T621="DUE TOMORROW","Next: "&amp;$Z621&amp;IF($Y621&lt;=TODAY()," is due TODAY ("," is due next business day (")&amp;TEXT($Y621,"dd-mmm")&amp;").","Next: "&amp;$Z621&amp;" due "&amp;TEXT($Y621,"dd-mmm")&amp;" ("&amp;(NETWORKDAYS(TODAY(),$Y621,Holidays)-1)&amp;" business day(s) left).")))))</f>
        <v/>
      </c>
      <c r="V621" s="17">
        <f>IF($W621="","",CHOOSE($W621,"Collection Email","1st Follow-up","2nd Follow-up","Local Office","CBE","Roxanne")&amp;IF($W621=6," - Final"," - Day "&amp;MAX(0,NETWORKDAYS($X621,TODAY(),Holidays)-1)&amp;" of "&amp;CHOOSE($W621,3,3,2,2,3))&amp;" | Total Day "&amp;MAX(0,NETWORKDAYS($L621,TODAY(),Holidays)-1))</f>
        <v/>
      </c>
      <c r="W621" s="17">
        <f>IF($L621="","",COUNT($L621:$Q621))</f>
        <v/>
      </c>
      <c r="X621" s="18">
        <f>IF($W621="","",INT(INDEX($L621:$Q621,$W621)))</f>
        <v/>
      </c>
      <c r="Y621" s="18">
        <f>IF(OR($W621="",$W621=6),"",WORKDAY($X621,CHOOSE($W621,3,3,2,2,3),Holidays))</f>
        <v/>
      </c>
      <c r="Z621" s="17">
        <f>IF(OR($W621="",$W621=6),"",CHOOSE($W621,"1st Email Follow-up","2nd Email Follow-up","Escalate Local Office","Escalate to CBE","Escalate to Roxanne"))</f>
        <v/>
      </c>
    </row>
    <row r="622" spans="18:26">
      <c r="R622" s="15"/>
      <c r="S622" s="16"/>
      <c r="T622" s="17">
        <f>IF(AND(COUNTA($A622:$K622)=0,$L622=""),"",IF($S622="Paid","PAID",IF($S622="Closed","CLOSED",IF($W622="","",IF($W622=6,"ESCALATED TO ROXANNE",IF(TODAY()&gt;$Y622,"OVERDUE",IF($Y622&lt;=WORKDAY(TODAY(),1,Holidays),"DUE TOMORROW",IF($W622=4,"ESCALATED TO LOCAL OFFICE",IF($W622=5,"ESCALATED TO CBE",IF($X622=TODAY(),"EMAIL SENT","MONITORING"))))))))))</f>
        <v/>
      </c>
      <c r="U622" s="17">
        <f>IF($T622="",IF(AND(COUNTA($A622:$K622)&gt;0,$L622=""),"Awaiting Collection Email time stamp.",""),IF(OR($T622="PAID",$T622="CLOSED"),IF($T622="PAID","Account paid. Action completed.","Account closed. No further action required."),CHOOSE($W622,"Collection Email","1st Email Follow-up","2nd Email Follow-up","Escalation to Local Office","Escalation to CBE","Escalation to Roxanne")&amp;" sent "&amp;TEXT($X622,"dd-mmm")&amp;". "&amp;IF($W622=6,"Final escalation completed.",IF($T622="OVERDUE","Next: "&amp;$Z622&amp;" was due "&amp;TEXT($Y622,"dd-mmm")&amp;" - "&amp;(NETWORKDAYS($Y622,TODAY(),Holidays)-1)&amp;" business day(s) late. Send now.",IF($T622="DUE TOMORROW","Next: "&amp;$Z622&amp;IF($Y622&lt;=TODAY()," is due TODAY ("," is due next business day (")&amp;TEXT($Y622,"dd-mmm")&amp;").","Next: "&amp;$Z622&amp;" due "&amp;TEXT($Y622,"dd-mmm")&amp;" ("&amp;(NETWORKDAYS(TODAY(),$Y622,Holidays)-1)&amp;" business day(s) left).")))))</f>
        <v/>
      </c>
      <c r="V622" s="17">
        <f>IF($W622="","",CHOOSE($W622,"Collection Email","1st Follow-up","2nd Follow-up","Local Office","CBE","Roxanne")&amp;IF($W622=6," - Final"," - Day "&amp;MAX(0,NETWORKDAYS($X622,TODAY(),Holidays)-1)&amp;" of "&amp;CHOOSE($W622,3,3,2,2,3))&amp;" | Total Day "&amp;MAX(0,NETWORKDAYS($L622,TODAY(),Holidays)-1))</f>
        <v/>
      </c>
      <c r="W622" s="17">
        <f>IF($L622="","",COUNT($L622:$Q622))</f>
        <v/>
      </c>
      <c r="X622" s="18">
        <f>IF($W622="","",INT(INDEX($L622:$Q622,$W622)))</f>
        <v/>
      </c>
      <c r="Y622" s="18">
        <f>IF(OR($W622="",$W622=6),"",WORKDAY($X622,CHOOSE($W622,3,3,2,2,3),Holidays))</f>
        <v/>
      </c>
      <c r="Z622" s="17">
        <f>IF(OR($W622="",$W622=6),"",CHOOSE($W622,"1st Email Follow-up","2nd Email Follow-up","Escalate Local Office","Escalate to CBE","Escalate to Roxanne"))</f>
        <v/>
      </c>
    </row>
    <row r="623" spans="18:26">
      <c r="R623" s="15"/>
      <c r="S623" s="16"/>
      <c r="T623" s="17">
        <f>IF(AND(COUNTA($A623:$K623)=0,$L623=""),"",IF($S623="Paid","PAID",IF($S623="Closed","CLOSED",IF($W623="","",IF($W623=6,"ESCALATED TO ROXANNE",IF(TODAY()&gt;$Y623,"OVERDUE",IF($Y623&lt;=WORKDAY(TODAY(),1,Holidays),"DUE TOMORROW",IF($W623=4,"ESCALATED TO LOCAL OFFICE",IF($W623=5,"ESCALATED TO CBE",IF($X623=TODAY(),"EMAIL SENT","MONITORING"))))))))))</f>
        <v/>
      </c>
      <c r="U623" s="17">
        <f>IF($T623="",IF(AND(COUNTA($A623:$K623)&gt;0,$L623=""),"Awaiting Collection Email time stamp.",""),IF(OR($T623="PAID",$T623="CLOSED"),IF($T623="PAID","Account paid. Action completed.","Account closed. No further action required."),CHOOSE($W623,"Collection Email","1st Email Follow-up","2nd Email Follow-up","Escalation to Local Office","Escalation to CBE","Escalation to Roxanne")&amp;" sent "&amp;TEXT($X623,"dd-mmm")&amp;". "&amp;IF($W623=6,"Final escalation completed.",IF($T623="OVERDUE","Next: "&amp;$Z623&amp;" was due "&amp;TEXT($Y623,"dd-mmm")&amp;" - "&amp;(NETWORKDAYS($Y623,TODAY(),Holidays)-1)&amp;" business day(s) late. Send now.",IF($T623="DUE TOMORROW","Next: "&amp;$Z623&amp;IF($Y623&lt;=TODAY()," is due TODAY ("," is due next business day (")&amp;TEXT($Y623,"dd-mmm")&amp;").","Next: "&amp;$Z623&amp;" due "&amp;TEXT($Y623,"dd-mmm")&amp;" ("&amp;(NETWORKDAYS(TODAY(),$Y623,Holidays)-1)&amp;" business day(s) left).")))))</f>
        <v/>
      </c>
      <c r="V623" s="17">
        <f>IF($W623="","",CHOOSE($W623,"Collection Email","1st Follow-up","2nd Follow-up","Local Office","CBE","Roxanne")&amp;IF($W623=6," - Final"," - Day "&amp;MAX(0,NETWORKDAYS($X623,TODAY(),Holidays)-1)&amp;" of "&amp;CHOOSE($W623,3,3,2,2,3))&amp;" | Total Day "&amp;MAX(0,NETWORKDAYS($L623,TODAY(),Holidays)-1))</f>
        <v/>
      </c>
      <c r="W623" s="17">
        <f>IF($L623="","",COUNT($L623:$Q623))</f>
        <v/>
      </c>
      <c r="X623" s="18">
        <f>IF($W623="","",INT(INDEX($L623:$Q623,$W623)))</f>
        <v/>
      </c>
      <c r="Y623" s="18">
        <f>IF(OR($W623="",$W623=6),"",WORKDAY($X623,CHOOSE($W623,3,3,2,2,3),Holidays))</f>
        <v/>
      </c>
      <c r="Z623" s="17">
        <f>IF(OR($W623="",$W623=6),"",CHOOSE($W623,"1st Email Follow-up","2nd Email Follow-up","Escalate Local Office","Escalate to CBE","Escalate to Roxanne"))</f>
        <v/>
      </c>
    </row>
    <row r="624" spans="18:26">
      <c r="R624" s="15"/>
      <c r="S624" s="16"/>
      <c r="T624" s="17">
        <f>IF(AND(COUNTA($A624:$K624)=0,$L624=""),"",IF($S624="Paid","PAID",IF($S624="Closed","CLOSED",IF($W624="","",IF($W624=6,"ESCALATED TO ROXANNE",IF(TODAY()&gt;$Y624,"OVERDUE",IF($Y624&lt;=WORKDAY(TODAY(),1,Holidays),"DUE TOMORROW",IF($W624=4,"ESCALATED TO LOCAL OFFICE",IF($W624=5,"ESCALATED TO CBE",IF($X624=TODAY(),"EMAIL SENT","MONITORING"))))))))))</f>
        <v/>
      </c>
      <c r="U624" s="17">
        <f>IF($T624="",IF(AND(COUNTA($A624:$K624)&gt;0,$L624=""),"Awaiting Collection Email time stamp.",""),IF(OR($T624="PAID",$T624="CLOSED"),IF($T624="PAID","Account paid. Action completed.","Account closed. No further action required."),CHOOSE($W624,"Collection Email","1st Email Follow-up","2nd Email Follow-up","Escalation to Local Office","Escalation to CBE","Escalation to Roxanne")&amp;" sent "&amp;TEXT($X624,"dd-mmm")&amp;". "&amp;IF($W624=6,"Final escalation completed.",IF($T624="OVERDUE","Next: "&amp;$Z624&amp;" was due "&amp;TEXT($Y624,"dd-mmm")&amp;" - "&amp;(NETWORKDAYS($Y624,TODAY(),Holidays)-1)&amp;" business day(s) late. Send now.",IF($T624="DUE TOMORROW","Next: "&amp;$Z624&amp;IF($Y624&lt;=TODAY()," is due TODAY ("," is due next business day (")&amp;TEXT($Y624,"dd-mmm")&amp;").","Next: "&amp;$Z624&amp;" due "&amp;TEXT($Y624,"dd-mmm")&amp;" ("&amp;(NETWORKDAYS(TODAY(),$Y624,Holidays)-1)&amp;" business day(s) left).")))))</f>
        <v/>
      </c>
      <c r="V624" s="17">
        <f>IF($W624="","",CHOOSE($W624,"Collection Email","1st Follow-up","2nd Follow-up","Local Office","CBE","Roxanne")&amp;IF($W624=6," - Final"," - Day "&amp;MAX(0,NETWORKDAYS($X624,TODAY(),Holidays)-1)&amp;" of "&amp;CHOOSE($W624,3,3,2,2,3))&amp;" | Total Day "&amp;MAX(0,NETWORKDAYS($L624,TODAY(),Holidays)-1))</f>
        <v/>
      </c>
      <c r="W624" s="17">
        <f>IF($L624="","",COUNT($L624:$Q624))</f>
        <v/>
      </c>
      <c r="X624" s="18">
        <f>IF($W624="","",INT(INDEX($L624:$Q624,$W624)))</f>
        <v/>
      </c>
      <c r="Y624" s="18">
        <f>IF(OR($W624="",$W624=6),"",WORKDAY($X624,CHOOSE($W624,3,3,2,2,3),Holidays))</f>
        <v/>
      </c>
      <c r="Z624" s="17">
        <f>IF(OR($W624="",$W624=6),"",CHOOSE($W624,"1st Email Follow-up","2nd Email Follow-up","Escalate Local Office","Escalate to CBE","Escalate to Roxanne"))</f>
        <v/>
      </c>
    </row>
    <row r="625" spans="18:26">
      <c r="R625" s="15"/>
      <c r="S625" s="16"/>
      <c r="T625" s="17">
        <f>IF(AND(COUNTA($A625:$K625)=0,$L625=""),"",IF($S625="Paid","PAID",IF($S625="Closed","CLOSED",IF($W625="","",IF($W625=6,"ESCALATED TO ROXANNE",IF(TODAY()&gt;$Y625,"OVERDUE",IF($Y625&lt;=WORKDAY(TODAY(),1,Holidays),"DUE TOMORROW",IF($W625=4,"ESCALATED TO LOCAL OFFICE",IF($W625=5,"ESCALATED TO CBE",IF($X625=TODAY(),"EMAIL SENT","MONITORING"))))))))))</f>
        <v/>
      </c>
      <c r="U625" s="17">
        <f>IF($T625="",IF(AND(COUNTA($A625:$K625)&gt;0,$L625=""),"Awaiting Collection Email time stamp.",""),IF(OR($T625="PAID",$T625="CLOSED"),IF($T625="PAID","Account paid. Action completed.","Account closed. No further action required."),CHOOSE($W625,"Collection Email","1st Email Follow-up","2nd Email Follow-up","Escalation to Local Office","Escalation to CBE","Escalation to Roxanne")&amp;" sent "&amp;TEXT($X625,"dd-mmm")&amp;". "&amp;IF($W625=6,"Final escalation completed.",IF($T625="OVERDUE","Next: "&amp;$Z625&amp;" was due "&amp;TEXT($Y625,"dd-mmm")&amp;" - "&amp;(NETWORKDAYS($Y625,TODAY(),Holidays)-1)&amp;" business day(s) late. Send now.",IF($T625="DUE TOMORROW","Next: "&amp;$Z625&amp;IF($Y625&lt;=TODAY()," is due TODAY ("," is due next business day (")&amp;TEXT($Y625,"dd-mmm")&amp;").","Next: "&amp;$Z625&amp;" due "&amp;TEXT($Y625,"dd-mmm")&amp;" ("&amp;(NETWORKDAYS(TODAY(),$Y625,Holidays)-1)&amp;" business day(s) left).")))))</f>
        <v/>
      </c>
      <c r="V625" s="17">
        <f>IF($W625="","",CHOOSE($W625,"Collection Email","1st Follow-up","2nd Follow-up","Local Office","CBE","Roxanne")&amp;IF($W625=6," - Final"," - Day "&amp;MAX(0,NETWORKDAYS($X625,TODAY(),Holidays)-1)&amp;" of "&amp;CHOOSE($W625,3,3,2,2,3))&amp;" | Total Day "&amp;MAX(0,NETWORKDAYS($L625,TODAY(),Holidays)-1))</f>
        <v/>
      </c>
      <c r="W625" s="17">
        <f>IF($L625="","",COUNT($L625:$Q625))</f>
        <v/>
      </c>
      <c r="X625" s="18">
        <f>IF($W625="","",INT(INDEX($L625:$Q625,$W625)))</f>
        <v/>
      </c>
      <c r="Y625" s="18">
        <f>IF(OR($W625="",$W625=6),"",WORKDAY($X625,CHOOSE($W625,3,3,2,2,3),Holidays))</f>
        <v/>
      </c>
      <c r="Z625" s="17">
        <f>IF(OR($W625="",$W625=6),"",CHOOSE($W625,"1st Email Follow-up","2nd Email Follow-up","Escalate Local Office","Escalate to CBE","Escalate to Roxanne"))</f>
        <v/>
      </c>
    </row>
    <row r="626" spans="18:26">
      <c r="R626" s="15"/>
      <c r="S626" s="16"/>
      <c r="T626" s="17">
        <f>IF(AND(COUNTA($A626:$K626)=0,$L626=""),"",IF($S626="Paid","PAID",IF($S626="Closed","CLOSED",IF($W626="","",IF($W626=6,"ESCALATED TO ROXANNE",IF(TODAY()&gt;$Y626,"OVERDUE",IF($Y626&lt;=WORKDAY(TODAY(),1,Holidays),"DUE TOMORROW",IF($W626=4,"ESCALATED TO LOCAL OFFICE",IF($W626=5,"ESCALATED TO CBE",IF($X626=TODAY(),"EMAIL SENT","MONITORING"))))))))))</f>
        <v/>
      </c>
      <c r="U626" s="17">
        <f>IF($T626="",IF(AND(COUNTA($A626:$K626)&gt;0,$L626=""),"Awaiting Collection Email time stamp.",""),IF(OR($T626="PAID",$T626="CLOSED"),IF($T626="PAID","Account paid. Action completed.","Account closed. No further action required."),CHOOSE($W626,"Collection Email","1st Email Follow-up","2nd Email Follow-up","Escalation to Local Office","Escalation to CBE","Escalation to Roxanne")&amp;" sent "&amp;TEXT($X626,"dd-mmm")&amp;". "&amp;IF($W626=6,"Final escalation completed.",IF($T626="OVERDUE","Next: "&amp;$Z626&amp;" was due "&amp;TEXT($Y626,"dd-mmm")&amp;" - "&amp;(NETWORKDAYS($Y626,TODAY(),Holidays)-1)&amp;" business day(s) late. Send now.",IF($T626="DUE TOMORROW","Next: "&amp;$Z626&amp;IF($Y626&lt;=TODAY()," is due TODAY ("," is due next business day (")&amp;TEXT($Y626,"dd-mmm")&amp;").","Next: "&amp;$Z626&amp;" due "&amp;TEXT($Y626,"dd-mmm")&amp;" ("&amp;(NETWORKDAYS(TODAY(),$Y626,Holidays)-1)&amp;" business day(s) left).")))))</f>
        <v/>
      </c>
      <c r="V626" s="17">
        <f>IF($W626="","",CHOOSE($W626,"Collection Email","1st Follow-up","2nd Follow-up","Local Office","CBE","Roxanne")&amp;IF($W626=6," - Final"," - Day "&amp;MAX(0,NETWORKDAYS($X626,TODAY(),Holidays)-1)&amp;" of "&amp;CHOOSE($W626,3,3,2,2,3))&amp;" | Total Day "&amp;MAX(0,NETWORKDAYS($L626,TODAY(),Holidays)-1))</f>
        <v/>
      </c>
      <c r="W626" s="17">
        <f>IF($L626="","",COUNT($L626:$Q626))</f>
        <v/>
      </c>
      <c r="X626" s="18">
        <f>IF($W626="","",INT(INDEX($L626:$Q626,$W626)))</f>
        <v/>
      </c>
      <c r="Y626" s="18">
        <f>IF(OR($W626="",$W626=6),"",WORKDAY($X626,CHOOSE($W626,3,3,2,2,3),Holidays))</f>
        <v/>
      </c>
      <c r="Z626" s="17">
        <f>IF(OR($W626="",$W626=6),"",CHOOSE($W626,"1st Email Follow-up","2nd Email Follow-up","Escalate Local Office","Escalate to CBE","Escalate to Roxanne"))</f>
        <v/>
      </c>
    </row>
    <row r="627" spans="18:26">
      <c r="R627" s="15"/>
      <c r="S627" s="16"/>
      <c r="T627" s="17">
        <f>IF(AND(COUNTA($A627:$K627)=0,$L627=""),"",IF($S627="Paid","PAID",IF($S627="Closed","CLOSED",IF($W627="","",IF($W627=6,"ESCALATED TO ROXANNE",IF(TODAY()&gt;$Y627,"OVERDUE",IF($Y627&lt;=WORKDAY(TODAY(),1,Holidays),"DUE TOMORROW",IF($W627=4,"ESCALATED TO LOCAL OFFICE",IF($W627=5,"ESCALATED TO CBE",IF($X627=TODAY(),"EMAIL SENT","MONITORING"))))))))))</f>
        <v/>
      </c>
      <c r="U627" s="17">
        <f>IF($T627="",IF(AND(COUNTA($A627:$K627)&gt;0,$L627=""),"Awaiting Collection Email time stamp.",""),IF(OR($T627="PAID",$T627="CLOSED"),IF($T627="PAID","Account paid. Action completed.","Account closed. No further action required."),CHOOSE($W627,"Collection Email","1st Email Follow-up","2nd Email Follow-up","Escalation to Local Office","Escalation to CBE","Escalation to Roxanne")&amp;" sent "&amp;TEXT($X627,"dd-mmm")&amp;". "&amp;IF($W627=6,"Final escalation completed.",IF($T627="OVERDUE","Next: "&amp;$Z627&amp;" was due "&amp;TEXT($Y627,"dd-mmm")&amp;" - "&amp;(NETWORKDAYS($Y627,TODAY(),Holidays)-1)&amp;" business day(s) late. Send now.",IF($T627="DUE TOMORROW","Next: "&amp;$Z627&amp;IF($Y627&lt;=TODAY()," is due TODAY ("," is due next business day (")&amp;TEXT($Y627,"dd-mmm")&amp;").","Next: "&amp;$Z627&amp;" due "&amp;TEXT($Y627,"dd-mmm")&amp;" ("&amp;(NETWORKDAYS(TODAY(),$Y627,Holidays)-1)&amp;" business day(s) left).")))))</f>
        <v/>
      </c>
      <c r="V627" s="17">
        <f>IF($W627="","",CHOOSE($W627,"Collection Email","1st Follow-up","2nd Follow-up","Local Office","CBE","Roxanne")&amp;IF($W627=6," - Final"," - Day "&amp;MAX(0,NETWORKDAYS($X627,TODAY(),Holidays)-1)&amp;" of "&amp;CHOOSE($W627,3,3,2,2,3))&amp;" | Total Day "&amp;MAX(0,NETWORKDAYS($L627,TODAY(),Holidays)-1))</f>
        <v/>
      </c>
      <c r="W627" s="17">
        <f>IF($L627="","",COUNT($L627:$Q627))</f>
        <v/>
      </c>
      <c r="X627" s="18">
        <f>IF($W627="","",INT(INDEX($L627:$Q627,$W627)))</f>
        <v/>
      </c>
      <c r="Y627" s="18">
        <f>IF(OR($W627="",$W627=6),"",WORKDAY($X627,CHOOSE($W627,3,3,2,2,3),Holidays))</f>
        <v/>
      </c>
      <c r="Z627" s="17">
        <f>IF(OR($W627="",$W627=6),"",CHOOSE($W627,"1st Email Follow-up","2nd Email Follow-up","Escalate Local Office","Escalate to CBE","Escalate to Roxanne"))</f>
        <v/>
      </c>
    </row>
    <row r="628" spans="18:26">
      <c r="R628" s="15"/>
      <c r="S628" s="16"/>
      <c r="T628" s="17">
        <f>IF(AND(COUNTA($A628:$K628)=0,$L628=""),"",IF($S628="Paid","PAID",IF($S628="Closed","CLOSED",IF($W628="","",IF($W628=6,"ESCALATED TO ROXANNE",IF(TODAY()&gt;$Y628,"OVERDUE",IF($Y628&lt;=WORKDAY(TODAY(),1,Holidays),"DUE TOMORROW",IF($W628=4,"ESCALATED TO LOCAL OFFICE",IF($W628=5,"ESCALATED TO CBE",IF($X628=TODAY(),"EMAIL SENT","MONITORING"))))))))))</f>
        <v/>
      </c>
      <c r="U628" s="17">
        <f>IF($T628="",IF(AND(COUNTA($A628:$K628)&gt;0,$L628=""),"Awaiting Collection Email time stamp.",""),IF(OR($T628="PAID",$T628="CLOSED"),IF($T628="PAID","Account paid. Action completed.","Account closed. No further action required."),CHOOSE($W628,"Collection Email","1st Email Follow-up","2nd Email Follow-up","Escalation to Local Office","Escalation to CBE","Escalation to Roxanne")&amp;" sent "&amp;TEXT($X628,"dd-mmm")&amp;". "&amp;IF($W628=6,"Final escalation completed.",IF($T628="OVERDUE","Next: "&amp;$Z628&amp;" was due "&amp;TEXT($Y628,"dd-mmm")&amp;" - "&amp;(NETWORKDAYS($Y628,TODAY(),Holidays)-1)&amp;" business day(s) late. Send now.",IF($T628="DUE TOMORROW","Next: "&amp;$Z628&amp;IF($Y628&lt;=TODAY()," is due TODAY ("," is due next business day (")&amp;TEXT($Y628,"dd-mmm")&amp;").","Next: "&amp;$Z628&amp;" due "&amp;TEXT($Y628,"dd-mmm")&amp;" ("&amp;(NETWORKDAYS(TODAY(),$Y628,Holidays)-1)&amp;" business day(s) left).")))))</f>
        <v/>
      </c>
      <c r="V628" s="17">
        <f>IF($W628="","",CHOOSE($W628,"Collection Email","1st Follow-up","2nd Follow-up","Local Office","CBE","Roxanne")&amp;IF($W628=6," - Final"," - Day "&amp;MAX(0,NETWORKDAYS($X628,TODAY(),Holidays)-1)&amp;" of "&amp;CHOOSE($W628,3,3,2,2,3))&amp;" | Total Day "&amp;MAX(0,NETWORKDAYS($L628,TODAY(),Holidays)-1))</f>
        <v/>
      </c>
      <c r="W628" s="17">
        <f>IF($L628="","",COUNT($L628:$Q628))</f>
        <v/>
      </c>
      <c r="X628" s="18">
        <f>IF($W628="","",INT(INDEX($L628:$Q628,$W628)))</f>
        <v/>
      </c>
      <c r="Y628" s="18">
        <f>IF(OR($W628="",$W628=6),"",WORKDAY($X628,CHOOSE($W628,3,3,2,2,3),Holidays))</f>
        <v/>
      </c>
      <c r="Z628" s="17">
        <f>IF(OR($W628="",$W628=6),"",CHOOSE($W628,"1st Email Follow-up","2nd Email Follow-up","Escalate Local Office","Escalate to CBE","Escalate to Roxanne"))</f>
        <v/>
      </c>
    </row>
    <row r="629" spans="18:26">
      <c r="R629" s="15"/>
      <c r="S629" s="16"/>
      <c r="T629" s="17">
        <f>IF(AND(COUNTA($A629:$K629)=0,$L629=""),"",IF($S629="Paid","PAID",IF($S629="Closed","CLOSED",IF($W629="","",IF($W629=6,"ESCALATED TO ROXANNE",IF(TODAY()&gt;$Y629,"OVERDUE",IF($Y629&lt;=WORKDAY(TODAY(),1,Holidays),"DUE TOMORROW",IF($W629=4,"ESCALATED TO LOCAL OFFICE",IF($W629=5,"ESCALATED TO CBE",IF($X629=TODAY(),"EMAIL SENT","MONITORING"))))))))))</f>
        <v/>
      </c>
      <c r="U629" s="17">
        <f>IF($T629="",IF(AND(COUNTA($A629:$K629)&gt;0,$L629=""),"Awaiting Collection Email time stamp.",""),IF(OR($T629="PAID",$T629="CLOSED"),IF($T629="PAID","Account paid. Action completed.","Account closed. No further action required."),CHOOSE($W629,"Collection Email","1st Email Follow-up","2nd Email Follow-up","Escalation to Local Office","Escalation to CBE","Escalation to Roxanne")&amp;" sent "&amp;TEXT($X629,"dd-mmm")&amp;". "&amp;IF($W629=6,"Final escalation completed.",IF($T629="OVERDUE","Next: "&amp;$Z629&amp;" was due "&amp;TEXT($Y629,"dd-mmm")&amp;" - "&amp;(NETWORKDAYS($Y629,TODAY(),Holidays)-1)&amp;" business day(s) late. Send now.",IF($T629="DUE TOMORROW","Next: "&amp;$Z629&amp;IF($Y629&lt;=TODAY()," is due TODAY ("," is due next business day (")&amp;TEXT($Y629,"dd-mmm")&amp;").","Next: "&amp;$Z629&amp;" due "&amp;TEXT($Y629,"dd-mmm")&amp;" ("&amp;(NETWORKDAYS(TODAY(),$Y629,Holidays)-1)&amp;" business day(s) left).")))))</f>
        <v/>
      </c>
      <c r="V629" s="17">
        <f>IF($W629="","",CHOOSE($W629,"Collection Email","1st Follow-up","2nd Follow-up","Local Office","CBE","Roxanne")&amp;IF($W629=6," - Final"," - Day "&amp;MAX(0,NETWORKDAYS($X629,TODAY(),Holidays)-1)&amp;" of "&amp;CHOOSE($W629,3,3,2,2,3))&amp;" | Total Day "&amp;MAX(0,NETWORKDAYS($L629,TODAY(),Holidays)-1))</f>
        <v/>
      </c>
      <c r="W629" s="17">
        <f>IF($L629="","",COUNT($L629:$Q629))</f>
        <v/>
      </c>
      <c r="X629" s="18">
        <f>IF($W629="","",INT(INDEX($L629:$Q629,$W629)))</f>
        <v/>
      </c>
      <c r="Y629" s="18">
        <f>IF(OR($W629="",$W629=6),"",WORKDAY($X629,CHOOSE($W629,3,3,2,2,3),Holidays))</f>
        <v/>
      </c>
      <c r="Z629" s="17">
        <f>IF(OR($W629="",$W629=6),"",CHOOSE($W629,"1st Email Follow-up","2nd Email Follow-up","Escalate Local Office","Escalate to CBE","Escalate to Roxanne"))</f>
        <v/>
      </c>
    </row>
    <row r="630" spans="18:26">
      <c r="R630" s="15"/>
      <c r="S630" s="16"/>
      <c r="T630" s="17">
        <f>IF(AND(COUNTA($A630:$K630)=0,$L630=""),"",IF($S630="Paid","PAID",IF($S630="Closed","CLOSED",IF($W630="","",IF($W630=6,"ESCALATED TO ROXANNE",IF(TODAY()&gt;$Y630,"OVERDUE",IF($Y630&lt;=WORKDAY(TODAY(),1,Holidays),"DUE TOMORROW",IF($W630=4,"ESCALATED TO LOCAL OFFICE",IF($W630=5,"ESCALATED TO CBE",IF($X630=TODAY(),"EMAIL SENT","MONITORING"))))))))))</f>
        <v/>
      </c>
      <c r="U630" s="17">
        <f>IF($T630="",IF(AND(COUNTA($A630:$K630)&gt;0,$L630=""),"Awaiting Collection Email time stamp.",""),IF(OR($T630="PAID",$T630="CLOSED"),IF($T630="PAID","Account paid. Action completed.","Account closed. No further action required."),CHOOSE($W630,"Collection Email","1st Email Follow-up","2nd Email Follow-up","Escalation to Local Office","Escalation to CBE","Escalation to Roxanne")&amp;" sent "&amp;TEXT($X630,"dd-mmm")&amp;". "&amp;IF($W630=6,"Final escalation completed.",IF($T630="OVERDUE","Next: "&amp;$Z630&amp;" was due "&amp;TEXT($Y630,"dd-mmm")&amp;" - "&amp;(NETWORKDAYS($Y630,TODAY(),Holidays)-1)&amp;" business day(s) late. Send now.",IF($T630="DUE TOMORROW","Next: "&amp;$Z630&amp;IF($Y630&lt;=TODAY()," is due TODAY ("," is due next business day (")&amp;TEXT($Y630,"dd-mmm")&amp;").","Next: "&amp;$Z630&amp;" due "&amp;TEXT($Y630,"dd-mmm")&amp;" ("&amp;(NETWORKDAYS(TODAY(),$Y630,Holidays)-1)&amp;" business day(s) left).")))))</f>
        <v/>
      </c>
      <c r="V630" s="17">
        <f>IF($W630="","",CHOOSE($W630,"Collection Email","1st Follow-up","2nd Follow-up","Local Office","CBE","Roxanne")&amp;IF($W630=6," - Final"," - Day "&amp;MAX(0,NETWORKDAYS($X630,TODAY(),Holidays)-1)&amp;" of "&amp;CHOOSE($W630,3,3,2,2,3))&amp;" | Total Day "&amp;MAX(0,NETWORKDAYS($L630,TODAY(),Holidays)-1))</f>
        <v/>
      </c>
      <c r="W630" s="17">
        <f>IF($L630="","",COUNT($L630:$Q630))</f>
        <v/>
      </c>
      <c r="X630" s="18">
        <f>IF($W630="","",INT(INDEX($L630:$Q630,$W630)))</f>
        <v/>
      </c>
      <c r="Y630" s="18">
        <f>IF(OR($W630="",$W630=6),"",WORKDAY($X630,CHOOSE($W630,3,3,2,2,3),Holidays))</f>
        <v/>
      </c>
      <c r="Z630" s="17">
        <f>IF(OR($W630="",$W630=6),"",CHOOSE($W630,"1st Email Follow-up","2nd Email Follow-up","Escalate Local Office","Escalate to CBE","Escalate to Roxanne"))</f>
        <v/>
      </c>
    </row>
    <row r="631" spans="18:26">
      <c r="R631" s="15"/>
      <c r="S631" s="16"/>
      <c r="T631" s="17">
        <f>IF(AND(COUNTA($A631:$K631)=0,$L631=""),"",IF($S631="Paid","PAID",IF($S631="Closed","CLOSED",IF($W631="","",IF($W631=6,"ESCALATED TO ROXANNE",IF(TODAY()&gt;$Y631,"OVERDUE",IF($Y631&lt;=WORKDAY(TODAY(),1,Holidays),"DUE TOMORROW",IF($W631=4,"ESCALATED TO LOCAL OFFICE",IF($W631=5,"ESCALATED TO CBE",IF($X631=TODAY(),"EMAIL SENT","MONITORING"))))))))))</f>
        <v/>
      </c>
      <c r="U631" s="17">
        <f>IF($T631="",IF(AND(COUNTA($A631:$K631)&gt;0,$L631=""),"Awaiting Collection Email time stamp.",""),IF(OR($T631="PAID",$T631="CLOSED"),IF($T631="PAID","Account paid. Action completed.","Account closed. No further action required."),CHOOSE($W631,"Collection Email","1st Email Follow-up","2nd Email Follow-up","Escalation to Local Office","Escalation to CBE","Escalation to Roxanne")&amp;" sent "&amp;TEXT($X631,"dd-mmm")&amp;". "&amp;IF($W631=6,"Final escalation completed.",IF($T631="OVERDUE","Next: "&amp;$Z631&amp;" was due "&amp;TEXT($Y631,"dd-mmm")&amp;" - "&amp;(NETWORKDAYS($Y631,TODAY(),Holidays)-1)&amp;" business day(s) late. Send now.",IF($T631="DUE TOMORROW","Next: "&amp;$Z631&amp;IF($Y631&lt;=TODAY()," is due TODAY ("," is due next business day (")&amp;TEXT($Y631,"dd-mmm")&amp;").","Next: "&amp;$Z631&amp;" due "&amp;TEXT($Y631,"dd-mmm")&amp;" ("&amp;(NETWORKDAYS(TODAY(),$Y631,Holidays)-1)&amp;" business day(s) left).")))))</f>
        <v/>
      </c>
      <c r="V631" s="17">
        <f>IF($W631="","",CHOOSE($W631,"Collection Email","1st Follow-up","2nd Follow-up","Local Office","CBE","Roxanne")&amp;IF($W631=6," - Final"," - Day "&amp;MAX(0,NETWORKDAYS($X631,TODAY(),Holidays)-1)&amp;" of "&amp;CHOOSE($W631,3,3,2,2,3))&amp;" | Total Day "&amp;MAX(0,NETWORKDAYS($L631,TODAY(),Holidays)-1))</f>
        <v/>
      </c>
      <c r="W631" s="17">
        <f>IF($L631="","",COUNT($L631:$Q631))</f>
        <v/>
      </c>
      <c r="X631" s="18">
        <f>IF($W631="","",INT(INDEX($L631:$Q631,$W631)))</f>
        <v/>
      </c>
      <c r="Y631" s="18">
        <f>IF(OR($W631="",$W631=6),"",WORKDAY($X631,CHOOSE($W631,3,3,2,2,3),Holidays))</f>
        <v/>
      </c>
      <c r="Z631" s="17">
        <f>IF(OR($W631="",$W631=6),"",CHOOSE($W631,"1st Email Follow-up","2nd Email Follow-up","Escalate Local Office","Escalate to CBE","Escalate to Roxanne"))</f>
        <v/>
      </c>
    </row>
    <row r="632" spans="18:26">
      <c r="R632" s="15"/>
      <c r="S632" s="16"/>
      <c r="T632" s="17">
        <f>IF(AND(COUNTA($A632:$K632)=0,$L632=""),"",IF($S632="Paid","PAID",IF($S632="Closed","CLOSED",IF($W632="","",IF($W632=6,"ESCALATED TO ROXANNE",IF(TODAY()&gt;$Y632,"OVERDUE",IF($Y632&lt;=WORKDAY(TODAY(),1,Holidays),"DUE TOMORROW",IF($W632=4,"ESCALATED TO LOCAL OFFICE",IF($W632=5,"ESCALATED TO CBE",IF($X632=TODAY(),"EMAIL SENT","MONITORING"))))))))))</f>
        <v/>
      </c>
      <c r="U632" s="17">
        <f>IF($T632="",IF(AND(COUNTA($A632:$K632)&gt;0,$L632=""),"Awaiting Collection Email time stamp.",""),IF(OR($T632="PAID",$T632="CLOSED"),IF($T632="PAID","Account paid. Action completed.","Account closed. No further action required."),CHOOSE($W632,"Collection Email","1st Email Follow-up","2nd Email Follow-up","Escalation to Local Office","Escalation to CBE","Escalation to Roxanne")&amp;" sent "&amp;TEXT($X632,"dd-mmm")&amp;". "&amp;IF($W632=6,"Final escalation completed.",IF($T632="OVERDUE","Next: "&amp;$Z632&amp;" was due "&amp;TEXT($Y632,"dd-mmm")&amp;" - "&amp;(NETWORKDAYS($Y632,TODAY(),Holidays)-1)&amp;" business day(s) late. Send now.",IF($T632="DUE TOMORROW","Next: "&amp;$Z632&amp;IF($Y632&lt;=TODAY()," is due TODAY ("," is due next business day (")&amp;TEXT($Y632,"dd-mmm")&amp;").","Next: "&amp;$Z632&amp;" due "&amp;TEXT($Y632,"dd-mmm")&amp;" ("&amp;(NETWORKDAYS(TODAY(),$Y632,Holidays)-1)&amp;" business day(s) left).")))))</f>
        <v/>
      </c>
      <c r="V632" s="17">
        <f>IF($W632="","",CHOOSE($W632,"Collection Email","1st Follow-up","2nd Follow-up","Local Office","CBE","Roxanne")&amp;IF($W632=6," - Final"," - Day "&amp;MAX(0,NETWORKDAYS($X632,TODAY(),Holidays)-1)&amp;" of "&amp;CHOOSE($W632,3,3,2,2,3))&amp;" | Total Day "&amp;MAX(0,NETWORKDAYS($L632,TODAY(),Holidays)-1))</f>
        <v/>
      </c>
      <c r="W632" s="17">
        <f>IF($L632="","",COUNT($L632:$Q632))</f>
        <v/>
      </c>
      <c r="X632" s="18">
        <f>IF($W632="","",INT(INDEX($L632:$Q632,$W632)))</f>
        <v/>
      </c>
      <c r="Y632" s="18">
        <f>IF(OR($W632="",$W632=6),"",WORKDAY($X632,CHOOSE($W632,3,3,2,2,3),Holidays))</f>
        <v/>
      </c>
      <c r="Z632" s="17">
        <f>IF(OR($W632="",$W632=6),"",CHOOSE($W632,"1st Email Follow-up","2nd Email Follow-up","Escalate Local Office","Escalate to CBE","Escalate to Roxanne"))</f>
        <v/>
      </c>
    </row>
    <row r="633" spans="18:26">
      <c r="R633" s="15"/>
      <c r="S633" s="16"/>
      <c r="T633" s="17">
        <f>IF(AND(COUNTA($A633:$K633)=0,$L633=""),"",IF($S633="Paid","PAID",IF($S633="Closed","CLOSED",IF($W633="","",IF($W633=6,"ESCALATED TO ROXANNE",IF(TODAY()&gt;$Y633,"OVERDUE",IF($Y633&lt;=WORKDAY(TODAY(),1,Holidays),"DUE TOMORROW",IF($W633=4,"ESCALATED TO LOCAL OFFICE",IF($W633=5,"ESCALATED TO CBE",IF($X633=TODAY(),"EMAIL SENT","MONITORING"))))))))))</f>
        <v/>
      </c>
      <c r="U633" s="17">
        <f>IF($T633="",IF(AND(COUNTA($A633:$K633)&gt;0,$L633=""),"Awaiting Collection Email time stamp.",""),IF(OR($T633="PAID",$T633="CLOSED"),IF($T633="PAID","Account paid. Action completed.","Account closed. No further action required."),CHOOSE($W633,"Collection Email","1st Email Follow-up","2nd Email Follow-up","Escalation to Local Office","Escalation to CBE","Escalation to Roxanne")&amp;" sent "&amp;TEXT($X633,"dd-mmm")&amp;". "&amp;IF($W633=6,"Final escalation completed.",IF($T633="OVERDUE","Next: "&amp;$Z633&amp;" was due "&amp;TEXT($Y633,"dd-mmm")&amp;" - "&amp;(NETWORKDAYS($Y633,TODAY(),Holidays)-1)&amp;" business day(s) late. Send now.",IF($T633="DUE TOMORROW","Next: "&amp;$Z633&amp;IF($Y633&lt;=TODAY()," is due TODAY ("," is due next business day (")&amp;TEXT($Y633,"dd-mmm")&amp;").","Next: "&amp;$Z633&amp;" due "&amp;TEXT($Y633,"dd-mmm")&amp;" ("&amp;(NETWORKDAYS(TODAY(),$Y633,Holidays)-1)&amp;" business day(s) left).")))))</f>
        <v/>
      </c>
      <c r="V633" s="17">
        <f>IF($W633="","",CHOOSE($W633,"Collection Email","1st Follow-up","2nd Follow-up","Local Office","CBE","Roxanne")&amp;IF($W633=6," - Final"," - Day "&amp;MAX(0,NETWORKDAYS($X633,TODAY(),Holidays)-1)&amp;" of "&amp;CHOOSE($W633,3,3,2,2,3))&amp;" | Total Day "&amp;MAX(0,NETWORKDAYS($L633,TODAY(),Holidays)-1))</f>
        <v/>
      </c>
      <c r="W633" s="17">
        <f>IF($L633="","",COUNT($L633:$Q633))</f>
        <v/>
      </c>
      <c r="X633" s="18">
        <f>IF($W633="","",INT(INDEX($L633:$Q633,$W633)))</f>
        <v/>
      </c>
      <c r="Y633" s="18">
        <f>IF(OR($W633="",$W633=6),"",WORKDAY($X633,CHOOSE($W633,3,3,2,2,3),Holidays))</f>
        <v/>
      </c>
      <c r="Z633" s="17">
        <f>IF(OR($W633="",$W633=6),"",CHOOSE($W633,"1st Email Follow-up","2nd Email Follow-up","Escalate Local Office","Escalate to CBE","Escalate to Roxanne"))</f>
        <v/>
      </c>
    </row>
    <row r="634" spans="18:26">
      <c r="R634" s="15"/>
      <c r="S634" s="16"/>
      <c r="T634" s="17">
        <f>IF(AND(COUNTA($A634:$K634)=0,$L634=""),"",IF($S634="Paid","PAID",IF($S634="Closed","CLOSED",IF($W634="","",IF($W634=6,"ESCALATED TO ROXANNE",IF(TODAY()&gt;$Y634,"OVERDUE",IF($Y634&lt;=WORKDAY(TODAY(),1,Holidays),"DUE TOMORROW",IF($W634=4,"ESCALATED TO LOCAL OFFICE",IF($W634=5,"ESCALATED TO CBE",IF($X634=TODAY(),"EMAIL SENT","MONITORING"))))))))))</f>
        <v/>
      </c>
      <c r="U634" s="17">
        <f>IF($T634="",IF(AND(COUNTA($A634:$K634)&gt;0,$L634=""),"Awaiting Collection Email time stamp.",""),IF(OR($T634="PAID",$T634="CLOSED"),IF($T634="PAID","Account paid. Action completed.","Account closed. No further action required."),CHOOSE($W634,"Collection Email","1st Email Follow-up","2nd Email Follow-up","Escalation to Local Office","Escalation to CBE","Escalation to Roxanne")&amp;" sent "&amp;TEXT($X634,"dd-mmm")&amp;". "&amp;IF($W634=6,"Final escalation completed.",IF($T634="OVERDUE","Next: "&amp;$Z634&amp;" was due "&amp;TEXT($Y634,"dd-mmm")&amp;" - "&amp;(NETWORKDAYS($Y634,TODAY(),Holidays)-1)&amp;" business day(s) late. Send now.",IF($T634="DUE TOMORROW","Next: "&amp;$Z634&amp;IF($Y634&lt;=TODAY()," is due TODAY ("," is due next business day (")&amp;TEXT($Y634,"dd-mmm")&amp;").","Next: "&amp;$Z634&amp;" due "&amp;TEXT($Y634,"dd-mmm")&amp;" ("&amp;(NETWORKDAYS(TODAY(),$Y634,Holidays)-1)&amp;" business day(s) left).")))))</f>
        <v/>
      </c>
      <c r="V634" s="17">
        <f>IF($W634="","",CHOOSE($W634,"Collection Email","1st Follow-up","2nd Follow-up","Local Office","CBE","Roxanne")&amp;IF($W634=6," - Final"," - Day "&amp;MAX(0,NETWORKDAYS($X634,TODAY(),Holidays)-1)&amp;" of "&amp;CHOOSE($W634,3,3,2,2,3))&amp;" | Total Day "&amp;MAX(0,NETWORKDAYS($L634,TODAY(),Holidays)-1))</f>
        <v/>
      </c>
      <c r="W634" s="17">
        <f>IF($L634="","",COUNT($L634:$Q634))</f>
        <v/>
      </c>
      <c r="X634" s="18">
        <f>IF($W634="","",INT(INDEX($L634:$Q634,$W634)))</f>
        <v/>
      </c>
      <c r="Y634" s="18">
        <f>IF(OR($W634="",$W634=6),"",WORKDAY($X634,CHOOSE($W634,3,3,2,2,3),Holidays))</f>
        <v/>
      </c>
      <c r="Z634" s="17">
        <f>IF(OR($W634="",$W634=6),"",CHOOSE($W634,"1st Email Follow-up","2nd Email Follow-up","Escalate Local Office","Escalate to CBE","Escalate to Roxanne"))</f>
        <v/>
      </c>
    </row>
    <row r="635" spans="18:26">
      <c r="R635" s="15"/>
      <c r="S635" s="16"/>
      <c r="T635" s="17">
        <f>IF(AND(COUNTA($A635:$K635)=0,$L635=""),"",IF($S635="Paid","PAID",IF($S635="Closed","CLOSED",IF($W635="","",IF($W635=6,"ESCALATED TO ROXANNE",IF(TODAY()&gt;$Y635,"OVERDUE",IF($Y635&lt;=WORKDAY(TODAY(),1,Holidays),"DUE TOMORROW",IF($W635=4,"ESCALATED TO LOCAL OFFICE",IF($W635=5,"ESCALATED TO CBE",IF($X635=TODAY(),"EMAIL SENT","MONITORING"))))))))))</f>
        <v/>
      </c>
      <c r="U635" s="17">
        <f>IF($T635="",IF(AND(COUNTA($A635:$K635)&gt;0,$L635=""),"Awaiting Collection Email time stamp.",""),IF(OR($T635="PAID",$T635="CLOSED"),IF($T635="PAID","Account paid. Action completed.","Account closed. No further action required."),CHOOSE($W635,"Collection Email","1st Email Follow-up","2nd Email Follow-up","Escalation to Local Office","Escalation to CBE","Escalation to Roxanne")&amp;" sent "&amp;TEXT($X635,"dd-mmm")&amp;". "&amp;IF($W635=6,"Final escalation completed.",IF($T635="OVERDUE","Next: "&amp;$Z635&amp;" was due "&amp;TEXT($Y635,"dd-mmm")&amp;" - "&amp;(NETWORKDAYS($Y635,TODAY(),Holidays)-1)&amp;" business day(s) late. Send now.",IF($T635="DUE TOMORROW","Next: "&amp;$Z635&amp;IF($Y635&lt;=TODAY()," is due TODAY ("," is due next business day (")&amp;TEXT($Y635,"dd-mmm")&amp;").","Next: "&amp;$Z635&amp;" due "&amp;TEXT($Y635,"dd-mmm")&amp;" ("&amp;(NETWORKDAYS(TODAY(),$Y635,Holidays)-1)&amp;" business day(s) left).")))))</f>
        <v/>
      </c>
      <c r="V635" s="17">
        <f>IF($W635="","",CHOOSE($W635,"Collection Email","1st Follow-up","2nd Follow-up","Local Office","CBE","Roxanne")&amp;IF($W635=6," - Final"," - Day "&amp;MAX(0,NETWORKDAYS($X635,TODAY(),Holidays)-1)&amp;" of "&amp;CHOOSE($W635,3,3,2,2,3))&amp;" | Total Day "&amp;MAX(0,NETWORKDAYS($L635,TODAY(),Holidays)-1))</f>
        <v/>
      </c>
      <c r="W635" s="17">
        <f>IF($L635="","",COUNT($L635:$Q635))</f>
        <v/>
      </c>
      <c r="X635" s="18">
        <f>IF($W635="","",INT(INDEX($L635:$Q635,$W635)))</f>
        <v/>
      </c>
      <c r="Y635" s="18">
        <f>IF(OR($W635="",$W635=6),"",WORKDAY($X635,CHOOSE($W635,3,3,2,2,3),Holidays))</f>
        <v/>
      </c>
      <c r="Z635" s="17">
        <f>IF(OR($W635="",$W635=6),"",CHOOSE($W635,"1st Email Follow-up","2nd Email Follow-up","Escalate Local Office","Escalate to CBE","Escalate to Roxanne"))</f>
        <v/>
      </c>
    </row>
    <row r="636" spans="18:26">
      <c r="R636" s="15"/>
      <c r="S636" s="16"/>
      <c r="T636" s="17">
        <f>IF(AND(COUNTA($A636:$K636)=0,$L636=""),"",IF($S636="Paid","PAID",IF($S636="Closed","CLOSED",IF($W636="","",IF($W636=6,"ESCALATED TO ROXANNE",IF(TODAY()&gt;$Y636,"OVERDUE",IF($Y636&lt;=WORKDAY(TODAY(),1,Holidays),"DUE TOMORROW",IF($W636=4,"ESCALATED TO LOCAL OFFICE",IF($W636=5,"ESCALATED TO CBE",IF($X636=TODAY(),"EMAIL SENT","MONITORING"))))))))))</f>
        <v/>
      </c>
      <c r="U636" s="17">
        <f>IF($T636="",IF(AND(COUNTA($A636:$K636)&gt;0,$L636=""),"Awaiting Collection Email time stamp.",""),IF(OR($T636="PAID",$T636="CLOSED"),IF($T636="PAID","Account paid. Action completed.","Account closed. No further action required."),CHOOSE($W636,"Collection Email","1st Email Follow-up","2nd Email Follow-up","Escalation to Local Office","Escalation to CBE","Escalation to Roxanne")&amp;" sent "&amp;TEXT($X636,"dd-mmm")&amp;". "&amp;IF($W636=6,"Final escalation completed.",IF($T636="OVERDUE","Next: "&amp;$Z636&amp;" was due "&amp;TEXT($Y636,"dd-mmm")&amp;" - "&amp;(NETWORKDAYS($Y636,TODAY(),Holidays)-1)&amp;" business day(s) late. Send now.",IF($T636="DUE TOMORROW","Next: "&amp;$Z636&amp;IF($Y636&lt;=TODAY()," is due TODAY ("," is due next business day (")&amp;TEXT($Y636,"dd-mmm")&amp;").","Next: "&amp;$Z636&amp;" due "&amp;TEXT($Y636,"dd-mmm")&amp;" ("&amp;(NETWORKDAYS(TODAY(),$Y636,Holidays)-1)&amp;" business day(s) left).")))))</f>
        <v/>
      </c>
      <c r="V636" s="17">
        <f>IF($W636="","",CHOOSE($W636,"Collection Email","1st Follow-up","2nd Follow-up","Local Office","CBE","Roxanne")&amp;IF($W636=6," - Final"," - Day "&amp;MAX(0,NETWORKDAYS($X636,TODAY(),Holidays)-1)&amp;" of "&amp;CHOOSE($W636,3,3,2,2,3))&amp;" | Total Day "&amp;MAX(0,NETWORKDAYS($L636,TODAY(),Holidays)-1))</f>
        <v/>
      </c>
      <c r="W636" s="17">
        <f>IF($L636="","",COUNT($L636:$Q636))</f>
        <v/>
      </c>
      <c r="X636" s="18">
        <f>IF($W636="","",INT(INDEX($L636:$Q636,$W636)))</f>
        <v/>
      </c>
      <c r="Y636" s="18">
        <f>IF(OR($W636="",$W636=6),"",WORKDAY($X636,CHOOSE($W636,3,3,2,2,3),Holidays))</f>
        <v/>
      </c>
      <c r="Z636" s="17">
        <f>IF(OR($W636="",$W636=6),"",CHOOSE($W636,"1st Email Follow-up","2nd Email Follow-up","Escalate Local Office","Escalate to CBE","Escalate to Roxanne"))</f>
        <v/>
      </c>
    </row>
    <row r="637" spans="18:26">
      <c r="R637" s="15"/>
      <c r="S637" s="16"/>
      <c r="T637" s="17">
        <f>IF(AND(COUNTA($A637:$K637)=0,$L637=""),"",IF($S637="Paid","PAID",IF($S637="Closed","CLOSED",IF($W637="","",IF($W637=6,"ESCALATED TO ROXANNE",IF(TODAY()&gt;$Y637,"OVERDUE",IF($Y637&lt;=WORKDAY(TODAY(),1,Holidays),"DUE TOMORROW",IF($W637=4,"ESCALATED TO LOCAL OFFICE",IF($W637=5,"ESCALATED TO CBE",IF($X637=TODAY(),"EMAIL SENT","MONITORING"))))))))))</f>
        <v/>
      </c>
      <c r="U637" s="17">
        <f>IF($T637="",IF(AND(COUNTA($A637:$K637)&gt;0,$L637=""),"Awaiting Collection Email time stamp.",""),IF(OR($T637="PAID",$T637="CLOSED"),IF($T637="PAID","Account paid. Action completed.","Account closed. No further action required."),CHOOSE($W637,"Collection Email","1st Email Follow-up","2nd Email Follow-up","Escalation to Local Office","Escalation to CBE","Escalation to Roxanne")&amp;" sent "&amp;TEXT($X637,"dd-mmm")&amp;". "&amp;IF($W637=6,"Final escalation completed.",IF($T637="OVERDUE","Next: "&amp;$Z637&amp;" was due "&amp;TEXT($Y637,"dd-mmm")&amp;" - "&amp;(NETWORKDAYS($Y637,TODAY(),Holidays)-1)&amp;" business day(s) late. Send now.",IF($T637="DUE TOMORROW","Next: "&amp;$Z637&amp;IF($Y637&lt;=TODAY()," is due TODAY ("," is due next business day (")&amp;TEXT($Y637,"dd-mmm")&amp;").","Next: "&amp;$Z637&amp;" due "&amp;TEXT($Y637,"dd-mmm")&amp;" ("&amp;(NETWORKDAYS(TODAY(),$Y637,Holidays)-1)&amp;" business day(s) left).")))))</f>
        <v/>
      </c>
      <c r="V637" s="17">
        <f>IF($W637="","",CHOOSE($W637,"Collection Email","1st Follow-up","2nd Follow-up","Local Office","CBE","Roxanne")&amp;IF($W637=6," - Final"," - Day "&amp;MAX(0,NETWORKDAYS($X637,TODAY(),Holidays)-1)&amp;" of "&amp;CHOOSE($W637,3,3,2,2,3))&amp;" | Total Day "&amp;MAX(0,NETWORKDAYS($L637,TODAY(),Holidays)-1))</f>
        <v/>
      </c>
      <c r="W637" s="17">
        <f>IF($L637="","",COUNT($L637:$Q637))</f>
        <v/>
      </c>
      <c r="X637" s="18">
        <f>IF($W637="","",INT(INDEX($L637:$Q637,$W637)))</f>
        <v/>
      </c>
      <c r="Y637" s="18">
        <f>IF(OR($W637="",$W637=6),"",WORKDAY($X637,CHOOSE($W637,3,3,2,2,3),Holidays))</f>
        <v/>
      </c>
      <c r="Z637" s="17">
        <f>IF(OR($W637="",$W637=6),"",CHOOSE($W637,"1st Email Follow-up","2nd Email Follow-up","Escalate Local Office","Escalate to CBE","Escalate to Roxanne"))</f>
        <v/>
      </c>
    </row>
    <row r="638" spans="18:26">
      <c r="R638" s="15"/>
      <c r="S638" s="16"/>
      <c r="T638" s="17">
        <f>IF(AND(COUNTA($A638:$K638)=0,$L638=""),"",IF($S638="Paid","PAID",IF($S638="Closed","CLOSED",IF($W638="","",IF($W638=6,"ESCALATED TO ROXANNE",IF(TODAY()&gt;$Y638,"OVERDUE",IF($Y638&lt;=WORKDAY(TODAY(),1,Holidays),"DUE TOMORROW",IF($W638=4,"ESCALATED TO LOCAL OFFICE",IF($W638=5,"ESCALATED TO CBE",IF($X638=TODAY(),"EMAIL SENT","MONITORING"))))))))))</f>
        <v/>
      </c>
      <c r="U638" s="17">
        <f>IF($T638="",IF(AND(COUNTA($A638:$K638)&gt;0,$L638=""),"Awaiting Collection Email time stamp.",""),IF(OR($T638="PAID",$T638="CLOSED"),IF($T638="PAID","Account paid. Action completed.","Account closed. No further action required."),CHOOSE($W638,"Collection Email","1st Email Follow-up","2nd Email Follow-up","Escalation to Local Office","Escalation to CBE","Escalation to Roxanne")&amp;" sent "&amp;TEXT($X638,"dd-mmm")&amp;". "&amp;IF($W638=6,"Final escalation completed.",IF($T638="OVERDUE","Next: "&amp;$Z638&amp;" was due "&amp;TEXT($Y638,"dd-mmm")&amp;" - "&amp;(NETWORKDAYS($Y638,TODAY(),Holidays)-1)&amp;" business day(s) late. Send now.",IF($T638="DUE TOMORROW","Next: "&amp;$Z638&amp;IF($Y638&lt;=TODAY()," is due TODAY ("," is due next business day (")&amp;TEXT($Y638,"dd-mmm")&amp;").","Next: "&amp;$Z638&amp;" due "&amp;TEXT($Y638,"dd-mmm")&amp;" ("&amp;(NETWORKDAYS(TODAY(),$Y638,Holidays)-1)&amp;" business day(s) left).")))))</f>
        <v/>
      </c>
      <c r="V638" s="17">
        <f>IF($W638="","",CHOOSE($W638,"Collection Email","1st Follow-up","2nd Follow-up","Local Office","CBE","Roxanne")&amp;IF($W638=6," - Final"," - Day "&amp;MAX(0,NETWORKDAYS($X638,TODAY(),Holidays)-1)&amp;" of "&amp;CHOOSE($W638,3,3,2,2,3))&amp;" | Total Day "&amp;MAX(0,NETWORKDAYS($L638,TODAY(),Holidays)-1))</f>
        <v/>
      </c>
      <c r="W638" s="17">
        <f>IF($L638="","",COUNT($L638:$Q638))</f>
        <v/>
      </c>
      <c r="X638" s="18">
        <f>IF($W638="","",INT(INDEX($L638:$Q638,$W638)))</f>
        <v/>
      </c>
      <c r="Y638" s="18">
        <f>IF(OR($W638="",$W638=6),"",WORKDAY($X638,CHOOSE($W638,3,3,2,2,3),Holidays))</f>
        <v/>
      </c>
      <c r="Z638" s="17">
        <f>IF(OR($W638="",$W638=6),"",CHOOSE($W638,"1st Email Follow-up","2nd Email Follow-up","Escalate Local Office","Escalate to CBE","Escalate to Roxanne"))</f>
        <v/>
      </c>
    </row>
    <row r="639" spans="18:26">
      <c r="R639" s="15"/>
      <c r="S639" s="16"/>
      <c r="T639" s="17">
        <f>IF(AND(COUNTA($A639:$K639)=0,$L639=""),"",IF($S639="Paid","PAID",IF($S639="Closed","CLOSED",IF($W639="","",IF($W639=6,"ESCALATED TO ROXANNE",IF(TODAY()&gt;$Y639,"OVERDUE",IF($Y639&lt;=WORKDAY(TODAY(),1,Holidays),"DUE TOMORROW",IF($W639=4,"ESCALATED TO LOCAL OFFICE",IF($W639=5,"ESCALATED TO CBE",IF($X639=TODAY(),"EMAIL SENT","MONITORING"))))))))))</f>
        <v/>
      </c>
      <c r="U639" s="17">
        <f>IF($T639="",IF(AND(COUNTA($A639:$K639)&gt;0,$L639=""),"Awaiting Collection Email time stamp.",""),IF(OR($T639="PAID",$T639="CLOSED"),IF($T639="PAID","Account paid. Action completed.","Account closed. No further action required."),CHOOSE($W639,"Collection Email","1st Email Follow-up","2nd Email Follow-up","Escalation to Local Office","Escalation to CBE","Escalation to Roxanne")&amp;" sent "&amp;TEXT($X639,"dd-mmm")&amp;". "&amp;IF($W639=6,"Final escalation completed.",IF($T639="OVERDUE","Next: "&amp;$Z639&amp;" was due "&amp;TEXT($Y639,"dd-mmm")&amp;" - "&amp;(NETWORKDAYS($Y639,TODAY(),Holidays)-1)&amp;" business day(s) late. Send now.",IF($T639="DUE TOMORROW","Next: "&amp;$Z639&amp;IF($Y639&lt;=TODAY()," is due TODAY ("," is due next business day (")&amp;TEXT($Y639,"dd-mmm")&amp;").","Next: "&amp;$Z639&amp;" due "&amp;TEXT($Y639,"dd-mmm")&amp;" ("&amp;(NETWORKDAYS(TODAY(),$Y639,Holidays)-1)&amp;" business day(s) left).")))))</f>
        <v/>
      </c>
      <c r="V639" s="17">
        <f>IF($W639="","",CHOOSE($W639,"Collection Email","1st Follow-up","2nd Follow-up","Local Office","CBE","Roxanne")&amp;IF($W639=6," - Final"," - Day "&amp;MAX(0,NETWORKDAYS($X639,TODAY(),Holidays)-1)&amp;" of "&amp;CHOOSE($W639,3,3,2,2,3))&amp;" | Total Day "&amp;MAX(0,NETWORKDAYS($L639,TODAY(),Holidays)-1))</f>
        <v/>
      </c>
      <c r="W639" s="17">
        <f>IF($L639="","",COUNT($L639:$Q639))</f>
        <v/>
      </c>
      <c r="X639" s="18">
        <f>IF($W639="","",INT(INDEX($L639:$Q639,$W639)))</f>
        <v/>
      </c>
      <c r="Y639" s="18">
        <f>IF(OR($W639="",$W639=6),"",WORKDAY($X639,CHOOSE($W639,3,3,2,2,3),Holidays))</f>
        <v/>
      </c>
      <c r="Z639" s="17">
        <f>IF(OR($W639="",$W639=6),"",CHOOSE($W639,"1st Email Follow-up","2nd Email Follow-up","Escalate Local Office","Escalate to CBE","Escalate to Roxanne"))</f>
        <v/>
      </c>
    </row>
    <row r="640" spans="18:26">
      <c r="R640" s="15"/>
      <c r="S640" s="16"/>
      <c r="T640" s="17">
        <f>IF(AND(COUNTA($A640:$K640)=0,$L640=""),"",IF($S640="Paid","PAID",IF($S640="Closed","CLOSED",IF($W640="","",IF($W640=6,"ESCALATED TO ROXANNE",IF(TODAY()&gt;$Y640,"OVERDUE",IF($Y640&lt;=WORKDAY(TODAY(),1,Holidays),"DUE TOMORROW",IF($W640=4,"ESCALATED TO LOCAL OFFICE",IF($W640=5,"ESCALATED TO CBE",IF($X640=TODAY(),"EMAIL SENT","MONITORING"))))))))))</f>
        <v/>
      </c>
      <c r="U640" s="17">
        <f>IF($T640="",IF(AND(COUNTA($A640:$K640)&gt;0,$L640=""),"Awaiting Collection Email time stamp.",""),IF(OR($T640="PAID",$T640="CLOSED"),IF($T640="PAID","Account paid. Action completed.","Account closed. No further action required."),CHOOSE($W640,"Collection Email","1st Email Follow-up","2nd Email Follow-up","Escalation to Local Office","Escalation to CBE","Escalation to Roxanne")&amp;" sent "&amp;TEXT($X640,"dd-mmm")&amp;". "&amp;IF($W640=6,"Final escalation completed.",IF($T640="OVERDUE","Next: "&amp;$Z640&amp;" was due "&amp;TEXT($Y640,"dd-mmm")&amp;" - "&amp;(NETWORKDAYS($Y640,TODAY(),Holidays)-1)&amp;" business day(s) late. Send now.",IF($T640="DUE TOMORROW","Next: "&amp;$Z640&amp;IF($Y640&lt;=TODAY()," is due TODAY ("," is due next business day (")&amp;TEXT($Y640,"dd-mmm")&amp;").","Next: "&amp;$Z640&amp;" due "&amp;TEXT($Y640,"dd-mmm")&amp;" ("&amp;(NETWORKDAYS(TODAY(),$Y640,Holidays)-1)&amp;" business day(s) left).")))))</f>
        <v/>
      </c>
      <c r="V640" s="17">
        <f>IF($W640="","",CHOOSE($W640,"Collection Email","1st Follow-up","2nd Follow-up","Local Office","CBE","Roxanne")&amp;IF($W640=6," - Final"," - Day "&amp;MAX(0,NETWORKDAYS($X640,TODAY(),Holidays)-1)&amp;" of "&amp;CHOOSE($W640,3,3,2,2,3))&amp;" | Total Day "&amp;MAX(0,NETWORKDAYS($L640,TODAY(),Holidays)-1))</f>
        <v/>
      </c>
      <c r="W640" s="17">
        <f>IF($L640="","",COUNT($L640:$Q640))</f>
        <v/>
      </c>
      <c r="X640" s="18">
        <f>IF($W640="","",INT(INDEX($L640:$Q640,$W640)))</f>
        <v/>
      </c>
      <c r="Y640" s="18">
        <f>IF(OR($W640="",$W640=6),"",WORKDAY($X640,CHOOSE($W640,3,3,2,2,3),Holidays))</f>
        <v/>
      </c>
      <c r="Z640" s="17">
        <f>IF(OR($W640="",$W640=6),"",CHOOSE($W640,"1st Email Follow-up","2nd Email Follow-up","Escalate Local Office","Escalate to CBE","Escalate to Roxanne"))</f>
        <v/>
      </c>
    </row>
    <row r="641" spans="18:26">
      <c r="R641" s="15"/>
      <c r="S641" s="16"/>
      <c r="T641" s="17">
        <f>IF(AND(COUNTA($A641:$K641)=0,$L641=""),"",IF($S641="Paid","PAID",IF($S641="Closed","CLOSED",IF($W641="","",IF($W641=6,"ESCALATED TO ROXANNE",IF(TODAY()&gt;$Y641,"OVERDUE",IF($Y641&lt;=WORKDAY(TODAY(),1,Holidays),"DUE TOMORROW",IF($W641=4,"ESCALATED TO LOCAL OFFICE",IF($W641=5,"ESCALATED TO CBE",IF($X641=TODAY(),"EMAIL SENT","MONITORING"))))))))))</f>
        <v/>
      </c>
      <c r="U641" s="17">
        <f>IF($T641="",IF(AND(COUNTA($A641:$K641)&gt;0,$L641=""),"Awaiting Collection Email time stamp.",""),IF(OR($T641="PAID",$T641="CLOSED"),IF($T641="PAID","Account paid. Action completed.","Account closed. No further action required."),CHOOSE($W641,"Collection Email","1st Email Follow-up","2nd Email Follow-up","Escalation to Local Office","Escalation to CBE","Escalation to Roxanne")&amp;" sent "&amp;TEXT($X641,"dd-mmm")&amp;". "&amp;IF($W641=6,"Final escalation completed.",IF($T641="OVERDUE","Next: "&amp;$Z641&amp;" was due "&amp;TEXT($Y641,"dd-mmm")&amp;" - "&amp;(NETWORKDAYS($Y641,TODAY(),Holidays)-1)&amp;" business day(s) late. Send now.",IF($T641="DUE TOMORROW","Next: "&amp;$Z641&amp;IF($Y641&lt;=TODAY()," is due TODAY ("," is due next business day (")&amp;TEXT($Y641,"dd-mmm")&amp;").","Next: "&amp;$Z641&amp;" due "&amp;TEXT($Y641,"dd-mmm")&amp;" ("&amp;(NETWORKDAYS(TODAY(),$Y641,Holidays)-1)&amp;" business day(s) left).")))))</f>
        <v/>
      </c>
      <c r="V641" s="17">
        <f>IF($W641="","",CHOOSE($W641,"Collection Email","1st Follow-up","2nd Follow-up","Local Office","CBE","Roxanne")&amp;IF($W641=6," - Final"," - Day "&amp;MAX(0,NETWORKDAYS($X641,TODAY(),Holidays)-1)&amp;" of "&amp;CHOOSE($W641,3,3,2,2,3))&amp;" | Total Day "&amp;MAX(0,NETWORKDAYS($L641,TODAY(),Holidays)-1))</f>
        <v/>
      </c>
      <c r="W641" s="17">
        <f>IF($L641="","",COUNT($L641:$Q641))</f>
        <v/>
      </c>
      <c r="X641" s="18">
        <f>IF($W641="","",INT(INDEX($L641:$Q641,$W641)))</f>
        <v/>
      </c>
      <c r="Y641" s="18">
        <f>IF(OR($W641="",$W641=6),"",WORKDAY($X641,CHOOSE($W641,3,3,2,2,3),Holidays))</f>
        <v/>
      </c>
      <c r="Z641" s="17">
        <f>IF(OR($W641="",$W641=6),"",CHOOSE($W641,"1st Email Follow-up","2nd Email Follow-up","Escalate Local Office","Escalate to CBE","Escalate to Roxanne"))</f>
        <v/>
      </c>
    </row>
    <row r="642" spans="18:26">
      <c r="R642" s="15"/>
      <c r="S642" s="16"/>
      <c r="T642" s="17">
        <f>IF(AND(COUNTA($A642:$K642)=0,$L642=""),"",IF($S642="Paid","PAID",IF($S642="Closed","CLOSED",IF($W642="","",IF($W642=6,"ESCALATED TO ROXANNE",IF(TODAY()&gt;$Y642,"OVERDUE",IF($Y642&lt;=WORKDAY(TODAY(),1,Holidays),"DUE TOMORROW",IF($W642=4,"ESCALATED TO LOCAL OFFICE",IF($W642=5,"ESCALATED TO CBE",IF($X642=TODAY(),"EMAIL SENT","MONITORING"))))))))))</f>
        <v/>
      </c>
      <c r="U642" s="17">
        <f>IF($T642="",IF(AND(COUNTA($A642:$K642)&gt;0,$L642=""),"Awaiting Collection Email time stamp.",""),IF(OR($T642="PAID",$T642="CLOSED"),IF($T642="PAID","Account paid. Action completed.","Account closed. No further action required."),CHOOSE($W642,"Collection Email","1st Email Follow-up","2nd Email Follow-up","Escalation to Local Office","Escalation to CBE","Escalation to Roxanne")&amp;" sent "&amp;TEXT($X642,"dd-mmm")&amp;". "&amp;IF($W642=6,"Final escalation completed.",IF($T642="OVERDUE","Next: "&amp;$Z642&amp;" was due "&amp;TEXT($Y642,"dd-mmm")&amp;" - "&amp;(NETWORKDAYS($Y642,TODAY(),Holidays)-1)&amp;" business day(s) late. Send now.",IF($T642="DUE TOMORROW","Next: "&amp;$Z642&amp;IF($Y642&lt;=TODAY()," is due TODAY ("," is due next business day (")&amp;TEXT($Y642,"dd-mmm")&amp;").","Next: "&amp;$Z642&amp;" due "&amp;TEXT($Y642,"dd-mmm")&amp;" ("&amp;(NETWORKDAYS(TODAY(),$Y642,Holidays)-1)&amp;" business day(s) left).")))))</f>
        <v/>
      </c>
      <c r="V642" s="17">
        <f>IF($W642="","",CHOOSE($W642,"Collection Email","1st Follow-up","2nd Follow-up","Local Office","CBE","Roxanne")&amp;IF($W642=6," - Final"," - Day "&amp;MAX(0,NETWORKDAYS($X642,TODAY(),Holidays)-1)&amp;" of "&amp;CHOOSE($W642,3,3,2,2,3))&amp;" | Total Day "&amp;MAX(0,NETWORKDAYS($L642,TODAY(),Holidays)-1))</f>
        <v/>
      </c>
      <c r="W642" s="17">
        <f>IF($L642="","",COUNT($L642:$Q642))</f>
        <v/>
      </c>
      <c r="X642" s="18">
        <f>IF($W642="","",INT(INDEX($L642:$Q642,$W642)))</f>
        <v/>
      </c>
      <c r="Y642" s="18">
        <f>IF(OR($W642="",$W642=6),"",WORKDAY($X642,CHOOSE($W642,3,3,2,2,3),Holidays))</f>
        <v/>
      </c>
      <c r="Z642" s="17">
        <f>IF(OR($W642="",$W642=6),"",CHOOSE($W642,"1st Email Follow-up","2nd Email Follow-up","Escalate Local Office","Escalate to CBE","Escalate to Roxanne"))</f>
        <v/>
      </c>
    </row>
    <row r="643" spans="18:26">
      <c r="R643" s="15"/>
      <c r="S643" s="16"/>
      <c r="T643" s="17">
        <f>IF(AND(COUNTA($A643:$K643)=0,$L643=""),"",IF($S643="Paid","PAID",IF($S643="Closed","CLOSED",IF($W643="","",IF($W643=6,"ESCALATED TO ROXANNE",IF(TODAY()&gt;$Y643,"OVERDUE",IF($Y643&lt;=WORKDAY(TODAY(),1,Holidays),"DUE TOMORROW",IF($W643=4,"ESCALATED TO LOCAL OFFICE",IF($W643=5,"ESCALATED TO CBE",IF($X643=TODAY(),"EMAIL SENT","MONITORING"))))))))))</f>
        <v/>
      </c>
      <c r="U643" s="17">
        <f>IF($T643="",IF(AND(COUNTA($A643:$K643)&gt;0,$L643=""),"Awaiting Collection Email time stamp.",""),IF(OR($T643="PAID",$T643="CLOSED"),IF($T643="PAID","Account paid. Action completed.","Account closed. No further action required."),CHOOSE($W643,"Collection Email","1st Email Follow-up","2nd Email Follow-up","Escalation to Local Office","Escalation to CBE","Escalation to Roxanne")&amp;" sent "&amp;TEXT($X643,"dd-mmm")&amp;". "&amp;IF($W643=6,"Final escalation completed.",IF($T643="OVERDUE","Next: "&amp;$Z643&amp;" was due "&amp;TEXT($Y643,"dd-mmm")&amp;" - "&amp;(NETWORKDAYS($Y643,TODAY(),Holidays)-1)&amp;" business day(s) late. Send now.",IF($T643="DUE TOMORROW","Next: "&amp;$Z643&amp;IF($Y643&lt;=TODAY()," is due TODAY ("," is due next business day (")&amp;TEXT($Y643,"dd-mmm")&amp;").","Next: "&amp;$Z643&amp;" due "&amp;TEXT($Y643,"dd-mmm")&amp;" ("&amp;(NETWORKDAYS(TODAY(),$Y643,Holidays)-1)&amp;" business day(s) left).")))))</f>
        <v/>
      </c>
      <c r="V643" s="17">
        <f>IF($W643="","",CHOOSE($W643,"Collection Email","1st Follow-up","2nd Follow-up","Local Office","CBE","Roxanne")&amp;IF($W643=6," - Final"," - Day "&amp;MAX(0,NETWORKDAYS($X643,TODAY(),Holidays)-1)&amp;" of "&amp;CHOOSE($W643,3,3,2,2,3))&amp;" | Total Day "&amp;MAX(0,NETWORKDAYS($L643,TODAY(),Holidays)-1))</f>
        <v/>
      </c>
      <c r="W643" s="17">
        <f>IF($L643="","",COUNT($L643:$Q643))</f>
        <v/>
      </c>
      <c r="X643" s="18">
        <f>IF($W643="","",INT(INDEX($L643:$Q643,$W643)))</f>
        <v/>
      </c>
      <c r="Y643" s="18">
        <f>IF(OR($W643="",$W643=6),"",WORKDAY($X643,CHOOSE($W643,3,3,2,2,3),Holidays))</f>
        <v/>
      </c>
      <c r="Z643" s="17">
        <f>IF(OR($W643="",$W643=6),"",CHOOSE($W643,"1st Email Follow-up","2nd Email Follow-up","Escalate Local Office","Escalate to CBE","Escalate to Roxanne"))</f>
        <v/>
      </c>
    </row>
    <row r="644" spans="18:26">
      <c r="R644" s="15"/>
      <c r="S644" s="16"/>
      <c r="T644" s="17">
        <f>IF(AND(COUNTA($A644:$K644)=0,$L644=""),"",IF($S644="Paid","PAID",IF($S644="Closed","CLOSED",IF($W644="","",IF($W644=6,"ESCALATED TO ROXANNE",IF(TODAY()&gt;$Y644,"OVERDUE",IF($Y644&lt;=WORKDAY(TODAY(),1,Holidays),"DUE TOMORROW",IF($W644=4,"ESCALATED TO LOCAL OFFICE",IF($W644=5,"ESCALATED TO CBE",IF($X644=TODAY(),"EMAIL SENT","MONITORING"))))))))))</f>
        <v/>
      </c>
      <c r="U644" s="17">
        <f>IF($T644="",IF(AND(COUNTA($A644:$K644)&gt;0,$L644=""),"Awaiting Collection Email time stamp.",""),IF(OR($T644="PAID",$T644="CLOSED"),IF($T644="PAID","Account paid. Action completed.","Account closed. No further action required."),CHOOSE($W644,"Collection Email","1st Email Follow-up","2nd Email Follow-up","Escalation to Local Office","Escalation to CBE","Escalation to Roxanne")&amp;" sent "&amp;TEXT($X644,"dd-mmm")&amp;". "&amp;IF($W644=6,"Final escalation completed.",IF($T644="OVERDUE","Next: "&amp;$Z644&amp;" was due "&amp;TEXT($Y644,"dd-mmm")&amp;" - "&amp;(NETWORKDAYS($Y644,TODAY(),Holidays)-1)&amp;" business day(s) late. Send now.",IF($T644="DUE TOMORROW","Next: "&amp;$Z644&amp;IF($Y644&lt;=TODAY()," is due TODAY ("," is due next business day (")&amp;TEXT($Y644,"dd-mmm")&amp;").","Next: "&amp;$Z644&amp;" due "&amp;TEXT($Y644,"dd-mmm")&amp;" ("&amp;(NETWORKDAYS(TODAY(),$Y644,Holidays)-1)&amp;" business day(s) left).")))))</f>
        <v/>
      </c>
      <c r="V644" s="17">
        <f>IF($W644="","",CHOOSE($W644,"Collection Email","1st Follow-up","2nd Follow-up","Local Office","CBE","Roxanne")&amp;IF($W644=6," - Final"," - Day "&amp;MAX(0,NETWORKDAYS($X644,TODAY(),Holidays)-1)&amp;" of "&amp;CHOOSE($W644,3,3,2,2,3))&amp;" | Total Day "&amp;MAX(0,NETWORKDAYS($L644,TODAY(),Holidays)-1))</f>
        <v/>
      </c>
      <c r="W644" s="17">
        <f>IF($L644="","",COUNT($L644:$Q644))</f>
        <v/>
      </c>
      <c r="X644" s="18">
        <f>IF($W644="","",INT(INDEX($L644:$Q644,$W644)))</f>
        <v/>
      </c>
      <c r="Y644" s="18">
        <f>IF(OR($W644="",$W644=6),"",WORKDAY($X644,CHOOSE($W644,3,3,2,2,3),Holidays))</f>
        <v/>
      </c>
      <c r="Z644" s="17">
        <f>IF(OR($W644="",$W644=6),"",CHOOSE($W644,"1st Email Follow-up","2nd Email Follow-up","Escalate Local Office","Escalate to CBE","Escalate to Roxanne"))</f>
        <v/>
      </c>
    </row>
    <row r="645" spans="18:26">
      <c r="R645" s="15"/>
      <c r="S645" s="16"/>
      <c r="T645" s="17">
        <f>IF(AND(COUNTA($A645:$K645)=0,$L645=""),"",IF($S645="Paid","PAID",IF($S645="Closed","CLOSED",IF($W645="","",IF($W645=6,"ESCALATED TO ROXANNE",IF(TODAY()&gt;$Y645,"OVERDUE",IF($Y645&lt;=WORKDAY(TODAY(),1,Holidays),"DUE TOMORROW",IF($W645=4,"ESCALATED TO LOCAL OFFICE",IF($W645=5,"ESCALATED TO CBE",IF($X645=TODAY(),"EMAIL SENT","MONITORING"))))))))))</f>
        <v/>
      </c>
      <c r="U645" s="17">
        <f>IF($T645="",IF(AND(COUNTA($A645:$K645)&gt;0,$L645=""),"Awaiting Collection Email time stamp.",""),IF(OR($T645="PAID",$T645="CLOSED"),IF($T645="PAID","Account paid. Action completed.","Account closed. No further action required."),CHOOSE($W645,"Collection Email","1st Email Follow-up","2nd Email Follow-up","Escalation to Local Office","Escalation to CBE","Escalation to Roxanne")&amp;" sent "&amp;TEXT($X645,"dd-mmm")&amp;". "&amp;IF($W645=6,"Final escalation completed.",IF($T645="OVERDUE","Next: "&amp;$Z645&amp;" was due "&amp;TEXT($Y645,"dd-mmm")&amp;" - "&amp;(NETWORKDAYS($Y645,TODAY(),Holidays)-1)&amp;" business day(s) late. Send now.",IF($T645="DUE TOMORROW","Next: "&amp;$Z645&amp;IF($Y645&lt;=TODAY()," is due TODAY ("," is due next business day (")&amp;TEXT($Y645,"dd-mmm")&amp;").","Next: "&amp;$Z645&amp;" due "&amp;TEXT($Y645,"dd-mmm")&amp;" ("&amp;(NETWORKDAYS(TODAY(),$Y645,Holidays)-1)&amp;" business day(s) left).")))))</f>
        <v/>
      </c>
      <c r="V645" s="17">
        <f>IF($W645="","",CHOOSE($W645,"Collection Email","1st Follow-up","2nd Follow-up","Local Office","CBE","Roxanne")&amp;IF($W645=6," - Final"," - Day "&amp;MAX(0,NETWORKDAYS($X645,TODAY(),Holidays)-1)&amp;" of "&amp;CHOOSE($W645,3,3,2,2,3))&amp;" | Total Day "&amp;MAX(0,NETWORKDAYS($L645,TODAY(),Holidays)-1))</f>
        <v/>
      </c>
      <c r="W645" s="17">
        <f>IF($L645="","",COUNT($L645:$Q645))</f>
        <v/>
      </c>
      <c r="X645" s="18">
        <f>IF($W645="","",INT(INDEX($L645:$Q645,$W645)))</f>
        <v/>
      </c>
      <c r="Y645" s="18">
        <f>IF(OR($W645="",$W645=6),"",WORKDAY($X645,CHOOSE($W645,3,3,2,2,3),Holidays))</f>
        <v/>
      </c>
      <c r="Z645" s="17">
        <f>IF(OR($W645="",$W645=6),"",CHOOSE($W645,"1st Email Follow-up","2nd Email Follow-up","Escalate Local Office","Escalate to CBE","Escalate to Roxanne"))</f>
        <v/>
      </c>
    </row>
    <row r="646" spans="18:26">
      <c r="R646" s="15"/>
      <c r="S646" s="16"/>
      <c r="T646" s="17">
        <f>IF(AND(COUNTA($A646:$K646)=0,$L646=""),"",IF($S646="Paid","PAID",IF($S646="Closed","CLOSED",IF($W646="","",IF($W646=6,"ESCALATED TO ROXANNE",IF(TODAY()&gt;$Y646,"OVERDUE",IF($Y646&lt;=WORKDAY(TODAY(),1,Holidays),"DUE TOMORROW",IF($W646=4,"ESCALATED TO LOCAL OFFICE",IF($W646=5,"ESCALATED TO CBE",IF($X646=TODAY(),"EMAIL SENT","MONITORING"))))))))))</f>
        <v/>
      </c>
      <c r="U646" s="17">
        <f>IF($T646="",IF(AND(COUNTA($A646:$K646)&gt;0,$L646=""),"Awaiting Collection Email time stamp.",""),IF(OR($T646="PAID",$T646="CLOSED"),IF($T646="PAID","Account paid. Action completed.","Account closed. No further action required."),CHOOSE($W646,"Collection Email","1st Email Follow-up","2nd Email Follow-up","Escalation to Local Office","Escalation to CBE","Escalation to Roxanne")&amp;" sent "&amp;TEXT($X646,"dd-mmm")&amp;". "&amp;IF($W646=6,"Final escalation completed.",IF($T646="OVERDUE","Next: "&amp;$Z646&amp;" was due "&amp;TEXT($Y646,"dd-mmm")&amp;" - "&amp;(NETWORKDAYS($Y646,TODAY(),Holidays)-1)&amp;" business day(s) late. Send now.",IF($T646="DUE TOMORROW","Next: "&amp;$Z646&amp;IF($Y646&lt;=TODAY()," is due TODAY ("," is due next business day (")&amp;TEXT($Y646,"dd-mmm")&amp;").","Next: "&amp;$Z646&amp;" due "&amp;TEXT($Y646,"dd-mmm")&amp;" ("&amp;(NETWORKDAYS(TODAY(),$Y646,Holidays)-1)&amp;" business day(s) left).")))))</f>
        <v/>
      </c>
      <c r="V646" s="17">
        <f>IF($W646="","",CHOOSE($W646,"Collection Email","1st Follow-up","2nd Follow-up","Local Office","CBE","Roxanne")&amp;IF($W646=6," - Final"," - Day "&amp;MAX(0,NETWORKDAYS($X646,TODAY(),Holidays)-1)&amp;" of "&amp;CHOOSE($W646,3,3,2,2,3))&amp;" | Total Day "&amp;MAX(0,NETWORKDAYS($L646,TODAY(),Holidays)-1))</f>
        <v/>
      </c>
      <c r="W646" s="17">
        <f>IF($L646="","",COUNT($L646:$Q646))</f>
        <v/>
      </c>
      <c r="X646" s="18">
        <f>IF($W646="","",INT(INDEX($L646:$Q646,$W646)))</f>
        <v/>
      </c>
      <c r="Y646" s="18">
        <f>IF(OR($W646="",$W646=6),"",WORKDAY($X646,CHOOSE($W646,3,3,2,2,3),Holidays))</f>
        <v/>
      </c>
      <c r="Z646" s="17">
        <f>IF(OR($W646="",$W646=6),"",CHOOSE($W646,"1st Email Follow-up","2nd Email Follow-up","Escalate Local Office","Escalate to CBE","Escalate to Roxanne"))</f>
        <v/>
      </c>
    </row>
    <row r="647" spans="18:26">
      <c r="R647" s="15"/>
      <c r="S647" s="16"/>
      <c r="T647" s="17">
        <f>IF(AND(COUNTA($A647:$K647)=0,$L647=""),"",IF($S647="Paid","PAID",IF($S647="Closed","CLOSED",IF($W647="","",IF($W647=6,"ESCALATED TO ROXANNE",IF(TODAY()&gt;$Y647,"OVERDUE",IF($Y647&lt;=WORKDAY(TODAY(),1,Holidays),"DUE TOMORROW",IF($W647=4,"ESCALATED TO LOCAL OFFICE",IF($W647=5,"ESCALATED TO CBE",IF($X647=TODAY(),"EMAIL SENT","MONITORING"))))))))))</f>
        <v/>
      </c>
      <c r="U647" s="17">
        <f>IF($T647="",IF(AND(COUNTA($A647:$K647)&gt;0,$L647=""),"Awaiting Collection Email time stamp.",""),IF(OR($T647="PAID",$T647="CLOSED"),IF($T647="PAID","Account paid. Action completed.","Account closed. No further action required."),CHOOSE($W647,"Collection Email","1st Email Follow-up","2nd Email Follow-up","Escalation to Local Office","Escalation to CBE","Escalation to Roxanne")&amp;" sent "&amp;TEXT($X647,"dd-mmm")&amp;". "&amp;IF($W647=6,"Final escalation completed.",IF($T647="OVERDUE","Next: "&amp;$Z647&amp;" was due "&amp;TEXT($Y647,"dd-mmm")&amp;" - "&amp;(NETWORKDAYS($Y647,TODAY(),Holidays)-1)&amp;" business day(s) late. Send now.",IF($T647="DUE TOMORROW","Next: "&amp;$Z647&amp;IF($Y647&lt;=TODAY()," is due TODAY ("," is due next business day (")&amp;TEXT($Y647,"dd-mmm")&amp;").","Next: "&amp;$Z647&amp;" due "&amp;TEXT($Y647,"dd-mmm")&amp;" ("&amp;(NETWORKDAYS(TODAY(),$Y647,Holidays)-1)&amp;" business day(s) left).")))))</f>
        <v/>
      </c>
      <c r="V647" s="17">
        <f>IF($W647="","",CHOOSE($W647,"Collection Email","1st Follow-up","2nd Follow-up","Local Office","CBE","Roxanne")&amp;IF($W647=6," - Final"," - Day "&amp;MAX(0,NETWORKDAYS($X647,TODAY(),Holidays)-1)&amp;" of "&amp;CHOOSE($W647,3,3,2,2,3))&amp;" | Total Day "&amp;MAX(0,NETWORKDAYS($L647,TODAY(),Holidays)-1))</f>
        <v/>
      </c>
      <c r="W647" s="17">
        <f>IF($L647="","",COUNT($L647:$Q647))</f>
        <v/>
      </c>
      <c r="X647" s="18">
        <f>IF($W647="","",INT(INDEX($L647:$Q647,$W647)))</f>
        <v/>
      </c>
      <c r="Y647" s="18">
        <f>IF(OR($W647="",$W647=6),"",WORKDAY($X647,CHOOSE($W647,3,3,2,2,3),Holidays))</f>
        <v/>
      </c>
      <c r="Z647" s="17">
        <f>IF(OR($W647="",$W647=6),"",CHOOSE($W647,"1st Email Follow-up","2nd Email Follow-up","Escalate Local Office","Escalate to CBE","Escalate to Roxanne"))</f>
        <v/>
      </c>
    </row>
    <row r="648" spans="18:26">
      <c r="R648" s="15"/>
      <c r="S648" s="16"/>
      <c r="T648" s="17">
        <f>IF(AND(COUNTA($A648:$K648)=0,$L648=""),"",IF($S648="Paid","PAID",IF($S648="Closed","CLOSED",IF($W648="","",IF($W648=6,"ESCALATED TO ROXANNE",IF(TODAY()&gt;$Y648,"OVERDUE",IF($Y648&lt;=WORKDAY(TODAY(),1,Holidays),"DUE TOMORROW",IF($W648=4,"ESCALATED TO LOCAL OFFICE",IF($W648=5,"ESCALATED TO CBE",IF($X648=TODAY(),"EMAIL SENT","MONITORING"))))))))))</f>
        <v/>
      </c>
      <c r="U648" s="17">
        <f>IF($T648="",IF(AND(COUNTA($A648:$K648)&gt;0,$L648=""),"Awaiting Collection Email time stamp.",""),IF(OR($T648="PAID",$T648="CLOSED"),IF($T648="PAID","Account paid. Action completed.","Account closed. No further action required."),CHOOSE($W648,"Collection Email","1st Email Follow-up","2nd Email Follow-up","Escalation to Local Office","Escalation to CBE","Escalation to Roxanne")&amp;" sent "&amp;TEXT($X648,"dd-mmm")&amp;". "&amp;IF($W648=6,"Final escalation completed.",IF($T648="OVERDUE","Next: "&amp;$Z648&amp;" was due "&amp;TEXT($Y648,"dd-mmm")&amp;" - "&amp;(NETWORKDAYS($Y648,TODAY(),Holidays)-1)&amp;" business day(s) late. Send now.",IF($T648="DUE TOMORROW","Next: "&amp;$Z648&amp;IF($Y648&lt;=TODAY()," is due TODAY ("," is due next business day (")&amp;TEXT($Y648,"dd-mmm")&amp;").","Next: "&amp;$Z648&amp;" due "&amp;TEXT($Y648,"dd-mmm")&amp;" ("&amp;(NETWORKDAYS(TODAY(),$Y648,Holidays)-1)&amp;" business day(s) left).")))))</f>
        <v/>
      </c>
      <c r="V648" s="17">
        <f>IF($W648="","",CHOOSE($W648,"Collection Email","1st Follow-up","2nd Follow-up","Local Office","CBE","Roxanne")&amp;IF($W648=6," - Final"," - Day "&amp;MAX(0,NETWORKDAYS($X648,TODAY(),Holidays)-1)&amp;" of "&amp;CHOOSE($W648,3,3,2,2,3))&amp;" | Total Day "&amp;MAX(0,NETWORKDAYS($L648,TODAY(),Holidays)-1))</f>
        <v/>
      </c>
      <c r="W648" s="17">
        <f>IF($L648="","",COUNT($L648:$Q648))</f>
        <v/>
      </c>
      <c r="X648" s="18">
        <f>IF($W648="","",INT(INDEX($L648:$Q648,$W648)))</f>
        <v/>
      </c>
      <c r="Y648" s="18">
        <f>IF(OR($W648="",$W648=6),"",WORKDAY($X648,CHOOSE($W648,3,3,2,2,3),Holidays))</f>
        <v/>
      </c>
      <c r="Z648" s="17">
        <f>IF(OR($W648="",$W648=6),"",CHOOSE($W648,"1st Email Follow-up","2nd Email Follow-up","Escalate Local Office","Escalate to CBE","Escalate to Roxanne"))</f>
        <v/>
      </c>
    </row>
    <row r="649" spans="18:26">
      <c r="R649" s="15"/>
      <c r="S649" s="16"/>
      <c r="T649" s="17">
        <f>IF(AND(COUNTA($A649:$K649)=0,$L649=""),"",IF($S649="Paid","PAID",IF($S649="Closed","CLOSED",IF($W649="","",IF($W649=6,"ESCALATED TO ROXANNE",IF(TODAY()&gt;$Y649,"OVERDUE",IF($Y649&lt;=WORKDAY(TODAY(),1,Holidays),"DUE TOMORROW",IF($W649=4,"ESCALATED TO LOCAL OFFICE",IF($W649=5,"ESCALATED TO CBE",IF($X649=TODAY(),"EMAIL SENT","MONITORING"))))))))))</f>
        <v/>
      </c>
      <c r="U649" s="17">
        <f>IF($T649="",IF(AND(COUNTA($A649:$K649)&gt;0,$L649=""),"Awaiting Collection Email time stamp.",""),IF(OR($T649="PAID",$T649="CLOSED"),IF($T649="PAID","Account paid. Action completed.","Account closed. No further action required."),CHOOSE($W649,"Collection Email","1st Email Follow-up","2nd Email Follow-up","Escalation to Local Office","Escalation to CBE","Escalation to Roxanne")&amp;" sent "&amp;TEXT($X649,"dd-mmm")&amp;". "&amp;IF($W649=6,"Final escalation completed.",IF($T649="OVERDUE","Next: "&amp;$Z649&amp;" was due "&amp;TEXT($Y649,"dd-mmm")&amp;" - "&amp;(NETWORKDAYS($Y649,TODAY(),Holidays)-1)&amp;" business day(s) late. Send now.",IF($T649="DUE TOMORROW","Next: "&amp;$Z649&amp;IF($Y649&lt;=TODAY()," is due TODAY ("," is due next business day (")&amp;TEXT($Y649,"dd-mmm")&amp;").","Next: "&amp;$Z649&amp;" due "&amp;TEXT($Y649,"dd-mmm")&amp;" ("&amp;(NETWORKDAYS(TODAY(),$Y649,Holidays)-1)&amp;" business day(s) left).")))))</f>
        <v/>
      </c>
      <c r="V649" s="17">
        <f>IF($W649="","",CHOOSE($W649,"Collection Email","1st Follow-up","2nd Follow-up","Local Office","CBE","Roxanne")&amp;IF($W649=6," - Final"," - Day "&amp;MAX(0,NETWORKDAYS($X649,TODAY(),Holidays)-1)&amp;" of "&amp;CHOOSE($W649,3,3,2,2,3))&amp;" | Total Day "&amp;MAX(0,NETWORKDAYS($L649,TODAY(),Holidays)-1))</f>
        <v/>
      </c>
      <c r="W649" s="17">
        <f>IF($L649="","",COUNT($L649:$Q649))</f>
        <v/>
      </c>
      <c r="X649" s="18">
        <f>IF($W649="","",INT(INDEX($L649:$Q649,$W649)))</f>
        <v/>
      </c>
      <c r="Y649" s="18">
        <f>IF(OR($W649="",$W649=6),"",WORKDAY($X649,CHOOSE($W649,3,3,2,2,3),Holidays))</f>
        <v/>
      </c>
      <c r="Z649" s="17">
        <f>IF(OR($W649="",$W649=6),"",CHOOSE($W649,"1st Email Follow-up","2nd Email Follow-up","Escalate Local Office","Escalate to CBE","Escalate to Roxanne"))</f>
        <v/>
      </c>
    </row>
    <row r="650" spans="18:26">
      <c r="R650" s="15"/>
      <c r="S650" s="16"/>
      <c r="T650" s="17">
        <f>IF(AND(COUNTA($A650:$K650)=0,$L650=""),"",IF($S650="Paid","PAID",IF($S650="Closed","CLOSED",IF($W650="","",IF($W650=6,"ESCALATED TO ROXANNE",IF(TODAY()&gt;$Y650,"OVERDUE",IF($Y650&lt;=WORKDAY(TODAY(),1,Holidays),"DUE TOMORROW",IF($W650=4,"ESCALATED TO LOCAL OFFICE",IF($W650=5,"ESCALATED TO CBE",IF($X650=TODAY(),"EMAIL SENT","MONITORING"))))))))))</f>
        <v/>
      </c>
      <c r="U650" s="17">
        <f>IF($T650="",IF(AND(COUNTA($A650:$K650)&gt;0,$L650=""),"Awaiting Collection Email time stamp.",""),IF(OR($T650="PAID",$T650="CLOSED"),IF($T650="PAID","Account paid. Action completed.","Account closed. No further action required."),CHOOSE($W650,"Collection Email","1st Email Follow-up","2nd Email Follow-up","Escalation to Local Office","Escalation to CBE","Escalation to Roxanne")&amp;" sent "&amp;TEXT($X650,"dd-mmm")&amp;". "&amp;IF($W650=6,"Final escalation completed.",IF($T650="OVERDUE","Next: "&amp;$Z650&amp;" was due "&amp;TEXT($Y650,"dd-mmm")&amp;" - "&amp;(NETWORKDAYS($Y650,TODAY(),Holidays)-1)&amp;" business day(s) late. Send now.",IF($T650="DUE TOMORROW","Next: "&amp;$Z650&amp;IF($Y650&lt;=TODAY()," is due TODAY ("," is due next business day (")&amp;TEXT($Y650,"dd-mmm")&amp;").","Next: "&amp;$Z650&amp;" due "&amp;TEXT($Y650,"dd-mmm")&amp;" ("&amp;(NETWORKDAYS(TODAY(),$Y650,Holidays)-1)&amp;" business day(s) left).")))))</f>
        <v/>
      </c>
      <c r="V650" s="17">
        <f>IF($W650="","",CHOOSE($W650,"Collection Email","1st Follow-up","2nd Follow-up","Local Office","CBE","Roxanne")&amp;IF($W650=6," - Final"," - Day "&amp;MAX(0,NETWORKDAYS($X650,TODAY(),Holidays)-1)&amp;" of "&amp;CHOOSE($W650,3,3,2,2,3))&amp;" | Total Day "&amp;MAX(0,NETWORKDAYS($L650,TODAY(),Holidays)-1))</f>
        <v/>
      </c>
      <c r="W650" s="17">
        <f>IF($L650="","",COUNT($L650:$Q650))</f>
        <v/>
      </c>
      <c r="X650" s="18">
        <f>IF($W650="","",INT(INDEX($L650:$Q650,$W650)))</f>
        <v/>
      </c>
      <c r="Y650" s="18">
        <f>IF(OR($W650="",$W650=6),"",WORKDAY($X650,CHOOSE($W650,3,3,2,2,3),Holidays))</f>
        <v/>
      </c>
      <c r="Z650" s="17">
        <f>IF(OR($W650="",$W650=6),"",CHOOSE($W650,"1st Email Follow-up","2nd Email Follow-up","Escalate Local Office","Escalate to CBE","Escalate to Roxanne"))</f>
        <v/>
      </c>
    </row>
    <row r="651" spans="18:26">
      <c r="R651" s="15"/>
      <c r="S651" s="16"/>
      <c r="T651" s="17">
        <f>IF(AND(COUNTA($A651:$K651)=0,$L651=""),"",IF($S651="Paid","PAID",IF($S651="Closed","CLOSED",IF($W651="","",IF($W651=6,"ESCALATED TO ROXANNE",IF(TODAY()&gt;$Y651,"OVERDUE",IF($Y651&lt;=WORKDAY(TODAY(),1,Holidays),"DUE TOMORROW",IF($W651=4,"ESCALATED TO LOCAL OFFICE",IF($W651=5,"ESCALATED TO CBE",IF($X651=TODAY(),"EMAIL SENT","MONITORING"))))))))))</f>
        <v/>
      </c>
      <c r="U651" s="17">
        <f>IF($T651="",IF(AND(COUNTA($A651:$K651)&gt;0,$L651=""),"Awaiting Collection Email time stamp.",""),IF(OR($T651="PAID",$T651="CLOSED"),IF($T651="PAID","Account paid. Action completed.","Account closed. No further action required."),CHOOSE($W651,"Collection Email","1st Email Follow-up","2nd Email Follow-up","Escalation to Local Office","Escalation to CBE","Escalation to Roxanne")&amp;" sent "&amp;TEXT($X651,"dd-mmm")&amp;". "&amp;IF($W651=6,"Final escalation completed.",IF($T651="OVERDUE","Next: "&amp;$Z651&amp;" was due "&amp;TEXT($Y651,"dd-mmm")&amp;" - "&amp;(NETWORKDAYS($Y651,TODAY(),Holidays)-1)&amp;" business day(s) late. Send now.",IF($T651="DUE TOMORROW","Next: "&amp;$Z651&amp;IF($Y651&lt;=TODAY()," is due TODAY ("," is due next business day (")&amp;TEXT($Y651,"dd-mmm")&amp;").","Next: "&amp;$Z651&amp;" due "&amp;TEXT($Y651,"dd-mmm")&amp;" ("&amp;(NETWORKDAYS(TODAY(),$Y651,Holidays)-1)&amp;" business day(s) left).")))))</f>
        <v/>
      </c>
      <c r="V651" s="17">
        <f>IF($W651="","",CHOOSE($W651,"Collection Email","1st Follow-up","2nd Follow-up","Local Office","CBE","Roxanne")&amp;IF($W651=6," - Final"," - Day "&amp;MAX(0,NETWORKDAYS($X651,TODAY(),Holidays)-1)&amp;" of "&amp;CHOOSE($W651,3,3,2,2,3))&amp;" | Total Day "&amp;MAX(0,NETWORKDAYS($L651,TODAY(),Holidays)-1))</f>
        <v/>
      </c>
      <c r="W651" s="17">
        <f>IF($L651="","",COUNT($L651:$Q651))</f>
        <v/>
      </c>
      <c r="X651" s="18">
        <f>IF($W651="","",INT(INDEX($L651:$Q651,$W651)))</f>
        <v/>
      </c>
      <c r="Y651" s="18">
        <f>IF(OR($W651="",$W651=6),"",WORKDAY($X651,CHOOSE($W651,3,3,2,2,3),Holidays))</f>
        <v/>
      </c>
      <c r="Z651" s="17">
        <f>IF(OR($W651="",$W651=6),"",CHOOSE($W651,"1st Email Follow-up","2nd Email Follow-up","Escalate Local Office","Escalate to CBE","Escalate to Roxanne"))</f>
        <v/>
      </c>
    </row>
    <row r="652" spans="18:26">
      <c r="R652" s="15"/>
      <c r="S652" s="16"/>
      <c r="T652" s="17">
        <f>IF(AND(COUNTA($A652:$K652)=0,$L652=""),"",IF($S652="Paid","PAID",IF($S652="Closed","CLOSED",IF($W652="","",IF($W652=6,"ESCALATED TO ROXANNE",IF(TODAY()&gt;$Y652,"OVERDUE",IF($Y652&lt;=WORKDAY(TODAY(),1,Holidays),"DUE TOMORROW",IF($W652=4,"ESCALATED TO LOCAL OFFICE",IF($W652=5,"ESCALATED TO CBE",IF($X652=TODAY(),"EMAIL SENT","MONITORING"))))))))))</f>
        <v/>
      </c>
      <c r="U652" s="17">
        <f>IF($T652="",IF(AND(COUNTA($A652:$K652)&gt;0,$L652=""),"Awaiting Collection Email time stamp.",""),IF(OR($T652="PAID",$T652="CLOSED"),IF($T652="PAID","Account paid. Action completed.","Account closed. No further action required."),CHOOSE($W652,"Collection Email","1st Email Follow-up","2nd Email Follow-up","Escalation to Local Office","Escalation to CBE","Escalation to Roxanne")&amp;" sent "&amp;TEXT($X652,"dd-mmm")&amp;". "&amp;IF($W652=6,"Final escalation completed.",IF($T652="OVERDUE","Next: "&amp;$Z652&amp;" was due "&amp;TEXT($Y652,"dd-mmm")&amp;" - "&amp;(NETWORKDAYS($Y652,TODAY(),Holidays)-1)&amp;" business day(s) late. Send now.",IF($T652="DUE TOMORROW","Next: "&amp;$Z652&amp;IF($Y652&lt;=TODAY()," is due TODAY ("," is due next business day (")&amp;TEXT($Y652,"dd-mmm")&amp;").","Next: "&amp;$Z652&amp;" due "&amp;TEXT($Y652,"dd-mmm")&amp;" ("&amp;(NETWORKDAYS(TODAY(),$Y652,Holidays)-1)&amp;" business day(s) left).")))))</f>
        <v/>
      </c>
      <c r="V652" s="17">
        <f>IF($W652="","",CHOOSE($W652,"Collection Email","1st Follow-up","2nd Follow-up","Local Office","CBE","Roxanne")&amp;IF($W652=6," - Final"," - Day "&amp;MAX(0,NETWORKDAYS($X652,TODAY(),Holidays)-1)&amp;" of "&amp;CHOOSE($W652,3,3,2,2,3))&amp;" | Total Day "&amp;MAX(0,NETWORKDAYS($L652,TODAY(),Holidays)-1))</f>
        <v/>
      </c>
      <c r="W652" s="17">
        <f>IF($L652="","",COUNT($L652:$Q652))</f>
        <v/>
      </c>
      <c r="X652" s="18">
        <f>IF($W652="","",INT(INDEX($L652:$Q652,$W652)))</f>
        <v/>
      </c>
      <c r="Y652" s="18">
        <f>IF(OR($W652="",$W652=6),"",WORKDAY($X652,CHOOSE($W652,3,3,2,2,3),Holidays))</f>
        <v/>
      </c>
      <c r="Z652" s="17">
        <f>IF(OR($W652="",$W652=6),"",CHOOSE($W652,"1st Email Follow-up","2nd Email Follow-up","Escalate Local Office","Escalate to CBE","Escalate to Roxanne"))</f>
        <v/>
      </c>
    </row>
    <row r="653" spans="18:26">
      <c r="R653" s="15"/>
      <c r="S653" s="16"/>
      <c r="T653" s="17">
        <f>IF(AND(COUNTA($A653:$K653)=0,$L653=""),"",IF($S653="Paid","PAID",IF($S653="Closed","CLOSED",IF($W653="","",IF($W653=6,"ESCALATED TO ROXANNE",IF(TODAY()&gt;$Y653,"OVERDUE",IF($Y653&lt;=WORKDAY(TODAY(),1,Holidays),"DUE TOMORROW",IF($W653=4,"ESCALATED TO LOCAL OFFICE",IF($W653=5,"ESCALATED TO CBE",IF($X653=TODAY(),"EMAIL SENT","MONITORING"))))))))))</f>
        <v/>
      </c>
      <c r="U653" s="17">
        <f>IF($T653="",IF(AND(COUNTA($A653:$K653)&gt;0,$L653=""),"Awaiting Collection Email time stamp.",""),IF(OR($T653="PAID",$T653="CLOSED"),IF($T653="PAID","Account paid. Action completed.","Account closed. No further action required."),CHOOSE($W653,"Collection Email","1st Email Follow-up","2nd Email Follow-up","Escalation to Local Office","Escalation to CBE","Escalation to Roxanne")&amp;" sent "&amp;TEXT($X653,"dd-mmm")&amp;". "&amp;IF($W653=6,"Final escalation completed.",IF($T653="OVERDUE","Next: "&amp;$Z653&amp;" was due "&amp;TEXT($Y653,"dd-mmm")&amp;" - "&amp;(NETWORKDAYS($Y653,TODAY(),Holidays)-1)&amp;" business day(s) late. Send now.",IF($T653="DUE TOMORROW","Next: "&amp;$Z653&amp;IF($Y653&lt;=TODAY()," is due TODAY ("," is due next business day (")&amp;TEXT($Y653,"dd-mmm")&amp;").","Next: "&amp;$Z653&amp;" due "&amp;TEXT($Y653,"dd-mmm")&amp;" ("&amp;(NETWORKDAYS(TODAY(),$Y653,Holidays)-1)&amp;" business day(s) left).")))))</f>
        <v/>
      </c>
      <c r="V653" s="17">
        <f>IF($W653="","",CHOOSE($W653,"Collection Email","1st Follow-up","2nd Follow-up","Local Office","CBE","Roxanne")&amp;IF($W653=6," - Final"," - Day "&amp;MAX(0,NETWORKDAYS($X653,TODAY(),Holidays)-1)&amp;" of "&amp;CHOOSE($W653,3,3,2,2,3))&amp;" | Total Day "&amp;MAX(0,NETWORKDAYS($L653,TODAY(),Holidays)-1))</f>
        <v/>
      </c>
      <c r="W653" s="17">
        <f>IF($L653="","",COUNT($L653:$Q653))</f>
        <v/>
      </c>
      <c r="X653" s="18">
        <f>IF($W653="","",INT(INDEX($L653:$Q653,$W653)))</f>
        <v/>
      </c>
      <c r="Y653" s="18">
        <f>IF(OR($W653="",$W653=6),"",WORKDAY($X653,CHOOSE($W653,3,3,2,2,3),Holidays))</f>
        <v/>
      </c>
      <c r="Z653" s="17">
        <f>IF(OR($W653="",$W653=6),"",CHOOSE($W653,"1st Email Follow-up","2nd Email Follow-up","Escalate Local Office","Escalate to CBE","Escalate to Roxanne"))</f>
        <v/>
      </c>
    </row>
    <row r="654" spans="18:26">
      <c r="R654" s="15"/>
      <c r="S654" s="16"/>
      <c r="T654" s="17">
        <f>IF(AND(COUNTA($A654:$K654)=0,$L654=""),"",IF($S654="Paid","PAID",IF($S654="Closed","CLOSED",IF($W654="","",IF($W654=6,"ESCALATED TO ROXANNE",IF(TODAY()&gt;$Y654,"OVERDUE",IF($Y654&lt;=WORKDAY(TODAY(),1,Holidays),"DUE TOMORROW",IF($W654=4,"ESCALATED TO LOCAL OFFICE",IF($W654=5,"ESCALATED TO CBE",IF($X654=TODAY(),"EMAIL SENT","MONITORING"))))))))))</f>
        <v/>
      </c>
      <c r="U654" s="17">
        <f>IF($T654="",IF(AND(COUNTA($A654:$K654)&gt;0,$L654=""),"Awaiting Collection Email time stamp.",""),IF(OR($T654="PAID",$T654="CLOSED"),IF($T654="PAID","Account paid. Action completed.","Account closed. No further action required."),CHOOSE($W654,"Collection Email","1st Email Follow-up","2nd Email Follow-up","Escalation to Local Office","Escalation to CBE","Escalation to Roxanne")&amp;" sent "&amp;TEXT($X654,"dd-mmm")&amp;". "&amp;IF($W654=6,"Final escalation completed.",IF($T654="OVERDUE","Next: "&amp;$Z654&amp;" was due "&amp;TEXT($Y654,"dd-mmm")&amp;" - "&amp;(NETWORKDAYS($Y654,TODAY(),Holidays)-1)&amp;" business day(s) late. Send now.",IF($T654="DUE TOMORROW","Next: "&amp;$Z654&amp;IF($Y654&lt;=TODAY()," is due TODAY ("," is due next business day (")&amp;TEXT($Y654,"dd-mmm")&amp;").","Next: "&amp;$Z654&amp;" due "&amp;TEXT($Y654,"dd-mmm")&amp;" ("&amp;(NETWORKDAYS(TODAY(),$Y654,Holidays)-1)&amp;" business day(s) left).")))))</f>
        <v/>
      </c>
      <c r="V654" s="17">
        <f>IF($W654="","",CHOOSE($W654,"Collection Email","1st Follow-up","2nd Follow-up","Local Office","CBE","Roxanne")&amp;IF($W654=6," - Final"," - Day "&amp;MAX(0,NETWORKDAYS($X654,TODAY(),Holidays)-1)&amp;" of "&amp;CHOOSE($W654,3,3,2,2,3))&amp;" | Total Day "&amp;MAX(0,NETWORKDAYS($L654,TODAY(),Holidays)-1))</f>
        <v/>
      </c>
      <c r="W654" s="17">
        <f>IF($L654="","",COUNT($L654:$Q654))</f>
        <v/>
      </c>
      <c r="X654" s="18">
        <f>IF($W654="","",INT(INDEX($L654:$Q654,$W654)))</f>
        <v/>
      </c>
      <c r="Y654" s="18">
        <f>IF(OR($W654="",$W654=6),"",WORKDAY($X654,CHOOSE($W654,3,3,2,2,3),Holidays))</f>
        <v/>
      </c>
      <c r="Z654" s="17">
        <f>IF(OR($W654="",$W654=6),"",CHOOSE($W654,"1st Email Follow-up","2nd Email Follow-up","Escalate Local Office","Escalate to CBE","Escalate to Roxanne"))</f>
        <v/>
      </c>
    </row>
    <row r="655" spans="18:26">
      <c r="R655" s="15"/>
      <c r="S655" s="16"/>
      <c r="T655" s="17">
        <f>IF(AND(COUNTA($A655:$K655)=0,$L655=""),"",IF($S655="Paid","PAID",IF($S655="Closed","CLOSED",IF($W655="","",IF($W655=6,"ESCALATED TO ROXANNE",IF(TODAY()&gt;$Y655,"OVERDUE",IF($Y655&lt;=WORKDAY(TODAY(),1,Holidays),"DUE TOMORROW",IF($W655=4,"ESCALATED TO LOCAL OFFICE",IF($W655=5,"ESCALATED TO CBE",IF($X655=TODAY(),"EMAIL SENT","MONITORING"))))))))))</f>
        <v/>
      </c>
      <c r="U655" s="17">
        <f>IF($T655="",IF(AND(COUNTA($A655:$K655)&gt;0,$L655=""),"Awaiting Collection Email time stamp.",""),IF(OR($T655="PAID",$T655="CLOSED"),IF($T655="PAID","Account paid. Action completed.","Account closed. No further action required."),CHOOSE($W655,"Collection Email","1st Email Follow-up","2nd Email Follow-up","Escalation to Local Office","Escalation to CBE","Escalation to Roxanne")&amp;" sent "&amp;TEXT($X655,"dd-mmm")&amp;". "&amp;IF($W655=6,"Final escalation completed.",IF($T655="OVERDUE","Next: "&amp;$Z655&amp;" was due "&amp;TEXT($Y655,"dd-mmm")&amp;" - "&amp;(NETWORKDAYS($Y655,TODAY(),Holidays)-1)&amp;" business day(s) late. Send now.",IF($T655="DUE TOMORROW","Next: "&amp;$Z655&amp;IF($Y655&lt;=TODAY()," is due TODAY ("," is due next business day (")&amp;TEXT($Y655,"dd-mmm")&amp;").","Next: "&amp;$Z655&amp;" due "&amp;TEXT($Y655,"dd-mmm")&amp;" ("&amp;(NETWORKDAYS(TODAY(),$Y655,Holidays)-1)&amp;" business day(s) left).")))))</f>
        <v/>
      </c>
      <c r="V655" s="17">
        <f>IF($W655="","",CHOOSE($W655,"Collection Email","1st Follow-up","2nd Follow-up","Local Office","CBE","Roxanne")&amp;IF($W655=6," - Final"," - Day "&amp;MAX(0,NETWORKDAYS($X655,TODAY(),Holidays)-1)&amp;" of "&amp;CHOOSE($W655,3,3,2,2,3))&amp;" | Total Day "&amp;MAX(0,NETWORKDAYS($L655,TODAY(),Holidays)-1))</f>
        <v/>
      </c>
      <c r="W655" s="17">
        <f>IF($L655="","",COUNT($L655:$Q655))</f>
        <v/>
      </c>
      <c r="X655" s="18">
        <f>IF($W655="","",INT(INDEX($L655:$Q655,$W655)))</f>
        <v/>
      </c>
      <c r="Y655" s="18">
        <f>IF(OR($W655="",$W655=6),"",WORKDAY($X655,CHOOSE($W655,3,3,2,2,3),Holidays))</f>
        <v/>
      </c>
      <c r="Z655" s="17">
        <f>IF(OR($W655="",$W655=6),"",CHOOSE($W655,"1st Email Follow-up","2nd Email Follow-up","Escalate Local Office","Escalate to CBE","Escalate to Roxanne"))</f>
        <v/>
      </c>
    </row>
    <row r="656" spans="18:26">
      <c r="R656" s="15"/>
      <c r="S656" s="16"/>
      <c r="T656" s="17">
        <f>IF(AND(COUNTA($A656:$K656)=0,$L656=""),"",IF($S656="Paid","PAID",IF($S656="Closed","CLOSED",IF($W656="","",IF($W656=6,"ESCALATED TO ROXANNE",IF(TODAY()&gt;$Y656,"OVERDUE",IF($Y656&lt;=WORKDAY(TODAY(),1,Holidays),"DUE TOMORROW",IF($W656=4,"ESCALATED TO LOCAL OFFICE",IF($W656=5,"ESCALATED TO CBE",IF($X656=TODAY(),"EMAIL SENT","MONITORING"))))))))))</f>
        <v/>
      </c>
      <c r="U656" s="17">
        <f>IF($T656="",IF(AND(COUNTA($A656:$K656)&gt;0,$L656=""),"Awaiting Collection Email time stamp.",""),IF(OR($T656="PAID",$T656="CLOSED"),IF($T656="PAID","Account paid. Action completed.","Account closed. No further action required."),CHOOSE($W656,"Collection Email","1st Email Follow-up","2nd Email Follow-up","Escalation to Local Office","Escalation to CBE","Escalation to Roxanne")&amp;" sent "&amp;TEXT($X656,"dd-mmm")&amp;". "&amp;IF($W656=6,"Final escalation completed.",IF($T656="OVERDUE","Next: "&amp;$Z656&amp;" was due "&amp;TEXT($Y656,"dd-mmm")&amp;" - "&amp;(NETWORKDAYS($Y656,TODAY(),Holidays)-1)&amp;" business day(s) late. Send now.",IF($T656="DUE TOMORROW","Next: "&amp;$Z656&amp;IF($Y656&lt;=TODAY()," is due TODAY ("," is due next business day (")&amp;TEXT($Y656,"dd-mmm")&amp;").","Next: "&amp;$Z656&amp;" due "&amp;TEXT($Y656,"dd-mmm")&amp;" ("&amp;(NETWORKDAYS(TODAY(),$Y656,Holidays)-1)&amp;" business day(s) left).")))))</f>
        <v/>
      </c>
      <c r="V656" s="17">
        <f>IF($W656="","",CHOOSE($W656,"Collection Email","1st Follow-up","2nd Follow-up","Local Office","CBE","Roxanne")&amp;IF($W656=6," - Final"," - Day "&amp;MAX(0,NETWORKDAYS($X656,TODAY(),Holidays)-1)&amp;" of "&amp;CHOOSE($W656,3,3,2,2,3))&amp;" | Total Day "&amp;MAX(0,NETWORKDAYS($L656,TODAY(),Holidays)-1))</f>
        <v/>
      </c>
      <c r="W656" s="17">
        <f>IF($L656="","",COUNT($L656:$Q656))</f>
        <v/>
      </c>
      <c r="X656" s="18">
        <f>IF($W656="","",INT(INDEX($L656:$Q656,$W656)))</f>
        <v/>
      </c>
      <c r="Y656" s="18">
        <f>IF(OR($W656="",$W656=6),"",WORKDAY($X656,CHOOSE($W656,3,3,2,2,3),Holidays))</f>
        <v/>
      </c>
      <c r="Z656" s="17">
        <f>IF(OR($W656="",$W656=6),"",CHOOSE($W656,"1st Email Follow-up","2nd Email Follow-up","Escalate Local Office","Escalate to CBE","Escalate to Roxanne"))</f>
        <v/>
      </c>
    </row>
    <row r="657" spans="18:26">
      <c r="R657" s="15"/>
      <c r="S657" s="16"/>
      <c r="T657" s="17">
        <f>IF(AND(COUNTA($A657:$K657)=0,$L657=""),"",IF($S657="Paid","PAID",IF($S657="Closed","CLOSED",IF($W657="","",IF($W657=6,"ESCALATED TO ROXANNE",IF(TODAY()&gt;$Y657,"OVERDUE",IF($Y657&lt;=WORKDAY(TODAY(),1,Holidays),"DUE TOMORROW",IF($W657=4,"ESCALATED TO LOCAL OFFICE",IF($W657=5,"ESCALATED TO CBE",IF($X657=TODAY(),"EMAIL SENT","MONITORING"))))))))))</f>
        <v/>
      </c>
      <c r="U657" s="17">
        <f>IF($T657="",IF(AND(COUNTA($A657:$K657)&gt;0,$L657=""),"Awaiting Collection Email time stamp.",""),IF(OR($T657="PAID",$T657="CLOSED"),IF($T657="PAID","Account paid. Action completed.","Account closed. No further action required."),CHOOSE($W657,"Collection Email","1st Email Follow-up","2nd Email Follow-up","Escalation to Local Office","Escalation to CBE","Escalation to Roxanne")&amp;" sent "&amp;TEXT($X657,"dd-mmm")&amp;". "&amp;IF($W657=6,"Final escalation completed.",IF($T657="OVERDUE","Next: "&amp;$Z657&amp;" was due "&amp;TEXT($Y657,"dd-mmm")&amp;" - "&amp;(NETWORKDAYS($Y657,TODAY(),Holidays)-1)&amp;" business day(s) late. Send now.",IF($T657="DUE TOMORROW","Next: "&amp;$Z657&amp;IF($Y657&lt;=TODAY()," is due TODAY ("," is due next business day (")&amp;TEXT($Y657,"dd-mmm")&amp;").","Next: "&amp;$Z657&amp;" due "&amp;TEXT($Y657,"dd-mmm")&amp;" ("&amp;(NETWORKDAYS(TODAY(),$Y657,Holidays)-1)&amp;" business day(s) left).")))))</f>
        <v/>
      </c>
      <c r="V657" s="17">
        <f>IF($W657="","",CHOOSE($W657,"Collection Email","1st Follow-up","2nd Follow-up","Local Office","CBE","Roxanne")&amp;IF($W657=6," - Final"," - Day "&amp;MAX(0,NETWORKDAYS($X657,TODAY(),Holidays)-1)&amp;" of "&amp;CHOOSE($W657,3,3,2,2,3))&amp;" | Total Day "&amp;MAX(0,NETWORKDAYS($L657,TODAY(),Holidays)-1))</f>
        <v/>
      </c>
      <c r="W657" s="17">
        <f>IF($L657="","",COUNT($L657:$Q657))</f>
        <v/>
      </c>
      <c r="X657" s="18">
        <f>IF($W657="","",INT(INDEX($L657:$Q657,$W657)))</f>
        <v/>
      </c>
      <c r="Y657" s="18">
        <f>IF(OR($W657="",$W657=6),"",WORKDAY($X657,CHOOSE($W657,3,3,2,2,3),Holidays))</f>
        <v/>
      </c>
      <c r="Z657" s="17">
        <f>IF(OR($W657="",$W657=6),"",CHOOSE($W657,"1st Email Follow-up","2nd Email Follow-up","Escalate Local Office","Escalate to CBE","Escalate to Roxanne"))</f>
        <v/>
      </c>
    </row>
    <row r="658" spans="18:26">
      <c r="R658" s="15"/>
      <c r="S658" s="16"/>
      <c r="T658" s="17">
        <f>IF(AND(COUNTA($A658:$K658)=0,$L658=""),"",IF($S658="Paid","PAID",IF($S658="Closed","CLOSED",IF($W658="","",IF($W658=6,"ESCALATED TO ROXANNE",IF(TODAY()&gt;$Y658,"OVERDUE",IF($Y658&lt;=WORKDAY(TODAY(),1,Holidays),"DUE TOMORROW",IF($W658=4,"ESCALATED TO LOCAL OFFICE",IF($W658=5,"ESCALATED TO CBE",IF($X658=TODAY(),"EMAIL SENT","MONITORING"))))))))))</f>
        <v/>
      </c>
      <c r="U658" s="17">
        <f>IF($T658="",IF(AND(COUNTA($A658:$K658)&gt;0,$L658=""),"Awaiting Collection Email time stamp.",""),IF(OR($T658="PAID",$T658="CLOSED"),IF($T658="PAID","Account paid. Action completed.","Account closed. No further action required."),CHOOSE($W658,"Collection Email","1st Email Follow-up","2nd Email Follow-up","Escalation to Local Office","Escalation to CBE","Escalation to Roxanne")&amp;" sent "&amp;TEXT($X658,"dd-mmm")&amp;". "&amp;IF($W658=6,"Final escalation completed.",IF($T658="OVERDUE","Next: "&amp;$Z658&amp;" was due "&amp;TEXT($Y658,"dd-mmm")&amp;" - "&amp;(NETWORKDAYS($Y658,TODAY(),Holidays)-1)&amp;" business day(s) late. Send now.",IF($T658="DUE TOMORROW","Next: "&amp;$Z658&amp;IF($Y658&lt;=TODAY()," is due TODAY ("," is due next business day (")&amp;TEXT($Y658,"dd-mmm")&amp;").","Next: "&amp;$Z658&amp;" due "&amp;TEXT($Y658,"dd-mmm")&amp;" ("&amp;(NETWORKDAYS(TODAY(),$Y658,Holidays)-1)&amp;" business day(s) left).")))))</f>
        <v/>
      </c>
      <c r="V658" s="17">
        <f>IF($W658="","",CHOOSE($W658,"Collection Email","1st Follow-up","2nd Follow-up","Local Office","CBE","Roxanne")&amp;IF($W658=6," - Final"," - Day "&amp;MAX(0,NETWORKDAYS($X658,TODAY(),Holidays)-1)&amp;" of "&amp;CHOOSE($W658,3,3,2,2,3))&amp;" | Total Day "&amp;MAX(0,NETWORKDAYS($L658,TODAY(),Holidays)-1))</f>
        <v/>
      </c>
      <c r="W658" s="17">
        <f>IF($L658="","",COUNT($L658:$Q658))</f>
        <v/>
      </c>
      <c r="X658" s="18">
        <f>IF($W658="","",INT(INDEX($L658:$Q658,$W658)))</f>
        <v/>
      </c>
      <c r="Y658" s="18">
        <f>IF(OR($W658="",$W658=6),"",WORKDAY($X658,CHOOSE($W658,3,3,2,2,3),Holidays))</f>
        <v/>
      </c>
      <c r="Z658" s="17">
        <f>IF(OR($W658="",$W658=6),"",CHOOSE($W658,"1st Email Follow-up","2nd Email Follow-up","Escalate Local Office","Escalate to CBE","Escalate to Roxanne"))</f>
        <v/>
      </c>
    </row>
    <row r="659" spans="18:26">
      <c r="R659" s="15"/>
      <c r="S659" s="16"/>
      <c r="T659" s="17">
        <f>IF(AND(COUNTA($A659:$K659)=0,$L659=""),"",IF($S659="Paid","PAID",IF($S659="Closed","CLOSED",IF($W659="","",IF($W659=6,"ESCALATED TO ROXANNE",IF(TODAY()&gt;$Y659,"OVERDUE",IF($Y659&lt;=WORKDAY(TODAY(),1,Holidays),"DUE TOMORROW",IF($W659=4,"ESCALATED TO LOCAL OFFICE",IF($W659=5,"ESCALATED TO CBE",IF($X659=TODAY(),"EMAIL SENT","MONITORING"))))))))))</f>
        <v/>
      </c>
      <c r="U659" s="17">
        <f>IF($T659="",IF(AND(COUNTA($A659:$K659)&gt;0,$L659=""),"Awaiting Collection Email time stamp.",""),IF(OR($T659="PAID",$T659="CLOSED"),IF($T659="PAID","Account paid. Action completed.","Account closed. No further action required."),CHOOSE($W659,"Collection Email","1st Email Follow-up","2nd Email Follow-up","Escalation to Local Office","Escalation to CBE","Escalation to Roxanne")&amp;" sent "&amp;TEXT($X659,"dd-mmm")&amp;". "&amp;IF($W659=6,"Final escalation completed.",IF($T659="OVERDUE","Next: "&amp;$Z659&amp;" was due "&amp;TEXT($Y659,"dd-mmm")&amp;" - "&amp;(NETWORKDAYS($Y659,TODAY(),Holidays)-1)&amp;" business day(s) late. Send now.",IF($T659="DUE TOMORROW","Next: "&amp;$Z659&amp;IF($Y659&lt;=TODAY()," is due TODAY ("," is due next business day (")&amp;TEXT($Y659,"dd-mmm")&amp;").","Next: "&amp;$Z659&amp;" due "&amp;TEXT($Y659,"dd-mmm")&amp;" ("&amp;(NETWORKDAYS(TODAY(),$Y659,Holidays)-1)&amp;" business day(s) left).")))))</f>
        <v/>
      </c>
      <c r="V659" s="17">
        <f>IF($W659="","",CHOOSE($W659,"Collection Email","1st Follow-up","2nd Follow-up","Local Office","CBE","Roxanne")&amp;IF($W659=6," - Final"," - Day "&amp;MAX(0,NETWORKDAYS($X659,TODAY(),Holidays)-1)&amp;" of "&amp;CHOOSE($W659,3,3,2,2,3))&amp;" | Total Day "&amp;MAX(0,NETWORKDAYS($L659,TODAY(),Holidays)-1))</f>
        <v/>
      </c>
      <c r="W659" s="17">
        <f>IF($L659="","",COUNT($L659:$Q659))</f>
        <v/>
      </c>
      <c r="X659" s="18">
        <f>IF($W659="","",INT(INDEX($L659:$Q659,$W659)))</f>
        <v/>
      </c>
      <c r="Y659" s="18">
        <f>IF(OR($W659="",$W659=6),"",WORKDAY($X659,CHOOSE($W659,3,3,2,2,3),Holidays))</f>
        <v/>
      </c>
      <c r="Z659" s="17">
        <f>IF(OR($W659="",$W659=6),"",CHOOSE($W659,"1st Email Follow-up","2nd Email Follow-up","Escalate Local Office","Escalate to CBE","Escalate to Roxanne"))</f>
        <v/>
      </c>
    </row>
    <row r="660" spans="18:26">
      <c r="R660" s="15"/>
      <c r="S660" s="16"/>
      <c r="T660" s="17">
        <f>IF(AND(COUNTA($A660:$K660)=0,$L660=""),"",IF($S660="Paid","PAID",IF($S660="Closed","CLOSED",IF($W660="","",IF($W660=6,"ESCALATED TO ROXANNE",IF(TODAY()&gt;$Y660,"OVERDUE",IF($Y660&lt;=WORKDAY(TODAY(),1,Holidays),"DUE TOMORROW",IF($W660=4,"ESCALATED TO LOCAL OFFICE",IF($W660=5,"ESCALATED TO CBE",IF($X660=TODAY(),"EMAIL SENT","MONITORING"))))))))))</f>
        <v/>
      </c>
      <c r="U660" s="17">
        <f>IF($T660="",IF(AND(COUNTA($A660:$K660)&gt;0,$L660=""),"Awaiting Collection Email time stamp.",""),IF(OR($T660="PAID",$T660="CLOSED"),IF($T660="PAID","Account paid. Action completed.","Account closed. No further action required."),CHOOSE($W660,"Collection Email","1st Email Follow-up","2nd Email Follow-up","Escalation to Local Office","Escalation to CBE","Escalation to Roxanne")&amp;" sent "&amp;TEXT($X660,"dd-mmm")&amp;". "&amp;IF($W660=6,"Final escalation completed.",IF($T660="OVERDUE","Next: "&amp;$Z660&amp;" was due "&amp;TEXT($Y660,"dd-mmm")&amp;" - "&amp;(NETWORKDAYS($Y660,TODAY(),Holidays)-1)&amp;" business day(s) late. Send now.",IF($T660="DUE TOMORROW","Next: "&amp;$Z660&amp;IF($Y660&lt;=TODAY()," is due TODAY ("," is due next business day (")&amp;TEXT($Y660,"dd-mmm")&amp;").","Next: "&amp;$Z660&amp;" due "&amp;TEXT($Y660,"dd-mmm")&amp;" ("&amp;(NETWORKDAYS(TODAY(),$Y660,Holidays)-1)&amp;" business day(s) left).")))))</f>
        <v/>
      </c>
      <c r="V660" s="17">
        <f>IF($W660="","",CHOOSE($W660,"Collection Email","1st Follow-up","2nd Follow-up","Local Office","CBE","Roxanne")&amp;IF($W660=6," - Final"," - Day "&amp;MAX(0,NETWORKDAYS($X660,TODAY(),Holidays)-1)&amp;" of "&amp;CHOOSE($W660,3,3,2,2,3))&amp;" | Total Day "&amp;MAX(0,NETWORKDAYS($L660,TODAY(),Holidays)-1))</f>
        <v/>
      </c>
      <c r="W660" s="17">
        <f>IF($L660="","",COUNT($L660:$Q660))</f>
        <v/>
      </c>
      <c r="X660" s="18">
        <f>IF($W660="","",INT(INDEX($L660:$Q660,$W660)))</f>
        <v/>
      </c>
      <c r="Y660" s="18">
        <f>IF(OR($W660="",$W660=6),"",WORKDAY($X660,CHOOSE($W660,3,3,2,2,3),Holidays))</f>
        <v/>
      </c>
      <c r="Z660" s="17">
        <f>IF(OR($W660="",$W660=6),"",CHOOSE($W660,"1st Email Follow-up","2nd Email Follow-up","Escalate Local Office","Escalate to CBE","Escalate to Roxanne"))</f>
        <v/>
      </c>
    </row>
    <row r="661" spans="18:26">
      <c r="R661" s="15"/>
      <c r="S661" s="16"/>
      <c r="T661" s="17">
        <f>IF(AND(COUNTA($A661:$K661)=0,$L661=""),"",IF($S661="Paid","PAID",IF($S661="Closed","CLOSED",IF($W661="","",IF($W661=6,"ESCALATED TO ROXANNE",IF(TODAY()&gt;$Y661,"OVERDUE",IF($Y661&lt;=WORKDAY(TODAY(),1,Holidays),"DUE TOMORROW",IF($W661=4,"ESCALATED TO LOCAL OFFICE",IF($W661=5,"ESCALATED TO CBE",IF($X661=TODAY(),"EMAIL SENT","MONITORING"))))))))))</f>
        <v/>
      </c>
      <c r="U661" s="17">
        <f>IF($T661="",IF(AND(COUNTA($A661:$K661)&gt;0,$L661=""),"Awaiting Collection Email time stamp.",""),IF(OR($T661="PAID",$T661="CLOSED"),IF($T661="PAID","Account paid. Action completed.","Account closed. No further action required."),CHOOSE($W661,"Collection Email","1st Email Follow-up","2nd Email Follow-up","Escalation to Local Office","Escalation to CBE","Escalation to Roxanne")&amp;" sent "&amp;TEXT($X661,"dd-mmm")&amp;". "&amp;IF($W661=6,"Final escalation completed.",IF($T661="OVERDUE","Next: "&amp;$Z661&amp;" was due "&amp;TEXT($Y661,"dd-mmm")&amp;" - "&amp;(NETWORKDAYS($Y661,TODAY(),Holidays)-1)&amp;" business day(s) late. Send now.",IF($T661="DUE TOMORROW","Next: "&amp;$Z661&amp;IF($Y661&lt;=TODAY()," is due TODAY ("," is due next business day (")&amp;TEXT($Y661,"dd-mmm")&amp;").","Next: "&amp;$Z661&amp;" due "&amp;TEXT($Y661,"dd-mmm")&amp;" ("&amp;(NETWORKDAYS(TODAY(),$Y661,Holidays)-1)&amp;" business day(s) left).")))))</f>
        <v/>
      </c>
      <c r="V661" s="17">
        <f>IF($W661="","",CHOOSE($W661,"Collection Email","1st Follow-up","2nd Follow-up","Local Office","CBE","Roxanne")&amp;IF($W661=6," - Final"," - Day "&amp;MAX(0,NETWORKDAYS($X661,TODAY(),Holidays)-1)&amp;" of "&amp;CHOOSE($W661,3,3,2,2,3))&amp;" | Total Day "&amp;MAX(0,NETWORKDAYS($L661,TODAY(),Holidays)-1))</f>
        <v/>
      </c>
      <c r="W661" s="17">
        <f>IF($L661="","",COUNT($L661:$Q661))</f>
        <v/>
      </c>
      <c r="X661" s="18">
        <f>IF($W661="","",INT(INDEX($L661:$Q661,$W661)))</f>
        <v/>
      </c>
      <c r="Y661" s="18">
        <f>IF(OR($W661="",$W661=6),"",WORKDAY($X661,CHOOSE($W661,3,3,2,2,3),Holidays))</f>
        <v/>
      </c>
      <c r="Z661" s="17">
        <f>IF(OR($W661="",$W661=6),"",CHOOSE($W661,"1st Email Follow-up","2nd Email Follow-up","Escalate Local Office","Escalate to CBE","Escalate to Roxanne"))</f>
        <v/>
      </c>
    </row>
    <row r="662" spans="18:26">
      <c r="R662" s="15"/>
      <c r="S662" s="16"/>
      <c r="T662" s="17">
        <f>IF(AND(COUNTA($A662:$K662)=0,$L662=""),"",IF($S662="Paid","PAID",IF($S662="Closed","CLOSED",IF($W662="","",IF($W662=6,"ESCALATED TO ROXANNE",IF(TODAY()&gt;$Y662,"OVERDUE",IF($Y662&lt;=WORKDAY(TODAY(),1,Holidays),"DUE TOMORROW",IF($W662=4,"ESCALATED TO LOCAL OFFICE",IF($W662=5,"ESCALATED TO CBE",IF($X662=TODAY(),"EMAIL SENT","MONITORING"))))))))))</f>
        <v/>
      </c>
      <c r="U662" s="17">
        <f>IF($T662="",IF(AND(COUNTA($A662:$K662)&gt;0,$L662=""),"Awaiting Collection Email time stamp.",""),IF(OR($T662="PAID",$T662="CLOSED"),IF($T662="PAID","Account paid. Action completed.","Account closed. No further action required."),CHOOSE($W662,"Collection Email","1st Email Follow-up","2nd Email Follow-up","Escalation to Local Office","Escalation to CBE","Escalation to Roxanne")&amp;" sent "&amp;TEXT($X662,"dd-mmm")&amp;". "&amp;IF($W662=6,"Final escalation completed.",IF($T662="OVERDUE","Next: "&amp;$Z662&amp;" was due "&amp;TEXT($Y662,"dd-mmm")&amp;" - "&amp;(NETWORKDAYS($Y662,TODAY(),Holidays)-1)&amp;" business day(s) late. Send now.",IF($T662="DUE TOMORROW","Next: "&amp;$Z662&amp;IF($Y662&lt;=TODAY()," is due TODAY ("," is due next business day (")&amp;TEXT($Y662,"dd-mmm")&amp;").","Next: "&amp;$Z662&amp;" due "&amp;TEXT($Y662,"dd-mmm")&amp;" ("&amp;(NETWORKDAYS(TODAY(),$Y662,Holidays)-1)&amp;" business day(s) left).")))))</f>
        <v/>
      </c>
      <c r="V662" s="17">
        <f>IF($W662="","",CHOOSE($W662,"Collection Email","1st Follow-up","2nd Follow-up","Local Office","CBE","Roxanne")&amp;IF($W662=6," - Final"," - Day "&amp;MAX(0,NETWORKDAYS($X662,TODAY(),Holidays)-1)&amp;" of "&amp;CHOOSE($W662,3,3,2,2,3))&amp;" | Total Day "&amp;MAX(0,NETWORKDAYS($L662,TODAY(),Holidays)-1))</f>
        <v/>
      </c>
      <c r="W662" s="17">
        <f>IF($L662="","",COUNT($L662:$Q662))</f>
        <v/>
      </c>
      <c r="X662" s="18">
        <f>IF($W662="","",INT(INDEX($L662:$Q662,$W662)))</f>
        <v/>
      </c>
      <c r="Y662" s="18">
        <f>IF(OR($W662="",$W662=6),"",WORKDAY($X662,CHOOSE($W662,3,3,2,2,3),Holidays))</f>
        <v/>
      </c>
      <c r="Z662" s="17">
        <f>IF(OR($W662="",$W662=6),"",CHOOSE($W662,"1st Email Follow-up","2nd Email Follow-up","Escalate Local Office","Escalate to CBE","Escalate to Roxanne"))</f>
        <v/>
      </c>
    </row>
    <row r="663" spans="18:26">
      <c r="R663" s="15"/>
      <c r="S663" s="16"/>
      <c r="T663" s="17">
        <f>IF(AND(COUNTA($A663:$K663)=0,$L663=""),"",IF($S663="Paid","PAID",IF($S663="Closed","CLOSED",IF($W663="","",IF($W663=6,"ESCALATED TO ROXANNE",IF(TODAY()&gt;$Y663,"OVERDUE",IF($Y663&lt;=WORKDAY(TODAY(),1,Holidays),"DUE TOMORROW",IF($W663=4,"ESCALATED TO LOCAL OFFICE",IF($W663=5,"ESCALATED TO CBE",IF($X663=TODAY(),"EMAIL SENT","MONITORING"))))))))))</f>
        <v/>
      </c>
      <c r="U663" s="17">
        <f>IF($T663="",IF(AND(COUNTA($A663:$K663)&gt;0,$L663=""),"Awaiting Collection Email time stamp.",""),IF(OR($T663="PAID",$T663="CLOSED"),IF($T663="PAID","Account paid. Action completed.","Account closed. No further action required."),CHOOSE($W663,"Collection Email","1st Email Follow-up","2nd Email Follow-up","Escalation to Local Office","Escalation to CBE","Escalation to Roxanne")&amp;" sent "&amp;TEXT($X663,"dd-mmm")&amp;". "&amp;IF($W663=6,"Final escalation completed.",IF($T663="OVERDUE","Next: "&amp;$Z663&amp;" was due "&amp;TEXT($Y663,"dd-mmm")&amp;" - "&amp;(NETWORKDAYS($Y663,TODAY(),Holidays)-1)&amp;" business day(s) late. Send now.",IF($T663="DUE TOMORROW","Next: "&amp;$Z663&amp;IF($Y663&lt;=TODAY()," is due TODAY ("," is due next business day (")&amp;TEXT($Y663,"dd-mmm")&amp;").","Next: "&amp;$Z663&amp;" due "&amp;TEXT($Y663,"dd-mmm")&amp;" ("&amp;(NETWORKDAYS(TODAY(),$Y663,Holidays)-1)&amp;" business day(s) left).")))))</f>
        <v/>
      </c>
      <c r="V663" s="17">
        <f>IF($W663="","",CHOOSE($W663,"Collection Email","1st Follow-up","2nd Follow-up","Local Office","CBE","Roxanne")&amp;IF($W663=6," - Final"," - Day "&amp;MAX(0,NETWORKDAYS($X663,TODAY(),Holidays)-1)&amp;" of "&amp;CHOOSE($W663,3,3,2,2,3))&amp;" | Total Day "&amp;MAX(0,NETWORKDAYS($L663,TODAY(),Holidays)-1))</f>
        <v/>
      </c>
      <c r="W663" s="17">
        <f>IF($L663="","",COUNT($L663:$Q663))</f>
        <v/>
      </c>
      <c r="X663" s="18">
        <f>IF($W663="","",INT(INDEX($L663:$Q663,$W663)))</f>
        <v/>
      </c>
      <c r="Y663" s="18">
        <f>IF(OR($W663="",$W663=6),"",WORKDAY($X663,CHOOSE($W663,3,3,2,2,3),Holidays))</f>
        <v/>
      </c>
      <c r="Z663" s="17">
        <f>IF(OR($W663="",$W663=6),"",CHOOSE($W663,"1st Email Follow-up","2nd Email Follow-up","Escalate Local Office","Escalate to CBE","Escalate to Roxanne"))</f>
        <v/>
      </c>
    </row>
    <row r="664" spans="18:26">
      <c r="R664" s="15"/>
      <c r="S664" s="16"/>
      <c r="T664" s="17">
        <f>IF(AND(COUNTA($A664:$K664)=0,$L664=""),"",IF($S664="Paid","PAID",IF($S664="Closed","CLOSED",IF($W664="","",IF($W664=6,"ESCALATED TO ROXANNE",IF(TODAY()&gt;$Y664,"OVERDUE",IF($Y664&lt;=WORKDAY(TODAY(),1,Holidays),"DUE TOMORROW",IF($W664=4,"ESCALATED TO LOCAL OFFICE",IF($W664=5,"ESCALATED TO CBE",IF($X664=TODAY(),"EMAIL SENT","MONITORING"))))))))))</f>
        <v/>
      </c>
      <c r="U664" s="17">
        <f>IF($T664="",IF(AND(COUNTA($A664:$K664)&gt;0,$L664=""),"Awaiting Collection Email time stamp.",""),IF(OR($T664="PAID",$T664="CLOSED"),IF($T664="PAID","Account paid. Action completed.","Account closed. No further action required."),CHOOSE($W664,"Collection Email","1st Email Follow-up","2nd Email Follow-up","Escalation to Local Office","Escalation to CBE","Escalation to Roxanne")&amp;" sent "&amp;TEXT($X664,"dd-mmm")&amp;". "&amp;IF($W664=6,"Final escalation completed.",IF($T664="OVERDUE","Next: "&amp;$Z664&amp;" was due "&amp;TEXT($Y664,"dd-mmm")&amp;" - "&amp;(NETWORKDAYS($Y664,TODAY(),Holidays)-1)&amp;" business day(s) late. Send now.",IF($T664="DUE TOMORROW","Next: "&amp;$Z664&amp;IF($Y664&lt;=TODAY()," is due TODAY ("," is due next business day (")&amp;TEXT($Y664,"dd-mmm")&amp;").","Next: "&amp;$Z664&amp;" due "&amp;TEXT($Y664,"dd-mmm")&amp;" ("&amp;(NETWORKDAYS(TODAY(),$Y664,Holidays)-1)&amp;" business day(s) left).")))))</f>
        <v/>
      </c>
      <c r="V664" s="17">
        <f>IF($W664="","",CHOOSE($W664,"Collection Email","1st Follow-up","2nd Follow-up","Local Office","CBE","Roxanne")&amp;IF($W664=6," - Final"," - Day "&amp;MAX(0,NETWORKDAYS($X664,TODAY(),Holidays)-1)&amp;" of "&amp;CHOOSE($W664,3,3,2,2,3))&amp;" | Total Day "&amp;MAX(0,NETWORKDAYS($L664,TODAY(),Holidays)-1))</f>
        <v/>
      </c>
      <c r="W664" s="17">
        <f>IF($L664="","",COUNT($L664:$Q664))</f>
        <v/>
      </c>
      <c r="X664" s="18">
        <f>IF($W664="","",INT(INDEX($L664:$Q664,$W664)))</f>
        <v/>
      </c>
      <c r="Y664" s="18">
        <f>IF(OR($W664="",$W664=6),"",WORKDAY($X664,CHOOSE($W664,3,3,2,2,3),Holidays))</f>
        <v/>
      </c>
      <c r="Z664" s="17">
        <f>IF(OR($W664="",$W664=6),"",CHOOSE($W664,"1st Email Follow-up","2nd Email Follow-up","Escalate Local Office","Escalate to CBE","Escalate to Roxanne"))</f>
        <v/>
      </c>
    </row>
    <row r="665" spans="18:26">
      <c r="R665" s="15"/>
      <c r="S665" s="16"/>
      <c r="T665" s="17">
        <f>IF(AND(COUNTA($A665:$K665)=0,$L665=""),"",IF($S665="Paid","PAID",IF($S665="Closed","CLOSED",IF($W665="","",IF($W665=6,"ESCALATED TO ROXANNE",IF(TODAY()&gt;$Y665,"OVERDUE",IF($Y665&lt;=WORKDAY(TODAY(),1,Holidays),"DUE TOMORROW",IF($W665=4,"ESCALATED TO LOCAL OFFICE",IF($W665=5,"ESCALATED TO CBE",IF($X665=TODAY(),"EMAIL SENT","MONITORING"))))))))))</f>
        <v/>
      </c>
      <c r="U665" s="17">
        <f>IF($T665="",IF(AND(COUNTA($A665:$K665)&gt;0,$L665=""),"Awaiting Collection Email time stamp.",""),IF(OR($T665="PAID",$T665="CLOSED"),IF($T665="PAID","Account paid. Action completed.","Account closed. No further action required."),CHOOSE($W665,"Collection Email","1st Email Follow-up","2nd Email Follow-up","Escalation to Local Office","Escalation to CBE","Escalation to Roxanne")&amp;" sent "&amp;TEXT($X665,"dd-mmm")&amp;". "&amp;IF($W665=6,"Final escalation completed.",IF($T665="OVERDUE","Next: "&amp;$Z665&amp;" was due "&amp;TEXT($Y665,"dd-mmm")&amp;" - "&amp;(NETWORKDAYS($Y665,TODAY(),Holidays)-1)&amp;" business day(s) late. Send now.",IF($T665="DUE TOMORROW","Next: "&amp;$Z665&amp;IF($Y665&lt;=TODAY()," is due TODAY ("," is due next business day (")&amp;TEXT($Y665,"dd-mmm")&amp;").","Next: "&amp;$Z665&amp;" due "&amp;TEXT($Y665,"dd-mmm")&amp;" ("&amp;(NETWORKDAYS(TODAY(),$Y665,Holidays)-1)&amp;" business day(s) left).")))))</f>
        <v/>
      </c>
      <c r="V665" s="17">
        <f>IF($W665="","",CHOOSE($W665,"Collection Email","1st Follow-up","2nd Follow-up","Local Office","CBE","Roxanne")&amp;IF($W665=6," - Final"," - Day "&amp;MAX(0,NETWORKDAYS($X665,TODAY(),Holidays)-1)&amp;" of "&amp;CHOOSE($W665,3,3,2,2,3))&amp;" | Total Day "&amp;MAX(0,NETWORKDAYS($L665,TODAY(),Holidays)-1))</f>
        <v/>
      </c>
      <c r="W665" s="17">
        <f>IF($L665="","",COUNT($L665:$Q665))</f>
        <v/>
      </c>
      <c r="X665" s="18">
        <f>IF($W665="","",INT(INDEX($L665:$Q665,$W665)))</f>
        <v/>
      </c>
      <c r="Y665" s="18">
        <f>IF(OR($W665="",$W665=6),"",WORKDAY($X665,CHOOSE($W665,3,3,2,2,3),Holidays))</f>
        <v/>
      </c>
      <c r="Z665" s="17">
        <f>IF(OR($W665="",$W665=6),"",CHOOSE($W665,"1st Email Follow-up","2nd Email Follow-up","Escalate Local Office","Escalate to CBE","Escalate to Roxanne"))</f>
        <v/>
      </c>
    </row>
    <row r="666" spans="18:26">
      <c r="R666" s="15"/>
      <c r="S666" s="16"/>
      <c r="T666" s="17">
        <f>IF(AND(COUNTA($A666:$K666)=0,$L666=""),"",IF($S666="Paid","PAID",IF($S666="Closed","CLOSED",IF($W666="","",IF($W666=6,"ESCALATED TO ROXANNE",IF(TODAY()&gt;$Y666,"OVERDUE",IF($Y666&lt;=WORKDAY(TODAY(),1,Holidays),"DUE TOMORROW",IF($W666=4,"ESCALATED TO LOCAL OFFICE",IF($W666=5,"ESCALATED TO CBE",IF($X666=TODAY(),"EMAIL SENT","MONITORING"))))))))))</f>
        <v/>
      </c>
      <c r="U666" s="17">
        <f>IF($T666="",IF(AND(COUNTA($A666:$K666)&gt;0,$L666=""),"Awaiting Collection Email time stamp.",""),IF(OR($T666="PAID",$T666="CLOSED"),IF($T666="PAID","Account paid. Action completed.","Account closed. No further action required."),CHOOSE($W666,"Collection Email","1st Email Follow-up","2nd Email Follow-up","Escalation to Local Office","Escalation to CBE","Escalation to Roxanne")&amp;" sent "&amp;TEXT($X666,"dd-mmm")&amp;". "&amp;IF($W666=6,"Final escalation completed.",IF($T666="OVERDUE","Next: "&amp;$Z666&amp;" was due "&amp;TEXT($Y666,"dd-mmm")&amp;" - "&amp;(NETWORKDAYS($Y666,TODAY(),Holidays)-1)&amp;" business day(s) late. Send now.",IF($T666="DUE TOMORROW","Next: "&amp;$Z666&amp;IF($Y666&lt;=TODAY()," is due TODAY ("," is due next business day (")&amp;TEXT($Y666,"dd-mmm")&amp;").","Next: "&amp;$Z666&amp;" due "&amp;TEXT($Y666,"dd-mmm")&amp;" ("&amp;(NETWORKDAYS(TODAY(),$Y666,Holidays)-1)&amp;" business day(s) left).")))))</f>
        <v/>
      </c>
      <c r="V666" s="17">
        <f>IF($W666="","",CHOOSE($W666,"Collection Email","1st Follow-up","2nd Follow-up","Local Office","CBE","Roxanne")&amp;IF($W666=6," - Final"," - Day "&amp;MAX(0,NETWORKDAYS($X666,TODAY(),Holidays)-1)&amp;" of "&amp;CHOOSE($W666,3,3,2,2,3))&amp;" | Total Day "&amp;MAX(0,NETWORKDAYS($L666,TODAY(),Holidays)-1))</f>
        <v/>
      </c>
      <c r="W666" s="17">
        <f>IF($L666="","",COUNT($L666:$Q666))</f>
        <v/>
      </c>
      <c r="X666" s="18">
        <f>IF($W666="","",INT(INDEX($L666:$Q666,$W666)))</f>
        <v/>
      </c>
      <c r="Y666" s="18">
        <f>IF(OR($W666="",$W666=6),"",WORKDAY($X666,CHOOSE($W666,3,3,2,2,3),Holidays))</f>
        <v/>
      </c>
      <c r="Z666" s="17">
        <f>IF(OR($W666="",$W666=6),"",CHOOSE($W666,"1st Email Follow-up","2nd Email Follow-up","Escalate Local Office","Escalate to CBE","Escalate to Roxanne"))</f>
        <v/>
      </c>
    </row>
    <row r="667" spans="18:26">
      <c r="R667" s="15"/>
      <c r="S667" s="16"/>
      <c r="T667" s="17">
        <f>IF(AND(COUNTA($A667:$K667)=0,$L667=""),"",IF($S667="Paid","PAID",IF($S667="Closed","CLOSED",IF($W667="","",IF($W667=6,"ESCALATED TO ROXANNE",IF(TODAY()&gt;$Y667,"OVERDUE",IF($Y667&lt;=WORKDAY(TODAY(),1,Holidays),"DUE TOMORROW",IF($W667=4,"ESCALATED TO LOCAL OFFICE",IF($W667=5,"ESCALATED TO CBE",IF($X667=TODAY(),"EMAIL SENT","MONITORING"))))))))))</f>
        <v/>
      </c>
      <c r="U667" s="17">
        <f>IF($T667="",IF(AND(COUNTA($A667:$K667)&gt;0,$L667=""),"Awaiting Collection Email time stamp.",""),IF(OR($T667="PAID",$T667="CLOSED"),IF($T667="PAID","Account paid. Action completed.","Account closed. No further action required."),CHOOSE($W667,"Collection Email","1st Email Follow-up","2nd Email Follow-up","Escalation to Local Office","Escalation to CBE","Escalation to Roxanne")&amp;" sent "&amp;TEXT($X667,"dd-mmm")&amp;". "&amp;IF($W667=6,"Final escalation completed.",IF($T667="OVERDUE","Next: "&amp;$Z667&amp;" was due "&amp;TEXT($Y667,"dd-mmm")&amp;" - "&amp;(NETWORKDAYS($Y667,TODAY(),Holidays)-1)&amp;" business day(s) late. Send now.",IF($T667="DUE TOMORROW","Next: "&amp;$Z667&amp;IF($Y667&lt;=TODAY()," is due TODAY ("," is due next business day (")&amp;TEXT($Y667,"dd-mmm")&amp;").","Next: "&amp;$Z667&amp;" due "&amp;TEXT($Y667,"dd-mmm")&amp;" ("&amp;(NETWORKDAYS(TODAY(),$Y667,Holidays)-1)&amp;" business day(s) left).")))))</f>
        <v/>
      </c>
      <c r="V667" s="17">
        <f>IF($W667="","",CHOOSE($W667,"Collection Email","1st Follow-up","2nd Follow-up","Local Office","CBE","Roxanne")&amp;IF($W667=6," - Final"," - Day "&amp;MAX(0,NETWORKDAYS($X667,TODAY(),Holidays)-1)&amp;" of "&amp;CHOOSE($W667,3,3,2,2,3))&amp;" | Total Day "&amp;MAX(0,NETWORKDAYS($L667,TODAY(),Holidays)-1))</f>
        <v/>
      </c>
      <c r="W667" s="17">
        <f>IF($L667="","",COUNT($L667:$Q667))</f>
        <v/>
      </c>
      <c r="X667" s="18">
        <f>IF($W667="","",INT(INDEX($L667:$Q667,$W667)))</f>
        <v/>
      </c>
      <c r="Y667" s="18">
        <f>IF(OR($W667="",$W667=6),"",WORKDAY($X667,CHOOSE($W667,3,3,2,2,3),Holidays))</f>
        <v/>
      </c>
      <c r="Z667" s="17">
        <f>IF(OR($W667="",$W667=6),"",CHOOSE($W667,"1st Email Follow-up","2nd Email Follow-up","Escalate Local Office","Escalate to CBE","Escalate to Roxanne"))</f>
        <v/>
      </c>
    </row>
    <row r="668" spans="18:26">
      <c r="R668" s="15"/>
      <c r="S668" s="16"/>
      <c r="T668" s="17">
        <f>IF(AND(COUNTA($A668:$K668)=0,$L668=""),"",IF($S668="Paid","PAID",IF($S668="Closed","CLOSED",IF($W668="","",IF($W668=6,"ESCALATED TO ROXANNE",IF(TODAY()&gt;$Y668,"OVERDUE",IF($Y668&lt;=WORKDAY(TODAY(),1,Holidays),"DUE TOMORROW",IF($W668=4,"ESCALATED TO LOCAL OFFICE",IF($W668=5,"ESCALATED TO CBE",IF($X668=TODAY(),"EMAIL SENT","MONITORING"))))))))))</f>
        <v/>
      </c>
      <c r="U668" s="17">
        <f>IF($T668="",IF(AND(COUNTA($A668:$K668)&gt;0,$L668=""),"Awaiting Collection Email time stamp.",""),IF(OR($T668="PAID",$T668="CLOSED"),IF($T668="PAID","Account paid. Action completed.","Account closed. No further action required."),CHOOSE($W668,"Collection Email","1st Email Follow-up","2nd Email Follow-up","Escalation to Local Office","Escalation to CBE","Escalation to Roxanne")&amp;" sent "&amp;TEXT($X668,"dd-mmm")&amp;". "&amp;IF($W668=6,"Final escalation completed.",IF($T668="OVERDUE","Next: "&amp;$Z668&amp;" was due "&amp;TEXT($Y668,"dd-mmm")&amp;" - "&amp;(NETWORKDAYS($Y668,TODAY(),Holidays)-1)&amp;" business day(s) late. Send now.",IF($T668="DUE TOMORROW","Next: "&amp;$Z668&amp;IF($Y668&lt;=TODAY()," is due TODAY ("," is due next business day (")&amp;TEXT($Y668,"dd-mmm")&amp;").","Next: "&amp;$Z668&amp;" due "&amp;TEXT($Y668,"dd-mmm")&amp;" ("&amp;(NETWORKDAYS(TODAY(),$Y668,Holidays)-1)&amp;" business day(s) left).")))))</f>
        <v/>
      </c>
      <c r="V668" s="17">
        <f>IF($W668="","",CHOOSE($W668,"Collection Email","1st Follow-up","2nd Follow-up","Local Office","CBE","Roxanne")&amp;IF($W668=6," - Final"," - Day "&amp;MAX(0,NETWORKDAYS($X668,TODAY(),Holidays)-1)&amp;" of "&amp;CHOOSE($W668,3,3,2,2,3))&amp;" | Total Day "&amp;MAX(0,NETWORKDAYS($L668,TODAY(),Holidays)-1))</f>
        <v/>
      </c>
      <c r="W668" s="17">
        <f>IF($L668="","",COUNT($L668:$Q668))</f>
        <v/>
      </c>
      <c r="X668" s="18">
        <f>IF($W668="","",INT(INDEX($L668:$Q668,$W668)))</f>
        <v/>
      </c>
      <c r="Y668" s="18">
        <f>IF(OR($W668="",$W668=6),"",WORKDAY($X668,CHOOSE($W668,3,3,2,2,3),Holidays))</f>
        <v/>
      </c>
      <c r="Z668" s="17">
        <f>IF(OR($W668="",$W668=6),"",CHOOSE($W668,"1st Email Follow-up","2nd Email Follow-up","Escalate Local Office","Escalate to CBE","Escalate to Roxanne"))</f>
        <v/>
      </c>
    </row>
    <row r="669" spans="18:26">
      <c r="R669" s="15"/>
      <c r="S669" s="16"/>
      <c r="T669" s="17">
        <f>IF(AND(COUNTA($A669:$K669)=0,$L669=""),"",IF($S669="Paid","PAID",IF($S669="Closed","CLOSED",IF($W669="","",IF($W669=6,"ESCALATED TO ROXANNE",IF(TODAY()&gt;$Y669,"OVERDUE",IF($Y669&lt;=WORKDAY(TODAY(),1,Holidays),"DUE TOMORROW",IF($W669=4,"ESCALATED TO LOCAL OFFICE",IF($W669=5,"ESCALATED TO CBE",IF($X669=TODAY(),"EMAIL SENT","MONITORING"))))))))))</f>
        <v/>
      </c>
      <c r="U669" s="17">
        <f>IF($T669="",IF(AND(COUNTA($A669:$K669)&gt;0,$L669=""),"Awaiting Collection Email time stamp.",""),IF(OR($T669="PAID",$T669="CLOSED"),IF($T669="PAID","Account paid. Action completed.","Account closed. No further action required."),CHOOSE($W669,"Collection Email","1st Email Follow-up","2nd Email Follow-up","Escalation to Local Office","Escalation to CBE","Escalation to Roxanne")&amp;" sent "&amp;TEXT($X669,"dd-mmm")&amp;". "&amp;IF($W669=6,"Final escalation completed.",IF($T669="OVERDUE","Next: "&amp;$Z669&amp;" was due "&amp;TEXT($Y669,"dd-mmm")&amp;" - "&amp;(NETWORKDAYS($Y669,TODAY(),Holidays)-1)&amp;" business day(s) late. Send now.",IF($T669="DUE TOMORROW","Next: "&amp;$Z669&amp;IF($Y669&lt;=TODAY()," is due TODAY ("," is due next business day (")&amp;TEXT($Y669,"dd-mmm")&amp;").","Next: "&amp;$Z669&amp;" due "&amp;TEXT($Y669,"dd-mmm")&amp;" ("&amp;(NETWORKDAYS(TODAY(),$Y669,Holidays)-1)&amp;" business day(s) left).")))))</f>
        <v/>
      </c>
      <c r="V669" s="17">
        <f>IF($W669="","",CHOOSE($W669,"Collection Email","1st Follow-up","2nd Follow-up","Local Office","CBE","Roxanne")&amp;IF($W669=6," - Final"," - Day "&amp;MAX(0,NETWORKDAYS($X669,TODAY(),Holidays)-1)&amp;" of "&amp;CHOOSE($W669,3,3,2,2,3))&amp;" | Total Day "&amp;MAX(0,NETWORKDAYS($L669,TODAY(),Holidays)-1))</f>
        <v/>
      </c>
      <c r="W669" s="17">
        <f>IF($L669="","",COUNT($L669:$Q669))</f>
        <v/>
      </c>
      <c r="X669" s="18">
        <f>IF($W669="","",INT(INDEX($L669:$Q669,$W669)))</f>
        <v/>
      </c>
      <c r="Y669" s="18">
        <f>IF(OR($W669="",$W669=6),"",WORKDAY($X669,CHOOSE($W669,3,3,2,2,3),Holidays))</f>
        <v/>
      </c>
      <c r="Z669" s="17">
        <f>IF(OR($W669="",$W669=6),"",CHOOSE($W669,"1st Email Follow-up","2nd Email Follow-up","Escalate Local Office","Escalate to CBE","Escalate to Roxanne"))</f>
        <v/>
      </c>
    </row>
    <row r="670" spans="18:26">
      <c r="R670" s="15"/>
      <c r="S670" s="16"/>
      <c r="T670" s="17">
        <f>IF(AND(COUNTA($A670:$K670)=0,$L670=""),"",IF($S670="Paid","PAID",IF($S670="Closed","CLOSED",IF($W670="","",IF($W670=6,"ESCALATED TO ROXANNE",IF(TODAY()&gt;$Y670,"OVERDUE",IF($Y670&lt;=WORKDAY(TODAY(),1,Holidays),"DUE TOMORROW",IF($W670=4,"ESCALATED TO LOCAL OFFICE",IF($W670=5,"ESCALATED TO CBE",IF($X670=TODAY(),"EMAIL SENT","MONITORING"))))))))))</f>
        <v/>
      </c>
      <c r="U670" s="17">
        <f>IF($T670="",IF(AND(COUNTA($A670:$K670)&gt;0,$L670=""),"Awaiting Collection Email time stamp.",""),IF(OR($T670="PAID",$T670="CLOSED"),IF($T670="PAID","Account paid. Action completed.","Account closed. No further action required."),CHOOSE($W670,"Collection Email","1st Email Follow-up","2nd Email Follow-up","Escalation to Local Office","Escalation to CBE","Escalation to Roxanne")&amp;" sent "&amp;TEXT($X670,"dd-mmm")&amp;". "&amp;IF($W670=6,"Final escalation completed.",IF($T670="OVERDUE","Next: "&amp;$Z670&amp;" was due "&amp;TEXT($Y670,"dd-mmm")&amp;" - "&amp;(NETWORKDAYS($Y670,TODAY(),Holidays)-1)&amp;" business day(s) late. Send now.",IF($T670="DUE TOMORROW","Next: "&amp;$Z670&amp;IF($Y670&lt;=TODAY()," is due TODAY ("," is due next business day (")&amp;TEXT($Y670,"dd-mmm")&amp;").","Next: "&amp;$Z670&amp;" due "&amp;TEXT($Y670,"dd-mmm")&amp;" ("&amp;(NETWORKDAYS(TODAY(),$Y670,Holidays)-1)&amp;" business day(s) left).")))))</f>
        <v/>
      </c>
      <c r="V670" s="17">
        <f>IF($W670="","",CHOOSE($W670,"Collection Email","1st Follow-up","2nd Follow-up","Local Office","CBE","Roxanne")&amp;IF($W670=6," - Final"," - Day "&amp;MAX(0,NETWORKDAYS($X670,TODAY(),Holidays)-1)&amp;" of "&amp;CHOOSE($W670,3,3,2,2,3))&amp;" | Total Day "&amp;MAX(0,NETWORKDAYS($L670,TODAY(),Holidays)-1))</f>
        <v/>
      </c>
      <c r="W670" s="17">
        <f>IF($L670="","",COUNT($L670:$Q670))</f>
        <v/>
      </c>
      <c r="X670" s="18">
        <f>IF($W670="","",INT(INDEX($L670:$Q670,$W670)))</f>
        <v/>
      </c>
      <c r="Y670" s="18">
        <f>IF(OR($W670="",$W670=6),"",WORKDAY($X670,CHOOSE($W670,3,3,2,2,3),Holidays))</f>
        <v/>
      </c>
      <c r="Z670" s="17">
        <f>IF(OR($W670="",$W670=6),"",CHOOSE($W670,"1st Email Follow-up","2nd Email Follow-up","Escalate Local Office","Escalate to CBE","Escalate to Roxanne"))</f>
        <v/>
      </c>
    </row>
    <row r="671" spans="18:26">
      <c r="R671" s="15"/>
      <c r="S671" s="16"/>
      <c r="T671" s="17">
        <f>IF(AND(COUNTA($A671:$K671)=0,$L671=""),"",IF($S671="Paid","PAID",IF($S671="Closed","CLOSED",IF($W671="","",IF($W671=6,"ESCALATED TO ROXANNE",IF(TODAY()&gt;$Y671,"OVERDUE",IF($Y671&lt;=WORKDAY(TODAY(),1,Holidays),"DUE TOMORROW",IF($W671=4,"ESCALATED TO LOCAL OFFICE",IF($W671=5,"ESCALATED TO CBE",IF($X671=TODAY(),"EMAIL SENT","MONITORING"))))))))))</f>
        <v/>
      </c>
      <c r="U671" s="17">
        <f>IF($T671="",IF(AND(COUNTA($A671:$K671)&gt;0,$L671=""),"Awaiting Collection Email time stamp.",""),IF(OR($T671="PAID",$T671="CLOSED"),IF($T671="PAID","Account paid. Action completed.","Account closed. No further action required."),CHOOSE($W671,"Collection Email","1st Email Follow-up","2nd Email Follow-up","Escalation to Local Office","Escalation to CBE","Escalation to Roxanne")&amp;" sent "&amp;TEXT($X671,"dd-mmm")&amp;". "&amp;IF($W671=6,"Final escalation completed.",IF($T671="OVERDUE","Next: "&amp;$Z671&amp;" was due "&amp;TEXT($Y671,"dd-mmm")&amp;" - "&amp;(NETWORKDAYS($Y671,TODAY(),Holidays)-1)&amp;" business day(s) late. Send now.",IF($T671="DUE TOMORROW","Next: "&amp;$Z671&amp;IF($Y671&lt;=TODAY()," is due TODAY ("," is due next business day (")&amp;TEXT($Y671,"dd-mmm")&amp;").","Next: "&amp;$Z671&amp;" due "&amp;TEXT($Y671,"dd-mmm")&amp;" ("&amp;(NETWORKDAYS(TODAY(),$Y671,Holidays)-1)&amp;" business day(s) left).")))))</f>
        <v/>
      </c>
      <c r="V671" s="17">
        <f>IF($W671="","",CHOOSE($W671,"Collection Email","1st Follow-up","2nd Follow-up","Local Office","CBE","Roxanne")&amp;IF($W671=6," - Final"," - Day "&amp;MAX(0,NETWORKDAYS($X671,TODAY(),Holidays)-1)&amp;" of "&amp;CHOOSE($W671,3,3,2,2,3))&amp;" | Total Day "&amp;MAX(0,NETWORKDAYS($L671,TODAY(),Holidays)-1))</f>
        <v/>
      </c>
      <c r="W671" s="17">
        <f>IF($L671="","",COUNT($L671:$Q671))</f>
        <v/>
      </c>
      <c r="X671" s="18">
        <f>IF($W671="","",INT(INDEX($L671:$Q671,$W671)))</f>
        <v/>
      </c>
      <c r="Y671" s="18">
        <f>IF(OR($W671="",$W671=6),"",WORKDAY($X671,CHOOSE($W671,3,3,2,2,3),Holidays))</f>
        <v/>
      </c>
      <c r="Z671" s="17">
        <f>IF(OR($W671="",$W671=6),"",CHOOSE($W671,"1st Email Follow-up","2nd Email Follow-up","Escalate Local Office","Escalate to CBE","Escalate to Roxanne"))</f>
        <v/>
      </c>
    </row>
    <row r="672" spans="18:26">
      <c r="R672" s="15"/>
      <c r="S672" s="16"/>
      <c r="T672" s="17">
        <f>IF(AND(COUNTA($A672:$K672)=0,$L672=""),"",IF($S672="Paid","PAID",IF($S672="Closed","CLOSED",IF($W672="","",IF($W672=6,"ESCALATED TO ROXANNE",IF(TODAY()&gt;$Y672,"OVERDUE",IF($Y672&lt;=WORKDAY(TODAY(),1,Holidays),"DUE TOMORROW",IF($W672=4,"ESCALATED TO LOCAL OFFICE",IF($W672=5,"ESCALATED TO CBE",IF($X672=TODAY(),"EMAIL SENT","MONITORING"))))))))))</f>
        <v/>
      </c>
      <c r="U672" s="17">
        <f>IF($T672="",IF(AND(COUNTA($A672:$K672)&gt;0,$L672=""),"Awaiting Collection Email time stamp.",""),IF(OR($T672="PAID",$T672="CLOSED"),IF($T672="PAID","Account paid. Action completed.","Account closed. No further action required."),CHOOSE($W672,"Collection Email","1st Email Follow-up","2nd Email Follow-up","Escalation to Local Office","Escalation to CBE","Escalation to Roxanne")&amp;" sent "&amp;TEXT($X672,"dd-mmm")&amp;". "&amp;IF($W672=6,"Final escalation completed.",IF($T672="OVERDUE","Next: "&amp;$Z672&amp;" was due "&amp;TEXT($Y672,"dd-mmm")&amp;" - "&amp;(NETWORKDAYS($Y672,TODAY(),Holidays)-1)&amp;" business day(s) late. Send now.",IF($T672="DUE TOMORROW","Next: "&amp;$Z672&amp;IF($Y672&lt;=TODAY()," is due TODAY ("," is due next business day (")&amp;TEXT($Y672,"dd-mmm")&amp;").","Next: "&amp;$Z672&amp;" due "&amp;TEXT($Y672,"dd-mmm")&amp;" ("&amp;(NETWORKDAYS(TODAY(),$Y672,Holidays)-1)&amp;" business day(s) left).")))))</f>
        <v/>
      </c>
      <c r="V672" s="17">
        <f>IF($W672="","",CHOOSE($W672,"Collection Email","1st Follow-up","2nd Follow-up","Local Office","CBE","Roxanne")&amp;IF($W672=6," - Final"," - Day "&amp;MAX(0,NETWORKDAYS($X672,TODAY(),Holidays)-1)&amp;" of "&amp;CHOOSE($W672,3,3,2,2,3))&amp;" | Total Day "&amp;MAX(0,NETWORKDAYS($L672,TODAY(),Holidays)-1))</f>
        <v/>
      </c>
      <c r="W672" s="17">
        <f>IF($L672="","",COUNT($L672:$Q672))</f>
        <v/>
      </c>
      <c r="X672" s="18">
        <f>IF($W672="","",INT(INDEX($L672:$Q672,$W672)))</f>
        <v/>
      </c>
      <c r="Y672" s="18">
        <f>IF(OR($W672="",$W672=6),"",WORKDAY($X672,CHOOSE($W672,3,3,2,2,3),Holidays))</f>
        <v/>
      </c>
      <c r="Z672" s="17">
        <f>IF(OR($W672="",$W672=6),"",CHOOSE($W672,"1st Email Follow-up","2nd Email Follow-up","Escalate Local Office","Escalate to CBE","Escalate to Roxanne"))</f>
        <v/>
      </c>
    </row>
    <row r="673" spans="18:26">
      <c r="R673" s="15"/>
      <c r="S673" s="16"/>
      <c r="T673" s="17">
        <f>IF(AND(COUNTA($A673:$K673)=0,$L673=""),"",IF($S673="Paid","PAID",IF($S673="Closed","CLOSED",IF($W673="","",IF($W673=6,"ESCALATED TO ROXANNE",IF(TODAY()&gt;$Y673,"OVERDUE",IF($Y673&lt;=WORKDAY(TODAY(),1,Holidays),"DUE TOMORROW",IF($W673=4,"ESCALATED TO LOCAL OFFICE",IF($W673=5,"ESCALATED TO CBE",IF($X673=TODAY(),"EMAIL SENT","MONITORING"))))))))))</f>
        <v/>
      </c>
      <c r="U673" s="17">
        <f>IF($T673="",IF(AND(COUNTA($A673:$K673)&gt;0,$L673=""),"Awaiting Collection Email time stamp.",""),IF(OR($T673="PAID",$T673="CLOSED"),IF($T673="PAID","Account paid. Action completed.","Account closed. No further action required."),CHOOSE($W673,"Collection Email","1st Email Follow-up","2nd Email Follow-up","Escalation to Local Office","Escalation to CBE","Escalation to Roxanne")&amp;" sent "&amp;TEXT($X673,"dd-mmm")&amp;". "&amp;IF($W673=6,"Final escalation completed.",IF($T673="OVERDUE","Next: "&amp;$Z673&amp;" was due "&amp;TEXT($Y673,"dd-mmm")&amp;" - "&amp;(NETWORKDAYS($Y673,TODAY(),Holidays)-1)&amp;" business day(s) late. Send now.",IF($T673="DUE TOMORROW","Next: "&amp;$Z673&amp;IF($Y673&lt;=TODAY()," is due TODAY ("," is due next business day (")&amp;TEXT($Y673,"dd-mmm")&amp;").","Next: "&amp;$Z673&amp;" due "&amp;TEXT($Y673,"dd-mmm")&amp;" ("&amp;(NETWORKDAYS(TODAY(),$Y673,Holidays)-1)&amp;" business day(s) left).")))))</f>
        <v/>
      </c>
      <c r="V673" s="17">
        <f>IF($W673="","",CHOOSE($W673,"Collection Email","1st Follow-up","2nd Follow-up","Local Office","CBE","Roxanne")&amp;IF($W673=6," - Final"," - Day "&amp;MAX(0,NETWORKDAYS($X673,TODAY(),Holidays)-1)&amp;" of "&amp;CHOOSE($W673,3,3,2,2,3))&amp;" | Total Day "&amp;MAX(0,NETWORKDAYS($L673,TODAY(),Holidays)-1))</f>
        <v/>
      </c>
      <c r="W673" s="17">
        <f>IF($L673="","",COUNT($L673:$Q673))</f>
        <v/>
      </c>
      <c r="X673" s="18">
        <f>IF($W673="","",INT(INDEX($L673:$Q673,$W673)))</f>
        <v/>
      </c>
      <c r="Y673" s="18">
        <f>IF(OR($W673="",$W673=6),"",WORKDAY($X673,CHOOSE($W673,3,3,2,2,3),Holidays))</f>
        <v/>
      </c>
      <c r="Z673" s="17">
        <f>IF(OR($W673="",$W673=6),"",CHOOSE($W673,"1st Email Follow-up","2nd Email Follow-up","Escalate Local Office","Escalate to CBE","Escalate to Roxanne"))</f>
        <v/>
      </c>
    </row>
    <row r="674" spans="18:26">
      <c r="R674" s="15"/>
      <c r="S674" s="16"/>
      <c r="T674" s="17">
        <f>IF(AND(COUNTA($A674:$K674)=0,$L674=""),"",IF($S674="Paid","PAID",IF($S674="Closed","CLOSED",IF($W674="","",IF($W674=6,"ESCALATED TO ROXANNE",IF(TODAY()&gt;$Y674,"OVERDUE",IF($Y674&lt;=WORKDAY(TODAY(),1,Holidays),"DUE TOMORROW",IF($W674=4,"ESCALATED TO LOCAL OFFICE",IF($W674=5,"ESCALATED TO CBE",IF($X674=TODAY(),"EMAIL SENT","MONITORING"))))))))))</f>
        <v/>
      </c>
      <c r="U674" s="17">
        <f>IF($T674="",IF(AND(COUNTA($A674:$K674)&gt;0,$L674=""),"Awaiting Collection Email time stamp.",""),IF(OR($T674="PAID",$T674="CLOSED"),IF($T674="PAID","Account paid. Action completed.","Account closed. No further action required."),CHOOSE($W674,"Collection Email","1st Email Follow-up","2nd Email Follow-up","Escalation to Local Office","Escalation to CBE","Escalation to Roxanne")&amp;" sent "&amp;TEXT($X674,"dd-mmm")&amp;". "&amp;IF($W674=6,"Final escalation completed.",IF($T674="OVERDUE","Next: "&amp;$Z674&amp;" was due "&amp;TEXT($Y674,"dd-mmm")&amp;" - "&amp;(NETWORKDAYS($Y674,TODAY(),Holidays)-1)&amp;" business day(s) late. Send now.",IF($T674="DUE TOMORROW","Next: "&amp;$Z674&amp;IF($Y674&lt;=TODAY()," is due TODAY ("," is due next business day (")&amp;TEXT($Y674,"dd-mmm")&amp;").","Next: "&amp;$Z674&amp;" due "&amp;TEXT($Y674,"dd-mmm")&amp;" ("&amp;(NETWORKDAYS(TODAY(),$Y674,Holidays)-1)&amp;" business day(s) left).")))))</f>
        <v/>
      </c>
      <c r="V674" s="17">
        <f>IF($W674="","",CHOOSE($W674,"Collection Email","1st Follow-up","2nd Follow-up","Local Office","CBE","Roxanne")&amp;IF($W674=6," - Final"," - Day "&amp;MAX(0,NETWORKDAYS($X674,TODAY(),Holidays)-1)&amp;" of "&amp;CHOOSE($W674,3,3,2,2,3))&amp;" | Total Day "&amp;MAX(0,NETWORKDAYS($L674,TODAY(),Holidays)-1))</f>
        <v/>
      </c>
      <c r="W674" s="17">
        <f>IF($L674="","",COUNT($L674:$Q674))</f>
        <v/>
      </c>
      <c r="X674" s="18">
        <f>IF($W674="","",INT(INDEX($L674:$Q674,$W674)))</f>
        <v/>
      </c>
      <c r="Y674" s="18">
        <f>IF(OR($W674="",$W674=6),"",WORKDAY($X674,CHOOSE($W674,3,3,2,2,3),Holidays))</f>
        <v/>
      </c>
      <c r="Z674" s="17">
        <f>IF(OR($W674="",$W674=6),"",CHOOSE($W674,"1st Email Follow-up","2nd Email Follow-up","Escalate Local Office","Escalate to CBE","Escalate to Roxanne"))</f>
        <v/>
      </c>
    </row>
    <row r="675" spans="18:26">
      <c r="R675" s="15"/>
      <c r="S675" s="16"/>
      <c r="T675" s="17">
        <f>IF(AND(COUNTA($A675:$K675)=0,$L675=""),"",IF($S675="Paid","PAID",IF($S675="Closed","CLOSED",IF($W675="","",IF($W675=6,"ESCALATED TO ROXANNE",IF(TODAY()&gt;$Y675,"OVERDUE",IF($Y675&lt;=WORKDAY(TODAY(),1,Holidays),"DUE TOMORROW",IF($W675=4,"ESCALATED TO LOCAL OFFICE",IF($W675=5,"ESCALATED TO CBE",IF($X675=TODAY(),"EMAIL SENT","MONITORING"))))))))))</f>
        <v/>
      </c>
      <c r="U675" s="17">
        <f>IF($T675="",IF(AND(COUNTA($A675:$K675)&gt;0,$L675=""),"Awaiting Collection Email time stamp.",""),IF(OR($T675="PAID",$T675="CLOSED"),IF($T675="PAID","Account paid. Action completed.","Account closed. No further action required."),CHOOSE($W675,"Collection Email","1st Email Follow-up","2nd Email Follow-up","Escalation to Local Office","Escalation to CBE","Escalation to Roxanne")&amp;" sent "&amp;TEXT($X675,"dd-mmm")&amp;". "&amp;IF($W675=6,"Final escalation completed.",IF($T675="OVERDUE","Next: "&amp;$Z675&amp;" was due "&amp;TEXT($Y675,"dd-mmm")&amp;" - "&amp;(NETWORKDAYS($Y675,TODAY(),Holidays)-1)&amp;" business day(s) late. Send now.",IF($T675="DUE TOMORROW","Next: "&amp;$Z675&amp;IF($Y675&lt;=TODAY()," is due TODAY ("," is due next business day (")&amp;TEXT($Y675,"dd-mmm")&amp;").","Next: "&amp;$Z675&amp;" due "&amp;TEXT($Y675,"dd-mmm")&amp;" ("&amp;(NETWORKDAYS(TODAY(),$Y675,Holidays)-1)&amp;" business day(s) left).")))))</f>
        <v/>
      </c>
      <c r="V675" s="17">
        <f>IF($W675="","",CHOOSE($W675,"Collection Email","1st Follow-up","2nd Follow-up","Local Office","CBE","Roxanne")&amp;IF($W675=6," - Final"," - Day "&amp;MAX(0,NETWORKDAYS($X675,TODAY(),Holidays)-1)&amp;" of "&amp;CHOOSE($W675,3,3,2,2,3))&amp;" | Total Day "&amp;MAX(0,NETWORKDAYS($L675,TODAY(),Holidays)-1))</f>
        <v/>
      </c>
      <c r="W675" s="17">
        <f>IF($L675="","",COUNT($L675:$Q675))</f>
        <v/>
      </c>
      <c r="X675" s="18">
        <f>IF($W675="","",INT(INDEX($L675:$Q675,$W675)))</f>
        <v/>
      </c>
      <c r="Y675" s="18">
        <f>IF(OR($W675="",$W675=6),"",WORKDAY($X675,CHOOSE($W675,3,3,2,2,3),Holidays))</f>
        <v/>
      </c>
      <c r="Z675" s="17">
        <f>IF(OR($W675="",$W675=6),"",CHOOSE($W675,"1st Email Follow-up","2nd Email Follow-up","Escalate Local Office","Escalate to CBE","Escalate to Roxanne"))</f>
        <v/>
      </c>
    </row>
    <row r="676" spans="18:26">
      <c r="R676" s="15"/>
      <c r="S676" s="16"/>
      <c r="T676" s="17">
        <f>IF(AND(COUNTA($A676:$K676)=0,$L676=""),"",IF($S676="Paid","PAID",IF($S676="Closed","CLOSED",IF($W676="","",IF($W676=6,"ESCALATED TO ROXANNE",IF(TODAY()&gt;$Y676,"OVERDUE",IF($Y676&lt;=WORKDAY(TODAY(),1,Holidays),"DUE TOMORROW",IF($W676=4,"ESCALATED TO LOCAL OFFICE",IF($W676=5,"ESCALATED TO CBE",IF($X676=TODAY(),"EMAIL SENT","MONITORING"))))))))))</f>
        <v/>
      </c>
      <c r="U676" s="17">
        <f>IF($T676="",IF(AND(COUNTA($A676:$K676)&gt;0,$L676=""),"Awaiting Collection Email time stamp.",""),IF(OR($T676="PAID",$T676="CLOSED"),IF($T676="PAID","Account paid. Action completed.","Account closed. No further action required."),CHOOSE($W676,"Collection Email","1st Email Follow-up","2nd Email Follow-up","Escalation to Local Office","Escalation to CBE","Escalation to Roxanne")&amp;" sent "&amp;TEXT($X676,"dd-mmm")&amp;". "&amp;IF($W676=6,"Final escalation completed.",IF($T676="OVERDUE","Next: "&amp;$Z676&amp;" was due "&amp;TEXT($Y676,"dd-mmm")&amp;" - "&amp;(NETWORKDAYS($Y676,TODAY(),Holidays)-1)&amp;" business day(s) late. Send now.",IF($T676="DUE TOMORROW","Next: "&amp;$Z676&amp;IF($Y676&lt;=TODAY()," is due TODAY ("," is due next business day (")&amp;TEXT($Y676,"dd-mmm")&amp;").","Next: "&amp;$Z676&amp;" due "&amp;TEXT($Y676,"dd-mmm")&amp;" ("&amp;(NETWORKDAYS(TODAY(),$Y676,Holidays)-1)&amp;" business day(s) left).")))))</f>
        <v/>
      </c>
      <c r="V676" s="17">
        <f>IF($W676="","",CHOOSE($W676,"Collection Email","1st Follow-up","2nd Follow-up","Local Office","CBE","Roxanne")&amp;IF($W676=6," - Final"," - Day "&amp;MAX(0,NETWORKDAYS($X676,TODAY(),Holidays)-1)&amp;" of "&amp;CHOOSE($W676,3,3,2,2,3))&amp;" | Total Day "&amp;MAX(0,NETWORKDAYS($L676,TODAY(),Holidays)-1))</f>
        <v/>
      </c>
      <c r="W676" s="17">
        <f>IF($L676="","",COUNT($L676:$Q676))</f>
        <v/>
      </c>
      <c r="X676" s="18">
        <f>IF($W676="","",INT(INDEX($L676:$Q676,$W676)))</f>
        <v/>
      </c>
      <c r="Y676" s="18">
        <f>IF(OR($W676="",$W676=6),"",WORKDAY($X676,CHOOSE($W676,3,3,2,2,3),Holidays))</f>
        <v/>
      </c>
      <c r="Z676" s="17">
        <f>IF(OR($W676="",$W676=6),"",CHOOSE($W676,"1st Email Follow-up","2nd Email Follow-up","Escalate Local Office","Escalate to CBE","Escalate to Roxanne"))</f>
        <v/>
      </c>
    </row>
    <row r="677" spans="18:26">
      <c r="R677" s="15"/>
      <c r="S677" s="16"/>
      <c r="T677" s="17">
        <f>IF(AND(COUNTA($A677:$K677)=0,$L677=""),"",IF($S677="Paid","PAID",IF($S677="Closed","CLOSED",IF($W677="","",IF($W677=6,"ESCALATED TO ROXANNE",IF(TODAY()&gt;$Y677,"OVERDUE",IF($Y677&lt;=WORKDAY(TODAY(),1,Holidays),"DUE TOMORROW",IF($W677=4,"ESCALATED TO LOCAL OFFICE",IF($W677=5,"ESCALATED TO CBE",IF($X677=TODAY(),"EMAIL SENT","MONITORING"))))))))))</f>
        <v/>
      </c>
      <c r="U677" s="17">
        <f>IF($T677="",IF(AND(COUNTA($A677:$K677)&gt;0,$L677=""),"Awaiting Collection Email time stamp.",""),IF(OR($T677="PAID",$T677="CLOSED"),IF($T677="PAID","Account paid. Action completed.","Account closed. No further action required."),CHOOSE($W677,"Collection Email","1st Email Follow-up","2nd Email Follow-up","Escalation to Local Office","Escalation to CBE","Escalation to Roxanne")&amp;" sent "&amp;TEXT($X677,"dd-mmm")&amp;". "&amp;IF($W677=6,"Final escalation completed.",IF($T677="OVERDUE","Next: "&amp;$Z677&amp;" was due "&amp;TEXT($Y677,"dd-mmm")&amp;" - "&amp;(NETWORKDAYS($Y677,TODAY(),Holidays)-1)&amp;" business day(s) late. Send now.",IF($T677="DUE TOMORROW","Next: "&amp;$Z677&amp;IF($Y677&lt;=TODAY()," is due TODAY ("," is due next business day (")&amp;TEXT($Y677,"dd-mmm")&amp;").","Next: "&amp;$Z677&amp;" due "&amp;TEXT($Y677,"dd-mmm")&amp;" ("&amp;(NETWORKDAYS(TODAY(),$Y677,Holidays)-1)&amp;" business day(s) left).")))))</f>
        <v/>
      </c>
      <c r="V677" s="17">
        <f>IF($W677="","",CHOOSE($W677,"Collection Email","1st Follow-up","2nd Follow-up","Local Office","CBE","Roxanne")&amp;IF($W677=6," - Final"," - Day "&amp;MAX(0,NETWORKDAYS($X677,TODAY(),Holidays)-1)&amp;" of "&amp;CHOOSE($W677,3,3,2,2,3))&amp;" | Total Day "&amp;MAX(0,NETWORKDAYS($L677,TODAY(),Holidays)-1))</f>
        <v/>
      </c>
      <c r="W677" s="17">
        <f>IF($L677="","",COUNT($L677:$Q677))</f>
        <v/>
      </c>
      <c r="X677" s="18">
        <f>IF($W677="","",INT(INDEX($L677:$Q677,$W677)))</f>
        <v/>
      </c>
      <c r="Y677" s="18">
        <f>IF(OR($W677="",$W677=6),"",WORKDAY($X677,CHOOSE($W677,3,3,2,2,3),Holidays))</f>
        <v/>
      </c>
      <c r="Z677" s="17">
        <f>IF(OR($W677="",$W677=6),"",CHOOSE($W677,"1st Email Follow-up","2nd Email Follow-up","Escalate Local Office","Escalate to CBE","Escalate to Roxanne"))</f>
        <v/>
      </c>
    </row>
    <row r="678" spans="18:26">
      <c r="R678" s="15"/>
      <c r="S678" s="16"/>
      <c r="T678" s="17">
        <f>IF(AND(COUNTA($A678:$K678)=0,$L678=""),"",IF($S678="Paid","PAID",IF($S678="Closed","CLOSED",IF($W678="","",IF($W678=6,"ESCALATED TO ROXANNE",IF(TODAY()&gt;$Y678,"OVERDUE",IF($Y678&lt;=WORKDAY(TODAY(),1,Holidays),"DUE TOMORROW",IF($W678=4,"ESCALATED TO LOCAL OFFICE",IF($W678=5,"ESCALATED TO CBE",IF($X678=TODAY(),"EMAIL SENT","MONITORING"))))))))))</f>
        <v/>
      </c>
      <c r="U678" s="17">
        <f>IF($T678="",IF(AND(COUNTA($A678:$K678)&gt;0,$L678=""),"Awaiting Collection Email time stamp.",""),IF(OR($T678="PAID",$T678="CLOSED"),IF($T678="PAID","Account paid. Action completed.","Account closed. No further action required."),CHOOSE($W678,"Collection Email","1st Email Follow-up","2nd Email Follow-up","Escalation to Local Office","Escalation to CBE","Escalation to Roxanne")&amp;" sent "&amp;TEXT($X678,"dd-mmm")&amp;". "&amp;IF($W678=6,"Final escalation completed.",IF($T678="OVERDUE","Next: "&amp;$Z678&amp;" was due "&amp;TEXT($Y678,"dd-mmm")&amp;" - "&amp;(NETWORKDAYS($Y678,TODAY(),Holidays)-1)&amp;" business day(s) late. Send now.",IF($T678="DUE TOMORROW","Next: "&amp;$Z678&amp;IF($Y678&lt;=TODAY()," is due TODAY ("," is due next business day (")&amp;TEXT($Y678,"dd-mmm")&amp;").","Next: "&amp;$Z678&amp;" due "&amp;TEXT($Y678,"dd-mmm")&amp;" ("&amp;(NETWORKDAYS(TODAY(),$Y678,Holidays)-1)&amp;" business day(s) left).")))))</f>
        <v/>
      </c>
      <c r="V678" s="17">
        <f>IF($W678="","",CHOOSE($W678,"Collection Email","1st Follow-up","2nd Follow-up","Local Office","CBE","Roxanne")&amp;IF($W678=6," - Final"," - Day "&amp;MAX(0,NETWORKDAYS($X678,TODAY(),Holidays)-1)&amp;" of "&amp;CHOOSE($W678,3,3,2,2,3))&amp;" | Total Day "&amp;MAX(0,NETWORKDAYS($L678,TODAY(),Holidays)-1))</f>
        <v/>
      </c>
      <c r="W678" s="17">
        <f>IF($L678="","",COUNT($L678:$Q678))</f>
        <v/>
      </c>
      <c r="X678" s="18">
        <f>IF($W678="","",INT(INDEX($L678:$Q678,$W678)))</f>
        <v/>
      </c>
      <c r="Y678" s="18">
        <f>IF(OR($W678="",$W678=6),"",WORKDAY($X678,CHOOSE($W678,3,3,2,2,3),Holidays))</f>
        <v/>
      </c>
      <c r="Z678" s="17">
        <f>IF(OR($W678="",$W678=6),"",CHOOSE($W678,"1st Email Follow-up","2nd Email Follow-up","Escalate Local Office","Escalate to CBE","Escalate to Roxanne"))</f>
        <v/>
      </c>
    </row>
    <row r="679" spans="18:26">
      <c r="R679" s="15"/>
      <c r="S679" s="16"/>
      <c r="T679" s="17">
        <f>IF(AND(COUNTA($A679:$K679)=0,$L679=""),"",IF($S679="Paid","PAID",IF($S679="Closed","CLOSED",IF($W679="","",IF($W679=6,"ESCALATED TO ROXANNE",IF(TODAY()&gt;$Y679,"OVERDUE",IF($Y679&lt;=WORKDAY(TODAY(),1,Holidays),"DUE TOMORROW",IF($W679=4,"ESCALATED TO LOCAL OFFICE",IF($W679=5,"ESCALATED TO CBE",IF($X679=TODAY(),"EMAIL SENT","MONITORING"))))))))))</f>
        <v/>
      </c>
      <c r="U679" s="17">
        <f>IF($T679="",IF(AND(COUNTA($A679:$K679)&gt;0,$L679=""),"Awaiting Collection Email time stamp.",""),IF(OR($T679="PAID",$T679="CLOSED"),IF($T679="PAID","Account paid. Action completed.","Account closed. No further action required."),CHOOSE($W679,"Collection Email","1st Email Follow-up","2nd Email Follow-up","Escalation to Local Office","Escalation to CBE","Escalation to Roxanne")&amp;" sent "&amp;TEXT($X679,"dd-mmm")&amp;". "&amp;IF($W679=6,"Final escalation completed.",IF($T679="OVERDUE","Next: "&amp;$Z679&amp;" was due "&amp;TEXT($Y679,"dd-mmm")&amp;" - "&amp;(NETWORKDAYS($Y679,TODAY(),Holidays)-1)&amp;" business day(s) late. Send now.",IF($T679="DUE TOMORROW","Next: "&amp;$Z679&amp;IF($Y679&lt;=TODAY()," is due TODAY ("," is due next business day (")&amp;TEXT($Y679,"dd-mmm")&amp;").","Next: "&amp;$Z679&amp;" due "&amp;TEXT($Y679,"dd-mmm")&amp;" ("&amp;(NETWORKDAYS(TODAY(),$Y679,Holidays)-1)&amp;" business day(s) left).")))))</f>
        <v/>
      </c>
      <c r="V679" s="17">
        <f>IF($W679="","",CHOOSE($W679,"Collection Email","1st Follow-up","2nd Follow-up","Local Office","CBE","Roxanne")&amp;IF($W679=6," - Final"," - Day "&amp;MAX(0,NETWORKDAYS($X679,TODAY(),Holidays)-1)&amp;" of "&amp;CHOOSE($W679,3,3,2,2,3))&amp;" | Total Day "&amp;MAX(0,NETWORKDAYS($L679,TODAY(),Holidays)-1))</f>
        <v/>
      </c>
      <c r="W679" s="17">
        <f>IF($L679="","",COUNT($L679:$Q679))</f>
        <v/>
      </c>
      <c r="X679" s="18">
        <f>IF($W679="","",INT(INDEX($L679:$Q679,$W679)))</f>
        <v/>
      </c>
      <c r="Y679" s="18">
        <f>IF(OR($W679="",$W679=6),"",WORKDAY($X679,CHOOSE($W679,3,3,2,2,3),Holidays))</f>
        <v/>
      </c>
      <c r="Z679" s="17">
        <f>IF(OR($W679="",$W679=6),"",CHOOSE($W679,"1st Email Follow-up","2nd Email Follow-up","Escalate Local Office","Escalate to CBE","Escalate to Roxanne"))</f>
        <v/>
      </c>
    </row>
    <row r="680" spans="18:26">
      <c r="R680" s="15"/>
      <c r="S680" s="16"/>
      <c r="T680" s="17">
        <f>IF(AND(COUNTA($A680:$K680)=0,$L680=""),"",IF($S680="Paid","PAID",IF($S680="Closed","CLOSED",IF($W680="","",IF($W680=6,"ESCALATED TO ROXANNE",IF(TODAY()&gt;$Y680,"OVERDUE",IF($Y680&lt;=WORKDAY(TODAY(),1,Holidays),"DUE TOMORROW",IF($W680=4,"ESCALATED TO LOCAL OFFICE",IF($W680=5,"ESCALATED TO CBE",IF($X680=TODAY(),"EMAIL SENT","MONITORING"))))))))))</f>
        <v/>
      </c>
      <c r="U680" s="17">
        <f>IF($T680="",IF(AND(COUNTA($A680:$K680)&gt;0,$L680=""),"Awaiting Collection Email time stamp.",""),IF(OR($T680="PAID",$T680="CLOSED"),IF($T680="PAID","Account paid. Action completed.","Account closed. No further action required."),CHOOSE($W680,"Collection Email","1st Email Follow-up","2nd Email Follow-up","Escalation to Local Office","Escalation to CBE","Escalation to Roxanne")&amp;" sent "&amp;TEXT($X680,"dd-mmm")&amp;". "&amp;IF($W680=6,"Final escalation completed.",IF($T680="OVERDUE","Next: "&amp;$Z680&amp;" was due "&amp;TEXT($Y680,"dd-mmm")&amp;" - "&amp;(NETWORKDAYS($Y680,TODAY(),Holidays)-1)&amp;" business day(s) late. Send now.",IF($T680="DUE TOMORROW","Next: "&amp;$Z680&amp;IF($Y680&lt;=TODAY()," is due TODAY ("," is due next business day (")&amp;TEXT($Y680,"dd-mmm")&amp;").","Next: "&amp;$Z680&amp;" due "&amp;TEXT($Y680,"dd-mmm")&amp;" ("&amp;(NETWORKDAYS(TODAY(),$Y680,Holidays)-1)&amp;" business day(s) left).")))))</f>
        <v/>
      </c>
      <c r="V680" s="17">
        <f>IF($W680="","",CHOOSE($W680,"Collection Email","1st Follow-up","2nd Follow-up","Local Office","CBE","Roxanne")&amp;IF($W680=6," - Final"," - Day "&amp;MAX(0,NETWORKDAYS($X680,TODAY(),Holidays)-1)&amp;" of "&amp;CHOOSE($W680,3,3,2,2,3))&amp;" | Total Day "&amp;MAX(0,NETWORKDAYS($L680,TODAY(),Holidays)-1))</f>
        <v/>
      </c>
      <c r="W680" s="17">
        <f>IF($L680="","",COUNT($L680:$Q680))</f>
        <v/>
      </c>
      <c r="X680" s="18">
        <f>IF($W680="","",INT(INDEX($L680:$Q680,$W680)))</f>
        <v/>
      </c>
      <c r="Y680" s="18">
        <f>IF(OR($W680="",$W680=6),"",WORKDAY($X680,CHOOSE($W680,3,3,2,2,3),Holidays))</f>
        <v/>
      </c>
      <c r="Z680" s="17">
        <f>IF(OR($W680="",$W680=6),"",CHOOSE($W680,"1st Email Follow-up","2nd Email Follow-up","Escalate Local Office","Escalate to CBE","Escalate to Roxanne"))</f>
        <v/>
      </c>
    </row>
    <row r="681" spans="18:26">
      <c r="R681" s="15"/>
      <c r="S681" s="16"/>
      <c r="T681" s="17">
        <f>IF(AND(COUNTA($A681:$K681)=0,$L681=""),"",IF($S681="Paid","PAID",IF($S681="Closed","CLOSED",IF($W681="","",IF($W681=6,"ESCALATED TO ROXANNE",IF(TODAY()&gt;$Y681,"OVERDUE",IF($Y681&lt;=WORKDAY(TODAY(),1,Holidays),"DUE TOMORROW",IF($W681=4,"ESCALATED TO LOCAL OFFICE",IF($W681=5,"ESCALATED TO CBE",IF($X681=TODAY(),"EMAIL SENT","MONITORING"))))))))))</f>
        <v/>
      </c>
      <c r="U681" s="17">
        <f>IF($T681="",IF(AND(COUNTA($A681:$K681)&gt;0,$L681=""),"Awaiting Collection Email time stamp.",""),IF(OR($T681="PAID",$T681="CLOSED"),IF($T681="PAID","Account paid. Action completed.","Account closed. No further action required."),CHOOSE($W681,"Collection Email","1st Email Follow-up","2nd Email Follow-up","Escalation to Local Office","Escalation to CBE","Escalation to Roxanne")&amp;" sent "&amp;TEXT($X681,"dd-mmm")&amp;". "&amp;IF($W681=6,"Final escalation completed.",IF($T681="OVERDUE","Next: "&amp;$Z681&amp;" was due "&amp;TEXT($Y681,"dd-mmm")&amp;" - "&amp;(NETWORKDAYS($Y681,TODAY(),Holidays)-1)&amp;" business day(s) late. Send now.",IF($T681="DUE TOMORROW","Next: "&amp;$Z681&amp;IF($Y681&lt;=TODAY()," is due TODAY ("," is due next business day (")&amp;TEXT($Y681,"dd-mmm")&amp;").","Next: "&amp;$Z681&amp;" due "&amp;TEXT($Y681,"dd-mmm")&amp;" ("&amp;(NETWORKDAYS(TODAY(),$Y681,Holidays)-1)&amp;" business day(s) left).")))))</f>
        <v/>
      </c>
      <c r="V681" s="17">
        <f>IF($W681="","",CHOOSE($W681,"Collection Email","1st Follow-up","2nd Follow-up","Local Office","CBE","Roxanne")&amp;IF($W681=6," - Final"," - Day "&amp;MAX(0,NETWORKDAYS($X681,TODAY(),Holidays)-1)&amp;" of "&amp;CHOOSE($W681,3,3,2,2,3))&amp;" | Total Day "&amp;MAX(0,NETWORKDAYS($L681,TODAY(),Holidays)-1))</f>
        <v/>
      </c>
      <c r="W681" s="17">
        <f>IF($L681="","",COUNT($L681:$Q681))</f>
        <v/>
      </c>
      <c r="X681" s="18">
        <f>IF($W681="","",INT(INDEX($L681:$Q681,$W681)))</f>
        <v/>
      </c>
      <c r="Y681" s="18">
        <f>IF(OR($W681="",$W681=6),"",WORKDAY($X681,CHOOSE($W681,3,3,2,2,3),Holidays))</f>
        <v/>
      </c>
      <c r="Z681" s="17">
        <f>IF(OR($W681="",$W681=6),"",CHOOSE($W681,"1st Email Follow-up","2nd Email Follow-up","Escalate Local Office","Escalate to CBE","Escalate to Roxanne"))</f>
        <v/>
      </c>
    </row>
    <row r="682" spans="18:26">
      <c r="R682" s="15"/>
      <c r="S682" s="16"/>
      <c r="T682" s="17">
        <f>IF(AND(COUNTA($A682:$K682)=0,$L682=""),"",IF($S682="Paid","PAID",IF($S682="Closed","CLOSED",IF($W682="","",IF($W682=6,"ESCALATED TO ROXANNE",IF(TODAY()&gt;$Y682,"OVERDUE",IF($Y682&lt;=WORKDAY(TODAY(),1,Holidays),"DUE TOMORROW",IF($W682=4,"ESCALATED TO LOCAL OFFICE",IF($W682=5,"ESCALATED TO CBE",IF($X682=TODAY(),"EMAIL SENT","MONITORING"))))))))))</f>
        <v/>
      </c>
      <c r="U682" s="17">
        <f>IF($T682="",IF(AND(COUNTA($A682:$K682)&gt;0,$L682=""),"Awaiting Collection Email time stamp.",""),IF(OR($T682="PAID",$T682="CLOSED"),IF($T682="PAID","Account paid. Action completed.","Account closed. No further action required."),CHOOSE($W682,"Collection Email","1st Email Follow-up","2nd Email Follow-up","Escalation to Local Office","Escalation to CBE","Escalation to Roxanne")&amp;" sent "&amp;TEXT($X682,"dd-mmm")&amp;". "&amp;IF($W682=6,"Final escalation completed.",IF($T682="OVERDUE","Next: "&amp;$Z682&amp;" was due "&amp;TEXT($Y682,"dd-mmm")&amp;" - "&amp;(NETWORKDAYS($Y682,TODAY(),Holidays)-1)&amp;" business day(s) late. Send now.",IF($T682="DUE TOMORROW","Next: "&amp;$Z682&amp;IF($Y682&lt;=TODAY()," is due TODAY ("," is due next business day (")&amp;TEXT($Y682,"dd-mmm")&amp;").","Next: "&amp;$Z682&amp;" due "&amp;TEXT($Y682,"dd-mmm")&amp;" ("&amp;(NETWORKDAYS(TODAY(),$Y682,Holidays)-1)&amp;" business day(s) left).")))))</f>
        <v/>
      </c>
      <c r="V682" s="17">
        <f>IF($W682="","",CHOOSE($W682,"Collection Email","1st Follow-up","2nd Follow-up","Local Office","CBE","Roxanne")&amp;IF($W682=6," - Final"," - Day "&amp;MAX(0,NETWORKDAYS($X682,TODAY(),Holidays)-1)&amp;" of "&amp;CHOOSE($W682,3,3,2,2,3))&amp;" | Total Day "&amp;MAX(0,NETWORKDAYS($L682,TODAY(),Holidays)-1))</f>
        <v/>
      </c>
      <c r="W682" s="17">
        <f>IF($L682="","",COUNT($L682:$Q682))</f>
        <v/>
      </c>
      <c r="X682" s="18">
        <f>IF($W682="","",INT(INDEX($L682:$Q682,$W682)))</f>
        <v/>
      </c>
      <c r="Y682" s="18">
        <f>IF(OR($W682="",$W682=6),"",WORKDAY($X682,CHOOSE($W682,3,3,2,2,3),Holidays))</f>
        <v/>
      </c>
      <c r="Z682" s="17">
        <f>IF(OR($W682="",$W682=6),"",CHOOSE($W682,"1st Email Follow-up","2nd Email Follow-up","Escalate Local Office","Escalate to CBE","Escalate to Roxanne"))</f>
        <v/>
      </c>
    </row>
    <row r="683" spans="18:26">
      <c r="R683" s="15"/>
      <c r="S683" s="16"/>
      <c r="T683" s="17">
        <f>IF(AND(COUNTA($A683:$K683)=0,$L683=""),"",IF($S683="Paid","PAID",IF($S683="Closed","CLOSED",IF($W683="","",IF($W683=6,"ESCALATED TO ROXANNE",IF(TODAY()&gt;$Y683,"OVERDUE",IF($Y683&lt;=WORKDAY(TODAY(),1,Holidays),"DUE TOMORROW",IF($W683=4,"ESCALATED TO LOCAL OFFICE",IF($W683=5,"ESCALATED TO CBE",IF($X683=TODAY(),"EMAIL SENT","MONITORING"))))))))))</f>
        <v/>
      </c>
      <c r="U683" s="17">
        <f>IF($T683="",IF(AND(COUNTA($A683:$K683)&gt;0,$L683=""),"Awaiting Collection Email time stamp.",""),IF(OR($T683="PAID",$T683="CLOSED"),IF($T683="PAID","Account paid. Action completed.","Account closed. No further action required."),CHOOSE($W683,"Collection Email","1st Email Follow-up","2nd Email Follow-up","Escalation to Local Office","Escalation to CBE","Escalation to Roxanne")&amp;" sent "&amp;TEXT($X683,"dd-mmm")&amp;". "&amp;IF($W683=6,"Final escalation completed.",IF($T683="OVERDUE","Next: "&amp;$Z683&amp;" was due "&amp;TEXT($Y683,"dd-mmm")&amp;" - "&amp;(NETWORKDAYS($Y683,TODAY(),Holidays)-1)&amp;" business day(s) late. Send now.",IF($T683="DUE TOMORROW","Next: "&amp;$Z683&amp;IF($Y683&lt;=TODAY()," is due TODAY ("," is due next business day (")&amp;TEXT($Y683,"dd-mmm")&amp;").","Next: "&amp;$Z683&amp;" due "&amp;TEXT($Y683,"dd-mmm")&amp;" ("&amp;(NETWORKDAYS(TODAY(),$Y683,Holidays)-1)&amp;" business day(s) left).")))))</f>
        <v/>
      </c>
      <c r="V683" s="17">
        <f>IF($W683="","",CHOOSE($W683,"Collection Email","1st Follow-up","2nd Follow-up","Local Office","CBE","Roxanne")&amp;IF($W683=6," - Final"," - Day "&amp;MAX(0,NETWORKDAYS($X683,TODAY(),Holidays)-1)&amp;" of "&amp;CHOOSE($W683,3,3,2,2,3))&amp;" | Total Day "&amp;MAX(0,NETWORKDAYS($L683,TODAY(),Holidays)-1))</f>
        <v/>
      </c>
      <c r="W683" s="17">
        <f>IF($L683="","",COUNT($L683:$Q683))</f>
        <v/>
      </c>
      <c r="X683" s="18">
        <f>IF($W683="","",INT(INDEX($L683:$Q683,$W683)))</f>
        <v/>
      </c>
      <c r="Y683" s="18">
        <f>IF(OR($W683="",$W683=6),"",WORKDAY($X683,CHOOSE($W683,3,3,2,2,3),Holidays))</f>
        <v/>
      </c>
      <c r="Z683" s="17">
        <f>IF(OR($W683="",$W683=6),"",CHOOSE($W683,"1st Email Follow-up","2nd Email Follow-up","Escalate Local Office","Escalate to CBE","Escalate to Roxanne"))</f>
        <v/>
      </c>
    </row>
    <row r="684" spans="18:26">
      <c r="R684" s="15"/>
      <c r="S684" s="16"/>
      <c r="T684" s="17">
        <f>IF(AND(COUNTA($A684:$K684)=0,$L684=""),"",IF($S684="Paid","PAID",IF($S684="Closed","CLOSED",IF($W684="","",IF($W684=6,"ESCALATED TO ROXANNE",IF(TODAY()&gt;$Y684,"OVERDUE",IF($Y684&lt;=WORKDAY(TODAY(),1,Holidays),"DUE TOMORROW",IF($W684=4,"ESCALATED TO LOCAL OFFICE",IF($W684=5,"ESCALATED TO CBE",IF($X684=TODAY(),"EMAIL SENT","MONITORING"))))))))))</f>
        <v/>
      </c>
      <c r="U684" s="17">
        <f>IF($T684="",IF(AND(COUNTA($A684:$K684)&gt;0,$L684=""),"Awaiting Collection Email time stamp.",""),IF(OR($T684="PAID",$T684="CLOSED"),IF($T684="PAID","Account paid. Action completed.","Account closed. No further action required."),CHOOSE($W684,"Collection Email","1st Email Follow-up","2nd Email Follow-up","Escalation to Local Office","Escalation to CBE","Escalation to Roxanne")&amp;" sent "&amp;TEXT($X684,"dd-mmm")&amp;". "&amp;IF($W684=6,"Final escalation completed.",IF($T684="OVERDUE","Next: "&amp;$Z684&amp;" was due "&amp;TEXT($Y684,"dd-mmm")&amp;" - "&amp;(NETWORKDAYS($Y684,TODAY(),Holidays)-1)&amp;" business day(s) late. Send now.",IF($T684="DUE TOMORROW","Next: "&amp;$Z684&amp;IF($Y684&lt;=TODAY()," is due TODAY ("," is due next business day (")&amp;TEXT($Y684,"dd-mmm")&amp;").","Next: "&amp;$Z684&amp;" due "&amp;TEXT($Y684,"dd-mmm")&amp;" ("&amp;(NETWORKDAYS(TODAY(),$Y684,Holidays)-1)&amp;" business day(s) left).")))))</f>
        <v/>
      </c>
      <c r="V684" s="17">
        <f>IF($W684="","",CHOOSE($W684,"Collection Email","1st Follow-up","2nd Follow-up","Local Office","CBE","Roxanne")&amp;IF($W684=6," - Final"," - Day "&amp;MAX(0,NETWORKDAYS($X684,TODAY(),Holidays)-1)&amp;" of "&amp;CHOOSE($W684,3,3,2,2,3))&amp;" | Total Day "&amp;MAX(0,NETWORKDAYS($L684,TODAY(),Holidays)-1))</f>
        <v/>
      </c>
      <c r="W684" s="17">
        <f>IF($L684="","",COUNT($L684:$Q684))</f>
        <v/>
      </c>
      <c r="X684" s="18">
        <f>IF($W684="","",INT(INDEX($L684:$Q684,$W684)))</f>
        <v/>
      </c>
      <c r="Y684" s="18">
        <f>IF(OR($W684="",$W684=6),"",WORKDAY($X684,CHOOSE($W684,3,3,2,2,3),Holidays))</f>
        <v/>
      </c>
      <c r="Z684" s="17">
        <f>IF(OR($W684="",$W684=6),"",CHOOSE($W684,"1st Email Follow-up","2nd Email Follow-up","Escalate Local Office","Escalate to CBE","Escalate to Roxanne"))</f>
        <v/>
      </c>
    </row>
    <row r="685" spans="18:26">
      <c r="R685" s="15"/>
      <c r="S685" s="16"/>
      <c r="T685" s="17">
        <f>IF(AND(COUNTA($A685:$K685)=0,$L685=""),"",IF($S685="Paid","PAID",IF($S685="Closed","CLOSED",IF($W685="","",IF($W685=6,"ESCALATED TO ROXANNE",IF(TODAY()&gt;$Y685,"OVERDUE",IF($Y685&lt;=WORKDAY(TODAY(),1,Holidays),"DUE TOMORROW",IF($W685=4,"ESCALATED TO LOCAL OFFICE",IF($W685=5,"ESCALATED TO CBE",IF($X685=TODAY(),"EMAIL SENT","MONITORING"))))))))))</f>
        <v/>
      </c>
      <c r="U685" s="17">
        <f>IF($T685="",IF(AND(COUNTA($A685:$K685)&gt;0,$L685=""),"Awaiting Collection Email time stamp.",""),IF(OR($T685="PAID",$T685="CLOSED"),IF($T685="PAID","Account paid. Action completed.","Account closed. No further action required."),CHOOSE($W685,"Collection Email","1st Email Follow-up","2nd Email Follow-up","Escalation to Local Office","Escalation to CBE","Escalation to Roxanne")&amp;" sent "&amp;TEXT($X685,"dd-mmm")&amp;". "&amp;IF($W685=6,"Final escalation completed.",IF($T685="OVERDUE","Next: "&amp;$Z685&amp;" was due "&amp;TEXT($Y685,"dd-mmm")&amp;" - "&amp;(NETWORKDAYS($Y685,TODAY(),Holidays)-1)&amp;" business day(s) late. Send now.",IF($T685="DUE TOMORROW","Next: "&amp;$Z685&amp;IF($Y685&lt;=TODAY()," is due TODAY ("," is due next business day (")&amp;TEXT($Y685,"dd-mmm")&amp;").","Next: "&amp;$Z685&amp;" due "&amp;TEXT($Y685,"dd-mmm")&amp;" ("&amp;(NETWORKDAYS(TODAY(),$Y685,Holidays)-1)&amp;" business day(s) left).")))))</f>
        <v/>
      </c>
      <c r="V685" s="17">
        <f>IF($W685="","",CHOOSE($W685,"Collection Email","1st Follow-up","2nd Follow-up","Local Office","CBE","Roxanne")&amp;IF($W685=6," - Final"," - Day "&amp;MAX(0,NETWORKDAYS($X685,TODAY(),Holidays)-1)&amp;" of "&amp;CHOOSE($W685,3,3,2,2,3))&amp;" | Total Day "&amp;MAX(0,NETWORKDAYS($L685,TODAY(),Holidays)-1))</f>
        <v/>
      </c>
      <c r="W685" s="17">
        <f>IF($L685="","",COUNT($L685:$Q685))</f>
        <v/>
      </c>
      <c r="X685" s="18">
        <f>IF($W685="","",INT(INDEX($L685:$Q685,$W685)))</f>
        <v/>
      </c>
      <c r="Y685" s="18">
        <f>IF(OR($W685="",$W685=6),"",WORKDAY($X685,CHOOSE($W685,3,3,2,2,3),Holidays))</f>
        <v/>
      </c>
      <c r="Z685" s="17">
        <f>IF(OR($W685="",$W685=6),"",CHOOSE($W685,"1st Email Follow-up","2nd Email Follow-up","Escalate Local Office","Escalate to CBE","Escalate to Roxanne"))</f>
        <v/>
      </c>
    </row>
    <row r="686" spans="18:26">
      <c r="R686" s="15"/>
      <c r="S686" s="16"/>
      <c r="T686" s="17">
        <f>IF(AND(COUNTA($A686:$K686)=0,$L686=""),"",IF($S686="Paid","PAID",IF($S686="Closed","CLOSED",IF($W686="","",IF($W686=6,"ESCALATED TO ROXANNE",IF(TODAY()&gt;$Y686,"OVERDUE",IF($Y686&lt;=WORKDAY(TODAY(),1,Holidays),"DUE TOMORROW",IF($W686=4,"ESCALATED TO LOCAL OFFICE",IF($W686=5,"ESCALATED TO CBE",IF($X686=TODAY(),"EMAIL SENT","MONITORING"))))))))))</f>
        <v/>
      </c>
      <c r="U686" s="17">
        <f>IF($T686="",IF(AND(COUNTA($A686:$K686)&gt;0,$L686=""),"Awaiting Collection Email time stamp.",""),IF(OR($T686="PAID",$T686="CLOSED"),IF($T686="PAID","Account paid. Action completed.","Account closed. No further action required."),CHOOSE($W686,"Collection Email","1st Email Follow-up","2nd Email Follow-up","Escalation to Local Office","Escalation to CBE","Escalation to Roxanne")&amp;" sent "&amp;TEXT($X686,"dd-mmm")&amp;". "&amp;IF($W686=6,"Final escalation completed.",IF($T686="OVERDUE","Next: "&amp;$Z686&amp;" was due "&amp;TEXT($Y686,"dd-mmm")&amp;" - "&amp;(NETWORKDAYS($Y686,TODAY(),Holidays)-1)&amp;" business day(s) late. Send now.",IF($T686="DUE TOMORROW","Next: "&amp;$Z686&amp;IF($Y686&lt;=TODAY()," is due TODAY ("," is due next business day (")&amp;TEXT($Y686,"dd-mmm")&amp;").","Next: "&amp;$Z686&amp;" due "&amp;TEXT($Y686,"dd-mmm")&amp;" ("&amp;(NETWORKDAYS(TODAY(),$Y686,Holidays)-1)&amp;" business day(s) left).")))))</f>
        <v/>
      </c>
      <c r="V686" s="17">
        <f>IF($W686="","",CHOOSE($W686,"Collection Email","1st Follow-up","2nd Follow-up","Local Office","CBE","Roxanne")&amp;IF($W686=6," - Final"," - Day "&amp;MAX(0,NETWORKDAYS($X686,TODAY(),Holidays)-1)&amp;" of "&amp;CHOOSE($W686,3,3,2,2,3))&amp;" | Total Day "&amp;MAX(0,NETWORKDAYS($L686,TODAY(),Holidays)-1))</f>
        <v/>
      </c>
      <c r="W686" s="17">
        <f>IF($L686="","",COUNT($L686:$Q686))</f>
        <v/>
      </c>
      <c r="X686" s="18">
        <f>IF($W686="","",INT(INDEX($L686:$Q686,$W686)))</f>
        <v/>
      </c>
      <c r="Y686" s="18">
        <f>IF(OR($W686="",$W686=6),"",WORKDAY($X686,CHOOSE($W686,3,3,2,2,3),Holidays))</f>
        <v/>
      </c>
      <c r="Z686" s="17">
        <f>IF(OR($W686="",$W686=6),"",CHOOSE($W686,"1st Email Follow-up","2nd Email Follow-up","Escalate Local Office","Escalate to CBE","Escalate to Roxanne"))</f>
        <v/>
      </c>
    </row>
    <row r="687" spans="18:26">
      <c r="R687" s="15"/>
      <c r="S687" s="16"/>
      <c r="T687" s="17">
        <f>IF(AND(COUNTA($A687:$K687)=0,$L687=""),"",IF($S687="Paid","PAID",IF($S687="Closed","CLOSED",IF($W687="","",IF($W687=6,"ESCALATED TO ROXANNE",IF(TODAY()&gt;$Y687,"OVERDUE",IF($Y687&lt;=WORKDAY(TODAY(),1,Holidays),"DUE TOMORROW",IF($W687=4,"ESCALATED TO LOCAL OFFICE",IF($W687=5,"ESCALATED TO CBE",IF($X687=TODAY(),"EMAIL SENT","MONITORING"))))))))))</f>
        <v/>
      </c>
      <c r="U687" s="17">
        <f>IF($T687="",IF(AND(COUNTA($A687:$K687)&gt;0,$L687=""),"Awaiting Collection Email time stamp.",""),IF(OR($T687="PAID",$T687="CLOSED"),IF($T687="PAID","Account paid. Action completed.","Account closed. No further action required."),CHOOSE($W687,"Collection Email","1st Email Follow-up","2nd Email Follow-up","Escalation to Local Office","Escalation to CBE","Escalation to Roxanne")&amp;" sent "&amp;TEXT($X687,"dd-mmm")&amp;". "&amp;IF($W687=6,"Final escalation completed.",IF($T687="OVERDUE","Next: "&amp;$Z687&amp;" was due "&amp;TEXT($Y687,"dd-mmm")&amp;" - "&amp;(NETWORKDAYS($Y687,TODAY(),Holidays)-1)&amp;" business day(s) late. Send now.",IF($T687="DUE TOMORROW","Next: "&amp;$Z687&amp;IF($Y687&lt;=TODAY()," is due TODAY ("," is due next business day (")&amp;TEXT($Y687,"dd-mmm")&amp;").","Next: "&amp;$Z687&amp;" due "&amp;TEXT($Y687,"dd-mmm")&amp;" ("&amp;(NETWORKDAYS(TODAY(),$Y687,Holidays)-1)&amp;" business day(s) left).")))))</f>
        <v/>
      </c>
      <c r="V687" s="17">
        <f>IF($W687="","",CHOOSE($W687,"Collection Email","1st Follow-up","2nd Follow-up","Local Office","CBE","Roxanne")&amp;IF($W687=6," - Final"," - Day "&amp;MAX(0,NETWORKDAYS($X687,TODAY(),Holidays)-1)&amp;" of "&amp;CHOOSE($W687,3,3,2,2,3))&amp;" | Total Day "&amp;MAX(0,NETWORKDAYS($L687,TODAY(),Holidays)-1))</f>
        <v/>
      </c>
      <c r="W687" s="17">
        <f>IF($L687="","",COUNT($L687:$Q687))</f>
        <v/>
      </c>
      <c r="X687" s="18">
        <f>IF($W687="","",INT(INDEX($L687:$Q687,$W687)))</f>
        <v/>
      </c>
      <c r="Y687" s="18">
        <f>IF(OR($W687="",$W687=6),"",WORKDAY($X687,CHOOSE($W687,3,3,2,2,3),Holidays))</f>
        <v/>
      </c>
      <c r="Z687" s="17">
        <f>IF(OR($W687="",$W687=6),"",CHOOSE($W687,"1st Email Follow-up","2nd Email Follow-up","Escalate Local Office","Escalate to CBE","Escalate to Roxanne"))</f>
        <v/>
      </c>
    </row>
    <row r="688" spans="18:26">
      <c r="R688" s="15"/>
      <c r="S688" s="16"/>
      <c r="T688" s="17">
        <f>IF(AND(COUNTA($A688:$K688)=0,$L688=""),"",IF($S688="Paid","PAID",IF($S688="Closed","CLOSED",IF($W688="","",IF($W688=6,"ESCALATED TO ROXANNE",IF(TODAY()&gt;$Y688,"OVERDUE",IF($Y688&lt;=WORKDAY(TODAY(),1,Holidays),"DUE TOMORROW",IF($W688=4,"ESCALATED TO LOCAL OFFICE",IF($W688=5,"ESCALATED TO CBE",IF($X688=TODAY(),"EMAIL SENT","MONITORING"))))))))))</f>
        <v/>
      </c>
      <c r="U688" s="17">
        <f>IF($T688="",IF(AND(COUNTA($A688:$K688)&gt;0,$L688=""),"Awaiting Collection Email time stamp.",""),IF(OR($T688="PAID",$T688="CLOSED"),IF($T688="PAID","Account paid. Action completed.","Account closed. No further action required."),CHOOSE($W688,"Collection Email","1st Email Follow-up","2nd Email Follow-up","Escalation to Local Office","Escalation to CBE","Escalation to Roxanne")&amp;" sent "&amp;TEXT($X688,"dd-mmm")&amp;". "&amp;IF($W688=6,"Final escalation completed.",IF($T688="OVERDUE","Next: "&amp;$Z688&amp;" was due "&amp;TEXT($Y688,"dd-mmm")&amp;" - "&amp;(NETWORKDAYS($Y688,TODAY(),Holidays)-1)&amp;" business day(s) late. Send now.",IF($T688="DUE TOMORROW","Next: "&amp;$Z688&amp;IF($Y688&lt;=TODAY()," is due TODAY ("," is due next business day (")&amp;TEXT($Y688,"dd-mmm")&amp;").","Next: "&amp;$Z688&amp;" due "&amp;TEXT($Y688,"dd-mmm")&amp;" ("&amp;(NETWORKDAYS(TODAY(),$Y688,Holidays)-1)&amp;" business day(s) left).")))))</f>
        <v/>
      </c>
      <c r="V688" s="17">
        <f>IF($W688="","",CHOOSE($W688,"Collection Email","1st Follow-up","2nd Follow-up","Local Office","CBE","Roxanne")&amp;IF($W688=6," - Final"," - Day "&amp;MAX(0,NETWORKDAYS($X688,TODAY(),Holidays)-1)&amp;" of "&amp;CHOOSE($W688,3,3,2,2,3))&amp;" | Total Day "&amp;MAX(0,NETWORKDAYS($L688,TODAY(),Holidays)-1))</f>
        <v/>
      </c>
      <c r="W688" s="17">
        <f>IF($L688="","",COUNT($L688:$Q688))</f>
        <v/>
      </c>
      <c r="X688" s="18">
        <f>IF($W688="","",INT(INDEX($L688:$Q688,$W688)))</f>
        <v/>
      </c>
      <c r="Y688" s="18">
        <f>IF(OR($W688="",$W688=6),"",WORKDAY($X688,CHOOSE($W688,3,3,2,2,3),Holidays))</f>
        <v/>
      </c>
      <c r="Z688" s="17">
        <f>IF(OR($W688="",$W688=6),"",CHOOSE($W688,"1st Email Follow-up","2nd Email Follow-up","Escalate Local Office","Escalate to CBE","Escalate to Roxanne"))</f>
        <v/>
      </c>
    </row>
    <row r="689" spans="18:26">
      <c r="R689" s="15"/>
      <c r="S689" s="16"/>
      <c r="T689" s="17">
        <f>IF(AND(COUNTA($A689:$K689)=0,$L689=""),"",IF($S689="Paid","PAID",IF($S689="Closed","CLOSED",IF($W689="","",IF($W689=6,"ESCALATED TO ROXANNE",IF(TODAY()&gt;$Y689,"OVERDUE",IF($Y689&lt;=WORKDAY(TODAY(),1,Holidays),"DUE TOMORROW",IF($W689=4,"ESCALATED TO LOCAL OFFICE",IF($W689=5,"ESCALATED TO CBE",IF($X689=TODAY(),"EMAIL SENT","MONITORING"))))))))))</f>
        <v/>
      </c>
      <c r="U689" s="17">
        <f>IF($T689="",IF(AND(COUNTA($A689:$K689)&gt;0,$L689=""),"Awaiting Collection Email time stamp.",""),IF(OR($T689="PAID",$T689="CLOSED"),IF($T689="PAID","Account paid. Action completed.","Account closed. No further action required."),CHOOSE($W689,"Collection Email","1st Email Follow-up","2nd Email Follow-up","Escalation to Local Office","Escalation to CBE","Escalation to Roxanne")&amp;" sent "&amp;TEXT($X689,"dd-mmm")&amp;". "&amp;IF($W689=6,"Final escalation completed.",IF($T689="OVERDUE","Next: "&amp;$Z689&amp;" was due "&amp;TEXT($Y689,"dd-mmm")&amp;" - "&amp;(NETWORKDAYS($Y689,TODAY(),Holidays)-1)&amp;" business day(s) late. Send now.",IF($T689="DUE TOMORROW","Next: "&amp;$Z689&amp;IF($Y689&lt;=TODAY()," is due TODAY ("," is due next business day (")&amp;TEXT($Y689,"dd-mmm")&amp;").","Next: "&amp;$Z689&amp;" due "&amp;TEXT($Y689,"dd-mmm")&amp;" ("&amp;(NETWORKDAYS(TODAY(),$Y689,Holidays)-1)&amp;" business day(s) left).")))))</f>
        <v/>
      </c>
      <c r="V689" s="17">
        <f>IF($W689="","",CHOOSE($W689,"Collection Email","1st Follow-up","2nd Follow-up","Local Office","CBE","Roxanne")&amp;IF($W689=6," - Final"," - Day "&amp;MAX(0,NETWORKDAYS($X689,TODAY(),Holidays)-1)&amp;" of "&amp;CHOOSE($W689,3,3,2,2,3))&amp;" | Total Day "&amp;MAX(0,NETWORKDAYS($L689,TODAY(),Holidays)-1))</f>
        <v/>
      </c>
      <c r="W689" s="17">
        <f>IF($L689="","",COUNT($L689:$Q689))</f>
        <v/>
      </c>
      <c r="X689" s="18">
        <f>IF($W689="","",INT(INDEX($L689:$Q689,$W689)))</f>
        <v/>
      </c>
      <c r="Y689" s="18">
        <f>IF(OR($W689="",$W689=6),"",WORKDAY($X689,CHOOSE($W689,3,3,2,2,3),Holidays))</f>
        <v/>
      </c>
      <c r="Z689" s="17">
        <f>IF(OR($W689="",$W689=6),"",CHOOSE($W689,"1st Email Follow-up","2nd Email Follow-up","Escalate Local Office","Escalate to CBE","Escalate to Roxanne"))</f>
        <v/>
      </c>
    </row>
    <row r="690" spans="18:26">
      <c r="R690" s="15"/>
      <c r="S690" s="16"/>
      <c r="T690" s="17">
        <f>IF(AND(COUNTA($A690:$K690)=0,$L690=""),"",IF($S690="Paid","PAID",IF($S690="Closed","CLOSED",IF($W690="","",IF($W690=6,"ESCALATED TO ROXANNE",IF(TODAY()&gt;$Y690,"OVERDUE",IF($Y690&lt;=WORKDAY(TODAY(),1,Holidays),"DUE TOMORROW",IF($W690=4,"ESCALATED TO LOCAL OFFICE",IF($W690=5,"ESCALATED TO CBE",IF($X690=TODAY(),"EMAIL SENT","MONITORING"))))))))))</f>
        <v/>
      </c>
      <c r="U690" s="17">
        <f>IF($T690="",IF(AND(COUNTA($A690:$K690)&gt;0,$L690=""),"Awaiting Collection Email time stamp.",""),IF(OR($T690="PAID",$T690="CLOSED"),IF($T690="PAID","Account paid. Action completed.","Account closed. No further action required."),CHOOSE($W690,"Collection Email","1st Email Follow-up","2nd Email Follow-up","Escalation to Local Office","Escalation to CBE","Escalation to Roxanne")&amp;" sent "&amp;TEXT($X690,"dd-mmm")&amp;". "&amp;IF($W690=6,"Final escalation completed.",IF($T690="OVERDUE","Next: "&amp;$Z690&amp;" was due "&amp;TEXT($Y690,"dd-mmm")&amp;" - "&amp;(NETWORKDAYS($Y690,TODAY(),Holidays)-1)&amp;" business day(s) late. Send now.",IF($T690="DUE TOMORROW","Next: "&amp;$Z690&amp;IF($Y690&lt;=TODAY()," is due TODAY ("," is due next business day (")&amp;TEXT($Y690,"dd-mmm")&amp;").","Next: "&amp;$Z690&amp;" due "&amp;TEXT($Y690,"dd-mmm")&amp;" ("&amp;(NETWORKDAYS(TODAY(),$Y690,Holidays)-1)&amp;" business day(s) left).")))))</f>
        <v/>
      </c>
      <c r="V690" s="17">
        <f>IF($W690="","",CHOOSE($W690,"Collection Email","1st Follow-up","2nd Follow-up","Local Office","CBE","Roxanne")&amp;IF($W690=6," - Final"," - Day "&amp;MAX(0,NETWORKDAYS($X690,TODAY(),Holidays)-1)&amp;" of "&amp;CHOOSE($W690,3,3,2,2,3))&amp;" | Total Day "&amp;MAX(0,NETWORKDAYS($L690,TODAY(),Holidays)-1))</f>
        <v/>
      </c>
      <c r="W690" s="17">
        <f>IF($L690="","",COUNT($L690:$Q690))</f>
        <v/>
      </c>
      <c r="X690" s="18">
        <f>IF($W690="","",INT(INDEX($L690:$Q690,$W690)))</f>
        <v/>
      </c>
      <c r="Y690" s="18">
        <f>IF(OR($W690="",$W690=6),"",WORKDAY($X690,CHOOSE($W690,3,3,2,2,3),Holidays))</f>
        <v/>
      </c>
      <c r="Z690" s="17">
        <f>IF(OR($W690="",$W690=6),"",CHOOSE($W690,"1st Email Follow-up","2nd Email Follow-up","Escalate Local Office","Escalate to CBE","Escalate to Roxanne"))</f>
        <v/>
      </c>
    </row>
    <row r="691" spans="18:26">
      <c r="R691" s="15"/>
      <c r="S691" s="16"/>
      <c r="T691" s="17">
        <f>IF(AND(COUNTA($A691:$K691)=0,$L691=""),"",IF($S691="Paid","PAID",IF($S691="Closed","CLOSED",IF($W691="","",IF($W691=6,"ESCALATED TO ROXANNE",IF(TODAY()&gt;$Y691,"OVERDUE",IF($Y691&lt;=WORKDAY(TODAY(),1,Holidays),"DUE TOMORROW",IF($W691=4,"ESCALATED TO LOCAL OFFICE",IF($W691=5,"ESCALATED TO CBE",IF($X691=TODAY(),"EMAIL SENT","MONITORING"))))))))))</f>
        <v/>
      </c>
      <c r="U691" s="17">
        <f>IF($T691="",IF(AND(COUNTA($A691:$K691)&gt;0,$L691=""),"Awaiting Collection Email time stamp.",""),IF(OR($T691="PAID",$T691="CLOSED"),IF($T691="PAID","Account paid. Action completed.","Account closed. No further action required."),CHOOSE($W691,"Collection Email","1st Email Follow-up","2nd Email Follow-up","Escalation to Local Office","Escalation to CBE","Escalation to Roxanne")&amp;" sent "&amp;TEXT($X691,"dd-mmm")&amp;". "&amp;IF($W691=6,"Final escalation completed.",IF($T691="OVERDUE","Next: "&amp;$Z691&amp;" was due "&amp;TEXT($Y691,"dd-mmm")&amp;" - "&amp;(NETWORKDAYS($Y691,TODAY(),Holidays)-1)&amp;" business day(s) late. Send now.",IF($T691="DUE TOMORROW","Next: "&amp;$Z691&amp;IF($Y691&lt;=TODAY()," is due TODAY ("," is due next business day (")&amp;TEXT($Y691,"dd-mmm")&amp;").","Next: "&amp;$Z691&amp;" due "&amp;TEXT($Y691,"dd-mmm")&amp;" ("&amp;(NETWORKDAYS(TODAY(),$Y691,Holidays)-1)&amp;" business day(s) left).")))))</f>
        <v/>
      </c>
      <c r="V691" s="17">
        <f>IF($W691="","",CHOOSE($W691,"Collection Email","1st Follow-up","2nd Follow-up","Local Office","CBE","Roxanne")&amp;IF($W691=6," - Final"," - Day "&amp;MAX(0,NETWORKDAYS($X691,TODAY(),Holidays)-1)&amp;" of "&amp;CHOOSE($W691,3,3,2,2,3))&amp;" | Total Day "&amp;MAX(0,NETWORKDAYS($L691,TODAY(),Holidays)-1))</f>
        <v/>
      </c>
      <c r="W691" s="17">
        <f>IF($L691="","",COUNT($L691:$Q691))</f>
        <v/>
      </c>
      <c r="X691" s="18">
        <f>IF($W691="","",INT(INDEX($L691:$Q691,$W691)))</f>
        <v/>
      </c>
      <c r="Y691" s="18">
        <f>IF(OR($W691="",$W691=6),"",WORKDAY($X691,CHOOSE($W691,3,3,2,2,3),Holidays))</f>
        <v/>
      </c>
      <c r="Z691" s="17">
        <f>IF(OR($W691="",$W691=6),"",CHOOSE($W691,"1st Email Follow-up","2nd Email Follow-up","Escalate Local Office","Escalate to CBE","Escalate to Roxanne"))</f>
        <v/>
      </c>
    </row>
    <row r="692" spans="18:26">
      <c r="R692" s="15"/>
      <c r="S692" s="16"/>
      <c r="T692" s="17">
        <f>IF(AND(COUNTA($A692:$K692)=0,$L692=""),"",IF($S692="Paid","PAID",IF($S692="Closed","CLOSED",IF($W692="","",IF($W692=6,"ESCALATED TO ROXANNE",IF(TODAY()&gt;$Y692,"OVERDUE",IF($Y692&lt;=WORKDAY(TODAY(),1,Holidays),"DUE TOMORROW",IF($W692=4,"ESCALATED TO LOCAL OFFICE",IF($W692=5,"ESCALATED TO CBE",IF($X692=TODAY(),"EMAIL SENT","MONITORING"))))))))))</f>
        <v/>
      </c>
      <c r="U692" s="17">
        <f>IF($T692="",IF(AND(COUNTA($A692:$K692)&gt;0,$L692=""),"Awaiting Collection Email time stamp.",""),IF(OR($T692="PAID",$T692="CLOSED"),IF($T692="PAID","Account paid. Action completed.","Account closed. No further action required."),CHOOSE($W692,"Collection Email","1st Email Follow-up","2nd Email Follow-up","Escalation to Local Office","Escalation to CBE","Escalation to Roxanne")&amp;" sent "&amp;TEXT($X692,"dd-mmm")&amp;". "&amp;IF($W692=6,"Final escalation completed.",IF($T692="OVERDUE","Next: "&amp;$Z692&amp;" was due "&amp;TEXT($Y692,"dd-mmm")&amp;" - "&amp;(NETWORKDAYS($Y692,TODAY(),Holidays)-1)&amp;" business day(s) late. Send now.",IF($T692="DUE TOMORROW","Next: "&amp;$Z692&amp;IF($Y692&lt;=TODAY()," is due TODAY ("," is due next business day (")&amp;TEXT($Y692,"dd-mmm")&amp;").","Next: "&amp;$Z692&amp;" due "&amp;TEXT($Y692,"dd-mmm")&amp;" ("&amp;(NETWORKDAYS(TODAY(),$Y692,Holidays)-1)&amp;" business day(s) left).")))))</f>
        <v/>
      </c>
      <c r="V692" s="17">
        <f>IF($W692="","",CHOOSE($W692,"Collection Email","1st Follow-up","2nd Follow-up","Local Office","CBE","Roxanne")&amp;IF($W692=6," - Final"," - Day "&amp;MAX(0,NETWORKDAYS($X692,TODAY(),Holidays)-1)&amp;" of "&amp;CHOOSE($W692,3,3,2,2,3))&amp;" | Total Day "&amp;MAX(0,NETWORKDAYS($L692,TODAY(),Holidays)-1))</f>
        <v/>
      </c>
      <c r="W692" s="17">
        <f>IF($L692="","",COUNT($L692:$Q692))</f>
        <v/>
      </c>
      <c r="X692" s="18">
        <f>IF($W692="","",INT(INDEX($L692:$Q692,$W692)))</f>
        <v/>
      </c>
      <c r="Y692" s="18">
        <f>IF(OR($W692="",$W692=6),"",WORKDAY($X692,CHOOSE($W692,3,3,2,2,3),Holidays))</f>
        <v/>
      </c>
      <c r="Z692" s="17">
        <f>IF(OR($W692="",$W692=6),"",CHOOSE($W692,"1st Email Follow-up","2nd Email Follow-up","Escalate Local Office","Escalate to CBE","Escalate to Roxanne"))</f>
        <v/>
      </c>
    </row>
    <row r="693" spans="18:26">
      <c r="R693" s="15"/>
      <c r="S693" s="16"/>
      <c r="T693" s="17">
        <f>IF(AND(COUNTA($A693:$K693)=0,$L693=""),"",IF($S693="Paid","PAID",IF($S693="Closed","CLOSED",IF($W693="","",IF($W693=6,"ESCALATED TO ROXANNE",IF(TODAY()&gt;$Y693,"OVERDUE",IF($Y693&lt;=WORKDAY(TODAY(),1,Holidays),"DUE TOMORROW",IF($W693=4,"ESCALATED TO LOCAL OFFICE",IF($W693=5,"ESCALATED TO CBE",IF($X693=TODAY(),"EMAIL SENT","MONITORING"))))))))))</f>
        <v/>
      </c>
      <c r="U693" s="17">
        <f>IF($T693="",IF(AND(COUNTA($A693:$K693)&gt;0,$L693=""),"Awaiting Collection Email time stamp.",""),IF(OR($T693="PAID",$T693="CLOSED"),IF($T693="PAID","Account paid. Action completed.","Account closed. No further action required."),CHOOSE($W693,"Collection Email","1st Email Follow-up","2nd Email Follow-up","Escalation to Local Office","Escalation to CBE","Escalation to Roxanne")&amp;" sent "&amp;TEXT($X693,"dd-mmm")&amp;". "&amp;IF($W693=6,"Final escalation completed.",IF($T693="OVERDUE","Next: "&amp;$Z693&amp;" was due "&amp;TEXT($Y693,"dd-mmm")&amp;" - "&amp;(NETWORKDAYS($Y693,TODAY(),Holidays)-1)&amp;" business day(s) late. Send now.",IF($T693="DUE TOMORROW","Next: "&amp;$Z693&amp;IF($Y693&lt;=TODAY()," is due TODAY ("," is due next business day (")&amp;TEXT($Y693,"dd-mmm")&amp;").","Next: "&amp;$Z693&amp;" due "&amp;TEXT($Y693,"dd-mmm")&amp;" ("&amp;(NETWORKDAYS(TODAY(),$Y693,Holidays)-1)&amp;" business day(s) left).")))))</f>
        <v/>
      </c>
      <c r="V693" s="17">
        <f>IF($W693="","",CHOOSE($W693,"Collection Email","1st Follow-up","2nd Follow-up","Local Office","CBE","Roxanne")&amp;IF($W693=6," - Final"," - Day "&amp;MAX(0,NETWORKDAYS($X693,TODAY(),Holidays)-1)&amp;" of "&amp;CHOOSE($W693,3,3,2,2,3))&amp;" | Total Day "&amp;MAX(0,NETWORKDAYS($L693,TODAY(),Holidays)-1))</f>
        <v/>
      </c>
      <c r="W693" s="17">
        <f>IF($L693="","",COUNT($L693:$Q693))</f>
        <v/>
      </c>
      <c r="X693" s="18">
        <f>IF($W693="","",INT(INDEX($L693:$Q693,$W693)))</f>
        <v/>
      </c>
      <c r="Y693" s="18">
        <f>IF(OR($W693="",$W693=6),"",WORKDAY($X693,CHOOSE($W693,3,3,2,2,3),Holidays))</f>
        <v/>
      </c>
      <c r="Z693" s="17">
        <f>IF(OR($W693="",$W693=6),"",CHOOSE($W693,"1st Email Follow-up","2nd Email Follow-up","Escalate Local Office","Escalate to CBE","Escalate to Roxanne"))</f>
        <v/>
      </c>
    </row>
    <row r="694" spans="18:26">
      <c r="R694" s="15"/>
      <c r="S694" s="16"/>
      <c r="T694" s="17">
        <f>IF(AND(COUNTA($A694:$K694)=0,$L694=""),"",IF($S694="Paid","PAID",IF($S694="Closed","CLOSED",IF($W694="","",IF($W694=6,"ESCALATED TO ROXANNE",IF(TODAY()&gt;$Y694,"OVERDUE",IF($Y694&lt;=WORKDAY(TODAY(),1,Holidays),"DUE TOMORROW",IF($W694=4,"ESCALATED TO LOCAL OFFICE",IF($W694=5,"ESCALATED TO CBE",IF($X694=TODAY(),"EMAIL SENT","MONITORING"))))))))))</f>
        <v/>
      </c>
      <c r="U694" s="17">
        <f>IF($T694="",IF(AND(COUNTA($A694:$K694)&gt;0,$L694=""),"Awaiting Collection Email time stamp.",""),IF(OR($T694="PAID",$T694="CLOSED"),IF($T694="PAID","Account paid. Action completed.","Account closed. No further action required."),CHOOSE($W694,"Collection Email","1st Email Follow-up","2nd Email Follow-up","Escalation to Local Office","Escalation to CBE","Escalation to Roxanne")&amp;" sent "&amp;TEXT($X694,"dd-mmm")&amp;". "&amp;IF($W694=6,"Final escalation completed.",IF($T694="OVERDUE","Next: "&amp;$Z694&amp;" was due "&amp;TEXT($Y694,"dd-mmm")&amp;" - "&amp;(NETWORKDAYS($Y694,TODAY(),Holidays)-1)&amp;" business day(s) late. Send now.",IF($T694="DUE TOMORROW","Next: "&amp;$Z694&amp;IF($Y694&lt;=TODAY()," is due TODAY ("," is due next business day (")&amp;TEXT($Y694,"dd-mmm")&amp;").","Next: "&amp;$Z694&amp;" due "&amp;TEXT($Y694,"dd-mmm")&amp;" ("&amp;(NETWORKDAYS(TODAY(),$Y694,Holidays)-1)&amp;" business day(s) left).")))))</f>
        <v/>
      </c>
      <c r="V694" s="17">
        <f>IF($W694="","",CHOOSE($W694,"Collection Email","1st Follow-up","2nd Follow-up","Local Office","CBE","Roxanne")&amp;IF($W694=6," - Final"," - Day "&amp;MAX(0,NETWORKDAYS($X694,TODAY(),Holidays)-1)&amp;" of "&amp;CHOOSE($W694,3,3,2,2,3))&amp;" | Total Day "&amp;MAX(0,NETWORKDAYS($L694,TODAY(),Holidays)-1))</f>
        <v/>
      </c>
      <c r="W694" s="17">
        <f>IF($L694="","",COUNT($L694:$Q694))</f>
        <v/>
      </c>
      <c r="X694" s="18">
        <f>IF($W694="","",INT(INDEX($L694:$Q694,$W694)))</f>
        <v/>
      </c>
      <c r="Y694" s="18">
        <f>IF(OR($W694="",$W694=6),"",WORKDAY($X694,CHOOSE($W694,3,3,2,2,3),Holidays))</f>
        <v/>
      </c>
      <c r="Z694" s="17">
        <f>IF(OR($W694="",$W694=6),"",CHOOSE($W694,"1st Email Follow-up","2nd Email Follow-up","Escalate Local Office","Escalate to CBE","Escalate to Roxanne"))</f>
        <v/>
      </c>
    </row>
    <row r="695" spans="18:26">
      <c r="R695" s="15"/>
      <c r="S695" s="16"/>
      <c r="T695" s="17">
        <f>IF(AND(COUNTA($A695:$K695)=0,$L695=""),"",IF($S695="Paid","PAID",IF($S695="Closed","CLOSED",IF($W695="","",IF($W695=6,"ESCALATED TO ROXANNE",IF(TODAY()&gt;$Y695,"OVERDUE",IF($Y695&lt;=WORKDAY(TODAY(),1,Holidays),"DUE TOMORROW",IF($W695=4,"ESCALATED TO LOCAL OFFICE",IF($W695=5,"ESCALATED TO CBE",IF($X695=TODAY(),"EMAIL SENT","MONITORING"))))))))))</f>
        <v/>
      </c>
      <c r="U695" s="17">
        <f>IF($T695="",IF(AND(COUNTA($A695:$K695)&gt;0,$L695=""),"Awaiting Collection Email time stamp.",""),IF(OR($T695="PAID",$T695="CLOSED"),IF($T695="PAID","Account paid. Action completed.","Account closed. No further action required."),CHOOSE($W695,"Collection Email","1st Email Follow-up","2nd Email Follow-up","Escalation to Local Office","Escalation to CBE","Escalation to Roxanne")&amp;" sent "&amp;TEXT($X695,"dd-mmm")&amp;". "&amp;IF($W695=6,"Final escalation completed.",IF($T695="OVERDUE","Next: "&amp;$Z695&amp;" was due "&amp;TEXT($Y695,"dd-mmm")&amp;" - "&amp;(NETWORKDAYS($Y695,TODAY(),Holidays)-1)&amp;" business day(s) late. Send now.",IF($T695="DUE TOMORROW","Next: "&amp;$Z695&amp;IF($Y695&lt;=TODAY()," is due TODAY ("," is due next business day (")&amp;TEXT($Y695,"dd-mmm")&amp;").","Next: "&amp;$Z695&amp;" due "&amp;TEXT($Y695,"dd-mmm")&amp;" ("&amp;(NETWORKDAYS(TODAY(),$Y695,Holidays)-1)&amp;" business day(s) left).")))))</f>
        <v/>
      </c>
      <c r="V695" s="17">
        <f>IF($W695="","",CHOOSE($W695,"Collection Email","1st Follow-up","2nd Follow-up","Local Office","CBE","Roxanne")&amp;IF($W695=6," - Final"," - Day "&amp;MAX(0,NETWORKDAYS($X695,TODAY(),Holidays)-1)&amp;" of "&amp;CHOOSE($W695,3,3,2,2,3))&amp;" | Total Day "&amp;MAX(0,NETWORKDAYS($L695,TODAY(),Holidays)-1))</f>
        <v/>
      </c>
      <c r="W695" s="17">
        <f>IF($L695="","",COUNT($L695:$Q695))</f>
        <v/>
      </c>
      <c r="X695" s="18">
        <f>IF($W695="","",INT(INDEX($L695:$Q695,$W695)))</f>
        <v/>
      </c>
      <c r="Y695" s="18">
        <f>IF(OR($W695="",$W695=6),"",WORKDAY($X695,CHOOSE($W695,3,3,2,2,3),Holidays))</f>
        <v/>
      </c>
      <c r="Z695" s="17">
        <f>IF(OR($W695="",$W695=6),"",CHOOSE($W695,"1st Email Follow-up","2nd Email Follow-up","Escalate Local Office","Escalate to CBE","Escalate to Roxanne"))</f>
        <v/>
      </c>
    </row>
    <row r="696" spans="18:26">
      <c r="R696" s="15"/>
      <c r="S696" s="16"/>
      <c r="T696" s="17">
        <f>IF(AND(COUNTA($A696:$K696)=0,$L696=""),"",IF($S696="Paid","PAID",IF($S696="Closed","CLOSED",IF($W696="","",IF($W696=6,"ESCALATED TO ROXANNE",IF(TODAY()&gt;$Y696,"OVERDUE",IF($Y696&lt;=WORKDAY(TODAY(),1,Holidays),"DUE TOMORROW",IF($W696=4,"ESCALATED TO LOCAL OFFICE",IF($W696=5,"ESCALATED TO CBE",IF($X696=TODAY(),"EMAIL SENT","MONITORING"))))))))))</f>
        <v/>
      </c>
      <c r="U696" s="17">
        <f>IF($T696="",IF(AND(COUNTA($A696:$K696)&gt;0,$L696=""),"Awaiting Collection Email time stamp.",""),IF(OR($T696="PAID",$T696="CLOSED"),IF($T696="PAID","Account paid. Action completed.","Account closed. No further action required."),CHOOSE($W696,"Collection Email","1st Email Follow-up","2nd Email Follow-up","Escalation to Local Office","Escalation to CBE","Escalation to Roxanne")&amp;" sent "&amp;TEXT($X696,"dd-mmm")&amp;". "&amp;IF($W696=6,"Final escalation completed.",IF($T696="OVERDUE","Next: "&amp;$Z696&amp;" was due "&amp;TEXT($Y696,"dd-mmm")&amp;" - "&amp;(NETWORKDAYS($Y696,TODAY(),Holidays)-1)&amp;" business day(s) late. Send now.",IF($T696="DUE TOMORROW","Next: "&amp;$Z696&amp;IF($Y696&lt;=TODAY()," is due TODAY ("," is due next business day (")&amp;TEXT($Y696,"dd-mmm")&amp;").","Next: "&amp;$Z696&amp;" due "&amp;TEXT($Y696,"dd-mmm")&amp;" ("&amp;(NETWORKDAYS(TODAY(),$Y696,Holidays)-1)&amp;" business day(s) left).")))))</f>
        <v/>
      </c>
      <c r="V696" s="17">
        <f>IF($W696="","",CHOOSE($W696,"Collection Email","1st Follow-up","2nd Follow-up","Local Office","CBE","Roxanne")&amp;IF($W696=6," - Final"," - Day "&amp;MAX(0,NETWORKDAYS($X696,TODAY(),Holidays)-1)&amp;" of "&amp;CHOOSE($W696,3,3,2,2,3))&amp;" | Total Day "&amp;MAX(0,NETWORKDAYS($L696,TODAY(),Holidays)-1))</f>
        <v/>
      </c>
      <c r="W696" s="17">
        <f>IF($L696="","",COUNT($L696:$Q696))</f>
        <v/>
      </c>
      <c r="X696" s="18">
        <f>IF($W696="","",INT(INDEX($L696:$Q696,$W696)))</f>
        <v/>
      </c>
      <c r="Y696" s="18">
        <f>IF(OR($W696="",$W696=6),"",WORKDAY($X696,CHOOSE($W696,3,3,2,2,3),Holidays))</f>
        <v/>
      </c>
      <c r="Z696" s="17">
        <f>IF(OR($W696="",$W696=6),"",CHOOSE($W696,"1st Email Follow-up","2nd Email Follow-up","Escalate Local Office","Escalate to CBE","Escalate to Roxanne"))</f>
        <v/>
      </c>
    </row>
    <row r="697" spans="18:26">
      <c r="R697" s="15"/>
      <c r="S697" s="16"/>
      <c r="T697" s="17">
        <f>IF(AND(COUNTA($A697:$K697)=0,$L697=""),"",IF($S697="Paid","PAID",IF($S697="Closed","CLOSED",IF($W697="","",IF($W697=6,"ESCALATED TO ROXANNE",IF(TODAY()&gt;$Y697,"OVERDUE",IF($Y697&lt;=WORKDAY(TODAY(),1,Holidays),"DUE TOMORROW",IF($W697=4,"ESCALATED TO LOCAL OFFICE",IF($W697=5,"ESCALATED TO CBE",IF($X697=TODAY(),"EMAIL SENT","MONITORING"))))))))))</f>
        <v/>
      </c>
      <c r="U697" s="17">
        <f>IF($T697="",IF(AND(COUNTA($A697:$K697)&gt;0,$L697=""),"Awaiting Collection Email time stamp.",""),IF(OR($T697="PAID",$T697="CLOSED"),IF($T697="PAID","Account paid. Action completed.","Account closed. No further action required."),CHOOSE($W697,"Collection Email","1st Email Follow-up","2nd Email Follow-up","Escalation to Local Office","Escalation to CBE","Escalation to Roxanne")&amp;" sent "&amp;TEXT($X697,"dd-mmm")&amp;". "&amp;IF($W697=6,"Final escalation completed.",IF($T697="OVERDUE","Next: "&amp;$Z697&amp;" was due "&amp;TEXT($Y697,"dd-mmm")&amp;" - "&amp;(NETWORKDAYS($Y697,TODAY(),Holidays)-1)&amp;" business day(s) late. Send now.",IF($T697="DUE TOMORROW","Next: "&amp;$Z697&amp;IF($Y697&lt;=TODAY()," is due TODAY ("," is due next business day (")&amp;TEXT($Y697,"dd-mmm")&amp;").","Next: "&amp;$Z697&amp;" due "&amp;TEXT($Y697,"dd-mmm")&amp;" ("&amp;(NETWORKDAYS(TODAY(),$Y697,Holidays)-1)&amp;" business day(s) left).")))))</f>
        <v/>
      </c>
      <c r="V697" s="17">
        <f>IF($W697="","",CHOOSE($W697,"Collection Email","1st Follow-up","2nd Follow-up","Local Office","CBE","Roxanne")&amp;IF($W697=6," - Final"," - Day "&amp;MAX(0,NETWORKDAYS($X697,TODAY(),Holidays)-1)&amp;" of "&amp;CHOOSE($W697,3,3,2,2,3))&amp;" | Total Day "&amp;MAX(0,NETWORKDAYS($L697,TODAY(),Holidays)-1))</f>
        <v/>
      </c>
      <c r="W697" s="17">
        <f>IF($L697="","",COUNT($L697:$Q697))</f>
        <v/>
      </c>
      <c r="X697" s="18">
        <f>IF($W697="","",INT(INDEX($L697:$Q697,$W697)))</f>
        <v/>
      </c>
      <c r="Y697" s="18">
        <f>IF(OR($W697="",$W697=6),"",WORKDAY($X697,CHOOSE($W697,3,3,2,2,3),Holidays))</f>
        <v/>
      </c>
      <c r="Z697" s="17">
        <f>IF(OR($W697="",$W697=6),"",CHOOSE($W697,"1st Email Follow-up","2nd Email Follow-up","Escalate Local Office","Escalate to CBE","Escalate to Roxanne"))</f>
        <v/>
      </c>
    </row>
    <row r="698" spans="18:26">
      <c r="R698" s="15"/>
      <c r="S698" s="16"/>
      <c r="T698" s="17">
        <f>IF(AND(COUNTA($A698:$K698)=0,$L698=""),"",IF($S698="Paid","PAID",IF($S698="Closed","CLOSED",IF($W698="","",IF($W698=6,"ESCALATED TO ROXANNE",IF(TODAY()&gt;$Y698,"OVERDUE",IF($Y698&lt;=WORKDAY(TODAY(),1,Holidays),"DUE TOMORROW",IF($W698=4,"ESCALATED TO LOCAL OFFICE",IF($W698=5,"ESCALATED TO CBE",IF($X698=TODAY(),"EMAIL SENT","MONITORING"))))))))))</f>
        <v/>
      </c>
      <c r="U698" s="17">
        <f>IF($T698="",IF(AND(COUNTA($A698:$K698)&gt;0,$L698=""),"Awaiting Collection Email time stamp.",""),IF(OR($T698="PAID",$T698="CLOSED"),IF($T698="PAID","Account paid. Action completed.","Account closed. No further action required."),CHOOSE($W698,"Collection Email","1st Email Follow-up","2nd Email Follow-up","Escalation to Local Office","Escalation to CBE","Escalation to Roxanne")&amp;" sent "&amp;TEXT($X698,"dd-mmm")&amp;". "&amp;IF($W698=6,"Final escalation completed.",IF($T698="OVERDUE","Next: "&amp;$Z698&amp;" was due "&amp;TEXT($Y698,"dd-mmm")&amp;" - "&amp;(NETWORKDAYS($Y698,TODAY(),Holidays)-1)&amp;" business day(s) late. Send now.",IF($T698="DUE TOMORROW","Next: "&amp;$Z698&amp;IF($Y698&lt;=TODAY()," is due TODAY ("," is due next business day (")&amp;TEXT($Y698,"dd-mmm")&amp;").","Next: "&amp;$Z698&amp;" due "&amp;TEXT($Y698,"dd-mmm")&amp;" ("&amp;(NETWORKDAYS(TODAY(),$Y698,Holidays)-1)&amp;" business day(s) left).")))))</f>
        <v/>
      </c>
      <c r="V698" s="17">
        <f>IF($W698="","",CHOOSE($W698,"Collection Email","1st Follow-up","2nd Follow-up","Local Office","CBE","Roxanne")&amp;IF($W698=6," - Final"," - Day "&amp;MAX(0,NETWORKDAYS($X698,TODAY(),Holidays)-1)&amp;" of "&amp;CHOOSE($W698,3,3,2,2,3))&amp;" | Total Day "&amp;MAX(0,NETWORKDAYS($L698,TODAY(),Holidays)-1))</f>
        <v/>
      </c>
      <c r="W698" s="17">
        <f>IF($L698="","",COUNT($L698:$Q698))</f>
        <v/>
      </c>
      <c r="X698" s="18">
        <f>IF($W698="","",INT(INDEX($L698:$Q698,$W698)))</f>
        <v/>
      </c>
      <c r="Y698" s="18">
        <f>IF(OR($W698="",$W698=6),"",WORKDAY($X698,CHOOSE($W698,3,3,2,2,3),Holidays))</f>
        <v/>
      </c>
      <c r="Z698" s="17">
        <f>IF(OR($W698="",$W698=6),"",CHOOSE($W698,"1st Email Follow-up","2nd Email Follow-up","Escalate Local Office","Escalate to CBE","Escalate to Roxanne"))</f>
        <v/>
      </c>
    </row>
    <row r="699" spans="18:26">
      <c r="R699" s="15"/>
      <c r="S699" s="16"/>
      <c r="T699" s="17">
        <f>IF(AND(COUNTA($A699:$K699)=0,$L699=""),"",IF($S699="Paid","PAID",IF($S699="Closed","CLOSED",IF($W699="","",IF($W699=6,"ESCALATED TO ROXANNE",IF(TODAY()&gt;$Y699,"OVERDUE",IF($Y699&lt;=WORKDAY(TODAY(),1,Holidays),"DUE TOMORROW",IF($W699=4,"ESCALATED TO LOCAL OFFICE",IF($W699=5,"ESCALATED TO CBE",IF($X699=TODAY(),"EMAIL SENT","MONITORING"))))))))))</f>
        <v/>
      </c>
      <c r="U699" s="17">
        <f>IF($T699="",IF(AND(COUNTA($A699:$K699)&gt;0,$L699=""),"Awaiting Collection Email time stamp.",""),IF(OR($T699="PAID",$T699="CLOSED"),IF($T699="PAID","Account paid. Action completed.","Account closed. No further action required."),CHOOSE($W699,"Collection Email","1st Email Follow-up","2nd Email Follow-up","Escalation to Local Office","Escalation to CBE","Escalation to Roxanne")&amp;" sent "&amp;TEXT($X699,"dd-mmm")&amp;". "&amp;IF($W699=6,"Final escalation completed.",IF($T699="OVERDUE","Next: "&amp;$Z699&amp;" was due "&amp;TEXT($Y699,"dd-mmm")&amp;" - "&amp;(NETWORKDAYS($Y699,TODAY(),Holidays)-1)&amp;" business day(s) late. Send now.",IF($T699="DUE TOMORROW","Next: "&amp;$Z699&amp;IF($Y699&lt;=TODAY()," is due TODAY ("," is due next business day (")&amp;TEXT($Y699,"dd-mmm")&amp;").","Next: "&amp;$Z699&amp;" due "&amp;TEXT($Y699,"dd-mmm")&amp;" ("&amp;(NETWORKDAYS(TODAY(),$Y699,Holidays)-1)&amp;" business day(s) left).")))))</f>
        <v/>
      </c>
      <c r="V699" s="17">
        <f>IF($W699="","",CHOOSE($W699,"Collection Email","1st Follow-up","2nd Follow-up","Local Office","CBE","Roxanne")&amp;IF($W699=6," - Final"," - Day "&amp;MAX(0,NETWORKDAYS($X699,TODAY(),Holidays)-1)&amp;" of "&amp;CHOOSE($W699,3,3,2,2,3))&amp;" | Total Day "&amp;MAX(0,NETWORKDAYS($L699,TODAY(),Holidays)-1))</f>
        <v/>
      </c>
      <c r="W699" s="17">
        <f>IF($L699="","",COUNT($L699:$Q699))</f>
        <v/>
      </c>
      <c r="X699" s="18">
        <f>IF($W699="","",INT(INDEX($L699:$Q699,$W699)))</f>
        <v/>
      </c>
      <c r="Y699" s="18">
        <f>IF(OR($W699="",$W699=6),"",WORKDAY($X699,CHOOSE($W699,3,3,2,2,3),Holidays))</f>
        <v/>
      </c>
      <c r="Z699" s="17">
        <f>IF(OR($W699="",$W699=6),"",CHOOSE($W699,"1st Email Follow-up","2nd Email Follow-up","Escalate Local Office","Escalate to CBE","Escalate to Roxanne"))</f>
        <v/>
      </c>
    </row>
    <row r="700" spans="18:26">
      <c r="R700" s="15"/>
      <c r="S700" s="16"/>
      <c r="T700" s="17">
        <f>IF(AND(COUNTA($A700:$K700)=0,$L700=""),"",IF($S700="Paid","PAID",IF($S700="Closed","CLOSED",IF($W700="","",IF($W700=6,"ESCALATED TO ROXANNE",IF(TODAY()&gt;$Y700,"OVERDUE",IF($Y700&lt;=WORKDAY(TODAY(),1,Holidays),"DUE TOMORROW",IF($W700=4,"ESCALATED TO LOCAL OFFICE",IF($W700=5,"ESCALATED TO CBE",IF($X700=TODAY(),"EMAIL SENT","MONITORING"))))))))))</f>
        <v/>
      </c>
      <c r="U700" s="17">
        <f>IF($T700="",IF(AND(COUNTA($A700:$K700)&gt;0,$L700=""),"Awaiting Collection Email time stamp.",""),IF(OR($T700="PAID",$T700="CLOSED"),IF($T700="PAID","Account paid. Action completed.","Account closed. No further action required."),CHOOSE($W700,"Collection Email","1st Email Follow-up","2nd Email Follow-up","Escalation to Local Office","Escalation to CBE","Escalation to Roxanne")&amp;" sent "&amp;TEXT($X700,"dd-mmm")&amp;". "&amp;IF($W700=6,"Final escalation completed.",IF($T700="OVERDUE","Next: "&amp;$Z700&amp;" was due "&amp;TEXT($Y700,"dd-mmm")&amp;" - "&amp;(NETWORKDAYS($Y700,TODAY(),Holidays)-1)&amp;" business day(s) late. Send now.",IF($T700="DUE TOMORROW","Next: "&amp;$Z700&amp;IF($Y700&lt;=TODAY()," is due TODAY ("," is due next business day (")&amp;TEXT($Y700,"dd-mmm")&amp;").","Next: "&amp;$Z700&amp;" due "&amp;TEXT($Y700,"dd-mmm")&amp;" ("&amp;(NETWORKDAYS(TODAY(),$Y700,Holidays)-1)&amp;" business day(s) left).")))))</f>
        <v/>
      </c>
      <c r="V700" s="17">
        <f>IF($W700="","",CHOOSE($W700,"Collection Email","1st Follow-up","2nd Follow-up","Local Office","CBE","Roxanne")&amp;IF($W700=6," - Final"," - Day "&amp;MAX(0,NETWORKDAYS($X700,TODAY(),Holidays)-1)&amp;" of "&amp;CHOOSE($W700,3,3,2,2,3))&amp;" | Total Day "&amp;MAX(0,NETWORKDAYS($L700,TODAY(),Holidays)-1))</f>
        <v/>
      </c>
      <c r="W700" s="17">
        <f>IF($L700="","",COUNT($L700:$Q700))</f>
        <v/>
      </c>
      <c r="X700" s="18">
        <f>IF($W700="","",INT(INDEX($L700:$Q700,$W700)))</f>
        <v/>
      </c>
      <c r="Y700" s="18">
        <f>IF(OR($W700="",$W700=6),"",WORKDAY($X700,CHOOSE($W700,3,3,2,2,3),Holidays))</f>
        <v/>
      </c>
      <c r="Z700" s="17">
        <f>IF(OR($W700="",$W700=6),"",CHOOSE($W700,"1st Email Follow-up","2nd Email Follow-up","Escalate Local Office","Escalate to CBE","Escalate to Roxanne"))</f>
        <v/>
      </c>
    </row>
    <row r="701" spans="18:26">
      <c r="R701" s="15"/>
      <c r="S701" s="16"/>
      <c r="T701" s="17">
        <f>IF(AND(COUNTA($A701:$K701)=0,$L701=""),"",IF($S701="Paid","PAID",IF($S701="Closed","CLOSED",IF($W701="","",IF($W701=6,"ESCALATED TO ROXANNE",IF(TODAY()&gt;$Y701,"OVERDUE",IF($Y701&lt;=WORKDAY(TODAY(),1,Holidays),"DUE TOMORROW",IF($W701=4,"ESCALATED TO LOCAL OFFICE",IF($W701=5,"ESCALATED TO CBE",IF($X701=TODAY(),"EMAIL SENT","MONITORING"))))))))))</f>
        <v/>
      </c>
      <c r="U701" s="17">
        <f>IF($T701="",IF(AND(COUNTA($A701:$K701)&gt;0,$L701=""),"Awaiting Collection Email time stamp.",""),IF(OR($T701="PAID",$T701="CLOSED"),IF($T701="PAID","Account paid. Action completed.","Account closed. No further action required."),CHOOSE($W701,"Collection Email","1st Email Follow-up","2nd Email Follow-up","Escalation to Local Office","Escalation to CBE","Escalation to Roxanne")&amp;" sent "&amp;TEXT($X701,"dd-mmm")&amp;". "&amp;IF($W701=6,"Final escalation completed.",IF($T701="OVERDUE","Next: "&amp;$Z701&amp;" was due "&amp;TEXT($Y701,"dd-mmm")&amp;" - "&amp;(NETWORKDAYS($Y701,TODAY(),Holidays)-1)&amp;" business day(s) late. Send now.",IF($T701="DUE TOMORROW","Next: "&amp;$Z701&amp;IF($Y701&lt;=TODAY()," is due TODAY ("," is due next business day (")&amp;TEXT($Y701,"dd-mmm")&amp;").","Next: "&amp;$Z701&amp;" due "&amp;TEXT($Y701,"dd-mmm")&amp;" ("&amp;(NETWORKDAYS(TODAY(),$Y701,Holidays)-1)&amp;" business day(s) left).")))))</f>
        <v/>
      </c>
      <c r="V701" s="17">
        <f>IF($W701="","",CHOOSE($W701,"Collection Email","1st Follow-up","2nd Follow-up","Local Office","CBE","Roxanne")&amp;IF($W701=6," - Final"," - Day "&amp;MAX(0,NETWORKDAYS($X701,TODAY(),Holidays)-1)&amp;" of "&amp;CHOOSE($W701,3,3,2,2,3))&amp;" | Total Day "&amp;MAX(0,NETWORKDAYS($L701,TODAY(),Holidays)-1))</f>
        <v/>
      </c>
      <c r="W701" s="17">
        <f>IF($L701="","",COUNT($L701:$Q701))</f>
        <v/>
      </c>
      <c r="X701" s="18">
        <f>IF($W701="","",INT(INDEX($L701:$Q701,$W701)))</f>
        <v/>
      </c>
      <c r="Y701" s="18">
        <f>IF(OR($W701="",$W701=6),"",WORKDAY($X701,CHOOSE($W701,3,3,2,2,3),Holidays))</f>
        <v/>
      </c>
      <c r="Z701" s="17">
        <f>IF(OR($W701="",$W701=6),"",CHOOSE($W701,"1st Email Follow-up","2nd Email Follow-up","Escalate Local Office","Escalate to CBE","Escalate to Roxanne"))</f>
        <v/>
      </c>
    </row>
    <row r="702" spans="18:26">
      <c r="R702" s="15"/>
      <c r="S702" s="16"/>
      <c r="T702" s="17">
        <f>IF(AND(COUNTA($A702:$K702)=0,$L702=""),"",IF($S702="Paid","PAID",IF($S702="Closed","CLOSED",IF($W702="","",IF($W702=6,"ESCALATED TO ROXANNE",IF(TODAY()&gt;$Y702,"OVERDUE",IF($Y702&lt;=WORKDAY(TODAY(),1,Holidays),"DUE TOMORROW",IF($W702=4,"ESCALATED TO LOCAL OFFICE",IF($W702=5,"ESCALATED TO CBE",IF($X702=TODAY(),"EMAIL SENT","MONITORING"))))))))))</f>
        <v/>
      </c>
      <c r="U702" s="17">
        <f>IF($T702="",IF(AND(COUNTA($A702:$K702)&gt;0,$L702=""),"Awaiting Collection Email time stamp.",""),IF(OR($T702="PAID",$T702="CLOSED"),IF($T702="PAID","Account paid. Action completed.","Account closed. No further action required."),CHOOSE($W702,"Collection Email","1st Email Follow-up","2nd Email Follow-up","Escalation to Local Office","Escalation to CBE","Escalation to Roxanne")&amp;" sent "&amp;TEXT($X702,"dd-mmm")&amp;". "&amp;IF($W702=6,"Final escalation completed.",IF($T702="OVERDUE","Next: "&amp;$Z702&amp;" was due "&amp;TEXT($Y702,"dd-mmm")&amp;" - "&amp;(NETWORKDAYS($Y702,TODAY(),Holidays)-1)&amp;" business day(s) late. Send now.",IF($T702="DUE TOMORROW","Next: "&amp;$Z702&amp;IF($Y702&lt;=TODAY()," is due TODAY ("," is due next business day (")&amp;TEXT($Y702,"dd-mmm")&amp;").","Next: "&amp;$Z702&amp;" due "&amp;TEXT($Y702,"dd-mmm")&amp;" ("&amp;(NETWORKDAYS(TODAY(),$Y702,Holidays)-1)&amp;" business day(s) left).")))))</f>
        <v/>
      </c>
      <c r="V702" s="17">
        <f>IF($W702="","",CHOOSE($W702,"Collection Email","1st Follow-up","2nd Follow-up","Local Office","CBE","Roxanne")&amp;IF($W702=6," - Final"," - Day "&amp;MAX(0,NETWORKDAYS($X702,TODAY(),Holidays)-1)&amp;" of "&amp;CHOOSE($W702,3,3,2,2,3))&amp;" | Total Day "&amp;MAX(0,NETWORKDAYS($L702,TODAY(),Holidays)-1))</f>
        <v/>
      </c>
      <c r="W702" s="17">
        <f>IF($L702="","",COUNT($L702:$Q702))</f>
        <v/>
      </c>
      <c r="X702" s="18">
        <f>IF($W702="","",INT(INDEX($L702:$Q702,$W702)))</f>
        <v/>
      </c>
      <c r="Y702" s="18">
        <f>IF(OR($W702="",$W702=6),"",WORKDAY($X702,CHOOSE($W702,3,3,2,2,3),Holidays))</f>
        <v/>
      </c>
      <c r="Z702" s="17">
        <f>IF(OR($W702="",$W702=6),"",CHOOSE($W702,"1st Email Follow-up","2nd Email Follow-up","Escalate Local Office","Escalate to CBE","Escalate to Roxanne"))</f>
        <v/>
      </c>
    </row>
    <row r="703" spans="18:26">
      <c r="R703" s="15"/>
      <c r="S703" s="16"/>
      <c r="T703" s="17">
        <f>IF(AND(COUNTA($A703:$K703)=0,$L703=""),"",IF($S703="Paid","PAID",IF($S703="Closed","CLOSED",IF($W703="","",IF($W703=6,"ESCALATED TO ROXANNE",IF(TODAY()&gt;$Y703,"OVERDUE",IF($Y703&lt;=WORKDAY(TODAY(),1,Holidays),"DUE TOMORROW",IF($W703=4,"ESCALATED TO LOCAL OFFICE",IF($W703=5,"ESCALATED TO CBE",IF($X703=TODAY(),"EMAIL SENT","MONITORING"))))))))))</f>
        <v/>
      </c>
      <c r="U703" s="17">
        <f>IF($T703="",IF(AND(COUNTA($A703:$K703)&gt;0,$L703=""),"Awaiting Collection Email time stamp.",""),IF(OR($T703="PAID",$T703="CLOSED"),IF($T703="PAID","Account paid. Action completed.","Account closed. No further action required."),CHOOSE($W703,"Collection Email","1st Email Follow-up","2nd Email Follow-up","Escalation to Local Office","Escalation to CBE","Escalation to Roxanne")&amp;" sent "&amp;TEXT($X703,"dd-mmm")&amp;". "&amp;IF($W703=6,"Final escalation completed.",IF($T703="OVERDUE","Next: "&amp;$Z703&amp;" was due "&amp;TEXT($Y703,"dd-mmm")&amp;" - "&amp;(NETWORKDAYS($Y703,TODAY(),Holidays)-1)&amp;" business day(s) late. Send now.",IF($T703="DUE TOMORROW","Next: "&amp;$Z703&amp;IF($Y703&lt;=TODAY()," is due TODAY ("," is due next business day (")&amp;TEXT($Y703,"dd-mmm")&amp;").","Next: "&amp;$Z703&amp;" due "&amp;TEXT($Y703,"dd-mmm")&amp;" ("&amp;(NETWORKDAYS(TODAY(),$Y703,Holidays)-1)&amp;" business day(s) left).")))))</f>
        <v/>
      </c>
      <c r="V703" s="17">
        <f>IF($W703="","",CHOOSE($W703,"Collection Email","1st Follow-up","2nd Follow-up","Local Office","CBE","Roxanne")&amp;IF($W703=6," - Final"," - Day "&amp;MAX(0,NETWORKDAYS($X703,TODAY(),Holidays)-1)&amp;" of "&amp;CHOOSE($W703,3,3,2,2,3))&amp;" | Total Day "&amp;MAX(0,NETWORKDAYS($L703,TODAY(),Holidays)-1))</f>
        <v/>
      </c>
      <c r="W703" s="17">
        <f>IF($L703="","",COUNT($L703:$Q703))</f>
        <v/>
      </c>
      <c r="X703" s="18">
        <f>IF($W703="","",INT(INDEX($L703:$Q703,$W703)))</f>
        <v/>
      </c>
      <c r="Y703" s="18">
        <f>IF(OR($W703="",$W703=6),"",WORKDAY($X703,CHOOSE($W703,3,3,2,2,3),Holidays))</f>
        <v/>
      </c>
      <c r="Z703" s="17">
        <f>IF(OR($W703="",$W703=6),"",CHOOSE($W703,"1st Email Follow-up","2nd Email Follow-up","Escalate Local Office","Escalate to CBE","Escalate to Roxanne"))</f>
        <v/>
      </c>
    </row>
    <row r="704" spans="18:26">
      <c r="R704" s="15"/>
      <c r="S704" s="16"/>
      <c r="T704" s="17">
        <f>IF(AND(COUNTA($A704:$K704)=0,$L704=""),"",IF($S704="Paid","PAID",IF($S704="Closed","CLOSED",IF($W704="","",IF($W704=6,"ESCALATED TO ROXANNE",IF(TODAY()&gt;$Y704,"OVERDUE",IF($Y704&lt;=WORKDAY(TODAY(),1,Holidays),"DUE TOMORROW",IF($W704=4,"ESCALATED TO LOCAL OFFICE",IF($W704=5,"ESCALATED TO CBE",IF($X704=TODAY(),"EMAIL SENT","MONITORING"))))))))))</f>
        <v/>
      </c>
      <c r="U704" s="17">
        <f>IF($T704="",IF(AND(COUNTA($A704:$K704)&gt;0,$L704=""),"Awaiting Collection Email time stamp.",""),IF(OR($T704="PAID",$T704="CLOSED"),IF($T704="PAID","Account paid. Action completed.","Account closed. No further action required."),CHOOSE($W704,"Collection Email","1st Email Follow-up","2nd Email Follow-up","Escalation to Local Office","Escalation to CBE","Escalation to Roxanne")&amp;" sent "&amp;TEXT($X704,"dd-mmm")&amp;". "&amp;IF($W704=6,"Final escalation completed.",IF($T704="OVERDUE","Next: "&amp;$Z704&amp;" was due "&amp;TEXT($Y704,"dd-mmm")&amp;" - "&amp;(NETWORKDAYS($Y704,TODAY(),Holidays)-1)&amp;" business day(s) late. Send now.",IF($T704="DUE TOMORROW","Next: "&amp;$Z704&amp;IF($Y704&lt;=TODAY()," is due TODAY ("," is due next business day (")&amp;TEXT($Y704,"dd-mmm")&amp;").","Next: "&amp;$Z704&amp;" due "&amp;TEXT($Y704,"dd-mmm")&amp;" ("&amp;(NETWORKDAYS(TODAY(),$Y704,Holidays)-1)&amp;" business day(s) left).")))))</f>
        <v/>
      </c>
      <c r="V704" s="17">
        <f>IF($W704="","",CHOOSE($W704,"Collection Email","1st Follow-up","2nd Follow-up","Local Office","CBE","Roxanne")&amp;IF($W704=6," - Final"," - Day "&amp;MAX(0,NETWORKDAYS($X704,TODAY(),Holidays)-1)&amp;" of "&amp;CHOOSE($W704,3,3,2,2,3))&amp;" | Total Day "&amp;MAX(0,NETWORKDAYS($L704,TODAY(),Holidays)-1))</f>
        <v/>
      </c>
      <c r="W704" s="17">
        <f>IF($L704="","",COUNT($L704:$Q704))</f>
        <v/>
      </c>
      <c r="X704" s="18">
        <f>IF($W704="","",INT(INDEX($L704:$Q704,$W704)))</f>
        <v/>
      </c>
      <c r="Y704" s="18">
        <f>IF(OR($W704="",$W704=6),"",WORKDAY($X704,CHOOSE($W704,3,3,2,2,3),Holidays))</f>
        <v/>
      </c>
      <c r="Z704" s="17">
        <f>IF(OR($W704="",$W704=6),"",CHOOSE($W704,"1st Email Follow-up","2nd Email Follow-up","Escalate Local Office","Escalate to CBE","Escalate to Roxanne"))</f>
        <v/>
      </c>
    </row>
    <row r="705" spans="18:26">
      <c r="R705" s="15"/>
      <c r="S705" s="16"/>
      <c r="T705" s="17">
        <f>IF(AND(COUNTA($A705:$K705)=0,$L705=""),"",IF($S705="Paid","PAID",IF($S705="Closed","CLOSED",IF($W705="","",IF($W705=6,"ESCALATED TO ROXANNE",IF(TODAY()&gt;$Y705,"OVERDUE",IF($Y705&lt;=WORKDAY(TODAY(),1,Holidays),"DUE TOMORROW",IF($W705=4,"ESCALATED TO LOCAL OFFICE",IF($W705=5,"ESCALATED TO CBE",IF($X705=TODAY(),"EMAIL SENT","MONITORING"))))))))))</f>
        <v/>
      </c>
      <c r="U705" s="17">
        <f>IF($T705="",IF(AND(COUNTA($A705:$K705)&gt;0,$L705=""),"Awaiting Collection Email time stamp.",""),IF(OR($T705="PAID",$T705="CLOSED"),IF($T705="PAID","Account paid. Action completed.","Account closed. No further action required."),CHOOSE($W705,"Collection Email","1st Email Follow-up","2nd Email Follow-up","Escalation to Local Office","Escalation to CBE","Escalation to Roxanne")&amp;" sent "&amp;TEXT($X705,"dd-mmm")&amp;". "&amp;IF($W705=6,"Final escalation completed.",IF($T705="OVERDUE","Next: "&amp;$Z705&amp;" was due "&amp;TEXT($Y705,"dd-mmm")&amp;" - "&amp;(NETWORKDAYS($Y705,TODAY(),Holidays)-1)&amp;" business day(s) late. Send now.",IF($T705="DUE TOMORROW","Next: "&amp;$Z705&amp;IF($Y705&lt;=TODAY()," is due TODAY ("," is due next business day (")&amp;TEXT($Y705,"dd-mmm")&amp;").","Next: "&amp;$Z705&amp;" due "&amp;TEXT($Y705,"dd-mmm")&amp;" ("&amp;(NETWORKDAYS(TODAY(),$Y705,Holidays)-1)&amp;" business day(s) left).")))))</f>
        <v/>
      </c>
      <c r="V705" s="17">
        <f>IF($W705="","",CHOOSE($W705,"Collection Email","1st Follow-up","2nd Follow-up","Local Office","CBE","Roxanne")&amp;IF($W705=6," - Final"," - Day "&amp;MAX(0,NETWORKDAYS($X705,TODAY(),Holidays)-1)&amp;" of "&amp;CHOOSE($W705,3,3,2,2,3))&amp;" | Total Day "&amp;MAX(0,NETWORKDAYS($L705,TODAY(),Holidays)-1))</f>
        <v/>
      </c>
      <c r="W705" s="17">
        <f>IF($L705="","",COUNT($L705:$Q705))</f>
        <v/>
      </c>
      <c r="X705" s="18">
        <f>IF($W705="","",INT(INDEX($L705:$Q705,$W705)))</f>
        <v/>
      </c>
      <c r="Y705" s="18">
        <f>IF(OR($W705="",$W705=6),"",WORKDAY($X705,CHOOSE($W705,3,3,2,2,3),Holidays))</f>
        <v/>
      </c>
      <c r="Z705" s="17">
        <f>IF(OR($W705="",$W705=6),"",CHOOSE($W705,"1st Email Follow-up","2nd Email Follow-up","Escalate Local Office","Escalate to CBE","Escalate to Roxanne"))</f>
        <v/>
      </c>
    </row>
    <row r="706" spans="18:26">
      <c r="R706" s="15"/>
      <c r="S706" s="16"/>
      <c r="T706" s="17">
        <f>IF(AND(COUNTA($A706:$K706)=0,$L706=""),"",IF($S706="Paid","PAID",IF($S706="Closed","CLOSED",IF($W706="","",IF($W706=6,"ESCALATED TO ROXANNE",IF(TODAY()&gt;$Y706,"OVERDUE",IF($Y706&lt;=WORKDAY(TODAY(),1,Holidays),"DUE TOMORROW",IF($W706=4,"ESCALATED TO LOCAL OFFICE",IF($W706=5,"ESCALATED TO CBE",IF($X706=TODAY(),"EMAIL SENT","MONITORING"))))))))))</f>
        <v/>
      </c>
      <c r="U706" s="17">
        <f>IF($T706="",IF(AND(COUNTA($A706:$K706)&gt;0,$L706=""),"Awaiting Collection Email time stamp.",""),IF(OR($T706="PAID",$T706="CLOSED"),IF($T706="PAID","Account paid. Action completed.","Account closed. No further action required."),CHOOSE($W706,"Collection Email","1st Email Follow-up","2nd Email Follow-up","Escalation to Local Office","Escalation to CBE","Escalation to Roxanne")&amp;" sent "&amp;TEXT($X706,"dd-mmm")&amp;". "&amp;IF($W706=6,"Final escalation completed.",IF($T706="OVERDUE","Next: "&amp;$Z706&amp;" was due "&amp;TEXT($Y706,"dd-mmm")&amp;" - "&amp;(NETWORKDAYS($Y706,TODAY(),Holidays)-1)&amp;" business day(s) late. Send now.",IF($T706="DUE TOMORROW","Next: "&amp;$Z706&amp;IF($Y706&lt;=TODAY()," is due TODAY ("," is due next business day (")&amp;TEXT($Y706,"dd-mmm")&amp;").","Next: "&amp;$Z706&amp;" due "&amp;TEXT($Y706,"dd-mmm")&amp;" ("&amp;(NETWORKDAYS(TODAY(),$Y706,Holidays)-1)&amp;" business day(s) left).")))))</f>
        <v/>
      </c>
      <c r="V706" s="17">
        <f>IF($W706="","",CHOOSE($W706,"Collection Email","1st Follow-up","2nd Follow-up","Local Office","CBE","Roxanne")&amp;IF($W706=6," - Final"," - Day "&amp;MAX(0,NETWORKDAYS($X706,TODAY(),Holidays)-1)&amp;" of "&amp;CHOOSE($W706,3,3,2,2,3))&amp;" | Total Day "&amp;MAX(0,NETWORKDAYS($L706,TODAY(),Holidays)-1))</f>
        <v/>
      </c>
      <c r="W706" s="17">
        <f>IF($L706="","",COUNT($L706:$Q706))</f>
        <v/>
      </c>
      <c r="X706" s="18">
        <f>IF($W706="","",INT(INDEX($L706:$Q706,$W706)))</f>
        <v/>
      </c>
      <c r="Y706" s="18">
        <f>IF(OR($W706="",$W706=6),"",WORKDAY($X706,CHOOSE($W706,3,3,2,2,3),Holidays))</f>
        <v/>
      </c>
      <c r="Z706" s="17">
        <f>IF(OR($W706="",$W706=6),"",CHOOSE($W706,"1st Email Follow-up","2nd Email Follow-up","Escalate Local Office","Escalate to CBE","Escalate to Roxanne"))</f>
        <v/>
      </c>
    </row>
    <row r="707" spans="18:26">
      <c r="R707" s="15"/>
      <c r="S707" s="16"/>
      <c r="T707" s="17">
        <f>IF(AND(COUNTA($A707:$K707)=0,$L707=""),"",IF($S707="Paid","PAID",IF($S707="Closed","CLOSED",IF($W707="","",IF($W707=6,"ESCALATED TO ROXANNE",IF(TODAY()&gt;$Y707,"OVERDUE",IF($Y707&lt;=WORKDAY(TODAY(),1,Holidays),"DUE TOMORROW",IF($W707=4,"ESCALATED TO LOCAL OFFICE",IF($W707=5,"ESCALATED TO CBE",IF($X707=TODAY(),"EMAIL SENT","MONITORING"))))))))))</f>
        <v/>
      </c>
      <c r="U707" s="17">
        <f>IF($T707="",IF(AND(COUNTA($A707:$K707)&gt;0,$L707=""),"Awaiting Collection Email time stamp.",""),IF(OR($T707="PAID",$T707="CLOSED"),IF($T707="PAID","Account paid. Action completed.","Account closed. No further action required."),CHOOSE($W707,"Collection Email","1st Email Follow-up","2nd Email Follow-up","Escalation to Local Office","Escalation to CBE","Escalation to Roxanne")&amp;" sent "&amp;TEXT($X707,"dd-mmm")&amp;". "&amp;IF($W707=6,"Final escalation completed.",IF($T707="OVERDUE","Next: "&amp;$Z707&amp;" was due "&amp;TEXT($Y707,"dd-mmm")&amp;" - "&amp;(NETWORKDAYS($Y707,TODAY(),Holidays)-1)&amp;" business day(s) late. Send now.",IF($T707="DUE TOMORROW","Next: "&amp;$Z707&amp;IF($Y707&lt;=TODAY()," is due TODAY ("," is due next business day (")&amp;TEXT($Y707,"dd-mmm")&amp;").","Next: "&amp;$Z707&amp;" due "&amp;TEXT($Y707,"dd-mmm")&amp;" ("&amp;(NETWORKDAYS(TODAY(),$Y707,Holidays)-1)&amp;" business day(s) left).")))))</f>
        <v/>
      </c>
      <c r="V707" s="17">
        <f>IF($W707="","",CHOOSE($W707,"Collection Email","1st Follow-up","2nd Follow-up","Local Office","CBE","Roxanne")&amp;IF($W707=6," - Final"," - Day "&amp;MAX(0,NETWORKDAYS($X707,TODAY(),Holidays)-1)&amp;" of "&amp;CHOOSE($W707,3,3,2,2,3))&amp;" | Total Day "&amp;MAX(0,NETWORKDAYS($L707,TODAY(),Holidays)-1))</f>
        <v/>
      </c>
      <c r="W707" s="17">
        <f>IF($L707="","",COUNT($L707:$Q707))</f>
        <v/>
      </c>
      <c r="X707" s="18">
        <f>IF($W707="","",INT(INDEX($L707:$Q707,$W707)))</f>
        <v/>
      </c>
      <c r="Y707" s="18">
        <f>IF(OR($W707="",$W707=6),"",WORKDAY($X707,CHOOSE($W707,3,3,2,2,3),Holidays))</f>
        <v/>
      </c>
      <c r="Z707" s="17">
        <f>IF(OR($W707="",$W707=6),"",CHOOSE($W707,"1st Email Follow-up","2nd Email Follow-up","Escalate Local Office","Escalate to CBE","Escalate to Roxanne"))</f>
        <v/>
      </c>
    </row>
    <row r="708" spans="18:26">
      <c r="R708" s="15"/>
      <c r="S708" s="16"/>
      <c r="T708" s="17">
        <f>IF(AND(COUNTA($A708:$K708)=0,$L708=""),"",IF($S708="Paid","PAID",IF($S708="Closed","CLOSED",IF($W708="","",IF($W708=6,"ESCALATED TO ROXANNE",IF(TODAY()&gt;$Y708,"OVERDUE",IF($Y708&lt;=WORKDAY(TODAY(),1,Holidays),"DUE TOMORROW",IF($W708=4,"ESCALATED TO LOCAL OFFICE",IF($W708=5,"ESCALATED TO CBE",IF($X708=TODAY(),"EMAIL SENT","MONITORING"))))))))))</f>
        <v/>
      </c>
      <c r="U708" s="17">
        <f>IF($T708="",IF(AND(COUNTA($A708:$K708)&gt;0,$L708=""),"Awaiting Collection Email time stamp.",""),IF(OR($T708="PAID",$T708="CLOSED"),IF($T708="PAID","Account paid. Action completed.","Account closed. No further action required."),CHOOSE($W708,"Collection Email","1st Email Follow-up","2nd Email Follow-up","Escalation to Local Office","Escalation to CBE","Escalation to Roxanne")&amp;" sent "&amp;TEXT($X708,"dd-mmm")&amp;". "&amp;IF($W708=6,"Final escalation completed.",IF($T708="OVERDUE","Next: "&amp;$Z708&amp;" was due "&amp;TEXT($Y708,"dd-mmm")&amp;" - "&amp;(NETWORKDAYS($Y708,TODAY(),Holidays)-1)&amp;" business day(s) late. Send now.",IF($T708="DUE TOMORROW","Next: "&amp;$Z708&amp;IF($Y708&lt;=TODAY()," is due TODAY ("," is due next business day (")&amp;TEXT($Y708,"dd-mmm")&amp;").","Next: "&amp;$Z708&amp;" due "&amp;TEXT($Y708,"dd-mmm")&amp;" ("&amp;(NETWORKDAYS(TODAY(),$Y708,Holidays)-1)&amp;" business day(s) left).")))))</f>
        <v/>
      </c>
      <c r="V708" s="17">
        <f>IF($W708="","",CHOOSE($W708,"Collection Email","1st Follow-up","2nd Follow-up","Local Office","CBE","Roxanne")&amp;IF($W708=6," - Final"," - Day "&amp;MAX(0,NETWORKDAYS($X708,TODAY(),Holidays)-1)&amp;" of "&amp;CHOOSE($W708,3,3,2,2,3))&amp;" | Total Day "&amp;MAX(0,NETWORKDAYS($L708,TODAY(),Holidays)-1))</f>
        <v/>
      </c>
      <c r="W708" s="17">
        <f>IF($L708="","",COUNT($L708:$Q708))</f>
        <v/>
      </c>
      <c r="X708" s="18">
        <f>IF($W708="","",INT(INDEX($L708:$Q708,$W708)))</f>
        <v/>
      </c>
      <c r="Y708" s="18">
        <f>IF(OR($W708="",$W708=6),"",WORKDAY($X708,CHOOSE($W708,3,3,2,2,3),Holidays))</f>
        <v/>
      </c>
      <c r="Z708" s="17">
        <f>IF(OR($W708="",$W708=6),"",CHOOSE($W708,"1st Email Follow-up","2nd Email Follow-up","Escalate Local Office","Escalate to CBE","Escalate to Roxanne"))</f>
        <v/>
      </c>
    </row>
    <row r="709" spans="18:26">
      <c r="R709" s="15"/>
      <c r="S709" s="16"/>
      <c r="T709" s="17">
        <f>IF(AND(COUNTA($A709:$K709)=0,$L709=""),"",IF($S709="Paid","PAID",IF($S709="Closed","CLOSED",IF($W709="","",IF($W709=6,"ESCALATED TO ROXANNE",IF(TODAY()&gt;$Y709,"OVERDUE",IF($Y709&lt;=WORKDAY(TODAY(),1,Holidays),"DUE TOMORROW",IF($W709=4,"ESCALATED TO LOCAL OFFICE",IF($W709=5,"ESCALATED TO CBE",IF($X709=TODAY(),"EMAIL SENT","MONITORING"))))))))))</f>
        <v/>
      </c>
      <c r="U709" s="17">
        <f>IF($T709="",IF(AND(COUNTA($A709:$K709)&gt;0,$L709=""),"Awaiting Collection Email time stamp.",""),IF(OR($T709="PAID",$T709="CLOSED"),IF($T709="PAID","Account paid. Action completed.","Account closed. No further action required."),CHOOSE($W709,"Collection Email","1st Email Follow-up","2nd Email Follow-up","Escalation to Local Office","Escalation to CBE","Escalation to Roxanne")&amp;" sent "&amp;TEXT($X709,"dd-mmm")&amp;". "&amp;IF($W709=6,"Final escalation completed.",IF($T709="OVERDUE","Next: "&amp;$Z709&amp;" was due "&amp;TEXT($Y709,"dd-mmm")&amp;" - "&amp;(NETWORKDAYS($Y709,TODAY(),Holidays)-1)&amp;" business day(s) late. Send now.",IF($T709="DUE TOMORROW","Next: "&amp;$Z709&amp;IF($Y709&lt;=TODAY()," is due TODAY ("," is due next business day (")&amp;TEXT($Y709,"dd-mmm")&amp;").","Next: "&amp;$Z709&amp;" due "&amp;TEXT($Y709,"dd-mmm")&amp;" ("&amp;(NETWORKDAYS(TODAY(),$Y709,Holidays)-1)&amp;" business day(s) left).")))))</f>
        <v/>
      </c>
      <c r="V709" s="17">
        <f>IF($W709="","",CHOOSE($W709,"Collection Email","1st Follow-up","2nd Follow-up","Local Office","CBE","Roxanne")&amp;IF($W709=6," - Final"," - Day "&amp;MAX(0,NETWORKDAYS($X709,TODAY(),Holidays)-1)&amp;" of "&amp;CHOOSE($W709,3,3,2,2,3))&amp;" | Total Day "&amp;MAX(0,NETWORKDAYS($L709,TODAY(),Holidays)-1))</f>
        <v/>
      </c>
      <c r="W709" s="17">
        <f>IF($L709="","",COUNT($L709:$Q709))</f>
        <v/>
      </c>
      <c r="X709" s="18">
        <f>IF($W709="","",INT(INDEX($L709:$Q709,$W709)))</f>
        <v/>
      </c>
      <c r="Y709" s="18">
        <f>IF(OR($W709="",$W709=6),"",WORKDAY($X709,CHOOSE($W709,3,3,2,2,3),Holidays))</f>
        <v/>
      </c>
      <c r="Z709" s="17">
        <f>IF(OR($W709="",$W709=6),"",CHOOSE($W709,"1st Email Follow-up","2nd Email Follow-up","Escalate Local Office","Escalate to CBE","Escalate to Roxanne"))</f>
        <v/>
      </c>
    </row>
    <row r="710" spans="18:26">
      <c r="R710" s="15"/>
      <c r="S710" s="16"/>
      <c r="T710" s="17">
        <f>IF(AND(COUNTA($A710:$K710)=0,$L710=""),"",IF($S710="Paid","PAID",IF($S710="Closed","CLOSED",IF($W710="","",IF($W710=6,"ESCALATED TO ROXANNE",IF(TODAY()&gt;$Y710,"OVERDUE",IF($Y710&lt;=WORKDAY(TODAY(),1,Holidays),"DUE TOMORROW",IF($W710=4,"ESCALATED TO LOCAL OFFICE",IF($W710=5,"ESCALATED TO CBE",IF($X710=TODAY(),"EMAIL SENT","MONITORING"))))))))))</f>
        <v/>
      </c>
      <c r="U710" s="17">
        <f>IF($T710="",IF(AND(COUNTA($A710:$K710)&gt;0,$L710=""),"Awaiting Collection Email time stamp.",""),IF(OR($T710="PAID",$T710="CLOSED"),IF($T710="PAID","Account paid. Action completed.","Account closed. No further action required."),CHOOSE($W710,"Collection Email","1st Email Follow-up","2nd Email Follow-up","Escalation to Local Office","Escalation to CBE","Escalation to Roxanne")&amp;" sent "&amp;TEXT($X710,"dd-mmm")&amp;". "&amp;IF($W710=6,"Final escalation completed.",IF($T710="OVERDUE","Next: "&amp;$Z710&amp;" was due "&amp;TEXT($Y710,"dd-mmm")&amp;" - "&amp;(NETWORKDAYS($Y710,TODAY(),Holidays)-1)&amp;" business day(s) late. Send now.",IF($T710="DUE TOMORROW","Next: "&amp;$Z710&amp;IF($Y710&lt;=TODAY()," is due TODAY ("," is due next business day (")&amp;TEXT($Y710,"dd-mmm")&amp;").","Next: "&amp;$Z710&amp;" due "&amp;TEXT($Y710,"dd-mmm")&amp;" ("&amp;(NETWORKDAYS(TODAY(),$Y710,Holidays)-1)&amp;" business day(s) left).")))))</f>
        <v/>
      </c>
      <c r="V710" s="17">
        <f>IF($W710="","",CHOOSE($W710,"Collection Email","1st Follow-up","2nd Follow-up","Local Office","CBE","Roxanne")&amp;IF($W710=6," - Final"," - Day "&amp;MAX(0,NETWORKDAYS($X710,TODAY(),Holidays)-1)&amp;" of "&amp;CHOOSE($W710,3,3,2,2,3))&amp;" | Total Day "&amp;MAX(0,NETWORKDAYS($L710,TODAY(),Holidays)-1))</f>
        <v/>
      </c>
      <c r="W710" s="17">
        <f>IF($L710="","",COUNT($L710:$Q710))</f>
        <v/>
      </c>
      <c r="X710" s="18">
        <f>IF($W710="","",INT(INDEX($L710:$Q710,$W710)))</f>
        <v/>
      </c>
      <c r="Y710" s="18">
        <f>IF(OR($W710="",$W710=6),"",WORKDAY($X710,CHOOSE($W710,3,3,2,2,3),Holidays))</f>
        <v/>
      </c>
      <c r="Z710" s="17">
        <f>IF(OR($W710="",$W710=6),"",CHOOSE($W710,"1st Email Follow-up","2nd Email Follow-up","Escalate Local Office","Escalate to CBE","Escalate to Roxanne"))</f>
        <v/>
      </c>
    </row>
    <row r="711" spans="18:26">
      <c r="R711" s="15"/>
      <c r="S711" s="16"/>
      <c r="T711" s="17">
        <f>IF(AND(COUNTA($A711:$K711)=0,$L711=""),"",IF($S711="Paid","PAID",IF($S711="Closed","CLOSED",IF($W711="","",IF($W711=6,"ESCALATED TO ROXANNE",IF(TODAY()&gt;$Y711,"OVERDUE",IF($Y711&lt;=WORKDAY(TODAY(),1,Holidays),"DUE TOMORROW",IF($W711=4,"ESCALATED TO LOCAL OFFICE",IF($W711=5,"ESCALATED TO CBE",IF($X711=TODAY(),"EMAIL SENT","MONITORING"))))))))))</f>
        <v/>
      </c>
      <c r="U711" s="17">
        <f>IF($T711="",IF(AND(COUNTA($A711:$K711)&gt;0,$L711=""),"Awaiting Collection Email time stamp.",""),IF(OR($T711="PAID",$T711="CLOSED"),IF($T711="PAID","Account paid. Action completed.","Account closed. No further action required."),CHOOSE($W711,"Collection Email","1st Email Follow-up","2nd Email Follow-up","Escalation to Local Office","Escalation to CBE","Escalation to Roxanne")&amp;" sent "&amp;TEXT($X711,"dd-mmm")&amp;". "&amp;IF($W711=6,"Final escalation completed.",IF($T711="OVERDUE","Next: "&amp;$Z711&amp;" was due "&amp;TEXT($Y711,"dd-mmm")&amp;" - "&amp;(NETWORKDAYS($Y711,TODAY(),Holidays)-1)&amp;" business day(s) late. Send now.",IF($T711="DUE TOMORROW","Next: "&amp;$Z711&amp;IF($Y711&lt;=TODAY()," is due TODAY ("," is due next business day (")&amp;TEXT($Y711,"dd-mmm")&amp;").","Next: "&amp;$Z711&amp;" due "&amp;TEXT($Y711,"dd-mmm")&amp;" ("&amp;(NETWORKDAYS(TODAY(),$Y711,Holidays)-1)&amp;" business day(s) left).")))))</f>
        <v/>
      </c>
      <c r="V711" s="17">
        <f>IF($W711="","",CHOOSE($W711,"Collection Email","1st Follow-up","2nd Follow-up","Local Office","CBE","Roxanne")&amp;IF($W711=6," - Final"," - Day "&amp;MAX(0,NETWORKDAYS($X711,TODAY(),Holidays)-1)&amp;" of "&amp;CHOOSE($W711,3,3,2,2,3))&amp;" | Total Day "&amp;MAX(0,NETWORKDAYS($L711,TODAY(),Holidays)-1))</f>
        <v/>
      </c>
      <c r="W711" s="17">
        <f>IF($L711="","",COUNT($L711:$Q711))</f>
        <v/>
      </c>
      <c r="X711" s="18">
        <f>IF($W711="","",INT(INDEX($L711:$Q711,$W711)))</f>
        <v/>
      </c>
      <c r="Y711" s="18">
        <f>IF(OR($W711="",$W711=6),"",WORKDAY($X711,CHOOSE($W711,3,3,2,2,3),Holidays))</f>
        <v/>
      </c>
      <c r="Z711" s="17">
        <f>IF(OR($W711="",$W711=6),"",CHOOSE($W711,"1st Email Follow-up","2nd Email Follow-up","Escalate Local Office","Escalate to CBE","Escalate to Roxanne"))</f>
        <v/>
      </c>
    </row>
    <row r="712" spans="18:26">
      <c r="R712" s="15"/>
      <c r="S712" s="16"/>
      <c r="T712" s="17">
        <f>IF(AND(COUNTA($A712:$K712)=0,$L712=""),"",IF($S712="Paid","PAID",IF($S712="Closed","CLOSED",IF($W712="","",IF($W712=6,"ESCALATED TO ROXANNE",IF(TODAY()&gt;$Y712,"OVERDUE",IF($Y712&lt;=WORKDAY(TODAY(),1,Holidays),"DUE TOMORROW",IF($W712=4,"ESCALATED TO LOCAL OFFICE",IF($W712=5,"ESCALATED TO CBE",IF($X712=TODAY(),"EMAIL SENT","MONITORING"))))))))))</f>
        <v/>
      </c>
      <c r="U712" s="17">
        <f>IF($T712="",IF(AND(COUNTA($A712:$K712)&gt;0,$L712=""),"Awaiting Collection Email time stamp.",""),IF(OR($T712="PAID",$T712="CLOSED"),IF($T712="PAID","Account paid. Action completed.","Account closed. No further action required."),CHOOSE($W712,"Collection Email","1st Email Follow-up","2nd Email Follow-up","Escalation to Local Office","Escalation to CBE","Escalation to Roxanne")&amp;" sent "&amp;TEXT($X712,"dd-mmm")&amp;". "&amp;IF($W712=6,"Final escalation completed.",IF($T712="OVERDUE","Next: "&amp;$Z712&amp;" was due "&amp;TEXT($Y712,"dd-mmm")&amp;" - "&amp;(NETWORKDAYS($Y712,TODAY(),Holidays)-1)&amp;" business day(s) late. Send now.",IF($T712="DUE TOMORROW","Next: "&amp;$Z712&amp;IF($Y712&lt;=TODAY()," is due TODAY ("," is due next business day (")&amp;TEXT($Y712,"dd-mmm")&amp;").","Next: "&amp;$Z712&amp;" due "&amp;TEXT($Y712,"dd-mmm")&amp;" ("&amp;(NETWORKDAYS(TODAY(),$Y712,Holidays)-1)&amp;" business day(s) left).")))))</f>
        <v/>
      </c>
      <c r="V712" s="17">
        <f>IF($W712="","",CHOOSE($W712,"Collection Email","1st Follow-up","2nd Follow-up","Local Office","CBE","Roxanne")&amp;IF($W712=6," - Final"," - Day "&amp;MAX(0,NETWORKDAYS($X712,TODAY(),Holidays)-1)&amp;" of "&amp;CHOOSE($W712,3,3,2,2,3))&amp;" | Total Day "&amp;MAX(0,NETWORKDAYS($L712,TODAY(),Holidays)-1))</f>
        <v/>
      </c>
      <c r="W712" s="17">
        <f>IF($L712="","",COUNT($L712:$Q712))</f>
        <v/>
      </c>
      <c r="X712" s="18">
        <f>IF($W712="","",INT(INDEX($L712:$Q712,$W712)))</f>
        <v/>
      </c>
      <c r="Y712" s="18">
        <f>IF(OR($W712="",$W712=6),"",WORKDAY($X712,CHOOSE($W712,3,3,2,2,3),Holidays))</f>
        <v/>
      </c>
      <c r="Z712" s="17">
        <f>IF(OR($W712="",$W712=6),"",CHOOSE($W712,"1st Email Follow-up","2nd Email Follow-up","Escalate Local Office","Escalate to CBE","Escalate to Roxanne"))</f>
        <v/>
      </c>
    </row>
    <row r="713" spans="18:26">
      <c r="R713" s="15"/>
      <c r="S713" s="16"/>
      <c r="T713" s="17">
        <f>IF(AND(COUNTA($A713:$K713)=0,$L713=""),"",IF($S713="Paid","PAID",IF($S713="Closed","CLOSED",IF($W713="","",IF($W713=6,"ESCALATED TO ROXANNE",IF(TODAY()&gt;$Y713,"OVERDUE",IF($Y713&lt;=WORKDAY(TODAY(),1,Holidays),"DUE TOMORROW",IF($W713=4,"ESCALATED TO LOCAL OFFICE",IF($W713=5,"ESCALATED TO CBE",IF($X713=TODAY(),"EMAIL SENT","MONITORING"))))))))))</f>
        <v/>
      </c>
      <c r="U713" s="17">
        <f>IF($T713="",IF(AND(COUNTA($A713:$K713)&gt;0,$L713=""),"Awaiting Collection Email time stamp.",""),IF(OR($T713="PAID",$T713="CLOSED"),IF($T713="PAID","Account paid. Action completed.","Account closed. No further action required."),CHOOSE($W713,"Collection Email","1st Email Follow-up","2nd Email Follow-up","Escalation to Local Office","Escalation to CBE","Escalation to Roxanne")&amp;" sent "&amp;TEXT($X713,"dd-mmm")&amp;". "&amp;IF($W713=6,"Final escalation completed.",IF($T713="OVERDUE","Next: "&amp;$Z713&amp;" was due "&amp;TEXT($Y713,"dd-mmm")&amp;" - "&amp;(NETWORKDAYS($Y713,TODAY(),Holidays)-1)&amp;" business day(s) late. Send now.",IF($T713="DUE TOMORROW","Next: "&amp;$Z713&amp;IF($Y713&lt;=TODAY()," is due TODAY ("," is due next business day (")&amp;TEXT($Y713,"dd-mmm")&amp;").","Next: "&amp;$Z713&amp;" due "&amp;TEXT($Y713,"dd-mmm")&amp;" ("&amp;(NETWORKDAYS(TODAY(),$Y713,Holidays)-1)&amp;" business day(s) left).")))))</f>
        <v/>
      </c>
      <c r="V713" s="17">
        <f>IF($W713="","",CHOOSE($W713,"Collection Email","1st Follow-up","2nd Follow-up","Local Office","CBE","Roxanne")&amp;IF($W713=6," - Final"," - Day "&amp;MAX(0,NETWORKDAYS($X713,TODAY(),Holidays)-1)&amp;" of "&amp;CHOOSE($W713,3,3,2,2,3))&amp;" | Total Day "&amp;MAX(0,NETWORKDAYS($L713,TODAY(),Holidays)-1))</f>
        <v/>
      </c>
      <c r="W713" s="17">
        <f>IF($L713="","",COUNT($L713:$Q713))</f>
        <v/>
      </c>
      <c r="X713" s="18">
        <f>IF($W713="","",INT(INDEX($L713:$Q713,$W713)))</f>
        <v/>
      </c>
      <c r="Y713" s="18">
        <f>IF(OR($W713="",$W713=6),"",WORKDAY($X713,CHOOSE($W713,3,3,2,2,3),Holidays))</f>
        <v/>
      </c>
      <c r="Z713" s="17">
        <f>IF(OR($W713="",$W713=6),"",CHOOSE($W713,"1st Email Follow-up","2nd Email Follow-up","Escalate Local Office","Escalate to CBE","Escalate to Roxanne"))</f>
        <v/>
      </c>
    </row>
    <row r="714" spans="18:26">
      <c r="R714" s="15"/>
      <c r="S714" s="16"/>
      <c r="T714" s="17">
        <f>IF(AND(COUNTA($A714:$K714)=0,$L714=""),"",IF($S714="Paid","PAID",IF($S714="Closed","CLOSED",IF($W714="","",IF($W714=6,"ESCALATED TO ROXANNE",IF(TODAY()&gt;$Y714,"OVERDUE",IF($Y714&lt;=WORKDAY(TODAY(),1,Holidays),"DUE TOMORROW",IF($W714=4,"ESCALATED TO LOCAL OFFICE",IF($W714=5,"ESCALATED TO CBE",IF($X714=TODAY(),"EMAIL SENT","MONITORING"))))))))))</f>
        <v/>
      </c>
      <c r="U714" s="17">
        <f>IF($T714="",IF(AND(COUNTA($A714:$K714)&gt;0,$L714=""),"Awaiting Collection Email time stamp.",""),IF(OR($T714="PAID",$T714="CLOSED"),IF($T714="PAID","Account paid. Action completed.","Account closed. No further action required."),CHOOSE($W714,"Collection Email","1st Email Follow-up","2nd Email Follow-up","Escalation to Local Office","Escalation to CBE","Escalation to Roxanne")&amp;" sent "&amp;TEXT($X714,"dd-mmm")&amp;". "&amp;IF($W714=6,"Final escalation completed.",IF($T714="OVERDUE","Next: "&amp;$Z714&amp;" was due "&amp;TEXT($Y714,"dd-mmm")&amp;" - "&amp;(NETWORKDAYS($Y714,TODAY(),Holidays)-1)&amp;" business day(s) late. Send now.",IF($T714="DUE TOMORROW","Next: "&amp;$Z714&amp;IF($Y714&lt;=TODAY()," is due TODAY ("," is due next business day (")&amp;TEXT($Y714,"dd-mmm")&amp;").","Next: "&amp;$Z714&amp;" due "&amp;TEXT($Y714,"dd-mmm")&amp;" ("&amp;(NETWORKDAYS(TODAY(),$Y714,Holidays)-1)&amp;" business day(s) left).")))))</f>
        <v/>
      </c>
      <c r="V714" s="17">
        <f>IF($W714="","",CHOOSE($W714,"Collection Email","1st Follow-up","2nd Follow-up","Local Office","CBE","Roxanne")&amp;IF($W714=6," - Final"," - Day "&amp;MAX(0,NETWORKDAYS($X714,TODAY(),Holidays)-1)&amp;" of "&amp;CHOOSE($W714,3,3,2,2,3))&amp;" | Total Day "&amp;MAX(0,NETWORKDAYS($L714,TODAY(),Holidays)-1))</f>
        <v/>
      </c>
      <c r="W714" s="17">
        <f>IF($L714="","",COUNT($L714:$Q714))</f>
        <v/>
      </c>
      <c r="X714" s="18">
        <f>IF($W714="","",INT(INDEX($L714:$Q714,$W714)))</f>
        <v/>
      </c>
      <c r="Y714" s="18">
        <f>IF(OR($W714="",$W714=6),"",WORKDAY($X714,CHOOSE($W714,3,3,2,2,3),Holidays))</f>
        <v/>
      </c>
      <c r="Z714" s="17">
        <f>IF(OR($W714="",$W714=6),"",CHOOSE($W714,"1st Email Follow-up","2nd Email Follow-up","Escalate Local Office","Escalate to CBE","Escalate to Roxanne"))</f>
        <v/>
      </c>
    </row>
    <row r="715" spans="18:26">
      <c r="R715" s="15"/>
      <c r="S715" s="16"/>
      <c r="T715" s="17">
        <f>IF(AND(COUNTA($A715:$K715)=0,$L715=""),"",IF($S715="Paid","PAID",IF($S715="Closed","CLOSED",IF($W715="","",IF($W715=6,"ESCALATED TO ROXANNE",IF(TODAY()&gt;$Y715,"OVERDUE",IF($Y715&lt;=WORKDAY(TODAY(),1,Holidays),"DUE TOMORROW",IF($W715=4,"ESCALATED TO LOCAL OFFICE",IF($W715=5,"ESCALATED TO CBE",IF($X715=TODAY(),"EMAIL SENT","MONITORING"))))))))))</f>
        <v/>
      </c>
      <c r="U715" s="17">
        <f>IF($T715="",IF(AND(COUNTA($A715:$K715)&gt;0,$L715=""),"Awaiting Collection Email time stamp.",""),IF(OR($T715="PAID",$T715="CLOSED"),IF($T715="PAID","Account paid. Action completed.","Account closed. No further action required."),CHOOSE($W715,"Collection Email","1st Email Follow-up","2nd Email Follow-up","Escalation to Local Office","Escalation to CBE","Escalation to Roxanne")&amp;" sent "&amp;TEXT($X715,"dd-mmm")&amp;". "&amp;IF($W715=6,"Final escalation completed.",IF($T715="OVERDUE","Next: "&amp;$Z715&amp;" was due "&amp;TEXT($Y715,"dd-mmm")&amp;" - "&amp;(NETWORKDAYS($Y715,TODAY(),Holidays)-1)&amp;" business day(s) late. Send now.",IF($T715="DUE TOMORROW","Next: "&amp;$Z715&amp;IF($Y715&lt;=TODAY()," is due TODAY ("," is due next business day (")&amp;TEXT($Y715,"dd-mmm")&amp;").","Next: "&amp;$Z715&amp;" due "&amp;TEXT($Y715,"dd-mmm")&amp;" ("&amp;(NETWORKDAYS(TODAY(),$Y715,Holidays)-1)&amp;" business day(s) left).")))))</f>
        <v/>
      </c>
      <c r="V715" s="17">
        <f>IF($W715="","",CHOOSE($W715,"Collection Email","1st Follow-up","2nd Follow-up","Local Office","CBE","Roxanne")&amp;IF($W715=6," - Final"," - Day "&amp;MAX(0,NETWORKDAYS($X715,TODAY(),Holidays)-1)&amp;" of "&amp;CHOOSE($W715,3,3,2,2,3))&amp;" | Total Day "&amp;MAX(0,NETWORKDAYS($L715,TODAY(),Holidays)-1))</f>
        <v/>
      </c>
      <c r="W715" s="17">
        <f>IF($L715="","",COUNT($L715:$Q715))</f>
        <v/>
      </c>
      <c r="X715" s="18">
        <f>IF($W715="","",INT(INDEX($L715:$Q715,$W715)))</f>
        <v/>
      </c>
      <c r="Y715" s="18">
        <f>IF(OR($W715="",$W715=6),"",WORKDAY($X715,CHOOSE($W715,3,3,2,2,3),Holidays))</f>
        <v/>
      </c>
      <c r="Z715" s="17">
        <f>IF(OR($W715="",$W715=6),"",CHOOSE($W715,"1st Email Follow-up","2nd Email Follow-up","Escalate Local Office","Escalate to CBE","Escalate to Roxanne"))</f>
        <v/>
      </c>
    </row>
    <row r="716" spans="18:26">
      <c r="R716" s="15"/>
      <c r="S716" s="16"/>
      <c r="T716" s="17">
        <f>IF(AND(COUNTA($A716:$K716)=0,$L716=""),"",IF($S716="Paid","PAID",IF($S716="Closed","CLOSED",IF($W716="","",IF($W716=6,"ESCALATED TO ROXANNE",IF(TODAY()&gt;$Y716,"OVERDUE",IF($Y716&lt;=WORKDAY(TODAY(),1,Holidays),"DUE TOMORROW",IF($W716=4,"ESCALATED TO LOCAL OFFICE",IF($W716=5,"ESCALATED TO CBE",IF($X716=TODAY(),"EMAIL SENT","MONITORING"))))))))))</f>
        <v/>
      </c>
      <c r="U716" s="17">
        <f>IF($T716="",IF(AND(COUNTA($A716:$K716)&gt;0,$L716=""),"Awaiting Collection Email time stamp.",""),IF(OR($T716="PAID",$T716="CLOSED"),IF($T716="PAID","Account paid. Action completed.","Account closed. No further action required."),CHOOSE($W716,"Collection Email","1st Email Follow-up","2nd Email Follow-up","Escalation to Local Office","Escalation to CBE","Escalation to Roxanne")&amp;" sent "&amp;TEXT($X716,"dd-mmm")&amp;". "&amp;IF($W716=6,"Final escalation completed.",IF($T716="OVERDUE","Next: "&amp;$Z716&amp;" was due "&amp;TEXT($Y716,"dd-mmm")&amp;" - "&amp;(NETWORKDAYS($Y716,TODAY(),Holidays)-1)&amp;" business day(s) late. Send now.",IF($T716="DUE TOMORROW","Next: "&amp;$Z716&amp;IF($Y716&lt;=TODAY()," is due TODAY ("," is due next business day (")&amp;TEXT($Y716,"dd-mmm")&amp;").","Next: "&amp;$Z716&amp;" due "&amp;TEXT($Y716,"dd-mmm")&amp;" ("&amp;(NETWORKDAYS(TODAY(),$Y716,Holidays)-1)&amp;" business day(s) left).")))))</f>
        <v/>
      </c>
      <c r="V716" s="17">
        <f>IF($W716="","",CHOOSE($W716,"Collection Email","1st Follow-up","2nd Follow-up","Local Office","CBE","Roxanne")&amp;IF($W716=6," - Final"," - Day "&amp;MAX(0,NETWORKDAYS($X716,TODAY(),Holidays)-1)&amp;" of "&amp;CHOOSE($W716,3,3,2,2,3))&amp;" | Total Day "&amp;MAX(0,NETWORKDAYS($L716,TODAY(),Holidays)-1))</f>
        <v/>
      </c>
      <c r="W716" s="17">
        <f>IF($L716="","",COUNT($L716:$Q716))</f>
        <v/>
      </c>
      <c r="X716" s="18">
        <f>IF($W716="","",INT(INDEX($L716:$Q716,$W716)))</f>
        <v/>
      </c>
      <c r="Y716" s="18">
        <f>IF(OR($W716="",$W716=6),"",WORKDAY($X716,CHOOSE($W716,3,3,2,2,3),Holidays))</f>
        <v/>
      </c>
      <c r="Z716" s="17">
        <f>IF(OR($W716="",$W716=6),"",CHOOSE($W716,"1st Email Follow-up","2nd Email Follow-up","Escalate Local Office","Escalate to CBE","Escalate to Roxanne"))</f>
        <v/>
      </c>
    </row>
    <row r="717" spans="18:26">
      <c r="R717" s="15"/>
      <c r="S717" s="16"/>
      <c r="T717" s="17">
        <f>IF(AND(COUNTA($A717:$K717)=0,$L717=""),"",IF($S717="Paid","PAID",IF($S717="Closed","CLOSED",IF($W717="","",IF($W717=6,"ESCALATED TO ROXANNE",IF(TODAY()&gt;$Y717,"OVERDUE",IF($Y717&lt;=WORKDAY(TODAY(),1,Holidays),"DUE TOMORROW",IF($W717=4,"ESCALATED TO LOCAL OFFICE",IF($W717=5,"ESCALATED TO CBE",IF($X717=TODAY(),"EMAIL SENT","MONITORING"))))))))))</f>
        <v/>
      </c>
      <c r="U717" s="17">
        <f>IF($T717="",IF(AND(COUNTA($A717:$K717)&gt;0,$L717=""),"Awaiting Collection Email time stamp.",""),IF(OR($T717="PAID",$T717="CLOSED"),IF($T717="PAID","Account paid. Action completed.","Account closed. No further action required."),CHOOSE($W717,"Collection Email","1st Email Follow-up","2nd Email Follow-up","Escalation to Local Office","Escalation to CBE","Escalation to Roxanne")&amp;" sent "&amp;TEXT($X717,"dd-mmm")&amp;". "&amp;IF($W717=6,"Final escalation completed.",IF($T717="OVERDUE","Next: "&amp;$Z717&amp;" was due "&amp;TEXT($Y717,"dd-mmm")&amp;" - "&amp;(NETWORKDAYS($Y717,TODAY(),Holidays)-1)&amp;" business day(s) late. Send now.",IF($T717="DUE TOMORROW","Next: "&amp;$Z717&amp;IF($Y717&lt;=TODAY()," is due TODAY ("," is due next business day (")&amp;TEXT($Y717,"dd-mmm")&amp;").","Next: "&amp;$Z717&amp;" due "&amp;TEXT($Y717,"dd-mmm")&amp;" ("&amp;(NETWORKDAYS(TODAY(),$Y717,Holidays)-1)&amp;" business day(s) left).")))))</f>
        <v/>
      </c>
      <c r="V717" s="17">
        <f>IF($W717="","",CHOOSE($W717,"Collection Email","1st Follow-up","2nd Follow-up","Local Office","CBE","Roxanne")&amp;IF($W717=6," - Final"," - Day "&amp;MAX(0,NETWORKDAYS($X717,TODAY(),Holidays)-1)&amp;" of "&amp;CHOOSE($W717,3,3,2,2,3))&amp;" | Total Day "&amp;MAX(0,NETWORKDAYS($L717,TODAY(),Holidays)-1))</f>
        <v/>
      </c>
      <c r="W717" s="17">
        <f>IF($L717="","",COUNT($L717:$Q717))</f>
        <v/>
      </c>
      <c r="X717" s="18">
        <f>IF($W717="","",INT(INDEX($L717:$Q717,$W717)))</f>
        <v/>
      </c>
      <c r="Y717" s="18">
        <f>IF(OR($W717="",$W717=6),"",WORKDAY($X717,CHOOSE($W717,3,3,2,2,3),Holidays))</f>
        <v/>
      </c>
      <c r="Z717" s="17">
        <f>IF(OR($W717="",$W717=6),"",CHOOSE($W717,"1st Email Follow-up","2nd Email Follow-up","Escalate Local Office","Escalate to CBE","Escalate to Roxanne"))</f>
        <v/>
      </c>
    </row>
    <row r="718" spans="18:26">
      <c r="R718" s="15"/>
      <c r="S718" s="16"/>
      <c r="T718" s="17">
        <f>IF(AND(COUNTA($A718:$K718)=0,$L718=""),"",IF($S718="Paid","PAID",IF($S718="Closed","CLOSED",IF($W718="","",IF($W718=6,"ESCALATED TO ROXANNE",IF(TODAY()&gt;$Y718,"OVERDUE",IF($Y718&lt;=WORKDAY(TODAY(),1,Holidays),"DUE TOMORROW",IF($W718=4,"ESCALATED TO LOCAL OFFICE",IF($W718=5,"ESCALATED TO CBE",IF($X718=TODAY(),"EMAIL SENT","MONITORING"))))))))))</f>
        <v/>
      </c>
      <c r="U718" s="17">
        <f>IF($T718="",IF(AND(COUNTA($A718:$K718)&gt;0,$L718=""),"Awaiting Collection Email time stamp.",""),IF(OR($T718="PAID",$T718="CLOSED"),IF($T718="PAID","Account paid. Action completed.","Account closed. No further action required."),CHOOSE($W718,"Collection Email","1st Email Follow-up","2nd Email Follow-up","Escalation to Local Office","Escalation to CBE","Escalation to Roxanne")&amp;" sent "&amp;TEXT($X718,"dd-mmm")&amp;". "&amp;IF($W718=6,"Final escalation completed.",IF($T718="OVERDUE","Next: "&amp;$Z718&amp;" was due "&amp;TEXT($Y718,"dd-mmm")&amp;" - "&amp;(NETWORKDAYS($Y718,TODAY(),Holidays)-1)&amp;" business day(s) late. Send now.",IF($T718="DUE TOMORROW","Next: "&amp;$Z718&amp;IF($Y718&lt;=TODAY()," is due TODAY ("," is due next business day (")&amp;TEXT($Y718,"dd-mmm")&amp;").","Next: "&amp;$Z718&amp;" due "&amp;TEXT($Y718,"dd-mmm")&amp;" ("&amp;(NETWORKDAYS(TODAY(),$Y718,Holidays)-1)&amp;" business day(s) left).")))))</f>
        <v/>
      </c>
      <c r="V718" s="17">
        <f>IF($W718="","",CHOOSE($W718,"Collection Email","1st Follow-up","2nd Follow-up","Local Office","CBE","Roxanne")&amp;IF($W718=6," - Final"," - Day "&amp;MAX(0,NETWORKDAYS($X718,TODAY(),Holidays)-1)&amp;" of "&amp;CHOOSE($W718,3,3,2,2,3))&amp;" | Total Day "&amp;MAX(0,NETWORKDAYS($L718,TODAY(),Holidays)-1))</f>
        <v/>
      </c>
      <c r="W718" s="17">
        <f>IF($L718="","",COUNT($L718:$Q718))</f>
        <v/>
      </c>
      <c r="X718" s="18">
        <f>IF($W718="","",INT(INDEX($L718:$Q718,$W718)))</f>
        <v/>
      </c>
      <c r="Y718" s="18">
        <f>IF(OR($W718="",$W718=6),"",WORKDAY($X718,CHOOSE($W718,3,3,2,2,3),Holidays))</f>
        <v/>
      </c>
      <c r="Z718" s="17">
        <f>IF(OR($W718="",$W718=6),"",CHOOSE($W718,"1st Email Follow-up","2nd Email Follow-up","Escalate Local Office","Escalate to CBE","Escalate to Roxanne"))</f>
        <v/>
      </c>
    </row>
    <row r="719" spans="18:26">
      <c r="R719" s="15"/>
      <c r="S719" s="16"/>
      <c r="T719" s="17">
        <f>IF(AND(COUNTA($A719:$K719)=0,$L719=""),"",IF($S719="Paid","PAID",IF($S719="Closed","CLOSED",IF($W719="","",IF($W719=6,"ESCALATED TO ROXANNE",IF(TODAY()&gt;$Y719,"OVERDUE",IF($Y719&lt;=WORKDAY(TODAY(),1,Holidays),"DUE TOMORROW",IF($W719=4,"ESCALATED TO LOCAL OFFICE",IF($W719=5,"ESCALATED TO CBE",IF($X719=TODAY(),"EMAIL SENT","MONITORING"))))))))))</f>
        <v/>
      </c>
      <c r="U719" s="17">
        <f>IF($T719="",IF(AND(COUNTA($A719:$K719)&gt;0,$L719=""),"Awaiting Collection Email time stamp.",""),IF(OR($T719="PAID",$T719="CLOSED"),IF($T719="PAID","Account paid. Action completed.","Account closed. No further action required."),CHOOSE($W719,"Collection Email","1st Email Follow-up","2nd Email Follow-up","Escalation to Local Office","Escalation to CBE","Escalation to Roxanne")&amp;" sent "&amp;TEXT($X719,"dd-mmm")&amp;". "&amp;IF($W719=6,"Final escalation completed.",IF($T719="OVERDUE","Next: "&amp;$Z719&amp;" was due "&amp;TEXT($Y719,"dd-mmm")&amp;" - "&amp;(NETWORKDAYS($Y719,TODAY(),Holidays)-1)&amp;" business day(s) late. Send now.",IF($T719="DUE TOMORROW","Next: "&amp;$Z719&amp;IF($Y719&lt;=TODAY()," is due TODAY ("," is due next business day (")&amp;TEXT($Y719,"dd-mmm")&amp;").","Next: "&amp;$Z719&amp;" due "&amp;TEXT($Y719,"dd-mmm")&amp;" ("&amp;(NETWORKDAYS(TODAY(),$Y719,Holidays)-1)&amp;" business day(s) left).")))))</f>
        <v/>
      </c>
      <c r="V719" s="17">
        <f>IF($W719="","",CHOOSE($W719,"Collection Email","1st Follow-up","2nd Follow-up","Local Office","CBE","Roxanne")&amp;IF($W719=6," - Final"," - Day "&amp;MAX(0,NETWORKDAYS($X719,TODAY(),Holidays)-1)&amp;" of "&amp;CHOOSE($W719,3,3,2,2,3))&amp;" | Total Day "&amp;MAX(0,NETWORKDAYS($L719,TODAY(),Holidays)-1))</f>
        <v/>
      </c>
      <c r="W719" s="17">
        <f>IF($L719="","",COUNT($L719:$Q719))</f>
        <v/>
      </c>
      <c r="X719" s="18">
        <f>IF($W719="","",INT(INDEX($L719:$Q719,$W719)))</f>
        <v/>
      </c>
      <c r="Y719" s="18">
        <f>IF(OR($W719="",$W719=6),"",WORKDAY($X719,CHOOSE($W719,3,3,2,2,3),Holidays))</f>
        <v/>
      </c>
      <c r="Z719" s="17">
        <f>IF(OR($W719="",$W719=6),"",CHOOSE($W719,"1st Email Follow-up","2nd Email Follow-up","Escalate Local Office","Escalate to CBE","Escalate to Roxanne"))</f>
        <v/>
      </c>
    </row>
    <row r="720" spans="18:26">
      <c r="R720" s="15"/>
      <c r="S720" s="16"/>
      <c r="T720" s="17">
        <f>IF(AND(COUNTA($A720:$K720)=0,$L720=""),"",IF($S720="Paid","PAID",IF($S720="Closed","CLOSED",IF($W720="","",IF($W720=6,"ESCALATED TO ROXANNE",IF(TODAY()&gt;$Y720,"OVERDUE",IF($Y720&lt;=WORKDAY(TODAY(),1,Holidays),"DUE TOMORROW",IF($W720=4,"ESCALATED TO LOCAL OFFICE",IF($W720=5,"ESCALATED TO CBE",IF($X720=TODAY(),"EMAIL SENT","MONITORING"))))))))))</f>
        <v/>
      </c>
      <c r="U720" s="17">
        <f>IF($T720="",IF(AND(COUNTA($A720:$K720)&gt;0,$L720=""),"Awaiting Collection Email time stamp.",""),IF(OR($T720="PAID",$T720="CLOSED"),IF($T720="PAID","Account paid. Action completed.","Account closed. No further action required."),CHOOSE($W720,"Collection Email","1st Email Follow-up","2nd Email Follow-up","Escalation to Local Office","Escalation to CBE","Escalation to Roxanne")&amp;" sent "&amp;TEXT($X720,"dd-mmm")&amp;". "&amp;IF($W720=6,"Final escalation completed.",IF($T720="OVERDUE","Next: "&amp;$Z720&amp;" was due "&amp;TEXT($Y720,"dd-mmm")&amp;" - "&amp;(NETWORKDAYS($Y720,TODAY(),Holidays)-1)&amp;" business day(s) late. Send now.",IF($T720="DUE TOMORROW","Next: "&amp;$Z720&amp;IF($Y720&lt;=TODAY()," is due TODAY ("," is due next business day (")&amp;TEXT($Y720,"dd-mmm")&amp;").","Next: "&amp;$Z720&amp;" due "&amp;TEXT($Y720,"dd-mmm")&amp;" ("&amp;(NETWORKDAYS(TODAY(),$Y720,Holidays)-1)&amp;" business day(s) left).")))))</f>
        <v/>
      </c>
      <c r="V720" s="17">
        <f>IF($W720="","",CHOOSE($W720,"Collection Email","1st Follow-up","2nd Follow-up","Local Office","CBE","Roxanne")&amp;IF($W720=6," - Final"," - Day "&amp;MAX(0,NETWORKDAYS($X720,TODAY(),Holidays)-1)&amp;" of "&amp;CHOOSE($W720,3,3,2,2,3))&amp;" | Total Day "&amp;MAX(0,NETWORKDAYS($L720,TODAY(),Holidays)-1))</f>
        <v/>
      </c>
      <c r="W720" s="17">
        <f>IF($L720="","",COUNT($L720:$Q720))</f>
        <v/>
      </c>
      <c r="X720" s="18">
        <f>IF($W720="","",INT(INDEX($L720:$Q720,$W720)))</f>
        <v/>
      </c>
      <c r="Y720" s="18">
        <f>IF(OR($W720="",$W720=6),"",WORKDAY($X720,CHOOSE($W720,3,3,2,2,3),Holidays))</f>
        <v/>
      </c>
      <c r="Z720" s="17">
        <f>IF(OR($W720="",$W720=6),"",CHOOSE($W720,"1st Email Follow-up","2nd Email Follow-up","Escalate Local Office","Escalate to CBE","Escalate to Roxanne"))</f>
        <v/>
      </c>
    </row>
    <row r="721" spans="18:26">
      <c r="R721" s="15"/>
      <c r="S721" s="16"/>
      <c r="T721" s="17">
        <f>IF(AND(COUNTA($A721:$K721)=0,$L721=""),"",IF($S721="Paid","PAID",IF($S721="Closed","CLOSED",IF($W721="","",IF($W721=6,"ESCALATED TO ROXANNE",IF(TODAY()&gt;$Y721,"OVERDUE",IF($Y721&lt;=WORKDAY(TODAY(),1,Holidays),"DUE TOMORROW",IF($W721=4,"ESCALATED TO LOCAL OFFICE",IF($W721=5,"ESCALATED TO CBE",IF($X721=TODAY(),"EMAIL SENT","MONITORING"))))))))))</f>
        <v/>
      </c>
      <c r="U721" s="17">
        <f>IF($T721="",IF(AND(COUNTA($A721:$K721)&gt;0,$L721=""),"Awaiting Collection Email time stamp.",""),IF(OR($T721="PAID",$T721="CLOSED"),IF($T721="PAID","Account paid. Action completed.","Account closed. No further action required."),CHOOSE($W721,"Collection Email","1st Email Follow-up","2nd Email Follow-up","Escalation to Local Office","Escalation to CBE","Escalation to Roxanne")&amp;" sent "&amp;TEXT($X721,"dd-mmm")&amp;". "&amp;IF($W721=6,"Final escalation completed.",IF($T721="OVERDUE","Next: "&amp;$Z721&amp;" was due "&amp;TEXT($Y721,"dd-mmm")&amp;" - "&amp;(NETWORKDAYS($Y721,TODAY(),Holidays)-1)&amp;" business day(s) late. Send now.",IF($T721="DUE TOMORROW","Next: "&amp;$Z721&amp;IF($Y721&lt;=TODAY()," is due TODAY ("," is due next business day (")&amp;TEXT($Y721,"dd-mmm")&amp;").","Next: "&amp;$Z721&amp;" due "&amp;TEXT($Y721,"dd-mmm")&amp;" ("&amp;(NETWORKDAYS(TODAY(),$Y721,Holidays)-1)&amp;" business day(s) left).")))))</f>
        <v/>
      </c>
      <c r="V721" s="17">
        <f>IF($W721="","",CHOOSE($W721,"Collection Email","1st Follow-up","2nd Follow-up","Local Office","CBE","Roxanne")&amp;IF($W721=6," - Final"," - Day "&amp;MAX(0,NETWORKDAYS($X721,TODAY(),Holidays)-1)&amp;" of "&amp;CHOOSE($W721,3,3,2,2,3))&amp;" | Total Day "&amp;MAX(0,NETWORKDAYS($L721,TODAY(),Holidays)-1))</f>
        <v/>
      </c>
      <c r="W721" s="17">
        <f>IF($L721="","",COUNT($L721:$Q721))</f>
        <v/>
      </c>
      <c r="X721" s="18">
        <f>IF($W721="","",INT(INDEX($L721:$Q721,$W721)))</f>
        <v/>
      </c>
      <c r="Y721" s="18">
        <f>IF(OR($W721="",$W721=6),"",WORKDAY($X721,CHOOSE($W721,3,3,2,2,3),Holidays))</f>
        <v/>
      </c>
      <c r="Z721" s="17">
        <f>IF(OR($W721="",$W721=6),"",CHOOSE($W721,"1st Email Follow-up","2nd Email Follow-up","Escalate Local Office","Escalate to CBE","Escalate to Roxanne"))</f>
        <v/>
      </c>
    </row>
    <row r="722" spans="18:26">
      <c r="R722" s="15"/>
      <c r="S722" s="16"/>
      <c r="T722" s="17">
        <f>IF(AND(COUNTA($A722:$K722)=0,$L722=""),"",IF($S722="Paid","PAID",IF($S722="Closed","CLOSED",IF($W722="","",IF($W722=6,"ESCALATED TO ROXANNE",IF(TODAY()&gt;$Y722,"OVERDUE",IF($Y722&lt;=WORKDAY(TODAY(),1,Holidays),"DUE TOMORROW",IF($W722=4,"ESCALATED TO LOCAL OFFICE",IF($W722=5,"ESCALATED TO CBE",IF($X722=TODAY(),"EMAIL SENT","MONITORING"))))))))))</f>
        <v/>
      </c>
      <c r="U722" s="17">
        <f>IF($T722="",IF(AND(COUNTA($A722:$K722)&gt;0,$L722=""),"Awaiting Collection Email time stamp.",""),IF(OR($T722="PAID",$T722="CLOSED"),IF($T722="PAID","Account paid. Action completed.","Account closed. No further action required."),CHOOSE($W722,"Collection Email","1st Email Follow-up","2nd Email Follow-up","Escalation to Local Office","Escalation to CBE","Escalation to Roxanne")&amp;" sent "&amp;TEXT($X722,"dd-mmm")&amp;". "&amp;IF($W722=6,"Final escalation completed.",IF($T722="OVERDUE","Next: "&amp;$Z722&amp;" was due "&amp;TEXT($Y722,"dd-mmm")&amp;" - "&amp;(NETWORKDAYS($Y722,TODAY(),Holidays)-1)&amp;" business day(s) late. Send now.",IF($T722="DUE TOMORROW","Next: "&amp;$Z722&amp;IF($Y722&lt;=TODAY()," is due TODAY ("," is due next business day (")&amp;TEXT($Y722,"dd-mmm")&amp;").","Next: "&amp;$Z722&amp;" due "&amp;TEXT($Y722,"dd-mmm")&amp;" ("&amp;(NETWORKDAYS(TODAY(),$Y722,Holidays)-1)&amp;" business day(s) left).")))))</f>
        <v/>
      </c>
      <c r="V722" s="17">
        <f>IF($W722="","",CHOOSE($W722,"Collection Email","1st Follow-up","2nd Follow-up","Local Office","CBE","Roxanne")&amp;IF($W722=6," - Final"," - Day "&amp;MAX(0,NETWORKDAYS($X722,TODAY(),Holidays)-1)&amp;" of "&amp;CHOOSE($W722,3,3,2,2,3))&amp;" | Total Day "&amp;MAX(0,NETWORKDAYS($L722,TODAY(),Holidays)-1))</f>
        <v/>
      </c>
      <c r="W722" s="17">
        <f>IF($L722="","",COUNT($L722:$Q722))</f>
        <v/>
      </c>
      <c r="X722" s="18">
        <f>IF($W722="","",INT(INDEX($L722:$Q722,$W722)))</f>
        <v/>
      </c>
      <c r="Y722" s="18">
        <f>IF(OR($W722="",$W722=6),"",WORKDAY($X722,CHOOSE($W722,3,3,2,2,3),Holidays))</f>
        <v/>
      </c>
      <c r="Z722" s="17">
        <f>IF(OR($W722="",$W722=6),"",CHOOSE($W722,"1st Email Follow-up","2nd Email Follow-up","Escalate Local Office","Escalate to CBE","Escalate to Roxanne"))</f>
        <v/>
      </c>
    </row>
    <row r="723" spans="18:26">
      <c r="R723" s="15"/>
      <c r="S723" s="16"/>
      <c r="T723" s="17">
        <f>IF(AND(COUNTA($A723:$K723)=0,$L723=""),"",IF($S723="Paid","PAID",IF($S723="Closed","CLOSED",IF($W723="","",IF($W723=6,"ESCALATED TO ROXANNE",IF(TODAY()&gt;$Y723,"OVERDUE",IF($Y723&lt;=WORKDAY(TODAY(),1,Holidays),"DUE TOMORROW",IF($W723=4,"ESCALATED TO LOCAL OFFICE",IF($W723=5,"ESCALATED TO CBE",IF($X723=TODAY(),"EMAIL SENT","MONITORING"))))))))))</f>
        <v/>
      </c>
      <c r="U723" s="17">
        <f>IF($T723="",IF(AND(COUNTA($A723:$K723)&gt;0,$L723=""),"Awaiting Collection Email time stamp.",""),IF(OR($T723="PAID",$T723="CLOSED"),IF($T723="PAID","Account paid. Action completed.","Account closed. No further action required."),CHOOSE($W723,"Collection Email","1st Email Follow-up","2nd Email Follow-up","Escalation to Local Office","Escalation to CBE","Escalation to Roxanne")&amp;" sent "&amp;TEXT($X723,"dd-mmm")&amp;". "&amp;IF($W723=6,"Final escalation completed.",IF($T723="OVERDUE","Next: "&amp;$Z723&amp;" was due "&amp;TEXT($Y723,"dd-mmm")&amp;" - "&amp;(NETWORKDAYS($Y723,TODAY(),Holidays)-1)&amp;" business day(s) late. Send now.",IF($T723="DUE TOMORROW","Next: "&amp;$Z723&amp;IF($Y723&lt;=TODAY()," is due TODAY ("," is due next business day (")&amp;TEXT($Y723,"dd-mmm")&amp;").","Next: "&amp;$Z723&amp;" due "&amp;TEXT($Y723,"dd-mmm")&amp;" ("&amp;(NETWORKDAYS(TODAY(),$Y723,Holidays)-1)&amp;" business day(s) left).")))))</f>
        <v/>
      </c>
      <c r="V723" s="17">
        <f>IF($W723="","",CHOOSE($W723,"Collection Email","1st Follow-up","2nd Follow-up","Local Office","CBE","Roxanne")&amp;IF($W723=6," - Final"," - Day "&amp;MAX(0,NETWORKDAYS($X723,TODAY(),Holidays)-1)&amp;" of "&amp;CHOOSE($W723,3,3,2,2,3))&amp;" | Total Day "&amp;MAX(0,NETWORKDAYS($L723,TODAY(),Holidays)-1))</f>
        <v/>
      </c>
      <c r="W723" s="17">
        <f>IF($L723="","",COUNT($L723:$Q723))</f>
        <v/>
      </c>
      <c r="X723" s="18">
        <f>IF($W723="","",INT(INDEX($L723:$Q723,$W723)))</f>
        <v/>
      </c>
      <c r="Y723" s="18">
        <f>IF(OR($W723="",$W723=6),"",WORKDAY($X723,CHOOSE($W723,3,3,2,2,3),Holidays))</f>
        <v/>
      </c>
      <c r="Z723" s="17">
        <f>IF(OR($W723="",$W723=6),"",CHOOSE($W723,"1st Email Follow-up","2nd Email Follow-up","Escalate Local Office","Escalate to CBE","Escalate to Roxanne"))</f>
        <v/>
      </c>
    </row>
    <row r="724" spans="18:26">
      <c r="R724" s="15"/>
      <c r="S724" s="16"/>
      <c r="T724" s="17">
        <f>IF(AND(COUNTA($A724:$K724)=0,$L724=""),"",IF($S724="Paid","PAID",IF($S724="Closed","CLOSED",IF($W724="","",IF($W724=6,"ESCALATED TO ROXANNE",IF(TODAY()&gt;$Y724,"OVERDUE",IF($Y724&lt;=WORKDAY(TODAY(),1,Holidays),"DUE TOMORROW",IF($W724=4,"ESCALATED TO LOCAL OFFICE",IF($W724=5,"ESCALATED TO CBE",IF($X724=TODAY(),"EMAIL SENT","MONITORING"))))))))))</f>
        <v/>
      </c>
      <c r="U724" s="17">
        <f>IF($T724="",IF(AND(COUNTA($A724:$K724)&gt;0,$L724=""),"Awaiting Collection Email time stamp.",""),IF(OR($T724="PAID",$T724="CLOSED"),IF($T724="PAID","Account paid. Action completed.","Account closed. No further action required."),CHOOSE($W724,"Collection Email","1st Email Follow-up","2nd Email Follow-up","Escalation to Local Office","Escalation to CBE","Escalation to Roxanne")&amp;" sent "&amp;TEXT($X724,"dd-mmm")&amp;". "&amp;IF($W724=6,"Final escalation completed.",IF($T724="OVERDUE","Next: "&amp;$Z724&amp;" was due "&amp;TEXT($Y724,"dd-mmm")&amp;" - "&amp;(NETWORKDAYS($Y724,TODAY(),Holidays)-1)&amp;" business day(s) late. Send now.",IF($T724="DUE TOMORROW","Next: "&amp;$Z724&amp;IF($Y724&lt;=TODAY()," is due TODAY ("," is due next business day (")&amp;TEXT($Y724,"dd-mmm")&amp;").","Next: "&amp;$Z724&amp;" due "&amp;TEXT($Y724,"dd-mmm")&amp;" ("&amp;(NETWORKDAYS(TODAY(),$Y724,Holidays)-1)&amp;" business day(s) left).")))))</f>
        <v/>
      </c>
      <c r="V724" s="17">
        <f>IF($W724="","",CHOOSE($W724,"Collection Email","1st Follow-up","2nd Follow-up","Local Office","CBE","Roxanne")&amp;IF($W724=6," - Final"," - Day "&amp;MAX(0,NETWORKDAYS($X724,TODAY(),Holidays)-1)&amp;" of "&amp;CHOOSE($W724,3,3,2,2,3))&amp;" | Total Day "&amp;MAX(0,NETWORKDAYS($L724,TODAY(),Holidays)-1))</f>
        <v/>
      </c>
      <c r="W724" s="17">
        <f>IF($L724="","",COUNT($L724:$Q724))</f>
        <v/>
      </c>
      <c r="X724" s="18">
        <f>IF($W724="","",INT(INDEX($L724:$Q724,$W724)))</f>
        <v/>
      </c>
      <c r="Y724" s="18">
        <f>IF(OR($W724="",$W724=6),"",WORKDAY($X724,CHOOSE($W724,3,3,2,2,3),Holidays))</f>
        <v/>
      </c>
      <c r="Z724" s="17">
        <f>IF(OR($W724="",$W724=6),"",CHOOSE($W724,"1st Email Follow-up","2nd Email Follow-up","Escalate Local Office","Escalate to CBE","Escalate to Roxanne"))</f>
        <v/>
      </c>
    </row>
    <row r="725" spans="18:26">
      <c r="R725" s="15"/>
      <c r="S725" s="16"/>
      <c r="T725" s="17">
        <f>IF(AND(COUNTA($A725:$K725)=0,$L725=""),"",IF($S725="Paid","PAID",IF($S725="Closed","CLOSED",IF($W725="","",IF($W725=6,"ESCALATED TO ROXANNE",IF(TODAY()&gt;$Y725,"OVERDUE",IF($Y725&lt;=WORKDAY(TODAY(),1,Holidays),"DUE TOMORROW",IF($W725=4,"ESCALATED TO LOCAL OFFICE",IF($W725=5,"ESCALATED TO CBE",IF($X725=TODAY(),"EMAIL SENT","MONITORING"))))))))))</f>
        <v/>
      </c>
      <c r="U725" s="17">
        <f>IF($T725="",IF(AND(COUNTA($A725:$K725)&gt;0,$L725=""),"Awaiting Collection Email time stamp.",""),IF(OR($T725="PAID",$T725="CLOSED"),IF($T725="PAID","Account paid. Action completed.","Account closed. No further action required."),CHOOSE($W725,"Collection Email","1st Email Follow-up","2nd Email Follow-up","Escalation to Local Office","Escalation to CBE","Escalation to Roxanne")&amp;" sent "&amp;TEXT($X725,"dd-mmm")&amp;". "&amp;IF($W725=6,"Final escalation completed.",IF($T725="OVERDUE","Next: "&amp;$Z725&amp;" was due "&amp;TEXT($Y725,"dd-mmm")&amp;" - "&amp;(NETWORKDAYS($Y725,TODAY(),Holidays)-1)&amp;" business day(s) late. Send now.",IF($T725="DUE TOMORROW","Next: "&amp;$Z725&amp;IF($Y725&lt;=TODAY()," is due TODAY ("," is due next business day (")&amp;TEXT($Y725,"dd-mmm")&amp;").","Next: "&amp;$Z725&amp;" due "&amp;TEXT($Y725,"dd-mmm")&amp;" ("&amp;(NETWORKDAYS(TODAY(),$Y725,Holidays)-1)&amp;" business day(s) left).")))))</f>
        <v/>
      </c>
      <c r="V725" s="17">
        <f>IF($W725="","",CHOOSE($W725,"Collection Email","1st Follow-up","2nd Follow-up","Local Office","CBE","Roxanne")&amp;IF($W725=6," - Final"," - Day "&amp;MAX(0,NETWORKDAYS($X725,TODAY(),Holidays)-1)&amp;" of "&amp;CHOOSE($W725,3,3,2,2,3))&amp;" | Total Day "&amp;MAX(0,NETWORKDAYS($L725,TODAY(),Holidays)-1))</f>
        <v/>
      </c>
      <c r="W725" s="17">
        <f>IF($L725="","",COUNT($L725:$Q725))</f>
        <v/>
      </c>
      <c r="X725" s="18">
        <f>IF($W725="","",INT(INDEX($L725:$Q725,$W725)))</f>
        <v/>
      </c>
      <c r="Y725" s="18">
        <f>IF(OR($W725="",$W725=6),"",WORKDAY($X725,CHOOSE($W725,3,3,2,2,3),Holidays))</f>
        <v/>
      </c>
      <c r="Z725" s="17">
        <f>IF(OR($W725="",$W725=6),"",CHOOSE($W725,"1st Email Follow-up","2nd Email Follow-up","Escalate Local Office","Escalate to CBE","Escalate to Roxanne"))</f>
        <v/>
      </c>
    </row>
    <row r="726" spans="18:26">
      <c r="R726" s="15"/>
      <c r="S726" s="16"/>
      <c r="T726" s="17">
        <f>IF(AND(COUNTA($A726:$K726)=0,$L726=""),"",IF($S726="Paid","PAID",IF($S726="Closed","CLOSED",IF($W726="","",IF($W726=6,"ESCALATED TO ROXANNE",IF(TODAY()&gt;$Y726,"OVERDUE",IF($Y726&lt;=WORKDAY(TODAY(),1,Holidays),"DUE TOMORROW",IF($W726=4,"ESCALATED TO LOCAL OFFICE",IF($W726=5,"ESCALATED TO CBE",IF($X726=TODAY(),"EMAIL SENT","MONITORING"))))))))))</f>
        <v/>
      </c>
      <c r="U726" s="17">
        <f>IF($T726="",IF(AND(COUNTA($A726:$K726)&gt;0,$L726=""),"Awaiting Collection Email time stamp.",""),IF(OR($T726="PAID",$T726="CLOSED"),IF($T726="PAID","Account paid. Action completed.","Account closed. No further action required."),CHOOSE($W726,"Collection Email","1st Email Follow-up","2nd Email Follow-up","Escalation to Local Office","Escalation to CBE","Escalation to Roxanne")&amp;" sent "&amp;TEXT($X726,"dd-mmm")&amp;". "&amp;IF($W726=6,"Final escalation completed.",IF($T726="OVERDUE","Next: "&amp;$Z726&amp;" was due "&amp;TEXT($Y726,"dd-mmm")&amp;" - "&amp;(NETWORKDAYS($Y726,TODAY(),Holidays)-1)&amp;" business day(s) late. Send now.",IF($T726="DUE TOMORROW","Next: "&amp;$Z726&amp;IF($Y726&lt;=TODAY()," is due TODAY ("," is due next business day (")&amp;TEXT($Y726,"dd-mmm")&amp;").","Next: "&amp;$Z726&amp;" due "&amp;TEXT($Y726,"dd-mmm")&amp;" ("&amp;(NETWORKDAYS(TODAY(),$Y726,Holidays)-1)&amp;" business day(s) left).")))))</f>
        <v/>
      </c>
      <c r="V726" s="17">
        <f>IF($W726="","",CHOOSE($W726,"Collection Email","1st Follow-up","2nd Follow-up","Local Office","CBE","Roxanne")&amp;IF($W726=6," - Final"," - Day "&amp;MAX(0,NETWORKDAYS($X726,TODAY(),Holidays)-1)&amp;" of "&amp;CHOOSE($W726,3,3,2,2,3))&amp;" | Total Day "&amp;MAX(0,NETWORKDAYS($L726,TODAY(),Holidays)-1))</f>
        <v/>
      </c>
      <c r="W726" s="17">
        <f>IF($L726="","",COUNT($L726:$Q726))</f>
        <v/>
      </c>
      <c r="X726" s="18">
        <f>IF($W726="","",INT(INDEX($L726:$Q726,$W726)))</f>
        <v/>
      </c>
      <c r="Y726" s="18">
        <f>IF(OR($W726="",$W726=6),"",WORKDAY($X726,CHOOSE($W726,3,3,2,2,3),Holidays))</f>
        <v/>
      </c>
      <c r="Z726" s="17">
        <f>IF(OR($W726="",$W726=6),"",CHOOSE($W726,"1st Email Follow-up","2nd Email Follow-up","Escalate Local Office","Escalate to CBE","Escalate to Roxanne"))</f>
        <v/>
      </c>
    </row>
    <row r="727" spans="18:26">
      <c r="R727" s="15"/>
      <c r="S727" s="16"/>
      <c r="T727" s="17">
        <f>IF(AND(COUNTA($A727:$K727)=0,$L727=""),"",IF($S727="Paid","PAID",IF($S727="Closed","CLOSED",IF($W727="","",IF($W727=6,"ESCALATED TO ROXANNE",IF(TODAY()&gt;$Y727,"OVERDUE",IF($Y727&lt;=WORKDAY(TODAY(),1,Holidays),"DUE TOMORROW",IF($W727=4,"ESCALATED TO LOCAL OFFICE",IF($W727=5,"ESCALATED TO CBE",IF($X727=TODAY(),"EMAIL SENT","MONITORING"))))))))))</f>
        <v/>
      </c>
      <c r="U727" s="17">
        <f>IF($T727="",IF(AND(COUNTA($A727:$K727)&gt;0,$L727=""),"Awaiting Collection Email time stamp.",""),IF(OR($T727="PAID",$T727="CLOSED"),IF($T727="PAID","Account paid. Action completed.","Account closed. No further action required."),CHOOSE($W727,"Collection Email","1st Email Follow-up","2nd Email Follow-up","Escalation to Local Office","Escalation to CBE","Escalation to Roxanne")&amp;" sent "&amp;TEXT($X727,"dd-mmm")&amp;". "&amp;IF($W727=6,"Final escalation completed.",IF($T727="OVERDUE","Next: "&amp;$Z727&amp;" was due "&amp;TEXT($Y727,"dd-mmm")&amp;" - "&amp;(NETWORKDAYS($Y727,TODAY(),Holidays)-1)&amp;" business day(s) late. Send now.",IF($T727="DUE TOMORROW","Next: "&amp;$Z727&amp;IF($Y727&lt;=TODAY()," is due TODAY ("," is due next business day (")&amp;TEXT($Y727,"dd-mmm")&amp;").","Next: "&amp;$Z727&amp;" due "&amp;TEXT($Y727,"dd-mmm")&amp;" ("&amp;(NETWORKDAYS(TODAY(),$Y727,Holidays)-1)&amp;" business day(s) left).")))))</f>
        <v/>
      </c>
      <c r="V727" s="17">
        <f>IF($W727="","",CHOOSE($W727,"Collection Email","1st Follow-up","2nd Follow-up","Local Office","CBE","Roxanne")&amp;IF($W727=6," - Final"," - Day "&amp;MAX(0,NETWORKDAYS($X727,TODAY(),Holidays)-1)&amp;" of "&amp;CHOOSE($W727,3,3,2,2,3))&amp;" | Total Day "&amp;MAX(0,NETWORKDAYS($L727,TODAY(),Holidays)-1))</f>
        <v/>
      </c>
      <c r="W727" s="17">
        <f>IF($L727="","",COUNT($L727:$Q727))</f>
        <v/>
      </c>
      <c r="X727" s="18">
        <f>IF($W727="","",INT(INDEX($L727:$Q727,$W727)))</f>
        <v/>
      </c>
      <c r="Y727" s="18">
        <f>IF(OR($W727="",$W727=6),"",WORKDAY($X727,CHOOSE($W727,3,3,2,2,3),Holidays))</f>
        <v/>
      </c>
      <c r="Z727" s="17">
        <f>IF(OR($W727="",$W727=6),"",CHOOSE($W727,"1st Email Follow-up","2nd Email Follow-up","Escalate Local Office","Escalate to CBE","Escalate to Roxanne"))</f>
        <v/>
      </c>
    </row>
    <row r="728" spans="18:26">
      <c r="R728" s="15"/>
      <c r="S728" s="16"/>
      <c r="T728" s="17">
        <f>IF(AND(COUNTA($A728:$K728)=0,$L728=""),"",IF($S728="Paid","PAID",IF($S728="Closed","CLOSED",IF($W728="","",IF($W728=6,"ESCALATED TO ROXANNE",IF(TODAY()&gt;$Y728,"OVERDUE",IF($Y728&lt;=WORKDAY(TODAY(),1,Holidays),"DUE TOMORROW",IF($W728=4,"ESCALATED TO LOCAL OFFICE",IF($W728=5,"ESCALATED TO CBE",IF($X728=TODAY(),"EMAIL SENT","MONITORING"))))))))))</f>
        <v/>
      </c>
      <c r="U728" s="17">
        <f>IF($T728="",IF(AND(COUNTA($A728:$K728)&gt;0,$L728=""),"Awaiting Collection Email time stamp.",""),IF(OR($T728="PAID",$T728="CLOSED"),IF($T728="PAID","Account paid. Action completed.","Account closed. No further action required."),CHOOSE($W728,"Collection Email","1st Email Follow-up","2nd Email Follow-up","Escalation to Local Office","Escalation to CBE","Escalation to Roxanne")&amp;" sent "&amp;TEXT($X728,"dd-mmm")&amp;". "&amp;IF($W728=6,"Final escalation completed.",IF($T728="OVERDUE","Next: "&amp;$Z728&amp;" was due "&amp;TEXT($Y728,"dd-mmm")&amp;" - "&amp;(NETWORKDAYS($Y728,TODAY(),Holidays)-1)&amp;" business day(s) late. Send now.",IF($T728="DUE TOMORROW","Next: "&amp;$Z728&amp;IF($Y728&lt;=TODAY()," is due TODAY ("," is due next business day (")&amp;TEXT($Y728,"dd-mmm")&amp;").","Next: "&amp;$Z728&amp;" due "&amp;TEXT($Y728,"dd-mmm")&amp;" ("&amp;(NETWORKDAYS(TODAY(),$Y728,Holidays)-1)&amp;" business day(s) left).")))))</f>
        <v/>
      </c>
      <c r="V728" s="17">
        <f>IF($W728="","",CHOOSE($W728,"Collection Email","1st Follow-up","2nd Follow-up","Local Office","CBE","Roxanne")&amp;IF($W728=6," - Final"," - Day "&amp;MAX(0,NETWORKDAYS($X728,TODAY(),Holidays)-1)&amp;" of "&amp;CHOOSE($W728,3,3,2,2,3))&amp;" | Total Day "&amp;MAX(0,NETWORKDAYS($L728,TODAY(),Holidays)-1))</f>
        <v/>
      </c>
      <c r="W728" s="17">
        <f>IF($L728="","",COUNT($L728:$Q728))</f>
        <v/>
      </c>
      <c r="X728" s="18">
        <f>IF($W728="","",INT(INDEX($L728:$Q728,$W728)))</f>
        <v/>
      </c>
      <c r="Y728" s="18">
        <f>IF(OR($W728="",$W728=6),"",WORKDAY($X728,CHOOSE($W728,3,3,2,2,3),Holidays))</f>
        <v/>
      </c>
      <c r="Z728" s="17">
        <f>IF(OR($W728="",$W728=6),"",CHOOSE($W728,"1st Email Follow-up","2nd Email Follow-up","Escalate Local Office","Escalate to CBE","Escalate to Roxanne"))</f>
        <v/>
      </c>
    </row>
    <row r="729" spans="18:26">
      <c r="R729" s="15"/>
      <c r="S729" s="16"/>
      <c r="T729" s="17">
        <f>IF(AND(COUNTA($A729:$K729)=0,$L729=""),"",IF($S729="Paid","PAID",IF($S729="Closed","CLOSED",IF($W729="","",IF($W729=6,"ESCALATED TO ROXANNE",IF(TODAY()&gt;$Y729,"OVERDUE",IF($Y729&lt;=WORKDAY(TODAY(),1,Holidays),"DUE TOMORROW",IF($W729=4,"ESCALATED TO LOCAL OFFICE",IF($W729=5,"ESCALATED TO CBE",IF($X729=TODAY(),"EMAIL SENT","MONITORING"))))))))))</f>
        <v/>
      </c>
      <c r="U729" s="17">
        <f>IF($T729="",IF(AND(COUNTA($A729:$K729)&gt;0,$L729=""),"Awaiting Collection Email time stamp.",""),IF(OR($T729="PAID",$T729="CLOSED"),IF($T729="PAID","Account paid. Action completed.","Account closed. No further action required."),CHOOSE($W729,"Collection Email","1st Email Follow-up","2nd Email Follow-up","Escalation to Local Office","Escalation to CBE","Escalation to Roxanne")&amp;" sent "&amp;TEXT($X729,"dd-mmm")&amp;". "&amp;IF($W729=6,"Final escalation completed.",IF($T729="OVERDUE","Next: "&amp;$Z729&amp;" was due "&amp;TEXT($Y729,"dd-mmm")&amp;" - "&amp;(NETWORKDAYS($Y729,TODAY(),Holidays)-1)&amp;" business day(s) late. Send now.",IF($T729="DUE TOMORROW","Next: "&amp;$Z729&amp;IF($Y729&lt;=TODAY()," is due TODAY ("," is due next business day (")&amp;TEXT($Y729,"dd-mmm")&amp;").","Next: "&amp;$Z729&amp;" due "&amp;TEXT($Y729,"dd-mmm")&amp;" ("&amp;(NETWORKDAYS(TODAY(),$Y729,Holidays)-1)&amp;" business day(s) left).")))))</f>
        <v/>
      </c>
      <c r="V729" s="17">
        <f>IF($W729="","",CHOOSE($W729,"Collection Email","1st Follow-up","2nd Follow-up","Local Office","CBE","Roxanne")&amp;IF($W729=6," - Final"," - Day "&amp;MAX(0,NETWORKDAYS($X729,TODAY(),Holidays)-1)&amp;" of "&amp;CHOOSE($W729,3,3,2,2,3))&amp;" | Total Day "&amp;MAX(0,NETWORKDAYS($L729,TODAY(),Holidays)-1))</f>
        <v/>
      </c>
      <c r="W729" s="17">
        <f>IF($L729="","",COUNT($L729:$Q729))</f>
        <v/>
      </c>
      <c r="X729" s="18">
        <f>IF($W729="","",INT(INDEX($L729:$Q729,$W729)))</f>
        <v/>
      </c>
      <c r="Y729" s="18">
        <f>IF(OR($W729="",$W729=6),"",WORKDAY($X729,CHOOSE($W729,3,3,2,2,3),Holidays))</f>
        <v/>
      </c>
      <c r="Z729" s="17">
        <f>IF(OR($W729="",$W729=6),"",CHOOSE($W729,"1st Email Follow-up","2nd Email Follow-up","Escalate Local Office","Escalate to CBE","Escalate to Roxanne"))</f>
        <v/>
      </c>
    </row>
    <row r="730" spans="18:26">
      <c r="R730" s="15"/>
      <c r="S730" s="16"/>
      <c r="T730" s="17">
        <f>IF(AND(COUNTA($A730:$K730)=0,$L730=""),"",IF($S730="Paid","PAID",IF($S730="Closed","CLOSED",IF($W730="","",IF($W730=6,"ESCALATED TO ROXANNE",IF(TODAY()&gt;$Y730,"OVERDUE",IF($Y730&lt;=WORKDAY(TODAY(),1,Holidays),"DUE TOMORROW",IF($W730=4,"ESCALATED TO LOCAL OFFICE",IF($W730=5,"ESCALATED TO CBE",IF($X730=TODAY(),"EMAIL SENT","MONITORING"))))))))))</f>
        <v/>
      </c>
      <c r="U730" s="17">
        <f>IF($T730="",IF(AND(COUNTA($A730:$K730)&gt;0,$L730=""),"Awaiting Collection Email time stamp.",""),IF(OR($T730="PAID",$T730="CLOSED"),IF($T730="PAID","Account paid. Action completed.","Account closed. No further action required."),CHOOSE($W730,"Collection Email","1st Email Follow-up","2nd Email Follow-up","Escalation to Local Office","Escalation to CBE","Escalation to Roxanne")&amp;" sent "&amp;TEXT($X730,"dd-mmm")&amp;". "&amp;IF($W730=6,"Final escalation completed.",IF($T730="OVERDUE","Next: "&amp;$Z730&amp;" was due "&amp;TEXT($Y730,"dd-mmm")&amp;" - "&amp;(NETWORKDAYS($Y730,TODAY(),Holidays)-1)&amp;" business day(s) late. Send now.",IF($T730="DUE TOMORROW","Next: "&amp;$Z730&amp;IF($Y730&lt;=TODAY()," is due TODAY ("," is due next business day (")&amp;TEXT($Y730,"dd-mmm")&amp;").","Next: "&amp;$Z730&amp;" due "&amp;TEXT($Y730,"dd-mmm")&amp;" ("&amp;(NETWORKDAYS(TODAY(),$Y730,Holidays)-1)&amp;" business day(s) left).")))))</f>
        <v/>
      </c>
      <c r="V730" s="17">
        <f>IF($W730="","",CHOOSE($W730,"Collection Email","1st Follow-up","2nd Follow-up","Local Office","CBE","Roxanne")&amp;IF($W730=6," - Final"," - Day "&amp;MAX(0,NETWORKDAYS($X730,TODAY(),Holidays)-1)&amp;" of "&amp;CHOOSE($W730,3,3,2,2,3))&amp;" | Total Day "&amp;MAX(0,NETWORKDAYS($L730,TODAY(),Holidays)-1))</f>
        <v/>
      </c>
      <c r="W730" s="17">
        <f>IF($L730="","",COUNT($L730:$Q730))</f>
        <v/>
      </c>
      <c r="X730" s="18">
        <f>IF($W730="","",INT(INDEX($L730:$Q730,$W730)))</f>
        <v/>
      </c>
      <c r="Y730" s="18">
        <f>IF(OR($W730="",$W730=6),"",WORKDAY($X730,CHOOSE($W730,3,3,2,2,3),Holidays))</f>
        <v/>
      </c>
      <c r="Z730" s="17">
        <f>IF(OR($W730="",$W730=6),"",CHOOSE($W730,"1st Email Follow-up","2nd Email Follow-up","Escalate Local Office","Escalate to CBE","Escalate to Roxanne"))</f>
        <v/>
      </c>
    </row>
    <row r="731" spans="18:26">
      <c r="R731" s="15"/>
      <c r="S731" s="16"/>
      <c r="T731" s="17">
        <f>IF(AND(COUNTA($A731:$K731)=0,$L731=""),"",IF($S731="Paid","PAID",IF($S731="Closed","CLOSED",IF($W731="","",IF($W731=6,"ESCALATED TO ROXANNE",IF(TODAY()&gt;$Y731,"OVERDUE",IF($Y731&lt;=WORKDAY(TODAY(),1,Holidays),"DUE TOMORROW",IF($W731=4,"ESCALATED TO LOCAL OFFICE",IF($W731=5,"ESCALATED TO CBE",IF($X731=TODAY(),"EMAIL SENT","MONITORING"))))))))))</f>
        <v/>
      </c>
      <c r="U731" s="17">
        <f>IF($T731="",IF(AND(COUNTA($A731:$K731)&gt;0,$L731=""),"Awaiting Collection Email time stamp.",""),IF(OR($T731="PAID",$T731="CLOSED"),IF($T731="PAID","Account paid. Action completed.","Account closed. No further action required."),CHOOSE($W731,"Collection Email","1st Email Follow-up","2nd Email Follow-up","Escalation to Local Office","Escalation to CBE","Escalation to Roxanne")&amp;" sent "&amp;TEXT($X731,"dd-mmm")&amp;". "&amp;IF($W731=6,"Final escalation completed.",IF($T731="OVERDUE","Next: "&amp;$Z731&amp;" was due "&amp;TEXT($Y731,"dd-mmm")&amp;" - "&amp;(NETWORKDAYS($Y731,TODAY(),Holidays)-1)&amp;" business day(s) late. Send now.",IF($T731="DUE TOMORROW","Next: "&amp;$Z731&amp;IF($Y731&lt;=TODAY()," is due TODAY ("," is due next business day (")&amp;TEXT($Y731,"dd-mmm")&amp;").","Next: "&amp;$Z731&amp;" due "&amp;TEXT($Y731,"dd-mmm")&amp;" ("&amp;(NETWORKDAYS(TODAY(),$Y731,Holidays)-1)&amp;" business day(s) left).")))))</f>
        <v/>
      </c>
      <c r="V731" s="17">
        <f>IF($W731="","",CHOOSE($W731,"Collection Email","1st Follow-up","2nd Follow-up","Local Office","CBE","Roxanne")&amp;IF($W731=6," - Final"," - Day "&amp;MAX(0,NETWORKDAYS($X731,TODAY(),Holidays)-1)&amp;" of "&amp;CHOOSE($W731,3,3,2,2,3))&amp;" | Total Day "&amp;MAX(0,NETWORKDAYS($L731,TODAY(),Holidays)-1))</f>
        <v/>
      </c>
      <c r="W731" s="17">
        <f>IF($L731="","",COUNT($L731:$Q731))</f>
        <v/>
      </c>
      <c r="X731" s="18">
        <f>IF($W731="","",INT(INDEX($L731:$Q731,$W731)))</f>
        <v/>
      </c>
      <c r="Y731" s="18">
        <f>IF(OR($W731="",$W731=6),"",WORKDAY($X731,CHOOSE($W731,3,3,2,2,3),Holidays))</f>
        <v/>
      </c>
      <c r="Z731" s="17">
        <f>IF(OR($W731="",$W731=6),"",CHOOSE($W731,"1st Email Follow-up","2nd Email Follow-up","Escalate Local Office","Escalate to CBE","Escalate to Roxanne"))</f>
        <v/>
      </c>
    </row>
    <row r="732" spans="18:26">
      <c r="R732" s="15"/>
      <c r="S732" s="16"/>
      <c r="T732" s="17">
        <f>IF(AND(COUNTA($A732:$K732)=0,$L732=""),"",IF($S732="Paid","PAID",IF($S732="Closed","CLOSED",IF($W732="","",IF($W732=6,"ESCALATED TO ROXANNE",IF(TODAY()&gt;$Y732,"OVERDUE",IF($Y732&lt;=WORKDAY(TODAY(),1,Holidays),"DUE TOMORROW",IF($W732=4,"ESCALATED TO LOCAL OFFICE",IF($W732=5,"ESCALATED TO CBE",IF($X732=TODAY(),"EMAIL SENT","MONITORING"))))))))))</f>
        <v/>
      </c>
      <c r="U732" s="17">
        <f>IF($T732="",IF(AND(COUNTA($A732:$K732)&gt;0,$L732=""),"Awaiting Collection Email time stamp.",""),IF(OR($T732="PAID",$T732="CLOSED"),IF($T732="PAID","Account paid. Action completed.","Account closed. No further action required."),CHOOSE($W732,"Collection Email","1st Email Follow-up","2nd Email Follow-up","Escalation to Local Office","Escalation to CBE","Escalation to Roxanne")&amp;" sent "&amp;TEXT($X732,"dd-mmm")&amp;". "&amp;IF($W732=6,"Final escalation completed.",IF($T732="OVERDUE","Next: "&amp;$Z732&amp;" was due "&amp;TEXT($Y732,"dd-mmm")&amp;" - "&amp;(NETWORKDAYS($Y732,TODAY(),Holidays)-1)&amp;" business day(s) late. Send now.",IF($T732="DUE TOMORROW","Next: "&amp;$Z732&amp;IF($Y732&lt;=TODAY()," is due TODAY ("," is due next business day (")&amp;TEXT($Y732,"dd-mmm")&amp;").","Next: "&amp;$Z732&amp;" due "&amp;TEXT($Y732,"dd-mmm")&amp;" ("&amp;(NETWORKDAYS(TODAY(),$Y732,Holidays)-1)&amp;" business day(s) left).")))))</f>
        <v/>
      </c>
      <c r="V732" s="17">
        <f>IF($W732="","",CHOOSE($W732,"Collection Email","1st Follow-up","2nd Follow-up","Local Office","CBE","Roxanne")&amp;IF($W732=6," - Final"," - Day "&amp;MAX(0,NETWORKDAYS($X732,TODAY(),Holidays)-1)&amp;" of "&amp;CHOOSE($W732,3,3,2,2,3))&amp;" | Total Day "&amp;MAX(0,NETWORKDAYS($L732,TODAY(),Holidays)-1))</f>
        <v/>
      </c>
      <c r="W732" s="17">
        <f>IF($L732="","",COUNT($L732:$Q732))</f>
        <v/>
      </c>
      <c r="X732" s="18">
        <f>IF($W732="","",INT(INDEX($L732:$Q732,$W732)))</f>
        <v/>
      </c>
      <c r="Y732" s="18">
        <f>IF(OR($W732="",$W732=6),"",WORKDAY($X732,CHOOSE($W732,3,3,2,2,3),Holidays))</f>
        <v/>
      </c>
      <c r="Z732" s="17">
        <f>IF(OR($W732="",$W732=6),"",CHOOSE($W732,"1st Email Follow-up","2nd Email Follow-up","Escalate Local Office","Escalate to CBE","Escalate to Roxanne"))</f>
        <v/>
      </c>
    </row>
    <row r="733" spans="18:26">
      <c r="R733" s="15"/>
      <c r="S733" s="16"/>
      <c r="T733" s="17">
        <f>IF(AND(COUNTA($A733:$K733)=0,$L733=""),"",IF($S733="Paid","PAID",IF($S733="Closed","CLOSED",IF($W733="","",IF($W733=6,"ESCALATED TO ROXANNE",IF(TODAY()&gt;$Y733,"OVERDUE",IF($Y733&lt;=WORKDAY(TODAY(),1,Holidays),"DUE TOMORROW",IF($W733=4,"ESCALATED TO LOCAL OFFICE",IF($W733=5,"ESCALATED TO CBE",IF($X733=TODAY(),"EMAIL SENT","MONITORING"))))))))))</f>
        <v/>
      </c>
      <c r="U733" s="17">
        <f>IF($T733="",IF(AND(COUNTA($A733:$K733)&gt;0,$L733=""),"Awaiting Collection Email time stamp.",""),IF(OR($T733="PAID",$T733="CLOSED"),IF($T733="PAID","Account paid. Action completed.","Account closed. No further action required."),CHOOSE($W733,"Collection Email","1st Email Follow-up","2nd Email Follow-up","Escalation to Local Office","Escalation to CBE","Escalation to Roxanne")&amp;" sent "&amp;TEXT($X733,"dd-mmm")&amp;". "&amp;IF($W733=6,"Final escalation completed.",IF($T733="OVERDUE","Next: "&amp;$Z733&amp;" was due "&amp;TEXT($Y733,"dd-mmm")&amp;" - "&amp;(NETWORKDAYS($Y733,TODAY(),Holidays)-1)&amp;" business day(s) late. Send now.",IF($T733="DUE TOMORROW","Next: "&amp;$Z733&amp;IF($Y733&lt;=TODAY()," is due TODAY ("," is due next business day (")&amp;TEXT($Y733,"dd-mmm")&amp;").","Next: "&amp;$Z733&amp;" due "&amp;TEXT($Y733,"dd-mmm")&amp;" ("&amp;(NETWORKDAYS(TODAY(),$Y733,Holidays)-1)&amp;" business day(s) left).")))))</f>
        <v/>
      </c>
      <c r="V733" s="17">
        <f>IF($W733="","",CHOOSE($W733,"Collection Email","1st Follow-up","2nd Follow-up","Local Office","CBE","Roxanne")&amp;IF($W733=6," - Final"," - Day "&amp;MAX(0,NETWORKDAYS($X733,TODAY(),Holidays)-1)&amp;" of "&amp;CHOOSE($W733,3,3,2,2,3))&amp;" | Total Day "&amp;MAX(0,NETWORKDAYS($L733,TODAY(),Holidays)-1))</f>
        <v/>
      </c>
      <c r="W733" s="17">
        <f>IF($L733="","",COUNT($L733:$Q733))</f>
        <v/>
      </c>
      <c r="X733" s="18">
        <f>IF($W733="","",INT(INDEX($L733:$Q733,$W733)))</f>
        <v/>
      </c>
      <c r="Y733" s="18">
        <f>IF(OR($W733="",$W733=6),"",WORKDAY($X733,CHOOSE($W733,3,3,2,2,3),Holidays))</f>
        <v/>
      </c>
      <c r="Z733" s="17">
        <f>IF(OR($W733="",$W733=6),"",CHOOSE($W733,"1st Email Follow-up","2nd Email Follow-up","Escalate Local Office","Escalate to CBE","Escalate to Roxanne"))</f>
        <v/>
      </c>
    </row>
    <row r="734" spans="18:26">
      <c r="R734" s="15"/>
      <c r="S734" s="16"/>
      <c r="T734" s="17">
        <f>IF(AND(COUNTA($A734:$K734)=0,$L734=""),"",IF($S734="Paid","PAID",IF($S734="Closed","CLOSED",IF($W734="","",IF($W734=6,"ESCALATED TO ROXANNE",IF(TODAY()&gt;$Y734,"OVERDUE",IF($Y734&lt;=WORKDAY(TODAY(),1,Holidays),"DUE TOMORROW",IF($W734=4,"ESCALATED TO LOCAL OFFICE",IF($W734=5,"ESCALATED TO CBE",IF($X734=TODAY(),"EMAIL SENT","MONITORING"))))))))))</f>
        <v/>
      </c>
      <c r="U734" s="17">
        <f>IF($T734="",IF(AND(COUNTA($A734:$K734)&gt;0,$L734=""),"Awaiting Collection Email time stamp.",""),IF(OR($T734="PAID",$T734="CLOSED"),IF($T734="PAID","Account paid. Action completed.","Account closed. No further action required."),CHOOSE($W734,"Collection Email","1st Email Follow-up","2nd Email Follow-up","Escalation to Local Office","Escalation to CBE","Escalation to Roxanne")&amp;" sent "&amp;TEXT($X734,"dd-mmm")&amp;". "&amp;IF($W734=6,"Final escalation completed.",IF($T734="OVERDUE","Next: "&amp;$Z734&amp;" was due "&amp;TEXT($Y734,"dd-mmm")&amp;" - "&amp;(NETWORKDAYS($Y734,TODAY(),Holidays)-1)&amp;" business day(s) late. Send now.",IF($T734="DUE TOMORROW","Next: "&amp;$Z734&amp;IF($Y734&lt;=TODAY()," is due TODAY ("," is due next business day (")&amp;TEXT($Y734,"dd-mmm")&amp;").","Next: "&amp;$Z734&amp;" due "&amp;TEXT($Y734,"dd-mmm")&amp;" ("&amp;(NETWORKDAYS(TODAY(),$Y734,Holidays)-1)&amp;" business day(s) left).")))))</f>
        <v/>
      </c>
      <c r="V734" s="17">
        <f>IF($W734="","",CHOOSE($W734,"Collection Email","1st Follow-up","2nd Follow-up","Local Office","CBE","Roxanne")&amp;IF($W734=6," - Final"," - Day "&amp;MAX(0,NETWORKDAYS($X734,TODAY(),Holidays)-1)&amp;" of "&amp;CHOOSE($W734,3,3,2,2,3))&amp;" | Total Day "&amp;MAX(0,NETWORKDAYS($L734,TODAY(),Holidays)-1))</f>
        <v/>
      </c>
      <c r="W734" s="17">
        <f>IF($L734="","",COUNT($L734:$Q734))</f>
        <v/>
      </c>
      <c r="X734" s="18">
        <f>IF($W734="","",INT(INDEX($L734:$Q734,$W734)))</f>
        <v/>
      </c>
      <c r="Y734" s="18">
        <f>IF(OR($W734="",$W734=6),"",WORKDAY($X734,CHOOSE($W734,3,3,2,2,3),Holidays))</f>
        <v/>
      </c>
      <c r="Z734" s="17">
        <f>IF(OR($W734="",$W734=6),"",CHOOSE($W734,"1st Email Follow-up","2nd Email Follow-up","Escalate Local Office","Escalate to CBE","Escalate to Roxanne"))</f>
        <v/>
      </c>
    </row>
    <row r="735" spans="18:26">
      <c r="R735" s="15"/>
      <c r="S735" s="16"/>
      <c r="T735" s="17">
        <f>IF(AND(COUNTA($A735:$K735)=0,$L735=""),"",IF($S735="Paid","PAID",IF($S735="Closed","CLOSED",IF($W735="","",IF($W735=6,"ESCALATED TO ROXANNE",IF(TODAY()&gt;$Y735,"OVERDUE",IF($Y735&lt;=WORKDAY(TODAY(),1,Holidays),"DUE TOMORROW",IF($W735=4,"ESCALATED TO LOCAL OFFICE",IF($W735=5,"ESCALATED TO CBE",IF($X735=TODAY(),"EMAIL SENT","MONITORING"))))))))))</f>
        <v/>
      </c>
      <c r="U735" s="17">
        <f>IF($T735="",IF(AND(COUNTA($A735:$K735)&gt;0,$L735=""),"Awaiting Collection Email time stamp.",""),IF(OR($T735="PAID",$T735="CLOSED"),IF($T735="PAID","Account paid. Action completed.","Account closed. No further action required."),CHOOSE($W735,"Collection Email","1st Email Follow-up","2nd Email Follow-up","Escalation to Local Office","Escalation to CBE","Escalation to Roxanne")&amp;" sent "&amp;TEXT($X735,"dd-mmm")&amp;". "&amp;IF($W735=6,"Final escalation completed.",IF($T735="OVERDUE","Next: "&amp;$Z735&amp;" was due "&amp;TEXT($Y735,"dd-mmm")&amp;" - "&amp;(NETWORKDAYS($Y735,TODAY(),Holidays)-1)&amp;" business day(s) late. Send now.",IF($T735="DUE TOMORROW","Next: "&amp;$Z735&amp;IF($Y735&lt;=TODAY()," is due TODAY ("," is due next business day (")&amp;TEXT($Y735,"dd-mmm")&amp;").","Next: "&amp;$Z735&amp;" due "&amp;TEXT($Y735,"dd-mmm")&amp;" ("&amp;(NETWORKDAYS(TODAY(),$Y735,Holidays)-1)&amp;" business day(s) left).")))))</f>
        <v/>
      </c>
      <c r="V735" s="17">
        <f>IF($W735="","",CHOOSE($W735,"Collection Email","1st Follow-up","2nd Follow-up","Local Office","CBE","Roxanne")&amp;IF($W735=6," - Final"," - Day "&amp;MAX(0,NETWORKDAYS($X735,TODAY(),Holidays)-1)&amp;" of "&amp;CHOOSE($W735,3,3,2,2,3))&amp;" | Total Day "&amp;MAX(0,NETWORKDAYS($L735,TODAY(),Holidays)-1))</f>
        <v/>
      </c>
      <c r="W735" s="17">
        <f>IF($L735="","",COUNT($L735:$Q735))</f>
        <v/>
      </c>
      <c r="X735" s="18">
        <f>IF($W735="","",INT(INDEX($L735:$Q735,$W735)))</f>
        <v/>
      </c>
      <c r="Y735" s="18">
        <f>IF(OR($W735="",$W735=6),"",WORKDAY($X735,CHOOSE($W735,3,3,2,2,3),Holidays))</f>
        <v/>
      </c>
      <c r="Z735" s="17">
        <f>IF(OR($W735="",$W735=6),"",CHOOSE($W735,"1st Email Follow-up","2nd Email Follow-up","Escalate Local Office","Escalate to CBE","Escalate to Roxanne"))</f>
        <v/>
      </c>
    </row>
    <row r="736" spans="18:26">
      <c r="R736" s="15"/>
      <c r="S736" s="16"/>
      <c r="T736" s="17">
        <f>IF(AND(COUNTA($A736:$K736)=0,$L736=""),"",IF($S736="Paid","PAID",IF($S736="Closed","CLOSED",IF($W736="","",IF($W736=6,"ESCALATED TO ROXANNE",IF(TODAY()&gt;$Y736,"OVERDUE",IF($Y736&lt;=WORKDAY(TODAY(),1,Holidays),"DUE TOMORROW",IF($W736=4,"ESCALATED TO LOCAL OFFICE",IF($W736=5,"ESCALATED TO CBE",IF($X736=TODAY(),"EMAIL SENT","MONITORING"))))))))))</f>
        <v/>
      </c>
      <c r="U736" s="17">
        <f>IF($T736="",IF(AND(COUNTA($A736:$K736)&gt;0,$L736=""),"Awaiting Collection Email time stamp.",""),IF(OR($T736="PAID",$T736="CLOSED"),IF($T736="PAID","Account paid. Action completed.","Account closed. No further action required."),CHOOSE($W736,"Collection Email","1st Email Follow-up","2nd Email Follow-up","Escalation to Local Office","Escalation to CBE","Escalation to Roxanne")&amp;" sent "&amp;TEXT($X736,"dd-mmm")&amp;". "&amp;IF($W736=6,"Final escalation completed.",IF($T736="OVERDUE","Next: "&amp;$Z736&amp;" was due "&amp;TEXT($Y736,"dd-mmm")&amp;" - "&amp;(NETWORKDAYS($Y736,TODAY(),Holidays)-1)&amp;" business day(s) late. Send now.",IF($T736="DUE TOMORROW","Next: "&amp;$Z736&amp;IF($Y736&lt;=TODAY()," is due TODAY ("," is due next business day (")&amp;TEXT($Y736,"dd-mmm")&amp;").","Next: "&amp;$Z736&amp;" due "&amp;TEXT($Y736,"dd-mmm")&amp;" ("&amp;(NETWORKDAYS(TODAY(),$Y736,Holidays)-1)&amp;" business day(s) left).")))))</f>
        <v/>
      </c>
      <c r="V736" s="17">
        <f>IF($W736="","",CHOOSE($W736,"Collection Email","1st Follow-up","2nd Follow-up","Local Office","CBE","Roxanne")&amp;IF($W736=6," - Final"," - Day "&amp;MAX(0,NETWORKDAYS($X736,TODAY(),Holidays)-1)&amp;" of "&amp;CHOOSE($W736,3,3,2,2,3))&amp;" | Total Day "&amp;MAX(0,NETWORKDAYS($L736,TODAY(),Holidays)-1))</f>
        <v/>
      </c>
      <c r="W736" s="17">
        <f>IF($L736="","",COUNT($L736:$Q736))</f>
        <v/>
      </c>
      <c r="X736" s="18">
        <f>IF($W736="","",INT(INDEX($L736:$Q736,$W736)))</f>
        <v/>
      </c>
      <c r="Y736" s="18">
        <f>IF(OR($W736="",$W736=6),"",WORKDAY($X736,CHOOSE($W736,3,3,2,2,3),Holidays))</f>
        <v/>
      </c>
      <c r="Z736" s="17">
        <f>IF(OR($W736="",$W736=6),"",CHOOSE($W736,"1st Email Follow-up","2nd Email Follow-up","Escalate Local Office","Escalate to CBE","Escalate to Roxanne"))</f>
        <v/>
      </c>
    </row>
    <row r="737" spans="18:26">
      <c r="R737" s="15"/>
      <c r="S737" s="16"/>
      <c r="T737" s="17">
        <f>IF(AND(COUNTA($A737:$K737)=0,$L737=""),"",IF($S737="Paid","PAID",IF($S737="Closed","CLOSED",IF($W737="","",IF($W737=6,"ESCALATED TO ROXANNE",IF(TODAY()&gt;$Y737,"OVERDUE",IF($Y737&lt;=WORKDAY(TODAY(),1,Holidays),"DUE TOMORROW",IF($W737=4,"ESCALATED TO LOCAL OFFICE",IF($W737=5,"ESCALATED TO CBE",IF($X737=TODAY(),"EMAIL SENT","MONITORING"))))))))))</f>
        <v/>
      </c>
      <c r="U737" s="17">
        <f>IF($T737="",IF(AND(COUNTA($A737:$K737)&gt;0,$L737=""),"Awaiting Collection Email time stamp.",""),IF(OR($T737="PAID",$T737="CLOSED"),IF($T737="PAID","Account paid. Action completed.","Account closed. No further action required."),CHOOSE($W737,"Collection Email","1st Email Follow-up","2nd Email Follow-up","Escalation to Local Office","Escalation to CBE","Escalation to Roxanne")&amp;" sent "&amp;TEXT($X737,"dd-mmm")&amp;". "&amp;IF($W737=6,"Final escalation completed.",IF($T737="OVERDUE","Next: "&amp;$Z737&amp;" was due "&amp;TEXT($Y737,"dd-mmm")&amp;" - "&amp;(NETWORKDAYS($Y737,TODAY(),Holidays)-1)&amp;" business day(s) late. Send now.",IF($T737="DUE TOMORROW","Next: "&amp;$Z737&amp;IF($Y737&lt;=TODAY()," is due TODAY ("," is due next business day (")&amp;TEXT($Y737,"dd-mmm")&amp;").","Next: "&amp;$Z737&amp;" due "&amp;TEXT($Y737,"dd-mmm")&amp;" ("&amp;(NETWORKDAYS(TODAY(),$Y737,Holidays)-1)&amp;" business day(s) left).")))))</f>
        <v/>
      </c>
      <c r="V737" s="17">
        <f>IF($W737="","",CHOOSE($W737,"Collection Email","1st Follow-up","2nd Follow-up","Local Office","CBE","Roxanne")&amp;IF($W737=6," - Final"," - Day "&amp;MAX(0,NETWORKDAYS($X737,TODAY(),Holidays)-1)&amp;" of "&amp;CHOOSE($W737,3,3,2,2,3))&amp;" | Total Day "&amp;MAX(0,NETWORKDAYS($L737,TODAY(),Holidays)-1))</f>
        <v/>
      </c>
      <c r="W737" s="17">
        <f>IF($L737="","",COUNT($L737:$Q737))</f>
        <v/>
      </c>
      <c r="X737" s="18">
        <f>IF($W737="","",INT(INDEX($L737:$Q737,$W737)))</f>
        <v/>
      </c>
      <c r="Y737" s="18">
        <f>IF(OR($W737="",$W737=6),"",WORKDAY($X737,CHOOSE($W737,3,3,2,2,3),Holidays))</f>
        <v/>
      </c>
      <c r="Z737" s="17">
        <f>IF(OR($W737="",$W737=6),"",CHOOSE($W737,"1st Email Follow-up","2nd Email Follow-up","Escalate Local Office","Escalate to CBE","Escalate to Roxanne"))</f>
        <v/>
      </c>
    </row>
    <row r="738" spans="18:26">
      <c r="R738" s="15"/>
      <c r="S738" s="16"/>
      <c r="T738" s="17">
        <f>IF(AND(COUNTA($A738:$K738)=0,$L738=""),"",IF($S738="Paid","PAID",IF($S738="Closed","CLOSED",IF($W738="","",IF($W738=6,"ESCALATED TO ROXANNE",IF(TODAY()&gt;$Y738,"OVERDUE",IF($Y738&lt;=WORKDAY(TODAY(),1,Holidays),"DUE TOMORROW",IF($W738=4,"ESCALATED TO LOCAL OFFICE",IF($W738=5,"ESCALATED TO CBE",IF($X738=TODAY(),"EMAIL SENT","MONITORING"))))))))))</f>
        <v/>
      </c>
      <c r="U738" s="17">
        <f>IF($T738="",IF(AND(COUNTA($A738:$K738)&gt;0,$L738=""),"Awaiting Collection Email time stamp.",""),IF(OR($T738="PAID",$T738="CLOSED"),IF($T738="PAID","Account paid. Action completed.","Account closed. No further action required."),CHOOSE($W738,"Collection Email","1st Email Follow-up","2nd Email Follow-up","Escalation to Local Office","Escalation to CBE","Escalation to Roxanne")&amp;" sent "&amp;TEXT($X738,"dd-mmm")&amp;". "&amp;IF($W738=6,"Final escalation completed.",IF($T738="OVERDUE","Next: "&amp;$Z738&amp;" was due "&amp;TEXT($Y738,"dd-mmm")&amp;" - "&amp;(NETWORKDAYS($Y738,TODAY(),Holidays)-1)&amp;" business day(s) late. Send now.",IF($T738="DUE TOMORROW","Next: "&amp;$Z738&amp;IF($Y738&lt;=TODAY()," is due TODAY ("," is due next business day (")&amp;TEXT($Y738,"dd-mmm")&amp;").","Next: "&amp;$Z738&amp;" due "&amp;TEXT($Y738,"dd-mmm")&amp;" ("&amp;(NETWORKDAYS(TODAY(),$Y738,Holidays)-1)&amp;" business day(s) left).")))))</f>
        <v/>
      </c>
      <c r="V738" s="17">
        <f>IF($W738="","",CHOOSE($W738,"Collection Email","1st Follow-up","2nd Follow-up","Local Office","CBE","Roxanne")&amp;IF($W738=6," - Final"," - Day "&amp;MAX(0,NETWORKDAYS($X738,TODAY(),Holidays)-1)&amp;" of "&amp;CHOOSE($W738,3,3,2,2,3))&amp;" | Total Day "&amp;MAX(0,NETWORKDAYS($L738,TODAY(),Holidays)-1))</f>
        <v/>
      </c>
      <c r="W738" s="17">
        <f>IF($L738="","",COUNT($L738:$Q738))</f>
        <v/>
      </c>
      <c r="X738" s="18">
        <f>IF($W738="","",INT(INDEX($L738:$Q738,$W738)))</f>
        <v/>
      </c>
      <c r="Y738" s="18">
        <f>IF(OR($W738="",$W738=6),"",WORKDAY($X738,CHOOSE($W738,3,3,2,2,3),Holidays))</f>
        <v/>
      </c>
      <c r="Z738" s="17">
        <f>IF(OR($W738="",$W738=6),"",CHOOSE($W738,"1st Email Follow-up","2nd Email Follow-up","Escalate Local Office","Escalate to CBE","Escalate to Roxanne"))</f>
        <v/>
      </c>
    </row>
    <row r="739" spans="18:26">
      <c r="R739" s="15"/>
      <c r="S739" s="16"/>
      <c r="T739" s="17">
        <f>IF(AND(COUNTA($A739:$K739)=0,$L739=""),"",IF($S739="Paid","PAID",IF($S739="Closed","CLOSED",IF($W739="","",IF($W739=6,"ESCALATED TO ROXANNE",IF(TODAY()&gt;$Y739,"OVERDUE",IF($Y739&lt;=WORKDAY(TODAY(),1,Holidays),"DUE TOMORROW",IF($W739=4,"ESCALATED TO LOCAL OFFICE",IF($W739=5,"ESCALATED TO CBE",IF($X739=TODAY(),"EMAIL SENT","MONITORING"))))))))))</f>
        <v/>
      </c>
      <c r="U739" s="17">
        <f>IF($T739="",IF(AND(COUNTA($A739:$K739)&gt;0,$L739=""),"Awaiting Collection Email time stamp.",""),IF(OR($T739="PAID",$T739="CLOSED"),IF($T739="PAID","Account paid. Action completed.","Account closed. No further action required."),CHOOSE($W739,"Collection Email","1st Email Follow-up","2nd Email Follow-up","Escalation to Local Office","Escalation to CBE","Escalation to Roxanne")&amp;" sent "&amp;TEXT($X739,"dd-mmm")&amp;". "&amp;IF($W739=6,"Final escalation completed.",IF($T739="OVERDUE","Next: "&amp;$Z739&amp;" was due "&amp;TEXT($Y739,"dd-mmm")&amp;" - "&amp;(NETWORKDAYS($Y739,TODAY(),Holidays)-1)&amp;" business day(s) late. Send now.",IF($T739="DUE TOMORROW","Next: "&amp;$Z739&amp;IF($Y739&lt;=TODAY()," is due TODAY ("," is due next business day (")&amp;TEXT($Y739,"dd-mmm")&amp;").","Next: "&amp;$Z739&amp;" due "&amp;TEXT($Y739,"dd-mmm")&amp;" ("&amp;(NETWORKDAYS(TODAY(),$Y739,Holidays)-1)&amp;" business day(s) left).")))))</f>
        <v/>
      </c>
      <c r="V739" s="17">
        <f>IF($W739="","",CHOOSE($W739,"Collection Email","1st Follow-up","2nd Follow-up","Local Office","CBE","Roxanne")&amp;IF($W739=6," - Final"," - Day "&amp;MAX(0,NETWORKDAYS($X739,TODAY(),Holidays)-1)&amp;" of "&amp;CHOOSE($W739,3,3,2,2,3))&amp;" | Total Day "&amp;MAX(0,NETWORKDAYS($L739,TODAY(),Holidays)-1))</f>
        <v/>
      </c>
      <c r="W739" s="17">
        <f>IF($L739="","",COUNT($L739:$Q739))</f>
        <v/>
      </c>
      <c r="X739" s="18">
        <f>IF($W739="","",INT(INDEX($L739:$Q739,$W739)))</f>
        <v/>
      </c>
      <c r="Y739" s="18">
        <f>IF(OR($W739="",$W739=6),"",WORKDAY($X739,CHOOSE($W739,3,3,2,2,3),Holidays))</f>
        <v/>
      </c>
      <c r="Z739" s="17">
        <f>IF(OR($W739="",$W739=6),"",CHOOSE($W739,"1st Email Follow-up","2nd Email Follow-up","Escalate Local Office","Escalate to CBE","Escalate to Roxanne"))</f>
        <v/>
      </c>
    </row>
    <row r="740" spans="18:26">
      <c r="R740" s="15"/>
      <c r="S740" s="16"/>
      <c r="T740" s="17">
        <f>IF(AND(COUNTA($A740:$K740)=0,$L740=""),"",IF($S740="Paid","PAID",IF($S740="Closed","CLOSED",IF($W740="","",IF($W740=6,"ESCALATED TO ROXANNE",IF(TODAY()&gt;$Y740,"OVERDUE",IF($Y740&lt;=WORKDAY(TODAY(),1,Holidays),"DUE TOMORROW",IF($W740=4,"ESCALATED TO LOCAL OFFICE",IF($W740=5,"ESCALATED TO CBE",IF($X740=TODAY(),"EMAIL SENT","MONITORING"))))))))))</f>
        <v/>
      </c>
      <c r="U740" s="17">
        <f>IF($T740="",IF(AND(COUNTA($A740:$K740)&gt;0,$L740=""),"Awaiting Collection Email time stamp.",""),IF(OR($T740="PAID",$T740="CLOSED"),IF($T740="PAID","Account paid. Action completed.","Account closed. No further action required."),CHOOSE($W740,"Collection Email","1st Email Follow-up","2nd Email Follow-up","Escalation to Local Office","Escalation to CBE","Escalation to Roxanne")&amp;" sent "&amp;TEXT($X740,"dd-mmm")&amp;". "&amp;IF($W740=6,"Final escalation completed.",IF($T740="OVERDUE","Next: "&amp;$Z740&amp;" was due "&amp;TEXT($Y740,"dd-mmm")&amp;" - "&amp;(NETWORKDAYS($Y740,TODAY(),Holidays)-1)&amp;" business day(s) late. Send now.",IF($T740="DUE TOMORROW","Next: "&amp;$Z740&amp;IF($Y740&lt;=TODAY()," is due TODAY ("," is due next business day (")&amp;TEXT($Y740,"dd-mmm")&amp;").","Next: "&amp;$Z740&amp;" due "&amp;TEXT($Y740,"dd-mmm")&amp;" ("&amp;(NETWORKDAYS(TODAY(),$Y740,Holidays)-1)&amp;" business day(s) left).")))))</f>
        <v/>
      </c>
      <c r="V740" s="17">
        <f>IF($W740="","",CHOOSE($W740,"Collection Email","1st Follow-up","2nd Follow-up","Local Office","CBE","Roxanne")&amp;IF($W740=6," - Final"," - Day "&amp;MAX(0,NETWORKDAYS($X740,TODAY(),Holidays)-1)&amp;" of "&amp;CHOOSE($W740,3,3,2,2,3))&amp;" | Total Day "&amp;MAX(0,NETWORKDAYS($L740,TODAY(),Holidays)-1))</f>
        <v/>
      </c>
      <c r="W740" s="17">
        <f>IF($L740="","",COUNT($L740:$Q740))</f>
        <v/>
      </c>
      <c r="X740" s="18">
        <f>IF($W740="","",INT(INDEX($L740:$Q740,$W740)))</f>
        <v/>
      </c>
      <c r="Y740" s="18">
        <f>IF(OR($W740="",$W740=6),"",WORKDAY($X740,CHOOSE($W740,3,3,2,2,3),Holidays))</f>
        <v/>
      </c>
      <c r="Z740" s="17">
        <f>IF(OR($W740="",$W740=6),"",CHOOSE($W740,"1st Email Follow-up","2nd Email Follow-up","Escalate Local Office","Escalate to CBE","Escalate to Roxanne"))</f>
        <v/>
      </c>
    </row>
    <row r="741" spans="18:26">
      <c r="R741" s="15"/>
      <c r="S741" s="16"/>
      <c r="T741" s="17">
        <f>IF(AND(COUNTA($A741:$K741)=0,$L741=""),"",IF($S741="Paid","PAID",IF($S741="Closed","CLOSED",IF($W741="","",IF($W741=6,"ESCALATED TO ROXANNE",IF(TODAY()&gt;$Y741,"OVERDUE",IF($Y741&lt;=WORKDAY(TODAY(),1,Holidays),"DUE TOMORROW",IF($W741=4,"ESCALATED TO LOCAL OFFICE",IF($W741=5,"ESCALATED TO CBE",IF($X741=TODAY(),"EMAIL SENT","MONITORING"))))))))))</f>
        <v/>
      </c>
      <c r="U741" s="17">
        <f>IF($T741="",IF(AND(COUNTA($A741:$K741)&gt;0,$L741=""),"Awaiting Collection Email time stamp.",""),IF(OR($T741="PAID",$T741="CLOSED"),IF($T741="PAID","Account paid. Action completed.","Account closed. No further action required."),CHOOSE($W741,"Collection Email","1st Email Follow-up","2nd Email Follow-up","Escalation to Local Office","Escalation to CBE","Escalation to Roxanne")&amp;" sent "&amp;TEXT($X741,"dd-mmm")&amp;". "&amp;IF($W741=6,"Final escalation completed.",IF($T741="OVERDUE","Next: "&amp;$Z741&amp;" was due "&amp;TEXT($Y741,"dd-mmm")&amp;" - "&amp;(NETWORKDAYS($Y741,TODAY(),Holidays)-1)&amp;" business day(s) late. Send now.",IF($T741="DUE TOMORROW","Next: "&amp;$Z741&amp;IF($Y741&lt;=TODAY()," is due TODAY ("," is due next business day (")&amp;TEXT($Y741,"dd-mmm")&amp;").","Next: "&amp;$Z741&amp;" due "&amp;TEXT($Y741,"dd-mmm")&amp;" ("&amp;(NETWORKDAYS(TODAY(),$Y741,Holidays)-1)&amp;" business day(s) left).")))))</f>
        <v/>
      </c>
      <c r="V741" s="17">
        <f>IF($W741="","",CHOOSE($W741,"Collection Email","1st Follow-up","2nd Follow-up","Local Office","CBE","Roxanne")&amp;IF($W741=6," - Final"," - Day "&amp;MAX(0,NETWORKDAYS($X741,TODAY(),Holidays)-1)&amp;" of "&amp;CHOOSE($W741,3,3,2,2,3))&amp;" | Total Day "&amp;MAX(0,NETWORKDAYS($L741,TODAY(),Holidays)-1))</f>
        <v/>
      </c>
      <c r="W741" s="17">
        <f>IF($L741="","",COUNT($L741:$Q741))</f>
        <v/>
      </c>
      <c r="X741" s="18">
        <f>IF($W741="","",INT(INDEX($L741:$Q741,$W741)))</f>
        <v/>
      </c>
      <c r="Y741" s="18">
        <f>IF(OR($W741="",$W741=6),"",WORKDAY($X741,CHOOSE($W741,3,3,2,2,3),Holidays))</f>
        <v/>
      </c>
      <c r="Z741" s="17">
        <f>IF(OR($W741="",$W741=6),"",CHOOSE($W741,"1st Email Follow-up","2nd Email Follow-up","Escalate Local Office","Escalate to CBE","Escalate to Roxanne"))</f>
        <v/>
      </c>
    </row>
    <row r="742" spans="18:26">
      <c r="R742" s="15"/>
      <c r="S742" s="16"/>
      <c r="T742" s="17">
        <f>IF(AND(COUNTA($A742:$K742)=0,$L742=""),"",IF($S742="Paid","PAID",IF($S742="Closed","CLOSED",IF($W742="","",IF($W742=6,"ESCALATED TO ROXANNE",IF(TODAY()&gt;$Y742,"OVERDUE",IF($Y742&lt;=WORKDAY(TODAY(),1,Holidays),"DUE TOMORROW",IF($W742=4,"ESCALATED TO LOCAL OFFICE",IF($W742=5,"ESCALATED TO CBE",IF($X742=TODAY(),"EMAIL SENT","MONITORING"))))))))))</f>
        <v/>
      </c>
      <c r="U742" s="17">
        <f>IF($T742="",IF(AND(COUNTA($A742:$K742)&gt;0,$L742=""),"Awaiting Collection Email time stamp.",""),IF(OR($T742="PAID",$T742="CLOSED"),IF($T742="PAID","Account paid. Action completed.","Account closed. No further action required."),CHOOSE($W742,"Collection Email","1st Email Follow-up","2nd Email Follow-up","Escalation to Local Office","Escalation to CBE","Escalation to Roxanne")&amp;" sent "&amp;TEXT($X742,"dd-mmm")&amp;". "&amp;IF($W742=6,"Final escalation completed.",IF($T742="OVERDUE","Next: "&amp;$Z742&amp;" was due "&amp;TEXT($Y742,"dd-mmm")&amp;" - "&amp;(NETWORKDAYS($Y742,TODAY(),Holidays)-1)&amp;" business day(s) late. Send now.",IF($T742="DUE TOMORROW","Next: "&amp;$Z742&amp;IF($Y742&lt;=TODAY()," is due TODAY ("," is due next business day (")&amp;TEXT($Y742,"dd-mmm")&amp;").","Next: "&amp;$Z742&amp;" due "&amp;TEXT($Y742,"dd-mmm")&amp;" ("&amp;(NETWORKDAYS(TODAY(),$Y742,Holidays)-1)&amp;" business day(s) left).")))))</f>
        <v/>
      </c>
      <c r="V742" s="17">
        <f>IF($W742="","",CHOOSE($W742,"Collection Email","1st Follow-up","2nd Follow-up","Local Office","CBE","Roxanne")&amp;IF($W742=6," - Final"," - Day "&amp;MAX(0,NETWORKDAYS($X742,TODAY(),Holidays)-1)&amp;" of "&amp;CHOOSE($W742,3,3,2,2,3))&amp;" | Total Day "&amp;MAX(0,NETWORKDAYS($L742,TODAY(),Holidays)-1))</f>
        <v/>
      </c>
      <c r="W742" s="17">
        <f>IF($L742="","",COUNT($L742:$Q742))</f>
        <v/>
      </c>
      <c r="X742" s="18">
        <f>IF($W742="","",INT(INDEX($L742:$Q742,$W742)))</f>
        <v/>
      </c>
      <c r="Y742" s="18">
        <f>IF(OR($W742="",$W742=6),"",WORKDAY($X742,CHOOSE($W742,3,3,2,2,3),Holidays))</f>
        <v/>
      </c>
      <c r="Z742" s="17">
        <f>IF(OR($W742="",$W742=6),"",CHOOSE($W742,"1st Email Follow-up","2nd Email Follow-up","Escalate Local Office","Escalate to CBE","Escalate to Roxanne"))</f>
        <v/>
      </c>
    </row>
    <row r="743" spans="18:26">
      <c r="R743" s="15"/>
      <c r="S743" s="16"/>
      <c r="T743" s="17">
        <f>IF(AND(COUNTA($A743:$K743)=0,$L743=""),"",IF($S743="Paid","PAID",IF($S743="Closed","CLOSED",IF($W743="","",IF($W743=6,"ESCALATED TO ROXANNE",IF(TODAY()&gt;$Y743,"OVERDUE",IF($Y743&lt;=WORKDAY(TODAY(),1,Holidays),"DUE TOMORROW",IF($W743=4,"ESCALATED TO LOCAL OFFICE",IF($W743=5,"ESCALATED TO CBE",IF($X743=TODAY(),"EMAIL SENT","MONITORING"))))))))))</f>
        <v/>
      </c>
      <c r="U743" s="17">
        <f>IF($T743="",IF(AND(COUNTA($A743:$K743)&gt;0,$L743=""),"Awaiting Collection Email time stamp.",""),IF(OR($T743="PAID",$T743="CLOSED"),IF($T743="PAID","Account paid. Action completed.","Account closed. No further action required."),CHOOSE($W743,"Collection Email","1st Email Follow-up","2nd Email Follow-up","Escalation to Local Office","Escalation to CBE","Escalation to Roxanne")&amp;" sent "&amp;TEXT($X743,"dd-mmm")&amp;". "&amp;IF($W743=6,"Final escalation completed.",IF($T743="OVERDUE","Next: "&amp;$Z743&amp;" was due "&amp;TEXT($Y743,"dd-mmm")&amp;" - "&amp;(NETWORKDAYS($Y743,TODAY(),Holidays)-1)&amp;" business day(s) late. Send now.",IF($T743="DUE TOMORROW","Next: "&amp;$Z743&amp;IF($Y743&lt;=TODAY()," is due TODAY ("," is due next business day (")&amp;TEXT($Y743,"dd-mmm")&amp;").","Next: "&amp;$Z743&amp;" due "&amp;TEXT($Y743,"dd-mmm")&amp;" ("&amp;(NETWORKDAYS(TODAY(),$Y743,Holidays)-1)&amp;" business day(s) left).")))))</f>
        <v/>
      </c>
      <c r="V743" s="17">
        <f>IF($W743="","",CHOOSE($W743,"Collection Email","1st Follow-up","2nd Follow-up","Local Office","CBE","Roxanne")&amp;IF($W743=6," - Final"," - Day "&amp;MAX(0,NETWORKDAYS($X743,TODAY(),Holidays)-1)&amp;" of "&amp;CHOOSE($W743,3,3,2,2,3))&amp;" | Total Day "&amp;MAX(0,NETWORKDAYS($L743,TODAY(),Holidays)-1))</f>
        <v/>
      </c>
      <c r="W743" s="17">
        <f>IF($L743="","",COUNT($L743:$Q743))</f>
        <v/>
      </c>
      <c r="X743" s="18">
        <f>IF($W743="","",INT(INDEX($L743:$Q743,$W743)))</f>
        <v/>
      </c>
      <c r="Y743" s="18">
        <f>IF(OR($W743="",$W743=6),"",WORKDAY($X743,CHOOSE($W743,3,3,2,2,3),Holidays))</f>
        <v/>
      </c>
      <c r="Z743" s="17">
        <f>IF(OR($W743="",$W743=6),"",CHOOSE($W743,"1st Email Follow-up","2nd Email Follow-up","Escalate Local Office","Escalate to CBE","Escalate to Roxanne"))</f>
        <v/>
      </c>
    </row>
    <row r="744" spans="18:26">
      <c r="R744" s="15"/>
      <c r="S744" s="16"/>
      <c r="T744" s="17">
        <f>IF(AND(COUNTA($A744:$K744)=0,$L744=""),"",IF($S744="Paid","PAID",IF($S744="Closed","CLOSED",IF($W744="","",IF($W744=6,"ESCALATED TO ROXANNE",IF(TODAY()&gt;$Y744,"OVERDUE",IF($Y744&lt;=WORKDAY(TODAY(),1,Holidays),"DUE TOMORROW",IF($W744=4,"ESCALATED TO LOCAL OFFICE",IF($W744=5,"ESCALATED TO CBE",IF($X744=TODAY(),"EMAIL SENT","MONITORING"))))))))))</f>
        <v/>
      </c>
      <c r="U744" s="17">
        <f>IF($T744="",IF(AND(COUNTA($A744:$K744)&gt;0,$L744=""),"Awaiting Collection Email time stamp.",""),IF(OR($T744="PAID",$T744="CLOSED"),IF($T744="PAID","Account paid. Action completed.","Account closed. No further action required."),CHOOSE($W744,"Collection Email","1st Email Follow-up","2nd Email Follow-up","Escalation to Local Office","Escalation to CBE","Escalation to Roxanne")&amp;" sent "&amp;TEXT($X744,"dd-mmm")&amp;". "&amp;IF($W744=6,"Final escalation completed.",IF($T744="OVERDUE","Next: "&amp;$Z744&amp;" was due "&amp;TEXT($Y744,"dd-mmm")&amp;" - "&amp;(NETWORKDAYS($Y744,TODAY(),Holidays)-1)&amp;" business day(s) late. Send now.",IF($T744="DUE TOMORROW","Next: "&amp;$Z744&amp;IF($Y744&lt;=TODAY()," is due TODAY ("," is due next business day (")&amp;TEXT($Y744,"dd-mmm")&amp;").","Next: "&amp;$Z744&amp;" due "&amp;TEXT($Y744,"dd-mmm")&amp;" ("&amp;(NETWORKDAYS(TODAY(),$Y744,Holidays)-1)&amp;" business day(s) left).")))))</f>
        <v/>
      </c>
      <c r="V744" s="17">
        <f>IF($W744="","",CHOOSE($W744,"Collection Email","1st Follow-up","2nd Follow-up","Local Office","CBE","Roxanne")&amp;IF($W744=6," - Final"," - Day "&amp;MAX(0,NETWORKDAYS($X744,TODAY(),Holidays)-1)&amp;" of "&amp;CHOOSE($W744,3,3,2,2,3))&amp;" | Total Day "&amp;MAX(0,NETWORKDAYS($L744,TODAY(),Holidays)-1))</f>
        <v/>
      </c>
      <c r="W744" s="17">
        <f>IF($L744="","",COUNT($L744:$Q744))</f>
        <v/>
      </c>
      <c r="X744" s="18">
        <f>IF($W744="","",INT(INDEX($L744:$Q744,$W744)))</f>
        <v/>
      </c>
      <c r="Y744" s="18">
        <f>IF(OR($W744="",$W744=6),"",WORKDAY($X744,CHOOSE($W744,3,3,2,2,3),Holidays))</f>
        <v/>
      </c>
      <c r="Z744" s="17">
        <f>IF(OR($W744="",$W744=6),"",CHOOSE($W744,"1st Email Follow-up","2nd Email Follow-up","Escalate Local Office","Escalate to CBE","Escalate to Roxanne"))</f>
        <v/>
      </c>
    </row>
    <row r="745" spans="18:26">
      <c r="R745" s="15"/>
      <c r="S745" s="16"/>
      <c r="T745" s="17">
        <f>IF(AND(COUNTA($A745:$K745)=0,$L745=""),"",IF($S745="Paid","PAID",IF($S745="Closed","CLOSED",IF($W745="","",IF($W745=6,"ESCALATED TO ROXANNE",IF(TODAY()&gt;$Y745,"OVERDUE",IF($Y745&lt;=WORKDAY(TODAY(),1,Holidays),"DUE TOMORROW",IF($W745=4,"ESCALATED TO LOCAL OFFICE",IF($W745=5,"ESCALATED TO CBE",IF($X745=TODAY(),"EMAIL SENT","MONITORING"))))))))))</f>
        <v/>
      </c>
      <c r="U745" s="17">
        <f>IF($T745="",IF(AND(COUNTA($A745:$K745)&gt;0,$L745=""),"Awaiting Collection Email time stamp.",""),IF(OR($T745="PAID",$T745="CLOSED"),IF($T745="PAID","Account paid. Action completed.","Account closed. No further action required."),CHOOSE($W745,"Collection Email","1st Email Follow-up","2nd Email Follow-up","Escalation to Local Office","Escalation to CBE","Escalation to Roxanne")&amp;" sent "&amp;TEXT($X745,"dd-mmm")&amp;". "&amp;IF($W745=6,"Final escalation completed.",IF($T745="OVERDUE","Next: "&amp;$Z745&amp;" was due "&amp;TEXT($Y745,"dd-mmm")&amp;" - "&amp;(NETWORKDAYS($Y745,TODAY(),Holidays)-1)&amp;" business day(s) late. Send now.",IF($T745="DUE TOMORROW","Next: "&amp;$Z745&amp;IF($Y745&lt;=TODAY()," is due TODAY ("," is due next business day (")&amp;TEXT($Y745,"dd-mmm")&amp;").","Next: "&amp;$Z745&amp;" due "&amp;TEXT($Y745,"dd-mmm")&amp;" ("&amp;(NETWORKDAYS(TODAY(),$Y745,Holidays)-1)&amp;" business day(s) left).")))))</f>
        <v/>
      </c>
      <c r="V745" s="17">
        <f>IF($W745="","",CHOOSE($W745,"Collection Email","1st Follow-up","2nd Follow-up","Local Office","CBE","Roxanne")&amp;IF($W745=6," - Final"," - Day "&amp;MAX(0,NETWORKDAYS($X745,TODAY(),Holidays)-1)&amp;" of "&amp;CHOOSE($W745,3,3,2,2,3))&amp;" | Total Day "&amp;MAX(0,NETWORKDAYS($L745,TODAY(),Holidays)-1))</f>
        <v/>
      </c>
      <c r="W745" s="17">
        <f>IF($L745="","",COUNT($L745:$Q745))</f>
        <v/>
      </c>
      <c r="X745" s="18">
        <f>IF($W745="","",INT(INDEX($L745:$Q745,$W745)))</f>
        <v/>
      </c>
      <c r="Y745" s="18">
        <f>IF(OR($W745="",$W745=6),"",WORKDAY($X745,CHOOSE($W745,3,3,2,2,3),Holidays))</f>
        <v/>
      </c>
      <c r="Z745" s="17">
        <f>IF(OR($W745="",$W745=6),"",CHOOSE($W745,"1st Email Follow-up","2nd Email Follow-up","Escalate Local Office","Escalate to CBE","Escalate to Roxanne"))</f>
        <v/>
      </c>
    </row>
    <row r="746" spans="18:26">
      <c r="R746" s="15"/>
      <c r="S746" s="16"/>
      <c r="T746" s="17">
        <f>IF(AND(COUNTA($A746:$K746)=0,$L746=""),"",IF($S746="Paid","PAID",IF($S746="Closed","CLOSED",IF($W746="","",IF($W746=6,"ESCALATED TO ROXANNE",IF(TODAY()&gt;$Y746,"OVERDUE",IF($Y746&lt;=WORKDAY(TODAY(),1,Holidays),"DUE TOMORROW",IF($W746=4,"ESCALATED TO LOCAL OFFICE",IF($W746=5,"ESCALATED TO CBE",IF($X746=TODAY(),"EMAIL SENT","MONITORING"))))))))))</f>
        <v/>
      </c>
      <c r="U746" s="17">
        <f>IF($T746="",IF(AND(COUNTA($A746:$K746)&gt;0,$L746=""),"Awaiting Collection Email time stamp.",""),IF(OR($T746="PAID",$T746="CLOSED"),IF($T746="PAID","Account paid. Action completed.","Account closed. No further action required."),CHOOSE($W746,"Collection Email","1st Email Follow-up","2nd Email Follow-up","Escalation to Local Office","Escalation to CBE","Escalation to Roxanne")&amp;" sent "&amp;TEXT($X746,"dd-mmm")&amp;". "&amp;IF($W746=6,"Final escalation completed.",IF($T746="OVERDUE","Next: "&amp;$Z746&amp;" was due "&amp;TEXT($Y746,"dd-mmm")&amp;" - "&amp;(NETWORKDAYS($Y746,TODAY(),Holidays)-1)&amp;" business day(s) late. Send now.",IF($T746="DUE TOMORROW","Next: "&amp;$Z746&amp;IF($Y746&lt;=TODAY()," is due TODAY ("," is due next business day (")&amp;TEXT($Y746,"dd-mmm")&amp;").","Next: "&amp;$Z746&amp;" due "&amp;TEXT($Y746,"dd-mmm")&amp;" ("&amp;(NETWORKDAYS(TODAY(),$Y746,Holidays)-1)&amp;" business day(s) left).")))))</f>
        <v/>
      </c>
      <c r="V746" s="17">
        <f>IF($W746="","",CHOOSE($W746,"Collection Email","1st Follow-up","2nd Follow-up","Local Office","CBE","Roxanne")&amp;IF($W746=6," - Final"," - Day "&amp;MAX(0,NETWORKDAYS($X746,TODAY(),Holidays)-1)&amp;" of "&amp;CHOOSE($W746,3,3,2,2,3))&amp;" | Total Day "&amp;MAX(0,NETWORKDAYS($L746,TODAY(),Holidays)-1))</f>
        <v/>
      </c>
      <c r="W746" s="17">
        <f>IF($L746="","",COUNT($L746:$Q746))</f>
        <v/>
      </c>
      <c r="X746" s="18">
        <f>IF($W746="","",INT(INDEX($L746:$Q746,$W746)))</f>
        <v/>
      </c>
      <c r="Y746" s="18">
        <f>IF(OR($W746="",$W746=6),"",WORKDAY($X746,CHOOSE($W746,3,3,2,2,3),Holidays))</f>
        <v/>
      </c>
      <c r="Z746" s="17">
        <f>IF(OR($W746="",$W746=6),"",CHOOSE($W746,"1st Email Follow-up","2nd Email Follow-up","Escalate Local Office","Escalate to CBE","Escalate to Roxanne"))</f>
        <v/>
      </c>
    </row>
    <row r="747" spans="18:26">
      <c r="R747" s="15"/>
      <c r="S747" s="16"/>
      <c r="T747" s="17">
        <f>IF(AND(COUNTA($A747:$K747)=0,$L747=""),"",IF($S747="Paid","PAID",IF($S747="Closed","CLOSED",IF($W747="","",IF($W747=6,"ESCALATED TO ROXANNE",IF(TODAY()&gt;$Y747,"OVERDUE",IF($Y747&lt;=WORKDAY(TODAY(),1,Holidays),"DUE TOMORROW",IF($W747=4,"ESCALATED TO LOCAL OFFICE",IF($W747=5,"ESCALATED TO CBE",IF($X747=TODAY(),"EMAIL SENT","MONITORING"))))))))))</f>
        <v/>
      </c>
      <c r="U747" s="17">
        <f>IF($T747="",IF(AND(COUNTA($A747:$K747)&gt;0,$L747=""),"Awaiting Collection Email time stamp.",""),IF(OR($T747="PAID",$T747="CLOSED"),IF($T747="PAID","Account paid. Action completed.","Account closed. No further action required."),CHOOSE($W747,"Collection Email","1st Email Follow-up","2nd Email Follow-up","Escalation to Local Office","Escalation to CBE","Escalation to Roxanne")&amp;" sent "&amp;TEXT($X747,"dd-mmm")&amp;". "&amp;IF($W747=6,"Final escalation completed.",IF($T747="OVERDUE","Next: "&amp;$Z747&amp;" was due "&amp;TEXT($Y747,"dd-mmm")&amp;" - "&amp;(NETWORKDAYS($Y747,TODAY(),Holidays)-1)&amp;" business day(s) late. Send now.",IF($T747="DUE TOMORROW","Next: "&amp;$Z747&amp;IF($Y747&lt;=TODAY()," is due TODAY ("," is due next business day (")&amp;TEXT($Y747,"dd-mmm")&amp;").","Next: "&amp;$Z747&amp;" due "&amp;TEXT($Y747,"dd-mmm")&amp;" ("&amp;(NETWORKDAYS(TODAY(),$Y747,Holidays)-1)&amp;" business day(s) left).")))))</f>
        <v/>
      </c>
      <c r="V747" s="17">
        <f>IF($W747="","",CHOOSE($W747,"Collection Email","1st Follow-up","2nd Follow-up","Local Office","CBE","Roxanne")&amp;IF($W747=6," - Final"," - Day "&amp;MAX(0,NETWORKDAYS($X747,TODAY(),Holidays)-1)&amp;" of "&amp;CHOOSE($W747,3,3,2,2,3))&amp;" | Total Day "&amp;MAX(0,NETWORKDAYS($L747,TODAY(),Holidays)-1))</f>
        <v/>
      </c>
      <c r="W747" s="17">
        <f>IF($L747="","",COUNT($L747:$Q747))</f>
        <v/>
      </c>
      <c r="X747" s="18">
        <f>IF($W747="","",INT(INDEX($L747:$Q747,$W747)))</f>
        <v/>
      </c>
      <c r="Y747" s="18">
        <f>IF(OR($W747="",$W747=6),"",WORKDAY($X747,CHOOSE($W747,3,3,2,2,3),Holidays))</f>
        <v/>
      </c>
      <c r="Z747" s="17">
        <f>IF(OR($W747="",$W747=6),"",CHOOSE($W747,"1st Email Follow-up","2nd Email Follow-up","Escalate Local Office","Escalate to CBE","Escalate to Roxanne"))</f>
        <v/>
      </c>
    </row>
    <row r="748" spans="18:26">
      <c r="R748" s="15"/>
      <c r="S748" s="16"/>
      <c r="T748" s="17">
        <f>IF(AND(COUNTA($A748:$K748)=0,$L748=""),"",IF($S748="Paid","PAID",IF($S748="Closed","CLOSED",IF($W748="","",IF($W748=6,"ESCALATED TO ROXANNE",IF(TODAY()&gt;$Y748,"OVERDUE",IF($Y748&lt;=WORKDAY(TODAY(),1,Holidays),"DUE TOMORROW",IF($W748=4,"ESCALATED TO LOCAL OFFICE",IF($W748=5,"ESCALATED TO CBE",IF($X748=TODAY(),"EMAIL SENT","MONITORING"))))))))))</f>
        <v/>
      </c>
      <c r="U748" s="17">
        <f>IF($T748="",IF(AND(COUNTA($A748:$K748)&gt;0,$L748=""),"Awaiting Collection Email time stamp.",""),IF(OR($T748="PAID",$T748="CLOSED"),IF($T748="PAID","Account paid. Action completed.","Account closed. No further action required."),CHOOSE($W748,"Collection Email","1st Email Follow-up","2nd Email Follow-up","Escalation to Local Office","Escalation to CBE","Escalation to Roxanne")&amp;" sent "&amp;TEXT($X748,"dd-mmm")&amp;". "&amp;IF($W748=6,"Final escalation completed.",IF($T748="OVERDUE","Next: "&amp;$Z748&amp;" was due "&amp;TEXT($Y748,"dd-mmm")&amp;" - "&amp;(NETWORKDAYS($Y748,TODAY(),Holidays)-1)&amp;" business day(s) late. Send now.",IF($T748="DUE TOMORROW","Next: "&amp;$Z748&amp;IF($Y748&lt;=TODAY()," is due TODAY ("," is due next business day (")&amp;TEXT($Y748,"dd-mmm")&amp;").","Next: "&amp;$Z748&amp;" due "&amp;TEXT($Y748,"dd-mmm")&amp;" ("&amp;(NETWORKDAYS(TODAY(),$Y748,Holidays)-1)&amp;" business day(s) left).")))))</f>
        <v/>
      </c>
      <c r="V748" s="17">
        <f>IF($W748="","",CHOOSE($W748,"Collection Email","1st Follow-up","2nd Follow-up","Local Office","CBE","Roxanne")&amp;IF($W748=6," - Final"," - Day "&amp;MAX(0,NETWORKDAYS($X748,TODAY(),Holidays)-1)&amp;" of "&amp;CHOOSE($W748,3,3,2,2,3))&amp;" | Total Day "&amp;MAX(0,NETWORKDAYS($L748,TODAY(),Holidays)-1))</f>
        <v/>
      </c>
      <c r="W748" s="17">
        <f>IF($L748="","",COUNT($L748:$Q748))</f>
        <v/>
      </c>
      <c r="X748" s="18">
        <f>IF($W748="","",INT(INDEX($L748:$Q748,$W748)))</f>
        <v/>
      </c>
      <c r="Y748" s="18">
        <f>IF(OR($W748="",$W748=6),"",WORKDAY($X748,CHOOSE($W748,3,3,2,2,3),Holidays))</f>
        <v/>
      </c>
      <c r="Z748" s="17">
        <f>IF(OR($W748="",$W748=6),"",CHOOSE($W748,"1st Email Follow-up","2nd Email Follow-up","Escalate Local Office","Escalate to CBE","Escalate to Roxanne"))</f>
        <v/>
      </c>
    </row>
    <row r="749" spans="18:26">
      <c r="R749" s="15"/>
      <c r="S749" s="16"/>
      <c r="T749" s="17">
        <f>IF(AND(COUNTA($A749:$K749)=0,$L749=""),"",IF($S749="Paid","PAID",IF($S749="Closed","CLOSED",IF($W749="","",IF($W749=6,"ESCALATED TO ROXANNE",IF(TODAY()&gt;$Y749,"OVERDUE",IF($Y749&lt;=WORKDAY(TODAY(),1,Holidays),"DUE TOMORROW",IF($W749=4,"ESCALATED TO LOCAL OFFICE",IF($W749=5,"ESCALATED TO CBE",IF($X749=TODAY(),"EMAIL SENT","MONITORING"))))))))))</f>
        <v/>
      </c>
      <c r="U749" s="17">
        <f>IF($T749="",IF(AND(COUNTA($A749:$K749)&gt;0,$L749=""),"Awaiting Collection Email time stamp.",""),IF(OR($T749="PAID",$T749="CLOSED"),IF($T749="PAID","Account paid. Action completed.","Account closed. No further action required."),CHOOSE($W749,"Collection Email","1st Email Follow-up","2nd Email Follow-up","Escalation to Local Office","Escalation to CBE","Escalation to Roxanne")&amp;" sent "&amp;TEXT($X749,"dd-mmm")&amp;". "&amp;IF($W749=6,"Final escalation completed.",IF($T749="OVERDUE","Next: "&amp;$Z749&amp;" was due "&amp;TEXT($Y749,"dd-mmm")&amp;" - "&amp;(NETWORKDAYS($Y749,TODAY(),Holidays)-1)&amp;" business day(s) late. Send now.",IF($T749="DUE TOMORROW","Next: "&amp;$Z749&amp;IF($Y749&lt;=TODAY()," is due TODAY ("," is due next business day (")&amp;TEXT($Y749,"dd-mmm")&amp;").","Next: "&amp;$Z749&amp;" due "&amp;TEXT($Y749,"dd-mmm")&amp;" ("&amp;(NETWORKDAYS(TODAY(),$Y749,Holidays)-1)&amp;" business day(s) left).")))))</f>
        <v/>
      </c>
      <c r="V749" s="17">
        <f>IF($W749="","",CHOOSE($W749,"Collection Email","1st Follow-up","2nd Follow-up","Local Office","CBE","Roxanne")&amp;IF($W749=6," - Final"," - Day "&amp;MAX(0,NETWORKDAYS($X749,TODAY(),Holidays)-1)&amp;" of "&amp;CHOOSE($W749,3,3,2,2,3))&amp;" | Total Day "&amp;MAX(0,NETWORKDAYS($L749,TODAY(),Holidays)-1))</f>
        <v/>
      </c>
      <c r="W749" s="17">
        <f>IF($L749="","",COUNT($L749:$Q749))</f>
        <v/>
      </c>
      <c r="X749" s="18">
        <f>IF($W749="","",INT(INDEX($L749:$Q749,$W749)))</f>
        <v/>
      </c>
      <c r="Y749" s="18">
        <f>IF(OR($W749="",$W749=6),"",WORKDAY($X749,CHOOSE($W749,3,3,2,2,3),Holidays))</f>
        <v/>
      </c>
      <c r="Z749" s="17">
        <f>IF(OR($W749="",$W749=6),"",CHOOSE($W749,"1st Email Follow-up","2nd Email Follow-up","Escalate Local Office","Escalate to CBE","Escalate to Roxanne"))</f>
        <v/>
      </c>
    </row>
    <row r="750" spans="18:26">
      <c r="R750" s="15"/>
      <c r="S750" s="16"/>
      <c r="T750" s="17">
        <f>IF(AND(COUNTA($A750:$K750)=0,$L750=""),"",IF($S750="Paid","PAID",IF($S750="Closed","CLOSED",IF($W750="","",IF($W750=6,"ESCALATED TO ROXANNE",IF(TODAY()&gt;$Y750,"OVERDUE",IF($Y750&lt;=WORKDAY(TODAY(),1,Holidays),"DUE TOMORROW",IF($W750=4,"ESCALATED TO LOCAL OFFICE",IF($W750=5,"ESCALATED TO CBE",IF($X750=TODAY(),"EMAIL SENT","MONITORING"))))))))))</f>
        <v/>
      </c>
      <c r="U750" s="17">
        <f>IF($T750="",IF(AND(COUNTA($A750:$K750)&gt;0,$L750=""),"Awaiting Collection Email time stamp.",""),IF(OR($T750="PAID",$T750="CLOSED"),IF($T750="PAID","Account paid. Action completed.","Account closed. No further action required."),CHOOSE($W750,"Collection Email","1st Email Follow-up","2nd Email Follow-up","Escalation to Local Office","Escalation to CBE","Escalation to Roxanne")&amp;" sent "&amp;TEXT($X750,"dd-mmm")&amp;". "&amp;IF($W750=6,"Final escalation completed.",IF($T750="OVERDUE","Next: "&amp;$Z750&amp;" was due "&amp;TEXT($Y750,"dd-mmm")&amp;" - "&amp;(NETWORKDAYS($Y750,TODAY(),Holidays)-1)&amp;" business day(s) late. Send now.",IF($T750="DUE TOMORROW","Next: "&amp;$Z750&amp;IF($Y750&lt;=TODAY()," is due TODAY ("," is due next business day (")&amp;TEXT($Y750,"dd-mmm")&amp;").","Next: "&amp;$Z750&amp;" due "&amp;TEXT($Y750,"dd-mmm")&amp;" ("&amp;(NETWORKDAYS(TODAY(),$Y750,Holidays)-1)&amp;" business day(s) left).")))))</f>
        <v/>
      </c>
      <c r="V750" s="17">
        <f>IF($W750="","",CHOOSE($W750,"Collection Email","1st Follow-up","2nd Follow-up","Local Office","CBE","Roxanne")&amp;IF($W750=6," - Final"," - Day "&amp;MAX(0,NETWORKDAYS($X750,TODAY(),Holidays)-1)&amp;" of "&amp;CHOOSE($W750,3,3,2,2,3))&amp;" | Total Day "&amp;MAX(0,NETWORKDAYS($L750,TODAY(),Holidays)-1))</f>
        <v/>
      </c>
      <c r="W750" s="17">
        <f>IF($L750="","",COUNT($L750:$Q750))</f>
        <v/>
      </c>
      <c r="X750" s="18">
        <f>IF($W750="","",INT(INDEX($L750:$Q750,$W750)))</f>
        <v/>
      </c>
      <c r="Y750" s="18">
        <f>IF(OR($W750="",$W750=6),"",WORKDAY($X750,CHOOSE($W750,3,3,2,2,3),Holidays))</f>
        <v/>
      </c>
      <c r="Z750" s="17">
        <f>IF(OR($W750="",$W750=6),"",CHOOSE($W750,"1st Email Follow-up","2nd Email Follow-up","Escalate Local Office","Escalate to CBE","Escalate to Roxanne"))</f>
        <v/>
      </c>
    </row>
    <row r="751" spans="18:26">
      <c r="R751" s="15"/>
      <c r="S751" s="16"/>
      <c r="T751" s="17">
        <f>IF(AND(COUNTA($A751:$K751)=0,$L751=""),"",IF($S751="Paid","PAID",IF($S751="Closed","CLOSED",IF($W751="","",IF($W751=6,"ESCALATED TO ROXANNE",IF(TODAY()&gt;$Y751,"OVERDUE",IF($Y751&lt;=WORKDAY(TODAY(),1,Holidays),"DUE TOMORROW",IF($W751=4,"ESCALATED TO LOCAL OFFICE",IF($W751=5,"ESCALATED TO CBE",IF($X751=TODAY(),"EMAIL SENT","MONITORING"))))))))))</f>
        <v/>
      </c>
      <c r="U751" s="17">
        <f>IF($T751="",IF(AND(COUNTA($A751:$K751)&gt;0,$L751=""),"Awaiting Collection Email time stamp.",""),IF(OR($T751="PAID",$T751="CLOSED"),IF($T751="PAID","Account paid. Action completed.","Account closed. No further action required."),CHOOSE($W751,"Collection Email","1st Email Follow-up","2nd Email Follow-up","Escalation to Local Office","Escalation to CBE","Escalation to Roxanne")&amp;" sent "&amp;TEXT($X751,"dd-mmm")&amp;". "&amp;IF($W751=6,"Final escalation completed.",IF($T751="OVERDUE","Next: "&amp;$Z751&amp;" was due "&amp;TEXT($Y751,"dd-mmm")&amp;" - "&amp;(NETWORKDAYS($Y751,TODAY(),Holidays)-1)&amp;" business day(s) late. Send now.",IF($T751="DUE TOMORROW","Next: "&amp;$Z751&amp;IF($Y751&lt;=TODAY()," is due TODAY ("," is due next business day (")&amp;TEXT($Y751,"dd-mmm")&amp;").","Next: "&amp;$Z751&amp;" due "&amp;TEXT($Y751,"dd-mmm")&amp;" ("&amp;(NETWORKDAYS(TODAY(),$Y751,Holidays)-1)&amp;" business day(s) left).")))))</f>
        <v/>
      </c>
      <c r="V751" s="17">
        <f>IF($W751="","",CHOOSE($W751,"Collection Email","1st Follow-up","2nd Follow-up","Local Office","CBE","Roxanne")&amp;IF($W751=6," - Final"," - Day "&amp;MAX(0,NETWORKDAYS($X751,TODAY(),Holidays)-1)&amp;" of "&amp;CHOOSE($W751,3,3,2,2,3))&amp;" | Total Day "&amp;MAX(0,NETWORKDAYS($L751,TODAY(),Holidays)-1))</f>
        <v/>
      </c>
      <c r="W751" s="17">
        <f>IF($L751="","",COUNT($L751:$Q751))</f>
        <v/>
      </c>
      <c r="X751" s="18">
        <f>IF($W751="","",INT(INDEX($L751:$Q751,$W751)))</f>
        <v/>
      </c>
      <c r="Y751" s="18">
        <f>IF(OR($W751="",$W751=6),"",WORKDAY($X751,CHOOSE($W751,3,3,2,2,3),Holidays))</f>
        <v/>
      </c>
      <c r="Z751" s="17">
        <f>IF(OR($W751="",$W751=6),"",CHOOSE($W751,"1st Email Follow-up","2nd Email Follow-up","Escalate Local Office","Escalate to CBE","Escalate to Roxanne"))</f>
        <v/>
      </c>
    </row>
    <row r="752" spans="18:26">
      <c r="R752" s="15"/>
      <c r="S752" s="16"/>
      <c r="T752" s="17">
        <f>IF(AND(COUNTA($A752:$K752)=0,$L752=""),"",IF($S752="Paid","PAID",IF($S752="Closed","CLOSED",IF($W752="","",IF($W752=6,"ESCALATED TO ROXANNE",IF(TODAY()&gt;$Y752,"OVERDUE",IF($Y752&lt;=WORKDAY(TODAY(),1,Holidays),"DUE TOMORROW",IF($W752=4,"ESCALATED TO LOCAL OFFICE",IF($W752=5,"ESCALATED TO CBE",IF($X752=TODAY(),"EMAIL SENT","MONITORING"))))))))))</f>
        <v/>
      </c>
      <c r="U752" s="17">
        <f>IF($T752="",IF(AND(COUNTA($A752:$K752)&gt;0,$L752=""),"Awaiting Collection Email time stamp.",""),IF(OR($T752="PAID",$T752="CLOSED"),IF($T752="PAID","Account paid. Action completed.","Account closed. No further action required."),CHOOSE($W752,"Collection Email","1st Email Follow-up","2nd Email Follow-up","Escalation to Local Office","Escalation to CBE","Escalation to Roxanne")&amp;" sent "&amp;TEXT($X752,"dd-mmm")&amp;". "&amp;IF($W752=6,"Final escalation completed.",IF($T752="OVERDUE","Next: "&amp;$Z752&amp;" was due "&amp;TEXT($Y752,"dd-mmm")&amp;" - "&amp;(NETWORKDAYS($Y752,TODAY(),Holidays)-1)&amp;" business day(s) late. Send now.",IF($T752="DUE TOMORROW","Next: "&amp;$Z752&amp;IF($Y752&lt;=TODAY()," is due TODAY ("," is due next business day (")&amp;TEXT($Y752,"dd-mmm")&amp;").","Next: "&amp;$Z752&amp;" due "&amp;TEXT($Y752,"dd-mmm")&amp;" ("&amp;(NETWORKDAYS(TODAY(),$Y752,Holidays)-1)&amp;" business day(s) left).")))))</f>
        <v/>
      </c>
      <c r="V752" s="17">
        <f>IF($W752="","",CHOOSE($W752,"Collection Email","1st Follow-up","2nd Follow-up","Local Office","CBE","Roxanne")&amp;IF($W752=6," - Final"," - Day "&amp;MAX(0,NETWORKDAYS($X752,TODAY(),Holidays)-1)&amp;" of "&amp;CHOOSE($W752,3,3,2,2,3))&amp;" | Total Day "&amp;MAX(0,NETWORKDAYS($L752,TODAY(),Holidays)-1))</f>
        <v/>
      </c>
      <c r="W752" s="17">
        <f>IF($L752="","",COUNT($L752:$Q752))</f>
        <v/>
      </c>
      <c r="X752" s="18">
        <f>IF($W752="","",INT(INDEX($L752:$Q752,$W752)))</f>
        <v/>
      </c>
      <c r="Y752" s="18">
        <f>IF(OR($W752="",$W752=6),"",WORKDAY($X752,CHOOSE($W752,3,3,2,2,3),Holidays))</f>
        <v/>
      </c>
      <c r="Z752" s="17">
        <f>IF(OR($W752="",$W752=6),"",CHOOSE($W752,"1st Email Follow-up","2nd Email Follow-up","Escalate Local Office","Escalate to CBE","Escalate to Roxanne"))</f>
        <v/>
      </c>
    </row>
    <row r="753" spans="18:26">
      <c r="R753" s="15"/>
      <c r="S753" s="16"/>
      <c r="T753" s="17">
        <f>IF(AND(COUNTA($A753:$K753)=0,$L753=""),"",IF($S753="Paid","PAID",IF($S753="Closed","CLOSED",IF($W753="","",IF($W753=6,"ESCALATED TO ROXANNE",IF(TODAY()&gt;$Y753,"OVERDUE",IF($Y753&lt;=WORKDAY(TODAY(),1,Holidays),"DUE TOMORROW",IF($W753=4,"ESCALATED TO LOCAL OFFICE",IF($W753=5,"ESCALATED TO CBE",IF($X753=TODAY(),"EMAIL SENT","MONITORING"))))))))))</f>
        <v/>
      </c>
      <c r="U753" s="17">
        <f>IF($T753="",IF(AND(COUNTA($A753:$K753)&gt;0,$L753=""),"Awaiting Collection Email time stamp.",""),IF(OR($T753="PAID",$T753="CLOSED"),IF($T753="PAID","Account paid. Action completed.","Account closed. No further action required."),CHOOSE($W753,"Collection Email","1st Email Follow-up","2nd Email Follow-up","Escalation to Local Office","Escalation to CBE","Escalation to Roxanne")&amp;" sent "&amp;TEXT($X753,"dd-mmm")&amp;". "&amp;IF($W753=6,"Final escalation completed.",IF($T753="OVERDUE","Next: "&amp;$Z753&amp;" was due "&amp;TEXT($Y753,"dd-mmm")&amp;" - "&amp;(NETWORKDAYS($Y753,TODAY(),Holidays)-1)&amp;" business day(s) late. Send now.",IF($T753="DUE TOMORROW","Next: "&amp;$Z753&amp;IF($Y753&lt;=TODAY()," is due TODAY ("," is due next business day (")&amp;TEXT($Y753,"dd-mmm")&amp;").","Next: "&amp;$Z753&amp;" due "&amp;TEXT($Y753,"dd-mmm")&amp;" ("&amp;(NETWORKDAYS(TODAY(),$Y753,Holidays)-1)&amp;" business day(s) left).")))))</f>
        <v/>
      </c>
      <c r="V753" s="17">
        <f>IF($W753="","",CHOOSE($W753,"Collection Email","1st Follow-up","2nd Follow-up","Local Office","CBE","Roxanne")&amp;IF($W753=6," - Final"," - Day "&amp;MAX(0,NETWORKDAYS($X753,TODAY(),Holidays)-1)&amp;" of "&amp;CHOOSE($W753,3,3,2,2,3))&amp;" | Total Day "&amp;MAX(0,NETWORKDAYS($L753,TODAY(),Holidays)-1))</f>
        <v/>
      </c>
      <c r="W753" s="17">
        <f>IF($L753="","",COUNT($L753:$Q753))</f>
        <v/>
      </c>
      <c r="X753" s="18">
        <f>IF($W753="","",INT(INDEX($L753:$Q753,$W753)))</f>
        <v/>
      </c>
      <c r="Y753" s="18">
        <f>IF(OR($W753="",$W753=6),"",WORKDAY($X753,CHOOSE($W753,3,3,2,2,3),Holidays))</f>
        <v/>
      </c>
      <c r="Z753" s="17">
        <f>IF(OR($W753="",$W753=6),"",CHOOSE($W753,"1st Email Follow-up","2nd Email Follow-up","Escalate Local Office","Escalate to CBE","Escalate to Roxanne"))</f>
        <v/>
      </c>
    </row>
    <row r="754" spans="18:26">
      <c r="R754" s="15"/>
      <c r="S754" s="16"/>
      <c r="T754" s="17">
        <f>IF(AND(COUNTA($A754:$K754)=0,$L754=""),"",IF($S754="Paid","PAID",IF($S754="Closed","CLOSED",IF($W754="","",IF($W754=6,"ESCALATED TO ROXANNE",IF(TODAY()&gt;$Y754,"OVERDUE",IF($Y754&lt;=WORKDAY(TODAY(),1,Holidays),"DUE TOMORROW",IF($W754=4,"ESCALATED TO LOCAL OFFICE",IF($W754=5,"ESCALATED TO CBE",IF($X754=TODAY(),"EMAIL SENT","MONITORING"))))))))))</f>
        <v/>
      </c>
      <c r="U754" s="17">
        <f>IF($T754="",IF(AND(COUNTA($A754:$K754)&gt;0,$L754=""),"Awaiting Collection Email time stamp.",""),IF(OR($T754="PAID",$T754="CLOSED"),IF($T754="PAID","Account paid. Action completed.","Account closed. No further action required."),CHOOSE($W754,"Collection Email","1st Email Follow-up","2nd Email Follow-up","Escalation to Local Office","Escalation to CBE","Escalation to Roxanne")&amp;" sent "&amp;TEXT($X754,"dd-mmm")&amp;". "&amp;IF($W754=6,"Final escalation completed.",IF($T754="OVERDUE","Next: "&amp;$Z754&amp;" was due "&amp;TEXT($Y754,"dd-mmm")&amp;" - "&amp;(NETWORKDAYS($Y754,TODAY(),Holidays)-1)&amp;" business day(s) late. Send now.",IF($T754="DUE TOMORROW","Next: "&amp;$Z754&amp;IF($Y754&lt;=TODAY()," is due TODAY ("," is due next business day (")&amp;TEXT($Y754,"dd-mmm")&amp;").","Next: "&amp;$Z754&amp;" due "&amp;TEXT($Y754,"dd-mmm")&amp;" ("&amp;(NETWORKDAYS(TODAY(),$Y754,Holidays)-1)&amp;" business day(s) left).")))))</f>
        <v/>
      </c>
      <c r="V754" s="17">
        <f>IF($W754="","",CHOOSE($W754,"Collection Email","1st Follow-up","2nd Follow-up","Local Office","CBE","Roxanne")&amp;IF($W754=6," - Final"," - Day "&amp;MAX(0,NETWORKDAYS($X754,TODAY(),Holidays)-1)&amp;" of "&amp;CHOOSE($W754,3,3,2,2,3))&amp;" | Total Day "&amp;MAX(0,NETWORKDAYS($L754,TODAY(),Holidays)-1))</f>
        <v/>
      </c>
      <c r="W754" s="17">
        <f>IF($L754="","",COUNT($L754:$Q754))</f>
        <v/>
      </c>
      <c r="X754" s="18">
        <f>IF($W754="","",INT(INDEX($L754:$Q754,$W754)))</f>
        <v/>
      </c>
      <c r="Y754" s="18">
        <f>IF(OR($W754="",$W754=6),"",WORKDAY($X754,CHOOSE($W754,3,3,2,2,3),Holidays))</f>
        <v/>
      </c>
      <c r="Z754" s="17">
        <f>IF(OR($W754="",$W754=6),"",CHOOSE($W754,"1st Email Follow-up","2nd Email Follow-up","Escalate Local Office","Escalate to CBE","Escalate to Roxanne"))</f>
        <v/>
      </c>
    </row>
    <row r="755" spans="18:26">
      <c r="R755" s="15"/>
      <c r="S755" s="16"/>
      <c r="T755" s="17">
        <f>IF(AND(COUNTA($A755:$K755)=0,$L755=""),"",IF($S755="Paid","PAID",IF($S755="Closed","CLOSED",IF($W755="","",IF($W755=6,"ESCALATED TO ROXANNE",IF(TODAY()&gt;$Y755,"OVERDUE",IF($Y755&lt;=WORKDAY(TODAY(),1,Holidays),"DUE TOMORROW",IF($W755=4,"ESCALATED TO LOCAL OFFICE",IF($W755=5,"ESCALATED TO CBE",IF($X755=TODAY(),"EMAIL SENT","MONITORING"))))))))))</f>
        <v/>
      </c>
      <c r="U755" s="17">
        <f>IF($T755="",IF(AND(COUNTA($A755:$K755)&gt;0,$L755=""),"Awaiting Collection Email time stamp.",""),IF(OR($T755="PAID",$T755="CLOSED"),IF($T755="PAID","Account paid. Action completed.","Account closed. No further action required."),CHOOSE($W755,"Collection Email","1st Email Follow-up","2nd Email Follow-up","Escalation to Local Office","Escalation to CBE","Escalation to Roxanne")&amp;" sent "&amp;TEXT($X755,"dd-mmm")&amp;". "&amp;IF($W755=6,"Final escalation completed.",IF($T755="OVERDUE","Next: "&amp;$Z755&amp;" was due "&amp;TEXT($Y755,"dd-mmm")&amp;" - "&amp;(NETWORKDAYS($Y755,TODAY(),Holidays)-1)&amp;" business day(s) late. Send now.",IF($T755="DUE TOMORROW","Next: "&amp;$Z755&amp;IF($Y755&lt;=TODAY()," is due TODAY ("," is due next business day (")&amp;TEXT($Y755,"dd-mmm")&amp;").","Next: "&amp;$Z755&amp;" due "&amp;TEXT($Y755,"dd-mmm")&amp;" ("&amp;(NETWORKDAYS(TODAY(),$Y755,Holidays)-1)&amp;" business day(s) left).")))))</f>
        <v/>
      </c>
      <c r="V755" s="17">
        <f>IF($W755="","",CHOOSE($W755,"Collection Email","1st Follow-up","2nd Follow-up","Local Office","CBE","Roxanne")&amp;IF($W755=6," - Final"," - Day "&amp;MAX(0,NETWORKDAYS($X755,TODAY(),Holidays)-1)&amp;" of "&amp;CHOOSE($W755,3,3,2,2,3))&amp;" | Total Day "&amp;MAX(0,NETWORKDAYS($L755,TODAY(),Holidays)-1))</f>
        <v/>
      </c>
      <c r="W755" s="17">
        <f>IF($L755="","",COUNT($L755:$Q755))</f>
        <v/>
      </c>
      <c r="X755" s="18">
        <f>IF($W755="","",INT(INDEX($L755:$Q755,$W755)))</f>
        <v/>
      </c>
      <c r="Y755" s="18">
        <f>IF(OR($W755="",$W755=6),"",WORKDAY($X755,CHOOSE($W755,3,3,2,2,3),Holidays))</f>
        <v/>
      </c>
      <c r="Z755" s="17">
        <f>IF(OR($W755="",$W755=6),"",CHOOSE($W755,"1st Email Follow-up","2nd Email Follow-up","Escalate Local Office","Escalate to CBE","Escalate to Roxanne"))</f>
        <v/>
      </c>
    </row>
    <row r="756" spans="18:26">
      <c r="R756" s="15"/>
      <c r="S756" s="16"/>
      <c r="T756" s="17">
        <f>IF(AND(COUNTA($A756:$K756)=0,$L756=""),"",IF($S756="Paid","PAID",IF($S756="Closed","CLOSED",IF($W756="","",IF($W756=6,"ESCALATED TO ROXANNE",IF(TODAY()&gt;$Y756,"OVERDUE",IF($Y756&lt;=WORKDAY(TODAY(),1,Holidays),"DUE TOMORROW",IF($W756=4,"ESCALATED TO LOCAL OFFICE",IF($W756=5,"ESCALATED TO CBE",IF($X756=TODAY(),"EMAIL SENT","MONITORING"))))))))))</f>
        <v/>
      </c>
      <c r="U756" s="17">
        <f>IF($T756="",IF(AND(COUNTA($A756:$K756)&gt;0,$L756=""),"Awaiting Collection Email time stamp.",""),IF(OR($T756="PAID",$T756="CLOSED"),IF($T756="PAID","Account paid. Action completed.","Account closed. No further action required."),CHOOSE($W756,"Collection Email","1st Email Follow-up","2nd Email Follow-up","Escalation to Local Office","Escalation to CBE","Escalation to Roxanne")&amp;" sent "&amp;TEXT($X756,"dd-mmm")&amp;". "&amp;IF($W756=6,"Final escalation completed.",IF($T756="OVERDUE","Next: "&amp;$Z756&amp;" was due "&amp;TEXT($Y756,"dd-mmm")&amp;" - "&amp;(NETWORKDAYS($Y756,TODAY(),Holidays)-1)&amp;" business day(s) late. Send now.",IF($T756="DUE TOMORROW","Next: "&amp;$Z756&amp;IF($Y756&lt;=TODAY()," is due TODAY ("," is due next business day (")&amp;TEXT($Y756,"dd-mmm")&amp;").","Next: "&amp;$Z756&amp;" due "&amp;TEXT($Y756,"dd-mmm")&amp;" ("&amp;(NETWORKDAYS(TODAY(),$Y756,Holidays)-1)&amp;" business day(s) left).")))))</f>
        <v/>
      </c>
      <c r="V756" s="17">
        <f>IF($W756="","",CHOOSE($W756,"Collection Email","1st Follow-up","2nd Follow-up","Local Office","CBE","Roxanne")&amp;IF($W756=6," - Final"," - Day "&amp;MAX(0,NETWORKDAYS($X756,TODAY(),Holidays)-1)&amp;" of "&amp;CHOOSE($W756,3,3,2,2,3))&amp;" | Total Day "&amp;MAX(0,NETWORKDAYS($L756,TODAY(),Holidays)-1))</f>
        <v/>
      </c>
      <c r="W756" s="17">
        <f>IF($L756="","",COUNT($L756:$Q756))</f>
        <v/>
      </c>
      <c r="X756" s="18">
        <f>IF($W756="","",INT(INDEX($L756:$Q756,$W756)))</f>
        <v/>
      </c>
      <c r="Y756" s="18">
        <f>IF(OR($W756="",$W756=6),"",WORKDAY($X756,CHOOSE($W756,3,3,2,2,3),Holidays))</f>
        <v/>
      </c>
      <c r="Z756" s="17">
        <f>IF(OR($W756="",$W756=6),"",CHOOSE($W756,"1st Email Follow-up","2nd Email Follow-up","Escalate Local Office","Escalate to CBE","Escalate to Roxanne"))</f>
        <v/>
      </c>
    </row>
    <row r="757" spans="18:26">
      <c r="R757" s="15"/>
      <c r="S757" s="16"/>
      <c r="T757" s="17">
        <f>IF(AND(COUNTA($A757:$K757)=0,$L757=""),"",IF($S757="Paid","PAID",IF($S757="Closed","CLOSED",IF($W757="","",IF($W757=6,"ESCALATED TO ROXANNE",IF(TODAY()&gt;$Y757,"OVERDUE",IF($Y757&lt;=WORKDAY(TODAY(),1,Holidays),"DUE TOMORROW",IF($W757=4,"ESCALATED TO LOCAL OFFICE",IF($W757=5,"ESCALATED TO CBE",IF($X757=TODAY(),"EMAIL SENT","MONITORING"))))))))))</f>
        <v/>
      </c>
      <c r="U757" s="17">
        <f>IF($T757="",IF(AND(COUNTA($A757:$K757)&gt;0,$L757=""),"Awaiting Collection Email time stamp.",""),IF(OR($T757="PAID",$T757="CLOSED"),IF($T757="PAID","Account paid. Action completed.","Account closed. No further action required."),CHOOSE($W757,"Collection Email","1st Email Follow-up","2nd Email Follow-up","Escalation to Local Office","Escalation to CBE","Escalation to Roxanne")&amp;" sent "&amp;TEXT($X757,"dd-mmm")&amp;". "&amp;IF($W757=6,"Final escalation completed.",IF($T757="OVERDUE","Next: "&amp;$Z757&amp;" was due "&amp;TEXT($Y757,"dd-mmm")&amp;" - "&amp;(NETWORKDAYS($Y757,TODAY(),Holidays)-1)&amp;" business day(s) late. Send now.",IF($T757="DUE TOMORROW","Next: "&amp;$Z757&amp;IF($Y757&lt;=TODAY()," is due TODAY ("," is due next business day (")&amp;TEXT($Y757,"dd-mmm")&amp;").","Next: "&amp;$Z757&amp;" due "&amp;TEXT($Y757,"dd-mmm")&amp;" ("&amp;(NETWORKDAYS(TODAY(),$Y757,Holidays)-1)&amp;" business day(s) left).")))))</f>
        <v/>
      </c>
      <c r="V757" s="17">
        <f>IF($W757="","",CHOOSE($W757,"Collection Email","1st Follow-up","2nd Follow-up","Local Office","CBE","Roxanne")&amp;IF($W757=6," - Final"," - Day "&amp;MAX(0,NETWORKDAYS($X757,TODAY(),Holidays)-1)&amp;" of "&amp;CHOOSE($W757,3,3,2,2,3))&amp;" | Total Day "&amp;MAX(0,NETWORKDAYS($L757,TODAY(),Holidays)-1))</f>
        <v/>
      </c>
      <c r="W757" s="17">
        <f>IF($L757="","",COUNT($L757:$Q757))</f>
        <v/>
      </c>
      <c r="X757" s="18">
        <f>IF($W757="","",INT(INDEX($L757:$Q757,$W757)))</f>
        <v/>
      </c>
      <c r="Y757" s="18">
        <f>IF(OR($W757="",$W757=6),"",WORKDAY($X757,CHOOSE($W757,3,3,2,2,3),Holidays))</f>
        <v/>
      </c>
      <c r="Z757" s="17">
        <f>IF(OR($W757="",$W757=6),"",CHOOSE($W757,"1st Email Follow-up","2nd Email Follow-up","Escalate Local Office","Escalate to CBE","Escalate to Roxanne"))</f>
        <v/>
      </c>
    </row>
    <row r="758" spans="18:26">
      <c r="R758" s="15"/>
      <c r="S758" s="16"/>
      <c r="T758" s="17">
        <f>IF(AND(COUNTA($A758:$K758)=0,$L758=""),"",IF($S758="Paid","PAID",IF($S758="Closed","CLOSED",IF($W758="","",IF($W758=6,"ESCALATED TO ROXANNE",IF(TODAY()&gt;$Y758,"OVERDUE",IF($Y758&lt;=WORKDAY(TODAY(),1,Holidays),"DUE TOMORROW",IF($W758=4,"ESCALATED TO LOCAL OFFICE",IF($W758=5,"ESCALATED TO CBE",IF($X758=TODAY(),"EMAIL SENT","MONITORING"))))))))))</f>
        <v/>
      </c>
      <c r="U758" s="17">
        <f>IF($T758="",IF(AND(COUNTA($A758:$K758)&gt;0,$L758=""),"Awaiting Collection Email time stamp.",""),IF(OR($T758="PAID",$T758="CLOSED"),IF($T758="PAID","Account paid. Action completed.","Account closed. No further action required."),CHOOSE($W758,"Collection Email","1st Email Follow-up","2nd Email Follow-up","Escalation to Local Office","Escalation to CBE","Escalation to Roxanne")&amp;" sent "&amp;TEXT($X758,"dd-mmm")&amp;". "&amp;IF($W758=6,"Final escalation completed.",IF($T758="OVERDUE","Next: "&amp;$Z758&amp;" was due "&amp;TEXT($Y758,"dd-mmm")&amp;" - "&amp;(NETWORKDAYS($Y758,TODAY(),Holidays)-1)&amp;" business day(s) late. Send now.",IF($T758="DUE TOMORROW","Next: "&amp;$Z758&amp;IF($Y758&lt;=TODAY()," is due TODAY ("," is due next business day (")&amp;TEXT($Y758,"dd-mmm")&amp;").","Next: "&amp;$Z758&amp;" due "&amp;TEXT($Y758,"dd-mmm")&amp;" ("&amp;(NETWORKDAYS(TODAY(),$Y758,Holidays)-1)&amp;" business day(s) left).")))))</f>
        <v/>
      </c>
      <c r="V758" s="17">
        <f>IF($W758="","",CHOOSE($W758,"Collection Email","1st Follow-up","2nd Follow-up","Local Office","CBE","Roxanne")&amp;IF($W758=6," - Final"," - Day "&amp;MAX(0,NETWORKDAYS($X758,TODAY(),Holidays)-1)&amp;" of "&amp;CHOOSE($W758,3,3,2,2,3))&amp;" | Total Day "&amp;MAX(0,NETWORKDAYS($L758,TODAY(),Holidays)-1))</f>
        <v/>
      </c>
      <c r="W758" s="17">
        <f>IF($L758="","",COUNT($L758:$Q758))</f>
        <v/>
      </c>
      <c r="X758" s="18">
        <f>IF($W758="","",INT(INDEX($L758:$Q758,$W758)))</f>
        <v/>
      </c>
      <c r="Y758" s="18">
        <f>IF(OR($W758="",$W758=6),"",WORKDAY($X758,CHOOSE($W758,3,3,2,2,3),Holidays))</f>
        <v/>
      </c>
      <c r="Z758" s="17">
        <f>IF(OR($W758="",$W758=6),"",CHOOSE($W758,"1st Email Follow-up","2nd Email Follow-up","Escalate Local Office","Escalate to CBE","Escalate to Roxanne"))</f>
        <v/>
      </c>
    </row>
    <row r="759" spans="18:26">
      <c r="R759" s="15"/>
      <c r="S759" s="16"/>
      <c r="T759" s="17">
        <f>IF(AND(COUNTA($A759:$K759)=0,$L759=""),"",IF($S759="Paid","PAID",IF($S759="Closed","CLOSED",IF($W759="","",IF($W759=6,"ESCALATED TO ROXANNE",IF(TODAY()&gt;$Y759,"OVERDUE",IF($Y759&lt;=WORKDAY(TODAY(),1,Holidays),"DUE TOMORROW",IF($W759=4,"ESCALATED TO LOCAL OFFICE",IF($W759=5,"ESCALATED TO CBE",IF($X759=TODAY(),"EMAIL SENT","MONITORING"))))))))))</f>
        <v/>
      </c>
      <c r="U759" s="17">
        <f>IF($T759="",IF(AND(COUNTA($A759:$K759)&gt;0,$L759=""),"Awaiting Collection Email time stamp.",""),IF(OR($T759="PAID",$T759="CLOSED"),IF($T759="PAID","Account paid. Action completed.","Account closed. No further action required."),CHOOSE($W759,"Collection Email","1st Email Follow-up","2nd Email Follow-up","Escalation to Local Office","Escalation to CBE","Escalation to Roxanne")&amp;" sent "&amp;TEXT($X759,"dd-mmm")&amp;". "&amp;IF($W759=6,"Final escalation completed.",IF($T759="OVERDUE","Next: "&amp;$Z759&amp;" was due "&amp;TEXT($Y759,"dd-mmm")&amp;" - "&amp;(NETWORKDAYS($Y759,TODAY(),Holidays)-1)&amp;" business day(s) late. Send now.",IF($T759="DUE TOMORROW","Next: "&amp;$Z759&amp;IF($Y759&lt;=TODAY()," is due TODAY ("," is due next business day (")&amp;TEXT($Y759,"dd-mmm")&amp;").","Next: "&amp;$Z759&amp;" due "&amp;TEXT($Y759,"dd-mmm")&amp;" ("&amp;(NETWORKDAYS(TODAY(),$Y759,Holidays)-1)&amp;" business day(s) left).")))))</f>
        <v/>
      </c>
      <c r="V759" s="17">
        <f>IF($W759="","",CHOOSE($W759,"Collection Email","1st Follow-up","2nd Follow-up","Local Office","CBE","Roxanne")&amp;IF($W759=6," - Final"," - Day "&amp;MAX(0,NETWORKDAYS($X759,TODAY(),Holidays)-1)&amp;" of "&amp;CHOOSE($W759,3,3,2,2,3))&amp;" | Total Day "&amp;MAX(0,NETWORKDAYS($L759,TODAY(),Holidays)-1))</f>
        <v/>
      </c>
      <c r="W759" s="17">
        <f>IF($L759="","",COUNT($L759:$Q759))</f>
        <v/>
      </c>
      <c r="X759" s="18">
        <f>IF($W759="","",INT(INDEX($L759:$Q759,$W759)))</f>
        <v/>
      </c>
      <c r="Y759" s="18">
        <f>IF(OR($W759="",$W759=6),"",WORKDAY($X759,CHOOSE($W759,3,3,2,2,3),Holidays))</f>
        <v/>
      </c>
      <c r="Z759" s="17">
        <f>IF(OR($W759="",$W759=6),"",CHOOSE($W759,"1st Email Follow-up","2nd Email Follow-up","Escalate Local Office","Escalate to CBE","Escalate to Roxanne"))</f>
        <v/>
      </c>
    </row>
    <row r="760" spans="18:26">
      <c r="R760" s="15"/>
      <c r="S760" s="16"/>
      <c r="T760" s="17">
        <f>IF(AND(COUNTA($A760:$K760)=0,$L760=""),"",IF($S760="Paid","PAID",IF($S760="Closed","CLOSED",IF($W760="","",IF($W760=6,"ESCALATED TO ROXANNE",IF(TODAY()&gt;$Y760,"OVERDUE",IF($Y760&lt;=WORKDAY(TODAY(),1,Holidays),"DUE TOMORROW",IF($W760=4,"ESCALATED TO LOCAL OFFICE",IF($W760=5,"ESCALATED TO CBE",IF($X760=TODAY(),"EMAIL SENT","MONITORING"))))))))))</f>
        <v/>
      </c>
      <c r="U760" s="17">
        <f>IF($T760="",IF(AND(COUNTA($A760:$K760)&gt;0,$L760=""),"Awaiting Collection Email time stamp.",""),IF(OR($T760="PAID",$T760="CLOSED"),IF($T760="PAID","Account paid. Action completed.","Account closed. No further action required."),CHOOSE($W760,"Collection Email","1st Email Follow-up","2nd Email Follow-up","Escalation to Local Office","Escalation to CBE","Escalation to Roxanne")&amp;" sent "&amp;TEXT($X760,"dd-mmm")&amp;". "&amp;IF($W760=6,"Final escalation completed.",IF($T760="OVERDUE","Next: "&amp;$Z760&amp;" was due "&amp;TEXT($Y760,"dd-mmm")&amp;" - "&amp;(NETWORKDAYS($Y760,TODAY(),Holidays)-1)&amp;" business day(s) late. Send now.",IF($T760="DUE TOMORROW","Next: "&amp;$Z760&amp;IF($Y760&lt;=TODAY()," is due TODAY ("," is due next business day (")&amp;TEXT($Y760,"dd-mmm")&amp;").","Next: "&amp;$Z760&amp;" due "&amp;TEXT($Y760,"dd-mmm")&amp;" ("&amp;(NETWORKDAYS(TODAY(),$Y760,Holidays)-1)&amp;" business day(s) left).")))))</f>
        <v/>
      </c>
      <c r="V760" s="17">
        <f>IF($W760="","",CHOOSE($W760,"Collection Email","1st Follow-up","2nd Follow-up","Local Office","CBE","Roxanne")&amp;IF($W760=6," - Final"," - Day "&amp;MAX(0,NETWORKDAYS($X760,TODAY(),Holidays)-1)&amp;" of "&amp;CHOOSE($W760,3,3,2,2,3))&amp;" | Total Day "&amp;MAX(0,NETWORKDAYS($L760,TODAY(),Holidays)-1))</f>
        <v/>
      </c>
      <c r="W760" s="17">
        <f>IF($L760="","",COUNT($L760:$Q760))</f>
        <v/>
      </c>
      <c r="X760" s="18">
        <f>IF($W760="","",INT(INDEX($L760:$Q760,$W760)))</f>
        <v/>
      </c>
      <c r="Y760" s="18">
        <f>IF(OR($W760="",$W760=6),"",WORKDAY($X760,CHOOSE($W760,3,3,2,2,3),Holidays))</f>
        <v/>
      </c>
      <c r="Z760" s="17">
        <f>IF(OR($W760="",$W760=6),"",CHOOSE($W760,"1st Email Follow-up","2nd Email Follow-up","Escalate Local Office","Escalate to CBE","Escalate to Roxanne"))</f>
        <v/>
      </c>
    </row>
    <row r="761" spans="18:26">
      <c r="R761" s="15"/>
      <c r="S761" s="16"/>
      <c r="T761" s="17">
        <f>IF(AND(COUNTA($A761:$K761)=0,$L761=""),"",IF($S761="Paid","PAID",IF($S761="Closed","CLOSED",IF($W761="","",IF($W761=6,"ESCALATED TO ROXANNE",IF(TODAY()&gt;$Y761,"OVERDUE",IF($Y761&lt;=WORKDAY(TODAY(),1,Holidays),"DUE TOMORROW",IF($W761=4,"ESCALATED TO LOCAL OFFICE",IF($W761=5,"ESCALATED TO CBE",IF($X761=TODAY(),"EMAIL SENT","MONITORING"))))))))))</f>
        <v/>
      </c>
      <c r="U761" s="17">
        <f>IF($T761="",IF(AND(COUNTA($A761:$K761)&gt;0,$L761=""),"Awaiting Collection Email time stamp.",""),IF(OR($T761="PAID",$T761="CLOSED"),IF($T761="PAID","Account paid. Action completed.","Account closed. No further action required."),CHOOSE($W761,"Collection Email","1st Email Follow-up","2nd Email Follow-up","Escalation to Local Office","Escalation to CBE","Escalation to Roxanne")&amp;" sent "&amp;TEXT($X761,"dd-mmm")&amp;". "&amp;IF($W761=6,"Final escalation completed.",IF($T761="OVERDUE","Next: "&amp;$Z761&amp;" was due "&amp;TEXT($Y761,"dd-mmm")&amp;" - "&amp;(NETWORKDAYS($Y761,TODAY(),Holidays)-1)&amp;" business day(s) late. Send now.",IF($T761="DUE TOMORROW","Next: "&amp;$Z761&amp;IF($Y761&lt;=TODAY()," is due TODAY ("," is due next business day (")&amp;TEXT($Y761,"dd-mmm")&amp;").","Next: "&amp;$Z761&amp;" due "&amp;TEXT($Y761,"dd-mmm")&amp;" ("&amp;(NETWORKDAYS(TODAY(),$Y761,Holidays)-1)&amp;" business day(s) left).")))))</f>
        <v/>
      </c>
      <c r="V761" s="17">
        <f>IF($W761="","",CHOOSE($W761,"Collection Email","1st Follow-up","2nd Follow-up","Local Office","CBE","Roxanne")&amp;IF($W761=6," - Final"," - Day "&amp;MAX(0,NETWORKDAYS($X761,TODAY(),Holidays)-1)&amp;" of "&amp;CHOOSE($W761,3,3,2,2,3))&amp;" | Total Day "&amp;MAX(0,NETWORKDAYS($L761,TODAY(),Holidays)-1))</f>
        <v/>
      </c>
      <c r="W761" s="17">
        <f>IF($L761="","",COUNT($L761:$Q761))</f>
        <v/>
      </c>
      <c r="X761" s="18">
        <f>IF($W761="","",INT(INDEX($L761:$Q761,$W761)))</f>
        <v/>
      </c>
      <c r="Y761" s="18">
        <f>IF(OR($W761="",$W761=6),"",WORKDAY($X761,CHOOSE($W761,3,3,2,2,3),Holidays))</f>
        <v/>
      </c>
      <c r="Z761" s="17">
        <f>IF(OR($W761="",$W761=6),"",CHOOSE($W761,"1st Email Follow-up","2nd Email Follow-up","Escalate Local Office","Escalate to CBE","Escalate to Roxanne"))</f>
        <v/>
      </c>
    </row>
    <row r="762" spans="18:26">
      <c r="R762" s="15"/>
      <c r="S762" s="16"/>
      <c r="T762" s="17">
        <f>IF(AND(COUNTA($A762:$K762)=0,$L762=""),"",IF($S762="Paid","PAID",IF($S762="Closed","CLOSED",IF($W762="","",IF($W762=6,"ESCALATED TO ROXANNE",IF(TODAY()&gt;$Y762,"OVERDUE",IF($Y762&lt;=WORKDAY(TODAY(),1,Holidays),"DUE TOMORROW",IF($W762=4,"ESCALATED TO LOCAL OFFICE",IF($W762=5,"ESCALATED TO CBE",IF($X762=TODAY(),"EMAIL SENT","MONITORING"))))))))))</f>
        <v/>
      </c>
      <c r="U762" s="17">
        <f>IF($T762="",IF(AND(COUNTA($A762:$K762)&gt;0,$L762=""),"Awaiting Collection Email time stamp.",""),IF(OR($T762="PAID",$T762="CLOSED"),IF($T762="PAID","Account paid. Action completed.","Account closed. No further action required."),CHOOSE($W762,"Collection Email","1st Email Follow-up","2nd Email Follow-up","Escalation to Local Office","Escalation to CBE","Escalation to Roxanne")&amp;" sent "&amp;TEXT($X762,"dd-mmm")&amp;". "&amp;IF($W762=6,"Final escalation completed.",IF($T762="OVERDUE","Next: "&amp;$Z762&amp;" was due "&amp;TEXT($Y762,"dd-mmm")&amp;" - "&amp;(NETWORKDAYS($Y762,TODAY(),Holidays)-1)&amp;" business day(s) late. Send now.",IF($T762="DUE TOMORROW","Next: "&amp;$Z762&amp;IF($Y762&lt;=TODAY()," is due TODAY ("," is due next business day (")&amp;TEXT($Y762,"dd-mmm")&amp;").","Next: "&amp;$Z762&amp;" due "&amp;TEXT($Y762,"dd-mmm")&amp;" ("&amp;(NETWORKDAYS(TODAY(),$Y762,Holidays)-1)&amp;" business day(s) left).")))))</f>
        <v/>
      </c>
      <c r="V762" s="17">
        <f>IF($W762="","",CHOOSE($W762,"Collection Email","1st Follow-up","2nd Follow-up","Local Office","CBE","Roxanne")&amp;IF($W762=6," - Final"," - Day "&amp;MAX(0,NETWORKDAYS($X762,TODAY(),Holidays)-1)&amp;" of "&amp;CHOOSE($W762,3,3,2,2,3))&amp;" | Total Day "&amp;MAX(0,NETWORKDAYS($L762,TODAY(),Holidays)-1))</f>
        <v/>
      </c>
      <c r="W762" s="17">
        <f>IF($L762="","",COUNT($L762:$Q762))</f>
        <v/>
      </c>
      <c r="X762" s="18">
        <f>IF($W762="","",INT(INDEX($L762:$Q762,$W762)))</f>
        <v/>
      </c>
      <c r="Y762" s="18">
        <f>IF(OR($W762="",$W762=6),"",WORKDAY($X762,CHOOSE($W762,3,3,2,2,3),Holidays))</f>
        <v/>
      </c>
      <c r="Z762" s="17">
        <f>IF(OR($W762="",$W762=6),"",CHOOSE($W762,"1st Email Follow-up","2nd Email Follow-up","Escalate Local Office","Escalate to CBE","Escalate to Roxanne"))</f>
        <v/>
      </c>
    </row>
    <row r="763" spans="18:26">
      <c r="R763" s="15"/>
      <c r="S763" s="16"/>
      <c r="T763" s="17">
        <f>IF(AND(COUNTA($A763:$K763)=0,$L763=""),"",IF($S763="Paid","PAID",IF($S763="Closed","CLOSED",IF($W763="","",IF($W763=6,"ESCALATED TO ROXANNE",IF(TODAY()&gt;$Y763,"OVERDUE",IF($Y763&lt;=WORKDAY(TODAY(),1,Holidays),"DUE TOMORROW",IF($W763=4,"ESCALATED TO LOCAL OFFICE",IF($W763=5,"ESCALATED TO CBE",IF($X763=TODAY(),"EMAIL SENT","MONITORING"))))))))))</f>
        <v/>
      </c>
      <c r="U763" s="17">
        <f>IF($T763="",IF(AND(COUNTA($A763:$K763)&gt;0,$L763=""),"Awaiting Collection Email time stamp.",""),IF(OR($T763="PAID",$T763="CLOSED"),IF($T763="PAID","Account paid. Action completed.","Account closed. No further action required."),CHOOSE($W763,"Collection Email","1st Email Follow-up","2nd Email Follow-up","Escalation to Local Office","Escalation to CBE","Escalation to Roxanne")&amp;" sent "&amp;TEXT($X763,"dd-mmm")&amp;". "&amp;IF($W763=6,"Final escalation completed.",IF($T763="OVERDUE","Next: "&amp;$Z763&amp;" was due "&amp;TEXT($Y763,"dd-mmm")&amp;" - "&amp;(NETWORKDAYS($Y763,TODAY(),Holidays)-1)&amp;" business day(s) late. Send now.",IF($T763="DUE TOMORROW","Next: "&amp;$Z763&amp;IF($Y763&lt;=TODAY()," is due TODAY ("," is due next business day (")&amp;TEXT($Y763,"dd-mmm")&amp;").","Next: "&amp;$Z763&amp;" due "&amp;TEXT($Y763,"dd-mmm")&amp;" ("&amp;(NETWORKDAYS(TODAY(),$Y763,Holidays)-1)&amp;" business day(s) left).")))))</f>
        <v/>
      </c>
      <c r="V763" s="17">
        <f>IF($W763="","",CHOOSE($W763,"Collection Email","1st Follow-up","2nd Follow-up","Local Office","CBE","Roxanne")&amp;IF($W763=6," - Final"," - Day "&amp;MAX(0,NETWORKDAYS($X763,TODAY(),Holidays)-1)&amp;" of "&amp;CHOOSE($W763,3,3,2,2,3))&amp;" | Total Day "&amp;MAX(0,NETWORKDAYS($L763,TODAY(),Holidays)-1))</f>
        <v/>
      </c>
      <c r="W763" s="17">
        <f>IF($L763="","",COUNT($L763:$Q763))</f>
        <v/>
      </c>
      <c r="X763" s="18">
        <f>IF($W763="","",INT(INDEX($L763:$Q763,$W763)))</f>
        <v/>
      </c>
      <c r="Y763" s="18">
        <f>IF(OR($W763="",$W763=6),"",WORKDAY($X763,CHOOSE($W763,3,3,2,2,3),Holidays))</f>
        <v/>
      </c>
      <c r="Z763" s="17">
        <f>IF(OR($W763="",$W763=6),"",CHOOSE($W763,"1st Email Follow-up","2nd Email Follow-up","Escalate Local Office","Escalate to CBE","Escalate to Roxanne"))</f>
        <v/>
      </c>
    </row>
    <row r="764" spans="18:26">
      <c r="R764" s="15"/>
      <c r="S764" s="16"/>
      <c r="T764" s="17">
        <f>IF(AND(COUNTA($A764:$K764)=0,$L764=""),"",IF($S764="Paid","PAID",IF($S764="Closed","CLOSED",IF($W764="","",IF($W764=6,"ESCALATED TO ROXANNE",IF(TODAY()&gt;$Y764,"OVERDUE",IF($Y764&lt;=WORKDAY(TODAY(),1,Holidays),"DUE TOMORROW",IF($W764=4,"ESCALATED TO LOCAL OFFICE",IF($W764=5,"ESCALATED TO CBE",IF($X764=TODAY(),"EMAIL SENT","MONITORING"))))))))))</f>
        <v/>
      </c>
      <c r="U764" s="17">
        <f>IF($T764="",IF(AND(COUNTA($A764:$K764)&gt;0,$L764=""),"Awaiting Collection Email time stamp.",""),IF(OR($T764="PAID",$T764="CLOSED"),IF($T764="PAID","Account paid. Action completed.","Account closed. No further action required."),CHOOSE($W764,"Collection Email","1st Email Follow-up","2nd Email Follow-up","Escalation to Local Office","Escalation to CBE","Escalation to Roxanne")&amp;" sent "&amp;TEXT($X764,"dd-mmm")&amp;". "&amp;IF($W764=6,"Final escalation completed.",IF($T764="OVERDUE","Next: "&amp;$Z764&amp;" was due "&amp;TEXT($Y764,"dd-mmm")&amp;" - "&amp;(NETWORKDAYS($Y764,TODAY(),Holidays)-1)&amp;" business day(s) late. Send now.",IF($T764="DUE TOMORROW","Next: "&amp;$Z764&amp;IF($Y764&lt;=TODAY()," is due TODAY ("," is due next business day (")&amp;TEXT($Y764,"dd-mmm")&amp;").","Next: "&amp;$Z764&amp;" due "&amp;TEXT($Y764,"dd-mmm")&amp;" ("&amp;(NETWORKDAYS(TODAY(),$Y764,Holidays)-1)&amp;" business day(s) left).")))))</f>
        <v/>
      </c>
      <c r="V764" s="17">
        <f>IF($W764="","",CHOOSE($W764,"Collection Email","1st Follow-up","2nd Follow-up","Local Office","CBE","Roxanne")&amp;IF($W764=6," - Final"," - Day "&amp;MAX(0,NETWORKDAYS($X764,TODAY(),Holidays)-1)&amp;" of "&amp;CHOOSE($W764,3,3,2,2,3))&amp;" | Total Day "&amp;MAX(0,NETWORKDAYS($L764,TODAY(),Holidays)-1))</f>
        <v/>
      </c>
      <c r="W764" s="17">
        <f>IF($L764="","",COUNT($L764:$Q764))</f>
        <v/>
      </c>
      <c r="X764" s="18">
        <f>IF($W764="","",INT(INDEX($L764:$Q764,$W764)))</f>
        <v/>
      </c>
      <c r="Y764" s="18">
        <f>IF(OR($W764="",$W764=6),"",WORKDAY($X764,CHOOSE($W764,3,3,2,2,3),Holidays))</f>
        <v/>
      </c>
      <c r="Z764" s="17">
        <f>IF(OR($W764="",$W764=6),"",CHOOSE($W764,"1st Email Follow-up","2nd Email Follow-up","Escalate Local Office","Escalate to CBE","Escalate to Roxanne"))</f>
        <v/>
      </c>
    </row>
    <row r="765" spans="18:26">
      <c r="R765" s="15"/>
      <c r="S765" s="16"/>
      <c r="T765" s="17">
        <f>IF(AND(COUNTA($A765:$K765)=0,$L765=""),"",IF($S765="Paid","PAID",IF($S765="Closed","CLOSED",IF($W765="","",IF($W765=6,"ESCALATED TO ROXANNE",IF(TODAY()&gt;$Y765,"OVERDUE",IF($Y765&lt;=WORKDAY(TODAY(),1,Holidays),"DUE TOMORROW",IF($W765=4,"ESCALATED TO LOCAL OFFICE",IF($W765=5,"ESCALATED TO CBE",IF($X765=TODAY(),"EMAIL SENT","MONITORING"))))))))))</f>
        <v/>
      </c>
      <c r="U765" s="17">
        <f>IF($T765="",IF(AND(COUNTA($A765:$K765)&gt;0,$L765=""),"Awaiting Collection Email time stamp.",""),IF(OR($T765="PAID",$T765="CLOSED"),IF($T765="PAID","Account paid. Action completed.","Account closed. No further action required."),CHOOSE($W765,"Collection Email","1st Email Follow-up","2nd Email Follow-up","Escalation to Local Office","Escalation to CBE","Escalation to Roxanne")&amp;" sent "&amp;TEXT($X765,"dd-mmm")&amp;". "&amp;IF($W765=6,"Final escalation completed.",IF($T765="OVERDUE","Next: "&amp;$Z765&amp;" was due "&amp;TEXT($Y765,"dd-mmm")&amp;" - "&amp;(NETWORKDAYS($Y765,TODAY(),Holidays)-1)&amp;" business day(s) late. Send now.",IF($T765="DUE TOMORROW","Next: "&amp;$Z765&amp;IF($Y765&lt;=TODAY()," is due TODAY ("," is due next business day (")&amp;TEXT($Y765,"dd-mmm")&amp;").","Next: "&amp;$Z765&amp;" due "&amp;TEXT($Y765,"dd-mmm")&amp;" ("&amp;(NETWORKDAYS(TODAY(),$Y765,Holidays)-1)&amp;" business day(s) left).")))))</f>
        <v/>
      </c>
      <c r="V765" s="17">
        <f>IF($W765="","",CHOOSE($W765,"Collection Email","1st Follow-up","2nd Follow-up","Local Office","CBE","Roxanne")&amp;IF($W765=6," - Final"," - Day "&amp;MAX(0,NETWORKDAYS($X765,TODAY(),Holidays)-1)&amp;" of "&amp;CHOOSE($W765,3,3,2,2,3))&amp;" | Total Day "&amp;MAX(0,NETWORKDAYS($L765,TODAY(),Holidays)-1))</f>
        <v/>
      </c>
      <c r="W765" s="17">
        <f>IF($L765="","",COUNT($L765:$Q765))</f>
        <v/>
      </c>
      <c r="X765" s="18">
        <f>IF($W765="","",INT(INDEX($L765:$Q765,$W765)))</f>
        <v/>
      </c>
      <c r="Y765" s="18">
        <f>IF(OR($W765="",$W765=6),"",WORKDAY($X765,CHOOSE($W765,3,3,2,2,3),Holidays))</f>
        <v/>
      </c>
      <c r="Z765" s="17">
        <f>IF(OR($W765="",$W765=6),"",CHOOSE($W765,"1st Email Follow-up","2nd Email Follow-up","Escalate Local Office","Escalate to CBE","Escalate to Roxanne"))</f>
        <v/>
      </c>
    </row>
    <row r="766" spans="18:26">
      <c r="R766" s="15"/>
      <c r="S766" s="16"/>
      <c r="T766" s="17">
        <f>IF(AND(COUNTA($A766:$K766)=0,$L766=""),"",IF($S766="Paid","PAID",IF($S766="Closed","CLOSED",IF($W766="","",IF($W766=6,"ESCALATED TO ROXANNE",IF(TODAY()&gt;$Y766,"OVERDUE",IF($Y766&lt;=WORKDAY(TODAY(),1,Holidays),"DUE TOMORROW",IF($W766=4,"ESCALATED TO LOCAL OFFICE",IF($W766=5,"ESCALATED TO CBE",IF($X766=TODAY(),"EMAIL SENT","MONITORING"))))))))))</f>
        <v/>
      </c>
      <c r="U766" s="17">
        <f>IF($T766="",IF(AND(COUNTA($A766:$K766)&gt;0,$L766=""),"Awaiting Collection Email time stamp.",""),IF(OR($T766="PAID",$T766="CLOSED"),IF($T766="PAID","Account paid. Action completed.","Account closed. No further action required."),CHOOSE($W766,"Collection Email","1st Email Follow-up","2nd Email Follow-up","Escalation to Local Office","Escalation to CBE","Escalation to Roxanne")&amp;" sent "&amp;TEXT($X766,"dd-mmm")&amp;". "&amp;IF($W766=6,"Final escalation completed.",IF($T766="OVERDUE","Next: "&amp;$Z766&amp;" was due "&amp;TEXT($Y766,"dd-mmm")&amp;" - "&amp;(NETWORKDAYS($Y766,TODAY(),Holidays)-1)&amp;" business day(s) late. Send now.",IF($T766="DUE TOMORROW","Next: "&amp;$Z766&amp;IF($Y766&lt;=TODAY()," is due TODAY ("," is due next business day (")&amp;TEXT($Y766,"dd-mmm")&amp;").","Next: "&amp;$Z766&amp;" due "&amp;TEXT($Y766,"dd-mmm")&amp;" ("&amp;(NETWORKDAYS(TODAY(),$Y766,Holidays)-1)&amp;" business day(s) left).")))))</f>
        <v/>
      </c>
      <c r="V766" s="17">
        <f>IF($W766="","",CHOOSE($W766,"Collection Email","1st Follow-up","2nd Follow-up","Local Office","CBE","Roxanne")&amp;IF($W766=6," - Final"," - Day "&amp;MAX(0,NETWORKDAYS($X766,TODAY(),Holidays)-1)&amp;" of "&amp;CHOOSE($W766,3,3,2,2,3))&amp;" | Total Day "&amp;MAX(0,NETWORKDAYS($L766,TODAY(),Holidays)-1))</f>
        <v/>
      </c>
      <c r="W766" s="17">
        <f>IF($L766="","",COUNT($L766:$Q766))</f>
        <v/>
      </c>
      <c r="X766" s="18">
        <f>IF($W766="","",INT(INDEX($L766:$Q766,$W766)))</f>
        <v/>
      </c>
      <c r="Y766" s="18">
        <f>IF(OR($W766="",$W766=6),"",WORKDAY($X766,CHOOSE($W766,3,3,2,2,3),Holidays))</f>
        <v/>
      </c>
      <c r="Z766" s="17">
        <f>IF(OR($W766="",$W766=6),"",CHOOSE($W766,"1st Email Follow-up","2nd Email Follow-up","Escalate Local Office","Escalate to CBE","Escalate to Roxanne"))</f>
        <v/>
      </c>
    </row>
    <row r="767" spans="18:26">
      <c r="R767" s="15"/>
      <c r="S767" s="16"/>
      <c r="T767" s="17">
        <f>IF(AND(COUNTA($A767:$K767)=0,$L767=""),"",IF($S767="Paid","PAID",IF($S767="Closed","CLOSED",IF($W767="","",IF($W767=6,"ESCALATED TO ROXANNE",IF(TODAY()&gt;$Y767,"OVERDUE",IF($Y767&lt;=WORKDAY(TODAY(),1,Holidays),"DUE TOMORROW",IF($W767=4,"ESCALATED TO LOCAL OFFICE",IF($W767=5,"ESCALATED TO CBE",IF($X767=TODAY(),"EMAIL SENT","MONITORING"))))))))))</f>
        <v/>
      </c>
      <c r="U767" s="17">
        <f>IF($T767="",IF(AND(COUNTA($A767:$K767)&gt;0,$L767=""),"Awaiting Collection Email time stamp.",""),IF(OR($T767="PAID",$T767="CLOSED"),IF($T767="PAID","Account paid. Action completed.","Account closed. No further action required."),CHOOSE($W767,"Collection Email","1st Email Follow-up","2nd Email Follow-up","Escalation to Local Office","Escalation to CBE","Escalation to Roxanne")&amp;" sent "&amp;TEXT($X767,"dd-mmm")&amp;". "&amp;IF($W767=6,"Final escalation completed.",IF($T767="OVERDUE","Next: "&amp;$Z767&amp;" was due "&amp;TEXT($Y767,"dd-mmm")&amp;" - "&amp;(NETWORKDAYS($Y767,TODAY(),Holidays)-1)&amp;" business day(s) late. Send now.",IF($T767="DUE TOMORROW","Next: "&amp;$Z767&amp;IF($Y767&lt;=TODAY()," is due TODAY ("," is due next business day (")&amp;TEXT($Y767,"dd-mmm")&amp;").","Next: "&amp;$Z767&amp;" due "&amp;TEXT($Y767,"dd-mmm")&amp;" ("&amp;(NETWORKDAYS(TODAY(),$Y767,Holidays)-1)&amp;" business day(s) left).")))))</f>
        <v/>
      </c>
      <c r="V767" s="17">
        <f>IF($W767="","",CHOOSE($W767,"Collection Email","1st Follow-up","2nd Follow-up","Local Office","CBE","Roxanne")&amp;IF($W767=6," - Final"," - Day "&amp;MAX(0,NETWORKDAYS($X767,TODAY(),Holidays)-1)&amp;" of "&amp;CHOOSE($W767,3,3,2,2,3))&amp;" | Total Day "&amp;MAX(0,NETWORKDAYS($L767,TODAY(),Holidays)-1))</f>
        <v/>
      </c>
      <c r="W767" s="17">
        <f>IF($L767="","",COUNT($L767:$Q767))</f>
        <v/>
      </c>
      <c r="X767" s="18">
        <f>IF($W767="","",INT(INDEX($L767:$Q767,$W767)))</f>
        <v/>
      </c>
      <c r="Y767" s="18">
        <f>IF(OR($W767="",$W767=6),"",WORKDAY($X767,CHOOSE($W767,3,3,2,2,3),Holidays))</f>
        <v/>
      </c>
      <c r="Z767" s="17">
        <f>IF(OR($W767="",$W767=6),"",CHOOSE($W767,"1st Email Follow-up","2nd Email Follow-up","Escalate Local Office","Escalate to CBE","Escalate to Roxanne"))</f>
        <v/>
      </c>
    </row>
    <row r="768" spans="18:26">
      <c r="R768" s="15"/>
      <c r="S768" s="16"/>
      <c r="T768" s="17">
        <f>IF(AND(COUNTA($A768:$K768)=0,$L768=""),"",IF($S768="Paid","PAID",IF($S768="Closed","CLOSED",IF($W768="","",IF($W768=6,"ESCALATED TO ROXANNE",IF(TODAY()&gt;$Y768,"OVERDUE",IF($Y768&lt;=WORKDAY(TODAY(),1,Holidays),"DUE TOMORROW",IF($W768=4,"ESCALATED TO LOCAL OFFICE",IF($W768=5,"ESCALATED TO CBE",IF($X768=TODAY(),"EMAIL SENT","MONITORING"))))))))))</f>
        <v/>
      </c>
      <c r="U768" s="17">
        <f>IF($T768="",IF(AND(COUNTA($A768:$K768)&gt;0,$L768=""),"Awaiting Collection Email time stamp.",""),IF(OR($T768="PAID",$T768="CLOSED"),IF($T768="PAID","Account paid. Action completed.","Account closed. No further action required."),CHOOSE($W768,"Collection Email","1st Email Follow-up","2nd Email Follow-up","Escalation to Local Office","Escalation to CBE","Escalation to Roxanne")&amp;" sent "&amp;TEXT($X768,"dd-mmm")&amp;". "&amp;IF($W768=6,"Final escalation completed.",IF($T768="OVERDUE","Next: "&amp;$Z768&amp;" was due "&amp;TEXT($Y768,"dd-mmm")&amp;" - "&amp;(NETWORKDAYS($Y768,TODAY(),Holidays)-1)&amp;" business day(s) late. Send now.",IF($T768="DUE TOMORROW","Next: "&amp;$Z768&amp;IF($Y768&lt;=TODAY()," is due TODAY ("," is due next business day (")&amp;TEXT($Y768,"dd-mmm")&amp;").","Next: "&amp;$Z768&amp;" due "&amp;TEXT($Y768,"dd-mmm")&amp;" ("&amp;(NETWORKDAYS(TODAY(),$Y768,Holidays)-1)&amp;" business day(s) left).")))))</f>
        <v/>
      </c>
      <c r="V768" s="17">
        <f>IF($W768="","",CHOOSE($W768,"Collection Email","1st Follow-up","2nd Follow-up","Local Office","CBE","Roxanne")&amp;IF($W768=6," - Final"," - Day "&amp;MAX(0,NETWORKDAYS($X768,TODAY(),Holidays)-1)&amp;" of "&amp;CHOOSE($W768,3,3,2,2,3))&amp;" | Total Day "&amp;MAX(0,NETWORKDAYS($L768,TODAY(),Holidays)-1))</f>
        <v/>
      </c>
      <c r="W768" s="17">
        <f>IF($L768="","",COUNT($L768:$Q768))</f>
        <v/>
      </c>
      <c r="X768" s="18">
        <f>IF($W768="","",INT(INDEX($L768:$Q768,$W768)))</f>
        <v/>
      </c>
      <c r="Y768" s="18">
        <f>IF(OR($W768="",$W768=6),"",WORKDAY($X768,CHOOSE($W768,3,3,2,2,3),Holidays))</f>
        <v/>
      </c>
      <c r="Z768" s="17">
        <f>IF(OR($W768="",$W768=6),"",CHOOSE($W768,"1st Email Follow-up","2nd Email Follow-up","Escalate Local Office","Escalate to CBE","Escalate to Roxanne"))</f>
        <v/>
      </c>
    </row>
    <row r="769" spans="18:26">
      <c r="R769" s="15"/>
      <c r="S769" s="16"/>
      <c r="T769" s="17">
        <f>IF(AND(COUNTA($A769:$K769)=0,$L769=""),"",IF($S769="Paid","PAID",IF($S769="Closed","CLOSED",IF($W769="","",IF($W769=6,"ESCALATED TO ROXANNE",IF(TODAY()&gt;$Y769,"OVERDUE",IF($Y769&lt;=WORKDAY(TODAY(),1,Holidays),"DUE TOMORROW",IF($W769=4,"ESCALATED TO LOCAL OFFICE",IF($W769=5,"ESCALATED TO CBE",IF($X769=TODAY(),"EMAIL SENT","MONITORING"))))))))))</f>
        <v/>
      </c>
      <c r="U769" s="17">
        <f>IF($T769="",IF(AND(COUNTA($A769:$K769)&gt;0,$L769=""),"Awaiting Collection Email time stamp.",""),IF(OR($T769="PAID",$T769="CLOSED"),IF($T769="PAID","Account paid. Action completed.","Account closed. No further action required."),CHOOSE($W769,"Collection Email","1st Email Follow-up","2nd Email Follow-up","Escalation to Local Office","Escalation to CBE","Escalation to Roxanne")&amp;" sent "&amp;TEXT($X769,"dd-mmm")&amp;". "&amp;IF($W769=6,"Final escalation completed.",IF($T769="OVERDUE","Next: "&amp;$Z769&amp;" was due "&amp;TEXT($Y769,"dd-mmm")&amp;" - "&amp;(NETWORKDAYS($Y769,TODAY(),Holidays)-1)&amp;" business day(s) late. Send now.",IF($T769="DUE TOMORROW","Next: "&amp;$Z769&amp;IF($Y769&lt;=TODAY()," is due TODAY ("," is due next business day (")&amp;TEXT($Y769,"dd-mmm")&amp;").","Next: "&amp;$Z769&amp;" due "&amp;TEXT($Y769,"dd-mmm")&amp;" ("&amp;(NETWORKDAYS(TODAY(),$Y769,Holidays)-1)&amp;" business day(s) left).")))))</f>
        <v/>
      </c>
      <c r="V769" s="17">
        <f>IF($W769="","",CHOOSE($W769,"Collection Email","1st Follow-up","2nd Follow-up","Local Office","CBE","Roxanne")&amp;IF($W769=6," - Final"," - Day "&amp;MAX(0,NETWORKDAYS($X769,TODAY(),Holidays)-1)&amp;" of "&amp;CHOOSE($W769,3,3,2,2,3))&amp;" | Total Day "&amp;MAX(0,NETWORKDAYS($L769,TODAY(),Holidays)-1))</f>
        <v/>
      </c>
      <c r="W769" s="17">
        <f>IF($L769="","",COUNT($L769:$Q769))</f>
        <v/>
      </c>
      <c r="X769" s="18">
        <f>IF($W769="","",INT(INDEX($L769:$Q769,$W769)))</f>
        <v/>
      </c>
      <c r="Y769" s="18">
        <f>IF(OR($W769="",$W769=6),"",WORKDAY($X769,CHOOSE($W769,3,3,2,2,3),Holidays))</f>
        <v/>
      </c>
      <c r="Z769" s="17">
        <f>IF(OR($W769="",$W769=6),"",CHOOSE($W769,"1st Email Follow-up","2nd Email Follow-up","Escalate Local Office","Escalate to CBE","Escalate to Roxanne"))</f>
        <v/>
      </c>
    </row>
    <row r="770" spans="18:26">
      <c r="R770" s="15"/>
      <c r="S770" s="16"/>
      <c r="T770" s="17">
        <f>IF(AND(COUNTA($A770:$K770)=0,$L770=""),"",IF($S770="Paid","PAID",IF($S770="Closed","CLOSED",IF($W770="","",IF($W770=6,"ESCALATED TO ROXANNE",IF(TODAY()&gt;$Y770,"OVERDUE",IF($Y770&lt;=WORKDAY(TODAY(),1,Holidays),"DUE TOMORROW",IF($W770=4,"ESCALATED TO LOCAL OFFICE",IF($W770=5,"ESCALATED TO CBE",IF($X770=TODAY(),"EMAIL SENT","MONITORING"))))))))))</f>
        <v/>
      </c>
      <c r="U770" s="17">
        <f>IF($T770="",IF(AND(COUNTA($A770:$K770)&gt;0,$L770=""),"Awaiting Collection Email time stamp.",""),IF(OR($T770="PAID",$T770="CLOSED"),IF($T770="PAID","Account paid. Action completed.","Account closed. No further action required."),CHOOSE($W770,"Collection Email","1st Email Follow-up","2nd Email Follow-up","Escalation to Local Office","Escalation to CBE","Escalation to Roxanne")&amp;" sent "&amp;TEXT($X770,"dd-mmm")&amp;". "&amp;IF($W770=6,"Final escalation completed.",IF($T770="OVERDUE","Next: "&amp;$Z770&amp;" was due "&amp;TEXT($Y770,"dd-mmm")&amp;" - "&amp;(NETWORKDAYS($Y770,TODAY(),Holidays)-1)&amp;" business day(s) late. Send now.",IF($T770="DUE TOMORROW","Next: "&amp;$Z770&amp;IF($Y770&lt;=TODAY()," is due TODAY ("," is due next business day (")&amp;TEXT($Y770,"dd-mmm")&amp;").","Next: "&amp;$Z770&amp;" due "&amp;TEXT($Y770,"dd-mmm")&amp;" ("&amp;(NETWORKDAYS(TODAY(),$Y770,Holidays)-1)&amp;" business day(s) left).")))))</f>
        <v/>
      </c>
      <c r="V770" s="17">
        <f>IF($W770="","",CHOOSE($W770,"Collection Email","1st Follow-up","2nd Follow-up","Local Office","CBE","Roxanne")&amp;IF($W770=6," - Final"," - Day "&amp;MAX(0,NETWORKDAYS($X770,TODAY(),Holidays)-1)&amp;" of "&amp;CHOOSE($W770,3,3,2,2,3))&amp;" | Total Day "&amp;MAX(0,NETWORKDAYS($L770,TODAY(),Holidays)-1))</f>
        <v/>
      </c>
      <c r="W770" s="17">
        <f>IF($L770="","",COUNT($L770:$Q770))</f>
        <v/>
      </c>
      <c r="X770" s="18">
        <f>IF($W770="","",INT(INDEX($L770:$Q770,$W770)))</f>
        <v/>
      </c>
      <c r="Y770" s="18">
        <f>IF(OR($W770="",$W770=6),"",WORKDAY($X770,CHOOSE($W770,3,3,2,2,3),Holidays))</f>
        <v/>
      </c>
      <c r="Z770" s="17">
        <f>IF(OR($W770="",$W770=6),"",CHOOSE($W770,"1st Email Follow-up","2nd Email Follow-up","Escalate Local Office","Escalate to CBE","Escalate to Roxanne"))</f>
        <v/>
      </c>
    </row>
    <row r="771" spans="18:26">
      <c r="R771" s="15"/>
      <c r="S771" s="16"/>
      <c r="T771" s="17">
        <f>IF(AND(COUNTA($A771:$K771)=0,$L771=""),"",IF($S771="Paid","PAID",IF($S771="Closed","CLOSED",IF($W771="","",IF($W771=6,"ESCALATED TO ROXANNE",IF(TODAY()&gt;$Y771,"OVERDUE",IF($Y771&lt;=WORKDAY(TODAY(),1,Holidays),"DUE TOMORROW",IF($W771=4,"ESCALATED TO LOCAL OFFICE",IF($W771=5,"ESCALATED TO CBE",IF($X771=TODAY(),"EMAIL SENT","MONITORING"))))))))))</f>
        <v/>
      </c>
      <c r="U771" s="17">
        <f>IF($T771="",IF(AND(COUNTA($A771:$K771)&gt;0,$L771=""),"Awaiting Collection Email time stamp.",""),IF(OR($T771="PAID",$T771="CLOSED"),IF($T771="PAID","Account paid. Action completed.","Account closed. No further action required."),CHOOSE($W771,"Collection Email","1st Email Follow-up","2nd Email Follow-up","Escalation to Local Office","Escalation to CBE","Escalation to Roxanne")&amp;" sent "&amp;TEXT($X771,"dd-mmm")&amp;". "&amp;IF($W771=6,"Final escalation completed.",IF($T771="OVERDUE","Next: "&amp;$Z771&amp;" was due "&amp;TEXT($Y771,"dd-mmm")&amp;" - "&amp;(NETWORKDAYS($Y771,TODAY(),Holidays)-1)&amp;" business day(s) late. Send now.",IF($T771="DUE TOMORROW","Next: "&amp;$Z771&amp;IF($Y771&lt;=TODAY()," is due TODAY ("," is due next business day (")&amp;TEXT($Y771,"dd-mmm")&amp;").","Next: "&amp;$Z771&amp;" due "&amp;TEXT($Y771,"dd-mmm")&amp;" ("&amp;(NETWORKDAYS(TODAY(),$Y771,Holidays)-1)&amp;" business day(s) left).")))))</f>
        <v/>
      </c>
      <c r="V771" s="17">
        <f>IF($W771="","",CHOOSE($W771,"Collection Email","1st Follow-up","2nd Follow-up","Local Office","CBE","Roxanne")&amp;IF($W771=6," - Final"," - Day "&amp;MAX(0,NETWORKDAYS($X771,TODAY(),Holidays)-1)&amp;" of "&amp;CHOOSE($W771,3,3,2,2,3))&amp;" | Total Day "&amp;MAX(0,NETWORKDAYS($L771,TODAY(),Holidays)-1))</f>
        <v/>
      </c>
      <c r="W771" s="17">
        <f>IF($L771="","",COUNT($L771:$Q771))</f>
        <v/>
      </c>
      <c r="X771" s="18">
        <f>IF($W771="","",INT(INDEX($L771:$Q771,$W771)))</f>
        <v/>
      </c>
      <c r="Y771" s="18">
        <f>IF(OR($W771="",$W771=6),"",WORKDAY($X771,CHOOSE($W771,3,3,2,2,3),Holidays))</f>
        <v/>
      </c>
      <c r="Z771" s="17">
        <f>IF(OR($W771="",$W771=6),"",CHOOSE($W771,"1st Email Follow-up","2nd Email Follow-up","Escalate Local Office","Escalate to CBE","Escalate to Roxanne"))</f>
        <v/>
      </c>
    </row>
    <row r="772" spans="18:26">
      <c r="R772" s="15"/>
      <c r="S772" s="16"/>
      <c r="T772" s="17">
        <f>IF(AND(COUNTA($A772:$K772)=0,$L772=""),"",IF($S772="Paid","PAID",IF($S772="Closed","CLOSED",IF($W772="","",IF($W772=6,"ESCALATED TO ROXANNE",IF(TODAY()&gt;$Y772,"OVERDUE",IF($Y772&lt;=WORKDAY(TODAY(),1,Holidays),"DUE TOMORROW",IF($W772=4,"ESCALATED TO LOCAL OFFICE",IF($W772=5,"ESCALATED TO CBE",IF($X772=TODAY(),"EMAIL SENT","MONITORING"))))))))))</f>
        <v/>
      </c>
      <c r="U772" s="17">
        <f>IF($T772="",IF(AND(COUNTA($A772:$K772)&gt;0,$L772=""),"Awaiting Collection Email time stamp.",""),IF(OR($T772="PAID",$T772="CLOSED"),IF($T772="PAID","Account paid. Action completed.","Account closed. No further action required."),CHOOSE($W772,"Collection Email","1st Email Follow-up","2nd Email Follow-up","Escalation to Local Office","Escalation to CBE","Escalation to Roxanne")&amp;" sent "&amp;TEXT($X772,"dd-mmm")&amp;". "&amp;IF($W772=6,"Final escalation completed.",IF($T772="OVERDUE","Next: "&amp;$Z772&amp;" was due "&amp;TEXT($Y772,"dd-mmm")&amp;" - "&amp;(NETWORKDAYS($Y772,TODAY(),Holidays)-1)&amp;" business day(s) late. Send now.",IF($T772="DUE TOMORROW","Next: "&amp;$Z772&amp;IF($Y772&lt;=TODAY()," is due TODAY ("," is due next business day (")&amp;TEXT($Y772,"dd-mmm")&amp;").","Next: "&amp;$Z772&amp;" due "&amp;TEXT($Y772,"dd-mmm")&amp;" ("&amp;(NETWORKDAYS(TODAY(),$Y772,Holidays)-1)&amp;" business day(s) left).")))))</f>
        <v/>
      </c>
      <c r="V772" s="17">
        <f>IF($W772="","",CHOOSE($W772,"Collection Email","1st Follow-up","2nd Follow-up","Local Office","CBE","Roxanne")&amp;IF($W772=6," - Final"," - Day "&amp;MAX(0,NETWORKDAYS($X772,TODAY(),Holidays)-1)&amp;" of "&amp;CHOOSE($W772,3,3,2,2,3))&amp;" | Total Day "&amp;MAX(0,NETWORKDAYS($L772,TODAY(),Holidays)-1))</f>
        <v/>
      </c>
      <c r="W772" s="17">
        <f>IF($L772="","",COUNT($L772:$Q772))</f>
        <v/>
      </c>
      <c r="X772" s="18">
        <f>IF($W772="","",INT(INDEX($L772:$Q772,$W772)))</f>
        <v/>
      </c>
      <c r="Y772" s="18">
        <f>IF(OR($W772="",$W772=6),"",WORKDAY($X772,CHOOSE($W772,3,3,2,2,3),Holidays))</f>
        <v/>
      </c>
      <c r="Z772" s="17">
        <f>IF(OR($W772="",$W772=6),"",CHOOSE($W772,"1st Email Follow-up","2nd Email Follow-up","Escalate Local Office","Escalate to CBE","Escalate to Roxanne"))</f>
        <v/>
      </c>
    </row>
    <row r="773" spans="18:26">
      <c r="R773" s="15"/>
      <c r="S773" s="16"/>
      <c r="T773" s="17">
        <f>IF(AND(COUNTA($A773:$K773)=0,$L773=""),"",IF($S773="Paid","PAID",IF($S773="Closed","CLOSED",IF($W773="","",IF($W773=6,"ESCALATED TO ROXANNE",IF(TODAY()&gt;$Y773,"OVERDUE",IF($Y773&lt;=WORKDAY(TODAY(),1,Holidays),"DUE TOMORROW",IF($W773=4,"ESCALATED TO LOCAL OFFICE",IF($W773=5,"ESCALATED TO CBE",IF($X773=TODAY(),"EMAIL SENT","MONITORING"))))))))))</f>
        <v/>
      </c>
      <c r="U773" s="17">
        <f>IF($T773="",IF(AND(COUNTA($A773:$K773)&gt;0,$L773=""),"Awaiting Collection Email time stamp.",""),IF(OR($T773="PAID",$T773="CLOSED"),IF($T773="PAID","Account paid. Action completed.","Account closed. No further action required."),CHOOSE($W773,"Collection Email","1st Email Follow-up","2nd Email Follow-up","Escalation to Local Office","Escalation to CBE","Escalation to Roxanne")&amp;" sent "&amp;TEXT($X773,"dd-mmm")&amp;". "&amp;IF($W773=6,"Final escalation completed.",IF($T773="OVERDUE","Next: "&amp;$Z773&amp;" was due "&amp;TEXT($Y773,"dd-mmm")&amp;" - "&amp;(NETWORKDAYS($Y773,TODAY(),Holidays)-1)&amp;" business day(s) late. Send now.",IF($T773="DUE TOMORROW","Next: "&amp;$Z773&amp;IF($Y773&lt;=TODAY()," is due TODAY ("," is due next business day (")&amp;TEXT($Y773,"dd-mmm")&amp;").","Next: "&amp;$Z773&amp;" due "&amp;TEXT($Y773,"dd-mmm")&amp;" ("&amp;(NETWORKDAYS(TODAY(),$Y773,Holidays)-1)&amp;" business day(s) left).")))))</f>
        <v/>
      </c>
      <c r="V773" s="17">
        <f>IF($W773="","",CHOOSE($W773,"Collection Email","1st Follow-up","2nd Follow-up","Local Office","CBE","Roxanne")&amp;IF($W773=6," - Final"," - Day "&amp;MAX(0,NETWORKDAYS($X773,TODAY(),Holidays)-1)&amp;" of "&amp;CHOOSE($W773,3,3,2,2,3))&amp;" | Total Day "&amp;MAX(0,NETWORKDAYS($L773,TODAY(),Holidays)-1))</f>
        <v/>
      </c>
      <c r="W773" s="17">
        <f>IF($L773="","",COUNT($L773:$Q773))</f>
        <v/>
      </c>
      <c r="X773" s="18">
        <f>IF($W773="","",INT(INDEX($L773:$Q773,$W773)))</f>
        <v/>
      </c>
      <c r="Y773" s="18">
        <f>IF(OR($W773="",$W773=6),"",WORKDAY($X773,CHOOSE($W773,3,3,2,2,3),Holidays))</f>
        <v/>
      </c>
      <c r="Z773" s="17">
        <f>IF(OR($W773="",$W773=6),"",CHOOSE($W773,"1st Email Follow-up","2nd Email Follow-up","Escalate Local Office","Escalate to CBE","Escalate to Roxanne"))</f>
        <v/>
      </c>
    </row>
    <row r="774" spans="18:26">
      <c r="R774" s="15"/>
      <c r="S774" s="16"/>
      <c r="T774" s="17">
        <f>IF(AND(COUNTA($A774:$K774)=0,$L774=""),"",IF($S774="Paid","PAID",IF($S774="Closed","CLOSED",IF($W774="","",IF($W774=6,"ESCALATED TO ROXANNE",IF(TODAY()&gt;$Y774,"OVERDUE",IF($Y774&lt;=WORKDAY(TODAY(),1,Holidays),"DUE TOMORROW",IF($W774=4,"ESCALATED TO LOCAL OFFICE",IF($W774=5,"ESCALATED TO CBE",IF($X774=TODAY(),"EMAIL SENT","MONITORING"))))))))))</f>
        <v/>
      </c>
      <c r="U774" s="17">
        <f>IF($T774="",IF(AND(COUNTA($A774:$K774)&gt;0,$L774=""),"Awaiting Collection Email time stamp.",""),IF(OR($T774="PAID",$T774="CLOSED"),IF($T774="PAID","Account paid. Action completed.","Account closed. No further action required."),CHOOSE($W774,"Collection Email","1st Email Follow-up","2nd Email Follow-up","Escalation to Local Office","Escalation to CBE","Escalation to Roxanne")&amp;" sent "&amp;TEXT($X774,"dd-mmm")&amp;". "&amp;IF($W774=6,"Final escalation completed.",IF($T774="OVERDUE","Next: "&amp;$Z774&amp;" was due "&amp;TEXT($Y774,"dd-mmm")&amp;" - "&amp;(NETWORKDAYS($Y774,TODAY(),Holidays)-1)&amp;" business day(s) late. Send now.",IF($T774="DUE TOMORROW","Next: "&amp;$Z774&amp;IF($Y774&lt;=TODAY()," is due TODAY ("," is due next business day (")&amp;TEXT($Y774,"dd-mmm")&amp;").","Next: "&amp;$Z774&amp;" due "&amp;TEXT($Y774,"dd-mmm")&amp;" ("&amp;(NETWORKDAYS(TODAY(),$Y774,Holidays)-1)&amp;" business day(s) left).")))))</f>
        <v/>
      </c>
      <c r="V774" s="17">
        <f>IF($W774="","",CHOOSE($W774,"Collection Email","1st Follow-up","2nd Follow-up","Local Office","CBE","Roxanne")&amp;IF($W774=6," - Final"," - Day "&amp;MAX(0,NETWORKDAYS($X774,TODAY(),Holidays)-1)&amp;" of "&amp;CHOOSE($W774,3,3,2,2,3))&amp;" | Total Day "&amp;MAX(0,NETWORKDAYS($L774,TODAY(),Holidays)-1))</f>
        <v/>
      </c>
      <c r="W774" s="17">
        <f>IF($L774="","",COUNT($L774:$Q774))</f>
        <v/>
      </c>
      <c r="X774" s="18">
        <f>IF($W774="","",INT(INDEX($L774:$Q774,$W774)))</f>
        <v/>
      </c>
      <c r="Y774" s="18">
        <f>IF(OR($W774="",$W774=6),"",WORKDAY($X774,CHOOSE($W774,3,3,2,2,3),Holidays))</f>
        <v/>
      </c>
      <c r="Z774" s="17">
        <f>IF(OR($W774="",$W774=6),"",CHOOSE($W774,"1st Email Follow-up","2nd Email Follow-up","Escalate Local Office","Escalate to CBE","Escalate to Roxanne"))</f>
        <v/>
      </c>
    </row>
    <row r="775" spans="18:26">
      <c r="R775" s="15"/>
      <c r="S775" s="16"/>
      <c r="T775" s="17">
        <f>IF(AND(COUNTA($A775:$K775)=0,$L775=""),"",IF($S775="Paid","PAID",IF($S775="Closed","CLOSED",IF($W775="","",IF($W775=6,"ESCALATED TO ROXANNE",IF(TODAY()&gt;$Y775,"OVERDUE",IF($Y775&lt;=WORKDAY(TODAY(),1,Holidays),"DUE TOMORROW",IF($W775=4,"ESCALATED TO LOCAL OFFICE",IF($W775=5,"ESCALATED TO CBE",IF($X775=TODAY(),"EMAIL SENT","MONITORING"))))))))))</f>
        <v/>
      </c>
      <c r="U775" s="17">
        <f>IF($T775="",IF(AND(COUNTA($A775:$K775)&gt;0,$L775=""),"Awaiting Collection Email time stamp.",""),IF(OR($T775="PAID",$T775="CLOSED"),IF($T775="PAID","Account paid. Action completed.","Account closed. No further action required."),CHOOSE($W775,"Collection Email","1st Email Follow-up","2nd Email Follow-up","Escalation to Local Office","Escalation to CBE","Escalation to Roxanne")&amp;" sent "&amp;TEXT($X775,"dd-mmm")&amp;". "&amp;IF($W775=6,"Final escalation completed.",IF($T775="OVERDUE","Next: "&amp;$Z775&amp;" was due "&amp;TEXT($Y775,"dd-mmm")&amp;" - "&amp;(NETWORKDAYS($Y775,TODAY(),Holidays)-1)&amp;" business day(s) late. Send now.",IF($T775="DUE TOMORROW","Next: "&amp;$Z775&amp;IF($Y775&lt;=TODAY()," is due TODAY ("," is due next business day (")&amp;TEXT($Y775,"dd-mmm")&amp;").","Next: "&amp;$Z775&amp;" due "&amp;TEXT($Y775,"dd-mmm")&amp;" ("&amp;(NETWORKDAYS(TODAY(),$Y775,Holidays)-1)&amp;" business day(s) left).")))))</f>
        <v/>
      </c>
      <c r="V775" s="17">
        <f>IF($W775="","",CHOOSE($W775,"Collection Email","1st Follow-up","2nd Follow-up","Local Office","CBE","Roxanne")&amp;IF($W775=6," - Final"," - Day "&amp;MAX(0,NETWORKDAYS($X775,TODAY(),Holidays)-1)&amp;" of "&amp;CHOOSE($W775,3,3,2,2,3))&amp;" | Total Day "&amp;MAX(0,NETWORKDAYS($L775,TODAY(),Holidays)-1))</f>
        <v/>
      </c>
      <c r="W775" s="17">
        <f>IF($L775="","",COUNT($L775:$Q775))</f>
        <v/>
      </c>
      <c r="X775" s="18">
        <f>IF($W775="","",INT(INDEX($L775:$Q775,$W775)))</f>
        <v/>
      </c>
      <c r="Y775" s="18">
        <f>IF(OR($W775="",$W775=6),"",WORKDAY($X775,CHOOSE($W775,3,3,2,2,3),Holidays))</f>
        <v/>
      </c>
      <c r="Z775" s="17">
        <f>IF(OR($W775="",$W775=6),"",CHOOSE($W775,"1st Email Follow-up","2nd Email Follow-up","Escalate Local Office","Escalate to CBE","Escalate to Roxanne"))</f>
        <v/>
      </c>
    </row>
    <row r="776" spans="18:26">
      <c r="R776" s="15"/>
      <c r="S776" s="16"/>
      <c r="T776" s="17">
        <f>IF(AND(COUNTA($A776:$K776)=0,$L776=""),"",IF($S776="Paid","PAID",IF($S776="Closed","CLOSED",IF($W776="","",IF($W776=6,"ESCALATED TO ROXANNE",IF(TODAY()&gt;$Y776,"OVERDUE",IF($Y776&lt;=WORKDAY(TODAY(),1,Holidays),"DUE TOMORROW",IF($W776=4,"ESCALATED TO LOCAL OFFICE",IF($W776=5,"ESCALATED TO CBE",IF($X776=TODAY(),"EMAIL SENT","MONITORING"))))))))))</f>
        <v/>
      </c>
      <c r="U776" s="17">
        <f>IF($T776="",IF(AND(COUNTA($A776:$K776)&gt;0,$L776=""),"Awaiting Collection Email time stamp.",""),IF(OR($T776="PAID",$T776="CLOSED"),IF($T776="PAID","Account paid. Action completed.","Account closed. No further action required."),CHOOSE($W776,"Collection Email","1st Email Follow-up","2nd Email Follow-up","Escalation to Local Office","Escalation to CBE","Escalation to Roxanne")&amp;" sent "&amp;TEXT($X776,"dd-mmm")&amp;". "&amp;IF($W776=6,"Final escalation completed.",IF($T776="OVERDUE","Next: "&amp;$Z776&amp;" was due "&amp;TEXT($Y776,"dd-mmm")&amp;" - "&amp;(NETWORKDAYS($Y776,TODAY(),Holidays)-1)&amp;" business day(s) late. Send now.",IF($T776="DUE TOMORROW","Next: "&amp;$Z776&amp;IF($Y776&lt;=TODAY()," is due TODAY ("," is due next business day (")&amp;TEXT($Y776,"dd-mmm")&amp;").","Next: "&amp;$Z776&amp;" due "&amp;TEXT($Y776,"dd-mmm")&amp;" ("&amp;(NETWORKDAYS(TODAY(),$Y776,Holidays)-1)&amp;" business day(s) left).")))))</f>
        <v/>
      </c>
      <c r="V776" s="17">
        <f>IF($W776="","",CHOOSE($W776,"Collection Email","1st Follow-up","2nd Follow-up","Local Office","CBE","Roxanne")&amp;IF($W776=6," - Final"," - Day "&amp;MAX(0,NETWORKDAYS($X776,TODAY(),Holidays)-1)&amp;" of "&amp;CHOOSE($W776,3,3,2,2,3))&amp;" | Total Day "&amp;MAX(0,NETWORKDAYS($L776,TODAY(),Holidays)-1))</f>
        <v/>
      </c>
      <c r="W776" s="17">
        <f>IF($L776="","",COUNT($L776:$Q776))</f>
        <v/>
      </c>
      <c r="X776" s="18">
        <f>IF($W776="","",INT(INDEX($L776:$Q776,$W776)))</f>
        <v/>
      </c>
      <c r="Y776" s="18">
        <f>IF(OR($W776="",$W776=6),"",WORKDAY($X776,CHOOSE($W776,3,3,2,2,3),Holidays))</f>
        <v/>
      </c>
      <c r="Z776" s="17">
        <f>IF(OR($W776="",$W776=6),"",CHOOSE($W776,"1st Email Follow-up","2nd Email Follow-up","Escalate Local Office","Escalate to CBE","Escalate to Roxanne"))</f>
        <v/>
      </c>
    </row>
    <row r="777" spans="18:26">
      <c r="R777" s="15"/>
      <c r="S777" s="16"/>
      <c r="T777" s="17">
        <f>IF(AND(COUNTA($A777:$K777)=0,$L777=""),"",IF($S777="Paid","PAID",IF($S777="Closed","CLOSED",IF($W777="","",IF($W777=6,"ESCALATED TO ROXANNE",IF(TODAY()&gt;$Y777,"OVERDUE",IF($Y777&lt;=WORKDAY(TODAY(),1,Holidays),"DUE TOMORROW",IF($W777=4,"ESCALATED TO LOCAL OFFICE",IF($W777=5,"ESCALATED TO CBE",IF($X777=TODAY(),"EMAIL SENT","MONITORING"))))))))))</f>
        <v/>
      </c>
      <c r="U777" s="17">
        <f>IF($T777="",IF(AND(COUNTA($A777:$K777)&gt;0,$L777=""),"Awaiting Collection Email time stamp.",""),IF(OR($T777="PAID",$T777="CLOSED"),IF($T777="PAID","Account paid. Action completed.","Account closed. No further action required."),CHOOSE($W777,"Collection Email","1st Email Follow-up","2nd Email Follow-up","Escalation to Local Office","Escalation to CBE","Escalation to Roxanne")&amp;" sent "&amp;TEXT($X777,"dd-mmm")&amp;". "&amp;IF($W777=6,"Final escalation completed.",IF($T777="OVERDUE","Next: "&amp;$Z777&amp;" was due "&amp;TEXT($Y777,"dd-mmm")&amp;" - "&amp;(NETWORKDAYS($Y777,TODAY(),Holidays)-1)&amp;" business day(s) late. Send now.",IF($T777="DUE TOMORROW","Next: "&amp;$Z777&amp;IF($Y777&lt;=TODAY()," is due TODAY ("," is due next business day (")&amp;TEXT($Y777,"dd-mmm")&amp;").","Next: "&amp;$Z777&amp;" due "&amp;TEXT($Y777,"dd-mmm")&amp;" ("&amp;(NETWORKDAYS(TODAY(),$Y777,Holidays)-1)&amp;" business day(s) left).")))))</f>
        <v/>
      </c>
      <c r="V777" s="17">
        <f>IF($W777="","",CHOOSE($W777,"Collection Email","1st Follow-up","2nd Follow-up","Local Office","CBE","Roxanne")&amp;IF($W777=6," - Final"," - Day "&amp;MAX(0,NETWORKDAYS($X777,TODAY(),Holidays)-1)&amp;" of "&amp;CHOOSE($W777,3,3,2,2,3))&amp;" | Total Day "&amp;MAX(0,NETWORKDAYS($L777,TODAY(),Holidays)-1))</f>
        <v/>
      </c>
      <c r="W777" s="17">
        <f>IF($L777="","",COUNT($L777:$Q777))</f>
        <v/>
      </c>
      <c r="X777" s="18">
        <f>IF($W777="","",INT(INDEX($L777:$Q777,$W777)))</f>
        <v/>
      </c>
      <c r="Y777" s="18">
        <f>IF(OR($W777="",$W777=6),"",WORKDAY($X777,CHOOSE($W777,3,3,2,2,3),Holidays))</f>
        <v/>
      </c>
      <c r="Z777" s="17">
        <f>IF(OR($W777="",$W777=6),"",CHOOSE($W777,"1st Email Follow-up","2nd Email Follow-up","Escalate Local Office","Escalate to CBE","Escalate to Roxanne"))</f>
        <v/>
      </c>
    </row>
    <row r="778" spans="18:26">
      <c r="R778" s="15"/>
      <c r="S778" s="16"/>
      <c r="T778" s="17">
        <f>IF(AND(COUNTA($A778:$K778)=0,$L778=""),"",IF($S778="Paid","PAID",IF($S778="Closed","CLOSED",IF($W778="","",IF($W778=6,"ESCALATED TO ROXANNE",IF(TODAY()&gt;$Y778,"OVERDUE",IF($Y778&lt;=WORKDAY(TODAY(),1,Holidays),"DUE TOMORROW",IF($W778=4,"ESCALATED TO LOCAL OFFICE",IF($W778=5,"ESCALATED TO CBE",IF($X778=TODAY(),"EMAIL SENT","MONITORING"))))))))))</f>
        <v/>
      </c>
      <c r="U778" s="17">
        <f>IF($T778="",IF(AND(COUNTA($A778:$K778)&gt;0,$L778=""),"Awaiting Collection Email time stamp.",""),IF(OR($T778="PAID",$T778="CLOSED"),IF($T778="PAID","Account paid. Action completed.","Account closed. No further action required."),CHOOSE($W778,"Collection Email","1st Email Follow-up","2nd Email Follow-up","Escalation to Local Office","Escalation to CBE","Escalation to Roxanne")&amp;" sent "&amp;TEXT($X778,"dd-mmm")&amp;". "&amp;IF($W778=6,"Final escalation completed.",IF($T778="OVERDUE","Next: "&amp;$Z778&amp;" was due "&amp;TEXT($Y778,"dd-mmm")&amp;" - "&amp;(NETWORKDAYS($Y778,TODAY(),Holidays)-1)&amp;" business day(s) late. Send now.",IF($T778="DUE TOMORROW","Next: "&amp;$Z778&amp;IF($Y778&lt;=TODAY()," is due TODAY ("," is due next business day (")&amp;TEXT($Y778,"dd-mmm")&amp;").","Next: "&amp;$Z778&amp;" due "&amp;TEXT($Y778,"dd-mmm")&amp;" ("&amp;(NETWORKDAYS(TODAY(),$Y778,Holidays)-1)&amp;" business day(s) left).")))))</f>
        <v/>
      </c>
      <c r="V778" s="17">
        <f>IF($W778="","",CHOOSE($W778,"Collection Email","1st Follow-up","2nd Follow-up","Local Office","CBE","Roxanne")&amp;IF($W778=6," - Final"," - Day "&amp;MAX(0,NETWORKDAYS($X778,TODAY(),Holidays)-1)&amp;" of "&amp;CHOOSE($W778,3,3,2,2,3))&amp;" | Total Day "&amp;MAX(0,NETWORKDAYS($L778,TODAY(),Holidays)-1))</f>
        <v/>
      </c>
      <c r="W778" s="17">
        <f>IF($L778="","",COUNT($L778:$Q778))</f>
        <v/>
      </c>
      <c r="X778" s="18">
        <f>IF($W778="","",INT(INDEX($L778:$Q778,$W778)))</f>
        <v/>
      </c>
      <c r="Y778" s="18">
        <f>IF(OR($W778="",$W778=6),"",WORKDAY($X778,CHOOSE($W778,3,3,2,2,3),Holidays))</f>
        <v/>
      </c>
      <c r="Z778" s="17">
        <f>IF(OR($W778="",$W778=6),"",CHOOSE($W778,"1st Email Follow-up","2nd Email Follow-up","Escalate Local Office","Escalate to CBE","Escalate to Roxanne"))</f>
        <v/>
      </c>
    </row>
    <row r="779" spans="18:26">
      <c r="R779" s="15"/>
      <c r="S779" s="16"/>
      <c r="T779" s="17">
        <f>IF(AND(COUNTA($A779:$K779)=0,$L779=""),"",IF($S779="Paid","PAID",IF($S779="Closed","CLOSED",IF($W779="","",IF($W779=6,"ESCALATED TO ROXANNE",IF(TODAY()&gt;$Y779,"OVERDUE",IF($Y779&lt;=WORKDAY(TODAY(),1,Holidays),"DUE TOMORROW",IF($W779=4,"ESCALATED TO LOCAL OFFICE",IF($W779=5,"ESCALATED TO CBE",IF($X779=TODAY(),"EMAIL SENT","MONITORING"))))))))))</f>
        <v/>
      </c>
      <c r="U779" s="17">
        <f>IF($T779="",IF(AND(COUNTA($A779:$K779)&gt;0,$L779=""),"Awaiting Collection Email time stamp.",""),IF(OR($T779="PAID",$T779="CLOSED"),IF($T779="PAID","Account paid. Action completed.","Account closed. No further action required."),CHOOSE($W779,"Collection Email","1st Email Follow-up","2nd Email Follow-up","Escalation to Local Office","Escalation to CBE","Escalation to Roxanne")&amp;" sent "&amp;TEXT($X779,"dd-mmm")&amp;". "&amp;IF($W779=6,"Final escalation completed.",IF($T779="OVERDUE","Next: "&amp;$Z779&amp;" was due "&amp;TEXT($Y779,"dd-mmm")&amp;" - "&amp;(NETWORKDAYS($Y779,TODAY(),Holidays)-1)&amp;" business day(s) late. Send now.",IF($T779="DUE TOMORROW","Next: "&amp;$Z779&amp;IF($Y779&lt;=TODAY()," is due TODAY ("," is due next business day (")&amp;TEXT($Y779,"dd-mmm")&amp;").","Next: "&amp;$Z779&amp;" due "&amp;TEXT($Y779,"dd-mmm")&amp;" ("&amp;(NETWORKDAYS(TODAY(),$Y779,Holidays)-1)&amp;" business day(s) left).")))))</f>
        <v/>
      </c>
      <c r="V779" s="17">
        <f>IF($W779="","",CHOOSE($W779,"Collection Email","1st Follow-up","2nd Follow-up","Local Office","CBE","Roxanne")&amp;IF($W779=6," - Final"," - Day "&amp;MAX(0,NETWORKDAYS($X779,TODAY(),Holidays)-1)&amp;" of "&amp;CHOOSE($W779,3,3,2,2,3))&amp;" | Total Day "&amp;MAX(0,NETWORKDAYS($L779,TODAY(),Holidays)-1))</f>
        <v/>
      </c>
      <c r="W779" s="17">
        <f>IF($L779="","",COUNT($L779:$Q779))</f>
        <v/>
      </c>
      <c r="X779" s="18">
        <f>IF($W779="","",INT(INDEX($L779:$Q779,$W779)))</f>
        <v/>
      </c>
      <c r="Y779" s="18">
        <f>IF(OR($W779="",$W779=6),"",WORKDAY($X779,CHOOSE($W779,3,3,2,2,3),Holidays))</f>
        <v/>
      </c>
      <c r="Z779" s="17">
        <f>IF(OR($W779="",$W779=6),"",CHOOSE($W779,"1st Email Follow-up","2nd Email Follow-up","Escalate Local Office","Escalate to CBE","Escalate to Roxanne"))</f>
        <v/>
      </c>
    </row>
    <row r="780" spans="18:26">
      <c r="R780" s="15"/>
      <c r="S780" s="16"/>
      <c r="T780" s="17">
        <f>IF(AND(COUNTA($A780:$K780)=0,$L780=""),"",IF($S780="Paid","PAID",IF($S780="Closed","CLOSED",IF($W780="","",IF($W780=6,"ESCALATED TO ROXANNE",IF(TODAY()&gt;$Y780,"OVERDUE",IF($Y780&lt;=WORKDAY(TODAY(),1,Holidays),"DUE TOMORROW",IF($W780=4,"ESCALATED TO LOCAL OFFICE",IF($W780=5,"ESCALATED TO CBE",IF($X780=TODAY(),"EMAIL SENT","MONITORING"))))))))))</f>
        <v/>
      </c>
      <c r="U780" s="17">
        <f>IF($T780="",IF(AND(COUNTA($A780:$K780)&gt;0,$L780=""),"Awaiting Collection Email time stamp.",""),IF(OR($T780="PAID",$T780="CLOSED"),IF($T780="PAID","Account paid. Action completed.","Account closed. No further action required."),CHOOSE($W780,"Collection Email","1st Email Follow-up","2nd Email Follow-up","Escalation to Local Office","Escalation to CBE","Escalation to Roxanne")&amp;" sent "&amp;TEXT($X780,"dd-mmm")&amp;". "&amp;IF($W780=6,"Final escalation completed.",IF($T780="OVERDUE","Next: "&amp;$Z780&amp;" was due "&amp;TEXT($Y780,"dd-mmm")&amp;" - "&amp;(NETWORKDAYS($Y780,TODAY(),Holidays)-1)&amp;" business day(s) late. Send now.",IF($T780="DUE TOMORROW","Next: "&amp;$Z780&amp;IF($Y780&lt;=TODAY()," is due TODAY ("," is due next business day (")&amp;TEXT($Y780,"dd-mmm")&amp;").","Next: "&amp;$Z780&amp;" due "&amp;TEXT($Y780,"dd-mmm")&amp;" ("&amp;(NETWORKDAYS(TODAY(),$Y780,Holidays)-1)&amp;" business day(s) left).")))))</f>
        <v/>
      </c>
      <c r="V780" s="17">
        <f>IF($W780="","",CHOOSE($W780,"Collection Email","1st Follow-up","2nd Follow-up","Local Office","CBE","Roxanne")&amp;IF($W780=6," - Final"," - Day "&amp;MAX(0,NETWORKDAYS($X780,TODAY(),Holidays)-1)&amp;" of "&amp;CHOOSE($W780,3,3,2,2,3))&amp;" | Total Day "&amp;MAX(0,NETWORKDAYS($L780,TODAY(),Holidays)-1))</f>
        <v/>
      </c>
      <c r="W780" s="17">
        <f>IF($L780="","",COUNT($L780:$Q780))</f>
        <v/>
      </c>
      <c r="X780" s="18">
        <f>IF($W780="","",INT(INDEX($L780:$Q780,$W780)))</f>
        <v/>
      </c>
      <c r="Y780" s="18">
        <f>IF(OR($W780="",$W780=6),"",WORKDAY($X780,CHOOSE($W780,3,3,2,2,3),Holidays))</f>
        <v/>
      </c>
      <c r="Z780" s="17">
        <f>IF(OR($W780="",$W780=6),"",CHOOSE($W780,"1st Email Follow-up","2nd Email Follow-up","Escalate Local Office","Escalate to CBE","Escalate to Roxanne"))</f>
        <v/>
      </c>
    </row>
    <row r="781" spans="18:26">
      <c r="R781" s="15"/>
      <c r="S781" s="16"/>
      <c r="T781" s="17">
        <f>IF(AND(COUNTA($A781:$K781)=0,$L781=""),"",IF($S781="Paid","PAID",IF($S781="Closed","CLOSED",IF($W781="","",IF($W781=6,"ESCALATED TO ROXANNE",IF(TODAY()&gt;$Y781,"OVERDUE",IF($Y781&lt;=WORKDAY(TODAY(),1,Holidays),"DUE TOMORROW",IF($W781=4,"ESCALATED TO LOCAL OFFICE",IF($W781=5,"ESCALATED TO CBE",IF($X781=TODAY(),"EMAIL SENT","MONITORING"))))))))))</f>
        <v/>
      </c>
      <c r="U781" s="17">
        <f>IF($T781="",IF(AND(COUNTA($A781:$K781)&gt;0,$L781=""),"Awaiting Collection Email time stamp.",""),IF(OR($T781="PAID",$T781="CLOSED"),IF($T781="PAID","Account paid. Action completed.","Account closed. No further action required."),CHOOSE($W781,"Collection Email","1st Email Follow-up","2nd Email Follow-up","Escalation to Local Office","Escalation to CBE","Escalation to Roxanne")&amp;" sent "&amp;TEXT($X781,"dd-mmm")&amp;". "&amp;IF($W781=6,"Final escalation completed.",IF($T781="OVERDUE","Next: "&amp;$Z781&amp;" was due "&amp;TEXT($Y781,"dd-mmm")&amp;" - "&amp;(NETWORKDAYS($Y781,TODAY(),Holidays)-1)&amp;" business day(s) late. Send now.",IF($T781="DUE TOMORROW","Next: "&amp;$Z781&amp;IF($Y781&lt;=TODAY()," is due TODAY ("," is due next business day (")&amp;TEXT($Y781,"dd-mmm")&amp;").","Next: "&amp;$Z781&amp;" due "&amp;TEXT($Y781,"dd-mmm")&amp;" ("&amp;(NETWORKDAYS(TODAY(),$Y781,Holidays)-1)&amp;" business day(s) left).")))))</f>
        <v/>
      </c>
      <c r="V781" s="17">
        <f>IF($W781="","",CHOOSE($W781,"Collection Email","1st Follow-up","2nd Follow-up","Local Office","CBE","Roxanne")&amp;IF($W781=6," - Final"," - Day "&amp;MAX(0,NETWORKDAYS($X781,TODAY(),Holidays)-1)&amp;" of "&amp;CHOOSE($W781,3,3,2,2,3))&amp;" | Total Day "&amp;MAX(0,NETWORKDAYS($L781,TODAY(),Holidays)-1))</f>
        <v/>
      </c>
      <c r="W781" s="17">
        <f>IF($L781="","",COUNT($L781:$Q781))</f>
        <v/>
      </c>
      <c r="X781" s="18">
        <f>IF($W781="","",INT(INDEX($L781:$Q781,$W781)))</f>
        <v/>
      </c>
      <c r="Y781" s="18">
        <f>IF(OR($W781="",$W781=6),"",WORKDAY($X781,CHOOSE($W781,3,3,2,2,3),Holidays))</f>
        <v/>
      </c>
      <c r="Z781" s="17">
        <f>IF(OR($W781="",$W781=6),"",CHOOSE($W781,"1st Email Follow-up","2nd Email Follow-up","Escalate Local Office","Escalate to CBE","Escalate to Roxanne"))</f>
        <v/>
      </c>
    </row>
    <row r="782" spans="18:26">
      <c r="R782" s="15"/>
      <c r="S782" s="16"/>
      <c r="T782" s="17">
        <f>IF(AND(COUNTA($A782:$K782)=0,$L782=""),"",IF($S782="Paid","PAID",IF($S782="Closed","CLOSED",IF($W782="","",IF($W782=6,"ESCALATED TO ROXANNE",IF(TODAY()&gt;$Y782,"OVERDUE",IF($Y782&lt;=WORKDAY(TODAY(),1,Holidays),"DUE TOMORROW",IF($W782=4,"ESCALATED TO LOCAL OFFICE",IF($W782=5,"ESCALATED TO CBE",IF($X782=TODAY(),"EMAIL SENT","MONITORING"))))))))))</f>
        <v/>
      </c>
      <c r="U782" s="17">
        <f>IF($T782="",IF(AND(COUNTA($A782:$K782)&gt;0,$L782=""),"Awaiting Collection Email time stamp.",""),IF(OR($T782="PAID",$T782="CLOSED"),IF($T782="PAID","Account paid. Action completed.","Account closed. No further action required."),CHOOSE($W782,"Collection Email","1st Email Follow-up","2nd Email Follow-up","Escalation to Local Office","Escalation to CBE","Escalation to Roxanne")&amp;" sent "&amp;TEXT($X782,"dd-mmm")&amp;". "&amp;IF($W782=6,"Final escalation completed.",IF($T782="OVERDUE","Next: "&amp;$Z782&amp;" was due "&amp;TEXT($Y782,"dd-mmm")&amp;" - "&amp;(NETWORKDAYS($Y782,TODAY(),Holidays)-1)&amp;" business day(s) late. Send now.",IF($T782="DUE TOMORROW","Next: "&amp;$Z782&amp;IF($Y782&lt;=TODAY()," is due TODAY ("," is due next business day (")&amp;TEXT($Y782,"dd-mmm")&amp;").","Next: "&amp;$Z782&amp;" due "&amp;TEXT($Y782,"dd-mmm")&amp;" ("&amp;(NETWORKDAYS(TODAY(),$Y782,Holidays)-1)&amp;" business day(s) left).")))))</f>
        <v/>
      </c>
      <c r="V782" s="17">
        <f>IF($W782="","",CHOOSE($W782,"Collection Email","1st Follow-up","2nd Follow-up","Local Office","CBE","Roxanne")&amp;IF($W782=6," - Final"," - Day "&amp;MAX(0,NETWORKDAYS($X782,TODAY(),Holidays)-1)&amp;" of "&amp;CHOOSE($W782,3,3,2,2,3))&amp;" | Total Day "&amp;MAX(0,NETWORKDAYS($L782,TODAY(),Holidays)-1))</f>
        <v/>
      </c>
      <c r="W782" s="17">
        <f>IF($L782="","",COUNT($L782:$Q782))</f>
        <v/>
      </c>
      <c r="X782" s="18">
        <f>IF($W782="","",INT(INDEX($L782:$Q782,$W782)))</f>
        <v/>
      </c>
      <c r="Y782" s="18">
        <f>IF(OR($W782="",$W782=6),"",WORKDAY($X782,CHOOSE($W782,3,3,2,2,3),Holidays))</f>
        <v/>
      </c>
      <c r="Z782" s="17">
        <f>IF(OR($W782="",$W782=6),"",CHOOSE($W782,"1st Email Follow-up","2nd Email Follow-up","Escalate Local Office","Escalate to CBE","Escalate to Roxanne"))</f>
        <v/>
      </c>
    </row>
    <row r="783" spans="18:26">
      <c r="R783" s="15"/>
      <c r="S783" s="16"/>
      <c r="T783" s="17">
        <f>IF(AND(COUNTA($A783:$K783)=0,$L783=""),"",IF($S783="Paid","PAID",IF($S783="Closed","CLOSED",IF($W783="","",IF($W783=6,"ESCALATED TO ROXANNE",IF(TODAY()&gt;$Y783,"OVERDUE",IF($Y783&lt;=WORKDAY(TODAY(),1,Holidays),"DUE TOMORROW",IF($W783=4,"ESCALATED TO LOCAL OFFICE",IF($W783=5,"ESCALATED TO CBE",IF($X783=TODAY(),"EMAIL SENT","MONITORING"))))))))))</f>
        <v/>
      </c>
      <c r="U783" s="17">
        <f>IF($T783="",IF(AND(COUNTA($A783:$K783)&gt;0,$L783=""),"Awaiting Collection Email time stamp.",""),IF(OR($T783="PAID",$T783="CLOSED"),IF($T783="PAID","Account paid. Action completed.","Account closed. No further action required."),CHOOSE($W783,"Collection Email","1st Email Follow-up","2nd Email Follow-up","Escalation to Local Office","Escalation to CBE","Escalation to Roxanne")&amp;" sent "&amp;TEXT($X783,"dd-mmm")&amp;". "&amp;IF($W783=6,"Final escalation completed.",IF($T783="OVERDUE","Next: "&amp;$Z783&amp;" was due "&amp;TEXT($Y783,"dd-mmm")&amp;" - "&amp;(NETWORKDAYS($Y783,TODAY(),Holidays)-1)&amp;" business day(s) late. Send now.",IF($T783="DUE TOMORROW","Next: "&amp;$Z783&amp;IF($Y783&lt;=TODAY()," is due TODAY ("," is due next business day (")&amp;TEXT($Y783,"dd-mmm")&amp;").","Next: "&amp;$Z783&amp;" due "&amp;TEXT($Y783,"dd-mmm")&amp;" ("&amp;(NETWORKDAYS(TODAY(),$Y783,Holidays)-1)&amp;" business day(s) left).")))))</f>
        <v/>
      </c>
      <c r="V783" s="17">
        <f>IF($W783="","",CHOOSE($W783,"Collection Email","1st Follow-up","2nd Follow-up","Local Office","CBE","Roxanne")&amp;IF($W783=6," - Final"," - Day "&amp;MAX(0,NETWORKDAYS($X783,TODAY(),Holidays)-1)&amp;" of "&amp;CHOOSE($W783,3,3,2,2,3))&amp;" | Total Day "&amp;MAX(0,NETWORKDAYS($L783,TODAY(),Holidays)-1))</f>
        <v/>
      </c>
      <c r="W783" s="17">
        <f>IF($L783="","",COUNT($L783:$Q783))</f>
        <v/>
      </c>
      <c r="X783" s="18">
        <f>IF($W783="","",INT(INDEX($L783:$Q783,$W783)))</f>
        <v/>
      </c>
      <c r="Y783" s="18">
        <f>IF(OR($W783="",$W783=6),"",WORKDAY($X783,CHOOSE($W783,3,3,2,2,3),Holidays))</f>
        <v/>
      </c>
      <c r="Z783" s="17">
        <f>IF(OR($W783="",$W783=6),"",CHOOSE($W783,"1st Email Follow-up","2nd Email Follow-up","Escalate Local Office","Escalate to CBE","Escalate to Roxanne"))</f>
        <v/>
      </c>
    </row>
    <row r="784" spans="18:26">
      <c r="R784" s="15"/>
      <c r="S784" s="16"/>
      <c r="T784" s="17">
        <f>IF(AND(COUNTA($A784:$K784)=0,$L784=""),"",IF($S784="Paid","PAID",IF($S784="Closed","CLOSED",IF($W784="","",IF($W784=6,"ESCALATED TO ROXANNE",IF(TODAY()&gt;$Y784,"OVERDUE",IF($Y784&lt;=WORKDAY(TODAY(),1,Holidays),"DUE TOMORROW",IF($W784=4,"ESCALATED TO LOCAL OFFICE",IF($W784=5,"ESCALATED TO CBE",IF($X784=TODAY(),"EMAIL SENT","MONITORING"))))))))))</f>
        <v/>
      </c>
      <c r="U784" s="17">
        <f>IF($T784="",IF(AND(COUNTA($A784:$K784)&gt;0,$L784=""),"Awaiting Collection Email time stamp.",""),IF(OR($T784="PAID",$T784="CLOSED"),IF($T784="PAID","Account paid. Action completed.","Account closed. No further action required."),CHOOSE($W784,"Collection Email","1st Email Follow-up","2nd Email Follow-up","Escalation to Local Office","Escalation to CBE","Escalation to Roxanne")&amp;" sent "&amp;TEXT($X784,"dd-mmm")&amp;". "&amp;IF($W784=6,"Final escalation completed.",IF($T784="OVERDUE","Next: "&amp;$Z784&amp;" was due "&amp;TEXT($Y784,"dd-mmm")&amp;" - "&amp;(NETWORKDAYS($Y784,TODAY(),Holidays)-1)&amp;" business day(s) late. Send now.",IF($T784="DUE TOMORROW","Next: "&amp;$Z784&amp;IF($Y784&lt;=TODAY()," is due TODAY ("," is due next business day (")&amp;TEXT($Y784,"dd-mmm")&amp;").","Next: "&amp;$Z784&amp;" due "&amp;TEXT($Y784,"dd-mmm")&amp;" ("&amp;(NETWORKDAYS(TODAY(),$Y784,Holidays)-1)&amp;" business day(s) left).")))))</f>
        <v/>
      </c>
      <c r="V784" s="17">
        <f>IF($W784="","",CHOOSE($W784,"Collection Email","1st Follow-up","2nd Follow-up","Local Office","CBE","Roxanne")&amp;IF($W784=6," - Final"," - Day "&amp;MAX(0,NETWORKDAYS($X784,TODAY(),Holidays)-1)&amp;" of "&amp;CHOOSE($W784,3,3,2,2,3))&amp;" | Total Day "&amp;MAX(0,NETWORKDAYS($L784,TODAY(),Holidays)-1))</f>
        <v/>
      </c>
      <c r="W784" s="17">
        <f>IF($L784="","",COUNT($L784:$Q784))</f>
        <v/>
      </c>
      <c r="X784" s="18">
        <f>IF($W784="","",INT(INDEX($L784:$Q784,$W784)))</f>
        <v/>
      </c>
      <c r="Y784" s="18">
        <f>IF(OR($W784="",$W784=6),"",WORKDAY($X784,CHOOSE($W784,3,3,2,2,3),Holidays))</f>
        <v/>
      </c>
      <c r="Z784" s="17">
        <f>IF(OR($W784="",$W784=6),"",CHOOSE($W784,"1st Email Follow-up","2nd Email Follow-up","Escalate Local Office","Escalate to CBE","Escalate to Roxanne"))</f>
        <v/>
      </c>
    </row>
    <row r="785" spans="18:26">
      <c r="R785" s="15"/>
      <c r="S785" s="16"/>
      <c r="T785" s="17">
        <f>IF(AND(COUNTA($A785:$K785)=0,$L785=""),"",IF($S785="Paid","PAID",IF($S785="Closed","CLOSED",IF($W785="","",IF($W785=6,"ESCALATED TO ROXANNE",IF(TODAY()&gt;$Y785,"OVERDUE",IF($Y785&lt;=WORKDAY(TODAY(),1,Holidays),"DUE TOMORROW",IF($W785=4,"ESCALATED TO LOCAL OFFICE",IF($W785=5,"ESCALATED TO CBE",IF($X785=TODAY(),"EMAIL SENT","MONITORING"))))))))))</f>
        <v/>
      </c>
      <c r="U785" s="17">
        <f>IF($T785="",IF(AND(COUNTA($A785:$K785)&gt;0,$L785=""),"Awaiting Collection Email time stamp.",""),IF(OR($T785="PAID",$T785="CLOSED"),IF($T785="PAID","Account paid. Action completed.","Account closed. No further action required."),CHOOSE($W785,"Collection Email","1st Email Follow-up","2nd Email Follow-up","Escalation to Local Office","Escalation to CBE","Escalation to Roxanne")&amp;" sent "&amp;TEXT($X785,"dd-mmm")&amp;". "&amp;IF($W785=6,"Final escalation completed.",IF($T785="OVERDUE","Next: "&amp;$Z785&amp;" was due "&amp;TEXT($Y785,"dd-mmm")&amp;" - "&amp;(NETWORKDAYS($Y785,TODAY(),Holidays)-1)&amp;" business day(s) late. Send now.",IF($T785="DUE TOMORROW","Next: "&amp;$Z785&amp;IF($Y785&lt;=TODAY()," is due TODAY ("," is due next business day (")&amp;TEXT($Y785,"dd-mmm")&amp;").","Next: "&amp;$Z785&amp;" due "&amp;TEXT($Y785,"dd-mmm")&amp;" ("&amp;(NETWORKDAYS(TODAY(),$Y785,Holidays)-1)&amp;" business day(s) left).")))))</f>
        <v/>
      </c>
      <c r="V785" s="17">
        <f>IF($W785="","",CHOOSE($W785,"Collection Email","1st Follow-up","2nd Follow-up","Local Office","CBE","Roxanne")&amp;IF($W785=6," - Final"," - Day "&amp;MAX(0,NETWORKDAYS($X785,TODAY(),Holidays)-1)&amp;" of "&amp;CHOOSE($W785,3,3,2,2,3))&amp;" | Total Day "&amp;MAX(0,NETWORKDAYS($L785,TODAY(),Holidays)-1))</f>
        <v/>
      </c>
      <c r="W785" s="17">
        <f>IF($L785="","",COUNT($L785:$Q785))</f>
        <v/>
      </c>
      <c r="X785" s="18">
        <f>IF($W785="","",INT(INDEX($L785:$Q785,$W785)))</f>
        <v/>
      </c>
      <c r="Y785" s="18">
        <f>IF(OR($W785="",$W785=6),"",WORKDAY($X785,CHOOSE($W785,3,3,2,2,3),Holidays))</f>
        <v/>
      </c>
      <c r="Z785" s="17">
        <f>IF(OR($W785="",$W785=6),"",CHOOSE($W785,"1st Email Follow-up","2nd Email Follow-up","Escalate Local Office","Escalate to CBE","Escalate to Roxanne"))</f>
        <v/>
      </c>
    </row>
    <row r="786" spans="18:26">
      <c r="R786" s="15"/>
      <c r="S786" s="16"/>
      <c r="T786" s="17">
        <f>IF(AND(COUNTA($A786:$K786)=0,$L786=""),"",IF($S786="Paid","PAID",IF($S786="Closed","CLOSED",IF($W786="","",IF($W786=6,"ESCALATED TO ROXANNE",IF(TODAY()&gt;$Y786,"OVERDUE",IF($Y786&lt;=WORKDAY(TODAY(),1,Holidays),"DUE TOMORROW",IF($W786=4,"ESCALATED TO LOCAL OFFICE",IF($W786=5,"ESCALATED TO CBE",IF($X786=TODAY(),"EMAIL SENT","MONITORING"))))))))))</f>
        <v/>
      </c>
      <c r="U786" s="17">
        <f>IF($T786="",IF(AND(COUNTA($A786:$K786)&gt;0,$L786=""),"Awaiting Collection Email time stamp.",""),IF(OR($T786="PAID",$T786="CLOSED"),IF($T786="PAID","Account paid. Action completed.","Account closed. No further action required."),CHOOSE($W786,"Collection Email","1st Email Follow-up","2nd Email Follow-up","Escalation to Local Office","Escalation to CBE","Escalation to Roxanne")&amp;" sent "&amp;TEXT($X786,"dd-mmm")&amp;". "&amp;IF($W786=6,"Final escalation completed.",IF($T786="OVERDUE","Next: "&amp;$Z786&amp;" was due "&amp;TEXT($Y786,"dd-mmm")&amp;" - "&amp;(NETWORKDAYS($Y786,TODAY(),Holidays)-1)&amp;" business day(s) late. Send now.",IF($T786="DUE TOMORROW","Next: "&amp;$Z786&amp;IF($Y786&lt;=TODAY()," is due TODAY ("," is due next business day (")&amp;TEXT($Y786,"dd-mmm")&amp;").","Next: "&amp;$Z786&amp;" due "&amp;TEXT($Y786,"dd-mmm")&amp;" ("&amp;(NETWORKDAYS(TODAY(),$Y786,Holidays)-1)&amp;" business day(s) left).")))))</f>
        <v/>
      </c>
      <c r="V786" s="17">
        <f>IF($W786="","",CHOOSE($W786,"Collection Email","1st Follow-up","2nd Follow-up","Local Office","CBE","Roxanne")&amp;IF($W786=6," - Final"," - Day "&amp;MAX(0,NETWORKDAYS($X786,TODAY(),Holidays)-1)&amp;" of "&amp;CHOOSE($W786,3,3,2,2,3))&amp;" | Total Day "&amp;MAX(0,NETWORKDAYS($L786,TODAY(),Holidays)-1))</f>
        <v/>
      </c>
      <c r="W786" s="17">
        <f>IF($L786="","",COUNT($L786:$Q786))</f>
        <v/>
      </c>
      <c r="X786" s="18">
        <f>IF($W786="","",INT(INDEX($L786:$Q786,$W786)))</f>
        <v/>
      </c>
      <c r="Y786" s="18">
        <f>IF(OR($W786="",$W786=6),"",WORKDAY($X786,CHOOSE($W786,3,3,2,2,3),Holidays))</f>
        <v/>
      </c>
      <c r="Z786" s="17">
        <f>IF(OR($W786="",$W786=6),"",CHOOSE($W786,"1st Email Follow-up","2nd Email Follow-up","Escalate Local Office","Escalate to CBE","Escalate to Roxanne"))</f>
        <v/>
      </c>
    </row>
    <row r="787" spans="18:26">
      <c r="R787" s="15"/>
      <c r="S787" s="16"/>
      <c r="T787" s="17">
        <f>IF(AND(COUNTA($A787:$K787)=0,$L787=""),"",IF($S787="Paid","PAID",IF($S787="Closed","CLOSED",IF($W787="","",IF($W787=6,"ESCALATED TO ROXANNE",IF(TODAY()&gt;$Y787,"OVERDUE",IF($Y787&lt;=WORKDAY(TODAY(),1,Holidays),"DUE TOMORROW",IF($W787=4,"ESCALATED TO LOCAL OFFICE",IF($W787=5,"ESCALATED TO CBE",IF($X787=TODAY(),"EMAIL SENT","MONITORING"))))))))))</f>
        <v/>
      </c>
      <c r="U787" s="17">
        <f>IF($T787="",IF(AND(COUNTA($A787:$K787)&gt;0,$L787=""),"Awaiting Collection Email time stamp.",""),IF(OR($T787="PAID",$T787="CLOSED"),IF($T787="PAID","Account paid. Action completed.","Account closed. No further action required."),CHOOSE($W787,"Collection Email","1st Email Follow-up","2nd Email Follow-up","Escalation to Local Office","Escalation to CBE","Escalation to Roxanne")&amp;" sent "&amp;TEXT($X787,"dd-mmm")&amp;". "&amp;IF($W787=6,"Final escalation completed.",IF($T787="OVERDUE","Next: "&amp;$Z787&amp;" was due "&amp;TEXT($Y787,"dd-mmm")&amp;" - "&amp;(NETWORKDAYS($Y787,TODAY(),Holidays)-1)&amp;" business day(s) late. Send now.",IF($T787="DUE TOMORROW","Next: "&amp;$Z787&amp;IF($Y787&lt;=TODAY()," is due TODAY ("," is due next business day (")&amp;TEXT($Y787,"dd-mmm")&amp;").","Next: "&amp;$Z787&amp;" due "&amp;TEXT($Y787,"dd-mmm")&amp;" ("&amp;(NETWORKDAYS(TODAY(),$Y787,Holidays)-1)&amp;" business day(s) left).")))))</f>
        <v/>
      </c>
      <c r="V787" s="17">
        <f>IF($W787="","",CHOOSE($W787,"Collection Email","1st Follow-up","2nd Follow-up","Local Office","CBE","Roxanne")&amp;IF($W787=6," - Final"," - Day "&amp;MAX(0,NETWORKDAYS($X787,TODAY(),Holidays)-1)&amp;" of "&amp;CHOOSE($W787,3,3,2,2,3))&amp;" | Total Day "&amp;MAX(0,NETWORKDAYS($L787,TODAY(),Holidays)-1))</f>
        <v/>
      </c>
      <c r="W787" s="17">
        <f>IF($L787="","",COUNT($L787:$Q787))</f>
        <v/>
      </c>
      <c r="X787" s="18">
        <f>IF($W787="","",INT(INDEX($L787:$Q787,$W787)))</f>
        <v/>
      </c>
      <c r="Y787" s="18">
        <f>IF(OR($W787="",$W787=6),"",WORKDAY($X787,CHOOSE($W787,3,3,2,2,3),Holidays))</f>
        <v/>
      </c>
      <c r="Z787" s="17">
        <f>IF(OR($W787="",$W787=6),"",CHOOSE($W787,"1st Email Follow-up","2nd Email Follow-up","Escalate Local Office","Escalate to CBE","Escalate to Roxanne"))</f>
        <v/>
      </c>
    </row>
    <row r="788" spans="18:26">
      <c r="R788" s="15"/>
      <c r="S788" s="16"/>
      <c r="T788" s="17">
        <f>IF(AND(COUNTA($A788:$K788)=0,$L788=""),"",IF($S788="Paid","PAID",IF($S788="Closed","CLOSED",IF($W788="","",IF($W788=6,"ESCALATED TO ROXANNE",IF(TODAY()&gt;$Y788,"OVERDUE",IF($Y788&lt;=WORKDAY(TODAY(),1,Holidays),"DUE TOMORROW",IF($W788=4,"ESCALATED TO LOCAL OFFICE",IF($W788=5,"ESCALATED TO CBE",IF($X788=TODAY(),"EMAIL SENT","MONITORING"))))))))))</f>
        <v/>
      </c>
      <c r="U788" s="17">
        <f>IF($T788="",IF(AND(COUNTA($A788:$K788)&gt;0,$L788=""),"Awaiting Collection Email time stamp.",""),IF(OR($T788="PAID",$T788="CLOSED"),IF($T788="PAID","Account paid. Action completed.","Account closed. No further action required."),CHOOSE($W788,"Collection Email","1st Email Follow-up","2nd Email Follow-up","Escalation to Local Office","Escalation to CBE","Escalation to Roxanne")&amp;" sent "&amp;TEXT($X788,"dd-mmm")&amp;". "&amp;IF($W788=6,"Final escalation completed.",IF($T788="OVERDUE","Next: "&amp;$Z788&amp;" was due "&amp;TEXT($Y788,"dd-mmm")&amp;" - "&amp;(NETWORKDAYS($Y788,TODAY(),Holidays)-1)&amp;" business day(s) late. Send now.",IF($T788="DUE TOMORROW","Next: "&amp;$Z788&amp;IF($Y788&lt;=TODAY()," is due TODAY ("," is due next business day (")&amp;TEXT($Y788,"dd-mmm")&amp;").","Next: "&amp;$Z788&amp;" due "&amp;TEXT($Y788,"dd-mmm")&amp;" ("&amp;(NETWORKDAYS(TODAY(),$Y788,Holidays)-1)&amp;" business day(s) left).")))))</f>
        <v/>
      </c>
      <c r="V788" s="17">
        <f>IF($W788="","",CHOOSE($W788,"Collection Email","1st Follow-up","2nd Follow-up","Local Office","CBE","Roxanne")&amp;IF($W788=6," - Final"," - Day "&amp;MAX(0,NETWORKDAYS($X788,TODAY(),Holidays)-1)&amp;" of "&amp;CHOOSE($W788,3,3,2,2,3))&amp;" | Total Day "&amp;MAX(0,NETWORKDAYS($L788,TODAY(),Holidays)-1))</f>
        <v/>
      </c>
      <c r="W788" s="17">
        <f>IF($L788="","",COUNT($L788:$Q788))</f>
        <v/>
      </c>
      <c r="X788" s="18">
        <f>IF($W788="","",INT(INDEX($L788:$Q788,$W788)))</f>
        <v/>
      </c>
      <c r="Y788" s="18">
        <f>IF(OR($W788="",$W788=6),"",WORKDAY($X788,CHOOSE($W788,3,3,2,2,3),Holidays))</f>
        <v/>
      </c>
      <c r="Z788" s="17">
        <f>IF(OR($W788="",$W788=6),"",CHOOSE($W788,"1st Email Follow-up","2nd Email Follow-up","Escalate Local Office","Escalate to CBE","Escalate to Roxanne"))</f>
        <v/>
      </c>
    </row>
    <row r="789" spans="18:26">
      <c r="R789" s="15"/>
      <c r="S789" s="16"/>
      <c r="T789" s="17">
        <f>IF(AND(COUNTA($A789:$K789)=0,$L789=""),"",IF($S789="Paid","PAID",IF($S789="Closed","CLOSED",IF($W789="","",IF($W789=6,"ESCALATED TO ROXANNE",IF(TODAY()&gt;$Y789,"OVERDUE",IF($Y789&lt;=WORKDAY(TODAY(),1,Holidays),"DUE TOMORROW",IF($W789=4,"ESCALATED TO LOCAL OFFICE",IF($W789=5,"ESCALATED TO CBE",IF($X789=TODAY(),"EMAIL SENT","MONITORING"))))))))))</f>
        <v/>
      </c>
      <c r="U789" s="17">
        <f>IF($T789="",IF(AND(COUNTA($A789:$K789)&gt;0,$L789=""),"Awaiting Collection Email time stamp.",""),IF(OR($T789="PAID",$T789="CLOSED"),IF($T789="PAID","Account paid. Action completed.","Account closed. No further action required."),CHOOSE($W789,"Collection Email","1st Email Follow-up","2nd Email Follow-up","Escalation to Local Office","Escalation to CBE","Escalation to Roxanne")&amp;" sent "&amp;TEXT($X789,"dd-mmm")&amp;". "&amp;IF($W789=6,"Final escalation completed.",IF($T789="OVERDUE","Next: "&amp;$Z789&amp;" was due "&amp;TEXT($Y789,"dd-mmm")&amp;" - "&amp;(NETWORKDAYS($Y789,TODAY(),Holidays)-1)&amp;" business day(s) late. Send now.",IF($T789="DUE TOMORROW","Next: "&amp;$Z789&amp;IF($Y789&lt;=TODAY()," is due TODAY ("," is due next business day (")&amp;TEXT($Y789,"dd-mmm")&amp;").","Next: "&amp;$Z789&amp;" due "&amp;TEXT($Y789,"dd-mmm")&amp;" ("&amp;(NETWORKDAYS(TODAY(),$Y789,Holidays)-1)&amp;" business day(s) left).")))))</f>
        <v/>
      </c>
      <c r="V789" s="17">
        <f>IF($W789="","",CHOOSE($W789,"Collection Email","1st Follow-up","2nd Follow-up","Local Office","CBE","Roxanne")&amp;IF($W789=6," - Final"," - Day "&amp;MAX(0,NETWORKDAYS($X789,TODAY(),Holidays)-1)&amp;" of "&amp;CHOOSE($W789,3,3,2,2,3))&amp;" | Total Day "&amp;MAX(0,NETWORKDAYS($L789,TODAY(),Holidays)-1))</f>
        <v/>
      </c>
      <c r="W789" s="17">
        <f>IF($L789="","",COUNT($L789:$Q789))</f>
        <v/>
      </c>
      <c r="X789" s="18">
        <f>IF($W789="","",INT(INDEX($L789:$Q789,$W789)))</f>
        <v/>
      </c>
      <c r="Y789" s="18">
        <f>IF(OR($W789="",$W789=6),"",WORKDAY($X789,CHOOSE($W789,3,3,2,2,3),Holidays))</f>
        <v/>
      </c>
      <c r="Z789" s="17">
        <f>IF(OR($W789="",$W789=6),"",CHOOSE($W789,"1st Email Follow-up","2nd Email Follow-up","Escalate Local Office","Escalate to CBE","Escalate to Roxanne"))</f>
        <v/>
      </c>
    </row>
    <row r="790" spans="18:26">
      <c r="R790" s="15"/>
      <c r="S790" s="16"/>
      <c r="T790" s="17">
        <f>IF(AND(COUNTA($A790:$K790)=0,$L790=""),"",IF($S790="Paid","PAID",IF($S790="Closed","CLOSED",IF($W790="","",IF($W790=6,"ESCALATED TO ROXANNE",IF(TODAY()&gt;$Y790,"OVERDUE",IF($Y790&lt;=WORKDAY(TODAY(),1,Holidays),"DUE TOMORROW",IF($W790=4,"ESCALATED TO LOCAL OFFICE",IF($W790=5,"ESCALATED TO CBE",IF($X790=TODAY(),"EMAIL SENT","MONITORING"))))))))))</f>
        <v/>
      </c>
      <c r="U790" s="17">
        <f>IF($T790="",IF(AND(COUNTA($A790:$K790)&gt;0,$L790=""),"Awaiting Collection Email time stamp.",""),IF(OR($T790="PAID",$T790="CLOSED"),IF($T790="PAID","Account paid. Action completed.","Account closed. No further action required."),CHOOSE($W790,"Collection Email","1st Email Follow-up","2nd Email Follow-up","Escalation to Local Office","Escalation to CBE","Escalation to Roxanne")&amp;" sent "&amp;TEXT($X790,"dd-mmm")&amp;". "&amp;IF($W790=6,"Final escalation completed.",IF($T790="OVERDUE","Next: "&amp;$Z790&amp;" was due "&amp;TEXT($Y790,"dd-mmm")&amp;" - "&amp;(NETWORKDAYS($Y790,TODAY(),Holidays)-1)&amp;" business day(s) late. Send now.",IF($T790="DUE TOMORROW","Next: "&amp;$Z790&amp;IF($Y790&lt;=TODAY()," is due TODAY ("," is due next business day (")&amp;TEXT($Y790,"dd-mmm")&amp;").","Next: "&amp;$Z790&amp;" due "&amp;TEXT($Y790,"dd-mmm")&amp;" ("&amp;(NETWORKDAYS(TODAY(),$Y790,Holidays)-1)&amp;" business day(s) left).")))))</f>
        <v/>
      </c>
      <c r="V790" s="17">
        <f>IF($W790="","",CHOOSE($W790,"Collection Email","1st Follow-up","2nd Follow-up","Local Office","CBE","Roxanne")&amp;IF($W790=6," - Final"," - Day "&amp;MAX(0,NETWORKDAYS($X790,TODAY(),Holidays)-1)&amp;" of "&amp;CHOOSE($W790,3,3,2,2,3))&amp;" | Total Day "&amp;MAX(0,NETWORKDAYS($L790,TODAY(),Holidays)-1))</f>
        <v/>
      </c>
      <c r="W790" s="17">
        <f>IF($L790="","",COUNT($L790:$Q790))</f>
        <v/>
      </c>
      <c r="X790" s="18">
        <f>IF($W790="","",INT(INDEX($L790:$Q790,$W790)))</f>
        <v/>
      </c>
      <c r="Y790" s="18">
        <f>IF(OR($W790="",$W790=6),"",WORKDAY($X790,CHOOSE($W790,3,3,2,2,3),Holidays))</f>
        <v/>
      </c>
      <c r="Z790" s="17">
        <f>IF(OR($W790="",$W790=6),"",CHOOSE($W790,"1st Email Follow-up","2nd Email Follow-up","Escalate Local Office","Escalate to CBE","Escalate to Roxanne"))</f>
        <v/>
      </c>
    </row>
    <row r="791" spans="18:26">
      <c r="R791" s="15"/>
      <c r="S791" s="16"/>
      <c r="T791" s="17">
        <f>IF(AND(COUNTA($A791:$K791)=0,$L791=""),"",IF($S791="Paid","PAID",IF($S791="Closed","CLOSED",IF($W791="","",IF($W791=6,"ESCALATED TO ROXANNE",IF(TODAY()&gt;$Y791,"OVERDUE",IF($Y791&lt;=WORKDAY(TODAY(),1,Holidays),"DUE TOMORROW",IF($W791=4,"ESCALATED TO LOCAL OFFICE",IF($W791=5,"ESCALATED TO CBE",IF($X791=TODAY(),"EMAIL SENT","MONITORING"))))))))))</f>
        <v/>
      </c>
      <c r="U791" s="17">
        <f>IF($T791="",IF(AND(COUNTA($A791:$K791)&gt;0,$L791=""),"Awaiting Collection Email time stamp.",""),IF(OR($T791="PAID",$T791="CLOSED"),IF($T791="PAID","Account paid. Action completed.","Account closed. No further action required."),CHOOSE($W791,"Collection Email","1st Email Follow-up","2nd Email Follow-up","Escalation to Local Office","Escalation to CBE","Escalation to Roxanne")&amp;" sent "&amp;TEXT($X791,"dd-mmm")&amp;". "&amp;IF($W791=6,"Final escalation completed.",IF($T791="OVERDUE","Next: "&amp;$Z791&amp;" was due "&amp;TEXT($Y791,"dd-mmm")&amp;" - "&amp;(NETWORKDAYS($Y791,TODAY(),Holidays)-1)&amp;" business day(s) late. Send now.",IF($T791="DUE TOMORROW","Next: "&amp;$Z791&amp;IF($Y791&lt;=TODAY()," is due TODAY ("," is due next business day (")&amp;TEXT($Y791,"dd-mmm")&amp;").","Next: "&amp;$Z791&amp;" due "&amp;TEXT($Y791,"dd-mmm")&amp;" ("&amp;(NETWORKDAYS(TODAY(),$Y791,Holidays)-1)&amp;" business day(s) left).")))))</f>
        <v/>
      </c>
      <c r="V791" s="17">
        <f>IF($W791="","",CHOOSE($W791,"Collection Email","1st Follow-up","2nd Follow-up","Local Office","CBE","Roxanne")&amp;IF($W791=6," - Final"," - Day "&amp;MAX(0,NETWORKDAYS($X791,TODAY(),Holidays)-1)&amp;" of "&amp;CHOOSE($W791,3,3,2,2,3))&amp;" | Total Day "&amp;MAX(0,NETWORKDAYS($L791,TODAY(),Holidays)-1))</f>
        <v/>
      </c>
      <c r="W791" s="17">
        <f>IF($L791="","",COUNT($L791:$Q791))</f>
        <v/>
      </c>
      <c r="X791" s="18">
        <f>IF($W791="","",INT(INDEX($L791:$Q791,$W791)))</f>
        <v/>
      </c>
      <c r="Y791" s="18">
        <f>IF(OR($W791="",$W791=6),"",WORKDAY($X791,CHOOSE($W791,3,3,2,2,3),Holidays))</f>
        <v/>
      </c>
      <c r="Z791" s="17">
        <f>IF(OR($W791="",$W791=6),"",CHOOSE($W791,"1st Email Follow-up","2nd Email Follow-up","Escalate Local Office","Escalate to CBE","Escalate to Roxanne"))</f>
        <v/>
      </c>
    </row>
    <row r="792" spans="18:26">
      <c r="R792" s="15"/>
      <c r="S792" s="16"/>
      <c r="T792" s="17">
        <f>IF(AND(COUNTA($A792:$K792)=0,$L792=""),"",IF($S792="Paid","PAID",IF($S792="Closed","CLOSED",IF($W792="","",IF($W792=6,"ESCALATED TO ROXANNE",IF(TODAY()&gt;$Y792,"OVERDUE",IF($Y792&lt;=WORKDAY(TODAY(),1,Holidays),"DUE TOMORROW",IF($W792=4,"ESCALATED TO LOCAL OFFICE",IF($W792=5,"ESCALATED TO CBE",IF($X792=TODAY(),"EMAIL SENT","MONITORING"))))))))))</f>
        <v/>
      </c>
      <c r="U792" s="17">
        <f>IF($T792="",IF(AND(COUNTA($A792:$K792)&gt;0,$L792=""),"Awaiting Collection Email time stamp.",""),IF(OR($T792="PAID",$T792="CLOSED"),IF($T792="PAID","Account paid. Action completed.","Account closed. No further action required."),CHOOSE($W792,"Collection Email","1st Email Follow-up","2nd Email Follow-up","Escalation to Local Office","Escalation to CBE","Escalation to Roxanne")&amp;" sent "&amp;TEXT($X792,"dd-mmm")&amp;". "&amp;IF($W792=6,"Final escalation completed.",IF($T792="OVERDUE","Next: "&amp;$Z792&amp;" was due "&amp;TEXT($Y792,"dd-mmm")&amp;" - "&amp;(NETWORKDAYS($Y792,TODAY(),Holidays)-1)&amp;" business day(s) late. Send now.",IF($T792="DUE TOMORROW","Next: "&amp;$Z792&amp;IF($Y792&lt;=TODAY()," is due TODAY ("," is due next business day (")&amp;TEXT($Y792,"dd-mmm")&amp;").","Next: "&amp;$Z792&amp;" due "&amp;TEXT($Y792,"dd-mmm")&amp;" ("&amp;(NETWORKDAYS(TODAY(),$Y792,Holidays)-1)&amp;" business day(s) left).")))))</f>
        <v/>
      </c>
      <c r="V792" s="17">
        <f>IF($W792="","",CHOOSE($W792,"Collection Email","1st Follow-up","2nd Follow-up","Local Office","CBE","Roxanne")&amp;IF($W792=6," - Final"," - Day "&amp;MAX(0,NETWORKDAYS($X792,TODAY(),Holidays)-1)&amp;" of "&amp;CHOOSE($W792,3,3,2,2,3))&amp;" | Total Day "&amp;MAX(0,NETWORKDAYS($L792,TODAY(),Holidays)-1))</f>
        <v/>
      </c>
      <c r="W792" s="17">
        <f>IF($L792="","",COUNT($L792:$Q792))</f>
        <v/>
      </c>
      <c r="X792" s="18">
        <f>IF($W792="","",INT(INDEX($L792:$Q792,$W792)))</f>
        <v/>
      </c>
      <c r="Y792" s="18">
        <f>IF(OR($W792="",$W792=6),"",WORKDAY($X792,CHOOSE($W792,3,3,2,2,3),Holidays))</f>
        <v/>
      </c>
      <c r="Z792" s="17">
        <f>IF(OR($W792="",$W792=6),"",CHOOSE($W792,"1st Email Follow-up","2nd Email Follow-up","Escalate Local Office","Escalate to CBE","Escalate to Roxanne"))</f>
        <v/>
      </c>
    </row>
    <row r="793" spans="18:26">
      <c r="R793" s="15"/>
      <c r="S793" s="16"/>
      <c r="T793" s="17">
        <f>IF(AND(COUNTA($A793:$K793)=0,$L793=""),"",IF($S793="Paid","PAID",IF($S793="Closed","CLOSED",IF($W793="","",IF($W793=6,"ESCALATED TO ROXANNE",IF(TODAY()&gt;$Y793,"OVERDUE",IF($Y793&lt;=WORKDAY(TODAY(),1,Holidays),"DUE TOMORROW",IF($W793=4,"ESCALATED TO LOCAL OFFICE",IF($W793=5,"ESCALATED TO CBE",IF($X793=TODAY(),"EMAIL SENT","MONITORING"))))))))))</f>
        <v/>
      </c>
      <c r="U793" s="17">
        <f>IF($T793="",IF(AND(COUNTA($A793:$K793)&gt;0,$L793=""),"Awaiting Collection Email time stamp.",""),IF(OR($T793="PAID",$T793="CLOSED"),IF($T793="PAID","Account paid. Action completed.","Account closed. No further action required."),CHOOSE($W793,"Collection Email","1st Email Follow-up","2nd Email Follow-up","Escalation to Local Office","Escalation to CBE","Escalation to Roxanne")&amp;" sent "&amp;TEXT($X793,"dd-mmm")&amp;". "&amp;IF($W793=6,"Final escalation completed.",IF($T793="OVERDUE","Next: "&amp;$Z793&amp;" was due "&amp;TEXT($Y793,"dd-mmm")&amp;" - "&amp;(NETWORKDAYS($Y793,TODAY(),Holidays)-1)&amp;" business day(s) late. Send now.",IF($T793="DUE TOMORROW","Next: "&amp;$Z793&amp;IF($Y793&lt;=TODAY()," is due TODAY ("," is due next business day (")&amp;TEXT($Y793,"dd-mmm")&amp;").","Next: "&amp;$Z793&amp;" due "&amp;TEXT($Y793,"dd-mmm")&amp;" ("&amp;(NETWORKDAYS(TODAY(),$Y793,Holidays)-1)&amp;" business day(s) left).")))))</f>
        <v/>
      </c>
      <c r="V793" s="17">
        <f>IF($W793="","",CHOOSE($W793,"Collection Email","1st Follow-up","2nd Follow-up","Local Office","CBE","Roxanne")&amp;IF($W793=6," - Final"," - Day "&amp;MAX(0,NETWORKDAYS($X793,TODAY(),Holidays)-1)&amp;" of "&amp;CHOOSE($W793,3,3,2,2,3))&amp;" | Total Day "&amp;MAX(0,NETWORKDAYS($L793,TODAY(),Holidays)-1))</f>
        <v/>
      </c>
      <c r="W793" s="17">
        <f>IF($L793="","",COUNT($L793:$Q793))</f>
        <v/>
      </c>
      <c r="X793" s="18">
        <f>IF($W793="","",INT(INDEX($L793:$Q793,$W793)))</f>
        <v/>
      </c>
      <c r="Y793" s="18">
        <f>IF(OR($W793="",$W793=6),"",WORKDAY($X793,CHOOSE($W793,3,3,2,2,3),Holidays))</f>
        <v/>
      </c>
      <c r="Z793" s="17">
        <f>IF(OR($W793="",$W793=6),"",CHOOSE($W793,"1st Email Follow-up","2nd Email Follow-up","Escalate Local Office","Escalate to CBE","Escalate to Roxanne"))</f>
        <v/>
      </c>
    </row>
    <row r="794" spans="18:26">
      <c r="R794" s="15"/>
      <c r="S794" s="16"/>
      <c r="T794" s="17">
        <f>IF(AND(COUNTA($A794:$K794)=0,$L794=""),"",IF($S794="Paid","PAID",IF($S794="Closed","CLOSED",IF($W794="","",IF($W794=6,"ESCALATED TO ROXANNE",IF(TODAY()&gt;$Y794,"OVERDUE",IF($Y794&lt;=WORKDAY(TODAY(),1,Holidays),"DUE TOMORROW",IF($W794=4,"ESCALATED TO LOCAL OFFICE",IF($W794=5,"ESCALATED TO CBE",IF($X794=TODAY(),"EMAIL SENT","MONITORING"))))))))))</f>
        <v/>
      </c>
      <c r="U794" s="17">
        <f>IF($T794="",IF(AND(COUNTA($A794:$K794)&gt;0,$L794=""),"Awaiting Collection Email time stamp.",""),IF(OR($T794="PAID",$T794="CLOSED"),IF($T794="PAID","Account paid. Action completed.","Account closed. No further action required."),CHOOSE($W794,"Collection Email","1st Email Follow-up","2nd Email Follow-up","Escalation to Local Office","Escalation to CBE","Escalation to Roxanne")&amp;" sent "&amp;TEXT($X794,"dd-mmm")&amp;". "&amp;IF($W794=6,"Final escalation completed.",IF($T794="OVERDUE","Next: "&amp;$Z794&amp;" was due "&amp;TEXT($Y794,"dd-mmm")&amp;" - "&amp;(NETWORKDAYS($Y794,TODAY(),Holidays)-1)&amp;" business day(s) late. Send now.",IF($T794="DUE TOMORROW","Next: "&amp;$Z794&amp;IF($Y794&lt;=TODAY()," is due TODAY ("," is due next business day (")&amp;TEXT($Y794,"dd-mmm")&amp;").","Next: "&amp;$Z794&amp;" due "&amp;TEXT($Y794,"dd-mmm")&amp;" ("&amp;(NETWORKDAYS(TODAY(),$Y794,Holidays)-1)&amp;" business day(s) left).")))))</f>
        <v/>
      </c>
      <c r="V794" s="17">
        <f>IF($W794="","",CHOOSE($W794,"Collection Email","1st Follow-up","2nd Follow-up","Local Office","CBE","Roxanne")&amp;IF($W794=6," - Final"," - Day "&amp;MAX(0,NETWORKDAYS($X794,TODAY(),Holidays)-1)&amp;" of "&amp;CHOOSE($W794,3,3,2,2,3))&amp;" | Total Day "&amp;MAX(0,NETWORKDAYS($L794,TODAY(),Holidays)-1))</f>
        <v/>
      </c>
      <c r="W794" s="17">
        <f>IF($L794="","",COUNT($L794:$Q794))</f>
        <v/>
      </c>
      <c r="X794" s="18">
        <f>IF($W794="","",INT(INDEX($L794:$Q794,$W794)))</f>
        <v/>
      </c>
      <c r="Y794" s="18">
        <f>IF(OR($W794="",$W794=6),"",WORKDAY($X794,CHOOSE($W794,3,3,2,2,3),Holidays))</f>
        <v/>
      </c>
      <c r="Z794" s="17">
        <f>IF(OR($W794="",$W794=6),"",CHOOSE($W794,"1st Email Follow-up","2nd Email Follow-up","Escalate Local Office","Escalate to CBE","Escalate to Roxanne"))</f>
        <v/>
      </c>
    </row>
    <row r="795" spans="18:26">
      <c r="R795" s="15"/>
      <c r="S795" s="16"/>
      <c r="T795" s="17">
        <f>IF(AND(COUNTA($A795:$K795)=0,$L795=""),"",IF($S795="Paid","PAID",IF($S795="Closed","CLOSED",IF($W795="","",IF($W795=6,"ESCALATED TO ROXANNE",IF(TODAY()&gt;$Y795,"OVERDUE",IF($Y795&lt;=WORKDAY(TODAY(),1,Holidays),"DUE TOMORROW",IF($W795=4,"ESCALATED TO LOCAL OFFICE",IF($W795=5,"ESCALATED TO CBE",IF($X795=TODAY(),"EMAIL SENT","MONITORING"))))))))))</f>
        <v/>
      </c>
      <c r="U795" s="17">
        <f>IF($T795="",IF(AND(COUNTA($A795:$K795)&gt;0,$L795=""),"Awaiting Collection Email time stamp.",""),IF(OR($T795="PAID",$T795="CLOSED"),IF($T795="PAID","Account paid. Action completed.","Account closed. No further action required."),CHOOSE($W795,"Collection Email","1st Email Follow-up","2nd Email Follow-up","Escalation to Local Office","Escalation to CBE","Escalation to Roxanne")&amp;" sent "&amp;TEXT($X795,"dd-mmm")&amp;". "&amp;IF($W795=6,"Final escalation completed.",IF($T795="OVERDUE","Next: "&amp;$Z795&amp;" was due "&amp;TEXT($Y795,"dd-mmm")&amp;" - "&amp;(NETWORKDAYS($Y795,TODAY(),Holidays)-1)&amp;" business day(s) late. Send now.",IF($T795="DUE TOMORROW","Next: "&amp;$Z795&amp;IF($Y795&lt;=TODAY()," is due TODAY ("," is due next business day (")&amp;TEXT($Y795,"dd-mmm")&amp;").","Next: "&amp;$Z795&amp;" due "&amp;TEXT($Y795,"dd-mmm")&amp;" ("&amp;(NETWORKDAYS(TODAY(),$Y795,Holidays)-1)&amp;" business day(s) left).")))))</f>
        <v/>
      </c>
      <c r="V795" s="17">
        <f>IF($W795="","",CHOOSE($W795,"Collection Email","1st Follow-up","2nd Follow-up","Local Office","CBE","Roxanne")&amp;IF($W795=6," - Final"," - Day "&amp;MAX(0,NETWORKDAYS($X795,TODAY(),Holidays)-1)&amp;" of "&amp;CHOOSE($W795,3,3,2,2,3))&amp;" | Total Day "&amp;MAX(0,NETWORKDAYS($L795,TODAY(),Holidays)-1))</f>
        <v/>
      </c>
      <c r="W795" s="17">
        <f>IF($L795="","",COUNT($L795:$Q795))</f>
        <v/>
      </c>
      <c r="X795" s="18">
        <f>IF($W795="","",INT(INDEX($L795:$Q795,$W795)))</f>
        <v/>
      </c>
      <c r="Y795" s="18">
        <f>IF(OR($W795="",$W795=6),"",WORKDAY($X795,CHOOSE($W795,3,3,2,2,3),Holidays))</f>
        <v/>
      </c>
      <c r="Z795" s="17">
        <f>IF(OR($W795="",$W795=6),"",CHOOSE($W795,"1st Email Follow-up","2nd Email Follow-up","Escalate Local Office","Escalate to CBE","Escalate to Roxanne"))</f>
        <v/>
      </c>
    </row>
    <row r="796" spans="18:26">
      <c r="R796" s="15"/>
      <c r="S796" s="16"/>
      <c r="T796" s="17">
        <f>IF(AND(COUNTA($A796:$K796)=0,$L796=""),"",IF($S796="Paid","PAID",IF($S796="Closed","CLOSED",IF($W796="","",IF($W796=6,"ESCALATED TO ROXANNE",IF(TODAY()&gt;$Y796,"OVERDUE",IF($Y796&lt;=WORKDAY(TODAY(),1,Holidays),"DUE TOMORROW",IF($W796=4,"ESCALATED TO LOCAL OFFICE",IF($W796=5,"ESCALATED TO CBE",IF($X796=TODAY(),"EMAIL SENT","MONITORING"))))))))))</f>
        <v/>
      </c>
      <c r="U796" s="17">
        <f>IF($T796="",IF(AND(COUNTA($A796:$K796)&gt;0,$L796=""),"Awaiting Collection Email time stamp.",""),IF(OR($T796="PAID",$T796="CLOSED"),IF($T796="PAID","Account paid. Action completed.","Account closed. No further action required."),CHOOSE($W796,"Collection Email","1st Email Follow-up","2nd Email Follow-up","Escalation to Local Office","Escalation to CBE","Escalation to Roxanne")&amp;" sent "&amp;TEXT($X796,"dd-mmm")&amp;". "&amp;IF($W796=6,"Final escalation completed.",IF($T796="OVERDUE","Next: "&amp;$Z796&amp;" was due "&amp;TEXT($Y796,"dd-mmm")&amp;" - "&amp;(NETWORKDAYS($Y796,TODAY(),Holidays)-1)&amp;" business day(s) late. Send now.",IF($T796="DUE TOMORROW","Next: "&amp;$Z796&amp;IF($Y796&lt;=TODAY()," is due TODAY ("," is due next business day (")&amp;TEXT($Y796,"dd-mmm")&amp;").","Next: "&amp;$Z796&amp;" due "&amp;TEXT($Y796,"dd-mmm")&amp;" ("&amp;(NETWORKDAYS(TODAY(),$Y796,Holidays)-1)&amp;" business day(s) left).")))))</f>
        <v/>
      </c>
      <c r="V796" s="17">
        <f>IF($W796="","",CHOOSE($W796,"Collection Email","1st Follow-up","2nd Follow-up","Local Office","CBE","Roxanne")&amp;IF($W796=6," - Final"," - Day "&amp;MAX(0,NETWORKDAYS($X796,TODAY(),Holidays)-1)&amp;" of "&amp;CHOOSE($W796,3,3,2,2,3))&amp;" | Total Day "&amp;MAX(0,NETWORKDAYS($L796,TODAY(),Holidays)-1))</f>
        <v/>
      </c>
      <c r="W796" s="17">
        <f>IF($L796="","",COUNT($L796:$Q796))</f>
        <v/>
      </c>
      <c r="X796" s="18">
        <f>IF($W796="","",INT(INDEX($L796:$Q796,$W796)))</f>
        <v/>
      </c>
      <c r="Y796" s="18">
        <f>IF(OR($W796="",$W796=6),"",WORKDAY($X796,CHOOSE($W796,3,3,2,2,3),Holidays))</f>
        <v/>
      </c>
      <c r="Z796" s="17">
        <f>IF(OR($W796="",$W796=6),"",CHOOSE($W796,"1st Email Follow-up","2nd Email Follow-up","Escalate Local Office","Escalate to CBE","Escalate to Roxanne"))</f>
        <v/>
      </c>
    </row>
    <row r="797" spans="18:26">
      <c r="R797" s="15"/>
      <c r="S797" s="16"/>
      <c r="T797" s="17">
        <f>IF(AND(COUNTA($A797:$K797)=0,$L797=""),"",IF($S797="Paid","PAID",IF($S797="Closed","CLOSED",IF($W797="","",IF($W797=6,"ESCALATED TO ROXANNE",IF(TODAY()&gt;$Y797,"OVERDUE",IF($Y797&lt;=WORKDAY(TODAY(),1,Holidays),"DUE TOMORROW",IF($W797=4,"ESCALATED TO LOCAL OFFICE",IF($W797=5,"ESCALATED TO CBE",IF($X797=TODAY(),"EMAIL SENT","MONITORING"))))))))))</f>
        <v/>
      </c>
      <c r="U797" s="17">
        <f>IF($T797="",IF(AND(COUNTA($A797:$K797)&gt;0,$L797=""),"Awaiting Collection Email time stamp.",""),IF(OR($T797="PAID",$T797="CLOSED"),IF($T797="PAID","Account paid. Action completed.","Account closed. No further action required."),CHOOSE($W797,"Collection Email","1st Email Follow-up","2nd Email Follow-up","Escalation to Local Office","Escalation to CBE","Escalation to Roxanne")&amp;" sent "&amp;TEXT($X797,"dd-mmm")&amp;". "&amp;IF($W797=6,"Final escalation completed.",IF($T797="OVERDUE","Next: "&amp;$Z797&amp;" was due "&amp;TEXT($Y797,"dd-mmm")&amp;" - "&amp;(NETWORKDAYS($Y797,TODAY(),Holidays)-1)&amp;" business day(s) late. Send now.",IF($T797="DUE TOMORROW","Next: "&amp;$Z797&amp;IF($Y797&lt;=TODAY()," is due TODAY ("," is due next business day (")&amp;TEXT($Y797,"dd-mmm")&amp;").","Next: "&amp;$Z797&amp;" due "&amp;TEXT($Y797,"dd-mmm")&amp;" ("&amp;(NETWORKDAYS(TODAY(),$Y797,Holidays)-1)&amp;" business day(s) left).")))))</f>
        <v/>
      </c>
      <c r="V797" s="17">
        <f>IF($W797="","",CHOOSE($W797,"Collection Email","1st Follow-up","2nd Follow-up","Local Office","CBE","Roxanne")&amp;IF($W797=6," - Final"," - Day "&amp;MAX(0,NETWORKDAYS($X797,TODAY(),Holidays)-1)&amp;" of "&amp;CHOOSE($W797,3,3,2,2,3))&amp;" | Total Day "&amp;MAX(0,NETWORKDAYS($L797,TODAY(),Holidays)-1))</f>
        <v/>
      </c>
      <c r="W797" s="17">
        <f>IF($L797="","",COUNT($L797:$Q797))</f>
        <v/>
      </c>
      <c r="X797" s="18">
        <f>IF($W797="","",INT(INDEX($L797:$Q797,$W797)))</f>
        <v/>
      </c>
      <c r="Y797" s="18">
        <f>IF(OR($W797="",$W797=6),"",WORKDAY($X797,CHOOSE($W797,3,3,2,2,3),Holidays))</f>
        <v/>
      </c>
      <c r="Z797" s="17">
        <f>IF(OR($W797="",$W797=6),"",CHOOSE($W797,"1st Email Follow-up","2nd Email Follow-up","Escalate Local Office","Escalate to CBE","Escalate to Roxanne"))</f>
        <v/>
      </c>
    </row>
    <row r="798" spans="18:26">
      <c r="R798" s="15"/>
      <c r="S798" s="16"/>
      <c r="T798" s="17">
        <f>IF(AND(COUNTA($A798:$K798)=0,$L798=""),"",IF($S798="Paid","PAID",IF($S798="Closed","CLOSED",IF($W798="","",IF($W798=6,"ESCALATED TO ROXANNE",IF(TODAY()&gt;$Y798,"OVERDUE",IF($Y798&lt;=WORKDAY(TODAY(),1,Holidays),"DUE TOMORROW",IF($W798=4,"ESCALATED TO LOCAL OFFICE",IF($W798=5,"ESCALATED TO CBE",IF($X798=TODAY(),"EMAIL SENT","MONITORING"))))))))))</f>
        <v/>
      </c>
      <c r="U798" s="17">
        <f>IF($T798="",IF(AND(COUNTA($A798:$K798)&gt;0,$L798=""),"Awaiting Collection Email time stamp.",""),IF(OR($T798="PAID",$T798="CLOSED"),IF($T798="PAID","Account paid. Action completed.","Account closed. No further action required."),CHOOSE($W798,"Collection Email","1st Email Follow-up","2nd Email Follow-up","Escalation to Local Office","Escalation to CBE","Escalation to Roxanne")&amp;" sent "&amp;TEXT($X798,"dd-mmm")&amp;". "&amp;IF($W798=6,"Final escalation completed.",IF($T798="OVERDUE","Next: "&amp;$Z798&amp;" was due "&amp;TEXT($Y798,"dd-mmm")&amp;" - "&amp;(NETWORKDAYS($Y798,TODAY(),Holidays)-1)&amp;" business day(s) late. Send now.",IF($T798="DUE TOMORROW","Next: "&amp;$Z798&amp;IF($Y798&lt;=TODAY()," is due TODAY ("," is due next business day (")&amp;TEXT($Y798,"dd-mmm")&amp;").","Next: "&amp;$Z798&amp;" due "&amp;TEXT($Y798,"dd-mmm")&amp;" ("&amp;(NETWORKDAYS(TODAY(),$Y798,Holidays)-1)&amp;" business day(s) left).")))))</f>
        <v/>
      </c>
      <c r="V798" s="17">
        <f>IF($W798="","",CHOOSE($W798,"Collection Email","1st Follow-up","2nd Follow-up","Local Office","CBE","Roxanne")&amp;IF($W798=6," - Final"," - Day "&amp;MAX(0,NETWORKDAYS($X798,TODAY(),Holidays)-1)&amp;" of "&amp;CHOOSE($W798,3,3,2,2,3))&amp;" | Total Day "&amp;MAX(0,NETWORKDAYS($L798,TODAY(),Holidays)-1))</f>
        <v/>
      </c>
      <c r="W798" s="17">
        <f>IF($L798="","",COUNT($L798:$Q798))</f>
        <v/>
      </c>
      <c r="X798" s="18">
        <f>IF($W798="","",INT(INDEX($L798:$Q798,$W798)))</f>
        <v/>
      </c>
      <c r="Y798" s="18">
        <f>IF(OR($W798="",$W798=6),"",WORKDAY($X798,CHOOSE($W798,3,3,2,2,3),Holidays))</f>
        <v/>
      </c>
      <c r="Z798" s="17">
        <f>IF(OR($W798="",$W798=6),"",CHOOSE($W798,"1st Email Follow-up","2nd Email Follow-up","Escalate Local Office","Escalate to CBE","Escalate to Roxanne"))</f>
        <v/>
      </c>
    </row>
    <row r="799" spans="18:26">
      <c r="R799" s="15"/>
      <c r="S799" s="16"/>
      <c r="T799" s="17">
        <f>IF(AND(COUNTA($A799:$K799)=0,$L799=""),"",IF($S799="Paid","PAID",IF($S799="Closed","CLOSED",IF($W799="","",IF($W799=6,"ESCALATED TO ROXANNE",IF(TODAY()&gt;$Y799,"OVERDUE",IF($Y799&lt;=WORKDAY(TODAY(),1,Holidays),"DUE TOMORROW",IF($W799=4,"ESCALATED TO LOCAL OFFICE",IF($W799=5,"ESCALATED TO CBE",IF($X799=TODAY(),"EMAIL SENT","MONITORING"))))))))))</f>
        <v/>
      </c>
      <c r="U799" s="17">
        <f>IF($T799="",IF(AND(COUNTA($A799:$K799)&gt;0,$L799=""),"Awaiting Collection Email time stamp.",""),IF(OR($T799="PAID",$T799="CLOSED"),IF($T799="PAID","Account paid. Action completed.","Account closed. No further action required."),CHOOSE($W799,"Collection Email","1st Email Follow-up","2nd Email Follow-up","Escalation to Local Office","Escalation to CBE","Escalation to Roxanne")&amp;" sent "&amp;TEXT($X799,"dd-mmm")&amp;". "&amp;IF($W799=6,"Final escalation completed.",IF($T799="OVERDUE","Next: "&amp;$Z799&amp;" was due "&amp;TEXT($Y799,"dd-mmm")&amp;" - "&amp;(NETWORKDAYS($Y799,TODAY(),Holidays)-1)&amp;" business day(s) late. Send now.",IF($T799="DUE TOMORROW","Next: "&amp;$Z799&amp;IF($Y799&lt;=TODAY()," is due TODAY ("," is due next business day (")&amp;TEXT($Y799,"dd-mmm")&amp;").","Next: "&amp;$Z799&amp;" due "&amp;TEXT($Y799,"dd-mmm")&amp;" ("&amp;(NETWORKDAYS(TODAY(),$Y799,Holidays)-1)&amp;" business day(s) left).")))))</f>
        <v/>
      </c>
      <c r="V799" s="17">
        <f>IF($W799="","",CHOOSE($W799,"Collection Email","1st Follow-up","2nd Follow-up","Local Office","CBE","Roxanne")&amp;IF($W799=6," - Final"," - Day "&amp;MAX(0,NETWORKDAYS($X799,TODAY(),Holidays)-1)&amp;" of "&amp;CHOOSE($W799,3,3,2,2,3))&amp;" | Total Day "&amp;MAX(0,NETWORKDAYS($L799,TODAY(),Holidays)-1))</f>
        <v/>
      </c>
      <c r="W799" s="17">
        <f>IF($L799="","",COUNT($L799:$Q799))</f>
        <v/>
      </c>
      <c r="X799" s="18">
        <f>IF($W799="","",INT(INDEX($L799:$Q799,$W799)))</f>
        <v/>
      </c>
      <c r="Y799" s="18">
        <f>IF(OR($W799="",$W799=6),"",WORKDAY($X799,CHOOSE($W799,3,3,2,2,3),Holidays))</f>
        <v/>
      </c>
      <c r="Z799" s="17">
        <f>IF(OR($W799="",$W799=6),"",CHOOSE($W799,"1st Email Follow-up","2nd Email Follow-up","Escalate Local Office","Escalate to CBE","Escalate to Roxanne"))</f>
        <v/>
      </c>
    </row>
    <row r="800" spans="18:26">
      <c r="R800" s="15"/>
      <c r="S800" s="16"/>
      <c r="T800" s="17">
        <f>IF(AND(COUNTA($A800:$K800)=0,$L800=""),"",IF($S800="Paid","PAID",IF($S800="Closed","CLOSED",IF($W800="","",IF($W800=6,"ESCALATED TO ROXANNE",IF(TODAY()&gt;$Y800,"OVERDUE",IF($Y800&lt;=WORKDAY(TODAY(),1,Holidays),"DUE TOMORROW",IF($W800=4,"ESCALATED TO LOCAL OFFICE",IF($W800=5,"ESCALATED TO CBE",IF($X800=TODAY(),"EMAIL SENT","MONITORING"))))))))))</f>
        <v/>
      </c>
      <c r="U800" s="17">
        <f>IF($T800="",IF(AND(COUNTA($A800:$K800)&gt;0,$L800=""),"Awaiting Collection Email time stamp.",""),IF(OR($T800="PAID",$T800="CLOSED"),IF($T800="PAID","Account paid. Action completed.","Account closed. No further action required."),CHOOSE($W800,"Collection Email","1st Email Follow-up","2nd Email Follow-up","Escalation to Local Office","Escalation to CBE","Escalation to Roxanne")&amp;" sent "&amp;TEXT($X800,"dd-mmm")&amp;". "&amp;IF($W800=6,"Final escalation completed.",IF($T800="OVERDUE","Next: "&amp;$Z800&amp;" was due "&amp;TEXT($Y800,"dd-mmm")&amp;" - "&amp;(NETWORKDAYS($Y800,TODAY(),Holidays)-1)&amp;" business day(s) late. Send now.",IF($T800="DUE TOMORROW","Next: "&amp;$Z800&amp;IF($Y800&lt;=TODAY()," is due TODAY ("," is due next business day (")&amp;TEXT($Y800,"dd-mmm")&amp;").","Next: "&amp;$Z800&amp;" due "&amp;TEXT($Y800,"dd-mmm")&amp;" ("&amp;(NETWORKDAYS(TODAY(),$Y800,Holidays)-1)&amp;" business day(s) left).")))))</f>
        <v/>
      </c>
      <c r="V800" s="17">
        <f>IF($W800="","",CHOOSE($W800,"Collection Email","1st Follow-up","2nd Follow-up","Local Office","CBE","Roxanne")&amp;IF($W800=6," - Final"," - Day "&amp;MAX(0,NETWORKDAYS($X800,TODAY(),Holidays)-1)&amp;" of "&amp;CHOOSE($W800,3,3,2,2,3))&amp;" | Total Day "&amp;MAX(0,NETWORKDAYS($L800,TODAY(),Holidays)-1))</f>
        <v/>
      </c>
      <c r="W800" s="17">
        <f>IF($L800="","",COUNT($L800:$Q800))</f>
        <v/>
      </c>
      <c r="X800" s="18">
        <f>IF($W800="","",INT(INDEX($L800:$Q800,$W800)))</f>
        <v/>
      </c>
      <c r="Y800" s="18">
        <f>IF(OR($W800="",$W800=6),"",WORKDAY($X800,CHOOSE($W800,3,3,2,2,3),Holidays))</f>
        <v/>
      </c>
      <c r="Z800" s="17">
        <f>IF(OR($W800="",$W800=6),"",CHOOSE($W800,"1st Email Follow-up","2nd Email Follow-up","Escalate Local Office","Escalate to CBE","Escalate to Roxanne"))</f>
        <v/>
      </c>
    </row>
    <row r="801" spans="18:26">
      <c r="R801" s="15"/>
      <c r="S801" s="16"/>
      <c r="T801" s="17">
        <f>IF(AND(COUNTA($A801:$K801)=0,$L801=""),"",IF($S801="Paid","PAID",IF($S801="Closed","CLOSED",IF($W801="","",IF($W801=6,"ESCALATED TO ROXANNE",IF(TODAY()&gt;$Y801,"OVERDUE",IF($Y801&lt;=WORKDAY(TODAY(),1,Holidays),"DUE TOMORROW",IF($W801=4,"ESCALATED TO LOCAL OFFICE",IF($W801=5,"ESCALATED TO CBE",IF($X801=TODAY(),"EMAIL SENT","MONITORING"))))))))))</f>
        <v/>
      </c>
      <c r="U801" s="17">
        <f>IF($T801="",IF(AND(COUNTA($A801:$K801)&gt;0,$L801=""),"Awaiting Collection Email time stamp.",""),IF(OR($T801="PAID",$T801="CLOSED"),IF($T801="PAID","Account paid. Action completed.","Account closed. No further action required."),CHOOSE($W801,"Collection Email","1st Email Follow-up","2nd Email Follow-up","Escalation to Local Office","Escalation to CBE","Escalation to Roxanne")&amp;" sent "&amp;TEXT($X801,"dd-mmm")&amp;". "&amp;IF($W801=6,"Final escalation completed.",IF($T801="OVERDUE","Next: "&amp;$Z801&amp;" was due "&amp;TEXT($Y801,"dd-mmm")&amp;" - "&amp;(NETWORKDAYS($Y801,TODAY(),Holidays)-1)&amp;" business day(s) late. Send now.",IF($T801="DUE TOMORROW","Next: "&amp;$Z801&amp;IF($Y801&lt;=TODAY()," is due TODAY ("," is due next business day (")&amp;TEXT($Y801,"dd-mmm")&amp;").","Next: "&amp;$Z801&amp;" due "&amp;TEXT($Y801,"dd-mmm")&amp;" ("&amp;(NETWORKDAYS(TODAY(),$Y801,Holidays)-1)&amp;" business day(s) left).")))))</f>
        <v/>
      </c>
      <c r="V801" s="17">
        <f>IF($W801="","",CHOOSE($W801,"Collection Email","1st Follow-up","2nd Follow-up","Local Office","CBE","Roxanne")&amp;IF($W801=6," - Final"," - Day "&amp;MAX(0,NETWORKDAYS($X801,TODAY(),Holidays)-1)&amp;" of "&amp;CHOOSE($W801,3,3,2,2,3))&amp;" | Total Day "&amp;MAX(0,NETWORKDAYS($L801,TODAY(),Holidays)-1))</f>
        <v/>
      </c>
      <c r="W801" s="17">
        <f>IF($L801="","",COUNT($L801:$Q801))</f>
        <v/>
      </c>
      <c r="X801" s="18">
        <f>IF($W801="","",INT(INDEX($L801:$Q801,$W801)))</f>
        <v/>
      </c>
      <c r="Y801" s="18">
        <f>IF(OR($W801="",$W801=6),"",WORKDAY($X801,CHOOSE($W801,3,3,2,2,3),Holidays))</f>
        <v/>
      </c>
      <c r="Z801" s="17">
        <f>IF(OR($W801="",$W801=6),"",CHOOSE($W801,"1st Email Follow-up","2nd Email Follow-up","Escalate Local Office","Escalate to CBE","Escalate to Roxanne"))</f>
        <v/>
      </c>
    </row>
    <row r="802" spans="18:26">
      <c r="R802" s="15"/>
      <c r="S802" s="16"/>
      <c r="T802" s="17">
        <f>IF(AND(COUNTA($A802:$K802)=0,$L802=""),"",IF($S802="Paid","PAID",IF($S802="Closed","CLOSED",IF($W802="","",IF($W802=6,"ESCALATED TO ROXANNE",IF(TODAY()&gt;$Y802,"OVERDUE",IF($Y802&lt;=WORKDAY(TODAY(),1,Holidays),"DUE TOMORROW",IF($W802=4,"ESCALATED TO LOCAL OFFICE",IF($W802=5,"ESCALATED TO CBE",IF($X802=TODAY(),"EMAIL SENT","MONITORING"))))))))))</f>
        <v/>
      </c>
      <c r="U802" s="17">
        <f>IF($T802="",IF(AND(COUNTA($A802:$K802)&gt;0,$L802=""),"Awaiting Collection Email time stamp.",""),IF(OR($T802="PAID",$T802="CLOSED"),IF($T802="PAID","Account paid. Action completed.","Account closed. No further action required."),CHOOSE($W802,"Collection Email","1st Email Follow-up","2nd Email Follow-up","Escalation to Local Office","Escalation to CBE","Escalation to Roxanne")&amp;" sent "&amp;TEXT($X802,"dd-mmm")&amp;". "&amp;IF($W802=6,"Final escalation completed.",IF($T802="OVERDUE","Next: "&amp;$Z802&amp;" was due "&amp;TEXT($Y802,"dd-mmm")&amp;" - "&amp;(NETWORKDAYS($Y802,TODAY(),Holidays)-1)&amp;" business day(s) late. Send now.",IF($T802="DUE TOMORROW","Next: "&amp;$Z802&amp;IF($Y802&lt;=TODAY()," is due TODAY ("," is due next business day (")&amp;TEXT($Y802,"dd-mmm")&amp;").","Next: "&amp;$Z802&amp;" due "&amp;TEXT($Y802,"dd-mmm")&amp;" ("&amp;(NETWORKDAYS(TODAY(),$Y802,Holidays)-1)&amp;" business day(s) left).")))))</f>
        <v/>
      </c>
      <c r="V802" s="17">
        <f>IF($W802="","",CHOOSE($W802,"Collection Email","1st Follow-up","2nd Follow-up","Local Office","CBE","Roxanne")&amp;IF($W802=6," - Final"," - Day "&amp;MAX(0,NETWORKDAYS($X802,TODAY(),Holidays)-1)&amp;" of "&amp;CHOOSE($W802,3,3,2,2,3))&amp;" | Total Day "&amp;MAX(0,NETWORKDAYS($L802,TODAY(),Holidays)-1))</f>
        <v/>
      </c>
      <c r="W802" s="17">
        <f>IF($L802="","",COUNT($L802:$Q802))</f>
        <v/>
      </c>
      <c r="X802" s="18">
        <f>IF($W802="","",INT(INDEX($L802:$Q802,$W802)))</f>
        <v/>
      </c>
      <c r="Y802" s="18">
        <f>IF(OR($W802="",$W802=6),"",WORKDAY($X802,CHOOSE($W802,3,3,2,2,3),Holidays))</f>
        <v/>
      </c>
      <c r="Z802" s="17">
        <f>IF(OR($W802="",$W802=6),"",CHOOSE($W802,"1st Email Follow-up","2nd Email Follow-up","Escalate Local Office","Escalate to CBE","Escalate to Roxanne"))</f>
        <v/>
      </c>
    </row>
    <row r="803" spans="18:26">
      <c r="R803" s="15"/>
      <c r="S803" s="16"/>
      <c r="T803" s="17">
        <f>IF(AND(COUNTA($A803:$K803)=0,$L803=""),"",IF($S803="Paid","PAID",IF($S803="Closed","CLOSED",IF($W803="","",IF($W803=6,"ESCALATED TO ROXANNE",IF(TODAY()&gt;$Y803,"OVERDUE",IF($Y803&lt;=WORKDAY(TODAY(),1,Holidays),"DUE TOMORROW",IF($W803=4,"ESCALATED TO LOCAL OFFICE",IF($W803=5,"ESCALATED TO CBE",IF($X803=TODAY(),"EMAIL SENT","MONITORING"))))))))))</f>
        <v/>
      </c>
      <c r="U803" s="17">
        <f>IF($T803="",IF(AND(COUNTA($A803:$K803)&gt;0,$L803=""),"Awaiting Collection Email time stamp.",""),IF(OR($T803="PAID",$T803="CLOSED"),IF($T803="PAID","Account paid. Action completed.","Account closed. No further action required."),CHOOSE($W803,"Collection Email","1st Email Follow-up","2nd Email Follow-up","Escalation to Local Office","Escalation to CBE","Escalation to Roxanne")&amp;" sent "&amp;TEXT($X803,"dd-mmm")&amp;". "&amp;IF($W803=6,"Final escalation completed.",IF($T803="OVERDUE","Next: "&amp;$Z803&amp;" was due "&amp;TEXT($Y803,"dd-mmm")&amp;" - "&amp;(NETWORKDAYS($Y803,TODAY(),Holidays)-1)&amp;" business day(s) late. Send now.",IF($T803="DUE TOMORROW","Next: "&amp;$Z803&amp;IF($Y803&lt;=TODAY()," is due TODAY ("," is due next business day (")&amp;TEXT($Y803,"dd-mmm")&amp;").","Next: "&amp;$Z803&amp;" due "&amp;TEXT($Y803,"dd-mmm")&amp;" ("&amp;(NETWORKDAYS(TODAY(),$Y803,Holidays)-1)&amp;" business day(s) left).")))))</f>
        <v/>
      </c>
      <c r="V803" s="17">
        <f>IF($W803="","",CHOOSE($W803,"Collection Email","1st Follow-up","2nd Follow-up","Local Office","CBE","Roxanne")&amp;IF($W803=6," - Final"," - Day "&amp;MAX(0,NETWORKDAYS($X803,TODAY(),Holidays)-1)&amp;" of "&amp;CHOOSE($W803,3,3,2,2,3))&amp;" | Total Day "&amp;MAX(0,NETWORKDAYS($L803,TODAY(),Holidays)-1))</f>
        <v/>
      </c>
      <c r="W803" s="17">
        <f>IF($L803="","",COUNT($L803:$Q803))</f>
        <v/>
      </c>
      <c r="X803" s="18">
        <f>IF($W803="","",INT(INDEX($L803:$Q803,$W803)))</f>
        <v/>
      </c>
      <c r="Y803" s="18">
        <f>IF(OR($W803="",$W803=6),"",WORKDAY($X803,CHOOSE($W803,3,3,2,2,3),Holidays))</f>
        <v/>
      </c>
      <c r="Z803" s="17">
        <f>IF(OR($W803="",$W803=6),"",CHOOSE($W803,"1st Email Follow-up","2nd Email Follow-up","Escalate Local Office","Escalate to CBE","Escalate to Roxanne"))</f>
        <v/>
      </c>
    </row>
    <row r="804" spans="18:26">
      <c r="R804" s="15"/>
      <c r="S804" s="16"/>
      <c r="T804" s="17">
        <f>IF(AND(COUNTA($A804:$K804)=0,$L804=""),"",IF($S804="Paid","PAID",IF($S804="Closed","CLOSED",IF($W804="","",IF($W804=6,"ESCALATED TO ROXANNE",IF(TODAY()&gt;$Y804,"OVERDUE",IF($Y804&lt;=WORKDAY(TODAY(),1,Holidays),"DUE TOMORROW",IF($W804=4,"ESCALATED TO LOCAL OFFICE",IF($W804=5,"ESCALATED TO CBE",IF($X804=TODAY(),"EMAIL SENT","MONITORING"))))))))))</f>
        <v/>
      </c>
      <c r="U804" s="17">
        <f>IF($T804="",IF(AND(COUNTA($A804:$K804)&gt;0,$L804=""),"Awaiting Collection Email time stamp.",""),IF(OR($T804="PAID",$T804="CLOSED"),IF($T804="PAID","Account paid. Action completed.","Account closed. No further action required."),CHOOSE($W804,"Collection Email","1st Email Follow-up","2nd Email Follow-up","Escalation to Local Office","Escalation to CBE","Escalation to Roxanne")&amp;" sent "&amp;TEXT($X804,"dd-mmm")&amp;". "&amp;IF($W804=6,"Final escalation completed.",IF($T804="OVERDUE","Next: "&amp;$Z804&amp;" was due "&amp;TEXT($Y804,"dd-mmm")&amp;" - "&amp;(NETWORKDAYS($Y804,TODAY(),Holidays)-1)&amp;" business day(s) late. Send now.",IF($T804="DUE TOMORROW","Next: "&amp;$Z804&amp;IF($Y804&lt;=TODAY()," is due TODAY ("," is due next business day (")&amp;TEXT($Y804,"dd-mmm")&amp;").","Next: "&amp;$Z804&amp;" due "&amp;TEXT($Y804,"dd-mmm")&amp;" ("&amp;(NETWORKDAYS(TODAY(),$Y804,Holidays)-1)&amp;" business day(s) left).")))))</f>
        <v/>
      </c>
      <c r="V804" s="17">
        <f>IF($W804="","",CHOOSE($W804,"Collection Email","1st Follow-up","2nd Follow-up","Local Office","CBE","Roxanne")&amp;IF($W804=6," - Final"," - Day "&amp;MAX(0,NETWORKDAYS($X804,TODAY(),Holidays)-1)&amp;" of "&amp;CHOOSE($W804,3,3,2,2,3))&amp;" | Total Day "&amp;MAX(0,NETWORKDAYS($L804,TODAY(),Holidays)-1))</f>
        <v/>
      </c>
      <c r="W804" s="17">
        <f>IF($L804="","",COUNT($L804:$Q804))</f>
        <v/>
      </c>
      <c r="X804" s="18">
        <f>IF($W804="","",INT(INDEX($L804:$Q804,$W804)))</f>
        <v/>
      </c>
      <c r="Y804" s="18">
        <f>IF(OR($W804="",$W804=6),"",WORKDAY($X804,CHOOSE($W804,3,3,2,2,3),Holidays))</f>
        <v/>
      </c>
      <c r="Z804" s="17">
        <f>IF(OR($W804="",$W804=6),"",CHOOSE($W804,"1st Email Follow-up","2nd Email Follow-up","Escalate Local Office","Escalate to CBE","Escalate to Roxanne"))</f>
        <v/>
      </c>
    </row>
    <row r="805" spans="18:26">
      <c r="R805" s="15"/>
      <c r="S805" s="16"/>
      <c r="T805" s="17">
        <f>IF(AND(COUNTA($A805:$K805)=0,$L805=""),"",IF($S805="Paid","PAID",IF($S805="Closed","CLOSED",IF($W805="","",IF($W805=6,"ESCALATED TO ROXANNE",IF(TODAY()&gt;$Y805,"OVERDUE",IF($Y805&lt;=WORKDAY(TODAY(),1,Holidays),"DUE TOMORROW",IF($W805=4,"ESCALATED TO LOCAL OFFICE",IF($W805=5,"ESCALATED TO CBE",IF($X805=TODAY(),"EMAIL SENT","MONITORING"))))))))))</f>
        <v/>
      </c>
      <c r="U805" s="17">
        <f>IF($T805="",IF(AND(COUNTA($A805:$K805)&gt;0,$L805=""),"Awaiting Collection Email time stamp.",""),IF(OR($T805="PAID",$T805="CLOSED"),IF($T805="PAID","Account paid. Action completed.","Account closed. No further action required."),CHOOSE($W805,"Collection Email","1st Email Follow-up","2nd Email Follow-up","Escalation to Local Office","Escalation to CBE","Escalation to Roxanne")&amp;" sent "&amp;TEXT($X805,"dd-mmm")&amp;". "&amp;IF($W805=6,"Final escalation completed.",IF($T805="OVERDUE","Next: "&amp;$Z805&amp;" was due "&amp;TEXT($Y805,"dd-mmm")&amp;" - "&amp;(NETWORKDAYS($Y805,TODAY(),Holidays)-1)&amp;" business day(s) late. Send now.",IF($T805="DUE TOMORROW","Next: "&amp;$Z805&amp;IF($Y805&lt;=TODAY()," is due TODAY ("," is due next business day (")&amp;TEXT($Y805,"dd-mmm")&amp;").","Next: "&amp;$Z805&amp;" due "&amp;TEXT($Y805,"dd-mmm")&amp;" ("&amp;(NETWORKDAYS(TODAY(),$Y805,Holidays)-1)&amp;" business day(s) left).")))))</f>
        <v/>
      </c>
      <c r="V805" s="17">
        <f>IF($W805="","",CHOOSE($W805,"Collection Email","1st Follow-up","2nd Follow-up","Local Office","CBE","Roxanne")&amp;IF($W805=6," - Final"," - Day "&amp;MAX(0,NETWORKDAYS($X805,TODAY(),Holidays)-1)&amp;" of "&amp;CHOOSE($W805,3,3,2,2,3))&amp;" | Total Day "&amp;MAX(0,NETWORKDAYS($L805,TODAY(),Holidays)-1))</f>
        <v/>
      </c>
      <c r="W805" s="17">
        <f>IF($L805="","",COUNT($L805:$Q805))</f>
        <v/>
      </c>
      <c r="X805" s="18">
        <f>IF($W805="","",INT(INDEX($L805:$Q805,$W805)))</f>
        <v/>
      </c>
      <c r="Y805" s="18">
        <f>IF(OR($W805="",$W805=6),"",WORKDAY($X805,CHOOSE($W805,3,3,2,2,3),Holidays))</f>
        <v/>
      </c>
      <c r="Z805" s="17">
        <f>IF(OR($W805="",$W805=6),"",CHOOSE($W805,"1st Email Follow-up","2nd Email Follow-up","Escalate Local Office","Escalate to CBE","Escalate to Roxanne"))</f>
        <v/>
      </c>
    </row>
    <row r="806" spans="18:26">
      <c r="R806" s="15"/>
      <c r="S806" s="16"/>
      <c r="T806" s="17">
        <f>IF(AND(COUNTA($A806:$K806)=0,$L806=""),"",IF($S806="Paid","PAID",IF($S806="Closed","CLOSED",IF($W806="","",IF($W806=6,"ESCALATED TO ROXANNE",IF(TODAY()&gt;$Y806,"OVERDUE",IF($Y806&lt;=WORKDAY(TODAY(),1,Holidays),"DUE TOMORROW",IF($W806=4,"ESCALATED TO LOCAL OFFICE",IF($W806=5,"ESCALATED TO CBE",IF($X806=TODAY(),"EMAIL SENT","MONITORING"))))))))))</f>
        <v/>
      </c>
      <c r="U806" s="17">
        <f>IF($T806="",IF(AND(COUNTA($A806:$K806)&gt;0,$L806=""),"Awaiting Collection Email time stamp.",""),IF(OR($T806="PAID",$T806="CLOSED"),IF($T806="PAID","Account paid. Action completed.","Account closed. No further action required."),CHOOSE($W806,"Collection Email","1st Email Follow-up","2nd Email Follow-up","Escalation to Local Office","Escalation to CBE","Escalation to Roxanne")&amp;" sent "&amp;TEXT($X806,"dd-mmm")&amp;". "&amp;IF($W806=6,"Final escalation completed.",IF($T806="OVERDUE","Next: "&amp;$Z806&amp;" was due "&amp;TEXT($Y806,"dd-mmm")&amp;" - "&amp;(NETWORKDAYS($Y806,TODAY(),Holidays)-1)&amp;" business day(s) late. Send now.",IF($T806="DUE TOMORROW","Next: "&amp;$Z806&amp;IF($Y806&lt;=TODAY()," is due TODAY ("," is due next business day (")&amp;TEXT($Y806,"dd-mmm")&amp;").","Next: "&amp;$Z806&amp;" due "&amp;TEXT($Y806,"dd-mmm")&amp;" ("&amp;(NETWORKDAYS(TODAY(),$Y806,Holidays)-1)&amp;" business day(s) left).")))))</f>
        <v/>
      </c>
      <c r="V806" s="17">
        <f>IF($W806="","",CHOOSE($W806,"Collection Email","1st Follow-up","2nd Follow-up","Local Office","CBE","Roxanne")&amp;IF($W806=6," - Final"," - Day "&amp;MAX(0,NETWORKDAYS($X806,TODAY(),Holidays)-1)&amp;" of "&amp;CHOOSE($W806,3,3,2,2,3))&amp;" | Total Day "&amp;MAX(0,NETWORKDAYS($L806,TODAY(),Holidays)-1))</f>
        <v/>
      </c>
      <c r="W806" s="17">
        <f>IF($L806="","",COUNT($L806:$Q806))</f>
        <v/>
      </c>
      <c r="X806" s="18">
        <f>IF($W806="","",INT(INDEX($L806:$Q806,$W806)))</f>
        <v/>
      </c>
      <c r="Y806" s="18">
        <f>IF(OR($W806="",$W806=6),"",WORKDAY($X806,CHOOSE($W806,3,3,2,2,3),Holidays))</f>
        <v/>
      </c>
      <c r="Z806" s="17">
        <f>IF(OR($W806="",$W806=6),"",CHOOSE($W806,"1st Email Follow-up","2nd Email Follow-up","Escalate Local Office","Escalate to CBE","Escalate to Roxanne"))</f>
        <v/>
      </c>
    </row>
    <row r="807" spans="18:26">
      <c r="R807" s="15"/>
      <c r="S807" s="16"/>
      <c r="T807" s="17">
        <f>IF(AND(COUNTA($A807:$K807)=0,$L807=""),"",IF($S807="Paid","PAID",IF($S807="Closed","CLOSED",IF($W807="","",IF($W807=6,"ESCALATED TO ROXANNE",IF(TODAY()&gt;$Y807,"OVERDUE",IF($Y807&lt;=WORKDAY(TODAY(),1,Holidays),"DUE TOMORROW",IF($W807=4,"ESCALATED TO LOCAL OFFICE",IF($W807=5,"ESCALATED TO CBE",IF($X807=TODAY(),"EMAIL SENT","MONITORING"))))))))))</f>
        <v/>
      </c>
      <c r="U807" s="17">
        <f>IF($T807="",IF(AND(COUNTA($A807:$K807)&gt;0,$L807=""),"Awaiting Collection Email time stamp.",""),IF(OR($T807="PAID",$T807="CLOSED"),IF($T807="PAID","Account paid. Action completed.","Account closed. No further action required."),CHOOSE($W807,"Collection Email","1st Email Follow-up","2nd Email Follow-up","Escalation to Local Office","Escalation to CBE","Escalation to Roxanne")&amp;" sent "&amp;TEXT($X807,"dd-mmm")&amp;". "&amp;IF($W807=6,"Final escalation completed.",IF($T807="OVERDUE","Next: "&amp;$Z807&amp;" was due "&amp;TEXT($Y807,"dd-mmm")&amp;" - "&amp;(NETWORKDAYS($Y807,TODAY(),Holidays)-1)&amp;" business day(s) late. Send now.",IF($T807="DUE TOMORROW","Next: "&amp;$Z807&amp;IF($Y807&lt;=TODAY()," is due TODAY ("," is due next business day (")&amp;TEXT($Y807,"dd-mmm")&amp;").","Next: "&amp;$Z807&amp;" due "&amp;TEXT($Y807,"dd-mmm")&amp;" ("&amp;(NETWORKDAYS(TODAY(),$Y807,Holidays)-1)&amp;" business day(s) left).")))))</f>
        <v/>
      </c>
      <c r="V807" s="17">
        <f>IF($W807="","",CHOOSE($W807,"Collection Email","1st Follow-up","2nd Follow-up","Local Office","CBE","Roxanne")&amp;IF($W807=6," - Final"," - Day "&amp;MAX(0,NETWORKDAYS($X807,TODAY(),Holidays)-1)&amp;" of "&amp;CHOOSE($W807,3,3,2,2,3))&amp;" | Total Day "&amp;MAX(0,NETWORKDAYS($L807,TODAY(),Holidays)-1))</f>
        <v/>
      </c>
      <c r="W807" s="17">
        <f>IF($L807="","",COUNT($L807:$Q807))</f>
        <v/>
      </c>
      <c r="X807" s="18">
        <f>IF($W807="","",INT(INDEX($L807:$Q807,$W807)))</f>
        <v/>
      </c>
      <c r="Y807" s="18">
        <f>IF(OR($W807="",$W807=6),"",WORKDAY($X807,CHOOSE($W807,3,3,2,2,3),Holidays))</f>
        <v/>
      </c>
      <c r="Z807" s="17">
        <f>IF(OR($W807="",$W807=6),"",CHOOSE($W807,"1st Email Follow-up","2nd Email Follow-up","Escalate Local Office","Escalate to CBE","Escalate to Roxanne"))</f>
        <v/>
      </c>
    </row>
    <row r="808" spans="18:26">
      <c r="R808" s="15"/>
      <c r="S808" s="16"/>
      <c r="T808" s="17">
        <f>IF(AND(COUNTA($A808:$K808)=0,$L808=""),"",IF($S808="Paid","PAID",IF($S808="Closed","CLOSED",IF($W808="","",IF($W808=6,"ESCALATED TO ROXANNE",IF(TODAY()&gt;$Y808,"OVERDUE",IF($Y808&lt;=WORKDAY(TODAY(),1,Holidays),"DUE TOMORROW",IF($W808=4,"ESCALATED TO LOCAL OFFICE",IF($W808=5,"ESCALATED TO CBE",IF($X808=TODAY(),"EMAIL SENT","MONITORING"))))))))))</f>
        <v/>
      </c>
      <c r="U808" s="17">
        <f>IF($T808="",IF(AND(COUNTA($A808:$K808)&gt;0,$L808=""),"Awaiting Collection Email time stamp.",""),IF(OR($T808="PAID",$T808="CLOSED"),IF($T808="PAID","Account paid. Action completed.","Account closed. No further action required."),CHOOSE($W808,"Collection Email","1st Email Follow-up","2nd Email Follow-up","Escalation to Local Office","Escalation to CBE","Escalation to Roxanne")&amp;" sent "&amp;TEXT($X808,"dd-mmm")&amp;". "&amp;IF($W808=6,"Final escalation completed.",IF($T808="OVERDUE","Next: "&amp;$Z808&amp;" was due "&amp;TEXT($Y808,"dd-mmm")&amp;" - "&amp;(NETWORKDAYS($Y808,TODAY(),Holidays)-1)&amp;" business day(s) late. Send now.",IF($T808="DUE TOMORROW","Next: "&amp;$Z808&amp;IF($Y808&lt;=TODAY()," is due TODAY ("," is due next business day (")&amp;TEXT($Y808,"dd-mmm")&amp;").","Next: "&amp;$Z808&amp;" due "&amp;TEXT($Y808,"dd-mmm")&amp;" ("&amp;(NETWORKDAYS(TODAY(),$Y808,Holidays)-1)&amp;" business day(s) left).")))))</f>
        <v/>
      </c>
      <c r="V808" s="17">
        <f>IF($W808="","",CHOOSE($W808,"Collection Email","1st Follow-up","2nd Follow-up","Local Office","CBE","Roxanne")&amp;IF($W808=6," - Final"," - Day "&amp;MAX(0,NETWORKDAYS($X808,TODAY(),Holidays)-1)&amp;" of "&amp;CHOOSE($W808,3,3,2,2,3))&amp;" | Total Day "&amp;MAX(0,NETWORKDAYS($L808,TODAY(),Holidays)-1))</f>
        <v/>
      </c>
      <c r="W808" s="17">
        <f>IF($L808="","",COUNT($L808:$Q808))</f>
        <v/>
      </c>
      <c r="X808" s="18">
        <f>IF($W808="","",INT(INDEX($L808:$Q808,$W808)))</f>
        <v/>
      </c>
      <c r="Y808" s="18">
        <f>IF(OR($W808="",$W808=6),"",WORKDAY($X808,CHOOSE($W808,3,3,2,2,3),Holidays))</f>
        <v/>
      </c>
      <c r="Z808" s="17">
        <f>IF(OR($W808="",$W808=6),"",CHOOSE($W808,"1st Email Follow-up","2nd Email Follow-up","Escalate Local Office","Escalate to CBE","Escalate to Roxanne"))</f>
        <v/>
      </c>
    </row>
    <row r="809" spans="18:26">
      <c r="R809" s="15"/>
      <c r="S809" s="16"/>
      <c r="T809" s="17">
        <f>IF(AND(COUNTA($A809:$K809)=0,$L809=""),"",IF($S809="Paid","PAID",IF($S809="Closed","CLOSED",IF($W809="","",IF($W809=6,"ESCALATED TO ROXANNE",IF(TODAY()&gt;$Y809,"OVERDUE",IF($Y809&lt;=WORKDAY(TODAY(),1,Holidays),"DUE TOMORROW",IF($W809=4,"ESCALATED TO LOCAL OFFICE",IF($W809=5,"ESCALATED TO CBE",IF($X809=TODAY(),"EMAIL SENT","MONITORING"))))))))))</f>
        <v/>
      </c>
      <c r="U809" s="17">
        <f>IF($T809="",IF(AND(COUNTA($A809:$K809)&gt;0,$L809=""),"Awaiting Collection Email time stamp.",""),IF(OR($T809="PAID",$T809="CLOSED"),IF($T809="PAID","Account paid. Action completed.","Account closed. No further action required."),CHOOSE($W809,"Collection Email","1st Email Follow-up","2nd Email Follow-up","Escalation to Local Office","Escalation to CBE","Escalation to Roxanne")&amp;" sent "&amp;TEXT($X809,"dd-mmm")&amp;". "&amp;IF($W809=6,"Final escalation completed.",IF($T809="OVERDUE","Next: "&amp;$Z809&amp;" was due "&amp;TEXT($Y809,"dd-mmm")&amp;" - "&amp;(NETWORKDAYS($Y809,TODAY(),Holidays)-1)&amp;" business day(s) late. Send now.",IF($T809="DUE TOMORROW","Next: "&amp;$Z809&amp;IF($Y809&lt;=TODAY()," is due TODAY ("," is due next business day (")&amp;TEXT($Y809,"dd-mmm")&amp;").","Next: "&amp;$Z809&amp;" due "&amp;TEXT($Y809,"dd-mmm")&amp;" ("&amp;(NETWORKDAYS(TODAY(),$Y809,Holidays)-1)&amp;" business day(s) left).")))))</f>
        <v/>
      </c>
      <c r="V809" s="17">
        <f>IF($W809="","",CHOOSE($W809,"Collection Email","1st Follow-up","2nd Follow-up","Local Office","CBE","Roxanne")&amp;IF($W809=6," - Final"," - Day "&amp;MAX(0,NETWORKDAYS($X809,TODAY(),Holidays)-1)&amp;" of "&amp;CHOOSE($W809,3,3,2,2,3))&amp;" | Total Day "&amp;MAX(0,NETWORKDAYS($L809,TODAY(),Holidays)-1))</f>
        <v/>
      </c>
      <c r="W809" s="17">
        <f>IF($L809="","",COUNT($L809:$Q809))</f>
        <v/>
      </c>
      <c r="X809" s="18">
        <f>IF($W809="","",INT(INDEX($L809:$Q809,$W809)))</f>
        <v/>
      </c>
      <c r="Y809" s="18">
        <f>IF(OR($W809="",$W809=6),"",WORKDAY($X809,CHOOSE($W809,3,3,2,2,3),Holidays))</f>
        <v/>
      </c>
      <c r="Z809" s="17">
        <f>IF(OR($W809="",$W809=6),"",CHOOSE($W809,"1st Email Follow-up","2nd Email Follow-up","Escalate Local Office","Escalate to CBE","Escalate to Roxanne"))</f>
        <v/>
      </c>
    </row>
    <row r="810" spans="18:26">
      <c r="R810" s="15"/>
      <c r="S810" s="16"/>
      <c r="T810" s="17">
        <f>IF(AND(COUNTA($A810:$K810)=0,$L810=""),"",IF($S810="Paid","PAID",IF($S810="Closed","CLOSED",IF($W810="","",IF($W810=6,"ESCALATED TO ROXANNE",IF(TODAY()&gt;$Y810,"OVERDUE",IF($Y810&lt;=WORKDAY(TODAY(),1,Holidays),"DUE TOMORROW",IF($W810=4,"ESCALATED TO LOCAL OFFICE",IF($W810=5,"ESCALATED TO CBE",IF($X810=TODAY(),"EMAIL SENT","MONITORING"))))))))))</f>
        <v/>
      </c>
      <c r="U810" s="17">
        <f>IF($T810="",IF(AND(COUNTA($A810:$K810)&gt;0,$L810=""),"Awaiting Collection Email time stamp.",""),IF(OR($T810="PAID",$T810="CLOSED"),IF($T810="PAID","Account paid. Action completed.","Account closed. No further action required."),CHOOSE($W810,"Collection Email","1st Email Follow-up","2nd Email Follow-up","Escalation to Local Office","Escalation to CBE","Escalation to Roxanne")&amp;" sent "&amp;TEXT($X810,"dd-mmm")&amp;". "&amp;IF($W810=6,"Final escalation completed.",IF($T810="OVERDUE","Next: "&amp;$Z810&amp;" was due "&amp;TEXT($Y810,"dd-mmm")&amp;" - "&amp;(NETWORKDAYS($Y810,TODAY(),Holidays)-1)&amp;" business day(s) late. Send now.",IF($T810="DUE TOMORROW","Next: "&amp;$Z810&amp;IF($Y810&lt;=TODAY()," is due TODAY ("," is due next business day (")&amp;TEXT($Y810,"dd-mmm")&amp;").","Next: "&amp;$Z810&amp;" due "&amp;TEXT($Y810,"dd-mmm")&amp;" ("&amp;(NETWORKDAYS(TODAY(),$Y810,Holidays)-1)&amp;" business day(s) left).")))))</f>
        <v/>
      </c>
      <c r="V810" s="17">
        <f>IF($W810="","",CHOOSE($W810,"Collection Email","1st Follow-up","2nd Follow-up","Local Office","CBE","Roxanne")&amp;IF($W810=6," - Final"," - Day "&amp;MAX(0,NETWORKDAYS($X810,TODAY(),Holidays)-1)&amp;" of "&amp;CHOOSE($W810,3,3,2,2,3))&amp;" | Total Day "&amp;MAX(0,NETWORKDAYS($L810,TODAY(),Holidays)-1))</f>
        <v/>
      </c>
      <c r="W810" s="17">
        <f>IF($L810="","",COUNT($L810:$Q810))</f>
        <v/>
      </c>
      <c r="X810" s="18">
        <f>IF($W810="","",INT(INDEX($L810:$Q810,$W810)))</f>
        <v/>
      </c>
      <c r="Y810" s="18">
        <f>IF(OR($W810="",$W810=6),"",WORKDAY($X810,CHOOSE($W810,3,3,2,2,3),Holidays))</f>
        <v/>
      </c>
      <c r="Z810" s="17">
        <f>IF(OR($W810="",$W810=6),"",CHOOSE($W810,"1st Email Follow-up","2nd Email Follow-up","Escalate Local Office","Escalate to CBE","Escalate to Roxanne"))</f>
        <v/>
      </c>
    </row>
    <row r="811" spans="18:26">
      <c r="R811" s="15"/>
      <c r="S811" s="16"/>
      <c r="T811" s="17">
        <f>IF(AND(COUNTA($A811:$K811)=0,$L811=""),"",IF($S811="Paid","PAID",IF($S811="Closed","CLOSED",IF($W811="","",IF($W811=6,"ESCALATED TO ROXANNE",IF(TODAY()&gt;$Y811,"OVERDUE",IF($Y811&lt;=WORKDAY(TODAY(),1,Holidays),"DUE TOMORROW",IF($W811=4,"ESCALATED TO LOCAL OFFICE",IF($W811=5,"ESCALATED TO CBE",IF($X811=TODAY(),"EMAIL SENT","MONITORING"))))))))))</f>
        <v/>
      </c>
      <c r="U811" s="17">
        <f>IF($T811="",IF(AND(COUNTA($A811:$K811)&gt;0,$L811=""),"Awaiting Collection Email time stamp.",""),IF(OR($T811="PAID",$T811="CLOSED"),IF($T811="PAID","Account paid. Action completed.","Account closed. No further action required."),CHOOSE($W811,"Collection Email","1st Email Follow-up","2nd Email Follow-up","Escalation to Local Office","Escalation to CBE","Escalation to Roxanne")&amp;" sent "&amp;TEXT($X811,"dd-mmm")&amp;". "&amp;IF($W811=6,"Final escalation completed.",IF($T811="OVERDUE","Next: "&amp;$Z811&amp;" was due "&amp;TEXT($Y811,"dd-mmm")&amp;" - "&amp;(NETWORKDAYS($Y811,TODAY(),Holidays)-1)&amp;" business day(s) late. Send now.",IF($T811="DUE TOMORROW","Next: "&amp;$Z811&amp;IF($Y811&lt;=TODAY()," is due TODAY ("," is due next business day (")&amp;TEXT($Y811,"dd-mmm")&amp;").","Next: "&amp;$Z811&amp;" due "&amp;TEXT($Y811,"dd-mmm")&amp;" ("&amp;(NETWORKDAYS(TODAY(),$Y811,Holidays)-1)&amp;" business day(s) left).")))))</f>
        <v/>
      </c>
      <c r="V811" s="17">
        <f>IF($W811="","",CHOOSE($W811,"Collection Email","1st Follow-up","2nd Follow-up","Local Office","CBE","Roxanne")&amp;IF($W811=6," - Final"," - Day "&amp;MAX(0,NETWORKDAYS($X811,TODAY(),Holidays)-1)&amp;" of "&amp;CHOOSE($W811,3,3,2,2,3))&amp;" | Total Day "&amp;MAX(0,NETWORKDAYS($L811,TODAY(),Holidays)-1))</f>
        <v/>
      </c>
      <c r="W811" s="17">
        <f>IF($L811="","",COUNT($L811:$Q811))</f>
        <v/>
      </c>
      <c r="X811" s="18">
        <f>IF($W811="","",INT(INDEX($L811:$Q811,$W811)))</f>
        <v/>
      </c>
      <c r="Y811" s="18">
        <f>IF(OR($W811="",$W811=6),"",WORKDAY($X811,CHOOSE($W811,3,3,2,2,3),Holidays))</f>
        <v/>
      </c>
      <c r="Z811" s="17">
        <f>IF(OR($W811="",$W811=6),"",CHOOSE($W811,"1st Email Follow-up","2nd Email Follow-up","Escalate Local Office","Escalate to CBE","Escalate to Roxanne"))</f>
        <v/>
      </c>
    </row>
    <row r="812" spans="18:26">
      <c r="R812" s="15"/>
      <c r="S812" s="16"/>
      <c r="T812" s="17">
        <f>IF(AND(COUNTA($A812:$K812)=0,$L812=""),"",IF($S812="Paid","PAID",IF($S812="Closed","CLOSED",IF($W812="","",IF($W812=6,"ESCALATED TO ROXANNE",IF(TODAY()&gt;$Y812,"OVERDUE",IF($Y812&lt;=WORKDAY(TODAY(),1,Holidays),"DUE TOMORROW",IF($W812=4,"ESCALATED TO LOCAL OFFICE",IF($W812=5,"ESCALATED TO CBE",IF($X812=TODAY(),"EMAIL SENT","MONITORING"))))))))))</f>
        <v/>
      </c>
      <c r="U812" s="17">
        <f>IF($T812="",IF(AND(COUNTA($A812:$K812)&gt;0,$L812=""),"Awaiting Collection Email time stamp.",""),IF(OR($T812="PAID",$T812="CLOSED"),IF($T812="PAID","Account paid. Action completed.","Account closed. No further action required."),CHOOSE($W812,"Collection Email","1st Email Follow-up","2nd Email Follow-up","Escalation to Local Office","Escalation to CBE","Escalation to Roxanne")&amp;" sent "&amp;TEXT($X812,"dd-mmm")&amp;". "&amp;IF($W812=6,"Final escalation completed.",IF($T812="OVERDUE","Next: "&amp;$Z812&amp;" was due "&amp;TEXT($Y812,"dd-mmm")&amp;" - "&amp;(NETWORKDAYS($Y812,TODAY(),Holidays)-1)&amp;" business day(s) late. Send now.",IF($T812="DUE TOMORROW","Next: "&amp;$Z812&amp;IF($Y812&lt;=TODAY()," is due TODAY ("," is due next business day (")&amp;TEXT($Y812,"dd-mmm")&amp;").","Next: "&amp;$Z812&amp;" due "&amp;TEXT($Y812,"dd-mmm")&amp;" ("&amp;(NETWORKDAYS(TODAY(),$Y812,Holidays)-1)&amp;" business day(s) left).")))))</f>
        <v/>
      </c>
      <c r="V812" s="17">
        <f>IF($W812="","",CHOOSE($W812,"Collection Email","1st Follow-up","2nd Follow-up","Local Office","CBE","Roxanne")&amp;IF($W812=6," - Final"," - Day "&amp;MAX(0,NETWORKDAYS($X812,TODAY(),Holidays)-1)&amp;" of "&amp;CHOOSE($W812,3,3,2,2,3))&amp;" | Total Day "&amp;MAX(0,NETWORKDAYS($L812,TODAY(),Holidays)-1))</f>
        <v/>
      </c>
      <c r="W812" s="17">
        <f>IF($L812="","",COUNT($L812:$Q812))</f>
        <v/>
      </c>
      <c r="X812" s="18">
        <f>IF($W812="","",INT(INDEX($L812:$Q812,$W812)))</f>
        <v/>
      </c>
      <c r="Y812" s="18">
        <f>IF(OR($W812="",$W812=6),"",WORKDAY($X812,CHOOSE($W812,3,3,2,2,3),Holidays))</f>
        <v/>
      </c>
      <c r="Z812" s="17">
        <f>IF(OR($W812="",$W812=6),"",CHOOSE($W812,"1st Email Follow-up","2nd Email Follow-up","Escalate Local Office","Escalate to CBE","Escalate to Roxanne"))</f>
        <v/>
      </c>
    </row>
    <row r="813" spans="18:26">
      <c r="R813" s="15"/>
      <c r="S813" s="16"/>
      <c r="T813" s="17">
        <f>IF(AND(COUNTA($A813:$K813)=0,$L813=""),"",IF($S813="Paid","PAID",IF($S813="Closed","CLOSED",IF($W813="","",IF($W813=6,"ESCALATED TO ROXANNE",IF(TODAY()&gt;$Y813,"OVERDUE",IF($Y813&lt;=WORKDAY(TODAY(),1,Holidays),"DUE TOMORROW",IF($W813=4,"ESCALATED TO LOCAL OFFICE",IF($W813=5,"ESCALATED TO CBE",IF($X813=TODAY(),"EMAIL SENT","MONITORING"))))))))))</f>
        <v/>
      </c>
      <c r="U813" s="17">
        <f>IF($T813="",IF(AND(COUNTA($A813:$K813)&gt;0,$L813=""),"Awaiting Collection Email time stamp.",""),IF(OR($T813="PAID",$T813="CLOSED"),IF($T813="PAID","Account paid. Action completed.","Account closed. No further action required."),CHOOSE($W813,"Collection Email","1st Email Follow-up","2nd Email Follow-up","Escalation to Local Office","Escalation to CBE","Escalation to Roxanne")&amp;" sent "&amp;TEXT($X813,"dd-mmm")&amp;". "&amp;IF($W813=6,"Final escalation completed.",IF($T813="OVERDUE","Next: "&amp;$Z813&amp;" was due "&amp;TEXT($Y813,"dd-mmm")&amp;" - "&amp;(NETWORKDAYS($Y813,TODAY(),Holidays)-1)&amp;" business day(s) late. Send now.",IF($T813="DUE TOMORROW","Next: "&amp;$Z813&amp;IF($Y813&lt;=TODAY()," is due TODAY ("," is due next business day (")&amp;TEXT($Y813,"dd-mmm")&amp;").","Next: "&amp;$Z813&amp;" due "&amp;TEXT($Y813,"dd-mmm")&amp;" ("&amp;(NETWORKDAYS(TODAY(),$Y813,Holidays)-1)&amp;" business day(s) left).")))))</f>
        <v/>
      </c>
      <c r="V813" s="17">
        <f>IF($W813="","",CHOOSE($W813,"Collection Email","1st Follow-up","2nd Follow-up","Local Office","CBE","Roxanne")&amp;IF($W813=6," - Final"," - Day "&amp;MAX(0,NETWORKDAYS($X813,TODAY(),Holidays)-1)&amp;" of "&amp;CHOOSE($W813,3,3,2,2,3))&amp;" | Total Day "&amp;MAX(0,NETWORKDAYS($L813,TODAY(),Holidays)-1))</f>
        <v/>
      </c>
      <c r="W813" s="17">
        <f>IF($L813="","",COUNT($L813:$Q813))</f>
        <v/>
      </c>
      <c r="X813" s="18">
        <f>IF($W813="","",INT(INDEX($L813:$Q813,$W813)))</f>
        <v/>
      </c>
      <c r="Y813" s="18">
        <f>IF(OR($W813="",$W813=6),"",WORKDAY($X813,CHOOSE($W813,3,3,2,2,3),Holidays))</f>
        <v/>
      </c>
      <c r="Z813" s="17">
        <f>IF(OR($W813="",$W813=6),"",CHOOSE($W813,"1st Email Follow-up","2nd Email Follow-up","Escalate Local Office","Escalate to CBE","Escalate to Roxanne"))</f>
        <v/>
      </c>
    </row>
    <row r="814" spans="18:26">
      <c r="R814" s="15"/>
      <c r="S814" s="16"/>
      <c r="T814" s="17">
        <f>IF(AND(COUNTA($A814:$K814)=0,$L814=""),"",IF($S814="Paid","PAID",IF($S814="Closed","CLOSED",IF($W814="","",IF($W814=6,"ESCALATED TO ROXANNE",IF(TODAY()&gt;$Y814,"OVERDUE",IF($Y814&lt;=WORKDAY(TODAY(),1,Holidays),"DUE TOMORROW",IF($W814=4,"ESCALATED TO LOCAL OFFICE",IF($W814=5,"ESCALATED TO CBE",IF($X814=TODAY(),"EMAIL SENT","MONITORING"))))))))))</f>
        <v/>
      </c>
      <c r="U814" s="17">
        <f>IF($T814="",IF(AND(COUNTA($A814:$K814)&gt;0,$L814=""),"Awaiting Collection Email time stamp.",""),IF(OR($T814="PAID",$T814="CLOSED"),IF($T814="PAID","Account paid. Action completed.","Account closed. No further action required."),CHOOSE($W814,"Collection Email","1st Email Follow-up","2nd Email Follow-up","Escalation to Local Office","Escalation to CBE","Escalation to Roxanne")&amp;" sent "&amp;TEXT($X814,"dd-mmm")&amp;". "&amp;IF($W814=6,"Final escalation completed.",IF($T814="OVERDUE","Next: "&amp;$Z814&amp;" was due "&amp;TEXT($Y814,"dd-mmm")&amp;" - "&amp;(NETWORKDAYS($Y814,TODAY(),Holidays)-1)&amp;" business day(s) late. Send now.",IF($T814="DUE TOMORROW","Next: "&amp;$Z814&amp;IF($Y814&lt;=TODAY()," is due TODAY ("," is due next business day (")&amp;TEXT($Y814,"dd-mmm")&amp;").","Next: "&amp;$Z814&amp;" due "&amp;TEXT($Y814,"dd-mmm")&amp;" ("&amp;(NETWORKDAYS(TODAY(),$Y814,Holidays)-1)&amp;" business day(s) left).")))))</f>
        <v/>
      </c>
      <c r="V814" s="17">
        <f>IF($W814="","",CHOOSE($W814,"Collection Email","1st Follow-up","2nd Follow-up","Local Office","CBE","Roxanne")&amp;IF($W814=6," - Final"," - Day "&amp;MAX(0,NETWORKDAYS($X814,TODAY(),Holidays)-1)&amp;" of "&amp;CHOOSE($W814,3,3,2,2,3))&amp;" | Total Day "&amp;MAX(0,NETWORKDAYS($L814,TODAY(),Holidays)-1))</f>
        <v/>
      </c>
      <c r="W814" s="17">
        <f>IF($L814="","",COUNT($L814:$Q814))</f>
        <v/>
      </c>
      <c r="X814" s="18">
        <f>IF($W814="","",INT(INDEX($L814:$Q814,$W814)))</f>
        <v/>
      </c>
      <c r="Y814" s="18">
        <f>IF(OR($W814="",$W814=6),"",WORKDAY($X814,CHOOSE($W814,3,3,2,2,3),Holidays))</f>
        <v/>
      </c>
      <c r="Z814" s="17">
        <f>IF(OR($W814="",$W814=6),"",CHOOSE($W814,"1st Email Follow-up","2nd Email Follow-up","Escalate Local Office","Escalate to CBE","Escalate to Roxanne"))</f>
        <v/>
      </c>
    </row>
    <row r="815" spans="18:26">
      <c r="R815" s="15"/>
      <c r="S815" s="16"/>
      <c r="T815" s="17">
        <f>IF(AND(COUNTA($A815:$K815)=0,$L815=""),"",IF($S815="Paid","PAID",IF($S815="Closed","CLOSED",IF($W815="","",IF($W815=6,"ESCALATED TO ROXANNE",IF(TODAY()&gt;$Y815,"OVERDUE",IF($Y815&lt;=WORKDAY(TODAY(),1,Holidays),"DUE TOMORROW",IF($W815=4,"ESCALATED TO LOCAL OFFICE",IF($W815=5,"ESCALATED TO CBE",IF($X815=TODAY(),"EMAIL SENT","MONITORING"))))))))))</f>
        <v/>
      </c>
      <c r="U815" s="17">
        <f>IF($T815="",IF(AND(COUNTA($A815:$K815)&gt;0,$L815=""),"Awaiting Collection Email time stamp.",""),IF(OR($T815="PAID",$T815="CLOSED"),IF($T815="PAID","Account paid. Action completed.","Account closed. No further action required."),CHOOSE($W815,"Collection Email","1st Email Follow-up","2nd Email Follow-up","Escalation to Local Office","Escalation to CBE","Escalation to Roxanne")&amp;" sent "&amp;TEXT($X815,"dd-mmm")&amp;". "&amp;IF($W815=6,"Final escalation completed.",IF($T815="OVERDUE","Next: "&amp;$Z815&amp;" was due "&amp;TEXT($Y815,"dd-mmm")&amp;" - "&amp;(NETWORKDAYS($Y815,TODAY(),Holidays)-1)&amp;" business day(s) late. Send now.",IF($T815="DUE TOMORROW","Next: "&amp;$Z815&amp;IF($Y815&lt;=TODAY()," is due TODAY ("," is due next business day (")&amp;TEXT($Y815,"dd-mmm")&amp;").","Next: "&amp;$Z815&amp;" due "&amp;TEXT($Y815,"dd-mmm")&amp;" ("&amp;(NETWORKDAYS(TODAY(),$Y815,Holidays)-1)&amp;" business day(s) left).")))))</f>
        <v/>
      </c>
      <c r="V815" s="17">
        <f>IF($W815="","",CHOOSE($W815,"Collection Email","1st Follow-up","2nd Follow-up","Local Office","CBE","Roxanne")&amp;IF($W815=6," - Final"," - Day "&amp;MAX(0,NETWORKDAYS($X815,TODAY(),Holidays)-1)&amp;" of "&amp;CHOOSE($W815,3,3,2,2,3))&amp;" | Total Day "&amp;MAX(0,NETWORKDAYS($L815,TODAY(),Holidays)-1))</f>
        <v/>
      </c>
      <c r="W815" s="17">
        <f>IF($L815="","",COUNT($L815:$Q815))</f>
        <v/>
      </c>
      <c r="X815" s="18">
        <f>IF($W815="","",INT(INDEX($L815:$Q815,$W815)))</f>
        <v/>
      </c>
      <c r="Y815" s="18">
        <f>IF(OR($W815="",$W815=6),"",WORKDAY($X815,CHOOSE($W815,3,3,2,2,3),Holidays))</f>
        <v/>
      </c>
      <c r="Z815" s="17">
        <f>IF(OR($W815="",$W815=6),"",CHOOSE($W815,"1st Email Follow-up","2nd Email Follow-up","Escalate Local Office","Escalate to CBE","Escalate to Roxanne"))</f>
        <v/>
      </c>
    </row>
    <row r="816" spans="18:26">
      <c r="R816" s="15"/>
      <c r="S816" s="16"/>
      <c r="T816" s="17">
        <f>IF(AND(COUNTA($A816:$K816)=0,$L816=""),"",IF($S816="Paid","PAID",IF($S816="Closed","CLOSED",IF($W816="","",IF($W816=6,"ESCALATED TO ROXANNE",IF(TODAY()&gt;$Y816,"OVERDUE",IF($Y816&lt;=WORKDAY(TODAY(),1,Holidays),"DUE TOMORROW",IF($W816=4,"ESCALATED TO LOCAL OFFICE",IF($W816=5,"ESCALATED TO CBE",IF($X816=TODAY(),"EMAIL SENT","MONITORING"))))))))))</f>
        <v/>
      </c>
      <c r="U816" s="17">
        <f>IF($T816="",IF(AND(COUNTA($A816:$K816)&gt;0,$L816=""),"Awaiting Collection Email time stamp.",""),IF(OR($T816="PAID",$T816="CLOSED"),IF($T816="PAID","Account paid. Action completed.","Account closed. No further action required."),CHOOSE($W816,"Collection Email","1st Email Follow-up","2nd Email Follow-up","Escalation to Local Office","Escalation to CBE","Escalation to Roxanne")&amp;" sent "&amp;TEXT($X816,"dd-mmm")&amp;". "&amp;IF($W816=6,"Final escalation completed.",IF($T816="OVERDUE","Next: "&amp;$Z816&amp;" was due "&amp;TEXT($Y816,"dd-mmm")&amp;" - "&amp;(NETWORKDAYS($Y816,TODAY(),Holidays)-1)&amp;" business day(s) late. Send now.",IF($T816="DUE TOMORROW","Next: "&amp;$Z816&amp;IF($Y816&lt;=TODAY()," is due TODAY ("," is due next business day (")&amp;TEXT($Y816,"dd-mmm")&amp;").","Next: "&amp;$Z816&amp;" due "&amp;TEXT($Y816,"dd-mmm")&amp;" ("&amp;(NETWORKDAYS(TODAY(),$Y816,Holidays)-1)&amp;" business day(s) left).")))))</f>
        <v/>
      </c>
      <c r="V816" s="17">
        <f>IF($W816="","",CHOOSE($W816,"Collection Email","1st Follow-up","2nd Follow-up","Local Office","CBE","Roxanne")&amp;IF($W816=6," - Final"," - Day "&amp;MAX(0,NETWORKDAYS($X816,TODAY(),Holidays)-1)&amp;" of "&amp;CHOOSE($W816,3,3,2,2,3))&amp;" | Total Day "&amp;MAX(0,NETWORKDAYS($L816,TODAY(),Holidays)-1))</f>
        <v/>
      </c>
      <c r="W816" s="17">
        <f>IF($L816="","",COUNT($L816:$Q816))</f>
        <v/>
      </c>
      <c r="X816" s="18">
        <f>IF($W816="","",INT(INDEX($L816:$Q816,$W816)))</f>
        <v/>
      </c>
      <c r="Y816" s="18">
        <f>IF(OR($W816="",$W816=6),"",WORKDAY($X816,CHOOSE($W816,3,3,2,2,3),Holidays))</f>
        <v/>
      </c>
      <c r="Z816" s="17">
        <f>IF(OR($W816="",$W816=6),"",CHOOSE($W816,"1st Email Follow-up","2nd Email Follow-up","Escalate Local Office","Escalate to CBE","Escalate to Roxanne"))</f>
        <v/>
      </c>
    </row>
    <row r="817" spans="18:26">
      <c r="R817" s="15"/>
      <c r="S817" s="16"/>
      <c r="T817" s="17">
        <f>IF(AND(COUNTA($A817:$K817)=0,$L817=""),"",IF($S817="Paid","PAID",IF($S817="Closed","CLOSED",IF($W817="","",IF($W817=6,"ESCALATED TO ROXANNE",IF(TODAY()&gt;$Y817,"OVERDUE",IF($Y817&lt;=WORKDAY(TODAY(),1,Holidays),"DUE TOMORROW",IF($W817=4,"ESCALATED TO LOCAL OFFICE",IF($W817=5,"ESCALATED TO CBE",IF($X817=TODAY(),"EMAIL SENT","MONITORING"))))))))))</f>
        <v/>
      </c>
      <c r="U817" s="17">
        <f>IF($T817="",IF(AND(COUNTA($A817:$K817)&gt;0,$L817=""),"Awaiting Collection Email time stamp.",""),IF(OR($T817="PAID",$T817="CLOSED"),IF($T817="PAID","Account paid. Action completed.","Account closed. No further action required."),CHOOSE($W817,"Collection Email","1st Email Follow-up","2nd Email Follow-up","Escalation to Local Office","Escalation to CBE","Escalation to Roxanne")&amp;" sent "&amp;TEXT($X817,"dd-mmm")&amp;". "&amp;IF($W817=6,"Final escalation completed.",IF($T817="OVERDUE","Next: "&amp;$Z817&amp;" was due "&amp;TEXT($Y817,"dd-mmm")&amp;" - "&amp;(NETWORKDAYS($Y817,TODAY(),Holidays)-1)&amp;" business day(s) late. Send now.",IF($T817="DUE TOMORROW","Next: "&amp;$Z817&amp;IF($Y817&lt;=TODAY()," is due TODAY ("," is due next business day (")&amp;TEXT($Y817,"dd-mmm")&amp;").","Next: "&amp;$Z817&amp;" due "&amp;TEXT($Y817,"dd-mmm")&amp;" ("&amp;(NETWORKDAYS(TODAY(),$Y817,Holidays)-1)&amp;" business day(s) left).")))))</f>
        <v/>
      </c>
      <c r="V817" s="17">
        <f>IF($W817="","",CHOOSE($W817,"Collection Email","1st Follow-up","2nd Follow-up","Local Office","CBE","Roxanne")&amp;IF($W817=6," - Final"," - Day "&amp;MAX(0,NETWORKDAYS($X817,TODAY(),Holidays)-1)&amp;" of "&amp;CHOOSE($W817,3,3,2,2,3))&amp;" | Total Day "&amp;MAX(0,NETWORKDAYS($L817,TODAY(),Holidays)-1))</f>
        <v/>
      </c>
      <c r="W817" s="17">
        <f>IF($L817="","",COUNT($L817:$Q817))</f>
        <v/>
      </c>
      <c r="X817" s="18">
        <f>IF($W817="","",INT(INDEX($L817:$Q817,$W817)))</f>
        <v/>
      </c>
      <c r="Y817" s="18">
        <f>IF(OR($W817="",$W817=6),"",WORKDAY($X817,CHOOSE($W817,3,3,2,2,3),Holidays))</f>
        <v/>
      </c>
      <c r="Z817" s="17">
        <f>IF(OR($W817="",$W817=6),"",CHOOSE($W817,"1st Email Follow-up","2nd Email Follow-up","Escalate Local Office","Escalate to CBE","Escalate to Roxanne"))</f>
        <v/>
      </c>
    </row>
    <row r="818" spans="18:26">
      <c r="R818" s="15"/>
      <c r="S818" s="16"/>
      <c r="T818" s="17">
        <f>IF(AND(COUNTA($A818:$K818)=0,$L818=""),"",IF($S818="Paid","PAID",IF($S818="Closed","CLOSED",IF($W818="","",IF($W818=6,"ESCALATED TO ROXANNE",IF(TODAY()&gt;$Y818,"OVERDUE",IF($Y818&lt;=WORKDAY(TODAY(),1,Holidays),"DUE TOMORROW",IF($W818=4,"ESCALATED TO LOCAL OFFICE",IF($W818=5,"ESCALATED TO CBE",IF($X818=TODAY(),"EMAIL SENT","MONITORING"))))))))))</f>
        <v/>
      </c>
      <c r="U818" s="17">
        <f>IF($T818="",IF(AND(COUNTA($A818:$K818)&gt;0,$L818=""),"Awaiting Collection Email time stamp.",""),IF(OR($T818="PAID",$T818="CLOSED"),IF($T818="PAID","Account paid. Action completed.","Account closed. No further action required."),CHOOSE($W818,"Collection Email","1st Email Follow-up","2nd Email Follow-up","Escalation to Local Office","Escalation to CBE","Escalation to Roxanne")&amp;" sent "&amp;TEXT($X818,"dd-mmm")&amp;". "&amp;IF($W818=6,"Final escalation completed.",IF($T818="OVERDUE","Next: "&amp;$Z818&amp;" was due "&amp;TEXT($Y818,"dd-mmm")&amp;" - "&amp;(NETWORKDAYS($Y818,TODAY(),Holidays)-1)&amp;" business day(s) late. Send now.",IF($T818="DUE TOMORROW","Next: "&amp;$Z818&amp;IF($Y818&lt;=TODAY()," is due TODAY ("," is due next business day (")&amp;TEXT($Y818,"dd-mmm")&amp;").","Next: "&amp;$Z818&amp;" due "&amp;TEXT($Y818,"dd-mmm")&amp;" ("&amp;(NETWORKDAYS(TODAY(),$Y818,Holidays)-1)&amp;" business day(s) left).")))))</f>
        <v/>
      </c>
      <c r="V818" s="17">
        <f>IF($W818="","",CHOOSE($W818,"Collection Email","1st Follow-up","2nd Follow-up","Local Office","CBE","Roxanne")&amp;IF($W818=6," - Final"," - Day "&amp;MAX(0,NETWORKDAYS($X818,TODAY(),Holidays)-1)&amp;" of "&amp;CHOOSE($W818,3,3,2,2,3))&amp;" | Total Day "&amp;MAX(0,NETWORKDAYS($L818,TODAY(),Holidays)-1))</f>
        <v/>
      </c>
      <c r="W818" s="17">
        <f>IF($L818="","",COUNT($L818:$Q818))</f>
        <v/>
      </c>
      <c r="X818" s="18">
        <f>IF($W818="","",INT(INDEX($L818:$Q818,$W818)))</f>
        <v/>
      </c>
      <c r="Y818" s="18">
        <f>IF(OR($W818="",$W818=6),"",WORKDAY($X818,CHOOSE($W818,3,3,2,2,3),Holidays))</f>
        <v/>
      </c>
      <c r="Z818" s="17">
        <f>IF(OR($W818="",$W818=6),"",CHOOSE($W818,"1st Email Follow-up","2nd Email Follow-up","Escalate Local Office","Escalate to CBE","Escalate to Roxanne"))</f>
        <v/>
      </c>
    </row>
    <row r="819" spans="18:26">
      <c r="R819" s="15"/>
      <c r="S819" s="16"/>
      <c r="T819" s="17">
        <f>IF(AND(COUNTA($A819:$K819)=0,$L819=""),"",IF($S819="Paid","PAID",IF($S819="Closed","CLOSED",IF($W819="","",IF($W819=6,"ESCALATED TO ROXANNE",IF(TODAY()&gt;$Y819,"OVERDUE",IF($Y819&lt;=WORKDAY(TODAY(),1,Holidays),"DUE TOMORROW",IF($W819=4,"ESCALATED TO LOCAL OFFICE",IF($W819=5,"ESCALATED TO CBE",IF($X819=TODAY(),"EMAIL SENT","MONITORING"))))))))))</f>
        <v/>
      </c>
      <c r="U819" s="17">
        <f>IF($T819="",IF(AND(COUNTA($A819:$K819)&gt;0,$L819=""),"Awaiting Collection Email time stamp.",""),IF(OR($T819="PAID",$T819="CLOSED"),IF($T819="PAID","Account paid. Action completed.","Account closed. No further action required."),CHOOSE($W819,"Collection Email","1st Email Follow-up","2nd Email Follow-up","Escalation to Local Office","Escalation to CBE","Escalation to Roxanne")&amp;" sent "&amp;TEXT($X819,"dd-mmm")&amp;". "&amp;IF($W819=6,"Final escalation completed.",IF($T819="OVERDUE","Next: "&amp;$Z819&amp;" was due "&amp;TEXT($Y819,"dd-mmm")&amp;" - "&amp;(NETWORKDAYS($Y819,TODAY(),Holidays)-1)&amp;" business day(s) late. Send now.",IF($T819="DUE TOMORROW","Next: "&amp;$Z819&amp;IF($Y819&lt;=TODAY()," is due TODAY ("," is due next business day (")&amp;TEXT($Y819,"dd-mmm")&amp;").","Next: "&amp;$Z819&amp;" due "&amp;TEXT($Y819,"dd-mmm")&amp;" ("&amp;(NETWORKDAYS(TODAY(),$Y819,Holidays)-1)&amp;" business day(s) left).")))))</f>
        <v/>
      </c>
      <c r="V819" s="17">
        <f>IF($W819="","",CHOOSE($W819,"Collection Email","1st Follow-up","2nd Follow-up","Local Office","CBE","Roxanne")&amp;IF($W819=6," - Final"," - Day "&amp;MAX(0,NETWORKDAYS($X819,TODAY(),Holidays)-1)&amp;" of "&amp;CHOOSE($W819,3,3,2,2,3))&amp;" | Total Day "&amp;MAX(0,NETWORKDAYS($L819,TODAY(),Holidays)-1))</f>
        <v/>
      </c>
      <c r="W819" s="17">
        <f>IF($L819="","",COUNT($L819:$Q819))</f>
        <v/>
      </c>
      <c r="X819" s="18">
        <f>IF($W819="","",INT(INDEX($L819:$Q819,$W819)))</f>
        <v/>
      </c>
      <c r="Y819" s="18">
        <f>IF(OR($W819="",$W819=6),"",WORKDAY($X819,CHOOSE($W819,3,3,2,2,3),Holidays))</f>
        <v/>
      </c>
      <c r="Z819" s="17">
        <f>IF(OR($W819="",$W819=6),"",CHOOSE($W819,"1st Email Follow-up","2nd Email Follow-up","Escalate Local Office","Escalate to CBE","Escalate to Roxanne"))</f>
        <v/>
      </c>
    </row>
    <row r="820" spans="18:26">
      <c r="R820" s="15"/>
      <c r="S820" s="16"/>
      <c r="T820" s="17">
        <f>IF(AND(COUNTA($A820:$K820)=0,$L820=""),"",IF($S820="Paid","PAID",IF($S820="Closed","CLOSED",IF($W820="","",IF($W820=6,"ESCALATED TO ROXANNE",IF(TODAY()&gt;$Y820,"OVERDUE",IF($Y820&lt;=WORKDAY(TODAY(),1,Holidays),"DUE TOMORROW",IF($W820=4,"ESCALATED TO LOCAL OFFICE",IF($W820=5,"ESCALATED TO CBE",IF($X820=TODAY(),"EMAIL SENT","MONITORING"))))))))))</f>
        <v/>
      </c>
      <c r="U820" s="17">
        <f>IF($T820="",IF(AND(COUNTA($A820:$K820)&gt;0,$L820=""),"Awaiting Collection Email time stamp.",""),IF(OR($T820="PAID",$T820="CLOSED"),IF($T820="PAID","Account paid. Action completed.","Account closed. No further action required."),CHOOSE($W820,"Collection Email","1st Email Follow-up","2nd Email Follow-up","Escalation to Local Office","Escalation to CBE","Escalation to Roxanne")&amp;" sent "&amp;TEXT($X820,"dd-mmm")&amp;". "&amp;IF($W820=6,"Final escalation completed.",IF($T820="OVERDUE","Next: "&amp;$Z820&amp;" was due "&amp;TEXT($Y820,"dd-mmm")&amp;" - "&amp;(NETWORKDAYS($Y820,TODAY(),Holidays)-1)&amp;" business day(s) late. Send now.",IF($T820="DUE TOMORROW","Next: "&amp;$Z820&amp;IF($Y820&lt;=TODAY()," is due TODAY ("," is due next business day (")&amp;TEXT($Y820,"dd-mmm")&amp;").","Next: "&amp;$Z820&amp;" due "&amp;TEXT($Y820,"dd-mmm")&amp;" ("&amp;(NETWORKDAYS(TODAY(),$Y820,Holidays)-1)&amp;" business day(s) left).")))))</f>
        <v/>
      </c>
      <c r="V820" s="17">
        <f>IF($W820="","",CHOOSE($W820,"Collection Email","1st Follow-up","2nd Follow-up","Local Office","CBE","Roxanne")&amp;IF($W820=6," - Final"," - Day "&amp;MAX(0,NETWORKDAYS($X820,TODAY(),Holidays)-1)&amp;" of "&amp;CHOOSE($W820,3,3,2,2,3))&amp;" | Total Day "&amp;MAX(0,NETWORKDAYS($L820,TODAY(),Holidays)-1))</f>
        <v/>
      </c>
      <c r="W820" s="17">
        <f>IF($L820="","",COUNT($L820:$Q820))</f>
        <v/>
      </c>
      <c r="X820" s="18">
        <f>IF($W820="","",INT(INDEX($L820:$Q820,$W820)))</f>
        <v/>
      </c>
      <c r="Y820" s="18">
        <f>IF(OR($W820="",$W820=6),"",WORKDAY($X820,CHOOSE($W820,3,3,2,2,3),Holidays))</f>
        <v/>
      </c>
      <c r="Z820" s="17">
        <f>IF(OR($W820="",$W820=6),"",CHOOSE($W820,"1st Email Follow-up","2nd Email Follow-up","Escalate Local Office","Escalate to CBE","Escalate to Roxanne"))</f>
        <v/>
      </c>
    </row>
    <row r="821" spans="18:26">
      <c r="R821" s="15"/>
      <c r="S821" s="16"/>
      <c r="T821" s="17">
        <f>IF(AND(COUNTA($A821:$K821)=0,$L821=""),"",IF($S821="Paid","PAID",IF($S821="Closed","CLOSED",IF($W821="","",IF($W821=6,"ESCALATED TO ROXANNE",IF(TODAY()&gt;$Y821,"OVERDUE",IF($Y821&lt;=WORKDAY(TODAY(),1,Holidays),"DUE TOMORROW",IF($W821=4,"ESCALATED TO LOCAL OFFICE",IF($W821=5,"ESCALATED TO CBE",IF($X821=TODAY(),"EMAIL SENT","MONITORING"))))))))))</f>
        <v/>
      </c>
      <c r="U821" s="17">
        <f>IF($T821="",IF(AND(COUNTA($A821:$K821)&gt;0,$L821=""),"Awaiting Collection Email time stamp.",""),IF(OR($T821="PAID",$T821="CLOSED"),IF($T821="PAID","Account paid. Action completed.","Account closed. No further action required."),CHOOSE($W821,"Collection Email","1st Email Follow-up","2nd Email Follow-up","Escalation to Local Office","Escalation to CBE","Escalation to Roxanne")&amp;" sent "&amp;TEXT($X821,"dd-mmm")&amp;". "&amp;IF($W821=6,"Final escalation completed.",IF($T821="OVERDUE","Next: "&amp;$Z821&amp;" was due "&amp;TEXT($Y821,"dd-mmm")&amp;" - "&amp;(NETWORKDAYS($Y821,TODAY(),Holidays)-1)&amp;" business day(s) late. Send now.",IF($T821="DUE TOMORROW","Next: "&amp;$Z821&amp;IF($Y821&lt;=TODAY()," is due TODAY ("," is due next business day (")&amp;TEXT($Y821,"dd-mmm")&amp;").","Next: "&amp;$Z821&amp;" due "&amp;TEXT($Y821,"dd-mmm")&amp;" ("&amp;(NETWORKDAYS(TODAY(),$Y821,Holidays)-1)&amp;" business day(s) left).")))))</f>
        <v/>
      </c>
      <c r="V821" s="17">
        <f>IF($W821="","",CHOOSE($W821,"Collection Email","1st Follow-up","2nd Follow-up","Local Office","CBE","Roxanne")&amp;IF($W821=6," - Final"," - Day "&amp;MAX(0,NETWORKDAYS($X821,TODAY(),Holidays)-1)&amp;" of "&amp;CHOOSE($W821,3,3,2,2,3))&amp;" | Total Day "&amp;MAX(0,NETWORKDAYS($L821,TODAY(),Holidays)-1))</f>
        <v/>
      </c>
      <c r="W821" s="17">
        <f>IF($L821="","",COUNT($L821:$Q821))</f>
        <v/>
      </c>
      <c r="X821" s="18">
        <f>IF($W821="","",INT(INDEX($L821:$Q821,$W821)))</f>
        <v/>
      </c>
      <c r="Y821" s="18">
        <f>IF(OR($W821="",$W821=6),"",WORKDAY($X821,CHOOSE($W821,3,3,2,2,3),Holidays))</f>
        <v/>
      </c>
      <c r="Z821" s="17">
        <f>IF(OR($W821="",$W821=6),"",CHOOSE($W821,"1st Email Follow-up","2nd Email Follow-up","Escalate Local Office","Escalate to CBE","Escalate to Roxanne"))</f>
        <v/>
      </c>
    </row>
    <row r="822" spans="18:26">
      <c r="R822" s="15"/>
      <c r="S822" s="16"/>
      <c r="T822" s="17">
        <f>IF(AND(COUNTA($A822:$K822)=0,$L822=""),"",IF($S822="Paid","PAID",IF($S822="Closed","CLOSED",IF($W822="","",IF($W822=6,"ESCALATED TO ROXANNE",IF(TODAY()&gt;$Y822,"OVERDUE",IF($Y822&lt;=WORKDAY(TODAY(),1,Holidays),"DUE TOMORROW",IF($W822=4,"ESCALATED TO LOCAL OFFICE",IF($W822=5,"ESCALATED TO CBE",IF($X822=TODAY(),"EMAIL SENT","MONITORING"))))))))))</f>
        <v/>
      </c>
      <c r="U822" s="17">
        <f>IF($T822="",IF(AND(COUNTA($A822:$K822)&gt;0,$L822=""),"Awaiting Collection Email time stamp.",""),IF(OR($T822="PAID",$T822="CLOSED"),IF($T822="PAID","Account paid. Action completed.","Account closed. No further action required."),CHOOSE($W822,"Collection Email","1st Email Follow-up","2nd Email Follow-up","Escalation to Local Office","Escalation to CBE","Escalation to Roxanne")&amp;" sent "&amp;TEXT($X822,"dd-mmm")&amp;". "&amp;IF($W822=6,"Final escalation completed.",IF($T822="OVERDUE","Next: "&amp;$Z822&amp;" was due "&amp;TEXT($Y822,"dd-mmm")&amp;" - "&amp;(NETWORKDAYS($Y822,TODAY(),Holidays)-1)&amp;" business day(s) late. Send now.",IF($T822="DUE TOMORROW","Next: "&amp;$Z822&amp;IF($Y822&lt;=TODAY()," is due TODAY ("," is due next business day (")&amp;TEXT($Y822,"dd-mmm")&amp;").","Next: "&amp;$Z822&amp;" due "&amp;TEXT($Y822,"dd-mmm")&amp;" ("&amp;(NETWORKDAYS(TODAY(),$Y822,Holidays)-1)&amp;" business day(s) left).")))))</f>
        <v/>
      </c>
      <c r="V822" s="17">
        <f>IF($W822="","",CHOOSE($W822,"Collection Email","1st Follow-up","2nd Follow-up","Local Office","CBE","Roxanne")&amp;IF($W822=6," - Final"," - Day "&amp;MAX(0,NETWORKDAYS($X822,TODAY(),Holidays)-1)&amp;" of "&amp;CHOOSE($W822,3,3,2,2,3))&amp;" | Total Day "&amp;MAX(0,NETWORKDAYS($L822,TODAY(),Holidays)-1))</f>
        <v/>
      </c>
      <c r="W822" s="17">
        <f>IF($L822="","",COUNT($L822:$Q822))</f>
        <v/>
      </c>
      <c r="X822" s="18">
        <f>IF($W822="","",INT(INDEX($L822:$Q822,$W822)))</f>
        <v/>
      </c>
      <c r="Y822" s="18">
        <f>IF(OR($W822="",$W822=6),"",WORKDAY($X822,CHOOSE($W822,3,3,2,2,3),Holidays))</f>
        <v/>
      </c>
      <c r="Z822" s="17">
        <f>IF(OR($W822="",$W822=6),"",CHOOSE($W822,"1st Email Follow-up","2nd Email Follow-up","Escalate Local Office","Escalate to CBE","Escalate to Roxanne"))</f>
        <v/>
      </c>
    </row>
    <row r="823" spans="18:26">
      <c r="R823" s="15"/>
      <c r="S823" s="16"/>
      <c r="T823" s="17">
        <f>IF(AND(COUNTA($A823:$K823)=0,$L823=""),"",IF($S823="Paid","PAID",IF($S823="Closed","CLOSED",IF($W823="","",IF($W823=6,"ESCALATED TO ROXANNE",IF(TODAY()&gt;$Y823,"OVERDUE",IF($Y823&lt;=WORKDAY(TODAY(),1,Holidays),"DUE TOMORROW",IF($W823=4,"ESCALATED TO LOCAL OFFICE",IF($W823=5,"ESCALATED TO CBE",IF($X823=TODAY(),"EMAIL SENT","MONITORING"))))))))))</f>
        <v/>
      </c>
      <c r="U823" s="17">
        <f>IF($T823="",IF(AND(COUNTA($A823:$K823)&gt;0,$L823=""),"Awaiting Collection Email time stamp.",""),IF(OR($T823="PAID",$T823="CLOSED"),IF($T823="PAID","Account paid. Action completed.","Account closed. No further action required."),CHOOSE($W823,"Collection Email","1st Email Follow-up","2nd Email Follow-up","Escalation to Local Office","Escalation to CBE","Escalation to Roxanne")&amp;" sent "&amp;TEXT($X823,"dd-mmm")&amp;". "&amp;IF($W823=6,"Final escalation completed.",IF($T823="OVERDUE","Next: "&amp;$Z823&amp;" was due "&amp;TEXT($Y823,"dd-mmm")&amp;" - "&amp;(NETWORKDAYS($Y823,TODAY(),Holidays)-1)&amp;" business day(s) late. Send now.",IF($T823="DUE TOMORROW","Next: "&amp;$Z823&amp;IF($Y823&lt;=TODAY()," is due TODAY ("," is due next business day (")&amp;TEXT($Y823,"dd-mmm")&amp;").","Next: "&amp;$Z823&amp;" due "&amp;TEXT($Y823,"dd-mmm")&amp;" ("&amp;(NETWORKDAYS(TODAY(),$Y823,Holidays)-1)&amp;" business day(s) left).")))))</f>
        <v/>
      </c>
      <c r="V823" s="17">
        <f>IF($W823="","",CHOOSE($W823,"Collection Email","1st Follow-up","2nd Follow-up","Local Office","CBE","Roxanne")&amp;IF($W823=6," - Final"," - Day "&amp;MAX(0,NETWORKDAYS($X823,TODAY(),Holidays)-1)&amp;" of "&amp;CHOOSE($W823,3,3,2,2,3))&amp;" | Total Day "&amp;MAX(0,NETWORKDAYS($L823,TODAY(),Holidays)-1))</f>
        <v/>
      </c>
      <c r="W823" s="17">
        <f>IF($L823="","",COUNT($L823:$Q823))</f>
        <v/>
      </c>
      <c r="X823" s="18">
        <f>IF($W823="","",INT(INDEX($L823:$Q823,$W823)))</f>
        <v/>
      </c>
      <c r="Y823" s="18">
        <f>IF(OR($W823="",$W823=6),"",WORKDAY($X823,CHOOSE($W823,3,3,2,2,3),Holidays))</f>
        <v/>
      </c>
      <c r="Z823" s="17">
        <f>IF(OR($W823="",$W823=6),"",CHOOSE($W823,"1st Email Follow-up","2nd Email Follow-up","Escalate Local Office","Escalate to CBE","Escalate to Roxanne"))</f>
        <v/>
      </c>
    </row>
    <row r="824" spans="18:26">
      <c r="R824" s="15"/>
      <c r="S824" s="16"/>
      <c r="T824" s="17">
        <f>IF(AND(COUNTA($A824:$K824)=0,$L824=""),"",IF($S824="Paid","PAID",IF($S824="Closed","CLOSED",IF($W824="","",IF($W824=6,"ESCALATED TO ROXANNE",IF(TODAY()&gt;$Y824,"OVERDUE",IF($Y824&lt;=WORKDAY(TODAY(),1,Holidays),"DUE TOMORROW",IF($W824=4,"ESCALATED TO LOCAL OFFICE",IF($W824=5,"ESCALATED TO CBE",IF($X824=TODAY(),"EMAIL SENT","MONITORING"))))))))))</f>
        <v/>
      </c>
      <c r="U824" s="17">
        <f>IF($T824="",IF(AND(COUNTA($A824:$K824)&gt;0,$L824=""),"Awaiting Collection Email time stamp.",""),IF(OR($T824="PAID",$T824="CLOSED"),IF($T824="PAID","Account paid. Action completed.","Account closed. No further action required."),CHOOSE($W824,"Collection Email","1st Email Follow-up","2nd Email Follow-up","Escalation to Local Office","Escalation to CBE","Escalation to Roxanne")&amp;" sent "&amp;TEXT($X824,"dd-mmm")&amp;". "&amp;IF($W824=6,"Final escalation completed.",IF($T824="OVERDUE","Next: "&amp;$Z824&amp;" was due "&amp;TEXT($Y824,"dd-mmm")&amp;" - "&amp;(NETWORKDAYS($Y824,TODAY(),Holidays)-1)&amp;" business day(s) late. Send now.",IF($T824="DUE TOMORROW","Next: "&amp;$Z824&amp;IF($Y824&lt;=TODAY()," is due TODAY ("," is due next business day (")&amp;TEXT($Y824,"dd-mmm")&amp;").","Next: "&amp;$Z824&amp;" due "&amp;TEXT($Y824,"dd-mmm")&amp;" ("&amp;(NETWORKDAYS(TODAY(),$Y824,Holidays)-1)&amp;" business day(s) left).")))))</f>
        <v/>
      </c>
      <c r="V824" s="17">
        <f>IF($W824="","",CHOOSE($W824,"Collection Email","1st Follow-up","2nd Follow-up","Local Office","CBE","Roxanne")&amp;IF($W824=6," - Final"," - Day "&amp;MAX(0,NETWORKDAYS($X824,TODAY(),Holidays)-1)&amp;" of "&amp;CHOOSE($W824,3,3,2,2,3))&amp;" | Total Day "&amp;MAX(0,NETWORKDAYS($L824,TODAY(),Holidays)-1))</f>
        <v/>
      </c>
      <c r="W824" s="17">
        <f>IF($L824="","",COUNT($L824:$Q824))</f>
        <v/>
      </c>
      <c r="X824" s="18">
        <f>IF($W824="","",INT(INDEX($L824:$Q824,$W824)))</f>
        <v/>
      </c>
      <c r="Y824" s="18">
        <f>IF(OR($W824="",$W824=6),"",WORKDAY($X824,CHOOSE($W824,3,3,2,2,3),Holidays))</f>
        <v/>
      </c>
      <c r="Z824" s="17">
        <f>IF(OR($W824="",$W824=6),"",CHOOSE($W824,"1st Email Follow-up","2nd Email Follow-up","Escalate Local Office","Escalate to CBE","Escalate to Roxanne"))</f>
        <v/>
      </c>
    </row>
    <row r="825" spans="18:26">
      <c r="R825" s="15"/>
      <c r="S825" s="16"/>
      <c r="T825" s="17">
        <f>IF(AND(COUNTA($A825:$K825)=0,$L825=""),"",IF($S825="Paid","PAID",IF($S825="Closed","CLOSED",IF($W825="","",IF($W825=6,"ESCALATED TO ROXANNE",IF(TODAY()&gt;$Y825,"OVERDUE",IF($Y825&lt;=WORKDAY(TODAY(),1,Holidays),"DUE TOMORROW",IF($W825=4,"ESCALATED TO LOCAL OFFICE",IF($W825=5,"ESCALATED TO CBE",IF($X825=TODAY(),"EMAIL SENT","MONITORING"))))))))))</f>
        <v/>
      </c>
      <c r="U825" s="17">
        <f>IF($T825="",IF(AND(COUNTA($A825:$K825)&gt;0,$L825=""),"Awaiting Collection Email time stamp.",""),IF(OR($T825="PAID",$T825="CLOSED"),IF($T825="PAID","Account paid. Action completed.","Account closed. No further action required."),CHOOSE($W825,"Collection Email","1st Email Follow-up","2nd Email Follow-up","Escalation to Local Office","Escalation to CBE","Escalation to Roxanne")&amp;" sent "&amp;TEXT($X825,"dd-mmm")&amp;". "&amp;IF($W825=6,"Final escalation completed.",IF($T825="OVERDUE","Next: "&amp;$Z825&amp;" was due "&amp;TEXT($Y825,"dd-mmm")&amp;" - "&amp;(NETWORKDAYS($Y825,TODAY(),Holidays)-1)&amp;" business day(s) late. Send now.",IF($T825="DUE TOMORROW","Next: "&amp;$Z825&amp;IF($Y825&lt;=TODAY()," is due TODAY ("," is due next business day (")&amp;TEXT($Y825,"dd-mmm")&amp;").","Next: "&amp;$Z825&amp;" due "&amp;TEXT($Y825,"dd-mmm")&amp;" ("&amp;(NETWORKDAYS(TODAY(),$Y825,Holidays)-1)&amp;" business day(s) left).")))))</f>
        <v/>
      </c>
      <c r="V825" s="17">
        <f>IF($W825="","",CHOOSE($W825,"Collection Email","1st Follow-up","2nd Follow-up","Local Office","CBE","Roxanne")&amp;IF($W825=6," - Final"," - Day "&amp;MAX(0,NETWORKDAYS($X825,TODAY(),Holidays)-1)&amp;" of "&amp;CHOOSE($W825,3,3,2,2,3))&amp;" | Total Day "&amp;MAX(0,NETWORKDAYS($L825,TODAY(),Holidays)-1))</f>
        <v/>
      </c>
      <c r="W825" s="17">
        <f>IF($L825="","",COUNT($L825:$Q825))</f>
        <v/>
      </c>
      <c r="X825" s="18">
        <f>IF($W825="","",INT(INDEX($L825:$Q825,$W825)))</f>
        <v/>
      </c>
      <c r="Y825" s="18">
        <f>IF(OR($W825="",$W825=6),"",WORKDAY($X825,CHOOSE($W825,3,3,2,2,3),Holidays))</f>
        <v/>
      </c>
      <c r="Z825" s="17">
        <f>IF(OR($W825="",$W825=6),"",CHOOSE($W825,"1st Email Follow-up","2nd Email Follow-up","Escalate Local Office","Escalate to CBE","Escalate to Roxanne"))</f>
        <v/>
      </c>
    </row>
    <row r="826" spans="18:26">
      <c r="R826" s="15"/>
      <c r="S826" s="16"/>
      <c r="T826" s="17">
        <f>IF(AND(COUNTA($A826:$K826)=0,$L826=""),"",IF($S826="Paid","PAID",IF($S826="Closed","CLOSED",IF($W826="","",IF($W826=6,"ESCALATED TO ROXANNE",IF(TODAY()&gt;$Y826,"OVERDUE",IF($Y826&lt;=WORKDAY(TODAY(),1,Holidays),"DUE TOMORROW",IF($W826=4,"ESCALATED TO LOCAL OFFICE",IF($W826=5,"ESCALATED TO CBE",IF($X826=TODAY(),"EMAIL SENT","MONITORING"))))))))))</f>
        <v/>
      </c>
      <c r="U826" s="17">
        <f>IF($T826="",IF(AND(COUNTA($A826:$K826)&gt;0,$L826=""),"Awaiting Collection Email time stamp.",""),IF(OR($T826="PAID",$T826="CLOSED"),IF($T826="PAID","Account paid. Action completed.","Account closed. No further action required."),CHOOSE($W826,"Collection Email","1st Email Follow-up","2nd Email Follow-up","Escalation to Local Office","Escalation to CBE","Escalation to Roxanne")&amp;" sent "&amp;TEXT($X826,"dd-mmm")&amp;". "&amp;IF($W826=6,"Final escalation completed.",IF($T826="OVERDUE","Next: "&amp;$Z826&amp;" was due "&amp;TEXT($Y826,"dd-mmm")&amp;" - "&amp;(NETWORKDAYS($Y826,TODAY(),Holidays)-1)&amp;" business day(s) late. Send now.",IF($T826="DUE TOMORROW","Next: "&amp;$Z826&amp;IF($Y826&lt;=TODAY()," is due TODAY ("," is due next business day (")&amp;TEXT($Y826,"dd-mmm")&amp;").","Next: "&amp;$Z826&amp;" due "&amp;TEXT($Y826,"dd-mmm")&amp;" ("&amp;(NETWORKDAYS(TODAY(),$Y826,Holidays)-1)&amp;" business day(s) left).")))))</f>
        <v/>
      </c>
      <c r="V826" s="17">
        <f>IF($W826="","",CHOOSE($W826,"Collection Email","1st Follow-up","2nd Follow-up","Local Office","CBE","Roxanne")&amp;IF($W826=6," - Final"," - Day "&amp;MAX(0,NETWORKDAYS($X826,TODAY(),Holidays)-1)&amp;" of "&amp;CHOOSE($W826,3,3,2,2,3))&amp;" | Total Day "&amp;MAX(0,NETWORKDAYS($L826,TODAY(),Holidays)-1))</f>
        <v/>
      </c>
      <c r="W826" s="17">
        <f>IF($L826="","",COUNT($L826:$Q826))</f>
        <v/>
      </c>
      <c r="X826" s="18">
        <f>IF($W826="","",INT(INDEX($L826:$Q826,$W826)))</f>
        <v/>
      </c>
      <c r="Y826" s="18">
        <f>IF(OR($W826="",$W826=6),"",WORKDAY($X826,CHOOSE($W826,3,3,2,2,3),Holidays))</f>
        <v/>
      </c>
      <c r="Z826" s="17">
        <f>IF(OR($W826="",$W826=6),"",CHOOSE($W826,"1st Email Follow-up","2nd Email Follow-up","Escalate Local Office","Escalate to CBE","Escalate to Roxanne"))</f>
        <v/>
      </c>
    </row>
    <row r="827" spans="18:26">
      <c r="R827" s="15"/>
      <c r="S827" s="16"/>
      <c r="T827" s="17">
        <f>IF(AND(COUNTA($A827:$K827)=0,$L827=""),"",IF($S827="Paid","PAID",IF($S827="Closed","CLOSED",IF($W827="","",IF($W827=6,"ESCALATED TO ROXANNE",IF(TODAY()&gt;$Y827,"OVERDUE",IF($Y827&lt;=WORKDAY(TODAY(),1,Holidays),"DUE TOMORROW",IF($W827=4,"ESCALATED TO LOCAL OFFICE",IF($W827=5,"ESCALATED TO CBE",IF($X827=TODAY(),"EMAIL SENT","MONITORING"))))))))))</f>
        <v/>
      </c>
      <c r="U827" s="17">
        <f>IF($T827="",IF(AND(COUNTA($A827:$K827)&gt;0,$L827=""),"Awaiting Collection Email time stamp.",""),IF(OR($T827="PAID",$T827="CLOSED"),IF($T827="PAID","Account paid. Action completed.","Account closed. No further action required."),CHOOSE($W827,"Collection Email","1st Email Follow-up","2nd Email Follow-up","Escalation to Local Office","Escalation to CBE","Escalation to Roxanne")&amp;" sent "&amp;TEXT($X827,"dd-mmm")&amp;". "&amp;IF($W827=6,"Final escalation completed.",IF($T827="OVERDUE","Next: "&amp;$Z827&amp;" was due "&amp;TEXT($Y827,"dd-mmm")&amp;" - "&amp;(NETWORKDAYS($Y827,TODAY(),Holidays)-1)&amp;" business day(s) late. Send now.",IF($T827="DUE TOMORROW","Next: "&amp;$Z827&amp;IF($Y827&lt;=TODAY()," is due TODAY ("," is due next business day (")&amp;TEXT($Y827,"dd-mmm")&amp;").","Next: "&amp;$Z827&amp;" due "&amp;TEXT($Y827,"dd-mmm")&amp;" ("&amp;(NETWORKDAYS(TODAY(),$Y827,Holidays)-1)&amp;" business day(s) left).")))))</f>
        <v/>
      </c>
      <c r="V827" s="17">
        <f>IF($W827="","",CHOOSE($W827,"Collection Email","1st Follow-up","2nd Follow-up","Local Office","CBE","Roxanne")&amp;IF($W827=6," - Final"," - Day "&amp;MAX(0,NETWORKDAYS($X827,TODAY(),Holidays)-1)&amp;" of "&amp;CHOOSE($W827,3,3,2,2,3))&amp;" | Total Day "&amp;MAX(0,NETWORKDAYS($L827,TODAY(),Holidays)-1))</f>
        <v/>
      </c>
      <c r="W827" s="17">
        <f>IF($L827="","",COUNT($L827:$Q827))</f>
        <v/>
      </c>
      <c r="X827" s="18">
        <f>IF($W827="","",INT(INDEX($L827:$Q827,$W827)))</f>
        <v/>
      </c>
      <c r="Y827" s="18">
        <f>IF(OR($W827="",$W827=6),"",WORKDAY($X827,CHOOSE($W827,3,3,2,2,3),Holidays))</f>
        <v/>
      </c>
      <c r="Z827" s="17">
        <f>IF(OR($W827="",$W827=6),"",CHOOSE($W827,"1st Email Follow-up","2nd Email Follow-up","Escalate Local Office","Escalate to CBE","Escalate to Roxanne"))</f>
        <v/>
      </c>
    </row>
    <row r="828" spans="18:26">
      <c r="R828" s="15"/>
      <c r="S828" s="16"/>
      <c r="T828" s="17">
        <f>IF(AND(COUNTA($A828:$K828)=0,$L828=""),"",IF($S828="Paid","PAID",IF($S828="Closed","CLOSED",IF($W828="","",IF($W828=6,"ESCALATED TO ROXANNE",IF(TODAY()&gt;$Y828,"OVERDUE",IF($Y828&lt;=WORKDAY(TODAY(),1,Holidays),"DUE TOMORROW",IF($W828=4,"ESCALATED TO LOCAL OFFICE",IF($W828=5,"ESCALATED TO CBE",IF($X828=TODAY(),"EMAIL SENT","MONITORING"))))))))))</f>
        <v/>
      </c>
      <c r="U828" s="17">
        <f>IF($T828="",IF(AND(COUNTA($A828:$K828)&gt;0,$L828=""),"Awaiting Collection Email time stamp.",""),IF(OR($T828="PAID",$T828="CLOSED"),IF($T828="PAID","Account paid. Action completed.","Account closed. No further action required."),CHOOSE($W828,"Collection Email","1st Email Follow-up","2nd Email Follow-up","Escalation to Local Office","Escalation to CBE","Escalation to Roxanne")&amp;" sent "&amp;TEXT($X828,"dd-mmm")&amp;". "&amp;IF($W828=6,"Final escalation completed.",IF($T828="OVERDUE","Next: "&amp;$Z828&amp;" was due "&amp;TEXT($Y828,"dd-mmm")&amp;" - "&amp;(NETWORKDAYS($Y828,TODAY(),Holidays)-1)&amp;" business day(s) late. Send now.",IF($T828="DUE TOMORROW","Next: "&amp;$Z828&amp;IF($Y828&lt;=TODAY()," is due TODAY ("," is due next business day (")&amp;TEXT($Y828,"dd-mmm")&amp;").","Next: "&amp;$Z828&amp;" due "&amp;TEXT($Y828,"dd-mmm")&amp;" ("&amp;(NETWORKDAYS(TODAY(),$Y828,Holidays)-1)&amp;" business day(s) left).")))))</f>
        <v/>
      </c>
      <c r="V828" s="17">
        <f>IF($W828="","",CHOOSE($W828,"Collection Email","1st Follow-up","2nd Follow-up","Local Office","CBE","Roxanne")&amp;IF($W828=6," - Final"," - Day "&amp;MAX(0,NETWORKDAYS($X828,TODAY(),Holidays)-1)&amp;" of "&amp;CHOOSE($W828,3,3,2,2,3))&amp;" | Total Day "&amp;MAX(0,NETWORKDAYS($L828,TODAY(),Holidays)-1))</f>
        <v/>
      </c>
      <c r="W828" s="17">
        <f>IF($L828="","",COUNT($L828:$Q828))</f>
        <v/>
      </c>
      <c r="X828" s="18">
        <f>IF($W828="","",INT(INDEX($L828:$Q828,$W828)))</f>
        <v/>
      </c>
      <c r="Y828" s="18">
        <f>IF(OR($W828="",$W828=6),"",WORKDAY($X828,CHOOSE($W828,3,3,2,2,3),Holidays))</f>
        <v/>
      </c>
      <c r="Z828" s="17">
        <f>IF(OR($W828="",$W828=6),"",CHOOSE($W828,"1st Email Follow-up","2nd Email Follow-up","Escalate Local Office","Escalate to CBE","Escalate to Roxanne"))</f>
        <v/>
      </c>
    </row>
    <row r="829" spans="18:26">
      <c r="R829" s="15"/>
      <c r="S829" s="16"/>
      <c r="T829" s="17">
        <f>IF(AND(COUNTA($A829:$K829)=0,$L829=""),"",IF($S829="Paid","PAID",IF($S829="Closed","CLOSED",IF($W829="","",IF($W829=6,"ESCALATED TO ROXANNE",IF(TODAY()&gt;$Y829,"OVERDUE",IF($Y829&lt;=WORKDAY(TODAY(),1,Holidays),"DUE TOMORROW",IF($W829=4,"ESCALATED TO LOCAL OFFICE",IF($W829=5,"ESCALATED TO CBE",IF($X829=TODAY(),"EMAIL SENT","MONITORING"))))))))))</f>
        <v/>
      </c>
      <c r="U829" s="17">
        <f>IF($T829="",IF(AND(COUNTA($A829:$K829)&gt;0,$L829=""),"Awaiting Collection Email time stamp.",""),IF(OR($T829="PAID",$T829="CLOSED"),IF($T829="PAID","Account paid. Action completed.","Account closed. No further action required."),CHOOSE($W829,"Collection Email","1st Email Follow-up","2nd Email Follow-up","Escalation to Local Office","Escalation to CBE","Escalation to Roxanne")&amp;" sent "&amp;TEXT($X829,"dd-mmm")&amp;". "&amp;IF($W829=6,"Final escalation completed.",IF($T829="OVERDUE","Next: "&amp;$Z829&amp;" was due "&amp;TEXT($Y829,"dd-mmm")&amp;" - "&amp;(NETWORKDAYS($Y829,TODAY(),Holidays)-1)&amp;" business day(s) late. Send now.",IF($T829="DUE TOMORROW","Next: "&amp;$Z829&amp;IF($Y829&lt;=TODAY()," is due TODAY ("," is due next business day (")&amp;TEXT($Y829,"dd-mmm")&amp;").","Next: "&amp;$Z829&amp;" due "&amp;TEXT($Y829,"dd-mmm")&amp;" ("&amp;(NETWORKDAYS(TODAY(),$Y829,Holidays)-1)&amp;" business day(s) left).")))))</f>
        <v/>
      </c>
      <c r="V829" s="17">
        <f>IF($W829="","",CHOOSE($W829,"Collection Email","1st Follow-up","2nd Follow-up","Local Office","CBE","Roxanne")&amp;IF($W829=6," - Final"," - Day "&amp;MAX(0,NETWORKDAYS($X829,TODAY(),Holidays)-1)&amp;" of "&amp;CHOOSE($W829,3,3,2,2,3))&amp;" | Total Day "&amp;MAX(0,NETWORKDAYS($L829,TODAY(),Holidays)-1))</f>
        <v/>
      </c>
      <c r="W829" s="17">
        <f>IF($L829="","",COUNT($L829:$Q829))</f>
        <v/>
      </c>
      <c r="X829" s="18">
        <f>IF($W829="","",INT(INDEX($L829:$Q829,$W829)))</f>
        <v/>
      </c>
      <c r="Y829" s="18">
        <f>IF(OR($W829="",$W829=6),"",WORKDAY($X829,CHOOSE($W829,3,3,2,2,3),Holidays))</f>
        <v/>
      </c>
      <c r="Z829" s="17">
        <f>IF(OR($W829="",$W829=6),"",CHOOSE($W829,"1st Email Follow-up","2nd Email Follow-up","Escalate Local Office","Escalate to CBE","Escalate to Roxanne"))</f>
        <v/>
      </c>
    </row>
    <row r="830" spans="18:26">
      <c r="R830" s="15"/>
      <c r="S830" s="16"/>
      <c r="T830" s="17">
        <f>IF(AND(COUNTA($A830:$K830)=0,$L830=""),"",IF($S830="Paid","PAID",IF($S830="Closed","CLOSED",IF($W830="","",IF($W830=6,"ESCALATED TO ROXANNE",IF(TODAY()&gt;$Y830,"OVERDUE",IF($Y830&lt;=WORKDAY(TODAY(),1,Holidays),"DUE TOMORROW",IF($W830=4,"ESCALATED TO LOCAL OFFICE",IF($W830=5,"ESCALATED TO CBE",IF($X830=TODAY(),"EMAIL SENT","MONITORING"))))))))))</f>
        <v/>
      </c>
      <c r="U830" s="17">
        <f>IF($T830="",IF(AND(COUNTA($A830:$K830)&gt;0,$L830=""),"Awaiting Collection Email time stamp.",""),IF(OR($T830="PAID",$T830="CLOSED"),IF($T830="PAID","Account paid. Action completed.","Account closed. No further action required."),CHOOSE($W830,"Collection Email","1st Email Follow-up","2nd Email Follow-up","Escalation to Local Office","Escalation to CBE","Escalation to Roxanne")&amp;" sent "&amp;TEXT($X830,"dd-mmm")&amp;". "&amp;IF($W830=6,"Final escalation completed.",IF($T830="OVERDUE","Next: "&amp;$Z830&amp;" was due "&amp;TEXT($Y830,"dd-mmm")&amp;" - "&amp;(NETWORKDAYS($Y830,TODAY(),Holidays)-1)&amp;" business day(s) late. Send now.",IF($T830="DUE TOMORROW","Next: "&amp;$Z830&amp;IF($Y830&lt;=TODAY()," is due TODAY ("," is due next business day (")&amp;TEXT($Y830,"dd-mmm")&amp;").","Next: "&amp;$Z830&amp;" due "&amp;TEXT($Y830,"dd-mmm")&amp;" ("&amp;(NETWORKDAYS(TODAY(),$Y830,Holidays)-1)&amp;" business day(s) left).")))))</f>
        <v/>
      </c>
      <c r="V830" s="17">
        <f>IF($W830="","",CHOOSE($W830,"Collection Email","1st Follow-up","2nd Follow-up","Local Office","CBE","Roxanne")&amp;IF($W830=6," - Final"," - Day "&amp;MAX(0,NETWORKDAYS($X830,TODAY(),Holidays)-1)&amp;" of "&amp;CHOOSE($W830,3,3,2,2,3))&amp;" | Total Day "&amp;MAX(0,NETWORKDAYS($L830,TODAY(),Holidays)-1))</f>
        <v/>
      </c>
      <c r="W830" s="17">
        <f>IF($L830="","",COUNT($L830:$Q830))</f>
        <v/>
      </c>
      <c r="X830" s="18">
        <f>IF($W830="","",INT(INDEX($L830:$Q830,$W830)))</f>
        <v/>
      </c>
      <c r="Y830" s="18">
        <f>IF(OR($W830="",$W830=6),"",WORKDAY($X830,CHOOSE($W830,3,3,2,2,3),Holidays))</f>
        <v/>
      </c>
      <c r="Z830" s="17">
        <f>IF(OR($W830="",$W830=6),"",CHOOSE($W830,"1st Email Follow-up","2nd Email Follow-up","Escalate Local Office","Escalate to CBE","Escalate to Roxanne"))</f>
        <v/>
      </c>
    </row>
    <row r="831" spans="18:26">
      <c r="R831" s="15"/>
      <c r="S831" s="16"/>
      <c r="T831" s="17">
        <f>IF(AND(COUNTA($A831:$K831)=0,$L831=""),"",IF($S831="Paid","PAID",IF($S831="Closed","CLOSED",IF($W831="","",IF($W831=6,"ESCALATED TO ROXANNE",IF(TODAY()&gt;$Y831,"OVERDUE",IF($Y831&lt;=WORKDAY(TODAY(),1,Holidays),"DUE TOMORROW",IF($W831=4,"ESCALATED TO LOCAL OFFICE",IF($W831=5,"ESCALATED TO CBE",IF($X831=TODAY(),"EMAIL SENT","MONITORING"))))))))))</f>
        <v/>
      </c>
      <c r="U831" s="17">
        <f>IF($T831="",IF(AND(COUNTA($A831:$K831)&gt;0,$L831=""),"Awaiting Collection Email time stamp.",""),IF(OR($T831="PAID",$T831="CLOSED"),IF($T831="PAID","Account paid. Action completed.","Account closed. No further action required."),CHOOSE($W831,"Collection Email","1st Email Follow-up","2nd Email Follow-up","Escalation to Local Office","Escalation to CBE","Escalation to Roxanne")&amp;" sent "&amp;TEXT($X831,"dd-mmm")&amp;". "&amp;IF($W831=6,"Final escalation completed.",IF($T831="OVERDUE","Next: "&amp;$Z831&amp;" was due "&amp;TEXT($Y831,"dd-mmm")&amp;" - "&amp;(NETWORKDAYS($Y831,TODAY(),Holidays)-1)&amp;" business day(s) late. Send now.",IF($T831="DUE TOMORROW","Next: "&amp;$Z831&amp;IF($Y831&lt;=TODAY()," is due TODAY ("," is due next business day (")&amp;TEXT($Y831,"dd-mmm")&amp;").","Next: "&amp;$Z831&amp;" due "&amp;TEXT($Y831,"dd-mmm")&amp;" ("&amp;(NETWORKDAYS(TODAY(),$Y831,Holidays)-1)&amp;" business day(s) left).")))))</f>
        <v/>
      </c>
      <c r="V831" s="17">
        <f>IF($W831="","",CHOOSE($W831,"Collection Email","1st Follow-up","2nd Follow-up","Local Office","CBE","Roxanne")&amp;IF($W831=6," - Final"," - Day "&amp;MAX(0,NETWORKDAYS($X831,TODAY(),Holidays)-1)&amp;" of "&amp;CHOOSE($W831,3,3,2,2,3))&amp;" | Total Day "&amp;MAX(0,NETWORKDAYS($L831,TODAY(),Holidays)-1))</f>
        <v/>
      </c>
      <c r="W831" s="17">
        <f>IF($L831="","",COUNT($L831:$Q831))</f>
        <v/>
      </c>
      <c r="X831" s="18">
        <f>IF($W831="","",INT(INDEX($L831:$Q831,$W831)))</f>
        <v/>
      </c>
      <c r="Y831" s="18">
        <f>IF(OR($W831="",$W831=6),"",WORKDAY($X831,CHOOSE($W831,3,3,2,2,3),Holidays))</f>
        <v/>
      </c>
      <c r="Z831" s="17">
        <f>IF(OR($W831="",$W831=6),"",CHOOSE($W831,"1st Email Follow-up","2nd Email Follow-up","Escalate Local Office","Escalate to CBE","Escalate to Roxanne"))</f>
        <v/>
      </c>
    </row>
    <row r="832" spans="18:26">
      <c r="R832" s="15"/>
      <c r="S832" s="16"/>
      <c r="T832" s="17">
        <f>IF(AND(COUNTA($A832:$K832)=0,$L832=""),"",IF($S832="Paid","PAID",IF($S832="Closed","CLOSED",IF($W832="","",IF($W832=6,"ESCALATED TO ROXANNE",IF(TODAY()&gt;$Y832,"OVERDUE",IF($Y832&lt;=WORKDAY(TODAY(),1,Holidays),"DUE TOMORROW",IF($W832=4,"ESCALATED TO LOCAL OFFICE",IF($W832=5,"ESCALATED TO CBE",IF($X832=TODAY(),"EMAIL SENT","MONITORING"))))))))))</f>
        <v/>
      </c>
      <c r="U832" s="17">
        <f>IF($T832="",IF(AND(COUNTA($A832:$K832)&gt;0,$L832=""),"Awaiting Collection Email time stamp.",""),IF(OR($T832="PAID",$T832="CLOSED"),IF($T832="PAID","Account paid. Action completed.","Account closed. No further action required."),CHOOSE($W832,"Collection Email","1st Email Follow-up","2nd Email Follow-up","Escalation to Local Office","Escalation to CBE","Escalation to Roxanne")&amp;" sent "&amp;TEXT($X832,"dd-mmm")&amp;". "&amp;IF($W832=6,"Final escalation completed.",IF($T832="OVERDUE","Next: "&amp;$Z832&amp;" was due "&amp;TEXT($Y832,"dd-mmm")&amp;" - "&amp;(NETWORKDAYS($Y832,TODAY(),Holidays)-1)&amp;" business day(s) late. Send now.",IF($T832="DUE TOMORROW","Next: "&amp;$Z832&amp;IF($Y832&lt;=TODAY()," is due TODAY ("," is due next business day (")&amp;TEXT($Y832,"dd-mmm")&amp;").","Next: "&amp;$Z832&amp;" due "&amp;TEXT($Y832,"dd-mmm")&amp;" ("&amp;(NETWORKDAYS(TODAY(),$Y832,Holidays)-1)&amp;" business day(s) left).")))))</f>
        <v/>
      </c>
      <c r="V832" s="17">
        <f>IF($W832="","",CHOOSE($W832,"Collection Email","1st Follow-up","2nd Follow-up","Local Office","CBE","Roxanne")&amp;IF($W832=6," - Final"," - Day "&amp;MAX(0,NETWORKDAYS($X832,TODAY(),Holidays)-1)&amp;" of "&amp;CHOOSE($W832,3,3,2,2,3))&amp;" | Total Day "&amp;MAX(0,NETWORKDAYS($L832,TODAY(),Holidays)-1))</f>
        <v/>
      </c>
      <c r="W832" s="17">
        <f>IF($L832="","",COUNT($L832:$Q832))</f>
        <v/>
      </c>
      <c r="X832" s="18">
        <f>IF($W832="","",INT(INDEX($L832:$Q832,$W832)))</f>
        <v/>
      </c>
      <c r="Y832" s="18">
        <f>IF(OR($W832="",$W832=6),"",WORKDAY($X832,CHOOSE($W832,3,3,2,2,3),Holidays))</f>
        <v/>
      </c>
      <c r="Z832" s="17">
        <f>IF(OR($W832="",$W832=6),"",CHOOSE($W832,"1st Email Follow-up","2nd Email Follow-up","Escalate Local Office","Escalate to CBE","Escalate to Roxanne"))</f>
        <v/>
      </c>
    </row>
    <row r="833" spans="18:26">
      <c r="R833" s="15"/>
      <c r="S833" s="16"/>
      <c r="T833" s="17">
        <f>IF(AND(COUNTA($A833:$K833)=0,$L833=""),"",IF($S833="Paid","PAID",IF($S833="Closed","CLOSED",IF($W833="","",IF($W833=6,"ESCALATED TO ROXANNE",IF(TODAY()&gt;$Y833,"OVERDUE",IF($Y833&lt;=WORKDAY(TODAY(),1,Holidays),"DUE TOMORROW",IF($W833=4,"ESCALATED TO LOCAL OFFICE",IF($W833=5,"ESCALATED TO CBE",IF($X833=TODAY(),"EMAIL SENT","MONITORING"))))))))))</f>
        <v/>
      </c>
      <c r="U833" s="17">
        <f>IF($T833="",IF(AND(COUNTA($A833:$K833)&gt;0,$L833=""),"Awaiting Collection Email time stamp.",""),IF(OR($T833="PAID",$T833="CLOSED"),IF($T833="PAID","Account paid. Action completed.","Account closed. No further action required."),CHOOSE($W833,"Collection Email","1st Email Follow-up","2nd Email Follow-up","Escalation to Local Office","Escalation to CBE","Escalation to Roxanne")&amp;" sent "&amp;TEXT($X833,"dd-mmm")&amp;". "&amp;IF($W833=6,"Final escalation completed.",IF($T833="OVERDUE","Next: "&amp;$Z833&amp;" was due "&amp;TEXT($Y833,"dd-mmm")&amp;" - "&amp;(NETWORKDAYS($Y833,TODAY(),Holidays)-1)&amp;" business day(s) late. Send now.",IF($T833="DUE TOMORROW","Next: "&amp;$Z833&amp;IF($Y833&lt;=TODAY()," is due TODAY ("," is due next business day (")&amp;TEXT($Y833,"dd-mmm")&amp;").","Next: "&amp;$Z833&amp;" due "&amp;TEXT($Y833,"dd-mmm")&amp;" ("&amp;(NETWORKDAYS(TODAY(),$Y833,Holidays)-1)&amp;" business day(s) left).")))))</f>
        <v/>
      </c>
      <c r="V833" s="17">
        <f>IF($W833="","",CHOOSE($W833,"Collection Email","1st Follow-up","2nd Follow-up","Local Office","CBE","Roxanne")&amp;IF($W833=6," - Final"," - Day "&amp;MAX(0,NETWORKDAYS($X833,TODAY(),Holidays)-1)&amp;" of "&amp;CHOOSE($W833,3,3,2,2,3))&amp;" | Total Day "&amp;MAX(0,NETWORKDAYS($L833,TODAY(),Holidays)-1))</f>
        <v/>
      </c>
      <c r="W833" s="17">
        <f>IF($L833="","",COUNT($L833:$Q833))</f>
        <v/>
      </c>
      <c r="X833" s="18">
        <f>IF($W833="","",INT(INDEX($L833:$Q833,$W833)))</f>
        <v/>
      </c>
      <c r="Y833" s="18">
        <f>IF(OR($W833="",$W833=6),"",WORKDAY($X833,CHOOSE($W833,3,3,2,2,3),Holidays))</f>
        <v/>
      </c>
      <c r="Z833" s="17">
        <f>IF(OR($W833="",$W833=6),"",CHOOSE($W833,"1st Email Follow-up","2nd Email Follow-up","Escalate Local Office","Escalate to CBE","Escalate to Roxanne"))</f>
        <v/>
      </c>
    </row>
    <row r="834" spans="18:26">
      <c r="R834" s="15"/>
      <c r="S834" s="16"/>
      <c r="T834" s="17">
        <f>IF(AND(COUNTA($A834:$K834)=0,$L834=""),"",IF($S834="Paid","PAID",IF($S834="Closed","CLOSED",IF($W834="","",IF($W834=6,"ESCALATED TO ROXANNE",IF(TODAY()&gt;$Y834,"OVERDUE",IF($Y834&lt;=WORKDAY(TODAY(),1,Holidays),"DUE TOMORROW",IF($W834=4,"ESCALATED TO LOCAL OFFICE",IF($W834=5,"ESCALATED TO CBE",IF($X834=TODAY(),"EMAIL SENT","MONITORING"))))))))))</f>
        <v/>
      </c>
      <c r="U834" s="17">
        <f>IF($T834="",IF(AND(COUNTA($A834:$K834)&gt;0,$L834=""),"Awaiting Collection Email time stamp.",""),IF(OR($T834="PAID",$T834="CLOSED"),IF($T834="PAID","Account paid. Action completed.","Account closed. No further action required."),CHOOSE($W834,"Collection Email","1st Email Follow-up","2nd Email Follow-up","Escalation to Local Office","Escalation to CBE","Escalation to Roxanne")&amp;" sent "&amp;TEXT($X834,"dd-mmm")&amp;". "&amp;IF($W834=6,"Final escalation completed.",IF($T834="OVERDUE","Next: "&amp;$Z834&amp;" was due "&amp;TEXT($Y834,"dd-mmm")&amp;" - "&amp;(NETWORKDAYS($Y834,TODAY(),Holidays)-1)&amp;" business day(s) late. Send now.",IF($T834="DUE TOMORROW","Next: "&amp;$Z834&amp;IF($Y834&lt;=TODAY()," is due TODAY ("," is due next business day (")&amp;TEXT($Y834,"dd-mmm")&amp;").","Next: "&amp;$Z834&amp;" due "&amp;TEXT($Y834,"dd-mmm")&amp;" ("&amp;(NETWORKDAYS(TODAY(),$Y834,Holidays)-1)&amp;" business day(s) left).")))))</f>
        <v/>
      </c>
      <c r="V834" s="17">
        <f>IF($W834="","",CHOOSE($W834,"Collection Email","1st Follow-up","2nd Follow-up","Local Office","CBE","Roxanne")&amp;IF($W834=6," - Final"," - Day "&amp;MAX(0,NETWORKDAYS($X834,TODAY(),Holidays)-1)&amp;" of "&amp;CHOOSE($W834,3,3,2,2,3))&amp;" | Total Day "&amp;MAX(0,NETWORKDAYS($L834,TODAY(),Holidays)-1))</f>
        <v/>
      </c>
      <c r="W834" s="17">
        <f>IF($L834="","",COUNT($L834:$Q834))</f>
        <v/>
      </c>
      <c r="X834" s="18">
        <f>IF($W834="","",INT(INDEX($L834:$Q834,$W834)))</f>
        <v/>
      </c>
      <c r="Y834" s="18">
        <f>IF(OR($W834="",$W834=6),"",WORKDAY($X834,CHOOSE($W834,3,3,2,2,3),Holidays))</f>
        <v/>
      </c>
      <c r="Z834" s="17">
        <f>IF(OR($W834="",$W834=6),"",CHOOSE($W834,"1st Email Follow-up","2nd Email Follow-up","Escalate Local Office","Escalate to CBE","Escalate to Roxanne"))</f>
        <v/>
      </c>
    </row>
    <row r="835" spans="18:26">
      <c r="R835" s="15"/>
      <c r="S835" s="16"/>
      <c r="T835" s="17">
        <f>IF(AND(COUNTA($A835:$K835)=0,$L835=""),"",IF($S835="Paid","PAID",IF($S835="Closed","CLOSED",IF($W835="","",IF($W835=6,"ESCALATED TO ROXANNE",IF(TODAY()&gt;$Y835,"OVERDUE",IF($Y835&lt;=WORKDAY(TODAY(),1,Holidays),"DUE TOMORROW",IF($W835=4,"ESCALATED TO LOCAL OFFICE",IF($W835=5,"ESCALATED TO CBE",IF($X835=TODAY(),"EMAIL SENT","MONITORING"))))))))))</f>
        <v/>
      </c>
      <c r="U835" s="17">
        <f>IF($T835="",IF(AND(COUNTA($A835:$K835)&gt;0,$L835=""),"Awaiting Collection Email time stamp.",""),IF(OR($T835="PAID",$T835="CLOSED"),IF($T835="PAID","Account paid. Action completed.","Account closed. No further action required."),CHOOSE($W835,"Collection Email","1st Email Follow-up","2nd Email Follow-up","Escalation to Local Office","Escalation to CBE","Escalation to Roxanne")&amp;" sent "&amp;TEXT($X835,"dd-mmm")&amp;". "&amp;IF($W835=6,"Final escalation completed.",IF($T835="OVERDUE","Next: "&amp;$Z835&amp;" was due "&amp;TEXT($Y835,"dd-mmm")&amp;" - "&amp;(NETWORKDAYS($Y835,TODAY(),Holidays)-1)&amp;" business day(s) late. Send now.",IF($T835="DUE TOMORROW","Next: "&amp;$Z835&amp;IF($Y835&lt;=TODAY()," is due TODAY ("," is due next business day (")&amp;TEXT($Y835,"dd-mmm")&amp;").","Next: "&amp;$Z835&amp;" due "&amp;TEXT($Y835,"dd-mmm")&amp;" ("&amp;(NETWORKDAYS(TODAY(),$Y835,Holidays)-1)&amp;" business day(s) left).")))))</f>
        <v/>
      </c>
      <c r="V835" s="17">
        <f>IF($W835="","",CHOOSE($W835,"Collection Email","1st Follow-up","2nd Follow-up","Local Office","CBE","Roxanne")&amp;IF($W835=6," - Final"," - Day "&amp;MAX(0,NETWORKDAYS($X835,TODAY(),Holidays)-1)&amp;" of "&amp;CHOOSE($W835,3,3,2,2,3))&amp;" | Total Day "&amp;MAX(0,NETWORKDAYS($L835,TODAY(),Holidays)-1))</f>
        <v/>
      </c>
      <c r="W835" s="17">
        <f>IF($L835="","",COUNT($L835:$Q835))</f>
        <v/>
      </c>
      <c r="X835" s="18">
        <f>IF($W835="","",INT(INDEX($L835:$Q835,$W835)))</f>
        <v/>
      </c>
      <c r="Y835" s="18">
        <f>IF(OR($W835="",$W835=6),"",WORKDAY($X835,CHOOSE($W835,3,3,2,2,3),Holidays))</f>
        <v/>
      </c>
      <c r="Z835" s="17">
        <f>IF(OR($W835="",$W835=6),"",CHOOSE($W835,"1st Email Follow-up","2nd Email Follow-up","Escalate Local Office","Escalate to CBE","Escalate to Roxanne"))</f>
        <v/>
      </c>
    </row>
    <row r="836" spans="18:26">
      <c r="R836" s="15"/>
      <c r="S836" s="16"/>
      <c r="T836" s="17">
        <f>IF(AND(COUNTA($A836:$K836)=0,$L836=""),"",IF($S836="Paid","PAID",IF($S836="Closed","CLOSED",IF($W836="","",IF($W836=6,"ESCALATED TO ROXANNE",IF(TODAY()&gt;$Y836,"OVERDUE",IF($Y836&lt;=WORKDAY(TODAY(),1,Holidays),"DUE TOMORROW",IF($W836=4,"ESCALATED TO LOCAL OFFICE",IF($W836=5,"ESCALATED TO CBE",IF($X836=TODAY(),"EMAIL SENT","MONITORING"))))))))))</f>
        <v/>
      </c>
      <c r="U836" s="17">
        <f>IF($T836="",IF(AND(COUNTA($A836:$K836)&gt;0,$L836=""),"Awaiting Collection Email time stamp.",""),IF(OR($T836="PAID",$T836="CLOSED"),IF($T836="PAID","Account paid. Action completed.","Account closed. No further action required."),CHOOSE($W836,"Collection Email","1st Email Follow-up","2nd Email Follow-up","Escalation to Local Office","Escalation to CBE","Escalation to Roxanne")&amp;" sent "&amp;TEXT($X836,"dd-mmm")&amp;". "&amp;IF($W836=6,"Final escalation completed.",IF($T836="OVERDUE","Next: "&amp;$Z836&amp;" was due "&amp;TEXT($Y836,"dd-mmm")&amp;" - "&amp;(NETWORKDAYS($Y836,TODAY(),Holidays)-1)&amp;" business day(s) late. Send now.",IF($T836="DUE TOMORROW","Next: "&amp;$Z836&amp;IF($Y836&lt;=TODAY()," is due TODAY ("," is due next business day (")&amp;TEXT($Y836,"dd-mmm")&amp;").","Next: "&amp;$Z836&amp;" due "&amp;TEXT($Y836,"dd-mmm")&amp;" ("&amp;(NETWORKDAYS(TODAY(),$Y836,Holidays)-1)&amp;" business day(s) left).")))))</f>
        <v/>
      </c>
      <c r="V836" s="17">
        <f>IF($W836="","",CHOOSE($W836,"Collection Email","1st Follow-up","2nd Follow-up","Local Office","CBE","Roxanne")&amp;IF($W836=6," - Final"," - Day "&amp;MAX(0,NETWORKDAYS($X836,TODAY(),Holidays)-1)&amp;" of "&amp;CHOOSE($W836,3,3,2,2,3))&amp;" | Total Day "&amp;MAX(0,NETWORKDAYS($L836,TODAY(),Holidays)-1))</f>
        <v/>
      </c>
      <c r="W836" s="17">
        <f>IF($L836="","",COUNT($L836:$Q836))</f>
        <v/>
      </c>
      <c r="X836" s="18">
        <f>IF($W836="","",INT(INDEX($L836:$Q836,$W836)))</f>
        <v/>
      </c>
      <c r="Y836" s="18">
        <f>IF(OR($W836="",$W836=6),"",WORKDAY($X836,CHOOSE($W836,3,3,2,2,3),Holidays))</f>
        <v/>
      </c>
      <c r="Z836" s="17">
        <f>IF(OR($W836="",$W836=6),"",CHOOSE($W836,"1st Email Follow-up","2nd Email Follow-up","Escalate Local Office","Escalate to CBE","Escalate to Roxanne"))</f>
        <v/>
      </c>
    </row>
    <row r="837" spans="18:26">
      <c r="R837" s="15"/>
      <c r="S837" s="16"/>
      <c r="T837" s="17">
        <f>IF(AND(COUNTA($A837:$K837)=0,$L837=""),"",IF($S837="Paid","PAID",IF($S837="Closed","CLOSED",IF($W837="","",IF($W837=6,"ESCALATED TO ROXANNE",IF(TODAY()&gt;$Y837,"OVERDUE",IF($Y837&lt;=WORKDAY(TODAY(),1,Holidays),"DUE TOMORROW",IF($W837=4,"ESCALATED TO LOCAL OFFICE",IF($W837=5,"ESCALATED TO CBE",IF($X837=TODAY(),"EMAIL SENT","MONITORING"))))))))))</f>
        <v/>
      </c>
      <c r="U837" s="17">
        <f>IF($T837="",IF(AND(COUNTA($A837:$K837)&gt;0,$L837=""),"Awaiting Collection Email time stamp.",""),IF(OR($T837="PAID",$T837="CLOSED"),IF($T837="PAID","Account paid. Action completed.","Account closed. No further action required."),CHOOSE($W837,"Collection Email","1st Email Follow-up","2nd Email Follow-up","Escalation to Local Office","Escalation to CBE","Escalation to Roxanne")&amp;" sent "&amp;TEXT($X837,"dd-mmm")&amp;". "&amp;IF($W837=6,"Final escalation completed.",IF($T837="OVERDUE","Next: "&amp;$Z837&amp;" was due "&amp;TEXT($Y837,"dd-mmm")&amp;" - "&amp;(NETWORKDAYS($Y837,TODAY(),Holidays)-1)&amp;" business day(s) late. Send now.",IF($T837="DUE TOMORROW","Next: "&amp;$Z837&amp;IF($Y837&lt;=TODAY()," is due TODAY ("," is due next business day (")&amp;TEXT($Y837,"dd-mmm")&amp;").","Next: "&amp;$Z837&amp;" due "&amp;TEXT($Y837,"dd-mmm")&amp;" ("&amp;(NETWORKDAYS(TODAY(),$Y837,Holidays)-1)&amp;" business day(s) left).")))))</f>
        <v/>
      </c>
      <c r="V837" s="17">
        <f>IF($W837="","",CHOOSE($W837,"Collection Email","1st Follow-up","2nd Follow-up","Local Office","CBE","Roxanne")&amp;IF($W837=6," - Final"," - Day "&amp;MAX(0,NETWORKDAYS($X837,TODAY(),Holidays)-1)&amp;" of "&amp;CHOOSE($W837,3,3,2,2,3))&amp;" | Total Day "&amp;MAX(0,NETWORKDAYS($L837,TODAY(),Holidays)-1))</f>
        <v/>
      </c>
      <c r="W837" s="17">
        <f>IF($L837="","",COUNT($L837:$Q837))</f>
        <v/>
      </c>
      <c r="X837" s="18">
        <f>IF($W837="","",INT(INDEX($L837:$Q837,$W837)))</f>
        <v/>
      </c>
      <c r="Y837" s="18">
        <f>IF(OR($W837="",$W837=6),"",WORKDAY($X837,CHOOSE($W837,3,3,2,2,3),Holidays))</f>
        <v/>
      </c>
      <c r="Z837" s="17">
        <f>IF(OR($W837="",$W837=6),"",CHOOSE($W837,"1st Email Follow-up","2nd Email Follow-up","Escalate Local Office","Escalate to CBE","Escalate to Roxanne"))</f>
        <v/>
      </c>
    </row>
    <row r="838" spans="18:26">
      <c r="R838" s="15"/>
      <c r="S838" s="16"/>
      <c r="T838" s="17">
        <f>IF(AND(COUNTA($A838:$K838)=0,$L838=""),"",IF($S838="Paid","PAID",IF($S838="Closed","CLOSED",IF($W838="","",IF($W838=6,"ESCALATED TO ROXANNE",IF(TODAY()&gt;$Y838,"OVERDUE",IF($Y838&lt;=WORKDAY(TODAY(),1,Holidays),"DUE TOMORROW",IF($W838=4,"ESCALATED TO LOCAL OFFICE",IF($W838=5,"ESCALATED TO CBE",IF($X838=TODAY(),"EMAIL SENT","MONITORING"))))))))))</f>
        <v/>
      </c>
      <c r="U838" s="17">
        <f>IF($T838="",IF(AND(COUNTA($A838:$K838)&gt;0,$L838=""),"Awaiting Collection Email time stamp.",""),IF(OR($T838="PAID",$T838="CLOSED"),IF($T838="PAID","Account paid. Action completed.","Account closed. No further action required."),CHOOSE($W838,"Collection Email","1st Email Follow-up","2nd Email Follow-up","Escalation to Local Office","Escalation to CBE","Escalation to Roxanne")&amp;" sent "&amp;TEXT($X838,"dd-mmm")&amp;". "&amp;IF($W838=6,"Final escalation completed.",IF($T838="OVERDUE","Next: "&amp;$Z838&amp;" was due "&amp;TEXT($Y838,"dd-mmm")&amp;" - "&amp;(NETWORKDAYS($Y838,TODAY(),Holidays)-1)&amp;" business day(s) late. Send now.",IF($T838="DUE TOMORROW","Next: "&amp;$Z838&amp;IF($Y838&lt;=TODAY()," is due TODAY ("," is due next business day (")&amp;TEXT($Y838,"dd-mmm")&amp;").","Next: "&amp;$Z838&amp;" due "&amp;TEXT($Y838,"dd-mmm")&amp;" ("&amp;(NETWORKDAYS(TODAY(),$Y838,Holidays)-1)&amp;" business day(s) left).")))))</f>
        <v/>
      </c>
      <c r="V838" s="17">
        <f>IF($W838="","",CHOOSE($W838,"Collection Email","1st Follow-up","2nd Follow-up","Local Office","CBE","Roxanne")&amp;IF($W838=6," - Final"," - Day "&amp;MAX(0,NETWORKDAYS($X838,TODAY(),Holidays)-1)&amp;" of "&amp;CHOOSE($W838,3,3,2,2,3))&amp;" | Total Day "&amp;MAX(0,NETWORKDAYS($L838,TODAY(),Holidays)-1))</f>
        <v/>
      </c>
      <c r="W838" s="17">
        <f>IF($L838="","",COUNT($L838:$Q838))</f>
        <v/>
      </c>
      <c r="X838" s="18">
        <f>IF($W838="","",INT(INDEX($L838:$Q838,$W838)))</f>
        <v/>
      </c>
      <c r="Y838" s="18">
        <f>IF(OR($W838="",$W838=6),"",WORKDAY($X838,CHOOSE($W838,3,3,2,2,3),Holidays))</f>
        <v/>
      </c>
      <c r="Z838" s="17">
        <f>IF(OR($W838="",$W838=6),"",CHOOSE($W838,"1st Email Follow-up","2nd Email Follow-up","Escalate Local Office","Escalate to CBE","Escalate to Roxanne"))</f>
        <v/>
      </c>
    </row>
    <row r="839" spans="18:26">
      <c r="R839" s="15"/>
      <c r="S839" s="16"/>
      <c r="T839" s="17">
        <f>IF(AND(COUNTA($A839:$K839)=0,$L839=""),"",IF($S839="Paid","PAID",IF($S839="Closed","CLOSED",IF($W839="","",IF($W839=6,"ESCALATED TO ROXANNE",IF(TODAY()&gt;$Y839,"OVERDUE",IF($Y839&lt;=WORKDAY(TODAY(),1,Holidays),"DUE TOMORROW",IF($W839=4,"ESCALATED TO LOCAL OFFICE",IF($W839=5,"ESCALATED TO CBE",IF($X839=TODAY(),"EMAIL SENT","MONITORING"))))))))))</f>
        <v/>
      </c>
      <c r="U839" s="17">
        <f>IF($T839="",IF(AND(COUNTA($A839:$K839)&gt;0,$L839=""),"Awaiting Collection Email time stamp.",""),IF(OR($T839="PAID",$T839="CLOSED"),IF($T839="PAID","Account paid. Action completed.","Account closed. No further action required."),CHOOSE($W839,"Collection Email","1st Email Follow-up","2nd Email Follow-up","Escalation to Local Office","Escalation to CBE","Escalation to Roxanne")&amp;" sent "&amp;TEXT($X839,"dd-mmm")&amp;". "&amp;IF($W839=6,"Final escalation completed.",IF($T839="OVERDUE","Next: "&amp;$Z839&amp;" was due "&amp;TEXT($Y839,"dd-mmm")&amp;" - "&amp;(NETWORKDAYS($Y839,TODAY(),Holidays)-1)&amp;" business day(s) late. Send now.",IF($T839="DUE TOMORROW","Next: "&amp;$Z839&amp;IF($Y839&lt;=TODAY()," is due TODAY ("," is due next business day (")&amp;TEXT($Y839,"dd-mmm")&amp;").","Next: "&amp;$Z839&amp;" due "&amp;TEXT($Y839,"dd-mmm")&amp;" ("&amp;(NETWORKDAYS(TODAY(),$Y839,Holidays)-1)&amp;" business day(s) left).")))))</f>
        <v/>
      </c>
      <c r="V839" s="17">
        <f>IF($W839="","",CHOOSE($W839,"Collection Email","1st Follow-up","2nd Follow-up","Local Office","CBE","Roxanne")&amp;IF($W839=6," - Final"," - Day "&amp;MAX(0,NETWORKDAYS($X839,TODAY(),Holidays)-1)&amp;" of "&amp;CHOOSE($W839,3,3,2,2,3))&amp;" | Total Day "&amp;MAX(0,NETWORKDAYS($L839,TODAY(),Holidays)-1))</f>
        <v/>
      </c>
      <c r="W839" s="17">
        <f>IF($L839="","",COUNT($L839:$Q839))</f>
        <v/>
      </c>
      <c r="X839" s="18">
        <f>IF($W839="","",INT(INDEX($L839:$Q839,$W839)))</f>
        <v/>
      </c>
      <c r="Y839" s="18">
        <f>IF(OR($W839="",$W839=6),"",WORKDAY($X839,CHOOSE($W839,3,3,2,2,3),Holidays))</f>
        <v/>
      </c>
      <c r="Z839" s="17">
        <f>IF(OR($W839="",$W839=6),"",CHOOSE($W839,"1st Email Follow-up","2nd Email Follow-up","Escalate Local Office","Escalate to CBE","Escalate to Roxanne"))</f>
        <v/>
      </c>
    </row>
    <row r="840" spans="18:26">
      <c r="R840" s="15"/>
      <c r="S840" s="16"/>
      <c r="T840" s="17">
        <f>IF(AND(COUNTA($A840:$K840)=0,$L840=""),"",IF($S840="Paid","PAID",IF($S840="Closed","CLOSED",IF($W840="","",IF($W840=6,"ESCALATED TO ROXANNE",IF(TODAY()&gt;$Y840,"OVERDUE",IF($Y840&lt;=WORKDAY(TODAY(),1,Holidays),"DUE TOMORROW",IF($W840=4,"ESCALATED TO LOCAL OFFICE",IF($W840=5,"ESCALATED TO CBE",IF($X840=TODAY(),"EMAIL SENT","MONITORING"))))))))))</f>
        <v/>
      </c>
      <c r="U840" s="17">
        <f>IF($T840="",IF(AND(COUNTA($A840:$K840)&gt;0,$L840=""),"Awaiting Collection Email time stamp.",""),IF(OR($T840="PAID",$T840="CLOSED"),IF($T840="PAID","Account paid. Action completed.","Account closed. No further action required."),CHOOSE($W840,"Collection Email","1st Email Follow-up","2nd Email Follow-up","Escalation to Local Office","Escalation to CBE","Escalation to Roxanne")&amp;" sent "&amp;TEXT($X840,"dd-mmm")&amp;". "&amp;IF($W840=6,"Final escalation completed.",IF($T840="OVERDUE","Next: "&amp;$Z840&amp;" was due "&amp;TEXT($Y840,"dd-mmm")&amp;" - "&amp;(NETWORKDAYS($Y840,TODAY(),Holidays)-1)&amp;" business day(s) late. Send now.",IF($T840="DUE TOMORROW","Next: "&amp;$Z840&amp;IF($Y840&lt;=TODAY()," is due TODAY ("," is due next business day (")&amp;TEXT($Y840,"dd-mmm")&amp;").","Next: "&amp;$Z840&amp;" due "&amp;TEXT($Y840,"dd-mmm")&amp;" ("&amp;(NETWORKDAYS(TODAY(),$Y840,Holidays)-1)&amp;" business day(s) left).")))))</f>
        <v/>
      </c>
      <c r="V840" s="17">
        <f>IF($W840="","",CHOOSE($W840,"Collection Email","1st Follow-up","2nd Follow-up","Local Office","CBE","Roxanne")&amp;IF($W840=6," - Final"," - Day "&amp;MAX(0,NETWORKDAYS($X840,TODAY(),Holidays)-1)&amp;" of "&amp;CHOOSE($W840,3,3,2,2,3))&amp;" | Total Day "&amp;MAX(0,NETWORKDAYS($L840,TODAY(),Holidays)-1))</f>
        <v/>
      </c>
      <c r="W840" s="17">
        <f>IF($L840="","",COUNT($L840:$Q840))</f>
        <v/>
      </c>
      <c r="X840" s="18">
        <f>IF($W840="","",INT(INDEX($L840:$Q840,$W840)))</f>
        <v/>
      </c>
      <c r="Y840" s="18">
        <f>IF(OR($W840="",$W840=6),"",WORKDAY($X840,CHOOSE($W840,3,3,2,2,3),Holidays))</f>
        <v/>
      </c>
      <c r="Z840" s="17">
        <f>IF(OR($W840="",$W840=6),"",CHOOSE($W840,"1st Email Follow-up","2nd Email Follow-up","Escalate Local Office","Escalate to CBE","Escalate to Roxanne"))</f>
        <v/>
      </c>
    </row>
    <row r="841" spans="18:26">
      <c r="R841" s="15"/>
      <c r="S841" s="16"/>
      <c r="T841" s="17">
        <f>IF(AND(COUNTA($A841:$K841)=0,$L841=""),"",IF($S841="Paid","PAID",IF($S841="Closed","CLOSED",IF($W841="","",IF($W841=6,"ESCALATED TO ROXANNE",IF(TODAY()&gt;$Y841,"OVERDUE",IF($Y841&lt;=WORKDAY(TODAY(),1,Holidays),"DUE TOMORROW",IF($W841=4,"ESCALATED TO LOCAL OFFICE",IF($W841=5,"ESCALATED TO CBE",IF($X841=TODAY(),"EMAIL SENT","MONITORING"))))))))))</f>
        <v/>
      </c>
      <c r="U841" s="17">
        <f>IF($T841="",IF(AND(COUNTA($A841:$K841)&gt;0,$L841=""),"Awaiting Collection Email time stamp.",""),IF(OR($T841="PAID",$T841="CLOSED"),IF($T841="PAID","Account paid. Action completed.","Account closed. No further action required."),CHOOSE($W841,"Collection Email","1st Email Follow-up","2nd Email Follow-up","Escalation to Local Office","Escalation to CBE","Escalation to Roxanne")&amp;" sent "&amp;TEXT($X841,"dd-mmm")&amp;". "&amp;IF($W841=6,"Final escalation completed.",IF($T841="OVERDUE","Next: "&amp;$Z841&amp;" was due "&amp;TEXT($Y841,"dd-mmm")&amp;" - "&amp;(NETWORKDAYS($Y841,TODAY(),Holidays)-1)&amp;" business day(s) late. Send now.",IF($T841="DUE TOMORROW","Next: "&amp;$Z841&amp;IF($Y841&lt;=TODAY()," is due TODAY ("," is due next business day (")&amp;TEXT($Y841,"dd-mmm")&amp;").","Next: "&amp;$Z841&amp;" due "&amp;TEXT($Y841,"dd-mmm")&amp;" ("&amp;(NETWORKDAYS(TODAY(),$Y841,Holidays)-1)&amp;" business day(s) left).")))))</f>
        <v/>
      </c>
      <c r="V841" s="17">
        <f>IF($W841="","",CHOOSE($W841,"Collection Email","1st Follow-up","2nd Follow-up","Local Office","CBE","Roxanne")&amp;IF($W841=6," - Final"," - Day "&amp;MAX(0,NETWORKDAYS($X841,TODAY(),Holidays)-1)&amp;" of "&amp;CHOOSE($W841,3,3,2,2,3))&amp;" | Total Day "&amp;MAX(0,NETWORKDAYS($L841,TODAY(),Holidays)-1))</f>
        <v/>
      </c>
      <c r="W841" s="17">
        <f>IF($L841="","",COUNT($L841:$Q841))</f>
        <v/>
      </c>
      <c r="X841" s="18">
        <f>IF($W841="","",INT(INDEX($L841:$Q841,$W841)))</f>
        <v/>
      </c>
      <c r="Y841" s="18">
        <f>IF(OR($W841="",$W841=6),"",WORKDAY($X841,CHOOSE($W841,3,3,2,2,3),Holidays))</f>
        <v/>
      </c>
      <c r="Z841" s="17">
        <f>IF(OR($W841="",$W841=6),"",CHOOSE($W841,"1st Email Follow-up","2nd Email Follow-up","Escalate Local Office","Escalate to CBE","Escalate to Roxanne"))</f>
        <v/>
      </c>
    </row>
    <row r="842" spans="18:26">
      <c r="R842" s="15"/>
      <c r="S842" s="16"/>
      <c r="T842" s="17">
        <f>IF(AND(COUNTA($A842:$K842)=0,$L842=""),"",IF($S842="Paid","PAID",IF($S842="Closed","CLOSED",IF($W842="","",IF($W842=6,"ESCALATED TO ROXANNE",IF(TODAY()&gt;$Y842,"OVERDUE",IF($Y842&lt;=WORKDAY(TODAY(),1,Holidays),"DUE TOMORROW",IF($W842=4,"ESCALATED TO LOCAL OFFICE",IF($W842=5,"ESCALATED TO CBE",IF($X842=TODAY(),"EMAIL SENT","MONITORING"))))))))))</f>
        <v/>
      </c>
      <c r="U842" s="17">
        <f>IF($T842="",IF(AND(COUNTA($A842:$K842)&gt;0,$L842=""),"Awaiting Collection Email time stamp.",""),IF(OR($T842="PAID",$T842="CLOSED"),IF($T842="PAID","Account paid. Action completed.","Account closed. No further action required."),CHOOSE($W842,"Collection Email","1st Email Follow-up","2nd Email Follow-up","Escalation to Local Office","Escalation to CBE","Escalation to Roxanne")&amp;" sent "&amp;TEXT($X842,"dd-mmm")&amp;". "&amp;IF($W842=6,"Final escalation completed.",IF($T842="OVERDUE","Next: "&amp;$Z842&amp;" was due "&amp;TEXT($Y842,"dd-mmm")&amp;" - "&amp;(NETWORKDAYS($Y842,TODAY(),Holidays)-1)&amp;" business day(s) late. Send now.",IF($T842="DUE TOMORROW","Next: "&amp;$Z842&amp;IF($Y842&lt;=TODAY()," is due TODAY ("," is due next business day (")&amp;TEXT($Y842,"dd-mmm")&amp;").","Next: "&amp;$Z842&amp;" due "&amp;TEXT($Y842,"dd-mmm")&amp;" ("&amp;(NETWORKDAYS(TODAY(),$Y842,Holidays)-1)&amp;" business day(s) left).")))))</f>
        <v/>
      </c>
      <c r="V842" s="17">
        <f>IF($W842="","",CHOOSE($W842,"Collection Email","1st Follow-up","2nd Follow-up","Local Office","CBE","Roxanne")&amp;IF($W842=6," - Final"," - Day "&amp;MAX(0,NETWORKDAYS($X842,TODAY(),Holidays)-1)&amp;" of "&amp;CHOOSE($W842,3,3,2,2,3))&amp;" | Total Day "&amp;MAX(0,NETWORKDAYS($L842,TODAY(),Holidays)-1))</f>
        <v/>
      </c>
      <c r="W842" s="17">
        <f>IF($L842="","",COUNT($L842:$Q842))</f>
        <v/>
      </c>
      <c r="X842" s="18">
        <f>IF($W842="","",INT(INDEX($L842:$Q842,$W842)))</f>
        <v/>
      </c>
      <c r="Y842" s="18">
        <f>IF(OR($W842="",$W842=6),"",WORKDAY($X842,CHOOSE($W842,3,3,2,2,3),Holidays))</f>
        <v/>
      </c>
      <c r="Z842" s="17">
        <f>IF(OR($W842="",$W842=6),"",CHOOSE($W842,"1st Email Follow-up","2nd Email Follow-up","Escalate Local Office","Escalate to CBE","Escalate to Roxanne"))</f>
        <v/>
      </c>
    </row>
    <row r="843" spans="18:26">
      <c r="R843" s="15"/>
      <c r="S843" s="16"/>
      <c r="T843" s="17">
        <f>IF(AND(COUNTA($A843:$K843)=0,$L843=""),"",IF($S843="Paid","PAID",IF($S843="Closed","CLOSED",IF($W843="","",IF($W843=6,"ESCALATED TO ROXANNE",IF(TODAY()&gt;$Y843,"OVERDUE",IF($Y843&lt;=WORKDAY(TODAY(),1,Holidays),"DUE TOMORROW",IF($W843=4,"ESCALATED TO LOCAL OFFICE",IF($W843=5,"ESCALATED TO CBE",IF($X843=TODAY(),"EMAIL SENT","MONITORING"))))))))))</f>
        <v/>
      </c>
      <c r="U843" s="17">
        <f>IF($T843="",IF(AND(COUNTA($A843:$K843)&gt;0,$L843=""),"Awaiting Collection Email time stamp.",""),IF(OR($T843="PAID",$T843="CLOSED"),IF($T843="PAID","Account paid. Action completed.","Account closed. No further action required."),CHOOSE($W843,"Collection Email","1st Email Follow-up","2nd Email Follow-up","Escalation to Local Office","Escalation to CBE","Escalation to Roxanne")&amp;" sent "&amp;TEXT($X843,"dd-mmm")&amp;". "&amp;IF($W843=6,"Final escalation completed.",IF($T843="OVERDUE","Next: "&amp;$Z843&amp;" was due "&amp;TEXT($Y843,"dd-mmm")&amp;" - "&amp;(NETWORKDAYS($Y843,TODAY(),Holidays)-1)&amp;" business day(s) late. Send now.",IF($T843="DUE TOMORROW","Next: "&amp;$Z843&amp;IF($Y843&lt;=TODAY()," is due TODAY ("," is due next business day (")&amp;TEXT($Y843,"dd-mmm")&amp;").","Next: "&amp;$Z843&amp;" due "&amp;TEXT($Y843,"dd-mmm")&amp;" ("&amp;(NETWORKDAYS(TODAY(),$Y843,Holidays)-1)&amp;" business day(s) left).")))))</f>
        <v/>
      </c>
      <c r="V843" s="17">
        <f>IF($W843="","",CHOOSE($W843,"Collection Email","1st Follow-up","2nd Follow-up","Local Office","CBE","Roxanne")&amp;IF($W843=6," - Final"," - Day "&amp;MAX(0,NETWORKDAYS($X843,TODAY(),Holidays)-1)&amp;" of "&amp;CHOOSE($W843,3,3,2,2,3))&amp;" | Total Day "&amp;MAX(0,NETWORKDAYS($L843,TODAY(),Holidays)-1))</f>
        <v/>
      </c>
      <c r="W843" s="17">
        <f>IF($L843="","",COUNT($L843:$Q843))</f>
        <v/>
      </c>
      <c r="X843" s="18">
        <f>IF($W843="","",INT(INDEX($L843:$Q843,$W843)))</f>
        <v/>
      </c>
      <c r="Y843" s="18">
        <f>IF(OR($W843="",$W843=6),"",WORKDAY($X843,CHOOSE($W843,3,3,2,2,3),Holidays))</f>
        <v/>
      </c>
      <c r="Z843" s="17">
        <f>IF(OR($W843="",$W843=6),"",CHOOSE($W843,"1st Email Follow-up","2nd Email Follow-up","Escalate Local Office","Escalate to CBE","Escalate to Roxanne"))</f>
        <v/>
      </c>
    </row>
    <row r="844" spans="18:26">
      <c r="R844" s="15"/>
      <c r="S844" s="16"/>
      <c r="T844" s="17">
        <f>IF(AND(COUNTA($A844:$K844)=0,$L844=""),"",IF($S844="Paid","PAID",IF($S844="Closed","CLOSED",IF($W844="","",IF($W844=6,"ESCALATED TO ROXANNE",IF(TODAY()&gt;$Y844,"OVERDUE",IF($Y844&lt;=WORKDAY(TODAY(),1,Holidays),"DUE TOMORROW",IF($W844=4,"ESCALATED TO LOCAL OFFICE",IF($W844=5,"ESCALATED TO CBE",IF($X844=TODAY(),"EMAIL SENT","MONITORING"))))))))))</f>
        <v/>
      </c>
      <c r="U844" s="17">
        <f>IF($T844="",IF(AND(COUNTA($A844:$K844)&gt;0,$L844=""),"Awaiting Collection Email time stamp.",""),IF(OR($T844="PAID",$T844="CLOSED"),IF($T844="PAID","Account paid. Action completed.","Account closed. No further action required."),CHOOSE($W844,"Collection Email","1st Email Follow-up","2nd Email Follow-up","Escalation to Local Office","Escalation to CBE","Escalation to Roxanne")&amp;" sent "&amp;TEXT($X844,"dd-mmm")&amp;". "&amp;IF($W844=6,"Final escalation completed.",IF($T844="OVERDUE","Next: "&amp;$Z844&amp;" was due "&amp;TEXT($Y844,"dd-mmm")&amp;" - "&amp;(NETWORKDAYS($Y844,TODAY(),Holidays)-1)&amp;" business day(s) late. Send now.",IF($T844="DUE TOMORROW","Next: "&amp;$Z844&amp;IF($Y844&lt;=TODAY()," is due TODAY ("," is due next business day (")&amp;TEXT($Y844,"dd-mmm")&amp;").","Next: "&amp;$Z844&amp;" due "&amp;TEXT($Y844,"dd-mmm")&amp;" ("&amp;(NETWORKDAYS(TODAY(),$Y844,Holidays)-1)&amp;" business day(s) left).")))))</f>
        <v/>
      </c>
      <c r="V844" s="17">
        <f>IF($W844="","",CHOOSE($W844,"Collection Email","1st Follow-up","2nd Follow-up","Local Office","CBE","Roxanne")&amp;IF($W844=6," - Final"," - Day "&amp;MAX(0,NETWORKDAYS($X844,TODAY(),Holidays)-1)&amp;" of "&amp;CHOOSE($W844,3,3,2,2,3))&amp;" | Total Day "&amp;MAX(0,NETWORKDAYS($L844,TODAY(),Holidays)-1))</f>
        <v/>
      </c>
      <c r="W844" s="17">
        <f>IF($L844="","",COUNT($L844:$Q844))</f>
        <v/>
      </c>
      <c r="X844" s="18">
        <f>IF($W844="","",INT(INDEX($L844:$Q844,$W844)))</f>
        <v/>
      </c>
      <c r="Y844" s="18">
        <f>IF(OR($W844="",$W844=6),"",WORKDAY($X844,CHOOSE($W844,3,3,2,2,3),Holidays))</f>
        <v/>
      </c>
      <c r="Z844" s="17">
        <f>IF(OR($W844="",$W844=6),"",CHOOSE($W844,"1st Email Follow-up","2nd Email Follow-up","Escalate Local Office","Escalate to CBE","Escalate to Roxanne"))</f>
        <v/>
      </c>
    </row>
    <row r="845" spans="18:26">
      <c r="R845" s="15"/>
      <c r="S845" s="16"/>
      <c r="T845" s="17">
        <f>IF(AND(COUNTA($A845:$K845)=0,$L845=""),"",IF($S845="Paid","PAID",IF($S845="Closed","CLOSED",IF($W845="","",IF($W845=6,"ESCALATED TO ROXANNE",IF(TODAY()&gt;$Y845,"OVERDUE",IF($Y845&lt;=WORKDAY(TODAY(),1,Holidays),"DUE TOMORROW",IF($W845=4,"ESCALATED TO LOCAL OFFICE",IF($W845=5,"ESCALATED TO CBE",IF($X845=TODAY(),"EMAIL SENT","MONITORING"))))))))))</f>
        <v/>
      </c>
      <c r="U845" s="17">
        <f>IF($T845="",IF(AND(COUNTA($A845:$K845)&gt;0,$L845=""),"Awaiting Collection Email time stamp.",""),IF(OR($T845="PAID",$T845="CLOSED"),IF($T845="PAID","Account paid. Action completed.","Account closed. No further action required."),CHOOSE($W845,"Collection Email","1st Email Follow-up","2nd Email Follow-up","Escalation to Local Office","Escalation to CBE","Escalation to Roxanne")&amp;" sent "&amp;TEXT($X845,"dd-mmm")&amp;". "&amp;IF($W845=6,"Final escalation completed.",IF($T845="OVERDUE","Next: "&amp;$Z845&amp;" was due "&amp;TEXT($Y845,"dd-mmm")&amp;" - "&amp;(NETWORKDAYS($Y845,TODAY(),Holidays)-1)&amp;" business day(s) late. Send now.",IF($T845="DUE TOMORROW","Next: "&amp;$Z845&amp;IF($Y845&lt;=TODAY()," is due TODAY ("," is due next business day (")&amp;TEXT($Y845,"dd-mmm")&amp;").","Next: "&amp;$Z845&amp;" due "&amp;TEXT($Y845,"dd-mmm")&amp;" ("&amp;(NETWORKDAYS(TODAY(),$Y845,Holidays)-1)&amp;" business day(s) left).")))))</f>
        <v/>
      </c>
      <c r="V845" s="17">
        <f>IF($W845="","",CHOOSE($W845,"Collection Email","1st Follow-up","2nd Follow-up","Local Office","CBE","Roxanne")&amp;IF($W845=6," - Final"," - Day "&amp;MAX(0,NETWORKDAYS($X845,TODAY(),Holidays)-1)&amp;" of "&amp;CHOOSE($W845,3,3,2,2,3))&amp;" | Total Day "&amp;MAX(0,NETWORKDAYS($L845,TODAY(),Holidays)-1))</f>
        <v/>
      </c>
      <c r="W845" s="17">
        <f>IF($L845="","",COUNT($L845:$Q845))</f>
        <v/>
      </c>
      <c r="X845" s="18">
        <f>IF($W845="","",INT(INDEX($L845:$Q845,$W845)))</f>
        <v/>
      </c>
      <c r="Y845" s="18">
        <f>IF(OR($W845="",$W845=6),"",WORKDAY($X845,CHOOSE($W845,3,3,2,2,3),Holidays))</f>
        <v/>
      </c>
      <c r="Z845" s="17">
        <f>IF(OR($W845="",$W845=6),"",CHOOSE($W845,"1st Email Follow-up","2nd Email Follow-up","Escalate Local Office","Escalate to CBE","Escalate to Roxanne"))</f>
        <v/>
      </c>
    </row>
    <row r="846" spans="18:26">
      <c r="R846" s="15"/>
      <c r="S846" s="16"/>
      <c r="T846" s="17">
        <f>IF(AND(COUNTA($A846:$K846)=0,$L846=""),"",IF($S846="Paid","PAID",IF($S846="Closed","CLOSED",IF($W846="","",IF($W846=6,"ESCALATED TO ROXANNE",IF(TODAY()&gt;$Y846,"OVERDUE",IF($Y846&lt;=WORKDAY(TODAY(),1,Holidays),"DUE TOMORROW",IF($W846=4,"ESCALATED TO LOCAL OFFICE",IF($W846=5,"ESCALATED TO CBE",IF($X846=TODAY(),"EMAIL SENT","MONITORING"))))))))))</f>
        <v/>
      </c>
      <c r="U846" s="17">
        <f>IF($T846="",IF(AND(COUNTA($A846:$K846)&gt;0,$L846=""),"Awaiting Collection Email time stamp.",""),IF(OR($T846="PAID",$T846="CLOSED"),IF($T846="PAID","Account paid. Action completed.","Account closed. No further action required."),CHOOSE($W846,"Collection Email","1st Email Follow-up","2nd Email Follow-up","Escalation to Local Office","Escalation to CBE","Escalation to Roxanne")&amp;" sent "&amp;TEXT($X846,"dd-mmm")&amp;". "&amp;IF($W846=6,"Final escalation completed.",IF($T846="OVERDUE","Next: "&amp;$Z846&amp;" was due "&amp;TEXT($Y846,"dd-mmm")&amp;" - "&amp;(NETWORKDAYS($Y846,TODAY(),Holidays)-1)&amp;" business day(s) late. Send now.",IF($T846="DUE TOMORROW","Next: "&amp;$Z846&amp;IF($Y846&lt;=TODAY()," is due TODAY ("," is due next business day (")&amp;TEXT($Y846,"dd-mmm")&amp;").","Next: "&amp;$Z846&amp;" due "&amp;TEXT($Y846,"dd-mmm")&amp;" ("&amp;(NETWORKDAYS(TODAY(),$Y846,Holidays)-1)&amp;" business day(s) left).")))))</f>
        <v/>
      </c>
      <c r="V846" s="17">
        <f>IF($W846="","",CHOOSE($W846,"Collection Email","1st Follow-up","2nd Follow-up","Local Office","CBE","Roxanne")&amp;IF($W846=6," - Final"," - Day "&amp;MAX(0,NETWORKDAYS($X846,TODAY(),Holidays)-1)&amp;" of "&amp;CHOOSE($W846,3,3,2,2,3))&amp;" | Total Day "&amp;MAX(0,NETWORKDAYS($L846,TODAY(),Holidays)-1))</f>
        <v/>
      </c>
      <c r="W846" s="17">
        <f>IF($L846="","",COUNT($L846:$Q846))</f>
        <v/>
      </c>
      <c r="X846" s="18">
        <f>IF($W846="","",INT(INDEX($L846:$Q846,$W846)))</f>
        <v/>
      </c>
      <c r="Y846" s="18">
        <f>IF(OR($W846="",$W846=6),"",WORKDAY($X846,CHOOSE($W846,3,3,2,2,3),Holidays))</f>
        <v/>
      </c>
      <c r="Z846" s="17">
        <f>IF(OR($W846="",$W846=6),"",CHOOSE($W846,"1st Email Follow-up","2nd Email Follow-up","Escalate Local Office","Escalate to CBE","Escalate to Roxanne"))</f>
        <v/>
      </c>
    </row>
    <row r="847" spans="18:26">
      <c r="R847" s="15"/>
      <c r="S847" s="16"/>
      <c r="T847" s="17">
        <f>IF(AND(COUNTA($A847:$K847)=0,$L847=""),"",IF($S847="Paid","PAID",IF($S847="Closed","CLOSED",IF($W847="","",IF($W847=6,"ESCALATED TO ROXANNE",IF(TODAY()&gt;$Y847,"OVERDUE",IF($Y847&lt;=WORKDAY(TODAY(),1,Holidays),"DUE TOMORROW",IF($W847=4,"ESCALATED TO LOCAL OFFICE",IF($W847=5,"ESCALATED TO CBE",IF($X847=TODAY(),"EMAIL SENT","MONITORING"))))))))))</f>
        <v/>
      </c>
      <c r="U847" s="17">
        <f>IF($T847="",IF(AND(COUNTA($A847:$K847)&gt;0,$L847=""),"Awaiting Collection Email time stamp.",""),IF(OR($T847="PAID",$T847="CLOSED"),IF($T847="PAID","Account paid. Action completed.","Account closed. No further action required."),CHOOSE($W847,"Collection Email","1st Email Follow-up","2nd Email Follow-up","Escalation to Local Office","Escalation to CBE","Escalation to Roxanne")&amp;" sent "&amp;TEXT($X847,"dd-mmm")&amp;". "&amp;IF($W847=6,"Final escalation completed.",IF($T847="OVERDUE","Next: "&amp;$Z847&amp;" was due "&amp;TEXT($Y847,"dd-mmm")&amp;" - "&amp;(NETWORKDAYS($Y847,TODAY(),Holidays)-1)&amp;" business day(s) late. Send now.",IF($T847="DUE TOMORROW","Next: "&amp;$Z847&amp;IF($Y847&lt;=TODAY()," is due TODAY ("," is due next business day (")&amp;TEXT($Y847,"dd-mmm")&amp;").","Next: "&amp;$Z847&amp;" due "&amp;TEXT($Y847,"dd-mmm")&amp;" ("&amp;(NETWORKDAYS(TODAY(),$Y847,Holidays)-1)&amp;" business day(s) left).")))))</f>
        <v/>
      </c>
      <c r="V847" s="17">
        <f>IF($W847="","",CHOOSE($W847,"Collection Email","1st Follow-up","2nd Follow-up","Local Office","CBE","Roxanne")&amp;IF($W847=6," - Final"," - Day "&amp;MAX(0,NETWORKDAYS($X847,TODAY(),Holidays)-1)&amp;" of "&amp;CHOOSE($W847,3,3,2,2,3))&amp;" | Total Day "&amp;MAX(0,NETWORKDAYS($L847,TODAY(),Holidays)-1))</f>
        <v/>
      </c>
      <c r="W847" s="17">
        <f>IF($L847="","",COUNT($L847:$Q847))</f>
        <v/>
      </c>
      <c r="X847" s="18">
        <f>IF($W847="","",INT(INDEX($L847:$Q847,$W847)))</f>
        <v/>
      </c>
      <c r="Y847" s="18">
        <f>IF(OR($W847="",$W847=6),"",WORKDAY($X847,CHOOSE($W847,3,3,2,2,3),Holidays))</f>
        <v/>
      </c>
      <c r="Z847" s="17">
        <f>IF(OR($W847="",$W847=6),"",CHOOSE($W847,"1st Email Follow-up","2nd Email Follow-up","Escalate Local Office","Escalate to CBE","Escalate to Roxanne"))</f>
        <v/>
      </c>
    </row>
    <row r="848" spans="18:26">
      <c r="R848" s="15"/>
      <c r="S848" s="16"/>
      <c r="T848" s="17">
        <f>IF(AND(COUNTA($A848:$K848)=0,$L848=""),"",IF($S848="Paid","PAID",IF($S848="Closed","CLOSED",IF($W848="","",IF($W848=6,"ESCALATED TO ROXANNE",IF(TODAY()&gt;$Y848,"OVERDUE",IF($Y848&lt;=WORKDAY(TODAY(),1,Holidays),"DUE TOMORROW",IF($W848=4,"ESCALATED TO LOCAL OFFICE",IF($W848=5,"ESCALATED TO CBE",IF($X848=TODAY(),"EMAIL SENT","MONITORING"))))))))))</f>
        <v/>
      </c>
      <c r="U848" s="17">
        <f>IF($T848="",IF(AND(COUNTA($A848:$K848)&gt;0,$L848=""),"Awaiting Collection Email time stamp.",""),IF(OR($T848="PAID",$T848="CLOSED"),IF($T848="PAID","Account paid. Action completed.","Account closed. No further action required."),CHOOSE($W848,"Collection Email","1st Email Follow-up","2nd Email Follow-up","Escalation to Local Office","Escalation to CBE","Escalation to Roxanne")&amp;" sent "&amp;TEXT($X848,"dd-mmm")&amp;". "&amp;IF($W848=6,"Final escalation completed.",IF($T848="OVERDUE","Next: "&amp;$Z848&amp;" was due "&amp;TEXT($Y848,"dd-mmm")&amp;" - "&amp;(NETWORKDAYS($Y848,TODAY(),Holidays)-1)&amp;" business day(s) late. Send now.",IF($T848="DUE TOMORROW","Next: "&amp;$Z848&amp;IF($Y848&lt;=TODAY()," is due TODAY ("," is due next business day (")&amp;TEXT($Y848,"dd-mmm")&amp;").","Next: "&amp;$Z848&amp;" due "&amp;TEXT($Y848,"dd-mmm")&amp;" ("&amp;(NETWORKDAYS(TODAY(),$Y848,Holidays)-1)&amp;" business day(s) left).")))))</f>
        <v/>
      </c>
      <c r="V848" s="17">
        <f>IF($W848="","",CHOOSE($W848,"Collection Email","1st Follow-up","2nd Follow-up","Local Office","CBE","Roxanne")&amp;IF($W848=6," - Final"," - Day "&amp;MAX(0,NETWORKDAYS($X848,TODAY(),Holidays)-1)&amp;" of "&amp;CHOOSE($W848,3,3,2,2,3))&amp;" | Total Day "&amp;MAX(0,NETWORKDAYS($L848,TODAY(),Holidays)-1))</f>
        <v/>
      </c>
      <c r="W848" s="17">
        <f>IF($L848="","",COUNT($L848:$Q848))</f>
        <v/>
      </c>
      <c r="X848" s="18">
        <f>IF($W848="","",INT(INDEX($L848:$Q848,$W848)))</f>
        <v/>
      </c>
      <c r="Y848" s="18">
        <f>IF(OR($W848="",$W848=6),"",WORKDAY($X848,CHOOSE($W848,3,3,2,2,3),Holidays))</f>
        <v/>
      </c>
      <c r="Z848" s="17">
        <f>IF(OR($W848="",$W848=6),"",CHOOSE($W848,"1st Email Follow-up","2nd Email Follow-up","Escalate Local Office","Escalate to CBE","Escalate to Roxanne"))</f>
        <v/>
      </c>
    </row>
    <row r="849" spans="18:26">
      <c r="R849" s="15"/>
      <c r="S849" s="16"/>
      <c r="T849" s="17">
        <f>IF(AND(COUNTA($A849:$K849)=0,$L849=""),"",IF($S849="Paid","PAID",IF($S849="Closed","CLOSED",IF($W849="","",IF($W849=6,"ESCALATED TO ROXANNE",IF(TODAY()&gt;$Y849,"OVERDUE",IF($Y849&lt;=WORKDAY(TODAY(),1,Holidays),"DUE TOMORROW",IF($W849=4,"ESCALATED TO LOCAL OFFICE",IF($W849=5,"ESCALATED TO CBE",IF($X849=TODAY(),"EMAIL SENT","MONITORING"))))))))))</f>
        <v/>
      </c>
      <c r="U849" s="17">
        <f>IF($T849="",IF(AND(COUNTA($A849:$K849)&gt;0,$L849=""),"Awaiting Collection Email time stamp.",""),IF(OR($T849="PAID",$T849="CLOSED"),IF($T849="PAID","Account paid. Action completed.","Account closed. No further action required."),CHOOSE($W849,"Collection Email","1st Email Follow-up","2nd Email Follow-up","Escalation to Local Office","Escalation to CBE","Escalation to Roxanne")&amp;" sent "&amp;TEXT($X849,"dd-mmm")&amp;". "&amp;IF($W849=6,"Final escalation completed.",IF($T849="OVERDUE","Next: "&amp;$Z849&amp;" was due "&amp;TEXT($Y849,"dd-mmm")&amp;" - "&amp;(NETWORKDAYS($Y849,TODAY(),Holidays)-1)&amp;" business day(s) late. Send now.",IF($T849="DUE TOMORROW","Next: "&amp;$Z849&amp;IF($Y849&lt;=TODAY()," is due TODAY ("," is due next business day (")&amp;TEXT($Y849,"dd-mmm")&amp;").","Next: "&amp;$Z849&amp;" due "&amp;TEXT($Y849,"dd-mmm")&amp;" ("&amp;(NETWORKDAYS(TODAY(),$Y849,Holidays)-1)&amp;" business day(s) left).")))))</f>
        <v/>
      </c>
      <c r="V849" s="17">
        <f>IF($W849="","",CHOOSE($W849,"Collection Email","1st Follow-up","2nd Follow-up","Local Office","CBE","Roxanne")&amp;IF($W849=6," - Final"," - Day "&amp;MAX(0,NETWORKDAYS($X849,TODAY(),Holidays)-1)&amp;" of "&amp;CHOOSE($W849,3,3,2,2,3))&amp;" | Total Day "&amp;MAX(0,NETWORKDAYS($L849,TODAY(),Holidays)-1))</f>
        <v/>
      </c>
      <c r="W849" s="17">
        <f>IF($L849="","",COUNT($L849:$Q849))</f>
        <v/>
      </c>
      <c r="X849" s="18">
        <f>IF($W849="","",INT(INDEX($L849:$Q849,$W849)))</f>
        <v/>
      </c>
      <c r="Y849" s="18">
        <f>IF(OR($W849="",$W849=6),"",WORKDAY($X849,CHOOSE($W849,3,3,2,2,3),Holidays))</f>
        <v/>
      </c>
      <c r="Z849" s="17">
        <f>IF(OR($W849="",$W849=6),"",CHOOSE($W849,"1st Email Follow-up","2nd Email Follow-up","Escalate Local Office","Escalate to CBE","Escalate to Roxanne"))</f>
        <v/>
      </c>
    </row>
    <row r="850" spans="18:26">
      <c r="R850" s="15"/>
      <c r="S850" s="16"/>
      <c r="T850" s="17">
        <f>IF(AND(COUNTA($A850:$K850)=0,$L850=""),"",IF($S850="Paid","PAID",IF($S850="Closed","CLOSED",IF($W850="","",IF($W850=6,"ESCALATED TO ROXANNE",IF(TODAY()&gt;$Y850,"OVERDUE",IF($Y850&lt;=WORKDAY(TODAY(),1,Holidays),"DUE TOMORROW",IF($W850=4,"ESCALATED TO LOCAL OFFICE",IF($W850=5,"ESCALATED TO CBE",IF($X850=TODAY(),"EMAIL SENT","MONITORING"))))))))))</f>
        <v/>
      </c>
      <c r="U850" s="17">
        <f>IF($T850="",IF(AND(COUNTA($A850:$K850)&gt;0,$L850=""),"Awaiting Collection Email time stamp.",""),IF(OR($T850="PAID",$T850="CLOSED"),IF($T850="PAID","Account paid. Action completed.","Account closed. No further action required."),CHOOSE($W850,"Collection Email","1st Email Follow-up","2nd Email Follow-up","Escalation to Local Office","Escalation to CBE","Escalation to Roxanne")&amp;" sent "&amp;TEXT($X850,"dd-mmm")&amp;". "&amp;IF($W850=6,"Final escalation completed.",IF($T850="OVERDUE","Next: "&amp;$Z850&amp;" was due "&amp;TEXT($Y850,"dd-mmm")&amp;" - "&amp;(NETWORKDAYS($Y850,TODAY(),Holidays)-1)&amp;" business day(s) late. Send now.",IF($T850="DUE TOMORROW","Next: "&amp;$Z850&amp;IF($Y850&lt;=TODAY()," is due TODAY ("," is due next business day (")&amp;TEXT($Y850,"dd-mmm")&amp;").","Next: "&amp;$Z850&amp;" due "&amp;TEXT($Y850,"dd-mmm")&amp;" ("&amp;(NETWORKDAYS(TODAY(),$Y850,Holidays)-1)&amp;" business day(s) left).")))))</f>
        <v/>
      </c>
      <c r="V850" s="17">
        <f>IF($W850="","",CHOOSE($W850,"Collection Email","1st Follow-up","2nd Follow-up","Local Office","CBE","Roxanne")&amp;IF($W850=6," - Final"," - Day "&amp;MAX(0,NETWORKDAYS($X850,TODAY(),Holidays)-1)&amp;" of "&amp;CHOOSE($W850,3,3,2,2,3))&amp;" | Total Day "&amp;MAX(0,NETWORKDAYS($L850,TODAY(),Holidays)-1))</f>
        <v/>
      </c>
      <c r="W850" s="17">
        <f>IF($L850="","",COUNT($L850:$Q850))</f>
        <v/>
      </c>
      <c r="X850" s="18">
        <f>IF($W850="","",INT(INDEX($L850:$Q850,$W850)))</f>
        <v/>
      </c>
      <c r="Y850" s="18">
        <f>IF(OR($W850="",$W850=6),"",WORKDAY($X850,CHOOSE($W850,3,3,2,2,3),Holidays))</f>
        <v/>
      </c>
      <c r="Z850" s="17">
        <f>IF(OR($W850="",$W850=6),"",CHOOSE($W850,"1st Email Follow-up","2nd Email Follow-up","Escalate Local Office","Escalate to CBE","Escalate to Roxanne"))</f>
        <v/>
      </c>
    </row>
    <row r="851" spans="18:26">
      <c r="R851" s="15"/>
      <c r="S851" s="16"/>
      <c r="T851" s="17">
        <f>IF(AND(COUNTA($A851:$K851)=0,$L851=""),"",IF($S851="Paid","PAID",IF($S851="Closed","CLOSED",IF($W851="","",IF($W851=6,"ESCALATED TO ROXANNE",IF(TODAY()&gt;$Y851,"OVERDUE",IF($Y851&lt;=WORKDAY(TODAY(),1,Holidays),"DUE TOMORROW",IF($W851=4,"ESCALATED TO LOCAL OFFICE",IF($W851=5,"ESCALATED TO CBE",IF($X851=TODAY(),"EMAIL SENT","MONITORING"))))))))))</f>
        <v/>
      </c>
      <c r="U851" s="17">
        <f>IF($T851="",IF(AND(COUNTA($A851:$K851)&gt;0,$L851=""),"Awaiting Collection Email time stamp.",""),IF(OR($T851="PAID",$T851="CLOSED"),IF($T851="PAID","Account paid. Action completed.","Account closed. No further action required."),CHOOSE($W851,"Collection Email","1st Email Follow-up","2nd Email Follow-up","Escalation to Local Office","Escalation to CBE","Escalation to Roxanne")&amp;" sent "&amp;TEXT($X851,"dd-mmm")&amp;". "&amp;IF($W851=6,"Final escalation completed.",IF($T851="OVERDUE","Next: "&amp;$Z851&amp;" was due "&amp;TEXT($Y851,"dd-mmm")&amp;" - "&amp;(NETWORKDAYS($Y851,TODAY(),Holidays)-1)&amp;" business day(s) late. Send now.",IF($T851="DUE TOMORROW","Next: "&amp;$Z851&amp;IF($Y851&lt;=TODAY()," is due TODAY ("," is due next business day (")&amp;TEXT($Y851,"dd-mmm")&amp;").","Next: "&amp;$Z851&amp;" due "&amp;TEXT($Y851,"dd-mmm")&amp;" ("&amp;(NETWORKDAYS(TODAY(),$Y851,Holidays)-1)&amp;" business day(s) left).")))))</f>
        <v/>
      </c>
      <c r="V851" s="17">
        <f>IF($W851="","",CHOOSE($W851,"Collection Email","1st Follow-up","2nd Follow-up","Local Office","CBE","Roxanne")&amp;IF($W851=6," - Final"," - Day "&amp;MAX(0,NETWORKDAYS($X851,TODAY(),Holidays)-1)&amp;" of "&amp;CHOOSE($W851,3,3,2,2,3))&amp;" | Total Day "&amp;MAX(0,NETWORKDAYS($L851,TODAY(),Holidays)-1))</f>
        <v/>
      </c>
      <c r="W851" s="17">
        <f>IF($L851="","",COUNT($L851:$Q851))</f>
        <v/>
      </c>
      <c r="X851" s="18">
        <f>IF($W851="","",INT(INDEX($L851:$Q851,$W851)))</f>
        <v/>
      </c>
      <c r="Y851" s="18">
        <f>IF(OR($W851="",$W851=6),"",WORKDAY($X851,CHOOSE($W851,3,3,2,2,3),Holidays))</f>
        <v/>
      </c>
      <c r="Z851" s="17">
        <f>IF(OR($W851="",$W851=6),"",CHOOSE($W851,"1st Email Follow-up","2nd Email Follow-up","Escalate Local Office","Escalate to CBE","Escalate to Roxanne"))</f>
        <v/>
      </c>
    </row>
    <row r="852" spans="18:26">
      <c r="R852" s="15"/>
      <c r="S852" s="16"/>
      <c r="T852" s="17">
        <f>IF(AND(COUNTA($A852:$K852)=0,$L852=""),"",IF($S852="Paid","PAID",IF($S852="Closed","CLOSED",IF($W852="","",IF($W852=6,"ESCALATED TO ROXANNE",IF(TODAY()&gt;$Y852,"OVERDUE",IF($Y852&lt;=WORKDAY(TODAY(),1,Holidays),"DUE TOMORROW",IF($W852=4,"ESCALATED TO LOCAL OFFICE",IF($W852=5,"ESCALATED TO CBE",IF($X852=TODAY(),"EMAIL SENT","MONITORING"))))))))))</f>
        <v/>
      </c>
      <c r="U852" s="17">
        <f>IF($T852="",IF(AND(COUNTA($A852:$K852)&gt;0,$L852=""),"Awaiting Collection Email time stamp.",""),IF(OR($T852="PAID",$T852="CLOSED"),IF($T852="PAID","Account paid. Action completed.","Account closed. No further action required."),CHOOSE($W852,"Collection Email","1st Email Follow-up","2nd Email Follow-up","Escalation to Local Office","Escalation to CBE","Escalation to Roxanne")&amp;" sent "&amp;TEXT($X852,"dd-mmm")&amp;". "&amp;IF($W852=6,"Final escalation completed.",IF($T852="OVERDUE","Next: "&amp;$Z852&amp;" was due "&amp;TEXT($Y852,"dd-mmm")&amp;" - "&amp;(NETWORKDAYS($Y852,TODAY(),Holidays)-1)&amp;" business day(s) late. Send now.",IF($T852="DUE TOMORROW","Next: "&amp;$Z852&amp;IF($Y852&lt;=TODAY()," is due TODAY ("," is due next business day (")&amp;TEXT($Y852,"dd-mmm")&amp;").","Next: "&amp;$Z852&amp;" due "&amp;TEXT($Y852,"dd-mmm")&amp;" ("&amp;(NETWORKDAYS(TODAY(),$Y852,Holidays)-1)&amp;" business day(s) left).")))))</f>
        <v/>
      </c>
      <c r="V852" s="17">
        <f>IF($W852="","",CHOOSE($W852,"Collection Email","1st Follow-up","2nd Follow-up","Local Office","CBE","Roxanne")&amp;IF($W852=6," - Final"," - Day "&amp;MAX(0,NETWORKDAYS($X852,TODAY(),Holidays)-1)&amp;" of "&amp;CHOOSE($W852,3,3,2,2,3))&amp;" | Total Day "&amp;MAX(0,NETWORKDAYS($L852,TODAY(),Holidays)-1))</f>
        <v/>
      </c>
      <c r="W852" s="17">
        <f>IF($L852="","",COUNT($L852:$Q852))</f>
        <v/>
      </c>
      <c r="X852" s="18">
        <f>IF($W852="","",INT(INDEX($L852:$Q852,$W852)))</f>
        <v/>
      </c>
      <c r="Y852" s="18">
        <f>IF(OR($W852="",$W852=6),"",WORKDAY($X852,CHOOSE($W852,3,3,2,2,3),Holidays))</f>
        <v/>
      </c>
      <c r="Z852" s="17">
        <f>IF(OR($W852="",$W852=6),"",CHOOSE($W852,"1st Email Follow-up","2nd Email Follow-up","Escalate Local Office","Escalate to CBE","Escalate to Roxanne"))</f>
        <v/>
      </c>
    </row>
    <row r="853" spans="18:26">
      <c r="R853" s="15"/>
      <c r="S853" s="16"/>
      <c r="T853" s="17">
        <f>IF(AND(COUNTA($A853:$K853)=0,$L853=""),"",IF($S853="Paid","PAID",IF($S853="Closed","CLOSED",IF($W853="","",IF($W853=6,"ESCALATED TO ROXANNE",IF(TODAY()&gt;$Y853,"OVERDUE",IF($Y853&lt;=WORKDAY(TODAY(),1,Holidays),"DUE TOMORROW",IF($W853=4,"ESCALATED TO LOCAL OFFICE",IF($W853=5,"ESCALATED TO CBE",IF($X853=TODAY(),"EMAIL SENT","MONITORING"))))))))))</f>
        <v/>
      </c>
      <c r="U853" s="17">
        <f>IF($T853="",IF(AND(COUNTA($A853:$K853)&gt;0,$L853=""),"Awaiting Collection Email time stamp.",""),IF(OR($T853="PAID",$T853="CLOSED"),IF($T853="PAID","Account paid. Action completed.","Account closed. No further action required."),CHOOSE($W853,"Collection Email","1st Email Follow-up","2nd Email Follow-up","Escalation to Local Office","Escalation to CBE","Escalation to Roxanne")&amp;" sent "&amp;TEXT($X853,"dd-mmm")&amp;". "&amp;IF($W853=6,"Final escalation completed.",IF($T853="OVERDUE","Next: "&amp;$Z853&amp;" was due "&amp;TEXT($Y853,"dd-mmm")&amp;" - "&amp;(NETWORKDAYS($Y853,TODAY(),Holidays)-1)&amp;" business day(s) late. Send now.",IF($T853="DUE TOMORROW","Next: "&amp;$Z853&amp;IF($Y853&lt;=TODAY()," is due TODAY ("," is due next business day (")&amp;TEXT($Y853,"dd-mmm")&amp;").","Next: "&amp;$Z853&amp;" due "&amp;TEXT($Y853,"dd-mmm")&amp;" ("&amp;(NETWORKDAYS(TODAY(),$Y853,Holidays)-1)&amp;" business day(s) left).")))))</f>
        <v/>
      </c>
      <c r="V853" s="17">
        <f>IF($W853="","",CHOOSE($W853,"Collection Email","1st Follow-up","2nd Follow-up","Local Office","CBE","Roxanne")&amp;IF($W853=6," - Final"," - Day "&amp;MAX(0,NETWORKDAYS($X853,TODAY(),Holidays)-1)&amp;" of "&amp;CHOOSE($W853,3,3,2,2,3))&amp;" | Total Day "&amp;MAX(0,NETWORKDAYS($L853,TODAY(),Holidays)-1))</f>
        <v/>
      </c>
      <c r="W853" s="17">
        <f>IF($L853="","",COUNT($L853:$Q853))</f>
        <v/>
      </c>
      <c r="X853" s="18">
        <f>IF($W853="","",INT(INDEX($L853:$Q853,$W853)))</f>
        <v/>
      </c>
      <c r="Y853" s="18">
        <f>IF(OR($W853="",$W853=6),"",WORKDAY($X853,CHOOSE($W853,3,3,2,2,3),Holidays))</f>
        <v/>
      </c>
      <c r="Z853" s="17">
        <f>IF(OR($W853="",$W853=6),"",CHOOSE($W853,"1st Email Follow-up","2nd Email Follow-up","Escalate Local Office","Escalate to CBE","Escalate to Roxanne"))</f>
        <v/>
      </c>
    </row>
    <row r="854" spans="18:26">
      <c r="R854" s="15"/>
      <c r="S854" s="16"/>
      <c r="T854" s="17">
        <f>IF(AND(COUNTA($A854:$K854)=0,$L854=""),"",IF($S854="Paid","PAID",IF($S854="Closed","CLOSED",IF($W854="","",IF($W854=6,"ESCALATED TO ROXANNE",IF(TODAY()&gt;$Y854,"OVERDUE",IF($Y854&lt;=WORKDAY(TODAY(),1,Holidays),"DUE TOMORROW",IF($W854=4,"ESCALATED TO LOCAL OFFICE",IF($W854=5,"ESCALATED TO CBE",IF($X854=TODAY(),"EMAIL SENT","MONITORING"))))))))))</f>
        <v/>
      </c>
      <c r="U854" s="17">
        <f>IF($T854="",IF(AND(COUNTA($A854:$K854)&gt;0,$L854=""),"Awaiting Collection Email time stamp.",""),IF(OR($T854="PAID",$T854="CLOSED"),IF($T854="PAID","Account paid. Action completed.","Account closed. No further action required."),CHOOSE($W854,"Collection Email","1st Email Follow-up","2nd Email Follow-up","Escalation to Local Office","Escalation to CBE","Escalation to Roxanne")&amp;" sent "&amp;TEXT($X854,"dd-mmm")&amp;". "&amp;IF($W854=6,"Final escalation completed.",IF($T854="OVERDUE","Next: "&amp;$Z854&amp;" was due "&amp;TEXT($Y854,"dd-mmm")&amp;" - "&amp;(NETWORKDAYS($Y854,TODAY(),Holidays)-1)&amp;" business day(s) late. Send now.",IF($T854="DUE TOMORROW","Next: "&amp;$Z854&amp;IF($Y854&lt;=TODAY()," is due TODAY ("," is due next business day (")&amp;TEXT($Y854,"dd-mmm")&amp;").","Next: "&amp;$Z854&amp;" due "&amp;TEXT($Y854,"dd-mmm")&amp;" ("&amp;(NETWORKDAYS(TODAY(),$Y854,Holidays)-1)&amp;" business day(s) left).")))))</f>
        <v/>
      </c>
      <c r="V854" s="17">
        <f>IF($W854="","",CHOOSE($W854,"Collection Email","1st Follow-up","2nd Follow-up","Local Office","CBE","Roxanne")&amp;IF($W854=6," - Final"," - Day "&amp;MAX(0,NETWORKDAYS($X854,TODAY(),Holidays)-1)&amp;" of "&amp;CHOOSE($W854,3,3,2,2,3))&amp;" | Total Day "&amp;MAX(0,NETWORKDAYS($L854,TODAY(),Holidays)-1))</f>
        <v/>
      </c>
      <c r="W854" s="17">
        <f>IF($L854="","",COUNT($L854:$Q854))</f>
        <v/>
      </c>
      <c r="X854" s="18">
        <f>IF($W854="","",INT(INDEX($L854:$Q854,$W854)))</f>
        <v/>
      </c>
      <c r="Y854" s="18">
        <f>IF(OR($W854="",$W854=6),"",WORKDAY($X854,CHOOSE($W854,3,3,2,2,3),Holidays))</f>
        <v/>
      </c>
      <c r="Z854" s="17">
        <f>IF(OR($W854="",$W854=6),"",CHOOSE($W854,"1st Email Follow-up","2nd Email Follow-up","Escalate Local Office","Escalate to CBE","Escalate to Roxanne"))</f>
        <v/>
      </c>
    </row>
    <row r="855" spans="18:26">
      <c r="R855" s="15"/>
      <c r="S855" s="16"/>
      <c r="T855" s="17">
        <f>IF(AND(COUNTA($A855:$K855)=0,$L855=""),"",IF($S855="Paid","PAID",IF($S855="Closed","CLOSED",IF($W855="","",IF($W855=6,"ESCALATED TO ROXANNE",IF(TODAY()&gt;$Y855,"OVERDUE",IF($Y855&lt;=WORKDAY(TODAY(),1,Holidays),"DUE TOMORROW",IF($W855=4,"ESCALATED TO LOCAL OFFICE",IF($W855=5,"ESCALATED TO CBE",IF($X855=TODAY(),"EMAIL SENT","MONITORING"))))))))))</f>
        <v/>
      </c>
      <c r="U855" s="17">
        <f>IF($T855="",IF(AND(COUNTA($A855:$K855)&gt;0,$L855=""),"Awaiting Collection Email time stamp.",""),IF(OR($T855="PAID",$T855="CLOSED"),IF($T855="PAID","Account paid. Action completed.","Account closed. No further action required."),CHOOSE($W855,"Collection Email","1st Email Follow-up","2nd Email Follow-up","Escalation to Local Office","Escalation to CBE","Escalation to Roxanne")&amp;" sent "&amp;TEXT($X855,"dd-mmm")&amp;". "&amp;IF($W855=6,"Final escalation completed.",IF($T855="OVERDUE","Next: "&amp;$Z855&amp;" was due "&amp;TEXT($Y855,"dd-mmm")&amp;" - "&amp;(NETWORKDAYS($Y855,TODAY(),Holidays)-1)&amp;" business day(s) late. Send now.",IF($T855="DUE TOMORROW","Next: "&amp;$Z855&amp;IF($Y855&lt;=TODAY()," is due TODAY ("," is due next business day (")&amp;TEXT($Y855,"dd-mmm")&amp;").","Next: "&amp;$Z855&amp;" due "&amp;TEXT($Y855,"dd-mmm")&amp;" ("&amp;(NETWORKDAYS(TODAY(),$Y855,Holidays)-1)&amp;" business day(s) left).")))))</f>
        <v/>
      </c>
      <c r="V855" s="17">
        <f>IF($W855="","",CHOOSE($W855,"Collection Email","1st Follow-up","2nd Follow-up","Local Office","CBE","Roxanne")&amp;IF($W855=6," - Final"," - Day "&amp;MAX(0,NETWORKDAYS($X855,TODAY(),Holidays)-1)&amp;" of "&amp;CHOOSE($W855,3,3,2,2,3))&amp;" | Total Day "&amp;MAX(0,NETWORKDAYS($L855,TODAY(),Holidays)-1))</f>
        <v/>
      </c>
      <c r="W855" s="17">
        <f>IF($L855="","",COUNT($L855:$Q855))</f>
        <v/>
      </c>
      <c r="X855" s="18">
        <f>IF($W855="","",INT(INDEX($L855:$Q855,$W855)))</f>
        <v/>
      </c>
      <c r="Y855" s="18">
        <f>IF(OR($W855="",$W855=6),"",WORKDAY($X855,CHOOSE($W855,3,3,2,2,3),Holidays))</f>
        <v/>
      </c>
      <c r="Z855" s="17">
        <f>IF(OR($W855="",$W855=6),"",CHOOSE($W855,"1st Email Follow-up","2nd Email Follow-up","Escalate Local Office","Escalate to CBE","Escalate to Roxanne"))</f>
        <v/>
      </c>
    </row>
    <row r="856" spans="18:26">
      <c r="R856" s="15"/>
      <c r="S856" s="16"/>
      <c r="T856" s="17">
        <f>IF(AND(COUNTA($A856:$K856)=0,$L856=""),"",IF($S856="Paid","PAID",IF($S856="Closed","CLOSED",IF($W856="","",IF($W856=6,"ESCALATED TO ROXANNE",IF(TODAY()&gt;$Y856,"OVERDUE",IF($Y856&lt;=WORKDAY(TODAY(),1,Holidays),"DUE TOMORROW",IF($W856=4,"ESCALATED TO LOCAL OFFICE",IF($W856=5,"ESCALATED TO CBE",IF($X856=TODAY(),"EMAIL SENT","MONITORING"))))))))))</f>
        <v/>
      </c>
      <c r="U856" s="17">
        <f>IF($T856="",IF(AND(COUNTA($A856:$K856)&gt;0,$L856=""),"Awaiting Collection Email time stamp.",""),IF(OR($T856="PAID",$T856="CLOSED"),IF($T856="PAID","Account paid. Action completed.","Account closed. No further action required."),CHOOSE($W856,"Collection Email","1st Email Follow-up","2nd Email Follow-up","Escalation to Local Office","Escalation to CBE","Escalation to Roxanne")&amp;" sent "&amp;TEXT($X856,"dd-mmm")&amp;". "&amp;IF($W856=6,"Final escalation completed.",IF($T856="OVERDUE","Next: "&amp;$Z856&amp;" was due "&amp;TEXT($Y856,"dd-mmm")&amp;" - "&amp;(NETWORKDAYS($Y856,TODAY(),Holidays)-1)&amp;" business day(s) late. Send now.",IF($T856="DUE TOMORROW","Next: "&amp;$Z856&amp;IF($Y856&lt;=TODAY()," is due TODAY ("," is due next business day (")&amp;TEXT($Y856,"dd-mmm")&amp;").","Next: "&amp;$Z856&amp;" due "&amp;TEXT($Y856,"dd-mmm")&amp;" ("&amp;(NETWORKDAYS(TODAY(),$Y856,Holidays)-1)&amp;" business day(s) left).")))))</f>
        <v/>
      </c>
      <c r="V856" s="17">
        <f>IF($W856="","",CHOOSE($W856,"Collection Email","1st Follow-up","2nd Follow-up","Local Office","CBE","Roxanne")&amp;IF($W856=6," - Final"," - Day "&amp;MAX(0,NETWORKDAYS($X856,TODAY(),Holidays)-1)&amp;" of "&amp;CHOOSE($W856,3,3,2,2,3))&amp;" | Total Day "&amp;MAX(0,NETWORKDAYS($L856,TODAY(),Holidays)-1))</f>
        <v/>
      </c>
      <c r="W856" s="17">
        <f>IF($L856="","",COUNT($L856:$Q856))</f>
        <v/>
      </c>
      <c r="X856" s="18">
        <f>IF($W856="","",INT(INDEX($L856:$Q856,$W856)))</f>
        <v/>
      </c>
      <c r="Y856" s="18">
        <f>IF(OR($W856="",$W856=6),"",WORKDAY($X856,CHOOSE($W856,3,3,2,2,3),Holidays))</f>
        <v/>
      </c>
      <c r="Z856" s="17">
        <f>IF(OR($W856="",$W856=6),"",CHOOSE($W856,"1st Email Follow-up","2nd Email Follow-up","Escalate Local Office","Escalate to CBE","Escalate to Roxanne"))</f>
        <v/>
      </c>
    </row>
    <row r="857" spans="18:26">
      <c r="R857" s="15"/>
      <c r="S857" s="16"/>
      <c r="T857" s="17">
        <f>IF(AND(COUNTA($A857:$K857)=0,$L857=""),"",IF($S857="Paid","PAID",IF($S857="Closed","CLOSED",IF($W857="","",IF($W857=6,"ESCALATED TO ROXANNE",IF(TODAY()&gt;$Y857,"OVERDUE",IF($Y857&lt;=WORKDAY(TODAY(),1,Holidays),"DUE TOMORROW",IF($W857=4,"ESCALATED TO LOCAL OFFICE",IF($W857=5,"ESCALATED TO CBE",IF($X857=TODAY(),"EMAIL SENT","MONITORING"))))))))))</f>
        <v/>
      </c>
      <c r="U857" s="17">
        <f>IF($T857="",IF(AND(COUNTA($A857:$K857)&gt;0,$L857=""),"Awaiting Collection Email time stamp.",""),IF(OR($T857="PAID",$T857="CLOSED"),IF($T857="PAID","Account paid. Action completed.","Account closed. No further action required."),CHOOSE($W857,"Collection Email","1st Email Follow-up","2nd Email Follow-up","Escalation to Local Office","Escalation to CBE","Escalation to Roxanne")&amp;" sent "&amp;TEXT($X857,"dd-mmm")&amp;". "&amp;IF($W857=6,"Final escalation completed.",IF($T857="OVERDUE","Next: "&amp;$Z857&amp;" was due "&amp;TEXT($Y857,"dd-mmm")&amp;" - "&amp;(NETWORKDAYS($Y857,TODAY(),Holidays)-1)&amp;" business day(s) late. Send now.",IF($T857="DUE TOMORROW","Next: "&amp;$Z857&amp;IF($Y857&lt;=TODAY()," is due TODAY ("," is due next business day (")&amp;TEXT($Y857,"dd-mmm")&amp;").","Next: "&amp;$Z857&amp;" due "&amp;TEXT($Y857,"dd-mmm")&amp;" ("&amp;(NETWORKDAYS(TODAY(),$Y857,Holidays)-1)&amp;" business day(s) left).")))))</f>
        <v/>
      </c>
      <c r="V857" s="17">
        <f>IF($W857="","",CHOOSE($W857,"Collection Email","1st Follow-up","2nd Follow-up","Local Office","CBE","Roxanne")&amp;IF($W857=6," - Final"," - Day "&amp;MAX(0,NETWORKDAYS($X857,TODAY(),Holidays)-1)&amp;" of "&amp;CHOOSE($W857,3,3,2,2,3))&amp;" | Total Day "&amp;MAX(0,NETWORKDAYS($L857,TODAY(),Holidays)-1))</f>
        <v/>
      </c>
      <c r="W857" s="17">
        <f>IF($L857="","",COUNT($L857:$Q857))</f>
        <v/>
      </c>
      <c r="X857" s="18">
        <f>IF($W857="","",INT(INDEX($L857:$Q857,$W857)))</f>
        <v/>
      </c>
      <c r="Y857" s="18">
        <f>IF(OR($W857="",$W857=6),"",WORKDAY($X857,CHOOSE($W857,3,3,2,2,3),Holidays))</f>
        <v/>
      </c>
      <c r="Z857" s="17">
        <f>IF(OR($W857="",$W857=6),"",CHOOSE($W857,"1st Email Follow-up","2nd Email Follow-up","Escalate Local Office","Escalate to CBE","Escalate to Roxanne"))</f>
        <v/>
      </c>
    </row>
    <row r="858" spans="18:26">
      <c r="R858" s="15"/>
      <c r="S858" s="16"/>
      <c r="T858" s="17">
        <f>IF(AND(COUNTA($A858:$K858)=0,$L858=""),"",IF($S858="Paid","PAID",IF($S858="Closed","CLOSED",IF($W858="","",IF($W858=6,"ESCALATED TO ROXANNE",IF(TODAY()&gt;$Y858,"OVERDUE",IF($Y858&lt;=WORKDAY(TODAY(),1,Holidays),"DUE TOMORROW",IF($W858=4,"ESCALATED TO LOCAL OFFICE",IF($W858=5,"ESCALATED TO CBE",IF($X858=TODAY(),"EMAIL SENT","MONITORING"))))))))))</f>
        <v/>
      </c>
      <c r="U858" s="17">
        <f>IF($T858="",IF(AND(COUNTA($A858:$K858)&gt;0,$L858=""),"Awaiting Collection Email time stamp.",""),IF(OR($T858="PAID",$T858="CLOSED"),IF($T858="PAID","Account paid. Action completed.","Account closed. No further action required."),CHOOSE($W858,"Collection Email","1st Email Follow-up","2nd Email Follow-up","Escalation to Local Office","Escalation to CBE","Escalation to Roxanne")&amp;" sent "&amp;TEXT($X858,"dd-mmm")&amp;". "&amp;IF($W858=6,"Final escalation completed.",IF($T858="OVERDUE","Next: "&amp;$Z858&amp;" was due "&amp;TEXT($Y858,"dd-mmm")&amp;" - "&amp;(NETWORKDAYS($Y858,TODAY(),Holidays)-1)&amp;" business day(s) late. Send now.",IF($T858="DUE TOMORROW","Next: "&amp;$Z858&amp;IF($Y858&lt;=TODAY()," is due TODAY ("," is due next business day (")&amp;TEXT($Y858,"dd-mmm")&amp;").","Next: "&amp;$Z858&amp;" due "&amp;TEXT($Y858,"dd-mmm")&amp;" ("&amp;(NETWORKDAYS(TODAY(),$Y858,Holidays)-1)&amp;" business day(s) left).")))))</f>
        <v/>
      </c>
      <c r="V858" s="17">
        <f>IF($W858="","",CHOOSE($W858,"Collection Email","1st Follow-up","2nd Follow-up","Local Office","CBE","Roxanne")&amp;IF($W858=6," - Final"," - Day "&amp;MAX(0,NETWORKDAYS($X858,TODAY(),Holidays)-1)&amp;" of "&amp;CHOOSE($W858,3,3,2,2,3))&amp;" | Total Day "&amp;MAX(0,NETWORKDAYS($L858,TODAY(),Holidays)-1))</f>
        <v/>
      </c>
      <c r="W858" s="17">
        <f>IF($L858="","",COUNT($L858:$Q858))</f>
        <v/>
      </c>
      <c r="X858" s="18">
        <f>IF($W858="","",INT(INDEX($L858:$Q858,$W858)))</f>
        <v/>
      </c>
      <c r="Y858" s="18">
        <f>IF(OR($W858="",$W858=6),"",WORKDAY($X858,CHOOSE($W858,3,3,2,2,3),Holidays))</f>
        <v/>
      </c>
      <c r="Z858" s="17">
        <f>IF(OR($W858="",$W858=6),"",CHOOSE($W858,"1st Email Follow-up","2nd Email Follow-up","Escalate Local Office","Escalate to CBE","Escalate to Roxanne"))</f>
        <v/>
      </c>
    </row>
    <row r="859" spans="18:26">
      <c r="R859" s="15"/>
      <c r="S859" s="16"/>
      <c r="T859" s="17">
        <f>IF(AND(COUNTA($A859:$K859)=0,$L859=""),"",IF($S859="Paid","PAID",IF($S859="Closed","CLOSED",IF($W859="","",IF($W859=6,"ESCALATED TO ROXANNE",IF(TODAY()&gt;$Y859,"OVERDUE",IF($Y859&lt;=WORKDAY(TODAY(),1,Holidays),"DUE TOMORROW",IF($W859=4,"ESCALATED TO LOCAL OFFICE",IF($W859=5,"ESCALATED TO CBE",IF($X859=TODAY(),"EMAIL SENT","MONITORING"))))))))))</f>
        <v/>
      </c>
      <c r="U859" s="17">
        <f>IF($T859="",IF(AND(COUNTA($A859:$K859)&gt;0,$L859=""),"Awaiting Collection Email time stamp.",""),IF(OR($T859="PAID",$T859="CLOSED"),IF($T859="PAID","Account paid. Action completed.","Account closed. No further action required."),CHOOSE($W859,"Collection Email","1st Email Follow-up","2nd Email Follow-up","Escalation to Local Office","Escalation to CBE","Escalation to Roxanne")&amp;" sent "&amp;TEXT($X859,"dd-mmm")&amp;". "&amp;IF($W859=6,"Final escalation completed.",IF($T859="OVERDUE","Next: "&amp;$Z859&amp;" was due "&amp;TEXT($Y859,"dd-mmm")&amp;" - "&amp;(NETWORKDAYS($Y859,TODAY(),Holidays)-1)&amp;" business day(s) late. Send now.",IF($T859="DUE TOMORROW","Next: "&amp;$Z859&amp;IF($Y859&lt;=TODAY()," is due TODAY ("," is due next business day (")&amp;TEXT($Y859,"dd-mmm")&amp;").","Next: "&amp;$Z859&amp;" due "&amp;TEXT($Y859,"dd-mmm")&amp;" ("&amp;(NETWORKDAYS(TODAY(),$Y859,Holidays)-1)&amp;" business day(s) left).")))))</f>
        <v/>
      </c>
      <c r="V859" s="17">
        <f>IF($W859="","",CHOOSE($W859,"Collection Email","1st Follow-up","2nd Follow-up","Local Office","CBE","Roxanne")&amp;IF($W859=6," - Final"," - Day "&amp;MAX(0,NETWORKDAYS($X859,TODAY(),Holidays)-1)&amp;" of "&amp;CHOOSE($W859,3,3,2,2,3))&amp;" | Total Day "&amp;MAX(0,NETWORKDAYS($L859,TODAY(),Holidays)-1))</f>
        <v/>
      </c>
      <c r="W859" s="17">
        <f>IF($L859="","",COUNT($L859:$Q859))</f>
        <v/>
      </c>
      <c r="X859" s="18">
        <f>IF($W859="","",INT(INDEX($L859:$Q859,$W859)))</f>
        <v/>
      </c>
      <c r="Y859" s="18">
        <f>IF(OR($W859="",$W859=6),"",WORKDAY($X859,CHOOSE($W859,3,3,2,2,3),Holidays))</f>
        <v/>
      </c>
      <c r="Z859" s="17">
        <f>IF(OR($W859="",$W859=6),"",CHOOSE($W859,"1st Email Follow-up","2nd Email Follow-up","Escalate Local Office","Escalate to CBE","Escalate to Roxanne"))</f>
        <v/>
      </c>
    </row>
    <row r="860" spans="18:26">
      <c r="R860" s="15"/>
      <c r="S860" s="16"/>
      <c r="T860" s="17">
        <f>IF(AND(COUNTA($A860:$K860)=0,$L860=""),"",IF($S860="Paid","PAID",IF($S860="Closed","CLOSED",IF($W860="","",IF($W860=6,"ESCALATED TO ROXANNE",IF(TODAY()&gt;$Y860,"OVERDUE",IF($Y860&lt;=WORKDAY(TODAY(),1,Holidays),"DUE TOMORROW",IF($W860=4,"ESCALATED TO LOCAL OFFICE",IF($W860=5,"ESCALATED TO CBE",IF($X860=TODAY(),"EMAIL SENT","MONITORING"))))))))))</f>
        <v/>
      </c>
      <c r="U860" s="17">
        <f>IF($T860="",IF(AND(COUNTA($A860:$K860)&gt;0,$L860=""),"Awaiting Collection Email time stamp.",""),IF(OR($T860="PAID",$T860="CLOSED"),IF($T860="PAID","Account paid. Action completed.","Account closed. No further action required."),CHOOSE($W860,"Collection Email","1st Email Follow-up","2nd Email Follow-up","Escalation to Local Office","Escalation to CBE","Escalation to Roxanne")&amp;" sent "&amp;TEXT($X860,"dd-mmm")&amp;". "&amp;IF($W860=6,"Final escalation completed.",IF($T860="OVERDUE","Next: "&amp;$Z860&amp;" was due "&amp;TEXT($Y860,"dd-mmm")&amp;" - "&amp;(NETWORKDAYS($Y860,TODAY(),Holidays)-1)&amp;" business day(s) late. Send now.",IF($T860="DUE TOMORROW","Next: "&amp;$Z860&amp;IF($Y860&lt;=TODAY()," is due TODAY ("," is due next business day (")&amp;TEXT($Y860,"dd-mmm")&amp;").","Next: "&amp;$Z860&amp;" due "&amp;TEXT($Y860,"dd-mmm")&amp;" ("&amp;(NETWORKDAYS(TODAY(),$Y860,Holidays)-1)&amp;" business day(s) left).")))))</f>
        <v/>
      </c>
      <c r="V860" s="17">
        <f>IF($W860="","",CHOOSE($W860,"Collection Email","1st Follow-up","2nd Follow-up","Local Office","CBE","Roxanne")&amp;IF($W860=6," - Final"," - Day "&amp;MAX(0,NETWORKDAYS($X860,TODAY(),Holidays)-1)&amp;" of "&amp;CHOOSE($W860,3,3,2,2,3))&amp;" | Total Day "&amp;MAX(0,NETWORKDAYS($L860,TODAY(),Holidays)-1))</f>
        <v/>
      </c>
      <c r="W860" s="17">
        <f>IF($L860="","",COUNT($L860:$Q860))</f>
        <v/>
      </c>
      <c r="X860" s="18">
        <f>IF($W860="","",INT(INDEX($L860:$Q860,$W860)))</f>
        <v/>
      </c>
      <c r="Y860" s="18">
        <f>IF(OR($W860="",$W860=6),"",WORKDAY($X860,CHOOSE($W860,3,3,2,2,3),Holidays))</f>
        <v/>
      </c>
      <c r="Z860" s="17">
        <f>IF(OR($W860="",$W860=6),"",CHOOSE($W860,"1st Email Follow-up","2nd Email Follow-up","Escalate Local Office","Escalate to CBE","Escalate to Roxanne"))</f>
        <v/>
      </c>
    </row>
    <row r="861" spans="18:26">
      <c r="R861" s="15"/>
      <c r="S861" s="16"/>
      <c r="T861" s="17">
        <f>IF(AND(COUNTA($A861:$K861)=0,$L861=""),"",IF($S861="Paid","PAID",IF($S861="Closed","CLOSED",IF($W861="","",IF($W861=6,"ESCALATED TO ROXANNE",IF(TODAY()&gt;$Y861,"OVERDUE",IF($Y861&lt;=WORKDAY(TODAY(),1,Holidays),"DUE TOMORROW",IF($W861=4,"ESCALATED TO LOCAL OFFICE",IF($W861=5,"ESCALATED TO CBE",IF($X861=TODAY(),"EMAIL SENT","MONITORING"))))))))))</f>
        <v/>
      </c>
      <c r="U861" s="17">
        <f>IF($T861="",IF(AND(COUNTA($A861:$K861)&gt;0,$L861=""),"Awaiting Collection Email time stamp.",""),IF(OR($T861="PAID",$T861="CLOSED"),IF($T861="PAID","Account paid. Action completed.","Account closed. No further action required."),CHOOSE($W861,"Collection Email","1st Email Follow-up","2nd Email Follow-up","Escalation to Local Office","Escalation to CBE","Escalation to Roxanne")&amp;" sent "&amp;TEXT($X861,"dd-mmm")&amp;". "&amp;IF($W861=6,"Final escalation completed.",IF($T861="OVERDUE","Next: "&amp;$Z861&amp;" was due "&amp;TEXT($Y861,"dd-mmm")&amp;" - "&amp;(NETWORKDAYS($Y861,TODAY(),Holidays)-1)&amp;" business day(s) late. Send now.",IF($T861="DUE TOMORROW","Next: "&amp;$Z861&amp;IF($Y861&lt;=TODAY()," is due TODAY ("," is due next business day (")&amp;TEXT($Y861,"dd-mmm")&amp;").","Next: "&amp;$Z861&amp;" due "&amp;TEXT($Y861,"dd-mmm")&amp;" ("&amp;(NETWORKDAYS(TODAY(),$Y861,Holidays)-1)&amp;" business day(s) left).")))))</f>
        <v/>
      </c>
      <c r="V861" s="17">
        <f>IF($W861="","",CHOOSE($W861,"Collection Email","1st Follow-up","2nd Follow-up","Local Office","CBE","Roxanne")&amp;IF($W861=6," - Final"," - Day "&amp;MAX(0,NETWORKDAYS($X861,TODAY(),Holidays)-1)&amp;" of "&amp;CHOOSE($W861,3,3,2,2,3))&amp;" | Total Day "&amp;MAX(0,NETWORKDAYS($L861,TODAY(),Holidays)-1))</f>
        <v/>
      </c>
      <c r="W861" s="17">
        <f>IF($L861="","",COUNT($L861:$Q861))</f>
        <v/>
      </c>
      <c r="X861" s="18">
        <f>IF($W861="","",INT(INDEX($L861:$Q861,$W861)))</f>
        <v/>
      </c>
      <c r="Y861" s="18">
        <f>IF(OR($W861="",$W861=6),"",WORKDAY($X861,CHOOSE($W861,3,3,2,2,3),Holidays))</f>
        <v/>
      </c>
      <c r="Z861" s="17">
        <f>IF(OR($W861="",$W861=6),"",CHOOSE($W861,"1st Email Follow-up","2nd Email Follow-up","Escalate Local Office","Escalate to CBE","Escalate to Roxanne"))</f>
        <v/>
      </c>
    </row>
    <row r="862" spans="18:26">
      <c r="R862" s="15"/>
      <c r="S862" s="16"/>
      <c r="T862" s="17">
        <f>IF(AND(COUNTA($A862:$K862)=0,$L862=""),"",IF($S862="Paid","PAID",IF($S862="Closed","CLOSED",IF($W862="","",IF($W862=6,"ESCALATED TO ROXANNE",IF(TODAY()&gt;$Y862,"OVERDUE",IF($Y862&lt;=WORKDAY(TODAY(),1,Holidays),"DUE TOMORROW",IF($W862=4,"ESCALATED TO LOCAL OFFICE",IF($W862=5,"ESCALATED TO CBE",IF($X862=TODAY(),"EMAIL SENT","MONITORING"))))))))))</f>
        <v/>
      </c>
      <c r="U862" s="17">
        <f>IF($T862="",IF(AND(COUNTA($A862:$K862)&gt;0,$L862=""),"Awaiting Collection Email time stamp.",""),IF(OR($T862="PAID",$T862="CLOSED"),IF($T862="PAID","Account paid. Action completed.","Account closed. No further action required."),CHOOSE($W862,"Collection Email","1st Email Follow-up","2nd Email Follow-up","Escalation to Local Office","Escalation to CBE","Escalation to Roxanne")&amp;" sent "&amp;TEXT($X862,"dd-mmm")&amp;". "&amp;IF($W862=6,"Final escalation completed.",IF($T862="OVERDUE","Next: "&amp;$Z862&amp;" was due "&amp;TEXT($Y862,"dd-mmm")&amp;" - "&amp;(NETWORKDAYS($Y862,TODAY(),Holidays)-1)&amp;" business day(s) late. Send now.",IF($T862="DUE TOMORROW","Next: "&amp;$Z862&amp;IF($Y862&lt;=TODAY()," is due TODAY ("," is due next business day (")&amp;TEXT($Y862,"dd-mmm")&amp;").","Next: "&amp;$Z862&amp;" due "&amp;TEXT($Y862,"dd-mmm")&amp;" ("&amp;(NETWORKDAYS(TODAY(),$Y862,Holidays)-1)&amp;" business day(s) left).")))))</f>
        <v/>
      </c>
      <c r="V862" s="17">
        <f>IF($W862="","",CHOOSE($W862,"Collection Email","1st Follow-up","2nd Follow-up","Local Office","CBE","Roxanne")&amp;IF($W862=6," - Final"," - Day "&amp;MAX(0,NETWORKDAYS($X862,TODAY(),Holidays)-1)&amp;" of "&amp;CHOOSE($W862,3,3,2,2,3))&amp;" | Total Day "&amp;MAX(0,NETWORKDAYS($L862,TODAY(),Holidays)-1))</f>
        <v/>
      </c>
      <c r="W862" s="17">
        <f>IF($L862="","",COUNT($L862:$Q862))</f>
        <v/>
      </c>
      <c r="X862" s="18">
        <f>IF($W862="","",INT(INDEX($L862:$Q862,$W862)))</f>
        <v/>
      </c>
      <c r="Y862" s="18">
        <f>IF(OR($W862="",$W862=6),"",WORKDAY($X862,CHOOSE($W862,3,3,2,2,3),Holidays))</f>
        <v/>
      </c>
      <c r="Z862" s="17">
        <f>IF(OR($W862="",$W862=6),"",CHOOSE($W862,"1st Email Follow-up","2nd Email Follow-up","Escalate Local Office","Escalate to CBE","Escalate to Roxanne"))</f>
        <v/>
      </c>
    </row>
    <row r="863" spans="18:26">
      <c r="R863" s="15"/>
      <c r="S863" s="16"/>
      <c r="T863" s="17">
        <f>IF(AND(COUNTA($A863:$K863)=0,$L863=""),"",IF($S863="Paid","PAID",IF($S863="Closed","CLOSED",IF($W863="","",IF($W863=6,"ESCALATED TO ROXANNE",IF(TODAY()&gt;$Y863,"OVERDUE",IF($Y863&lt;=WORKDAY(TODAY(),1,Holidays),"DUE TOMORROW",IF($W863=4,"ESCALATED TO LOCAL OFFICE",IF($W863=5,"ESCALATED TO CBE",IF($X863=TODAY(),"EMAIL SENT","MONITORING"))))))))))</f>
        <v/>
      </c>
      <c r="U863" s="17">
        <f>IF($T863="",IF(AND(COUNTA($A863:$K863)&gt;0,$L863=""),"Awaiting Collection Email time stamp.",""),IF(OR($T863="PAID",$T863="CLOSED"),IF($T863="PAID","Account paid. Action completed.","Account closed. No further action required."),CHOOSE($W863,"Collection Email","1st Email Follow-up","2nd Email Follow-up","Escalation to Local Office","Escalation to CBE","Escalation to Roxanne")&amp;" sent "&amp;TEXT($X863,"dd-mmm")&amp;". "&amp;IF($W863=6,"Final escalation completed.",IF($T863="OVERDUE","Next: "&amp;$Z863&amp;" was due "&amp;TEXT($Y863,"dd-mmm")&amp;" - "&amp;(NETWORKDAYS($Y863,TODAY(),Holidays)-1)&amp;" business day(s) late. Send now.",IF($T863="DUE TOMORROW","Next: "&amp;$Z863&amp;IF($Y863&lt;=TODAY()," is due TODAY ("," is due next business day (")&amp;TEXT($Y863,"dd-mmm")&amp;").","Next: "&amp;$Z863&amp;" due "&amp;TEXT($Y863,"dd-mmm")&amp;" ("&amp;(NETWORKDAYS(TODAY(),$Y863,Holidays)-1)&amp;" business day(s) left).")))))</f>
        <v/>
      </c>
      <c r="V863" s="17">
        <f>IF($W863="","",CHOOSE($W863,"Collection Email","1st Follow-up","2nd Follow-up","Local Office","CBE","Roxanne")&amp;IF($W863=6," - Final"," - Day "&amp;MAX(0,NETWORKDAYS($X863,TODAY(),Holidays)-1)&amp;" of "&amp;CHOOSE($W863,3,3,2,2,3))&amp;" | Total Day "&amp;MAX(0,NETWORKDAYS($L863,TODAY(),Holidays)-1))</f>
        <v/>
      </c>
      <c r="W863" s="17">
        <f>IF($L863="","",COUNT($L863:$Q863))</f>
        <v/>
      </c>
      <c r="X863" s="18">
        <f>IF($W863="","",INT(INDEX($L863:$Q863,$W863)))</f>
        <v/>
      </c>
      <c r="Y863" s="18">
        <f>IF(OR($W863="",$W863=6),"",WORKDAY($X863,CHOOSE($W863,3,3,2,2,3),Holidays))</f>
        <v/>
      </c>
      <c r="Z863" s="17">
        <f>IF(OR($W863="",$W863=6),"",CHOOSE($W863,"1st Email Follow-up","2nd Email Follow-up","Escalate Local Office","Escalate to CBE","Escalate to Roxanne"))</f>
        <v/>
      </c>
    </row>
    <row r="864" spans="18:26">
      <c r="R864" s="15"/>
      <c r="S864" s="16"/>
      <c r="T864" s="17">
        <f>IF(AND(COUNTA($A864:$K864)=0,$L864=""),"",IF($S864="Paid","PAID",IF($S864="Closed","CLOSED",IF($W864="","",IF($W864=6,"ESCALATED TO ROXANNE",IF(TODAY()&gt;$Y864,"OVERDUE",IF($Y864&lt;=WORKDAY(TODAY(),1,Holidays),"DUE TOMORROW",IF($W864=4,"ESCALATED TO LOCAL OFFICE",IF($W864=5,"ESCALATED TO CBE",IF($X864=TODAY(),"EMAIL SENT","MONITORING"))))))))))</f>
        <v/>
      </c>
      <c r="U864" s="17">
        <f>IF($T864="",IF(AND(COUNTA($A864:$K864)&gt;0,$L864=""),"Awaiting Collection Email time stamp.",""),IF(OR($T864="PAID",$T864="CLOSED"),IF($T864="PAID","Account paid. Action completed.","Account closed. No further action required."),CHOOSE($W864,"Collection Email","1st Email Follow-up","2nd Email Follow-up","Escalation to Local Office","Escalation to CBE","Escalation to Roxanne")&amp;" sent "&amp;TEXT($X864,"dd-mmm")&amp;". "&amp;IF($W864=6,"Final escalation completed.",IF($T864="OVERDUE","Next: "&amp;$Z864&amp;" was due "&amp;TEXT($Y864,"dd-mmm")&amp;" - "&amp;(NETWORKDAYS($Y864,TODAY(),Holidays)-1)&amp;" business day(s) late. Send now.",IF($T864="DUE TOMORROW","Next: "&amp;$Z864&amp;IF($Y864&lt;=TODAY()," is due TODAY ("," is due next business day (")&amp;TEXT($Y864,"dd-mmm")&amp;").","Next: "&amp;$Z864&amp;" due "&amp;TEXT($Y864,"dd-mmm")&amp;" ("&amp;(NETWORKDAYS(TODAY(),$Y864,Holidays)-1)&amp;" business day(s) left).")))))</f>
        <v/>
      </c>
      <c r="V864" s="17">
        <f>IF($W864="","",CHOOSE($W864,"Collection Email","1st Follow-up","2nd Follow-up","Local Office","CBE","Roxanne")&amp;IF($W864=6," - Final"," - Day "&amp;MAX(0,NETWORKDAYS($X864,TODAY(),Holidays)-1)&amp;" of "&amp;CHOOSE($W864,3,3,2,2,3))&amp;" | Total Day "&amp;MAX(0,NETWORKDAYS($L864,TODAY(),Holidays)-1))</f>
        <v/>
      </c>
      <c r="W864" s="17">
        <f>IF($L864="","",COUNT($L864:$Q864))</f>
        <v/>
      </c>
      <c r="X864" s="18">
        <f>IF($W864="","",INT(INDEX($L864:$Q864,$W864)))</f>
        <v/>
      </c>
      <c r="Y864" s="18">
        <f>IF(OR($W864="",$W864=6),"",WORKDAY($X864,CHOOSE($W864,3,3,2,2,3),Holidays))</f>
        <v/>
      </c>
      <c r="Z864" s="17">
        <f>IF(OR($W864="",$W864=6),"",CHOOSE($W864,"1st Email Follow-up","2nd Email Follow-up","Escalate Local Office","Escalate to CBE","Escalate to Roxanne"))</f>
        <v/>
      </c>
    </row>
    <row r="865" spans="18:26">
      <c r="R865" s="15"/>
      <c r="S865" s="16"/>
      <c r="T865" s="17">
        <f>IF(AND(COUNTA($A865:$K865)=0,$L865=""),"",IF($S865="Paid","PAID",IF($S865="Closed","CLOSED",IF($W865="","",IF($W865=6,"ESCALATED TO ROXANNE",IF(TODAY()&gt;$Y865,"OVERDUE",IF($Y865&lt;=WORKDAY(TODAY(),1,Holidays),"DUE TOMORROW",IF($W865=4,"ESCALATED TO LOCAL OFFICE",IF($W865=5,"ESCALATED TO CBE",IF($X865=TODAY(),"EMAIL SENT","MONITORING"))))))))))</f>
        <v/>
      </c>
      <c r="U865" s="17">
        <f>IF($T865="",IF(AND(COUNTA($A865:$K865)&gt;0,$L865=""),"Awaiting Collection Email time stamp.",""),IF(OR($T865="PAID",$T865="CLOSED"),IF($T865="PAID","Account paid. Action completed.","Account closed. No further action required."),CHOOSE($W865,"Collection Email","1st Email Follow-up","2nd Email Follow-up","Escalation to Local Office","Escalation to CBE","Escalation to Roxanne")&amp;" sent "&amp;TEXT($X865,"dd-mmm")&amp;". "&amp;IF($W865=6,"Final escalation completed.",IF($T865="OVERDUE","Next: "&amp;$Z865&amp;" was due "&amp;TEXT($Y865,"dd-mmm")&amp;" - "&amp;(NETWORKDAYS($Y865,TODAY(),Holidays)-1)&amp;" business day(s) late. Send now.",IF($T865="DUE TOMORROW","Next: "&amp;$Z865&amp;IF($Y865&lt;=TODAY()," is due TODAY ("," is due next business day (")&amp;TEXT($Y865,"dd-mmm")&amp;").","Next: "&amp;$Z865&amp;" due "&amp;TEXT($Y865,"dd-mmm")&amp;" ("&amp;(NETWORKDAYS(TODAY(),$Y865,Holidays)-1)&amp;" business day(s) left).")))))</f>
        <v/>
      </c>
      <c r="V865" s="17">
        <f>IF($W865="","",CHOOSE($W865,"Collection Email","1st Follow-up","2nd Follow-up","Local Office","CBE","Roxanne")&amp;IF($W865=6," - Final"," - Day "&amp;MAX(0,NETWORKDAYS($X865,TODAY(),Holidays)-1)&amp;" of "&amp;CHOOSE($W865,3,3,2,2,3))&amp;" | Total Day "&amp;MAX(0,NETWORKDAYS($L865,TODAY(),Holidays)-1))</f>
        <v/>
      </c>
      <c r="W865" s="17">
        <f>IF($L865="","",COUNT($L865:$Q865))</f>
        <v/>
      </c>
      <c r="X865" s="18">
        <f>IF($W865="","",INT(INDEX($L865:$Q865,$W865)))</f>
        <v/>
      </c>
      <c r="Y865" s="18">
        <f>IF(OR($W865="",$W865=6),"",WORKDAY($X865,CHOOSE($W865,3,3,2,2,3),Holidays))</f>
        <v/>
      </c>
      <c r="Z865" s="17">
        <f>IF(OR($W865="",$W865=6),"",CHOOSE($W865,"1st Email Follow-up","2nd Email Follow-up","Escalate Local Office","Escalate to CBE","Escalate to Roxanne"))</f>
        <v/>
      </c>
    </row>
    <row r="866" spans="18:26">
      <c r="R866" s="15"/>
      <c r="S866" s="16"/>
      <c r="T866" s="17">
        <f>IF(AND(COUNTA($A866:$K866)=0,$L866=""),"",IF($S866="Paid","PAID",IF($S866="Closed","CLOSED",IF($W866="","",IF($W866=6,"ESCALATED TO ROXANNE",IF(TODAY()&gt;$Y866,"OVERDUE",IF($Y866&lt;=WORKDAY(TODAY(),1,Holidays),"DUE TOMORROW",IF($W866=4,"ESCALATED TO LOCAL OFFICE",IF($W866=5,"ESCALATED TO CBE",IF($X866=TODAY(),"EMAIL SENT","MONITORING"))))))))))</f>
        <v/>
      </c>
      <c r="U866" s="17">
        <f>IF($T866="",IF(AND(COUNTA($A866:$K866)&gt;0,$L866=""),"Awaiting Collection Email time stamp.",""),IF(OR($T866="PAID",$T866="CLOSED"),IF($T866="PAID","Account paid. Action completed.","Account closed. No further action required."),CHOOSE($W866,"Collection Email","1st Email Follow-up","2nd Email Follow-up","Escalation to Local Office","Escalation to CBE","Escalation to Roxanne")&amp;" sent "&amp;TEXT($X866,"dd-mmm")&amp;". "&amp;IF($W866=6,"Final escalation completed.",IF($T866="OVERDUE","Next: "&amp;$Z866&amp;" was due "&amp;TEXT($Y866,"dd-mmm")&amp;" - "&amp;(NETWORKDAYS($Y866,TODAY(),Holidays)-1)&amp;" business day(s) late. Send now.",IF($T866="DUE TOMORROW","Next: "&amp;$Z866&amp;IF($Y866&lt;=TODAY()," is due TODAY ("," is due next business day (")&amp;TEXT($Y866,"dd-mmm")&amp;").","Next: "&amp;$Z866&amp;" due "&amp;TEXT($Y866,"dd-mmm")&amp;" ("&amp;(NETWORKDAYS(TODAY(),$Y866,Holidays)-1)&amp;" business day(s) left).")))))</f>
        <v/>
      </c>
      <c r="V866" s="17">
        <f>IF($W866="","",CHOOSE($W866,"Collection Email","1st Follow-up","2nd Follow-up","Local Office","CBE","Roxanne")&amp;IF($W866=6," - Final"," - Day "&amp;MAX(0,NETWORKDAYS($X866,TODAY(),Holidays)-1)&amp;" of "&amp;CHOOSE($W866,3,3,2,2,3))&amp;" | Total Day "&amp;MAX(0,NETWORKDAYS($L866,TODAY(),Holidays)-1))</f>
        <v/>
      </c>
      <c r="W866" s="17">
        <f>IF($L866="","",COUNT($L866:$Q866))</f>
        <v/>
      </c>
      <c r="X866" s="18">
        <f>IF($W866="","",INT(INDEX($L866:$Q866,$W866)))</f>
        <v/>
      </c>
      <c r="Y866" s="18">
        <f>IF(OR($W866="",$W866=6),"",WORKDAY($X866,CHOOSE($W866,3,3,2,2,3),Holidays))</f>
        <v/>
      </c>
      <c r="Z866" s="17">
        <f>IF(OR($W866="",$W866=6),"",CHOOSE($W866,"1st Email Follow-up","2nd Email Follow-up","Escalate Local Office","Escalate to CBE","Escalate to Roxanne"))</f>
        <v/>
      </c>
    </row>
    <row r="867" spans="18:26">
      <c r="R867" s="15"/>
      <c r="S867" s="16"/>
      <c r="T867" s="17">
        <f>IF(AND(COUNTA($A867:$K867)=0,$L867=""),"",IF($S867="Paid","PAID",IF($S867="Closed","CLOSED",IF($W867="","",IF($W867=6,"ESCALATED TO ROXANNE",IF(TODAY()&gt;$Y867,"OVERDUE",IF($Y867&lt;=WORKDAY(TODAY(),1,Holidays),"DUE TOMORROW",IF($W867=4,"ESCALATED TO LOCAL OFFICE",IF($W867=5,"ESCALATED TO CBE",IF($X867=TODAY(),"EMAIL SENT","MONITORING"))))))))))</f>
        <v/>
      </c>
      <c r="U867" s="17">
        <f>IF($T867="",IF(AND(COUNTA($A867:$K867)&gt;0,$L867=""),"Awaiting Collection Email time stamp.",""),IF(OR($T867="PAID",$T867="CLOSED"),IF($T867="PAID","Account paid. Action completed.","Account closed. No further action required."),CHOOSE($W867,"Collection Email","1st Email Follow-up","2nd Email Follow-up","Escalation to Local Office","Escalation to CBE","Escalation to Roxanne")&amp;" sent "&amp;TEXT($X867,"dd-mmm")&amp;". "&amp;IF($W867=6,"Final escalation completed.",IF($T867="OVERDUE","Next: "&amp;$Z867&amp;" was due "&amp;TEXT($Y867,"dd-mmm")&amp;" - "&amp;(NETWORKDAYS($Y867,TODAY(),Holidays)-1)&amp;" business day(s) late. Send now.",IF($T867="DUE TOMORROW","Next: "&amp;$Z867&amp;IF($Y867&lt;=TODAY()," is due TODAY ("," is due next business day (")&amp;TEXT($Y867,"dd-mmm")&amp;").","Next: "&amp;$Z867&amp;" due "&amp;TEXT($Y867,"dd-mmm")&amp;" ("&amp;(NETWORKDAYS(TODAY(),$Y867,Holidays)-1)&amp;" business day(s) left).")))))</f>
        <v/>
      </c>
      <c r="V867" s="17">
        <f>IF($W867="","",CHOOSE($W867,"Collection Email","1st Follow-up","2nd Follow-up","Local Office","CBE","Roxanne")&amp;IF($W867=6," - Final"," - Day "&amp;MAX(0,NETWORKDAYS($X867,TODAY(),Holidays)-1)&amp;" of "&amp;CHOOSE($W867,3,3,2,2,3))&amp;" | Total Day "&amp;MAX(0,NETWORKDAYS($L867,TODAY(),Holidays)-1))</f>
        <v/>
      </c>
      <c r="W867" s="17">
        <f>IF($L867="","",COUNT($L867:$Q867))</f>
        <v/>
      </c>
      <c r="X867" s="18">
        <f>IF($W867="","",INT(INDEX($L867:$Q867,$W867)))</f>
        <v/>
      </c>
      <c r="Y867" s="18">
        <f>IF(OR($W867="",$W867=6),"",WORKDAY($X867,CHOOSE($W867,3,3,2,2,3),Holidays))</f>
        <v/>
      </c>
      <c r="Z867" s="17">
        <f>IF(OR($W867="",$W867=6),"",CHOOSE($W867,"1st Email Follow-up","2nd Email Follow-up","Escalate Local Office","Escalate to CBE","Escalate to Roxanne"))</f>
        <v/>
      </c>
    </row>
    <row r="868" spans="18:26">
      <c r="R868" s="15"/>
      <c r="S868" s="16"/>
      <c r="T868" s="17">
        <f>IF(AND(COUNTA($A868:$K868)=0,$L868=""),"",IF($S868="Paid","PAID",IF($S868="Closed","CLOSED",IF($W868="","",IF($W868=6,"ESCALATED TO ROXANNE",IF(TODAY()&gt;$Y868,"OVERDUE",IF($Y868&lt;=WORKDAY(TODAY(),1,Holidays),"DUE TOMORROW",IF($W868=4,"ESCALATED TO LOCAL OFFICE",IF($W868=5,"ESCALATED TO CBE",IF($X868=TODAY(),"EMAIL SENT","MONITORING"))))))))))</f>
        <v/>
      </c>
      <c r="U868" s="17">
        <f>IF($T868="",IF(AND(COUNTA($A868:$K868)&gt;0,$L868=""),"Awaiting Collection Email time stamp.",""),IF(OR($T868="PAID",$T868="CLOSED"),IF($T868="PAID","Account paid. Action completed.","Account closed. No further action required."),CHOOSE($W868,"Collection Email","1st Email Follow-up","2nd Email Follow-up","Escalation to Local Office","Escalation to CBE","Escalation to Roxanne")&amp;" sent "&amp;TEXT($X868,"dd-mmm")&amp;". "&amp;IF($W868=6,"Final escalation completed.",IF($T868="OVERDUE","Next: "&amp;$Z868&amp;" was due "&amp;TEXT($Y868,"dd-mmm")&amp;" - "&amp;(NETWORKDAYS($Y868,TODAY(),Holidays)-1)&amp;" business day(s) late. Send now.",IF($T868="DUE TOMORROW","Next: "&amp;$Z868&amp;IF($Y868&lt;=TODAY()," is due TODAY ("," is due next business day (")&amp;TEXT($Y868,"dd-mmm")&amp;").","Next: "&amp;$Z868&amp;" due "&amp;TEXT($Y868,"dd-mmm")&amp;" ("&amp;(NETWORKDAYS(TODAY(),$Y868,Holidays)-1)&amp;" business day(s) left).")))))</f>
        <v/>
      </c>
      <c r="V868" s="17">
        <f>IF($W868="","",CHOOSE($W868,"Collection Email","1st Follow-up","2nd Follow-up","Local Office","CBE","Roxanne")&amp;IF($W868=6," - Final"," - Day "&amp;MAX(0,NETWORKDAYS($X868,TODAY(),Holidays)-1)&amp;" of "&amp;CHOOSE($W868,3,3,2,2,3))&amp;" | Total Day "&amp;MAX(0,NETWORKDAYS($L868,TODAY(),Holidays)-1))</f>
        <v/>
      </c>
      <c r="W868" s="17">
        <f>IF($L868="","",COUNT($L868:$Q868))</f>
        <v/>
      </c>
      <c r="X868" s="18">
        <f>IF($W868="","",INT(INDEX($L868:$Q868,$W868)))</f>
        <v/>
      </c>
      <c r="Y868" s="18">
        <f>IF(OR($W868="",$W868=6),"",WORKDAY($X868,CHOOSE($W868,3,3,2,2,3),Holidays))</f>
        <v/>
      </c>
      <c r="Z868" s="17">
        <f>IF(OR($W868="",$W868=6),"",CHOOSE($W868,"1st Email Follow-up","2nd Email Follow-up","Escalate Local Office","Escalate to CBE","Escalate to Roxanne"))</f>
        <v/>
      </c>
    </row>
    <row r="869" spans="18:26">
      <c r="R869" s="15"/>
      <c r="S869" s="16"/>
      <c r="T869" s="17">
        <f>IF(AND(COUNTA($A869:$K869)=0,$L869=""),"",IF($S869="Paid","PAID",IF($S869="Closed","CLOSED",IF($W869="","",IF($W869=6,"ESCALATED TO ROXANNE",IF(TODAY()&gt;$Y869,"OVERDUE",IF($Y869&lt;=WORKDAY(TODAY(),1,Holidays),"DUE TOMORROW",IF($W869=4,"ESCALATED TO LOCAL OFFICE",IF($W869=5,"ESCALATED TO CBE",IF($X869=TODAY(),"EMAIL SENT","MONITORING"))))))))))</f>
        <v/>
      </c>
      <c r="U869" s="17">
        <f>IF($T869="",IF(AND(COUNTA($A869:$K869)&gt;0,$L869=""),"Awaiting Collection Email time stamp.",""),IF(OR($T869="PAID",$T869="CLOSED"),IF($T869="PAID","Account paid. Action completed.","Account closed. No further action required."),CHOOSE($W869,"Collection Email","1st Email Follow-up","2nd Email Follow-up","Escalation to Local Office","Escalation to CBE","Escalation to Roxanne")&amp;" sent "&amp;TEXT($X869,"dd-mmm")&amp;". "&amp;IF($W869=6,"Final escalation completed.",IF($T869="OVERDUE","Next: "&amp;$Z869&amp;" was due "&amp;TEXT($Y869,"dd-mmm")&amp;" - "&amp;(NETWORKDAYS($Y869,TODAY(),Holidays)-1)&amp;" business day(s) late. Send now.",IF($T869="DUE TOMORROW","Next: "&amp;$Z869&amp;IF($Y869&lt;=TODAY()," is due TODAY ("," is due next business day (")&amp;TEXT($Y869,"dd-mmm")&amp;").","Next: "&amp;$Z869&amp;" due "&amp;TEXT($Y869,"dd-mmm")&amp;" ("&amp;(NETWORKDAYS(TODAY(),$Y869,Holidays)-1)&amp;" business day(s) left).")))))</f>
        <v/>
      </c>
      <c r="V869" s="17">
        <f>IF($W869="","",CHOOSE($W869,"Collection Email","1st Follow-up","2nd Follow-up","Local Office","CBE","Roxanne")&amp;IF($W869=6," - Final"," - Day "&amp;MAX(0,NETWORKDAYS($X869,TODAY(),Holidays)-1)&amp;" of "&amp;CHOOSE($W869,3,3,2,2,3))&amp;" | Total Day "&amp;MAX(0,NETWORKDAYS($L869,TODAY(),Holidays)-1))</f>
        <v/>
      </c>
      <c r="W869" s="17">
        <f>IF($L869="","",COUNT($L869:$Q869))</f>
        <v/>
      </c>
      <c r="X869" s="18">
        <f>IF($W869="","",INT(INDEX($L869:$Q869,$W869)))</f>
        <v/>
      </c>
      <c r="Y869" s="18">
        <f>IF(OR($W869="",$W869=6),"",WORKDAY($X869,CHOOSE($W869,3,3,2,2,3),Holidays))</f>
        <v/>
      </c>
      <c r="Z869" s="17">
        <f>IF(OR($W869="",$W869=6),"",CHOOSE($W869,"1st Email Follow-up","2nd Email Follow-up","Escalate Local Office","Escalate to CBE","Escalate to Roxanne"))</f>
        <v/>
      </c>
    </row>
    <row r="870" spans="18:26">
      <c r="R870" s="15"/>
      <c r="S870" s="16"/>
      <c r="T870" s="17">
        <f>IF(AND(COUNTA($A870:$K870)=0,$L870=""),"",IF($S870="Paid","PAID",IF($S870="Closed","CLOSED",IF($W870="","",IF($W870=6,"ESCALATED TO ROXANNE",IF(TODAY()&gt;$Y870,"OVERDUE",IF($Y870&lt;=WORKDAY(TODAY(),1,Holidays),"DUE TOMORROW",IF($W870=4,"ESCALATED TO LOCAL OFFICE",IF($W870=5,"ESCALATED TO CBE",IF($X870=TODAY(),"EMAIL SENT","MONITORING"))))))))))</f>
        <v/>
      </c>
      <c r="U870" s="17">
        <f>IF($T870="",IF(AND(COUNTA($A870:$K870)&gt;0,$L870=""),"Awaiting Collection Email time stamp.",""),IF(OR($T870="PAID",$T870="CLOSED"),IF($T870="PAID","Account paid. Action completed.","Account closed. No further action required."),CHOOSE($W870,"Collection Email","1st Email Follow-up","2nd Email Follow-up","Escalation to Local Office","Escalation to CBE","Escalation to Roxanne")&amp;" sent "&amp;TEXT($X870,"dd-mmm")&amp;". "&amp;IF($W870=6,"Final escalation completed.",IF($T870="OVERDUE","Next: "&amp;$Z870&amp;" was due "&amp;TEXT($Y870,"dd-mmm")&amp;" - "&amp;(NETWORKDAYS($Y870,TODAY(),Holidays)-1)&amp;" business day(s) late. Send now.",IF($T870="DUE TOMORROW","Next: "&amp;$Z870&amp;IF($Y870&lt;=TODAY()," is due TODAY ("," is due next business day (")&amp;TEXT($Y870,"dd-mmm")&amp;").","Next: "&amp;$Z870&amp;" due "&amp;TEXT($Y870,"dd-mmm")&amp;" ("&amp;(NETWORKDAYS(TODAY(),$Y870,Holidays)-1)&amp;" business day(s) left).")))))</f>
        <v/>
      </c>
      <c r="V870" s="17">
        <f>IF($W870="","",CHOOSE($W870,"Collection Email","1st Follow-up","2nd Follow-up","Local Office","CBE","Roxanne")&amp;IF($W870=6," - Final"," - Day "&amp;MAX(0,NETWORKDAYS($X870,TODAY(),Holidays)-1)&amp;" of "&amp;CHOOSE($W870,3,3,2,2,3))&amp;" | Total Day "&amp;MAX(0,NETWORKDAYS($L870,TODAY(),Holidays)-1))</f>
        <v/>
      </c>
      <c r="W870" s="17">
        <f>IF($L870="","",COUNT($L870:$Q870))</f>
        <v/>
      </c>
      <c r="X870" s="18">
        <f>IF($W870="","",INT(INDEX($L870:$Q870,$W870)))</f>
        <v/>
      </c>
      <c r="Y870" s="18">
        <f>IF(OR($W870="",$W870=6),"",WORKDAY($X870,CHOOSE($W870,3,3,2,2,3),Holidays))</f>
        <v/>
      </c>
      <c r="Z870" s="17">
        <f>IF(OR($W870="",$W870=6),"",CHOOSE($W870,"1st Email Follow-up","2nd Email Follow-up","Escalate Local Office","Escalate to CBE","Escalate to Roxanne"))</f>
        <v/>
      </c>
    </row>
    <row r="871" spans="18:26">
      <c r="R871" s="15"/>
      <c r="S871" s="16"/>
      <c r="T871" s="17">
        <f>IF(AND(COUNTA($A871:$K871)=0,$L871=""),"",IF($S871="Paid","PAID",IF($S871="Closed","CLOSED",IF($W871="","",IF($W871=6,"ESCALATED TO ROXANNE",IF(TODAY()&gt;$Y871,"OVERDUE",IF($Y871&lt;=WORKDAY(TODAY(),1,Holidays),"DUE TOMORROW",IF($W871=4,"ESCALATED TO LOCAL OFFICE",IF($W871=5,"ESCALATED TO CBE",IF($X871=TODAY(),"EMAIL SENT","MONITORING"))))))))))</f>
        <v/>
      </c>
      <c r="U871" s="17">
        <f>IF($T871="",IF(AND(COUNTA($A871:$K871)&gt;0,$L871=""),"Awaiting Collection Email time stamp.",""),IF(OR($T871="PAID",$T871="CLOSED"),IF($T871="PAID","Account paid. Action completed.","Account closed. No further action required."),CHOOSE($W871,"Collection Email","1st Email Follow-up","2nd Email Follow-up","Escalation to Local Office","Escalation to CBE","Escalation to Roxanne")&amp;" sent "&amp;TEXT($X871,"dd-mmm")&amp;". "&amp;IF($W871=6,"Final escalation completed.",IF($T871="OVERDUE","Next: "&amp;$Z871&amp;" was due "&amp;TEXT($Y871,"dd-mmm")&amp;" - "&amp;(NETWORKDAYS($Y871,TODAY(),Holidays)-1)&amp;" business day(s) late. Send now.",IF($T871="DUE TOMORROW","Next: "&amp;$Z871&amp;IF($Y871&lt;=TODAY()," is due TODAY ("," is due next business day (")&amp;TEXT($Y871,"dd-mmm")&amp;").","Next: "&amp;$Z871&amp;" due "&amp;TEXT($Y871,"dd-mmm")&amp;" ("&amp;(NETWORKDAYS(TODAY(),$Y871,Holidays)-1)&amp;" business day(s) left).")))))</f>
        <v/>
      </c>
      <c r="V871" s="17">
        <f>IF($W871="","",CHOOSE($W871,"Collection Email","1st Follow-up","2nd Follow-up","Local Office","CBE","Roxanne")&amp;IF($W871=6," - Final"," - Day "&amp;MAX(0,NETWORKDAYS($X871,TODAY(),Holidays)-1)&amp;" of "&amp;CHOOSE($W871,3,3,2,2,3))&amp;" | Total Day "&amp;MAX(0,NETWORKDAYS($L871,TODAY(),Holidays)-1))</f>
        <v/>
      </c>
      <c r="W871" s="17">
        <f>IF($L871="","",COUNT($L871:$Q871))</f>
        <v/>
      </c>
      <c r="X871" s="18">
        <f>IF($W871="","",INT(INDEX($L871:$Q871,$W871)))</f>
        <v/>
      </c>
      <c r="Y871" s="18">
        <f>IF(OR($W871="",$W871=6),"",WORKDAY($X871,CHOOSE($W871,3,3,2,2,3),Holidays))</f>
        <v/>
      </c>
      <c r="Z871" s="17">
        <f>IF(OR($W871="",$W871=6),"",CHOOSE($W871,"1st Email Follow-up","2nd Email Follow-up","Escalate Local Office","Escalate to CBE","Escalate to Roxanne"))</f>
        <v/>
      </c>
    </row>
    <row r="872" spans="18:26">
      <c r="R872" s="15"/>
      <c r="S872" s="16"/>
      <c r="T872" s="17">
        <f>IF(AND(COUNTA($A872:$K872)=0,$L872=""),"",IF($S872="Paid","PAID",IF($S872="Closed","CLOSED",IF($W872="","",IF($W872=6,"ESCALATED TO ROXANNE",IF(TODAY()&gt;$Y872,"OVERDUE",IF($Y872&lt;=WORKDAY(TODAY(),1,Holidays),"DUE TOMORROW",IF($W872=4,"ESCALATED TO LOCAL OFFICE",IF($W872=5,"ESCALATED TO CBE",IF($X872=TODAY(),"EMAIL SENT","MONITORING"))))))))))</f>
        <v/>
      </c>
      <c r="U872" s="17">
        <f>IF($T872="",IF(AND(COUNTA($A872:$K872)&gt;0,$L872=""),"Awaiting Collection Email time stamp.",""),IF(OR($T872="PAID",$T872="CLOSED"),IF($T872="PAID","Account paid. Action completed.","Account closed. No further action required."),CHOOSE($W872,"Collection Email","1st Email Follow-up","2nd Email Follow-up","Escalation to Local Office","Escalation to CBE","Escalation to Roxanne")&amp;" sent "&amp;TEXT($X872,"dd-mmm")&amp;". "&amp;IF($W872=6,"Final escalation completed.",IF($T872="OVERDUE","Next: "&amp;$Z872&amp;" was due "&amp;TEXT($Y872,"dd-mmm")&amp;" - "&amp;(NETWORKDAYS($Y872,TODAY(),Holidays)-1)&amp;" business day(s) late. Send now.",IF($T872="DUE TOMORROW","Next: "&amp;$Z872&amp;IF($Y872&lt;=TODAY()," is due TODAY ("," is due next business day (")&amp;TEXT($Y872,"dd-mmm")&amp;").","Next: "&amp;$Z872&amp;" due "&amp;TEXT($Y872,"dd-mmm")&amp;" ("&amp;(NETWORKDAYS(TODAY(),$Y872,Holidays)-1)&amp;" business day(s) left).")))))</f>
        <v/>
      </c>
      <c r="V872" s="17">
        <f>IF($W872="","",CHOOSE($W872,"Collection Email","1st Follow-up","2nd Follow-up","Local Office","CBE","Roxanne")&amp;IF($W872=6," - Final"," - Day "&amp;MAX(0,NETWORKDAYS($X872,TODAY(),Holidays)-1)&amp;" of "&amp;CHOOSE($W872,3,3,2,2,3))&amp;" | Total Day "&amp;MAX(0,NETWORKDAYS($L872,TODAY(),Holidays)-1))</f>
        <v/>
      </c>
      <c r="W872" s="17">
        <f>IF($L872="","",COUNT($L872:$Q872))</f>
        <v/>
      </c>
      <c r="X872" s="18">
        <f>IF($W872="","",INT(INDEX($L872:$Q872,$W872)))</f>
        <v/>
      </c>
      <c r="Y872" s="18">
        <f>IF(OR($W872="",$W872=6),"",WORKDAY($X872,CHOOSE($W872,3,3,2,2,3),Holidays))</f>
        <v/>
      </c>
      <c r="Z872" s="17">
        <f>IF(OR($W872="",$W872=6),"",CHOOSE($W872,"1st Email Follow-up","2nd Email Follow-up","Escalate Local Office","Escalate to CBE","Escalate to Roxanne"))</f>
        <v/>
      </c>
    </row>
    <row r="873" spans="18:26">
      <c r="R873" s="15"/>
      <c r="S873" s="16"/>
      <c r="T873" s="17">
        <f>IF(AND(COUNTA($A873:$K873)=0,$L873=""),"",IF($S873="Paid","PAID",IF($S873="Closed","CLOSED",IF($W873="","",IF($W873=6,"ESCALATED TO ROXANNE",IF(TODAY()&gt;$Y873,"OVERDUE",IF($Y873&lt;=WORKDAY(TODAY(),1,Holidays),"DUE TOMORROW",IF($W873=4,"ESCALATED TO LOCAL OFFICE",IF($W873=5,"ESCALATED TO CBE",IF($X873=TODAY(),"EMAIL SENT","MONITORING"))))))))))</f>
        <v/>
      </c>
      <c r="U873" s="17">
        <f>IF($T873="",IF(AND(COUNTA($A873:$K873)&gt;0,$L873=""),"Awaiting Collection Email time stamp.",""),IF(OR($T873="PAID",$T873="CLOSED"),IF($T873="PAID","Account paid. Action completed.","Account closed. No further action required."),CHOOSE($W873,"Collection Email","1st Email Follow-up","2nd Email Follow-up","Escalation to Local Office","Escalation to CBE","Escalation to Roxanne")&amp;" sent "&amp;TEXT($X873,"dd-mmm")&amp;". "&amp;IF($W873=6,"Final escalation completed.",IF($T873="OVERDUE","Next: "&amp;$Z873&amp;" was due "&amp;TEXT($Y873,"dd-mmm")&amp;" - "&amp;(NETWORKDAYS($Y873,TODAY(),Holidays)-1)&amp;" business day(s) late. Send now.",IF($T873="DUE TOMORROW","Next: "&amp;$Z873&amp;IF($Y873&lt;=TODAY()," is due TODAY ("," is due next business day (")&amp;TEXT($Y873,"dd-mmm")&amp;").","Next: "&amp;$Z873&amp;" due "&amp;TEXT($Y873,"dd-mmm")&amp;" ("&amp;(NETWORKDAYS(TODAY(),$Y873,Holidays)-1)&amp;" business day(s) left).")))))</f>
        <v/>
      </c>
      <c r="V873" s="17">
        <f>IF($W873="","",CHOOSE($W873,"Collection Email","1st Follow-up","2nd Follow-up","Local Office","CBE","Roxanne")&amp;IF($W873=6," - Final"," - Day "&amp;MAX(0,NETWORKDAYS($X873,TODAY(),Holidays)-1)&amp;" of "&amp;CHOOSE($W873,3,3,2,2,3))&amp;" | Total Day "&amp;MAX(0,NETWORKDAYS($L873,TODAY(),Holidays)-1))</f>
        <v/>
      </c>
      <c r="W873" s="17">
        <f>IF($L873="","",COUNT($L873:$Q873))</f>
        <v/>
      </c>
      <c r="X873" s="18">
        <f>IF($W873="","",INT(INDEX($L873:$Q873,$W873)))</f>
        <v/>
      </c>
      <c r="Y873" s="18">
        <f>IF(OR($W873="",$W873=6),"",WORKDAY($X873,CHOOSE($W873,3,3,2,2,3),Holidays))</f>
        <v/>
      </c>
      <c r="Z873" s="17">
        <f>IF(OR($W873="",$W873=6),"",CHOOSE($W873,"1st Email Follow-up","2nd Email Follow-up","Escalate Local Office","Escalate to CBE","Escalate to Roxanne"))</f>
        <v/>
      </c>
    </row>
    <row r="874" spans="18:26">
      <c r="R874" s="15"/>
      <c r="S874" s="16"/>
      <c r="T874" s="17">
        <f>IF(AND(COUNTA($A874:$K874)=0,$L874=""),"",IF($S874="Paid","PAID",IF($S874="Closed","CLOSED",IF($W874="","",IF($W874=6,"ESCALATED TO ROXANNE",IF(TODAY()&gt;$Y874,"OVERDUE",IF($Y874&lt;=WORKDAY(TODAY(),1,Holidays),"DUE TOMORROW",IF($W874=4,"ESCALATED TO LOCAL OFFICE",IF($W874=5,"ESCALATED TO CBE",IF($X874=TODAY(),"EMAIL SENT","MONITORING"))))))))))</f>
        <v/>
      </c>
      <c r="U874" s="17">
        <f>IF($T874="",IF(AND(COUNTA($A874:$K874)&gt;0,$L874=""),"Awaiting Collection Email time stamp.",""),IF(OR($T874="PAID",$T874="CLOSED"),IF($T874="PAID","Account paid. Action completed.","Account closed. No further action required."),CHOOSE($W874,"Collection Email","1st Email Follow-up","2nd Email Follow-up","Escalation to Local Office","Escalation to CBE","Escalation to Roxanne")&amp;" sent "&amp;TEXT($X874,"dd-mmm")&amp;". "&amp;IF($W874=6,"Final escalation completed.",IF($T874="OVERDUE","Next: "&amp;$Z874&amp;" was due "&amp;TEXT($Y874,"dd-mmm")&amp;" - "&amp;(NETWORKDAYS($Y874,TODAY(),Holidays)-1)&amp;" business day(s) late. Send now.",IF($T874="DUE TOMORROW","Next: "&amp;$Z874&amp;IF($Y874&lt;=TODAY()," is due TODAY ("," is due next business day (")&amp;TEXT($Y874,"dd-mmm")&amp;").","Next: "&amp;$Z874&amp;" due "&amp;TEXT($Y874,"dd-mmm")&amp;" ("&amp;(NETWORKDAYS(TODAY(),$Y874,Holidays)-1)&amp;" business day(s) left).")))))</f>
        <v/>
      </c>
      <c r="V874" s="17">
        <f>IF($W874="","",CHOOSE($W874,"Collection Email","1st Follow-up","2nd Follow-up","Local Office","CBE","Roxanne")&amp;IF($W874=6," - Final"," - Day "&amp;MAX(0,NETWORKDAYS($X874,TODAY(),Holidays)-1)&amp;" of "&amp;CHOOSE($W874,3,3,2,2,3))&amp;" | Total Day "&amp;MAX(0,NETWORKDAYS($L874,TODAY(),Holidays)-1))</f>
        <v/>
      </c>
      <c r="W874" s="17">
        <f>IF($L874="","",COUNT($L874:$Q874))</f>
        <v/>
      </c>
      <c r="X874" s="18">
        <f>IF($W874="","",INT(INDEX($L874:$Q874,$W874)))</f>
        <v/>
      </c>
      <c r="Y874" s="18">
        <f>IF(OR($W874="",$W874=6),"",WORKDAY($X874,CHOOSE($W874,3,3,2,2,3),Holidays))</f>
        <v/>
      </c>
      <c r="Z874" s="17">
        <f>IF(OR($W874="",$W874=6),"",CHOOSE($W874,"1st Email Follow-up","2nd Email Follow-up","Escalate Local Office","Escalate to CBE","Escalate to Roxanne"))</f>
        <v/>
      </c>
    </row>
    <row r="875" spans="18:26">
      <c r="R875" s="15"/>
      <c r="S875" s="16"/>
      <c r="T875" s="17">
        <f>IF(AND(COUNTA($A875:$K875)=0,$L875=""),"",IF($S875="Paid","PAID",IF($S875="Closed","CLOSED",IF($W875="","",IF($W875=6,"ESCALATED TO ROXANNE",IF(TODAY()&gt;$Y875,"OVERDUE",IF($Y875&lt;=WORKDAY(TODAY(),1,Holidays),"DUE TOMORROW",IF($W875=4,"ESCALATED TO LOCAL OFFICE",IF($W875=5,"ESCALATED TO CBE",IF($X875=TODAY(),"EMAIL SENT","MONITORING"))))))))))</f>
        <v/>
      </c>
      <c r="U875" s="17">
        <f>IF($T875="",IF(AND(COUNTA($A875:$K875)&gt;0,$L875=""),"Awaiting Collection Email time stamp.",""),IF(OR($T875="PAID",$T875="CLOSED"),IF($T875="PAID","Account paid. Action completed.","Account closed. No further action required."),CHOOSE($W875,"Collection Email","1st Email Follow-up","2nd Email Follow-up","Escalation to Local Office","Escalation to CBE","Escalation to Roxanne")&amp;" sent "&amp;TEXT($X875,"dd-mmm")&amp;". "&amp;IF($W875=6,"Final escalation completed.",IF($T875="OVERDUE","Next: "&amp;$Z875&amp;" was due "&amp;TEXT($Y875,"dd-mmm")&amp;" - "&amp;(NETWORKDAYS($Y875,TODAY(),Holidays)-1)&amp;" business day(s) late. Send now.",IF($T875="DUE TOMORROW","Next: "&amp;$Z875&amp;IF($Y875&lt;=TODAY()," is due TODAY ("," is due next business day (")&amp;TEXT($Y875,"dd-mmm")&amp;").","Next: "&amp;$Z875&amp;" due "&amp;TEXT($Y875,"dd-mmm")&amp;" ("&amp;(NETWORKDAYS(TODAY(),$Y875,Holidays)-1)&amp;" business day(s) left).")))))</f>
        <v/>
      </c>
      <c r="V875" s="17">
        <f>IF($W875="","",CHOOSE($W875,"Collection Email","1st Follow-up","2nd Follow-up","Local Office","CBE","Roxanne")&amp;IF($W875=6," - Final"," - Day "&amp;MAX(0,NETWORKDAYS($X875,TODAY(),Holidays)-1)&amp;" of "&amp;CHOOSE($W875,3,3,2,2,3))&amp;" | Total Day "&amp;MAX(0,NETWORKDAYS($L875,TODAY(),Holidays)-1))</f>
        <v/>
      </c>
      <c r="W875" s="17">
        <f>IF($L875="","",COUNT($L875:$Q875))</f>
        <v/>
      </c>
      <c r="X875" s="18">
        <f>IF($W875="","",INT(INDEX($L875:$Q875,$W875)))</f>
        <v/>
      </c>
      <c r="Y875" s="18">
        <f>IF(OR($W875="",$W875=6),"",WORKDAY($X875,CHOOSE($W875,3,3,2,2,3),Holidays))</f>
        <v/>
      </c>
      <c r="Z875" s="17">
        <f>IF(OR($W875="",$W875=6),"",CHOOSE($W875,"1st Email Follow-up","2nd Email Follow-up","Escalate Local Office","Escalate to CBE","Escalate to Roxanne"))</f>
        <v/>
      </c>
    </row>
    <row r="876" spans="18:26">
      <c r="R876" s="15"/>
      <c r="S876" s="16"/>
      <c r="T876" s="17">
        <f>IF(AND(COUNTA($A876:$K876)=0,$L876=""),"",IF($S876="Paid","PAID",IF($S876="Closed","CLOSED",IF($W876="","",IF($W876=6,"ESCALATED TO ROXANNE",IF(TODAY()&gt;$Y876,"OVERDUE",IF($Y876&lt;=WORKDAY(TODAY(),1,Holidays),"DUE TOMORROW",IF($W876=4,"ESCALATED TO LOCAL OFFICE",IF($W876=5,"ESCALATED TO CBE",IF($X876=TODAY(),"EMAIL SENT","MONITORING"))))))))))</f>
        <v/>
      </c>
      <c r="U876" s="17">
        <f>IF($T876="",IF(AND(COUNTA($A876:$K876)&gt;0,$L876=""),"Awaiting Collection Email time stamp.",""),IF(OR($T876="PAID",$T876="CLOSED"),IF($T876="PAID","Account paid. Action completed.","Account closed. No further action required."),CHOOSE($W876,"Collection Email","1st Email Follow-up","2nd Email Follow-up","Escalation to Local Office","Escalation to CBE","Escalation to Roxanne")&amp;" sent "&amp;TEXT($X876,"dd-mmm")&amp;". "&amp;IF($W876=6,"Final escalation completed.",IF($T876="OVERDUE","Next: "&amp;$Z876&amp;" was due "&amp;TEXT($Y876,"dd-mmm")&amp;" - "&amp;(NETWORKDAYS($Y876,TODAY(),Holidays)-1)&amp;" business day(s) late. Send now.",IF($T876="DUE TOMORROW","Next: "&amp;$Z876&amp;IF($Y876&lt;=TODAY()," is due TODAY ("," is due next business day (")&amp;TEXT($Y876,"dd-mmm")&amp;").","Next: "&amp;$Z876&amp;" due "&amp;TEXT($Y876,"dd-mmm")&amp;" ("&amp;(NETWORKDAYS(TODAY(),$Y876,Holidays)-1)&amp;" business day(s) left).")))))</f>
        <v/>
      </c>
      <c r="V876" s="17">
        <f>IF($W876="","",CHOOSE($W876,"Collection Email","1st Follow-up","2nd Follow-up","Local Office","CBE","Roxanne")&amp;IF($W876=6," - Final"," - Day "&amp;MAX(0,NETWORKDAYS($X876,TODAY(),Holidays)-1)&amp;" of "&amp;CHOOSE($W876,3,3,2,2,3))&amp;" | Total Day "&amp;MAX(0,NETWORKDAYS($L876,TODAY(),Holidays)-1))</f>
        <v/>
      </c>
      <c r="W876" s="17">
        <f>IF($L876="","",COUNT($L876:$Q876))</f>
        <v/>
      </c>
      <c r="X876" s="18">
        <f>IF($W876="","",INT(INDEX($L876:$Q876,$W876)))</f>
        <v/>
      </c>
      <c r="Y876" s="18">
        <f>IF(OR($W876="",$W876=6),"",WORKDAY($X876,CHOOSE($W876,3,3,2,2,3),Holidays))</f>
        <v/>
      </c>
      <c r="Z876" s="17">
        <f>IF(OR($W876="",$W876=6),"",CHOOSE($W876,"1st Email Follow-up","2nd Email Follow-up","Escalate Local Office","Escalate to CBE","Escalate to Roxanne"))</f>
        <v/>
      </c>
    </row>
    <row r="877" spans="18:26">
      <c r="R877" s="15"/>
      <c r="S877" s="16"/>
      <c r="T877" s="17">
        <f>IF(AND(COUNTA($A877:$K877)=0,$L877=""),"",IF($S877="Paid","PAID",IF($S877="Closed","CLOSED",IF($W877="","",IF($W877=6,"ESCALATED TO ROXANNE",IF(TODAY()&gt;$Y877,"OVERDUE",IF($Y877&lt;=WORKDAY(TODAY(),1,Holidays),"DUE TOMORROW",IF($W877=4,"ESCALATED TO LOCAL OFFICE",IF($W877=5,"ESCALATED TO CBE",IF($X877=TODAY(),"EMAIL SENT","MONITORING"))))))))))</f>
        <v/>
      </c>
      <c r="U877" s="17">
        <f>IF($T877="",IF(AND(COUNTA($A877:$K877)&gt;0,$L877=""),"Awaiting Collection Email time stamp.",""),IF(OR($T877="PAID",$T877="CLOSED"),IF($T877="PAID","Account paid. Action completed.","Account closed. No further action required."),CHOOSE($W877,"Collection Email","1st Email Follow-up","2nd Email Follow-up","Escalation to Local Office","Escalation to CBE","Escalation to Roxanne")&amp;" sent "&amp;TEXT($X877,"dd-mmm")&amp;". "&amp;IF($W877=6,"Final escalation completed.",IF($T877="OVERDUE","Next: "&amp;$Z877&amp;" was due "&amp;TEXT($Y877,"dd-mmm")&amp;" - "&amp;(NETWORKDAYS($Y877,TODAY(),Holidays)-1)&amp;" business day(s) late. Send now.",IF($T877="DUE TOMORROW","Next: "&amp;$Z877&amp;IF($Y877&lt;=TODAY()," is due TODAY ("," is due next business day (")&amp;TEXT($Y877,"dd-mmm")&amp;").","Next: "&amp;$Z877&amp;" due "&amp;TEXT($Y877,"dd-mmm")&amp;" ("&amp;(NETWORKDAYS(TODAY(),$Y877,Holidays)-1)&amp;" business day(s) left).")))))</f>
        <v/>
      </c>
      <c r="V877" s="17">
        <f>IF($W877="","",CHOOSE($W877,"Collection Email","1st Follow-up","2nd Follow-up","Local Office","CBE","Roxanne")&amp;IF($W877=6," - Final"," - Day "&amp;MAX(0,NETWORKDAYS($X877,TODAY(),Holidays)-1)&amp;" of "&amp;CHOOSE($W877,3,3,2,2,3))&amp;" | Total Day "&amp;MAX(0,NETWORKDAYS($L877,TODAY(),Holidays)-1))</f>
        <v/>
      </c>
      <c r="W877" s="17">
        <f>IF($L877="","",COUNT($L877:$Q877))</f>
        <v/>
      </c>
      <c r="X877" s="18">
        <f>IF($W877="","",INT(INDEX($L877:$Q877,$W877)))</f>
        <v/>
      </c>
      <c r="Y877" s="18">
        <f>IF(OR($W877="",$W877=6),"",WORKDAY($X877,CHOOSE($W877,3,3,2,2,3),Holidays))</f>
        <v/>
      </c>
      <c r="Z877" s="17">
        <f>IF(OR($W877="",$W877=6),"",CHOOSE($W877,"1st Email Follow-up","2nd Email Follow-up","Escalate Local Office","Escalate to CBE","Escalate to Roxanne"))</f>
        <v/>
      </c>
    </row>
    <row r="878" spans="18:26">
      <c r="R878" s="15"/>
      <c r="S878" s="16"/>
      <c r="T878" s="17">
        <f>IF(AND(COUNTA($A878:$K878)=0,$L878=""),"",IF($S878="Paid","PAID",IF($S878="Closed","CLOSED",IF($W878="","",IF($W878=6,"ESCALATED TO ROXANNE",IF(TODAY()&gt;$Y878,"OVERDUE",IF($Y878&lt;=WORKDAY(TODAY(),1,Holidays),"DUE TOMORROW",IF($W878=4,"ESCALATED TO LOCAL OFFICE",IF($W878=5,"ESCALATED TO CBE",IF($X878=TODAY(),"EMAIL SENT","MONITORING"))))))))))</f>
        <v/>
      </c>
      <c r="U878" s="17">
        <f>IF($T878="",IF(AND(COUNTA($A878:$K878)&gt;0,$L878=""),"Awaiting Collection Email time stamp.",""),IF(OR($T878="PAID",$T878="CLOSED"),IF($T878="PAID","Account paid. Action completed.","Account closed. No further action required."),CHOOSE($W878,"Collection Email","1st Email Follow-up","2nd Email Follow-up","Escalation to Local Office","Escalation to CBE","Escalation to Roxanne")&amp;" sent "&amp;TEXT($X878,"dd-mmm")&amp;". "&amp;IF($W878=6,"Final escalation completed.",IF($T878="OVERDUE","Next: "&amp;$Z878&amp;" was due "&amp;TEXT($Y878,"dd-mmm")&amp;" - "&amp;(NETWORKDAYS($Y878,TODAY(),Holidays)-1)&amp;" business day(s) late. Send now.",IF($T878="DUE TOMORROW","Next: "&amp;$Z878&amp;IF($Y878&lt;=TODAY()," is due TODAY ("," is due next business day (")&amp;TEXT($Y878,"dd-mmm")&amp;").","Next: "&amp;$Z878&amp;" due "&amp;TEXT($Y878,"dd-mmm")&amp;" ("&amp;(NETWORKDAYS(TODAY(),$Y878,Holidays)-1)&amp;" business day(s) left).")))))</f>
        <v/>
      </c>
      <c r="V878" s="17">
        <f>IF($W878="","",CHOOSE($W878,"Collection Email","1st Follow-up","2nd Follow-up","Local Office","CBE","Roxanne")&amp;IF($W878=6," - Final"," - Day "&amp;MAX(0,NETWORKDAYS($X878,TODAY(),Holidays)-1)&amp;" of "&amp;CHOOSE($W878,3,3,2,2,3))&amp;" | Total Day "&amp;MAX(0,NETWORKDAYS($L878,TODAY(),Holidays)-1))</f>
        <v/>
      </c>
      <c r="W878" s="17">
        <f>IF($L878="","",COUNT($L878:$Q878))</f>
        <v/>
      </c>
      <c r="X878" s="18">
        <f>IF($W878="","",INT(INDEX($L878:$Q878,$W878)))</f>
        <v/>
      </c>
      <c r="Y878" s="18">
        <f>IF(OR($W878="",$W878=6),"",WORKDAY($X878,CHOOSE($W878,3,3,2,2,3),Holidays))</f>
        <v/>
      </c>
      <c r="Z878" s="17">
        <f>IF(OR($W878="",$W878=6),"",CHOOSE($W878,"1st Email Follow-up","2nd Email Follow-up","Escalate Local Office","Escalate to CBE","Escalate to Roxanne"))</f>
        <v/>
      </c>
    </row>
    <row r="879" spans="18:26">
      <c r="R879" s="15"/>
      <c r="S879" s="16"/>
      <c r="T879" s="17">
        <f>IF(AND(COUNTA($A879:$K879)=0,$L879=""),"",IF($S879="Paid","PAID",IF($S879="Closed","CLOSED",IF($W879="","",IF($W879=6,"ESCALATED TO ROXANNE",IF(TODAY()&gt;$Y879,"OVERDUE",IF($Y879&lt;=WORKDAY(TODAY(),1,Holidays),"DUE TOMORROW",IF($W879=4,"ESCALATED TO LOCAL OFFICE",IF($W879=5,"ESCALATED TO CBE",IF($X879=TODAY(),"EMAIL SENT","MONITORING"))))))))))</f>
        <v/>
      </c>
      <c r="U879" s="17">
        <f>IF($T879="",IF(AND(COUNTA($A879:$K879)&gt;0,$L879=""),"Awaiting Collection Email time stamp.",""),IF(OR($T879="PAID",$T879="CLOSED"),IF($T879="PAID","Account paid. Action completed.","Account closed. No further action required."),CHOOSE($W879,"Collection Email","1st Email Follow-up","2nd Email Follow-up","Escalation to Local Office","Escalation to CBE","Escalation to Roxanne")&amp;" sent "&amp;TEXT($X879,"dd-mmm")&amp;". "&amp;IF($W879=6,"Final escalation completed.",IF($T879="OVERDUE","Next: "&amp;$Z879&amp;" was due "&amp;TEXT($Y879,"dd-mmm")&amp;" - "&amp;(NETWORKDAYS($Y879,TODAY(),Holidays)-1)&amp;" business day(s) late. Send now.",IF($T879="DUE TOMORROW","Next: "&amp;$Z879&amp;IF($Y879&lt;=TODAY()," is due TODAY ("," is due next business day (")&amp;TEXT($Y879,"dd-mmm")&amp;").","Next: "&amp;$Z879&amp;" due "&amp;TEXT($Y879,"dd-mmm")&amp;" ("&amp;(NETWORKDAYS(TODAY(),$Y879,Holidays)-1)&amp;" business day(s) left).")))))</f>
        <v/>
      </c>
      <c r="V879" s="17">
        <f>IF($W879="","",CHOOSE($W879,"Collection Email","1st Follow-up","2nd Follow-up","Local Office","CBE","Roxanne")&amp;IF($W879=6," - Final"," - Day "&amp;MAX(0,NETWORKDAYS($X879,TODAY(),Holidays)-1)&amp;" of "&amp;CHOOSE($W879,3,3,2,2,3))&amp;" | Total Day "&amp;MAX(0,NETWORKDAYS($L879,TODAY(),Holidays)-1))</f>
        <v/>
      </c>
      <c r="W879" s="17">
        <f>IF($L879="","",COUNT($L879:$Q879))</f>
        <v/>
      </c>
      <c r="X879" s="18">
        <f>IF($W879="","",INT(INDEX($L879:$Q879,$W879)))</f>
        <v/>
      </c>
      <c r="Y879" s="18">
        <f>IF(OR($W879="",$W879=6),"",WORKDAY($X879,CHOOSE($W879,3,3,2,2,3),Holidays))</f>
        <v/>
      </c>
      <c r="Z879" s="17">
        <f>IF(OR($W879="",$W879=6),"",CHOOSE($W879,"1st Email Follow-up","2nd Email Follow-up","Escalate Local Office","Escalate to CBE","Escalate to Roxanne"))</f>
        <v/>
      </c>
    </row>
    <row r="880" spans="18:26">
      <c r="R880" s="15"/>
      <c r="S880" s="16"/>
      <c r="T880" s="17">
        <f>IF(AND(COUNTA($A880:$K880)=0,$L880=""),"",IF($S880="Paid","PAID",IF($S880="Closed","CLOSED",IF($W880="","",IF($W880=6,"ESCALATED TO ROXANNE",IF(TODAY()&gt;$Y880,"OVERDUE",IF($Y880&lt;=WORKDAY(TODAY(),1,Holidays),"DUE TOMORROW",IF($W880=4,"ESCALATED TO LOCAL OFFICE",IF($W880=5,"ESCALATED TO CBE",IF($X880=TODAY(),"EMAIL SENT","MONITORING"))))))))))</f>
        <v/>
      </c>
      <c r="U880" s="17">
        <f>IF($T880="",IF(AND(COUNTA($A880:$K880)&gt;0,$L880=""),"Awaiting Collection Email time stamp.",""),IF(OR($T880="PAID",$T880="CLOSED"),IF($T880="PAID","Account paid. Action completed.","Account closed. No further action required."),CHOOSE($W880,"Collection Email","1st Email Follow-up","2nd Email Follow-up","Escalation to Local Office","Escalation to CBE","Escalation to Roxanne")&amp;" sent "&amp;TEXT($X880,"dd-mmm")&amp;". "&amp;IF($W880=6,"Final escalation completed.",IF($T880="OVERDUE","Next: "&amp;$Z880&amp;" was due "&amp;TEXT($Y880,"dd-mmm")&amp;" - "&amp;(NETWORKDAYS($Y880,TODAY(),Holidays)-1)&amp;" business day(s) late. Send now.",IF($T880="DUE TOMORROW","Next: "&amp;$Z880&amp;IF($Y880&lt;=TODAY()," is due TODAY ("," is due next business day (")&amp;TEXT($Y880,"dd-mmm")&amp;").","Next: "&amp;$Z880&amp;" due "&amp;TEXT($Y880,"dd-mmm")&amp;" ("&amp;(NETWORKDAYS(TODAY(),$Y880,Holidays)-1)&amp;" business day(s) left).")))))</f>
        <v/>
      </c>
      <c r="V880" s="17">
        <f>IF($W880="","",CHOOSE($W880,"Collection Email","1st Follow-up","2nd Follow-up","Local Office","CBE","Roxanne")&amp;IF($W880=6," - Final"," - Day "&amp;MAX(0,NETWORKDAYS($X880,TODAY(),Holidays)-1)&amp;" of "&amp;CHOOSE($W880,3,3,2,2,3))&amp;" | Total Day "&amp;MAX(0,NETWORKDAYS($L880,TODAY(),Holidays)-1))</f>
        <v/>
      </c>
      <c r="W880" s="17">
        <f>IF($L880="","",COUNT($L880:$Q880))</f>
        <v/>
      </c>
      <c r="X880" s="18">
        <f>IF($W880="","",INT(INDEX($L880:$Q880,$W880)))</f>
        <v/>
      </c>
      <c r="Y880" s="18">
        <f>IF(OR($W880="",$W880=6),"",WORKDAY($X880,CHOOSE($W880,3,3,2,2,3),Holidays))</f>
        <v/>
      </c>
      <c r="Z880" s="17">
        <f>IF(OR($W880="",$W880=6),"",CHOOSE($W880,"1st Email Follow-up","2nd Email Follow-up","Escalate Local Office","Escalate to CBE","Escalate to Roxanne"))</f>
        <v/>
      </c>
    </row>
    <row r="881" spans="18:26">
      <c r="R881" s="15"/>
      <c r="S881" s="16"/>
      <c r="T881" s="17">
        <f>IF(AND(COUNTA($A881:$K881)=0,$L881=""),"",IF($S881="Paid","PAID",IF($S881="Closed","CLOSED",IF($W881="","",IF($W881=6,"ESCALATED TO ROXANNE",IF(TODAY()&gt;$Y881,"OVERDUE",IF($Y881&lt;=WORKDAY(TODAY(),1,Holidays),"DUE TOMORROW",IF($W881=4,"ESCALATED TO LOCAL OFFICE",IF($W881=5,"ESCALATED TO CBE",IF($X881=TODAY(),"EMAIL SENT","MONITORING"))))))))))</f>
        <v/>
      </c>
      <c r="U881" s="17">
        <f>IF($T881="",IF(AND(COUNTA($A881:$K881)&gt;0,$L881=""),"Awaiting Collection Email time stamp.",""),IF(OR($T881="PAID",$T881="CLOSED"),IF($T881="PAID","Account paid. Action completed.","Account closed. No further action required."),CHOOSE($W881,"Collection Email","1st Email Follow-up","2nd Email Follow-up","Escalation to Local Office","Escalation to CBE","Escalation to Roxanne")&amp;" sent "&amp;TEXT($X881,"dd-mmm")&amp;". "&amp;IF($W881=6,"Final escalation completed.",IF($T881="OVERDUE","Next: "&amp;$Z881&amp;" was due "&amp;TEXT($Y881,"dd-mmm")&amp;" - "&amp;(NETWORKDAYS($Y881,TODAY(),Holidays)-1)&amp;" business day(s) late. Send now.",IF($T881="DUE TOMORROW","Next: "&amp;$Z881&amp;IF($Y881&lt;=TODAY()," is due TODAY ("," is due next business day (")&amp;TEXT($Y881,"dd-mmm")&amp;").","Next: "&amp;$Z881&amp;" due "&amp;TEXT($Y881,"dd-mmm")&amp;" ("&amp;(NETWORKDAYS(TODAY(),$Y881,Holidays)-1)&amp;" business day(s) left).")))))</f>
        <v/>
      </c>
      <c r="V881" s="17">
        <f>IF($W881="","",CHOOSE($W881,"Collection Email","1st Follow-up","2nd Follow-up","Local Office","CBE","Roxanne")&amp;IF($W881=6," - Final"," - Day "&amp;MAX(0,NETWORKDAYS($X881,TODAY(),Holidays)-1)&amp;" of "&amp;CHOOSE($W881,3,3,2,2,3))&amp;" | Total Day "&amp;MAX(0,NETWORKDAYS($L881,TODAY(),Holidays)-1))</f>
        <v/>
      </c>
      <c r="W881" s="17">
        <f>IF($L881="","",COUNT($L881:$Q881))</f>
        <v/>
      </c>
      <c r="X881" s="18">
        <f>IF($W881="","",INT(INDEX($L881:$Q881,$W881)))</f>
        <v/>
      </c>
      <c r="Y881" s="18">
        <f>IF(OR($W881="",$W881=6),"",WORKDAY($X881,CHOOSE($W881,3,3,2,2,3),Holidays))</f>
        <v/>
      </c>
      <c r="Z881" s="17">
        <f>IF(OR($W881="",$W881=6),"",CHOOSE($W881,"1st Email Follow-up","2nd Email Follow-up","Escalate Local Office","Escalate to CBE","Escalate to Roxanne"))</f>
        <v/>
      </c>
    </row>
    <row r="882" spans="18:26">
      <c r="R882" s="15"/>
      <c r="S882" s="16"/>
      <c r="T882" s="17">
        <f>IF(AND(COUNTA($A882:$K882)=0,$L882=""),"",IF($S882="Paid","PAID",IF($S882="Closed","CLOSED",IF($W882="","",IF($W882=6,"ESCALATED TO ROXANNE",IF(TODAY()&gt;$Y882,"OVERDUE",IF($Y882&lt;=WORKDAY(TODAY(),1,Holidays),"DUE TOMORROW",IF($W882=4,"ESCALATED TO LOCAL OFFICE",IF($W882=5,"ESCALATED TO CBE",IF($X882=TODAY(),"EMAIL SENT","MONITORING"))))))))))</f>
        <v/>
      </c>
      <c r="U882" s="17">
        <f>IF($T882="",IF(AND(COUNTA($A882:$K882)&gt;0,$L882=""),"Awaiting Collection Email time stamp.",""),IF(OR($T882="PAID",$T882="CLOSED"),IF($T882="PAID","Account paid. Action completed.","Account closed. No further action required."),CHOOSE($W882,"Collection Email","1st Email Follow-up","2nd Email Follow-up","Escalation to Local Office","Escalation to CBE","Escalation to Roxanne")&amp;" sent "&amp;TEXT($X882,"dd-mmm")&amp;". "&amp;IF($W882=6,"Final escalation completed.",IF($T882="OVERDUE","Next: "&amp;$Z882&amp;" was due "&amp;TEXT($Y882,"dd-mmm")&amp;" - "&amp;(NETWORKDAYS($Y882,TODAY(),Holidays)-1)&amp;" business day(s) late. Send now.",IF($T882="DUE TOMORROW","Next: "&amp;$Z882&amp;IF($Y882&lt;=TODAY()," is due TODAY ("," is due next business day (")&amp;TEXT($Y882,"dd-mmm")&amp;").","Next: "&amp;$Z882&amp;" due "&amp;TEXT($Y882,"dd-mmm")&amp;" ("&amp;(NETWORKDAYS(TODAY(),$Y882,Holidays)-1)&amp;" business day(s) left).")))))</f>
        <v/>
      </c>
      <c r="V882" s="17">
        <f>IF($W882="","",CHOOSE($W882,"Collection Email","1st Follow-up","2nd Follow-up","Local Office","CBE","Roxanne")&amp;IF($W882=6," - Final"," - Day "&amp;MAX(0,NETWORKDAYS($X882,TODAY(),Holidays)-1)&amp;" of "&amp;CHOOSE($W882,3,3,2,2,3))&amp;" | Total Day "&amp;MAX(0,NETWORKDAYS($L882,TODAY(),Holidays)-1))</f>
        <v/>
      </c>
      <c r="W882" s="17">
        <f>IF($L882="","",COUNT($L882:$Q882))</f>
        <v/>
      </c>
      <c r="X882" s="18">
        <f>IF($W882="","",INT(INDEX($L882:$Q882,$W882)))</f>
        <v/>
      </c>
      <c r="Y882" s="18">
        <f>IF(OR($W882="",$W882=6),"",WORKDAY($X882,CHOOSE($W882,3,3,2,2,3),Holidays))</f>
        <v/>
      </c>
      <c r="Z882" s="17">
        <f>IF(OR($W882="",$W882=6),"",CHOOSE($W882,"1st Email Follow-up","2nd Email Follow-up","Escalate Local Office","Escalate to CBE","Escalate to Roxanne"))</f>
        <v/>
      </c>
    </row>
    <row r="883" spans="18:26">
      <c r="R883" s="15"/>
      <c r="S883" s="16"/>
      <c r="T883" s="17">
        <f>IF(AND(COUNTA($A883:$K883)=0,$L883=""),"",IF($S883="Paid","PAID",IF($S883="Closed","CLOSED",IF($W883="","",IF($W883=6,"ESCALATED TO ROXANNE",IF(TODAY()&gt;$Y883,"OVERDUE",IF($Y883&lt;=WORKDAY(TODAY(),1,Holidays),"DUE TOMORROW",IF($W883=4,"ESCALATED TO LOCAL OFFICE",IF($W883=5,"ESCALATED TO CBE",IF($X883=TODAY(),"EMAIL SENT","MONITORING"))))))))))</f>
        <v/>
      </c>
      <c r="U883" s="17">
        <f>IF($T883="",IF(AND(COUNTA($A883:$K883)&gt;0,$L883=""),"Awaiting Collection Email time stamp.",""),IF(OR($T883="PAID",$T883="CLOSED"),IF($T883="PAID","Account paid. Action completed.","Account closed. No further action required."),CHOOSE($W883,"Collection Email","1st Email Follow-up","2nd Email Follow-up","Escalation to Local Office","Escalation to CBE","Escalation to Roxanne")&amp;" sent "&amp;TEXT($X883,"dd-mmm")&amp;". "&amp;IF($W883=6,"Final escalation completed.",IF($T883="OVERDUE","Next: "&amp;$Z883&amp;" was due "&amp;TEXT($Y883,"dd-mmm")&amp;" - "&amp;(NETWORKDAYS($Y883,TODAY(),Holidays)-1)&amp;" business day(s) late. Send now.",IF($T883="DUE TOMORROW","Next: "&amp;$Z883&amp;IF($Y883&lt;=TODAY()," is due TODAY ("," is due next business day (")&amp;TEXT($Y883,"dd-mmm")&amp;").","Next: "&amp;$Z883&amp;" due "&amp;TEXT($Y883,"dd-mmm")&amp;" ("&amp;(NETWORKDAYS(TODAY(),$Y883,Holidays)-1)&amp;" business day(s) left).")))))</f>
        <v/>
      </c>
      <c r="V883" s="17">
        <f>IF($W883="","",CHOOSE($W883,"Collection Email","1st Follow-up","2nd Follow-up","Local Office","CBE","Roxanne")&amp;IF($W883=6," - Final"," - Day "&amp;MAX(0,NETWORKDAYS($X883,TODAY(),Holidays)-1)&amp;" of "&amp;CHOOSE($W883,3,3,2,2,3))&amp;" | Total Day "&amp;MAX(0,NETWORKDAYS($L883,TODAY(),Holidays)-1))</f>
        <v/>
      </c>
      <c r="W883" s="17">
        <f>IF($L883="","",COUNT($L883:$Q883))</f>
        <v/>
      </c>
      <c r="X883" s="18">
        <f>IF($W883="","",INT(INDEX($L883:$Q883,$W883)))</f>
        <v/>
      </c>
      <c r="Y883" s="18">
        <f>IF(OR($W883="",$W883=6),"",WORKDAY($X883,CHOOSE($W883,3,3,2,2,3),Holidays))</f>
        <v/>
      </c>
      <c r="Z883" s="17">
        <f>IF(OR($W883="",$W883=6),"",CHOOSE($W883,"1st Email Follow-up","2nd Email Follow-up","Escalate Local Office","Escalate to CBE","Escalate to Roxanne"))</f>
        <v/>
      </c>
    </row>
    <row r="884" spans="18:26">
      <c r="R884" s="15"/>
      <c r="S884" s="16"/>
      <c r="T884" s="17">
        <f>IF(AND(COUNTA($A884:$K884)=0,$L884=""),"",IF($S884="Paid","PAID",IF($S884="Closed","CLOSED",IF($W884="","",IF($W884=6,"ESCALATED TO ROXANNE",IF(TODAY()&gt;$Y884,"OVERDUE",IF($Y884&lt;=WORKDAY(TODAY(),1,Holidays),"DUE TOMORROW",IF($W884=4,"ESCALATED TO LOCAL OFFICE",IF($W884=5,"ESCALATED TO CBE",IF($X884=TODAY(),"EMAIL SENT","MONITORING"))))))))))</f>
        <v/>
      </c>
      <c r="U884" s="17">
        <f>IF($T884="",IF(AND(COUNTA($A884:$K884)&gt;0,$L884=""),"Awaiting Collection Email time stamp.",""),IF(OR($T884="PAID",$T884="CLOSED"),IF($T884="PAID","Account paid. Action completed.","Account closed. No further action required."),CHOOSE($W884,"Collection Email","1st Email Follow-up","2nd Email Follow-up","Escalation to Local Office","Escalation to CBE","Escalation to Roxanne")&amp;" sent "&amp;TEXT($X884,"dd-mmm")&amp;". "&amp;IF($W884=6,"Final escalation completed.",IF($T884="OVERDUE","Next: "&amp;$Z884&amp;" was due "&amp;TEXT($Y884,"dd-mmm")&amp;" - "&amp;(NETWORKDAYS($Y884,TODAY(),Holidays)-1)&amp;" business day(s) late. Send now.",IF($T884="DUE TOMORROW","Next: "&amp;$Z884&amp;IF($Y884&lt;=TODAY()," is due TODAY ("," is due next business day (")&amp;TEXT($Y884,"dd-mmm")&amp;").","Next: "&amp;$Z884&amp;" due "&amp;TEXT($Y884,"dd-mmm")&amp;" ("&amp;(NETWORKDAYS(TODAY(),$Y884,Holidays)-1)&amp;" business day(s) left).")))))</f>
        <v/>
      </c>
      <c r="V884" s="17">
        <f>IF($W884="","",CHOOSE($W884,"Collection Email","1st Follow-up","2nd Follow-up","Local Office","CBE","Roxanne")&amp;IF($W884=6," - Final"," - Day "&amp;MAX(0,NETWORKDAYS($X884,TODAY(),Holidays)-1)&amp;" of "&amp;CHOOSE($W884,3,3,2,2,3))&amp;" | Total Day "&amp;MAX(0,NETWORKDAYS($L884,TODAY(),Holidays)-1))</f>
        <v/>
      </c>
      <c r="W884" s="17">
        <f>IF($L884="","",COUNT($L884:$Q884))</f>
        <v/>
      </c>
      <c r="X884" s="18">
        <f>IF($W884="","",INT(INDEX($L884:$Q884,$W884)))</f>
        <v/>
      </c>
      <c r="Y884" s="18">
        <f>IF(OR($W884="",$W884=6),"",WORKDAY($X884,CHOOSE($W884,3,3,2,2,3),Holidays))</f>
        <v/>
      </c>
      <c r="Z884" s="17">
        <f>IF(OR($W884="",$W884=6),"",CHOOSE($W884,"1st Email Follow-up","2nd Email Follow-up","Escalate Local Office","Escalate to CBE","Escalate to Roxanne"))</f>
        <v/>
      </c>
    </row>
    <row r="885" spans="18:26">
      <c r="R885" s="15"/>
      <c r="S885" s="16"/>
      <c r="T885" s="17">
        <f>IF(AND(COUNTA($A885:$K885)=0,$L885=""),"",IF($S885="Paid","PAID",IF($S885="Closed","CLOSED",IF($W885="","",IF($W885=6,"ESCALATED TO ROXANNE",IF(TODAY()&gt;$Y885,"OVERDUE",IF($Y885&lt;=WORKDAY(TODAY(),1,Holidays),"DUE TOMORROW",IF($W885=4,"ESCALATED TO LOCAL OFFICE",IF($W885=5,"ESCALATED TO CBE",IF($X885=TODAY(),"EMAIL SENT","MONITORING"))))))))))</f>
        <v/>
      </c>
      <c r="U885" s="17">
        <f>IF($T885="",IF(AND(COUNTA($A885:$K885)&gt;0,$L885=""),"Awaiting Collection Email time stamp.",""),IF(OR($T885="PAID",$T885="CLOSED"),IF($T885="PAID","Account paid. Action completed.","Account closed. No further action required."),CHOOSE($W885,"Collection Email","1st Email Follow-up","2nd Email Follow-up","Escalation to Local Office","Escalation to CBE","Escalation to Roxanne")&amp;" sent "&amp;TEXT($X885,"dd-mmm")&amp;". "&amp;IF($W885=6,"Final escalation completed.",IF($T885="OVERDUE","Next: "&amp;$Z885&amp;" was due "&amp;TEXT($Y885,"dd-mmm")&amp;" - "&amp;(NETWORKDAYS($Y885,TODAY(),Holidays)-1)&amp;" business day(s) late. Send now.",IF($T885="DUE TOMORROW","Next: "&amp;$Z885&amp;IF($Y885&lt;=TODAY()," is due TODAY ("," is due next business day (")&amp;TEXT($Y885,"dd-mmm")&amp;").","Next: "&amp;$Z885&amp;" due "&amp;TEXT($Y885,"dd-mmm")&amp;" ("&amp;(NETWORKDAYS(TODAY(),$Y885,Holidays)-1)&amp;" business day(s) left).")))))</f>
        <v/>
      </c>
      <c r="V885" s="17">
        <f>IF($W885="","",CHOOSE($W885,"Collection Email","1st Follow-up","2nd Follow-up","Local Office","CBE","Roxanne")&amp;IF($W885=6," - Final"," - Day "&amp;MAX(0,NETWORKDAYS($X885,TODAY(),Holidays)-1)&amp;" of "&amp;CHOOSE($W885,3,3,2,2,3))&amp;" | Total Day "&amp;MAX(0,NETWORKDAYS($L885,TODAY(),Holidays)-1))</f>
        <v/>
      </c>
      <c r="W885" s="17">
        <f>IF($L885="","",COUNT($L885:$Q885))</f>
        <v/>
      </c>
      <c r="X885" s="18">
        <f>IF($W885="","",INT(INDEX($L885:$Q885,$W885)))</f>
        <v/>
      </c>
      <c r="Y885" s="18">
        <f>IF(OR($W885="",$W885=6),"",WORKDAY($X885,CHOOSE($W885,3,3,2,2,3),Holidays))</f>
        <v/>
      </c>
      <c r="Z885" s="17">
        <f>IF(OR($W885="",$W885=6),"",CHOOSE($W885,"1st Email Follow-up","2nd Email Follow-up","Escalate Local Office","Escalate to CBE","Escalate to Roxanne"))</f>
        <v/>
      </c>
    </row>
    <row r="886" spans="18:26">
      <c r="R886" s="15"/>
      <c r="S886" s="16"/>
      <c r="T886" s="17">
        <f>IF(AND(COUNTA($A886:$K886)=0,$L886=""),"",IF($S886="Paid","PAID",IF($S886="Closed","CLOSED",IF($W886="","",IF($W886=6,"ESCALATED TO ROXANNE",IF(TODAY()&gt;$Y886,"OVERDUE",IF($Y886&lt;=WORKDAY(TODAY(),1,Holidays),"DUE TOMORROW",IF($W886=4,"ESCALATED TO LOCAL OFFICE",IF($W886=5,"ESCALATED TO CBE",IF($X886=TODAY(),"EMAIL SENT","MONITORING"))))))))))</f>
        <v/>
      </c>
      <c r="U886" s="17">
        <f>IF($T886="",IF(AND(COUNTA($A886:$K886)&gt;0,$L886=""),"Awaiting Collection Email time stamp.",""),IF(OR($T886="PAID",$T886="CLOSED"),IF($T886="PAID","Account paid. Action completed.","Account closed. No further action required."),CHOOSE($W886,"Collection Email","1st Email Follow-up","2nd Email Follow-up","Escalation to Local Office","Escalation to CBE","Escalation to Roxanne")&amp;" sent "&amp;TEXT($X886,"dd-mmm")&amp;". "&amp;IF($W886=6,"Final escalation completed.",IF($T886="OVERDUE","Next: "&amp;$Z886&amp;" was due "&amp;TEXT($Y886,"dd-mmm")&amp;" - "&amp;(NETWORKDAYS($Y886,TODAY(),Holidays)-1)&amp;" business day(s) late. Send now.",IF($T886="DUE TOMORROW","Next: "&amp;$Z886&amp;IF($Y886&lt;=TODAY()," is due TODAY ("," is due next business day (")&amp;TEXT($Y886,"dd-mmm")&amp;").","Next: "&amp;$Z886&amp;" due "&amp;TEXT($Y886,"dd-mmm")&amp;" ("&amp;(NETWORKDAYS(TODAY(),$Y886,Holidays)-1)&amp;" business day(s) left).")))))</f>
        <v/>
      </c>
      <c r="V886" s="17">
        <f>IF($W886="","",CHOOSE($W886,"Collection Email","1st Follow-up","2nd Follow-up","Local Office","CBE","Roxanne")&amp;IF($W886=6," - Final"," - Day "&amp;MAX(0,NETWORKDAYS($X886,TODAY(),Holidays)-1)&amp;" of "&amp;CHOOSE($W886,3,3,2,2,3))&amp;" | Total Day "&amp;MAX(0,NETWORKDAYS($L886,TODAY(),Holidays)-1))</f>
        <v/>
      </c>
      <c r="W886" s="17">
        <f>IF($L886="","",COUNT($L886:$Q886))</f>
        <v/>
      </c>
      <c r="X886" s="18">
        <f>IF($W886="","",INT(INDEX($L886:$Q886,$W886)))</f>
        <v/>
      </c>
      <c r="Y886" s="18">
        <f>IF(OR($W886="",$W886=6),"",WORKDAY($X886,CHOOSE($W886,3,3,2,2,3),Holidays))</f>
        <v/>
      </c>
      <c r="Z886" s="17">
        <f>IF(OR($W886="",$W886=6),"",CHOOSE($W886,"1st Email Follow-up","2nd Email Follow-up","Escalate Local Office","Escalate to CBE","Escalate to Roxanne"))</f>
        <v/>
      </c>
    </row>
    <row r="887" spans="18:26">
      <c r="R887" s="15"/>
      <c r="S887" s="16"/>
      <c r="T887" s="17">
        <f>IF(AND(COUNTA($A887:$K887)=0,$L887=""),"",IF($S887="Paid","PAID",IF($S887="Closed","CLOSED",IF($W887="","",IF($W887=6,"ESCALATED TO ROXANNE",IF(TODAY()&gt;$Y887,"OVERDUE",IF($Y887&lt;=WORKDAY(TODAY(),1,Holidays),"DUE TOMORROW",IF($W887=4,"ESCALATED TO LOCAL OFFICE",IF($W887=5,"ESCALATED TO CBE",IF($X887=TODAY(),"EMAIL SENT","MONITORING"))))))))))</f>
        <v/>
      </c>
      <c r="U887" s="17">
        <f>IF($T887="",IF(AND(COUNTA($A887:$K887)&gt;0,$L887=""),"Awaiting Collection Email time stamp.",""),IF(OR($T887="PAID",$T887="CLOSED"),IF($T887="PAID","Account paid. Action completed.","Account closed. No further action required."),CHOOSE($W887,"Collection Email","1st Email Follow-up","2nd Email Follow-up","Escalation to Local Office","Escalation to CBE","Escalation to Roxanne")&amp;" sent "&amp;TEXT($X887,"dd-mmm")&amp;". "&amp;IF($W887=6,"Final escalation completed.",IF($T887="OVERDUE","Next: "&amp;$Z887&amp;" was due "&amp;TEXT($Y887,"dd-mmm")&amp;" - "&amp;(NETWORKDAYS($Y887,TODAY(),Holidays)-1)&amp;" business day(s) late. Send now.",IF($T887="DUE TOMORROW","Next: "&amp;$Z887&amp;IF($Y887&lt;=TODAY()," is due TODAY ("," is due next business day (")&amp;TEXT($Y887,"dd-mmm")&amp;").","Next: "&amp;$Z887&amp;" due "&amp;TEXT($Y887,"dd-mmm")&amp;" ("&amp;(NETWORKDAYS(TODAY(),$Y887,Holidays)-1)&amp;" business day(s) left).")))))</f>
        <v/>
      </c>
      <c r="V887" s="17">
        <f>IF($W887="","",CHOOSE($W887,"Collection Email","1st Follow-up","2nd Follow-up","Local Office","CBE","Roxanne")&amp;IF($W887=6," - Final"," - Day "&amp;MAX(0,NETWORKDAYS($X887,TODAY(),Holidays)-1)&amp;" of "&amp;CHOOSE($W887,3,3,2,2,3))&amp;" | Total Day "&amp;MAX(0,NETWORKDAYS($L887,TODAY(),Holidays)-1))</f>
        <v/>
      </c>
      <c r="W887" s="17">
        <f>IF($L887="","",COUNT($L887:$Q887))</f>
        <v/>
      </c>
      <c r="X887" s="18">
        <f>IF($W887="","",INT(INDEX($L887:$Q887,$W887)))</f>
        <v/>
      </c>
      <c r="Y887" s="18">
        <f>IF(OR($W887="",$W887=6),"",WORKDAY($X887,CHOOSE($W887,3,3,2,2,3),Holidays))</f>
        <v/>
      </c>
      <c r="Z887" s="17">
        <f>IF(OR($W887="",$W887=6),"",CHOOSE($W887,"1st Email Follow-up","2nd Email Follow-up","Escalate Local Office","Escalate to CBE","Escalate to Roxanne"))</f>
        <v/>
      </c>
    </row>
    <row r="888" spans="18:26">
      <c r="R888" s="15"/>
      <c r="S888" s="16"/>
      <c r="T888" s="17">
        <f>IF(AND(COUNTA($A888:$K888)=0,$L888=""),"",IF($S888="Paid","PAID",IF($S888="Closed","CLOSED",IF($W888="","",IF($W888=6,"ESCALATED TO ROXANNE",IF(TODAY()&gt;$Y888,"OVERDUE",IF($Y888&lt;=WORKDAY(TODAY(),1,Holidays),"DUE TOMORROW",IF($W888=4,"ESCALATED TO LOCAL OFFICE",IF($W888=5,"ESCALATED TO CBE",IF($X888=TODAY(),"EMAIL SENT","MONITORING"))))))))))</f>
        <v/>
      </c>
      <c r="U888" s="17">
        <f>IF($T888="",IF(AND(COUNTA($A888:$K888)&gt;0,$L888=""),"Awaiting Collection Email time stamp.",""),IF(OR($T888="PAID",$T888="CLOSED"),IF($T888="PAID","Account paid. Action completed.","Account closed. No further action required."),CHOOSE($W888,"Collection Email","1st Email Follow-up","2nd Email Follow-up","Escalation to Local Office","Escalation to CBE","Escalation to Roxanne")&amp;" sent "&amp;TEXT($X888,"dd-mmm")&amp;". "&amp;IF($W888=6,"Final escalation completed.",IF($T888="OVERDUE","Next: "&amp;$Z888&amp;" was due "&amp;TEXT($Y888,"dd-mmm")&amp;" - "&amp;(NETWORKDAYS($Y888,TODAY(),Holidays)-1)&amp;" business day(s) late. Send now.",IF($T888="DUE TOMORROW","Next: "&amp;$Z888&amp;IF($Y888&lt;=TODAY()," is due TODAY ("," is due next business day (")&amp;TEXT($Y888,"dd-mmm")&amp;").","Next: "&amp;$Z888&amp;" due "&amp;TEXT($Y888,"dd-mmm")&amp;" ("&amp;(NETWORKDAYS(TODAY(),$Y888,Holidays)-1)&amp;" business day(s) left).")))))</f>
        <v/>
      </c>
      <c r="V888" s="17">
        <f>IF($W888="","",CHOOSE($W888,"Collection Email","1st Follow-up","2nd Follow-up","Local Office","CBE","Roxanne")&amp;IF($W888=6," - Final"," - Day "&amp;MAX(0,NETWORKDAYS($X888,TODAY(),Holidays)-1)&amp;" of "&amp;CHOOSE($W888,3,3,2,2,3))&amp;" | Total Day "&amp;MAX(0,NETWORKDAYS($L888,TODAY(),Holidays)-1))</f>
        <v/>
      </c>
      <c r="W888" s="17">
        <f>IF($L888="","",COUNT($L888:$Q888))</f>
        <v/>
      </c>
      <c r="X888" s="18">
        <f>IF($W888="","",INT(INDEX($L888:$Q888,$W888)))</f>
        <v/>
      </c>
      <c r="Y888" s="18">
        <f>IF(OR($W888="",$W888=6),"",WORKDAY($X888,CHOOSE($W888,3,3,2,2,3),Holidays))</f>
        <v/>
      </c>
      <c r="Z888" s="17">
        <f>IF(OR($W888="",$W888=6),"",CHOOSE($W888,"1st Email Follow-up","2nd Email Follow-up","Escalate Local Office","Escalate to CBE","Escalate to Roxanne"))</f>
        <v/>
      </c>
    </row>
    <row r="889" spans="18:26">
      <c r="R889" s="15"/>
      <c r="S889" s="16"/>
      <c r="T889" s="17">
        <f>IF(AND(COUNTA($A889:$K889)=0,$L889=""),"",IF($S889="Paid","PAID",IF($S889="Closed","CLOSED",IF($W889="","",IF($W889=6,"ESCALATED TO ROXANNE",IF(TODAY()&gt;$Y889,"OVERDUE",IF($Y889&lt;=WORKDAY(TODAY(),1,Holidays),"DUE TOMORROW",IF($W889=4,"ESCALATED TO LOCAL OFFICE",IF($W889=5,"ESCALATED TO CBE",IF($X889=TODAY(),"EMAIL SENT","MONITORING"))))))))))</f>
        <v/>
      </c>
      <c r="U889" s="17">
        <f>IF($T889="",IF(AND(COUNTA($A889:$K889)&gt;0,$L889=""),"Awaiting Collection Email time stamp.",""),IF(OR($T889="PAID",$T889="CLOSED"),IF($T889="PAID","Account paid. Action completed.","Account closed. No further action required."),CHOOSE($W889,"Collection Email","1st Email Follow-up","2nd Email Follow-up","Escalation to Local Office","Escalation to CBE","Escalation to Roxanne")&amp;" sent "&amp;TEXT($X889,"dd-mmm")&amp;". "&amp;IF($W889=6,"Final escalation completed.",IF($T889="OVERDUE","Next: "&amp;$Z889&amp;" was due "&amp;TEXT($Y889,"dd-mmm")&amp;" - "&amp;(NETWORKDAYS($Y889,TODAY(),Holidays)-1)&amp;" business day(s) late. Send now.",IF($T889="DUE TOMORROW","Next: "&amp;$Z889&amp;IF($Y889&lt;=TODAY()," is due TODAY ("," is due next business day (")&amp;TEXT($Y889,"dd-mmm")&amp;").","Next: "&amp;$Z889&amp;" due "&amp;TEXT($Y889,"dd-mmm")&amp;" ("&amp;(NETWORKDAYS(TODAY(),$Y889,Holidays)-1)&amp;" business day(s) left).")))))</f>
        <v/>
      </c>
      <c r="V889" s="17">
        <f>IF($W889="","",CHOOSE($W889,"Collection Email","1st Follow-up","2nd Follow-up","Local Office","CBE","Roxanne")&amp;IF($W889=6," - Final"," - Day "&amp;MAX(0,NETWORKDAYS($X889,TODAY(),Holidays)-1)&amp;" of "&amp;CHOOSE($W889,3,3,2,2,3))&amp;" | Total Day "&amp;MAX(0,NETWORKDAYS($L889,TODAY(),Holidays)-1))</f>
        <v/>
      </c>
      <c r="W889" s="17">
        <f>IF($L889="","",COUNT($L889:$Q889))</f>
        <v/>
      </c>
      <c r="X889" s="18">
        <f>IF($W889="","",INT(INDEX($L889:$Q889,$W889)))</f>
        <v/>
      </c>
      <c r="Y889" s="18">
        <f>IF(OR($W889="",$W889=6),"",WORKDAY($X889,CHOOSE($W889,3,3,2,2,3),Holidays))</f>
        <v/>
      </c>
      <c r="Z889" s="17">
        <f>IF(OR($W889="",$W889=6),"",CHOOSE($W889,"1st Email Follow-up","2nd Email Follow-up","Escalate Local Office","Escalate to CBE","Escalate to Roxanne"))</f>
        <v/>
      </c>
    </row>
    <row r="890" spans="18:26">
      <c r="R890" s="15"/>
      <c r="S890" s="16"/>
      <c r="T890" s="17">
        <f>IF(AND(COUNTA($A890:$K890)=0,$L890=""),"",IF($S890="Paid","PAID",IF($S890="Closed","CLOSED",IF($W890="","",IF($W890=6,"ESCALATED TO ROXANNE",IF(TODAY()&gt;$Y890,"OVERDUE",IF($Y890&lt;=WORKDAY(TODAY(),1,Holidays),"DUE TOMORROW",IF($W890=4,"ESCALATED TO LOCAL OFFICE",IF($W890=5,"ESCALATED TO CBE",IF($X890=TODAY(),"EMAIL SENT","MONITORING"))))))))))</f>
        <v/>
      </c>
      <c r="U890" s="17">
        <f>IF($T890="",IF(AND(COUNTA($A890:$K890)&gt;0,$L890=""),"Awaiting Collection Email time stamp.",""),IF(OR($T890="PAID",$T890="CLOSED"),IF($T890="PAID","Account paid. Action completed.","Account closed. No further action required."),CHOOSE($W890,"Collection Email","1st Email Follow-up","2nd Email Follow-up","Escalation to Local Office","Escalation to CBE","Escalation to Roxanne")&amp;" sent "&amp;TEXT($X890,"dd-mmm")&amp;". "&amp;IF($W890=6,"Final escalation completed.",IF($T890="OVERDUE","Next: "&amp;$Z890&amp;" was due "&amp;TEXT($Y890,"dd-mmm")&amp;" - "&amp;(NETWORKDAYS($Y890,TODAY(),Holidays)-1)&amp;" business day(s) late. Send now.",IF($T890="DUE TOMORROW","Next: "&amp;$Z890&amp;IF($Y890&lt;=TODAY()," is due TODAY ("," is due next business day (")&amp;TEXT($Y890,"dd-mmm")&amp;").","Next: "&amp;$Z890&amp;" due "&amp;TEXT($Y890,"dd-mmm")&amp;" ("&amp;(NETWORKDAYS(TODAY(),$Y890,Holidays)-1)&amp;" business day(s) left).")))))</f>
        <v/>
      </c>
      <c r="V890" s="17">
        <f>IF($W890="","",CHOOSE($W890,"Collection Email","1st Follow-up","2nd Follow-up","Local Office","CBE","Roxanne")&amp;IF($W890=6," - Final"," - Day "&amp;MAX(0,NETWORKDAYS($X890,TODAY(),Holidays)-1)&amp;" of "&amp;CHOOSE($W890,3,3,2,2,3))&amp;" | Total Day "&amp;MAX(0,NETWORKDAYS($L890,TODAY(),Holidays)-1))</f>
        <v/>
      </c>
      <c r="W890" s="17">
        <f>IF($L890="","",COUNT($L890:$Q890))</f>
        <v/>
      </c>
      <c r="X890" s="18">
        <f>IF($W890="","",INT(INDEX($L890:$Q890,$W890)))</f>
        <v/>
      </c>
      <c r="Y890" s="18">
        <f>IF(OR($W890="",$W890=6),"",WORKDAY($X890,CHOOSE($W890,3,3,2,2,3),Holidays))</f>
        <v/>
      </c>
      <c r="Z890" s="17">
        <f>IF(OR($W890="",$W890=6),"",CHOOSE($W890,"1st Email Follow-up","2nd Email Follow-up","Escalate Local Office","Escalate to CBE","Escalate to Roxanne"))</f>
        <v/>
      </c>
    </row>
    <row r="891" spans="18:26">
      <c r="R891" s="15"/>
      <c r="S891" s="16"/>
      <c r="T891" s="17">
        <f>IF(AND(COUNTA($A891:$K891)=0,$L891=""),"",IF($S891="Paid","PAID",IF($S891="Closed","CLOSED",IF($W891="","",IF($W891=6,"ESCALATED TO ROXANNE",IF(TODAY()&gt;$Y891,"OVERDUE",IF($Y891&lt;=WORKDAY(TODAY(),1,Holidays),"DUE TOMORROW",IF($W891=4,"ESCALATED TO LOCAL OFFICE",IF($W891=5,"ESCALATED TO CBE",IF($X891=TODAY(),"EMAIL SENT","MONITORING"))))))))))</f>
        <v/>
      </c>
      <c r="U891" s="17">
        <f>IF($T891="",IF(AND(COUNTA($A891:$K891)&gt;0,$L891=""),"Awaiting Collection Email time stamp.",""),IF(OR($T891="PAID",$T891="CLOSED"),IF($T891="PAID","Account paid. Action completed.","Account closed. No further action required."),CHOOSE($W891,"Collection Email","1st Email Follow-up","2nd Email Follow-up","Escalation to Local Office","Escalation to CBE","Escalation to Roxanne")&amp;" sent "&amp;TEXT($X891,"dd-mmm")&amp;". "&amp;IF($W891=6,"Final escalation completed.",IF($T891="OVERDUE","Next: "&amp;$Z891&amp;" was due "&amp;TEXT($Y891,"dd-mmm")&amp;" - "&amp;(NETWORKDAYS($Y891,TODAY(),Holidays)-1)&amp;" business day(s) late. Send now.",IF($T891="DUE TOMORROW","Next: "&amp;$Z891&amp;IF($Y891&lt;=TODAY()," is due TODAY ("," is due next business day (")&amp;TEXT($Y891,"dd-mmm")&amp;").","Next: "&amp;$Z891&amp;" due "&amp;TEXT($Y891,"dd-mmm")&amp;" ("&amp;(NETWORKDAYS(TODAY(),$Y891,Holidays)-1)&amp;" business day(s) left).")))))</f>
        <v/>
      </c>
      <c r="V891" s="17">
        <f>IF($W891="","",CHOOSE($W891,"Collection Email","1st Follow-up","2nd Follow-up","Local Office","CBE","Roxanne")&amp;IF($W891=6," - Final"," - Day "&amp;MAX(0,NETWORKDAYS($X891,TODAY(),Holidays)-1)&amp;" of "&amp;CHOOSE($W891,3,3,2,2,3))&amp;" | Total Day "&amp;MAX(0,NETWORKDAYS($L891,TODAY(),Holidays)-1))</f>
        <v/>
      </c>
      <c r="W891" s="17">
        <f>IF($L891="","",COUNT($L891:$Q891))</f>
        <v/>
      </c>
      <c r="X891" s="18">
        <f>IF($W891="","",INT(INDEX($L891:$Q891,$W891)))</f>
        <v/>
      </c>
      <c r="Y891" s="18">
        <f>IF(OR($W891="",$W891=6),"",WORKDAY($X891,CHOOSE($W891,3,3,2,2,3),Holidays))</f>
        <v/>
      </c>
      <c r="Z891" s="17">
        <f>IF(OR($W891="",$W891=6),"",CHOOSE($W891,"1st Email Follow-up","2nd Email Follow-up","Escalate Local Office","Escalate to CBE","Escalate to Roxanne"))</f>
        <v/>
      </c>
    </row>
    <row r="892" spans="18:26">
      <c r="R892" s="15"/>
      <c r="S892" s="16"/>
      <c r="T892" s="17">
        <f>IF(AND(COUNTA($A892:$K892)=0,$L892=""),"",IF($S892="Paid","PAID",IF($S892="Closed","CLOSED",IF($W892="","",IF($W892=6,"ESCALATED TO ROXANNE",IF(TODAY()&gt;$Y892,"OVERDUE",IF($Y892&lt;=WORKDAY(TODAY(),1,Holidays),"DUE TOMORROW",IF($W892=4,"ESCALATED TO LOCAL OFFICE",IF($W892=5,"ESCALATED TO CBE",IF($X892=TODAY(),"EMAIL SENT","MONITORING"))))))))))</f>
        <v/>
      </c>
      <c r="U892" s="17">
        <f>IF($T892="",IF(AND(COUNTA($A892:$K892)&gt;0,$L892=""),"Awaiting Collection Email time stamp.",""),IF(OR($T892="PAID",$T892="CLOSED"),IF($T892="PAID","Account paid. Action completed.","Account closed. No further action required."),CHOOSE($W892,"Collection Email","1st Email Follow-up","2nd Email Follow-up","Escalation to Local Office","Escalation to CBE","Escalation to Roxanne")&amp;" sent "&amp;TEXT($X892,"dd-mmm")&amp;". "&amp;IF($W892=6,"Final escalation completed.",IF($T892="OVERDUE","Next: "&amp;$Z892&amp;" was due "&amp;TEXT($Y892,"dd-mmm")&amp;" - "&amp;(NETWORKDAYS($Y892,TODAY(),Holidays)-1)&amp;" business day(s) late. Send now.",IF($T892="DUE TOMORROW","Next: "&amp;$Z892&amp;IF($Y892&lt;=TODAY()," is due TODAY ("," is due next business day (")&amp;TEXT($Y892,"dd-mmm")&amp;").","Next: "&amp;$Z892&amp;" due "&amp;TEXT($Y892,"dd-mmm")&amp;" ("&amp;(NETWORKDAYS(TODAY(),$Y892,Holidays)-1)&amp;" business day(s) left).")))))</f>
        <v/>
      </c>
      <c r="V892" s="17">
        <f>IF($W892="","",CHOOSE($W892,"Collection Email","1st Follow-up","2nd Follow-up","Local Office","CBE","Roxanne")&amp;IF($W892=6," - Final"," - Day "&amp;MAX(0,NETWORKDAYS($X892,TODAY(),Holidays)-1)&amp;" of "&amp;CHOOSE($W892,3,3,2,2,3))&amp;" | Total Day "&amp;MAX(0,NETWORKDAYS($L892,TODAY(),Holidays)-1))</f>
        <v/>
      </c>
      <c r="W892" s="17">
        <f>IF($L892="","",COUNT($L892:$Q892))</f>
        <v/>
      </c>
      <c r="X892" s="18">
        <f>IF($W892="","",INT(INDEX($L892:$Q892,$W892)))</f>
        <v/>
      </c>
      <c r="Y892" s="18">
        <f>IF(OR($W892="",$W892=6),"",WORKDAY($X892,CHOOSE($W892,3,3,2,2,3),Holidays))</f>
        <v/>
      </c>
      <c r="Z892" s="17">
        <f>IF(OR($W892="",$W892=6),"",CHOOSE($W892,"1st Email Follow-up","2nd Email Follow-up","Escalate Local Office","Escalate to CBE","Escalate to Roxanne"))</f>
        <v/>
      </c>
    </row>
    <row r="893" spans="18:26">
      <c r="R893" s="15"/>
      <c r="S893" s="16"/>
      <c r="T893" s="17">
        <f>IF(AND(COUNTA($A893:$K893)=0,$L893=""),"",IF($S893="Paid","PAID",IF($S893="Closed","CLOSED",IF($W893="","",IF($W893=6,"ESCALATED TO ROXANNE",IF(TODAY()&gt;$Y893,"OVERDUE",IF($Y893&lt;=WORKDAY(TODAY(),1,Holidays),"DUE TOMORROW",IF($W893=4,"ESCALATED TO LOCAL OFFICE",IF($W893=5,"ESCALATED TO CBE",IF($X893=TODAY(),"EMAIL SENT","MONITORING"))))))))))</f>
        <v/>
      </c>
      <c r="U893" s="17">
        <f>IF($T893="",IF(AND(COUNTA($A893:$K893)&gt;0,$L893=""),"Awaiting Collection Email time stamp.",""),IF(OR($T893="PAID",$T893="CLOSED"),IF($T893="PAID","Account paid. Action completed.","Account closed. No further action required."),CHOOSE($W893,"Collection Email","1st Email Follow-up","2nd Email Follow-up","Escalation to Local Office","Escalation to CBE","Escalation to Roxanne")&amp;" sent "&amp;TEXT($X893,"dd-mmm")&amp;". "&amp;IF($W893=6,"Final escalation completed.",IF($T893="OVERDUE","Next: "&amp;$Z893&amp;" was due "&amp;TEXT($Y893,"dd-mmm")&amp;" - "&amp;(NETWORKDAYS($Y893,TODAY(),Holidays)-1)&amp;" business day(s) late. Send now.",IF($T893="DUE TOMORROW","Next: "&amp;$Z893&amp;IF($Y893&lt;=TODAY()," is due TODAY ("," is due next business day (")&amp;TEXT($Y893,"dd-mmm")&amp;").","Next: "&amp;$Z893&amp;" due "&amp;TEXT($Y893,"dd-mmm")&amp;" ("&amp;(NETWORKDAYS(TODAY(),$Y893,Holidays)-1)&amp;" business day(s) left).")))))</f>
        <v/>
      </c>
      <c r="V893" s="17">
        <f>IF($W893="","",CHOOSE($W893,"Collection Email","1st Follow-up","2nd Follow-up","Local Office","CBE","Roxanne")&amp;IF($W893=6," - Final"," - Day "&amp;MAX(0,NETWORKDAYS($X893,TODAY(),Holidays)-1)&amp;" of "&amp;CHOOSE($W893,3,3,2,2,3))&amp;" | Total Day "&amp;MAX(0,NETWORKDAYS($L893,TODAY(),Holidays)-1))</f>
        <v/>
      </c>
      <c r="W893" s="17">
        <f>IF($L893="","",COUNT($L893:$Q893))</f>
        <v/>
      </c>
      <c r="X893" s="18">
        <f>IF($W893="","",INT(INDEX($L893:$Q893,$W893)))</f>
        <v/>
      </c>
      <c r="Y893" s="18">
        <f>IF(OR($W893="",$W893=6),"",WORKDAY($X893,CHOOSE($W893,3,3,2,2,3),Holidays))</f>
        <v/>
      </c>
      <c r="Z893" s="17">
        <f>IF(OR($W893="",$W893=6),"",CHOOSE($W893,"1st Email Follow-up","2nd Email Follow-up","Escalate Local Office","Escalate to CBE","Escalate to Roxanne"))</f>
        <v/>
      </c>
    </row>
    <row r="894" spans="18:26">
      <c r="R894" s="15"/>
      <c r="S894" s="16"/>
      <c r="T894" s="17">
        <f>IF(AND(COUNTA($A894:$K894)=0,$L894=""),"",IF($S894="Paid","PAID",IF($S894="Closed","CLOSED",IF($W894="","",IF($W894=6,"ESCALATED TO ROXANNE",IF(TODAY()&gt;$Y894,"OVERDUE",IF($Y894&lt;=WORKDAY(TODAY(),1,Holidays),"DUE TOMORROW",IF($W894=4,"ESCALATED TO LOCAL OFFICE",IF($W894=5,"ESCALATED TO CBE",IF($X894=TODAY(),"EMAIL SENT","MONITORING"))))))))))</f>
        <v/>
      </c>
      <c r="U894" s="17">
        <f>IF($T894="",IF(AND(COUNTA($A894:$K894)&gt;0,$L894=""),"Awaiting Collection Email time stamp.",""),IF(OR($T894="PAID",$T894="CLOSED"),IF($T894="PAID","Account paid. Action completed.","Account closed. No further action required."),CHOOSE($W894,"Collection Email","1st Email Follow-up","2nd Email Follow-up","Escalation to Local Office","Escalation to CBE","Escalation to Roxanne")&amp;" sent "&amp;TEXT($X894,"dd-mmm")&amp;". "&amp;IF($W894=6,"Final escalation completed.",IF($T894="OVERDUE","Next: "&amp;$Z894&amp;" was due "&amp;TEXT($Y894,"dd-mmm")&amp;" - "&amp;(NETWORKDAYS($Y894,TODAY(),Holidays)-1)&amp;" business day(s) late. Send now.",IF($T894="DUE TOMORROW","Next: "&amp;$Z894&amp;IF($Y894&lt;=TODAY()," is due TODAY ("," is due next business day (")&amp;TEXT($Y894,"dd-mmm")&amp;").","Next: "&amp;$Z894&amp;" due "&amp;TEXT($Y894,"dd-mmm")&amp;" ("&amp;(NETWORKDAYS(TODAY(),$Y894,Holidays)-1)&amp;" business day(s) left).")))))</f>
        <v/>
      </c>
      <c r="V894" s="17">
        <f>IF($W894="","",CHOOSE($W894,"Collection Email","1st Follow-up","2nd Follow-up","Local Office","CBE","Roxanne")&amp;IF($W894=6," - Final"," - Day "&amp;MAX(0,NETWORKDAYS($X894,TODAY(),Holidays)-1)&amp;" of "&amp;CHOOSE($W894,3,3,2,2,3))&amp;" | Total Day "&amp;MAX(0,NETWORKDAYS($L894,TODAY(),Holidays)-1))</f>
        <v/>
      </c>
      <c r="W894" s="17">
        <f>IF($L894="","",COUNT($L894:$Q894))</f>
        <v/>
      </c>
      <c r="X894" s="18">
        <f>IF($W894="","",INT(INDEX($L894:$Q894,$W894)))</f>
        <v/>
      </c>
      <c r="Y894" s="18">
        <f>IF(OR($W894="",$W894=6),"",WORKDAY($X894,CHOOSE($W894,3,3,2,2,3),Holidays))</f>
        <v/>
      </c>
      <c r="Z894" s="17">
        <f>IF(OR($W894="",$W894=6),"",CHOOSE($W894,"1st Email Follow-up","2nd Email Follow-up","Escalate Local Office","Escalate to CBE","Escalate to Roxanne"))</f>
        <v/>
      </c>
    </row>
    <row r="895" spans="18:26">
      <c r="R895" s="15"/>
      <c r="S895" s="16"/>
      <c r="T895" s="17">
        <f>IF(AND(COUNTA($A895:$K895)=0,$L895=""),"",IF($S895="Paid","PAID",IF($S895="Closed","CLOSED",IF($W895="","",IF($W895=6,"ESCALATED TO ROXANNE",IF(TODAY()&gt;$Y895,"OVERDUE",IF($Y895&lt;=WORKDAY(TODAY(),1,Holidays),"DUE TOMORROW",IF($W895=4,"ESCALATED TO LOCAL OFFICE",IF($W895=5,"ESCALATED TO CBE",IF($X895=TODAY(),"EMAIL SENT","MONITORING"))))))))))</f>
        <v/>
      </c>
      <c r="U895" s="17">
        <f>IF($T895="",IF(AND(COUNTA($A895:$K895)&gt;0,$L895=""),"Awaiting Collection Email time stamp.",""),IF(OR($T895="PAID",$T895="CLOSED"),IF($T895="PAID","Account paid. Action completed.","Account closed. No further action required."),CHOOSE($W895,"Collection Email","1st Email Follow-up","2nd Email Follow-up","Escalation to Local Office","Escalation to CBE","Escalation to Roxanne")&amp;" sent "&amp;TEXT($X895,"dd-mmm")&amp;". "&amp;IF($W895=6,"Final escalation completed.",IF($T895="OVERDUE","Next: "&amp;$Z895&amp;" was due "&amp;TEXT($Y895,"dd-mmm")&amp;" - "&amp;(NETWORKDAYS($Y895,TODAY(),Holidays)-1)&amp;" business day(s) late. Send now.",IF($T895="DUE TOMORROW","Next: "&amp;$Z895&amp;IF($Y895&lt;=TODAY()," is due TODAY ("," is due next business day (")&amp;TEXT($Y895,"dd-mmm")&amp;").","Next: "&amp;$Z895&amp;" due "&amp;TEXT($Y895,"dd-mmm")&amp;" ("&amp;(NETWORKDAYS(TODAY(),$Y895,Holidays)-1)&amp;" business day(s) left).")))))</f>
        <v/>
      </c>
      <c r="V895" s="17">
        <f>IF($W895="","",CHOOSE($W895,"Collection Email","1st Follow-up","2nd Follow-up","Local Office","CBE","Roxanne")&amp;IF($W895=6," - Final"," - Day "&amp;MAX(0,NETWORKDAYS($X895,TODAY(),Holidays)-1)&amp;" of "&amp;CHOOSE($W895,3,3,2,2,3))&amp;" | Total Day "&amp;MAX(0,NETWORKDAYS($L895,TODAY(),Holidays)-1))</f>
        <v/>
      </c>
      <c r="W895" s="17">
        <f>IF($L895="","",COUNT($L895:$Q895))</f>
        <v/>
      </c>
      <c r="X895" s="18">
        <f>IF($W895="","",INT(INDEX($L895:$Q895,$W895)))</f>
        <v/>
      </c>
      <c r="Y895" s="18">
        <f>IF(OR($W895="",$W895=6),"",WORKDAY($X895,CHOOSE($W895,3,3,2,2,3),Holidays))</f>
        <v/>
      </c>
      <c r="Z895" s="17">
        <f>IF(OR($W895="",$W895=6),"",CHOOSE($W895,"1st Email Follow-up","2nd Email Follow-up","Escalate Local Office","Escalate to CBE","Escalate to Roxanne"))</f>
        <v/>
      </c>
    </row>
    <row r="896" spans="18:26">
      <c r="R896" s="15"/>
      <c r="S896" s="16"/>
      <c r="T896" s="17">
        <f>IF(AND(COUNTA($A896:$K896)=0,$L896=""),"",IF($S896="Paid","PAID",IF($S896="Closed","CLOSED",IF($W896="","",IF($W896=6,"ESCALATED TO ROXANNE",IF(TODAY()&gt;$Y896,"OVERDUE",IF($Y896&lt;=WORKDAY(TODAY(),1,Holidays),"DUE TOMORROW",IF($W896=4,"ESCALATED TO LOCAL OFFICE",IF($W896=5,"ESCALATED TO CBE",IF($X896=TODAY(),"EMAIL SENT","MONITORING"))))))))))</f>
        <v/>
      </c>
      <c r="U896" s="17">
        <f>IF($T896="",IF(AND(COUNTA($A896:$K896)&gt;0,$L896=""),"Awaiting Collection Email time stamp.",""),IF(OR($T896="PAID",$T896="CLOSED"),IF($T896="PAID","Account paid. Action completed.","Account closed. No further action required."),CHOOSE($W896,"Collection Email","1st Email Follow-up","2nd Email Follow-up","Escalation to Local Office","Escalation to CBE","Escalation to Roxanne")&amp;" sent "&amp;TEXT($X896,"dd-mmm")&amp;". "&amp;IF($W896=6,"Final escalation completed.",IF($T896="OVERDUE","Next: "&amp;$Z896&amp;" was due "&amp;TEXT($Y896,"dd-mmm")&amp;" - "&amp;(NETWORKDAYS($Y896,TODAY(),Holidays)-1)&amp;" business day(s) late. Send now.",IF($T896="DUE TOMORROW","Next: "&amp;$Z896&amp;IF($Y896&lt;=TODAY()," is due TODAY ("," is due next business day (")&amp;TEXT($Y896,"dd-mmm")&amp;").","Next: "&amp;$Z896&amp;" due "&amp;TEXT($Y896,"dd-mmm")&amp;" ("&amp;(NETWORKDAYS(TODAY(),$Y896,Holidays)-1)&amp;" business day(s) left).")))))</f>
        <v/>
      </c>
      <c r="V896" s="17">
        <f>IF($W896="","",CHOOSE($W896,"Collection Email","1st Follow-up","2nd Follow-up","Local Office","CBE","Roxanne")&amp;IF($W896=6," - Final"," - Day "&amp;MAX(0,NETWORKDAYS($X896,TODAY(),Holidays)-1)&amp;" of "&amp;CHOOSE($W896,3,3,2,2,3))&amp;" | Total Day "&amp;MAX(0,NETWORKDAYS($L896,TODAY(),Holidays)-1))</f>
        <v/>
      </c>
      <c r="W896" s="17">
        <f>IF($L896="","",COUNT($L896:$Q896))</f>
        <v/>
      </c>
      <c r="X896" s="18">
        <f>IF($W896="","",INT(INDEX($L896:$Q896,$W896)))</f>
        <v/>
      </c>
      <c r="Y896" s="18">
        <f>IF(OR($W896="",$W896=6),"",WORKDAY($X896,CHOOSE($W896,3,3,2,2,3),Holidays))</f>
        <v/>
      </c>
      <c r="Z896" s="17">
        <f>IF(OR($W896="",$W896=6),"",CHOOSE($W896,"1st Email Follow-up","2nd Email Follow-up","Escalate Local Office","Escalate to CBE","Escalate to Roxanne"))</f>
        <v/>
      </c>
    </row>
    <row r="897" spans="18:26">
      <c r="R897" s="15"/>
      <c r="S897" s="16"/>
      <c r="T897" s="17">
        <f>IF(AND(COUNTA($A897:$K897)=0,$L897=""),"",IF($S897="Paid","PAID",IF($S897="Closed","CLOSED",IF($W897="","",IF($W897=6,"ESCALATED TO ROXANNE",IF(TODAY()&gt;$Y897,"OVERDUE",IF($Y897&lt;=WORKDAY(TODAY(),1,Holidays),"DUE TOMORROW",IF($W897=4,"ESCALATED TO LOCAL OFFICE",IF($W897=5,"ESCALATED TO CBE",IF($X897=TODAY(),"EMAIL SENT","MONITORING"))))))))))</f>
        <v/>
      </c>
      <c r="U897" s="17">
        <f>IF($T897="",IF(AND(COUNTA($A897:$K897)&gt;0,$L897=""),"Awaiting Collection Email time stamp.",""),IF(OR($T897="PAID",$T897="CLOSED"),IF($T897="PAID","Account paid. Action completed.","Account closed. No further action required."),CHOOSE($W897,"Collection Email","1st Email Follow-up","2nd Email Follow-up","Escalation to Local Office","Escalation to CBE","Escalation to Roxanne")&amp;" sent "&amp;TEXT($X897,"dd-mmm")&amp;". "&amp;IF($W897=6,"Final escalation completed.",IF($T897="OVERDUE","Next: "&amp;$Z897&amp;" was due "&amp;TEXT($Y897,"dd-mmm")&amp;" - "&amp;(NETWORKDAYS($Y897,TODAY(),Holidays)-1)&amp;" business day(s) late. Send now.",IF($T897="DUE TOMORROW","Next: "&amp;$Z897&amp;IF($Y897&lt;=TODAY()," is due TODAY ("," is due next business day (")&amp;TEXT($Y897,"dd-mmm")&amp;").","Next: "&amp;$Z897&amp;" due "&amp;TEXT($Y897,"dd-mmm")&amp;" ("&amp;(NETWORKDAYS(TODAY(),$Y897,Holidays)-1)&amp;" business day(s) left).")))))</f>
        <v/>
      </c>
      <c r="V897" s="17">
        <f>IF($W897="","",CHOOSE($W897,"Collection Email","1st Follow-up","2nd Follow-up","Local Office","CBE","Roxanne")&amp;IF($W897=6," - Final"," - Day "&amp;MAX(0,NETWORKDAYS($X897,TODAY(),Holidays)-1)&amp;" of "&amp;CHOOSE($W897,3,3,2,2,3))&amp;" | Total Day "&amp;MAX(0,NETWORKDAYS($L897,TODAY(),Holidays)-1))</f>
        <v/>
      </c>
      <c r="W897" s="17">
        <f>IF($L897="","",COUNT($L897:$Q897))</f>
        <v/>
      </c>
      <c r="X897" s="18">
        <f>IF($W897="","",INT(INDEX($L897:$Q897,$W897)))</f>
        <v/>
      </c>
      <c r="Y897" s="18">
        <f>IF(OR($W897="",$W897=6),"",WORKDAY($X897,CHOOSE($W897,3,3,2,2,3),Holidays))</f>
        <v/>
      </c>
      <c r="Z897" s="17">
        <f>IF(OR($W897="",$W897=6),"",CHOOSE($W897,"1st Email Follow-up","2nd Email Follow-up","Escalate Local Office","Escalate to CBE","Escalate to Roxanne"))</f>
        <v/>
      </c>
    </row>
    <row r="898" spans="18:26">
      <c r="R898" s="15"/>
      <c r="S898" s="16"/>
      <c r="T898" s="17">
        <f>IF(AND(COUNTA($A898:$K898)=0,$L898=""),"",IF($S898="Paid","PAID",IF($S898="Closed","CLOSED",IF($W898="","",IF($W898=6,"ESCALATED TO ROXANNE",IF(TODAY()&gt;$Y898,"OVERDUE",IF($Y898&lt;=WORKDAY(TODAY(),1,Holidays),"DUE TOMORROW",IF($W898=4,"ESCALATED TO LOCAL OFFICE",IF($W898=5,"ESCALATED TO CBE",IF($X898=TODAY(),"EMAIL SENT","MONITORING"))))))))))</f>
        <v/>
      </c>
      <c r="U898" s="17">
        <f>IF($T898="",IF(AND(COUNTA($A898:$K898)&gt;0,$L898=""),"Awaiting Collection Email time stamp.",""),IF(OR($T898="PAID",$T898="CLOSED"),IF($T898="PAID","Account paid. Action completed.","Account closed. No further action required."),CHOOSE($W898,"Collection Email","1st Email Follow-up","2nd Email Follow-up","Escalation to Local Office","Escalation to CBE","Escalation to Roxanne")&amp;" sent "&amp;TEXT($X898,"dd-mmm")&amp;". "&amp;IF($W898=6,"Final escalation completed.",IF($T898="OVERDUE","Next: "&amp;$Z898&amp;" was due "&amp;TEXT($Y898,"dd-mmm")&amp;" - "&amp;(NETWORKDAYS($Y898,TODAY(),Holidays)-1)&amp;" business day(s) late. Send now.",IF($T898="DUE TOMORROW","Next: "&amp;$Z898&amp;IF($Y898&lt;=TODAY()," is due TODAY ("," is due next business day (")&amp;TEXT($Y898,"dd-mmm")&amp;").","Next: "&amp;$Z898&amp;" due "&amp;TEXT($Y898,"dd-mmm")&amp;" ("&amp;(NETWORKDAYS(TODAY(),$Y898,Holidays)-1)&amp;" business day(s) left).")))))</f>
        <v/>
      </c>
      <c r="V898" s="17">
        <f>IF($W898="","",CHOOSE($W898,"Collection Email","1st Follow-up","2nd Follow-up","Local Office","CBE","Roxanne")&amp;IF($W898=6," - Final"," - Day "&amp;MAX(0,NETWORKDAYS($X898,TODAY(),Holidays)-1)&amp;" of "&amp;CHOOSE($W898,3,3,2,2,3))&amp;" | Total Day "&amp;MAX(0,NETWORKDAYS($L898,TODAY(),Holidays)-1))</f>
        <v/>
      </c>
      <c r="W898" s="17">
        <f>IF($L898="","",COUNT($L898:$Q898))</f>
        <v/>
      </c>
      <c r="X898" s="18">
        <f>IF($W898="","",INT(INDEX($L898:$Q898,$W898)))</f>
        <v/>
      </c>
      <c r="Y898" s="18">
        <f>IF(OR($W898="",$W898=6),"",WORKDAY($X898,CHOOSE($W898,3,3,2,2,3),Holidays))</f>
        <v/>
      </c>
      <c r="Z898" s="17">
        <f>IF(OR($W898="",$W898=6),"",CHOOSE($W898,"1st Email Follow-up","2nd Email Follow-up","Escalate Local Office","Escalate to CBE","Escalate to Roxanne"))</f>
        <v/>
      </c>
    </row>
    <row r="899" spans="18:26">
      <c r="R899" s="15"/>
      <c r="S899" s="16"/>
      <c r="T899" s="17">
        <f>IF(AND(COUNTA($A899:$K899)=0,$L899=""),"",IF($S899="Paid","PAID",IF($S899="Closed","CLOSED",IF($W899="","",IF($W899=6,"ESCALATED TO ROXANNE",IF(TODAY()&gt;$Y899,"OVERDUE",IF($Y899&lt;=WORKDAY(TODAY(),1,Holidays),"DUE TOMORROW",IF($W899=4,"ESCALATED TO LOCAL OFFICE",IF($W899=5,"ESCALATED TO CBE",IF($X899=TODAY(),"EMAIL SENT","MONITORING"))))))))))</f>
        <v/>
      </c>
      <c r="U899" s="17">
        <f>IF($T899="",IF(AND(COUNTA($A899:$K899)&gt;0,$L899=""),"Awaiting Collection Email time stamp.",""),IF(OR($T899="PAID",$T899="CLOSED"),IF($T899="PAID","Account paid. Action completed.","Account closed. No further action required."),CHOOSE($W899,"Collection Email","1st Email Follow-up","2nd Email Follow-up","Escalation to Local Office","Escalation to CBE","Escalation to Roxanne")&amp;" sent "&amp;TEXT($X899,"dd-mmm")&amp;". "&amp;IF($W899=6,"Final escalation completed.",IF($T899="OVERDUE","Next: "&amp;$Z899&amp;" was due "&amp;TEXT($Y899,"dd-mmm")&amp;" - "&amp;(NETWORKDAYS($Y899,TODAY(),Holidays)-1)&amp;" business day(s) late. Send now.",IF($T899="DUE TOMORROW","Next: "&amp;$Z899&amp;IF($Y899&lt;=TODAY()," is due TODAY ("," is due next business day (")&amp;TEXT($Y899,"dd-mmm")&amp;").","Next: "&amp;$Z899&amp;" due "&amp;TEXT($Y899,"dd-mmm")&amp;" ("&amp;(NETWORKDAYS(TODAY(),$Y899,Holidays)-1)&amp;" business day(s) left).")))))</f>
        <v/>
      </c>
      <c r="V899" s="17">
        <f>IF($W899="","",CHOOSE($W899,"Collection Email","1st Follow-up","2nd Follow-up","Local Office","CBE","Roxanne")&amp;IF($W899=6," - Final"," - Day "&amp;MAX(0,NETWORKDAYS($X899,TODAY(),Holidays)-1)&amp;" of "&amp;CHOOSE($W899,3,3,2,2,3))&amp;" | Total Day "&amp;MAX(0,NETWORKDAYS($L899,TODAY(),Holidays)-1))</f>
        <v/>
      </c>
      <c r="W899" s="17">
        <f>IF($L899="","",COUNT($L899:$Q899))</f>
        <v/>
      </c>
      <c r="X899" s="18">
        <f>IF($W899="","",INT(INDEX($L899:$Q899,$W899)))</f>
        <v/>
      </c>
      <c r="Y899" s="18">
        <f>IF(OR($W899="",$W899=6),"",WORKDAY($X899,CHOOSE($W899,3,3,2,2,3),Holidays))</f>
        <v/>
      </c>
      <c r="Z899" s="17">
        <f>IF(OR($W899="",$W899=6),"",CHOOSE($W899,"1st Email Follow-up","2nd Email Follow-up","Escalate Local Office","Escalate to CBE","Escalate to Roxanne"))</f>
        <v/>
      </c>
    </row>
    <row r="900" spans="18:26">
      <c r="R900" s="15"/>
      <c r="S900" s="16"/>
      <c r="T900" s="17">
        <f>IF(AND(COUNTA($A900:$K900)=0,$L900=""),"",IF($S900="Paid","PAID",IF($S900="Closed","CLOSED",IF($W900="","",IF($W900=6,"ESCALATED TO ROXANNE",IF(TODAY()&gt;$Y900,"OVERDUE",IF($Y900&lt;=WORKDAY(TODAY(),1,Holidays),"DUE TOMORROW",IF($W900=4,"ESCALATED TO LOCAL OFFICE",IF($W900=5,"ESCALATED TO CBE",IF($X900=TODAY(),"EMAIL SENT","MONITORING"))))))))))</f>
        <v/>
      </c>
      <c r="U900" s="17">
        <f>IF($T900="",IF(AND(COUNTA($A900:$K900)&gt;0,$L900=""),"Awaiting Collection Email time stamp.",""),IF(OR($T900="PAID",$T900="CLOSED"),IF($T900="PAID","Account paid. Action completed.","Account closed. No further action required."),CHOOSE($W900,"Collection Email","1st Email Follow-up","2nd Email Follow-up","Escalation to Local Office","Escalation to CBE","Escalation to Roxanne")&amp;" sent "&amp;TEXT($X900,"dd-mmm")&amp;". "&amp;IF($W900=6,"Final escalation completed.",IF($T900="OVERDUE","Next: "&amp;$Z900&amp;" was due "&amp;TEXT($Y900,"dd-mmm")&amp;" - "&amp;(NETWORKDAYS($Y900,TODAY(),Holidays)-1)&amp;" business day(s) late. Send now.",IF($T900="DUE TOMORROW","Next: "&amp;$Z900&amp;IF($Y900&lt;=TODAY()," is due TODAY ("," is due next business day (")&amp;TEXT($Y900,"dd-mmm")&amp;").","Next: "&amp;$Z900&amp;" due "&amp;TEXT($Y900,"dd-mmm")&amp;" ("&amp;(NETWORKDAYS(TODAY(),$Y900,Holidays)-1)&amp;" business day(s) left).")))))</f>
        <v/>
      </c>
      <c r="V900" s="17">
        <f>IF($W900="","",CHOOSE($W900,"Collection Email","1st Follow-up","2nd Follow-up","Local Office","CBE","Roxanne")&amp;IF($W900=6," - Final"," - Day "&amp;MAX(0,NETWORKDAYS($X900,TODAY(),Holidays)-1)&amp;" of "&amp;CHOOSE($W900,3,3,2,2,3))&amp;" | Total Day "&amp;MAX(0,NETWORKDAYS($L900,TODAY(),Holidays)-1))</f>
        <v/>
      </c>
      <c r="W900" s="17">
        <f>IF($L900="","",COUNT($L900:$Q900))</f>
        <v/>
      </c>
      <c r="X900" s="18">
        <f>IF($W900="","",INT(INDEX($L900:$Q900,$W900)))</f>
        <v/>
      </c>
      <c r="Y900" s="18">
        <f>IF(OR($W900="",$W900=6),"",WORKDAY($X900,CHOOSE($W900,3,3,2,2,3),Holidays))</f>
        <v/>
      </c>
      <c r="Z900" s="17">
        <f>IF(OR($W900="",$W900=6),"",CHOOSE($W900,"1st Email Follow-up","2nd Email Follow-up","Escalate Local Office","Escalate to CBE","Escalate to Roxanne"))</f>
        <v/>
      </c>
    </row>
    <row r="901" spans="18:26">
      <c r="R901" s="15"/>
      <c r="S901" s="16"/>
      <c r="T901" s="17">
        <f>IF(AND(COUNTA($A901:$K901)=0,$L901=""),"",IF($S901="Paid","PAID",IF($S901="Closed","CLOSED",IF($W901="","",IF($W901=6,"ESCALATED TO ROXANNE",IF(TODAY()&gt;$Y901,"OVERDUE",IF($Y901&lt;=WORKDAY(TODAY(),1,Holidays),"DUE TOMORROW",IF($W901=4,"ESCALATED TO LOCAL OFFICE",IF($W901=5,"ESCALATED TO CBE",IF($X901=TODAY(),"EMAIL SENT","MONITORING"))))))))))</f>
        <v/>
      </c>
      <c r="U901" s="17">
        <f>IF($T901="",IF(AND(COUNTA($A901:$K901)&gt;0,$L901=""),"Awaiting Collection Email time stamp.",""),IF(OR($T901="PAID",$T901="CLOSED"),IF($T901="PAID","Account paid. Action completed.","Account closed. No further action required."),CHOOSE($W901,"Collection Email","1st Email Follow-up","2nd Email Follow-up","Escalation to Local Office","Escalation to CBE","Escalation to Roxanne")&amp;" sent "&amp;TEXT($X901,"dd-mmm")&amp;". "&amp;IF($W901=6,"Final escalation completed.",IF($T901="OVERDUE","Next: "&amp;$Z901&amp;" was due "&amp;TEXT($Y901,"dd-mmm")&amp;" - "&amp;(NETWORKDAYS($Y901,TODAY(),Holidays)-1)&amp;" business day(s) late. Send now.",IF($T901="DUE TOMORROW","Next: "&amp;$Z901&amp;IF($Y901&lt;=TODAY()," is due TODAY ("," is due next business day (")&amp;TEXT($Y901,"dd-mmm")&amp;").","Next: "&amp;$Z901&amp;" due "&amp;TEXT($Y901,"dd-mmm")&amp;" ("&amp;(NETWORKDAYS(TODAY(),$Y901,Holidays)-1)&amp;" business day(s) left).")))))</f>
        <v/>
      </c>
      <c r="V901" s="17">
        <f>IF($W901="","",CHOOSE($W901,"Collection Email","1st Follow-up","2nd Follow-up","Local Office","CBE","Roxanne")&amp;IF($W901=6," - Final"," - Day "&amp;MAX(0,NETWORKDAYS($X901,TODAY(),Holidays)-1)&amp;" of "&amp;CHOOSE($W901,3,3,2,2,3))&amp;" | Total Day "&amp;MAX(0,NETWORKDAYS($L901,TODAY(),Holidays)-1))</f>
        <v/>
      </c>
      <c r="W901" s="17">
        <f>IF($L901="","",COUNT($L901:$Q901))</f>
        <v/>
      </c>
      <c r="X901" s="18">
        <f>IF($W901="","",INT(INDEX($L901:$Q901,$W901)))</f>
        <v/>
      </c>
      <c r="Y901" s="18">
        <f>IF(OR($W901="",$W901=6),"",WORKDAY($X901,CHOOSE($W901,3,3,2,2,3),Holidays))</f>
        <v/>
      </c>
      <c r="Z901" s="17">
        <f>IF(OR($W901="",$W901=6),"",CHOOSE($W901,"1st Email Follow-up","2nd Email Follow-up","Escalate Local Office","Escalate to CBE","Escalate to Roxanne"))</f>
        <v/>
      </c>
    </row>
    <row r="902" spans="18:26">
      <c r="R902" s="15"/>
      <c r="S902" s="16"/>
      <c r="T902" s="17">
        <f>IF(AND(COUNTA($A902:$K902)=0,$L902=""),"",IF($S902="Paid","PAID",IF($S902="Closed","CLOSED",IF($W902="","",IF($W902=6,"ESCALATED TO ROXANNE",IF(TODAY()&gt;$Y902,"OVERDUE",IF($Y902&lt;=WORKDAY(TODAY(),1,Holidays),"DUE TOMORROW",IF($W902=4,"ESCALATED TO LOCAL OFFICE",IF($W902=5,"ESCALATED TO CBE",IF($X902=TODAY(),"EMAIL SENT","MONITORING"))))))))))</f>
        <v/>
      </c>
      <c r="U902" s="17">
        <f>IF($T902="",IF(AND(COUNTA($A902:$K902)&gt;0,$L902=""),"Awaiting Collection Email time stamp.",""),IF(OR($T902="PAID",$T902="CLOSED"),IF($T902="PAID","Account paid. Action completed.","Account closed. No further action required."),CHOOSE($W902,"Collection Email","1st Email Follow-up","2nd Email Follow-up","Escalation to Local Office","Escalation to CBE","Escalation to Roxanne")&amp;" sent "&amp;TEXT($X902,"dd-mmm")&amp;". "&amp;IF($W902=6,"Final escalation completed.",IF($T902="OVERDUE","Next: "&amp;$Z902&amp;" was due "&amp;TEXT($Y902,"dd-mmm")&amp;" - "&amp;(NETWORKDAYS($Y902,TODAY(),Holidays)-1)&amp;" business day(s) late. Send now.",IF($T902="DUE TOMORROW","Next: "&amp;$Z902&amp;IF($Y902&lt;=TODAY()," is due TODAY ("," is due next business day (")&amp;TEXT($Y902,"dd-mmm")&amp;").","Next: "&amp;$Z902&amp;" due "&amp;TEXT($Y902,"dd-mmm")&amp;" ("&amp;(NETWORKDAYS(TODAY(),$Y902,Holidays)-1)&amp;" business day(s) left).")))))</f>
        <v/>
      </c>
      <c r="V902" s="17">
        <f>IF($W902="","",CHOOSE($W902,"Collection Email","1st Follow-up","2nd Follow-up","Local Office","CBE","Roxanne")&amp;IF($W902=6," - Final"," - Day "&amp;MAX(0,NETWORKDAYS($X902,TODAY(),Holidays)-1)&amp;" of "&amp;CHOOSE($W902,3,3,2,2,3))&amp;" | Total Day "&amp;MAX(0,NETWORKDAYS($L902,TODAY(),Holidays)-1))</f>
        <v/>
      </c>
      <c r="W902" s="17">
        <f>IF($L902="","",COUNT($L902:$Q902))</f>
        <v/>
      </c>
      <c r="X902" s="18">
        <f>IF($W902="","",INT(INDEX($L902:$Q902,$W902)))</f>
        <v/>
      </c>
      <c r="Y902" s="18">
        <f>IF(OR($W902="",$W902=6),"",WORKDAY($X902,CHOOSE($W902,3,3,2,2,3),Holidays))</f>
        <v/>
      </c>
      <c r="Z902" s="17">
        <f>IF(OR($W902="",$W902=6),"",CHOOSE($W902,"1st Email Follow-up","2nd Email Follow-up","Escalate Local Office","Escalate to CBE","Escalate to Roxanne"))</f>
        <v/>
      </c>
    </row>
    <row r="903" spans="18:26">
      <c r="R903" s="15"/>
      <c r="S903" s="16"/>
      <c r="T903" s="17">
        <f>IF(AND(COUNTA($A903:$K903)=0,$L903=""),"",IF($S903="Paid","PAID",IF($S903="Closed","CLOSED",IF($W903="","",IF($W903=6,"ESCALATED TO ROXANNE",IF(TODAY()&gt;$Y903,"OVERDUE",IF($Y903&lt;=WORKDAY(TODAY(),1,Holidays),"DUE TOMORROW",IF($W903=4,"ESCALATED TO LOCAL OFFICE",IF($W903=5,"ESCALATED TO CBE",IF($X903=TODAY(),"EMAIL SENT","MONITORING"))))))))))</f>
        <v/>
      </c>
      <c r="U903" s="17">
        <f>IF($T903="",IF(AND(COUNTA($A903:$K903)&gt;0,$L903=""),"Awaiting Collection Email time stamp.",""),IF(OR($T903="PAID",$T903="CLOSED"),IF($T903="PAID","Account paid. Action completed.","Account closed. No further action required."),CHOOSE($W903,"Collection Email","1st Email Follow-up","2nd Email Follow-up","Escalation to Local Office","Escalation to CBE","Escalation to Roxanne")&amp;" sent "&amp;TEXT($X903,"dd-mmm")&amp;". "&amp;IF($W903=6,"Final escalation completed.",IF($T903="OVERDUE","Next: "&amp;$Z903&amp;" was due "&amp;TEXT($Y903,"dd-mmm")&amp;" - "&amp;(NETWORKDAYS($Y903,TODAY(),Holidays)-1)&amp;" business day(s) late. Send now.",IF($T903="DUE TOMORROW","Next: "&amp;$Z903&amp;IF($Y903&lt;=TODAY()," is due TODAY ("," is due next business day (")&amp;TEXT($Y903,"dd-mmm")&amp;").","Next: "&amp;$Z903&amp;" due "&amp;TEXT($Y903,"dd-mmm")&amp;" ("&amp;(NETWORKDAYS(TODAY(),$Y903,Holidays)-1)&amp;" business day(s) left).")))))</f>
        <v/>
      </c>
      <c r="V903" s="17">
        <f>IF($W903="","",CHOOSE($W903,"Collection Email","1st Follow-up","2nd Follow-up","Local Office","CBE","Roxanne")&amp;IF($W903=6," - Final"," - Day "&amp;MAX(0,NETWORKDAYS($X903,TODAY(),Holidays)-1)&amp;" of "&amp;CHOOSE($W903,3,3,2,2,3))&amp;" | Total Day "&amp;MAX(0,NETWORKDAYS($L903,TODAY(),Holidays)-1))</f>
        <v/>
      </c>
      <c r="W903" s="17">
        <f>IF($L903="","",COUNT($L903:$Q903))</f>
        <v/>
      </c>
      <c r="X903" s="18">
        <f>IF($W903="","",INT(INDEX($L903:$Q903,$W903)))</f>
        <v/>
      </c>
      <c r="Y903" s="18">
        <f>IF(OR($W903="",$W903=6),"",WORKDAY($X903,CHOOSE($W903,3,3,2,2,3),Holidays))</f>
        <v/>
      </c>
      <c r="Z903" s="17">
        <f>IF(OR($W903="",$W903=6),"",CHOOSE($W903,"1st Email Follow-up","2nd Email Follow-up","Escalate Local Office","Escalate to CBE","Escalate to Roxanne"))</f>
        <v/>
      </c>
    </row>
    <row r="904" spans="18:26">
      <c r="R904" s="15"/>
      <c r="S904" s="16"/>
      <c r="T904" s="17">
        <f>IF(AND(COUNTA($A904:$K904)=0,$L904=""),"",IF($S904="Paid","PAID",IF($S904="Closed","CLOSED",IF($W904="","",IF($W904=6,"ESCALATED TO ROXANNE",IF(TODAY()&gt;$Y904,"OVERDUE",IF($Y904&lt;=WORKDAY(TODAY(),1,Holidays),"DUE TOMORROW",IF($W904=4,"ESCALATED TO LOCAL OFFICE",IF($W904=5,"ESCALATED TO CBE",IF($X904=TODAY(),"EMAIL SENT","MONITORING"))))))))))</f>
        <v/>
      </c>
      <c r="U904" s="17">
        <f>IF($T904="",IF(AND(COUNTA($A904:$K904)&gt;0,$L904=""),"Awaiting Collection Email time stamp.",""),IF(OR($T904="PAID",$T904="CLOSED"),IF($T904="PAID","Account paid. Action completed.","Account closed. No further action required."),CHOOSE($W904,"Collection Email","1st Email Follow-up","2nd Email Follow-up","Escalation to Local Office","Escalation to CBE","Escalation to Roxanne")&amp;" sent "&amp;TEXT($X904,"dd-mmm")&amp;". "&amp;IF($W904=6,"Final escalation completed.",IF($T904="OVERDUE","Next: "&amp;$Z904&amp;" was due "&amp;TEXT($Y904,"dd-mmm")&amp;" - "&amp;(NETWORKDAYS($Y904,TODAY(),Holidays)-1)&amp;" business day(s) late. Send now.",IF($T904="DUE TOMORROW","Next: "&amp;$Z904&amp;IF($Y904&lt;=TODAY()," is due TODAY ("," is due next business day (")&amp;TEXT($Y904,"dd-mmm")&amp;").","Next: "&amp;$Z904&amp;" due "&amp;TEXT($Y904,"dd-mmm")&amp;" ("&amp;(NETWORKDAYS(TODAY(),$Y904,Holidays)-1)&amp;" business day(s) left).")))))</f>
        <v/>
      </c>
      <c r="V904" s="17">
        <f>IF($W904="","",CHOOSE($W904,"Collection Email","1st Follow-up","2nd Follow-up","Local Office","CBE","Roxanne")&amp;IF($W904=6," - Final"," - Day "&amp;MAX(0,NETWORKDAYS($X904,TODAY(),Holidays)-1)&amp;" of "&amp;CHOOSE($W904,3,3,2,2,3))&amp;" | Total Day "&amp;MAX(0,NETWORKDAYS($L904,TODAY(),Holidays)-1))</f>
        <v/>
      </c>
      <c r="W904" s="17">
        <f>IF($L904="","",COUNT($L904:$Q904))</f>
        <v/>
      </c>
      <c r="X904" s="18">
        <f>IF($W904="","",INT(INDEX($L904:$Q904,$W904)))</f>
        <v/>
      </c>
      <c r="Y904" s="18">
        <f>IF(OR($W904="",$W904=6),"",WORKDAY($X904,CHOOSE($W904,3,3,2,2,3),Holidays))</f>
        <v/>
      </c>
      <c r="Z904" s="17">
        <f>IF(OR($W904="",$W904=6),"",CHOOSE($W904,"1st Email Follow-up","2nd Email Follow-up","Escalate Local Office","Escalate to CBE","Escalate to Roxanne"))</f>
        <v/>
      </c>
    </row>
    <row r="905" spans="18:26">
      <c r="R905" s="15"/>
      <c r="S905" s="16"/>
      <c r="T905" s="17">
        <f>IF(AND(COUNTA($A905:$K905)=0,$L905=""),"",IF($S905="Paid","PAID",IF($S905="Closed","CLOSED",IF($W905="","",IF($W905=6,"ESCALATED TO ROXANNE",IF(TODAY()&gt;$Y905,"OVERDUE",IF($Y905&lt;=WORKDAY(TODAY(),1,Holidays),"DUE TOMORROW",IF($W905=4,"ESCALATED TO LOCAL OFFICE",IF($W905=5,"ESCALATED TO CBE",IF($X905=TODAY(),"EMAIL SENT","MONITORING"))))))))))</f>
        <v/>
      </c>
      <c r="U905" s="17">
        <f>IF($T905="",IF(AND(COUNTA($A905:$K905)&gt;0,$L905=""),"Awaiting Collection Email time stamp.",""),IF(OR($T905="PAID",$T905="CLOSED"),IF($T905="PAID","Account paid. Action completed.","Account closed. No further action required."),CHOOSE($W905,"Collection Email","1st Email Follow-up","2nd Email Follow-up","Escalation to Local Office","Escalation to CBE","Escalation to Roxanne")&amp;" sent "&amp;TEXT($X905,"dd-mmm")&amp;". "&amp;IF($W905=6,"Final escalation completed.",IF($T905="OVERDUE","Next: "&amp;$Z905&amp;" was due "&amp;TEXT($Y905,"dd-mmm")&amp;" - "&amp;(NETWORKDAYS($Y905,TODAY(),Holidays)-1)&amp;" business day(s) late. Send now.",IF($T905="DUE TOMORROW","Next: "&amp;$Z905&amp;IF($Y905&lt;=TODAY()," is due TODAY ("," is due next business day (")&amp;TEXT($Y905,"dd-mmm")&amp;").","Next: "&amp;$Z905&amp;" due "&amp;TEXT($Y905,"dd-mmm")&amp;" ("&amp;(NETWORKDAYS(TODAY(),$Y905,Holidays)-1)&amp;" business day(s) left).")))))</f>
        <v/>
      </c>
      <c r="V905" s="17">
        <f>IF($W905="","",CHOOSE($W905,"Collection Email","1st Follow-up","2nd Follow-up","Local Office","CBE","Roxanne")&amp;IF($W905=6," - Final"," - Day "&amp;MAX(0,NETWORKDAYS($X905,TODAY(),Holidays)-1)&amp;" of "&amp;CHOOSE($W905,3,3,2,2,3))&amp;" | Total Day "&amp;MAX(0,NETWORKDAYS($L905,TODAY(),Holidays)-1))</f>
        <v/>
      </c>
      <c r="W905" s="17">
        <f>IF($L905="","",COUNT($L905:$Q905))</f>
        <v/>
      </c>
      <c r="X905" s="18">
        <f>IF($W905="","",INT(INDEX($L905:$Q905,$W905)))</f>
        <v/>
      </c>
      <c r="Y905" s="18">
        <f>IF(OR($W905="",$W905=6),"",WORKDAY($X905,CHOOSE($W905,3,3,2,2,3),Holidays))</f>
        <v/>
      </c>
      <c r="Z905" s="17">
        <f>IF(OR($W905="",$W905=6),"",CHOOSE($W905,"1st Email Follow-up","2nd Email Follow-up","Escalate Local Office","Escalate to CBE","Escalate to Roxanne"))</f>
        <v/>
      </c>
    </row>
    <row r="906" spans="18:26">
      <c r="R906" s="15"/>
      <c r="S906" s="16"/>
      <c r="T906" s="17">
        <f>IF(AND(COUNTA($A906:$K906)=0,$L906=""),"",IF($S906="Paid","PAID",IF($S906="Closed","CLOSED",IF($W906="","",IF($W906=6,"ESCALATED TO ROXANNE",IF(TODAY()&gt;$Y906,"OVERDUE",IF($Y906&lt;=WORKDAY(TODAY(),1,Holidays),"DUE TOMORROW",IF($W906=4,"ESCALATED TO LOCAL OFFICE",IF($W906=5,"ESCALATED TO CBE",IF($X906=TODAY(),"EMAIL SENT","MONITORING"))))))))))</f>
        <v/>
      </c>
      <c r="U906" s="17">
        <f>IF($T906="",IF(AND(COUNTA($A906:$K906)&gt;0,$L906=""),"Awaiting Collection Email time stamp.",""),IF(OR($T906="PAID",$T906="CLOSED"),IF($T906="PAID","Account paid. Action completed.","Account closed. No further action required."),CHOOSE($W906,"Collection Email","1st Email Follow-up","2nd Email Follow-up","Escalation to Local Office","Escalation to CBE","Escalation to Roxanne")&amp;" sent "&amp;TEXT($X906,"dd-mmm")&amp;". "&amp;IF($W906=6,"Final escalation completed.",IF($T906="OVERDUE","Next: "&amp;$Z906&amp;" was due "&amp;TEXT($Y906,"dd-mmm")&amp;" - "&amp;(NETWORKDAYS($Y906,TODAY(),Holidays)-1)&amp;" business day(s) late. Send now.",IF($T906="DUE TOMORROW","Next: "&amp;$Z906&amp;IF($Y906&lt;=TODAY()," is due TODAY ("," is due next business day (")&amp;TEXT($Y906,"dd-mmm")&amp;").","Next: "&amp;$Z906&amp;" due "&amp;TEXT($Y906,"dd-mmm")&amp;" ("&amp;(NETWORKDAYS(TODAY(),$Y906,Holidays)-1)&amp;" business day(s) left).")))))</f>
        <v/>
      </c>
      <c r="V906" s="17">
        <f>IF($W906="","",CHOOSE($W906,"Collection Email","1st Follow-up","2nd Follow-up","Local Office","CBE","Roxanne")&amp;IF($W906=6," - Final"," - Day "&amp;MAX(0,NETWORKDAYS($X906,TODAY(),Holidays)-1)&amp;" of "&amp;CHOOSE($W906,3,3,2,2,3))&amp;" | Total Day "&amp;MAX(0,NETWORKDAYS($L906,TODAY(),Holidays)-1))</f>
        <v/>
      </c>
      <c r="W906" s="17">
        <f>IF($L906="","",COUNT($L906:$Q906))</f>
        <v/>
      </c>
      <c r="X906" s="18">
        <f>IF($W906="","",INT(INDEX($L906:$Q906,$W906)))</f>
        <v/>
      </c>
      <c r="Y906" s="18">
        <f>IF(OR($W906="",$W906=6),"",WORKDAY($X906,CHOOSE($W906,3,3,2,2,3),Holidays))</f>
        <v/>
      </c>
      <c r="Z906" s="17">
        <f>IF(OR($W906="",$W906=6),"",CHOOSE($W906,"1st Email Follow-up","2nd Email Follow-up","Escalate Local Office","Escalate to CBE","Escalate to Roxanne"))</f>
        <v/>
      </c>
    </row>
    <row r="907" spans="18:26">
      <c r="R907" s="15"/>
      <c r="S907" s="16"/>
      <c r="T907" s="17">
        <f>IF(AND(COUNTA($A907:$K907)=0,$L907=""),"",IF($S907="Paid","PAID",IF($S907="Closed","CLOSED",IF($W907="","",IF($W907=6,"ESCALATED TO ROXANNE",IF(TODAY()&gt;$Y907,"OVERDUE",IF($Y907&lt;=WORKDAY(TODAY(),1,Holidays),"DUE TOMORROW",IF($W907=4,"ESCALATED TO LOCAL OFFICE",IF($W907=5,"ESCALATED TO CBE",IF($X907=TODAY(),"EMAIL SENT","MONITORING"))))))))))</f>
        <v/>
      </c>
      <c r="U907" s="17">
        <f>IF($T907="",IF(AND(COUNTA($A907:$K907)&gt;0,$L907=""),"Awaiting Collection Email time stamp.",""),IF(OR($T907="PAID",$T907="CLOSED"),IF($T907="PAID","Account paid. Action completed.","Account closed. No further action required."),CHOOSE($W907,"Collection Email","1st Email Follow-up","2nd Email Follow-up","Escalation to Local Office","Escalation to CBE","Escalation to Roxanne")&amp;" sent "&amp;TEXT($X907,"dd-mmm")&amp;". "&amp;IF($W907=6,"Final escalation completed.",IF($T907="OVERDUE","Next: "&amp;$Z907&amp;" was due "&amp;TEXT($Y907,"dd-mmm")&amp;" - "&amp;(NETWORKDAYS($Y907,TODAY(),Holidays)-1)&amp;" business day(s) late. Send now.",IF($T907="DUE TOMORROW","Next: "&amp;$Z907&amp;IF($Y907&lt;=TODAY()," is due TODAY ("," is due next business day (")&amp;TEXT($Y907,"dd-mmm")&amp;").","Next: "&amp;$Z907&amp;" due "&amp;TEXT($Y907,"dd-mmm")&amp;" ("&amp;(NETWORKDAYS(TODAY(),$Y907,Holidays)-1)&amp;" business day(s) left).")))))</f>
        <v/>
      </c>
      <c r="V907" s="17">
        <f>IF($W907="","",CHOOSE($W907,"Collection Email","1st Follow-up","2nd Follow-up","Local Office","CBE","Roxanne")&amp;IF($W907=6," - Final"," - Day "&amp;MAX(0,NETWORKDAYS($X907,TODAY(),Holidays)-1)&amp;" of "&amp;CHOOSE($W907,3,3,2,2,3))&amp;" | Total Day "&amp;MAX(0,NETWORKDAYS($L907,TODAY(),Holidays)-1))</f>
        <v/>
      </c>
      <c r="W907" s="17">
        <f>IF($L907="","",COUNT($L907:$Q907))</f>
        <v/>
      </c>
      <c r="X907" s="18">
        <f>IF($W907="","",INT(INDEX($L907:$Q907,$W907)))</f>
        <v/>
      </c>
      <c r="Y907" s="18">
        <f>IF(OR($W907="",$W907=6),"",WORKDAY($X907,CHOOSE($W907,3,3,2,2,3),Holidays))</f>
        <v/>
      </c>
      <c r="Z907" s="17">
        <f>IF(OR($W907="",$W907=6),"",CHOOSE($W907,"1st Email Follow-up","2nd Email Follow-up","Escalate Local Office","Escalate to CBE","Escalate to Roxanne"))</f>
        <v/>
      </c>
    </row>
    <row r="908" spans="18:26">
      <c r="R908" s="15"/>
      <c r="S908" s="16"/>
      <c r="T908" s="17">
        <f>IF(AND(COUNTA($A908:$K908)=0,$L908=""),"",IF($S908="Paid","PAID",IF($S908="Closed","CLOSED",IF($W908="","",IF($W908=6,"ESCALATED TO ROXANNE",IF(TODAY()&gt;$Y908,"OVERDUE",IF($Y908&lt;=WORKDAY(TODAY(),1,Holidays),"DUE TOMORROW",IF($W908=4,"ESCALATED TO LOCAL OFFICE",IF($W908=5,"ESCALATED TO CBE",IF($X908=TODAY(),"EMAIL SENT","MONITORING"))))))))))</f>
        <v/>
      </c>
      <c r="U908" s="17">
        <f>IF($T908="",IF(AND(COUNTA($A908:$K908)&gt;0,$L908=""),"Awaiting Collection Email time stamp.",""),IF(OR($T908="PAID",$T908="CLOSED"),IF($T908="PAID","Account paid. Action completed.","Account closed. No further action required."),CHOOSE($W908,"Collection Email","1st Email Follow-up","2nd Email Follow-up","Escalation to Local Office","Escalation to CBE","Escalation to Roxanne")&amp;" sent "&amp;TEXT($X908,"dd-mmm")&amp;". "&amp;IF($W908=6,"Final escalation completed.",IF($T908="OVERDUE","Next: "&amp;$Z908&amp;" was due "&amp;TEXT($Y908,"dd-mmm")&amp;" - "&amp;(NETWORKDAYS($Y908,TODAY(),Holidays)-1)&amp;" business day(s) late. Send now.",IF($T908="DUE TOMORROW","Next: "&amp;$Z908&amp;IF($Y908&lt;=TODAY()," is due TODAY ("," is due next business day (")&amp;TEXT($Y908,"dd-mmm")&amp;").","Next: "&amp;$Z908&amp;" due "&amp;TEXT($Y908,"dd-mmm")&amp;" ("&amp;(NETWORKDAYS(TODAY(),$Y908,Holidays)-1)&amp;" business day(s) left).")))))</f>
        <v/>
      </c>
      <c r="V908" s="17">
        <f>IF($W908="","",CHOOSE($W908,"Collection Email","1st Follow-up","2nd Follow-up","Local Office","CBE","Roxanne")&amp;IF($W908=6," - Final"," - Day "&amp;MAX(0,NETWORKDAYS($X908,TODAY(),Holidays)-1)&amp;" of "&amp;CHOOSE($W908,3,3,2,2,3))&amp;" | Total Day "&amp;MAX(0,NETWORKDAYS($L908,TODAY(),Holidays)-1))</f>
        <v/>
      </c>
      <c r="W908" s="17">
        <f>IF($L908="","",COUNT($L908:$Q908))</f>
        <v/>
      </c>
      <c r="X908" s="18">
        <f>IF($W908="","",INT(INDEX($L908:$Q908,$W908)))</f>
        <v/>
      </c>
      <c r="Y908" s="18">
        <f>IF(OR($W908="",$W908=6),"",WORKDAY($X908,CHOOSE($W908,3,3,2,2,3),Holidays))</f>
        <v/>
      </c>
      <c r="Z908" s="17">
        <f>IF(OR($W908="",$W908=6),"",CHOOSE($W908,"1st Email Follow-up","2nd Email Follow-up","Escalate Local Office","Escalate to CBE","Escalate to Roxanne"))</f>
        <v/>
      </c>
    </row>
    <row r="909" spans="18:26">
      <c r="R909" s="15"/>
      <c r="S909" s="16"/>
      <c r="T909" s="17">
        <f>IF(AND(COUNTA($A909:$K909)=0,$L909=""),"",IF($S909="Paid","PAID",IF($S909="Closed","CLOSED",IF($W909="","",IF($W909=6,"ESCALATED TO ROXANNE",IF(TODAY()&gt;$Y909,"OVERDUE",IF($Y909&lt;=WORKDAY(TODAY(),1,Holidays),"DUE TOMORROW",IF($W909=4,"ESCALATED TO LOCAL OFFICE",IF($W909=5,"ESCALATED TO CBE",IF($X909=TODAY(),"EMAIL SENT","MONITORING"))))))))))</f>
        <v/>
      </c>
      <c r="U909" s="17">
        <f>IF($T909="",IF(AND(COUNTA($A909:$K909)&gt;0,$L909=""),"Awaiting Collection Email time stamp.",""),IF(OR($T909="PAID",$T909="CLOSED"),IF($T909="PAID","Account paid. Action completed.","Account closed. No further action required."),CHOOSE($W909,"Collection Email","1st Email Follow-up","2nd Email Follow-up","Escalation to Local Office","Escalation to CBE","Escalation to Roxanne")&amp;" sent "&amp;TEXT($X909,"dd-mmm")&amp;". "&amp;IF($W909=6,"Final escalation completed.",IF($T909="OVERDUE","Next: "&amp;$Z909&amp;" was due "&amp;TEXT($Y909,"dd-mmm")&amp;" - "&amp;(NETWORKDAYS($Y909,TODAY(),Holidays)-1)&amp;" business day(s) late. Send now.",IF($T909="DUE TOMORROW","Next: "&amp;$Z909&amp;IF($Y909&lt;=TODAY()," is due TODAY ("," is due next business day (")&amp;TEXT($Y909,"dd-mmm")&amp;").","Next: "&amp;$Z909&amp;" due "&amp;TEXT($Y909,"dd-mmm")&amp;" ("&amp;(NETWORKDAYS(TODAY(),$Y909,Holidays)-1)&amp;" business day(s) left).")))))</f>
        <v/>
      </c>
      <c r="V909" s="17">
        <f>IF($W909="","",CHOOSE($W909,"Collection Email","1st Follow-up","2nd Follow-up","Local Office","CBE","Roxanne")&amp;IF($W909=6," - Final"," - Day "&amp;MAX(0,NETWORKDAYS($X909,TODAY(),Holidays)-1)&amp;" of "&amp;CHOOSE($W909,3,3,2,2,3))&amp;" | Total Day "&amp;MAX(0,NETWORKDAYS($L909,TODAY(),Holidays)-1))</f>
        <v/>
      </c>
      <c r="W909" s="17">
        <f>IF($L909="","",COUNT($L909:$Q909))</f>
        <v/>
      </c>
      <c r="X909" s="18">
        <f>IF($W909="","",INT(INDEX($L909:$Q909,$W909)))</f>
        <v/>
      </c>
      <c r="Y909" s="18">
        <f>IF(OR($W909="",$W909=6),"",WORKDAY($X909,CHOOSE($W909,3,3,2,2,3),Holidays))</f>
        <v/>
      </c>
      <c r="Z909" s="17">
        <f>IF(OR($W909="",$W909=6),"",CHOOSE($W909,"1st Email Follow-up","2nd Email Follow-up","Escalate Local Office","Escalate to CBE","Escalate to Roxanne"))</f>
        <v/>
      </c>
    </row>
    <row r="910" spans="18:26">
      <c r="R910" s="15"/>
      <c r="S910" s="16"/>
      <c r="T910" s="17">
        <f>IF(AND(COUNTA($A910:$K910)=0,$L910=""),"",IF($S910="Paid","PAID",IF($S910="Closed","CLOSED",IF($W910="","",IF($W910=6,"ESCALATED TO ROXANNE",IF(TODAY()&gt;$Y910,"OVERDUE",IF($Y910&lt;=WORKDAY(TODAY(),1,Holidays),"DUE TOMORROW",IF($W910=4,"ESCALATED TO LOCAL OFFICE",IF($W910=5,"ESCALATED TO CBE",IF($X910=TODAY(),"EMAIL SENT","MONITORING"))))))))))</f>
        <v/>
      </c>
      <c r="U910" s="17">
        <f>IF($T910="",IF(AND(COUNTA($A910:$K910)&gt;0,$L910=""),"Awaiting Collection Email time stamp.",""),IF(OR($T910="PAID",$T910="CLOSED"),IF($T910="PAID","Account paid. Action completed.","Account closed. No further action required."),CHOOSE($W910,"Collection Email","1st Email Follow-up","2nd Email Follow-up","Escalation to Local Office","Escalation to CBE","Escalation to Roxanne")&amp;" sent "&amp;TEXT($X910,"dd-mmm")&amp;". "&amp;IF($W910=6,"Final escalation completed.",IF($T910="OVERDUE","Next: "&amp;$Z910&amp;" was due "&amp;TEXT($Y910,"dd-mmm")&amp;" - "&amp;(NETWORKDAYS($Y910,TODAY(),Holidays)-1)&amp;" business day(s) late. Send now.",IF($T910="DUE TOMORROW","Next: "&amp;$Z910&amp;IF($Y910&lt;=TODAY()," is due TODAY ("," is due next business day (")&amp;TEXT($Y910,"dd-mmm")&amp;").","Next: "&amp;$Z910&amp;" due "&amp;TEXT($Y910,"dd-mmm")&amp;" ("&amp;(NETWORKDAYS(TODAY(),$Y910,Holidays)-1)&amp;" business day(s) left).")))))</f>
        <v/>
      </c>
      <c r="V910" s="17">
        <f>IF($W910="","",CHOOSE($W910,"Collection Email","1st Follow-up","2nd Follow-up","Local Office","CBE","Roxanne")&amp;IF($W910=6," - Final"," - Day "&amp;MAX(0,NETWORKDAYS($X910,TODAY(),Holidays)-1)&amp;" of "&amp;CHOOSE($W910,3,3,2,2,3))&amp;" | Total Day "&amp;MAX(0,NETWORKDAYS($L910,TODAY(),Holidays)-1))</f>
        <v/>
      </c>
      <c r="W910" s="17">
        <f>IF($L910="","",COUNT($L910:$Q910))</f>
        <v/>
      </c>
      <c r="X910" s="18">
        <f>IF($W910="","",INT(INDEX($L910:$Q910,$W910)))</f>
        <v/>
      </c>
      <c r="Y910" s="18">
        <f>IF(OR($W910="",$W910=6),"",WORKDAY($X910,CHOOSE($W910,3,3,2,2,3),Holidays))</f>
        <v/>
      </c>
      <c r="Z910" s="17">
        <f>IF(OR($W910="",$W910=6),"",CHOOSE($W910,"1st Email Follow-up","2nd Email Follow-up","Escalate Local Office","Escalate to CBE","Escalate to Roxanne"))</f>
        <v/>
      </c>
    </row>
    <row r="911" spans="18:26">
      <c r="R911" s="15"/>
      <c r="S911" s="16"/>
      <c r="T911" s="17">
        <f>IF(AND(COUNTA($A911:$K911)=0,$L911=""),"",IF($S911="Paid","PAID",IF($S911="Closed","CLOSED",IF($W911="","",IF($W911=6,"ESCALATED TO ROXANNE",IF(TODAY()&gt;$Y911,"OVERDUE",IF($Y911&lt;=WORKDAY(TODAY(),1,Holidays),"DUE TOMORROW",IF($W911=4,"ESCALATED TO LOCAL OFFICE",IF($W911=5,"ESCALATED TO CBE",IF($X911=TODAY(),"EMAIL SENT","MONITORING"))))))))))</f>
        <v/>
      </c>
      <c r="U911" s="17">
        <f>IF($T911="",IF(AND(COUNTA($A911:$K911)&gt;0,$L911=""),"Awaiting Collection Email time stamp.",""),IF(OR($T911="PAID",$T911="CLOSED"),IF($T911="PAID","Account paid. Action completed.","Account closed. No further action required."),CHOOSE($W911,"Collection Email","1st Email Follow-up","2nd Email Follow-up","Escalation to Local Office","Escalation to CBE","Escalation to Roxanne")&amp;" sent "&amp;TEXT($X911,"dd-mmm")&amp;". "&amp;IF($W911=6,"Final escalation completed.",IF($T911="OVERDUE","Next: "&amp;$Z911&amp;" was due "&amp;TEXT($Y911,"dd-mmm")&amp;" - "&amp;(NETWORKDAYS($Y911,TODAY(),Holidays)-1)&amp;" business day(s) late. Send now.",IF($T911="DUE TOMORROW","Next: "&amp;$Z911&amp;IF($Y911&lt;=TODAY()," is due TODAY ("," is due next business day (")&amp;TEXT($Y911,"dd-mmm")&amp;").","Next: "&amp;$Z911&amp;" due "&amp;TEXT($Y911,"dd-mmm")&amp;" ("&amp;(NETWORKDAYS(TODAY(),$Y911,Holidays)-1)&amp;" business day(s) left).")))))</f>
        <v/>
      </c>
      <c r="V911" s="17">
        <f>IF($W911="","",CHOOSE($W911,"Collection Email","1st Follow-up","2nd Follow-up","Local Office","CBE","Roxanne")&amp;IF($W911=6," - Final"," - Day "&amp;MAX(0,NETWORKDAYS($X911,TODAY(),Holidays)-1)&amp;" of "&amp;CHOOSE($W911,3,3,2,2,3))&amp;" | Total Day "&amp;MAX(0,NETWORKDAYS($L911,TODAY(),Holidays)-1))</f>
        <v/>
      </c>
      <c r="W911" s="17">
        <f>IF($L911="","",COUNT($L911:$Q911))</f>
        <v/>
      </c>
      <c r="X911" s="18">
        <f>IF($W911="","",INT(INDEX($L911:$Q911,$W911)))</f>
        <v/>
      </c>
      <c r="Y911" s="18">
        <f>IF(OR($W911="",$W911=6),"",WORKDAY($X911,CHOOSE($W911,3,3,2,2,3),Holidays))</f>
        <v/>
      </c>
      <c r="Z911" s="17">
        <f>IF(OR($W911="",$W911=6),"",CHOOSE($W911,"1st Email Follow-up","2nd Email Follow-up","Escalate Local Office","Escalate to CBE","Escalate to Roxanne"))</f>
        <v/>
      </c>
    </row>
    <row r="912" spans="18:26">
      <c r="R912" s="15"/>
      <c r="S912" s="16"/>
      <c r="T912" s="17">
        <f>IF(AND(COUNTA($A912:$K912)=0,$L912=""),"",IF($S912="Paid","PAID",IF($S912="Closed","CLOSED",IF($W912="","",IF($W912=6,"ESCALATED TO ROXANNE",IF(TODAY()&gt;$Y912,"OVERDUE",IF($Y912&lt;=WORKDAY(TODAY(),1,Holidays),"DUE TOMORROW",IF($W912=4,"ESCALATED TO LOCAL OFFICE",IF($W912=5,"ESCALATED TO CBE",IF($X912=TODAY(),"EMAIL SENT","MONITORING"))))))))))</f>
        <v/>
      </c>
      <c r="U912" s="17">
        <f>IF($T912="",IF(AND(COUNTA($A912:$K912)&gt;0,$L912=""),"Awaiting Collection Email time stamp.",""),IF(OR($T912="PAID",$T912="CLOSED"),IF($T912="PAID","Account paid. Action completed.","Account closed. No further action required."),CHOOSE($W912,"Collection Email","1st Email Follow-up","2nd Email Follow-up","Escalation to Local Office","Escalation to CBE","Escalation to Roxanne")&amp;" sent "&amp;TEXT($X912,"dd-mmm")&amp;". "&amp;IF($W912=6,"Final escalation completed.",IF($T912="OVERDUE","Next: "&amp;$Z912&amp;" was due "&amp;TEXT($Y912,"dd-mmm")&amp;" - "&amp;(NETWORKDAYS($Y912,TODAY(),Holidays)-1)&amp;" business day(s) late. Send now.",IF($T912="DUE TOMORROW","Next: "&amp;$Z912&amp;IF($Y912&lt;=TODAY()," is due TODAY ("," is due next business day (")&amp;TEXT($Y912,"dd-mmm")&amp;").","Next: "&amp;$Z912&amp;" due "&amp;TEXT($Y912,"dd-mmm")&amp;" ("&amp;(NETWORKDAYS(TODAY(),$Y912,Holidays)-1)&amp;" business day(s) left).")))))</f>
        <v/>
      </c>
      <c r="V912" s="17">
        <f>IF($W912="","",CHOOSE($W912,"Collection Email","1st Follow-up","2nd Follow-up","Local Office","CBE","Roxanne")&amp;IF($W912=6," - Final"," - Day "&amp;MAX(0,NETWORKDAYS($X912,TODAY(),Holidays)-1)&amp;" of "&amp;CHOOSE($W912,3,3,2,2,3))&amp;" | Total Day "&amp;MAX(0,NETWORKDAYS($L912,TODAY(),Holidays)-1))</f>
        <v/>
      </c>
      <c r="W912" s="17">
        <f>IF($L912="","",COUNT($L912:$Q912))</f>
        <v/>
      </c>
      <c r="X912" s="18">
        <f>IF($W912="","",INT(INDEX($L912:$Q912,$W912)))</f>
        <v/>
      </c>
      <c r="Y912" s="18">
        <f>IF(OR($W912="",$W912=6),"",WORKDAY($X912,CHOOSE($W912,3,3,2,2,3),Holidays))</f>
        <v/>
      </c>
      <c r="Z912" s="17">
        <f>IF(OR($W912="",$W912=6),"",CHOOSE($W912,"1st Email Follow-up","2nd Email Follow-up","Escalate Local Office","Escalate to CBE","Escalate to Roxanne"))</f>
        <v/>
      </c>
    </row>
    <row r="913" spans="18:26">
      <c r="R913" s="15"/>
      <c r="S913" s="16"/>
      <c r="T913" s="17">
        <f>IF(AND(COUNTA($A913:$K913)=0,$L913=""),"",IF($S913="Paid","PAID",IF($S913="Closed","CLOSED",IF($W913="","",IF($W913=6,"ESCALATED TO ROXANNE",IF(TODAY()&gt;$Y913,"OVERDUE",IF($Y913&lt;=WORKDAY(TODAY(),1,Holidays),"DUE TOMORROW",IF($W913=4,"ESCALATED TO LOCAL OFFICE",IF($W913=5,"ESCALATED TO CBE",IF($X913=TODAY(),"EMAIL SENT","MONITORING"))))))))))</f>
        <v/>
      </c>
      <c r="U913" s="17">
        <f>IF($T913="",IF(AND(COUNTA($A913:$K913)&gt;0,$L913=""),"Awaiting Collection Email time stamp.",""),IF(OR($T913="PAID",$T913="CLOSED"),IF($T913="PAID","Account paid. Action completed.","Account closed. No further action required."),CHOOSE($W913,"Collection Email","1st Email Follow-up","2nd Email Follow-up","Escalation to Local Office","Escalation to CBE","Escalation to Roxanne")&amp;" sent "&amp;TEXT($X913,"dd-mmm")&amp;". "&amp;IF($W913=6,"Final escalation completed.",IF($T913="OVERDUE","Next: "&amp;$Z913&amp;" was due "&amp;TEXT($Y913,"dd-mmm")&amp;" - "&amp;(NETWORKDAYS($Y913,TODAY(),Holidays)-1)&amp;" business day(s) late. Send now.",IF($T913="DUE TOMORROW","Next: "&amp;$Z913&amp;IF($Y913&lt;=TODAY()," is due TODAY ("," is due next business day (")&amp;TEXT($Y913,"dd-mmm")&amp;").","Next: "&amp;$Z913&amp;" due "&amp;TEXT($Y913,"dd-mmm")&amp;" ("&amp;(NETWORKDAYS(TODAY(),$Y913,Holidays)-1)&amp;" business day(s) left).")))))</f>
        <v/>
      </c>
      <c r="V913" s="17">
        <f>IF($W913="","",CHOOSE($W913,"Collection Email","1st Follow-up","2nd Follow-up","Local Office","CBE","Roxanne")&amp;IF($W913=6," - Final"," - Day "&amp;MAX(0,NETWORKDAYS($X913,TODAY(),Holidays)-1)&amp;" of "&amp;CHOOSE($W913,3,3,2,2,3))&amp;" | Total Day "&amp;MAX(0,NETWORKDAYS($L913,TODAY(),Holidays)-1))</f>
        <v/>
      </c>
      <c r="W913" s="17">
        <f>IF($L913="","",COUNT($L913:$Q913))</f>
        <v/>
      </c>
      <c r="X913" s="18">
        <f>IF($W913="","",INT(INDEX($L913:$Q913,$W913)))</f>
        <v/>
      </c>
      <c r="Y913" s="18">
        <f>IF(OR($W913="",$W913=6),"",WORKDAY($X913,CHOOSE($W913,3,3,2,2,3),Holidays))</f>
        <v/>
      </c>
      <c r="Z913" s="17">
        <f>IF(OR($W913="",$W913=6),"",CHOOSE($W913,"1st Email Follow-up","2nd Email Follow-up","Escalate Local Office","Escalate to CBE","Escalate to Roxanne"))</f>
        <v/>
      </c>
    </row>
    <row r="914" spans="18:26">
      <c r="R914" s="15"/>
      <c r="S914" s="16"/>
      <c r="T914" s="17">
        <f>IF(AND(COUNTA($A914:$K914)=0,$L914=""),"",IF($S914="Paid","PAID",IF($S914="Closed","CLOSED",IF($W914="","",IF($W914=6,"ESCALATED TO ROXANNE",IF(TODAY()&gt;$Y914,"OVERDUE",IF($Y914&lt;=WORKDAY(TODAY(),1,Holidays),"DUE TOMORROW",IF($W914=4,"ESCALATED TO LOCAL OFFICE",IF($W914=5,"ESCALATED TO CBE",IF($X914=TODAY(),"EMAIL SENT","MONITORING"))))))))))</f>
        <v/>
      </c>
      <c r="U914" s="17">
        <f>IF($T914="",IF(AND(COUNTA($A914:$K914)&gt;0,$L914=""),"Awaiting Collection Email time stamp.",""),IF(OR($T914="PAID",$T914="CLOSED"),IF($T914="PAID","Account paid. Action completed.","Account closed. No further action required."),CHOOSE($W914,"Collection Email","1st Email Follow-up","2nd Email Follow-up","Escalation to Local Office","Escalation to CBE","Escalation to Roxanne")&amp;" sent "&amp;TEXT($X914,"dd-mmm")&amp;". "&amp;IF($W914=6,"Final escalation completed.",IF($T914="OVERDUE","Next: "&amp;$Z914&amp;" was due "&amp;TEXT($Y914,"dd-mmm")&amp;" - "&amp;(NETWORKDAYS($Y914,TODAY(),Holidays)-1)&amp;" business day(s) late. Send now.",IF($T914="DUE TOMORROW","Next: "&amp;$Z914&amp;IF($Y914&lt;=TODAY()," is due TODAY ("," is due next business day (")&amp;TEXT($Y914,"dd-mmm")&amp;").","Next: "&amp;$Z914&amp;" due "&amp;TEXT($Y914,"dd-mmm")&amp;" ("&amp;(NETWORKDAYS(TODAY(),$Y914,Holidays)-1)&amp;" business day(s) left).")))))</f>
        <v/>
      </c>
      <c r="V914" s="17">
        <f>IF($W914="","",CHOOSE($W914,"Collection Email","1st Follow-up","2nd Follow-up","Local Office","CBE","Roxanne")&amp;IF($W914=6," - Final"," - Day "&amp;MAX(0,NETWORKDAYS($X914,TODAY(),Holidays)-1)&amp;" of "&amp;CHOOSE($W914,3,3,2,2,3))&amp;" | Total Day "&amp;MAX(0,NETWORKDAYS($L914,TODAY(),Holidays)-1))</f>
        <v/>
      </c>
      <c r="W914" s="17">
        <f>IF($L914="","",COUNT($L914:$Q914))</f>
        <v/>
      </c>
      <c r="X914" s="18">
        <f>IF($W914="","",INT(INDEX($L914:$Q914,$W914)))</f>
        <v/>
      </c>
      <c r="Y914" s="18">
        <f>IF(OR($W914="",$W914=6),"",WORKDAY($X914,CHOOSE($W914,3,3,2,2,3),Holidays))</f>
        <v/>
      </c>
      <c r="Z914" s="17">
        <f>IF(OR($W914="",$W914=6),"",CHOOSE($W914,"1st Email Follow-up","2nd Email Follow-up","Escalate Local Office","Escalate to CBE","Escalate to Roxanne"))</f>
        <v/>
      </c>
    </row>
    <row r="915" spans="18:26">
      <c r="R915" s="15"/>
      <c r="S915" s="16"/>
      <c r="T915" s="17">
        <f>IF(AND(COUNTA($A915:$K915)=0,$L915=""),"",IF($S915="Paid","PAID",IF($S915="Closed","CLOSED",IF($W915="","",IF($W915=6,"ESCALATED TO ROXANNE",IF(TODAY()&gt;$Y915,"OVERDUE",IF($Y915&lt;=WORKDAY(TODAY(),1,Holidays),"DUE TOMORROW",IF($W915=4,"ESCALATED TO LOCAL OFFICE",IF($W915=5,"ESCALATED TO CBE",IF($X915=TODAY(),"EMAIL SENT","MONITORING"))))))))))</f>
        <v/>
      </c>
      <c r="U915" s="17">
        <f>IF($T915="",IF(AND(COUNTA($A915:$K915)&gt;0,$L915=""),"Awaiting Collection Email time stamp.",""),IF(OR($T915="PAID",$T915="CLOSED"),IF($T915="PAID","Account paid. Action completed.","Account closed. No further action required."),CHOOSE($W915,"Collection Email","1st Email Follow-up","2nd Email Follow-up","Escalation to Local Office","Escalation to CBE","Escalation to Roxanne")&amp;" sent "&amp;TEXT($X915,"dd-mmm")&amp;". "&amp;IF($W915=6,"Final escalation completed.",IF($T915="OVERDUE","Next: "&amp;$Z915&amp;" was due "&amp;TEXT($Y915,"dd-mmm")&amp;" - "&amp;(NETWORKDAYS($Y915,TODAY(),Holidays)-1)&amp;" business day(s) late. Send now.",IF($T915="DUE TOMORROW","Next: "&amp;$Z915&amp;IF($Y915&lt;=TODAY()," is due TODAY ("," is due next business day (")&amp;TEXT($Y915,"dd-mmm")&amp;").","Next: "&amp;$Z915&amp;" due "&amp;TEXT($Y915,"dd-mmm")&amp;" ("&amp;(NETWORKDAYS(TODAY(),$Y915,Holidays)-1)&amp;" business day(s) left).")))))</f>
        <v/>
      </c>
      <c r="V915" s="17">
        <f>IF($W915="","",CHOOSE($W915,"Collection Email","1st Follow-up","2nd Follow-up","Local Office","CBE","Roxanne")&amp;IF($W915=6," - Final"," - Day "&amp;MAX(0,NETWORKDAYS($X915,TODAY(),Holidays)-1)&amp;" of "&amp;CHOOSE($W915,3,3,2,2,3))&amp;" | Total Day "&amp;MAX(0,NETWORKDAYS($L915,TODAY(),Holidays)-1))</f>
        <v/>
      </c>
      <c r="W915" s="17">
        <f>IF($L915="","",COUNT($L915:$Q915))</f>
        <v/>
      </c>
      <c r="X915" s="18">
        <f>IF($W915="","",INT(INDEX($L915:$Q915,$W915)))</f>
        <v/>
      </c>
      <c r="Y915" s="18">
        <f>IF(OR($W915="",$W915=6),"",WORKDAY($X915,CHOOSE($W915,3,3,2,2,3),Holidays))</f>
        <v/>
      </c>
      <c r="Z915" s="17">
        <f>IF(OR($W915="",$W915=6),"",CHOOSE($W915,"1st Email Follow-up","2nd Email Follow-up","Escalate Local Office","Escalate to CBE","Escalate to Roxanne"))</f>
        <v/>
      </c>
    </row>
    <row r="916" spans="18:26">
      <c r="R916" s="15"/>
      <c r="S916" s="16"/>
      <c r="T916" s="17">
        <f>IF(AND(COUNTA($A916:$K916)=0,$L916=""),"",IF($S916="Paid","PAID",IF($S916="Closed","CLOSED",IF($W916="","",IF($W916=6,"ESCALATED TO ROXANNE",IF(TODAY()&gt;$Y916,"OVERDUE",IF($Y916&lt;=WORKDAY(TODAY(),1,Holidays),"DUE TOMORROW",IF($W916=4,"ESCALATED TO LOCAL OFFICE",IF($W916=5,"ESCALATED TO CBE",IF($X916=TODAY(),"EMAIL SENT","MONITORING"))))))))))</f>
        <v/>
      </c>
      <c r="U916" s="17">
        <f>IF($T916="",IF(AND(COUNTA($A916:$K916)&gt;0,$L916=""),"Awaiting Collection Email time stamp.",""),IF(OR($T916="PAID",$T916="CLOSED"),IF($T916="PAID","Account paid. Action completed.","Account closed. No further action required."),CHOOSE($W916,"Collection Email","1st Email Follow-up","2nd Email Follow-up","Escalation to Local Office","Escalation to CBE","Escalation to Roxanne")&amp;" sent "&amp;TEXT($X916,"dd-mmm")&amp;". "&amp;IF($W916=6,"Final escalation completed.",IF($T916="OVERDUE","Next: "&amp;$Z916&amp;" was due "&amp;TEXT($Y916,"dd-mmm")&amp;" - "&amp;(NETWORKDAYS($Y916,TODAY(),Holidays)-1)&amp;" business day(s) late. Send now.",IF($T916="DUE TOMORROW","Next: "&amp;$Z916&amp;IF($Y916&lt;=TODAY()," is due TODAY ("," is due next business day (")&amp;TEXT($Y916,"dd-mmm")&amp;").","Next: "&amp;$Z916&amp;" due "&amp;TEXT($Y916,"dd-mmm")&amp;" ("&amp;(NETWORKDAYS(TODAY(),$Y916,Holidays)-1)&amp;" business day(s) left).")))))</f>
        <v/>
      </c>
      <c r="V916" s="17">
        <f>IF($W916="","",CHOOSE($W916,"Collection Email","1st Follow-up","2nd Follow-up","Local Office","CBE","Roxanne")&amp;IF($W916=6," - Final"," - Day "&amp;MAX(0,NETWORKDAYS($X916,TODAY(),Holidays)-1)&amp;" of "&amp;CHOOSE($W916,3,3,2,2,3))&amp;" | Total Day "&amp;MAX(0,NETWORKDAYS($L916,TODAY(),Holidays)-1))</f>
        <v/>
      </c>
      <c r="W916" s="17">
        <f>IF($L916="","",COUNT($L916:$Q916))</f>
        <v/>
      </c>
      <c r="X916" s="18">
        <f>IF($W916="","",INT(INDEX($L916:$Q916,$W916)))</f>
        <v/>
      </c>
      <c r="Y916" s="18">
        <f>IF(OR($W916="",$W916=6),"",WORKDAY($X916,CHOOSE($W916,3,3,2,2,3),Holidays))</f>
        <v/>
      </c>
      <c r="Z916" s="17">
        <f>IF(OR($W916="",$W916=6),"",CHOOSE($W916,"1st Email Follow-up","2nd Email Follow-up","Escalate Local Office","Escalate to CBE","Escalate to Roxanne"))</f>
        <v/>
      </c>
    </row>
    <row r="917" spans="18:26">
      <c r="R917" s="15"/>
      <c r="S917" s="16"/>
      <c r="T917" s="17">
        <f>IF(AND(COUNTA($A917:$K917)=0,$L917=""),"",IF($S917="Paid","PAID",IF($S917="Closed","CLOSED",IF($W917="","",IF($W917=6,"ESCALATED TO ROXANNE",IF(TODAY()&gt;$Y917,"OVERDUE",IF($Y917&lt;=WORKDAY(TODAY(),1,Holidays),"DUE TOMORROW",IF($W917=4,"ESCALATED TO LOCAL OFFICE",IF($W917=5,"ESCALATED TO CBE",IF($X917=TODAY(),"EMAIL SENT","MONITORING"))))))))))</f>
        <v/>
      </c>
      <c r="U917" s="17">
        <f>IF($T917="",IF(AND(COUNTA($A917:$K917)&gt;0,$L917=""),"Awaiting Collection Email time stamp.",""),IF(OR($T917="PAID",$T917="CLOSED"),IF($T917="PAID","Account paid. Action completed.","Account closed. No further action required."),CHOOSE($W917,"Collection Email","1st Email Follow-up","2nd Email Follow-up","Escalation to Local Office","Escalation to CBE","Escalation to Roxanne")&amp;" sent "&amp;TEXT($X917,"dd-mmm")&amp;". "&amp;IF($W917=6,"Final escalation completed.",IF($T917="OVERDUE","Next: "&amp;$Z917&amp;" was due "&amp;TEXT($Y917,"dd-mmm")&amp;" - "&amp;(NETWORKDAYS($Y917,TODAY(),Holidays)-1)&amp;" business day(s) late. Send now.",IF($T917="DUE TOMORROW","Next: "&amp;$Z917&amp;IF($Y917&lt;=TODAY()," is due TODAY ("," is due next business day (")&amp;TEXT($Y917,"dd-mmm")&amp;").","Next: "&amp;$Z917&amp;" due "&amp;TEXT($Y917,"dd-mmm")&amp;" ("&amp;(NETWORKDAYS(TODAY(),$Y917,Holidays)-1)&amp;" business day(s) left).")))))</f>
        <v/>
      </c>
      <c r="V917" s="17">
        <f>IF($W917="","",CHOOSE($W917,"Collection Email","1st Follow-up","2nd Follow-up","Local Office","CBE","Roxanne")&amp;IF($W917=6," - Final"," - Day "&amp;MAX(0,NETWORKDAYS($X917,TODAY(),Holidays)-1)&amp;" of "&amp;CHOOSE($W917,3,3,2,2,3))&amp;" | Total Day "&amp;MAX(0,NETWORKDAYS($L917,TODAY(),Holidays)-1))</f>
        <v/>
      </c>
      <c r="W917" s="17">
        <f>IF($L917="","",COUNT($L917:$Q917))</f>
        <v/>
      </c>
      <c r="X917" s="18">
        <f>IF($W917="","",INT(INDEX($L917:$Q917,$W917)))</f>
        <v/>
      </c>
      <c r="Y917" s="18">
        <f>IF(OR($W917="",$W917=6),"",WORKDAY($X917,CHOOSE($W917,3,3,2,2,3),Holidays))</f>
        <v/>
      </c>
      <c r="Z917" s="17">
        <f>IF(OR($W917="",$W917=6),"",CHOOSE($W917,"1st Email Follow-up","2nd Email Follow-up","Escalate Local Office","Escalate to CBE","Escalate to Roxanne"))</f>
        <v/>
      </c>
    </row>
    <row r="918" spans="18:26">
      <c r="R918" s="15"/>
      <c r="S918" s="16"/>
      <c r="T918" s="17">
        <f>IF(AND(COUNTA($A918:$K918)=0,$L918=""),"",IF($S918="Paid","PAID",IF($S918="Closed","CLOSED",IF($W918="","",IF($W918=6,"ESCALATED TO ROXANNE",IF(TODAY()&gt;$Y918,"OVERDUE",IF($Y918&lt;=WORKDAY(TODAY(),1,Holidays),"DUE TOMORROW",IF($W918=4,"ESCALATED TO LOCAL OFFICE",IF($W918=5,"ESCALATED TO CBE",IF($X918=TODAY(),"EMAIL SENT","MONITORING"))))))))))</f>
        <v/>
      </c>
      <c r="U918" s="17">
        <f>IF($T918="",IF(AND(COUNTA($A918:$K918)&gt;0,$L918=""),"Awaiting Collection Email time stamp.",""),IF(OR($T918="PAID",$T918="CLOSED"),IF($T918="PAID","Account paid. Action completed.","Account closed. No further action required."),CHOOSE($W918,"Collection Email","1st Email Follow-up","2nd Email Follow-up","Escalation to Local Office","Escalation to CBE","Escalation to Roxanne")&amp;" sent "&amp;TEXT($X918,"dd-mmm")&amp;". "&amp;IF($W918=6,"Final escalation completed.",IF($T918="OVERDUE","Next: "&amp;$Z918&amp;" was due "&amp;TEXT($Y918,"dd-mmm")&amp;" - "&amp;(NETWORKDAYS($Y918,TODAY(),Holidays)-1)&amp;" business day(s) late. Send now.",IF($T918="DUE TOMORROW","Next: "&amp;$Z918&amp;IF($Y918&lt;=TODAY()," is due TODAY ("," is due next business day (")&amp;TEXT($Y918,"dd-mmm")&amp;").","Next: "&amp;$Z918&amp;" due "&amp;TEXT($Y918,"dd-mmm")&amp;" ("&amp;(NETWORKDAYS(TODAY(),$Y918,Holidays)-1)&amp;" business day(s) left).")))))</f>
        <v/>
      </c>
      <c r="V918" s="17">
        <f>IF($W918="","",CHOOSE($W918,"Collection Email","1st Follow-up","2nd Follow-up","Local Office","CBE","Roxanne")&amp;IF($W918=6," - Final"," - Day "&amp;MAX(0,NETWORKDAYS($X918,TODAY(),Holidays)-1)&amp;" of "&amp;CHOOSE($W918,3,3,2,2,3))&amp;" | Total Day "&amp;MAX(0,NETWORKDAYS($L918,TODAY(),Holidays)-1))</f>
        <v/>
      </c>
      <c r="W918" s="17">
        <f>IF($L918="","",COUNT($L918:$Q918))</f>
        <v/>
      </c>
      <c r="X918" s="18">
        <f>IF($W918="","",INT(INDEX($L918:$Q918,$W918)))</f>
        <v/>
      </c>
      <c r="Y918" s="18">
        <f>IF(OR($W918="",$W918=6),"",WORKDAY($X918,CHOOSE($W918,3,3,2,2,3),Holidays))</f>
        <v/>
      </c>
      <c r="Z918" s="17">
        <f>IF(OR($W918="",$W918=6),"",CHOOSE($W918,"1st Email Follow-up","2nd Email Follow-up","Escalate Local Office","Escalate to CBE","Escalate to Roxanne"))</f>
        <v/>
      </c>
    </row>
    <row r="919" spans="18:26">
      <c r="R919" s="15"/>
      <c r="S919" s="16"/>
      <c r="T919" s="17">
        <f>IF(AND(COUNTA($A919:$K919)=0,$L919=""),"",IF($S919="Paid","PAID",IF($S919="Closed","CLOSED",IF($W919="","",IF($W919=6,"ESCALATED TO ROXANNE",IF(TODAY()&gt;$Y919,"OVERDUE",IF($Y919&lt;=WORKDAY(TODAY(),1,Holidays),"DUE TOMORROW",IF($W919=4,"ESCALATED TO LOCAL OFFICE",IF($W919=5,"ESCALATED TO CBE",IF($X919=TODAY(),"EMAIL SENT","MONITORING"))))))))))</f>
        <v/>
      </c>
      <c r="U919" s="17">
        <f>IF($T919="",IF(AND(COUNTA($A919:$K919)&gt;0,$L919=""),"Awaiting Collection Email time stamp.",""),IF(OR($T919="PAID",$T919="CLOSED"),IF($T919="PAID","Account paid. Action completed.","Account closed. No further action required."),CHOOSE($W919,"Collection Email","1st Email Follow-up","2nd Email Follow-up","Escalation to Local Office","Escalation to CBE","Escalation to Roxanne")&amp;" sent "&amp;TEXT($X919,"dd-mmm")&amp;". "&amp;IF($W919=6,"Final escalation completed.",IF($T919="OVERDUE","Next: "&amp;$Z919&amp;" was due "&amp;TEXT($Y919,"dd-mmm")&amp;" - "&amp;(NETWORKDAYS($Y919,TODAY(),Holidays)-1)&amp;" business day(s) late. Send now.",IF($T919="DUE TOMORROW","Next: "&amp;$Z919&amp;IF($Y919&lt;=TODAY()," is due TODAY ("," is due next business day (")&amp;TEXT($Y919,"dd-mmm")&amp;").","Next: "&amp;$Z919&amp;" due "&amp;TEXT($Y919,"dd-mmm")&amp;" ("&amp;(NETWORKDAYS(TODAY(),$Y919,Holidays)-1)&amp;" business day(s) left).")))))</f>
        <v/>
      </c>
      <c r="V919" s="17">
        <f>IF($W919="","",CHOOSE($W919,"Collection Email","1st Follow-up","2nd Follow-up","Local Office","CBE","Roxanne")&amp;IF($W919=6," - Final"," - Day "&amp;MAX(0,NETWORKDAYS($X919,TODAY(),Holidays)-1)&amp;" of "&amp;CHOOSE($W919,3,3,2,2,3))&amp;" | Total Day "&amp;MAX(0,NETWORKDAYS($L919,TODAY(),Holidays)-1))</f>
        <v/>
      </c>
      <c r="W919" s="17">
        <f>IF($L919="","",COUNT($L919:$Q919))</f>
        <v/>
      </c>
      <c r="X919" s="18">
        <f>IF($W919="","",INT(INDEX($L919:$Q919,$W919)))</f>
        <v/>
      </c>
      <c r="Y919" s="18">
        <f>IF(OR($W919="",$W919=6),"",WORKDAY($X919,CHOOSE($W919,3,3,2,2,3),Holidays))</f>
        <v/>
      </c>
      <c r="Z919" s="17">
        <f>IF(OR($W919="",$W919=6),"",CHOOSE($W919,"1st Email Follow-up","2nd Email Follow-up","Escalate Local Office","Escalate to CBE","Escalate to Roxanne"))</f>
        <v/>
      </c>
    </row>
    <row r="920" spans="18:26">
      <c r="R920" s="15"/>
      <c r="S920" s="16"/>
      <c r="T920" s="17">
        <f>IF(AND(COUNTA($A920:$K920)=0,$L920=""),"",IF($S920="Paid","PAID",IF($S920="Closed","CLOSED",IF($W920="","",IF($W920=6,"ESCALATED TO ROXANNE",IF(TODAY()&gt;$Y920,"OVERDUE",IF($Y920&lt;=WORKDAY(TODAY(),1,Holidays),"DUE TOMORROW",IF($W920=4,"ESCALATED TO LOCAL OFFICE",IF($W920=5,"ESCALATED TO CBE",IF($X920=TODAY(),"EMAIL SENT","MONITORING"))))))))))</f>
        <v/>
      </c>
      <c r="U920" s="17">
        <f>IF($T920="",IF(AND(COUNTA($A920:$K920)&gt;0,$L920=""),"Awaiting Collection Email time stamp.",""),IF(OR($T920="PAID",$T920="CLOSED"),IF($T920="PAID","Account paid. Action completed.","Account closed. No further action required."),CHOOSE($W920,"Collection Email","1st Email Follow-up","2nd Email Follow-up","Escalation to Local Office","Escalation to CBE","Escalation to Roxanne")&amp;" sent "&amp;TEXT($X920,"dd-mmm")&amp;". "&amp;IF($W920=6,"Final escalation completed.",IF($T920="OVERDUE","Next: "&amp;$Z920&amp;" was due "&amp;TEXT($Y920,"dd-mmm")&amp;" - "&amp;(NETWORKDAYS($Y920,TODAY(),Holidays)-1)&amp;" business day(s) late. Send now.",IF($T920="DUE TOMORROW","Next: "&amp;$Z920&amp;IF($Y920&lt;=TODAY()," is due TODAY ("," is due next business day (")&amp;TEXT($Y920,"dd-mmm")&amp;").","Next: "&amp;$Z920&amp;" due "&amp;TEXT($Y920,"dd-mmm")&amp;" ("&amp;(NETWORKDAYS(TODAY(),$Y920,Holidays)-1)&amp;" business day(s) left).")))))</f>
        <v/>
      </c>
      <c r="V920" s="17">
        <f>IF($W920="","",CHOOSE($W920,"Collection Email","1st Follow-up","2nd Follow-up","Local Office","CBE","Roxanne")&amp;IF($W920=6," - Final"," - Day "&amp;MAX(0,NETWORKDAYS($X920,TODAY(),Holidays)-1)&amp;" of "&amp;CHOOSE($W920,3,3,2,2,3))&amp;" | Total Day "&amp;MAX(0,NETWORKDAYS($L920,TODAY(),Holidays)-1))</f>
        <v/>
      </c>
      <c r="W920" s="17">
        <f>IF($L920="","",COUNT($L920:$Q920))</f>
        <v/>
      </c>
      <c r="X920" s="18">
        <f>IF($W920="","",INT(INDEX($L920:$Q920,$W920)))</f>
        <v/>
      </c>
      <c r="Y920" s="18">
        <f>IF(OR($W920="",$W920=6),"",WORKDAY($X920,CHOOSE($W920,3,3,2,2,3),Holidays))</f>
        <v/>
      </c>
      <c r="Z920" s="17">
        <f>IF(OR($W920="",$W920=6),"",CHOOSE($W920,"1st Email Follow-up","2nd Email Follow-up","Escalate Local Office","Escalate to CBE","Escalate to Roxanne"))</f>
        <v/>
      </c>
    </row>
    <row r="921" spans="18:26">
      <c r="R921" s="15"/>
      <c r="S921" s="16"/>
      <c r="T921" s="17">
        <f>IF(AND(COUNTA($A921:$K921)=0,$L921=""),"",IF($S921="Paid","PAID",IF($S921="Closed","CLOSED",IF($W921="","",IF($W921=6,"ESCALATED TO ROXANNE",IF(TODAY()&gt;$Y921,"OVERDUE",IF($Y921&lt;=WORKDAY(TODAY(),1,Holidays),"DUE TOMORROW",IF($W921=4,"ESCALATED TO LOCAL OFFICE",IF($W921=5,"ESCALATED TO CBE",IF($X921=TODAY(),"EMAIL SENT","MONITORING"))))))))))</f>
        <v/>
      </c>
      <c r="U921" s="17">
        <f>IF($T921="",IF(AND(COUNTA($A921:$K921)&gt;0,$L921=""),"Awaiting Collection Email time stamp.",""),IF(OR($T921="PAID",$T921="CLOSED"),IF($T921="PAID","Account paid. Action completed.","Account closed. No further action required."),CHOOSE($W921,"Collection Email","1st Email Follow-up","2nd Email Follow-up","Escalation to Local Office","Escalation to CBE","Escalation to Roxanne")&amp;" sent "&amp;TEXT($X921,"dd-mmm")&amp;". "&amp;IF($W921=6,"Final escalation completed.",IF($T921="OVERDUE","Next: "&amp;$Z921&amp;" was due "&amp;TEXT($Y921,"dd-mmm")&amp;" - "&amp;(NETWORKDAYS($Y921,TODAY(),Holidays)-1)&amp;" business day(s) late. Send now.",IF($T921="DUE TOMORROW","Next: "&amp;$Z921&amp;IF($Y921&lt;=TODAY()," is due TODAY ("," is due next business day (")&amp;TEXT($Y921,"dd-mmm")&amp;").","Next: "&amp;$Z921&amp;" due "&amp;TEXT($Y921,"dd-mmm")&amp;" ("&amp;(NETWORKDAYS(TODAY(),$Y921,Holidays)-1)&amp;" business day(s) left).")))))</f>
        <v/>
      </c>
      <c r="V921" s="17">
        <f>IF($W921="","",CHOOSE($W921,"Collection Email","1st Follow-up","2nd Follow-up","Local Office","CBE","Roxanne")&amp;IF($W921=6," - Final"," - Day "&amp;MAX(0,NETWORKDAYS($X921,TODAY(),Holidays)-1)&amp;" of "&amp;CHOOSE($W921,3,3,2,2,3))&amp;" | Total Day "&amp;MAX(0,NETWORKDAYS($L921,TODAY(),Holidays)-1))</f>
        <v/>
      </c>
      <c r="W921" s="17">
        <f>IF($L921="","",COUNT($L921:$Q921))</f>
        <v/>
      </c>
      <c r="X921" s="18">
        <f>IF($W921="","",INT(INDEX($L921:$Q921,$W921)))</f>
        <v/>
      </c>
      <c r="Y921" s="18">
        <f>IF(OR($W921="",$W921=6),"",WORKDAY($X921,CHOOSE($W921,3,3,2,2,3),Holidays))</f>
        <v/>
      </c>
      <c r="Z921" s="17">
        <f>IF(OR($W921="",$W921=6),"",CHOOSE($W921,"1st Email Follow-up","2nd Email Follow-up","Escalate Local Office","Escalate to CBE","Escalate to Roxanne"))</f>
        <v/>
      </c>
    </row>
    <row r="922" spans="18:26">
      <c r="R922" s="15"/>
      <c r="S922" s="16"/>
      <c r="T922" s="17">
        <f>IF(AND(COUNTA($A922:$K922)=0,$L922=""),"",IF($S922="Paid","PAID",IF($S922="Closed","CLOSED",IF($W922="","",IF($W922=6,"ESCALATED TO ROXANNE",IF(TODAY()&gt;$Y922,"OVERDUE",IF($Y922&lt;=WORKDAY(TODAY(),1,Holidays),"DUE TOMORROW",IF($W922=4,"ESCALATED TO LOCAL OFFICE",IF($W922=5,"ESCALATED TO CBE",IF($X922=TODAY(),"EMAIL SENT","MONITORING"))))))))))</f>
        <v/>
      </c>
      <c r="U922" s="17">
        <f>IF($T922="",IF(AND(COUNTA($A922:$K922)&gt;0,$L922=""),"Awaiting Collection Email time stamp.",""),IF(OR($T922="PAID",$T922="CLOSED"),IF($T922="PAID","Account paid. Action completed.","Account closed. No further action required."),CHOOSE($W922,"Collection Email","1st Email Follow-up","2nd Email Follow-up","Escalation to Local Office","Escalation to CBE","Escalation to Roxanne")&amp;" sent "&amp;TEXT($X922,"dd-mmm")&amp;". "&amp;IF($W922=6,"Final escalation completed.",IF($T922="OVERDUE","Next: "&amp;$Z922&amp;" was due "&amp;TEXT($Y922,"dd-mmm")&amp;" - "&amp;(NETWORKDAYS($Y922,TODAY(),Holidays)-1)&amp;" business day(s) late. Send now.",IF($T922="DUE TOMORROW","Next: "&amp;$Z922&amp;IF($Y922&lt;=TODAY()," is due TODAY ("," is due next business day (")&amp;TEXT($Y922,"dd-mmm")&amp;").","Next: "&amp;$Z922&amp;" due "&amp;TEXT($Y922,"dd-mmm")&amp;" ("&amp;(NETWORKDAYS(TODAY(),$Y922,Holidays)-1)&amp;" business day(s) left).")))))</f>
        <v/>
      </c>
      <c r="V922" s="17">
        <f>IF($W922="","",CHOOSE($W922,"Collection Email","1st Follow-up","2nd Follow-up","Local Office","CBE","Roxanne")&amp;IF($W922=6," - Final"," - Day "&amp;MAX(0,NETWORKDAYS($X922,TODAY(),Holidays)-1)&amp;" of "&amp;CHOOSE($W922,3,3,2,2,3))&amp;" | Total Day "&amp;MAX(0,NETWORKDAYS($L922,TODAY(),Holidays)-1))</f>
        <v/>
      </c>
      <c r="W922" s="17">
        <f>IF($L922="","",COUNT($L922:$Q922))</f>
        <v/>
      </c>
      <c r="X922" s="18">
        <f>IF($W922="","",INT(INDEX($L922:$Q922,$W922)))</f>
        <v/>
      </c>
      <c r="Y922" s="18">
        <f>IF(OR($W922="",$W922=6),"",WORKDAY($X922,CHOOSE($W922,3,3,2,2,3),Holidays))</f>
        <v/>
      </c>
      <c r="Z922" s="17">
        <f>IF(OR($W922="",$W922=6),"",CHOOSE($W922,"1st Email Follow-up","2nd Email Follow-up","Escalate Local Office","Escalate to CBE","Escalate to Roxanne"))</f>
        <v/>
      </c>
    </row>
    <row r="923" spans="18:26">
      <c r="R923" s="15"/>
      <c r="S923" s="16"/>
      <c r="T923" s="17">
        <f>IF(AND(COUNTA($A923:$K923)=0,$L923=""),"",IF($S923="Paid","PAID",IF($S923="Closed","CLOSED",IF($W923="","",IF($W923=6,"ESCALATED TO ROXANNE",IF(TODAY()&gt;$Y923,"OVERDUE",IF($Y923&lt;=WORKDAY(TODAY(),1,Holidays),"DUE TOMORROW",IF($W923=4,"ESCALATED TO LOCAL OFFICE",IF($W923=5,"ESCALATED TO CBE",IF($X923=TODAY(),"EMAIL SENT","MONITORING"))))))))))</f>
        <v/>
      </c>
      <c r="U923" s="17">
        <f>IF($T923="",IF(AND(COUNTA($A923:$K923)&gt;0,$L923=""),"Awaiting Collection Email time stamp.",""),IF(OR($T923="PAID",$T923="CLOSED"),IF($T923="PAID","Account paid. Action completed.","Account closed. No further action required."),CHOOSE($W923,"Collection Email","1st Email Follow-up","2nd Email Follow-up","Escalation to Local Office","Escalation to CBE","Escalation to Roxanne")&amp;" sent "&amp;TEXT($X923,"dd-mmm")&amp;". "&amp;IF($W923=6,"Final escalation completed.",IF($T923="OVERDUE","Next: "&amp;$Z923&amp;" was due "&amp;TEXT($Y923,"dd-mmm")&amp;" - "&amp;(NETWORKDAYS($Y923,TODAY(),Holidays)-1)&amp;" business day(s) late. Send now.",IF($T923="DUE TOMORROW","Next: "&amp;$Z923&amp;IF($Y923&lt;=TODAY()," is due TODAY ("," is due next business day (")&amp;TEXT($Y923,"dd-mmm")&amp;").","Next: "&amp;$Z923&amp;" due "&amp;TEXT($Y923,"dd-mmm")&amp;" ("&amp;(NETWORKDAYS(TODAY(),$Y923,Holidays)-1)&amp;" business day(s) left).")))))</f>
        <v/>
      </c>
      <c r="V923" s="17">
        <f>IF($W923="","",CHOOSE($W923,"Collection Email","1st Follow-up","2nd Follow-up","Local Office","CBE","Roxanne")&amp;IF($W923=6," - Final"," - Day "&amp;MAX(0,NETWORKDAYS($X923,TODAY(),Holidays)-1)&amp;" of "&amp;CHOOSE($W923,3,3,2,2,3))&amp;" | Total Day "&amp;MAX(0,NETWORKDAYS($L923,TODAY(),Holidays)-1))</f>
        <v/>
      </c>
      <c r="W923" s="17">
        <f>IF($L923="","",COUNT($L923:$Q923))</f>
        <v/>
      </c>
      <c r="X923" s="18">
        <f>IF($W923="","",INT(INDEX($L923:$Q923,$W923)))</f>
        <v/>
      </c>
      <c r="Y923" s="18">
        <f>IF(OR($W923="",$W923=6),"",WORKDAY($X923,CHOOSE($W923,3,3,2,2,3),Holidays))</f>
        <v/>
      </c>
      <c r="Z923" s="17">
        <f>IF(OR($W923="",$W923=6),"",CHOOSE($W923,"1st Email Follow-up","2nd Email Follow-up","Escalate Local Office","Escalate to CBE","Escalate to Roxanne"))</f>
        <v/>
      </c>
    </row>
    <row r="924" spans="18:26">
      <c r="R924" s="15"/>
      <c r="S924" s="16"/>
      <c r="T924" s="17">
        <f>IF(AND(COUNTA($A924:$K924)=0,$L924=""),"",IF($S924="Paid","PAID",IF($S924="Closed","CLOSED",IF($W924="","",IF($W924=6,"ESCALATED TO ROXANNE",IF(TODAY()&gt;$Y924,"OVERDUE",IF($Y924&lt;=WORKDAY(TODAY(),1,Holidays),"DUE TOMORROW",IF($W924=4,"ESCALATED TO LOCAL OFFICE",IF($W924=5,"ESCALATED TO CBE",IF($X924=TODAY(),"EMAIL SENT","MONITORING"))))))))))</f>
        <v/>
      </c>
      <c r="U924" s="17">
        <f>IF($T924="",IF(AND(COUNTA($A924:$K924)&gt;0,$L924=""),"Awaiting Collection Email time stamp.",""),IF(OR($T924="PAID",$T924="CLOSED"),IF($T924="PAID","Account paid. Action completed.","Account closed. No further action required."),CHOOSE($W924,"Collection Email","1st Email Follow-up","2nd Email Follow-up","Escalation to Local Office","Escalation to CBE","Escalation to Roxanne")&amp;" sent "&amp;TEXT($X924,"dd-mmm")&amp;". "&amp;IF($W924=6,"Final escalation completed.",IF($T924="OVERDUE","Next: "&amp;$Z924&amp;" was due "&amp;TEXT($Y924,"dd-mmm")&amp;" - "&amp;(NETWORKDAYS($Y924,TODAY(),Holidays)-1)&amp;" business day(s) late. Send now.",IF($T924="DUE TOMORROW","Next: "&amp;$Z924&amp;IF($Y924&lt;=TODAY()," is due TODAY ("," is due next business day (")&amp;TEXT($Y924,"dd-mmm")&amp;").","Next: "&amp;$Z924&amp;" due "&amp;TEXT($Y924,"dd-mmm")&amp;" ("&amp;(NETWORKDAYS(TODAY(),$Y924,Holidays)-1)&amp;" business day(s) left).")))))</f>
        <v/>
      </c>
      <c r="V924" s="17">
        <f>IF($W924="","",CHOOSE($W924,"Collection Email","1st Follow-up","2nd Follow-up","Local Office","CBE","Roxanne")&amp;IF($W924=6," - Final"," - Day "&amp;MAX(0,NETWORKDAYS($X924,TODAY(),Holidays)-1)&amp;" of "&amp;CHOOSE($W924,3,3,2,2,3))&amp;" | Total Day "&amp;MAX(0,NETWORKDAYS($L924,TODAY(),Holidays)-1))</f>
        <v/>
      </c>
      <c r="W924" s="17">
        <f>IF($L924="","",COUNT($L924:$Q924))</f>
        <v/>
      </c>
      <c r="X924" s="18">
        <f>IF($W924="","",INT(INDEX($L924:$Q924,$W924)))</f>
        <v/>
      </c>
      <c r="Y924" s="18">
        <f>IF(OR($W924="",$W924=6),"",WORKDAY($X924,CHOOSE($W924,3,3,2,2,3),Holidays))</f>
        <v/>
      </c>
      <c r="Z924" s="17">
        <f>IF(OR($W924="",$W924=6),"",CHOOSE($W924,"1st Email Follow-up","2nd Email Follow-up","Escalate Local Office","Escalate to CBE","Escalate to Roxanne"))</f>
        <v/>
      </c>
    </row>
    <row r="925" spans="18:26">
      <c r="R925" s="15"/>
      <c r="S925" s="16"/>
      <c r="T925" s="17">
        <f>IF(AND(COUNTA($A925:$K925)=0,$L925=""),"",IF($S925="Paid","PAID",IF($S925="Closed","CLOSED",IF($W925="","",IF($W925=6,"ESCALATED TO ROXANNE",IF(TODAY()&gt;$Y925,"OVERDUE",IF($Y925&lt;=WORKDAY(TODAY(),1,Holidays),"DUE TOMORROW",IF($W925=4,"ESCALATED TO LOCAL OFFICE",IF($W925=5,"ESCALATED TO CBE",IF($X925=TODAY(),"EMAIL SENT","MONITORING"))))))))))</f>
        <v/>
      </c>
      <c r="U925" s="17">
        <f>IF($T925="",IF(AND(COUNTA($A925:$K925)&gt;0,$L925=""),"Awaiting Collection Email time stamp.",""),IF(OR($T925="PAID",$T925="CLOSED"),IF($T925="PAID","Account paid. Action completed.","Account closed. No further action required."),CHOOSE($W925,"Collection Email","1st Email Follow-up","2nd Email Follow-up","Escalation to Local Office","Escalation to CBE","Escalation to Roxanne")&amp;" sent "&amp;TEXT($X925,"dd-mmm")&amp;". "&amp;IF($W925=6,"Final escalation completed.",IF($T925="OVERDUE","Next: "&amp;$Z925&amp;" was due "&amp;TEXT($Y925,"dd-mmm")&amp;" - "&amp;(NETWORKDAYS($Y925,TODAY(),Holidays)-1)&amp;" business day(s) late. Send now.",IF($T925="DUE TOMORROW","Next: "&amp;$Z925&amp;IF($Y925&lt;=TODAY()," is due TODAY ("," is due next business day (")&amp;TEXT($Y925,"dd-mmm")&amp;").","Next: "&amp;$Z925&amp;" due "&amp;TEXT($Y925,"dd-mmm")&amp;" ("&amp;(NETWORKDAYS(TODAY(),$Y925,Holidays)-1)&amp;" business day(s) left).")))))</f>
        <v/>
      </c>
      <c r="V925" s="17">
        <f>IF($W925="","",CHOOSE($W925,"Collection Email","1st Follow-up","2nd Follow-up","Local Office","CBE","Roxanne")&amp;IF($W925=6," - Final"," - Day "&amp;MAX(0,NETWORKDAYS($X925,TODAY(),Holidays)-1)&amp;" of "&amp;CHOOSE($W925,3,3,2,2,3))&amp;" | Total Day "&amp;MAX(0,NETWORKDAYS($L925,TODAY(),Holidays)-1))</f>
        <v/>
      </c>
      <c r="W925" s="17">
        <f>IF($L925="","",COUNT($L925:$Q925))</f>
        <v/>
      </c>
      <c r="X925" s="18">
        <f>IF($W925="","",INT(INDEX($L925:$Q925,$W925)))</f>
        <v/>
      </c>
      <c r="Y925" s="18">
        <f>IF(OR($W925="",$W925=6),"",WORKDAY($X925,CHOOSE($W925,3,3,2,2,3),Holidays))</f>
        <v/>
      </c>
      <c r="Z925" s="17">
        <f>IF(OR($W925="",$W925=6),"",CHOOSE($W925,"1st Email Follow-up","2nd Email Follow-up","Escalate Local Office","Escalate to CBE","Escalate to Roxanne"))</f>
        <v/>
      </c>
    </row>
    <row r="926" spans="18:26">
      <c r="R926" s="15"/>
      <c r="S926" s="16"/>
      <c r="T926" s="17">
        <f>IF(AND(COUNTA($A926:$K926)=0,$L926=""),"",IF($S926="Paid","PAID",IF($S926="Closed","CLOSED",IF($W926="","",IF($W926=6,"ESCALATED TO ROXANNE",IF(TODAY()&gt;$Y926,"OVERDUE",IF($Y926&lt;=WORKDAY(TODAY(),1,Holidays),"DUE TOMORROW",IF($W926=4,"ESCALATED TO LOCAL OFFICE",IF($W926=5,"ESCALATED TO CBE",IF($X926=TODAY(),"EMAIL SENT","MONITORING"))))))))))</f>
        <v/>
      </c>
      <c r="U926" s="17">
        <f>IF($T926="",IF(AND(COUNTA($A926:$K926)&gt;0,$L926=""),"Awaiting Collection Email time stamp.",""),IF(OR($T926="PAID",$T926="CLOSED"),IF($T926="PAID","Account paid. Action completed.","Account closed. No further action required."),CHOOSE($W926,"Collection Email","1st Email Follow-up","2nd Email Follow-up","Escalation to Local Office","Escalation to CBE","Escalation to Roxanne")&amp;" sent "&amp;TEXT($X926,"dd-mmm")&amp;". "&amp;IF($W926=6,"Final escalation completed.",IF($T926="OVERDUE","Next: "&amp;$Z926&amp;" was due "&amp;TEXT($Y926,"dd-mmm")&amp;" - "&amp;(NETWORKDAYS($Y926,TODAY(),Holidays)-1)&amp;" business day(s) late. Send now.",IF($T926="DUE TOMORROW","Next: "&amp;$Z926&amp;IF($Y926&lt;=TODAY()," is due TODAY ("," is due next business day (")&amp;TEXT($Y926,"dd-mmm")&amp;").","Next: "&amp;$Z926&amp;" due "&amp;TEXT($Y926,"dd-mmm")&amp;" ("&amp;(NETWORKDAYS(TODAY(),$Y926,Holidays)-1)&amp;" business day(s) left).")))))</f>
        <v/>
      </c>
      <c r="V926" s="17">
        <f>IF($W926="","",CHOOSE($W926,"Collection Email","1st Follow-up","2nd Follow-up","Local Office","CBE","Roxanne")&amp;IF($W926=6," - Final"," - Day "&amp;MAX(0,NETWORKDAYS($X926,TODAY(),Holidays)-1)&amp;" of "&amp;CHOOSE($W926,3,3,2,2,3))&amp;" | Total Day "&amp;MAX(0,NETWORKDAYS($L926,TODAY(),Holidays)-1))</f>
        <v/>
      </c>
      <c r="W926" s="17">
        <f>IF($L926="","",COUNT($L926:$Q926))</f>
        <v/>
      </c>
      <c r="X926" s="18">
        <f>IF($W926="","",INT(INDEX($L926:$Q926,$W926)))</f>
        <v/>
      </c>
      <c r="Y926" s="18">
        <f>IF(OR($W926="",$W926=6),"",WORKDAY($X926,CHOOSE($W926,3,3,2,2,3),Holidays))</f>
        <v/>
      </c>
      <c r="Z926" s="17">
        <f>IF(OR($W926="",$W926=6),"",CHOOSE($W926,"1st Email Follow-up","2nd Email Follow-up","Escalate Local Office","Escalate to CBE","Escalate to Roxanne"))</f>
        <v/>
      </c>
    </row>
    <row r="927" spans="18:26">
      <c r="R927" s="15"/>
      <c r="S927" s="16"/>
      <c r="T927" s="17">
        <f>IF(AND(COUNTA($A927:$K927)=0,$L927=""),"",IF($S927="Paid","PAID",IF($S927="Closed","CLOSED",IF($W927="","",IF($W927=6,"ESCALATED TO ROXANNE",IF(TODAY()&gt;$Y927,"OVERDUE",IF($Y927&lt;=WORKDAY(TODAY(),1,Holidays),"DUE TOMORROW",IF($W927=4,"ESCALATED TO LOCAL OFFICE",IF($W927=5,"ESCALATED TO CBE",IF($X927=TODAY(),"EMAIL SENT","MONITORING"))))))))))</f>
        <v/>
      </c>
      <c r="U927" s="17">
        <f>IF($T927="",IF(AND(COUNTA($A927:$K927)&gt;0,$L927=""),"Awaiting Collection Email time stamp.",""),IF(OR($T927="PAID",$T927="CLOSED"),IF($T927="PAID","Account paid. Action completed.","Account closed. No further action required."),CHOOSE($W927,"Collection Email","1st Email Follow-up","2nd Email Follow-up","Escalation to Local Office","Escalation to CBE","Escalation to Roxanne")&amp;" sent "&amp;TEXT($X927,"dd-mmm")&amp;". "&amp;IF($W927=6,"Final escalation completed.",IF($T927="OVERDUE","Next: "&amp;$Z927&amp;" was due "&amp;TEXT($Y927,"dd-mmm")&amp;" - "&amp;(NETWORKDAYS($Y927,TODAY(),Holidays)-1)&amp;" business day(s) late. Send now.",IF($T927="DUE TOMORROW","Next: "&amp;$Z927&amp;IF($Y927&lt;=TODAY()," is due TODAY ("," is due next business day (")&amp;TEXT($Y927,"dd-mmm")&amp;").","Next: "&amp;$Z927&amp;" due "&amp;TEXT($Y927,"dd-mmm")&amp;" ("&amp;(NETWORKDAYS(TODAY(),$Y927,Holidays)-1)&amp;" business day(s) left).")))))</f>
        <v/>
      </c>
      <c r="V927" s="17">
        <f>IF($W927="","",CHOOSE($W927,"Collection Email","1st Follow-up","2nd Follow-up","Local Office","CBE","Roxanne")&amp;IF($W927=6," - Final"," - Day "&amp;MAX(0,NETWORKDAYS($X927,TODAY(),Holidays)-1)&amp;" of "&amp;CHOOSE($W927,3,3,2,2,3))&amp;" | Total Day "&amp;MAX(0,NETWORKDAYS($L927,TODAY(),Holidays)-1))</f>
        <v/>
      </c>
      <c r="W927" s="17">
        <f>IF($L927="","",COUNT($L927:$Q927))</f>
        <v/>
      </c>
      <c r="X927" s="18">
        <f>IF($W927="","",INT(INDEX($L927:$Q927,$W927)))</f>
        <v/>
      </c>
      <c r="Y927" s="18">
        <f>IF(OR($W927="",$W927=6),"",WORKDAY($X927,CHOOSE($W927,3,3,2,2,3),Holidays))</f>
        <v/>
      </c>
      <c r="Z927" s="17">
        <f>IF(OR($W927="",$W927=6),"",CHOOSE($W927,"1st Email Follow-up","2nd Email Follow-up","Escalate Local Office","Escalate to CBE","Escalate to Roxanne"))</f>
        <v/>
      </c>
    </row>
    <row r="928" spans="18:26">
      <c r="R928" s="15"/>
      <c r="S928" s="16"/>
      <c r="T928" s="17">
        <f>IF(AND(COUNTA($A928:$K928)=0,$L928=""),"",IF($S928="Paid","PAID",IF($S928="Closed","CLOSED",IF($W928="","",IF($W928=6,"ESCALATED TO ROXANNE",IF(TODAY()&gt;$Y928,"OVERDUE",IF($Y928&lt;=WORKDAY(TODAY(),1,Holidays),"DUE TOMORROW",IF($W928=4,"ESCALATED TO LOCAL OFFICE",IF($W928=5,"ESCALATED TO CBE",IF($X928=TODAY(),"EMAIL SENT","MONITORING"))))))))))</f>
        <v/>
      </c>
      <c r="U928" s="17">
        <f>IF($T928="",IF(AND(COUNTA($A928:$K928)&gt;0,$L928=""),"Awaiting Collection Email time stamp.",""),IF(OR($T928="PAID",$T928="CLOSED"),IF($T928="PAID","Account paid. Action completed.","Account closed. No further action required."),CHOOSE($W928,"Collection Email","1st Email Follow-up","2nd Email Follow-up","Escalation to Local Office","Escalation to CBE","Escalation to Roxanne")&amp;" sent "&amp;TEXT($X928,"dd-mmm")&amp;". "&amp;IF($W928=6,"Final escalation completed.",IF($T928="OVERDUE","Next: "&amp;$Z928&amp;" was due "&amp;TEXT($Y928,"dd-mmm")&amp;" - "&amp;(NETWORKDAYS($Y928,TODAY(),Holidays)-1)&amp;" business day(s) late. Send now.",IF($T928="DUE TOMORROW","Next: "&amp;$Z928&amp;IF($Y928&lt;=TODAY()," is due TODAY ("," is due next business day (")&amp;TEXT($Y928,"dd-mmm")&amp;").","Next: "&amp;$Z928&amp;" due "&amp;TEXT($Y928,"dd-mmm")&amp;" ("&amp;(NETWORKDAYS(TODAY(),$Y928,Holidays)-1)&amp;" business day(s) left).")))))</f>
        <v/>
      </c>
      <c r="V928" s="17">
        <f>IF($W928="","",CHOOSE($W928,"Collection Email","1st Follow-up","2nd Follow-up","Local Office","CBE","Roxanne")&amp;IF($W928=6," - Final"," - Day "&amp;MAX(0,NETWORKDAYS($X928,TODAY(),Holidays)-1)&amp;" of "&amp;CHOOSE($W928,3,3,2,2,3))&amp;" | Total Day "&amp;MAX(0,NETWORKDAYS($L928,TODAY(),Holidays)-1))</f>
        <v/>
      </c>
      <c r="W928" s="17">
        <f>IF($L928="","",COUNT($L928:$Q928))</f>
        <v/>
      </c>
      <c r="X928" s="18">
        <f>IF($W928="","",INT(INDEX($L928:$Q928,$W928)))</f>
        <v/>
      </c>
      <c r="Y928" s="18">
        <f>IF(OR($W928="",$W928=6),"",WORKDAY($X928,CHOOSE($W928,3,3,2,2,3),Holidays))</f>
        <v/>
      </c>
      <c r="Z928" s="17">
        <f>IF(OR($W928="",$W928=6),"",CHOOSE($W928,"1st Email Follow-up","2nd Email Follow-up","Escalate Local Office","Escalate to CBE","Escalate to Roxanne"))</f>
        <v/>
      </c>
    </row>
    <row r="929" spans="18:26">
      <c r="R929" s="15"/>
      <c r="S929" s="16"/>
      <c r="T929" s="17">
        <f>IF(AND(COUNTA($A929:$K929)=0,$L929=""),"",IF($S929="Paid","PAID",IF($S929="Closed","CLOSED",IF($W929="","",IF($W929=6,"ESCALATED TO ROXANNE",IF(TODAY()&gt;$Y929,"OVERDUE",IF($Y929&lt;=WORKDAY(TODAY(),1,Holidays),"DUE TOMORROW",IF($W929=4,"ESCALATED TO LOCAL OFFICE",IF($W929=5,"ESCALATED TO CBE",IF($X929=TODAY(),"EMAIL SENT","MONITORING"))))))))))</f>
        <v/>
      </c>
      <c r="U929" s="17">
        <f>IF($T929="",IF(AND(COUNTA($A929:$K929)&gt;0,$L929=""),"Awaiting Collection Email time stamp.",""),IF(OR($T929="PAID",$T929="CLOSED"),IF($T929="PAID","Account paid. Action completed.","Account closed. No further action required."),CHOOSE($W929,"Collection Email","1st Email Follow-up","2nd Email Follow-up","Escalation to Local Office","Escalation to CBE","Escalation to Roxanne")&amp;" sent "&amp;TEXT($X929,"dd-mmm")&amp;". "&amp;IF($W929=6,"Final escalation completed.",IF($T929="OVERDUE","Next: "&amp;$Z929&amp;" was due "&amp;TEXT($Y929,"dd-mmm")&amp;" - "&amp;(NETWORKDAYS($Y929,TODAY(),Holidays)-1)&amp;" business day(s) late. Send now.",IF($T929="DUE TOMORROW","Next: "&amp;$Z929&amp;IF($Y929&lt;=TODAY()," is due TODAY ("," is due next business day (")&amp;TEXT($Y929,"dd-mmm")&amp;").","Next: "&amp;$Z929&amp;" due "&amp;TEXT($Y929,"dd-mmm")&amp;" ("&amp;(NETWORKDAYS(TODAY(),$Y929,Holidays)-1)&amp;" business day(s) left).")))))</f>
        <v/>
      </c>
      <c r="V929" s="17">
        <f>IF($W929="","",CHOOSE($W929,"Collection Email","1st Follow-up","2nd Follow-up","Local Office","CBE","Roxanne")&amp;IF($W929=6," - Final"," - Day "&amp;MAX(0,NETWORKDAYS($X929,TODAY(),Holidays)-1)&amp;" of "&amp;CHOOSE($W929,3,3,2,2,3))&amp;" | Total Day "&amp;MAX(0,NETWORKDAYS($L929,TODAY(),Holidays)-1))</f>
        <v/>
      </c>
      <c r="W929" s="17">
        <f>IF($L929="","",COUNT($L929:$Q929))</f>
        <v/>
      </c>
      <c r="X929" s="18">
        <f>IF($W929="","",INT(INDEX($L929:$Q929,$W929)))</f>
        <v/>
      </c>
      <c r="Y929" s="18">
        <f>IF(OR($W929="",$W929=6),"",WORKDAY($X929,CHOOSE($W929,3,3,2,2,3),Holidays))</f>
        <v/>
      </c>
      <c r="Z929" s="17">
        <f>IF(OR($W929="",$W929=6),"",CHOOSE($W929,"1st Email Follow-up","2nd Email Follow-up","Escalate Local Office","Escalate to CBE","Escalate to Roxanne"))</f>
        <v/>
      </c>
    </row>
    <row r="930" spans="18:26">
      <c r="R930" s="15"/>
      <c r="S930" s="16"/>
      <c r="T930" s="17">
        <f>IF(AND(COUNTA($A930:$K930)=0,$L930=""),"",IF($S930="Paid","PAID",IF($S930="Closed","CLOSED",IF($W930="","",IF($W930=6,"ESCALATED TO ROXANNE",IF(TODAY()&gt;$Y930,"OVERDUE",IF($Y930&lt;=WORKDAY(TODAY(),1,Holidays),"DUE TOMORROW",IF($W930=4,"ESCALATED TO LOCAL OFFICE",IF($W930=5,"ESCALATED TO CBE",IF($X930=TODAY(),"EMAIL SENT","MONITORING"))))))))))</f>
        <v/>
      </c>
      <c r="U930" s="17">
        <f>IF($T930="",IF(AND(COUNTA($A930:$K930)&gt;0,$L930=""),"Awaiting Collection Email time stamp.",""),IF(OR($T930="PAID",$T930="CLOSED"),IF($T930="PAID","Account paid. Action completed.","Account closed. No further action required."),CHOOSE($W930,"Collection Email","1st Email Follow-up","2nd Email Follow-up","Escalation to Local Office","Escalation to CBE","Escalation to Roxanne")&amp;" sent "&amp;TEXT($X930,"dd-mmm")&amp;". "&amp;IF($W930=6,"Final escalation completed.",IF($T930="OVERDUE","Next: "&amp;$Z930&amp;" was due "&amp;TEXT($Y930,"dd-mmm")&amp;" - "&amp;(NETWORKDAYS($Y930,TODAY(),Holidays)-1)&amp;" business day(s) late. Send now.",IF($T930="DUE TOMORROW","Next: "&amp;$Z930&amp;IF($Y930&lt;=TODAY()," is due TODAY ("," is due next business day (")&amp;TEXT($Y930,"dd-mmm")&amp;").","Next: "&amp;$Z930&amp;" due "&amp;TEXT($Y930,"dd-mmm")&amp;" ("&amp;(NETWORKDAYS(TODAY(),$Y930,Holidays)-1)&amp;" business day(s) left).")))))</f>
        <v/>
      </c>
      <c r="V930" s="17">
        <f>IF($W930="","",CHOOSE($W930,"Collection Email","1st Follow-up","2nd Follow-up","Local Office","CBE","Roxanne")&amp;IF($W930=6," - Final"," - Day "&amp;MAX(0,NETWORKDAYS($X930,TODAY(),Holidays)-1)&amp;" of "&amp;CHOOSE($W930,3,3,2,2,3))&amp;" | Total Day "&amp;MAX(0,NETWORKDAYS($L930,TODAY(),Holidays)-1))</f>
        <v/>
      </c>
      <c r="W930" s="17">
        <f>IF($L930="","",COUNT($L930:$Q930))</f>
        <v/>
      </c>
      <c r="X930" s="18">
        <f>IF($W930="","",INT(INDEX($L930:$Q930,$W930)))</f>
        <v/>
      </c>
      <c r="Y930" s="18">
        <f>IF(OR($W930="",$W930=6),"",WORKDAY($X930,CHOOSE($W930,3,3,2,2,3),Holidays))</f>
        <v/>
      </c>
      <c r="Z930" s="17">
        <f>IF(OR($W930="",$W930=6),"",CHOOSE($W930,"1st Email Follow-up","2nd Email Follow-up","Escalate Local Office","Escalate to CBE","Escalate to Roxanne"))</f>
        <v/>
      </c>
    </row>
    <row r="931" spans="18:26">
      <c r="R931" s="15"/>
      <c r="S931" s="16"/>
      <c r="T931" s="17">
        <f>IF(AND(COUNTA($A931:$K931)=0,$L931=""),"",IF($S931="Paid","PAID",IF($S931="Closed","CLOSED",IF($W931="","",IF($W931=6,"ESCALATED TO ROXANNE",IF(TODAY()&gt;$Y931,"OVERDUE",IF($Y931&lt;=WORKDAY(TODAY(),1,Holidays),"DUE TOMORROW",IF($W931=4,"ESCALATED TO LOCAL OFFICE",IF($W931=5,"ESCALATED TO CBE",IF($X931=TODAY(),"EMAIL SENT","MONITORING"))))))))))</f>
        <v/>
      </c>
      <c r="U931" s="17">
        <f>IF($T931="",IF(AND(COUNTA($A931:$K931)&gt;0,$L931=""),"Awaiting Collection Email time stamp.",""),IF(OR($T931="PAID",$T931="CLOSED"),IF($T931="PAID","Account paid. Action completed.","Account closed. No further action required."),CHOOSE($W931,"Collection Email","1st Email Follow-up","2nd Email Follow-up","Escalation to Local Office","Escalation to CBE","Escalation to Roxanne")&amp;" sent "&amp;TEXT($X931,"dd-mmm")&amp;". "&amp;IF($W931=6,"Final escalation completed.",IF($T931="OVERDUE","Next: "&amp;$Z931&amp;" was due "&amp;TEXT($Y931,"dd-mmm")&amp;" - "&amp;(NETWORKDAYS($Y931,TODAY(),Holidays)-1)&amp;" business day(s) late. Send now.",IF($T931="DUE TOMORROW","Next: "&amp;$Z931&amp;IF($Y931&lt;=TODAY()," is due TODAY ("," is due next business day (")&amp;TEXT($Y931,"dd-mmm")&amp;").","Next: "&amp;$Z931&amp;" due "&amp;TEXT($Y931,"dd-mmm")&amp;" ("&amp;(NETWORKDAYS(TODAY(),$Y931,Holidays)-1)&amp;" business day(s) left).")))))</f>
        <v/>
      </c>
      <c r="V931" s="17">
        <f>IF($W931="","",CHOOSE($W931,"Collection Email","1st Follow-up","2nd Follow-up","Local Office","CBE","Roxanne")&amp;IF($W931=6," - Final"," - Day "&amp;MAX(0,NETWORKDAYS($X931,TODAY(),Holidays)-1)&amp;" of "&amp;CHOOSE($W931,3,3,2,2,3))&amp;" | Total Day "&amp;MAX(0,NETWORKDAYS($L931,TODAY(),Holidays)-1))</f>
        <v/>
      </c>
      <c r="W931" s="17">
        <f>IF($L931="","",COUNT($L931:$Q931))</f>
        <v/>
      </c>
      <c r="X931" s="18">
        <f>IF($W931="","",INT(INDEX($L931:$Q931,$W931)))</f>
        <v/>
      </c>
      <c r="Y931" s="18">
        <f>IF(OR($W931="",$W931=6),"",WORKDAY($X931,CHOOSE($W931,3,3,2,2,3),Holidays))</f>
        <v/>
      </c>
      <c r="Z931" s="17">
        <f>IF(OR($W931="",$W931=6),"",CHOOSE($W931,"1st Email Follow-up","2nd Email Follow-up","Escalate Local Office","Escalate to CBE","Escalate to Roxanne"))</f>
        <v/>
      </c>
    </row>
    <row r="932" spans="18:26">
      <c r="R932" s="15"/>
      <c r="S932" s="16"/>
      <c r="T932" s="17">
        <f>IF(AND(COUNTA($A932:$K932)=0,$L932=""),"",IF($S932="Paid","PAID",IF($S932="Closed","CLOSED",IF($W932="","",IF($W932=6,"ESCALATED TO ROXANNE",IF(TODAY()&gt;$Y932,"OVERDUE",IF($Y932&lt;=WORKDAY(TODAY(),1,Holidays),"DUE TOMORROW",IF($W932=4,"ESCALATED TO LOCAL OFFICE",IF($W932=5,"ESCALATED TO CBE",IF($X932=TODAY(),"EMAIL SENT","MONITORING"))))))))))</f>
        <v/>
      </c>
      <c r="U932" s="17">
        <f>IF($T932="",IF(AND(COUNTA($A932:$K932)&gt;0,$L932=""),"Awaiting Collection Email time stamp.",""),IF(OR($T932="PAID",$T932="CLOSED"),IF($T932="PAID","Account paid. Action completed.","Account closed. No further action required."),CHOOSE($W932,"Collection Email","1st Email Follow-up","2nd Email Follow-up","Escalation to Local Office","Escalation to CBE","Escalation to Roxanne")&amp;" sent "&amp;TEXT($X932,"dd-mmm")&amp;". "&amp;IF($W932=6,"Final escalation completed.",IF($T932="OVERDUE","Next: "&amp;$Z932&amp;" was due "&amp;TEXT($Y932,"dd-mmm")&amp;" - "&amp;(NETWORKDAYS($Y932,TODAY(),Holidays)-1)&amp;" business day(s) late. Send now.",IF($T932="DUE TOMORROW","Next: "&amp;$Z932&amp;IF($Y932&lt;=TODAY()," is due TODAY ("," is due next business day (")&amp;TEXT($Y932,"dd-mmm")&amp;").","Next: "&amp;$Z932&amp;" due "&amp;TEXT($Y932,"dd-mmm")&amp;" ("&amp;(NETWORKDAYS(TODAY(),$Y932,Holidays)-1)&amp;" business day(s) left).")))))</f>
        <v/>
      </c>
      <c r="V932" s="17">
        <f>IF($W932="","",CHOOSE($W932,"Collection Email","1st Follow-up","2nd Follow-up","Local Office","CBE","Roxanne")&amp;IF($W932=6," - Final"," - Day "&amp;MAX(0,NETWORKDAYS($X932,TODAY(),Holidays)-1)&amp;" of "&amp;CHOOSE($W932,3,3,2,2,3))&amp;" | Total Day "&amp;MAX(0,NETWORKDAYS($L932,TODAY(),Holidays)-1))</f>
        <v/>
      </c>
      <c r="W932" s="17">
        <f>IF($L932="","",COUNT($L932:$Q932))</f>
        <v/>
      </c>
      <c r="X932" s="18">
        <f>IF($W932="","",INT(INDEX($L932:$Q932,$W932)))</f>
        <v/>
      </c>
      <c r="Y932" s="18">
        <f>IF(OR($W932="",$W932=6),"",WORKDAY($X932,CHOOSE($W932,3,3,2,2,3),Holidays))</f>
        <v/>
      </c>
      <c r="Z932" s="17">
        <f>IF(OR($W932="",$W932=6),"",CHOOSE($W932,"1st Email Follow-up","2nd Email Follow-up","Escalate Local Office","Escalate to CBE","Escalate to Roxanne"))</f>
        <v/>
      </c>
    </row>
    <row r="933" spans="18:26">
      <c r="R933" s="15"/>
      <c r="S933" s="16"/>
      <c r="T933" s="17">
        <f>IF(AND(COUNTA($A933:$K933)=0,$L933=""),"",IF($S933="Paid","PAID",IF($S933="Closed","CLOSED",IF($W933="","",IF($W933=6,"ESCALATED TO ROXANNE",IF(TODAY()&gt;$Y933,"OVERDUE",IF($Y933&lt;=WORKDAY(TODAY(),1,Holidays),"DUE TOMORROW",IF($W933=4,"ESCALATED TO LOCAL OFFICE",IF($W933=5,"ESCALATED TO CBE",IF($X933=TODAY(),"EMAIL SENT","MONITORING"))))))))))</f>
        <v/>
      </c>
      <c r="U933" s="17">
        <f>IF($T933="",IF(AND(COUNTA($A933:$K933)&gt;0,$L933=""),"Awaiting Collection Email time stamp.",""),IF(OR($T933="PAID",$T933="CLOSED"),IF($T933="PAID","Account paid. Action completed.","Account closed. No further action required."),CHOOSE($W933,"Collection Email","1st Email Follow-up","2nd Email Follow-up","Escalation to Local Office","Escalation to CBE","Escalation to Roxanne")&amp;" sent "&amp;TEXT($X933,"dd-mmm")&amp;". "&amp;IF($W933=6,"Final escalation completed.",IF($T933="OVERDUE","Next: "&amp;$Z933&amp;" was due "&amp;TEXT($Y933,"dd-mmm")&amp;" - "&amp;(NETWORKDAYS($Y933,TODAY(),Holidays)-1)&amp;" business day(s) late. Send now.",IF($T933="DUE TOMORROW","Next: "&amp;$Z933&amp;IF($Y933&lt;=TODAY()," is due TODAY ("," is due next business day (")&amp;TEXT($Y933,"dd-mmm")&amp;").","Next: "&amp;$Z933&amp;" due "&amp;TEXT($Y933,"dd-mmm")&amp;" ("&amp;(NETWORKDAYS(TODAY(),$Y933,Holidays)-1)&amp;" business day(s) left).")))))</f>
        <v/>
      </c>
      <c r="V933" s="17">
        <f>IF($W933="","",CHOOSE($W933,"Collection Email","1st Follow-up","2nd Follow-up","Local Office","CBE","Roxanne")&amp;IF($W933=6," - Final"," - Day "&amp;MAX(0,NETWORKDAYS($X933,TODAY(),Holidays)-1)&amp;" of "&amp;CHOOSE($W933,3,3,2,2,3))&amp;" | Total Day "&amp;MAX(0,NETWORKDAYS($L933,TODAY(),Holidays)-1))</f>
        <v/>
      </c>
      <c r="W933" s="17">
        <f>IF($L933="","",COUNT($L933:$Q933))</f>
        <v/>
      </c>
      <c r="X933" s="18">
        <f>IF($W933="","",INT(INDEX($L933:$Q933,$W933)))</f>
        <v/>
      </c>
      <c r="Y933" s="18">
        <f>IF(OR($W933="",$W933=6),"",WORKDAY($X933,CHOOSE($W933,3,3,2,2,3),Holidays))</f>
        <v/>
      </c>
      <c r="Z933" s="17">
        <f>IF(OR($W933="",$W933=6),"",CHOOSE($W933,"1st Email Follow-up","2nd Email Follow-up","Escalate Local Office","Escalate to CBE","Escalate to Roxanne"))</f>
        <v/>
      </c>
    </row>
    <row r="934" spans="18:26">
      <c r="R934" s="15"/>
      <c r="S934" s="16"/>
      <c r="T934" s="17">
        <f>IF(AND(COUNTA($A934:$K934)=0,$L934=""),"",IF($S934="Paid","PAID",IF($S934="Closed","CLOSED",IF($W934="","",IF($W934=6,"ESCALATED TO ROXANNE",IF(TODAY()&gt;$Y934,"OVERDUE",IF($Y934&lt;=WORKDAY(TODAY(),1,Holidays),"DUE TOMORROW",IF($W934=4,"ESCALATED TO LOCAL OFFICE",IF($W934=5,"ESCALATED TO CBE",IF($X934=TODAY(),"EMAIL SENT","MONITORING"))))))))))</f>
        <v/>
      </c>
      <c r="U934" s="17">
        <f>IF($T934="",IF(AND(COUNTA($A934:$K934)&gt;0,$L934=""),"Awaiting Collection Email time stamp.",""),IF(OR($T934="PAID",$T934="CLOSED"),IF($T934="PAID","Account paid. Action completed.","Account closed. No further action required."),CHOOSE($W934,"Collection Email","1st Email Follow-up","2nd Email Follow-up","Escalation to Local Office","Escalation to CBE","Escalation to Roxanne")&amp;" sent "&amp;TEXT($X934,"dd-mmm")&amp;". "&amp;IF($W934=6,"Final escalation completed.",IF($T934="OVERDUE","Next: "&amp;$Z934&amp;" was due "&amp;TEXT($Y934,"dd-mmm")&amp;" - "&amp;(NETWORKDAYS($Y934,TODAY(),Holidays)-1)&amp;" business day(s) late. Send now.",IF($T934="DUE TOMORROW","Next: "&amp;$Z934&amp;IF($Y934&lt;=TODAY()," is due TODAY ("," is due next business day (")&amp;TEXT($Y934,"dd-mmm")&amp;").","Next: "&amp;$Z934&amp;" due "&amp;TEXT($Y934,"dd-mmm")&amp;" ("&amp;(NETWORKDAYS(TODAY(),$Y934,Holidays)-1)&amp;" business day(s) left).")))))</f>
        <v/>
      </c>
      <c r="V934" s="17">
        <f>IF($W934="","",CHOOSE($W934,"Collection Email","1st Follow-up","2nd Follow-up","Local Office","CBE","Roxanne")&amp;IF($W934=6," - Final"," - Day "&amp;MAX(0,NETWORKDAYS($X934,TODAY(),Holidays)-1)&amp;" of "&amp;CHOOSE($W934,3,3,2,2,3))&amp;" | Total Day "&amp;MAX(0,NETWORKDAYS($L934,TODAY(),Holidays)-1))</f>
        <v/>
      </c>
      <c r="W934" s="17">
        <f>IF($L934="","",COUNT($L934:$Q934))</f>
        <v/>
      </c>
      <c r="X934" s="18">
        <f>IF($W934="","",INT(INDEX($L934:$Q934,$W934)))</f>
        <v/>
      </c>
      <c r="Y934" s="18">
        <f>IF(OR($W934="",$W934=6),"",WORKDAY($X934,CHOOSE($W934,3,3,2,2,3),Holidays))</f>
        <v/>
      </c>
      <c r="Z934" s="17">
        <f>IF(OR($W934="",$W934=6),"",CHOOSE($W934,"1st Email Follow-up","2nd Email Follow-up","Escalate Local Office","Escalate to CBE","Escalate to Roxanne"))</f>
        <v/>
      </c>
    </row>
    <row r="935" spans="18:26">
      <c r="R935" s="15"/>
      <c r="S935" s="16"/>
      <c r="T935" s="17">
        <f>IF(AND(COUNTA($A935:$K935)=0,$L935=""),"",IF($S935="Paid","PAID",IF($S935="Closed","CLOSED",IF($W935="","",IF($W935=6,"ESCALATED TO ROXANNE",IF(TODAY()&gt;$Y935,"OVERDUE",IF($Y935&lt;=WORKDAY(TODAY(),1,Holidays),"DUE TOMORROW",IF($W935=4,"ESCALATED TO LOCAL OFFICE",IF($W935=5,"ESCALATED TO CBE",IF($X935=TODAY(),"EMAIL SENT","MONITORING"))))))))))</f>
        <v/>
      </c>
      <c r="U935" s="17">
        <f>IF($T935="",IF(AND(COUNTA($A935:$K935)&gt;0,$L935=""),"Awaiting Collection Email time stamp.",""),IF(OR($T935="PAID",$T935="CLOSED"),IF($T935="PAID","Account paid. Action completed.","Account closed. No further action required."),CHOOSE($W935,"Collection Email","1st Email Follow-up","2nd Email Follow-up","Escalation to Local Office","Escalation to CBE","Escalation to Roxanne")&amp;" sent "&amp;TEXT($X935,"dd-mmm")&amp;". "&amp;IF($W935=6,"Final escalation completed.",IF($T935="OVERDUE","Next: "&amp;$Z935&amp;" was due "&amp;TEXT($Y935,"dd-mmm")&amp;" - "&amp;(NETWORKDAYS($Y935,TODAY(),Holidays)-1)&amp;" business day(s) late. Send now.",IF($T935="DUE TOMORROW","Next: "&amp;$Z935&amp;IF($Y935&lt;=TODAY()," is due TODAY ("," is due next business day (")&amp;TEXT($Y935,"dd-mmm")&amp;").","Next: "&amp;$Z935&amp;" due "&amp;TEXT($Y935,"dd-mmm")&amp;" ("&amp;(NETWORKDAYS(TODAY(),$Y935,Holidays)-1)&amp;" business day(s) left).")))))</f>
        <v/>
      </c>
      <c r="V935" s="17">
        <f>IF($W935="","",CHOOSE($W935,"Collection Email","1st Follow-up","2nd Follow-up","Local Office","CBE","Roxanne")&amp;IF($W935=6," - Final"," - Day "&amp;MAX(0,NETWORKDAYS($X935,TODAY(),Holidays)-1)&amp;" of "&amp;CHOOSE($W935,3,3,2,2,3))&amp;" | Total Day "&amp;MAX(0,NETWORKDAYS($L935,TODAY(),Holidays)-1))</f>
        <v/>
      </c>
      <c r="W935" s="17">
        <f>IF($L935="","",COUNT($L935:$Q935))</f>
        <v/>
      </c>
      <c r="X935" s="18">
        <f>IF($W935="","",INT(INDEX($L935:$Q935,$W935)))</f>
        <v/>
      </c>
      <c r="Y935" s="18">
        <f>IF(OR($W935="",$W935=6),"",WORKDAY($X935,CHOOSE($W935,3,3,2,2,3),Holidays))</f>
        <v/>
      </c>
      <c r="Z935" s="17">
        <f>IF(OR($W935="",$W935=6),"",CHOOSE($W935,"1st Email Follow-up","2nd Email Follow-up","Escalate Local Office","Escalate to CBE","Escalate to Roxanne"))</f>
        <v/>
      </c>
    </row>
    <row r="936" spans="18:26">
      <c r="R936" s="15"/>
      <c r="S936" s="16"/>
      <c r="T936" s="17">
        <f>IF(AND(COUNTA($A936:$K936)=0,$L936=""),"",IF($S936="Paid","PAID",IF($S936="Closed","CLOSED",IF($W936="","",IF($W936=6,"ESCALATED TO ROXANNE",IF(TODAY()&gt;$Y936,"OVERDUE",IF($Y936&lt;=WORKDAY(TODAY(),1,Holidays),"DUE TOMORROW",IF($W936=4,"ESCALATED TO LOCAL OFFICE",IF($W936=5,"ESCALATED TO CBE",IF($X936=TODAY(),"EMAIL SENT","MONITORING"))))))))))</f>
        <v/>
      </c>
      <c r="U936" s="17">
        <f>IF($T936="",IF(AND(COUNTA($A936:$K936)&gt;0,$L936=""),"Awaiting Collection Email time stamp.",""),IF(OR($T936="PAID",$T936="CLOSED"),IF($T936="PAID","Account paid. Action completed.","Account closed. No further action required."),CHOOSE($W936,"Collection Email","1st Email Follow-up","2nd Email Follow-up","Escalation to Local Office","Escalation to CBE","Escalation to Roxanne")&amp;" sent "&amp;TEXT($X936,"dd-mmm")&amp;". "&amp;IF($W936=6,"Final escalation completed.",IF($T936="OVERDUE","Next: "&amp;$Z936&amp;" was due "&amp;TEXT($Y936,"dd-mmm")&amp;" - "&amp;(NETWORKDAYS($Y936,TODAY(),Holidays)-1)&amp;" business day(s) late. Send now.",IF($T936="DUE TOMORROW","Next: "&amp;$Z936&amp;IF($Y936&lt;=TODAY()," is due TODAY ("," is due next business day (")&amp;TEXT($Y936,"dd-mmm")&amp;").","Next: "&amp;$Z936&amp;" due "&amp;TEXT($Y936,"dd-mmm")&amp;" ("&amp;(NETWORKDAYS(TODAY(),$Y936,Holidays)-1)&amp;" business day(s) left).")))))</f>
        <v/>
      </c>
      <c r="V936" s="17">
        <f>IF($W936="","",CHOOSE($W936,"Collection Email","1st Follow-up","2nd Follow-up","Local Office","CBE","Roxanne")&amp;IF($W936=6," - Final"," - Day "&amp;MAX(0,NETWORKDAYS($X936,TODAY(),Holidays)-1)&amp;" of "&amp;CHOOSE($W936,3,3,2,2,3))&amp;" | Total Day "&amp;MAX(0,NETWORKDAYS($L936,TODAY(),Holidays)-1))</f>
        <v/>
      </c>
      <c r="W936" s="17">
        <f>IF($L936="","",COUNT($L936:$Q936))</f>
        <v/>
      </c>
      <c r="X936" s="18">
        <f>IF($W936="","",INT(INDEX($L936:$Q936,$W936)))</f>
        <v/>
      </c>
      <c r="Y936" s="18">
        <f>IF(OR($W936="",$W936=6),"",WORKDAY($X936,CHOOSE($W936,3,3,2,2,3),Holidays))</f>
        <v/>
      </c>
      <c r="Z936" s="17">
        <f>IF(OR($W936="",$W936=6),"",CHOOSE($W936,"1st Email Follow-up","2nd Email Follow-up","Escalate Local Office","Escalate to CBE","Escalate to Roxanne"))</f>
        <v/>
      </c>
    </row>
    <row r="937" spans="18:26">
      <c r="R937" s="15"/>
      <c r="S937" s="16"/>
      <c r="T937" s="17">
        <f>IF(AND(COUNTA($A937:$K937)=0,$L937=""),"",IF($S937="Paid","PAID",IF($S937="Closed","CLOSED",IF($W937="","",IF($W937=6,"ESCALATED TO ROXANNE",IF(TODAY()&gt;$Y937,"OVERDUE",IF($Y937&lt;=WORKDAY(TODAY(),1,Holidays),"DUE TOMORROW",IF($W937=4,"ESCALATED TO LOCAL OFFICE",IF($W937=5,"ESCALATED TO CBE",IF($X937=TODAY(),"EMAIL SENT","MONITORING"))))))))))</f>
        <v/>
      </c>
      <c r="U937" s="17">
        <f>IF($T937="",IF(AND(COUNTA($A937:$K937)&gt;0,$L937=""),"Awaiting Collection Email time stamp.",""),IF(OR($T937="PAID",$T937="CLOSED"),IF($T937="PAID","Account paid. Action completed.","Account closed. No further action required."),CHOOSE($W937,"Collection Email","1st Email Follow-up","2nd Email Follow-up","Escalation to Local Office","Escalation to CBE","Escalation to Roxanne")&amp;" sent "&amp;TEXT($X937,"dd-mmm")&amp;". "&amp;IF($W937=6,"Final escalation completed.",IF($T937="OVERDUE","Next: "&amp;$Z937&amp;" was due "&amp;TEXT($Y937,"dd-mmm")&amp;" - "&amp;(NETWORKDAYS($Y937,TODAY(),Holidays)-1)&amp;" business day(s) late. Send now.",IF($T937="DUE TOMORROW","Next: "&amp;$Z937&amp;IF($Y937&lt;=TODAY()," is due TODAY ("," is due next business day (")&amp;TEXT($Y937,"dd-mmm")&amp;").","Next: "&amp;$Z937&amp;" due "&amp;TEXT($Y937,"dd-mmm")&amp;" ("&amp;(NETWORKDAYS(TODAY(),$Y937,Holidays)-1)&amp;" business day(s) left).")))))</f>
        <v/>
      </c>
      <c r="V937" s="17">
        <f>IF($W937="","",CHOOSE($W937,"Collection Email","1st Follow-up","2nd Follow-up","Local Office","CBE","Roxanne")&amp;IF($W937=6," - Final"," - Day "&amp;MAX(0,NETWORKDAYS($X937,TODAY(),Holidays)-1)&amp;" of "&amp;CHOOSE($W937,3,3,2,2,3))&amp;" | Total Day "&amp;MAX(0,NETWORKDAYS($L937,TODAY(),Holidays)-1))</f>
        <v/>
      </c>
      <c r="W937" s="17">
        <f>IF($L937="","",COUNT($L937:$Q937))</f>
        <v/>
      </c>
      <c r="X937" s="18">
        <f>IF($W937="","",INT(INDEX($L937:$Q937,$W937)))</f>
        <v/>
      </c>
      <c r="Y937" s="18">
        <f>IF(OR($W937="",$W937=6),"",WORKDAY($X937,CHOOSE($W937,3,3,2,2,3),Holidays))</f>
        <v/>
      </c>
      <c r="Z937" s="17">
        <f>IF(OR($W937="",$W937=6),"",CHOOSE($W937,"1st Email Follow-up","2nd Email Follow-up","Escalate Local Office","Escalate to CBE","Escalate to Roxanne"))</f>
        <v/>
      </c>
    </row>
    <row r="938" spans="18:26">
      <c r="R938" s="15"/>
      <c r="S938" s="16"/>
      <c r="T938" s="17">
        <f>IF(AND(COUNTA($A938:$K938)=0,$L938=""),"",IF($S938="Paid","PAID",IF($S938="Closed","CLOSED",IF($W938="","",IF($W938=6,"ESCALATED TO ROXANNE",IF(TODAY()&gt;$Y938,"OVERDUE",IF($Y938&lt;=WORKDAY(TODAY(),1,Holidays),"DUE TOMORROW",IF($W938=4,"ESCALATED TO LOCAL OFFICE",IF($W938=5,"ESCALATED TO CBE",IF($X938=TODAY(),"EMAIL SENT","MONITORING"))))))))))</f>
        <v/>
      </c>
      <c r="U938" s="17">
        <f>IF($T938="",IF(AND(COUNTA($A938:$K938)&gt;0,$L938=""),"Awaiting Collection Email time stamp.",""),IF(OR($T938="PAID",$T938="CLOSED"),IF($T938="PAID","Account paid. Action completed.","Account closed. No further action required."),CHOOSE($W938,"Collection Email","1st Email Follow-up","2nd Email Follow-up","Escalation to Local Office","Escalation to CBE","Escalation to Roxanne")&amp;" sent "&amp;TEXT($X938,"dd-mmm")&amp;". "&amp;IF($W938=6,"Final escalation completed.",IF($T938="OVERDUE","Next: "&amp;$Z938&amp;" was due "&amp;TEXT($Y938,"dd-mmm")&amp;" - "&amp;(NETWORKDAYS($Y938,TODAY(),Holidays)-1)&amp;" business day(s) late. Send now.",IF($T938="DUE TOMORROW","Next: "&amp;$Z938&amp;IF($Y938&lt;=TODAY()," is due TODAY ("," is due next business day (")&amp;TEXT($Y938,"dd-mmm")&amp;").","Next: "&amp;$Z938&amp;" due "&amp;TEXT($Y938,"dd-mmm")&amp;" ("&amp;(NETWORKDAYS(TODAY(),$Y938,Holidays)-1)&amp;" business day(s) left).")))))</f>
        <v/>
      </c>
      <c r="V938" s="17">
        <f>IF($W938="","",CHOOSE($W938,"Collection Email","1st Follow-up","2nd Follow-up","Local Office","CBE","Roxanne")&amp;IF($W938=6," - Final"," - Day "&amp;MAX(0,NETWORKDAYS($X938,TODAY(),Holidays)-1)&amp;" of "&amp;CHOOSE($W938,3,3,2,2,3))&amp;" | Total Day "&amp;MAX(0,NETWORKDAYS($L938,TODAY(),Holidays)-1))</f>
        <v/>
      </c>
      <c r="W938" s="17">
        <f>IF($L938="","",COUNT($L938:$Q938))</f>
        <v/>
      </c>
      <c r="X938" s="18">
        <f>IF($W938="","",INT(INDEX($L938:$Q938,$W938)))</f>
        <v/>
      </c>
      <c r="Y938" s="18">
        <f>IF(OR($W938="",$W938=6),"",WORKDAY($X938,CHOOSE($W938,3,3,2,2,3),Holidays))</f>
        <v/>
      </c>
      <c r="Z938" s="17">
        <f>IF(OR($W938="",$W938=6),"",CHOOSE($W938,"1st Email Follow-up","2nd Email Follow-up","Escalate Local Office","Escalate to CBE","Escalate to Roxanne"))</f>
        <v/>
      </c>
    </row>
    <row r="939" spans="18:26">
      <c r="R939" s="15"/>
      <c r="S939" s="16"/>
      <c r="T939" s="17">
        <f>IF(AND(COUNTA($A939:$K939)=0,$L939=""),"",IF($S939="Paid","PAID",IF($S939="Closed","CLOSED",IF($W939="","",IF($W939=6,"ESCALATED TO ROXANNE",IF(TODAY()&gt;$Y939,"OVERDUE",IF($Y939&lt;=WORKDAY(TODAY(),1,Holidays),"DUE TOMORROW",IF($W939=4,"ESCALATED TO LOCAL OFFICE",IF($W939=5,"ESCALATED TO CBE",IF($X939=TODAY(),"EMAIL SENT","MONITORING"))))))))))</f>
        <v/>
      </c>
      <c r="U939" s="17">
        <f>IF($T939="",IF(AND(COUNTA($A939:$K939)&gt;0,$L939=""),"Awaiting Collection Email time stamp.",""),IF(OR($T939="PAID",$T939="CLOSED"),IF($T939="PAID","Account paid. Action completed.","Account closed. No further action required."),CHOOSE($W939,"Collection Email","1st Email Follow-up","2nd Email Follow-up","Escalation to Local Office","Escalation to CBE","Escalation to Roxanne")&amp;" sent "&amp;TEXT($X939,"dd-mmm")&amp;". "&amp;IF($W939=6,"Final escalation completed.",IF($T939="OVERDUE","Next: "&amp;$Z939&amp;" was due "&amp;TEXT($Y939,"dd-mmm")&amp;" - "&amp;(NETWORKDAYS($Y939,TODAY(),Holidays)-1)&amp;" business day(s) late. Send now.",IF($T939="DUE TOMORROW","Next: "&amp;$Z939&amp;IF($Y939&lt;=TODAY()," is due TODAY ("," is due next business day (")&amp;TEXT($Y939,"dd-mmm")&amp;").","Next: "&amp;$Z939&amp;" due "&amp;TEXT($Y939,"dd-mmm")&amp;" ("&amp;(NETWORKDAYS(TODAY(),$Y939,Holidays)-1)&amp;" business day(s) left).")))))</f>
        <v/>
      </c>
      <c r="V939" s="17">
        <f>IF($W939="","",CHOOSE($W939,"Collection Email","1st Follow-up","2nd Follow-up","Local Office","CBE","Roxanne")&amp;IF($W939=6," - Final"," - Day "&amp;MAX(0,NETWORKDAYS($X939,TODAY(),Holidays)-1)&amp;" of "&amp;CHOOSE($W939,3,3,2,2,3))&amp;" | Total Day "&amp;MAX(0,NETWORKDAYS($L939,TODAY(),Holidays)-1))</f>
        <v/>
      </c>
      <c r="W939" s="17">
        <f>IF($L939="","",COUNT($L939:$Q939))</f>
        <v/>
      </c>
      <c r="X939" s="18">
        <f>IF($W939="","",INT(INDEX($L939:$Q939,$W939)))</f>
        <v/>
      </c>
      <c r="Y939" s="18">
        <f>IF(OR($W939="",$W939=6),"",WORKDAY($X939,CHOOSE($W939,3,3,2,2,3),Holidays))</f>
        <v/>
      </c>
      <c r="Z939" s="17">
        <f>IF(OR($W939="",$W939=6),"",CHOOSE($W939,"1st Email Follow-up","2nd Email Follow-up","Escalate Local Office","Escalate to CBE","Escalate to Roxanne"))</f>
        <v/>
      </c>
    </row>
    <row r="940" spans="18:26">
      <c r="R940" s="15"/>
      <c r="S940" s="16"/>
      <c r="T940" s="17">
        <f>IF(AND(COUNTA($A940:$K940)=0,$L940=""),"",IF($S940="Paid","PAID",IF($S940="Closed","CLOSED",IF($W940="","",IF($W940=6,"ESCALATED TO ROXANNE",IF(TODAY()&gt;$Y940,"OVERDUE",IF($Y940&lt;=WORKDAY(TODAY(),1,Holidays),"DUE TOMORROW",IF($W940=4,"ESCALATED TO LOCAL OFFICE",IF($W940=5,"ESCALATED TO CBE",IF($X940=TODAY(),"EMAIL SENT","MONITORING"))))))))))</f>
        <v/>
      </c>
      <c r="U940" s="17">
        <f>IF($T940="",IF(AND(COUNTA($A940:$K940)&gt;0,$L940=""),"Awaiting Collection Email time stamp.",""),IF(OR($T940="PAID",$T940="CLOSED"),IF($T940="PAID","Account paid. Action completed.","Account closed. No further action required."),CHOOSE($W940,"Collection Email","1st Email Follow-up","2nd Email Follow-up","Escalation to Local Office","Escalation to CBE","Escalation to Roxanne")&amp;" sent "&amp;TEXT($X940,"dd-mmm")&amp;". "&amp;IF($W940=6,"Final escalation completed.",IF($T940="OVERDUE","Next: "&amp;$Z940&amp;" was due "&amp;TEXT($Y940,"dd-mmm")&amp;" - "&amp;(NETWORKDAYS($Y940,TODAY(),Holidays)-1)&amp;" business day(s) late. Send now.",IF($T940="DUE TOMORROW","Next: "&amp;$Z940&amp;IF($Y940&lt;=TODAY()," is due TODAY ("," is due next business day (")&amp;TEXT($Y940,"dd-mmm")&amp;").","Next: "&amp;$Z940&amp;" due "&amp;TEXT($Y940,"dd-mmm")&amp;" ("&amp;(NETWORKDAYS(TODAY(),$Y940,Holidays)-1)&amp;" business day(s) left).")))))</f>
        <v/>
      </c>
      <c r="V940" s="17">
        <f>IF($W940="","",CHOOSE($W940,"Collection Email","1st Follow-up","2nd Follow-up","Local Office","CBE","Roxanne")&amp;IF($W940=6," - Final"," - Day "&amp;MAX(0,NETWORKDAYS($X940,TODAY(),Holidays)-1)&amp;" of "&amp;CHOOSE($W940,3,3,2,2,3))&amp;" | Total Day "&amp;MAX(0,NETWORKDAYS($L940,TODAY(),Holidays)-1))</f>
        <v/>
      </c>
      <c r="W940" s="17">
        <f>IF($L940="","",COUNT($L940:$Q940))</f>
        <v/>
      </c>
      <c r="X940" s="18">
        <f>IF($W940="","",INT(INDEX($L940:$Q940,$W940)))</f>
        <v/>
      </c>
      <c r="Y940" s="18">
        <f>IF(OR($W940="",$W940=6),"",WORKDAY($X940,CHOOSE($W940,3,3,2,2,3),Holidays))</f>
        <v/>
      </c>
      <c r="Z940" s="17">
        <f>IF(OR($W940="",$W940=6),"",CHOOSE($W940,"1st Email Follow-up","2nd Email Follow-up","Escalate Local Office","Escalate to CBE","Escalate to Roxanne"))</f>
        <v/>
      </c>
    </row>
    <row r="941" spans="18:26">
      <c r="R941" s="15"/>
      <c r="S941" s="16"/>
      <c r="T941" s="17">
        <f>IF(AND(COUNTA($A941:$K941)=0,$L941=""),"",IF($S941="Paid","PAID",IF($S941="Closed","CLOSED",IF($W941="","",IF($W941=6,"ESCALATED TO ROXANNE",IF(TODAY()&gt;$Y941,"OVERDUE",IF($Y941&lt;=WORKDAY(TODAY(),1,Holidays),"DUE TOMORROW",IF($W941=4,"ESCALATED TO LOCAL OFFICE",IF($W941=5,"ESCALATED TO CBE",IF($X941=TODAY(),"EMAIL SENT","MONITORING"))))))))))</f>
        <v/>
      </c>
      <c r="U941" s="17">
        <f>IF($T941="",IF(AND(COUNTA($A941:$K941)&gt;0,$L941=""),"Awaiting Collection Email time stamp.",""),IF(OR($T941="PAID",$T941="CLOSED"),IF($T941="PAID","Account paid. Action completed.","Account closed. No further action required."),CHOOSE($W941,"Collection Email","1st Email Follow-up","2nd Email Follow-up","Escalation to Local Office","Escalation to CBE","Escalation to Roxanne")&amp;" sent "&amp;TEXT($X941,"dd-mmm")&amp;". "&amp;IF($W941=6,"Final escalation completed.",IF($T941="OVERDUE","Next: "&amp;$Z941&amp;" was due "&amp;TEXT($Y941,"dd-mmm")&amp;" - "&amp;(NETWORKDAYS($Y941,TODAY(),Holidays)-1)&amp;" business day(s) late. Send now.",IF($T941="DUE TOMORROW","Next: "&amp;$Z941&amp;IF($Y941&lt;=TODAY()," is due TODAY ("," is due next business day (")&amp;TEXT($Y941,"dd-mmm")&amp;").","Next: "&amp;$Z941&amp;" due "&amp;TEXT($Y941,"dd-mmm")&amp;" ("&amp;(NETWORKDAYS(TODAY(),$Y941,Holidays)-1)&amp;" business day(s) left).")))))</f>
        <v/>
      </c>
      <c r="V941" s="17">
        <f>IF($W941="","",CHOOSE($W941,"Collection Email","1st Follow-up","2nd Follow-up","Local Office","CBE","Roxanne")&amp;IF($W941=6," - Final"," - Day "&amp;MAX(0,NETWORKDAYS($X941,TODAY(),Holidays)-1)&amp;" of "&amp;CHOOSE($W941,3,3,2,2,3))&amp;" | Total Day "&amp;MAX(0,NETWORKDAYS($L941,TODAY(),Holidays)-1))</f>
        <v/>
      </c>
      <c r="W941" s="17">
        <f>IF($L941="","",COUNT($L941:$Q941))</f>
        <v/>
      </c>
      <c r="X941" s="18">
        <f>IF($W941="","",INT(INDEX($L941:$Q941,$W941)))</f>
        <v/>
      </c>
      <c r="Y941" s="18">
        <f>IF(OR($W941="",$W941=6),"",WORKDAY($X941,CHOOSE($W941,3,3,2,2,3),Holidays))</f>
        <v/>
      </c>
      <c r="Z941" s="17">
        <f>IF(OR($W941="",$W941=6),"",CHOOSE($W941,"1st Email Follow-up","2nd Email Follow-up","Escalate Local Office","Escalate to CBE","Escalate to Roxanne"))</f>
        <v/>
      </c>
    </row>
    <row r="942" spans="18:26">
      <c r="R942" s="15"/>
      <c r="S942" s="16"/>
      <c r="T942" s="17">
        <f>IF(AND(COUNTA($A942:$K942)=0,$L942=""),"",IF($S942="Paid","PAID",IF($S942="Closed","CLOSED",IF($W942="","",IF($W942=6,"ESCALATED TO ROXANNE",IF(TODAY()&gt;$Y942,"OVERDUE",IF($Y942&lt;=WORKDAY(TODAY(),1,Holidays),"DUE TOMORROW",IF($W942=4,"ESCALATED TO LOCAL OFFICE",IF($W942=5,"ESCALATED TO CBE",IF($X942=TODAY(),"EMAIL SENT","MONITORING"))))))))))</f>
        <v/>
      </c>
      <c r="U942" s="17">
        <f>IF($T942="",IF(AND(COUNTA($A942:$K942)&gt;0,$L942=""),"Awaiting Collection Email time stamp.",""),IF(OR($T942="PAID",$T942="CLOSED"),IF($T942="PAID","Account paid. Action completed.","Account closed. No further action required."),CHOOSE($W942,"Collection Email","1st Email Follow-up","2nd Email Follow-up","Escalation to Local Office","Escalation to CBE","Escalation to Roxanne")&amp;" sent "&amp;TEXT($X942,"dd-mmm")&amp;". "&amp;IF($W942=6,"Final escalation completed.",IF($T942="OVERDUE","Next: "&amp;$Z942&amp;" was due "&amp;TEXT($Y942,"dd-mmm")&amp;" - "&amp;(NETWORKDAYS($Y942,TODAY(),Holidays)-1)&amp;" business day(s) late. Send now.",IF($T942="DUE TOMORROW","Next: "&amp;$Z942&amp;IF($Y942&lt;=TODAY()," is due TODAY ("," is due next business day (")&amp;TEXT($Y942,"dd-mmm")&amp;").","Next: "&amp;$Z942&amp;" due "&amp;TEXT($Y942,"dd-mmm")&amp;" ("&amp;(NETWORKDAYS(TODAY(),$Y942,Holidays)-1)&amp;" business day(s) left).")))))</f>
        <v/>
      </c>
      <c r="V942" s="17">
        <f>IF($W942="","",CHOOSE($W942,"Collection Email","1st Follow-up","2nd Follow-up","Local Office","CBE","Roxanne")&amp;IF($W942=6," - Final"," - Day "&amp;MAX(0,NETWORKDAYS($X942,TODAY(),Holidays)-1)&amp;" of "&amp;CHOOSE($W942,3,3,2,2,3))&amp;" | Total Day "&amp;MAX(0,NETWORKDAYS($L942,TODAY(),Holidays)-1))</f>
        <v/>
      </c>
      <c r="W942" s="17">
        <f>IF($L942="","",COUNT($L942:$Q942))</f>
        <v/>
      </c>
      <c r="X942" s="18">
        <f>IF($W942="","",INT(INDEX($L942:$Q942,$W942)))</f>
        <v/>
      </c>
      <c r="Y942" s="18">
        <f>IF(OR($W942="",$W942=6),"",WORKDAY($X942,CHOOSE($W942,3,3,2,2,3),Holidays))</f>
        <v/>
      </c>
      <c r="Z942" s="17">
        <f>IF(OR($W942="",$W942=6),"",CHOOSE($W942,"1st Email Follow-up","2nd Email Follow-up","Escalate Local Office","Escalate to CBE","Escalate to Roxanne"))</f>
        <v/>
      </c>
    </row>
    <row r="943" spans="18:26">
      <c r="R943" s="15"/>
      <c r="S943" s="16"/>
      <c r="T943" s="17">
        <f>IF(AND(COUNTA($A943:$K943)=0,$L943=""),"",IF($S943="Paid","PAID",IF($S943="Closed","CLOSED",IF($W943="","",IF($W943=6,"ESCALATED TO ROXANNE",IF(TODAY()&gt;$Y943,"OVERDUE",IF($Y943&lt;=WORKDAY(TODAY(),1,Holidays),"DUE TOMORROW",IF($W943=4,"ESCALATED TO LOCAL OFFICE",IF($W943=5,"ESCALATED TO CBE",IF($X943=TODAY(),"EMAIL SENT","MONITORING"))))))))))</f>
        <v/>
      </c>
      <c r="U943" s="17">
        <f>IF($T943="",IF(AND(COUNTA($A943:$K943)&gt;0,$L943=""),"Awaiting Collection Email time stamp.",""),IF(OR($T943="PAID",$T943="CLOSED"),IF($T943="PAID","Account paid. Action completed.","Account closed. No further action required."),CHOOSE($W943,"Collection Email","1st Email Follow-up","2nd Email Follow-up","Escalation to Local Office","Escalation to CBE","Escalation to Roxanne")&amp;" sent "&amp;TEXT($X943,"dd-mmm")&amp;". "&amp;IF($W943=6,"Final escalation completed.",IF($T943="OVERDUE","Next: "&amp;$Z943&amp;" was due "&amp;TEXT($Y943,"dd-mmm")&amp;" - "&amp;(NETWORKDAYS($Y943,TODAY(),Holidays)-1)&amp;" business day(s) late. Send now.",IF($T943="DUE TOMORROW","Next: "&amp;$Z943&amp;IF($Y943&lt;=TODAY()," is due TODAY ("," is due next business day (")&amp;TEXT($Y943,"dd-mmm")&amp;").","Next: "&amp;$Z943&amp;" due "&amp;TEXT($Y943,"dd-mmm")&amp;" ("&amp;(NETWORKDAYS(TODAY(),$Y943,Holidays)-1)&amp;" business day(s) left).")))))</f>
        <v/>
      </c>
      <c r="V943" s="17">
        <f>IF($W943="","",CHOOSE($W943,"Collection Email","1st Follow-up","2nd Follow-up","Local Office","CBE","Roxanne")&amp;IF($W943=6," - Final"," - Day "&amp;MAX(0,NETWORKDAYS($X943,TODAY(),Holidays)-1)&amp;" of "&amp;CHOOSE($W943,3,3,2,2,3))&amp;" | Total Day "&amp;MAX(0,NETWORKDAYS($L943,TODAY(),Holidays)-1))</f>
        <v/>
      </c>
      <c r="W943" s="17">
        <f>IF($L943="","",COUNT($L943:$Q943))</f>
        <v/>
      </c>
      <c r="X943" s="18">
        <f>IF($W943="","",INT(INDEX($L943:$Q943,$W943)))</f>
        <v/>
      </c>
      <c r="Y943" s="18">
        <f>IF(OR($W943="",$W943=6),"",WORKDAY($X943,CHOOSE($W943,3,3,2,2,3),Holidays))</f>
        <v/>
      </c>
      <c r="Z943" s="17">
        <f>IF(OR($W943="",$W943=6),"",CHOOSE($W943,"1st Email Follow-up","2nd Email Follow-up","Escalate Local Office","Escalate to CBE","Escalate to Roxanne"))</f>
        <v/>
      </c>
    </row>
    <row r="944" spans="18:26">
      <c r="R944" s="15"/>
      <c r="S944" s="16"/>
      <c r="T944" s="17">
        <f>IF(AND(COUNTA($A944:$K944)=0,$L944=""),"",IF($S944="Paid","PAID",IF($S944="Closed","CLOSED",IF($W944="","",IF($W944=6,"ESCALATED TO ROXANNE",IF(TODAY()&gt;$Y944,"OVERDUE",IF($Y944&lt;=WORKDAY(TODAY(),1,Holidays),"DUE TOMORROW",IF($W944=4,"ESCALATED TO LOCAL OFFICE",IF($W944=5,"ESCALATED TO CBE",IF($X944=TODAY(),"EMAIL SENT","MONITORING"))))))))))</f>
        <v/>
      </c>
      <c r="U944" s="17">
        <f>IF($T944="",IF(AND(COUNTA($A944:$K944)&gt;0,$L944=""),"Awaiting Collection Email time stamp.",""),IF(OR($T944="PAID",$T944="CLOSED"),IF($T944="PAID","Account paid. Action completed.","Account closed. No further action required."),CHOOSE($W944,"Collection Email","1st Email Follow-up","2nd Email Follow-up","Escalation to Local Office","Escalation to CBE","Escalation to Roxanne")&amp;" sent "&amp;TEXT($X944,"dd-mmm")&amp;". "&amp;IF($W944=6,"Final escalation completed.",IF($T944="OVERDUE","Next: "&amp;$Z944&amp;" was due "&amp;TEXT($Y944,"dd-mmm")&amp;" - "&amp;(NETWORKDAYS($Y944,TODAY(),Holidays)-1)&amp;" business day(s) late. Send now.",IF($T944="DUE TOMORROW","Next: "&amp;$Z944&amp;IF($Y944&lt;=TODAY()," is due TODAY ("," is due next business day (")&amp;TEXT($Y944,"dd-mmm")&amp;").","Next: "&amp;$Z944&amp;" due "&amp;TEXT($Y944,"dd-mmm")&amp;" ("&amp;(NETWORKDAYS(TODAY(),$Y944,Holidays)-1)&amp;" business day(s) left).")))))</f>
        <v/>
      </c>
      <c r="V944" s="17">
        <f>IF($W944="","",CHOOSE($W944,"Collection Email","1st Follow-up","2nd Follow-up","Local Office","CBE","Roxanne")&amp;IF($W944=6," - Final"," - Day "&amp;MAX(0,NETWORKDAYS($X944,TODAY(),Holidays)-1)&amp;" of "&amp;CHOOSE($W944,3,3,2,2,3))&amp;" | Total Day "&amp;MAX(0,NETWORKDAYS($L944,TODAY(),Holidays)-1))</f>
        <v/>
      </c>
      <c r="W944" s="17">
        <f>IF($L944="","",COUNT($L944:$Q944))</f>
        <v/>
      </c>
      <c r="X944" s="18">
        <f>IF($W944="","",INT(INDEX($L944:$Q944,$W944)))</f>
        <v/>
      </c>
      <c r="Y944" s="18">
        <f>IF(OR($W944="",$W944=6),"",WORKDAY($X944,CHOOSE($W944,3,3,2,2,3),Holidays))</f>
        <v/>
      </c>
      <c r="Z944" s="17">
        <f>IF(OR($W944="",$W944=6),"",CHOOSE($W944,"1st Email Follow-up","2nd Email Follow-up","Escalate Local Office","Escalate to CBE","Escalate to Roxanne"))</f>
        <v/>
      </c>
    </row>
    <row r="945" spans="18:26">
      <c r="R945" s="15"/>
      <c r="S945" s="16"/>
      <c r="T945" s="17">
        <f>IF(AND(COUNTA($A945:$K945)=0,$L945=""),"",IF($S945="Paid","PAID",IF($S945="Closed","CLOSED",IF($W945="","",IF($W945=6,"ESCALATED TO ROXANNE",IF(TODAY()&gt;$Y945,"OVERDUE",IF($Y945&lt;=WORKDAY(TODAY(),1,Holidays),"DUE TOMORROW",IF($W945=4,"ESCALATED TO LOCAL OFFICE",IF($W945=5,"ESCALATED TO CBE",IF($X945=TODAY(),"EMAIL SENT","MONITORING"))))))))))</f>
        <v/>
      </c>
      <c r="U945" s="17">
        <f>IF($T945="",IF(AND(COUNTA($A945:$K945)&gt;0,$L945=""),"Awaiting Collection Email time stamp.",""),IF(OR($T945="PAID",$T945="CLOSED"),IF($T945="PAID","Account paid. Action completed.","Account closed. No further action required."),CHOOSE($W945,"Collection Email","1st Email Follow-up","2nd Email Follow-up","Escalation to Local Office","Escalation to CBE","Escalation to Roxanne")&amp;" sent "&amp;TEXT($X945,"dd-mmm")&amp;". "&amp;IF($W945=6,"Final escalation completed.",IF($T945="OVERDUE","Next: "&amp;$Z945&amp;" was due "&amp;TEXT($Y945,"dd-mmm")&amp;" - "&amp;(NETWORKDAYS($Y945,TODAY(),Holidays)-1)&amp;" business day(s) late. Send now.",IF($T945="DUE TOMORROW","Next: "&amp;$Z945&amp;IF($Y945&lt;=TODAY()," is due TODAY ("," is due next business day (")&amp;TEXT($Y945,"dd-mmm")&amp;").","Next: "&amp;$Z945&amp;" due "&amp;TEXT($Y945,"dd-mmm")&amp;" ("&amp;(NETWORKDAYS(TODAY(),$Y945,Holidays)-1)&amp;" business day(s) left).")))))</f>
        <v/>
      </c>
      <c r="V945" s="17">
        <f>IF($W945="","",CHOOSE($W945,"Collection Email","1st Follow-up","2nd Follow-up","Local Office","CBE","Roxanne")&amp;IF($W945=6," - Final"," - Day "&amp;MAX(0,NETWORKDAYS($X945,TODAY(),Holidays)-1)&amp;" of "&amp;CHOOSE($W945,3,3,2,2,3))&amp;" | Total Day "&amp;MAX(0,NETWORKDAYS($L945,TODAY(),Holidays)-1))</f>
        <v/>
      </c>
      <c r="W945" s="17">
        <f>IF($L945="","",COUNT($L945:$Q945))</f>
        <v/>
      </c>
      <c r="X945" s="18">
        <f>IF($W945="","",INT(INDEX($L945:$Q945,$W945)))</f>
        <v/>
      </c>
      <c r="Y945" s="18">
        <f>IF(OR($W945="",$W945=6),"",WORKDAY($X945,CHOOSE($W945,3,3,2,2,3),Holidays))</f>
        <v/>
      </c>
      <c r="Z945" s="17">
        <f>IF(OR($W945="",$W945=6),"",CHOOSE($W945,"1st Email Follow-up","2nd Email Follow-up","Escalate Local Office","Escalate to CBE","Escalate to Roxanne"))</f>
        <v/>
      </c>
    </row>
    <row r="946" spans="18:26">
      <c r="R946" s="15"/>
      <c r="S946" s="16"/>
      <c r="T946" s="17">
        <f>IF(AND(COUNTA($A946:$K946)=0,$L946=""),"",IF($S946="Paid","PAID",IF($S946="Closed","CLOSED",IF($W946="","",IF($W946=6,"ESCALATED TO ROXANNE",IF(TODAY()&gt;$Y946,"OVERDUE",IF($Y946&lt;=WORKDAY(TODAY(),1,Holidays),"DUE TOMORROW",IF($W946=4,"ESCALATED TO LOCAL OFFICE",IF($W946=5,"ESCALATED TO CBE",IF($X946=TODAY(),"EMAIL SENT","MONITORING"))))))))))</f>
        <v/>
      </c>
      <c r="U946" s="17">
        <f>IF($T946="",IF(AND(COUNTA($A946:$K946)&gt;0,$L946=""),"Awaiting Collection Email time stamp.",""),IF(OR($T946="PAID",$T946="CLOSED"),IF($T946="PAID","Account paid. Action completed.","Account closed. No further action required."),CHOOSE($W946,"Collection Email","1st Email Follow-up","2nd Email Follow-up","Escalation to Local Office","Escalation to CBE","Escalation to Roxanne")&amp;" sent "&amp;TEXT($X946,"dd-mmm")&amp;". "&amp;IF($W946=6,"Final escalation completed.",IF($T946="OVERDUE","Next: "&amp;$Z946&amp;" was due "&amp;TEXT($Y946,"dd-mmm")&amp;" - "&amp;(NETWORKDAYS($Y946,TODAY(),Holidays)-1)&amp;" business day(s) late. Send now.",IF($T946="DUE TOMORROW","Next: "&amp;$Z946&amp;IF($Y946&lt;=TODAY()," is due TODAY ("," is due next business day (")&amp;TEXT($Y946,"dd-mmm")&amp;").","Next: "&amp;$Z946&amp;" due "&amp;TEXT($Y946,"dd-mmm")&amp;" ("&amp;(NETWORKDAYS(TODAY(),$Y946,Holidays)-1)&amp;" business day(s) left).")))))</f>
        <v/>
      </c>
      <c r="V946" s="17">
        <f>IF($W946="","",CHOOSE($W946,"Collection Email","1st Follow-up","2nd Follow-up","Local Office","CBE","Roxanne")&amp;IF($W946=6," - Final"," - Day "&amp;MAX(0,NETWORKDAYS($X946,TODAY(),Holidays)-1)&amp;" of "&amp;CHOOSE($W946,3,3,2,2,3))&amp;" | Total Day "&amp;MAX(0,NETWORKDAYS($L946,TODAY(),Holidays)-1))</f>
        <v/>
      </c>
      <c r="W946" s="17">
        <f>IF($L946="","",COUNT($L946:$Q946))</f>
        <v/>
      </c>
      <c r="X946" s="18">
        <f>IF($W946="","",INT(INDEX($L946:$Q946,$W946)))</f>
        <v/>
      </c>
      <c r="Y946" s="18">
        <f>IF(OR($W946="",$W946=6),"",WORKDAY($X946,CHOOSE($W946,3,3,2,2,3),Holidays))</f>
        <v/>
      </c>
      <c r="Z946" s="17">
        <f>IF(OR($W946="",$W946=6),"",CHOOSE($W946,"1st Email Follow-up","2nd Email Follow-up","Escalate Local Office","Escalate to CBE","Escalate to Roxanne"))</f>
        <v/>
      </c>
    </row>
    <row r="947" spans="18:26">
      <c r="R947" s="15"/>
      <c r="S947" s="16"/>
      <c r="T947" s="17">
        <f>IF(AND(COUNTA($A947:$K947)=0,$L947=""),"",IF($S947="Paid","PAID",IF($S947="Closed","CLOSED",IF($W947="","",IF($W947=6,"ESCALATED TO ROXANNE",IF(TODAY()&gt;$Y947,"OVERDUE",IF($Y947&lt;=WORKDAY(TODAY(),1,Holidays),"DUE TOMORROW",IF($W947=4,"ESCALATED TO LOCAL OFFICE",IF($W947=5,"ESCALATED TO CBE",IF($X947=TODAY(),"EMAIL SENT","MONITORING"))))))))))</f>
        <v/>
      </c>
      <c r="U947" s="17">
        <f>IF($T947="",IF(AND(COUNTA($A947:$K947)&gt;0,$L947=""),"Awaiting Collection Email time stamp.",""),IF(OR($T947="PAID",$T947="CLOSED"),IF($T947="PAID","Account paid. Action completed.","Account closed. No further action required."),CHOOSE($W947,"Collection Email","1st Email Follow-up","2nd Email Follow-up","Escalation to Local Office","Escalation to CBE","Escalation to Roxanne")&amp;" sent "&amp;TEXT($X947,"dd-mmm")&amp;". "&amp;IF($W947=6,"Final escalation completed.",IF($T947="OVERDUE","Next: "&amp;$Z947&amp;" was due "&amp;TEXT($Y947,"dd-mmm")&amp;" - "&amp;(NETWORKDAYS($Y947,TODAY(),Holidays)-1)&amp;" business day(s) late. Send now.",IF($T947="DUE TOMORROW","Next: "&amp;$Z947&amp;IF($Y947&lt;=TODAY()," is due TODAY ("," is due next business day (")&amp;TEXT($Y947,"dd-mmm")&amp;").","Next: "&amp;$Z947&amp;" due "&amp;TEXT($Y947,"dd-mmm")&amp;" ("&amp;(NETWORKDAYS(TODAY(),$Y947,Holidays)-1)&amp;" business day(s) left).")))))</f>
        <v/>
      </c>
      <c r="V947" s="17">
        <f>IF($W947="","",CHOOSE($W947,"Collection Email","1st Follow-up","2nd Follow-up","Local Office","CBE","Roxanne")&amp;IF($W947=6," - Final"," - Day "&amp;MAX(0,NETWORKDAYS($X947,TODAY(),Holidays)-1)&amp;" of "&amp;CHOOSE($W947,3,3,2,2,3))&amp;" | Total Day "&amp;MAX(0,NETWORKDAYS($L947,TODAY(),Holidays)-1))</f>
        <v/>
      </c>
      <c r="W947" s="17">
        <f>IF($L947="","",COUNT($L947:$Q947))</f>
        <v/>
      </c>
      <c r="X947" s="18">
        <f>IF($W947="","",INT(INDEX($L947:$Q947,$W947)))</f>
        <v/>
      </c>
      <c r="Y947" s="18">
        <f>IF(OR($W947="",$W947=6),"",WORKDAY($X947,CHOOSE($W947,3,3,2,2,3),Holidays))</f>
        <v/>
      </c>
      <c r="Z947" s="17">
        <f>IF(OR($W947="",$W947=6),"",CHOOSE($W947,"1st Email Follow-up","2nd Email Follow-up","Escalate Local Office","Escalate to CBE","Escalate to Roxanne"))</f>
        <v/>
      </c>
    </row>
    <row r="948" spans="18:26">
      <c r="R948" s="15"/>
      <c r="S948" s="16"/>
      <c r="T948" s="17">
        <f>IF(AND(COUNTA($A948:$K948)=0,$L948=""),"",IF($S948="Paid","PAID",IF($S948="Closed","CLOSED",IF($W948="","",IF($W948=6,"ESCALATED TO ROXANNE",IF(TODAY()&gt;$Y948,"OVERDUE",IF($Y948&lt;=WORKDAY(TODAY(),1,Holidays),"DUE TOMORROW",IF($W948=4,"ESCALATED TO LOCAL OFFICE",IF($W948=5,"ESCALATED TO CBE",IF($X948=TODAY(),"EMAIL SENT","MONITORING"))))))))))</f>
        <v/>
      </c>
      <c r="U948" s="17">
        <f>IF($T948="",IF(AND(COUNTA($A948:$K948)&gt;0,$L948=""),"Awaiting Collection Email time stamp.",""),IF(OR($T948="PAID",$T948="CLOSED"),IF($T948="PAID","Account paid. Action completed.","Account closed. No further action required."),CHOOSE($W948,"Collection Email","1st Email Follow-up","2nd Email Follow-up","Escalation to Local Office","Escalation to CBE","Escalation to Roxanne")&amp;" sent "&amp;TEXT($X948,"dd-mmm")&amp;". "&amp;IF($W948=6,"Final escalation completed.",IF($T948="OVERDUE","Next: "&amp;$Z948&amp;" was due "&amp;TEXT($Y948,"dd-mmm")&amp;" - "&amp;(NETWORKDAYS($Y948,TODAY(),Holidays)-1)&amp;" business day(s) late. Send now.",IF($T948="DUE TOMORROW","Next: "&amp;$Z948&amp;IF($Y948&lt;=TODAY()," is due TODAY ("," is due next business day (")&amp;TEXT($Y948,"dd-mmm")&amp;").","Next: "&amp;$Z948&amp;" due "&amp;TEXT($Y948,"dd-mmm")&amp;" ("&amp;(NETWORKDAYS(TODAY(),$Y948,Holidays)-1)&amp;" business day(s) left).")))))</f>
        <v/>
      </c>
      <c r="V948" s="17">
        <f>IF($W948="","",CHOOSE($W948,"Collection Email","1st Follow-up","2nd Follow-up","Local Office","CBE","Roxanne")&amp;IF($W948=6," - Final"," - Day "&amp;MAX(0,NETWORKDAYS($X948,TODAY(),Holidays)-1)&amp;" of "&amp;CHOOSE($W948,3,3,2,2,3))&amp;" | Total Day "&amp;MAX(0,NETWORKDAYS($L948,TODAY(),Holidays)-1))</f>
        <v/>
      </c>
      <c r="W948" s="17">
        <f>IF($L948="","",COUNT($L948:$Q948))</f>
        <v/>
      </c>
      <c r="X948" s="18">
        <f>IF($W948="","",INT(INDEX($L948:$Q948,$W948)))</f>
        <v/>
      </c>
      <c r="Y948" s="18">
        <f>IF(OR($W948="",$W948=6),"",WORKDAY($X948,CHOOSE($W948,3,3,2,2,3),Holidays))</f>
        <v/>
      </c>
      <c r="Z948" s="17">
        <f>IF(OR($W948="",$W948=6),"",CHOOSE($W948,"1st Email Follow-up","2nd Email Follow-up","Escalate Local Office","Escalate to CBE","Escalate to Roxanne"))</f>
        <v/>
      </c>
    </row>
    <row r="949" spans="18:26">
      <c r="R949" s="15"/>
      <c r="S949" s="16"/>
      <c r="T949" s="17">
        <f>IF(AND(COUNTA($A949:$K949)=0,$L949=""),"",IF($S949="Paid","PAID",IF($S949="Closed","CLOSED",IF($W949="","",IF($W949=6,"ESCALATED TO ROXANNE",IF(TODAY()&gt;$Y949,"OVERDUE",IF($Y949&lt;=WORKDAY(TODAY(),1,Holidays),"DUE TOMORROW",IF($W949=4,"ESCALATED TO LOCAL OFFICE",IF($W949=5,"ESCALATED TO CBE",IF($X949=TODAY(),"EMAIL SENT","MONITORING"))))))))))</f>
        <v/>
      </c>
      <c r="U949" s="17">
        <f>IF($T949="",IF(AND(COUNTA($A949:$K949)&gt;0,$L949=""),"Awaiting Collection Email time stamp.",""),IF(OR($T949="PAID",$T949="CLOSED"),IF($T949="PAID","Account paid. Action completed.","Account closed. No further action required."),CHOOSE($W949,"Collection Email","1st Email Follow-up","2nd Email Follow-up","Escalation to Local Office","Escalation to CBE","Escalation to Roxanne")&amp;" sent "&amp;TEXT($X949,"dd-mmm")&amp;". "&amp;IF($W949=6,"Final escalation completed.",IF($T949="OVERDUE","Next: "&amp;$Z949&amp;" was due "&amp;TEXT($Y949,"dd-mmm")&amp;" - "&amp;(NETWORKDAYS($Y949,TODAY(),Holidays)-1)&amp;" business day(s) late. Send now.",IF($T949="DUE TOMORROW","Next: "&amp;$Z949&amp;IF($Y949&lt;=TODAY()," is due TODAY ("," is due next business day (")&amp;TEXT($Y949,"dd-mmm")&amp;").","Next: "&amp;$Z949&amp;" due "&amp;TEXT($Y949,"dd-mmm")&amp;" ("&amp;(NETWORKDAYS(TODAY(),$Y949,Holidays)-1)&amp;" business day(s) left).")))))</f>
        <v/>
      </c>
      <c r="V949" s="17">
        <f>IF($W949="","",CHOOSE($W949,"Collection Email","1st Follow-up","2nd Follow-up","Local Office","CBE","Roxanne")&amp;IF($W949=6," - Final"," - Day "&amp;MAX(0,NETWORKDAYS($X949,TODAY(),Holidays)-1)&amp;" of "&amp;CHOOSE($W949,3,3,2,2,3))&amp;" | Total Day "&amp;MAX(0,NETWORKDAYS($L949,TODAY(),Holidays)-1))</f>
        <v/>
      </c>
      <c r="W949" s="17">
        <f>IF($L949="","",COUNT($L949:$Q949))</f>
        <v/>
      </c>
      <c r="X949" s="18">
        <f>IF($W949="","",INT(INDEX($L949:$Q949,$W949)))</f>
        <v/>
      </c>
      <c r="Y949" s="18">
        <f>IF(OR($W949="",$W949=6),"",WORKDAY($X949,CHOOSE($W949,3,3,2,2,3),Holidays))</f>
        <v/>
      </c>
      <c r="Z949" s="17">
        <f>IF(OR($W949="",$W949=6),"",CHOOSE($W949,"1st Email Follow-up","2nd Email Follow-up","Escalate Local Office","Escalate to CBE","Escalate to Roxanne"))</f>
        <v/>
      </c>
    </row>
    <row r="950" spans="18:26">
      <c r="R950" s="15"/>
      <c r="S950" s="16"/>
      <c r="T950" s="17">
        <f>IF(AND(COUNTA($A950:$K950)=0,$L950=""),"",IF($S950="Paid","PAID",IF($S950="Closed","CLOSED",IF($W950="","",IF($W950=6,"ESCALATED TO ROXANNE",IF(TODAY()&gt;$Y950,"OVERDUE",IF($Y950&lt;=WORKDAY(TODAY(),1,Holidays),"DUE TOMORROW",IF($W950=4,"ESCALATED TO LOCAL OFFICE",IF($W950=5,"ESCALATED TO CBE",IF($X950=TODAY(),"EMAIL SENT","MONITORING"))))))))))</f>
        <v/>
      </c>
      <c r="U950" s="17">
        <f>IF($T950="",IF(AND(COUNTA($A950:$K950)&gt;0,$L950=""),"Awaiting Collection Email time stamp.",""),IF(OR($T950="PAID",$T950="CLOSED"),IF($T950="PAID","Account paid. Action completed.","Account closed. No further action required."),CHOOSE($W950,"Collection Email","1st Email Follow-up","2nd Email Follow-up","Escalation to Local Office","Escalation to CBE","Escalation to Roxanne")&amp;" sent "&amp;TEXT($X950,"dd-mmm")&amp;". "&amp;IF($W950=6,"Final escalation completed.",IF($T950="OVERDUE","Next: "&amp;$Z950&amp;" was due "&amp;TEXT($Y950,"dd-mmm")&amp;" - "&amp;(NETWORKDAYS($Y950,TODAY(),Holidays)-1)&amp;" business day(s) late. Send now.",IF($T950="DUE TOMORROW","Next: "&amp;$Z950&amp;IF($Y950&lt;=TODAY()," is due TODAY ("," is due next business day (")&amp;TEXT($Y950,"dd-mmm")&amp;").","Next: "&amp;$Z950&amp;" due "&amp;TEXT($Y950,"dd-mmm")&amp;" ("&amp;(NETWORKDAYS(TODAY(),$Y950,Holidays)-1)&amp;" business day(s) left).")))))</f>
        <v/>
      </c>
      <c r="V950" s="17">
        <f>IF($W950="","",CHOOSE($W950,"Collection Email","1st Follow-up","2nd Follow-up","Local Office","CBE","Roxanne")&amp;IF($W950=6," - Final"," - Day "&amp;MAX(0,NETWORKDAYS($X950,TODAY(),Holidays)-1)&amp;" of "&amp;CHOOSE($W950,3,3,2,2,3))&amp;" | Total Day "&amp;MAX(0,NETWORKDAYS($L950,TODAY(),Holidays)-1))</f>
        <v/>
      </c>
      <c r="W950" s="17">
        <f>IF($L950="","",COUNT($L950:$Q950))</f>
        <v/>
      </c>
      <c r="X950" s="18">
        <f>IF($W950="","",INT(INDEX($L950:$Q950,$W950)))</f>
        <v/>
      </c>
      <c r="Y950" s="18">
        <f>IF(OR($W950="",$W950=6),"",WORKDAY($X950,CHOOSE($W950,3,3,2,2,3),Holidays))</f>
        <v/>
      </c>
      <c r="Z950" s="17">
        <f>IF(OR($W950="",$W950=6),"",CHOOSE($W950,"1st Email Follow-up","2nd Email Follow-up","Escalate Local Office","Escalate to CBE","Escalate to Roxanne"))</f>
        <v/>
      </c>
    </row>
    <row r="951" spans="18:26">
      <c r="R951" s="15"/>
      <c r="S951" s="16"/>
      <c r="T951" s="17">
        <f>IF(AND(COUNTA($A951:$K951)=0,$L951=""),"",IF($S951="Paid","PAID",IF($S951="Closed","CLOSED",IF($W951="","",IF($W951=6,"ESCALATED TO ROXANNE",IF(TODAY()&gt;$Y951,"OVERDUE",IF($Y951&lt;=WORKDAY(TODAY(),1,Holidays),"DUE TOMORROW",IF($W951=4,"ESCALATED TO LOCAL OFFICE",IF($W951=5,"ESCALATED TO CBE",IF($X951=TODAY(),"EMAIL SENT","MONITORING"))))))))))</f>
        <v/>
      </c>
      <c r="U951" s="17">
        <f>IF($T951="",IF(AND(COUNTA($A951:$K951)&gt;0,$L951=""),"Awaiting Collection Email time stamp.",""),IF(OR($T951="PAID",$T951="CLOSED"),IF($T951="PAID","Account paid. Action completed.","Account closed. No further action required."),CHOOSE($W951,"Collection Email","1st Email Follow-up","2nd Email Follow-up","Escalation to Local Office","Escalation to CBE","Escalation to Roxanne")&amp;" sent "&amp;TEXT($X951,"dd-mmm")&amp;". "&amp;IF($W951=6,"Final escalation completed.",IF($T951="OVERDUE","Next: "&amp;$Z951&amp;" was due "&amp;TEXT($Y951,"dd-mmm")&amp;" - "&amp;(NETWORKDAYS($Y951,TODAY(),Holidays)-1)&amp;" business day(s) late. Send now.",IF($T951="DUE TOMORROW","Next: "&amp;$Z951&amp;IF($Y951&lt;=TODAY()," is due TODAY ("," is due next business day (")&amp;TEXT($Y951,"dd-mmm")&amp;").","Next: "&amp;$Z951&amp;" due "&amp;TEXT($Y951,"dd-mmm")&amp;" ("&amp;(NETWORKDAYS(TODAY(),$Y951,Holidays)-1)&amp;" business day(s) left).")))))</f>
        <v/>
      </c>
      <c r="V951" s="17">
        <f>IF($W951="","",CHOOSE($W951,"Collection Email","1st Follow-up","2nd Follow-up","Local Office","CBE","Roxanne")&amp;IF($W951=6," - Final"," - Day "&amp;MAX(0,NETWORKDAYS($X951,TODAY(),Holidays)-1)&amp;" of "&amp;CHOOSE($W951,3,3,2,2,3))&amp;" | Total Day "&amp;MAX(0,NETWORKDAYS($L951,TODAY(),Holidays)-1))</f>
        <v/>
      </c>
      <c r="W951" s="17">
        <f>IF($L951="","",COUNT($L951:$Q951))</f>
        <v/>
      </c>
      <c r="X951" s="18">
        <f>IF($W951="","",INT(INDEX($L951:$Q951,$W951)))</f>
        <v/>
      </c>
      <c r="Y951" s="18">
        <f>IF(OR($W951="",$W951=6),"",WORKDAY($X951,CHOOSE($W951,3,3,2,2,3),Holidays))</f>
        <v/>
      </c>
      <c r="Z951" s="17">
        <f>IF(OR($W951="",$W951=6),"",CHOOSE($W951,"1st Email Follow-up","2nd Email Follow-up","Escalate Local Office","Escalate to CBE","Escalate to Roxanne"))</f>
        <v/>
      </c>
    </row>
    <row r="952" spans="18:26">
      <c r="R952" s="15"/>
      <c r="S952" s="16"/>
      <c r="T952" s="17">
        <f>IF(AND(COUNTA($A952:$K952)=0,$L952=""),"",IF($S952="Paid","PAID",IF($S952="Closed","CLOSED",IF($W952="","",IF($W952=6,"ESCALATED TO ROXANNE",IF(TODAY()&gt;$Y952,"OVERDUE",IF($Y952&lt;=WORKDAY(TODAY(),1,Holidays),"DUE TOMORROW",IF($W952=4,"ESCALATED TO LOCAL OFFICE",IF($W952=5,"ESCALATED TO CBE",IF($X952=TODAY(),"EMAIL SENT","MONITORING"))))))))))</f>
        <v/>
      </c>
      <c r="U952" s="17">
        <f>IF($T952="",IF(AND(COUNTA($A952:$K952)&gt;0,$L952=""),"Awaiting Collection Email time stamp.",""),IF(OR($T952="PAID",$T952="CLOSED"),IF($T952="PAID","Account paid. Action completed.","Account closed. No further action required."),CHOOSE($W952,"Collection Email","1st Email Follow-up","2nd Email Follow-up","Escalation to Local Office","Escalation to CBE","Escalation to Roxanne")&amp;" sent "&amp;TEXT($X952,"dd-mmm")&amp;". "&amp;IF($W952=6,"Final escalation completed.",IF($T952="OVERDUE","Next: "&amp;$Z952&amp;" was due "&amp;TEXT($Y952,"dd-mmm")&amp;" - "&amp;(NETWORKDAYS($Y952,TODAY(),Holidays)-1)&amp;" business day(s) late. Send now.",IF($T952="DUE TOMORROW","Next: "&amp;$Z952&amp;IF($Y952&lt;=TODAY()," is due TODAY ("," is due next business day (")&amp;TEXT($Y952,"dd-mmm")&amp;").","Next: "&amp;$Z952&amp;" due "&amp;TEXT($Y952,"dd-mmm")&amp;" ("&amp;(NETWORKDAYS(TODAY(),$Y952,Holidays)-1)&amp;" business day(s) left).")))))</f>
        <v/>
      </c>
      <c r="V952" s="17">
        <f>IF($W952="","",CHOOSE($W952,"Collection Email","1st Follow-up","2nd Follow-up","Local Office","CBE","Roxanne")&amp;IF($W952=6," - Final"," - Day "&amp;MAX(0,NETWORKDAYS($X952,TODAY(),Holidays)-1)&amp;" of "&amp;CHOOSE($W952,3,3,2,2,3))&amp;" | Total Day "&amp;MAX(0,NETWORKDAYS($L952,TODAY(),Holidays)-1))</f>
        <v/>
      </c>
      <c r="W952" s="17">
        <f>IF($L952="","",COUNT($L952:$Q952))</f>
        <v/>
      </c>
      <c r="X952" s="18">
        <f>IF($W952="","",INT(INDEX($L952:$Q952,$W952)))</f>
        <v/>
      </c>
      <c r="Y952" s="18">
        <f>IF(OR($W952="",$W952=6),"",WORKDAY($X952,CHOOSE($W952,3,3,2,2,3),Holidays))</f>
        <v/>
      </c>
      <c r="Z952" s="17">
        <f>IF(OR($W952="",$W952=6),"",CHOOSE($W952,"1st Email Follow-up","2nd Email Follow-up","Escalate Local Office","Escalate to CBE","Escalate to Roxanne"))</f>
        <v/>
      </c>
    </row>
    <row r="953" spans="18:26">
      <c r="R953" s="15"/>
      <c r="S953" s="16"/>
      <c r="T953" s="17">
        <f>IF(AND(COUNTA($A953:$K953)=0,$L953=""),"",IF($S953="Paid","PAID",IF($S953="Closed","CLOSED",IF($W953="","",IF($W953=6,"ESCALATED TO ROXANNE",IF(TODAY()&gt;$Y953,"OVERDUE",IF($Y953&lt;=WORKDAY(TODAY(),1,Holidays),"DUE TOMORROW",IF($W953=4,"ESCALATED TO LOCAL OFFICE",IF($W953=5,"ESCALATED TO CBE",IF($X953=TODAY(),"EMAIL SENT","MONITORING"))))))))))</f>
        <v/>
      </c>
      <c r="U953" s="17">
        <f>IF($T953="",IF(AND(COUNTA($A953:$K953)&gt;0,$L953=""),"Awaiting Collection Email time stamp.",""),IF(OR($T953="PAID",$T953="CLOSED"),IF($T953="PAID","Account paid. Action completed.","Account closed. No further action required."),CHOOSE($W953,"Collection Email","1st Email Follow-up","2nd Email Follow-up","Escalation to Local Office","Escalation to CBE","Escalation to Roxanne")&amp;" sent "&amp;TEXT($X953,"dd-mmm")&amp;". "&amp;IF($W953=6,"Final escalation completed.",IF($T953="OVERDUE","Next: "&amp;$Z953&amp;" was due "&amp;TEXT($Y953,"dd-mmm")&amp;" - "&amp;(NETWORKDAYS($Y953,TODAY(),Holidays)-1)&amp;" business day(s) late. Send now.",IF($T953="DUE TOMORROW","Next: "&amp;$Z953&amp;IF($Y953&lt;=TODAY()," is due TODAY ("," is due next business day (")&amp;TEXT($Y953,"dd-mmm")&amp;").","Next: "&amp;$Z953&amp;" due "&amp;TEXT($Y953,"dd-mmm")&amp;" ("&amp;(NETWORKDAYS(TODAY(),$Y953,Holidays)-1)&amp;" business day(s) left).")))))</f>
        <v/>
      </c>
      <c r="V953" s="17">
        <f>IF($W953="","",CHOOSE($W953,"Collection Email","1st Follow-up","2nd Follow-up","Local Office","CBE","Roxanne")&amp;IF($W953=6," - Final"," - Day "&amp;MAX(0,NETWORKDAYS($X953,TODAY(),Holidays)-1)&amp;" of "&amp;CHOOSE($W953,3,3,2,2,3))&amp;" | Total Day "&amp;MAX(0,NETWORKDAYS($L953,TODAY(),Holidays)-1))</f>
        <v/>
      </c>
      <c r="W953" s="17">
        <f>IF($L953="","",COUNT($L953:$Q953))</f>
        <v/>
      </c>
      <c r="X953" s="18">
        <f>IF($W953="","",INT(INDEX($L953:$Q953,$W953)))</f>
        <v/>
      </c>
      <c r="Y953" s="18">
        <f>IF(OR($W953="",$W953=6),"",WORKDAY($X953,CHOOSE($W953,3,3,2,2,3),Holidays))</f>
        <v/>
      </c>
      <c r="Z953" s="17">
        <f>IF(OR($W953="",$W953=6),"",CHOOSE($W953,"1st Email Follow-up","2nd Email Follow-up","Escalate Local Office","Escalate to CBE","Escalate to Roxanne"))</f>
        <v/>
      </c>
    </row>
    <row r="954" spans="18:26">
      <c r="R954" s="15"/>
      <c r="S954" s="16"/>
      <c r="T954" s="17">
        <f>IF(AND(COUNTA($A954:$K954)=0,$L954=""),"",IF($S954="Paid","PAID",IF($S954="Closed","CLOSED",IF($W954="","",IF($W954=6,"ESCALATED TO ROXANNE",IF(TODAY()&gt;$Y954,"OVERDUE",IF($Y954&lt;=WORKDAY(TODAY(),1,Holidays),"DUE TOMORROW",IF($W954=4,"ESCALATED TO LOCAL OFFICE",IF($W954=5,"ESCALATED TO CBE",IF($X954=TODAY(),"EMAIL SENT","MONITORING"))))))))))</f>
        <v/>
      </c>
      <c r="U954" s="17">
        <f>IF($T954="",IF(AND(COUNTA($A954:$K954)&gt;0,$L954=""),"Awaiting Collection Email time stamp.",""),IF(OR($T954="PAID",$T954="CLOSED"),IF($T954="PAID","Account paid. Action completed.","Account closed. No further action required."),CHOOSE($W954,"Collection Email","1st Email Follow-up","2nd Email Follow-up","Escalation to Local Office","Escalation to CBE","Escalation to Roxanne")&amp;" sent "&amp;TEXT($X954,"dd-mmm")&amp;". "&amp;IF($W954=6,"Final escalation completed.",IF($T954="OVERDUE","Next: "&amp;$Z954&amp;" was due "&amp;TEXT($Y954,"dd-mmm")&amp;" - "&amp;(NETWORKDAYS($Y954,TODAY(),Holidays)-1)&amp;" business day(s) late. Send now.",IF($T954="DUE TOMORROW","Next: "&amp;$Z954&amp;IF($Y954&lt;=TODAY()," is due TODAY ("," is due next business day (")&amp;TEXT($Y954,"dd-mmm")&amp;").","Next: "&amp;$Z954&amp;" due "&amp;TEXT($Y954,"dd-mmm")&amp;" ("&amp;(NETWORKDAYS(TODAY(),$Y954,Holidays)-1)&amp;" business day(s) left).")))))</f>
        <v/>
      </c>
      <c r="V954" s="17">
        <f>IF($W954="","",CHOOSE($W954,"Collection Email","1st Follow-up","2nd Follow-up","Local Office","CBE","Roxanne")&amp;IF($W954=6," - Final"," - Day "&amp;MAX(0,NETWORKDAYS($X954,TODAY(),Holidays)-1)&amp;" of "&amp;CHOOSE($W954,3,3,2,2,3))&amp;" | Total Day "&amp;MAX(0,NETWORKDAYS($L954,TODAY(),Holidays)-1))</f>
        <v/>
      </c>
      <c r="W954" s="17">
        <f>IF($L954="","",COUNT($L954:$Q954))</f>
        <v/>
      </c>
      <c r="X954" s="18">
        <f>IF($W954="","",INT(INDEX($L954:$Q954,$W954)))</f>
        <v/>
      </c>
      <c r="Y954" s="18">
        <f>IF(OR($W954="",$W954=6),"",WORKDAY($X954,CHOOSE($W954,3,3,2,2,3),Holidays))</f>
        <v/>
      </c>
      <c r="Z954" s="17">
        <f>IF(OR($W954="",$W954=6),"",CHOOSE($W954,"1st Email Follow-up","2nd Email Follow-up","Escalate Local Office","Escalate to CBE","Escalate to Roxanne"))</f>
        <v/>
      </c>
    </row>
    <row r="955" spans="18:26">
      <c r="R955" s="15"/>
      <c r="S955" s="16"/>
      <c r="T955" s="17">
        <f>IF(AND(COUNTA($A955:$K955)=0,$L955=""),"",IF($S955="Paid","PAID",IF($S955="Closed","CLOSED",IF($W955="","",IF($W955=6,"ESCALATED TO ROXANNE",IF(TODAY()&gt;$Y955,"OVERDUE",IF($Y955&lt;=WORKDAY(TODAY(),1,Holidays),"DUE TOMORROW",IF($W955=4,"ESCALATED TO LOCAL OFFICE",IF($W955=5,"ESCALATED TO CBE",IF($X955=TODAY(),"EMAIL SENT","MONITORING"))))))))))</f>
        <v/>
      </c>
      <c r="U955" s="17">
        <f>IF($T955="",IF(AND(COUNTA($A955:$K955)&gt;0,$L955=""),"Awaiting Collection Email time stamp.",""),IF(OR($T955="PAID",$T955="CLOSED"),IF($T955="PAID","Account paid. Action completed.","Account closed. No further action required."),CHOOSE($W955,"Collection Email","1st Email Follow-up","2nd Email Follow-up","Escalation to Local Office","Escalation to CBE","Escalation to Roxanne")&amp;" sent "&amp;TEXT($X955,"dd-mmm")&amp;". "&amp;IF($W955=6,"Final escalation completed.",IF($T955="OVERDUE","Next: "&amp;$Z955&amp;" was due "&amp;TEXT($Y955,"dd-mmm")&amp;" - "&amp;(NETWORKDAYS($Y955,TODAY(),Holidays)-1)&amp;" business day(s) late. Send now.",IF($T955="DUE TOMORROW","Next: "&amp;$Z955&amp;IF($Y955&lt;=TODAY()," is due TODAY ("," is due next business day (")&amp;TEXT($Y955,"dd-mmm")&amp;").","Next: "&amp;$Z955&amp;" due "&amp;TEXT($Y955,"dd-mmm")&amp;" ("&amp;(NETWORKDAYS(TODAY(),$Y955,Holidays)-1)&amp;" business day(s) left).")))))</f>
        <v/>
      </c>
      <c r="V955" s="17">
        <f>IF($W955="","",CHOOSE($W955,"Collection Email","1st Follow-up","2nd Follow-up","Local Office","CBE","Roxanne")&amp;IF($W955=6," - Final"," - Day "&amp;MAX(0,NETWORKDAYS($X955,TODAY(),Holidays)-1)&amp;" of "&amp;CHOOSE($W955,3,3,2,2,3))&amp;" | Total Day "&amp;MAX(0,NETWORKDAYS($L955,TODAY(),Holidays)-1))</f>
        <v/>
      </c>
      <c r="W955" s="17">
        <f>IF($L955="","",COUNT($L955:$Q955))</f>
        <v/>
      </c>
      <c r="X955" s="18">
        <f>IF($W955="","",INT(INDEX($L955:$Q955,$W955)))</f>
        <v/>
      </c>
      <c r="Y955" s="18">
        <f>IF(OR($W955="",$W955=6),"",WORKDAY($X955,CHOOSE($W955,3,3,2,2,3),Holidays))</f>
        <v/>
      </c>
      <c r="Z955" s="17">
        <f>IF(OR($W955="",$W955=6),"",CHOOSE($W955,"1st Email Follow-up","2nd Email Follow-up","Escalate Local Office","Escalate to CBE","Escalate to Roxanne"))</f>
        <v/>
      </c>
    </row>
    <row r="956" spans="18:26">
      <c r="R956" s="15"/>
      <c r="S956" s="16"/>
      <c r="T956" s="17">
        <f>IF(AND(COUNTA($A956:$K956)=0,$L956=""),"",IF($S956="Paid","PAID",IF($S956="Closed","CLOSED",IF($W956="","",IF($W956=6,"ESCALATED TO ROXANNE",IF(TODAY()&gt;$Y956,"OVERDUE",IF($Y956&lt;=WORKDAY(TODAY(),1,Holidays),"DUE TOMORROW",IF($W956=4,"ESCALATED TO LOCAL OFFICE",IF($W956=5,"ESCALATED TO CBE",IF($X956=TODAY(),"EMAIL SENT","MONITORING"))))))))))</f>
        <v/>
      </c>
      <c r="U956" s="17">
        <f>IF($T956="",IF(AND(COUNTA($A956:$K956)&gt;0,$L956=""),"Awaiting Collection Email time stamp.",""),IF(OR($T956="PAID",$T956="CLOSED"),IF($T956="PAID","Account paid. Action completed.","Account closed. No further action required."),CHOOSE($W956,"Collection Email","1st Email Follow-up","2nd Email Follow-up","Escalation to Local Office","Escalation to CBE","Escalation to Roxanne")&amp;" sent "&amp;TEXT($X956,"dd-mmm")&amp;". "&amp;IF($W956=6,"Final escalation completed.",IF($T956="OVERDUE","Next: "&amp;$Z956&amp;" was due "&amp;TEXT($Y956,"dd-mmm")&amp;" - "&amp;(NETWORKDAYS($Y956,TODAY(),Holidays)-1)&amp;" business day(s) late. Send now.",IF($T956="DUE TOMORROW","Next: "&amp;$Z956&amp;IF($Y956&lt;=TODAY()," is due TODAY ("," is due next business day (")&amp;TEXT($Y956,"dd-mmm")&amp;").","Next: "&amp;$Z956&amp;" due "&amp;TEXT($Y956,"dd-mmm")&amp;" ("&amp;(NETWORKDAYS(TODAY(),$Y956,Holidays)-1)&amp;" business day(s) left).")))))</f>
        <v/>
      </c>
      <c r="V956" s="17">
        <f>IF($W956="","",CHOOSE($W956,"Collection Email","1st Follow-up","2nd Follow-up","Local Office","CBE","Roxanne")&amp;IF($W956=6," - Final"," - Day "&amp;MAX(0,NETWORKDAYS($X956,TODAY(),Holidays)-1)&amp;" of "&amp;CHOOSE($W956,3,3,2,2,3))&amp;" | Total Day "&amp;MAX(0,NETWORKDAYS($L956,TODAY(),Holidays)-1))</f>
        <v/>
      </c>
      <c r="W956" s="17">
        <f>IF($L956="","",COUNT($L956:$Q956))</f>
        <v/>
      </c>
      <c r="X956" s="18">
        <f>IF($W956="","",INT(INDEX($L956:$Q956,$W956)))</f>
        <v/>
      </c>
      <c r="Y956" s="18">
        <f>IF(OR($W956="",$W956=6),"",WORKDAY($X956,CHOOSE($W956,3,3,2,2,3),Holidays))</f>
        <v/>
      </c>
      <c r="Z956" s="17">
        <f>IF(OR($W956="",$W956=6),"",CHOOSE($W956,"1st Email Follow-up","2nd Email Follow-up","Escalate Local Office","Escalate to CBE","Escalate to Roxanne"))</f>
        <v/>
      </c>
    </row>
    <row r="957" spans="18:26">
      <c r="R957" s="15"/>
      <c r="S957" s="16"/>
      <c r="T957" s="17">
        <f>IF(AND(COUNTA($A957:$K957)=0,$L957=""),"",IF($S957="Paid","PAID",IF($S957="Closed","CLOSED",IF($W957="","",IF($W957=6,"ESCALATED TO ROXANNE",IF(TODAY()&gt;$Y957,"OVERDUE",IF($Y957&lt;=WORKDAY(TODAY(),1,Holidays),"DUE TOMORROW",IF($W957=4,"ESCALATED TO LOCAL OFFICE",IF($W957=5,"ESCALATED TO CBE",IF($X957=TODAY(),"EMAIL SENT","MONITORING"))))))))))</f>
        <v/>
      </c>
      <c r="U957" s="17">
        <f>IF($T957="",IF(AND(COUNTA($A957:$K957)&gt;0,$L957=""),"Awaiting Collection Email time stamp.",""),IF(OR($T957="PAID",$T957="CLOSED"),IF($T957="PAID","Account paid. Action completed.","Account closed. No further action required."),CHOOSE($W957,"Collection Email","1st Email Follow-up","2nd Email Follow-up","Escalation to Local Office","Escalation to CBE","Escalation to Roxanne")&amp;" sent "&amp;TEXT($X957,"dd-mmm")&amp;". "&amp;IF($W957=6,"Final escalation completed.",IF($T957="OVERDUE","Next: "&amp;$Z957&amp;" was due "&amp;TEXT($Y957,"dd-mmm")&amp;" - "&amp;(NETWORKDAYS($Y957,TODAY(),Holidays)-1)&amp;" business day(s) late. Send now.",IF($T957="DUE TOMORROW","Next: "&amp;$Z957&amp;IF($Y957&lt;=TODAY()," is due TODAY ("," is due next business day (")&amp;TEXT($Y957,"dd-mmm")&amp;").","Next: "&amp;$Z957&amp;" due "&amp;TEXT($Y957,"dd-mmm")&amp;" ("&amp;(NETWORKDAYS(TODAY(),$Y957,Holidays)-1)&amp;" business day(s) left).")))))</f>
        <v/>
      </c>
      <c r="V957" s="17">
        <f>IF($W957="","",CHOOSE($W957,"Collection Email","1st Follow-up","2nd Follow-up","Local Office","CBE","Roxanne")&amp;IF($W957=6," - Final"," - Day "&amp;MAX(0,NETWORKDAYS($X957,TODAY(),Holidays)-1)&amp;" of "&amp;CHOOSE($W957,3,3,2,2,3))&amp;" | Total Day "&amp;MAX(0,NETWORKDAYS($L957,TODAY(),Holidays)-1))</f>
        <v/>
      </c>
      <c r="W957" s="17">
        <f>IF($L957="","",COUNT($L957:$Q957))</f>
        <v/>
      </c>
      <c r="X957" s="18">
        <f>IF($W957="","",INT(INDEX($L957:$Q957,$W957)))</f>
        <v/>
      </c>
      <c r="Y957" s="18">
        <f>IF(OR($W957="",$W957=6),"",WORKDAY($X957,CHOOSE($W957,3,3,2,2,3),Holidays))</f>
        <v/>
      </c>
      <c r="Z957" s="17">
        <f>IF(OR($W957="",$W957=6),"",CHOOSE($W957,"1st Email Follow-up","2nd Email Follow-up","Escalate Local Office","Escalate to CBE","Escalate to Roxanne"))</f>
        <v/>
      </c>
    </row>
    <row r="958" spans="18:26">
      <c r="R958" s="15"/>
      <c r="S958" s="16"/>
      <c r="T958" s="17">
        <f>IF(AND(COUNTA($A958:$K958)=0,$L958=""),"",IF($S958="Paid","PAID",IF($S958="Closed","CLOSED",IF($W958="","",IF($W958=6,"ESCALATED TO ROXANNE",IF(TODAY()&gt;$Y958,"OVERDUE",IF($Y958&lt;=WORKDAY(TODAY(),1,Holidays),"DUE TOMORROW",IF($W958=4,"ESCALATED TO LOCAL OFFICE",IF($W958=5,"ESCALATED TO CBE",IF($X958=TODAY(),"EMAIL SENT","MONITORING"))))))))))</f>
        <v/>
      </c>
      <c r="U958" s="17">
        <f>IF($T958="",IF(AND(COUNTA($A958:$K958)&gt;0,$L958=""),"Awaiting Collection Email time stamp.",""),IF(OR($T958="PAID",$T958="CLOSED"),IF($T958="PAID","Account paid. Action completed.","Account closed. No further action required."),CHOOSE($W958,"Collection Email","1st Email Follow-up","2nd Email Follow-up","Escalation to Local Office","Escalation to CBE","Escalation to Roxanne")&amp;" sent "&amp;TEXT($X958,"dd-mmm")&amp;". "&amp;IF($W958=6,"Final escalation completed.",IF($T958="OVERDUE","Next: "&amp;$Z958&amp;" was due "&amp;TEXT($Y958,"dd-mmm")&amp;" - "&amp;(NETWORKDAYS($Y958,TODAY(),Holidays)-1)&amp;" business day(s) late. Send now.",IF($T958="DUE TOMORROW","Next: "&amp;$Z958&amp;IF($Y958&lt;=TODAY()," is due TODAY ("," is due next business day (")&amp;TEXT($Y958,"dd-mmm")&amp;").","Next: "&amp;$Z958&amp;" due "&amp;TEXT($Y958,"dd-mmm")&amp;" ("&amp;(NETWORKDAYS(TODAY(),$Y958,Holidays)-1)&amp;" business day(s) left).")))))</f>
        <v/>
      </c>
      <c r="V958" s="17">
        <f>IF($W958="","",CHOOSE($W958,"Collection Email","1st Follow-up","2nd Follow-up","Local Office","CBE","Roxanne")&amp;IF($W958=6," - Final"," - Day "&amp;MAX(0,NETWORKDAYS($X958,TODAY(),Holidays)-1)&amp;" of "&amp;CHOOSE($W958,3,3,2,2,3))&amp;" | Total Day "&amp;MAX(0,NETWORKDAYS($L958,TODAY(),Holidays)-1))</f>
        <v/>
      </c>
      <c r="W958" s="17">
        <f>IF($L958="","",COUNT($L958:$Q958))</f>
        <v/>
      </c>
      <c r="X958" s="18">
        <f>IF($W958="","",INT(INDEX($L958:$Q958,$W958)))</f>
        <v/>
      </c>
      <c r="Y958" s="18">
        <f>IF(OR($W958="",$W958=6),"",WORKDAY($X958,CHOOSE($W958,3,3,2,2,3),Holidays))</f>
        <v/>
      </c>
      <c r="Z958" s="17">
        <f>IF(OR($W958="",$W958=6),"",CHOOSE($W958,"1st Email Follow-up","2nd Email Follow-up","Escalate Local Office","Escalate to CBE","Escalate to Roxanne"))</f>
        <v/>
      </c>
    </row>
    <row r="959" spans="18:26">
      <c r="R959" s="15"/>
      <c r="S959" s="16"/>
      <c r="T959" s="17">
        <f>IF(AND(COUNTA($A959:$K959)=0,$L959=""),"",IF($S959="Paid","PAID",IF($S959="Closed","CLOSED",IF($W959="","",IF($W959=6,"ESCALATED TO ROXANNE",IF(TODAY()&gt;$Y959,"OVERDUE",IF($Y959&lt;=WORKDAY(TODAY(),1,Holidays),"DUE TOMORROW",IF($W959=4,"ESCALATED TO LOCAL OFFICE",IF($W959=5,"ESCALATED TO CBE",IF($X959=TODAY(),"EMAIL SENT","MONITORING"))))))))))</f>
        <v/>
      </c>
      <c r="U959" s="17">
        <f>IF($T959="",IF(AND(COUNTA($A959:$K959)&gt;0,$L959=""),"Awaiting Collection Email time stamp.",""),IF(OR($T959="PAID",$T959="CLOSED"),IF($T959="PAID","Account paid. Action completed.","Account closed. No further action required."),CHOOSE($W959,"Collection Email","1st Email Follow-up","2nd Email Follow-up","Escalation to Local Office","Escalation to CBE","Escalation to Roxanne")&amp;" sent "&amp;TEXT($X959,"dd-mmm")&amp;". "&amp;IF($W959=6,"Final escalation completed.",IF($T959="OVERDUE","Next: "&amp;$Z959&amp;" was due "&amp;TEXT($Y959,"dd-mmm")&amp;" - "&amp;(NETWORKDAYS($Y959,TODAY(),Holidays)-1)&amp;" business day(s) late. Send now.",IF($T959="DUE TOMORROW","Next: "&amp;$Z959&amp;IF($Y959&lt;=TODAY()," is due TODAY ("," is due next business day (")&amp;TEXT($Y959,"dd-mmm")&amp;").","Next: "&amp;$Z959&amp;" due "&amp;TEXT($Y959,"dd-mmm")&amp;" ("&amp;(NETWORKDAYS(TODAY(),$Y959,Holidays)-1)&amp;" business day(s) left).")))))</f>
        <v/>
      </c>
      <c r="V959" s="17">
        <f>IF($W959="","",CHOOSE($W959,"Collection Email","1st Follow-up","2nd Follow-up","Local Office","CBE","Roxanne")&amp;IF($W959=6," - Final"," - Day "&amp;MAX(0,NETWORKDAYS($X959,TODAY(),Holidays)-1)&amp;" of "&amp;CHOOSE($W959,3,3,2,2,3))&amp;" | Total Day "&amp;MAX(0,NETWORKDAYS($L959,TODAY(),Holidays)-1))</f>
        <v/>
      </c>
      <c r="W959" s="17">
        <f>IF($L959="","",COUNT($L959:$Q959))</f>
        <v/>
      </c>
      <c r="X959" s="18">
        <f>IF($W959="","",INT(INDEX($L959:$Q959,$W959)))</f>
        <v/>
      </c>
      <c r="Y959" s="18">
        <f>IF(OR($W959="",$W959=6),"",WORKDAY($X959,CHOOSE($W959,3,3,2,2,3),Holidays))</f>
        <v/>
      </c>
      <c r="Z959" s="17">
        <f>IF(OR($W959="",$W959=6),"",CHOOSE($W959,"1st Email Follow-up","2nd Email Follow-up","Escalate Local Office","Escalate to CBE","Escalate to Roxanne"))</f>
        <v/>
      </c>
    </row>
    <row r="960" spans="18:26">
      <c r="R960" s="15"/>
      <c r="S960" s="16"/>
      <c r="T960" s="17">
        <f>IF(AND(COUNTA($A960:$K960)=0,$L960=""),"",IF($S960="Paid","PAID",IF($S960="Closed","CLOSED",IF($W960="","",IF($W960=6,"ESCALATED TO ROXANNE",IF(TODAY()&gt;$Y960,"OVERDUE",IF($Y960&lt;=WORKDAY(TODAY(),1,Holidays),"DUE TOMORROW",IF($W960=4,"ESCALATED TO LOCAL OFFICE",IF($W960=5,"ESCALATED TO CBE",IF($X960=TODAY(),"EMAIL SENT","MONITORING"))))))))))</f>
        <v/>
      </c>
      <c r="U960" s="17">
        <f>IF($T960="",IF(AND(COUNTA($A960:$K960)&gt;0,$L960=""),"Awaiting Collection Email time stamp.",""),IF(OR($T960="PAID",$T960="CLOSED"),IF($T960="PAID","Account paid. Action completed.","Account closed. No further action required."),CHOOSE($W960,"Collection Email","1st Email Follow-up","2nd Email Follow-up","Escalation to Local Office","Escalation to CBE","Escalation to Roxanne")&amp;" sent "&amp;TEXT($X960,"dd-mmm")&amp;". "&amp;IF($W960=6,"Final escalation completed.",IF($T960="OVERDUE","Next: "&amp;$Z960&amp;" was due "&amp;TEXT($Y960,"dd-mmm")&amp;" - "&amp;(NETWORKDAYS($Y960,TODAY(),Holidays)-1)&amp;" business day(s) late. Send now.",IF($T960="DUE TOMORROW","Next: "&amp;$Z960&amp;IF($Y960&lt;=TODAY()," is due TODAY ("," is due next business day (")&amp;TEXT($Y960,"dd-mmm")&amp;").","Next: "&amp;$Z960&amp;" due "&amp;TEXT($Y960,"dd-mmm")&amp;" ("&amp;(NETWORKDAYS(TODAY(),$Y960,Holidays)-1)&amp;" business day(s) left).")))))</f>
        <v/>
      </c>
      <c r="V960" s="17">
        <f>IF($W960="","",CHOOSE($W960,"Collection Email","1st Follow-up","2nd Follow-up","Local Office","CBE","Roxanne")&amp;IF($W960=6," - Final"," - Day "&amp;MAX(0,NETWORKDAYS($X960,TODAY(),Holidays)-1)&amp;" of "&amp;CHOOSE($W960,3,3,2,2,3))&amp;" | Total Day "&amp;MAX(0,NETWORKDAYS($L960,TODAY(),Holidays)-1))</f>
        <v/>
      </c>
      <c r="W960" s="17">
        <f>IF($L960="","",COUNT($L960:$Q960))</f>
        <v/>
      </c>
      <c r="X960" s="18">
        <f>IF($W960="","",INT(INDEX($L960:$Q960,$W960)))</f>
        <v/>
      </c>
      <c r="Y960" s="18">
        <f>IF(OR($W960="",$W960=6),"",WORKDAY($X960,CHOOSE($W960,3,3,2,2,3),Holidays))</f>
        <v/>
      </c>
      <c r="Z960" s="17">
        <f>IF(OR($W960="",$W960=6),"",CHOOSE($W960,"1st Email Follow-up","2nd Email Follow-up","Escalate Local Office","Escalate to CBE","Escalate to Roxanne"))</f>
        <v/>
      </c>
    </row>
    <row r="961" spans="18:26">
      <c r="R961" s="15"/>
      <c r="S961" s="16"/>
      <c r="T961" s="17">
        <f>IF(AND(COUNTA($A961:$K961)=0,$L961=""),"",IF($S961="Paid","PAID",IF($S961="Closed","CLOSED",IF($W961="","",IF($W961=6,"ESCALATED TO ROXANNE",IF(TODAY()&gt;$Y961,"OVERDUE",IF($Y961&lt;=WORKDAY(TODAY(),1,Holidays),"DUE TOMORROW",IF($W961=4,"ESCALATED TO LOCAL OFFICE",IF($W961=5,"ESCALATED TO CBE",IF($X961=TODAY(),"EMAIL SENT","MONITORING"))))))))))</f>
        <v/>
      </c>
      <c r="U961" s="17">
        <f>IF($T961="",IF(AND(COUNTA($A961:$K961)&gt;0,$L961=""),"Awaiting Collection Email time stamp.",""),IF(OR($T961="PAID",$T961="CLOSED"),IF($T961="PAID","Account paid. Action completed.","Account closed. No further action required."),CHOOSE($W961,"Collection Email","1st Email Follow-up","2nd Email Follow-up","Escalation to Local Office","Escalation to CBE","Escalation to Roxanne")&amp;" sent "&amp;TEXT($X961,"dd-mmm")&amp;". "&amp;IF($W961=6,"Final escalation completed.",IF($T961="OVERDUE","Next: "&amp;$Z961&amp;" was due "&amp;TEXT($Y961,"dd-mmm")&amp;" - "&amp;(NETWORKDAYS($Y961,TODAY(),Holidays)-1)&amp;" business day(s) late. Send now.",IF($T961="DUE TOMORROW","Next: "&amp;$Z961&amp;IF($Y961&lt;=TODAY()," is due TODAY ("," is due next business day (")&amp;TEXT($Y961,"dd-mmm")&amp;").","Next: "&amp;$Z961&amp;" due "&amp;TEXT($Y961,"dd-mmm")&amp;" ("&amp;(NETWORKDAYS(TODAY(),$Y961,Holidays)-1)&amp;" business day(s) left).")))))</f>
        <v/>
      </c>
      <c r="V961" s="17">
        <f>IF($W961="","",CHOOSE($W961,"Collection Email","1st Follow-up","2nd Follow-up","Local Office","CBE","Roxanne")&amp;IF($W961=6," - Final"," - Day "&amp;MAX(0,NETWORKDAYS($X961,TODAY(),Holidays)-1)&amp;" of "&amp;CHOOSE($W961,3,3,2,2,3))&amp;" | Total Day "&amp;MAX(0,NETWORKDAYS($L961,TODAY(),Holidays)-1))</f>
        <v/>
      </c>
      <c r="W961" s="17">
        <f>IF($L961="","",COUNT($L961:$Q961))</f>
        <v/>
      </c>
      <c r="X961" s="18">
        <f>IF($W961="","",INT(INDEX($L961:$Q961,$W961)))</f>
        <v/>
      </c>
      <c r="Y961" s="18">
        <f>IF(OR($W961="",$W961=6),"",WORKDAY($X961,CHOOSE($W961,3,3,2,2,3),Holidays))</f>
        <v/>
      </c>
      <c r="Z961" s="17">
        <f>IF(OR($W961="",$W961=6),"",CHOOSE($W961,"1st Email Follow-up","2nd Email Follow-up","Escalate Local Office","Escalate to CBE","Escalate to Roxanne"))</f>
        <v/>
      </c>
    </row>
    <row r="962" spans="18:26">
      <c r="R962" s="15"/>
      <c r="S962" s="16"/>
      <c r="T962" s="17">
        <f>IF(AND(COUNTA($A962:$K962)=0,$L962=""),"",IF($S962="Paid","PAID",IF($S962="Closed","CLOSED",IF($W962="","",IF($W962=6,"ESCALATED TO ROXANNE",IF(TODAY()&gt;$Y962,"OVERDUE",IF($Y962&lt;=WORKDAY(TODAY(),1,Holidays),"DUE TOMORROW",IF($W962=4,"ESCALATED TO LOCAL OFFICE",IF($W962=5,"ESCALATED TO CBE",IF($X962=TODAY(),"EMAIL SENT","MONITORING"))))))))))</f>
        <v/>
      </c>
      <c r="U962" s="17">
        <f>IF($T962="",IF(AND(COUNTA($A962:$K962)&gt;0,$L962=""),"Awaiting Collection Email time stamp.",""),IF(OR($T962="PAID",$T962="CLOSED"),IF($T962="PAID","Account paid. Action completed.","Account closed. No further action required."),CHOOSE($W962,"Collection Email","1st Email Follow-up","2nd Email Follow-up","Escalation to Local Office","Escalation to CBE","Escalation to Roxanne")&amp;" sent "&amp;TEXT($X962,"dd-mmm")&amp;". "&amp;IF($W962=6,"Final escalation completed.",IF($T962="OVERDUE","Next: "&amp;$Z962&amp;" was due "&amp;TEXT($Y962,"dd-mmm")&amp;" - "&amp;(NETWORKDAYS($Y962,TODAY(),Holidays)-1)&amp;" business day(s) late. Send now.",IF($T962="DUE TOMORROW","Next: "&amp;$Z962&amp;IF($Y962&lt;=TODAY()," is due TODAY ("," is due next business day (")&amp;TEXT($Y962,"dd-mmm")&amp;").","Next: "&amp;$Z962&amp;" due "&amp;TEXT($Y962,"dd-mmm")&amp;" ("&amp;(NETWORKDAYS(TODAY(),$Y962,Holidays)-1)&amp;" business day(s) left).")))))</f>
        <v/>
      </c>
      <c r="V962" s="17">
        <f>IF($W962="","",CHOOSE($W962,"Collection Email","1st Follow-up","2nd Follow-up","Local Office","CBE","Roxanne")&amp;IF($W962=6," - Final"," - Day "&amp;MAX(0,NETWORKDAYS($X962,TODAY(),Holidays)-1)&amp;" of "&amp;CHOOSE($W962,3,3,2,2,3))&amp;" | Total Day "&amp;MAX(0,NETWORKDAYS($L962,TODAY(),Holidays)-1))</f>
        <v/>
      </c>
      <c r="W962" s="17">
        <f>IF($L962="","",COUNT($L962:$Q962))</f>
        <v/>
      </c>
      <c r="X962" s="18">
        <f>IF($W962="","",INT(INDEX($L962:$Q962,$W962)))</f>
        <v/>
      </c>
      <c r="Y962" s="18">
        <f>IF(OR($W962="",$W962=6),"",WORKDAY($X962,CHOOSE($W962,3,3,2,2,3),Holidays))</f>
        <v/>
      </c>
      <c r="Z962" s="17">
        <f>IF(OR($W962="",$W962=6),"",CHOOSE($W962,"1st Email Follow-up","2nd Email Follow-up","Escalate Local Office","Escalate to CBE","Escalate to Roxanne"))</f>
        <v/>
      </c>
    </row>
    <row r="963" spans="18:26">
      <c r="R963" s="15"/>
      <c r="S963" s="16"/>
      <c r="T963" s="17">
        <f>IF(AND(COUNTA($A963:$K963)=0,$L963=""),"",IF($S963="Paid","PAID",IF($S963="Closed","CLOSED",IF($W963="","",IF($W963=6,"ESCALATED TO ROXANNE",IF(TODAY()&gt;$Y963,"OVERDUE",IF($Y963&lt;=WORKDAY(TODAY(),1,Holidays),"DUE TOMORROW",IF($W963=4,"ESCALATED TO LOCAL OFFICE",IF($W963=5,"ESCALATED TO CBE",IF($X963=TODAY(),"EMAIL SENT","MONITORING"))))))))))</f>
        <v/>
      </c>
      <c r="U963" s="17">
        <f>IF($T963="",IF(AND(COUNTA($A963:$K963)&gt;0,$L963=""),"Awaiting Collection Email time stamp.",""),IF(OR($T963="PAID",$T963="CLOSED"),IF($T963="PAID","Account paid. Action completed.","Account closed. No further action required."),CHOOSE($W963,"Collection Email","1st Email Follow-up","2nd Email Follow-up","Escalation to Local Office","Escalation to CBE","Escalation to Roxanne")&amp;" sent "&amp;TEXT($X963,"dd-mmm")&amp;". "&amp;IF($W963=6,"Final escalation completed.",IF($T963="OVERDUE","Next: "&amp;$Z963&amp;" was due "&amp;TEXT($Y963,"dd-mmm")&amp;" - "&amp;(NETWORKDAYS($Y963,TODAY(),Holidays)-1)&amp;" business day(s) late. Send now.",IF($T963="DUE TOMORROW","Next: "&amp;$Z963&amp;IF($Y963&lt;=TODAY()," is due TODAY ("," is due next business day (")&amp;TEXT($Y963,"dd-mmm")&amp;").","Next: "&amp;$Z963&amp;" due "&amp;TEXT($Y963,"dd-mmm")&amp;" ("&amp;(NETWORKDAYS(TODAY(),$Y963,Holidays)-1)&amp;" business day(s) left).")))))</f>
        <v/>
      </c>
      <c r="V963" s="17">
        <f>IF($W963="","",CHOOSE($W963,"Collection Email","1st Follow-up","2nd Follow-up","Local Office","CBE","Roxanne")&amp;IF($W963=6," - Final"," - Day "&amp;MAX(0,NETWORKDAYS($X963,TODAY(),Holidays)-1)&amp;" of "&amp;CHOOSE($W963,3,3,2,2,3))&amp;" | Total Day "&amp;MAX(0,NETWORKDAYS($L963,TODAY(),Holidays)-1))</f>
        <v/>
      </c>
      <c r="W963" s="17">
        <f>IF($L963="","",COUNT($L963:$Q963))</f>
        <v/>
      </c>
      <c r="X963" s="18">
        <f>IF($W963="","",INT(INDEX($L963:$Q963,$W963)))</f>
        <v/>
      </c>
      <c r="Y963" s="18">
        <f>IF(OR($W963="",$W963=6),"",WORKDAY($X963,CHOOSE($W963,3,3,2,2,3),Holidays))</f>
        <v/>
      </c>
      <c r="Z963" s="17">
        <f>IF(OR($W963="",$W963=6),"",CHOOSE($W963,"1st Email Follow-up","2nd Email Follow-up","Escalate Local Office","Escalate to CBE","Escalate to Roxanne"))</f>
        <v/>
      </c>
    </row>
    <row r="964" spans="18:26">
      <c r="R964" s="15"/>
      <c r="S964" s="16"/>
      <c r="T964" s="17">
        <f>IF(AND(COUNTA($A964:$K964)=0,$L964=""),"",IF($S964="Paid","PAID",IF($S964="Closed","CLOSED",IF($W964="","",IF($W964=6,"ESCALATED TO ROXANNE",IF(TODAY()&gt;$Y964,"OVERDUE",IF($Y964&lt;=WORKDAY(TODAY(),1,Holidays),"DUE TOMORROW",IF($W964=4,"ESCALATED TO LOCAL OFFICE",IF($W964=5,"ESCALATED TO CBE",IF($X964=TODAY(),"EMAIL SENT","MONITORING"))))))))))</f>
        <v/>
      </c>
      <c r="U964" s="17">
        <f>IF($T964="",IF(AND(COUNTA($A964:$K964)&gt;0,$L964=""),"Awaiting Collection Email time stamp.",""),IF(OR($T964="PAID",$T964="CLOSED"),IF($T964="PAID","Account paid. Action completed.","Account closed. No further action required."),CHOOSE($W964,"Collection Email","1st Email Follow-up","2nd Email Follow-up","Escalation to Local Office","Escalation to CBE","Escalation to Roxanne")&amp;" sent "&amp;TEXT($X964,"dd-mmm")&amp;". "&amp;IF($W964=6,"Final escalation completed.",IF($T964="OVERDUE","Next: "&amp;$Z964&amp;" was due "&amp;TEXT($Y964,"dd-mmm")&amp;" - "&amp;(NETWORKDAYS($Y964,TODAY(),Holidays)-1)&amp;" business day(s) late. Send now.",IF($T964="DUE TOMORROW","Next: "&amp;$Z964&amp;IF($Y964&lt;=TODAY()," is due TODAY ("," is due next business day (")&amp;TEXT($Y964,"dd-mmm")&amp;").","Next: "&amp;$Z964&amp;" due "&amp;TEXT($Y964,"dd-mmm")&amp;" ("&amp;(NETWORKDAYS(TODAY(),$Y964,Holidays)-1)&amp;" business day(s) left).")))))</f>
        <v/>
      </c>
      <c r="V964" s="17">
        <f>IF($W964="","",CHOOSE($W964,"Collection Email","1st Follow-up","2nd Follow-up","Local Office","CBE","Roxanne")&amp;IF($W964=6," - Final"," - Day "&amp;MAX(0,NETWORKDAYS($X964,TODAY(),Holidays)-1)&amp;" of "&amp;CHOOSE($W964,3,3,2,2,3))&amp;" | Total Day "&amp;MAX(0,NETWORKDAYS($L964,TODAY(),Holidays)-1))</f>
        <v/>
      </c>
      <c r="W964" s="17">
        <f>IF($L964="","",COUNT($L964:$Q964))</f>
        <v/>
      </c>
      <c r="X964" s="18">
        <f>IF($W964="","",INT(INDEX($L964:$Q964,$W964)))</f>
        <v/>
      </c>
      <c r="Y964" s="18">
        <f>IF(OR($W964="",$W964=6),"",WORKDAY($X964,CHOOSE($W964,3,3,2,2,3),Holidays))</f>
        <v/>
      </c>
      <c r="Z964" s="17">
        <f>IF(OR($W964="",$W964=6),"",CHOOSE($W964,"1st Email Follow-up","2nd Email Follow-up","Escalate Local Office","Escalate to CBE","Escalate to Roxanne"))</f>
        <v/>
      </c>
    </row>
    <row r="965" spans="18:26">
      <c r="R965" s="15"/>
      <c r="S965" s="16"/>
      <c r="T965" s="17">
        <f>IF(AND(COUNTA($A965:$K965)=0,$L965=""),"",IF($S965="Paid","PAID",IF($S965="Closed","CLOSED",IF($W965="","",IF($W965=6,"ESCALATED TO ROXANNE",IF(TODAY()&gt;$Y965,"OVERDUE",IF($Y965&lt;=WORKDAY(TODAY(),1,Holidays),"DUE TOMORROW",IF($W965=4,"ESCALATED TO LOCAL OFFICE",IF($W965=5,"ESCALATED TO CBE",IF($X965=TODAY(),"EMAIL SENT","MONITORING"))))))))))</f>
        <v/>
      </c>
      <c r="U965" s="17">
        <f>IF($T965="",IF(AND(COUNTA($A965:$K965)&gt;0,$L965=""),"Awaiting Collection Email time stamp.",""),IF(OR($T965="PAID",$T965="CLOSED"),IF($T965="PAID","Account paid. Action completed.","Account closed. No further action required."),CHOOSE($W965,"Collection Email","1st Email Follow-up","2nd Email Follow-up","Escalation to Local Office","Escalation to CBE","Escalation to Roxanne")&amp;" sent "&amp;TEXT($X965,"dd-mmm")&amp;". "&amp;IF($W965=6,"Final escalation completed.",IF($T965="OVERDUE","Next: "&amp;$Z965&amp;" was due "&amp;TEXT($Y965,"dd-mmm")&amp;" - "&amp;(NETWORKDAYS($Y965,TODAY(),Holidays)-1)&amp;" business day(s) late. Send now.",IF($T965="DUE TOMORROW","Next: "&amp;$Z965&amp;IF($Y965&lt;=TODAY()," is due TODAY ("," is due next business day (")&amp;TEXT($Y965,"dd-mmm")&amp;").","Next: "&amp;$Z965&amp;" due "&amp;TEXT($Y965,"dd-mmm")&amp;" ("&amp;(NETWORKDAYS(TODAY(),$Y965,Holidays)-1)&amp;" business day(s) left).")))))</f>
        <v/>
      </c>
      <c r="V965" s="17">
        <f>IF($W965="","",CHOOSE($W965,"Collection Email","1st Follow-up","2nd Follow-up","Local Office","CBE","Roxanne")&amp;IF($W965=6," - Final"," - Day "&amp;MAX(0,NETWORKDAYS($X965,TODAY(),Holidays)-1)&amp;" of "&amp;CHOOSE($W965,3,3,2,2,3))&amp;" | Total Day "&amp;MAX(0,NETWORKDAYS($L965,TODAY(),Holidays)-1))</f>
        <v/>
      </c>
      <c r="W965" s="17">
        <f>IF($L965="","",COUNT($L965:$Q965))</f>
        <v/>
      </c>
      <c r="X965" s="18">
        <f>IF($W965="","",INT(INDEX($L965:$Q965,$W965)))</f>
        <v/>
      </c>
      <c r="Y965" s="18">
        <f>IF(OR($W965="",$W965=6),"",WORKDAY($X965,CHOOSE($W965,3,3,2,2,3),Holidays))</f>
        <v/>
      </c>
      <c r="Z965" s="17">
        <f>IF(OR($W965="",$W965=6),"",CHOOSE($W965,"1st Email Follow-up","2nd Email Follow-up","Escalate Local Office","Escalate to CBE","Escalate to Roxanne"))</f>
        <v/>
      </c>
    </row>
    <row r="966" spans="18:26">
      <c r="R966" s="15"/>
      <c r="S966" s="16"/>
      <c r="T966" s="17">
        <f>IF(AND(COUNTA($A966:$K966)=0,$L966=""),"",IF($S966="Paid","PAID",IF($S966="Closed","CLOSED",IF($W966="","",IF($W966=6,"ESCALATED TO ROXANNE",IF(TODAY()&gt;$Y966,"OVERDUE",IF($Y966&lt;=WORKDAY(TODAY(),1,Holidays),"DUE TOMORROW",IF($W966=4,"ESCALATED TO LOCAL OFFICE",IF($W966=5,"ESCALATED TO CBE",IF($X966=TODAY(),"EMAIL SENT","MONITORING"))))))))))</f>
        <v/>
      </c>
      <c r="U966" s="17">
        <f>IF($T966="",IF(AND(COUNTA($A966:$K966)&gt;0,$L966=""),"Awaiting Collection Email time stamp.",""),IF(OR($T966="PAID",$T966="CLOSED"),IF($T966="PAID","Account paid. Action completed.","Account closed. No further action required."),CHOOSE($W966,"Collection Email","1st Email Follow-up","2nd Email Follow-up","Escalation to Local Office","Escalation to CBE","Escalation to Roxanne")&amp;" sent "&amp;TEXT($X966,"dd-mmm")&amp;". "&amp;IF($W966=6,"Final escalation completed.",IF($T966="OVERDUE","Next: "&amp;$Z966&amp;" was due "&amp;TEXT($Y966,"dd-mmm")&amp;" - "&amp;(NETWORKDAYS($Y966,TODAY(),Holidays)-1)&amp;" business day(s) late. Send now.",IF($T966="DUE TOMORROW","Next: "&amp;$Z966&amp;IF($Y966&lt;=TODAY()," is due TODAY ("," is due next business day (")&amp;TEXT($Y966,"dd-mmm")&amp;").","Next: "&amp;$Z966&amp;" due "&amp;TEXT($Y966,"dd-mmm")&amp;" ("&amp;(NETWORKDAYS(TODAY(),$Y966,Holidays)-1)&amp;" business day(s) left).")))))</f>
        <v/>
      </c>
      <c r="V966" s="17">
        <f>IF($W966="","",CHOOSE($W966,"Collection Email","1st Follow-up","2nd Follow-up","Local Office","CBE","Roxanne")&amp;IF($W966=6," - Final"," - Day "&amp;MAX(0,NETWORKDAYS($X966,TODAY(),Holidays)-1)&amp;" of "&amp;CHOOSE($W966,3,3,2,2,3))&amp;" | Total Day "&amp;MAX(0,NETWORKDAYS($L966,TODAY(),Holidays)-1))</f>
        <v/>
      </c>
      <c r="W966" s="17">
        <f>IF($L966="","",COUNT($L966:$Q966))</f>
        <v/>
      </c>
      <c r="X966" s="18">
        <f>IF($W966="","",INT(INDEX($L966:$Q966,$W966)))</f>
        <v/>
      </c>
      <c r="Y966" s="18">
        <f>IF(OR($W966="",$W966=6),"",WORKDAY($X966,CHOOSE($W966,3,3,2,2,3),Holidays))</f>
        <v/>
      </c>
      <c r="Z966" s="17">
        <f>IF(OR($W966="",$W966=6),"",CHOOSE($W966,"1st Email Follow-up","2nd Email Follow-up","Escalate Local Office","Escalate to CBE","Escalate to Roxanne"))</f>
        <v/>
      </c>
    </row>
    <row r="967" spans="18:26">
      <c r="R967" s="15"/>
      <c r="S967" s="16"/>
      <c r="T967" s="17">
        <f>IF(AND(COUNTA($A967:$K967)=0,$L967=""),"",IF($S967="Paid","PAID",IF($S967="Closed","CLOSED",IF($W967="","",IF($W967=6,"ESCALATED TO ROXANNE",IF(TODAY()&gt;$Y967,"OVERDUE",IF($Y967&lt;=WORKDAY(TODAY(),1,Holidays),"DUE TOMORROW",IF($W967=4,"ESCALATED TO LOCAL OFFICE",IF($W967=5,"ESCALATED TO CBE",IF($X967=TODAY(),"EMAIL SENT","MONITORING"))))))))))</f>
        <v/>
      </c>
      <c r="U967" s="17">
        <f>IF($T967="",IF(AND(COUNTA($A967:$K967)&gt;0,$L967=""),"Awaiting Collection Email time stamp.",""),IF(OR($T967="PAID",$T967="CLOSED"),IF($T967="PAID","Account paid. Action completed.","Account closed. No further action required."),CHOOSE($W967,"Collection Email","1st Email Follow-up","2nd Email Follow-up","Escalation to Local Office","Escalation to CBE","Escalation to Roxanne")&amp;" sent "&amp;TEXT($X967,"dd-mmm")&amp;". "&amp;IF($W967=6,"Final escalation completed.",IF($T967="OVERDUE","Next: "&amp;$Z967&amp;" was due "&amp;TEXT($Y967,"dd-mmm")&amp;" - "&amp;(NETWORKDAYS($Y967,TODAY(),Holidays)-1)&amp;" business day(s) late. Send now.",IF($T967="DUE TOMORROW","Next: "&amp;$Z967&amp;IF($Y967&lt;=TODAY()," is due TODAY ("," is due next business day (")&amp;TEXT($Y967,"dd-mmm")&amp;").","Next: "&amp;$Z967&amp;" due "&amp;TEXT($Y967,"dd-mmm")&amp;" ("&amp;(NETWORKDAYS(TODAY(),$Y967,Holidays)-1)&amp;" business day(s) left).")))))</f>
        <v/>
      </c>
      <c r="V967" s="17">
        <f>IF($W967="","",CHOOSE($W967,"Collection Email","1st Follow-up","2nd Follow-up","Local Office","CBE","Roxanne")&amp;IF($W967=6," - Final"," - Day "&amp;MAX(0,NETWORKDAYS($X967,TODAY(),Holidays)-1)&amp;" of "&amp;CHOOSE($W967,3,3,2,2,3))&amp;" | Total Day "&amp;MAX(0,NETWORKDAYS($L967,TODAY(),Holidays)-1))</f>
        <v/>
      </c>
      <c r="W967" s="17">
        <f>IF($L967="","",COUNT($L967:$Q967))</f>
        <v/>
      </c>
      <c r="X967" s="18">
        <f>IF($W967="","",INT(INDEX($L967:$Q967,$W967)))</f>
        <v/>
      </c>
      <c r="Y967" s="18">
        <f>IF(OR($W967="",$W967=6),"",WORKDAY($X967,CHOOSE($W967,3,3,2,2,3),Holidays))</f>
        <v/>
      </c>
      <c r="Z967" s="17">
        <f>IF(OR($W967="",$W967=6),"",CHOOSE($W967,"1st Email Follow-up","2nd Email Follow-up","Escalate Local Office","Escalate to CBE","Escalate to Roxanne"))</f>
        <v/>
      </c>
    </row>
    <row r="968" spans="18:26">
      <c r="R968" s="15"/>
      <c r="S968" s="16"/>
      <c r="T968" s="17">
        <f>IF(AND(COUNTA($A968:$K968)=0,$L968=""),"",IF($S968="Paid","PAID",IF($S968="Closed","CLOSED",IF($W968="","",IF($W968=6,"ESCALATED TO ROXANNE",IF(TODAY()&gt;$Y968,"OVERDUE",IF($Y968&lt;=WORKDAY(TODAY(),1,Holidays),"DUE TOMORROW",IF($W968=4,"ESCALATED TO LOCAL OFFICE",IF($W968=5,"ESCALATED TO CBE",IF($X968=TODAY(),"EMAIL SENT","MONITORING"))))))))))</f>
        <v/>
      </c>
      <c r="U968" s="17">
        <f>IF($T968="",IF(AND(COUNTA($A968:$K968)&gt;0,$L968=""),"Awaiting Collection Email time stamp.",""),IF(OR($T968="PAID",$T968="CLOSED"),IF($T968="PAID","Account paid. Action completed.","Account closed. No further action required."),CHOOSE($W968,"Collection Email","1st Email Follow-up","2nd Email Follow-up","Escalation to Local Office","Escalation to CBE","Escalation to Roxanne")&amp;" sent "&amp;TEXT($X968,"dd-mmm")&amp;". "&amp;IF($W968=6,"Final escalation completed.",IF($T968="OVERDUE","Next: "&amp;$Z968&amp;" was due "&amp;TEXT($Y968,"dd-mmm")&amp;" - "&amp;(NETWORKDAYS($Y968,TODAY(),Holidays)-1)&amp;" business day(s) late. Send now.",IF($T968="DUE TOMORROW","Next: "&amp;$Z968&amp;IF($Y968&lt;=TODAY()," is due TODAY ("," is due next business day (")&amp;TEXT($Y968,"dd-mmm")&amp;").","Next: "&amp;$Z968&amp;" due "&amp;TEXT($Y968,"dd-mmm")&amp;" ("&amp;(NETWORKDAYS(TODAY(),$Y968,Holidays)-1)&amp;" business day(s) left).")))))</f>
        <v/>
      </c>
      <c r="V968" s="17">
        <f>IF($W968="","",CHOOSE($W968,"Collection Email","1st Follow-up","2nd Follow-up","Local Office","CBE","Roxanne")&amp;IF($W968=6," - Final"," - Day "&amp;MAX(0,NETWORKDAYS($X968,TODAY(),Holidays)-1)&amp;" of "&amp;CHOOSE($W968,3,3,2,2,3))&amp;" | Total Day "&amp;MAX(0,NETWORKDAYS($L968,TODAY(),Holidays)-1))</f>
        <v/>
      </c>
      <c r="W968" s="17">
        <f>IF($L968="","",COUNT($L968:$Q968))</f>
        <v/>
      </c>
      <c r="X968" s="18">
        <f>IF($W968="","",INT(INDEX($L968:$Q968,$W968)))</f>
        <v/>
      </c>
      <c r="Y968" s="18">
        <f>IF(OR($W968="",$W968=6),"",WORKDAY($X968,CHOOSE($W968,3,3,2,2,3),Holidays))</f>
        <v/>
      </c>
      <c r="Z968" s="17">
        <f>IF(OR($W968="",$W968=6),"",CHOOSE($W968,"1st Email Follow-up","2nd Email Follow-up","Escalate Local Office","Escalate to CBE","Escalate to Roxanne"))</f>
        <v/>
      </c>
    </row>
    <row r="969" spans="18:26">
      <c r="R969" s="15"/>
      <c r="S969" s="16"/>
      <c r="T969" s="17">
        <f>IF(AND(COUNTA($A969:$K969)=0,$L969=""),"",IF($S969="Paid","PAID",IF($S969="Closed","CLOSED",IF($W969="","",IF($W969=6,"ESCALATED TO ROXANNE",IF(TODAY()&gt;$Y969,"OVERDUE",IF($Y969&lt;=WORKDAY(TODAY(),1,Holidays),"DUE TOMORROW",IF($W969=4,"ESCALATED TO LOCAL OFFICE",IF($W969=5,"ESCALATED TO CBE",IF($X969=TODAY(),"EMAIL SENT","MONITORING"))))))))))</f>
        <v/>
      </c>
      <c r="U969" s="17">
        <f>IF($T969="",IF(AND(COUNTA($A969:$K969)&gt;0,$L969=""),"Awaiting Collection Email time stamp.",""),IF(OR($T969="PAID",$T969="CLOSED"),IF($T969="PAID","Account paid. Action completed.","Account closed. No further action required."),CHOOSE($W969,"Collection Email","1st Email Follow-up","2nd Email Follow-up","Escalation to Local Office","Escalation to CBE","Escalation to Roxanne")&amp;" sent "&amp;TEXT($X969,"dd-mmm")&amp;". "&amp;IF($W969=6,"Final escalation completed.",IF($T969="OVERDUE","Next: "&amp;$Z969&amp;" was due "&amp;TEXT($Y969,"dd-mmm")&amp;" - "&amp;(NETWORKDAYS($Y969,TODAY(),Holidays)-1)&amp;" business day(s) late. Send now.",IF($T969="DUE TOMORROW","Next: "&amp;$Z969&amp;IF($Y969&lt;=TODAY()," is due TODAY ("," is due next business day (")&amp;TEXT($Y969,"dd-mmm")&amp;").","Next: "&amp;$Z969&amp;" due "&amp;TEXT($Y969,"dd-mmm")&amp;" ("&amp;(NETWORKDAYS(TODAY(),$Y969,Holidays)-1)&amp;" business day(s) left).")))))</f>
        <v/>
      </c>
      <c r="V969" s="17">
        <f>IF($W969="","",CHOOSE($W969,"Collection Email","1st Follow-up","2nd Follow-up","Local Office","CBE","Roxanne")&amp;IF($W969=6," - Final"," - Day "&amp;MAX(0,NETWORKDAYS($X969,TODAY(),Holidays)-1)&amp;" of "&amp;CHOOSE($W969,3,3,2,2,3))&amp;" | Total Day "&amp;MAX(0,NETWORKDAYS($L969,TODAY(),Holidays)-1))</f>
        <v/>
      </c>
      <c r="W969" s="17">
        <f>IF($L969="","",COUNT($L969:$Q969))</f>
        <v/>
      </c>
      <c r="X969" s="18">
        <f>IF($W969="","",INT(INDEX($L969:$Q969,$W969)))</f>
        <v/>
      </c>
      <c r="Y969" s="18">
        <f>IF(OR($W969="",$W969=6),"",WORKDAY($X969,CHOOSE($W969,3,3,2,2,3),Holidays))</f>
        <v/>
      </c>
      <c r="Z969" s="17">
        <f>IF(OR($W969="",$W969=6),"",CHOOSE($W969,"1st Email Follow-up","2nd Email Follow-up","Escalate Local Office","Escalate to CBE","Escalate to Roxanne"))</f>
        <v/>
      </c>
    </row>
    <row r="970" spans="18:26">
      <c r="R970" s="15"/>
      <c r="S970" s="16"/>
      <c r="T970" s="17">
        <f>IF(AND(COUNTA($A970:$K970)=0,$L970=""),"",IF($S970="Paid","PAID",IF($S970="Closed","CLOSED",IF($W970="","",IF($W970=6,"ESCALATED TO ROXANNE",IF(TODAY()&gt;$Y970,"OVERDUE",IF($Y970&lt;=WORKDAY(TODAY(),1,Holidays),"DUE TOMORROW",IF($W970=4,"ESCALATED TO LOCAL OFFICE",IF($W970=5,"ESCALATED TO CBE",IF($X970=TODAY(),"EMAIL SENT","MONITORING"))))))))))</f>
        <v/>
      </c>
      <c r="U970" s="17">
        <f>IF($T970="",IF(AND(COUNTA($A970:$K970)&gt;0,$L970=""),"Awaiting Collection Email time stamp.",""),IF(OR($T970="PAID",$T970="CLOSED"),IF($T970="PAID","Account paid. Action completed.","Account closed. No further action required."),CHOOSE($W970,"Collection Email","1st Email Follow-up","2nd Email Follow-up","Escalation to Local Office","Escalation to CBE","Escalation to Roxanne")&amp;" sent "&amp;TEXT($X970,"dd-mmm")&amp;". "&amp;IF($W970=6,"Final escalation completed.",IF($T970="OVERDUE","Next: "&amp;$Z970&amp;" was due "&amp;TEXT($Y970,"dd-mmm")&amp;" - "&amp;(NETWORKDAYS($Y970,TODAY(),Holidays)-1)&amp;" business day(s) late. Send now.",IF($T970="DUE TOMORROW","Next: "&amp;$Z970&amp;IF($Y970&lt;=TODAY()," is due TODAY ("," is due next business day (")&amp;TEXT($Y970,"dd-mmm")&amp;").","Next: "&amp;$Z970&amp;" due "&amp;TEXT($Y970,"dd-mmm")&amp;" ("&amp;(NETWORKDAYS(TODAY(),$Y970,Holidays)-1)&amp;" business day(s) left).")))))</f>
        <v/>
      </c>
      <c r="V970" s="17">
        <f>IF($W970="","",CHOOSE($W970,"Collection Email","1st Follow-up","2nd Follow-up","Local Office","CBE","Roxanne")&amp;IF($W970=6," - Final"," - Day "&amp;MAX(0,NETWORKDAYS($X970,TODAY(),Holidays)-1)&amp;" of "&amp;CHOOSE($W970,3,3,2,2,3))&amp;" | Total Day "&amp;MAX(0,NETWORKDAYS($L970,TODAY(),Holidays)-1))</f>
        <v/>
      </c>
      <c r="W970" s="17">
        <f>IF($L970="","",COUNT($L970:$Q970))</f>
        <v/>
      </c>
      <c r="X970" s="18">
        <f>IF($W970="","",INT(INDEX($L970:$Q970,$W970)))</f>
        <v/>
      </c>
      <c r="Y970" s="18">
        <f>IF(OR($W970="",$W970=6),"",WORKDAY($X970,CHOOSE($W970,3,3,2,2,3),Holidays))</f>
        <v/>
      </c>
      <c r="Z970" s="17">
        <f>IF(OR($W970="",$W970=6),"",CHOOSE($W970,"1st Email Follow-up","2nd Email Follow-up","Escalate Local Office","Escalate to CBE","Escalate to Roxanne"))</f>
        <v/>
      </c>
    </row>
    <row r="971" spans="18:26">
      <c r="R971" s="15"/>
      <c r="S971" s="16"/>
      <c r="T971" s="17">
        <f>IF(AND(COUNTA($A971:$K971)=0,$L971=""),"",IF($S971="Paid","PAID",IF($S971="Closed","CLOSED",IF($W971="","",IF($W971=6,"ESCALATED TO ROXANNE",IF(TODAY()&gt;$Y971,"OVERDUE",IF($Y971&lt;=WORKDAY(TODAY(),1,Holidays),"DUE TOMORROW",IF($W971=4,"ESCALATED TO LOCAL OFFICE",IF($W971=5,"ESCALATED TO CBE",IF($X971=TODAY(),"EMAIL SENT","MONITORING"))))))))))</f>
        <v/>
      </c>
      <c r="U971" s="17">
        <f>IF($T971="",IF(AND(COUNTA($A971:$K971)&gt;0,$L971=""),"Awaiting Collection Email time stamp.",""),IF(OR($T971="PAID",$T971="CLOSED"),IF($T971="PAID","Account paid. Action completed.","Account closed. No further action required."),CHOOSE($W971,"Collection Email","1st Email Follow-up","2nd Email Follow-up","Escalation to Local Office","Escalation to CBE","Escalation to Roxanne")&amp;" sent "&amp;TEXT($X971,"dd-mmm")&amp;". "&amp;IF($W971=6,"Final escalation completed.",IF($T971="OVERDUE","Next: "&amp;$Z971&amp;" was due "&amp;TEXT($Y971,"dd-mmm")&amp;" - "&amp;(NETWORKDAYS($Y971,TODAY(),Holidays)-1)&amp;" business day(s) late. Send now.",IF($T971="DUE TOMORROW","Next: "&amp;$Z971&amp;IF($Y971&lt;=TODAY()," is due TODAY ("," is due next business day (")&amp;TEXT($Y971,"dd-mmm")&amp;").","Next: "&amp;$Z971&amp;" due "&amp;TEXT($Y971,"dd-mmm")&amp;" ("&amp;(NETWORKDAYS(TODAY(),$Y971,Holidays)-1)&amp;" business day(s) left).")))))</f>
        <v/>
      </c>
      <c r="V971" s="17">
        <f>IF($W971="","",CHOOSE($W971,"Collection Email","1st Follow-up","2nd Follow-up","Local Office","CBE","Roxanne")&amp;IF($W971=6," - Final"," - Day "&amp;MAX(0,NETWORKDAYS($X971,TODAY(),Holidays)-1)&amp;" of "&amp;CHOOSE($W971,3,3,2,2,3))&amp;" | Total Day "&amp;MAX(0,NETWORKDAYS($L971,TODAY(),Holidays)-1))</f>
        <v/>
      </c>
      <c r="W971" s="17">
        <f>IF($L971="","",COUNT($L971:$Q971))</f>
        <v/>
      </c>
      <c r="X971" s="18">
        <f>IF($W971="","",INT(INDEX($L971:$Q971,$W971)))</f>
        <v/>
      </c>
      <c r="Y971" s="18">
        <f>IF(OR($W971="",$W971=6),"",WORKDAY($X971,CHOOSE($W971,3,3,2,2,3),Holidays))</f>
        <v/>
      </c>
      <c r="Z971" s="17">
        <f>IF(OR($W971="",$W971=6),"",CHOOSE($W971,"1st Email Follow-up","2nd Email Follow-up","Escalate Local Office","Escalate to CBE","Escalate to Roxanne"))</f>
        <v/>
      </c>
    </row>
    <row r="972" spans="18:26">
      <c r="R972" s="15"/>
      <c r="S972" s="16"/>
      <c r="T972" s="17">
        <f>IF(AND(COUNTA($A972:$K972)=0,$L972=""),"",IF($S972="Paid","PAID",IF($S972="Closed","CLOSED",IF($W972="","",IF($W972=6,"ESCALATED TO ROXANNE",IF(TODAY()&gt;$Y972,"OVERDUE",IF($Y972&lt;=WORKDAY(TODAY(),1,Holidays),"DUE TOMORROW",IF($W972=4,"ESCALATED TO LOCAL OFFICE",IF($W972=5,"ESCALATED TO CBE",IF($X972=TODAY(),"EMAIL SENT","MONITORING"))))))))))</f>
        <v/>
      </c>
      <c r="U972" s="17">
        <f>IF($T972="",IF(AND(COUNTA($A972:$K972)&gt;0,$L972=""),"Awaiting Collection Email time stamp.",""),IF(OR($T972="PAID",$T972="CLOSED"),IF($T972="PAID","Account paid. Action completed.","Account closed. No further action required."),CHOOSE($W972,"Collection Email","1st Email Follow-up","2nd Email Follow-up","Escalation to Local Office","Escalation to CBE","Escalation to Roxanne")&amp;" sent "&amp;TEXT($X972,"dd-mmm")&amp;". "&amp;IF($W972=6,"Final escalation completed.",IF($T972="OVERDUE","Next: "&amp;$Z972&amp;" was due "&amp;TEXT($Y972,"dd-mmm")&amp;" - "&amp;(NETWORKDAYS($Y972,TODAY(),Holidays)-1)&amp;" business day(s) late. Send now.",IF($T972="DUE TOMORROW","Next: "&amp;$Z972&amp;IF($Y972&lt;=TODAY()," is due TODAY ("," is due next business day (")&amp;TEXT($Y972,"dd-mmm")&amp;").","Next: "&amp;$Z972&amp;" due "&amp;TEXT($Y972,"dd-mmm")&amp;" ("&amp;(NETWORKDAYS(TODAY(),$Y972,Holidays)-1)&amp;" business day(s) left).")))))</f>
        <v/>
      </c>
      <c r="V972" s="17">
        <f>IF($W972="","",CHOOSE($W972,"Collection Email","1st Follow-up","2nd Follow-up","Local Office","CBE","Roxanne")&amp;IF($W972=6," - Final"," - Day "&amp;MAX(0,NETWORKDAYS($X972,TODAY(),Holidays)-1)&amp;" of "&amp;CHOOSE($W972,3,3,2,2,3))&amp;" | Total Day "&amp;MAX(0,NETWORKDAYS($L972,TODAY(),Holidays)-1))</f>
        <v/>
      </c>
      <c r="W972" s="17">
        <f>IF($L972="","",COUNT($L972:$Q972))</f>
        <v/>
      </c>
      <c r="X972" s="18">
        <f>IF($W972="","",INT(INDEX($L972:$Q972,$W972)))</f>
        <v/>
      </c>
      <c r="Y972" s="18">
        <f>IF(OR($W972="",$W972=6),"",WORKDAY($X972,CHOOSE($W972,3,3,2,2,3),Holidays))</f>
        <v/>
      </c>
      <c r="Z972" s="17">
        <f>IF(OR($W972="",$W972=6),"",CHOOSE($W972,"1st Email Follow-up","2nd Email Follow-up","Escalate Local Office","Escalate to CBE","Escalate to Roxanne"))</f>
        <v/>
      </c>
    </row>
    <row r="973" spans="18:26">
      <c r="R973" s="15"/>
      <c r="S973" s="16"/>
      <c r="T973" s="17">
        <f>IF(AND(COUNTA($A973:$K973)=0,$L973=""),"",IF($S973="Paid","PAID",IF($S973="Closed","CLOSED",IF($W973="","",IF($W973=6,"ESCALATED TO ROXANNE",IF(TODAY()&gt;$Y973,"OVERDUE",IF($Y973&lt;=WORKDAY(TODAY(),1,Holidays),"DUE TOMORROW",IF($W973=4,"ESCALATED TO LOCAL OFFICE",IF($W973=5,"ESCALATED TO CBE",IF($X973=TODAY(),"EMAIL SENT","MONITORING"))))))))))</f>
        <v/>
      </c>
      <c r="U973" s="17">
        <f>IF($T973="",IF(AND(COUNTA($A973:$K973)&gt;0,$L973=""),"Awaiting Collection Email time stamp.",""),IF(OR($T973="PAID",$T973="CLOSED"),IF($T973="PAID","Account paid. Action completed.","Account closed. No further action required."),CHOOSE($W973,"Collection Email","1st Email Follow-up","2nd Email Follow-up","Escalation to Local Office","Escalation to CBE","Escalation to Roxanne")&amp;" sent "&amp;TEXT($X973,"dd-mmm")&amp;". "&amp;IF($W973=6,"Final escalation completed.",IF($T973="OVERDUE","Next: "&amp;$Z973&amp;" was due "&amp;TEXT($Y973,"dd-mmm")&amp;" - "&amp;(NETWORKDAYS($Y973,TODAY(),Holidays)-1)&amp;" business day(s) late. Send now.",IF($T973="DUE TOMORROW","Next: "&amp;$Z973&amp;IF($Y973&lt;=TODAY()," is due TODAY ("," is due next business day (")&amp;TEXT($Y973,"dd-mmm")&amp;").","Next: "&amp;$Z973&amp;" due "&amp;TEXT($Y973,"dd-mmm")&amp;" ("&amp;(NETWORKDAYS(TODAY(),$Y973,Holidays)-1)&amp;" business day(s) left).")))))</f>
        <v/>
      </c>
      <c r="V973" s="17">
        <f>IF($W973="","",CHOOSE($W973,"Collection Email","1st Follow-up","2nd Follow-up","Local Office","CBE","Roxanne")&amp;IF($W973=6," - Final"," - Day "&amp;MAX(0,NETWORKDAYS($X973,TODAY(),Holidays)-1)&amp;" of "&amp;CHOOSE($W973,3,3,2,2,3))&amp;" | Total Day "&amp;MAX(0,NETWORKDAYS($L973,TODAY(),Holidays)-1))</f>
        <v/>
      </c>
      <c r="W973" s="17">
        <f>IF($L973="","",COUNT($L973:$Q973))</f>
        <v/>
      </c>
      <c r="X973" s="18">
        <f>IF($W973="","",INT(INDEX($L973:$Q973,$W973)))</f>
        <v/>
      </c>
      <c r="Y973" s="18">
        <f>IF(OR($W973="",$W973=6),"",WORKDAY($X973,CHOOSE($W973,3,3,2,2,3),Holidays))</f>
        <v/>
      </c>
      <c r="Z973" s="17">
        <f>IF(OR($W973="",$W973=6),"",CHOOSE($W973,"1st Email Follow-up","2nd Email Follow-up","Escalate Local Office","Escalate to CBE","Escalate to Roxanne"))</f>
        <v/>
      </c>
    </row>
    <row r="974" spans="18:26">
      <c r="R974" s="15"/>
      <c r="S974" s="16"/>
      <c r="T974" s="17">
        <f>IF(AND(COUNTA($A974:$K974)=0,$L974=""),"",IF($S974="Paid","PAID",IF($S974="Closed","CLOSED",IF($W974="","",IF($W974=6,"ESCALATED TO ROXANNE",IF(TODAY()&gt;$Y974,"OVERDUE",IF($Y974&lt;=WORKDAY(TODAY(),1,Holidays),"DUE TOMORROW",IF($W974=4,"ESCALATED TO LOCAL OFFICE",IF($W974=5,"ESCALATED TO CBE",IF($X974=TODAY(),"EMAIL SENT","MONITORING"))))))))))</f>
        <v/>
      </c>
      <c r="U974" s="17">
        <f>IF($T974="",IF(AND(COUNTA($A974:$K974)&gt;0,$L974=""),"Awaiting Collection Email time stamp.",""),IF(OR($T974="PAID",$T974="CLOSED"),IF($T974="PAID","Account paid. Action completed.","Account closed. No further action required."),CHOOSE($W974,"Collection Email","1st Email Follow-up","2nd Email Follow-up","Escalation to Local Office","Escalation to CBE","Escalation to Roxanne")&amp;" sent "&amp;TEXT($X974,"dd-mmm")&amp;". "&amp;IF($W974=6,"Final escalation completed.",IF($T974="OVERDUE","Next: "&amp;$Z974&amp;" was due "&amp;TEXT($Y974,"dd-mmm")&amp;" - "&amp;(NETWORKDAYS($Y974,TODAY(),Holidays)-1)&amp;" business day(s) late. Send now.",IF($T974="DUE TOMORROW","Next: "&amp;$Z974&amp;IF($Y974&lt;=TODAY()," is due TODAY ("," is due next business day (")&amp;TEXT($Y974,"dd-mmm")&amp;").","Next: "&amp;$Z974&amp;" due "&amp;TEXT($Y974,"dd-mmm")&amp;" ("&amp;(NETWORKDAYS(TODAY(),$Y974,Holidays)-1)&amp;" business day(s) left).")))))</f>
        <v/>
      </c>
      <c r="V974" s="17">
        <f>IF($W974="","",CHOOSE($W974,"Collection Email","1st Follow-up","2nd Follow-up","Local Office","CBE","Roxanne")&amp;IF($W974=6," - Final"," - Day "&amp;MAX(0,NETWORKDAYS($X974,TODAY(),Holidays)-1)&amp;" of "&amp;CHOOSE($W974,3,3,2,2,3))&amp;" | Total Day "&amp;MAX(0,NETWORKDAYS($L974,TODAY(),Holidays)-1))</f>
        <v/>
      </c>
      <c r="W974" s="17">
        <f>IF($L974="","",COUNT($L974:$Q974))</f>
        <v/>
      </c>
      <c r="X974" s="18">
        <f>IF($W974="","",INT(INDEX($L974:$Q974,$W974)))</f>
        <v/>
      </c>
      <c r="Y974" s="18">
        <f>IF(OR($W974="",$W974=6),"",WORKDAY($X974,CHOOSE($W974,3,3,2,2,3),Holidays))</f>
        <v/>
      </c>
      <c r="Z974" s="17">
        <f>IF(OR($W974="",$W974=6),"",CHOOSE($W974,"1st Email Follow-up","2nd Email Follow-up","Escalate Local Office","Escalate to CBE","Escalate to Roxanne"))</f>
        <v/>
      </c>
    </row>
    <row r="975" spans="18:26">
      <c r="R975" s="15"/>
      <c r="S975" s="16"/>
      <c r="T975" s="17">
        <f>IF(AND(COUNTA($A975:$K975)=0,$L975=""),"",IF($S975="Paid","PAID",IF($S975="Closed","CLOSED",IF($W975="","",IF($W975=6,"ESCALATED TO ROXANNE",IF(TODAY()&gt;$Y975,"OVERDUE",IF($Y975&lt;=WORKDAY(TODAY(),1,Holidays),"DUE TOMORROW",IF($W975=4,"ESCALATED TO LOCAL OFFICE",IF($W975=5,"ESCALATED TO CBE",IF($X975=TODAY(),"EMAIL SENT","MONITORING"))))))))))</f>
        <v/>
      </c>
      <c r="U975" s="17">
        <f>IF($T975="",IF(AND(COUNTA($A975:$K975)&gt;0,$L975=""),"Awaiting Collection Email time stamp.",""),IF(OR($T975="PAID",$T975="CLOSED"),IF($T975="PAID","Account paid. Action completed.","Account closed. No further action required."),CHOOSE($W975,"Collection Email","1st Email Follow-up","2nd Email Follow-up","Escalation to Local Office","Escalation to CBE","Escalation to Roxanne")&amp;" sent "&amp;TEXT($X975,"dd-mmm")&amp;". "&amp;IF($W975=6,"Final escalation completed.",IF($T975="OVERDUE","Next: "&amp;$Z975&amp;" was due "&amp;TEXT($Y975,"dd-mmm")&amp;" - "&amp;(NETWORKDAYS($Y975,TODAY(),Holidays)-1)&amp;" business day(s) late. Send now.",IF($T975="DUE TOMORROW","Next: "&amp;$Z975&amp;IF($Y975&lt;=TODAY()," is due TODAY ("," is due next business day (")&amp;TEXT($Y975,"dd-mmm")&amp;").","Next: "&amp;$Z975&amp;" due "&amp;TEXT($Y975,"dd-mmm")&amp;" ("&amp;(NETWORKDAYS(TODAY(),$Y975,Holidays)-1)&amp;" business day(s) left).")))))</f>
        <v/>
      </c>
      <c r="V975" s="17">
        <f>IF($W975="","",CHOOSE($W975,"Collection Email","1st Follow-up","2nd Follow-up","Local Office","CBE","Roxanne")&amp;IF($W975=6," - Final"," - Day "&amp;MAX(0,NETWORKDAYS($X975,TODAY(),Holidays)-1)&amp;" of "&amp;CHOOSE($W975,3,3,2,2,3))&amp;" | Total Day "&amp;MAX(0,NETWORKDAYS($L975,TODAY(),Holidays)-1))</f>
        <v/>
      </c>
      <c r="W975" s="17">
        <f>IF($L975="","",COUNT($L975:$Q975))</f>
        <v/>
      </c>
      <c r="X975" s="18">
        <f>IF($W975="","",INT(INDEX($L975:$Q975,$W975)))</f>
        <v/>
      </c>
      <c r="Y975" s="18">
        <f>IF(OR($W975="",$W975=6),"",WORKDAY($X975,CHOOSE($W975,3,3,2,2,3),Holidays))</f>
        <v/>
      </c>
      <c r="Z975" s="17">
        <f>IF(OR($W975="",$W975=6),"",CHOOSE($W975,"1st Email Follow-up","2nd Email Follow-up","Escalate Local Office","Escalate to CBE","Escalate to Roxanne"))</f>
        <v/>
      </c>
    </row>
    <row r="976" spans="18:26">
      <c r="R976" s="15"/>
      <c r="S976" s="16"/>
      <c r="T976" s="17">
        <f>IF(AND(COUNTA($A976:$K976)=0,$L976=""),"",IF($S976="Paid","PAID",IF($S976="Closed","CLOSED",IF($W976="","",IF($W976=6,"ESCALATED TO ROXANNE",IF(TODAY()&gt;$Y976,"OVERDUE",IF($Y976&lt;=WORKDAY(TODAY(),1,Holidays),"DUE TOMORROW",IF($W976=4,"ESCALATED TO LOCAL OFFICE",IF($W976=5,"ESCALATED TO CBE",IF($X976=TODAY(),"EMAIL SENT","MONITORING"))))))))))</f>
        <v/>
      </c>
      <c r="U976" s="17">
        <f>IF($T976="",IF(AND(COUNTA($A976:$K976)&gt;0,$L976=""),"Awaiting Collection Email time stamp.",""),IF(OR($T976="PAID",$T976="CLOSED"),IF($T976="PAID","Account paid. Action completed.","Account closed. No further action required."),CHOOSE($W976,"Collection Email","1st Email Follow-up","2nd Email Follow-up","Escalation to Local Office","Escalation to CBE","Escalation to Roxanne")&amp;" sent "&amp;TEXT($X976,"dd-mmm")&amp;". "&amp;IF($W976=6,"Final escalation completed.",IF($T976="OVERDUE","Next: "&amp;$Z976&amp;" was due "&amp;TEXT($Y976,"dd-mmm")&amp;" - "&amp;(NETWORKDAYS($Y976,TODAY(),Holidays)-1)&amp;" business day(s) late. Send now.",IF($T976="DUE TOMORROW","Next: "&amp;$Z976&amp;IF($Y976&lt;=TODAY()," is due TODAY ("," is due next business day (")&amp;TEXT($Y976,"dd-mmm")&amp;").","Next: "&amp;$Z976&amp;" due "&amp;TEXT($Y976,"dd-mmm")&amp;" ("&amp;(NETWORKDAYS(TODAY(),$Y976,Holidays)-1)&amp;" business day(s) left).")))))</f>
        <v/>
      </c>
      <c r="V976" s="17">
        <f>IF($W976="","",CHOOSE($W976,"Collection Email","1st Follow-up","2nd Follow-up","Local Office","CBE","Roxanne")&amp;IF($W976=6," - Final"," - Day "&amp;MAX(0,NETWORKDAYS($X976,TODAY(),Holidays)-1)&amp;" of "&amp;CHOOSE($W976,3,3,2,2,3))&amp;" | Total Day "&amp;MAX(0,NETWORKDAYS($L976,TODAY(),Holidays)-1))</f>
        <v/>
      </c>
      <c r="W976" s="17">
        <f>IF($L976="","",COUNT($L976:$Q976))</f>
        <v/>
      </c>
      <c r="X976" s="18">
        <f>IF($W976="","",INT(INDEX($L976:$Q976,$W976)))</f>
        <v/>
      </c>
      <c r="Y976" s="18">
        <f>IF(OR($W976="",$W976=6),"",WORKDAY($X976,CHOOSE($W976,3,3,2,2,3),Holidays))</f>
        <v/>
      </c>
      <c r="Z976" s="17">
        <f>IF(OR($W976="",$W976=6),"",CHOOSE($W976,"1st Email Follow-up","2nd Email Follow-up","Escalate Local Office","Escalate to CBE","Escalate to Roxanne"))</f>
        <v/>
      </c>
    </row>
    <row r="977" spans="18:26">
      <c r="R977" s="15"/>
      <c r="S977" s="16"/>
      <c r="T977" s="17">
        <f>IF(AND(COUNTA($A977:$K977)=0,$L977=""),"",IF($S977="Paid","PAID",IF($S977="Closed","CLOSED",IF($W977="","",IF($W977=6,"ESCALATED TO ROXANNE",IF(TODAY()&gt;$Y977,"OVERDUE",IF($Y977&lt;=WORKDAY(TODAY(),1,Holidays),"DUE TOMORROW",IF($W977=4,"ESCALATED TO LOCAL OFFICE",IF($W977=5,"ESCALATED TO CBE",IF($X977=TODAY(),"EMAIL SENT","MONITORING"))))))))))</f>
        <v/>
      </c>
      <c r="U977" s="17">
        <f>IF($T977="",IF(AND(COUNTA($A977:$K977)&gt;0,$L977=""),"Awaiting Collection Email time stamp.",""),IF(OR($T977="PAID",$T977="CLOSED"),IF($T977="PAID","Account paid. Action completed.","Account closed. No further action required."),CHOOSE($W977,"Collection Email","1st Email Follow-up","2nd Email Follow-up","Escalation to Local Office","Escalation to CBE","Escalation to Roxanne")&amp;" sent "&amp;TEXT($X977,"dd-mmm")&amp;". "&amp;IF($W977=6,"Final escalation completed.",IF($T977="OVERDUE","Next: "&amp;$Z977&amp;" was due "&amp;TEXT($Y977,"dd-mmm")&amp;" - "&amp;(NETWORKDAYS($Y977,TODAY(),Holidays)-1)&amp;" business day(s) late. Send now.",IF($T977="DUE TOMORROW","Next: "&amp;$Z977&amp;IF($Y977&lt;=TODAY()," is due TODAY ("," is due next business day (")&amp;TEXT($Y977,"dd-mmm")&amp;").","Next: "&amp;$Z977&amp;" due "&amp;TEXT($Y977,"dd-mmm")&amp;" ("&amp;(NETWORKDAYS(TODAY(),$Y977,Holidays)-1)&amp;" business day(s) left).")))))</f>
        <v/>
      </c>
      <c r="V977" s="17">
        <f>IF($W977="","",CHOOSE($W977,"Collection Email","1st Follow-up","2nd Follow-up","Local Office","CBE","Roxanne")&amp;IF($W977=6," - Final"," - Day "&amp;MAX(0,NETWORKDAYS($X977,TODAY(),Holidays)-1)&amp;" of "&amp;CHOOSE($W977,3,3,2,2,3))&amp;" | Total Day "&amp;MAX(0,NETWORKDAYS($L977,TODAY(),Holidays)-1))</f>
        <v/>
      </c>
      <c r="W977" s="17">
        <f>IF($L977="","",COUNT($L977:$Q977))</f>
        <v/>
      </c>
      <c r="X977" s="18">
        <f>IF($W977="","",INT(INDEX($L977:$Q977,$W977)))</f>
        <v/>
      </c>
      <c r="Y977" s="18">
        <f>IF(OR($W977="",$W977=6),"",WORKDAY($X977,CHOOSE($W977,3,3,2,2,3),Holidays))</f>
        <v/>
      </c>
      <c r="Z977" s="17">
        <f>IF(OR($W977="",$W977=6),"",CHOOSE($W977,"1st Email Follow-up","2nd Email Follow-up","Escalate Local Office","Escalate to CBE","Escalate to Roxanne"))</f>
        <v/>
      </c>
    </row>
    <row r="978" spans="18:26">
      <c r="R978" s="15"/>
      <c r="S978" s="16"/>
      <c r="T978" s="17">
        <f>IF(AND(COUNTA($A978:$K978)=0,$L978=""),"",IF($S978="Paid","PAID",IF($S978="Closed","CLOSED",IF($W978="","",IF($W978=6,"ESCALATED TO ROXANNE",IF(TODAY()&gt;$Y978,"OVERDUE",IF($Y978&lt;=WORKDAY(TODAY(),1,Holidays),"DUE TOMORROW",IF($W978=4,"ESCALATED TO LOCAL OFFICE",IF($W978=5,"ESCALATED TO CBE",IF($X978=TODAY(),"EMAIL SENT","MONITORING"))))))))))</f>
        <v/>
      </c>
      <c r="U978" s="17">
        <f>IF($T978="",IF(AND(COUNTA($A978:$K978)&gt;0,$L978=""),"Awaiting Collection Email time stamp.",""),IF(OR($T978="PAID",$T978="CLOSED"),IF($T978="PAID","Account paid. Action completed.","Account closed. No further action required."),CHOOSE($W978,"Collection Email","1st Email Follow-up","2nd Email Follow-up","Escalation to Local Office","Escalation to CBE","Escalation to Roxanne")&amp;" sent "&amp;TEXT($X978,"dd-mmm")&amp;". "&amp;IF($W978=6,"Final escalation completed.",IF($T978="OVERDUE","Next: "&amp;$Z978&amp;" was due "&amp;TEXT($Y978,"dd-mmm")&amp;" - "&amp;(NETWORKDAYS($Y978,TODAY(),Holidays)-1)&amp;" business day(s) late. Send now.",IF($T978="DUE TOMORROW","Next: "&amp;$Z978&amp;IF($Y978&lt;=TODAY()," is due TODAY ("," is due next business day (")&amp;TEXT($Y978,"dd-mmm")&amp;").","Next: "&amp;$Z978&amp;" due "&amp;TEXT($Y978,"dd-mmm")&amp;" ("&amp;(NETWORKDAYS(TODAY(),$Y978,Holidays)-1)&amp;" business day(s) left).")))))</f>
        <v/>
      </c>
      <c r="V978" s="17">
        <f>IF($W978="","",CHOOSE($W978,"Collection Email","1st Follow-up","2nd Follow-up","Local Office","CBE","Roxanne")&amp;IF($W978=6," - Final"," - Day "&amp;MAX(0,NETWORKDAYS($X978,TODAY(),Holidays)-1)&amp;" of "&amp;CHOOSE($W978,3,3,2,2,3))&amp;" | Total Day "&amp;MAX(0,NETWORKDAYS($L978,TODAY(),Holidays)-1))</f>
        <v/>
      </c>
      <c r="W978" s="17">
        <f>IF($L978="","",COUNT($L978:$Q978))</f>
        <v/>
      </c>
      <c r="X978" s="18">
        <f>IF($W978="","",INT(INDEX($L978:$Q978,$W978)))</f>
        <v/>
      </c>
      <c r="Y978" s="18">
        <f>IF(OR($W978="",$W978=6),"",WORKDAY($X978,CHOOSE($W978,3,3,2,2,3),Holidays))</f>
        <v/>
      </c>
      <c r="Z978" s="17">
        <f>IF(OR($W978="",$W978=6),"",CHOOSE($W978,"1st Email Follow-up","2nd Email Follow-up","Escalate Local Office","Escalate to CBE","Escalate to Roxanne"))</f>
        <v/>
      </c>
    </row>
    <row r="979" spans="18:26">
      <c r="R979" s="15"/>
      <c r="S979" s="16"/>
      <c r="T979" s="17">
        <f>IF(AND(COUNTA($A979:$K979)=0,$L979=""),"",IF($S979="Paid","PAID",IF($S979="Closed","CLOSED",IF($W979="","",IF($W979=6,"ESCALATED TO ROXANNE",IF(TODAY()&gt;$Y979,"OVERDUE",IF($Y979&lt;=WORKDAY(TODAY(),1,Holidays),"DUE TOMORROW",IF($W979=4,"ESCALATED TO LOCAL OFFICE",IF($W979=5,"ESCALATED TO CBE",IF($X979=TODAY(),"EMAIL SENT","MONITORING"))))))))))</f>
        <v/>
      </c>
      <c r="U979" s="17">
        <f>IF($T979="",IF(AND(COUNTA($A979:$K979)&gt;0,$L979=""),"Awaiting Collection Email time stamp.",""),IF(OR($T979="PAID",$T979="CLOSED"),IF($T979="PAID","Account paid. Action completed.","Account closed. No further action required."),CHOOSE($W979,"Collection Email","1st Email Follow-up","2nd Email Follow-up","Escalation to Local Office","Escalation to CBE","Escalation to Roxanne")&amp;" sent "&amp;TEXT($X979,"dd-mmm")&amp;". "&amp;IF($W979=6,"Final escalation completed.",IF($T979="OVERDUE","Next: "&amp;$Z979&amp;" was due "&amp;TEXT($Y979,"dd-mmm")&amp;" - "&amp;(NETWORKDAYS($Y979,TODAY(),Holidays)-1)&amp;" business day(s) late. Send now.",IF($T979="DUE TOMORROW","Next: "&amp;$Z979&amp;IF($Y979&lt;=TODAY()," is due TODAY ("," is due next business day (")&amp;TEXT($Y979,"dd-mmm")&amp;").","Next: "&amp;$Z979&amp;" due "&amp;TEXT($Y979,"dd-mmm")&amp;" ("&amp;(NETWORKDAYS(TODAY(),$Y979,Holidays)-1)&amp;" business day(s) left).")))))</f>
        <v/>
      </c>
      <c r="V979" s="17">
        <f>IF($W979="","",CHOOSE($W979,"Collection Email","1st Follow-up","2nd Follow-up","Local Office","CBE","Roxanne")&amp;IF($W979=6," - Final"," - Day "&amp;MAX(0,NETWORKDAYS($X979,TODAY(),Holidays)-1)&amp;" of "&amp;CHOOSE($W979,3,3,2,2,3))&amp;" | Total Day "&amp;MAX(0,NETWORKDAYS($L979,TODAY(),Holidays)-1))</f>
        <v/>
      </c>
      <c r="W979" s="17">
        <f>IF($L979="","",COUNT($L979:$Q979))</f>
        <v/>
      </c>
      <c r="X979" s="18">
        <f>IF($W979="","",INT(INDEX($L979:$Q979,$W979)))</f>
        <v/>
      </c>
      <c r="Y979" s="18">
        <f>IF(OR($W979="",$W979=6),"",WORKDAY($X979,CHOOSE($W979,3,3,2,2,3),Holidays))</f>
        <v/>
      </c>
      <c r="Z979" s="17">
        <f>IF(OR($W979="",$W979=6),"",CHOOSE($W979,"1st Email Follow-up","2nd Email Follow-up","Escalate Local Office","Escalate to CBE","Escalate to Roxanne"))</f>
        <v/>
      </c>
    </row>
    <row r="980" spans="18:26">
      <c r="R980" s="15"/>
      <c r="S980" s="16"/>
      <c r="T980" s="17">
        <f>IF(AND(COUNTA($A980:$K980)=0,$L980=""),"",IF($S980="Paid","PAID",IF($S980="Closed","CLOSED",IF($W980="","",IF($W980=6,"ESCALATED TO ROXANNE",IF(TODAY()&gt;$Y980,"OVERDUE",IF($Y980&lt;=WORKDAY(TODAY(),1,Holidays),"DUE TOMORROW",IF($W980=4,"ESCALATED TO LOCAL OFFICE",IF($W980=5,"ESCALATED TO CBE",IF($X980=TODAY(),"EMAIL SENT","MONITORING"))))))))))</f>
        <v/>
      </c>
      <c r="U980" s="17">
        <f>IF($T980="",IF(AND(COUNTA($A980:$K980)&gt;0,$L980=""),"Awaiting Collection Email time stamp.",""),IF(OR($T980="PAID",$T980="CLOSED"),IF($T980="PAID","Account paid. Action completed.","Account closed. No further action required."),CHOOSE($W980,"Collection Email","1st Email Follow-up","2nd Email Follow-up","Escalation to Local Office","Escalation to CBE","Escalation to Roxanne")&amp;" sent "&amp;TEXT($X980,"dd-mmm")&amp;". "&amp;IF($W980=6,"Final escalation completed.",IF($T980="OVERDUE","Next: "&amp;$Z980&amp;" was due "&amp;TEXT($Y980,"dd-mmm")&amp;" - "&amp;(NETWORKDAYS($Y980,TODAY(),Holidays)-1)&amp;" business day(s) late. Send now.",IF($T980="DUE TOMORROW","Next: "&amp;$Z980&amp;IF($Y980&lt;=TODAY()," is due TODAY ("," is due next business day (")&amp;TEXT($Y980,"dd-mmm")&amp;").","Next: "&amp;$Z980&amp;" due "&amp;TEXT($Y980,"dd-mmm")&amp;" ("&amp;(NETWORKDAYS(TODAY(),$Y980,Holidays)-1)&amp;" business day(s) left).")))))</f>
        <v/>
      </c>
      <c r="V980" s="17">
        <f>IF($W980="","",CHOOSE($W980,"Collection Email","1st Follow-up","2nd Follow-up","Local Office","CBE","Roxanne")&amp;IF($W980=6," - Final"," - Day "&amp;MAX(0,NETWORKDAYS($X980,TODAY(),Holidays)-1)&amp;" of "&amp;CHOOSE($W980,3,3,2,2,3))&amp;" | Total Day "&amp;MAX(0,NETWORKDAYS($L980,TODAY(),Holidays)-1))</f>
        <v/>
      </c>
      <c r="W980" s="17">
        <f>IF($L980="","",COUNT($L980:$Q980))</f>
        <v/>
      </c>
      <c r="X980" s="18">
        <f>IF($W980="","",INT(INDEX($L980:$Q980,$W980)))</f>
        <v/>
      </c>
      <c r="Y980" s="18">
        <f>IF(OR($W980="",$W980=6),"",WORKDAY($X980,CHOOSE($W980,3,3,2,2,3),Holidays))</f>
        <v/>
      </c>
      <c r="Z980" s="17">
        <f>IF(OR($W980="",$W980=6),"",CHOOSE($W980,"1st Email Follow-up","2nd Email Follow-up","Escalate Local Office","Escalate to CBE","Escalate to Roxanne"))</f>
        <v/>
      </c>
    </row>
    <row r="981" spans="18:26">
      <c r="R981" s="15"/>
      <c r="S981" s="16"/>
      <c r="T981" s="17">
        <f>IF(AND(COUNTA($A981:$K981)=0,$L981=""),"",IF($S981="Paid","PAID",IF($S981="Closed","CLOSED",IF($W981="","",IF($W981=6,"ESCALATED TO ROXANNE",IF(TODAY()&gt;$Y981,"OVERDUE",IF($Y981&lt;=WORKDAY(TODAY(),1,Holidays),"DUE TOMORROW",IF($W981=4,"ESCALATED TO LOCAL OFFICE",IF($W981=5,"ESCALATED TO CBE",IF($X981=TODAY(),"EMAIL SENT","MONITORING"))))))))))</f>
        <v/>
      </c>
      <c r="U981" s="17">
        <f>IF($T981="",IF(AND(COUNTA($A981:$K981)&gt;0,$L981=""),"Awaiting Collection Email time stamp.",""),IF(OR($T981="PAID",$T981="CLOSED"),IF($T981="PAID","Account paid. Action completed.","Account closed. No further action required."),CHOOSE($W981,"Collection Email","1st Email Follow-up","2nd Email Follow-up","Escalation to Local Office","Escalation to CBE","Escalation to Roxanne")&amp;" sent "&amp;TEXT($X981,"dd-mmm")&amp;". "&amp;IF($W981=6,"Final escalation completed.",IF($T981="OVERDUE","Next: "&amp;$Z981&amp;" was due "&amp;TEXT($Y981,"dd-mmm")&amp;" - "&amp;(NETWORKDAYS($Y981,TODAY(),Holidays)-1)&amp;" business day(s) late. Send now.",IF($T981="DUE TOMORROW","Next: "&amp;$Z981&amp;IF($Y981&lt;=TODAY()," is due TODAY ("," is due next business day (")&amp;TEXT($Y981,"dd-mmm")&amp;").","Next: "&amp;$Z981&amp;" due "&amp;TEXT($Y981,"dd-mmm")&amp;" ("&amp;(NETWORKDAYS(TODAY(),$Y981,Holidays)-1)&amp;" business day(s) left).")))))</f>
        <v/>
      </c>
      <c r="V981" s="17">
        <f>IF($W981="","",CHOOSE($W981,"Collection Email","1st Follow-up","2nd Follow-up","Local Office","CBE","Roxanne")&amp;IF($W981=6," - Final"," - Day "&amp;MAX(0,NETWORKDAYS($X981,TODAY(),Holidays)-1)&amp;" of "&amp;CHOOSE($W981,3,3,2,2,3))&amp;" | Total Day "&amp;MAX(0,NETWORKDAYS($L981,TODAY(),Holidays)-1))</f>
        <v/>
      </c>
      <c r="W981" s="17">
        <f>IF($L981="","",COUNT($L981:$Q981))</f>
        <v/>
      </c>
      <c r="X981" s="18">
        <f>IF($W981="","",INT(INDEX($L981:$Q981,$W981)))</f>
        <v/>
      </c>
      <c r="Y981" s="18">
        <f>IF(OR($W981="",$W981=6),"",WORKDAY($X981,CHOOSE($W981,3,3,2,2,3),Holidays))</f>
        <v/>
      </c>
      <c r="Z981" s="17">
        <f>IF(OR($W981="",$W981=6),"",CHOOSE($W981,"1st Email Follow-up","2nd Email Follow-up","Escalate Local Office","Escalate to CBE","Escalate to Roxanne"))</f>
        <v/>
      </c>
    </row>
    <row r="982" spans="18:26">
      <c r="R982" s="15"/>
      <c r="S982" s="16"/>
      <c r="T982" s="17">
        <f>IF(AND(COUNTA($A982:$K982)=0,$L982=""),"",IF($S982="Paid","PAID",IF($S982="Closed","CLOSED",IF($W982="","",IF($W982=6,"ESCALATED TO ROXANNE",IF(TODAY()&gt;$Y982,"OVERDUE",IF($Y982&lt;=WORKDAY(TODAY(),1,Holidays),"DUE TOMORROW",IF($W982=4,"ESCALATED TO LOCAL OFFICE",IF($W982=5,"ESCALATED TO CBE",IF($X982=TODAY(),"EMAIL SENT","MONITORING"))))))))))</f>
        <v/>
      </c>
      <c r="U982" s="17">
        <f>IF($T982="",IF(AND(COUNTA($A982:$K982)&gt;0,$L982=""),"Awaiting Collection Email time stamp.",""),IF(OR($T982="PAID",$T982="CLOSED"),IF($T982="PAID","Account paid. Action completed.","Account closed. No further action required."),CHOOSE($W982,"Collection Email","1st Email Follow-up","2nd Email Follow-up","Escalation to Local Office","Escalation to CBE","Escalation to Roxanne")&amp;" sent "&amp;TEXT($X982,"dd-mmm")&amp;". "&amp;IF($W982=6,"Final escalation completed.",IF($T982="OVERDUE","Next: "&amp;$Z982&amp;" was due "&amp;TEXT($Y982,"dd-mmm")&amp;" - "&amp;(NETWORKDAYS($Y982,TODAY(),Holidays)-1)&amp;" business day(s) late. Send now.",IF($T982="DUE TOMORROW","Next: "&amp;$Z982&amp;IF($Y982&lt;=TODAY()," is due TODAY ("," is due next business day (")&amp;TEXT($Y982,"dd-mmm")&amp;").","Next: "&amp;$Z982&amp;" due "&amp;TEXT($Y982,"dd-mmm")&amp;" ("&amp;(NETWORKDAYS(TODAY(),$Y982,Holidays)-1)&amp;" business day(s) left).")))))</f>
        <v/>
      </c>
      <c r="V982" s="17">
        <f>IF($W982="","",CHOOSE($W982,"Collection Email","1st Follow-up","2nd Follow-up","Local Office","CBE","Roxanne")&amp;IF($W982=6," - Final"," - Day "&amp;MAX(0,NETWORKDAYS($X982,TODAY(),Holidays)-1)&amp;" of "&amp;CHOOSE($W982,3,3,2,2,3))&amp;" | Total Day "&amp;MAX(0,NETWORKDAYS($L982,TODAY(),Holidays)-1))</f>
        <v/>
      </c>
      <c r="W982" s="17">
        <f>IF($L982="","",COUNT($L982:$Q982))</f>
        <v/>
      </c>
      <c r="X982" s="18">
        <f>IF($W982="","",INT(INDEX($L982:$Q982,$W982)))</f>
        <v/>
      </c>
      <c r="Y982" s="18">
        <f>IF(OR($W982="",$W982=6),"",WORKDAY($X982,CHOOSE($W982,3,3,2,2,3),Holidays))</f>
        <v/>
      </c>
      <c r="Z982" s="17">
        <f>IF(OR($W982="",$W982=6),"",CHOOSE($W982,"1st Email Follow-up","2nd Email Follow-up","Escalate Local Office","Escalate to CBE","Escalate to Roxanne"))</f>
        <v/>
      </c>
    </row>
    <row r="983" spans="18:26">
      <c r="R983" s="15"/>
      <c r="S983" s="16"/>
      <c r="T983" s="17">
        <f>IF(AND(COUNTA($A983:$K983)=0,$L983=""),"",IF($S983="Paid","PAID",IF($S983="Closed","CLOSED",IF($W983="","",IF($W983=6,"ESCALATED TO ROXANNE",IF(TODAY()&gt;$Y983,"OVERDUE",IF($Y983&lt;=WORKDAY(TODAY(),1,Holidays),"DUE TOMORROW",IF($W983=4,"ESCALATED TO LOCAL OFFICE",IF($W983=5,"ESCALATED TO CBE",IF($X983=TODAY(),"EMAIL SENT","MONITORING"))))))))))</f>
        <v/>
      </c>
      <c r="U983" s="17">
        <f>IF($T983="",IF(AND(COUNTA($A983:$K983)&gt;0,$L983=""),"Awaiting Collection Email time stamp.",""),IF(OR($T983="PAID",$T983="CLOSED"),IF($T983="PAID","Account paid. Action completed.","Account closed. No further action required."),CHOOSE($W983,"Collection Email","1st Email Follow-up","2nd Email Follow-up","Escalation to Local Office","Escalation to CBE","Escalation to Roxanne")&amp;" sent "&amp;TEXT($X983,"dd-mmm")&amp;". "&amp;IF($W983=6,"Final escalation completed.",IF($T983="OVERDUE","Next: "&amp;$Z983&amp;" was due "&amp;TEXT($Y983,"dd-mmm")&amp;" - "&amp;(NETWORKDAYS($Y983,TODAY(),Holidays)-1)&amp;" business day(s) late. Send now.",IF($T983="DUE TOMORROW","Next: "&amp;$Z983&amp;IF($Y983&lt;=TODAY()," is due TODAY ("," is due next business day (")&amp;TEXT($Y983,"dd-mmm")&amp;").","Next: "&amp;$Z983&amp;" due "&amp;TEXT($Y983,"dd-mmm")&amp;" ("&amp;(NETWORKDAYS(TODAY(),$Y983,Holidays)-1)&amp;" business day(s) left).")))))</f>
        <v/>
      </c>
      <c r="V983" s="17">
        <f>IF($W983="","",CHOOSE($W983,"Collection Email","1st Follow-up","2nd Follow-up","Local Office","CBE","Roxanne")&amp;IF($W983=6," - Final"," - Day "&amp;MAX(0,NETWORKDAYS($X983,TODAY(),Holidays)-1)&amp;" of "&amp;CHOOSE($W983,3,3,2,2,3))&amp;" | Total Day "&amp;MAX(0,NETWORKDAYS($L983,TODAY(),Holidays)-1))</f>
        <v/>
      </c>
      <c r="W983" s="17">
        <f>IF($L983="","",COUNT($L983:$Q983))</f>
        <v/>
      </c>
      <c r="X983" s="18">
        <f>IF($W983="","",INT(INDEX($L983:$Q983,$W983)))</f>
        <v/>
      </c>
      <c r="Y983" s="18">
        <f>IF(OR($W983="",$W983=6),"",WORKDAY($X983,CHOOSE($W983,3,3,2,2,3),Holidays))</f>
        <v/>
      </c>
      <c r="Z983" s="17">
        <f>IF(OR($W983="",$W983=6),"",CHOOSE($W983,"1st Email Follow-up","2nd Email Follow-up","Escalate Local Office","Escalate to CBE","Escalate to Roxanne"))</f>
        <v/>
      </c>
    </row>
    <row r="984" spans="18:26">
      <c r="R984" s="15"/>
      <c r="S984" s="16"/>
      <c r="T984" s="17">
        <f>IF(AND(COUNTA($A984:$K984)=0,$L984=""),"",IF($S984="Paid","PAID",IF($S984="Closed","CLOSED",IF($W984="","",IF($W984=6,"ESCALATED TO ROXANNE",IF(TODAY()&gt;$Y984,"OVERDUE",IF($Y984&lt;=WORKDAY(TODAY(),1,Holidays),"DUE TOMORROW",IF($W984=4,"ESCALATED TO LOCAL OFFICE",IF($W984=5,"ESCALATED TO CBE",IF($X984=TODAY(),"EMAIL SENT","MONITORING"))))))))))</f>
        <v/>
      </c>
      <c r="U984" s="17">
        <f>IF($T984="",IF(AND(COUNTA($A984:$K984)&gt;0,$L984=""),"Awaiting Collection Email time stamp.",""),IF(OR($T984="PAID",$T984="CLOSED"),IF($T984="PAID","Account paid. Action completed.","Account closed. No further action required."),CHOOSE($W984,"Collection Email","1st Email Follow-up","2nd Email Follow-up","Escalation to Local Office","Escalation to CBE","Escalation to Roxanne")&amp;" sent "&amp;TEXT($X984,"dd-mmm")&amp;". "&amp;IF($W984=6,"Final escalation completed.",IF($T984="OVERDUE","Next: "&amp;$Z984&amp;" was due "&amp;TEXT($Y984,"dd-mmm")&amp;" - "&amp;(NETWORKDAYS($Y984,TODAY(),Holidays)-1)&amp;" business day(s) late. Send now.",IF($T984="DUE TOMORROW","Next: "&amp;$Z984&amp;IF($Y984&lt;=TODAY()," is due TODAY ("," is due next business day (")&amp;TEXT($Y984,"dd-mmm")&amp;").","Next: "&amp;$Z984&amp;" due "&amp;TEXT($Y984,"dd-mmm")&amp;" ("&amp;(NETWORKDAYS(TODAY(),$Y984,Holidays)-1)&amp;" business day(s) left).")))))</f>
        <v/>
      </c>
      <c r="V984" s="17">
        <f>IF($W984="","",CHOOSE($W984,"Collection Email","1st Follow-up","2nd Follow-up","Local Office","CBE","Roxanne")&amp;IF($W984=6," - Final"," - Day "&amp;MAX(0,NETWORKDAYS($X984,TODAY(),Holidays)-1)&amp;" of "&amp;CHOOSE($W984,3,3,2,2,3))&amp;" | Total Day "&amp;MAX(0,NETWORKDAYS($L984,TODAY(),Holidays)-1))</f>
        <v/>
      </c>
      <c r="W984" s="17">
        <f>IF($L984="","",COUNT($L984:$Q984))</f>
        <v/>
      </c>
      <c r="X984" s="18">
        <f>IF($W984="","",INT(INDEX($L984:$Q984,$W984)))</f>
        <v/>
      </c>
      <c r="Y984" s="18">
        <f>IF(OR($W984="",$W984=6),"",WORKDAY($X984,CHOOSE($W984,3,3,2,2,3),Holidays))</f>
        <v/>
      </c>
      <c r="Z984" s="17">
        <f>IF(OR($W984="",$W984=6),"",CHOOSE($W984,"1st Email Follow-up","2nd Email Follow-up","Escalate Local Office","Escalate to CBE","Escalate to Roxanne"))</f>
        <v/>
      </c>
    </row>
    <row r="985" spans="18:26">
      <c r="R985" s="15"/>
      <c r="S985" s="16"/>
      <c r="T985" s="17">
        <f>IF(AND(COUNTA($A985:$K985)=0,$L985=""),"",IF($S985="Paid","PAID",IF($S985="Closed","CLOSED",IF($W985="","",IF($W985=6,"ESCALATED TO ROXANNE",IF(TODAY()&gt;$Y985,"OVERDUE",IF($Y985&lt;=WORKDAY(TODAY(),1,Holidays),"DUE TOMORROW",IF($W985=4,"ESCALATED TO LOCAL OFFICE",IF($W985=5,"ESCALATED TO CBE",IF($X985=TODAY(),"EMAIL SENT","MONITORING"))))))))))</f>
        <v/>
      </c>
      <c r="U985" s="17">
        <f>IF($T985="",IF(AND(COUNTA($A985:$K985)&gt;0,$L985=""),"Awaiting Collection Email time stamp.",""),IF(OR($T985="PAID",$T985="CLOSED"),IF($T985="PAID","Account paid. Action completed.","Account closed. No further action required."),CHOOSE($W985,"Collection Email","1st Email Follow-up","2nd Email Follow-up","Escalation to Local Office","Escalation to CBE","Escalation to Roxanne")&amp;" sent "&amp;TEXT($X985,"dd-mmm")&amp;". "&amp;IF($W985=6,"Final escalation completed.",IF($T985="OVERDUE","Next: "&amp;$Z985&amp;" was due "&amp;TEXT($Y985,"dd-mmm")&amp;" - "&amp;(NETWORKDAYS($Y985,TODAY(),Holidays)-1)&amp;" business day(s) late. Send now.",IF($T985="DUE TOMORROW","Next: "&amp;$Z985&amp;IF($Y985&lt;=TODAY()," is due TODAY ("," is due next business day (")&amp;TEXT($Y985,"dd-mmm")&amp;").","Next: "&amp;$Z985&amp;" due "&amp;TEXT($Y985,"dd-mmm")&amp;" ("&amp;(NETWORKDAYS(TODAY(),$Y985,Holidays)-1)&amp;" business day(s) left).")))))</f>
        <v/>
      </c>
      <c r="V985" s="17">
        <f>IF($W985="","",CHOOSE($W985,"Collection Email","1st Follow-up","2nd Follow-up","Local Office","CBE","Roxanne")&amp;IF($W985=6," - Final"," - Day "&amp;MAX(0,NETWORKDAYS($X985,TODAY(),Holidays)-1)&amp;" of "&amp;CHOOSE($W985,3,3,2,2,3))&amp;" | Total Day "&amp;MAX(0,NETWORKDAYS($L985,TODAY(),Holidays)-1))</f>
        <v/>
      </c>
      <c r="W985" s="17">
        <f>IF($L985="","",COUNT($L985:$Q985))</f>
        <v/>
      </c>
      <c r="X985" s="18">
        <f>IF($W985="","",INT(INDEX($L985:$Q985,$W985)))</f>
        <v/>
      </c>
      <c r="Y985" s="18">
        <f>IF(OR($W985="",$W985=6),"",WORKDAY($X985,CHOOSE($W985,3,3,2,2,3),Holidays))</f>
        <v/>
      </c>
      <c r="Z985" s="17">
        <f>IF(OR($W985="",$W985=6),"",CHOOSE($W985,"1st Email Follow-up","2nd Email Follow-up","Escalate Local Office","Escalate to CBE","Escalate to Roxanne"))</f>
        <v/>
      </c>
    </row>
    <row r="986" spans="18:26">
      <c r="R986" s="15"/>
      <c r="S986" s="16"/>
      <c r="T986" s="17">
        <f>IF(AND(COUNTA($A986:$K986)=0,$L986=""),"",IF($S986="Paid","PAID",IF($S986="Closed","CLOSED",IF($W986="","",IF($W986=6,"ESCALATED TO ROXANNE",IF(TODAY()&gt;$Y986,"OVERDUE",IF($Y986&lt;=WORKDAY(TODAY(),1,Holidays),"DUE TOMORROW",IF($W986=4,"ESCALATED TO LOCAL OFFICE",IF($W986=5,"ESCALATED TO CBE",IF($X986=TODAY(),"EMAIL SENT","MONITORING"))))))))))</f>
        <v/>
      </c>
      <c r="U986" s="17">
        <f>IF($T986="",IF(AND(COUNTA($A986:$K986)&gt;0,$L986=""),"Awaiting Collection Email time stamp.",""),IF(OR($T986="PAID",$T986="CLOSED"),IF($T986="PAID","Account paid. Action completed.","Account closed. No further action required."),CHOOSE($W986,"Collection Email","1st Email Follow-up","2nd Email Follow-up","Escalation to Local Office","Escalation to CBE","Escalation to Roxanne")&amp;" sent "&amp;TEXT($X986,"dd-mmm")&amp;". "&amp;IF($W986=6,"Final escalation completed.",IF($T986="OVERDUE","Next: "&amp;$Z986&amp;" was due "&amp;TEXT($Y986,"dd-mmm")&amp;" - "&amp;(NETWORKDAYS($Y986,TODAY(),Holidays)-1)&amp;" business day(s) late. Send now.",IF($T986="DUE TOMORROW","Next: "&amp;$Z986&amp;IF($Y986&lt;=TODAY()," is due TODAY ("," is due next business day (")&amp;TEXT($Y986,"dd-mmm")&amp;").","Next: "&amp;$Z986&amp;" due "&amp;TEXT($Y986,"dd-mmm")&amp;" ("&amp;(NETWORKDAYS(TODAY(),$Y986,Holidays)-1)&amp;" business day(s) left).")))))</f>
        <v/>
      </c>
      <c r="V986" s="17">
        <f>IF($W986="","",CHOOSE($W986,"Collection Email","1st Follow-up","2nd Follow-up","Local Office","CBE","Roxanne")&amp;IF($W986=6," - Final"," - Day "&amp;MAX(0,NETWORKDAYS($X986,TODAY(),Holidays)-1)&amp;" of "&amp;CHOOSE($W986,3,3,2,2,3))&amp;" | Total Day "&amp;MAX(0,NETWORKDAYS($L986,TODAY(),Holidays)-1))</f>
        <v/>
      </c>
      <c r="W986" s="17">
        <f>IF($L986="","",COUNT($L986:$Q986))</f>
        <v/>
      </c>
      <c r="X986" s="18">
        <f>IF($W986="","",INT(INDEX($L986:$Q986,$W986)))</f>
        <v/>
      </c>
      <c r="Y986" s="18">
        <f>IF(OR($W986="",$W986=6),"",WORKDAY($X986,CHOOSE($W986,3,3,2,2,3),Holidays))</f>
        <v/>
      </c>
      <c r="Z986" s="17">
        <f>IF(OR($W986="",$W986=6),"",CHOOSE($W986,"1st Email Follow-up","2nd Email Follow-up","Escalate Local Office","Escalate to CBE","Escalate to Roxanne"))</f>
        <v/>
      </c>
    </row>
    <row r="987" spans="18:26">
      <c r="R987" s="15"/>
      <c r="S987" s="16"/>
      <c r="T987" s="17">
        <f>IF(AND(COUNTA($A987:$K987)=0,$L987=""),"",IF($S987="Paid","PAID",IF($S987="Closed","CLOSED",IF($W987="","",IF($W987=6,"ESCALATED TO ROXANNE",IF(TODAY()&gt;$Y987,"OVERDUE",IF($Y987&lt;=WORKDAY(TODAY(),1,Holidays),"DUE TOMORROW",IF($W987=4,"ESCALATED TO LOCAL OFFICE",IF($W987=5,"ESCALATED TO CBE",IF($X987=TODAY(),"EMAIL SENT","MONITORING"))))))))))</f>
        <v/>
      </c>
      <c r="U987" s="17">
        <f>IF($T987="",IF(AND(COUNTA($A987:$K987)&gt;0,$L987=""),"Awaiting Collection Email time stamp.",""),IF(OR($T987="PAID",$T987="CLOSED"),IF($T987="PAID","Account paid. Action completed.","Account closed. No further action required."),CHOOSE($W987,"Collection Email","1st Email Follow-up","2nd Email Follow-up","Escalation to Local Office","Escalation to CBE","Escalation to Roxanne")&amp;" sent "&amp;TEXT($X987,"dd-mmm")&amp;". "&amp;IF($W987=6,"Final escalation completed.",IF($T987="OVERDUE","Next: "&amp;$Z987&amp;" was due "&amp;TEXT($Y987,"dd-mmm")&amp;" - "&amp;(NETWORKDAYS($Y987,TODAY(),Holidays)-1)&amp;" business day(s) late. Send now.",IF($T987="DUE TOMORROW","Next: "&amp;$Z987&amp;IF($Y987&lt;=TODAY()," is due TODAY ("," is due next business day (")&amp;TEXT($Y987,"dd-mmm")&amp;").","Next: "&amp;$Z987&amp;" due "&amp;TEXT($Y987,"dd-mmm")&amp;" ("&amp;(NETWORKDAYS(TODAY(),$Y987,Holidays)-1)&amp;" business day(s) left).")))))</f>
        <v/>
      </c>
      <c r="V987" s="17">
        <f>IF($W987="","",CHOOSE($W987,"Collection Email","1st Follow-up","2nd Follow-up","Local Office","CBE","Roxanne")&amp;IF($W987=6," - Final"," - Day "&amp;MAX(0,NETWORKDAYS($X987,TODAY(),Holidays)-1)&amp;" of "&amp;CHOOSE($W987,3,3,2,2,3))&amp;" | Total Day "&amp;MAX(0,NETWORKDAYS($L987,TODAY(),Holidays)-1))</f>
        <v/>
      </c>
      <c r="W987" s="17">
        <f>IF($L987="","",COUNT($L987:$Q987))</f>
        <v/>
      </c>
      <c r="X987" s="18">
        <f>IF($W987="","",INT(INDEX($L987:$Q987,$W987)))</f>
        <v/>
      </c>
      <c r="Y987" s="18">
        <f>IF(OR($W987="",$W987=6),"",WORKDAY($X987,CHOOSE($W987,3,3,2,2,3),Holidays))</f>
        <v/>
      </c>
      <c r="Z987" s="17">
        <f>IF(OR($W987="",$W987=6),"",CHOOSE($W987,"1st Email Follow-up","2nd Email Follow-up","Escalate Local Office","Escalate to CBE","Escalate to Roxanne"))</f>
        <v/>
      </c>
    </row>
    <row r="988" spans="18:26">
      <c r="R988" s="15"/>
      <c r="S988" s="16"/>
      <c r="T988" s="17">
        <f>IF(AND(COUNTA($A988:$K988)=0,$L988=""),"",IF($S988="Paid","PAID",IF($S988="Closed","CLOSED",IF($W988="","",IF($W988=6,"ESCALATED TO ROXANNE",IF(TODAY()&gt;$Y988,"OVERDUE",IF($Y988&lt;=WORKDAY(TODAY(),1,Holidays),"DUE TOMORROW",IF($W988=4,"ESCALATED TO LOCAL OFFICE",IF($W988=5,"ESCALATED TO CBE",IF($X988=TODAY(),"EMAIL SENT","MONITORING"))))))))))</f>
        <v/>
      </c>
      <c r="U988" s="17">
        <f>IF($T988="",IF(AND(COUNTA($A988:$K988)&gt;0,$L988=""),"Awaiting Collection Email time stamp.",""),IF(OR($T988="PAID",$T988="CLOSED"),IF($T988="PAID","Account paid. Action completed.","Account closed. No further action required."),CHOOSE($W988,"Collection Email","1st Email Follow-up","2nd Email Follow-up","Escalation to Local Office","Escalation to CBE","Escalation to Roxanne")&amp;" sent "&amp;TEXT($X988,"dd-mmm")&amp;". "&amp;IF($W988=6,"Final escalation completed.",IF($T988="OVERDUE","Next: "&amp;$Z988&amp;" was due "&amp;TEXT($Y988,"dd-mmm")&amp;" - "&amp;(NETWORKDAYS($Y988,TODAY(),Holidays)-1)&amp;" business day(s) late. Send now.",IF($T988="DUE TOMORROW","Next: "&amp;$Z988&amp;IF($Y988&lt;=TODAY()," is due TODAY ("," is due next business day (")&amp;TEXT($Y988,"dd-mmm")&amp;").","Next: "&amp;$Z988&amp;" due "&amp;TEXT($Y988,"dd-mmm")&amp;" ("&amp;(NETWORKDAYS(TODAY(),$Y988,Holidays)-1)&amp;" business day(s) left).")))))</f>
        <v/>
      </c>
      <c r="V988" s="17">
        <f>IF($W988="","",CHOOSE($W988,"Collection Email","1st Follow-up","2nd Follow-up","Local Office","CBE","Roxanne")&amp;IF($W988=6," - Final"," - Day "&amp;MAX(0,NETWORKDAYS($X988,TODAY(),Holidays)-1)&amp;" of "&amp;CHOOSE($W988,3,3,2,2,3))&amp;" | Total Day "&amp;MAX(0,NETWORKDAYS($L988,TODAY(),Holidays)-1))</f>
        <v/>
      </c>
      <c r="W988" s="17">
        <f>IF($L988="","",COUNT($L988:$Q988))</f>
        <v/>
      </c>
      <c r="X988" s="18">
        <f>IF($W988="","",INT(INDEX($L988:$Q988,$W988)))</f>
        <v/>
      </c>
      <c r="Y988" s="18">
        <f>IF(OR($W988="",$W988=6),"",WORKDAY($X988,CHOOSE($W988,3,3,2,2,3),Holidays))</f>
        <v/>
      </c>
      <c r="Z988" s="17">
        <f>IF(OR($W988="",$W988=6),"",CHOOSE($W988,"1st Email Follow-up","2nd Email Follow-up","Escalate Local Office","Escalate to CBE","Escalate to Roxanne"))</f>
        <v/>
      </c>
    </row>
    <row r="989" spans="18:26">
      <c r="R989" s="15"/>
      <c r="S989" s="16"/>
      <c r="T989" s="17">
        <f>IF(AND(COUNTA($A989:$K989)=0,$L989=""),"",IF($S989="Paid","PAID",IF($S989="Closed","CLOSED",IF($W989="","",IF($W989=6,"ESCALATED TO ROXANNE",IF(TODAY()&gt;$Y989,"OVERDUE",IF($Y989&lt;=WORKDAY(TODAY(),1,Holidays),"DUE TOMORROW",IF($W989=4,"ESCALATED TO LOCAL OFFICE",IF($W989=5,"ESCALATED TO CBE",IF($X989=TODAY(),"EMAIL SENT","MONITORING"))))))))))</f>
        <v/>
      </c>
      <c r="U989" s="17">
        <f>IF($T989="",IF(AND(COUNTA($A989:$K989)&gt;0,$L989=""),"Awaiting Collection Email time stamp.",""),IF(OR($T989="PAID",$T989="CLOSED"),IF($T989="PAID","Account paid. Action completed.","Account closed. No further action required."),CHOOSE($W989,"Collection Email","1st Email Follow-up","2nd Email Follow-up","Escalation to Local Office","Escalation to CBE","Escalation to Roxanne")&amp;" sent "&amp;TEXT($X989,"dd-mmm")&amp;". "&amp;IF($W989=6,"Final escalation completed.",IF($T989="OVERDUE","Next: "&amp;$Z989&amp;" was due "&amp;TEXT($Y989,"dd-mmm")&amp;" - "&amp;(NETWORKDAYS($Y989,TODAY(),Holidays)-1)&amp;" business day(s) late. Send now.",IF($T989="DUE TOMORROW","Next: "&amp;$Z989&amp;IF($Y989&lt;=TODAY()," is due TODAY ("," is due next business day (")&amp;TEXT($Y989,"dd-mmm")&amp;").","Next: "&amp;$Z989&amp;" due "&amp;TEXT($Y989,"dd-mmm")&amp;" ("&amp;(NETWORKDAYS(TODAY(),$Y989,Holidays)-1)&amp;" business day(s) left).")))))</f>
        <v/>
      </c>
      <c r="V989" s="17">
        <f>IF($W989="","",CHOOSE($W989,"Collection Email","1st Follow-up","2nd Follow-up","Local Office","CBE","Roxanne")&amp;IF($W989=6," - Final"," - Day "&amp;MAX(0,NETWORKDAYS($X989,TODAY(),Holidays)-1)&amp;" of "&amp;CHOOSE($W989,3,3,2,2,3))&amp;" | Total Day "&amp;MAX(0,NETWORKDAYS($L989,TODAY(),Holidays)-1))</f>
        <v/>
      </c>
      <c r="W989" s="17">
        <f>IF($L989="","",COUNT($L989:$Q989))</f>
        <v/>
      </c>
      <c r="X989" s="18">
        <f>IF($W989="","",INT(INDEX($L989:$Q989,$W989)))</f>
        <v/>
      </c>
      <c r="Y989" s="18">
        <f>IF(OR($W989="",$W989=6),"",WORKDAY($X989,CHOOSE($W989,3,3,2,2,3),Holidays))</f>
        <v/>
      </c>
      <c r="Z989" s="17">
        <f>IF(OR($W989="",$W989=6),"",CHOOSE($W989,"1st Email Follow-up","2nd Email Follow-up","Escalate Local Office","Escalate to CBE","Escalate to Roxanne"))</f>
        <v/>
      </c>
    </row>
    <row r="990" spans="18:26">
      <c r="R990" s="15"/>
      <c r="S990" s="16"/>
      <c r="T990" s="17">
        <f>IF(AND(COUNTA($A990:$K990)=0,$L990=""),"",IF($S990="Paid","PAID",IF($S990="Closed","CLOSED",IF($W990="","",IF($W990=6,"ESCALATED TO ROXANNE",IF(TODAY()&gt;$Y990,"OVERDUE",IF($Y990&lt;=WORKDAY(TODAY(),1,Holidays),"DUE TOMORROW",IF($W990=4,"ESCALATED TO LOCAL OFFICE",IF($W990=5,"ESCALATED TO CBE",IF($X990=TODAY(),"EMAIL SENT","MONITORING"))))))))))</f>
        <v/>
      </c>
      <c r="U990" s="17">
        <f>IF($T990="",IF(AND(COUNTA($A990:$K990)&gt;0,$L990=""),"Awaiting Collection Email time stamp.",""),IF(OR($T990="PAID",$T990="CLOSED"),IF($T990="PAID","Account paid. Action completed.","Account closed. No further action required."),CHOOSE($W990,"Collection Email","1st Email Follow-up","2nd Email Follow-up","Escalation to Local Office","Escalation to CBE","Escalation to Roxanne")&amp;" sent "&amp;TEXT($X990,"dd-mmm")&amp;". "&amp;IF($W990=6,"Final escalation completed.",IF($T990="OVERDUE","Next: "&amp;$Z990&amp;" was due "&amp;TEXT($Y990,"dd-mmm")&amp;" - "&amp;(NETWORKDAYS($Y990,TODAY(),Holidays)-1)&amp;" business day(s) late. Send now.",IF($T990="DUE TOMORROW","Next: "&amp;$Z990&amp;IF($Y990&lt;=TODAY()," is due TODAY ("," is due next business day (")&amp;TEXT($Y990,"dd-mmm")&amp;").","Next: "&amp;$Z990&amp;" due "&amp;TEXT($Y990,"dd-mmm")&amp;" ("&amp;(NETWORKDAYS(TODAY(),$Y990,Holidays)-1)&amp;" business day(s) left).")))))</f>
        <v/>
      </c>
      <c r="V990" s="17">
        <f>IF($W990="","",CHOOSE($W990,"Collection Email","1st Follow-up","2nd Follow-up","Local Office","CBE","Roxanne")&amp;IF($W990=6," - Final"," - Day "&amp;MAX(0,NETWORKDAYS($X990,TODAY(),Holidays)-1)&amp;" of "&amp;CHOOSE($W990,3,3,2,2,3))&amp;" | Total Day "&amp;MAX(0,NETWORKDAYS($L990,TODAY(),Holidays)-1))</f>
        <v/>
      </c>
      <c r="W990" s="17">
        <f>IF($L990="","",COUNT($L990:$Q990))</f>
        <v/>
      </c>
      <c r="X990" s="18">
        <f>IF($W990="","",INT(INDEX($L990:$Q990,$W990)))</f>
        <v/>
      </c>
      <c r="Y990" s="18">
        <f>IF(OR($W990="",$W990=6),"",WORKDAY($X990,CHOOSE($W990,3,3,2,2,3),Holidays))</f>
        <v/>
      </c>
      <c r="Z990" s="17">
        <f>IF(OR($W990="",$W990=6),"",CHOOSE($W990,"1st Email Follow-up","2nd Email Follow-up","Escalate Local Office","Escalate to CBE","Escalate to Roxanne"))</f>
        <v/>
      </c>
    </row>
    <row r="991" spans="18:26">
      <c r="R991" s="15"/>
      <c r="S991" s="16"/>
      <c r="T991" s="17">
        <f>IF(AND(COUNTA($A991:$K991)=0,$L991=""),"",IF($S991="Paid","PAID",IF($S991="Closed","CLOSED",IF($W991="","",IF($W991=6,"ESCALATED TO ROXANNE",IF(TODAY()&gt;$Y991,"OVERDUE",IF($Y991&lt;=WORKDAY(TODAY(),1,Holidays),"DUE TOMORROW",IF($W991=4,"ESCALATED TO LOCAL OFFICE",IF($W991=5,"ESCALATED TO CBE",IF($X991=TODAY(),"EMAIL SENT","MONITORING"))))))))))</f>
        <v/>
      </c>
      <c r="U991" s="17">
        <f>IF($T991="",IF(AND(COUNTA($A991:$K991)&gt;0,$L991=""),"Awaiting Collection Email time stamp.",""),IF(OR($T991="PAID",$T991="CLOSED"),IF($T991="PAID","Account paid. Action completed.","Account closed. No further action required."),CHOOSE($W991,"Collection Email","1st Email Follow-up","2nd Email Follow-up","Escalation to Local Office","Escalation to CBE","Escalation to Roxanne")&amp;" sent "&amp;TEXT($X991,"dd-mmm")&amp;". "&amp;IF($W991=6,"Final escalation completed.",IF($T991="OVERDUE","Next: "&amp;$Z991&amp;" was due "&amp;TEXT($Y991,"dd-mmm")&amp;" - "&amp;(NETWORKDAYS($Y991,TODAY(),Holidays)-1)&amp;" business day(s) late. Send now.",IF($T991="DUE TOMORROW","Next: "&amp;$Z991&amp;IF($Y991&lt;=TODAY()," is due TODAY ("," is due next business day (")&amp;TEXT($Y991,"dd-mmm")&amp;").","Next: "&amp;$Z991&amp;" due "&amp;TEXT($Y991,"dd-mmm")&amp;" ("&amp;(NETWORKDAYS(TODAY(),$Y991,Holidays)-1)&amp;" business day(s) left).")))))</f>
        <v/>
      </c>
      <c r="V991" s="17">
        <f>IF($W991="","",CHOOSE($W991,"Collection Email","1st Follow-up","2nd Follow-up","Local Office","CBE","Roxanne")&amp;IF($W991=6," - Final"," - Day "&amp;MAX(0,NETWORKDAYS($X991,TODAY(),Holidays)-1)&amp;" of "&amp;CHOOSE($W991,3,3,2,2,3))&amp;" | Total Day "&amp;MAX(0,NETWORKDAYS($L991,TODAY(),Holidays)-1))</f>
        <v/>
      </c>
      <c r="W991" s="17">
        <f>IF($L991="","",COUNT($L991:$Q991))</f>
        <v/>
      </c>
      <c r="X991" s="18">
        <f>IF($W991="","",INT(INDEX($L991:$Q991,$W991)))</f>
        <v/>
      </c>
      <c r="Y991" s="18">
        <f>IF(OR($W991="",$W991=6),"",WORKDAY($X991,CHOOSE($W991,3,3,2,2,3),Holidays))</f>
        <v/>
      </c>
      <c r="Z991" s="17">
        <f>IF(OR($W991="",$W991=6),"",CHOOSE($W991,"1st Email Follow-up","2nd Email Follow-up","Escalate Local Office","Escalate to CBE","Escalate to Roxanne"))</f>
        <v/>
      </c>
    </row>
    <row r="992" spans="18:26">
      <c r="R992" s="15"/>
      <c r="S992" s="16"/>
      <c r="T992" s="17">
        <f>IF(AND(COUNTA($A992:$K992)=0,$L992=""),"",IF($S992="Paid","PAID",IF($S992="Closed","CLOSED",IF($W992="","",IF($W992=6,"ESCALATED TO ROXANNE",IF(TODAY()&gt;$Y992,"OVERDUE",IF($Y992&lt;=WORKDAY(TODAY(),1,Holidays),"DUE TOMORROW",IF($W992=4,"ESCALATED TO LOCAL OFFICE",IF($W992=5,"ESCALATED TO CBE",IF($X992=TODAY(),"EMAIL SENT","MONITORING"))))))))))</f>
        <v/>
      </c>
      <c r="U992" s="17">
        <f>IF($T992="",IF(AND(COUNTA($A992:$K992)&gt;0,$L992=""),"Awaiting Collection Email time stamp.",""),IF(OR($T992="PAID",$T992="CLOSED"),IF($T992="PAID","Account paid. Action completed.","Account closed. No further action required."),CHOOSE($W992,"Collection Email","1st Email Follow-up","2nd Email Follow-up","Escalation to Local Office","Escalation to CBE","Escalation to Roxanne")&amp;" sent "&amp;TEXT($X992,"dd-mmm")&amp;". "&amp;IF($W992=6,"Final escalation completed.",IF($T992="OVERDUE","Next: "&amp;$Z992&amp;" was due "&amp;TEXT($Y992,"dd-mmm")&amp;" - "&amp;(NETWORKDAYS($Y992,TODAY(),Holidays)-1)&amp;" business day(s) late. Send now.",IF($T992="DUE TOMORROW","Next: "&amp;$Z992&amp;IF($Y992&lt;=TODAY()," is due TODAY ("," is due next business day (")&amp;TEXT($Y992,"dd-mmm")&amp;").","Next: "&amp;$Z992&amp;" due "&amp;TEXT($Y992,"dd-mmm")&amp;" ("&amp;(NETWORKDAYS(TODAY(),$Y992,Holidays)-1)&amp;" business day(s) left).")))))</f>
        <v/>
      </c>
      <c r="V992" s="17">
        <f>IF($W992="","",CHOOSE($W992,"Collection Email","1st Follow-up","2nd Follow-up","Local Office","CBE","Roxanne")&amp;IF($W992=6," - Final"," - Day "&amp;MAX(0,NETWORKDAYS($X992,TODAY(),Holidays)-1)&amp;" of "&amp;CHOOSE($W992,3,3,2,2,3))&amp;" | Total Day "&amp;MAX(0,NETWORKDAYS($L992,TODAY(),Holidays)-1))</f>
        <v/>
      </c>
      <c r="W992" s="17">
        <f>IF($L992="","",COUNT($L992:$Q992))</f>
        <v/>
      </c>
      <c r="X992" s="18">
        <f>IF($W992="","",INT(INDEX($L992:$Q992,$W992)))</f>
        <v/>
      </c>
      <c r="Y992" s="18">
        <f>IF(OR($W992="",$W992=6),"",WORKDAY($X992,CHOOSE($W992,3,3,2,2,3),Holidays))</f>
        <v/>
      </c>
      <c r="Z992" s="17">
        <f>IF(OR($W992="",$W992=6),"",CHOOSE($W992,"1st Email Follow-up","2nd Email Follow-up","Escalate Local Office","Escalate to CBE","Escalate to Roxanne"))</f>
        <v/>
      </c>
    </row>
    <row r="993" spans="18:26">
      <c r="R993" s="15"/>
      <c r="S993" s="16"/>
      <c r="T993" s="17">
        <f>IF(AND(COUNTA($A993:$K993)=0,$L993=""),"",IF($S993="Paid","PAID",IF($S993="Closed","CLOSED",IF($W993="","",IF($W993=6,"ESCALATED TO ROXANNE",IF(TODAY()&gt;$Y993,"OVERDUE",IF($Y993&lt;=WORKDAY(TODAY(),1,Holidays),"DUE TOMORROW",IF($W993=4,"ESCALATED TO LOCAL OFFICE",IF($W993=5,"ESCALATED TO CBE",IF($X993=TODAY(),"EMAIL SENT","MONITORING"))))))))))</f>
        <v/>
      </c>
      <c r="U993" s="17">
        <f>IF($T993="",IF(AND(COUNTA($A993:$K993)&gt;0,$L993=""),"Awaiting Collection Email time stamp.",""),IF(OR($T993="PAID",$T993="CLOSED"),IF($T993="PAID","Account paid. Action completed.","Account closed. No further action required."),CHOOSE($W993,"Collection Email","1st Email Follow-up","2nd Email Follow-up","Escalation to Local Office","Escalation to CBE","Escalation to Roxanne")&amp;" sent "&amp;TEXT($X993,"dd-mmm")&amp;". "&amp;IF($W993=6,"Final escalation completed.",IF($T993="OVERDUE","Next: "&amp;$Z993&amp;" was due "&amp;TEXT($Y993,"dd-mmm")&amp;" - "&amp;(NETWORKDAYS($Y993,TODAY(),Holidays)-1)&amp;" business day(s) late. Send now.",IF($T993="DUE TOMORROW","Next: "&amp;$Z993&amp;IF($Y993&lt;=TODAY()," is due TODAY ("," is due next business day (")&amp;TEXT($Y993,"dd-mmm")&amp;").","Next: "&amp;$Z993&amp;" due "&amp;TEXT($Y993,"dd-mmm")&amp;" ("&amp;(NETWORKDAYS(TODAY(),$Y993,Holidays)-1)&amp;" business day(s) left).")))))</f>
        <v/>
      </c>
      <c r="V993" s="17">
        <f>IF($W993="","",CHOOSE($W993,"Collection Email","1st Follow-up","2nd Follow-up","Local Office","CBE","Roxanne")&amp;IF($W993=6," - Final"," - Day "&amp;MAX(0,NETWORKDAYS($X993,TODAY(),Holidays)-1)&amp;" of "&amp;CHOOSE($W993,3,3,2,2,3))&amp;" | Total Day "&amp;MAX(0,NETWORKDAYS($L993,TODAY(),Holidays)-1))</f>
        <v/>
      </c>
      <c r="W993" s="17">
        <f>IF($L993="","",COUNT($L993:$Q993))</f>
        <v/>
      </c>
      <c r="X993" s="18">
        <f>IF($W993="","",INT(INDEX($L993:$Q993,$W993)))</f>
        <v/>
      </c>
      <c r="Y993" s="18">
        <f>IF(OR($W993="",$W993=6),"",WORKDAY($X993,CHOOSE($W993,3,3,2,2,3),Holidays))</f>
        <v/>
      </c>
      <c r="Z993" s="17">
        <f>IF(OR($W993="",$W993=6),"",CHOOSE($W993,"1st Email Follow-up","2nd Email Follow-up","Escalate Local Office","Escalate to CBE","Escalate to Roxanne"))</f>
        <v/>
      </c>
    </row>
    <row r="994" spans="18:26">
      <c r="R994" s="15"/>
      <c r="S994" s="16"/>
      <c r="T994" s="17">
        <f>IF(AND(COUNTA($A994:$K994)=0,$L994=""),"",IF($S994="Paid","PAID",IF($S994="Closed","CLOSED",IF($W994="","",IF($W994=6,"ESCALATED TO ROXANNE",IF(TODAY()&gt;$Y994,"OVERDUE",IF($Y994&lt;=WORKDAY(TODAY(),1,Holidays),"DUE TOMORROW",IF($W994=4,"ESCALATED TO LOCAL OFFICE",IF($W994=5,"ESCALATED TO CBE",IF($X994=TODAY(),"EMAIL SENT","MONITORING"))))))))))</f>
        <v/>
      </c>
      <c r="U994" s="17">
        <f>IF($T994="",IF(AND(COUNTA($A994:$K994)&gt;0,$L994=""),"Awaiting Collection Email time stamp.",""),IF(OR($T994="PAID",$T994="CLOSED"),IF($T994="PAID","Account paid. Action completed.","Account closed. No further action required."),CHOOSE($W994,"Collection Email","1st Email Follow-up","2nd Email Follow-up","Escalation to Local Office","Escalation to CBE","Escalation to Roxanne")&amp;" sent "&amp;TEXT($X994,"dd-mmm")&amp;". "&amp;IF($W994=6,"Final escalation completed.",IF($T994="OVERDUE","Next: "&amp;$Z994&amp;" was due "&amp;TEXT($Y994,"dd-mmm")&amp;" - "&amp;(NETWORKDAYS($Y994,TODAY(),Holidays)-1)&amp;" business day(s) late. Send now.",IF($T994="DUE TOMORROW","Next: "&amp;$Z994&amp;IF($Y994&lt;=TODAY()," is due TODAY ("," is due next business day (")&amp;TEXT($Y994,"dd-mmm")&amp;").","Next: "&amp;$Z994&amp;" due "&amp;TEXT($Y994,"dd-mmm")&amp;" ("&amp;(NETWORKDAYS(TODAY(),$Y994,Holidays)-1)&amp;" business day(s) left).")))))</f>
        <v/>
      </c>
      <c r="V994" s="17">
        <f>IF($W994="","",CHOOSE($W994,"Collection Email","1st Follow-up","2nd Follow-up","Local Office","CBE","Roxanne")&amp;IF($W994=6," - Final"," - Day "&amp;MAX(0,NETWORKDAYS($X994,TODAY(),Holidays)-1)&amp;" of "&amp;CHOOSE($W994,3,3,2,2,3))&amp;" | Total Day "&amp;MAX(0,NETWORKDAYS($L994,TODAY(),Holidays)-1))</f>
        <v/>
      </c>
      <c r="W994" s="17">
        <f>IF($L994="","",COUNT($L994:$Q994))</f>
        <v/>
      </c>
      <c r="X994" s="18">
        <f>IF($W994="","",INT(INDEX($L994:$Q994,$W994)))</f>
        <v/>
      </c>
      <c r="Y994" s="18">
        <f>IF(OR($W994="",$W994=6),"",WORKDAY($X994,CHOOSE($W994,3,3,2,2,3),Holidays))</f>
        <v/>
      </c>
      <c r="Z994" s="17">
        <f>IF(OR($W994="",$W994=6),"",CHOOSE($W994,"1st Email Follow-up","2nd Email Follow-up","Escalate Local Office","Escalate to CBE","Escalate to Roxanne"))</f>
        <v/>
      </c>
    </row>
    <row r="995" spans="18:26">
      <c r="R995" s="15"/>
      <c r="S995" s="16"/>
      <c r="T995" s="17">
        <f>IF(AND(COUNTA($A995:$K995)=0,$L995=""),"",IF($S995="Paid","PAID",IF($S995="Closed","CLOSED",IF($W995="","",IF($W995=6,"ESCALATED TO ROXANNE",IF(TODAY()&gt;$Y995,"OVERDUE",IF($Y995&lt;=WORKDAY(TODAY(),1,Holidays),"DUE TOMORROW",IF($W995=4,"ESCALATED TO LOCAL OFFICE",IF($W995=5,"ESCALATED TO CBE",IF($X995=TODAY(),"EMAIL SENT","MONITORING"))))))))))</f>
        <v/>
      </c>
      <c r="U995" s="17">
        <f>IF($T995="",IF(AND(COUNTA($A995:$K995)&gt;0,$L995=""),"Awaiting Collection Email time stamp.",""),IF(OR($T995="PAID",$T995="CLOSED"),IF($T995="PAID","Account paid. Action completed.","Account closed. No further action required."),CHOOSE($W995,"Collection Email","1st Email Follow-up","2nd Email Follow-up","Escalation to Local Office","Escalation to CBE","Escalation to Roxanne")&amp;" sent "&amp;TEXT($X995,"dd-mmm")&amp;". "&amp;IF($W995=6,"Final escalation completed.",IF($T995="OVERDUE","Next: "&amp;$Z995&amp;" was due "&amp;TEXT($Y995,"dd-mmm")&amp;" - "&amp;(NETWORKDAYS($Y995,TODAY(),Holidays)-1)&amp;" business day(s) late. Send now.",IF($T995="DUE TOMORROW","Next: "&amp;$Z995&amp;IF($Y995&lt;=TODAY()," is due TODAY ("," is due next business day (")&amp;TEXT($Y995,"dd-mmm")&amp;").","Next: "&amp;$Z995&amp;" due "&amp;TEXT($Y995,"dd-mmm")&amp;" ("&amp;(NETWORKDAYS(TODAY(),$Y995,Holidays)-1)&amp;" business day(s) left).")))))</f>
        <v/>
      </c>
      <c r="V995" s="17">
        <f>IF($W995="","",CHOOSE($W995,"Collection Email","1st Follow-up","2nd Follow-up","Local Office","CBE","Roxanne")&amp;IF($W995=6," - Final"," - Day "&amp;MAX(0,NETWORKDAYS($X995,TODAY(),Holidays)-1)&amp;" of "&amp;CHOOSE($W995,3,3,2,2,3))&amp;" | Total Day "&amp;MAX(0,NETWORKDAYS($L995,TODAY(),Holidays)-1))</f>
        <v/>
      </c>
      <c r="W995" s="17">
        <f>IF($L995="","",COUNT($L995:$Q995))</f>
        <v/>
      </c>
      <c r="X995" s="18">
        <f>IF($W995="","",INT(INDEX($L995:$Q995,$W995)))</f>
        <v/>
      </c>
      <c r="Y995" s="18">
        <f>IF(OR($W995="",$W995=6),"",WORKDAY($X995,CHOOSE($W995,3,3,2,2,3),Holidays))</f>
        <v/>
      </c>
      <c r="Z995" s="17">
        <f>IF(OR($W995="",$W995=6),"",CHOOSE($W995,"1st Email Follow-up","2nd Email Follow-up","Escalate Local Office","Escalate to CBE","Escalate to Roxanne"))</f>
        <v/>
      </c>
    </row>
    <row r="996" spans="18:26">
      <c r="R996" s="15"/>
      <c r="S996" s="16"/>
      <c r="T996" s="17">
        <f>IF(AND(COUNTA($A996:$K996)=0,$L996=""),"",IF($S996="Paid","PAID",IF($S996="Closed","CLOSED",IF($W996="","",IF($W996=6,"ESCALATED TO ROXANNE",IF(TODAY()&gt;$Y996,"OVERDUE",IF($Y996&lt;=WORKDAY(TODAY(),1,Holidays),"DUE TOMORROW",IF($W996=4,"ESCALATED TO LOCAL OFFICE",IF($W996=5,"ESCALATED TO CBE",IF($X996=TODAY(),"EMAIL SENT","MONITORING"))))))))))</f>
        <v/>
      </c>
      <c r="U996" s="17">
        <f>IF($T996="",IF(AND(COUNTA($A996:$K996)&gt;0,$L996=""),"Awaiting Collection Email time stamp.",""),IF(OR($T996="PAID",$T996="CLOSED"),IF($T996="PAID","Account paid. Action completed.","Account closed. No further action required."),CHOOSE($W996,"Collection Email","1st Email Follow-up","2nd Email Follow-up","Escalation to Local Office","Escalation to CBE","Escalation to Roxanne")&amp;" sent "&amp;TEXT($X996,"dd-mmm")&amp;". "&amp;IF($W996=6,"Final escalation completed.",IF($T996="OVERDUE","Next: "&amp;$Z996&amp;" was due "&amp;TEXT($Y996,"dd-mmm")&amp;" - "&amp;(NETWORKDAYS($Y996,TODAY(),Holidays)-1)&amp;" business day(s) late. Send now.",IF($T996="DUE TOMORROW","Next: "&amp;$Z996&amp;IF($Y996&lt;=TODAY()," is due TODAY ("," is due next business day (")&amp;TEXT($Y996,"dd-mmm")&amp;").","Next: "&amp;$Z996&amp;" due "&amp;TEXT($Y996,"dd-mmm")&amp;" ("&amp;(NETWORKDAYS(TODAY(),$Y996,Holidays)-1)&amp;" business day(s) left).")))))</f>
        <v/>
      </c>
      <c r="V996" s="17">
        <f>IF($W996="","",CHOOSE($W996,"Collection Email","1st Follow-up","2nd Follow-up","Local Office","CBE","Roxanne")&amp;IF($W996=6," - Final"," - Day "&amp;MAX(0,NETWORKDAYS($X996,TODAY(),Holidays)-1)&amp;" of "&amp;CHOOSE($W996,3,3,2,2,3))&amp;" | Total Day "&amp;MAX(0,NETWORKDAYS($L996,TODAY(),Holidays)-1))</f>
        <v/>
      </c>
      <c r="W996" s="17">
        <f>IF($L996="","",COUNT($L996:$Q996))</f>
        <v/>
      </c>
      <c r="X996" s="18">
        <f>IF($W996="","",INT(INDEX($L996:$Q996,$W996)))</f>
        <v/>
      </c>
      <c r="Y996" s="18">
        <f>IF(OR($W996="",$W996=6),"",WORKDAY($X996,CHOOSE($W996,3,3,2,2,3),Holidays))</f>
        <v/>
      </c>
      <c r="Z996" s="17">
        <f>IF(OR($W996="",$W996=6),"",CHOOSE($W996,"1st Email Follow-up","2nd Email Follow-up","Escalate Local Office","Escalate to CBE","Escalate to Roxanne"))</f>
        <v/>
      </c>
    </row>
    <row r="997" spans="18:26">
      <c r="R997" s="15"/>
      <c r="S997" s="16"/>
      <c r="T997" s="17">
        <f>IF(AND(COUNTA($A997:$K997)=0,$L997=""),"",IF($S997="Paid","PAID",IF($S997="Closed","CLOSED",IF($W997="","",IF($W997=6,"ESCALATED TO ROXANNE",IF(TODAY()&gt;$Y997,"OVERDUE",IF($Y997&lt;=WORKDAY(TODAY(),1,Holidays),"DUE TOMORROW",IF($W997=4,"ESCALATED TO LOCAL OFFICE",IF($W997=5,"ESCALATED TO CBE",IF($X997=TODAY(),"EMAIL SENT","MONITORING"))))))))))</f>
        <v/>
      </c>
      <c r="U997" s="17">
        <f>IF($T997="",IF(AND(COUNTA($A997:$K997)&gt;0,$L997=""),"Awaiting Collection Email time stamp.",""),IF(OR($T997="PAID",$T997="CLOSED"),IF($T997="PAID","Account paid. Action completed.","Account closed. No further action required."),CHOOSE($W997,"Collection Email","1st Email Follow-up","2nd Email Follow-up","Escalation to Local Office","Escalation to CBE","Escalation to Roxanne")&amp;" sent "&amp;TEXT($X997,"dd-mmm")&amp;". "&amp;IF($W997=6,"Final escalation completed.",IF($T997="OVERDUE","Next: "&amp;$Z997&amp;" was due "&amp;TEXT($Y997,"dd-mmm")&amp;" - "&amp;(NETWORKDAYS($Y997,TODAY(),Holidays)-1)&amp;" business day(s) late. Send now.",IF($T997="DUE TOMORROW","Next: "&amp;$Z997&amp;IF($Y997&lt;=TODAY()," is due TODAY ("," is due next business day (")&amp;TEXT($Y997,"dd-mmm")&amp;").","Next: "&amp;$Z997&amp;" due "&amp;TEXT($Y997,"dd-mmm")&amp;" ("&amp;(NETWORKDAYS(TODAY(),$Y997,Holidays)-1)&amp;" business day(s) left).")))))</f>
        <v/>
      </c>
      <c r="V997" s="17">
        <f>IF($W997="","",CHOOSE($W997,"Collection Email","1st Follow-up","2nd Follow-up","Local Office","CBE","Roxanne")&amp;IF($W997=6," - Final"," - Day "&amp;MAX(0,NETWORKDAYS($X997,TODAY(),Holidays)-1)&amp;" of "&amp;CHOOSE($W997,3,3,2,2,3))&amp;" | Total Day "&amp;MAX(0,NETWORKDAYS($L997,TODAY(),Holidays)-1))</f>
        <v/>
      </c>
      <c r="W997" s="17">
        <f>IF($L997="","",COUNT($L997:$Q997))</f>
        <v/>
      </c>
      <c r="X997" s="18">
        <f>IF($W997="","",INT(INDEX($L997:$Q997,$W997)))</f>
        <v/>
      </c>
      <c r="Y997" s="18">
        <f>IF(OR($W997="",$W997=6),"",WORKDAY($X997,CHOOSE($W997,3,3,2,2,3),Holidays))</f>
        <v/>
      </c>
      <c r="Z997" s="17">
        <f>IF(OR($W997="",$W997=6),"",CHOOSE($W997,"1st Email Follow-up","2nd Email Follow-up","Escalate Local Office","Escalate to CBE","Escalate to Roxanne"))</f>
        <v/>
      </c>
    </row>
    <row r="998" spans="18:26">
      <c r="R998" s="15"/>
      <c r="S998" s="16"/>
      <c r="T998" s="17">
        <f>IF(AND(COUNTA($A998:$K998)=0,$L998=""),"",IF($S998="Paid","PAID",IF($S998="Closed","CLOSED",IF($W998="","",IF($W998=6,"ESCALATED TO ROXANNE",IF(TODAY()&gt;$Y998,"OVERDUE",IF($Y998&lt;=WORKDAY(TODAY(),1,Holidays),"DUE TOMORROW",IF($W998=4,"ESCALATED TO LOCAL OFFICE",IF($W998=5,"ESCALATED TO CBE",IF($X998=TODAY(),"EMAIL SENT","MONITORING"))))))))))</f>
        <v/>
      </c>
      <c r="U998" s="17">
        <f>IF($T998="",IF(AND(COUNTA($A998:$K998)&gt;0,$L998=""),"Awaiting Collection Email time stamp.",""),IF(OR($T998="PAID",$T998="CLOSED"),IF($T998="PAID","Account paid. Action completed.","Account closed. No further action required."),CHOOSE($W998,"Collection Email","1st Email Follow-up","2nd Email Follow-up","Escalation to Local Office","Escalation to CBE","Escalation to Roxanne")&amp;" sent "&amp;TEXT($X998,"dd-mmm")&amp;". "&amp;IF($W998=6,"Final escalation completed.",IF($T998="OVERDUE","Next: "&amp;$Z998&amp;" was due "&amp;TEXT($Y998,"dd-mmm")&amp;" - "&amp;(NETWORKDAYS($Y998,TODAY(),Holidays)-1)&amp;" business day(s) late. Send now.",IF($T998="DUE TOMORROW","Next: "&amp;$Z998&amp;IF($Y998&lt;=TODAY()," is due TODAY ("," is due next business day (")&amp;TEXT($Y998,"dd-mmm")&amp;").","Next: "&amp;$Z998&amp;" due "&amp;TEXT($Y998,"dd-mmm")&amp;" ("&amp;(NETWORKDAYS(TODAY(),$Y998,Holidays)-1)&amp;" business day(s) left).")))))</f>
        <v/>
      </c>
      <c r="V998" s="17">
        <f>IF($W998="","",CHOOSE($W998,"Collection Email","1st Follow-up","2nd Follow-up","Local Office","CBE","Roxanne")&amp;IF($W998=6," - Final"," - Day "&amp;MAX(0,NETWORKDAYS($X998,TODAY(),Holidays)-1)&amp;" of "&amp;CHOOSE($W998,3,3,2,2,3))&amp;" | Total Day "&amp;MAX(0,NETWORKDAYS($L998,TODAY(),Holidays)-1))</f>
        <v/>
      </c>
      <c r="W998" s="17">
        <f>IF($L998="","",COUNT($L998:$Q998))</f>
        <v/>
      </c>
      <c r="X998" s="18">
        <f>IF($W998="","",INT(INDEX($L998:$Q998,$W998)))</f>
        <v/>
      </c>
      <c r="Y998" s="18">
        <f>IF(OR($W998="",$W998=6),"",WORKDAY($X998,CHOOSE($W998,3,3,2,2,3),Holidays))</f>
        <v/>
      </c>
      <c r="Z998" s="17">
        <f>IF(OR($W998="",$W998=6),"",CHOOSE($W998,"1st Email Follow-up","2nd Email Follow-up","Escalate Local Office","Escalate to CBE","Escalate to Roxanne"))</f>
        <v/>
      </c>
    </row>
    <row r="999" spans="18:26">
      <c r="R999" s="15"/>
      <c r="S999" s="16"/>
      <c r="T999" s="17">
        <f>IF(AND(COUNTA($A999:$K999)=0,$L999=""),"",IF($S999="Paid","PAID",IF($S999="Closed","CLOSED",IF($W999="","",IF($W999=6,"ESCALATED TO ROXANNE",IF(TODAY()&gt;$Y999,"OVERDUE",IF($Y999&lt;=WORKDAY(TODAY(),1,Holidays),"DUE TOMORROW",IF($W999=4,"ESCALATED TO LOCAL OFFICE",IF($W999=5,"ESCALATED TO CBE",IF($X999=TODAY(),"EMAIL SENT","MONITORING"))))))))))</f>
        <v/>
      </c>
      <c r="U999" s="17">
        <f>IF($T999="",IF(AND(COUNTA($A999:$K999)&gt;0,$L999=""),"Awaiting Collection Email time stamp.",""),IF(OR($T999="PAID",$T999="CLOSED"),IF($T999="PAID","Account paid. Action completed.","Account closed. No further action required."),CHOOSE($W999,"Collection Email","1st Email Follow-up","2nd Email Follow-up","Escalation to Local Office","Escalation to CBE","Escalation to Roxanne")&amp;" sent "&amp;TEXT($X999,"dd-mmm")&amp;". "&amp;IF($W999=6,"Final escalation completed.",IF($T999="OVERDUE","Next: "&amp;$Z999&amp;" was due "&amp;TEXT($Y999,"dd-mmm")&amp;" - "&amp;(NETWORKDAYS($Y999,TODAY(),Holidays)-1)&amp;" business day(s) late. Send now.",IF($T999="DUE TOMORROW","Next: "&amp;$Z999&amp;IF($Y999&lt;=TODAY()," is due TODAY ("," is due next business day (")&amp;TEXT($Y999,"dd-mmm")&amp;").","Next: "&amp;$Z999&amp;" due "&amp;TEXT($Y999,"dd-mmm")&amp;" ("&amp;(NETWORKDAYS(TODAY(),$Y999,Holidays)-1)&amp;" business day(s) left).")))))</f>
        <v/>
      </c>
      <c r="V999" s="17">
        <f>IF($W999="","",CHOOSE($W999,"Collection Email","1st Follow-up","2nd Follow-up","Local Office","CBE","Roxanne")&amp;IF($W999=6," - Final"," - Day "&amp;MAX(0,NETWORKDAYS($X999,TODAY(),Holidays)-1)&amp;" of "&amp;CHOOSE($W999,3,3,2,2,3))&amp;" | Total Day "&amp;MAX(0,NETWORKDAYS($L999,TODAY(),Holidays)-1))</f>
        <v/>
      </c>
      <c r="W999" s="17">
        <f>IF($L999="","",COUNT($L999:$Q999))</f>
        <v/>
      </c>
      <c r="X999" s="18">
        <f>IF($W999="","",INT(INDEX($L999:$Q999,$W999)))</f>
        <v/>
      </c>
      <c r="Y999" s="18">
        <f>IF(OR($W999="",$W999=6),"",WORKDAY($X999,CHOOSE($W999,3,3,2,2,3),Holidays))</f>
        <v/>
      </c>
      <c r="Z999" s="17">
        <f>IF(OR($W999="",$W999=6),"",CHOOSE($W999,"1st Email Follow-up","2nd Email Follow-up","Escalate Local Office","Escalate to CBE","Escalate to Roxanne"))</f>
        <v/>
      </c>
    </row>
    <row r="1000" spans="18:26">
      <c r="R1000" s="15"/>
      <c r="S1000" s="16"/>
      <c r="T1000" s="17">
        <f>IF(AND(COUNTA($A1000:$K1000)=0,$L1000=""),"",IF($S1000="Paid","PAID",IF($S1000="Closed","CLOSED",IF($W1000="","",IF($W1000=6,"ESCALATED TO ROXANNE",IF(TODAY()&gt;$Y1000,"OVERDUE",IF($Y1000&lt;=WORKDAY(TODAY(),1,Holidays),"DUE TOMORROW",IF($W1000=4,"ESCALATED TO LOCAL OFFICE",IF($W1000=5,"ESCALATED TO CBE",IF($X1000=TODAY(),"EMAIL SENT","MONITORING"))))))))))</f>
        <v/>
      </c>
      <c r="U1000" s="17">
        <f>IF($T1000="",IF(AND(COUNTA($A1000:$K1000)&gt;0,$L1000=""),"Awaiting Collection Email time stamp.",""),IF(OR($T1000="PAID",$T1000="CLOSED"),IF($T1000="PAID","Account paid. Action completed.","Account closed. No further action required."),CHOOSE($W1000,"Collection Email","1st Email Follow-up","2nd Email Follow-up","Escalation to Local Office","Escalation to CBE","Escalation to Roxanne")&amp;" sent "&amp;TEXT($X1000,"dd-mmm")&amp;". "&amp;IF($W1000=6,"Final escalation completed.",IF($T1000="OVERDUE","Next: "&amp;$Z1000&amp;" was due "&amp;TEXT($Y1000,"dd-mmm")&amp;" - "&amp;(NETWORKDAYS($Y1000,TODAY(),Holidays)-1)&amp;" business day(s) late. Send now.",IF($T1000="DUE TOMORROW","Next: "&amp;$Z1000&amp;IF($Y1000&lt;=TODAY()," is due TODAY ("," is due next business day (")&amp;TEXT($Y1000,"dd-mmm")&amp;").","Next: "&amp;$Z1000&amp;" due "&amp;TEXT($Y1000,"dd-mmm")&amp;" ("&amp;(NETWORKDAYS(TODAY(),$Y1000,Holidays)-1)&amp;" business day(s) left).")))))</f>
        <v/>
      </c>
      <c r="V1000" s="17">
        <f>IF($W1000="","",CHOOSE($W1000,"Collection Email","1st Follow-up","2nd Follow-up","Local Office","CBE","Roxanne")&amp;IF($W1000=6," - Final"," - Day "&amp;MAX(0,NETWORKDAYS($X1000,TODAY(),Holidays)-1)&amp;" of "&amp;CHOOSE($W1000,3,3,2,2,3))&amp;" | Total Day "&amp;MAX(0,NETWORKDAYS($L1000,TODAY(),Holidays)-1))</f>
        <v/>
      </c>
      <c r="W1000" s="17">
        <f>IF($L1000="","",COUNT($L1000:$Q1000))</f>
        <v/>
      </c>
      <c r="X1000" s="18">
        <f>IF($W1000="","",INT(INDEX($L1000:$Q1000,$W1000)))</f>
        <v/>
      </c>
      <c r="Y1000" s="18">
        <f>IF(OR($W1000="",$W1000=6),"",WORKDAY($X1000,CHOOSE($W1000,3,3,2,2,3),Holidays))</f>
        <v/>
      </c>
      <c r="Z1000" s="17">
        <f>IF(OR($W1000="",$W1000=6),"",CHOOSE($W1000,"1st Email Follow-up","2nd Email Follow-up","Escalate Local Office","Escalate to CBE","Escalate to Roxanne"))</f>
        <v/>
      </c>
    </row>
    <row r="1001" spans="18:26">
      <c r="R1001" s="15"/>
      <c r="S1001" s="16"/>
      <c r="T1001" s="17">
        <f>IF(AND(COUNTA($A1001:$K1001)=0,$L1001=""),"",IF($S1001="Paid","PAID",IF($S1001="Closed","CLOSED",IF($W1001="","",IF($W1001=6,"ESCALATED TO ROXANNE",IF(TODAY()&gt;$Y1001,"OVERDUE",IF($Y1001&lt;=WORKDAY(TODAY(),1,Holidays),"DUE TOMORROW",IF($W1001=4,"ESCALATED TO LOCAL OFFICE",IF($W1001=5,"ESCALATED TO CBE",IF($X1001=TODAY(),"EMAIL SENT","MONITORING"))))))))))</f>
        <v/>
      </c>
      <c r="U1001" s="17">
        <f>IF($T1001="",IF(AND(COUNTA($A1001:$K1001)&gt;0,$L1001=""),"Awaiting Collection Email time stamp.",""),IF(OR($T1001="PAID",$T1001="CLOSED"),IF($T1001="PAID","Account paid. Action completed.","Account closed. No further action required."),CHOOSE($W1001,"Collection Email","1st Email Follow-up","2nd Email Follow-up","Escalation to Local Office","Escalation to CBE","Escalation to Roxanne")&amp;" sent "&amp;TEXT($X1001,"dd-mmm")&amp;". "&amp;IF($W1001=6,"Final escalation completed.",IF($T1001="OVERDUE","Next: "&amp;$Z1001&amp;" was due "&amp;TEXT($Y1001,"dd-mmm")&amp;" - "&amp;(NETWORKDAYS($Y1001,TODAY(),Holidays)-1)&amp;" business day(s) late. Send now.",IF($T1001="DUE TOMORROW","Next: "&amp;$Z1001&amp;IF($Y1001&lt;=TODAY()," is due TODAY ("," is due next business day (")&amp;TEXT($Y1001,"dd-mmm")&amp;").","Next: "&amp;$Z1001&amp;" due "&amp;TEXT($Y1001,"dd-mmm")&amp;" ("&amp;(NETWORKDAYS(TODAY(),$Y1001,Holidays)-1)&amp;" business day(s) left).")))))</f>
        <v/>
      </c>
      <c r="V1001" s="17">
        <f>IF($W1001="","",CHOOSE($W1001,"Collection Email","1st Follow-up","2nd Follow-up","Local Office","CBE","Roxanne")&amp;IF($W1001=6," - Final"," - Day "&amp;MAX(0,NETWORKDAYS($X1001,TODAY(),Holidays)-1)&amp;" of "&amp;CHOOSE($W1001,3,3,2,2,3))&amp;" | Total Day "&amp;MAX(0,NETWORKDAYS($L1001,TODAY(),Holidays)-1))</f>
        <v/>
      </c>
      <c r="W1001" s="17">
        <f>IF($L1001="","",COUNT($L1001:$Q1001))</f>
        <v/>
      </c>
      <c r="X1001" s="18">
        <f>IF($W1001="","",INT(INDEX($L1001:$Q1001,$W1001)))</f>
        <v/>
      </c>
      <c r="Y1001" s="18">
        <f>IF(OR($W1001="",$W1001=6),"",WORKDAY($X1001,CHOOSE($W1001,3,3,2,2,3),Holidays))</f>
        <v/>
      </c>
      <c r="Z1001" s="17">
        <f>IF(OR($W1001="",$W1001=6),"",CHOOSE($W1001,"1st Email Follow-up","2nd Email Follow-up","Escalate Local Office","Escalate to CBE","Escalate to Roxanne"))</f>
        <v/>
      </c>
    </row>
    <row r="1002" spans="18:26">
      <c r="R1002" s="15"/>
      <c r="S1002" s="16"/>
      <c r="T1002" s="17">
        <f>IF(AND(COUNTA($A1002:$K1002)=0,$L1002=""),"",IF($S1002="Paid","PAID",IF($S1002="Closed","CLOSED",IF($W1002="","",IF($W1002=6,"ESCALATED TO ROXANNE",IF(TODAY()&gt;$Y1002,"OVERDUE",IF($Y1002&lt;=WORKDAY(TODAY(),1,Holidays),"DUE TOMORROW",IF($W1002=4,"ESCALATED TO LOCAL OFFICE",IF($W1002=5,"ESCALATED TO CBE",IF($X1002=TODAY(),"EMAIL SENT","MONITORING"))))))))))</f>
        <v/>
      </c>
      <c r="U1002" s="17">
        <f>IF($T1002="",IF(AND(COUNTA($A1002:$K1002)&gt;0,$L1002=""),"Awaiting Collection Email time stamp.",""),IF(OR($T1002="PAID",$T1002="CLOSED"),IF($T1002="PAID","Account paid. Action completed.","Account closed. No further action required."),CHOOSE($W1002,"Collection Email","1st Email Follow-up","2nd Email Follow-up","Escalation to Local Office","Escalation to CBE","Escalation to Roxanne")&amp;" sent "&amp;TEXT($X1002,"dd-mmm")&amp;". "&amp;IF($W1002=6,"Final escalation completed.",IF($T1002="OVERDUE","Next: "&amp;$Z1002&amp;" was due "&amp;TEXT($Y1002,"dd-mmm")&amp;" - "&amp;(NETWORKDAYS($Y1002,TODAY(),Holidays)-1)&amp;" business day(s) late. Send now.",IF($T1002="DUE TOMORROW","Next: "&amp;$Z1002&amp;IF($Y1002&lt;=TODAY()," is due TODAY ("," is due next business day (")&amp;TEXT($Y1002,"dd-mmm")&amp;").","Next: "&amp;$Z1002&amp;" due "&amp;TEXT($Y1002,"dd-mmm")&amp;" ("&amp;(NETWORKDAYS(TODAY(),$Y1002,Holidays)-1)&amp;" business day(s) left).")))))</f>
        <v/>
      </c>
      <c r="V1002" s="17">
        <f>IF($W1002="","",CHOOSE($W1002,"Collection Email","1st Follow-up","2nd Follow-up","Local Office","CBE","Roxanne")&amp;IF($W1002=6," - Final"," - Day "&amp;MAX(0,NETWORKDAYS($X1002,TODAY(),Holidays)-1)&amp;" of "&amp;CHOOSE($W1002,3,3,2,2,3))&amp;" | Total Day "&amp;MAX(0,NETWORKDAYS($L1002,TODAY(),Holidays)-1))</f>
        <v/>
      </c>
      <c r="W1002" s="17">
        <f>IF($L1002="","",COUNT($L1002:$Q1002))</f>
        <v/>
      </c>
      <c r="X1002" s="18">
        <f>IF($W1002="","",INT(INDEX($L1002:$Q1002,$W1002)))</f>
        <v/>
      </c>
      <c r="Y1002" s="18">
        <f>IF(OR($W1002="",$W1002=6),"",WORKDAY($X1002,CHOOSE($W1002,3,3,2,2,3),Holidays))</f>
        <v/>
      </c>
      <c r="Z1002" s="17">
        <f>IF(OR($W1002="",$W1002=6),"",CHOOSE($W1002,"1st Email Follow-up","2nd Email Follow-up","Escalate Local Office","Escalate to CBE","Escalate to Roxanne"))</f>
        <v/>
      </c>
    </row>
    <row r="1003" spans="18:26">
      <c r="R1003" s="15"/>
      <c r="S1003" s="16"/>
      <c r="T1003" s="17">
        <f>IF(AND(COUNTA($A1003:$K1003)=0,$L1003=""),"",IF($S1003="Paid","PAID",IF($S1003="Closed","CLOSED",IF($W1003="","",IF($W1003=6,"ESCALATED TO ROXANNE",IF(TODAY()&gt;$Y1003,"OVERDUE",IF($Y1003&lt;=WORKDAY(TODAY(),1,Holidays),"DUE TOMORROW",IF($W1003=4,"ESCALATED TO LOCAL OFFICE",IF($W1003=5,"ESCALATED TO CBE",IF($X1003=TODAY(),"EMAIL SENT","MONITORING"))))))))))</f>
        <v/>
      </c>
      <c r="U1003" s="17">
        <f>IF($T1003="",IF(AND(COUNTA($A1003:$K1003)&gt;0,$L1003=""),"Awaiting Collection Email time stamp.",""),IF(OR($T1003="PAID",$T1003="CLOSED"),IF($T1003="PAID","Account paid. Action completed.","Account closed. No further action required."),CHOOSE($W1003,"Collection Email","1st Email Follow-up","2nd Email Follow-up","Escalation to Local Office","Escalation to CBE","Escalation to Roxanne")&amp;" sent "&amp;TEXT($X1003,"dd-mmm")&amp;". "&amp;IF($W1003=6,"Final escalation completed.",IF($T1003="OVERDUE","Next: "&amp;$Z1003&amp;" was due "&amp;TEXT($Y1003,"dd-mmm")&amp;" - "&amp;(NETWORKDAYS($Y1003,TODAY(),Holidays)-1)&amp;" business day(s) late. Send now.",IF($T1003="DUE TOMORROW","Next: "&amp;$Z1003&amp;IF($Y1003&lt;=TODAY()," is due TODAY ("," is due next business day (")&amp;TEXT($Y1003,"dd-mmm")&amp;").","Next: "&amp;$Z1003&amp;" due "&amp;TEXT($Y1003,"dd-mmm")&amp;" ("&amp;(NETWORKDAYS(TODAY(),$Y1003,Holidays)-1)&amp;" business day(s) left).")))))</f>
        <v/>
      </c>
      <c r="V1003" s="17">
        <f>IF($W1003="","",CHOOSE($W1003,"Collection Email","1st Follow-up","2nd Follow-up","Local Office","CBE","Roxanne")&amp;IF($W1003=6," - Final"," - Day "&amp;MAX(0,NETWORKDAYS($X1003,TODAY(),Holidays)-1)&amp;" of "&amp;CHOOSE($W1003,3,3,2,2,3))&amp;" | Total Day "&amp;MAX(0,NETWORKDAYS($L1003,TODAY(),Holidays)-1))</f>
        <v/>
      </c>
      <c r="W1003" s="17">
        <f>IF($L1003="","",COUNT($L1003:$Q1003))</f>
        <v/>
      </c>
      <c r="X1003" s="18">
        <f>IF($W1003="","",INT(INDEX($L1003:$Q1003,$W1003)))</f>
        <v/>
      </c>
      <c r="Y1003" s="18">
        <f>IF(OR($W1003="",$W1003=6),"",WORKDAY($X1003,CHOOSE($W1003,3,3,2,2,3),Holidays))</f>
        <v/>
      </c>
      <c r="Z1003" s="17">
        <f>IF(OR($W1003="",$W1003=6),"",CHOOSE($W1003,"1st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T4:U1003">
    <cfRule type="expression" dxfId="0" priority="1" stopIfTrue="1">
      <formula>$T4="PAID"</formula>
    </cfRule>
    <cfRule type="expression" dxfId="0" priority="2" stopIfTrue="1">
      <formula>$T4="CLOSED"</formula>
    </cfRule>
    <cfRule type="expression" dxfId="0" priority="3" stopIfTrue="1">
      <formula>$T4="EMAIL SENT"</formula>
    </cfRule>
    <cfRule type="expression" dxfId="1" priority="4" stopIfTrue="1">
      <formula>$T4="DUE TOMORROW"</formula>
    </cfRule>
    <cfRule type="expression" dxfId="2" priority="5" stopIfTrue="1">
      <formula>$T4="OVERDUE"</formula>
    </cfRule>
    <cfRule type="expression" dxfId="3" priority="6" stopIfTrue="1">
      <formula>$T4="ESCALATED TO LOCAL OFFICE"</formula>
    </cfRule>
    <cfRule type="expression" dxfId="3" priority="7" stopIfTrue="1">
      <formula>$T4="ESCALATED TO CBE"</formula>
    </cfRule>
    <cfRule type="expression" dxfId="4" priority="8" stopIfTrue="1">
      <formula>$T4="ESCALATED TO ROXANNE"</formula>
    </cfRule>
    <cfRule type="expression" dxfId="5" priority="9" stopIfTrue="1">
      <formula>$T4="MONITORING"</formula>
    </cfRule>
  </conditionalFormatting>
  <dataValidations count="1">
    <dataValidation type="list" allowBlank="1" showInputMessage="1" showErrorMessage="1" errorTitle="Resolution" error="Choose Paid or Closed from the list, or leave blank." sqref="S4:S1003">
      <formula1>"Paid,Closed"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1" customWidth="1"/>
    <col min="12" max="12" width="15.7109375" style="14" customWidth="1"/>
    <col min="13" max="14" width="16.7109375" style="14" customWidth="1"/>
    <col min="15" max="16" width="18.7109375" style="14" customWidth="1"/>
    <col min="17" max="17" width="20.7109375" style="14" customWidth="1"/>
    <col min="18" max="18" width="40.7109375" style="15" customWidth="1"/>
    <col min="19" max="19" width="14.7109375" style="16" customWidth="1"/>
    <col min="20" max="20" width="26.7109375" style="17" customWidth="1"/>
    <col min="21" max="21" width="60.7109375" style="17" customWidth="1"/>
    <col min="22" max="22" width="22.7109375" style="17" customWidth="1"/>
    <col min="23" max="23" width="8.7109375" style="17" hidden="1" customWidth="1"/>
    <col min="24" max="25" width="12.7109375" style="18" hidden="1" customWidth="1"/>
    <col min="26" max="26" width="22.7109375" style="17" hidden="1" customWidth="1"/>
  </cols>
  <sheetData>
    <row r="1" spans="1:26" ht="30" customHeight="1"/>
    <row r="2" spans="1:26">
      <c r="M2" s="19" t="s">
        <v>0</v>
      </c>
      <c r="N2" s="19" t="s">
        <v>0</v>
      </c>
      <c r="O2" s="19" t="s">
        <v>1</v>
      </c>
      <c r="P2" s="19" t="s">
        <v>1</v>
      </c>
      <c r="Q2" s="19" t="s">
        <v>0</v>
      </c>
    </row>
    <row r="3" spans="1:26" ht="32" customHeight="1">
      <c r="A3" s="20" t="s">
        <v>2</v>
      </c>
      <c r="B3" s="20" t="s">
        <v>3</v>
      </c>
      <c r="C3" s="20" t="s">
        <v>4</v>
      </c>
      <c r="D3" s="20" t="s">
        <v>5</v>
      </c>
      <c r="E3" s="20" t="s">
        <v>6</v>
      </c>
      <c r="F3" s="20" t="s">
        <v>7</v>
      </c>
      <c r="G3" s="20" t="s">
        <v>8</v>
      </c>
      <c r="H3" s="20" t="s">
        <v>9</v>
      </c>
      <c r="I3" s="20" t="s">
        <v>10</v>
      </c>
      <c r="J3" s="20" t="s">
        <v>11</v>
      </c>
      <c r="K3" s="20" t="s">
        <v>12</v>
      </c>
      <c r="L3" s="21" t="s">
        <v>13</v>
      </c>
      <c r="M3" s="21" t="s">
        <v>14</v>
      </c>
      <c r="N3" s="21" t="s">
        <v>15</v>
      </c>
      <c r="O3" s="21" t="s">
        <v>16</v>
      </c>
      <c r="P3" s="21" t="s">
        <v>17</v>
      </c>
      <c r="Q3" s="21" t="s">
        <v>18</v>
      </c>
      <c r="R3" s="22" t="s">
        <v>19</v>
      </c>
      <c r="S3" s="22" t="s">
        <v>20</v>
      </c>
      <c r="T3" s="20" t="s">
        <v>21</v>
      </c>
      <c r="U3" s="20" t="s">
        <v>22</v>
      </c>
      <c r="V3" s="20" t="s">
        <v>23</v>
      </c>
      <c r="W3" s="20" t="s">
        <v>24</v>
      </c>
      <c r="X3" s="20" t="s">
        <v>25</v>
      </c>
      <c r="Y3" s="20" t="s">
        <v>26</v>
      </c>
      <c r="Z3" s="20" t="s">
        <v>27</v>
      </c>
    </row>
    <row r="4" spans="1:26">
      <c r="R4" s="15"/>
      <c r="S4" s="16"/>
      <c r="T4" s="17">
        <f>IF(AND(COUNTA($A4:$K4)=0,$L4=""),"",IF($S4="Paid","PAID",IF($S4="Closed","CLOSED",IF($W4="","",IF($W4=6,"ESCALATED TO ROXANNE",IF(TODAY()&gt;$Y4,"OVERDUE",IF($Y4&lt;=WORKDAY(TODAY(),1,Holidays),"DUE TOMORROW",IF($W4=4,"ESCALATED TO LOCAL OFFICE",IF($W4=5,"ESCALATED TO CBE",IF($X4=TODAY(),"EMAIL SENT","MONITORING"))))))))))</f>
        <v/>
      </c>
      <c r="U4" s="17">
        <f>IF($T4="",IF(AND(COUNTA($A4:$K4)&gt;0,$L4=""),"Awaiting Collection Email time stamp.",""),IF(OR($T4="PAID",$T4="CLOSED"),IF($T4="PAID","Account paid. Action completed.","Account closed. No further action required."),CHOOSE($W4,"Collection Email","1st Email Follow-up","2nd Email Follow-up","Escalation to Local Office","Escalation to CBE","Escalation to Roxanne")&amp;" sent "&amp;TEXT($X4,"dd-mmm")&amp;". "&amp;IF($W4=6,"Final escalation completed.",IF($T4="OVERDUE","Next: "&amp;$Z4&amp;" was due "&amp;TEXT($Y4,"dd-mmm")&amp;" - "&amp;(NETWORKDAYS($Y4,TODAY(),Holidays)-1)&amp;" business day(s) late. Send now.",IF($T4="DUE TOMORROW","Next: "&amp;$Z4&amp;IF($Y4&lt;=TODAY()," is due TODAY ("," is due next business day (")&amp;TEXT($Y4,"dd-mmm")&amp;").","Next: "&amp;$Z4&amp;" due "&amp;TEXT($Y4,"dd-mmm")&amp;" ("&amp;(NETWORKDAYS(TODAY(),$Y4,Holidays)-1)&amp;" business day(s) left).")))))</f>
        <v/>
      </c>
      <c r="V4" s="17">
        <f>IF($W4="","",CHOOSE($W4,"Collection Email","1st Follow-up","2nd Follow-up","Local Office","CBE","Roxanne")&amp;IF($W4=6," - Final"," - Day "&amp;MAX(0,NETWORKDAYS($X4,TODAY(),Holidays)-1)&amp;" of "&amp;CHOOSE($W4,3,3,2,2,3))&amp;" | Total Day "&amp;MAX(0,NETWORKDAYS($L4,TODAY(),Holidays)-1))</f>
        <v/>
      </c>
      <c r="W4" s="17">
        <f>IF($L4="","",COUNT($L4:$Q4))</f>
        <v/>
      </c>
      <c r="X4" s="18">
        <f>IF($W4="","",INT(INDEX($L4:$Q4,$W4)))</f>
        <v/>
      </c>
      <c r="Y4" s="18">
        <f>IF(OR($W4="",$W4=6),"",WORKDAY($X4,CHOOSE($W4,3,3,2,2,3),Holidays))</f>
        <v/>
      </c>
      <c r="Z4" s="17">
        <f>IF(OR($W4="",$W4=6),"",CHOOSE($W4,"1st Email Follow-up","2nd Email Follow-up","Escalate Local Office","Escalate to CBE","Escalate to Roxanne"))</f>
        <v/>
      </c>
    </row>
    <row r="5" spans="1:26">
      <c r="R5" s="15"/>
      <c r="S5" s="16"/>
      <c r="T5" s="17">
        <f>IF(AND(COUNTA($A5:$K5)=0,$L5=""),"",IF($S5="Paid","PAID",IF($S5="Closed","CLOSED",IF($W5="","",IF($W5=6,"ESCALATED TO ROXANNE",IF(TODAY()&gt;$Y5,"OVERDUE",IF($Y5&lt;=WORKDAY(TODAY(),1,Holidays),"DUE TOMORROW",IF($W5=4,"ESCALATED TO LOCAL OFFICE",IF($W5=5,"ESCALATED TO CBE",IF($X5=TODAY(),"EMAIL SENT","MONITORING"))))))))))</f>
        <v/>
      </c>
      <c r="U5" s="17">
        <f>IF($T5="",IF(AND(COUNTA($A5:$K5)&gt;0,$L5=""),"Awaiting Collection Email time stamp.",""),IF(OR($T5="PAID",$T5="CLOSED"),IF($T5="PAID","Account paid. Action completed.","Account closed. No further action required."),CHOOSE($W5,"Collection Email","1st Email Follow-up","2nd Email Follow-up","Escalation to Local Office","Escalation to CBE","Escalation to Roxanne")&amp;" sent "&amp;TEXT($X5,"dd-mmm")&amp;". "&amp;IF($W5=6,"Final escalation completed.",IF($T5="OVERDUE","Next: "&amp;$Z5&amp;" was due "&amp;TEXT($Y5,"dd-mmm")&amp;" - "&amp;(NETWORKDAYS($Y5,TODAY(),Holidays)-1)&amp;" business day(s) late. Send now.",IF($T5="DUE TOMORROW","Next: "&amp;$Z5&amp;IF($Y5&lt;=TODAY()," is due TODAY ("," is due next business day (")&amp;TEXT($Y5,"dd-mmm")&amp;").","Next: "&amp;$Z5&amp;" due "&amp;TEXT($Y5,"dd-mmm")&amp;" ("&amp;(NETWORKDAYS(TODAY(),$Y5,Holidays)-1)&amp;" business day(s) left).")))))</f>
        <v/>
      </c>
      <c r="V5" s="17">
        <f>IF($W5="","",CHOOSE($W5,"Collection Email","1st Follow-up","2nd Follow-up","Local Office","CBE","Roxanne")&amp;IF($W5=6," - Final"," - Day "&amp;MAX(0,NETWORKDAYS($X5,TODAY(),Holidays)-1)&amp;" of "&amp;CHOOSE($W5,3,3,2,2,3))&amp;" | Total Day "&amp;MAX(0,NETWORKDAYS($L5,TODAY(),Holidays)-1))</f>
        <v/>
      </c>
      <c r="W5" s="17">
        <f>IF($L5="","",COUNT($L5:$Q5))</f>
        <v/>
      </c>
      <c r="X5" s="18">
        <f>IF($W5="","",INT(INDEX($L5:$Q5,$W5)))</f>
        <v/>
      </c>
      <c r="Y5" s="18">
        <f>IF(OR($W5="",$W5=6),"",WORKDAY($X5,CHOOSE($W5,3,3,2,2,3),Holidays))</f>
        <v/>
      </c>
      <c r="Z5" s="17">
        <f>IF(OR($W5="",$W5=6),"",CHOOSE($W5,"1st Email Follow-up","2nd Email Follow-up","Escalate Local Office","Escalate to CBE","Escalate to Roxanne"))</f>
        <v/>
      </c>
    </row>
    <row r="6" spans="1:26">
      <c r="R6" s="15"/>
      <c r="S6" s="16"/>
      <c r="T6" s="17">
        <f>IF(AND(COUNTA($A6:$K6)=0,$L6=""),"",IF($S6="Paid","PAID",IF($S6="Closed","CLOSED",IF($W6="","",IF($W6=6,"ESCALATED TO ROXANNE",IF(TODAY()&gt;$Y6,"OVERDUE",IF($Y6&lt;=WORKDAY(TODAY(),1,Holidays),"DUE TOMORROW",IF($W6=4,"ESCALATED TO LOCAL OFFICE",IF($W6=5,"ESCALATED TO CBE",IF($X6=TODAY(),"EMAIL SENT","MONITORING"))))))))))</f>
        <v/>
      </c>
      <c r="U6" s="17">
        <f>IF($T6="",IF(AND(COUNTA($A6:$K6)&gt;0,$L6=""),"Awaiting Collection Email time stamp.",""),IF(OR($T6="PAID",$T6="CLOSED"),IF($T6="PAID","Account paid. Action completed.","Account closed. No further action required."),CHOOSE($W6,"Collection Email","1st Email Follow-up","2nd Email Follow-up","Escalation to Local Office","Escalation to CBE","Escalation to Roxanne")&amp;" sent "&amp;TEXT($X6,"dd-mmm")&amp;". "&amp;IF($W6=6,"Final escalation completed.",IF($T6="OVERDUE","Next: "&amp;$Z6&amp;" was due "&amp;TEXT($Y6,"dd-mmm")&amp;" - "&amp;(NETWORKDAYS($Y6,TODAY(),Holidays)-1)&amp;" business day(s) late. Send now.",IF($T6="DUE TOMORROW","Next: "&amp;$Z6&amp;IF($Y6&lt;=TODAY()," is due TODAY ("," is due next business day (")&amp;TEXT($Y6,"dd-mmm")&amp;").","Next: "&amp;$Z6&amp;" due "&amp;TEXT($Y6,"dd-mmm")&amp;" ("&amp;(NETWORKDAYS(TODAY(),$Y6,Holidays)-1)&amp;" business day(s) left).")))))</f>
        <v/>
      </c>
      <c r="V6" s="17">
        <f>IF($W6="","",CHOOSE($W6,"Collection Email","1st Follow-up","2nd Follow-up","Local Office","CBE","Roxanne")&amp;IF($W6=6," - Final"," - Day "&amp;MAX(0,NETWORKDAYS($X6,TODAY(),Holidays)-1)&amp;" of "&amp;CHOOSE($W6,3,3,2,2,3))&amp;" | Total Day "&amp;MAX(0,NETWORKDAYS($L6,TODAY(),Holidays)-1))</f>
        <v/>
      </c>
      <c r="W6" s="17">
        <f>IF($L6="","",COUNT($L6:$Q6))</f>
        <v/>
      </c>
      <c r="X6" s="18">
        <f>IF($W6="","",INT(INDEX($L6:$Q6,$W6)))</f>
        <v/>
      </c>
      <c r="Y6" s="18">
        <f>IF(OR($W6="",$W6=6),"",WORKDAY($X6,CHOOSE($W6,3,3,2,2,3),Holidays))</f>
        <v/>
      </c>
      <c r="Z6" s="17">
        <f>IF(OR($W6="",$W6=6),"",CHOOSE($W6,"1st Email Follow-up","2nd Email Follow-up","Escalate Local Office","Escalate to CBE","Escalate to Roxanne"))</f>
        <v/>
      </c>
    </row>
    <row r="7" spans="1:26">
      <c r="R7" s="15"/>
      <c r="S7" s="16"/>
      <c r="T7" s="17">
        <f>IF(AND(COUNTA($A7:$K7)=0,$L7=""),"",IF($S7="Paid","PAID",IF($S7="Closed","CLOSED",IF($W7="","",IF($W7=6,"ESCALATED TO ROXANNE",IF(TODAY()&gt;$Y7,"OVERDUE",IF($Y7&lt;=WORKDAY(TODAY(),1,Holidays),"DUE TOMORROW",IF($W7=4,"ESCALATED TO LOCAL OFFICE",IF($W7=5,"ESCALATED TO CBE",IF($X7=TODAY(),"EMAIL SENT","MONITORING"))))))))))</f>
        <v/>
      </c>
      <c r="U7" s="17">
        <f>IF($T7="",IF(AND(COUNTA($A7:$K7)&gt;0,$L7=""),"Awaiting Collection Email time stamp.",""),IF(OR($T7="PAID",$T7="CLOSED"),IF($T7="PAID","Account paid. Action completed.","Account closed. No further action required."),CHOOSE($W7,"Collection Email","1st Email Follow-up","2nd Email Follow-up","Escalation to Local Office","Escalation to CBE","Escalation to Roxanne")&amp;" sent "&amp;TEXT($X7,"dd-mmm")&amp;". "&amp;IF($W7=6,"Final escalation completed.",IF($T7="OVERDUE","Next: "&amp;$Z7&amp;" was due "&amp;TEXT($Y7,"dd-mmm")&amp;" - "&amp;(NETWORKDAYS($Y7,TODAY(),Holidays)-1)&amp;" business day(s) late. Send now.",IF($T7="DUE TOMORROW","Next: "&amp;$Z7&amp;IF($Y7&lt;=TODAY()," is due TODAY ("," is due next business day (")&amp;TEXT($Y7,"dd-mmm")&amp;").","Next: "&amp;$Z7&amp;" due "&amp;TEXT($Y7,"dd-mmm")&amp;" ("&amp;(NETWORKDAYS(TODAY(),$Y7,Holidays)-1)&amp;" business day(s) left).")))))</f>
        <v/>
      </c>
      <c r="V7" s="17">
        <f>IF($W7="","",CHOOSE($W7,"Collection Email","1st Follow-up","2nd Follow-up","Local Office","CBE","Roxanne")&amp;IF($W7=6," - Final"," - Day "&amp;MAX(0,NETWORKDAYS($X7,TODAY(),Holidays)-1)&amp;" of "&amp;CHOOSE($W7,3,3,2,2,3))&amp;" | Total Day "&amp;MAX(0,NETWORKDAYS($L7,TODAY(),Holidays)-1))</f>
        <v/>
      </c>
      <c r="W7" s="17">
        <f>IF($L7="","",COUNT($L7:$Q7))</f>
        <v/>
      </c>
      <c r="X7" s="18">
        <f>IF($W7="","",INT(INDEX($L7:$Q7,$W7)))</f>
        <v/>
      </c>
      <c r="Y7" s="18">
        <f>IF(OR($W7="",$W7=6),"",WORKDAY($X7,CHOOSE($W7,3,3,2,2,3),Holidays))</f>
        <v/>
      </c>
      <c r="Z7" s="17">
        <f>IF(OR($W7="",$W7=6),"",CHOOSE($W7,"1st Email Follow-up","2nd Email Follow-up","Escalate Local Office","Escalate to CBE","Escalate to Roxanne"))</f>
        <v/>
      </c>
    </row>
    <row r="8" spans="1:26">
      <c r="R8" s="15"/>
      <c r="S8" s="16"/>
      <c r="T8" s="17">
        <f>IF(AND(COUNTA($A8:$K8)=0,$L8=""),"",IF($S8="Paid","PAID",IF($S8="Closed","CLOSED",IF($W8="","",IF($W8=6,"ESCALATED TO ROXANNE",IF(TODAY()&gt;$Y8,"OVERDUE",IF($Y8&lt;=WORKDAY(TODAY(),1,Holidays),"DUE TOMORROW",IF($W8=4,"ESCALATED TO LOCAL OFFICE",IF($W8=5,"ESCALATED TO CBE",IF($X8=TODAY(),"EMAIL SENT","MONITORING"))))))))))</f>
        <v/>
      </c>
      <c r="U8" s="17">
        <f>IF($T8="",IF(AND(COUNTA($A8:$K8)&gt;0,$L8=""),"Awaiting Collection Email time stamp.",""),IF(OR($T8="PAID",$T8="CLOSED"),IF($T8="PAID","Account paid. Action completed.","Account closed. No further action required."),CHOOSE($W8,"Collection Email","1st Email Follow-up","2nd Email Follow-up","Escalation to Local Office","Escalation to CBE","Escalation to Roxanne")&amp;" sent "&amp;TEXT($X8,"dd-mmm")&amp;". "&amp;IF($W8=6,"Final escalation completed.",IF($T8="OVERDUE","Next: "&amp;$Z8&amp;" was due "&amp;TEXT($Y8,"dd-mmm")&amp;" - "&amp;(NETWORKDAYS($Y8,TODAY(),Holidays)-1)&amp;" business day(s) late. Send now.",IF($T8="DUE TOMORROW","Next: "&amp;$Z8&amp;IF($Y8&lt;=TODAY()," is due TODAY ("," is due next business day (")&amp;TEXT($Y8,"dd-mmm")&amp;").","Next: "&amp;$Z8&amp;" due "&amp;TEXT($Y8,"dd-mmm")&amp;" ("&amp;(NETWORKDAYS(TODAY(),$Y8,Holidays)-1)&amp;" business day(s) left).")))))</f>
        <v/>
      </c>
      <c r="V8" s="17">
        <f>IF($W8="","",CHOOSE($W8,"Collection Email","1st Follow-up","2nd Follow-up","Local Office","CBE","Roxanne")&amp;IF($W8=6," - Final"," - Day "&amp;MAX(0,NETWORKDAYS($X8,TODAY(),Holidays)-1)&amp;" of "&amp;CHOOSE($W8,3,3,2,2,3))&amp;" | Total Day "&amp;MAX(0,NETWORKDAYS($L8,TODAY(),Holidays)-1))</f>
        <v/>
      </c>
      <c r="W8" s="17">
        <f>IF($L8="","",COUNT($L8:$Q8))</f>
        <v/>
      </c>
      <c r="X8" s="18">
        <f>IF($W8="","",INT(INDEX($L8:$Q8,$W8)))</f>
        <v/>
      </c>
      <c r="Y8" s="18">
        <f>IF(OR($W8="",$W8=6),"",WORKDAY($X8,CHOOSE($W8,3,3,2,2,3),Holidays))</f>
        <v/>
      </c>
      <c r="Z8" s="17">
        <f>IF(OR($W8="",$W8=6),"",CHOOSE($W8,"1st Email Follow-up","2nd Email Follow-up","Escalate Local Office","Escalate to CBE","Escalate to Roxanne"))</f>
        <v/>
      </c>
    </row>
    <row r="9" spans="1:26">
      <c r="R9" s="15"/>
      <c r="S9" s="16"/>
      <c r="T9" s="17">
        <f>IF(AND(COUNTA($A9:$K9)=0,$L9=""),"",IF($S9="Paid","PAID",IF($S9="Closed","CLOSED",IF($W9="","",IF($W9=6,"ESCALATED TO ROXANNE",IF(TODAY()&gt;$Y9,"OVERDUE",IF($Y9&lt;=WORKDAY(TODAY(),1,Holidays),"DUE TOMORROW",IF($W9=4,"ESCALATED TO LOCAL OFFICE",IF($W9=5,"ESCALATED TO CBE",IF($X9=TODAY(),"EMAIL SENT","MONITORING"))))))))))</f>
        <v/>
      </c>
      <c r="U9" s="17">
        <f>IF($T9="",IF(AND(COUNTA($A9:$K9)&gt;0,$L9=""),"Awaiting Collection Email time stamp.",""),IF(OR($T9="PAID",$T9="CLOSED"),IF($T9="PAID","Account paid. Action completed.","Account closed. No further action required."),CHOOSE($W9,"Collection Email","1st Email Follow-up","2nd Email Follow-up","Escalation to Local Office","Escalation to CBE","Escalation to Roxanne")&amp;" sent "&amp;TEXT($X9,"dd-mmm")&amp;". "&amp;IF($W9=6,"Final escalation completed.",IF($T9="OVERDUE","Next: "&amp;$Z9&amp;" was due "&amp;TEXT($Y9,"dd-mmm")&amp;" - "&amp;(NETWORKDAYS($Y9,TODAY(),Holidays)-1)&amp;" business day(s) late. Send now.",IF($T9="DUE TOMORROW","Next: "&amp;$Z9&amp;IF($Y9&lt;=TODAY()," is due TODAY ("," is due next business day (")&amp;TEXT($Y9,"dd-mmm")&amp;").","Next: "&amp;$Z9&amp;" due "&amp;TEXT($Y9,"dd-mmm")&amp;" ("&amp;(NETWORKDAYS(TODAY(),$Y9,Holidays)-1)&amp;" business day(s) left).")))))</f>
        <v/>
      </c>
      <c r="V9" s="17">
        <f>IF($W9="","",CHOOSE($W9,"Collection Email","1st Follow-up","2nd Follow-up","Local Office","CBE","Roxanne")&amp;IF($W9=6," - Final"," - Day "&amp;MAX(0,NETWORKDAYS($X9,TODAY(),Holidays)-1)&amp;" of "&amp;CHOOSE($W9,3,3,2,2,3))&amp;" | Total Day "&amp;MAX(0,NETWORKDAYS($L9,TODAY(),Holidays)-1))</f>
        <v/>
      </c>
      <c r="W9" s="17">
        <f>IF($L9="","",COUNT($L9:$Q9))</f>
        <v/>
      </c>
      <c r="X9" s="18">
        <f>IF($W9="","",INT(INDEX($L9:$Q9,$W9)))</f>
        <v/>
      </c>
      <c r="Y9" s="18">
        <f>IF(OR($W9="",$W9=6),"",WORKDAY($X9,CHOOSE($W9,3,3,2,2,3),Holidays))</f>
        <v/>
      </c>
      <c r="Z9" s="17">
        <f>IF(OR($W9="",$W9=6),"",CHOOSE($W9,"1st Email Follow-up","2nd Email Follow-up","Escalate Local Office","Escalate to CBE","Escalate to Roxanne"))</f>
        <v/>
      </c>
    </row>
    <row r="10" spans="1:26">
      <c r="R10" s="15"/>
      <c r="S10" s="16"/>
      <c r="T10" s="17">
        <f>IF(AND(COUNTA($A10:$K10)=0,$L10=""),"",IF($S10="Paid","PAID",IF($S10="Closed","CLOSED",IF($W10="","",IF($W10=6,"ESCALATED TO ROXANNE",IF(TODAY()&gt;$Y10,"OVERDUE",IF($Y10&lt;=WORKDAY(TODAY(),1,Holidays),"DUE TOMORROW",IF($W10=4,"ESCALATED TO LOCAL OFFICE",IF($W10=5,"ESCALATED TO CBE",IF($X10=TODAY(),"EMAIL SENT","MONITORING"))))))))))</f>
        <v/>
      </c>
      <c r="U10" s="17">
        <f>IF($T10="",IF(AND(COUNTA($A10:$K10)&gt;0,$L10=""),"Awaiting Collection Email time stamp.",""),IF(OR($T10="PAID",$T10="CLOSED"),IF($T10="PAID","Account paid. Action completed.","Account closed. No further action required."),CHOOSE($W10,"Collection Email","1st Email Follow-up","2nd Email Follow-up","Escalation to Local Office","Escalation to CBE","Escalation to Roxanne")&amp;" sent "&amp;TEXT($X10,"dd-mmm")&amp;". "&amp;IF($W10=6,"Final escalation completed.",IF($T10="OVERDUE","Next: "&amp;$Z10&amp;" was due "&amp;TEXT($Y10,"dd-mmm")&amp;" - "&amp;(NETWORKDAYS($Y10,TODAY(),Holidays)-1)&amp;" business day(s) late. Send now.",IF($T10="DUE TOMORROW","Next: "&amp;$Z10&amp;IF($Y10&lt;=TODAY()," is due TODAY ("," is due next business day (")&amp;TEXT($Y10,"dd-mmm")&amp;").","Next: "&amp;$Z10&amp;" due "&amp;TEXT($Y10,"dd-mmm")&amp;" ("&amp;(NETWORKDAYS(TODAY(),$Y10,Holidays)-1)&amp;" business day(s) left).")))))</f>
        <v/>
      </c>
      <c r="V10" s="17">
        <f>IF($W10="","",CHOOSE($W10,"Collection Email","1st Follow-up","2nd Follow-up","Local Office","CBE","Roxanne")&amp;IF($W10=6," - Final"," - Day "&amp;MAX(0,NETWORKDAYS($X10,TODAY(),Holidays)-1)&amp;" of "&amp;CHOOSE($W10,3,3,2,2,3))&amp;" | Total Day "&amp;MAX(0,NETWORKDAYS($L10,TODAY(),Holidays)-1))</f>
        <v/>
      </c>
      <c r="W10" s="17">
        <f>IF($L10="","",COUNT($L10:$Q10))</f>
        <v/>
      </c>
      <c r="X10" s="18">
        <f>IF($W10="","",INT(INDEX($L10:$Q10,$W10)))</f>
        <v/>
      </c>
      <c r="Y10" s="18">
        <f>IF(OR($W10="",$W10=6),"",WORKDAY($X10,CHOOSE($W10,3,3,2,2,3),Holidays))</f>
        <v/>
      </c>
      <c r="Z10" s="17">
        <f>IF(OR($W10="",$W10=6),"",CHOOSE($W10,"1st Email Follow-up","2nd Email Follow-up","Escalate Local Office","Escalate to CBE","Escalate to Roxanne"))</f>
        <v/>
      </c>
    </row>
    <row r="11" spans="1:26">
      <c r="R11" s="15"/>
      <c r="S11" s="16"/>
      <c r="T11" s="17">
        <f>IF(AND(COUNTA($A11:$K11)=0,$L11=""),"",IF($S11="Paid","PAID",IF($S11="Closed","CLOSED",IF($W11="","",IF($W11=6,"ESCALATED TO ROXANNE",IF(TODAY()&gt;$Y11,"OVERDUE",IF($Y11&lt;=WORKDAY(TODAY(),1,Holidays),"DUE TOMORROW",IF($W11=4,"ESCALATED TO LOCAL OFFICE",IF($W11=5,"ESCALATED TO CBE",IF($X11=TODAY(),"EMAIL SENT","MONITORING"))))))))))</f>
        <v/>
      </c>
      <c r="U11" s="17">
        <f>IF($T11="",IF(AND(COUNTA($A11:$K11)&gt;0,$L11=""),"Awaiting Collection Email time stamp.",""),IF(OR($T11="PAID",$T11="CLOSED"),IF($T11="PAID","Account paid. Action completed.","Account closed. No further action required."),CHOOSE($W11,"Collection Email","1st Email Follow-up","2nd Email Follow-up","Escalation to Local Office","Escalation to CBE","Escalation to Roxanne")&amp;" sent "&amp;TEXT($X11,"dd-mmm")&amp;". "&amp;IF($W11=6,"Final escalation completed.",IF($T11="OVERDUE","Next: "&amp;$Z11&amp;" was due "&amp;TEXT($Y11,"dd-mmm")&amp;" - "&amp;(NETWORKDAYS($Y11,TODAY(),Holidays)-1)&amp;" business day(s) late. Send now.",IF($T11="DUE TOMORROW","Next: "&amp;$Z11&amp;IF($Y11&lt;=TODAY()," is due TODAY ("," is due next business day (")&amp;TEXT($Y11,"dd-mmm")&amp;").","Next: "&amp;$Z11&amp;" due "&amp;TEXT($Y11,"dd-mmm")&amp;" ("&amp;(NETWORKDAYS(TODAY(),$Y11,Holidays)-1)&amp;" business day(s) left).")))))</f>
        <v/>
      </c>
      <c r="V11" s="17">
        <f>IF($W11="","",CHOOSE($W11,"Collection Email","1st Follow-up","2nd Follow-up","Local Office","CBE","Roxanne")&amp;IF($W11=6," - Final"," - Day "&amp;MAX(0,NETWORKDAYS($X11,TODAY(),Holidays)-1)&amp;" of "&amp;CHOOSE($W11,3,3,2,2,3))&amp;" | Total Day "&amp;MAX(0,NETWORKDAYS($L11,TODAY(),Holidays)-1))</f>
        <v/>
      </c>
      <c r="W11" s="17">
        <f>IF($L11="","",COUNT($L11:$Q11))</f>
        <v/>
      </c>
      <c r="X11" s="18">
        <f>IF($W11="","",INT(INDEX($L11:$Q11,$W11)))</f>
        <v/>
      </c>
      <c r="Y11" s="18">
        <f>IF(OR($W11="",$W11=6),"",WORKDAY($X11,CHOOSE($W11,3,3,2,2,3),Holidays))</f>
        <v/>
      </c>
      <c r="Z11" s="17">
        <f>IF(OR($W11="",$W11=6),"",CHOOSE($W11,"1st Email Follow-up","2nd Email Follow-up","Escalate Local Office","Escalate to CBE","Escalate to Roxanne"))</f>
        <v/>
      </c>
    </row>
    <row r="12" spans="1:26">
      <c r="R12" s="15"/>
      <c r="S12" s="16"/>
      <c r="T12" s="17">
        <f>IF(AND(COUNTA($A12:$K12)=0,$L12=""),"",IF($S12="Paid","PAID",IF($S12="Closed","CLOSED",IF($W12="","",IF($W12=6,"ESCALATED TO ROXANNE",IF(TODAY()&gt;$Y12,"OVERDUE",IF($Y12&lt;=WORKDAY(TODAY(),1,Holidays),"DUE TOMORROW",IF($W12=4,"ESCALATED TO LOCAL OFFICE",IF($W12=5,"ESCALATED TO CBE",IF($X12=TODAY(),"EMAIL SENT","MONITORING"))))))))))</f>
        <v/>
      </c>
      <c r="U12" s="17">
        <f>IF($T12="",IF(AND(COUNTA($A12:$K12)&gt;0,$L12=""),"Awaiting Collection Email time stamp.",""),IF(OR($T12="PAID",$T12="CLOSED"),IF($T12="PAID","Account paid. Action completed.","Account closed. No further action required."),CHOOSE($W12,"Collection Email","1st Email Follow-up","2nd Email Follow-up","Escalation to Local Office","Escalation to CBE","Escalation to Roxanne")&amp;" sent "&amp;TEXT($X12,"dd-mmm")&amp;". "&amp;IF($W12=6,"Final escalation completed.",IF($T12="OVERDUE","Next: "&amp;$Z12&amp;" was due "&amp;TEXT($Y12,"dd-mmm")&amp;" - "&amp;(NETWORKDAYS($Y12,TODAY(),Holidays)-1)&amp;" business day(s) late. Send now.",IF($T12="DUE TOMORROW","Next: "&amp;$Z12&amp;IF($Y12&lt;=TODAY()," is due TODAY ("," is due next business day (")&amp;TEXT($Y12,"dd-mmm")&amp;").","Next: "&amp;$Z12&amp;" due "&amp;TEXT($Y12,"dd-mmm")&amp;" ("&amp;(NETWORKDAYS(TODAY(),$Y12,Holidays)-1)&amp;" business day(s) left).")))))</f>
        <v/>
      </c>
      <c r="V12" s="17">
        <f>IF($W12="","",CHOOSE($W12,"Collection Email","1st Follow-up","2nd Follow-up","Local Office","CBE","Roxanne")&amp;IF($W12=6," - Final"," - Day "&amp;MAX(0,NETWORKDAYS($X12,TODAY(),Holidays)-1)&amp;" of "&amp;CHOOSE($W12,3,3,2,2,3))&amp;" | Total Day "&amp;MAX(0,NETWORKDAYS($L12,TODAY(),Holidays)-1))</f>
        <v/>
      </c>
      <c r="W12" s="17">
        <f>IF($L12="","",COUNT($L12:$Q12))</f>
        <v/>
      </c>
      <c r="X12" s="18">
        <f>IF($W12="","",INT(INDEX($L12:$Q12,$W12)))</f>
        <v/>
      </c>
      <c r="Y12" s="18">
        <f>IF(OR($W12="",$W12=6),"",WORKDAY($X12,CHOOSE($W12,3,3,2,2,3),Holidays))</f>
        <v/>
      </c>
      <c r="Z12" s="17">
        <f>IF(OR($W12="",$W12=6),"",CHOOSE($W12,"1st Email Follow-up","2nd Email Follow-up","Escalate Local Office","Escalate to CBE","Escalate to Roxanne"))</f>
        <v/>
      </c>
    </row>
    <row r="13" spans="1:26">
      <c r="R13" s="15"/>
      <c r="S13" s="16"/>
      <c r="T13" s="17">
        <f>IF(AND(COUNTA($A13:$K13)=0,$L13=""),"",IF($S13="Paid","PAID",IF($S13="Closed","CLOSED",IF($W13="","",IF($W13=6,"ESCALATED TO ROXANNE",IF(TODAY()&gt;$Y13,"OVERDUE",IF($Y13&lt;=WORKDAY(TODAY(),1,Holidays),"DUE TOMORROW",IF($W13=4,"ESCALATED TO LOCAL OFFICE",IF($W13=5,"ESCALATED TO CBE",IF($X13=TODAY(),"EMAIL SENT","MONITORING"))))))))))</f>
        <v/>
      </c>
      <c r="U13" s="17">
        <f>IF($T13="",IF(AND(COUNTA($A13:$K13)&gt;0,$L13=""),"Awaiting Collection Email time stamp.",""),IF(OR($T13="PAID",$T13="CLOSED"),IF($T13="PAID","Account paid. Action completed.","Account closed. No further action required."),CHOOSE($W13,"Collection Email","1st Email Follow-up","2nd Email Follow-up","Escalation to Local Office","Escalation to CBE","Escalation to Roxanne")&amp;" sent "&amp;TEXT($X13,"dd-mmm")&amp;". "&amp;IF($W13=6,"Final escalation completed.",IF($T13="OVERDUE","Next: "&amp;$Z13&amp;" was due "&amp;TEXT($Y13,"dd-mmm")&amp;" - "&amp;(NETWORKDAYS($Y13,TODAY(),Holidays)-1)&amp;" business day(s) late. Send now.",IF($T13="DUE TOMORROW","Next: "&amp;$Z13&amp;IF($Y13&lt;=TODAY()," is due TODAY ("," is due next business day (")&amp;TEXT($Y13,"dd-mmm")&amp;").","Next: "&amp;$Z13&amp;" due "&amp;TEXT($Y13,"dd-mmm")&amp;" ("&amp;(NETWORKDAYS(TODAY(),$Y13,Holidays)-1)&amp;" business day(s) left).")))))</f>
        <v/>
      </c>
      <c r="V13" s="17">
        <f>IF($W13="","",CHOOSE($W13,"Collection Email","1st Follow-up","2nd Follow-up","Local Office","CBE","Roxanne")&amp;IF($W13=6," - Final"," - Day "&amp;MAX(0,NETWORKDAYS($X13,TODAY(),Holidays)-1)&amp;" of "&amp;CHOOSE($W13,3,3,2,2,3))&amp;" | Total Day "&amp;MAX(0,NETWORKDAYS($L13,TODAY(),Holidays)-1))</f>
        <v/>
      </c>
      <c r="W13" s="17">
        <f>IF($L13="","",COUNT($L13:$Q13))</f>
        <v/>
      </c>
      <c r="X13" s="18">
        <f>IF($W13="","",INT(INDEX($L13:$Q13,$W13)))</f>
        <v/>
      </c>
      <c r="Y13" s="18">
        <f>IF(OR($W13="",$W13=6),"",WORKDAY($X13,CHOOSE($W13,3,3,2,2,3),Holidays))</f>
        <v/>
      </c>
      <c r="Z13" s="17">
        <f>IF(OR($W13="",$W13=6),"",CHOOSE($W13,"1st Email Follow-up","2nd Email Follow-up","Escalate Local Office","Escalate to CBE","Escalate to Roxanne"))</f>
        <v/>
      </c>
    </row>
    <row r="14" spans="1:26">
      <c r="R14" s="15"/>
      <c r="S14" s="16"/>
      <c r="T14" s="17">
        <f>IF(AND(COUNTA($A14:$K14)=0,$L14=""),"",IF($S14="Paid","PAID",IF($S14="Closed","CLOSED",IF($W14="","",IF($W14=6,"ESCALATED TO ROXANNE",IF(TODAY()&gt;$Y14,"OVERDUE",IF($Y14&lt;=WORKDAY(TODAY(),1,Holidays),"DUE TOMORROW",IF($W14=4,"ESCALATED TO LOCAL OFFICE",IF($W14=5,"ESCALATED TO CBE",IF($X14=TODAY(),"EMAIL SENT","MONITORING"))))))))))</f>
        <v/>
      </c>
      <c r="U14" s="17">
        <f>IF($T14="",IF(AND(COUNTA($A14:$K14)&gt;0,$L14=""),"Awaiting Collection Email time stamp.",""),IF(OR($T14="PAID",$T14="CLOSED"),IF($T14="PAID","Account paid. Action completed.","Account closed. No further action required."),CHOOSE($W14,"Collection Email","1st Email Follow-up","2nd Email Follow-up","Escalation to Local Office","Escalation to CBE","Escalation to Roxanne")&amp;" sent "&amp;TEXT($X14,"dd-mmm")&amp;". "&amp;IF($W14=6,"Final escalation completed.",IF($T14="OVERDUE","Next: "&amp;$Z14&amp;" was due "&amp;TEXT($Y14,"dd-mmm")&amp;" - "&amp;(NETWORKDAYS($Y14,TODAY(),Holidays)-1)&amp;" business day(s) late. Send now.",IF($T14="DUE TOMORROW","Next: "&amp;$Z14&amp;IF($Y14&lt;=TODAY()," is due TODAY ("," is due next business day (")&amp;TEXT($Y14,"dd-mmm")&amp;").","Next: "&amp;$Z14&amp;" due "&amp;TEXT($Y14,"dd-mmm")&amp;" ("&amp;(NETWORKDAYS(TODAY(),$Y14,Holidays)-1)&amp;" business day(s) left).")))))</f>
        <v/>
      </c>
      <c r="V14" s="17">
        <f>IF($W14="","",CHOOSE($W14,"Collection Email","1st Follow-up","2nd Follow-up","Local Office","CBE","Roxanne")&amp;IF($W14=6," - Final"," - Day "&amp;MAX(0,NETWORKDAYS($X14,TODAY(),Holidays)-1)&amp;" of "&amp;CHOOSE($W14,3,3,2,2,3))&amp;" | Total Day "&amp;MAX(0,NETWORKDAYS($L14,TODAY(),Holidays)-1))</f>
        <v/>
      </c>
      <c r="W14" s="17">
        <f>IF($L14="","",COUNT($L14:$Q14))</f>
        <v/>
      </c>
      <c r="X14" s="18">
        <f>IF($W14="","",INT(INDEX($L14:$Q14,$W14)))</f>
        <v/>
      </c>
      <c r="Y14" s="18">
        <f>IF(OR($W14="",$W14=6),"",WORKDAY($X14,CHOOSE($W14,3,3,2,2,3),Holidays))</f>
        <v/>
      </c>
      <c r="Z14" s="17">
        <f>IF(OR($W14="",$W14=6),"",CHOOSE($W14,"1st Email Follow-up","2nd Email Follow-up","Escalate Local Office","Escalate to CBE","Escalate to Roxanne"))</f>
        <v/>
      </c>
    </row>
    <row r="15" spans="1:26">
      <c r="R15" s="15"/>
      <c r="S15" s="16"/>
      <c r="T15" s="17">
        <f>IF(AND(COUNTA($A15:$K15)=0,$L15=""),"",IF($S15="Paid","PAID",IF($S15="Closed","CLOSED",IF($W15="","",IF($W15=6,"ESCALATED TO ROXANNE",IF(TODAY()&gt;$Y15,"OVERDUE",IF($Y15&lt;=WORKDAY(TODAY(),1,Holidays),"DUE TOMORROW",IF($W15=4,"ESCALATED TO LOCAL OFFICE",IF($W15=5,"ESCALATED TO CBE",IF($X15=TODAY(),"EMAIL SENT","MONITORING"))))))))))</f>
        <v/>
      </c>
      <c r="U15" s="17">
        <f>IF($T15="",IF(AND(COUNTA($A15:$K15)&gt;0,$L15=""),"Awaiting Collection Email time stamp.",""),IF(OR($T15="PAID",$T15="CLOSED"),IF($T15="PAID","Account paid. Action completed.","Account closed. No further action required."),CHOOSE($W15,"Collection Email","1st Email Follow-up","2nd Email Follow-up","Escalation to Local Office","Escalation to CBE","Escalation to Roxanne")&amp;" sent "&amp;TEXT($X15,"dd-mmm")&amp;". "&amp;IF($W15=6,"Final escalation completed.",IF($T15="OVERDUE","Next: "&amp;$Z15&amp;" was due "&amp;TEXT($Y15,"dd-mmm")&amp;" - "&amp;(NETWORKDAYS($Y15,TODAY(),Holidays)-1)&amp;" business day(s) late. Send now.",IF($T15="DUE TOMORROW","Next: "&amp;$Z15&amp;IF($Y15&lt;=TODAY()," is due TODAY ("," is due next business day (")&amp;TEXT($Y15,"dd-mmm")&amp;").","Next: "&amp;$Z15&amp;" due "&amp;TEXT($Y15,"dd-mmm")&amp;" ("&amp;(NETWORKDAYS(TODAY(),$Y15,Holidays)-1)&amp;" business day(s) left).")))))</f>
        <v/>
      </c>
      <c r="V15" s="17">
        <f>IF($W15="","",CHOOSE($W15,"Collection Email","1st Follow-up","2nd Follow-up","Local Office","CBE","Roxanne")&amp;IF($W15=6," - Final"," - Day "&amp;MAX(0,NETWORKDAYS($X15,TODAY(),Holidays)-1)&amp;" of "&amp;CHOOSE($W15,3,3,2,2,3))&amp;" | Total Day "&amp;MAX(0,NETWORKDAYS($L15,TODAY(),Holidays)-1))</f>
        <v/>
      </c>
      <c r="W15" s="17">
        <f>IF($L15="","",COUNT($L15:$Q15))</f>
        <v/>
      </c>
      <c r="X15" s="18">
        <f>IF($W15="","",INT(INDEX($L15:$Q15,$W15)))</f>
        <v/>
      </c>
      <c r="Y15" s="18">
        <f>IF(OR($W15="",$W15=6),"",WORKDAY($X15,CHOOSE($W15,3,3,2,2,3),Holidays))</f>
        <v/>
      </c>
      <c r="Z15" s="17">
        <f>IF(OR($W15="",$W15=6),"",CHOOSE($W15,"1st Email Follow-up","2nd Email Follow-up","Escalate Local Office","Escalate to CBE","Escalate to Roxanne"))</f>
        <v/>
      </c>
    </row>
    <row r="16" spans="1:26">
      <c r="R16" s="15"/>
      <c r="S16" s="16"/>
      <c r="T16" s="17">
        <f>IF(AND(COUNTA($A16:$K16)=0,$L16=""),"",IF($S16="Paid","PAID",IF($S16="Closed","CLOSED",IF($W16="","",IF($W16=6,"ESCALATED TO ROXANNE",IF(TODAY()&gt;$Y16,"OVERDUE",IF($Y16&lt;=WORKDAY(TODAY(),1,Holidays),"DUE TOMORROW",IF($W16=4,"ESCALATED TO LOCAL OFFICE",IF($W16=5,"ESCALATED TO CBE",IF($X16=TODAY(),"EMAIL SENT","MONITORING"))))))))))</f>
        <v/>
      </c>
      <c r="U16" s="17">
        <f>IF($T16="",IF(AND(COUNTA($A16:$K16)&gt;0,$L16=""),"Awaiting Collection Email time stamp.",""),IF(OR($T16="PAID",$T16="CLOSED"),IF($T16="PAID","Account paid. Action completed.","Account closed. No further action required."),CHOOSE($W16,"Collection Email","1st Email Follow-up","2nd Email Follow-up","Escalation to Local Office","Escalation to CBE","Escalation to Roxanne")&amp;" sent "&amp;TEXT($X16,"dd-mmm")&amp;". "&amp;IF($W16=6,"Final escalation completed.",IF($T16="OVERDUE","Next: "&amp;$Z16&amp;" was due "&amp;TEXT($Y16,"dd-mmm")&amp;" - "&amp;(NETWORKDAYS($Y16,TODAY(),Holidays)-1)&amp;" business day(s) late. Send now.",IF($T16="DUE TOMORROW","Next: "&amp;$Z16&amp;IF($Y16&lt;=TODAY()," is due TODAY ("," is due next business day (")&amp;TEXT($Y16,"dd-mmm")&amp;").","Next: "&amp;$Z16&amp;" due "&amp;TEXT($Y16,"dd-mmm")&amp;" ("&amp;(NETWORKDAYS(TODAY(),$Y16,Holidays)-1)&amp;" business day(s) left).")))))</f>
        <v/>
      </c>
      <c r="V16" s="17">
        <f>IF($W16="","",CHOOSE($W16,"Collection Email","1st Follow-up","2nd Follow-up","Local Office","CBE","Roxanne")&amp;IF($W16=6," - Final"," - Day "&amp;MAX(0,NETWORKDAYS($X16,TODAY(),Holidays)-1)&amp;" of "&amp;CHOOSE($W16,3,3,2,2,3))&amp;" | Total Day "&amp;MAX(0,NETWORKDAYS($L16,TODAY(),Holidays)-1))</f>
        <v/>
      </c>
      <c r="W16" s="17">
        <f>IF($L16="","",COUNT($L16:$Q16))</f>
        <v/>
      </c>
      <c r="X16" s="18">
        <f>IF($W16="","",INT(INDEX($L16:$Q16,$W16)))</f>
        <v/>
      </c>
      <c r="Y16" s="18">
        <f>IF(OR($W16="",$W16=6),"",WORKDAY($X16,CHOOSE($W16,3,3,2,2,3),Holidays))</f>
        <v/>
      </c>
      <c r="Z16" s="17">
        <f>IF(OR($W16="",$W16=6),"",CHOOSE($W16,"1st Email Follow-up","2nd Email Follow-up","Escalate Local Office","Escalate to CBE","Escalate to Roxanne"))</f>
        <v/>
      </c>
    </row>
    <row r="17" spans="18:26">
      <c r="R17" s="15"/>
      <c r="S17" s="16"/>
      <c r="T17" s="17">
        <f>IF(AND(COUNTA($A17:$K17)=0,$L17=""),"",IF($S17="Paid","PAID",IF($S17="Closed","CLOSED",IF($W17="","",IF($W17=6,"ESCALATED TO ROXANNE",IF(TODAY()&gt;$Y17,"OVERDUE",IF($Y17&lt;=WORKDAY(TODAY(),1,Holidays),"DUE TOMORROW",IF($W17=4,"ESCALATED TO LOCAL OFFICE",IF($W17=5,"ESCALATED TO CBE",IF($X17=TODAY(),"EMAIL SENT","MONITORING"))))))))))</f>
        <v/>
      </c>
      <c r="U17" s="17">
        <f>IF($T17="",IF(AND(COUNTA($A17:$K17)&gt;0,$L17=""),"Awaiting Collection Email time stamp.",""),IF(OR($T17="PAID",$T17="CLOSED"),IF($T17="PAID","Account paid. Action completed.","Account closed. No further action required."),CHOOSE($W17,"Collection Email","1st Email Follow-up","2nd Email Follow-up","Escalation to Local Office","Escalation to CBE","Escalation to Roxanne")&amp;" sent "&amp;TEXT($X17,"dd-mmm")&amp;". "&amp;IF($W17=6,"Final escalation completed.",IF($T17="OVERDUE","Next: "&amp;$Z17&amp;" was due "&amp;TEXT($Y17,"dd-mmm")&amp;" - "&amp;(NETWORKDAYS($Y17,TODAY(),Holidays)-1)&amp;" business day(s) late. Send now.",IF($T17="DUE TOMORROW","Next: "&amp;$Z17&amp;IF($Y17&lt;=TODAY()," is due TODAY ("," is due next business day (")&amp;TEXT($Y17,"dd-mmm")&amp;").","Next: "&amp;$Z17&amp;" due "&amp;TEXT($Y17,"dd-mmm")&amp;" ("&amp;(NETWORKDAYS(TODAY(),$Y17,Holidays)-1)&amp;" business day(s) left).")))))</f>
        <v/>
      </c>
      <c r="V17" s="17">
        <f>IF($W17="","",CHOOSE($W17,"Collection Email","1st Follow-up","2nd Follow-up","Local Office","CBE","Roxanne")&amp;IF($W17=6," - Final"," - Day "&amp;MAX(0,NETWORKDAYS($X17,TODAY(),Holidays)-1)&amp;" of "&amp;CHOOSE($W17,3,3,2,2,3))&amp;" | Total Day "&amp;MAX(0,NETWORKDAYS($L17,TODAY(),Holidays)-1))</f>
        <v/>
      </c>
      <c r="W17" s="17">
        <f>IF($L17="","",COUNT($L17:$Q17))</f>
        <v/>
      </c>
      <c r="X17" s="18">
        <f>IF($W17="","",INT(INDEX($L17:$Q17,$W17)))</f>
        <v/>
      </c>
      <c r="Y17" s="18">
        <f>IF(OR($W17="",$W17=6),"",WORKDAY($X17,CHOOSE($W17,3,3,2,2,3),Holidays))</f>
        <v/>
      </c>
      <c r="Z17" s="17">
        <f>IF(OR($W17="",$W17=6),"",CHOOSE($W17,"1st Email Follow-up","2nd Email Follow-up","Escalate Local Office","Escalate to CBE","Escalate to Roxanne"))</f>
        <v/>
      </c>
    </row>
    <row r="18" spans="18:26">
      <c r="R18" s="15"/>
      <c r="S18" s="16"/>
      <c r="T18" s="17">
        <f>IF(AND(COUNTA($A18:$K18)=0,$L18=""),"",IF($S18="Paid","PAID",IF($S18="Closed","CLOSED",IF($W18="","",IF($W18=6,"ESCALATED TO ROXANNE",IF(TODAY()&gt;$Y18,"OVERDUE",IF($Y18&lt;=WORKDAY(TODAY(),1,Holidays),"DUE TOMORROW",IF($W18=4,"ESCALATED TO LOCAL OFFICE",IF($W18=5,"ESCALATED TO CBE",IF($X18=TODAY(),"EMAIL SENT","MONITORING"))))))))))</f>
        <v/>
      </c>
      <c r="U18" s="17">
        <f>IF($T18="",IF(AND(COUNTA($A18:$K18)&gt;0,$L18=""),"Awaiting Collection Email time stamp.",""),IF(OR($T18="PAID",$T18="CLOSED"),IF($T18="PAID","Account paid. Action completed.","Account closed. No further action required."),CHOOSE($W18,"Collection Email","1st Email Follow-up","2nd Email Follow-up","Escalation to Local Office","Escalation to CBE","Escalation to Roxanne")&amp;" sent "&amp;TEXT($X18,"dd-mmm")&amp;". "&amp;IF($W18=6,"Final escalation completed.",IF($T18="OVERDUE","Next: "&amp;$Z18&amp;" was due "&amp;TEXT($Y18,"dd-mmm")&amp;" - "&amp;(NETWORKDAYS($Y18,TODAY(),Holidays)-1)&amp;" business day(s) late. Send now.",IF($T18="DUE TOMORROW","Next: "&amp;$Z18&amp;IF($Y18&lt;=TODAY()," is due TODAY ("," is due next business day (")&amp;TEXT($Y18,"dd-mmm")&amp;").","Next: "&amp;$Z18&amp;" due "&amp;TEXT($Y18,"dd-mmm")&amp;" ("&amp;(NETWORKDAYS(TODAY(),$Y18,Holidays)-1)&amp;" business day(s) left).")))))</f>
        <v/>
      </c>
      <c r="V18" s="17">
        <f>IF($W18="","",CHOOSE($W18,"Collection Email","1st Follow-up","2nd Follow-up","Local Office","CBE","Roxanne")&amp;IF($W18=6," - Final"," - Day "&amp;MAX(0,NETWORKDAYS($X18,TODAY(),Holidays)-1)&amp;" of "&amp;CHOOSE($W18,3,3,2,2,3))&amp;" | Total Day "&amp;MAX(0,NETWORKDAYS($L18,TODAY(),Holidays)-1))</f>
        <v/>
      </c>
      <c r="W18" s="17">
        <f>IF($L18="","",COUNT($L18:$Q18))</f>
        <v/>
      </c>
      <c r="X18" s="18">
        <f>IF($W18="","",INT(INDEX($L18:$Q18,$W18)))</f>
        <v/>
      </c>
      <c r="Y18" s="18">
        <f>IF(OR($W18="",$W18=6),"",WORKDAY($X18,CHOOSE($W18,3,3,2,2,3),Holidays))</f>
        <v/>
      </c>
      <c r="Z18" s="17">
        <f>IF(OR($W18="",$W18=6),"",CHOOSE($W18,"1st Email Follow-up","2nd Email Follow-up","Escalate Local Office","Escalate to CBE","Escalate to Roxanne"))</f>
        <v/>
      </c>
    </row>
    <row r="19" spans="18:26">
      <c r="R19" s="15"/>
      <c r="S19" s="16"/>
      <c r="T19" s="17">
        <f>IF(AND(COUNTA($A19:$K19)=0,$L19=""),"",IF($S19="Paid","PAID",IF($S19="Closed","CLOSED",IF($W19="","",IF($W19=6,"ESCALATED TO ROXANNE",IF(TODAY()&gt;$Y19,"OVERDUE",IF($Y19&lt;=WORKDAY(TODAY(),1,Holidays),"DUE TOMORROW",IF($W19=4,"ESCALATED TO LOCAL OFFICE",IF($W19=5,"ESCALATED TO CBE",IF($X19=TODAY(),"EMAIL SENT","MONITORING"))))))))))</f>
        <v/>
      </c>
      <c r="U19" s="17">
        <f>IF($T19="",IF(AND(COUNTA($A19:$K19)&gt;0,$L19=""),"Awaiting Collection Email time stamp.",""),IF(OR($T19="PAID",$T19="CLOSED"),IF($T19="PAID","Account paid. Action completed.","Account closed. No further action required."),CHOOSE($W19,"Collection Email","1st Email Follow-up","2nd Email Follow-up","Escalation to Local Office","Escalation to CBE","Escalation to Roxanne")&amp;" sent "&amp;TEXT($X19,"dd-mmm")&amp;". "&amp;IF($W19=6,"Final escalation completed.",IF($T19="OVERDUE","Next: "&amp;$Z19&amp;" was due "&amp;TEXT($Y19,"dd-mmm")&amp;" - "&amp;(NETWORKDAYS($Y19,TODAY(),Holidays)-1)&amp;" business day(s) late. Send now.",IF($T19="DUE TOMORROW","Next: "&amp;$Z19&amp;IF($Y19&lt;=TODAY()," is due TODAY ("," is due next business day (")&amp;TEXT($Y19,"dd-mmm")&amp;").","Next: "&amp;$Z19&amp;" due "&amp;TEXT($Y19,"dd-mmm")&amp;" ("&amp;(NETWORKDAYS(TODAY(),$Y19,Holidays)-1)&amp;" business day(s) left).")))))</f>
        <v/>
      </c>
      <c r="V19" s="17">
        <f>IF($W19="","",CHOOSE($W19,"Collection Email","1st Follow-up","2nd Follow-up","Local Office","CBE","Roxanne")&amp;IF($W19=6," - Final"," - Day "&amp;MAX(0,NETWORKDAYS($X19,TODAY(),Holidays)-1)&amp;" of "&amp;CHOOSE($W19,3,3,2,2,3))&amp;" | Total Day "&amp;MAX(0,NETWORKDAYS($L19,TODAY(),Holidays)-1))</f>
        <v/>
      </c>
      <c r="W19" s="17">
        <f>IF($L19="","",COUNT($L19:$Q19))</f>
        <v/>
      </c>
      <c r="X19" s="18">
        <f>IF($W19="","",INT(INDEX($L19:$Q19,$W19)))</f>
        <v/>
      </c>
      <c r="Y19" s="18">
        <f>IF(OR($W19="",$W19=6),"",WORKDAY($X19,CHOOSE($W19,3,3,2,2,3),Holidays))</f>
        <v/>
      </c>
      <c r="Z19" s="17">
        <f>IF(OR($W19="",$W19=6),"",CHOOSE($W19,"1st Email Follow-up","2nd Email Follow-up","Escalate Local Office","Escalate to CBE","Escalate to Roxanne"))</f>
        <v/>
      </c>
    </row>
    <row r="20" spans="18:26">
      <c r="R20" s="15"/>
      <c r="S20" s="16"/>
      <c r="T20" s="17">
        <f>IF(AND(COUNTA($A20:$K20)=0,$L20=""),"",IF($S20="Paid","PAID",IF($S20="Closed","CLOSED",IF($W20="","",IF($W20=6,"ESCALATED TO ROXANNE",IF(TODAY()&gt;$Y20,"OVERDUE",IF($Y20&lt;=WORKDAY(TODAY(),1,Holidays),"DUE TOMORROW",IF($W20=4,"ESCALATED TO LOCAL OFFICE",IF($W20=5,"ESCALATED TO CBE",IF($X20=TODAY(),"EMAIL SENT","MONITORING"))))))))))</f>
        <v/>
      </c>
      <c r="U20" s="17">
        <f>IF($T20="",IF(AND(COUNTA($A20:$K20)&gt;0,$L20=""),"Awaiting Collection Email time stamp.",""),IF(OR($T20="PAID",$T20="CLOSED"),IF($T20="PAID","Account paid. Action completed.","Account closed. No further action required."),CHOOSE($W20,"Collection Email","1st Email Follow-up","2nd Email Follow-up","Escalation to Local Office","Escalation to CBE","Escalation to Roxanne")&amp;" sent "&amp;TEXT($X20,"dd-mmm")&amp;". "&amp;IF($W20=6,"Final escalation completed.",IF($T20="OVERDUE","Next: "&amp;$Z20&amp;" was due "&amp;TEXT($Y20,"dd-mmm")&amp;" - "&amp;(NETWORKDAYS($Y20,TODAY(),Holidays)-1)&amp;" business day(s) late. Send now.",IF($T20="DUE TOMORROW","Next: "&amp;$Z20&amp;IF($Y20&lt;=TODAY()," is due TODAY ("," is due next business day (")&amp;TEXT($Y20,"dd-mmm")&amp;").","Next: "&amp;$Z20&amp;" due "&amp;TEXT($Y20,"dd-mmm")&amp;" ("&amp;(NETWORKDAYS(TODAY(),$Y20,Holidays)-1)&amp;" business day(s) left).")))))</f>
        <v/>
      </c>
      <c r="V20" s="17">
        <f>IF($W20="","",CHOOSE($W20,"Collection Email","1st Follow-up","2nd Follow-up","Local Office","CBE","Roxanne")&amp;IF($W20=6," - Final"," - Day "&amp;MAX(0,NETWORKDAYS($X20,TODAY(),Holidays)-1)&amp;" of "&amp;CHOOSE($W20,3,3,2,2,3))&amp;" | Total Day "&amp;MAX(0,NETWORKDAYS($L20,TODAY(),Holidays)-1))</f>
        <v/>
      </c>
      <c r="W20" s="17">
        <f>IF($L20="","",COUNT($L20:$Q20))</f>
        <v/>
      </c>
      <c r="X20" s="18">
        <f>IF($W20="","",INT(INDEX($L20:$Q20,$W20)))</f>
        <v/>
      </c>
      <c r="Y20" s="18">
        <f>IF(OR($W20="",$W20=6),"",WORKDAY($X20,CHOOSE($W20,3,3,2,2,3),Holidays))</f>
        <v/>
      </c>
      <c r="Z20" s="17">
        <f>IF(OR($W20="",$W20=6),"",CHOOSE($W20,"1st Email Follow-up","2nd Email Follow-up","Escalate Local Office","Escalate to CBE","Escalate to Roxanne"))</f>
        <v/>
      </c>
    </row>
    <row r="21" spans="18:26">
      <c r="R21" s="15"/>
      <c r="S21" s="16"/>
      <c r="T21" s="17">
        <f>IF(AND(COUNTA($A21:$K21)=0,$L21=""),"",IF($S21="Paid","PAID",IF($S21="Closed","CLOSED",IF($W21="","",IF($W21=6,"ESCALATED TO ROXANNE",IF(TODAY()&gt;$Y21,"OVERDUE",IF($Y21&lt;=WORKDAY(TODAY(),1,Holidays),"DUE TOMORROW",IF($W21=4,"ESCALATED TO LOCAL OFFICE",IF($W21=5,"ESCALATED TO CBE",IF($X21=TODAY(),"EMAIL SENT","MONITORING"))))))))))</f>
        <v/>
      </c>
      <c r="U21" s="17">
        <f>IF($T21="",IF(AND(COUNTA($A21:$K21)&gt;0,$L21=""),"Awaiting Collection Email time stamp.",""),IF(OR($T21="PAID",$T21="CLOSED"),IF($T21="PAID","Account paid. Action completed.","Account closed. No further action required."),CHOOSE($W21,"Collection Email","1st Email Follow-up","2nd Email Follow-up","Escalation to Local Office","Escalation to CBE","Escalation to Roxanne")&amp;" sent "&amp;TEXT($X21,"dd-mmm")&amp;". "&amp;IF($W21=6,"Final escalation completed.",IF($T21="OVERDUE","Next: "&amp;$Z21&amp;" was due "&amp;TEXT($Y21,"dd-mmm")&amp;" - "&amp;(NETWORKDAYS($Y21,TODAY(),Holidays)-1)&amp;" business day(s) late. Send now.",IF($T21="DUE TOMORROW","Next: "&amp;$Z21&amp;IF($Y21&lt;=TODAY()," is due TODAY ("," is due next business day (")&amp;TEXT($Y21,"dd-mmm")&amp;").","Next: "&amp;$Z21&amp;" due "&amp;TEXT($Y21,"dd-mmm")&amp;" ("&amp;(NETWORKDAYS(TODAY(),$Y21,Holidays)-1)&amp;" business day(s) left).")))))</f>
        <v/>
      </c>
      <c r="V21" s="17">
        <f>IF($W21="","",CHOOSE($W21,"Collection Email","1st Follow-up","2nd Follow-up","Local Office","CBE","Roxanne")&amp;IF($W21=6," - Final"," - Day "&amp;MAX(0,NETWORKDAYS($X21,TODAY(),Holidays)-1)&amp;" of "&amp;CHOOSE($W21,3,3,2,2,3))&amp;" | Total Day "&amp;MAX(0,NETWORKDAYS($L21,TODAY(),Holidays)-1))</f>
        <v/>
      </c>
      <c r="W21" s="17">
        <f>IF($L21="","",COUNT($L21:$Q21))</f>
        <v/>
      </c>
      <c r="X21" s="18">
        <f>IF($W21="","",INT(INDEX($L21:$Q21,$W21)))</f>
        <v/>
      </c>
      <c r="Y21" s="18">
        <f>IF(OR($W21="",$W21=6),"",WORKDAY($X21,CHOOSE($W21,3,3,2,2,3),Holidays))</f>
        <v/>
      </c>
      <c r="Z21" s="17">
        <f>IF(OR($W21="",$W21=6),"",CHOOSE($W21,"1st Email Follow-up","2nd Email Follow-up","Escalate Local Office","Escalate to CBE","Escalate to Roxanne"))</f>
        <v/>
      </c>
    </row>
    <row r="22" spans="18:26">
      <c r="R22" s="15"/>
      <c r="S22" s="16"/>
      <c r="T22" s="17">
        <f>IF(AND(COUNTA($A22:$K22)=0,$L22=""),"",IF($S22="Paid","PAID",IF($S22="Closed","CLOSED",IF($W22="","",IF($W22=6,"ESCALATED TO ROXANNE",IF(TODAY()&gt;$Y22,"OVERDUE",IF($Y22&lt;=WORKDAY(TODAY(),1,Holidays),"DUE TOMORROW",IF($W22=4,"ESCALATED TO LOCAL OFFICE",IF($W22=5,"ESCALATED TO CBE",IF($X22=TODAY(),"EMAIL SENT","MONITORING"))))))))))</f>
        <v/>
      </c>
      <c r="U22" s="17">
        <f>IF($T22="",IF(AND(COUNTA($A22:$K22)&gt;0,$L22=""),"Awaiting Collection Email time stamp.",""),IF(OR($T22="PAID",$T22="CLOSED"),IF($T22="PAID","Account paid. Action completed.","Account closed. No further action required."),CHOOSE($W22,"Collection Email","1st Email Follow-up","2nd Email Follow-up","Escalation to Local Office","Escalation to CBE","Escalation to Roxanne")&amp;" sent "&amp;TEXT($X22,"dd-mmm")&amp;". "&amp;IF($W22=6,"Final escalation completed.",IF($T22="OVERDUE","Next: "&amp;$Z22&amp;" was due "&amp;TEXT($Y22,"dd-mmm")&amp;" - "&amp;(NETWORKDAYS($Y22,TODAY(),Holidays)-1)&amp;" business day(s) late. Send now.",IF($T22="DUE TOMORROW","Next: "&amp;$Z22&amp;IF($Y22&lt;=TODAY()," is due TODAY ("," is due next business day (")&amp;TEXT($Y22,"dd-mmm")&amp;").","Next: "&amp;$Z22&amp;" due "&amp;TEXT($Y22,"dd-mmm")&amp;" ("&amp;(NETWORKDAYS(TODAY(),$Y22,Holidays)-1)&amp;" business day(s) left).")))))</f>
        <v/>
      </c>
      <c r="V22" s="17">
        <f>IF($W22="","",CHOOSE($W22,"Collection Email","1st Follow-up","2nd Follow-up","Local Office","CBE","Roxanne")&amp;IF($W22=6," - Final"," - Day "&amp;MAX(0,NETWORKDAYS($X22,TODAY(),Holidays)-1)&amp;" of "&amp;CHOOSE($W22,3,3,2,2,3))&amp;" | Total Day "&amp;MAX(0,NETWORKDAYS($L22,TODAY(),Holidays)-1))</f>
        <v/>
      </c>
      <c r="W22" s="17">
        <f>IF($L22="","",COUNT($L22:$Q22))</f>
        <v/>
      </c>
      <c r="X22" s="18">
        <f>IF($W22="","",INT(INDEX($L22:$Q22,$W22)))</f>
        <v/>
      </c>
      <c r="Y22" s="18">
        <f>IF(OR($W22="",$W22=6),"",WORKDAY($X22,CHOOSE($W22,3,3,2,2,3),Holidays))</f>
        <v/>
      </c>
      <c r="Z22" s="17">
        <f>IF(OR($W22="",$W22=6),"",CHOOSE($W22,"1st Email Follow-up","2nd Email Follow-up","Escalate Local Office","Escalate to CBE","Escalate to Roxanne"))</f>
        <v/>
      </c>
    </row>
    <row r="23" spans="18:26">
      <c r="R23" s="15"/>
      <c r="S23" s="16"/>
      <c r="T23" s="17">
        <f>IF(AND(COUNTA($A23:$K23)=0,$L23=""),"",IF($S23="Paid","PAID",IF($S23="Closed","CLOSED",IF($W23="","",IF($W23=6,"ESCALATED TO ROXANNE",IF(TODAY()&gt;$Y23,"OVERDUE",IF($Y23&lt;=WORKDAY(TODAY(),1,Holidays),"DUE TOMORROW",IF($W23=4,"ESCALATED TO LOCAL OFFICE",IF($W23=5,"ESCALATED TO CBE",IF($X23=TODAY(),"EMAIL SENT","MONITORING"))))))))))</f>
        <v/>
      </c>
      <c r="U23" s="17">
        <f>IF($T23="",IF(AND(COUNTA($A23:$K23)&gt;0,$L23=""),"Awaiting Collection Email time stamp.",""),IF(OR($T23="PAID",$T23="CLOSED"),IF($T23="PAID","Account paid. Action completed.","Account closed. No further action required."),CHOOSE($W23,"Collection Email","1st Email Follow-up","2nd Email Follow-up","Escalation to Local Office","Escalation to CBE","Escalation to Roxanne")&amp;" sent "&amp;TEXT($X23,"dd-mmm")&amp;". "&amp;IF($W23=6,"Final escalation completed.",IF($T23="OVERDUE","Next: "&amp;$Z23&amp;" was due "&amp;TEXT($Y23,"dd-mmm")&amp;" - "&amp;(NETWORKDAYS($Y23,TODAY(),Holidays)-1)&amp;" business day(s) late. Send now.",IF($T23="DUE TOMORROW","Next: "&amp;$Z23&amp;IF($Y23&lt;=TODAY()," is due TODAY ("," is due next business day (")&amp;TEXT($Y23,"dd-mmm")&amp;").","Next: "&amp;$Z23&amp;" due "&amp;TEXT($Y23,"dd-mmm")&amp;" ("&amp;(NETWORKDAYS(TODAY(),$Y23,Holidays)-1)&amp;" business day(s) left).")))))</f>
        <v/>
      </c>
      <c r="V23" s="17">
        <f>IF($W23="","",CHOOSE($W23,"Collection Email","1st Follow-up","2nd Follow-up","Local Office","CBE","Roxanne")&amp;IF($W23=6," - Final"," - Day "&amp;MAX(0,NETWORKDAYS($X23,TODAY(),Holidays)-1)&amp;" of "&amp;CHOOSE($W23,3,3,2,2,3))&amp;" | Total Day "&amp;MAX(0,NETWORKDAYS($L23,TODAY(),Holidays)-1))</f>
        <v/>
      </c>
      <c r="W23" s="17">
        <f>IF($L23="","",COUNT($L23:$Q23))</f>
        <v/>
      </c>
      <c r="X23" s="18">
        <f>IF($W23="","",INT(INDEX($L23:$Q23,$W23)))</f>
        <v/>
      </c>
      <c r="Y23" s="18">
        <f>IF(OR($W23="",$W23=6),"",WORKDAY($X23,CHOOSE($W23,3,3,2,2,3),Holidays))</f>
        <v/>
      </c>
      <c r="Z23" s="17">
        <f>IF(OR($W23="",$W23=6),"",CHOOSE($W23,"1st Email Follow-up","2nd Email Follow-up","Escalate Local Office","Escalate to CBE","Escalate to Roxanne"))</f>
        <v/>
      </c>
    </row>
    <row r="24" spans="18:26">
      <c r="R24" s="15"/>
      <c r="S24" s="16"/>
      <c r="T24" s="17">
        <f>IF(AND(COUNTA($A24:$K24)=0,$L24=""),"",IF($S24="Paid","PAID",IF($S24="Closed","CLOSED",IF($W24="","",IF($W24=6,"ESCALATED TO ROXANNE",IF(TODAY()&gt;$Y24,"OVERDUE",IF($Y24&lt;=WORKDAY(TODAY(),1,Holidays),"DUE TOMORROW",IF($W24=4,"ESCALATED TO LOCAL OFFICE",IF($W24=5,"ESCALATED TO CBE",IF($X24=TODAY(),"EMAIL SENT","MONITORING"))))))))))</f>
        <v/>
      </c>
      <c r="U24" s="17">
        <f>IF($T24="",IF(AND(COUNTA($A24:$K24)&gt;0,$L24=""),"Awaiting Collection Email time stamp.",""),IF(OR($T24="PAID",$T24="CLOSED"),IF($T24="PAID","Account paid. Action completed.","Account closed. No further action required."),CHOOSE($W24,"Collection Email","1st Email Follow-up","2nd Email Follow-up","Escalation to Local Office","Escalation to CBE","Escalation to Roxanne")&amp;" sent "&amp;TEXT($X24,"dd-mmm")&amp;". "&amp;IF($W24=6,"Final escalation completed.",IF($T24="OVERDUE","Next: "&amp;$Z24&amp;" was due "&amp;TEXT($Y24,"dd-mmm")&amp;" - "&amp;(NETWORKDAYS($Y24,TODAY(),Holidays)-1)&amp;" business day(s) late. Send now.",IF($T24="DUE TOMORROW","Next: "&amp;$Z24&amp;IF($Y24&lt;=TODAY()," is due TODAY ("," is due next business day (")&amp;TEXT($Y24,"dd-mmm")&amp;").","Next: "&amp;$Z24&amp;" due "&amp;TEXT($Y24,"dd-mmm")&amp;" ("&amp;(NETWORKDAYS(TODAY(),$Y24,Holidays)-1)&amp;" business day(s) left).")))))</f>
        <v/>
      </c>
      <c r="V24" s="17">
        <f>IF($W24="","",CHOOSE($W24,"Collection Email","1st Follow-up","2nd Follow-up","Local Office","CBE","Roxanne")&amp;IF($W24=6," - Final"," - Day "&amp;MAX(0,NETWORKDAYS($X24,TODAY(),Holidays)-1)&amp;" of "&amp;CHOOSE($W24,3,3,2,2,3))&amp;" | Total Day "&amp;MAX(0,NETWORKDAYS($L24,TODAY(),Holidays)-1))</f>
        <v/>
      </c>
      <c r="W24" s="17">
        <f>IF($L24="","",COUNT($L24:$Q24))</f>
        <v/>
      </c>
      <c r="X24" s="18">
        <f>IF($W24="","",INT(INDEX($L24:$Q24,$W24)))</f>
        <v/>
      </c>
      <c r="Y24" s="18">
        <f>IF(OR($W24="",$W24=6),"",WORKDAY($X24,CHOOSE($W24,3,3,2,2,3),Holidays))</f>
        <v/>
      </c>
      <c r="Z24" s="17">
        <f>IF(OR($W24="",$W24=6),"",CHOOSE($W24,"1st Email Follow-up","2nd Email Follow-up","Escalate Local Office","Escalate to CBE","Escalate to Roxanne"))</f>
        <v/>
      </c>
    </row>
    <row r="25" spans="18:26">
      <c r="R25" s="15"/>
      <c r="S25" s="16"/>
      <c r="T25" s="17">
        <f>IF(AND(COUNTA($A25:$K25)=0,$L25=""),"",IF($S25="Paid","PAID",IF($S25="Closed","CLOSED",IF($W25="","",IF($W25=6,"ESCALATED TO ROXANNE",IF(TODAY()&gt;$Y25,"OVERDUE",IF($Y25&lt;=WORKDAY(TODAY(),1,Holidays),"DUE TOMORROW",IF($W25=4,"ESCALATED TO LOCAL OFFICE",IF($W25=5,"ESCALATED TO CBE",IF($X25=TODAY(),"EMAIL SENT","MONITORING"))))))))))</f>
        <v/>
      </c>
      <c r="U25" s="17">
        <f>IF($T25="",IF(AND(COUNTA($A25:$K25)&gt;0,$L25=""),"Awaiting Collection Email time stamp.",""),IF(OR($T25="PAID",$T25="CLOSED"),IF($T25="PAID","Account paid. Action completed.","Account closed. No further action required."),CHOOSE($W25,"Collection Email","1st Email Follow-up","2nd Email Follow-up","Escalation to Local Office","Escalation to CBE","Escalation to Roxanne")&amp;" sent "&amp;TEXT($X25,"dd-mmm")&amp;". "&amp;IF($W25=6,"Final escalation completed.",IF($T25="OVERDUE","Next: "&amp;$Z25&amp;" was due "&amp;TEXT($Y25,"dd-mmm")&amp;" - "&amp;(NETWORKDAYS($Y25,TODAY(),Holidays)-1)&amp;" business day(s) late. Send now.",IF($T25="DUE TOMORROW","Next: "&amp;$Z25&amp;IF($Y25&lt;=TODAY()," is due TODAY ("," is due next business day (")&amp;TEXT($Y25,"dd-mmm")&amp;").","Next: "&amp;$Z25&amp;" due "&amp;TEXT($Y25,"dd-mmm")&amp;" ("&amp;(NETWORKDAYS(TODAY(),$Y25,Holidays)-1)&amp;" business day(s) left).")))))</f>
        <v/>
      </c>
      <c r="V25" s="17">
        <f>IF($W25="","",CHOOSE($W25,"Collection Email","1st Follow-up","2nd Follow-up","Local Office","CBE","Roxanne")&amp;IF($W25=6," - Final"," - Day "&amp;MAX(0,NETWORKDAYS($X25,TODAY(),Holidays)-1)&amp;" of "&amp;CHOOSE($W25,3,3,2,2,3))&amp;" | Total Day "&amp;MAX(0,NETWORKDAYS($L25,TODAY(),Holidays)-1))</f>
        <v/>
      </c>
      <c r="W25" s="17">
        <f>IF($L25="","",COUNT($L25:$Q25))</f>
        <v/>
      </c>
      <c r="X25" s="18">
        <f>IF($W25="","",INT(INDEX($L25:$Q25,$W25)))</f>
        <v/>
      </c>
      <c r="Y25" s="18">
        <f>IF(OR($W25="",$W25=6),"",WORKDAY($X25,CHOOSE($W25,3,3,2,2,3),Holidays))</f>
        <v/>
      </c>
      <c r="Z25" s="17">
        <f>IF(OR($W25="",$W25=6),"",CHOOSE($W25,"1st Email Follow-up","2nd Email Follow-up","Escalate Local Office","Escalate to CBE","Escalate to Roxanne"))</f>
        <v/>
      </c>
    </row>
    <row r="26" spans="18:26">
      <c r="R26" s="15"/>
      <c r="S26" s="16"/>
      <c r="T26" s="17">
        <f>IF(AND(COUNTA($A26:$K26)=0,$L26=""),"",IF($S26="Paid","PAID",IF($S26="Closed","CLOSED",IF($W26="","",IF($W26=6,"ESCALATED TO ROXANNE",IF(TODAY()&gt;$Y26,"OVERDUE",IF($Y26&lt;=WORKDAY(TODAY(),1,Holidays),"DUE TOMORROW",IF($W26=4,"ESCALATED TO LOCAL OFFICE",IF($W26=5,"ESCALATED TO CBE",IF($X26=TODAY(),"EMAIL SENT","MONITORING"))))))))))</f>
        <v/>
      </c>
      <c r="U26" s="17">
        <f>IF($T26="",IF(AND(COUNTA($A26:$K26)&gt;0,$L26=""),"Awaiting Collection Email time stamp.",""),IF(OR($T26="PAID",$T26="CLOSED"),IF($T26="PAID","Account paid. Action completed.","Account closed. No further action required."),CHOOSE($W26,"Collection Email","1st Email Follow-up","2nd Email Follow-up","Escalation to Local Office","Escalation to CBE","Escalation to Roxanne")&amp;" sent "&amp;TEXT($X26,"dd-mmm")&amp;". "&amp;IF($W26=6,"Final escalation completed.",IF($T26="OVERDUE","Next: "&amp;$Z26&amp;" was due "&amp;TEXT($Y26,"dd-mmm")&amp;" - "&amp;(NETWORKDAYS($Y26,TODAY(),Holidays)-1)&amp;" business day(s) late. Send now.",IF($T26="DUE TOMORROW","Next: "&amp;$Z26&amp;IF($Y26&lt;=TODAY()," is due TODAY ("," is due next business day (")&amp;TEXT($Y26,"dd-mmm")&amp;").","Next: "&amp;$Z26&amp;" due "&amp;TEXT($Y26,"dd-mmm")&amp;" ("&amp;(NETWORKDAYS(TODAY(),$Y26,Holidays)-1)&amp;" business day(s) left).")))))</f>
        <v/>
      </c>
      <c r="V26" s="17">
        <f>IF($W26="","",CHOOSE($W26,"Collection Email","1st Follow-up","2nd Follow-up","Local Office","CBE","Roxanne")&amp;IF($W26=6," - Final"," - Day "&amp;MAX(0,NETWORKDAYS($X26,TODAY(),Holidays)-1)&amp;" of "&amp;CHOOSE($W26,3,3,2,2,3))&amp;" | Total Day "&amp;MAX(0,NETWORKDAYS($L26,TODAY(),Holidays)-1))</f>
        <v/>
      </c>
      <c r="W26" s="17">
        <f>IF($L26="","",COUNT($L26:$Q26))</f>
        <v/>
      </c>
      <c r="X26" s="18">
        <f>IF($W26="","",INT(INDEX($L26:$Q26,$W26)))</f>
        <v/>
      </c>
      <c r="Y26" s="18">
        <f>IF(OR($W26="",$W26=6),"",WORKDAY($X26,CHOOSE($W26,3,3,2,2,3),Holidays))</f>
        <v/>
      </c>
      <c r="Z26" s="17">
        <f>IF(OR($W26="",$W26=6),"",CHOOSE($W26,"1st Email Follow-up","2nd Email Follow-up","Escalate Local Office","Escalate to CBE","Escalate to Roxanne"))</f>
        <v/>
      </c>
    </row>
    <row r="27" spans="18:26">
      <c r="R27" s="15"/>
      <c r="S27" s="16"/>
      <c r="T27" s="17">
        <f>IF(AND(COUNTA($A27:$K27)=0,$L27=""),"",IF($S27="Paid","PAID",IF($S27="Closed","CLOSED",IF($W27="","",IF($W27=6,"ESCALATED TO ROXANNE",IF(TODAY()&gt;$Y27,"OVERDUE",IF($Y27&lt;=WORKDAY(TODAY(),1,Holidays),"DUE TOMORROW",IF($W27=4,"ESCALATED TO LOCAL OFFICE",IF($W27=5,"ESCALATED TO CBE",IF($X27=TODAY(),"EMAIL SENT","MONITORING"))))))))))</f>
        <v/>
      </c>
      <c r="U27" s="17">
        <f>IF($T27="",IF(AND(COUNTA($A27:$K27)&gt;0,$L27=""),"Awaiting Collection Email time stamp.",""),IF(OR($T27="PAID",$T27="CLOSED"),IF($T27="PAID","Account paid. Action completed.","Account closed. No further action required."),CHOOSE($W27,"Collection Email","1st Email Follow-up","2nd Email Follow-up","Escalation to Local Office","Escalation to CBE","Escalation to Roxanne")&amp;" sent "&amp;TEXT($X27,"dd-mmm")&amp;". "&amp;IF($W27=6,"Final escalation completed.",IF($T27="OVERDUE","Next: "&amp;$Z27&amp;" was due "&amp;TEXT($Y27,"dd-mmm")&amp;" - "&amp;(NETWORKDAYS($Y27,TODAY(),Holidays)-1)&amp;" business day(s) late. Send now.",IF($T27="DUE TOMORROW","Next: "&amp;$Z27&amp;IF($Y27&lt;=TODAY()," is due TODAY ("," is due next business day (")&amp;TEXT($Y27,"dd-mmm")&amp;").","Next: "&amp;$Z27&amp;" due "&amp;TEXT($Y27,"dd-mmm")&amp;" ("&amp;(NETWORKDAYS(TODAY(),$Y27,Holidays)-1)&amp;" business day(s) left).")))))</f>
        <v/>
      </c>
      <c r="V27" s="17">
        <f>IF($W27="","",CHOOSE($W27,"Collection Email","1st Follow-up","2nd Follow-up","Local Office","CBE","Roxanne")&amp;IF($W27=6," - Final"," - Day "&amp;MAX(0,NETWORKDAYS($X27,TODAY(),Holidays)-1)&amp;" of "&amp;CHOOSE($W27,3,3,2,2,3))&amp;" | Total Day "&amp;MAX(0,NETWORKDAYS($L27,TODAY(),Holidays)-1))</f>
        <v/>
      </c>
      <c r="W27" s="17">
        <f>IF($L27="","",COUNT($L27:$Q27))</f>
        <v/>
      </c>
      <c r="X27" s="18">
        <f>IF($W27="","",INT(INDEX($L27:$Q27,$W27)))</f>
        <v/>
      </c>
      <c r="Y27" s="18">
        <f>IF(OR($W27="",$W27=6),"",WORKDAY($X27,CHOOSE($W27,3,3,2,2,3),Holidays))</f>
        <v/>
      </c>
      <c r="Z27" s="17">
        <f>IF(OR($W27="",$W27=6),"",CHOOSE($W27,"1st Email Follow-up","2nd Email Follow-up","Escalate Local Office","Escalate to CBE","Escalate to Roxanne"))</f>
        <v/>
      </c>
    </row>
    <row r="28" spans="18:26">
      <c r="R28" s="15"/>
      <c r="S28" s="16"/>
      <c r="T28" s="17">
        <f>IF(AND(COUNTA($A28:$K28)=0,$L28=""),"",IF($S28="Paid","PAID",IF($S28="Closed","CLOSED",IF($W28="","",IF($W28=6,"ESCALATED TO ROXANNE",IF(TODAY()&gt;$Y28,"OVERDUE",IF($Y28&lt;=WORKDAY(TODAY(),1,Holidays),"DUE TOMORROW",IF($W28=4,"ESCALATED TO LOCAL OFFICE",IF($W28=5,"ESCALATED TO CBE",IF($X28=TODAY(),"EMAIL SENT","MONITORING"))))))))))</f>
        <v/>
      </c>
      <c r="U28" s="17">
        <f>IF($T28="",IF(AND(COUNTA($A28:$K28)&gt;0,$L28=""),"Awaiting Collection Email time stamp.",""),IF(OR($T28="PAID",$T28="CLOSED"),IF($T28="PAID","Account paid. Action completed.","Account closed. No further action required."),CHOOSE($W28,"Collection Email","1st Email Follow-up","2nd Email Follow-up","Escalation to Local Office","Escalation to CBE","Escalation to Roxanne")&amp;" sent "&amp;TEXT($X28,"dd-mmm")&amp;". "&amp;IF($W28=6,"Final escalation completed.",IF($T28="OVERDUE","Next: "&amp;$Z28&amp;" was due "&amp;TEXT($Y28,"dd-mmm")&amp;" - "&amp;(NETWORKDAYS($Y28,TODAY(),Holidays)-1)&amp;" business day(s) late. Send now.",IF($T28="DUE TOMORROW","Next: "&amp;$Z28&amp;IF($Y28&lt;=TODAY()," is due TODAY ("," is due next business day (")&amp;TEXT($Y28,"dd-mmm")&amp;").","Next: "&amp;$Z28&amp;" due "&amp;TEXT($Y28,"dd-mmm")&amp;" ("&amp;(NETWORKDAYS(TODAY(),$Y28,Holidays)-1)&amp;" business day(s) left).")))))</f>
        <v/>
      </c>
      <c r="V28" s="17">
        <f>IF($W28="","",CHOOSE($W28,"Collection Email","1st Follow-up","2nd Follow-up","Local Office","CBE","Roxanne")&amp;IF($W28=6," - Final"," - Day "&amp;MAX(0,NETWORKDAYS($X28,TODAY(),Holidays)-1)&amp;" of "&amp;CHOOSE($W28,3,3,2,2,3))&amp;" | Total Day "&amp;MAX(0,NETWORKDAYS($L28,TODAY(),Holidays)-1))</f>
        <v/>
      </c>
      <c r="W28" s="17">
        <f>IF($L28="","",COUNT($L28:$Q28))</f>
        <v/>
      </c>
      <c r="X28" s="18">
        <f>IF($W28="","",INT(INDEX($L28:$Q28,$W28)))</f>
        <v/>
      </c>
      <c r="Y28" s="18">
        <f>IF(OR($W28="",$W28=6),"",WORKDAY($X28,CHOOSE($W28,3,3,2,2,3),Holidays))</f>
        <v/>
      </c>
      <c r="Z28" s="17">
        <f>IF(OR($W28="",$W28=6),"",CHOOSE($W28,"1st Email Follow-up","2nd Email Follow-up","Escalate Local Office","Escalate to CBE","Escalate to Roxanne"))</f>
        <v/>
      </c>
    </row>
    <row r="29" spans="18:26">
      <c r="R29" s="15"/>
      <c r="S29" s="16"/>
      <c r="T29" s="17">
        <f>IF(AND(COUNTA($A29:$K29)=0,$L29=""),"",IF($S29="Paid","PAID",IF($S29="Closed","CLOSED",IF($W29="","",IF($W29=6,"ESCALATED TO ROXANNE",IF(TODAY()&gt;$Y29,"OVERDUE",IF($Y29&lt;=WORKDAY(TODAY(),1,Holidays),"DUE TOMORROW",IF($W29=4,"ESCALATED TO LOCAL OFFICE",IF($W29=5,"ESCALATED TO CBE",IF($X29=TODAY(),"EMAIL SENT","MONITORING"))))))))))</f>
        <v/>
      </c>
      <c r="U29" s="17">
        <f>IF($T29="",IF(AND(COUNTA($A29:$K29)&gt;0,$L29=""),"Awaiting Collection Email time stamp.",""),IF(OR($T29="PAID",$T29="CLOSED"),IF($T29="PAID","Account paid. Action completed.","Account closed. No further action required."),CHOOSE($W29,"Collection Email","1st Email Follow-up","2nd Email Follow-up","Escalation to Local Office","Escalation to CBE","Escalation to Roxanne")&amp;" sent "&amp;TEXT($X29,"dd-mmm")&amp;". "&amp;IF($W29=6,"Final escalation completed.",IF($T29="OVERDUE","Next: "&amp;$Z29&amp;" was due "&amp;TEXT($Y29,"dd-mmm")&amp;" - "&amp;(NETWORKDAYS($Y29,TODAY(),Holidays)-1)&amp;" business day(s) late. Send now.",IF($T29="DUE TOMORROW","Next: "&amp;$Z29&amp;IF($Y29&lt;=TODAY()," is due TODAY ("," is due next business day (")&amp;TEXT($Y29,"dd-mmm")&amp;").","Next: "&amp;$Z29&amp;" due "&amp;TEXT($Y29,"dd-mmm")&amp;" ("&amp;(NETWORKDAYS(TODAY(),$Y29,Holidays)-1)&amp;" business day(s) left).")))))</f>
        <v/>
      </c>
      <c r="V29" s="17">
        <f>IF($W29="","",CHOOSE($W29,"Collection Email","1st Follow-up","2nd Follow-up","Local Office","CBE","Roxanne")&amp;IF($W29=6," - Final"," - Day "&amp;MAX(0,NETWORKDAYS($X29,TODAY(),Holidays)-1)&amp;" of "&amp;CHOOSE($W29,3,3,2,2,3))&amp;" | Total Day "&amp;MAX(0,NETWORKDAYS($L29,TODAY(),Holidays)-1))</f>
        <v/>
      </c>
      <c r="W29" s="17">
        <f>IF($L29="","",COUNT($L29:$Q29))</f>
        <v/>
      </c>
      <c r="X29" s="18">
        <f>IF($W29="","",INT(INDEX($L29:$Q29,$W29)))</f>
        <v/>
      </c>
      <c r="Y29" s="18">
        <f>IF(OR($W29="",$W29=6),"",WORKDAY($X29,CHOOSE($W29,3,3,2,2,3),Holidays))</f>
        <v/>
      </c>
      <c r="Z29" s="17">
        <f>IF(OR($W29="",$W29=6),"",CHOOSE($W29,"1st Email Follow-up","2nd Email Follow-up","Escalate Local Office","Escalate to CBE","Escalate to Roxanne"))</f>
        <v/>
      </c>
    </row>
    <row r="30" spans="18:26">
      <c r="R30" s="15"/>
      <c r="S30" s="16"/>
      <c r="T30" s="17">
        <f>IF(AND(COUNTA($A30:$K30)=0,$L30=""),"",IF($S30="Paid","PAID",IF($S30="Closed","CLOSED",IF($W30="","",IF($W30=6,"ESCALATED TO ROXANNE",IF(TODAY()&gt;$Y30,"OVERDUE",IF($Y30&lt;=WORKDAY(TODAY(),1,Holidays),"DUE TOMORROW",IF($W30=4,"ESCALATED TO LOCAL OFFICE",IF($W30=5,"ESCALATED TO CBE",IF($X30=TODAY(),"EMAIL SENT","MONITORING"))))))))))</f>
        <v/>
      </c>
      <c r="U30" s="17">
        <f>IF($T30="",IF(AND(COUNTA($A30:$K30)&gt;0,$L30=""),"Awaiting Collection Email time stamp.",""),IF(OR($T30="PAID",$T30="CLOSED"),IF($T30="PAID","Account paid. Action completed.","Account closed. No further action required."),CHOOSE($W30,"Collection Email","1st Email Follow-up","2nd Email Follow-up","Escalation to Local Office","Escalation to CBE","Escalation to Roxanne")&amp;" sent "&amp;TEXT($X30,"dd-mmm")&amp;". "&amp;IF($W30=6,"Final escalation completed.",IF($T30="OVERDUE","Next: "&amp;$Z30&amp;" was due "&amp;TEXT($Y30,"dd-mmm")&amp;" - "&amp;(NETWORKDAYS($Y30,TODAY(),Holidays)-1)&amp;" business day(s) late. Send now.",IF($T30="DUE TOMORROW","Next: "&amp;$Z30&amp;IF($Y30&lt;=TODAY()," is due TODAY ("," is due next business day (")&amp;TEXT($Y30,"dd-mmm")&amp;").","Next: "&amp;$Z30&amp;" due "&amp;TEXT($Y30,"dd-mmm")&amp;" ("&amp;(NETWORKDAYS(TODAY(),$Y30,Holidays)-1)&amp;" business day(s) left).")))))</f>
        <v/>
      </c>
      <c r="V30" s="17">
        <f>IF($W30="","",CHOOSE($W30,"Collection Email","1st Follow-up","2nd Follow-up","Local Office","CBE","Roxanne")&amp;IF($W30=6," - Final"," - Day "&amp;MAX(0,NETWORKDAYS($X30,TODAY(),Holidays)-1)&amp;" of "&amp;CHOOSE($W30,3,3,2,2,3))&amp;" | Total Day "&amp;MAX(0,NETWORKDAYS($L30,TODAY(),Holidays)-1))</f>
        <v/>
      </c>
      <c r="W30" s="17">
        <f>IF($L30="","",COUNT($L30:$Q30))</f>
        <v/>
      </c>
      <c r="X30" s="18">
        <f>IF($W30="","",INT(INDEX($L30:$Q30,$W30)))</f>
        <v/>
      </c>
      <c r="Y30" s="18">
        <f>IF(OR($W30="",$W30=6),"",WORKDAY($X30,CHOOSE($W30,3,3,2,2,3),Holidays))</f>
        <v/>
      </c>
      <c r="Z30" s="17">
        <f>IF(OR($W30="",$W30=6),"",CHOOSE($W30,"1st Email Follow-up","2nd Email Follow-up","Escalate Local Office","Escalate to CBE","Escalate to Roxanne"))</f>
        <v/>
      </c>
    </row>
    <row r="31" spans="18:26">
      <c r="R31" s="15"/>
      <c r="S31" s="16"/>
      <c r="T31" s="17">
        <f>IF(AND(COUNTA($A31:$K31)=0,$L31=""),"",IF($S31="Paid","PAID",IF($S31="Closed","CLOSED",IF($W31="","",IF($W31=6,"ESCALATED TO ROXANNE",IF(TODAY()&gt;$Y31,"OVERDUE",IF($Y31&lt;=WORKDAY(TODAY(),1,Holidays),"DUE TOMORROW",IF($W31=4,"ESCALATED TO LOCAL OFFICE",IF($W31=5,"ESCALATED TO CBE",IF($X31=TODAY(),"EMAIL SENT","MONITORING"))))))))))</f>
        <v/>
      </c>
      <c r="U31" s="17">
        <f>IF($T31="",IF(AND(COUNTA($A31:$K31)&gt;0,$L31=""),"Awaiting Collection Email time stamp.",""),IF(OR($T31="PAID",$T31="CLOSED"),IF($T31="PAID","Account paid. Action completed.","Account closed. No further action required."),CHOOSE($W31,"Collection Email","1st Email Follow-up","2nd Email Follow-up","Escalation to Local Office","Escalation to CBE","Escalation to Roxanne")&amp;" sent "&amp;TEXT($X31,"dd-mmm")&amp;". "&amp;IF($W31=6,"Final escalation completed.",IF($T31="OVERDUE","Next: "&amp;$Z31&amp;" was due "&amp;TEXT($Y31,"dd-mmm")&amp;" - "&amp;(NETWORKDAYS($Y31,TODAY(),Holidays)-1)&amp;" business day(s) late. Send now.",IF($T31="DUE TOMORROW","Next: "&amp;$Z31&amp;IF($Y31&lt;=TODAY()," is due TODAY ("," is due next business day (")&amp;TEXT($Y31,"dd-mmm")&amp;").","Next: "&amp;$Z31&amp;" due "&amp;TEXT($Y31,"dd-mmm")&amp;" ("&amp;(NETWORKDAYS(TODAY(),$Y31,Holidays)-1)&amp;" business day(s) left).")))))</f>
        <v/>
      </c>
      <c r="V31" s="17">
        <f>IF($W31="","",CHOOSE($W31,"Collection Email","1st Follow-up","2nd Follow-up","Local Office","CBE","Roxanne")&amp;IF($W31=6," - Final"," - Day "&amp;MAX(0,NETWORKDAYS($X31,TODAY(),Holidays)-1)&amp;" of "&amp;CHOOSE($W31,3,3,2,2,3))&amp;" | Total Day "&amp;MAX(0,NETWORKDAYS($L31,TODAY(),Holidays)-1))</f>
        <v/>
      </c>
      <c r="W31" s="17">
        <f>IF($L31="","",COUNT($L31:$Q31))</f>
        <v/>
      </c>
      <c r="X31" s="18">
        <f>IF($W31="","",INT(INDEX($L31:$Q31,$W31)))</f>
        <v/>
      </c>
      <c r="Y31" s="18">
        <f>IF(OR($W31="",$W31=6),"",WORKDAY($X31,CHOOSE($W31,3,3,2,2,3),Holidays))</f>
        <v/>
      </c>
      <c r="Z31" s="17">
        <f>IF(OR($W31="",$W31=6),"",CHOOSE($W31,"1st Email Follow-up","2nd Email Follow-up","Escalate Local Office","Escalate to CBE","Escalate to Roxanne"))</f>
        <v/>
      </c>
    </row>
    <row r="32" spans="18:26">
      <c r="R32" s="15"/>
      <c r="S32" s="16"/>
      <c r="T32" s="17">
        <f>IF(AND(COUNTA($A32:$K32)=0,$L32=""),"",IF($S32="Paid","PAID",IF($S32="Closed","CLOSED",IF($W32="","",IF($W32=6,"ESCALATED TO ROXANNE",IF(TODAY()&gt;$Y32,"OVERDUE",IF($Y32&lt;=WORKDAY(TODAY(),1,Holidays),"DUE TOMORROW",IF($W32=4,"ESCALATED TO LOCAL OFFICE",IF($W32=5,"ESCALATED TO CBE",IF($X32=TODAY(),"EMAIL SENT","MONITORING"))))))))))</f>
        <v/>
      </c>
      <c r="U32" s="17">
        <f>IF($T32="",IF(AND(COUNTA($A32:$K32)&gt;0,$L32=""),"Awaiting Collection Email time stamp.",""),IF(OR($T32="PAID",$T32="CLOSED"),IF($T32="PAID","Account paid. Action completed.","Account closed. No further action required."),CHOOSE($W32,"Collection Email","1st Email Follow-up","2nd Email Follow-up","Escalation to Local Office","Escalation to CBE","Escalation to Roxanne")&amp;" sent "&amp;TEXT($X32,"dd-mmm")&amp;". "&amp;IF($W32=6,"Final escalation completed.",IF($T32="OVERDUE","Next: "&amp;$Z32&amp;" was due "&amp;TEXT($Y32,"dd-mmm")&amp;" - "&amp;(NETWORKDAYS($Y32,TODAY(),Holidays)-1)&amp;" business day(s) late. Send now.",IF($T32="DUE TOMORROW","Next: "&amp;$Z32&amp;IF($Y32&lt;=TODAY()," is due TODAY ("," is due next business day (")&amp;TEXT($Y32,"dd-mmm")&amp;").","Next: "&amp;$Z32&amp;" due "&amp;TEXT($Y32,"dd-mmm")&amp;" ("&amp;(NETWORKDAYS(TODAY(),$Y32,Holidays)-1)&amp;" business day(s) left).")))))</f>
        <v/>
      </c>
      <c r="V32" s="17">
        <f>IF($W32="","",CHOOSE($W32,"Collection Email","1st Follow-up","2nd Follow-up","Local Office","CBE","Roxanne")&amp;IF($W32=6," - Final"," - Day "&amp;MAX(0,NETWORKDAYS($X32,TODAY(),Holidays)-1)&amp;" of "&amp;CHOOSE($W32,3,3,2,2,3))&amp;" | Total Day "&amp;MAX(0,NETWORKDAYS($L32,TODAY(),Holidays)-1))</f>
        <v/>
      </c>
      <c r="W32" s="17">
        <f>IF($L32="","",COUNT($L32:$Q32))</f>
        <v/>
      </c>
      <c r="X32" s="18">
        <f>IF($W32="","",INT(INDEX($L32:$Q32,$W32)))</f>
        <v/>
      </c>
      <c r="Y32" s="18">
        <f>IF(OR($W32="",$W32=6),"",WORKDAY($X32,CHOOSE($W32,3,3,2,2,3),Holidays))</f>
        <v/>
      </c>
      <c r="Z32" s="17">
        <f>IF(OR($W32="",$W32=6),"",CHOOSE($W32,"1st Email Follow-up","2nd Email Follow-up","Escalate Local Office","Escalate to CBE","Escalate to Roxanne"))</f>
        <v/>
      </c>
    </row>
    <row r="33" spans="18:26">
      <c r="R33" s="15"/>
      <c r="S33" s="16"/>
      <c r="T33" s="17">
        <f>IF(AND(COUNTA($A33:$K33)=0,$L33=""),"",IF($S33="Paid","PAID",IF($S33="Closed","CLOSED",IF($W33="","",IF($W33=6,"ESCALATED TO ROXANNE",IF(TODAY()&gt;$Y33,"OVERDUE",IF($Y33&lt;=WORKDAY(TODAY(),1,Holidays),"DUE TOMORROW",IF($W33=4,"ESCALATED TO LOCAL OFFICE",IF($W33=5,"ESCALATED TO CBE",IF($X33=TODAY(),"EMAIL SENT","MONITORING"))))))))))</f>
        <v/>
      </c>
      <c r="U33" s="17">
        <f>IF($T33="",IF(AND(COUNTA($A33:$K33)&gt;0,$L33=""),"Awaiting Collection Email time stamp.",""),IF(OR($T33="PAID",$T33="CLOSED"),IF($T33="PAID","Account paid. Action completed.","Account closed. No further action required."),CHOOSE($W33,"Collection Email","1st Email Follow-up","2nd Email Follow-up","Escalation to Local Office","Escalation to CBE","Escalation to Roxanne")&amp;" sent "&amp;TEXT($X33,"dd-mmm")&amp;". "&amp;IF($W33=6,"Final escalation completed.",IF($T33="OVERDUE","Next: "&amp;$Z33&amp;" was due "&amp;TEXT($Y33,"dd-mmm")&amp;" - "&amp;(NETWORKDAYS($Y33,TODAY(),Holidays)-1)&amp;" business day(s) late. Send now.",IF($T33="DUE TOMORROW","Next: "&amp;$Z33&amp;IF($Y33&lt;=TODAY()," is due TODAY ("," is due next business day (")&amp;TEXT($Y33,"dd-mmm")&amp;").","Next: "&amp;$Z33&amp;" due "&amp;TEXT($Y33,"dd-mmm")&amp;" ("&amp;(NETWORKDAYS(TODAY(),$Y33,Holidays)-1)&amp;" business day(s) left).")))))</f>
        <v/>
      </c>
      <c r="V33" s="17">
        <f>IF($W33="","",CHOOSE($W33,"Collection Email","1st Follow-up","2nd Follow-up","Local Office","CBE","Roxanne")&amp;IF($W33=6," - Final"," - Day "&amp;MAX(0,NETWORKDAYS($X33,TODAY(),Holidays)-1)&amp;" of "&amp;CHOOSE($W33,3,3,2,2,3))&amp;" | Total Day "&amp;MAX(0,NETWORKDAYS($L33,TODAY(),Holidays)-1))</f>
        <v/>
      </c>
      <c r="W33" s="17">
        <f>IF($L33="","",COUNT($L33:$Q33))</f>
        <v/>
      </c>
      <c r="X33" s="18">
        <f>IF($W33="","",INT(INDEX($L33:$Q33,$W33)))</f>
        <v/>
      </c>
      <c r="Y33" s="18">
        <f>IF(OR($W33="",$W33=6),"",WORKDAY($X33,CHOOSE($W33,3,3,2,2,3),Holidays))</f>
        <v/>
      </c>
      <c r="Z33" s="17">
        <f>IF(OR($W33="",$W33=6),"",CHOOSE($W33,"1st Email Follow-up","2nd Email Follow-up","Escalate Local Office","Escalate to CBE","Escalate to Roxanne"))</f>
        <v/>
      </c>
    </row>
    <row r="34" spans="18:26">
      <c r="R34" s="15"/>
      <c r="S34" s="16"/>
      <c r="T34" s="17">
        <f>IF(AND(COUNTA($A34:$K34)=0,$L34=""),"",IF($S34="Paid","PAID",IF($S34="Closed","CLOSED",IF($W34="","",IF($W34=6,"ESCALATED TO ROXANNE",IF(TODAY()&gt;$Y34,"OVERDUE",IF($Y34&lt;=WORKDAY(TODAY(),1,Holidays),"DUE TOMORROW",IF($W34=4,"ESCALATED TO LOCAL OFFICE",IF($W34=5,"ESCALATED TO CBE",IF($X34=TODAY(),"EMAIL SENT","MONITORING"))))))))))</f>
        <v/>
      </c>
      <c r="U34" s="17">
        <f>IF($T34="",IF(AND(COUNTA($A34:$K34)&gt;0,$L34=""),"Awaiting Collection Email time stamp.",""),IF(OR($T34="PAID",$T34="CLOSED"),IF($T34="PAID","Account paid. Action completed.","Account closed. No further action required."),CHOOSE($W34,"Collection Email","1st Email Follow-up","2nd Email Follow-up","Escalation to Local Office","Escalation to CBE","Escalation to Roxanne")&amp;" sent "&amp;TEXT($X34,"dd-mmm")&amp;". "&amp;IF($W34=6,"Final escalation completed.",IF($T34="OVERDUE","Next: "&amp;$Z34&amp;" was due "&amp;TEXT($Y34,"dd-mmm")&amp;" - "&amp;(NETWORKDAYS($Y34,TODAY(),Holidays)-1)&amp;" business day(s) late. Send now.",IF($T34="DUE TOMORROW","Next: "&amp;$Z34&amp;IF($Y34&lt;=TODAY()," is due TODAY ("," is due next business day (")&amp;TEXT($Y34,"dd-mmm")&amp;").","Next: "&amp;$Z34&amp;" due "&amp;TEXT($Y34,"dd-mmm")&amp;" ("&amp;(NETWORKDAYS(TODAY(),$Y34,Holidays)-1)&amp;" business day(s) left).")))))</f>
        <v/>
      </c>
      <c r="V34" s="17">
        <f>IF($W34="","",CHOOSE($W34,"Collection Email","1st Follow-up","2nd Follow-up","Local Office","CBE","Roxanne")&amp;IF($W34=6," - Final"," - Day "&amp;MAX(0,NETWORKDAYS($X34,TODAY(),Holidays)-1)&amp;" of "&amp;CHOOSE($W34,3,3,2,2,3))&amp;" | Total Day "&amp;MAX(0,NETWORKDAYS($L34,TODAY(),Holidays)-1))</f>
        <v/>
      </c>
      <c r="W34" s="17">
        <f>IF($L34="","",COUNT($L34:$Q34))</f>
        <v/>
      </c>
      <c r="X34" s="18">
        <f>IF($W34="","",INT(INDEX($L34:$Q34,$W34)))</f>
        <v/>
      </c>
      <c r="Y34" s="18">
        <f>IF(OR($W34="",$W34=6),"",WORKDAY($X34,CHOOSE($W34,3,3,2,2,3),Holidays))</f>
        <v/>
      </c>
      <c r="Z34" s="17">
        <f>IF(OR($W34="",$W34=6),"",CHOOSE($W34,"1st Email Follow-up","2nd Email Follow-up","Escalate Local Office","Escalate to CBE","Escalate to Roxanne"))</f>
        <v/>
      </c>
    </row>
    <row r="35" spans="18:26">
      <c r="R35" s="15"/>
      <c r="S35" s="16"/>
      <c r="T35" s="17">
        <f>IF(AND(COUNTA($A35:$K35)=0,$L35=""),"",IF($S35="Paid","PAID",IF($S35="Closed","CLOSED",IF($W35="","",IF($W35=6,"ESCALATED TO ROXANNE",IF(TODAY()&gt;$Y35,"OVERDUE",IF($Y35&lt;=WORKDAY(TODAY(),1,Holidays),"DUE TOMORROW",IF($W35=4,"ESCALATED TO LOCAL OFFICE",IF($W35=5,"ESCALATED TO CBE",IF($X35=TODAY(),"EMAIL SENT","MONITORING"))))))))))</f>
        <v/>
      </c>
      <c r="U35" s="17">
        <f>IF($T35="",IF(AND(COUNTA($A35:$K35)&gt;0,$L35=""),"Awaiting Collection Email time stamp.",""),IF(OR($T35="PAID",$T35="CLOSED"),IF($T35="PAID","Account paid. Action completed.","Account closed. No further action required."),CHOOSE($W35,"Collection Email","1st Email Follow-up","2nd Email Follow-up","Escalation to Local Office","Escalation to CBE","Escalation to Roxanne")&amp;" sent "&amp;TEXT($X35,"dd-mmm")&amp;". "&amp;IF($W35=6,"Final escalation completed.",IF($T35="OVERDUE","Next: "&amp;$Z35&amp;" was due "&amp;TEXT($Y35,"dd-mmm")&amp;" - "&amp;(NETWORKDAYS($Y35,TODAY(),Holidays)-1)&amp;" business day(s) late. Send now.",IF($T35="DUE TOMORROW","Next: "&amp;$Z35&amp;IF($Y35&lt;=TODAY()," is due TODAY ("," is due next business day (")&amp;TEXT($Y35,"dd-mmm")&amp;").","Next: "&amp;$Z35&amp;" due "&amp;TEXT($Y35,"dd-mmm")&amp;" ("&amp;(NETWORKDAYS(TODAY(),$Y35,Holidays)-1)&amp;" business day(s) left).")))))</f>
        <v/>
      </c>
      <c r="V35" s="17">
        <f>IF($W35="","",CHOOSE($W35,"Collection Email","1st Follow-up","2nd Follow-up","Local Office","CBE","Roxanne")&amp;IF($W35=6," - Final"," - Day "&amp;MAX(0,NETWORKDAYS($X35,TODAY(),Holidays)-1)&amp;" of "&amp;CHOOSE($W35,3,3,2,2,3))&amp;" | Total Day "&amp;MAX(0,NETWORKDAYS($L35,TODAY(),Holidays)-1))</f>
        <v/>
      </c>
      <c r="W35" s="17">
        <f>IF($L35="","",COUNT($L35:$Q35))</f>
        <v/>
      </c>
      <c r="X35" s="18">
        <f>IF($W35="","",INT(INDEX($L35:$Q35,$W35)))</f>
        <v/>
      </c>
      <c r="Y35" s="18">
        <f>IF(OR($W35="",$W35=6),"",WORKDAY($X35,CHOOSE($W35,3,3,2,2,3),Holidays))</f>
        <v/>
      </c>
      <c r="Z35" s="17">
        <f>IF(OR($W35="",$W35=6),"",CHOOSE($W35,"1st Email Follow-up","2nd Email Follow-up","Escalate Local Office","Escalate to CBE","Escalate to Roxanne"))</f>
        <v/>
      </c>
    </row>
    <row r="36" spans="18:26">
      <c r="R36" s="15"/>
      <c r="S36" s="16"/>
      <c r="T36" s="17">
        <f>IF(AND(COUNTA($A36:$K36)=0,$L36=""),"",IF($S36="Paid","PAID",IF($S36="Closed","CLOSED",IF($W36="","",IF($W36=6,"ESCALATED TO ROXANNE",IF(TODAY()&gt;$Y36,"OVERDUE",IF($Y36&lt;=WORKDAY(TODAY(),1,Holidays),"DUE TOMORROW",IF($W36=4,"ESCALATED TO LOCAL OFFICE",IF($W36=5,"ESCALATED TO CBE",IF($X36=TODAY(),"EMAIL SENT","MONITORING"))))))))))</f>
        <v/>
      </c>
      <c r="U36" s="17">
        <f>IF($T36="",IF(AND(COUNTA($A36:$K36)&gt;0,$L36=""),"Awaiting Collection Email time stamp.",""),IF(OR($T36="PAID",$T36="CLOSED"),IF($T36="PAID","Account paid. Action completed.","Account closed. No further action required."),CHOOSE($W36,"Collection Email","1st Email Follow-up","2nd Email Follow-up","Escalation to Local Office","Escalation to CBE","Escalation to Roxanne")&amp;" sent "&amp;TEXT($X36,"dd-mmm")&amp;". "&amp;IF($W36=6,"Final escalation completed.",IF($T36="OVERDUE","Next: "&amp;$Z36&amp;" was due "&amp;TEXT($Y36,"dd-mmm")&amp;" - "&amp;(NETWORKDAYS($Y36,TODAY(),Holidays)-1)&amp;" business day(s) late. Send now.",IF($T36="DUE TOMORROW","Next: "&amp;$Z36&amp;IF($Y36&lt;=TODAY()," is due TODAY ("," is due next business day (")&amp;TEXT($Y36,"dd-mmm")&amp;").","Next: "&amp;$Z36&amp;" due "&amp;TEXT($Y36,"dd-mmm")&amp;" ("&amp;(NETWORKDAYS(TODAY(),$Y36,Holidays)-1)&amp;" business day(s) left).")))))</f>
        <v/>
      </c>
      <c r="V36" s="17">
        <f>IF($W36="","",CHOOSE($W36,"Collection Email","1st Follow-up","2nd Follow-up","Local Office","CBE","Roxanne")&amp;IF($W36=6," - Final"," - Day "&amp;MAX(0,NETWORKDAYS($X36,TODAY(),Holidays)-1)&amp;" of "&amp;CHOOSE($W36,3,3,2,2,3))&amp;" | Total Day "&amp;MAX(0,NETWORKDAYS($L36,TODAY(),Holidays)-1))</f>
        <v/>
      </c>
      <c r="W36" s="17">
        <f>IF($L36="","",COUNT($L36:$Q36))</f>
        <v/>
      </c>
      <c r="X36" s="18">
        <f>IF($W36="","",INT(INDEX($L36:$Q36,$W36)))</f>
        <v/>
      </c>
      <c r="Y36" s="18">
        <f>IF(OR($W36="",$W36=6),"",WORKDAY($X36,CHOOSE($W36,3,3,2,2,3),Holidays))</f>
        <v/>
      </c>
      <c r="Z36" s="17">
        <f>IF(OR($W36="",$W36=6),"",CHOOSE($W36,"1st Email Follow-up","2nd Email Follow-up","Escalate Local Office","Escalate to CBE","Escalate to Roxanne"))</f>
        <v/>
      </c>
    </row>
    <row r="37" spans="18:26">
      <c r="R37" s="15"/>
      <c r="S37" s="16"/>
      <c r="T37" s="17">
        <f>IF(AND(COUNTA($A37:$K37)=0,$L37=""),"",IF($S37="Paid","PAID",IF($S37="Closed","CLOSED",IF($W37="","",IF($W37=6,"ESCALATED TO ROXANNE",IF(TODAY()&gt;$Y37,"OVERDUE",IF($Y37&lt;=WORKDAY(TODAY(),1,Holidays),"DUE TOMORROW",IF($W37=4,"ESCALATED TO LOCAL OFFICE",IF($W37=5,"ESCALATED TO CBE",IF($X37=TODAY(),"EMAIL SENT","MONITORING"))))))))))</f>
        <v/>
      </c>
      <c r="U37" s="17">
        <f>IF($T37="",IF(AND(COUNTA($A37:$K37)&gt;0,$L37=""),"Awaiting Collection Email time stamp.",""),IF(OR($T37="PAID",$T37="CLOSED"),IF($T37="PAID","Account paid. Action completed.","Account closed. No further action required."),CHOOSE($W37,"Collection Email","1st Email Follow-up","2nd Email Follow-up","Escalation to Local Office","Escalation to CBE","Escalation to Roxanne")&amp;" sent "&amp;TEXT($X37,"dd-mmm")&amp;". "&amp;IF($W37=6,"Final escalation completed.",IF($T37="OVERDUE","Next: "&amp;$Z37&amp;" was due "&amp;TEXT($Y37,"dd-mmm")&amp;" - "&amp;(NETWORKDAYS($Y37,TODAY(),Holidays)-1)&amp;" business day(s) late. Send now.",IF($T37="DUE TOMORROW","Next: "&amp;$Z37&amp;IF($Y37&lt;=TODAY()," is due TODAY ("," is due next business day (")&amp;TEXT($Y37,"dd-mmm")&amp;").","Next: "&amp;$Z37&amp;" due "&amp;TEXT($Y37,"dd-mmm")&amp;" ("&amp;(NETWORKDAYS(TODAY(),$Y37,Holidays)-1)&amp;" business day(s) left).")))))</f>
        <v/>
      </c>
      <c r="V37" s="17">
        <f>IF($W37="","",CHOOSE($W37,"Collection Email","1st Follow-up","2nd Follow-up","Local Office","CBE","Roxanne")&amp;IF($W37=6," - Final"," - Day "&amp;MAX(0,NETWORKDAYS($X37,TODAY(),Holidays)-1)&amp;" of "&amp;CHOOSE($W37,3,3,2,2,3))&amp;" | Total Day "&amp;MAX(0,NETWORKDAYS($L37,TODAY(),Holidays)-1))</f>
        <v/>
      </c>
      <c r="W37" s="17">
        <f>IF($L37="","",COUNT($L37:$Q37))</f>
        <v/>
      </c>
      <c r="X37" s="18">
        <f>IF($W37="","",INT(INDEX($L37:$Q37,$W37)))</f>
        <v/>
      </c>
      <c r="Y37" s="18">
        <f>IF(OR($W37="",$W37=6),"",WORKDAY($X37,CHOOSE($W37,3,3,2,2,3),Holidays))</f>
        <v/>
      </c>
      <c r="Z37" s="17">
        <f>IF(OR($W37="",$W37=6),"",CHOOSE($W37,"1st Email Follow-up","2nd Email Follow-up","Escalate Local Office","Escalate to CBE","Escalate to Roxanne"))</f>
        <v/>
      </c>
    </row>
    <row r="38" spans="18:26">
      <c r="R38" s="15"/>
      <c r="S38" s="16"/>
      <c r="T38" s="17">
        <f>IF(AND(COUNTA($A38:$K38)=0,$L38=""),"",IF($S38="Paid","PAID",IF($S38="Closed","CLOSED",IF($W38="","",IF($W38=6,"ESCALATED TO ROXANNE",IF(TODAY()&gt;$Y38,"OVERDUE",IF($Y38&lt;=WORKDAY(TODAY(),1,Holidays),"DUE TOMORROW",IF($W38=4,"ESCALATED TO LOCAL OFFICE",IF($W38=5,"ESCALATED TO CBE",IF($X38=TODAY(),"EMAIL SENT","MONITORING"))))))))))</f>
        <v/>
      </c>
      <c r="U38" s="17">
        <f>IF($T38="",IF(AND(COUNTA($A38:$K38)&gt;0,$L38=""),"Awaiting Collection Email time stamp.",""),IF(OR($T38="PAID",$T38="CLOSED"),IF($T38="PAID","Account paid. Action completed.","Account closed. No further action required."),CHOOSE($W38,"Collection Email","1st Email Follow-up","2nd Email Follow-up","Escalation to Local Office","Escalation to CBE","Escalation to Roxanne")&amp;" sent "&amp;TEXT($X38,"dd-mmm")&amp;". "&amp;IF($W38=6,"Final escalation completed.",IF($T38="OVERDUE","Next: "&amp;$Z38&amp;" was due "&amp;TEXT($Y38,"dd-mmm")&amp;" - "&amp;(NETWORKDAYS($Y38,TODAY(),Holidays)-1)&amp;" business day(s) late. Send now.",IF($T38="DUE TOMORROW","Next: "&amp;$Z38&amp;IF($Y38&lt;=TODAY()," is due TODAY ("," is due next business day (")&amp;TEXT($Y38,"dd-mmm")&amp;").","Next: "&amp;$Z38&amp;" due "&amp;TEXT($Y38,"dd-mmm")&amp;" ("&amp;(NETWORKDAYS(TODAY(),$Y38,Holidays)-1)&amp;" business day(s) left).")))))</f>
        <v/>
      </c>
      <c r="V38" s="17">
        <f>IF($W38="","",CHOOSE($W38,"Collection Email","1st Follow-up","2nd Follow-up","Local Office","CBE","Roxanne")&amp;IF($W38=6," - Final"," - Day "&amp;MAX(0,NETWORKDAYS($X38,TODAY(),Holidays)-1)&amp;" of "&amp;CHOOSE($W38,3,3,2,2,3))&amp;" | Total Day "&amp;MAX(0,NETWORKDAYS($L38,TODAY(),Holidays)-1))</f>
        <v/>
      </c>
      <c r="W38" s="17">
        <f>IF($L38="","",COUNT($L38:$Q38))</f>
        <v/>
      </c>
      <c r="X38" s="18">
        <f>IF($W38="","",INT(INDEX($L38:$Q38,$W38)))</f>
        <v/>
      </c>
      <c r="Y38" s="18">
        <f>IF(OR($W38="",$W38=6),"",WORKDAY($X38,CHOOSE($W38,3,3,2,2,3),Holidays))</f>
        <v/>
      </c>
      <c r="Z38" s="17">
        <f>IF(OR($W38="",$W38=6),"",CHOOSE($W38,"1st Email Follow-up","2nd Email Follow-up","Escalate Local Office","Escalate to CBE","Escalate to Roxanne"))</f>
        <v/>
      </c>
    </row>
    <row r="39" spans="18:26">
      <c r="R39" s="15"/>
      <c r="S39" s="16"/>
      <c r="T39" s="17">
        <f>IF(AND(COUNTA($A39:$K39)=0,$L39=""),"",IF($S39="Paid","PAID",IF($S39="Closed","CLOSED",IF($W39="","",IF($W39=6,"ESCALATED TO ROXANNE",IF(TODAY()&gt;$Y39,"OVERDUE",IF($Y39&lt;=WORKDAY(TODAY(),1,Holidays),"DUE TOMORROW",IF($W39=4,"ESCALATED TO LOCAL OFFICE",IF($W39=5,"ESCALATED TO CBE",IF($X39=TODAY(),"EMAIL SENT","MONITORING"))))))))))</f>
        <v/>
      </c>
      <c r="U39" s="17">
        <f>IF($T39="",IF(AND(COUNTA($A39:$K39)&gt;0,$L39=""),"Awaiting Collection Email time stamp.",""),IF(OR($T39="PAID",$T39="CLOSED"),IF($T39="PAID","Account paid. Action completed.","Account closed. No further action required."),CHOOSE($W39,"Collection Email","1st Email Follow-up","2nd Email Follow-up","Escalation to Local Office","Escalation to CBE","Escalation to Roxanne")&amp;" sent "&amp;TEXT($X39,"dd-mmm")&amp;". "&amp;IF($W39=6,"Final escalation completed.",IF($T39="OVERDUE","Next: "&amp;$Z39&amp;" was due "&amp;TEXT($Y39,"dd-mmm")&amp;" - "&amp;(NETWORKDAYS($Y39,TODAY(),Holidays)-1)&amp;" business day(s) late. Send now.",IF($T39="DUE TOMORROW","Next: "&amp;$Z39&amp;IF($Y39&lt;=TODAY()," is due TODAY ("," is due next business day (")&amp;TEXT($Y39,"dd-mmm")&amp;").","Next: "&amp;$Z39&amp;" due "&amp;TEXT($Y39,"dd-mmm")&amp;" ("&amp;(NETWORKDAYS(TODAY(),$Y39,Holidays)-1)&amp;" business day(s) left).")))))</f>
        <v/>
      </c>
      <c r="V39" s="17">
        <f>IF($W39="","",CHOOSE($W39,"Collection Email","1st Follow-up","2nd Follow-up","Local Office","CBE","Roxanne")&amp;IF($W39=6," - Final"," - Day "&amp;MAX(0,NETWORKDAYS($X39,TODAY(),Holidays)-1)&amp;" of "&amp;CHOOSE($W39,3,3,2,2,3))&amp;" | Total Day "&amp;MAX(0,NETWORKDAYS($L39,TODAY(),Holidays)-1))</f>
        <v/>
      </c>
      <c r="W39" s="17">
        <f>IF($L39="","",COUNT($L39:$Q39))</f>
        <v/>
      </c>
      <c r="X39" s="18">
        <f>IF($W39="","",INT(INDEX($L39:$Q39,$W39)))</f>
        <v/>
      </c>
      <c r="Y39" s="18">
        <f>IF(OR($W39="",$W39=6),"",WORKDAY($X39,CHOOSE($W39,3,3,2,2,3),Holidays))</f>
        <v/>
      </c>
      <c r="Z39" s="17">
        <f>IF(OR($W39="",$W39=6),"",CHOOSE($W39,"1st Email Follow-up","2nd Email Follow-up","Escalate Local Office","Escalate to CBE","Escalate to Roxanne"))</f>
        <v/>
      </c>
    </row>
    <row r="40" spans="18:26">
      <c r="R40" s="15"/>
      <c r="S40" s="16"/>
      <c r="T40" s="17">
        <f>IF(AND(COUNTA($A40:$K40)=0,$L40=""),"",IF($S40="Paid","PAID",IF($S40="Closed","CLOSED",IF($W40="","",IF($W40=6,"ESCALATED TO ROXANNE",IF(TODAY()&gt;$Y40,"OVERDUE",IF($Y40&lt;=WORKDAY(TODAY(),1,Holidays),"DUE TOMORROW",IF($W40=4,"ESCALATED TO LOCAL OFFICE",IF($W40=5,"ESCALATED TO CBE",IF($X40=TODAY(),"EMAIL SENT","MONITORING"))))))))))</f>
        <v/>
      </c>
      <c r="U40" s="17">
        <f>IF($T40="",IF(AND(COUNTA($A40:$K40)&gt;0,$L40=""),"Awaiting Collection Email time stamp.",""),IF(OR($T40="PAID",$T40="CLOSED"),IF($T40="PAID","Account paid. Action completed.","Account closed. No further action required."),CHOOSE($W40,"Collection Email","1st Email Follow-up","2nd Email Follow-up","Escalation to Local Office","Escalation to CBE","Escalation to Roxanne")&amp;" sent "&amp;TEXT($X40,"dd-mmm")&amp;". "&amp;IF($W40=6,"Final escalation completed.",IF($T40="OVERDUE","Next: "&amp;$Z40&amp;" was due "&amp;TEXT($Y40,"dd-mmm")&amp;" - "&amp;(NETWORKDAYS($Y40,TODAY(),Holidays)-1)&amp;" business day(s) late. Send now.",IF($T40="DUE TOMORROW","Next: "&amp;$Z40&amp;IF($Y40&lt;=TODAY()," is due TODAY ("," is due next business day (")&amp;TEXT($Y40,"dd-mmm")&amp;").","Next: "&amp;$Z40&amp;" due "&amp;TEXT($Y40,"dd-mmm")&amp;" ("&amp;(NETWORKDAYS(TODAY(),$Y40,Holidays)-1)&amp;" business day(s) left).")))))</f>
        <v/>
      </c>
      <c r="V40" s="17">
        <f>IF($W40="","",CHOOSE($W40,"Collection Email","1st Follow-up","2nd Follow-up","Local Office","CBE","Roxanne")&amp;IF($W40=6," - Final"," - Day "&amp;MAX(0,NETWORKDAYS($X40,TODAY(),Holidays)-1)&amp;" of "&amp;CHOOSE($W40,3,3,2,2,3))&amp;" | Total Day "&amp;MAX(0,NETWORKDAYS($L40,TODAY(),Holidays)-1))</f>
        <v/>
      </c>
      <c r="W40" s="17">
        <f>IF($L40="","",COUNT($L40:$Q40))</f>
        <v/>
      </c>
      <c r="X40" s="18">
        <f>IF($W40="","",INT(INDEX($L40:$Q40,$W40)))</f>
        <v/>
      </c>
      <c r="Y40" s="18">
        <f>IF(OR($W40="",$W40=6),"",WORKDAY($X40,CHOOSE($W40,3,3,2,2,3),Holidays))</f>
        <v/>
      </c>
      <c r="Z40" s="17">
        <f>IF(OR($W40="",$W40=6),"",CHOOSE($W40,"1st Email Follow-up","2nd Email Follow-up","Escalate Local Office","Escalate to CBE","Escalate to Roxanne"))</f>
        <v/>
      </c>
    </row>
    <row r="41" spans="18:26">
      <c r="R41" s="15"/>
      <c r="S41" s="16"/>
      <c r="T41" s="17">
        <f>IF(AND(COUNTA($A41:$K41)=0,$L41=""),"",IF($S41="Paid","PAID",IF($S41="Closed","CLOSED",IF($W41="","",IF($W41=6,"ESCALATED TO ROXANNE",IF(TODAY()&gt;$Y41,"OVERDUE",IF($Y41&lt;=WORKDAY(TODAY(),1,Holidays),"DUE TOMORROW",IF($W41=4,"ESCALATED TO LOCAL OFFICE",IF($W41=5,"ESCALATED TO CBE",IF($X41=TODAY(),"EMAIL SENT","MONITORING"))))))))))</f>
        <v/>
      </c>
      <c r="U41" s="17">
        <f>IF($T41="",IF(AND(COUNTA($A41:$K41)&gt;0,$L41=""),"Awaiting Collection Email time stamp.",""),IF(OR($T41="PAID",$T41="CLOSED"),IF($T41="PAID","Account paid. Action completed.","Account closed. No further action required."),CHOOSE($W41,"Collection Email","1st Email Follow-up","2nd Email Follow-up","Escalation to Local Office","Escalation to CBE","Escalation to Roxanne")&amp;" sent "&amp;TEXT($X41,"dd-mmm")&amp;". "&amp;IF($W41=6,"Final escalation completed.",IF($T41="OVERDUE","Next: "&amp;$Z41&amp;" was due "&amp;TEXT($Y41,"dd-mmm")&amp;" - "&amp;(NETWORKDAYS($Y41,TODAY(),Holidays)-1)&amp;" business day(s) late. Send now.",IF($T41="DUE TOMORROW","Next: "&amp;$Z41&amp;IF($Y41&lt;=TODAY()," is due TODAY ("," is due next business day (")&amp;TEXT($Y41,"dd-mmm")&amp;").","Next: "&amp;$Z41&amp;" due "&amp;TEXT($Y41,"dd-mmm")&amp;" ("&amp;(NETWORKDAYS(TODAY(),$Y41,Holidays)-1)&amp;" business day(s) left).")))))</f>
        <v/>
      </c>
      <c r="V41" s="17">
        <f>IF($W41="","",CHOOSE($W41,"Collection Email","1st Follow-up","2nd Follow-up","Local Office","CBE","Roxanne")&amp;IF($W41=6," - Final"," - Day "&amp;MAX(0,NETWORKDAYS($X41,TODAY(),Holidays)-1)&amp;" of "&amp;CHOOSE($W41,3,3,2,2,3))&amp;" | Total Day "&amp;MAX(0,NETWORKDAYS($L41,TODAY(),Holidays)-1))</f>
        <v/>
      </c>
      <c r="W41" s="17">
        <f>IF($L41="","",COUNT($L41:$Q41))</f>
        <v/>
      </c>
      <c r="X41" s="18">
        <f>IF($W41="","",INT(INDEX($L41:$Q41,$W41)))</f>
        <v/>
      </c>
      <c r="Y41" s="18">
        <f>IF(OR($W41="",$W41=6),"",WORKDAY($X41,CHOOSE($W41,3,3,2,2,3),Holidays))</f>
        <v/>
      </c>
      <c r="Z41" s="17">
        <f>IF(OR($W41="",$W41=6),"",CHOOSE($W41,"1st Email Follow-up","2nd Email Follow-up","Escalate Local Office","Escalate to CBE","Escalate to Roxanne"))</f>
        <v/>
      </c>
    </row>
    <row r="42" spans="18:26">
      <c r="R42" s="15"/>
      <c r="S42" s="16"/>
      <c r="T42" s="17">
        <f>IF(AND(COUNTA($A42:$K42)=0,$L42=""),"",IF($S42="Paid","PAID",IF($S42="Closed","CLOSED",IF($W42="","",IF($W42=6,"ESCALATED TO ROXANNE",IF(TODAY()&gt;$Y42,"OVERDUE",IF($Y42&lt;=WORKDAY(TODAY(),1,Holidays),"DUE TOMORROW",IF($W42=4,"ESCALATED TO LOCAL OFFICE",IF($W42=5,"ESCALATED TO CBE",IF($X42=TODAY(),"EMAIL SENT","MONITORING"))))))))))</f>
        <v/>
      </c>
      <c r="U42" s="17">
        <f>IF($T42="",IF(AND(COUNTA($A42:$K42)&gt;0,$L42=""),"Awaiting Collection Email time stamp.",""),IF(OR($T42="PAID",$T42="CLOSED"),IF($T42="PAID","Account paid. Action completed.","Account closed. No further action required."),CHOOSE($W42,"Collection Email","1st Email Follow-up","2nd Email Follow-up","Escalation to Local Office","Escalation to CBE","Escalation to Roxanne")&amp;" sent "&amp;TEXT($X42,"dd-mmm")&amp;". "&amp;IF($W42=6,"Final escalation completed.",IF($T42="OVERDUE","Next: "&amp;$Z42&amp;" was due "&amp;TEXT($Y42,"dd-mmm")&amp;" - "&amp;(NETWORKDAYS($Y42,TODAY(),Holidays)-1)&amp;" business day(s) late. Send now.",IF($T42="DUE TOMORROW","Next: "&amp;$Z42&amp;IF($Y42&lt;=TODAY()," is due TODAY ("," is due next business day (")&amp;TEXT($Y42,"dd-mmm")&amp;").","Next: "&amp;$Z42&amp;" due "&amp;TEXT($Y42,"dd-mmm")&amp;" ("&amp;(NETWORKDAYS(TODAY(),$Y42,Holidays)-1)&amp;" business day(s) left).")))))</f>
        <v/>
      </c>
      <c r="V42" s="17">
        <f>IF($W42="","",CHOOSE($W42,"Collection Email","1st Follow-up","2nd Follow-up","Local Office","CBE","Roxanne")&amp;IF($W42=6," - Final"," - Day "&amp;MAX(0,NETWORKDAYS($X42,TODAY(),Holidays)-1)&amp;" of "&amp;CHOOSE($W42,3,3,2,2,3))&amp;" | Total Day "&amp;MAX(0,NETWORKDAYS($L42,TODAY(),Holidays)-1))</f>
        <v/>
      </c>
      <c r="W42" s="17">
        <f>IF($L42="","",COUNT($L42:$Q42))</f>
        <v/>
      </c>
      <c r="X42" s="18">
        <f>IF($W42="","",INT(INDEX($L42:$Q42,$W42)))</f>
        <v/>
      </c>
      <c r="Y42" s="18">
        <f>IF(OR($W42="",$W42=6),"",WORKDAY($X42,CHOOSE($W42,3,3,2,2,3),Holidays))</f>
        <v/>
      </c>
      <c r="Z42" s="17">
        <f>IF(OR($W42="",$W42=6),"",CHOOSE($W42,"1st Email Follow-up","2nd Email Follow-up","Escalate Local Office","Escalate to CBE","Escalate to Roxanne"))</f>
        <v/>
      </c>
    </row>
    <row r="43" spans="18:26">
      <c r="R43" s="15"/>
      <c r="S43" s="16"/>
      <c r="T43" s="17">
        <f>IF(AND(COUNTA($A43:$K43)=0,$L43=""),"",IF($S43="Paid","PAID",IF($S43="Closed","CLOSED",IF($W43="","",IF($W43=6,"ESCALATED TO ROXANNE",IF(TODAY()&gt;$Y43,"OVERDUE",IF($Y43&lt;=WORKDAY(TODAY(),1,Holidays),"DUE TOMORROW",IF($W43=4,"ESCALATED TO LOCAL OFFICE",IF($W43=5,"ESCALATED TO CBE",IF($X43=TODAY(),"EMAIL SENT","MONITORING"))))))))))</f>
        <v/>
      </c>
      <c r="U43" s="17">
        <f>IF($T43="",IF(AND(COUNTA($A43:$K43)&gt;0,$L43=""),"Awaiting Collection Email time stamp.",""),IF(OR($T43="PAID",$T43="CLOSED"),IF($T43="PAID","Account paid. Action completed.","Account closed. No further action required."),CHOOSE($W43,"Collection Email","1st Email Follow-up","2nd Email Follow-up","Escalation to Local Office","Escalation to CBE","Escalation to Roxanne")&amp;" sent "&amp;TEXT($X43,"dd-mmm")&amp;". "&amp;IF($W43=6,"Final escalation completed.",IF($T43="OVERDUE","Next: "&amp;$Z43&amp;" was due "&amp;TEXT($Y43,"dd-mmm")&amp;" - "&amp;(NETWORKDAYS($Y43,TODAY(),Holidays)-1)&amp;" business day(s) late. Send now.",IF($T43="DUE TOMORROW","Next: "&amp;$Z43&amp;IF($Y43&lt;=TODAY()," is due TODAY ("," is due next business day (")&amp;TEXT($Y43,"dd-mmm")&amp;").","Next: "&amp;$Z43&amp;" due "&amp;TEXT($Y43,"dd-mmm")&amp;" ("&amp;(NETWORKDAYS(TODAY(),$Y43,Holidays)-1)&amp;" business day(s) left).")))))</f>
        <v/>
      </c>
      <c r="V43" s="17">
        <f>IF($W43="","",CHOOSE($W43,"Collection Email","1st Follow-up","2nd Follow-up","Local Office","CBE","Roxanne")&amp;IF($W43=6," - Final"," - Day "&amp;MAX(0,NETWORKDAYS($X43,TODAY(),Holidays)-1)&amp;" of "&amp;CHOOSE($W43,3,3,2,2,3))&amp;" | Total Day "&amp;MAX(0,NETWORKDAYS($L43,TODAY(),Holidays)-1))</f>
        <v/>
      </c>
      <c r="W43" s="17">
        <f>IF($L43="","",COUNT($L43:$Q43))</f>
        <v/>
      </c>
      <c r="X43" s="18">
        <f>IF($W43="","",INT(INDEX($L43:$Q43,$W43)))</f>
        <v/>
      </c>
      <c r="Y43" s="18">
        <f>IF(OR($W43="",$W43=6),"",WORKDAY($X43,CHOOSE($W43,3,3,2,2,3),Holidays))</f>
        <v/>
      </c>
      <c r="Z43" s="17">
        <f>IF(OR($W43="",$W43=6),"",CHOOSE($W43,"1st Email Follow-up","2nd Email Follow-up","Escalate Local Office","Escalate to CBE","Escalate to Roxanne"))</f>
        <v/>
      </c>
    </row>
    <row r="44" spans="18:26">
      <c r="R44" s="15"/>
      <c r="S44" s="16"/>
      <c r="T44" s="17">
        <f>IF(AND(COUNTA($A44:$K44)=0,$L44=""),"",IF($S44="Paid","PAID",IF($S44="Closed","CLOSED",IF($W44="","",IF($W44=6,"ESCALATED TO ROXANNE",IF(TODAY()&gt;$Y44,"OVERDUE",IF($Y44&lt;=WORKDAY(TODAY(),1,Holidays),"DUE TOMORROW",IF($W44=4,"ESCALATED TO LOCAL OFFICE",IF($W44=5,"ESCALATED TO CBE",IF($X44=TODAY(),"EMAIL SENT","MONITORING"))))))))))</f>
        <v/>
      </c>
      <c r="U44" s="17">
        <f>IF($T44="",IF(AND(COUNTA($A44:$K44)&gt;0,$L44=""),"Awaiting Collection Email time stamp.",""),IF(OR($T44="PAID",$T44="CLOSED"),IF($T44="PAID","Account paid. Action completed.","Account closed. No further action required."),CHOOSE($W44,"Collection Email","1st Email Follow-up","2nd Email Follow-up","Escalation to Local Office","Escalation to CBE","Escalation to Roxanne")&amp;" sent "&amp;TEXT($X44,"dd-mmm")&amp;". "&amp;IF($W44=6,"Final escalation completed.",IF($T44="OVERDUE","Next: "&amp;$Z44&amp;" was due "&amp;TEXT($Y44,"dd-mmm")&amp;" - "&amp;(NETWORKDAYS($Y44,TODAY(),Holidays)-1)&amp;" business day(s) late. Send now.",IF($T44="DUE TOMORROW","Next: "&amp;$Z44&amp;IF($Y44&lt;=TODAY()," is due TODAY ("," is due next business day (")&amp;TEXT($Y44,"dd-mmm")&amp;").","Next: "&amp;$Z44&amp;" due "&amp;TEXT($Y44,"dd-mmm")&amp;" ("&amp;(NETWORKDAYS(TODAY(),$Y44,Holidays)-1)&amp;" business day(s) left).")))))</f>
        <v/>
      </c>
      <c r="V44" s="17">
        <f>IF($W44="","",CHOOSE($W44,"Collection Email","1st Follow-up","2nd Follow-up","Local Office","CBE","Roxanne")&amp;IF($W44=6," - Final"," - Day "&amp;MAX(0,NETWORKDAYS($X44,TODAY(),Holidays)-1)&amp;" of "&amp;CHOOSE($W44,3,3,2,2,3))&amp;" | Total Day "&amp;MAX(0,NETWORKDAYS($L44,TODAY(),Holidays)-1))</f>
        <v/>
      </c>
      <c r="W44" s="17">
        <f>IF($L44="","",COUNT($L44:$Q44))</f>
        <v/>
      </c>
      <c r="X44" s="18">
        <f>IF($W44="","",INT(INDEX($L44:$Q44,$W44)))</f>
        <v/>
      </c>
      <c r="Y44" s="18">
        <f>IF(OR($W44="",$W44=6),"",WORKDAY($X44,CHOOSE($W44,3,3,2,2,3),Holidays))</f>
        <v/>
      </c>
      <c r="Z44" s="17">
        <f>IF(OR($W44="",$W44=6),"",CHOOSE($W44,"1st Email Follow-up","2nd Email Follow-up","Escalate Local Office","Escalate to CBE","Escalate to Roxanne"))</f>
        <v/>
      </c>
    </row>
    <row r="45" spans="18:26">
      <c r="R45" s="15"/>
      <c r="S45" s="16"/>
      <c r="T45" s="17">
        <f>IF(AND(COUNTA($A45:$K45)=0,$L45=""),"",IF($S45="Paid","PAID",IF($S45="Closed","CLOSED",IF($W45="","",IF($W45=6,"ESCALATED TO ROXANNE",IF(TODAY()&gt;$Y45,"OVERDUE",IF($Y45&lt;=WORKDAY(TODAY(),1,Holidays),"DUE TOMORROW",IF($W45=4,"ESCALATED TO LOCAL OFFICE",IF($W45=5,"ESCALATED TO CBE",IF($X45=TODAY(),"EMAIL SENT","MONITORING"))))))))))</f>
        <v/>
      </c>
      <c r="U45" s="17">
        <f>IF($T45="",IF(AND(COUNTA($A45:$K45)&gt;0,$L45=""),"Awaiting Collection Email time stamp.",""),IF(OR($T45="PAID",$T45="CLOSED"),IF($T45="PAID","Account paid. Action completed.","Account closed. No further action required."),CHOOSE($W45,"Collection Email","1st Email Follow-up","2nd Email Follow-up","Escalation to Local Office","Escalation to CBE","Escalation to Roxanne")&amp;" sent "&amp;TEXT($X45,"dd-mmm")&amp;". "&amp;IF($W45=6,"Final escalation completed.",IF($T45="OVERDUE","Next: "&amp;$Z45&amp;" was due "&amp;TEXT($Y45,"dd-mmm")&amp;" - "&amp;(NETWORKDAYS($Y45,TODAY(),Holidays)-1)&amp;" business day(s) late. Send now.",IF($T45="DUE TOMORROW","Next: "&amp;$Z45&amp;IF($Y45&lt;=TODAY()," is due TODAY ("," is due next business day (")&amp;TEXT($Y45,"dd-mmm")&amp;").","Next: "&amp;$Z45&amp;" due "&amp;TEXT($Y45,"dd-mmm")&amp;" ("&amp;(NETWORKDAYS(TODAY(),$Y45,Holidays)-1)&amp;" business day(s) left).")))))</f>
        <v/>
      </c>
      <c r="V45" s="17">
        <f>IF($W45="","",CHOOSE($W45,"Collection Email","1st Follow-up","2nd Follow-up","Local Office","CBE","Roxanne")&amp;IF($W45=6," - Final"," - Day "&amp;MAX(0,NETWORKDAYS($X45,TODAY(),Holidays)-1)&amp;" of "&amp;CHOOSE($W45,3,3,2,2,3))&amp;" | Total Day "&amp;MAX(0,NETWORKDAYS($L45,TODAY(),Holidays)-1))</f>
        <v/>
      </c>
      <c r="W45" s="17">
        <f>IF($L45="","",COUNT($L45:$Q45))</f>
        <v/>
      </c>
      <c r="X45" s="18">
        <f>IF($W45="","",INT(INDEX($L45:$Q45,$W45)))</f>
        <v/>
      </c>
      <c r="Y45" s="18">
        <f>IF(OR($W45="",$W45=6),"",WORKDAY($X45,CHOOSE($W45,3,3,2,2,3),Holidays))</f>
        <v/>
      </c>
      <c r="Z45" s="17">
        <f>IF(OR($W45="",$W45=6),"",CHOOSE($W45,"1st Email Follow-up","2nd Email Follow-up","Escalate Local Office","Escalate to CBE","Escalate to Roxanne"))</f>
        <v/>
      </c>
    </row>
    <row r="46" spans="18:26">
      <c r="R46" s="15"/>
      <c r="S46" s="16"/>
      <c r="T46" s="17">
        <f>IF(AND(COUNTA($A46:$K46)=0,$L46=""),"",IF($S46="Paid","PAID",IF($S46="Closed","CLOSED",IF($W46="","",IF($W46=6,"ESCALATED TO ROXANNE",IF(TODAY()&gt;$Y46,"OVERDUE",IF($Y46&lt;=WORKDAY(TODAY(),1,Holidays),"DUE TOMORROW",IF($W46=4,"ESCALATED TO LOCAL OFFICE",IF($W46=5,"ESCALATED TO CBE",IF($X46=TODAY(),"EMAIL SENT","MONITORING"))))))))))</f>
        <v/>
      </c>
      <c r="U46" s="17">
        <f>IF($T46="",IF(AND(COUNTA($A46:$K46)&gt;0,$L46=""),"Awaiting Collection Email time stamp.",""),IF(OR($T46="PAID",$T46="CLOSED"),IF($T46="PAID","Account paid. Action completed.","Account closed. No further action required."),CHOOSE($W46,"Collection Email","1st Email Follow-up","2nd Email Follow-up","Escalation to Local Office","Escalation to CBE","Escalation to Roxanne")&amp;" sent "&amp;TEXT($X46,"dd-mmm")&amp;". "&amp;IF($W46=6,"Final escalation completed.",IF($T46="OVERDUE","Next: "&amp;$Z46&amp;" was due "&amp;TEXT($Y46,"dd-mmm")&amp;" - "&amp;(NETWORKDAYS($Y46,TODAY(),Holidays)-1)&amp;" business day(s) late. Send now.",IF($T46="DUE TOMORROW","Next: "&amp;$Z46&amp;IF($Y46&lt;=TODAY()," is due TODAY ("," is due next business day (")&amp;TEXT($Y46,"dd-mmm")&amp;").","Next: "&amp;$Z46&amp;" due "&amp;TEXT($Y46,"dd-mmm")&amp;" ("&amp;(NETWORKDAYS(TODAY(),$Y46,Holidays)-1)&amp;" business day(s) left).")))))</f>
        <v/>
      </c>
      <c r="V46" s="17">
        <f>IF($W46="","",CHOOSE($W46,"Collection Email","1st Follow-up","2nd Follow-up","Local Office","CBE","Roxanne")&amp;IF($W46=6," - Final"," - Day "&amp;MAX(0,NETWORKDAYS($X46,TODAY(),Holidays)-1)&amp;" of "&amp;CHOOSE($W46,3,3,2,2,3))&amp;" | Total Day "&amp;MAX(0,NETWORKDAYS($L46,TODAY(),Holidays)-1))</f>
        <v/>
      </c>
      <c r="W46" s="17">
        <f>IF($L46="","",COUNT($L46:$Q46))</f>
        <v/>
      </c>
      <c r="X46" s="18">
        <f>IF($W46="","",INT(INDEX($L46:$Q46,$W46)))</f>
        <v/>
      </c>
      <c r="Y46" s="18">
        <f>IF(OR($W46="",$W46=6),"",WORKDAY($X46,CHOOSE($W46,3,3,2,2,3),Holidays))</f>
        <v/>
      </c>
      <c r="Z46" s="17">
        <f>IF(OR($W46="",$W46=6),"",CHOOSE($W46,"1st Email Follow-up","2nd Email Follow-up","Escalate Local Office","Escalate to CBE","Escalate to Roxanne"))</f>
        <v/>
      </c>
    </row>
    <row r="47" spans="18:26">
      <c r="R47" s="15"/>
      <c r="S47" s="16"/>
      <c r="T47" s="17">
        <f>IF(AND(COUNTA($A47:$K47)=0,$L47=""),"",IF($S47="Paid","PAID",IF($S47="Closed","CLOSED",IF($W47="","",IF($W47=6,"ESCALATED TO ROXANNE",IF(TODAY()&gt;$Y47,"OVERDUE",IF($Y47&lt;=WORKDAY(TODAY(),1,Holidays),"DUE TOMORROW",IF($W47=4,"ESCALATED TO LOCAL OFFICE",IF($W47=5,"ESCALATED TO CBE",IF($X47=TODAY(),"EMAIL SENT","MONITORING"))))))))))</f>
        <v/>
      </c>
      <c r="U47" s="17">
        <f>IF($T47="",IF(AND(COUNTA($A47:$K47)&gt;0,$L47=""),"Awaiting Collection Email time stamp.",""),IF(OR($T47="PAID",$T47="CLOSED"),IF($T47="PAID","Account paid. Action completed.","Account closed. No further action required."),CHOOSE($W47,"Collection Email","1st Email Follow-up","2nd Email Follow-up","Escalation to Local Office","Escalation to CBE","Escalation to Roxanne")&amp;" sent "&amp;TEXT($X47,"dd-mmm")&amp;". "&amp;IF($W47=6,"Final escalation completed.",IF($T47="OVERDUE","Next: "&amp;$Z47&amp;" was due "&amp;TEXT($Y47,"dd-mmm")&amp;" - "&amp;(NETWORKDAYS($Y47,TODAY(),Holidays)-1)&amp;" business day(s) late. Send now.",IF($T47="DUE TOMORROW","Next: "&amp;$Z47&amp;IF($Y47&lt;=TODAY()," is due TODAY ("," is due next business day (")&amp;TEXT($Y47,"dd-mmm")&amp;").","Next: "&amp;$Z47&amp;" due "&amp;TEXT($Y47,"dd-mmm")&amp;" ("&amp;(NETWORKDAYS(TODAY(),$Y47,Holidays)-1)&amp;" business day(s) left).")))))</f>
        <v/>
      </c>
      <c r="V47" s="17">
        <f>IF($W47="","",CHOOSE($W47,"Collection Email","1st Follow-up","2nd Follow-up","Local Office","CBE","Roxanne")&amp;IF($W47=6," - Final"," - Day "&amp;MAX(0,NETWORKDAYS($X47,TODAY(),Holidays)-1)&amp;" of "&amp;CHOOSE($W47,3,3,2,2,3))&amp;" | Total Day "&amp;MAX(0,NETWORKDAYS($L47,TODAY(),Holidays)-1))</f>
        <v/>
      </c>
      <c r="W47" s="17">
        <f>IF($L47="","",COUNT($L47:$Q47))</f>
        <v/>
      </c>
      <c r="X47" s="18">
        <f>IF($W47="","",INT(INDEX($L47:$Q47,$W47)))</f>
        <v/>
      </c>
      <c r="Y47" s="18">
        <f>IF(OR($W47="",$W47=6),"",WORKDAY($X47,CHOOSE($W47,3,3,2,2,3),Holidays))</f>
        <v/>
      </c>
      <c r="Z47" s="17">
        <f>IF(OR($W47="",$W47=6),"",CHOOSE($W47,"1st Email Follow-up","2nd Email Follow-up","Escalate Local Office","Escalate to CBE","Escalate to Roxanne"))</f>
        <v/>
      </c>
    </row>
    <row r="48" spans="18:26">
      <c r="R48" s="15"/>
      <c r="S48" s="16"/>
      <c r="T48" s="17">
        <f>IF(AND(COUNTA($A48:$K48)=0,$L48=""),"",IF($S48="Paid","PAID",IF($S48="Closed","CLOSED",IF($W48="","",IF($W48=6,"ESCALATED TO ROXANNE",IF(TODAY()&gt;$Y48,"OVERDUE",IF($Y48&lt;=WORKDAY(TODAY(),1,Holidays),"DUE TOMORROW",IF($W48=4,"ESCALATED TO LOCAL OFFICE",IF($W48=5,"ESCALATED TO CBE",IF($X48=TODAY(),"EMAIL SENT","MONITORING"))))))))))</f>
        <v/>
      </c>
      <c r="U48" s="17">
        <f>IF($T48="",IF(AND(COUNTA($A48:$K48)&gt;0,$L48=""),"Awaiting Collection Email time stamp.",""),IF(OR($T48="PAID",$T48="CLOSED"),IF($T48="PAID","Account paid. Action completed.","Account closed. No further action required."),CHOOSE($W48,"Collection Email","1st Email Follow-up","2nd Email Follow-up","Escalation to Local Office","Escalation to CBE","Escalation to Roxanne")&amp;" sent "&amp;TEXT($X48,"dd-mmm")&amp;". "&amp;IF($W48=6,"Final escalation completed.",IF($T48="OVERDUE","Next: "&amp;$Z48&amp;" was due "&amp;TEXT($Y48,"dd-mmm")&amp;" - "&amp;(NETWORKDAYS($Y48,TODAY(),Holidays)-1)&amp;" business day(s) late. Send now.",IF($T48="DUE TOMORROW","Next: "&amp;$Z48&amp;IF($Y48&lt;=TODAY()," is due TODAY ("," is due next business day (")&amp;TEXT($Y48,"dd-mmm")&amp;").","Next: "&amp;$Z48&amp;" due "&amp;TEXT($Y48,"dd-mmm")&amp;" ("&amp;(NETWORKDAYS(TODAY(),$Y48,Holidays)-1)&amp;" business day(s) left).")))))</f>
        <v/>
      </c>
      <c r="V48" s="17">
        <f>IF($W48="","",CHOOSE($W48,"Collection Email","1st Follow-up","2nd Follow-up","Local Office","CBE","Roxanne")&amp;IF($W48=6," - Final"," - Day "&amp;MAX(0,NETWORKDAYS($X48,TODAY(),Holidays)-1)&amp;" of "&amp;CHOOSE($W48,3,3,2,2,3))&amp;" | Total Day "&amp;MAX(0,NETWORKDAYS($L48,TODAY(),Holidays)-1))</f>
        <v/>
      </c>
      <c r="W48" s="17">
        <f>IF($L48="","",COUNT($L48:$Q48))</f>
        <v/>
      </c>
      <c r="X48" s="18">
        <f>IF($W48="","",INT(INDEX($L48:$Q48,$W48)))</f>
        <v/>
      </c>
      <c r="Y48" s="18">
        <f>IF(OR($W48="",$W48=6),"",WORKDAY($X48,CHOOSE($W48,3,3,2,2,3),Holidays))</f>
        <v/>
      </c>
      <c r="Z48" s="17">
        <f>IF(OR($W48="",$W48=6),"",CHOOSE($W48,"1st Email Follow-up","2nd Email Follow-up","Escalate Local Office","Escalate to CBE","Escalate to Roxanne"))</f>
        <v/>
      </c>
    </row>
    <row r="49" spans="18:26">
      <c r="R49" s="15"/>
      <c r="S49" s="16"/>
      <c r="T49" s="17">
        <f>IF(AND(COUNTA($A49:$K49)=0,$L49=""),"",IF($S49="Paid","PAID",IF($S49="Closed","CLOSED",IF($W49="","",IF($W49=6,"ESCALATED TO ROXANNE",IF(TODAY()&gt;$Y49,"OVERDUE",IF($Y49&lt;=WORKDAY(TODAY(),1,Holidays),"DUE TOMORROW",IF($W49=4,"ESCALATED TO LOCAL OFFICE",IF($W49=5,"ESCALATED TO CBE",IF($X49=TODAY(),"EMAIL SENT","MONITORING"))))))))))</f>
        <v/>
      </c>
      <c r="U49" s="17">
        <f>IF($T49="",IF(AND(COUNTA($A49:$K49)&gt;0,$L49=""),"Awaiting Collection Email time stamp.",""),IF(OR($T49="PAID",$T49="CLOSED"),IF($T49="PAID","Account paid. Action completed.","Account closed. No further action required."),CHOOSE($W49,"Collection Email","1st Email Follow-up","2nd Email Follow-up","Escalation to Local Office","Escalation to CBE","Escalation to Roxanne")&amp;" sent "&amp;TEXT($X49,"dd-mmm")&amp;". "&amp;IF($W49=6,"Final escalation completed.",IF($T49="OVERDUE","Next: "&amp;$Z49&amp;" was due "&amp;TEXT($Y49,"dd-mmm")&amp;" - "&amp;(NETWORKDAYS($Y49,TODAY(),Holidays)-1)&amp;" business day(s) late. Send now.",IF($T49="DUE TOMORROW","Next: "&amp;$Z49&amp;IF($Y49&lt;=TODAY()," is due TODAY ("," is due next business day (")&amp;TEXT($Y49,"dd-mmm")&amp;").","Next: "&amp;$Z49&amp;" due "&amp;TEXT($Y49,"dd-mmm")&amp;" ("&amp;(NETWORKDAYS(TODAY(),$Y49,Holidays)-1)&amp;" business day(s) left).")))))</f>
        <v/>
      </c>
      <c r="V49" s="17">
        <f>IF($W49="","",CHOOSE($W49,"Collection Email","1st Follow-up","2nd Follow-up","Local Office","CBE","Roxanne")&amp;IF($W49=6," - Final"," - Day "&amp;MAX(0,NETWORKDAYS($X49,TODAY(),Holidays)-1)&amp;" of "&amp;CHOOSE($W49,3,3,2,2,3))&amp;" | Total Day "&amp;MAX(0,NETWORKDAYS($L49,TODAY(),Holidays)-1))</f>
        <v/>
      </c>
      <c r="W49" s="17">
        <f>IF($L49="","",COUNT($L49:$Q49))</f>
        <v/>
      </c>
      <c r="X49" s="18">
        <f>IF($W49="","",INT(INDEX($L49:$Q49,$W49)))</f>
        <v/>
      </c>
      <c r="Y49" s="18">
        <f>IF(OR($W49="",$W49=6),"",WORKDAY($X49,CHOOSE($W49,3,3,2,2,3),Holidays))</f>
        <v/>
      </c>
      <c r="Z49" s="17">
        <f>IF(OR($W49="",$W49=6),"",CHOOSE($W49,"1st Email Follow-up","2nd Email Follow-up","Escalate Local Office","Escalate to CBE","Escalate to Roxanne"))</f>
        <v/>
      </c>
    </row>
    <row r="50" spans="18:26">
      <c r="R50" s="15"/>
      <c r="S50" s="16"/>
      <c r="T50" s="17">
        <f>IF(AND(COUNTA($A50:$K50)=0,$L50=""),"",IF($S50="Paid","PAID",IF($S50="Closed","CLOSED",IF($W50="","",IF($W50=6,"ESCALATED TO ROXANNE",IF(TODAY()&gt;$Y50,"OVERDUE",IF($Y50&lt;=WORKDAY(TODAY(),1,Holidays),"DUE TOMORROW",IF($W50=4,"ESCALATED TO LOCAL OFFICE",IF($W50=5,"ESCALATED TO CBE",IF($X50=TODAY(),"EMAIL SENT","MONITORING"))))))))))</f>
        <v/>
      </c>
      <c r="U50" s="17">
        <f>IF($T50="",IF(AND(COUNTA($A50:$K50)&gt;0,$L50=""),"Awaiting Collection Email time stamp.",""),IF(OR($T50="PAID",$T50="CLOSED"),IF($T50="PAID","Account paid. Action completed.","Account closed. No further action required."),CHOOSE($W50,"Collection Email","1st Email Follow-up","2nd Email Follow-up","Escalation to Local Office","Escalation to CBE","Escalation to Roxanne")&amp;" sent "&amp;TEXT($X50,"dd-mmm")&amp;". "&amp;IF($W50=6,"Final escalation completed.",IF($T50="OVERDUE","Next: "&amp;$Z50&amp;" was due "&amp;TEXT($Y50,"dd-mmm")&amp;" - "&amp;(NETWORKDAYS($Y50,TODAY(),Holidays)-1)&amp;" business day(s) late. Send now.",IF($T50="DUE TOMORROW","Next: "&amp;$Z50&amp;IF($Y50&lt;=TODAY()," is due TODAY ("," is due next business day (")&amp;TEXT($Y50,"dd-mmm")&amp;").","Next: "&amp;$Z50&amp;" due "&amp;TEXT($Y50,"dd-mmm")&amp;" ("&amp;(NETWORKDAYS(TODAY(),$Y50,Holidays)-1)&amp;" business day(s) left).")))))</f>
        <v/>
      </c>
      <c r="V50" s="17">
        <f>IF($W50="","",CHOOSE($W50,"Collection Email","1st Follow-up","2nd Follow-up","Local Office","CBE","Roxanne")&amp;IF($W50=6," - Final"," - Day "&amp;MAX(0,NETWORKDAYS($X50,TODAY(),Holidays)-1)&amp;" of "&amp;CHOOSE($W50,3,3,2,2,3))&amp;" | Total Day "&amp;MAX(0,NETWORKDAYS($L50,TODAY(),Holidays)-1))</f>
        <v/>
      </c>
      <c r="W50" s="17">
        <f>IF($L50="","",COUNT($L50:$Q50))</f>
        <v/>
      </c>
      <c r="X50" s="18">
        <f>IF($W50="","",INT(INDEX($L50:$Q50,$W50)))</f>
        <v/>
      </c>
      <c r="Y50" s="18">
        <f>IF(OR($W50="",$W50=6),"",WORKDAY($X50,CHOOSE($W50,3,3,2,2,3),Holidays))</f>
        <v/>
      </c>
      <c r="Z50" s="17">
        <f>IF(OR($W50="",$W50=6),"",CHOOSE($W50,"1st Email Follow-up","2nd Email Follow-up","Escalate Local Office","Escalate to CBE","Escalate to Roxanne"))</f>
        <v/>
      </c>
    </row>
    <row r="51" spans="18:26">
      <c r="R51" s="15"/>
      <c r="S51" s="16"/>
      <c r="T51" s="17">
        <f>IF(AND(COUNTA($A51:$K51)=0,$L51=""),"",IF($S51="Paid","PAID",IF($S51="Closed","CLOSED",IF($W51="","",IF($W51=6,"ESCALATED TO ROXANNE",IF(TODAY()&gt;$Y51,"OVERDUE",IF($Y51&lt;=WORKDAY(TODAY(),1,Holidays),"DUE TOMORROW",IF($W51=4,"ESCALATED TO LOCAL OFFICE",IF($W51=5,"ESCALATED TO CBE",IF($X51=TODAY(),"EMAIL SENT","MONITORING"))))))))))</f>
        <v/>
      </c>
      <c r="U51" s="17">
        <f>IF($T51="",IF(AND(COUNTA($A51:$K51)&gt;0,$L51=""),"Awaiting Collection Email time stamp.",""),IF(OR($T51="PAID",$T51="CLOSED"),IF($T51="PAID","Account paid. Action completed.","Account closed. No further action required."),CHOOSE($W51,"Collection Email","1st Email Follow-up","2nd Email Follow-up","Escalation to Local Office","Escalation to CBE","Escalation to Roxanne")&amp;" sent "&amp;TEXT($X51,"dd-mmm")&amp;". "&amp;IF($W51=6,"Final escalation completed.",IF($T51="OVERDUE","Next: "&amp;$Z51&amp;" was due "&amp;TEXT($Y51,"dd-mmm")&amp;" - "&amp;(NETWORKDAYS($Y51,TODAY(),Holidays)-1)&amp;" business day(s) late. Send now.",IF($T51="DUE TOMORROW","Next: "&amp;$Z51&amp;IF($Y51&lt;=TODAY()," is due TODAY ("," is due next business day (")&amp;TEXT($Y51,"dd-mmm")&amp;").","Next: "&amp;$Z51&amp;" due "&amp;TEXT($Y51,"dd-mmm")&amp;" ("&amp;(NETWORKDAYS(TODAY(),$Y51,Holidays)-1)&amp;" business day(s) left).")))))</f>
        <v/>
      </c>
      <c r="V51" s="17">
        <f>IF($W51="","",CHOOSE($W51,"Collection Email","1st Follow-up","2nd Follow-up","Local Office","CBE","Roxanne")&amp;IF($W51=6," - Final"," - Day "&amp;MAX(0,NETWORKDAYS($X51,TODAY(),Holidays)-1)&amp;" of "&amp;CHOOSE($W51,3,3,2,2,3))&amp;" | Total Day "&amp;MAX(0,NETWORKDAYS($L51,TODAY(),Holidays)-1))</f>
        <v/>
      </c>
      <c r="W51" s="17">
        <f>IF($L51="","",COUNT($L51:$Q51))</f>
        <v/>
      </c>
      <c r="X51" s="18">
        <f>IF($W51="","",INT(INDEX($L51:$Q51,$W51)))</f>
        <v/>
      </c>
      <c r="Y51" s="18">
        <f>IF(OR($W51="",$W51=6),"",WORKDAY($X51,CHOOSE($W51,3,3,2,2,3),Holidays))</f>
        <v/>
      </c>
      <c r="Z51" s="17">
        <f>IF(OR($W51="",$W51=6),"",CHOOSE($W51,"1st Email Follow-up","2nd Email Follow-up","Escalate Local Office","Escalate to CBE","Escalate to Roxanne"))</f>
        <v/>
      </c>
    </row>
    <row r="52" spans="18:26">
      <c r="R52" s="15"/>
      <c r="S52" s="16"/>
      <c r="T52" s="17">
        <f>IF(AND(COUNTA($A52:$K52)=0,$L52=""),"",IF($S52="Paid","PAID",IF($S52="Closed","CLOSED",IF($W52="","",IF($W52=6,"ESCALATED TO ROXANNE",IF(TODAY()&gt;$Y52,"OVERDUE",IF($Y52&lt;=WORKDAY(TODAY(),1,Holidays),"DUE TOMORROW",IF($W52=4,"ESCALATED TO LOCAL OFFICE",IF($W52=5,"ESCALATED TO CBE",IF($X52=TODAY(),"EMAIL SENT","MONITORING"))))))))))</f>
        <v/>
      </c>
      <c r="U52" s="17">
        <f>IF($T52="",IF(AND(COUNTA($A52:$K52)&gt;0,$L52=""),"Awaiting Collection Email time stamp.",""),IF(OR($T52="PAID",$T52="CLOSED"),IF($T52="PAID","Account paid. Action completed.","Account closed. No further action required."),CHOOSE($W52,"Collection Email","1st Email Follow-up","2nd Email Follow-up","Escalation to Local Office","Escalation to CBE","Escalation to Roxanne")&amp;" sent "&amp;TEXT($X52,"dd-mmm")&amp;". "&amp;IF($W52=6,"Final escalation completed.",IF($T52="OVERDUE","Next: "&amp;$Z52&amp;" was due "&amp;TEXT($Y52,"dd-mmm")&amp;" - "&amp;(NETWORKDAYS($Y52,TODAY(),Holidays)-1)&amp;" business day(s) late. Send now.",IF($T52="DUE TOMORROW","Next: "&amp;$Z52&amp;IF($Y52&lt;=TODAY()," is due TODAY ("," is due next business day (")&amp;TEXT($Y52,"dd-mmm")&amp;").","Next: "&amp;$Z52&amp;" due "&amp;TEXT($Y52,"dd-mmm")&amp;" ("&amp;(NETWORKDAYS(TODAY(),$Y52,Holidays)-1)&amp;" business day(s) left).")))))</f>
        <v/>
      </c>
      <c r="V52" s="17">
        <f>IF($W52="","",CHOOSE($W52,"Collection Email","1st Follow-up","2nd Follow-up","Local Office","CBE","Roxanne")&amp;IF($W52=6," - Final"," - Day "&amp;MAX(0,NETWORKDAYS($X52,TODAY(),Holidays)-1)&amp;" of "&amp;CHOOSE($W52,3,3,2,2,3))&amp;" | Total Day "&amp;MAX(0,NETWORKDAYS($L52,TODAY(),Holidays)-1))</f>
        <v/>
      </c>
      <c r="W52" s="17">
        <f>IF($L52="","",COUNT($L52:$Q52))</f>
        <v/>
      </c>
      <c r="X52" s="18">
        <f>IF($W52="","",INT(INDEX($L52:$Q52,$W52)))</f>
        <v/>
      </c>
      <c r="Y52" s="18">
        <f>IF(OR($W52="",$W52=6),"",WORKDAY($X52,CHOOSE($W52,3,3,2,2,3),Holidays))</f>
        <v/>
      </c>
      <c r="Z52" s="17">
        <f>IF(OR($W52="",$W52=6),"",CHOOSE($W52,"1st Email Follow-up","2nd Email Follow-up","Escalate Local Office","Escalate to CBE","Escalate to Roxanne"))</f>
        <v/>
      </c>
    </row>
    <row r="53" spans="18:26">
      <c r="R53" s="15"/>
      <c r="S53" s="16"/>
      <c r="T53" s="17">
        <f>IF(AND(COUNTA($A53:$K53)=0,$L53=""),"",IF($S53="Paid","PAID",IF($S53="Closed","CLOSED",IF($W53="","",IF($W53=6,"ESCALATED TO ROXANNE",IF(TODAY()&gt;$Y53,"OVERDUE",IF($Y53&lt;=WORKDAY(TODAY(),1,Holidays),"DUE TOMORROW",IF($W53=4,"ESCALATED TO LOCAL OFFICE",IF($W53=5,"ESCALATED TO CBE",IF($X53=TODAY(),"EMAIL SENT","MONITORING"))))))))))</f>
        <v/>
      </c>
      <c r="U53" s="17">
        <f>IF($T53="",IF(AND(COUNTA($A53:$K53)&gt;0,$L53=""),"Awaiting Collection Email time stamp.",""),IF(OR($T53="PAID",$T53="CLOSED"),IF($T53="PAID","Account paid. Action completed.","Account closed. No further action required."),CHOOSE($W53,"Collection Email","1st Email Follow-up","2nd Email Follow-up","Escalation to Local Office","Escalation to CBE","Escalation to Roxanne")&amp;" sent "&amp;TEXT($X53,"dd-mmm")&amp;". "&amp;IF($W53=6,"Final escalation completed.",IF($T53="OVERDUE","Next: "&amp;$Z53&amp;" was due "&amp;TEXT($Y53,"dd-mmm")&amp;" - "&amp;(NETWORKDAYS($Y53,TODAY(),Holidays)-1)&amp;" business day(s) late. Send now.",IF($T53="DUE TOMORROW","Next: "&amp;$Z53&amp;IF($Y53&lt;=TODAY()," is due TODAY ("," is due next business day (")&amp;TEXT($Y53,"dd-mmm")&amp;").","Next: "&amp;$Z53&amp;" due "&amp;TEXT($Y53,"dd-mmm")&amp;" ("&amp;(NETWORKDAYS(TODAY(),$Y53,Holidays)-1)&amp;" business day(s) left).")))))</f>
        <v/>
      </c>
      <c r="V53" s="17">
        <f>IF($W53="","",CHOOSE($W53,"Collection Email","1st Follow-up","2nd Follow-up","Local Office","CBE","Roxanne")&amp;IF($W53=6," - Final"," - Day "&amp;MAX(0,NETWORKDAYS($X53,TODAY(),Holidays)-1)&amp;" of "&amp;CHOOSE($W53,3,3,2,2,3))&amp;" | Total Day "&amp;MAX(0,NETWORKDAYS($L53,TODAY(),Holidays)-1))</f>
        <v/>
      </c>
      <c r="W53" s="17">
        <f>IF($L53="","",COUNT($L53:$Q53))</f>
        <v/>
      </c>
      <c r="X53" s="18">
        <f>IF($W53="","",INT(INDEX($L53:$Q53,$W53)))</f>
        <v/>
      </c>
      <c r="Y53" s="18">
        <f>IF(OR($W53="",$W53=6),"",WORKDAY($X53,CHOOSE($W53,3,3,2,2,3),Holidays))</f>
        <v/>
      </c>
      <c r="Z53" s="17">
        <f>IF(OR($W53="",$W53=6),"",CHOOSE($W53,"1st Email Follow-up","2nd Email Follow-up","Escalate Local Office","Escalate to CBE","Escalate to Roxanne"))</f>
        <v/>
      </c>
    </row>
    <row r="54" spans="18:26">
      <c r="R54" s="15"/>
      <c r="S54" s="16"/>
      <c r="T54" s="17">
        <f>IF(AND(COUNTA($A54:$K54)=0,$L54=""),"",IF($S54="Paid","PAID",IF($S54="Closed","CLOSED",IF($W54="","",IF($W54=6,"ESCALATED TO ROXANNE",IF(TODAY()&gt;$Y54,"OVERDUE",IF($Y54&lt;=WORKDAY(TODAY(),1,Holidays),"DUE TOMORROW",IF($W54=4,"ESCALATED TO LOCAL OFFICE",IF($W54=5,"ESCALATED TO CBE",IF($X54=TODAY(),"EMAIL SENT","MONITORING"))))))))))</f>
        <v/>
      </c>
      <c r="U54" s="17">
        <f>IF($T54="",IF(AND(COUNTA($A54:$K54)&gt;0,$L54=""),"Awaiting Collection Email time stamp.",""),IF(OR($T54="PAID",$T54="CLOSED"),IF($T54="PAID","Account paid. Action completed.","Account closed. No further action required."),CHOOSE($W54,"Collection Email","1st Email Follow-up","2nd Email Follow-up","Escalation to Local Office","Escalation to CBE","Escalation to Roxanne")&amp;" sent "&amp;TEXT($X54,"dd-mmm")&amp;". "&amp;IF($W54=6,"Final escalation completed.",IF($T54="OVERDUE","Next: "&amp;$Z54&amp;" was due "&amp;TEXT($Y54,"dd-mmm")&amp;" - "&amp;(NETWORKDAYS($Y54,TODAY(),Holidays)-1)&amp;" business day(s) late. Send now.",IF($T54="DUE TOMORROW","Next: "&amp;$Z54&amp;IF($Y54&lt;=TODAY()," is due TODAY ("," is due next business day (")&amp;TEXT($Y54,"dd-mmm")&amp;").","Next: "&amp;$Z54&amp;" due "&amp;TEXT($Y54,"dd-mmm")&amp;" ("&amp;(NETWORKDAYS(TODAY(),$Y54,Holidays)-1)&amp;" business day(s) left).")))))</f>
        <v/>
      </c>
      <c r="V54" s="17">
        <f>IF($W54="","",CHOOSE($W54,"Collection Email","1st Follow-up","2nd Follow-up","Local Office","CBE","Roxanne")&amp;IF($W54=6," - Final"," - Day "&amp;MAX(0,NETWORKDAYS($X54,TODAY(),Holidays)-1)&amp;" of "&amp;CHOOSE($W54,3,3,2,2,3))&amp;" | Total Day "&amp;MAX(0,NETWORKDAYS($L54,TODAY(),Holidays)-1))</f>
        <v/>
      </c>
      <c r="W54" s="17">
        <f>IF($L54="","",COUNT($L54:$Q54))</f>
        <v/>
      </c>
      <c r="X54" s="18">
        <f>IF($W54="","",INT(INDEX($L54:$Q54,$W54)))</f>
        <v/>
      </c>
      <c r="Y54" s="18">
        <f>IF(OR($W54="",$W54=6),"",WORKDAY($X54,CHOOSE($W54,3,3,2,2,3),Holidays))</f>
        <v/>
      </c>
      <c r="Z54" s="17">
        <f>IF(OR($W54="",$W54=6),"",CHOOSE($W54,"1st Email Follow-up","2nd Email Follow-up","Escalate Local Office","Escalate to CBE","Escalate to Roxanne"))</f>
        <v/>
      </c>
    </row>
    <row r="55" spans="18:26">
      <c r="R55" s="15"/>
      <c r="S55" s="16"/>
      <c r="T55" s="17">
        <f>IF(AND(COUNTA($A55:$K55)=0,$L55=""),"",IF($S55="Paid","PAID",IF($S55="Closed","CLOSED",IF($W55="","",IF($W55=6,"ESCALATED TO ROXANNE",IF(TODAY()&gt;$Y55,"OVERDUE",IF($Y55&lt;=WORKDAY(TODAY(),1,Holidays),"DUE TOMORROW",IF($W55=4,"ESCALATED TO LOCAL OFFICE",IF($W55=5,"ESCALATED TO CBE",IF($X55=TODAY(),"EMAIL SENT","MONITORING"))))))))))</f>
        <v/>
      </c>
      <c r="U55" s="17">
        <f>IF($T55="",IF(AND(COUNTA($A55:$K55)&gt;0,$L55=""),"Awaiting Collection Email time stamp.",""),IF(OR($T55="PAID",$T55="CLOSED"),IF($T55="PAID","Account paid. Action completed.","Account closed. No further action required."),CHOOSE($W55,"Collection Email","1st Email Follow-up","2nd Email Follow-up","Escalation to Local Office","Escalation to CBE","Escalation to Roxanne")&amp;" sent "&amp;TEXT($X55,"dd-mmm")&amp;". "&amp;IF($W55=6,"Final escalation completed.",IF($T55="OVERDUE","Next: "&amp;$Z55&amp;" was due "&amp;TEXT($Y55,"dd-mmm")&amp;" - "&amp;(NETWORKDAYS($Y55,TODAY(),Holidays)-1)&amp;" business day(s) late. Send now.",IF($T55="DUE TOMORROW","Next: "&amp;$Z55&amp;IF($Y55&lt;=TODAY()," is due TODAY ("," is due next business day (")&amp;TEXT($Y55,"dd-mmm")&amp;").","Next: "&amp;$Z55&amp;" due "&amp;TEXT($Y55,"dd-mmm")&amp;" ("&amp;(NETWORKDAYS(TODAY(),$Y55,Holidays)-1)&amp;" business day(s) left).")))))</f>
        <v/>
      </c>
      <c r="V55" s="17">
        <f>IF($W55="","",CHOOSE($W55,"Collection Email","1st Follow-up","2nd Follow-up","Local Office","CBE","Roxanne")&amp;IF($W55=6," - Final"," - Day "&amp;MAX(0,NETWORKDAYS($X55,TODAY(),Holidays)-1)&amp;" of "&amp;CHOOSE($W55,3,3,2,2,3))&amp;" | Total Day "&amp;MAX(0,NETWORKDAYS($L55,TODAY(),Holidays)-1))</f>
        <v/>
      </c>
      <c r="W55" s="17">
        <f>IF($L55="","",COUNT($L55:$Q55))</f>
        <v/>
      </c>
      <c r="X55" s="18">
        <f>IF($W55="","",INT(INDEX($L55:$Q55,$W55)))</f>
        <v/>
      </c>
      <c r="Y55" s="18">
        <f>IF(OR($W55="",$W55=6),"",WORKDAY($X55,CHOOSE($W55,3,3,2,2,3),Holidays))</f>
        <v/>
      </c>
      <c r="Z55" s="17">
        <f>IF(OR($W55="",$W55=6),"",CHOOSE($W55,"1st Email Follow-up","2nd Email Follow-up","Escalate Local Office","Escalate to CBE","Escalate to Roxanne"))</f>
        <v/>
      </c>
    </row>
    <row r="56" spans="18:26">
      <c r="R56" s="15"/>
      <c r="S56" s="16"/>
      <c r="T56" s="17">
        <f>IF(AND(COUNTA($A56:$K56)=0,$L56=""),"",IF($S56="Paid","PAID",IF($S56="Closed","CLOSED",IF($W56="","",IF($W56=6,"ESCALATED TO ROXANNE",IF(TODAY()&gt;$Y56,"OVERDUE",IF($Y56&lt;=WORKDAY(TODAY(),1,Holidays),"DUE TOMORROW",IF($W56=4,"ESCALATED TO LOCAL OFFICE",IF($W56=5,"ESCALATED TO CBE",IF($X56=TODAY(),"EMAIL SENT","MONITORING"))))))))))</f>
        <v/>
      </c>
      <c r="U56" s="17">
        <f>IF($T56="",IF(AND(COUNTA($A56:$K56)&gt;0,$L56=""),"Awaiting Collection Email time stamp.",""),IF(OR($T56="PAID",$T56="CLOSED"),IF($T56="PAID","Account paid. Action completed.","Account closed. No further action required."),CHOOSE($W56,"Collection Email","1st Email Follow-up","2nd Email Follow-up","Escalation to Local Office","Escalation to CBE","Escalation to Roxanne")&amp;" sent "&amp;TEXT($X56,"dd-mmm")&amp;". "&amp;IF($W56=6,"Final escalation completed.",IF($T56="OVERDUE","Next: "&amp;$Z56&amp;" was due "&amp;TEXT($Y56,"dd-mmm")&amp;" - "&amp;(NETWORKDAYS($Y56,TODAY(),Holidays)-1)&amp;" business day(s) late. Send now.",IF($T56="DUE TOMORROW","Next: "&amp;$Z56&amp;IF($Y56&lt;=TODAY()," is due TODAY ("," is due next business day (")&amp;TEXT($Y56,"dd-mmm")&amp;").","Next: "&amp;$Z56&amp;" due "&amp;TEXT($Y56,"dd-mmm")&amp;" ("&amp;(NETWORKDAYS(TODAY(),$Y56,Holidays)-1)&amp;" business day(s) left).")))))</f>
        <v/>
      </c>
      <c r="V56" s="17">
        <f>IF($W56="","",CHOOSE($W56,"Collection Email","1st Follow-up","2nd Follow-up","Local Office","CBE","Roxanne")&amp;IF($W56=6," - Final"," - Day "&amp;MAX(0,NETWORKDAYS($X56,TODAY(),Holidays)-1)&amp;" of "&amp;CHOOSE($W56,3,3,2,2,3))&amp;" | Total Day "&amp;MAX(0,NETWORKDAYS($L56,TODAY(),Holidays)-1))</f>
        <v/>
      </c>
      <c r="W56" s="17">
        <f>IF($L56="","",COUNT($L56:$Q56))</f>
        <v/>
      </c>
      <c r="X56" s="18">
        <f>IF($W56="","",INT(INDEX($L56:$Q56,$W56)))</f>
        <v/>
      </c>
      <c r="Y56" s="18">
        <f>IF(OR($W56="",$W56=6),"",WORKDAY($X56,CHOOSE($W56,3,3,2,2,3),Holidays))</f>
        <v/>
      </c>
      <c r="Z56" s="17">
        <f>IF(OR($W56="",$W56=6),"",CHOOSE($W56,"1st Email Follow-up","2nd Email Follow-up","Escalate Local Office","Escalate to CBE","Escalate to Roxanne"))</f>
        <v/>
      </c>
    </row>
    <row r="57" spans="18:26">
      <c r="R57" s="15"/>
      <c r="S57" s="16"/>
      <c r="T57" s="17">
        <f>IF(AND(COUNTA($A57:$K57)=0,$L57=""),"",IF($S57="Paid","PAID",IF($S57="Closed","CLOSED",IF($W57="","",IF($W57=6,"ESCALATED TO ROXANNE",IF(TODAY()&gt;$Y57,"OVERDUE",IF($Y57&lt;=WORKDAY(TODAY(),1,Holidays),"DUE TOMORROW",IF($W57=4,"ESCALATED TO LOCAL OFFICE",IF($W57=5,"ESCALATED TO CBE",IF($X57=TODAY(),"EMAIL SENT","MONITORING"))))))))))</f>
        <v/>
      </c>
      <c r="U57" s="17">
        <f>IF($T57="",IF(AND(COUNTA($A57:$K57)&gt;0,$L57=""),"Awaiting Collection Email time stamp.",""),IF(OR($T57="PAID",$T57="CLOSED"),IF($T57="PAID","Account paid. Action completed.","Account closed. No further action required."),CHOOSE($W57,"Collection Email","1st Email Follow-up","2nd Email Follow-up","Escalation to Local Office","Escalation to CBE","Escalation to Roxanne")&amp;" sent "&amp;TEXT($X57,"dd-mmm")&amp;". "&amp;IF($W57=6,"Final escalation completed.",IF($T57="OVERDUE","Next: "&amp;$Z57&amp;" was due "&amp;TEXT($Y57,"dd-mmm")&amp;" - "&amp;(NETWORKDAYS($Y57,TODAY(),Holidays)-1)&amp;" business day(s) late. Send now.",IF($T57="DUE TOMORROW","Next: "&amp;$Z57&amp;IF($Y57&lt;=TODAY()," is due TODAY ("," is due next business day (")&amp;TEXT($Y57,"dd-mmm")&amp;").","Next: "&amp;$Z57&amp;" due "&amp;TEXT($Y57,"dd-mmm")&amp;" ("&amp;(NETWORKDAYS(TODAY(),$Y57,Holidays)-1)&amp;" business day(s) left).")))))</f>
        <v/>
      </c>
      <c r="V57" s="17">
        <f>IF($W57="","",CHOOSE($W57,"Collection Email","1st Follow-up","2nd Follow-up","Local Office","CBE","Roxanne")&amp;IF($W57=6," - Final"," - Day "&amp;MAX(0,NETWORKDAYS($X57,TODAY(),Holidays)-1)&amp;" of "&amp;CHOOSE($W57,3,3,2,2,3))&amp;" | Total Day "&amp;MAX(0,NETWORKDAYS($L57,TODAY(),Holidays)-1))</f>
        <v/>
      </c>
      <c r="W57" s="17">
        <f>IF($L57="","",COUNT($L57:$Q57))</f>
        <v/>
      </c>
      <c r="X57" s="18">
        <f>IF($W57="","",INT(INDEX($L57:$Q57,$W57)))</f>
        <v/>
      </c>
      <c r="Y57" s="18">
        <f>IF(OR($W57="",$W57=6),"",WORKDAY($X57,CHOOSE($W57,3,3,2,2,3),Holidays))</f>
        <v/>
      </c>
      <c r="Z57" s="17">
        <f>IF(OR($W57="",$W57=6),"",CHOOSE($W57,"1st Email Follow-up","2nd Email Follow-up","Escalate Local Office","Escalate to CBE","Escalate to Roxanne"))</f>
        <v/>
      </c>
    </row>
    <row r="58" spans="18:26">
      <c r="R58" s="15"/>
      <c r="S58" s="16"/>
      <c r="T58" s="17">
        <f>IF(AND(COUNTA($A58:$K58)=0,$L58=""),"",IF($S58="Paid","PAID",IF($S58="Closed","CLOSED",IF($W58="","",IF($W58=6,"ESCALATED TO ROXANNE",IF(TODAY()&gt;$Y58,"OVERDUE",IF($Y58&lt;=WORKDAY(TODAY(),1,Holidays),"DUE TOMORROW",IF($W58=4,"ESCALATED TO LOCAL OFFICE",IF($W58=5,"ESCALATED TO CBE",IF($X58=TODAY(),"EMAIL SENT","MONITORING"))))))))))</f>
        <v/>
      </c>
      <c r="U58" s="17">
        <f>IF($T58="",IF(AND(COUNTA($A58:$K58)&gt;0,$L58=""),"Awaiting Collection Email time stamp.",""),IF(OR($T58="PAID",$T58="CLOSED"),IF($T58="PAID","Account paid. Action completed.","Account closed. No further action required."),CHOOSE($W58,"Collection Email","1st Email Follow-up","2nd Email Follow-up","Escalation to Local Office","Escalation to CBE","Escalation to Roxanne")&amp;" sent "&amp;TEXT($X58,"dd-mmm")&amp;". "&amp;IF($W58=6,"Final escalation completed.",IF($T58="OVERDUE","Next: "&amp;$Z58&amp;" was due "&amp;TEXT($Y58,"dd-mmm")&amp;" - "&amp;(NETWORKDAYS($Y58,TODAY(),Holidays)-1)&amp;" business day(s) late. Send now.",IF($T58="DUE TOMORROW","Next: "&amp;$Z58&amp;IF($Y58&lt;=TODAY()," is due TODAY ("," is due next business day (")&amp;TEXT($Y58,"dd-mmm")&amp;").","Next: "&amp;$Z58&amp;" due "&amp;TEXT($Y58,"dd-mmm")&amp;" ("&amp;(NETWORKDAYS(TODAY(),$Y58,Holidays)-1)&amp;" business day(s) left).")))))</f>
        <v/>
      </c>
      <c r="V58" s="17">
        <f>IF($W58="","",CHOOSE($W58,"Collection Email","1st Follow-up","2nd Follow-up","Local Office","CBE","Roxanne")&amp;IF($W58=6," - Final"," - Day "&amp;MAX(0,NETWORKDAYS($X58,TODAY(),Holidays)-1)&amp;" of "&amp;CHOOSE($W58,3,3,2,2,3))&amp;" | Total Day "&amp;MAX(0,NETWORKDAYS($L58,TODAY(),Holidays)-1))</f>
        <v/>
      </c>
      <c r="W58" s="17">
        <f>IF($L58="","",COUNT($L58:$Q58))</f>
        <v/>
      </c>
      <c r="X58" s="18">
        <f>IF($W58="","",INT(INDEX($L58:$Q58,$W58)))</f>
        <v/>
      </c>
      <c r="Y58" s="18">
        <f>IF(OR($W58="",$W58=6),"",WORKDAY($X58,CHOOSE($W58,3,3,2,2,3),Holidays))</f>
        <v/>
      </c>
      <c r="Z58" s="17">
        <f>IF(OR($W58="",$W58=6),"",CHOOSE($W58,"1st Email Follow-up","2nd Email Follow-up","Escalate Local Office","Escalate to CBE","Escalate to Roxanne"))</f>
        <v/>
      </c>
    </row>
    <row r="59" spans="18:26">
      <c r="R59" s="15"/>
      <c r="S59" s="16"/>
      <c r="T59" s="17">
        <f>IF(AND(COUNTA($A59:$K59)=0,$L59=""),"",IF($S59="Paid","PAID",IF($S59="Closed","CLOSED",IF($W59="","",IF($W59=6,"ESCALATED TO ROXANNE",IF(TODAY()&gt;$Y59,"OVERDUE",IF($Y59&lt;=WORKDAY(TODAY(),1,Holidays),"DUE TOMORROW",IF($W59=4,"ESCALATED TO LOCAL OFFICE",IF($W59=5,"ESCALATED TO CBE",IF($X59=TODAY(),"EMAIL SENT","MONITORING"))))))))))</f>
        <v/>
      </c>
      <c r="U59" s="17">
        <f>IF($T59="",IF(AND(COUNTA($A59:$K59)&gt;0,$L59=""),"Awaiting Collection Email time stamp.",""),IF(OR($T59="PAID",$T59="CLOSED"),IF($T59="PAID","Account paid. Action completed.","Account closed. No further action required."),CHOOSE($W59,"Collection Email","1st Email Follow-up","2nd Email Follow-up","Escalation to Local Office","Escalation to CBE","Escalation to Roxanne")&amp;" sent "&amp;TEXT($X59,"dd-mmm")&amp;". "&amp;IF($W59=6,"Final escalation completed.",IF($T59="OVERDUE","Next: "&amp;$Z59&amp;" was due "&amp;TEXT($Y59,"dd-mmm")&amp;" - "&amp;(NETWORKDAYS($Y59,TODAY(),Holidays)-1)&amp;" business day(s) late. Send now.",IF($T59="DUE TOMORROW","Next: "&amp;$Z59&amp;IF($Y59&lt;=TODAY()," is due TODAY ("," is due next business day (")&amp;TEXT($Y59,"dd-mmm")&amp;").","Next: "&amp;$Z59&amp;" due "&amp;TEXT($Y59,"dd-mmm")&amp;" ("&amp;(NETWORKDAYS(TODAY(),$Y59,Holidays)-1)&amp;" business day(s) left).")))))</f>
        <v/>
      </c>
      <c r="V59" s="17">
        <f>IF($W59="","",CHOOSE($W59,"Collection Email","1st Follow-up","2nd Follow-up","Local Office","CBE","Roxanne")&amp;IF($W59=6," - Final"," - Day "&amp;MAX(0,NETWORKDAYS($X59,TODAY(),Holidays)-1)&amp;" of "&amp;CHOOSE($W59,3,3,2,2,3))&amp;" | Total Day "&amp;MAX(0,NETWORKDAYS($L59,TODAY(),Holidays)-1))</f>
        <v/>
      </c>
      <c r="W59" s="17">
        <f>IF($L59="","",COUNT($L59:$Q59))</f>
        <v/>
      </c>
      <c r="X59" s="18">
        <f>IF($W59="","",INT(INDEX($L59:$Q59,$W59)))</f>
        <v/>
      </c>
      <c r="Y59" s="18">
        <f>IF(OR($W59="",$W59=6),"",WORKDAY($X59,CHOOSE($W59,3,3,2,2,3),Holidays))</f>
        <v/>
      </c>
      <c r="Z59" s="17">
        <f>IF(OR($W59="",$W59=6),"",CHOOSE($W59,"1st Email Follow-up","2nd Email Follow-up","Escalate Local Office","Escalate to CBE","Escalate to Roxanne"))</f>
        <v/>
      </c>
    </row>
    <row r="60" spans="18:26">
      <c r="R60" s="15"/>
      <c r="S60" s="16"/>
      <c r="T60" s="17">
        <f>IF(AND(COUNTA($A60:$K60)=0,$L60=""),"",IF($S60="Paid","PAID",IF($S60="Closed","CLOSED",IF($W60="","",IF($W60=6,"ESCALATED TO ROXANNE",IF(TODAY()&gt;$Y60,"OVERDUE",IF($Y60&lt;=WORKDAY(TODAY(),1,Holidays),"DUE TOMORROW",IF($W60=4,"ESCALATED TO LOCAL OFFICE",IF($W60=5,"ESCALATED TO CBE",IF($X60=TODAY(),"EMAIL SENT","MONITORING"))))))))))</f>
        <v/>
      </c>
      <c r="U60" s="17">
        <f>IF($T60="",IF(AND(COUNTA($A60:$K60)&gt;0,$L60=""),"Awaiting Collection Email time stamp.",""),IF(OR($T60="PAID",$T60="CLOSED"),IF($T60="PAID","Account paid. Action completed.","Account closed. No further action required."),CHOOSE($W60,"Collection Email","1st Email Follow-up","2nd Email Follow-up","Escalation to Local Office","Escalation to CBE","Escalation to Roxanne")&amp;" sent "&amp;TEXT($X60,"dd-mmm")&amp;". "&amp;IF($W60=6,"Final escalation completed.",IF($T60="OVERDUE","Next: "&amp;$Z60&amp;" was due "&amp;TEXT($Y60,"dd-mmm")&amp;" - "&amp;(NETWORKDAYS($Y60,TODAY(),Holidays)-1)&amp;" business day(s) late. Send now.",IF($T60="DUE TOMORROW","Next: "&amp;$Z60&amp;IF($Y60&lt;=TODAY()," is due TODAY ("," is due next business day (")&amp;TEXT($Y60,"dd-mmm")&amp;").","Next: "&amp;$Z60&amp;" due "&amp;TEXT($Y60,"dd-mmm")&amp;" ("&amp;(NETWORKDAYS(TODAY(),$Y60,Holidays)-1)&amp;" business day(s) left).")))))</f>
        <v/>
      </c>
      <c r="V60" s="17">
        <f>IF($W60="","",CHOOSE($W60,"Collection Email","1st Follow-up","2nd Follow-up","Local Office","CBE","Roxanne")&amp;IF($W60=6," - Final"," - Day "&amp;MAX(0,NETWORKDAYS($X60,TODAY(),Holidays)-1)&amp;" of "&amp;CHOOSE($W60,3,3,2,2,3))&amp;" | Total Day "&amp;MAX(0,NETWORKDAYS($L60,TODAY(),Holidays)-1))</f>
        <v/>
      </c>
      <c r="W60" s="17">
        <f>IF($L60="","",COUNT($L60:$Q60))</f>
        <v/>
      </c>
      <c r="X60" s="18">
        <f>IF($W60="","",INT(INDEX($L60:$Q60,$W60)))</f>
        <v/>
      </c>
      <c r="Y60" s="18">
        <f>IF(OR($W60="",$W60=6),"",WORKDAY($X60,CHOOSE($W60,3,3,2,2,3),Holidays))</f>
        <v/>
      </c>
      <c r="Z60" s="17">
        <f>IF(OR($W60="",$W60=6),"",CHOOSE($W60,"1st Email Follow-up","2nd Email Follow-up","Escalate Local Office","Escalate to CBE","Escalate to Roxanne"))</f>
        <v/>
      </c>
    </row>
    <row r="61" spans="18:26">
      <c r="R61" s="15"/>
      <c r="S61" s="16"/>
      <c r="T61" s="17">
        <f>IF(AND(COUNTA($A61:$K61)=0,$L61=""),"",IF($S61="Paid","PAID",IF($S61="Closed","CLOSED",IF($W61="","",IF($W61=6,"ESCALATED TO ROXANNE",IF(TODAY()&gt;$Y61,"OVERDUE",IF($Y61&lt;=WORKDAY(TODAY(),1,Holidays),"DUE TOMORROW",IF($W61=4,"ESCALATED TO LOCAL OFFICE",IF($W61=5,"ESCALATED TO CBE",IF($X61=TODAY(),"EMAIL SENT","MONITORING"))))))))))</f>
        <v/>
      </c>
      <c r="U61" s="17">
        <f>IF($T61="",IF(AND(COUNTA($A61:$K61)&gt;0,$L61=""),"Awaiting Collection Email time stamp.",""),IF(OR($T61="PAID",$T61="CLOSED"),IF($T61="PAID","Account paid. Action completed.","Account closed. No further action required."),CHOOSE($W61,"Collection Email","1st Email Follow-up","2nd Email Follow-up","Escalation to Local Office","Escalation to CBE","Escalation to Roxanne")&amp;" sent "&amp;TEXT($X61,"dd-mmm")&amp;". "&amp;IF($W61=6,"Final escalation completed.",IF($T61="OVERDUE","Next: "&amp;$Z61&amp;" was due "&amp;TEXT($Y61,"dd-mmm")&amp;" - "&amp;(NETWORKDAYS($Y61,TODAY(),Holidays)-1)&amp;" business day(s) late. Send now.",IF($T61="DUE TOMORROW","Next: "&amp;$Z61&amp;IF($Y61&lt;=TODAY()," is due TODAY ("," is due next business day (")&amp;TEXT($Y61,"dd-mmm")&amp;").","Next: "&amp;$Z61&amp;" due "&amp;TEXT($Y61,"dd-mmm")&amp;" ("&amp;(NETWORKDAYS(TODAY(),$Y61,Holidays)-1)&amp;" business day(s) left).")))))</f>
        <v/>
      </c>
      <c r="V61" s="17">
        <f>IF($W61="","",CHOOSE($W61,"Collection Email","1st Follow-up","2nd Follow-up","Local Office","CBE","Roxanne")&amp;IF($W61=6," - Final"," - Day "&amp;MAX(0,NETWORKDAYS($X61,TODAY(),Holidays)-1)&amp;" of "&amp;CHOOSE($W61,3,3,2,2,3))&amp;" | Total Day "&amp;MAX(0,NETWORKDAYS($L61,TODAY(),Holidays)-1))</f>
        <v/>
      </c>
      <c r="W61" s="17">
        <f>IF($L61="","",COUNT($L61:$Q61))</f>
        <v/>
      </c>
      <c r="X61" s="18">
        <f>IF($W61="","",INT(INDEX($L61:$Q61,$W61)))</f>
        <v/>
      </c>
      <c r="Y61" s="18">
        <f>IF(OR($W61="",$W61=6),"",WORKDAY($X61,CHOOSE($W61,3,3,2,2,3),Holidays))</f>
        <v/>
      </c>
      <c r="Z61" s="17">
        <f>IF(OR($W61="",$W61=6),"",CHOOSE($W61,"1st Email Follow-up","2nd Email Follow-up","Escalate Local Office","Escalate to CBE","Escalate to Roxanne"))</f>
        <v/>
      </c>
    </row>
    <row r="62" spans="18:26">
      <c r="R62" s="15"/>
      <c r="S62" s="16"/>
      <c r="T62" s="17">
        <f>IF(AND(COUNTA($A62:$K62)=0,$L62=""),"",IF($S62="Paid","PAID",IF($S62="Closed","CLOSED",IF($W62="","",IF($W62=6,"ESCALATED TO ROXANNE",IF(TODAY()&gt;$Y62,"OVERDUE",IF($Y62&lt;=WORKDAY(TODAY(),1,Holidays),"DUE TOMORROW",IF($W62=4,"ESCALATED TO LOCAL OFFICE",IF($W62=5,"ESCALATED TO CBE",IF($X62=TODAY(),"EMAIL SENT","MONITORING"))))))))))</f>
        <v/>
      </c>
      <c r="U62" s="17">
        <f>IF($T62="",IF(AND(COUNTA($A62:$K62)&gt;0,$L62=""),"Awaiting Collection Email time stamp.",""),IF(OR($T62="PAID",$T62="CLOSED"),IF($T62="PAID","Account paid. Action completed.","Account closed. No further action required."),CHOOSE($W62,"Collection Email","1st Email Follow-up","2nd Email Follow-up","Escalation to Local Office","Escalation to CBE","Escalation to Roxanne")&amp;" sent "&amp;TEXT($X62,"dd-mmm")&amp;". "&amp;IF($W62=6,"Final escalation completed.",IF($T62="OVERDUE","Next: "&amp;$Z62&amp;" was due "&amp;TEXT($Y62,"dd-mmm")&amp;" - "&amp;(NETWORKDAYS($Y62,TODAY(),Holidays)-1)&amp;" business day(s) late. Send now.",IF($T62="DUE TOMORROW","Next: "&amp;$Z62&amp;IF($Y62&lt;=TODAY()," is due TODAY ("," is due next business day (")&amp;TEXT($Y62,"dd-mmm")&amp;").","Next: "&amp;$Z62&amp;" due "&amp;TEXT($Y62,"dd-mmm")&amp;" ("&amp;(NETWORKDAYS(TODAY(),$Y62,Holidays)-1)&amp;" business day(s) left).")))))</f>
        <v/>
      </c>
      <c r="V62" s="17">
        <f>IF($W62="","",CHOOSE($W62,"Collection Email","1st Follow-up","2nd Follow-up","Local Office","CBE","Roxanne")&amp;IF($W62=6," - Final"," - Day "&amp;MAX(0,NETWORKDAYS($X62,TODAY(),Holidays)-1)&amp;" of "&amp;CHOOSE($W62,3,3,2,2,3))&amp;" | Total Day "&amp;MAX(0,NETWORKDAYS($L62,TODAY(),Holidays)-1))</f>
        <v/>
      </c>
      <c r="W62" s="17">
        <f>IF($L62="","",COUNT($L62:$Q62))</f>
        <v/>
      </c>
      <c r="X62" s="18">
        <f>IF($W62="","",INT(INDEX($L62:$Q62,$W62)))</f>
        <v/>
      </c>
      <c r="Y62" s="18">
        <f>IF(OR($W62="",$W62=6),"",WORKDAY($X62,CHOOSE($W62,3,3,2,2,3),Holidays))</f>
        <v/>
      </c>
      <c r="Z62" s="17">
        <f>IF(OR($W62="",$W62=6),"",CHOOSE($W62,"1st Email Follow-up","2nd Email Follow-up","Escalate Local Office","Escalate to CBE","Escalate to Roxanne"))</f>
        <v/>
      </c>
    </row>
    <row r="63" spans="18:26">
      <c r="R63" s="15"/>
      <c r="S63" s="16"/>
      <c r="T63" s="17">
        <f>IF(AND(COUNTA($A63:$K63)=0,$L63=""),"",IF($S63="Paid","PAID",IF($S63="Closed","CLOSED",IF($W63="","",IF($W63=6,"ESCALATED TO ROXANNE",IF(TODAY()&gt;$Y63,"OVERDUE",IF($Y63&lt;=WORKDAY(TODAY(),1,Holidays),"DUE TOMORROW",IF($W63=4,"ESCALATED TO LOCAL OFFICE",IF($W63=5,"ESCALATED TO CBE",IF($X63=TODAY(),"EMAIL SENT","MONITORING"))))))))))</f>
        <v/>
      </c>
      <c r="U63" s="17">
        <f>IF($T63="",IF(AND(COUNTA($A63:$K63)&gt;0,$L63=""),"Awaiting Collection Email time stamp.",""),IF(OR($T63="PAID",$T63="CLOSED"),IF($T63="PAID","Account paid. Action completed.","Account closed. No further action required."),CHOOSE($W63,"Collection Email","1st Email Follow-up","2nd Email Follow-up","Escalation to Local Office","Escalation to CBE","Escalation to Roxanne")&amp;" sent "&amp;TEXT($X63,"dd-mmm")&amp;". "&amp;IF($W63=6,"Final escalation completed.",IF($T63="OVERDUE","Next: "&amp;$Z63&amp;" was due "&amp;TEXT($Y63,"dd-mmm")&amp;" - "&amp;(NETWORKDAYS($Y63,TODAY(),Holidays)-1)&amp;" business day(s) late. Send now.",IF($T63="DUE TOMORROW","Next: "&amp;$Z63&amp;IF($Y63&lt;=TODAY()," is due TODAY ("," is due next business day (")&amp;TEXT($Y63,"dd-mmm")&amp;").","Next: "&amp;$Z63&amp;" due "&amp;TEXT($Y63,"dd-mmm")&amp;" ("&amp;(NETWORKDAYS(TODAY(),$Y63,Holidays)-1)&amp;" business day(s) left).")))))</f>
        <v/>
      </c>
      <c r="V63" s="17">
        <f>IF($W63="","",CHOOSE($W63,"Collection Email","1st Follow-up","2nd Follow-up","Local Office","CBE","Roxanne")&amp;IF($W63=6," - Final"," - Day "&amp;MAX(0,NETWORKDAYS($X63,TODAY(),Holidays)-1)&amp;" of "&amp;CHOOSE($W63,3,3,2,2,3))&amp;" | Total Day "&amp;MAX(0,NETWORKDAYS($L63,TODAY(),Holidays)-1))</f>
        <v/>
      </c>
      <c r="W63" s="17">
        <f>IF($L63="","",COUNT($L63:$Q63))</f>
        <v/>
      </c>
      <c r="X63" s="18">
        <f>IF($W63="","",INT(INDEX($L63:$Q63,$W63)))</f>
        <v/>
      </c>
      <c r="Y63" s="18">
        <f>IF(OR($W63="",$W63=6),"",WORKDAY($X63,CHOOSE($W63,3,3,2,2,3),Holidays))</f>
        <v/>
      </c>
      <c r="Z63" s="17">
        <f>IF(OR($W63="",$W63=6),"",CHOOSE($W63,"1st Email Follow-up","2nd Email Follow-up","Escalate Local Office","Escalate to CBE","Escalate to Roxanne"))</f>
        <v/>
      </c>
    </row>
    <row r="64" spans="18:26">
      <c r="R64" s="15"/>
      <c r="S64" s="16"/>
      <c r="T64" s="17">
        <f>IF(AND(COUNTA($A64:$K64)=0,$L64=""),"",IF($S64="Paid","PAID",IF($S64="Closed","CLOSED",IF($W64="","",IF($W64=6,"ESCALATED TO ROXANNE",IF(TODAY()&gt;$Y64,"OVERDUE",IF($Y64&lt;=WORKDAY(TODAY(),1,Holidays),"DUE TOMORROW",IF($W64=4,"ESCALATED TO LOCAL OFFICE",IF($W64=5,"ESCALATED TO CBE",IF($X64=TODAY(),"EMAIL SENT","MONITORING"))))))))))</f>
        <v/>
      </c>
      <c r="U64" s="17">
        <f>IF($T64="",IF(AND(COUNTA($A64:$K64)&gt;0,$L64=""),"Awaiting Collection Email time stamp.",""),IF(OR($T64="PAID",$T64="CLOSED"),IF($T64="PAID","Account paid. Action completed.","Account closed. No further action required."),CHOOSE($W64,"Collection Email","1st Email Follow-up","2nd Email Follow-up","Escalation to Local Office","Escalation to CBE","Escalation to Roxanne")&amp;" sent "&amp;TEXT($X64,"dd-mmm")&amp;". "&amp;IF($W64=6,"Final escalation completed.",IF($T64="OVERDUE","Next: "&amp;$Z64&amp;" was due "&amp;TEXT($Y64,"dd-mmm")&amp;" - "&amp;(NETWORKDAYS($Y64,TODAY(),Holidays)-1)&amp;" business day(s) late. Send now.",IF($T64="DUE TOMORROW","Next: "&amp;$Z64&amp;IF($Y64&lt;=TODAY()," is due TODAY ("," is due next business day (")&amp;TEXT($Y64,"dd-mmm")&amp;").","Next: "&amp;$Z64&amp;" due "&amp;TEXT($Y64,"dd-mmm")&amp;" ("&amp;(NETWORKDAYS(TODAY(),$Y64,Holidays)-1)&amp;" business day(s) left).")))))</f>
        <v/>
      </c>
      <c r="V64" s="17">
        <f>IF($W64="","",CHOOSE($W64,"Collection Email","1st Follow-up","2nd Follow-up","Local Office","CBE","Roxanne")&amp;IF($W64=6," - Final"," - Day "&amp;MAX(0,NETWORKDAYS($X64,TODAY(),Holidays)-1)&amp;" of "&amp;CHOOSE($W64,3,3,2,2,3))&amp;" | Total Day "&amp;MAX(0,NETWORKDAYS($L64,TODAY(),Holidays)-1))</f>
        <v/>
      </c>
      <c r="W64" s="17">
        <f>IF($L64="","",COUNT($L64:$Q64))</f>
        <v/>
      </c>
      <c r="X64" s="18">
        <f>IF($W64="","",INT(INDEX($L64:$Q64,$W64)))</f>
        <v/>
      </c>
      <c r="Y64" s="18">
        <f>IF(OR($W64="",$W64=6),"",WORKDAY($X64,CHOOSE($W64,3,3,2,2,3),Holidays))</f>
        <v/>
      </c>
      <c r="Z64" s="17">
        <f>IF(OR($W64="",$W64=6),"",CHOOSE($W64,"1st Email Follow-up","2nd Email Follow-up","Escalate Local Office","Escalate to CBE","Escalate to Roxanne"))</f>
        <v/>
      </c>
    </row>
    <row r="65" spans="18:26">
      <c r="R65" s="15"/>
      <c r="S65" s="16"/>
      <c r="T65" s="17">
        <f>IF(AND(COUNTA($A65:$K65)=0,$L65=""),"",IF($S65="Paid","PAID",IF($S65="Closed","CLOSED",IF($W65="","",IF($W65=6,"ESCALATED TO ROXANNE",IF(TODAY()&gt;$Y65,"OVERDUE",IF($Y65&lt;=WORKDAY(TODAY(),1,Holidays),"DUE TOMORROW",IF($W65=4,"ESCALATED TO LOCAL OFFICE",IF($W65=5,"ESCALATED TO CBE",IF($X65=TODAY(),"EMAIL SENT","MONITORING"))))))))))</f>
        <v/>
      </c>
      <c r="U65" s="17">
        <f>IF($T65="",IF(AND(COUNTA($A65:$K65)&gt;0,$L65=""),"Awaiting Collection Email time stamp.",""),IF(OR($T65="PAID",$T65="CLOSED"),IF($T65="PAID","Account paid. Action completed.","Account closed. No further action required."),CHOOSE($W65,"Collection Email","1st Email Follow-up","2nd Email Follow-up","Escalation to Local Office","Escalation to CBE","Escalation to Roxanne")&amp;" sent "&amp;TEXT($X65,"dd-mmm")&amp;". "&amp;IF($W65=6,"Final escalation completed.",IF($T65="OVERDUE","Next: "&amp;$Z65&amp;" was due "&amp;TEXT($Y65,"dd-mmm")&amp;" - "&amp;(NETWORKDAYS($Y65,TODAY(),Holidays)-1)&amp;" business day(s) late. Send now.",IF($T65="DUE TOMORROW","Next: "&amp;$Z65&amp;IF($Y65&lt;=TODAY()," is due TODAY ("," is due next business day (")&amp;TEXT($Y65,"dd-mmm")&amp;").","Next: "&amp;$Z65&amp;" due "&amp;TEXT($Y65,"dd-mmm")&amp;" ("&amp;(NETWORKDAYS(TODAY(),$Y65,Holidays)-1)&amp;" business day(s) left).")))))</f>
        <v/>
      </c>
      <c r="V65" s="17">
        <f>IF($W65="","",CHOOSE($W65,"Collection Email","1st Follow-up","2nd Follow-up","Local Office","CBE","Roxanne")&amp;IF($W65=6," - Final"," - Day "&amp;MAX(0,NETWORKDAYS($X65,TODAY(),Holidays)-1)&amp;" of "&amp;CHOOSE($W65,3,3,2,2,3))&amp;" | Total Day "&amp;MAX(0,NETWORKDAYS($L65,TODAY(),Holidays)-1))</f>
        <v/>
      </c>
      <c r="W65" s="17">
        <f>IF($L65="","",COUNT($L65:$Q65))</f>
        <v/>
      </c>
      <c r="X65" s="18">
        <f>IF($W65="","",INT(INDEX($L65:$Q65,$W65)))</f>
        <v/>
      </c>
      <c r="Y65" s="18">
        <f>IF(OR($W65="",$W65=6),"",WORKDAY($X65,CHOOSE($W65,3,3,2,2,3),Holidays))</f>
        <v/>
      </c>
      <c r="Z65" s="17">
        <f>IF(OR($W65="",$W65=6),"",CHOOSE($W65,"1st Email Follow-up","2nd Email Follow-up","Escalate Local Office","Escalate to CBE","Escalate to Roxanne"))</f>
        <v/>
      </c>
    </row>
    <row r="66" spans="18:26">
      <c r="R66" s="15"/>
      <c r="S66" s="16"/>
      <c r="T66" s="17">
        <f>IF(AND(COUNTA($A66:$K66)=0,$L66=""),"",IF($S66="Paid","PAID",IF($S66="Closed","CLOSED",IF($W66="","",IF($W66=6,"ESCALATED TO ROXANNE",IF(TODAY()&gt;$Y66,"OVERDUE",IF($Y66&lt;=WORKDAY(TODAY(),1,Holidays),"DUE TOMORROW",IF($W66=4,"ESCALATED TO LOCAL OFFICE",IF($W66=5,"ESCALATED TO CBE",IF($X66=TODAY(),"EMAIL SENT","MONITORING"))))))))))</f>
        <v/>
      </c>
      <c r="U66" s="17">
        <f>IF($T66="",IF(AND(COUNTA($A66:$K66)&gt;0,$L66=""),"Awaiting Collection Email time stamp.",""),IF(OR($T66="PAID",$T66="CLOSED"),IF($T66="PAID","Account paid. Action completed.","Account closed. No further action required."),CHOOSE($W66,"Collection Email","1st Email Follow-up","2nd Email Follow-up","Escalation to Local Office","Escalation to CBE","Escalation to Roxanne")&amp;" sent "&amp;TEXT($X66,"dd-mmm")&amp;". "&amp;IF($W66=6,"Final escalation completed.",IF($T66="OVERDUE","Next: "&amp;$Z66&amp;" was due "&amp;TEXT($Y66,"dd-mmm")&amp;" - "&amp;(NETWORKDAYS($Y66,TODAY(),Holidays)-1)&amp;" business day(s) late. Send now.",IF($T66="DUE TOMORROW","Next: "&amp;$Z66&amp;IF($Y66&lt;=TODAY()," is due TODAY ("," is due next business day (")&amp;TEXT($Y66,"dd-mmm")&amp;").","Next: "&amp;$Z66&amp;" due "&amp;TEXT($Y66,"dd-mmm")&amp;" ("&amp;(NETWORKDAYS(TODAY(),$Y66,Holidays)-1)&amp;" business day(s) left).")))))</f>
        <v/>
      </c>
      <c r="V66" s="17">
        <f>IF($W66="","",CHOOSE($W66,"Collection Email","1st Follow-up","2nd Follow-up","Local Office","CBE","Roxanne")&amp;IF($W66=6," - Final"," - Day "&amp;MAX(0,NETWORKDAYS($X66,TODAY(),Holidays)-1)&amp;" of "&amp;CHOOSE($W66,3,3,2,2,3))&amp;" | Total Day "&amp;MAX(0,NETWORKDAYS($L66,TODAY(),Holidays)-1))</f>
        <v/>
      </c>
      <c r="W66" s="17">
        <f>IF($L66="","",COUNT($L66:$Q66))</f>
        <v/>
      </c>
      <c r="X66" s="18">
        <f>IF($W66="","",INT(INDEX($L66:$Q66,$W66)))</f>
        <v/>
      </c>
      <c r="Y66" s="18">
        <f>IF(OR($W66="",$W66=6),"",WORKDAY($X66,CHOOSE($W66,3,3,2,2,3),Holidays))</f>
        <v/>
      </c>
      <c r="Z66" s="17">
        <f>IF(OR($W66="",$W66=6),"",CHOOSE($W66,"1st Email Follow-up","2nd Email Follow-up","Escalate Local Office","Escalate to CBE","Escalate to Roxanne"))</f>
        <v/>
      </c>
    </row>
    <row r="67" spans="18:26">
      <c r="R67" s="15"/>
      <c r="S67" s="16"/>
      <c r="T67" s="17">
        <f>IF(AND(COUNTA($A67:$K67)=0,$L67=""),"",IF($S67="Paid","PAID",IF($S67="Closed","CLOSED",IF($W67="","",IF($W67=6,"ESCALATED TO ROXANNE",IF(TODAY()&gt;$Y67,"OVERDUE",IF($Y67&lt;=WORKDAY(TODAY(),1,Holidays),"DUE TOMORROW",IF($W67=4,"ESCALATED TO LOCAL OFFICE",IF($W67=5,"ESCALATED TO CBE",IF($X67=TODAY(),"EMAIL SENT","MONITORING"))))))))))</f>
        <v/>
      </c>
      <c r="U67" s="17">
        <f>IF($T67="",IF(AND(COUNTA($A67:$K67)&gt;0,$L67=""),"Awaiting Collection Email time stamp.",""),IF(OR($T67="PAID",$T67="CLOSED"),IF($T67="PAID","Account paid. Action completed.","Account closed. No further action required."),CHOOSE($W67,"Collection Email","1st Email Follow-up","2nd Email Follow-up","Escalation to Local Office","Escalation to CBE","Escalation to Roxanne")&amp;" sent "&amp;TEXT($X67,"dd-mmm")&amp;". "&amp;IF($W67=6,"Final escalation completed.",IF($T67="OVERDUE","Next: "&amp;$Z67&amp;" was due "&amp;TEXT($Y67,"dd-mmm")&amp;" - "&amp;(NETWORKDAYS($Y67,TODAY(),Holidays)-1)&amp;" business day(s) late. Send now.",IF($T67="DUE TOMORROW","Next: "&amp;$Z67&amp;IF($Y67&lt;=TODAY()," is due TODAY ("," is due next business day (")&amp;TEXT($Y67,"dd-mmm")&amp;").","Next: "&amp;$Z67&amp;" due "&amp;TEXT($Y67,"dd-mmm")&amp;" ("&amp;(NETWORKDAYS(TODAY(),$Y67,Holidays)-1)&amp;" business day(s) left).")))))</f>
        <v/>
      </c>
      <c r="V67" s="17">
        <f>IF($W67="","",CHOOSE($W67,"Collection Email","1st Follow-up","2nd Follow-up","Local Office","CBE","Roxanne")&amp;IF($W67=6," - Final"," - Day "&amp;MAX(0,NETWORKDAYS($X67,TODAY(),Holidays)-1)&amp;" of "&amp;CHOOSE($W67,3,3,2,2,3))&amp;" | Total Day "&amp;MAX(0,NETWORKDAYS($L67,TODAY(),Holidays)-1))</f>
        <v/>
      </c>
      <c r="W67" s="17">
        <f>IF($L67="","",COUNT($L67:$Q67))</f>
        <v/>
      </c>
      <c r="X67" s="18">
        <f>IF($W67="","",INT(INDEX($L67:$Q67,$W67)))</f>
        <v/>
      </c>
      <c r="Y67" s="18">
        <f>IF(OR($W67="",$W67=6),"",WORKDAY($X67,CHOOSE($W67,3,3,2,2,3),Holidays))</f>
        <v/>
      </c>
      <c r="Z67" s="17">
        <f>IF(OR($W67="",$W67=6),"",CHOOSE($W67,"1st Email Follow-up","2nd Email Follow-up","Escalate Local Office","Escalate to CBE","Escalate to Roxanne"))</f>
        <v/>
      </c>
    </row>
    <row r="68" spans="18:26">
      <c r="R68" s="15"/>
      <c r="S68" s="16"/>
      <c r="T68" s="17">
        <f>IF(AND(COUNTA($A68:$K68)=0,$L68=""),"",IF($S68="Paid","PAID",IF($S68="Closed","CLOSED",IF($W68="","",IF($W68=6,"ESCALATED TO ROXANNE",IF(TODAY()&gt;$Y68,"OVERDUE",IF($Y68&lt;=WORKDAY(TODAY(),1,Holidays),"DUE TOMORROW",IF($W68=4,"ESCALATED TO LOCAL OFFICE",IF($W68=5,"ESCALATED TO CBE",IF($X68=TODAY(),"EMAIL SENT","MONITORING"))))))))))</f>
        <v/>
      </c>
      <c r="U68" s="17">
        <f>IF($T68="",IF(AND(COUNTA($A68:$K68)&gt;0,$L68=""),"Awaiting Collection Email time stamp.",""),IF(OR($T68="PAID",$T68="CLOSED"),IF($T68="PAID","Account paid. Action completed.","Account closed. No further action required."),CHOOSE($W68,"Collection Email","1st Email Follow-up","2nd Email Follow-up","Escalation to Local Office","Escalation to CBE","Escalation to Roxanne")&amp;" sent "&amp;TEXT($X68,"dd-mmm")&amp;". "&amp;IF($W68=6,"Final escalation completed.",IF($T68="OVERDUE","Next: "&amp;$Z68&amp;" was due "&amp;TEXT($Y68,"dd-mmm")&amp;" - "&amp;(NETWORKDAYS($Y68,TODAY(),Holidays)-1)&amp;" business day(s) late. Send now.",IF($T68="DUE TOMORROW","Next: "&amp;$Z68&amp;IF($Y68&lt;=TODAY()," is due TODAY ("," is due next business day (")&amp;TEXT($Y68,"dd-mmm")&amp;").","Next: "&amp;$Z68&amp;" due "&amp;TEXT($Y68,"dd-mmm")&amp;" ("&amp;(NETWORKDAYS(TODAY(),$Y68,Holidays)-1)&amp;" business day(s) left).")))))</f>
        <v/>
      </c>
      <c r="V68" s="17">
        <f>IF($W68="","",CHOOSE($W68,"Collection Email","1st Follow-up","2nd Follow-up","Local Office","CBE","Roxanne")&amp;IF($W68=6," - Final"," - Day "&amp;MAX(0,NETWORKDAYS($X68,TODAY(),Holidays)-1)&amp;" of "&amp;CHOOSE($W68,3,3,2,2,3))&amp;" | Total Day "&amp;MAX(0,NETWORKDAYS($L68,TODAY(),Holidays)-1))</f>
        <v/>
      </c>
      <c r="W68" s="17">
        <f>IF($L68="","",COUNT($L68:$Q68))</f>
        <v/>
      </c>
      <c r="X68" s="18">
        <f>IF($W68="","",INT(INDEX($L68:$Q68,$W68)))</f>
        <v/>
      </c>
      <c r="Y68" s="18">
        <f>IF(OR($W68="",$W68=6),"",WORKDAY($X68,CHOOSE($W68,3,3,2,2,3),Holidays))</f>
        <v/>
      </c>
      <c r="Z68" s="17">
        <f>IF(OR($W68="",$W68=6),"",CHOOSE($W68,"1st Email Follow-up","2nd Email Follow-up","Escalate Local Office","Escalate to CBE","Escalate to Roxanne"))</f>
        <v/>
      </c>
    </row>
    <row r="69" spans="18:26">
      <c r="R69" s="15"/>
      <c r="S69" s="16"/>
      <c r="T69" s="17">
        <f>IF(AND(COUNTA($A69:$K69)=0,$L69=""),"",IF($S69="Paid","PAID",IF($S69="Closed","CLOSED",IF($W69="","",IF($W69=6,"ESCALATED TO ROXANNE",IF(TODAY()&gt;$Y69,"OVERDUE",IF($Y69&lt;=WORKDAY(TODAY(),1,Holidays),"DUE TOMORROW",IF($W69=4,"ESCALATED TO LOCAL OFFICE",IF($W69=5,"ESCALATED TO CBE",IF($X69=TODAY(),"EMAIL SENT","MONITORING"))))))))))</f>
        <v/>
      </c>
      <c r="U69" s="17">
        <f>IF($T69="",IF(AND(COUNTA($A69:$K69)&gt;0,$L69=""),"Awaiting Collection Email time stamp.",""),IF(OR($T69="PAID",$T69="CLOSED"),IF($T69="PAID","Account paid. Action completed.","Account closed. No further action required."),CHOOSE($W69,"Collection Email","1st Email Follow-up","2nd Email Follow-up","Escalation to Local Office","Escalation to CBE","Escalation to Roxanne")&amp;" sent "&amp;TEXT($X69,"dd-mmm")&amp;". "&amp;IF($W69=6,"Final escalation completed.",IF($T69="OVERDUE","Next: "&amp;$Z69&amp;" was due "&amp;TEXT($Y69,"dd-mmm")&amp;" - "&amp;(NETWORKDAYS($Y69,TODAY(),Holidays)-1)&amp;" business day(s) late. Send now.",IF($T69="DUE TOMORROW","Next: "&amp;$Z69&amp;IF($Y69&lt;=TODAY()," is due TODAY ("," is due next business day (")&amp;TEXT($Y69,"dd-mmm")&amp;").","Next: "&amp;$Z69&amp;" due "&amp;TEXT($Y69,"dd-mmm")&amp;" ("&amp;(NETWORKDAYS(TODAY(),$Y69,Holidays)-1)&amp;" business day(s) left).")))))</f>
        <v/>
      </c>
      <c r="V69" s="17">
        <f>IF($W69="","",CHOOSE($W69,"Collection Email","1st Follow-up","2nd Follow-up","Local Office","CBE","Roxanne")&amp;IF($W69=6," - Final"," - Day "&amp;MAX(0,NETWORKDAYS($X69,TODAY(),Holidays)-1)&amp;" of "&amp;CHOOSE($W69,3,3,2,2,3))&amp;" | Total Day "&amp;MAX(0,NETWORKDAYS($L69,TODAY(),Holidays)-1))</f>
        <v/>
      </c>
      <c r="W69" s="17">
        <f>IF($L69="","",COUNT($L69:$Q69))</f>
        <v/>
      </c>
      <c r="X69" s="18">
        <f>IF($W69="","",INT(INDEX($L69:$Q69,$W69)))</f>
        <v/>
      </c>
      <c r="Y69" s="18">
        <f>IF(OR($W69="",$W69=6),"",WORKDAY($X69,CHOOSE($W69,3,3,2,2,3),Holidays))</f>
        <v/>
      </c>
      <c r="Z69" s="17">
        <f>IF(OR($W69="",$W69=6),"",CHOOSE($W69,"1st Email Follow-up","2nd Email Follow-up","Escalate Local Office","Escalate to CBE","Escalate to Roxanne"))</f>
        <v/>
      </c>
    </row>
    <row r="70" spans="18:26">
      <c r="R70" s="15"/>
      <c r="S70" s="16"/>
      <c r="T70" s="17">
        <f>IF(AND(COUNTA($A70:$K70)=0,$L70=""),"",IF($S70="Paid","PAID",IF($S70="Closed","CLOSED",IF($W70="","",IF($W70=6,"ESCALATED TO ROXANNE",IF(TODAY()&gt;$Y70,"OVERDUE",IF($Y70&lt;=WORKDAY(TODAY(),1,Holidays),"DUE TOMORROW",IF($W70=4,"ESCALATED TO LOCAL OFFICE",IF($W70=5,"ESCALATED TO CBE",IF($X70=TODAY(),"EMAIL SENT","MONITORING"))))))))))</f>
        <v/>
      </c>
      <c r="U70" s="17">
        <f>IF($T70="",IF(AND(COUNTA($A70:$K70)&gt;0,$L70=""),"Awaiting Collection Email time stamp.",""),IF(OR($T70="PAID",$T70="CLOSED"),IF($T70="PAID","Account paid. Action completed.","Account closed. No further action required."),CHOOSE($W70,"Collection Email","1st Email Follow-up","2nd Email Follow-up","Escalation to Local Office","Escalation to CBE","Escalation to Roxanne")&amp;" sent "&amp;TEXT($X70,"dd-mmm")&amp;". "&amp;IF($W70=6,"Final escalation completed.",IF($T70="OVERDUE","Next: "&amp;$Z70&amp;" was due "&amp;TEXT($Y70,"dd-mmm")&amp;" - "&amp;(NETWORKDAYS($Y70,TODAY(),Holidays)-1)&amp;" business day(s) late. Send now.",IF($T70="DUE TOMORROW","Next: "&amp;$Z70&amp;IF($Y70&lt;=TODAY()," is due TODAY ("," is due next business day (")&amp;TEXT($Y70,"dd-mmm")&amp;").","Next: "&amp;$Z70&amp;" due "&amp;TEXT($Y70,"dd-mmm")&amp;" ("&amp;(NETWORKDAYS(TODAY(),$Y70,Holidays)-1)&amp;" business day(s) left).")))))</f>
        <v/>
      </c>
      <c r="V70" s="17">
        <f>IF($W70="","",CHOOSE($W70,"Collection Email","1st Follow-up","2nd Follow-up","Local Office","CBE","Roxanne")&amp;IF($W70=6," - Final"," - Day "&amp;MAX(0,NETWORKDAYS($X70,TODAY(),Holidays)-1)&amp;" of "&amp;CHOOSE($W70,3,3,2,2,3))&amp;" | Total Day "&amp;MAX(0,NETWORKDAYS($L70,TODAY(),Holidays)-1))</f>
        <v/>
      </c>
      <c r="W70" s="17">
        <f>IF($L70="","",COUNT($L70:$Q70))</f>
        <v/>
      </c>
      <c r="X70" s="18">
        <f>IF($W70="","",INT(INDEX($L70:$Q70,$W70)))</f>
        <v/>
      </c>
      <c r="Y70" s="18">
        <f>IF(OR($W70="",$W70=6),"",WORKDAY($X70,CHOOSE($W70,3,3,2,2,3),Holidays))</f>
        <v/>
      </c>
      <c r="Z70" s="17">
        <f>IF(OR($W70="",$W70=6),"",CHOOSE($W70,"1st Email Follow-up","2nd Email Follow-up","Escalate Local Office","Escalate to CBE","Escalate to Roxanne"))</f>
        <v/>
      </c>
    </row>
    <row r="71" spans="18:26">
      <c r="R71" s="15"/>
      <c r="S71" s="16"/>
      <c r="T71" s="17">
        <f>IF(AND(COUNTA($A71:$K71)=0,$L71=""),"",IF($S71="Paid","PAID",IF($S71="Closed","CLOSED",IF($W71="","",IF($W71=6,"ESCALATED TO ROXANNE",IF(TODAY()&gt;$Y71,"OVERDUE",IF($Y71&lt;=WORKDAY(TODAY(),1,Holidays),"DUE TOMORROW",IF($W71=4,"ESCALATED TO LOCAL OFFICE",IF($W71=5,"ESCALATED TO CBE",IF($X71=TODAY(),"EMAIL SENT","MONITORING"))))))))))</f>
        <v/>
      </c>
      <c r="U71" s="17">
        <f>IF($T71="",IF(AND(COUNTA($A71:$K71)&gt;0,$L71=""),"Awaiting Collection Email time stamp.",""),IF(OR($T71="PAID",$T71="CLOSED"),IF($T71="PAID","Account paid. Action completed.","Account closed. No further action required."),CHOOSE($W71,"Collection Email","1st Email Follow-up","2nd Email Follow-up","Escalation to Local Office","Escalation to CBE","Escalation to Roxanne")&amp;" sent "&amp;TEXT($X71,"dd-mmm")&amp;". "&amp;IF($W71=6,"Final escalation completed.",IF($T71="OVERDUE","Next: "&amp;$Z71&amp;" was due "&amp;TEXT($Y71,"dd-mmm")&amp;" - "&amp;(NETWORKDAYS($Y71,TODAY(),Holidays)-1)&amp;" business day(s) late. Send now.",IF($T71="DUE TOMORROW","Next: "&amp;$Z71&amp;IF($Y71&lt;=TODAY()," is due TODAY ("," is due next business day (")&amp;TEXT($Y71,"dd-mmm")&amp;").","Next: "&amp;$Z71&amp;" due "&amp;TEXT($Y71,"dd-mmm")&amp;" ("&amp;(NETWORKDAYS(TODAY(),$Y71,Holidays)-1)&amp;" business day(s) left).")))))</f>
        <v/>
      </c>
      <c r="V71" s="17">
        <f>IF($W71="","",CHOOSE($W71,"Collection Email","1st Follow-up","2nd Follow-up","Local Office","CBE","Roxanne")&amp;IF($W71=6," - Final"," - Day "&amp;MAX(0,NETWORKDAYS($X71,TODAY(),Holidays)-1)&amp;" of "&amp;CHOOSE($W71,3,3,2,2,3))&amp;" | Total Day "&amp;MAX(0,NETWORKDAYS($L71,TODAY(),Holidays)-1))</f>
        <v/>
      </c>
      <c r="W71" s="17">
        <f>IF($L71="","",COUNT($L71:$Q71))</f>
        <v/>
      </c>
      <c r="X71" s="18">
        <f>IF($W71="","",INT(INDEX($L71:$Q71,$W71)))</f>
        <v/>
      </c>
      <c r="Y71" s="18">
        <f>IF(OR($W71="",$W71=6),"",WORKDAY($X71,CHOOSE($W71,3,3,2,2,3),Holidays))</f>
        <v/>
      </c>
      <c r="Z71" s="17">
        <f>IF(OR($W71="",$W71=6),"",CHOOSE($W71,"1st Email Follow-up","2nd Email Follow-up","Escalate Local Office","Escalate to CBE","Escalate to Roxanne"))</f>
        <v/>
      </c>
    </row>
    <row r="72" spans="18:26">
      <c r="R72" s="15"/>
      <c r="S72" s="16"/>
      <c r="T72" s="17">
        <f>IF(AND(COUNTA($A72:$K72)=0,$L72=""),"",IF($S72="Paid","PAID",IF($S72="Closed","CLOSED",IF($W72="","",IF($W72=6,"ESCALATED TO ROXANNE",IF(TODAY()&gt;$Y72,"OVERDUE",IF($Y72&lt;=WORKDAY(TODAY(),1,Holidays),"DUE TOMORROW",IF($W72=4,"ESCALATED TO LOCAL OFFICE",IF($W72=5,"ESCALATED TO CBE",IF($X72=TODAY(),"EMAIL SENT","MONITORING"))))))))))</f>
        <v/>
      </c>
      <c r="U72" s="17">
        <f>IF($T72="",IF(AND(COUNTA($A72:$K72)&gt;0,$L72=""),"Awaiting Collection Email time stamp.",""),IF(OR($T72="PAID",$T72="CLOSED"),IF($T72="PAID","Account paid. Action completed.","Account closed. No further action required."),CHOOSE($W72,"Collection Email","1st Email Follow-up","2nd Email Follow-up","Escalation to Local Office","Escalation to CBE","Escalation to Roxanne")&amp;" sent "&amp;TEXT($X72,"dd-mmm")&amp;". "&amp;IF($W72=6,"Final escalation completed.",IF($T72="OVERDUE","Next: "&amp;$Z72&amp;" was due "&amp;TEXT($Y72,"dd-mmm")&amp;" - "&amp;(NETWORKDAYS($Y72,TODAY(),Holidays)-1)&amp;" business day(s) late. Send now.",IF($T72="DUE TOMORROW","Next: "&amp;$Z72&amp;IF($Y72&lt;=TODAY()," is due TODAY ("," is due next business day (")&amp;TEXT($Y72,"dd-mmm")&amp;").","Next: "&amp;$Z72&amp;" due "&amp;TEXT($Y72,"dd-mmm")&amp;" ("&amp;(NETWORKDAYS(TODAY(),$Y72,Holidays)-1)&amp;" business day(s) left).")))))</f>
        <v/>
      </c>
      <c r="V72" s="17">
        <f>IF($W72="","",CHOOSE($W72,"Collection Email","1st Follow-up","2nd Follow-up","Local Office","CBE","Roxanne")&amp;IF($W72=6," - Final"," - Day "&amp;MAX(0,NETWORKDAYS($X72,TODAY(),Holidays)-1)&amp;" of "&amp;CHOOSE($W72,3,3,2,2,3))&amp;" | Total Day "&amp;MAX(0,NETWORKDAYS($L72,TODAY(),Holidays)-1))</f>
        <v/>
      </c>
      <c r="W72" s="17">
        <f>IF($L72="","",COUNT($L72:$Q72))</f>
        <v/>
      </c>
      <c r="X72" s="18">
        <f>IF($W72="","",INT(INDEX($L72:$Q72,$W72)))</f>
        <v/>
      </c>
      <c r="Y72" s="18">
        <f>IF(OR($W72="",$W72=6),"",WORKDAY($X72,CHOOSE($W72,3,3,2,2,3),Holidays))</f>
        <v/>
      </c>
      <c r="Z72" s="17">
        <f>IF(OR($W72="",$W72=6),"",CHOOSE($W72,"1st Email Follow-up","2nd Email Follow-up","Escalate Local Office","Escalate to CBE","Escalate to Roxanne"))</f>
        <v/>
      </c>
    </row>
    <row r="73" spans="18:26">
      <c r="R73" s="15"/>
      <c r="S73" s="16"/>
      <c r="T73" s="17">
        <f>IF(AND(COUNTA($A73:$K73)=0,$L73=""),"",IF($S73="Paid","PAID",IF($S73="Closed","CLOSED",IF($W73="","",IF($W73=6,"ESCALATED TO ROXANNE",IF(TODAY()&gt;$Y73,"OVERDUE",IF($Y73&lt;=WORKDAY(TODAY(),1,Holidays),"DUE TOMORROW",IF($W73=4,"ESCALATED TO LOCAL OFFICE",IF($W73=5,"ESCALATED TO CBE",IF($X73=TODAY(),"EMAIL SENT","MONITORING"))))))))))</f>
        <v/>
      </c>
      <c r="U73" s="17">
        <f>IF($T73="",IF(AND(COUNTA($A73:$K73)&gt;0,$L73=""),"Awaiting Collection Email time stamp.",""),IF(OR($T73="PAID",$T73="CLOSED"),IF($T73="PAID","Account paid. Action completed.","Account closed. No further action required."),CHOOSE($W73,"Collection Email","1st Email Follow-up","2nd Email Follow-up","Escalation to Local Office","Escalation to CBE","Escalation to Roxanne")&amp;" sent "&amp;TEXT($X73,"dd-mmm")&amp;". "&amp;IF($W73=6,"Final escalation completed.",IF($T73="OVERDUE","Next: "&amp;$Z73&amp;" was due "&amp;TEXT($Y73,"dd-mmm")&amp;" - "&amp;(NETWORKDAYS($Y73,TODAY(),Holidays)-1)&amp;" business day(s) late. Send now.",IF($T73="DUE TOMORROW","Next: "&amp;$Z73&amp;IF($Y73&lt;=TODAY()," is due TODAY ("," is due next business day (")&amp;TEXT($Y73,"dd-mmm")&amp;").","Next: "&amp;$Z73&amp;" due "&amp;TEXT($Y73,"dd-mmm")&amp;" ("&amp;(NETWORKDAYS(TODAY(),$Y73,Holidays)-1)&amp;" business day(s) left).")))))</f>
        <v/>
      </c>
      <c r="V73" s="17">
        <f>IF($W73="","",CHOOSE($W73,"Collection Email","1st Follow-up","2nd Follow-up","Local Office","CBE","Roxanne")&amp;IF($W73=6," - Final"," - Day "&amp;MAX(0,NETWORKDAYS($X73,TODAY(),Holidays)-1)&amp;" of "&amp;CHOOSE($W73,3,3,2,2,3))&amp;" | Total Day "&amp;MAX(0,NETWORKDAYS($L73,TODAY(),Holidays)-1))</f>
        <v/>
      </c>
      <c r="W73" s="17">
        <f>IF($L73="","",COUNT($L73:$Q73))</f>
        <v/>
      </c>
      <c r="X73" s="18">
        <f>IF($W73="","",INT(INDEX($L73:$Q73,$W73)))</f>
        <v/>
      </c>
      <c r="Y73" s="18">
        <f>IF(OR($W73="",$W73=6),"",WORKDAY($X73,CHOOSE($W73,3,3,2,2,3),Holidays))</f>
        <v/>
      </c>
      <c r="Z73" s="17">
        <f>IF(OR($W73="",$W73=6),"",CHOOSE($W73,"1st Email Follow-up","2nd Email Follow-up","Escalate Local Office","Escalate to CBE","Escalate to Roxanne"))</f>
        <v/>
      </c>
    </row>
    <row r="74" spans="18:26">
      <c r="R74" s="15"/>
      <c r="S74" s="16"/>
      <c r="T74" s="17">
        <f>IF(AND(COUNTA($A74:$K74)=0,$L74=""),"",IF($S74="Paid","PAID",IF($S74="Closed","CLOSED",IF($W74="","",IF($W74=6,"ESCALATED TO ROXANNE",IF(TODAY()&gt;$Y74,"OVERDUE",IF($Y74&lt;=WORKDAY(TODAY(),1,Holidays),"DUE TOMORROW",IF($W74=4,"ESCALATED TO LOCAL OFFICE",IF($W74=5,"ESCALATED TO CBE",IF($X74=TODAY(),"EMAIL SENT","MONITORING"))))))))))</f>
        <v/>
      </c>
      <c r="U74" s="17">
        <f>IF($T74="",IF(AND(COUNTA($A74:$K74)&gt;0,$L74=""),"Awaiting Collection Email time stamp.",""),IF(OR($T74="PAID",$T74="CLOSED"),IF($T74="PAID","Account paid. Action completed.","Account closed. No further action required."),CHOOSE($W74,"Collection Email","1st Email Follow-up","2nd Email Follow-up","Escalation to Local Office","Escalation to CBE","Escalation to Roxanne")&amp;" sent "&amp;TEXT($X74,"dd-mmm")&amp;". "&amp;IF($W74=6,"Final escalation completed.",IF($T74="OVERDUE","Next: "&amp;$Z74&amp;" was due "&amp;TEXT($Y74,"dd-mmm")&amp;" - "&amp;(NETWORKDAYS($Y74,TODAY(),Holidays)-1)&amp;" business day(s) late. Send now.",IF($T74="DUE TOMORROW","Next: "&amp;$Z74&amp;IF($Y74&lt;=TODAY()," is due TODAY ("," is due next business day (")&amp;TEXT($Y74,"dd-mmm")&amp;").","Next: "&amp;$Z74&amp;" due "&amp;TEXT($Y74,"dd-mmm")&amp;" ("&amp;(NETWORKDAYS(TODAY(),$Y74,Holidays)-1)&amp;" business day(s) left).")))))</f>
        <v/>
      </c>
      <c r="V74" s="17">
        <f>IF($W74="","",CHOOSE($W74,"Collection Email","1st Follow-up","2nd Follow-up","Local Office","CBE","Roxanne")&amp;IF($W74=6," - Final"," - Day "&amp;MAX(0,NETWORKDAYS($X74,TODAY(),Holidays)-1)&amp;" of "&amp;CHOOSE($W74,3,3,2,2,3))&amp;" | Total Day "&amp;MAX(0,NETWORKDAYS($L74,TODAY(),Holidays)-1))</f>
        <v/>
      </c>
      <c r="W74" s="17">
        <f>IF($L74="","",COUNT($L74:$Q74))</f>
        <v/>
      </c>
      <c r="X74" s="18">
        <f>IF($W74="","",INT(INDEX($L74:$Q74,$W74)))</f>
        <v/>
      </c>
      <c r="Y74" s="18">
        <f>IF(OR($W74="",$W74=6),"",WORKDAY($X74,CHOOSE($W74,3,3,2,2,3),Holidays))</f>
        <v/>
      </c>
      <c r="Z74" s="17">
        <f>IF(OR($W74="",$W74=6),"",CHOOSE($W74,"1st Email Follow-up","2nd Email Follow-up","Escalate Local Office","Escalate to CBE","Escalate to Roxanne"))</f>
        <v/>
      </c>
    </row>
    <row r="75" spans="18:26">
      <c r="R75" s="15"/>
      <c r="S75" s="16"/>
      <c r="T75" s="17">
        <f>IF(AND(COUNTA($A75:$K75)=0,$L75=""),"",IF($S75="Paid","PAID",IF($S75="Closed","CLOSED",IF($W75="","",IF($W75=6,"ESCALATED TO ROXANNE",IF(TODAY()&gt;$Y75,"OVERDUE",IF($Y75&lt;=WORKDAY(TODAY(),1,Holidays),"DUE TOMORROW",IF($W75=4,"ESCALATED TO LOCAL OFFICE",IF($W75=5,"ESCALATED TO CBE",IF($X75=TODAY(),"EMAIL SENT","MONITORING"))))))))))</f>
        <v/>
      </c>
      <c r="U75" s="17">
        <f>IF($T75="",IF(AND(COUNTA($A75:$K75)&gt;0,$L75=""),"Awaiting Collection Email time stamp.",""),IF(OR($T75="PAID",$T75="CLOSED"),IF($T75="PAID","Account paid. Action completed.","Account closed. No further action required."),CHOOSE($W75,"Collection Email","1st Email Follow-up","2nd Email Follow-up","Escalation to Local Office","Escalation to CBE","Escalation to Roxanne")&amp;" sent "&amp;TEXT($X75,"dd-mmm")&amp;". "&amp;IF($W75=6,"Final escalation completed.",IF($T75="OVERDUE","Next: "&amp;$Z75&amp;" was due "&amp;TEXT($Y75,"dd-mmm")&amp;" - "&amp;(NETWORKDAYS($Y75,TODAY(),Holidays)-1)&amp;" business day(s) late. Send now.",IF($T75="DUE TOMORROW","Next: "&amp;$Z75&amp;IF($Y75&lt;=TODAY()," is due TODAY ("," is due next business day (")&amp;TEXT($Y75,"dd-mmm")&amp;").","Next: "&amp;$Z75&amp;" due "&amp;TEXT($Y75,"dd-mmm")&amp;" ("&amp;(NETWORKDAYS(TODAY(),$Y75,Holidays)-1)&amp;" business day(s) left).")))))</f>
        <v/>
      </c>
      <c r="V75" s="17">
        <f>IF($W75="","",CHOOSE($W75,"Collection Email","1st Follow-up","2nd Follow-up","Local Office","CBE","Roxanne")&amp;IF($W75=6," - Final"," - Day "&amp;MAX(0,NETWORKDAYS($X75,TODAY(),Holidays)-1)&amp;" of "&amp;CHOOSE($W75,3,3,2,2,3))&amp;" | Total Day "&amp;MAX(0,NETWORKDAYS($L75,TODAY(),Holidays)-1))</f>
        <v/>
      </c>
      <c r="W75" s="17">
        <f>IF($L75="","",COUNT($L75:$Q75))</f>
        <v/>
      </c>
      <c r="X75" s="18">
        <f>IF($W75="","",INT(INDEX($L75:$Q75,$W75)))</f>
        <v/>
      </c>
      <c r="Y75" s="18">
        <f>IF(OR($W75="",$W75=6),"",WORKDAY($X75,CHOOSE($W75,3,3,2,2,3),Holidays))</f>
        <v/>
      </c>
      <c r="Z75" s="17">
        <f>IF(OR($W75="",$W75=6),"",CHOOSE($W75,"1st Email Follow-up","2nd Email Follow-up","Escalate Local Office","Escalate to CBE","Escalate to Roxanne"))</f>
        <v/>
      </c>
    </row>
    <row r="76" spans="18:26">
      <c r="R76" s="15"/>
      <c r="S76" s="16"/>
      <c r="T76" s="17">
        <f>IF(AND(COUNTA($A76:$K76)=0,$L76=""),"",IF($S76="Paid","PAID",IF($S76="Closed","CLOSED",IF($W76="","",IF($W76=6,"ESCALATED TO ROXANNE",IF(TODAY()&gt;$Y76,"OVERDUE",IF($Y76&lt;=WORKDAY(TODAY(),1,Holidays),"DUE TOMORROW",IF($W76=4,"ESCALATED TO LOCAL OFFICE",IF($W76=5,"ESCALATED TO CBE",IF($X76=TODAY(),"EMAIL SENT","MONITORING"))))))))))</f>
        <v/>
      </c>
      <c r="U76" s="17">
        <f>IF($T76="",IF(AND(COUNTA($A76:$K76)&gt;0,$L76=""),"Awaiting Collection Email time stamp.",""),IF(OR($T76="PAID",$T76="CLOSED"),IF($T76="PAID","Account paid. Action completed.","Account closed. No further action required."),CHOOSE($W76,"Collection Email","1st Email Follow-up","2nd Email Follow-up","Escalation to Local Office","Escalation to CBE","Escalation to Roxanne")&amp;" sent "&amp;TEXT($X76,"dd-mmm")&amp;". "&amp;IF($W76=6,"Final escalation completed.",IF($T76="OVERDUE","Next: "&amp;$Z76&amp;" was due "&amp;TEXT($Y76,"dd-mmm")&amp;" - "&amp;(NETWORKDAYS($Y76,TODAY(),Holidays)-1)&amp;" business day(s) late. Send now.",IF($T76="DUE TOMORROW","Next: "&amp;$Z76&amp;IF($Y76&lt;=TODAY()," is due TODAY ("," is due next business day (")&amp;TEXT($Y76,"dd-mmm")&amp;").","Next: "&amp;$Z76&amp;" due "&amp;TEXT($Y76,"dd-mmm")&amp;" ("&amp;(NETWORKDAYS(TODAY(),$Y76,Holidays)-1)&amp;" business day(s) left).")))))</f>
        <v/>
      </c>
      <c r="V76" s="17">
        <f>IF($W76="","",CHOOSE($W76,"Collection Email","1st Follow-up","2nd Follow-up","Local Office","CBE","Roxanne")&amp;IF($W76=6," - Final"," - Day "&amp;MAX(0,NETWORKDAYS($X76,TODAY(),Holidays)-1)&amp;" of "&amp;CHOOSE($W76,3,3,2,2,3))&amp;" | Total Day "&amp;MAX(0,NETWORKDAYS($L76,TODAY(),Holidays)-1))</f>
        <v/>
      </c>
      <c r="W76" s="17">
        <f>IF($L76="","",COUNT($L76:$Q76))</f>
        <v/>
      </c>
      <c r="X76" s="18">
        <f>IF($W76="","",INT(INDEX($L76:$Q76,$W76)))</f>
        <v/>
      </c>
      <c r="Y76" s="18">
        <f>IF(OR($W76="",$W76=6),"",WORKDAY($X76,CHOOSE($W76,3,3,2,2,3),Holidays))</f>
        <v/>
      </c>
      <c r="Z76" s="17">
        <f>IF(OR($W76="",$W76=6),"",CHOOSE($W76,"1st Email Follow-up","2nd Email Follow-up","Escalate Local Office","Escalate to CBE","Escalate to Roxanne"))</f>
        <v/>
      </c>
    </row>
    <row r="77" spans="18:26">
      <c r="R77" s="15"/>
      <c r="S77" s="16"/>
      <c r="T77" s="17">
        <f>IF(AND(COUNTA($A77:$K77)=0,$L77=""),"",IF($S77="Paid","PAID",IF($S77="Closed","CLOSED",IF($W77="","",IF($W77=6,"ESCALATED TO ROXANNE",IF(TODAY()&gt;$Y77,"OVERDUE",IF($Y77&lt;=WORKDAY(TODAY(),1,Holidays),"DUE TOMORROW",IF($W77=4,"ESCALATED TO LOCAL OFFICE",IF($W77=5,"ESCALATED TO CBE",IF($X77=TODAY(),"EMAIL SENT","MONITORING"))))))))))</f>
        <v/>
      </c>
      <c r="U77" s="17">
        <f>IF($T77="",IF(AND(COUNTA($A77:$K77)&gt;0,$L77=""),"Awaiting Collection Email time stamp.",""),IF(OR($T77="PAID",$T77="CLOSED"),IF($T77="PAID","Account paid. Action completed.","Account closed. No further action required."),CHOOSE($W77,"Collection Email","1st Email Follow-up","2nd Email Follow-up","Escalation to Local Office","Escalation to CBE","Escalation to Roxanne")&amp;" sent "&amp;TEXT($X77,"dd-mmm")&amp;". "&amp;IF($W77=6,"Final escalation completed.",IF($T77="OVERDUE","Next: "&amp;$Z77&amp;" was due "&amp;TEXT($Y77,"dd-mmm")&amp;" - "&amp;(NETWORKDAYS($Y77,TODAY(),Holidays)-1)&amp;" business day(s) late. Send now.",IF($T77="DUE TOMORROW","Next: "&amp;$Z77&amp;IF($Y77&lt;=TODAY()," is due TODAY ("," is due next business day (")&amp;TEXT($Y77,"dd-mmm")&amp;").","Next: "&amp;$Z77&amp;" due "&amp;TEXT($Y77,"dd-mmm")&amp;" ("&amp;(NETWORKDAYS(TODAY(),$Y77,Holidays)-1)&amp;" business day(s) left).")))))</f>
        <v/>
      </c>
      <c r="V77" s="17">
        <f>IF($W77="","",CHOOSE($W77,"Collection Email","1st Follow-up","2nd Follow-up","Local Office","CBE","Roxanne")&amp;IF($W77=6," - Final"," - Day "&amp;MAX(0,NETWORKDAYS($X77,TODAY(),Holidays)-1)&amp;" of "&amp;CHOOSE($W77,3,3,2,2,3))&amp;" | Total Day "&amp;MAX(0,NETWORKDAYS($L77,TODAY(),Holidays)-1))</f>
        <v/>
      </c>
      <c r="W77" s="17">
        <f>IF($L77="","",COUNT($L77:$Q77))</f>
        <v/>
      </c>
      <c r="X77" s="18">
        <f>IF($W77="","",INT(INDEX($L77:$Q77,$W77)))</f>
        <v/>
      </c>
      <c r="Y77" s="18">
        <f>IF(OR($W77="",$W77=6),"",WORKDAY($X77,CHOOSE($W77,3,3,2,2,3),Holidays))</f>
        <v/>
      </c>
      <c r="Z77" s="17">
        <f>IF(OR($W77="",$W77=6),"",CHOOSE($W77,"1st Email Follow-up","2nd Email Follow-up","Escalate Local Office","Escalate to CBE","Escalate to Roxanne"))</f>
        <v/>
      </c>
    </row>
    <row r="78" spans="18:26">
      <c r="R78" s="15"/>
      <c r="S78" s="16"/>
      <c r="T78" s="17">
        <f>IF(AND(COUNTA($A78:$K78)=0,$L78=""),"",IF($S78="Paid","PAID",IF($S78="Closed","CLOSED",IF($W78="","",IF($W78=6,"ESCALATED TO ROXANNE",IF(TODAY()&gt;$Y78,"OVERDUE",IF($Y78&lt;=WORKDAY(TODAY(),1,Holidays),"DUE TOMORROW",IF($W78=4,"ESCALATED TO LOCAL OFFICE",IF($W78=5,"ESCALATED TO CBE",IF($X78=TODAY(),"EMAIL SENT","MONITORING"))))))))))</f>
        <v/>
      </c>
      <c r="U78" s="17">
        <f>IF($T78="",IF(AND(COUNTA($A78:$K78)&gt;0,$L78=""),"Awaiting Collection Email time stamp.",""),IF(OR($T78="PAID",$T78="CLOSED"),IF($T78="PAID","Account paid. Action completed.","Account closed. No further action required."),CHOOSE($W78,"Collection Email","1st Email Follow-up","2nd Email Follow-up","Escalation to Local Office","Escalation to CBE","Escalation to Roxanne")&amp;" sent "&amp;TEXT($X78,"dd-mmm")&amp;". "&amp;IF($W78=6,"Final escalation completed.",IF($T78="OVERDUE","Next: "&amp;$Z78&amp;" was due "&amp;TEXT($Y78,"dd-mmm")&amp;" - "&amp;(NETWORKDAYS($Y78,TODAY(),Holidays)-1)&amp;" business day(s) late. Send now.",IF($T78="DUE TOMORROW","Next: "&amp;$Z78&amp;IF($Y78&lt;=TODAY()," is due TODAY ("," is due next business day (")&amp;TEXT($Y78,"dd-mmm")&amp;").","Next: "&amp;$Z78&amp;" due "&amp;TEXT($Y78,"dd-mmm")&amp;" ("&amp;(NETWORKDAYS(TODAY(),$Y78,Holidays)-1)&amp;" business day(s) left).")))))</f>
        <v/>
      </c>
      <c r="V78" s="17">
        <f>IF($W78="","",CHOOSE($W78,"Collection Email","1st Follow-up","2nd Follow-up","Local Office","CBE","Roxanne")&amp;IF($W78=6," - Final"," - Day "&amp;MAX(0,NETWORKDAYS($X78,TODAY(),Holidays)-1)&amp;" of "&amp;CHOOSE($W78,3,3,2,2,3))&amp;" | Total Day "&amp;MAX(0,NETWORKDAYS($L78,TODAY(),Holidays)-1))</f>
        <v/>
      </c>
      <c r="W78" s="17">
        <f>IF($L78="","",COUNT($L78:$Q78))</f>
        <v/>
      </c>
      <c r="X78" s="18">
        <f>IF($W78="","",INT(INDEX($L78:$Q78,$W78)))</f>
        <v/>
      </c>
      <c r="Y78" s="18">
        <f>IF(OR($W78="",$W78=6),"",WORKDAY($X78,CHOOSE($W78,3,3,2,2,3),Holidays))</f>
        <v/>
      </c>
      <c r="Z78" s="17">
        <f>IF(OR($W78="",$W78=6),"",CHOOSE($W78,"1st Email Follow-up","2nd Email Follow-up","Escalate Local Office","Escalate to CBE","Escalate to Roxanne"))</f>
        <v/>
      </c>
    </row>
    <row r="79" spans="18:26">
      <c r="R79" s="15"/>
      <c r="S79" s="16"/>
      <c r="T79" s="17">
        <f>IF(AND(COUNTA($A79:$K79)=0,$L79=""),"",IF($S79="Paid","PAID",IF($S79="Closed","CLOSED",IF($W79="","",IF($W79=6,"ESCALATED TO ROXANNE",IF(TODAY()&gt;$Y79,"OVERDUE",IF($Y79&lt;=WORKDAY(TODAY(),1,Holidays),"DUE TOMORROW",IF($W79=4,"ESCALATED TO LOCAL OFFICE",IF($W79=5,"ESCALATED TO CBE",IF($X79=TODAY(),"EMAIL SENT","MONITORING"))))))))))</f>
        <v/>
      </c>
      <c r="U79" s="17">
        <f>IF($T79="",IF(AND(COUNTA($A79:$K79)&gt;0,$L79=""),"Awaiting Collection Email time stamp.",""),IF(OR($T79="PAID",$T79="CLOSED"),IF($T79="PAID","Account paid. Action completed.","Account closed. No further action required."),CHOOSE($W79,"Collection Email","1st Email Follow-up","2nd Email Follow-up","Escalation to Local Office","Escalation to CBE","Escalation to Roxanne")&amp;" sent "&amp;TEXT($X79,"dd-mmm")&amp;". "&amp;IF($W79=6,"Final escalation completed.",IF($T79="OVERDUE","Next: "&amp;$Z79&amp;" was due "&amp;TEXT($Y79,"dd-mmm")&amp;" - "&amp;(NETWORKDAYS($Y79,TODAY(),Holidays)-1)&amp;" business day(s) late. Send now.",IF($T79="DUE TOMORROW","Next: "&amp;$Z79&amp;IF($Y79&lt;=TODAY()," is due TODAY ("," is due next business day (")&amp;TEXT($Y79,"dd-mmm")&amp;").","Next: "&amp;$Z79&amp;" due "&amp;TEXT($Y79,"dd-mmm")&amp;" ("&amp;(NETWORKDAYS(TODAY(),$Y79,Holidays)-1)&amp;" business day(s) left).")))))</f>
        <v/>
      </c>
      <c r="V79" s="17">
        <f>IF($W79="","",CHOOSE($W79,"Collection Email","1st Follow-up","2nd Follow-up","Local Office","CBE","Roxanne")&amp;IF($W79=6," - Final"," - Day "&amp;MAX(0,NETWORKDAYS($X79,TODAY(),Holidays)-1)&amp;" of "&amp;CHOOSE($W79,3,3,2,2,3))&amp;" | Total Day "&amp;MAX(0,NETWORKDAYS($L79,TODAY(),Holidays)-1))</f>
        <v/>
      </c>
      <c r="W79" s="17">
        <f>IF($L79="","",COUNT($L79:$Q79))</f>
        <v/>
      </c>
      <c r="X79" s="18">
        <f>IF($W79="","",INT(INDEX($L79:$Q79,$W79)))</f>
        <v/>
      </c>
      <c r="Y79" s="18">
        <f>IF(OR($W79="",$W79=6),"",WORKDAY($X79,CHOOSE($W79,3,3,2,2,3),Holidays))</f>
        <v/>
      </c>
      <c r="Z79" s="17">
        <f>IF(OR($W79="",$W79=6),"",CHOOSE($W79,"1st Email Follow-up","2nd Email Follow-up","Escalate Local Office","Escalate to CBE","Escalate to Roxanne"))</f>
        <v/>
      </c>
    </row>
    <row r="80" spans="18:26">
      <c r="R80" s="15"/>
      <c r="S80" s="16"/>
      <c r="T80" s="17">
        <f>IF(AND(COUNTA($A80:$K80)=0,$L80=""),"",IF($S80="Paid","PAID",IF($S80="Closed","CLOSED",IF($W80="","",IF($W80=6,"ESCALATED TO ROXANNE",IF(TODAY()&gt;$Y80,"OVERDUE",IF($Y80&lt;=WORKDAY(TODAY(),1,Holidays),"DUE TOMORROW",IF($W80=4,"ESCALATED TO LOCAL OFFICE",IF($W80=5,"ESCALATED TO CBE",IF($X80=TODAY(),"EMAIL SENT","MONITORING"))))))))))</f>
        <v/>
      </c>
      <c r="U80" s="17">
        <f>IF($T80="",IF(AND(COUNTA($A80:$K80)&gt;0,$L80=""),"Awaiting Collection Email time stamp.",""),IF(OR($T80="PAID",$T80="CLOSED"),IF($T80="PAID","Account paid. Action completed.","Account closed. No further action required."),CHOOSE($W80,"Collection Email","1st Email Follow-up","2nd Email Follow-up","Escalation to Local Office","Escalation to CBE","Escalation to Roxanne")&amp;" sent "&amp;TEXT($X80,"dd-mmm")&amp;". "&amp;IF($W80=6,"Final escalation completed.",IF($T80="OVERDUE","Next: "&amp;$Z80&amp;" was due "&amp;TEXT($Y80,"dd-mmm")&amp;" - "&amp;(NETWORKDAYS($Y80,TODAY(),Holidays)-1)&amp;" business day(s) late. Send now.",IF($T80="DUE TOMORROW","Next: "&amp;$Z80&amp;IF($Y80&lt;=TODAY()," is due TODAY ("," is due next business day (")&amp;TEXT($Y80,"dd-mmm")&amp;").","Next: "&amp;$Z80&amp;" due "&amp;TEXT($Y80,"dd-mmm")&amp;" ("&amp;(NETWORKDAYS(TODAY(),$Y80,Holidays)-1)&amp;" business day(s) left).")))))</f>
        <v/>
      </c>
      <c r="V80" s="17">
        <f>IF($W80="","",CHOOSE($W80,"Collection Email","1st Follow-up","2nd Follow-up","Local Office","CBE","Roxanne")&amp;IF($W80=6," - Final"," - Day "&amp;MAX(0,NETWORKDAYS($X80,TODAY(),Holidays)-1)&amp;" of "&amp;CHOOSE($W80,3,3,2,2,3))&amp;" | Total Day "&amp;MAX(0,NETWORKDAYS($L80,TODAY(),Holidays)-1))</f>
        <v/>
      </c>
      <c r="W80" s="17">
        <f>IF($L80="","",COUNT($L80:$Q80))</f>
        <v/>
      </c>
      <c r="X80" s="18">
        <f>IF($W80="","",INT(INDEX($L80:$Q80,$W80)))</f>
        <v/>
      </c>
      <c r="Y80" s="18">
        <f>IF(OR($W80="",$W80=6),"",WORKDAY($X80,CHOOSE($W80,3,3,2,2,3),Holidays))</f>
        <v/>
      </c>
      <c r="Z80" s="17">
        <f>IF(OR($W80="",$W80=6),"",CHOOSE($W80,"1st Email Follow-up","2nd Email Follow-up","Escalate Local Office","Escalate to CBE","Escalate to Roxanne"))</f>
        <v/>
      </c>
    </row>
    <row r="81" spans="18:26">
      <c r="R81" s="15"/>
      <c r="S81" s="16"/>
      <c r="T81" s="17">
        <f>IF(AND(COUNTA($A81:$K81)=0,$L81=""),"",IF($S81="Paid","PAID",IF($S81="Closed","CLOSED",IF($W81="","",IF($W81=6,"ESCALATED TO ROXANNE",IF(TODAY()&gt;$Y81,"OVERDUE",IF($Y81&lt;=WORKDAY(TODAY(),1,Holidays),"DUE TOMORROW",IF($W81=4,"ESCALATED TO LOCAL OFFICE",IF($W81=5,"ESCALATED TO CBE",IF($X81=TODAY(),"EMAIL SENT","MONITORING"))))))))))</f>
        <v/>
      </c>
      <c r="U81" s="17">
        <f>IF($T81="",IF(AND(COUNTA($A81:$K81)&gt;0,$L81=""),"Awaiting Collection Email time stamp.",""),IF(OR($T81="PAID",$T81="CLOSED"),IF($T81="PAID","Account paid. Action completed.","Account closed. No further action required."),CHOOSE($W81,"Collection Email","1st Email Follow-up","2nd Email Follow-up","Escalation to Local Office","Escalation to CBE","Escalation to Roxanne")&amp;" sent "&amp;TEXT($X81,"dd-mmm")&amp;". "&amp;IF($W81=6,"Final escalation completed.",IF($T81="OVERDUE","Next: "&amp;$Z81&amp;" was due "&amp;TEXT($Y81,"dd-mmm")&amp;" - "&amp;(NETWORKDAYS($Y81,TODAY(),Holidays)-1)&amp;" business day(s) late. Send now.",IF($T81="DUE TOMORROW","Next: "&amp;$Z81&amp;IF($Y81&lt;=TODAY()," is due TODAY ("," is due next business day (")&amp;TEXT($Y81,"dd-mmm")&amp;").","Next: "&amp;$Z81&amp;" due "&amp;TEXT($Y81,"dd-mmm")&amp;" ("&amp;(NETWORKDAYS(TODAY(),$Y81,Holidays)-1)&amp;" business day(s) left).")))))</f>
        <v/>
      </c>
      <c r="V81" s="17">
        <f>IF($W81="","",CHOOSE($W81,"Collection Email","1st Follow-up","2nd Follow-up","Local Office","CBE","Roxanne")&amp;IF($W81=6," - Final"," - Day "&amp;MAX(0,NETWORKDAYS($X81,TODAY(),Holidays)-1)&amp;" of "&amp;CHOOSE($W81,3,3,2,2,3))&amp;" | Total Day "&amp;MAX(0,NETWORKDAYS($L81,TODAY(),Holidays)-1))</f>
        <v/>
      </c>
      <c r="W81" s="17">
        <f>IF($L81="","",COUNT($L81:$Q81))</f>
        <v/>
      </c>
      <c r="X81" s="18">
        <f>IF($W81="","",INT(INDEX($L81:$Q81,$W81)))</f>
        <v/>
      </c>
      <c r="Y81" s="18">
        <f>IF(OR($W81="",$W81=6),"",WORKDAY($X81,CHOOSE($W81,3,3,2,2,3),Holidays))</f>
        <v/>
      </c>
      <c r="Z81" s="17">
        <f>IF(OR($W81="",$W81=6),"",CHOOSE($W81,"1st Email Follow-up","2nd Email Follow-up","Escalate Local Office","Escalate to CBE","Escalate to Roxanne"))</f>
        <v/>
      </c>
    </row>
    <row r="82" spans="18:26">
      <c r="R82" s="15"/>
      <c r="S82" s="16"/>
      <c r="T82" s="17">
        <f>IF(AND(COUNTA($A82:$K82)=0,$L82=""),"",IF($S82="Paid","PAID",IF($S82="Closed","CLOSED",IF($W82="","",IF($W82=6,"ESCALATED TO ROXANNE",IF(TODAY()&gt;$Y82,"OVERDUE",IF($Y82&lt;=WORKDAY(TODAY(),1,Holidays),"DUE TOMORROW",IF($W82=4,"ESCALATED TO LOCAL OFFICE",IF($W82=5,"ESCALATED TO CBE",IF($X82=TODAY(),"EMAIL SENT","MONITORING"))))))))))</f>
        <v/>
      </c>
      <c r="U82" s="17">
        <f>IF($T82="",IF(AND(COUNTA($A82:$K82)&gt;0,$L82=""),"Awaiting Collection Email time stamp.",""),IF(OR($T82="PAID",$T82="CLOSED"),IF($T82="PAID","Account paid. Action completed.","Account closed. No further action required."),CHOOSE($W82,"Collection Email","1st Email Follow-up","2nd Email Follow-up","Escalation to Local Office","Escalation to CBE","Escalation to Roxanne")&amp;" sent "&amp;TEXT($X82,"dd-mmm")&amp;". "&amp;IF($W82=6,"Final escalation completed.",IF($T82="OVERDUE","Next: "&amp;$Z82&amp;" was due "&amp;TEXT($Y82,"dd-mmm")&amp;" - "&amp;(NETWORKDAYS($Y82,TODAY(),Holidays)-1)&amp;" business day(s) late. Send now.",IF($T82="DUE TOMORROW","Next: "&amp;$Z82&amp;IF($Y82&lt;=TODAY()," is due TODAY ("," is due next business day (")&amp;TEXT($Y82,"dd-mmm")&amp;").","Next: "&amp;$Z82&amp;" due "&amp;TEXT($Y82,"dd-mmm")&amp;" ("&amp;(NETWORKDAYS(TODAY(),$Y82,Holidays)-1)&amp;" business day(s) left).")))))</f>
        <v/>
      </c>
      <c r="V82" s="17">
        <f>IF($W82="","",CHOOSE($W82,"Collection Email","1st Follow-up","2nd Follow-up","Local Office","CBE","Roxanne")&amp;IF($W82=6," - Final"," - Day "&amp;MAX(0,NETWORKDAYS($X82,TODAY(),Holidays)-1)&amp;" of "&amp;CHOOSE($W82,3,3,2,2,3))&amp;" | Total Day "&amp;MAX(0,NETWORKDAYS($L82,TODAY(),Holidays)-1))</f>
        <v/>
      </c>
      <c r="W82" s="17">
        <f>IF($L82="","",COUNT($L82:$Q82))</f>
        <v/>
      </c>
      <c r="X82" s="18">
        <f>IF($W82="","",INT(INDEX($L82:$Q82,$W82)))</f>
        <v/>
      </c>
      <c r="Y82" s="18">
        <f>IF(OR($W82="",$W82=6),"",WORKDAY($X82,CHOOSE($W82,3,3,2,2,3),Holidays))</f>
        <v/>
      </c>
      <c r="Z82" s="17">
        <f>IF(OR($W82="",$W82=6),"",CHOOSE($W82,"1st Email Follow-up","2nd Email Follow-up","Escalate Local Office","Escalate to CBE","Escalate to Roxanne"))</f>
        <v/>
      </c>
    </row>
    <row r="83" spans="18:26">
      <c r="R83" s="15"/>
      <c r="S83" s="16"/>
      <c r="T83" s="17">
        <f>IF(AND(COUNTA($A83:$K83)=0,$L83=""),"",IF($S83="Paid","PAID",IF($S83="Closed","CLOSED",IF($W83="","",IF($W83=6,"ESCALATED TO ROXANNE",IF(TODAY()&gt;$Y83,"OVERDUE",IF($Y83&lt;=WORKDAY(TODAY(),1,Holidays),"DUE TOMORROW",IF($W83=4,"ESCALATED TO LOCAL OFFICE",IF($W83=5,"ESCALATED TO CBE",IF($X83=TODAY(),"EMAIL SENT","MONITORING"))))))))))</f>
        <v/>
      </c>
      <c r="U83" s="17">
        <f>IF($T83="",IF(AND(COUNTA($A83:$K83)&gt;0,$L83=""),"Awaiting Collection Email time stamp.",""),IF(OR($T83="PAID",$T83="CLOSED"),IF($T83="PAID","Account paid. Action completed.","Account closed. No further action required."),CHOOSE($W83,"Collection Email","1st Email Follow-up","2nd Email Follow-up","Escalation to Local Office","Escalation to CBE","Escalation to Roxanne")&amp;" sent "&amp;TEXT($X83,"dd-mmm")&amp;". "&amp;IF($W83=6,"Final escalation completed.",IF($T83="OVERDUE","Next: "&amp;$Z83&amp;" was due "&amp;TEXT($Y83,"dd-mmm")&amp;" - "&amp;(NETWORKDAYS($Y83,TODAY(),Holidays)-1)&amp;" business day(s) late. Send now.",IF($T83="DUE TOMORROW","Next: "&amp;$Z83&amp;IF($Y83&lt;=TODAY()," is due TODAY ("," is due next business day (")&amp;TEXT($Y83,"dd-mmm")&amp;").","Next: "&amp;$Z83&amp;" due "&amp;TEXT($Y83,"dd-mmm")&amp;" ("&amp;(NETWORKDAYS(TODAY(),$Y83,Holidays)-1)&amp;" business day(s) left).")))))</f>
        <v/>
      </c>
      <c r="V83" s="17">
        <f>IF($W83="","",CHOOSE($W83,"Collection Email","1st Follow-up","2nd Follow-up","Local Office","CBE","Roxanne")&amp;IF($W83=6," - Final"," - Day "&amp;MAX(0,NETWORKDAYS($X83,TODAY(),Holidays)-1)&amp;" of "&amp;CHOOSE($W83,3,3,2,2,3))&amp;" | Total Day "&amp;MAX(0,NETWORKDAYS($L83,TODAY(),Holidays)-1))</f>
        <v/>
      </c>
      <c r="W83" s="17">
        <f>IF($L83="","",COUNT($L83:$Q83))</f>
        <v/>
      </c>
      <c r="X83" s="18">
        <f>IF($W83="","",INT(INDEX($L83:$Q83,$W83)))</f>
        <v/>
      </c>
      <c r="Y83" s="18">
        <f>IF(OR($W83="",$W83=6),"",WORKDAY($X83,CHOOSE($W83,3,3,2,2,3),Holidays))</f>
        <v/>
      </c>
      <c r="Z83" s="17">
        <f>IF(OR($W83="",$W83=6),"",CHOOSE($W83,"1st Email Follow-up","2nd Email Follow-up","Escalate Local Office","Escalate to CBE","Escalate to Roxanne"))</f>
        <v/>
      </c>
    </row>
    <row r="84" spans="18:26">
      <c r="R84" s="15"/>
      <c r="S84" s="16"/>
      <c r="T84" s="17">
        <f>IF(AND(COUNTA($A84:$K84)=0,$L84=""),"",IF($S84="Paid","PAID",IF($S84="Closed","CLOSED",IF($W84="","",IF($W84=6,"ESCALATED TO ROXANNE",IF(TODAY()&gt;$Y84,"OVERDUE",IF($Y84&lt;=WORKDAY(TODAY(),1,Holidays),"DUE TOMORROW",IF($W84=4,"ESCALATED TO LOCAL OFFICE",IF($W84=5,"ESCALATED TO CBE",IF($X84=TODAY(),"EMAIL SENT","MONITORING"))))))))))</f>
        <v/>
      </c>
      <c r="U84" s="17">
        <f>IF($T84="",IF(AND(COUNTA($A84:$K84)&gt;0,$L84=""),"Awaiting Collection Email time stamp.",""),IF(OR($T84="PAID",$T84="CLOSED"),IF($T84="PAID","Account paid. Action completed.","Account closed. No further action required."),CHOOSE($W84,"Collection Email","1st Email Follow-up","2nd Email Follow-up","Escalation to Local Office","Escalation to CBE","Escalation to Roxanne")&amp;" sent "&amp;TEXT($X84,"dd-mmm")&amp;". "&amp;IF($W84=6,"Final escalation completed.",IF($T84="OVERDUE","Next: "&amp;$Z84&amp;" was due "&amp;TEXT($Y84,"dd-mmm")&amp;" - "&amp;(NETWORKDAYS($Y84,TODAY(),Holidays)-1)&amp;" business day(s) late. Send now.",IF($T84="DUE TOMORROW","Next: "&amp;$Z84&amp;IF($Y84&lt;=TODAY()," is due TODAY ("," is due next business day (")&amp;TEXT($Y84,"dd-mmm")&amp;").","Next: "&amp;$Z84&amp;" due "&amp;TEXT($Y84,"dd-mmm")&amp;" ("&amp;(NETWORKDAYS(TODAY(),$Y84,Holidays)-1)&amp;" business day(s) left).")))))</f>
        <v/>
      </c>
      <c r="V84" s="17">
        <f>IF($W84="","",CHOOSE($W84,"Collection Email","1st Follow-up","2nd Follow-up","Local Office","CBE","Roxanne")&amp;IF($W84=6," - Final"," - Day "&amp;MAX(0,NETWORKDAYS($X84,TODAY(),Holidays)-1)&amp;" of "&amp;CHOOSE($W84,3,3,2,2,3))&amp;" | Total Day "&amp;MAX(0,NETWORKDAYS($L84,TODAY(),Holidays)-1))</f>
        <v/>
      </c>
      <c r="W84" s="17">
        <f>IF($L84="","",COUNT($L84:$Q84))</f>
        <v/>
      </c>
      <c r="X84" s="18">
        <f>IF($W84="","",INT(INDEX($L84:$Q84,$W84)))</f>
        <v/>
      </c>
      <c r="Y84" s="18">
        <f>IF(OR($W84="",$W84=6),"",WORKDAY($X84,CHOOSE($W84,3,3,2,2,3),Holidays))</f>
        <v/>
      </c>
      <c r="Z84" s="17">
        <f>IF(OR($W84="",$W84=6),"",CHOOSE($W84,"1st Email Follow-up","2nd Email Follow-up","Escalate Local Office","Escalate to CBE","Escalate to Roxanne"))</f>
        <v/>
      </c>
    </row>
    <row r="85" spans="18:26">
      <c r="R85" s="15"/>
      <c r="S85" s="16"/>
      <c r="T85" s="17">
        <f>IF(AND(COUNTA($A85:$K85)=0,$L85=""),"",IF($S85="Paid","PAID",IF($S85="Closed","CLOSED",IF($W85="","",IF($W85=6,"ESCALATED TO ROXANNE",IF(TODAY()&gt;$Y85,"OVERDUE",IF($Y85&lt;=WORKDAY(TODAY(),1,Holidays),"DUE TOMORROW",IF($W85=4,"ESCALATED TO LOCAL OFFICE",IF($W85=5,"ESCALATED TO CBE",IF($X85=TODAY(),"EMAIL SENT","MONITORING"))))))))))</f>
        <v/>
      </c>
      <c r="U85" s="17">
        <f>IF($T85="",IF(AND(COUNTA($A85:$K85)&gt;0,$L85=""),"Awaiting Collection Email time stamp.",""),IF(OR($T85="PAID",$T85="CLOSED"),IF($T85="PAID","Account paid. Action completed.","Account closed. No further action required."),CHOOSE($W85,"Collection Email","1st Email Follow-up","2nd Email Follow-up","Escalation to Local Office","Escalation to CBE","Escalation to Roxanne")&amp;" sent "&amp;TEXT($X85,"dd-mmm")&amp;". "&amp;IF($W85=6,"Final escalation completed.",IF($T85="OVERDUE","Next: "&amp;$Z85&amp;" was due "&amp;TEXT($Y85,"dd-mmm")&amp;" - "&amp;(NETWORKDAYS($Y85,TODAY(),Holidays)-1)&amp;" business day(s) late. Send now.",IF($T85="DUE TOMORROW","Next: "&amp;$Z85&amp;IF($Y85&lt;=TODAY()," is due TODAY ("," is due next business day (")&amp;TEXT($Y85,"dd-mmm")&amp;").","Next: "&amp;$Z85&amp;" due "&amp;TEXT($Y85,"dd-mmm")&amp;" ("&amp;(NETWORKDAYS(TODAY(),$Y85,Holidays)-1)&amp;" business day(s) left).")))))</f>
        <v/>
      </c>
      <c r="V85" s="17">
        <f>IF($W85="","",CHOOSE($W85,"Collection Email","1st Follow-up","2nd Follow-up","Local Office","CBE","Roxanne")&amp;IF($W85=6," - Final"," - Day "&amp;MAX(0,NETWORKDAYS($X85,TODAY(),Holidays)-1)&amp;" of "&amp;CHOOSE($W85,3,3,2,2,3))&amp;" | Total Day "&amp;MAX(0,NETWORKDAYS($L85,TODAY(),Holidays)-1))</f>
        <v/>
      </c>
      <c r="W85" s="17">
        <f>IF($L85="","",COUNT($L85:$Q85))</f>
        <v/>
      </c>
      <c r="X85" s="18">
        <f>IF($W85="","",INT(INDEX($L85:$Q85,$W85)))</f>
        <v/>
      </c>
      <c r="Y85" s="18">
        <f>IF(OR($W85="",$W85=6),"",WORKDAY($X85,CHOOSE($W85,3,3,2,2,3),Holidays))</f>
        <v/>
      </c>
      <c r="Z85" s="17">
        <f>IF(OR($W85="",$W85=6),"",CHOOSE($W85,"1st Email Follow-up","2nd Email Follow-up","Escalate Local Office","Escalate to CBE","Escalate to Roxanne"))</f>
        <v/>
      </c>
    </row>
    <row r="86" spans="18:26">
      <c r="R86" s="15"/>
      <c r="S86" s="16"/>
      <c r="T86" s="17">
        <f>IF(AND(COUNTA($A86:$K86)=0,$L86=""),"",IF($S86="Paid","PAID",IF($S86="Closed","CLOSED",IF($W86="","",IF($W86=6,"ESCALATED TO ROXANNE",IF(TODAY()&gt;$Y86,"OVERDUE",IF($Y86&lt;=WORKDAY(TODAY(),1,Holidays),"DUE TOMORROW",IF($W86=4,"ESCALATED TO LOCAL OFFICE",IF($W86=5,"ESCALATED TO CBE",IF($X86=TODAY(),"EMAIL SENT","MONITORING"))))))))))</f>
        <v/>
      </c>
      <c r="U86" s="17">
        <f>IF($T86="",IF(AND(COUNTA($A86:$K86)&gt;0,$L86=""),"Awaiting Collection Email time stamp.",""),IF(OR($T86="PAID",$T86="CLOSED"),IF($T86="PAID","Account paid. Action completed.","Account closed. No further action required."),CHOOSE($W86,"Collection Email","1st Email Follow-up","2nd Email Follow-up","Escalation to Local Office","Escalation to CBE","Escalation to Roxanne")&amp;" sent "&amp;TEXT($X86,"dd-mmm")&amp;". "&amp;IF($W86=6,"Final escalation completed.",IF($T86="OVERDUE","Next: "&amp;$Z86&amp;" was due "&amp;TEXT($Y86,"dd-mmm")&amp;" - "&amp;(NETWORKDAYS($Y86,TODAY(),Holidays)-1)&amp;" business day(s) late. Send now.",IF($T86="DUE TOMORROW","Next: "&amp;$Z86&amp;IF($Y86&lt;=TODAY()," is due TODAY ("," is due next business day (")&amp;TEXT($Y86,"dd-mmm")&amp;").","Next: "&amp;$Z86&amp;" due "&amp;TEXT($Y86,"dd-mmm")&amp;" ("&amp;(NETWORKDAYS(TODAY(),$Y86,Holidays)-1)&amp;" business day(s) left).")))))</f>
        <v/>
      </c>
      <c r="V86" s="17">
        <f>IF($W86="","",CHOOSE($W86,"Collection Email","1st Follow-up","2nd Follow-up","Local Office","CBE","Roxanne")&amp;IF($W86=6," - Final"," - Day "&amp;MAX(0,NETWORKDAYS($X86,TODAY(),Holidays)-1)&amp;" of "&amp;CHOOSE($W86,3,3,2,2,3))&amp;" | Total Day "&amp;MAX(0,NETWORKDAYS($L86,TODAY(),Holidays)-1))</f>
        <v/>
      </c>
      <c r="W86" s="17">
        <f>IF($L86="","",COUNT($L86:$Q86))</f>
        <v/>
      </c>
      <c r="X86" s="18">
        <f>IF($W86="","",INT(INDEX($L86:$Q86,$W86)))</f>
        <v/>
      </c>
      <c r="Y86" s="18">
        <f>IF(OR($W86="",$W86=6),"",WORKDAY($X86,CHOOSE($W86,3,3,2,2,3),Holidays))</f>
        <v/>
      </c>
      <c r="Z86" s="17">
        <f>IF(OR($W86="",$W86=6),"",CHOOSE($W86,"1st Email Follow-up","2nd Email Follow-up","Escalate Local Office","Escalate to CBE","Escalate to Roxanne"))</f>
        <v/>
      </c>
    </row>
    <row r="87" spans="18:26">
      <c r="R87" s="15"/>
      <c r="S87" s="16"/>
      <c r="T87" s="17">
        <f>IF(AND(COUNTA($A87:$K87)=0,$L87=""),"",IF($S87="Paid","PAID",IF($S87="Closed","CLOSED",IF($W87="","",IF($W87=6,"ESCALATED TO ROXANNE",IF(TODAY()&gt;$Y87,"OVERDUE",IF($Y87&lt;=WORKDAY(TODAY(),1,Holidays),"DUE TOMORROW",IF($W87=4,"ESCALATED TO LOCAL OFFICE",IF($W87=5,"ESCALATED TO CBE",IF($X87=TODAY(),"EMAIL SENT","MONITORING"))))))))))</f>
        <v/>
      </c>
      <c r="U87" s="17">
        <f>IF($T87="",IF(AND(COUNTA($A87:$K87)&gt;0,$L87=""),"Awaiting Collection Email time stamp.",""),IF(OR($T87="PAID",$T87="CLOSED"),IF($T87="PAID","Account paid. Action completed.","Account closed. No further action required."),CHOOSE($W87,"Collection Email","1st Email Follow-up","2nd Email Follow-up","Escalation to Local Office","Escalation to CBE","Escalation to Roxanne")&amp;" sent "&amp;TEXT($X87,"dd-mmm")&amp;". "&amp;IF($W87=6,"Final escalation completed.",IF($T87="OVERDUE","Next: "&amp;$Z87&amp;" was due "&amp;TEXT($Y87,"dd-mmm")&amp;" - "&amp;(NETWORKDAYS($Y87,TODAY(),Holidays)-1)&amp;" business day(s) late. Send now.",IF($T87="DUE TOMORROW","Next: "&amp;$Z87&amp;IF($Y87&lt;=TODAY()," is due TODAY ("," is due next business day (")&amp;TEXT($Y87,"dd-mmm")&amp;").","Next: "&amp;$Z87&amp;" due "&amp;TEXT($Y87,"dd-mmm")&amp;" ("&amp;(NETWORKDAYS(TODAY(),$Y87,Holidays)-1)&amp;" business day(s) left).")))))</f>
        <v/>
      </c>
      <c r="V87" s="17">
        <f>IF($W87="","",CHOOSE($W87,"Collection Email","1st Follow-up","2nd Follow-up","Local Office","CBE","Roxanne")&amp;IF($W87=6," - Final"," - Day "&amp;MAX(0,NETWORKDAYS($X87,TODAY(),Holidays)-1)&amp;" of "&amp;CHOOSE($W87,3,3,2,2,3))&amp;" | Total Day "&amp;MAX(0,NETWORKDAYS($L87,TODAY(),Holidays)-1))</f>
        <v/>
      </c>
      <c r="W87" s="17">
        <f>IF($L87="","",COUNT($L87:$Q87))</f>
        <v/>
      </c>
      <c r="X87" s="18">
        <f>IF($W87="","",INT(INDEX($L87:$Q87,$W87)))</f>
        <v/>
      </c>
      <c r="Y87" s="18">
        <f>IF(OR($W87="",$W87=6),"",WORKDAY($X87,CHOOSE($W87,3,3,2,2,3),Holidays))</f>
        <v/>
      </c>
      <c r="Z87" s="17">
        <f>IF(OR($W87="",$W87=6),"",CHOOSE($W87,"1st Email Follow-up","2nd Email Follow-up","Escalate Local Office","Escalate to CBE","Escalate to Roxanne"))</f>
        <v/>
      </c>
    </row>
    <row r="88" spans="18:26">
      <c r="R88" s="15"/>
      <c r="S88" s="16"/>
      <c r="T88" s="17">
        <f>IF(AND(COUNTA($A88:$K88)=0,$L88=""),"",IF($S88="Paid","PAID",IF($S88="Closed","CLOSED",IF($W88="","",IF($W88=6,"ESCALATED TO ROXANNE",IF(TODAY()&gt;$Y88,"OVERDUE",IF($Y88&lt;=WORKDAY(TODAY(),1,Holidays),"DUE TOMORROW",IF($W88=4,"ESCALATED TO LOCAL OFFICE",IF($W88=5,"ESCALATED TO CBE",IF($X88=TODAY(),"EMAIL SENT","MONITORING"))))))))))</f>
        <v/>
      </c>
      <c r="U88" s="17">
        <f>IF($T88="",IF(AND(COUNTA($A88:$K88)&gt;0,$L88=""),"Awaiting Collection Email time stamp.",""),IF(OR($T88="PAID",$T88="CLOSED"),IF($T88="PAID","Account paid. Action completed.","Account closed. No further action required."),CHOOSE($W88,"Collection Email","1st Email Follow-up","2nd Email Follow-up","Escalation to Local Office","Escalation to CBE","Escalation to Roxanne")&amp;" sent "&amp;TEXT($X88,"dd-mmm")&amp;". "&amp;IF($W88=6,"Final escalation completed.",IF($T88="OVERDUE","Next: "&amp;$Z88&amp;" was due "&amp;TEXT($Y88,"dd-mmm")&amp;" - "&amp;(NETWORKDAYS($Y88,TODAY(),Holidays)-1)&amp;" business day(s) late. Send now.",IF($T88="DUE TOMORROW","Next: "&amp;$Z88&amp;IF($Y88&lt;=TODAY()," is due TODAY ("," is due next business day (")&amp;TEXT($Y88,"dd-mmm")&amp;").","Next: "&amp;$Z88&amp;" due "&amp;TEXT($Y88,"dd-mmm")&amp;" ("&amp;(NETWORKDAYS(TODAY(),$Y88,Holidays)-1)&amp;" business day(s) left).")))))</f>
        <v/>
      </c>
      <c r="V88" s="17">
        <f>IF($W88="","",CHOOSE($W88,"Collection Email","1st Follow-up","2nd Follow-up","Local Office","CBE","Roxanne")&amp;IF($W88=6," - Final"," - Day "&amp;MAX(0,NETWORKDAYS($X88,TODAY(),Holidays)-1)&amp;" of "&amp;CHOOSE($W88,3,3,2,2,3))&amp;" | Total Day "&amp;MAX(0,NETWORKDAYS($L88,TODAY(),Holidays)-1))</f>
        <v/>
      </c>
      <c r="W88" s="17">
        <f>IF($L88="","",COUNT($L88:$Q88))</f>
        <v/>
      </c>
      <c r="X88" s="18">
        <f>IF($W88="","",INT(INDEX($L88:$Q88,$W88)))</f>
        <v/>
      </c>
      <c r="Y88" s="18">
        <f>IF(OR($W88="",$W88=6),"",WORKDAY($X88,CHOOSE($W88,3,3,2,2,3),Holidays))</f>
        <v/>
      </c>
      <c r="Z88" s="17">
        <f>IF(OR($W88="",$W88=6),"",CHOOSE($W88,"1st Email Follow-up","2nd Email Follow-up","Escalate Local Office","Escalate to CBE","Escalate to Roxanne"))</f>
        <v/>
      </c>
    </row>
    <row r="89" spans="18:26">
      <c r="R89" s="15"/>
      <c r="S89" s="16"/>
      <c r="T89" s="17">
        <f>IF(AND(COUNTA($A89:$K89)=0,$L89=""),"",IF($S89="Paid","PAID",IF($S89="Closed","CLOSED",IF($W89="","",IF($W89=6,"ESCALATED TO ROXANNE",IF(TODAY()&gt;$Y89,"OVERDUE",IF($Y89&lt;=WORKDAY(TODAY(),1,Holidays),"DUE TOMORROW",IF($W89=4,"ESCALATED TO LOCAL OFFICE",IF($W89=5,"ESCALATED TO CBE",IF($X89=TODAY(),"EMAIL SENT","MONITORING"))))))))))</f>
        <v/>
      </c>
      <c r="U89" s="17">
        <f>IF($T89="",IF(AND(COUNTA($A89:$K89)&gt;0,$L89=""),"Awaiting Collection Email time stamp.",""),IF(OR($T89="PAID",$T89="CLOSED"),IF($T89="PAID","Account paid. Action completed.","Account closed. No further action required."),CHOOSE($W89,"Collection Email","1st Email Follow-up","2nd Email Follow-up","Escalation to Local Office","Escalation to CBE","Escalation to Roxanne")&amp;" sent "&amp;TEXT($X89,"dd-mmm")&amp;". "&amp;IF($W89=6,"Final escalation completed.",IF($T89="OVERDUE","Next: "&amp;$Z89&amp;" was due "&amp;TEXT($Y89,"dd-mmm")&amp;" - "&amp;(NETWORKDAYS($Y89,TODAY(),Holidays)-1)&amp;" business day(s) late. Send now.",IF($T89="DUE TOMORROW","Next: "&amp;$Z89&amp;IF($Y89&lt;=TODAY()," is due TODAY ("," is due next business day (")&amp;TEXT($Y89,"dd-mmm")&amp;").","Next: "&amp;$Z89&amp;" due "&amp;TEXT($Y89,"dd-mmm")&amp;" ("&amp;(NETWORKDAYS(TODAY(),$Y89,Holidays)-1)&amp;" business day(s) left).")))))</f>
        <v/>
      </c>
      <c r="V89" s="17">
        <f>IF($W89="","",CHOOSE($W89,"Collection Email","1st Follow-up","2nd Follow-up","Local Office","CBE","Roxanne")&amp;IF($W89=6," - Final"," - Day "&amp;MAX(0,NETWORKDAYS($X89,TODAY(),Holidays)-1)&amp;" of "&amp;CHOOSE($W89,3,3,2,2,3))&amp;" | Total Day "&amp;MAX(0,NETWORKDAYS($L89,TODAY(),Holidays)-1))</f>
        <v/>
      </c>
      <c r="W89" s="17">
        <f>IF($L89="","",COUNT($L89:$Q89))</f>
        <v/>
      </c>
      <c r="X89" s="18">
        <f>IF($W89="","",INT(INDEX($L89:$Q89,$W89)))</f>
        <v/>
      </c>
      <c r="Y89" s="18">
        <f>IF(OR($W89="",$W89=6),"",WORKDAY($X89,CHOOSE($W89,3,3,2,2,3),Holidays))</f>
        <v/>
      </c>
      <c r="Z89" s="17">
        <f>IF(OR($W89="",$W89=6),"",CHOOSE($W89,"1st Email Follow-up","2nd Email Follow-up","Escalate Local Office","Escalate to CBE","Escalate to Roxanne"))</f>
        <v/>
      </c>
    </row>
    <row r="90" spans="18:26">
      <c r="R90" s="15"/>
      <c r="S90" s="16"/>
      <c r="T90" s="17">
        <f>IF(AND(COUNTA($A90:$K90)=0,$L90=""),"",IF($S90="Paid","PAID",IF($S90="Closed","CLOSED",IF($W90="","",IF($W90=6,"ESCALATED TO ROXANNE",IF(TODAY()&gt;$Y90,"OVERDUE",IF($Y90&lt;=WORKDAY(TODAY(),1,Holidays),"DUE TOMORROW",IF($W90=4,"ESCALATED TO LOCAL OFFICE",IF($W90=5,"ESCALATED TO CBE",IF($X90=TODAY(),"EMAIL SENT","MONITORING"))))))))))</f>
        <v/>
      </c>
      <c r="U90" s="17">
        <f>IF($T90="",IF(AND(COUNTA($A90:$K90)&gt;0,$L90=""),"Awaiting Collection Email time stamp.",""),IF(OR($T90="PAID",$T90="CLOSED"),IF($T90="PAID","Account paid. Action completed.","Account closed. No further action required."),CHOOSE($W90,"Collection Email","1st Email Follow-up","2nd Email Follow-up","Escalation to Local Office","Escalation to CBE","Escalation to Roxanne")&amp;" sent "&amp;TEXT($X90,"dd-mmm")&amp;". "&amp;IF($W90=6,"Final escalation completed.",IF($T90="OVERDUE","Next: "&amp;$Z90&amp;" was due "&amp;TEXT($Y90,"dd-mmm")&amp;" - "&amp;(NETWORKDAYS($Y90,TODAY(),Holidays)-1)&amp;" business day(s) late. Send now.",IF($T90="DUE TOMORROW","Next: "&amp;$Z90&amp;IF($Y90&lt;=TODAY()," is due TODAY ("," is due next business day (")&amp;TEXT($Y90,"dd-mmm")&amp;").","Next: "&amp;$Z90&amp;" due "&amp;TEXT($Y90,"dd-mmm")&amp;" ("&amp;(NETWORKDAYS(TODAY(),$Y90,Holidays)-1)&amp;" business day(s) left).")))))</f>
        <v/>
      </c>
      <c r="V90" s="17">
        <f>IF($W90="","",CHOOSE($W90,"Collection Email","1st Follow-up","2nd Follow-up","Local Office","CBE","Roxanne")&amp;IF($W90=6," - Final"," - Day "&amp;MAX(0,NETWORKDAYS($X90,TODAY(),Holidays)-1)&amp;" of "&amp;CHOOSE($W90,3,3,2,2,3))&amp;" | Total Day "&amp;MAX(0,NETWORKDAYS($L90,TODAY(),Holidays)-1))</f>
        <v/>
      </c>
      <c r="W90" s="17">
        <f>IF($L90="","",COUNT($L90:$Q90))</f>
        <v/>
      </c>
      <c r="X90" s="18">
        <f>IF($W90="","",INT(INDEX($L90:$Q90,$W90)))</f>
        <v/>
      </c>
      <c r="Y90" s="18">
        <f>IF(OR($W90="",$W90=6),"",WORKDAY($X90,CHOOSE($W90,3,3,2,2,3),Holidays))</f>
        <v/>
      </c>
      <c r="Z90" s="17">
        <f>IF(OR($W90="",$W90=6),"",CHOOSE($W90,"1st Email Follow-up","2nd Email Follow-up","Escalate Local Office","Escalate to CBE","Escalate to Roxanne"))</f>
        <v/>
      </c>
    </row>
    <row r="91" spans="18:26">
      <c r="R91" s="15"/>
      <c r="S91" s="16"/>
      <c r="T91" s="17">
        <f>IF(AND(COUNTA($A91:$K91)=0,$L91=""),"",IF($S91="Paid","PAID",IF($S91="Closed","CLOSED",IF($W91="","",IF($W91=6,"ESCALATED TO ROXANNE",IF(TODAY()&gt;$Y91,"OVERDUE",IF($Y91&lt;=WORKDAY(TODAY(),1,Holidays),"DUE TOMORROW",IF($W91=4,"ESCALATED TO LOCAL OFFICE",IF($W91=5,"ESCALATED TO CBE",IF($X91=TODAY(),"EMAIL SENT","MONITORING"))))))))))</f>
        <v/>
      </c>
      <c r="U91" s="17">
        <f>IF($T91="",IF(AND(COUNTA($A91:$K91)&gt;0,$L91=""),"Awaiting Collection Email time stamp.",""),IF(OR($T91="PAID",$T91="CLOSED"),IF($T91="PAID","Account paid. Action completed.","Account closed. No further action required."),CHOOSE($W91,"Collection Email","1st Email Follow-up","2nd Email Follow-up","Escalation to Local Office","Escalation to CBE","Escalation to Roxanne")&amp;" sent "&amp;TEXT($X91,"dd-mmm")&amp;". "&amp;IF($W91=6,"Final escalation completed.",IF($T91="OVERDUE","Next: "&amp;$Z91&amp;" was due "&amp;TEXT($Y91,"dd-mmm")&amp;" - "&amp;(NETWORKDAYS($Y91,TODAY(),Holidays)-1)&amp;" business day(s) late. Send now.",IF($T91="DUE TOMORROW","Next: "&amp;$Z91&amp;IF($Y91&lt;=TODAY()," is due TODAY ("," is due next business day (")&amp;TEXT($Y91,"dd-mmm")&amp;").","Next: "&amp;$Z91&amp;" due "&amp;TEXT($Y91,"dd-mmm")&amp;" ("&amp;(NETWORKDAYS(TODAY(),$Y91,Holidays)-1)&amp;" business day(s) left).")))))</f>
        <v/>
      </c>
      <c r="V91" s="17">
        <f>IF($W91="","",CHOOSE($W91,"Collection Email","1st Follow-up","2nd Follow-up","Local Office","CBE","Roxanne")&amp;IF($W91=6," - Final"," - Day "&amp;MAX(0,NETWORKDAYS($X91,TODAY(),Holidays)-1)&amp;" of "&amp;CHOOSE($W91,3,3,2,2,3))&amp;" | Total Day "&amp;MAX(0,NETWORKDAYS($L91,TODAY(),Holidays)-1))</f>
        <v/>
      </c>
      <c r="W91" s="17">
        <f>IF($L91="","",COUNT($L91:$Q91))</f>
        <v/>
      </c>
      <c r="X91" s="18">
        <f>IF($W91="","",INT(INDEX($L91:$Q91,$W91)))</f>
        <v/>
      </c>
      <c r="Y91" s="18">
        <f>IF(OR($W91="",$W91=6),"",WORKDAY($X91,CHOOSE($W91,3,3,2,2,3),Holidays))</f>
        <v/>
      </c>
      <c r="Z91" s="17">
        <f>IF(OR($W91="",$W91=6),"",CHOOSE($W91,"1st Email Follow-up","2nd Email Follow-up","Escalate Local Office","Escalate to CBE","Escalate to Roxanne"))</f>
        <v/>
      </c>
    </row>
    <row r="92" spans="18:26">
      <c r="R92" s="15"/>
      <c r="S92" s="16"/>
      <c r="T92" s="17">
        <f>IF(AND(COUNTA($A92:$K92)=0,$L92=""),"",IF($S92="Paid","PAID",IF($S92="Closed","CLOSED",IF($W92="","",IF($W92=6,"ESCALATED TO ROXANNE",IF(TODAY()&gt;$Y92,"OVERDUE",IF($Y92&lt;=WORKDAY(TODAY(),1,Holidays),"DUE TOMORROW",IF($W92=4,"ESCALATED TO LOCAL OFFICE",IF($W92=5,"ESCALATED TO CBE",IF($X92=TODAY(),"EMAIL SENT","MONITORING"))))))))))</f>
        <v/>
      </c>
      <c r="U92" s="17">
        <f>IF($T92="",IF(AND(COUNTA($A92:$K92)&gt;0,$L92=""),"Awaiting Collection Email time stamp.",""),IF(OR($T92="PAID",$T92="CLOSED"),IF($T92="PAID","Account paid. Action completed.","Account closed. No further action required."),CHOOSE($W92,"Collection Email","1st Email Follow-up","2nd Email Follow-up","Escalation to Local Office","Escalation to CBE","Escalation to Roxanne")&amp;" sent "&amp;TEXT($X92,"dd-mmm")&amp;". "&amp;IF($W92=6,"Final escalation completed.",IF($T92="OVERDUE","Next: "&amp;$Z92&amp;" was due "&amp;TEXT($Y92,"dd-mmm")&amp;" - "&amp;(NETWORKDAYS($Y92,TODAY(),Holidays)-1)&amp;" business day(s) late. Send now.",IF($T92="DUE TOMORROW","Next: "&amp;$Z92&amp;IF($Y92&lt;=TODAY()," is due TODAY ("," is due next business day (")&amp;TEXT($Y92,"dd-mmm")&amp;").","Next: "&amp;$Z92&amp;" due "&amp;TEXT($Y92,"dd-mmm")&amp;" ("&amp;(NETWORKDAYS(TODAY(),$Y92,Holidays)-1)&amp;" business day(s) left).")))))</f>
        <v/>
      </c>
      <c r="V92" s="17">
        <f>IF($W92="","",CHOOSE($W92,"Collection Email","1st Follow-up","2nd Follow-up","Local Office","CBE","Roxanne")&amp;IF($W92=6," - Final"," - Day "&amp;MAX(0,NETWORKDAYS($X92,TODAY(),Holidays)-1)&amp;" of "&amp;CHOOSE($W92,3,3,2,2,3))&amp;" | Total Day "&amp;MAX(0,NETWORKDAYS($L92,TODAY(),Holidays)-1))</f>
        <v/>
      </c>
      <c r="W92" s="17">
        <f>IF($L92="","",COUNT($L92:$Q92))</f>
        <v/>
      </c>
      <c r="X92" s="18">
        <f>IF($W92="","",INT(INDEX($L92:$Q92,$W92)))</f>
        <v/>
      </c>
      <c r="Y92" s="18">
        <f>IF(OR($W92="",$W92=6),"",WORKDAY($X92,CHOOSE($W92,3,3,2,2,3),Holidays))</f>
        <v/>
      </c>
      <c r="Z92" s="17">
        <f>IF(OR($W92="",$W92=6),"",CHOOSE($W92,"1st Email Follow-up","2nd Email Follow-up","Escalate Local Office","Escalate to CBE","Escalate to Roxanne"))</f>
        <v/>
      </c>
    </row>
    <row r="93" spans="18:26">
      <c r="R93" s="15"/>
      <c r="S93" s="16"/>
      <c r="T93" s="17">
        <f>IF(AND(COUNTA($A93:$K93)=0,$L93=""),"",IF($S93="Paid","PAID",IF($S93="Closed","CLOSED",IF($W93="","",IF($W93=6,"ESCALATED TO ROXANNE",IF(TODAY()&gt;$Y93,"OVERDUE",IF($Y93&lt;=WORKDAY(TODAY(),1,Holidays),"DUE TOMORROW",IF($W93=4,"ESCALATED TO LOCAL OFFICE",IF($W93=5,"ESCALATED TO CBE",IF($X93=TODAY(),"EMAIL SENT","MONITORING"))))))))))</f>
        <v/>
      </c>
      <c r="U93" s="17">
        <f>IF($T93="",IF(AND(COUNTA($A93:$K93)&gt;0,$L93=""),"Awaiting Collection Email time stamp.",""),IF(OR($T93="PAID",$T93="CLOSED"),IF($T93="PAID","Account paid. Action completed.","Account closed. No further action required."),CHOOSE($W93,"Collection Email","1st Email Follow-up","2nd Email Follow-up","Escalation to Local Office","Escalation to CBE","Escalation to Roxanne")&amp;" sent "&amp;TEXT($X93,"dd-mmm")&amp;". "&amp;IF($W93=6,"Final escalation completed.",IF($T93="OVERDUE","Next: "&amp;$Z93&amp;" was due "&amp;TEXT($Y93,"dd-mmm")&amp;" - "&amp;(NETWORKDAYS($Y93,TODAY(),Holidays)-1)&amp;" business day(s) late. Send now.",IF($T93="DUE TOMORROW","Next: "&amp;$Z93&amp;IF($Y93&lt;=TODAY()," is due TODAY ("," is due next business day (")&amp;TEXT($Y93,"dd-mmm")&amp;").","Next: "&amp;$Z93&amp;" due "&amp;TEXT($Y93,"dd-mmm")&amp;" ("&amp;(NETWORKDAYS(TODAY(),$Y93,Holidays)-1)&amp;" business day(s) left).")))))</f>
        <v/>
      </c>
      <c r="V93" s="17">
        <f>IF($W93="","",CHOOSE($W93,"Collection Email","1st Follow-up","2nd Follow-up","Local Office","CBE","Roxanne")&amp;IF($W93=6," - Final"," - Day "&amp;MAX(0,NETWORKDAYS($X93,TODAY(),Holidays)-1)&amp;" of "&amp;CHOOSE($W93,3,3,2,2,3))&amp;" | Total Day "&amp;MAX(0,NETWORKDAYS($L93,TODAY(),Holidays)-1))</f>
        <v/>
      </c>
      <c r="W93" s="17">
        <f>IF($L93="","",COUNT($L93:$Q93))</f>
        <v/>
      </c>
      <c r="X93" s="18">
        <f>IF($W93="","",INT(INDEX($L93:$Q93,$W93)))</f>
        <v/>
      </c>
      <c r="Y93" s="18">
        <f>IF(OR($W93="",$W93=6),"",WORKDAY($X93,CHOOSE($W93,3,3,2,2,3),Holidays))</f>
        <v/>
      </c>
      <c r="Z93" s="17">
        <f>IF(OR($W93="",$W93=6),"",CHOOSE($W93,"1st Email Follow-up","2nd Email Follow-up","Escalate Local Office","Escalate to CBE","Escalate to Roxanne"))</f>
        <v/>
      </c>
    </row>
    <row r="94" spans="18:26">
      <c r="R94" s="15"/>
      <c r="S94" s="16"/>
      <c r="T94" s="17">
        <f>IF(AND(COUNTA($A94:$K94)=0,$L94=""),"",IF($S94="Paid","PAID",IF($S94="Closed","CLOSED",IF($W94="","",IF($W94=6,"ESCALATED TO ROXANNE",IF(TODAY()&gt;$Y94,"OVERDUE",IF($Y94&lt;=WORKDAY(TODAY(),1,Holidays),"DUE TOMORROW",IF($W94=4,"ESCALATED TO LOCAL OFFICE",IF($W94=5,"ESCALATED TO CBE",IF($X94=TODAY(),"EMAIL SENT","MONITORING"))))))))))</f>
        <v/>
      </c>
      <c r="U94" s="17">
        <f>IF($T94="",IF(AND(COUNTA($A94:$K94)&gt;0,$L94=""),"Awaiting Collection Email time stamp.",""),IF(OR($T94="PAID",$T94="CLOSED"),IF($T94="PAID","Account paid. Action completed.","Account closed. No further action required."),CHOOSE($W94,"Collection Email","1st Email Follow-up","2nd Email Follow-up","Escalation to Local Office","Escalation to CBE","Escalation to Roxanne")&amp;" sent "&amp;TEXT($X94,"dd-mmm")&amp;". "&amp;IF($W94=6,"Final escalation completed.",IF($T94="OVERDUE","Next: "&amp;$Z94&amp;" was due "&amp;TEXT($Y94,"dd-mmm")&amp;" - "&amp;(NETWORKDAYS($Y94,TODAY(),Holidays)-1)&amp;" business day(s) late. Send now.",IF($T94="DUE TOMORROW","Next: "&amp;$Z94&amp;IF($Y94&lt;=TODAY()," is due TODAY ("," is due next business day (")&amp;TEXT($Y94,"dd-mmm")&amp;").","Next: "&amp;$Z94&amp;" due "&amp;TEXT($Y94,"dd-mmm")&amp;" ("&amp;(NETWORKDAYS(TODAY(),$Y94,Holidays)-1)&amp;" business day(s) left).")))))</f>
        <v/>
      </c>
      <c r="V94" s="17">
        <f>IF($W94="","",CHOOSE($W94,"Collection Email","1st Follow-up","2nd Follow-up","Local Office","CBE","Roxanne")&amp;IF($W94=6," - Final"," - Day "&amp;MAX(0,NETWORKDAYS($X94,TODAY(),Holidays)-1)&amp;" of "&amp;CHOOSE($W94,3,3,2,2,3))&amp;" | Total Day "&amp;MAX(0,NETWORKDAYS($L94,TODAY(),Holidays)-1))</f>
        <v/>
      </c>
      <c r="W94" s="17">
        <f>IF($L94="","",COUNT($L94:$Q94))</f>
        <v/>
      </c>
      <c r="X94" s="18">
        <f>IF($W94="","",INT(INDEX($L94:$Q94,$W94)))</f>
        <v/>
      </c>
      <c r="Y94" s="18">
        <f>IF(OR($W94="",$W94=6),"",WORKDAY($X94,CHOOSE($W94,3,3,2,2,3),Holidays))</f>
        <v/>
      </c>
      <c r="Z94" s="17">
        <f>IF(OR($W94="",$W94=6),"",CHOOSE($W94,"1st Email Follow-up","2nd Email Follow-up","Escalate Local Office","Escalate to CBE","Escalate to Roxanne"))</f>
        <v/>
      </c>
    </row>
    <row r="95" spans="18:26">
      <c r="R95" s="15"/>
      <c r="S95" s="16"/>
      <c r="T95" s="17">
        <f>IF(AND(COUNTA($A95:$K95)=0,$L95=""),"",IF($S95="Paid","PAID",IF($S95="Closed","CLOSED",IF($W95="","",IF($W95=6,"ESCALATED TO ROXANNE",IF(TODAY()&gt;$Y95,"OVERDUE",IF($Y95&lt;=WORKDAY(TODAY(),1,Holidays),"DUE TOMORROW",IF($W95=4,"ESCALATED TO LOCAL OFFICE",IF($W95=5,"ESCALATED TO CBE",IF($X95=TODAY(),"EMAIL SENT","MONITORING"))))))))))</f>
        <v/>
      </c>
      <c r="U95" s="17">
        <f>IF($T95="",IF(AND(COUNTA($A95:$K95)&gt;0,$L95=""),"Awaiting Collection Email time stamp.",""),IF(OR($T95="PAID",$T95="CLOSED"),IF($T95="PAID","Account paid. Action completed.","Account closed. No further action required."),CHOOSE($W95,"Collection Email","1st Email Follow-up","2nd Email Follow-up","Escalation to Local Office","Escalation to CBE","Escalation to Roxanne")&amp;" sent "&amp;TEXT($X95,"dd-mmm")&amp;". "&amp;IF($W95=6,"Final escalation completed.",IF($T95="OVERDUE","Next: "&amp;$Z95&amp;" was due "&amp;TEXT($Y95,"dd-mmm")&amp;" - "&amp;(NETWORKDAYS($Y95,TODAY(),Holidays)-1)&amp;" business day(s) late. Send now.",IF($T95="DUE TOMORROW","Next: "&amp;$Z95&amp;IF($Y95&lt;=TODAY()," is due TODAY ("," is due next business day (")&amp;TEXT($Y95,"dd-mmm")&amp;").","Next: "&amp;$Z95&amp;" due "&amp;TEXT($Y95,"dd-mmm")&amp;" ("&amp;(NETWORKDAYS(TODAY(),$Y95,Holidays)-1)&amp;" business day(s) left).")))))</f>
        <v/>
      </c>
      <c r="V95" s="17">
        <f>IF($W95="","",CHOOSE($W95,"Collection Email","1st Follow-up","2nd Follow-up","Local Office","CBE","Roxanne")&amp;IF($W95=6," - Final"," - Day "&amp;MAX(0,NETWORKDAYS($X95,TODAY(),Holidays)-1)&amp;" of "&amp;CHOOSE($W95,3,3,2,2,3))&amp;" | Total Day "&amp;MAX(0,NETWORKDAYS($L95,TODAY(),Holidays)-1))</f>
        <v/>
      </c>
      <c r="W95" s="17">
        <f>IF($L95="","",COUNT($L95:$Q95))</f>
        <v/>
      </c>
      <c r="X95" s="18">
        <f>IF($W95="","",INT(INDEX($L95:$Q95,$W95)))</f>
        <v/>
      </c>
      <c r="Y95" s="18">
        <f>IF(OR($W95="",$W95=6),"",WORKDAY($X95,CHOOSE($W95,3,3,2,2,3),Holidays))</f>
        <v/>
      </c>
      <c r="Z95" s="17">
        <f>IF(OR($W95="",$W95=6),"",CHOOSE($W95,"1st Email Follow-up","2nd Email Follow-up","Escalate Local Office","Escalate to CBE","Escalate to Roxanne"))</f>
        <v/>
      </c>
    </row>
    <row r="96" spans="18:26">
      <c r="R96" s="15"/>
      <c r="S96" s="16"/>
      <c r="T96" s="17">
        <f>IF(AND(COUNTA($A96:$K96)=0,$L96=""),"",IF($S96="Paid","PAID",IF($S96="Closed","CLOSED",IF($W96="","",IF($W96=6,"ESCALATED TO ROXANNE",IF(TODAY()&gt;$Y96,"OVERDUE",IF($Y96&lt;=WORKDAY(TODAY(),1,Holidays),"DUE TOMORROW",IF($W96=4,"ESCALATED TO LOCAL OFFICE",IF($W96=5,"ESCALATED TO CBE",IF($X96=TODAY(),"EMAIL SENT","MONITORING"))))))))))</f>
        <v/>
      </c>
      <c r="U96" s="17">
        <f>IF($T96="",IF(AND(COUNTA($A96:$K96)&gt;0,$L96=""),"Awaiting Collection Email time stamp.",""),IF(OR($T96="PAID",$T96="CLOSED"),IF($T96="PAID","Account paid. Action completed.","Account closed. No further action required."),CHOOSE($W96,"Collection Email","1st Email Follow-up","2nd Email Follow-up","Escalation to Local Office","Escalation to CBE","Escalation to Roxanne")&amp;" sent "&amp;TEXT($X96,"dd-mmm")&amp;". "&amp;IF($W96=6,"Final escalation completed.",IF($T96="OVERDUE","Next: "&amp;$Z96&amp;" was due "&amp;TEXT($Y96,"dd-mmm")&amp;" - "&amp;(NETWORKDAYS($Y96,TODAY(),Holidays)-1)&amp;" business day(s) late. Send now.",IF($T96="DUE TOMORROW","Next: "&amp;$Z96&amp;IF($Y96&lt;=TODAY()," is due TODAY ("," is due next business day (")&amp;TEXT($Y96,"dd-mmm")&amp;").","Next: "&amp;$Z96&amp;" due "&amp;TEXT($Y96,"dd-mmm")&amp;" ("&amp;(NETWORKDAYS(TODAY(),$Y96,Holidays)-1)&amp;" business day(s) left).")))))</f>
        <v/>
      </c>
      <c r="V96" s="17">
        <f>IF($W96="","",CHOOSE($W96,"Collection Email","1st Follow-up","2nd Follow-up","Local Office","CBE","Roxanne")&amp;IF($W96=6," - Final"," - Day "&amp;MAX(0,NETWORKDAYS($X96,TODAY(),Holidays)-1)&amp;" of "&amp;CHOOSE($W96,3,3,2,2,3))&amp;" | Total Day "&amp;MAX(0,NETWORKDAYS($L96,TODAY(),Holidays)-1))</f>
        <v/>
      </c>
      <c r="W96" s="17">
        <f>IF($L96="","",COUNT($L96:$Q96))</f>
        <v/>
      </c>
      <c r="X96" s="18">
        <f>IF($W96="","",INT(INDEX($L96:$Q96,$W96)))</f>
        <v/>
      </c>
      <c r="Y96" s="18">
        <f>IF(OR($W96="",$W96=6),"",WORKDAY($X96,CHOOSE($W96,3,3,2,2,3),Holidays))</f>
        <v/>
      </c>
      <c r="Z96" s="17">
        <f>IF(OR($W96="",$W96=6),"",CHOOSE($W96,"1st Email Follow-up","2nd Email Follow-up","Escalate Local Office","Escalate to CBE","Escalate to Roxanne"))</f>
        <v/>
      </c>
    </row>
    <row r="97" spans="18:26">
      <c r="R97" s="15"/>
      <c r="S97" s="16"/>
      <c r="T97" s="17">
        <f>IF(AND(COUNTA($A97:$K97)=0,$L97=""),"",IF($S97="Paid","PAID",IF($S97="Closed","CLOSED",IF($W97="","",IF($W97=6,"ESCALATED TO ROXANNE",IF(TODAY()&gt;$Y97,"OVERDUE",IF($Y97&lt;=WORKDAY(TODAY(),1,Holidays),"DUE TOMORROW",IF($W97=4,"ESCALATED TO LOCAL OFFICE",IF($W97=5,"ESCALATED TO CBE",IF($X97=TODAY(),"EMAIL SENT","MONITORING"))))))))))</f>
        <v/>
      </c>
      <c r="U97" s="17">
        <f>IF($T97="",IF(AND(COUNTA($A97:$K97)&gt;0,$L97=""),"Awaiting Collection Email time stamp.",""),IF(OR($T97="PAID",$T97="CLOSED"),IF($T97="PAID","Account paid. Action completed.","Account closed. No further action required."),CHOOSE($W97,"Collection Email","1st Email Follow-up","2nd Email Follow-up","Escalation to Local Office","Escalation to CBE","Escalation to Roxanne")&amp;" sent "&amp;TEXT($X97,"dd-mmm")&amp;". "&amp;IF($W97=6,"Final escalation completed.",IF($T97="OVERDUE","Next: "&amp;$Z97&amp;" was due "&amp;TEXT($Y97,"dd-mmm")&amp;" - "&amp;(NETWORKDAYS($Y97,TODAY(),Holidays)-1)&amp;" business day(s) late. Send now.",IF($T97="DUE TOMORROW","Next: "&amp;$Z97&amp;IF($Y97&lt;=TODAY()," is due TODAY ("," is due next business day (")&amp;TEXT($Y97,"dd-mmm")&amp;").","Next: "&amp;$Z97&amp;" due "&amp;TEXT($Y97,"dd-mmm")&amp;" ("&amp;(NETWORKDAYS(TODAY(),$Y97,Holidays)-1)&amp;" business day(s) left).")))))</f>
        <v/>
      </c>
      <c r="V97" s="17">
        <f>IF($W97="","",CHOOSE($W97,"Collection Email","1st Follow-up","2nd Follow-up","Local Office","CBE","Roxanne")&amp;IF($W97=6," - Final"," - Day "&amp;MAX(0,NETWORKDAYS($X97,TODAY(),Holidays)-1)&amp;" of "&amp;CHOOSE($W97,3,3,2,2,3))&amp;" | Total Day "&amp;MAX(0,NETWORKDAYS($L97,TODAY(),Holidays)-1))</f>
        <v/>
      </c>
      <c r="W97" s="17">
        <f>IF($L97="","",COUNT($L97:$Q97))</f>
        <v/>
      </c>
      <c r="X97" s="18">
        <f>IF($W97="","",INT(INDEX($L97:$Q97,$W97)))</f>
        <v/>
      </c>
      <c r="Y97" s="18">
        <f>IF(OR($W97="",$W97=6),"",WORKDAY($X97,CHOOSE($W97,3,3,2,2,3),Holidays))</f>
        <v/>
      </c>
      <c r="Z97" s="17">
        <f>IF(OR($W97="",$W97=6),"",CHOOSE($W97,"1st Email Follow-up","2nd Email Follow-up","Escalate Local Office","Escalate to CBE","Escalate to Roxanne"))</f>
        <v/>
      </c>
    </row>
    <row r="98" spans="18:26">
      <c r="R98" s="15"/>
      <c r="S98" s="16"/>
      <c r="T98" s="17">
        <f>IF(AND(COUNTA($A98:$K98)=0,$L98=""),"",IF($S98="Paid","PAID",IF($S98="Closed","CLOSED",IF($W98="","",IF($W98=6,"ESCALATED TO ROXANNE",IF(TODAY()&gt;$Y98,"OVERDUE",IF($Y98&lt;=WORKDAY(TODAY(),1,Holidays),"DUE TOMORROW",IF($W98=4,"ESCALATED TO LOCAL OFFICE",IF($W98=5,"ESCALATED TO CBE",IF($X98=TODAY(),"EMAIL SENT","MONITORING"))))))))))</f>
        <v/>
      </c>
      <c r="U98" s="17">
        <f>IF($T98="",IF(AND(COUNTA($A98:$K98)&gt;0,$L98=""),"Awaiting Collection Email time stamp.",""),IF(OR($T98="PAID",$T98="CLOSED"),IF($T98="PAID","Account paid. Action completed.","Account closed. No further action required."),CHOOSE($W98,"Collection Email","1st Email Follow-up","2nd Email Follow-up","Escalation to Local Office","Escalation to CBE","Escalation to Roxanne")&amp;" sent "&amp;TEXT($X98,"dd-mmm")&amp;". "&amp;IF($W98=6,"Final escalation completed.",IF($T98="OVERDUE","Next: "&amp;$Z98&amp;" was due "&amp;TEXT($Y98,"dd-mmm")&amp;" - "&amp;(NETWORKDAYS($Y98,TODAY(),Holidays)-1)&amp;" business day(s) late. Send now.",IF($T98="DUE TOMORROW","Next: "&amp;$Z98&amp;IF($Y98&lt;=TODAY()," is due TODAY ("," is due next business day (")&amp;TEXT($Y98,"dd-mmm")&amp;").","Next: "&amp;$Z98&amp;" due "&amp;TEXT($Y98,"dd-mmm")&amp;" ("&amp;(NETWORKDAYS(TODAY(),$Y98,Holidays)-1)&amp;" business day(s) left).")))))</f>
        <v/>
      </c>
      <c r="V98" s="17">
        <f>IF($W98="","",CHOOSE($W98,"Collection Email","1st Follow-up","2nd Follow-up","Local Office","CBE","Roxanne")&amp;IF($W98=6," - Final"," - Day "&amp;MAX(0,NETWORKDAYS($X98,TODAY(),Holidays)-1)&amp;" of "&amp;CHOOSE($W98,3,3,2,2,3))&amp;" | Total Day "&amp;MAX(0,NETWORKDAYS($L98,TODAY(),Holidays)-1))</f>
        <v/>
      </c>
      <c r="W98" s="17">
        <f>IF($L98="","",COUNT($L98:$Q98))</f>
        <v/>
      </c>
      <c r="X98" s="18">
        <f>IF($W98="","",INT(INDEX($L98:$Q98,$W98)))</f>
        <v/>
      </c>
      <c r="Y98" s="18">
        <f>IF(OR($W98="",$W98=6),"",WORKDAY($X98,CHOOSE($W98,3,3,2,2,3),Holidays))</f>
        <v/>
      </c>
      <c r="Z98" s="17">
        <f>IF(OR($W98="",$W98=6),"",CHOOSE($W98,"1st Email Follow-up","2nd Email Follow-up","Escalate Local Office","Escalate to CBE","Escalate to Roxanne"))</f>
        <v/>
      </c>
    </row>
    <row r="99" spans="18:26">
      <c r="R99" s="15"/>
      <c r="S99" s="16"/>
      <c r="T99" s="17">
        <f>IF(AND(COUNTA($A99:$K99)=0,$L99=""),"",IF($S99="Paid","PAID",IF($S99="Closed","CLOSED",IF($W99="","",IF($W99=6,"ESCALATED TO ROXANNE",IF(TODAY()&gt;$Y99,"OVERDUE",IF($Y99&lt;=WORKDAY(TODAY(),1,Holidays),"DUE TOMORROW",IF($W99=4,"ESCALATED TO LOCAL OFFICE",IF($W99=5,"ESCALATED TO CBE",IF($X99=TODAY(),"EMAIL SENT","MONITORING"))))))))))</f>
        <v/>
      </c>
      <c r="U99" s="17">
        <f>IF($T99="",IF(AND(COUNTA($A99:$K99)&gt;0,$L99=""),"Awaiting Collection Email time stamp.",""),IF(OR($T99="PAID",$T99="CLOSED"),IF($T99="PAID","Account paid. Action completed.","Account closed. No further action required."),CHOOSE($W99,"Collection Email","1st Email Follow-up","2nd Email Follow-up","Escalation to Local Office","Escalation to CBE","Escalation to Roxanne")&amp;" sent "&amp;TEXT($X99,"dd-mmm")&amp;". "&amp;IF($W99=6,"Final escalation completed.",IF($T99="OVERDUE","Next: "&amp;$Z99&amp;" was due "&amp;TEXT($Y99,"dd-mmm")&amp;" - "&amp;(NETWORKDAYS($Y99,TODAY(),Holidays)-1)&amp;" business day(s) late. Send now.",IF($T99="DUE TOMORROW","Next: "&amp;$Z99&amp;IF($Y99&lt;=TODAY()," is due TODAY ("," is due next business day (")&amp;TEXT($Y99,"dd-mmm")&amp;").","Next: "&amp;$Z99&amp;" due "&amp;TEXT($Y99,"dd-mmm")&amp;" ("&amp;(NETWORKDAYS(TODAY(),$Y99,Holidays)-1)&amp;" business day(s) left).")))))</f>
        <v/>
      </c>
      <c r="V99" s="17">
        <f>IF($W99="","",CHOOSE($W99,"Collection Email","1st Follow-up","2nd Follow-up","Local Office","CBE","Roxanne")&amp;IF($W99=6," - Final"," - Day "&amp;MAX(0,NETWORKDAYS($X99,TODAY(),Holidays)-1)&amp;" of "&amp;CHOOSE($W99,3,3,2,2,3))&amp;" | Total Day "&amp;MAX(0,NETWORKDAYS($L99,TODAY(),Holidays)-1))</f>
        <v/>
      </c>
      <c r="W99" s="17">
        <f>IF($L99="","",COUNT($L99:$Q99))</f>
        <v/>
      </c>
      <c r="X99" s="18">
        <f>IF($W99="","",INT(INDEX($L99:$Q99,$W99)))</f>
        <v/>
      </c>
      <c r="Y99" s="18">
        <f>IF(OR($W99="",$W99=6),"",WORKDAY($X99,CHOOSE($W99,3,3,2,2,3),Holidays))</f>
        <v/>
      </c>
      <c r="Z99" s="17">
        <f>IF(OR($W99="",$W99=6),"",CHOOSE($W99,"1st Email Follow-up","2nd Email Follow-up","Escalate Local Office","Escalate to CBE","Escalate to Roxanne"))</f>
        <v/>
      </c>
    </row>
    <row r="100" spans="18:26">
      <c r="R100" s="15"/>
      <c r="S100" s="16"/>
      <c r="T100" s="17">
        <f>IF(AND(COUNTA($A100:$K100)=0,$L100=""),"",IF($S100="Paid","PAID",IF($S100="Closed","CLOSED",IF($W100="","",IF($W100=6,"ESCALATED TO ROXANNE",IF(TODAY()&gt;$Y100,"OVERDUE",IF($Y100&lt;=WORKDAY(TODAY(),1,Holidays),"DUE TOMORROW",IF($W100=4,"ESCALATED TO LOCAL OFFICE",IF($W100=5,"ESCALATED TO CBE",IF($X100=TODAY(),"EMAIL SENT","MONITORING"))))))))))</f>
        <v/>
      </c>
      <c r="U100" s="17">
        <f>IF($T100="",IF(AND(COUNTA($A100:$K100)&gt;0,$L100=""),"Awaiting Collection Email time stamp.",""),IF(OR($T100="PAID",$T100="CLOSED"),IF($T100="PAID","Account paid. Action completed.","Account closed. No further action required."),CHOOSE($W100,"Collection Email","1st Email Follow-up","2nd Email Follow-up","Escalation to Local Office","Escalation to CBE","Escalation to Roxanne")&amp;" sent "&amp;TEXT($X100,"dd-mmm")&amp;". "&amp;IF($W100=6,"Final escalation completed.",IF($T100="OVERDUE","Next: "&amp;$Z100&amp;" was due "&amp;TEXT($Y100,"dd-mmm")&amp;" - "&amp;(NETWORKDAYS($Y100,TODAY(),Holidays)-1)&amp;" business day(s) late. Send now.",IF($T100="DUE TOMORROW","Next: "&amp;$Z100&amp;IF($Y100&lt;=TODAY()," is due TODAY ("," is due next business day (")&amp;TEXT($Y100,"dd-mmm")&amp;").","Next: "&amp;$Z100&amp;" due "&amp;TEXT($Y100,"dd-mmm")&amp;" ("&amp;(NETWORKDAYS(TODAY(),$Y100,Holidays)-1)&amp;" business day(s) left).")))))</f>
        <v/>
      </c>
      <c r="V100" s="17">
        <f>IF($W100="","",CHOOSE($W100,"Collection Email","1st Follow-up","2nd Follow-up","Local Office","CBE","Roxanne")&amp;IF($W100=6," - Final"," - Day "&amp;MAX(0,NETWORKDAYS($X100,TODAY(),Holidays)-1)&amp;" of "&amp;CHOOSE($W100,3,3,2,2,3))&amp;" | Total Day "&amp;MAX(0,NETWORKDAYS($L100,TODAY(),Holidays)-1))</f>
        <v/>
      </c>
      <c r="W100" s="17">
        <f>IF($L100="","",COUNT($L100:$Q100))</f>
        <v/>
      </c>
      <c r="X100" s="18">
        <f>IF($W100="","",INT(INDEX($L100:$Q100,$W100)))</f>
        <v/>
      </c>
      <c r="Y100" s="18">
        <f>IF(OR($W100="",$W100=6),"",WORKDAY($X100,CHOOSE($W100,3,3,2,2,3),Holidays))</f>
        <v/>
      </c>
      <c r="Z100" s="17">
        <f>IF(OR($W100="",$W100=6),"",CHOOSE($W100,"1st Email Follow-up","2nd Email Follow-up","Escalate Local Office","Escalate to CBE","Escalate to Roxanne"))</f>
        <v/>
      </c>
    </row>
    <row r="101" spans="18:26">
      <c r="R101" s="15"/>
      <c r="S101" s="16"/>
      <c r="T101" s="17">
        <f>IF(AND(COUNTA($A101:$K101)=0,$L101=""),"",IF($S101="Paid","PAID",IF($S101="Closed","CLOSED",IF($W101="","",IF($W101=6,"ESCALATED TO ROXANNE",IF(TODAY()&gt;$Y101,"OVERDUE",IF($Y101&lt;=WORKDAY(TODAY(),1,Holidays),"DUE TOMORROW",IF($W101=4,"ESCALATED TO LOCAL OFFICE",IF($W101=5,"ESCALATED TO CBE",IF($X101=TODAY(),"EMAIL SENT","MONITORING"))))))))))</f>
        <v/>
      </c>
      <c r="U101" s="17">
        <f>IF($T101="",IF(AND(COUNTA($A101:$K101)&gt;0,$L101=""),"Awaiting Collection Email time stamp.",""),IF(OR($T101="PAID",$T101="CLOSED"),IF($T101="PAID","Account paid. Action completed.","Account closed. No further action required."),CHOOSE($W101,"Collection Email","1st Email Follow-up","2nd Email Follow-up","Escalation to Local Office","Escalation to CBE","Escalation to Roxanne")&amp;" sent "&amp;TEXT($X101,"dd-mmm")&amp;". "&amp;IF($W101=6,"Final escalation completed.",IF($T101="OVERDUE","Next: "&amp;$Z101&amp;" was due "&amp;TEXT($Y101,"dd-mmm")&amp;" - "&amp;(NETWORKDAYS($Y101,TODAY(),Holidays)-1)&amp;" business day(s) late. Send now.",IF($T101="DUE TOMORROW","Next: "&amp;$Z101&amp;IF($Y101&lt;=TODAY()," is due TODAY ("," is due next business day (")&amp;TEXT($Y101,"dd-mmm")&amp;").","Next: "&amp;$Z101&amp;" due "&amp;TEXT($Y101,"dd-mmm")&amp;" ("&amp;(NETWORKDAYS(TODAY(),$Y101,Holidays)-1)&amp;" business day(s) left).")))))</f>
        <v/>
      </c>
      <c r="V101" s="17">
        <f>IF($W101="","",CHOOSE($W101,"Collection Email","1st Follow-up","2nd Follow-up","Local Office","CBE","Roxanne")&amp;IF($W101=6," - Final"," - Day "&amp;MAX(0,NETWORKDAYS($X101,TODAY(),Holidays)-1)&amp;" of "&amp;CHOOSE($W101,3,3,2,2,3))&amp;" | Total Day "&amp;MAX(0,NETWORKDAYS($L101,TODAY(),Holidays)-1))</f>
        <v/>
      </c>
      <c r="W101" s="17">
        <f>IF($L101="","",COUNT($L101:$Q101))</f>
        <v/>
      </c>
      <c r="X101" s="18">
        <f>IF($W101="","",INT(INDEX($L101:$Q101,$W101)))</f>
        <v/>
      </c>
      <c r="Y101" s="18">
        <f>IF(OR($W101="",$W101=6),"",WORKDAY($X101,CHOOSE($W101,3,3,2,2,3),Holidays))</f>
        <v/>
      </c>
      <c r="Z101" s="17">
        <f>IF(OR($W101="",$W101=6),"",CHOOSE($W101,"1st Email Follow-up","2nd Email Follow-up","Escalate Local Office","Escalate to CBE","Escalate to Roxanne"))</f>
        <v/>
      </c>
    </row>
    <row r="102" spans="18:26">
      <c r="R102" s="15"/>
      <c r="S102" s="16"/>
      <c r="T102" s="17">
        <f>IF(AND(COUNTA($A102:$K102)=0,$L102=""),"",IF($S102="Paid","PAID",IF($S102="Closed","CLOSED",IF($W102="","",IF($W102=6,"ESCALATED TO ROXANNE",IF(TODAY()&gt;$Y102,"OVERDUE",IF($Y102&lt;=WORKDAY(TODAY(),1,Holidays),"DUE TOMORROW",IF($W102=4,"ESCALATED TO LOCAL OFFICE",IF($W102=5,"ESCALATED TO CBE",IF($X102=TODAY(),"EMAIL SENT","MONITORING"))))))))))</f>
        <v/>
      </c>
      <c r="U102" s="17">
        <f>IF($T102="",IF(AND(COUNTA($A102:$K102)&gt;0,$L102=""),"Awaiting Collection Email time stamp.",""),IF(OR($T102="PAID",$T102="CLOSED"),IF($T102="PAID","Account paid. Action completed.","Account closed. No further action required."),CHOOSE($W102,"Collection Email","1st Email Follow-up","2nd Email Follow-up","Escalation to Local Office","Escalation to CBE","Escalation to Roxanne")&amp;" sent "&amp;TEXT($X102,"dd-mmm")&amp;". "&amp;IF($W102=6,"Final escalation completed.",IF($T102="OVERDUE","Next: "&amp;$Z102&amp;" was due "&amp;TEXT($Y102,"dd-mmm")&amp;" - "&amp;(NETWORKDAYS($Y102,TODAY(),Holidays)-1)&amp;" business day(s) late. Send now.",IF($T102="DUE TOMORROW","Next: "&amp;$Z102&amp;IF($Y102&lt;=TODAY()," is due TODAY ("," is due next business day (")&amp;TEXT($Y102,"dd-mmm")&amp;").","Next: "&amp;$Z102&amp;" due "&amp;TEXT($Y102,"dd-mmm")&amp;" ("&amp;(NETWORKDAYS(TODAY(),$Y102,Holidays)-1)&amp;" business day(s) left).")))))</f>
        <v/>
      </c>
      <c r="V102" s="17">
        <f>IF($W102="","",CHOOSE($W102,"Collection Email","1st Follow-up","2nd Follow-up","Local Office","CBE","Roxanne")&amp;IF($W102=6," - Final"," - Day "&amp;MAX(0,NETWORKDAYS($X102,TODAY(),Holidays)-1)&amp;" of "&amp;CHOOSE($W102,3,3,2,2,3))&amp;" | Total Day "&amp;MAX(0,NETWORKDAYS($L102,TODAY(),Holidays)-1))</f>
        <v/>
      </c>
      <c r="W102" s="17">
        <f>IF($L102="","",COUNT($L102:$Q102))</f>
        <v/>
      </c>
      <c r="X102" s="18">
        <f>IF($W102="","",INT(INDEX($L102:$Q102,$W102)))</f>
        <v/>
      </c>
      <c r="Y102" s="18">
        <f>IF(OR($W102="",$W102=6),"",WORKDAY($X102,CHOOSE($W102,3,3,2,2,3),Holidays))</f>
        <v/>
      </c>
      <c r="Z102" s="17">
        <f>IF(OR($W102="",$W102=6),"",CHOOSE($W102,"1st Email Follow-up","2nd Email Follow-up","Escalate Local Office","Escalate to CBE","Escalate to Roxanne"))</f>
        <v/>
      </c>
    </row>
    <row r="103" spans="18:26">
      <c r="R103" s="15"/>
      <c r="S103" s="16"/>
      <c r="T103" s="17">
        <f>IF(AND(COUNTA($A103:$K103)=0,$L103=""),"",IF($S103="Paid","PAID",IF($S103="Closed","CLOSED",IF($W103="","",IF($W103=6,"ESCALATED TO ROXANNE",IF(TODAY()&gt;$Y103,"OVERDUE",IF($Y103&lt;=WORKDAY(TODAY(),1,Holidays),"DUE TOMORROW",IF($W103=4,"ESCALATED TO LOCAL OFFICE",IF($W103=5,"ESCALATED TO CBE",IF($X103=TODAY(),"EMAIL SENT","MONITORING"))))))))))</f>
        <v/>
      </c>
      <c r="U103" s="17">
        <f>IF($T103="",IF(AND(COUNTA($A103:$K103)&gt;0,$L103=""),"Awaiting Collection Email time stamp.",""),IF(OR($T103="PAID",$T103="CLOSED"),IF($T103="PAID","Account paid. Action completed.","Account closed. No further action required."),CHOOSE($W103,"Collection Email","1st Email Follow-up","2nd Email Follow-up","Escalation to Local Office","Escalation to CBE","Escalation to Roxanne")&amp;" sent "&amp;TEXT($X103,"dd-mmm")&amp;". "&amp;IF($W103=6,"Final escalation completed.",IF($T103="OVERDUE","Next: "&amp;$Z103&amp;" was due "&amp;TEXT($Y103,"dd-mmm")&amp;" - "&amp;(NETWORKDAYS($Y103,TODAY(),Holidays)-1)&amp;" business day(s) late. Send now.",IF($T103="DUE TOMORROW","Next: "&amp;$Z103&amp;IF($Y103&lt;=TODAY()," is due TODAY ("," is due next business day (")&amp;TEXT($Y103,"dd-mmm")&amp;").","Next: "&amp;$Z103&amp;" due "&amp;TEXT($Y103,"dd-mmm")&amp;" ("&amp;(NETWORKDAYS(TODAY(),$Y103,Holidays)-1)&amp;" business day(s) left).")))))</f>
        <v/>
      </c>
      <c r="V103" s="17">
        <f>IF($W103="","",CHOOSE($W103,"Collection Email","1st Follow-up","2nd Follow-up","Local Office","CBE","Roxanne")&amp;IF($W103=6," - Final"," - Day "&amp;MAX(0,NETWORKDAYS($X103,TODAY(),Holidays)-1)&amp;" of "&amp;CHOOSE($W103,3,3,2,2,3))&amp;" | Total Day "&amp;MAX(0,NETWORKDAYS($L103,TODAY(),Holidays)-1))</f>
        <v/>
      </c>
      <c r="W103" s="17">
        <f>IF($L103="","",COUNT($L103:$Q103))</f>
        <v/>
      </c>
      <c r="X103" s="18">
        <f>IF($W103="","",INT(INDEX($L103:$Q103,$W103)))</f>
        <v/>
      </c>
      <c r="Y103" s="18">
        <f>IF(OR($W103="",$W103=6),"",WORKDAY($X103,CHOOSE($W103,3,3,2,2,3),Holidays))</f>
        <v/>
      </c>
      <c r="Z103" s="17">
        <f>IF(OR($W103="",$W103=6),"",CHOOSE($W103,"1st Email Follow-up","2nd Email Follow-up","Escalate Local Office","Escalate to CBE","Escalate to Roxanne"))</f>
        <v/>
      </c>
    </row>
    <row r="104" spans="18:26">
      <c r="R104" s="15"/>
      <c r="S104" s="16"/>
      <c r="T104" s="17">
        <f>IF(AND(COUNTA($A104:$K104)=0,$L104=""),"",IF($S104="Paid","PAID",IF($S104="Closed","CLOSED",IF($W104="","",IF($W104=6,"ESCALATED TO ROXANNE",IF(TODAY()&gt;$Y104,"OVERDUE",IF($Y104&lt;=WORKDAY(TODAY(),1,Holidays),"DUE TOMORROW",IF($W104=4,"ESCALATED TO LOCAL OFFICE",IF($W104=5,"ESCALATED TO CBE",IF($X104=TODAY(),"EMAIL SENT","MONITORING"))))))))))</f>
        <v/>
      </c>
      <c r="U104" s="17">
        <f>IF($T104="",IF(AND(COUNTA($A104:$K104)&gt;0,$L104=""),"Awaiting Collection Email time stamp.",""),IF(OR($T104="PAID",$T104="CLOSED"),IF($T104="PAID","Account paid. Action completed.","Account closed. No further action required."),CHOOSE($W104,"Collection Email","1st Email Follow-up","2nd Email Follow-up","Escalation to Local Office","Escalation to CBE","Escalation to Roxanne")&amp;" sent "&amp;TEXT($X104,"dd-mmm")&amp;". "&amp;IF($W104=6,"Final escalation completed.",IF($T104="OVERDUE","Next: "&amp;$Z104&amp;" was due "&amp;TEXT($Y104,"dd-mmm")&amp;" - "&amp;(NETWORKDAYS($Y104,TODAY(),Holidays)-1)&amp;" business day(s) late. Send now.",IF($T104="DUE TOMORROW","Next: "&amp;$Z104&amp;IF($Y104&lt;=TODAY()," is due TODAY ("," is due next business day (")&amp;TEXT($Y104,"dd-mmm")&amp;").","Next: "&amp;$Z104&amp;" due "&amp;TEXT($Y104,"dd-mmm")&amp;" ("&amp;(NETWORKDAYS(TODAY(),$Y104,Holidays)-1)&amp;" business day(s) left).")))))</f>
        <v/>
      </c>
      <c r="V104" s="17">
        <f>IF($W104="","",CHOOSE($W104,"Collection Email","1st Follow-up","2nd Follow-up","Local Office","CBE","Roxanne")&amp;IF($W104=6," - Final"," - Day "&amp;MAX(0,NETWORKDAYS($X104,TODAY(),Holidays)-1)&amp;" of "&amp;CHOOSE($W104,3,3,2,2,3))&amp;" | Total Day "&amp;MAX(0,NETWORKDAYS($L104,TODAY(),Holidays)-1))</f>
        <v/>
      </c>
      <c r="W104" s="17">
        <f>IF($L104="","",COUNT($L104:$Q104))</f>
        <v/>
      </c>
      <c r="X104" s="18">
        <f>IF($W104="","",INT(INDEX($L104:$Q104,$W104)))</f>
        <v/>
      </c>
      <c r="Y104" s="18">
        <f>IF(OR($W104="",$W104=6),"",WORKDAY($X104,CHOOSE($W104,3,3,2,2,3),Holidays))</f>
        <v/>
      </c>
      <c r="Z104" s="17">
        <f>IF(OR($W104="",$W104=6),"",CHOOSE($W104,"1st Email Follow-up","2nd Email Follow-up","Escalate Local Office","Escalate to CBE","Escalate to Roxanne"))</f>
        <v/>
      </c>
    </row>
    <row r="105" spans="18:26">
      <c r="R105" s="15"/>
      <c r="S105" s="16"/>
      <c r="T105" s="17">
        <f>IF(AND(COUNTA($A105:$K105)=0,$L105=""),"",IF($S105="Paid","PAID",IF($S105="Closed","CLOSED",IF($W105="","",IF($W105=6,"ESCALATED TO ROXANNE",IF(TODAY()&gt;$Y105,"OVERDUE",IF($Y105&lt;=WORKDAY(TODAY(),1,Holidays),"DUE TOMORROW",IF($W105=4,"ESCALATED TO LOCAL OFFICE",IF($W105=5,"ESCALATED TO CBE",IF($X105=TODAY(),"EMAIL SENT","MONITORING"))))))))))</f>
        <v/>
      </c>
      <c r="U105" s="17">
        <f>IF($T105="",IF(AND(COUNTA($A105:$K105)&gt;0,$L105=""),"Awaiting Collection Email time stamp.",""),IF(OR($T105="PAID",$T105="CLOSED"),IF($T105="PAID","Account paid. Action completed.","Account closed. No further action required."),CHOOSE($W105,"Collection Email","1st Email Follow-up","2nd Email Follow-up","Escalation to Local Office","Escalation to CBE","Escalation to Roxanne")&amp;" sent "&amp;TEXT($X105,"dd-mmm")&amp;". "&amp;IF($W105=6,"Final escalation completed.",IF($T105="OVERDUE","Next: "&amp;$Z105&amp;" was due "&amp;TEXT($Y105,"dd-mmm")&amp;" - "&amp;(NETWORKDAYS($Y105,TODAY(),Holidays)-1)&amp;" business day(s) late. Send now.",IF($T105="DUE TOMORROW","Next: "&amp;$Z105&amp;IF($Y105&lt;=TODAY()," is due TODAY ("," is due next business day (")&amp;TEXT($Y105,"dd-mmm")&amp;").","Next: "&amp;$Z105&amp;" due "&amp;TEXT($Y105,"dd-mmm")&amp;" ("&amp;(NETWORKDAYS(TODAY(),$Y105,Holidays)-1)&amp;" business day(s) left).")))))</f>
        <v/>
      </c>
      <c r="V105" s="17">
        <f>IF($W105="","",CHOOSE($W105,"Collection Email","1st Follow-up","2nd Follow-up","Local Office","CBE","Roxanne")&amp;IF($W105=6," - Final"," - Day "&amp;MAX(0,NETWORKDAYS($X105,TODAY(),Holidays)-1)&amp;" of "&amp;CHOOSE($W105,3,3,2,2,3))&amp;" | Total Day "&amp;MAX(0,NETWORKDAYS($L105,TODAY(),Holidays)-1))</f>
        <v/>
      </c>
      <c r="W105" s="17">
        <f>IF($L105="","",COUNT($L105:$Q105))</f>
        <v/>
      </c>
      <c r="X105" s="18">
        <f>IF($W105="","",INT(INDEX($L105:$Q105,$W105)))</f>
        <v/>
      </c>
      <c r="Y105" s="18">
        <f>IF(OR($W105="",$W105=6),"",WORKDAY($X105,CHOOSE($W105,3,3,2,2,3),Holidays))</f>
        <v/>
      </c>
      <c r="Z105" s="17">
        <f>IF(OR($W105="",$W105=6),"",CHOOSE($W105,"1st Email Follow-up","2nd Email Follow-up","Escalate Local Office","Escalate to CBE","Escalate to Roxanne"))</f>
        <v/>
      </c>
    </row>
    <row r="106" spans="18:26">
      <c r="R106" s="15"/>
      <c r="S106" s="16"/>
      <c r="T106" s="17">
        <f>IF(AND(COUNTA($A106:$K106)=0,$L106=""),"",IF($S106="Paid","PAID",IF($S106="Closed","CLOSED",IF($W106="","",IF($W106=6,"ESCALATED TO ROXANNE",IF(TODAY()&gt;$Y106,"OVERDUE",IF($Y106&lt;=WORKDAY(TODAY(),1,Holidays),"DUE TOMORROW",IF($W106=4,"ESCALATED TO LOCAL OFFICE",IF($W106=5,"ESCALATED TO CBE",IF($X106=TODAY(),"EMAIL SENT","MONITORING"))))))))))</f>
        <v/>
      </c>
      <c r="U106" s="17">
        <f>IF($T106="",IF(AND(COUNTA($A106:$K106)&gt;0,$L106=""),"Awaiting Collection Email time stamp.",""),IF(OR($T106="PAID",$T106="CLOSED"),IF($T106="PAID","Account paid. Action completed.","Account closed. No further action required."),CHOOSE($W106,"Collection Email","1st Email Follow-up","2nd Email Follow-up","Escalation to Local Office","Escalation to CBE","Escalation to Roxanne")&amp;" sent "&amp;TEXT($X106,"dd-mmm")&amp;". "&amp;IF($W106=6,"Final escalation completed.",IF($T106="OVERDUE","Next: "&amp;$Z106&amp;" was due "&amp;TEXT($Y106,"dd-mmm")&amp;" - "&amp;(NETWORKDAYS($Y106,TODAY(),Holidays)-1)&amp;" business day(s) late. Send now.",IF($T106="DUE TOMORROW","Next: "&amp;$Z106&amp;IF($Y106&lt;=TODAY()," is due TODAY ("," is due next business day (")&amp;TEXT($Y106,"dd-mmm")&amp;").","Next: "&amp;$Z106&amp;" due "&amp;TEXT($Y106,"dd-mmm")&amp;" ("&amp;(NETWORKDAYS(TODAY(),$Y106,Holidays)-1)&amp;" business day(s) left).")))))</f>
        <v/>
      </c>
      <c r="V106" s="17">
        <f>IF($W106="","",CHOOSE($W106,"Collection Email","1st Follow-up","2nd Follow-up","Local Office","CBE","Roxanne")&amp;IF($W106=6," - Final"," - Day "&amp;MAX(0,NETWORKDAYS($X106,TODAY(),Holidays)-1)&amp;" of "&amp;CHOOSE($W106,3,3,2,2,3))&amp;" | Total Day "&amp;MAX(0,NETWORKDAYS($L106,TODAY(),Holidays)-1))</f>
        <v/>
      </c>
      <c r="W106" s="17">
        <f>IF($L106="","",COUNT($L106:$Q106))</f>
        <v/>
      </c>
      <c r="X106" s="18">
        <f>IF($W106="","",INT(INDEX($L106:$Q106,$W106)))</f>
        <v/>
      </c>
      <c r="Y106" s="18">
        <f>IF(OR($W106="",$W106=6),"",WORKDAY($X106,CHOOSE($W106,3,3,2,2,3),Holidays))</f>
        <v/>
      </c>
      <c r="Z106" s="17">
        <f>IF(OR($W106="",$W106=6),"",CHOOSE($W106,"1st Email Follow-up","2nd Email Follow-up","Escalate Local Office","Escalate to CBE","Escalate to Roxanne"))</f>
        <v/>
      </c>
    </row>
    <row r="107" spans="18:26">
      <c r="R107" s="15"/>
      <c r="S107" s="16"/>
      <c r="T107" s="17">
        <f>IF(AND(COUNTA($A107:$K107)=0,$L107=""),"",IF($S107="Paid","PAID",IF($S107="Closed","CLOSED",IF($W107="","",IF($W107=6,"ESCALATED TO ROXANNE",IF(TODAY()&gt;$Y107,"OVERDUE",IF($Y107&lt;=WORKDAY(TODAY(),1,Holidays),"DUE TOMORROW",IF($W107=4,"ESCALATED TO LOCAL OFFICE",IF($W107=5,"ESCALATED TO CBE",IF($X107=TODAY(),"EMAIL SENT","MONITORING"))))))))))</f>
        <v/>
      </c>
      <c r="U107" s="17">
        <f>IF($T107="",IF(AND(COUNTA($A107:$K107)&gt;0,$L107=""),"Awaiting Collection Email time stamp.",""),IF(OR($T107="PAID",$T107="CLOSED"),IF($T107="PAID","Account paid. Action completed.","Account closed. No further action required."),CHOOSE($W107,"Collection Email","1st Email Follow-up","2nd Email Follow-up","Escalation to Local Office","Escalation to CBE","Escalation to Roxanne")&amp;" sent "&amp;TEXT($X107,"dd-mmm")&amp;". "&amp;IF($W107=6,"Final escalation completed.",IF($T107="OVERDUE","Next: "&amp;$Z107&amp;" was due "&amp;TEXT($Y107,"dd-mmm")&amp;" - "&amp;(NETWORKDAYS($Y107,TODAY(),Holidays)-1)&amp;" business day(s) late. Send now.",IF($T107="DUE TOMORROW","Next: "&amp;$Z107&amp;IF($Y107&lt;=TODAY()," is due TODAY ("," is due next business day (")&amp;TEXT($Y107,"dd-mmm")&amp;").","Next: "&amp;$Z107&amp;" due "&amp;TEXT($Y107,"dd-mmm")&amp;" ("&amp;(NETWORKDAYS(TODAY(),$Y107,Holidays)-1)&amp;" business day(s) left).")))))</f>
        <v/>
      </c>
      <c r="V107" s="17">
        <f>IF($W107="","",CHOOSE($W107,"Collection Email","1st Follow-up","2nd Follow-up","Local Office","CBE","Roxanne")&amp;IF($W107=6," - Final"," - Day "&amp;MAX(0,NETWORKDAYS($X107,TODAY(),Holidays)-1)&amp;" of "&amp;CHOOSE($W107,3,3,2,2,3))&amp;" | Total Day "&amp;MAX(0,NETWORKDAYS($L107,TODAY(),Holidays)-1))</f>
        <v/>
      </c>
      <c r="W107" s="17">
        <f>IF($L107="","",COUNT($L107:$Q107))</f>
        <v/>
      </c>
      <c r="X107" s="18">
        <f>IF($W107="","",INT(INDEX($L107:$Q107,$W107)))</f>
        <v/>
      </c>
      <c r="Y107" s="18">
        <f>IF(OR($W107="",$W107=6),"",WORKDAY($X107,CHOOSE($W107,3,3,2,2,3),Holidays))</f>
        <v/>
      </c>
      <c r="Z107" s="17">
        <f>IF(OR($W107="",$W107=6),"",CHOOSE($W107,"1st Email Follow-up","2nd Email Follow-up","Escalate Local Office","Escalate to CBE","Escalate to Roxanne"))</f>
        <v/>
      </c>
    </row>
    <row r="108" spans="18:26">
      <c r="R108" s="15"/>
      <c r="S108" s="16"/>
      <c r="T108" s="17">
        <f>IF(AND(COUNTA($A108:$K108)=0,$L108=""),"",IF($S108="Paid","PAID",IF($S108="Closed","CLOSED",IF($W108="","",IF($W108=6,"ESCALATED TO ROXANNE",IF(TODAY()&gt;$Y108,"OVERDUE",IF($Y108&lt;=WORKDAY(TODAY(),1,Holidays),"DUE TOMORROW",IF($W108=4,"ESCALATED TO LOCAL OFFICE",IF($W108=5,"ESCALATED TO CBE",IF($X108=TODAY(),"EMAIL SENT","MONITORING"))))))))))</f>
        <v/>
      </c>
      <c r="U108" s="17">
        <f>IF($T108="",IF(AND(COUNTA($A108:$K108)&gt;0,$L108=""),"Awaiting Collection Email time stamp.",""),IF(OR($T108="PAID",$T108="CLOSED"),IF($T108="PAID","Account paid. Action completed.","Account closed. No further action required."),CHOOSE($W108,"Collection Email","1st Email Follow-up","2nd Email Follow-up","Escalation to Local Office","Escalation to CBE","Escalation to Roxanne")&amp;" sent "&amp;TEXT($X108,"dd-mmm")&amp;". "&amp;IF($W108=6,"Final escalation completed.",IF($T108="OVERDUE","Next: "&amp;$Z108&amp;" was due "&amp;TEXT($Y108,"dd-mmm")&amp;" - "&amp;(NETWORKDAYS($Y108,TODAY(),Holidays)-1)&amp;" business day(s) late. Send now.",IF($T108="DUE TOMORROW","Next: "&amp;$Z108&amp;IF($Y108&lt;=TODAY()," is due TODAY ("," is due next business day (")&amp;TEXT($Y108,"dd-mmm")&amp;").","Next: "&amp;$Z108&amp;" due "&amp;TEXT($Y108,"dd-mmm")&amp;" ("&amp;(NETWORKDAYS(TODAY(),$Y108,Holidays)-1)&amp;" business day(s) left).")))))</f>
        <v/>
      </c>
      <c r="V108" s="17">
        <f>IF($W108="","",CHOOSE($W108,"Collection Email","1st Follow-up","2nd Follow-up","Local Office","CBE","Roxanne")&amp;IF($W108=6," - Final"," - Day "&amp;MAX(0,NETWORKDAYS($X108,TODAY(),Holidays)-1)&amp;" of "&amp;CHOOSE($W108,3,3,2,2,3))&amp;" | Total Day "&amp;MAX(0,NETWORKDAYS($L108,TODAY(),Holidays)-1))</f>
        <v/>
      </c>
      <c r="W108" s="17">
        <f>IF($L108="","",COUNT($L108:$Q108))</f>
        <v/>
      </c>
      <c r="X108" s="18">
        <f>IF($W108="","",INT(INDEX($L108:$Q108,$W108)))</f>
        <v/>
      </c>
      <c r="Y108" s="18">
        <f>IF(OR($W108="",$W108=6),"",WORKDAY($X108,CHOOSE($W108,3,3,2,2,3),Holidays))</f>
        <v/>
      </c>
      <c r="Z108" s="17">
        <f>IF(OR($W108="",$W108=6),"",CHOOSE($W108,"1st Email Follow-up","2nd Email Follow-up","Escalate Local Office","Escalate to CBE","Escalate to Roxanne"))</f>
        <v/>
      </c>
    </row>
    <row r="109" spans="18:26">
      <c r="R109" s="15"/>
      <c r="S109" s="16"/>
      <c r="T109" s="17">
        <f>IF(AND(COUNTA($A109:$K109)=0,$L109=""),"",IF($S109="Paid","PAID",IF($S109="Closed","CLOSED",IF($W109="","",IF($W109=6,"ESCALATED TO ROXANNE",IF(TODAY()&gt;$Y109,"OVERDUE",IF($Y109&lt;=WORKDAY(TODAY(),1,Holidays),"DUE TOMORROW",IF($W109=4,"ESCALATED TO LOCAL OFFICE",IF($W109=5,"ESCALATED TO CBE",IF($X109=TODAY(),"EMAIL SENT","MONITORING"))))))))))</f>
        <v/>
      </c>
      <c r="U109" s="17">
        <f>IF($T109="",IF(AND(COUNTA($A109:$K109)&gt;0,$L109=""),"Awaiting Collection Email time stamp.",""),IF(OR($T109="PAID",$T109="CLOSED"),IF($T109="PAID","Account paid. Action completed.","Account closed. No further action required."),CHOOSE($W109,"Collection Email","1st Email Follow-up","2nd Email Follow-up","Escalation to Local Office","Escalation to CBE","Escalation to Roxanne")&amp;" sent "&amp;TEXT($X109,"dd-mmm")&amp;". "&amp;IF($W109=6,"Final escalation completed.",IF($T109="OVERDUE","Next: "&amp;$Z109&amp;" was due "&amp;TEXT($Y109,"dd-mmm")&amp;" - "&amp;(NETWORKDAYS($Y109,TODAY(),Holidays)-1)&amp;" business day(s) late. Send now.",IF($T109="DUE TOMORROW","Next: "&amp;$Z109&amp;IF($Y109&lt;=TODAY()," is due TODAY ("," is due next business day (")&amp;TEXT($Y109,"dd-mmm")&amp;").","Next: "&amp;$Z109&amp;" due "&amp;TEXT($Y109,"dd-mmm")&amp;" ("&amp;(NETWORKDAYS(TODAY(),$Y109,Holidays)-1)&amp;" business day(s) left).")))))</f>
        <v/>
      </c>
      <c r="V109" s="17">
        <f>IF($W109="","",CHOOSE($W109,"Collection Email","1st Follow-up","2nd Follow-up","Local Office","CBE","Roxanne")&amp;IF($W109=6," - Final"," - Day "&amp;MAX(0,NETWORKDAYS($X109,TODAY(),Holidays)-1)&amp;" of "&amp;CHOOSE($W109,3,3,2,2,3))&amp;" | Total Day "&amp;MAX(0,NETWORKDAYS($L109,TODAY(),Holidays)-1))</f>
        <v/>
      </c>
      <c r="W109" s="17">
        <f>IF($L109="","",COUNT($L109:$Q109))</f>
        <v/>
      </c>
      <c r="X109" s="18">
        <f>IF($W109="","",INT(INDEX($L109:$Q109,$W109)))</f>
        <v/>
      </c>
      <c r="Y109" s="18">
        <f>IF(OR($W109="",$W109=6),"",WORKDAY($X109,CHOOSE($W109,3,3,2,2,3),Holidays))</f>
        <v/>
      </c>
      <c r="Z109" s="17">
        <f>IF(OR($W109="",$W109=6),"",CHOOSE($W109,"1st Email Follow-up","2nd Email Follow-up","Escalate Local Office","Escalate to CBE","Escalate to Roxanne"))</f>
        <v/>
      </c>
    </row>
    <row r="110" spans="18:26">
      <c r="R110" s="15"/>
      <c r="S110" s="16"/>
      <c r="T110" s="17">
        <f>IF(AND(COUNTA($A110:$K110)=0,$L110=""),"",IF($S110="Paid","PAID",IF($S110="Closed","CLOSED",IF($W110="","",IF($W110=6,"ESCALATED TO ROXANNE",IF(TODAY()&gt;$Y110,"OVERDUE",IF($Y110&lt;=WORKDAY(TODAY(),1,Holidays),"DUE TOMORROW",IF($W110=4,"ESCALATED TO LOCAL OFFICE",IF($W110=5,"ESCALATED TO CBE",IF($X110=TODAY(),"EMAIL SENT","MONITORING"))))))))))</f>
        <v/>
      </c>
      <c r="U110" s="17">
        <f>IF($T110="",IF(AND(COUNTA($A110:$K110)&gt;0,$L110=""),"Awaiting Collection Email time stamp.",""),IF(OR($T110="PAID",$T110="CLOSED"),IF($T110="PAID","Account paid. Action completed.","Account closed. No further action required."),CHOOSE($W110,"Collection Email","1st Email Follow-up","2nd Email Follow-up","Escalation to Local Office","Escalation to CBE","Escalation to Roxanne")&amp;" sent "&amp;TEXT($X110,"dd-mmm")&amp;". "&amp;IF($W110=6,"Final escalation completed.",IF($T110="OVERDUE","Next: "&amp;$Z110&amp;" was due "&amp;TEXT($Y110,"dd-mmm")&amp;" - "&amp;(NETWORKDAYS($Y110,TODAY(),Holidays)-1)&amp;" business day(s) late. Send now.",IF($T110="DUE TOMORROW","Next: "&amp;$Z110&amp;IF($Y110&lt;=TODAY()," is due TODAY ("," is due next business day (")&amp;TEXT($Y110,"dd-mmm")&amp;").","Next: "&amp;$Z110&amp;" due "&amp;TEXT($Y110,"dd-mmm")&amp;" ("&amp;(NETWORKDAYS(TODAY(),$Y110,Holidays)-1)&amp;" business day(s) left).")))))</f>
        <v/>
      </c>
      <c r="V110" s="17">
        <f>IF($W110="","",CHOOSE($W110,"Collection Email","1st Follow-up","2nd Follow-up","Local Office","CBE","Roxanne")&amp;IF($W110=6," - Final"," - Day "&amp;MAX(0,NETWORKDAYS($X110,TODAY(),Holidays)-1)&amp;" of "&amp;CHOOSE($W110,3,3,2,2,3))&amp;" | Total Day "&amp;MAX(0,NETWORKDAYS($L110,TODAY(),Holidays)-1))</f>
        <v/>
      </c>
      <c r="W110" s="17">
        <f>IF($L110="","",COUNT($L110:$Q110))</f>
        <v/>
      </c>
      <c r="X110" s="18">
        <f>IF($W110="","",INT(INDEX($L110:$Q110,$W110)))</f>
        <v/>
      </c>
      <c r="Y110" s="18">
        <f>IF(OR($W110="",$W110=6),"",WORKDAY($X110,CHOOSE($W110,3,3,2,2,3),Holidays))</f>
        <v/>
      </c>
      <c r="Z110" s="17">
        <f>IF(OR($W110="",$W110=6),"",CHOOSE($W110,"1st Email Follow-up","2nd Email Follow-up","Escalate Local Office","Escalate to CBE","Escalate to Roxanne"))</f>
        <v/>
      </c>
    </row>
    <row r="111" spans="18:26">
      <c r="R111" s="15"/>
      <c r="S111" s="16"/>
      <c r="T111" s="17">
        <f>IF(AND(COUNTA($A111:$K111)=0,$L111=""),"",IF($S111="Paid","PAID",IF($S111="Closed","CLOSED",IF($W111="","",IF($W111=6,"ESCALATED TO ROXANNE",IF(TODAY()&gt;$Y111,"OVERDUE",IF($Y111&lt;=WORKDAY(TODAY(),1,Holidays),"DUE TOMORROW",IF($W111=4,"ESCALATED TO LOCAL OFFICE",IF($W111=5,"ESCALATED TO CBE",IF($X111=TODAY(),"EMAIL SENT","MONITORING"))))))))))</f>
        <v/>
      </c>
      <c r="U111" s="17">
        <f>IF($T111="",IF(AND(COUNTA($A111:$K111)&gt;0,$L111=""),"Awaiting Collection Email time stamp.",""),IF(OR($T111="PAID",$T111="CLOSED"),IF($T111="PAID","Account paid. Action completed.","Account closed. No further action required."),CHOOSE($W111,"Collection Email","1st Email Follow-up","2nd Email Follow-up","Escalation to Local Office","Escalation to CBE","Escalation to Roxanne")&amp;" sent "&amp;TEXT($X111,"dd-mmm")&amp;". "&amp;IF($W111=6,"Final escalation completed.",IF($T111="OVERDUE","Next: "&amp;$Z111&amp;" was due "&amp;TEXT($Y111,"dd-mmm")&amp;" - "&amp;(NETWORKDAYS($Y111,TODAY(),Holidays)-1)&amp;" business day(s) late. Send now.",IF($T111="DUE TOMORROW","Next: "&amp;$Z111&amp;IF($Y111&lt;=TODAY()," is due TODAY ("," is due next business day (")&amp;TEXT($Y111,"dd-mmm")&amp;").","Next: "&amp;$Z111&amp;" due "&amp;TEXT($Y111,"dd-mmm")&amp;" ("&amp;(NETWORKDAYS(TODAY(),$Y111,Holidays)-1)&amp;" business day(s) left).")))))</f>
        <v/>
      </c>
      <c r="V111" s="17">
        <f>IF($W111="","",CHOOSE($W111,"Collection Email","1st Follow-up","2nd Follow-up","Local Office","CBE","Roxanne")&amp;IF($W111=6," - Final"," - Day "&amp;MAX(0,NETWORKDAYS($X111,TODAY(),Holidays)-1)&amp;" of "&amp;CHOOSE($W111,3,3,2,2,3))&amp;" | Total Day "&amp;MAX(0,NETWORKDAYS($L111,TODAY(),Holidays)-1))</f>
        <v/>
      </c>
      <c r="W111" s="17">
        <f>IF($L111="","",COUNT($L111:$Q111))</f>
        <v/>
      </c>
      <c r="X111" s="18">
        <f>IF($W111="","",INT(INDEX($L111:$Q111,$W111)))</f>
        <v/>
      </c>
      <c r="Y111" s="18">
        <f>IF(OR($W111="",$W111=6),"",WORKDAY($X111,CHOOSE($W111,3,3,2,2,3),Holidays))</f>
        <v/>
      </c>
      <c r="Z111" s="17">
        <f>IF(OR($W111="",$W111=6),"",CHOOSE($W111,"1st Email Follow-up","2nd Email Follow-up","Escalate Local Office","Escalate to CBE","Escalate to Roxanne"))</f>
        <v/>
      </c>
    </row>
    <row r="112" spans="18:26">
      <c r="R112" s="15"/>
      <c r="S112" s="16"/>
      <c r="T112" s="17">
        <f>IF(AND(COUNTA($A112:$K112)=0,$L112=""),"",IF($S112="Paid","PAID",IF($S112="Closed","CLOSED",IF($W112="","",IF($W112=6,"ESCALATED TO ROXANNE",IF(TODAY()&gt;$Y112,"OVERDUE",IF($Y112&lt;=WORKDAY(TODAY(),1,Holidays),"DUE TOMORROW",IF($W112=4,"ESCALATED TO LOCAL OFFICE",IF($W112=5,"ESCALATED TO CBE",IF($X112=TODAY(),"EMAIL SENT","MONITORING"))))))))))</f>
        <v/>
      </c>
      <c r="U112" s="17">
        <f>IF($T112="",IF(AND(COUNTA($A112:$K112)&gt;0,$L112=""),"Awaiting Collection Email time stamp.",""),IF(OR($T112="PAID",$T112="CLOSED"),IF($T112="PAID","Account paid. Action completed.","Account closed. No further action required."),CHOOSE($W112,"Collection Email","1st Email Follow-up","2nd Email Follow-up","Escalation to Local Office","Escalation to CBE","Escalation to Roxanne")&amp;" sent "&amp;TEXT($X112,"dd-mmm")&amp;". "&amp;IF($W112=6,"Final escalation completed.",IF($T112="OVERDUE","Next: "&amp;$Z112&amp;" was due "&amp;TEXT($Y112,"dd-mmm")&amp;" - "&amp;(NETWORKDAYS($Y112,TODAY(),Holidays)-1)&amp;" business day(s) late. Send now.",IF($T112="DUE TOMORROW","Next: "&amp;$Z112&amp;IF($Y112&lt;=TODAY()," is due TODAY ("," is due next business day (")&amp;TEXT($Y112,"dd-mmm")&amp;").","Next: "&amp;$Z112&amp;" due "&amp;TEXT($Y112,"dd-mmm")&amp;" ("&amp;(NETWORKDAYS(TODAY(),$Y112,Holidays)-1)&amp;" business day(s) left).")))))</f>
        <v/>
      </c>
      <c r="V112" s="17">
        <f>IF($W112="","",CHOOSE($W112,"Collection Email","1st Follow-up","2nd Follow-up","Local Office","CBE","Roxanne")&amp;IF($W112=6," - Final"," - Day "&amp;MAX(0,NETWORKDAYS($X112,TODAY(),Holidays)-1)&amp;" of "&amp;CHOOSE($W112,3,3,2,2,3))&amp;" | Total Day "&amp;MAX(0,NETWORKDAYS($L112,TODAY(),Holidays)-1))</f>
        <v/>
      </c>
      <c r="W112" s="17">
        <f>IF($L112="","",COUNT($L112:$Q112))</f>
        <v/>
      </c>
      <c r="X112" s="18">
        <f>IF($W112="","",INT(INDEX($L112:$Q112,$W112)))</f>
        <v/>
      </c>
      <c r="Y112" s="18">
        <f>IF(OR($W112="",$W112=6),"",WORKDAY($X112,CHOOSE($W112,3,3,2,2,3),Holidays))</f>
        <v/>
      </c>
      <c r="Z112" s="17">
        <f>IF(OR($W112="",$W112=6),"",CHOOSE($W112,"1st Email Follow-up","2nd Email Follow-up","Escalate Local Office","Escalate to CBE","Escalate to Roxanne"))</f>
        <v/>
      </c>
    </row>
    <row r="113" spans="18:26">
      <c r="R113" s="15"/>
      <c r="S113" s="16"/>
      <c r="T113" s="17">
        <f>IF(AND(COUNTA($A113:$K113)=0,$L113=""),"",IF($S113="Paid","PAID",IF($S113="Closed","CLOSED",IF($W113="","",IF($W113=6,"ESCALATED TO ROXANNE",IF(TODAY()&gt;$Y113,"OVERDUE",IF($Y113&lt;=WORKDAY(TODAY(),1,Holidays),"DUE TOMORROW",IF($W113=4,"ESCALATED TO LOCAL OFFICE",IF($W113=5,"ESCALATED TO CBE",IF($X113=TODAY(),"EMAIL SENT","MONITORING"))))))))))</f>
        <v/>
      </c>
      <c r="U113" s="17">
        <f>IF($T113="",IF(AND(COUNTA($A113:$K113)&gt;0,$L113=""),"Awaiting Collection Email time stamp.",""),IF(OR($T113="PAID",$T113="CLOSED"),IF($T113="PAID","Account paid. Action completed.","Account closed. No further action required."),CHOOSE($W113,"Collection Email","1st Email Follow-up","2nd Email Follow-up","Escalation to Local Office","Escalation to CBE","Escalation to Roxanne")&amp;" sent "&amp;TEXT($X113,"dd-mmm")&amp;". "&amp;IF($W113=6,"Final escalation completed.",IF($T113="OVERDUE","Next: "&amp;$Z113&amp;" was due "&amp;TEXT($Y113,"dd-mmm")&amp;" - "&amp;(NETWORKDAYS($Y113,TODAY(),Holidays)-1)&amp;" business day(s) late. Send now.",IF($T113="DUE TOMORROW","Next: "&amp;$Z113&amp;IF($Y113&lt;=TODAY()," is due TODAY ("," is due next business day (")&amp;TEXT($Y113,"dd-mmm")&amp;").","Next: "&amp;$Z113&amp;" due "&amp;TEXT($Y113,"dd-mmm")&amp;" ("&amp;(NETWORKDAYS(TODAY(),$Y113,Holidays)-1)&amp;" business day(s) left).")))))</f>
        <v/>
      </c>
      <c r="V113" s="17">
        <f>IF($W113="","",CHOOSE($W113,"Collection Email","1st Follow-up","2nd Follow-up","Local Office","CBE","Roxanne")&amp;IF($W113=6," - Final"," - Day "&amp;MAX(0,NETWORKDAYS($X113,TODAY(),Holidays)-1)&amp;" of "&amp;CHOOSE($W113,3,3,2,2,3))&amp;" | Total Day "&amp;MAX(0,NETWORKDAYS($L113,TODAY(),Holidays)-1))</f>
        <v/>
      </c>
      <c r="W113" s="17">
        <f>IF($L113="","",COUNT($L113:$Q113))</f>
        <v/>
      </c>
      <c r="X113" s="18">
        <f>IF($W113="","",INT(INDEX($L113:$Q113,$W113)))</f>
        <v/>
      </c>
      <c r="Y113" s="18">
        <f>IF(OR($W113="",$W113=6),"",WORKDAY($X113,CHOOSE($W113,3,3,2,2,3),Holidays))</f>
        <v/>
      </c>
      <c r="Z113" s="17">
        <f>IF(OR($W113="",$W113=6),"",CHOOSE($W113,"1st Email Follow-up","2nd Email Follow-up","Escalate Local Office","Escalate to CBE","Escalate to Roxanne"))</f>
        <v/>
      </c>
    </row>
    <row r="114" spans="18:26">
      <c r="R114" s="15"/>
      <c r="S114" s="16"/>
      <c r="T114" s="17">
        <f>IF(AND(COUNTA($A114:$K114)=0,$L114=""),"",IF($S114="Paid","PAID",IF($S114="Closed","CLOSED",IF($W114="","",IF($W114=6,"ESCALATED TO ROXANNE",IF(TODAY()&gt;$Y114,"OVERDUE",IF($Y114&lt;=WORKDAY(TODAY(),1,Holidays),"DUE TOMORROW",IF($W114=4,"ESCALATED TO LOCAL OFFICE",IF($W114=5,"ESCALATED TO CBE",IF($X114=TODAY(),"EMAIL SENT","MONITORING"))))))))))</f>
        <v/>
      </c>
      <c r="U114" s="17">
        <f>IF($T114="",IF(AND(COUNTA($A114:$K114)&gt;0,$L114=""),"Awaiting Collection Email time stamp.",""),IF(OR($T114="PAID",$T114="CLOSED"),IF($T114="PAID","Account paid. Action completed.","Account closed. No further action required."),CHOOSE($W114,"Collection Email","1st Email Follow-up","2nd Email Follow-up","Escalation to Local Office","Escalation to CBE","Escalation to Roxanne")&amp;" sent "&amp;TEXT($X114,"dd-mmm")&amp;". "&amp;IF($W114=6,"Final escalation completed.",IF($T114="OVERDUE","Next: "&amp;$Z114&amp;" was due "&amp;TEXT($Y114,"dd-mmm")&amp;" - "&amp;(NETWORKDAYS($Y114,TODAY(),Holidays)-1)&amp;" business day(s) late. Send now.",IF($T114="DUE TOMORROW","Next: "&amp;$Z114&amp;IF($Y114&lt;=TODAY()," is due TODAY ("," is due next business day (")&amp;TEXT($Y114,"dd-mmm")&amp;").","Next: "&amp;$Z114&amp;" due "&amp;TEXT($Y114,"dd-mmm")&amp;" ("&amp;(NETWORKDAYS(TODAY(),$Y114,Holidays)-1)&amp;" business day(s) left).")))))</f>
        <v/>
      </c>
      <c r="V114" s="17">
        <f>IF($W114="","",CHOOSE($W114,"Collection Email","1st Follow-up","2nd Follow-up","Local Office","CBE","Roxanne")&amp;IF($W114=6," - Final"," - Day "&amp;MAX(0,NETWORKDAYS($X114,TODAY(),Holidays)-1)&amp;" of "&amp;CHOOSE($W114,3,3,2,2,3))&amp;" | Total Day "&amp;MAX(0,NETWORKDAYS($L114,TODAY(),Holidays)-1))</f>
        <v/>
      </c>
      <c r="W114" s="17">
        <f>IF($L114="","",COUNT($L114:$Q114))</f>
        <v/>
      </c>
      <c r="X114" s="18">
        <f>IF($W114="","",INT(INDEX($L114:$Q114,$W114)))</f>
        <v/>
      </c>
      <c r="Y114" s="18">
        <f>IF(OR($W114="",$W114=6),"",WORKDAY($X114,CHOOSE($W114,3,3,2,2,3),Holidays))</f>
        <v/>
      </c>
      <c r="Z114" s="17">
        <f>IF(OR($W114="",$W114=6),"",CHOOSE($W114,"1st Email Follow-up","2nd Email Follow-up","Escalate Local Office","Escalate to CBE","Escalate to Roxanne"))</f>
        <v/>
      </c>
    </row>
    <row r="115" spans="18:26">
      <c r="R115" s="15"/>
      <c r="S115" s="16"/>
      <c r="T115" s="17">
        <f>IF(AND(COUNTA($A115:$K115)=0,$L115=""),"",IF($S115="Paid","PAID",IF($S115="Closed","CLOSED",IF($W115="","",IF($W115=6,"ESCALATED TO ROXANNE",IF(TODAY()&gt;$Y115,"OVERDUE",IF($Y115&lt;=WORKDAY(TODAY(),1,Holidays),"DUE TOMORROW",IF($W115=4,"ESCALATED TO LOCAL OFFICE",IF($W115=5,"ESCALATED TO CBE",IF($X115=TODAY(),"EMAIL SENT","MONITORING"))))))))))</f>
        <v/>
      </c>
      <c r="U115" s="17">
        <f>IF($T115="",IF(AND(COUNTA($A115:$K115)&gt;0,$L115=""),"Awaiting Collection Email time stamp.",""),IF(OR($T115="PAID",$T115="CLOSED"),IF($T115="PAID","Account paid. Action completed.","Account closed. No further action required."),CHOOSE($W115,"Collection Email","1st Email Follow-up","2nd Email Follow-up","Escalation to Local Office","Escalation to CBE","Escalation to Roxanne")&amp;" sent "&amp;TEXT($X115,"dd-mmm")&amp;". "&amp;IF($W115=6,"Final escalation completed.",IF($T115="OVERDUE","Next: "&amp;$Z115&amp;" was due "&amp;TEXT($Y115,"dd-mmm")&amp;" - "&amp;(NETWORKDAYS($Y115,TODAY(),Holidays)-1)&amp;" business day(s) late. Send now.",IF($T115="DUE TOMORROW","Next: "&amp;$Z115&amp;IF($Y115&lt;=TODAY()," is due TODAY ("," is due next business day (")&amp;TEXT($Y115,"dd-mmm")&amp;").","Next: "&amp;$Z115&amp;" due "&amp;TEXT($Y115,"dd-mmm")&amp;" ("&amp;(NETWORKDAYS(TODAY(),$Y115,Holidays)-1)&amp;" business day(s) left).")))))</f>
        <v/>
      </c>
      <c r="V115" s="17">
        <f>IF($W115="","",CHOOSE($W115,"Collection Email","1st Follow-up","2nd Follow-up","Local Office","CBE","Roxanne")&amp;IF($W115=6," - Final"," - Day "&amp;MAX(0,NETWORKDAYS($X115,TODAY(),Holidays)-1)&amp;" of "&amp;CHOOSE($W115,3,3,2,2,3))&amp;" | Total Day "&amp;MAX(0,NETWORKDAYS($L115,TODAY(),Holidays)-1))</f>
        <v/>
      </c>
      <c r="W115" s="17">
        <f>IF($L115="","",COUNT($L115:$Q115))</f>
        <v/>
      </c>
      <c r="X115" s="18">
        <f>IF($W115="","",INT(INDEX($L115:$Q115,$W115)))</f>
        <v/>
      </c>
      <c r="Y115" s="18">
        <f>IF(OR($W115="",$W115=6),"",WORKDAY($X115,CHOOSE($W115,3,3,2,2,3),Holidays))</f>
        <v/>
      </c>
      <c r="Z115" s="17">
        <f>IF(OR($W115="",$W115=6),"",CHOOSE($W115,"1st Email Follow-up","2nd Email Follow-up","Escalate Local Office","Escalate to CBE","Escalate to Roxanne"))</f>
        <v/>
      </c>
    </row>
    <row r="116" spans="18:26">
      <c r="R116" s="15"/>
      <c r="S116" s="16"/>
      <c r="T116" s="17">
        <f>IF(AND(COUNTA($A116:$K116)=0,$L116=""),"",IF($S116="Paid","PAID",IF($S116="Closed","CLOSED",IF($W116="","",IF($W116=6,"ESCALATED TO ROXANNE",IF(TODAY()&gt;$Y116,"OVERDUE",IF($Y116&lt;=WORKDAY(TODAY(),1,Holidays),"DUE TOMORROW",IF($W116=4,"ESCALATED TO LOCAL OFFICE",IF($W116=5,"ESCALATED TO CBE",IF($X116=TODAY(),"EMAIL SENT","MONITORING"))))))))))</f>
        <v/>
      </c>
      <c r="U116" s="17">
        <f>IF($T116="",IF(AND(COUNTA($A116:$K116)&gt;0,$L116=""),"Awaiting Collection Email time stamp.",""),IF(OR($T116="PAID",$T116="CLOSED"),IF($T116="PAID","Account paid. Action completed.","Account closed. No further action required."),CHOOSE($W116,"Collection Email","1st Email Follow-up","2nd Email Follow-up","Escalation to Local Office","Escalation to CBE","Escalation to Roxanne")&amp;" sent "&amp;TEXT($X116,"dd-mmm")&amp;". "&amp;IF($W116=6,"Final escalation completed.",IF($T116="OVERDUE","Next: "&amp;$Z116&amp;" was due "&amp;TEXT($Y116,"dd-mmm")&amp;" - "&amp;(NETWORKDAYS($Y116,TODAY(),Holidays)-1)&amp;" business day(s) late. Send now.",IF($T116="DUE TOMORROW","Next: "&amp;$Z116&amp;IF($Y116&lt;=TODAY()," is due TODAY ("," is due next business day (")&amp;TEXT($Y116,"dd-mmm")&amp;").","Next: "&amp;$Z116&amp;" due "&amp;TEXT($Y116,"dd-mmm")&amp;" ("&amp;(NETWORKDAYS(TODAY(),$Y116,Holidays)-1)&amp;" business day(s) left).")))))</f>
        <v/>
      </c>
      <c r="V116" s="17">
        <f>IF($W116="","",CHOOSE($W116,"Collection Email","1st Follow-up","2nd Follow-up","Local Office","CBE","Roxanne")&amp;IF($W116=6," - Final"," - Day "&amp;MAX(0,NETWORKDAYS($X116,TODAY(),Holidays)-1)&amp;" of "&amp;CHOOSE($W116,3,3,2,2,3))&amp;" | Total Day "&amp;MAX(0,NETWORKDAYS($L116,TODAY(),Holidays)-1))</f>
        <v/>
      </c>
      <c r="W116" s="17">
        <f>IF($L116="","",COUNT($L116:$Q116))</f>
        <v/>
      </c>
      <c r="X116" s="18">
        <f>IF($W116="","",INT(INDEX($L116:$Q116,$W116)))</f>
        <v/>
      </c>
      <c r="Y116" s="18">
        <f>IF(OR($W116="",$W116=6),"",WORKDAY($X116,CHOOSE($W116,3,3,2,2,3),Holidays))</f>
        <v/>
      </c>
      <c r="Z116" s="17">
        <f>IF(OR($W116="",$W116=6),"",CHOOSE($W116,"1st Email Follow-up","2nd Email Follow-up","Escalate Local Office","Escalate to CBE","Escalate to Roxanne"))</f>
        <v/>
      </c>
    </row>
    <row r="117" spans="18:26">
      <c r="R117" s="15"/>
      <c r="S117" s="16"/>
      <c r="T117" s="17">
        <f>IF(AND(COUNTA($A117:$K117)=0,$L117=""),"",IF($S117="Paid","PAID",IF($S117="Closed","CLOSED",IF($W117="","",IF($W117=6,"ESCALATED TO ROXANNE",IF(TODAY()&gt;$Y117,"OVERDUE",IF($Y117&lt;=WORKDAY(TODAY(),1,Holidays),"DUE TOMORROW",IF($W117=4,"ESCALATED TO LOCAL OFFICE",IF($W117=5,"ESCALATED TO CBE",IF($X117=TODAY(),"EMAIL SENT","MONITORING"))))))))))</f>
        <v/>
      </c>
      <c r="U117" s="17">
        <f>IF($T117="",IF(AND(COUNTA($A117:$K117)&gt;0,$L117=""),"Awaiting Collection Email time stamp.",""),IF(OR($T117="PAID",$T117="CLOSED"),IF($T117="PAID","Account paid. Action completed.","Account closed. No further action required."),CHOOSE($W117,"Collection Email","1st Email Follow-up","2nd Email Follow-up","Escalation to Local Office","Escalation to CBE","Escalation to Roxanne")&amp;" sent "&amp;TEXT($X117,"dd-mmm")&amp;". "&amp;IF($W117=6,"Final escalation completed.",IF($T117="OVERDUE","Next: "&amp;$Z117&amp;" was due "&amp;TEXT($Y117,"dd-mmm")&amp;" - "&amp;(NETWORKDAYS($Y117,TODAY(),Holidays)-1)&amp;" business day(s) late. Send now.",IF($T117="DUE TOMORROW","Next: "&amp;$Z117&amp;IF($Y117&lt;=TODAY()," is due TODAY ("," is due next business day (")&amp;TEXT($Y117,"dd-mmm")&amp;").","Next: "&amp;$Z117&amp;" due "&amp;TEXT($Y117,"dd-mmm")&amp;" ("&amp;(NETWORKDAYS(TODAY(),$Y117,Holidays)-1)&amp;" business day(s) left).")))))</f>
        <v/>
      </c>
      <c r="V117" s="17">
        <f>IF($W117="","",CHOOSE($W117,"Collection Email","1st Follow-up","2nd Follow-up","Local Office","CBE","Roxanne")&amp;IF($W117=6," - Final"," - Day "&amp;MAX(0,NETWORKDAYS($X117,TODAY(),Holidays)-1)&amp;" of "&amp;CHOOSE($W117,3,3,2,2,3))&amp;" | Total Day "&amp;MAX(0,NETWORKDAYS($L117,TODAY(),Holidays)-1))</f>
        <v/>
      </c>
      <c r="W117" s="17">
        <f>IF($L117="","",COUNT($L117:$Q117))</f>
        <v/>
      </c>
      <c r="X117" s="18">
        <f>IF($W117="","",INT(INDEX($L117:$Q117,$W117)))</f>
        <v/>
      </c>
      <c r="Y117" s="18">
        <f>IF(OR($W117="",$W117=6),"",WORKDAY($X117,CHOOSE($W117,3,3,2,2,3),Holidays))</f>
        <v/>
      </c>
      <c r="Z117" s="17">
        <f>IF(OR($W117="",$W117=6),"",CHOOSE($W117,"1st Email Follow-up","2nd Email Follow-up","Escalate Local Office","Escalate to CBE","Escalate to Roxanne"))</f>
        <v/>
      </c>
    </row>
    <row r="118" spans="18:26">
      <c r="R118" s="15"/>
      <c r="S118" s="16"/>
      <c r="T118" s="17">
        <f>IF(AND(COUNTA($A118:$K118)=0,$L118=""),"",IF($S118="Paid","PAID",IF($S118="Closed","CLOSED",IF($W118="","",IF($W118=6,"ESCALATED TO ROXANNE",IF(TODAY()&gt;$Y118,"OVERDUE",IF($Y118&lt;=WORKDAY(TODAY(),1,Holidays),"DUE TOMORROW",IF($W118=4,"ESCALATED TO LOCAL OFFICE",IF($W118=5,"ESCALATED TO CBE",IF($X118=TODAY(),"EMAIL SENT","MONITORING"))))))))))</f>
        <v/>
      </c>
      <c r="U118" s="17">
        <f>IF($T118="",IF(AND(COUNTA($A118:$K118)&gt;0,$L118=""),"Awaiting Collection Email time stamp.",""),IF(OR($T118="PAID",$T118="CLOSED"),IF($T118="PAID","Account paid. Action completed.","Account closed. No further action required."),CHOOSE($W118,"Collection Email","1st Email Follow-up","2nd Email Follow-up","Escalation to Local Office","Escalation to CBE","Escalation to Roxanne")&amp;" sent "&amp;TEXT($X118,"dd-mmm")&amp;". "&amp;IF($W118=6,"Final escalation completed.",IF($T118="OVERDUE","Next: "&amp;$Z118&amp;" was due "&amp;TEXT($Y118,"dd-mmm")&amp;" - "&amp;(NETWORKDAYS($Y118,TODAY(),Holidays)-1)&amp;" business day(s) late. Send now.",IF($T118="DUE TOMORROW","Next: "&amp;$Z118&amp;IF($Y118&lt;=TODAY()," is due TODAY ("," is due next business day (")&amp;TEXT($Y118,"dd-mmm")&amp;").","Next: "&amp;$Z118&amp;" due "&amp;TEXT($Y118,"dd-mmm")&amp;" ("&amp;(NETWORKDAYS(TODAY(),$Y118,Holidays)-1)&amp;" business day(s) left).")))))</f>
        <v/>
      </c>
      <c r="V118" s="17">
        <f>IF($W118="","",CHOOSE($W118,"Collection Email","1st Follow-up","2nd Follow-up","Local Office","CBE","Roxanne")&amp;IF($W118=6," - Final"," - Day "&amp;MAX(0,NETWORKDAYS($X118,TODAY(),Holidays)-1)&amp;" of "&amp;CHOOSE($W118,3,3,2,2,3))&amp;" | Total Day "&amp;MAX(0,NETWORKDAYS($L118,TODAY(),Holidays)-1))</f>
        <v/>
      </c>
      <c r="W118" s="17">
        <f>IF($L118="","",COUNT($L118:$Q118))</f>
        <v/>
      </c>
      <c r="X118" s="18">
        <f>IF($W118="","",INT(INDEX($L118:$Q118,$W118)))</f>
        <v/>
      </c>
      <c r="Y118" s="18">
        <f>IF(OR($W118="",$W118=6),"",WORKDAY($X118,CHOOSE($W118,3,3,2,2,3),Holidays))</f>
        <v/>
      </c>
      <c r="Z118" s="17">
        <f>IF(OR($W118="",$W118=6),"",CHOOSE($W118,"1st Email Follow-up","2nd Email Follow-up","Escalate Local Office","Escalate to CBE","Escalate to Roxanne"))</f>
        <v/>
      </c>
    </row>
    <row r="119" spans="18:26">
      <c r="R119" s="15"/>
      <c r="S119" s="16"/>
      <c r="T119" s="17">
        <f>IF(AND(COUNTA($A119:$K119)=0,$L119=""),"",IF($S119="Paid","PAID",IF($S119="Closed","CLOSED",IF($W119="","",IF($W119=6,"ESCALATED TO ROXANNE",IF(TODAY()&gt;$Y119,"OVERDUE",IF($Y119&lt;=WORKDAY(TODAY(),1,Holidays),"DUE TOMORROW",IF($W119=4,"ESCALATED TO LOCAL OFFICE",IF($W119=5,"ESCALATED TO CBE",IF($X119=TODAY(),"EMAIL SENT","MONITORING"))))))))))</f>
        <v/>
      </c>
      <c r="U119" s="17">
        <f>IF($T119="",IF(AND(COUNTA($A119:$K119)&gt;0,$L119=""),"Awaiting Collection Email time stamp.",""),IF(OR($T119="PAID",$T119="CLOSED"),IF($T119="PAID","Account paid. Action completed.","Account closed. No further action required."),CHOOSE($W119,"Collection Email","1st Email Follow-up","2nd Email Follow-up","Escalation to Local Office","Escalation to CBE","Escalation to Roxanne")&amp;" sent "&amp;TEXT($X119,"dd-mmm")&amp;". "&amp;IF($W119=6,"Final escalation completed.",IF($T119="OVERDUE","Next: "&amp;$Z119&amp;" was due "&amp;TEXT($Y119,"dd-mmm")&amp;" - "&amp;(NETWORKDAYS($Y119,TODAY(),Holidays)-1)&amp;" business day(s) late. Send now.",IF($T119="DUE TOMORROW","Next: "&amp;$Z119&amp;IF($Y119&lt;=TODAY()," is due TODAY ("," is due next business day (")&amp;TEXT($Y119,"dd-mmm")&amp;").","Next: "&amp;$Z119&amp;" due "&amp;TEXT($Y119,"dd-mmm")&amp;" ("&amp;(NETWORKDAYS(TODAY(),$Y119,Holidays)-1)&amp;" business day(s) left).")))))</f>
        <v/>
      </c>
      <c r="V119" s="17">
        <f>IF($W119="","",CHOOSE($W119,"Collection Email","1st Follow-up","2nd Follow-up","Local Office","CBE","Roxanne")&amp;IF($W119=6," - Final"," - Day "&amp;MAX(0,NETWORKDAYS($X119,TODAY(),Holidays)-1)&amp;" of "&amp;CHOOSE($W119,3,3,2,2,3))&amp;" | Total Day "&amp;MAX(0,NETWORKDAYS($L119,TODAY(),Holidays)-1))</f>
        <v/>
      </c>
      <c r="W119" s="17">
        <f>IF($L119="","",COUNT($L119:$Q119))</f>
        <v/>
      </c>
      <c r="X119" s="18">
        <f>IF($W119="","",INT(INDEX($L119:$Q119,$W119)))</f>
        <v/>
      </c>
      <c r="Y119" s="18">
        <f>IF(OR($W119="",$W119=6),"",WORKDAY($X119,CHOOSE($W119,3,3,2,2,3),Holidays))</f>
        <v/>
      </c>
      <c r="Z119" s="17">
        <f>IF(OR($W119="",$W119=6),"",CHOOSE($W119,"1st Email Follow-up","2nd Email Follow-up","Escalate Local Office","Escalate to CBE","Escalate to Roxanne"))</f>
        <v/>
      </c>
    </row>
    <row r="120" spans="18:26">
      <c r="R120" s="15"/>
      <c r="S120" s="16"/>
      <c r="T120" s="17">
        <f>IF(AND(COUNTA($A120:$K120)=0,$L120=""),"",IF($S120="Paid","PAID",IF($S120="Closed","CLOSED",IF($W120="","",IF($W120=6,"ESCALATED TO ROXANNE",IF(TODAY()&gt;$Y120,"OVERDUE",IF($Y120&lt;=WORKDAY(TODAY(),1,Holidays),"DUE TOMORROW",IF($W120=4,"ESCALATED TO LOCAL OFFICE",IF($W120=5,"ESCALATED TO CBE",IF($X120=TODAY(),"EMAIL SENT","MONITORING"))))))))))</f>
        <v/>
      </c>
      <c r="U120" s="17">
        <f>IF($T120="",IF(AND(COUNTA($A120:$K120)&gt;0,$L120=""),"Awaiting Collection Email time stamp.",""),IF(OR($T120="PAID",$T120="CLOSED"),IF($T120="PAID","Account paid. Action completed.","Account closed. No further action required."),CHOOSE($W120,"Collection Email","1st Email Follow-up","2nd Email Follow-up","Escalation to Local Office","Escalation to CBE","Escalation to Roxanne")&amp;" sent "&amp;TEXT($X120,"dd-mmm")&amp;". "&amp;IF($W120=6,"Final escalation completed.",IF($T120="OVERDUE","Next: "&amp;$Z120&amp;" was due "&amp;TEXT($Y120,"dd-mmm")&amp;" - "&amp;(NETWORKDAYS($Y120,TODAY(),Holidays)-1)&amp;" business day(s) late. Send now.",IF($T120="DUE TOMORROW","Next: "&amp;$Z120&amp;IF($Y120&lt;=TODAY()," is due TODAY ("," is due next business day (")&amp;TEXT($Y120,"dd-mmm")&amp;").","Next: "&amp;$Z120&amp;" due "&amp;TEXT($Y120,"dd-mmm")&amp;" ("&amp;(NETWORKDAYS(TODAY(),$Y120,Holidays)-1)&amp;" business day(s) left).")))))</f>
        <v/>
      </c>
      <c r="V120" s="17">
        <f>IF($W120="","",CHOOSE($W120,"Collection Email","1st Follow-up","2nd Follow-up","Local Office","CBE","Roxanne")&amp;IF($W120=6," - Final"," - Day "&amp;MAX(0,NETWORKDAYS($X120,TODAY(),Holidays)-1)&amp;" of "&amp;CHOOSE($W120,3,3,2,2,3))&amp;" | Total Day "&amp;MAX(0,NETWORKDAYS($L120,TODAY(),Holidays)-1))</f>
        <v/>
      </c>
      <c r="W120" s="17">
        <f>IF($L120="","",COUNT($L120:$Q120))</f>
        <v/>
      </c>
      <c r="X120" s="18">
        <f>IF($W120="","",INT(INDEX($L120:$Q120,$W120)))</f>
        <v/>
      </c>
      <c r="Y120" s="18">
        <f>IF(OR($W120="",$W120=6),"",WORKDAY($X120,CHOOSE($W120,3,3,2,2,3),Holidays))</f>
        <v/>
      </c>
      <c r="Z120" s="17">
        <f>IF(OR($W120="",$W120=6),"",CHOOSE($W120,"1st Email Follow-up","2nd Email Follow-up","Escalate Local Office","Escalate to CBE","Escalate to Roxanne"))</f>
        <v/>
      </c>
    </row>
    <row r="121" spans="18:26">
      <c r="R121" s="15"/>
      <c r="S121" s="16"/>
      <c r="T121" s="17">
        <f>IF(AND(COUNTA($A121:$K121)=0,$L121=""),"",IF($S121="Paid","PAID",IF($S121="Closed","CLOSED",IF($W121="","",IF($W121=6,"ESCALATED TO ROXANNE",IF(TODAY()&gt;$Y121,"OVERDUE",IF($Y121&lt;=WORKDAY(TODAY(),1,Holidays),"DUE TOMORROW",IF($W121=4,"ESCALATED TO LOCAL OFFICE",IF($W121=5,"ESCALATED TO CBE",IF($X121=TODAY(),"EMAIL SENT","MONITORING"))))))))))</f>
        <v/>
      </c>
      <c r="U121" s="17">
        <f>IF($T121="",IF(AND(COUNTA($A121:$K121)&gt;0,$L121=""),"Awaiting Collection Email time stamp.",""),IF(OR($T121="PAID",$T121="CLOSED"),IF($T121="PAID","Account paid. Action completed.","Account closed. No further action required."),CHOOSE($W121,"Collection Email","1st Email Follow-up","2nd Email Follow-up","Escalation to Local Office","Escalation to CBE","Escalation to Roxanne")&amp;" sent "&amp;TEXT($X121,"dd-mmm")&amp;". "&amp;IF($W121=6,"Final escalation completed.",IF($T121="OVERDUE","Next: "&amp;$Z121&amp;" was due "&amp;TEXT($Y121,"dd-mmm")&amp;" - "&amp;(NETWORKDAYS($Y121,TODAY(),Holidays)-1)&amp;" business day(s) late. Send now.",IF($T121="DUE TOMORROW","Next: "&amp;$Z121&amp;IF($Y121&lt;=TODAY()," is due TODAY ("," is due next business day (")&amp;TEXT($Y121,"dd-mmm")&amp;").","Next: "&amp;$Z121&amp;" due "&amp;TEXT($Y121,"dd-mmm")&amp;" ("&amp;(NETWORKDAYS(TODAY(),$Y121,Holidays)-1)&amp;" business day(s) left).")))))</f>
        <v/>
      </c>
      <c r="V121" s="17">
        <f>IF($W121="","",CHOOSE($W121,"Collection Email","1st Follow-up","2nd Follow-up","Local Office","CBE","Roxanne")&amp;IF($W121=6," - Final"," - Day "&amp;MAX(0,NETWORKDAYS($X121,TODAY(),Holidays)-1)&amp;" of "&amp;CHOOSE($W121,3,3,2,2,3))&amp;" | Total Day "&amp;MAX(0,NETWORKDAYS($L121,TODAY(),Holidays)-1))</f>
        <v/>
      </c>
      <c r="W121" s="17">
        <f>IF($L121="","",COUNT($L121:$Q121))</f>
        <v/>
      </c>
      <c r="X121" s="18">
        <f>IF($W121="","",INT(INDEX($L121:$Q121,$W121)))</f>
        <v/>
      </c>
      <c r="Y121" s="18">
        <f>IF(OR($W121="",$W121=6),"",WORKDAY($X121,CHOOSE($W121,3,3,2,2,3),Holidays))</f>
        <v/>
      </c>
      <c r="Z121" s="17">
        <f>IF(OR($W121="",$W121=6),"",CHOOSE($W121,"1st Email Follow-up","2nd Email Follow-up","Escalate Local Office","Escalate to CBE","Escalate to Roxanne"))</f>
        <v/>
      </c>
    </row>
    <row r="122" spans="18:26">
      <c r="R122" s="15"/>
      <c r="S122" s="16"/>
      <c r="T122" s="17">
        <f>IF(AND(COUNTA($A122:$K122)=0,$L122=""),"",IF($S122="Paid","PAID",IF($S122="Closed","CLOSED",IF($W122="","",IF($W122=6,"ESCALATED TO ROXANNE",IF(TODAY()&gt;$Y122,"OVERDUE",IF($Y122&lt;=WORKDAY(TODAY(),1,Holidays),"DUE TOMORROW",IF($W122=4,"ESCALATED TO LOCAL OFFICE",IF($W122=5,"ESCALATED TO CBE",IF($X122=TODAY(),"EMAIL SENT","MONITORING"))))))))))</f>
        <v/>
      </c>
      <c r="U122" s="17">
        <f>IF($T122="",IF(AND(COUNTA($A122:$K122)&gt;0,$L122=""),"Awaiting Collection Email time stamp.",""),IF(OR($T122="PAID",$T122="CLOSED"),IF($T122="PAID","Account paid. Action completed.","Account closed. No further action required."),CHOOSE($W122,"Collection Email","1st Email Follow-up","2nd Email Follow-up","Escalation to Local Office","Escalation to CBE","Escalation to Roxanne")&amp;" sent "&amp;TEXT($X122,"dd-mmm")&amp;". "&amp;IF($W122=6,"Final escalation completed.",IF($T122="OVERDUE","Next: "&amp;$Z122&amp;" was due "&amp;TEXT($Y122,"dd-mmm")&amp;" - "&amp;(NETWORKDAYS($Y122,TODAY(),Holidays)-1)&amp;" business day(s) late. Send now.",IF($T122="DUE TOMORROW","Next: "&amp;$Z122&amp;IF($Y122&lt;=TODAY()," is due TODAY ("," is due next business day (")&amp;TEXT($Y122,"dd-mmm")&amp;").","Next: "&amp;$Z122&amp;" due "&amp;TEXT($Y122,"dd-mmm")&amp;" ("&amp;(NETWORKDAYS(TODAY(),$Y122,Holidays)-1)&amp;" business day(s) left).")))))</f>
        <v/>
      </c>
      <c r="V122" s="17">
        <f>IF($W122="","",CHOOSE($W122,"Collection Email","1st Follow-up","2nd Follow-up","Local Office","CBE","Roxanne")&amp;IF($W122=6," - Final"," - Day "&amp;MAX(0,NETWORKDAYS($X122,TODAY(),Holidays)-1)&amp;" of "&amp;CHOOSE($W122,3,3,2,2,3))&amp;" | Total Day "&amp;MAX(0,NETWORKDAYS($L122,TODAY(),Holidays)-1))</f>
        <v/>
      </c>
      <c r="W122" s="17">
        <f>IF($L122="","",COUNT($L122:$Q122))</f>
        <v/>
      </c>
      <c r="X122" s="18">
        <f>IF($W122="","",INT(INDEX($L122:$Q122,$W122)))</f>
        <v/>
      </c>
      <c r="Y122" s="18">
        <f>IF(OR($W122="",$W122=6),"",WORKDAY($X122,CHOOSE($W122,3,3,2,2,3),Holidays))</f>
        <v/>
      </c>
      <c r="Z122" s="17">
        <f>IF(OR($W122="",$W122=6),"",CHOOSE($W122,"1st Email Follow-up","2nd Email Follow-up","Escalate Local Office","Escalate to CBE","Escalate to Roxanne"))</f>
        <v/>
      </c>
    </row>
    <row r="123" spans="18:26">
      <c r="R123" s="15"/>
      <c r="S123" s="16"/>
      <c r="T123" s="17">
        <f>IF(AND(COUNTA($A123:$K123)=0,$L123=""),"",IF($S123="Paid","PAID",IF($S123="Closed","CLOSED",IF($W123="","",IF($W123=6,"ESCALATED TO ROXANNE",IF(TODAY()&gt;$Y123,"OVERDUE",IF($Y123&lt;=WORKDAY(TODAY(),1,Holidays),"DUE TOMORROW",IF($W123=4,"ESCALATED TO LOCAL OFFICE",IF($W123=5,"ESCALATED TO CBE",IF($X123=TODAY(),"EMAIL SENT","MONITORING"))))))))))</f>
        <v/>
      </c>
      <c r="U123" s="17">
        <f>IF($T123="",IF(AND(COUNTA($A123:$K123)&gt;0,$L123=""),"Awaiting Collection Email time stamp.",""),IF(OR($T123="PAID",$T123="CLOSED"),IF($T123="PAID","Account paid. Action completed.","Account closed. No further action required."),CHOOSE($W123,"Collection Email","1st Email Follow-up","2nd Email Follow-up","Escalation to Local Office","Escalation to CBE","Escalation to Roxanne")&amp;" sent "&amp;TEXT($X123,"dd-mmm")&amp;". "&amp;IF($W123=6,"Final escalation completed.",IF($T123="OVERDUE","Next: "&amp;$Z123&amp;" was due "&amp;TEXT($Y123,"dd-mmm")&amp;" - "&amp;(NETWORKDAYS($Y123,TODAY(),Holidays)-1)&amp;" business day(s) late. Send now.",IF($T123="DUE TOMORROW","Next: "&amp;$Z123&amp;IF($Y123&lt;=TODAY()," is due TODAY ("," is due next business day (")&amp;TEXT($Y123,"dd-mmm")&amp;").","Next: "&amp;$Z123&amp;" due "&amp;TEXT($Y123,"dd-mmm")&amp;" ("&amp;(NETWORKDAYS(TODAY(),$Y123,Holidays)-1)&amp;" business day(s) left).")))))</f>
        <v/>
      </c>
      <c r="V123" s="17">
        <f>IF($W123="","",CHOOSE($W123,"Collection Email","1st Follow-up","2nd Follow-up","Local Office","CBE","Roxanne")&amp;IF($W123=6," - Final"," - Day "&amp;MAX(0,NETWORKDAYS($X123,TODAY(),Holidays)-1)&amp;" of "&amp;CHOOSE($W123,3,3,2,2,3))&amp;" | Total Day "&amp;MAX(0,NETWORKDAYS($L123,TODAY(),Holidays)-1))</f>
        <v/>
      </c>
      <c r="W123" s="17">
        <f>IF($L123="","",COUNT($L123:$Q123))</f>
        <v/>
      </c>
      <c r="X123" s="18">
        <f>IF($W123="","",INT(INDEX($L123:$Q123,$W123)))</f>
        <v/>
      </c>
      <c r="Y123" s="18">
        <f>IF(OR($W123="",$W123=6),"",WORKDAY($X123,CHOOSE($W123,3,3,2,2,3),Holidays))</f>
        <v/>
      </c>
      <c r="Z123" s="17">
        <f>IF(OR($W123="",$W123=6),"",CHOOSE($W123,"1st Email Follow-up","2nd Email Follow-up","Escalate Local Office","Escalate to CBE","Escalate to Roxanne"))</f>
        <v/>
      </c>
    </row>
    <row r="124" spans="18:26">
      <c r="R124" s="15"/>
      <c r="S124" s="16"/>
      <c r="T124" s="17">
        <f>IF(AND(COUNTA($A124:$K124)=0,$L124=""),"",IF($S124="Paid","PAID",IF($S124="Closed","CLOSED",IF($W124="","",IF($W124=6,"ESCALATED TO ROXANNE",IF(TODAY()&gt;$Y124,"OVERDUE",IF($Y124&lt;=WORKDAY(TODAY(),1,Holidays),"DUE TOMORROW",IF($W124=4,"ESCALATED TO LOCAL OFFICE",IF($W124=5,"ESCALATED TO CBE",IF($X124=TODAY(),"EMAIL SENT","MONITORING"))))))))))</f>
        <v/>
      </c>
      <c r="U124" s="17">
        <f>IF($T124="",IF(AND(COUNTA($A124:$K124)&gt;0,$L124=""),"Awaiting Collection Email time stamp.",""),IF(OR($T124="PAID",$T124="CLOSED"),IF($T124="PAID","Account paid. Action completed.","Account closed. No further action required."),CHOOSE($W124,"Collection Email","1st Email Follow-up","2nd Email Follow-up","Escalation to Local Office","Escalation to CBE","Escalation to Roxanne")&amp;" sent "&amp;TEXT($X124,"dd-mmm")&amp;". "&amp;IF($W124=6,"Final escalation completed.",IF($T124="OVERDUE","Next: "&amp;$Z124&amp;" was due "&amp;TEXT($Y124,"dd-mmm")&amp;" - "&amp;(NETWORKDAYS($Y124,TODAY(),Holidays)-1)&amp;" business day(s) late. Send now.",IF($T124="DUE TOMORROW","Next: "&amp;$Z124&amp;IF($Y124&lt;=TODAY()," is due TODAY ("," is due next business day (")&amp;TEXT($Y124,"dd-mmm")&amp;").","Next: "&amp;$Z124&amp;" due "&amp;TEXT($Y124,"dd-mmm")&amp;" ("&amp;(NETWORKDAYS(TODAY(),$Y124,Holidays)-1)&amp;" business day(s) left).")))))</f>
        <v/>
      </c>
      <c r="V124" s="17">
        <f>IF($W124="","",CHOOSE($W124,"Collection Email","1st Follow-up","2nd Follow-up","Local Office","CBE","Roxanne")&amp;IF($W124=6," - Final"," - Day "&amp;MAX(0,NETWORKDAYS($X124,TODAY(),Holidays)-1)&amp;" of "&amp;CHOOSE($W124,3,3,2,2,3))&amp;" | Total Day "&amp;MAX(0,NETWORKDAYS($L124,TODAY(),Holidays)-1))</f>
        <v/>
      </c>
      <c r="W124" s="17">
        <f>IF($L124="","",COUNT($L124:$Q124))</f>
        <v/>
      </c>
      <c r="X124" s="18">
        <f>IF($W124="","",INT(INDEX($L124:$Q124,$W124)))</f>
        <v/>
      </c>
      <c r="Y124" s="18">
        <f>IF(OR($W124="",$W124=6),"",WORKDAY($X124,CHOOSE($W124,3,3,2,2,3),Holidays))</f>
        <v/>
      </c>
      <c r="Z124" s="17">
        <f>IF(OR($W124="",$W124=6),"",CHOOSE($W124,"1st Email Follow-up","2nd Email Follow-up","Escalate Local Office","Escalate to CBE","Escalate to Roxanne"))</f>
        <v/>
      </c>
    </row>
    <row r="125" spans="18:26">
      <c r="R125" s="15"/>
      <c r="S125" s="16"/>
      <c r="T125" s="17">
        <f>IF(AND(COUNTA($A125:$K125)=0,$L125=""),"",IF($S125="Paid","PAID",IF($S125="Closed","CLOSED",IF($W125="","",IF($W125=6,"ESCALATED TO ROXANNE",IF(TODAY()&gt;$Y125,"OVERDUE",IF($Y125&lt;=WORKDAY(TODAY(),1,Holidays),"DUE TOMORROW",IF($W125=4,"ESCALATED TO LOCAL OFFICE",IF($W125=5,"ESCALATED TO CBE",IF($X125=TODAY(),"EMAIL SENT","MONITORING"))))))))))</f>
        <v/>
      </c>
      <c r="U125" s="17">
        <f>IF($T125="",IF(AND(COUNTA($A125:$K125)&gt;0,$L125=""),"Awaiting Collection Email time stamp.",""),IF(OR($T125="PAID",$T125="CLOSED"),IF($T125="PAID","Account paid. Action completed.","Account closed. No further action required."),CHOOSE($W125,"Collection Email","1st Email Follow-up","2nd Email Follow-up","Escalation to Local Office","Escalation to CBE","Escalation to Roxanne")&amp;" sent "&amp;TEXT($X125,"dd-mmm")&amp;". "&amp;IF($W125=6,"Final escalation completed.",IF($T125="OVERDUE","Next: "&amp;$Z125&amp;" was due "&amp;TEXT($Y125,"dd-mmm")&amp;" - "&amp;(NETWORKDAYS($Y125,TODAY(),Holidays)-1)&amp;" business day(s) late. Send now.",IF($T125="DUE TOMORROW","Next: "&amp;$Z125&amp;IF($Y125&lt;=TODAY()," is due TODAY ("," is due next business day (")&amp;TEXT($Y125,"dd-mmm")&amp;").","Next: "&amp;$Z125&amp;" due "&amp;TEXT($Y125,"dd-mmm")&amp;" ("&amp;(NETWORKDAYS(TODAY(),$Y125,Holidays)-1)&amp;" business day(s) left).")))))</f>
        <v/>
      </c>
      <c r="V125" s="17">
        <f>IF($W125="","",CHOOSE($W125,"Collection Email","1st Follow-up","2nd Follow-up","Local Office","CBE","Roxanne")&amp;IF($W125=6," - Final"," - Day "&amp;MAX(0,NETWORKDAYS($X125,TODAY(),Holidays)-1)&amp;" of "&amp;CHOOSE($W125,3,3,2,2,3))&amp;" | Total Day "&amp;MAX(0,NETWORKDAYS($L125,TODAY(),Holidays)-1))</f>
        <v/>
      </c>
      <c r="W125" s="17">
        <f>IF($L125="","",COUNT($L125:$Q125))</f>
        <v/>
      </c>
      <c r="X125" s="18">
        <f>IF($W125="","",INT(INDEX($L125:$Q125,$W125)))</f>
        <v/>
      </c>
      <c r="Y125" s="18">
        <f>IF(OR($W125="",$W125=6),"",WORKDAY($X125,CHOOSE($W125,3,3,2,2,3),Holidays))</f>
        <v/>
      </c>
      <c r="Z125" s="17">
        <f>IF(OR($W125="",$W125=6),"",CHOOSE($W125,"1st Email Follow-up","2nd Email Follow-up","Escalate Local Office","Escalate to CBE","Escalate to Roxanne"))</f>
        <v/>
      </c>
    </row>
    <row r="126" spans="18:26">
      <c r="R126" s="15"/>
      <c r="S126" s="16"/>
      <c r="T126" s="17">
        <f>IF(AND(COUNTA($A126:$K126)=0,$L126=""),"",IF($S126="Paid","PAID",IF($S126="Closed","CLOSED",IF($W126="","",IF($W126=6,"ESCALATED TO ROXANNE",IF(TODAY()&gt;$Y126,"OVERDUE",IF($Y126&lt;=WORKDAY(TODAY(),1,Holidays),"DUE TOMORROW",IF($W126=4,"ESCALATED TO LOCAL OFFICE",IF($W126=5,"ESCALATED TO CBE",IF($X126=TODAY(),"EMAIL SENT","MONITORING"))))))))))</f>
        <v/>
      </c>
      <c r="U126" s="17">
        <f>IF($T126="",IF(AND(COUNTA($A126:$K126)&gt;0,$L126=""),"Awaiting Collection Email time stamp.",""),IF(OR($T126="PAID",$T126="CLOSED"),IF($T126="PAID","Account paid. Action completed.","Account closed. No further action required."),CHOOSE($W126,"Collection Email","1st Email Follow-up","2nd Email Follow-up","Escalation to Local Office","Escalation to CBE","Escalation to Roxanne")&amp;" sent "&amp;TEXT($X126,"dd-mmm")&amp;". "&amp;IF($W126=6,"Final escalation completed.",IF($T126="OVERDUE","Next: "&amp;$Z126&amp;" was due "&amp;TEXT($Y126,"dd-mmm")&amp;" - "&amp;(NETWORKDAYS($Y126,TODAY(),Holidays)-1)&amp;" business day(s) late. Send now.",IF($T126="DUE TOMORROW","Next: "&amp;$Z126&amp;IF($Y126&lt;=TODAY()," is due TODAY ("," is due next business day (")&amp;TEXT($Y126,"dd-mmm")&amp;").","Next: "&amp;$Z126&amp;" due "&amp;TEXT($Y126,"dd-mmm")&amp;" ("&amp;(NETWORKDAYS(TODAY(),$Y126,Holidays)-1)&amp;" business day(s) left).")))))</f>
        <v/>
      </c>
      <c r="V126" s="17">
        <f>IF($W126="","",CHOOSE($W126,"Collection Email","1st Follow-up","2nd Follow-up","Local Office","CBE","Roxanne")&amp;IF($W126=6," - Final"," - Day "&amp;MAX(0,NETWORKDAYS($X126,TODAY(),Holidays)-1)&amp;" of "&amp;CHOOSE($W126,3,3,2,2,3))&amp;" | Total Day "&amp;MAX(0,NETWORKDAYS($L126,TODAY(),Holidays)-1))</f>
        <v/>
      </c>
      <c r="W126" s="17">
        <f>IF($L126="","",COUNT($L126:$Q126))</f>
        <v/>
      </c>
      <c r="X126" s="18">
        <f>IF($W126="","",INT(INDEX($L126:$Q126,$W126)))</f>
        <v/>
      </c>
      <c r="Y126" s="18">
        <f>IF(OR($W126="",$W126=6),"",WORKDAY($X126,CHOOSE($W126,3,3,2,2,3),Holidays))</f>
        <v/>
      </c>
      <c r="Z126" s="17">
        <f>IF(OR($W126="",$W126=6),"",CHOOSE($W126,"1st Email Follow-up","2nd Email Follow-up","Escalate Local Office","Escalate to CBE","Escalate to Roxanne"))</f>
        <v/>
      </c>
    </row>
    <row r="127" spans="18:26">
      <c r="R127" s="15"/>
      <c r="S127" s="16"/>
      <c r="T127" s="17">
        <f>IF(AND(COUNTA($A127:$K127)=0,$L127=""),"",IF($S127="Paid","PAID",IF($S127="Closed","CLOSED",IF($W127="","",IF($W127=6,"ESCALATED TO ROXANNE",IF(TODAY()&gt;$Y127,"OVERDUE",IF($Y127&lt;=WORKDAY(TODAY(),1,Holidays),"DUE TOMORROW",IF($W127=4,"ESCALATED TO LOCAL OFFICE",IF($W127=5,"ESCALATED TO CBE",IF($X127=TODAY(),"EMAIL SENT","MONITORING"))))))))))</f>
        <v/>
      </c>
      <c r="U127" s="17">
        <f>IF($T127="",IF(AND(COUNTA($A127:$K127)&gt;0,$L127=""),"Awaiting Collection Email time stamp.",""),IF(OR($T127="PAID",$T127="CLOSED"),IF($T127="PAID","Account paid. Action completed.","Account closed. No further action required."),CHOOSE($W127,"Collection Email","1st Email Follow-up","2nd Email Follow-up","Escalation to Local Office","Escalation to CBE","Escalation to Roxanne")&amp;" sent "&amp;TEXT($X127,"dd-mmm")&amp;". "&amp;IF($W127=6,"Final escalation completed.",IF($T127="OVERDUE","Next: "&amp;$Z127&amp;" was due "&amp;TEXT($Y127,"dd-mmm")&amp;" - "&amp;(NETWORKDAYS($Y127,TODAY(),Holidays)-1)&amp;" business day(s) late. Send now.",IF($T127="DUE TOMORROW","Next: "&amp;$Z127&amp;IF($Y127&lt;=TODAY()," is due TODAY ("," is due next business day (")&amp;TEXT($Y127,"dd-mmm")&amp;").","Next: "&amp;$Z127&amp;" due "&amp;TEXT($Y127,"dd-mmm")&amp;" ("&amp;(NETWORKDAYS(TODAY(),$Y127,Holidays)-1)&amp;" business day(s) left).")))))</f>
        <v/>
      </c>
      <c r="V127" s="17">
        <f>IF($W127="","",CHOOSE($W127,"Collection Email","1st Follow-up","2nd Follow-up","Local Office","CBE","Roxanne")&amp;IF($W127=6," - Final"," - Day "&amp;MAX(0,NETWORKDAYS($X127,TODAY(),Holidays)-1)&amp;" of "&amp;CHOOSE($W127,3,3,2,2,3))&amp;" | Total Day "&amp;MAX(0,NETWORKDAYS($L127,TODAY(),Holidays)-1))</f>
        <v/>
      </c>
      <c r="W127" s="17">
        <f>IF($L127="","",COUNT($L127:$Q127))</f>
        <v/>
      </c>
      <c r="X127" s="18">
        <f>IF($W127="","",INT(INDEX($L127:$Q127,$W127)))</f>
        <v/>
      </c>
      <c r="Y127" s="18">
        <f>IF(OR($W127="",$W127=6),"",WORKDAY($X127,CHOOSE($W127,3,3,2,2,3),Holidays))</f>
        <v/>
      </c>
      <c r="Z127" s="17">
        <f>IF(OR($W127="",$W127=6),"",CHOOSE($W127,"1st Email Follow-up","2nd Email Follow-up","Escalate Local Office","Escalate to CBE","Escalate to Roxanne"))</f>
        <v/>
      </c>
    </row>
    <row r="128" spans="18:26">
      <c r="R128" s="15"/>
      <c r="S128" s="16"/>
      <c r="T128" s="17">
        <f>IF(AND(COUNTA($A128:$K128)=0,$L128=""),"",IF($S128="Paid","PAID",IF($S128="Closed","CLOSED",IF($W128="","",IF($W128=6,"ESCALATED TO ROXANNE",IF(TODAY()&gt;$Y128,"OVERDUE",IF($Y128&lt;=WORKDAY(TODAY(),1,Holidays),"DUE TOMORROW",IF($W128=4,"ESCALATED TO LOCAL OFFICE",IF($W128=5,"ESCALATED TO CBE",IF($X128=TODAY(),"EMAIL SENT","MONITORING"))))))))))</f>
        <v/>
      </c>
      <c r="U128" s="17">
        <f>IF($T128="",IF(AND(COUNTA($A128:$K128)&gt;0,$L128=""),"Awaiting Collection Email time stamp.",""),IF(OR($T128="PAID",$T128="CLOSED"),IF($T128="PAID","Account paid. Action completed.","Account closed. No further action required."),CHOOSE($W128,"Collection Email","1st Email Follow-up","2nd Email Follow-up","Escalation to Local Office","Escalation to CBE","Escalation to Roxanne")&amp;" sent "&amp;TEXT($X128,"dd-mmm")&amp;". "&amp;IF($W128=6,"Final escalation completed.",IF($T128="OVERDUE","Next: "&amp;$Z128&amp;" was due "&amp;TEXT($Y128,"dd-mmm")&amp;" - "&amp;(NETWORKDAYS($Y128,TODAY(),Holidays)-1)&amp;" business day(s) late. Send now.",IF($T128="DUE TOMORROW","Next: "&amp;$Z128&amp;IF($Y128&lt;=TODAY()," is due TODAY ("," is due next business day (")&amp;TEXT($Y128,"dd-mmm")&amp;").","Next: "&amp;$Z128&amp;" due "&amp;TEXT($Y128,"dd-mmm")&amp;" ("&amp;(NETWORKDAYS(TODAY(),$Y128,Holidays)-1)&amp;" business day(s) left).")))))</f>
        <v/>
      </c>
      <c r="V128" s="17">
        <f>IF($W128="","",CHOOSE($W128,"Collection Email","1st Follow-up","2nd Follow-up","Local Office","CBE","Roxanne")&amp;IF($W128=6," - Final"," - Day "&amp;MAX(0,NETWORKDAYS($X128,TODAY(),Holidays)-1)&amp;" of "&amp;CHOOSE($W128,3,3,2,2,3))&amp;" | Total Day "&amp;MAX(0,NETWORKDAYS($L128,TODAY(),Holidays)-1))</f>
        <v/>
      </c>
      <c r="W128" s="17">
        <f>IF($L128="","",COUNT($L128:$Q128))</f>
        <v/>
      </c>
      <c r="X128" s="18">
        <f>IF($W128="","",INT(INDEX($L128:$Q128,$W128)))</f>
        <v/>
      </c>
      <c r="Y128" s="18">
        <f>IF(OR($W128="",$W128=6),"",WORKDAY($X128,CHOOSE($W128,3,3,2,2,3),Holidays))</f>
        <v/>
      </c>
      <c r="Z128" s="17">
        <f>IF(OR($W128="",$W128=6),"",CHOOSE($W128,"1st Email Follow-up","2nd Email Follow-up","Escalate Local Office","Escalate to CBE","Escalate to Roxanne"))</f>
        <v/>
      </c>
    </row>
    <row r="129" spans="18:26">
      <c r="R129" s="15"/>
      <c r="S129" s="16"/>
      <c r="T129" s="17">
        <f>IF(AND(COUNTA($A129:$K129)=0,$L129=""),"",IF($S129="Paid","PAID",IF($S129="Closed","CLOSED",IF($W129="","",IF($W129=6,"ESCALATED TO ROXANNE",IF(TODAY()&gt;$Y129,"OVERDUE",IF($Y129&lt;=WORKDAY(TODAY(),1,Holidays),"DUE TOMORROW",IF($W129=4,"ESCALATED TO LOCAL OFFICE",IF($W129=5,"ESCALATED TO CBE",IF($X129=TODAY(),"EMAIL SENT","MONITORING"))))))))))</f>
        <v/>
      </c>
      <c r="U129" s="17">
        <f>IF($T129="",IF(AND(COUNTA($A129:$K129)&gt;0,$L129=""),"Awaiting Collection Email time stamp.",""),IF(OR($T129="PAID",$T129="CLOSED"),IF($T129="PAID","Account paid. Action completed.","Account closed. No further action required."),CHOOSE($W129,"Collection Email","1st Email Follow-up","2nd Email Follow-up","Escalation to Local Office","Escalation to CBE","Escalation to Roxanne")&amp;" sent "&amp;TEXT($X129,"dd-mmm")&amp;". "&amp;IF($W129=6,"Final escalation completed.",IF($T129="OVERDUE","Next: "&amp;$Z129&amp;" was due "&amp;TEXT($Y129,"dd-mmm")&amp;" - "&amp;(NETWORKDAYS($Y129,TODAY(),Holidays)-1)&amp;" business day(s) late. Send now.",IF($T129="DUE TOMORROW","Next: "&amp;$Z129&amp;IF($Y129&lt;=TODAY()," is due TODAY ("," is due next business day (")&amp;TEXT($Y129,"dd-mmm")&amp;").","Next: "&amp;$Z129&amp;" due "&amp;TEXT($Y129,"dd-mmm")&amp;" ("&amp;(NETWORKDAYS(TODAY(),$Y129,Holidays)-1)&amp;" business day(s) left).")))))</f>
        <v/>
      </c>
      <c r="V129" s="17">
        <f>IF($W129="","",CHOOSE($W129,"Collection Email","1st Follow-up","2nd Follow-up","Local Office","CBE","Roxanne")&amp;IF($W129=6," - Final"," - Day "&amp;MAX(0,NETWORKDAYS($X129,TODAY(),Holidays)-1)&amp;" of "&amp;CHOOSE($W129,3,3,2,2,3))&amp;" | Total Day "&amp;MAX(0,NETWORKDAYS($L129,TODAY(),Holidays)-1))</f>
        <v/>
      </c>
      <c r="W129" s="17">
        <f>IF($L129="","",COUNT($L129:$Q129))</f>
        <v/>
      </c>
      <c r="X129" s="18">
        <f>IF($W129="","",INT(INDEX($L129:$Q129,$W129)))</f>
        <v/>
      </c>
      <c r="Y129" s="18">
        <f>IF(OR($W129="",$W129=6),"",WORKDAY($X129,CHOOSE($W129,3,3,2,2,3),Holidays))</f>
        <v/>
      </c>
      <c r="Z129" s="17">
        <f>IF(OR($W129="",$W129=6),"",CHOOSE($W129,"1st Email Follow-up","2nd Email Follow-up","Escalate Local Office","Escalate to CBE","Escalate to Roxanne"))</f>
        <v/>
      </c>
    </row>
    <row r="130" spans="18:26">
      <c r="R130" s="15"/>
      <c r="S130" s="16"/>
      <c r="T130" s="17">
        <f>IF(AND(COUNTA($A130:$K130)=0,$L130=""),"",IF($S130="Paid","PAID",IF($S130="Closed","CLOSED",IF($W130="","",IF($W130=6,"ESCALATED TO ROXANNE",IF(TODAY()&gt;$Y130,"OVERDUE",IF($Y130&lt;=WORKDAY(TODAY(),1,Holidays),"DUE TOMORROW",IF($W130=4,"ESCALATED TO LOCAL OFFICE",IF($W130=5,"ESCALATED TO CBE",IF($X130=TODAY(),"EMAIL SENT","MONITORING"))))))))))</f>
        <v/>
      </c>
      <c r="U130" s="17">
        <f>IF($T130="",IF(AND(COUNTA($A130:$K130)&gt;0,$L130=""),"Awaiting Collection Email time stamp.",""),IF(OR($T130="PAID",$T130="CLOSED"),IF($T130="PAID","Account paid. Action completed.","Account closed. No further action required."),CHOOSE($W130,"Collection Email","1st Email Follow-up","2nd Email Follow-up","Escalation to Local Office","Escalation to CBE","Escalation to Roxanne")&amp;" sent "&amp;TEXT($X130,"dd-mmm")&amp;". "&amp;IF($W130=6,"Final escalation completed.",IF($T130="OVERDUE","Next: "&amp;$Z130&amp;" was due "&amp;TEXT($Y130,"dd-mmm")&amp;" - "&amp;(NETWORKDAYS($Y130,TODAY(),Holidays)-1)&amp;" business day(s) late. Send now.",IF($T130="DUE TOMORROW","Next: "&amp;$Z130&amp;IF($Y130&lt;=TODAY()," is due TODAY ("," is due next business day (")&amp;TEXT($Y130,"dd-mmm")&amp;").","Next: "&amp;$Z130&amp;" due "&amp;TEXT($Y130,"dd-mmm")&amp;" ("&amp;(NETWORKDAYS(TODAY(),$Y130,Holidays)-1)&amp;" business day(s) left).")))))</f>
        <v/>
      </c>
      <c r="V130" s="17">
        <f>IF($W130="","",CHOOSE($W130,"Collection Email","1st Follow-up","2nd Follow-up","Local Office","CBE","Roxanne")&amp;IF($W130=6," - Final"," - Day "&amp;MAX(0,NETWORKDAYS($X130,TODAY(),Holidays)-1)&amp;" of "&amp;CHOOSE($W130,3,3,2,2,3))&amp;" | Total Day "&amp;MAX(0,NETWORKDAYS($L130,TODAY(),Holidays)-1))</f>
        <v/>
      </c>
      <c r="W130" s="17">
        <f>IF($L130="","",COUNT($L130:$Q130))</f>
        <v/>
      </c>
      <c r="X130" s="18">
        <f>IF($W130="","",INT(INDEX($L130:$Q130,$W130)))</f>
        <v/>
      </c>
      <c r="Y130" s="18">
        <f>IF(OR($W130="",$W130=6),"",WORKDAY($X130,CHOOSE($W130,3,3,2,2,3),Holidays))</f>
        <v/>
      </c>
      <c r="Z130" s="17">
        <f>IF(OR($W130="",$W130=6),"",CHOOSE($W130,"1st Email Follow-up","2nd Email Follow-up","Escalate Local Office","Escalate to CBE","Escalate to Roxanne"))</f>
        <v/>
      </c>
    </row>
    <row r="131" spans="18:26">
      <c r="R131" s="15"/>
      <c r="S131" s="16"/>
      <c r="T131" s="17">
        <f>IF(AND(COUNTA($A131:$K131)=0,$L131=""),"",IF($S131="Paid","PAID",IF($S131="Closed","CLOSED",IF($W131="","",IF($W131=6,"ESCALATED TO ROXANNE",IF(TODAY()&gt;$Y131,"OVERDUE",IF($Y131&lt;=WORKDAY(TODAY(),1,Holidays),"DUE TOMORROW",IF($W131=4,"ESCALATED TO LOCAL OFFICE",IF($W131=5,"ESCALATED TO CBE",IF($X131=TODAY(),"EMAIL SENT","MONITORING"))))))))))</f>
        <v/>
      </c>
      <c r="U131" s="17">
        <f>IF($T131="",IF(AND(COUNTA($A131:$K131)&gt;0,$L131=""),"Awaiting Collection Email time stamp.",""),IF(OR($T131="PAID",$T131="CLOSED"),IF($T131="PAID","Account paid. Action completed.","Account closed. No further action required."),CHOOSE($W131,"Collection Email","1st Email Follow-up","2nd Email Follow-up","Escalation to Local Office","Escalation to CBE","Escalation to Roxanne")&amp;" sent "&amp;TEXT($X131,"dd-mmm")&amp;". "&amp;IF($W131=6,"Final escalation completed.",IF($T131="OVERDUE","Next: "&amp;$Z131&amp;" was due "&amp;TEXT($Y131,"dd-mmm")&amp;" - "&amp;(NETWORKDAYS($Y131,TODAY(),Holidays)-1)&amp;" business day(s) late. Send now.",IF($T131="DUE TOMORROW","Next: "&amp;$Z131&amp;IF($Y131&lt;=TODAY()," is due TODAY ("," is due next business day (")&amp;TEXT($Y131,"dd-mmm")&amp;").","Next: "&amp;$Z131&amp;" due "&amp;TEXT($Y131,"dd-mmm")&amp;" ("&amp;(NETWORKDAYS(TODAY(),$Y131,Holidays)-1)&amp;" business day(s) left).")))))</f>
        <v/>
      </c>
      <c r="V131" s="17">
        <f>IF($W131="","",CHOOSE($W131,"Collection Email","1st Follow-up","2nd Follow-up","Local Office","CBE","Roxanne")&amp;IF($W131=6," - Final"," - Day "&amp;MAX(0,NETWORKDAYS($X131,TODAY(),Holidays)-1)&amp;" of "&amp;CHOOSE($W131,3,3,2,2,3))&amp;" | Total Day "&amp;MAX(0,NETWORKDAYS($L131,TODAY(),Holidays)-1))</f>
        <v/>
      </c>
      <c r="W131" s="17">
        <f>IF($L131="","",COUNT($L131:$Q131))</f>
        <v/>
      </c>
      <c r="X131" s="18">
        <f>IF($W131="","",INT(INDEX($L131:$Q131,$W131)))</f>
        <v/>
      </c>
      <c r="Y131" s="18">
        <f>IF(OR($W131="",$W131=6),"",WORKDAY($X131,CHOOSE($W131,3,3,2,2,3),Holidays))</f>
        <v/>
      </c>
      <c r="Z131" s="17">
        <f>IF(OR($W131="",$W131=6),"",CHOOSE($W131,"1st Email Follow-up","2nd Email Follow-up","Escalate Local Office","Escalate to CBE","Escalate to Roxanne"))</f>
        <v/>
      </c>
    </row>
    <row r="132" spans="18:26">
      <c r="R132" s="15"/>
      <c r="S132" s="16"/>
      <c r="T132" s="17">
        <f>IF(AND(COUNTA($A132:$K132)=0,$L132=""),"",IF($S132="Paid","PAID",IF($S132="Closed","CLOSED",IF($W132="","",IF($W132=6,"ESCALATED TO ROXANNE",IF(TODAY()&gt;$Y132,"OVERDUE",IF($Y132&lt;=WORKDAY(TODAY(),1,Holidays),"DUE TOMORROW",IF($W132=4,"ESCALATED TO LOCAL OFFICE",IF($W132=5,"ESCALATED TO CBE",IF($X132=TODAY(),"EMAIL SENT","MONITORING"))))))))))</f>
        <v/>
      </c>
      <c r="U132" s="17">
        <f>IF($T132="",IF(AND(COUNTA($A132:$K132)&gt;0,$L132=""),"Awaiting Collection Email time stamp.",""),IF(OR($T132="PAID",$T132="CLOSED"),IF($T132="PAID","Account paid. Action completed.","Account closed. No further action required."),CHOOSE($W132,"Collection Email","1st Email Follow-up","2nd Email Follow-up","Escalation to Local Office","Escalation to CBE","Escalation to Roxanne")&amp;" sent "&amp;TEXT($X132,"dd-mmm")&amp;". "&amp;IF($W132=6,"Final escalation completed.",IF($T132="OVERDUE","Next: "&amp;$Z132&amp;" was due "&amp;TEXT($Y132,"dd-mmm")&amp;" - "&amp;(NETWORKDAYS($Y132,TODAY(),Holidays)-1)&amp;" business day(s) late. Send now.",IF($T132="DUE TOMORROW","Next: "&amp;$Z132&amp;IF($Y132&lt;=TODAY()," is due TODAY ("," is due next business day (")&amp;TEXT($Y132,"dd-mmm")&amp;").","Next: "&amp;$Z132&amp;" due "&amp;TEXT($Y132,"dd-mmm")&amp;" ("&amp;(NETWORKDAYS(TODAY(),$Y132,Holidays)-1)&amp;" business day(s) left).")))))</f>
        <v/>
      </c>
      <c r="V132" s="17">
        <f>IF($W132="","",CHOOSE($W132,"Collection Email","1st Follow-up","2nd Follow-up","Local Office","CBE","Roxanne")&amp;IF($W132=6," - Final"," - Day "&amp;MAX(0,NETWORKDAYS($X132,TODAY(),Holidays)-1)&amp;" of "&amp;CHOOSE($W132,3,3,2,2,3))&amp;" | Total Day "&amp;MAX(0,NETWORKDAYS($L132,TODAY(),Holidays)-1))</f>
        <v/>
      </c>
      <c r="W132" s="17">
        <f>IF($L132="","",COUNT($L132:$Q132))</f>
        <v/>
      </c>
      <c r="X132" s="18">
        <f>IF($W132="","",INT(INDEX($L132:$Q132,$W132)))</f>
        <v/>
      </c>
      <c r="Y132" s="18">
        <f>IF(OR($W132="",$W132=6),"",WORKDAY($X132,CHOOSE($W132,3,3,2,2,3),Holidays))</f>
        <v/>
      </c>
      <c r="Z132" s="17">
        <f>IF(OR($W132="",$W132=6),"",CHOOSE($W132,"1st Email Follow-up","2nd Email Follow-up","Escalate Local Office","Escalate to CBE","Escalate to Roxanne"))</f>
        <v/>
      </c>
    </row>
    <row r="133" spans="18:26">
      <c r="R133" s="15"/>
      <c r="S133" s="16"/>
      <c r="T133" s="17">
        <f>IF(AND(COUNTA($A133:$K133)=0,$L133=""),"",IF($S133="Paid","PAID",IF($S133="Closed","CLOSED",IF($W133="","",IF($W133=6,"ESCALATED TO ROXANNE",IF(TODAY()&gt;$Y133,"OVERDUE",IF($Y133&lt;=WORKDAY(TODAY(),1,Holidays),"DUE TOMORROW",IF($W133=4,"ESCALATED TO LOCAL OFFICE",IF($W133=5,"ESCALATED TO CBE",IF($X133=TODAY(),"EMAIL SENT","MONITORING"))))))))))</f>
        <v/>
      </c>
      <c r="U133" s="17">
        <f>IF($T133="",IF(AND(COUNTA($A133:$K133)&gt;0,$L133=""),"Awaiting Collection Email time stamp.",""),IF(OR($T133="PAID",$T133="CLOSED"),IF($T133="PAID","Account paid. Action completed.","Account closed. No further action required."),CHOOSE($W133,"Collection Email","1st Email Follow-up","2nd Email Follow-up","Escalation to Local Office","Escalation to CBE","Escalation to Roxanne")&amp;" sent "&amp;TEXT($X133,"dd-mmm")&amp;". "&amp;IF($W133=6,"Final escalation completed.",IF($T133="OVERDUE","Next: "&amp;$Z133&amp;" was due "&amp;TEXT($Y133,"dd-mmm")&amp;" - "&amp;(NETWORKDAYS($Y133,TODAY(),Holidays)-1)&amp;" business day(s) late. Send now.",IF($T133="DUE TOMORROW","Next: "&amp;$Z133&amp;IF($Y133&lt;=TODAY()," is due TODAY ("," is due next business day (")&amp;TEXT($Y133,"dd-mmm")&amp;").","Next: "&amp;$Z133&amp;" due "&amp;TEXT($Y133,"dd-mmm")&amp;" ("&amp;(NETWORKDAYS(TODAY(),$Y133,Holidays)-1)&amp;" business day(s) left).")))))</f>
        <v/>
      </c>
      <c r="V133" s="17">
        <f>IF($W133="","",CHOOSE($W133,"Collection Email","1st Follow-up","2nd Follow-up","Local Office","CBE","Roxanne")&amp;IF($W133=6," - Final"," - Day "&amp;MAX(0,NETWORKDAYS($X133,TODAY(),Holidays)-1)&amp;" of "&amp;CHOOSE($W133,3,3,2,2,3))&amp;" | Total Day "&amp;MAX(0,NETWORKDAYS($L133,TODAY(),Holidays)-1))</f>
        <v/>
      </c>
      <c r="W133" s="17">
        <f>IF($L133="","",COUNT($L133:$Q133))</f>
        <v/>
      </c>
      <c r="X133" s="18">
        <f>IF($W133="","",INT(INDEX($L133:$Q133,$W133)))</f>
        <v/>
      </c>
      <c r="Y133" s="18">
        <f>IF(OR($W133="",$W133=6),"",WORKDAY($X133,CHOOSE($W133,3,3,2,2,3),Holidays))</f>
        <v/>
      </c>
      <c r="Z133" s="17">
        <f>IF(OR($W133="",$W133=6),"",CHOOSE($W133,"1st Email Follow-up","2nd Email Follow-up","Escalate Local Office","Escalate to CBE","Escalate to Roxanne"))</f>
        <v/>
      </c>
    </row>
    <row r="134" spans="18:26">
      <c r="R134" s="15"/>
      <c r="S134" s="16"/>
      <c r="T134" s="17">
        <f>IF(AND(COUNTA($A134:$K134)=0,$L134=""),"",IF($S134="Paid","PAID",IF($S134="Closed","CLOSED",IF($W134="","",IF($W134=6,"ESCALATED TO ROXANNE",IF(TODAY()&gt;$Y134,"OVERDUE",IF($Y134&lt;=WORKDAY(TODAY(),1,Holidays),"DUE TOMORROW",IF($W134=4,"ESCALATED TO LOCAL OFFICE",IF($W134=5,"ESCALATED TO CBE",IF($X134=TODAY(),"EMAIL SENT","MONITORING"))))))))))</f>
        <v/>
      </c>
      <c r="U134" s="17">
        <f>IF($T134="",IF(AND(COUNTA($A134:$K134)&gt;0,$L134=""),"Awaiting Collection Email time stamp.",""),IF(OR($T134="PAID",$T134="CLOSED"),IF($T134="PAID","Account paid. Action completed.","Account closed. No further action required."),CHOOSE($W134,"Collection Email","1st Email Follow-up","2nd Email Follow-up","Escalation to Local Office","Escalation to CBE","Escalation to Roxanne")&amp;" sent "&amp;TEXT($X134,"dd-mmm")&amp;". "&amp;IF($W134=6,"Final escalation completed.",IF($T134="OVERDUE","Next: "&amp;$Z134&amp;" was due "&amp;TEXT($Y134,"dd-mmm")&amp;" - "&amp;(NETWORKDAYS($Y134,TODAY(),Holidays)-1)&amp;" business day(s) late. Send now.",IF($T134="DUE TOMORROW","Next: "&amp;$Z134&amp;IF($Y134&lt;=TODAY()," is due TODAY ("," is due next business day (")&amp;TEXT($Y134,"dd-mmm")&amp;").","Next: "&amp;$Z134&amp;" due "&amp;TEXT($Y134,"dd-mmm")&amp;" ("&amp;(NETWORKDAYS(TODAY(),$Y134,Holidays)-1)&amp;" business day(s) left).")))))</f>
        <v/>
      </c>
      <c r="V134" s="17">
        <f>IF($W134="","",CHOOSE($W134,"Collection Email","1st Follow-up","2nd Follow-up","Local Office","CBE","Roxanne")&amp;IF($W134=6," - Final"," - Day "&amp;MAX(0,NETWORKDAYS($X134,TODAY(),Holidays)-1)&amp;" of "&amp;CHOOSE($W134,3,3,2,2,3))&amp;" | Total Day "&amp;MAX(0,NETWORKDAYS($L134,TODAY(),Holidays)-1))</f>
        <v/>
      </c>
      <c r="W134" s="17">
        <f>IF($L134="","",COUNT($L134:$Q134))</f>
        <v/>
      </c>
      <c r="X134" s="18">
        <f>IF($W134="","",INT(INDEX($L134:$Q134,$W134)))</f>
        <v/>
      </c>
      <c r="Y134" s="18">
        <f>IF(OR($W134="",$W134=6),"",WORKDAY($X134,CHOOSE($W134,3,3,2,2,3),Holidays))</f>
        <v/>
      </c>
      <c r="Z134" s="17">
        <f>IF(OR($W134="",$W134=6),"",CHOOSE($W134,"1st Email Follow-up","2nd Email Follow-up","Escalate Local Office","Escalate to CBE","Escalate to Roxanne"))</f>
        <v/>
      </c>
    </row>
    <row r="135" spans="18:26">
      <c r="R135" s="15"/>
      <c r="S135" s="16"/>
      <c r="T135" s="17">
        <f>IF(AND(COUNTA($A135:$K135)=0,$L135=""),"",IF($S135="Paid","PAID",IF($S135="Closed","CLOSED",IF($W135="","",IF($W135=6,"ESCALATED TO ROXANNE",IF(TODAY()&gt;$Y135,"OVERDUE",IF($Y135&lt;=WORKDAY(TODAY(),1,Holidays),"DUE TOMORROW",IF($W135=4,"ESCALATED TO LOCAL OFFICE",IF($W135=5,"ESCALATED TO CBE",IF($X135=TODAY(),"EMAIL SENT","MONITORING"))))))))))</f>
        <v/>
      </c>
      <c r="U135" s="17">
        <f>IF($T135="",IF(AND(COUNTA($A135:$K135)&gt;0,$L135=""),"Awaiting Collection Email time stamp.",""),IF(OR($T135="PAID",$T135="CLOSED"),IF($T135="PAID","Account paid. Action completed.","Account closed. No further action required."),CHOOSE($W135,"Collection Email","1st Email Follow-up","2nd Email Follow-up","Escalation to Local Office","Escalation to CBE","Escalation to Roxanne")&amp;" sent "&amp;TEXT($X135,"dd-mmm")&amp;". "&amp;IF($W135=6,"Final escalation completed.",IF($T135="OVERDUE","Next: "&amp;$Z135&amp;" was due "&amp;TEXT($Y135,"dd-mmm")&amp;" - "&amp;(NETWORKDAYS($Y135,TODAY(),Holidays)-1)&amp;" business day(s) late. Send now.",IF($T135="DUE TOMORROW","Next: "&amp;$Z135&amp;IF($Y135&lt;=TODAY()," is due TODAY ("," is due next business day (")&amp;TEXT($Y135,"dd-mmm")&amp;").","Next: "&amp;$Z135&amp;" due "&amp;TEXT($Y135,"dd-mmm")&amp;" ("&amp;(NETWORKDAYS(TODAY(),$Y135,Holidays)-1)&amp;" business day(s) left).")))))</f>
        <v/>
      </c>
      <c r="V135" s="17">
        <f>IF($W135="","",CHOOSE($W135,"Collection Email","1st Follow-up","2nd Follow-up","Local Office","CBE","Roxanne")&amp;IF($W135=6," - Final"," - Day "&amp;MAX(0,NETWORKDAYS($X135,TODAY(),Holidays)-1)&amp;" of "&amp;CHOOSE($W135,3,3,2,2,3))&amp;" | Total Day "&amp;MAX(0,NETWORKDAYS($L135,TODAY(),Holidays)-1))</f>
        <v/>
      </c>
      <c r="W135" s="17">
        <f>IF($L135="","",COUNT($L135:$Q135))</f>
        <v/>
      </c>
      <c r="X135" s="18">
        <f>IF($W135="","",INT(INDEX($L135:$Q135,$W135)))</f>
        <v/>
      </c>
      <c r="Y135" s="18">
        <f>IF(OR($W135="",$W135=6),"",WORKDAY($X135,CHOOSE($W135,3,3,2,2,3),Holidays))</f>
        <v/>
      </c>
      <c r="Z135" s="17">
        <f>IF(OR($W135="",$W135=6),"",CHOOSE($W135,"1st Email Follow-up","2nd Email Follow-up","Escalate Local Office","Escalate to CBE","Escalate to Roxanne"))</f>
        <v/>
      </c>
    </row>
    <row r="136" spans="18:26">
      <c r="R136" s="15"/>
      <c r="S136" s="16"/>
      <c r="T136" s="17">
        <f>IF(AND(COUNTA($A136:$K136)=0,$L136=""),"",IF($S136="Paid","PAID",IF($S136="Closed","CLOSED",IF($W136="","",IF($W136=6,"ESCALATED TO ROXANNE",IF(TODAY()&gt;$Y136,"OVERDUE",IF($Y136&lt;=WORKDAY(TODAY(),1,Holidays),"DUE TOMORROW",IF($W136=4,"ESCALATED TO LOCAL OFFICE",IF($W136=5,"ESCALATED TO CBE",IF($X136=TODAY(),"EMAIL SENT","MONITORING"))))))))))</f>
        <v/>
      </c>
      <c r="U136" s="17">
        <f>IF($T136="",IF(AND(COUNTA($A136:$K136)&gt;0,$L136=""),"Awaiting Collection Email time stamp.",""),IF(OR($T136="PAID",$T136="CLOSED"),IF($T136="PAID","Account paid. Action completed.","Account closed. No further action required."),CHOOSE($W136,"Collection Email","1st Email Follow-up","2nd Email Follow-up","Escalation to Local Office","Escalation to CBE","Escalation to Roxanne")&amp;" sent "&amp;TEXT($X136,"dd-mmm")&amp;". "&amp;IF($W136=6,"Final escalation completed.",IF($T136="OVERDUE","Next: "&amp;$Z136&amp;" was due "&amp;TEXT($Y136,"dd-mmm")&amp;" - "&amp;(NETWORKDAYS($Y136,TODAY(),Holidays)-1)&amp;" business day(s) late. Send now.",IF($T136="DUE TOMORROW","Next: "&amp;$Z136&amp;IF($Y136&lt;=TODAY()," is due TODAY ("," is due next business day (")&amp;TEXT($Y136,"dd-mmm")&amp;").","Next: "&amp;$Z136&amp;" due "&amp;TEXT($Y136,"dd-mmm")&amp;" ("&amp;(NETWORKDAYS(TODAY(),$Y136,Holidays)-1)&amp;" business day(s) left).")))))</f>
        <v/>
      </c>
      <c r="V136" s="17">
        <f>IF($W136="","",CHOOSE($W136,"Collection Email","1st Follow-up","2nd Follow-up","Local Office","CBE","Roxanne")&amp;IF($W136=6," - Final"," - Day "&amp;MAX(0,NETWORKDAYS($X136,TODAY(),Holidays)-1)&amp;" of "&amp;CHOOSE($W136,3,3,2,2,3))&amp;" | Total Day "&amp;MAX(0,NETWORKDAYS($L136,TODAY(),Holidays)-1))</f>
        <v/>
      </c>
      <c r="W136" s="17">
        <f>IF($L136="","",COUNT($L136:$Q136))</f>
        <v/>
      </c>
      <c r="X136" s="18">
        <f>IF($W136="","",INT(INDEX($L136:$Q136,$W136)))</f>
        <v/>
      </c>
      <c r="Y136" s="18">
        <f>IF(OR($W136="",$W136=6),"",WORKDAY($X136,CHOOSE($W136,3,3,2,2,3),Holidays))</f>
        <v/>
      </c>
      <c r="Z136" s="17">
        <f>IF(OR($W136="",$W136=6),"",CHOOSE($W136,"1st Email Follow-up","2nd Email Follow-up","Escalate Local Office","Escalate to CBE","Escalate to Roxanne"))</f>
        <v/>
      </c>
    </row>
    <row r="137" spans="18:26">
      <c r="R137" s="15"/>
      <c r="S137" s="16"/>
      <c r="T137" s="17">
        <f>IF(AND(COUNTA($A137:$K137)=0,$L137=""),"",IF($S137="Paid","PAID",IF($S137="Closed","CLOSED",IF($W137="","",IF($W137=6,"ESCALATED TO ROXANNE",IF(TODAY()&gt;$Y137,"OVERDUE",IF($Y137&lt;=WORKDAY(TODAY(),1,Holidays),"DUE TOMORROW",IF($W137=4,"ESCALATED TO LOCAL OFFICE",IF($W137=5,"ESCALATED TO CBE",IF($X137=TODAY(),"EMAIL SENT","MONITORING"))))))))))</f>
        <v/>
      </c>
      <c r="U137" s="17">
        <f>IF($T137="",IF(AND(COUNTA($A137:$K137)&gt;0,$L137=""),"Awaiting Collection Email time stamp.",""),IF(OR($T137="PAID",$T137="CLOSED"),IF($T137="PAID","Account paid. Action completed.","Account closed. No further action required."),CHOOSE($W137,"Collection Email","1st Email Follow-up","2nd Email Follow-up","Escalation to Local Office","Escalation to CBE","Escalation to Roxanne")&amp;" sent "&amp;TEXT($X137,"dd-mmm")&amp;". "&amp;IF($W137=6,"Final escalation completed.",IF($T137="OVERDUE","Next: "&amp;$Z137&amp;" was due "&amp;TEXT($Y137,"dd-mmm")&amp;" - "&amp;(NETWORKDAYS($Y137,TODAY(),Holidays)-1)&amp;" business day(s) late. Send now.",IF($T137="DUE TOMORROW","Next: "&amp;$Z137&amp;IF($Y137&lt;=TODAY()," is due TODAY ("," is due next business day (")&amp;TEXT($Y137,"dd-mmm")&amp;").","Next: "&amp;$Z137&amp;" due "&amp;TEXT($Y137,"dd-mmm")&amp;" ("&amp;(NETWORKDAYS(TODAY(),$Y137,Holidays)-1)&amp;" business day(s) left).")))))</f>
        <v/>
      </c>
      <c r="V137" s="17">
        <f>IF($W137="","",CHOOSE($W137,"Collection Email","1st Follow-up","2nd Follow-up","Local Office","CBE","Roxanne")&amp;IF($W137=6," - Final"," - Day "&amp;MAX(0,NETWORKDAYS($X137,TODAY(),Holidays)-1)&amp;" of "&amp;CHOOSE($W137,3,3,2,2,3))&amp;" | Total Day "&amp;MAX(0,NETWORKDAYS($L137,TODAY(),Holidays)-1))</f>
        <v/>
      </c>
      <c r="W137" s="17">
        <f>IF($L137="","",COUNT($L137:$Q137))</f>
        <v/>
      </c>
      <c r="X137" s="18">
        <f>IF($W137="","",INT(INDEX($L137:$Q137,$W137)))</f>
        <v/>
      </c>
      <c r="Y137" s="18">
        <f>IF(OR($W137="",$W137=6),"",WORKDAY($X137,CHOOSE($W137,3,3,2,2,3),Holidays))</f>
        <v/>
      </c>
      <c r="Z137" s="17">
        <f>IF(OR($W137="",$W137=6),"",CHOOSE($W137,"1st Email Follow-up","2nd Email Follow-up","Escalate Local Office","Escalate to CBE","Escalate to Roxanne"))</f>
        <v/>
      </c>
    </row>
    <row r="138" spans="18:26">
      <c r="R138" s="15"/>
      <c r="S138" s="16"/>
      <c r="T138" s="17">
        <f>IF(AND(COUNTA($A138:$K138)=0,$L138=""),"",IF($S138="Paid","PAID",IF($S138="Closed","CLOSED",IF($W138="","",IF($W138=6,"ESCALATED TO ROXANNE",IF(TODAY()&gt;$Y138,"OVERDUE",IF($Y138&lt;=WORKDAY(TODAY(),1,Holidays),"DUE TOMORROW",IF($W138=4,"ESCALATED TO LOCAL OFFICE",IF($W138=5,"ESCALATED TO CBE",IF($X138=TODAY(),"EMAIL SENT","MONITORING"))))))))))</f>
        <v/>
      </c>
      <c r="U138" s="17">
        <f>IF($T138="",IF(AND(COUNTA($A138:$K138)&gt;0,$L138=""),"Awaiting Collection Email time stamp.",""),IF(OR($T138="PAID",$T138="CLOSED"),IF($T138="PAID","Account paid. Action completed.","Account closed. No further action required."),CHOOSE($W138,"Collection Email","1st Email Follow-up","2nd Email Follow-up","Escalation to Local Office","Escalation to CBE","Escalation to Roxanne")&amp;" sent "&amp;TEXT($X138,"dd-mmm")&amp;". "&amp;IF($W138=6,"Final escalation completed.",IF($T138="OVERDUE","Next: "&amp;$Z138&amp;" was due "&amp;TEXT($Y138,"dd-mmm")&amp;" - "&amp;(NETWORKDAYS($Y138,TODAY(),Holidays)-1)&amp;" business day(s) late. Send now.",IF($T138="DUE TOMORROW","Next: "&amp;$Z138&amp;IF($Y138&lt;=TODAY()," is due TODAY ("," is due next business day (")&amp;TEXT($Y138,"dd-mmm")&amp;").","Next: "&amp;$Z138&amp;" due "&amp;TEXT($Y138,"dd-mmm")&amp;" ("&amp;(NETWORKDAYS(TODAY(),$Y138,Holidays)-1)&amp;" business day(s) left).")))))</f>
        <v/>
      </c>
      <c r="V138" s="17">
        <f>IF($W138="","",CHOOSE($W138,"Collection Email","1st Follow-up","2nd Follow-up","Local Office","CBE","Roxanne")&amp;IF($W138=6," - Final"," - Day "&amp;MAX(0,NETWORKDAYS($X138,TODAY(),Holidays)-1)&amp;" of "&amp;CHOOSE($W138,3,3,2,2,3))&amp;" | Total Day "&amp;MAX(0,NETWORKDAYS($L138,TODAY(),Holidays)-1))</f>
        <v/>
      </c>
      <c r="W138" s="17">
        <f>IF($L138="","",COUNT($L138:$Q138))</f>
        <v/>
      </c>
      <c r="X138" s="18">
        <f>IF($W138="","",INT(INDEX($L138:$Q138,$W138)))</f>
        <v/>
      </c>
      <c r="Y138" s="18">
        <f>IF(OR($W138="",$W138=6),"",WORKDAY($X138,CHOOSE($W138,3,3,2,2,3),Holidays))</f>
        <v/>
      </c>
      <c r="Z138" s="17">
        <f>IF(OR($W138="",$W138=6),"",CHOOSE($W138,"1st Email Follow-up","2nd Email Follow-up","Escalate Local Office","Escalate to CBE","Escalate to Roxanne"))</f>
        <v/>
      </c>
    </row>
    <row r="139" spans="18:26">
      <c r="R139" s="15"/>
      <c r="S139" s="16"/>
      <c r="T139" s="17">
        <f>IF(AND(COUNTA($A139:$K139)=0,$L139=""),"",IF($S139="Paid","PAID",IF($S139="Closed","CLOSED",IF($W139="","",IF($W139=6,"ESCALATED TO ROXANNE",IF(TODAY()&gt;$Y139,"OVERDUE",IF($Y139&lt;=WORKDAY(TODAY(),1,Holidays),"DUE TOMORROW",IF($W139=4,"ESCALATED TO LOCAL OFFICE",IF($W139=5,"ESCALATED TO CBE",IF($X139=TODAY(),"EMAIL SENT","MONITORING"))))))))))</f>
        <v/>
      </c>
      <c r="U139" s="17">
        <f>IF($T139="",IF(AND(COUNTA($A139:$K139)&gt;0,$L139=""),"Awaiting Collection Email time stamp.",""),IF(OR($T139="PAID",$T139="CLOSED"),IF($T139="PAID","Account paid. Action completed.","Account closed. No further action required."),CHOOSE($W139,"Collection Email","1st Email Follow-up","2nd Email Follow-up","Escalation to Local Office","Escalation to CBE","Escalation to Roxanne")&amp;" sent "&amp;TEXT($X139,"dd-mmm")&amp;". "&amp;IF($W139=6,"Final escalation completed.",IF($T139="OVERDUE","Next: "&amp;$Z139&amp;" was due "&amp;TEXT($Y139,"dd-mmm")&amp;" - "&amp;(NETWORKDAYS($Y139,TODAY(),Holidays)-1)&amp;" business day(s) late. Send now.",IF($T139="DUE TOMORROW","Next: "&amp;$Z139&amp;IF($Y139&lt;=TODAY()," is due TODAY ("," is due next business day (")&amp;TEXT($Y139,"dd-mmm")&amp;").","Next: "&amp;$Z139&amp;" due "&amp;TEXT($Y139,"dd-mmm")&amp;" ("&amp;(NETWORKDAYS(TODAY(),$Y139,Holidays)-1)&amp;" business day(s) left).")))))</f>
        <v/>
      </c>
      <c r="V139" s="17">
        <f>IF($W139="","",CHOOSE($W139,"Collection Email","1st Follow-up","2nd Follow-up","Local Office","CBE","Roxanne")&amp;IF($W139=6," - Final"," - Day "&amp;MAX(0,NETWORKDAYS($X139,TODAY(),Holidays)-1)&amp;" of "&amp;CHOOSE($W139,3,3,2,2,3))&amp;" | Total Day "&amp;MAX(0,NETWORKDAYS($L139,TODAY(),Holidays)-1))</f>
        <v/>
      </c>
      <c r="W139" s="17">
        <f>IF($L139="","",COUNT($L139:$Q139))</f>
        <v/>
      </c>
      <c r="X139" s="18">
        <f>IF($W139="","",INT(INDEX($L139:$Q139,$W139)))</f>
        <v/>
      </c>
      <c r="Y139" s="18">
        <f>IF(OR($W139="",$W139=6),"",WORKDAY($X139,CHOOSE($W139,3,3,2,2,3),Holidays))</f>
        <v/>
      </c>
      <c r="Z139" s="17">
        <f>IF(OR($W139="",$W139=6),"",CHOOSE($W139,"1st Email Follow-up","2nd Email Follow-up","Escalate Local Office","Escalate to CBE","Escalate to Roxanne"))</f>
        <v/>
      </c>
    </row>
    <row r="140" spans="18:26">
      <c r="R140" s="15"/>
      <c r="S140" s="16"/>
      <c r="T140" s="17">
        <f>IF(AND(COUNTA($A140:$K140)=0,$L140=""),"",IF($S140="Paid","PAID",IF($S140="Closed","CLOSED",IF($W140="","",IF($W140=6,"ESCALATED TO ROXANNE",IF(TODAY()&gt;$Y140,"OVERDUE",IF($Y140&lt;=WORKDAY(TODAY(),1,Holidays),"DUE TOMORROW",IF($W140=4,"ESCALATED TO LOCAL OFFICE",IF($W140=5,"ESCALATED TO CBE",IF($X140=TODAY(),"EMAIL SENT","MONITORING"))))))))))</f>
        <v/>
      </c>
      <c r="U140" s="17">
        <f>IF($T140="",IF(AND(COUNTA($A140:$K140)&gt;0,$L140=""),"Awaiting Collection Email time stamp.",""),IF(OR($T140="PAID",$T140="CLOSED"),IF($T140="PAID","Account paid. Action completed.","Account closed. No further action required."),CHOOSE($W140,"Collection Email","1st Email Follow-up","2nd Email Follow-up","Escalation to Local Office","Escalation to CBE","Escalation to Roxanne")&amp;" sent "&amp;TEXT($X140,"dd-mmm")&amp;". "&amp;IF($W140=6,"Final escalation completed.",IF($T140="OVERDUE","Next: "&amp;$Z140&amp;" was due "&amp;TEXT($Y140,"dd-mmm")&amp;" - "&amp;(NETWORKDAYS($Y140,TODAY(),Holidays)-1)&amp;" business day(s) late. Send now.",IF($T140="DUE TOMORROW","Next: "&amp;$Z140&amp;IF($Y140&lt;=TODAY()," is due TODAY ("," is due next business day (")&amp;TEXT($Y140,"dd-mmm")&amp;").","Next: "&amp;$Z140&amp;" due "&amp;TEXT($Y140,"dd-mmm")&amp;" ("&amp;(NETWORKDAYS(TODAY(),$Y140,Holidays)-1)&amp;" business day(s) left).")))))</f>
        <v/>
      </c>
      <c r="V140" s="17">
        <f>IF($W140="","",CHOOSE($W140,"Collection Email","1st Follow-up","2nd Follow-up","Local Office","CBE","Roxanne")&amp;IF($W140=6," - Final"," - Day "&amp;MAX(0,NETWORKDAYS($X140,TODAY(),Holidays)-1)&amp;" of "&amp;CHOOSE($W140,3,3,2,2,3))&amp;" | Total Day "&amp;MAX(0,NETWORKDAYS($L140,TODAY(),Holidays)-1))</f>
        <v/>
      </c>
      <c r="W140" s="17">
        <f>IF($L140="","",COUNT($L140:$Q140))</f>
        <v/>
      </c>
      <c r="X140" s="18">
        <f>IF($W140="","",INT(INDEX($L140:$Q140,$W140)))</f>
        <v/>
      </c>
      <c r="Y140" s="18">
        <f>IF(OR($W140="",$W140=6),"",WORKDAY($X140,CHOOSE($W140,3,3,2,2,3),Holidays))</f>
        <v/>
      </c>
      <c r="Z140" s="17">
        <f>IF(OR($W140="",$W140=6),"",CHOOSE($W140,"1st Email Follow-up","2nd Email Follow-up","Escalate Local Office","Escalate to CBE","Escalate to Roxanne"))</f>
        <v/>
      </c>
    </row>
    <row r="141" spans="18:26">
      <c r="R141" s="15"/>
      <c r="S141" s="16"/>
      <c r="T141" s="17">
        <f>IF(AND(COUNTA($A141:$K141)=0,$L141=""),"",IF($S141="Paid","PAID",IF($S141="Closed","CLOSED",IF($W141="","",IF($W141=6,"ESCALATED TO ROXANNE",IF(TODAY()&gt;$Y141,"OVERDUE",IF($Y141&lt;=WORKDAY(TODAY(),1,Holidays),"DUE TOMORROW",IF($W141=4,"ESCALATED TO LOCAL OFFICE",IF($W141=5,"ESCALATED TO CBE",IF($X141=TODAY(),"EMAIL SENT","MONITORING"))))))))))</f>
        <v/>
      </c>
      <c r="U141" s="17">
        <f>IF($T141="",IF(AND(COUNTA($A141:$K141)&gt;0,$L141=""),"Awaiting Collection Email time stamp.",""),IF(OR($T141="PAID",$T141="CLOSED"),IF($T141="PAID","Account paid. Action completed.","Account closed. No further action required."),CHOOSE($W141,"Collection Email","1st Email Follow-up","2nd Email Follow-up","Escalation to Local Office","Escalation to CBE","Escalation to Roxanne")&amp;" sent "&amp;TEXT($X141,"dd-mmm")&amp;". "&amp;IF($W141=6,"Final escalation completed.",IF($T141="OVERDUE","Next: "&amp;$Z141&amp;" was due "&amp;TEXT($Y141,"dd-mmm")&amp;" - "&amp;(NETWORKDAYS($Y141,TODAY(),Holidays)-1)&amp;" business day(s) late. Send now.",IF($T141="DUE TOMORROW","Next: "&amp;$Z141&amp;IF($Y141&lt;=TODAY()," is due TODAY ("," is due next business day (")&amp;TEXT($Y141,"dd-mmm")&amp;").","Next: "&amp;$Z141&amp;" due "&amp;TEXT($Y141,"dd-mmm")&amp;" ("&amp;(NETWORKDAYS(TODAY(),$Y141,Holidays)-1)&amp;" business day(s) left).")))))</f>
        <v/>
      </c>
      <c r="V141" s="17">
        <f>IF($W141="","",CHOOSE($W141,"Collection Email","1st Follow-up","2nd Follow-up","Local Office","CBE","Roxanne")&amp;IF($W141=6," - Final"," - Day "&amp;MAX(0,NETWORKDAYS($X141,TODAY(),Holidays)-1)&amp;" of "&amp;CHOOSE($W141,3,3,2,2,3))&amp;" | Total Day "&amp;MAX(0,NETWORKDAYS($L141,TODAY(),Holidays)-1))</f>
        <v/>
      </c>
      <c r="W141" s="17">
        <f>IF($L141="","",COUNT($L141:$Q141))</f>
        <v/>
      </c>
      <c r="X141" s="18">
        <f>IF($W141="","",INT(INDEX($L141:$Q141,$W141)))</f>
        <v/>
      </c>
      <c r="Y141" s="18">
        <f>IF(OR($W141="",$W141=6),"",WORKDAY($X141,CHOOSE($W141,3,3,2,2,3),Holidays))</f>
        <v/>
      </c>
      <c r="Z141" s="17">
        <f>IF(OR($W141="",$W141=6),"",CHOOSE($W141,"1st Email Follow-up","2nd Email Follow-up","Escalate Local Office","Escalate to CBE","Escalate to Roxanne"))</f>
        <v/>
      </c>
    </row>
    <row r="142" spans="18:26">
      <c r="R142" s="15"/>
      <c r="S142" s="16"/>
      <c r="T142" s="17">
        <f>IF(AND(COUNTA($A142:$K142)=0,$L142=""),"",IF($S142="Paid","PAID",IF($S142="Closed","CLOSED",IF($W142="","",IF($W142=6,"ESCALATED TO ROXANNE",IF(TODAY()&gt;$Y142,"OVERDUE",IF($Y142&lt;=WORKDAY(TODAY(),1,Holidays),"DUE TOMORROW",IF($W142=4,"ESCALATED TO LOCAL OFFICE",IF($W142=5,"ESCALATED TO CBE",IF($X142=TODAY(),"EMAIL SENT","MONITORING"))))))))))</f>
        <v/>
      </c>
      <c r="U142" s="17">
        <f>IF($T142="",IF(AND(COUNTA($A142:$K142)&gt;0,$L142=""),"Awaiting Collection Email time stamp.",""),IF(OR($T142="PAID",$T142="CLOSED"),IF($T142="PAID","Account paid. Action completed.","Account closed. No further action required."),CHOOSE($W142,"Collection Email","1st Email Follow-up","2nd Email Follow-up","Escalation to Local Office","Escalation to CBE","Escalation to Roxanne")&amp;" sent "&amp;TEXT($X142,"dd-mmm")&amp;". "&amp;IF($W142=6,"Final escalation completed.",IF($T142="OVERDUE","Next: "&amp;$Z142&amp;" was due "&amp;TEXT($Y142,"dd-mmm")&amp;" - "&amp;(NETWORKDAYS($Y142,TODAY(),Holidays)-1)&amp;" business day(s) late. Send now.",IF($T142="DUE TOMORROW","Next: "&amp;$Z142&amp;IF($Y142&lt;=TODAY()," is due TODAY ("," is due next business day (")&amp;TEXT($Y142,"dd-mmm")&amp;").","Next: "&amp;$Z142&amp;" due "&amp;TEXT($Y142,"dd-mmm")&amp;" ("&amp;(NETWORKDAYS(TODAY(),$Y142,Holidays)-1)&amp;" business day(s) left).")))))</f>
        <v/>
      </c>
      <c r="V142" s="17">
        <f>IF($W142="","",CHOOSE($W142,"Collection Email","1st Follow-up","2nd Follow-up","Local Office","CBE","Roxanne")&amp;IF($W142=6," - Final"," - Day "&amp;MAX(0,NETWORKDAYS($X142,TODAY(),Holidays)-1)&amp;" of "&amp;CHOOSE($W142,3,3,2,2,3))&amp;" | Total Day "&amp;MAX(0,NETWORKDAYS($L142,TODAY(),Holidays)-1))</f>
        <v/>
      </c>
      <c r="W142" s="17">
        <f>IF($L142="","",COUNT($L142:$Q142))</f>
        <v/>
      </c>
      <c r="X142" s="18">
        <f>IF($W142="","",INT(INDEX($L142:$Q142,$W142)))</f>
        <v/>
      </c>
      <c r="Y142" s="18">
        <f>IF(OR($W142="",$W142=6),"",WORKDAY($X142,CHOOSE($W142,3,3,2,2,3),Holidays))</f>
        <v/>
      </c>
      <c r="Z142" s="17">
        <f>IF(OR($W142="",$W142=6),"",CHOOSE($W142,"1st Email Follow-up","2nd Email Follow-up","Escalate Local Office","Escalate to CBE","Escalate to Roxanne"))</f>
        <v/>
      </c>
    </row>
    <row r="143" spans="18:26">
      <c r="R143" s="15"/>
      <c r="S143" s="16"/>
      <c r="T143" s="17">
        <f>IF(AND(COUNTA($A143:$K143)=0,$L143=""),"",IF($S143="Paid","PAID",IF($S143="Closed","CLOSED",IF($W143="","",IF($W143=6,"ESCALATED TO ROXANNE",IF(TODAY()&gt;$Y143,"OVERDUE",IF($Y143&lt;=WORKDAY(TODAY(),1,Holidays),"DUE TOMORROW",IF($W143=4,"ESCALATED TO LOCAL OFFICE",IF($W143=5,"ESCALATED TO CBE",IF($X143=TODAY(),"EMAIL SENT","MONITORING"))))))))))</f>
        <v/>
      </c>
      <c r="U143" s="17">
        <f>IF($T143="",IF(AND(COUNTA($A143:$K143)&gt;0,$L143=""),"Awaiting Collection Email time stamp.",""),IF(OR($T143="PAID",$T143="CLOSED"),IF($T143="PAID","Account paid. Action completed.","Account closed. No further action required."),CHOOSE($W143,"Collection Email","1st Email Follow-up","2nd Email Follow-up","Escalation to Local Office","Escalation to CBE","Escalation to Roxanne")&amp;" sent "&amp;TEXT($X143,"dd-mmm")&amp;". "&amp;IF($W143=6,"Final escalation completed.",IF($T143="OVERDUE","Next: "&amp;$Z143&amp;" was due "&amp;TEXT($Y143,"dd-mmm")&amp;" - "&amp;(NETWORKDAYS($Y143,TODAY(),Holidays)-1)&amp;" business day(s) late. Send now.",IF($T143="DUE TOMORROW","Next: "&amp;$Z143&amp;IF($Y143&lt;=TODAY()," is due TODAY ("," is due next business day (")&amp;TEXT($Y143,"dd-mmm")&amp;").","Next: "&amp;$Z143&amp;" due "&amp;TEXT($Y143,"dd-mmm")&amp;" ("&amp;(NETWORKDAYS(TODAY(),$Y143,Holidays)-1)&amp;" business day(s) left).")))))</f>
        <v/>
      </c>
      <c r="V143" s="17">
        <f>IF($W143="","",CHOOSE($W143,"Collection Email","1st Follow-up","2nd Follow-up","Local Office","CBE","Roxanne")&amp;IF($W143=6," - Final"," - Day "&amp;MAX(0,NETWORKDAYS($X143,TODAY(),Holidays)-1)&amp;" of "&amp;CHOOSE($W143,3,3,2,2,3))&amp;" | Total Day "&amp;MAX(0,NETWORKDAYS($L143,TODAY(),Holidays)-1))</f>
        <v/>
      </c>
      <c r="W143" s="17">
        <f>IF($L143="","",COUNT($L143:$Q143))</f>
        <v/>
      </c>
      <c r="X143" s="18">
        <f>IF($W143="","",INT(INDEX($L143:$Q143,$W143)))</f>
        <v/>
      </c>
      <c r="Y143" s="18">
        <f>IF(OR($W143="",$W143=6),"",WORKDAY($X143,CHOOSE($W143,3,3,2,2,3),Holidays))</f>
        <v/>
      </c>
      <c r="Z143" s="17">
        <f>IF(OR($W143="",$W143=6),"",CHOOSE($W143,"1st Email Follow-up","2nd Email Follow-up","Escalate Local Office","Escalate to CBE","Escalate to Roxanne"))</f>
        <v/>
      </c>
    </row>
    <row r="144" spans="18:26">
      <c r="R144" s="15"/>
      <c r="S144" s="16"/>
      <c r="T144" s="17">
        <f>IF(AND(COUNTA($A144:$K144)=0,$L144=""),"",IF($S144="Paid","PAID",IF($S144="Closed","CLOSED",IF($W144="","",IF($W144=6,"ESCALATED TO ROXANNE",IF(TODAY()&gt;$Y144,"OVERDUE",IF($Y144&lt;=WORKDAY(TODAY(),1,Holidays),"DUE TOMORROW",IF($W144=4,"ESCALATED TO LOCAL OFFICE",IF($W144=5,"ESCALATED TO CBE",IF($X144=TODAY(),"EMAIL SENT","MONITORING"))))))))))</f>
        <v/>
      </c>
      <c r="U144" s="17">
        <f>IF($T144="",IF(AND(COUNTA($A144:$K144)&gt;0,$L144=""),"Awaiting Collection Email time stamp.",""),IF(OR($T144="PAID",$T144="CLOSED"),IF($T144="PAID","Account paid. Action completed.","Account closed. No further action required."),CHOOSE($W144,"Collection Email","1st Email Follow-up","2nd Email Follow-up","Escalation to Local Office","Escalation to CBE","Escalation to Roxanne")&amp;" sent "&amp;TEXT($X144,"dd-mmm")&amp;". "&amp;IF($W144=6,"Final escalation completed.",IF($T144="OVERDUE","Next: "&amp;$Z144&amp;" was due "&amp;TEXT($Y144,"dd-mmm")&amp;" - "&amp;(NETWORKDAYS($Y144,TODAY(),Holidays)-1)&amp;" business day(s) late. Send now.",IF($T144="DUE TOMORROW","Next: "&amp;$Z144&amp;IF($Y144&lt;=TODAY()," is due TODAY ("," is due next business day (")&amp;TEXT($Y144,"dd-mmm")&amp;").","Next: "&amp;$Z144&amp;" due "&amp;TEXT($Y144,"dd-mmm")&amp;" ("&amp;(NETWORKDAYS(TODAY(),$Y144,Holidays)-1)&amp;" business day(s) left).")))))</f>
        <v/>
      </c>
      <c r="V144" s="17">
        <f>IF($W144="","",CHOOSE($W144,"Collection Email","1st Follow-up","2nd Follow-up","Local Office","CBE","Roxanne")&amp;IF($W144=6," - Final"," - Day "&amp;MAX(0,NETWORKDAYS($X144,TODAY(),Holidays)-1)&amp;" of "&amp;CHOOSE($W144,3,3,2,2,3))&amp;" | Total Day "&amp;MAX(0,NETWORKDAYS($L144,TODAY(),Holidays)-1))</f>
        <v/>
      </c>
      <c r="W144" s="17">
        <f>IF($L144="","",COUNT($L144:$Q144))</f>
        <v/>
      </c>
      <c r="X144" s="18">
        <f>IF($W144="","",INT(INDEX($L144:$Q144,$W144)))</f>
        <v/>
      </c>
      <c r="Y144" s="18">
        <f>IF(OR($W144="",$W144=6),"",WORKDAY($X144,CHOOSE($W144,3,3,2,2,3),Holidays))</f>
        <v/>
      </c>
      <c r="Z144" s="17">
        <f>IF(OR($W144="",$W144=6),"",CHOOSE($W144,"1st Email Follow-up","2nd Email Follow-up","Escalate Local Office","Escalate to CBE","Escalate to Roxanne"))</f>
        <v/>
      </c>
    </row>
    <row r="145" spans="18:26">
      <c r="R145" s="15"/>
      <c r="S145" s="16"/>
      <c r="T145" s="17">
        <f>IF(AND(COUNTA($A145:$K145)=0,$L145=""),"",IF($S145="Paid","PAID",IF($S145="Closed","CLOSED",IF($W145="","",IF($W145=6,"ESCALATED TO ROXANNE",IF(TODAY()&gt;$Y145,"OVERDUE",IF($Y145&lt;=WORKDAY(TODAY(),1,Holidays),"DUE TOMORROW",IF($W145=4,"ESCALATED TO LOCAL OFFICE",IF($W145=5,"ESCALATED TO CBE",IF($X145=TODAY(),"EMAIL SENT","MONITORING"))))))))))</f>
        <v/>
      </c>
      <c r="U145" s="17">
        <f>IF($T145="",IF(AND(COUNTA($A145:$K145)&gt;0,$L145=""),"Awaiting Collection Email time stamp.",""),IF(OR($T145="PAID",$T145="CLOSED"),IF($T145="PAID","Account paid. Action completed.","Account closed. No further action required."),CHOOSE($W145,"Collection Email","1st Email Follow-up","2nd Email Follow-up","Escalation to Local Office","Escalation to CBE","Escalation to Roxanne")&amp;" sent "&amp;TEXT($X145,"dd-mmm")&amp;". "&amp;IF($W145=6,"Final escalation completed.",IF($T145="OVERDUE","Next: "&amp;$Z145&amp;" was due "&amp;TEXT($Y145,"dd-mmm")&amp;" - "&amp;(NETWORKDAYS($Y145,TODAY(),Holidays)-1)&amp;" business day(s) late. Send now.",IF($T145="DUE TOMORROW","Next: "&amp;$Z145&amp;IF($Y145&lt;=TODAY()," is due TODAY ("," is due next business day (")&amp;TEXT($Y145,"dd-mmm")&amp;").","Next: "&amp;$Z145&amp;" due "&amp;TEXT($Y145,"dd-mmm")&amp;" ("&amp;(NETWORKDAYS(TODAY(),$Y145,Holidays)-1)&amp;" business day(s) left).")))))</f>
        <v/>
      </c>
      <c r="V145" s="17">
        <f>IF($W145="","",CHOOSE($W145,"Collection Email","1st Follow-up","2nd Follow-up","Local Office","CBE","Roxanne")&amp;IF($W145=6," - Final"," - Day "&amp;MAX(0,NETWORKDAYS($X145,TODAY(),Holidays)-1)&amp;" of "&amp;CHOOSE($W145,3,3,2,2,3))&amp;" | Total Day "&amp;MAX(0,NETWORKDAYS($L145,TODAY(),Holidays)-1))</f>
        <v/>
      </c>
      <c r="W145" s="17">
        <f>IF($L145="","",COUNT($L145:$Q145))</f>
        <v/>
      </c>
      <c r="X145" s="18">
        <f>IF($W145="","",INT(INDEX($L145:$Q145,$W145)))</f>
        <v/>
      </c>
      <c r="Y145" s="18">
        <f>IF(OR($W145="",$W145=6),"",WORKDAY($X145,CHOOSE($W145,3,3,2,2,3),Holidays))</f>
        <v/>
      </c>
      <c r="Z145" s="17">
        <f>IF(OR($W145="",$W145=6),"",CHOOSE($W145,"1st Email Follow-up","2nd Email Follow-up","Escalate Local Office","Escalate to CBE","Escalate to Roxanne"))</f>
        <v/>
      </c>
    </row>
    <row r="146" spans="18:26">
      <c r="R146" s="15"/>
      <c r="S146" s="16"/>
      <c r="T146" s="17">
        <f>IF(AND(COUNTA($A146:$K146)=0,$L146=""),"",IF($S146="Paid","PAID",IF($S146="Closed","CLOSED",IF($W146="","",IF($W146=6,"ESCALATED TO ROXANNE",IF(TODAY()&gt;$Y146,"OVERDUE",IF($Y146&lt;=WORKDAY(TODAY(),1,Holidays),"DUE TOMORROW",IF($W146=4,"ESCALATED TO LOCAL OFFICE",IF($W146=5,"ESCALATED TO CBE",IF($X146=TODAY(),"EMAIL SENT","MONITORING"))))))))))</f>
        <v/>
      </c>
      <c r="U146" s="17">
        <f>IF($T146="",IF(AND(COUNTA($A146:$K146)&gt;0,$L146=""),"Awaiting Collection Email time stamp.",""),IF(OR($T146="PAID",$T146="CLOSED"),IF($T146="PAID","Account paid. Action completed.","Account closed. No further action required."),CHOOSE($W146,"Collection Email","1st Email Follow-up","2nd Email Follow-up","Escalation to Local Office","Escalation to CBE","Escalation to Roxanne")&amp;" sent "&amp;TEXT($X146,"dd-mmm")&amp;". "&amp;IF($W146=6,"Final escalation completed.",IF($T146="OVERDUE","Next: "&amp;$Z146&amp;" was due "&amp;TEXT($Y146,"dd-mmm")&amp;" - "&amp;(NETWORKDAYS($Y146,TODAY(),Holidays)-1)&amp;" business day(s) late. Send now.",IF($T146="DUE TOMORROW","Next: "&amp;$Z146&amp;IF($Y146&lt;=TODAY()," is due TODAY ("," is due next business day (")&amp;TEXT($Y146,"dd-mmm")&amp;").","Next: "&amp;$Z146&amp;" due "&amp;TEXT($Y146,"dd-mmm")&amp;" ("&amp;(NETWORKDAYS(TODAY(),$Y146,Holidays)-1)&amp;" business day(s) left).")))))</f>
        <v/>
      </c>
      <c r="V146" s="17">
        <f>IF($W146="","",CHOOSE($W146,"Collection Email","1st Follow-up","2nd Follow-up","Local Office","CBE","Roxanne")&amp;IF($W146=6," - Final"," - Day "&amp;MAX(0,NETWORKDAYS($X146,TODAY(),Holidays)-1)&amp;" of "&amp;CHOOSE($W146,3,3,2,2,3))&amp;" | Total Day "&amp;MAX(0,NETWORKDAYS($L146,TODAY(),Holidays)-1))</f>
        <v/>
      </c>
      <c r="W146" s="17">
        <f>IF($L146="","",COUNT($L146:$Q146))</f>
        <v/>
      </c>
      <c r="X146" s="18">
        <f>IF($W146="","",INT(INDEX($L146:$Q146,$W146)))</f>
        <v/>
      </c>
      <c r="Y146" s="18">
        <f>IF(OR($W146="",$W146=6),"",WORKDAY($X146,CHOOSE($W146,3,3,2,2,3),Holidays))</f>
        <v/>
      </c>
      <c r="Z146" s="17">
        <f>IF(OR($W146="",$W146=6),"",CHOOSE($W146,"1st Email Follow-up","2nd Email Follow-up","Escalate Local Office","Escalate to CBE","Escalate to Roxanne"))</f>
        <v/>
      </c>
    </row>
    <row r="147" spans="18:26">
      <c r="R147" s="15"/>
      <c r="S147" s="16"/>
      <c r="T147" s="17">
        <f>IF(AND(COUNTA($A147:$K147)=0,$L147=""),"",IF($S147="Paid","PAID",IF($S147="Closed","CLOSED",IF($W147="","",IF($W147=6,"ESCALATED TO ROXANNE",IF(TODAY()&gt;$Y147,"OVERDUE",IF($Y147&lt;=WORKDAY(TODAY(),1,Holidays),"DUE TOMORROW",IF($W147=4,"ESCALATED TO LOCAL OFFICE",IF($W147=5,"ESCALATED TO CBE",IF($X147=TODAY(),"EMAIL SENT","MONITORING"))))))))))</f>
        <v/>
      </c>
      <c r="U147" s="17">
        <f>IF($T147="",IF(AND(COUNTA($A147:$K147)&gt;0,$L147=""),"Awaiting Collection Email time stamp.",""),IF(OR($T147="PAID",$T147="CLOSED"),IF($T147="PAID","Account paid. Action completed.","Account closed. No further action required."),CHOOSE($W147,"Collection Email","1st Email Follow-up","2nd Email Follow-up","Escalation to Local Office","Escalation to CBE","Escalation to Roxanne")&amp;" sent "&amp;TEXT($X147,"dd-mmm")&amp;". "&amp;IF($W147=6,"Final escalation completed.",IF($T147="OVERDUE","Next: "&amp;$Z147&amp;" was due "&amp;TEXT($Y147,"dd-mmm")&amp;" - "&amp;(NETWORKDAYS($Y147,TODAY(),Holidays)-1)&amp;" business day(s) late. Send now.",IF($T147="DUE TOMORROW","Next: "&amp;$Z147&amp;IF($Y147&lt;=TODAY()," is due TODAY ("," is due next business day (")&amp;TEXT($Y147,"dd-mmm")&amp;").","Next: "&amp;$Z147&amp;" due "&amp;TEXT($Y147,"dd-mmm")&amp;" ("&amp;(NETWORKDAYS(TODAY(),$Y147,Holidays)-1)&amp;" business day(s) left).")))))</f>
        <v/>
      </c>
      <c r="V147" s="17">
        <f>IF($W147="","",CHOOSE($W147,"Collection Email","1st Follow-up","2nd Follow-up","Local Office","CBE","Roxanne")&amp;IF($W147=6," - Final"," - Day "&amp;MAX(0,NETWORKDAYS($X147,TODAY(),Holidays)-1)&amp;" of "&amp;CHOOSE($W147,3,3,2,2,3))&amp;" | Total Day "&amp;MAX(0,NETWORKDAYS($L147,TODAY(),Holidays)-1))</f>
        <v/>
      </c>
      <c r="W147" s="17">
        <f>IF($L147="","",COUNT($L147:$Q147))</f>
        <v/>
      </c>
      <c r="X147" s="18">
        <f>IF($W147="","",INT(INDEX($L147:$Q147,$W147)))</f>
        <v/>
      </c>
      <c r="Y147" s="18">
        <f>IF(OR($W147="",$W147=6),"",WORKDAY($X147,CHOOSE($W147,3,3,2,2,3),Holidays))</f>
        <v/>
      </c>
      <c r="Z147" s="17">
        <f>IF(OR($W147="",$W147=6),"",CHOOSE($W147,"1st Email Follow-up","2nd Email Follow-up","Escalate Local Office","Escalate to CBE","Escalate to Roxanne"))</f>
        <v/>
      </c>
    </row>
    <row r="148" spans="18:26">
      <c r="R148" s="15"/>
      <c r="S148" s="16"/>
      <c r="T148" s="17">
        <f>IF(AND(COUNTA($A148:$K148)=0,$L148=""),"",IF($S148="Paid","PAID",IF($S148="Closed","CLOSED",IF($W148="","",IF($W148=6,"ESCALATED TO ROXANNE",IF(TODAY()&gt;$Y148,"OVERDUE",IF($Y148&lt;=WORKDAY(TODAY(),1,Holidays),"DUE TOMORROW",IF($W148=4,"ESCALATED TO LOCAL OFFICE",IF($W148=5,"ESCALATED TO CBE",IF($X148=TODAY(),"EMAIL SENT","MONITORING"))))))))))</f>
        <v/>
      </c>
      <c r="U148" s="17">
        <f>IF($T148="",IF(AND(COUNTA($A148:$K148)&gt;0,$L148=""),"Awaiting Collection Email time stamp.",""),IF(OR($T148="PAID",$T148="CLOSED"),IF($T148="PAID","Account paid. Action completed.","Account closed. No further action required."),CHOOSE($W148,"Collection Email","1st Email Follow-up","2nd Email Follow-up","Escalation to Local Office","Escalation to CBE","Escalation to Roxanne")&amp;" sent "&amp;TEXT($X148,"dd-mmm")&amp;". "&amp;IF($W148=6,"Final escalation completed.",IF($T148="OVERDUE","Next: "&amp;$Z148&amp;" was due "&amp;TEXT($Y148,"dd-mmm")&amp;" - "&amp;(NETWORKDAYS($Y148,TODAY(),Holidays)-1)&amp;" business day(s) late. Send now.",IF($T148="DUE TOMORROW","Next: "&amp;$Z148&amp;IF($Y148&lt;=TODAY()," is due TODAY ("," is due next business day (")&amp;TEXT($Y148,"dd-mmm")&amp;").","Next: "&amp;$Z148&amp;" due "&amp;TEXT($Y148,"dd-mmm")&amp;" ("&amp;(NETWORKDAYS(TODAY(),$Y148,Holidays)-1)&amp;" business day(s) left).")))))</f>
        <v/>
      </c>
      <c r="V148" s="17">
        <f>IF($W148="","",CHOOSE($W148,"Collection Email","1st Follow-up","2nd Follow-up","Local Office","CBE","Roxanne")&amp;IF($W148=6," - Final"," - Day "&amp;MAX(0,NETWORKDAYS($X148,TODAY(),Holidays)-1)&amp;" of "&amp;CHOOSE($W148,3,3,2,2,3))&amp;" | Total Day "&amp;MAX(0,NETWORKDAYS($L148,TODAY(),Holidays)-1))</f>
        <v/>
      </c>
      <c r="W148" s="17">
        <f>IF($L148="","",COUNT($L148:$Q148))</f>
        <v/>
      </c>
      <c r="X148" s="18">
        <f>IF($W148="","",INT(INDEX($L148:$Q148,$W148)))</f>
        <v/>
      </c>
      <c r="Y148" s="18">
        <f>IF(OR($W148="",$W148=6),"",WORKDAY($X148,CHOOSE($W148,3,3,2,2,3),Holidays))</f>
        <v/>
      </c>
      <c r="Z148" s="17">
        <f>IF(OR($W148="",$W148=6),"",CHOOSE($W148,"1st Email Follow-up","2nd Email Follow-up","Escalate Local Office","Escalate to CBE","Escalate to Roxanne"))</f>
        <v/>
      </c>
    </row>
    <row r="149" spans="18:26">
      <c r="R149" s="15"/>
      <c r="S149" s="16"/>
      <c r="T149" s="17">
        <f>IF(AND(COUNTA($A149:$K149)=0,$L149=""),"",IF($S149="Paid","PAID",IF($S149="Closed","CLOSED",IF($W149="","",IF($W149=6,"ESCALATED TO ROXANNE",IF(TODAY()&gt;$Y149,"OVERDUE",IF($Y149&lt;=WORKDAY(TODAY(),1,Holidays),"DUE TOMORROW",IF($W149=4,"ESCALATED TO LOCAL OFFICE",IF($W149=5,"ESCALATED TO CBE",IF($X149=TODAY(),"EMAIL SENT","MONITORING"))))))))))</f>
        <v/>
      </c>
      <c r="U149" s="17">
        <f>IF($T149="",IF(AND(COUNTA($A149:$K149)&gt;0,$L149=""),"Awaiting Collection Email time stamp.",""),IF(OR($T149="PAID",$T149="CLOSED"),IF($T149="PAID","Account paid. Action completed.","Account closed. No further action required."),CHOOSE($W149,"Collection Email","1st Email Follow-up","2nd Email Follow-up","Escalation to Local Office","Escalation to CBE","Escalation to Roxanne")&amp;" sent "&amp;TEXT($X149,"dd-mmm")&amp;". "&amp;IF($W149=6,"Final escalation completed.",IF($T149="OVERDUE","Next: "&amp;$Z149&amp;" was due "&amp;TEXT($Y149,"dd-mmm")&amp;" - "&amp;(NETWORKDAYS($Y149,TODAY(),Holidays)-1)&amp;" business day(s) late. Send now.",IF($T149="DUE TOMORROW","Next: "&amp;$Z149&amp;IF($Y149&lt;=TODAY()," is due TODAY ("," is due next business day (")&amp;TEXT($Y149,"dd-mmm")&amp;").","Next: "&amp;$Z149&amp;" due "&amp;TEXT($Y149,"dd-mmm")&amp;" ("&amp;(NETWORKDAYS(TODAY(),$Y149,Holidays)-1)&amp;" business day(s) left).")))))</f>
        <v/>
      </c>
      <c r="V149" s="17">
        <f>IF($W149="","",CHOOSE($W149,"Collection Email","1st Follow-up","2nd Follow-up","Local Office","CBE","Roxanne")&amp;IF($W149=6," - Final"," - Day "&amp;MAX(0,NETWORKDAYS($X149,TODAY(),Holidays)-1)&amp;" of "&amp;CHOOSE($W149,3,3,2,2,3))&amp;" | Total Day "&amp;MAX(0,NETWORKDAYS($L149,TODAY(),Holidays)-1))</f>
        <v/>
      </c>
      <c r="W149" s="17">
        <f>IF($L149="","",COUNT($L149:$Q149))</f>
        <v/>
      </c>
      <c r="X149" s="18">
        <f>IF($W149="","",INT(INDEX($L149:$Q149,$W149)))</f>
        <v/>
      </c>
      <c r="Y149" s="18">
        <f>IF(OR($W149="",$W149=6),"",WORKDAY($X149,CHOOSE($W149,3,3,2,2,3),Holidays))</f>
        <v/>
      </c>
      <c r="Z149" s="17">
        <f>IF(OR($W149="",$W149=6),"",CHOOSE($W149,"1st Email Follow-up","2nd Email Follow-up","Escalate Local Office","Escalate to CBE","Escalate to Roxanne"))</f>
        <v/>
      </c>
    </row>
    <row r="150" spans="18:26">
      <c r="R150" s="15"/>
      <c r="S150" s="16"/>
      <c r="T150" s="17">
        <f>IF(AND(COUNTA($A150:$K150)=0,$L150=""),"",IF($S150="Paid","PAID",IF($S150="Closed","CLOSED",IF($W150="","",IF($W150=6,"ESCALATED TO ROXANNE",IF(TODAY()&gt;$Y150,"OVERDUE",IF($Y150&lt;=WORKDAY(TODAY(),1,Holidays),"DUE TOMORROW",IF($W150=4,"ESCALATED TO LOCAL OFFICE",IF($W150=5,"ESCALATED TO CBE",IF($X150=TODAY(),"EMAIL SENT","MONITORING"))))))))))</f>
        <v/>
      </c>
      <c r="U150" s="17">
        <f>IF($T150="",IF(AND(COUNTA($A150:$K150)&gt;0,$L150=""),"Awaiting Collection Email time stamp.",""),IF(OR($T150="PAID",$T150="CLOSED"),IF($T150="PAID","Account paid. Action completed.","Account closed. No further action required."),CHOOSE($W150,"Collection Email","1st Email Follow-up","2nd Email Follow-up","Escalation to Local Office","Escalation to CBE","Escalation to Roxanne")&amp;" sent "&amp;TEXT($X150,"dd-mmm")&amp;". "&amp;IF($W150=6,"Final escalation completed.",IF($T150="OVERDUE","Next: "&amp;$Z150&amp;" was due "&amp;TEXT($Y150,"dd-mmm")&amp;" - "&amp;(NETWORKDAYS($Y150,TODAY(),Holidays)-1)&amp;" business day(s) late. Send now.",IF($T150="DUE TOMORROW","Next: "&amp;$Z150&amp;IF($Y150&lt;=TODAY()," is due TODAY ("," is due next business day (")&amp;TEXT($Y150,"dd-mmm")&amp;").","Next: "&amp;$Z150&amp;" due "&amp;TEXT($Y150,"dd-mmm")&amp;" ("&amp;(NETWORKDAYS(TODAY(),$Y150,Holidays)-1)&amp;" business day(s) left).")))))</f>
        <v/>
      </c>
      <c r="V150" s="17">
        <f>IF($W150="","",CHOOSE($W150,"Collection Email","1st Follow-up","2nd Follow-up","Local Office","CBE","Roxanne")&amp;IF($W150=6," - Final"," - Day "&amp;MAX(0,NETWORKDAYS($X150,TODAY(),Holidays)-1)&amp;" of "&amp;CHOOSE($W150,3,3,2,2,3))&amp;" | Total Day "&amp;MAX(0,NETWORKDAYS($L150,TODAY(),Holidays)-1))</f>
        <v/>
      </c>
      <c r="W150" s="17">
        <f>IF($L150="","",COUNT($L150:$Q150))</f>
        <v/>
      </c>
      <c r="X150" s="18">
        <f>IF($W150="","",INT(INDEX($L150:$Q150,$W150)))</f>
        <v/>
      </c>
      <c r="Y150" s="18">
        <f>IF(OR($W150="",$W150=6),"",WORKDAY($X150,CHOOSE($W150,3,3,2,2,3),Holidays))</f>
        <v/>
      </c>
      <c r="Z150" s="17">
        <f>IF(OR($W150="",$W150=6),"",CHOOSE($W150,"1st Email Follow-up","2nd Email Follow-up","Escalate Local Office","Escalate to CBE","Escalate to Roxanne"))</f>
        <v/>
      </c>
    </row>
    <row r="151" spans="18:26">
      <c r="R151" s="15"/>
      <c r="S151" s="16"/>
      <c r="T151" s="17">
        <f>IF(AND(COUNTA($A151:$K151)=0,$L151=""),"",IF($S151="Paid","PAID",IF($S151="Closed","CLOSED",IF($W151="","",IF($W151=6,"ESCALATED TO ROXANNE",IF(TODAY()&gt;$Y151,"OVERDUE",IF($Y151&lt;=WORKDAY(TODAY(),1,Holidays),"DUE TOMORROW",IF($W151=4,"ESCALATED TO LOCAL OFFICE",IF($W151=5,"ESCALATED TO CBE",IF($X151=TODAY(),"EMAIL SENT","MONITORING"))))))))))</f>
        <v/>
      </c>
      <c r="U151" s="17">
        <f>IF($T151="",IF(AND(COUNTA($A151:$K151)&gt;0,$L151=""),"Awaiting Collection Email time stamp.",""),IF(OR($T151="PAID",$T151="CLOSED"),IF($T151="PAID","Account paid. Action completed.","Account closed. No further action required."),CHOOSE($W151,"Collection Email","1st Email Follow-up","2nd Email Follow-up","Escalation to Local Office","Escalation to CBE","Escalation to Roxanne")&amp;" sent "&amp;TEXT($X151,"dd-mmm")&amp;". "&amp;IF($W151=6,"Final escalation completed.",IF($T151="OVERDUE","Next: "&amp;$Z151&amp;" was due "&amp;TEXT($Y151,"dd-mmm")&amp;" - "&amp;(NETWORKDAYS($Y151,TODAY(),Holidays)-1)&amp;" business day(s) late. Send now.",IF($T151="DUE TOMORROW","Next: "&amp;$Z151&amp;IF($Y151&lt;=TODAY()," is due TODAY ("," is due next business day (")&amp;TEXT($Y151,"dd-mmm")&amp;").","Next: "&amp;$Z151&amp;" due "&amp;TEXT($Y151,"dd-mmm")&amp;" ("&amp;(NETWORKDAYS(TODAY(),$Y151,Holidays)-1)&amp;" business day(s) left).")))))</f>
        <v/>
      </c>
      <c r="V151" s="17">
        <f>IF($W151="","",CHOOSE($W151,"Collection Email","1st Follow-up","2nd Follow-up","Local Office","CBE","Roxanne")&amp;IF($W151=6," - Final"," - Day "&amp;MAX(0,NETWORKDAYS($X151,TODAY(),Holidays)-1)&amp;" of "&amp;CHOOSE($W151,3,3,2,2,3))&amp;" | Total Day "&amp;MAX(0,NETWORKDAYS($L151,TODAY(),Holidays)-1))</f>
        <v/>
      </c>
      <c r="W151" s="17">
        <f>IF($L151="","",COUNT($L151:$Q151))</f>
        <v/>
      </c>
      <c r="X151" s="18">
        <f>IF($W151="","",INT(INDEX($L151:$Q151,$W151)))</f>
        <v/>
      </c>
      <c r="Y151" s="18">
        <f>IF(OR($W151="",$W151=6),"",WORKDAY($X151,CHOOSE($W151,3,3,2,2,3),Holidays))</f>
        <v/>
      </c>
      <c r="Z151" s="17">
        <f>IF(OR($W151="",$W151=6),"",CHOOSE($W151,"1st Email Follow-up","2nd Email Follow-up","Escalate Local Office","Escalate to CBE","Escalate to Roxanne"))</f>
        <v/>
      </c>
    </row>
    <row r="152" spans="18:26">
      <c r="R152" s="15"/>
      <c r="S152" s="16"/>
      <c r="T152" s="17">
        <f>IF(AND(COUNTA($A152:$K152)=0,$L152=""),"",IF($S152="Paid","PAID",IF($S152="Closed","CLOSED",IF($W152="","",IF($W152=6,"ESCALATED TO ROXANNE",IF(TODAY()&gt;$Y152,"OVERDUE",IF($Y152&lt;=WORKDAY(TODAY(),1,Holidays),"DUE TOMORROW",IF($W152=4,"ESCALATED TO LOCAL OFFICE",IF($W152=5,"ESCALATED TO CBE",IF($X152=TODAY(),"EMAIL SENT","MONITORING"))))))))))</f>
        <v/>
      </c>
      <c r="U152" s="17">
        <f>IF($T152="",IF(AND(COUNTA($A152:$K152)&gt;0,$L152=""),"Awaiting Collection Email time stamp.",""),IF(OR($T152="PAID",$T152="CLOSED"),IF($T152="PAID","Account paid. Action completed.","Account closed. No further action required."),CHOOSE($W152,"Collection Email","1st Email Follow-up","2nd Email Follow-up","Escalation to Local Office","Escalation to CBE","Escalation to Roxanne")&amp;" sent "&amp;TEXT($X152,"dd-mmm")&amp;". "&amp;IF($W152=6,"Final escalation completed.",IF($T152="OVERDUE","Next: "&amp;$Z152&amp;" was due "&amp;TEXT($Y152,"dd-mmm")&amp;" - "&amp;(NETWORKDAYS($Y152,TODAY(),Holidays)-1)&amp;" business day(s) late. Send now.",IF($T152="DUE TOMORROW","Next: "&amp;$Z152&amp;IF($Y152&lt;=TODAY()," is due TODAY ("," is due next business day (")&amp;TEXT($Y152,"dd-mmm")&amp;").","Next: "&amp;$Z152&amp;" due "&amp;TEXT($Y152,"dd-mmm")&amp;" ("&amp;(NETWORKDAYS(TODAY(),$Y152,Holidays)-1)&amp;" business day(s) left).")))))</f>
        <v/>
      </c>
      <c r="V152" s="17">
        <f>IF($W152="","",CHOOSE($W152,"Collection Email","1st Follow-up","2nd Follow-up","Local Office","CBE","Roxanne")&amp;IF($W152=6," - Final"," - Day "&amp;MAX(0,NETWORKDAYS($X152,TODAY(),Holidays)-1)&amp;" of "&amp;CHOOSE($W152,3,3,2,2,3))&amp;" | Total Day "&amp;MAX(0,NETWORKDAYS($L152,TODAY(),Holidays)-1))</f>
        <v/>
      </c>
      <c r="W152" s="17">
        <f>IF($L152="","",COUNT($L152:$Q152))</f>
        <v/>
      </c>
      <c r="X152" s="18">
        <f>IF($W152="","",INT(INDEX($L152:$Q152,$W152)))</f>
        <v/>
      </c>
      <c r="Y152" s="18">
        <f>IF(OR($W152="",$W152=6),"",WORKDAY($X152,CHOOSE($W152,3,3,2,2,3),Holidays))</f>
        <v/>
      </c>
      <c r="Z152" s="17">
        <f>IF(OR($W152="",$W152=6),"",CHOOSE($W152,"1st Email Follow-up","2nd Email Follow-up","Escalate Local Office","Escalate to CBE","Escalate to Roxanne"))</f>
        <v/>
      </c>
    </row>
    <row r="153" spans="18:26">
      <c r="R153" s="15"/>
      <c r="S153" s="16"/>
      <c r="T153" s="17">
        <f>IF(AND(COUNTA($A153:$K153)=0,$L153=""),"",IF($S153="Paid","PAID",IF($S153="Closed","CLOSED",IF($W153="","",IF($W153=6,"ESCALATED TO ROXANNE",IF(TODAY()&gt;$Y153,"OVERDUE",IF($Y153&lt;=WORKDAY(TODAY(),1,Holidays),"DUE TOMORROW",IF($W153=4,"ESCALATED TO LOCAL OFFICE",IF($W153=5,"ESCALATED TO CBE",IF($X153=TODAY(),"EMAIL SENT","MONITORING"))))))))))</f>
        <v/>
      </c>
      <c r="U153" s="17">
        <f>IF($T153="",IF(AND(COUNTA($A153:$K153)&gt;0,$L153=""),"Awaiting Collection Email time stamp.",""),IF(OR($T153="PAID",$T153="CLOSED"),IF($T153="PAID","Account paid. Action completed.","Account closed. No further action required."),CHOOSE($W153,"Collection Email","1st Email Follow-up","2nd Email Follow-up","Escalation to Local Office","Escalation to CBE","Escalation to Roxanne")&amp;" sent "&amp;TEXT($X153,"dd-mmm")&amp;". "&amp;IF($W153=6,"Final escalation completed.",IF($T153="OVERDUE","Next: "&amp;$Z153&amp;" was due "&amp;TEXT($Y153,"dd-mmm")&amp;" - "&amp;(NETWORKDAYS($Y153,TODAY(),Holidays)-1)&amp;" business day(s) late. Send now.",IF($T153="DUE TOMORROW","Next: "&amp;$Z153&amp;IF($Y153&lt;=TODAY()," is due TODAY ("," is due next business day (")&amp;TEXT($Y153,"dd-mmm")&amp;").","Next: "&amp;$Z153&amp;" due "&amp;TEXT($Y153,"dd-mmm")&amp;" ("&amp;(NETWORKDAYS(TODAY(),$Y153,Holidays)-1)&amp;" business day(s) left).")))))</f>
        <v/>
      </c>
      <c r="V153" s="17">
        <f>IF($W153="","",CHOOSE($W153,"Collection Email","1st Follow-up","2nd Follow-up","Local Office","CBE","Roxanne")&amp;IF($W153=6," - Final"," - Day "&amp;MAX(0,NETWORKDAYS($X153,TODAY(),Holidays)-1)&amp;" of "&amp;CHOOSE($W153,3,3,2,2,3))&amp;" | Total Day "&amp;MAX(0,NETWORKDAYS($L153,TODAY(),Holidays)-1))</f>
        <v/>
      </c>
      <c r="W153" s="17">
        <f>IF($L153="","",COUNT($L153:$Q153))</f>
        <v/>
      </c>
      <c r="X153" s="18">
        <f>IF($W153="","",INT(INDEX($L153:$Q153,$W153)))</f>
        <v/>
      </c>
      <c r="Y153" s="18">
        <f>IF(OR($W153="",$W153=6),"",WORKDAY($X153,CHOOSE($W153,3,3,2,2,3),Holidays))</f>
        <v/>
      </c>
      <c r="Z153" s="17">
        <f>IF(OR($W153="",$W153=6),"",CHOOSE($W153,"1st Email Follow-up","2nd Email Follow-up","Escalate Local Office","Escalate to CBE","Escalate to Roxanne"))</f>
        <v/>
      </c>
    </row>
    <row r="154" spans="18:26">
      <c r="R154" s="15"/>
      <c r="S154" s="16"/>
      <c r="T154" s="17">
        <f>IF(AND(COUNTA($A154:$K154)=0,$L154=""),"",IF($S154="Paid","PAID",IF($S154="Closed","CLOSED",IF($W154="","",IF($W154=6,"ESCALATED TO ROXANNE",IF(TODAY()&gt;$Y154,"OVERDUE",IF($Y154&lt;=WORKDAY(TODAY(),1,Holidays),"DUE TOMORROW",IF($W154=4,"ESCALATED TO LOCAL OFFICE",IF($W154=5,"ESCALATED TO CBE",IF($X154=TODAY(),"EMAIL SENT","MONITORING"))))))))))</f>
        <v/>
      </c>
      <c r="U154" s="17">
        <f>IF($T154="",IF(AND(COUNTA($A154:$K154)&gt;0,$L154=""),"Awaiting Collection Email time stamp.",""),IF(OR($T154="PAID",$T154="CLOSED"),IF($T154="PAID","Account paid. Action completed.","Account closed. No further action required."),CHOOSE($W154,"Collection Email","1st Email Follow-up","2nd Email Follow-up","Escalation to Local Office","Escalation to CBE","Escalation to Roxanne")&amp;" sent "&amp;TEXT($X154,"dd-mmm")&amp;". "&amp;IF($W154=6,"Final escalation completed.",IF($T154="OVERDUE","Next: "&amp;$Z154&amp;" was due "&amp;TEXT($Y154,"dd-mmm")&amp;" - "&amp;(NETWORKDAYS($Y154,TODAY(),Holidays)-1)&amp;" business day(s) late. Send now.",IF($T154="DUE TOMORROW","Next: "&amp;$Z154&amp;IF($Y154&lt;=TODAY()," is due TODAY ("," is due next business day (")&amp;TEXT($Y154,"dd-mmm")&amp;").","Next: "&amp;$Z154&amp;" due "&amp;TEXT($Y154,"dd-mmm")&amp;" ("&amp;(NETWORKDAYS(TODAY(),$Y154,Holidays)-1)&amp;" business day(s) left).")))))</f>
        <v/>
      </c>
      <c r="V154" s="17">
        <f>IF($W154="","",CHOOSE($W154,"Collection Email","1st Follow-up","2nd Follow-up","Local Office","CBE","Roxanne")&amp;IF($W154=6," - Final"," - Day "&amp;MAX(0,NETWORKDAYS($X154,TODAY(),Holidays)-1)&amp;" of "&amp;CHOOSE($W154,3,3,2,2,3))&amp;" | Total Day "&amp;MAX(0,NETWORKDAYS($L154,TODAY(),Holidays)-1))</f>
        <v/>
      </c>
      <c r="W154" s="17">
        <f>IF($L154="","",COUNT($L154:$Q154))</f>
        <v/>
      </c>
      <c r="X154" s="18">
        <f>IF($W154="","",INT(INDEX($L154:$Q154,$W154)))</f>
        <v/>
      </c>
      <c r="Y154" s="18">
        <f>IF(OR($W154="",$W154=6),"",WORKDAY($X154,CHOOSE($W154,3,3,2,2,3),Holidays))</f>
        <v/>
      </c>
      <c r="Z154" s="17">
        <f>IF(OR($W154="",$W154=6),"",CHOOSE($W154,"1st Email Follow-up","2nd Email Follow-up","Escalate Local Office","Escalate to CBE","Escalate to Roxanne"))</f>
        <v/>
      </c>
    </row>
    <row r="155" spans="18:26">
      <c r="R155" s="15"/>
      <c r="S155" s="16"/>
      <c r="T155" s="17">
        <f>IF(AND(COUNTA($A155:$K155)=0,$L155=""),"",IF($S155="Paid","PAID",IF($S155="Closed","CLOSED",IF($W155="","",IF($W155=6,"ESCALATED TO ROXANNE",IF(TODAY()&gt;$Y155,"OVERDUE",IF($Y155&lt;=WORKDAY(TODAY(),1,Holidays),"DUE TOMORROW",IF($W155=4,"ESCALATED TO LOCAL OFFICE",IF($W155=5,"ESCALATED TO CBE",IF($X155=TODAY(),"EMAIL SENT","MONITORING"))))))))))</f>
        <v/>
      </c>
      <c r="U155" s="17">
        <f>IF($T155="",IF(AND(COUNTA($A155:$K155)&gt;0,$L155=""),"Awaiting Collection Email time stamp.",""),IF(OR($T155="PAID",$T155="CLOSED"),IF($T155="PAID","Account paid. Action completed.","Account closed. No further action required."),CHOOSE($W155,"Collection Email","1st Email Follow-up","2nd Email Follow-up","Escalation to Local Office","Escalation to CBE","Escalation to Roxanne")&amp;" sent "&amp;TEXT($X155,"dd-mmm")&amp;". "&amp;IF($W155=6,"Final escalation completed.",IF($T155="OVERDUE","Next: "&amp;$Z155&amp;" was due "&amp;TEXT($Y155,"dd-mmm")&amp;" - "&amp;(NETWORKDAYS($Y155,TODAY(),Holidays)-1)&amp;" business day(s) late. Send now.",IF($T155="DUE TOMORROW","Next: "&amp;$Z155&amp;IF($Y155&lt;=TODAY()," is due TODAY ("," is due next business day (")&amp;TEXT($Y155,"dd-mmm")&amp;").","Next: "&amp;$Z155&amp;" due "&amp;TEXT($Y155,"dd-mmm")&amp;" ("&amp;(NETWORKDAYS(TODAY(),$Y155,Holidays)-1)&amp;" business day(s) left).")))))</f>
        <v/>
      </c>
      <c r="V155" s="17">
        <f>IF($W155="","",CHOOSE($W155,"Collection Email","1st Follow-up","2nd Follow-up","Local Office","CBE","Roxanne")&amp;IF($W155=6," - Final"," - Day "&amp;MAX(0,NETWORKDAYS($X155,TODAY(),Holidays)-1)&amp;" of "&amp;CHOOSE($W155,3,3,2,2,3))&amp;" | Total Day "&amp;MAX(0,NETWORKDAYS($L155,TODAY(),Holidays)-1))</f>
        <v/>
      </c>
      <c r="W155" s="17">
        <f>IF($L155="","",COUNT($L155:$Q155))</f>
        <v/>
      </c>
      <c r="X155" s="18">
        <f>IF($W155="","",INT(INDEX($L155:$Q155,$W155)))</f>
        <v/>
      </c>
      <c r="Y155" s="18">
        <f>IF(OR($W155="",$W155=6),"",WORKDAY($X155,CHOOSE($W155,3,3,2,2,3),Holidays))</f>
        <v/>
      </c>
      <c r="Z155" s="17">
        <f>IF(OR($W155="",$W155=6),"",CHOOSE($W155,"1st Email Follow-up","2nd Email Follow-up","Escalate Local Office","Escalate to CBE","Escalate to Roxanne"))</f>
        <v/>
      </c>
    </row>
    <row r="156" spans="18:26">
      <c r="R156" s="15"/>
      <c r="S156" s="16"/>
      <c r="T156" s="17">
        <f>IF(AND(COUNTA($A156:$K156)=0,$L156=""),"",IF($S156="Paid","PAID",IF($S156="Closed","CLOSED",IF($W156="","",IF($W156=6,"ESCALATED TO ROXANNE",IF(TODAY()&gt;$Y156,"OVERDUE",IF($Y156&lt;=WORKDAY(TODAY(),1,Holidays),"DUE TOMORROW",IF($W156=4,"ESCALATED TO LOCAL OFFICE",IF($W156=5,"ESCALATED TO CBE",IF($X156=TODAY(),"EMAIL SENT","MONITORING"))))))))))</f>
        <v/>
      </c>
      <c r="U156" s="17">
        <f>IF($T156="",IF(AND(COUNTA($A156:$K156)&gt;0,$L156=""),"Awaiting Collection Email time stamp.",""),IF(OR($T156="PAID",$T156="CLOSED"),IF($T156="PAID","Account paid. Action completed.","Account closed. No further action required."),CHOOSE($W156,"Collection Email","1st Email Follow-up","2nd Email Follow-up","Escalation to Local Office","Escalation to CBE","Escalation to Roxanne")&amp;" sent "&amp;TEXT($X156,"dd-mmm")&amp;". "&amp;IF($W156=6,"Final escalation completed.",IF($T156="OVERDUE","Next: "&amp;$Z156&amp;" was due "&amp;TEXT($Y156,"dd-mmm")&amp;" - "&amp;(NETWORKDAYS($Y156,TODAY(),Holidays)-1)&amp;" business day(s) late. Send now.",IF($T156="DUE TOMORROW","Next: "&amp;$Z156&amp;IF($Y156&lt;=TODAY()," is due TODAY ("," is due next business day (")&amp;TEXT($Y156,"dd-mmm")&amp;").","Next: "&amp;$Z156&amp;" due "&amp;TEXT($Y156,"dd-mmm")&amp;" ("&amp;(NETWORKDAYS(TODAY(),$Y156,Holidays)-1)&amp;" business day(s) left).")))))</f>
        <v/>
      </c>
      <c r="V156" s="17">
        <f>IF($W156="","",CHOOSE($W156,"Collection Email","1st Follow-up","2nd Follow-up","Local Office","CBE","Roxanne")&amp;IF($W156=6," - Final"," - Day "&amp;MAX(0,NETWORKDAYS($X156,TODAY(),Holidays)-1)&amp;" of "&amp;CHOOSE($W156,3,3,2,2,3))&amp;" | Total Day "&amp;MAX(0,NETWORKDAYS($L156,TODAY(),Holidays)-1))</f>
        <v/>
      </c>
      <c r="W156" s="17">
        <f>IF($L156="","",COUNT($L156:$Q156))</f>
        <v/>
      </c>
      <c r="X156" s="18">
        <f>IF($W156="","",INT(INDEX($L156:$Q156,$W156)))</f>
        <v/>
      </c>
      <c r="Y156" s="18">
        <f>IF(OR($W156="",$W156=6),"",WORKDAY($X156,CHOOSE($W156,3,3,2,2,3),Holidays))</f>
        <v/>
      </c>
      <c r="Z156" s="17">
        <f>IF(OR($W156="",$W156=6),"",CHOOSE($W156,"1st Email Follow-up","2nd Email Follow-up","Escalate Local Office","Escalate to CBE","Escalate to Roxanne"))</f>
        <v/>
      </c>
    </row>
    <row r="157" spans="18:26">
      <c r="R157" s="15"/>
      <c r="S157" s="16"/>
      <c r="T157" s="17">
        <f>IF(AND(COUNTA($A157:$K157)=0,$L157=""),"",IF($S157="Paid","PAID",IF($S157="Closed","CLOSED",IF($W157="","",IF($W157=6,"ESCALATED TO ROXANNE",IF(TODAY()&gt;$Y157,"OVERDUE",IF($Y157&lt;=WORKDAY(TODAY(),1,Holidays),"DUE TOMORROW",IF($W157=4,"ESCALATED TO LOCAL OFFICE",IF($W157=5,"ESCALATED TO CBE",IF($X157=TODAY(),"EMAIL SENT","MONITORING"))))))))))</f>
        <v/>
      </c>
      <c r="U157" s="17">
        <f>IF($T157="",IF(AND(COUNTA($A157:$K157)&gt;0,$L157=""),"Awaiting Collection Email time stamp.",""),IF(OR($T157="PAID",$T157="CLOSED"),IF($T157="PAID","Account paid. Action completed.","Account closed. No further action required."),CHOOSE($W157,"Collection Email","1st Email Follow-up","2nd Email Follow-up","Escalation to Local Office","Escalation to CBE","Escalation to Roxanne")&amp;" sent "&amp;TEXT($X157,"dd-mmm")&amp;". "&amp;IF($W157=6,"Final escalation completed.",IF($T157="OVERDUE","Next: "&amp;$Z157&amp;" was due "&amp;TEXT($Y157,"dd-mmm")&amp;" - "&amp;(NETWORKDAYS($Y157,TODAY(),Holidays)-1)&amp;" business day(s) late. Send now.",IF($T157="DUE TOMORROW","Next: "&amp;$Z157&amp;IF($Y157&lt;=TODAY()," is due TODAY ("," is due next business day (")&amp;TEXT($Y157,"dd-mmm")&amp;").","Next: "&amp;$Z157&amp;" due "&amp;TEXT($Y157,"dd-mmm")&amp;" ("&amp;(NETWORKDAYS(TODAY(),$Y157,Holidays)-1)&amp;" business day(s) left).")))))</f>
        <v/>
      </c>
      <c r="V157" s="17">
        <f>IF($W157="","",CHOOSE($W157,"Collection Email","1st Follow-up","2nd Follow-up","Local Office","CBE","Roxanne")&amp;IF($W157=6," - Final"," - Day "&amp;MAX(0,NETWORKDAYS($X157,TODAY(),Holidays)-1)&amp;" of "&amp;CHOOSE($W157,3,3,2,2,3))&amp;" | Total Day "&amp;MAX(0,NETWORKDAYS($L157,TODAY(),Holidays)-1))</f>
        <v/>
      </c>
      <c r="W157" s="17">
        <f>IF($L157="","",COUNT($L157:$Q157))</f>
        <v/>
      </c>
      <c r="X157" s="18">
        <f>IF($W157="","",INT(INDEX($L157:$Q157,$W157)))</f>
        <v/>
      </c>
      <c r="Y157" s="18">
        <f>IF(OR($W157="",$W157=6),"",WORKDAY($X157,CHOOSE($W157,3,3,2,2,3),Holidays))</f>
        <v/>
      </c>
      <c r="Z157" s="17">
        <f>IF(OR($W157="",$W157=6),"",CHOOSE($W157,"1st Email Follow-up","2nd Email Follow-up","Escalate Local Office","Escalate to CBE","Escalate to Roxanne"))</f>
        <v/>
      </c>
    </row>
    <row r="158" spans="18:26">
      <c r="R158" s="15"/>
      <c r="S158" s="16"/>
      <c r="T158" s="17">
        <f>IF(AND(COUNTA($A158:$K158)=0,$L158=""),"",IF($S158="Paid","PAID",IF($S158="Closed","CLOSED",IF($W158="","",IF($W158=6,"ESCALATED TO ROXANNE",IF(TODAY()&gt;$Y158,"OVERDUE",IF($Y158&lt;=WORKDAY(TODAY(),1,Holidays),"DUE TOMORROW",IF($W158=4,"ESCALATED TO LOCAL OFFICE",IF($W158=5,"ESCALATED TO CBE",IF($X158=TODAY(),"EMAIL SENT","MONITORING"))))))))))</f>
        <v/>
      </c>
      <c r="U158" s="17">
        <f>IF($T158="",IF(AND(COUNTA($A158:$K158)&gt;0,$L158=""),"Awaiting Collection Email time stamp.",""),IF(OR($T158="PAID",$T158="CLOSED"),IF($T158="PAID","Account paid. Action completed.","Account closed. No further action required."),CHOOSE($W158,"Collection Email","1st Email Follow-up","2nd Email Follow-up","Escalation to Local Office","Escalation to CBE","Escalation to Roxanne")&amp;" sent "&amp;TEXT($X158,"dd-mmm")&amp;". "&amp;IF($W158=6,"Final escalation completed.",IF($T158="OVERDUE","Next: "&amp;$Z158&amp;" was due "&amp;TEXT($Y158,"dd-mmm")&amp;" - "&amp;(NETWORKDAYS($Y158,TODAY(),Holidays)-1)&amp;" business day(s) late. Send now.",IF($T158="DUE TOMORROW","Next: "&amp;$Z158&amp;IF($Y158&lt;=TODAY()," is due TODAY ("," is due next business day (")&amp;TEXT($Y158,"dd-mmm")&amp;").","Next: "&amp;$Z158&amp;" due "&amp;TEXT($Y158,"dd-mmm")&amp;" ("&amp;(NETWORKDAYS(TODAY(),$Y158,Holidays)-1)&amp;" business day(s) left).")))))</f>
        <v/>
      </c>
      <c r="V158" s="17">
        <f>IF($W158="","",CHOOSE($W158,"Collection Email","1st Follow-up","2nd Follow-up","Local Office","CBE","Roxanne")&amp;IF($W158=6," - Final"," - Day "&amp;MAX(0,NETWORKDAYS($X158,TODAY(),Holidays)-1)&amp;" of "&amp;CHOOSE($W158,3,3,2,2,3))&amp;" | Total Day "&amp;MAX(0,NETWORKDAYS($L158,TODAY(),Holidays)-1))</f>
        <v/>
      </c>
      <c r="W158" s="17">
        <f>IF($L158="","",COUNT($L158:$Q158))</f>
        <v/>
      </c>
      <c r="X158" s="18">
        <f>IF($W158="","",INT(INDEX($L158:$Q158,$W158)))</f>
        <v/>
      </c>
      <c r="Y158" s="18">
        <f>IF(OR($W158="",$W158=6),"",WORKDAY($X158,CHOOSE($W158,3,3,2,2,3),Holidays))</f>
        <v/>
      </c>
      <c r="Z158" s="17">
        <f>IF(OR($W158="",$W158=6),"",CHOOSE($W158,"1st Email Follow-up","2nd Email Follow-up","Escalate Local Office","Escalate to CBE","Escalate to Roxanne"))</f>
        <v/>
      </c>
    </row>
    <row r="159" spans="18:26">
      <c r="R159" s="15"/>
      <c r="S159" s="16"/>
      <c r="T159" s="17">
        <f>IF(AND(COUNTA($A159:$K159)=0,$L159=""),"",IF($S159="Paid","PAID",IF($S159="Closed","CLOSED",IF($W159="","",IF($W159=6,"ESCALATED TO ROXANNE",IF(TODAY()&gt;$Y159,"OVERDUE",IF($Y159&lt;=WORKDAY(TODAY(),1,Holidays),"DUE TOMORROW",IF($W159=4,"ESCALATED TO LOCAL OFFICE",IF($W159=5,"ESCALATED TO CBE",IF($X159=TODAY(),"EMAIL SENT","MONITORING"))))))))))</f>
        <v/>
      </c>
      <c r="U159" s="17">
        <f>IF($T159="",IF(AND(COUNTA($A159:$K159)&gt;0,$L159=""),"Awaiting Collection Email time stamp.",""),IF(OR($T159="PAID",$T159="CLOSED"),IF($T159="PAID","Account paid. Action completed.","Account closed. No further action required."),CHOOSE($W159,"Collection Email","1st Email Follow-up","2nd Email Follow-up","Escalation to Local Office","Escalation to CBE","Escalation to Roxanne")&amp;" sent "&amp;TEXT($X159,"dd-mmm")&amp;". "&amp;IF($W159=6,"Final escalation completed.",IF($T159="OVERDUE","Next: "&amp;$Z159&amp;" was due "&amp;TEXT($Y159,"dd-mmm")&amp;" - "&amp;(NETWORKDAYS($Y159,TODAY(),Holidays)-1)&amp;" business day(s) late. Send now.",IF($T159="DUE TOMORROW","Next: "&amp;$Z159&amp;IF($Y159&lt;=TODAY()," is due TODAY ("," is due next business day (")&amp;TEXT($Y159,"dd-mmm")&amp;").","Next: "&amp;$Z159&amp;" due "&amp;TEXT($Y159,"dd-mmm")&amp;" ("&amp;(NETWORKDAYS(TODAY(),$Y159,Holidays)-1)&amp;" business day(s) left).")))))</f>
        <v/>
      </c>
      <c r="V159" s="17">
        <f>IF($W159="","",CHOOSE($W159,"Collection Email","1st Follow-up","2nd Follow-up","Local Office","CBE","Roxanne")&amp;IF($W159=6," - Final"," - Day "&amp;MAX(0,NETWORKDAYS($X159,TODAY(),Holidays)-1)&amp;" of "&amp;CHOOSE($W159,3,3,2,2,3))&amp;" | Total Day "&amp;MAX(0,NETWORKDAYS($L159,TODAY(),Holidays)-1))</f>
        <v/>
      </c>
      <c r="W159" s="17">
        <f>IF($L159="","",COUNT($L159:$Q159))</f>
        <v/>
      </c>
      <c r="X159" s="18">
        <f>IF($W159="","",INT(INDEX($L159:$Q159,$W159)))</f>
        <v/>
      </c>
      <c r="Y159" s="18">
        <f>IF(OR($W159="",$W159=6),"",WORKDAY($X159,CHOOSE($W159,3,3,2,2,3),Holidays))</f>
        <v/>
      </c>
      <c r="Z159" s="17">
        <f>IF(OR($W159="",$W159=6),"",CHOOSE($W159,"1st Email Follow-up","2nd Email Follow-up","Escalate Local Office","Escalate to CBE","Escalate to Roxanne"))</f>
        <v/>
      </c>
    </row>
    <row r="160" spans="18:26">
      <c r="R160" s="15"/>
      <c r="S160" s="16"/>
      <c r="T160" s="17">
        <f>IF(AND(COUNTA($A160:$K160)=0,$L160=""),"",IF($S160="Paid","PAID",IF($S160="Closed","CLOSED",IF($W160="","",IF($W160=6,"ESCALATED TO ROXANNE",IF(TODAY()&gt;$Y160,"OVERDUE",IF($Y160&lt;=WORKDAY(TODAY(),1,Holidays),"DUE TOMORROW",IF($W160=4,"ESCALATED TO LOCAL OFFICE",IF($W160=5,"ESCALATED TO CBE",IF($X160=TODAY(),"EMAIL SENT","MONITORING"))))))))))</f>
        <v/>
      </c>
      <c r="U160" s="17">
        <f>IF($T160="",IF(AND(COUNTA($A160:$K160)&gt;0,$L160=""),"Awaiting Collection Email time stamp.",""),IF(OR($T160="PAID",$T160="CLOSED"),IF($T160="PAID","Account paid. Action completed.","Account closed. No further action required."),CHOOSE($W160,"Collection Email","1st Email Follow-up","2nd Email Follow-up","Escalation to Local Office","Escalation to CBE","Escalation to Roxanne")&amp;" sent "&amp;TEXT($X160,"dd-mmm")&amp;". "&amp;IF($W160=6,"Final escalation completed.",IF($T160="OVERDUE","Next: "&amp;$Z160&amp;" was due "&amp;TEXT($Y160,"dd-mmm")&amp;" - "&amp;(NETWORKDAYS($Y160,TODAY(),Holidays)-1)&amp;" business day(s) late. Send now.",IF($T160="DUE TOMORROW","Next: "&amp;$Z160&amp;IF($Y160&lt;=TODAY()," is due TODAY ("," is due next business day (")&amp;TEXT($Y160,"dd-mmm")&amp;").","Next: "&amp;$Z160&amp;" due "&amp;TEXT($Y160,"dd-mmm")&amp;" ("&amp;(NETWORKDAYS(TODAY(),$Y160,Holidays)-1)&amp;" business day(s) left).")))))</f>
        <v/>
      </c>
      <c r="V160" s="17">
        <f>IF($W160="","",CHOOSE($W160,"Collection Email","1st Follow-up","2nd Follow-up","Local Office","CBE","Roxanne")&amp;IF($W160=6," - Final"," - Day "&amp;MAX(0,NETWORKDAYS($X160,TODAY(),Holidays)-1)&amp;" of "&amp;CHOOSE($W160,3,3,2,2,3))&amp;" | Total Day "&amp;MAX(0,NETWORKDAYS($L160,TODAY(),Holidays)-1))</f>
        <v/>
      </c>
      <c r="W160" s="17">
        <f>IF($L160="","",COUNT($L160:$Q160))</f>
        <v/>
      </c>
      <c r="X160" s="18">
        <f>IF($W160="","",INT(INDEX($L160:$Q160,$W160)))</f>
        <v/>
      </c>
      <c r="Y160" s="18">
        <f>IF(OR($W160="",$W160=6),"",WORKDAY($X160,CHOOSE($W160,3,3,2,2,3),Holidays))</f>
        <v/>
      </c>
      <c r="Z160" s="17">
        <f>IF(OR($W160="",$W160=6),"",CHOOSE($W160,"1st Email Follow-up","2nd Email Follow-up","Escalate Local Office","Escalate to CBE","Escalate to Roxanne"))</f>
        <v/>
      </c>
    </row>
    <row r="161" spans="18:26">
      <c r="R161" s="15"/>
      <c r="S161" s="16"/>
      <c r="T161" s="17">
        <f>IF(AND(COUNTA($A161:$K161)=0,$L161=""),"",IF($S161="Paid","PAID",IF($S161="Closed","CLOSED",IF($W161="","",IF($W161=6,"ESCALATED TO ROXANNE",IF(TODAY()&gt;$Y161,"OVERDUE",IF($Y161&lt;=WORKDAY(TODAY(),1,Holidays),"DUE TOMORROW",IF($W161=4,"ESCALATED TO LOCAL OFFICE",IF($W161=5,"ESCALATED TO CBE",IF($X161=TODAY(),"EMAIL SENT","MONITORING"))))))))))</f>
        <v/>
      </c>
      <c r="U161" s="17">
        <f>IF($T161="",IF(AND(COUNTA($A161:$K161)&gt;0,$L161=""),"Awaiting Collection Email time stamp.",""),IF(OR($T161="PAID",$T161="CLOSED"),IF($T161="PAID","Account paid. Action completed.","Account closed. No further action required."),CHOOSE($W161,"Collection Email","1st Email Follow-up","2nd Email Follow-up","Escalation to Local Office","Escalation to CBE","Escalation to Roxanne")&amp;" sent "&amp;TEXT($X161,"dd-mmm")&amp;". "&amp;IF($W161=6,"Final escalation completed.",IF($T161="OVERDUE","Next: "&amp;$Z161&amp;" was due "&amp;TEXT($Y161,"dd-mmm")&amp;" - "&amp;(NETWORKDAYS($Y161,TODAY(),Holidays)-1)&amp;" business day(s) late. Send now.",IF($T161="DUE TOMORROW","Next: "&amp;$Z161&amp;IF($Y161&lt;=TODAY()," is due TODAY ("," is due next business day (")&amp;TEXT($Y161,"dd-mmm")&amp;").","Next: "&amp;$Z161&amp;" due "&amp;TEXT($Y161,"dd-mmm")&amp;" ("&amp;(NETWORKDAYS(TODAY(),$Y161,Holidays)-1)&amp;" business day(s) left).")))))</f>
        <v/>
      </c>
      <c r="V161" s="17">
        <f>IF($W161="","",CHOOSE($W161,"Collection Email","1st Follow-up","2nd Follow-up","Local Office","CBE","Roxanne")&amp;IF($W161=6," - Final"," - Day "&amp;MAX(0,NETWORKDAYS($X161,TODAY(),Holidays)-1)&amp;" of "&amp;CHOOSE($W161,3,3,2,2,3))&amp;" | Total Day "&amp;MAX(0,NETWORKDAYS($L161,TODAY(),Holidays)-1))</f>
        <v/>
      </c>
      <c r="W161" s="17">
        <f>IF($L161="","",COUNT($L161:$Q161))</f>
        <v/>
      </c>
      <c r="X161" s="18">
        <f>IF($W161="","",INT(INDEX($L161:$Q161,$W161)))</f>
        <v/>
      </c>
      <c r="Y161" s="18">
        <f>IF(OR($W161="",$W161=6),"",WORKDAY($X161,CHOOSE($W161,3,3,2,2,3),Holidays))</f>
        <v/>
      </c>
      <c r="Z161" s="17">
        <f>IF(OR($W161="",$W161=6),"",CHOOSE($W161,"1st Email Follow-up","2nd Email Follow-up","Escalate Local Office","Escalate to CBE","Escalate to Roxanne"))</f>
        <v/>
      </c>
    </row>
    <row r="162" spans="18:26">
      <c r="R162" s="15"/>
      <c r="S162" s="16"/>
      <c r="T162" s="17">
        <f>IF(AND(COUNTA($A162:$K162)=0,$L162=""),"",IF($S162="Paid","PAID",IF($S162="Closed","CLOSED",IF($W162="","",IF($W162=6,"ESCALATED TO ROXANNE",IF(TODAY()&gt;$Y162,"OVERDUE",IF($Y162&lt;=WORKDAY(TODAY(),1,Holidays),"DUE TOMORROW",IF($W162=4,"ESCALATED TO LOCAL OFFICE",IF($W162=5,"ESCALATED TO CBE",IF($X162=TODAY(),"EMAIL SENT","MONITORING"))))))))))</f>
        <v/>
      </c>
      <c r="U162" s="17">
        <f>IF($T162="",IF(AND(COUNTA($A162:$K162)&gt;0,$L162=""),"Awaiting Collection Email time stamp.",""),IF(OR($T162="PAID",$T162="CLOSED"),IF($T162="PAID","Account paid. Action completed.","Account closed. No further action required."),CHOOSE($W162,"Collection Email","1st Email Follow-up","2nd Email Follow-up","Escalation to Local Office","Escalation to CBE","Escalation to Roxanne")&amp;" sent "&amp;TEXT($X162,"dd-mmm")&amp;". "&amp;IF($W162=6,"Final escalation completed.",IF($T162="OVERDUE","Next: "&amp;$Z162&amp;" was due "&amp;TEXT($Y162,"dd-mmm")&amp;" - "&amp;(NETWORKDAYS($Y162,TODAY(),Holidays)-1)&amp;" business day(s) late. Send now.",IF($T162="DUE TOMORROW","Next: "&amp;$Z162&amp;IF($Y162&lt;=TODAY()," is due TODAY ("," is due next business day (")&amp;TEXT($Y162,"dd-mmm")&amp;").","Next: "&amp;$Z162&amp;" due "&amp;TEXT($Y162,"dd-mmm")&amp;" ("&amp;(NETWORKDAYS(TODAY(),$Y162,Holidays)-1)&amp;" business day(s) left).")))))</f>
        <v/>
      </c>
      <c r="V162" s="17">
        <f>IF($W162="","",CHOOSE($W162,"Collection Email","1st Follow-up","2nd Follow-up","Local Office","CBE","Roxanne")&amp;IF($W162=6," - Final"," - Day "&amp;MAX(0,NETWORKDAYS($X162,TODAY(),Holidays)-1)&amp;" of "&amp;CHOOSE($W162,3,3,2,2,3))&amp;" | Total Day "&amp;MAX(0,NETWORKDAYS($L162,TODAY(),Holidays)-1))</f>
        <v/>
      </c>
      <c r="W162" s="17">
        <f>IF($L162="","",COUNT($L162:$Q162))</f>
        <v/>
      </c>
      <c r="X162" s="18">
        <f>IF($W162="","",INT(INDEX($L162:$Q162,$W162)))</f>
        <v/>
      </c>
      <c r="Y162" s="18">
        <f>IF(OR($W162="",$W162=6),"",WORKDAY($X162,CHOOSE($W162,3,3,2,2,3),Holidays))</f>
        <v/>
      </c>
      <c r="Z162" s="17">
        <f>IF(OR($W162="",$W162=6),"",CHOOSE($W162,"1st Email Follow-up","2nd Email Follow-up","Escalate Local Office","Escalate to CBE","Escalate to Roxanne"))</f>
        <v/>
      </c>
    </row>
    <row r="163" spans="18:26">
      <c r="R163" s="15"/>
      <c r="S163" s="16"/>
      <c r="T163" s="17">
        <f>IF(AND(COUNTA($A163:$K163)=0,$L163=""),"",IF($S163="Paid","PAID",IF($S163="Closed","CLOSED",IF($W163="","",IF($W163=6,"ESCALATED TO ROXANNE",IF(TODAY()&gt;$Y163,"OVERDUE",IF($Y163&lt;=WORKDAY(TODAY(),1,Holidays),"DUE TOMORROW",IF($W163=4,"ESCALATED TO LOCAL OFFICE",IF($W163=5,"ESCALATED TO CBE",IF($X163=TODAY(),"EMAIL SENT","MONITORING"))))))))))</f>
        <v/>
      </c>
      <c r="U163" s="17">
        <f>IF($T163="",IF(AND(COUNTA($A163:$K163)&gt;0,$L163=""),"Awaiting Collection Email time stamp.",""),IF(OR($T163="PAID",$T163="CLOSED"),IF($T163="PAID","Account paid. Action completed.","Account closed. No further action required."),CHOOSE($W163,"Collection Email","1st Email Follow-up","2nd Email Follow-up","Escalation to Local Office","Escalation to CBE","Escalation to Roxanne")&amp;" sent "&amp;TEXT($X163,"dd-mmm")&amp;". "&amp;IF($W163=6,"Final escalation completed.",IF($T163="OVERDUE","Next: "&amp;$Z163&amp;" was due "&amp;TEXT($Y163,"dd-mmm")&amp;" - "&amp;(NETWORKDAYS($Y163,TODAY(),Holidays)-1)&amp;" business day(s) late. Send now.",IF($T163="DUE TOMORROW","Next: "&amp;$Z163&amp;IF($Y163&lt;=TODAY()," is due TODAY ("," is due next business day (")&amp;TEXT($Y163,"dd-mmm")&amp;").","Next: "&amp;$Z163&amp;" due "&amp;TEXT($Y163,"dd-mmm")&amp;" ("&amp;(NETWORKDAYS(TODAY(),$Y163,Holidays)-1)&amp;" business day(s) left).")))))</f>
        <v/>
      </c>
      <c r="V163" s="17">
        <f>IF($W163="","",CHOOSE($W163,"Collection Email","1st Follow-up","2nd Follow-up","Local Office","CBE","Roxanne")&amp;IF($W163=6," - Final"," - Day "&amp;MAX(0,NETWORKDAYS($X163,TODAY(),Holidays)-1)&amp;" of "&amp;CHOOSE($W163,3,3,2,2,3))&amp;" | Total Day "&amp;MAX(0,NETWORKDAYS($L163,TODAY(),Holidays)-1))</f>
        <v/>
      </c>
      <c r="W163" s="17">
        <f>IF($L163="","",COUNT($L163:$Q163))</f>
        <v/>
      </c>
      <c r="X163" s="18">
        <f>IF($W163="","",INT(INDEX($L163:$Q163,$W163)))</f>
        <v/>
      </c>
      <c r="Y163" s="18">
        <f>IF(OR($W163="",$W163=6),"",WORKDAY($X163,CHOOSE($W163,3,3,2,2,3),Holidays))</f>
        <v/>
      </c>
      <c r="Z163" s="17">
        <f>IF(OR($W163="",$W163=6),"",CHOOSE($W163,"1st Email Follow-up","2nd Email Follow-up","Escalate Local Office","Escalate to CBE","Escalate to Roxanne"))</f>
        <v/>
      </c>
    </row>
    <row r="164" spans="18:26">
      <c r="R164" s="15"/>
      <c r="S164" s="16"/>
      <c r="T164" s="17">
        <f>IF(AND(COUNTA($A164:$K164)=0,$L164=""),"",IF($S164="Paid","PAID",IF($S164="Closed","CLOSED",IF($W164="","",IF($W164=6,"ESCALATED TO ROXANNE",IF(TODAY()&gt;$Y164,"OVERDUE",IF($Y164&lt;=WORKDAY(TODAY(),1,Holidays),"DUE TOMORROW",IF($W164=4,"ESCALATED TO LOCAL OFFICE",IF($W164=5,"ESCALATED TO CBE",IF($X164=TODAY(),"EMAIL SENT","MONITORING"))))))))))</f>
        <v/>
      </c>
      <c r="U164" s="17">
        <f>IF($T164="",IF(AND(COUNTA($A164:$K164)&gt;0,$L164=""),"Awaiting Collection Email time stamp.",""),IF(OR($T164="PAID",$T164="CLOSED"),IF($T164="PAID","Account paid. Action completed.","Account closed. No further action required."),CHOOSE($W164,"Collection Email","1st Email Follow-up","2nd Email Follow-up","Escalation to Local Office","Escalation to CBE","Escalation to Roxanne")&amp;" sent "&amp;TEXT($X164,"dd-mmm")&amp;". "&amp;IF($W164=6,"Final escalation completed.",IF($T164="OVERDUE","Next: "&amp;$Z164&amp;" was due "&amp;TEXT($Y164,"dd-mmm")&amp;" - "&amp;(NETWORKDAYS($Y164,TODAY(),Holidays)-1)&amp;" business day(s) late. Send now.",IF($T164="DUE TOMORROW","Next: "&amp;$Z164&amp;IF($Y164&lt;=TODAY()," is due TODAY ("," is due next business day (")&amp;TEXT($Y164,"dd-mmm")&amp;").","Next: "&amp;$Z164&amp;" due "&amp;TEXT($Y164,"dd-mmm")&amp;" ("&amp;(NETWORKDAYS(TODAY(),$Y164,Holidays)-1)&amp;" business day(s) left).")))))</f>
        <v/>
      </c>
      <c r="V164" s="17">
        <f>IF($W164="","",CHOOSE($W164,"Collection Email","1st Follow-up","2nd Follow-up","Local Office","CBE","Roxanne")&amp;IF($W164=6," - Final"," - Day "&amp;MAX(0,NETWORKDAYS($X164,TODAY(),Holidays)-1)&amp;" of "&amp;CHOOSE($W164,3,3,2,2,3))&amp;" | Total Day "&amp;MAX(0,NETWORKDAYS($L164,TODAY(),Holidays)-1))</f>
        <v/>
      </c>
      <c r="W164" s="17">
        <f>IF($L164="","",COUNT($L164:$Q164))</f>
        <v/>
      </c>
      <c r="X164" s="18">
        <f>IF($W164="","",INT(INDEX($L164:$Q164,$W164)))</f>
        <v/>
      </c>
      <c r="Y164" s="18">
        <f>IF(OR($W164="",$W164=6),"",WORKDAY($X164,CHOOSE($W164,3,3,2,2,3),Holidays))</f>
        <v/>
      </c>
      <c r="Z164" s="17">
        <f>IF(OR($W164="",$W164=6),"",CHOOSE($W164,"1st Email Follow-up","2nd Email Follow-up","Escalate Local Office","Escalate to CBE","Escalate to Roxanne"))</f>
        <v/>
      </c>
    </row>
    <row r="165" spans="18:26">
      <c r="R165" s="15"/>
      <c r="S165" s="16"/>
      <c r="T165" s="17">
        <f>IF(AND(COUNTA($A165:$K165)=0,$L165=""),"",IF($S165="Paid","PAID",IF($S165="Closed","CLOSED",IF($W165="","",IF($W165=6,"ESCALATED TO ROXANNE",IF(TODAY()&gt;$Y165,"OVERDUE",IF($Y165&lt;=WORKDAY(TODAY(),1,Holidays),"DUE TOMORROW",IF($W165=4,"ESCALATED TO LOCAL OFFICE",IF($W165=5,"ESCALATED TO CBE",IF($X165=TODAY(),"EMAIL SENT","MONITORING"))))))))))</f>
        <v/>
      </c>
      <c r="U165" s="17">
        <f>IF($T165="",IF(AND(COUNTA($A165:$K165)&gt;0,$L165=""),"Awaiting Collection Email time stamp.",""),IF(OR($T165="PAID",$T165="CLOSED"),IF($T165="PAID","Account paid. Action completed.","Account closed. No further action required."),CHOOSE($W165,"Collection Email","1st Email Follow-up","2nd Email Follow-up","Escalation to Local Office","Escalation to CBE","Escalation to Roxanne")&amp;" sent "&amp;TEXT($X165,"dd-mmm")&amp;". "&amp;IF($W165=6,"Final escalation completed.",IF($T165="OVERDUE","Next: "&amp;$Z165&amp;" was due "&amp;TEXT($Y165,"dd-mmm")&amp;" - "&amp;(NETWORKDAYS($Y165,TODAY(),Holidays)-1)&amp;" business day(s) late. Send now.",IF($T165="DUE TOMORROW","Next: "&amp;$Z165&amp;IF($Y165&lt;=TODAY()," is due TODAY ("," is due next business day (")&amp;TEXT($Y165,"dd-mmm")&amp;").","Next: "&amp;$Z165&amp;" due "&amp;TEXT($Y165,"dd-mmm")&amp;" ("&amp;(NETWORKDAYS(TODAY(),$Y165,Holidays)-1)&amp;" business day(s) left).")))))</f>
        <v/>
      </c>
      <c r="V165" s="17">
        <f>IF($W165="","",CHOOSE($W165,"Collection Email","1st Follow-up","2nd Follow-up","Local Office","CBE","Roxanne")&amp;IF($W165=6," - Final"," - Day "&amp;MAX(0,NETWORKDAYS($X165,TODAY(),Holidays)-1)&amp;" of "&amp;CHOOSE($W165,3,3,2,2,3))&amp;" | Total Day "&amp;MAX(0,NETWORKDAYS($L165,TODAY(),Holidays)-1))</f>
        <v/>
      </c>
      <c r="W165" s="17">
        <f>IF($L165="","",COUNT($L165:$Q165))</f>
        <v/>
      </c>
      <c r="X165" s="18">
        <f>IF($W165="","",INT(INDEX($L165:$Q165,$W165)))</f>
        <v/>
      </c>
      <c r="Y165" s="18">
        <f>IF(OR($W165="",$W165=6),"",WORKDAY($X165,CHOOSE($W165,3,3,2,2,3),Holidays))</f>
        <v/>
      </c>
      <c r="Z165" s="17">
        <f>IF(OR($W165="",$W165=6),"",CHOOSE($W165,"1st Email Follow-up","2nd Email Follow-up","Escalate Local Office","Escalate to CBE","Escalate to Roxanne"))</f>
        <v/>
      </c>
    </row>
    <row r="166" spans="18:26">
      <c r="R166" s="15"/>
      <c r="S166" s="16"/>
      <c r="T166" s="17">
        <f>IF(AND(COUNTA($A166:$K166)=0,$L166=""),"",IF($S166="Paid","PAID",IF($S166="Closed","CLOSED",IF($W166="","",IF($W166=6,"ESCALATED TO ROXANNE",IF(TODAY()&gt;$Y166,"OVERDUE",IF($Y166&lt;=WORKDAY(TODAY(),1,Holidays),"DUE TOMORROW",IF($W166=4,"ESCALATED TO LOCAL OFFICE",IF($W166=5,"ESCALATED TO CBE",IF($X166=TODAY(),"EMAIL SENT","MONITORING"))))))))))</f>
        <v/>
      </c>
      <c r="U166" s="17">
        <f>IF($T166="",IF(AND(COUNTA($A166:$K166)&gt;0,$L166=""),"Awaiting Collection Email time stamp.",""),IF(OR($T166="PAID",$T166="CLOSED"),IF($T166="PAID","Account paid. Action completed.","Account closed. No further action required."),CHOOSE($W166,"Collection Email","1st Email Follow-up","2nd Email Follow-up","Escalation to Local Office","Escalation to CBE","Escalation to Roxanne")&amp;" sent "&amp;TEXT($X166,"dd-mmm")&amp;". "&amp;IF($W166=6,"Final escalation completed.",IF($T166="OVERDUE","Next: "&amp;$Z166&amp;" was due "&amp;TEXT($Y166,"dd-mmm")&amp;" - "&amp;(NETWORKDAYS($Y166,TODAY(),Holidays)-1)&amp;" business day(s) late. Send now.",IF($T166="DUE TOMORROW","Next: "&amp;$Z166&amp;IF($Y166&lt;=TODAY()," is due TODAY ("," is due next business day (")&amp;TEXT($Y166,"dd-mmm")&amp;").","Next: "&amp;$Z166&amp;" due "&amp;TEXT($Y166,"dd-mmm")&amp;" ("&amp;(NETWORKDAYS(TODAY(),$Y166,Holidays)-1)&amp;" business day(s) left).")))))</f>
        <v/>
      </c>
      <c r="V166" s="17">
        <f>IF($W166="","",CHOOSE($W166,"Collection Email","1st Follow-up","2nd Follow-up","Local Office","CBE","Roxanne")&amp;IF($W166=6," - Final"," - Day "&amp;MAX(0,NETWORKDAYS($X166,TODAY(),Holidays)-1)&amp;" of "&amp;CHOOSE($W166,3,3,2,2,3))&amp;" | Total Day "&amp;MAX(0,NETWORKDAYS($L166,TODAY(),Holidays)-1))</f>
        <v/>
      </c>
      <c r="W166" s="17">
        <f>IF($L166="","",COUNT($L166:$Q166))</f>
        <v/>
      </c>
      <c r="X166" s="18">
        <f>IF($W166="","",INT(INDEX($L166:$Q166,$W166)))</f>
        <v/>
      </c>
      <c r="Y166" s="18">
        <f>IF(OR($W166="",$W166=6),"",WORKDAY($X166,CHOOSE($W166,3,3,2,2,3),Holidays))</f>
        <v/>
      </c>
      <c r="Z166" s="17">
        <f>IF(OR($W166="",$W166=6),"",CHOOSE($W166,"1st Email Follow-up","2nd Email Follow-up","Escalate Local Office","Escalate to CBE","Escalate to Roxanne"))</f>
        <v/>
      </c>
    </row>
    <row r="167" spans="18:26">
      <c r="R167" s="15"/>
      <c r="S167" s="16"/>
      <c r="T167" s="17">
        <f>IF(AND(COUNTA($A167:$K167)=0,$L167=""),"",IF($S167="Paid","PAID",IF($S167="Closed","CLOSED",IF($W167="","",IF($W167=6,"ESCALATED TO ROXANNE",IF(TODAY()&gt;$Y167,"OVERDUE",IF($Y167&lt;=WORKDAY(TODAY(),1,Holidays),"DUE TOMORROW",IF($W167=4,"ESCALATED TO LOCAL OFFICE",IF($W167=5,"ESCALATED TO CBE",IF($X167=TODAY(),"EMAIL SENT","MONITORING"))))))))))</f>
        <v/>
      </c>
      <c r="U167" s="17">
        <f>IF($T167="",IF(AND(COUNTA($A167:$K167)&gt;0,$L167=""),"Awaiting Collection Email time stamp.",""),IF(OR($T167="PAID",$T167="CLOSED"),IF($T167="PAID","Account paid. Action completed.","Account closed. No further action required."),CHOOSE($W167,"Collection Email","1st Email Follow-up","2nd Email Follow-up","Escalation to Local Office","Escalation to CBE","Escalation to Roxanne")&amp;" sent "&amp;TEXT($X167,"dd-mmm")&amp;". "&amp;IF($W167=6,"Final escalation completed.",IF($T167="OVERDUE","Next: "&amp;$Z167&amp;" was due "&amp;TEXT($Y167,"dd-mmm")&amp;" - "&amp;(NETWORKDAYS($Y167,TODAY(),Holidays)-1)&amp;" business day(s) late. Send now.",IF($T167="DUE TOMORROW","Next: "&amp;$Z167&amp;IF($Y167&lt;=TODAY()," is due TODAY ("," is due next business day (")&amp;TEXT($Y167,"dd-mmm")&amp;").","Next: "&amp;$Z167&amp;" due "&amp;TEXT($Y167,"dd-mmm")&amp;" ("&amp;(NETWORKDAYS(TODAY(),$Y167,Holidays)-1)&amp;" business day(s) left).")))))</f>
        <v/>
      </c>
      <c r="V167" s="17">
        <f>IF($W167="","",CHOOSE($W167,"Collection Email","1st Follow-up","2nd Follow-up","Local Office","CBE","Roxanne")&amp;IF($W167=6," - Final"," - Day "&amp;MAX(0,NETWORKDAYS($X167,TODAY(),Holidays)-1)&amp;" of "&amp;CHOOSE($W167,3,3,2,2,3))&amp;" | Total Day "&amp;MAX(0,NETWORKDAYS($L167,TODAY(),Holidays)-1))</f>
        <v/>
      </c>
      <c r="W167" s="17">
        <f>IF($L167="","",COUNT($L167:$Q167))</f>
        <v/>
      </c>
      <c r="X167" s="18">
        <f>IF($W167="","",INT(INDEX($L167:$Q167,$W167)))</f>
        <v/>
      </c>
      <c r="Y167" s="18">
        <f>IF(OR($W167="",$W167=6),"",WORKDAY($X167,CHOOSE($W167,3,3,2,2,3),Holidays))</f>
        <v/>
      </c>
      <c r="Z167" s="17">
        <f>IF(OR($W167="",$W167=6),"",CHOOSE($W167,"1st Email Follow-up","2nd Email Follow-up","Escalate Local Office","Escalate to CBE","Escalate to Roxanne"))</f>
        <v/>
      </c>
    </row>
    <row r="168" spans="18:26">
      <c r="R168" s="15"/>
      <c r="S168" s="16"/>
      <c r="T168" s="17">
        <f>IF(AND(COUNTA($A168:$K168)=0,$L168=""),"",IF($S168="Paid","PAID",IF($S168="Closed","CLOSED",IF($W168="","",IF($W168=6,"ESCALATED TO ROXANNE",IF(TODAY()&gt;$Y168,"OVERDUE",IF($Y168&lt;=WORKDAY(TODAY(),1,Holidays),"DUE TOMORROW",IF($W168=4,"ESCALATED TO LOCAL OFFICE",IF($W168=5,"ESCALATED TO CBE",IF($X168=TODAY(),"EMAIL SENT","MONITORING"))))))))))</f>
        <v/>
      </c>
      <c r="U168" s="17">
        <f>IF($T168="",IF(AND(COUNTA($A168:$K168)&gt;0,$L168=""),"Awaiting Collection Email time stamp.",""),IF(OR($T168="PAID",$T168="CLOSED"),IF($T168="PAID","Account paid. Action completed.","Account closed. No further action required."),CHOOSE($W168,"Collection Email","1st Email Follow-up","2nd Email Follow-up","Escalation to Local Office","Escalation to CBE","Escalation to Roxanne")&amp;" sent "&amp;TEXT($X168,"dd-mmm")&amp;". "&amp;IF($W168=6,"Final escalation completed.",IF($T168="OVERDUE","Next: "&amp;$Z168&amp;" was due "&amp;TEXT($Y168,"dd-mmm")&amp;" - "&amp;(NETWORKDAYS($Y168,TODAY(),Holidays)-1)&amp;" business day(s) late. Send now.",IF($T168="DUE TOMORROW","Next: "&amp;$Z168&amp;IF($Y168&lt;=TODAY()," is due TODAY ("," is due next business day (")&amp;TEXT($Y168,"dd-mmm")&amp;").","Next: "&amp;$Z168&amp;" due "&amp;TEXT($Y168,"dd-mmm")&amp;" ("&amp;(NETWORKDAYS(TODAY(),$Y168,Holidays)-1)&amp;" business day(s) left).")))))</f>
        <v/>
      </c>
      <c r="V168" s="17">
        <f>IF($W168="","",CHOOSE($W168,"Collection Email","1st Follow-up","2nd Follow-up","Local Office","CBE","Roxanne")&amp;IF($W168=6," - Final"," - Day "&amp;MAX(0,NETWORKDAYS($X168,TODAY(),Holidays)-1)&amp;" of "&amp;CHOOSE($W168,3,3,2,2,3))&amp;" | Total Day "&amp;MAX(0,NETWORKDAYS($L168,TODAY(),Holidays)-1))</f>
        <v/>
      </c>
      <c r="W168" s="17">
        <f>IF($L168="","",COUNT($L168:$Q168))</f>
        <v/>
      </c>
      <c r="X168" s="18">
        <f>IF($W168="","",INT(INDEX($L168:$Q168,$W168)))</f>
        <v/>
      </c>
      <c r="Y168" s="18">
        <f>IF(OR($W168="",$W168=6),"",WORKDAY($X168,CHOOSE($W168,3,3,2,2,3),Holidays))</f>
        <v/>
      </c>
      <c r="Z168" s="17">
        <f>IF(OR($W168="",$W168=6),"",CHOOSE($W168,"1st Email Follow-up","2nd Email Follow-up","Escalate Local Office","Escalate to CBE","Escalate to Roxanne"))</f>
        <v/>
      </c>
    </row>
    <row r="169" spans="18:26">
      <c r="R169" s="15"/>
      <c r="S169" s="16"/>
      <c r="T169" s="17">
        <f>IF(AND(COUNTA($A169:$K169)=0,$L169=""),"",IF($S169="Paid","PAID",IF($S169="Closed","CLOSED",IF($W169="","",IF($W169=6,"ESCALATED TO ROXANNE",IF(TODAY()&gt;$Y169,"OVERDUE",IF($Y169&lt;=WORKDAY(TODAY(),1,Holidays),"DUE TOMORROW",IF($W169=4,"ESCALATED TO LOCAL OFFICE",IF($W169=5,"ESCALATED TO CBE",IF($X169=TODAY(),"EMAIL SENT","MONITORING"))))))))))</f>
        <v/>
      </c>
      <c r="U169" s="17">
        <f>IF($T169="",IF(AND(COUNTA($A169:$K169)&gt;0,$L169=""),"Awaiting Collection Email time stamp.",""),IF(OR($T169="PAID",$T169="CLOSED"),IF($T169="PAID","Account paid. Action completed.","Account closed. No further action required."),CHOOSE($W169,"Collection Email","1st Email Follow-up","2nd Email Follow-up","Escalation to Local Office","Escalation to CBE","Escalation to Roxanne")&amp;" sent "&amp;TEXT($X169,"dd-mmm")&amp;". "&amp;IF($W169=6,"Final escalation completed.",IF($T169="OVERDUE","Next: "&amp;$Z169&amp;" was due "&amp;TEXT($Y169,"dd-mmm")&amp;" - "&amp;(NETWORKDAYS($Y169,TODAY(),Holidays)-1)&amp;" business day(s) late. Send now.",IF($T169="DUE TOMORROW","Next: "&amp;$Z169&amp;IF($Y169&lt;=TODAY()," is due TODAY ("," is due next business day (")&amp;TEXT($Y169,"dd-mmm")&amp;").","Next: "&amp;$Z169&amp;" due "&amp;TEXT($Y169,"dd-mmm")&amp;" ("&amp;(NETWORKDAYS(TODAY(),$Y169,Holidays)-1)&amp;" business day(s) left).")))))</f>
        <v/>
      </c>
      <c r="V169" s="17">
        <f>IF($W169="","",CHOOSE($W169,"Collection Email","1st Follow-up","2nd Follow-up","Local Office","CBE","Roxanne")&amp;IF($W169=6," - Final"," - Day "&amp;MAX(0,NETWORKDAYS($X169,TODAY(),Holidays)-1)&amp;" of "&amp;CHOOSE($W169,3,3,2,2,3))&amp;" | Total Day "&amp;MAX(0,NETWORKDAYS($L169,TODAY(),Holidays)-1))</f>
        <v/>
      </c>
      <c r="W169" s="17">
        <f>IF($L169="","",COUNT($L169:$Q169))</f>
        <v/>
      </c>
      <c r="X169" s="18">
        <f>IF($W169="","",INT(INDEX($L169:$Q169,$W169)))</f>
        <v/>
      </c>
      <c r="Y169" s="18">
        <f>IF(OR($W169="",$W169=6),"",WORKDAY($X169,CHOOSE($W169,3,3,2,2,3),Holidays))</f>
        <v/>
      </c>
      <c r="Z169" s="17">
        <f>IF(OR($W169="",$W169=6),"",CHOOSE($W169,"1st Email Follow-up","2nd Email Follow-up","Escalate Local Office","Escalate to CBE","Escalate to Roxanne"))</f>
        <v/>
      </c>
    </row>
    <row r="170" spans="18:26">
      <c r="R170" s="15"/>
      <c r="S170" s="16"/>
      <c r="T170" s="17">
        <f>IF(AND(COUNTA($A170:$K170)=0,$L170=""),"",IF($S170="Paid","PAID",IF($S170="Closed","CLOSED",IF($W170="","",IF($W170=6,"ESCALATED TO ROXANNE",IF(TODAY()&gt;$Y170,"OVERDUE",IF($Y170&lt;=WORKDAY(TODAY(),1,Holidays),"DUE TOMORROW",IF($W170=4,"ESCALATED TO LOCAL OFFICE",IF($W170=5,"ESCALATED TO CBE",IF($X170=TODAY(),"EMAIL SENT","MONITORING"))))))))))</f>
        <v/>
      </c>
      <c r="U170" s="17">
        <f>IF($T170="",IF(AND(COUNTA($A170:$K170)&gt;0,$L170=""),"Awaiting Collection Email time stamp.",""),IF(OR($T170="PAID",$T170="CLOSED"),IF($T170="PAID","Account paid. Action completed.","Account closed. No further action required."),CHOOSE($W170,"Collection Email","1st Email Follow-up","2nd Email Follow-up","Escalation to Local Office","Escalation to CBE","Escalation to Roxanne")&amp;" sent "&amp;TEXT($X170,"dd-mmm")&amp;". "&amp;IF($W170=6,"Final escalation completed.",IF($T170="OVERDUE","Next: "&amp;$Z170&amp;" was due "&amp;TEXT($Y170,"dd-mmm")&amp;" - "&amp;(NETWORKDAYS($Y170,TODAY(),Holidays)-1)&amp;" business day(s) late. Send now.",IF($T170="DUE TOMORROW","Next: "&amp;$Z170&amp;IF($Y170&lt;=TODAY()," is due TODAY ("," is due next business day (")&amp;TEXT($Y170,"dd-mmm")&amp;").","Next: "&amp;$Z170&amp;" due "&amp;TEXT($Y170,"dd-mmm")&amp;" ("&amp;(NETWORKDAYS(TODAY(),$Y170,Holidays)-1)&amp;" business day(s) left).")))))</f>
        <v/>
      </c>
      <c r="V170" s="17">
        <f>IF($W170="","",CHOOSE($W170,"Collection Email","1st Follow-up","2nd Follow-up","Local Office","CBE","Roxanne")&amp;IF($W170=6," - Final"," - Day "&amp;MAX(0,NETWORKDAYS($X170,TODAY(),Holidays)-1)&amp;" of "&amp;CHOOSE($W170,3,3,2,2,3))&amp;" | Total Day "&amp;MAX(0,NETWORKDAYS($L170,TODAY(),Holidays)-1))</f>
        <v/>
      </c>
      <c r="W170" s="17">
        <f>IF($L170="","",COUNT($L170:$Q170))</f>
        <v/>
      </c>
      <c r="X170" s="18">
        <f>IF($W170="","",INT(INDEX($L170:$Q170,$W170)))</f>
        <v/>
      </c>
      <c r="Y170" s="18">
        <f>IF(OR($W170="",$W170=6),"",WORKDAY($X170,CHOOSE($W170,3,3,2,2,3),Holidays))</f>
        <v/>
      </c>
      <c r="Z170" s="17">
        <f>IF(OR($W170="",$W170=6),"",CHOOSE($W170,"1st Email Follow-up","2nd Email Follow-up","Escalate Local Office","Escalate to CBE","Escalate to Roxanne"))</f>
        <v/>
      </c>
    </row>
    <row r="171" spans="18:26">
      <c r="R171" s="15"/>
      <c r="S171" s="16"/>
      <c r="T171" s="17">
        <f>IF(AND(COUNTA($A171:$K171)=0,$L171=""),"",IF($S171="Paid","PAID",IF($S171="Closed","CLOSED",IF($W171="","",IF($W171=6,"ESCALATED TO ROXANNE",IF(TODAY()&gt;$Y171,"OVERDUE",IF($Y171&lt;=WORKDAY(TODAY(),1,Holidays),"DUE TOMORROW",IF($W171=4,"ESCALATED TO LOCAL OFFICE",IF($W171=5,"ESCALATED TO CBE",IF($X171=TODAY(),"EMAIL SENT","MONITORING"))))))))))</f>
        <v/>
      </c>
      <c r="U171" s="17">
        <f>IF($T171="",IF(AND(COUNTA($A171:$K171)&gt;0,$L171=""),"Awaiting Collection Email time stamp.",""),IF(OR($T171="PAID",$T171="CLOSED"),IF($T171="PAID","Account paid. Action completed.","Account closed. No further action required."),CHOOSE($W171,"Collection Email","1st Email Follow-up","2nd Email Follow-up","Escalation to Local Office","Escalation to CBE","Escalation to Roxanne")&amp;" sent "&amp;TEXT($X171,"dd-mmm")&amp;". "&amp;IF($W171=6,"Final escalation completed.",IF($T171="OVERDUE","Next: "&amp;$Z171&amp;" was due "&amp;TEXT($Y171,"dd-mmm")&amp;" - "&amp;(NETWORKDAYS($Y171,TODAY(),Holidays)-1)&amp;" business day(s) late. Send now.",IF($T171="DUE TOMORROW","Next: "&amp;$Z171&amp;IF($Y171&lt;=TODAY()," is due TODAY ("," is due next business day (")&amp;TEXT($Y171,"dd-mmm")&amp;").","Next: "&amp;$Z171&amp;" due "&amp;TEXT($Y171,"dd-mmm")&amp;" ("&amp;(NETWORKDAYS(TODAY(),$Y171,Holidays)-1)&amp;" business day(s) left).")))))</f>
        <v/>
      </c>
      <c r="V171" s="17">
        <f>IF($W171="","",CHOOSE($W171,"Collection Email","1st Follow-up","2nd Follow-up","Local Office","CBE","Roxanne")&amp;IF($W171=6," - Final"," - Day "&amp;MAX(0,NETWORKDAYS($X171,TODAY(),Holidays)-1)&amp;" of "&amp;CHOOSE($W171,3,3,2,2,3))&amp;" | Total Day "&amp;MAX(0,NETWORKDAYS($L171,TODAY(),Holidays)-1))</f>
        <v/>
      </c>
      <c r="W171" s="17">
        <f>IF($L171="","",COUNT($L171:$Q171))</f>
        <v/>
      </c>
      <c r="X171" s="18">
        <f>IF($W171="","",INT(INDEX($L171:$Q171,$W171)))</f>
        <v/>
      </c>
      <c r="Y171" s="18">
        <f>IF(OR($W171="",$W171=6),"",WORKDAY($X171,CHOOSE($W171,3,3,2,2,3),Holidays))</f>
        <v/>
      </c>
      <c r="Z171" s="17">
        <f>IF(OR($W171="",$W171=6),"",CHOOSE($W171,"1st Email Follow-up","2nd Email Follow-up","Escalate Local Office","Escalate to CBE","Escalate to Roxanne"))</f>
        <v/>
      </c>
    </row>
    <row r="172" spans="18:26">
      <c r="R172" s="15"/>
      <c r="S172" s="16"/>
      <c r="T172" s="17">
        <f>IF(AND(COUNTA($A172:$K172)=0,$L172=""),"",IF($S172="Paid","PAID",IF($S172="Closed","CLOSED",IF($W172="","",IF($W172=6,"ESCALATED TO ROXANNE",IF(TODAY()&gt;$Y172,"OVERDUE",IF($Y172&lt;=WORKDAY(TODAY(),1,Holidays),"DUE TOMORROW",IF($W172=4,"ESCALATED TO LOCAL OFFICE",IF($W172=5,"ESCALATED TO CBE",IF($X172=TODAY(),"EMAIL SENT","MONITORING"))))))))))</f>
        <v/>
      </c>
      <c r="U172" s="17">
        <f>IF($T172="",IF(AND(COUNTA($A172:$K172)&gt;0,$L172=""),"Awaiting Collection Email time stamp.",""),IF(OR($T172="PAID",$T172="CLOSED"),IF($T172="PAID","Account paid. Action completed.","Account closed. No further action required."),CHOOSE($W172,"Collection Email","1st Email Follow-up","2nd Email Follow-up","Escalation to Local Office","Escalation to CBE","Escalation to Roxanne")&amp;" sent "&amp;TEXT($X172,"dd-mmm")&amp;". "&amp;IF($W172=6,"Final escalation completed.",IF($T172="OVERDUE","Next: "&amp;$Z172&amp;" was due "&amp;TEXT($Y172,"dd-mmm")&amp;" - "&amp;(NETWORKDAYS($Y172,TODAY(),Holidays)-1)&amp;" business day(s) late. Send now.",IF($T172="DUE TOMORROW","Next: "&amp;$Z172&amp;IF($Y172&lt;=TODAY()," is due TODAY ("," is due next business day (")&amp;TEXT($Y172,"dd-mmm")&amp;").","Next: "&amp;$Z172&amp;" due "&amp;TEXT($Y172,"dd-mmm")&amp;" ("&amp;(NETWORKDAYS(TODAY(),$Y172,Holidays)-1)&amp;" business day(s) left).")))))</f>
        <v/>
      </c>
      <c r="V172" s="17">
        <f>IF($W172="","",CHOOSE($W172,"Collection Email","1st Follow-up","2nd Follow-up","Local Office","CBE","Roxanne")&amp;IF($W172=6," - Final"," - Day "&amp;MAX(0,NETWORKDAYS($X172,TODAY(),Holidays)-1)&amp;" of "&amp;CHOOSE($W172,3,3,2,2,3))&amp;" | Total Day "&amp;MAX(0,NETWORKDAYS($L172,TODAY(),Holidays)-1))</f>
        <v/>
      </c>
      <c r="W172" s="17">
        <f>IF($L172="","",COUNT($L172:$Q172))</f>
        <v/>
      </c>
      <c r="X172" s="18">
        <f>IF($W172="","",INT(INDEX($L172:$Q172,$W172)))</f>
        <v/>
      </c>
      <c r="Y172" s="18">
        <f>IF(OR($W172="",$W172=6),"",WORKDAY($X172,CHOOSE($W172,3,3,2,2,3),Holidays))</f>
        <v/>
      </c>
      <c r="Z172" s="17">
        <f>IF(OR($W172="",$W172=6),"",CHOOSE($W172,"1st Email Follow-up","2nd Email Follow-up","Escalate Local Office","Escalate to CBE","Escalate to Roxanne"))</f>
        <v/>
      </c>
    </row>
    <row r="173" spans="18:26">
      <c r="R173" s="15"/>
      <c r="S173" s="16"/>
      <c r="T173" s="17">
        <f>IF(AND(COUNTA($A173:$K173)=0,$L173=""),"",IF($S173="Paid","PAID",IF($S173="Closed","CLOSED",IF($W173="","",IF($W173=6,"ESCALATED TO ROXANNE",IF(TODAY()&gt;$Y173,"OVERDUE",IF($Y173&lt;=WORKDAY(TODAY(),1,Holidays),"DUE TOMORROW",IF($W173=4,"ESCALATED TO LOCAL OFFICE",IF($W173=5,"ESCALATED TO CBE",IF($X173=TODAY(),"EMAIL SENT","MONITORING"))))))))))</f>
        <v/>
      </c>
      <c r="U173" s="17">
        <f>IF($T173="",IF(AND(COUNTA($A173:$K173)&gt;0,$L173=""),"Awaiting Collection Email time stamp.",""),IF(OR($T173="PAID",$T173="CLOSED"),IF($T173="PAID","Account paid. Action completed.","Account closed. No further action required."),CHOOSE($W173,"Collection Email","1st Email Follow-up","2nd Email Follow-up","Escalation to Local Office","Escalation to CBE","Escalation to Roxanne")&amp;" sent "&amp;TEXT($X173,"dd-mmm")&amp;". "&amp;IF($W173=6,"Final escalation completed.",IF($T173="OVERDUE","Next: "&amp;$Z173&amp;" was due "&amp;TEXT($Y173,"dd-mmm")&amp;" - "&amp;(NETWORKDAYS($Y173,TODAY(),Holidays)-1)&amp;" business day(s) late. Send now.",IF($T173="DUE TOMORROW","Next: "&amp;$Z173&amp;IF($Y173&lt;=TODAY()," is due TODAY ("," is due next business day (")&amp;TEXT($Y173,"dd-mmm")&amp;").","Next: "&amp;$Z173&amp;" due "&amp;TEXT($Y173,"dd-mmm")&amp;" ("&amp;(NETWORKDAYS(TODAY(),$Y173,Holidays)-1)&amp;" business day(s) left).")))))</f>
        <v/>
      </c>
      <c r="V173" s="17">
        <f>IF($W173="","",CHOOSE($W173,"Collection Email","1st Follow-up","2nd Follow-up","Local Office","CBE","Roxanne")&amp;IF($W173=6," - Final"," - Day "&amp;MAX(0,NETWORKDAYS($X173,TODAY(),Holidays)-1)&amp;" of "&amp;CHOOSE($W173,3,3,2,2,3))&amp;" | Total Day "&amp;MAX(0,NETWORKDAYS($L173,TODAY(),Holidays)-1))</f>
        <v/>
      </c>
      <c r="W173" s="17">
        <f>IF($L173="","",COUNT($L173:$Q173))</f>
        <v/>
      </c>
      <c r="X173" s="18">
        <f>IF($W173="","",INT(INDEX($L173:$Q173,$W173)))</f>
        <v/>
      </c>
      <c r="Y173" s="18">
        <f>IF(OR($W173="",$W173=6),"",WORKDAY($X173,CHOOSE($W173,3,3,2,2,3),Holidays))</f>
        <v/>
      </c>
      <c r="Z173" s="17">
        <f>IF(OR($W173="",$W173=6),"",CHOOSE($W173,"1st Email Follow-up","2nd Email Follow-up","Escalate Local Office","Escalate to CBE","Escalate to Roxanne"))</f>
        <v/>
      </c>
    </row>
    <row r="174" spans="18:26">
      <c r="R174" s="15"/>
      <c r="S174" s="16"/>
      <c r="T174" s="17">
        <f>IF(AND(COUNTA($A174:$K174)=0,$L174=""),"",IF($S174="Paid","PAID",IF($S174="Closed","CLOSED",IF($W174="","",IF($W174=6,"ESCALATED TO ROXANNE",IF(TODAY()&gt;$Y174,"OVERDUE",IF($Y174&lt;=WORKDAY(TODAY(),1,Holidays),"DUE TOMORROW",IF($W174=4,"ESCALATED TO LOCAL OFFICE",IF($W174=5,"ESCALATED TO CBE",IF($X174=TODAY(),"EMAIL SENT","MONITORING"))))))))))</f>
        <v/>
      </c>
      <c r="U174" s="17">
        <f>IF($T174="",IF(AND(COUNTA($A174:$K174)&gt;0,$L174=""),"Awaiting Collection Email time stamp.",""),IF(OR($T174="PAID",$T174="CLOSED"),IF($T174="PAID","Account paid. Action completed.","Account closed. No further action required."),CHOOSE($W174,"Collection Email","1st Email Follow-up","2nd Email Follow-up","Escalation to Local Office","Escalation to CBE","Escalation to Roxanne")&amp;" sent "&amp;TEXT($X174,"dd-mmm")&amp;". "&amp;IF($W174=6,"Final escalation completed.",IF($T174="OVERDUE","Next: "&amp;$Z174&amp;" was due "&amp;TEXT($Y174,"dd-mmm")&amp;" - "&amp;(NETWORKDAYS($Y174,TODAY(),Holidays)-1)&amp;" business day(s) late. Send now.",IF($T174="DUE TOMORROW","Next: "&amp;$Z174&amp;IF($Y174&lt;=TODAY()," is due TODAY ("," is due next business day (")&amp;TEXT($Y174,"dd-mmm")&amp;").","Next: "&amp;$Z174&amp;" due "&amp;TEXT($Y174,"dd-mmm")&amp;" ("&amp;(NETWORKDAYS(TODAY(),$Y174,Holidays)-1)&amp;" business day(s) left).")))))</f>
        <v/>
      </c>
      <c r="V174" s="17">
        <f>IF($W174="","",CHOOSE($W174,"Collection Email","1st Follow-up","2nd Follow-up","Local Office","CBE","Roxanne")&amp;IF($W174=6," - Final"," - Day "&amp;MAX(0,NETWORKDAYS($X174,TODAY(),Holidays)-1)&amp;" of "&amp;CHOOSE($W174,3,3,2,2,3))&amp;" | Total Day "&amp;MAX(0,NETWORKDAYS($L174,TODAY(),Holidays)-1))</f>
        <v/>
      </c>
      <c r="W174" s="17">
        <f>IF($L174="","",COUNT($L174:$Q174))</f>
        <v/>
      </c>
      <c r="X174" s="18">
        <f>IF($W174="","",INT(INDEX($L174:$Q174,$W174)))</f>
        <v/>
      </c>
      <c r="Y174" s="18">
        <f>IF(OR($W174="",$W174=6),"",WORKDAY($X174,CHOOSE($W174,3,3,2,2,3),Holidays))</f>
        <v/>
      </c>
      <c r="Z174" s="17">
        <f>IF(OR($W174="",$W174=6),"",CHOOSE($W174,"1st Email Follow-up","2nd Email Follow-up","Escalate Local Office","Escalate to CBE","Escalate to Roxanne"))</f>
        <v/>
      </c>
    </row>
    <row r="175" spans="18:26">
      <c r="R175" s="15"/>
      <c r="S175" s="16"/>
      <c r="T175" s="17">
        <f>IF(AND(COUNTA($A175:$K175)=0,$L175=""),"",IF($S175="Paid","PAID",IF($S175="Closed","CLOSED",IF($W175="","",IF($W175=6,"ESCALATED TO ROXANNE",IF(TODAY()&gt;$Y175,"OVERDUE",IF($Y175&lt;=WORKDAY(TODAY(),1,Holidays),"DUE TOMORROW",IF($W175=4,"ESCALATED TO LOCAL OFFICE",IF($W175=5,"ESCALATED TO CBE",IF($X175=TODAY(),"EMAIL SENT","MONITORING"))))))))))</f>
        <v/>
      </c>
      <c r="U175" s="17">
        <f>IF($T175="",IF(AND(COUNTA($A175:$K175)&gt;0,$L175=""),"Awaiting Collection Email time stamp.",""),IF(OR($T175="PAID",$T175="CLOSED"),IF($T175="PAID","Account paid. Action completed.","Account closed. No further action required."),CHOOSE($W175,"Collection Email","1st Email Follow-up","2nd Email Follow-up","Escalation to Local Office","Escalation to CBE","Escalation to Roxanne")&amp;" sent "&amp;TEXT($X175,"dd-mmm")&amp;". "&amp;IF($W175=6,"Final escalation completed.",IF($T175="OVERDUE","Next: "&amp;$Z175&amp;" was due "&amp;TEXT($Y175,"dd-mmm")&amp;" - "&amp;(NETWORKDAYS($Y175,TODAY(),Holidays)-1)&amp;" business day(s) late. Send now.",IF($T175="DUE TOMORROW","Next: "&amp;$Z175&amp;IF($Y175&lt;=TODAY()," is due TODAY ("," is due next business day (")&amp;TEXT($Y175,"dd-mmm")&amp;").","Next: "&amp;$Z175&amp;" due "&amp;TEXT($Y175,"dd-mmm")&amp;" ("&amp;(NETWORKDAYS(TODAY(),$Y175,Holidays)-1)&amp;" business day(s) left).")))))</f>
        <v/>
      </c>
      <c r="V175" s="17">
        <f>IF($W175="","",CHOOSE($W175,"Collection Email","1st Follow-up","2nd Follow-up","Local Office","CBE","Roxanne")&amp;IF($W175=6," - Final"," - Day "&amp;MAX(0,NETWORKDAYS($X175,TODAY(),Holidays)-1)&amp;" of "&amp;CHOOSE($W175,3,3,2,2,3))&amp;" | Total Day "&amp;MAX(0,NETWORKDAYS($L175,TODAY(),Holidays)-1))</f>
        <v/>
      </c>
      <c r="W175" s="17">
        <f>IF($L175="","",COUNT($L175:$Q175))</f>
        <v/>
      </c>
      <c r="X175" s="18">
        <f>IF($W175="","",INT(INDEX($L175:$Q175,$W175)))</f>
        <v/>
      </c>
      <c r="Y175" s="18">
        <f>IF(OR($W175="",$W175=6),"",WORKDAY($X175,CHOOSE($W175,3,3,2,2,3),Holidays))</f>
        <v/>
      </c>
      <c r="Z175" s="17">
        <f>IF(OR($W175="",$W175=6),"",CHOOSE($W175,"1st Email Follow-up","2nd Email Follow-up","Escalate Local Office","Escalate to CBE","Escalate to Roxanne"))</f>
        <v/>
      </c>
    </row>
    <row r="176" spans="18:26">
      <c r="R176" s="15"/>
      <c r="S176" s="16"/>
      <c r="T176" s="17">
        <f>IF(AND(COUNTA($A176:$K176)=0,$L176=""),"",IF($S176="Paid","PAID",IF($S176="Closed","CLOSED",IF($W176="","",IF($W176=6,"ESCALATED TO ROXANNE",IF(TODAY()&gt;$Y176,"OVERDUE",IF($Y176&lt;=WORKDAY(TODAY(),1,Holidays),"DUE TOMORROW",IF($W176=4,"ESCALATED TO LOCAL OFFICE",IF($W176=5,"ESCALATED TO CBE",IF($X176=TODAY(),"EMAIL SENT","MONITORING"))))))))))</f>
        <v/>
      </c>
      <c r="U176" s="17">
        <f>IF($T176="",IF(AND(COUNTA($A176:$K176)&gt;0,$L176=""),"Awaiting Collection Email time stamp.",""),IF(OR($T176="PAID",$T176="CLOSED"),IF($T176="PAID","Account paid. Action completed.","Account closed. No further action required."),CHOOSE($W176,"Collection Email","1st Email Follow-up","2nd Email Follow-up","Escalation to Local Office","Escalation to CBE","Escalation to Roxanne")&amp;" sent "&amp;TEXT($X176,"dd-mmm")&amp;". "&amp;IF($W176=6,"Final escalation completed.",IF($T176="OVERDUE","Next: "&amp;$Z176&amp;" was due "&amp;TEXT($Y176,"dd-mmm")&amp;" - "&amp;(NETWORKDAYS($Y176,TODAY(),Holidays)-1)&amp;" business day(s) late. Send now.",IF($T176="DUE TOMORROW","Next: "&amp;$Z176&amp;IF($Y176&lt;=TODAY()," is due TODAY ("," is due next business day (")&amp;TEXT($Y176,"dd-mmm")&amp;").","Next: "&amp;$Z176&amp;" due "&amp;TEXT($Y176,"dd-mmm")&amp;" ("&amp;(NETWORKDAYS(TODAY(),$Y176,Holidays)-1)&amp;" business day(s) left).")))))</f>
        <v/>
      </c>
      <c r="V176" s="17">
        <f>IF($W176="","",CHOOSE($W176,"Collection Email","1st Follow-up","2nd Follow-up","Local Office","CBE","Roxanne")&amp;IF($W176=6," - Final"," - Day "&amp;MAX(0,NETWORKDAYS($X176,TODAY(),Holidays)-1)&amp;" of "&amp;CHOOSE($W176,3,3,2,2,3))&amp;" | Total Day "&amp;MAX(0,NETWORKDAYS($L176,TODAY(),Holidays)-1))</f>
        <v/>
      </c>
      <c r="W176" s="17">
        <f>IF($L176="","",COUNT($L176:$Q176))</f>
        <v/>
      </c>
      <c r="X176" s="18">
        <f>IF($W176="","",INT(INDEX($L176:$Q176,$W176)))</f>
        <v/>
      </c>
      <c r="Y176" s="18">
        <f>IF(OR($W176="",$W176=6),"",WORKDAY($X176,CHOOSE($W176,3,3,2,2,3),Holidays))</f>
        <v/>
      </c>
      <c r="Z176" s="17">
        <f>IF(OR($W176="",$W176=6),"",CHOOSE($W176,"1st Email Follow-up","2nd Email Follow-up","Escalate Local Office","Escalate to CBE","Escalate to Roxanne"))</f>
        <v/>
      </c>
    </row>
    <row r="177" spans="18:26">
      <c r="R177" s="15"/>
      <c r="S177" s="16"/>
      <c r="T177" s="17">
        <f>IF(AND(COUNTA($A177:$K177)=0,$L177=""),"",IF($S177="Paid","PAID",IF($S177="Closed","CLOSED",IF($W177="","",IF($W177=6,"ESCALATED TO ROXANNE",IF(TODAY()&gt;$Y177,"OVERDUE",IF($Y177&lt;=WORKDAY(TODAY(),1,Holidays),"DUE TOMORROW",IF($W177=4,"ESCALATED TO LOCAL OFFICE",IF($W177=5,"ESCALATED TO CBE",IF($X177=TODAY(),"EMAIL SENT","MONITORING"))))))))))</f>
        <v/>
      </c>
      <c r="U177" s="17">
        <f>IF($T177="",IF(AND(COUNTA($A177:$K177)&gt;0,$L177=""),"Awaiting Collection Email time stamp.",""),IF(OR($T177="PAID",$T177="CLOSED"),IF($T177="PAID","Account paid. Action completed.","Account closed. No further action required."),CHOOSE($W177,"Collection Email","1st Email Follow-up","2nd Email Follow-up","Escalation to Local Office","Escalation to CBE","Escalation to Roxanne")&amp;" sent "&amp;TEXT($X177,"dd-mmm")&amp;". "&amp;IF($W177=6,"Final escalation completed.",IF($T177="OVERDUE","Next: "&amp;$Z177&amp;" was due "&amp;TEXT($Y177,"dd-mmm")&amp;" - "&amp;(NETWORKDAYS($Y177,TODAY(),Holidays)-1)&amp;" business day(s) late. Send now.",IF($T177="DUE TOMORROW","Next: "&amp;$Z177&amp;IF($Y177&lt;=TODAY()," is due TODAY ("," is due next business day (")&amp;TEXT($Y177,"dd-mmm")&amp;").","Next: "&amp;$Z177&amp;" due "&amp;TEXT($Y177,"dd-mmm")&amp;" ("&amp;(NETWORKDAYS(TODAY(),$Y177,Holidays)-1)&amp;" business day(s) left).")))))</f>
        <v/>
      </c>
      <c r="V177" s="17">
        <f>IF($W177="","",CHOOSE($W177,"Collection Email","1st Follow-up","2nd Follow-up","Local Office","CBE","Roxanne")&amp;IF($W177=6," - Final"," - Day "&amp;MAX(0,NETWORKDAYS($X177,TODAY(),Holidays)-1)&amp;" of "&amp;CHOOSE($W177,3,3,2,2,3))&amp;" | Total Day "&amp;MAX(0,NETWORKDAYS($L177,TODAY(),Holidays)-1))</f>
        <v/>
      </c>
      <c r="W177" s="17">
        <f>IF($L177="","",COUNT($L177:$Q177))</f>
        <v/>
      </c>
      <c r="X177" s="18">
        <f>IF($W177="","",INT(INDEX($L177:$Q177,$W177)))</f>
        <v/>
      </c>
      <c r="Y177" s="18">
        <f>IF(OR($W177="",$W177=6),"",WORKDAY($X177,CHOOSE($W177,3,3,2,2,3),Holidays))</f>
        <v/>
      </c>
      <c r="Z177" s="17">
        <f>IF(OR($W177="",$W177=6),"",CHOOSE($W177,"1st Email Follow-up","2nd Email Follow-up","Escalate Local Office","Escalate to CBE","Escalate to Roxanne"))</f>
        <v/>
      </c>
    </row>
    <row r="178" spans="18:26">
      <c r="R178" s="15"/>
      <c r="S178" s="16"/>
      <c r="T178" s="17">
        <f>IF(AND(COUNTA($A178:$K178)=0,$L178=""),"",IF($S178="Paid","PAID",IF($S178="Closed","CLOSED",IF($W178="","",IF($W178=6,"ESCALATED TO ROXANNE",IF(TODAY()&gt;$Y178,"OVERDUE",IF($Y178&lt;=WORKDAY(TODAY(),1,Holidays),"DUE TOMORROW",IF($W178=4,"ESCALATED TO LOCAL OFFICE",IF($W178=5,"ESCALATED TO CBE",IF($X178=TODAY(),"EMAIL SENT","MONITORING"))))))))))</f>
        <v/>
      </c>
      <c r="U178" s="17">
        <f>IF($T178="",IF(AND(COUNTA($A178:$K178)&gt;0,$L178=""),"Awaiting Collection Email time stamp.",""),IF(OR($T178="PAID",$T178="CLOSED"),IF($T178="PAID","Account paid. Action completed.","Account closed. No further action required."),CHOOSE($W178,"Collection Email","1st Email Follow-up","2nd Email Follow-up","Escalation to Local Office","Escalation to CBE","Escalation to Roxanne")&amp;" sent "&amp;TEXT($X178,"dd-mmm")&amp;". "&amp;IF($W178=6,"Final escalation completed.",IF($T178="OVERDUE","Next: "&amp;$Z178&amp;" was due "&amp;TEXT($Y178,"dd-mmm")&amp;" - "&amp;(NETWORKDAYS($Y178,TODAY(),Holidays)-1)&amp;" business day(s) late. Send now.",IF($T178="DUE TOMORROW","Next: "&amp;$Z178&amp;IF($Y178&lt;=TODAY()," is due TODAY ("," is due next business day (")&amp;TEXT($Y178,"dd-mmm")&amp;").","Next: "&amp;$Z178&amp;" due "&amp;TEXT($Y178,"dd-mmm")&amp;" ("&amp;(NETWORKDAYS(TODAY(),$Y178,Holidays)-1)&amp;" business day(s) left).")))))</f>
        <v/>
      </c>
      <c r="V178" s="17">
        <f>IF($W178="","",CHOOSE($W178,"Collection Email","1st Follow-up","2nd Follow-up","Local Office","CBE","Roxanne")&amp;IF($W178=6," - Final"," - Day "&amp;MAX(0,NETWORKDAYS($X178,TODAY(),Holidays)-1)&amp;" of "&amp;CHOOSE($W178,3,3,2,2,3))&amp;" | Total Day "&amp;MAX(0,NETWORKDAYS($L178,TODAY(),Holidays)-1))</f>
        <v/>
      </c>
      <c r="W178" s="17">
        <f>IF($L178="","",COUNT($L178:$Q178))</f>
        <v/>
      </c>
      <c r="X178" s="18">
        <f>IF($W178="","",INT(INDEX($L178:$Q178,$W178)))</f>
        <v/>
      </c>
      <c r="Y178" s="18">
        <f>IF(OR($W178="",$W178=6),"",WORKDAY($X178,CHOOSE($W178,3,3,2,2,3),Holidays))</f>
        <v/>
      </c>
      <c r="Z178" s="17">
        <f>IF(OR($W178="",$W178=6),"",CHOOSE($W178,"1st Email Follow-up","2nd Email Follow-up","Escalate Local Office","Escalate to CBE","Escalate to Roxanne"))</f>
        <v/>
      </c>
    </row>
    <row r="179" spans="18:26">
      <c r="R179" s="15"/>
      <c r="S179" s="16"/>
      <c r="T179" s="17">
        <f>IF(AND(COUNTA($A179:$K179)=0,$L179=""),"",IF($S179="Paid","PAID",IF($S179="Closed","CLOSED",IF($W179="","",IF($W179=6,"ESCALATED TO ROXANNE",IF(TODAY()&gt;$Y179,"OVERDUE",IF($Y179&lt;=WORKDAY(TODAY(),1,Holidays),"DUE TOMORROW",IF($W179=4,"ESCALATED TO LOCAL OFFICE",IF($W179=5,"ESCALATED TO CBE",IF($X179=TODAY(),"EMAIL SENT","MONITORING"))))))))))</f>
        <v/>
      </c>
      <c r="U179" s="17">
        <f>IF($T179="",IF(AND(COUNTA($A179:$K179)&gt;0,$L179=""),"Awaiting Collection Email time stamp.",""),IF(OR($T179="PAID",$T179="CLOSED"),IF($T179="PAID","Account paid. Action completed.","Account closed. No further action required."),CHOOSE($W179,"Collection Email","1st Email Follow-up","2nd Email Follow-up","Escalation to Local Office","Escalation to CBE","Escalation to Roxanne")&amp;" sent "&amp;TEXT($X179,"dd-mmm")&amp;". "&amp;IF($W179=6,"Final escalation completed.",IF($T179="OVERDUE","Next: "&amp;$Z179&amp;" was due "&amp;TEXT($Y179,"dd-mmm")&amp;" - "&amp;(NETWORKDAYS($Y179,TODAY(),Holidays)-1)&amp;" business day(s) late. Send now.",IF($T179="DUE TOMORROW","Next: "&amp;$Z179&amp;IF($Y179&lt;=TODAY()," is due TODAY ("," is due next business day (")&amp;TEXT($Y179,"dd-mmm")&amp;").","Next: "&amp;$Z179&amp;" due "&amp;TEXT($Y179,"dd-mmm")&amp;" ("&amp;(NETWORKDAYS(TODAY(),$Y179,Holidays)-1)&amp;" business day(s) left).")))))</f>
        <v/>
      </c>
      <c r="V179" s="17">
        <f>IF($W179="","",CHOOSE($W179,"Collection Email","1st Follow-up","2nd Follow-up","Local Office","CBE","Roxanne")&amp;IF($W179=6," - Final"," - Day "&amp;MAX(0,NETWORKDAYS($X179,TODAY(),Holidays)-1)&amp;" of "&amp;CHOOSE($W179,3,3,2,2,3))&amp;" | Total Day "&amp;MAX(0,NETWORKDAYS($L179,TODAY(),Holidays)-1))</f>
        <v/>
      </c>
      <c r="W179" s="17">
        <f>IF($L179="","",COUNT($L179:$Q179))</f>
        <v/>
      </c>
      <c r="X179" s="18">
        <f>IF($W179="","",INT(INDEX($L179:$Q179,$W179)))</f>
        <v/>
      </c>
      <c r="Y179" s="18">
        <f>IF(OR($W179="",$W179=6),"",WORKDAY($X179,CHOOSE($W179,3,3,2,2,3),Holidays))</f>
        <v/>
      </c>
      <c r="Z179" s="17">
        <f>IF(OR($W179="",$W179=6),"",CHOOSE($W179,"1st Email Follow-up","2nd Email Follow-up","Escalate Local Office","Escalate to CBE","Escalate to Roxanne"))</f>
        <v/>
      </c>
    </row>
    <row r="180" spans="18:26">
      <c r="R180" s="15"/>
      <c r="S180" s="16"/>
      <c r="T180" s="17">
        <f>IF(AND(COUNTA($A180:$K180)=0,$L180=""),"",IF($S180="Paid","PAID",IF($S180="Closed","CLOSED",IF($W180="","",IF($W180=6,"ESCALATED TO ROXANNE",IF(TODAY()&gt;$Y180,"OVERDUE",IF($Y180&lt;=WORKDAY(TODAY(),1,Holidays),"DUE TOMORROW",IF($W180=4,"ESCALATED TO LOCAL OFFICE",IF($W180=5,"ESCALATED TO CBE",IF($X180=TODAY(),"EMAIL SENT","MONITORING"))))))))))</f>
        <v/>
      </c>
      <c r="U180" s="17">
        <f>IF($T180="",IF(AND(COUNTA($A180:$K180)&gt;0,$L180=""),"Awaiting Collection Email time stamp.",""),IF(OR($T180="PAID",$T180="CLOSED"),IF($T180="PAID","Account paid. Action completed.","Account closed. No further action required."),CHOOSE($W180,"Collection Email","1st Email Follow-up","2nd Email Follow-up","Escalation to Local Office","Escalation to CBE","Escalation to Roxanne")&amp;" sent "&amp;TEXT($X180,"dd-mmm")&amp;". "&amp;IF($W180=6,"Final escalation completed.",IF($T180="OVERDUE","Next: "&amp;$Z180&amp;" was due "&amp;TEXT($Y180,"dd-mmm")&amp;" - "&amp;(NETWORKDAYS($Y180,TODAY(),Holidays)-1)&amp;" business day(s) late. Send now.",IF($T180="DUE TOMORROW","Next: "&amp;$Z180&amp;IF($Y180&lt;=TODAY()," is due TODAY ("," is due next business day (")&amp;TEXT($Y180,"dd-mmm")&amp;").","Next: "&amp;$Z180&amp;" due "&amp;TEXT($Y180,"dd-mmm")&amp;" ("&amp;(NETWORKDAYS(TODAY(),$Y180,Holidays)-1)&amp;" business day(s) left).")))))</f>
        <v/>
      </c>
      <c r="V180" s="17">
        <f>IF($W180="","",CHOOSE($W180,"Collection Email","1st Follow-up","2nd Follow-up","Local Office","CBE","Roxanne")&amp;IF($W180=6," - Final"," - Day "&amp;MAX(0,NETWORKDAYS($X180,TODAY(),Holidays)-1)&amp;" of "&amp;CHOOSE($W180,3,3,2,2,3))&amp;" | Total Day "&amp;MAX(0,NETWORKDAYS($L180,TODAY(),Holidays)-1))</f>
        <v/>
      </c>
      <c r="W180" s="17">
        <f>IF($L180="","",COUNT($L180:$Q180))</f>
        <v/>
      </c>
      <c r="X180" s="18">
        <f>IF($W180="","",INT(INDEX($L180:$Q180,$W180)))</f>
        <v/>
      </c>
      <c r="Y180" s="18">
        <f>IF(OR($W180="",$W180=6),"",WORKDAY($X180,CHOOSE($W180,3,3,2,2,3),Holidays))</f>
        <v/>
      </c>
      <c r="Z180" s="17">
        <f>IF(OR($W180="",$W180=6),"",CHOOSE($W180,"1st Email Follow-up","2nd Email Follow-up","Escalate Local Office","Escalate to CBE","Escalate to Roxanne"))</f>
        <v/>
      </c>
    </row>
    <row r="181" spans="18:26">
      <c r="R181" s="15"/>
      <c r="S181" s="16"/>
      <c r="T181" s="17">
        <f>IF(AND(COUNTA($A181:$K181)=0,$L181=""),"",IF($S181="Paid","PAID",IF($S181="Closed","CLOSED",IF($W181="","",IF($W181=6,"ESCALATED TO ROXANNE",IF(TODAY()&gt;$Y181,"OVERDUE",IF($Y181&lt;=WORKDAY(TODAY(),1,Holidays),"DUE TOMORROW",IF($W181=4,"ESCALATED TO LOCAL OFFICE",IF($W181=5,"ESCALATED TO CBE",IF($X181=TODAY(),"EMAIL SENT","MONITORING"))))))))))</f>
        <v/>
      </c>
      <c r="U181" s="17">
        <f>IF($T181="",IF(AND(COUNTA($A181:$K181)&gt;0,$L181=""),"Awaiting Collection Email time stamp.",""),IF(OR($T181="PAID",$T181="CLOSED"),IF($T181="PAID","Account paid. Action completed.","Account closed. No further action required."),CHOOSE($W181,"Collection Email","1st Email Follow-up","2nd Email Follow-up","Escalation to Local Office","Escalation to CBE","Escalation to Roxanne")&amp;" sent "&amp;TEXT($X181,"dd-mmm")&amp;". "&amp;IF($W181=6,"Final escalation completed.",IF($T181="OVERDUE","Next: "&amp;$Z181&amp;" was due "&amp;TEXT($Y181,"dd-mmm")&amp;" - "&amp;(NETWORKDAYS($Y181,TODAY(),Holidays)-1)&amp;" business day(s) late. Send now.",IF($T181="DUE TOMORROW","Next: "&amp;$Z181&amp;IF($Y181&lt;=TODAY()," is due TODAY ("," is due next business day (")&amp;TEXT($Y181,"dd-mmm")&amp;").","Next: "&amp;$Z181&amp;" due "&amp;TEXT($Y181,"dd-mmm")&amp;" ("&amp;(NETWORKDAYS(TODAY(),$Y181,Holidays)-1)&amp;" business day(s) left).")))))</f>
        <v/>
      </c>
      <c r="V181" s="17">
        <f>IF($W181="","",CHOOSE($W181,"Collection Email","1st Follow-up","2nd Follow-up","Local Office","CBE","Roxanne")&amp;IF($W181=6," - Final"," - Day "&amp;MAX(0,NETWORKDAYS($X181,TODAY(),Holidays)-1)&amp;" of "&amp;CHOOSE($W181,3,3,2,2,3))&amp;" | Total Day "&amp;MAX(0,NETWORKDAYS($L181,TODAY(),Holidays)-1))</f>
        <v/>
      </c>
      <c r="W181" s="17">
        <f>IF($L181="","",COUNT($L181:$Q181))</f>
        <v/>
      </c>
      <c r="X181" s="18">
        <f>IF($W181="","",INT(INDEX($L181:$Q181,$W181)))</f>
        <v/>
      </c>
      <c r="Y181" s="18">
        <f>IF(OR($W181="",$W181=6),"",WORKDAY($X181,CHOOSE($W181,3,3,2,2,3),Holidays))</f>
        <v/>
      </c>
      <c r="Z181" s="17">
        <f>IF(OR($W181="",$W181=6),"",CHOOSE($W181,"1st Email Follow-up","2nd Email Follow-up","Escalate Local Office","Escalate to CBE","Escalate to Roxanne"))</f>
        <v/>
      </c>
    </row>
    <row r="182" spans="18:26">
      <c r="R182" s="15"/>
      <c r="S182" s="16"/>
      <c r="T182" s="17">
        <f>IF(AND(COUNTA($A182:$K182)=0,$L182=""),"",IF($S182="Paid","PAID",IF($S182="Closed","CLOSED",IF($W182="","",IF($W182=6,"ESCALATED TO ROXANNE",IF(TODAY()&gt;$Y182,"OVERDUE",IF($Y182&lt;=WORKDAY(TODAY(),1,Holidays),"DUE TOMORROW",IF($W182=4,"ESCALATED TO LOCAL OFFICE",IF($W182=5,"ESCALATED TO CBE",IF($X182=TODAY(),"EMAIL SENT","MONITORING"))))))))))</f>
        <v/>
      </c>
      <c r="U182" s="17">
        <f>IF($T182="",IF(AND(COUNTA($A182:$K182)&gt;0,$L182=""),"Awaiting Collection Email time stamp.",""),IF(OR($T182="PAID",$T182="CLOSED"),IF($T182="PAID","Account paid. Action completed.","Account closed. No further action required."),CHOOSE($W182,"Collection Email","1st Email Follow-up","2nd Email Follow-up","Escalation to Local Office","Escalation to CBE","Escalation to Roxanne")&amp;" sent "&amp;TEXT($X182,"dd-mmm")&amp;". "&amp;IF($W182=6,"Final escalation completed.",IF($T182="OVERDUE","Next: "&amp;$Z182&amp;" was due "&amp;TEXT($Y182,"dd-mmm")&amp;" - "&amp;(NETWORKDAYS($Y182,TODAY(),Holidays)-1)&amp;" business day(s) late. Send now.",IF($T182="DUE TOMORROW","Next: "&amp;$Z182&amp;IF($Y182&lt;=TODAY()," is due TODAY ("," is due next business day (")&amp;TEXT($Y182,"dd-mmm")&amp;").","Next: "&amp;$Z182&amp;" due "&amp;TEXT($Y182,"dd-mmm")&amp;" ("&amp;(NETWORKDAYS(TODAY(),$Y182,Holidays)-1)&amp;" business day(s) left).")))))</f>
        <v/>
      </c>
      <c r="V182" s="17">
        <f>IF($W182="","",CHOOSE($W182,"Collection Email","1st Follow-up","2nd Follow-up","Local Office","CBE","Roxanne")&amp;IF($W182=6," - Final"," - Day "&amp;MAX(0,NETWORKDAYS($X182,TODAY(),Holidays)-1)&amp;" of "&amp;CHOOSE($W182,3,3,2,2,3))&amp;" | Total Day "&amp;MAX(0,NETWORKDAYS($L182,TODAY(),Holidays)-1))</f>
        <v/>
      </c>
      <c r="W182" s="17">
        <f>IF($L182="","",COUNT($L182:$Q182))</f>
        <v/>
      </c>
      <c r="X182" s="18">
        <f>IF($W182="","",INT(INDEX($L182:$Q182,$W182)))</f>
        <v/>
      </c>
      <c r="Y182" s="18">
        <f>IF(OR($W182="",$W182=6),"",WORKDAY($X182,CHOOSE($W182,3,3,2,2,3),Holidays))</f>
        <v/>
      </c>
      <c r="Z182" s="17">
        <f>IF(OR($W182="",$W182=6),"",CHOOSE($W182,"1st Email Follow-up","2nd Email Follow-up","Escalate Local Office","Escalate to CBE","Escalate to Roxanne"))</f>
        <v/>
      </c>
    </row>
    <row r="183" spans="18:26">
      <c r="R183" s="15"/>
      <c r="S183" s="16"/>
      <c r="T183" s="17">
        <f>IF(AND(COUNTA($A183:$K183)=0,$L183=""),"",IF($S183="Paid","PAID",IF($S183="Closed","CLOSED",IF($W183="","",IF($W183=6,"ESCALATED TO ROXANNE",IF(TODAY()&gt;$Y183,"OVERDUE",IF($Y183&lt;=WORKDAY(TODAY(),1,Holidays),"DUE TOMORROW",IF($W183=4,"ESCALATED TO LOCAL OFFICE",IF($W183=5,"ESCALATED TO CBE",IF($X183=TODAY(),"EMAIL SENT","MONITORING"))))))))))</f>
        <v/>
      </c>
      <c r="U183" s="17">
        <f>IF($T183="",IF(AND(COUNTA($A183:$K183)&gt;0,$L183=""),"Awaiting Collection Email time stamp.",""),IF(OR($T183="PAID",$T183="CLOSED"),IF($T183="PAID","Account paid. Action completed.","Account closed. No further action required."),CHOOSE($W183,"Collection Email","1st Email Follow-up","2nd Email Follow-up","Escalation to Local Office","Escalation to CBE","Escalation to Roxanne")&amp;" sent "&amp;TEXT($X183,"dd-mmm")&amp;". "&amp;IF($W183=6,"Final escalation completed.",IF($T183="OVERDUE","Next: "&amp;$Z183&amp;" was due "&amp;TEXT($Y183,"dd-mmm")&amp;" - "&amp;(NETWORKDAYS($Y183,TODAY(),Holidays)-1)&amp;" business day(s) late. Send now.",IF($T183="DUE TOMORROW","Next: "&amp;$Z183&amp;IF($Y183&lt;=TODAY()," is due TODAY ("," is due next business day (")&amp;TEXT($Y183,"dd-mmm")&amp;").","Next: "&amp;$Z183&amp;" due "&amp;TEXT($Y183,"dd-mmm")&amp;" ("&amp;(NETWORKDAYS(TODAY(),$Y183,Holidays)-1)&amp;" business day(s) left).")))))</f>
        <v/>
      </c>
      <c r="V183" s="17">
        <f>IF($W183="","",CHOOSE($W183,"Collection Email","1st Follow-up","2nd Follow-up","Local Office","CBE","Roxanne")&amp;IF($W183=6," - Final"," - Day "&amp;MAX(0,NETWORKDAYS($X183,TODAY(),Holidays)-1)&amp;" of "&amp;CHOOSE($W183,3,3,2,2,3))&amp;" | Total Day "&amp;MAX(0,NETWORKDAYS($L183,TODAY(),Holidays)-1))</f>
        <v/>
      </c>
      <c r="W183" s="17">
        <f>IF($L183="","",COUNT($L183:$Q183))</f>
        <v/>
      </c>
      <c r="X183" s="18">
        <f>IF($W183="","",INT(INDEX($L183:$Q183,$W183)))</f>
        <v/>
      </c>
      <c r="Y183" s="18">
        <f>IF(OR($W183="",$W183=6),"",WORKDAY($X183,CHOOSE($W183,3,3,2,2,3),Holidays))</f>
        <v/>
      </c>
      <c r="Z183" s="17">
        <f>IF(OR($W183="",$W183=6),"",CHOOSE($W183,"1st Email Follow-up","2nd Email Follow-up","Escalate Local Office","Escalate to CBE","Escalate to Roxanne"))</f>
        <v/>
      </c>
    </row>
    <row r="184" spans="18:26">
      <c r="R184" s="15"/>
      <c r="S184" s="16"/>
      <c r="T184" s="17">
        <f>IF(AND(COUNTA($A184:$K184)=0,$L184=""),"",IF($S184="Paid","PAID",IF($S184="Closed","CLOSED",IF($W184="","",IF($W184=6,"ESCALATED TO ROXANNE",IF(TODAY()&gt;$Y184,"OVERDUE",IF($Y184&lt;=WORKDAY(TODAY(),1,Holidays),"DUE TOMORROW",IF($W184=4,"ESCALATED TO LOCAL OFFICE",IF($W184=5,"ESCALATED TO CBE",IF($X184=TODAY(),"EMAIL SENT","MONITORING"))))))))))</f>
        <v/>
      </c>
      <c r="U184" s="17">
        <f>IF($T184="",IF(AND(COUNTA($A184:$K184)&gt;0,$L184=""),"Awaiting Collection Email time stamp.",""),IF(OR($T184="PAID",$T184="CLOSED"),IF($T184="PAID","Account paid. Action completed.","Account closed. No further action required."),CHOOSE($W184,"Collection Email","1st Email Follow-up","2nd Email Follow-up","Escalation to Local Office","Escalation to CBE","Escalation to Roxanne")&amp;" sent "&amp;TEXT($X184,"dd-mmm")&amp;". "&amp;IF($W184=6,"Final escalation completed.",IF($T184="OVERDUE","Next: "&amp;$Z184&amp;" was due "&amp;TEXT($Y184,"dd-mmm")&amp;" - "&amp;(NETWORKDAYS($Y184,TODAY(),Holidays)-1)&amp;" business day(s) late. Send now.",IF($T184="DUE TOMORROW","Next: "&amp;$Z184&amp;IF($Y184&lt;=TODAY()," is due TODAY ("," is due next business day (")&amp;TEXT($Y184,"dd-mmm")&amp;").","Next: "&amp;$Z184&amp;" due "&amp;TEXT($Y184,"dd-mmm")&amp;" ("&amp;(NETWORKDAYS(TODAY(),$Y184,Holidays)-1)&amp;" business day(s) left).")))))</f>
        <v/>
      </c>
      <c r="V184" s="17">
        <f>IF($W184="","",CHOOSE($W184,"Collection Email","1st Follow-up","2nd Follow-up","Local Office","CBE","Roxanne")&amp;IF($W184=6," - Final"," - Day "&amp;MAX(0,NETWORKDAYS($X184,TODAY(),Holidays)-1)&amp;" of "&amp;CHOOSE($W184,3,3,2,2,3))&amp;" | Total Day "&amp;MAX(0,NETWORKDAYS($L184,TODAY(),Holidays)-1))</f>
        <v/>
      </c>
      <c r="W184" s="17">
        <f>IF($L184="","",COUNT($L184:$Q184))</f>
        <v/>
      </c>
      <c r="X184" s="18">
        <f>IF($W184="","",INT(INDEX($L184:$Q184,$W184)))</f>
        <v/>
      </c>
      <c r="Y184" s="18">
        <f>IF(OR($W184="",$W184=6),"",WORKDAY($X184,CHOOSE($W184,3,3,2,2,3),Holidays))</f>
        <v/>
      </c>
      <c r="Z184" s="17">
        <f>IF(OR($W184="",$W184=6),"",CHOOSE($W184,"1st Email Follow-up","2nd Email Follow-up","Escalate Local Office","Escalate to CBE","Escalate to Roxanne"))</f>
        <v/>
      </c>
    </row>
    <row r="185" spans="18:26">
      <c r="R185" s="15"/>
      <c r="S185" s="16"/>
      <c r="T185" s="17">
        <f>IF(AND(COUNTA($A185:$K185)=0,$L185=""),"",IF($S185="Paid","PAID",IF($S185="Closed","CLOSED",IF($W185="","",IF($W185=6,"ESCALATED TO ROXANNE",IF(TODAY()&gt;$Y185,"OVERDUE",IF($Y185&lt;=WORKDAY(TODAY(),1,Holidays),"DUE TOMORROW",IF($W185=4,"ESCALATED TO LOCAL OFFICE",IF($W185=5,"ESCALATED TO CBE",IF($X185=TODAY(),"EMAIL SENT","MONITORING"))))))))))</f>
        <v/>
      </c>
      <c r="U185" s="17">
        <f>IF($T185="",IF(AND(COUNTA($A185:$K185)&gt;0,$L185=""),"Awaiting Collection Email time stamp.",""),IF(OR($T185="PAID",$T185="CLOSED"),IF($T185="PAID","Account paid. Action completed.","Account closed. No further action required."),CHOOSE($W185,"Collection Email","1st Email Follow-up","2nd Email Follow-up","Escalation to Local Office","Escalation to CBE","Escalation to Roxanne")&amp;" sent "&amp;TEXT($X185,"dd-mmm")&amp;". "&amp;IF($W185=6,"Final escalation completed.",IF($T185="OVERDUE","Next: "&amp;$Z185&amp;" was due "&amp;TEXT($Y185,"dd-mmm")&amp;" - "&amp;(NETWORKDAYS($Y185,TODAY(),Holidays)-1)&amp;" business day(s) late. Send now.",IF($T185="DUE TOMORROW","Next: "&amp;$Z185&amp;IF($Y185&lt;=TODAY()," is due TODAY ("," is due next business day (")&amp;TEXT($Y185,"dd-mmm")&amp;").","Next: "&amp;$Z185&amp;" due "&amp;TEXT($Y185,"dd-mmm")&amp;" ("&amp;(NETWORKDAYS(TODAY(),$Y185,Holidays)-1)&amp;" business day(s) left).")))))</f>
        <v/>
      </c>
      <c r="V185" s="17">
        <f>IF($W185="","",CHOOSE($W185,"Collection Email","1st Follow-up","2nd Follow-up","Local Office","CBE","Roxanne")&amp;IF($W185=6," - Final"," - Day "&amp;MAX(0,NETWORKDAYS($X185,TODAY(),Holidays)-1)&amp;" of "&amp;CHOOSE($W185,3,3,2,2,3))&amp;" | Total Day "&amp;MAX(0,NETWORKDAYS($L185,TODAY(),Holidays)-1))</f>
        <v/>
      </c>
      <c r="W185" s="17">
        <f>IF($L185="","",COUNT($L185:$Q185))</f>
        <v/>
      </c>
      <c r="X185" s="18">
        <f>IF($W185="","",INT(INDEX($L185:$Q185,$W185)))</f>
        <v/>
      </c>
      <c r="Y185" s="18">
        <f>IF(OR($W185="",$W185=6),"",WORKDAY($X185,CHOOSE($W185,3,3,2,2,3),Holidays))</f>
        <v/>
      </c>
      <c r="Z185" s="17">
        <f>IF(OR($W185="",$W185=6),"",CHOOSE($W185,"1st Email Follow-up","2nd Email Follow-up","Escalate Local Office","Escalate to CBE","Escalate to Roxanne"))</f>
        <v/>
      </c>
    </row>
    <row r="186" spans="18:26">
      <c r="R186" s="15"/>
      <c r="S186" s="16"/>
      <c r="T186" s="17">
        <f>IF(AND(COUNTA($A186:$K186)=0,$L186=""),"",IF($S186="Paid","PAID",IF($S186="Closed","CLOSED",IF($W186="","",IF($W186=6,"ESCALATED TO ROXANNE",IF(TODAY()&gt;$Y186,"OVERDUE",IF($Y186&lt;=WORKDAY(TODAY(),1,Holidays),"DUE TOMORROW",IF($W186=4,"ESCALATED TO LOCAL OFFICE",IF($W186=5,"ESCALATED TO CBE",IF($X186=TODAY(),"EMAIL SENT","MONITORING"))))))))))</f>
        <v/>
      </c>
      <c r="U186" s="17">
        <f>IF($T186="",IF(AND(COUNTA($A186:$K186)&gt;0,$L186=""),"Awaiting Collection Email time stamp.",""),IF(OR($T186="PAID",$T186="CLOSED"),IF($T186="PAID","Account paid. Action completed.","Account closed. No further action required."),CHOOSE($W186,"Collection Email","1st Email Follow-up","2nd Email Follow-up","Escalation to Local Office","Escalation to CBE","Escalation to Roxanne")&amp;" sent "&amp;TEXT($X186,"dd-mmm")&amp;". "&amp;IF($W186=6,"Final escalation completed.",IF($T186="OVERDUE","Next: "&amp;$Z186&amp;" was due "&amp;TEXT($Y186,"dd-mmm")&amp;" - "&amp;(NETWORKDAYS($Y186,TODAY(),Holidays)-1)&amp;" business day(s) late. Send now.",IF($T186="DUE TOMORROW","Next: "&amp;$Z186&amp;IF($Y186&lt;=TODAY()," is due TODAY ("," is due next business day (")&amp;TEXT($Y186,"dd-mmm")&amp;").","Next: "&amp;$Z186&amp;" due "&amp;TEXT($Y186,"dd-mmm")&amp;" ("&amp;(NETWORKDAYS(TODAY(),$Y186,Holidays)-1)&amp;" business day(s) left).")))))</f>
        <v/>
      </c>
      <c r="V186" s="17">
        <f>IF($W186="","",CHOOSE($W186,"Collection Email","1st Follow-up","2nd Follow-up","Local Office","CBE","Roxanne")&amp;IF($W186=6," - Final"," - Day "&amp;MAX(0,NETWORKDAYS($X186,TODAY(),Holidays)-1)&amp;" of "&amp;CHOOSE($W186,3,3,2,2,3))&amp;" | Total Day "&amp;MAX(0,NETWORKDAYS($L186,TODAY(),Holidays)-1))</f>
        <v/>
      </c>
      <c r="W186" s="17">
        <f>IF($L186="","",COUNT($L186:$Q186))</f>
        <v/>
      </c>
      <c r="X186" s="18">
        <f>IF($W186="","",INT(INDEX($L186:$Q186,$W186)))</f>
        <v/>
      </c>
      <c r="Y186" s="18">
        <f>IF(OR($W186="",$W186=6),"",WORKDAY($X186,CHOOSE($W186,3,3,2,2,3),Holidays))</f>
        <v/>
      </c>
      <c r="Z186" s="17">
        <f>IF(OR($W186="",$W186=6),"",CHOOSE($W186,"1st Email Follow-up","2nd Email Follow-up","Escalate Local Office","Escalate to CBE","Escalate to Roxanne"))</f>
        <v/>
      </c>
    </row>
    <row r="187" spans="18:26">
      <c r="R187" s="15"/>
      <c r="S187" s="16"/>
      <c r="T187" s="17">
        <f>IF(AND(COUNTA($A187:$K187)=0,$L187=""),"",IF($S187="Paid","PAID",IF($S187="Closed","CLOSED",IF($W187="","",IF($W187=6,"ESCALATED TO ROXANNE",IF(TODAY()&gt;$Y187,"OVERDUE",IF($Y187&lt;=WORKDAY(TODAY(),1,Holidays),"DUE TOMORROW",IF($W187=4,"ESCALATED TO LOCAL OFFICE",IF($W187=5,"ESCALATED TO CBE",IF($X187=TODAY(),"EMAIL SENT","MONITORING"))))))))))</f>
        <v/>
      </c>
      <c r="U187" s="17">
        <f>IF($T187="",IF(AND(COUNTA($A187:$K187)&gt;0,$L187=""),"Awaiting Collection Email time stamp.",""),IF(OR($T187="PAID",$T187="CLOSED"),IF($T187="PAID","Account paid. Action completed.","Account closed. No further action required."),CHOOSE($W187,"Collection Email","1st Email Follow-up","2nd Email Follow-up","Escalation to Local Office","Escalation to CBE","Escalation to Roxanne")&amp;" sent "&amp;TEXT($X187,"dd-mmm")&amp;". "&amp;IF($W187=6,"Final escalation completed.",IF($T187="OVERDUE","Next: "&amp;$Z187&amp;" was due "&amp;TEXT($Y187,"dd-mmm")&amp;" - "&amp;(NETWORKDAYS($Y187,TODAY(),Holidays)-1)&amp;" business day(s) late. Send now.",IF($T187="DUE TOMORROW","Next: "&amp;$Z187&amp;IF($Y187&lt;=TODAY()," is due TODAY ("," is due next business day (")&amp;TEXT($Y187,"dd-mmm")&amp;").","Next: "&amp;$Z187&amp;" due "&amp;TEXT($Y187,"dd-mmm")&amp;" ("&amp;(NETWORKDAYS(TODAY(),$Y187,Holidays)-1)&amp;" business day(s) left).")))))</f>
        <v/>
      </c>
      <c r="V187" s="17">
        <f>IF($W187="","",CHOOSE($W187,"Collection Email","1st Follow-up","2nd Follow-up","Local Office","CBE","Roxanne")&amp;IF($W187=6," - Final"," - Day "&amp;MAX(0,NETWORKDAYS($X187,TODAY(),Holidays)-1)&amp;" of "&amp;CHOOSE($W187,3,3,2,2,3))&amp;" | Total Day "&amp;MAX(0,NETWORKDAYS($L187,TODAY(),Holidays)-1))</f>
        <v/>
      </c>
      <c r="W187" s="17">
        <f>IF($L187="","",COUNT($L187:$Q187))</f>
        <v/>
      </c>
      <c r="X187" s="18">
        <f>IF($W187="","",INT(INDEX($L187:$Q187,$W187)))</f>
        <v/>
      </c>
      <c r="Y187" s="18">
        <f>IF(OR($W187="",$W187=6),"",WORKDAY($X187,CHOOSE($W187,3,3,2,2,3),Holidays))</f>
        <v/>
      </c>
      <c r="Z187" s="17">
        <f>IF(OR($W187="",$W187=6),"",CHOOSE($W187,"1st Email Follow-up","2nd Email Follow-up","Escalate Local Office","Escalate to CBE","Escalate to Roxanne"))</f>
        <v/>
      </c>
    </row>
    <row r="188" spans="18:26">
      <c r="R188" s="15"/>
      <c r="S188" s="16"/>
      <c r="T188" s="17">
        <f>IF(AND(COUNTA($A188:$K188)=0,$L188=""),"",IF($S188="Paid","PAID",IF($S188="Closed","CLOSED",IF($W188="","",IF($W188=6,"ESCALATED TO ROXANNE",IF(TODAY()&gt;$Y188,"OVERDUE",IF($Y188&lt;=WORKDAY(TODAY(),1,Holidays),"DUE TOMORROW",IF($W188=4,"ESCALATED TO LOCAL OFFICE",IF($W188=5,"ESCALATED TO CBE",IF($X188=TODAY(),"EMAIL SENT","MONITORING"))))))))))</f>
        <v/>
      </c>
      <c r="U188" s="17">
        <f>IF($T188="",IF(AND(COUNTA($A188:$K188)&gt;0,$L188=""),"Awaiting Collection Email time stamp.",""),IF(OR($T188="PAID",$T188="CLOSED"),IF($T188="PAID","Account paid. Action completed.","Account closed. No further action required."),CHOOSE($W188,"Collection Email","1st Email Follow-up","2nd Email Follow-up","Escalation to Local Office","Escalation to CBE","Escalation to Roxanne")&amp;" sent "&amp;TEXT($X188,"dd-mmm")&amp;". "&amp;IF($W188=6,"Final escalation completed.",IF($T188="OVERDUE","Next: "&amp;$Z188&amp;" was due "&amp;TEXT($Y188,"dd-mmm")&amp;" - "&amp;(NETWORKDAYS($Y188,TODAY(),Holidays)-1)&amp;" business day(s) late. Send now.",IF($T188="DUE TOMORROW","Next: "&amp;$Z188&amp;IF($Y188&lt;=TODAY()," is due TODAY ("," is due next business day (")&amp;TEXT($Y188,"dd-mmm")&amp;").","Next: "&amp;$Z188&amp;" due "&amp;TEXT($Y188,"dd-mmm")&amp;" ("&amp;(NETWORKDAYS(TODAY(),$Y188,Holidays)-1)&amp;" business day(s) left).")))))</f>
        <v/>
      </c>
      <c r="V188" s="17">
        <f>IF($W188="","",CHOOSE($W188,"Collection Email","1st Follow-up","2nd Follow-up","Local Office","CBE","Roxanne")&amp;IF($W188=6," - Final"," - Day "&amp;MAX(0,NETWORKDAYS($X188,TODAY(),Holidays)-1)&amp;" of "&amp;CHOOSE($W188,3,3,2,2,3))&amp;" | Total Day "&amp;MAX(0,NETWORKDAYS($L188,TODAY(),Holidays)-1))</f>
        <v/>
      </c>
      <c r="W188" s="17">
        <f>IF($L188="","",COUNT($L188:$Q188))</f>
        <v/>
      </c>
      <c r="X188" s="18">
        <f>IF($W188="","",INT(INDEX($L188:$Q188,$W188)))</f>
        <v/>
      </c>
      <c r="Y188" s="18">
        <f>IF(OR($W188="",$W188=6),"",WORKDAY($X188,CHOOSE($W188,3,3,2,2,3),Holidays))</f>
        <v/>
      </c>
      <c r="Z188" s="17">
        <f>IF(OR($W188="",$W188=6),"",CHOOSE($W188,"1st Email Follow-up","2nd Email Follow-up","Escalate Local Office","Escalate to CBE","Escalate to Roxanne"))</f>
        <v/>
      </c>
    </row>
    <row r="189" spans="18:26">
      <c r="R189" s="15"/>
      <c r="S189" s="16"/>
      <c r="T189" s="17">
        <f>IF(AND(COUNTA($A189:$K189)=0,$L189=""),"",IF($S189="Paid","PAID",IF($S189="Closed","CLOSED",IF($W189="","",IF($W189=6,"ESCALATED TO ROXANNE",IF(TODAY()&gt;$Y189,"OVERDUE",IF($Y189&lt;=WORKDAY(TODAY(),1,Holidays),"DUE TOMORROW",IF($W189=4,"ESCALATED TO LOCAL OFFICE",IF($W189=5,"ESCALATED TO CBE",IF($X189=TODAY(),"EMAIL SENT","MONITORING"))))))))))</f>
        <v/>
      </c>
      <c r="U189" s="17">
        <f>IF($T189="",IF(AND(COUNTA($A189:$K189)&gt;0,$L189=""),"Awaiting Collection Email time stamp.",""),IF(OR($T189="PAID",$T189="CLOSED"),IF($T189="PAID","Account paid. Action completed.","Account closed. No further action required."),CHOOSE($W189,"Collection Email","1st Email Follow-up","2nd Email Follow-up","Escalation to Local Office","Escalation to CBE","Escalation to Roxanne")&amp;" sent "&amp;TEXT($X189,"dd-mmm")&amp;". "&amp;IF($W189=6,"Final escalation completed.",IF($T189="OVERDUE","Next: "&amp;$Z189&amp;" was due "&amp;TEXT($Y189,"dd-mmm")&amp;" - "&amp;(NETWORKDAYS($Y189,TODAY(),Holidays)-1)&amp;" business day(s) late. Send now.",IF($T189="DUE TOMORROW","Next: "&amp;$Z189&amp;IF($Y189&lt;=TODAY()," is due TODAY ("," is due next business day (")&amp;TEXT($Y189,"dd-mmm")&amp;").","Next: "&amp;$Z189&amp;" due "&amp;TEXT($Y189,"dd-mmm")&amp;" ("&amp;(NETWORKDAYS(TODAY(),$Y189,Holidays)-1)&amp;" business day(s) left).")))))</f>
        <v/>
      </c>
      <c r="V189" s="17">
        <f>IF($W189="","",CHOOSE($W189,"Collection Email","1st Follow-up","2nd Follow-up","Local Office","CBE","Roxanne")&amp;IF($W189=6," - Final"," - Day "&amp;MAX(0,NETWORKDAYS($X189,TODAY(),Holidays)-1)&amp;" of "&amp;CHOOSE($W189,3,3,2,2,3))&amp;" | Total Day "&amp;MAX(0,NETWORKDAYS($L189,TODAY(),Holidays)-1))</f>
        <v/>
      </c>
      <c r="W189" s="17">
        <f>IF($L189="","",COUNT($L189:$Q189))</f>
        <v/>
      </c>
      <c r="X189" s="18">
        <f>IF($W189="","",INT(INDEX($L189:$Q189,$W189)))</f>
        <v/>
      </c>
      <c r="Y189" s="18">
        <f>IF(OR($W189="",$W189=6),"",WORKDAY($X189,CHOOSE($W189,3,3,2,2,3),Holidays))</f>
        <v/>
      </c>
      <c r="Z189" s="17">
        <f>IF(OR($W189="",$W189=6),"",CHOOSE($W189,"1st Email Follow-up","2nd Email Follow-up","Escalate Local Office","Escalate to CBE","Escalate to Roxanne"))</f>
        <v/>
      </c>
    </row>
    <row r="190" spans="18:26">
      <c r="R190" s="15"/>
      <c r="S190" s="16"/>
      <c r="T190" s="17">
        <f>IF(AND(COUNTA($A190:$K190)=0,$L190=""),"",IF($S190="Paid","PAID",IF($S190="Closed","CLOSED",IF($W190="","",IF($W190=6,"ESCALATED TO ROXANNE",IF(TODAY()&gt;$Y190,"OVERDUE",IF($Y190&lt;=WORKDAY(TODAY(),1,Holidays),"DUE TOMORROW",IF($W190=4,"ESCALATED TO LOCAL OFFICE",IF($W190=5,"ESCALATED TO CBE",IF($X190=TODAY(),"EMAIL SENT","MONITORING"))))))))))</f>
        <v/>
      </c>
      <c r="U190" s="17">
        <f>IF($T190="",IF(AND(COUNTA($A190:$K190)&gt;0,$L190=""),"Awaiting Collection Email time stamp.",""),IF(OR($T190="PAID",$T190="CLOSED"),IF($T190="PAID","Account paid. Action completed.","Account closed. No further action required."),CHOOSE($W190,"Collection Email","1st Email Follow-up","2nd Email Follow-up","Escalation to Local Office","Escalation to CBE","Escalation to Roxanne")&amp;" sent "&amp;TEXT($X190,"dd-mmm")&amp;". "&amp;IF($W190=6,"Final escalation completed.",IF($T190="OVERDUE","Next: "&amp;$Z190&amp;" was due "&amp;TEXT($Y190,"dd-mmm")&amp;" - "&amp;(NETWORKDAYS($Y190,TODAY(),Holidays)-1)&amp;" business day(s) late. Send now.",IF($T190="DUE TOMORROW","Next: "&amp;$Z190&amp;IF($Y190&lt;=TODAY()," is due TODAY ("," is due next business day (")&amp;TEXT($Y190,"dd-mmm")&amp;").","Next: "&amp;$Z190&amp;" due "&amp;TEXT($Y190,"dd-mmm")&amp;" ("&amp;(NETWORKDAYS(TODAY(),$Y190,Holidays)-1)&amp;" business day(s) left).")))))</f>
        <v/>
      </c>
      <c r="V190" s="17">
        <f>IF($W190="","",CHOOSE($W190,"Collection Email","1st Follow-up","2nd Follow-up","Local Office","CBE","Roxanne")&amp;IF($W190=6," - Final"," - Day "&amp;MAX(0,NETWORKDAYS($X190,TODAY(),Holidays)-1)&amp;" of "&amp;CHOOSE($W190,3,3,2,2,3))&amp;" | Total Day "&amp;MAX(0,NETWORKDAYS($L190,TODAY(),Holidays)-1))</f>
        <v/>
      </c>
      <c r="W190" s="17">
        <f>IF($L190="","",COUNT($L190:$Q190))</f>
        <v/>
      </c>
      <c r="X190" s="18">
        <f>IF($W190="","",INT(INDEX($L190:$Q190,$W190)))</f>
        <v/>
      </c>
      <c r="Y190" s="18">
        <f>IF(OR($W190="",$W190=6),"",WORKDAY($X190,CHOOSE($W190,3,3,2,2,3),Holidays))</f>
        <v/>
      </c>
      <c r="Z190" s="17">
        <f>IF(OR($W190="",$W190=6),"",CHOOSE($W190,"1st Email Follow-up","2nd Email Follow-up","Escalate Local Office","Escalate to CBE","Escalate to Roxanne"))</f>
        <v/>
      </c>
    </row>
    <row r="191" spans="18:26">
      <c r="R191" s="15"/>
      <c r="S191" s="16"/>
      <c r="T191" s="17">
        <f>IF(AND(COUNTA($A191:$K191)=0,$L191=""),"",IF($S191="Paid","PAID",IF($S191="Closed","CLOSED",IF($W191="","",IF($W191=6,"ESCALATED TO ROXANNE",IF(TODAY()&gt;$Y191,"OVERDUE",IF($Y191&lt;=WORKDAY(TODAY(),1,Holidays),"DUE TOMORROW",IF($W191=4,"ESCALATED TO LOCAL OFFICE",IF($W191=5,"ESCALATED TO CBE",IF($X191=TODAY(),"EMAIL SENT","MONITORING"))))))))))</f>
        <v/>
      </c>
      <c r="U191" s="17">
        <f>IF($T191="",IF(AND(COUNTA($A191:$K191)&gt;0,$L191=""),"Awaiting Collection Email time stamp.",""),IF(OR($T191="PAID",$T191="CLOSED"),IF($T191="PAID","Account paid. Action completed.","Account closed. No further action required."),CHOOSE($W191,"Collection Email","1st Email Follow-up","2nd Email Follow-up","Escalation to Local Office","Escalation to CBE","Escalation to Roxanne")&amp;" sent "&amp;TEXT($X191,"dd-mmm")&amp;". "&amp;IF($W191=6,"Final escalation completed.",IF($T191="OVERDUE","Next: "&amp;$Z191&amp;" was due "&amp;TEXT($Y191,"dd-mmm")&amp;" - "&amp;(NETWORKDAYS($Y191,TODAY(),Holidays)-1)&amp;" business day(s) late. Send now.",IF($T191="DUE TOMORROW","Next: "&amp;$Z191&amp;IF($Y191&lt;=TODAY()," is due TODAY ("," is due next business day (")&amp;TEXT($Y191,"dd-mmm")&amp;").","Next: "&amp;$Z191&amp;" due "&amp;TEXT($Y191,"dd-mmm")&amp;" ("&amp;(NETWORKDAYS(TODAY(),$Y191,Holidays)-1)&amp;" business day(s) left).")))))</f>
        <v/>
      </c>
      <c r="V191" s="17">
        <f>IF($W191="","",CHOOSE($W191,"Collection Email","1st Follow-up","2nd Follow-up","Local Office","CBE","Roxanne")&amp;IF($W191=6," - Final"," - Day "&amp;MAX(0,NETWORKDAYS($X191,TODAY(),Holidays)-1)&amp;" of "&amp;CHOOSE($W191,3,3,2,2,3))&amp;" | Total Day "&amp;MAX(0,NETWORKDAYS($L191,TODAY(),Holidays)-1))</f>
        <v/>
      </c>
      <c r="W191" s="17">
        <f>IF($L191="","",COUNT($L191:$Q191))</f>
        <v/>
      </c>
      <c r="X191" s="18">
        <f>IF($W191="","",INT(INDEX($L191:$Q191,$W191)))</f>
        <v/>
      </c>
      <c r="Y191" s="18">
        <f>IF(OR($W191="",$W191=6),"",WORKDAY($X191,CHOOSE($W191,3,3,2,2,3),Holidays))</f>
        <v/>
      </c>
      <c r="Z191" s="17">
        <f>IF(OR($W191="",$W191=6),"",CHOOSE($W191,"1st Email Follow-up","2nd Email Follow-up","Escalate Local Office","Escalate to CBE","Escalate to Roxanne"))</f>
        <v/>
      </c>
    </row>
    <row r="192" spans="18:26">
      <c r="R192" s="15"/>
      <c r="S192" s="16"/>
      <c r="T192" s="17">
        <f>IF(AND(COUNTA($A192:$K192)=0,$L192=""),"",IF($S192="Paid","PAID",IF($S192="Closed","CLOSED",IF($W192="","",IF($W192=6,"ESCALATED TO ROXANNE",IF(TODAY()&gt;$Y192,"OVERDUE",IF($Y192&lt;=WORKDAY(TODAY(),1,Holidays),"DUE TOMORROW",IF($W192=4,"ESCALATED TO LOCAL OFFICE",IF($W192=5,"ESCALATED TO CBE",IF($X192=TODAY(),"EMAIL SENT","MONITORING"))))))))))</f>
        <v/>
      </c>
      <c r="U192" s="17">
        <f>IF($T192="",IF(AND(COUNTA($A192:$K192)&gt;0,$L192=""),"Awaiting Collection Email time stamp.",""),IF(OR($T192="PAID",$T192="CLOSED"),IF($T192="PAID","Account paid. Action completed.","Account closed. No further action required."),CHOOSE($W192,"Collection Email","1st Email Follow-up","2nd Email Follow-up","Escalation to Local Office","Escalation to CBE","Escalation to Roxanne")&amp;" sent "&amp;TEXT($X192,"dd-mmm")&amp;". "&amp;IF($W192=6,"Final escalation completed.",IF($T192="OVERDUE","Next: "&amp;$Z192&amp;" was due "&amp;TEXT($Y192,"dd-mmm")&amp;" - "&amp;(NETWORKDAYS($Y192,TODAY(),Holidays)-1)&amp;" business day(s) late. Send now.",IF($T192="DUE TOMORROW","Next: "&amp;$Z192&amp;IF($Y192&lt;=TODAY()," is due TODAY ("," is due next business day (")&amp;TEXT($Y192,"dd-mmm")&amp;").","Next: "&amp;$Z192&amp;" due "&amp;TEXT($Y192,"dd-mmm")&amp;" ("&amp;(NETWORKDAYS(TODAY(),$Y192,Holidays)-1)&amp;" business day(s) left).")))))</f>
        <v/>
      </c>
      <c r="V192" s="17">
        <f>IF($W192="","",CHOOSE($W192,"Collection Email","1st Follow-up","2nd Follow-up","Local Office","CBE","Roxanne")&amp;IF($W192=6," - Final"," - Day "&amp;MAX(0,NETWORKDAYS($X192,TODAY(),Holidays)-1)&amp;" of "&amp;CHOOSE($W192,3,3,2,2,3))&amp;" | Total Day "&amp;MAX(0,NETWORKDAYS($L192,TODAY(),Holidays)-1))</f>
        <v/>
      </c>
      <c r="W192" s="17">
        <f>IF($L192="","",COUNT($L192:$Q192))</f>
        <v/>
      </c>
      <c r="X192" s="18">
        <f>IF($W192="","",INT(INDEX($L192:$Q192,$W192)))</f>
        <v/>
      </c>
      <c r="Y192" s="18">
        <f>IF(OR($W192="",$W192=6),"",WORKDAY($X192,CHOOSE($W192,3,3,2,2,3),Holidays))</f>
        <v/>
      </c>
      <c r="Z192" s="17">
        <f>IF(OR($W192="",$W192=6),"",CHOOSE($W192,"1st Email Follow-up","2nd Email Follow-up","Escalate Local Office","Escalate to CBE","Escalate to Roxanne"))</f>
        <v/>
      </c>
    </row>
    <row r="193" spans="18:26">
      <c r="R193" s="15"/>
      <c r="S193" s="16"/>
      <c r="T193" s="17">
        <f>IF(AND(COUNTA($A193:$K193)=0,$L193=""),"",IF($S193="Paid","PAID",IF($S193="Closed","CLOSED",IF($W193="","",IF($W193=6,"ESCALATED TO ROXANNE",IF(TODAY()&gt;$Y193,"OVERDUE",IF($Y193&lt;=WORKDAY(TODAY(),1,Holidays),"DUE TOMORROW",IF($W193=4,"ESCALATED TO LOCAL OFFICE",IF($W193=5,"ESCALATED TO CBE",IF($X193=TODAY(),"EMAIL SENT","MONITORING"))))))))))</f>
        <v/>
      </c>
      <c r="U193" s="17">
        <f>IF($T193="",IF(AND(COUNTA($A193:$K193)&gt;0,$L193=""),"Awaiting Collection Email time stamp.",""),IF(OR($T193="PAID",$T193="CLOSED"),IF($T193="PAID","Account paid. Action completed.","Account closed. No further action required."),CHOOSE($W193,"Collection Email","1st Email Follow-up","2nd Email Follow-up","Escalation to Local Office","Escalation to CBE","Escalation to Roxanne")&amp;" sent "&amp;TEXT($X193,"dd-mmm")&amp;". "&amp;IF($W193=6,"Final escalation completed.",IF($T193="OVERDUE","Next: "&amp;$Z193&amp;" was due "&amp;TEXT($Y193,"dd-mmm")&amp;" - "&amp;(NETWORKDAYS($Y193,TODAY(),Holidays)-1)&amp;" business day(s) late. Send now.",IF($T193="DUE TOMORROW","Next: "&amp;$Z193&amp;IF($Y193&lt;=TODAY()," is due TODAY ("," is due next business day (")&amp;TEXT($Y193,"dd-mmm")&amp;").","Next: "&amp;$Z193&amp;" due "&amp;TEXT($Y193,"dd-mmm")&amp;" ("&amp;(NETWORKDAYS(TODAY(),$Y193,Holidays)-1)&amp;" business day(s) left).")))))</f>
        <v/>
      </c>
      <c r="V193" s="17">
        <f>IF($W193="","",CHOOSE($W193,"Collection Email","1st Follow-up","2nd Follow-up","Local Office","CBE","Roxanne")&amp;IF($W193=6," - Final"," - Day "&amp;MAX(0,NETWORKDAYS($X193,TODAY(),Holidays)-1)&amp;" of "&amp;CHOOSE($W193,3,3,2,2,3))&amp;" | Total Day "&amp;MAX(0,NETWORKDAYS($L193,TODAY(),Holidays)-1))</f>
        <v/>
      </c>
      <c r="W193" s="17">
        <f>IF($L193="","",COUNT($L193:$Q193))</f>
        <v/>
      </c>
      <c r="X193" s="18">
        <f>IF($W193="","",INT(INDEX($L193:$Q193,$W193)))</f>
        <v/>
      </c>
      <c r="Y193" s="18">
        <f>IF(OR($W193="",$W193=6),"",WORKDAY($X193,CHOOSE($W193,3,3,2,2,3),Holidays))</f>
        <v/>
      </c>
      <c r="Z193" s="17">
        <f>IF(OR($W193="",$W193=6),"",CHOOSE($W193,"1st Email Follow-up","2nd Email Follow-up","Escalate Local Office","Escalate to CBE","Escalate to Roxanne"))</f>
        <v/>
      </c>
    </row>
    <row r="194" spans="18:26">
      <c r="R194" s="15"/>
      <c r="S194" s="16"/>
      <c r="T194" s="17">
        <f>IF(AND(COUNTA($A194:$K194)=0,$L194=""),"",IF($S194="Paid","PAID",IF($S194="Closed","CLOSED",IF($W194="","",IF($W194=6,"ESCALATED TO ROXANNE",IF(TODAY()&gt;$Y194,"OVERDUE",IF($Y194&lt;=WORKDAY(TODAY(),1,Holidays),"DUE TOMORROW",IF($W194=4,"ESCALATED TO LOCAL OFFICE",IF($W194=5,"ESCALATED TO CBE",IF($X194=TODAY(),"EMAIL SENT","MONITORING"))))))))))</f>
        <v/>
      </c>
      <c r="U194" s="17">
        <f>IF($T194="",IF(AND(COUNTA($A194:$K194)&gt;0,$L194=""),"Awaiting Collection Email time stamp.",""),IF(OR($T194="PAID",$T194="CLOSED"),IF($T194="PAID","Account paid. Action completed.","Account closed. No further action required."),CHOOSE($W194,"Collection Email","1st Email Follow-up","2nd Email Follow-up","Escalation to Local Office","Escalation to CBE","Escalation to Roxanne")&amp;" sent "&amp;TEXT($X194,"dd-mmm")&amp;". "&amp;IF($W194=6,"Final escalation completed.",IF($T194="OVERDUE","Next: "&amp;$Z194&amp;" was due "&amp;TEXT($Y194,"dd-mmm")&amp;" - "&amp;(NETWORKDAYS($Y194,TODAY(),Holidays)-1)&amp;" business day(s) late. Send now.",IF($T194="DUE TOMORROW","Next: "&amp;$Z194&amp;IF($Y194&lt;=TODAY()," is due TODAY ("," is due next business day (")&amp;TEXT($Y194,"dd-mmm")&amp;").","Next: "&amp;$Z194&amp;" due "&amp;TEXT($Y194,"dd-mmm")&amp;" ("&amp;(NETWORKDAYS(TODAY(),$Y194,Holidays)-1)&amp;" business day(s) left).")))))</f>
        <v/>
      </c>
      <c r="V194" s="17">
        <f>IF($W194="","",CHOOSE($W194,"Collection Email","1st Follow-up","2nd Follow-up","Local Office","CBE","Roxanne")&amp;IF($W194=6," - Final"," - Day "&amp;MAX(0,NETWORKDAYS($X194,TODAY(),Holidays)-1)&amp;" of "&amp;CHOOSE($W194,3,3,2,2,3))&amp;" | Total Day "&amp;MAX(0,NETWORKDAYS($L194,TODAY(),Holidays)-1))</f>
        <v/>
      </c>
      <c r="W194" s="17">
        <f>IF($L194="","",COUNT($L194:$Q194))</f>
        <v/>
      </c>
      <c r="X194" s="18">
        <f>IF($W194="","",INT(INDEX($L194:$Q194,$W194)))</f>
        <v/>
      </c>
      <c r="Y194" s="18">
        <f>IF(OR($W194="",$W194=6),"",WORKDAY($X194,CHOOSE($W194,3,3,2,2,3),Holidays))</f>
        <v/>
      </c>
      <c r="Z194" s="17">
        <f>IF(OR($W194="",$W194=6),"",CHOOSE($W194,"1st Email Follow-up","2nd Email Follow-up","Escalate Local Office","Escalate to CBE","Escalate to Roxanne"))</f>
        <v/>
      </c>
    </row>
    <row r="195" spans="18:26">
      <c r="R195" s="15"/>
      <c r="S195" s="16"/>
      <c r="T195" s="17">
        <f>IF(AND(COUNTA($A195:$K195)=0,$L195=""),"",IF($S195="Paid","PAID",IF($S195="Closed","CLOSED",IF($W195="","",IF($W195=6,"ESCALATED TO ROXANNE",IF(TODAY()&gt;$Y195,"OVERDUE",IF($Y195&lt;=WORKDAY(TODAY(),1,Holidays),"DUE TOMORROW",IF($W195=4,"ESCALATED TO LOCAL OFFICE",IF($W195=5,"ESCALATED TO CBE",IF($X195=TODAY(),"EMAIL SENT","MONITORING"))))))))))</f>
        <v/>
      </c>
      <c r="U195" s="17">
        <f>IF($T195="",IF(AND(COUNTA($A195:$K195)&gt;0,$L195=""),"Awaiting Collection Email time stamp.",""),IF(OR($T195="PAID",$T195="CLOSED"),IF($T195="PAID","Account paid. Action completed.","Account closed. No further action required."),CHOOSE($W195,"Collection Email","1st Email Follow-up","2nd Email Follow-up","Escalation to Local Office","Escalation to CBE","Escalation to Roxanne")&amp;" sent "&amp;TEXT($X195,"dd-mmm")&amp;". "&amp;IF($W195=6,"Final escalation completed.",IF($T195="OVERDUE","Next: "&amp;$Z195&amp;" was due "&amp;TEXT($Y195,"dd-mmm")&amp;" - "&amp;(NETWORKDAYS($Y195,TODAY(),Holidays)-1)&amp;" business day(s) late. Send now.",IF($T195="DUE TOMORROW","Next: "&amp;$Z195&amp;IF($Y195&lt;=TODAY()," is due TODAY ("," is due next business day (")&amp;TEXT($Y195,"dd-mmm")&amp;").","Next: "&amp;$Z195&amp;" due "&amp;TEXT($Y195,"dd-mmm")&amp;" ("&amp;(NETWORKDAYS(TODAY(),$Y195,Holidays)-1)&amp;" business day(s) left).")))))</f>
        <v/>
      </c>
      <c r="V195" s="17">
        <f>IF($W195="","",CHOOSE($W195,"Collection Email","1st Follow-up","2nd Follow-up","Local Office","CBE","Roxanne")&amp;IF($W195=6," - Final"," - Day "&amp;MAX(0,NETWORKDAYS($X195,TODAY(),Holidays)-1)&amp;" of "&amp;CHOOSE($W195,3,3,2,2,3))&amp;" | Total Day "&amp;MAX(0,NETWORKDAYS($L195,TODAY(),Holidays)-1))</f>
        <v/>
      </c>
      <c r="W195" s="17">
        <f>IF($L195="","",COUNT($L195:$Q195))</f>
        <v/>
      </c>
      <c r="X195" s="18">
        <f>IF($W195="","",INT(INDEX($L195:$Q195,$W195)))</f>
        <v/>
      </c>
      <c r="Y195" s="18">
        <f>IF(OR($W195="",$W195=6),"",WORKDAY($X195,CHOOSE($W195,3,3,2,2,3),Holidays))</f>
        <v/>
      </c>
      <c r="Z195" s="17">
        <f>IF(OR($W195="",$W195=6),"",CHOOSE($W195,"1st Email Follow-up","2nd Email Follow-up","Escalate Local Office","Escalate to CBE","Escalate to Roxanne"))</f>
        <v/>
      </c>
    </row>
    <row r="196" spans="18:26">
      <c r="R196" s="15"/>
      <c r="S196" s="16"/>
      <c r="T196" s="17">
        <f>IF(AND(COUNTA($A196:$K196)=0,$L196=""),"",IF($S196="Paid","PAID",IF($S196="Closed","CLOSED",IF($W196="","",IF($W196=6,"ESCALATED TO ROXANNE",IF(TODAY()&gt;$Y196,"OVERDUE",IF($Y196&lt;=WORKDAY(TODAY(),1,Holidays),"DUE TOMORROW",IF($W196=4,"ESCALATED TO LOCAL OFFICE",IF($W196=5,"ESCALATED TO CBE",IF($X196=TODAY(),"EMAIL SENT","MONITORING"))))))))))</f>
        <v/>
      </c>
      <c r="U196" s="17">
        <f>IF($T196="",IF(AND(COUNTA($A196:$K196)&gt;0,$L196=""),"Awaiting Collection Email time stamp.",""),IF(OR($T196="PAID",$T196="CLOSED"),IF($T196="PAID","Account paid. Action completed.","Account closed. No further action required."),CHOOSE($W196,"Collection Email","1st Email Follow-up","2nd Email Follow-up","Escalation to Local Office","Escalation to CBE","Escalation to Roxanne")&amp;" sent "&amp;TEXT($X196,"dd-mmm")&amp;". "&amp;IF($W196=6,"Final escalation completed.",IF($T196="OVERDUE","Next: "&amp;$Z196&amp;" was due "&amp;TEXT($Y196,"dd-mmm")&amp;" - "&amp;(NETWORKDAYS($Y196,TODAY(),Holidays)-1)&amp;" business day(s) late. Send now.",IF($T196="DUE TOMORROW","Next: "&amp;$Z196&amp;IF($Y196&lt;=TODAY()," is due TODAY ("," is due next business day (")&amp;TEXT($Y196,"dd-mmm")&amp;").","Next: "&amp;$Z196&amp;" due "&amp;TEXT($Y196,"dd-mmm")&amp;" ("&amp;(NETWORKDAYS(TODAY(),$Y196,Holidays)-1)&amp;" business day(s) left).")))))</f>
        <v/>
      </c>
      <c r="V196" s="17">
        <f>IF($W196="","",CHOOSE($W196,"Collection Email","1st Follow-up","2nd Follow-up","Local Office","CBE","Roxanne")&amp;IF($W196=6," - Final"," - Day "&amp;MAX(0,NETWORKDAYS($X196,TODAY(),Holidays)-1)&amp;" of "&amp;CHOOSE($W196,3,3,2,2,3))&amp;" | Total Day "&amp;MAX(0,NETWORKDAYS($L196,TODAY(),Holidays)-1))</f>
        <v/>
      </c>
      <c r="W196" s="17">
        <f>IF($L196="","",COUNT($L196:$Q196))</f>
        <v/>
      </c>
      <c r="X196" s="18">
        <f>IF($W196="","",INT(INDEX($L196:$Q196,$W196)))</f>
        <v/>
      </c>
      <c r="Y196" s="18">
        <f>IF(OR($W196="",$W196=6),"",WORKDAY($X196,CHOOSE($W196,3,3,2,2,3),Holidays))</f>
        <v/>
      </c>
      <c r="Z196" s="17">
        <f>IF(OR($W196="",$W196=6),"",CHOOSE($W196,"1st Email Follow-up","2nd Email Follow-up","Escalate Local Office","Escalate to CBE","Escalate to Roxanne"))</f>
        <v/>
      </c>
    </row>
    <row r="197" spans="18:26">
      <c r="R197" s="15"/>
      <c r="S197" s="16"/>
      <c r="T197" s="17">
        <f>IF(AND(COUNTA($A197:$K197)=0,$L197=""),"",IF($S197="Paid","PAID",IF($S197="Closed","CLOSED",IF($W197="","",IF($W197=6,"ESCALATED TO ROXANNE",IF(TODAY()&gt;$Y197,"OVERDUE",IF($Y197&lt;=WORKDAY(TODAY(),1,Holidays),"DUE TOMORROW",IF($W197=4,"ESCALATED TO LOCAL OFFICE",IF($W197=5,"ESCALATED TO CBE",IF($X197=TODAY(),"EMAIL SENT","MONITORING"))))))))))</f>
        <v/>
      </c>
      <c r="U197" s="17">
        <f>IF($T197="",IF(AND(COUNTA($A197:$K197)&gt;0,$L197=""),"Awaiting Collection Email time stamp.",""),IF(OR($T197="PAID",$T197="CLOSED"),IF($T197="PAID","Account paid. Action completed.","Account closed. No further action required."),CHOOSE($W197,"Collection Email","1st Email Follow-up","2nd Email Follow-up","Escalation to Local Office","Escalation to CBE","Escalation to Roxanne")&amp;" sent "&amp;TEXT($X197,"dd-mmm")&amp;". "&amp;IF($W197=6,"Final escalation completed.",IF($T197="OVERDUE","Next: "&amp;$Z197&amp;" was due "&amp;TEXT($Y197,"dd-mmm")&amp;" - "&amp;(NETWORKDAYS($Y197,TODAY(),Holidays)-1)&amp;" business day(s) late. Send now.",IF($T197="DUE TOMORROW","Next: "&amp;$Z197&amp;IF($Y197&lt;=TODAY()," is due TODAY ("," is due next business day (")&amp;TEXT($Y197,"dd-mmm")&amp;").","Next: "&amp;$Z197&amp;" due "&amp;TEXT($Y197,"dd-mmm")&amp;" ("&amp;(NETWORKDAYS(TODAY(),$Y197,Holidays)-1)&amp;" business day(s) left).")))))</f>
        <v/>
      </c>
      <c r="V197" s="17">
        <f>IF($W197="","",CHOOSE($W197,"Collection Email","1st Follow-up","2nd Follow-up","Local Office","CBE","Roxanne")&amp;IF($W197=6," - Final"," - Day "&amp;MAX(0,NETWORKDAYS($X197,TODAY(),Holidays)-1)&amp;" of "&amp;CHOOSE($W197,3,3,2,2,3))&amp;" | Total Day "&amp;MAX(0,NETWORKDAYS($L197,TODAY(),Holidays)-1))</f>
        <v/>
      </c>
      <c r="W197" s="17">
        <f>IF($L197="","",COUNT($L197:$Q197))</f>
        <v/>
      </c>
      <c r="X197" s="18">
        <f>IF($W197="","",INT(INDEX($L197:$Q197,$W197)))</f>
        <v/>
      </c>
      <c r="Y197" s="18">
        <f>IF(OR($W197="",$W197=6),"",WORKDAY($X197,CHOOSE($W197,3,3,2,2,3),Holidays))</f>
        <v/>
      </c>
      <c r="Z197" s="17">
        <f>IF(OR($W197="",$W197=6),"",CHOOSE($W197,"1st Email Follow-up","2nd Email Follow-up","Escalate Local Office","Escalate to CBE","Escalate to Roxanne"))</f>
        <v/>
      </c>
    </row>
    <row r="198" spans="18:26">
      <c r="R198" s="15"/>
      <c r="S198" s="16"/>
      <c r="T198" s="17">
        <f>IF(AND(COUNTA($A198:$K198)=0,$L198=""),"",IF($S198="Paid","PAID",IF($S198="Closed","CLOSED",IF($W198="","",IF($W198=6,"ESCALATED TO ROXANNE",IF(TODAY()&gt;$Y198,"OVERDUE",IF($Y198&lt;=WORKDAY(TODAY(),1,Holidays),"DUE TOMORROW",IF($W198=4,"ESCALATED TO LOCAL OFFICE",IF($W198=5,"ESCALATED TO CBE",IF($X198=TODAY(),"EMAIL SENT","MONITORING"))))))))))</f>
        <v/>
      </c>
      <c r="U198" s="17">
        <f>IF($T198="",IF(AND(COUNTA($A198:$K198)&gt;0,$L198=""),"Awaiting Collection Email time stamp.",""),IF(OR($T198="PAID",$T198="CLOSED"),IF($T198="PAID","Account paid. Action completed.","Account closed. No further action required."),CHOOSE($W198,"Collection Email","1st Email Follow-up","2nd Email Follow-up","Escalation to Local Office","Escalation to CBE","Escalation to Roxanne")&amp;" sent "&amp;TEXT($X198,"dd-mmm")&amp;". "&amp;IF($W198=6,"Final escalation completed.",IF($T198="OVERDUE","Next: "&amp;$Z198&amp;" was due "&amp;TEXT($Y198,"dd-mmm")&amp;" - "&amp;(NETWORKDAYS($Y198,TODAY(),Holidays)-1)&amp;" business day(s) late. Send now.",IF($T198="DUE TOMORROW","Next: "&amp;$Z198&amp;IF($Y198&lt;=TODAY()," is due TODAY ("," is due next business day (")&amp;TEXT($Y198,"dd-mmm")&amp;").","Next: "&amp;$Z198&amp;" due "&amp;TEXT($Y198,"dd-mmm")&amp;" ("&amp;(NETWORKDAYS(TODAY(),$Y198,Holidays)-1)&amp;" business day(s) left).")))))</f>
        <v/>
      </c>
      <c r="V198" s="17">
        <f>IF($W198="","",CHOOSE($W198,"Collection Email","1st Follow-up","2nd Follow-up","Local Office","CBE","Roxanne")&amp;IF($W198=6," - Final"," - Day "&amp;MAX(0,NETWORKDAYS($X198,TODAY(),Holidays)-1)&amp;" of "&amp;CHOOSE($W198,3,3,2,2,3))&amp;" | Total Day "&amp;MAX(0,NETWORKDAYS($L198,TODAY(),Holidays)-1))</f>
        <v/>
      </c>
      <c r="W198" s="17">
        <f>IF($L198="","",COUNT($L198:$Q198))</f>
        <v/>
      </c>
      <c r="X198" s="18">
        <f>IF($W198="","",INT(INDEX($L198:$Q198,$W198)))</f>
        <v/>
      </c>
      <c r="Y198" s="18">
        <f>IF(OR($W198="",$W198=6),"",WORKDAY($X198,CHOOSE($W198,3,3,2,2,3),Holidays))</f>
        <v/>
      </c>
      <c r="Z198" s="17">
        <f>IF(OR($W198="",$W198=6),"",CHOOSE($W198,"1st Email Follow-up","2nd Email Follow-up","Escalate Local Office","Escalate to CBE","Escalate to Roxanne"))</f>
        <v/>
      </c>
    </row>
    <row r="199" spans="18:26">
      <c r="R199" s="15"/>
      <c r="S199" s="16"/>
      <c r="T199" s="17">
        <f>IF(AND(COUNTA($A199:$K199)=0,$L199=""),"",IF($S199="Paid","PAID",IF($S199="Closed","CLOSED",IF($W199="","",IF($W199=6,"ESCALATED TO ROXANNE",IF(TODAY()&gt;$Y199,"OVERDUE",IF($Y199&lt;=WORKDAY(TODAY(),1,Holidays),"DUE TOMORROW",IF($W199=4,"ESCALATED TO LOCAL OFFICE",IF($W199=5,"ESCALATED TO CBE",IF($X199=TODAY(),"EMAIL SENT","MONITORING"))))))))))</f>
        <v/>
      </c>
      <c r="U199" s="17">
        <f>IF($T199="",IF(AND(COUNTA($A199:$K199)&gt;0,$L199=""),"Awaiting Collection Email time stamp.",""),IF(OR($T199="PAID",$T199="CLOSED"),IF($T199="PAID","Account paid. Action completed.","Account closed. No further action required."),CHOOSE($W199,"Collection Email","1st Email Follow-up","2nd Email Follow-up","Escalation to Local Office","Escalation to CBE","Escalation to Roxanne")&amp;" sent "&amp;TEXT($X199,"dd-mmm")&amp;". "&amp;IF($W199=6,"Final escalation completed.",IF($T199="OVERDUE","Next: "&amp;$Z199&amp;" was due "&amp;TEXT($Y199,"dd-mmm")&amp;" - "&amp;(NETWORKDAYS($Y199,TODAY(),Holidays)-1)&amp;" business day(s) late. Send now.",IF($T199="DUE TOMORROW","Next: "&amp;$Z199&amp;IF($Y199&lt;=TODAY()," is due TODAY ("," is due next business day (")&amp;TEXT($Y199,"dd-mmm")&amp;").","Next: "&amp;$Z199&amp;" due "&amp;TEXT($Y199,"dd-mmm")&amp;" ("&amp;(NETWORKDAYS(TODAY(),$Y199,Holidays)-1)&amp;" business day(s) left).")))))</f>
        <v/>
      </c>
      <c r="V199" s="17">
        <f>IF($W199="","",CHOOSE($W199,"Collection Email","1st Follow-up","2nd Follow-up","Local Office","CBE","Roxanne")&amp;IF($W199=6," - Final"," - Day "&amp;MAX(0,NETWORKDAYS($X199,TODAY(),Holidays)-1)&amp;" of "&amp;CHOOSE($W199,3,3,2,2,3))&amp;" | Total Day "&amp;MAX(0,NETWORKDAYS($L199,TODAY(),Holidays)-1))</f>
        <v/>
      </c>
      <c r="W199" s="17">
        <f>IF($L199="","",COUNT($L199:$Q199))</f>
        <v/>
      </c>
      <c r="X199" s="18">
        <f>IF($W199="","",INT(INDEX($L199:$Q199,$W199)))</f>
        <v/>
      </c>
      <c r="Y199" s="18">
        <f>IF(OR($W199="",$W199=6),"",WORKDAY($X199,CHOOSE($W199,3,3,2,2,3),Holidays))</f>
        <v/>
      </c>
      <c r="Z199" s="17">
        <f>IF(OR($W199="",$W199=6),"",CHOOSE($W199,"1st Email Follow-up","2nd Email Follow-up","Escalate Local Office","Escalate to CBE","Escalate to Roxanne"))</f>
        <v/>
      </c>
    </row>
    <row r="200" spans="18:26">
      <c r="R200" s="15"/>
      <c r="S200" s="16"/>
      <c r="T200" s="17">
        <f>IF(AND(COUNTA($A200:$K200)=0,$L200=""),"",IF($S200="Paid","PAID",IF($S200="Closed","CLOSED",IF($W200="","",IF($W200=6,"ESCALATED TO ROXANNE",IF(TODAY()&gt;$Y200,"OVERDUE",IF($Y200&lt;=WORKDAY(TODAY(),1,Holidays),"DUE TOMORROW",IF($W200=4,"ESCALATED TO LOCAL OFFICE",IF($W200=5,"ESCALATED TO CBE",IF($X200=TODAY(),"EMAIL SENT","MONITORING"))))))))))</f>
        <v/>
      </c>
      <c r="U200" s="17">
        <f>IF($T200="",IF(AND(COUNTA($A200:$K200)&gt;0,$L200=""),"Awaiting Collection Email time stamp.",""),IF(OR($T200="PAID",$T200="CLOSED"),IF($T200="PAID","Account paid. Action completed.","Account closed. No further action required."),CHOOSE($W200,"Collection Email","1st Email Follow-up","2nd Email Follow-up","Escalation to Local Office","Escalation to CBE","Escalation to Roxanne")&amp;" sent "&amp;TEXT($X200,"dd-mmm")&amp;". "&amp;IF($W200=6,"Final escalation completed.",IF($T200="OVERDUE","Next: "&amp;$Z200&amp;" was due "&amp;TEXT($Y200,"dd-mmm")&amp;" - "&amp;(NETWORKDAYS($Y200,TODAY(),Holidays)-1)&amp;" business day(s) late. Send now.",IF($T200="DUE TOMORROW","Next: "&amp;$Z200&amp;IF($Y200&lt;=TODAY()," is due TODAY ("," is due next business day (")&amp;TEXT($Y200,"dd-mmm")&amp;").","Next: "&amp;$Z200&amp;" due "&amp;TEXT($Y200,"dd-mmm")&amp;" ("&amp;(NETWORKDAYS(TODAY(),$Y200,Holidays)-1)&amp;" business day(s) left).")))))</f>
        <v/>
      </c>
      <c r="V200" s="17">
        <f>IF($W200="","",CHOOSE($W200,"Collection Email","1st Follow-up","2nd Follow-up","Local Office","CBE","Roxanne")&amp;IF($W200=6," - Final"," - Day "&amp;MAX(0,NETWORKDAYS($X200,TODAY(),Holidays)-1)&amp;" of "&amp;CHOOSE($W200,3,3,2,2,3))&amp;" | Total Day "&amp;MAX(0,NETWORKDAYS($L200,TODAY(),Holidays)-1))</f>
        <v/>
      </c>
      <c r="W200" s="17">
        <f>IF($L200="","",COUNT($L200:$Q200))</f>
        <v/>
      </c>
      <c r="X200" s="18">
        <f>IF($W200="","",INT(INDEX($L200:$Q200,$W200)))</f>
        <v/>
      </c>
      <c r="Y200" s="18">
        <f>IF(OR($W200="",$W200=6),"",WORKDAY($X200,CHOOSE($W200,3,3,2,2,3),Holidays))</f>
        <v/>
      </c>
      <c r="Z200" s="17">
        <f>IF(OR($W200="",$W200=6),"",CHOOSE($W200,"1st Email Follow-up","2nd Email Follow-up","Escalate Local Office","Escalate to CBE","Escalate to Roxanne"))</f>
        <v/>
      </c>
    </row>
    <row r="201" spans="18:26">
      <c r="R201" s="15"/>
      <c r="S201" s="16"/>
      <c r="T201" s="17">
        <f>IF(AND(COUNTA($A201:$K201)=0,$L201=""),"",IF($S201="Paid","PAID",IF($S201="Closed","CLOSED",IF($W201="","",IF($W201=6,"ESCALATED TO ROXANNE",IF(TODAY()&gt;$Y201,"OVERDUE",IF($Y201&lt;=WORKDAY(TODAY(),1,Holidays),"DUE TOMORROW",IF($W201=4,"ESCALATED TO LOCAL OFFICE",IF($W201=5,"ESCALATED TO CBE",IF($X201=TODAY(),"EMAIL SENT","MONITORING"))))))))))</f>
        <v/>
      </c>
      <c r="U201" s="17">
        <f>IF($T201="",IF(AND(COUNTA($A201:$K201)&gt;0,$L201=""),"Awaiting Collection Email time stamp.",""),IF(OR($T201="PAID",$T201="CLOSED"),IF($T201="PAID","Account paid. Action completed.","Account closed. No further action required."),CHOOSE($W201,"Collection Email","1st Email Follow-up","2nd Email Follow-up","Escalation to Local Office","Escalation to CBE","Escalation to Roxanne")&amp;" sent "&amp;TEXT($X201,"dd-mmm")&amp;". "&amp;IF($W201=6,"Final escalation completed.",IF($T201="OVERDUE","Next: "&amp;$Z201&amp;" was due "&amp;TEXT($Y201,"dd-mmm")&amp;" - "&amp;(NETWORKDAYS($Y201,TODAY(),Holidays)-1)&amp;" business day(s) late. Send now.",IF($T201="DUE TOMORROW","Next: "&amp;$Z201&amp;IF($Y201&lt;=TODAY()," is due TODAY ("," is due next business day (")&amp;TEXT($Y201,"dd-mmm")&amp;").","Next: "&amp;$Z201&amp;" due "&amp;TEXT($Y201,"dd-mmm")&amp;" ("&amp;(NETWORKDAYS(TODAY(),$Y201,Holidays)-1)&amp;" business day(s) left).")))))</f>
        <v/>
      </c>
      <c r="V201" s="17">
        <f>IF($W201="","",CHOOSE($W201,"Collection Email","1st Follow-up","2nd Follow-up","Local Office","CBE","Roxanne")&amp;IF($W201=6," - Final"," - Day "&amp;MAX(0,NETWORKDAYS($X201,TODAY(),Holidays)-1)&amp;" of "&amp;CHOOSE($W201,3,3,2,2,3))&amp;" | Total Day "&amp;MAX(0,NETWORKDAYS($L201,TODAY(),Holidays)-1))</f>
        <v/>
      </c>
      <c r="W201" s="17">
        <f>IF($L201="","",COUNT($L201:$Q201))</f>
        <v/>
      </c>
      <c r="X201" s="18">
        <f>IF($W201="","",INT(INDEX($L201:$Q201,$W201)))</f>
        <v/>
      </c>
      <c r="Y201" s="18">
        <f>IF(OR($W201="",$W201=6),"",WORKDAY($X201,CHOOSE($W201,3,3,2,2,3),Holidays))</f>
        <v/>
      </c>
      <c r="Z201" s="17">
        <f>IF(OR($W201="",$W201=6),"",CHOOSE($W201,"1st Email Follow-up","2nd Email Follow-up","Escalate Local Office","Escalate to CBE","Escalate to Roxanne"))</f>
        <v/>
      </c>
    </row>
    <row r="202" spans="18:26">
      <c r="R202" s="15"/>
      <c r="S202" s="16"/>
      <c r="T202" s="17">
        <f>IF(AND(COUNTA($A202:$K202)=0,$L202=""),"",IF($S202="Paid","PAID",IF($S202="Closed","CLOSED",IF($W202="","",IF($W202=6,"ESCALATED TO ROXANNE",IF(TODAY()&gt;$Y202,"OVERDUE",IF($Y202&lt;=WORKDAY(TODAY(),1,Holidays),"DUE TOMORROW",IF($W202=4,"ESCALATED TO LOCAL OFFICE",IF($W202=5,"ESCALATED TO CBE",IF($X202=TODAY(),"EMAIL SENT","MONITORING"))))))))))</f>
        <v/>
      </c>
      <c r="U202" s="17">
        <f>IF($T202="",IF(AND(COUNTA($A202:$K202)&gt;0,$L202=""),"Awaiting Collection Email time stamp.",""),IF(OR($T202="PAID",$T202="CLOSED"),IF($T202="PAID","Account paid. Action completed.","Account closed. No further action required."),CHOOSE($W202,"Collection Email","1st Email Follow-up","2nd Email Follow-up","Escalation to Local Office","Escalation to CBE","Escalation to Roxanne")&amp;" sent "&amp;TEXT($X202,"dd-mmm")&amp;". "&amp;IF($W202=6,"Final escalation completed.",IF($T202="OVERDUE","Next: "&amp;$Z202&amp;" was due "&amp;TEXT($Y202,"dd-mmm")&amp;" - "&amp;(NETWORKDAYS($Y202,TODAY(),Holidays)-1)&amp;" business day(s) late. Send now.",IF($T202="DUE TOMORROW","Next: "&amp;$Z202&amp;IF($Y202&lt;=TODAY()," is due TODAY ("," is due next business day (")&amp;TEXT($Y202,"dd-mmm")&amp;").","Next: "&amp;$Z202&amp;" due "&amp;TEXT($Y202,"dd-mmm")&amp;" ("&amp;(NETWORKDAYS(TODAY(),$Y202,Holidays)-1)&amp;" business day(s) left).")))))</f>
        <v/>
      </c>
      <c r="V202" s="17">
        <f>IF($W202="","",CHOOSE($W202,"Collection Email","1st Follow-up","2nd Follow-up","Local Office","CBE","Roxanne")&amp;IF($W202=6," - Final"," - Day "&amp;MAX(0,NETWORKDAYS($X202,TODAY(),Holidays)-1)&amp;" of "&amp;CHOOSE($W202,3,3,2,2,3))&amp;" | Total Day "&amp;MAX(0,NETWORKDAYS($L202,TODAY(),Holidays)-1))</f>
        <v/>
      </c>
      <c r="W202" s="17">
        <f>IF($L202="","",COUNT($L202:$Q202))</f>
        <v/>
      </c>
      <c r="X202" s="18">
        <f>IF($W202="","",INT(INDEX($L202:$Q202,$W202)))</f>
        <v/>
      </c>
      <c r="Y202" s="18">
        <f>IF(OR($W202="",$W202=6),"",WORKDAY($X202,CHOOSE($W202,3,3,2,2,3),Holidays))</f>
        <v/>
      </c>
      <c r="Z202" s="17">
        <f>IF(OR($W202="",$W202=6),"",CHOOSE($W202,"1st Email Follow-up","2nd Email Follow-up","Escalate Local Office","Escalate to CBE","Escalate to Roxanne"))</f>
        <v/>
      </c>
    </row>
    <row r="203" spans="18:26">
      <c r="R203" s="15"/>
      <c r="S203" s="16"/>
      <c r="T203" s="17">
        <f>IF(AND(COUNTA($A203:$K203)=0,$L203=""),"",IF($S203="Paid","PAID",IF($S203="Closed","CLOSED",IF($W203="","",IF($W203=6,"ESCALATED TO ROXANNE",IF(TODAY()&gt;$Y203,"OVERDUE",IF($Y203&lt;=WORKDAY(TODAY(),1,Holidays),"DUE TOMORROW",IF($W203=4,"ESCALATED TO LOCAL OFFICE",IF($W203=5,"ESCALATED TO CBE",IF($X203=TODAY(),"EMAIL SENT","MONITORING"))))))))))</f>
        <v/>
      </c>
      <c r="U203" s="17">
        <f>IF($T203="",IF(AND(COUNTA($A203:$K203)&gt;0,$L203=""),"Awaiting Collection Email time stamp.",""),IF(OR($T203="PAID",$T203="CLOSED"),IF($T203="PAID","Account paid. Action completed.","Account closed. No further action required."),CHOOSE($W203,"Collection Email","1st Email Follow-up","2nd Email Follow-up","Escalation to Local Office","Escalation to CBE","Escalation to Roxanne")&amp;" sent "&amp;TEXT($X203,"dd-mmm")&amp;". "&amp;IF($W203=6,"Final escalation completed.",IF($T203="OVERDUE","Next: "&amp;$Z203&amp;" was due "&amp;TEXT($Y203,"dd-mmm")&amp;" - "&amp;(NETWORKDAYS($Y203,TODAY(),Holidays)-1)&amp;" business day(s) late. Send now.",IF($T203="DUE TOMORROW","Next: "&amp;$Z203&amp;IF($Y203&lt;=TODAY()," is due TODAY ("," is due next business day (")&amp;TEXT($Y203,"dd-mmm")&amp;").","Next: "&amp;$Z203&amp;" due "&amp;TEXT($Y203,"dd-mmm")&amp;" ("&amp;(NETWORKDAYS(TODAY(),$Y203,Holidays)-1)&amp;" business day(s) left).")))))</f>
        <v/>
      </c>
      <c r="V203" s="17">
        <f>IF($W203="","",CHOOSE($W203,"Collection Email","1st Follow-up","2nd Follow-up","Local Office","CBE","Roxanne")&amp;IF($W203=6," - Final"," - Day "&amp;MAX(0,NETWORKDAYS($X203,TODAY(),Holidays)-1)&amp;" of "&amp;CHOOSE($W203,3,3,2,2,3))&amp;" | Total Day "&amp;MAX(0,NETWORKDAYS($L203,TODAY(),Holidays)-1))</f>
        <v/>
      </c>
      <c r="W203" s="17">
        <f>IF($L203="","",COUNT($L203:$Q203))</f>
        <v/>
      </c>
      <c r="X203" s="18">
        <f>IF($W203="","",INT(INDEX($L203:$Q203,$W203)))</f>
        <v/>
      </c>
      <c r="Y203" s="18">
        <f>IF(OR($W203="",$W203=6),"",WORKDAY($X203,CHOOSE($W203,3,3,2,2,3),Holidays))</f>
        <v/>
      </c>
      <c r="Z203" s="17">
        <f>IF(OR($W203="",$W203=6),"",CHOOSE($W203,"1st Email Follow-up","2nd Email Follow-up","Escalate Local Office","Escalate to CBE","Escalate to Roxanne"))</f>
        <v/>
      </c>
    </row>
    <row r="204" spans="18:26">
      <c r="R204" s="15"/>
      <c r="S204" s="16"/>
      <c r="T204" s="17">
        <f>IF(AND(COUNTA($A204:$K204)=0,$L204=""),"",IF($S204="Paid","PAID",IF($S204="Closed","CLOSED",IF($W204="","",IF($W204=6,"ESCALATED TO ROXANNE",IF(TODAY()&gt;$Y204,"OVERDUE",IF($Y204&lt;=WORKDAY(TODAY(),1,Holidays),"DUE TOMORROW",IF($W204=4,"ESCALATED TO LOCAL OFFICE",IF($W204=5,"ESCALATED TO CBE",IF($X204=TODAY(),"EMAIL SENT","MONITORING"))))))))))</f>
        <v/>
      </c>
      <c r="U204" s="17">
        <f>IF($T204="",IF(AND(COUNTA($A204:$K204)&gt;0,$L204=""),"Awaiting Collection Email time stamp.",""),IF(OR($T204="PAID",$T204="CLOSED"),IF($T204="PAID","Account paid. Action completed.","Account closed. No further action required."),CHOOSE($W204,"Collection Email","1st Email Follow-up","2nd Email Follow-up","Escalation to Local Office","Escalation to CBE","Escalation to Roxanne")&amp;" sent "&amp;TEXT($X204,"dd-mmm")&amp;". "&amp;IF($W204=6,"Final escalation completed.",IF($T204="OVERDUE","Next: "&amp;$Z204&amp;" was due "&amp;TEXT($Y204,"dd-mmm")&amp;" - "&amp;(NETWORKDAYS($Y204,TODAY(),Holidays)-1)&amp;" business day(s) late. Send now.",IF($T204="DUE TOMORROW","Next: "&amp;$Z204&amp;IF($Y204&lt;=TODAY()," is due TODAY ("," is due next business day (")&amp;TEXT($Y204,"dd-mmm")&amp;").","Next: "&amp;$Z204&amp;" due "&amp;TEXT($Y204,"dd-mmm")&amp;" ("&amp;(NETWORKDAYS(TODAY(),$Y204,Holidays)-1)&amp;" business day(s) left).")))))</f>
        <v/>
      </c>
      <c r="V204" s="17">
        <f>IF($W204="","",CHOOSE($W204,"Collection Email","1st Follow-up","2nd Follow-up","Local Office","CBE","Roxanne")&amp;IF($W204=6," - Final"," - Day "&amp;MAX(0,NETWORKDAYS($X204,TODAY(),Holidays)-1)&amp;" of "&amp;CHOOSE($W204,3,3,2,2,3))&amp;" | Total Day "&amp;MAX(0,NETWORKDAYS($L204,TODAY(),Holidays)-1))</f>
        <v/>
      </c>
      <c r="W204" s="17">
        <f>IF($L204="","",COUNT($L204:$Q204))</f>
        <v/>
      </c>
      <c r="X204" s="18">
        <f>IF($W204="","",INT(INDEX($L204:$Q204,$W204)))</f>
        <v/>
      </c>
      <c r="Y204" s="18">
        <f>IF(OR($W204="",$W204=6),"",WORKDAY($X204,CHOOSE($W204,3,3,2,2,3),Holidays))</f>
        <v/>
      </c>
      <c r="Z204" s="17">
        <f>IF(OR($W204="",$W204=6),"",CHOOSE($W204,"1st Email Follow-up","2nd Email Follow-up","Escalate Local Office","Escalate to CBE","Escalate to Roxanne"))</f>
        <v/>
      </c>
    </row>
    <row r="205" spans="18:26">
      <c r="R205" s="15"/>
      <c r="S205" s="16"/>
      <c r="T205" s="17">
        <f>IF(AND(COUNTA($A205:$K205)=0,$L205=""),"",IF($S205="Paid","PAID",IF($S205="Closed","CLOSED",IF($W205="","",IF($W205=6,"ESCALATED TO ROXANNE",IF(TODAY()&gt;$Y205,"OVERDUE",IF($Y205&lt;=WORKDAY(TODAY(),1,Holidays),"DUE TOMORROW",IF($W205=4,"ESCALATED TO LOCAL OFFICE",IF($W205=5,"ESCALATED TO CBE",IF($X205=TODAY(),"EMAIL SENT","MONITORING"))))))))))</f>
        <v/>
      </c>
      <c r="U205" s="17">
        <f>IF($T205="",IF(AND(COUNTA($A205:$K205)&gt;0,$L205=""),"Awaiting Collection Email time stamp.",""),IF(OR($T205="PAID",$T205="CLOSED"),IF($T205="PAID","Account paid. Action completed.","Account closed. No further action required."),CHOOSE($W205,"Collection Email","1st Email Follow-up","2nd Email Follow-up","Escalation to Local Office","Escalation to CBE","Escalation to Roxanne")&amp;" sent "&amp;TEXT($X205,"dd-mmm")&amp;". "&amp;IF($W205=6,"Final escalation completed.",IF($T205="OVERDUE","Next: "&amp;$Z205&amp;" was due "&amp;TEXT($Y205,"dd-mmm")&amp;" - "&amp;(NETWORKDAYS($Y205,TODAY(),Holidays)-1)&amp;" business day(s) late. Send now.",IF($T205="DUE TOMORROW","Next: "&amp;$Z205&amp;IF($Y205&lt;=TODAY()," is due TODAY ("," is due next business day (")&amp;TEXT($Y205,"dd-mmm")&amp;").","Next: "&amp;$Z205&amp;" due "&amp;TEXT($Y205,"dd-mmm")&amp;" ("&amp;(NETWORKDAYS(TODAY(),$Y205,Holidays)-1)&amp;" business day(s) left).")))))</f>
        <v/>
      </c>
      <c r="V205" s="17">
        <f>IF($W205="","",CHOOSE($W205,"Collection Email","1st Follow-up","2nd Follow-up","Local Office","CBE","Roxanne")&amp;IF($W205=6," - Final"," - Day "&amp;MAX(0,NETWORKDAYS($X205,TODAY(),Holidays)-1)&amp;" of "&amp;CHOOSE($W205,3,3,2,2,3))&amp;" | Total Day "&amp;MAX(0,NETWORKDAYS($L205,TODAY(),Holidays)-1))</f>
        <v/>
      </c>
      <c r="W205" s="17">
        <f>IF($L205="","",COUNT($L205:$Q205))</f>
        <v/>
      </c>
      <c r="X205" s="18">
        <f>IF($W205="","",INT(INDEX($L205:$Q205,$W205)))</f>
        <v/>
      </c>
      <c r="Y205" s="18">
        <f>IF(OR($W205="",$W205=6),"",WORKDAY($X205,CHOOSE($W205,3,3,2,2,3),Holidays))</f>
        <v/>
      </c>
      <c r="Z205" s="17">
        <f>IF(OR($W205="",$W205=6),"",CHOOSE($W205,"1st Email Follow-up","2nd Email Follow-up","Escalate Local Office","Escalate to CBE","Escalate to Roxanne"))</f>
        <v/>
      </c>
    </row>
    <row r="206" spans="18:26">
      <c r="R206" s="15"/>
      <c r="S206" s="16"/>
      <c r="T206" s="17">
        <f>IF(AND(COUNTA($A206:$K206)=0,$L206=""),"",IF($S206="Paid","PAID",IF($S206="Closed","CLOSED",IF($W206="","",IF($W206=6,"ESCALATED TO ROXANNE",IF(TODAY()&gt;$Y206,"OVERDUE",IF($Y206&lt;=WORKDAY(TODAY(),1,Holidays),"DUE TOMORROW",IF($W206=4,"ESCALATED TO LOCAL OFFICE",IF($W206=5,"ESCALATED TO CBE",IF($X206=TODAY(),"EMAIL SENT","MONITORING"))))))))))</f>
        <v/>
      </c>
      <c r="U206" s="17">
        <f>IF($T206="",IF(AND(COUNTA($A206:$K206)&gt;0,$L206=""),"Awaiting Collection Email time stamp.",""),IF(OR($T206="PAID",$T206="CLOSED"),IF($T206="PAID","Account paid. Action completed.","Account closed. No further action required."),CHOOSE($W206,"Collection Email","1st Email Follow-up","2nd Email Follow-up","Escalation to Local Office","Escalation to CBE","Escalation to Roxanne")&amp;" sent "&amp;TEXT($X206,"dd-mmm")&amp;". "&amp;IF($W206=6,"Final escalation completed.",IF($T206="OVERDUE","Next: "&amp;$Z206&amp;" was due "&amp;TEXT($Y206,"dd-mmm")&amp;" - "&amp;(NETWORKDAYS($Y206,TODAY(),Holidays)-1)&amp;" business day(s) late. Send now.",IF($T206="DUE TOMORROW","Next: "&amp;$Z206&amp;IF($Y206&lt;=TODAY()," is due TODAY ("," is due next business day (")&amp;TEXT($Y206,"dd-mmm")&amp;").","Next: "&amp;$Z206&amp;" due "&amp;TEXT($Y206,"dd-mmm")&amp;" ("&amp;(NETWORKDAYS(TODAY(),$Y206,Holidays)-1)&amp;" business day(s) left).")))))</f>
        <v/>
      </c>
      <c r="V206" s="17">
        <f>IF($W206="","",CHOOSE($W206,"Collection Email","1st Follow-up","2nd Follow-up","Local Office","CBE","Roxanne")&amp;IF($W206=6," - Final"," - Day "&amp;MAX(0,NETWORKDAYS($X206,TODAY(),Holidays)-1)&amp;" of "&amp;CHOOSE($W206,3,3,2,2,3))&amp;" | Total Day "&amp;MAX(0,NETWORKDAYS($L206,TODAY(),Holidays)-1))</f>
        <v/>
      </c>
      <c r="W206" s="17">
        <f>IF($L206="","",COUNT($L206:$Q206))</f>
        <v/>
      </c>
      <c r="X206" s="18">
        <f>IF($W206="","",INT(INDEX($L206:$Q206,$W206)))</f>
        <v/>
      </c>
      <c r="Y206" s="18">
        <f>IF(OR($W206="",$W206=6),"",WORKDAY($X206,CHOOSE($W206,3,3,2,2,3),Holidays))</f>
        <v/>
      </c>
      <c r="Z206" s="17">
        <f>IF(OR($W206="",$W206=6),"",CHOOSE($W206,"1st Email Follow-up","2nd Email Follow-up","Escalate Local Office","Escalate to CBE","Escalate to Roxanne"))</f>
        <v/>
      </c>
    </row>
    <row r="207" spans="18:26">
      <c r="R207" s="15"/>
      <c r="S207" s="16"/>
      <c r="T207" s="17">
        <f>IF(AND(COUNTA($A207:$K207)=0,$L207=""),"",IF($S207="Paid","PAID",IF($S207="Closed","CLOSED",IF($W207="","",IF($W207=6,"ESCALATED TO ROXANNE",IF(TODAY()&gt;$Y207,"OVERDUE",IF($Y207&lt;=WORKDAY(TODAY(),1,Holidays),"DUE TOMORROW",IF($W207=4,"ESCALATED TO LOCAL OFFICE",IF($W207=5,"ESCALATED TO CBE",IF($X207=TODAY(),"EMAIL SENT","MONITORING"))))))))))</f>
        <v/>
      </c>
      <c r="U207" s="17">
        <f>IF($T207="",IF(AND(COUNTA($A207:$K207)&gt;0,$L207=""),"Awaiting Collection Email time stamp.",""),IF(OR($T207="PAID",$T207="CLOSED"),IF($T207="PAID","Account paid. Action completed.","Account closed. No further action required."),CHOOSE($W207,"Collection Email","1st Email Follow-up","2nd Email Follow-up","Escalation to Local Office","Escalation to CBE","Escalation to Roxanne")&amp;" sent "&amp;TEXT($X207,"dd-mmm")&amp;". "&amp;IF($W207=6,"Final escalation completed.",IF($T207="OVERDUE","Next: "&amp;$Z207&amp;" was due "&amp;TEXT($Y207,"dd-mmm")&amp;" - "&amp;(NETWORKDAYS($Y207,TODAY(),Holidays)-1)&amp;" business day(s) late. Send now.",IF($T207="DUE TOMORROW","Next: "&amp;$Z207&amp;IF($Y207&lt;=TODAY()," is due TODAY ("," is due next business day (")&amp;TEXT($Y207,"dd-mmm")&amp;").","Next: "&amp;$Z207&amp;" due "&amp;TEXT($Y207,"dd-mmm")&amp;" ("&amp;(NETWORKDAYS(TODAY(),$Y207,Holidays)-1)&amp;" business day(s) left).")))))</f>
        <v/>
      </c>
      <c r="V207" s="17">
        <f>IF($W207="","",CHOOSE($W207,"Collection Email","1st Follow-up","2nd Follow-up","Local Office","CBE","Roxanne")&amp;IF($W207=6," - Final"," - Day "&amp;MAX(0,NETWORKDAYS($X207,TODAY(),Holidays)-1)&amp;" of "&amp;CHOOSE($W207,3,3,2,2,3))&amp;" | Total Day "&amp;MAX(0,NETWORKDAYS($L207,TODAY(),Holidays)-1))</f>
        <v/>
      </c>
      <c r="W207" s="17">
        <f>IF($L207="","",COUNT($L207:$Q207))</f>
        <v/>
      </c>
      <c r="X207" s="18">
        <f>IF($W207="","",INT(INDEX($L207:$Q207,$W207)))</f>
        <v/>
      </c>
      <c r="Y207" s="18">
        <f>IF(OR($W207="",$W207=6),"",WORKDAY($X207,CHOOSE($W207,3,3,2,2,3),Holidays))</f>
        <v/>
      </c>
      <c r="Z207" s="17">
        <f>IF(OR($W207="",$W207=6),"",CHOOSE($W207,"1st Email Follow-up","2nd Email Follow-up","Escalate Local Office","Escalate to CBE","Escalate to Roxanne"))</f>
        <v/>
      </c>
    </row>
    <row r="208" spans="18:26">
      <c r="R208" s="15"/>
      <c r="S208" s="16"/>
      <c r="T208" s="17">
        <f>IF(AND(COUNTA($A208:$K208)=0,$L208=""),"",IF($S208="Paid","PAID",IF($S208="Closed","CLOSED",IF($W208="","",IF($W208=6,"ESCALATED TO ROXANNE",IF(TODAY()&gt;$Y208,"OVERDUE",IF($Y208&lt;=WORKDAY(TODAY(),1,Holidays),"DUE TOMORROW",IF($W208=4,"ESCALATED TO LOCAL OFFICE",IF($W208=5,"ESCALATED TO CBE",IF($X208=TODAY(),"EMAIL SENT","MONITORING"))))))))))</f>
        <v/>
      </c>
      <c r="U208" s="17">
        <f>IF($T208="",IF(AND(COUNTA($A208:$K208)&gt;0,$L208=""),"Awaiting Collection Email time stamp.",""),IF(OR($T208="PAID",$T208="CLOSED"),IF($T208="PAID","Account paid. Action completed.","Account closed. No further action required."),CHOOSE($W208,"Collection Email","1st Email Follow-up","2nd Email Follow-up","Escalation to Local Office","Escalation to CBE","Escalation to Roxanne")&amp;" sent "&amp;TEXT($X208,"dd-mmm")&amp;". "&amp;IF($W208=6,"Final escalation completed.",IF($T208="OVERDUE","Next: "&amp;$Z208&amp;" was due "&amp;TEXT($Y208,"dd-mmm")&amp;" - "&amp;(NETWORKDAYS($Y208,TODAY(),Holidays)-1)&amp;" business day(s) late. Send now.",IF($T208="DUE TOMORROW","Next: "&amp;$Z208&amp;IF($Y208&lt;=TODAY()," is due TODAY ("," is due next business day (")&amp;TEXT($Y208,"dd-mmm")&amp;").","Next: "&amp;$Z208&amp;" due "&amp;TEXT($Y208,"dd-mmm")&amp;" ("&amp;(NETWORKDAYS(TODAY(),$Y208,Holidays)-1)&amp;" business day(s) left).")))))</f>
        <v/>
      </c>
      <c r="V208" s="17">
        <f>IF($W208="","",CHOOSE($W208,"Collection Email","1st Follow-up","2nd Follow-up","Local Office","CBE","Roxanne")&amp;IF($W208=6," - Final"," - Day "&amp;MAX(0,NETWORKDAYS($X208,TODAY(),Holidays)-1)&amp;" of "&amp;CHOOSE($W208,3,3,2,2,3))&amp;" | Total Day "&amp;MAX(0,NETWORKDAYS($L208,TODAY(),Holidays)-1))</f>
        <v/>
      </c>
      <c r="W208" s="17">
        <f>IF($L208="","",COUNT($L208:$Q208))</f>
        <v/>
      </c>
      <c r="X208" s="18">
        <f>IF($W208="","",INT(INDEX($L208:$Q208,$W208)))</f>
        <v/>
      </c>
      <c r="Y208" s="18">
        <f>IF(OR($W208="",$W208=6),"",WORKDAY($X208,CHOOSE($W208,3,3,2,2,3),Holidays))</f>
        <v/>
      </c>
      <c r="Z208" s="17">
        <f>IF(OR($W208="",$W208=6),"",CHOOSE($W208,"1st Email Follow-up","2nd Email Follow-up","Escalate Local Office","Escalate to CBE","Escalate to Roxanne"))</f>
        <v/>
      </c>
    </row>
    <row r="209" spans="18:26">
      <c r="R209" s="15"/>
      <c r="S209" s="16"/>
      <c r="T209" s="17">
        <f>IF(AND(COUNTA($A209:$K209)=0,$L209=""),"",IF($S209="Paid","PAID",IF($S209="Closed","CLOSED",IF($W209="","",IF($W209=6,"ESCALATED TO ROXANNE",IF(TODAY()&gt;$Y209,"OVERDUE",IF($Y209&lt;=WORKDAY(TODAY(),1,Holidays),"DUE TOMORROW",IF($W209=4,"ESCALATED TO LOCAL OFFICE",IF($W209=5,"ESCALATED TO CBE",IF($X209=TODAY(),"EMAIL SENT","MONITORING"))))))))))</f>
        <v/>
      </c>
      <c r="U209" s="17">
        <f>IF($T209="",IF(AND(COUNTA($A209:$K209)&gt;0,$L209=""),"Awaiting Collection Email time stamp.",""),IF(OR($T209="PAID",$T209="CLOSED"),IF($T209="PAID","Account paid. Action completed.","Account closed. No further action required."),CHOOSE($W209,"Collection Email","1st Email Follow-up","2nd Email Follow-up","Escalation to Local Office","Escalation to CBE","Escalation to Roxanne")&amp;" sent "&amp;TEXT($X209,"dd-mmm")&amp;". "&amp;IF($W209=6,"Final escalation completed.",IF($T209="OVERDUE","Next: "&amp;$Z209&amp;" was due "&amp;TEXT($Y209,"dd-mmm")&amp;" - "&amp;(NETWORKDAYS($Y209,TODAY(),Holidays)-1)&amp;" business day(s) late. Send now.",IF($T209="DUE TOMORROW","Next: "&amp;$Z209&amp;IF($Y209&lt;=TODAY()," is due TODAY ("," is due next business day (")&amp;TEXT($Y209,"dd-mmm")&amp;").","Next: "&amp;$Z209&amp;" due "&amp;TEXT($Y209,"dd-mmm")&amp;" ("&amp;(NETWORKDAYS(TODAY(),$Y209,Holidays)-1)&amp;" business day(s) left).")))))</f>
        <v/>
      </c>
      <c r="V209" s="17">
        <f>IF($W209="","",CHOOSE($W209,"Collection Email","1st Follow-up","2nd Follow-up","Local Office","CBE","Roxanne")&amp;IF($W209=6," - Final"," - Day "&amp;MAX(0,NETWORKDAYS($X209,TODAY(),Holidays)-1)&amp;" of "&amp;CHOOSE($W209,3,3,2,2,3))&amp;" | Total Day "&amp;MAX(0,NETWORKDAYS($L209,TODAY(),Holidays)-1))</f>
        <v/>
      </c>
      <c r="W209" s="17">
        <f>IF($L209="","",COUNT($L209:$Q209))</f>
        <v/>
      </c>
      <c r="X209" s="18">
        <f>IF($W209="","",INT(INDEX($L209:$Q209,$W209)))</f>
        <v/>
      </c>
      <c r="Y209" s="18">
        <f>IF(OR($W209="",$W209=6),"",WORKDAY($X209,CHOOSE($W209,3,3,2,2,3),Holidays))</f>
        <v/>
      </c>
      <c r="Z209" s="17">
        <f>IF(OR($W209="",$W209=6),"",CHOOSE($W209,"1st Email Follow-up","2nd Email Follow-up","Escalate Local Office","Escalate to CBE","Escalate to Roxanne"))</f>
        <v/>
      </c>
    </row>
    <row r="210" spans="18:26">
      <c r="R210" s="15"/>
      <c r="S210" s="16"/>
      <c r="T210" s="17">
        <f>IF(AND(COUNTA($A210:$K210)=0,$L210=""),"",IF($S210="Paid","PAID",IF($S210="Closed","CLOSED",IF($W210="","",IF($W210=6,"ESCALATED TO ROXANNE",IF(TODAY()&gt;$Y210,"OVERDUE",IF($Y210&lt;=WORKDAY(TODAY(),1,Holidays),"DUE TOMORROW",IF($W210=4,"ESCALATED TO LOCAL OFFICE",IF($W210=5,"ESCALATED TO CBE",IF($X210=TODAY(),"EMAIL SENT","MONITORING"))))))))))</f>
        <v/>
      </c>
      <c r="U210" s="17">
        <f>IF($T210="",IF(AND(COUNTA($A210:$K210)&gt;0,$L210=""),"Awaiting Collection Email time stamp.",""),IF(OR($T210="PAID",$T210="CLOSED"),IF($T210="PAID","Account paid. Action completed.","Account closed. No further action required."),CHOOSE($W210,"Collection Email","1st Email Follow-up","2nd Email Follow-up","Escalation to Local Office","Escalation to CBE","Escalation to Roxanne")&amp;" sent "&amp;TEXT($X210,"dd-mmm")&amp;". "&amp;IF($W210=6,"Final escalation completed.",IF($T210="OVERDUE","Next: "&amp;$Z210&amp;" was due "&amp;TEXT($Y210,"dd-mmm")&amp;" - "&amp;(NETWORKDAYS($Y210,TODAY(),Holidays)-1)&amp;" business day(s) late. Send now.",IF($T210="DUE TOMORROW","Next: "&amp;$Z210&amp;IF($Y210&lt;=TODAY()," is due TODAY ("," is due next business day (")&amp;TEXT($Y210,"dd-mmm")&amp;").","Next: "&amp;$Z210&amp;" due "&amp;TEXT($Y210,"dd-mmm")&amp;" ("&amp;(NETWORKDAYS(TODAY(),$Y210,Holidays)-1)&amp;" business day(s) left).")))))</f>
        <v/>
      </c>
      <c r="V210" s="17">
        <f>IF($W210="","",CHOOSE($W210,"Collection Email","1st Follow-up","2nd Follow-up","Local Office","CBE","Roxanne")&amp;IF($W210=6," - Final"," - Day "&amp;MAX(0,NETWORKDAYS($X210,TODAY(),Holidays)-1)&amp;" of "&amp;CHOOSE($W210,3,3,2,2,3))&amp;" | Total Day "&amp;MAX(0,NETWORKDAYS($L210,TODAY(),Holidays)-1))</f>
        <v/>
      </c>
      <c r="W210" s="17">
        <f>IF($L210="","",COUNT($L210:$Q210))</f>
        <v/>
      </c>
      <c r="X210" s="18">
        <f>IF($W210="","",INT(INDEX($L210:$Q210,$W210)))</f>
        <v/>
      </c>
      <c r="Y210" s="18">
        <f>IF(OR($W210="",$W210=6),"",WORKDAY($X210,CHOOSE($W210,3,3,2,2,3),Holidays))</f>
        <v/>
      </c>
      <c r="Z210" s="17">
        <f>IF(OR($W210="",$W210=6),"",CHOOSE($W210,"1st Email Follow-up","2nd Email Follow-up","Escalate Local Office","Escalate to CBE","Escalate to Roxanne"))</f>
        <v/>
      </c>
    </row>
    <row r="211" spans="18:26">
      <c r="R211" s="15"/>
      <c r="S211" s="16"/>
      <c r="T211" s="17">
        <f>IF(AND(COUNTA($A211:$K211)=0,$L211=""),"",IF($S211="Paid","PAID",IF($S211="Closed","CLOSED",IF($W211="","",IF($W211=6,"ESCALATED TO ROXANNE",IF(TODAY()&gt;$Y211,"OVERDUE",IF($Y211&lt;=WORKDAY(TODAY(),1,Holidays),"DUE TOMORROW",IF($W211=4,"ESCALATED TO LOCAL OFFICE",IF($W211=5,"ESCALATED TO CBE",IF($X211=TODAY(),"EMAIL SENT","MONITORING"))))))))))</f>
        <v/>
      </c>
      <c r="U211" s="17">
        <f>IF($T211="",IF(AND(COUNTA($A211:$K211)&gt;0,$L211=""),"Awaiting Collection Email time stamp.",""),IF(OR($T211="PAID",$T211="CLOSED"),IF($T211="PAID","Account paid. Action completed.","Account closed. No further action required."),CHOOSE($W211,"Collection Email","1st Email Follow-up","2nd Email Follow-up","Escalation to Local Office","Escalation to CBE","Escalation to Roxanne")&amp;" sent "&amp;TEXT($X211,"dd-mmm")&amp;". "&amp;IF($W211=6,"Final escalation completed.",IF($T211="OVERDUE","Next: "&amp;$Z211&amp;" was due "&amp;TEXT($Y211,"dd-mmm")&amp;" - "&amp;(NETWORKDAYS($Y211,TODAY(),Holidays)-1)&amp;" business day(s) late. Send now.",IF($T211="DUE TOMORROW","Next: "&amp;$Z211&amp;IF($Y211&lt;=TODAY()," is due TODAY ("," is due next business day (")&amp;TEXT($Y211,"dd-mmm")&amp;").","Next: "&amp;$Z211&amp;" due "&amp;TEXT($Y211,"dd-mmm")&amp;" ("&amp;(NETWORKDAYS(TODAY(),$Y211,Holidays)-1)&amp;" business day(s) left).")))))</f>
        <v/>
      </c>
      <c r="V211" s="17">
        <f>IF($W211="","",CHOOSE($W211,"Collection Email","1st Follow-up","2nd Follow-up","Local Office","CBE","Roxanne")&amp;IF($W211=6," - Final"," - Day "&amp;MAX(0,NETWORKDAYS($X211,TODAY(),Holidays)-1)&amp;" of "&amp;CHOOSE($W211,3,3,2,2,3))&amp;" | Total Day "&amp;MAX(0,NETWORKDAYS($L211,TODAY(),Holidays)-1))</f>
        <v/>
      </c>
      <c r="W211" s="17">
        <f>IF($L211="","",COUNT($L211:$Q211))</f>
        <v/>
      </c>
      <c r="X211" s="18">
        <f>IF($W211="","",INT(INDEX($L211:$Q211,$W211)))</f>
        <v/>
      </c>
      <c r="Y211" s="18">
        <f>IF(OR($W211="",$W211=6),"",WORKDAY($X211,CHOOSE($W211,3,3,2,2,3),Holidays))</f>
        <v/>
      </c>
      <c r="Z211" s="17">
        <f>IF(OR($W211="",$W211=6),"",CHOOSE($W211,"1st Email Follow-up","2nd Email Follow-up","Escalate Local Office","Escalate to CBE","Escalate to Roxanne"))</f>
        <v/>
      </c>
    </row>
    <row r="212" spans="18:26">
      <c r="R212" s="15"/>
      <c r="S212" s="16"/>
      <c r="T212" s="17">
        <f>IF(AND(COUNTA($A212:$K212)=0,$L212=""),"",IF($S212="Paid","PAID",IF($S212="Closed","CLOSED",IF($W212="","",IF($W212=6,"ESCALATED TO ROXANNE",IF(TODAY()&gt;$Y212,"OVERDUE",IF($Y212&lt;=WORKDAY(TODAY(),1,Holidays),"DUE TOMORROW",IF($W212=4,"ESCALATED TO LOCAL OFFICE",IF($W212=5,"ESCALATED TO CBE",IF($X212=TODAY(),"EMAIL SENT","MONITORING"))))))))))</f>
        <v/>
      </c>
      <c r="U212" s="17">
        <f>IF($T212="",IF(AND(COUNTA($A212:$K212)&gt;0,$L212=""),"Awaiting Collection Email time stamp.",""),IF(OR($T212="PAID",$T212="CLOSED"),IF($T212="PAID","Account paid. Action completed.","Account closed. No further action required."),CHOOSE($W212,"Collection Email","1st Email Follow-up","2nd Email Follow-up","Escalation to Local Office","Escalation to CBE","Escalation to Roxanne")&amp;" sent "&amp;TEXT($X212,"dd-mmm")&amp;". "&amp;IF($W212=6,"Final escalation completed.",IF($T212="OVERDUE","Next: "&amp;$Z212&amp;" was due "&amp;TEXT($Y212,"dd-mmm")&amp;" - "&amp;(NETWORKDAYS($Y212,TODAY(),Holidays)-1)&amp;" business day(s) late. Send now.",IF($T212="DUE TOMORROW","Next: "&amp;$Z212&amp;IF($Y212&lt;=TODAY()," is due TODAY ("," is due next business day (")&amp;TEXT($Y212,"dd-mmm")&amp;").","Next: "&amp;$Z212&amp;" due "&amp;TEXT($Y212,"dd-mmm")&amp;" ("&amp;(NETWORKDAYS(TODAY(),$Y212,Holidays)-1)&amp;" business day(s) left).")))))</f>
        <v/>
      </c>
      <c r="V212" s="17">
        <f>IF($W212="","",CHOOSE($W212,"Collection Email","1st Follow-up","2nd Follow-up","Local Office","CBE","Roxanne")&amp;IF($W212=6," - Final"," - Day "&amp;MAX(0,NETWORKDAYS($X212,TODAY(),Holidays)-1)&amp;" of "&amp;CHOOSE($W212,3,3,2,2,3))&amp;" | Total Day "&amp;MAX(0,NETWORKDAYS($L212,TODAY(),Holidays)-1))</f>
        <v/>
      </c>
      <c r="W212" s="17">
        <f>IF($L212="","",COUNT($L212:$Q212))</f>
        <v/>
      </c>
      <c r="X212" s="18">
        <f>IF($W212="","",INT(INDEX($L212:$Q212,$W212)))</f>
        <v/>
      </c>
      <c r="Y212" s="18">
        <f>IF(OR($W212="",$W212=6),"",WORKDAY($X212,CHOOSE($W212,3,3,2,2,3),Holidays))</f>
        <v/>
      </c>
      <c r="Z212" s="17">
        <f>IF(OR($W212="",$W212=6),"",CHOOSE($W212,"1st Email Follow-up","2nd Email Follow-up","Escalate Local Office","Escalate to CBE","Escalate to Roxanne"))</f>
        <v/>
      </c>
    </row>
    <row r="213" spans="18:26">
      <c r="R213" s="15"/>
      <c r="S213" s="16"/>
      <c r="T213" s="17">
        <f>IF(AND(COUNTA($A213:$K213)=0,$L213=""),"",IF($S213="Paid","PAID",IF($S213="Closed","CLOSED",IF($W213="","",IF($W213=6,"ESCALATED TO ROXANNE",IF(TODAY()&gt;$Y213,"OVERDUE",IF($Y213&lt;=WORKDAY(TODAY(),1,Holidays),"DUE TOMORROW",IF($W213=4,"ESCALATED TO LOCAL OFFICE",IF($W213=5,"ESCALATED TO CBE",IF($X213=TODAY(),"EMAIL SENT","MONITORING"))))))))))</f>
        <v/>
      </c>
      <c r="U213" s="17">
        <f>IF($T213="",IF(AND(COUNTA($A213:$K213)&gt;0,$L213=""),"Awaiting Collection Email time stamp.",""),IF(OR($T213="PAID",$T213="CLOSED"),IF($T213="PAID","Account paid. Action completed.","Account closed. No further action required."),CHOOSE($W213,"Collection Email","1st Email Follow-up","2nd Email Follow-up","Escalation to Local Office","Escalation to CBE","Escalation to Roxanne")&amp;" sent "&amp;TEXT($X213,"dd-mmm")&amp;". "&amp;IF($W213=6,"Final escalation completed.",IF($T213="OVERDUE","Next: "&amp;$Z213&amp;" was due "&amp;TEXT($Y213,"dd-mmm")&amp;" - "&amp;(NETWORKDAYS($Y213,TODAY(),Holidays)-1)&amp;" business day(s) late. Send now.",IF($T213="DUE TOMORROW","Next: "&amp;$Z213&amp;IF($Y213&lt;=TODAY()," is due TODAY ("," is due next business day (")&amp;TEXT($Y213,"dd-mmm")&amp;").","Next: "&amp;$Z213&amp;" due "&amp;TEXT($Y213,"dd-mmm")&amp;" ("&amp;(NETWORKDAYS(TODAY(),$Y213,Holidays)-1)&amp;" business day(s) left).")))))</f>
        <v/>
      </c>
      <c r="V213" s="17">
        <f>IF($W213="","",CHOOSE($W213,"Collection Email","1st Follow-up","2nd Follow-up","Local Office","CBE","Roxanne")&amp;IF($W213=6," - Final"," - Day "&amp;MAX(0,NETWORKDAYS($X213,TODAY(),Holidays)-1)&amp;" of "&amp;CHOOSE($W213,3,3,2,2,3))&amp;" | Total Day "&amp;MAX(0,NETWORKDAYS($L213,TODAY(),Holidays)-1))</f>
        <v/>
      </c>
      <c r="W213" s="17">
        <f>IF($L213="","",COUNT($L213:$Q213))</f>
        <v/>
      </c>
      <c r="X213" s="18">
        <f>IF($W213="","",INT(INDEX($L213:$Q213,$W213)))</f>
        <v/>
      </c>
      <c r="Y213" s="18">
        <f>IF(OR($W213="",$W213=6),"",WORKDAY($X213,CHOOSE($W213,3,3,2,2,3),Holidays))</f>
        <v/>
      </c>
      <c r="Z213" s="17">
        <f>IF(OR($W213="",$W213=6),"",CHOOSE($W213,"1st Email Follow-up","2nd Email Follow-up","Escalate Local Office","Escalate to CBE","Escalate to Roxanne"))</f>
        <v/>
      </c>
    </row>
    <row r="214" spans="18:26">
      <c r="R214" s="15"/>
      <c r="S214" s="16"/>
      <c r="T214" s="17">
        <f>IF(AND(COUNTA($A214:$K214)=0,$L214=""),"",IF($S214="Paid","PAID",IF($S214="Closed","CLOSED",IF($W214="","",IF($W214=6,"ESCALATED TO ROXANNE",IF(TODAY()&gt;$Y214,"OVERDUE",IF($Y214&lt;=WORKDAY(TODAY(),1,Holidays),"DUE TOMORROW",IF($W214=4,"ESCALATED TO LOCAL OFFICE",IF($W214=5,"ESCALATED TO CBE",IF($X214=TODAY(),"EMAIL SENT","MONITORING"))))))))))</f>
        <v/>
      </c>
      <c r="U214" s="17">
        <f>IF($T214="",IF(AND(COUNTA($A214:$K214)&gt;0,$L214=""),"Awaiting Collection Email time stamp.",""),IF(OR($T214="PAID",$T214="CLOSED"),IF($T214="PAID","Account paid. Action completed.","Account closed. No further action required."),CHOOSE($W214,"Collection Email","1st Email Follow-up","2nd Email Follow-up","Escalation to Local Office","Escalation to CBE","Escalation to Roxanne")&amp;" sent "&amp;TEXT($X214,"dd-mmm")&amp;". "&amp;IF($W214=6,"Final escalation completed.",IF($T214="OVERDUE","Next: "&amp;$Z214&amp;" was due "&amp;TEXT($Y214,"dd-mmm")&amp;" - "&amp;(NETWORKDAYS($Y214,TODAY(),Holidays)-1)&amp;" business day(s) late. Send now.",IF($T214="DUE TOMORROW","Next: "&amp;$Z214&amp;IF($Y214&lt;=TODAY()," is due TODAY ("," is due next business day (")&amp;TEXT($Y214,"dd-mmm")&amp;").","Next: "&amp;$Z214&amp;" due "&amp;TEXT($Y214,"dd-mmm")&amp;" ("&amp;(NETWORKDAYS(TODAY(),$Y214,Holidays)-1)&amp;" business day(s) left).")))))</f>
        <v/>
      </c>
      <c r="V214" s="17">
        <f>IF($W214="","",CHOOSE($W214,"Collection Email","1st Follow-up","2nd Follow-up","Local Office","CBE","Roxanne")&amp;IF($W214=6," - Final"," - Day "&amp;MAX(0,NETWORKDAYS($X214,TODAY(),Holidays)-1)&amp;" of "&amp;CHOOSE($W214,3,3,2,2,3))&amp;" | Total Day "&amp;MAX(0,NETWORKDAYS($L214,TODAY(),Holidays)-1))</f>
        <v/>
      </c>
      <c r="W214" s="17">
        <f>IF($L214="","",COUNT($L214:$Q214))</f>
        <v/>
      </c>
      <c r="X214" s="18">
        <f>IF($W214="","",INT(INDEX($L214:$Q214,$W214)))</f>
        <v/>
      </c>
      <c r="Y214" s="18">
        <f>IF(OR($W214="",$W214=6),"",WORKDAY($X214,CHOOSE($W214,3,3,2,2,3),Holidays))</f>
        <v/>
      </c>
      <c r="Z214" s="17">
        <f>IF(OR($W214="",$W214=6),"",CHOOSE($W214,"1st Email Follow-up","2nd Email Follow-up","Escalate Local Office","Escalate to CBE","Escalate to Roxanne"))</f>
        <v/>
      </c>
    </row>
    <row r="215" spans="18:26">
      <c r="R215" s="15"/>
      <c r="S215" s="16"/>
      <c r="T215" s="17">
        <f>IF(AND(COUNTA($A215:$K215)=0,$L215=""),"",IF($S215="Paid","PAID",IF($S215="Closed","CLOSED",IF($W215="","",IF($W215=6,"ESCALATED TO ROXANNE",IF(TODAY()&gt;$Y215,"OVERDUE",IF($Y215&lt;=WORKDAY(TODAY(),1,Holidays),"DUE TOMORROW",IF($W215=4,"ESCALATED TO LOCAL OFFICE",IF($W215=5,"ESCALATED TO CBE",IF($X215=TODAY(),"EMAIL SENT","MONITORING"))))))))))</f>
        <v/>
      </c>
      <c r="U215" s="17">
        <f>IF($T215="",IF(AND(COUNTA($A215:$K215)&gt;0,$L215=""),"Awaiting Collection Email time stamp.",""),IF(OR($T215="PAID",$T215="CLOSED"),IF($T215="PAID","Account paid. Action completed.","Account closed. No further action required."),CHOOSE($W215,"Collection Email","1st Email Follow-up","2nd Email Follow-up","Escalation to Local Office","Escalation to CBE","Escalation to Roxanne")&amp;" sent "&amp;TEXT($X215,"dd-mmm")&amp;". "&amp;IF($W215=6,"Final escalation completed.",IF($T215="OVERDUE","Next: "&amp;$Z215&amp;" was due "&amp;TEXT($Y215,"dd-mmm")&amp;" - "&amp;(NETWORKDAYS($Y215,TODAY(),Holidays)-1)&amp;" business day(s) late. Send now.",IF($T215="DUE TOMORROW","Next: "&amp;$Z215&amp;IF($Y215&lt;=TODAY()," is due TODAY ("," is due next business day (")&amp;TEXT($Y215,"dd-mmm")&amp;").","Next: "&amp;$Z215&amp;" due "&amp;TEXT($Y215,"dd-mmm")&amp;" ("&amp;(NETWORKDAYS(TODAY(),$Y215,Holidays)-1)&amp;" business day(s) left).")))))</f>
        <v/>
      </c>
      <c r="V215" s="17">
        <f>IF($W215="","",CHOOSE($W215,"Collection Email","1st Follow-up","2nd Follow-up","Local Office","CBE","Roxanne")&amp;IF($W215=6," - Final"," - Day "&amp;MAX(0,NETWORKDAYS($X215,TODAY(),Holidays)-1)&amp;" of "&amp;CHOOSE($W215,3,3,2,2,3))&amp;" | Total Day "&amp;MAX(0,NETWORKDAYS($L215,TODAY(),Holidays)-1))</f>
        <v/>
      </c>
      <c r="W215" s="17">
        <f>IF($L215="","",COUNT($L215:$Q215))</f>
        <v/>
      </c>
      <c r="X215" s="18">
        <f>IF($W215="","",INT(INDEX($L215:$Q215,$W215)))</f>
        <v/>
      </c>
      <c r="Y215" s="18">
        <f>IF(OR($W215="",$W215=6),"",WORKDAY($X215,CHOOSE($W215,3,3,2,2,3),Holidays))</f>
        <v/>
      </c>
      <c r="Z215" s="17">
        <f>IF(OR($W215="",$W215=6),"",CHOOSE($W215,"1st Email Follow-up","2nd Email Follow-up","Escalate Local Office","Escalate to CBE","Escalate to Roxanne"))</f>
        <v/>
      </c>
    </row>
    <row r="216" spans="18:26">
      <c r="R216" s="15"/>
      <c r="S216" s="16"/>
      <c r="T216" s="17">
        <f>IF(AND(COUNTA($A216:$K216)=0,$L216=""),"",IF($S216="Paid","PAID",IF($S216="Closed","CLOSED",IF($W216="","",IF($W216=6,"ESCALATED TO ROXANNE",IF(TODAY()&gt;$Y216,"OVERDUE",IF($Y216&lt;=WORKDAY(TODAY(),1,Holidays),"DUE TOMORROW",IF($W216=4,"ESCALATED TO LOCAL OFFICE",IF($W216=5,"ESCALATED TO CBE",IF($X216=TODAY(),"EMAIL SENT","MONITORING"))))))))))</f>
        <v/>
      </c>
      <c r="U216" s="17">
        <f>IF($T216="",IF(AND(COUNTA($A216:$K216)&gt;0,$L216=""),"Awaiting Collection Email time stamp.",""),IF(OR($T216="PAID",$T216="CLOSED"),IF($T216="PAID","Account paid. Action completed.","Account closed. No further action required."),CHOOSE($W216,"Collection Email","1st Email Follow-up","2nd Email Follow-up","Escalation to Local Office","Escalation to CBE","Escalation to Roxanne")&amp;" sent "&amp;TEXT($X216,"dd-mmm")&amp;". "&amp;IF($W216=6,"Final escalation completed.",IF($T216="OVERDUE","Next: "&amp;$Z216&amp;" was due "&amp;TEXT($Y216,"dd-mmm")&amp;" - "&amp;(NETWORKDAYS($Y216,TODAY(),Holidays)-1)&amp;" business day(s) late. Send now.",IF($T216="DUE TOMORROW","Next: "&amp;$Z216&amp;IF($Y216&lt;=TODAY()," is due TODAY ("," is due next business day (")&amp;TEXT($Y216,"dd-mmm")&amp;").","Next: "&amp;$Z216&amp;" due "&amp;TEXT($Y216,"dd-mmm")&amp;" ("&amp;(NETWORKDAYS(TODAY(),$Y216,Holidays)-1)&amp;" business day(s) left).")))))</f>
        <v/>
      </c>
      <c r="V216" s="17">
        <f>IF($W216="","",CHOOSE($W216,"Collection Email","1st Follow-up","2nd Follow-up","Local Office","CBE","Roxanne")&amp;IF($W216=6," - Final"," - Day "&amp;MAX(0,NETWORKDAYS($X216,TODAY(),Holidays)-1)&amp;" of "&amp;CHOOSE($W216,3,3,2,2,3))&amp;" | Total Day "&amp;MAX(0,NETWORKDAYS($L216,TODAY(),Holidays)-1))</f>
        <v/>
      </c>
      <c r="W216" s="17">
        <f>IF($L216="","",COUNT($L216:$Q216))</f>
        <v/>
      </c>
      <c r="X216" s="18">
        <f>IF($W216="","",INT(INDEX($L216:$Q216,$W216)))</f>
        <v/>
      </c>
      <c r="Y216" s="18">
        <f>IF(OR($W216="",$W216=6),"",WORKDAY($X216,CHOOSE($W216,3,3,2,2,3),Holidays))</f>
        <v/>
      </c>
      <c r="Z216" s="17">
        <f>IF(OR($W216="",$W216=6),"",CHOOSE($W216,"1st Email Follow-up","2nd Email Follow-up","Escalate Local Office","Escalate to CBE","Escalate to Roxanne"))</f>
        <v/>
      </c>
    </row>
    <row r="217" spans="18:26">
      <c r="R217" s="15"/>
      <c r="S217" s="16"/>
      <c r="T217" s="17">
        <f>IF(AND(COUNTA($A217:$K217)=0,$L217=""),"",IF($S217="Paid","PAID",IF($S217="Closed","CLOSED",IF($W217="","",IF($W217=6,"ESCALATED TO ROXANNE",IF(TODAY()&gt;$Y217,"OVERDUE",IF($Y217&lt;=WORKDAY(TODAY(),1,Holidays),"DUE TOMORROW",IF($W217=4,"ESCALATED TO LOCAL OFFICE",IF($W217=5,"ESCALATED TO CBE",IF($X217=TODAY(),"EMAIL SENT","MONITORING"))))))))))</f>
        <v/>
      </c>
      <c r="U217" s="17">
        <f>IF($T217="",IF(AND(COUNTA($A217:$K217)&gt;0,$L217=""),"Awaiting Collection Email time stamp.",""),IF(OR($T217="PAID",$T217="CLOSED"),IF($T217="PAID","Account paid. Action completed.","Account closed. No further action required."),CHOOSE($W217,"Collection Email","1st Email Follow-up","2nd Email Follow-up","Escalation to Local Office","Escalation to CBE","Escalation to Roxanne")&amp;" sent "&amp;TEXT($X217,"dd-mmm")&amp;". "&amp;IF($W217=6,"Final escalation completed.",IF($T217="OVERDUE","Next: "&amp;$Z217&amp;" was due "&amp;TEXT($Y217,"dd-mmm")&amp;" - "&amp;(NETWORKDAYS($Y217,TODAY(),Holidays)-1)&amp;" business day(s) late. Send now.",IF($T217="DUE TOMORROW","Next: "&amp;$Z217&amp;IF($Y217&lt;=TODAY()," is due TODAY ("," is due next business day (")&amp;TEXT($Y217,"dd-mmm")&amp;").","Next: "&amp;$Z217&amp;" due "&amp;TEXT($Y217,"dd-mmm")&amp;" ("&amp;(NETWORKDAYS(TODAY(),$Y217,Holidays)-1)&amp;" business day(s) left).")))))</f>
        <v/>
      </c>
      <c r="V217" s="17">
        <f>IF($W217="","",CHOOSE($W217,"Collection Email","1st Follow-up","2nd Follow-up","Local Office","CBE","Roxanne")&amp;IF($W217=6," - Final"," - Day "&amp;MAX(0,NETWORKDAYS($X217,TODAY(),Holidays)-1)&amp;" of "&amp;CHOOSE($W217,3,3,2,2,3))&amp;" | Total Day "&amp;MAX(0,NETWORKDAYS($L217,TODAY(),Holidays)-1))</f>
        <v/>
      </c>
      <c r="W217" s="17">
        <f>IF($L217="","",COUNT($L217:$Q217))</f>
        <v/>
      </c>
      <c r="X217" s="18">
        <f>IF($W217="","",INT(INDEX($L217:$Q217,$W217)))</f>
        <v/>
      </c>
      <c r="Y217" s="18">
        <f>IF(OR($W217="",$W217=6),"",WORKDAY($X217,CHOOSE($W217,3,3,2,2,3),Holidays))</f>
        <v/>
      </c>
      <c r="Z217" s="17">
        <f>IF(OR($W217="",$W217=6),"",CHOOSE($W217,"1st Email Follow-up","2nd Email Follow-up","Escalate Local Office","Escalate to CBE","Escalate to Roxanne"))</f>
        <v/>
      </c>
    </row>
    <row r="218" spans="18:26">
      <c r="R218" s="15"/>
      <c r="S218" s="16"/>
      <c r="T218" s="17">
        <f>IF(AND(COUNTA($A218:$K218)=0,$L218=""),"",IF($S218="Paid","PAID",IF($S218="Closed","CLOSED",IF($W218="","",IF($W218=6,"ESCALATED TO ROXANNE",IF(TODAY()&gt;$Y218,"OVERDUE",IF($Y218&lt;=WORKDAY(TODAY(),1,Holidays),"DUE TOMORROW",IF($W218=4,"ESCALATED TO LOCAL OFFICE",IF($W218=5,"ESCALATED TO CBE",IF($X218=TODAY(),"EMAIL SENT","MONITORING"))))))))))</f>
        <v/>
      </c>
      <c r="U218" s="17">
        <f>IF($T218="",IF(AND(COUNTA($A218:$K218)&gt;0,$L218=""),"Awaiting Collection Email time stamp.",""),IF(OR($T218="PAID",$T218="CLOSED"),IF($T218="PAID","Account paid. Action completed.","Account closed. No further action required."),CHOOSE($W218,"Collection Email","1st Email Follow-up","2nd Email Follow-up","Escalation to Local Office","Escalation to CBE","Escalation to Roxanne")&amp;" sent "&amp;TEXT($X218,"dd-mmm")&amp;". "&amp;IF($W218=6,"Final escalation completed.",IF($T218="OVERDUE","Next: "&amp;$Z218&amp;" was due "&amp;TEXT($Y218,"dd-mmm")&amp;" - "&amp;(NETWORKDAYS($Y218,TODAY(),Holidays)-1)&amp;" business day(s) late. Send now.",IF($T218="DUE TOMORROW","Next: "&amp;$Z218&amp;IF($Y218&lt;=TODAY()," is due TODAY ("," is due next business day (")&amp;TEXT($Y218,"dd-mmm")&amp;").","Next: "&amp;$Z218&amp;" due "&amp;TEXT($Y218,"dd-mmm")&amp;" ("&amp;(NETWORKDAYS(TODAY(),$Y218,Holidays)-1)&amp;" business day(s) left).")))))</f>
        <v/>
      </c>
      <c r="V218" s="17">
        <f>IF($W218="","",CHOOSE($W218,"Collection Email","1st Follow-up","2nd Follow-up","Local Office","CBE","Roxanne")&amp;IF($W218=6," - Final"," - Day "&amp;MAX(0,NETWORKDAYS($X218,TODAY(),Holidays)-1)&amp;" of "&amp;CHOOSE($W218,3,3,2,2,3))&amp;" | Total Day "&amp;MAX(0,NETWORKDAYS($L218,TODAY(),Holidays)-1))</f>
        <v/>
      </c>
      <c r="W218" s="17">
        <f>IF($L218="","",COUNT($L218:$Q218))</f>
        <v/>
      </c>
      <c r="X218" s="18">
        <f>IF($W218="","",INT(INDEX($L218:$Q218,$W218)))</f>
        <v/>
      </c>
      <c r="Y218" s="18">
        <f>IF(OR($W218="",$W218=6),"",WORKDAY($X218,CHOOSE($W218,3,3,2,2,3),Holidays))</f>
        <v/>
      </c>
      <c r="Z218" s="17">
        <f>IF(OR($W218="",$W218=6),"",CHOOSE($W218,"1st Email Follow-up","2nd Email Follow-up","Escalate Local Office","Escalate to CBE","Escalate to Roxanne"))</f>
        <v/>
      </c>
    </row>
    <row r="219" spans="18:26">
      <c r="R219" s="15"/>
      <c r="S219" s="16"/>
      <c r="T219" s="17">
        <f>IF(AND(COUNTA($A219:$K219)=0,$L219=""),"",IF($S219="Paid","PAID",IF($S219="Closed","CLOSED",IF($W219="","",IF($W219=6,"ESCALATED TO ROXANNE",IF(TODAY()&gt;$Y219,"OVERDUE",IF($Y219&lt;=WORKDAY(TODAY(),1,Holidays),"DUE TOMORROW",IF($W219=4,"ESCALATED TO LOCAL OFFICE",IF($W219=5,"ESCALATED TO CBE",IF($X219=TODAY(),"EMAIL SENT","MONITORING"))))))))))</f>
        <v/>
      </c>
      <c r="U219" s="17">
        <f>IF($T219="",IF(AND(COUNTA($A219:$K219)&gt;0,$L219=""),"Awaiting Collection Email time stamp.",""),IF(OR($T219="PAID",$T219="CLOSED"),IF($T219="PAID","Account paid. Action completed.","Account closed. No further action required."),CHOOSE($W219,"Collection Email","1st Email Follow-up","2nd Email Follow-up","Escalation to Local Office","Escalation to CBE","Escalation to Roxanne")&amp;" sent "&amp;TEXT($X219,"dd-mmm")&amp;". "&amp;IF($W219=6,"Final escalation completed.",IF($T219="OVERDUE","Next: "&amp;$Z219&amp;" was due "&amp;TEXT($Y219,"dd-mmm")&amp;" - "&amp;(NETWORKDAYS($Y219,TODAY(),Holidays)-1)&amp;" business day(s) late. Send now.",IF($T219="DUE TOMORROW","Next: "&amp;$Z219&amp;IF($Y219&lt;=TODAY()," is due TODAY ("," is due next business day (")&amp;TEXT($Y219,"dd-mmm")&amp;").","Next: "&amp;$Z219&amp;" due "&amp;TEXT($Y219,"dd-mmm")&amp;" ("&amp;(NETWORKDAYS(TODAY(),$Y219,Holidays)-1)&amp;" business day(s) left).")))))</f>
        <v/>
      </c>
      <c r="V219" s="17">
        <f>IF($W219="","",CHOOSE($W219,"Collection Email","1st Follow-up","2nd Follow-up","Local Office","CBE","Roxanne")&amp;IF($W219=6," - Final"," - Day "&amp;MAX(0,NETWORKDAYS($X219,TODAY(),Holidays)-1)&amp;" of "&amp;CHOOSE($W219,3,3,2,2,3))&amp;" | Total Day "&amp;MAX(0,NETWORKDAYS($L219,TODAY(),Holidays)-1))</f>
        <v/>
      </c>
      <c r="W219" s="17">
        <f>IF($L219="","",COUNT($L219:$Q219))</f>
        <v/>
      </c>
      <c r="X219" s="18">
        <f>IF($W219="","",INT(INDEX($L219:$Q219,$W219)))</f>
        <v/>
      </c>
      <c r="Y219" s="18">
        <f>IF(OR($W219="",$W219=6),"",WORKDAY($X219,CHOOSE($W219,3,3,2,2,3),Holidays))</f>
        <v/>
      </c>
      <c r="Z219" s="17">
        <f>IF(OR($W219="",$W219=6),"",CHOOSE($W219,"1st Email Follow-up","2nd Email Follow-up","Escalate Local Office","Escalate to CBE","Escalate to Roxanne"))</f>
        <v/>
      </c>
    </row>
    <row r="220" spans="18:26">
      <c r="R220" s="15"/>
      <c r="S220" s="16"/>
      <c r="T220" s="17">
        <f>IF(AND(COUNTA($A220:$K220)=0,$L220=""),"",IF($S220="Paid","PAID",IF($S220="Closed","CLOSED",IF($W220="","",IF($W220=6,"ESCALATED TO ROXANNE",IF(TODAY()&gt;$Y220,"OVERDUE",IF($Y220&lt;=WORKDAY(TODAY(),1,Holidays),"DUE TOMORROW",IF($W220=4,"ESCALATED TO LOCAL OFFICE",IF($W220=5,"ESCALATED TO CBE",IF($X220=TODAY(),"EMAIL SENT","MONITORING"))))))))))</f>
        <v/>
      </c>
      <c r="U220" s="17">
        <f>IF($T220="",IF(AND(COUNTA($A220:$K220)&gt;0,$L220=""),"Awaiting Collection Email time stamp.",""),IF(OR($T220="PAID",$T220="CLOSED"),IF($T220="PAID","Account paid. Action completed.","Account closed. No further action required."),CHOOSE($W220,"Collection Email","1st Email Follow-up","2nd Email Follow-up","Escalation to Local Office","Escalation to CBE","Escalation to Roxanne")&amp;" sent "&amp;TEXT($X220,"dd-mmm")&amp;". "&amp;IF($W220=6,"Final escalation completed.",IF($T220="OVERDUE","Next: "&amp;$Z220&amp;" was due "&amp;TEXT($Y220,"dd-mmm")&amp;" - "&amp;(NETWORKDAYS($Y220,TODAY(),Holidays)-1)&amp;" business day(s) late. Send now.",IF($T220="DUE TOMORROW","Next: "&amp;$Z220&amp;IF($Y220&lt;=TODAY()," is due TODAY ("," is due next business day (")&amp;TEXT($Y220,"dd-mmm")&amp;").","Next: "&amp;$Z220&amp;" due "&amp;TEXT($Y220,"dd-mmm")&amp;" ("&amp;(NETWORKDAYS(TODAY(),$Y220,Holidays)-1)&amp;" business day(s) left).")))))</f>
        <v/>
      </c>
      <c r="V220" s="17">
        <f>IF($W220="","",CHOOSE($W220,"Collection Email","1st Follow-up","2nd Follow-up","Local Office","CBE","Roxanne")&amp;IF($W220=6," - Final"," - Day "&amp;MAX(0,NETWORKDAYS($X220,TODAY(),Holidays)-1)&amp;" of "&amp;CHOOSE($W220,3,3,2,2,3))&amp;" | Total Day "&amp;MAX(0,NETWORKDAYS($L220,TODAY(),Holidays)-1))</f>
        <v/>
      </c>
      <c r="W220" s="17">
        <f>IF($L220="","",COUNT($L220:$Q220))</f>
        <v/>
      </c>
      <c r="X220" s="18">
        <f>IF($W220="","",INT(INDEX($L220:$Q220,$W220)))</f>
        <v/>
      </c>
      <c r="Y220" s="18">
        <f>IF(OR($W220="",$W220=6),"",WORKDAY($X220,CHOOSE($W220,3,3,2,2,3),Holidays))</f>
        <v/>
      </c>
      <c r="Z220" s="17">
        <f>IF(OR($W220="",$W220=6),"",CHOOSE($W220,"1st Email Follow-up","2nd Email Follow-up","Escalate Local Office","Escalate to CBE","Escalate to Roxanne"))</f>
        <v/>
      </c>
    </row>
    <row r="221" spans="18:26">
      <c r="R221" s="15"/>
      <c r="S221" s="16"/>
      <c r="T221" s="17">
        <f>IF(AND(COUNTA($A221:$K221)=0,$L221=""),"",IF($S221="Paid","PAID",IF($S221="Closed","CLOSED",IF($W221="","",IF($W221=6,"ESCALATED TO ROXANNE",IF(TODAY()&gt;$Y221,"OVERDUE",IF($Y221&lt;=WORKDAY(TODAY(),1,Holidays),"DUE TOMORROW",IF($W221=4,"ESCALATED TO LOCAL OFFICE",IF($W221=5,"ESCALATED TO CBE",IF($X221=TODAY(),"EMAIL SENT","MONITORING"))))))))))</f>
        <v/>
      </c>
      <c r="U221" s="17">
        <f>IF($T221="",IF(AND(COUNTA($A221:$K221)&gt;0,$L221=""),"Awaiting Collection Email time stamp.",""),IF(OR($T221="PAID",$T221="CLOSED"),IF($T221="PAID","Account paid. Action completed.","Account closed. No further action required."),CHOOSE($W221,"Collection Email","1st Email Follow-up","2nd Email Follow-up","Escalation to Local Office","Escalation to CBE","Escalation to Roxanne")&amp;" sent "&amp;TEXT($X221,"dd-mmm")&amp;". "&amp;IF($W221=6,"Final escalation completed.",IF($T221="OVERDUE","Next: "&amp;$Z221&amp;" was due "&amp;TEXT($Y221,"dd-mmm")&amp;" - "&amp;(NETWORKDAYS($Y221,TODAY(),Holidays)-1)&amp;" business day(s) late. Send now.",IF($T221="DUE TOMORROW","Next: "&amp;$Z221&amp;IF($Y221&lt;=TODAY()," is due TODAY ("," is due next business day (")&amp;TEXT($Y221,"dd-mmm")&amp;").","Next: "&amp;$Z221&amp;" due "&amp;TEXT($Y221,"dd-mmm")&amp;" ("&amp;(NETWORKDAYS(TODAY(),$Y221,Holidays)-1)&amp;" business day(s) left).")))))</f>
        <v/>
      </c>
      <c r="V221" s="17">
        <f>IF($W221="","",CHOOSE($W221,"Collection Email","1st Follow-up","2nd Follow-up","Local Office","CBE","Roxanne")&amp;IF($W221=6," - Final"," - Day "&amp;MAX(0,NETWORKDAYS($X221,TODAY(),Holidays)-1)&amp;" of "&amp;CHOOSE($W221,3,3,2,2,3))&amp;" | Total Day "&amp;MAX(0,NETWORKDAYS($L221,TODAY(),Holidays)-1))</f>
        <v/>
      </c>
      <c r="W221" s="17">
        <f>IF($L221="","",COUNT($L221:$Q221))</f>
        <v/>
      </c>
      <c r="X221" s="18">
        <f>IF($W221="","",INT(INDEX($L221:$Q221,$W221)))</f>
        <v/>
      </c>
      <c r="Y221" s="18">
        <f>IF(OR($W221="",$W221=6),"",WORKDAY($X221,CHOOSE($W221,3,3,2,2,3),Holidays))</f>
        <v/>
      </c>
      <c r="Z221" s="17">
        <f>IF(OR($W221="",$W221=6),"",CHOOSE($W221,"1st Email Follow-up","2nd Email Follow-up","Escalate Local Office","Escalate to CBE","Escalate to Roxanne"))</f>
        <v/>
      </c>
    </row>
    <row r="222" spans="18:26">
      <c r="R222" s="15"/>
      <c r="S222" s="16"/>
      <c r="T222" s="17">
        <f>IF(AND(COUNTA($A222:$K222)=0,$L222=""),"",IF($S222="Paid","PAID",IF($S222="Closed","CLOSED",IF($W222="","",IF($W222=6,"ESCALATED TO ROXANNE",IF(TODAY()&gt;$Y222,"OVERDUE",IF($Y222&lt;=WORKDAY(TODAY(),1,Holidays),"DUE TOMORROW",IF($W222=4,"ESCALATED TO LOCAL OFFICE",IF($W222=5,"ESCALATED TO CBE",IF($X222=TODAY(),"EMAIL SENT","MONITORING"))))))))))</f>
        <v/>
      </c>
      <c r="U222" s="17">
        <f>IF($T222="",IF(AND(COUNTA($A222:$K222)&gt;0,$L222=""),"Awaiting Collection Email time stamp.",""),IF(OR($T222="PAID",$T222="CLOSED"),IF($T222="PAID","Account paid. Action completed.","Account closed. No further action required."),CHOOSE($W222,"Collection Email","1st Email Follow-up","2nd Email Follow-up","Escalation to Local Office","Escalation to CBE","Escalation to Roxanne")&amp;" sent "&amp;TEXT($X222,"dd-mmm")&amp;". "&amp;IF($W222=6,"Final escalation completed.",IF($T222="OVERDUE","Next: "&amp;$Z222&amp;" was due "&amp;TEXT($Y222,"dd-mmm")&amp;" - "&amp;(NETWORKDAYS($Y222,TODAY(),Holidays)-1)&amp;" business day(s) late. Send now.",IF($T222="DUE TOMORROW","Next: "&amp;$Z222&amp;IF($Y222&lt;=TODAY()," is due TODAY ("," is due next business day (")&amp;TEXT($Y222,"dd-mmm")&amp;").","Next: "&amp;$Z222&amp;" due "&amp;TEXT($Y222,"dd-mmm")&amp;" ("&amp;(NETWORKDAYS(TODAY(),$Y222,Holidays)-1)&amp;" business day(s) left).")))))</f>
        <v/>
      </c>
      <c r="V222" s="17">
        <f>IF($W222="","",CHOOSE($W222,"Collection Email","1st Follow-up","2nd Follow-up","Local Office","CBE","Roxanne")&amp;IF($W222=6," - Final"," - Day "&amp;MAX(0,NETWORKDAYS($X222,TODAY(),Holidays)-1)&amp;" of "&amp;CHOOSE($W222,3,3,2,2,3))&amp;" | Total Day "&amp;MAX(0,NETWORKDAYS($L222,TODAY(),Holidays)-1))</f>
        <v/>
      </c>
      <c r="W222" s="17">
        <f>IF($L222="","",COUNT($L222:$Q222))</f>
        <v/>
      </c>
      <c r="X222" s="18">
        <f>IF($W222="","",INT(INDEX($L222:$Q222,$W222)))</f>
        <v/>
      </c>
      <c r="Y222" s="18">
        <f>IF(OR($W222="",$W222=6),"",WORKDAY($X222,CHOOSE($W222,3,3,2,2,3),Holidays))</f>
        <v/>
      </c>
      <c r="Z222" s="17">
        <f>IF(OR($W222="",$W222=6),"",CHOOSE($W222,"1st Email Follow-up","2nd Email Follow-up","Escalate Local Office","Escalate to CBE","Escalate to Roxanne"))</f>
        <v/>
      </c>
    </row>
    <row r="223" spans="18:26">
      <c r="R223" s="15"/>
      <c r="S223" s="16"/>
      <c r="T223" s="17">
        <f>IF(AND(COUNTA($A223:$K223)=0,$L223=""),"",IF($S223="Paid","PAID",IF($S223="Closed","CLOSED",IF($W223="","",IF($W223=6,"ESCALATED TO ROXANNE",IF(TODAY()&gt;$Y223,"OVERDUE",IF($Y223&lt;=WORKDAY(TODAY(),1,Holidays),"DUE TOMORROW",IF($W223=4,"ESCALATED TO LOCAL OFFICE",IF($W223=5,"ESCALATED TO CBE",IF($X223=TODAY(),"EMAIL SENT","MONITORING"))))))))))</f>
        <v/>
      </c>
      <c r="U223" s="17">
        <f>IF($T223="",IF(AND(COUNTA($A223:$K223)&gt;0,$L223=""),"Awaiting Collection Email time stamp.",""),IF(OR($T223="PAID",$T223="CLOSED"),IF($T223="PAID","Account paid. Action completed.","Account closed. No further action required."),CHOOSE($W223,"Collection Email","1st Email Follow-up","2nd Email Follow-up","Escalation to Local Office","Escalation to CBE","Escalation to Roxanne")&amp;" sent "&amp;TEXT($X223,"dd-mmm")&amp;". "&amp;IF($W223=6,"Final escalation completed.",IF($T223="OVERDUE","Next: "&amp;$Z223&amp;" was due "&amp;TEXT($Y223,"dd-mmm")&amp;" - "&amp;(NETWORKDAYS($Y223,TODAY(),Holidays)-1)&amp;" business day(s) late. Send now.",IF($T223="DUE TOMORROW","Next: "&amp;$Z223&amp;IF($Y223&lt;=TODAY()," is due TODAY ("," is due next business day (")&amp;TEXT($Y223,"dd-mmm")&amp;").","Next: "&amp;$Z223&amp;" due "&amp;TEXT($Y223,"dd-mmm")&amp;" ("&amp;(NETWORKDAYS(TODAY(),$Y223,Holidays)-1)&amp;" business day(s) left).")))))</f>
        <v/>
      </c>
      <c r="V223" s="17">
        <f>IF($W223="","",CHOOSE($W223,"Collection Email","1st Follow-up","2nd Follow-up","Local Office","CBE","Roxanne")&amp;IF($W223=6," - Final"," - Day "&amp;MAX(0,NETWORKDAYS($X223,TODAY(),Holidays)-1)&amp;" of "&amp;CHOOSE($W223,3,3,2,2,3))&amp;" | Total Day "&amp;MAX(0,NETWORKDAYS($L223,TODAY(),Holidays)-1))</f>
        <v/>
      </c>
      <c r="W223" s="17">
        <f>IF($L223="","",COUNT($L223:$Q223))</f>
        <v/>
      </c>
      <c r="X223" s="18">
        <f>IF($W223="","",INT(INDEX($L223:$Q223,$W223)))</f>
        <v/>
      </c>
      <c r="Y223" s="18">
        <f>IF(OR($W223="",$W223=6),"",WORKDAY($X223,CHOOSE($W223,3,3,2,2,3),Holidays))</f>
        <v/>
      </c>
      <c r="Z223" s="17">
        <f>IF(OR($W223="",$W223=6),"",CHOOSE($W223,"1st Email Follow-up","2nd Email Follow-up","Escalate Local Office","Escalate to CBE","Escalate to Roxanne"))</f>
        <v/>
      </c>
    </row>
    <row r="224" spans="18:26">
      <c r="R224" s="15"/>
      <c r="S224" s="16"/>
      <c r="T224" s="17">
        <f>IF(AND(COUNTA($A224:$K224)=0,$L224=""),"",IF($S224="Paid","PAID",IF($S224="Closed","CLOSED",IF($W224="","",IF($W224=6,"ESCALATED TO ROXANNE",IF(TODAY()&gt;$Y224,"OVERDUE",IF($Y224&lt;=WORKDAY(TODAY(),1,Holidays),"DUE TOMORROW",IF($W224=4,"ESCALATED TO LOCAL OFFICE",IF($W224=5,"ESCALATED TO CBE",IF($X224=TODAY(),"EMAIL SENT","MONITORING"))))))))))</f>
        <v/>
      </c>
      <c r="U224" s="17">
        <f>IF($T224="",IF(AND(COUNTA($A224:$K224)&gt;0,$L224=""),"Awaiting Collection Email time stamp.",""),IF(OR($T224="PAID",$T224="CLOSED"),IF($T224="PAID","Account paid. Action completed.","Account closed. No further action required."),CHOOSE($W224,"Collection Email","1st Email Follow-up","2nd Email Follow-up","Escalation to Local Office","Escalation to CBE","Escalation to Roxanne")&amp;" sent "&amp;TEXT($X224,"dd-mmm")&amp;". "&amp;IF($W224=6,"Final escalation completed.",IF($T224="OVERDUE","Next: "&amp;$Z224&amp;" was due "&amp;TEXT($Y224,"dd-mmm")&amp;" - "&amp;(NETWORKDAYS($Y224,TODAY(),Holidays)-1)&amp;" business day(s) late. Send now.",IF($T224="DUE TOMORROW","Next: "&amp;$Z224&amp;IF($Y224&lt;=TODAY()," is due TODAY ("," is due next business day (")&amp;TEXT($Y224,"dd-mmm")&amp;").","Next: "&amp;$Z224&amp;" due "&amp;TEXT($Y224,"dd-mmm")&amp;" ("&amp;(NETWORKDAYS(TODAY(),$Y224,Holidays)-1)&amp;" business day(s) left).")))))</f>
        <v/>
      </c>
      <c r="V224" s="17">
        <f>IF($W224="","",CHOOSE($W224,"Collection Email","1st Follow-up","2nd Follow-up","Local Office","CBE","Roxanne")&amp;IF($W224=6," - Final"," - Day "&amp;MAX(0,NETWORKDAYS($X224,TODAY(),Holidays)-1)&amp;" of "&amp;CHOOSE($W224,3,3,2,2,3))&amp;" | Total Day "&amp;MAX(0,NETWORKDAYS($L224,TODAY(),Holidays)-1))</f>
        <v/>
      </c>
      <c r="W224" s="17">
        <f>IF($L224="","",COUNT($L224:$Q224))</f>
        <v/>
      </c>
      <c r="X224" s="18">
        <f>IF($W224="","",INT(INDEX($L224:$Q224,$W224)))</f>
        <v/>
      </c>
      <c r="Y224" s="18">
        <f>IF(OR($W224="",$W224=6),"",WORKDAY($X224,CHOOSE($W224,3,3,2,2,3),Holidays))</f>
        <v/>
      </c>
      <c r="Z224" s="17">
        <f>IF(OR($W224="",$W224=6),"",CHOOSE($W224,"1st Email Follow-up","2nd Email Follow-up","Escalate Local Office","Escalate to CBE","Escalate to Roxanne"))</f>
        <v/>
      </c>
    </row>
    <row r="225" spans="18:26">
      <c r="R225" s="15"/>
      <c r="S225" s="16"/>
      <c r="T225" s="17">
        <f>IF(AND(COUNTA($A225:$K225)=0,$L225=""),"",IF($S225="Paid","PAID",IF($S225="Closed","CLOSED",IF($W225="","",IF($W225=6,"ESCALATED TO ROXANNE",IF(TODAY()&gt;$Y225,"OVERDUE",IF($Y225&lt;=WORKDAY(TODAY(),1,Holidays),"DUE TOMORROW",IF($W225=4,"ESCALATED TO LOCAL OFFICE",IF($W225=5,"ESCALATED TO CBE",IF($X225=TODAY(),"EMAIL SENT","MONITORING"))))))))))</f>
        <v/>
      </c>
      <c r="U225" s="17">
        <f>IF($T225="",IF(AND(COUNTA($A225:$K225)&gt;0,$L225=""),"Awaiting Collection Email time stamp.",""),IF(OR($T225="PAID",$T225="CLOSED"),IF($T225="PAID","Account paid. Action completed.","Account closed. No further action required."),CHOOSE($W225,"Collection Email","1st Email Follow-up","2nd Email Follow-up","Escalation to Local Office","Escalation to CBE","Escalation to Roxanne")&amp;" sent "&amp;TEXT($X225,"dd-mmm")&amp;". "&amp;IF($W225=6,"Final escalation completed.",IF($T225="OVERDUE","Next: "&amp;$Z225&amp;" was due "&amp;TEXT($Y225,"dd-mmm")&amp;" - "&amp;(NETWORKDAYS($Y225,TODAY(),Holidays)-1)&amp;" business day(s) late. Send now.",IF($T225="DUE TOMORROW","Next: "&amp;$Z225&amp;IF($Y225&lt;=TODAY()," is due TODAY ("," is due next business day (")&amp;TEXT($Y225,"dd-mmm")&amp;").","Next: "&amp;$Z225&amp;" due "&amp;TEXT($Y225,"dd-mmm")&amp;" ("&amp;(NETWORKDAYS(TODAY(),$Y225,Holidays)-1)&amp;" business day(s) left).")))))</f>
        <v/>
      </c>
      <c r="V225" s="17">
        <f>IF($W225="","",CHOOSE($W225,"Collection Email","1st Follow-up","2nd Follow-up","Local Office","CBE","Roxanne")&amp;IF($W225=6," - Final"," - Day "&amp;MAX(0,NETWORKDAYS($X225,TODAY(),Holidays)-1)&amp;" of "&amp;CHOOSE($W225,3,3,2,2,3))&amp;" | Total Day "&amp;MAX(0,NETWORKDAYS($L225,TODAY(),Holidays)-1))</f>
        <v/>
      </c>
      <c r="W225" s="17">
        <f>IF($L225="","",COUNT($L225:$Q225))</f>
        <v/>
      </c>
      <c r="X225" s="18">
        <f>IF($W225="","",INT(INDEX($L225:$Q225,$W225)))</f>
        <v/>
      </c>
      <c r="Y225" s="18">
        <f>IF(OR($W225="",$W225=6),"",WORKDAY($X225,CHOOSE($W225,3,3,2,2,3),Holidays))</f>
        <v/>
      </c>
      <c r="Z225" s="17">
        <f>IF(OR($W225="",$W225=6),"",CHOOSE($W225,"1st Email Follow-up","2nd Email Follow-up","Escalate Local Office","Escalate to CBE","Escalate to Roxanne"))</f>
        <v/>
      </c>
    </row>
    <row r="226" spans="18:26">
      <c r="R226" s="15"/>
      <c r="S226" s="16"/>
      <c r="T226" s="17">
        <f>IF(AND(COUNTA($A226:$K226)=0,$L226=""),"",IF($S226="Paid","PAID",IF($S226="Closed","CLOSED",IF($W226="","",IF($W226=6,"ESCALATED TO ROXANNE",IF(TODAY()&gt;$Y226,"OVERDUE",IF($Y226&lt;=WORKDAY(TODAY(),1,Holidays),"DUE TOMORROW",IF($W226=4,"ESCALATED TO LOCAL OFFICE",IF($W226=5,"ESCALATED TO CBE",IF($X226=TODAY(),"EMAIL SENT","MONITORING"))))))))))</f>
        <v/>
      </c>
      <c r="U226" s="17">
        <f>IF($T226="",IF(AND(COUNTA($A226:$K226)&gt;0,$L226=""),"Awaiting Collection Email time stamp.",""),IF(OR($T226="PAID",$T226="CLOSED"),IF($T226="PAID","Account paid. Action completed.","Account closed. No further action required."),CHOOSE($W226,"Collection Email","1st Email Follow-up","2nd Email Follow-up","Escalation to Local Office","Escalation to CBE","Escalation to Roxanne")&amp;" sent "&amp;TEXT($X226,"dd-mmm")&amp;". "&amp;IF($W226=6,"Final escalation completed.",IF($T226="OVERDUE","Next: "&amp;$Z226&amp;" was due "&amp;TEXT($Y226,"dd-mmm")&amp;" - "&amp;(NETWORKDAYS($Y226,TODAY(),Holidays)-1)&amp;" business day(s) late. Send now.",IF($T226="DUE TOMORROW","Next: "&amp;$Z226&amp;IF($Y226&lt;=TODAY()," is due TODAY ("," is due next business day (")&amp;TEXT($Y226,"dd-mmm")&amp;").","Next: "&amp;$Z226&amp;" due "&amp;TEXT($Y226,"dd-mmm")&amp;" ("&amp;(NETWORKDAYS(TODAY(),$Y226,Holidays)-1)&amp;" business day(s) left).")))))</f>
        <v/>
      </c>
      <c r="V226" s="17">
        <f>IF($W226="","",CHOOSE($W226,"Collection Email","1st Follow-up","2nd Follow-up","Local Office","CBE","Roxanne")&amp;IF($W226=6," - Final"," - Day "&amp;MAX(0,NETWORKDAYS($X226,TODAY(),Holidays)-1)&amp;" of "&amp;CHOOSE($W226,3,3,2,2,3))&amp;" | Total Day "&amp;MAX(0,NETWORKDAYS($L226,TODAY(),Holidays)-1))</f>
        <v/>
      </c>
      <c r="W226" s="17">
        <f>IF($L226="","",COUNT($L226:$Q226))</f>
        <v/>
      </c>
      <c r="X226" s="18">
        <f>IF($W226="","",INT(INDEX($L226:$Q226,$W226)))</f>
        <v/>
      </c>
      <c r="Y226" s="18">
        <f>IF(OR($W226="",$W226=6),"",WORKDAY($X226,CHOOSE($W226,3,3,2,2,3),Holidays))</f>
        <v/>
      </c>
      <c r="Z226" s="17">
        <f>IF(OR($W226="",$W226=6),"",CHOOSE($W226,"1st Email Follow-up","2nd Email Follow-up","Escalate Local Office","Escalate to CBE","Escalate to Roxanne"))</f>
        <v/>
      </c>
    </row>
    <row r="227" spans="18:26">
      <c r="R227" s="15"/>
      <c r="S227" s="16"/>
      <c r="T227" s="17">
        <f>IF(AND(COUNTA($A227:$K227)=0,$L227=""),"",IF($S227="Paid","PAID",IF($S227="Closed","CLOSED",IF($W227="","",IF($W227=6,"ESCALATED TO ROXANNE",IF(TODAY()&gt;$Y227,"OVERDUE",IF($Y227&lt;=WORKDAY(TODAY(),1,Holidays),"DUE TOMORROW",IF($W227=4,"ESCALATED TO LOCAL OFFICE",IF($W227=5,"ESCALATED TO CBE",IF($X227=TODAY(),"EMAIL SENT","MONITORING"))))))))))</f>
        <v/>
      </c>
      <c r="U227" s="17">
        <f>IF($T227="",IF(AND(COUNTA($A227:$K227)&gt;0,$L227=""),"Awaiting Collection Email time stamp.",""),IF(OR($T227="PAID",$T227="CLOSED"),IF($T227="PAID","Account paid. Action completed.","Account closed. No further action required."),CHOOSE($W227,"Collection Email","1st Email Follow-up","2nd Email Follow-up","Escalation to Local Office","Escalation to CBE","Escalation to Roxanne")&amp;" sent "&amp;TEXT($X227,"dd-mmm")&amp;". "&amp;IF($W227=6,"Final escalation completed.",IF($T227="OVERDUE","Next: "&amp;$Z227&amp;" was due "&amp;TEXT($Y227,"dd-mmm")&amp;" - "&amp;(NETWORKDAYS($Y227,TODAY(),Holidays)-1)&amp;" business day(s) late. Send now.",IF($T227="DUE TOMORROW","Next: "&amp;$Z227&amp;IF($Y227&lt;=TODAY()," is due TODAY ("," is due next business day (")&amp;TEXT($Y227,"dd-mmm")&amp;").","Next: "&amp;$Z227&amp;" due "&amp;TEXT($Y227,"dd-mmm")&amp;" ("&amp;(NETWORKDAYS(TODAY(),$Y227,Holidays)-1)&amp;" business day(s) left).")))))</f>
        <v/>
      </c>
      <c r="V227" s="17">
        <f>IF($W227="","",CHOOSE($W227,"Collection Email","1st Follow-up","2nd Follow-up","Local Office","CBE","Roxanne")&amp;IF($W227=6," - Final"," - Day "&amp;MAX(0,NETWORKDAYS($X227,TODAY(),Holidays)-1)&amp;" of "&amp;CHOOSE($W227,3,3,2,2,3))&amp;" | Total Day "&amp;MAX(0,NETWORKDAYS($L227,TODAY(),Holidays)-1))</f>
        <v/>
      </c>
      <c r="W227" s="17">
        <f>IF($L227="","",COUNT($L227:$Q227))</f>
        <v/>
      </c>
      <c r="X227" s="18">
        <f>IF($W227="","",INT(INDEX($L227:$Q227,$W227)))</f>
        <v/>
      </c>
      <c r="Y227" s="18">
        <f>IF(OR($W227="",$W227=6),"",WORKDAY($X227,CHOOSE($W227,3,3,2,2,3),Holidays))</f>
        <v/>
      </c>
      <c r="Z227" s="17">
        <f>IF(OR($W227="",$W227=6),"",CHOOSE($W227,"1st Email Follow-up","2nd Email Follow-up","Escalate Local Office","Escalate to CBE","Escalate to Roxanne"))</f>
        <v/>
      </c>
    </row>
    <row r="228" spans="18:26">
      <c r="R228" s="15"/>
      <c r="S228" s="16"/>
      <c r="T228" s="17">
        <f>IF(AND(COUNTA($A228:$K228)=0,$L228=""),"",IF($S228="Paid","PAID",IF($S228="Closed","CLOSED",IF($W228="","",IF($W228=6,"ESCALATED TO ROXANNE",IF(TODAY()&gt;$Y228,"OVERDUE",IF($Y228&lt;=WORKDAY(TODAY(),1,Holidays),"DUE TOMORROW",IF($W228=4,"ESCALATED TO LOCAL OFFICE",IF($W228=5,"ESCALATED TO CBE",IF($X228=TODAY(),"EMAIL SENT","MONITORING"))))))))))</f>
        <v/>
      </c>
      <c r="U228" s="17">
        <f>IF($T228="",IF(AND(COUNTA($A228:$K228)&gt;0,$L228=""),"Awaiting Collection Email time stamp.",""),IF(OR($T228="PAID",$T228="CLOSED"),IF($T228="PAID","Account paid. Action completed.","Account closed. No further action required."),CHOOSE($W228,"Collection Email","1st Email Follow-up","2nd Email Follow-up","Escalation to Local Office","Escalation to CBE","Escalation to Roxanne")&amp;" sent "&amp;TEXT($X228,"dd-mmm")&amp;". "&amp;IF($W228=6,"Final escalation completed.",IF($T228="OVERDUE","Next: "&amp;$Z228&amp;" was due "&amp;TEXT($Y228,"dd-mmm")&amp;" - "&amp;(NETWORKDAYS($Y228,TODAY(),Holidays)-1)&amp;" business day(s) late. Send now.",IF($T228="DUE TOMORROW","Next: "&amp;$Z228&amp;IF($Y228&lt;=TODAY()," is due TODAY ("," is due next business day (")&amp;TEXT($Y228,"dd-mmm")&amp;").","Next: "&amp;$Z228&amp;" due "&amp;TEXT($Y228,"dd-mmm")&amp;" ("&amp;(NETWORKDAYS(TODAY(),$Y228,Holidays)-1)&amp;" business day(s) left).")))))</f>
        <v/>
      </c>
      <c r="V228" s="17">
        <f>IF($W228="","",CHOOSE($W228,"Collection Email","1st Follow-up","2nd Follow-up","Local Office","CBE","Roxanne")&amp;IF($W228=6," - Final"," - Day "&amp;MAX(0,NETWORKDAYS($X228,TODAY(),Holidays)-1)&amp;" of "&amp;CHOOSE($W228,3,3,2,2,3))&amp;" | Total Day "&amp;MAX(0,NETWORKDAYS($L228,TODAY(),Holidays)-1))</f>
        <v/>
      </c>
      <c r="W228" s="17">
        <f>IF($L228="","",COUNT($L228:$Q228))</f>
        <v/>
      </c>
      <c r="X228" s="18">
        <f>IF($W228="","",INT(INDEX($L228:$Q228,$W228)))</f>
        <v/>
      </c>
      <c r="Y228" s="18">
        <f>IF(OR($W228="",$W228=6),"",WORKDAY($X228,CHOOSE($W228,3,3,2,2,3),Holidays))</f>
        <v/>
      </c>
      <c r="Z228" s="17">
        <f>IF(OR($W228="",$W228=6),"",CHOOSE($W228,"1st Email Follow-up","2nd Email Follow-up","Escalate Local Office","Escalate to CBE","Escalate to Roxanne"))</f>
        <v/>
      </c>
    </row>
    <row r="229" spans="18:26">
      <c r="R229" s="15"/>
      <c r="S229" s="16"/>
      <c r="T229" s="17">
        <f>IF(AND(COUNTA($A229:$K229)=0,$L229=""),"",IF($S229="Paid","PAID",IF($S229="Closed","CLOSED",IF($W229="","",IF($W229=6,"ESCALATED TO ROXANNE",IF(TODAY()&gt;$Y229,"OVERDUE",IF($Y229&lt;=WORKDAY(TODAY(),1,Holidays),"DUE TOMORROW",IF($W229=4,"ESCALATED TO LOCAL OFFICE",IF($W229=5,"ESCALATED TO CBE",IF($X229=TODAY(),"EMAIL SENT","MONITORING"))))))))))</f>
        <v/>
      </c>
      <c r="U229" s="17">
        <f>IF($T229="",IF(AND(COUNTA($A229:$K229)&gt;0,$L229=""),"Awaiting Collection Email time stamp.",""),IF(OR($T229="PAID",$T229="CLOSED"),IF($T229="PAID","Account paid. Action completed.","Account closed. No further action required."),CHOOSE($W229,"Collection Email","1st Email Follow-up","2nd Email Follow-up","Escalation to Local Office","Escalation to CBE","Escalation to Roxanne")&amp;" sent "&amp;TEXT($X229,"dd-mmm")&amp;". "&amp;IF($W229=6,"Final escalation completed.",IF($T229="OVERDUE","Next: "&amp;$Z229&amp;" was due "&amp;TEXT($Y229,"dd-mmm")&amp;" - "&amp;(NETWORKDAYS($Y229,TODAY(),Holidays)-1)&amp;" business day(s) late. Send now.",IF($T229="DUE TOMORROW","Next: "&amp;$Z229&amp;IF($Y229&lt;=TODAY()," is due TODAY ("," is due next business day (")&amp;TEXT($Y229,"dd-mmm")&amp;").","Next: "&amp;$Z229&amp;" due "&amp;TEXT($Y229,"dd-mmm")&amp;" ("&amp;(NETWORKDAYS(TODAY(),$Y229,Holidays)-1)&amp;" business day(s) left).")))))</f>
        <v/>
      </c>
      <c r="V229" s="17">
        <f>IF($W229="","",CHOOSE($W229,"Collection Email","1st Follow-up","2nd Follow-up","Local Office","CBE","Roxanne")&amp;IF($W229=6," - Final"," - Day "&amp;MAX(0,NETWORKDAYS($X229,TODAY(),Holidays)-1)&amp;" of "&amp;CHOOSE($W229,3,3,2,2,3))&amp;" | Total Day "&amp;MAX(0,NETWORKDAYS($L229,TODAY(),Holidays)-1))</f>
        <v/>
      </c>
      <c r="W229" s="17">
        <f>IF($L229="","",COUNT($L229:$Q229))</f>
        <v/>
      </c>
      <c r="X229" s="18">
        <f>IF($W229="","",INT(INDEX($L229:$Q229,$W229)))</f>
        <v/>
      </c>
      <c r="Y229" s="18">
        <f>IF(OR($W229="",$W229=6),"",WORKDAY($X229,CHOOSE($W229,3,3,2,2,3),Holidays))</f>
        <v/>
      </c>
      <c r="Z229" s="17">
        <f>IF(OR($W229="",$W229=6),"",CHOOSE($W229,"1st Email Follow-up","2nd Email Follow-up","Escalate Local Office","Escalate to CBE","Escalate to Roxanne"))</f>
        <v/>
      </c>
    </row>
    <row r="230" spans="18:26">
      <c r="R230" s="15"/>
      <c r="S230" s="16"/>
      <c r="T230" s="17">
        <f>IF(AND(COUNTA($A230:$K230)=0,$L230=""),"",IF($S230="Paid","PAID",IF($S230="Closed","CLOSED",IF($W230="","",IF($W230=6,"ESCALATED TO ROXANNE",IF(TODAY()&gt;$Y230,"OVERDUE",IF($Y230&lt;=WORKDAY(TODAY(),1,Holidays),"DUE TOMORROW",IF($W230=4,"ESCALATED TO LOCAL OFFICE",IF($W230=5,"ESCALATED TO CBE",IF($X230=TODAY(),"EMAIL SENT","MONITORING"))))))))))</f>
        <v/>
      </c>
      <c r="U230" s="17">
        <f>IF($T230="",IF(AND(COUNTA($A230:$K230)&gt;0,$L230=""),"Awaiting Collection Email time stamp.",""),IF(OR($T230="PAID",$T230="CLOSED"),IF($T230="PAID","Account paid. Action completed.","Account closed. No further action required."),CHOOSE($W230,"Collection Email","1st Email Follow-up","2nd Email Follow-up","Escalation to Local Office","Escalation to CBE","Escalation to Roxanne")&amp;" sent "&amp;TEXT($X230,"dd-mmm")&amp;". "&amp;IF($W230=6,"Final escalation completed.",IF($T230="OVERDUE","Next: "&amp;$Z230&amp;" was due "&amp;TEXT($Y230,"dd-mmm")&amp;" - "&amp;(NETWORKDAYS($Y230,TODAY(),Holidays)-1)&amp;" business day(s) late. Send now.",IF($T230="DUE TOMORROW","Next: "&amp;$Z230&amp;IF($Y230&lt;=TODAY()," is due TODAY ("," is due next business day (")&amp;TEXT($Y230,"dd-mmm")&amp;").","Next: "&amp;$Z230&amp;" due "&amp;TEXT($Y230,"dd-mmm")&amp;" ("&amp;(NETWORKDAYS(TODAY(),$Y230,Holidays)-1)&amp;" business day(s) left).")))))</f>
        <v/>
      </c>
      <c r="V230" s="17">
        <f>IF($W230="","",CHOOSE($W230,"Collection Email","1st Follow-up","2nd Follow-up","Local Office","CBE","Roxanne")&amp;IF($W230=6," - Final"," - Day "&amp;MAX(0,NETWORKDAYS($X230,TODAY(),Holidays)-1)&amp;" of "&amp;CHOOSE($W230,3,3,2,2,3))&amp;" | Total Day "&amp;MAX(0,NETWORKDAYS($L230,TODAY(),Holidays)-1))</f>
        <v/>
      </c>
      <c r="W230" s="17">
        <f>IF($L230="","",COUNT($L230:$Q230))</f>
        <v/>
      </c>
      <c r="X230" s="18">
        <f>IF($W230="","",INT(INDEX($L230:$Q230,$W230)))</f>
        <v/>
      </c>
      <c r="Y230" s="18">
        <f>IF(OR($W230="",$W230=6),"",WORKDAY($X230,CHOOSE($W230,3,3,2,2,3),Holidays))</f>
        <v/>
      </c>
      <c r="Z230" s="17">
        <f>IF(OR($W230="",$W230=6),"",CHOOSE($W230,"1st Email Follow-up","2nd Email Follow-up","Escalate Local Office","Escalate to CBE","Escalate to Roxanne"))</f>
        <v/>
      </c>
    </row>
    <row r="231" spans="18:26">
      <c r="R231" s="15"/>
      <c r="S231" s="16"/>
      <c r="T231" s="17">
        <f>IF(AND(COUNTA($A231:$K231)=0,$L231=""),"",IF($S231="Paid","PAID",IF($S231="Closed","CLOSED",IF($W231="","",IF($W231=6,"ESCALATED TO ROXANNE",IF(TODAY()&gt;$Y231,"OVERDUE",IF($Y231&lt;=WORKDAY(TODAY(),1,Holidays),"DUE TOMORROW",IF($W231=4,"ESCALATED TO LOCAL OFFICE",IF($W231=5,"ESCALATED TO CBE",IF($X231=TODAY(),"EMAIL SENT","MONITORING"))))))))))</f>
        <v/>
      </c>
      <c r="U231" s="17">
        <f>IF($T231="",IF(AND(COUNTA($A231:$K231)&gt;0,$L231=""),"Awaiting Collection Email time stamp.",""),IF(OR($T231="PAID",$T231="CLOSED"),IF($T231="PAID","Account paid. Action completed.","Account closed. No further action required."),CHOOSE($W231,"Collection Email","1st Email Follow-up","2nd Email Follow-up","Escalation to Local Office","Escalation to CBE","Escalation to Roxanne")&amp;" sent "&amp;TEXT($X231,"dd-mmm")&amp;". "&amp;IF($W231=6,"Final escalation completed.",IF($T231="OVERDUE","Next: "&amp;$Z231&amp;" was due "&amp;TEXT($Y231,"dd-mmm")&amp;" - "&amp;(NETWORKDAYS($Y231,TODAY(),Holidays)-1)&amp;" business day(s) late. Send now.",IF($T231="DUE TOMORROW","Next: "&amp;$Z231&amp;IF($Y231&lt;=TODAY()," is due TODAY ("," is due next business day (")&amp;TEXT($Y231,"dd-mmm")&amp;").","Next: "&amp;$Z231&amp;" due "&amp;TEXT($Y231,"dd-mmm")&amp;" ("&amp;(NETWORKDAYS(TODAY(),$Y231,Holidays)-1)&amp;" business day(s) left).")))))</f>
        <v/>
      </c>
      <c r="V231" s="17">
        <f>IF($W231="","",CHOOSE($W231,"Collection Email","1st Follow-up","2nd Follow-up","Local Office","CBE","Roxanne")&amp;IF($W231=6," - Final"," - Day "&amp;MAX(0,NETWORKDAYS($X231,TODAY(),Holidays)-1)&amp;" of "&amp;CHOOSE($W231,3,3,2,2,3))&amp;" | Total Day "&amp;MAX(0,NETWORKDAYS($L231,TODAY(),Holidays)-1))</f>
        <v/>
      </c>
      <c r="W231" s="17">
        <f>IF($L231="","",COUNT($L231:$Q231))</f>
        <v/>
      </c>
      <c r="X231" s="18">
        <f>IF($W231="","",INT(INDEX($L231:$Q231,$W231)))</f>
        <v/>
      </c>
      <c r="Y231" s="18">
        <f>IF(OR($W231="",$W231=6),"",WORKDAY($X231,CHOOSE($W231,3,3,2,2,3),Holidays))</f>
        <v/>
      </c>
      <c r="Z231" s="17">
        <f>IF(OR($W231="",$W231=6),"",CHOOSE($W231,"1st Email Follow-up","2nd Email Follow-up","Escalate Local Office","Escalate to CBE","Escalate to Roxanne"))</f>
        <v/>
      </c>
    </row>
    <row r="232" spans="18:26">
      <c r="R232" s="15"/>
      <c r="S232" s="16"/>
      <c r="T232" s="17">
        <f>IF(AND(COUNTA($A232:$K232)=0,$L232=""),"",IF($S232="Paid","PAID",IF($S232="Closed","CLOSED",IF($W232="","",IF($W232=6,"ESCALATED TO ROXANNE",IF(TODAY()&gt;$Y232,"OVERDUE",IF($Y232&lt;=WORKDAY(TODAY(),1,Holidays),"DUE TOMORROW",IF($W232=4,"ESCALATED TO LOCAL OFFICE",IF($W232=5,"ESCALATED TO CBE",IF($X232=TODAY(),"EMAIL SENT","MONITORING"))))))))))</f>
        <v/>
      </c>
      <c r="U232" s="17">
        <f>IF($T232="",IF(AND(COUNTA($A232:$K232)&gt;0,$L232=""),"Awaiting Collection Email time stamp.",""),IF(OR($T232="PAID",$T232="CLOSED"),IF($T232="PAID","Account paid. Action completed.","Account closed. No further action required."),CHOOSE($W232,"Collection Email","1st Email Follow-up","2nd Email Follow-up","Escalation to Local Office","Escalation to CBE","Escalation to Roxanne")&amp;" sent "&amp;TEXT($X232,"dd-mmm")&amp;". "&amp;IF($W232=6,"Final escalation completed.",IF($T232="OVERDUE","Next: "&amp;$Z232&amp;" was due "&amp;TEXT($Y232,"dd-mmm")&amp;" - "&amp;(NETWORKDAYS($Y232,TODAY(),Holidays)-1)&amp;" business day(s) late. Send now.",IF($T232="DUE TOMORROW","Next: "&amp;$Z232&amp;IF($Y232&lt;=TODAY()," is due TODAY ("," is due next business day (")&amp;TEXT($Y232,"dd-mmm")&amp;").","Next: "&amp;$Z232&amp;" due "&amp;TEXT($Y232,"dd-mmm")&amp;" ("&amp;(NETWORKDAYS(TODAY(),$Y232,Holidays)-1)&amp;" business day(s) left).")))))</f>
        <v/>
      </c>
      <c r="V232" s="17">
        <f>IF($W232="","",CHOOSE($W232,"Collection Email","1st Follow-up","2nd Follow-up","Local Office","CBE","Roxanne")&amp;IF($W232=6," - Final"," - Day "&amp;MAX(0,NETWORKDAYS($X232,TODAY(),Holidays)-1)&amp;" of "&amp;CHOOSE($W232,3,3,2,2,3))&amp;" | Total Day "&amp;MAX(0,NETWORKDAYS($L232,TODAY(),Holidays)-1))</f>
        <v/>
      </c>
      <c r="W232" s="17">
        <f>IF($L232="","",COUNT($L232:$Q232))</f>
        <v/>
      </c>
      <c r="X232" s="18">
        <f>IF($W232="","",INT(INDEX($L232:$Q232,$W232)))</f>
        <v/>
      </c>
      <c r="Y232" s="18">
        <f>IF(OR($W232="",$W232=6),"",WORKDAY($X232,CHOOSE($W232,3,3,2,2,3),Holidays))</f>
        <v/>
      </c>
      <c r="Z232" s="17">
        <f>IF(OR($W232="",$W232=6),"",CHOOSE($W232,"1st Email Follow-up","2nd Email Follow-up","Escalate Local Office","Escalate to CBE","Escalate to Roxanne"))</f>
        <v/>
      </c>
    </row>
    <row r="233" spans="18:26">
      <c r="R233" s="15"/>
      <c r="S233" s="16"/>
      <c r="T233" s="17">
        <f>IF(AND(COUNTA($A233:$K233)=0,$L233=""),"",IF($S233="Paid","PAID",IF($S233="Closed","CLOSED",IF($W233="","",IF($W233=6,"ESCALATED TO ROXANNE",IF(TODAY()&gt;$Y233,"OVERDUE",IF($Y233&lt;=WORKDAY(TODAY(),1,Holidays),"DUE TOMORROW",IF($W233=4,"ESCALATED TO LOCAL OFFICE",IF($W233=5,"ESCALATED TO CBE",IF($X233=TODAY(),"EMAIL SENT","MONITORING"))))))))))</f>
        <v/>
      </c>
      <c r="U233" s="17">
        <f>IF($T233="",IF(AND(COUNTA($A233:$K233)&gt;0,$L233=""),"Awaiting Collection Email time stamp.",""),IF(OR($T233="PAID",$T233="CLOSED"),IF($T233="PAID","Account paid. Action completed.","Account closed. No further action required."),CHOOSE($W233,"Collection Email","1st Email Follow-up","2nd Email Follow-up","Escalation to Local Office","Escalation to CBE","Escalation to Roxanne")&amp;" sent "&amp;TEXT($X233,"dd-mmm")&amp;". "&amp;IF($W233=6,"Final escalation completed.",IF($T233="OVERDUE","Next: "&amp;$Z233&amp;" was due "&amp;TEXT($Y233,"dd-mmm")&amp;" - "&amp;(NETWORKDAYS($Y233,TODAY(),Holidays)-1)&amp;" business day(s) late. Send now.",IF($T233="DUE TOMORROW","Next: "&amp;$Z233&amp;IF($Y233&lt;=TODAY()," is due TODAY ("," is due next business day (")&amp;TEXT($Y233,"dd-mmm")&amp;").","Next: "&amp;$Z233&amp;" due "&amp;TEXT($Y233,"dd-mmm")&amp;" ("&amp;(NETWORKDAYS(TODAY(),$Y233,Holidays)-1)&amp;" business day(s) left).")))))</f>
        <v/>
      </c>
      <c r="V233" s="17">
        <f>IF($W233="","",CHOOSE($W233,"Collection Email","1st Follow-up","2nd Follow-up","Local Office","CBE","Roxanne")&amp;IF($W233=6," - Final"," - Day "&amp;MAX(0,NETWORKDAYS($X233,TODAY(),Holidays)-1)&amp;" of "&amp;CHOOSE($W233,3,3,2,2,3))&amp;" | Total Day "&amp;MAX(0,NETWORKDAYS($L233,TODAY(),Holidays)-1))</f>
        <v/>
      </c>
      <c r="W233" s="17">
        <f>IF($L233="","",COUNT($L233:$Q233))</f>
        <v/>
      </c>
      <c r="X233" s="18">
        <f>IF($W233="","",INT(INDEX($L233:$Q233,$W233)))</f>
        <v/>
      </c>
      <c r="Y233" s="18">
        <f>IF(OR($W233="",$W233=6),"",WORKDAY($X233,CHOOSE($W233,3,3,2,2,3),Holidays))</f>
        <v/>
      </c>
      <c r="Z233" s="17">
        <f>IF(OR($W233="",$W233=6),"",CHOOSE($W233,"1st Email Follow-up","2nd Email Follow-up","Escalate Local Office","Escalate to CBE","Escalate to Roxanne"))</f>
        <v/>
      </c>
    </row>
    <row r="234" spans="18:26">
      <c r="R234" s="15"/>
      <c r="S234" s="16"/>
      <c r="T234" s="17">
        <f>IF(AND(COUNTA($A234:$K234)=0,$L234=""),"",IF($S234="Paid","PAID",IF($S234="Closed","CLOSED",IF($W234="","",IF($W234=6,"ESCALATED TO ROXANNE",IF(TODAY()&gt;$Y234,"OVERDUE",IF($Y234&lt;=WORKDAY(TODAY(),1,Holidays),"DUE TOMORROW",IF($W234=4,"ESCALATED TO LOCAL OFFICE",IF($W234=5,"ESCALATED TO CBE",IF($X234=TODAY(),"EMAIL SENT","MONITORING"))))))))))</f>
        <v/>
      </c>
      <c r="U234" s="17">
        <f>IF($T234="",IF(AND(COUNTA($A234:$K234)&gt;0,$L234=""),"Awaiting Collection Email time stamp.",""),IF(OR($T234="PAID",$T234="CLOSED"),IF($T234="PAID","Account paid. Action completed.","Account closed. No further action required."),CHOOSE($W234,"Collection Email","1st Email Follow-up","2nd Email Follow-up","Escalation to Local Office","Escalation to CBE","Escalation to Roxanne")&amp;" sent "&amp;TEXT($X234,"dd-mmm")&amp;". "&amp;IF($W234=6,"Final escalation completed.",IF($T234="OVERDUE","Next: "&amp;$Z234&amp;" was due "&amp;TEXT($Y234,"dd-mmm")&amp;" - "&amp;(NETWORKDAYS($Y234,TODAY(),Holidays)-1)&amp;" business day(s) late. Send now.",IF($T234="DUE TOMORROW","Next: "&amp;$Z234&amp;IF($Y234&lt;=TODAY()," is due TODAY ("," is due next business day (")&amp;TEXT($Y234,"dd-mmm")&amp;").","Next: "&amp;$Z234&amp;" due "&amp;TEXT($Y234,"dd-mmm")&amp;" ("&amp;(NETWORKDAYS(TODAY(),$Y234,Holidays)-1)&amp;" business day(s) left).")))))</f>
        <v/>
      </c>
      <c r="V234" s="17">
        <f>IF($W234="","",CHOOSE($W234,"Collection Email","1st Follow-up","2nd Follow-up","Local Office","CBE","Roxanne")&amp;IF($W234=6," - Final"," - Day "&amp;MAX(0,NETWORKDAYS($X234,TODAY(),Holidays)-1)&amp;" of "&amp;CHOOSE($W234,3,3,2,2,3))&amp;" | Total Day "&amp;MAX(0,NETWORKDAYS($L234,TODAY(),Holidays)-1))</f>
        <v/>
      </c>
      <c r="W234" s="17">
        <f>IF($L234="","",COUNT($L234:$Q234))</f>
        <v/>
      </c>
      <c r="X234" s="18">
        <f>IF($W234="","",INT(INDEX($L234:$Q234,$W234)))</f>
        <v/>
      </c>
      <c r="Y234" s="18">
        <f>IF(OR($W234="",$W234=6),"",WORKDAY($X234,CHOOSE($W234,3,3,2,2,3),Holidays))</f>
        <v/>
      </c>
      <c r="Z234" s="17">
        <f>IF(OR($W234="",$W234=6),"",CHOOSE($W234,"1st Email Follow-up","2nd Email Follow-up","Escalate Local Office","Escalate to CBE","Escalate to Roxanne"))</f>
        <v/>
      </c>
    </row>
    <row r="235" spans="18:26">
      <c r="R235" s="15"/>
      <c r="S235" s="16"/>
      <c r="T235" s="17">
        <f>IF(AND(COUNTA($A235:$K235)=0,$L235=""),"",IF($S235="Paid","PAID",IF($S235="Closed","CLOSED",IF($W235="","",IF($W235=6,"ESCALATED TO ROXANNE",IF(TODAY()&gt;$Y235,"OVERDUE",IF($Y235&lt;=WORKDAY(TODAY(),1,Holidays),"DUE TOMORROW",IF($W235=4,"ESCALATED TO LOCAL OFFICE",IF($W235=5,"ESCALATED TO CBE",IF($X235=TODAY(),"EMAIL SENT","MONITORING"))))))))))</f>
        <v/>
      </c>
      <c r="U235" s="17">
        <f>IF($T235="",IF(AND(COUNTA($A235:$K235)&gt;0,$L235=""),"Awaiting Collection Email time stamp.",""),IF(OR($T235="PAID",$T235="CLOSED"),IF($T235="PAID","Account paid. Action completed.","Account closed. No further action required."),CHOOSE($W235,"Collection Email","1st Email Follow-up","2nd Email Follow-up","Escalation to Local Office","Escalation to CBE","Escalation to Roxanne")&amp;" sent "&amp;TEXT($X235,"dd-mmm")&amp;". "&amp;IF($W235=6,"Final escalation completed.",IF($T235="OVERDUE","Next: "&amp;$Z235&amp;" was due "&amp;TEXT($Y235,"dd-mmm")&amp;" - "&amp;(NETWORKDAYS($Y235,TODAY(),Holidays)-1)&amp;" business day(s) late. Send now.",IF($T235="DUE TOMORROW","Next: "&amp;$Z235&amp;IF($Y235&lt;=TODAY()," is due TODAY ("," is due next business day (")&amp;TEXT($Y235,"dd-mmm")&amp;").","Next: "&amp;$Z235&amp;" due "&amp;TEXT($Y235,"dd-mmm")&amp;" ("&amp;(NETWORKDAYS(TODAY(),$Y235,Holidays)-1)&amp;" business day(s) left).")))))</f>
        <v/>
      </c>
      <c r="V235" s="17">
        <f>IF($W235="","",CHOOSE($W235,"Collection Email","1st Follow-up","2nd Follow-up","Local Office","CBE","Roxanne")&amp;IF($W235=6," - Final"," - Day "&amp;MAX(0,NETWORKDAYS($X235,TODAY(),Holidays)-1)&amp;" of "&amp;CHOOSE($W235,3,3,2,2,3))&amp;" | Total Day "&amp;MAX(0,NETWORKDAYS($L235,TODAY(),Holidays)-1))</f>
        <v/>
      </c>
      <c r="W235" s="17">
        <f>IF($L235="","",COUNT($L235:$Q235))</f>
        <v/>
      </c>
      <c r="X235" s="18">
        <f>IF($W235="","",INT(INDEX($L235:$Q235,$W235)))</f>
        <v/>
      </c>
      <c r="Y235" s="18">
        <f>IF(OR($W235="",$W235=6),"",WORKDAY($X235,CHOOSE($W235,3,3,2,2,3),Holidays))</f>
        <v/>
      </c>
      <c r="Z235" s="17">
        <f>IF(OR($W235="",$W235=6),"",CHOOSE($W235,"1st Email Follow-up","2nd Email Follow-up","Escalate Local Office","Escalate to CBE","Escalate to Roxanne"))</f>
        <v/>
      </c>
    </row>
    <row r="236" spans="18:26">
      <c r="R236" s="15"/>
      <c r="S236" s="16"/>
      <c r="T236" s="17">
        <f>IF(AND(COUNTA($A236:$K236)=0,$L236=""),"",IF($S236="Paid","PAID",IF($S236="Closed","CLOSED",IF($W236="","",IF($W236=6,"ESCALATED TO ROXANNE",IF(TODAY()&gt;$Y236,"OVERDUE",IF($Y236&lt;=WORKDAY(TODAY(),1,Holidays),"DUE TOMORROW",IF($W236=4,"ESCALATED TO LOCAL OFFICE",IF($W236=5,"ESCALATED TO CBE",IF($X236=TODAY(),"EMAIL SENT","MONITORING"))))))))))</f>
        <v/>
      </c>
      <c r="U236" s="17">
        <f>IF($T236="",IF(AND(COUNTA($A236:$K236)&gt;0,$L236=""),"Awaiting Collection Email time stamp.",""),IF(OR($T236="PAID",$T236="CLOSED"),IF($T236="PAID","Account paid. Action completed.","Account closed. No further action required."),CHOOSE($W236,"Collection Email","1st Email Follow-up","2nd Email Follow-up","Escalation to Local Office","Escalation to CBE","Escalation to Roxanne")&amp;" sent "&amp;TEXT($X236,"dd-mmm")&amp;". "&amp;IF($W236=6,"Final escalation completed.",IF($T236="OVERDUE","Next: "&amp;$Z236&amp;" was due "&amp;TEXT($Y236,"dd-mmm")&amp;" - "&amp;(NETWORKDAYS($Y236,TODAY(),Holidays)-1)&amp;" business day(s) late. Send now.",IF($T236="DUE TOMORROW","Next: "&amp;$Z236&amp;IF($Y236&lt;=TODAY()," is due TODAY ("," is due next business day (")&amp;TEXT($Y236,"dd-mmm")&amp;").","Next: "&amp;$Z236&amp;" due "&amp;TEXT($Y236,"dd-mmm")&amp;" ("&amp;(NETWORKDAYS(TODAY(),$Y236,Holidays)-1)&amp;" business day(s) left).")))))</f>
        <v/>
      </c>
      <c r="V236" s="17">
        <f>IF($W236="","",CHOOSE($W236,"Collection Email","1st Follow-up","2nd Follow-up","Local Office","CBE","Roxanne")&amp;IF($W236=6," - Final"," - Day "&amp;MAX(0,NETWORKDAYS($X236,TODAY(),Holidays)-1)&amp;" of "&amp;CHOOSE($W236,3,3,2,2,3))&amp;" | Total Day "&amp;MAX(0,NETWORKDAYS($L236,TODAY(),Holidays)-1))</f>
        <v/>
      </c>
      <c r="W236" s="17">
        <f>IF($L236="","",COUNT($L236:$Q236))</f>
        <v/>
      </c>
      <c r="X236" s="18">
        <f>IF($W236="","",INT(INDEX($L236:$Q236,$W236)))</f>
        <v/>
      </c>
      <c r="Y236" s="18">
        <f>IF(OR($W236="",$W236=6),"",WORKDAY($X236,CHOOSE($W236,3,3,2,2,3),Holidays))</f>
        <v/>
      </c>
      <c r="Z236" s="17">
        <f>IF(OR($W236="",$W236=6),"",CHOOSE($W236,"1st Email Follow-up","2nd Email Follow-up","Escalate Local Office","Escalate to CBE","Escalate to Roxanne"))</f>
        <v/>
      </c>
    </row>
    <row r="237" spans="18:26">
      <c r="R237" s="15"/>
      <c r="S237" s="16"/>
      <c r="T237" s="17">
        <f>IF(AND(COUNTA($A237:$K237)=0,$L237=""),"",IF($S237="Paid","PAID",IF($S237="Closed","CLOSED",IF($W237="","",IF($W237=6,"ESCALATED TO ROXANNE",IF(TODAY()&gt;$Y237,"OVERDUE",IF($Y237&lt;=WORKDAY(TODAY(),1,Holidays),"DUE TOMORROW",IF($W237=4,"ESCALATED TO LOCAL OFFICE",IF($W237=5,"ESCALATED TO CBE",IF($X237=TODAY(),"EMAIL SENT","MONITORING"))))))))))</f>
        <v/>
      </c>
      <c r="U237" s="17">
        <f>IF($T237="",IF(AND(COUNTA($A237:$K237)&gt;0,$L237=""),"Awaiting Collection Email time stamp.",""),IF(OR($T237="PAID",$T237="CLOSED"),IF($T237="PAID","Account paid. Action completed.","Account closed. No further action required."),CHOOSE($W237,"Collection Email","1st Email Follow-up","2nd Email Follow-up","Escalation to Local Office","Escalation to CBE","Escalation to Roxanne")&amp;" sent "&amp;TEXT($X237,"dd-mmm")&amp;". "&amp;IF($W237=6,"Final escalation completed.",IF($T237="OVERDUE","Next: "&amp;$Z237&amp;" was due "&amp;TEXT($Y237,"dd-mmm")&amp;" - "&amp;(NETWORKDAYS($Y237,TODAY(),Holidays)-1)&amp;" business day(s) late. Send now.",IF($T237="DUE TOMORROW","Next: "&amp;$Z237&amp;IF($Y237&lt;=TODAY()," is due TODAY ("," is due next business day (")&amp;TEXT($Y237,"dd-mmm")&amp;").","Next: "&amp;$Z237&amp;" due "&amp;TEXT($Y237,"dd-mmm")&amp;" ("&amp;(NETWORKDAYS(TODAY(),$Y237,Holidays)-1)&amp;" business day(s) left).")))))</f>
        <v/>
      </c>
      <c r="V237" s="17">
        <f>IF($W237="","",CHOOSE($W237,"Collection Email","1st Follow-up","2nd Follow-up","Local Office","CBE","Roxanne")&amp;IF($W237=6," - Final"," - Day "&amp;MAX(0,NETWORKDAYS($X237,TODAY(),Holidays)-1)&amp;" of "&amp;CHOOSE($W237,3,3,2,2,3))&amp;" | Total Day "&amp;MAX(0,NETWORKDAYS($L237,TODAY(),Holidays)-1))</f>
        <v/>
      </c>
      <c r="W237" s="17">
        <f>IF($L237="","",COUNT($L237:$Q237))</f>
        <v/>
      </c>
      <c r="X237" s="18">
        <f>IF($W237="","",INT(INDEX($L237:$Q237,$W237)))</f>
        <v/>
      </c>
      <c r="Y237" s="18">
        <f>IF(OR($W237="",$W237=6),"",WORKDAY($X237,CHOOSE($W237,3,3,2,2,3),Holidays))</f>
        <v/>
      </c>
      <c r="Z237" s="17">
        <f>IF(OR($W237="",$W237=6),"",CHOOSE($W237,"1st Email Follow-up","2nd Email Follow-up","Escalate Local Office","Escalate to CBE","Escalate to Roxanne"))</f>
        <v/>
      </c>
    </row>
    <row r="238" spans="18:26">
      <c r="R238" s="15"/>
      <c r="S238" s="16"/>
      <c r="T238" s="17">
        <f>IF(AND(COUNTA($A238:$K238)=0,$L238=""),"",IF($S238="Paid","PAID",IF($S238="Closed","CLOSED",IF($W238="","",IF($W238=6,"ESCALATED TO ROXANNE",IF(TODAY()&gt;$Y238,"OVERDUE",IF($Y238&lt;=WORKDAY(TODAY(),1,Holidays),"DUE TOMORROW",IF($W238=4,"ESCALATED TO LOCAL OFFICE",IF($W238=5,"ESCALATED TO CBE",IF($X238=TODAY(),"EMAIL SENT","MONITORING"))))))))))</f>
        <v/>
      </c>
      <c r="U238" s="17">
        <f>IF($T238="",IF(AND(COUNTA($A238:$K238)&gt;0,$L238=""),"Awaiting Collection Email time stamp.",""),IF(OR($T238="PAID",$T238="CLOSED"),IF($T238="PAID","Account paid. Action completed.","Account closed. No further action required."),CHOOSE($W238,"Collection Email","1st Email Follow-up","2nd Email Follow-up","Escalation to Local Office","Escalation to CBE","Escalation to Roxanne")&amp;" sent "&amp;TEXT($X238,"dd-mmm")&amp;". "&amp;IF($W238=6,"Final escalation completed.",IF($T238="OVERDUE","Next: "&amp;$Z238&amp;" was due "&amp;TEXT($Y238,"dd-mmm")&amp;" - "&amp;(NETWORKDAYS($Y238,TODAY(),Holidays)-1)&amp;" business day(s) late. Send now.",IF($T238="DUE TOMORROW","Next: "&amp;$Z238&amp;IF($Y238&lt;=TODAY()," is due TODAY ("," is due next business day (")&amp;TEXT($Y238,"dd-mmm")&amp;").","Next: "&amp;$Z238&amp;" due "&amp;TEXT($Y238,"dd-mmm")&amp;" ("&amp;(NETWORKDAYS(TODAY(),$Y238,Holidays)-1)&amp;" business day(s) left).")))))</f>
        <v/>
      </c>
      <c r="V238" s="17">
        <f>IF($W238="","",CHOOSE($W238,"Collection Email","1st Follow-up","2nd Follow-up","Local Office","CBE","Roxanne")&amp;IF($W238=6," - Final"," - Day "&amp;MAX(0,NETWORKDAYS($X238,TODAY(),Holidays)-1)&amp;" of "&amp;CHOOSE($W238,3,3,2,2,3))&amp;" | Total Day "&amp;MAX(0,NETWORKDAYS($L238,TODAY(),Holidays)-1))</f>
        <v/>
      </c>
      <c r="W238" s="17">
        <f>IF($L238="","",COUNT($L238:$Q238))</f>
        <v/>
      </c>
      <c r="X238" s="18">
        <f>IF($W238="","",INT(INDEX($L238:$Q238,$W238)))</f>
        <v/>
      </c>
      <c r="Y238" s="18">
        <f>IF(OR($W238="",$W238=6),"",WORKDAY($X238,CHOOSE($W238,3,3,2,2,3),Holidays))</f>
        <v/>
      </c>
      <c r="Z238" s="17">
        <f>IF(OR($W238="",$W238=6),"",CHOOSE($W238,"1st Email Follow-up","2nd Email Follow-up","Escalate Local Office","Escalate to CBE","Escalate to Roxanne"))</f>
        <v/>
      </c>
    </row>
    <row r="239" spans="18:26">
      <c r="R239" s="15"/>
      <c r="S239" s="16"/>
      <c r="T239" s="17">
        <f>IF(AND(COUNTA($A239:$K239)=0,$L239=""),"",IF($S239="Paid","PAID",IF($S239="Closed","CLOSED",IF($W239="","",IF($W239=6,"ESCALATED TO ROXANNE",IF(TODAY()&gt;$Y239,"OVERDUE",IF($Y239&lt;=WORKDAY(TODAY(),1,Holidays),"DUE TOMORROW",IF($W239=4,"ESCALATED TO LOCAL OFFICE",IF($W239=5,"ESCALATED TO CBE",IF($X239=TODAY(),"EMAIL SENT","MONITORING"))))))))))</f>
        <v/>
      </c>
      <c r="U239" s="17">
        <f>IF($T239="",IF(AND(COUNTA($A239:$K239)&gt;0,$L239=""),"Awaiting Collection Email time stamp.",""),IF(OR($T239="PAID",$T239="CLOSED"),IF($T239="PAID","Account paid. Action completed.","Account closed. No further action required."),CHOOSE($W239,"Collection Email","1st Email Follow-up","2nd Email Follow-up","Escalation to Local Office","Escalation to CBE","Escalation to Roxanne")&amp;" sent "&amp;TEXT($X239,"dd-mmm")&amp;". "&amp;IF($W239=6,"Final escalation completed.",IF($T239="OVERDUE","Next: "&amp;$Z239&amp;" was due "&amp;TEXT($Y239,"dd-mmm")&amp;" - "&amp;(NETWORKDAYS($Y239,TODAY(),Holidays)-1)&amp;" business day(s) late. Send now.",IF($T239="DUE TOMORROW","Next: "&amp;$Z239&amp;IF($Y239&lt;=TODAY()," is due TODAY ("," is due next business day (")&amp;TEXT($Y239,"dd-mmm")&amp;").","Next: "&amp;$Z239&amp;" due "&amp;TEXT($Y239,"dd-mmm")&amp;" ("&amp;(NETWORKDAYS(TODAY(),$Y239,Holidays)-1)&amp;" business day(s) left).")))))</f>
        <v/>
      </c>
      <c r="V239" s="17">
        <f>IF($W239="","",CHOOSE($W239,"Collection Email","1st Follow-up","2nd Follow-up","Local Office","CBE","Roxanne")&amp;IF($W239=6," - Final"," - Day "&amp;MAX(0,NETWORKDAYS($X239,TODAY(),Holidays)-1)&amp;" of "&amp;CHOOSE($W239,3,3,2,2,3))&amp;" | Total Day "&amp;MAX(0,NETWORKDAYS($L239,TODAY(),Holidays)-1))</f>
        <v/>
      </c>
      <c r="W239" s="17">
        <f>IF($L239="","",COUNT($L239:$Q239))</f>
        <v/>
      </c>
      <c r="X239" s="18">
        <f>IF($W239="","",INT(INDEX($L239:$Q239,$W239)))</f>
        <v/>
      </c>
      <c r="Y239" s="18">
        <f>IF(OR($W239="",$W239=6),"",WORKDAY($X239,CHOOSE($W239,3,3,2,2,3),Holidays))</f>
        <v/>
      </c>
      <c r="Z239" s="17">
        <f>IF(OR($W239="",$W239=6),"",CHOOSE($W239,"1st Email Follow-up","2nd Email Follow-up","Escalate Local Office","Escalate to CBE","Escalate to Roxanne"))</f>
        <v/>
      </c>
    </row>
    <row r="240" spans="18:26">
      <c r="R240" s="15"/>
      <c r="S240" s="16"/>
      <c r="T240" s="17">
        <f>IF(AND(COUNTA($A240:$K240)=0,$L240=""),"",IF($S240="Paid","PAID",IF($S240="Closed","CLOSED",IF($W240="","",IF($W240=6,"ESCALATED TO ROXANNE",IF(TODAY()&gt;$Y240,"OVERDUE",IF($Y240&lt;=WORKDAY(TODAY(),1,Holidays),"DUE TOMORROW",IF($W240=4,"ESCALATED TO LOCAL OFFICE",IF($W240=5,"ESCALATED TO CBE",IF($X240=TODAY(),"EMAIL SENT","MONITORING"))))))))))</f>
        <v/>
      </c>
      <c r="U240" s="17">
        <f>IF($T240="",IF(AND(COUNTA($A240:$K240)&gt;0,$L240=""),"Awaiting Collection Email time stamp.",""),IF(OR($T240="PAID",$T240="CLOSED"),IF($T240="PAID","Account paid. Action completed.","Account closed. No further action required."),CHOOSE($W240,"Collection Email","1st Email Follow-up","2nd Email Follow-up","Escalation to Local Office","Escalation to CBE","Escalation to Roxanne")&amp;" sent "&amp;TEXT($X240,"dd-mmm")&amp;". "&amp;IF($W240=6,"Final escalation completed.",IF($T240="OVERDUE","Next: "&amp;$Z240&amp;" was due "&amp;TEXT($Y240,"dd-mmm")&amp;" - "&amp;(NETWORKDAYS($Y240,TODAY(),Holidays)-1)&amp;" business day(s) late. Send now.",IF($T240="DUE TOMORROW","Next: "&amp;$Z240&amp;IF($Y240&lt;=TODAY()," is due TODAY ("," is due next business day (")&amp;TEXT($Y240,"dd-mmm")&amp;").","Next: "&amp;$Z240&amp;" due "&amp;TEXT($Y240,"dd-mmm")&amp;" ("&amp;(NETWORKDAYS(TODAY(),$Y240,Holidays)-1)&amp;" business day(s) left).")))))</f>
        <v/>
      </c>
      <c r="V240" s="17">
        <f>IF($W240="","",CHOOSE($W240,"Collection Email","1st Follow-up","2nd Follow-up","Local Office","CBE","Roxanne")&amp;IF($W240=6," - Final"," - Day "&amp;MAX(0,NETWORKDAYS($X240,TODAY(),Holidays)-1)&amp;" of "&amp;CHOOSE($W240,3,3,2,2,3))&amp;" | Total Day "&amp;MAX(0,NETWORKDAYS($L240,TODAY(),Holidays)-1))</f>
        <v/>
      </c>
      <c r="W240" s="17">
        <f>IF($L240="","",COUNT($L240:$Q240))</f>
        <v/>
      </c>
      <c r="X240" s="18">
        <f>IF($W240="","",INT(INDEX($L240:$Q240,$W240)))</f>
        <v/>
      </c>
      <c r="Y240" s="18">
        <f>IF(OR($W240="",$W240=6),"",WORKDAY($X240,CHOOSE($W240,3,3,2,2,3),Holidays))</f>
        <v/>
      </c>
      <c r="Z240" s="17">
        <f>IF(OR($W240="",$W240=6),"",CHOOSE($W240,"1st Email Follow-up","2nd Email Follow-up","Escalate Local Office","Escalate to CBE","Escalate to Roxanne"))</f>
        <v/>
      </c>
    </row>
    <row r="241" spans="18:26">
      <c r="R241" s="15"/>
      <c r="S241" s="16"/>
      <c r="T241" s="17">
        <f>IF(AND(COUNTA($A241:$K241)=0,$L241=""),"",IF($S241="Paid","PAID",IF($S241="Closed","CLOSED",IF($W241="","",IF($W241=6,"ESCALATED TO ROXANNE",IF(TODAY()&gt;$Y241,"OVERDUE",IF($Y241&lt;=WORKDAY(TODAY(),1,Holidays),"DUE TOMORROW",IF($W241=4,"ESCALATED TO LOCAL OFFICE",IF($W241=5,"ESCALATED TO CBE",IF($X241=TODAY(),"EMAIL SENT","MONITORING"))))))))))</f>
        <v/>
      </c>
      <c r="U241" s="17">
        <f>IF($T241="",IF(AND(COUNTA($A241:$K241)&gt;0,$L241=""),"Awaiting Collection Email time stamp.",""),IF(OR($T241="PAID",$T241="CLOSED"),IF($T241="PAID","Account paid. Action completed.","Account closed. No further action required."),CHOOSE($W241,"Collection Email","1st Email Follow-up","2nd Email Follow-up","Escalation to Local Office","Escalation to CBE","Escalation to Roxanne")&amp;" sent "&amp;TEXT($X241,"dd-mmm")&amp;". "&amp;IF($W241=6,"Final escalation completed.",IF($T241="OVERDUE","Next: "&amp;$Z241&amp;" was due "&amp;TEXT($Y241,"dd-mmm")&amp;" - "&amp;(NETWORKDAYS($Y241,TODAY(),Holidays)-1)&amp;" business day(s) late. Send now.",IF($T241="DUE TOMORROW","Next: "&amp;$Z241&amp;IF($Y241&lt;=TODAY()," is due TODAY ("," is due next business day (")&amp;TEXT($Y241,"dd-mmm")&amp;").","Next: "&amp;$Z241&amp;" due "&amp;TEXT($Y241,"dd-mmm")&amp;" ("&amp;(NETWORKDAYS(TODAY(),$Y241,Holidays)-1)&amp;" business day(s) left).")))))</f>
        <v/>
      </c>
      <c r="V241" s="17">
        <f>IF($W241="","",CHOOSE($W241,"Collection Email","1st Follow-up","2nd Follow-up","Local Office","CBE","Roxanne")&amp;IF($W241=6," - Final"," - Day "&amp;MAX(0,NETWORKDAYS($X241,TODAY(),Holidays)-1)&amp;" of "&amp;CHOOSE($W241,3,3,2,2,3))&amp;" | Total Day "&amp;MAX(0,NETWORKDAYS($L241,TODAY(),Holidays)-1))</f>
        <v/>
      </c>
      <c r="W241" s="17">
        <f>IF($L241="","",COUNT($L241:$Q241))</f>
        <v/>
      </c>
      <c r="X241" s="18">
        <f>IF($W241="","",INT(INDEX($L241:$Q241,$W241)))</f>
        <v/>
      </c>
      <c r="Y241" s="18">
        <f>IF(OR($W241="",$W241=6),"",WORKDAY($X241,CHOOSE($W241,3,3,2,2,3),Holidays))</f>
        <v/>
      </c>
      <c r="Z241" s="17">
        <f>IF(OR($W241="",$W241=6),"",CHOOSE($W241,"1st Email Follow-up","2nd Email Follow-up","Escalate Local Office","Escalate to CBE","Escalate to Roxanne"))</f>
        <v/>
      </c>
    </row>
    <row r="242" spans="18:26">
      <c r="R242" s="15"/>
      <c r="S242" s="16"/>
      <c r="T242" s="17">
        <f>IF(AND(COUNTA($A242:$K242)=0,$L242=""),"",IF($S242="Paid","PAID",IF($S242="Closed","CLOSED",IF($W242="","",IF($W242=6,"ESCALATED TO ROXANNE",IF(TODAY()&gt;$Y242,"OVERDUE",IF($Y242&lt;=WORKDAY(TODAY(),1,Holidays),"DUE TOMORROW",IF($W242=4,"ESCALATED TO LOCAL OFFICE",IF($W242=5,"ESCALATED TO CBE",IF($X242=TODAY(),"EMAIL SENT","MONITORING"))))))))))</f>
        <v/>
      </c>
      <c r="U242" s="17">
        <f>IF($T242="",IF(AND(COUNTA($A242:$K242)&gt;0,$L242=""),"Awaiting Collection Email time stamp.",""),IF(OR($T242="PAID",$T242="CLOSED"),IF($T242="PAID","Account paid. Action completed.","Account closed. No further action required."),CHOOSE($W242,"Collection Email","1st Email Follow-up","2nd Email Follow-up","Escalation to Local Office","Escalation to CBE","Escalation to Roxanne")&amp;" sent "&amp;TEXT($X242,"dd-mmm")&amp;". "&amp;IF($W242=6,"Final escalation completed.",IF($T242="OVERDUE","Next: "&amp;$Z242&amp;" was due "&amp;TEXT($Y242,"dd-mmm")&amp;" - "&amp;(NETWORKDAYS($Y242,TODAY(),Holidays)-1)&amp;" business day(s) late. Send now.",IF($T242="DUE TOMORROW","Next: "&amp;$Z242&amp;IF($Y242&lt;=TODAY()," is due TODAY ("," is due next business day (")&amp;TEXT($Y242,"dd-mmm")&amp;").","Next: "&amp;$Z242&amp;" due "&amp;TEXT($Y242,"dd-mmm")&amp;" ("&amp;(NETWORKDAYS(TODAY(),$Y242,Holidays)-1)&amp;" business day(s) left).")))))</f>
        <v/>
      </c>
      <c r="V242" s="17">
        <f>IF($W242="","",CHOOSE($W242,"Collection Email","1st Follow-up","2nd Follow-up","Local Office","CBE","Roxanne")&amp;IF($W242=6," - Final"," - Day "&amp;MAX(0,NETWORKDAYS($X242,TODAY(),Holidays)-1)&amp;" of "&amp;CHOOSE($W242,3,3,2,2,3))&amp;" | Total Day "&amp;MAX(0,NETWORKDAYS($L242,TODAY(),Holidays)-1))</f>
        <v/>
      </c>
      <c r="W242" s="17">
        <f>IF($L242="","",COUNT($L242:$Q242))</f>
        <v/>
      </c>
      <c r="X242" s="18">
        <f>IF($W242="","",INT(INDEX($L242:$Q242,$W242)))</f>
        <v/>
      </c>
      <c r="Y242" s="18">
        <f>IF(OR($W242="",$W242=6),"",WORKDAY($X242,CHOOSE($W242,3,3,2,2,3),Holidays))</f>
        <v/>
      </c>
      <c r="Z242" s="17">
        <f>IF(OR($W242="",$W242=6),"",CHOOSE($W242,"1st Email Follow-up","2nd Email Follow-up","Escalate Local Office","Escalate to CBE","Escalate to Roxanne"))</f>
        <v/>
      </c>
    </row>
    <row r="243" spans="18:26">
      <c r="R243" s="15"/>
      <c r="S243" s="16"/>
      <c r="T243" s="17">
        <f>IF(AND(COUNTA($A243:$K243)=0,$L243=""),"",IF($S243="Paid","PAID",IF($S243="Closed","CLOSED",IF($W243="","",IF($W243=6,"ESCALATED TO ROXANNE",IF(TODAY()&gt;$Y243,"OVERDUE",IF($Y243&lt;=WORKDAY(TODAY(),1,Holidays),"DUE TOMORROW",IF($W243=4,"ESCALATED TO LOCAL OFFICE",IF($W243=5,"ESCALATED TO CBE",IF($X243=TODAY(),"EMAIL SENT","MONITORING"))))))))))</f>
        <v/>
      </c>
      <c r="U243" s="17">
        <f>IF($T243="",IF(AND(COUNTA($A243:$K243)&gt;0,$L243=""),"Awaiting Collection Email time stamp.",""),IF(OR($T243="PAID",$T243="CLOSED"),IF($T243="PAID","Account paid. Action completed.","Account closed. No further action required."),CHOOSE($W243,"Collection Email","1st Email Follow-up","2nd Email Follow-up","Escalation to Local Office","Escalation to CBE","Escalation to Roxanne")&amp;" sent "&amp;TEXT($X243,"dd-mmm")&amp;". "&amp;IF($W243=6,"Final escalation completed.",IF($T243="OVERDUE","Next: "&amp;$Z243&amp;" was due "&amp;TEXT($Y243,"dd-mmm")&amp;" - "&amp;(NETWORKDAYS($Y243,TODAY(),Holidays)-1)&amp;" business day(s) late. Send now.",IF($T243="DUE TOMORROW","Next: "&amp;$Z243&amp;IF($Y243&lt;=TODAY()," is due TODAY ("," is due next business day (")&amp;TEXT($Y243,"dd-mmm")&amp;").","Next: "&amp;$Z243&amp;" due "&amp;TEXT($Y243,"dd-mmm")&amp;" ("&amp;(NETWORKDAYS(TODAY(),$Y243,Holidays)-1)&amp;" business day(s) left).")))))</f>
        <v/>
      </c>
      <c r="V243" s="17">
        <f>IF($W243="","",CHOOSE($W243,"Collection Email","1st Follow-up","2nd Follow-up","Local Office","CBE","Roxanne")&amp;IF($W243=6," - Final"," - Day "&amp;MAX(0,NETWORKDAYS($X243,TODAY(),Holidays)-1)&amp;" of "&amp;CHOOSE($W243,3,3,2,2,3))&amp;" | Total Day "&amp;MAX(0,NETWORKDAYS($L243,TODAY(),Holidays)-1))</f>
        <v/>
      </c>
      <c r="W243" s="17">
        <f>IF($L243="","",COUNT($L243:$Q243))</f>
        <v/>
      </c>
      <c r="X243" s="18">
        <f>IF($W243="","",INT(INDEX($L243:$Q243,$W243)))</f>
        <v/>
      </c>
      <c r="Y243" s="18">
        <f>IF(OR($W243="",$W243=6),"",WORKDAY($X243,CHOOSE($W243,3,3,2,2,3),Holidays))</f>
        <v/>
      </c>
      <c r="Z243" s="17">
        <f>IF(OR($W243="",$W243=6),"",CHOOSE($W243,"1st Email Follow-up","2nd Email Follow-up","Escalate Local Office","Escalate to CBE","Escalate to Roxanne"))</f>
        <v/>
      </c>
    </row>
    <row r="244" spans="18:26">
      <c r="R244" s="15"/>
      <c r="S244" s="16"/>
      <c r="T244" s="17">
        <f>IF(AND(COUNTA($A244:$K244)=0,$L244=""),"",IF($S244="Paid","PAID",IF($S244="Closed","CLOSED",IF($W244="","",IF($W244=6,"ESCALATED TO ROXANNE",IF(TODAY()&gt;$Y244,"OVERDUE",IF($Y244&lt;=WORKDAY(TODAY(),1,Holidays),"DUE TOMORROW",IF($W244=4,"ESCALATED TO LOCAL OFFICE",IF($W244=5,"ESCALATED TO CBE",IF($X244=TODAY(),"EMAIL SENT","MONITORING"))))))))))</f>
        <v/>
      </c>
      <c r="U244" s="17">
        <f>IF($T244="",IF(AND(COUNTA($A244:$K244)&gt;0,$L244=""),"Awaiting Collection Email time stamp.",""),IF(OR($T244="PAID",$T244="CLOSED"),IF($T244="PAID","Account paid. Action completed.","Account closed. No further action required."),CHOOSE($W244,"Collection Email","1st Email Follow-up","2nd Email Follow-up","Escalation to Local Office","Escalation to CBE","Escalation to Roxanne")&amp;" sent "&amp;TEXT($X244,"dd-mmm")&amp;". "&amp;IF($W244=6,"Final escalation completed.",IF($T244="OVERDUE","Next: "&amp;$Z244&amp;" was due "&amp;TEXT($Y244,"dd-mmm")&amp;" - "&amp;(NETWORKDAYS($Y244,TODAY(),Holidays)-1)&amp;" business day(s) late. Send now.",IF($T244="DUE TOMORROW","Next: "&amp;$Z244&amp;IF($Y244&lt;=TODAY()," is due TODAY ("," is due next business day (")&amp;TEXT($Y244,"dd-mmm")&amp;").","Next: "&amp;$Z244&amp;" due "&amp;TEXT($Y244,"dd-mmm")&amp;" ("&amp;(NETWORKDAYS(TODAY(),$Y244,Holidays)-1)&amp;" business day(s) left).")))))</f>
        <v/>
      </c>
      <c r="V244" s="17">
        <f>IF($W244="","",CHOOSE($W244,"Collection Email","1st Follow-up","2nd Follow-up","Local Office","CBE","Roxanne")&amp;IF($W244=6," - Final"," - Day "&amp;MAX(0,NETWORKDAYS($X244,TODAY(),Holidays)-1)&amp;" of "&amp;CHOOSE($W244,3,3,2,2,3))&amp;" | Total Day "&amp;MAX(0,NETWORKDAYS($L244,TODAY(),Holidays)-1))</f>
        <v/>
      </c>
      <c r="W244" s="17">
        <f>IF($L244="","",COUNT($L244:$Q244))</f>
        <v/>
      </c>
      <c r="X244" s="18">
        <f>IF($W244="","",INT(INDEX($L244:$Q244,$W244)))</f>
        <v/>
      </c>
      <c r="Y244" s="18">
        <f>IF(OR($W244="",$W244=6),"",WORKDAY($X244,CHOOSE($W244,3,3,2,2,3),Holidays))</f>
        <v/>
      </c>
      <c r="Z244" s="17">
        <f>IF(OR($W244="",$W244=6),"",CHOOSE($W244,"1st Email Follow-up","2nd Email Follow-up","Escalate Local Office","Escalate to CBE","Escalate to Roxanne"))</f>
        <v/>
      </c>
    </row>
    <row r="245" spans="18:26">
      <c r="R245" s="15"/>
      <c r="S245" s="16"/>
      <c r="T245" s="17">
        <f>IF(AND(COUNTA($A245:$K245)=0,$L245=""),"",IF($S245="Paid","PAID",IF($S245="Closed","CLOSED",IF($W245="","",IF($W245=6,"ESCALATED TO ROXANNE",IF(TODAY()&gt;$Y245,"OVERDUE",IF($Y245&lt;=WORKDAY(TODAY(),1,Holidays),"DUE TOMORROW",IF($W245=4,"ESCALATED TO LOCAL OFFICE",IF($W245=5,"ESCALATED TO CBE",IF($X245=TODAY(),"EMAIL SENT","MONITORING"))))))))))</f>
        <v/>
      </c>
      <c r="U245" s="17">
        <f>IF($T245="",IF(AND(COUNTA($A245:$K245)&gt;0,$L245=""),"Awaiting Collection Email time stamp.",""),IF(OR($T245="PAID",$T245="CLOSED"),IF($T245="PAID","Account paid. Action completed.","Account closed. No further action required."),CHOOSE($W245,"Collection Email","1st Email Follow-up","2nd Email Follow-up","Escalation to Local Office","Escalation to CBE","Escalation to Roxanne")&amp;" sent "&amp;TEXT($X245,"dd-mmm")&amp;". "&amp;IF($W245=6,"Final escalation completed.",IF($T245="OVERDUE","Next: "&amp;$Z245&amp;" was due "&amp;TEXT($Y245,"dd-mmm")&amp;" - "&amp;(NETWORKDAYS($Y245,TODAY(),Holidays)-1)&amp;" business day(s) late. Send now.",IF($T245="DUE TOMORROW","Next: "&amp;$Z245&amp;IF($Y245&lt;=TODAY()," is due TODAY ("," is due next business day (")&amp;TEXT($Y245,"dd-mmm")&amp;").","Next: "&amp;$Z245&amp;" due "&amp;TEXT($Y245,"dd-mmm")&amp;" ("&amp;(NETWORKDAYS(TODAY(),$Y245,Holidays)-1)&amp;" business day(s) left).")))))</f>
        <v/>
      </c>
      <c r="V245" s="17">
        <f>IF($W245="","",CHOOSE($W245,"Collection Email","1st Follow-up","2nd Follow-up","Local Office","CBE","Roxanne")&amp;IF($W245=6," - Final"," - Day "&amp;MAX(0,NETWORKDAYS($X245,TODAY(),Holidays)-1)&amp;" of "&amp;CHOOSE($W245,3,3,2,2,3))&amp;" | Total Day "&amp;MAX(0,NETWORKDAYS($L245,TODAY(),Holidays)-1))</f>
        <v/>
      </c>
      <c r="W245" s="17">
        <f>IF($L245="","",COUNT($L245:$Q245))</f>
        <v/>
      </c>
      <c r="X245" s="18">
        <f>IF($W245="","",INT(INDEX($L245:$Q245,$W245)))</f>
        <v/>
      </c>
      <c r="Y245" s="18">
        <f>IF(OR($W245="",$W245=6),"",WORKDAY($X245,CHOOSE($W245,3,3,2,2,3),Holidays))</f>
        <v/>
      </c>
      <c r="Z245" s="17">
        <f>IF(OR($W245="",$W245=6),"",CHOOSE($W245,"1st Email Follow-up","2nd Email Follow-up","Escalate Local Office","Escalate to CBE","Escalate to Roxanne"))</f>
        <v/>
      </c>
    </row>
    <row r="246" spans="18:26">
      <c r="R246" s="15"/>
      <c r="S246" s="16"/>
      <c r="T246" s="17">
        <f>IF(AND(COUNTA($A246:$K246)=0,$L246=""),"",IF($S246="Paid","PAID",IF($S246="Closed","CLOSED",IF($W246="","",IF($W246=6,"ESCALATED TO ROXANNE",IF(TODAY()&gt;$Y246,"OVERDUE",IF($Y246&lt;=WORKDAY(TODAY(),1,Holidays),"DUE TOMORROW",IF($W246=4,"ESCALATED TO LOCAL OFFICE",IF($W246=5,"ESCALATED TO CBE",IF($X246=TODAY(),"EMAIL SENT","MONITORING"))))))))))</f>
        <v/>
      </c>
      <c r="U246" s="17">
        <f>IF($T246="",IF(AND(COUNTA($A246:$K246)&gt;0,$L246=""),"Awaiting Collection Email time stamp.",""),IF(OR($T246="PAID",$T246="CLOSED"),IF($T246="PAID","Account paid. Action completed.","Account closed. No further action required."),CHOOSE($W246,"Collection Email","1st Email Follow-up","2nd Email Follow-up","Escalation to Local Office","Escalation to CBE","Escalation to Roxanne")&amp;" sent "&amp;TEXT($X246,"dd-mmm")&amp;". "&amp;IF($W246=6,"Final escalation completed.",IF($T246="OVERDUE","Next: "&amp;$Z246&amp;" was due "&amp;TEXT($Y246,"dd-mmm")&amp;" - "&amp;(NETWORKDAYS($Y246,TODAY(),Holidays)-1)&amp;" business day(s) late. Send now.",IF($T246="DUE TOMORROW","Next: "&amp;$Z246&amp;IF($Y246&lt;=TODAY()," is due TODAY ("," is due next business day (")&amp;TEXT($Y246,"dd-mmm")&amp;").","Next: "&amp;$Z246&amp;" due "&amp;TEXT($Y246,"dd-mmm")&amp;" ("&amp;(NETWORKDAYS(TODAY(),$Y246,Holidays)-1)&amp;" business day(s) left).")))))</f>
        <v/>
      </c>
      <c r="V246" s="17">
        <f>IF($W246="","",CHOOSE($W246,"Collection Email","1st Follow-up","2nd Follow-up","Local Office","CBE","Roxanne")&amp;IF($W246=6," - Final"," - Day "&amp;MAX(0,NETWORKDAYS($X246,TODAY(),Holidays)-1)&amp;" of "&amp;CHOOSE($W246,3,3,2,2,3))&amp;" | Total Day "&amp;MAX(0,NETWORKDAYS($L246,TODAY(),Holidays)-1))</f>
        <v/>
      </c>
      <c r="W246" s="17">
        <f>IF($L246="","",COUNT($L246:$Q246))</f>
        <v/>
      </c>
      <c r="X246" s="18">
        <f>IF($W246="","",INT(INDEX($L246:$Q246,$W246)))</f>
        <v/>
      </c>
      <c r="Y246" s="18">
        <f>IF(OR($W246="",$W246=6),"",WORKDAY($X246,CHOOSE($W246,3,3,2,2,3),Holidays))</f>
        <v/>
      </c>
      <c r="Z246" s="17">
        <f>IF(OR($W246="",$W246=6),"",CHOOSE($W246,"1st Email Follow-up","2nd Email Follow-up","Escalate Local Office","Escalate to CBE","Escalate to Roxanne"))</f>
        <v/>
      </c>
    </row>
    <row r="247" spans="18:26">
      <c r="R247" s="15"/>
      <c r="S247" s="16"/>
      <c r="T247" s="17">
        <f>IF(AND(COUNTA($A247:$K247)=0,$L247=""),"",IF($S247="Paid","PAID",IF($S247="Closed","CLOSED",IF($W247="","",IF($W247=6,"ESCALATED TO ROXANNE",IF(TODAY()&gt;$Y247,"OVERDUE",IF($Y247&lt;=WORKDAY(TODAY(),1,Holidays),"DUE TOMORROW",IF($W247=4,"ESCALATED TO LOCAL OFFICE",IF($W247=5,"ESCALATED TO CBE",IF($X247=TODAY(),"EMAIL SENT","MONITORING"))))))))))</f>
        <v/>
      </c>
      <c r="U247" s="17">
        <f>IF($T247="",IF(AND(COUNTA($A247:$K247)&gt;0,$L247=""),"Awaiting Collection Email time stamp.",""),IF(OR($T247="PAID",$T247="CLOSED"),IF($T247="PAID","Account paid. Action completed.","Account closed. No further action required."),CHOOSE($W247,"Collection Email","1st Email Follow-up","2nd Email Follow-up","Escalation to Local Office","Escalation to CBE","Escalation to Roxanne")&amp;" sent "&amp;TEXT($X247,"dd-mmm")&amp;". "&amp;IF($W247=6,"Final escalation completed.",IF($T247="OVERDUE","Next: "&amp;$Z247&amp;" was due "&amp;TEXT($Y247,"dd-mmm")&amp;" - "&amp;(NETWORKDAYS($Y247,TODAY(),Holidays)-1)&amp;" business day(s) late. Send now.",IF($T247="DUE TOMORROW","Next: "&amp;$Z247&amp;IF($Y247&lt;=TODAY()," is due TODAY ("," is due next business day (")&amp;TEXT($Y247,"dd-mmm")&amp;").","Next: "&amp;$Z247&amp;" due "&amp;TEXT($Y247,"dd-mmm")&amp;" ("&amp;(NETWORKDAYS(TODAY(),$Y247,Holidays)-1)&amp;" business day(s) left).")))))</f>
        <v/>
      </c>
      <c r="V247" s="17">
        <f>IF($W247="","",CHOOSE($W247,"Collection Email","1st Follow-up","2nd Follow-up","Local Office","CBE","Roxanne")&amp;IF($W247=6," - Final"," - Day "&amp;MAX(0,NETWORKDAYS($X247,TODAY(),Holidays)-1)&amp;" of "&amp;CHOOSE($W247,3,3,2,2,3))&amp;" | Total Day "&amp;MAX(0,NETWORKDAYS($L247,TODAY(),Holidays)-1))</f>
        <v/>
      </c>
      <c r="W247" s="17">
        <f>IF($L247="","",COUNT($L247:$Q247))</f>
        <v/>
      </c>
      <c r="X247" s="18">
        <f>IF($W247="","",INT(INDEX($L247:$Q247,$W247)))</f>
        <v/>
      </c>
      <c r="Y247" s="18">
        <f>IF(OR($W247="",$W247=6),"",WORKDAY($X247,CHOOSE($W247,3,3,2,2,3),Holidays))</f>
        <v/>
      </c>
      <c r="Z247" s="17">
        <f>IF(OR($W247="",$W247=6),"",CHOOSE($W247,"1st Email Follow-up","2nd Email Follow-up","Escalate Local Office","Escalate to CBE","Escalate to Roxanne"))</f>
        <v/>
      </c>
    </row>
    <row r="248" spans="18:26">
      <c r="R248" s="15"/>
      <c r="S248" s="16"/>
      <c r="T248" s="17">
        <f>IF(AND(COUNTA($A248:$K248)=0,$L248=""),"",IF($S248="Paid","PAID",IF($S248="Closed","CLOSED",IF($W248="","",IF($W248=6,"ESCALATED TO ROXANNE",IF(TODAY()&gt;$Y248,"OVERDUE",IF($Y248&lt;=WORKDAY(TODAY(),1,Holidays),"DUE TOMORROW",IF($W248=4,"ESCALATED TO LOCAL OFFICE",IF($W248=5,"ESCALATED TO CBE",IF($X248=TODAY(),"EMAIL SENT","MONITORING"))))))))))</f>
        <v/>
      </c>
      <c r="U248" s="17">
        <f>IF($T248="",IF(AND(COUNTA($A248:$K248)&gt;0,$L248=""),"Awaiting Collection Email time stamp.",""),IF(OR($T248="PAID",$T248="CLOSED"),IF($T248="PAID","Account paid. Action completed.","Account closed. No further action required."),CHOOSE($W248,"Collection Email","1st Email Follow-up","2nd Email Follow-up","Escalation to Local Office","Escalation to CBE","Escalation to Roxanne")&amp;" sent "&amp;TEXT($X248,"dd-mmm")&amp;". "&amp;IF($W248=6,"Final escalation completed.",IF($T248="OVERDUE","Next: "&amp;$Z248&amp;" was due "&amp;TEXT($Y248,"dd-mmm")&amp;" - "&amp;(NETWORKDAYS($Y248,TODAY(),Holidays)-1)&amp;" business day(s) late. Send now.",IF($T248="DUE TOMORROW","Next: "&amp;$Z248&amp;IF($Y248&lt;=TODAY()," is due TODAY ("," is due next business day (")&amp;TEXT($Y248,"dd-mmm")&amp;").","Next: "&amp;$Z248&amp;" due "&amp;TEXT($Y248,"dd-mmm")&amp;" ("&amp;(NETWORKDAYS(TODAY(),$Y248,Holidays)-1)&amp;" business day(s) left).")))))</f>
        <v/>
      </c>
      <c r="V248" s="17">
        <f>IF($W248="","",CHOOSE($W248,"Collection Email","1st Follow-up","2nd Follow-up","Local Office","CBE","Roxanne")&amp;IF($W248=6," - Final"," - Day "&amp;MAX(0,NETWORKDAYS($X248,TODAY(),Holidays)-1)&amp;" of "&amp;CHOOSE($W248,3,3,2,2,3))&amp;" | Total Day "&amp;MAX(0,NETWORKDAYS($L248,TODAY(),Holidays)-1))</f>
        <v/>
      </c>
      <c r="W248" s="17">
        <f>IF($L248="","",COUNT($L248:$Q248))</f>
        <v/>
      </c>
      <c r="X248" s="18">
        <f>IF($W248="","",INT(INDEX($L248:$Q248,$W248)))</f>
        <v/>
      </c>
      <c r="Y248" s="18">
        <f>IF(OR($W248="",$W248=6),"",WORKDAY($X248,CHOOSE($W248,3,3,2,2,3),Holidays))</f>
        <v/>
      </c>
      <c r="Z248" s="17">
        <f>IF(OR($W248="",$W248=6),"",CHOOSE($W248,"1st Email Follow-up","2nd Email Follow-up","Escalate Local Office","Escalate to CBE","Escalate to Roxanne"))</f>
        <v/>
      </c>
    </row>
    <row r="249" spans="18:26">
      <c r="R249" s="15"/>
      <c r="S249" s="16"/>
      <c r="T249" s="17">
        <f>IF(AND(COUNTA($A249:$K249)=0,$L249=""),"",IF($S249="Paid","PAID",IF($S249="Closed","CLOSED",IF($W249="","",IF($W249=6,"ESCALATED TO ROXANNE",IF(TODAY()&gt;$Y249,"OVERDUE",IF($Y249&lt;=WORKDAY(TODAY(),1,Holidays),"DUE TOMORROW",IF($W249=4,"ESCALATED TO LOCAL OFFICE",IF($W249=5,"ESCALATED TO CBE",IF($X249=TODAY(),"EMAIL SENT","MONITORING"))))))))))</f>
        <v/>
      </c>
      <c r="U249" s="17">
        <f>IF($T249="",IF(AND(COUNTA($A249:$K249)&gt;0,$L249=""),"Awaiting Collection Email time stamp.",""),IF(OR($T249="PAID",$T249="CLOSED"),IF($T249="PAID","Account paid. Action completed.","Account closed. No further action required."),CHOOSE($W249,"Collection Email","1st Email Follow-up","2nd Email Follow-up","Escalation to Local Office","Escalation to CBE","Escalation to Roxanne")&amp;" sent "&amp;TEXT($X249,"dd-mmm")&amp;". "&amp;IF($W249=6,"Final escalation completed.",IF($T249="OVERDUE","Next: "&amp;$Z249&amp;" was due "&amp;TEXT($Y249,"dd-mmm")&amp;" - "&amp;(NETWORKDAYS($Y249,TODAY(),Holidays)-1)&amp;" business day(s) late. Send now.",IF($T249="DUE TOMORROW","Next: "&amp;$Z249&amp;IF($Y249&lt;=TODAY()," is due TODAY ("," is due next business day (")&amp;TEXT($Y249,"dd-mmm")&amp;").","Next: "&amp;$Z249&amp;" due "&amp;TEXT($Y249,"dd-mmm")&amp;" ("&amp;(NETWORKDAYS(TODAY(),$Y249,Holidays)-1)&amp;" business day(s) left).")))))</f>
        <v/>
      </c>
      <c r="V249" s="17">
        <f>IF($W249="","",CHOOSE($W249,"Collection Email","1st Follow-up","2nd Follow-up","Local Office","CBE","Roxanne")&amp;IF($W249=6," - Final"," - Day "&amp;MAX(0,NETWORKDAYS($X249,TODAY(),Holidays)-1)&amp;" of "&amp;CHOOSE($W249,3,3,2,2,3))&amp;" | Total Day "&amp;MAX(0,NETWORKDAYS($L249,TODAY(),Holidays)-1))</f>
        <v/>
      </c>
      <c r="W249" s="17">
        <f>IF($L249="","",COUNT($L249:$Q249))</f>
        <v/>
      </c>
      <c r="X249" s="18">
        <f>IF($W249="","",INT(INDEX($L249:$Q249,$W249)))</f>
        <v/>
      </c>
      <c r="Y249" s="18">
        <f>IF(OR($W249="",$W249=6),"",WORKDAY($X249,CHOOSE($W249,3,3,2,2,3),Holidays))</f>
        <v/>
      </c>
      <c r="Z249" s="17">
        <f>IF(OR($W249="",$W249=6),"",CHOOSE($W249,"1st Email Follow-up","2nd Email Follow-up","Escalate Local Office","Escalate to CBE","Escalate to Roxanne"))</f>
        <v/>
      </c>
    </row>
    <row r="250" spans="18:26">
      <c r="R250" s="15"/>
      <c r="S250" s="16"/>
      <c r="T250" s="17">
        <f>IF(AND(COUNTA($A250:$K250)=0,$L250=""),"",IF($S250="Paid","PAID",IF($S250="Closed","CLOSED",IF($W250="","",IF($W250=6,"ESCALATED TO ROXANNE",IF(TODAY()&gt;$Y250,"OVERDUE",IF($Y250&lt;=WORKDAY(TODAY(),1,Holidays),"DUE TOMORROW",IF($W250=4,"ESCALATED TO LOCAL OFFICE",IF($W250=5,"ESCALATED TO CBE",IF($X250=TODAY(),"EMAIL SENT","MONITORING"))))))))))</f>
        <v/>
      </c>
      <c r="U250" s="17">
        <f>IF($T250="",IF(AND(COUNTA($A250:$K250)&gt;0,$L250=""),"Awaiting Collection Email time stamp.",""),IF(OR($T250="PAID",$T250="CLOSED"),IF($T250="PAID","Account paid. Action completed.","Account closed. No further action required."),CHOOSE($W250,"Collection Email","1st Email Follow-up","2nd Email Follow-up","Escalation to Local Office","Escalation to CBE","Escalation to Roxanne")&amp;" sent "&amp;TEXT($X250,"dd-mmm")&amp;". "&amp;IF($W250=6,"Final escalation completed.",IF($T250="OVERDUE","Next: "&amp;$Z250&amp;" was due "&amp;TEXT($Y250,"dd-mmm")&amp;" - "&amp;(NETWORKDAYS($Y250,TODAY(),Holidays)-1)&amp;" business day(s) late. Send now.",IF($T250="DUE TOMORROW","Next: "&amp;$Z250&amp;IF($Y250&lt;=TODAY()," is due TODAY ("," is due next business day (")&amp;TEXT($Y250,"dd-mmm")&amp;").","Next: "&amp;$Z250&amp;" due "&amp;TEXT($Y250,"dd-mmm")&amp;" ("&amp;(NETWORKDAYS(TODAY(),$Y250,Holidays)-1)&amp;" business day(s) left).")))))</f>
        <v/>
      </c>
      <c r="V250" s="17">
        <f>IF($W250="","",CHOOSE($W250,"Collection Email","1st Follow-up","2nd Follow-up","Local Office","CBE","Roxanne")&amp;IF($W250=6," - Final"," - Day "&amp;MAX(0,NETWORKDAYS($X250,TODAY(),Holidays)-1)&amp;" of "&amp;CHOOSE($W250,3,3,2,2,3))&amp;" | Total Day "&amp;MAX(0,NETWORKDAYS($L250,TODAY(),Holidays)-1))</f>
        <v/>
      </c>
      <c r="W250" s="17">
        <f>IF($L250="","",COUNT($L250:$Q250))</f>
        <v/>
      </c>
      <c r="X250" s="18">
        <f>IF($W250="","",INT(INDEX($L250:$Q250,$W250)))</f>
        <v/>
      </c>
      <c r="Y250" s="18">
        <f>IF(OR($W250="",$W250=6),"",WORKDAY($X250,CHOOSE($W250,3,3,2,2,3),Holidays))</f>
        <v/>
      </c>
      <c r="Z250" s="17">
        <f>IF(OR($W250="",$W250=6),"",CHOOSE($W250,"1st Email Follow-up","2nd Email Follow-up","Escalate Local Office","Escalate to CBE","Escalate to Roxanne"))</f>
        <v/>
      </c>
    </row>
    <row r="251" spans="18:26">
      <c r="R251" s="15"/>
      <c r="S251" s="16"/>
      <c r="T251" s="17">
        <f>IF(AND(COUNTA($A251:$K251)=0,$L251=""),"",IF($S251="Paid","PAID",IF($S251="Closed","CLOSED",IF($W251="","",IF($W251=6,"ESCALATED TO ROXANNE",IF(TODAY()&gt;$Y251,"OVERDUE",IF($Y251&lt;=WORKDAY(TODAY(),1,Holidays),"DUE TOMORROW",IF($W251=4,"ESCALATED TO LOCAL OFFICE",IF($W251=5,"ESCALATED TO CBE",IF($X251=TODAY(),"EMAIL SENT","MONITORING"))))))))))</f>
        <v/>
      </c>
      <c r="U251" s="17">
        <f>IF($T251="",IF(AND(COUNTA($A251:$K251)&gt;0,$L251=""),"Awaiting Collection Email time stamp.",""),IF(OR($T251="PAID",$T251="CLOSED"),IF($T251="PAID","Account paid. Action completed.","Account closed. No further action required."),CHOOSE($W251,"Collection Email","1st Email Follow-up","2nd Email Follow-up","Escalation to Local Office","Escalation to CBE","Escalation to Roxanne")&amp;" sent "&amp;TEXT($X251,"dd-mmm")&amp;". "&amp;IF($W251=6,"Final escalation completed.",IF($T251="OVERDUE","Next: "&amp;$Z251&amp;" was due "&amp;TEXT($Y251,"dd-mmm")&amp;" - "&amp;(NETWORKDAYS($Y251,TODAY(),Holidays)-1)&amp;" business day(s) late. Send now.",IF($T251="DUE TOMORROW","Next: "&amp;$Z251&amp;IF($Y251&lt;=TODAY()," is due TODAY ("," is due next business day (")&amp;TEXT($Y251,"dd-mmm")&amp;").","Next: "&amp;$Z251&amp;" due "&amp;TEXT($Y251,"dd-mmm")&amp;" ("&amp;(NETWORKDAYS(TODAY(),$Y251,Holidays)-1)&amp;" business day(s) left).")))))</f>
        <v/>
      </c>
      <c r="V251" s="17">
        <f>IF($W251="","",CHOOSE($W251,"Collection Email","1st Follow-up","2nd Follow-up","Local Office","CBE","Roxanne")&amp;IF($W251=6," - Final"," - Day "&amp;MAX(0,NETWORKDAYS($X251,TODAY(),Holidays)-1)&amp;" of "&amp;CHOOSE($W251,3,3,2,2,3))&amp;" | Total Day "&amp;MAX(0,NETWORKDAYS($L251,TODAY(),Holidays)-1))</f>
        <v/>
      </c>
      <c r="W251" s="17">
        <f>IF($L251="","",COUNT($L251:$Q251))</f>
        <v/>
      </c>
      <c r="X251" s="18">
        <f>IF($W251="","",INT(INDEX($L251:$Q251,$W251)))</f>
        <v/>
      </c>
      <c r="Y251" s="18">
        <f>IF(OR($W251="",$W251=6),"",WORKDAY($X251,CHOOSE($W251,3,3,2,2,3),Holidays))</f>
        <v/>
      </c>
      <c r="Z251" s="17">
        <f>IF(OR($W251="",$W251=6),"",CHOOSE($W251,"1st Email Follow-up","2nd Email Follow-up","Escalate Local Office","Escalate to CBE","Escalate to Roxanne"))</f>
        <v/>
      </c>
    </row>
    <row r="252" spans="18:26">
      <c r="R252" s="15"/>
      <c r="S252" s="16"/>
      <c r="T252" s="17">
        <f>IF(AND(COUNTA($A252:$K252)=0,$L252=""),"",IF($S252="Paid","PAID",IF($S252="Closed","CLOSED",IF($W252="","",IF($W252=6,"ESCALATED TO ROXANNE",IF(TODAY()&gt;$Y252,"OVERDUE",IF($Y252&lt;=WORKDAY(TODAY(),1,Holidays),"DUE TOMORROW",IF($W252=4,"ESCALATED TO LOCAL OFFICE",IF($W252=5,"ESCALATED TO CBE",IF($X252=TODAY(),"EMAIL SENT","MONITORING"))))))))))</f>
        <v/>
      </c>
      <c r="U252" s="17">
        <f>IF($T252="",IF(AND(COUNTA($A252:$K252)&gt;0,$L252=""),"Awaiting Collection Email time stamp.",""),IF(OR($T252="PAID",$T252="CLOSED"),IF($T252="PAID","Account paid. Action completed.","Account closed. No further action required."),CHOOSE($W252,"Collection Email","1st Email Follow-up","2nd Email Follow-up","Escalation to Local Office","Escalation to CBE","Escalation to Roxanne")&amp;" sent "&amp;TEXT($X252,"dd-mmm")&amp;". "&amp;IF($W252=6,"Final escalation completed.",IF($T252="OVERDUE","Next: "&amp;$Z252&amp;" was due "&amp;TEXT($Y252,"dd-mmm")&amp;" - "&amp;(NETWORKDAYS($Y252,TODAY(),Holidays)-1)&amp;" business day(s) late. Send now.",IF($T252="DUE TOMORROW","Next: "&amp;$Z252&amp;IF($Y252&lt;=TODAY()," is due TODAY ("," is due next business day (")&amp;TEXT($Y252,"dd-mmm")&amp;").","Next: "&amp;$Z252&amp;" due "&amp;TEXT($Y252,"dd-mmm")&amp;" ("&amp;(NETWORKDAYS(TODAY(),$Y252,Holidays)-1)&amp;" business day(s) left).")))))</f>
        <v/>
      </c>
      <c r="V252" s="17">
        <f>IF($W252="","",CHOOSE($W252,"Collection Email","1st Follow-up","2nd Follow-up","Local Office","CBE","Roxanne")&amp;IF($W252=6," - Final"," - Day "&amp;MAX(0,NETWORKDAYS($X252,TODAY(),Holidays)-1)&amp;" of "&amp;CHOOSE($W252,3,3,2,2,3))&amp;" | Total Day "&amp;MAX(0,NETWORKDAYS($L252,TODAY(),Holidays)-1))</f>
        <v/>
      </c>
      <c r="W252" s="17">
        <f>IF($L252="","",COUNT($L252:$Q252))</f>
        <v/>
      </c>
      <c r="X252" s="18">
        <f>IF($W252="","",INT(INDEX($L252:$Q252,$W252)))</f>
        <v/>
      </c>
      <c r="Y252" s="18">
        <f>IF(OR($W252="",$W252=6),"",WORKDAY($X252,CHOOSE($W252,3,3,2,2,3),Holidays))</f>
        <v/>
      </c>
      <c r="Z252" s="17">
        <f>IF(OR($W252="",$W252=6),"",CHOOSE($W252,"1st Email Follow-up","2nd Email Follow-up","Escalate Local Office","Escalate to CBE","Escalate to Roxanne"))</f>
        <v/>
      </c>
    </row>
    <row r="253" spans="18:26">
      <c r="R253" s="15"/>
      <c r="S253" s="16"/>
      <c r="T253" s="17">
        <f>IF(AND(COUNTA($A253:$K253)=0,$L253=""),"",IF($S253="Paid","PAID",IF($S253="Closed","CLOSED",IF($W253="","",IF($W253=6,"ESCALATED TO ROXANNE",IF(TODAY()&gt;$Y253,"OVERDUE",IF($Y253&lt;=WORKDAY(TODAY(),1,Holidays),"DUE TOMORROW",IF($W253=4,"ESCALATED TO LOCAL OFFICE",IF($W253=5,"ESCALATED TO CBE",IF($X253=TODAY(),"EMAIL SENT","MONITORING"))))))))))</f>
        <v/>
      </c>
      <c r="U253" s="17">
        <f>IF($T253="",IF(AND(COUNTA($A253:$K253)&gt;0,$L253=""),"Awaiting Collection Email time stamp.",""),IF(OR($T253="PAID",$T253="CLOSED"),IF($T253="PAID","Account paid. Action completed.","Account closed. No further action required."),CHOOSE($W253,"Collection Email","1st Email Follow-up","2nd Email Follow-up","Escalation to Local Office","Escalation to CBE","Escalation to Roxanne")&amp;" sent "&amp;TEXT($X253,"dd-mmm")&amp;". "&amp;IF($W253=6,"Final escalation completed.",IF($T253="OVERDUE","Next: "&amp;$Z253&amp;" was due "&amp;TEXT($Y253,"dd-mmm")&amp;" - "&amp;(NETWORKDAYS($Y253,TODAY(),Holidays)-1)&amp;" business day(s) late. Send now.",IF($T253="DUE TOMORROW","Next: "&amp;$Z253&amp;IF($Y253&lt;=TODAY()," is due TODAY ("," is due next business day (")&amp;TEXT($Y253,"dd-mmm")&amp;").","Next: "&amp;$Z253&amp;" due "&amp;TEXT($Y253,"dd-mmm")&amp;" ("&amp;(NETWORKDAYS(TODAY(),$Y253,Holidays)-1)&amp;" business day(s) left).")))))</f>
        <v/>
      </c>
      <c r="V253" s="17">
        <f>IF($W253="","",CHOOSE($W253,"Collection Email","1st Follow-up","2nd Follow-up","Local Office","CBE","Roxanne")&amp;IF($W253=6," - Final"," - Day "&amp;MAX(0,NETWORKDAYS($X253,TODAY(),Holidays)-1)&amp;" of "&amp;CHOOSE($W253,3,3,2,2,3))&amp;" | Total Day "&amp;MAX(0,NETWORKDAYS($L253,TODAY(),Holidays)-1))</f>
        <v/>
      </c>
      <c r="W253" s="17">
        <f>IF($L253="","",COUNT($L253:$Q253))</f>
        <v/>
      </c>
      <c r="X253" s="18">
        <f>IF($W253="","",INT(INDEX($L253:$Q253,$W253)))</f>
        <v/>
      </c>
      <c r="Y253" s="18">
        <f>IF(OR($W253="",$W253=6),"",WORKDAY($X253,CHOOSE($W253,3,3,2,2,3),Holidays))</f>
        <v/>
      </c>
      <c r="Z253" s="17">
        <f>IF(OR($W253="",$W253=6),"",CHOOSE($W253,"1st Email Follow-up","2nd Email Follow-up","Escalate Local Office","Escalate to CBE","Escalate to Roxanne"))</f>
        <v/>
      </c>
    </row>
    <row r="254" spans="18:26">
      <c r="R254" s="15"/>
      <c r="S254" s="16"/>
      <c r="T254" s="17">
        <f>IF(AND(COUNTA($A254:$K254)=0,$L254=""),"",IF($S254="Paid","PAID",IF($S254="Closed","CLOSED",IF($W254="","",IF($W254=6,"ESCALATED TO ROXANNE",IF(TODAY()&gt;$Y254,"OVERDUE",IF($Y254&lt;=WORKDAY(TODAY(),1,Holidays),"DUE TOMORROW",IF($W254=4,"ESCALATED TO LOCAL OFFICE",IF($W254=5,"ESCALATED TO CBE",IF($X254=TODAY(),"EMAIL SENT","MONITORING"))))))))))</f>
        <v/>
      </c>
      <c r="U254" s="17">
        <f>IF($T254="",IF(AND(COUNTA($A254:$K254)&gt;0,$L254=""),"Awaiting Collection Email time stamp.",""),IF(OR($T254="PAID",$T254="CLOSED"),IF($T254="PAID","Account paid. Action completed.","Account closed. No further action required."),CHOOSE($W254,"Collection Email","1st Email Follow-up","2nd Email Follow-up","Escalation to Local Office","Escalation to CBE","Escalation to Roxanne")&amp;" sent "&amp;TEXT($X254,"dd-mmm")&amp;". "&amp;IF($W254=6,"Final escalation completed.",IF($T254="OVERDUE","Next: "&amp;$Z254&amp;" was due "&amp;TEXT($Y254,"dd-mmm")&amp;" - "&amp;(NETWORKDAYS($Y254,TODAY(),Holidays)-1)&amp;" business day(s) late. Send now.",IF($T254="DUE TOMORROW","Next: "&amp;$Z254&amp;IF($Y254&lt;=TODAY()," is due TODAY ("," is due next business day (")&amp;TEXT($Y254,"dd-mmm")&amp;").","Next: "&amp;$Z254&amp;" due "&amp;TEXT($Y254,"dd-mmm")&amp;" ("&amp;(NETWORKDAYS(TODAY(),$Y254,Holidays)-1)&amp;" business day(s) left).")))))</f>
        <v/>
      </c>
      <c r="V254" s="17">
        <f>IF($W254="","",CHOOSE($W254,"Collection Email","1st Follow-up","2nd Follow-up","Local Office","CBE","Roxanne")&amp;IF($W254=6," - Final"," - Day "&amp;MAX(0,NETWORKDAYS($X254,TODAY(),Holidays)-1)&amp;" of "&amp;CHOOSE($W254,3,3,2,2,3))&amp;" | Total Day "&amp;MAX(0,NETWORKDAYS($L254,TODAY(),Holidays)-1))</f>
        <v/>
      </c>
      <c r="W254" s="17">
        <f>IF($L254="","",COUNT($L254:$Q254))</f>
        <v/>
      </c>
      <c r="X254" s="18">
        <f>IF($W254="","",INT(INDEX($L254:$Q254,$W254)))</f>
        <v/>
      </c>
      <c r="Y254" s="18">
        <f>IF(OR($W254="",$W254=6),"",WORKDAY($X254,CHOOSE($W254,3,3,2,2,3),Holidays))</f>
        <v/>
      </c>
      <c r="Z254" s="17">
        <f>IF(OR($W254="",$W254=6),"",CHOOSE($W254,"1st Email Follow-up","2nd Email Follow-up","Escalate Local Office","Escalate to CBE","Escalate to Roxanne"))</f>
        <v/>
      </c>
    </row>
    <row r="255" spans="18:26">
      <c r="R255" s="15"/>
      <c r="S255" s="16"/>
      <c r="T255" s="17">
        <f>IF(AND(COUNTA($A255:$K255)=0,$L255=""),"",IF($S255="Paid","PAID",IF($S255="Closed","CLOSED",IF($W255="","",IF($W255=6,"ESCALATED TO ROXANNE",IF(TODAY()&gt;$Y255,"OVERDUE",IF($Y255&lt;=WORKDAY(TODAY(),1,Holidays),"DUE TOMORROW",IF($W255=4,"ESCALATED TO LOCAL OFFICE",IF($W255=5,"ESCALATED TO CBE",IF($X255=TODAY(),"EMAIL SENT","MONITORING"))))))))))</f>
        <v/>
      </c>
      <c r="U255" s="17">
        <f>IF($T255="",IF(AND(COUNTA($A255:$K255)&gt;0,$L255=""),"Awaiting Collection Email time stamp.",""),IF(OR($T255="PAID",$T255="CLOSED"),IF($T255="PAID","Account paid. Action completed.","Account closed. No further action required."),CHOOSE($W255,"Collection Email","1st Email Follow-up","2nd Email Follow-up","Escalation to Local Office","Escalation to CBE","Escalation to Roxanne")&amp;" sent "&amp;TEXT($X255,"dd-mmm")&amp;". "&amp;IF($W255=6,"Final escalation completed.",IF($T255="OVERDUE","Next: "&amp;$Z255&amp;" was due "&amp;TEXT($Y255,"dd-mmm")&amp;" - "&amp;(NETWORKDAYS($Y255,TODAY(),Holidays)-1)&amp;" business day(s) late. Send now.",IF($T255="DUE TOMORROW","Next: "&amp;$Z255&amp;IF($Y255&lt;=TODAY()," is due TODAY ("," is due next business day (")&amp;TEXT($Y255,"dd-mmm")&amp;").","Next: "&amp;$Z255&amp;" due "&amp;TEXT($Y255,"dd-mmm")&amp;" ("&amp;(NETWORKDAYS(TODAY(),$Y255,Holidays)-1)&amp;" business day(s) left).")))))</f>
        <v/>
      </c>
      <c r="V255" s="17">
        <f>IF($W255="","",CHOOSE($W255,"Collection Email","1st Follow-up","2nd Follow-up","Local Office","CBE","Roxanne")&amp;IF($W255=6," - Final"," - Day "&amp;MAX(0,NETWORKDAYS($X255,TODAY(),Holidays)-1)&amp;" of "&amp;CHOOSE($W255,3,3,2,2,3))&amp;" | Total Day "&amp;MAX(0,NETWORKDAYS($L255,TODAY(),Holidays)-1))</f>
        <v/>
      </c>
      <c r="W255" s="17">
        <f>IF($L255="","",COUNT($L255:$Q255))</f>
        <v/>
      </c>
      <c r="X255" s="18">
        <f>IF($W255="","",INT(INDEX($L255:$Q255,$W255)))</f>
        <v/>
      </c>
      <c r="Y255" s="18">
        <f>IF(OR($W255="",$W255=6),"",WORKDAY($X255,CHOOSE($W255,3,3,2,2,3),Holidays))</f>
        <v/>
      </c>
      <c r="Z255" s="17">
        <f>IF(OR($W255="",$W255=6),"",CHOOSE($W255,"1st Email Follow-up","2nd Email Follow-up","Escalate Local Office","Escalate to CBE","Escalate to Roxanne"))</f>
        <v/>
      </c>
    </row>
    <row r="256" spans="18:26">
      <c r="R256" s="15"/>
      <c r="S256" s="16"/>
      <c r="T256" s="17">
        <f>IF(AND(COUNTA($A256:$K256)=0,$L256=""),"",IF($S256="Paid","PAID",IF($S256="Closed","CLOSED",IF($W256="","",IF($W256=6,"ESCALATED TO ROXANNE",IF(TODAY()&gt;$Y256,"OVERDUE",IF($Y256&lt;=WORKDAY(TODAY(),1,Holidays),"DUE TOMORROW",IF($W256=4,"ESCALATED TO LOCAL OFFICE",IF($W256=5,"ESCALATED TO CBE",IF($X256=TODAY(),"EMAIL SENT","MONITORING"))))))))))</f>
        <v/>
      </c>
      <c r="U256" s="17">
        <f>IF($T256="",IF(AND(COUNTA($A256:$K256)&gt;0,$L256=""),"Awaiting Collection Email time stamp.",""),IF(OR($T256="PAID",$T256="CLOSED"),IF($T256="PAID","Account paid. Action completed.","Account closed. No further action required."),CHOOSE($W256,"Collection Email","1st Email Follow-up","2nd Email Follow-up","Escalation to Local Office","Escalation to CBE","Escalation to Roxanne")&amp;" sent "&amp;TEXT($X256,"dd-mmm")&amp;". "&amp;IF($W256=6,"Final escalation completed.",IF($T256="OVERDUE","Next: "&amp;$Z256&amp;" was due "&amp;TEXT($Y256,"dd-mmm")&amp;" - "&amp;(NETWORKDAYS($Y256,TODAY(),Holidays)-1)&amp;" business day(s) late. Send now.",IF($T256="DUE TOMORROW","Next: "&amp;$Z256&amp;IF($Y256&lt;=TODAY()," is due TODAY ("," is due next business day (")&amp;TEXT($Y256,"dd-mmm")&amp;").","Next: "&amp;$Z256&amp;" due "&amp;TEXT($Y256,"dd-mmm")&amp;" ("&amp;(NETWORKDAYS(TODAY(),$Y256,Holidays)-1)&amp;" business day(s) left).")))))</f>
        <v/>
      </c>
      <c r="V256" s="17">
        <f>IF($W256="","",CHOOSE($W256,"Collection Email","1st Follow-up","2nd Follow-up","Local Office","CBE","Roxanne")&amp;IF($W256=6," - Final"," - Day "&amp;MAX(0,NETWORKDAYS($X256,TODAY(),Holidays)-1)&amp;" of "&amp;CHOOSE($W256,3,3,2,2,3))&amp;" | Total Day "&amp;MAX(0,NETWORKDAYS($L256,TODAY(),Holidays)-1))</f>
        <v/>
      </c>
      <c r="W256" s="17">
        <f>IF($L256="","",COUNT($L256:$Q256))</f>
        <v/>
      </c>
      <c r="X256" s="18">
        <f>IF($W256="","",INT(INDEX($L256:$Q256,$W256)))</f>
        <v/>
      </c>
      <c r="Y256" s="18">
        <f>IF(OR($W256="",$W256=6),"",WORKDAY($X256,CHOOSE($W256,3,3,2,2,3),Holidays))</f>
        <v/>
      </c>
      <c r="Z256" s="17">
        <f>IF(OR($W256="",$W256=6),"",CHOOSE($W256,"1st Email Follow-up","2nd Email Follow-up","Escalate Local Office","Escalate to CBE","Escalate to Roxanne"))</f>
        <v/>
      </c>
    </row>
    <row r="257" spans="18:26">
      <c r="R257" s="15"/>
      <c r="S257" s="16"/>
      <c r="T257" s="17">
        <f>IF(AND(COUNTA($A257:$K257)=0,$L257=""),"",IF($S257="Paid","PAID",IF($S257="Closed","CLOSED",IF($W257="","",IF($W257=6,"ESCALATED TO ROXANNE",IF(TODAY()&gt;$Y257,"OVERDUE",IF($Y257&lt;=WORKDAY(TODAY(),1,Holidays),"DUE TOMORROW",IF($W257=4,"ESCALATED TO LOCAL OFFICE",IF($W257=5,"ESCALATED TO CBE",IF($X257=TODAY(),"EMAIL SENT","MONITORING"))))))))))</f>
        <v/>
      </c>
      <c r="U257" s="17">
        <f>IF($T257="",IF(AND(COUNTA($A257:$K257)&gt;0,$L257=""),"Awaiting Collection Email time stamp.",""),IF(OR($T257="PAID",$T257="CLOSED"),IF($T257="PAID","Account paid. Action completed.","Account closed. No further action required."),CHOOSE($W257,"Collection Email","1st Email Follow-up","2nd Email Follow-up","Escalation to Local Office","Escalation to CBE","Escalation to Roxanne")&amp;" sent "&amp;TEXT($X257,"dd-mmm")&amp;". "&amp;IF($W257=6,"Final escalation completed.",IF($T257="OVERDUE","Next: "&amp;$Z257&amp;" was due "&amp;TEXT($Y257,"dd-mmm")&amp;" - "&amp;(NETWORKDAYS($Y257,TODAY(),Holidays)-1)&amp;" business day(s) late. Send now.",IF($T257="DUE TOMORROW","Next: "&amp;$Z257&amp;IF($Y257&lt;=TODAY()," is due TODAY ("," is due next business day (")&amp;TEXT($Y257,"dd-mmm")&amp;").","Next: "&amp;$Z257&amp;" due "&amp;TEXT($Y257,"dd-mmm")&amp;" ("&amp;(NETWORKDAYS(TODAY(),$Y257,Holidays)-1)&amp;" business day(s) left).")))))</f>
        <v/>
      </c>
      <c r="V257" s="17">
        <f>IF($W257="","",CHOOSE($W257,"Collection Email","1st Follow-up","2nd Follow-up","Local Office","CBE","Roxanne")&amp;IF($W257=6," - Final"," - Day "&amp;MAX(0,NETWORKDAYS($X257,TODAY(),Holidays)-1)&amp;" of "&amp;CHOOSE($W257,3,3,2,2,3))&amp;" | Total Day "&amp;MAX(0,NETWORKDAYS($L257,TODAY(),Holidays)-1))</f>
        <v/>
      </c>
      <c r="W257" s="17">
        <f>IF($L257="","",COUNT($L257:$Q257))</f>
        <v/>
      </c>
      <c r="X257" s="18">
        <f>IF($W257="","",INT(INDEX($L257:$Q257,$W257)))</f>
        <v/>
      </c>
      <c r="Y257" s="18">
        <f>IF(OR($W257="",$W257=6),"",WORKDAY($X257,CHOOSE($W257,3,3,2,2,3),Holidays))</f>
        <v/>
      </c>
      <c r="Z257" s="17">
        <f>IF(OR($W257="",$W257=6),"",CHOOSE($W257,"1st Email Follow-up","2nd Email Follow-up","Escalate Local Office","Escalate to CBE","Escalate to Roxanne"))</f>
        <v/>
      </c>
    </row>
    <row r="258" spans="18:26">
      <c r="R258" s="15"/>
      <c r="S258" s="16"/>
      <c r="T258" s="17">
        <f>IF(AND(COUNTA($A258:$K258)=0,$L258=""),"",IF($S258="Paid","PAID",IF($S258="Closed","CLOSED",IF($W258="","",IF($W258=6,"ESCALATED TO ROXANNE",IF(TODAY()&gt;$Y258,"OVERDUE",IF($Y258&lt;=WORKDAY(TODAY(),1,Holidays),"DUE TOMORROW",IF($W258=4,"ESCALATED TO LOCAL OFFICE",IF($W258=5,"ESCALATED TO CBE",IF($X258=TODAY(),"EMAIL SENT","MONITORING"))))))))))</f>
        <v/>
      </c>
      <c r="U258" s="17">
        <f>IF($T258="",IF(AND(COUNTA($A258:$K258)&gt;0,$L258=""),"Awaiting Collection Email time stamp.",""),IF(OR($T258="PAID",$T258="CLOSED"),IF($T258="PAID","Account paid. Action completed.","Account closed. No further action required."),CHOOSE($W258,"Collection Email","1st Email Follow-up","2nd Email Follow-up","Escalation to Local Office","Escalation to CBE","Escalation to Roxanne")&amp;" sent "&amp;TEXT($X258,"dd-mmm")&amp;". "&amp;IF($W258=6,"Final escalation completed.",IF($T258="OVERDUE","Next: "&amp;$Z258&amp;" was due "&amp;TEXT($Y258,"dd-mmm")&amp;" - "&amp;(NETWORKDAYS($Y258,TODAY(),Holidays)-1)&amp;" business day(s) late. Send now.",IF($T258="DUE TOMORROW","Next: "&amp;$Z258&amp;IF($Y258&lt;=TODAY()," is due TODAY ("," is due next business day (")&amp;TEXT($Y258,"dd-mmm")&amp;").","Next: "&amp;$Z258&amp;" due "&amp;TEXT($Y258,"dd-mmm")&amp;" ("&amp;(NETWORKDAYS(TODAY(),$Y258,Holidays)-1)&amp;" business day(s) left).")))))</f>
        <v/>
      </c>
      <c r="V258" s="17">
        <f>IF($W258="","",CHOOSE($W258,"Collection Email","1st Follow-up","2nd Follow-up","Local Office","CBE","Roxanne")&amp;IF($W258=6," - Final"," - Day "&amp;MAX(0,NETWORKDAYS($X258,TODAY(),Holidays)-1)&amp;" of "&amp;CHOOSE($W258,3,3,2,2,3))&amp;" | Total Day "&amp;MAX(0,NETWORKDAYS($L258,TODAY(),Holidays)-1))</f>
        <v/>
      </c>
      <c r="W258" s="17">
        <f>IF($L258="","",COUNT($L258:$Q258))</f>
        <v/>
      </c>
      <c r="X258" s="18">
        <f>IF($W258="","",INT(INDEX($L258:$Q258,$W258)))</f>
        <v/>
      </c>
      <c r="Y258" s="18">
        <f>IF(OR($W258="",$W258=6),"",WORKDAY($X258,CHOOSE($W258,3,3,2,2,3),Holidays))</f>
        <v/>
      </c>
      <c r="Z258" s="17">
        <f>IF(OR($W258="",$W258=6),"",CHOOSE($W258,"1st Email Follow-up","2nd Email Follow-up","Escalate Local Office","Escalate to CBE","Escalate to Roxanne"))</f>
        <v/>
      </c>
    </row>
    <row r="259" spans="18:26">
      <c r="R259" s="15"/>
      <c r="S259" s="16"/>
      <c r="T259" s="17">
        <f>IF(AND(COUNTA($A259:$K259)=0,$L259=""),"",IF($S259="Paid","PAID",IF($S259="Closed","CLOSED",IF($W259="","",IF($W259=6,"ESCALATED TO ROXANNE",IF(TODAY()&gt;$Y259,"OVERDUE",IF($Y259&lt;=WORKDAY(TODAY(),1,Holidays),"DUE TOMORROW",IF($W259=4,"ESCALATED TO LOCAL OFFICE",IF($W259=5,"ESCALATED TO CBE",IF($X259=TODAY(),"EMAIL SENT","MONITORING"))))))))))</f>
        <v/>
      </c>
      <c r="U259" s="17">
        <f>IF($T259="",IF(AND(COUNTA($A259:$K259)&gt;0,$L259=""),"Awaiting Collection Email time stamp.",""),IF(OR($T259="PAID",$T259="CLOSED"),IF($T259="PAID","Account paid. Action completed.","Account closed. No further action required."),CHOOSE($W259,"Collection Email","1st Email Follow-up","2nd Email Follow-up","Escalation to Local Office","Escalation to CBE","Escalation to Roxanne")&amp;" sent "&amp;TEXT($X259,"dd-mmm")&amp;". "&amp;IF($W259=6,"Final escalation completed.",IF($T259="OVERDUE","Next: "&amp;$Z259&amp;" was due "&amp;TEXT($Y259,"dd-mmm")&amp;" - "&amp;(NETWORKDAYS($Y259,TODAY(),Holidays)-1)&amp;" business day(s) late. Send now.",IF($T259="DUE TOMORROW","Next: "&amp;$Z259&amp;IF($Y259&lt;=TODAY()," is due TODAY ("," is due next business day (")&amp;TEXT($Y259,"dd-mmm")&amp;").","Next: "&amp;$Z259&amp;" due "&amp;TEXT($Y259,"dd-mmm")&amp;" ("&amp;(NETWORKDAYS(TODAY(),$Y259,Holidays)-1)&amp;" business day(s) left).")))))</f>
        <v/>
      </c>
      <c r="V259" s="17">
        <f>IF($W259="","",CHOOSE($W259,"Collection Email","1st Follow-up","2nd Follow-up","Local Office","CBE","Roxanne")&amp;IF($W259=6," - Final"," - Day "&amp;MAX(0,NETWORKDAYS($X259,TODAY(),Holidays)-1)&amp;" of "&amp;CHOOSE($W259,3,3,2,2,3))&amp;" | Total Day "&amp;MAX(0,NETWORKDAYS($L259,TODAY(),Holidays)-1))</f>
        <v/>
      </c>
      <c r="W259" s="17">
        <f>IF($L259="","",COUNT($L259:$Q259))</f>
        <v/>
      </c>
      <c r="X259" s="18">
        <f>IF($W259="","",INT(INDEX($L259:$Q259,$W259)))</f>
        <v/>
      </c>
      <c r="Y259" s="18">
        <f>IF(OR($W259="",$W259=6),"",WORKDAY($X259,CHOOSE($W259,3,3,2,2,3),Holidays))</f>
        <v/>
      </c>
      <c r="Z259" s="17">
        <f>IF(OR($W259="",$W259=6),"",CHOOSE($W259,"1st Email Follow-up","2nd Email Follow-up","Escalate Local Office","Escalate to CBE","Escalate to Roxanne"))</f>
        <v/>
      </c>
    </row>
    <row r="260" spans="18:26">
      <c r="R260" s="15"/>
      <c r="S260" s="16"/>
      <c r="T260" s="17">
        <f>IF(AND(COUNTA($A260:$K260)=0,$L260=""),"",IF($S260="Paid","PAID",IF($S260="Closed","CLOSED",IF($W260="","",IF($W260=6,"ESCALATED TO ROXANNE",IF(TODAY()&gt;$Y260,"OVERDUE",IF($Y260&lt;=WORKDAY(TODAY(),1,Holidays),"DUE TOMORROW",IF($W260=4,"ESCALATED TO LOCAL OFFICE",IF($W260=5,"ESCALATED TO CBE",IF($X260=TODAY(),"EMAIL SENT","MONITORING"))))))))))</f>
        <v/>
      </c>
      <c r="U260" s="17">
        <f>IF($T260="",IF(AND(COUNTA($A260:$K260)&gt;0,$L260=""),"Awaiting Collection Email time stamp.",""),IF(OR($T260="PAID",$T260="CLOSED"),IF($T260="PAID","Account paid. Action completed.","Account closed. No further action required."),CHOOSE($W260,"Collection Email","1st Email Follow-up","2nd Email Follow-up","Escalation to Local Office","Escalation to CBE","Escalation to Roxanne")&amp;" sent "&amp;TEXT($X260,"dd-mmm")&amp;". "&amp;IF($W260=6,"Final escalation completed.",IF($T260="OVERDUE","Next: "&amp;$Z260&amp;" was due "&amp;TEXT($Y260,"dd-mmm")&amp;" - "&amp;(NETWORKDAYS($Y260,TODAY(),Holidays)-1)&amp;" business day(s) late. Send now.",IF($T260="DUE TOMORROW","Next: "&amp;$Z260&amp;IF($Y260&lt;=TODAY()," is due TODAY ("," is due next business day (")&amp;TEXT($Y260,"dd-mmm")&amp;").","Next: "&amp;$Z260&amp;" due "&amp;TEXT($Y260,"dd-mmm")&amp;" ("&amp;(NETWORKDAYS(TODAY(),$Y260,Holidays)-1)&amp;" business day(s) left).")))))</f>
        <v/>
      </c>
      <c r="V260" s="17">
        <f>IF($W260="","",CHOOSE($W260,"Collection Email","1st Follow-up","2nd Follow-up","Local Office","CBE","Roxanne")&amp;IF($W260=6," - Final"," - Day "&amp;MAX(0,NETWORKDAYS($X260,TODAY(),Holidays)-1)&amp;" of "&amp;CHOOSE($W260,3,3,2,2,3))&amp;" | Total Day "&amp;MAX(0,NETWORKDAYS($L260,TODAY(),Holidays)-1))</f>
        <v/>
      </c>
      <c r="W260" s="17">
        <f>IF($L260="","",COUNT($L260:$Q260))</f>
        <v/>
      </c>
      <c r="X260" s="18">
        <f>IF($W260="","",INT(INDEX($L260:$Q260,$W260)))</f>
        <v/>
      </c>
      <c r="Y260" s="18">
        <f>IF(OR($W260="",$W260=6),"",WORKDAY($X260,CHOOSE($W260,3,3,2,2,3),Holidays))</f>
        <v/>
      </c>
      <c r="Z260" s="17">
        <f>IF(OR($W260="",$W260=6),"",CHOOSE($W260,"1st Email Follow-up","2nd Email Follow-up","Escalate Local Office","Escalate to CBE","Escalate to Roxanne"))</f>
        <v/>
      </c>
    </row>
    <row r="261" spans="18:26">
      <c r="R261" s="15"/>
      <c r="S261" s="16"/>
      <c r="T261" s="17">
        <f>IF(AND(COUNTA($A261:$K261)=0,$L261=""),"",IF($S261="Paid","PAID",IF($S261="Closed","CLOSED",IF($W261="","",IF($W261=6,"ESCALATED TO ROXANNE",IF(TODAY()&gt;$Y261,"OVERDUE",IF($Y261&lt;=WORKDAY(TODAY(),1,Holidays),"DUE TOMORROW",IF($W261=4,"ESCALATED TO LOCAL OFFICE",IF($W261=5,"ESCALATED TO CBE",IF($X261=TODAY(),"EMAIL SENT","MONITORING"))))))))))</f>
        <v/>
      </c>
      <c r="U261" s="17">
        <f>IF($T261="",IF(AND(COUNTA($A261:$K261)&gt;0,$L261=""),"Awaiting Collection Email time stamp.",""),IF(OR($T261="PAID",$T261="CLOSED"),IF($T261="PAID","Account paid. Action completed.","Account closed. No further action required."),CHOOSE($W261,"Collection Email","1st Email Follow-up","2nd Email Follow-up","Escalation to Local Office","Escalation to CBE","Escalation to Roxanne")&amp;" sent "&amp;TEXT($X261,"dd-mmm")&amp;". "&amp;IF($W261=6,"Final escalation completed.",IF($T261="OVERDUE","Next: "&amp;$Z261&amp;" was due "&amp;TEXT($Y261,"dd-mmm")&amp;" - "&amp;(NETWORKDAYS($Y261,TODAY(),Holidays)-1)&amp;" business day(s) late. Send now.",IF($T261="DUE TOMORROW","Next: "&amp;$Z261&amp;IF($Y261&lt;=TODAY()," is due TODAY ("," is due next business day (")&amp;TEXT($Y261,"dd-mmm")&amp;").","Next: "&amp;$Z261&amp;" due "&amp;TEXT($Y261,"dd-mmm")&amp;" ("&amp;(NETWORKDAYS(TODAY(),$Y261,Holidays)-1)&amp;" business day(s) left).")))))</f>
        <v/>
      </c>
      <c r="V261" s="17">
        <f>IF($W261="","",CHOOSE($W261,"Collection Email","1st Follow-up","2nd Follow-up","Local Office","CBE","Roxanne")&amp;IF($W261=6," - Final"," - Day "&amp;MAX(0,NETWORKDAYS($X261,TODAY(),Holidays)-1)&amp;" of "&amp;CHOOSE($W261,3,3,2,2,3))&amp;" | Total Day "&amp;MAX(0,NETWORKDAYS($L261,TODAY(),Holidays)-1))</f>
        <v/>
      </c>
      <c r="W261" s="17">
        <f>IF($L261="","",COUNT($L261:$Q261))</f>
        <v/>
      </c>
      <c r="X261" s="18">
        <f>IF($W261="","",INT(INDEX($L261:$Q261,$W261)))</f>
        <v/>
      </c>
      <c r="Y261" s="18">
        <f>IF(OR($W261="",$W261=6),"",WORKDAY($X261,CHOOSE($W261,3,3,2,2,3),Holidays))</f>
        <v/>
      </c>
      <c r="Z261" s="17">
        <f>IF(OR($W261="",$W261=6),"",CHOOSE($W261,"1st Email Follow-up","2nd Email Follow-up","Escalate Local Office","Escalate to CBE","Escalate to Roxanne"))</f>
        <v/>
      </c>
    </row>
    <row r="262" spans="18:26">
      <c r="R262" s="15"/>
      <c r="S262" s="16"/>
      <c r="T262" s="17">
        <f>IF(AND(COUNTA($A262:$K262)=0,$L262=""),"",IF($S262="Paid","PAID",IF($S262="Closed","CLOSED",IF($W262="","",IF($W262=6,"ESCALATED TO ROXANNE",IF(TODAY()&gt;$Y262,"OVERDUE",IF($Y262&lt;=WORKDAY(TODAY(),1,Holidays),"DUE TOMORROW",IF($W262=4,"ESCALATED TO LOCAL OFFICE",IF($W262=5,"ESCALATED TO CBE",IF($X262=TODAY(),"EMAIL SENT","MONITORING"))))))))))</f>
        <v/>
      </c>
      <c r="U262" s="17">
        <f>IF($T262="",IF(AND(COUNTA($A262:$K262)&gt;0,$L262=""),"Awaiting Collection Email time stamp.",""),IF(OR($T262="PAID",$T262="CLOSED"),IF($T262="PAID","Account paid. Action completed.","Account closed. No further action required."),CHOOSE($W262,"Collection Email","1st Email Follow-up","2nd Email Follow-up","Escalation to Local Office","Escalation to CBE","Escalation to Roxanne")&amp;" sent "&amp;TEXT($X262,"dd-mmm")&amp;". "&amp;IF($W262=6,"Final escalation completed.",IF($T262="OVERDUE","Next: "&amp;$Z262&amp;" was due "&amp;TEXT($Y262,"dd-mmm")&amp;" - "&amp;(NETWORKDAYS($Y262,TODAY(),Holidays)-1)&amp;" business day(s) late. Send now.",IF($T262="DUE TOMORROW","Next: "&amp;$Z262&amp;IF($Y262&lt;=TODAY()," is due TODAY ("," is due next business day (")&amp;TEXT($Y262,"dd-mmm")&amp;").","Next: "&amp;$Z262&amp;" due "&amp;TEXT($Y262,"dd-mmm")&amp;" ("&amp;(NETWORKDAYS(TODAY(),$Y262,Holidays)-1)&amp;" business day(s) left).")))))</f>
        <v/>
      </c>
      <c r="V262" s="17">
        <f>IF($W262="","",CHOOSE($W262,"Collection Email","1st Follow-up","2nd Follow-up","Local Office","CBE","Roxanne")&amp;IF($W262=6," - Final"," - Day "&amp;MAX(0,NETWORKDAYS($X262,TODAY(),Holidays)-1)&amp;" of "&amp;CHOOSE($W262,3,3,2,2,3))&amp;" | Total Day "&amp;MAX(0,NETWORKDAYS($L262,TODAY(),Holidays)-1))</f>
        <v/>
      </c>
      <c r="W262" s="17">
        <f>IF($L262="","",COUNT($L262:$Q262))</f>
        <v/>
      </c>
      <c r="X262" s="18">
        <f>IF($W262="","",INT(INDEX($L262:$Q262,$W262)))</f>
        <v/>
      </c>
      <c r="Y262" s="18">
        <f>IF(OR($W262="",$W262=6),"",WORKDAY($X262,CHOOSE($W262,3,3,2,2,3),Holidays))</f>
        <v/>
      </c>
      <c r="Z262" s="17">
        <f>IF(OR($W262="",$W262=6),"",CHOOSE($W262,"1st Email Follow-up","2nd Email Follow-up","Escalate Local Office","Escalate to CBE","Escalate to Roxanne"))</f>
        <v/>
      </c>
    </row>
    <row r="263" spans="18:26">
      <c r="R263" s="15"/>
      <c r="S263" s="16"/>
      <c r="T263" s="17">
        <f>IF(AND(COUNTA($A263:$K263)=0,$L263=""),"",IF($S263="Paid","PAID",IF($S263="Closed","CLOSED",IF($W263="","",IF($W263=6,"ESCALATED TO ROXANNE",IF(TODAY()&gt;$Y263,"OVERDUE",IF($Y263&lt;=WORKDAY(TODAY(),1,Holidays),"DUE TOMORROW",IF($W263=4,"ESCALATED TO LOCAL OFFICE",IF($W263=5,"ESCALATED TO CBE",IF($X263=TODAY(),"EMAIL SENT","MONITORING"))))))))))</f>
        <v/>
      </c>
      <c r="U263" s="17">
        <f>IF($T263="",IF(AND(COUNTA($A263:$K263)&gt;0,$L263=""),"Awaiting Collection Email time stamp.",""),IF(OR($T263="PAID",$T263="CLOSED"),IF($T263="PAID","Account paid. Action completed.","Account closed. No further action required."),CHOOSE($W263,"Collection Email","1st Email Follow-up","2nd Email Follow-up","Escalation to Local Office","Escalation to CBE","Escalation to Roxanne")&amp;" sent "&amp;TEXT($X263,"dd-mmm")&amp;". "&amp;IF($W263=6,"Final escalation completed.",IF($T263="OVERDUE","Next: "&amp;$Z263&amp;" was due "&amp;TEXT($Y263,"dd-mmm")&amp;" - "&amp;(NETWORKDAYS($Y263,TODAY(),Holidays)-1)&amp;" business day(s) late. Send now.",IF($T263="DUE TOMORROW","Next: "&amp;$Z263&amp;IF($Y263&lt;=TODAY()," is due TODAY ("," is due next business day (")&amp;TEXT($Y263,"dd-mmm")&amp;").","Next: "&amp;$Z263&amp;" due "&amp;TEXT($Y263,"dd-mmm")&amp;" ("&amp;(NETWORKDAYS(TODAY(),$Y263,Holidays)-1)&amp;" business day(s) left).")))))</f>
        <v/>
      </c>
      <c r="V263" s="17">
        <f>IF($W263="","",CHOOSE($W263,"Collection Email","1st Follow-up","2nd Follow-up","Local Office","CBE","Roxanne")&amp;IF($W263=6," - Final"," - Day "&amp;MAX(0,NETWORKDAYS($X263,TODAY(),Holidays)-1)&amp;" of "&amp;CHOOSE($W263,3,3,2,2,3))&amp;" | Total Day "&amp;MAX(0,NETWORKDAYS($L263,TODAY(),Holidays)-1))</f>
        <v/>
      </c>
      <c r="W263" s="17">
        <f>IF($L263="","",COUNT($L263:$Q263))</f>
        <v/>
      </c>
      <c r="X263" s="18">
        <f>IF($W263="","",INT(INDEX($L263:$Q263,$W263)))</f>
        <v/>
      </c>
      <c r="Y263" s="18">
        <f>IF(OR($W263="",$W263=6),"",WORKDAY($X263,CHOOSE($W263,3,3,2,2,3),Holidays))</f>
        <v/>
      </c>
      <c r="Z263" s="17">
        <f>IF(OR($W263="",$W263=6),"",CHOOSE($W263,"1st Email Follow-up","2nd Email Follow-up","Escalate Local Office","Escalate to CBE","Escalate to Roxanne"))</f>
        <v/>
      </c>
    </row>
    <row r="264" spans="18:26">
      <c r="R264" s="15"/>
      <c r="S264" s="16"/>
      <c r="T264" s="17">
        <f>IF(AND(COUNTA($A264:$K264)=0,$L264=""),"",IF($S264="Paid","PAID",IF($S264="Closed","CLOSED",IF($W264="","",IF($W264=6,"ESCALATED TO ROXANNE",IF(TODAY()&gt;$Y264,"OVERDUE",IF($Y264&lt;=WORKDAY(TODAY(),1,Holidays),"DUE TOMORROW",IF($W264=4,"ESCALATED TO LOCAL OFFICE",IF($W264=5,"ESCALATED TO CBE",IF($X264=TODAY(),"EMAIL SENT","MONITORING"))))))))))</f>
        <v/>
      </c>
      <c r="U264" s="17">
        <f>IF($T264="",IF(AND(COUNTA($A264:$K264)&gt;0,$L264=""),"Awaiting Collection Email time stamp.",""),IF(OR($T264="PAID",$T264="CLOSED"),IF($T264="PAID","Account paid. Action completed.","Account closed. No further action required."),CHOOSE($W264,"Collection Email","1st Email Follow-up","2nd Email Follow-up","Escalation to Local Office","Escalation to CBE","Escalation to Roxanne")&amp;" sent "&amp;TEXT($X264,"dd-mmm")&amp;". "&amp;IF($W264=6,"Final escalation completed.",IF($T264="OVERDUE","Next: "&amp;$Z264&amp;" was due "&amp;TEXT($Y264,"dd-mmm")&amp;" - "&amp;(NETWORKDAYS($Y264,TODAY(),Holidays)-1)&amp;" business day(s) late. Send now.",IF($T264="DUE TOMORROW","Next: "&amp;$Z264&amp;IF($Y264&lt;=TODAY()," is due TODAY ("," is due next business day (")&amp;TEXT($Y264,"dd-mmm")&amp;").","Next: "&amp;$Z264&amp;" due "&amp;TEXT($Y264,"dd-mmm")&amp;" ("&amp;(NETWORKDAYS(TODAY(),$Y264,Holidays)-1)&amp;" business day(s) left).")))))</f>
        <v/>
      </c>
      <c r="V264" s="17">
        <f>IF($W264="","",CHOOSE($W264,"Collection Email","1st Follow-up","2nd Follow-up","Local Office","CBE","Roxanne")&amp;IF($W264=6," - Final"," - Day "&amp;MAX(0,NETWORKDAYS($X264,TODAY(),Holidays)-1)&amp;" of "&amp;CHOOSE($W264,3,3,2,2,3))&amp;" | Total Day "&amp;MAX(0,NETWORKDAYS($L264,TODAY(),Holidays)-1))</f>
        <v/>
      </c>
      <c r="W264" s="17">
        <f>IF($L264="","",COUNT($L264:$Q264))</f>
        <v/>
      </c>
      <c r="X264" s="18">
        <f>IF($W264="","",INT(INDEX($L264:$Q264,$W264)))</f>
        <v/>
      </c>
      <c r="Y264" s="18">
        <f>IF(OR($W264="",$W264=6),"",WORKDAY($X264,CHOOSE($W264,3,3,2,2,3),Holidays))</f>
        <v/>
      </c>
      <c r="Z264" s="17">
        <f>IF(OR($W264="",$W264=6),"",CHOOSE($W264,"1st Email Follow-up","2nd Email Follow-up","Escalate Local Office","Escalate to CBE","Escalate to Roxanne"))</f>
        <v/>
      </c>
    </row>
    <row r="265" spans="18:26">
      <c r="R265" s="15"/>
      <c r="S265" s="16"/>
      <c r="T265" s="17">
        <f>IF(AND(COUNTA($A265:$K265)=0,$L265=""),"",IF($S265="Paid","PAID",IF($S265="Closed","CLOSED",IF($W265="","",IF($W265=6,"ESCALATED TO ROXANNE",IF(TODAY()&gt;$Y265,"OVERDUE",IF($Y265&lt;=WORKDAY(TODAY(),1,Holidays),"DUE TOMORROW",IF($W265=4,"ESCALATED TO LOCAL OFFICE",IF($W265=5,"ESCALATED TO CBE",IF($X265=TODAY(),"EMAIL SENT","MONITORING"))))))))))</f>
        <v/>
      </c>
      <c r="U265" s="17">
        <f>IF($T265="",IF(AND(COUNTA($A265:$K265)&gt;0,$L265=""),"Awaiting Collection Email time stamp.",""),IF(OR($T265="PAID",$T265="CLOSED"),IF($T265="PAID","Account paid. Action completed.","Account closed. No further action required."),CHOOSE($W265,"Collection Email","1st Email Follow-up","2nd Email Follow-up","Escalation to Local Office","Escalation to CBE","Escalation to Roxanne")&amp;" sent "&amp;TEXT($X265,"dd-mmm")&amp;". "&amp;IF($W265=6,"Final escalation completed.",IF($T265="OVERDUE","Next: "&amp;$Z265&amp;" was due "&amp;TEXT($Y265,"dd-mmm")&amp;" - "&amp;(NETWORKDAYS($Y265,TODAY(),Holidays)-1)&amp;" business day(s) late. Send now.",IF($T265="DUE TOMORROW","Next: "&amp;$Z265&amp;IF($Y265&lt;=TODAY()," is due TODAY ("," is due next business day (")&amp;TEXT($Y265,"dd-mmm")&amp;").","Next: "&amp;$Z265&amp;" due "&amp;TEXT($Y265,"dd-mmm")&amp;" ("&amp;(NETWORKDAYS(TODAY(),$Y265,Holidays)-1)&amp;" business day(s) left).")))))</f>
        <v/>
      </c>
      <c r="V265" s="17">
        <f>IF($W265="","",CHOOSE($W265,"Collection Email","1st Follow-up","2nd Follow-up","Local Office","CBE","Roxanne")&amp;IF($W265=6," - Final"," - Day "&amp;MAX(0,NETWORKDAYS($X265,TODAY(),Holidays)-1)&amp;" of "&amp;CHOOSE($W265,3,3,2,2,3))&amp;" | Total Day "&amp;MAX(0,NETWORKDAYS($L265,TODAY(),Holidays)-1))</f>
        <v/>
      </c>
      <c r="W265" s="17">
        <f>IF($L265="","",COUNT($L265:$Q265))</f>
        <v/>
      </c>
      <c r="X265" s="18">
        <f>IF($W265="","",INT(INDEX($L265:$Q265,$W265)))</f>
        <v/>
      </c>
      <c r="Y265" s="18">
        <f>IF(OR($W265="",$W265=6),"",WORKDAY($X265,CHOOSE($W265,3,3,2,2,3),Holidays))</f>
        <v/>
      </c>
      <c r="Z265" s="17">
        <f>IF(OR($W265="",$W265=6),"",CHOOSE($W265,"1st Email Follow-up","2nd Email Follow-up","Escalate Local Office","Escalate to CBE","Escalate to Roxanne"))</f>
        <v/>
      </c>
    </row>
    <row r="266" spans="18:26">
      <c r="R266" s="15"/>
      <c r="S266" s="16"/>
      <c r="T266" s="17">
        <f>IF(AND(COUNTA($A266:$K266)=0,$L266=""),"",IF($S266="Paid","PAID",IF($S266="Closed","CLOSED",IF($W266="","",IF($W266=6,"ESCALATED TO ROXANNE",IF(TODAY()&gt;$Y266,"OVERDUE",IF($Y266&lt;=WORKDAY(TODAY(),1,Holidays),"DUE TOMORROW",IF($W266=4,"ESCALATED TO LOCAL OFFICE",IF($W266=5,"ESCALATED TO CBE",IF($X266=TODAY(),"EMAIL SENT","MONITORING"))))))))))</f>
        <v/>
      </c>
      <c r="U266" s="17">
        <f>IF($T266="",IF(AND(COUNTA($A266:$K266)&gt;0,$L266=""),"Awaiting Collection Email time stamp.",""),IF(OR($T266="PAID",$T266="CLOSED"),IF($T266="PAID","Account paid. Action completed.","Account closed. No further action required."),CHOOSE($W266,"Collection Email","1st Email Follow-up","2nd Email Follow-up","Escalation to Local Office","Escalation to CBE","Escalation to Roxanne")&amp;" sent "&amp;TEXT($X266,"dd-mmm")&amp;". "&amp;IF($W266=6,"Final escalation completed.",IF($T266="OVERDUE","Next: "&amp;$Z266&amp;" was due "&amp;TEXT($Y266,"dd-mmm")&amp;" - "&amp;(NETWORKDAYS($Y266,TODAY(),Holidays)-1)&amp;" business day(s) late. Send now.",IF($T266="DUE TOMORROW","Next: "&amp;$Z266&amp;IF($Y266&lt;=TODAY()," is due TODAY ("," is due next business day (")&amp;TEXT($Y266,"dd-mmm")&amp;").","Next: "&amp;$Z266&amp;" due "&amp;TEXT($Y266,"dd-mmm")&amp;" ("&amp;(NETWORKDAYS(TODAY(),$Y266,Holidays)-1)&amp;" business day(s) left).")))))</f>
        <v/>
      </c>
      <c r="V266" s="17">
        <f>IF($W266="","",CHOOSE($W266,"Collection Email","1st Follow-up","2nd Follow-up","Local Office","CBE","Roxanne")&amp;IF($W266=6," - Final"," - Day "&amp;MAX(0,NETWORKDAYS($X266,TODAY(),Holidays)-1)&amp;" of "&amp;CHOOSE($W266,3,3,2,2,3))&amp;" | Total Day "&amp;MAX(0,NETWORKDAYS($L266,TODAY(),Holidays)-1))</f>
        <v/>
      </c>
      <c r="W266" s="17">
        <f>IF($L266="","",COUNT($L266:$Q266))</f>
        <v/>
      </c>
      <c r="X266" s="18">
        <f>IF($W266="","",INT(INDEX($L266:$Q266,$W266)))</f>
        <v/>
      </c>
      <c r="Y266" s="18">
        <f>IF(OR($W266="",$W266=6),"",WORKDAY($X266,CHOOSE($W266,3,3,2,2,3),Holidays))</f>
        <v/>
      </c>
      <c r="Z266" s="17">
        <f>IF(OR($W266="",$W266=6),"",CHOOSE($W266,"1st Email Follow-up","2nd Email Follow-up","Escalate Local Office","Escalate to CBE","Escalate to Roxanne"))</f>
        <v/>
      </c>
    </row>
    <row r="267" spans="18:26">
      <c r="R267" s="15"/>
      <c r="S267" s="16"/>
      <c r="T267" s="17">
        <f>IF(AND(COUNTA($A267:$K267)=0,$L267=""),"",IF($S267="Paid","PAID",IF($S267="Closed","CLOSED",IF($W267="","",IF($W267=6,"ESCALATED TO ROXANNE",IF(TODAY()&gt;$Y267,"OVERDUE",IF($Y267&lt;=WORKDAY(TODAY(),1,Holidays),"DUE TOMORROW",IF($W267=4,"ESCALATED TO LOCAL OFFICE",IF($W267=5,"ESCALATED TO CBE",IF($X267=TODAY(),"EMAIL SENT","MONITORING"))))))))))</f>
        <v/>
      </c>
      <c r="U267" s="17">
        <f>IF($T267="",IF(AND(COUNTA($A267:$K267)&gt;0,$L267=""),"Awaiting Collection Email time stamp.",""),IF(OR($T267="PAID",$T267="CLOSED"),IF($T267="PAID","Account paid. Action completed.","Account closed. No further action required."),CHOOSE($W267,"Collection Email","1st Email Follow-up","2nd Email Follow-up","Escalation to Local Office","Escalation to CBE","Escalation to Roxanne")&amp;" sent "&amp;TEXT($X267,"dd-mmm")&amp;". "&amp;IF($W267=6,"Final escalation completed.",IF($T267="OVERDUE","Next: "&amp;$Z267&amp;" was due "&amp;TEXT($Y267,"dd-mmm")&amp;" - "&amp;(NETWORKDAYS($Y267,TODAY(),Holidays)-1)&amp;" business day(s) late. Send now.",IF($T267="DUE TOMORROW","Next: "&amp;$Z267&amp;IF($Y267&lt;=TODAY()," is due TODAY ("," is due next business day (")&amp;TEXT($Y267,"dd-mmm")&amp;").","Next: "&amp;$Z267&amp;" due "&amp;TEXT($Y267,"dd-mmm")&amp;" ("&amp;(NETWORKDAYS(TODAY(),$Y267,Holidays)-1)&amp;" business day(s) left).")))))</f>
        <v/>
      </c>
      <c r="V267" s="17">
        <f>IF($W267="","",CHOOSE($W267,"Collection Email","1st Follow-up","2nd Follow-up","Local Office","CBE","Roxanne")&amp;IF($W267=6," - Final"," - Day "&amp;MAX(0,NETWORKDAYS($X267,TODAY(),Holidays)-1)&amp;" of "&amp;CHOOSE($W267,3,3,2,2,3))&amp;" | Total Day "&amp;MAX(0,NETWORKDAYS($L267,TODAY(),Holidays)-1))</f>
        <v/>
      </c>
      <c r="W267" s="17">
        <f>IF($L267="","",COUNT($L267:$Q267))</f>
        <v/>
      </c>
      <c r="X267" s="18">
        <f>IF($W267="","",INT(INDEX($L267:$Q267,$W267)))</f>
        <v/>
      </c>
      <c r="Y267" s="18">
        <f>IF(OR($W267="",$W267=6),"",WORKDAY($X267,CHOOSE($W267,3,3,2,2,3),Holidays))</f>
        <v/>
      </c>
      <c r="Z267" s="17">
        <f>IF(OR($W267="",$W267=6),"",CHOOSE($W267,"1st Email Follow-up","2nd Email Follow-up","Escalate Local Office","Escalate to CBE","Escalate to Roxanne"))</f>
        <v/>
      </c>
    </row>
    <row r="268" spans="18:26">
      <c r="R268" s="15"/>
      <c r="S268" s="16"/>
      <c r="T268" s="17">
        <f>IF(AND(COUNTA($A268:$K268)=0,$L268=""),"",IF($S268="Paid","PAID",IF($S268="Closed","CLOSED",IF($W268="","",IF($W268=6,"ESCALATED TO ROXANNE",IF(TODAY()&gt;$Y268,"OVERDUE",IF($Y268&lt;=WORKDAY(TODAY(),1,Holidays),"DUE TOMORROW",IF($W268=4,"ESCALATED TO LOCAL OFFICE",IF($W268=5,"ESCALATED TO CBE",IF($X268=TODAY(),"EMAIL SENT","MONITORING"))))))))))</f>
        <v/>
      </c>
      <c r="U268" s="17">
        <f>IF($T268="",IF(AND(COUNTA($A268:$K268)&gt;0,$L268=""),"Awaiting Collection Email time stamp.",""),IF(OR($T268="PAID",$T268="CLOSED"),IF($T268="PAID","Account paid. Action completed.","Account closed. No further action required."),CHOOSE($W268,"Collection Email","1st Email Follow-up","2nd Email Follow-up","Escalation to Local Office","Escalation to CBE","Escalation to Roxanne")&amp;" sent "&amp;TEXT($X268,"dd-mmm")&amp;". "&amp;IF($W268=6,"Final escalation completed.",IF($T268="OVERDUE","Next: "&amp;$Z268&amp;" was due "&amp;TEXT($Y268,"dd-mmm")&amp;" - "&amp;(NETWORKDAYS($Y268,TODAY(),Holidays)-1)&amp;" business day(s) late. Send now.",IF($T268="DUE TOMORROW","Next: "&amp;$Z268&amp;IF($Y268&lt;=TODAY()," is due TODAY ("," is due next business day (")&amp;TEXT($Y268,"dd-mmm")&amp;").","Next: "&amp;$Z268&amp;" due "&amp;TEXT($Y268,"dd-mmm")&amp;" ("&amp;(NETWORKDAYS(TODAY(),$Y268,Holidays)-1)&amp;" business day(s) left).")))))</f>
        <v/>
      </c>
      <c r="V268" s="17">
        <f>IF($W268="","",CHOOSE($W268,"Collection Email","1st Follow-up","2nd Follow-up","Local Office","CBE","Roxanne")&amp;IF($W268=6," - Final"," - Day "&amp;MAX(0,NETWORKDAYS($X268,TODAY(),Holidays)-1)&amp;" of "&amp;CHOOSE($W268,3,3,2,2,3))&amp;" | Total Day "&amp;MAX(0,NETWORKDAYS($L268,TODAY(),Holidays)-1))</f>
        <v/>
      </c>
      <c r="W268" s="17">
        <f>IF($L268="","",COUNT($L268:$Q268))</f>
        <v/>
      </c>
      <c r="X268" s="18">
        <f>IF($W268="","",INT(INDEX($L268:$Q268,$W268)))</f>
        <v/>
      </c>
      <c r="Y268" s="18">
        <f>IF(OR($W268="",$W268=6),"",WORKDAY($X268,CHOOSE($W268,3,3,2,2,3),Holidays))</f>
        <v/>
      </c>
      <c r="Z268" s="17">
        <f>IF(OR($W268="",$W268=6),"",CHOOSE($W268,"1st Email Follow-up","2nd Email Follow-up","Escalate Local Office","Escalate to CBE","Escalate to Roxanne"))</f>
        <v/>
      </c>
    </row>
    <row r="269" spans="18:26">
      <c r="R269" s="15"/>
      <c r="S269" s="16"/>
      <c r="T269" s="17">
        <f>IF(AND(COUNTA($A269:$K269)=0,$L269=""),"",IF($S269="Paid","PAID",IF($S269="Closed","CLOSED",IF($W269="","",IF($W269=6,"ESCALATED TO ROXANNE",IF(TODAY()&gt;$Y269,"OVERDUE",IF($Y269&lt;=WORKDAY(TODAY(),1,Holidays),"DUE TOMORROW",IF($W269=4,"ESCALATED TO LOCAL OFFICE",IF($W269=5,"ESCALATED TO CBE",IF($X269=TODAY(),"EMAIL SENT","MONITORING"))))))))))</f>
        <v/>
      </c>
      <c r="U269" s="17">
        <f>IF($T269="",IF(AND(COUNTA($A269:$K269)&gt;0,$L269=""),"Awaiting Collection Email time stamp.",""),IF(OR($T269="PAID",$T269="CLOSED"),IF($T269="PAID","Account paid. Action completed.","Account closed. No further action required."),CHOOSE($W269,"Collection Email","1st Email Follow-up","2nd Email Follow-up","Escalation to Local Office","Escalation to CBE","Escalation to Roxanne")&amp;" sent "&amp;TEXT($X269,"dd-mmm")&amp;". "&amp;IF($W269=6,"Final escalation completed.",IF($T269="OVERDUE","Next: "&amp;$Z269&amp;" was due "&amp;TEXT($Y269,"dd-mmm")&amp;" - "&amp;(NETWORKDAYS($Y269,TODAY(),Holidays)-1)&amp;" business day(s) late. Send now.",IF($T269="DUE TOMORROW","Next: "&amp;$Z269&amp;IF($Y269&lt;=TODAY()," is due TODAY ("," is due next business day (")&amp;TEXT($Y269,"dd-mmm")&amp;").","Next: "&amp;$Z269&amp;" due "&amp;TEXT($Y269,"dd-mmm")&amp;" ("&amp;(NETWORKDAYS(TODAY(),$Y269,Holidays)-1)&amp;" business day(s) left).")))))</f>
        <v/>
      </c>
      <c r="V269" s="17">
        <f>IF($W269="","",CHOOSE($W269,"Collection Email","1st Follow-up","2nd Follow-up","Local Office","CBE","Roxanne")&amp;IF($W269=6," - Final"," - Day "&amp;MAX(0,NETWORKDAYS($X269,TODAY(),Holidays)-1)&amp;" of "&amp;CHOOSE($W269,3,3,2,2,3))&amp;" | Total Day "&amp;MAX(0,NETWORKDAYS($L269,TODAY(),Holidays)-1))</f>
        <v/>
      </c>
      <c r="W269" s="17">
        <f>IF($L269="","",COUNT($L269:$Q269))</f>
        <v/>
      </c>
      <c r="X269" s="18">
        <f>IF($W269="","",INT(INDEX($L269:$Q269,$W269)))</f>
        <v/>
      </c>
      <c r="Y269" s="18">
        <f>IF(OR($W269="",$W269=6),"",WORKDAY($X269,CHOOSE($W269,3,3,2,2,3),Holidays))</f>
        <v/>
      </c>
      <c r="Z269" s="17">
        <f>IF(OR($W269="",$W269=6),"",CHOOSE($W269,"1st Email Follow-up","2nd Email Follow-up","Escalate Local Office","Escalate to CBE","Escalate to Roxanne"))</f>
        <v/>
      </c>
    </row>
    <row r="270" spans="18:26">
      <c r="R270" s="15"/>
      <c r="S270" s="16"/>
      <c r="T270" s="17">
        <f>IF(AND(COUNTA($A270:$K270)=0,$L270=""),"",IF($S270="Paid","PAID",IF($S270="Closed","CLOSED",IF($W270="","",IF($W270=6,"ESCALATED TO ROXANNE",IF(TODAY()&gt;$Y270,"OVERDUE",IF($Y270&lt;=WORKDAY(TODAY(),1,Holidays),"DUE TOMORROW",IF($W270=4,"ESCALATED TO LOCAL OFFICE",IF($W270=5,"ESCALATED TO CBE",IF($X270=TODAY(),"EMAIL SENT","MONITORING"))))))))))</f>
        <v/>
      </c>
      <c r="U270" s="17">
        <f>IF($T270="",IF(AND(COUNTA($A270:$K270)&gt;0,$L270=""),"Awaiting Collection Email time stamp.",""),IF(OR($T270="PAID",$T270="CLOSED"),IF($T270="PAID","Account paid. Action completed.","Account closed. No further action required."),CHOOSE($W270,"Collection Email","1st Email Follow-up","2nd Email Follow-up","Escalation to Local Office","Escalation to CBE","Escalation to Roxanne")&amp;" sent "&amp;TEXT($X270,"dd-mmm")&amp;". "&amp;IF($W270=6,"Final escalation completed.",IF($T270="OVERDUE","Next: "&amp;$Z270&amp;" was due "&amp;TEXT($Y270,"dd-mmm")&amp;" - "&amp;(NETWORKDAYS($Y270,TODAY(),Holidays)-1)&amp;" business day(s) late. Send now.",IF($T270="DUE TOMORROW","Next: "&amp;$Z270&amp;IF($Y270&lt;=TODAY()," is due TODAY ("," is due next business day (")&amp;TEXT($Y270,"dd-mmm")&amp;").","Next: "&amp;$Z270&amp;" due "&amp;TEXT($Y270,"dd-mmm")&amp;" ("&amp;(NETWORKDAYS(TODAY(),$Y270,Holidays)-1)&amp;" business day(s) left).")))))</f>
        <v/>
      </c>
      <c r="V270" s="17">
        <f>IF($W270="","",CHOOSE($W270,"Collection Email","1st Follow-up","2nd Follow-up","Local Office","CBE","Roxanne")&amp;IF($W270=6," - Final"," - Day "&amp;MAX(0,NETWORKDAYS($X270,TODAY(),Holidays)-1)&amp;" of "&amp;CHOOSE($W270,3,3,2,2,3))&amp;" | Total Day "&amp;MAX(0,NETWORKDAYS($L270,TODAY(),Holidays)-1))</f>
        <v/>
      </c>
      <c r="W270" s="17">
        <f>IF($L270="","",COUNT($L270:$Q270))</f>
        <v/>
      </c>
      <c r="X270" s="18">
        <f>IF($W270="","",INT(INDEX($L270:$Q270,$W270)))</f>
        <v/>
      </c>
      <c r="Y270" s="18">
        <f>IF(OR($W270="",$W270=6),"",WORKDAY($X270,CHOOSE($W270,3,3,2,2,3),Holidays))</f>
        <v/>
      </c>
      <c r="Z270" s="17">
        <f>IF(OR($W270="",$W270=6),"",CHOOSE($W270,"1st Email Follow-up","2nd Email Follow-up","Escalate Local Office","Escalate to CBE","Escalate to Roxanne"))</f>
        <v/>
      </c>
    </row>
    <row r="271" spans="18:26">
      <c r="R271" s="15"/>
      <c r="S271" s="16"/>
      <c r="T271" s="17">
        <f>IF(AND(COUNTA($A271:$K271)=0,$L271=""),"",IF($S271="Paid","PAID",IF($S271="Closed","CLOSED",IF($W271="","",IF($W271=6,"ESCALATED TO ROXANNE",IF(TODAY()&gt;$Y271,"OVERDUE",IF($Y271&lt;=WORKDAY(TODAY(),1,Holidays),"DUE TOMORROW",IF($W271=4,"ESCALATED TO LOCAL OFFICE",IF($W271=5,"ESCALATED TO CBE",IF($X271=TODAY(),"EMAIL SENT","MONITORING"))))))))))</f>
        <v/>
      </c>
      <c r="U271" s="17">
        <f>IF($T271="",IF(AND(COUNTA($A271:$K271)&gt;0,$L271=""),"Awaiting Collection Email time stamp.",""),IF(OR($T271="PAID",$T271="CLOSED"),IF($T271="PAID","Account paid. Action completed.","Account closed. No further action required."),CHOOSE($W271,"Collection Email","1st Email Follow-up","2nd Email Follow-up","Escalation to Local Office","Escalation to CBE","Escalation to Roxanne")&amp;" sent "&amp;TEXT($X271,"dd-mmm")&amp;". "&amp;IF($W271=6,"Final escalation completed.",IF($T271="OVERDUE","Next: "&amp;$Z271&amp;" was due "&amp;TEXT($Y271,"dd-mmm")&amp;" - "&amp;(NETWORKDAYS($Y271,TODAY(),Holidays)-1)&amp;" business day(s) late. Send now.",IF($T271="DUE TOMORROW","Next: "&amp;$Z271&amp;IF($Y271&lt;=TODAY()," is due TODAY ("," is due next business day (")&amp;TEXT($Y271,"dd-mmm")&amp;").","Next: "&amp;$Z271&amp;" due "&amp;TEXT($Y271,"dd-mmm")&amp;" ("&amp;(NETWORKDAYS(TODAY(),$Y271,Holidays)-1)&amp;" business day(s) left).")))))</f>
        <v/>
      </c>
      <c r="V271" s="17">
        <f>IF($W271="","",CHOOSE($W271,"Collection Email","1st Follow-up","2nd Follow-up","Local Office","CBE","Roxanne")&amp;IF($W271=6," - Final"," - Day "&amp;MAX(0,NETWORKDAYS($X271,TODAY(),Holidays)-1)&amp;" of "&amp;CHOOSE($W271,3,3,2,2,3))&amp;" | Total Day "&amp;MAX(0,NETWORKDAYS($L271,TODAY(),Holidays)-1))</f>
        <v/>
      </c>
      <c r="W271" s="17">
        <f>IF($L271="","",COUNT($L271:$Q271))</f>
        <v/>
      </c>
      <c r="X271" s="18">
        <f>IF($W271="","",INT(INDEX($L271:$Q271,$W271)))</f>
        <v/>
      </c>
      <c r="Y271" s="18">
        <f>IF(OR($W271="",$W271=6),"",WORKDAY($X271,CHOOSE($W271,3,3,2,2,3),Holidays))</f>
        <v/>
      </c>
      <c r="Z271" s="17">
        <f>IF(OR($W271="",$W271=6),"",CHOOSE($W271,"1st Email Follow-up","2nd Email Follow-up","Escalate Local Office","Escalate to CBE","Escalate to Roxanne"))</f>
        <v/>
      </c>
    </row>
    <row r="272" spans="18:26">
      <c r="R272" s="15"/>
      <c r="S272" s="16"/>
      <c r="T272" s="17">
        <f>IF(AND(COUNTA($A272:$K272)=0,$L272=""),"",IF($S272="Paid","PAID",IF($S272="Closed","CLOSED",IF($W272="","",IF($W272=6,"ESCALATED TO ROXANNE",IF(TODAY()&gt;$Y272,"OVERDUE",IF($Y272&lt;=WORKDAY(TODAY(),1,Holidays),"DUE TOMORROW",IF($W272=4,"ESCALATED TO LOCAL OFFICE",IF($W272=5,"ESCALATED TO CBE",IF($X272=TODAY(),"EMAIL SENT","MONITORING"))))))))))</f>
        <v/>
      </c>
      <c r="U272" s="17">
        <f>IF($T272="",IF(AND(COUNTA($A272:$K272)&gt;0,$L272=""),"Awaiting Collection Email time stamp.",""),IF(OR($T272="PAID",$T272="CLOSED"),IF($T272="PAID","Account paid. Action completed.","Account closed. No further action required."),CHOOSE($W272,"Collection Email","1st Email Follow-up","2nd Email Follow-up","Escalation to Local Office","Escalation to CBE","Escalation to Roxanne")&amp;" sent "&amp;TEXT($X272,"dd-mmm")&amp;". "&amp;IF($W272=6,"Final escalation completed.",IF($T272="OVERDUE","Next: "&amp;$Z272&amp;" was due "&amp;TEXT($Y272,"dd-mmm")&amp;" - "&amp;(NETWORKDAYS($Y272,TODAY(),Holidays)-1)&amp;" business day(s) late. Send now.",IF($T272="DUE TOMORROW","Next: "&amp;$Z272&amp;IF($Y272&lt;=TODAY()," is due TODAY ("," is due next business day (")&amp;TEXT($Y272,"dd-mmm")&amp;").","Next: "&amp;$Z272&amp;" due "&amp;TEXT($Y272,"dd-mmm")&amp;" ("&amp;(NETWORKDAYS(TODAY(),$Y272,Holidays)-1)&amp;" business day(s) left).")))))</f>
        <v/>
      </c>
      <c r="V272" s="17">
        <f>IF($W272="","",CHOOSE($W272,"Collection Email","1st Follow-up","2nd Follow-up","Local Office","CBE","Roxanne")&amp;IF($W272=6," - Final"," - Day "&amp;MAX(0,NETWORKDAYS($X272,TODAY(),Holidays)-1)&amp;" of "&amp;CHOOSE($W272,3,3,2,2,3))&amp;" | Total Day "&amp;MAX(0,NETWORKDAYS($L272,TODAY(),Holidays)-1))</f>
        <v/>
      </c>
      <c r="W272" s="17">
        <f>IF($L272="","",COUNT($L272:$Q272))</f>
        <v/>
      </c>
      <c r="X272" s="18">
        <f>IF($W272="","",INT(INDEX($L272:$Q272,$W272)))</f>
        <v/>
      </c>
      <c r="Y272" s="18">
        <f>IF(OR($W272="",$W272=6),"",WORKDAY($X272,CHOOSE($W272,3,3,2,2,3),Holidays))</f>
        <v/>
      </c>
      <c r="Z272" s="17">
        <f>IF(OR($W272="",$W272=6),"",CHOOSE($W272,"1st Email Follow-up","2nd Email Follow-up","Escalate Local Office","Escalate to CBE","Escalate to Roxanne"))</f>
        <v/>
      </c>
    </row>
    <row r="273" spans="18:26">
      <c r="R273" s="15"/>
      <c r="S273" s="16"/>
      <c r="T273" s="17">
        <f>IF(AND(COUNTA($A273:$K273)=0,$L273=""),"",IF($S273="Paid","PAID",IF($S273="Closed","CLOSED",IF($W273="","",IF($W273=6,"ESCALATED TO ROXANNE",IF(TODAY()&gt;$Y273,"OVERDUE",IF($Y273&lt;=WORKDAY(TODAY(),1,Holidays),"DUE TOMORROW",IF($W273=4,"ESCALATED TO LOCAL OFFICE",IF($W273=5,"ESCALATED TO CBE",IF($X273=TODAY(),"EMAIL SENT","MONITORING"))))))))))</f>
        <v/>
      </c>
      <c r="U273" s="17">
        <f>IF($T273="",IF(AND(COUNTA($A273:$K273)&gt;0,$L273=""),"Awaiting Collection Email time stamp.",""),IF(OR($T273="PAID",$T273="CLOSED"),IF($T273="PAID","Account paid. Action completed.","Account closed. No further action required."),CHOOSE($W273,"Collection Email","1st Email Follow-up","2nd Email Follow-up","Escalation to Local Office","Escalation to CBE","Escalation to Roxanne")&amp;" sent "&amp;TEXT($X273,"dd-mmm")&amp;". "&amp;IF($W273=6,"Final escalation completed.",IF($T273="OVERDUE","Next: "&amp;$Z273&amp;" was due "&amp;TEXT($Y273,"dd-mmm")&amp;" - "&amp;(NETWORKDAYS($Y273,TODAY(),Holidays)-1)&amp;" business day(s) late. Send now.",IF($T273="DUE TOMORROW","Next: "&amp;$Z273&amp;IF($Y273&lt;=TODAY()," is due TODAY ("," is due next business day (")&amp;TEXT($Y273,"dd-mmm")&amp;").","Next: "&amp;$Z273&amp;" due "&amp;TEXT($Y273,"dd-mmm")&amp;" ("&amp;(NETWORKDAYS(TODAY(),$Y273,Holidays)-1)&amp;" business day(s) left).")))))</f>
        <v/>
      </c>
      <c r="V273" s="17">
        <f>IF($W273="","",CHOOSE($W273,"Collection Email","1st Follow-up","2nd Follow-up","Local Office","CBE","Roxanne")&amp;IF($W273=6," - Final"," - Day "&amp;MAX(0,NETWORKDAYS($X273,TODAY(),Holidays)-1)&amp;" of "&amp;CHOOSE($W273,3,3,2,2,3))&amp;" | Total Day "&amp;MAX(0,NETWORKDAYS($L273,TODAY(),Holidays)-1))</f>
        <v/>
      </c>
      <c r="W273" s="17">
        <f>IF($L273="","",COUNT($L273:$Q273))</f>
        <v/>
      </c>
      <c r="X273" s="18">
        <f>IF($W273="","",INT(INDEX($L273:$Q273,$W273)))</f>
        <v/>
      </c>
      <c r="Y273" s="18">
        <f>IF(OR($W273="",$W273=6),"",WORKDAY($X273,CHOOSE($W273,3,3,2,2,3),Holidays))</f>
        <v/>
      </c>
      <c r="Z273" s="17">
        <f>IF(OR($W273="",$W273=6),"",CHOOSE($W273,"1st Email Follow-up","2nd Email Follow-up","Escalate Local Office","Escalate to CBE","Escalate to Roxanne"))</f>
        <v/>
      </c>
    </row>
    <row r="274" spans="18:26">
      <c r="R274" s="15"/>
      <c r="S274" s="16"/>
      <c r="T274" s="17">
        <f>IF(AND(COUNTA($A274:$K274)=0,$L274=""),"",IF($S274="Paid","PAID",IF($S274="Closed","CLOSED",IF($W274="","",IF($W274=6,"ESCALATED TO ROXANNE",IF(TODAY()&gt;$Y274,"OVERDUE",IF($Y274&lt;=WORKDAY(TODAY(),1,Holidays),"DUE TOMORROW",IF($W274=4,"ESCALATED TO LOCAL OFFICE",IF($W274=5,"ESCALATED TO CBE",IF($X274=TODAY(),"EMAIL SENT","MONITORING"))))))))))</f>
        <v/>
      </c>
      <c r="U274" s="17">
        <f>IF($T274="",IF(AND(COUNTA($A274:$K274)&gt;0,$L274=""),"Awaiting Collection Email time stamp.",""),IF(OR($T274="PAID",$T274="CLOSED"),IF($T274="PAID","Account paid. Action completed.","Account closed. No further action required."),CHOOSE($W274,"Collection Email","1st Email Follow-up","2nd Email Follow-up","Escalation to Local Office","Escalation to CBE","Escalation to Roxanne")&amp;" sent "&amp;TEXT($X274,"dd-mmm")&amp;". "&amp;IF($W274=6,"Final escalation completed.",IF($T274="OVERDUE","Next: "&amp;$Z274&amp;" was due "&amp;TEXT($Y274,"dd-mmm")&amp;" - "&amp;(NETWORKDAYS($Y274,TODAY(),Holidays)-1)&amp;" business day(s) late. Send now.",IF($T274="DUE TOMORROW","Next: "&amp;$Z274&amp;IF($Y274&lt;=TODAY()," is due TODAY ("," is due next business day (")&amp;TEXT($Y274,"dd-mmm")&amp;").","Next: "&amp;$Z274&amp;" due "&amp;TEXT($Y274,"dd-mmm")&amp;" ("&amp;(NETWORKDAYS(TODAY(),$Y274,Holidays)-1)&amp;" business day(s) left).")))))</f>
        <v/>
      </c>
      <c r="V274" s="17">
        <f>IF($W274="","",CHOOSE($W274,"Collection Email","1st Follow-up","2nd Follow-up","Local Office","CBE","Roxanne")&amp;IF($W274=6," - Final"," - Day "&amp;MAX(0,NETWORKDAYS($X274,TODAY(),Holidays)-1)&amp;" of "&amp;CHOOSE($W274,3,3,2,2,3))&amp;" | Total Day "&amp;MAX(0,NETWORKDAYS($L274,TODAY(),Holidays)-1))</f>
        <v/>
      </c>
      <c r="W274" s="17">
        <f>IF($L274="","",COUNT($L274:$Q274))</f>
        <v/>
      </c>
      <c r="X274" s="18">
        <f>IF($W274="","",INT(INDEX($L274:$Q274,$W274)))</f>
        <v/>
      </c>
      <c r="Y274" s="18">
        <f>IF(OR($W274="",$W274=6),"",WORKDAY($X274,CHOOSE($W274,3,3,2,2,3),Holidays))</f>
        <v/>
      </c>
      <c r="Z274" s="17">
        <f>IF(OR($W274="",$W274=6),"",CHOOSE($W274,"1st Email Follow-up","2nd Email Follow-up","Escalate Local Office","Escalate to CBE","Escalate to Roxanne"))</f>
        <v/>
      </c>
    </row>
    <row r="275" spans="18:26">
      <c r="R275" s="15"/>
      <c r="S275" s="16"/>
      <c r="T275" s="17">
        <f>IF(AND(COUNTA($A275:$K275)=0,$L275=""),"",IF($S275="Paid","PAID",IF($S275="Closed","CLOSED",IF($W275="","",IF($W275=6,"ESCALATED TO ROXANNE",IF(TODAY()&gt;$Y275,"OVERDUE",IF($Y275&lt;=WORKDAY(TODAY(),1,Holidays),"DUE TOMORROW",IF($W275=4,"ESCALATED TO LOCAL OFFICE",IF($W275=5,"ESCALATED TO CBE",IF($X275=TODAY(),"EMAIL SENT","MONITORING"))))))))))</f>
        <v/>
      </c>
      <c r="U275" s="17">
        <f>IF($T275="",IF(AND(COUNTA($A275:$K275)&gt;0,$L275=""),"Awaiting Collection Email time stamp.",""),IF(OR($T275="PAID",$T275="CLOSED"),IF($T275="PAID","Account paid. Action completed.","Account closed. No further action required."),CHOOSE($W275,"Collection Email","1st Email Follow-up","2nd Email Follow-up","Escalation to Local Office","Escalation to CBE","Escalation to Roxanne")&amp;" sent "&amp;TEXT($X275,"dd-mmm")&amp;". "&amp;IF($W275=6,"Final escalation completed.",IF($T275="OVERDUE","Next: "&amp;$Z275&amp;" was due "&amp;TEXT($Y275,"dd-mmm")&amp;" - "&amp;(NETWORKDAYS($Y275,TODAY(),Holidays)-1)&amp;" business day(s) late. Send now.",IF($T275="DUE TOMORROW","Next: "&amp;$Z275&amp;IF($Y275&lt;=TODAY()," is due TODAY ("," is due next business day (")&amp;TEXT($Y275,"dd-mmm")&amp;").","Next: "&amp;$Z275&amp;" due "&amp;TEXT($Y275,"dd-mmm")&amp;" ("&amp;(NETWORKDAYS(TODAY(),$Y275,Holidays)-1)&amp;" business day(s) left).")))))</f>
        <v/>
      </c>
      <c r="V275" s="17">
        <f>IF($W275="","",CHOOSE($W275,"Collection Email","1st Follow-up","2nd Follow-up","Local Office","CBE","Roxanne")&amp;IF($W275=6," - Final"," - Day "&amp;MAX(0,NETWORKDAYS($X275,TODAY(),Holidays)-1)&amp;" of "&amp;CHOOSE($W275,3,3,2,2,3))&amp;" | Total Day "&amp;MAX(0,NETWORKDAYS($L275,TODAY(),Holidays)-1))</f>
        <v/>
      </c>
      <c r="W275" s="17">
        <f>IF($L275="","",COUNT($L275:$Q275))</f>
        <v/>
      </c>
      <c r="X275" s="18">
        <f>IF($W275="","",INT(INDEX($L275:$Q275,$W275)))</f>
        <v/>
      </c>
      <c r="Y275" s="18">
        <f>IF(OR($W275="",$W275=6),"",WORKDAY($X275,CHOOSE($W275,3,3,2,2,3),Holidays))</f>
        <v/>
      </c>
      <c r="Z275" s="17">
        <f>IF(OR($W275="",$W275=6),"",CHOOSE($W275,"1st Email Follow-up","2nd Email Follow-up","Escalate Local Office","Escalate to CBE","Escalate to Roxanne"))</f>
        <v/>
      </c>
    </row>
    <row r="276" spans="18:26">
      <c r="R276" s="15"/>
      <c r="S276" s="16"/>
      <c r="T276" s="17">
        <f>IF(AND(COUNTA($A276:$K276)=0,$L276=""),"",IF($S276="Paid","PAID",IF($S276="Closed","CLOSED",IF($W276="","",IF($W276=6,"ESCALATED TO ROXANNE",IF(TODAY()&gt;$Y276,"OVERDUE",IF($Y276&lt;=WORKDAY(TODAY(),1,Holidays),"DUE TOMORROW",IF($W276=4,"ESCALATED TO LOCAL OFFICE",IF($W276=5,"ESCALATED TO CBE",IF($X276=TODAY(),"EMAIL SENT","MONITORING"))))))))))</f>
        <v/>
      </c>
      <c r="U276" s="17">
        <f>IF($T276="",IF(AND(COUNTA($A276:$K276)&gt;0,$L276=""),"Awaiting Collection Email time stamp.",""),IF(OR($T276="PAID",$T276="CLOSED"),IF($T276="PAID","Account paid. Action completed.","Account closed. No further action required."),CHOOSE($W276,"Collection Email","1st Email Follow-up","2nd Email Follow-up","Escalation to Local Office","Escalation to CBE","Escalation to Roxanne")&amp;" sent "&amp;TEXT($X276,"dd-mmm")&amp;". "&amp;IF($W276=6,"Final escalation completed.",IF($T276="OVERDUE","Next: "&amp;$Z276&amp;" was due "&amp;TEXT($Y276,"dd-mmm")&amp;" - "&amp;(NETWORKDAYS($Y276,TODAY(),Holidays)-1)&amp;" business day(s) late. Send now.",IF($T276="DUE TOMORROW","Next: "&amp;$Z276&amp;IF($Y276&lt;=TODAY()," is due TODAY ("," is due next business day (")&amp;TEXT($Y276,"dd-mmm")&amp;").","Next: "&amp;$Z276&amp;" due "&amp;TEXT($Y276,"dd-mmm")&amp;" ("&amp;(NETWORKDAYS(TODAY(),$Y276,Holidays)-1)&amp;" business day(s) left).")))))</f>
        <v/>
      </c>
      <c r="V276" s="17">
        <f>IF($W276="","",CHOOSE($W276,"Collection Email","1st Follow-up","2nd Follow-up","Local Office","CBE","Roxanne")&amp;IF($W276=6," - Final"," - Day "&amp;MAX(0,NETWORKDAYS($X276,TODAY(),Holidays)-1)&amp;" of "&amp;CHOOSE($W276,3,3,2,2,3))&amp;" | Total Day "&amp;MAX(0,NETWORKDAYS($L276,TODAY(),Holidays)-1))</f>
        <v/>
      </c>
      <c r="W276" s="17">
        <f>IF($L276="","",COUNT($L276:$Q276))</f>
        <v/>
      </c>
      <c r="X276" s="18">
        <f>IF($W276="","",INT(INDEX($L276:$Q276,$W276)))</f>
        <v/>
      </c>
      <c r="Y276" s="18">
        <f>IF(OR($W276="",$W276=6),"",WORKDAY($X276,CHOOSE($W276,3,3,2,2,3),Holidays))</f>
        <v/>
      </c>
      <c r="Z276" s="17">
        <f>IF(OR($W276="",$W276=6),"",CHOOSE($W276,"1st Email Follow-up","2nd Email Follow-up","Escalate Local Office","Escalate to CBE","Escalate to Roxanne"))</f>
        <v/>
      </c>
    </row>
    <row r="277" spans="18:26">
      <c r="R277" s="15"/>
      <c r="S277" s="16"/>
      <c r="T277" s="17">
        <f>IF(AND(COUNTA($A277:$K277)=0,$L277=""),"",IF($S277="Paid","PAID",IF($S277="Closed","CLOSED",IF($W277="","",IF($W277=6,"ESCALATED TO ROXANNE",IF(TODAY()&gt;$Y277,"OVERDUE",IF($Y277&lt;=WORKDAY(TODAY(),1,Holidays),"DUE TOMORROW",IF($W277=4,"ESCALATED TO LOCAL OFFICE",IF($W277=5,"ESCALATED TO CBE",IF($X277=TODAY(),"EMAIL SENT","MONITORING"))))))))))</f>
        <v/>
      </c>
      <c r="U277" s="17">
        <f>IF($T277="",IF(AND(COUNTA($A277:$K277)&gt;0,$L277=""),"Awaiting Collection Email time stamp.",""),IF(OR($T277="PAID",$T277="CLOSED"),IF($T277="PAID","Account paid. Action completed.","Account closed. No further action required."),CHOOSE($W277,"Collection Email","1st Email Follow-up","2nd Email Follow-up","Escalation to Local Office","Escalation to CBE","Escalation to Roxanne")&amp;" sent "&amp;TEXT($X277,"dd-mmm")&amp;". "&amp;IF($W277=6,"Final escalation completed.",IF($T277="OVERDUE","Next: "&amp;$Z277&amp;" was due "&amp;TEXT($Y277,"dd-mmm")&amp;" - "&amp;(NETWORKDAYS($Y277,TODAY(),Holidays)-1)&amp;" business day(s) late. Send now.",IF($T277="DUE TOMORROW","Next: "&amp;$Z277&amp;IF($Y277&lt;=TODAY()," is due TODAY ("," is due next business day (")&amp;TEXT($Y277,"dd-mmm")&amp;").","Next: "&amp;$Z277&amp;" due "&amp;TEXT($Y277,"dd-mmm")&amp;" ("&amp;(NETWORKDAYS(TODAY(),$Y277,Holidays)-1)&amp;" business day(s) left).")))))</f>
        <v/>
      </c>
      <c r="V277" s="17">
        <f>IF($W277="","",CHOOSE($W277,"Collection Email","1st Follow-up","2nd Follow-up","Local Office","CBE","Roxanne")&amp;IF($W277=6," - Final"," - Day "&amp;MAX(0,NETWORKDAYS($X277,TODAY(),Holidays)-1)&amp;" of "&amp;CHOOSE($W277,3,3,2,2,3))&amp;" | Total Day "&amp;MAX(0,NETWORKDAYS($L277,TODAY(),Holidays)-1))</f>
        <v/>
      </c>
      <c r="W277" s="17">
        <f>IF($L277="","",COUNT($L277:$Q277))</f>
        <v/>
      </c>
      <c r="X277" s="18">
        <f>IF($W277="","",INT(INDEX($L277:$Q277,$W277)))</f>
        <v/>
      </c>
      <c r="Y277" s="18">
        <f>IF(OR($W277="",$W277=6),"",WORKDAY($X277,CHOOSE($W277,3,3,2,2,3),Holidays))</f>
        <v/>
      </c>
      <c r="Z277" s="17">
        <f>IF(OR($W277="",$W277=6),"",CHOOSE($W277,"1st Email Follow-up","2nd Email Follow-up","Escalate Local Office","Escalate to CBE","Escalate to Roxanne"))</f>
        <v/>
      </c>
    </row>
    <row r="278" spans="18:26">
      <c r="R278" s="15"/>
      <c r="S278" s="16"/>
      <c r="T278" s="17">
        <f>IF(AND(COUNTA($A278:$K278)=0,$L278=""),"",IF($S278="Paid","PAID",IF($S278="Closed","CLOSED",IF($W278="","",IF($W278=6,"ESCALATED TO ROXANNE",IF(TODAY()&gt;$Y278,"OVERDUE",IF($Y278&lt;=WORKDAY(TODAY(),1,Holidays),"DUE TOMORROW",IF($W278=4,"ESCALATED TO LOCAL OFFICE",IF($W278=5,"ESCALATED TO CBE",IF($X278=TODAY(),"EMAIL SENT","MONITORING"))))))))))</f>
        <v/>
      </c>
      <c r="U278" s="17">
        <f>IF($T278="",IF(AND(COUNTA($A278:$K278)&gt;0,$L278=""),"Awaiting Collection Email time stamp.",""),IF(OR($T278="PAID",$T278="CLOSED"),IF($T278="PAID","Account paid. Action completed.","Account closed. No further action required."),CHOOSE($W278,"Collection Email","1st Email Follow-up","2nd Email Follow-up","Escalation to Local Office","Escalation to CBE","Escalation to Roxanne")&amp;" sent "&amp;TEXT($X278,"dd-mmm")&amp;". "&amp;IF($W278=6,"Final escalation completed.",IF($T278="OVERDUE","Next: "&amp;$Z278&amp;" was due "&amp;TEXT($Y278,"dd-mmm")&amp;" - "&amp;(NETWORKDAYS($Y278,TODAY(),Holidays)-1)&amp;" business day(s) late. Send now.",IF($T278="DUE TOMORROW","Next: "&amp;$Z278&amp;IF($Y278&lt;=TODAY()," is due TODAY ("," is due next business day (")&amp;TEXT($Y278,"dd-mmm")&amp;").","Next: "&amp;$Z278&amp;" due "&amp;TEXT($Y278,"dd-mmm")&amp;" ("&amp;(NETWORKDAYS(TODAY(),$Y278,Holidays)-1)&amp;" business day(s) left).")))))</f>
        <v/>
      </c>
      <c r="V278" s="17">
        <f>IF($W278="","",CHOOSE($W278,"Collection Email","1st Follow-up","2nd Follow-up","Local Office","CBE","Roxanne")&amp;IF($W278=6," - Final"," - Day "&amp;MAX(0,NETWORKDAYS($X278,TODAY(),Holidays)-1)&amp;" of "&amp;CHOOSE($W278,3,3,2,2,3))&amp;" | Total Day "&amp;MAX(0,NETWORKDAYS($L278,TODAY(),Holidays)-1))</f>
        <v/>
      </c>
      <c r="W278" s="17">
        <f>IF($L278="","",COUNT($L278:$Q278))</f>
        <v/>
      </c>
      <c r="X278" s="18">
        <f>IF($W278="","",INT(INDEX($L278:$Q278,$W278)))</f>
        <v/>
      </c>
      <c r="Y278" s="18">
        <f>IF(OR($W278="",$W278=6),"",WORKDAY($X278,CHOOSE($W278,3,3,2,2,3),Holidays))</f>
        <v/>
      </c>
      <c r="Z278" s="17">
        <f>IF(OR($W278="",$W278=6),"",CHOOSE($W278,"1st Email Follow-up","2nd Email Follow-up","Escalate Local Office","Escalate to CBE","Escalate to Roxanne"))</f>
        <v/>
      </c>
    </row>
    <row r="279" spans="18:26">
      <c r="R279" s="15"/>
      <c r="S279" s="16"/>
      <c r="T279" s="17">
        <f>IF(AND(COUNTA($A279:$K279)=0,$L279=""),"",IF($S279="Paid","PAID",IF($S279="Closed","CLOSED",IF($W279="","",IF($W279=6,"ESCALATED TO ROXANNE",IF(TODAY()&gt;$Y279,"OVERDUE",IF($Y279&lt;=WORKDAY(TODAY(),1,Holidays),"DUE TOMORROW",IF($W279=4,"ESCALATED TO LOCAL OFFICE",IF($W279=5,"ESCALATED TO CBE",IF($X279=TODAY(),"EMAIL SENT","MONITORING"))))))))))</f>
        <v/>
      </c>
      <c r="U279" s="17">
        <f>IF($T279="",IF(AND(COUNTA($A279:$K279)&gt;0,$L279=""),"Awaiting Collection Email time stamp.",""),IF(OR($T279="PAID",$T279="CLOSED"),IF($T279="PAID","Account paid. Action completed.","Account closed. No further action required."),CHOOSE($W279,"Collection Email","1st Email Follow-up","2nd Email Follow-up","Escalation to Local Office","Escalation to CBE","Escalation to Roxanne")&amp;" sent "&amp;TEXT($X279,"dd-mmm")&amp;". "&amp;IF($W279=6,"Final escalation completed.",IF($T279="OVERDUE","Next: "&amp;$Z279&amp;" was due "&amp;TEXT($Y279,"dd-mmm")&amp;" - "&amp;(NETWORKDAYS($Y279,TODAY(),Holidays)-1)&amp;" business day(s) late. Send now.",IF($T279="DUE TOMORROW","Next: "&amp;$Z279&amp;IF($Y279&lt;=TODAY()," is due TODAY ("," is due next business day (")&amp;TEXT($Y279,"dd-mmm")&amp;").","Next: "&amp;$Z279&amp;" due "&amp;TEXT($Y279,"dd-mmm")&amp;" ("&amp;(NETWORKDAYS(TODAY(),$Y279,Holidays)-1)&amp;" business day(s) left).")))))</f>
        <v/>
      </c>
      <c r="V279" s="17">
        <f>IF($W279="","",CHOOSE($W279,"Collection Email","1st Follow-up","2nd Follow-up","Local Office","CBE","Roxanne")&amp;IF($W279=6," - Final"," - Day "&amp;MAX(0,NETWORKDAYS($X279,TODAY(),Holidays)-1)&amp;" of "&amp;CHOOSE($W279,3,3,2,2,3))&amp;" | Total Day "&amp;MAX(0,NETWORKDAYS($L279,TODAY(),Holidays)-1))</f>
        <v/>
      </c>
      <c r="W279" s="17">
        <f>IF($L279="","",COUNT($L279:$Q279))</f>
        <v/>
      </c>
      <c r="X279" s="18">
        <f>IF($W279="","",INT(INDEX($L279:$Q279,$W279)))</f>
        <v/>
      </c>
      <c r="Y279" s="18">
        <f>IF(OR($W279="",$W279=6),"",WORKDAY($X279,CHOOSE($W279,3,3,2,2,3),Holidays))</f>
        <v/>
      </c>
      <c r="Z279" s="17">
        <f>IF(OR($W279="",$W279=6),"",CHOOSE($W279,"1st Email Follow-up","2nd Email Follow-up","Escalate Local Office","Escalate to CBE","Escalate to Roxanne"))</f>
        <v/>
      </c>
    </row>
    <row r="280" spans="18:26">
      <c r="R280" s="15"/>
      <c r="S280" s="16"/>
      <c r="T280" s="17">
        <f>IF(AND(COUNTA($A280:$K280)=0,$L280=""),"",IF($S280="Paid","PAID",IF($S280="Closed","CLOSED",IF($W280="","",IF($W280=6,"ESCALATED TO ROXANNE",IF(TODAY()&gt;$Y280,"OVERDUE",IF($Y280&lt;=WORKDAY(TODAY(),1,Holidays),"DUE TOMORROW",IF($W280=4,"ESCALATED TO LOCAL OFFICE",IF($W280=5,"ESCALATED TO CBE",IF($X280=TODAY(),"EMAIL SENT","MONITORING"))))))))))</f>
        <v/>
      </c>
      <c r="U280" s="17">
        <f>IF($T280="",IF(AND(COUNTA($A280:$K280)&gt;0,$L280=""),"Awaiting Collection Email time stamp.",""),IF(OR($T280="PAID",$T280="CLOSED"),IF($T280="PAID","Account paid. Action completed.","Account closed. No further action required."),CHOOSE($W280,"Collection Email","1st Email Follow-up","2nd Email Follow-up","Escalation to Local Office","Escalation to CBE","Escalation to Roxanne")&amp;" sent "&amp;TEXT($X280,"dd-mmm")&amp;". "&amp;IF($W280=6,"Final escalation completed.",IF($T280="OVERDUE","Next: "&amp;$Z280&amp;" was due "&amp;TEXT($Y280,"dd-mmm")&amp;" - "&amp;(NETWORKDAYS($Y280,TODAY(),Holidays)-1)&amp;" business day(s) late. Send now.",IF($T280="DUE TOMORROW","Next: "&amp;$Z280&amp;IF($Y280&lt;=TODAY()," is due TODAY ("," is due next business day (")&amp;TEXT($Y280,"dd-mmm")&amp;").","Next: "&amp;$Z280&amp;" due "&amp;TEXT($Y280,"dd-mmm")&amp;" ("&amp;(NETWORKDAYS(TODAY(),$Y280,Holidays)-1)&amp;" business day(s) left).")))))</f>
        <v/>
      </c>
      <c r="V280" s="17">
        <f>IF($W280="","",CHOOSE($W280,"Collection Email","1st Follow-up","2nd Follow-up","Local Office","CBE","Roxanne")&amp;IF($W280=6," - Final"," - Day "&amp;MAX(0,NETWORKDAYS($X280,TODAY(),Holidays)-1)&amp;" of "&amp;CHOOSE($W280,3,3,2,2,3))&amp;" | Total Day "&amp;MAX(0,NETWORKDAYS($L280,TODAY(),Holidays)-1))</f>
        <v/>
      </c>
      <c r="W280" s="17">
        <f>IF($L280="","",COUNT($L280:$Q280))</f>
        <v/>
      </c>
      <c r="X280" s="18">
        <f>IF($W280="","",INT(INDEX($L280:$Q280,$W280)))</f>
        <v/>
      </c>
      <c r="Y280" s="18">
        <f>IF(OR($W280="",$W280=6),"",WORKDAY($X280,CHOOSE($W280,3,3,2,2,3),Holidays))</f>
        <v/>
      </c>
      <c r="Z280" s="17">
        <f>IF(OR($W280="",$W280=6),"",CHOOSE($W280,"1st Email Follow-up","2nd Email Follow-up","Escalate Local Office","Escalate to CBE","Escalate to Roxanne"))</f>
        <v/>
      </c>
    </row>
    <row r="281" spans="18:26">
      <c r="R281" s="15"/>
      <c r="S281" s="16"/>
      <c r="T281" s="17">
        <f>IF(AND(COUNTA($A281:$K281)=0,$L281=""),"",IF($S281="Paid","PAID",IF($S281="Closed","CLOSED",IF($W281="","",IF($W281=6,"ESCALATED TO ROXANNE",IF(TODAY()&gt;$Y281,"OVERDUE",IF($Y281&lt;=WORKDAY(TODAY(),1,Holidays),"DUE TOMORROW",IF($W281=4,"ESCALATED TO LOCAL OFFICE",IF($W281=5,"ESCALATED TO CBE",IF($X281=TODAY(),"EMAIL SENT","MONITORING"))))))))))</f>
        <v/>
      </c>
      <c r="U281" s="17">
        <f>IF($T281="",IF(AND(COUNTA($A281:$K281)&gt;0,$L281=""),"Awaiting Collection Email time stamp.",""),IF(OR($T281="PAID",$T281="CLOSED"),IF($T281="PAID","Account paid. Action completed.","Account closed. No further action required."),CHOOSE($W281,"Collection Email","1st Email Follow-up","2nd Email Follow-up","Escalation to Local Office","Escalation to CBE","Escalation to Roxanne")&amp;" sent "&amp;TEXT($X281,"dd-mmm")&amp;". "&amp;IF($W281=6,"Final escalation completed.",IF($T281="OVERDUE","Next: "&amp;$Z281&amp;" was due "&amp;TEXT($Y281,"dd-mmm")&amp;" - "&amp;(NETWORKDAYS($Y281,TODAY(),Holidays)-1)&amp;" business day(s) late. Send now.",IF($T281="DUE TOMORROW","Next: "&amp;$Z281&amp;IF($Y281&lt;=TODAY()," is due TODAY ("," is due next business day (")&amp;TEXT($Y281,"dd-mmm")&amp;").","Next: "&amp;$Z281&amp;" due "&amp;TEXT($Y281,"dd-mmm")&amp;" ("&amp;(NETWORKDAYS(TODAY(),$Y281,Holidays)-1)&amp;" business day(s) left).")))))</f>
        <v/>
      </c>
      <c r="V281" s="17">
        <f>IF($W281="","",CHOOSE($W281,"Collection Email","1st Follow-up","2nd Follow-up","Local Office","CBE","Roxanne")&amp;IF($W281=6," - Final"," - Day "&amp;MAX(0,NETWORKDAYS($X281,TODAY(),Holidays)-1)&amp;" of "&amp;CHOOSE($W281,3,3,2,2,3))&amp;" | Total Day "&amp;MAX(0,NETWORKDAYS($L281,TODAY(),Holidays)-1))</f>
        <v/>
      </c>
      <c r="W281" s="17">
        <f>IF($L281="","",COUNT($L281:$Q281))</f>
        <v/>
      </c>
      <c r="X281" s="18">
        <f>IF($W281="","",INT(INDEX($L281:$Q281,$W281)))</f>
        <v/>
      </c>
      <c r="Y281" s="18">
        <f>IF(OR($W281="",$W281=6),"",WORKDAY($X281,CHOOSE($W281,3,3,2,2,3),Holidays))</f>
        <v/>
      </c>
      <c r="Z281" s="17">
        <f>IF(OR($W281="",$W281=6),"",CHOOSE($W281,"1st Email Follow-up","2nd Email Follow-up","Escalate Local Office","Escalate to CBE","Escalate to Roxanne"))</f>
        <v/>
      </c>
    </row>
    <row r="282" spans="18:26">
      <c r="R282" s="15"/>
      <c r="S282" s="16"/>
      <c r="T282" s="17">
        <f>IF(AND(COUNTA($A282:$K282)=0,$L282=""),"",IF($S282="Paid","PAID",IF($S282="Closed","CLOSED",IF($W282="","",IF($W282=6,"ESCALATED TO ROXANNE",IF(TODAY()&gt;$Y282,"OVERDUE",IF($Y282&lt;=WORKDAY(TODAY(),1,Holidays),"DUE TOMORROW",IF($W282=4,"ESCALATED TO LOCAL OFFICE",IF($W282=5,"ESCALATED TO CBE",IF($X282=TODAY(),"EMAIL SENT","MONITORING"))))))))))</f>
        <v/>
      </c>
      <c r="U282" s="17">
        <f>IF($T282="",IF(AND(COUNTA($A282:$K282)&gt;0,$L282=""),"Awaiting Collection Email time stamp.",""),IF(OR($T282="PAID",$T282="CLOSED"),IF($T282="PAID","Account paid. Action completed.","Account closed. No further action required."),CHOOSE($W282,"Collection Email","1st Email Follow-up","2nd Email Follow-up","Escalation to Local Office","Escalation to CBE","Escalation to Roxanne")&amp;" sent "&amp;TEXT($X282,"dd-mmm")&amp;". "&amp;IF($W282=6,"Final escalation completed.",IF($T282="OVERDUE","Next: "&amp;$Z282&amp;" was due "&amp;TEXT($Y282,"dd-mmm")&amp;" - "&amp;(NETWORKDAYS($Y282,TODAY(),Holidays)-1)&amp;" business day(s) late. Send now.",IF($T282="DUE TOMORROW","Next: "&amp;$Z282&amp;IF($Y282&lt;=TODAY()," is due TODAY ("," is due next business day (")&amp;TEXT($Y282,"dd-mmm")&amp;").","Next: "&amp;$Z282&amp;" due "&amp;TEXT($Y282,"dd-mmm")&amp;" ("&amp;(NETWORKDAYS(TODAY(),$Y282,Holidays)-1)&amp;" business day(s) left).")))))</f>
        <v/>
      </c>
      <c r="V282" s="17">
        <f>IF($W282="","",CHOOSE($W282,"Collection Email","1st Follow-up","2nd Follow-up","Local Office","CBE","Roxanne")&amp;IF($W282=6," - Final"," - Day "&amp;MAX(0,NETWORKDAYS($X282,TODAY(),Holidays)-1)&amp;" of "&amp;CHOOSE($W282,3,3,2,2,3))&amp;" | Total Day "&amp;MAX(0,NETWORKDAYS($L282,TODAY(),Holidays)-1))</f>
        <v/>
      </c>
      <c r="W282" s="17">
        <f>IF($L282="","",COUNT($L282:$Q282))</f>
        <v/>
      </c>
      <c r="X282" s="18">
        <f>IF($W282="","",INT(INDEX($L282:$Q282,$W282)))</f>
        <v/>
      </c>
      <c r="Y282" s="18">
        <f>IF(OR($W282="",$W282=6),"",WORKDAY($X282,CHOOSE($W282,3,3,2,2,3),Holidays))</f>
        <v/>
      </c>
      <c r="Z282" s="17">
        <f>IF(OR($W282="",$W282=6),"",CHOOSE($W282,"1st Email Follow-up","2nd Email Follow-up","Escalate Local Office","Escalate to CBE","Escalate to Roxanne"))</f>
        <v/>
      </c>
    </row>
    <row r="283" spans="18:26">
      <c r="R283" s="15"/>
      <c r="S283" s="16"/>
      <c r="T283" s="17">
        <f>IF(AND(COUNTA($A283:$K283)=0,$L283=""),"",IF($S283="Paid","PAID",IF($S283="Closed","CLOSED",IF($W283="","",IF($W283=6,"ESCALATED TO ROXANNE",IF(TODAY()&gt;$Y283,"OVERDUE",IF($Y283&lt;=WORKDAY(TODAY(),1,Holidays),"DUE TOMORROW",IF($W283=4,"ESCALATED TO LOCAL OFFICE",IF($W283=5,"ESCALATED TO CBE",IF($X283=TODAY(),"EMAIL SENT","MONITORING"))))))))))</f>
        <v/>
      </c>
      <c r="U283" s="17">
        <f>IF($T283="",IF(AND(COUNTA($A283:$K283)&gt;0,$L283=""),"Awaiting Collection Email time stamp.",""),IF(OR($T283="PAID",$T283="CLOSED"),IF($T283="PAID","Account paid. Action completed.","Account closed. No further action required."),CHOOSE($W283,"Collection Email","1st Email Follow-up","2nd Email Follow-up","Escalation to Local Office","Escalation to CBE","Escalation to Roxanne")&amp;" sent "&amp;TEXT($X283,"dd-mmm")&amp;". "&amp;IF($W283=6,"Final escalation completed.",IF($T283="OVERDUE","Next: "&amp;$Z283&amp;" was due "&amp;TEXT($Y283,"dd-mmm")&amp;" - "&amp;(NETWORKDAYS($Y283,TODAY(),Holidays)-1)&amp;" business day(s) late. Send now.",IF($T283="DUE TOMORROW","Next: "&amp;$Z283&amp;IF($Y283&lt;=TODAY()," is due TODAY ("," is due next business day (")&amp;TEXT($Y283,"dd-mmm")&amp;").","Next: "&amp;$Z283&amp;" due "&amp;TEXT($Y283,"dd-mmm")&amp;" ("&amp;(NETWORKDAYS(TODAY(),$Y283,Holidays)-1)&amp;" business day(s) left).")))))</f>
        <v/>
      </c>
      <c r="V283" s="17">
        <f>IF($W283="","",CHOOSE($W283,"Collection Email","1st Follow-up","2nd Follow-up","Local Office","CBE","Roxanne")&amp;IF($W283=6," - Final"," - Day "&amp;MAX(0,NETWORKDAYS($X283,TODAY(),Holidays)-1)&amp;" of "&amp;CHOOSE($W283,3,3,2,2,3))&amp;" | Total Day "&amp;MAX(0,NETWORKDAYS($L283,TODAY(),Holidays)-1))</f>
        <v/>
      </c>
      <c r="W283" s="17">
        <f>IF($L283="","",COUNT($L283:$Q283))</f>
        <v/>
      </c>
      <c r="X283" s="18">
        <f>IF($W283="","",INT(INDEX($L283:$Q283,$W283)))</f>
        <v/>
      </c>
      <c r="Y283" s="18">
        <f>IF(OR($W283="",$W283=6),"",WORKDAY($X283,CHOOSE($W283,3,3,2,2,3),Holidays))</f>
        <v/>
      </c>
      <c r="Z283" s="17">
        <f>IF(OR($W283="",$W283=6),"",CHOOSE($W283,"1st Email Follow-up","2nd Email Follow-up","Escalate Local Office","Escalate to CBE","Escalate to Roxanne"))</f>
        <v/>
      </c>
    </row>
    <row r="284" spans="18:26">
      <c r="R284" s="15"/>
      <c r="S284" s="16"/>
      <c r="T284" s="17">
        <f>IF(AND(COUNTA($A284:$K284)=0,$L284=""),"",IF($S284="Paid","PAID",IF($S284="Closed","CLOSED",IF($W284="","",IF($W284=6,"ESCALATED TO ROXANNE",IF(TODAY()&gt;$Y284,"OVERDUE",IF($Y284&lt;=WORKDAY(TODAY(),1,Holidays),"DUE TOMORROW",IF($W284=4,"ESCALATED TO LOCAL OFFICE",IF($W284=5,"ESCALATED TO CBE",IF($X284=TODAY(),"EMAIL SENT","MONITORING"))))))))))</f>
        <v/>
      </c>
      <c r="U284" s="17">
        <f>IF($T284="",IF(AND(COUNTA($A284:$K284)&gt;0,$L284=""),"Awaiting Collection Email time stamp.",""),IF(OR($T284="PAID",$T284="CLOSED"),IF($T284="PAID","Account paid. Action completed.","Account closed. No further action required."),CHOOSE($W284,"Collection Email","1st Email Follow-up","2nd Email Follow-up","Escalation to Local Office","Escalation to CBE","Escalation to Roxanne")&amp;" sent "&amp;TEXT($X284,"dd-mmm")&amp;". "&amp;IF($W284=6,"Final escalation completed.",IF($T284="OVERDUE","Next: "&amp;$Z284&amp;" was due "&amp;TEXT($Y284,"dd-mmm")&amp;" - "&amp;(NETWORKDAYS($Y284,TODAY(),Holidays)-1)&amp;" business day(s) late. Send now.",IF($T284="DUE TOMORROW","Next: "&amp;$Z284&amp;IF($Y284&lt;=TODAY()," is due TODAY ("," is due next business day (")&amp;TEXT($Y284,"dd-mmm")&amp;").","Next: "&amp;$Z284&amp;" due "&amp;TEXT($Y284,"dd-mmm")&amp;" ("&amp;(NETWORKDAYS(TODAY(),$Y284,Holidays)-1)&amp;" business day(s) left).")))))</f>
        <v/>
      </c>
      <c r="V284" s="17">
        <f>IF($W284="","",CHOOSE($W284,"Collection Email","1st Follow-up","2nd Follow-up","Local Office","CBE","Roxanne")&amp;IF($W284=6," - Final"," - Day "&amp;MAX(0,NETWORKDAYS($X284,TODAY(),Holidays)-1)&amp;" of "&amp;CHOOSE($W284,3,3,2,2,3))&amp;" | Total Day "&amp;MAX(0,NETWORKDAYS($L284,TODAY(),Holidays)-1))</f>
        <v/>
      </c>
      <c r="W284" s="17">
        <f>IF($L284="","",COUNT($L284:$Q284))</f>
        <v/>
      </c>
      <c r="X284" s="18">
        <f>IF($W284="","",INT(INDEX($L284:$Q284,$W284)))</f>
        <v/>
      </c>
      <c r="Y284" s="18">
        <f>IF(OR($W284="",$W284=6),"",WORKDAY($X284,CHOOSE($W284,3,3,2,2,3),Holidays))</f>
        <v/>
      </c>
      <c r="Z284" s="17">
        <f>IF(OR($W284="",$W284=6),"",CHOOSE($W284,"1st Email Follow-up","2nd Email Follow-up","Escalate Local Office","Escalate to CBE","Escalate to Roxanne"))</f>
        <v/>
      </c>
    </row>
    <row r="285" spans="18:26">
      <c r="R285" s="15"/>
      <c r="S285" s="16"/>
      <c r="T285" s="17">
        <f>IF(AND(COUNTA($A285:$K285)=0,$L285=""),"",IF($S285="Paid","PAID",IF($S285="Closed","CLOSED",IF($W285="","",IF($W285=6,"ESCALATED TO ROXANNE",IF(TODAY()&gt;$Y285,"OVERDUE",IF($Y285&lt;=WORKDAY(TODAY(),1,Holidays),"DUE TOMORROW",IF($W285=4,"ESCALATED TO LOCAL OFFICE",IF($W285=5,"ESCALATED TO CBE",IF($X285=TODAY(),"EMAIL SENT","MONITORING"))))))))))</f>
        <v/>
      </c>
      <c r="U285" s="17">
        <f>IF($T285="",IF(AND(COUNTA($A285:$K285)&gt;0,$L285=""),"Awaiting Collection Email time stamp.",""),IF(OR($T285="PAID",$T285="CLOSED"),IF($T285="PAID","Account paid. Action completed.","Account closed. No further action required."),CHOOSE($W285,"Collection Email","1st Email Follow-up","2nd Email Follow-up","Escalation to Local Office","Escalation to CBE","Escalation to Roxanne")&amp;" sent "&amp;TEXT($X285,"dd-mmm")&amp;". "&amp;IF($W285=6,"Final escalation completed.",IF($T285="OVERDUE","Next: "&amp;$Z285&amp;" was due "&amp;TEXT($Y285,"dd-mmm")&amp;" - "&amp;(NETWORKDAYS($Y285,TODAY(),Holidays)-1)&amp;" business day(s) late. Send now.",IF($T285="DUE TOMORROW","Next: "&amp;$Z285&amp;IF($Y285&lt;=TODAY()," is due TODAY ("," is due next business day (")&amp;TEXT($Y285,"dd-mmm")&amp;").","Next: "&amp;$Z285&amp;" due "&amp;TEXT($Y285,"dd-mmm")&amp;" ("&amp;(NETWORKDAYS(TODAY(),$Y285,Holidays)-1)&amp;" business day(s) left).")))))</f>
        <v/>
      </c>
      <c r="V285" s="17">
        <f>IF($W285="","",CHOOSE($W285,"Collection Email","1st Follow-up","2nd Follow-up","Local Office","CBE","Roxanne")&amp;IF($W285=6," - Final"," - Day "&amp;MAX(0,NETWORKDAYS($X285,TODAY(),Holidays)-1)&amp;" of "&amp;CHOOSE($W285,3,3,2,2,3))&amp;" | Total Day "&amp;MAX(0,NETWORKDAYS($L285,TODAY(),Holidays)-1))</f>
        <v/>
      </c>
      <c r="W285" s="17">
        <f>IF($L285="","",COUNT($L285:$Q285))</f>
        <v/>
      </c>
      <c r="X285" s="18">
        <f>IF($W285="","",INT(INDEX($L285:$Q285,$W285)))</f>
        <v/>
      </c>
      <c r="Y285" s="18">
        <f>IF(OR($W285="",$W285=6),"",WORKDAY($X285,CHOOSE($W285,3,3,2,2,3),Holidays))</f>
        <v/>
      </c>
      <c r="Z285" s="17">
        <f>IF(OR($W285="",$W285=6),"",CHOOSE($W285,"1st Email Follow-up","2nd Email Follow-up","Escalate Local Office","Escalate to CBE","Escalate to Roxanne"))</f>
        <v/>
      </c>
    </row>
    <row r="286" spans="18:26">
      <c r="R286" s="15"/>
      <c r="S286" s="16"/>
      <c r="T286" s="17">
        <f>IF(AND(COUNTA($A286:$K286)=0,$L286=""),"",IF($S286="Paid","PAID",IF($S286="Closed","CLOSED",IF($W286="","",IF($W286=6,"ESCALATED TO ROXANNE",IF(TODAY()&gt;$Y286,"OVERDUE",IF($Y286&lt;=WORKDAY(TODAY(),1,Holidays),"DUE TOMORROW",IF($W286=4,"ESCALATED TO LOCAL OFFICE",IF($W286=5,"ESCALATED TO CBE",IF($X286=TODAY(),"EMAIL SENT","MONITORING"))))))))))</f>
        <v/>
      </c>
      <c r="U286" s="17">
        <f>IF($T286="",IF(AND(COUNTA($A286:$K286)&gt;0,$L286=""),"Awaiting Collection Email time stamp.",""),IF(OR($T286="PAID",$T286="CLOSED"),IF($T286="PAID","Account paid. Action completed.","Account closed. No further action required."),CHOOSE($W286,"Collection Email","1st Email Follow-up","2nd Email Follow-up","Escalation to Local Office","Escalation to CBE","Escalation to Roxanne")&amp;" sent "&amp;TEXT($X286,"dd-mmm")&amp;". "&amp;IF($W286=6,"Final escalation completed.",IF($T286="OVERDUE","Next: "&amp;$Z286&amp;" was due "&amp;TEXT($Y286,"dd-mmm")&amp;" - "&amp;(NETWORKDAYS($Y286,TODAY(),Holidays)-1)&amp;" business day(s) late. Send now.",IF($T286="DUE TOMORROW","Next: "&amp;$Z286&amp;IF($Y286&lt;=TODAY()," is due TODAY ("," is due next business day (")&amp;TEXT($Y286,"dd-mmm")&amp;").","Next: "&amp;$Z286&amp;" due "&amp;TEXT($Y286,"dd-mmm")&amp;" ("&amp;(NETWORKDAYS(TODAY(),$Y286,Holidays)-1)&amp;" business day(s) left).")))))</f>
        <v/>
      </c>
      <c r="V286" s="17">
        <f>IF($W286="","",CHOOSE($W286,"Collection Email","1st Follow-up","2nd Follow-up","Local Office","CBE","Roxanne")&amp;IF($W286=6," - Final"," - Day "&amp;MAX(0,NETWORKDAYS($X286,TODAY(),Holidays)-1)&amp;" of "&amp;CHOOSE($W286,3,3,2,2,3))&amp;" | Total Day "&amp;MAX(0,NETWORKDAYS($L286,TODAY(),Holidays)-1))</f>
        <v/>
      </c>
      <c r="W286" s="17">
        <f>IF($L286="","",COUNT($L286:$Q286))</f>
        <v/>
      </c>
      <c r="X286" s="18">
        <f>IF($W286="","",INT(INDEX($L286:$Q286,$W286)))</f>
        <v/>
      </c>
      <c r="Y286" s="18">
        <f>IF(OR($W286="",$W286=6),"",WORKDAY($X286,CHOOSE($W286,3,3,2,2,3),Holidays))</f>
        <v/>
      </c>
      <c r="Z286" s="17">
        <f>IF(OR($W286="",$W286=6),"",CHOOSE($W286,"1st Email Follow-up","2nd Email Follow-up","Escalate Local Office","Escalate to CBE","Escalate to Roxanne"))</f>
        <v/>
      </c>
    </row>
    <row r="287" spans="18:26">
      <c r="R287" s="15"/>
      <c r="S287" s="16"/>
      <c r="T287" s="17">
        <f>IF(AND(COUNTA($A287:$K287)=0,$L287=""),"",IF($S287="Paid","PAID",IF($S287="Closed","CLOSED",IF($W287="","",IF($W287=6,"ESCALATED TO ROXANNE",IF(TODAY()&gt;$Y287,"OVERDUE",IF($Y287&lt;=WORKDAY(TODAY(),1,Holidays),"DUE TOMORROW",IF($W287=4,"ESCALATED TO LOCAL OFFICE",IF($W287=5,"ESCALATED TO CBE",IF($X287=TODAY(),"EMAIL SENT","MONITORING"))))))))))</f>
        <v/>
      </c>
      <c r="U287" s="17">
        <f>IF($T287="",IF(AND(COUNTA($A287:$K287)&gt;0,$L287=""),"Awaiting Collection Email time stamp.",""),IF(OR($T287="PAID",$T287="CLOSED"),IF($T287="PAID","Account paid. Action completed.","Account closed. No further action required."),CHOOSE($W287,"Collection Email","1st Email Follow-up","2nd Email Follow-up","Escalation to Local Office","Escalation to CBE","Escalation to Roxanne")&amp;" sent "&amp;TEXT($X287,"dd-mmm")&amp;". "&amp;IF($W287=6,"Final escalation completed.",IF($T287="OVERDUE","Next: "&amp;$Z287&amp;" was due "&amp;TEXT($Y287,"dd-mmm")&amp;" - "&amp;(NETWORKDAYS($Y287,TODAY(),Holidays)-1)&amp;" business day(s) late. Send now.",IF($T287="DUE TOMORROW","Next: "&amp;$Z287&amp;IF($Y287&lt;=TODAY()," is due TODAY ("," is due next business day (")&amp;TEXT($Y287,"dd-mmm")&amp;").","Next: "&amp;$Z287&amp;" due "&amp;TEXT($Y287,"dd-mmm")&amp;" ("&amp;(NETWORKDAYS(TODAY(),$Y287,Holidays)-1)&amp;" business day(s) left).")))))</f>
        <v/>
      </c>
      <c r="V287" s="17">
        <f>IF($W287="","",CHOOSE($W287,"Collection Email","1st Follow-up","2nd Follow-up","Local Office","CBE","Roxanne")&amp;IF($W287=6," - Final"," - Day "&amp;MAX(0,NETWORKDAYS($X287,TODAY(),Holidays)-1)&amp;" of "&amp;CHOOSE($W287,3,3,2,2,3))&amp;" | Total Day "&amp;MAX(0,NETWORKDAYS($L287,TODAY(),Holidays)-1))</f>
        <v/>
      </c>
      <c r="W287" s="17">
        <f>IF($L287="","",COUNT($L287:$Q287))</f>
        <v/>
      </c>
      <c r="X287" s="18">
        <f>IF($W287="","",INT(INDEX($L287:$Q287,$W287)))</f>
        <v/>
      </c>
      <c r="Y287" s="18">
        <f>IF(OR($W287="",$W287=6),"",WORKDAY($X287,CHOOSE($W287,3,3,2,2,3),Holidays))</f>
        <v/>
      </c>
      <c r="Z287" s="17">
        <f>IF(OR($W287="",$W287=6),"",CHOOSE($W287,"1st Email Follow-up","2nd Email Follow-up","Escalate Local Office","Escalate to CBE","Escalate to Roxanne"))</f>
        <v/>
      </c>
    </row>
    <row r="288" spans="18:26">
      <c r="R288" s="15"/>
      <c r="S288" s="16"/>
      <c r="T288" s="17">
        <f>IF(AND(COUNTA($A288:$K288)=0,$L288=""),"",IF($S288="Paid","PAID",IF($S288="Closed","CLOSED",IF($W288="","",IF($W288=6,"ESCALATED TO ROXANNE",IF(TODAY()&gt;$Y288,"OVERDUE",IF($Y288&lt;=WORKDAY(TODAY(),1,Holidays),"DUE TOMORROW",IF($W288=4,"ESCALATED TO LOCAL OFFICE",IF($W288=5,"ESCALATED TO CBE",IF($X288=TODAY(),"EMAIL SENT","MONITORING"))))))))))</f>
        <v/>
      </c>
      <c r="U288" s="17">
        <f>IF($T288="",IF(AND(COUNTA($A288:$K288)&gt;0,$L288=""),"Awaiting Collection Email time stamp.",""),IF(OR($T288="PAID",$T288="CLOSED"),IF($T288="PAID","Account paid. Action completed.","Account closed. No further action required."),CHOOSE($W288,"Collection Email","1st Email Follow-up","2nd Email Follow-up","Escalation to Local Office","Escalation to CBE","Escalation to Roxanne")&amp;" sent "&amp;TEXT($X288,"dd-mmm")&amp;". "&amp;IF($W288=6,"Final escalation completed.",IF($T288="OVERDUE","Next: "&amp;$Z288&amp;" was due "&amp;TEXT($Y288,"dd-mmm")&amp;" - "&amp;(NETWORKDAYS($Y288,TODAY(),Holidays)-1)&amp;" business day(s) late. Send now.",IF($T288="DUE TOMORROW","Next: "&amp;$Z288&amp;IF($Y288&lt;=TODAY()," is due TODAY ("," is due next business day (")&amp;TEXT($Y288,"dd-mmm")&amp;").","Next: "&amp;$Z288&amp;" due "&amp;TEXT($Y288,"dd-mmm")&amp;" ("&amp;(NETWORKDAYS(TODAY(),$Y288,Holidays)-1)&amp;" business day(s) left).")))))</f>
        <v/>
      </c>
      <c r="V288" s="17">
        <f>IF($W288="","",CHOOSE($W288,"Collection Email","1st Follow-up","2nd Follow-up","Local Office","CBE","Roxanne")&amp;IF($W288=6," - Final"," - Day "&amp;MAX(0,NETWORKDAYS($X288,TODAY(),Holidays)-1)&amp;" of "&amp;CHOOSE($W288,3,3,2,2,3))&amp;" | Total Day "&amp;MAX(0,NETWORKDAYS($L288,TODAY(),Holidays)-1))</f>
        <v/>
      </c>
      <c r="W288" s="17">
        <f>IF($L288="","",COUNT($L288:$Q288))</f>
        <v/>
      </c>
      <c r="X288" s="18">
        <f>IF($W288="","",INT(INDEX($L288:$Q288,$W288)))</f>
        <v/>
      </c>
      <c r="Y288" s="18">
        <f>IF(OR($W288="",$W288=6),"",WORKDAY($X288,CHOOSE($W288,3,3,2,2,3),Holidays))</f>
        <v/>
      </c>
      <c r="Z288" s="17">
        <f>IF(OR($W288="",$W288=6),"",CHOOSE($W288,"1st Email Follow-up","2nd Email Follow-up","Escalate Local Office","Escalate to CBE","Escalate to Roxanne"))</f>
        <v/>
      </c>
    </row>
    <row r="289" spans="18:26">
      <c r="R289" s="15"/>
      <c r="S289" s="16"/>
      <c r="T289" s="17">
        <f>IF(AND(COUNTA($A289:$K289)=0,$L289=""),"",IF($S289="Paid","PAID",IF($S289="Closed","CLOSED",IF($W289="","",IF($W289=6,"ESCALATED TO ROXANNE",IF(TODAY()&gt;$Y289,"OVERDUE",IF($Y289&lt;=WORKDAY(TODAY(),1,Holidays),"DUE TOMORROW",IF($W289=4,"ESCALATED TO LOCAL OFFICE",IF($W289=5,"ESCALATED TO CBE",IF($X289=TODAY(),"EMAIL SENT","MONITORING"))))))))))</f>
        <v/>
      </c>
      <c r="U289" s="17">
        <f>IF($T289="",IF(AND(COUNTA($A289:$K289)&gt;0,$L289=""),"Awaiting Collection Email time stamp.",""),IF(OR($T289="PAID",$T289="CLOSED"),IF($T289="PAID","Account paid. Action completed.","Account closed. No further action required."),CHOOSE($W289,"Collection Email","1st Email Follow-up","2nd Email Follow-up","Escalation to Local Office","Escalation to CBE","Escalation to Roxanne")&amp;" sent "&amp;TEXT($X289,"dd-mmm")&amp;". "&amp;IF($W289=6,"Final escalation completed.",IF($T289="OVERDUE","Next: "&amp;$Z289&amp;" was due "&amp;TEXT($Y289,"dd-mmm")&amp;" - "&amp;(NETWORKDAYS($Y289,TODAY(),Holidays)-1)&amp;" business day(s) late. Send now.",IF($T289="DUE TOMORROW","Next: "&amp;$Z289&amp;IF($Y289&lt;=TODAY()," is due TODAY ("," is due next business day (")&amp;TEXT($Y289,"dd-mmm")&amp;").","Next: "&amp;$Z289&amp;" due "&amp;TEXT($Y289,"dd-mmm")&amp;" ("&amp;(NETWORKDAYS(TODAY(),$Y289,Holidays)-1)&amp;" business day(s) left).")))))</f>
        <v/>
      </c>
      <c r="V289" s="17">
        <f>IF($W289="","",CHOOSE($W289,"Collection Email","1st Follow-up","2nd Follow-up","Local Office","CBE","Roxanne")&amp;IF($W289=6," - Final"," - Day "&amp;MAX(0,NETWORKDAYS($X289,TODAY(),Holidays)-1)&amp;" of "&amp;CHOOSE($W289,3,3,2,2,3))&amp;" | Total Day "&amp;MAX(0,NETWORKDAYS($L289,TODAY(),Holidays)-1))</f>
        <v/>
      </c>
      <c r="W289" s="17">
        <f>IF($L289="","",COUNT($L289:$Q289))</f>
        <v/>
      </c>
      <c r="X289" s="18">
        <f>IF($W289="","",INT(INDEX($L289:$Q289,$W289)))</f>
        <v/>
      </c>
      <c r="Y289" s="18">
        <f>IF(OR($W289="",$W289=6),"",WORKDAY($X289,CHOOSE($W289,3,3,2,2,3),Holidays))</f>
        <v/>
      </c>
      <c r="Z289" s="17">
        <f>IF(OR($W289="",$W289=6),"",CHOOSE($W289,"1st Email Follow-up","2nd Email Follow-up","Escalate Local Office","Escalate to CBE","Escalate to Roxanne"))</f>
        <v/>
      </c>
    </row>
    <row r="290" spans="18:26">
      <c r="R290" s="15"/>
      <c r="S290" s="16"/>
      <c r="T290" s="17">
        <f>IF(AND(COUNTA($A290:$K290)=0,$L290=""),"",IF($S290="Paid","PAID",IF($S290="Closed","CLOSED",IF($W290="","",IF($W290=6,"ESCALATED TO ROXANNE",IF(TODAY()&gt;$Y290,"OVERDUE",IF($Y290&lt;=WORKDAY(TODAY(),1,Holidays),"DUE TOMORROW",IF($W290=4,"ESCALATED TO LOCAL OFFICE",IF($W290=5,"ESCALATED TO CBE",IF($X290=TODAY(),"EMAIL SENT","MONITORING"))))))))))</f>
        <v/>
      </c>
      <c r="U290" s="17">
        <f>IF($T290="",IF(AND(COUNTA($A290:$K290)&gt;0,$L290=""),"Awaiting Collection Email time stamp.",""),IF(OR($T290="PAID",$T290="CLOSED"),IF($T290="PAID","Account paid. Action completed.","Account closed. No further action required."),CHOOSE($W290,"Collection Email","1st Email Follow-up","2nd Email Follow-up","Escalation to Local Office","Escalation to CBE","Escalation to Roxanne")&amp;" sent "&amp;TEXT($X290,"dd-mmm")&amp;". "&amp;IF($W290=6,"Final escalation completed.",IF($T290="OVERDUE","Next: "&amp;$Z290&amp;" was due "&amp;TEXT($Y290,"dd-mmm")&amp;" - "&amp;(NETWORKDAYS($Y290,TODAY(),Holidays)-1)&amp;" business day(s) late. Send now.",IF($T290="DUE TOMORROW","Next: "&amp;$Z290&amp;IF($Y290&lt;=TODAY()," is due TODAY ("," is due next business day (")&amp;TEXT($Y290,"dd-mmm")&amp;").","Next: "&amp;$Z290&amp;" due "&amp;TEXT($Y290,"dd-mmm")&amp;" ("&amp;(NETWORKDAYS(TODAY(),$Y290,Holidays)-1)&amp;" business day(s) left).")))))</f>
        <v/>
      </c>
      <c r="V290" s="17">
        <f>IF($W290="","",CHOOSE($W290,"Collection Email","1st Follow-up","2nd Follow-up","Local Office","CBE","Roxanne")&amp;IF($W290=6," - Final"," - Day "&amp;MAX(0,NETWORKDAYS($X290,TODAY(),Holidays)-1)&amp;" of "&amp;CHOOSE($W290,3,3,2,2,3))&amp;" | Total Day "&amp;MAX(0,NETWORKDAYS($L290,TODAY(),Holidays)-1))</f>
        <v/>
      </c>
      <c r="W290" s="17">
        <f>IF($L290="","",COUNT($L290:$Q290))</f>
        <v/>
      </c>
      <c r="X290" s="18">
        <f>IF($W290="","",INT(INDEX($L290:$Q290,$W290)))</f>
        <v/>
      </c>
      <c r="Y290" s="18">
        <f>IF(OR($W290="",$W290=6),"",WORKDAY($X290,CHOOSE($W290,3,3,2,2,3),Holidays))</f>
        <v/>
      </c>
      <c r="Z290" s="17">
        <f>IF(OR($W290="",$W290=6),"",CHOOSE($W290,"1st Email Follow-up","2nd Email Follow-up","Escalate Local Office","Escalate to CBE","Escalate to Roxanne"))</f>
        <v/>
      </c>
    </row>
    <row r="291" spans="18:26">
      <c r="R291" s="15"/>
      <c r="S291" s="16"/>
      <c r="T291" s="17">
        <f>IF(AND(COUNTA($A291:$K291)=0,$L291=""),"",IF($S291="Paid","PAID",IF($S291="Closed","CLOSED",IF($W291="","",IF($W291=6,"ESCALATED TO ROXANNE",IF(TODAY()&gt;$Y291,"OVERDUE",IF($Y291&lt;=WORKDAY(TODAY(),1,Holidays),"DUE TOMORROW",IF($W291=4,"ESCALATED TO LOCAL OFFICE",IF($W291=5,"ESCALATED TO CBE",IF($X291=TODAY(),"EMAIL SENT","MONITORING"))))))))))</f>
        <v/>
      </c>
      <c r="U291" s="17">
        <f>IF($T291="",IF(AND(COUNTA($A291:$K291)&gt;0,$L291=""),"Awaiting Collection Email time stamp.",""),IF(OR($T291="PAID",$T291="CLOSED"),IF($T291="PAID","Account paid. Action completed.","Account closed. No further action required."),CHOOSE($W291,"Collection Email","1st Email Follow-up","2nd Email Follow-up","Escalation to Local Office","Escalation to CBE","Escalation to Roxanne")&amp;" sent "&amp;TEXT($X291,"dd-mmm")&amp;". "&amp;IF($W291=6,"Final escalation completed.",IF($T291="OVERDUE","Next: "&amp;$Z291&amp;" was due "&amp;TEXT($Y291,"dd-mmm")&amp;" - "&amp;(NETWORKDAYS($Y291,TODAY(),Holidays)-1)&amp;" business day(s) late. Send now.",IF($T291="DUE TOMORROW","Next: "&amp;$Z291&amp;IF($Y291&lt;=TODAY()," is due TODAY ("," is due next business day (")&amp;TEXT($Y291,"dd-mmm")&amp;").","Next: "&amp;$Z291&amp;" due "&amp;TEXT($Y291,"dd-mmm")&amp;" ("&amp;(NETWORKDAYS(TODAY(),$Y291,Holidays)-1)&amp;" business day(s) left).")))))</f>
        <v/>
      </c>
      <c r="V291" s="17">
        <f>IF($W291="","",CHOOSE($W291,"Collection Email","1st Follow-up","2nd Follow-up","Local Office","CBE","Roxanne")&amp;IF($W291=6," - Final"," - Day "&amp;MAX(0,NETWORKDAYS($X291,TODAY(),Holidays)-1)&amp;" of "&amp;CHOOSE($W291,3,3,2,2,3))&amp;" | Total Day "&amp;MAX(0,NETWORKDAYS($L291,TODAY(),Holidays)-1))</f>
        <v/>
      </c>
      <c r="W291" s="17">
        <f>IF($L291="","",COUNT($L291:$Q291))</f>
        <v/>
      </c>
      <c r="X291" s="18">
        <f>IF($W291="","",INT(INDEX($L291:$Q291,$W291)))</f>
        <v/>
      </c>
      <c r="Y291" s="18">
        <f>IF(OR($W291="",$W291=6),"",WORKDAY($X291,CHOOSE($W291,3,3,2,2,3),Holidays))</f>
        <v/>
      </c>
      <c r="Z291" s="17">
        <f>IF(OR($W291="",$W291=6),"",CHOOSE($W291,"1st Email Follow-up","2nd Email Follow-up","Escalate Local Office","Escalate to CBE","Escalate to Roxanne"))</f>
        <v/>
      </c>
    </row>
    <row r="292" spans="18:26">
      <c r="R292" s="15"/>
      <c r="S292" s="16"/>
      <c r="T292" s="17">
        <f>IF(AND(COUNTA($A292:$K292)=0,$L292=""),"",IF($S292="Paid","PAID",IF($S292="Closed","CLOSED",IF($W292="","",IF($W292=6,"ESCALATED TO ROXANNE",IF(TODAY()&gt;$Y292,"OVERDUE",IF($Y292&lt;=WORKDAY(TODAY(),1,Holidays),"DUE TOMORROW",IF($W292=4,"ESCALATED TO LOCAL OFFICE",IF($W292=5,"ESCALATED TO CBE",IF($X292=TODAY(),"EMAIL SENT","MONITORING"))))))))))</f>
        <v/>
      </c>
      <c r="U292" s="17">
        <f>IF($T292="",IF(AND(COUNTA($A292:$K292)&gt;0,$L292=""),"Awaiting Collection Email time stamp.",""),IF(OR($T292="PAID",$T292="CLOSED"),IF($T292="PAID","Account paid. Action completed.","Account closed. No further action required."),CHOOSE($W292,"Collection Email","1st Email Follow-up","2nd Email Follow-up","Escalation to Local Office","Escalation to CBE","Escalation to Roxanne")&amp;" sent "&amp;TEXT($X292,"dd-mmm")&amp;". "&amp;IF($W292=6,"Final escalation completed.",IF($T292="OVERDUE","Next: "&amp;$Z292&amp;" was due "&amp;TEXT($Y292,"dd-mmm")&amp;" - "&amp;(NETWORKDAYS($Y292,TODAY(),Holidays)-1)&amp;" business day(s) late. Send now.",IF($T292="DUE TOMORROW","Next: "&amp;$Z292&amp;IF($Y292&lt;=TODAY()," is due TODAY ("," is due next business day (")&amp;TEXT($Y292,"dd-mmm")&amp;").","Next: "&amp;$Z292&amp;" due "&amp;TEXT($Y292,"dd-mmm")&amp;" ("&amp;(NETWORKDAYS(TODAY(),$Y292,Holidays)-1)&amp;" business day(s) left).")))))</f>
        <v/>
      </c>
      <c r="V292" s="17">
        <f>IF($W292="","",CHOOSE($W292,"Collection Email","1st Follow-up","2nd Follow-up","Local Office","CBE","Roxanne")&amp;IF($W292=6," - Final"," - Day "&amp;MAX(0,NETWORKDAYS($X292,TODAY(),Holidays)-1)&amp;" of "&amp;CHOOSE($W292,3,3,2,2,3))&amp;" | Total Day "&amp;MAX(0,NETWORKDAYS($L292,TODAY(),Holidays)-1))</f>
        <v/>
      </c>
      <c r="W292" s="17">
        <f>IF($L292="","",COUNT($L292:$Q292))</f>
        <v/>
      </c>
      <c r="X292" s="18">
        <f>IF($W292="","",INT(INDEX($L292:$Q292,$W292)))</f>
        <v/>
      </c>
      <c r="Y292" s="18">
        <f>IF(OR($W292="",$W292=6),"",WORKDAY($X292,CHOOSE($W292,3,3,2,2,3),Holidays))</f>
        <v/>
      </c>
      <c r="Z292" s="17">
        <f>IF(OR($W292="",$W292=6),"",CHOOSE($W292,"1st Email Follow-up","2nd Email Follow-up","Escalate Local Office","Escalate to CBE","Escalate to Roxanne"))</f>
        <v/>
      </c>
    </row>
    <row r="293" spans="18:26">
      <c r="R293" s="15"/>
      <c r="S293" s="16"/>
      <c r="T293" s="17">
        <f>IF(AND(COUNTA($A293:$K293)=0,$L293=""),"",IF($S293="Paid","PAID",IF($S293="Closed","CLOSED",IF($W293="","",IF($W293=6,"ESCALATED TO ROXANNE",IF(TODAY()&gt;$Y293,"OVERDUE",IF($Y293&lt;=WORKDAY(TODAY(),1,Holidays),"DUE TOMORROW",IF($W293=4,"ESCALATED TO LOCAL OFFICE",IF($W293=5,"ESCALATED TO CBE",IF($X293=TODAY(),"EMAIL SENT","MONITORING"))))))))))</f>
        <v/>
      </c>
      <c r="U293" s="17">
        <f>IF($T293="",IF(AND(COUNTA($A293:$K293)&gt;0,$L293=""),"Awaiting Collection Email time stamp.",""),IF(OR($T293="PAID",$T293="CLOSED"),IF($T293="PAID","Account paid. Action completed.","Account closed. No further action required."),CHOOSE($W293,"Collection Email","1st Email Follow-up","2nd Email Follow-up","Escalation to Local Office","Escalation to CBE","Escalation to Roxanne")&amp;" sent "&amp;TEXT($X293,"dd-mmm")&amp;". "&amp;IF($W293=6,"Final escalation completed.",IF($T293="OVERDUE","Next: "&amp;$Z293&amp;" was due "&amp;TEXT($Y293,"dd-mmm")&amp;" - "&amp;(NETWORKDAYS($Y293,TODAY(),Holidays)-1)&amp;" business day(s) late. Send now.",IF($T293="DUE TOMORROW","Next: "&amp;$Z293&amp;IF($Y293&lt;=TODAY()," is due TODAY ("," is due next business day (")&amp;TEXT($Y293,"dd-mmm")&amp;").","Next: "&amp;$Z293&amp;" due "&amp;TEXT($Y293,"dd-mmm")&amp;" ("&amp;(NETWORKDAYS(TODAY(),$Y293,Holidays)-1)&amp;" business day(s) left).")))))</f>
        <v/>
      </c>
      <c r="V293" s="17">
        <f>IF($W293="","",CHOOSE($W293,"Collection Email","1st Follow-up","2nd Follow-up","Local Office","CBE","Roxanne")&amp;IF($W293=6," - Final"," - Day "&amp;MAX(0,NETWORKDAYS($X293,TODAY(),Holidays)-1)&amp;" of "&amp;CHOOSE($W293,3,3,2,2,3))&amp;" | Total Day "&amp;MAX(0,NETWORKDAYS($L293,TODAY(),Holidays)-1))</f>
        <v/>
      </c>
      <c r="W293" s="17">
        <f>IF($L293="","",COUNT($L293:$Q293))</f>
        <v/>
      </c>
      <c r="X293" s="18">
        <f>IF($W293="","",INT(INDEX($L293:$Q293,$W293)))</f>
        <v/>
      </c>
      <c r="Y293" s="18">
        <f>IF(OR($W293="",$W293=6),"",WORKDAY($X293,CHOOSE($W293,3,3,2,2,3),Holidays))</f>
        <v/>
      </c>
      <c r="Z293" s="17">
        <f>IF(OR($W293="",$W293=6),"",CHOOSE($W293,"1st Email Follow-up","2nd Email Follow-up","Escalate Local Office","Escalate to CBE","Escalate to Roxanne"))</f>
        <v/>
      </c>
    </row>
    <row r="294" spans="18:26">
      <c r="R294" s="15"/>
      <c r="S294" s="16"/>
      <c r="T294" s="17">
        <f>IF(AND(COUNTA($A294:$K294)=0,$L294=""),"",IF($S294="Paid","PAID",IF($S294="Closed","CLOSED",IF($W294="","",IF($W294=6,"ESCALATED TO ROXANNE",IF(TODAY()&gt;$Y294,"OVERDUE",IF($Y294&lt;=WORKDAY(TODAY(),1,Holidays),"DUE TOMORROW",IF($W294=4,"ESCALATED TO LOCAL OFFICE",IF($W294=5,"ESCALATED TO CBE",IF($X294=TODAY(),"EMAIL SENT","MONITORING"))))))))))</f>
        <v/>
      </c>
      <c r="U294" s="17">
        <f>IF($T294="",IF(AND(COUNTA($A294:$K294)&gt;0,$L294=""),"Awaiting Collection Email time stamp.",""),IF(OR($T294="PAID",$T294="CLOSED"),IF($T294="PAID","Account paid. Action completed.","Account closed. No further action required."),CHOOSE($W294,"Collection Email","1st Email Follow-up","2nd Email Follow-up","Escalation to Local Office","Escalation to CBE","Escalation to Roxanne")&amp;" sent "&amp;TEXT($X294,"dd-mmm")&amp;". "&amp;IF($W294=6,"Final escalation completed.",IF($T294="OVERDUE","Next: "&amp;$Z294&amp;" was due "&amp;TEXT($Y294,"dd-mmm")&amp;" - "&amp;(NETWORKDAYS($Y294,TODAY(),Holidays)-1)&amp;" business day(s) late. Send now.",IF($T294="DUE TOMORROW","Next: "&amp;$Z294&amp;IF($Y294&lt;=TODAY()," is due TODAY ("," is due next business day (")&amp;TEXT($Y294,"dd-mmm")&amp;").","Next: "&amp;$Z294&amp;" due "&amp;TEXT($Y294,"dd-mmm")&amp;" ("&amp;(NETWORKDAYS(TODAY(),$Y294,Holidays)-1)&amp;" business day(s) left).")))))</f>
        <v/>
      </c>
      <c r="V294" s="17">
        <f>IF($W294="","",CHOOSE($W294,"Collection Email","1st Follow-up","2nd Follow-up","Local Office","CBE","Roxanne")&amp;IF($W294=6," - Final"," - Day "&amp;MAX(0,NETWORKDAYS($X294,TODAY(),Holidays)-1)&amp;" of "&amp;CHOOSE($W294,3,3,2,2,3))&amp;" | Total Day "&amp;MAX(0,NETWORKDAYS($L294,TODAY(),Holidays)-1))</f>
        <v/>
      </c>
      <c r="W294" s="17">
        <f>IF($L294="","",COUNT($L294:$Q294))</f>
        <v/>
      </c>
      <c r="X294" s="18">
        <f>IF($W294="","",INT(INDEX($L294:$Q294,$W294)))</f>
        <v/>
      </c>
      <c r="Y294" s="18">
        <f>IF(OR($W294="",$W294=6),"",WORKDAY($X294,CHOOSE($W294,3,3,2,2,3),Holidays))</f>
        <v/>
      </c>
      <c r="Z294" s="17">
        <f>IF(OR($W294="",$W294=6),"",CHOOSE($W294,"1st Email Follow-up","2nd Email Follow-up","Escalate Local Office","Escalate to CBE","Escalate to Roxanne"))</f>
        <v/>
      </c>
    </row>
    <row r="295" spans="18:26">
      <c r="R295" s="15"/>
      <c r="S295" s="16"/>
      <c r="T295" s="17">
        <f>IF(AND(COUNTA($A295:$K295)=0,$L295=""),"",IF($S295="Paid","PAID",IF($S295="Closed","CLOSED",IF($W295="","",IF($W295=6,"ESCALATED TO ROXANNE",IF(TODAY()&gt;$Y295,"OVERDUE",IF($Y295&lt;=WORKDAY(TODAY(),1,Holidays),"DUE TOMORROW",IF($W295=4,"ESCALATED TO LOCAL OFFICE",IF($W295=5,"ESCALATED TO CBE",IF($X295=TODAY(),"EMAIL SENT","MONITORING"))))))))))</f>
        <v/>
      </c>
      <c r="U295" s="17">
        <f>IF($T295="",IF(AND(COUNTA($A295:$K295)&gt;0,$L295=""),"Awaiting Collection Email time stamp.",""),IF(OR($T295="PAID",$T295="CLOSED"),IF($T295="PAID","Account paid. Action completed.","Account closed. No further action required."),CHOOSE($W295,"Collection Email","1st Email Follow-up","2nd Email Follow-up","Escalation to Local Office","Escalation to CBE","Escalation to Roxanne")&amp;" sent "&amp;TEXT($X295,"dd-mmm")&amp;". "&amp;IF($W295=6,"Final escalation completed.",IF($T295="OVERDUE","Next: "&amp;$Z295&amp;" was due "&amp;TEXT($Y295,"dd-mmm")&amp;" - "&amp;(NETWORKDAYS($Y295,TODAY(),Holidays)-1)&amp;" business day(s) late. Send now.",IF($T295="DUE TOMORROW","Next: "&amp;$Z295&amp;IF($Y295&lt;=TODAY()," is due TODAY ("," is due next business day (")&amp;TEXT($Y295,"dd-mmm")&amp;").","Next: "&amp;$Z295&amp;" due "&amp;TEXT($Y295,"dd-mmm")&amp;" ("&amp;(NETWORKDAYS(TODAY(),$Y295,Holidays)-1)&amp;" business day(s) left).")))))</f>
        <v/>
      </c>
      <c r="V295" s="17">
        <f>IF($W295="","",CHOOSE($W295,"Collection Email","1st Follow-up","2nd Follow-up","Local Office","CBE","Roxanne")&amp;IF($W295=6," - Final"," - Day "&amp;MAX(0,NETWORKDAYS($X295,TODAY(),Holidays)-1)&amp;" of "&amp;CHOOSE($W295,3,3,2,2,3))&amp;" | Total Day "&amp;MAX(0,NETWORKDAYS($L295,TODAY(),Holidays)-1))</f>
        <v/>
      </c>
      <c r="W295" s="17">
        <f>IF($L295="","",COUNT($L295:$Q295))</f>
        <v/>
      </c>
      <c r="X295" s="18">
        <f>IF($W295="","",INT(INDEX($L295:$Q295,$W295)))</f>
        <v/>
      </c>
      <c r="Y295" s="18">
        <f>IF(OR($W295="",$W295=6),"",WORKDAY($X295,CHOOSE($W295,3,3,2,2,3),Holidays))</f>
        <v/>
      </c>
      <c r="Z295" s="17">
        <f>IF(OR($W295="",$W295=6),"",CHOOSE($W295,"1st Email Follow-up","2nd Email Follow-up","Escalate Local Office","Escalate to CBE","Escalate to Roxanne"))</f>
        <v/>
      </c>
    </row>
    <row r="296" spans="18:26">
      <c r="R296" s="15"/>
      <c r="S296" s="16"/>
      <c r="T296" s="17">
        <f>IF(AND(COUNTA($A296:$K296)=0,$L296=""),"",IF($S296="Paid","PAID",IF($S296="Closed","CLOSED",IF($W296="","",IF($W296=6,"ESCALATED TO ROXANNE",IF(TODAY()&gt;$Y296,"OVERDUE",IF($Y296&lt;=WORKDAY(TODAY(),1,Holidays),"DUE TOMORROW",IF($W296=4,"ESCALATED TO LOCAL OFFICE",IF($W296=5,"ESCALATED TO CBE",IF($X296=TODAY(),"EMAIL SENT","MONITORING"))))))))))</f>
        <v/>
      </c>
      <c r="U296" s="17">
        <f>IF($T296="",IF(AND(COUNTA($A296:$K296)&gt;0,$L296=""),"Awaiting Collection Email time stamp.",""),IF(OR($T296="PAID",$T296="CLOSED"),IF($T296="PAID","Account paid. Action completed.","Account closed. No further action required."),CHOOSE($W296,"Collection Email","1st Email Follow-up","2nd Email Follow-up","Escalation to Local Office","Escalation to CBE","Escalation to Roxanne")&amp;" sent "&amp;TEXT($X296,"dd-mmm")&amp;". "&amp;IF($W296=6,"Final escalation completed.",IF($T296="OVERDUE","Next: "&amp;$Z296&amp;" was due "&amp;TEXT($Y296,"dd-mmm")&amp;" - "&amp;(NETWORKDAYS($Y296,TODAY(),Holidays)-1)&amp;" business day(s) late. Send now.",IF($T296="DUE TOMORROW","Next: "&amp;$Z296&amp;IF($Y296&lt;=TODAY()," is due TODAY ("," is due next business day (")&amp;TEXT($Y296,"dd-mmm")&amp;").","Next: "&amp;$Z296&amp;" due "&amp;TEXT($Y296,"dd-mmm")&amp;" ("&amp;(NETWORKDAYS(TODAY(),$Y296,Holidays)-1)&amp;" business day(s) left).")))))</f>
        <v/>
      </c>
      <c r="V296" s="17">
        <f>IF($W296="","",CHOOSE($W296,"Collection Email","1st Follow-up","2nd Follow-up","Local Office","CBE","Roxanne")&amp;IF($W296=6," - Final"," - Day "&amp;MAX(0,NETWORKDAYS($X296,TODAY(),Holidays)-1)&amp;" of "&amp;CHOOSE($W296,3,3,2,2,3))&amp;" | Total Day "&amp;MAX(0,NETWORKDAYS($L296,TODAY(),Holidays)-1))</f>
        <v/>
      </c>
      <c r="W296" s="17">
        <f>IF($L296="","",COUNT($L296:$Q296))</f>
        <v/>
      </c>
      <c r="X296" s="18">
        <f>IF($W296="","",INT(INDEX($L296:$Q296,$W296)))</f>
        <v/>
      </c>
      <c r="Y296" s="18">
        <f>IF(OR($W296="",$W296=6),"",WORKDAY($X296,CHOOSE($W296,3,3,2,2,3),Holidays))</f>
        <v/>
      </c>
      <c r="Z296" s="17">
        <f>IF(OR($W296="",$W296=6),"",CHOOSE($W296,"1st Email Follow-up","2nd Email Follow-up","Escalate Local Office","Escalate to CBE","Escalate to Roxanne"))</f>
        <v/>
      </c>
    </row>
    <row r="297" spans="18:26">
      <c r="R297" s="15"/>
      <c r="S297" s="16"/>
      <c r="T297" s="17">
        <f>IF(AND(COUNTA($A297:$K297)=0,$L297=""),"",IF($S297="Paid","PAID",IF($S297="Closed","CLOSED",IF($W297="","",IF($W297=6,"ESCALATED TO ROXANNE",IF(TODAY()&gt;$Y297,"OVERDUE",IF($Y297&lt;=WORKDAY(TODAY(),1,Holidays),"DUE TOMORROW",IF($W297=4,"ESCALATED TO LOCAL OFFICE",IF($W297=5,"ESCALATED TO CBE",IF($X297=TODAY(),"EMAIL SENT","MONITORING"))))))))))</f>
        <v/>
      </c>
      <c r="U297" s="17">
        <f>IF($T297="",IF(AND(COUNTA($A297:$K297)&gt;0,$L297=""),"Awaiting Collection Email time stamp.",""),IF(OR($T297="PAID",$T297="CLOSED"),IF($T297="PAID","Account paid. Action completed.","Account closed. No further action required."),CHOOSE($W297,"Collection Email","1st Email Follow-up","2nd Email Follow-up","Escalation to Local Office","Escalation to CBE","Escalation to Roxanne")&amp;" sent "&amp;TEXT($X297,"dd-mmm")&amp;". "&amp;IF($W297=6,"Final escalation completed.",IF($T297="OVERDUE","Next: "&amp;$Z297&amp;" was due "&amp;TEXT($Y297,"dd-mmm")&amp;" - "&amp;(NETWORKDAYS($Y297,TODAY(),Holidays)-1)&amp;" business day(s) late. Send now.",IF($T297="DUE TOMORROW","Next: "&amp;$Z297&amp;IF($Y297&lt;=TODAY()," is due TODAY ("," is due next business day (")&amp;TEXT($Y297,"dd-mmm")&amp;").","Next: "&amp;$Z297&amp;" due "&amp;TEXT($Y297,"dd-mmm")&amp;" ("&amp;(NETWORKDAYS(TODAY(),$Y297,Holidays)-1)&amp;" business day(s) left).")))))</f>
        <v/>
      </c>
      <c r="V297" s="17">
        <f>IF($W297="","",CHOOSE($W297,"Collection Email","1st Follow-up","2nd Follow-up","Local Office","CBE","Roxanne")&amp;IF($W297=6," - Final"," - Day "&amp;MAX(0,NETWORKDAYS($X297,TODAY(),Holidays)-1)&amp;" of "&amp;CHOOSE($W297,3,3,2,2,3))&amp;" | Total Day "&amp;MAX(0,NETWORKDAYS($L297,TODAY(),Holidays)-1))</f>
        <v/>
      </c>
      <c r="W297" s="17">
        <f>IF($L297="","",COUNT($L297:$Q297))</f>
        <v/>
      </c>
      <c r="X297" s="18">
        <f>IF($W297="","",INT(INDEX($L297:$Q297,$W297)))</f>
        <v/>
      </c>
      <c r="Y297" s="18">
        <f>IF(OR($W297="",$W297=6),"",WORKDAY($X297,CHOOSE($W297,3,3,2,2,3),Holidays))</f>
        <v/>
      </c>
      <c r="Z297" s="17">
        <f>IF(OR($W297="",$W297=6),"",CHOOSE($W297,"1st Email Follow-up","2nd Email Follow-up","Escalate Local Office","Escalate to CBE","Escalate to Roxanne"))</f>
        <v/>
      </c>
    </row>
    <row r="298" spans="18:26">
      <c r="R298" s="15"/>
      <c r="S298" s="16"/>
      <c r="T298" s="17">
        <f>IF(AND(COUNTA($A298:$K298)=0,$L298=""),"",IF($S298="Paid","PAID",IF($S298="Closed","CLOSED",IF($W298="","",IF($W298=6,"ESCALATED TO ROXANNE",IF(TODAY()&gt;$Y298,"OVERDUE",IF($Y298&lt;=WORKDAY(TODAY(),1,Holidays),"DUE TOMORROW",IF($W298=4,"ESCALATED TO LOCAL OFFICE",IF($W298=5,"ESCALATED TO CBE",IF($X298=TODAY(),"EMAIL SENT","MONITORING"))))))))))</f>
        <v/>
      </c>
      <c r="U298" s="17">
        <f>IF($T298="",IF(AND(COUNTA($A298:$K298)&gt;0,$L298=""),"Awaiting Collection Email time stamp.",""),IF(OR($T298="PAID",$T298="CLOSED"),IF($T298="PAID","Account paid. Action completed.","Account closed. No further action required."),CHOOSE($W298,"Collection Email","1st Email Follow-up","2nd Email Follow-up","Escalation to Local Office","Escalation to CBE","Escalation to Roxanne")&amp;" sent "&amp;TEXT($X298,"dd-mmm")&amp;". "&amp;IF($W298=6,"Final escalation completed.",IF($T298="OVERDUE","Next: "&amp;$Z298&amp;" was due "&amp;TEXT($Y298,"dd-mmm")&amp;" - "&amp;(NETWORKDAYS($Y298,TODAY(),Holidays)-1)&amp;" business day(s) late. Send now.",IF($T298="DUE TOMORROW","Next: "&amp;$Z298&amp;IF($Y298&lt;=TODAY()," is due TODAY ("," is due next business day (")&amp;TEXT($Y298,"dd-mmm")&amp;").","Next: "&amp;$Z298&amp;" due "&amp;TEXT($Y298,"dd-mmm")&amp;" ("&amp;(NETWORKDAYS(TODAY(),$Y298,Holidays)-1)&amp;" business day(s) left).")))))</f>
        <v/>
      </c>
      <c r="V298" s="17">
        <f>IF($W298="","",CHOOSE($W298,"Collection Email","1st Follow-up","2nd Follow-up","Local Office","CBE","Roxanne")&amp;IF($W298=6," - Final"," - Day "&amp;MAX(0,NETWORKDAYS($X298,TODAY(),Holidays)-1)&amp;" of "&amp;CHOOSE($W298,3,3,2,2,3))&amp;" | Total Day "&amp;MAX(0,NETWORKDAYS($L298,TODAY(),Holidays)-1))</f>
        <v/>
      </c>
      <c r="W298" s="17">
        <f>IF($L298="","",COUNT($L298:$Q298))</f>
        <v/>
      </c>
      <c r="X298" s="18">
        <f>IF($W298="","",INT(INDEX($L298:$Q298,$W298)))</f>
        <v/>
      </c>
      <c r="Y298" s="18">
        <f>IF(OR($W298="",$W298=6),"",WORKDAY($X298,CHOOSE($W298,3,3,2,2,3),Holidays))</f>
        <v/>
      </c>
      <c r="Z298" s="17">
        <f>IF(OR($W298="",$W298=6),"",CHOOSE($W298,"1st Email Follow-up","2nd Email Follow-up","Escalate Local Office","Escalate to CBE","Escalate to Roxanne"))</f>
        <v/>
      </c>
    </row>
    <row r="299" spans="18:26">
      <c r="R299" s="15"/>
      <c r="S299" s="16"/>
      <c r="T299" s="17">
        <f>IF(AND(COUNTA($A299:$K299)=0,$L299=""),"",IF($S299="Paid","PAID",IF($S299="Closed","CLOSED",IF($W299="","",IF($W299=6,"ESCALATED TO ROXANNE",IF(TODAY()&gt;$Y299,"OVERDUE",IF($Y299&lt;=WORKDAY(TODAY(),1,Holidays),"DUE TOMORROW",IF($W299=4,"ESCALATED TO LOCAL OFFICE",IF($W299=5,"ESCALATED TO CBE",IF($X299=TODAY(),"EMAIL SENT","MONITORING"))))))))))</f>
        <v/>
      </c>
      <c r="U299" s="17">
        <f>IF($T299="",IF(AND(COUNTA($A299:$K299)&gt;0,$L299=""),"Awaiting Collection Email time stamp.",""),IF(OR($T299="PAID",$T299="CLOSED"),IF($T299="PAID","Account paid. Action completed.","Account closed. No further action required."),CHOOSE($W299,"Collection Email","1st Email Follow-up","2nd Email Follow-up","Escalation to Local Office","Escalation to CBE","Escalation to Roxanne")&amp;" sent "&amp;TEXT($X299,"dd-mmm")&amp;". "&amp;IF($W299=6,"Final escalation completed.",IF($T299="OVERDUE","Next: "&amp;$Z299&amp;" was due "&amp;TEXT($Y299,"dd-mmm")&amp;" - "&amp;(NETWORKDAYS($Y299,TODAY(),Holidays)-1)&amp;" business day(s) late. Send now.",IF($T299="DUE TOMORROW","Next: "&amp;$Z299&amp;IF($Y299&lt;=TODAY()," is due TODAY ("," is due next business day (")&amp;TEXT($Y299,"dd-mmm")&amp;").","Next: "&amp;$Z299&amp;" due "&amp;TEXT($Y299,"dd-mmm")&amp;" ("&amp;(NETWORKDAYS(TODAY(),$Y299,Holidays)-1)&amp;" business day(s) left).")))))</f>
        <v/>
      </c>
      <c r="V299" s="17">
        <f>IF($W299="","",CHOOSE($W299,"Collection Email","1st Follow-up","2nd Follow-up","Local Office","CBE","Roxanne")&amp;IF($W299=6," - Final"," - Day "&amp;MAX(0,NETWORKDAYS($X299,TODAY(),Holidays)-1)&amp;" of "&amp;CHOOSE($W299,3,3,2,2,3))&amp;" | Total Day "&amp;MAX(0,NETWORKDAYS($L299,TODAY(),Holidays)-1))</f>
        <v/>
      </c>
      <c r="W299" s="17">
        <f>IF($L299="","",COUNT($L299:$Q299))</f>
        <v/>
      </c>
      <c r="X299" s="18">
        <f>IF($W299="","",INT(INDEX($L299:$Q299,$W299)))</f>
        <v/>
      </c>
      <c r="Y299" s="18">
        <f>IF(OR($W299="",$W299=6),"",WORKDAY($X299,CHOOSE($W299,3,3,2,2,3),Holidays))</f>
        <v/>
      </c>
      <c r="Z299" s="17">
        <f>IF(OR($W299="",$W299=6),"",CHOOSE($W299,"1st Email Follow-up","2nd Email Follow-up","Escalate Local Office","Escalate to CBE","Escalate to Roxanne"))</f>
        <v/>
      </c>
    </row>
    <row r="300" spans="18:26">
      <c r="R300" s="15"/>
      <c r="S300" s="16"/>
      <c r="T300" s="17">
        <f>IF(AND(COUNTA($A300:$K300)=0,$L300=""),"",IF($S300="Paid","PAID",IF($S300="Closed","CLOSED",IF($W300="","",IF($W300=6,"ESCALATED TO ROXANNE",IF(TODAY()&gt;$Y300,"OVERDUE",IF($Y300&lt;=WORKDAY(TODAY(),1,Holidays),"DUE TOMORROW",IF($W300=4,"ESCALATED TO LOCAL OFFICE",IF($W300=5,"ESCALATED TO CBE",IF($X300=TODAY(),"EMAIL SENT","MONITORING"))))))))))</f>
        <v/>
      </c>
      <c r="U300" s="17">
        <f>IF($T300="",IF(AND(COUNTA($A300:$K300)&gt;0,$L300=""),"Awaiting Collection Email time stamp.",""),IF(OR($T300="PAID",$T300="CLOSED"),IF($T300="PAID","Account paid. Action completed.","Account closed. No further action required."),CHOOSE($W300,"Collection Email","1st Email Follow-up","2nd Email Follow-up","Escalation to Local Office","Escalation to CBE","Escalation to Roxanne")&amp;" sent "&amp;TEXT($X300,"dd-mmm")&amp;". "&amp;IF($W300=6,"Final escalation completed.",IF($T300="OVERDUE","Next: "&amp;$Z300&amp;" was due "&amp;TEXT($Y300,"dd-mmm")&amp;" - "&amp;(NETWORKDAYS($Y300,TODAY(),Holidays)-1)&amp;" business day(s) late. Send now.",IF($T300="DUE TOMORROW","Next: "&amp;$Z300&amp;IF($Y300&lt;=TODAY()," is due TODAY ("," is due next business day (")&amp;TEXT($Y300,"dd-mmm")&amp;").","Next: "&amp;$Z300&amp;" due "&amp;TEXT($Y300,"dd-mmm")&amp;" ("&amp;(NETWORKDAYS(TODAY(),$Y300,Holidays)-1)&amp;" business day(s) left).")))))</f>
        <v/>
      </c>
      <c r="V300" s="17">
        <f>IF($W300="","",CHOOSE($W300,"Collection Email","1st Follow-up","2nd Follow-up","Local Office","CBE","Roxanne")&amp;IF($W300=6," - Final"," - Day "&amp;MAX(0,NETWORKDAYS($X300,TODAY(),Holidays)-1)&amp;" of "&amp;CHOOSE($W300,3,3,2,2,3))&amp;" | Total Day "&amp;MAX(0,NETWORKDAYS($L300,TODAY(),Holidays)-1))</f>
        <v/>
      </c>
      <c r="W300" s="17">
        <f>IF($L300="","",COUNT($L300:$Q300))</f>
        <v/>
      </c>
      <c r="X300" s="18">
        <f>IF($W300="","",INT(INDEX($L300:$Q300,$W300)))</f>
        <v/>
      </c>
      <c r="Y300" s="18">
        <f>IF(OR($W300="",$W300=6),"",WORKDAY($X300,CHOOSE($W300,3,3,2,2,3),Holidays))</f>
        <v/>
      </c>
      <c r="Z300" s="17">
        <f>IF(OR($W300="",$W300=6),"",CHOOSE($W300,"1st Email Follow-up","2nd Email Follow-up","Escalate Local Office","Escalate to CBE","Escalate to Roxanne"))</f>
        <v/>
      </c>
    </row>
    <row r="301" spans="18:26">
      <c r="R301" s="15"/>
      <c r="S301" s="16"/>
      <c r="T301" s="17">
        <f>IF(AND(COUNTA($A301:$K301)=0,$L301=""),"",IF($S301="Paid","PAID",IF($S301="Closed","CLOSED",IF($W301="","",IF($W301=6,"ESCALATED TO ROXANNE",IF(TODAY()&gt;$Y301,"OVERDUE",IF($Y301&lt;=WORKDAY(TODAY(),1,Holidays),"DUE TOMORROW",IF($W301=4,"ESCALATED TO LOCAL OFFICE",IF($W301=5,"ESCALATED TO CBE",IF($X301=TODAY(),"EMAIL SENT","MONITORING"))))))))))</f>
        <v/>
      </c>
      <c r="U301" s="17">
        <f>IF($T301="",IF(AND(COUNTA($A301:$K301)&gt;0,$L301=""),"Awaiting Collection Email time stamp.",""),IF(OR($T301="PAID",$T301="CLOSED"),IF($T301="PAID","Account paid. Action completed.","Account closed. No further action required."),CHOOSE($W301,"Collection Email","1st Email Follow-up","2nd Email Follow-up","Escalation to Local Office","Escalation to CBE","Escalation to Roxanne")&amp;" sent "&amp;TEXT($X301,"dd-mmm")&amp;". "&amp;IF($W301=6,"Final escalation completed.",IF($T301="OVERDUE","Next: "&amp;$Z301&amp;" was due "&amp;TEXT($Y301,"dd-mmm")&amp;" - "&amp;(NETWORKDAYS($Y301,TODAY(),Holidays)-1)&amp;" business day(s) late. Send now.",IF($T301="DUE TOMORROW","Next: "&amp;$Z301&amp;IF($Y301&lt;=TODAY()," is due TODAY ("," is due next business day (")&amp;TEXT($Y301,"dd-mmm")&amp;").","Next: "&amp;$Z301&amp;" due "&amp;TEXT($Y301,"dd-mmm")&amp;" ("&amp;(NETWORKDAYS(TODAY(),$Y301,Holidays)-1)&amp;" business day(s) left).")))))</f>
        <v/>
      </c>
      <c r="V301" s="17">
        <f>IF($W301="","",CHOOSE($W301,"Collection Email","1st Follow-up","2nd Follow-up","Local Office","CBE","Roxanne")&amp;IF($W301=6," - Final"," - Day "&amp;MAX(0,NETWORKDAYS($X301,TODAY(),Holidays)-1)&amp;" of "&amp;CHOOSE($W301,3,3,2,2,3))&amp;" | Total Day "&amp;MAX(0,NETWORKDAYS($L301,TODAY(),Holidays)-1))</f>
        <v/>
      </c>
      <c r="W301" s="17">
        <f>IF($L301="","",COUNT($L301:$Q301))</f>
        <v/>
      </c>
      <c r="X301" s="18">
        <f>IF($W301="","",INT(INDEX($L301:$Q301,$W301)))</f>
        <v/>
      </c>
      <c r="Y301" s="18">
        <f>IF(OR($W301="",$W301=6),"",WORKDAY($X301,CHOOSE($W301,3,3,2,2,3),Holidays))</f>
        <v/>
      </c>
      <c r="Z301" s="17">
        <f>IF(OR($W301="",$W301=6),"",CHOOSE($W301,"1st Email Follow-up","2nd Email Follow-up","Escalate Local Office","Escalate to CBE","Escalate to Roxanne"))</f>
        <v/>
      </c>
    </row>
    <row r="302" spans="18:26">
      <c r="R302" s="15"/>
      <c r="S302" s="16"/>
      <c r="T302" s="17">
        <f>IF(AND(COUNTA($A302:$K302)=0,$L302=""),"",IF($S302="Paid","PAID",IF($S302="Closed","CLOSED",IF($W302="","",IF($W302=6,"ESCALATED TO ROXANNE",IF(TODAY()&gt;$Y302,"OVERDUE",IF($Y302&lt;=WORKDAY(TODAY(),1,Holidays),"DUE TOMORROW",IF($W302=4,"ESCALATED TO LOCAL OFFICE",IF($W302=5,"ESCALATED TO CBE",IF($X302=TODAY(),"EMAIL SENT","MONITORING"))))))))))</f>
        <v/>
      </c>
      <c r="U302" s="17">
        <f>IF($T302="",IF(AND(COUNTA($A302:$K302)&gt;0,$L302=""),"Awaiting Collection Email time stamp.",""),IF(OR($T302="PAID",$T302="CLOSED"),IF($T302="PAID","Account paid. Action completed.","Account closed. No further action required."),CHOOSE($W302,"Collection Email","1st Email Follow-up","2nd Email Follow-up","Escalation to Local Office","Escalation to CBE","Escalation to Roxanne")&amp;" sent "&amp;TEXT($X302,"dd-mmm")&amp;". "&amp;IF($W302=6,"Final escalation completed.",IF($T302="OVERDUE","Next: "&amp;$Z302&amp;" was due "&amp;TEXT($Y302,"dd-mmm")&amp;" - "&amp;(NETWORKDAYS($Y302,TODAY(),Holidays)-1)&amp;" business day(s) late. Send now.",IF($T302="DUE TOMORROW","Next: "&amp;$Z302&amp;IF($Y302&lt;=TODAY()," is due TODAY ("," is due next business day (")&amp;TEXT($Y302,"dd-mmm")&amp;").","Next: "&amp;$Z302&amp;" due "&amp;TEXT($Y302,"dd-mmm")&amp;" ("&amp;(NETWORKDAYS(TODAY(),$Y302,Holidays)-1)&amp;" business day(s) left).")))))</f>
        <v/>
      </c>
      <c r="V302" s="17">
        <f>IF($W302="","",CHOOSE($W302,"Collection Email","1st Follow-up","2nd Follow-up","Local Office","CBE","Roxanne")&amp;IF($W302=6," - Final"," - Day "&amp;MAX(0,NETWORKDAYS($X302,TODAY(),Holidays)-1)&amp;" of "&amp;CHOOSE($W302,3,3,2,2,3))&amp;" | Total Day "&amp;MAX(0,NETWORKDAYS($L302,TODAY(),Holidays)-1))</f>
        <v/>
      </c>
      <c r="W302" s="17">
        <f>IF($L302="","",COUNT($L302:$Q302))</f>
        <v/>
      </c>
      <c r="X302" s="18">
        <f>IF($W302="","",INT(INDEX($L302:$Q302,$W302)))</f>
        <v/>
      </c>
      <c r="Y302" s="18">
        <f>IF(OR($W302="",$W302=6),"",WORKDAY($X302,CHOOSE($W302,3,3,2,2,3),Holidays))</f>
        <v/>
      </c>
      <c r="Z302" s="17">
        <f>IF(OR($W302="",$W302=6),"",CHOOSE($W302,"1st Email Follow-up","2nd Email Follow-up","Escalate Local Office","Escalate to CBE","Escalate to Roxanne"))</f>
        <v/>
      </c>
    </row>
    <row r="303" spans="18:26">
      <c r="R303" s="15"/>
      <c r="S303" s="16"/>
      <c r="T303" s="17">
        <f>IF(AND(COUNTA($A303:$K303)=0,$L303=""),"",IF($S303="Paid","PAID",IF($S303="Closed","CLOSED",IF($W303="","",IF($W303=6,"ESCALATED TO ROXANNE",IF(TODAY()&gt;$Y303,"OVERDUE",IF($Y303&lt;=WORKDAY(TODAY(),1,Holidays),"DUE TOMORROW",IF($W303=4,"ESCALATED TO LOCAL OFFICE",IF($W303=5,"ESCALATED TO CBE",IF($X303=TODAY(),"EMAIL SENT","MONITORING"))))))))))</f>
        <v/>
      </c>
      <c r="U303" s="17">
        <f>IF($T303="",IF(AND(COUNTA($A303:$K303)&gt;0,$L303=""),"Awaiting Collection Email time stamp.",""),IF(OR($T303="PAID",$T303="CLOSED"),IF($T303="PAID","Account paid. Action completed.","Account closed. No further action required."),CHOOSE($W303,"Collection Email","1st Email Follow-up","2nd Email Follow-up","Escalation to Local Office","Escalation to CBE","Escalation to Roxanne")&amp;" sent "&amp;TEXT($X303,"dd-mmm")&amp;". "&amp;IF($W303=6,"Final escalation completed.",IF($T303="OVERDUE","Next: "&amp;$Z303&amp;" was due "&amp;TEXT($Y303,"dd-mmm")&amp;" - "&amp;(NETWORKDAYS($Y303,TODAY(),Holidays)-1)&amp;" business day(s) late. Send now.",IF($T303="DUE TOMORROW","Next: "&amp;$Z303&amp;IF($Y303&lt;=TODAY()," is due TODAY ("," is due next business day (")&amp;TEXT($Y303,"dd-mmm")&amp;").","Next: "&amp;$Z303&amp;" due "&amp;TEXT($Y303,"dd-mmm")&amp;" ("&amp;(NETWORKDAYS(TODAY(),$Y303,Holidays)-1)&amp;" business day(s) left).")))))</f>
        <v/>
      </c>
      <c r="V303" s="17">
        <f>IF($W303="","",CHOOSE($W303,"Collection Email","1st Follow-up","2nd Follow-up","Local Office","CBE","Roxanne")&amp;IF($W303=6," - Final"," - Day "&amp;MAX(0,NETWORKDAYS($X303,TODAY(),Holidays)-1)&amp;" of "&amp;CHOOSE($W303,3,3,2,2,3))&amp;" | Total Day "&amp;MAX(0,NETWORKDAYS($L303,TODAY(),Holidays)-1))</f>
        <v/>
      </c>
      <c r="W303" s="17">
        <f>IF($L303="","",COUNT($L303:$Q303))</f>
        <v/>
      </c>
      <c r="X303" s="18">
        <f>IF($W303="","",INT(INDEX($L303:$Q303,$W303)))</f>
        <v/>
      </c>
      <c r="Y303" s="18">
        <f>IF(OR($W303="",$W303=6),"",WORKDAY($X303,CHOOSE($W303,3,3,2,2,3),Holidays))</f>
        <v/>
      </c>
      <c r="Z303" s="17">
        <f>IF(OR($W303="",$W303=6),"",CHOOSE($W303,"1st Email Follow-up","2nd Email Follow-up","Escalate Local Office","Escalate to CBE","Escalate to Roxanne"))</f>
        <v/>
      </c>
    </row>
    <row r="304" spans="18:26">
      <c r="R304" s="15"/>
      <c r="S304" s="16"/>
      <c r="T304" s="17">
        <f>IF(AND(COUNTA($A304:$K304)=0,$L304=""),"",IF($S304="Paid","PAID",IF($S304="Closed","CLOSED",IF($W304="","",IF($W304=6,"ESCALATED TO ROXANNE",IF(TODAY()&gt;$Y304,"OVERDUE",IF($Y304&lt;=WORKDAY(TODAY(),1,Holidays),"DUE TOMORROW",IF($W304=4,"ESCALATED TO LOCAL OFFICE",IF($W304=5,"ESCALATED TO CBE",IF($X304=TODAY(),"EMAIL SENT","MONITORING"))))))))))</f>
        <v/>
      </c>
      <c r="U304" s="17">
        <f>IF($T304="",IF(AND(COUNTA($A304:$K304)&gt;0,$L304=""),"Awaiting Collection Email time stamp.",""),IF(OR($T304="PAID",$T304="CLOSED"),IF($T304="PAID","Account paid. Action completed.","Account closed. No further action required."),CHOOSE($W304,"Collection Email","1st Email Follow-up","2nd Email Follow-up","Escalation to Local Office","Escalation to CBE","Escalation to Roxanne")&amp;" sent "&amp;TEXT($X304,"dd-mmm")&amp;". "&amp;IF($W304=6,"Final escalation completed.",IF($T304="OVERDUE","Next: "&amp;$Z304&amp;" was due "&amp;TEXT($Y304,"dd-mmm")&amp;" - "&amp;(NETWORKDAYS($Y304,TODAY(),Holidays)-1)&amp;" business day(s) late. Send now.",IF($T304="DUE TOMORROW","Next: "&amp;$Z304&amp;IF($Y304&lt;=TODAY()," is due TODAY ("," is due next business day (")&amp;TEXT($Y304,"dd-mmm")&amp;").","Next: "&amp;$Z304&amp;" due "&amp;TEXT($Y304,"dd-mmm")&amp;" ("&amp;(NETWORKDAYS(TODAY(),$Y304,Holidays)-1)&amp;" business day(s) left).")))))</f>
        <v/>
      </c>
      <c r="V304" s="17">
        <f>IF($W304="","",CHOOSE($W304,"Collection Email","1st Follow-up","2nd Follow-up","Local Office","CBE","Roxanne")&amp;IF($W304=6," - Final"," - Day "&amp;MAX(0,NETWORKDAYS($X304,TODAY(),Holidays)-1)&amp;" of "&amp;CHOOSE($W304,3,3,2,2,3))&amp;" | Total Day "&amp;MAX(0,NETWORKDAYS($L304,TODAY(),Holidays)-1))</f>
        <v/>
      </c>
      <c r="W304" s="17">
        <f>IF($L304="","",COUNT($L304:$Q304))</f>
        <v/>
      </c>
      <c r="X304" s="18">
        <f>IF($W304="","",INT(INDEX($L304:$Q304,$W304)))</f>
        <v/>
      </c>
      <c r="Y304" s="18">
        <f>IF(OR($W304="",$W304=6),"",WORKDAY($X304,CHOOSE($W304,3,3,2,2,3),Holidays))</f>
        <v/>
      </c>
      <c r="Z304" s="17">
        <f>IF(OR($W304="",$W304=6),"",CHOOSE($W304,"1st Email Follow-up","2nd Email Follow-up","Escalate Local Office","Escalate to CBE","Escalate to Roxanne"))</f>
        <v/>
      </c>
    </row>
    <row r="305" spans="18:26">
      <c r="R305" s="15"/>
      <c r="S305" s="16"/>
      <c r="T305" s="17">
        <f>IF(AND(COUNTA($A305:$K305)=0,$L305=""),"",IF($S305="Paid","PAID",IF($S305="Closed","CLOSED",IF($W305="","",IF($W305=6,"ESCALATED TO ROXANNE",IF(TODAY()&gt;$Y305,"OVERDUE",IF($Y305&lt;=WORKDAY(TODAY(),1,Holidays),"DUE TOMORROW",IF($W305=4,"ESCALATED TO LOCAL OFFICE",IF($W305=5,"ESCALATED TO CBE",IF($X305=TODAY(),"EMAIL SENT","MONITORING"))))))))))</f>
        <v/>
      </c>
      <c r="U305" s="17">
        <f>IF($T305="",IF(AND(COUNTA($A305:$K305)&gt;0,$L305=""),"Awaiting Collection Email time stamp.",""),IF(OR($T305="PAID",$T305="CLOSED"),IF($T305="PAID","Account paid. Action completed.","Account closed. No further action required."),CHOOSE($W305,"Collection Email","1st Email Follow-up","2nd Email Follow-up","Escalation to Local Office","Escalation to CBE","Escalation to Roxanne")&amp;" sent "&amp;TEXT($X305,"dd-mmm")&amp;". "&amp;IF($W305=6,"Final escalation completed.",IF($T305="OVERDUE","Next: "&amp;$Z305&amp;" was due "&amp;TEXT($Y305,"dd-mmm")&amp;" - "&amp;(NETWORKDAYS($Y305,TODAY(),Holidays)-1)&amp;" business day(s) late. Send now.",IF($T305="DUE TOMORROW","Next: "&amp;$Z305&amp;IF($Y305&lt;=TODAY()," is due TODAY ("," is due next business day (")&amp;TEXT($Y305,"dd-mmm")&amp;").","Next: "&amp;$Z305&amp;" due "&amp;TEXT($Y305,"dd-mmm")&amp;" ("&amp;(NETWORKDAYS(TODAY(),$Y305,Holidays)-1)&amp;" business day(s) left).")))))</f>
        <v/>
      </c>
      <c r="V305" s="17">
        <f>IF($W305="","",CHOOSE($W305,"Collection Email","1st Follow-up","2nd Follow-up","Local Office","CBE","Roxanne")&amp;IF($W305=6," - Final"," - Day "&amp;MAX(0,NETWORKDAYS($X305,TODAY(),Holidays)-1)&amp;" of "&amp;CHOOSE($W305,3,3,2,2,3))&amp;" | Total Day "&amp;MAX(0,NETWORKDAYS($L305,TODAY(),Holidays)-1))</f>
        <v/>
      </c>
      <c r="W305" s="17">
        <f>IF($L305="","",COUNT($L305:$Q305))</f>
        <v/>
      </c>
      <c r="X305" s="18">
        <f>IF($W305="","",INT(INDEX($L305:$Q305,$W305)))</f>
        <v/>
      </c>
      <c r="Y305" s="18">
        <f>IF(OR($W305="",$W305=6),"",WORKDAY($X305,CHOOSE($W305,3,3,2,2,3),Holidays))</f>
        <v/>
      </c>
      <c r="Z305" s="17">
        <f>IF(OR($W305="",$W305=6),"",CHOOSE($W305,"1st Email Follow-up","2nd Email Follow-up","Escalate Local Office","Escalate to CBE","Escalate to Roxanne"))</f>
        <v/>
      </c>
    </row>
    <row r="306" spans="18:26">
      <c r="R306" s="15"/>
      <c r="S306" s="16"/>
      <c r="T306" s="17">
        <f>IF(AND(COUNTA($A306:$K306)=0,$L306=""),"",IF($S306="Paid","PAID",IF($S306="Closed","CLOSED",IF($W306="","",IF($W306=6,"ESCALATED TO ROXANNE",IF(TODAY()&gt;$Y306,"OVERDUE",IF($Y306&lt;=WORKDAY(TODAY(),1,Holidays),"DUE TOMORROW",IF($W306=4,"ESCALATED TO LOCAL OFFICE",IF($W306=5,"ESCALATED TO CBE",IF($X306=TODAY(),"EMAIL SENT","MONITORING"))))))))))</f>
        <v/>
      </c>
      <c r="U306" s="17">
        <f>IF($T306="",IF(AND(COUNTA($A306:$K306)&gt;0,$L306=""),"Awaiting Collection Email time stamp.",""),IF(OR($T306="PAID",$T306="CLOSED"),IF($T306="PAID","Account paid. Action completed.","Account closed. No further action required."),CHOOSE($W306,"Collection Email","1st Email Follow-up","2nd Email Follow-up","Escalation to Local Office","Escalation to CBE","Escalation to Roxanne")&amp;" sent "&amp;TEXT($X306,"dd-mmm")&amp;". "&amp;IF($W306=6,"Final escalation completed.",IF($T306="OVERDUE","Next: "&amp;$Z306&amp;" was due "&amp;TEXT($Y306,"dd-mmm")&amp;" - "&amp;(NETWORKDAYS($Y306,TODAY(),Holidays)-1)&amp;" business day(s) late. Send now.",IF($T306="DUE TOMORROW","Next: "&amp;$Z306&amp;IF($Y306&lt;=TODAY()," is due TODAY ("," is due next business day (")&amp;TEXT($Y306,"dd-mmm")&amp;").","Next: "&amp;$Z306&amp;" due "&amp;TEXT($Y306,"dd-mmm")&amp;" ("&amp;(NETWORKDAYS(TODAY(),$Y306,Holidays)-1)&amp;" business day(s) left).")))))</f>
        <v/>
      </c>
      <c r="V306" s="17">
        <f>IF($W306="","",CHOOSE($W306,"Collection Email","1st Follow-up","2nd Follow-up","Local Office","CBE","Roxanne")&amp;IF($W306=6," - Final"," - Day "&amp;MAX(0,NETWORKDAYS($X306,TODAY(),Holidays)-1)&amp;" of "&amp;CHOOSE($W306,3,3,2,2,3))&amp;" | Total Day "&amp;MAX(0,NETWORKDAYS($L306,TODAY(),Holidays)-1))</f>
        <v/>
      </c>
      <c r="W306" s="17">
        <f>IF($L306="","",COUNT($L306:$Q306))</f>
        <v/>
      </c>
      <c r="X306" s="18">
        <f>IF($W306="","",INT(INDEX($L306:$Q306,$W306)))</f>
        <v/>
      </c>
      <c r="Y306" s="18">
        <f>IF(OR($W306="",$W306=6),"",WORKDAY($X306,CHOOSE($W306,3,3,2,2,3),Holidays))</f>
        <v/>
      </c>
      <c r="Z306" s="17">
        <f>IF(OR($W306="",$W306=6),"",CHOOSE($W306,"1st Email Follow-up","2nd Email Follow-up","Escalate Local Office","Escalate to CBE","Escalate to Roxanne"))</f>
        <v/>
      </c>
    </row>
    <row r="307" spans="18:26">
      <c r="R307" s="15"/>
      <c r="S307" s="16"/>
      <c r="T307" s="17">
        <f>IF(AND(COUNTA($A307:$K307)=0,$L307=""),"",IF($S307="Paid","PAID",IF($S307="Closed","CLOSED",IF($W307="","",IF($W307=6,"ESCALATED TO ROXANNE",IF(TODAY()&gt;$Y307,"OVERDUE",IF($Y307&lt;=WORKDAY(TODAY(),1,Holidays),"DUE TOMORROW",IF($W307=4,"ESCALATED TO LOCAL OFFICE",IF($W307=5,"ESCALATED TO CBE",IF($X307=TODAY(),"EMAIL SENT","MONITORING"))))))))))</f>
        <v/>
      </c>
      <c r="U307" s="17">
        <f>IF($T307="",IF(AND(COUNTA($A307:$K307)&gt;0,$L307=""),"Awaiting Collection Email time stamp.",""),IF(OR($T307="PAID",$T307="CLOSED"),IF($T307="PAID","Account paid. Action completed.","Account closed. No further action required."),CHOOSE($W307,"Collection Email","1st Email Follow-up","2nd Email Follow-up","Escalation to Local Office","Escalation to CBE","Escalation to Roxanne")&amp;" sent "&amp;TEXT($X307,"dd-mmm")&amp;". "&amp;IF($W307=6,"Final escalation completed.",IF($T307="OVERDUE","Next: "&amp;$Z307&amp;" was due "&amp;TEXT($Y307,"dd-mmm")&amp;" - "&amp;(NETWORKDAYS($Y307,TODAY(),Holidays)-1)&amp;" business day(s) late. Send now.",IF($T307="DUE TOMORROW","Next: "&amp;$Z307&amp;IF($Y307&lt;=TODAY()," is due TODAY ("," is due next business day (")&amp;TEXT($Y307,"dd-mmm")&amp;").","Next: "&amp;$Z307&amp;" due "&amp;TEXT($Y307,"dd-mmm")&amp;" ("&amp;(NETWORKDAYS(TODAY(),$Y307,Holidays)-1)&amp;" business day(s) left).")))))</f>
        <v/>
      </c>
      <c r="V307" s="17">
        <f>IF($W307="","",CHOOSE($W307,"Collection Email","1st Follow-up","2nd Follow-up","Local Office","CBE","Roxanne")&amp;IF($W307=6," - Final"," - Day "&amp;MAX(0,NETWORKDAYS($X307,TODAY(),Holidays)-1)&amp;" of "&amp;CHOOSE($W307,3,3,2,2,3))&amp;" | Total Day "&amp;MAX(0,NETWORKDAYS($L307,TODAY(),Holidays)-1))</f>
        <v/>
      </c>
      <c r="W307" s="17">
        <f>IF($L307="","",COUNT($L307:$Q307))</f>
        <v/>
      </c>
      <c r="X307" s="18">
        <f>IF($W307="","",INT(INDEX($L307:$Q307,$W307)))</f>
        <v/>
      </c>
      <c r="Y307" s="18">
        <f>IF(OR($W307="",$W307=6),"",WORKDAY($X307,CHOOSE($W307,3,3,2,2,3),Holidays))</f>
        <v/>
      </c>
      <c r="Z307" s="17">
        <f>IF(OR($W307="",$W307=6),"",CHOOSE($W307,"1st Email Follow-up","2nd Email Follow-up","Escalate Local Office","Escalate to CBE","Escalate to Roxanne"))</f>
        <v/>
      </c>
    </row>
    <row r="308" spans="18:26">
      <c r="R308" s="15"/>
      <c r="S308" s="16"/>
      <c r="T308" s="17">
        <f>IF(AND(COUNTA($A308:$K308)=0,$L308=""),"",IF($S308="Paid","PAID",IF($S308="Closed","CLOSED",IF($W308="","",IF($W308=6,"ESCALATED TO ROXANNE",IF(TODAY()&gt;$Y308,"OVERDUE",IF($Y308&lt;=WORKDAY(TODAY(),1,Holidays),"DUE TOMORROW",IF($W308=4,"ESCALATED TO LOCAL OFFICE",IF($W308=5,"ESCALATED TO CBE",IF($X308=TODAY(),"EMAIL SENT","MONITORING"))))))))))</f>
        <v/>
      </c>
      <c r="U308" s="17">
        <f>IF($T308="",IF(AND(COUNTA($A308:$K308)&gt;0,$L308=""),"Awaiting Collection Email time stamp.",""),IF(OR($T308="PAID",$T308="CLOSED"),IF($T308="PAID","Account paid. Action completed.","Account closed. No further action required."),CHOOSE($W308,"Collection Email","1st Email Follow-up","2nd Email Follow-up","Escalation to Local Office","Escalation to CBE","Escalation to Roxanne")&amp;" sent "&amp;TEXT($X308,"dd-mmm")&amp;". "&amp;IF($W308=6,"Final escalation completed.",IF($T308="OVERDUE","Next: "&amp;$Z308&amp;" was due "&amp;TEXT($Y308,"dd-mmm")&amp;" - "&amp;(NETWORKDAYS($Y308,TODAY(),Holidays)-1)&amp;" business day(s) late. Send now.",IF($T308="DUE TOMORROW","Next: "&amp;$Z308&amp;IF($Y308&lt;=TODAY()," is due TODAY ("," is due next business day (")&amp;TEXT($Y308,"dd-mmm")&amp;").","Next: "&amp;$Z308&amp;" due "&amp;TEXT($Y308,"dd-mmm")&amp;" ("&amp;(NETWORKDAYS(TODAY(),$Y308,Holidays)-1)&amp;" business day(s) left).")))))</f>
        <v/>
      </c>
      <c r="V308" s="17">
        <f>IF($W308="","",CHOOSE($W308,"Collection Email","1st Follow-up","2nd Follow-up","Local Office","CBE","Roxanne")&amp;IF($W308=6," - Final"," - Day "&amp;MAX(0,NETWORKDAYS($X308,TODAY(),Holidays)-1)&amp;" of "&amp;CHOOSE($W308,3,3,2,2,3))&amp;" | Total Day "&amp;MAX(0,NETWORKDAYS($L308,TODAY(),Holidays)-1))</f>
        <v/>
      </c>
      <c r="W308" s="17">
        <f>IF($L308="","",COUNT($L308:$Q308))</f>
        <v/>
      </c>
      <c r="X308" s="18">
        <f>IF($W308="","",INT(INDEX($L308:$Q308,$W308)))</f>
        <v/>
      </c>
      <c r="Y308" s="18">
        <f>IF(OR($W308="",$W308=6),"",WORKDAY($X308,CHOOSE($W308,3,3,2,2,3),Holidays))</f>
        <v/>
      </c>
      <c r="Z308" s="17">
        <f>IF(OR($W308="",$W308=6),"",CHOOSE($W308,"1st Email Follow-up","2nd Email Follow-up","Escalate Local Office","Escalate to CBE","Escalate to Roxanne"))</f>
        <v/>
      </c>
    </row>
    <row r="309" spans="18:26">
      <c r="R309" s="15"/>
      <c r="S309" s="16"/>
      <c r="T309" s="17">
        <f>IF(AND(COUNTA($A309:$K309)=0,$L309=""),"",IF($S309="Paid","PAID",IF($S309="Closed","CLOSED",IF($W309="","",IF($W309=6,"ESCALATED TO ROXANNE",IF(TODAY()&gt;$Y309,"OVERDUE",IF($Y309&lt;=WORKDAY(TODAY(),1,Holidays),"DUE TOMORROW",IF($W309=4,"ESCALATED TO LOCAL OFFICE",IF($W309=5,"ESCALATED TO CBE",IF($X309=TODAY(),"EMAIL SENT","MONITORING"))))))))))</f>
        <v/>
      </c>
      <c r="U309" s="17">
        <f>IF($T309="",IF(AND(COUNTA($A309:$K309)&gt;0,$L309=""),"Awaiting Collection Email time stamp.",""),IF(OR($T309="PAID",$T309="CLOSED"),IF($T309="PAID","Account paid. Action completed.","Account closed. No further action required."),CHOOSE($W309,"Collection Email","1st Email Follow-up","2nd Email Follow-up","Escalation to Local Office","Escalation to CBE","Escalation to Roxanne")&amp;" sent "&amp;TEXT($X309,"dd-mmm")&amp;". "&amp;IF($W309=6,"Final escalation completed.",IF($T309="OVERDUE","Next: "&amp;$Z309&amp;" was due "&amp;TEXT($Y309,"dd-mmm")&amp;" - "&amp;(NETWORKDAYS($Y309,TODAY(),Holidays)-1)&amp;" business day(s) late. Send now.",IF($T309="DUE TOMORROW","Next: "&amp;$Z309&amp;IF($Y309&lt;=TODAY()," is due TODAY ("," is due next business day (")&amp;TEXT($Y309,"dd-mmm")&amp;").","Next: "&amp;$Z309&amp;" due "&amp;TEXT($Y309,"dd-mmm")&amp;" ("&amp;(NETWORKDAYS(TODAY(),$Y309,Holidays)-1)&amp;" business day(s) left).")))))</f>
        <v/>
      </c>
      <c r="V309" s="17">
        <f>IF($W309="","",CHOOSE($W309,"Collection Email","1st Follow-up","2nd Follow-up","Local Office","CBE","Roxanne")&amp;IF($W309=6," - Final"," - Day "&amp;MAX(0,NETWORKDAYS($X309,TODAY(),Holidays)-1)&amp;" of "&amp;CHOOSE($W309,3,3,2,2,3))&amp;" | Total Day "&amp;MAX(0,NETWORKDAYS($L309,TODAY(),Holidays)-1))</f>
        <v/>
      </c>
      <c r="W309" s="17">
        <f>IF($L309="","",COUNT($L309:$Q309))</f>
        <v/>
      </c>
      <c r="X309" s="18">
        <f>IF($W309="","",INT(INDEX($L309:$Q309,$W309)))</f>
        <v/>
      </c>
      <c r="Y309" s="18">
        <f>IF(OR($W309="",$W309=6),"",WORKDAY($X309,CHOOSE($W309,3,3,2,2,3),Holidays))</f>
        <v/>
      </c>
      <c r="Z309" s="17">
        <f>IF(OR($W309="",$W309=6),"",CHOOSE($W309,"1st Email Follow-up","2nd Email Follow-up","Escalate Local Office","Escalate to CBE","Escalate to Roxanne"))</f>
        <v/>
      </c>
    </row>
    <row r="310" spans="18:26">
      <c r="R310" s="15"/>
      <c r="S310" s="16"/>
      <c r="T310" s="17">
        <f>IF(AND(COUNTA($A310:$K310)=0,$L310=""),"",IF($S310="Paid","PAID",IF($S310="Closed","CLOSED",IF($W310="","",IF($W310=6,"ESCALATED TO ROXANNE",IF(TODAY()&gt;$Y310,"OVERDUE",IF($Y310&lt;=WORKDAY(TODAY(),1,Holidays),"DUE TOMORROW",IF($W310=4,"ESCALATED TO LOCAL OFFICE",IF($W310=5,"ESCALATED TO CBE",IF($X310=TODAY(),"EMAIL SENT","MONITORING"))))))))))</f>
        <v/>
      </c>
      <c r="U310" s="17">
        <f>IF($T310="",IF(AND(COUNTA($A310:$K310)&gt;0,$L310=""),"Awaiting Collection Email time stamp.",""),IF(OR($T310="PAID",$T310="CLOSED"),IF($T310="PAID","Account paid. Action completed.","Account closed. No further action required."),CHOOSE($W310,"Collection Email","1st Email Follow-up","2nd Email Follow-up","Escalation to Local Office","Escalation to CBE","Escalation to Roxanne")&amp;" sent "&amp;TEXT($X310,"dd-mmm")&amp;". "&amp;IF($W310=6,"Final escalation completed.",IF($T310="OVERDUE","Next: "&amp;$Z310&amp;" was due "&amp;TEXT($Y310,"dd-mmm")&amp;" - "&amp;(NETWORKDAYS($Y310,TODAY(),Holidays)-1)&amp;" business day(s) late. Send now.",IF($T310="DUE TOMORROW","Next: "&amp;$Z310&amp;IF($Y310&lt;=TODAY()," is due TODAY ("," is due next business day (")&amp;TEXT($Y310,"dd-mmm")&amp;").","Next: "&amp;$Z310&amp;" due "&amp;TEXT($Y310,"dd-mmm")&amp;" ("&amp;(NETWORKDAYS(TODAY(),$Y310,Holidays)-1)&amp;" business day(s) left).")))))</f>
        <v/>
      </c>
      <c r="V310" s="17">
        <f>IF($W310="","",CHOOSE($W310,"Collection Email","1st Follow-up","2nd Follow-up","Local Office","CBE","Roxanne")&amp;IF($W310=6," - Final"," - Day "&amp;MAX(0,NETWORKDAYS($X310,TODAY(),Holidays)-1)&amp;" of "&amp;CHOOSE($W310,3,3,2,2,3))&amp;" | Total Day "&amp;MAX(0,NETWORKDAYS($L310,TODAY(),Holidays)-1))</f>
        <v/>
      </c>
      <c r="W310" s="17">
        <f>IF($L310="","",COUNT($L310:$Q310))</f>
        <v/>
      </c>
      <c r="X310" s="18">
        <f>IF($W310="","",INT(INDEX($L310:$Q310,$W310)))</f>
        <v/>
      </c>
      <c r="Y310" s="18">
        <f>IF(OR($W310="",$W310=6),"",WORKDAY($X310,CHOOSE($W310,3,3,2,2,3),Holidays))</f>
        <v/>
      </c>
      <c r="Z310" s="17">
        <f>IF(OR($W310="",$W310=6),"",CHOOSE($W310,"1st Email Follow-up","2nd Email Follow-up","Escalate Local Office","Escalate to CBE","Escalate to Roxanne"))</f>
        <v/>
      </c>
    </row>
    <row r="311" spans="18:26">
      <c r="R311" s="15"/>
      <c r="S311" s="16"/>
      <c r="T311" s="17">
        <f>IF(AND(COUNTA($A311:$K311)=0,$L311=""),"",IF($S311="Paid","PAID",IF($S311="Closed","CLOSED",IF($W311="","",IF($W311=6,"ESCALATED TO ROXANNE",IF(TODAY()&gt;$Y311,"OVERDUE",IF($Y311&lt;=WORKDAY(TODAY(),1,Holidays),"DUE TOMORROW",IF($W311=4,"ESCALATED TO LOCAL OFFICE",IF($W311=5,"ESCALATED TO CBE",IF($X311=TODAY(),"EMAIL SENT","MONITORING"))))))))))</f>
        <v/>
      </c>
      <c r="U311" s="17">
        <f>IF($T311="",IF(AND(COUNTA($A311:$K311)&gt;0,$L311=""),"Awaiting Collection Email time stamp.",""),IF(OR($T311="PAID",$T311="CLOSED"),IF($T311="PAID","Account paid. Action completed.","Account closed. No further action required."),CHOOSE($W311,"Collection Email","1st Email Follow-up","2nd Email Follow-up","Escalation to Local Office","Escalation to CBE","Escalation to Roxanne")&amp;" sent "&amp;TEXT($X311,"dd-mmm")&amp;". "&amp;IF($W311=6,"Final escalation completed.",IF($T311="OVERDUE","Next: "&amp;$Z311&amp;" was due "&amp;TEXT($Y311,"dd-mmm")&amp;" - "&amp;(NETWORKDAYS($Y311,TODAY(),Holidays)-1)&amp;" business day(s) late. Send now.",IF($T311="DUE TOMORROW","Next: "&amp;$Z311&amp;IF($Y311&lt;=TODAY()," is due TODAY ("," is due next business day (")&amp;TEXT($Y311,"dd-mmm")&amp;").","Next: "&amp;$Z311&amp;" due "&amp;TEXT($Y311,"dd-mmm")&amp;" ("&amp;(NETWORKDAYS(TODAY(),$Y311,Holidays)-1)&amp;" business day(s) left).")))))</f>
        <v/>
      </c>
      <c r="V311" s="17">
        <f>IF($W311="","",CHOOSE($W311,"Collection Email","1st Follow-up","2nd Follow-up","Local Office","CBE","Roxanne")&amp;IF($W311=6," - Final"," - Day "&amp;MAX(0,NETWORKDAYS($X311,TODAY(),Holidays)-1)&amp;" of "&amp;CHOOSE($W311,3,3,2,2,3))&amp;" | Total Day "&amp;MAX(0,NETWORKDAYS($L311,TODAY(),Holidays)-1))</f>
        <v/>
      </c>
      <c r="W311" s="17">
        <f>IF($L311="","",COUNT($L311:$Q311))</f>
        <v/>
      </c>
      <c r="X311" s="18">
        <f>IF($W311="","",INT(INDEX($L311:$Q311,$W311)))</f>
        <v/>
      </c>
      <c r="Y311" s="18">
        <f>IF(OR($W311="",$W311=6),"",WORKDAY($X311,CHOOSE($W311,3,3,2,2,3),Holidays))</f>
        <v/>
      </c>
      <c r="Z311" s="17">
        <f>IF(OR($W311="",$W311=6),"",CHOOSE($W311,"1st Email Follow-up","2nd Email Follow-up","Escalate Local Office","Escalate to CBE","Escalate to Roxanne"))</f>
        <v/>
      </c>
    </row>
    <row r="312" spans="18:26">
      <c r="R312" s="15"/>
      <c r="S312" s="16"/>
      <c r="T312" s="17">
        <f>IF(AND(COUNTA($A312:$K312)=0,$L312=""),"",IF($S312="Paid","PAID",IF($S312="Closed","CLOSED",IF($W312="","",IF($W312=6,"ESCALATED TO ROXANNE",IF(TODAY()&gt;$Y312,"OVERDUE",IF($Y312&lt;=WORKDAY(TODAY(),1,Holidays),"DUE TOMORROW",IF($W312=4,"ESCALATED TO LOCAL OFFICE",IF($W312=5,"ESCALATED TO CBE",IF($X312=TODAY(),"EMAIL SENT","MONITORING"))))))))))</f>
        <v/>
      </c>
      <c r="U312" s="17">
        <f>IF($T312="",IF(AND(COUNTA($A312:$K312)&gt;0,$L312=""),"Awaiting Collection Email time stamp.",""),IF(OR($T312="PAID",$T312="CLOSED"),IF($T312="PAID","Account paid. Action completed.","Account closed. No further action required."),CHOOSE($W312,"Collection Email","1st Email Follow-up","2nd Email Follow-up","Escalation to Local Office","Escalation to CBE","Escalation to Roxanne")&amp;" sent "&amp;TEXT($X312,"dd-mmm")&amp;". "&amp;IF($W312=6,"Final escalation completed.",IF($T312="OVERDUE","Next: "&amp;$Z312&amp;" was due "&amp;TEXT($Y312,"dd-mmm")&amp;" - "&amp;(NETWORKDAYS($Y312,TODAY(),Holidays)-1)&amp;" business day(s) late. Send now.",IF($T312="DUE TOMORROW","Next: "&amp;$Z312&amp;IF($Y312&lt;=TODAY()," is due TODAY ("," is due next business day (")&amp;TEXT($Y312,"dd-mmm")&amp;").","Next: "&amp;$Z312&amp;" due "&amp;TEXT($Y312,"dd-mmm")&amp;" ("&amp;(NETWORKDAYS(TODAY(),$Y312,Holidays)-1)&amp;" business day(s) left).")))))</f>
        <v/>
      </c>
      <c r="V312" s="17">
        <f>IF($W312="","",CHOOSE($W312,"Collection Email","1st Follow-up","2nd Follow-up","Local Office","CBE","Roxanne")&amp;IF($W312=6," - Final"," - Day "&amp;MAX(0,NETWORKDAYS($X312,TODAY(),Holidays)-1)&amp;" of "&amp;CHOOSE($W312,3,3,2,2,3))&amp;" | Total Day "&amp;MAX(0,NETWORKDAYS($L312,TODAY(),Holidays)-1))</f>
        <v/>
      </c>
      <c r="W312" s="17">
        <f>IF($L312="","",COUNT($L312:$Q312))</f>
        <v/>
      </c>
      <c r="X312" s="18">
        <f>IF($W312="","",INT(INDEX($L312:$Q312,$W312)))</f>
        <v/>
      </c>
      <c r="Y312" s="18">
        <f>IF(OR($W312="",$W312=6),"",WORKDAY($X312,CHOOSE($W312,3,3,2,2,3),Holidays))</f>
        <v/>
      </c>
      <c r="Z312" s="17">
        <f>IF(OR($W312="",$W312=6),"",CHOOSE($W312,"1st Email Follow-up","2nd Email Follow-up","Escalate Local Office","Escalate to CBE","Escalate to Roxanne"))</f>
        <v/>
      </c>
    </row>
    <row r="313" spans="18:26">
      <c r="R313" s="15"/>
      <c r="S313" s="16"/>
      <c r="T313" s="17">
        <f>IF(AND(COUNTA($A313:$K313)=0,$L313=""),"",IF($S313="Paid","PAID",IF($S313="Closed","CLOSED",IF($W313="","",IF($W313=6,"ESCALATED TO ROXANNE",IF(TODAY()&gt;$Y313,"OVERDUE",IF($Y313&lt;=WORKDAY(TODAY(),1,Holidays),"DUE TOMORROW",IF($W313=4,"ESCALATED TO LOCAL OFFICE",IF($W313=5,"ESCALATED TO CBE",IF($X313=TODAY(),"EMAIL SENT","MONITORING"))))))))))</f>
        <v/>
      </c>
      <c r="U313" s="17">
        <f>IF($T313="",IF(AND(COUNTA($A313:$K313)&gt;0,$L313=""),"Awaiting Collection Email time stamp.",""),IF(OR($T313="PAID",$T313="CLOSED"),IF($T313="PAID","Account paid. Action completed.","Account closed. No further action required."),CHOOSE($W313,"Collection Email","1st Email Follow-up","2nd Email Follow-up","Escalation to Local Office","Escalation to CBE","Escalation to Roxanne")&amp;" sent "&amp;TEXT($X313,"dd-mmm")&amp;". "&amp;IF($W313=6,"Final escalation completed.",IF($T313="OVERDUE","Next: "&amp;$Z313&amp;" was due "&amp;TEXT($Y313,"dd-mmm")&amp;" - "&amp;(NETWORKDAYS($Y313,TODAY(),Holidays)-1)&amp;" business day(s) late. Send now.",IF($T313="DUE TOMORROW","Next: "&amp;$Z313&amp;IF($Y313&lt;=TODAY()," is due TODAY ("," is due next business day (")&amp;TEXT($Y313,"dd-mmm")&amp;").","Next: "&amp;$Z313&amp;" due "&amp;TEXT($Y313,"dd-mmm")&amp;" ("&amp;(NETWORKDAYS(TODAY(),$Y313,Holidays)-1)&amp;" business day(s) left).")))))</f>
        <v/>
      </c>
      <c r="V313" s="17">
        <f>IF($W313="","",CHOOSE($W313,"Collection Email","1st Follow-up","2nd Follow-up","Local Office","CBE","Roxanne")&amp;IF($W313=6," - Final"," - Day "&amp;MAX(0,NETWORKDAYS($X313,TODAY(),Holidays)-1)&amp;" of "&amp;CHOOSE($W313,3,3,2,2,3))&amp;" | Total Day "&amp;MAX(0,NETWORKDAYS($L313,TODAY(),Holidays)-1))</f>
        <v/>
      </c>
      <c r="W313" s="17">
        <f>IF($L313="","",COUNT($L313:$Q313))</f>
        <v/>
      </c>
      <c r="X313" s="18">
        <f>IF($W313="","",INT(INDEX($L313:$Q313,$W313)))</f>
        <v/>
      </c>
      <c r="Y313" s="18">
        <f>IF(OR($W313="",$W313=6),"",WORKDAY($X313,CHOOSE($W313,3,3,2,2,3),Holidays))</f>
        <v/>
      </c>
      <c r="Z313" s="17">
        <f>IF(OR($W313="",$W313=6),"",CHOOSE($W313,"1st Email Follow-up","2nd Email Follow-up","Escalate Local Office","Escalate to CBE","Escalate to Roxanne"))</f>
        <v/>
      </c>
    </row>
    <row r="314" spans="18:26">
      <c r="R314" s="15"/>
      <c r="S314" s="16"/>
      <c r="T314" s="17">
        <f>IF(AND(COUNTA($A314:$K314)=0,$L314=""),"",IF($S314="Paid","PAID",IF($S314="Closed","CLOSED",IF($W314="","",IF($W314=6,"ESCALATED TO ROXANNE",IF(TODAY()&gt;$Y314,"OVERDUE",IF($Y314&lt;=WORKDAY(TODAY(),1,Holidays),"DUE TOMORROW",IF($W314=4,"ESCALATED TO LOCAL OFFICE",IF($W314=5,"ESCALATED TO CBE",IF($X314=TODAY(),"EMAIL SENT","MONITORING"))))))))))</f>
        <v/>
      </c>
      <c r="U314" s="17">
        <f>IF($T314="",IF(AND(COUNTA($A314:$K314)&gt;0,$L314=""),"Awaiting Collection Email time stamp.",""),IF(OR($T314="PAID",$T314="CLOSED"),IF($T314="PAID","Account paid. Action completed.","Account closed. No further action required."),CHOOSE($W314,"Collection Email","1st Email Follow-up","2nd Email Follow-up","Escalation to Local Office","Escalation to CBE","Escalation to Roxanne")&amp;" sent "&amp;TEXT($X314,"dd-mmm")&amp;". "&amp;IF($W314=6,"Final escalation completed.",IF($T314="OVERDUE","Next: "&amp;$Z314&amp;" was due "&amp;TEXT($Y314,"dd-mmm")&amp;" - "&amp;(NETWORKDAYS($Y314,TODAY(),Holidays)-1)&amp;" business day(s) late. Send now.",IF($T314="DUE TOMORROW","Next: "&amp;$Z314&amp;IF($Y314&lt;=TODAY()," is due TODAY ("," is due next business day (")&amp;TEXT($Y314,"dd-mmm")&amp;").","Next: "&amp;$Z314&amp;" due "&amp;TEXT($Y314,"dd-mmm")&amp;" ("&amp;(NETWORKDAYS(TODAY(),$Y314,Holidays)-1)&amp;" business day(s) left).")))))</f>
        <v/>
      </c>
      <c r="V314" s="17">
        <f>IF($W314="","",CHOOSE($W314,"Collection Email","1st Follow-up","2nd Follow-up","Local Office","CBE","Roxanne")&amp;IF($W314=6," - Final"," - Day "&amp;MAX(0,NETWORKDAYS($X314,TODAY(),Holidays)-1)&amp;" of "&amp;CHOOSE($W314,3,3,2,2,3))&amp;" | Total Day "&amp;MAX(0,NETWORKDAYS($L314,TODAY(),Holidays)-1))</f>
        <v/>
      </c>
      <c r="W314" s="17">
        <f>IF($L314="","",COUNT($L314:$Q314))</f>
        <v/>
      </c>
      <c r="X314" s="18">
        <f>IF($W314="","",INT(INDEX($L314:$Q314,$W314)))</f>
        <v/>
      </c>
      <c r="Y314" s="18">
        <f>IF(OR($W314="",$W314=6),"",WORKDAY($X314,CHOOSE($W314,3,3,2,2,3),Holidays))</f>
        <v/>
      </c>
      <c r="Z314" s="17">
        <f>IF(OR($W314="",$W314=6),"",CHOOSE($W314,"1st Email Follow-up","2nd Email Follow-up","Escalate Local Office","Escalate to CBE","Escalate to Roxanne"))</f>
        <v/>
      </c>
    </row>
    <row r="315" spans="18:26">
      <c r="R315" s="15"/>
      <c r="S315" s="16"/>
      <c r="T315" s="17">
        <f>IF(AND(COUNTA($A315:$K315)=0,$L315=""),"",IF($S315="Paid","PAID",IF($S315="Closed","CLOSED",IF($W315="","",IF($W315=6,"ESCALATED TO ROXANNE",IF(TODAY()&gt;$Y315,"OVERDUE",IF($Y315&lt;=WORKDAY(TODAY(),1,Holidays),"DUE TOMORROW",IF($W315=4,"ESCALATED TO LOCAL OFFICE",IF($W315=5,"ESCALATED TO CBE",IF($X315=TODAY(),"EMAIL SENT","MONITORING"))))))))))</f>
        <v/>
      </c>
      <c r="U315" s="17">
        <f>IF($T315="",IF(AND(COUNTA($A315:$K315)&gt;0,$L315=""),"Awaiting Collection Email time stamp.",""),IF(OR($T315="PAID",$T315="CLOSED"),IF($T315="PAID","Account paid. Action completed.","Account closed. No further action required."),CHOOSE($W315,"Collection Email","1st Email Follow-up","2nd Email Follow-up","Escalation to Local Office","Escalation to CBE","Escalation to Roxanne")&amp;" sent "&amp;TEXT($X315,"dd-mmm")&amp;". "&amp;IF($W315=6,"Final escalation completed.",IF($T315="OVERDUE","Next: "&amp;$Z315&amp;" was due "&amp;TEXT($Y315,"dd-mmm")&amp;" - "&amp;(NETWORKDAYS($Y315,TODAY(),Holidays)-1)&amp;" business day(s) late. Send now.",IF($T315="DUE TOMORROW","Next: "&amp;$Z315&amp;IF($Y315&lt;=TODAY()," is due TODAY ("," is due next business day (")&amp;TEXT($Y315,"dd-mmm")&amp;").","Next: "&amp;$Z315&amp;" due "&amp;TEXT($Y315,"dd-mmm")&amp;" ("&amp;(NETWORKDAYS(TODAY(),$Y315,Holidays)-1)&amp;" business day(s) left).")))))</f>
        <v/>
      </c>
      <c r="V315" s="17">
        <f>IF($W315="","",CHOOSE($W315,"Collection Email","1st Follow-up","2nd Follow-up","Local Office","CBE","Roxanne")&amp;IF($W315=6," - Final"," - Day "&amp;MAX(0,NETWORKDAYS($X315,TODAY(),Holidays)-1)&amp;" of "&amp;CHOOSE($W315,3,3,2,2,3))&amp;" | Total Day "&amp;MAX(0,NETWORKDAYS($L315,TODAY(),Holidays)-1))</f>
        <v/>
      </c>
      <c r="W315" s="17">
        <f>IF($L315="","",COUNT($L315:$Q315))</f>
        <v/>
      </c>
      <c r="X315" s="18">
        <f>IF($W315="","",INT(INDEX($L315:$Q315,$W315)))</f>
        <v/>
      </c>
      <c r="Y315" s="18">
        <f>IF(OR($W315="",$W315=6),"",WORKDAY($X315,CHOOSE($W315,3,3,2,2,3),Holidays))</f>
        <v/>
      </c>
      <c r="Z315" s="17">
        <f>IF(OR($W315="",$W315=6),"",CHOOSE($W315,"1st Email Follow-up","2nd Email Follow-up","Escalate Local Office","Escalate to CBE","Escalate to Roxanne"))</f>
        <v/>
      </c>
    </row>
    <row r="316" spans="18:26">
      <c r="R316" s="15"/>
      <c r="S316" s="16"/>
      <c r="T316" s="17">
        <f>IF(AND(COUNTA($A316:$K316)=0,$L316=""),"",IF($S316="Paid","PAID",IF($S316="Closed","CLOSED",IF($W316="","",IF($W316=6,"ESCALATED TO ROXANNE",IF(TODAY()&gt;$Y316,"OVERDUE",IF($Y316&lt;=WORKDAY(TODAY(),1,Holidays),"DUE TOMORROW",IF($W316=4,"ESCALATED TO LOCAL OFFICE",IF($W316=5,"ESCALATED TO CBE",IF($X316=TODAY(),"EMAIL SENT","MONITORING"))))))))))</f>
        <v/>
      </c>
      <c r="U316" s="17">
        <f>IF($T316="",IF(AND(COUNTA($A316:$K316)&gt;0,$L316=""),"Awaiting Collection Email time stamp.",""),IF(OR($T316="PAID",$T316="CLOSED"),IF($T316="PAID","Account paid. Action completed.","Account closed. No further action required."),CHOOSE($W316,"Collection Email","1st Email Follow-up","2nd Email Follow-up","Escalation to Local Office","Escalation to CBE","Escalation to Roxanne")&amp;" sent "&amp;TEXT($X316,"dd-mmm")&amp;". "&amp;IF($W316=6,"Final escalation completed.",IF($T316="OVERDUE","Next: "&amp;$Z316&amp;" was due "&amp;TEXT($Y316,"dd-mmm")&amp;" - "&amp;(NETWORKDAYS($Y316,TODAY(),Holidays)-1)&amp;" business day(s) late. Send now.",IF($T316="DUE TOMORROW","Next: "&amp;$Z316&amp;IF($Y316&lt;=TODAY()," is due TODAY ("," is due next business day (")&amp;TEXT($Y316,"dd-mmm")&amp;").","Next: "&amp;$Z316&amp;" due "&amp;TEXT($Y316,"dd-mmm")&amp;" ("&amp;(NETWORKDAYS(TODAY(),$Y316,Holidays)-1)&amp;" business day(s) left).")))))</f>
        <v/>
      </c>
      <c r="V316" s="17">
        <f>IF($W316="","",CHOOSE($W316,"Collection Email","1st Follow-up","2nd Follow-up","Local Office","CBE","Roxanne")&amp;IF($W316=6," - Final"," - Day "&amp;MAX(0,NETWORKDAYS($X316,TODAY(),Holidays)-1)&amp;" of "&amp;CHOOSE($W316,3,3,2,2,3))&amp;" | Total Day "&amp;MAX(0,NETWORKDAYS($L316,TODAY(),Holidays)-1))</f>
        <v/>
      </c>
      <c r="W316" s="17">
        <f>IF($L316="","",COUNT($L316:$Q316))</f>
        <v/>
      </c>
      <c r="X316" s="18">
        <f>IF($W316="","",INT(INDEX($L316:$Q316,$W316)))</f>
        <v/>
      </c>
      <c r="Y316" s="18">
        <f>IF(OR($W316="",$W316=6),"",WORKDAY($X316,CHOOSE($W316,3,3,2,2,3),Holidays))</f>
        <v/>
      </c>
      <c r="Z316" s="17">
        <f>IF(OR($W316="",$W316=6),"",CHOOSE($W316,"1st Email Follow-up","2nd Email Follow-up","Escalate Local Office","Escalate to CBE","Escalate to Roxanne"))</f>
        <v/>
      </c>
    </row>
    <row r="317" spans="18:26">
      <c r="R317" s="15"/>
      <c r="S317" s="16"/>
      <c r="T317" s="17">
        <f>IF(AND(COUNTA($A317:$K317)=0,$L317=""),"",IF($S317="Paid","PAID",IF($S317="Closed","CLOSED",IF($W317="","",IF($W317=6,"ESCALATED TO ROXANNE",IF(TODAY()&gt;$Y317,"OVERDUE",IF($Y317&lt;=WORKDAY(TODAY(),1,Holidays),"DUE TOMORROW",IF($W317=4,"ESCALATED TO LOCAL OFFICE",IF($W317=5,"ESCALATED TO CBE",IF($X317=TODAY(),"EMAIL SENT","MONITORING"))))))))))</f>
        <v/>
      </c>
      <c r="U317" s="17">
        <f>IF($T317="",IF(AND(COUNTA($A317:$K317)&gt;0,$L317=""),"Awaiting Collection Email time stamp.",""),IF(OR($T317="PAID",$T317="CLOSED"),IF($T317="PAID","Account paid. Action completed.","Account closed. No further action required."),CHOOSE($W317,"Collection Email","1st Email Follow-up","2nd Email Follow-up","Escalation to Local Office","Escalation to CBE","Escalation to Roxanne")&amp;" sent "&amp;TEXT($X317,"dd-mmm")&amp;". "&amp;IF($W317=6,"Final escalation completed.",IF($T317="OVERDUE","Next: "&amp;$Z317&amp;" was due "&amp;TEXT($Y317,"dd-mmm")&amp;" - "&amp;(NETWORKDAYS($Y317,TODAY(),Holidays)-1)&amp;" business day(s) late. Send now.",IF($T317="DUE TOMORROW","Next: "&amp;$Z317&amp;IF($Y317&lt;=TODAY()," is due TODAY ("," is due next business day (")&amp;TEXT($Y317,"dd-mmm")&amp;").","Next: "&amp;$Z317&amp;" due "&amp;TEXT($Y317,"dd-mmm")&amp;" ("&amp;(NETWORKDAYS(TODAY(),$Y317,Holidays)-1)&amp;" business day(s) left).")))))</f>
        <v/>
      </c>
      <c r="V317" s="17">
        <f>IF($W317="","",CHOOSE($W317,"Collection Email","1st Follow-up","2nd Follow-up","Local Office","CBE","Roxanne")&amp;IF($W317=6," - Final"," - Day "&amp;MAX(0,NETWORKDAYS($X317,TODAY(),Holidays)-1)&amp;" of "&amp;CHOOSE($W317,3,3,2,2,3))&amp;" | Total Day "&amp;MAX(0,NETWORKDAYS($L317,TODAY(),Holidays)-1))</f>
        <v/>
      </c>
      <c r="W317" s="17">
        <f>IF($L317="","",COUNT($L317:$Q317))</f>
        <v/>
      </c>
      <c r="X317" s="18">
        <f>IF($W317="","",INT(INDEX($L317:$Q317,$W317)))</f>
        <v/>
      </c>
      <c r="Y317" s="18">
        <f>IF(OR($W317="",$W317=6),"",WORKDAY($X317,CHOOSE($W317,3,3,2,2,3),Holidays))</f>
        <v/>
      </c>
      <c r="Z317" s="17">
        <f>IF(OR($W317="",$W317=6),"",CHOOSE($W317,"1st Email Follow-up","2nd Email Follow-up","Escalate Local Office","Escalate to CBE","Escalate to Roxanne"))</f>
        <v/>
      </c>
    </row>
    <row r="318" spans="18:26">
      <c r="R318" s="15"/>
      <c r="S318" s="16"/>
      <c r="T318" s="17">
        <f>IF(AND(COUNTA($A318:$K318)=0,$L318=""),"",IF($S318="Paid","PAID",IF($S318="Closed","CLOSED",IF($W318="","",IF($W318=6,"ESCALATED TO ROXANNE",IF(TODAY()&gt;$Y318,"OVERDUE",IF($Y318&lt;=WORKDAY(TODAY(),1,Holidays),"DUE TOMORROW",IF($W318=4,"ESCALATED TO LOCAL OFFICE",IF($W318=5,"ESCALATED TO CBE",IF($X318=TODAY(),"EMAIL SENT","MONITORING"))))))))))</f>
        <v/>
      </c>
      <c r="U318" s="17">
        <f>IF($T318="",IF(AND(COUNTA($A318:$K318)&gt;0,$L318=""),"Awaiting Collection Email time stamp.",""),IF(OR($T318="PAID",$T318="CLOSED"),IF($T318="PAID","Account paid. Action completed.","Account closed. No further action required."),CHOOSE($W318,"Collection Email","1st Email Follow-up","2nd Email Follow-up","Escalation to Local Office","Escalation to CBE","Escalation to Roxanne")&amp;" sent "&amp;TEXT($X318,"dd-mmm")&amp;". "&amp;IF($W318=6,"Final escalation completed.",IF($T318="OVERDUE","Next: "&amp;$Z318&amp;" was due "&amp;TEXT($Y318,"dd-mmm")&amp;" - "&amp;(NETWORKDAYS($Y318,TODAY(),Holidays)-1)&amp;" business day(s) late. Send now.",IF($T318="DUE TOMORROW","Next: "&amp;$Z318&amp;IF($Y318&lt;=TODAY()," is due TODAY ("," is due next business day (")&amp;TEXT($Y318,"dd-mmm")&amp;").","Next: "&amp;$Z318&amp;" due "&amp;TEXT($Y318,"dd-mmm")&amp;" ("&amp;(NETWORKDAYS(TODAY(),$Y318,Holidays)-1)&amp;" business day(s) left).")))))</f>
        <v/>
      </c>
      <c r="V318" s="17">
        <f>IF($W318="","",CHOOSE($W318,"Collection Email","1st Follow-up","2nd Follow-up","Local Office","CBE","Roxanne")&amp;IF($W318=6," - Final"," - Day "&amp;MAX(0,NETWORKDAYS($X318,TODAY(),Holidays)-1)&amp;" of "&amp;CHOOSE($W318,3,3,2,2,3))&amp;" | Total Day "&amp;MAX(0,NETWORKDAYS($L318,TODAY(),Holidays)-1))</f>
        <v/>
      </c>
      <c r="W318" s="17">
        <f>IF($L318="","",COUNT($L318:$Q318))</f>
        <v/>
      </c>
      <c r="X318" s="18">
        <f>IF($W318="","",INT(INDEX($L318:$Q318,$W318)))</f>
        <v/>
      </c>
      <c r="Y318" s="18">
        <f>IF(OR($W318="",$W318=6),"",WORKDAY($X318,CHOOSE($W318,3,3,2,2,3),Holidays))</f>
        <v/>
      </c>
      <c r="Z318" s="17">
        <f>IF(OR($W318="",$W318=6),"",CHOOSE($W318,"1st Email Follow-up","2nd Email Follow-up","Escalate Local Office","Escalate to CBE","Escalate to Roxanne"))</f>
        <v/>
      </c>
    </row>
    <row r="319" spans="18:26">
      <c r="R319" s="15"/>
      <c r="S319" s="16"/>
      <c r="T319" s="17">
        <f>IF(AND(COUNTA($A319:$K319)=0,$L319=""),"",IF($S319="Paid","PAID",IF($S319="Closed","CLOSED",IF($W319="","",IF($W319=6,"ESCALATED TO ROXANNE",IF(TODAY()&gt;$Y319,"OVERDUE",IF($Y319&lt;=WORKDAY(TODAY(),1,Holidays),"DUE TOMORROW",IF($W319=4,"ESCALATED TO LOCAL OFFICE",IF($W319=5,"ESCALATED TO CBE",IF($X319=TODAY(),"EMAIL SENT","MONITORING"))))))))))</f>
        <v/>
      </c>
      <c r="U319" s="17">
        <f>IF($T319="",IF(AND(COUNTA($A319:$K319)&gt;0,$L319=""),"Awaiting Collection Email time stamp.",""),IF(OR($T319="PAID",$T319="CLOSED"),IF($T319="PAID","Account paid. Action completed.","Account closed. No further action required."),CHOOSE($W319,"Collection Email","1st Email Follow-up","2nd Email Follow-up","Escalation to Local Office","Escalation to CBE","Escalation to Roxanne")&amp;" sent "&amp;TEXT($X319,"dd-mmm")&amp;". "&amp;IF($W319=6,"Final escalation completed.",IF($T319="OVERDUE","Next: "&amp;$Z319&amp;" was due "&amp;TEXT($Y319,"dd-mmm")&amp;" - "&amp;(NETWORKDAYS($Y319,TODAY(),Holidays)-1)&amp;" business day(s) late. Send now.",IF($T319="DUE TOMORROW","Next: "&amp;$Z319&amp;IF($Y319&lt;=TODAY()," is due TODAY ("," is due next business day (")&amp;TEXT($Y319,"dd-mmm")&amp;").","Next: "&amp;$Z319&amp;" due "&amp;TEXT($Y319,"dd-mmm")&amp;" ("&amp;(NETWORKDAYS(TODAY(),$Y319,Holidays)-1)&amp;" business day(s) left).")))))</f>
        <v/>
      </c>
      <c r="V319" s="17">
        <f>IF($W319="","",CHOOSE($W319,"Collection Email","1st Follow-up","2nd Follow-up","Local Office","CBE","Roxanne")&amp;IF($W319=6," - Final"," - Day "&amp;MAX(0,NETWORKDAYS($X319,TODAY(),Holidays)-1)&amp;" of "&amp;CHOOSE($W319,3,3,2,2,3))&amp;" | Total Day "&amp;MAX(0,NETWORKDAYS($L319,TODAY(),Holidays)-1))</f>
        <v/>
      </c>
      <c r="W319" s="17">
        <f>IF($L319="","",COUNT($L319:$Q319))</f>
        <v/>
      </c>
      <c r="X319" s="18">
        <f>IF($W319="","",INT(INDEX($L319:$Q319,$W319)))</f>
        <v/>
      </c>
      <c r="Y319" s="18">
        <f>IF(OR($W319="",$W319=6),"",WORKDAY($X319,CHOOSE($W319,3,3,2,2,3),Holidays))</f>
        <v/>
      </c>
      <c r="Z319" s="17">
        <f>IF(OR($W319="",$W319=6),"",CHOOSE($W319,"1st Email Follow-up","2nd Email Follow-up","Escalate Local Office","Escalate to CBE","Escalate to Roxanne"))</f>
        <v/>
      </c>
    </row>
    <row r="320" spans="18:26">
      <c r="R320" s="15"/>
      <c r="S320" s="16"/>
      <c r="T320" s="17">
        <f>IF(AND(COUNTA($A320:$K320)=0,$L320=""),"",IF($S320="Paid","PAID",IF($S320="Closed","CLOSED",IF($W320="","",IF($W320=6,"ESCALATED TO ROXANNE",IF(TODAY()&gt;$Y320,"OVERDUE",IF($Y320&lt;=WORKDAY(TODAY(),1,Holidays),"DUE TOMORROW",IF($W320=4,"ESCALATED TO LOCAL OFFICE",IF($W320=5,"ESCALATED TO CBE",IF($X320=TODAY(),"EMAIL SENT","MONITORING"))))))))))</f>
        <v/>
      </c>
      <c r="U320" s="17">
        <f>IF($T320="",IF(AND(COUNTA($A320:$K320)&gt;0,$L320=""),"Awaiting Collection Email time stamp.",""),IF(OR($T320="PAID",$T320="CLOSED"),IF($T320="PAID","Account paid. Action completed.","Account closed. No further action required."),CHOOSE($W320,"Collection Email","1st Email Follow-up","2nd Email Follow-up","Escalation to Local Office","Escalation to CBE","Escalation to Roxanne")&amp;" sent "&amp;TEXT($X320,"dd-mmm")&amp;". "&amp;IF($W320=6,"Final escalation completed.",IF($T320="OVERDUE","Next: "&amp;$Z320&amp;" was due "&amp;TEXT($Y320,"dd-mmm")&amp;" - "&amp;(NETWORKDAYS($Y320,TODAY(),Holidays)-1)&amp;" business day(s) late. Send now.",IF($T320="DUE TOMORROW","Next: "&amp;$Z320&amp;IF($Y320&lt;=TODAY()," is due TODAY ("," is due next business day (")&amp;TEXT($Y320,"dd-mmm")&amp;").","Next: "&amp;$Z320&amp;" due "&amp;TEXT($Y320,"dd-mmm")&amp;" ("&amp;(NETWORKDAYS(TODAY(),$Y320,Holidays)-1)&amp;" business day(s) left).")))))</f>
        <v/>
      </c>
      <c r="V320" s="17">
        <f>IF($W320="","",CHOOSE($W320,"Collection Email","1st Follow-up","2nd Follow-up","Local Office","CBE","Roxanne")&amp;IF($W320=6," - Final"," - Day "&amp;MAX(0,NETWORKDAYS($X320,TODAY(),Holidays)-1)&amp;" of "&amp;CHOOSE($W320,3,3,2,2,3))&amp;" | Total Day "&amp;MAX(0,NETWORKDAYS($L320,TODAY(),Holidays)-1))</f>
        <v/>
      </c>
      <c r="W320" s="17">
        <f>IF($L320="","",COUNT($L320:$Q320))</f>
        <v/>
      </c>
      <c r="X320" s="18">
        <f>IF($W320="","",INT(INDEX($L320:$Q320,$W320)))</f>
        <v/>
      </c>
      <c r="Y320" s="18">
        <f>IF(OR($W320="",$W320=6),"",WORKDAY($X320,CHOOSE($W320,3,3,2,2,3),Holidays))</f>
        <v/>
      </c>
      <c r="Z320" s="17">
        <f>IF(OR($W320="",$W320=6),"",CHOOSE($W320,"1st Email Follow-up","2nd Email Follow-up","Escalate Local Office","Escalate to CBE","Escalate to Roxanne"))</f>
        <v/>
      </c>
    </row>
    <row r="321" spans="18:26">
      <c r="R321" s="15"/>
      <c r="S321" s="16"/>
      <c r="T321" s="17">
        <f>IF(AND(COUNTA($A321:$K321)=0,$L321=""),"",IF($S321="Paid","PAID",IF($S321="Closed","CLOSED",IF($W321="","",IF($W321=6,"ESCALATED TO ROXANNE",IF(TODAY()&gt;$Y321,"OVERDUE",IF($Y321&lt;=WORKDAY(TODAY(),1,Holidays),"DUE TOMORROW",IF($W321=4,"ESCALATED TO LOCAL OFFICE",IF($W321=5,"ESCALATED TO CBE",IF($X321=TODAY(),"EMAIL SENT","MONITORING"))))))))))</f>
        <v/>
      </c>
      <c r="U321" s="17">
        <f>IF($T321="",IF(AND(COUNTA($A321:$K321)&gt;0,$L321=""),"Awaiting Collection Email time stamp.",""),IF(OR($T321="PAID",$T321="CLOSED"),IF($T321="PAID","Account paid. Action completed.","Account closed. No further action required."),CHOOSE($W321,"Collection Email","1st Email Follow-up","2nd Email Follow-up","Escalation to Local Office","Escalation to CBE","Escalation to Roxanne")&amp;" sent "&amp;TEXT($X321,"dd-mmm")&amp;". "&amp;IF($W321=6,"Final escalation completed.",IF($T321="OVERDUE","Next: "&amp;$Z321&amp;" was due "&amp;TEXT($Y321,"dd-mmm")&amp;" - "&amp;(NETWORKDAYS($Y321,TODAY(),Holidays)-1)&amp;" business day(s) late. Send now.",IF($T321="DUE TOMORROW","Next: "&amp;$Z321&amp;IF($Y321&lt;=TODAY()," is due TODAY ("," is due next business day (")&amp;TEXT($Y321,"dd-mmm")&amp;").","Next: "&amp;$Z321&amp;" due "&amp;TEXT($Y321,"dd-mmm")&amp;" ("&amp;(NETWORKDAYS(TODAY(),$Y321,Holidays)-1)&amp;" business day(s) left).")))))</f>
        <v/>
      </c>
      <c r="V321" s="17">
        <f>IF($W321="","",CHOOSE($W321,"Collection Email","1st Follow-up","2nd Follow-up","Local Office","CBE","Roxanne")&amp;IF($W321=6," - Final"," - Day "&amp;MAX(0,NETWORKDAYS($X321,TODAY(),Holidays)-1)&amp;" of "&amp;CHOOSE($W321,3,3,2,2,3))&amp;" | Total Day "&amp;MAX(0,NETWORKDAYS($L321,TODAY(),Holidays)-1))</f>
        <v/>
      </c>
      <c r="W321" s="17">
        <f>IF($L321="","",COUNT($L321:$Q321))</f>
        <v/>
      </c>
      <c r="X321" s="18">
        <f>IF($W321="","",INT(INDEX($L321:$Q321,$W321)))</f>
        <v/>
      </c>
      <c r="Y321" s="18">
        <f>IF(OR($W321="",$W321=6),"",WORKDAY($X321,CHOOSE($W321,3,3,2,2,3),Holidays))</f>
        <v/>
      </c>
      <c r="Z321" s="17">
        <f>IF(OR($W321="",$W321=6),"",CHOOSE($W321,"1st Email Follow-up","2nd Email Follow-up","Escalate Local Office","Escalate to CBE","Escalate to Roxanne"))</f>
        <v/>
      </c>
    </row>
    <row r="322" spans="18:26">
      <c r="R322" s="15"/>
      <c r="S322" s="16"/>
      <c r="T322" s="17">
        <f>IF(AND(COUNTA($A322:$K322)=0,$L322=""),"",IF($S322="Paid","PAID",IF($S322="Closed","CLOSED",IF($W322="","",IF($W322=6,"ESCALATED TO ROXANNE",IF(TODAY()&gt;$Y322,"OVERDUE",IF($Y322&lt;=WORKDAY(TODAY(),1,Holidays),"DUE TOMORROW",IF($W322=4,"ESCALATED TO LOCAL OFFICE",IF($W322=5,"ESCALATED TO CBE",IF($X322=TODAY(),"EMAIL SENT","MONITORING"))))))))))</f>
        <v/>
      </c>
      <c r="U322" s="17">
        <f>IF($T322="",IF(AND(COUNTA($A322:$K322)&gt;0,$L322=""),"Awaiting Collection Email time stamp.",""),IF(OR($T322="PAID",$T322="CLOSED"),IF($T322="PAID","Account paid. Action completed.","Account closed. No further action required."),CHOOSE($W322,"Collection Email","1st Email Follow-up","2nd Email Follow-up","Escalation to Local Office","Escalation to CBE","Escalation to Roxanne")&amp;" sent "&amp;TEXT($X322,"dd-mmm")&amp;". "&amp;IF($W322=6,"Final escalation completed.",IF($T322="OVERDUE","Next: "&amp;$Z322&amp;" was due "&amp;TEXT($Y322,"dd-mmm")&amp;" - "&amp;(NETWORKDAYS($Y322,TODAY(),Holidays)-1)&amp;" business day(s) late. Send now.",IF($T322="DUE TOMORROW","Next: "&amp;$Z322&amp;IF($Y322&lt;=TODAY()," is due TODAY ("," is due next business day (")&amp;TEXT($Y322,"dd-mmm")&amp;").","Next: "&amp;$Z322&amp;" due "&amp;TEXT($Y322,"dd-mmm")&amp;" ("&amp;(NETWORKDAYS(TODAY(),$Y322,Holidays)-1)&amp;" business day(s) left).")))))</f>
        <v/>
      </c>
      <c r="V322" s="17">
        <f>IF($W322="","",CHOOSE($W322,"Collection Email","1st Follow-up","2nd Follow-up","Local Office","CBE","Roxanne")&amp;IF($W322=6," - Final"," - Day "&amp;MAX(0,NETWORKDAYS($X322,TODAY(),Holidays)-1)&amp;" of "&amp;CHOOSE($W322,3,3,2,2,3))&amp;" | Total Day "&amp;MAX(0,NETWORKDAYS($L322,TODAY(),Holidays)-1))</f>
        <v/>
      </c>
      <c r="W322" s="17">
        <f>IF($L322="","",COUNT($L322:$Q322))</f>
        <v/>
      </c>
      <c r="X322" s="18">
        <f>IF($W322="","",INT(INDEX($L322:$Q322,$W322)))</f>
        <v/>
      </c>
      <c r="Y322" s="18">
        <f>IF(OR($W322="",$W322=6),"",WORKDAY($X322,CHOOSE($W322,3,3,2,2,3),Holidays))</f>
        <v/>
      </c>
      <c r="Z322" s="17">
        <f>IF(OR($W322="",$W322=6),"",CHOOSE($W322,"1st Email Follow-up","2nd Email Follow-up","Escalate Local Office","Escalate to CBE","Escalate to Roxanne"))</f>
        <v/>
      </c>
    </row>
    <row r="323" spans="18:26">
      <c r="R323" s="15"/>
      <c r="S323" s="16"/>
      <c r="T323" s="17">
        <f>IF(AND(COUNTA($A323:$K323)=0,$L323=""),"",IF($S323="Paid","PAID",IF($S323="Closed","CLOSED",IF($W323="","",IF($W323=6,"ESCALATED TO ROXANNE",IF(TODAY()&gt;$Y323,"OVERDUE",IF($Y323&lt;=WORKDAY(TODAY(),1,Holidays),"DUE TOMORROW",IF($W323=4,"ESCALATED TO LOCAL OFFICE",IF($W323=5,"ESCALATED TO CBE",IF($X323=TODAY(),"EMAIL SENT","MONITORING"))))))))))</f>
        <v/>
      </c>
      <c r="U323" s="17">
        <f>IF($T323="",IF(AND(COUNTA($A323:$K323)&gt;0,$L323=""),"Awaiting Collection Email time stamp.",""),IF(OR($T323="PAID",$T323="CLOSED"),IF($T323="PAID","Account paid. Action completed.","Account closed. No further action required."),CHOOSE($W323,"Collection Email","1st Email Follow-up","2nd Email Follow-up","Escalation to Local Office","Escalation to CBE","Escalation to Roxanne")&amp;" sent "&amp;TEXT($X323,"dd-mmm")&amp;". "&amp;IF($W323=6,"Final escalation completed.",IF($T323="OVERDUE","Next: "&amp;$Z323&amp;" was due "&amp;TEXT($Y323,"dd-mmm")&amp;" - "&amp;(NETWORKDAYS($Y323,TODAY(),Holidays)-1)&amp;" business day(s) late. Send now.",IF($T323="DUE TOMORROW","Next: "&amp;$Z323&amp;IF($Y323&lt;=TODAY()," is due TODAY ("," is due next business day (")&amp;TEXT($Y323,"dd-mmm")&amp;").","Next: "&amp;$Z323&amp;" due "&amp;TEXT($Y323,"dd-mmm")&amp;" ("&amp;(NETWORKDAYS(TODAY(),$Y323,Holidays)-1)&amp;" business day(s) left).")))))</f>
        <v/>
      </c>
      <c r="V323" s="17">
        <f>IF($W323="","",CHOOSE($W323,"Collection Email","1st Follow-up","2nd Follow-up","Local Office","CBE","Roxanne")&amp;IF($W323=6," - Final"," - Day "&amp;MAX(0,NETWORKDAYS($X323,TODAY(),Holidays)-1)&amp;" of "&amp;CHOOSE($W323,3,3,2,2,3))&amp;" | Total Day "&amp;MAX(0,NETWORKDAYS($L323,TODAY(),Holidays)-1))</f>
        <v/>
      </c>
      <c r="W323" s="17">
        <f>IF($L323="","",COUNT($L323:$Q323))</f>
        <v/>
      </c>
      <c r="X323" s="18">
        <f>IF($W323="","",INT(INDEX($L323:$Q323,$W323)))</f>
        <v/>
      </c>
      <c r="Y323" s="18">
        <f>IF(OR($W323="",$W323=6),"",WORKDAY($X323,CHOOSE($W323,3,3,2,2,3),Holidays))</f>
        <v/>
      </c>
      <c r="Z323" s="17">
        <f>IF(OR($W323="",$W323=6),"",CHOOSE($W323,"1st Email Follow-up","2nd Email Follow-up","Escalate Local Office","Escalate to CBE","Escalate to Roxanne"))</f>
        <v/>
      </c>
    </row>
    <row r="324" spans="18:26">
      <c r="R324" s="15"/>
      <c r="S324" s="16"/>
      <c r="T324" s="17">
        <f>IF(AND(COUNTA($A324:$K324)=0,$L324=""),"",IF($S324="Paid","PAID",IF($S324="Closed","CLOSED",IF($W324="","",IF($W324=6,"ESCALATED TO ROXANNE",IF(TODAY()&gt;$Y324,"OVERDUE",IF($Y324&lt;=WORKDAY(TODAY(),1,Holidays),"DUE TOMORROW",IF($W324=4,"ESCALATED TO LOCAL OFFICE",IF($W324=5,"ESCALATED TO CBE",IF($X324=TODAY(),"EMAIL SENT","MONITORING"))))))))))</f>
        <v/>
      </c>
      <c r="U324" s="17">
        <f>IF($T324="",IF(AND(COUNTA($A324:$K324)&gt;0,$L324=""),"Awaiting Collection Email time stamp.",""),IF(OR($T324="PAID",$T324="CLOSED"),IF($T324="PAID","Account paid. Action completed.","Account closed. No further action required."),CHOOSE($W324,"Collection Email","1st Email Follow-up","2nd Email Follow-up","Escalation to Local Office","Escalation to CBE","Escalation to Roxanne")&amp;" sent "&amp;TEXT($X324,"dd-mmm")&amp;". "&amp;IF($W324=6,"Final escalation completed.",IF($T324="OVERDUE","Next: "&amp;$Z324&amp;" was due "&amp;TEXT($Y324,"dd-mmm")&amp;" - "&amp;(NETWORKDAYS($Y324,TODAY(),Holidays)-1)&amp;" business day(s) late. Send now.",IF($T324="DUE TOMORROW","Next: "&amp;$Z324&amp;IF($Y324&lt;=TODAY()," is due TODAY ("," is due next business day (")&amp;TEXT($Y324,"dd-mmm")&amp;").","Next: "&amp;$Z324&amp;" due "&amp;TEXT($Y324,"dd-mmm")&amp;" ("&amp;(NETWORKDAYS(TODAY(),$Y324,Holidays)-1)&amp;" business day(s) left).")))))</f>
        <v/>
      </c>
      <c r="V324" s="17">
        <f>IF($W324="","",CHOOSE($W324,"Collection Email","1st Follow-up","2nd Follow-up","Local Office","CBE","Roxanne")&amp;IF($W324=6," - Final"," - Day "&amp;MAX(0,NETWORKDAYS($X324,TODAY(),Holidays)-1)&amp;" of "&amp;CHOOSE($W324,3,3,2,2,3))&amp;" | Total Day "&amp;MAX(0,NETWORKDAYS($L324,TODAY(),Holidays)-1))</f>
        <v/>
      </c>
      <c r="W324" s="17">
        <f>IF($L324="","",COUNT($L324:$Q324))</f>
        <v/>
      </c>
      <c r="X324" s="18">
        <f>IF($W324="","",INT(INDEX($L324:$Q324,$W324)))</f>
        <v/>
      </c>
      <c r="Y324" s="18">
        <f>IF(OR($W324="",$W324=6),"",WORKDAY($X324,CHOOSE($W324,3,3,2,2,3),Holidays))</f>
        <v/>
      </c>
      <c r="Z324" s="17">
        <f>IF(OR($W324="",$W324=6),"",CHOOSE($W324,"1st Email Follow-up","2nd Email Follow-up","Escalate Local Office","Escalate to CBE","Escalate to Roxanne"))</f>
        <v/>
      </c>
    </row>
    <row r="325" spans="18:26">
      <c r="R325" s="15"/>
      <c r="S325" s="16"/>
      <c r="T325" s="17">
        <f>IF(AND(COUNTA($A325:$K325)=0,$L325=""),"",IF($S325="Paid","PAID",IF($S325="Closed","CLOSED",IF($W325="","",IF($W325=6,"ESCALATED TO ROXANNE",IF(TODAY()&gt;$Y325,"OVERDUE",IF($Y325&lt;=WORKDAY(TODAY(),1,Holidays),"DUE TOMORROW",IF($W325=4,"ESCALATED TO LOCAL OFFICE",IF($W325=5,"ESCALATED TO CBE",IF($X325=TODAY(),"EMAIL SENT","MONITORING"))))))))))</f>
        <v/>
      </c>
      <c r="U325" s="17">
        <f>IF($T325="",IF(AND(COUNTA($A325:$K325)&gt;0,$L325=""),"Awaiting Collection Email time stamp.",""),IF(OR($T325="PAID",$T325="CLOSED"),IF($T325="PAID","Account paid. Action completed.","Account closed. No further action required."),CHOOSE($W325,"Collection Email","1st Email Follow-up","2nd Email Follow-up","Escalation to Local Office","Escalation to CBE","Escalation to Roxanne")&amp;" sent "&amp;TEXT($X325,"dd-mmm")&amp;". "&amp;IF($W325=6,"Final escalation completed.",IF($T325="OVERDUE","Next: "&amp;$Z325&amp;" was due "&amp;TEXT($Y325,"dd-mmm")&amp;" - "&amp;(NETWORKDAYS($Y325,TODAY(),Holidays)-1)&amp;" business day(s) late. Send now.",IF($T325="DUE TOMORROW","Next: "&amp;$Z325&amp;IF($Y325&lt;=TODAY()," is due TODAY ("," is due next business day (")&amp;TEXT($Y325,"dd-mmm")&amp;").","Next: "&amp;$Z325&amp;" due "&amp;TEXT($Y325,"dd-mmm")&amp;" ("&amp;(NETWORKDAYS(TODAY(),$Y325,Holidays)-1)&amp;" business day(s) left).")))))</f>
        <v/>
      </c>
      <c r="V325" s="17">
        <f>IF($W325="","",CHOOSE($W325,"Collection Email","1st Follow-up","2nd Follow-up","Local Office","CBE","Roxanne")&amp;IF($W325=6," - Final"," - Day "&amp;MAX(0,NETWORKDAYS($X325,TODAY(),Holidays)-1)&amp;" of "&amp;CHOOSE($W325,3,3,2,2,3))&amp;" | Total Day "&amp;MAX(0,NETWORKDAYS($L325,TODAY(),Holidays)-1))</f>
        <v/>
      </c>
      <c r="W325" s="17">
        <f>IF($L325="","",COUNT($L325:$Q325))</f>
        <v/>
      </c>
      <c r="X325" s="18">
        <f>IF($W325="","",INT(INDEX($L325:$Q325,$W325)))</f>
        <v/>
      </c>
      <c r="Y325" s="18">
        <f>IF(OR($W325="",$W325=6),"",WORKDAY($X325,CHOOSE($W325,3,3,2,2,3),Holidays))</f>
        <v/>
      </c>
      <c r="Z325" s="17">
        <f>IF(OR($W325="",$W325=6),"",CHOOSE($W325,"1st Email Follow-up","2nd Email Follow-up","Escalate Local Office","Escalate to CBE","Escalate to Roxanne"))</f>
        <v/>
      </c>
    </row>
    <row r="326" spans="18:26">
      <c r="R326" s="15"/>
      <c r="S326" s="16"/>
      <c r="T326" s="17">
        <f>IF(AND(COUNTA($A326:$K326)=0,$L326=""),"",IF($S326="Paid","PAID",IF($S326="Closed","CLOSED",IF($W326="","",IF($W326=6,"ESCALATED TO ROXANNE",IF(TODAY()&gt;$Y326,"OVERDUE",IF($Y326&lt;=WORKDAY(TODAY(),1,Holidays),"DUE TOMORROW",IF($W326=4,"ESCALATED TO LOCAL OFFICE",IF($W326=5,"ESCALATED TO CBE",IF($X326=TODAY(),"EMAIL SENT","MONITORING"))))))))))</f>
        <v/>
      </c>
      <c r="U326" s="17">
        <f>IF($T326="",IF(AND(COUNTA($A326:$K326)&gt;0,$L326=""),"Awaiting Collection Email time stamp.",""),IF(OR($T326="PAID",$T326="CLOSED"),IF($T326="PAID","Account paid. Action completed.","Account closed. No further action required."),CHOOSE($W326,"Collection Email","1st Email Follow-up","2nd Email Follow-up","Escalation to Local Office","Escalation to CBE","Escalation to Roxanne")&amp;" sent "&amp;TEXT($X326,"dd-mmm")&amp;". "&amp;IF($W326=6,"Final escalation completed.",IF($T326="OVERDUE","Next: "&amp;$Z326&amp;" was due "&amp;TEXT($Y326,"dd-mmm")&amp;" - "&amp;(NETWORKDAYS($Y326,TODAY(),Holidays)-1)&amp;" business day(s) late. Send now.",IF($T326="DUE TOMORROW","Next: "&amp;$Z326&amp;IF($Y326&lt;=TODAY()," is due TODAY ("," is due next business day (")&amp;TEXT($Y326,"dd-mmm")&amp;").","Next: "&amp;$Z326&amp;" due "&amp;TEXT($Y326,"dd-mmm")&amp;" ("&amp;(NETWORKDAYS(TODAY(),$Y326,Holidays)-1)&amp;" business day(s) left).")))))</f>
        <v/>
      </c>
      <c r="V326" s="17">
        <f>IF($W326="","",CHOOSE($W326,"Collection Email","1st Follow-up","2nd Follow-up","Local Office","CBE","Roxanne")&amp;IF($W326=6," - Final"," - Day "&amp;MAX(0,NETWORKDAYS($X326,TODAY(),Holidays)-1)&amp;" of "&amp;CHOOSE($W326,3,3,2,2,3))&amp;" | Total Day "&amp;MAX(0,NETWORKDAYS($L326,TODAY(),Holidays)-1))</f>
        <v/>
      </c>
      <c r="W326" s="17">
        <f>IF($L326="","",COUNT($L326:$Q326))</f>
        <v/>
      </c>
      <c r="X326" s="18">
        <f>IF($W326="","",INT(INDEX($L326:$Q326,$W326)))</f>
        <v/>
      </c>
      <c r="Y326" s="18">
        <f>IF(OR($W326="",$W326=6),"",WORKDAY($X326,CHOOSE($W326,3,3,2,2,3),Holidays))</f>
        <v/>
      </c>
      <c r="Z326" s="17">
        <f>IF(OR($W326="",$W326=6),"",CHOOSE($W326,"1st Email Follow-up","2nd Email Follow-up","Escalate Local Office","Escalate to CBE","Escalate to Roxanne"))</f>
        <v/>
      </c>
    </row>
    <row r="327" spans="18:26">
      <c r="R327" s="15"/>
      <c r="S327" s="16"/>
      <c r="T327" s="17">
        <f>IF(AND(COUNTA($A327:$K327)=0,$L327=""),"",IF($S327="Paid","PAID",IF($S327="Closed","CLOSED",IF($W327="","",IF($W327=6,"ESCALATED TO ROXANNE",IF(TODAY()&gt;$Y327,"OVERDUE",IF($Y327&lt;=WORKDAY(TODAY(),1,Holidays),"DUE TOMORROW",IF($W327=4,"ESCALATED TO LOCAL OFFICE",IF($W327=5,"ESCALATED TO CBE",IF($X327=TODAY(),"EMAIL SENT","MONITORING"))))))))))</f>
        <v/>
      </c>
      <c r="U327" s="17">
        <f>IF($T327="",IF(AND(COUNTA($A327:$K327)&gt;0,$L327=""),"Awaiting Collection Email time stamp.",""),IF(OR($T327="PAID",$T327="CLOSED"),IF($T327="PAID","Account paid. Action completed.","Account closed. No further action required."),CHOOSE($W327,"Collection Email","1st Email Follow-up","2nd Email Follow-up","Escalation to Local Office","Escalation to CBE","Escalation to Roxanne")&amp;" sent "&amp;TEXT($X327,"dd-mmm")&amp;". "&amp;IF($W327=6,"Final escalation completed.",IF($T327="OVERDUE","Next: "&amp;$Z327&amp;" was due "&amp;TEXT($Y327,"dd-mmm")&amp;" - "&amp;(NETWORKDAYS($Y327,TODAY(),Holidays)-1)&amp;" business day(s) late. Send now.",IF($T327="DUE TOMORROW","Next: "&amp;$Z327&amp;IF($Y327&lt;=TODAY()," is due TODAY ("," is due next business day (")&amp;TEXT($Y327,"dd-mmm")&amp;").","Next: "&amp;$Z327&amp;" due "&amp;TEXT($Y327,"dd-mmm")&amp;" ("&amp;(NETWORKDAYS(TODAY(),$Y327,Holidays)-1)&amp;" business day(s) left).")))))</f>
        <v/>
      </c>
      <c r="V327" s="17">
        <f>IF($W327="","",CHOOSE($W327,"Collection Email","1st Follow-up","2nd Follow-up","Local Office","CBE","Roxanne")&amp;IF($W327=6," - Final"," - Day "&amp;MAX(0,NETWORKDAYS($X327,TODAY(),Holidays)-1)&amp;" of "&amp;CHOOSE($W327,3,3,2,2,3))&amp;" | Total Day "&amp;MAX(0,NETWORKDAYS($L327,TODAY(),Holidays)-1))</f>
        <v/>
      </c>
      <c r="W327" s="17">
        <f>IF($L327="","",COUNT($L327:$Q327))</f>
        <v/>
      </c>
      <c r="X327" s="18">
        <f>IF($W327="","",INT(INDEX($L327:$Q327,$W327)))</f>
        <v/>
      </c>
      <c r="Y327" s="18">
        <f>IF(OR($W327="",$W327=6),"",WORKDAY($X327,CHOOSE($W327,3,3,2,2,3),Holidays))</f>
        <v/>
      </c>
      <c r="Z327" s="17">
        <f>IF(OR($W327="",$W327=6),"",CHOOSE($W327,"1st Email Follow-up","2nd Email Follow-up","Escalate Local Office","Escalate to CBE","Escalate to Roxanne"))</f>
        <v/>
      </c>
    </row>
    <row r="328" spans="18:26">
      <c r="R328" s="15"/>
      <c r="S328" s="16"/>
      <c r="T328" s="17">
        <f>IF(AND(COUNTA($A328:$K328)=0,$L328=""),"",IF($S328="Paid","PAID",IF($S328="Closed","CLOSED",IF($W328="","",IF($W328=6,"ESCALATED TO ROXANNE",IF(TODAY()&gt;$Y328,"OVERDUE",IF($Y328&lt;=WORKDAY(TODAY(),1,Holidays),"DUE TOMORROW",IF($W328=4,"ESCALATED TO LOCAL OFFICE",IF($W328=5,"ESCALATED TO CBE",IF($X328=TODAY(),"EMAIL SENT","MONITORING"))))))))))</f>
        <v/>
      </c>
      <c r="U328" s="17">
        <f>IF($T328="",IF(AND(COUNTA($A328:$K328)&gt;0,$L328=""),"Awaiting Collection Email time stamp.",""),IF(OR($T328="PAID",$T328="CLOSED"),IF($T328="PAID","Account paid. Action completed.","Account closed. No further action required."),CHOOSE($W328,"Collection Email","1st Email Follow-up","2nd Email Follow-up","Escalation to Local Office","Escalation to CBE","Escalation to Roxanne")&amp;" sent "&amp;TEXT($X328,"dd-mmm")&amp;". "&amp;IF($W328=6,"Final escalation completed.",IF($T328="OVERDUE","Next: "&amp;$Z328&amp;" was due "&amp;TEXT($Y328,"dd-mmm")&amp;" - "&amp;(NETWORKDAYS($Y328,TODAY(),Holidays)-1)&amp;" business day(s) late. Send now.",IF($T328="DUE TOMORROW","Next: "&amp;$Z328&amp;IF($Y328&lt;=TODAY()," is due TODAY ("," is due next business day (")&amp;TEXT($Y328,"dd-mmm")&amp;").","Next: "&amp;$Z328&amp;" due "&amp;TEXT($Y328,"dd-mmm")&amp;" ("&amp;(NETWORKDAYS(TODAY(),$Y328,Holidays)-1)&amp;" business day(s) left).")))))</f>
        <v/>
      </c>
      <c r="V328" s="17">
        <f>IF($W328="","",CHOOSE($W328,"Collection Email","1st Follow-up","2nd Follow-up","Local Office","CBE","Roxanne")&amp;IF($W328=6," - Final"," - Day "&amp;MAX(0,NETWORKDAYS($X328,TODAY(),Holidays)-1)&amp;" of "&amp;CHOOSE($W328,3,3,2,2,3))&amp;" | Total Day "&amp;MAX(0,NETWORKDAYS($L328,TODAY(),Holidays)-1))</f>
        <v/>
      </c>
      <c r="W328" s="17">
        <f>IF($L328="","",COUNT($L328:$Q328))</f>
        <v/>
      </c>
      <c r="X328" s="18">
        <f>IF($W328="","",INT(INDEX($L328:$Q328,$W328)))</f>
        <v/>
      </c>
      <c r="Y328" s="18">
        <f>IF(OR($W328="",$W328=6),"",WORKDAY($X328,CHOOSE($W328,3,3,2,2,3),Holidays))</f>
        <v/>
      </c>
      <c r="Z328" s="17">
        <f>IF(OR($W328="",$W328=6),"",CHOOSE($W328,"1st Email Follow-up","2nd Email Follow-up","Escalate Local Office","Escalate to CBE","Escalate to Roxanne"))</f>
        <v/>
      </c>
    </row>
    <row r="329" spans="18:26">
      <c r="R329" s="15"/>
      <c r="S329" s="16"/>
      <c r="T329" s="17">
        <f>IF(AND(COUNTA($A329:$K329)=0,$L329=""),"",IF($S329="Paid","PAID",IF($S329="Closed","CLOSED",IF($W329="","",IF($W329=6,"ESCALATED TO ROXANNE",IF(TODAY()&gt;$Y329,"OVERDUE",IF($Y329&lt;=WORKDAY(TODAY(),1,Holidays),"DUE TOMORROW",IF($W329=4,"ESCALATED TO LOCAL OFFICE",IF($W329=5,"ESCALATED TO CBE",IF($X329=TODAY(),"EMAIL SENT","MONITORING"))))))))))</f>
        <v/>
      </c>
      <c r="U329" s="17">
        <f>IF($T329="",IF(AND(COUNTA($A329:$K329)&gt;0,$L329=""),"Awaiting Collection Email time stamp.",""),IF(OR($T329="PAID",$T329="CLOSED"),IF($T329="PAID","Account paid. Action completed.","Account closed. No further action required."),CHOOSE($W329,"Collection Email","1st Email Follow-up","2nd Email Follow-up","Escalation to Local Office","Escalation to CBE","Escalation to Roxanne")&amp;" sent "&amp;TEXT($X329,"dd-mmm")&amp;". "&amp;IF($W329=6,"Final escalation completed.",IF($T329="OVERDUE","Next: "&amp;$Z329&amp;" was due "&amp;TEXT($Y329,"dd-mmm")&amp;" - "&amp;(NETWORKDAYS($Y329,TODAY(),Holidays)-1)&amp;" business day(s) late. Send now.",IF($T329="DUE TOMORROW","Next: "&amp;$Z329&amp;IF($Y329&lt;=TODAY()," is due TODAY ("," is due next business day (")&amp;TEXT($Y329,"dd-mmm")&amp;").","Next: "&amp;$Z329&amp;" due "&amp;TEXT($Y329,"dd-mmm")&amp;" ("&amp;(NETWORKDAYS(TODAY(),$Y329,Holidays)-1)&amp;" business day(s) left).")))))</f>
        <v/>
      </c>
      <c r="V329" s="17">
        <f>IF($W329="","",CHOOSE($W329,"Collection Email","1st Follow-up","2nd Follow-up","Local Office","CBE","Roxanne")&amp;IF($W329=6," - Final"," - Day "&amp;MAX(0,NETWORKDAYS($X329,TODAY(),Holidays)-1)&amp;" of "&amp;CHOOSE($W329,3,3,2,2,3))&amp;" | Total Day "&amp;MAX(0,NETWORKDAYS($L329,TODAY(),Holidays)-1))</f>
        <v/>
      </c>
      <c r="W329" s="17">
        <f>IF($L329="","",COUNT($L329:$Q329))</f>
        <v/>
      </c>
      <c r="X329" s="18">
        <f>IF($W329="","",INT(INDEX($L329:$Q329,$W329)))</f>
        <v/>
      </c>
      <c r="Y329" s="18">
        <f>IF(OR($W329="",$W329=6),"",WORKDAY($X329,CHOOSE($W329,3,3,2,2,3),Holidays))</f>
        <v/>
      </c>
      <c r="Z329" s="17">
        <f>IF(OR($W329="",$W329=6),"",CHOOSE($W329,"1st Email Follow-up","2nd Email Follow-up","Escalate Local Office","Escalate to CBE","Escalate to Roxanne"))</f>
        <v/>
      </c>
    </row>
    <row r="330" spans="18:26">
      <c r="R330" s="15"/>
      <c r="S330" s="16"/>
      <c r="T330" s="17">
        <f>IF(AND(COUNTA($A330:$K330)=0,$L330=""),"",IF($S330="Paid","PAID",IF($S330="Closed","CLOSED",IF($W330="","",IF($W330=6,"ESCALATED TO ROXANNE",IF(TODAY()&gt;$Y330,"OVERDUE",IF($Y330&lt;=WORKDAY(TODAY(),1,Holidays),"DUE TOMORROW",IF($W330=4,"ESCALATED TO LOCAL OFFICE",IF($W330=5,"ESCALATED TO CBE",IF($X330=TODAY(),"EMAIL SENT","MONITORING"))))))))))</f>
        <v/>
      </c>
      <c r="U330" s="17">
        <f>IF($T330="",IF(AND(COUNTA($A330:$K330)&gt;0,$L330=""),"Awaiting Collection Email time stamp.",""),IF(OR($T330="PAID",$T330="CLOSED"),IF($T330="PAID","Account paid. Action completed.","Account closed. No further action required."),CHOOSE($W330,"Collection Email","1st Email Follow-up","2nd Email Follow-up","Escalation to Local Office","Escalation to CBE","Escalation to Roxanne")&amp;" sent "&amp;TEXT($X330,"dd-mmm")&amp;". "&amp;IF($W330=6,"Final escalation completed.",IF($T330="OVERDUE","Next: "&amp;$Z330&amp;" was due "&amp;TEXT($Y330,"dd-mmm")&amp;" - "&amp;(NETWORKDAYS($Y330,TODAY(),Holidays)-1)&amp;" business day(s) late. Send now.",IF($T330="DUE TOMORROW","Next: "&amp;$Z330&amp;IF($Y330&lt;=TODAY()," is due TODAY ("," is due next business day (")&amp;TEXT($Y330,"dd-mmm")&amp;").","Next: "&amp;$Z330&amp;" due "&amp;TEXT($Y330,"dd-mmm")&amp;" ("&amp;(NETWORKDAYS(TODAY(),$Y330,Holidays)-1)&amp;" business day(s) left).")))))</f>
        <v/>
      </c>
      <c r="V330" s="17">
        <f>IF($W330="","",CHOOSE($W330,"Collection Email","1st Follow-up","2nd Follow-up","Local Office","CBE","Roxanne")&amp;IF($W330=6," - Final"," - Day "&amp;MAX(0,NETWORKDAYS($X330,TODAY(),Holidays)-1)&amp;" of "&amp;CHOOSE($W330,3,3,2,2,3))&amp;" | Total Day "&amp;MAX(0,NETWORKDAYS($L330,TODAY(),Holidays)-1))</f>
        <v/>
      </c>
      <c r="W330" s="17">
        <f>IF($L330="","",COUNT($L330:$Q330))</f>
        <v/>
      </c>
      <c r="X330" s="18">
        <f>IF($W330="","",INT(INDEX($L330:$Q330,$W330)))</f>
        <v/>
      </c>
      <c r="Y330" s="18">
        <f>IF(OR($W330="",$W330=6),"",WORKDAY($X330,CHOOSE($W330,3,3,2,2,3),Holidays))</f>
        <v/>
      </c>
      <c r="Z330" s="17">
        <f>IF(OR($W330="",$W330=6),"",CHOOSE($W330,"1st Email Follow-up","2nd Email Follow-up","Escalate Local Office","Escalate to CBE","Escalate to Roxanne"))</f>
        <v/>
      </c>
    </row>
    <row r="331" spans="18:26">
      <c r="R331" s="15"/>
      <c r="S331" s="16"/>
      <c r="T331" s="17">
        <f>IF(AND(COUNTA($A331:$K331)=0,$L331=""),"",IF($S331="Paid","PAID",IF($S331="Closed","CLOSED",IF($W331="","",IF($W331=6,"ESCALATED TO ROXANNE",IF(TODAY()&gt;$Y331,"OVERDUE",IF($Y331&lt;=WORKDAY(TODAY(),1,Holidays),"DUE TOMORROW",IF($W331=4,"ESCALATED TO LOCAL OFFICE",IF($W331=5,"ESCALATED TO CBE",IF($X331=TODAY(),"EMAIL SENT","MONITORING"))))))))))</f>
        <v/>
      </c>
      <c r="U331" s="17">
        <f>IF($T331="",IF(AND(COUNTA($A331:$K331)&gt;0,$L331=""),"Awaiting Collection Email time stamp.",""),IF(OR($T331="PAID",$T331="CLOSED"),IF($T331="PAID","Account paid. Action completed.","Account closed. No further action required."),CHOOSE($W331,"Collection Email","1st Email Follow-up","2nd Email Follow-up","Escalation to Local Office","Escalation to CBE","Escalation to Roxanne")&amp;" sent "&amp;TEXT($X331,"dd-mmm")&amp;". "&amp;IF($W331=6,"Final escalation completed.",IF($T331="OVERDUE","Next: "&amp;$Z331&amp;" was due "&amp;TEXT($Y331,"dd-mmm")&amp;" - "&amp;(NETWORKDAYS($Y331,TODAY(),Holidays)-1)&amp;" business day(s) late. Send now.",IF($T331="DUE TOMORROW","Next: "&amp;$Z331&amp;IF($Y331&lt;=TODAY()," is due TODAY ("," is due next business day (")&amp;TEXT($Y331,"dd-mmm")&amp;").","Next: "&amp;$Z331&amp;" due "&amp;TEXT($Y331,"dd-mmm")&amp;" ("&amp;(NETWORKDAYS(TODAY(),$Y331,Holidays)-1)&amp;" business day(s) left).")))))</f>
        <v/>
      </c>
      <c r="V331" s="17">
        <f>IF($W331="","",CHOOSE($W331,"Collection Email","1st Follow-up","2nd Follow-up","Local Office","CBE","Roxanne")&amp;IF($W331=6," - Final"," - Day "&amp;MAX(0,NETWORKDAYS($X331,TODAY(),Holidays)-1)&amp;" of "&amp;CHOOSE($W331,3,3,2,2,3))&amp;" | Total Day "&amp;MAX(0,NETWORKDAYS($L331,TODAY(),Holidays)-1))</f>
        <v/>
      </c>
      <c r="W331" s="17">
        <f>IF($L331="","",COUNT($L331:$Q331))</f>
        <v/>
      </c>
      <c r="X331" s="18">
        <f>IF($W331="","",INT(INDEX($L331:$Q331,$W331)))</f>
        <v/>
      </c>
      <c r="Y331" s="18">
        <f>IF(OR($W331="",$W331=6),"",WORKDAY($X331,CHOOSE($W331,3,3,2,2,3),Holidays))</f>
        <v/>
      </c>
      <c r="Z331" s="17">
        <f>IF(OR($W331="",$W331=6),"",CHOOSE($W331,"1st Email Follow-up","2nd Email Follow-up","Escalate Local Office","Escalate to CBE","Escalate to Roxanne"))</f>
        <v/>
      </c>
    </row>
    <row r="332" spans="18:26">
      <c r="R332" s="15"/>
      <c r="S332" s="16"/>
      <c r="T332" s="17">
        <f>IF(AND(COUNTA($A332:$K332)=0,$L332=""),"",IF($S332="Paid","PAID",IF($S332="Closed","CLOSED",IF($W332="","",IF($W332=6,"ESCALATED TO ROXANNE",IF(TODAY()&gt;$Y332,"OVERDUE",IF($Y332&lt;=WORKDAY(TODAY(),1,Holidays),"DUE TOMORROW",IF($W332=4,"ESCALATED TO LOCAL OFFICE",IF($W332=5,"ESCALATED TO CBE",IF($X332=TODAY(),"EMAIL SENT","MONITORING"))))))))))</f>
        <v/>
      </c>
      <c r="U332" s="17">
        <f>IF($T332="",IF(AND(COUNTA($A332:$K332)&gt;0,$L332=""),"Awaiting Collection Email time stamp.",""),IF(OR($T332="PAID",$T332="CLOSED"),IF($T332="PAID","Account paid. Action completed.","Account closed. No further action required."),CHOOSE($W332,"Collection Email","1st Email Follow-up","2nd Email Follow-up","Escalation to Local Office","Escalation to CBE","Escalation to Roxanne")&amp;" sent "&amp;TEXT($X332,"dd-mmm")&amp;". "&amp;IF($W332=6,"Final escalation completed.",IF($T332="OVERDUE","Next: "&amp;$Z332&amp;" was due "&amp;TEXT($Y332,"dd-mmm")&amp;" - "&amp;(NETWORKDAYS($Y332,TODAY(),Holidays)-1)&amp;" business day(s) late. Send now.",IF($T332="DUE TOMORROW","Next: "&amp;$Z332&amp;IF($Y332&lt;=TODAY()," is due TODAY ("," is due next business day (")&amp;TEXT($Y332,"dd-mmm")&amp;").","Next: "&amp;$Z332&amp;" due "&amp;TEXT($Y332,"dd-mmm")&amp;" ("&amp;(NETWORKDAYS(TODAY(),$Y332,Holidays)-1)&amp;" business day(s) left).")))))</f>
        <v/>
      </c>
      <c r="V332" s="17">
        <f>IF($W332="","",CHOOSE($W332,"Collection Email","1st Follow-up","2nd Follow-up","Local Office","CBE","Roxanne")&amp;IF($W332=6," - Final"," - Day "&amp;MAX(0,NETWORKDAYS($X332,TODAY(),Holidays)-1)&amp;" of "&amp;CHOOSE($W332,3,3,2,2,3))&amp;" | Total Day "&amp;MAX(0,NETWORKDAYS($L332,TODAY(),Holidays)-1))</f>
        <v/>
      </c>
      <c r="W332" s="17">
        <f>IF($L332="","",COUNT($L332:$Q332))</f>
        <v/>
      </c>
      <c r="X332" s="18">
        <f>IF($W332="","",INT(INDEX($L332:$Q332,$W332)))</f>
        <v/>
      </c>
      <c r="Y332" s="18">
        <f>IF(OR($W332="",$W332=6),"",WORKDAY($X332,CHOOSE($W332,3,3,2,2,3),Holidays))</f>
        <v/>
      </c>
      <c r="Z332" s="17">
        <f>IF(OR($W332="",$W332=6),"",CHOOSE($W332,"1st Email Follow-up","2nd Email Follow-up","Escalate Local Office","Escalate to CBE","Escalate to Roxanne"))</f>
        <v/>
      </c>
    </row>
    <row r="333" spans="18:26">
      <c r="R333" s="15"/>
      <c r="S333" s="16"/>
      <c r="T333" s="17">
        <f>IF(AND(COUNTA($A333:$K333)=0,$L333=""),"",IF($S333="Paid","PAID",IF($S333="Closed","CLOSED",IF($W333="","",IF($W333=6,"ESCALATED TO ROXANNE",IF(TODAY()&gt;$Y333,"OVERDUE",IF($Y333&lt;=WORKDAY(TODAY(),1,Holidays),"DUE TOMORROW",IF($W333=4,"ESCALATED TO LOCAL OFFICE",IF($W333=5,"ESCALATED TO CBE",IF($X333=TODAY(),"EMAIL SENT","MONITORING"))))))))))</f>
        <v/>
      </c>
      <c r="U333" s="17">
        <f>IF($T333="",IF(AND(COUNTA($A333:$K333)&gt;0,$L333=""),"Awaiting Collection Email time stamp.",""),IF(OR($T333="PAID",$T333="CLOSED"),IF($T333="PAID","Account paid. Action completed.","Account closed. No further action required."),CHOOSE($W333,"Collection Email","1st Email Follow-up","2nd Email Follow-up","Escalation to Local Office","Escalation to CBE","Escalation to Roxanne")&amp;" sent "&amp;TEXT($X333,"dd-mmm")&amp;". "&amp;IF($W333=6,"Final escalation completed.",IF($T333="OVERDUE","Next: "&amp;$Z333&amp;" was due "&amp;TEXT($Y333,"dd-mmm")&amp;" - "&amp;(NETWORKDAYS($Y333,TODAY(),Holidays)-1)&amp;" business day(s) late. Send now.",IF($T333="DUE TOMORROW","Next: "&amp;$Z333&amp;IF($Y333&lt;=TODAY()," is due TODAY ("," is due next business day (")&amp;TEXT($Y333,"dd-mmm")&amp;").","Next: "&amp;$Z333&amp;" due "&amp;TEXT($Y333,"dd-mmm")&amp;" ("&amp;(NETWORKDAYS(TODAY(),$Y333,Holidays)-1)&amp;" business day(s) left).")))))</f>
        <v/>
      </c>
      <c r="V333" s="17">
        <f>IF($W333="","",CHOOSE($W333,"Collection Email","1st Follow-up","2nd Follow-up","Local Office","CBE","Roxanne")&amp;IF($W333=6," - Final"," - Day "&amp;MAX(0,NETWORKDAYS($X333,TODAY(),Holidays)-1)&amp;" of "&amp;CHOOSE($W333,3,3,2,2,3))&amp;" | Total Day "&amp;MAX(0,NETWORKDAYS($L333,TODAY(),Holidays)-1))</f>
        <v/>
      </c>
      <c r="W333" s="17">
        <f>IF($L333="","",COUNT($L333:$Q333))</f>
        <v/>
      </c>
      <c r="X333" s="18">
        <f>IF($W333="","",INT(INDEX($L333:$Q333,$W333)))</f>
        <v/>
      </c>
      <c r="Y333" s="18">
        <f>IF(OR($W333="",$W333=6),"",WORKDAY($X333,CHOOSE($W333,3,3,2,2,3),Holidays))</f>
        <v/>
      </c>
      <c r="Z333" s="17">
        <f>IF(OR($W333="",$W333=6),"",CHOOSE($W333,"1st Email Follow-up","2nd Email Follow-up","Escalate Local Office","Escalate to CBE","Escalate to Roxanne"))</f>
        <v/>
      </c>
    </row>
    <row r="334" spans="18:26">
      <c r="R334" s="15"/>
      <c r="S334" s="16"/>
      <c r="T334" s="17">
        <f>IF(AND(COUNTA($A334:$K334)=0,$L334=""),"",IF($S334="Paid","PAID",IF($S334="Closed","CLOSED",IF($W334="","",IF($W334=6,"ESCALATED TO ROXANNE",IF(TODAY()&gt;$Y334,"OVERDUE",IF($Y334&lt;=WORKDAY(TODAY(),1,Holidays),"DUE TOMORROW",IF($W334=4,"ESCALATED TO LOCAL OFFICE",IF($W334=5,"ESCALATED TO CBE",IF($X334=TODAY(),"EMAIL SENT","MONITORING"))))))))))</f>
        <v/>
      </c>
      <c r="U334" s="17">
        <f>IF($T334="",IF(AND(COUNTA($A334:$K334)&gt;0,$L334=""),"Awaiting Collection Email time stamp.",""),IF(OR($T334="PAID",$T334="CLOSED"),IF($T334="PAID","Account paid. Action completed.","Account closed. No further action required."),CHOOSE($W334,"Collection Email","1st Email Follow-up","2nd Email Follow-up","Escalation to Local Office","Escalation to CBE","Escalation to Roxanne")&amp;" sent "&amp;TEXT($X334,"dd-mmm")&amp;". "&amp;IF($W334=6,"Final escalation completed.",IF($T334="OVERDUE","Next: "&amp;$Z334&amp;" was due "&amp;TEXT($Y334,"dd-mmm")&amp;" - "&amp;(NETWORKDAYS($Y334,TODAY(),Holidays)-1)&amp;" business day(s) late. Send now.",IF($T334="DUE TOMORROW","Next: "&amp;$Z334&amp;IF($Y334&lt;=TODAY()," is due TODAY ("," is due next business day (")&amp;TEXT($Y334,"dd-mmm")&amp;").","Next: "&amp;$Z334&amp;" due "&amp;TEXT($Y334,"dd-mmm")&amp;" ("&amp;(NETWORKDAYS(TODAY(),$Y334,Holidays)-1)&amp;" business day(s) left).")))))</f>
        <v/>
      </c>
      <c r="V334" s="17">
        <f>IF($W334="","",CHOOSE($W334,"Collection Email","1st Follow-up","2nd Follow-up","Local Office","CBE","Roxanne")&amp;IF($W334=6," - Final"," - Day "&amp;MAX(0,NETWORKDAYS($X334,TODAY(),Holidays)-1)&amp;" of "&amp;CHOOSE($W334,3,3,2,2,3))&amp;" | Total Day "&amp;MAX(0,NETWORKDAYS($L334,TODAY(),Holidays)-1))</f>
        <v/>
      </c>
      <c r="W334" s="17">
        <f>IF($L334="","",COUNT($L334:$Q334))</f>
        <v/>
      </c>
      <c r="X334" s="18">
        <f>IF($W334="","",INT(INDEX($L334:$Q334,$W334)))</f>
        <v/>
      </c>
      <c r="Y334" s="18">
        <f>IF(OR($W334="",$W334=6),"",WORKDAY($X334,CHOOSE($W334,3,3,2,2,3),Holidays))</f>
        <v/>
      </c>
      <c r="Z334" s="17">
        <f>IF(OR($W334="",$W334=6),"",CHOOSE($W334,"1st Email Follow-up","2nd Email Follow-up","Escalate Local Office","Escalate to CBE","Escalate to Roxanne"))</f>
        <v/>
      </c>
    </row>
    <row r="335" spans="18:26">
      <c r="R335" s="15"/>
      <c r="S335" s="16"/>
      <c r="T335" s="17">
        <f>IF(AND(COUNTA($A335:$K335)=0,$L335=""),"",IF($S335="Paid","PAID",IF($S335="Closed","CLOSED",IF($W335="","",IF($W335=6,"ESCALATED TO ROXANNE",IF(TODAY()&gt;$Y335,"OVERDUE",IF($Y335&lt;=WORKDAY(TODAY(),1,Holidays),"DUE TOMORROW",IF($W335=4,"ESCALATED TO LOCAL OFFICE",IF($W335=5,"ESCALATED TO CBE",IF($X335=TODAY(),"EMAIL SENT","MONITORING"))))))))))</f>
        <v/>
      </c>
      <c r="U335" s="17">
        <f>IF($T335="",IF(AND(COUNTA($A335:$K335)&gt;0,$L335=""),"Awaiting Collection Email time stamp.",""),IF(OR($T335="PAID",$T335="CLOSED"),IF($T335="PAID","Account paid. Action completed.","Account closed. No further action required."),CHOOSE($W335,"Collection Email","1st Email Follow-up","2nd Email Follow-up","Escalation to Local Office","Escalation to CBE","Escalation to Roxanne")&amp;" sent "&amp;TEXT($X335,"dd-mmm")&amp;". "&amp;IF($W335=6,"Final escalation completed.",IF($T335="OVERDUE","Next: "&amp;$Z335&amp;" was due "&amp;TEXT($Y335,"dd-mmm")&amp;" - "&amp;(NETWORKDAYS($Y335,TODAY(),Holidays)-1)&amp;" business day(s) late. Send now.",IF($T335="DUE TOMORROW","Next: "&amp;$Z335&amp;IF($Y335&lt;=TODAY()," is due TODAY ("," is due next business day (")&amp;TEXT($Y335,"dd-mmm")&amp;").","Next: "&amp;$Z335&amp;" due "&amp;TEXT($Y335,"dd-mmm")&amp;" ("&amp;(NETWORKDAYS(TODAY(),$Y335,Holidays)-1)&amp;" business day(s) left).")))))</f>
        <v/>
      </c>
      <c r="V335" s="17">
        <f>IF($W335="","",CHOOSE($W335,"Collection Email","1st Follow-up","2nd Follow-up","Local Office","CBE","Roxanne")&amp;IF($W335=6," - Final"," - Day "&amp;MAX(0,NETWORKDAYS($X335,TODAY(),Holidays)-1)&amp;" of "&amp;CHOOSE($W335,3,3,2,2,3))&amp;" | Total Day "&amp;MAX(0,NETWORKDAYS($L335,TODAY(),Holidays)-1))</f>
        <v/>
      </c>
      <c r="W335" s="17">
        <f>IF($L335="","",COUNT($L335:$Q335))</f>
        <v/>
      </c>
      <c r="X335" s="18">
        <f>IF($W335="","",INT(INDEX($L335:$Q335,$W335)))</f>
        <v/>
      </c>
      <c r="Y335" s="18">
        <f>IF(OR($W335="",$W335=6),"",WORKDAY($X335,CHOOSE($W335,3,3,2,2,3),Holidays))</f>
        <v/>
      </c>
      <c r="Z335" s="17">
        <f>IF(OR($W335="",$W335=6),"",CHOOSE($W335,"1st Email Follow-up","2nd Email Follow-up","Escalate Local Office","Escalate to CBE","Escalate to Roxanne"))</f>
        <v/>
      </c>
    </row>
    <row r="336" spans="18:26">
      <c r="R336" s="15"/>
      <c r="S336" s="16"/>
      <c r="T336" s="17">
        <f>IF(AND(COUNTA($A336:$K336)=0,$L336=""),"",IF($S336="Paid","PAID",IF($S336="Closed","CLOSED",IF($W336="","",IF($W336=6,"ESCALATED TO ROXANNE",IF(TODAY()&gt;$Y336,"OVERDUE",IF($Y336&lt;=WORKDAY(TODAY(),1,Holidays),"DUE TOMORROW",IF($W336=4,"ESCALATED TO LOCAL OFFICE",IF($W336=5,"ESCALATED TO CBE",IF($X336=TODAY(),"EMAIL SENT","MONITORING"))))))))))</f>
        <v/>
      </c>
      <c r="U336" s="17">
        <f>IF($T336="",IF(AND(COUNTA($A336:$K336)&gt;0,$L336=""),"Awaiting Collection Email time stamp.",""),IF(OR($T336="PAID",$T336="CLOSED"),IF($T336="PAID","Account paid. Action completed.","Account closed. No further action required."),CHOOSE($W336,"Collection Email","1st Email Follow-up","2nd Email Follow-up","Escalation to Local Office","Escalation to CBE","Escalation to Roxanne")&amp;" sent "&amp;TEXT($X336,"dd-mmm")&amp;". "&amp;IF($W336=6,"Final escalation completed.",IF($T336="OVERDUE","Next: "&amp;$Z336&amp;" was due "&amp;TEXT($Y336,"dd-mmm")&amp;" - "&amp;(NETWORKDAYS($Y336,TODAY(),Holidays)-1)&amp;" business day(s) late. Send now.",IF($T336="DUE TOMORROW","Next: "&amp;$Z336&amp;IF($Y336&lt;=TODAY()," is due TODAY ("," is due next business day (")&amp;TEXT($Y336,"dd-mmm")&amp;").","Next: "&amp;$Z336&amp;" due "&amp;TEXT($Y336,"dd-mmm")&amp;" ("&amp;(NETWORKDAYS(TODAY(),$Y336,Holidays)-1)&amp;" business day(s) left).")))))</f>
        <v/>
      </c>
      <c r="V336" s="17">
        <f>IF($W336="","",CHOOSE($W336,"Collection Email","1st Follow-up","2nd Follow-up","Local Office","CBE","Roxanne")&amp;IF($W336=6," - Final"," - Day "&amp;MAX(0,NETWORKDAYS($X336,TODAY(),Holidays)-1)&amp;" of "&amp;CHOOSE($W336,3,3,2,2,3))&amp;" | Total Day "&amp;MAX(0,NETWORKDAYS($L336,TODAY(),Holidays)-1))</f>
        <v/>
      </c>
      <c r="W336" s="17">
        <f>IF($L336="","",COUNT($L336:$Q336))</f>
        <v/>
      </c>
      <c r="X336" s="18">
        <f>IF($W336="","",INT(INDEX($L336:$Q336,$W336)))</f>
        <v/>
      </c>
      <c r="Y336" s="18">
        <f>IF(OR($W336="",$W336=6),"",WORKDAY($X336,CHOOSE($W336,3,3,2,2,3),Holidays))</f>
        <v/>
      </c>
      <c r="Z336" s="17">
        <f>IF(OR($W336="",$W336=6),"",CHOOSE($W336,"1st Email Follow-up","2nd Email Follow-up","Escalate Local Office","Escalate to CBE","Escalate to Roxanne"))</f>
        <v/>
      </c>
    </row>
    <row r="337" spans="18:26">
      <c r="R337" s="15"/>
      <c r="S337" s="16"/>
      <c r="T337" s="17">
        <f>IF(AND(COUNTA($A337:$K337)=0,$L337=""),"",IF($S337="Paid","PAID",IF($S337="Closed","CLOSED",IF($W337="","",IF($W337=6,"ESCALATED TO ROXANNE",IF(TODAY()&gt;$Y337,"OVERDUE",IF($Y337&lt;=WORKDAY(TODAY(),1,Holidays),"DUE TOMORROW",IF($W337=4,"ESCALATED TO LOCAL OFFICE",IF($W337=5,"ESCALATED TO CBE",IF($X337=TODAY(),"EMAIL SENT","MONITORING"))))))))))</f>
        <v/>
      </c>
      <c r="U337" s="17">
        <f>IF($T337="",IF(AND(COUNTA($A337:$K337)&gt;0,$L337=""),"Awaiting Collection Email time stamp.",""),IF(OR($T337="PAID",$T337="CLOSED"),IF($T337="PAID","Account paid. Action completed.","Account closed. No further action required."),CHOOSE($W337,"Collection Email","1st Email Follow-up","2nd Email Follow-up","Escalation to Local Office","Escalation to CBE","Escalation to Roxanne")&amp;" sent "&amp;TEXT($X337,"dd-mmm")&amp;". "&amp;IF($W337=6,"Final escalation completed.",IF($T337="OVERDUE","Next: "&amp;$Z337&amp;" was due "&amp;TEXT($Y337,"dd-mmm")&amp;" - "&amp;(NETWORKDAYS($Y337,TODAY(),Holidays)-1)&amp;" business day(s) late. Send now.",IF($T337="DUE TOMORROW","Next: "&amp;$Z337&amp;IF($Y337&lt;=TODAY()," is due TODAY ("," is due next business day (")&amp;TEXT($Y337,"dd-mmm")&amp;").","Next: "&amp;$Z337&amp;" due "&amp;TEXT($Y337,"dd-mmm")&amp;" ("&amp;(NETWORKDAYS(TODAY(),$Y337,Holidays)-1)&amp;" business day(s) left).")))))</f>
        <v/>
      </c>
      <c r="V337" s="17">
        <f>IF($W337="","",CHOOSE($W337,"Collection Email","1st Follow-up","2nd Follow-up","Local Office","CBE","Roxanne")&amp;IF($W337=6," - Final"," - Day "&amp;MAX(0,NETWORKDAYS($X337,TODAY(),Holidays)-1)&amp;" of "&amp;CHOOSE($W337,3,3,2,2,3))&amp;" | Total Day "&amp;MAX(0,NETWORKDAYS($L337,TODAY(),Holidays)-1))</f>
        <v/>
      </c>
      <c r="W337" s="17">
        <f>IF($L337="","",COUNT($L337:$Q337))</f>
        <v/>
      </c>
      <c r="X337" s="18">
        <f>IF($W337="","",INT(INDEX($L337:$Q337,$W337)))</f>
        <v/>
      </c>
      <c r="Y337" s="18">
        <f>IF(OR($W337="",$W337=6),"",WORKDAY($X337,CHOOSE($W337,3,3,2,2,3),Holidays))</f>
        <v/>
      </c>
      <c r="Z337" s="17">
        <f>IF(OR($W337="",$W337=6),"",CHOOSE($W337,"1st Email Follow-up","2nd Email Follow-up","Escalate Local Office","Escalate to CBE","Escalate to Roxanne"))</f>
        <v/>
      </c>
    </row>
    <row r="338" spans="18:26">
      <c r="R338" s="15"/>
      <c r="S338" s="16"/>
      <c r="T338" s="17">
        <f>IF(AND(COUNTA($A338:$K338)=0,$L338=""),"",IF($S338="Paid","PAID",IF($S338="Closed","CLOSED",IF($W338="","",IF($W338=6,"ESCALATED TO ROXANNE",IF(TODAY()&gt;$Y338,"OVERDUE",IF($Y338&lt;=WORKDAY(TODAY(),1,Holidays),"DUE TOMORROW",IF($W338=4,"ESCALATED TO LOCAL OFFICE",IF($W338=5,"ESCALATED TO CBE",IF($X338=TODAY(),"EMAIL SENT","MONITORING"))))))))))</f>
        <v/>
      </c>
      <c r="U338" s="17">
        <f>IF($T338="",IF(AND(COUNTA($A338:$K338)&gt;0,$L338=""),"Awaiting Collection Email time stamp.",""),IF(OR($T338="PAID",$T338="CLOSED"),IF($T338="PAID","Account paid. Action completed.","Account closed. No further action required."),CHOOSE($W338,"Collection Email","1st Email Follow-up","2nd Email Follow-up","Escalation to Local Office","Escalation to CBE","Escalation to Roxanne")&amp;" sent "&amp;TEXT($X338,"dd-mmm")&amp;". "&amp;IF($W338=6,"Final escalation completed.",IF($T338="OVERDUE","Next: "&amp;$Z338&amp;" was due "&amp;TEXT($Y338,"dd-mmm")&amp;" - "&amp;(NETWORKDAYS($Y338,TODAY(),Holidays)-1)&amp;" business day(s) late. Send now.",IF($T338="DUE TOMORROW","Next: "&amp;$Z338&amp;IF($Y338&lt;=TODAY()," is due TODAY ("," is due next business day (")&amp;TEXT($Y338,"dd-mmm")&amp;").","Next: "&amp;$Z338&amp;" due "&amp;TEXT($Y338,"dd-mmm")&amp;" ("&amp;(NETWORKDAYS(TODAY(),$Y338,Holidays)-1)&amp;" business day(s) left).")))))</f>
        <v/>
      </c>
      <c r="V338" s="17">
        <f>IF($W338="","",CHOOSE($W338,"Collection Email","1st Follow-up","2nd Follow-up","Local Office","CBE","Roxanne")&amp;IF($W338=6," - Final"," - Day "&amp;MAX(0,NETWORKDAYS($X338,TODAY(),Holidays)-1)&amp;" of "&amp;CHOOSE($W338,3,3,2,2,3))&amp;" | Total Day "&amp;MAX(0,NETWORKDAYS($L338,TODAY(),Holidays)-1))</f>
        <v/>
      </c>
      <c r="W338" s="17">
        <f>IF($L338="","",COUNT($L338:$Q338))</f>
        <v/>
      </c>
      <c r="X338" s="18">
        <f>IF($W338="","",INT(INDEX($L338:$Q338,$W338)))</f>
        <v/>
      </c>
      <c r="Y338" s="18">
        <f>IF(OR($W338="",$W338=6),"",WORKDAY($X338,CHOOSE($W338,3,3,2,2,3),Holidays))</f>
        <v/>
      </c>
      <c r="Z338" s="17">
        <f>IF(OR($W338="",$W338=6),"",CHOOSE($W338,"1st Email Follow-up","2nd Email Follow-up","Escalate Local Office","Escalate to CBE","Escalate to Roxanne"))</f>
        <v/>
      </c>
    </row>
    <row r="339" spans="18:26">
      <c r="R339" s="15"/>
      <c r="S339" s="16"/>
      <c r="T339" s="17">
        <f>IF(AND(COUNTA($A339:$K339)=0,$L339=""),"",IF($S339="Paid","PAID",IF($S339="Closed","CLOSED",IF($W339="","",IF($W339=6,"ESCALATED TO ROXANNE",IF(TODAY()&gt;$Y339,"OVERDUE",IF($Y339&lt;=WORKDAY(TODAY(),1,Holidays),"DUE TOMORROW",IF($W339=4,"ESCALATED TO LOCAL OFFICE",IF($W339=5,"ESCALATED TO CBE",IF($X339=TODAY(),"EMAIL SENT","MONITORING"))))))))))</f>
        <v/>
      </c>
      <c r="U339" s="17">
        <f>IF($T339="",IF(AND(COUNTA($A339:$K339)&gt;0,$L339=""),"Awaiting Collection Email time stamp.",""),IF(OR($T339="PAID",$T339="CLOSED"),IF($T339="PAID","Account paid. Action completed.","Account closed. No further action required."),CHOOSE($W339,"Collection Email","1st Email Follow-up","2nd Email Follow-up","Escalation to Local Office","Escalation to CBE","Escalation to Roxanne")&amp;" sent "&amp;TEXT($X339,"dd-mmm")&amp;". "&amp;IF($W339=6,"Final escalation completed.",IF($T339="OVERDUE","Next: "&amp;$Z339&amp;" was due "&amp;TEXT($Y339,"dd-mmm")&amp;" - "&amp;(NETWORKDAYS($Y339,TODAY(),Holidays)-1)&amp;" business day(s) late. Send now.",IF($T339="DUE TOMORROW","Next: "&amp;$Z339&amp;IF($Y339&lt;=TODAY()," is due TODAY ("," is due next business day (")&amp;TEXT($Y339,"dd-mmm")&amp;").","Next: "&amp;$Z339&amp;" due "&amp;TEXT($Y339,"dd-mmm")&amp;" ("&amp;(NETWORKDAYS(TODAY(),$Y339,Holidays)-1)&amp;" business day(s) left).")))))</f>
        <v/>
      </c>
      <c r="V339" s="17">
        <f>IF($W339="","",CHOOSE($W339,"Collection Email","1st Follow-up","2nd Follow-up","Local Office","CBE","Roxanne")&amp;IF($W339=6," - Final"," - Day "&amp;MAX(0,NETWORKDAYS($X339,TODAY(),Holidays)-1)&amp;" of "&amp;CHOOSE($W339,3,3,2,2,3))&amp;" | Total Day "&amp;MAX(0,NETWORKDAYS($L339,TODAY(),Holidays)-1))</f>
        <v/>
      </c>
      <c r="W339" s="17">
        <f>IF($L339="","",COUNT($L339:$Q339))</f>
        <v/>
      </c>
      <c r="X339" s="18">
        <f>IF($W339="","",INT(INDEX($L339:$Q339,$W339)))</f>
        <v/>
      </c>
      <c r="Y339" s="18">
        <f>IF(OR($W339="",$W339=6),"",WORKDAY($X339,CHOOSE($W339,3,3,2,2,3),Holidays))</f>
        <v/>
      </c>
      <c r="Z339" s="17">
        <f>IF(OR($W339="",$W339=6),"",CHOOSE($W339,"1st Email Follow-up","2nd Email Follow-up","Escalate Local Office","Escalate to CBE","Escalate to Roxanne"))</f>
        <v/>
      </c>
    </row>
    <row r="340" spans="18:26">
      <c r="R340" s="15"/>
      <c r="S340" s="16"/>
      <c r="T340" s="17">
        <f>IF(AND(COUNTA($A340:$K340)=0,$L340=""),"",IF($S340="Paid","PAID",IF($S340="Closed","CLOSED",IF($W340="","",IF($W340=6,"ESCALATED TO ROXANNE",IF(TODAY()&gt;$Y340,"OVERDUE",IF($Y340&lt;=WORKDAY(TODAY(),1,Holidays),"DUE TOMORROW",IF($W340=4,"ESCALATED TO LOCAL OFFICE",IF($W340=5,"ESCALATED TO CBE",IF($X340=TODAY(),"EMAIL SENT","MONITORING"))))))))))</f>
        <v/>
      </c>
      <c r="U340" s="17">
        <f>IF($T340="",IF(AND(COUNTA($A340:$K340)&gt;0,$L340=""),"Awaiting Collection Email time stamp.",""),IF(OR($T340="PAID",$T340="CLOSED"),IF($T340="PAID","Account paid. Action completed.","Account closed. No further action required."),CHOOSE($W340,"Collection Email","1st Email Follow-up","2nd Email Follow-up","Escalation to Local Office","Escalation to CBE","Escalation to Roxanne")&amp;" sent "&amp;TEXT($X340,"dd-mmm")&amp;". "&amp;IF($W340=6,"Final escalation completed.",IF($T340="OVERDUE","Next: "&amp;$Z340&amp;" was due "&amp;TEXT($Y340,"dd-mmm")&amp;" - "&amp;(NETWORKDAYS($Y340,TODAY(),Holidays)-1)&amp;" business day(s) late. Send now.",IF($T340="DUE TOMORROW","Next: "&amp;$Z340&amp;IF($Y340&lt;=TODAY()," is due TODAY ("," is due next business day (")&amp;TEXT($Y340,"dd-mmm")&amp;").","Next: "&amp;$Z340&amp;" due "&amp;TEXT($Y340,"dd-mmm")&amp;" ("&amp;(NETWORKDAYS(TODAY(),$Y340,Holidays)-1)&amp;" business day(s) left).")))))</f>
        <v/>
      </c>
      <c r="V340" s="17">
        <f>IF($W340="","",CHOOSE($W340,"Collection Email","1st Follow-up","2nd Follow-up","Local Office","CBE","Roxanne")&amp;IF($W340=6," - Final"," - Day "&amp;MAX(0,NETWORKDAYS($X340,TODAY(),Holidays)-1)&amp;" of "&amp;CHOOSE($W340,3,3,2,2,3))&amp;" | Total Day "&amp;MAX(0,NETWORKDAYS($L340,TODAY(),Holidays)-1))</f>
        <v/>
      </c>
      <c r="W340" s="17">
        <f>IF($L340="","",COUNT($L340:$Q340))</f>
        <v/>
      </c>
      <c r="X340" s="18">
        <f>IF($W340="","",INT(INDEX($L340:$Q340,$W340)))</f>
        <v/>
      </c>
      <c r="Y340" s="18">
        <f>IF(OR($W340="",$W340=6),"",WORKDAY($X340,CHOOSE($W340,3,3,2,2,3),Holidays))</f>
        <v/>
      </c>
      <c r="Z340" s="17">
        <f>IF(OR($W340="",$W340=6),"",CHOOSE($W340,"1st Email Follow-up","2nd Email Follow-up","Escalate Local Office","Escalate to CBE","Escalate to Roxanne"))</f>
        <v/>
      </c>
    </row>
    <row r="341" spans="18:26">
      <c r="R341" s="15"/>
      <c r="S341" s="16"/>
      <c r="T341" s="17">
        <f>IF(AND(COUNTA($A341:$K341)=0,$L341=""),"",IF($S341="Paid","PAID",IF($S341="Closed","CLOSED",IF($W341="","",IF($W341=6,"ESCALATED TO ROXANNE",IF(TODAY()&gt;$Y341,"OVERDUE",IF($Y341&lt;=WORKDAY(TODAY(),1,Holidays),"DUE TOMORROW",IF($W341=4,"ESCALATED TO LOCAL OFFICE",IF($W341=5,"ESCALATED TO CBE",IF($X341=TODAY(),"EMAIL SENT","MONITORING"))))))))))</f>
        <v/>
      </c>
      <c r="U341" s="17">
        <f>IF($T341="",IF(AND(COUNTA($A341:$K341)&gt;0,$L341=""),"Awaiting Collection Email time stamp.",""),IF(OR($T341="PAID",$T341="CLOSED"),IF($T341="PAID","Account paid. Action completed.","Account closed. No further action required."),CHOOSE($W341,"Collection Email","1st Email Follow-up","2nd Email Follow-up","Escalation to Local Office","Escalation to CBE","Escalation to Roxanne")&amp;" sent "&amp;TEXT($X341,"dd-mmm")&amp;". "&amp;IF($W341=6,"Final escalation completed.",IF($T341="OVERDUE","Next: "&amp;$Z341&amp;" was due "&amp;TEXT($Y341,"dd-mmm")&amp;" - "&amp;(NETWORKDAYS($Y341,TODAY(),Holidays)-1)&amp;" business day(s) late. Send now.",IF($T341="DUE TOMORROW","Next: "&amp;$Z341&amp;IF($Y341&lt;=TODAY()," is due TODAY ("," is due next business day (")&amp;TEXT($Y341,"dd-mmm")&amp;").","Next: "&amp;$Z341&amp;" due "&amp;TEXT($Y341,"dd-mmm")&amp;" ("&amp;(NETWORKDAYS(TODAY(),$Y341,Holidays)-1)&amp;" business day(s) left).")))))</f>
        <v/>
      </c>
      <c r="V341" s="17">
        <f>IF($W341="","",CHOOSE($W341,"Collection Email","1st Follow-up","2nd Follow-up","Local Office","CBE","Roxanne")&amp;IF($W341=6," - Final"," - Day "&amp;MAX(0,NETWORKDAYS($X341,TODAY(),Holidays)-1)&amp;" of "&amp;CHOOSE($W341,3,3,2,2,3))&amp;" | Total Day "&amp;MAX(0,NETWORKDAYS($L341,TODAY(),Holidays)-1))</f>
        <v/>
      </c>
      <c r="W341" s="17">
        <f>IF($L341="","",COUNT($L341:$Q341))</f>
        <v/>
      </c>
      <c r="X341" s="18">
        <f>IF($W341="","",INT(INDEX($L341:$Q341,$W341)))</f>
        <v/>
      </c>
      <c r="Y341" s="18">
        <f>IF(OR($W341="",$W341=6),"",WORKDAY($X341,CHOOSE($W341,3,3,2,2,3),Holidays))</f>
        <v/>
      </c>
      <c r="Z341" s="17">
        <f>IF(OR($W341="",$W341=6),"",CHOOSE($W341,"1st Email Follow-up","2nd Email Follow-up","Escalate Local Office","Escalate to CBE","Escalate to Roxanne"))</f>
        <v/>
      </c>
    </row>
    <row r="342" spans="18:26">
      <c r="R342" s="15"/>
      <c r="S342" s="16"/>
      <c r="T342" s="17">
        <f>IF(AND(COUNTA($A342:$K342)=0,$L342=""),"",IF($S342="Paid","PAID",IF($S342="Closed","CLOSED",IF($W342="","",IF($W342=6,"ESCALATED TO ROXANNE",IF(TODAY()&gt;$Y342,"OVERDUE",IF($Y342&lt;=WORKDAY(TODAY(),1,Holidays),"DUE TOMORROW",IF($W342=4,"ESCALATED TO LOCAL OFFICE",IF($W342=5,"ESCALATED TO CBE",IF($X342=TODAY(),"EMAIL SENT","MONITORING"))))))))))</f>
        <v/>
      </c>
      <c r="U342" s="17">
        <f>IF($T342="",IF(AND(COUNTA($A342:$K342)&gt;0,$L342=""),"Awaiting Collection Email time stamp.",""),IF(OR($T342="PAID",$T342="CLOSED"),IF($T342="PAID","Account paid. Action completed.","Account closed. No further action required."),CHOOSE($W342,"Collection Email","1st Email Follow-up","2nd Email Follow-up","Escalation to Local Office","Escalation to CBE","Escalation to Roxanne")&amp;" sent "&amp;TEXT($X342,"dd-mmm")&amp;". "&amp;IF($W342=6,"Final escalation completed.",IF($T342="OVERDUE","Next: "&amp;$Z342&amp;" was due "&amp;TEXT($Y342,"dd-mmm")&amp;" - "&amp;(NETWORKDAYS($Y342,TODAY(),Holidays)-1)&amp;" business day(s) late. Send now.",IF($T342="DUE TOMORROW","Next: "&amp;$Z342&amp;IF($Y342&lt;=TODAY()," is due TODAY ("," is due next business day (")&amp;TEXT($Y342,"dd-mmm")&amp;").","Next: "&amp;$Z342&amp;" due "&amp;TEXT($Y342,"dd-mmm")&amp;" ("&amp;(NETWORKDAYS(TODAY(),$Y342,Holidays)-1)&amp;" business day(s) left).")))))</f>
        <v/>
      </c>
      <c r="V342" s="17">
        <f>IF($W342="","",CHOOSE($W342,"Collection Email","1st Follow-up","2nd Follow-up","Local Office","CBE","Roxanne")&amp;IF($W342=6," - Final"," - Day "&amp;MAX(0,NETWORKDAYS($X342,TODAY(),Holidays)-1)&amp;" of "&amp;CHOOSE($W342,3,3,2,2,3))&amp;" | Total Day "&amp;MAX(0,NETWORKDAYS($L342,TODAY(),Holidays)-1))</f>
        <v/>
      </c>
      <c r="W342" s="17">
        <f>IF($L342="","",COUNT($L342:$Q342))</f>
        <v/>
      </c>
      <c r="X342" s="18">
        <f>IF($W342="","",INT(INDEX($L342:$Q342,$W342)))</f>
        <v/>
      </c>
      <c r="Y342" s="18">
        <f>IF(OR($W342="",$W342=6),"",WORKDAY($X342,CHOOSE($W342,3,3,2,2,3),Holidays))</f>
        <v/>
      </c>
      <c r="Z342" s="17">
        <f>IF(OR($W342="",$W342=6),"",CHOOSE($W342,"1st Email Follow-up","2nd Email Follow-up","Escalate Local Office","Escalate to CBE","Escalate to Roxanne"))</f>
        <v/>
      </c>
    </row>
    <row r="343" spans="18:26">
      <c r="R343" s="15"/>
      <c r="S343" s="16"/>
      <c r="T343" s="17">
        <f>IF(AND(COUNTA($A343:$K343)=0,$L343=""),"",IF($S343="Paid","PAID",IF($S343="Closed","CLOSED",IF($W343="","",IF($W343=6,"ESCALATED TO ROXANNE",IF(TODAY()&gt;$Y343,"OVERDUE",IF($Y343&lt;=WORKDAY(TODAY(),1,Holidays),"DUE TOMORROW",IF($W343=4,"ESCALATED TO LOCAL OFFICE",IF($W343=5,"ESCALATED TO CBE",IF($X343=TODAY(),"EMAIL SENT","MONITORING"))))))))))</f>
        <v/>
      </c>
      <c r="U343" s="17">
        <f>IF($T343="",IF(AND(COUNTA($A343:$K343)&gt;0,$L343=""),"Awaiting Collection Email time stamp.",""),IF(OR($T343="PAID",$T343="CLOSED"),IF($T343="PAID","Account paid. Action completed.","Account closed. No further action required."),CHOOSE($W343,"Collection Email","1st Email Follow-up","2nd Email Follow-up","Escalation to Local Office","Escalation to CBE","Escalation to Roxanne")&amp;" sent "&amp;TEXT($X343,"dd-mmm")&amp;". "&amp;IF($W343=6,"Final escalation completed.",IF($T343="OVERDUE","Next: "&amp;$Z343&amp;" was due "&amp;TEXT($Y343,"dd-mmm")&amp;" - "&amp;(NETWORKDAYS($Y343,TODAY(),Holidays)-1)&amp;" business day(s) late. Send now.",IF($T343="DUE TOMORROW","Next: "&amp;$Z343&amp;IF($Y343&lt;=TODAY()," is due TODAY ("," is due next business day (")&amp;TEXT($Y343,"dd-mmm")&amp;").","Next: "&amp;$Z343&amp;" due "&amp;TEXT($Y343,"dd-mmm")&amp;" ("&amp;(NETWORKDAYS(TODAY(),$Y343,Holidays)-1)&amp;" business day(s) left).")))))</f>
        <v/>
      </c>
      <c r="V343" s="17">
        <f>IF($W343="","",CHOOSE($W343,"Collection Email","1st Follow-up","2nd Follow-up","Local Office","CBE","Roxanne")&amp;IF($W343=6," - Final"," - Day "&amp;MAX(0,NETWORKDAYS($X343,TODAY(),Holidays)-1)&amp;" of "&amp;CHOOSE($W343,3,3,2,2,3))&amp;" | Total Day "&amp;MAX(0,NETWORKDAYS($L343,TODAY(),Holidays)-1))</f>
        <v/>
      </c>
      <c r="W343" s="17">
        <f>IF($L343="","",COUNT($L343:$Q343))</f>
        <v/>
      </c>
      <c r="X343" s="18">
        <f>IF($W343="","",INT(INDEX($L343:$Q343,$W343)))</f>
        <v/>
      </c>
      <c r="Y343" s="18">
        <f>IF(OR($W343="",$W343=6),"",WORKDAY($X343,CHOOSE($W343,3,3,2,2,3),Holidays))</f>
        <v/>
      </c>
      <c r="Z343" s="17">
        <f>IF(OR($W343="",$W343=6),"",CHOOSE($W343,"1st Email Follow-up","2nd Email Follow-up","Escalate Local Office","Escalate to CBE","Escalate to Roxanne"))</f>
        <v/>
      </c>
    </row>
    <row r="344" spans="18:26">
      <c r="R344" s="15"/>
      <c r="S344" s="16"/>
      <c r="T344" s="17">
        <f>IF(AND(COUNTA($A344:$K344)=0,$L344=""),"",IF($S344="Paid","PAID",IF($S344="Closed","CLOSED",IF($W344="","",IF($W344=6,"ESCALATED TO ROXANNE",IF(TODAY()&gt;$Y344,"OVERDUE",IF($Y344&lt;=WORKDAY(TODAY(),1,Holidays),"DUE TOMORROW",IF($W344=4,"ESCALATED TO LOCAL OFFICE",IF($W344=5,"ESCALATED TO CBE",IF($X344=TODAY(),"EMAIL SENT","MONITORING"))))))))))</f>
        <v/>
      </c>
      <c r="U344" s="17">
        <f>IF($T344="",IF(AND(COUNTA($A344:$K344)&gt;0,$L344=""),"Awaiting Collection Email time stamp.",""),IF(OR($T344="PAID",$T344="CLOSED"),IF($T344="PAID","Account paid. Action completed.","Account closed. No further action required."),CHOOSE($W344,"Collection Email","1st Email Follow-up","2nd Email Follow-up","Escalation to Local Office","Escalation to CBE","Escalation to Roxanne")&amp;" sent "&amp;TEXT($X344,"dd-mmm")&amp;". "&amp;IF($W344=6,"Final escalation completed.",IF($T344="OVERDUE","Next: "&amp;$Z344&amp;" was due "&amp;TEXT($Y344,"dd-mmm")&amp;" - "&amp;(NETWORKDAYS($Y344,TODAY(),Holidays)-1)&amp;" business day(s) late. Send now.",IF($T344="DUE TOMORROW","Next: "&amp;$Z344&amp;IF($Y344&lt;=TODAY()," is due TODAY ("," is due next business day (")&amp;TEXT($Y344,"dd-mmm")&amp;").","Next: "&amp;$Z344&amp;" due "&amp;TEXT($Y344,"dd-mmm")&amp;" ("&amp;(NETWORKDAYS(TODAY(),$Y344,Holidays)-1)&amp;" business day(s) left).")))))</f>
        <v/>
      </c>
      <c r="V344" s="17">
        <f>IF($W344="","",CHOOSE($W344,"Collection Email","1st Follow-up","2nd Follow-up","Local Office","CBE","Roxanne")&amp;IF($W344=6," - Final"," - Day "&amp;MAX(0,NETWORKDAYS($X344,TODAY(),Holidays)-1)&amp;" of "&amp;CHOOSE($W344,3,3,2,2,3))&amp;" | Total Day "&amp;MAX(0,NETWORKDAYS($L344,TODAY(),Holidays)-1))</f>
        <v/>
      </c>
      <c r="W344" s="17">
        <f>IF($L344="","",COUNT($L344:$Q344))</f>
        <v/>
      </c>
      <c r="X344" s="18">
        <f>IF($W344="","",INT(INDEX($L344:$Q344,$W344)))</f>
        <v/>
      </c>
      <c r="Y344" s="18">
        <f>IF(OR($W344="",$W344=6),"",WORKDAY($X344,CHOOSE($W344,3,3,2,2,3),Holidays))</f>
        <v/>
      </c>
      <c r="Z344" s="17">
        <f>IF(OR($W344="",$W344=6),"",CHOOSE($W344,"1st Email Follow-up","2nd Email Follow-up","Escalate Local Office","Escalate to CBE","Escalate to Roxanne"))</f>
        <v/>
      </c>
    </row>
    <row r="345" spans="18:26">
      <c r="R345" s="15"/>
      <c r="S345" s="16"/>
      <c r="T345" s="17">
        <f>IF(AND(COUNTA($A345:$K345)=0,$L345=""),"",IF($S345="Paid","PAID",IF($S345="Closed","CLOSED",IF($W345="","",IF($W345=6,"ESCALATED TO ROXANNE",IF(TODAY()&gt;$Y345,"OVERDUE",IF($Y345&lt;=WORKDAY(TODAY(),1,Holidays),"DUE TOMORROW",IF($W345=4,"ESCALATED TO LOCAL OFFICE",IF($W345=5,"ESCALATED TO CBE",IF($X345=TODAY(),"EMAIL SENT","MONITORING"))))))))))</f>
        <v/>
      </c>
      <c r="U345" s="17">
        <f>IF($T345="",IF(AND(COUNTA($A345:$K345)&gt;0,$L345=""),"Awaiting Collection Email time stamp.",""),IF(OR($T345="PAID",$T345="CLOSED"),IF($T345="PAID","Account paid. Action completed.","Account closed. No further action required."),CHOOSE($W345,"Collection Email","1st Email Follow-up","2nd Email Follow-up","Escalation to Local Office","Escalation to CBE","Escalation to Roxanne")&amp;" sent "&amp;TEXT($X345,"dd-mmm")&amp;". "&amp;IF($W345=6,"Final escalation completed.",IF($T345="OVERDUE","Next: "&amp;$Z345&amp;" was due "&amp;TEXT($Y345,"dd-mmm")&amp;" - "&amp;(NETWORKDAYS($Y345,TODAY(),Holidays)-1)&amp;" business day(s) late. Send now.",IF($T345="DUE TOMORROW","Next: "&amp;$Z345&amp;IF($Y345&lt;=TODAY()," is due TODAY ("," is due next business day (")&amp;TEXT($Y345,"dd-mmm")&amp;").","Next: "&amp;$Z345&amp;" due "&amp;TEXT($Y345,"dd-mmm")&amp;" ("&amp;(NETWORKDAYS(TODAY(),$Y345,Holidays)-1)&amp;" business day(s) left).")))))</f>
        <v/>
      </c>
      <c r="V345" s="17">
        <f>IF($W345="","",CHOOSE($W345,"Collection Email","1st Follow-up","2nd Follow-up","Local Office","CBE","Roxanne")&amp;IF($W345=6," - Final"," - Day "&amp;MAX(0,NETWORKDAYS($X345,TODAY(),Holidays)-1)&amp;" of "&amp;CHOOSE($W345,3,3,2,2,3))&amp;" | Total Day "&amp;MAX(0,NETWORKDAYS($L345,TODAY(),Holidays)-1))</f>
        <v/>
      </c>
      <c r="W345" s="17">
        <f>IF($L345="","",COUNT($L345:$Q345))</f>
        <v/>
      </c>
      <c r="X345" s="18">
        <f>IF($W345="","",INT(INDEX($L345:$Q345,$W345)))</f>
        <v/>
      </c>
      <c r="Y345" s="18">
        <f>IF(OR($W345="",$W345=6),"",WORKDAY($X345,CHOOSE($W345,3,3,2,2,3),Holidays))</f>
        <v/>
      </c>
      <c r="Z345" s="17">
        <f>IF(OR($W345="",$W345=6),"",CHOOSE($W345,"1st Email Follow-up","2nd Email Follow-up","Escalate Local Office","Escalate to CBE","Escalate to Roxanne"))</f>
        <v/>
      </c>
    </row>
    <row r="346" spans="18:26">
      <c r="R346" s="15"/>
      <c r="S346" s="16"/>
      <c r="T346" s="17">
        <f>IF(AND(COUNTA($A346:$K346)=0,$L346=""),"",IF($S346="Paid","PAID",IF($S346="Closed","CLOSED",IF($W346="","",IF($W346=6,"ESCALATED TO ROXANNE",IF(TODAY()&gt;$Y346,"OVERDUE",IF($Y346&lt;=WORKDAY(TODAY(),1,Holidays),"DUE TOMORROW",IF($W346=4,"ESCALATED TO LOCAL OFFICE",IF($W346=5,"ESCALATED TO CBE",IF($X346=TODAY(),"EMAIL SENT","MONITORING"))))))))))</f>
        <v/>
      </c>
      <c r="U346" s="17">
        <f>IF($T346="",IF(AND(COUNTA($A346:$K346)&gt;0,$L346=""),"Awaiting Collection Email time stamp.",""),IF(OR($T346="PAID",$T346="CLOSED"),IF($T346="PAID","Account paid. Action completed.","Account closed. No further action required."),CHOOSE($W346,"Collection Email","1st Email Follow-up","2nd Email Follow-up","Escalation to Local Office","Escalation to CBE","Escalation to Roxanne")&amp;" sent "&amp;TEXT($X346,"dd-mmm")&amp;". "&amp;IF($W346=6,"Final escalation completed.",IF($T346="OVERDUE","Next: "&amp;$Z346&amp;" was due "&amp;TEXT($Y346,"dd-mmm")&amp;" - "&amp;(NETWORKDAYS($Y346,TODAY(),Holidays)-1)&amp;" business day(s) late. Send now.",IF($T346="DUE TOMORROW","Next: "&amp;$Z346&amp;IF($Y346&lt;=TODAY()," is due TODAY ("," is due next business day (")&amp;TEXT($Y346,"dd-mmm")&amp;").","Next: "&amp;$Z346&amp;" due "&amp;TEXT($Y346,"dd-mmm")&amp;" ("&amp;(NETWORKDAYS(TODAY(),$Y346,Holidays)-1)&amp;" business day(s) left).")))))</f>
        <v/>
      </c>
      <c r="V346" s="17">
        <f>IF($W346="","",CHOOSE($W346,"Collection Email","1st Follow-up","2nd Follow-up","Local Office","CBE","Roxanne")&amp;IF($W346=6," - Final"," - Day "&amp;MAX(0,NETWORKDAYS($X346,TODAY(),Holidays)-1)&amp;" of "&amp;CHOOSE($W346,3,3,2,2,3))&amp;" | Total Day "&amp;MAX(0,NETWORKDAYS($L346,TODAY(),Holidays)-1))</f>
        <v/>
      </c>
      <c r="W346" s="17">
        <f>IF($L346="","",COUNT($L346:$Q346))</f>
        <v/>
      </c>
      <c r="X346" s="18">
        <f>IF($W346="","",INT(INDEX($L346:$Q346,$W346)))</f>
        <v/>
      </c>
      <c r="Y346" s="18">
        <f>IF(OR($W346="",$W346=6),"",WORKDAY($X346,CHOOSE($W346,3,3,2,2,3),Holidays))</f>
        <v/>
      </c>
      <c r="Z346" s="17">
        <f>IF(OR($W346="",$W346=6),"",CHOOSE($W346,"1st Email Follow-up","2nd Email Follow-up","Escalate Local Office","Escalate to CBE","Escalate to Roxanne"))</f>
        <v/>
      </c>
    </row>
    <row r="347" spans="18:26">
      <c r="R347" s="15"/>
      <c r="S347" s="16"/>
      <c r="T347" s="17">
        <f>IF(AND(COUNTA($A347:$K347)=0,$L347=""),"",IF($S347="Paid","PAID",IF($S347="Closed","CLOSED",IF($W347="","",IF($W347=6,"ESCALATED TO ROXANNE",IF(TODAY()&gt;$Y347,"OVERDUE",IF($Y347&lt;=WORKDAY(TODAY(),1,Holidays),"DUE TOMORROW",IF($W347=4,"ESCALATED TO LOCAL OFFICE",IF($W347=5,"ESCALATED TO CBE",IF($X347=TODAY(),"EMAIL SENT","MONITORING"))))))))))</f>
        <v/>
      </c>
      <c r="U347" s="17">
        <f>IF($T347="",IF(AND(COUNTA($A347:$K347)&gt;0,$L347=""),"Awaiting Collection Email time stamp.",""),IF(OR($T347="PAID",$T347="CLOSED"),IF($T347="PAID","Account paid. Action completed.","Account closed. No further action required."),CHOOSE($W347,"Collection Email","1st Email Follow-up","2nd Email Follow-up","Escalation to Local Office","Escalation to CBE","Escalation to Roxanne")&amp;" sent "&amp;TEXT($X347,"dd-mmm")&amp;". "&amp;IF($W347=6,"Final escalation completed.",IF($T347="OVERDUE","Next: "&amp;$Z347&amp;" was due "&amp;TEXT($Y347,"dd-mmm")&amp;" - "&amp;(NETWORKDAYS($Y347,TODAY(),Holidays)-1)&amp;" business day(s) late. Send now.",IF($T347="DUE TOMORROW","Next: "&amp;$Z347&amp;IF($Y347&lt;=TODAY()," is due TODAY ("," is due next business day (")&amp;TEXT($Y347,"dd-mmm")&amp;").","Next: "&amp;$Z347&amp;" due "&amp;TEXT($Y347,"dd-mmm")&amp;" ("&amp;(NETWORKDAYS(TODAY(),$Y347,Holidays)-1)&amp;" business day(s) left).")))))</f>
        <v/>
      </c>
      <c r="V347" s="17">
        <f>IF($W347="","",CHOOSE($W347,"Collection Email","1st Follow-up","2nd Follow-up","Local Office","CBE","Roxanne")&amp;IF($W347=6," - Final"," - Day "&amp;MAX(0,NETWORKDAYS($X347,TODAY(),Holidays)-1)&amp;" of "&amp;CHOOSE($W347,3,3,2,2,3))&amp;" | Total Day "&amp;MAX(0,NETWORKDAYS($L347,TODAY(),Holidays)-1))</f>
        <v/>
      </c>
      <c r="W347" s="17">
        <f>IF($L347="","",COUNT($L347:$Q347))</f>
        <v/>
      </c>
      <c r="X347" s="18">
        <f>IF($W347="","",INT(INDEX($L347:$Q347,$W347)))</f>
        <v/>
      </c>
      <c r="Y347" s="18">
        <f>IF(OR($W347="",$W347=6),"",WORKDAY($X347,CHOOSE($W347,3,3,2,2,3),Holidays))</f>
        <v/>
      </c>
      <c r="Z347" s="17">
        <f>IF(OR($W347="",$W347=6),"",CHOOSE($W347,"1st Email Follow-up","2nd Email Follow-up","Escalate Local Office","Escalate to CBE","Escalate to Roxanne"))</f>
        <v/>
      </c>
    </row>
    <row r="348" spans="18:26">
      <c r="R348" s="15"/>
      <c r="S348" s="16"/>
      <c r="T348" s="17">
        <f>IF(AND(COUNTA($A348:$K348)=0,$L348=""),"",IF($S348="Paid","PAID",IF($S348="Closed","CLOSED",IF($W348="","",IF($W348=6,"ESCALATED TO ROXANNE",IF(TODAY()&gt;$Y348,"OVERDUE",IF($Y348&lt;=WORKDAY(TODAY(),1,Holidays),"DUE TOMORROW",IF($W348=4,"ESCALATED TO LOCAL OFFICE",IF($W348=5,"ESCALATED TO CBE",IF($X348=TODAY(),"EMAIL SENT","MONITORING"))))))))))</f>
        <v/>
      </c>
      <c r="U348" s="17">
        <f>IF($T348="",IF(AND(COUNTA($A348:$K348)&gt;0,$L348=""),"Awaiting Collection Email time stamp.",""),IF(OR($T348="PAID",$T348="CLOSED"),IF($T348="PAID","Account paid. Action completed.","Account closed. No further action required."),CHOOSE($W348,"Collection Email","1st Email Follow-up","2nd Email Follow-up","Escalation to Local Office","Escalation to CBE","Escalation to Roxanne")&amp;" sent "&amp;TEXT($X348,"dd-mmm")&amp;". "&amp;IF($W348=6,"Final escalation completed.",IF($T348="OVERDUE","Next: "&amp;$Z348&amp;" was due "&amp;TEXT($Y348,"dd-mmm")&amp;" - "&amp;(NETWORKDAYS($Y348,TODAY(),Holidays)-1)&amp;" business day(s) late. Send now.",IF($T348="DUE TOMORROW","Next: "&amp;$Z348&amp;IF($Y348&lt;=TODAY()," is due TODAY ("," is due next business day (")&amp;TEXT($Y348,"dd-mmm")&amp;").","Next: "&amp;$Z348&amp;" due "&amp;TEXT($Y348,"dd-mmm")&amp;" ("&amp;(NETWORKDAYS(TODAY(),$Y348,Holidays)-1)&amp;" business day(s) left).")))))</f>
        <v/>
      </c>
      <c r="V348" s="17">
        <f>IF($W348="","",CHOOSE($W348,"Collection Email","1st Follow-up","2nd Follow-up","Local Office","CBE","Roxanne")&amp;IF($W348=6," - Final"," - Day "&amp;MAX(0,NETWORKDAYS($X348,TODAY(),Holidays)-1)&amp;" of "&amp;CHOOSE($W348,3,3,2,2,3))&amp;" | Total Day "&amp;MAX(0,NETWORKDAYS($L348,TODAY(),Holidays)-1))</f>
        <v/>
      </c>
      <c r="W348" s="17">
        <f>IF($L348="","",COUNT($L348:$Q348))</f>
        <v/>
      </c>
      <c r="X348" s="18">
        <f>IF($W348="","",INT(INDEX($L348:$Q348,$W348)))</f>
        <v/>
      </c>
      <c r="Y348" s="18">
        <f>IF(OR($W348="",$W348=6),"",WORKDAY($X348,CHOOSE($W348,3,3,2,2,3),Holidays))</f>
        <v/>
      </c>
      <c r="Z348" s="17">
        <f>IF(OR($W348="",$W348=6),"",CHOOSE($W348,"1st Email Follow-up","2nd Email Follow-up","Escalate Local Office","Escalate to CBE","Escalate to Roxanne"))</f>
        <v/>
      </c>
    </row>
    <row r="349" spans="18:26">
      <c r="R349" s="15"/>
      <c r="S349" s="16"/>
      <c r="T349" s="17">
        <f>IF(AND(COUNTA($A349:$K349)=0,$L349=""),"",IF($S349="Paid","PAID",IF($S349="Closed","CLOSED",IF($W349="","",IF($W349=6,"ESCALATED TO ROXANNE",IF(TODAY()&gt;$Y349,"OVERDUE",IF($Y349&lt;=WORKDAY(TODAY(),1,Holidays),"DUE TOMORROW",IF($W349=4,"ESCALATED TO LOCAL OFFICE",IF($W349=5,"ESCALATED TO CBE",IF($X349=TODAY(),"EMAIL SENT","MONITORING"))))))))))</f>
        <v/>
      </c>
      <c r="U349" s="17">
        <f>IF($T349="",IF(AND(COUNTA($A349:$K349)&gt;0,$L349=""),"Awaiting Collection Email time stamp.",""),IF(OR($T349="PAID",$T349="CLOSED"),IF($T349="PAID","Account paid. Action completed.","Account closed. No further action required."),CHOOSE($W349,"Collection Email","1st Email Follow-up","2nd Email Follow-up","Escalation to Local Office","Escalation to CBE","Escalation to Roxanne")&amp;" sent "&amp;TEXT($X349,"dd-mmm")&amp;". "&amp;IF($W349=6,"Final escalation completed.",IF($T349="OVERDUE","Next: "&amp;$Z349&amp;" was due "&amp;TEXT($Y349,"dd-mmm")&amp;" - "&amp;(NETWORKDAYS($Y349,TODAY(),Holidays)-1)&amp;" business day(s) late. Send now.",IF($T349="DUE TOMORROW","Next: "&amp;$Z349&amp;IF($Y349&lt;=TODAY()," is due TODAY ("," is due next business day (")&amp;TEXT($Y349,"dd-mmm")&amp;").","Next: "&amp;$Z349&amp;" due "&amp;TEXT($Y349,"dd-mmm")&amp;" ("&amp;(NETWORKDAYS(TODAY(),$Y349,Holidays)-1)&amp;" business day(s) left).")))))</f>
        <v/>
      </c>
      <c r="V349" s="17">
        <f>IF($W349="","",CHOOSE($W349,"Collection Email","1st Follow-up","2nd Follow-up","Local Office","CBE","Roxanne")&amp;IF($W349=6," - Final"," - Day "&amp;MAX(0,NETWORKDAYS($X349,TODAY(),Holidays)-1)&amp;" of "&amp;CHOOSE($W349,3,3,2,2,3))&amp;" | Total Day "&amp;MAX(0,NETWORKDAYS($L349,TODAY(),Holidays)-1))</f>
        <v/>
      </c>
      <c r="W349" s="17">
        <f>IF($L349="","",COUNT($L349:$Q349))</f>
        <v/>
      </c>
      <c r="X349" s="18">
        <f>IF($W349="","",INT(INDEX($L349:$Q349,$W349)))</f>
        <v/>
      </c>
      <c r="Y349" s="18">
        <f>IF(OR($W349="",$W349=6),"",WORKDAY($X349,CHOOSE($W349,3,3,2,2,3),Holidays))</f>
        <v/>
      </c>
      <c r="Z349" s="17">
        <f>IF(OR($W349="",$W349=6),"",CHOOSE($W349,"1st Email Follow-up","2nd Email Follow-up","Escalate Local Office","Escalate to CBE","Escalate to Roxanne"))</f>
        <v/>
      </c>
    </row>
    <row r="350" spans="18:26">
      <c r="R350" s="15"/>
      <c r="S350" s="16"/>
      <c r="T350" s="17">
        <f>IF(AND(COUNTA($A350:$K350)=0,$L350=""),"",IF($S350="Paid","PAID",IF($S350="Closed","CLOSED",IF($W350="","",IF($W350=6,"ESCALATED TO ROXANNE",IF(TODAY()&gt;$Y350,"OVERDUE",IF($Y350&lt;=WORKDAY(TODAY(),1,Holidays),"DUE TOMORROW",IF($W350=4,"ESCALATED TO LOCAL OFFICE",IF($W350=5,"ESCALATED TO CBE",IF($X350=TODAY(),"EMAIL SENT","MONITORING"))))))))))</f>
        <v/>
      </c>
      <c r="U350" s="17">
        <f>IF($T350="",IF(AND(COUNTA($A350:$K350)&gt;0,$L350=""),"Awaiting Collection Email time stamp.",""),IF(OR($T350="PAID",$T350="CLOSED"),IF($T350="PAID","Account paid. Action completed.","Account closed. No further action required."),CHOOSE($W350,"Collection Email","1st Email Follow-up","2nd Email Follow-up","Escalation to Local Office","Escalation to CBE","Escalation to Roxanne")&amp;" sent "&amp;TEXT($X350,"dd-mmm")&amp;". "&amp;IF($W350=6,"Final escalation completed.",IF($T350="OVERDUE","Next: "&amp;$Z350&amp;" was due "&amp;TEXT($Y350,"dd-mmm")&amp;" - "&amp;(NETWORKDAYS($Y350,TODAY(),Holidays)-1)&amp;" business day(s) late. Send now.",IF($T350="DUE TOMORROW","Next: "&amp;$Z350&amp;IF($Y350&lt;=TODAY()," is due TODAY ("," is due next business day (")&amp;TEXT($Y350,"dd-mmm")&amp;").","Next: "&amp;$Z350&amp;" due "&amp;TEXT($Y350,"dd-mmm")&amp;" ("&amp;(NETWORKDAYS(TODAY(),$Y350,Holidays)-1)&amp;" business day(s) left).")))))</f>
        <v/>
      </c>
      <c r="V350" s="17">
        <f>IF($W350="","",CHOOSE($W350,"Collection Email","1st Follow-up","2nd Follow-up","Local Office","CBE","Roxanne")&amp;IF($W350=6," - Final"," - Day "&amp;MAX(0,NETWORKDAYS($X350,TODAY(),Holidays)-1)&amp;" of "&amp;CHOOSE($W350,3,3,2,2,3))&amp;" | Total Day "&amp;MAX(0,NETWORKDAYS($L350,TODAY(),Holidays)-1))</f>
        <v/>
      </c>
      <c r="W350" s="17">
        <f>IF($L350="","",COUNT($L350:$Q350))</f>
        <v/>
      </c>
      <c r="X350" s="18">
        <f>IF($W350="","",INT(INDEX($L350:$Q350,$W350)))</f>
        <v/>
      </c>
      <c r="Y350" s="18">
        <f>IF(OR($W350="",$W350=6),"",WORKDAY($X350,CHOOSE($W350,3,3,2,2,3),Holidays))</f>
        <v/>
      </c>
      <c r="Z350" s="17">
        <f>IF(OR($W350="",$W350=6),"",CHOOSE($W350,"1st Email Follow-up","2nd Email Follow-up","Escalate Local Office","Escalate to CBE","Escalate to Roxanne"))</f>
        <v/>
      </c>
    </row>
    <row r="351" spans="18:26">
      <c r="R351" s="15"/>
      <c r="S351" s="16"/>
      <c r="T351" s="17">
        <f>IF(AND(COUNTA($A351:$K351)=0,$L351=""),"",IF($S351="Paid","PAID",IF($S351="Closed","CLOSED",IF($W351="","",IF($W351=6,"ESCALATED TO ROXANNE",IF(TODAY()&gt;$Y351,"OVERDUE",IF($Y351&lt;=WORKDAY(TODAY(),1,Holidays),"DUE TOMORROW",IF($W351=4,"ESCALATED TO LOCAL OFFICE",IF($W351=5,"ESCALATED TO CBE",IF($X351=TODAY(),"EMAIL SENT","MONITORING"))))))))))</f>
        <v/>
      </c>
      <c r="U351" s="17">
        <f>IF($T351="",IF(AND(COUNTA($A351:$K351)&gt;0,$L351=""),"Awaiting Collection Email time stamp.",""),IF(OR($T351="PAID",$T351="CLOSED"),IF($T351="PAID","Account paid. Action completed.","Account closed. No further action required."),CHOOSE($W351,"Collection Email","1st Email Follow-up","2nd Email Follow-up","Escalation to Local Office","Escalation to CBE","Escalation to Roxanne")&amp;" sent "&amp;TEXT($X351,"dd-mmm")&amp;". "&amp;IF($W351=6,"Final escalation completed.",IF($T351="OVERDUE","Next: "&amp;$Z351&amp;" was due "&amp;TEXT($Y351,"dd-mmm")&amp;" - "&amp;(NETWORKDAYS($Y351,TODAY(),Holidays)-1)&amp;" business day(s) late. Send now.",IF($T351="DUE TOMORROW","Next: "&amp;$Z351&amp;IF($Y351&lt;=TODAY()," is due TODAY ("," is due next business day (")&amp;TEXT($Y351,"dd-mmm")&amp;").","Next: "&amp;$Z351&amp;" due "&amp;TEXT($Y351,"dd-mmm")&amp;" ("&amp;(NETWORKDAYS(TODAY(),$Y351,Holidays)-1)&amp;" business day(s) left).")))))</f>
        <v/>
      </c>
      <c r="V351" s="17">
        <f>IF($W351="","",CHOOSE($W351,"Collection Email","1st Follow-up","2nd Follow-up","Local Office","CBE","Roxanne")&amp;IF($W351=6," - Final"," - Day "&amp;MAX(0,NETWORKDAYS($X351,TODAY(),Holidays)-1)&amp;" of "&amp;CHOOSE($W351,3,3,2,2,3))&amp;" | Total Day "&amp;MAX(0,NETWORKDAYS($L351,TODAY(),Holidays)-1))</f>
        <v/>
      </c>
      <c r="W351" s="17">
        <f>IF($L351="","",COUNT($L351:$Q351))</f>
        <v/>
      </c>
      <c r="X351" s="18">
        <f>IF($W351="","",INT(INDEX($L351:$Q351,$W351)))</f>
        <v/>
      </c>
      <c r="Y351" s="18">
        <f>IF(OR($W351="",$W351=6),"",WORKDAY($X351,CHOOSE($W351,3,3,2,2,3),Holidays))</f>
        <v/>
      </c>
      <c r="Z351" s="17">
        <f>IF(OR($W351="",$W351=6),"",CHOOSE($W351,"1st Email Follow-up","2nd Email Follow-up","Escalate Local Office","Escalate to CBE","Escalate to Roxanne"))</f>
        <v/>
      </c>
    </row>
    <row r="352" spans="18:26">
      <c r="R352" s="15"/>
      <c r="S352" s="16"/>
      <c r="T352" s="17">
        <f>IF(AND(COUNTA($A352:$K352)=0,$L352=""),"",IF($S352="Paid","PAID",IF($S352="Closed","CLOSED",IF($W352="","",IF($W352=6,"ESCALATED TO ROXANNE",IF(TODAY()&gt;$Y352,"OVERDUE",IF($Y352&lt;=WORKDAY(TODAY(),1,Holidays),"DUE TOMORROW",IF($W352=4,"ESCALATED TO LOCAL OFFICE",IF($W352=5,"ESCALATED TO CBE",IF($X352=TODAY(),"EMAIL SENT","MONITORING"))))))))))</f>
        <v/>
      </c>
      <c r="U352" s="17">
        <f>IF($T352="",IF(AND(COUNTA($A352:$K352)&gt;0,$L352=""),"Awaiting Collection Email time stamp.",""),IF(OR($T352="PAID",$T352="CLOSED"),IF($T352="PAID","Account paid. Action completed.","Account closed. No further action required."),CHOOSE($W352,"Collection Email","1st Email Follow-up","2nd Email Follow-up","Escalation to Local Office","Escalation to CBE","Escalation to Roxanne")&amp;" sent "&amp;TEXT($X352,"dd-mmm")&amp;". "&amp;IF($W352=6,"Final escalation completed.",IF($T352="OVERDUE","Next: "&amp;$Z352&amp;" was due "&amp;TEXT($Y352,"dd-mmm")&amp;" - "&amp;(NETWORKDAYS($Y352,TODAY(),Holidays)-1)&amp;" business day(s) late. Send now.",IF($T352="DUE TOMORROW","Next: "&amp;$Z352&amp;IF($Y352&lt;=TODAY()," is due TODAY ("," is due next business day (")&amp;TEXT($Y352,"dd-mmm")&amp;").","Next: "&amp;$Z352&amp;" due "&amp;TEXT($Y352,"dd-mmm")&amp;" ("&amp;(NETWORKDAYS(TODAY(),$Y352,Holidays)-1)&amp;" business day(s) left).")))))</f>
        <v/>
      </c>
      <c r="V352" s="17">
        <f>IF($W352="","",CHOOSE($W352,"Collection Email","1st Follow-up","2nd Follow-up","Local Office","CBE","Roxanne")&amp;IF($W352=6," - Final"," - Day "&amp;MAX(0,NETWORKDAYS($X352,TODAY(),Holidays)-1)&amp;" of "&amp;CHOOSE($W352,3,3,2,2,3))&amp;" | Total Day "&amp;MAX(0,NETWORKDAYS($L352,TODAY(),Holidays)-1))</f>
        <v/>
      </c>
      <c r="W352" s="17">
        <f>IF($L352="","",COUNT($L352:$Q352))</f>
        <v/>
      </c>
      <c r="X352" s="18">
        <f>IF($W352="","",INT(INDEX($L352:$Q352,$W352)))</f>
        <v/>
      </c>
      <c r="Y352" s="18">
        <f>IF(OR($W352="",$W352=6),"",WORKDAY($X352,CHOOSE($W352,3,3,2,2,3),Holidays))</f>
        <v/>
      </c>
      <c r="Z352" s="17">
        <f>IF(OR($W352="",$W352=6),"",CHOOSE($W352,"1st Email Follow-up","2nd Email Follow-up","Escalate Local Office","Escalate to CBE","Escalate to Roxanne"))</f>
        <v/>
      </c>
    </row>
    <row r="353" spans="18:26">
      <c r="R353" s="15"/>
      <c r="S353" s="16"/>
      <c r="T353" s="17">
        <f>IF(AND(COUNTA($A353:$K353)=0,$L353=""),"",IF($S353="Paid","PAID",IF($S353="Closed","CLOSED",IF($W353="","",IF($W353=6,"ESCALATED TO ROXANNE",IF(TODAY()&gt;$Y353,"OVERDUE",IF($Y353&lt;=WORKDAY(TODAY(),1,Holidays),"DUE TOMORROW",IF($W353=4,"ESCALATED TO LOCAL OFFICE",IF($W353=5,"ESCALATED TO CBE",IF($X353=TODAY(),"EMAIL SENT","MONITORING"))))))))))</f>
        <v/>
      </c>
      <c r="U353" s="17">
        <f>IF($T353="",IF(AND(COUNTA($A353:$K353)&gt;0,$L353=""),"Awaiting Collection Email time stamp.",""),IF(OR($T353="PAID",$T353="CLOSED"),IF($T353="PAID","Account paid. Action completed.","Account closed. No further action required."),CHOOSE($W353,"Collection Email","1st Email Follow-up","2nd Email Follow-up","Escalation to Local Office","Escalation to CBE","Escalation to Roxanne")&amp;" sent "&amp;TEXT($X353,"dd-mmm")&amp;". "&amp;IF($W353=6,"Final escalation completed.",IF($T353="OVERDUE","Next: "&amp;$Z353&amp;" was due "&amp;TEXT($Y353,"dd-mmm")&amp;" - "&amp;(NETWORKDAYS($Y353,TODAY(),Holidays)-1)&amp;" business day(s) late. Send now.",IF($T353="DUE TOMORROW","Next: "&amp;$Z353&amp;IF($Y353&lt;=TODAY()," is due TODAY ("," is due next business day (")&amp;TEXT($Y353,"dd-mmm")&amp;").","Next: "&amp;$Z353&amp;" due "&amp;TEXT($Y353,"dd-mmm")&amp;" ("&amp;(NETWORKDAYS(TODAY(),$Y353,Holidays)-1)&amp;" business day(s) left).")))))</f>
        <v/>
      </c>
      <c r="V353" s="17">
        <f>IF($W353="","",CHOOSE($W353,"Collection Email","1st Follow-up","2nd Follow-up","Local Office","CBE","Roxanne")&amp;IF($W353=6," - Final"," - Day "&amp;MAX(0,NETWORKDAYS($X353,TODAY(),Holidays)-1)&amp;" of "&amp;CHOOSE($W353,3,3,2,2,3))&amp;" | Total Day "&amp;MAX(0,NETWORKDAYS($L353,TODAY(),Holidays)-1))</f>
        <v/>
      </c>
      <c r="W353" s="17">
        <f>IF($L353="","",COUNT($L353:$Q353))</f>
        <v/>
      </c>
      <c r="X353" s="18">
        <f>IF($W353="","",INT(INDEX($L353:$Q353,$W353)))</f>
        <v/>
      </c>
      <c r="Y353" s="18">
        <f>IF(OR($W353="",$W353=6),"",WORKDAY($X353,CHOOSE($W353,3,3,2,2,3),Holidays))</f>
        <v/>
      </c>
      <c r="Z353" s="17">
        <f>IF(OR($W353="",$W353=6),"",CHOOSE($W353,"1st Email Follow-up","2nd Email Follow-up","Escalate Local Office","Escalate to CBE","Escalate to Roxanne"))</f>
        <v/>
      </c>
    </row>
    <row r="354" spans="18:26">
      <c r="R354" s="15"/>
      <c r="S354" s="16"/>
      <c r="T354" s="17">
        <f>IF(AND(COUNTA($A354:$K354)=0,$L354=""),"",IF($S354="Paid","PAID",IF($S354="Closed","CLOSED",IF($W354="","",IF($W354=6,"ESCALATED TO ROXANNE",IF(TODAY()&gt;$Y354,"OVERDUE",IF($Y354&lt;=WORKDAY(TODAY(),1,Holidays),"DUE TOMORROW",IF($W354=4,"ESCALATED TO LOCAL OFFICE",IF($W354=5,"ESCALATED TO CBE",IF($X354=TODAY(),"EMAIL SENT","MONITORING"))))))))))</f>
        <v/>
      </c>
      <c r="U354" s="17">
        <f>IF($T354="",IF(AND(COUNTA($A354:$K354)&gt;0,$L354=""),"Awaiting Collection Email time stamp.",""),IF(OR($T354="PAID",$T354="CLOSED"),IF($T354="PAID","Account paid. Action completed.","Account closed. No further action required."),CHOOSE($W354,"Collection Email","1st Email Follow-up","2nd Email Follow-up","Escalation to Local Office","Escalation to CBE","Escalation to Roxanne")&amp;" sent "&amp;TEXT($X354,"dd-mmm")&amp;". "&amp;IF($W354=6,"Final escalation completed.",IF($T354="OVERDUE","Next: "&amp;$Z354&amp;" was due "&amp;TEXT($Y354,"dd-mmm")&amp;" - "&amp;(NETWORKDAYS($Y354,TODAY(),Holidays)-1)&amp;" business day(s) late. Send now.",IF($T354="DUE TOMORROW","Next: "&amp;$Z354&amp;IF($Y354&lt;=TODAY()," is due TODAY ("," is due next business day (")&amp;TEXT($Y354,"dd-mmm")&amp;").","Next: "&amp;$Z354&amp;" due "&amp;TEXT($Y354,"dd-mmm")&amp;" ("&amp;(NETWORKDAYS(TODAY(),$Y354,Holidays)-1)&amp;" business day(s) left).")))))</f>
        <v/>
      </c>
      <c r="V354" s="17">
        <f>IF($W354="","",CHOOSE($W354,"Collection Email","1st Follow-up","2nd Follow-up","Local Office","CBE","Roxanne")&amp;IF($W354=6," - Final"," - Day "&amp;MAX(0,NETWORKDAYS($X354,TODAY(),Holidays)-1)&amp;" of "&amp;CHOOSE($W354,3,3,2,2,3))&amp;" | Total Day "&amp;MAX(0,NETWORKDAYS($L354,TODAY(),Holidays)-1))</f>
        <v/>
      </c>
      <c r="W354" s="17">
        <f>IF($L354="","",COUNT($L354:$Q354))</f>
        <v/>
      </c>
      <c r="X354" s="18">
        <f>IF($W354="","",INT(INDEX($L354:$Q354,$W354)))</f>
        <v/>
      </c>
      <c r="Y354" s="18">
        <f>IF(OR($W354="",$W354=6),"",WORKDAY($X354,CHOOSE($W354,3,3,2,2,3),Holidays))</f>
        <v/>
      </c>
      <c r="Z354" s="17">
        <f>IF(OR($W354="",$W354=6),"",CHOOSE($W354,"1st Email Follow-up","2nd Email Follow-up","Escalate Local Office","Escalate to CBE","Escalate to Roxanne"))</f>
        <v/>
      </c>
    </row>
    <row r="355" spans="18:26">
      <c r="R355" s="15"/>
      <c r="S355" s="16"/>
      <c r="T355" s="17">
        <f>IF(AND(COUNTA($A355:$K355)=0,$L355=""),"",IF($S355="Paid","PAID",IF($S355="Closed","CLOSED",IF($W355="","",IF($W355=6,"ESCALATED TO ROXANNE",IF(TODAY()&gt;$Y355,"OVERDUE",IF($Y355&lt;=WORKDAY(TODAY(),1,Holidays),"DUE TOMORROW",IF($W355=4,"ESCALATED TO LOCAL OFFICE",IF($W355=5,"ESCALATED TO CBE",IF($X355=TODAY(),"EMAIL SENT","MONITORING"))))))))))</f>
        <v/>
      </c>
      <c r="U355" s="17">
        <f>IF($T355="",IF(AND(COUNTA($A355:$K355)&gt;0,$L355=""),"Awaiting Collection Email time stamp.",""),IF(OR($T355="PAID",$T355="CLOSED"),IF($T355="PAID","Account paid. Action completed.","Account closed. No further action required."),CHOOSE($W355,"Collection Email","1st Email Follow-up","2nd Email Follow-up","Escalation to Local Office","Escalation to CBE","Escalation to Roxanne")&amp;" sent "&amp;TEXT($X355,"dd-mmm")&amp;". "&amp;IF($W355=6,"Final escalation completed.",IF($T355="OVERDUE","Next: "&amp;$Z355&amp;" was due "&amp;TEXT($Y355,"dd-mmm")&amp;" - "&amp;(NETWORKDAYS($Y355,TODAY(),Holidays)-1)&amp;" business day(s) late. Send now.",IF($T355="DUE TOMORROW","Next: "&amp;$Z355&amp;IF($Y355&lt;=TODAY()," is due TODAY ("," is due next business day (")&amp;TEXT($Y355,"dd-mmm")&amp;").","Next: "&amp;$Z355&amp;" due "&amp;TEXT($Y355,"dd-mmm")&amp;" ("&amp;(NETWORKDAYS(TODAY(),$Y355,Holidays)-1)&amp;" business day(s) left).")))))</f>
        <v/>
      </c>
      <c r="V355" s="17">
        <f>IF($W355="","",CHOOSE($W355,"Collection Email","1st Follow-up","2nd Follow-up","Local Office","CBE","Roxanne")&amp;IF($W355=6," - Final"," - Day "&amp;MAX(0,NETWORKDAYS($X355,TODAY(),Holidays)-1)&amp;" of "&amp;CHOOSE($W355,3,3,2,2,3))&amp;" | Total Day "&amp;MAX(0,NETWORKDAYS($L355,TODAY(),Holidays)-1))</f>
        <v/>
      </c>
      <c r="W355" s="17">
        <f>IF($L355="","",COUNT($L355:$Q355))</f>
        <v/>
      </c>
      <c r="X355" s="18">
        <f>IF($W355="","",INT(INDEX($L355:$Q355,$W355)))</f>
        <v/>
      </c>
      <c r="Y355" s="18">
        <f>IF(OR($W355="",$W355=6),"",WORKDAY($X355,CHOOSE($W355,3,3,2,2,3),Holidays))</f>
        <v/>
      </c>
      <c r="Z355" s="17">
        <f>IF(OR($W355="",$W355=6),"",CHOOSE($W355,"1st Email Follow-up","2nd Email Follow-up","Escalate Local Office","Escalate to CBE","Escalate to Roxanne"))</f>
        <v/>
      </c>
    </row>
    <row r="356" spans="18:26">
      <c r="R356" s="15"/>
      <c r="S356" s="16"/>
      <c r="T356" s="17">
        <f>IF(AND(COUNTA($A356:$K356)=0,$L356=""),"",IF($S356="Paid","PAID",IF($S356="Closed","CLOSED",IF($W356="","",IF($W356=6,"ESCALATED TO ROXANNE",IF(TODAY()&gt;$Y356,"OVERDUE",IF($Y356&lt;=WORKDAY(TODAY(),1,Holidays),"DUE TOMORROW",IF($W356=4,"ESCALATED TO LOCAL OFFICE",IF($W356=5,"ESCALATED TO CBE",IF($X356=TODAY(),"EMAIL SENT","MONITORING"))))))))))</f>
        <v/>
      </c>
      <c r="U356" s="17">
        <f>IF($T356="",IF(AND(COUNTA($A356:$K356)&gt;0,$L356=""),"Awaiting Collection Email time stamp.",""),IF(OR($T356="PAID",$T356="CLOSED"),IF($T356="PAID","Account paid. Action completed.","Account closed. No further action required."),CHOOSE($W356,"Collection Email","1st Email Follow-up","2nd Email Follow-up","Escalation to Local Office","Escalation to CBE","Escalation to Roxanne")&amp;" sent "&amp;TEXT($X356,"dd-mmm")&amp;". "&amp;IF($W356=6,"Final escalation completed.",IF($T356="OVERDUE","Next: "&amp;$Z356&amp;" was due "&amp;TEXT($Y356,"dd-mmm")&amp;" - "&amp;(NETWORKDAYS($Y356,TODAY(),Holidays)-1)&amp;" business day(s) late. Send now.",IF($T356="DUE TOMORROW","Next: "&amp;$Z356&amp;IF($Y356&lt;=TODAY()," is due TODAY ("," is due next business day (")&amp;TEXT($Y356,"dd-mmm")&amp;").","Next: "&amp;$Z356&amp;" due "&amp;TEXT($Y356,"dd-mmm")&amp;" ("&amp;(NETWORKDAYS(TODAY(),$Y356,Holidays)-1)&amp;" business day(s) left).")))))</f>
        <v/>
      </c>
      <c r="V356" s="17">
        <f>IF($W356="","",CHOOSE($W356,"Collection Email","1st Follow-up","2nd Follow-up","Local Office","CBE","Roxanne")&amp;IF($W356=6," - Final"," - Day "&amp;MAX(0,NETWORKDAYS($X356,TODAY(),Holidays)-1)&amp;" of "&amp;CHOOSE($W356,3,3,2,2,3))&amp;" | Total Day "&amp;MAX(0,NETWORKDAYS($L356,TODAY(),Holidays)-1))</f>
        <v/>
      </c>
      <c r="W356" s="17">
        <f>IF($L356="","",COUNT($L356:$Q356))</f>
        <v/>
      </c>
      <c r="X356" s="18">
        <f>IF($W356="","",INT(INDEX($L356:$Q356,$W356)))</f>
        <v/>
      </c>
      <c r="Y356" s="18">
        <f>IF(OR($W356="",$W356=6),"",WORKDAY($X356,CHOOSE($W356,3,3,2,2,3),Holidays))</f>
        <v/>
      </c>
      <c r="Z356" s="17">
        <f>IF(OR($W356="",$W356=6),"",CHOOSE($W356,"1st Email Follow-up","2nd Email Follow-up","Escalate Local Office","Escalate to CBE","Escalate to Roxanne"))</f>
        <v/>
      </c>
    </row>
    <row r="357" spans="18:26">
      <c r="R357" s="15"/>
      <c r="S357" s="16"/>
      <c r="T357" s="17">
        <f>IF(AND(COUNTA($A357:$K357)=0,$L357=""),"",IF($S357="Paid","PAID",IF($S357="Closed","CLOSED",IF($W357="","",IF($W357=6,"ESCALATED TO ROXANNE",IF(TODAY()&gt;$Y357,"OVERDUE",IF($Y357&lt;=WORKDAY(TODAY(),1,Holidays),"DUE TOMORROW",IF($W357=4,"ESCALATED TO LOCAL OFFICE",IF($W357=5,"ESCALATED TO CBE",IF($X357=TODAY(),"EMAIL SENT","MONITORING"))))))))))</f>
        <v/>
      </c>
      <c r="U357" s="17">
        <f>IF($T357="",IF(AND(COUNTA($A357:$K357)&gt;0,$L357=""),"Awaiting Collection Email time stamp.",""),IF(OR($T357="PAID",$T357="CLOSED"),IF($T357="PAID","Account paid. Action completed.","Account closed. No further action required."),CHOOSE($W357,"Collection Email","1st Email Follow-up","2nd Email Follow-up","Escalation to Local Office","Escalation to CBE","Escalation to Roxanne")&amp;" sent "&amp;TEXT($X357,"dd-mmm")&amp;". "&amp;IF($W357=6,"Final escalation completed.",IF($T357="OVERDUE","Next: "&amp;$Z357&amp;" was due "&amp;TEXT($Y357,"dd-mmm")&amp;" - "&amp;(NETWORKDAYS($Y357,TODAY(),Holidays)-1)&amp;" business day(s) late. Send now.",IF($T357="DUE TOMORROW","Next: "&amp;$Z357&amp;IF($Y357&lt;=TODAY()," is due TODAY ("," is due next business day (")&amp;TEXT($Y357,"dd-mmm")&amp;").","Next: "&amp;$Z357&amp;" due "&amp;TEXT($Y357,"dd-mmm")&amp;" ("&amp;(NETWORKDAYS(TODAY(),$Y357,Holidays)-1)&amp;" business day(s) left).")))))</f>
        <v/>
      </c>
      <c r="V357" s="17">
        <f>IF($W357="","",CHOOSE($W357,"Collection Email","1st Follow-up","2nd Follow-up","Local Office","CBE","Roxanne")&amp;IF($W357=6," - Final"," - Day "&amp;MAX(0,NETWORKDAYS($X357,TODAY(),Holidays)-1)&amp;" of "&amp;CHOOSE($W357,3,3,2,2,3))&amp;" | Total Day "&amp;MAX(0,NETWORKDAYS($L357,TODAY(),Holidays)-1))</f>
        <v/>
      </c>
      <c r="W357" s="17">
        <f>IF($L357="","",COUNT($L357:$Q357))</f>
        <v/>
      </c>
      <c r="X357" s="18">
        <f>IF($W357="","",INT(INDEX($L357:$Q357,$W357)))</f>
        <v/>
      </c>
      <c r="Y357" s="18">
        <f>IF(OR($W357="",$W357=6),"",WORKDAY($X357,CHOOSE($W357,3,3,2,2,3),Holidays))</f>
        <v/>
      </c>
      <c r="Z357" s="17">
        <f>IF(OR($W357="",$W357=6),"",CHOOSE($W357,"1st Email Follow-up","2nd Email Follow-up","Escalate Local Office","Escalate to CBE","Escalate to Roxanne"))</f>
        <v/>
      </c>
    </row>
    <row r="358" spans="18:26">
      <c r="R358" s="15"/>
      <c r="S358" s="16"/>
      <c r="T358" s="17">
        <f>IF(AND(COUNTA($A358:$K358)=0,$L358=""),"",IF($S358="Paid","PAID",IF($S358="Closed","CLOSED",IF($W358="","",IF($W358=6,"ESCALATED TO ROXANNE",IF(TODAY()&gt;$Y358,"OVERDUE",IF($Y358&lt;=WORKDAY(TODAY(),1,Holidays),"DUE TOMORROW",IF($W358=4,"ESCALATED TO LOCAL OFFICE",IF($W358=5,"ESCALATED TO CBE",IF($X358=TODAY(),"EMAIL SENT","MONITORING"))))))))))</f>
        <v/>
      </c>
      <c r="U358" s="17">
        <f>IF($T358="",IF(AND(COUNTA($A358:$K358)&gt;0,$L358=""),"Awaiting Collection Email time stamp.",""),IF(OR($T358="PAID",$T358="CLOSED"),IF($T358="PAID","Account paid. Action completed.","Account closed. No further action required."),CHOOSE($W358,"Collection Email","1st Email Follow-up","2nd Email Follow-up","Escalation to Local Office","Escalation to CBE","Escalation to Roxanne")&amp;" sent "&amp;TEXT($X358,"dd-mmm")&amp;". "&amp;IF($W358=6,"Final escalation completed.",IF($T358="OVERDUE","Next: "&amp;$Z358&amp;" was due "&amp;TEXT($Y358,"dd-mmm")&amp;" - "&amp;(NETWORKDAYS($Y358,TODAY(),Holidays)-1)&amp;" business day(s) late. Send now.",IF($T358="DUE TOMORROW","Next: "&amp;$Z358&amp;IF($Y358&lt;=TODAY()," is due TODAY ("," is due next business day (")&amp;TEXT($Y358,"dd-mmm")&amp;").","Next: "&amp;$Z358&amp;" due "&amp;TEXT($Y358,"dd-mmm")&amp;" ("&amp;(NETWORKDAYS(TODAY(),$Y358,Holidays)-1)&amp;" business day(s) left).")))))</f>
        <v/>
      </c>
      <c r="V358" s="17">
        <f>IF($W358="","",CHOOSE($W358,"Collection Email","1st Follow-up","2nd Follow-up","Local Office","CBE","Roxanne")&amp;IF($W358=6," - Final"," - Day "&amp;MAX(0,NETWORKDAYS($X358,TODAY(),Holidays)-1)&amp;" of "&amp;CHOOSE($W358,3,3,2,2,3))&amp;" | Total Day "&amp;MAX(0,NETWORKDAYS($L358,TODAY(),Holidays)-1))</f>
        <v/>
      </c>
      <c r="W358" s="17">
        <f>IF($L358="","",COUNT($L358:$Q358))</f>
        <v/>
      </c>
      <c r="X358" s="18">
        <f>IF($W358="","",INT(INDEX($L358:$Q358,$W358)))</f>
        <v/>
      </c>
      <c r="Y358" s="18">
        <f>IF(OR($W358="",$W358=6),"",WORKDAY($X358,CHOOSE($W358,3,3,2,2,3),Holidays))</f>
        <v/>
      </c>
      <c r="Z358" s="17">
        <f>IF(OR($W358="",$W358=6),"",CHOOSE($W358,"1st Email Follow-up","2nd Email Follow-up","Escalate Local Office","Escalate to CBE","Escalate to Roxanne"))</f>
        <v/>
      </c>
    </row>
    <row r="359" spans="18:26">
      <c r="R359" s="15"/>
      <c r="S359" s="16"/>
      <c r="T359" s="17">
        <f>IF(AND(COUNTA($A359:$K359)=0,$L359=""),"",IF($S359="Paid","PAID",IF($S359="Closed","CLOSED",IF($W359="","",IF($W359=6,"ESCALATED TO ROXANNE",IF(TODAY()&gt;$Y359,"OVERDUE",IF($Y359&lt;=WORKDAY(TODAY(),1,Holidays),"DUE TOMORROW",IF($W359=4,"ESCALATED TO LOCAL OFFICE",IF($W359=5,"ESCALATED TO CBE",IF($X359=TODAY(),"EMAIL SENT","MONITORING"))))))))))</f>
        <v/>
      </c>
      <c r="U359" s="17">
        <f>IF($T359="",IF(AND(COUNTA($A359:$K359)&gt;0,$L359=""),"Awaiting Collection Email time stamp.",""),IF(OR($T359="PAID",$T359="CLOSED"),IF($T359="PAID","Account paid. Action completed.","Account closed. No further action required."),CHOOSE($W359,"Collection Email","1st Email Follow-up","2nd Email Follow-up","Escalation to Local Office","Escalation to CBE","Escalation to Roxanne")&amp;" sent "&amp;TEXT($X359,"dd-mmm")&amp;". "&amp;IF($W359=6,"Final escalation completed.",IF($T359="OVERDUE","Next: "&amp;$Z359&amp;" was due "&amp;TEXT($Y359,"dd-mmm")&amp;" - "&amp;(NETWORKDAYS($Y359,TODAY(),Holidays)-1)&amp;" business day(s) late. Send now.",IF($T359="DUE TOMORROW","Next: "&amp;$Z359&amp;IF($Y359&lt;=TODAY()," is due TODAY ("," is due next business day (")&amp;TEXT($Y359,"dd-mmm")&amp;").","Next: "&amp;$Z359&amp;" due "&amp;TEXT($Y359,"dd-mmm")&amp;" ("&amp;(NETWORKDAYS(TODAY(),$Y359,Holidays)-1)&amp;" business day(s) left).")))))</f>
        <v/>
      </c>
      <c r="V359" s="17">
        <f>IF($W359="","",CHOOSE($W359,"Collection Email","1st Follow-up","2nd Follow-up","Local Office","CBE","Roxanne")&amp;IF($W359=6," - Final"," - Day "&amp;MAX(0,NETWORKDAYS($X359,TODAY(),Holidays)-1)&amp;" of "&amp;CHOOSE($W359,3,3,2,2,3))&amp;" | Total Day "&amp;MAX(0,NETWORKDAYS($L359,TODAY(),Holidays)-1))</f>
        <v/>
      </c>
      <c r="W359" s="17">
        <f>IF($L359="","",COUNT($L359:$Q359))</f>
        <v/>
      </c>
      <c r="X359" s="18">
        <f>IF($W359="","",INT(INDEX($L359:$Q359,$W359)))</f>
        <v/>
      </c>
      <c r="Y359" s="18">
        <f>IF(OR($W359="",$W359=6),"",WORKDAY($X359,CHOOSE($W359,3,3,2,2,3),Holidays))</f>
        <v/>
      </c>
      <c r="Z359" s="17">
        <f>IF(OR($W359="",$W359=6),"",CHOOSE($W359,"1st Email Follow-up","2nd Email Follow-up","Escalate Local Office","Escalate to CBE","Escalate to Roxanne"))</f>
        <v/>
      </c>
    </row>
    <row r="360" spans="18:26">
      <c r="R360" s="15"/>
      <c r="S360" s="16"/>
      <c r="T360" s="17">
        <f>IF(AND(COUNTA($A360:$K360)=0,$L360=""),"",IF($S360="Paid","PAID",IF($S360="Closed","CLOSED",IF($W360="","",IF($W360=6,"ESCALATED TO ROXANNE",IF(TODAY()&gt;$Y360,"OVERDUE",IF($Y360&lt;=WORKDAY(TODAY(),1,Holidays),"DUE TOMORROW",IF($W360=4,"ESCALATED TO LOCAL OFFICE",IF($W360=5,"ESCALATED TO CBE",IF($X360=TODAY(),"EMAIL SENT","MONITORING"))))))))))</f>
        <v/>
      </c>
      <c r="U360" s="17">
        <f>IF($T360="",IF(AND(COUNTA($A360:$K360)&gt;0,$L360=""),"Awaiting Collection Email time stamp.",""),IF(OR($T360="PAID",$T360="CLOSED"),IF($T360="PAID","Account paid. Action completed.","Account closed. No further action required."),CHOOSE($W360,"Collection Email","1st Email Follow-up","2nd Email Follow-up","Escalation to Local Office","Escalation to CBE","Escalation to Roxanne")&amp;" sent "&amp;TEXT($X360,"dd-mmm")&amp;". "&amp;IF($W360=6,"Final escalation completed.",IF($T360="OVERDUE","Next: "&amp;$Z360&amp;" was due "&amp;TEXT($Y360,"dd-mmm")&amp;" - "&amp;(NETWORKDAYS($Y360,TODAY(),Holidays)-1)&amp;" business day(s) late. Send now.",IF($T360="DUE TOMORROW","Next: "&amp;$Z360&amp;IF($Y360&lt;=TODAY()," is due TODAY ("," is due next business day (")&amp;TEXT($Y360,"dd-mmm")&amp;").","Next: "&amp;$Z360&amp;" due "&amp;TEXT($Y360,"dd-mmm")&amp;" ("&amp;(NETWORKDAYS(TODAY(),$Y360,Holidays)-1)&amp;" business day(s) left).")))))</f>
        <v/>
      </c>
      <c r="V360" s="17">
        <f>IF($W360="","",CHOOSE($W360,"Collection Email","1st Follow-up","2nd Follow-up","Local Office","CBE","Roxanne")&amp;IF($W360=6," - Final"," - Day "&amp;MAX(0,NETWORKDAYS($X360,TODAY(),Holidays)-1)&amp;" of "&amp;CHOOSE($W360,3,3,2,2,3))&amp;" | Total Day "&amp;MAX(0,NETWORKDAYS($L360,TODAY(),Holidays)-1))</f>
        <v/>
      </c>
      <c r="W360" s="17">
        <f>IF($L360="","",COUNT($L360:$Q360))</f>
        <v/>
      </c>
      <c r="X360" s="18">
        <f>IF($W360="","",INT(INDEX($L360:$Q360,$W360)))</f>
        <v/>
      </c>
      <c r="Y360" s="18">
        <f>IF(OR($W360="",$W360=6),"",WORKDAY($X360,CHOOSE($W360,3,3,2,2,3),Holidays))</f>
        <v/>
      </c>
      <c r="Z360" s="17">
        <f>IF(OR($W360="",$W360=6),"",CHOOSE($W360,"1st Email Follow-up","2nd Email Follow-up","Escalate Local Office","Escalate to CBE","Escalate to Roxanne"))</f>
        <v/>
      </c>
    </row>
    <row r="361" spans="18:26">
      <c r="R361" s="15"/>
      <c r="S361" s="16"/>
      <c r="T361" s="17">
        <f>IF(AND(COUNTA($A361:$K361)=0,$L361=""),"",IF($S361="Paid","PAID",IF($S361="Closed","CLOSED",IF($W361="","",IF($W361=6,"ESCALATED TO ROXANNE",IF(TODAY()&gt;$Y361,"OVERDUE",IF($Y361&lt;=WORKDAY(TODAY(),1,Holidays),"DUE TOMORROW",IF($W361=4,"ESCALATED TO LOCAL OFFICE",IF($W361=5,"ESCALATED TO CBE",IF($X361=TODAY(),"EMAIL SENT","MONITORING"))))))))))</f>
        <v/>
      </c>
      <c r="U361" s="17">
        <f>IF($T361="",IF(AND(COUNTA($A361:$K361)&gt;0,$L361=""),"Awaiting Collection Email time stamp.",""),IF(OR($T361="PAID",$T361="CLOSED"),IF($T361="PAID","Account paid. Action completed.","Account closed. No further action required."),CHOOSE($W361,"Collection Email","1st Email Follow-up","2nd Email Follow-up","Escalation to Local Office","Escalation to CBE","Escalation to Roxanne")&amp;" sent "&amp;TEXT($X361,"dd-mmm")&amp;". "&amp;IF($W361=6,"Final escalation completed.",IF($T361="OVERDUE","Next: "&amp;$Z361&amp;" was due "&amp;TEXT($Y361,"dd-mmm")&amp;" - "&amp;(NETWORKDAYS($Y361,TODAY(),Holidays)-1)&amp;" business day(s) late. Send now.",IF($T361="DUE TOMORROW","Next: "&amp;$Z361&amp;IF($Y361&lt;=TODAY()," is due TODAY ("," is due next business day (")&amp;TEXT($Y361,"dd-mmm")&amp;").","Next: "&amp;$Z361&amp;" due "&amp;TEXT($Y361,"dd-mmm")&amp;" ("&amp;(NETWORKDAYS(TODAY(),$Y361,Holidays)-1)&amp;" business day(s) left).")))))</f>
        <v/>
      </c>
      <c r="V361" s="17">
        <f>IF($W361="","",CHOOSE($W361,"Collection Email","1st Follow-up","2nd Follow-up","Local Office","CBE","Roxanne")&amp;IF($W361=6," - Final"," - Day "&amp;MAX(0,NETWORKDAYS($X361,TODAY(),Holidays)-1)&amp;" of "&amp;CHOOSE($W361,3,3,2,2,3))&amp;" | Total Day "&amp;MAX(0,NETWORKDAYS($L361,TODAY(),Holidays)-1))</f>
        <v/>
      </c>
      <c r="W361" s="17">
        <f>IF($L361="","",COUNT($L361:$Q361))</f>
        <v/>
      </c>
      <c r="X361" s="18">
        <f>IF($W361="","",INT(INDEX($L361:$Q361,$W361)))</f>
        <v/>
      </c>
      <c r="Y361" s="18">
        <f>IF(OR($W361="",$W361=6),"",WORKDAY($X361,CHOOSE($W361,3,3,2,2,3),Holidays))</f>
        <v/>
      </c>
      <c r="Z361" s="17">
        <f>IF(OR($W361="",$W361=6),"",CHOOSE($W361,"1st Email Follow-up","2nd Email Follow-up","Escalate Local Office","Escalate to CBE","Escalate to Roxanne"))</f>
        <v/>
      </c>
    </row>
    <row r="362" spans="18:26">
      <c r="R362" s="15"/>
      <c r="S362" s="16"/>
      <c r="T362" s="17">
        <f>IF(AND(COUNTA($A362:$K362)=0,$L362=""),"",IF($S362="Paid","PAID",IF($S362="Closed","CLOSED",IF($W362="","",IF($W362=6,"ESCALATED TO ROXANNE",IF(TODAY()&gt;$Y362,"OVERDUE",IF($Y362&lt;=WORKDAY(TODAY(),1,Holidays),"DUE TOMORROW",IF($W362=4,"ESCALATED TO LOCAL OFFICE",IF($W362=5,"ESCALATED TO CBE",IF($X362=TODAY(),"EMAIL SENT","MONITORING"))))))))))</f>
        <v/>
      </c>
      <c r="U362" s="17">
        <f>IF($T362="",IF(AND(COUNTA($A362:$K362)&gt;0,$L362=""),"Awaiting Collection Email time stamp.",""),IF(OR($T362="PAID",$T362="CLOSED"),IF($T362="PAID","Account paid. Action completed.","Account closed. No further action required."),CHOOSE($W362,"Collection Email","1st Email Follow-up","2nd Email Follow-up","Escalation to Local Office","Escalation to CBE","Escalation to Roxanne")&amp;" sent "&amp;TEXT($X362,"dd-mmm")&amp;". "&amp;IF($W362=6,"Final escalation completed.",IF($T362="OVERDUE","Next: "&amp;$Z362&amp;" was due "&amp;TEXT($Y362,"dd-mmm")&amp;" - "&amp;(NETWORKDAYS($Y362,TODAY(),Holidays)-1)&amp;" business day(s) late. Send now.",IF($T362="DUE TOMORROW","Next: "&amp;$Z362&amp;IF($Y362&lt;=TODAY()," is due TODAY ("," is due next business day (")&amp;TEXT($Y362,"dd-mmm")&amp;").","Next: "&amp;$Z362&amp;" due "&amp;TEXT($Y362,"dd-mmm")&amp;" ("&amp;(NETWORKDAYS(TODAY(),$Y362,Holidays)-1)&amp;" business day(s) left).")))))</f>
        <v/>
      </c>
      <c r="V362" s="17">
        <f>IF($W362="","",CHOOSE($W362,"Collection Email","1st Follow-up","2nd Follow-up","Local Office","CBE","Roxanne")&amp;IF($W362=6," - Final"," - Day "&amp;MAX(0,NETWORKDAYS($X362,TODAY(),Holidays)-1)&amp;" of "&amp;CHOOSE($W362,3,3,2,2,3))&amp;" | Total Day "&amp;MAX(0,NETWORKDAYS($L362,TODAY(),Holidays)-1))</f>
        <v/>
      </c>
      <c r="W362" s="17">
        <f>IF($L362="","",COUNT($L362:$Q362))</f>
        <v/>
      </c>
      <c r="X362" s="18">
        <f>IF($W362="","",INT(INDEX($L362:$Q362,$W362)))</f>
        <v/>
      </c>
      <c r="Y362" s="18">
        <f>IF(OR($W362="",$W362=6),"",WORKDAY($X362,CHOOSE($W362,3,3,2,2,3),Holidays))</f>
        <v/>
      </c>
      <c r="Z362" s="17">
        <f>IF(OR($W362="",$W362=6),"",CHOOSE($W362,"1st Email Follow-up","2nd Email Follow-up","Escalate Local Office","Escalate to CBE","Escalate to Roxanne"))</f>
        <v/>
      </c>
    </row>
    <row r="363" spans="18:26">
      <c r="R363" s="15"/>
      <c r="S363" s="16"/>
      <c r="T363" s="17">
        <f>IF(AND(COUNTA($A363:$K363)=0,$L363=""),"",IF($S363="Paid","PAID",IF($S363="Closed","CLOSED",IF($W363="","",IF($W363=6,"ESCALATED TO ROXANNE",IF(TODAY()&gt;$Y363,"OVERDUE",IF($Y363&lt;=WORKDAY(TODAY(),1,Holidays),"DUE TOMORROW",IF($W363=4,"ESCALATED TO LOCAL OFFICE",IF($W363=5,"ESCALATED TO CBE",IF($X363=TODAY(),"EMAIL SENT","MONITORING"))))))))))</f>
        <v/>
      </c>
      <c r="U363" s="17">
        <f>IF($T363="",IF(AND(COUNTA($A363:$K363)&gt;0,$L363=""),"Awaiting Collection Email time stamp.",""),IF(OR($T363="PAID",$T363="CLOSED"),IF($T363="PAID","Account paid. Action completed.","Account closed. No further action required."),CHOOSE($W363,"Collection Email","1st Email Follow-up","2nd Email Follow-up","Escalation to Local Office","Escalation to CBE","Escalation to Roxanne")&amp;" sent "&amp;TEXT($X363,"dd-mmm")&amp;". "&amp;IF($W363=6,"Final escalation completed.",IF($T363="OVERDUE","Next: "&amp;$Z363&amp;" was due "&amp;TEXT($Y363,"dd-mmm")&amp;" - "&amp;(NETWORKDAYS($Y363,TODAY(),Holidays)-1)&amp;" business day(s) late. Send now.",IF($T363="DUE TOMORROW","Next: "&amp;$Z363&amp;IF($Y363&lt;=TODAY()," is due TODAY ("," is due next business day (")&amp;TEXT($Y363,"dd-mmm")&amp;").","Next: "&amp;$Z363&amp;" due "&amp;TEXT($Y363,"dd-mmm")&amp;" ("&amp;(NETWORKDAYS(TODAY(),$Y363,Holidays)-1)&amp;" business day(s) left).")))))</f>
        <v/>
      </c>
      <c r="V363" s="17">
        <f>IF($W363="","",CHOOSE($W363,"Collection Email","1st Follow-up","2nd Follow-up","Local Office","CBE","Roxanne")&amp;IF($W363=6," - Final"," - Day "&amp;MAX(0,NETWORKDAYS($X363,TODAY(),Holidays)-1)&amp;" of "&amp;CHOOSE($W363,3,3,2,2,3))&amp;" | Total Day "&amp;MAX(0,NETWORKDAYS($L363,TODAY(),Holidays)-1))</f>
        <v/>
      </c>
      <c r="W363" s="17">
        <f>IF($L363="","",COUNT($L363:$Q363))</f>
        <v/>
      </c>
      <c r="X363" s="18">
        <f>IF($W363="","",INT(INDEX($L363:$Q363,$W363)))</f>
        <v/>
      </c>
      <c r="Y363" s="18">
        <f>IF(OR($W363="",$W363=6),"",WORKDAY($X363,CHOOSE($W363,3,3,2,2,3),Holidays))</f>
        <v/>
      </c>
      <c r="Z363" s="17">
        <f>IF(OR($W363="",$W363=6),"",CHOOSE($W363,"1st Email Follow-up","2nd Email Follow-up","Escalate Local Office","Escalate to CBE","Escalate to Roxanne"))</f>
        <v/>
      </c>
    </row>
    <row r="364" spans="18:26">
      <c r="R364" s="15"/>
      <c r="S364" s="16"/>
      <c r="T364" s="17">
        <f>IF(AND(COUNTA($A364:$K364)=0,$L364=""),"",IF($S364="Paid","PAID",IF($S364="Closed","CLOSED",IF($W364="","",IF($W364=6,"ESCALATED TO ROXANNE",IF(TODAY()&gt;$Y364,"OVERDUE",IF($Y364&lt;=WORKDAY(TODAY(),1,Holidays),"DUE TOMORROW",IF($W364=4,"ESCALATED TO LOCAL OFFICE",IF($W364=5,"ESCALATED TO CBE",IF($X364=TODAY(),"EMAIL SENT","MONITORING"))))))))))</f>
        <v/>
      </c>
      <c r="U364" s="17">
        <f>IF($T364="",IF(AND(COUNTA($A364:$K364)&gt;0,$L364=""),"Awaiting Collection Email time stamp.",""),IF(OR($T364="PAID",$T364="CLOSED"),IF($T364="PAID","Account paid. Action completed.","Account closed. No further action required."),CHOOSE($W364,"Collection Email","1st Email Follow-up","2nd Email Follow-up","Escalation to Local Office","Escalation to CBE","Escalation to Roxanne")&amp;" sent "&amp;TEXT($X364,"dd-mmm")&amp;". "&amp;IF($W364=6,"Final escalation completed.",IF($T364="OVERDUE","Next: "&amp;$Z364&amp;" was due "&amp;TEXT($Y364,"dd-mmm")&amp;" - "&amp;(NETWORKDAYS($Y364,TODAY(),Holidays)-1)&amp;" business day(s) late. Send now.",IF($T364="DUE TOMORROW","Next: "&amp;$Z364&amp;IF($Y364&lt;=TODAY()," is due TODAY ("," is due next business day (")&amp;TEXT($Y364,"dd-mmm")&amp;").","Next: "&amp;$Z364&amp;" due "&amp;TEXT($Y364,"dd-mmm")&amp;" ("&amp;(NETWORKDAYS(TODAY(),$Y364,Holidays)-1)&amp;" business day(s) left).")))))</f>
        <v/>
      </c>
      <c r="V364" s="17">
        <f>IF($W364="","",CHOOSE($W364,"Collection Email","1st Follow-up","2nd Follow-up","Local Office","CBE","Roxanne")&amp;IF($W364=6," - Final"," - Day "&amp;MAX(0,NETWORKDAYS($X364,TODAY(),Holidays)-1)&amp;" of "&amp;CHOOSE($W364,3,3,2,2,3))&amp;" | Total Day "&amp;MAX(0,NETWORKDAYS($L364,TODAY(),Holidays)-1))</f>
        <v/>
      </c>
      <c r="W364" s="17">
        <f>IF($L364="","",COUNT($L364:$Q364))</f>
        <v/>
      </c>
      <c r="X364" s="18">
        <f>IF($W364="","",INT(INDEX($L364:$Q364,$W364)))</f>
        <v/>
      </c>
      <c r="Y364" s="18">
        <f>IF(OR($W364="",$W364=6),"",WORKDAY($X364,CHOOSE($W364,3,3,2,2,3),Holidays))</f>
        <v/>
      </c>
      <c r="Z364" s="17">
        <f>IF(OR($W364="",$W364=6),"",CHOOSE($W364,"1st Email Follow-up","2nd Email Follow-up","Escalate Local Office","Escalate to CBE","Escalate to Roxanne"))</f>
        <v/>
      </c>
    </row>
    <row r="365" spans="18:26">
      <c r="R365" s="15"/>
      <c r="S365" s="16"/>
      <c r="T365" s="17">
        <f>IF(AND(COUNTA($A365:$K365)=0,$L365=""),"",IF($S365="Paid","PAID",IF($S365="Closed","CLOSED",IF($W365="","",IF($W365=6,"ESCALATED TO ROXANNE",IF(TODAY()&gt;$Y365,"OVERDUE",IF($Y365&lt;=WORKDAY(TODAY(),1,Holidays),"DUE TOMORROW",IF($W365=4,"ESCALATED TO LOCAL OFFICE",IF($W365=5,"ESCALATED TO CBE",IF($X365=TODAY(),"EMAIL SENT","MONITORING"))))))))))</f>
        <v/>
      </c>
      <c r="U365" s="17">
        <f>IF($T365="",IF(AND(COUNTA($A365:$K365)&gt;0,$L365=""),"Awaiting Collection Email time stamp.",""),IF(OR($T365="PAID",$T365="CLOSED"),IF($T365="PAID","Account paid. Action completed.","Account closed. No further action required."),CHOOSE($W365,"Collection Email","1st Email Follow-up","2nd Email Follow-up","Escalation to Local Office","Escalation to CBE","Escalation to Roxanne")&amp;" sent "&amp;TEXT($X365,"dd-mmm")&amp;". "&amp;IF($W365=6,"Final escalation completed.",IF($T365="OVERDUE","Next: "&amp;$Z365&amp;" was due "&amp;TEXT($Y365,"dd-mmm")&amp;" - "&amp;(NETWORKDAYS($Y365,TODAY(),Holidays)-1)&amp;" business day(s) late. Send now.",IF($T365="DUE TOMORROW","Next: "&amp;$Z365&amp;IF($Y365&lt;=TODAY()," is due TODAY ("," is due next business day (")&amp;TEXT($Y365,"dd-mmm")&amp;").","Next: "&amp;$Z365&amp;" due "&amp;TEXT($Y365,"dd-mmm")&amp;" ("&amp;(NETWORKDAYS(TODAY(),$Y365,Holidays)-1)&amp;" business day(s) left).")))))</f>
        <v/>
      </c>
      <c r="V365" s="17">
        <f>IF($W365="","",CHOOSE($W365,"Collection Email","1st Follow-up","2nd Follow-up","Local Office","CBE","Roxanne")&amp;IF($W365=6," - Final"," - Day "&amp;MAX(0,NETWORKDAYS($X365,TODAY(),Holidays)-1)&amp;" of "&amp;CHOOSE($W365,3,3,2,2,3))&amp;" | Total Day "&amp;MAX(0,NETWORKDAYS($L365,TODAY(),Holidays)-1))</f>
        <v/>
      </c>
      <c r="W365" s="17">
        <f>IF($L365="","",COUNT($L365:$Q365))</f>
        <v/>
      </c>
      <c r="X365" s="18">
        <f>IF($W365="","",INT(INDEX($L365:$Q365,$W365)))</f>
        <v/>
      </c>
      <c r="Y365" s="18">
        <f>IF(OR($W365="",$W365=6),"",WORKDAY($X365,CHOOSE($W365,3,3,2,2,3),Holidays))</f>
        <v/>
      </c>
      <c r="Z365" s="17">
        <f>IF(OR($W365="",$W365=6),"",CHOOSE($W365,"1st Email Follow-up","2nd Email Follow-up","Escalate Local Office","Escalate to CBE","Escalate to Roxanne"))</f>
        <v/>
      </c>
    </row>
    <row r="366" spans="18:26">
      <c r="R366" s="15"/>
      <c r="S366" s="16"/>
      <c r="T366" s="17">
        <f>IF(AND(COUNTA($A366:$K366)=0,$L366=""),"",IF($S366="Paid","PAID",IF($S366="Closed","CLOSED",IF($W366="","",IF($W366=6,"ESCALATED TO ROXANNE",IF(TODAY()&gt;$Y366,"OVERDUE",IF($Y366&lt;=WORKDAY(TODAY(),1,Holidays),"DUE TOMORROW",IF($W366=4,"ESCALATED TO LOCAL OFFICE",IF($W366=5,"ESCALATED TO CBE",IF($X366=TODAY(),"EMAIL SENT","MONITORING"))))))))))</f>
        <v/>
      </c>
      <c r="U366" s="17">
        <f>IF($T366="",IF(AND(COUNTA($A366:$K366)&gt;0,$L366=""),"Awaiting Collection Email time stamp.",""),IF(OR($T366="PAID",$T366="CLOSED"),IF($T366="PAID","Account paid. Action completed.","Account closed. No further action required."),CHOOSE($W366,"Collection Email","1st Email Follow-up","2nd Email Follow-up","Escalation to Local Office","Escalation to CBE","Escalation to Roxanne")&amp;" sent "&amp;TEXT($X366,"dd-mmm")&amp;". "&amp;IF($W366=6,"Final escalation completed.",IF($T366="OVERDUE","Next: "&amp;$Z366&amp;" was due "&amp;TEXT($Y366,"dd-mmm")&amp;" - "&amp;(NETWORKDAYS($Y366,TODAY(),Holidays)-1)&amp;" business day(s) late. Send now.",IF($T366="DUE TOMORROW","Next: "&amp;$Z366&amp;IF($Y366&lt;=TODAY()," is due TODAY ("," is due next business day (")&amp;TEXT($Y366,"dd-mmm")&amp;").","Next: "&amp;$Z366&amp;" due "&amp;TEXT($Y366,"dd-mmm")&amp;" ("&amp;(NETWORKDAYS(TODAY(),$Y366,Holidays)-1)&amp;" business day(s) left).")))))</f>
        <v/>
      </c>
      <c r="V366" s="17">
        <f>IF($W366="","",CHOOSE($W366,"Collection Email","1st Follow-up","2nd Follow-up","Local Office","CBE","Roxanne")&amp;IF($W366=6," - Final"," - Day "&amp;MAX(0,NETWORKDAYS($X366,TODAY(),Holidays)-1)&amp;" of "&amp;CHOOSE($W366,3,3,2,2,3))&amp;" | Total Day "&amp;MAX(0,NETWORKDAYS($L366,TODAY(),Holidays)-1))</f>
        <v/>
      </c>
      <c r="W366" s="17">
        <f>IF($L366="","",COUNT($L366:$Q366))</f>
        <v/>
      </c>
      <c r="X366" s="18">
        <f>IF($W366="","",INT(INDEX($L366:$Q366,$W366)))</f>
        <v/>
      </c>
      <c r="Y366" s="18">
        <f>IF(OR($W366="",$W366=6),"",WORKDAY($X366,CHOOSE($W366,3,3,2,2,3),Holidays))</f>
        <v/>
      </c>
      <c r="Z366" s="17">
        <f>IF(OR($W366="",$W366=6),"",CHOOSE($W366,"1st Email Follow-up","2nd Email Follow-up","Escalate Local Office","Escalate to CBE","Escalate to Roxanne"))</f>
        <v/>
      </c>
    </row>
    <row r="367" spans="18:26">
      <c r="R367" s="15"/>
      <c r="S367" s="16"/>
      <c r="T367" s="17">
        <f>IF(AND(COUNTA($A367:$K367)=0,$L367=""),"",IF($S367="Paid","PAID",IF($S367="Closed","CLOSED",IF($W367="","",IF($W367=6,"ESCALATED TO ROXANNE",IF(TODAY()&gt;$Y367,"OVERDUE",IF($Y367&lt;=WORKDAY(TODAY(),1,Holidays),"DUE TOMORROW",IF($W367=4,"ESCALATED TO LOCAL OFFICE",IF($W367=5,"ESCALATED TO CBE",IF($X367=TODAY(),"EMAIL SENT","MONITORING"))))))))))</f>
        <v/>
      </c>
      <c r="U367" s="17">
        <f>IF($T367="",IF(AND(COUNTA($A367:$K367)&gt;0,$L367=""),"Awaiting Collection Email time stamp.",""),IF(OR($T367="PAID",$T367="CLOSED"),IF($T367="PAID","Account paid. Action completed.","Account closed. No further action required."),CHOOSE($W367,"Collection Email","1st Email Follow-up","2nd Email Follow-up","Escalation to Local Office","Escalation to CBE","Escalation to Roxanne")&amp;" sent "&amp;TEXT($X367,"dd-mmm")&amp;". "&amp;IF($W367=6,"Final escalation completed.",IF($T367="OVERDUE","Next: "&amp;$Z367&amp;" was due "&amp;TEXT($Y367,"dd-mmm")&amp;" - "&amp;(NETWORKDAYS($Y367,TODAY(),Holidays)-1)&amp;" business day(s) late. Send now.",IF($T367="DUE TOMORROW","Next: "&amp;$Z367&amp;IF($Y367&lt;=TODAY()," is due TODAY ("," is due next business day (")&amp;TEXT($Y367,"dd-mmm")&amp;").","Next: "&amp;$Z367&amp;" due "&amp;TEXT($Y367,"dd-mmm")&amp;" ("&amp;(NETWORKDAYS(TODAY(),$Y367,Holidays)-1)&amp;" business day(s) left).")))))</f>
        <v/>
      </c>
      <c r="V367" s="17">
        <f>IF($W367="","",CHOOSE($W367,"Collection Email","1st Follow-up","2nd Follow-up","Local Office","CBE","Roxanne")&amp;IF($W367=6," - Final"," - Day "&amp;MAX(0,NETWORKDAYS($X367,TODAY(),Holidays)-1)&amp;" of "&amp;CHOOSE($W367,3,3,2,2,3))&amp;" | Total Day "&amp;MAX(0,NETWORKDAYS($L367,TODAY(),Holidays)-1))</f>
        <v/>
      </c>
      <c r="W367" s="17">
        <f>IF($L367="","",COUNT($L367:$Q367))</f>
        <v/>
      </c>
      <c r="X367" s="18">
        <f>IF($W367="","",INT(INDEX($L367:$Q367,$W367)))</f>
        <v/>
      </c>
      <c r="Y367" s="18">
        <f>IF(OR($W367="",$W367=6),"",WORKDAY($X367,CHOOSE($W367,3,3,2,2,3),Holidays))</f>
        <v/>
      </c>
      <c r="Z367" s="17">
        <f>IF(OR($W367="",$W367=6),"",CHOOSE($W367,"1st Email Follow-up","2nd Email Follow-up","Escalate Local Office","Escalate to CBE","Escalate to Roxanne"))</f>
        <v/>
      </c>
    </row>
    <row r="368" spans="18:26">
      <c r="R368" s="15"/>
      <c r="S368" s="16"/>
      <c r="T368" s="17">
        <f>IF(AND(COUNTA($A368:$K368)=0,$L368=""),"",IF($S368="Paid","PAID",IF($S368="Closed","CLOSED",IF($W368="","",IF($W368=6,"ESCALATED TO ROXANNE",IF(TODAY()&gt;$Y368,"OVERDUE",IF($Y368&lt;=WORKDAY(TODAY(),1,Holidays),"DUE TOMORROW",IF($W368=4,"ESCALATED TO LOCAL OFFICE",IF($W368=5,"ESCALATED TO CBE",IF($X368=TODAY(),"EMAIL SENT","MONITORING"))))))))))</f>
        <v/>
      </c>
      <c r="U368" s="17">
        <f>IF($T368="",IF(AND(COUNTA($A368:$K368)&gt;0,$L368=""),"Awaiting Collection Email time stamp.",""),IF(OR($T368="PAID",$T368="CLOSED"),IF($T368="PAID","Account paid. Action completed.","Account closed. No further action required."),CHOOSE($W368,"Collection Email","1st Email Follow-up","2nd Email Follow-up","Escalation to Local Office","Escalation to CBE","Escalation to Roxanne")&amp;" sent "&amp;TEXT($X368,"dd-mmm")&amp;". "&amp;IF($W368=6,"Final escalation completed.",IF($T368="OVERDUE","Next: "&amp;$Z368&amp;" was due "&amp;TEXT($Y368,"dd-mmm")&amp;" - "&amp;(NETWORKDAYS($Y368,TODAY(),Holidays)-1)&amp;" business day(s) late. Send now.",IF($T368="DUE TOMORROW","Next: "&amp;$Z368&amp;IF($Y368&lt;=TODAY()," is due TODAY ("," is due next business day (")&amp;TEXT($Y368,"dd-mmm")&amp;").","Next: "&amp;$Z368&amp;" due "&amp;TEXT($Y368,"dd-mmm")&amp;" ("&amp;(NETWORKDAYS(TODAY(),$Y368,Holidays)-1)&amp;" business day(s) left).")))))</f>
        <v/>
      </c>
      <c r="V368" s="17">
        <f>IF($W368="","",CHOOSE($W368,"Collection Email","1st Follow-up","2nd Follow-up","Local Office","CBE","Roxanne")&amp;IF($W368=6," - Final"," - Day "&amp;MAX(0,NETWORKDAYS($X368,TODAY(),Holidays)-1)&amp;" of "&amp;CHOOSE($W368,3,3,2,2,3))&amp;" | Total Day "&amp;MAX(0,NETWORKDAYS($L368,TODAY(),Holidays)-1))</f>
        <v/>
      </c>
      <c r="W368" s="17">
        <f>IF($L368="","",COUNT($L368:$Q368))</f>
        <v/>
      </c>
      <c r="X368" s="18">
        <f>IF($W368="","",INT(INDEX($L368:$Q368,$W368)))</f>
        <v/>
      </c>
      <c r="Y368" s="18">
        <f>IF(OR($W368="",$W368=6),"",WORKDAY($X368,CHOOSE($W368,3,3,2,2,3),Holidays))</f>
        <v/>
      </c>
      <c r="Z368" s="17">
        <f>IF(OR($W368="",$W368=6),"",CHOOSE($W368,"1st Email Follow-up","2nd Email Follow-up","Escalate Local Office","Escalate to CBE","Escalate to Roxanne"))</f>
        <v/>
      </c>
    </row>
    <row r="369" spans="18:26">
      <c r="R369" s="15"/>
      <c r="S369" s="16"/>
      <c r="T369" s="17">
        <f>IF(AND(COUNTA($A369:$K369)=0,$L369=""),"",IF($S369="Paid","PAID",IF($S369="Closed","CLOSED",IF($W369="","",IF($W369=6,"ESCALATED TO ROXANNE",IF(TODAY()&gt;$Y369,"OVERDUE",IF($Y369&lt;=WORKDAY(TODAY(),1,Holidays),"DUE TOMORROW",IF($W369=4,"ESCALATED TO LOCAL OFFICE",IF($W369=5,"ESCALATED TO CBE",IF($X369=TODAY(),"EMAIL SENT","MONITORING"))))))))))</f>
        <v/>
      </c>
      <c r="U369" s="17">
        <f>IF($T369="",IF(AND(COUNTA($A369:$K369)&gt;0,$L369=""),"Awaiting Collection Email time stamp.",""),IF(OR($T369="PAID",$T369="CLOSED"),IF($T369="PAID","Account paid. Action completed.","Account closed. No further action required."),CHOOSE($W369,"Collection Email","1st Email Follow-up","2nd Email Follow-up","Escalation to Local Office","Escalation to CBE","Escalation to Roxanne")&amp;" sent "&amp;TEXT($X369,"dd-mmm")&amp;". "&amp;IF($W369=6,"Final escalation completed.",IF($T369="OVERDUE","Next: "&amp;$Z369&amp;" was due "&amp;TEXT($Y369,"dd-mmm")&amp;" - "&amp;(NETWORKDAYS($Y369,TODAY(),Holidays)-1)&amp;" business day(s) late. Send now.",IF($T369="DUE TOMORROW","Next: "&amp;$Z369&amp;IF($Y369&lt;=TODAY()," is due TODAY ("," is due next business day (")&amp;TEXT($Y369,"dd-mmm")&amp;").","Next: "&amp;$Z369&amp;" due "&amp;TEXT($Y369,"dd-mmm")&amp;" ("&amp;(NETWORKDAYS(TODAY(),$Y369,Holidays)-1)&amp;" business day(s) left).")))))</f>
        <v/>
      </c>
      <c r="V369" s="17">
        <f>IF($W369="","",CHOOSE($W369,"Collection Email","1st Follow-up","2nd Follow-up","Local Office","CBE","Roxanne")&amp;IF($W369=6," - Final"," - Day "&amp;MAX(0,NETWORKDAYS($X369,TODAY(),Holidays)-1)&amp;" of "&amp;CHOOSE($W369,3,3,2,2,3))&amp;" | Total Day "&amp;MAX(0,NETWORKDAYS($L369,TODAY(),Holidays)-1))</f>
        <v/>
      </c>
      <c r="W369" s="17">
        <f>IF($L369="","",COUNT($L369:$Q369))</f>
        <v/>
      </c>
      <c r="X369" s="18">
        <f>IF($W369="","",INT(INDEX($L369:$Q369,$W369)))</f>
        <v/>
      </c>
      <c r="Y369" s="18">
        <f>IF(OR($W369="",$W369=6),"",WORKDAY($X369,CHOOSE($W369,3,3,2,2,3),Holidays))</f>
        <v/>
      </c>
      <c r="Z369" s="17">
        <f>IF(OR($W369="",$W369=6),"",CHOOSE($W369,"1st Email Follow-up","2nd Email Follow-up","Escalate Local Office","Escalate to CBE","Escalate to Roxanne"))</f>
        <v/>
      </c>
    </row>
    <row r="370" spans="18:26">
      <c r="R370" s="15"/>
      <c r="S370" s="16"/>
      <c r="T370" s="17">
        <f>IF(AND(COUNTA($A370:$K370)=0,$L370=""),"",IF($S370="Paid","PAID",IF($S370="Closed","CLOSED",IF($W370="","",IF($W370=6,"ESCALATED TO ROXANNE",IF(TODAY()&gt;$Y370,"OVERDUE",IF($Y370&lt;=WORKDAY(TODAY(),1,Holidays),"DUE TOMORROW",IF($W370=4,"ESCALATED TO LOCAL OFFICE",IF($W370=5,"ESCALATED TO CBE",IF($X370=TODAY(),"EMAIL SENT","MONITORING"))))))))))</f>
        <v/>
      </c>
      <c r="U370" s="17">
        <f>IF($T370="",IF(AND(COUNTA($A370:$K370)&gt;0,$L370=""),"Awaiting Collection Email time stamp.",""),IF(OR($T370="PAID",$T370="CLOSED"),IF($T370="PAID","Account paid. Action completed.","Account closed. No further action required."),CHOOSE($W370,"Collection Email","1st Email Follow-up","2nd Email Follow-up","Escalation to Local Office","Escalation to CBE","Escalation to Roxanne")&amp;" sent "&amp;TEXT($X370,"dd-mmm")&amp;". "&amp;IF($W370=6,"Final escalation completed.",IF($T370="OVERDUE","Next: "&amp;$Z370&amp;" was due "&amp;TEXT($Y370,"dd-mmm")&amp;" - "&amp;(NETWORKDAYS($Y370,TODAY(),Holidays)-1)&amp;" business day(s) late. Send now.",IF($T370="DUE TOMORROW","Next: "&amp;$Z370&amp;IF($Y370&lt;=TODAY()," is due TODAY ("," is due next business day (")&amp;TEXT($Y370,"dd-mmm")&amp;").","Next: "&amp;$Z370&amp;" due "&amp;TEXT($Y370,"dd-mmm")&amp;" ("&amp;(NETWORKDAYS(TODAY(),$Y370,Holidays)-1)&amp;" business day(s) left).")))))</f>
        <v/>
      </c>
      <c r="V370" s="17">
        <f>IF($W370="","",CHOOSE($W370,"Collection Email","1st Follow-up","2nd Follow-up","Local Office","CBE","Roxanne")&amp;IF($W370=6," - Final"," - Day "&amp;MAX(0,NETWORKDAYS($X370,TODAY(),Holidays)-1)&amp;" of "&amp;CHOOSE($W370,3,3,2,2,3))&amp;" | Total Day "&amp;MAX(0,NETWORKDAYS($L370,TODAY(),Holidays)-1))</f>
        <v/>
      </c>
      <c r="W370" s="17">
        <f>IF($L370="","",COUNT($L370:$Q370))</f>
        <v/>
      </c>
      <c r="X370" s="18">
        <f>IF($W370="","",INT(INDEX($L370:$Q370,$W370)))</f>
        <v/>
      </c>
      <c r="Y370" s="18">
        <f>IF(OR($W370="",$W370=6),"",WORKDAY($X370,CHOOSE($W370,3,3,2,2,3),Holidays))</f>
        <v/>
      </c>
      <c r="Z370" s="17">
        <f>IF(OR($W370="",$W370=6),"",CHOOSE($W370,"1st Email Follow-up","2nd Email Follow-up","Escalate Local Office","Escalate to CBE","Escalate to Roxanne"))</f>
        <v/>
      </c>
    </row>
    <row r="371" spans="18:26">
      <c r="R371" s="15"/>
      <c r="S371" s="16"/>
      <c r="T371" s="17">
        <f>IF(AND(COUNTA($A371:$K371)=0,$L371=""),"",IF($S371="Paid","PAID",IF($S371="Closed","CLOSED",IF($W371="","",IF($W371=6,"ESCALATED TO ROXANNE",IF(TODAY()&gt;$Y371,"OVERDUE",IF($Y371&lt;=WORKDAY(TODAY(),1,Holidays),"DUE TOMORROW",IF($W371=4,"ESCALATED TO LOCAL OFFICE",IF($W371=5,"ESCALATED TO CBE",IF($X371=TODAY(),"EMAIL SENT","MONITORING"))))))))))</f>
        <v/>
      </c>
      <c r="U371" s="17">
        <f>IF($T371="",IF(AND(COUNTA($A371:$K371)&gt;0,$L371=""),"Awaiting Collection Email time stamp.",""),IF(OR($T371="PAID",$T371="CLOSED"),IF($T371="PAID","Account paid. Action completed.","Account closed. No further action required."),CHOOSE($W371,"Collection Email","1st Email Follow-up","2nd Email Follow-up","Escalation to Local Office","Escalation to CBE","Escalation to Roxanne")&amp;" sent "&amp;TEXT($X371,"dd-mmm")&amp;". "&amp;IF($W371=6,"Final escalation completed.",IF($T371="OVERDUE","Next: "&amp;$Z371&amp;" was due "&amp;TEXT($Y371,"dd-mmm")&amp;" - "&amp;(NETWORKDAYS($Y371,TODAY(),Holidays)-1)&amp;" business day(s) late. Send now.",IF($T371="DUE TOMORROW","Next: "&amp;$Z371&amp;IF($Y371&lt;=TODAY()," is due TODAY ("," is due next business day (")&amp;TEXT($Y371,"dd-mmm")&amp;").","Next: "&amp;$Z371&amp;" due "&amp;TEXT($Y371,"dd-mmm")&amp;" ("&amp;(NETWORKDAYS(TODAY(),$Y371,Holidays)-1)&amp;" business day(s) left).")))))</f>
        <v/>
      </c>
      <c r="V371" s="17">
        <f>IF($W371="","",CHOOSE($W371,"Collection Email","1st Follow-up","2nd Follow-up","Local Office","CBE","Roxanne")&amp;IF($W371=6," - Final"," - Day "&amp;MAX(0,NETWORKDAYS($X371,TODAY(),Holidays)-1)&amp;" of "&amp;CHOOSE($W371,3,3,2,2,3))&amp;" | Total Day "&amp;MAX(0,NETWORKDAYS($L371,TODAY(),Holidays)-1))</f>
        <v/>
      </c>
      <c r="W371" s="17">
        <f>IF($L371="","",COUNT($L371:$Q371))</f>
        <v/>
      </c>
      <c r="X371" s="18">
        <f>IF($W371="","",INT(INDEX($L371:$Q371,$W371)))</f>
        <v/>
      </c>
      <c r="Y371" s="18">
        <f>IF(OR($W371="",$W371=6),"",WORKDAY($X371,CHOOSE($W371,3,3,2,2,3),Holidays))</f>
        <v/>
      </c>
      <c r="Z371" s="17">
        <f>IF(OR($W371="",$W371=6),"",CHOOSE($W371,"1st Email Follow-up","2nd Email Follow-up","Escalate Local Office","Escalate to CBE","Escalate to Roxanne"))</f>
        <v/>
      </c>
    </row>
    <row r="372" spans="18:26">
      <c r="R372" s="15"/>
      <c r="S372" s="16"/>
      <c r="T372" s="17">
        <f>IF(AND(COUNTA($A372:$K372)=0,$L372=""),"",IF($S372="Paid","PAID",IF($S372="Closed","CLOSED",IF($W372="","",IF($W372=6,"ESCALATED TO ROXANNE",IF(TODAY()&gt;$Y372,"OVERDUE",IF($Y372&lt;=WORKDAY(TODAY(),1,Holidays),"DUE TOMORROW",IF($W372=4,"ESCALATED TO LOCAL OFFICE",IF($W372=5,"ESCALATED TO CBE",IF($X372=TODAY(),"EMAIL SENT","MONITORING"))))))))))</f>
        <v/>
      </c>
      <c r="U372" s="17">
        <f>IF($T372="",IF(AND(COUNTA($A372:$K372)&gt;0,$L372=""),"Awaiting Collection Email time stamp.",""),IF(OR($T372="PAID",$T372="CLOSED"),IF($T372="PAID","Account paid. Action completed.","Account closed. No further action required."),CHOOSE($W372,"Collection Email","1st Email Follow-up","2nd Email Follow-up","Escalation to Local Office","Escalation to CBE","Escalation to Roxanne")&amp;" sent "&amp;TEXT($X372,"dd-mmm")&amp;". "&amp;IF($W372=6,"Final escalation completed.",IF($T372="OVERDUE","Next: "&amp;$Z372&amp;" was due "&amp;TEXT($Y372,"dd-mmm")&amp;" - "&amp;(NETWORKDAYS($Y372,TODAY(),Holidays)-1)&amp;" business day(s) late. Send now.",IF($T372="DUE TOMORROW","Next: "&amp;$Z372&amp;IF($Y372&lt;=TODAY()," is due TODAY ("," is due next business day (")&amp;TEXT($Y372,"dd-mmm")&amp;").","Next: "&amp;$Z372&amp;" due "&amp;TEXT($Y372,"dd-mmm")&amp;" ("&amp;(NETWORKDAYS(TODAY(),$Y372,Holidays)-1)&amp;" business day(s) left).")))))</f>
        <v/>
      </c>
      <c r="V372" s="17">
        <f>IF($W372="","",CHOOSE($W372,"Collection Email","1st Follow-up","2nd Follow-up","Local Office","CBE","Roxanne")&amp;IF($W372=6," - Final"," - Day "&amp;MAX(0,NETWORKDAYS($X372,TODAY(),Holidays)-1)&amp;" of "&amp;CHOOSE($W372,3,3,2,2,3))&amp;" | Total Day "&amp;MAX(0,NETWORKDAYS($L372,TODAY(),Holidays)-1))</f>
        <v/>
      </c>
      <c r="W372" s="17">
        <f>IF($L372="","",COUNT($L372:$Q372))</f>
        <v/>
      </c>
      <c r="X372" s="18">
        <f>IF($W372="","",INT(INDEX($L372:$Q372,$W372)))</f>
        <v/>
      </c>
      <c r="Y372" s="18">
        <f>IF(OR($W372="",$W372=6),"",WORKDAY($X372,CHOOSE($W372,3,3,2,2,3),Holidays))</f>
        <v/>
      </c>
      <c r="Z372" s="17">
        <f>IF(OR($W372="",$W372=6),"",CHOOSE($W372,"1st Email Follow-up","2nd Email Follow-up","Escalate Local Office","Escalate to CBE","Escalate to Roxanne"))</f>
        <v/>
      </c>
    </row>
    <row r="373" spans="18:26">
      <c r="R373" s="15"/>
      <c r="S373" s="16"/>
      <c r="T373" s="17">
        <f>IF(AND(COUNTA($A373:$K373)=0,$L373=""),"",IF($S373="Paid","PAID",IF($S373="Closed","CLOSED",IF($W373="","",IF($W373=6,"ESCALATED TO ROXANNE",IF(TODAY()&gt;$Y373,"OVERDUE",IF($Y373&lt;=WORKDAY(TODAY(),1,Holidays),"DUE TOMORROW",IF($W373=4,"ESCALATED TO LOCAL OFFICE",IF($W373=5,"ESCALATED TO CBE",IF($X373=TODAY(),"EMAIL SENT","MONITORING"))))))))))</f>
        <v/>
      </c>
      <c r="U373" s="17">
        <f>IF($T373="",IF(AND(COUNTA($A373:$K373)&gt;0,$L373=""),"Awaiting Collection Email time stamp.",""),IF(OR($T373="PAID",$T373="CLOSED"),IF($T373="PAID","Account paid. Action completed.","Account closed. No further action required."),CHOOSE($W373,"Collection Email","1st Email Follow-up","2nd Email Follow-up","Escalation to Local Office","Escalation to CBE","Escalation to Roxanne")&amp;" sent "&amp;TEXT($X373,"dd-mmm")&amp;". "&amp;IF($W373=6,"Final escalation completed.",IF($T373="OVERDUE","Next: "&amp;$Z373&amp;" was due "&amp;TEXT($Y373,"dd-mmm")&amp;" - "&amp;(NETWORKDAYS($Y373,TODAY(),Holidays)-1)&amp;" business day(s) late. Send now.",IF($T373="DUE TOMORROW","Next: "&amp;$Z373&amp;IF($Y373&lt;=TODAY()," is due TODAY ("," is due next business day (")&amp;TEXT($Y373,"dd-mmm")&amp;").","Next: "&amp;$Z373&amp;" due "&amp;TEXT($Y373,"dd-mmm")&amp;" ("&amp;(NETWORKDAYS(TODAY(),$Y373,Holidays)-1)&amp;" business day(s) left).")))))</f>
        <v/>
      </c>
      <c r="V373" s="17">
        <f>IF($W373="","",CHOOSE($W373,"Collection Email","1st Follow-up","2nd Follow-up","Local Office","CBE","Roxanne")&amp;IF($W373=6," - Final"," - Day "&amp;MAX(0,NETWORKDAYS($X373,TODAY(),Holidays)-1)&amp;" of "&amp;CHOOSE($W373,3,3,2,2,3))&amp;" | Total Day "&amp;MAX(0,NETWORKDAYS($L373,TODAY(),Holidays)-1))</f>
        <v/>
      </c>
      <c r="W373" s="17">
        <f>IF($L373="","",COUNT($L373:$Q373))</f>
        <v/>
      </c>
      <c r="X373" s="18">
        <f>IF($W373="","",INT(INDEX($L373:$Q373,$W373)))</f>
        <v/>
      </c>
      <c r="Y373" s="18">
        <f>IF(OR($W373="",$W373=6),"",WORKDAY($X373,CHOOSE($W373,3,3,2,2,3),Holidays))</f>
        <v/>
      </c>
      <c r="Z373" s="17">
        <f>IF(OR($W373="",$W373=6),"",CHOOSE($W373,"1st Email Follow-up","2nd Email Follow-up","Escalate Local Office","Escalate to CBE","Escalate to Roxanne"))</f>
        <v/>
      </c>
    </row>
    <row r="374" spans="18:26">
      <c r="R374" s="15"/>
      <c r="S374" s="16"/>
      <c r="T374" s="17">
        <f>IF(AND(COUNTA($A374:$K374)=0,$L374=""),"",IF($S374="Paid","PAID",IF($S374="Closed","CLOSED",IF($W374="","",IF($W374=6,"ESCALATED TO ROXANNE",IF(TODAY()&gt;$Y374,"OVERDUE",IF($Y374&lt;=WORKDAY(TODAY(),1,Holidays),"DUE TOMORROW",IF($W374=4,"ESCALATED TO LOCAL OFFICE",IF($W374=5,"ESCALATED TO CBE",IF($X374=TODAY(),"EMAIL SENT","MONITORING"))))))))))</f>
        <v/>
      </c>
      <c r="U374" s="17">
        <f>IF($T374="",IF(AND(COUNTA($A374:$K374)&gt;0,$L374=""),"Awaiting Collection Email time stamp.",""),IF(OR($T374="PAID",$T374="CLOSED"),IF($T374="PAID","Account paid. Action completed.","Account closed. No further action required."),CHOOSE($W374,"Collection Email","1st Email Follow-up","2nd Email Follow-up","Escalation to Local Office","Escalation to CBE","Escalation to Roxanne")&amp;" sent "&amp;TEXT($X374,"dd-mmm")&amp;". "&amp;IF($W374=6,"Final escalation completed.",IF($T374="OVERDUE","Next: "&amp;$Z374&amp;" was due "&amp;TEXT($Y374,"dd-mmm")&amp;" - "&amp;(NETWORKDAYS($Y374,TODAY(),Holidays)-1)&amp;" business day(s) late. Send now.",IF($T374="DUE TOMORROW","Next: "&amp;$Z374&amp;IF($Y374&lt;=TODAY()," is due TODAY ("," is due next business day (")&amp;TEXT($Y374,"dd-mmm")&amp;").","Next: "&amp;$Z374&amp;" due "&amp;TEXT($Y374,"dd-mmm")&amp;" ("&amp;(NETWORKDAYS(TODAY(),$Y374,Holidays)-1)&amp;" business day(s) left).")))))</f>
        <v/>
      </c>
      <c r="V374" s="17">
        <f>IF($W374="","",CHOOSE($W374,"Collection Email","1st Follow-up","2nd Follow-up","Local Office","CBE","Roxanne")&amp;IF($W374=6," - Final"," - Day "&amp;MAX(0,NETWORKDAYS($X374,TODAY(),Holidays)-1)&amp;" of "&amp;CHOOSE($W374,3,3,2,2,3))&amp;" | Total Day "&amp;MAX(0,NETWORKDAYS($L374,TODAY(),Holidays)-1))</f>
        <v/>
      </c>
      <c r="W374" s="17">
        <f>IF($L374="","",COUNT($L374:$Q374))</f>
        <v/>
      </c>
      <c r="X374" s="18">
        <f>IF($W374="","",INT(INDEX($L374:$Q374,$W374)))</f>
        <v/>
      </c>
      <c r="Y374" s="18">
        <f>IF(OR($W374="",$W374=6),"",WORKDAY($X374,CHOOSE($W374,3,3,2,2,3),Holidays))</f>
        <v/>
      </c>
      <c r="Z374" s="17">
        <f>IF(OR($W374="",$W374=6),"",CHOOSE($W374,"1st Email Follow-up","2nd Email Follow-up","Escalate Local Office","Escalate to CBE","Escalate to Roxanne"))</f>
        <v/>
      </c>
    </row>
    <row r="375" spans="18:26">
      <c r="R375" s="15"/>
      <c r="S375" s="16"/>
      <c r="T375" s="17">
        <f>IF(AND(COUNTA($A375:$K375)=0,$L375=""),"",IF($S375="Paid","PAID",IF($S375="Closed","CLOSED",IF($W375="","",IF($W375=6,"ESCALATED TO ROXANNE",IF(TODAY()&gt;$Y375,"OVERDUE",IF($Y375&lt;=WORKDAY(TODAY(),1,Holidays),"DUE TOMORROW",IF($W375=4,"ESCALATED TO LOCAL OFFICE",IF($W375=5,"ESCALATED TO CBE",IF($X375=TODAY(),"EMAIL SENT","MONITORING"))))))))))</f>
        <v/>
      </c>
      <c r="U375" s="17">
        <f>IF($T375="",IF(AND(COUNTA($A375:$K375)&gt;0,$L375=""),"Awaiting Collection Email time stamp.",""),IF(OR($T375="PAID",$T375="CLOSED"),IF($T375="PAID","Account paid. Action completed.","Account closed. No further action required."),CHOOSE($W375,"Collection Email","1st Email Follow-up","2nd Email Follow-up","Escalation to Local Office","Escalation to CBE","Escalation to Roxanne")&amp;" sent "&amp;TEXT($X375,"dd-mmm")&amp;". "&amp;IF($W375=6,"Final escalation completed.",IF($T375="OVERDUE","Next: "&amp;$Z375&amp;" was due "&amp;TEXT($Y375,"dd-mmm")&amp;" - "&amp;(NETWORKDAYS($Y375,TODAY(),Holidays)-1)&amp;" business day(s) late. Send now.",IF($T375="DUE TOMORROW","Next: "&amp;$Z375&amp;IF($Y375&lt;=TODAY()," is due TODAY ("," is due next business day (")&amp;TEXT($Y375,"dd-mmm")&amp;").","Next: "&amp;$Z375&amp;" due "&amp;TEXT($Y375,"dd-mmm")&amp;" ("&amp;(NETWORKDAYS(TODAY(),$Y375,Holidays)-1)&amp;" business day(s) left).")))))</f>
        <v/>
      </c>
      <c r="V375" s="17">
        <f>IF($W375="","",CHOOSE($W375,"Collection Email","1st Follow-up","2nd Follow-up","Local Office","CBE","Roxanne")&amp;IF($W375=6," - Final"," - Day "&amp;MAX(0,NETWORKDAYS($X375,TODAY(),Holidays)-1)&amp;" of "&amp;CHOOSE($W375,3,3,2,2,3))&amp;" | Total Day "&amp;MAX(0,NETWORKDAYS($L375,TODAY(),Holidays)-1))</f>
        <v/>
      </c>
      <c r="W375" s="17">
        <f>IF($L375="","",COUNT($L375:$Q375))</f>
        <v/>
      </c>
      <c r="X375" s="18">
        <f>IF($W375="","",INT(INDEX($L375:$Q375,$W375)))</f>
        <v/>
      </c>
      <c r="Y375" s="18">
        <f>IF(OR($W375="",$W375=6),"",WORKDAY($X375,CHOOSE($W375,3,3,2,2,3),Holidays))</f>
        <v/>
      </c>
      <c r="Z375" s="17">
        <f>IF(OR($W375="",$W375=6),"",CHOOSE($W375,"1st Email Follow-up","2nd Email Follow-up","Escalate Local Office","Escalate to CBE","Escalate to Roxanne"))</f>
        <v/>
      </c>
    </row>
    <row r="376" spans="18:26">
      <c r="R376" s="15"/>
      <c r="S376" s="16"/>
      <c r="T376" s="17">
        <f>IF(AND(COUNTA($A376:$K376)=0,$L376=""),"",IF($S376="Paid","PAID",IF($S376="Closed","CLOSED",IF($W376="","",IF($W376=6,"ESCALATED TO ROXANNE",IF(TODAY()&gt;$Y376,"OVERDUE",IF($Y376&lt;=WORKDAY(TODAY(),1,Holidays),"DUE TOMORROW",IF($W376=4,"ESCALATED TO LOCAL OFFICE",IF($W376=5,"ESCALATED TO CBE",IF($X376=TODAY(),"EMAIL SENT","MONITORING"))))))))))</f>
        <v/>
      </c>
      <c r="U376" s="17">
        <f>IF($T376="",IF(AND(COUNTA($A376:$K376)&gt;0,$L376=""),"Awaiting Collection Email time stamp.",""),IF(OR($T376="PAID",$T376="CLOSED"),IF($T376="PAID","Account paid. Action completed.","Account closed. No further action required."),CHOOSE($W376,"Collection Email","1st Email Follow-up","2nd Email Follow-up","Escalation to Local Office","Escalation to CBE","Escalation to Roxanne")&amp;" sent "&amp;TEXT($X376,"dd-mmm")&amp;". "&amp;IF($W376=6,"Final escalation completed.",IF($T376="OVERDUE","Next: "&amp;$Z376&amp;" was due "&amp;TEXT($Y376,"dd-mmm")&amp;" - "&amp;(NETWORKDAYS($Y376,TODAY(),Holidays)-1)&amp;" business day(s) late. Send now.",IF($T376="DUE TOMORROW","Next: "&amp;$Z376&amp;IF($Y376&lt;=TODAY()," is due TODAY ("," is due next business day (")&amp;TEXT($Y376,"dd-mmm")&amp;").","Next: "&amp;$Z376&amp;" due "&amp;TEXT($Y376,"dd-mmm")&amp;" ("&amp;(NETWORKDAYS(TODAY(),$Y376,Holidays)-1)&amp;" business day(s) left).")))))</f>
        <v/>
      </c>
      <c r="V376" s="17">
        <f>IF($W376="","",CHOOSE($W376,"Collection Email","1st Follow-up","2nd Follow-up","Local Office","CBE","Roxanne")&amp;IF($W376=6," - Final"," - Day "&amp;MAX(0,NETWORKDAYS($X376,TODAY(),Holidays)-1)&amp;" of "&amp;CHOOSE($W376,3,3,2,2,3))&amp;" | Total Day "&amp;MAX(0,NETWORKDAYS($L376,TODAY(),Holidays)-1))</f>
        <v/>
      </c>
      <c r="W376" s="17">
        <f>IF($L376="","",COUNT($L376:$Q376))</f>
        <v/>
      </c>
      <c r="X376" s="18">
        <f>IF($W376="","",INT(INDEX($L376:$Q376,$W376)))</f>
        <v/>
      </c>
      <c r="Y376" s="18">
        <f>IF(OR($W376="",$W376=6),"",WORKDAY($X376,CHOOSE($W376,3,3,2,2,3),Holidays))</f>
        <v/>
      </c>
      <c r="Z376" s="17">
        <f>IF(OR($W376="",$W376=6),"",CHOOSE($W376,"1st Email Follow-up","2nd Email Follow-up","Escalate Local Office","Escalate to CBE","Escalate to Roxanne"))</f>
        <v/>
      </c>
    </row>
    <row r="377" spans="18:26">
      <c r="R377" s="15"/>
      <c r="S377" s="16"/>
      <c r="T377" s="17">
        <f>IF(AND(COUNTA($A377:$K377)=0,$L377=""),"",IF($S377="Paid","PAID",IF($S377="Closed","CLOSED",IF($W377="","",IF($W377=6,"ESCALATED TO ROXANNE",IF(TODAY()&gt;$Y377,"OVERDUE",IF($Y377&lt;=WORKDAY(TODAY(),1,Holidays),"DUE TOMORROW",IF($W377=4,"ESCALATED TO LOCAL OFFICE",IF($W377=5,"ESCALATED TO CBE",IF($X377=TODAY(),"EMAIL SENT","MONITORING"))))))))))</f>
        <v/>
      </c>
      <c r="U377" s="17">
        <f>IF($T377="",IF(AND(COUNTA($A377:$K377)&gt;0,$L377=""),"Awaiting Collection Email time stamp.",""),IF(OR($T377="PAID",$T377="CLOSED"),IF($T377="PAID","Account paid. Action completed.","Account closed. No further action required."),CHOOSE($W377,"Collection Email","1st Email Follow-up","2nd Email Follow-up","Escalation to Local Office","Escalation to CBE","Escalation to Roxanne")&amp;" sent "&amp;TEXT($X377,"dd-mmm")&amp;". "&amp;IF($W377=6,"Final escalation completed.",IF($T377="OVERDUE","Next: "&amp;$Z377&amp;" was due "&amp;TEXT($Y377,"dd-mmm")&amp;" - "&amp;(NETWORKDAYS($Y377,TODAY(),Holidays)-1)&amp;" business day(s) late. Send now.",IF($T377="DUE TOMORROW","Next: "&amp;$Z377&amp;IF($Y377&lt;=TODAY()," is due TODAY ("," is due next business day (")&amp;TEXT($Y377,"dd-mmm")&amp;").","Next: "&amp;$Z377&amp;" due "&amp;TEXT($Y377,"dd-mmm")&amp;" ("&amp;(NETWORKDAYS(TODAY(),$Y377,Holidays)-1)&amp;" business day(s) left).")))))</f>
        <v/>
      </c>
      <c r="V377" s="17">
        <f>IF($W377="","",CHOOSE($W377,"Collection Email","1st Follow-up","2nd Follow-up","Local Office","CBE","Roxanne")&amp;IF($W377=6," - Final"," - Day "&amp;MAX(0,NETWORKDAYS($X377,TODAY(),Holidays)-1)&amp;" of "&amp;CHOOSE($W377,3,3,2,2,3))&amp;" | Total Day "&amp;MAX(0,NETWORKDAYS($L377,TODAY(),Holidays)-1))</f>
        <v/>
      </c>
      <c r="W377" s="17">
        <f>IF($L377="","",COUNT($L377:$Q377))</f>
        <v/>
      </c>
      <c r="X377" s="18">
        <f>IF($W377="","",INT(INDEX($L377:$Q377,$W377)))</f>
        <v/>
      </c>
      <c r="Y377" s="18">
        <f>IF(OR($W377="",$W377=6),"",WORKDAY($X377,CHOOSE($W377,3,3,2,2,3),Holidays))</f>
        <v/>
      </c>
      <c r="Z377" s="17">
        <f>IF(OR($W377="",$W377=6),"",CHOOSE($W377,"1st Email Follow-up","2nd Email Follow-up","Escalate Local Office","Escalate to CBE","Escalate to Roxanne"))</f>
        <v/>
      </c>
    </row>
    <row r="378" spans="18:26">
      <c r="R378" s="15"/>
      <c r="S378" s="16"/>
      <c r="T378" s="17">
        <f>IF(AND(COUNTA($A378:$K378)=0,$L378=""),"",IF($S378="Paid","PAID",IF($S378="Closed","CLOSED",IF($W378="","",IF($W378=6,"ESCALATED TO ROXANNE",IF(TODAY()&gt;$Y378,"OVERDUE",IF($Y378&lt;=WORKDAY(TODAY(),1,Holidays),"DUE TOMORROW",IF($W378=4,"ESCALATED TO LOCAL OFFICE",IF($W378=5,"ESCALATED TO CBE",IF($X378=TODAY(),"EMAIL SENT","MONITORING"))))))))))</f>
        <v/>
      </c>
      <c r="U378" s="17">
        <f>IF($T378="",IF(AND(COUNTA($A378:$K378)&gt;0,$L378=""),"Awaiting Collection Email time stamp.",""),IF(OR($T378="PAID",$T378="CLOSED"),IF($T378="PAID","Account paid. Action completed.","Account closed. No further action required."),CHOOSE($W378,"Collection Email","1st Email Follow-up","2nd Email Follow-up","Escalation to Local Office","Escalation to CBE","Escalation to Roxanne")&amp;" sent "&amp;TEXT($X378,"dd-mmm")&amp;". "&amp;IF($W378=6,"Final escalation completed.",IF($T378="OVERDUE","Next: "&amp;$Z378&amp;" was due "&amp;TEXT($Y378,"dd-mmm")&amp;" - "&amp;(NETWORKDAYS($Y378,TODAY(),Holidays)-1)&amp;" business day(s) late. Send now.",IF($T378="DUE TOMORROW","Next: "&amp;$Z378&amp;IF($Y378&lt;=TODAY()," is due TODAY ("," is due next business day (")&amp;TEXT($Y378,"dd-mmm")&amp;").","Next: "&amp;$Z378&amp;" due "&amp;TEXT($Y378,"dd-mmm")&amp;" ("&amp;(NETWORKDAYS(TODAY(),$Y378,Holidays)-1)&amp;" business day(s) left).")))))</f>
        <v/>
      </c>
      <c r="V378" s="17">
        <f>IF($W378="","",CHOOSE($W378,"Collection Email","1st Follow-up","2nd Follow-up","Local Office","CBE","Roxanne")&amp;IF($W378=6," - Final"," - Day "&amp;MAX(0,NETWORKDAYS($X378,TODAY(),Holidays)-1)&amp;" of "&amp;CHOOSE($W378,3,3,2,2,3))&amp;" | Total Day "&amp;MAX(0,NETWORKDAYS($L378,TODAY(),Holidays)-1))</f>
        <v/>
      </c>
      <c r="W378" s="17">
        <f>IF($L378="","",COUNT($L378:$Q378))</f>
        <v/>
      </c>
      <c r="X378" s="18">
        <f>IF($W378="","",INT(INDEX($L378:$Q378,$W378)))</f>
        <v/>
      </c>
      <c r="Y378" s="18">
        <f>IF(OR($W378="",$W378=6),"",WORKDAY($X378,CHOOSE($W378,3,3,2,2,3),Holidays))</f>
        <v/>
      </c>
      <c r="Z378" s="17">
        <f>IF(OR($W378="",$W378=6),"",CHOOSE($W378,"1st Email Follow-up","2nd Email Follow-up","Escalate Local Office","Escalate to CBE","Escalate to Roxanne"))</f>
        <v/>
      </c>
    </row>
    <row r="379" spans="18:26">
      <c r="R379" s="15"/>
      <c r="S379" s="16"/>
      <c r="T379" s="17">
        <f>IF(AND(COUNTA($A379:$K379)=0,$L379=""),"",IF($S379="Paid","PAID",IF($S379="Closed","CLOSED",IF($W379="","",IF($W379=6,"ESCALATED TO ROXANNE",IF(TODAY()&gt;$Y379,"OVERDUE",IF($Y379&lt;=WORKDAY(TODAY(),1,Holidays),"DUE TOMORROW",IF($W379=4,"ESCALATED TO LOCAL OFFICE",IF($W379=5,"ESCALATED TO CBE",IF($X379=TODAY(),"EMAIL SENT","MONITORING"))))))))))</f>
        <v/>
      </c>
      <c r="U379" s="17">
        <f>IF($T379="",IF(AND(COUNTA($A379:$K379)&gt;0,$L379=""),"Awaiting Collection Email time stamp.",""),IF(OR($T379="PAID",$T379="CLOSED"),IF($T379="PAID","Account paid. Action completed.","Account closed. No further action required."),CHOOSE($W379,"Collection Email","1st Email Follow-up","2nd Email Follow-up","Escalation to Local Office","Escalation to CBE","Escalation to Roxanne")&amp;" sent "&amp;TEXT($X379,"dd-mmm")&amp;". "&amp;IF($W379=6,"Final escalation completed.",IF($T379="OVERDUE","Next: "&amp;$Z379&amp;" was due "&amp;TEXT($Y379,"dd-mmm")&amp;" - "&amp;(NETWORKDAYS($Y379,TODAY(),Holidays)-1)&amp;" business day(s) late. Send now.",IF($T379="DUE TOMORROW","Next: "&amp;$Z379&amp;IF($Y379&lt;=TODAY()," is due TODAY ("," is due next business day (")&amp;TEXT($Y379,"dd-mmm")&amp;").","Next: "&amp;$Z379&amp;" due "&amp;TEXT($Y379,"dd-mmm")&amp;" ("&amp;(NETWORKDAYS(TODAY(),$Y379,Holidays)-1)&amp;" business day(s) left).")))))</f>
        <v/>
      </c>
      <c r="V379" s="17">
        <f>IF($W379="","",CHOOSE($W379,"Collection Email","1st Follow-up","2nd Follow-up","Local Office","CBE","Roxanne")&amp;IF($W379=6," - Final"," - Day "&amp;MAX(0,NETWORKDAYS($X379,TODAY(),Holidays)-1)&amp;" of "&amp;CHOOSE($W379,3,3,2,2,3))&amp;" | Total Day "&amp;MAX(0,NETWORKDAYS($L379,TODAY(),Holidays)-1))</f>
        <v/>
      </c>
      <c r="W379" s="17">
        <f>IF($L379="","",COUNT($L379:$Q379))</f>
        <v/>
      </c>
      <c r="X379" s="18">
        <f>IF($W379="","",INT(INDEX($L379:$Q379,$W379)))</f>
        <v/>
      </c>
      <c r="Y379" s="18">
        <f>IF(OR($W379="",$W379=6),"",WORKDAY($X379,CHOOSE($W379,3,3,2,2,3),Holidays))</f>
        <v/>
      </c>
      <c r="Z379" s="17">
        <f>IF(OR($W379="",$W379=6),"",CHOOSE($W379,"1st Email Follow-up","2nd Email Follow-up","Escalate Local Office","Escalate to CBE","Escalate to Roxanne"))</f>
        <v/>
      </c>
    </row>
    <row r="380" spans="18:26">
      <c r="R380" s="15"/>
      <c r="S380" s="16"/>
      <c r="T380" s="17">
        <f>IF(AND(COUNTA($A380:$K380)=0,$L380=""),"",IF($S380="Paid","PAID",IF($S380="Closed","CLOSED",IF($W380="","",IF($W380=6,"ESCALATED TO ROXANNE",IF(TODAY()&gt;$Y380,"OVERDUE",IF($Y380&lt;=WORKDAY(TODAY(),1,Holidays),"DUE TOMORROW",IF($W380=4,"ESCALATED TO LOCAL OFFICE",IF($W380=5,"ESCALATED TO CBE",IF($X380=TODAY(),"EMAIL SENT","MONITORING"))))))))))</f>
        <v/>
      </c>
      <c r="U380" s="17">
        <f>IF($T380="",IF(AND(COUNTA($A380:$K380)&gt;0,$L380=""),"Awaiting Collection Email time stamp.",""),IF(OR($T380="PAID",$T380="CLOSED"),IF($T380="PAID","Account paid. Action completed.","Account closed. No further action required."),CHOOSE($W380,"Collection Email","1st Email Follow-up","2nd Email Follow-up","Escalation to Local Office","Escalation to CBE","Escalation to Roxanne")&amp;" sent "&amp;TEXT($X380,"dd-mmm")&amp;". "&amp;IF($W380=6,"Final escalation completed.",IF($T380="OVERDUE","Next: "&amp;$Z380&amp;" was due "&amp;TEXT($Y380,"dd-mmm")&amp;" - "&amp;(NETWORKDAYS($Y380,TODAY(),Holidays)-1)&amp;" business day(s) late. Send now.",IF($T380="DUE TOMORROW","Next: "&amp;$Z380&amp;IF($Y380&lt;=TODAY()," is due TODAY ("," is due next business day (")&amp;TEXT($Y380,"dd-mmm")&amp;").","Next: "&amp;$Z380&amp;" due "&amp;TEXT($Y380,"dd-mmm")&amp;" ("&amp;(NETWORKDAYS(TODAY(),$Y380,Holidays)-1)&amp;" business day(s) left).")))))</f>
        <v/>
      </c>
      <c r="V380" s="17">
        <f>IF($W380="","",CHOOSE($W380,"Collection Email","1st Follow-up","2nd Follow-up","Local Office","CBE","Roxanne")&amp;IF($W380=6," - Final"," - Day "&amp;MAX(0,NETWORKDAYS($X380,TODAY(),Holidays)-1)&amp;" of "&amp;CHOOSE($W380,3,3,2,2,3))&amp;" | Total Day "&amp;MAX(0,NETWORKDAYS($L380,TODAY(),Holidays)-1))</f>
        <v/>
      </c>
      <c r="W380" s="17">
        <f>IF($L380="","",COUNT($L380:$Q380))</f>
        <v/>
      </c>
      <c r="X380" s="18">
        <f>IF($W380="","",INT(INDEX($L380:$Q380,$W380)))</f>
        <v/>
      </c>
      <c r="Y380" s="18">
        <f>IF(OR($W380="",$W380=6),"",WORKDAY($X380,CHOOSE($W380,3,3,2,2,3),Holidays))</f>
        <v/>
      </c>
      <c r="Z380" s="17">
        <f>IF(OR($W380="",$W380=6),"",CHOOSE($W380,"1st Email Follow-up","2nd Email Follow-up","Escalate Local Office","Escalate to CBE","Escalate to Roxanne"))</f>
        <v/>
      </c>
    </row>
    <row r="381" spans="18:26">
      <c r="R381" s="15"/>
      <c r="S381" s="16"/>
      <c r="T381" s="17">
        <f>IF(AND(COUNTA($A381:$K381)=0,$L381=""),"",IF($S381="Paid","PAID",IF($S381="Closed","CLOSED",IF($W381="","",IF($W381=6,"ESCALATED TO ROXANNE",IF(TODAY()&gt;$Y381,"OVERDUE",IF($Y381&lt;=WORKDAY(TODAY(),1,Holidays),"DUE TOMORROW",IF($W381=4,"ESCALATED TO LOCAL OFFICE",IF($W381=5,"ESCALATED TO CBE",IF($X381=TODAY(),"EMAIL SENT","MONITORING"))))))))))</f>
        <v/>
      </c>
      <c r="U381" s="17">
        <f>IF($T381="",IF(AND(COUNTA($A381:$K381)&gt;0,$L381=""),"Awaiting Collection Email time stamp.",""),IF(OR($T381="PAID",$T381="CLOSED"),IF($T381="PAID","Account paid. Action completed.","Account closed. No further action required."),CHOOSE($W381,"Collection Email","1st Email Follow-up","2nd Email Follow-up","Escalation to Local Office","Escalation to CBE","Escalation to Roxanne")&amp;" sent "&amp;TEXT($X381,"dd-mmm")&amp;". "&amp;IF($W381=6,"Final escalation completed.",IF($T381="OVERDUE","Next: "&amp;$Z381&amp;" was due "&amp;TEXT($Y381,"dd-mmm")&amp;" - "&amp;(NETWORKDAYS($Y381,TODAY(),Holidays)-1)&amp;" business day(s) late. Send now.",IF($T381="DUE TOMORROW","Next: "&amp;$Z381&amp;IF($Y381&lt;=TODAY()," is due TODAY ("," is due next business day (")&amp;TEXT($Y381,"dd-mmm")&amp;").","Next: "&amp;$Z381&amp;" due "&amp;TEXT($Y381,"dd-mmm")&amp;" ("&amp;(NETWORKDAYS(TODAY(),$Y381,Holidays)-1)&amp;" business day(s) left).")))))</f>
        <v/>
      </c>
      <c r="V381" s="17">
        <f>IF($W381="","",CHOOSE($W381,"Collection Email","1st Follow-up","2nd Follow-up","Local Office","CBE","Roxanne")&amp;IF($W381=6," - Final"," - Day "&amp;MAX(0,NETWORKDAYS($X381,TODAY(),Holidays)-1)&amp;" of "&amp;CHOOSE($W381,3,3,2,2,3))&amp;" | Total Day "&amp;MAX(0,NETWORKDAYS($L381,TODAY(),Holidays)-1))</f>
        <v/>
      </c>
      <c r="W381" s="17">
        <f>IF($L381="","",COUNT($L381:$Q381))</f>
        <v/>
      </c>
      <c r="X381" s="18">
        <f>IF($W381="","",INT(INDEX($L381:$Q381,$W381)))</f>
        <v/>
      </c>
      <c r="Y381" s="18">
        <f>IF(OR($W381="",$W381=6),"",WORKDAY($X381,CHOOSE($W381,3,3,2,2,3),Holidays))</f>
        <v/>
      </c>
      <c r="Z381" s="17">
        <f>IF(OR($W381="",$W381=6),"",CHOOSE($W381,"1st Email Follow-up","2nd Email Follow-up","Escalate Local Office","Escalate to CBE","Escalate to Roxanne"))</f>
        <v/>
      </c>
    </row>
    <row r="382" spans="18:26">
      <c r="R382" s="15"/>
      <c r="S382" s="16"/>
      <c r="T382" s="17">
        <f>IF(AND(COUNTA($A382:$K382)=0,$L382=""),"",IF($S382="Paid","PAID",IF($S382="Closed","CLOSED",IF($W382="","",IF($W382=6,"ESCALATED TO ROXANNE",IF(TODAY()&gt;$Y382,"OVERDUE",IF($Y382&lt;=WORKDAY(TODAY(),1,Holidays),"DUE TOMORROW",IF($W382=4,"ESCALATED TO LOCAL OFFICE",IF($W382=5,"ESCALATED TO CBE",IF($X382=TODAY(),"EMAIL SENT","MONITORING"))))))))))</f>
        <v/>
      </c>
      <c r="U382" s="17">
        <f>IF($T382="",IF(AND(COUNTA($A382:$K382)&gt;0,$L382=""),"Awaiting Collection Email time stamp.",""),IF(OR($T382="PAID",$T382="CLOSED"),IF($T382="PAID","Account paid. Action completed.","Account closed. No further action required."),CHOOSE($W382,"Collection Email","1st Email Follow-up","2nd Email Follow-up","Escalation to Local Office","Escalation to CBE","Escalation to Roxanne")&amp;" sent "&amp;TEXT($X382,"dd-mmm")&amp;". "&amp;IF($W382=6,"Final escalation completed.",IF($T382="OVERDUE","Next: "&amp;$Z382&amp;" was due "&amp;TEXT($Y382,"dd-mmm")&amp;" - "&amp;(NETWORKDAYS($Y382,TODAY(),Holidays)-1)&amp;" business day(s) late. Send now.",IF($T382="DUE TOMORROW","Next: "&amp;$Z382&amp;IF($Y382&lt;=TODAY()," is due TODAY ("," is due next business day (")&amp;TEXT($Y382,"dd-mmm")&amp;").","Next: "&amp;$Z382&amp;" due "&amp;TEXT($Y382,"dd-mmm")&amp;" ("&amp;(NETWORKDAYS(TODAY(),$Y382,Holidays)-1)&amp;" business day(s) left).")))))</f>
        <v/>
      </c>
      <c r="V382" s="17">
        <f>IF($W382="","",CHOOSE($W382,"Collection Email","1st Follow-up","2nd Follow-up","Local Office","CBE","Roxanne")&amp;IF($W382=6," - Final"," - Day "&amp;MAX(0,NETWORKDAYS($X382,TODAY(),Holidays)-1)&amp;" of "&amp;CHOOSE($W382,3,3,2,2,3))&amp;" | Total Day "&amp;MAX(0,NETWORKDAYS($L382,TODAY(),Holidays)-1))</f>
        <v/>
      </c>
      <c r="W382" s="17">
        <f>IF($L382="","",COUNT($L382:$Q382))</f>
        <v/>
      </c>
      <c r="X382" s="18">
        <f>IF($W382="","",INT(INDEX($L382:$Q382,$W382)))</f>
        <v/>
      </c>
      <c r="Y382" s="18">
        <f>IF(OR($W382="",$W382=6),"",WORKDAY($X382,CHOOSE($W382,3,3,2,2,3),Holidays))</f>
        <v/>
      </c>
      <c r="Z382" s="17">
        <f>IF(OR($W382="",$W382=6),"",CHOOSE($W382,"1st Email Follow-up","2nd Email Follow-up","Escalate Local Office","Escalate to CBE","Escalate to Roxanne"))</f>
        <v/>
      </c>
    </row>
    <row r="383" spans="18:26">
      <c r="R383" s="15"/>
      <c r="S383" s="16"/>
      <c r="T383" s="17">
        <f>IF(AND(COUNTA($A383:$K383)=0,$L383=""),"",IF($S383="Paid","PAID",IF($S383="Closed","CLOSED",IF($W383="","",IF($W383=6,"ESCALATED TO ROXANNE",IF(TODAY()&gt;$Y383,"OVERDUE",IF($Y383&lt;=WORKDAY(TODAY(),1,Holidays),"DUE TOMORROW",IF($W383=4,"ESCALATED TO LOCAL OFFICE",IF($W383=5,"ESCALATED TO CBE",IF($X383=TODAY(),"EMAIL SENT","MONITORING"))))))))))</f>
        <v/>
      </c>
      <c r="U383" s="17">
        <f>IF($T383="",IF(AND(COUNTA($A383:$K383)&gt;0,$L383=""),"Awaiting Collection Email time stamp.",""),IF(OR($T383="PAID",$T383="CLOSED"),IF($T383="PAID","Account paid. Action completed.","Account closed. No further action required."),CHOOSE($W383,"Collection Email","1st Email Follow-up","2nd Email Follow-up","Escalation to Local Office","Escalation to CBE","Escalation to Roxanne")&amp;" sent "&amp;TEXT($X383,"dd-mmm")&amp;". "&amp;IF($W383=6,"Final escalation completed.",IF($T383="OVERDUE","Next: "&amp;$Z383&amp;" was due "&amp;TEXT($Y383,"dd-mmm")&amp;" - "&amp;(NETWORKDAYS($Y383,TODAY(),Holidays)-1)&amp;" business day(s) late. Send now.",IF($T383="DUE TOMORROW","Next: "&amp;$Z383&amp;IF($Y383&lt;=TODAY()," is due TODAY ("," is due next business day (")&amp;TEXT($Y383,"dd-mmm")&amp;").","Next: "&amp;$Z383&amp;" due "&amp;TEXT($Y383,"dd-mmm")&amp;" ("&amp;(NETWORKDAYS(TODAY(),$Y383,Holidays)-1)&amp;" business day(s) left).")))))</f>
        <v/>
      </c>
      <c r="V383" s="17">
        <f>IF($W383="","",CHOOSE($W383,"Collection Email","1st Follow-up","2nd Follow-up","Local Office","CBE","Roxanne")&amp;IF($W383=6," - Final"," - Day "&amp;MAX(0,NETWORKDAYS($X383,TODAY(),Holidays)-1)&amp;" of "&amp;CHOOSE($W383,3,3,2,2,3))&amp;" | Total Day "&amp;MAX(0,NETWORKDAYS($L383,TODAY(),Holidays)-1))</f>
        <v/>
      </c>
      <c r="W383" s="17">
        <f>IF($L383="","",COUNT($L383:$Q383))</f>
        <v/>
      </c>
      <c r="X383" s="18">
        <f>IF($W383="","",INT(INDEX($L383:$Q383,$W383)))</f>
        <v/>
      </c>
      <c r="Y383" s="18">
        <f>IF(OR($W383="",$W383=6),"",WORKDAY($X383,CHOOSE($W383,3,3,2,2,3),Holidays))</f>
        <v/>
      </c>
      <c r="Z383" s="17">
        <f>IF(OR($W383="",$W383=6),"",CHOOSE($W383,"1st Email Follow-up","2nd Email Follow-up","Escalate Local Office","Escalate to CBE","Escalate to Roxanne"))</f>
        <v/>
      </c>
    </row>
    <row r="384" spans="18:26">
      <c r="R384" s="15"/>
      <c r="S384" s="16"/>
      <c r="T384" s="17">
        <f>IF(AND(COUNTA($A384:$K384)=0,$L384=""),"",IF($S384="Paid","PAID",IF($S384="Closed","CLOSED",IF($W384="","",IF($W384=6,"ESCALATED TO ROXANNE",IF(TODAY()&gt;$Y384,"OVERDUE",IF($Y384&lt;=WORKDAY(TODAY(),1,Holidays),"DUE TOMORROW",IF($W384=4,"ESCALATED TO LOCAL OFFICE",IF($W384=5,"ESCALATED TO CBE",IF($X384=TODAY(),"EMAIL SENT","MONITORING"))))))))))</f>
        <v/>
      </c>
      <c r="U384" s="17">
        <f>IF($T384="",IF(AND(COUNTA($A384:$K384)&gt;0,$L384=""),"Awaiting Collection Email time stamp.",""),IF(OR($T384="PAID",$T384="CLOSED"),IF($T384="PAID","Account paid. Action completed.","Account closed. No further action required."),CHOOSE($W384,"Collection Email","1st Email Follow-up","2nd Email Follow-up","Escalation to Local Office","Escalation to CBE","Escalation to Roxanne")&amp;" sent "&amp;TEXT($X384,"dd-mmm")&amp;". "&amp;IF($W384=6,"Final escalation completed.",IF($T384="OVERDUE","Next: "&amp;$Z384&amp;" was due "&amp;TEXT($Y384,"dd-mmm")&amp;" - "&amp;(NETWORKDAYS($Y384,TODAY(),Holidays)-1)&amp;" business day(s) late. Send now.",IF($T384="DUE TOMORROW","Next: "&amp;$Z384&amp;IF($Y384&lt;=TODAY()," is due TODAY ("," is due next business day (")&amp;TEXT($Y384,"dd-mmm")&amp;").","Next: "&amp;$Z384&amp;" due "&amp;TEXT($Y384,"dd-mmm")&amp;" ("&amp;(NETWORKDAYS(TODAY(),$Y384,Holidays)-1)&amp;" business day(s) left).")))))</f>
        <v/>
      </c>
      <c r="V384" s="17">
        <f>IF($W384="","",CHOOSE($W384,"Collection Email","1st Follow-up","2nd Follow-up","Local Office","CBE","Roxanne")&amp;IF($W384=6," - Final"," - Day "&amp;MAX(0,NETWORKDAYS($X384,TODAY(),Holidays)-1)&amp;" of "&amp;CHOOSE($W384,3,3,2,2,3))&amp;" | Total Day "&amp;MAX(0,NETWORKDAYS($L384,TODAY(),Holidays)-1))</f>
        <v/>
      </c>
      <c r="W384" s="17">
        <f>IF($L384="","",COUNT($L384:$Q384))</f>
        <v/>
      </c>
      <c r="X384" s="18">
        <f>IF($W384="","",INT(INDEX($L384:$Q384,$W384)))</f>
        <v/>
      </c>
      <c r="Y384" s="18">
        <f>IF(OR($W384="",$W384=6),"",WORKDAY($X384,CHOOSE($W384,3,3,2,2,3),Holidays))</f>
        <v/>
      </c>
      <c r="Z384" s="17">
        <f>IF(OR($W384="",$W384=6),"",CHOOSE($W384,"1st Email Follow-up","2nd Email Follow-up","Escalate Local Office","Escalate to CBE","Escalate to Roxanne"))</f>
        <v/>
      </c>
    </row>
    <row r="385" spans="18:26">
      <c r="R385" s="15"/>
      <c r="S385" s="16"/>
      <c r="T385" s="17">
        <f>IF(AND(COUNTA($A385:$K385)=0,$L385=""),"",IF($S385="Paid","PAID",IF($S385="Closed","CLOSED",IF($W385="","",IF($W385=6,"ESCALATED TO ROXANNE",IF(TODAY()&gt;$Y385,"OVERDUE",IF($Y385&lt;=WORKDAY(TODAY(),1,Holidays),"DUE TOMORROW",IF($W385=4,"ESCALATED TO LOCAL OFFICE",IF($W385=5,"ESCALATED TO CBE",IF($X385=TODAY(),"EMAIL SENT","MONITORING"))))))))))</f>
        <v/>
      </c>
      <c r="U385" s="17">
        <f>IF($T385="",IF(AND(COUNTA($A385:$K385)&gt;0,$L385=""),"Awaiting Collection Email time stamp.",""),IF(OR($T385="PAID",$T385="CLOSED"),IF($T385="PAID","Account paid. Action completed.","Account closed. No further action required."),CHOOSE($W385,"Collection Email","1st Email Follow-up","2nd Email Follow-up","Escalation to Local Office","Escalation to CBE","Escalation to Roxanne")&amp;" sent "&amp;TEXT($X385,"dd-mmm")&amp;". "&amp;IF($W385=6,"Final escalation completed.",IF($T385="OVERDUE","Next: "&amp;$Z385&amp;" was due "&amp;TEXT($Y385,"dd-mmm")&amp;" - "&amp;(NETWORKDAYS($Y385,TODAY(),Holidays)-1)&amp;" business day(s) late. Send now.",IF($T385="DUE TOMORROW","Next: "&amp;$Z385&amp;IF($Y385&lt;=TODAY()," is due TODAY ("," is due next business day (")&amp;TEXT($Y385,"dd-mmm")&amp;").","Next: "&amp;$Z385&amp;" due "&amp;TEXT($Y385,"dd-mmm")&amp;" ("&amp;(NETWORKDAYS(TODAY(),$Y385,Holidays)-1)&amp;" business day(s) left).")))))</f>
        <v/>
      </c>
      <c r="V385" s="17">
        <f>IF($W385="","",CHOOSE($W385,"Collection Email","1st Follow-up","2nd Follow-up","Local Office","CBE","Roxanne")&amp;IF($W385=6," - Final"," - Day "&amp;MAX(0,NETWORKDAYS($X385,TODAY(),Holidays)-1)&amp;" of "&amp;CHOOSE($W385,3,3,2,2,3))&amp;" | Total Day "&amp;MAX(0,NETWORKDAYS($L385,TODAY(),Holidays)-1))</f>
        <v/>
      </c>
      <c r="W385" s="17">
        <f>IF($L385="","",COUNT($L385:$Q385))</f>
        <v/>
      </c>
      <c r="X385" s="18">
        <f>IF($W385="","",INT(INDEX($L385:$Q385,$W385)))</f>
        <v/>
      </c>
      <c r="Y385" s="18">
        <f>IF(OR($W385="",$W385=6),"",WORKDAY($X385,CHOOSE($W385,3,3,2,2,3),Holidays))</f>
        <v/>
      </c>
      <c r="Z385" s="17">
        <f>IF(OR($W385="",$W385=6),"",CHOOSE($W385,"1st Email Follow-up","2nd Email Follow-up","Escalate Local Office","Escalate to CBE","Escalate to Roxanne"))</f>
        <v/>
      </c>
    </row>
    <row r="386" spans="18:26">
      <c r="R386" s="15"/>
      <c r="S386" s="16"/>
      <c r="T386" s="17">
        <f>IF(AND(COUNTA($A386:$K386)=0,$L386=""),"",IF($S386="Paid","PAID",IF($S386="Closed","CLOSED",IF($W386="","",IF($W386=6,"ESCALATED TO ROXANNE",IF(TODAY()&gt;$Y386,"OVERDUE",IF($Y386&lt;=WORKDAY(TODAY(),1,Holidays),"DUE TOMORROW",IF($W386=4,"ESCALATED TO LOCAL OFFICE",IF($W386=5,"ESCALATED TO CBE",IF($X386=TODAY(),"EMAIL SENT","MONITORING"))))))))))</f>
        <v/>
      </c>
      <c r="U386" s="17">
        <f>IF($T386="",IF(AND(COUNTA($A386:$K386)&gt;0,$L386=""),"Awaiting Collection Email time stamp.",""),IF(OR($T386="PAID",$T386="CLOSED"),IF($T386="PAID","Account paid. Action completed.","Account closed. No further action required."),CHOOSE($W386,"Collection Email","1st Email Follow-up","2nd Email Follow-up","Escalation to Local Office","Escalation to CBE","Escalation to Roxanne")&amp;" sent "&amp;TEXT($X386,"dd-mmm")&amp;". "&amp;IF($W386=6,"Final escalation completed.",IF($T386="OVERDUE","Next: "&amp;$Z386&amp;" was due "&amp;TEXT($Y386,"dd-mmm")&amp;" - "&amp;(NETWORKDAYS($Y386,TODAY(),Holidays)-1)&amp;" business day(s) late. Send now.",IF($T386="DUE TOMORROW","Next: "&amp;$Z386&amp;IF($Y386&lt;=TODAY()," is due TODAY ("," is due next business day (")&amp;TEXT($Y386,"dd-mmm")&amp;").","Next: "&amp;$Z386&amp;" due "&amp;TEXT($Y386,"dd-mmm")&amp;" ("&amp;(NETWORKDAYS(TODAY(),$Y386,Holidays)-1)&amp;" business day(s) left).")))))</f>
        <v/>
      </c>
      <c r="V386" s="17">
        <f>IF($W386="","",CHOOSE($W386,"Collection Email","1st Follow-up","2nd Follow-up","Local Office","CBE","Roxanne")&amp;IF($W386=6," - Final"," - Day "&amp;MAX(0,NETWORKDAYS($X386,TODAY(),Holidays)-1)&amp;" of "&amp;CHOOSE($W386,3,3,2,2,3))&amp;" | Total Day "&amp;MAX(0,NETWORKDAYS($L386,TODAY(),Holidays)-1))</f>
        <v/>
      </c>
      <c r="W386" s="17">
        <f>IF($L386="","",COUNT($L386:$Q386))</f>
        <v/>
      </c>
      <c r="X386" s="18">
        <f>IF($W386="","",INT(INDEX($L386:$Q386,$W386)))</f>
        <v/>
      </c>
      <c r="Y386" s="18">
        <f>IF(OR($W386="",$W386=6),"",WORKDAY($X386,CHOOSE($W386,3,3,2,2,3),Holidays))</f>
        <v/>
      </c>
      <c r="Z386" s="17">
        <f>IF(OR($W386="",$W386=6),"",CHOOSE($W386,"1st Email Follow-up","2nd Email Follow-up","Escalate Local Office","Escalate to CBE","Escalate to Roxanne"))</f>
        <v/>
      </c>
    </row>
    <row r="387" spans="18:26">
      <c r="R387" s="15"/>
      <c r="S387" s="16"/>
      <c r="T387" s="17">
        <f>IF(AND(COUNTA($A387:$K387)=0,$L387=""),"",IF($S387="Paid","PAID",IF($S387="Closed","CLOSED",IF($W387="","",IF($W387=6,"ESCALATED TO ROXANNE",IF(TODAY()&gt;$Y387,"OVERDUE",IF($Y387&lt;=WORKDAY(TODAY(),1,Holidays),"DUE TOMORROW",IF($W387=4,"ESCALATED TO LOCAL OFFICE",IF($W387=5,"ESCALATED TO CBE",IF($X387=TODAY(),"EMAIL SENT","MONITORING"))))))))))</f>
        <v/>
      </c>
      <c r="U387" s="17">
        <f>IF($T387="",IF(AND(COUNTA($A387:$K387)&gt;0,$L387=""),"Awaiting Collection Email time stamp.",""),IF(OR($T387="PAID",$T387="CLOSED"),IF($T387="PAID","Account paid. Action completed.","Account closed. No further action required."),CHOOSE($W387,"Collection Email","1st Email Follow-up","2nd Email Follow-up","Escalation to Local Office","Escalation to CBE","Escalation to Roxanne")&amp;" sent "&amp;TEXT($X387,"dd-mmm")&amp;". "&amp;IF($W387=6,"Final escalation completed.",IF($T387="OVERDUE","Next: "&amp;$Z387&amp;" was due "&amp;TEXT($Y387,"dd-mmm")&amp;" - "&amp;(NETWORKDAYS($Y387,TODAY(),Holidays)-1)&amp;" business day(s) late. Send now.",IF($T387="DUE TOMORROW","Next: "&amp;$Z387&amp;IF($Y387&lt;=TODAY()," is due TODAY ("," is due next business day (")&amp;TEXT($Y387,"dd-mmm")&amp;").","Next: "&amp;$Z387&amp;" due "&amp;TEXT($Y387,"dd-mmm")&amp;" ("&amp;(NETWORKDAYS(TODAY(),$Y387,Holidays)-1)&amp;" business day(s) left).")))))</f>
        <v/>
      </c>
      <c r="V387" s="17">
        <f>IF($W387="","",CHOOSE($W387,"Collection Email","1st Follow-up","2nd Follow-up","Local Office","CBE","Roxanne")&amp;IF($W387=6," - Final"," - Day "&amp;MAX(0,NETWORKDAYS($X387,TODAY(),Holidays)-1)&amp;" of "&amp;CHOOSE($W387,3,3,2,2,3))&amp;" | Total Day "&amp;MAX(0,NETWORKDAYS($L387,TODAY(),Holidays)-1))</f>
        <v/>
      </c>
      <c r="W387" s="17">
        <f>IF($L387="","",COUNT($L387:$Q387))</f>
        <v/>
      </c>
      <c r="X387" s="18">
        <f>IF($W387="","",INT(INDEX($L387:$Q387,$W387)))</f>
        <v/>
      </c>
      <c r="Y387" s="18">
        <f>IF(OR($W387="",$W387=6),"",WORKDAY($X387,CHOOSE($W387,3,3,2,2,3),Holidays))</f>
        <v/>
      </c>
      <c r="Z387" s="17">
        <f>IF(OR($W387="",$W387=6),"",CHOOSE($W387,"1st Email Follow-up","2nd Email Follow-up","Escalate Local Office","Escalate to CBE","Escalate to Roxanne"))</f>
        <v/>
      </c>
    </row>
    <row r="388" spans="18:26">
      <c r="R388" s="15"/>
      <c r="S388" s="16"/>
      <c r="T388" s="17">
        <f>IF(AND(COUNTA($A388:$K388)=0,$L388=""),"",IF($S388="Paid","PAID",IF($S388="Closed","CLOSED",IF($W388="","",IF($W388=6,"ESCALATED TO ROXANNE",IF(TODAY()&gt;$Y388,"OVERDUE",IF($Y388&lt;=WORKDAY(TODAY(),1,Holidays),"DUE TOMORROW",IF($W388=4,"ESCALATED TO LOCAL OFFICE",IF($W388=5,"ESCALATED TO CBE",IF($X388=TODAY(),"EMAIL SENT","MONITORING"))))))))))</f>
        <v/>
      </c>
      <c r="U388" s="17">
        <f>IF($T388="",IF(AND(COUNTA($A388:$K388)&gt;0,$L388=""),"Awaiting Collection Email time stamp.",""),IF(OR($T388="PAID",$T388="CLOSED"),IF($T388="PAID","Account paid. Action completed.","Account closed. No further action required."),CHOOSE($W388,"Collection Email","1st Email Follow-up","2nd Email Follow-up","Escalation to Local Office","Escalation to CBE","Escalation to Roxanne")&amp;" sent "&amp;TEXT($X388,"dd-mmm")&amp;". "&amp;IF($W388=6,"Final escalation completed.",IF($T388="OVERDUE","Next: "&amp;$Z388&amp;" was due "&amp;TEXT($Y388,"dd-mmm")&amp;" - "&amp;(NETWORKDAYS($Y388,TODAY(),Holidays)-1)&amp;" business day(s) late. Send now.",IF($T388="DUE TOMORROW","Next: "&amp;$Z388&amp;IF($Y388&lt;=TODAY()," is due TODAY ("," is due next business day (")&amp;TEXT($Y388,"dd-mmm")&amp;").","Next: "&amp;$Z388&amp;" due "&amp;TEXT($Y388,"dd-mmm")&amp;" ("&amp;(NETWORKDAYS(TODAY(),$Y388,Holidays)-1)&amp;" business day(s) left).")))))</f>
        <v/>
      </c>
      <c r="V388" s="17">
        <f>IF($W388="","",CHOOSE($W388,"Collection Email","1st Follow-up","2nd Follow-up","Local Office","CBE","Roxanne")&amp;IF($W388=6," - Final"," - Day "&amp;MAX(0,NETWORKDAYS($X388,TODAY(),Holidays)-1)&amp;" of "&amp;CHOOSE($W388,3,3,2,2,3))&amp;" | Total Day "&amp;MAX(0,NETWORKDAYS($L388,TODAY(),Holidays)-1))</f>
        <v/>
      </c>
      <c r="W388" s="17">
        <f>IF($L388="","",COUNT($L388:$Q388))</f>
        <v/>
      </c>
      <c r="X388" s="18">
        <f>IF($W388="","",INT(INDEX($L388:$Q388,$W388)))</f>
        <v/>
      </c>
      <c r="Y388" s="18">
        <f>IF(OR($W388="",$W388=6),"",WORKDAY($X388,CHOOSE($W388,3,3,2,2,3),Holidays))</f>
        <v/>
      </c>
      <c r="Z388" s="17">
        <f>IF(OR($W388="",$W388=6),"",CHOOSE($W388,"1st Email Follow-up","2nd Email Follow-up","Escalate Local Office","Escalate to CBE","Escalate to Roxanne"))</f>
        <v/>
      </c>
    </row>
    <row r="389" spans="18:26">
      <c r="R389" s="15"/>
      <c r="S389" s="16"/>
      <c r="T389" s="17">
        <f>IF(AND(COUNTA($A389:$K389)=0,$L389=""),"",IF($S389="Paid","PAID",IF($S389="Closed","CLOSED",IF($W389="","",IF($W389=6,"ESCALATED TO ROXANNE",IF(TODAY()&gt;$Y389,"OVERDUE",IF($Y389&lt;=WORKDAY(TODAY(),1,Holidays),"DUE TOMORROW",IF($W389=4,"ESCALATED TO LOCAL OFFICE",IF($W389=5,"ESCALATED TO CBE",IF($X389=TODAY(),"EMAIL SENT","MONITORING"))))))))))</f>
        <v/>
      </c>
      <c r="U389" s="17">
        <f>IF($T389="",IF(AND(COUNTA($A389:$K389)&gt;0,$L389=""),"Awaiting Collection Email time stamp.",""),IF(OR($T389="PAID",$T389="CLOSED"),IF($T389="PAID","Account paid. Action completed.","Account closed. No further action required."),CHOOSE($W389,"Collection Email","1st Email Follow-up","2nd Email Follow-up","Escalation to Local Office","Escalation to CBE","Escalation to Roxanne")&amp;" sent "&amp;TEXT($X389,"dd-mmm")&amp;". "&amp;IF($W389=6,"Final escalation completed.",IF($T389="OVERDUE","Next: "&amp;$Z389&amp;" was due "&amp;TEXT($Y389,"dd-mmm")&amp;" - "&amp;(NETWORKDAYS($Y389,TODAY(),Holidays)-1)&amp;" business day(s) late. Send now.",IF($T389="DUE TOMORROW","Next: "&amp;$Z389&amp;IF($Y389&lt;=TODAY()," is due TODAY ("," is due next business day (")&amp;TEXT($Y389,"dd-mmm")&amp;").","Next: "&amp;$Z389&amp;" due "&amp;TEXT($Y389,"dd-mmm")&amp;" ("&amp;(NETWORKDAYS(TODAY(),$Y389,Holidays)-1)&amp;" business day(s) left).")))))</f>
        <v/>
      </c>
      <c r="V389" s="17">
        <f>IF($W389="","",CHOOSE($W389,"Collection Email","1st Follow-up","2nd Follow-up","Local Office","CBE","Roxanne")&amp;IF($W389=6," - Final"," - Day "&amp;MAX(0,NETWORKDAYS($X389,TODAY(),Holidays)-1)&amp;" of "&amp;CHOOSE($W389,3,3,2,2,3))&amp;" | Total Day "&amp;MAX(0,NETWORKDAYS($L389,TODAY(),Holidays)-1))</f>
        <v/>
      </c>
      <c r="W389" s="17">
        <f>IF($L389="","",COUNT($L389:$Q389))</f>
        <v/>
      </c>
      <c r="X389" s="18">
        <f>IF($W389="","",INT(INDEX($L389:$Q389,$W389)))</f>
        <v/>
      </c>
      <c r="Y389" s="18">
        <f>IF(OR($W389="",$W389=6),"",WORKDAY($X389,CHOOSE($W389,3,3,2,2,3),Holidays))</f>
        <v/>
      </c>
      <c r="Z389" s="17">
        <f>IF(OR($W389="",$W389=6),"",CHOOSE($W389,"1st Email Follow-up","2nd Email Follow-up","Escalate Local Office","Escalate to CBE","Escalate to Roxanne"))</f>
        <v/>
      </c>
    </row>
    <row r="390" spans="18:26">
      <c r="R390" s="15"/>
      <c r="S390" s="16"/>
      <c r="T390" s="17">
        <f>IF(AND(COUNTA($A390:$K390)=0,$L390=""),"",IF($S390="Paid","PAID",IF($S390="Closed","CLOSED",IF($W390="","",IF($W390=6,"ESCALATED TO ROXANNE",IF(TODAY()&gt;$Y390,"OVERDUE",IF($Y390&lt;=WORKDAY(TODAY(),1,Holidays),"DUE TOMORROW",IF($W390=4,"ESCALATED TO LOCAL OFFICE",IF($W390=5,"ESCALATED TO CBE",IF($X390=TODAY(),"EMAIL SENT","MONITORING"))))))))))</f>
        <v/>
      </c>
      <c r="U390" s="17">
        <f>IF($T390="",IF(AND(COUNTA($A390:$K390)&gt;0,$L390=""),"Awaiting Collection Email time stamp.",""),IF(OR($T390="PAID",$T390="CLOSED"),IF($T390="PAID","Account paid. Action completed.","Account closed. No further action required."),CHOOSE($W390,"Collection Email","1st Email Follow-up","2nd Email Follow-up","Escalation to Local Office","Escalation to CBE","Escalation to Roxanne")&amp;" sent "&amp;TEXT($X390,"dd-mmm")&amp;". "&amp;IF($W390=6,"Final escalation completed.",IF($T390="OVERDUE","Next: "&amp;$Z390&amp;" was due "&amp;TEXT($Y390,"dd-mmm")&amp;" - "&amp;(NETWORKDAYS($Y390,TODAY(),Holidays)-1)&amp;" business day(s) late. Send now.",IF($T390="DUE TOMORROW","Next: "&amp;$Z390&amp;IF($Y390&lt;=TODAY()," is due TODAY ("," is due next business day (")&amp;TEXT($Y390,"dd-mmm")&amp;").","Next: "&amp;$Z390&amp;" due "&amp;TEXT($Y390,"dd-mmm")&amp;" ("&amp;(NETWORKDAYS(TODAY(),$Y390,Holidays)-1)&amp;" business day(s) left).")))))</f>
        <v/>
      </c>
      <c r="V390" s="17">
        <f>IF($W390="","",CHOOSE($W390,"Collection Email","1st Follow-up","2nd Follow-up","Local Office","CBE","Roxanne")&amp;IF($W390=6," - Final"," - Day "&amp;MAX(0,NETWORKDAYS($X390,TODAY(),Holidays)-1)&amp;" of "&amp;CHOOSE($W390,3,3,2,2,3))&amp;" | Total Day "&amp;MAX(0,NETWORKDAYS($L390,TODAY(),Holidays)-1))</f>
        <v/>
      </c>
      <c r="W390" s="17">
        <f>IF($L390="","",COUNT($L390:$Q390))</f>
        <v/>
      </c>
      <c r="X390" s="18">
        <f>IF($W390="","",INT(INDEX($L390:$Q390,$W390)))</f>
        <v/>
      </c>
      <c r="Y390" s="18">
        <f>IF(OR($W390="",$W390=6),"",WORKDAY($X390,CHOOSE($W390,3,3,2,2,3),Holidays))</f>
        <v/>
      </c>
      <c r="Z390" s="17">
        <f>IF(OR($W390="",$W390=6),"",CHOOSE($W390,"1st Email Follow-up","2nd Email Follow-up","Escalate Local Office","Escalate to CBE","Escalate to Roxanne"))</f>
        <v/>
      </c>
    </row>
    <row r="391" spans="18:26">
      <c r="R391" s="15"/>
      <c r="S391" s="16"/>
      <c r="T391" s="17">
        <f>IF(AND(COUNTA($A391:$K391)=0,$L391=""),"",IF($S391="Paid","PAID",IF($S391="Closed","CLOSED",IF($W391="","",IF($W391=6,"ESCALATED TO ROXANNE",IF(TODAY()&gt;$Y391,"OVERDUE",IF($Y391&lt;=WORKDAY(TODAY(),1,Holidays),"DUE TOMORROW",IF($W391=4,"ESCALATED TO LOCAL OFFICE",IF($W391=5,"ESCALATED TO CBE",IF($X391=TODAY(),"EMAIL SENT","MONITORING"))))))))))</f>
        <v/>
      </c>
      <c r="U391" s="17">
        <f>IF($T391="",IF(AND(COUNTA($A391:$K391)&gt;0,$L391=""),"Awaiting Collection Email time stamp.",""),IF(OR($T391="PAID",$T391="CLOSED"),IF($T391="PAID","Account paid. Action completed.","Account closed. No further action required."),CHOOSE($W391,"Collection Email","1st Email Follow-up","2nd Email Follow-up","Escalation to Local Office","Escalation to CBE","Escalation to Roxanne")&amp;" sent "&amp;TEXT($X391,"dd-mmm")&amp;". "&amp;IF($W391=6,"Final escalation completed.",IF($T391="OVERDUE","Next: "&amp;$Z391&amp;" was due "&amp;TEXT($Y391,"dd-mmm")&amp;" - "&amp;(NETWORKDAYS($Y391,TODAY(),Holidays)-1)&amp;" business day(s) late. Send now.",IF($T391="DUE TOMORROW","Next: "&amp;$Z391&amp;IF($Y391&lt;=TODAY()," is due TODAY ("," is due next business day (")&amp;TEXT($Y391,"dd-mmm")&amp;").","Next: "&amp;$Z391&amp;" due "&amp;TEXT($Y391,"dd-mmm")&amp;" ("&amp;(NETWORKDAYS(TODAY(),$Y391,Holidays)-1)&amp;" business day(s) left).")))))</f>
        <v/>
      </c>
      <c r="V391" s="17">
        <f>IF($W391="","",CHOOSE($W391,"Collection Email","1st Follow-up","2nd Follow-up","Local Office","CBE","Roxanne")&amp;IF($W391=6," - Final"," - Day "&amp;MAX(0,NETWORKDAYS($X391,TODAY(),Holidays)-1)&amp;" of "&amp;CHOOSE($W391,3,3,2,2,3))&amp;" | Total Day "&amp;MAX(0,NETWORKDAYS($L391,TODAY(),Holidays)-1))</f>
        <v/>
      </c>
      <c r="W391" s="17">
        <f>IF($L391="","",COUNT($L391:$Q391))</f>
        <v/>
      </c>
      <c r="X391" s="18">
        <f>IF($W391="","",INT(INDEX($L391:$Q391,$W391)))</f>
        <v/>
      </c>
      <c r="Y391" s="18">
        <f>IF(OR($W391="",$W391=6),"",WORKDAY($X391,CHOOSE($W391,3,3,2,2,3),Holidays))</f>
        <v/>
      </c>
      <c r="Z391" s="17">
        <f>IF(OR($W391="",$W391=6),"",CHOOSE($W391,"1st Email Follow-up","2nd Email Follow-up","Escalate Local Office","Escalate to CBE","Escalate to Roxanne"))</f>
        <v/>
      </c>
    </row>
    <row r="392" spans="18:26">
      <c r="R392" s="15"/>
      <c r="S392" s="16"/>
      <c r="T392" s="17">
        <f>IF(AND(COUNTA($A392:$K392)=0,$L392=""),"",IF($S392="Paid","PAID",IF($S392="Closed","CLOSED",IF($W392="","",IF($W392=6,"ESCALATED TO ROXANNE",IF(TODAY()&gt;$Y392,"OVERDUE",IF($Y392&lt;=WORKDAY(TODAY(),1,Holidays),"DUE TOMORROW",IF($W392=4,"ESCALATED TO LOCAL OFFICE",IF($W392=5,"ESCALATED TO CBE",IF($X392=TODAY(),"EMAIL SENT","MONITORING"))))))))))</f>
        <v/>
      </c>
      <c r="U392" s="17">
        <f>IF($T392="",IF(AND(COUNTA($A392:$K392)&gt;0,$L392=""),"Awaiting Collection Email time stamp.",""),IF(OR($T392="PAID",$T392="CLOSED"),IF($T392="PAID","Account paid. Action completed.","Account closed. No further action required."),CHOOSE($W392,"Collection Email","1st Email Follow-up","2nd Email Follow-up","Escalation to Local Office","Escalation to CBE","Escalation to Roxanne")&amp;" sent "&amp;TEXT($X392,"dd-mmm")&amp;". "&amp;IF($W392=6,"Final escalation completed.",IF($T392="OVERDUE","Next: "&amp;$Z392&amp;" was due "&amp;TEXT($Y392,"dd-mmm")&amp;" - "&amp;(NETWORKDAYS($Y392,TODAY(),Holidays)-1)&amp;" business day(s) late. Send now.",IF($T392="DUE TOMORROW","Next: "&amp;$Z392&amp;IF($Y392&lt;=TODAY()," is due TODAY ("," is due next business day (")&amp;TEXT($Y392,"dd-mmm")&amp;").","Next: "&amp;$Z392&amp;" due "&amp;TEXT($Y392,"dd-mmm")&amp;" ("&amp;(NETWORKDAYS(TODAY(),$Y392,Holidays)-1)&amp;" business day(s) left).")))))</f>
        <v/>
      </c>
      <c r="V392" s="17">
        <f>IF($W392="","",CHOOSE($W392,"Collection Email","1st Follow-up","2nd Follow-up","Local Office","CBE","Roxanne")&amp;IF($W392=6," - Final"," - Day "&amp;MAX(0,NETWORKDAYS($X392,TODAY(),Holidays)-1)&amp;" of "&amp;CHOOSE($W392,3,3,2,2,3))&amp;" | Total Day "&amp;MAX(0,NETWORKDAYS($L392,TODAY(),Holidays)-1))</f>
        <v/>
      </c>
      <c r="W392" s="17">
        <f>IF($L392="","",COUNT($L392:$Q392))</f>
        <v/>
      </c>
      <c r="X392" s="18">
        <f>IF($W392="","",INT(INDEX($L392:$Q392,$W392)))</f>
        <v/>
      </c>
      <c r="Y392" s="18">
        <f>IF(OR($W392="",$W392=6),"",WORKDAY($X392,CHOOSE($W392,3,3,2,2,3),Holidays))</f>
        <v/>
      </c>
      <c r="Z392" s="17">
        <f>IF(OR($W392="",$W392=6),"",CHOOSE($W392,"1st Email Follow-up","2nd Email Follow-up","Escalate Local Office","Escalate to CBE","Escalate to Roxanne"))</f>
        <v/>
      </c>
    </row>
    <row r="393" spans="18:26">
      <c r="R393" s="15"/>
      <c r="S393" s="16"/>
      <c r="T393" s="17">
        <f>IF(AND(COUNTA($A393:$K393)=0,$L393=""),"",IF($S393="Paid","PAID",IF($S393="Closed","CLOSED",IF($W393="","",IF($W393=6,"ESCALATED TO ROXANNE",IF(TODAY()&gt;$Y393,"OVERDUE",IF($Y393&lt;=WORKDAY(TODAY(),1,Holidays),"DUE TOMORROW",IF($W393=4,"ESCALATED TO LOCAL OFFICE",IF($W393=5,"ESCALATED TO CBE",IF($X393=TODAY(),"EMAIL SENT","MONITORING"))))))))))</f>
        <v/>
      </c>
      <c r="U393" s="17">
        <f>IF($T393="",IF(AND(COUNTA($A393:$K393)&gt;0,$L393=""),"Awaiting Collection Email time stamp.",""),IF(OR($T393="PAID",$T393="CLOSED"),IF($T393="PAID","Account paid. Action completed.","Account closed. No further action required."),CHOOSE($W393,"Collection Email","1st Email Follow-up","2nd Email Follow-up","Escalation to Local Office","Escalation to CBE","Escalation to Roxanne")&amp;" sent "&amp;TEXT($X393,"dd-mmm")&amp;". "&amp;IF($W393=6,"Final escalation completed.",IF($T393="OVERDUE","Next: "&amp;$Z393&amp;" was due "&amp;TEXT($Y393,"dd-mmm")&amp;" - "&amp;(NETWORKDAYS($Y393,TODAY(),Holidays)-1)&amp;" business day(s) late. Send now.",IF($T393="DUE TOMORROW","Next: "&amp;$Z393&amp;IF($Y393&lt;=TODAY()," is due TODAY ("," is due next business day (")&amp;TEXT($Y393,"dd-mmm")&amp;").","Next: "&amp;$Z393&amp;" due "&amp;TEXT($Y393,"dd-mmm")&amp;" ("&amp;(NETWORKDAYS(TODAY(),$Y393,Holidays)-1)&amp;" business day(s) left).")))))</f>
        <v/>
      </c>
      <c r="V393" s="17">
        <f>IF($W393="","",CHOOSE($W393,"Collection Email","1st Follow-up","2nd Follow-up","Local Office","CBE","Roxanne")&amp;IF($W393=6," - Final"," - Day "&amp;MAX(0,NETWORKDAYS($X393,TODAY(),Holidays)-1)&amp;" of "&amp;CHOOSE($W393,3,3,2,2,3))&amp;" | Total Day "&amp;MAX(0,NETWORKDAYS($L393,TODAY(),Holidays)-1))</f>
        <v/>
      </c>
      <c r="W393" s="17">
        <f>IF($L393="","",COUNT($L393:$Q393))</f>
        <v/>
      </c>
      <c r="X393" s="18">
        <f>IF($W393="","",INT(INDEX($L393:$Q393,$W393)))</f>
        <v/>
      </c>
      <c r="Y393" s="18">
        <f>IF(OR($W393="",$W393=6),"",WORKDAY($X393,CHOOSE($W393,3,3,2,2,3),Holidays))</f>
        <v/>
      </c>
      <c r="Z393" s="17">
        <f>IF(OR($W393="",$W393=6),"",CHOOSE($W393,"1st Email Follow-up","2nd Email Follow-up","Escalate Local Office","Escalate to CBE","Escalate to Roxanne"))</f>
        <v/>
      </c>
    </row>
    <row r="394" spans="18:26">
      <c r="R394" s="15"/>
      <c r="S394" s="16"/>
      <c r="T394" s="17">
        <f>IF(AND(COUNTA($A394:$K394)=0,$L394=""),"",IF($S394="Paid","PAID",IF($S394="Closed","CLOSED",IF($W394="","",IF($W394=6,"ESCALATED TO ROXANNE",IF(TODAY()&gt;$Y394,"OVERDUE",IF($Y394&lt;=WORKDAY(TODAY(),1,Holidays),"DUE TOMORROW",IF($W394=4,"ESCALATED TO LOCAL OFFICE",IF($W394=5,"ESCALATED TO CBE",IF($X394=TODAY(),"EMAIL SENT","MONITORING"))))))))))</f>
        <v/>
      </c>
      <c r="U394" s="17">
        <f>IF($T394="",IF(AND(COUNTA($A394:$K394)&gt;0,$L394=""),"Awaiting Collection Email time stamp.",""),IF(OR($T394="PAID",$T394="CLOSED"),IF($T394="PAID","Account paid. Action completed.","Account closed. No further action required."),CHOOSE($W394,"Collection Email","1st Email Follow-up","2nd Email Follow-up","Escalation to Local Office","Escalation to CBE","Escalation to Roxanne")&amp;" sent "&amp;TEXT($X394,"dd-mmm")&amp;". "&amp;IF($W394=6,"Final escalation completed.",IF($T394="OVERDUE","Next: "&amp;$Z394&amp;" was due "&amp;TEXT($Y394,"dd-mmm")&amp;" - "&amp;(NETWORKDAYS($Y394,TODAY(),Holidays)-1)&amp;" business day(s) late. Send now.",IF($T394="DUE TOMORROW","Next: "&amp;$Z394&amp;IF($Y394&lt;=TODAY()," is due TODAY ("," is due next business day (")&amp;TEXT($Y394,"dd-mmm")&amp;").","Next: "&amp;$Z394&amp;" due "&amp;TEXT($Y394,"dd-mmm")&amp;" ("&amp;(NETWORKDAYS(TODAY(),$Y394,Holidays)-1)&amp;" business day(s) left).")))))</f>
        <v/>
      </c>
      <c r="V394" s="17">
        <f>IF($W394="","",CHOOSE($W394,"Collection Email","1st Follow-up","2nd Follow-up","Local Office","CBE","Roxanne")&amp;IF($W394=6," - Final"," - Day "&amp;MAX(0,NETWORKDAYS($X394,TODAY(),Holidays)-1)&amp;" of "&amp;CHOOSE($W394,3,3,2,2,3))&amp;" | Total Day "&amp;MAX(0,NETWORKDAYS($L394,TODAY(),Holidays)-1))</f>
        <v/>
      </c>
      <c r="W394" s="17">
        <f>IF($L394="","",COUNT($L394:$Q394))</f>
        <v/>
      </c>
      <c r="X394" s="18">
        <f>IF($W394="","",INT(INDEX($L394:$Q394,$W394)))</f>
        <v/>
      </c>
      <c r="Y394" s="18">
        <f>IF(OR($W394="",$W394=6),"",WORKDAY($X394,CHOOSE($W394,3,3,2,2,3),Holidays))</f>
        <v/>
      </c>
      <c r="Z394" s="17">
        <f>IF(OR($W394="",$W394=6),"",CHOOSE($W394,"1st Email Follow-up","2nd Email Follow-up","Escalate Local Office","Escalate to CBE","Escalate to Roxanne"))</f>
        <v/>
      </c>
    </row>
    <row r="395" spans="18:26">
      <c r="R395" s="15"/>
      <c r="S395" s="16"/>
      <c r="T395" s="17">
        <f>IF(AND(COUNTA($A395:$K395)=0,$L395=""),"",IF($S395="Paid","PAID",IF($S395="Closed","CLOSED",IF($W395="","",IF($W395=6,"ESCALATED TO ROXANNE",IF(TODAY()&gt;$Y395,"OVERDUE",IF($Y395&lt;=WORKDAY(TODAY(),1,Holidays),"DUE TOMORROW",IF($W395=4,"ESCALATED TO LOCAL OFFICE",IF($W395=5,"ESCALATED TO CBE",IF($X395=TODAY(),"EMAIL SENT","MONITORING"))))))))))</f>
        <v/>
      </c>
      <c r="U395" s="17">
        <f>IF($T395="",IF(AND(COUNTA($A395:$K395)&gt;0,$L395=""),"Awaiting Collection Email time stamp.",""),IF(OR($T395="PAID",$T395="CLOSED"),IF($T395="PAID","Account paid. Action completed.","Account closed. No further action required."),CHOOSE($W395,"Collection Email","1st Email Follow-up","2nd Email Follow-up","Escalation to Local Office","Escalation to CBE","Escalation to Roxanne")&amp;" sent "&amp;TEXT($X395,"dd-mmm")&amp;". "&amp;IF($W395=6,"Final escalation completed.",IF($T395="OVERDUE","Next: "&amp;$Z395&amp;" was due "&amp;TEXT($Y395,"dd-mmm")&amp;" - "&amp;(NETWORKDAYS($Y395,TODAY(),Holidays)-1)&amp;" business day(s) late. Send now.",IF($T395="DUE TOMORROW","Next: "&amp;$Z395&amp;IF($Y395&lt;=TODAY()," is due TODAY ("," is due next business day (")&amp;TEXT($Y395,"dd-mmm")&amp;").","Next: "&amp;$Z395&amp;" due "&amp;TEXT($Y395,"dd-mmm")&amp;" ("&amp;(NETWORKDAYS(TODAY(),$Y395,Holidays)-1)&amp;" business day(s) left).")))))</f>
        <v/>
      </c>
      <c r="V395" s="17">
        <f>IF($W395="","",CHOOSE($W395,"Collection Email","1st Follow-up","2nd Follow-up","Local Office","CBE","Roxanne")&amp;IF($W395=6," - Final"," - Day "&amp;MAX(0,NETWORKDAYS($X395,TODAY(),Holidays)-1)&amp;" of "&amp;CHOOSE($W395,3,3,2,2,3))&amp;" | Total Day "&amp;MAX(0,NETWORKDAYS($L395,TODAY(),Holidays)-1))</f>
        <v/>
      </c>
      <c r="W395" s="17">
        <f>IF($L395="","",COUNT($L395:$Q395))</f>
        <v/>
      </c>
      <c r="X395" s="18">
        <f>IF($W395="","",INT(INDEX($L395:$Q395,$W395)))</f>
        <v/>
      </c>
      <c r="Y395" s="18">
        <f>IF(OR($W395="",$W395=6),"",WORKDAY($X395,CHOOSE($W395,3,3,2,2,3),Holidays))</f>
        <v/>
      </c>
      <c r="Z395" s="17">
        <f>IF(OR($W395="",$W395=6),"",CHOOSE($W395,"1st Email Follow-up","2nd Email Follow-up","Escalate Local Office","Escalate to CBE","Escalate to Roxanne"))</f>
        <v/>
      </c>
    </row>
    <row r="396" spans="18:26">
      <c r="R396" s="15"/>
      <c r="S396" s="16"/>
      <c r="T396" s="17">
        <f>IF(AND(COUNTA($A396:$K396)=0,$L396=""),"",IF($S396="Paid","PAID",IF($S396="Closed","CLOSED",IF($W396="","",IF($W396=6,"ESCALATED TO ROXANNE",IF(TODAY()&gt;$Y396,"OVERDUE",IF($Y396&lt;=WORKDAY(TODAY(),1,Holidays),"DUE TOMORROW",IF($W396=4,"ESCALATED TO LOCAL OFFICE",IF($W396=5,"ESCALATED TO CBE",IF($X396=TODAY(),"EMAIL SENT","MONITORING"))))))))))</f>
        <v/>
      </c>
      <c r="U396" s="17">
        <f>IF($T396="",IF(AND(COUNTA($A396:$K396)&gt;0,$L396=""),"Awaiting Collection Email time stamp.",""),IF(OR($T396="PAID",$T396="CLOSED"),IF($T396="PAID","Account paid. Action completed.","Account closed. No further action required."),CHOOSE($W396,"Collection Email","1st Email Follow-up","2nd Email Follow-up","Escalation to Local Office","Escalation to CBE","Escalation to Roxanne")&amp;" sent "&amp;TEXT($X396,"dd-mmm")&amp;". "&amp;IF($W396=6,"Final escalation completed.",IF($T396="OVERDUE","Next: "&amp;$Z396&amp;" was due "&amp;TEXT($Y396,"dd-mmm")&amp;" - "&amp;(NETWORKDAYS($Y396,TODAY(),Holidays)-1)&amp;" business day(s) late. Send now.",IF($T396="DUE TOMORROW","Next: "&amp;$Z396&amp;IF($Y396&lt;=TODAY()," is due TODAY ("," is due next business day (")&amp;TEXT($Y396,"dd-mmm")&amp;").","Next: "&amp;$Z396&amp;" due "&amp;TEXT($Y396,"dd-mmm")&amp;" ("&amp;(NETWORKDAYS(TODAY(),$Y396,Holidays)-1)&amp;" business day(s) left).")))))</f>
        <v/>
      </c>
      <c r="V396" s="17">
        <f>IF($W396="","",CHOOSE($W396,"Collection Email","1st Follow-up","2nd Follow-up","Local Office","CBE","Roxanne")&amp;IF($W396=6," - Final"," - Day "&amp;MAX(0,NETWORKDAYS($X396,TODAY(),Holidays)-1)&amp;" of "&amp;CHOOSE($W396,3,3,2,2,3))&amp;" | Total Day "&amp;MAX(0,NETWORKDAYS($L396,TODAY(),Holidays)-1))</f>
        <v/>
      </c>
      <c r="W396" s="17">
        <f>IF($L396="","",COUNT($L396:$Q396))</f>
        <v/>
      </c>
      <c r="X396" s="18">
        <f>IF($W396="","",INT(INDEX($L396:$Q396,$W396)))</f>
        <v/>
      </c>
      <c r="Y396" s="18">
        <f>IF(OR($W396="",$W396=6),"",WORKDAY($X396,CHOOSE($W396,3,3,2,2,3),Holidays))</f>
        <v/>
      </c>
      <c r="Z396" s="17">
        <f>IF(OR($W396="",$W396=6),"",CHOOSE($W396,"1st Email Follow-up","2nd Email Follow-up","Escalate Local Office","Escalate to CBE","Escalate to Roxanne"))</f>
        <v/>
      </c>
    </row>
    <row r="397" spans="18:26">
      <c r="R397" s="15"/>
      <c r="S397" s="16"/>
      <c r="T397" s="17">
        <f>IF(AND(COUNTA($A397:$K397)=0,$L397=""),"",IF($S397="Paid","PAID",IF($S397="Closed","CLOSED",IF($W397="","",IF($W397=6,"ESCALATED TO ROXANNE",IF(TODAY()&gt;$Y397,"OVERDUE",IF($Y397&lt;=WORKDAY(TODAY(),1,Holidays),"DUE TOMORROW",IF($W397=4,"ESCALATED TO LOCAL OFFICE",IF($W397=5,"ESCALATED TO CBE",IF($X397=TODAY(),"EMAIL SENT","MONITORING"))))))))))</f>
        <v/>
      </c>
      <c r="U397" s="17">
        <f>IF($T397="",IF(AND(COUNTA($A397:$K397)&gt;0,$L397=""),"Awaiting Collection Email time stamp.",""),IF(OR($T397="PAID",$T397="CLOSED"),IF($T397="PAID","Account paid. Action completed.","Account closed. No further action required."),CHOOSE($W397,"Collection Email","1st Email Follow-up","2nd Email Follow-up","Escalation to Local Office","Escalation to CBE","Escalation to Roxanne")&amp;" sent "&amp;TEXT($X397,"dd-mmm")&amp;". "&amp;IF($W397=6,"Final escalation completed.",IF($T397="OVERDUE","Next: "&amp;$Z397&amp;" was due "&amp;TEXT($Y397,"dd-mmm")&amp;" - "&amp;(NETWORKDAYS($Y397,TODAY(),Holidays)-1)&amp;" business day(s) late. Send now.",IF($T397="DUE TOMORROW","Next: "&amp;$Z397&amp;IF($Y397&lt;=TODAY()," is due TODAY ("," is due next business day (")&amp;TEXT($Y397,"dd-mmm")&amp;").","Next: "&amp;$Z397&amp;" due "&amp;TEXT($Y397,"dd-mmm")&amp;" ("&amp;(NETWORKDAYS(TODAY(),$Y397,Holidays)-1)&amp;" business day(s) left).")))))</f>
        <v/>
      </c>
      <c r="V397" s="17">
        <f>IF($W397="","",CHOOSE($W397,"Collection Email","1st Follow-up","2nd Follow-up","Local Office","CBE","Roxanne")&amp;IF($W397=6," - Final"," - Day "&amp;MAX(0,NETWORKDAYS($X397,TODAY(),Holidays)-1)&amp;" of "&amp;CHOOSE($W397,3,3,2,2,3))&amp;" | Total Day "&amp;MAX(0,NETWORKDAYS($L397,TODAY(),Holidays)-1))</f>
        <v/>
      </c>
      <c r="W397" s="17">
        <f>IF($L397="","",COUNT($L397:$Q397))</f>
        <v/>
      </c>
      <c r="X397" s="18">
        <f>IF($W397="","",INT(INDEX($L397:$Q397,$W397)))</f>
        <v/>
      </c>
      <c r="Y397" s="18">
        <f>IF(OR($W397="",$W397=6),"",WORKDAY($X397,CHOOSE($W397,3,3,2,2,3),Holidays))</f>
        <v/>
      </c>
      <c r="Z397" s="17">
        <f>IF(OR($W397="",$W397=6),"",CHOOSE($W397,"1st Email Follow-up","2nd Email Follow-up","Escalate Local Office","Escalate to CBE","Escalate to Roxanne"))</f>
        <v/>
      </c>
    </row>
    <row r="398" spans="18:26">
      <c r="R398" s="15"/>
      <c r="S398" s="16"/>
      <c r="T398" s="17">
        <f>IF(AND(COUNTA($A398:$K398)=0,$L398=""),"",IF($S398="Paid","PAID",IF($S398="Closed","CLOSED",IF($W398="","",IF($W398=6,"ESCALATED TO ROXANNE",IF(TODAY()&gt;$Y398,"OVERDUE",IF($Y398&lt;=WORKDAY(TODAY(),1,Holidays),"DUE TOMORROW",IF($W398=4,"ESCALATED TO LOCAL OFFICE",IF($W398=5,"ESCALATED TO CBE",IF($X398=TODAY(),"EMAIL SENT","MONITORING"))))))))))</f>
        <v/>
      </c>
      <c r="U398" s="17">
        <f>IF($T398="",IF(AND(COUNTA($A398:$K398)&gt;0,$L398=""),"Awaiting Collection Email time stamp.",""),IF(OR($T398="PAID",$T398="CLOSED"),IF($T398="PAID","Account paid. Action completed.","Account closed. No further action required."),CHOOSE($W398,"Collection Email","1st Email Follow-up","2nd Email Follow-up","Escalation to Local Office","Escalation to CBE","Escalation to Roxanne")&amp;" sent "&amp;TEXT($X398,"dd-mmm")&amp;". "&amp;IF($W398=6,"Final escalation completed.",IF($T398="OVERDUE","Next: "&amp;$Z398&amp;" was due "&amp;TEXT($Y398,"dd-mmm")&amp;" - "&amp;(NETWORKDAYS($Y398,TODAY(),Holidays)-1)&amp;" business day(s) late. Send now.",IF($T398="DUE TOMORROW","Next: "&amp;$Z398&amp;IF($Y398&lt;=TODAY()," is due TODAY ("," is due next business day (")&amp;TEXT($Y398,"dd-mmm")&amp;").","Next: "&amp;$Z398&amp;" due "&amp;TEXT($Y398,"dd-mmm")&amp;" ("&amp;(NETWORKDAYS(TODAY(),$Y398,Holidays)-1)&amp;" business day(s) left).")))))</f>
        <v/>
      </c>
      <c r="V398" s="17">
        <f>IF($W398="","",CHOOSE($W398,"Collection Email","1st Follow-up","2nd Follow-up","Local Office","CBE","Roxanne")&amp;IF($W398=6," - Final"," - Day "&amp;MAX(0,NETWORKDAYS($X398,TODAY(),Holidays)-1)&amp;" of "&amp;CHOOSE($W398,3,3,2,2,3))&amp;" | Total Day "&amp;MAX(0,NETWORKDAYS($L398,TODAY(),Holidays)-1))</f>
        <v/>
      </c>
      <c r="W398" s="17">
        <f>IF($L398="","",COUNT($L398:$Q398))</f>
        <v/>
      </c>
      <c r="X398" s="18">
        <f>IF($W398="","",INT(INDEX($L398:$Q398,$W398)))</f>
        <v/>
      </c>
      <c r="Y398" s="18">
        <f>IF(OR($W398="",$W398=6),"",WORKDAY($X398,CHOOSE($W398,3,3,2,2,3),Holidays))</f>
        <v/>
      </c>
      <c r="Z398" s="17">
        <f>IF(OR($W398="",$W398=6),"",CHOOSE($W398,"1st Email Follow-up","2nd Email Follow-up","Escalate Local Office","Escalate to CBE","Escalate to Roxanne"))</f>
        <v/>
      </c>
    </row>
    <row r="399" spans="18:26">
      <c r="R399" s="15"/>
      <c r="S399" s="16"/>
      <c r="T399" s="17">
        <f>IF(AND(COUNTA($A399:$K399)=0,$L399=""),"",IF($S399="Paid","PAID",IF($S399="Closed","CLOSED",IF($W399="","",IF($W399=6,"ESCALATED TO ROXANNE",IF(TODAY()&gt;$Y399,"OVERDUE",IF($Y399&lt;=WORKDAY(TODAY(),1,Holidays),"DUE TOMORROW",IF($W399=4,"ESCALATED TO LOCAL OFFICE",IF($W399=5,"ESCALATED TO CBE",IF($X399=TODAY(),"EMAIL SENT","MONITORING"))))))))))</f>
        <v/>
      </c>
      <c r="U399" s="17">
        <f>IF($T399="",IF(AND(COUNTA($A399:$K399)&gt;0,$L399=""),"Awaiting Collection Email time stamp.",""),IF(OR($T399="PAID",$T399="CLOSED"),IF($T399="PAID","Account paid. Action completed.","Account closed. No further action required."),CHOOSE($W399,"Collection Email","1st Email Follow-up","2nd Email Follow-up","Escalation to Local Office","Escalation to CBE","Escalation to Roxanne")&amp;" sent "&amp;TEXT($X399,"dd-mmm")&amp;". "&amp;IF($W399=6,"Final escalation completed.",IF($T399="OVERDUE","Next: "&amp;$Z399&amp;" was due "&amp;TEXT($Y399,"dd-mmm")&amp;" - "&amp;(NETWORKDAYS($Y399,TODAY(),Holidays)-1)&amp;" business day(s) late. Send now.",IF($T399="DUE TOMORROW","Next: "&amp;$Z399&amp;IF($Y399&lt;=TODAY()," is due TODAY ("," is due next business day (")&amp;TEXT($Y399,"dd-mmm")&amp;").","Next: "&amp;$Z399&amp;" due "&amp;TEXT($Y399,"dd-mmm")&amp;" ("&amp;(NETWORKDAYS(TODAY(),$Y399,Holidays)-1)&amp;" business day(s) left).")))))</f>
        <v/>
      </c>
      <c r="V399" s="17">
        <f>IF($W399="","",CHOOSE($W399,"Collection Email","1st Follow-up","2nd Follow-up","Local Office","CBE","Roxanne")&amp;IF($W399=6," - Final"," - Day "&amp;MAX(0,NETWORKDAYS($X399,TODAY(),Holidays)-1)&amp;" of "&amp;CHOOSE($W399,3,3,2,2,3))&amp;" | Total Day "&amp;MAX(0,NETWORKDAYS($L399,TODAY(),Holidays)-1))</f>
        <v/>
      </c>
      <c r="W399" s="17">
        <f>IF($L399="","",COUNT($L399:$Q399))</f>
        <v/>
      </c>
      <c r="X399" s="18">
        <f>IF($W399="","",INT(INDEX($L399:$Q399,$W399)))</f>
        <v/>
      </c>
      <c r="Y399" s="18">
        <f>IF(OR($W399="",$W399=6),"",WORKDAY($X399,CHOOSE($W399,3,3,2,2,3),Holidays))</f>
        <v/>
      </c>
      <c r="Z399" s="17">
        <f>IF(OR($W399="",$W399=6),"",CHOOSE($W399,"1st Email Follow-up","2nd Email Follow-up","Escalate Local Office","Escalate to CBE","Escalate to Roxanne"))</f>
        <v/>
      </c>
    </row>
    <row r="400" spans="18:26">
      <c r="R400" s="15"/>
      <c r="S400" s="16"/>
      <c r="T400" s="17">
        <f>IF(AND(COUNTA($A400:$K400)=0,$L400=""),"",IF($S400="Paid","PAID",IF($S400="Closed","CLOSED",IF($W400="","",IF($W400=6,"ESCALATED TO ROXANNE",IF(TODAY()&gt;$Y400,"OVERDUE",IF($Y400&lt;=WORKDAY(TODAY(),1,Holidays),"DUE TOMORROW",IF($W400=4,"ESCALATED TO LOCAL OFFICE",IF($W400=5,"ESCALATED TO CBE",IF($X400=TODAY(),"EMAIL SENT","MONITORING"))))))))))</f>
        <v/>
      </c>
      <c r="U400" s="17">
        <f>IF($T400="",IF(AND(COUNTA($A400:$K400)&gt;0,$L400=""),"Awaiting Collection Email time stamp.",""),IF(OR($T400="PAID",$T400="CLOSED"),IF($T400="PAID","Account paid. Action completed.","Account closed. No further action required."),CHOOSE($W400,"Collection Email","1st Email Follow-up","2nd Email Follow-up","Escalation to Local Office","Escalation to CBE","Escalation to Roxanne")&amp;" sent "&amp;TEXT($X400,"dd-mmm")&amp;". "&amp;IF($W400=6,"Final escalation completed.",IF($T400="OVERDUE","Next: "&amp;$Z400&amp;" was due "&amp;TEXT($Y400,"dd-mmm")&amp;" - "&amp;(NETWORKDAYS($Y400,TODAY(),Holidays)-1)&amp;" business day(s) late. Send now.",IF($T400="DUE TOMORROW","Next: "&amp;$Z400&amp;IF($Y400&lt;=TODAY()," is due TODAY ("," is due next business day (")&amp;TEXT($Y400,"dd-mmm")&amp;").","Next: "&amp;$Z400&amp;" due "&amp;TEXT($Y400,"dd-mmm")&amp;" ("&amp;(NETWORKDAYS(TODAY(),$Y400,Holidays)-1)&amp;" business day(s) left).")))))</f>
        <v/>
      </c>
      <c r="V400" s="17">
        <f>IF($W400="","",CHOOSE($W400,"Collection Email","1st Follow-up","2nd Follow-up","Local Office","CBE","Roxanne")&amp;IF($W400=6," - Final"," - Day "&amp;MAX(0,NETWORKDAYS($X400,TODAY(),Holidays)-1)&amp;" of "&amp;CHOOSE($W400,3,3,2,2,3))&amp;" | Total Day "&amp;MAX(0,NETWORKDAYS($L400,TODAY(),Holidays)-1))</f>
        <v/>
      </c>
      <c r="W400" s="17">
        <f>IF($L400="","",COUNT($L400:$Q400))</f>
        <v/>
      </c>
      <c r="X400" s="18">
        <f>IF($W400="","",INT(INDEX($L400:$Q400,$W400)))</f>
        <v/>
      </c>
      <c r="Y400" s="18">
        <f>IF(OR($W400="",$W400=6),"",WORKDAY($X400,CHOOSE($W400,3,3,2,2,3),Holidays))</f>
        <v/>
      </c>
      <c r="Z400" s="17">
        <f>IF(OR($W400="",$W400=6),"",CHOOSE($W400,"1st Email Follow-up","2nd Email Follow-up","Escalate Local Office","Escalate to CBE","Escalate to Roxanne"))</f>
        <v/>
      </c>
    </row>
    <row r="401" spans="18:26">
      <c r="R401" s="15"/>
      <c r="S401" s="16"/>
      <c r="T401" s="17">
        <f>IF(AND(COUNTA($A401:$K401)=0,$L401=""),"",IF($S401="Paid","PAID",IF($S401="Closed","CLOSED",IF($W401="","",IF($W401=6,"ESCALATED TO ROXANNE",IF(TODAY()&gt;$Y401,"OVERDUE",IF($Y401&lt;=WORKDAY(TODAY(),1,Holidays),"DUE TOMORROW",IF($W401=4,"ESCALATED TO LOCAL OFFICE",IF($W401=5,"ESCALATED TO CBE",IF($X401=TODAY(),"EMAIL SENT","MONITORING"))))))))))</f>
        <v/>
      </c>
      <c r="U401" s="17">
        <f>IF($T401="",IF(AND(COUNTA($A401:$K401)&gt;0,$L401=""),"Awaiting Collection Email time stamp.",""),IF(OR($T401="PAID",$T401="CLOSED"),IF($T401="PAID","Account paid. Action completed.","Account closed. No further action required."),CHOOSE($W401,"Collection Email","1st Email Follow-up","2nd Email Follow-up","Escalation to Local Office","Escalation to CBE","Escalation to Roxanne")&amp;" sent "&amp;TEXT($X401,"dd-mmm")&amp;". "&amp;IF($W401=6,"Final escalation completed.",IF($T401="OVERDUE","Next: "&amp;$Z401&amp;" was due "&amp;TEXT($Y401,"dd-mmm")&amp;" - "&amp;(NETWORKDAYS($Y401,TODAY(),Holidays)-1)&amp;" business day(s) late. Send now.",IF($T401="DUE TOMORROW","Next: "&amp;$Z401&amp;IF($Y401&lt;=TODAY()," is due TODAY ("," is due next business day (")&amp;TEXT($Y401,"dd-mmm")&amp;").","Next: "&amp;$Z401&amp;" due "&amp;TEXT($Y401,"dd-mmm")&amp;" ("&amp;(NETWORKDAYS(TODAY(),$Y401,Holidays)-1)&amp;" business day(s) left).")))))</f>
        <v/>
      </c>
      <c r="V401" s="17">
        <f>IF($W401="","",CHOOSE($W401,"Collection Email","1st Follow-up","2nd Follow-up","Local Office","CBE","Roxanne")&amp;IF($W401=6," - Final"," - Day "&amp;MAX(0,NETWORKDAYS($X401,TODAY(),Holidays)-1)&amp;" of "&amp;CHOOSE($W401,3,3,2,2,3))&amp;" | Total Day "&amp;MAX(0,NETWORKDAYS($L401,TODAY(),Holidays)-1))</f>
        <v/>
      </c>
      <c r="W401" s="17">
        <f>IF($L401="","",COUNT($L401:$Q401))</f>
        <v/>
      </c>
      <c r="X401" s="18">
        <f>IF($W401="","",INT(INDEX($L401:$Q401,$W401)))</f>
        <v/>
      </c>
      <c r="Y401" s="18">
        <f>IF(OR($W401="",$W401=6),"",WORKDAY($X401,CHOOSE($W401,3,3,2,2,3),Holidays))</f>
        <v/>
      </c>
      <c r="Z401" s="17">
        <f>IF(OR($W401="",$W401=6),"",CHOOSE($W401,"1st Email Follow-up","2nd Email Follow-up","Escalate Local Office","Escalate to CBE","Escalate to Roxanne"))</f>
        <v/>
      </c>
    </row>
    <row r="402" spans="18:26">
      <c r="R402" s="15"/>
      <c r="S402" s="16"/>
      <c r="T402" s="17">
        <f>IF(AND(COUNTA($A402:$K402)=0,$L402=""),"",IF($S402="Paid","PAID",IF($S402="Closed","CLOSED",IF($W402="","",IF($W402=6,"ESCALATED TO ROXANNE",IF(TODAY()&gt;$Y402,"OVERDUE",IF($Y402&lt;=WORKDAY(TODAY(),1,Holidays),"DUE TOMORROW",IF($W402=4,"ESCALATED TO LOCAL OFFICE",IF($W402=5,"ESCALATED TO CBE",IF($X402=TODAY(),"EMAIL SENT","MONITORING"))))))))))</f>
        <v/>
      </c>
      <c r="U402" s="17">
        <f>IF($T402="",IF(AND(COUNTA($A402:$K402)&gt;0,$L402=""),"Awaiting Collection Email time stamp.",""),IF(OR($T402="PAID",$T402="CLOSED"),IF($T402="PAID","Account paid. Action completed.","Account closed. No further action required."),CHOOSE($W402,"Collection Email","1st Email Follow-up","2nd Email Follow-up","Escalation to Local Office","Escalation to CBE","Escalation to Roxanne")&amp;" sent "&amp;TEXT($X402,"dd-mmm")&amp;". "&amp;IF($W402=6,"Final escalation completed.",IF($T402="OVERDUE","Next: "&amp;$Z402&amp;" was due "&amp;TEXT($Y402,"dd-mmm")&amp;" - "&amp;(NETWORKDAYS($Y402,TODAY(),Holidays)-1)&amp;" business day(s) late. Send now.",IF($T402="DUE TOMORROW","Next: "&amp;$Z402&amp;IF($Y402&lt;=TODAY()," is due TODAY ("," is due next business day (")&amp;TEXT($Y402,"dd-mmm")&amp;").","Next: "&amp;$Z402&amp;" due "&amp;TEXT($Y402,"dd-mmm")&amp;" ("&amp;(NETWORKDAYS(TODAY(),$Y402,Holidays)-1)&amp;" business day(s) left).")))))</f>
        <v/>
      </c>
      <c r="V402" s="17">
        <f>IF($W402="","",CHOOSE($W402,"Collection Email","1st Follow-up","2nd Follow-up","Local Office","CBE","Roxanne")&amp;IF($W402=6," - Final"," - Day "&amp;MAX(0,NETWORKDAYS($X402,TODAY(),Holidays)-1)&amp;" of "&amp;CHOOSE($W402,3,3,2,2,3))&amp;" | Total Day "&amp;MAX(0,NETWORKDAYS($L402,TODAY(),Holidays)-1))</f>
        <v/>
      </c>
      <c r="W402" s="17">
        <f>IF($L402="","",COUNT($L402:$Q402))</f>
        <v/>
      </c>
      <c r="X402" s="18">
        <f>IF($W402="","",INT(INDEX($L402:$Q402,$W402)))</f>
        <v/>
      </c>
      <c r="Y402" s="18">
        <f>IF(OR($W402="",$W402=6),"",WORKDAY($X402,CHOOSE($W402,3,3,2,2,3),Holidays))</f>
        <v/>
      </c>
      <c r="Z402" s="17">
        <f>IF(OR($W402="",$W402=6),"",CHOOSE($W402,"1st Email Follow-up","2nd Email Follow-up","Escalate Local Office","Escalate to CBE","Escalate to Roxanne"))</f>
        <v/>
      </c>
    </row>
    <row r="403" spans="18:26">
      <c r="R403" s="15"/>
      <c r="S403" s="16"/>
      <c r="T403" s="17">
        <f>IF(AND(COUNTA($A403:$K403)=0,$L403=""),"",IF($S403="Paid","PAID",IF($S403="Closed","CLOSED",IF($W403="","",IF($W403=6,"ESCALATED TO ROXANNE",IF(TODAY()&gt;$Y403,"OVERDUE",IF($Y403&lt;=WORKDAY(TODAY(),1,Holidays),"DUE TOMORROW",IF($W403=4,"ESCALATED TO LOCAL OFFICE",IF($W403=5,"ESCALATED TO CBE",IF($X403=TODAY(),"EMAIL SENT","MONITORING"))))))))))</f>
        <v/>
      </c>
      <c r="U403" s="17">
        <f>IF($T403="",IF(AND(COUNTA($A403:$K403)&gt;0,$L403=""),"Awaiting Collection Email time stamp.",""),IF(OR($T403="PAID",$T403="CLOSED"),IF($T403="PAID","Account paid. Action completed.","Account closed. No further action required."),CHOOSE($W403,"Collection Email","1st Email Follow-up","2nd Email Follow-up","Escalation to Local Office","Escalation to CBE","Escalation to Roxanne")&amp;" sent "&amp;TEXT($X403,"dd-mmm")&amp;". "&amp;IF($W403=6,"Final escalation completed.",IF($T403="OVERDUE","Next: "&amp;$Z403&amp;" was due "&amp;TEXT($Y403,"dd-mmm")&amp;" - "&amp;(NETWORKDAYS($Y403,TODAY(),Holidays)-1)&amp;" business day(s) late. Send now.",IF($T403="DUE TOMORROW","Next: "&amp;$Z403&amp;IF($Y403&lt;=TODAY()," is due TODAY ("," is due next business day (")&amp;TEXT($Y403,"dd-mmm")&amp;").","Next: "&amp;$Z403&amp;" due "&amp;TEXT($Y403,"dd-mmm")&amp;" ("&amp;(NETWORKDAYS(TODAY(),$Y403,Holidays)-1)&amp;" business day(s) left).")))))</f>
        <v/>
      </c>
      <c r="V403" s="17">
        <f>IF($W403="","",CHOOSE($W403,"Collection Email","1st Follow-up","2nd Follow-up","Local Office","CBE","Roxanne")&amp;IF($W403=6," - Final"," - Day "&amp;MAX(0,NETWORKDAYS($X403,TODAY(),Holidays)-1)&amp;" of "&amp;CHOOSE($W403,3,3,2,2,3))&amp;" | Total Day "&amp;MAX(0,NETWORKDAYS($L403,TODAY(),Holidays)-1))</f>
        <v/>
      </c>
      <c r="W403" s="17">
        <f>IF($L403="","",COUNT($L403:$Q403))</f>
        <v/>
      </c>
      <c r="X403" s="18">
        <f>IF($W403="","",INT(INDEX($L403:$Q403,$W403)))</f>
        <v/>
      </c>
      <c r="Y403" s="18">
        <f>IF(OR($W403="",$W403=6),"",WORKDAY($X403,CHOOSE($W403,3,3,2,2,3),Holidays))</f>
        <v/>
      </c>
      <c r="Z403" s="17">
        <f>IF(OR($W403="",$W403=6),"",CHOOSE($W403,"1st Email Follow-up","2nd Email Follow-up","Escalate Local Office","Escalate to CBE","Escalate to Roxanne"))</f>
        <v/>
      </c>
    </row>
    <row r="404" spans="18:26">
      <c r="R404" s="15"/>
      <c r="S404" s="16"/>
      <c r="T404" s="17">
        <f>IF(AND(COUNTA($A404:$K404)=0,$L404=""),"",IF($S404="Paid","PAID",IF($S404="Closed","CLOSED",IF($W404="","",IF($W404=6,"ESCALATED TO ROXANNE",IF(TODAY()&gt;$Y404,"OVERDUE",IF($Y404&lt;=WORKDAY(TODAY(),1,Holidays),"DUE TOMORROW",IF($W404=4,"ESCALATED TO LOCAL OFFICE",IF($W404=5,"ESCALATED TO CBE",IF($X404=TODAY(),"EMAIL SENT","MONITORING"))))))))))</f>
        <v/>
      </c>
      <c r="U404" s="17">
        <f>IF($T404="",IF(AND(COUNTA($A404:$K404)&gt;0,$L404=""),"Awaiting Collection Email time stamp.",""),IF(OR($T404="PAID",$T404="CLOSED"),IF($T404="PAID","Account paid. Action completed.","Account closed. No further action required."),CHOOSE($W404,"Collection Email","1st Email Follow-up","2nd Email Follow-up","Escalation to Local Office","Escalation to CBE","Escalation to Roxanne")&amp;" sent "&amp;TEXT($X404,"dd-mmm")&amp;". "&amp;IF($W404=6,"Final escalation completed.",IF($T404="OVERDUE","Next: "&amp;$Z404&amp;" was due "&amp;TEXT($Y404,"dd-mmm")&amp;" - "&amp;(NETWORKDAYS($Y404,TODAY(),Holidays)-1)&amp;" business day(s) late. Send now.",IF($T404="DUE TOMORROW","Next: "&amp;$Z404&amp;IF($Y404&lt;=TODAY()," is due TODAY ("," is due next business day (")&amp;TEXT($Y404,"dd-mmm")&amp;").","Next: "&amp;$Z404&amp;" due "&amp;TEXT($Y404,"dd-mmm")&amp;" ("&amp;(NETWORKDAYS(TODAY(),$Y404,Holidays)-1)&amp;" business day(s) left).")))))</f>
        <v/>
      </c>
      <c r="V404" s="17">
        <f>IF($W404="","",CHOOSE($W404,"Collection Email","1st Follow-up","2nd Follow-up","Local Office","CBE","Roxanne")&amp;IF($W404=6," - Final"," - Day "&amp;MAX(0,NETWORKDAYS($X404,TODAY(),Holidays)-1)&amp;" of "&amp;CHOOSE($W404,3,3,2,2,3))&amp;" | Total Day "&amp;MAX(0,NETWORKDAYS($L404,TODAY(),Holidays)-1))</f>
        <v/>
      </c>
      <c r="W404" s="17">
        <f>IF($L404="","",COUNT($L404:$Q404))</f>
        <v/>
      </c>
      <c r="X404" s="18">
        <f>IF($W404="","",INT(INDEX($L404:$Q404,$W404)))</f>
        <v/>
      </c>
      <c r="Y404" s="18">
        <f>IF(OR($W404="",$W404=6),"",WORKDAY($X404,CHOOSE($W404,3,3,2,2,3),Holidays))</f>
        <v/>
      </c>
      <c r="Z404" s="17">
        <f>IF(OR($W404="",$W404=6),"",CHOOSE($W404,"1st Email Follow-up","2nd Email Follow-up","Escalate Local Office","Escalate to CBE","Escalate to Roxanne"))</f>
        <v/>
      </c>
    </row>
    <row r="405" spans="18:26">
      <c r="R405" s="15"/>
      <c r="S405" s="16"/>
      <c r="T405" s="17">
        <f>IF(AND(COUNTA($A405:$K405)=0,$L405=""),"",IF($S405="Paid","PAID",IF($S405="Closed","CLOSED",IF($W405="","",IF($W405=6,"ESCALATED TO ROXANNE",IF(TODAY()&gt;$Y405,"OVERDUE",IF($Y405&lt;=WORKDAY(TODAY(),1,Holidays),"DUE TOMORROW",IF($W405=4,"ESCALATED TO LOCAL OFFICE",IF($W405=5,"ESCALATED TO CBE",IF($X405=TODAY(),"EMAIL SENT","MONITORING"))))))))))</f>
        <v/>
      </c>
      <c r="U405" s="17">
        <f>IF($T405="",IF(AND(COUNTA($A405:$K405)&gt;0,$L405=""),"Awaiting Collection Email time stamp.",""),IF(OR($T405="PAID",$T405="CLOSED"),IF($T405="PAID","Account paid. Action completed.","Account closed. No further action required."),CHOOSE($W405,"Collection Email","1st Email Follow-up","2nd Email Follow-up","Escalation to Local Office","Escalation to CBE","Escalation to Roxanne")&amp;" sent "&amp;TEXT($X405,"dd-mmm")&amp;". "&amp;IF($W405=6,"Final escalation completed.",IF($T405="OVERDUE","Next: "&amp;$Z405&amp;" was due "&amp;TEXT($Y405,"dd-mmm")&amp;" - "&amp;(NETWORKDAYS($Y405,TODAY(),Holidays)-1)&amp;" business day(s) late. Send now.",IF($T405="DUE TOMORROW","Next: "&amp;$Z405&amp;IF($Y405&lt;=TODAY()," is due TODAY ("," is due next business day (")&amp;TEXT($Y405,"dd-mmm")&amp;").","Next: "&amp;$Z405&amp;" due "&amp;TEXT($Y405,"dd-mmm")&amp;" ("&amp;(NETWORKDAYS(TODAY(),$Y405,Holidays)-1)&amp;" business day(s) left).")))))</f>
        <v/>
      </c>
      <c r="V405" s="17">
        <f>IF($W405="","",CHOOSE($W405,"Collection Email","1st Follow-up","2nd Follow-up","Local Office","CBE","Roxanne")&amp;IF($W405=6," - Final"," - Day "&amp;MAX(0,NETWORKDAYS($X405,TODAY(),Holidays)-1)&amp;" of "&amp;CHOOSE($W405,3,3,2,2,3))&amp;" | Total Day "&amp;MAX(0,NETWORKDAYS($L405,TODAY(),Holidays)-1))</f>
        <v/>
      </c>
      <c r="W405" s="17">
        <f>IF($L405="","",COUNT($L405:$Q405))</f>
        <v/>
      </c>
      <c r="X405" s="18">
        <f>IF($W405="","",INT(INDEX($L405:$Q405,$W405)))</f>
        <v/>
      </c>
      <c r="Y405" s="18">
        <f>IF(OR($W405="",$W405=6),"",WORKDAY($X405,CHOOSE($W405,3,3,2,2,3),Holidays))</f>
        <v/>
      </c>
      <c r="Z405" s="17">
        <f>IF(OR($W405="",$W405=6),"",CHOOSE($W405,"1st Email Follow-up","2nd Email Follow-up","Escalate Local Office","Escalate to CBE","Escalate to Roxanne"))</f>
        <v/>
      </c>
    </row>
    <row r="406" spans="18:26">
      <c r="R406" s="15"/>
      <c r="S406" s="16"/>
      <c r="T406" s="17">
        <f>IF(AND(COUNTA($A406:$K406)=0,$L406=""),"",IF($S406="Paid","PAID",IF($S406="Closed","CLOSED",IF($W406="","",IF($W406=6,"ESCALATED TO ROXANNE",IF(TODAY()&gt;$Y406,"OVERDUE",IF($Y406&lt;=WORKDAY(TODAY(),1,Holidays),"DUE TOMORROW",IF($W406=4,"ESCALATED TO LOCAL OFFICE",IF($W406=5,"ESCALATED TO CBE",IF($X406=TODAY(),"EMAIL SENT","MONITORING"))))))))))</f>
        <v/>
      </c>
      <c r="U406" s="17">
        <f>IF($T406="",IF(AND(COUNTA($A406:$K406)&gt;0,$L406=""),"Awaiting Collection Email time stamp.",""),IF(OR($T406="PAID",$T406="CLOSED"),IF($T406="PAID","Account paid. Action completed.","Account closed. No further action required."),CHOOSE($W406,"Collection Email","1st Email Follow-up","2nd Email Follow-up","Escalation to Local Office","Escalation to CBE","Escalation to Roxanne")&amp;" sent "&amp;TEXT($X406,"dd-mmm")&amp;". "&amp;IF($W406=6,"Final escalation completed.",IF($T406="OVERDUE","Next: "&amp;$Z406&amp;" was due "&amp;TEXT($Y406,"dd-mmm")&amp;" - "&amp;(NETWORKDAYS($Y406,TODAY(),Holidays)-1)&amp;" business day(s) late. Send now.",IF($T406="DUE TOMORROW","Next: "&amp;$Z406&amp;IF($Y406&lt;=TODAY()," is due TODAY ("," is due next business day (")&amp;TEXT($Y406,"dd-mmm")&amp;").","Next: "&amp;$Z406&amp;" due "&amp;TEXT($Y406,"dd-mmm")&amp;" ("&amp;(NETWORKDAYS(TODAY(),$Y406,Holidays)-1)&amp;" business day(s) left).")))))</f>
        <v/>
      </c>
      <c r="V406" s="17">
        <f>IF($W406="","",CHOOSE($W406,"Collection Email","1st Follow-up","2nd Follow-up","Local Office","CBE","Roxanne")&amp;IF($W406=6," - Final"," - Day "&amp;MAX(0,NETWORKDAYS($X406,TODAY(),Holidays)-1)&amp;" of "&amp;CHOOSE($W406,3,3,2,2,3))&amp;" | Total Day "&amp;MAX(0,NETWORKDAYS($L406,TODAY(),Holidays)-1))</f>
        <v/>
      </c>
      <c r="W406" s="17">
        <f>IF($L406="","",COUNT($L406:$Q406))</f>
        <v/>
      </c>
      <c r="X406" s="18">
        <f>IF($W406="","",INT(INDEX($L406:$Q406,$W406)))</f>
        <v/>
      </c>
      <c r="Y406" s="18">
        <f>IF(OR($W406="",$W406=6),"",WORKDAY($X406,CHOOSE($W406,3,3,2,2,3),Holidays))</f>
        <v/>
      </c>
      <c r="Z406" s="17">
        <f>IF(OR($W406="",$W406=6),"",CHOOSE($W406,"1st Email Follow-up","2nd Email Follow-up","Escalate Local Office","Escalate to CBE","Escalate to Roxanne"))</f>
        <v/>
      </c>
    </row>
    <row r="407" spans="18:26">
      <c r="R407" s="15"/>
      <c r="S407" s="16"/>
      <c r="T407" s="17">
        <f>IF(AND(COUNTA($A407:$K407)=0,$L407=""),"",IF($S407="Paid","PAID",IF($S407="Closed","CLOSED",IF($W407="","",IF($W407=6,"ESCALATED TO ROXANNE",IF(TODAY()&gt;$Y407,"OVERDUE",IF($Y407&lt;=WORKDAY(TODAY(),1,Holidays),"DUE TOMORROW",IF($W407=4,"ESCALATED TO LOCAL OFFICE",IF($W407=5,"ESCALATED TO CBE",IF($X407=TODAY(),"EMAIL SENT","MONITORING"))))))))))</f>
        <v/>
      </c>
      <c r="U407" s="17">
        <f>IF($T407="",IF(AND(COUNTA($A407:$K407)&gt;0,$L407=""),"Awaiting Collection Email time stamp.",""),IF(OR($T407="PAID",$T407="CLOSED"),IF($T407="PAID","Account paid. Action completed.","Account closed. No further action required."),CHOOSE($W407,"Collection Email","1st Email Follow-up","2nd Email Follow-up","Escalation to Local Office","Escalation to CBE","Escalation to Roxanne")&amp;" sent "&amp;TEXT($X407,"dd-mmm")&amp;". "&amp;IF($W407=6,"Final escalation completed.",IF($T407="OVERDUE","Next: "&amp;$Z407&amp;" was due "&amp;TEXT($Y407,"dd-mmm")&amp;" - "&amp;(NETWORKDAYS($Y407,TODAY(),Holidays)-1)&amp;" business day(s) late. Send now.",IF($T407="DUE TOMORROW","Next: "&amp;$Z407&amp;IF($Y407&lt;=TODAY()," is due TODAY ("," is due next business day (")&amp;TEXT($Y407,"dd-mmm")&amp;").","Next: "&amp;$Z407&amp;" due "&amp;TEXT($Y407,"dd-mmm")&amp;" ("&amp;(NETWORKDAYS(TODAY(),$Y407,Holidays)-1)&amp;" business day(s) left).")))))</f>
        <v/>
      </c>
      <c r="V407" s="17">
        <f>IF($W407="","",CHOOSE($W407,"Collection Email","1st Follow-up","2nd Follow-up","Local Office","CBE","Roxanne")&amp;IF($W407=6," - Final"," - Day "&amp;MAX(0,NETWORKDAYS($X407,TODAY(),Holidays)-1)&amp;" of "&amp;CHOOSE($W407,3,3,2,2,3))&amp;" | Total Day "&amp;MAX(0,NETWORKDAYS($L407,TODAY(),Holidays)-1))</f>
        <v/>
      </c>
      <c r="W407" s="17">
        <f>IF($L407="","",COUNT($L407:$Q407))</f>
        <v/>
      </c>
      <c r="X407" s="18">
        <f>IF($W407="","",INT(INDEX($L407:$Q407,$W407)))</f>
        <v/>
      </c>
      <c r="Y407" s="18">
        <f>IF(OR($W407="",$W407=6),"",WORKDAY($X407,CHOOSE($W407,3,3,2,2,3),Holidays))</f>
        <v/>
      </c>
      <c r="Z407" s="17">
        <f>IF(OR($W407="",$W407=6),"",CHOOSE($W407,"1st Email Follow-up","2nd Email Follow-up","Escalate Local Office","Escalate to CBE","Escalate to Roxanne"))</f>
        <v/>
      </c>
    </row>
    <row r="408" spans="18:26">
      <c r="R408" s="15"/>
      <c r="S408" s="16"/>
      <c r="T408" s="17">
        <f>IF(AND(COUNTA($A408:$K408)=0,$L408=""),"",IF($S408="Paid","PAID",IF($S408="Closed","CLOSED",IF($W408="","",IF($W408=6,"ESCALATED TO ROXANNE",IF(TODAY()&gt;$Y408,"OVERDUE",IF($Y408&lt;=WORKDAY(TODAY(),1,Holidays),"DUE TOMORROW",IF($W408=4,"ESCALATED TO LOCAL OFFICE",IF($W408=5,"ESCALATED TO CBE",IF($X408=TODAY(),"EMAIL SENT","MONITORING"))))))))))</f>
        <v/>
      </c>
      <c r="U408" s="17">
        <f>IF($T408="",IF(AND(COUNTA($A408:$K408)&gt;0,$L408=""),"Awaiting Collection Email time stamp.",""),IF(OR($T408="PAID",$T408="CLOSED"),IF($T408="PAID","Account paid. Action completed.","Account closed. No further action required."),CHOOSE($W408,"Collection Email","1st Email Follow-up","2nd Email Follow-up","Escalation to Local Office","Escalation to CBE","Escalation to Roxanne")&amp;" sent "&amp;TEXT($X408,"dd-mmm")&amp;". "&amp;IF($W408=6,"Final escalation completed.",IF($T408="OVERDUE","Next: "&amp;$Z408&amp;" was due "&amp;TEXT($Y408,"dd-mmm")&amp;" - "&amp;(NETWORKDAYS($Y408,TODAY(),Holidays)-1)&amp;" business day(s) late. Send now.",IF($T408="DUE TOMORROW","Next: "&amp;$Z408&amp;IF($Y408&lt;=TODAY()," is due TODAY ("," is due next business day (")&amp;TEXT($Y408,"dd-mmm")&amp;").","Next: "&amp;$Z408&amp;" due "&amp;TEXT($Y408,"dd-mmm")&amp;" ("&amp;(NETWORKDAYS(TODAY(),$Y408,Holidays)-1)&amp;" business day(s) left).")))))</f>
        <v/>
      </c>
      <c r="V408" s="17">
        <f>IF($W408="","",CHOOSE($W408,"Collection Email","1st Follow-up","2nd Follow-up","Local Office","CBE","Roxanne")&amp;IF($W408=6," - Final"," - Day "&amp;MAX(0,NETWORKDAYS($X408,TODAY(),Holidays)-1)&amp;" of "&amp;CHOOSE($W408,3,3,2,2,3))&amp;" | Total Day "&amp;MAX(0,NETWORKDAYS($L408,TODAY(),Holidays)-1))</f>
        <v/>
      </c>
      <c r="W408" s="17">
        <f>IF($L408="","",COUNT($L408:$Q408))</f>
        <v/>
      </c>
      <c r="X408" s="18">
        <f>IF($W408="","",INT(INDEX($L408:$Q408,$W408)))</f>
        <v/>
      </c>
      <c r="Y408" s="18">
        <f>IF(OR($W408="",$W408=6),"",WORKDAY($X408,CHOOSE($W408,3,3,2,2,3),Holidays))</f>
        <v/>
      </c>
      <c r="Z408" s="17">
        <f>IF(OR($W408="",$W408=6),"",CHOOSE($W408,"1st Email Follow-up","2nd Email Follow-up","Escalate Local Office","Escalate to CBE","Escalate to Roxanne"))</f>
        <v/>
      </c>
    </row>
    <row r="409" spans="18:26">
      <c r="R409" s="15"/>
      <c r="S409" s="16"/>
      <c r="T409" s="17">
        <f>IF(AND(COUNTA($A409:$K409)=0,$L409=""),"",IF($S409="Paid","PAID",IF($S409="Closed","CLOSED",IF($W409="","",IF($W409=6,"ESCALATED TO ROXANNE",IF(TODAY()&gt;$Y409,"OVERDUE",IF($Y409&lt;=WORKDAY(TODAY(),1,Holidays),"DUE TOMORROW",IF($W409=4,"ESCALATED TO LOCAL OFFICE",IF($W409=5,"ESCALATED TO CBE",IF($X409=TODAY(),"EMAIL SENT","MONITORING"))))))))))</f>
        <v/>
      </c>
      <c r="U409" s="17">
        <f>IF($T409="",IF(AND(COUNTA($A409:$K409)&gt;0,$L409=""),"Awaiting Collection Email time stamp.",""),IF(OR($T409="PAID",$T409="CLOSED"),IF($T409="PAID","Account paid. Action completed.","Account closed. No further action required."),CHOOSE($W409,"Collection Email","1st Email Follow-up","2nd Email Follow-up","Escalation to Local Office","Escalation to CBE","Escalation to Roxanne")&amp;" sent "&amp;TEXT($X409,"dd-mmm")&amp;". "&amp;IF($W409=6,"Final escalation completed.",IF($T409="OVERDUE","Next: "&amp;$Z409&amp;" was due "&amp;TEXT($Y409,"dd-mmm")&amp;" - "&amp;(NETWORKDAYS($Y409,TODAY(),Holidays)-1)&amp;" business day(s) late. Send now.",IF($T409="DUE TOMORROW","Next: "&amp;$Z409&amp;IF($Y409&lt;=TODAY()," is due TODAY ("," is due next business day (")&amp;TEXT($Y409,"dd-mmm")&amp;").","Next: "&amp;$Z409&amp;" due "&amp;TEXT($Y409,"dd-mmm")&amp;" ("&amp;(NETWORKDAYS(TODAY(),$Y409,Holidays)-1)&amp;" business day(s) left).")))))</f>
        <v/>
      </c>
      <c r="V409" s="17">
        <f>IF($W409="","",CHOOSE($W409,"Collection Email","1st Follow-up","2nd Follow-up","Local Office","CBE","Roxanne")&amp;IF($W409=6," - Final"," - Day "&amp;MAX(0,NETWORKDAYS($X409,TODAY(),Holidays)-1)&amp;" of "&amp;CHOOSE($W409,3,3,2,2,3))&amp;" | Total Day "&amp;MAX(0,NETWORKDAYS($L409,TODAY(),Holidays)-1))</f>
        <v/>
      </c>
      <c r="W409" s="17">
        <f>IF($L409="","",COUNT($L409:$Q409))</f>
        <v/>
      </c>
      <c r="X409" s="18">
        <f>IF($W409="","",INT(INDEX($L409:$Q409,$W409)))</f>
        <v/>
      </c>
      <c r="Y409" s="18">
        <f>IF(OR($W409="",$W409=6),"",WORKDAY($X409,CHOOSE($W409,3,3,2,2,3),Holidays))</f>
        <v/>
      </c>
      <c r="Z409" s="17">
        <f>IF(OR($W409="",$W409=6),"",CHOOSE($W409,"1st Email Follow-up","2nd Email Follow-up","Escalate Local Office","Escalate to CBE","Escalate to Roxanne"))</f>
        <v/>
      </c>
    </row>
    <row r="410" spans="18:26">
      <c r="R410" s="15"/>
      <c r="S410" s="16"/>
      <c r="T410" s="17">
        <f>IF(AND(COUNTA($A410:$K410)=0,$L410=""),"",IF($S410="Paid","PAID",IF($S410="Closed","CLOSED",IF($W410="","",IF($W410=6,"ESCALATED TO ROXANNE",IF(TODAY()&gt;$Y410,"OVERDUE",IF($Y410&lt;=WORKDAY(TODAY(),1,Holidays),"DUE TOMORROW",IF($W410=4,"ESCALATED TO LOCAL OFFICE",IF($W410=5,"ESCALATED TO CBE",IF($X410=TODAY(),"EMAIL SENT","MONITORING"))))))))))</f>
        <v/>
      </c>
      <c r="U410" s="17">
        <f>IF($T410="",IF(AND(COUNTA($A410:$K410)&gt;0,$L410=""),"Awaiting Collection Email time stamp.",""),IF(OR($T410="PAID",$T410="CLOSED"),IF($T410="PAID","Account paid. Action completed.","Account closed. No further action required."),CHOOSE($W410,"Collection Email","1st Email Follow-up","2nd Email Follow-up","Escalation to Local Office","Escalation to CBE","Escalation to Roxanne")&amp;" sent "&amp;TEXT($X410,"dd-mmm")&amp;". "&amp;IF($W410=6,"Final escalation completed.",IF($T410="OVERDUE","Next: "&amp;$Z410&amp;" was due "&amp;TEXT($Y410,"dd-mmm")&amp;" - "&amp;(NETWORKDAYS($Y410,TODAY(),Holidays)-1)&amp;" business day(s) late. Send now.",IF($T410="DUE TOMORROW","Next: "&amp;$Z410&amp;IF($Y410&lt;=TODAY()," is due TODAY ("," is due next business day (")&amp;TEXT($Y410,"dd-mmm")&amp;").","Next: "&amp;$Z410&amp;" due "&amp;TEXT($Y410,"dd-mmm")&amp;" ("&amp;(NETWORKDAYS(TODAY(),$Y410,Holidays)-1)&amp;" business day(s) left).")))))</f>
        <v/>
      </c>
      <c r="V410" s="17">
        <f>IF($W410="","",CHOOSE($W410,"Collection Email","1st Follow-up","2nd Follow-up","Local Office","CBE","Roxanne")&amp;IF($W410=6," - Final"," - Day "&amp;MAX(0,NETWORKDAYS($X410,TODAY(),Holidays)-1)&amp;" of "&amp;CHOOSE($W410,3,3,2,2,3))&amp;" | Total Day "&amp;MAX(0,NETWORKDAYS($L410,TODAY(),Holidays)-1))</f>
        <v/>
      </c>
      <c r="W410" s="17">
        <f>IF($L410="","",COUNT($L410:$Q410))</f>
        <v/>
      </c>
      <c r="X410" s="18">
        <f>IF($W410="","",INT(INDEX($L410:$Q410,$W410)))</f>
        <v/>
      </c>
      <c r="Y410" s="18">
        <f>IF(OR($W410="",$W410=6),"",WORKDAY($X410,CHOOSE($W410,3,3,2,2,3),Holidays))</f>
        <v/>
      </c>
      <c r="Z410" s="17">
        <f>IF(OR($W410="",$W410=6),"",CHOOSE($W410,"1st Email Follow-up","2nd Email Follow-up","Escalate Local Office","Escalate to CBE","Escalate to Roxanne"))</f>
        <v/>
      </c>
    </row>
    <row r="411" spans="18:26">
      <c r="R411" s="15"/>
      <c r="S411" s="16"/>
      <c r="T411" s="17">
        <f>IF(AND(COUNTA($A411:$K411)=0,$L411=""),"",IF($S411="Paid","PAID",IF($S411="Closed","CLOSED",IF($W411="","",IF($W411=6,"ESCALATED TO ROXANNE",IF(TODAY()&gt;$Y411,"OVERDUE",IF($Y411&lt;=WORKDAY(TODAY(),1,Holidays),"DUE TOMORROW",IF($W411=4,"ESCALATED TO LOCAL OFFICE",IF($W411=5,"ESCALATED TO CBE",IF($X411=TODAY(),"EMAIL SENT","MONITORING"))))))))))</f>
        <v/>
      </c>
      <c r="U411" s="17">
        <f>IF($T411="",IF(AND(COUNTA($A411:$K411)&gt;0,$L411=""),"Awaiting Collection Email time stamp.",""),IF(OR($T411="PAID",$T411="CLOSED"),IF($T411="PAID","Account paid. Action completed.","Account closed. No further action required."),CHOOSE($W411,"Collection Email","1st Email Follow-up","2nd Email Follow-up","Escalation to Local Office","Escalation to CBE","Escalation to Roxanne")&amp;" sent "&amp;TEXT($X411,"dd-mmm")&amp;". "&amp;IF($W411=6,"Final escalation completed.",IF($T411="OVERDUE","Next: "&amp;$Z411&amp;" was due "&amp;TEXT($Y411,"dd-mmm")&amp;" - "&amp;(NETWORKDAYS($Y411,TODAY(),Holidays)-1)&amp;" business day(s) late. Send now.",IF($T411="DUE TOMORROW","Next: "&amp;$Z411&amp;IF($Y411&lt;=TODAY()," is due TODAY ("," is due next business day (")&amp;TEXT($Y411,"dd-mmm")&amp;").","Next: "&amp;$Z411&amp;" due "&amp;TEXT($Y411,"dd-mmm")&amp;" ("&amp;(NETWORKDAYS(TODAY(),$Y411,Holidays)-1)&amp;" business day(s) left).")))))</f>
        <v/>
      </c>
      <c r="V411" s="17">
        <f>IF($W411="","",CHOOSE($W411,"Collection Email","1st Follow-up","2nd Follow-up","Local Office","CBE","Roxanne")&amp;IF($W411=6," - Final"," - Day "&amp;MAX(0,NETWORKDAYS($X411,TODAY(),Holidays)-1)&amp;" of "&amp;CHOOSE($W411,3,3,2,2,3))&amp;" | Total Day "&amp;MAX(0,NETWORKDAYS($L411,TODAY(),Holidays)-1))</f>
        <v/>
      </c>
      <c r="W411" s="17">
        <f>IF($L411="","",COUNT($L411:$Q411))</f>
        <v/>
      </c>
      <c r="X411" s="18">
        <f>IF($W411="","",INT(INDEX($L411:$Q411,$W411)))</f>
        <v/>
      </c>
      <c r="Y411" s="18">
        <f>IF(OR($W411="",$W411=6),"",WORKDAY($X411,CHOOSE($W411,3,3,2,2,3),Holidays))</f>
        <v/>
      </c>
      <c r="Z411" s="17">
        <f>IF(OR($W411="",$W411=6),"",CHOOSE($W411,"1st Email Follow-up","2nd Email Follow-up","Escalate Local Office","Escalate to CBE","Escalate to Roxanne"))</f>
        <v/>
      </c>
    </row>
    <row r="412" spans="18:26">
      <c r="R412" s="15"/>
      <c r="S412" s="16"/>
      <c r="T412" s="17">
        <f>IF(AND(COUNTA($A412:$K412)=0,$L412=""),"",IF($S412="Paid","PAID",IF($S412="Closed","CLOSED",IF($W412="","",IF($W412=6,"ESCALATED TO ROXANNE",IF(TODAY()&gt;$Y412,"OVERDUE",IF($Y412&lt;=WORKDAY(TODAY(),1,Holidays),"DUE TOMORROW",IF($W412=4,"ESCALATED TO LOCAL OFFICE",IF($W412=5,"ESCALATED TO CBE",IF($X412=TODAY(),"EMAIL SENT","MONITORING"))))))))))</f>
        <v/>
      </c>
      <c r="U412" s="17">
        <f>IF($T412="",IF(AND(COUNTA($A412:$K412)&gt;0,$L412=""),"Awaiting Collection Email time stamp.",""),IF(OR($T412="PAID",$T412="CLOSED"),IF($T412="PAID","Account paid. Action completed.","Account closed. No further action required."),CHOOSE($W412,"Collection Email","1st Email Follow-up","2nd Email Follow-up","Escalation to Local Office","Escalation to CBE","Escalation to Roxanne")&amp;" sent "&amp;TEXT($X412,"dd-mmm")&amp;". "&amp;IF($W412=6,"Final escalation completed.",IF($T412="OVERDUE","Next: "&amp;$Z412&amp;" was due "&amp;TEXT($Y412,"dd-mmm")&amp;" - "&amp;(NETWORKDAYS($Y412,TODAY(),Holidays)-1)&amp;" business day(s) late. Send now.",IF($T412="DUE TOMORROW","Next: "&amp;$Z412&amp;IF($Y412&lt;=TODAY()," is due TODAY ("," is due next business day (")&amp;TEXT($Y412,"dd-mmm")&amp;").","Next: "&amp;$Z412&amp;" due "&amp;TEXT($Y412,"dd-mmm")&amp;" ("&amp;(NETWORKDAYS(TODAY(),$Y412,Holidays)-1)&amp;" business day(s) left).")))))</f>
        <v/>
      </c>
      <c r="V412" s="17">
        <f>IF($W412="","",CHOOSE($W412,"Collection Email","1st Follow-up","2nd Follow-up","Local Office","CBE","Roxanne")&amp;IF($W412=6," - Final"," - Day "&amp;MAX(0,NETWORKDAYS($X412,TODAY(),Holidays)-1)&amp;" of "&amp;CHOOSE($W412,3,3,2,2,3))&amp;" | Total Day "&amp;MAX(0,NETWORKDAYS($L412,TODAY(),Holidays)-1))</f>
        <v/>
      </c>
      <c r="W412" s="17">
        <f>IF($L412="","",COUNT($L412:$Q412))</f>
        <v/>
      </c>
      <c r="X412" s="18">
        <f>IF($W412="","",INT(INDEX($L412:$Q412,$W412)))</f>
        <v/>
      </c>
      <c r="Y412" s="18">
        <f>IF(OR($W412="",$W412=6),"",WORKDAY($X412,CHOOSE($W412,3,3,2,2,3),Holidays))</f>
        <v/>
      </c>
      <c r="Z412" s="17">
        <f>IF(OR($W412="",$W412=6),"",CHOOSE($W412,"1st Email Follow-up","2nd Email Follow-up","Escalate Local Office","Escalate to CBE","Escalate to Roxanne"))</f>
        <v/>
      </c>
    </row>
    <row r="413" spans="18:26">
      <c r="R413" s="15"/>
      <c r="S413" s="16"/>
      <c r="T413" s="17">
        <f>IF(AND(COUNTA($A413:$K413)=0,$L413=""),"",IF($S413="Paid","PAID",IF($S413="Closed","CLOSED",IF($W413="","",IF($W413=6,"ESCALATED TO ROXANNE",IF(TODAY()&gt;$Y413,"OVERDUE",IF($Y413&lt;=WORKDAY(TODAY(),1,Holidays),"DUE TOMORROW",IF($W413=4,"ESCALATED TO LOCAL OFFICE",IF($W413=5,"ESCALATED TO CBE",IF($X413=TODAY(),"EMAIL SENT","MONITORING"))))))))))</f>
        <v/>
      </c>
      <c r="U413" s="17">
        <f>IF($T413="",IF(AND(COUNTA($A413:$K413)&gt;0,$L413=""),"Awaiting Collection Email time stamp.",""),IF(OR($T413="PAID",$T413="CLOSED"),IF($T413="PAID","Account paid. Action completed.","Account closed. No further action required."),CHOOSE($W413,"Collection Email","1st Email Follow-up","2nd Email Follow-up","Escalation to Local Office","Escalation to CBE","Escalation to Roxanne")&amp;" sent "&amp;TEXT($X413,"dd-mmm")&amp;". "&amp;IF($W413=6,"Final escalation completed.",IF($T413="OVERDUE","Next: "&amp;$Z413&amp;" was due "&amp;TEXT($Y413,"dd-mmm")&amp;" - "&amp;(NETWORKDAYS($Y413,TODAY(),Holidays)-1)&amp;" business day(s) late. Send now.",IF($T413="DUE TOMORROW","Next: "&amp;$Z413&amp;IF($Y413&lt;=TODAY()," is due TODAY ("," is due next business day (")&amp;TEXT($Y413,"dd-mmm")&amp;").","Next: "&amp;$Z413&amp;" due "&amp;TEXT($Y413,"dd-mmm")&amp;" ("&amp;(NETWORKDAYS(TODAY(),$Y413,Holidays)-1)&amp;" business day(s) left).")))))</f>
        <v/>
      </c>
      <c r="V413" s="17">
        <f>IF($W413="","",CHOOSE($W413,"Collection Email","1st Follow-up","2nd Follow-up","Local Office","CBE","Roxanne")&amp;IF($W413=6," - Final"," - Day "&amp;MAX(0,NETWORKDAYS($X413,TODAY(),Holidays)-1)&amp;" of "&amp;CHOOSE($W413,3,3,2,2,3))&amp;" | Total Day "&amp;MAX(0,NETWORKDAYS($L413,TODAY(),Holidays)-1))</f>
        <v/>
      </c>
      <c r="W413" s="17">
        <f>IF($L413="","",COUNT($L413:$Q413))</f>
        <v/>
      </c>
      <c r="X413" s="18">
        <f>IF($W413="","",INT(INDEX($L413:$Q413,$W413)))</f>
        <v/>
      </c>
      <c r="Y413" s="18">
        <f>IF(OR($W413="",$W413=6),"",WORKDAY($X413,CHOOSE($W413,3,3,2,2,3),Holidays))</f>
        <v/>
      </c>
      <c r="Z413" s="17">
        <f>IF(OR($W413="",$W413=6),"",CHOOSE($W413,"1st Email Follow-up","2nd Email Follow-up","Escalate Local Office","Escalate to CBE","Escalate to Roxanne"))</f>
        <v/>
      </c>
    </row>
    <row r="414" spans="18:26">
      <c r="R414" s="15"/>
      <c r="S414" s="16"/>
      <c r="T414" s="17">
        <f>IF(AND(COUNTA($A414:$K414)=0,$L414=""),"",IF($S414="Paid","PAID",IF($S414="Closed","CLOSED",IF($W414="","",IF($W414=6,"ESCALATED TO ROXANNE",IF(TODAY()&gt;$Y414,"OVERDUE",IF($Y414&lt;=WORKDAY(TODAY(),1,Holidays),"DUE TOMORROW",IF($W414=4,"ESCALATED TO LOCAL OFFICE",IF($W414=5,"ESCALATED TO CBE",IF($X414=TODAY(),"EMAIL SENT","MONITORING"))))))))))</f>
        <v/>
      </c>
      <c r="U414" s="17">
        <f>IF($T414="",IF(AND(COUNTA($A414:$K414)&gt;0,$L414=""),"Awaiting Collection Email time stamp.",""),IF(OR($T414="PAID",$T414="CLOSED"),IF($T414="PAID","Account paid. Action completed.","Account closed. No further action required."),CHOOSE($W414,"Collection Email","1st Email Follow-up","2nd Email Follow-up","Escalation to Local Office","Escalation to CBE","Escalation to Roxanne")&amp;" sent "&amp;TEXT($X414,"dd-mmm")&amp;". "&amp;IF($W414=6,"Final escalation completed.",IF($T414="OVERDUE","Next: "&amp;$Z414&amp;" was due "&amp;TEXT($Y414,"dd-mmm")&amp;" - "&amp;(NETWORKDAYS($Y414,TODAY(),Holidays)-1)&amp;" business day(s) late. Send now.",IF($T414="DUE TOMORROW","Next: "&amp;$Z414&amp;IF($Y414&lt;=TODAY()," is due TODAY ("," is due next business day (")&amp;TEXT($Y414,"dd-mmm")&amp;").","Next: "&amp;$Z414&amp;" due "&amp;TEXT($Y414,"dd-mmm")&amp;" ("&amp;(NETWORKDAYS(TODAY(),$Y414,Holidays)-1)&amp;" business day(s) left).")))))</f>
        <v/>
      </c>
      <c r="V414" s="17">
        <f>IF($W414="","",CHOOSE($W414,"Collection Email","1st Follow-up","2nd Follow-up","Local Office","CBE","Roxanne")&amp;IF($W414=6," - Final"," - Day "&amp;MAX(0,NETWORKDAYS($X414,TODAY(),Holidays)-1)&amp;" of "&amp;CHOOSE($W414,3,3,2,2,3))&amp;" | Total Day "&amp;MAX(0,NETWORKDAYS($L414,TODAY(),Holidays)-1))</f>
        <v/>
      </c>
      <c r="W414" s="17">
        <f>IF($L414="","",COUNT($L414:$Q414))</f>
        <v/>
      </c>
      <c r="X414" s="18">
        <f>IF($W414="","",INT(INDEX($L414:$Q414,$W414)))</f>
        <v/>
      </c>
      <c r="Y414" s="18">
        <f>IF(OR($W414="",$W414=6),"",WORKDAY($X414,CHOOSE($W414,3,3,2,2,3),Holidays))</f>
        <v/>
      </c>
      <c r="Z414" s="17">
        <f>IF(OR($W414="",$W414=6),"",CHOOSE($W414,"1st Email Follow-up","2nd Email Follow-up","Escalate Local Office","Escalate to CBE","Escalate to Roxanne"))</f>
        <v/>
      </c>
    </row>
    <row r="415" spans="18:26">
      <c r="R415" s="15"/>
      <c r="S415" s="16"/>
      <c r="T415" s="17">
        <f>IF(AND(COUNTA($A415:$K415)=0,$L415=""),"",IF($S415="Paid","PAID",IF($S415="Closed","CLOSED",IF($W415="","",IF($W415=6,"ESCALATED TO ROXANNE",IF(TODAY()&gt;$Y415,"OVERDUE",IF($Y415&lt;=WORKDAY(TODAY(),1,Holidays),"DUE TOMORROW",IF($W415=4,"ESCALATED TO LOCAL OFFICE",IF($W415=5,"ESCALATED TO CBE",IF($X415=TODAY(),"EMAIL SENT","MONITORING"))))))))))</f>
        <v/>
      </c>
      <c r="U415" s="17">
        <f>IF($T415="",IF(AND(COUNTA($A415:$K415)&gt;0,$L415=""),"Awaiting Collection Email time stamp.",""),IF(OR($T415="PAID",$T415="CLOSED"),IF($T415="PAID","Account paid. Action completed.","Account closed. No further action required."),CHOOSE($W415,"Collection Email","1st Email Follow-up","2nd Email Follow-up","Escalation to Local Office","Escalation to CBE","Escalation to Roxanne")&amp;" sent "&amp;TEXT($X415,"dd-mmm")&amp;". "&amp;IF($W415=6,"Final escalation completed.",IF($T415="OVERDUE","Next: "&amp;$Z415&amp;" was due "&amp;TEXT($Y415,"dd-mmm")&amp;" - "&amp;(NETWORKDAYS($Y415,TODAY(),Holidays)-1)&amp;" business day(s) late. Send now.",IF($T415="DUE TOMORROW","Next: "&amp;$Z415&amp;IF($Y415&lt;=TODAY()," is due TODAY ("," is due next business day (")&amp;TEXT($Y415,"dd-mmm")&amp;").","Next: "&amp;$Z415&amp;" due "&amp;TEXT($Y415,"dd-mmm")&amp;" ("&amp;(NETWORKDAYS(TODAY(),$Y415,Holidays)-1)&amp;" business day(s) left).")))))</f>
        <v/>
      </c>
      <c r="V415" s="17">
        <f>IF($W415="","",CHOOSE($W415,"Collection Email","1st Follow-up","2nd Follow-up","Local Office","CBE","Roxanne")&amp;IF($W415=6," - Final"," - Day "&amp;MAX(0,NETWORKDAYS($X415,TODAY(),Holidays)-1)&amp;" of "&amp;CHOOSE($W415,3,3,2,2,3))&amp;" | Total Day "&amp;MAX(0,NETWORKDAYS($L415,TODAY(),Holidays)-1))</f>
        <v/>
      </c>
      <c r="W415" s="17">
        <f>IF($L415="","",COUNT($L415:$Q415))</f>
        <v/>
      </c>
      <c r="X415" s="18">
        <f>IF($W415="","",INT(INDEX($L415:$Q415,$W415)))</f>
        <v/>
      </c>
      <c r="Y415" s="18">
        <f>IF(OR($W415="",$W415=6),"",WORKDAY($X415,CHOOSE($W415,3,3,2,2,3),Holidays))</f>
        <v/>
      </c>
      <c r="Z415" s="17">
        <f>IF(OR($W415="",$W415=6),"",CHOOSE($W415,"1st Email Follow-up","2nd Email Follow-up","Escalate Local Office","Escalate to CBE","Escalate to Roxanne"))</f>
        <v/>
      </c>
    </row>
    <row r="416" spans="18:26">
      <c r="R416" s="15"/>
      <c r="S416" s="16"/>
      <c r="T416" s="17">
        <f>IF(AND(COUNTA($A416:$K416)=0,$L416=""),"",IF($S416="Paid","PAID",IF($S416="Closed","CLOSED",IF($W416="","",IF($W416=6,"ESCALATED TO ROXANNE",IF(TODAY()&gt;$Y416,"OVERDUE",IF($Y416&lt;=WORKDAY(TODAY(),1,Holidays),"DUE TOMORROW",IF($W416=4,"ESCALATED TO LOCAL OFFICE",IF($W416=5,"ESCALATED TO CBE",IF($X416=TODAY(),"EMAIL SENT","MONITORING"))))))))))</f>
        <v/>
      </c>
      <c r="U416" s="17">
        <f>IF($T416="",IF(AND(COUNTA($A416:$K416)&gt;0,$L416=""),"Awaiting Collection Email time stamp.",""),IF(OR($T416="PAID",$T416="CLOSED"),IF($T416="PAID","Account paid. Action completed.","Account closed. No further action required."),CHOOSE($W416,"Collection Email","1st Email Follow-up","2nd Email Follow-up","Escalation to Local Office","Escalation to CBE","Escalation to Roxanne")&amp;" sent "&amp;TEXT($X416,"dd-mmm")&amp;". "&amp;IF($W416=6,"Final escalation completed.",IF($T416="OVERDUE","Next: "&amp;$Z416&amp;" was due "&amp;TEXT($Y416,"dd-mmm")&amp;" - "&amp;(NETWORKDAYS($Y416,TODAY(),Holidays)-1)&amp;" business day(s) late. Send now.",IF($T416="DUE TOMORROW","Next: "&amp;$Z416&amp;IF($Y416&lt;=TODAY()," is due TODAY ("," is due next business day (")&amp;TEXT($Y416,"dd-mmm")&amp;").","Next: "&amp;$Z416&amp;" due "&amp;TEXT($Y416,"dd-mmm")&amp;" ("&amp;(NETWORKDAYS(TODAY(),$Y416,Holidays)-1)&amp;" business day(s) left).")))))</f>
        <v/>
      </c>
      <c r="V416" s="17">
        <f>IF($W416="","",CHOOSE($W416,"Collection Email","1st Follow-up","2nd Follow-up","Local Office","CBE","Roxanne")&amp;IF($W416=6," - Final"," - Day "&amp;MAX(0,NETWORKDAYS($X416,TODAY(),Holidays)-1)&amp;" of "&amp;CHOOSE($W416,3,3,2,2,3))&amp;" | Total Day "&amp;MAX(0,NETWORKDAYS($L416,TODAY(),Holidays)-1))</f>
        <v/>
      </c>
      <c r="W416" s="17">
        <f>IF($L416="","",COUNT($L416:$Q416))</f>
        <v/>
      </c>
      <c r="X416" s="18">
        <f>IF($W416="","",INT(INDEX($L416:$Q416,$W416)))</f>
        <v/>
      </c>
      <c r="Y416" s="18">
        <f>IF(OR($W416="",$W416=6),"",WORKDAY($X416,CHOOSE($W416,3,3,2,2,3),Holidays))</f>
        <v/>
      </c>
      <c r="Z416" s="17">
        <f>IF(OR($W416="",$W416=6),"",CHOOSE($W416,"1st Email Follow-up","2nd Email Follow-up","Escalate Local Office","Escalate to CBE","Escalate to Roxanne"))</f>
        <v/>
      </c>
    </row>
    <row r="417" spans="18:26">
      <c r="R417" s="15"/>
      <c r="S417" s="16"/>
      <c r="T417" s="17">
        <f>IF(AND(COUNTA($A417:$K417)=0,$L417=""),"",IF($S417="Paid","PAID",IF($S417="Closed","CLOSED",IF($W417="","",IF($W417=6,"ESCALATED TO ROXANNE",IF(TODAY()&gt;$Y417,"OVERDUE",IF($Y417&lt;=WORKDAY(TODAY(),1,Holidays),"DUE TOMORROW",IF($W417=4,"ESCALATED TO LOCAL OFFICE",IF($W417=5,"ESCALATED TO CBE",IF($X417=TODAY(),"EMAIL SENT","MONITORING"))))))))))</f>
        <v/>
      </c>
      <c r="U417" s="17">
        <f>IF($T417="",IF(AND(COUNTA($A417:$K417)&gt;0,$L417=""),"Awaiting Collection Email time stamp.",""),IF(OR($T417="PAID",$T417="CLOSED"),IF($T417="PAID","Account paid. Action completed.","Account closed. No further action required."),CHOOSE($W417,"Collection Email","1st Email Follow-up","2nd Email Follow-up","Escalation to Local Office","Escalation to CBE","Escalation to Roxanne")&amp;" sent "&amp;TEXT($X417,"dd-mmm")&amp;". "&amp;IF($W417=6,"Final escalation completed.",IF($T417="OVERDUE","Next: "&amp;$Z417&amp;" was due "&amp;TEXT($Y417,"dd-mmm")&amp;" - "&amp;(NETWORKDAYS($Y417,TODAY(),Holidays)-1)&amp;" business day(s) late. Send now.",IF($T417="DUE TOMORROW","Next: "&amp;$Z417&amp;IF($Y417&lt;=TODAY()," is due TODAY ("," is due next business day (")&amp;TEXT($Y417,"dd-mmm")&amp;").","Next: "&amp;$Z417&amp;" due "&amp;TEXT($Y417,"dd-mmm")&amp;" ("&amp;(NETWORKDAYS(TODAY(),$Y417,Holidays)-1)&amp;" business day(s) left).")))))</f>
        <v/>
      </c>
      <c r="V417" s="17">
        <f>IF($W417="","",CHOOSE($W417,"Collection Email","1st Follow-up","2nd Follow-up","Local Office","CBE","Roxanne")&amp;IF($W417=6," - Final"," - Day "&amp;MAX(0,NETWORKDAYS($X417,TODAY(),Holidays)-1)&amp;" of "&amp;CHOOSE($W417,3,3,2,2,3))&amp;" | Total Day "&amp;MAX(0,NETWORKDAYS($L417,TODAY(),Holidays)-1))</f>
        <v/>
      </c>
      <c r="W417" s="17">
        <f>IF($L417="","",COUNT($L417:$Q417))</f>
        <v/>
      </c>
      <c r="X417" s="18">
        <f>IF($W417="","",INT(INDEX($L417:$Q417,$W417)))</f>
        <v/>
      </c>
      <c r="Y417" s="18">
        <f>IF(OR($W417="",$W417=6),"",WORKDAY($X417,CHOOSE($W417,3,3,2,2,3),Holidays))</f>
        <v/>
      </c>
      <c r="Z417" s="17">
        <f>IF(OR($W417="",$W417=6),"",CHOOSE($W417,"1st Email Follow-up","2nd Email Follow-up","Escalate Local Office","Escalate to CBE","Escalate to Roxanne"))</f>
        <v/>
      </c>
    </row>
    <row r="418" spans="18:26">
      <c r="R418" s="15"/>
      <c r="S418" s="16"/>
      <c r="T418" s="17">
        <f>IF(AND(COUNTA($A418:$K418)=0,$L418=""),"",IF($S418="Paid","PAID",IF($S418="Closed","CLOSED",IF($W418="","",IF($W418=6,"ESCALATED TO ROXANNE",IF(TODAY()&gt;$Y418,"OVERDUE",IF($Y418&lt;=WORKDAY(TODAY(),1,Holidays),"DUE TOMORROW",IF($W418=4,"ESCALATED TO LOCAL OFFICE",IF($W418=5,"ESCALATED TO CBE",IF($X418=TODAY(),"EMAIL SENT","MONITORING"))))))))))</f>
        <v/>
      </c>
      <c r="U418" s="17">
        <f>IF($T418="",IF(AND(COUNTA($A418:$K418)&gt;0,$L418=""),"Awaiting Collection Email time stamp.",""),IF(OR($T418="PAID",$T418="CLOSED"),IF($T418="PAID","Account paid. Action completed.","Account closed. No further action required."),CHOOSE($W418,"Collection Email","1st Email Follow-up","2nd Email Follow-up","Escalation to Local Office","Escalation to CBE","Escalation to Roxanne")&amp;" sent "&amp;TEXT($X418,"dd-mmm")&amp;". "&amp;IF($W418=6,"Final escalation completed.",IF($T418="OVERDUE","Next: "&amp;$Z418&amp;" was due "&amp;TEXT($Y418,"dd-mmm")&amp;" - "&amp;(NETWORKDAYS($Y418,TODAY(),Holidays)-1)&amp;" business day(s) late. Send now.",IF($T418="DUE TOMORROW","Next: "&amp;$Z418&amp;IF($Y418&lt;=TODAY()," is due TODAY ("," is due next business day (")&amp;TEXT($Y418,"dd-mmm")&amp;").","Next: "&amp;$Z418&amp;" due "&amp;TEXT($Y418,"dd-mmm")&amp;" ("&amp;(NETWORKDAYS(TODAY(),$Y418,Holidays)-1)&amp;" business day(s) left).")))))</f>
        <v/>
      </c>
      <c r="V418" s="17">
        <f>IF($W418="","",CHOOSE($W418,"Collection Email","1st Follow-up","2nd Follow-up","Local Office","CBE","Roxanne")&amp;IF($W418=6," - Final"," - Day "&amp;MAX(0,NETWORKDAYS($X418,TODAY(),Holidays)-1)&amp;" of "&amp;CHOOSE($W418,3,3,2,2,3))&amp;" | Total Day "&amp;MAX(0,NETWORKDAYS($L418,TODAY(),Holidays)-1))</f>
        <v/>
      </c>
      <c r="W418" s="17">
        <f>IF($L418="","",COUNT($L418:$Q418))</f>
        <v/>
      </c>
      <c r="X418" s="18">
        <f>IF($W418="","",INT(INDEX($L418:$Q418,$W418)))</f>
        <v/>
      </c>
      <c r="Y418" s="18">
        <f>IF(OR($W418="",$W418=6),"",WORKDAY($X418,CHOOSE($W418,3,3,2,2,3),Holidays))</f>
        <v/>
      </c>
      <c r="Z418" s="17">
        <f>IF(OR($W418="",$W418=6),"",CHOOSE($W418,"1st Email Follow-up","2nd Email Follow-up","Escalate Local Office","Escalate to CBE","Escalate to Roxanne"))</f>
        <v/>
      </c>
    </row>
    <row r="419" spans="18:26">
      <c r="R419" s="15"/>
      <c r="S419" s="16"/>
      <c r="T419" s="17">
        <f>IF(AND(COUNTA($A419:$K419)=0,$L419=""),"",IF($S419="Paid","PAID",IF($S419="Closed","CLOSED",IF($W419="","",IF($W419=6,"ESCALATED TO ROXANNE",IF(TODAY()&gt;$Y419,"OVERDUE",IF($Y419&lt;=WORKDAY(TODAY(),1,Holidays),"DUE TOMORROW",IF($W419=4,"ESCALATED TO LOCAL OFFICE",IF($W419=5,"ESCALATED TO CBE",IF($X419=TODAY(),"EMAIL SENT","MONITORING"))))))))))</f>
        <v/>
      </c>
      <c r="U419" s="17">
        <f>IF($T419="",IF(AND(COUNTA($A419:$K419)&gt;0,$L419=""),"Awaiting Collection Email time stamp.",""),IF(OR($T419="PAID",$T419="CLOSED"),IF($T419="PAID","Account paid. Action completed.","Account closed. No further action required."),CHOOSE($W419,"Collection Email","1st Email Follow-up","2nd Email Follow-up","Escalation to Local Office","Escalation to CBE","Escalation to Roxanne")&amp;" sent "&amp;TEXT($X419,"dd-mmm")&amp;". "&amp;IF($W419=6,"Final escalation completed.",IF($T419="OVERDUE","Next: "&amp;$Z419&amp;" was due "&amp;TEXT($Y419,"dd-mmm")&amp;" - "&amp;(NETWORKDAYS($Y419,TODAY(),Holidays)-1)&amp;" business day(s) late. Send now.",IF($T419="DUE TOMORROW","Next: "&amp;$Z419&amp;IF($Y419&lt;=TODAY()," is due TODAY ("," is due next business day (")&amp;TEXT($Y419,"dd-mmm")&amp;").","Next: "&amp;$Z419&amp;" due "&amp;TEXT($Y419,"dd-mmm")&amp;" ("&amp;(NETWORKDAYS(TODAY(),$Y419,Holidays)-1)&amp;" business day(s) left).")))))</f>
        <v/>
      </c>
      <c r="V419" s="17">
        <f>IF($W419="","",CHOOSE($W419,"Collection Email","1st Follow-up","2nd Follow-up","Local Office","CBE","Roxanne")&amp;IF($W419=6," - Final"," - Day "&amp;MAX(0,NETWORKDAYS($X419,TODAY(),Holidays)-1)&amp;" of "&amp;CHOOSE($W419,3,3,2,2,3))&amp;" | Total Day "&amp;MAX(0,NETWORKDAYS($L419,TODAY(),Holidays)-1))</f>
        <v/>
      </c>
      <c r="W419" s="17">
        <f>IF($L419="","",COUNT($L419:$Q419))</f>
        <v/>
      </c>
      <c r="X419" s="18">
        <f>IF($W419="","",INT(INDEX($L419:$Q419,$W419)))</f>
        <v/>
      </c>
      <c r="Y419" s="18">
        <f>IF(OR($W419="",$W419=6),"",WORKDAY($X419,CHOOSE($W419,3,3,2,2,3),Holidays))</f>
        <v/>
      </c>
      <c r="Z419" s="17">
        <f>IF(OR($W419="",$W419=6),"",CHOOSE($W419,"1st Email Follow-up","2nd Email Follow-up","Escalate Local Office","Escalate to CBE","Escalate to Roxanne"))</f>
        <v/>
      </c>
    </row>
    <row r="420" spans="18:26">
      <c r="R420" s="15"/>
      <c r="S420" s="16"/>
      <c r="T420" s="17">
        <f>IF(AND(COUNTA($A420:$K420)=0,$L420=""),"",IF($S420="Paid","PAID",IF($S420="Closed","CLOSED",IF($W420="","",IF($W420=6,"ESCALATED TO ROXANNE",IF(TODAY()&gt;$Y420,"OVERDUE",IF($Y420&lt;=WORKDAY(TODAY(),1,Holidays),"DUE TOMORROW",IF($W420=4,"ESCALATED TO LOCAL OFFICE",IF($W420=5,"ESCALATED TO CBE",IF($X420=TODAY(),"EMAIL SENT","MONITORING"))))))))))</f>
        <v/>
      </c>
      <c r="U420" s="17">
        <f>IF($T420="",IF(AND(COUNTA($A420:$K420)&gt;0,$L420=""),"Awaiting Collection Email time stamp.",""),IF(OR($T420="PAID",$T420="CLOSED"),IF($T420="PAID","Account paid. Action completed.","Account closed. No further action required."),CHOOSE($W420,"Collection Email","1st Email Follow-up","2nd Email Follow-up","Escalation to Local Office","Escalation to CBE","Escalation to Roxanne")&amp;" sent "&amp;TEXT($X420,"dd-mmm")&amp;". "&amp;IF($W420=6,"Final escalation completed.",IF($T420="OVERDUE","Next: "&amp;$Z420&amp;" was due "&amp;TEXT($Y420,"dd-mmm")&amp;" - "&amp;(NETWORKDAYS($Y420,TODAY(),Holidays)-1)&amp;" business day(s) late. Send now.",IF($T420="DUE TOMORROW","Next: "&amp;$Z420&amp;IF($Y420&lt;=TODAY()," is due TODAY ("," is due next business day (")&amp;TEXT($Y420,"dd-mmm")&amp;").","Next: "&amp;$Z420&amp;" due "&amp;TEXT($Y420,"dd-mmm")&amp;" ("&amp;(NETWORKDAYS(TODAY(),$Y420,Holidays)-1)&amp;" business day(s) left).")))))</f>
        <v/>
      </c>
      <c r="V420" s="17">
        <f>IF($W420="","",CHOOSE($W420,"Collection Email","1st Follow-up","2nd Follow-up","Local Office","CBE","Roxanne")&amp;IF($W420=6," - Final"," - Day "&amp;MAX(0,NETWORKDAYS($X420,TODAY(),Holidays)-1)&amp;" of "&amp;CHOOSE($W420,3,3,2,2,3))&amp;" | Total Day "&amp;MAX(0,NETWORKDAYS($L420,TODAY(),Holidays)-1))</f>
        <v/>
      </c>
      <c r="W420" s="17">
        <f>IF($L420="","",COUNT($L420:$Q420))</f>
        <v/>
      </c>
      <c r="X420" s="18">
        <f>IF($W420="","",INT(INDEX($L420:$Q420,$W420)))</f>
        <v/>
      </c>
      <c r="Y420" s="18">
        <f>IF(OR($W420="",$W420=6),"",WORKDAY($X420,CHOOSE($W420,3,3,2,2,3),Holidays))</f>
        <v/>
      </c>
      <c r="Z420" s="17">
        <f>IF(OR($W420="",$W420=6),"",CHOOSE($W420,"1st Email Follow-up","2nd Email Follow-up","Escalate Local Office","Escalate to CBE","Escalate to Roxanne"))</f>
        <v/>
      </c>
    </row>
    <row r="421" spans="18:26">
      <c r="R421" s="15"/>
      <c r="S421" s="16"/>
      <c r="T421" s="17">
        <f>IF(AND(COUNTA($A421:$K421)=0,$L421=""),"",IF($S421="Paid","PAID",IF($S421="Closed","CLOSED",IF($W421="","",IF($W421=6,"ESCALATED TO ROXANNE",IF(TODAY()&gt;$Y421,"OVERDUE",IF($Y421&lt;=WORKDAY(TODAY(),1,Holidays),"DUE TOMORROW",IF($W421=4,"ESCALATED TO LOCAL OFFICE",IF($W421=5,"ESCALATED TO CBE",IF($X421=TODAY(),"EMAIL SENT","MONITORING"))))))))))</f>
        <v/>
      </c>
      <c r="U421" s="17">
        <f>IF($T421="",IF(AND(COUNTA($A421:$K421)&gt;0,$L421=""),"Awaiting Collection Email time stamp.",""),IF(OR($T421="PAID",$T421="CLOSED"),IF($T421="PAID","Account paid. Action completed.","Account closed. No further action required."),CHOOSE($W421,"Collection Email","1st Email Follow-up","2nd Email Follow-up","Escalation to Local Office","Escalation to CBE","Escalation to Roxanne")&amp;" sent "&amp;TEXT($X421,"dd-mmm")&amp;". "&amp;IF($W421=6,"Final escalation completed.",IF($T421="OVERDUE","Next: "&amp;$Z421&amp;" was due "&amp;TEXT($Y421,"dd-mmm")&amp;" - "&amp;(NETWORKDAYS($Y421,TODAY(),Holidays)-1)&amp;" business day(s) late. Send now.",IF($T421="DUE TOMORROW","Next: "&amp;$Z421&amp;IF($Y421&lt;=TODAY()," is due TODAY ("," is due next business day (")&amp;TEXT($Y421,"dd-mmm")&amp;").","Next: "&amp;$Z421&amp;" due "&amp;TEXT($Y421,"dd-mmm")&amp;" ("&amp;(NETWORKDAYS(TODAY(),$Y421,Holidays)-1)&amp;" business day(s) left).")))))</f>
        <v/>
      </c>
      <c r="V421" s="17">
        <f>IF($W421="","",CHOOSE($W421,"Collection Email","1st Follow-up","2nd Follow-up","Local Office","CBE","Roxanne")&amp;IF($W421=6," - Final"," - Day "&amp;MAX(0,NETWORKDAYS($X421,TODAY(),Holidays)-1)&amp;" of "&amp;CHOOSE($W421,3,3,2,2,3))&amp;" | Total Day "&amp;MAX(0,NETWORKDAYS($L421,TODAY(),Holidays)-1))</f>
        <v/>
      </c>
      <c r="W421" s="17">
        <f>IF($L421="","",COUNT($L421:$Q421))</f>
        <v/>
      </c>
      <c r="X421" s="18">
        <f>IF($W421="","",INT(INDEX($L421:$Q421,$W421)))</f>
        <v/>
      </c>
      <c r="Y421" s="18">
        <f>IF(OR($W421="",$W421=6),"",WORKDAY($X421,CHOOSE($W421,3,3,2,2,3),Holidays))</f>
        <v/>
      </c>
      <c r="Z421" s="17">
        <f>IF(OR($W421="",$W421=6),"",CHOOSE($W421,"1st Email Follow-up","2nd Email Follow-up","Escalate Local Office","Escalate to CBE","Escalate to Roxanne"))</f>
        <v/>
      </c>
    </row>
    <row r="422" spans="18:26">
      <c r="R422" s="15"/>
      <c r="S422" s="16"/>
      <c r="T422" s="17">
        <f>IF(AND(COUNTA($A422:$K422)=0,$L422=""),"",IF($S422="Paid","PAID",IF($S422="Closed","CLOSED",IF($W422="","",IF($W422=6,"ESCALATED TO ROXANNE",IF(TODAY()&gt;$Y422,"OVERDUE",IF($Y422&lt;=WORKDAY(TODAY(),1,Holidays),"DUE TOMORROW",IF($W422=4,"ESCALATED TO LOCAL OFFICE",IF($W422=5,"ESCALATED TO CBE",IF($X422=TODAY(),"EMAIL SENT","MONITORING"))))))))))</f>
        <v/>
      </c>
      <c r="U422" s="17">
        <f>IF($T422="",IF(AND(COUNTA($A422:$K422)&gt;0,$L422=""),"Awaiting Collection Email time stamp.",""),IF(OR($T422="PAID",$T422="CLOSED"),IF($T422="PAID","Account paid. Action completed.","Account closed. No further action required."),CHOOSE($W422,"Collection Email","1st Email Follow-up","2nd Email Follow-up","Escalation to Local Office","Escalation to CBE","Escalation to Roxanne")&amp;" sent "&amp;TEXT($X422,"dd-mmm")&amp;". "&amp;IF($W422=6,"Final escalation completed.",IF($T422="OVERDUE","Next: "&amp;$Z422&amp;" was due "&amp;TEXT($Y422,"dd-mmm")&amp;" - "&amp;(NETWORKDAYS($Y422,TODAY(),Holidays)-1)&amp;" business day(s) late. Send now.",IF($T422="DUE TOMORROW","Next: "&amp;$Z422&amp;IF($Y422&lt;=TODAY()," is due TODAY ("," is due next business day (")&amp;TEXT($Y422,"dd-mmm")&amp;").","Next: "&amp;$Z422&amp;" due "&amp;TEXT($Y422,"dd-mmm")&amp;" ("&amp;(NETWORKDAYS(TODAY(),$Y422,Holidays)-1)&amp;" business day(s) left).")))))</f>
        <v/>
      </c>
      <c r="V422" s="17">
        <f>IF($W422="","",CHOOSE($W422,"Collection Email","1st Follow-up","2nd Follow-up","Local Office","CBE","Roxanne")&amp;IF($W422=6," - Final"," - Day "&amp;MAX(0,NETWORKDAYS($X422,TODAY(),Holidays)-1)&amp;" of "&amp;CHOOSE($W422,3,3,2,2,3))&amp;" | Total Day "&amp;MAX(0,NETWORKDAYS($L422,TODAY(),Holidays)-1))</f>
        <v/>
      </c>
      <c r="W422" s="17">
        <f>IF($L422="","",COUNT($L422:$Q422))</f>
        <v/>
      </c>
      <c r="X422" s="18">
        <f>IF($W422="","",INT(INDEX($L422:$Q422,$W422)))</f>
        <v/>
      </c>
      <c r="Y422" s="18">
        <f>IF(OR($W422="",$W422=6),"",WORKDAY($X422,CHOOSE($W422,3,3,2,2,3),Holidays))</f>
        <v/>
      </c>
      <c r="Z422" s="17">
        <f>IF(OR($W422="",$W422=6),"",CHOOSE($W422,"1st Email Follow-up","2nd Email Follow-up","Escalate Local Office","Escalate to CBE","Escalate to Roxanne"))</f>
        <v/>
      </c>
    </row>
    <row r="423" spans="18:26">
      <c r="R423" s="15"/>
      <c r="S423" s="16"/>
      <c r="T423" s="17">
        <f>IF(AND(COUNTA($A423:$K423)=0,$L423=""),"",IF($S423="Paid","PAID",IF($S423="Closed","CLOSED",IF($W423="","",IF($W423=6,"ESCALATED TO ROXANNE",IF(TODAY()&gt;$Y423,"OVERDUE",IF($Y423&lt;=WORKDAY(TODAY(),1,Holidays),"DUE TOMORROW",IF($W423=4,"ESCALATED TO LOCAL OFFICE",IF($W423=5,"ESCALATED TO CBE",IF($X423=TODAY(),"EMAIL SENT","MONITORING"))))))))))</f>
        <v/>
      </c>
      <c r="U423" s="17">
        <f>IF($T423="",IF(AND(COUNTA($A423:$K423)&gt;0,$L423=""),"Awaiting Collection Email time stamp.",""),IF(OR($T423="PAID",$T423="CLOSED"),IF($T423="PAID","Account paid. Action completed.","Account closed. No further action required."),CHOOSE($W423,"Collection Email","1st Email Follow-up","2nd Email Follow-up","Escalation to Local Office","Escalation to CBE","Escalation to Roxanne")&amp;" sent "&amp;TEXT($X423,"dd-mmm")&amp;". "&amp;IF($W423=6,"Final escalation completed.",IF($T423="OVERDUE","Next: "&amp;$Z423&amp;" was due "&amp;TEXT($Y423,"dd-mmm")&amp;" - "&amp;(NETWORKDAYS($Y423,TODAY(),Holidays)-1)&amp;" business day(s) late. Send now.",IF($T423="DUE TOMORROW","Next: "&amp;$Z423&amp;IF($Y423&lt;=TODAY()," is due TODAY ("," is due next business day (")&amp;TEXT($Y423,"dd-mmm")&amp;").","Next: "&amp;$Z423&amp;" due "&amp;TEXT($Y423,"dd-mmm")&amp;" ("&amp;(NETWORKDAYS(TODAY(),$Y423,Holidays)-1)&amp;" business day(s) left).")))))</f>
        <v/>
      </c>
      <c r="V423" s="17">
        <f>IF($W423="","",CHOOSE($W423,"Collection Email","1st Follow-up","2nd Follow-up","Local Office","CBE","Roxanne")&amp;IF($W423=6," - Final"," - Day "&amp;MAX(0,NETWORKDAYS($X423,TODAY(),Holidays)-1)&amp;" of "&amp;CHOOSE($W423,3,3,2,2,3))&amp;" | Total Day "&amp;MAX(0,NETWORKDAYS($L423,TODAY(),Holidays)-1))</f>
        <v/>
      </c>
      <c r="W423" s="17">
        <f>IF($L423="","",COUNT($L423:$Q423))</f>
        <v/>
      </c>
      <c r="X423" s="18">
        <f>IF($W423="","",INT(INDEX($L423:$Q423,$W423)))</f>
        <v/>
      </c>
      <c r="Y423" s="18">
        <f>IF(OR($W423="",$W423=6),"",WORKDAY($X423,CHOOSE($W423,3,3,2,2,3),Holidays))</f>
        <v/>
      </c>
      <c r="Z423" s="17">
        <f>IF(OR($W423="",$W423=6),"",CHOOSE($W423,"1st Email Follow-up","2nd Email Follow-up","Escalate Local Office","Escalate to CBE","Escalate to Roxanne"))</f>
        <v/>
      </c>
    </row>
    <row r="424" spans="18:26">
      <c r="R424" s="15"/>
      <c r="S424" s="16"/>
      <c r="T424" s="17">
        <f>IF(AND(COUNTA($A424:$K424)=0,$L424=""),"",IF($S424="Paid","PAID",IF($S424="Closed","CLOSED",IF($W424="","",IF($W424=6,"ESCALATED TO ROXANNE",IF(TODAY()&gt;$Y424,"OVERDUE",IF($Y424&lt;=WORKDAY(TODAY(),1,Holidays),"DUE TOMORROW",IF($W424=4,"ESCALATED TO LOCAL OFFICE",IF($W424=5,"ESCALATED TO CBE",IF($X424=TODAY(),"EMAIL SENT","MONITORING"))))))))))</f>
        <v/>
      </c>
      <c r="U424" s="17">
        <f>IF($T424="",IF(AND(COUNTA($A424:$K424)&gt;0,$L424=""),"Awaiting Collection Email time stamp.",""),IF(OR($T424="PAID",$T424="CLOSED"),IF($T424="PAID","Account paid. Action completed.","Account closed. No further action required."),CHOOSE($W424,"Collection Email","1st Email Follow-up","2nd Email Follow-up","Escalation to Local Office","Escalation to CBE","Escalation to Roxanne")&amp;" sent "&amp;TEXT($X424,"dd-mmm")&amp;". "&amp;IF($W424=6,"Final escalation completed.",IF($T424="OVERDUE","Next: "&amp;$Z424&amp;" was due "&amp;TEXT($Y424,"dd-mmm")&amp;" - "&amp;(NETWORKDAYS($Y424,TODAY(),Holidays)-1)&amp;" business day(s) late. Send now.",IF($T424="DUE TOMORROW","Next: "&amp;$Z424&amp;IF($Y424&lt;=TODAY()," is due TODAY ("," is due next business day (")&amp;TEXT($Y424,"dd-mmm")&amp;").","Next: "&amp;$Z424&amp;" due "&amp;TEXT($Y424,"dd-mmm")&amp;" ("&amp;(NETWORKDAYS(TODAY(),$Y424,Holidays)-1)&amp;" business day(s) left).")))))</f>
        <v/>
      </c>
      <c r="V424" s="17">
        <f>IF($W424="","",CHOOSE($W424,"Collection Email","1st Follow-up","2nd Follow-up","Local Office","CBE","Roxanne")&amp;IF($W424=6," - Final"," - Day "&amp;MAX(0,NETWORKDAYS($X424,TODAY(),Holidays)-1)&amp;" of "&amp;CHOOSE($W424,3,3,2,2,3))&amp;" | Total Day "&amp;MAX(0,NETWORKDAYS($L424,TODAY(),Holidays)-1))</f>
        <v/>
      </c>
      <c r="W424" s="17">
        <f>IF($L424="","",COUNT($L424:$Q424))</f>
        <v/>
      </c>
      <c r="X424" s="18">
        <f>IF($W424="","",INT(INDEX($L424:$Q424,$W424)))</f>
        <v/>
      </c>
      <c r="Y424" s="18">
        <f>IF(OR($W424="",$W424=6),"",WORKDAY($X424,CHOOSE($W424,3,3,2,2,3),Holidays))</f>
        <v/>
      </c>
      <c r="Z424" s="17">
        <f>IF(OR($W424="",$W424=6),"",CHOOSE($W424,"1st Email Follow-up","2nd Email Follow-up","Escalate Local Office","Escalate to CBE","Escalate to Roxanne"))</f>
        <v/>
      </c>
    </row>
    <row r="425" spans="18:26">
      <c r="R425" s="15"/>
      <c r="S425" s="16"/>
      <c r="T425" s="17">
        <f>IF(AND(COUNTA($A425:$K425)=0,$L425=""),"",IF($S425="Paid","PAID",IF($S425="Closed","CLOSED",IF($W425="","",IF($W425=6,"ESCALATED TO ROXANNE",IF(TODAY()&gt;$Y425,"OVERDUE",IF($Y425&lt;=WORKDAY(TODAY(),1,Holidays),"DUE TOMORROW",IF($W425=4,"ESCALATED TO LOCAL OFFICE",IF($W425=5,"ESCALATED TO CBE",IF($X425=TODAY(),"EMAIL SENT","MONITORING"))))))))))</f>
        <v/>
      </c>
      <c r="U425" s="17">
        <f>IF($T425="",IF(AND(COUNTA($A425:$K425)&gt;0,$L425=""),"Awaiting Collection Email time stamp.",""),IF(OR($T425="PAID",$T425="CLOSED"),IF($T425="PAID","Account paid. Action completed.","Account closed. No further action required."),CHOOSE($W425,"Collection Email","1st Email Follow-up","2nd Email Follow-up","Escalation to Local Office","Escalation to CBE","Escalation to Roxanne")&amp;" sent "&amp;TEXT($X425,"dd-mmm")&amp;". "&amp;IF($W425=6,"Final escalation completed.",IF($T425="OVERDUE","Next: "&amp;$Z425&amp;" was due "&amp;TEXT($Y425,"dd-mmm")&amp;" - "&amp;(NETWORKDAYS($Y425,TODAY(),Holidays)-1)&amp;" business day(s) late. Send now.",IF($T425="DUE TOMORROW","Next: "&amp;$Z425&amp;IF($Y425&lt;=TODAY()," is due TODAY ("," is due next business day (")&amp;TEXT($Y425,"dd-mmm")&amp;").","Next: "&amp;$Z425&amp;" due "&amp;TEXT($Y425,"dd-mmm")&amp;" ("&amp;(NETWORKDAYS(TODAY(),$Y425,Holidays)-1)&amp;" business day(s) left).")))))</f>
        <v/>
      </c>
      <c r="V425" s="17">
        <f>IF($W425="","",CHOOSE($W425,"Collection Email","1st Follow-up","2nd Follow-up","Local Office","CBE","Roxanne")&amp;IF($W425=6," - Final"," - Day "&amp;MAX(0,NETWORKDAYS($X425,TODAY(),Holidays)-1)&amp;" of "&amp;CHOOSE($W425,3,3,2,2,3))&amp;" | Total Day "&amp;MAX(0,NETWORKDAYS($L425,TODAY(),Holidays)-1))</f>
        <v/>
      </c>
      <c r="W425" s="17">
        <f>IF($L425="","",COUNT($L425:$Q425))</f>
        <v/>
      </c>
      <c r="X425" s="18">
        <f>IF($W425="","",INT(INDEX($L425:$Q425,$W425)))</f>
        <v/>
      </c>
      <c r="Y425" s="18">
        <f>IF(OR($W425="",$W425=6),"",WORKDAY($X425,CHOOSE($W425,3,3,2,2,3),Holidays))</f>
        <v/>
      </c>
      <c r="Z425" s="17">
        <f>IF(OR($W425="",$W425=6),"",CHOOSE($W425,"1st Email Follow-up","2nd Email Follow-up","Escalate Local Office","Escalate to CBE","Escalate to Roxanne"))</f>
        <v/>
      </c>
    </row>
    <row r="426" spans="18:26">
      <c r="R426" s="15"/>
      <c r="S426" s="16"/>
      <c r="T426" s="17">
        <f>IF(AND(COUNTA($A426:$K426)=0,$L426=""),"",IF($S426="Paid","PAID",IF($S426="Closed","CLOSED",IF($W426="","",IF($W426=6,"ESCALATED TO ROXANNE",IF(TODAY()&gt;$Y426,"OVERDUE",IF($Y426&lt;=WORKDAY(TODAY(),1,Holidays),"DUE TOMORROW",IF($W426=4,"ESCALATED TO LOCAL OFFICE",IF($W426=5,"ESCALATED TO CBE",IF($X426=TODAY(),"EMAIL SENT","MONITORING"))))))))))</f>
        <v/>
      </c>
      <c r="U426" s="17">
        <f>IF($T426="",IF(AND(COUNTA($A426:$K426)&gt;0,$L426=""),"Awaiting Collection Email time stamp.",""),IF(OR($T426="PAID",$T426="CLOSED"),IF($T426="PAID","Account paid. Action completed.","Account closed. No further action required."),CHOOSE($W426,"Collection Email","1st Email Follow-up","2nd Email Follow-up","Escalation to Local Office","Escalation to CBE","Escalation to Roxanne")&amp;" sent "&amp;TEXT($X426,"dd-mmm")&amp;". "&amp;IF($W426=6,"Final escalation completed.",IF($T426="OVERDUE","Next: "&amp;$Z426&amp;" was due "&amp;TEXT($Y426,"dd-mmm")&amp;" - "&amp;(NETWORKDAYS($Y426,TODAY(),Holidays)-1)&amp;" business day(s) late. Send now.",IF($T426="DUE TOMORROW","Next: "&amp;$Z426&amp;IF($Y426&lt;=TODAY()," is due TODAY ("," is due next business day (")&amp;TEXT($Y426,"dd-mmm")&amp;").","Next: "&amp;$Z426&amp;" due "&amp;TEXT($Y426,"dd-mmm")&amp;" ("&amp;(NETWORKDAYS(TODAY(),$Y426,Holidays)-1)&amp;" business day(s) left).")))))</f>
        <v/>
      </c>
      <c r="V426" s="17">
        <f>IF($W426="","",CHOOSE($W426,"Collection Email","1st Follow-up","2nd Follow-up","Local Office","CBE","Roxanne")&amp;IF($W426=6," - Final"," - Day "&amp;MAX(0,NETWORKDAYS($X426,TODAY(),Holidays)-1)&amp;" of "&amp;CHOOSE($W426,3,3,2,2,3))&amp;" | Total Day "&amp;MAX(0,NETWORKDAYS($L426,TODAY(),Holidays)-1))</f>
        <v/>
      </c>
      <c r="W426" s="17">
        <f>IF($L426="","",COUNT($L426:$Q426))</f>
        <v/>
      </c>
      <c r="X426" s="18">
        <f>IF($W426="","",INT(INDEX($L426:$Q426,$W426)))</f>
        <v/>
      </c>
      <c r="Y426" s="18">
        <f>IF(OR($W426="",$W426=6),"",WORKDAY($X426,CHOOSE($W426,3,3,2,2,3),Holidays))</f>
        <v/>
      </c>
      <c r="Z426" s="17">
        <f>IF(OR($W426="",$W426=6),"",CHOOSE($W426,"1st Email Follow-up","2nd Email Follow-up","Escalate Local Office","Escalate to CBE","Escalate to Roxanne"))</f>
        <v/>
      </c>
    </row>
    <row r="427" spans="18:26">
      <c r="R427" s="15"/>
      <c r="S427" s="16"/>
      <c r="T427" s="17">
        <f>IF(AND(COUNTA($A427:$K427)=0,$L427=""),"",IF($S427="Paid","PAID",IF($S427="Closed","CLOSED",IF($W427="","",IF($W427=6,"ESCALATED TO ROXANNE",IF(TODAY()&gt;$Y427,"OVERDUE",IF($Y427&lt;=WORKDAY(TODAY(),1,Holidays),"DUE TOMORROW",IF($W427=4,"ESCALATED TO LOCAL OFFICE",IF($W427=5,"ESCALATED TO CBE",IF($X427=TODAY(),"EMAIL SENT","MONITORING"))))))))))</f>
        <v/>
      </c>
      <c r="U427" s="17">
        <f>IF($T427="",IF(AND(COUNTA($A427:$K427)&gt;0,$L427=""),"Awaiting Collection Email time stamp.",""),IF(OR($T427="PAID",$T427="CLOSED"),IF($T427="PAID","Account paid. Action completed.","Account closed. No further action required."),CHOOSE($W427,"Collection Email","1st Email Follow-up","2nd Email Follow-up","Escalation to Local Office","Escalation to CBE","Escalation to Roxanne")&amp;" sent "&amp;TEXT($X427,"dd-mmm")&amp;". "&amp;IF($W427=6,"Final escalation completed.",IF($T427="OVERDUE","Next: "&amp;$Z427&amp;" was due "&amp;TEXT($Y427,"dd-mmm")&amp;" - "&amp;(NETWORKDAYS($Y427,TODAY(),Holidays)-1)&amp;" business day(s) late. Send now.",IF($T427="DUE TOMORROW","Next: "&amp;$Z427&amp;IF($Y427&lt;=TODAY()," is due TODAY ("," is due next business day (")&amp;TEXT($Y427,"dd-mmm")&amp;").","Next: "&amp;$Z427&amp;" due "&amp;TEXT($Y427,"dd-mmm")&amp;" ("&amp;(NETWORKDAYS(TODAY(),$Y427,Holidays)-1)&amp;" business day(s) left).")))))</f>
        <v/>
      </c>
      <c r="V427" s="17">
        <f>IF($W427="","",CHOOSE($W427,"Collection Email","1st Follow-up","2nd Follow-up","Local Office","CBE","Roxanne")&amp;IF($W427=6," - Final"," - Day "&amp;MAX(0,NETWORKDAYS($X427,TODAY(),Holidays)-1)&amp;" of "&amp;CHOOSE($W427,3,3,2,2,3))&amp;" | Total Day "&amp;MAX(0,NETWORKDAYS($L427,TODAY(),Holidays)-1))</f>
        <v/>
      </c>
      <c r="W427" s="17">
        <f>IF($L427="","",COUNT($L427:$Q427))</f>
        <v/>
      </c>
      <c r="X427" s="18">
        <f>IF($W427="","",INT(INDEX($L427:$Q427,$W427)))</f>
        <v/>
      </c>
      <c r="Y427" s="18">
        <f>IF(OR($W427="",$W427=6),"",WORKDAY($X427,CHOOSE($W427,3,3,2,2,3),Holidays))</f>
        <v/>
      </c>
      <c r="Z427" s="17">
        <f>IF(OR($W427="",$W427=6),"",CHOOSE($W427,"1st Email Follow-up","2nd Email Follow-up","Escalate Local Office","Escalate to CBE","Escalate to Roxanne"))</f>
        <v/>
      </c>
    </row>
    <row r="428" spans="18:26">
      <c r="R428" s="15"/>
      <c r="S428" s="16"/>
      <c r="T428" s="17">
        <f>IF(AND(COUNTA($A428:$K428)=0,$L428=""),"",IF($S428="Paid","PAID",IF($S428="Closed","CLOSED",IF($W428="","",IF($W428=6,"ESCALATED TO ROXANNE",IF(TODAY()&gt;$Y428,"OVERDUE",IF($Y428&lt;=WORKDAY(TODAY(),1,Holidays),"DUE TOMORROW",IF($W428=4,"ESCALATED TO LOCAL OFFICE",IF($W428=5,"ESCALATED TO CBE",IF($X428=TODAY(),"EMAIL SENT","MONITORING"))))))))))</f>
        <v/>
      </c>
      <c r="U428" s="17">
        <f>IF($T428="",IF(AND(COUNTA($A428:$K428)&gt;0,$L428=""),"Awaiting Collection Email time stamp.",""),IF(OR($T428="PAID",$T428="CLOSED"),IF($T428="PAID","Account paid. Action completed.","Account closed. No further action required."),CHOOSE($W428,"Collection Email","1st Email Follow-up","2nd Email Follow-up","Escalation to Local Office","Escalation to CBE","Escalation to Roxanne")&amp;" sent "&amp;TEXT($X428,"dd-mmm")&amp;". "&amp;IF($W428=6,"Final escalation completed.",IF($T428="OVERDUE","Next: "&amp;$Z428&amp;" was due "&amp;TEXT($Y428,"dd-mmm")&amp;" - "&amp;(NETWORKDAYS($Y428,TODAY(),Holidays)-1)&amp;" business day(s) late. Send now.",IF($T428="DUE TOMORROW","Next: "&amp;$Z428&amp;IF($Y428&lt;=TODAY()," is due TODAY ("," is due next business day (")&amp;TEXT($Y428,"dd-mmm")&amp;").","Next: "&amp;$Z428&amp;" due "&amp;TEXT($Y428,"dd-mmm")&amp;" ("&amp;(NETWORKDAYS(TODAY(),$Y428,Holidays)-1)&amp;" business day(s) left).")))))</f>
        <v/>
      </c>
      <c r="V428" s="17">
        <f>IF($W428="","",CHOOSE($W428,"Collection Email","1st Follow-up","2nd Follow-up","Local Office","CBE","Roxanne")&amp;IF($W428=6," - Final"," - Day "&amp;MAX(0,NETWORKDAYS($X428,TODAY(),Holidays)-1)&amp;" of "&amp;CHOOSE($W428,3,3,2,2,3))&amp;" | Total Day "&amp;MAX(0,NETWORKDAYS($L428,TODAY(),Holidays)-1))</f>
        <v/>
      </c>
      <c r="W428" s="17">
        <f>IF($L428="","",COUNT($L428:$Q428))</f>
        <v/>
      </c>
      <c r="X428" s="18">
        <f>IF($W428="","",INT(INDEX($L428:$Q428,$W428)))</f>
        <v/>
      </c>
      <c r="Y428" s="18">
        <f>IF(OR($W428="",$W428=6),"",WORKDAY($X428,CHOOSE($W428,3,3,2,2,3),Holidays))</f>
        <v/>
      </c>
      <c r="Z428" s="17">
        <f>IF(OR($W428="",$W428=6),"",CHOOSE($W428,"1st Email Follow-up","2nd Email Follow-up","Escalate Local Office","Escalate to CBE","Escalate to Roxanne"))</f>
        <v/>
      </c>
    </row>
    <row r="429" spans="18:26">
      <c r="R429" s="15"/>
      <c r="S429" s="16"/>
      <c r="T429" s="17">
        <f>IF(AND(COUNTA($A429:$K429)=0,$L429=""),"",IF($S429="Paid","PAID",IF($S429="Closed","CLOSED",IF($W429="","",IF($W429=6,"ESCALATED TO ROXANNE",IF(TODAY()&gt;$Y429,"OVERDUE",IF($Y429&lt;=WORKDAY(TODAY(),1,Holidays),"DUE TOMORROW",IF($W429=4,"ESCALATED TO LOCAL OFFICE",IF($W429=5,"ESCALATED TO CBE",IF($X429=TODAY(),"EMAIL SENT","MONITORING"))))))))))</f>
        <v/>
      </c>
      <c r="U429" s="17">
        <f>IF($T429="",IF(AND(COUNTA($A429:$K429)&gt;0,$L429=""),"Awaiting Collection Email time stamp.",""),IF(OR($T429="PAID",$T429="CLOSED"),IF($T429="PAID","Account paid. Action completed.","Account closed. No further action required."),CHOOSE($W429,"Collection Email","1st Email Follow-up","2nd Email Follow-up","Escalation to Local Office","Escalation to CBE","Escalation to Roxanne")&amp;" sent "&amp;TEXT($X429,"dd-mmm")&amp;". "&amp;IF($W429=6,"Final escalation completed.",IF($T429="OVERDUE","Next: "&amp;$Z429&amp;" was due "&amp;TEXT($Y429,"dd-mmm")&amp;" - "&amp;(NETWORKDAYS($Y429,TODAY(),Holidays)-1)&amp;" business day(s) late. Send now.",IF($T429="DUE TOMORROW","Next: "&amp;$Z429&amp;IF($Y429&lt;=TODAY()," is due TODAY ("," is due next business day (")&amp;TEXT($Y429,"dd-mmm")&amp;").","Next: "&amp;$Z429&amp;" due "&amp;TEXT($Y429,"dd-mmm")&amp;" ("&amp;(NETWORKDAYS(TODAY(),$Y429,Holidays)-1)&amp;" business day(s) left).")))))</f>
        <v/>
      </c>
      <c r="V429" s="17">
        <f>IF($W429="","",CHOOSE($W429,"Collection Email","1st Follow-up","2nd Follow-up","Local Office","CBE","Roxanne")&amp;IF($W429=6," - Final"," - Day "&amp;MAX(0,NETWORKDAYS($X429,TODAY(),Holidays)-1)&amp;" of "&amp;CHOOSE($W429,3,3,2,2,3))&amp;" | Total Day "&amp;MAX(0,NETWORKDAYS($L429,TODAY(),Holidays)-1))</f>
        <v/>
      </c>
      <c r="W429" s="17">
        <f>IF($L429="","",COUNT($L429:$Q429))</f>
        <v/>
      </c>
      <c r="X429" s="18">
        <f>IF($W429="","",INT(INDEX($L429:$Q429,$W429)))</f>
        <v/>
      </c>
      <c r="Y429" s="18">
        <f>IF(OR($W429="",$W429=6),"",WORKDAY($X429,CHOOSE($W429,3,3,2,2,3),Holidays))</f>
        <v/>
      </c>
      <c r="Z429" s="17">
        <f>IF(OR($W429="",$W429=6),"",CHOOSE($W429,"1st Email Follow-up","2nd Email Follow-up","Escalate Local Office","Escalate to CBE","Escalate to Roxanne"))</f>
        <v/>
      </c>
    </row>
    <row r="430" spans="18:26">
      <c r="R430" s="15"/>
      <c r="S430" s="16"/>
      <c r="T430" s="17">
        <f>IF(AND(COUNTA($A430:$K430)=0,$L430=""),"",IF($S430="Paid","PAID",IF($S430="Closed","CLOSED",IF($W430="","",IF($W430=6,"ESCALATED TO ROXANNE",IF(TODAY()&gt;$Y430,"OVERDUE",IF($Y430&lt;=WORKDAY(TODAY(),1,Holidays),"DUE TOMORROW",IF($W430=4,"ESCALATED TO LOCAL OFFICE",IF($W430=5,"ESCALATED TO CBE",IF($X430=TODAY(),"EMAIL SENT","MONITORING"))))))))))</f>
        <v/>
      </c>
      <c r="U430" s="17">
        <f>IF($T430="",IF(AND(COUNTA($A430:$K430)&gt;0,$L430=""),"Awaiting Collection Email time stamp.",""),IF(OR($T430="PAID",$T430="CLOSED"),IF($T430="PAID","Account paid. Action completed.","Account closed. No further action required."),CHOOSE($W430,"Collection Email","1st Email Follow-up","2nd Email Follow-up","Escalation to Local Office","Escalation to CBE","Escalation to Roxanne")&amp;" sent "&amp;TEXT($X430,"dd-mmm")&amp;". "&amp;IF($W430=6,"Final escalation completed.",IF($T430="OVERDUE","Next: "&amp;$Z430&amp;" was due "&amp;TEXT($Y430,"dd-mmm")&amp;" - "&amp;(NETWORKDAYS($Y430,TODAY(),Holidays)-1)&amp;" business day(s) late. Send now.",IF($T430="DUE TOMORROW","Next: "&amp;$Z430&amp;IF($Y430&lt;=TODAY()," is due TODAY ("," is due next business day (")&amp;TEXT($Y430,"dd-mmm")&amp;").","Next: "&amp;$Z430&amp;" due "&amp;TEXT($Y430,"dd-mmm")&amp;" ("&amp;(NETWORKDAYS(TODAY(),$Y430,Holidays)-1)&amp;" business day(s) left).")))))</f>
        <v/>
      </c>
      <c r="V430" s="17">
        <f>IF($W430="","",CHOOSE($W430,"Collection Email","1st Follow-up","2nd Follow-up","Local Office","CBE","Roxanne")&amp;IF($W430=6," - Final"," - Day "&amp;MAX(0,NETWORKDAYS($X430,TODAY(),Holidays)-1)&amp;" of "&amp;CHOOSE($W430,3,3,2,2,3))&amp;" | Total Day "&amp;MAX(0,NETWORKDAYS($L430,TODAY(),Holidays)-1))</f>
        <v/>
      </c>
      <c r="W430" s="17">
        <f>IF($L430="","",COUNT($L430:$Q430))</f>
        <v/>
      </c>
      <c r="X430" s="18">
        <f>IF($W430="","",INT(INDEX($L430:$Q430,$W430)))</f>
        <v/>
      </c>
      <c r="Y430" s="18">
        <f>IF(OR($W430="",$W430=6),"",WORKDAY($X430,CHOOSE($W430,3,3,2,2,3),Holidays))</f>
        <v/>
      </c>
      <c r="Z430" s="17">
        <f>IF(OR($W430="",$W430=6),"",CHOOSE($W430,"1st Email Follow-up","2nd Email Follow-up","Escalate Local Office","Escalate to CBE","Escalate to Roxanne"))</f>
        <v/>
      </c>
    </row>
    <row r="431" spans="18:26">
      <c r="R431" s="15"/>
      <c r="S431" s="16"/>
      <c r="T431" s="17">
        <f>IF(AND(COUNTA($A431:$K431)=0,$L431=""),"",IF($S431="Paid","PAID",IF($S431="Closed","CLOSED",IF($W431="","",IF($W431=6,"ESCALATED TO ROXANNE",IF(TODAY()&gt;$Y431,"OVERDUE",IF($Y431&lt;=WORKDAY(TODAY(),1,Holidays),"DUE TOMORROW",IF($W431=4,"ESCALATED TO LOCAL OFFICE",IF($W431=5,"ESCALATED TO CBE",IF($X431=TODAY(),"EMAIL SENT","MONITORING"))))))))))</f>
        <v/>
      </c>
      <c r="U431" s="17">
        <f>IF($T431="",IF(AND(COUNTA($A431:$K431)&gt;0,$L431=""),"Awaiting Collection Email time stamp.",""),IF(OR($T431="PAID",$T431="CLOSED"),IF($T431="PAID","Account paid. Action completed.","Account closed. No further action required."),CHOOSE($W431,"Collection Email","1st Email Follow-up","2nd Email Follow-up","Escalation to Local Office","Escalation to CBE","Escalation to Roxanne")&amp;" sent "&amp;TEXT($X431,"dd-mmm")&amp;". "&amp;IF($W431=6,"Final escalation completed.",IF($T431="OVERDUE","Next: "&amp;$Z431&amp;" was due "&amp;TEXT($Y431,"dd-mmm")&amp;" - "&amp;(NETWORKDAYS($Y431,TODAY(),Holidays)-1)&amp;" business day(s) late. Send now.",IF($T431="DUE TOMORROW","Next: "&amp;$Z431&amp;IF($Y431&lt;=TODAY()," is due TODAY ("," is due next business day (")&amp;TEXT($Y431,"dd-mmm")&amp;").","Next: "&amp;$Z431&amp;" due "&amp;TEXT($Y431,"dd-mmm")&amp;" ("&amp;(NETWORKDAYS(TODAY(),$Y431,Holidays)-1)&amp;" business day(s) left).")))))</f>
        <v/>
      </c>
      <c r="V431" s="17">
        <f>IF($W431="","",CHOOSE($W431,"Collection Email","1st Follow-up","2nd Follow-up","Local Office","CBE","Roxanne")&amp;IF($W431=6," - Final"," - Day "&amp;MAX(0,NETWORKDAYS($X431,TODAY(),Holidays)-1)&amp;" of "&amp;CHOOSE($W431,3,3,2,2,3))&amp;" | Total Day "&amp;MAX(0,NETWORKDAYS($L431,TODAY(),Holidays)-1))</f>
        <v/>
      </c>
      <c r="W431" s="17">
        <f>IF($L431="","",COUNT($L431:$Q431))</f>
        <v/>
      </c>
      <c r="X431" s="18">
        <f>IF($W431="","",INT(INDEX($L431:$Q431,$W431)))</f>
        <v/>
      </c>
      <c r="Y431" s="18">
        <f>IF(OR($W431="",$W431=6),"",WORKDAY($X431,CHOOSE($W431,3,3,2,2,3),Holidays))</f>
        <v/>
      </c>
      <c r="Z431" s="17">
        <f>IF(OR($W431="",$W431=6),"",CHOOSE($W431,"1st Email Follow-up","2nd Email Follow-up","Escalate Local Office","Escalate to CBE","Escalate to Roxanne"))</f>
        <v/>
      </c>
    </row>
    <row r="432" spans="18:26">
      <c r="R432" s="15"/>
      <c r="S432" s="16"/>
      <c r="T432" s="17">
        <f>IF(AND(COUNTA($A432:$K432)=0,$L432=""),"",IF($S432="Paid","PAID",IF($S432="Closed","CLOSED",IF($W432="","",IF($W432=6,"ESCALATED TO ROXANNE",IF(TODAY()&gt;$Y432,"OVERDUE",IF($Y432&lt;=WORKDAY(TODAY(),1,Holidays),"DUE TOMORROW",IF($W432=4,"ESCALATED TO LOCAL OFFICE",IF($W432=5,"ESCALATED TO CBE",IF($X432=TODAY(),"EMAIL SENT","MONITORING"))))))))))</f>
        <v/>
      </c>
      <c r="U432" s="17">
        <f>IF($T432="",IF(AND(COUNTA($A432:$K432)&gt;0,$L432=""),"Awaiting Collection Email time stamp.",""),IF(OR($T432="PAID",$T432="CLOSED"),IF($T432="PAID","Account paid. Action completed.","Account closed. No further action required."),CHOOSE($W432,"Collection Email","1st Email Follow-up","2nd Email Follow-up","Escalation to Local Office","Escalation to CBE","Escalation to Roxanne")&amp;" sent "&amp;TEXT($X432,"dd-mmm")&amp;". "&amp;IF($W432=6,"Final escalation completed.",IF($T432="OVERDUE","Next: "&amp;$Z432&amp;" was due "&amp;TEXT($Y432,"dd-mmm")&amp;" - "&amp;(NETWORKDAYS($Y432,TODAY(),Holidays)-1)&amp;" business day(s) late. Send now.",IF($T432="DUE TOMORROW","Next: "&amp;$Z432&amp;IF($Y432&lt;=TODAY()," is due TODAY ("," is due next business day (")&amp;TEXT($Y432,"dd-mmm")&amp;").","Next: "&amp;$Z432&amp;" due "&amp;TEXT($Y432,"dd-mmm")&amp;" ("&amp;(NETWORKDAYS(TODAY(),$Y432,Holidays)-1)&amp;" business day(s) left).")))))</f>
        <v/>
      </c>
      <c r="V432" s="17">
        <f>IF($W432="","",CHOOSE($W432,"Collection Email","1st Follow-up","2nd Follow-up","Local Office","CBE","Roxanne")&amp;IF($W432=6," - Final"," - Day "&amp;MAX(0,NETWORKDAYS($X432,TODAY(),Holidays)-1)&amp;" of "&amp;CHOOSE($W432,3,3,2,2,3))&amp;" | Total Day "&amp;MAX(0,NETWORKDAYS($L432,TODAY(),Holidays)-1))</f>
        <v/>
      </c>
      <c r="W432" s="17">
        <f>IF($L432="","",COUNT($L432:$Q432))</f>
        <v/>
      </c>
      <c r="X432" s="18">
        <f>IF($W432="","",INT(INDEX($L432:$Q432,$W432)))</f>
        <v/>
      </c>
      <c r="Y432" s="18">
        <f>IF(OR($W432="",$W432=6),"",WORKDAY($X432,CHOOSE($W432,3,3,2,2,3),Holidays))</f>
        <v/>
      </c>
      <c r="Z432" s="17">
        <f>IF(OR($W432="",$W432=6),"",CHOOSE($W432,"1st Email Follow-up","2nd Email Follow-up","Escalate Local Office","Escalate to CBE","Escalate to Roxanne"))</f>
        <v/>
      </c>
    </row>
    <row r="433" spans="18:26">
      <c r="R433" s="15"/>
      <c r="S433" s="16"/>
      <c r="T433" s="17">
        <f>IF(AND(COUNTA($A433:$K433)=0,$L433=""),"",IF($S433="Paid","PAID",IF($S433="Closed","CLOSED",IF($W433="","",IF($W433=6,"ESCALATED TO ROXANNE",IF(TODAY()&gt;$Y433,"OVERDUE",IF($Y433&lt;=WORKDAY(TODAY(),1,Holidays),"DUE TOMORROW",IF($W433=4,"ESCALATED TO LOCAL OFFICE",IF($W433=5,"ESCALATED TO CBE",IF($X433=TODAY(),"EMAIL SENT","MONITORING"))))))))))</f>
        <v/>
      </c>
      <c r="U433" s="17">
        <f>IF($T433="",IF(AND(COUNTA($A433:$K433)&gt;0,$L433=""),"Awaiting Collection Email time stamp.",""),IF(OR($T433="PAID",$T433="CLOSED"),IF($T433="PAID","Account paid. Action completed.","Account closed. No further action required."),CHOOSE($W433,"Collection Email","1st Email Follow-up","2nd Email Follow-up","Escalation to Local Office","Escalation to CBE","Escalation to Roxanne")&amp;" sent "&amp;TEXT($X433,"dd-mmm")&amp;". "&amp;IF($W433=6,"Final escalation completed.",IF($T433="OVERDUE","Next: "&amp;$Z433&amp;" was due "&amp;TEXT($Y433,"dd-mmm")&amp;" - "&amp;(NETWORKDAYS($Y433,TODAY(),Holidays)-1)&amp;" business day(s) late. Send now.",IF($T433="DUE TOMORROW","Next: "&amp;$Z433&amp;IF($Y433&lt;=TODAY()," is due TODAY ("," is due next business day (")&amp;TEXT($Y433,"dd-mmm")&amp;").","Next: "&amp;$Z433&amp;" due "&amp;TEXT($Y433,"dd-mmm")&amp;" ("&amp;(NETWORKDAYS(TODAY(),$Y433,Holidays)-1)&amp;" business day(s) left).")))))</f>
        <v/>
      </c>
      <c r="V433" s="17">
        <f>IF($W433="","",CHOOSE($W433,"Collection Email","1st Follow-up","2nd Follow-up","Local Office","CBE","Roxanne")&amp;IF($W433=6," - Final"," - Day "&amp;MAX(0,NETWORKDAYS($X433,TODAY(),Holidays)-1)&amp;" of "&amp;CHOOSE($W433,3,3,2,2,3))&amp;" | Total Day "&amp;MAX(0,NETWORKDAYS($L433,TODAY(),Holidays)-1))</f>
        <v/>
      </c>
      <c r="W433" s="17">
        <f>IF($L433="","",COUNT($L433:$Q433))</f>
        <v/>
      </c>
      <c r="X433" s="18">
        <f>IF($W433="","",INT(INDEX($L433:$Q433,$W433)))</f>
        <v/>
      </c>
      <c r="Y433" s="18">
        <f>IF(OR($W433="",$W433=6),"",WORKDAY($X433,CHOOSE($W433,3,3,2,2,3),Holidays))</f>
        <v/>
      </c>
      <c r="Z433" s="17">
        <f>IF(OR($W433="",$W433=6),"",CHOOSE($W433,"1st Email Follow-up","2nd Email Follow-up","Escalate Local Office","Escalate to CBE","Escalate to Roxanne"))</f>
        <v/>
      </c>
    </row>
    <row r="434" spans="18:26">
      <c r="R434" s="15"/>
      <c r="S434" s="16"/>
      <c r="T434" s="17">
        <f>IF(AND(COUNTA($A434:$K434)=0,$L434=""),"",IF($S434="Paid","PAID",IF($S434="Closed","CLOSED",IF($W434="","",IF($W434=6,"ESCALATED TO ROXANNE",IF(TODAY()&gt;$Y434,"OVERDUE",IF($Y434&lt;=WORKDAY(TODAY(),1,Holidays),"DUE TOMORROW",IF($W434=4,"ESCALATED TO LOCAL OFFICE",IF($W434=5,"ESCALATED TO CBE",IF($X434=TODAY(),"EMAIL SENT","MONITORING"))))))))))</f>
        <v/>
      </c>
      <c r="U434" s="17">
        <f>IF($T434="",IF(AND(COUNTA($A434:$K434)&gt;0,$L434=""),"Awaiting Collection Email time stamp.",""),IF(OR($T434="PAID",$T434="CLOSED"),IF($T434="PAID","Account paid. Action completed.","Account closed. No further action required."),CHOOSE($W434,"Collection Email","1st Email Follow-up","2nd Email Follow-up","Escalation to Local Office","Escalation to CBE","Escalation to Roxanne")&amp;" sent "&amp;TEXT($X434,"dd-mmm")&amp;". "&amp;IF($W434=6,"Final escalation completed.",IF($T434="OVERDUE","Next: "&amp;$Z434&amp;" was due "&amp;TEXT($Y434,"dd-mmm")&amp;" - "&amp;(NETWORKDAYS($Y434,TODAY(),Holidays)-1)&amp;" business day(s) late. Send now.",IF($T434="DUE TOMORROW","Next: "&amp;$Z434&amp;IF($Y434&lt;=TODAY()," is due TODAY ("," is due next business day (")&amp;TEXT($Y434,"dd-mmm")&amp;").","Next: "&amp;$Z434&amp;" due "&amp;TEXT($Y434,"dd-mmm")&amp;" ("&amp;(NETWORKDAYS(TODAY(),$Y434,Holidays)-1)&amp;" business day(s) left).")))))</f>
        <v/>
      </c>
      <c r="V434" s="17">
        <f>IF($W434="","",CHOOSE($W434,"Collection Email","1st Follow-up","2nd Follow-up","Local Office","CBE","Roxanne")&amp;IF($W434=6," - Final"," - Day "&amp;MAX(0,NETWORKDAYS($X434,TODAY(),Holidays)-1)&amp;" of "&amp;CHOOSE($W434,3,3,2,2,3))&amp;" | Total Day "&amp;MAX(0,NETWORKDAYS($L434,TODAY(),Holidays)-1))</f>
        <v/>
      </c>
      <c r="W434" s="17">
        <f>IF($L434="","",COUNT($L434:$Q434))</f>
        <v/>
      </c>
      <c r="X434" s="18">
        <f>IF($W434="","",INT(INDEX($L434:$Q434,$W434)))</f>
        <v/>
      </c>
      <c r="Y434" s="18">
        <f>IF(OR($W434="",$W434=6),"",WORKDAY($X434,CHOOSE($W434,3,3,2,2,3),Holidays))</f>
        <v/>
      </c>
      <c r="Z434" s="17">
        <f>IF(OR($W434="",$W434=6),"",CHOOSE($W434,"1st Email Follow-up","2nd Email Follow-up","Escalate Local Office","Escalate to CBE","Escalate to Roxanne"))</f>
        <v/>
      </c>
    </row>
    <row r="435" spans="18:26">
      <c r="R435" s="15"/>
      <c r="S435" s="16"/>
      <c r="T435" s="17">
        <f>IF(AND(COUNTA($A435:$K435)=0,$L435=""),"",IF($S435="Paid","PAID",IF($S435="Closed","CLOSED",IF($W435="","",IF($W435=6,"ESCALATED TO ROXANNE",IF(TODAY()&gt;$Y435,"OVERDUE",IF($Y435&lt;=WORKDAY(TODAY(),1,Holidays),"DUE TOMORROW",IF($W435=4,"ESCALATED TO LOCAL OFFICE",IF($W435=5,"ESCALATED TO CBE",IF($X435=TODAY(),"EMAIL SENT","MONITORING"))))))))))</f>
        <v/>
      </c>
      <c r="U435" s="17">
        <f>IF($T435="",IF(AND(COUNTA($A435:$K435)&gt;0,$L435=""),"Awaiting Collection Email time stamp.",""),IF(OR($T435="PAID",$T435="CLOSED"),IF($T435="PAID","Account paid. Action completed.","Account closed. No further action required."),CHOOSE($W435,"Collection Email","1st Email Follow-up","2nd Email Follow-up","Escalation to Local Office","Escalation to CBE","Escalation to Roxanne")&amp;" sent "&amp;TEXT($X435,"dd-mmm")&amp;". "&amp;IF($W435=6,"Final escalation completed.",IF($T435="OVERDUE","Next: "&amp;$Z435&amp;" was due "&amp;TEXT($Y435,"dd-mmm")&amp;" - "&amp;(NETWORKDAYS($Y435,TODAY(),Holidays)-1)&amp;" business day(s) late. Send now.",IF($T435="DUE TOMORROW","Next: "&amp;$Z435&amp;IF($Y435&lt;=TODAY()," is due TODAY ("," is due next business day (")&amp;TEXT($Y435,"dd-mmm")&amp;").","Next: "&amp;$Z435&amp;" due "&amp;TEXT($Y435,"dd-mmm")&amp;" ("&amp;(NETWORKDAYS(TODAY(),$Y435,Holidays)-1)&amp;" business day(s) left).")))))</f>
        <v/>
      </c>
      <c r="V435" s="17">
        <f>IF($W435="","",CHOOSE($W435,"Collection Email","1st Follow-up","2nd Follow-up","Local Office","CBE","Roxanne")&amp;IF($W435=6," - Final"," - Day "&amp;MAX(0,NETWORKDAYS($X435,TODAY(),Holidays)-1)&amp;" of "&amp;CHOOSE($W435,3,3,2,2,3))&amp;" | Total Day "&amp;MAX(0,NETWORKDAYS($L435,TODAY(),Holidays)-1))</f>
        <v/>
      </c>
      <c r="W435" s="17">
        <f>IF($L435="","",COUNT($L435:$Q435))</f>
        <v/>
      </c>
      <c r="X435" s="18">
        <f>IF($W435="","",INT(INDEX($L435:$Q435,$W435)))</f>
        <v/>
      </c>
      <c r="Y435" s="18">
        <f>IF(OR($W435="",$W435=6),"",WORKDAY($X435,CHOOSE($W435,3,3,2,2,3),Holidays))</f>
        <v/>
      </c>
      <c r="Z435" s="17">
        <f>IF(OR($W435="",$W435=6),"",CHOOSE($W435,"1st Email Follow-up","2nd Email Follow-up","Escalate Local Office","Escalate to CBE","Escalate to Roxanne"))</f>
        <v/>
      </c>
    </row>
    <row r="436" spans="18:26">
      <c r="R436" s="15"/>
      <c r="S436" s="16"/>
      <c r="T436" s="17">
        <f>IF(AND(COUNTA($A436:$K436)=0,$L436=""),"",IF($S436="Paid","PAID",IF($S436="Closed","CLOSED",IF($W436="","",IF($W436=6,"ESCALATED TO ROXANNE",IF(TODAY()&gt;$Y436,"OVERDUE",IF($Y436&lt;=WORKDAY(TODAY(),1,Holidays),"DUE TOMORROW",IF($W436=4,"ESCALATED TO LOCAL OFFICE",IF($W436=5,"ESCALATED TO CBE",IF($X436=TODAY(),"EMAIL SENT","MONITORING"))))))))))</f>
        <v/>
      </c>
      <c r="U436" s="17">
        <f>IF($T436="",IF(AND(COUNTA($A436:$K436)&gt;0,$L436=""),"Awaiting Collection Email time stamp.",""),IF(OR($T436="PAID",$T436="CLOSED"),IF($T436="PAID","Account paid. Action completed.","Account closed. No further action required."),CHOOSE($W436,"Collection Email","1st Email Follow-up","2nd Email Follow-up","Escalation to Local Office","Escalation to CBE","Escalation to Roxanne")&amp;" sent "&amp;TEXT($X436,"dd-mmm")&amp;". "&amp;IF($W436=6,"Final escalation completed.",IF($T436="OVERDUE","Next: "&amp;$Z436&amp;" was due "&amp;TEXT($Y436,"dd-mmm")&amp;" - "&amp;(NETWORKDAYS($Y436,TODAY(),Holidays)-1)&amp;" business day(s) late. Send now.",IF($T436="DUE TOMORROW","Next: "&amp;$Z436&amp;IF($Y436&lt;=TODAY()," is due TODAY ("," is due next business day (")&amp;TEXT($Y436,"dd-mmm")&amp;").","Next: "&amp;$Z436&amp;" due "&amp;TEXT($Y436,"dd-mmm")&amp;" ("&amp;(NETWORKDAYS(TODAY(),$Y436,Holidays)-1)&amp;" business day(s) left).")))))</f>
        <v/>
      </c>
      <c r="V436" s="17">
        <f>IF($W436="","",CHOOSE($W436,"Collection Email","1st Follow-up","2nd Follow-up","Local Office","CBE","Roxanne")&amp;IF($W436=6," - Final"," - Day "&amp;MAX(0,NETWORKDAYS($X436,TODAY(),Holidays)-1)&amp;" of "&amp;CHOOSE($W436,3,3,2,2,3))&amp;" | Total Day "&amp;MAX(0,NETWORKDAYS($L436,TODAY(),Holidays)-1))</f>
        <v/>
      </c>
      <c r="W436" s="17">
        <f>IF($L436="","",COUNT($L436:$Q436))</f>
        <v/>
      </c>
      <c r="X436" s="18">
        <f>IF($W436="","",INT(INDEX($L436:$Q436,$W436)))</f>
        <v/>
      </c>
      <c r="Y436" s="18">
        <f>IF(OR($W436="",$W436=6),"",WORKDAY($X436,CHOOSE($W436,3,3,2,2,3),Holidays))</f>
        <v/>
      </c>
      <c r="Z436" s="17">
        <f>IF(OR($W436="",$W436=6),"",CHOOSE($W436,"1st Email Follow-up","2nd Email Follow-up","Escalate Local Office","Escalate to CBE","Escalate to Roxanne"))</f>
        <v/>
      </c>
    </row>
    <row r="437" spans="18:26">
      <c r="R437" s="15"/>
      <c r="S437" s="16"/>
      <c r="T437" s="17">
        <f>IF(AND(COUNTA($A437:$K437)=0,$L437=""),"",IF($S437="Paid","PAID",IF($S437="Closed","CLOSED",IF($W437="","",IF($W437=6,"ESCALATED TO ROXANNE",IF(TODAY()&gt;$Y437,"OVERDUE",IF($Y437&lt;=WORKDAY(TODAY(),1,Holidays),"DUE TOMORROW",IF($W437=4,"ESCALATED TO LOCAL OFFICE",IF($W437=5,"ESCALATED TO CBE",IF($X437=TODAY(),"EMAIL SENT","MONITORING"))))))))))</f>
        <v/>
      </c>
      <c r="U437" s="17">
        <f>IF($T437="",IF(AND(COUNTA($A437:$K437)&gt;0,$L437=""),"Awaiting Collection Email time stamp.",""),IF(OR($T437="PAID",$T437="CLOSED"),IF($T437="PAID","Account paid. Action completed.","Account closed. No further action required."),CHOOSE($W437,"Collection Email","1st Email Follow-up","2nd Email Follow-up","Escalation to Local Office","Escalation to CBE","Escalation to Roxanne")&amp;" sent "&amp;TEXT($X437,"dd-mmm")&amp;". "&amp;IF($W437=6,"Final escalation completed.",IF($T437="OVERDUE","Next: "&amp;$Z437&amp;" was due "&amp;TEXT($Y437,"dd-mmm")&amp;" - "&amp;(NETWORKDAYS($Y437,TODAY(),Holidays)-1)&amp;" business day(s) late. Send now.",IF($T437="DUE TOMORROW","Next: "&amp;$Z437&amp;IF($Y437&lt;=TODAY()," is due TODAY ("," is due next business day (")&amp;TEXT($Y437,"dd-mmm")&amp;").","Next: "&amp;$Z437&amp;" due "&amp;TEXT($Y437,"dd-mmm")&amp;" ("&amp;(NETWORKDAYS(TODAY(),$Y437,Holidays)-1)&amp;" business day(s) left).")))))</f>
        <v/>
      </c>
      <c r="V437" s="17">
        <f>IF($W437="","",CHOOSE($W437,"Collection Email","1st Follow-up","2nd Follow-up","Local Office","CBE","Roxanne")&amp;IF($W437=6," - Final"," - Day "&amp;MAX(0,NETWORKDAYS($X437,TODAY(),Holidays)-1)&amp;" of "&amp;CHOOSE($W437,3,3,2,2,3))&amp;" | Total Day "&amp;MAX(0,NETWORKDAYS($L437,TODAY(),Holidays)-1))</f>
        <v/>
      </c>
      <c r="W437" s="17">
        <f>IF($L437="","",COUNT($L437:$Q437))</f>
        <v/>
      </c>
      <c r="X437" s="18">
        <f>IF($W437="","",INT(INDEX($L437:$Q437,$W437)))</f>
        <v/>
      </c>
      <c r="Y437" s="18">
        <f>IF(OR($W437="",$W437=6),"",WORKDAY($X437,CHOOSE($W437,3,3,2,2,3),Holidays))</f>
        <v/>
      </c>
      <c r="Z437" s="17">
        <f>IF(OR($W437="",$W437=6),"",CHOOSE($W437,"1st Email Follow-up","2nd Email Follow-up","Escalate Local Office","Escalate to CBE","Escalate to Roxanne"))</f>
        <v/>
      </c>
    </row>
    <row r="438" spans="18:26">
      <c r="R438" s="15"/>
      <c r="S438" s="16"/>
      <c r="T438" s="17">
        <f>IF(AND(COUNTA($A438:$K438)=0,$L438=""),"",IF($S438="Paid","PAID",IF($S438="Closed","CLOSED",IF($W438="","",IF($W438=6,"ESCALATED TO ROXANNE",IF(TODAY()&gt;$Y438,"OVERDUE",IF($Y438&lt;=WORKDAY(TODAY(),1,Holidays),"DUE TOMORROW",IF($W438=4,"ESCALATED TO LOCAL OFFICE",IF($W438=5,"ESCALATED TO CBE",IF($X438=TODAY(),"EMAIL SENT","MONITORING"))))))))))</f>
        <v/>
      </c>
      <c r="U438" s="17">
        <f>IF($T438="",IF(AND(COUNTA($A438:$K438)&gt;0,$L438=""),"Awaiting Collection Email time stamp.",""),IF(OR($T438="PAID",$T438="CLOSED"),IF($T438="PAID","Account paid. Action completed.","Account closed. No further action required."),CHOOSE($W438,"Collection Email","1st Email Follow-up","2nd Email Follow-up","Escalation to Local Office","Escalation to CBE","Escalation to Roxanne")&amp;" sent "&amp;TEXT($X438,"dd-mmm")&amp;". "&amp;IF($W438=6,"Final escalation completed.",IF($T438="OVERDUE","Next: "&amp;$Z438&amp;" was due "&amp;TEXT($Y438,"dd-mmm")&amp;" - "&amp;(NETWORKDAYS($Y438,TODAY(),Holidays)-1)&amp;" business day(s) late. Send now.",IF($T438="DUE TOMORROW","Next: "&amp;$Z438&amp;IF($Y438&lt;=TODAY()," is due TODAY ("," is due next business day (")&amp;TEXT($Y438,"dd-mmm")&amp;").","Next: "&amp;$Z438&amp;" due "&amp;TEXT($Y438,"dd-mmm")&amp;" ("&amp;(NETWORKDAYS(TODAY(),$Y438,Holidays)-1)&amp;" business day(s) left).")))))</f>
        <v/>
      </c>
      <c r="V438" s="17">
        <f>IF($W438="","",CHOOSE($W438,"Collection Email","1st Follow-up","2nd Follow-up","Local Office","CBE","Roxanne")&amp;IF($W438=6," - Final"," - Day "&amp;MAX(0,NETWORKDAYS($X438,TODAY(),Holidays)-1)&amp;" of "&amp;CHOOSE($W438,3,3,2,2,3))&amp;" | Total Day "&amp;MAX(0,NETWORKDAYS($L438,TODAY(),Holidays)-1))</f>
        <v/>
      </c>
      <c r="W438" s="17">
        <f>IF($L438="","",COUNT($L438:$Q438))</f>
        <v/>
      </c>
      <c r="X438" s="18">
        <f>IF($W438="","",INT(INDEX($L438:$Q438,$W438)))</f>
        <v/>
      </c>
      <c r="Y438" s="18">
        <f>IF(OR($W438="",$W438=6),"",WORKDAY($X438,CHOOSE($W438,3,3,2,2,3),Holidays))</f>
        <v/>
      </c>
      <c r="Z438" s="17">
        <f>IF(OR($W438="",$W438=6),"",CHOOSE($W438,"1st Email Follow-up","2nd Email Follow-up","Escalate Local Office","Escalate to CBE","Escalate to Roxanne"))</f>
        <v/>
      </c>
    </row>
    <row r="439" spans="18:26">
      <c r="R439" s="15"/>
      <c r="S439" s="16"/>
      <c r="T439" s="17">
        <f>IF(AND(COUNTA($A439:$K439)=0,$L439=""),"",IF($S439="Paid","PAID",IF($S439="Closed","CLOSED",IF($W439="","",IF($W439=6,"ESCALATED TO ROXANNE",IF(TODAY()&gt;$Y439,"OVERDUE",IF($Y439&lt;=WORKDAY(TODAY(),1,Holidays),"DUE TOMORROW",IF($W439=4,"ESCALATED TO LOCAL OFFICE",IF($W439=5,"ESCALATED TO CBE",IF($X439=TODAY(),"EMAIL SENT","MONITORING"))))))))))</f>
        <v/>
      </c>
      <c r="U439" s="17">
        <f>IF($T439="",IF(AND(COUNTA($A439:$K439)&gt;0,$L439=""),"Awaiting Collection Email time stamp.",""),IF(OR($T439="PAID",$T439="CLOSED"),IF($T439="PAID","Account paid. Action completed.","Account closed. No further action required."),CHOOSE($W439,"Collection Email","1st Email Follow-up","2nd Email Follow-up","Escalation to Local Office","Escalation to CBE","Escalation to Roxanne")&amp;" sent "&amp;TEXT($X439,"dd-mmm")&amp;". "&amp;IF($W439=6,"Final escalation completed.",IF($T439="OVERDUE","Next: "&amp;$Z439&amp;" was due "&amp;TEXT($Y439,"dd-mmm")&amp;" - "&amp;(NETWORKDAYS($Y439,TODAY(),Holidays)-1)&amp;" business day(s) late. Send now.",IF($T439="DUE TOMORROW","Next: "&amp;$Z439&amp;IF($Y439&lt;=TODAY()," is due TODAY ("," is due next business day (")&amp;TEXT($Y439,"dd-mmm")&amp;").","Next: "&amp;$Z439&amp;" due "&amp;TEXT($Y439,"dd-mmm")&amp;" ("&amp;(NETWORKDAYS(TODAY(),$Y439,Holidays)-1)&amp;" business day(s) left).")))))</f>
        <v/>
      </c>
      <c r="V439" s="17">
        <f>IF($W439="","",CHOOSE($W439,"Collection Email","1st Follow-up","2nd Follow-up","Local Office","CBE","Roxanne")&amp;IF($W439=6," - Final"," - Day "&amp;MAX(0,NETWORKDAYS($X439,TODAY(),Holidays)-1)&amp;" of "&amp;CHOOSE($W439,3,3,2,2,3))&amp;" | Total Day "&amp;MAX(0,NETWORKDAYS($L439,TODAY(),Holidays)-1))</f>
        <v/>
      </c>
      <c r="W439" s="17">
        <f>IF($L439="","",COUNT($L439:$Q439))</f>
        <v/>
      </c>
      <c r="X439" s="18">
        <f>IF($W439="","",INT(INDEX($L439:$Q439,$W439)))</f>
        <v/>
      </c>
      <c r="Y439" s="18">
        <f>IF(OR($W439="",$W439=6),"",WORKDAY($X439,CHOOSE($W439,3,3,2,2,3),Holidays))</f>
        <v/>
      </c>
      <c r="Z439" s="17">
        <f>IF(OR($W439="",$W439=6),"",CHOOSE($W439,"1st Email Follow-up","2nd Email Follow-up","Escalate Local Office","Escalate to CBE","Escalate to Roxanne"))</f>
        <v/>
      </c>
    </row>
    <row r="440" spans="18:26">
      <c r="R440" s="15"/>
      <c r="S440" s="16"/>
      <c r="T440" s="17">
        <f>IF(AND(COUNTA($A440:$K440)=0,$L440=""),"",IF($S440="Paid","PAID",IF($S440="Closed","CLOSED",IF($W440="","",IF($W440=6,"ESCALATED TO ROXANNE",IF(TODAY()&gt;$Y440,"OVERDUE",IF($Y440&lt;=WORKDAY(TODAY(),1,Holidays),"DUE TOMORROW",IF($W440=4,"ESCALATED TO LOCAL OFFICE",IF($W440=5,"ESCALATED TO CBE",IF($X440=TODAY(),"EMAIL SENT","MONITORING"))))))))))</f>
        <v/>
      </c>
      <c r="U440" s="17">
        <f>IF($T440="",IF(AND(COUNTA($A440:$K440)&gt;0,$L440=""),"Awaiting Collection Email time stamp.",""),IF(OR($T440="PAID",$T440="CLOSED"),IF($T440="PAID","Account paid. Action completed.","Account closed. No further action required."),CHOOSE($W440,"Collection Email","1st Email Follow-up","2nd Email Follow-up","Escalation to Local Office","Escalation to CBE","Escalation to Roxanne")&amp;" sent "&amp;TEXT($X440,"dd-mmm")&amp;". "&amp;IF($W440=6,"Final escalation completed.",IF($T440="OVERDUE","Next: "&amp;$Z440&amp;" was due "&amp;TEXT($Y440,"dd-mmm")&amp;" - "&amp;(NETWORKDAYS($Y440,TODAY(),Holidays)-1)&amp;" business day(s) late. Send now.",IF($T440="DUE TOMORROW","Next: "&amp;$Z440&amp;IF($Y440&lt;=TODAY()," is due TODAY ("," is due next business day (")&amp;TEXT($Y440,"dd-mmm")&amp;").","Next: "&amp;$Z440&amp;" due "&amp;TEXT($Y440,"dd-mmm")&amp;" ("&amp;(NETWORKDAYS(TODAY(),$Y440,Holidays)-1)&amp;" business day(s) left).")))))</f>
        <v/>
      </c>
      <c r="V440" s="17">
        <f>IF($W440="","",CHOOSE($W440,"Collection Email","1st Follow-up","2nd Follow-up","Local Office","CBE","Roxanne")&amp;IF($W440=6," - Final"," - Day "&amp;MAX(0,NETWORKDAYS($X440,TODAY(),Holidays)-1)&amp;" of "&amp;CHOOSE($W440,3,3,2,2,3))&amp;" | Total Day "&amp;MAX(0,NETWORKDAYS($L440,TODAY(),Holidays)-1))</f>
        <v/>
      </c>
      <c r="W440" s="17">
        <f>IF($L440="","",COUNT($L440:$Q440))</f>
        <v/>
      </c>
      <c r="X440" s="18">
        <f>IF($W440="","",INT(INDEX($L440:$Q440,$W440)))</f>
        <v/>
      </c>
      <c r="Y440" s="18">
        <f>IF(OR($W440="",$W440=6),"",WORKDAY($X440,CHOOSE($W440,3,3,2,2,3),Holidays))</f>
        <v/>
      </c>
      <c r="Z440" s="17">
        <f>IF(OR($W440="",$W440=6),"",CHOOSE($W440,"1st Email Follow-up","2nd Email Follow-up","Escalate Local Office","Escalate to CBE","Escalate to Roxanne"))</f>
        <v/>
      </c>
    </row>
    <row r="441" spans="18:26">
      <c r="R441" s="15"/>
      <c r="S441" s="16"/>
      <c r="T441" s="17">
        <f>IF(AND(COUNTA($A441:$K441)=0,$L441=""),"",IF($S441="Paid","PAID",IF($S441="Closed","CLOSED",IF($W441="","",IF($W441=6,"ESCALATED TO ROXANNE",IF(TODAY()&gt;$Y441,"OVERDUE",IF($Y441&lt;=WORKDAY(TODAY(),1,Holidays),"DUE TOMORROW",IF($W441=4,"ESCALATED TO LOCAL OFFICE",IF($W441=5,"ESCALATED TO CBE",IF($X441=TODAY(),"EMAIL SENT","MONITORING"))))))))))</f>
        <v/>
      </c>
      <c r="U441" s="17">
        <f>IF($T441="",IF(AND(COUNTA($A441:$K441)&gt;0,$L441=""),"Awaiting Collection Email time stamp.",""),IF(OR($T441="PAID",$T441="CLOSED"),IF($T441="PAID","Account paid. Action completed.","Account closed. No further action required."),CHOOSE($W441,"Collection Email","1st Email Follow-up","2nd Email Follow-up","Escalation to Local Office","Escalation to CBE","Escalation to Roxanne")&amp;" sent "&amp;TEXT($X441,"dd-mmm")&amp;". "&amp;IF($W441=6,"Final escalation completed.",IF($T441="OVERDUE","Next: "&amp;$Z441&amp;" was due "&amp;TEXT($Y441,"dd-mmm")&amp;" - "&amp;(NETWORKDAYS($Y441,TODAY(),Holidays)-1)&amp;" business day(s) late. Send now.",IF($T441="DUE TOMORROW","Next: "&amp;$Z441&amp;IF($Y441&lt;=TODAY()," is due TODAY ("," is due next business day (")&amp;TEXT($Y441,"dd-mmm")&amp;").","Next: "&amp;$Z441&amp;" due "&amp;TEXT($Y441,"dd-mmm")&amp;" ("&amp;(NETWORKDAYS(TODAY(),$Y441,Holidays)-1)&amp;" business day(s) left).")))))</f>
        <v/>
      </c>
      <c r="V441" s="17">
        <f>IF($W441="","",CHOOSE($W441,"Collection Email","1st Follow-up","2nd Follow-up","Local Office","CBE","Roxanne")&amp;IF($W441=6," - Final"," - Day "&amp;MAX(0,NETWORKDAYS($X441,TODAY(),Holidays)-1)&amp;" of "&amp;CHOOSE($W441,3,3,2,2,3))&amp;" | Total Day "&amp;MAX(0,NETWORKDAYS($L441,TODAY(),Holidays)-1))</f>
        <v/>
      </c>
      <c r="W441" s="17">
        <f>IF($L441="","",COUNT($L441:$Q441))</f>
        <v/>
      </c>
      <c r="X441" s="18">
        <f>IF($W441="","",INT(INDEX($L441:$Q441,$W441)))</f>
        <v/>
      </c>
      <c r="Y441" s="18">
        <f>IF(OR($W441="",$W441=6),"",WORKDAY($X441,CHOOSE($W441,3,3,2,2,3),Holidays))</f>
        <v/>
      </c>
      <c r="Z441" s="17">
        <f>IF(OR($W441="",$W441=6),"",CHOOSE($W441,"1st Email Follow-up","2nd Email Follow-up","Escalate Local Office","Escalate to CBE","Escalate to Roxanne"))</f>
        <v/>
      </c>
    </row>
    <row r="442" spans="18:26">
      <c r="R442" s="15"/>
      <c r="S442" s="16"/>
      <c r="T442" s="17">
        <f>IF(AND(COUNTA($A442:$K442)=0,$L442=""),"",IF($S442="Paid","PAID",IF($S442="Closed","CLOSED",IF($W442="","",IF($W442=6,"ESCALATED TO ROXANNE",IF(TODAY()&gt;$Y442,"OVERDUE",IF($Y442&lt;=WORKDAY(TODAY(),1,Holidays),"DUE TOMORROW",IF($W442=4,"ESCALATED TO LOCAL OFFICE",IF($W442=5,"ESCALATED TO CBE",IF($X442=TODAY(),"EMAIL SENT","MONITORING"))))))))))</f>
        <v/>
      </c>
      <c r="U442" s="17">
        <f>IF($T442="",IF(AND(COUNTA($A442:$K442)&gt;0,$L442=""),"Awaiting Collection Email time stamp.",""),IF(OR($T442="PAID",$T442="CLOSED"),IF($T442="PAID","Account paid. Action completed.","Account closed. No further action required."),CHOOSE($W442,"Collection Email","1st Email Follow-up","2nd Email Follow-up","Escalation to Local Office","Escalation to CBE","Escalation to Roxanne")&amp;" sent "&amp;TEXT($X442,"dd-mmm")&amp;". "&amp;IF($W442=6,"Final escalation completed.",IF($T442="OVERDUE","Next: "&amp;$Z442&amp;" was due "&amp;TEXT($Y442,"dd-mmm")&amp;" - "&amp;(NETWORKDAYS($Y442,TODAY(),Holidays)-1)&amp;" business day(s) late. Send now.",IF($T442="DUE TOMORROW","Next: "&amp;$Z442&amp;IF($Y442&lt;=TODAY()," is due TODAY ("," is due next business day (")&amp;TEXT($Y442,"dd-mmm")&amp;").","Next: "&amp;$Z442&amp;" due "&amp;TEXT($Y442,"dd-mmm")&amp;" ("&amp;(NETWORKDAYS(TODAY(),$Y442,Holidays)-1)&amp;" business day(s) left).")))))</f>
        <v/>
      </c>
      <c r="V442" s="17">
        <f>IF($W442="","",CHOOSE($W442,"Collection Email","1st Follow-up","2nd Follow-up","Local Office","CBE","Roxanne")&amp;IF($W442=6," - Final"," - Day "&amp;MAX(0,NETWORKDAYS($X442,TODAY(),Holidays)-1)&amp;" of "&amp;CHOOSE($W442,3,3,2,2,3))&amp;" | Total Day "&amp;MAX(0,NETWORKDAYS($L442,TODAY(),Holidays)-1))</f>
        <v/>
      </c>
      <c r="W442" s="17">
        <f>IF($L442="","",COUNT($L442:$Q442))</f>
        <v/>
      </c>
      <c r="X442" s="18">
        <f>IF($W442="","",INT(INDEX($L442:$Q442,$W442)))</f>
        <v/>
      </c>
      <c r="Y442" s="18">
        <f>IF(OR($W442="",$W442=6),"",WORKDAY($X442,CHOOSE($W442,3,3,2,2,3),Holidays))</f>
        <v/>
      </c>
      <c r="Z442" s="17">
        <f>IF(OR($W442="",$W442=6),"",CHOOSE($W442,"1st Email Follow-up","2nd Email Follow-up","Escalate Local Office","Escalate to CBE","Escalate to Roxanne"))</f>
        <v/>
      </c>
    </row>
    <row r="443" spans="18:26">
      <c r="R443" s="15"/>
      <c r="S443" s="16"/>
      <c r="T443" s="17">
        <f>IF(AND(COUNTA($A443:$K443)=0,$L443=""),"",IF($S443="Paid","PAID",IF($S443="Closed","CLOSED",IF($W443="","",IF($W443=6,"ESCALATED TO ROXANNE",IF(TODAY()&gt;$Y443,"OVERDUE",IF($Y443&lt;=WORKDAY(TODAY(),1,Holidays),"DUE TOMORROW",IF($W443=4,"ESCALATED TO LOCAL OFFICE",IF($W443=5,"ESCALATED TO CBE",IF($X443=TODAY(),"EMAIL SENT","MONITORING"))))))))))</f>
        <v/>
      </c>
      <c r="U443" s="17">
        <f>IF($T443="",IF(AND(COUNTA($A443:$K443)&gt;0,$L443=""),"Awaiting Collection Email time stamp.",""),IF(OR($T443="PAID",$T443="CLOSED"),IF($T443="PAID","Account paid. Action completed.","Account closed. No further action required."),CHOOSE($W443,"Collection Email","1st Email Follow-up","2nd Email Follow-up","Escalation to Local Office","Escalation to CBE","Escalation to Roxanne")&amp;" sent "&amp;TEXT($X443,"dd-mmm")&amp;". "&amp;IF($W443=6,"Final escalation completed.",IF($T443="OVERDUE","Next: "&amp;$Z443&amp;" was due "&amp;TEXT($Y443,"dd-mmm")&amp;" - "&amp;(NETWORKDAYS($Y443,TODAY(),Holidays)-1)&amp;" business day(s) late. Send now.",IF($T443="DUE TOMORROW","Next: "&amp;$Z443&amp;IF($Y443&lt;=TODAY()," is due TODAY ("," is due next business day (")&amp;TEXT($Y443,"dd-mmm")&amp;").","Next: "&amp;$Z443&amp;" due "&amp;TEXT($Y443,"dd-mmm")&amp;" ("&amp;(NETWORKDAYS(TODAY(),$Y443,Holidays)-1)&amp;" business day(s) left).")))))</f>
        <v/>
      </c>
      <c r="V443" s="17">
        <f>IF($W443="","",CHOOSE($W443,"Collection Email","1st Follow-up","2nd Follow-up","Local Office","CBE","Roxanne")&amp;IF($W443=6," - Final"," - Day "&amp;MAX(0,NETWORKDAYS($X443,TODAY(),Holidays)-1)&amp;" of "&amp;CHOOSE($W443,3,3,2,2,3))&amp;" | Total Day "&amp;MAX(0,NETWORKDAYS($L443,TODAY(),Holidays)-1))</f>
        <v/>
      </c>
      <c r="W443" s="17">
        <f>IF($L443="","",COUNT($L443:$Q443))</f>
        <v/>
      </c>
      <c r="X443" s="18">
        <f>IF($W443="","",INT(INDEX($L443:$Q443,$W443)))</f>
        <v/>
      </c>
      <c r="Y443" s="18">
        <f>IF(OR($W443="",$W443=6),"",WORKDAY($X443,CHOOSE($W443,3,3,2,2,3),Holidays))</f>
        <v/>
      </c>
      <c r="Z443" s="17">
        <f>IF(OR($W443="",$W443=6),"",CHOOSE($W443,"1st Email Follow-up","2nd Email Follow-up","Escalate Local Office","Escalate to CBE","Escalate to Roxanne"))</f>
        <v/>
      </c>
    </row>
    <row r="444" spans="18:26">
      <c r="R444" s="15"/>
      <c r="S444" s="16"/>
      <c r="T444" s="17">
        <f>IF(AND(COUNTA($A444:$K444)=0,$L444=""),"",IF($S444="Paid","PAID",IF($S444="Closed","CLOSED",IF($W444="","",IF($W444=6,"ESCALATED TO ROXANNE",IF(TODAY()&gt;$Y444,"OVERDUE",IF($Y444&lt;=WORKDAY(TODAY(),1,Holidays),"DUE TOMORROW",IF($W444=4,"ESCALATED TO LOCAL OFFICE",IF($W444=5,"ESCALATED TO CBE",IF($X444=TODAY(),"EMAIL SENT","MONITORING"))))))))))</f>
        <v/>
      </c>
      <c r="U444" s="17">
        <f>IF($T444="",IF(AND(COUNTA($A444:$K444)&gt;0,$L444=""),"Awaiting Collection Email time stamp.",""),IF(OR($T444="PAID",$T444="CLOSED"),IF($T444="PAID","Account paid. Action completed.","Account closed. No further action required."),CHOOSE($W444,"Collection Email","1st Email Follow-up","2nd Email Follow-up","Escalation to Local Office","Escalation to CBE","Escalation to Roxanne")&amp;" sent "&amp;TEXT($X444,"dd-mmm")&amp;". "&amp;IF($W444=6,"Final escalation completed.",IF($T444="OVERDUE","Next: "&amp;$Z444&amp;" was due "&amp;TEXT($Y444,"dd-mmm")&amp;" - "&amp;(NETWORKDAYS($Y444,TODAY(),Holidays)-1)&amp;" business day(s) late. Send now.",IF($T444="DUE TOMORROW","Next: "&amp;$Z444&amp;IF($Y444&lt;=TODAY()," is due TODAY ("," is due next business day (")&amp;TEXT($Y444,"dd-mmm")&amp;").","Next: "&amp;$Z444&amp;" due "&amp;TEXT($Y444,"dd-mmm")&amp;" ("&amp;(NETWORKDAYS(TODAY(),$Y444,Holidays)-1)&amp;" business day(s) left).")))))</f>
        <v/>
      </c>
      <c r="V444" s="17">
        <f>IF($W444="","",CHOOSE($W444,"Collection Email","1st Follow-up","2nd Follow-up","Local Office","CBE","Roxanne")&amp;IF($W444=6," - Final"," - Day "&amp;MAX(0,NETWORKDAYS($X444,TODAY(),Holidays)-1)&amp;" of "&amp;CHOOSE($W444,3,3,2,2,3))&amp;" | Total Day "&amp;MAX(0,NETWORKDAYS($L444,TODAY(),Holidays)-1))</f>
        <v/>
      </c>
      <c r="W444" s="17">
        <f>IF($L444="","",COUNT($L444:$Q444))</f>
        <v/>
      </c>
      <c r="X444" s="18">
        <f>IF($W444="","",INT(INDEX($L444:$Q444,$W444)))</f>
        <v/>
      </c>
      <c r="Y444" s="18">
        <f>IF(OR($W444="",$W444=6),"",WORKDAY($X444,CHOOSE($W444,3,3,2,2,3),Holidays))</f>
        <v/>
      </c>
      <c r="Z444" s="17">
        <f>IF(OR($W444="",$W444=6),"",CHOOSE($W444,"1st Email Follow-up","2nd Email Follow-up","Escalate Local Office","Escalate to CBE","Escalate to Roxanne"))</f>
        <v/>
      </c>
    </row>
    <row r="445" spans="18:26">
      <c r="R445" s="15"/>
      <c r="S445" s="16"/>
      <c r="T445" s="17">
        <f>IF(AND(COUNTA($A445:$K445)=0,$L445=""),"",IF($S445="Paid","PAID",IF($S445="Closed","CLOSED",IF($W445="","",IF($W445=6,"ESCALATED TO ROXANNE",IF(TODAY()&gt;$Y445,"OVERDUE",IF($Y445&lt;=WORKDAY(TODAY(),1,Holidays),"DUE TOMORROW",IF($W445=4,"ESCALATED TO LOCAL OFFICE",IF($W445=5,"ESCALATED TO CBE",IF($X445=TODAY(),"EMAIL SENT","MONITORING"))))))))))</f>
        <v/>
      </c>
      <c r="U445" s="17">
        <f>IF($T445="",IF(AND(COUNTA($A445:$K445)&gt;0,$L445=""),"Awaiting Collection Email time stamp.",""),IF(OR($T445="PAID",$T445="CLOSED"),IF($T445="PAID","Account paid. Action completed.","Account closed. No further action required."),CHOOSE($W445,"Collection Email","1st Email Follow-up","2nd Email Follow-up","Escalation to Local Office","Escalation to CBE","Escalation to Roxanne")&amp;" sent "&amp;TEXT($X445,"dd-mmm")&amp;". "&amp;IF($W445=6,"Final escalation completed.",IF($T445="OVERDUE","Next: "&amp;$Z445&amp;" was due "&amp;TEXT($Y445,"dd-mmm")&amp;" - "&amp;(NETWORKDAYS($Y445,TODAY(),Holidays)-1)&amp;" business day(s) late. Send now.",IF($T445="DUE TOMORROW","Next: "&amp;$Z445&amp;IF($Y445&lt;=TODAY()," is due TODAY ("," is due next business day (")&amp;TEXT($Y445,"dd-mmm")&amp;").","Next: "&amp;$Z445&amp;" due "&amp;TEXT($Y445,"dd-mmm")&amp;" ("&amp;(NETWORKDAYS(TODAY(),$Y445,Holidays)-1)&amp;" business day(s) left).")))))</f>
        <v/>
      </c>
      <c r="V445" s="17">
        <f>IF($W445="","",CHOOSE($W445,"Collection Email","1st Follow-up","2nd Follow-up","Local Office","CBE","Roxanne")&amp;IF($W445=6," - Final"," - Day "&amp;MAX(0,NETWORKDAYS($X445,TODAY(),Holidays)-1)&amp;" of "&amp;CHOOSE($W445,3,3,2,2,3))&amp;" | Total Day "&amp;MAX(0,NETWORKDAYS($L445,TODAY(),Holidays)-1))</f>
        <v/>
      </c>
      <c r="W445" s="17">
        <f>IF($L445="","",COUNT($L445:$Q445))</f>
        <v/>
      </c>
      <c r="X445" s="18">
        <f>IF($W445="","",INT(INDEX($L445:$Q445,$W445)))</f>
        <v/>
      </c>
      <c r="Y445" s="18">
        <f>IF(OR($W445="",$W445=6),"",WORKDAY($X445,CHOOSE($W445,3,3,2,2,3),Holidays))</f>
        <v/>
      </c>
      <c r="Z445" s="17">
        <f>IF(OR($W445="",$W445=6),"",CHOOSE($W445,"1st Email Follow-up","2nd Email Follow-up","Escalate Local Office","Escalate to CBE","Escalate to Roxanne"))</f>
        <v/>
      </c>
    </row>
    <row r="446" spans="18:26">
      <c r="R446" s="15"/>
      <c r="S446" s="16"/>
      <c r="T446" s="17">
        <f>IF(AND(COUNTA($A446:$K446)=0,$L446=""),"",IF($S446="Paid","PAID",IF($S446="Closed","CLOSED",IF($W446="","",IF($W446=6,"ESCALATED TO ROXANNE",IF(TODAY()&gt;$Y446,"OVERDUE",IF($Y446&lt;=WORKDAY(TODAY(),1,Holidays),"DUE TOMORROW",IF($W446=4,"ESCALATED TO LOCAL OFFICE",IF($W446=5,"ESCALATED TO CBE",IF($X446=TODAY(),"EMAIL SENT","MONITORING"))))))))))</f>
        <v/>
      </c>
      <c r="U446" s="17">
        <f>IF($T446="",IF(AND(COUNTA($A446:$K446)&gt;0,$L446=""),"Awaiting Collection Email time stamp.",""),IF(OR($T446="PAID",$T446="CLOSED"),IF($T446="PAID","Account paid. Action completed.","Account closed. No further action required."),CHOOSE($W446,"Collection Email","1st Email Follow-up","2nd Email Follow-up","Escalation to Local Office","Escalation to CBE","Escalation to Roxanne")&amp;" sent "&amp;TEXT($X446,"dd-mmm")&amp;". "&amp;IF($W446=6,"Final escalation completed.",IF($T446="OVERDUE","Next: "&amp;$Z446&amp;" was due "&amp;TEXT($Y446,"dd-mmm")&amp;" - "&amp;(NETWORKDAYS($Y446,TODAY(),Holidays)-1)&amp;" business day(s) late. Send now.",IF($T446="DUE TOMORROW","Next: "&amp;$Z446&amp;IF($Y446&lt;=TODAY()," is due TODAY ("," is due next business day (")&amp;TEXT($Y446,"dd-mmm")&amp;").","Next: "&amp;$Z446&amp;" due "&amp;TEXT($Y446,"dd-mmm")&amp;" ("&amp;(NETWORKDAYS(TODAY(),$Y446,Holidays)-1)&amp;" business day(s) left).")))))</f>
        <v/>
      </c>
      <c r="V446" s="17">
        <f>IF($W446="","",CHOOSE($W446,"Collection Email","1st Follow-up","2nd Follow-up","Local Office","CBE","Roxanne")&amp;IF($W446=6," - Final"," - Day "&amp;MAX(0,NETWORKDAYS($X446,TODAY(),Holidays)-1)&amp;" of "&amp;CHOOSE($W446,3,3,2,2,3))&amp;" | Total Day "&amp;MAX(0,NETWORKDAYS($L446,TODAY(),Holidays)-1))</f>
        <v/>
      </c>
      <c r="W446" s="17">
        <f>IF($L446="","",COUNT($L446:$Q446))</f>
        <v/>
      </c>
      <c r="X446" s="18">
        <f>IF($W446="","",INT(INDEX($L446:$Q446,$W446)))</f>
        <v/>
      </c>
      <c r="Y446" s="18">
        <f>IF(OR($W446="",$W446=6),"",WORKDAY($X446,CHOOSE($W446,3,3,2,2,3),Holidays))</f>
        <v/>
      </c>
      <c r="Z446" s="17">
        <f>IF(OR($W446="",$W446=6),"",CHOOSE($W446,"1st Email Follow-up","2nd Email Follow-up","Escalate Local Office","Escalate to CBE","Escalate to Roxanne"))</f>
        <v/>
      </c>
    </row>
    <row r="447" spans="18:26">
      <c r="R447" s="15"/>
      <c r="S447" s="16"/>
      <c r="T447" s="17">
        <f>IF(AND(COUNTA($A447:$K447)=0,$L447=""),"",IF($S447="Paid","PAID",IF($S447="Closed","CLOSED",IF($W447="","",IF($W447=6,"ESCALATED TO ROXANNE",IF(TODAY()&gt;$Y447,"OVERDUE",IF($Y447&lt;=WORKDAY(TODAY(),1,Holidays),"DUE TOMORROW",IF($W447=4,"ESCALATED TO LOCAL OFFICE",IF($W447=5,"ESCALATED TO CBE",IF($X447=TODAY(),"EMAIL SENT","MONITORING"))))))))))</f>
        <v/>
      </c>
      <c r="U447" s="17">
        <f>IF($T447="",IF(AND(COUNTA($A447:$K447)&gt;0,$L447=""),"Awaiting Collection Email time stamp.",""),IF(OR($T447="PAID",$T447="CLOSED"),IF($T447="PAID","Account paid. Action completed.","Account closed. No further action required."),CHOOSE($W447,"Collection Email","1st Email Follow-up","2nd Email Follow-up","Escalation to Local Office","Escalation to CBE","Escalation to Roxanne")&amp;" sent "&amp;TEXT($X447,"dd-mmm")&amp;". "&amp;IF($W447=6,"Final escalation completed.",IF($T447="OVERDUE","Next: "&amp;$Z447&amp;" was due "&amp;TEXT($Y447,"dd-mmm")&amp;" - "&amp;(NETWORKDAYS($Y447,TODAY(),Holidays)-1)&amp;" business day(s) late. Send now.",IF($T447="DUE TOMORROW","Next: "&amp;$Z447&amp;IF($Y447&lt;=TODAY()," is due TODAY ("," is due next business day (")&amp;TEXT($Y447,"dd-mmm")&amp;").","Next: "&amp;$Z447&amp;" due "&amp;TEXT($Y447,"dd-mmm")&amp;" ("&amp;(NETWORKDAYS(TODAY(),$Y447,Holidays)-1)&amp;" business day(s) left).")))))</f>
        <v/>
      </c>
      <c r="V447" s="17">
        <f>IF($W447="","",CHOOSE($W447,"Collection Email","1st Follow-up","2nd Follow-up","Local Office","CBE","Roxanne")&amp;IF($W447=6," - Final"," - Day "&amp;MAX(0,NETWORKDAYS($X447,TODAY(),Holidays)-1)&amp;" of "&amp;CHOOSE($W447,3,3,2,2,3))&amp;" | Total Day "&amp;MAX(0,NETWORKDAYS($L447,TODAY(),Holidays)-1))</f>
        <v/>
      </c>
      <c r="W447" s="17">
        <f>IF($L447="","",COUNT($L447:$Q447))</f>
        <v/>
      </c>
      <c r="X447" s="18">
        <f>IF($W447="","",INT(INDEX($L447:$Q447,$W447)))</f>
        <v/>
      </c>
      <c r="Y447" s="18">
        <f>IF(OR($W447="",$W447=6),"",WORKDAY($X447,CHOOSE($W447,3,3,2,2,3),Holidays))</f>
        <v/>
      </c>
      <c r="Z447" s="17">
        <f>IF(OR($W447="",$W447=6),"",CHOOSE($W447,"1st Email Follow-up","2nd Email Follow-up","Escalate Local Office","Escalate to CBE","Escalate to Roxanne"))</f>
        <v/>
      </c>
    </row>
    <row r="448" spans="18:26">
      <c r="R448" s="15"/>
      <c r="S448" s="16"/>
      <c r="T448" s="17">
        <f>IF(AND(COUNTA($A448:$K448)=0,$L448=""),"",IF($S448="Paid","PAID",IF($S448="Closed","CLOSED",IF($W448="","",IF($W448=6,"ESCALATED TO ROXANNE",IF(TODAY()&gt;$Y448,"OVERDUE",IF($Y448&lt;=WORKDAY(TODAY(),1,Holidays),"DUE TOMORROW",IF($W448=4,"ESCALATED TO LOCAL OFFICE",IF($W448=5,"ESCALATED TO CBE",IF($X448=TODAY(),"EMAIL SENT","MONITORING"))))))))))</f>
        <v/>
      </c>
      <c r="U448" s="17">
        <f>IF($T448="",IF(AND(COUNTA($A448:$K448)&gt;0,$L448=""),"Awaiting Collection Email time stamp.",""),IF(OR($T448="PAID",$T448="CLOSED"),IF($T448="PAID","Account paid. Action completed.","Account closed. No further action required."),CHOOSE($W448,"Collection Email","1st Email Follow-up","2nd Email Follow-up","Escalation to Local Office","Escalation to CBE","Escalation to Roxanne")&amp;" sent "&amp;TEXT($X448,"dd-mmm")&amp;". "&amp;IF($W448=6,"Final escalation completed.",IF($T448="OVERDUE","Next: "&amp;$Z448&amp;" was due "&amp;TEXT($Y448,"dd-mmm")&amp;" - "&amp;(NETWORKDAYS($Y448,TODAY(),Holidays)-1)&amp;" business day(s) late. Send now.",IF($T448="DUE TOMORROW","Next: "&amp;$Z448&amp;IF($Y448&lt;=TODAY()," is due TODAY ("," is due next business day (")&amp;TEXT($Y448,"dd-mmm")&amp;").","Next: "&amp;$Z448&amp;" due "&amp;TEXT($Y448,"dd-mmm")&amp;" ("&amp;(NETWORKDAYS(TODAY(),$Y448,Holidays)-1)&amp;" business day(s) left).")))))</f>
        <v/>
      </c>
      <c r="V448" s="17">
        <f>IF($W448="","",CHOOSE($W448,"Collection Email","1st Follow-up","2nd Follow-up","Local Office","CBE","Roxanne")&amp;IF($W448=6," - Final"," - Day "&amp;MAX(0,NETWORKDAYS($X448,TODAY(),Holidays)-1)&amp;" of "&amp;CHOOSE($W448,3,3,2,2,3))&amp;" | Total Day "&amp;MAX(0,NETWORKDAYS($L448,TODAY(),Holidays)-1))</f>
        <v/>
      </c>
      <c r="W448" s="17">
        <f>IF($L448="","",COUNT($L448:$Q448))</f>
        <v/>
      </c>
      <c r="X448" s="18">
        <f>IF($W448="","",INT(INDEX($L448:$Q448,$W448)))</f>
        <v/>
      </c>
      <c r="Y448" s="18">
        <f>IF(OR($W448="",$W448=6),"",WORKDAY($X448,CHOOSE($W448,3,3,2,2,3),Holidays))</f>
        <v/>
      </c>
      <c r="Z448" s="17">
        <f>IF(OR($W448="",$W448=6),"",CHOOSE($W448,"1st Email Follow-up","2nd Email Follow-up","Escalate Local Office","Escalate to CBE","Escalate to Roxanne"))</f>
        <v/>
      </c>
    </row>
    <row r="449" spans="18:26">
      <c r="R449" s="15"/>
      <c r="S449" s="16"/>
      <c r="T449" s="17">
        <f>IF(AND(COUNTA($A449:$K449)=0,$L449=""),"",IF($S449="Paid","PAID",IF($S449="Closed","CLOSED",IF($W449="","",IF($W449=6,"ESCALATED TO ROXANNE",IF(TODAY()&gt;$Y449,"OVERDUE",IF($Y449&lt;=WORKDAY(TODAY(),1,Holidays),"DUE TOMORROW",IF($W449=4,"ESCALATED TO LOCAL OFFICE",IF($W449=5,"ESCALATED TO CBE",IF($X449=TODAY(),"EMAIL SENT","MONITORING"))))))))))</f>
        <v/>
      </c>
      <c r="U449" s="17">
        <f>IF($T449="",IF(AND(COUNTA($A449:$K449)&gt;0,$L449=""),"Awaiting Collection Email time stamp.",""),IF(OR($T449="PAID",$T449="CLOSED"),IF($T449="PAID","Account paid. Action completed.","Account closed. No further action required."),CHOOSE($W449,"Collection Email","1st Email Follow-up","2nd Email Follow-up","Escalation to Local Office","Escalation to CBE","Escalation to Roxanne")&amp;" sent "&amp;TEXT($X449,"dd-mmm")&amp;". "&amp;IF($W449=6,"Final escalation completed.",IF($T449="OVERDUE","Next: "&amp;$Z449&amp;" was due "&amp;TEXT($Y449,"dd-mmm")&amp;" - "&amp;(NETWORKDAYS($Y449,TODAY(),Holidays)-1)&amp;" business day(s) late. Send now.",IF($T449="DUE TOMORROW","Next: "&amp;$Z449&amp;IF($Y449&lt;=TODAY()," is due TODAY ("," is due next business day (")&amp;TEXT($Y449,"dd-mmm")&amp;").","Next: "&amp;$Z449&amp;" due "&amp;TEXT($Y449,"dd-mmm")&amp;" ("&amp;(NETWORKDAYS(TODAY(),$Y449,Holidays)-1)&amp;" business day(s) left).")))))</f>
        <v/>
      </c>
      <c r="V449" s="17">
        <f>IF($W449="","",CHOOSE($W449,"Collection Email","1st Follow-up","2nd Follow-up","Local Office","CBE","Roxanne")&amp;IF($W449=6," - Final"," - Day "&amp;MAX(0,NETWORKDAYS($X449,TODAY(),Holidays)-1)&amp;" of "&amp;CHOOSE($W449,3,3,2,2,3))&amp;" | Total Day "&amp;MAX(0,NETWORKDAYS($L449,TODAY(),Holidays)-1))</f>
        <v/>
      </c>
      <c r="W449" s="17">
        <f>IF($L449="","",COUNT($L449:$Q449))</f>
        <v/>
      </c>
      <c r="X449" s="18">
        <f>IF($W449="","",INT(INDEX($L449:$Q449,$W449)))</f>
        <v/>
      </c>
      <c r="Y449" s="18">
        <f>IF(OR($W449="",$W449=6),"",WORKDAY($X449,CHOOSE($W449,3,3,2,2,3),Holidays))</f>
        <v/>
      </c>
      <c r="Z449" s="17">
        <f>IF(OR($W449="",$W449=6),"",CHOOSE($W449,"1st Email Follow-up","2nd Email Follow-up","Escalate Local Office","Escalate to CBE","Escalate to Roxanne"))</f>
        <v/>
      </c>
    </row>
    <row r="450" spans="18:26">
      <c r="R450" s="15"/>
      <c r="S450" s="16"/>
      <c r="T450" s="17">
        <f>IF(AND(COUNTA($A450:$K450)=0,$L450=""),"",IF($S450="Paid","PAID",IF($S450="Closed","CLOSED",IF($W450="","",IF($W450=6,"ESCALATED TO ROXANNE",IF(TODAY()&gt;$Y450,"OVERDUE",IF($Y450&lt;=WORKDAY(TODAY(),1,Holidays),"DUE TOMORROW",IF($W450=4,"ESCALATED TO LOCAL OFFICE",IF($W450=5,"ESCALATED TO CBE",IF($X450=TODAY(),"EMAIL SENT","MONITORING"))))))))))</f>
        <v/>
      </c>
      <c r="U450" s="17">
        <f>IF($T450="",IF(AND(COUNTA($A450:$K450)&gt;0,$L450=""),"Awaiting Collection Email time stamp.",""),IF(OR($T450="PAID",$T450="CLOSED"),IF($T450="PAID","Account paid. Action completed.","Account closed. No further action required."),CHOOSE($W450,"Collection Email","1st Email Follow-up","2nd Email Follow-up","Escalation to Local Office","Escalation to CBE","Escalation to Roxanne")&amp;" sent "&amp;TEXT($X450,"dd-mmm")&amp;". "&amp;IF($W450=6,"Final escalation completed.",IF($T450="OVERDUE","Next: "&amp;$Z450&amp;" was due "&amp;TEXT($Y450,"dd-mmm")&amp;" - "&amp;(NETWORKDAYS($Y450,TODAY(),Holidays)-1)&amp;" business day(s) late. Send now.",IF($T450="DUE TOMORROW","Next: "&amp;$Z450&amp;IF($Y450&lt;=TODAY()," is due TODAY ("," is due next business day (")&amp;TEXT($Y450,"dd-mmm")&amp;").","Next: "&amp;$Z450&amp;" due "&amp;TEXT($Y450,"dd-mmm")&amp;" ("&amp;(NETWORKDAYS(TODAY(),$Y450,Holidays)-1)&amp;" business day(s) left).")))))</f>
        <v/>
      </c>
      <c r="V450" s="17">
        <f>IF($W450="","",CHOOSE($W450,"Collection Email","1st Follow-up","2nd Follow-up","Local Office","CBE","Roxanne")&amp;IF($W450=6," - Final"," - Day "&amp;MAX(0,NETWORKDAYS($X450,TODAY(),Holidays)-1)&amp;" of "&amp;CHOOSE($W450,3,3,2,2,3))&amp;" | Total Day "&amp;MAX(0,NETWORKDAYS($L450,TODAY(),Holidays)-1))</f>
        <v/>
      </c>
      <c r="W450" s="17">
        <f>IF($L450="","",COUNT($L450:$Q450))</f>
        <v/>
      </c>
      <c r="X450" s="18">
        <f>IF($W450="","",INT(INDEX($L450:$Q450,$W450)))</f>
        <v/>
      </c>
      <c r="Y450" s="18">
        <f>IF(OR($W450="",$W450=6),"",WORKDAY($X450,CHOOSE($W450,3,3,2,2,3),Holidays))</f>
        <v/>
      </c>
      <c r="Z450" s="17">
        <f>IF(OR($W450="",$W450=6),"",CHOOSE($W450,"1st Email Follow-up","2nd Email Follow-up","Escalate Local Office","Escalate to CBE","Escalate to Roxanne"))</f>
        <v/>
      </c>
    </row>
    <row r="451" spans="18:26">
      <c r="R451" s="15"/>
      <c r="S451" s="16"/>
      <c r="T451" s="17">
        <f>IF(AND(COUNTA($A451:$K451)=0,$L451=""),"",IF($S451="Paid","PAID",IF($S451="Closed","CLOSED",IF($W451="","",IF($W451=6,"ESCALATED TO ROXANNE",IF(TODAY()&gt;$Y451,"OVERDUE",IF($Y451&lt;=WORKDAY(TODAY(),1,Holidays),"DUE TOMORROW",IF($W451=4,"ESCALATED TO LOCAL OFFICE",IF($W451=5,"ESCALATED TO CBE",IF($X451=TODAY(),"EMAIL SENT","MONITORING"))))))))))</f>
        <v/>
      </c>
      <c r="U451" s="17">
        <f>IF($T451="",IF(AND(COUNTA($A451:$K451)&gt;0,$L451=""),"Awaiting Collection Email time stamp.",""),IF(OR($T451="PAID",$T451="CLOSED"),IF($T451="PAID","Account paid. Action completed.","Account closed. No further action required."),CHOOSE($W451,"Collection Email","1st Email Follow-up","2nd Email Follow-up","Escalation to Local Office","Escalation to CBE","Escalation to Roxanne")&amp;" sent "&amp;TEXT($X451,"dd-mmm")&amp;". "&amp;IF($W451=6,"Final escalation completed.",IF($T451="OVERDUE","Next: "&amp;$Z451&amp;" was due "&amp;TEXT($Y451,"dd-mmm")&amp;" - "&amp;(NETWORKDAYS($Y451,TODAY(),Holidays)-1)&amp;" business day(s) late. Send now.",IF($T451="DUE TOMORROW","Next: "&amp;$Z451&amp;IF($Y451&lt;=TODAY()," is due TODAY ("," is due next business day (")&amp;TEXT($Y451,"dd-mmm")&amp;").","Next: "&amp;$Z451&amp;" due "&amp;TEXT($Y451,"dd-mmm")&amp;" ("&amp;(NETWORKDAYS(TODAY(),$Y451,Holidays)-1)&amp;" business day(s) left).")))))</f>
        <v/>
      </c>
      <c r="V451" s="17">
        <f>IF($W451="","",CHOOSE($W451,"Collection Email","1st Follow-up","2nd Follow-up","Local Office","CBE","Roxanne")&amp;IF($W451=6," - Final"," - Day "&amp;MAX(0,NETWORKDAYS($X451,TODAY(),Holidays)-1)&amp;" of "&amp;CHOOSE($W451,3,3,2,2,3))&amp;" | Total Day "&amp;MAX(0,NETWORKDAYS($L451,TODAY(),Holidays)-1))</f>
        <v/>
      </c>
      <c r="W451" s="17">
        <f>IF($L451="","",COUNT($L451:$Q451))</f>
        <v/>
      </c>
      <c r="X451" s="18">
        <f>IF($W451="","",INT(INDEX($L451:$Q451,$W451)))</f>
        <v/>
      </c>
      <c r="Y451" s="18">
        <f>IF(OR($W451="",$W451=6),"",WORKDAY($X451,CHOOSE($W451,3,3,2,2,3),Holidays))</f>
        <v/>
      </c>
      <c r="Z451" s="17">
        <f>IF(OR($W451="",$W451=6),"",CHOOSE($W451,"1st Email Follow-up","2nd Email Follow-up","Escalate Local Office","Escalate to CBE","Escalate to Roxanne"))</f>
        <v/>
      </c>
    </row>
    <row r="452" spans="18:26">
      <c r="R452" s="15"/>
      <c r="S452" s="16"/>
      <c r="T452" s="17">
        <f>IF(AND(COUNTA($A452:$K452)=0,$L452=""),"",IF($S452="Paid","PAID",IF($S452="Closed","CLOSED",IF($W452="","",IF($W452=6,"ESCALATED TO ROXANNE",IF(TODAY()&gt;$Y452,"OVERDUE",IF($Y452&lt;=WORKDAY(TODAY(),1,Holidays),"DUE TOMORROW",IF($W452=4,"ESCALATED TO LOCAL OFFICE",IF($W452=5,"ESCALATED TO CBE",IF($X452=TODAY(),"EMAIL SENT","MONITORING"))))))))))</f>
        <v/>
      </c>
      <c r="U452" s="17">
        <f>IF($T452="",IF(AND(COUNTA($A452:$K452)&gt;0,$L452=""),"Awaiting Collection Email time stamp.",""),IF(OR($T452="PAID",$T452="CLOSED"),IF($T452="PAID","Account paid. Action completed.","Account closed. No further action required."),CHOOSE($W452,"Collection Email","1st Email Follow-up","2nd Email Follow-up","Escalation to Local Office","Escalation to CBE","Escalation to Roxanne")&amp;" sent "&amp;TEXT($X452,"dd-mmm")&amp;". "&amp;IF($W452=6,"Final escalation completed.",IF($T452="OVERDUE","Next: "&amp;$Z452&amp;" was due "&amp;TEXT($Y452,"dd-mmm")&amp;" - "&amp;(NETWORKDAYS($Y452,TODAY(),Holidays)-1)&amp;" business day(s) late. Send now.",IF($T452="DUE TOMORROW","Next: "&amp;$Z452&amp;IF($Y452&lt;=TODAY()," is due TODAY ("," is due next business day (")&amp;TEXT($Y452,"dd-mmm")&amp;").","Next: "&amp;$Z452&amp;" due "&amp;TEXT($Y452,"dd-mmm")&amp;" ("&amp;(NETWORKDAYS(TODAY(),$Y452,Holidays)-1)&amp;" business day(s) left).")))))</f>
        <v/>
      </c>
      <c r="V452" s="17">
        <f>IF($W452="","",CHOOSE($W452,"Collection Email","1st Follow-up","2nd Follow-up","Local Office","CBE","Roxanne")&amp;IF($W452=6," - Final"," - Day "&amp;MAX(0,NETWORKDAYS($X452,TODAY(),Holidays)-1)&amp;" of "&amp;CHOOSE($W452,3,3,2,2,3))&amp;" | Total Day "&amp;MAX(0,NETWORKDAYS($L452,TODAY(),Holidays)-1))</f>
        <v/>
      </c>
      <c r="W452" s="17">
        <f>IF($L452="","",COUNT($L452:$Q452))</f>
        <v/>
      </c>
      <c r="X452" s="18">
        <f>IF($W452="","",INT(INDEX($L452:$Q452,$W452)))</f>
        <v/>
      </c>
      <c r="Y452" s="18">
        <f>IF(OR($W452="",$W452=6),"",WORKDAY($X452,CHOOSE($W452,3,3,2,2,3),Holidays))</f>
        <v/>
      </c>
      <c r="Z452" s="17">
        <f>IF(OR($W452="",$W452=6),"",CHOOSE($W452,"1st Email Follow-up","2nd Email Follow-up","Escalate Local Office","Escalate to CBE","Escalate to Roxanne"))</f>
        <v/>
      </c>
    </row>
    <row r="453" spans="18:26">
      <c r="R453" s="15"/>
      <c r="S453" s="16"/>
      <c r="T453" s="17">
        <f>IF(AND(COUNTA($A453:$K453)=0,$L453=""),"",IF($S453="Paid","PAID",IF($S453="Closed","CLOSED",IF($W453="","",IF($W453=6,"ESCALATED TO ROXANNE",IF(TODAY()&gt;$Y453,"OVERDUE",IF($Y453&lt;=WORKDAY(TODAY(),1,Holidays),"DUE TOMORROW",IF($W453=4,"ESCALATED TO LOCAL OFFICE",IF($W453=5,"ESCALATED TO CBE",IF($X453=TODAY(),"EMAIL SENT","MONITORING"))))))))))</f>
        <v/>
      </c>
      <c r="U453" s="17">
        <f>IF($T453="",IF(AND(COUNTA($A453:$K453)&gt;0,$L453=""),"Awaiting Collection Email time stamp.",""),IF(OR($T453="PAID",$T453="CLOSED"),IF($T453="PAID","Account paid. Action completed.","Account closed. No further action required."),CHOOSE($W453,"Collection Email","1st Email Follow-up","2nd Email Follow-up","Escalation to Local Office","Escalation to CBE","Escalation to Roxanne")&amp;" sent "&amp;TEXT($X453,"dd-mmm")&amp;". "&amp;IF($W453=6,"Final escalation completed.",IF($T453="OVERDUE","Next: "&amp;$Z453&amp;" was due "&amp;TEXT($Y453,"dd-mmm")&amp;" - "&amp;(NETWORKDAYS($Y453,TODAY(),Holidays)-1)&amp;" business day(s) late. Send now.",IF($T453="DUE TOMORROW","Next: "&amp;$Z453&amp;IF($Y453&lt;=TODAY()," is due TODAY ("," is due next business day (")&amp;TEXT($Y453,"dd-mmm")&amp;").","Next: "&amp;$Z453&amp;" due "&amp;TEXT($Y453,"dd-mmm")&amp;" ("&amp;(NETWORKDAYS(TODAY(),$Y453,Holidays)-1)&amp;" business day(s) left).")))))</f>
        <v/>
      </c>
      <c r="V453" s="17">
        <f>IF($W453="","",CHOOSE($W453,"Collection Email","1st Follow-up","2nd Follow-up","Local Office","CBE","Roxanne")&amp;IF($W453=6," - Final"," - Day "&amp;MAX(0,NETWORKDAYS($X453,TODAY(),Holidays)-1)&amp;" of "&amp;CHOOSE($W453,3,3,2,2,3))&amp;" | Total Day "&amp;MAX(0,NETWORKDAYS($L453,TODAY(),Holidays)-1))</f>
        <v/>
      </c>
      <c r="W453" s="17">
        <f>IF($L453="","",COUNT($L453:$Q453))</f>
        <v/>
      </c>
      <c r="X453" s="18">
        <f>IF($W453="","",INT(INDEX($L453:$Q453,$W453)))</f>
        <v/>
      </c>
      <c r="Y453" s="18">
        <f>IF(OR($W453="",$W453=6),"",WORKDAY($X453,CHOOSE($W453,3,3,2,2,3),Holidays))</f>
        <v/>
      </c>
      <c r="Z453" s="17">
        <f>IF(OR($W453="",$W453=6),"",CHOOSE($W453,"1st Email Follow-up","2nd Email Follow-up","Escalate Local Office","Escalate to CBE","Escalate to Roxanne"))</f>
        <v/>
      </c>
    </row>
    <row r="454" spans="18:26">
      <c r="R454" s="15"/>
      <c r="S454" s="16"/>
      <c r="T454" s="17">
        <f>IF(AND(COUNTA($A454:$K454)=0,$L454=""),"",IF($S454="Paid","PAID",IF($S454="Closed","CLOSED",IF($W454="","",IF($W454=6,"ESCALATED TO ROXANNE",IF(TODAY()&gt;$Y454,"OVERDUE",IF($Y454&lt;=WORKDAY(TODAY(),1,Holidays),"DUE TOMORROW",IF($W454=4,"ESCALATED TO LOCAL OFFICE",IF($W454=5,"ESCALATED TO CBE",IF($X454=TODAY(),"EMAIL SENT","MONITORING"))))))))))</f>
        <v/>
      </c>
      <c r="U454" s="17">
        <f>IF($T454="",IF(AND(COUNTA($A454:$K454)&gt;0,$L454=""),"Awaiting Collection Email time stamp.",""),IF(OR($T454="PAID",$T454="CLOSED"),IF($T454="PAID","Account paid. Action completed.","Account closed. No further action required."),CHOOSE($W454,"Collection Email","1st Email Follow-up","2nd Email Follow-up","Escalation to Local Office","Escalation to CBE","Escalation to Roxanne")&amp;" sent "&amp;TEXT($X454,"dd-mmm")&amp;". "&amp;IF($W454=6,"Final escalation completed.",IF($T454="OVERDUE","Next: "&amp;$Z454&amp;" was due "&amp;TEXT($Y454,"dd-mmm")&amp;" - "&amp;(NETWORKDAYS($Y454,TODAY(),Holidays)-1)&amp;" business day(s) late. Send now.",IF($T454="DUE TOMORROW","Next: "&amp;$Z454&amp;IF($Y454&lt;=TODAY()," is due TODAY ("," is due next business day (")&amp;TEXT($Y454,"dd-mmm")&amp;").","Next: "&amp;$Z454&amp;" due "&amp;TEXT($Y454,"dd-mmm")&amp;" ("&amp;(NETWORKDAYS(TODAY(),$Y454,Holidays)-1)&amp;" business day(s) left).")))))</f>
        <v/>
      </c>
      <c r="V454" s="17">
        <f>IF($W454="","",CHOOSE($W454,"Collection Email","1st Follow-up","2nd Follow-up","Local Office","CBE","Roxanne")&amp;IF($W454=6," - Final"," - Day "&amp;MAX(0,NETWORKDAYS($X454,TODAY(),Holidays)-1)&amp;" of "&amp;CHOOSE($W454,3,3,2,2,3))&amp;" | Total Day "&amp;MAX(0,NETWORKDAYS($L454,TODAY(),Holidays)-1))</f>
        <v/>
      </c>
      <c r="W454" s="17">
        <f>IF($L454="","",COUNT($L454:$Q454))</f>
        <v/>
      </c>
      <c r="X454" s="18">
        <f>IF($W454="","",INT(INDEX($L454:$Q454,$W454)))</f>
        <v/>
      </c>
      <c r="Y454" s="18">
        <f>IF(OR($W454="",$W454=6),"",WORKDAY($X454,CHOOSE($W454,3,3,2,2,3),Holidays))</f>
        <v/>
      </c>
      <c r="Z454" s="17">
        <f>IF(OR($W454="",$W454=6),"",CHOOSE($W454,"1st Email Follow-up","2nd Email Follow-up","Escalate Local Office","Escalate to CBE","Escalate to Roxanne"))</f>
        <v/>
      </c>
    </row>
    <row r="455" spans="18:26">
      <c r="R455" s="15"/>
      <c r="S455" s="16"/>
      <c r="T455" s="17">
        <f>IF(AND(COUNTA($A455:$K455)=0,$L455=""),"",IF($S455="Paid","PAID",IF($S455="Closed","CLOSED",IF($W455="","",IF($W455=6,"ESCALATED TO ROXANNE",IF(TODAY()&gt;$Y455,"OVERDUE",IF($Y455&lt;=WORKDAY(TODAY(),1,Holidays),"DUE TOMORROW",IF($W455=4,"ESCALATED TO LOCAL OFFICE",IF($W455=5,"ESCALATED TO CBE",IF($X455=TODAY(),"EMAIL SENT","MONITORING"))))))))))</f>
        <v/>
      </c>
      <c r="U455" s="17">
        <f>IF($T455="",IF(AND(COUNTA($A455:$K455)&gt;0,$L455=""),"Awaiting Collection Email time stamp.",""),IF(OR($T455="PAID",$T455="CLOSED"),IF($T455="PAID","Account paid. Action completed.","Account closed. No further action required."),CHOOSE($W455,"Collection Email","1st Email Follow-up","2nd Email Follow-up","Escalation to Local Office","Escalation to CBE","Escalation to Roxanne")&amp;" sent "&amp;TEXT($X455,"dd-mmm")&amp;". "&amp;IF($W455=6,"Final escalation completed.",IF($T455="OVERDUE","Next: "&amp;$Z455&amp;" was due "&amp;TEXT($Y455,"dd-mmm")&amp;" - "&amp;(NETWORKDAYS($Y455,TODAY(),Holidays)-1)&amp;" business day(s) late. Send now.",IF($T455="DUE TOMORROW","Next: "&amp;$Z455&amp;IF($Y455&lt;=TODAY()," is due TODAY ("," is due next business day (")&amp;TEXT($Y455,"dd-mmm")&amp;").","Next: "&amp;$Z455&amp;" due "&amp;TEXT($Y455,"dd-mmm")&amp;" ("&amp;(NETWORKDAYS(TODAY(),$Y455,Holidays)-1)&amp;" business day(s) left).")))))</f>
        <v/>
      </c>
      <c r="V455" s="17">
        <f>IF($W455="","",CHOOSE($W455,"Collection Email","1st Follow-up","2nd Follow-up","Local Office","CBE","Roxanne")&amp;IF($W455=6," - Final"," - Day "&amp;MAX(0,NETWORKDAYS($X455,TODAY(),Holidays)-1)&amp;" of "&amp;CHOOSE($W455,3,3,2,2,3))&amp;" | Total Day "&amp;MAX(0,NETWORKDAYS($L455,TODAY(),Holidays)-1))</f>
        <v/>
      </c>
      <c r="W455" s="17">
        <f>IF($L455="","",COUNT($L455:$Q455))</f>
        <v/>
      </c>
      <c r="X455" s="18">
        <f>IF($W455="","",INT(INDEX($L455:$Q455,$W455)))</f>
        <v/>
      </c>
      <c r="Y455" s="18">
        <f>IF(OR($W455="",$W455=6),"",WORKDAY($X455,CHOOSE($W455,3,3,2,2,3),Holidays))</f>
        <v/>
      </c>
      <c r="Z455" s="17">
        <f>IF(OR($W455="",$W455=6),"",CHOOSE($W455,"1st Email Follow-up","2nd Email Follow-up","Escalate Local Office","Escalate to CBE","Escalate to Roxanne"))</f>
        <v/>
      </c>
    </row>
    <row r="456" spans="18:26">
      <c r="R456" s="15"/>
      <c r="S456" s="16"/>
      <c r="T456" s="17">
        <f>IF(AND(COUNTA($A456:$K456)=0,$L456=""),"",IF($S456="Paid","PAID",IF($S456="Closed","CLOSED",IF($W456="","",IF($W456=6,"ESCALATED TO ROXANNE",IF(TODAY()&gt;$Y456,"OVERDUE",IF($Y456&lt;=WORKDAY(TODAY(),1,Holidays),"DUE TOMORROW",IF($W456=4,"ESCALATED TO LOCAL OFFICE",IF($W456=5,"ESCALATED TO CBE",IF($X456=TODAY(),"EMAIL SENT","MONITORING"))))))))))</f>
        <v/>
      </c>
      <c r="U456" s="17">
        <f>IF($T456="",IF(AND(COUNTA($A456:$K456)&gt;0,$L456=""),"Awaiting Collection Email time stamp.",""),IF(OR($T456="PAID",$T456="CLOSED"),IF($T456="PAID","Account paid. Action completed.","Account closed. No further action required."),CHOOSE($W456,"Collection Email","1st Email Follow-up","2nd Email Follow-up","Escalation to Local Office","Escalation to CBE","Escalation to Roxanne")&amp;" sent "&amp;TEXT($X456,"dd-mmm")&amp;". "&amp;IF($W456=6,"Final escalation completed.",IF($T456="OVERDUE","Next: "&amp;$Z456&amp;" was due "&amp;TEXT($Y456,"dd-mmm")&amp;" - "&amp;(NETWORKDAYS($Y456,TODAY(),Holidays)-1)&amp;" business day(s) late. Send now.",IF($T456="DUE TOMORROW","Next: "&amp;$Z456&amp;IF($Y456&lt;=TODAY()," is due TODAY ("," is due next business day (")&amp;TEXT($Y456,"dd-mmm")&amp;").","Next: "&amp;$Z456&amp;" due "&amp;TEXT($Y456,"dd-mmm")&amp;" ("&amp;(NETWORKDAYS(TODAY(),$Y456,Holidays)-1)&amp;" business day(s) left).")))))</f>
        <v/>
      </c>
      <c r="V456" s="17">
        <f>IF($W456="","",CHOOSE($W456,"Collection Email","1st Follow-up","2nd Follow-up","Local Office","CBE","Roxanne")&amp;IF($W456=6," - Final"," - Day "&amp;MAX(0,NETWORKDAYS($X456,TODAY(),Holidays)-1)&amp;" of "&amp;CHOOSE($W456,3,3,2,2,3))&amp;" | Total Day "&amp;MAX(0,NETWORKDAYS($L456,TODAY(),Holidays)-1))</f>
        <v/>
      </c>
      <c r="W456" s="17">
        <f>IF($L456="","",COUNT($L456:$Q456))</f>
        <v/>
      </c>
      <c r="X456" s="18">
        <f>IF($W456="","",INT(INDEX($L456:$Q456,$W456)))</f>
        <v/>
      </c>
      <c r="Y456" s="18">
        <f>IF(OR($W456="",$W456=6),"",WORKDAY($X456,CHOOSE($W456,3,3,2,2,3),Holidays))</f>
        <v/>
      </c>
      <c r="Z456" s="17">
        <f>IF(OR($W456="",$W456=6),"",CHOOSE($W456,"1st Email Follow-up","2nd Email Follow-up","Escalate Local Office","Escalate to CBE","Escalate to Roxanne"))</f>
        <v/>
      </c>
    </row>
    <row r="457" spans="18:26">
      <c r="R457" s="15"/>
      <c r="S457" s="16"/>
      <c r="T457" s="17">
        <f>IF(AND(COUNTA($A457:$K457)=0,$L457=""),"",IF($S457="Paid","PAID",IF($S457="Closed","CLOSED",IF($W457="","",IF($W457=6,"ESCALATED TO ROXANNE",IF(TODAY()&gt;$Y457,"OVERDUE",IF($Y457&lt;=WORKDAY(TODAY(),1,Holidays),"DUE TOMORROW",IF($W457=4,"ESCALATED TO LOCAL OFFICE",IF($W457=5,"ESCALATED TO CBE",IF($X457=TODAY(),"EMAIL SENT","MONITORING"))))))))))</f>
        <v/>
      </c>
      <c r="U457" s="17">
        <f>IF($T457="",IF(AND(COUNTA($A457:$K457)&gt;0,$L457=""),"Awaiting Collection Email time stamp.",""),IF(OR($T457="PAID",$T457="CLOSED"),IF($T457="PAID","Account paid. Action completed.","Account closed. No further action required."),CHOOSE($W457,"Collection Email","1st Email Follow-up","2nd Email Follow-up","Escalation to Local Office","Escalation to CBE","Escalation to Roxanne")&amp;" sent "&amp;TEXT($X457,"dd-mmm")&amp;". "&amp;IF($W457=6,"Final escalation completed.",IF($T457="OVERDUE","Next: "&amp;$Z457&amp;" was due "&amp;TEXT($Y457,"dd-mmm")&amp;" - "&amp;(NETWORKDAYS($Y457,TODAY(),Holidays)-1)&amp;" business day(s) late. Send now.",IF($T457="DUE TOMORROW","Next: "&amp;$Z457&amp;IF($Y457&lt;=TODAY()," is due TODAY ("," is due next business day (")&amp;TEXT($Y457,"dd-mmm")&amp;").","Next: "&amp;$Z457&amp;" due "&amp;TEXT($Y457,"dd-mmm")&amp;" ("&amp;(NETWORKDAYS(TODAY(),$Y457,Holidays)-1)&amp;" business day(s) left).")))))</f>
        <v/>
      </c>
      <c r="V457" s="17">
        <f>IF($W457="","",CHOOSE($W457,"Collection Email","1st Follow-up","2nd Follow-up","Local Office","CBE","Roxanne")&amp;IF($W457=6," - Final"," - Day "&amp;MAX(0,NETWORKDAYS($X457,TODAY(),Holidays)-1)&amp;" of "&amp;CHOOSE($W457,3,3,2,2,3))&amp;" | Total Day "&amp;MAX(0,NETWORKDAYS($L457,TODAY(),Holidays)-1))</f>
        <v/>
      </c>
      <c r="W457" s="17">
        <f>IF($L457="","",COUNT($L457:$Q457))</f>
        <v/>
      </c>
      <c r="X457" s="18">
        <f>IF($W457="","",INT(INDEX($L457:$Q457,$W457)))</f>
        <v/>
      </c>
      <c r="Y457" s="18">
        <f>IF(OR($W457="",$W457=6),"",WORKDAY($X457,CHOOSE($W457,3,3,2,2,3),Holidays))</f>
        <v/>
      </c>
      <c r="Z457" s="17">
        <f>IF(OR($W457="",$W457=6),"",CHOOSE($W457,"1st Email Follow-up","2nd Email Follow-up","Escalate Local Office","Escalate to CBE","Escalate to Roxanne"))</f>
        <v/>
      </c>
    </row>
    <row r="458" spans="18:26">
      <c r="R458" s="15"/>
      <c r="S458" s="16"/>
      <c r="T458" s="17">
        <f>IF(AND(COUNTA($A458:$K458)=0,$L458=""),"",IF($S458="Paid","PAID",IF($S458="Closed","CLOSED",IF($W458="","",IF($W458=6,"ESCALATED TO ROXANNE",IF(TODAY()&gt;$Y458,"OVERDUE",IF($Y458&lt;=WORKDAY(TODAY(),1,Holidays),"DUE TOMORROW",IF($W458=4,"ESCALATED TO LOCAL OFFICE",IF($W458=5,"ESCALATED TO CBE",IF($X458=TODAY(),"EMAIL SENT","MONITORING"))))))))))</f>
        <v/>
      </c>
      <c r="U458" s="17">
        <f>IF($T458="",IF(AND(COUNTA($A458:$K458)&gt;0,$L458=""),"Awaiting Collection Email time stamp.",""),IF(OR($T458="PAID",$T458="CLOSED"),IF($T458="PAID","Account paid. Action completed.","Account closed. No further action required."),CHOOSE($W458,"Collection Email","1st Email Follow-up","2nd Email Follow-up","Escalation to Local Office","Escalation to CBE","Escalation to Roxanne")&amp;" sent "&amp;TEXT($X458,"dd-mmm")&amp;". "&amp;IF($W458=6,"Final escalation completed.",IF($T458="OVERDUE","Next: "&amp;$Z458&amp;" was due "&amp;TEXT($Y458,"dd-mmm")&amp;" - "&amp;(NETWORKDAYS($Y458,TODAY(),Holidays)-1)&amp;" business day(s) late. Send now.",IF($T458="DUE TOMORROW","Next: "&amp;$Z458&amp;IF($Y458&lt;=TODAY()," is due TODAY ("," is due next business day (")&amp;TEXT($Y458,"dd-mmm")&amp;").","Next: "&amp;$Z458&amp;" due "&amp;TEXT($Y458,"dd-mmm")&amp;" ("&amp;(NETWORKDAYS(TODAY(),$Y458,Holidays)-1)&amp;" business day(s) left).")))))</f>
        <v/>
      </c>
      <c r="V458" s="17">
        <f>IF($W458="","",CHOOSE($W458,"Collection Email","1st Follow-up","2nd Follow-up","Local Office","CBE","Roxanne")&amp;IF($W458=6," - Final"," - Day "&amp;MAX(0,NETWORKDAYS($X458,TODAY(),Holidays)-1)&amp;" of "&amp;CHOOSE($W458,3,3,2,2,3))&amp;" | Total Day "&amp;MAX(0,NETWORKDAYS($L458,TODAY(),Holidays)-1))</f>
        <v/>
      </c>
      <c r="W458" s="17">
        <f>IF($L458="","",COUNT($L458:$Q458))</f>
        <v/>
      </c>
      <c r="X458" s="18">
        <f>IF($W458="","",INT(INDEX($L458:$Q458,$W458)))</f>
        <v/>
      </c>
      <c r="Y458" s="18">
        <f>IF(OR($W458="",$W458=6),"",WORKDAY($X458,CHOOSE($W458,3,3,2,2,3),Holidays))</f>
        <v/>
      </c>
      <c r="Z458" s="17">
        <f>IF(OR($W458="",$W458=6),"",CHOOSE($W458,"1st Email Follow-up","2nd Email Follow-up","Escalate Local Office","Escalate to CBE","Escalate to Roxanne"))</f>
        <v/>
      </c>
    </row>
    <row r="459" spans="18:26">
      <c r="R459" s="15"/>
      <c r="S459" s="16"/>
      <c r="T459" s="17">
        <f>IF(AND(COUNTA($A459:$K459)=0,$L459=""),"",IF($S459="Paid","PAID",IF($S459="Closed","CLOSED",IF($W459="","",IF($W459=6,"ESCALATED TO ROXANNE",IF(TODAY()&gt;$Y459,"OVERDUE",IF($Y459&lt;=WORKDAY(TODAY(),1,Holidays),"DUE TOMORROW",IF($W459=4,"ESCALATED TO LOCAL OFFICE",IF($W459=5,"ESCALATED TO CBE",IF($X459=TODAY(),"EMAIL SENT","MONITORING"))))))))))</f>
        <v/>
      </c>
      <c r="U459" s="17">
        <f>IF($T459="",IF(AND(COUNTA($A459:$K459)&gt;0,$L459=""),"Awaiting Collection Email time stamp.",""),IF(OR($T459="PAID",$T459="CLOSED"),IF($T459="PAID","Account paid. Action completed.","Account closed. No further action required."),CHOOSE($W459,"Collection Email","1st Email Follow-up","2nd Email Follow-up","Escalation to Local Office","Escalation to CBE","Escalation to Roxanne")&amp;" sent "&amp;TEXT($X459,"dd-mmm")&amp;". "&amp;IF($W459=6,"Final escalation completed.",IF($T459="OVERDUE","Next: "&amp;$Z459&amp;" was due "&amp;TEXT($Y459,"dd-mmm")&amp;" - "&amp;(NETWORKDAYS($Y459,TODAY(),Holidays)-1)&amp;" business day(s) late. Send now.",IF($T459="DUE TOMORROW","Next: "&amp;$Z459&amp;IF($Y459&lt;=TODAY()," is due TODAY ("," is due next business day (")&amp;TEXT($Y459,"dd-mmm")&amp;").","Next: "&amp;$Z459&amp;" due "&amp;TEXT($Y459,"dd-mmm")&amp;" ("&amp;(NETWORKDAYS(TODAY(),$Y459,Holidays)-1)&amp;" business day(s) left).")))))</f>
        <v/>
      </c>
      <c r="V459" s="17">
        <f>IF($W459="","",CHOOSE($W459,"Collection Email","1st Follow-up","2nd Follow-up","Local Office","CBE","Roxanne")&amp;IF($W459=6," - Final"," - Day "&amp;MAX(0,NETWORKDAYS($X459,TODAY(),Holidays)-1)&amp;" of "&amp;CHOOSE($W459,3,3,2,2,3))&amp;" | Total Day "&amp;MAX(0,NETWORKDAYS($L459,TODAY(),Holidays)-1))</f>
        <v/>
      </c>
      <c r="W459" s="17">
        <f>IF($L459="","",COUNT($L459:$Q459))</f>
        <v/>
      </c>
      <c r="X459" s="18">
        <f>IF($W459="","",INT(INDEX($L459:$Q459,$W459)))</f>
        <v/>
      </c>
      <c r="Y459" s="18">
        <f>IF(OR($W459="",$W459=6),"",WORKDAY($X459,CHOOSE($W459,3,3,2,2,3),Holidays))</f>
        <v/>
      </c>
      <c r="Z459" s="17">
        <f>IF(OR($W459="",$W459=6),"",CHOOSE($W459,"1st Email Follow-up","2nd Email Follow-up","Escalate Local Office","Escalate to CBE","Escalate to Roxanne"))</f>
        <v/>
      </c>
    </row>
    <row r="460" spans="18:26">
      <c r="R460" s="15"/>
      <c r="S460" s="16"/>
      <c r="T460" s="17">
        <f>IF(AND(COUNTA($A460:$K460)=0,$L460=""),"",IF($S460="Paid","PAID",IF($S460="Closed","CLOSED",IF($W460="","",IF($W460=6,"ESCALATED TO ROXANNE",IF(TODAY()&gt;$Y460,"OVERDUE",IF($Y460&lt;=WORKDAY(TODAY(),1,Holidays),"DUE TOMORROW",IF($W460=4,"ESCALATED TO LOCAL OFFICE",IF($W460=5,"ESCALATED TO CBE",IF($X460=TODAY(),"EMAIL SENT","MONITORING"))))))))))</f>
        <v/>
      </c>
      <c r="U460" s="17">
        <f>IF($T460="",IF(AND(COUNTA($A460:$K460)&gt;0,$L460=""),"Awaiting Collection Email time stamp.",""),IF(OR($T460="PAID",$T460="CLOSED"),IF($T460="PAID","Account paid. Action completed.","Account closed. No further action required."),CHOOSE($W460,"Collection Email","1st Email Follow-up","2nd Email Follow-up","Escalation to Local Office","Escalation to CBE","Escalation to Roxanne")&amp;" sent "&amp;TEXT($X460,"dd-mmm")&amp;". "&amp;IF($W460=6,"Final escalation completed.",IF($T460="OVERDUE","Next: "&amp;$Z460&amp;" was due "&amp;TEXT($Y460,"dd-mmm")&amp;" - "&amp;(NETWORKDAYS($Y460,TODAY(),Holidays)-1)&amp;" business day(s) late. Send now.",IF($T460="DUE TOMORROW","Next: "&amp;$Z460&amp;IF($Y460&lt;=TODAY()," is due TODAY ("," is due next business day (")&amp;TEXT($Y460,"dd-mmm")&amp;").","Next: "&amp;$Z460&amp;" due "&amp;TEXT($Y460,"dd-mmm")&amp;" ("&amp;(NETWORKDAYS(TODAY(),$Y460,Holidays)-1)&amp;" business day(s) left).")))))</f>
        <v/>
      </c>
      <c r="V460" s="17">
        <f>IF($W460="","",CHOOSE($W460,"Collection Email","1st Follow-up","2nd Follow-up","Local Office","CBE","Roxanne")&amp;IF($W460=6," - Final"," - Day "&amp;MAX(0,NETWORKDAYS($X460,TODAY(),Holidays)-1)&amp;" of "&amp;CHOOSE($W460,3,3,2,2,3))&amp;" | Total Day "&amp;MAX(0,NETWORKDAYS($L460,TODAY(),Holidays)-1))</f>
        <v/>
      </c>
      <c r="W460" s="17">
        <f>IF($L460="","",COUNT($L460:$Q460))</f>
        <v/>
      </c>
      <c r="X460" s="18">
        <f>IF($W460="","",INT(INDEX($L460:$Q460,$W460)))</f>
        <v/>
      </c>
      <c r="Y460" s="18">
        <f>IF(OR($W460="",$W460=6),"",WORKDAY($X460,CHOOSE($W460,3,3,2,2,3),Holidays))</f>
        <v/>
      </c>
      <c r="Z460" s="17">
        <f>IF(OR($W460="",$W460=6),"",CHOOSE($W460,"1st Email Follow-up","2nd Email Follow-up","Escalate Local Office","Escalate to CBE","Escalate to Roxanne"))</f>
        <v/>
      </c>
    </row>
    <row r="461" spans="18:26">
      <c r="R461" s="15"/>
      <c r="S461" s="16"/>
      <c r="T461" s="17">
        <f>IF(AND(COUNTA($A461:$K461)=0,$L461=""),"",IF($S461="Paid","PAID",IF($S461="Closed","CLOSED",IF($W461="","",IF($W461=6,"ESCALATED TO ROXANNE",IF(TODAY()&gt;$Y461,"OVERDUE",IF($Y461&lt;=WORKDAY(TODAY(),1,Holidays),"DUE TOMORROW",IF($W461=4,"ESCALATED TO LOCAL OFFICE",IF($W461=5,"ESCALATED TO CBE",IF($X461=TODAY(),"EMAIL SENT","MONITORING"))))))))))</f>
        <v/>
      </c>
      <c r="U461" s="17">
        <f>IF($T461="",IF(AND(COUNTA($A461:$K461)&gt;0,$L461=""),"Awaiting Collection Email time stamp.",""),IF(OR($T461="PAID",$T461="CLOSED"),IF($T461="PAID","Account paid. Action completed.","Account closed. No further action required."),CHOOSE($W461,"Collection Email","1st Email Follow-up","2nd Email Follow-up","Escalation to Local Office","Escalation to CBE","Escalation to Roxanne")&amp;" sent "&amp;TEXT($X461,"dd-mmm")&amp;". "&amp;IF($W461=6,"Final escalation completed.",IF($T461="OVERDUE","Next: "&amp;$Z461&amp;" was due "&amp;TEXT($Y461,"dd-mmm")&amp;" - "&amp;(NETWORKDAYS($Y461,TODAY(),Holidays)-1)&amp;" business day(s) late. Send now.",IF($T461="DUE TOMORROW","Next: "&amp;$Z461&amp;IF($Y461&lt;=TODAY()," is due TODAY ("," is due next business day (")&amp;TEXT($Y461,"dd-mmm")&amp;").","Next: "&amp;$Z461&amp;" due "&amp;TEXT($Y461,"dd-mmm")&amp;" ("&amp;(NETWORKDAYS(TODAY(),$Y461,Holidays)-1)&amp;" business day(s) left).")))))</f>
        <v/>
      </c>
      <c r="V461" s="17">
        <f>IF($W461="","",CHOOSE($W461,"Collection Email","1st Follow-up","2nd Follow-up","Local Office","CBE","Roxanne")&amp;IF($W461=6," - Final"," - Day "&amp;MAX(0,NETWORKDAYS($X461,TODAY(),Holidays)-1)&amp;" of "&amp;CHOOSE($W461,3,3,2,2,3))&amp;" | Total Day "&amp;MAX(0,NETWORKDAYS($L461,TODAY(),Holidays)-1))</f>
        <v/>
      </c>
      <c r="W461" s="17">
        <f>IF($L461="","",COUNT($L461:$Q461))</f>
        <v/>
      </c>
      <c r="X461" s="18">
        <f>IF($W461="","",INT(INDEX($L461:$Q461,$W461)))</f>
        <v/>
      </c>
      <c r="Y461" s="18">
        <f>IF(OR($W461="",$W461=6),"",WORKDAY($X461,CHOOSE($W461,3,3,2,2,3),Holidays))</f>
        <v/>
      </c>
      <c r="Z461" s="17">
        <f>IF(OR($W461="",$W461=6),"",CHOOSE($W461,"1st Email Follow-up","2nd Email Follow-up","Escalate Local Office","Escalate to CBE","Escalate to Roxanne"))</f>
        <v/>
      </c>
    </row>
    <row r="462" spans="18:26">
      <c r="R462" s="15"/>
      <c r="S462" s="16"/>
      <c r="T462" s="17">
        <f>IF(AND(COUNTA($A462:$K462)=0,$L462=""),"",IF($S462="Paid","PAID",IF($S462="Closed","CLOSED",IF($W462="","",IF($W462=6,"ESCALATED TO ROXANNE",IF(TODAY()&gt;$Y462,"OVERDUE",IF($Y462&lt;=WORKDAY(TODAY(),1,Holidays),"DUE TOMORROW",IF($W462=4,"ESCALATED TO LOCAL OFFICE",IF($W462=5,"ESCALATED TO CBE",IF($X462=TODAY(),"EMAIL SENT","MONITORING"))))))))))</f>
        <v/>
      </c>
      <c r="U462" s="17">
        <f>IF($T462="",IF(AND(COUNTA($A462:$K462)&gt;0,$L462=""),"Awaiting Collection Email time stamp.",""),IF(OR($T462="PAID",$T462="CLOSED"),IF($T462="PAID","Account paid. Action completed.","Account closed. No further action required."),CHOOSE($W462,"Collection Email","1st Email Follow-up","2nd Email Follow-up","Escalation to Local Office","Escalation to CBE","Escalation to Roxanne")&amp;" sent "&amp;TEXT($X462,"dd-mmm")&amp;". "&amp;IF($W462=6,"Final escalation completed.",IF($T462="OVERDUE","Next: "&amp;$Z462&amp;" was due "&amp;TEXT($Y462,"dd-mmm")&amp;" - "&amp;(NETWORKDAYS($Y462,TODAY(),Holidays)-1)&amp;" business day(s) late. Send now.",IF($T462="DUE TOMORROW","Next: "&amp;$Z462&amp;IF($Y462&lt;=TODAY()," is due TODAY ("," is due next business day (")&amp;TEXT($Y462,"dd-mmm")&amp;").","Next: "&amp;$Z462&amp;" due "&amp;TEXT($Y462,"dd-mmm")&amp;" ("&amp;(NETWORKDAYS(TODAY(),$Y462,Holidays)-1)&amp;" business day(s) left).")))))</f>
        <v/>
      </c>
      <c r="V462" s="17">
        <f>IF($W462="","",CHOOSE($W462,"Collection Email","1st Follow-up","2nd Follow-up","Local Office","CBE","Roxanne")&amp;IF($W462=6," - Final"," - Day "&amp;MAX(0,NETWORKDAYS($X462,TODAY(),Holidays)-1)&amp;" of "&amp;CHOOSE($W462,3,3,2,2,3))&amp;" | Total Day "&amp;MAX(0,NETWORKDAYS($L462,TODAY(),Holidays)-1))</f>
        <v/>
      </c>
      <c r="W462" s="17">
        <f>IF($L462="","",COUNT($L462:$Q462))</f>
        <v/>
      </c>
      <c r="X462" s="18">
        <f>IF($W462="","",INT(INDEX($L462:$Q462,$W462)))</f>
        <v/>
      </c>
      <c r="Y462" s="18">
        <f>IF(OR($W462="",$W462=6),"",WORKDAY($X462,CHOOSE($W462,3,3,2,2,3),Holidays))</f>
        <v/>
      </c>
      <c r="Z462" s="17">
        <f>IF(OR($W462="",$W462=6),"",CHOOSE($W462,"1st Email Follow-up","2nd Email Follow-up","Escalate Local Office","Escalate to CBE","Escalate to Roxanne"))</f>
        <v/>
      </c>
    </row>
    <row r="463" spans="18:26">
      <c r="R463" s="15"/>
      <c r="S463" s="16"/>
      <c r="T463" s="17">
        <f>IF(AND(COUNTA($A463:$K463)=0,$L463=""),"",IF($S463="Paid","PAID",IF($S463="Closed","CLOSED",IF($W463="","",IF($W463=6,"ESCALATED TO ROXANNE",IF(TODAY()&gt;$Y463,"OVERDUE",IF($Y463&lt;=WORKDAY(TODAY(),1,Holidays),"DUE TOMORROW",IF($W463=4,"ESCALATED TO LOCAL OFFICE",IF($W463=5,"ESCALATED TO CBE",IF($X463=TODAY(),"EMAIL SENT","MONITORING"))))))))))</f>
        <v/>
      </c>
      <c r="U463" s="17">
        <f>IF($T463="",IF(AND(COUNTA($A463:$K463)&gt;0,$L463=""),"Awaiting Collection Email time stamp.",""),IF(OR($T463="PAID",$T463="CLOSED"),IF($T463="PAID","Account paid. Action completed.","Account closed. No further action required."),CHOOSE($W463,"Collection Email","1st Email Follow-up","2nd Email Follow-up","Escalation to Local Office","Escalation to CBE","Escalation to Roxanne")&amp;" sent "&amp;TEXT($X463,"dd-mmm")&amp;". "&amp;IF($W463=6,"Final escalation completed.",IF($T463="OVERDUE","Next: "&amp;$Z463&amp;" was due "&amp;TEXT($Y463,"dd-mmm")&amp;" - "&amp;(NETWORKDAYS($Y463,TODAY(),Holidays)-1)&amp;" business day(s) late. Send now.",IF($T463="DUE TOMORROW","Next: "&amp;$Z463&amp;IF($Y463&lt;=TODAY()," is due TODAY ("," is due next business day (")&amp;TEXT($Y463,"dd-mmm")&amp;").","Next: "&amp;$Z463&amp;" due "&amp;TEXT($Y463,"dd-mmm")&amp;" ("&amp;(NETWORKDAYS(TODAY(),$Y463,Holidays)-1)&amp;" business day(s) left).")))))</f>
        <v/>
      </c>
      <c r="V463" s="17">
        <f>IF($W463="","",CHOOSE($W463,"Collection Email","1st Follow-up","2nd Follow-up","Local Office","CBE","Roxanne")&amp;IF($W463=6," - Final"," - Day "&amp;MAX(0,NETWORKDAYS($X463,TODAY(),Holidays)-1)&amp;" of "&amp;CHOOSE($W463,3,3,2,2,3))&amp;" | Total Day "&amp;MAX(0,NETWORKDAYS($L463,TODAY(),Holidays)-1))</f>
        <v/>
      </c>
      <c r="W463" s="17">
        <f>IF($L463="","",COUNT($L463:$Q463))</f>
        <v/>
      </c>
      <c r="X463" s="18">
        <f>IF($W463="","",INT(INDEX($L463:$Q463,$W463)))</f>
        <v/>
      </c>
      <c r="Y463" s="18">
        <f>IF(OR($W463="",$W463=6),"",WORKDAY($X463,CHOOSE($W463,3,3,2,2,3),Holidays))</f>
        <v/>
      </c>
      <c r="Z463" s="17">
        <f>IF(OR($W463="",$W463=6),"",CHOOSE($W463,"1st Email Follow-up","2nd Email Follow-up","Escalate Local Office","Escalate to CBE","Escalate to Roxanne"))</f>
        <v/>
      </c>
    </row>
    <row r="464" spans="18:26">
      <c r="R464" s="15"/>
      <c r="S464" s="16"/>
      <c r="T464" s="17">
        <f>IF(AND(COUNTA($A464:$K464)=0,$L464=""),"",IF($S464="Paid","PAID",IF($S464="Closed","CLOSED",IF($W464="","",IF($W464=6,"ESCALATED TO ROXANNE",IF(TODAY()&gt;$Y464,"OVERDUE",IF($Y464&lt;=WORKDAY(TODAY(),1,Holidays),"DUE TOMORROW",IF($W464=4,"ESCALATED TO LOCAL OFFICE",IF($W464=5,"ESCALATED TO CBE",IF($X464=TODAY(),"EMAIL SENT","MONITORING"))))))))))</f>
        <v/>
      </c>
      <c r="U464" s="17">
        <f>IF($T464="",IF(AND(COUNTA($A464:$K464)&gt;0,$L464=""),"Awaiting Collection Email time stamp.",""),IF(OR($T464="PAID",$T464="CLOSED"),IF($T464="PAID","Account paid. Action completed.","Account closed. No further action required."),CHOOSE($W464,"Collection Email","1st Email Follow-up","2nd Email Follow-up","Escalation to Local Office","Escalation to CBE","Escalation to Roxanne")&amp;" sent "&amp;TEXT($X464,"dd-mmm")&amp;". "&amp;IF($W464=6,"Final escalation completed.",IF($T464="OVERDUE","Next: "&amp;$Z464&amp;" was due "&amp;TEXT($Y464,"dd-mmm")&amp;" - "&amp;(NETWORKDAYS($Y464,TODAY(),Holidays)-1)&amp;" business day(s) late. Send now.",IF($T464="DUE TOMORROW","Next: "&amp;$Z464&amp;IF($Y464&lt;=TODAY()," is due TODAY ("," is due next business day (")&amp;TEXT($Y464,"dd-mmm")&amp;").","Next: "&amp;$Z464&amp;" due "&amp;TEXT($Y464,"dd-mmm")&amp;" ("&amp;(NETWORKDAYS(TODAY(),$Y464,Holidays)-1)&amp;" business day(s) left).")))))</f>
        <v/>
      </c>
      <c r="V464" s="17">
        <f>IF($W464="","",CHOOSE($W464,"Collection Email","1st Follow-up","2nd Follow-up","Local Office","CBE","Roxanne")&amp;IF($W464=6," - Final"," - Day "&amp;MAX(0,NETWORKDAYS($X464,TODAY(),Holidays)-1)&amp;" of "&amp;CHOOSE($W464,3,3,2,2,3))&amp;" | Total Day "&amp;MAX(0,NETWORKDAYS($L464,TODAY(),Holidays)-1))</f>
        <v/>
      </c>
      <c r="W464" s="17">
        <f>IF($L464="","",COUNT($L464:$Q464))</f>
        <v/>
      </c>
      <c r="X464" s="18">
        <f>IF($W464="","",INT(INDEX($L464:$Q464,$W464)))</f>
        <v/>
      </c>
      <c r="Y464" s="18">
        <f>IF(OR($W464="",$W464=6),"",WORKDAY($X464,CHOOSE($W464,3,3,2,2,3),Holidays))</f>
        <v/>
      </c>
      <c r="Z464" s="17">
        <f>IF(OR($W464="",$W464=6),"",CHOOSE($W464,"1st Email Follow-up","2nd Email Follow-up","Escalate Local Office","Escalate to CBE","Escalate to Roxanne"))</f>
        <v/>
      </c>
    </row>
    <row r="465" spans="18:26">
      <c r="R465" s="15"/>
      <c r="S465" s="16"/>
      <c r="T465" s="17">
        <f>IF(AND(COUNTA($A465:$K465)=0,$L465=""),"",IF($S465="Paid","PAID",IF($S465="Closed","CLOSED",IF($W465="","",IF($W465=6,"ESCALATED TO ROXANNE",IF(TODAY()&gt;$Y465,"OVERDUE",IF($Y465&lt;=WORKDAY(TODAY(),1,Holidays),"DUE TOMORROW",IF($W465=4,"ESCALATED TO LOCAL OFFICE",IF($W465=5,"ESCALATED TO CBE",IF($X465=TODAY(),"EMAIL SENT","MONITORING"))))))))))</f>
        <v/>
      </c>
      <c r="U465" s="17">
        <f>IF($T465="",IF(AND(COUNTA($A465:$K465)&gt;0,$L465=""),"Awaiting Collection Email time stamp.",""),IF(OR($T465="PAID",$T465="CLOSED"),IF($T465="PAID","Account paid. Action completed.","Account closed. No further action required."),CHOOSE($W465,"Collection Email","1st Email Follow-up","2nd Email Follow-up","Escalation to Local Office","Escalation to CBE","Escalation to Roxanne")&amp;" sent "&amp;TEXT($X465,"dd-mmm")&amp;". "&amp;IF($W465=6,"Final escalation completed.",IF($T465="OVERDUE","Next: "&amp;$Z465&amp;" was due "&amp;TEXT($Y465,"dd-mmm")&amp;" - "&amp;(NETWORKDAYS($Y465,TODAY(),Holidays)-1)&amp;" business day(s) late. Send now.",IF($T465="DUE TOMORROW","Next: "&amp;$Z465&amp;IF($Y465&lt;=TODAY()," is due TODAY ("," is due next business day (")&amp;TEXT($Y465,"dd-mmm")&amp;").","Next: "&amp;$Z465&amp;" due "&amp;TEXT($Y465,"dd-mmm")&amp;" ("&amp;(NETWORKDAYS(TODAY(),$Y465,Holidays)-1)&amp;" business day(s) left).")))))</f>
        <v/>
      </c>
      <c r="V465" s="17">
        <f>IF($W465="","",CHOOSE($W465,"Collection Email","1st Follow-up","2nd Follow-up","Local Office","CBE","Roxanne")&amp;IF($W465=6," - Final"," - Day "&amp;MAX(0,NETWORKDAYS($X465,TODAY(),Holidays)-1)&amp;" of "&amp;CHOOSE($W465,3,3,2,2,3))&amp;" | Total Day "&amp;MAX(0,NETWORKDAYS($L465,TODAY(),Holidays)-1))</f>
        <v/>
      </c>
      <c r="W465" s="17">
        <f>IF($L465="","",COUNT($L465:$Q465))</f>
        <v/>
      </c>
      <c r="X465" s="18">
        <f>IF($W465="","",INT(INDEX($L465:$Q465,$W465)))</f>
        <v/>
      </c>
      <c r="Y465" s="18">
        <f>IF(OR($W465="",$W465=6),"",WORKDAY($X465,CHOOSE($W465,3,3,2,2,3),Holidays))</f>
        <v/>
      </c>
      <c r="Z465" s="17">
        <f>IF(OR($W465="",$W465=6),"",CHOOSE($W465,"1st Email Follow-up","2nd Email Follow-up","Escalate Local Office","Escalate to CBE","Escalate to Roxanne"))</f>
        <v/>
      </c>
    </row>
    <row r="466" spans="18:26">
      <c r="R466" s="15"/>
      <c r="S466" s="16"/>
      <c r="T466" s="17">
        <f>IF(AND(COUNTA($A466:$K466)=0,$L466=""),"",IF($S466="Paid","PAID",IF($S466="Closed","CLOSED",IF($W466="","",IF($W466=6,"ESCALATED TO ROXANNE",IF(TODAY()&gt;$Y466,"OVERDUE",IF($Y466&lt;=WORKDAY(TODAY(),1,Holidays),"DUE TOMORROW",IF($W466=4,"ESCALATED TO LOCAL OFFICE",IF($W466=5,"ESCALATED TO CBE",IF($X466=TODAY(),"EMAIL SENT","MONITORING"))))))))))</f>
        <v/>
      </c>
      <c r="U466" s="17">
        <f>IF($T466="",IF(AND(COUNTA($A466:$K466)&gt;0,$L466=""),"Awaiting Collection Email time stamp.",""),IF(OR($T466="PAID",$T466="CLOSED"),IF($T466="PAID","Account paid. Action completed.","Account closed. No further action required."),CHOOSE($W466,"Collection Email","1st Email Follow-up","2nd Email Follow-up","Escalation to Local Office","Escalation to CBE","Escalation to Roxanne")&amp;" sent "&amp;TEXT($X466,"dd-mmm")&amp;". "&amp;IF($W466=6,"Final escalation completed.",IF($T466="OVERDUE","Next: "&amp;$Z466&amp;" was due "&amp;TEXT($Y466,"dd-mmm")&amp;" - "&amp;(NETWORKDAYS($Y466,TODAY(),Holidays)-1)&amp;" business day(s) late. Send now.",IF($T466="DUE TOMORROW","Next: "&amp;$Z466&amp;IF($Y466&lt;=TODAY()," is due TODAY ("," is due next business day (")&amp;TEXT($Y466,"dd-mmm")&amp;").","Next: "&amp;$Z466&amp;" due "&amp;TEXT($Y466,"dd-mmm")&amp;" ("&amp;(NETWORKDAYS(TODAY(),$Y466,Holidays)-1)&amp;" business day(s) left).")))))</f>
        <v/>
      </c>
      <c r="V466" s="17">
        <f>IF($W466="","",CHOOSE($W466,"Collection Email","1st Follow-up","2nd Follow-up","Local Office","CBE","Roxanne")&amp;IF($W466=6," - Final"," - Day "&amp;MAX(0,NETWORKDAYS($X466,TODAY(),Holidays)-1)&amp;" of "&amp;CHOOSE($W466,3,3,2,2,3))&amp;" | Total Day "&amp;MAX(0,NETWORKDAYS($L466,TODAY(),Holidays)-1))</f>
        <v/>
      </c>
      <c r="W466" s="17">
        <f>IF($L466="","",COUNT($L466:$Q466))</f>
        <v/>
      </c>
      <c r="X466" s="18">
        <f>IF($W466="","",INT(INDEX($L466:$Q466,$W466)))</f>
        <v/>
      </c>
      <c r="Y466" s="18">
        <f>IF(OR($W466="",$W466=6),"",WORKDAY($X466,CHOOSE($W466,3,3,2,2,3),Holidays))</f>
        <v/>
      </c>
      <c r="Z466" s="17">
        <f>IF(OR($W466="",$W466=6),"",CHOOSE($W466,"1st Email Follow-up","2nd Email Follow-up","Escalate Local Office","Escalate to CBE","Escalate to Roxanne"))</f>
        <v/>
      </c>
    </row>
    <row r="467" spans="18:26">
      <c r="R467" s="15"/>
      <c r="S467" s="16"/>
      <c r="T467" s="17">
        <f>IF(AND(COUNTA($A467:$K467)=0,$L467=""),"",IF($S467="Paid","PAID",IF($S467="Closed","CLOSED",IF($W467="","",IF($W467=6,"ESCALATED TO ROXANNE",IF(TODAY()&gt;$Y467,"OVERDUE",IF($Y467&lt;=WORKDAY(TODAY(),1,Holidays),"DUE TOMORROW",IF($W467=4,"ESCALATED TO LOCAL OFFICE",IF($W467=5,"ESCALATED TO CBE",IF($X467=TODAY(),"EMAIL SENT","MONITORING"))))))))))</f>
        <v/>
      </c>
      <c r="U467" s="17">
        <f>IF($T467="",IF(AND(COUNTA($A467:$K467)&gt;0,$L467=""),"Awaiting Collection Email time stamp.",""),IF(OR($T467="PAID",$T467="CLOSED"),IF($T467="PAID","Account paid. Action completed.","Account closed. No further action required."),CHOOSE($W467,"Collection Email","1st Email Follow-up","2nd Email Follow-up","Escalation to Local Office","Escalation to CBE","Escalation to Roxanne")&amp;" sent "&amp;TEXT($X467,"dd-mmm")&amp;". "&amp;IF($W467=6,"Final escalation completed.",IF($T467="OVERDUE","Next: "&amp;$Z467&amp;" was due "&amp;TEXT($Y467,"dd-mmm")&amp;" - "&amp;(NETWORKDAYS($Y467,TODAY(),Holidays)-1)&amp;" business day(s) late. Send now.",IF($T467="DUE TOMORROW","Next: "&amp;$Z467&amp;IF($Y467&lt;=TODAY()," is due TODAY ("," is due next business day (")&amp;TEXT($Y467,"dd-mmm")&amp;").","Next: "&amp;$Z467&amp;" due "&amp;TEXT($Y467,"dd-mmm")&amp;" ("&amp;(NETWORKDAYS(TODAY(),$Y467,Holidays)-1)&amp;" business day(s) left).")))))</f>
        <v/>
      </c>
      <c r="V467" s="17">
        <f>IF($W467="","",CHOOSE($W467,"Collection Email","1st Follow-up","2nd Follow-up","Local Office","CBE","Roxanne")&amp;IF($W467=6," - Final"," - Day "&amp;MAX(0,NETWORKDAYS($X467,TODAY(),Holidays)-1)&amp;" of "&amp;CHOOSE($W467,3,3,2,2,3))&amp;" | Total Day "&amp;MAX(0,NETWORKDAYS($L467,TODAY(),Holidays)-1))</f>
        <v/>
      </c>
      <c r="W467" s="17">
        <f>IF($L467="","",COUNT($L467:$Q467))</f>
        <v/>
      </c>
      <c r="X467" s="18">
        <f>IF($W467="","",INT(INDEX($L467:$Q467,$W467)))</f>
        <v/>
      </c>
      <c r="Y467" s="18">
        <f>IF(OR($W467="",$W467=6),"",WORKDAY($X467,CHOOSE($W467,3,3,2,2,3),Holidays))</f>
        <v/>
      </c>
      <c r="Z467" s="17">
        <f>IF(OR($W467="",$W467=6),"",CHOOSE($W467,"1st Email Follow-up","2nd Email Follow-up","Escalate Local Office","Escalate to CBE","Escalate to Roxanne"))</f>
        <v/>
      </c>
    </row>
    <row r="468" spans="18:26">
      <c r="R468" s="15"/>
      <c r="S468" s="16"/>
      <c r="T468" s="17">
        <f>IF(AND(COUNTA($A468:$K468)=0,$L468=""),"",IF($S468="Paid","PAID",IF($S468="Closed","CLOSED",IF($W468="","",IF($W468=6,"ESCALATED TO ROXANNE",IF(TODAY()&gt;$Y468,"OVERDUE",IF($Y468&lt;=WORKDAY(TODAY(),1,Holidays),"DUE TOMORROW",IF($W468=4,"ESCALATED TO LOCAL OFFICE",IF($W468=5,"ESCALATED TO CBE",IF($X468=TODAY(),"EMAIL SENT","MONITORING"))))))))))</f>
        <v/>
      </c>
      <c r="U468" s="17">
        <f>IF($T468="",IF(AND(COUNTA($A468:$K468)&gt;0,$L468=""),"Awaiting Collection Email time stamp.",""),IF(OR($T468="PAID",$T468="CLOSED"),IF($T468="PAID","Account paid. Action completed.","Account closed. No further action required."),CHOOSE($W468,"Collection Email","1st Email Follow-up","2nd Email Follow-up","Escalation to Local Office","Escalation to CBE","Escalation to Roxanne")&amp;" sent "&amp;TEXT($X468,"dd-mmm")&amp;". "&amp;IF($W468=6,"Final escalation completed.",IF($T468="OVERDUE","Next: "&amp;$Z468&amp;" was due "&amp;TEXT($Y468,"dd-mmm")&amp;" - "&amp;(NETWORKDAYS($Y468,TODAY(),Holidays)-1)&amp;" business day(s) late. Send now.",IF($T468="DUE TOMORROW","Next: "&amp;$Z468&amp;IF($Y468&lt;=TODAY()," is due TODAY ("," is due next business day (")&amp;TEXT($Y468,"dd-mmm")&amp;").","Next: "&amp;$Z468&amp;" due "&amp;TEXT($Y468,"dd-mmm")&amp;" ("&amp;(NETWORKDAYS(TODAY(),$Y468,Holidays)-1)&amp;" business day(s) left).")))))</f>
        <v/>
      </c>
      <c r="V468" s="17">
        <f>IF($W468="","",CHOOSE($W468,"Collection Email","1st Follow-up","2nd Follow-up","Local Office","CBE","Roxanne")&amp;IF($W468=6," - Final"," - Day "&amp;MAX(0,NETWORKDAYS($X468,TODAY(),Holidays)-1)&amp;" of "&amp;CHOOSE($W468,3,3,2,2,3))&amp;" | Total Day "&amp;MAX(0,NETWORKDAYS($L468,TODAY(),Holidays)-1))</f>
        <v/>
      </c>
      <c r="W468" s="17">
        <f>IF($L468="","",COUNT($L468:$Q468))</f>
        <v/>
      </c>
      <c r="X468" s="18">
        <f>IF($W468="","",INT(INDEX($L468:$Q468,$W468)))</f>
        <v/>
      </c>
      <c r="Y468" s="18">
        <f>IF(OR($W468="",$W468=6),"",WORKDAY($X468,CHOOSE($W468,3,3,2,2,3),Holidays))</f>
        <v/>
      </c>
      <c r="Z468" s="17">
        <f>IF(OR($W468="",$W468=6),"",CHOOSE($W468,"1st Email Follow-up","2nd Email Follow-up","Escalate Local Office","Escalate to CBE","Escalate to Roxanne"))</f>
        <v/>
      </c>
    </row>
    <row r="469" spans="18:26">
      <c r="R469" s="15"/>
      <c r="S469" s="16"/>
      <c r="T469" s="17">
        <f>IF(AND(COUNTA($A469:$K469)=0,$L469=""),"",IF($S469="Paid","PAID",IF($S469="Closed","CLOSED",IF($W469="","",IF($W469=6,"ESCALATED TO ROXANNE",IF(TODAY()&gt;$Y469,"OVERDUE",IF($Y469&lt;=WORKDAY(TODAY(),1,Holidays),"DUE TOMORROW",IF($W469=4,"ESCALATED TO LOCAL OFFICE",IF($W469=5,"ESCALATED TO CBE",IF($X469=TODAY(),"EMAIL SENT","MONITORING"))))))))))</f>
        <v/>
      </c>
      <c r="U469" s="17">
        <f>IF($T469="",IF(AND(COUNTA($A469:$K469)&gt;0,$L469=""),"Awaiting Collection Email time stamp.",""),IF(OR($T469="PAID",$T469="CLOSED"),IF($T469="PAID","Account paid. Action completed.","Account closed. No further action required."),CHOOSE($W469,"Collection Email","1st Email Follow-up","2nd Email Follow-up","Escalation to Local Office","Escalation to CBE","Escalation to Roxanne")&amp;" sent "&amp;TEXT($X469,"dd-mmm")&amp;". "&amp;IF($W469=6,"Final escalation completed.",IF($T469="OVERDUE","Next: "&amp;$Z469&amp;" was due "&amp;TEXT($Y469,"dd-mmm")&amp;" - "&amp;(NETWORKDAYS($Y469,TODAY(),Holidays)-1)&amp;" business day(s) late. Send now.",IF($T469="DUE TOMORROW","Next: "&amp;$Z469&amp;IF($Y469&lt;=TODAY()," is due TODAY ("," is due next business day (")&amp;TEXT($Y469,"dd-mmm")&amp;").","Next: "&amp;$Z469&amp;" due "&amp;TEXT($Y469,"dd-mmm")&amp;" ("&amp;(NETWORKDAYS(TODAY(),$Y469,Holidays)-1)&amp;" business day(s) left).")))))</f>
        <v/>
      </c>
      <c r="V469" s="17">
        <f>IF($W469="","",CHOOSE($W469,"Collection Email","1st Follow-up","2nd Follow-up","Local Office","CBE","Roxanne")&amp;IF($W469=6," - Final"," - Day "&amp;MAX(0,NETWORKDAYS($X469,TODAY(),Holidays)-1)&amp;" of "&amp;CHOOSE($W469,3,3,2,2,3))&amp;" | Total Day "&amp;MAX(0,NETWORKDAYS($L469,TODAY(),Holidays)-1))</f>
        <v/>
      </c>
      <c r="W469" s="17">
        <f>IF($L469="","",COUNT($L469:$Q469))</f>
        <v/>
      </c>
      <c r="X469" s="18">
        <f>IF($W469="","",INT(INDEX($L469:$Q469,$W469)))</f>
        <v/>
      </c>
      <c r="Y469" s="18">
        <f>IF(OR($W469="",$W469=6),"",WORKDAY($X469,CHOOSE($W469,3,3,2,2,3),Holidays))</f>
        <v/>
      </c>
      <c r="Z469" s="17">
        <f>IF(OR($W469="",$W469=6),"",CHOOSE($W469,"1st Email Follow-up","2nd Email Follow-up","Escalate Local Office","Escalate to CBE","Escalate to Roxanne"))</f>
        <v/>
      </c>
    </row>
    <row r="470" spans="18:26">
      <c r="R470" s="15"/>
      <c r="S470" s="16"/>
      <c r="T470" s="17">
        <f>IF(AND(COUNTA($A470:$K470)=0,$L470=""),"",IF($S470="Paid","PAID",IF($S470="Closed","CLOSED",IF($W470="","",IF($W470=6,"ESCALATED TO ROXANNE",IF(TODAY()&gt;$Y470,"OVERDUE",IF($Y470&lt;=WORKDAY(TODAY(),1,Holidays),"DUE TOMORROW",IF($W470=4,"ESCALATED TO LOCAL OFFICE",IF($W470=5,"ESCALATED TO CBE",IF($X470=TODAY(),"EMAIL SENT","MONITORING"))))))))))</f>
        <v/>
      </c>
      <c r="U470" s="17">
        <f>IF($T470="",IF(AND(COUNTA($A470:$K470)&gt;0,$L470=""),"Awaiting Collection Email time stamp.",""),IF(OR($T470="PAID",$T470="CLOSED"),IF($T470="PAID","Account paid. Action completed.","Account closed. No further action required."),CHOOSE($W470,"Collection Email","1st Email Follow-up","2nd Email Follow-up","Escalation to Local Office","Escalation to CBE","Escalation to Roxanne")&amp;" sent "&amp;TEXT($X470,"dd-mmm")&amp;". "&amp;IF($W470=6,"Final escalation completed.",IF($T470="OVERDUE","Next: "&amp;$Z470&amp;" was due "&amp;TEXT($Y470,"dd-mmm")&amp;" - "&amp;(NETWORKDAYS($Y470,TODAY(),Holidays)-1)&amp;" business day(s) late. Send now.",IF($T470="DUE TOMORROW","Next: "&amp;$Z470&amp;IF($Y470&lt;=TODAY()," is due TODAY ("," is due next business day (")&amp;TEXT($Y470,"dd-mmm")&amp;").","Next: "&amp;$Z470&amp;" due "&amp;TEXT($Y470,"dd-mmm")&amp;" ("&amp;(NETWORKDAYS(TODAY(),$Y470,Holidays)-1)&amp;" business day(s) left).")))))</f>
        <v/>
      </c>
      <c r="V470" s="17">
        <f>IF($W470="","",CHOOSE($W470,"Collection Email","1st Follow-up","2nd Follow-up","Local Office","CBE","Roxanne")&amp;IF($W470=6," - Final"," - Day "&amp;MAX(0,NETWORKDAYS($X470,TODAY(),Holidays)-1)&amp;" of "&amp;CHOOSE($W470,3,3,2,2,3))&amp;" | Total Day "&amp;MAX(0,NETWORKDAYS($L470,TODAY(),Holidays)-1))</f>
        <v/>
      </c>
      <c r="W470" s="17">
        <f>IF($L470="","",COUNT($L470:$Q470))</f>
        <v/>
      </c>
      <c r="X470" s="18">
        <f>IF($W470="","",INT(INDEX($L470:$Q470,$W470)))</f>
        <v/>
      </c>
      <c r="Y470" s="18">
        <f>IF(OR($W470="",$W470=6),"",WORKDAY($X470,CHOOSE($W470,3,3,2,2,3),Holidays))</f>
        <v/>
      </c>
      <c r="Z470" s="17">
        <f>IF(OR($W470="",$W470=6),"",CHOOSE($W470,"1st Email Follow-up","2nd Email Follow-up","Escalate Local Office","Escalate to CBE","Escalate to Roxanne"))</f>
        <v/>
      </c>
    </row>
    <row r="471" spans="18:26">
      <c r="R471" s="15"/>
      <c r="S471" s="16"/>
      <c r="T471" s="17">
        <f>IF(AND(COUNTA($A471:$K471)=0,$L471=""),"",IF($S471="Paid","PAID",IF($S471="Closed","CLOSED",IF($W471="","",IF($W471=6,"ESCALATED TO ROXANNE",IF(TODAY()&gt;$Y471,"OVERDUE",IF($Y471&lt;=WORKDAY(TODAY(),1,Holidays),"DUE TOMORROW",IF($W471=4,"ESCALATED TO LOCAL OFFICE",IF($W471=5,"ESCALATED TO CBE",IF($X471=TODAY(),"EMAIL SENT","MONITORING"))))))))))</f>
        <v/>
      </c>
      <c r="U471" s="17">
        <f>IF($T471="",IF(AND(COUNTA($A471:$K471)&gt;0,$L471=""),"Awaiting Collection Email time stamp.",""),IF(OR($T471="PAID",$T471="CLOSED"),IF($T471="PAID","Account paid. Action completed.","Account closed. No further action required."),CHOOSE($W471,"Collection Email","1st Email Follow-up","2nd Email Follow-up","Escalation to Local Office","Escalation to CBE","Escalation to Roxanne")&amp;" sent "&amp;TEXT($X471,"dd-mmm")&amp;". "&amp;IF($W471=6,"Final escalation completed.",IF($T471="OVERDUE","Next: "&amp;$Z471&amp;" was due "&amp;TEXT($Y471,"dd-mmm")&amp;" - "&amp;(NETWORKDAYS($Y471,TODAY(),Holidays)-1)&amp;" business day(s) late. Send now.",IF($T471="DUE TOMORROW","Next: "&amp;$Z471&amp;IF($Y471&lt;=TODAY()," is due TODAY ("," is due next business day (")&amp;TEXT($Y471,"dd-mmm")&amp;").","Next: "&amp;$Z471&amp;" due "&amp;TEXT($Y471,"dd-mmm")&amp;" ("&amp;(NETWORKDAYS(TODAY(),$Y471,Holidays)-1)&amp;" business day(s) left).")))))</f>
        <v/>
      </c>
      <c r="V471" s="17">
        <f>IF($W471="","",CHOOSE($W471,"Collection Email","1st Follow-up","2nd Follow-up","Local Office","CBE","Roxanne")&amp;IF($W471=6," - Final"," - Day "&amp;MAX(0,NETWORKDAYS($X471,TODAY(),Holidays)-1)&amp;" of "&amp;CHOOSE($W471,3,3,2,2,3))&amp;" | Total Day "&amp;MAX(0,NETWORKDAYS($L471,TODAY(),Holidays)-1))</f>
        <v/>
      </c>
      <c r="W471" s="17">
        <f>IF($L471="","",COUNT($L471:$Q471))</f>
        <v/>
      </c>
      <c r="X471" s="18">
        <f>IF($W471="","",INT(INDEX($L471:$Q471,$W471)))</f>
        <v/>
      </c>
      <c r="Y471" s="18">
        <f>IF(OR($W471="",$W471=6),"",WORKDAY($X471,CHOOSE($W471,3,3,2,2,3),Holidays))</f>
        <v/>
      </c>
      <c r="Z471" s="17">
        <f>IF(OR($W471="",$W471=6),"",CHOOSE($W471,"1st Email Follow-up","2nd Email Follow-up","Escalate Local Office","Escalate to CBE","Escalate to Roxanne"))</f>
        <v/>
      </c>
    </row>
    <row r="472" spans="18:26">
      <c r="R472" s="15"/>
      <c r="S472" s="16"/>
      <c r="T472" s="17">
        <f>IF(AND(COUNTA($A472:$K472)=0,$L472=""),"",IF($S472="Paid","PAID",IF($S472="Closed","CLOSED",IF($W472="","",IF($W472=6,"ESCALATED TO ROXANNE",IF(TODAY()&gt;$Y472,"OVERDUE",IF($Y472&lt;=WORKDAY(TODAY(),1,Holidays),"DUE TOMORROW",IF($W472=4,"ESCALATED TO LOCAL OFFICE",IF($W472=5,"ESCALATED TO CBE",IF($X472=TODAY(),"EMAIL SENT","MONITORING"))))))))))</f>
        <v/>
      </c>
      <c r="U472" s="17">
        <f>IF($T472="",IF(AND(COUNTA($A472:$K472)&gt;0,$L472=""),"Awaiting Collection Email time stamp.",""),IF(OR($T472="PAID",$T472="CLOSED"),IF($T472="PAID","Account paid. Action completed.","Account closed. No further action required."),CHOOSE($W472,"Collection Email","1st Email Follow-up","2nd Email Follow-up","Escalation to Local Office","Escalation to CBE","Escalation to Roxanne")&amp;" sent "&amp;TEXT($X472,"dd-mmm")&amp;". "&amp;IF($W472=6,"Final escalation completed.",IF($T472="OVERDUE","Next: "&amp;$Z472&amp;" was due "&amp;TEXT($Y472,"dd-mmm")&amp;" - "&amp;(NETWORKDAYS($Y472,TODAY(),Holidays)-1)&amp;" business day(s) late. Send now.",IF($T472="DUE TOMORROW","Next: "&amp;$Z472&amp;IF($Y472&lt;=TODAY()," is due TODAY ("," is due next business day (")&amp;TEXT($Y472,"dd-mmm")&amp;").","Next: "&amp;$Z472&amp;" due "&amp;TEXT($Y472,"dd-mmm")&amp;" ("&amp;(NETWORKDAYS(TODAY(),$Y472,Holidays)-1)&amp;" business day(s) left).")))))</f>
        <v/>
      </c>
      <c r="V472" s="17">
        <f>IF($W472="","",CHOOSE($W472,"Collection Email","1st Follow-up","2nd Follow-up","Local Office","CBE","Roxanne")&amp;IF($W472=6," - Final"," - Day "&amp;MAX(0,NETWORKDAYS($X472,TODAY(),Holidays)-1)&amp;" of "&amp;CHOOSE($W472,3,3,2,2,3))&amp;" | Total Day "&amp;MAX(0,NETWORKDAYS($L472,TODAY(),Holidays)-1))</f>
        <v/>
      </c>
      <c r="W472" s="17">
        <f>IF($L472="","",COUNT($L472:$Q472))</f>
        <v/>
      </c>
      <c r="X472" s="18">
        <f>IF($W472="","",INT(INDEX($L472:$Q472,$W472)))</f>
        <v/>
      </c>
      <c r="Y472" s="18">
        <f>IF(OR($W472="",$W472=6),"",WORKDAY($X472,CHOOSE($W472,3,3,2,2,3),Holidays))</f>
        <v/>
      </c>
      <c r="Z472" s="17">
        <f>IF(OR($W472="",$W472=6),"",CHOOSE($W472,"1st Email Follow-up","2nd Email Follow-up","Escalate Local Office","Escalate to CBE","Escalate to Roxanne"))</f>
        <v/>
      </c>
    </row>
    <row r="473" spans="18:26">
      <c r="R473" s="15"/>
      <c r="S473" s="16"/>
      <c r="T473" s="17">
        <f>IF(AND(COUNTA($A473:$K473)=0,$L473=""),"",IF($S473="Paid","PAID",IF($S473="Closed","CLOSED",IF($W473="","",IF($W473=6,"ESCALATED TO ROXANNE",IF(TODAY()&gt;$Y473,"OVERDUE",IF($Y473&lt;=WORKDAY(TODAY(),1,Holidays),"DUE TOMORROW",IF($W473=4,"ESCALATED TO LOCAL OFFICE",IF($W473=5,"ESCALATED TO CBE",IF($X473=TODAY(),"EMAIL SENT","MONITORING"))))))))))</f>
        <v/>
      </c>
      <c r="U473" s="17">
        <f>IF($T473="",IF(AND(COUNTA($A473:$K473)&gt;0,$L473=""),"Awaiting Collection Email time stamp.",""),IF(OR($T473="PAID",$T473="CLOSED"),IF($T473="PAID","Account paid. Action completed.","Account closed. No further action required."),CHOOSE($W473,"Collection Email","1st Email Follow-up","2nd Email Follow-up","Escalation to Local Office","Escalation to CBE","Escalation to Roxanne")&amp;" sent "&amp;TEXT($X473,"dd-mmm")&amp;". "&amp;IF($W473=6,"Final escalation completed.",IF($T473="OVERDUE","Next: "&amp;$Z473&amp;" was due "&amp;TEXT($Y473,"dd-mmm")&amp;" - "&amp;(NETWORKDAYS($Y473,TODAY(),Holidays)-1)&amp;" business day(s) late. Send now.",IF($T473="DUE TOMORROW","Next: "&amp;$Z473&amp;IF($Y473&lt;=TODAY()," is due TODAY ("," is due next business day (")&amp;TEXT($Y473,"dd-mmm")&amp;").","Next: "&amp;$Z473&amp;" due "&amp;TEXT($Y473,"dd-mmm")&amp;" ("&amp;(NETWORKDAYS(TODAY(),$Y473,Holidays)-1)&amp;" business day(s) left).")))))</f>
        <v/>
      </c>
      <c r="V473" s="17">
        <f>IF($W473="","",CHOOSE($W473,"Collection Email","1st Follow-up","2nd Follow-up","Local Office","CBE","Roxanne")&amp;IF($W473=6," - Final"," - Day "&amp;MAX(0,NETWORKDAYS($X473,TODAY(),Holidays)-1)&amp;" of "&amp;CHOOSE($W473,3,3,2,2,3))&amp;" | Total Day "&amp;MAX(0,NETWORKDAYS($L473,TODAY(),Holidays)-1))</f>
        <v/>
      </c>
      <c r="W473" s="17">
        <f>IF($L473="","",COUNT($L473:$Q473))</f>
        <v/>
      </c>
      <c r="X473" s="18">
        <f>IF($W473="","",INT(INDEX($L473:$Q473,$W473)))</f>
        <v/>
      </c>
      <c r="Y473" s="18">
        <f>IF(OR($W473="",$W473=6),"",WORKDAY($X473,CHOOSE($W473,3,3,2,2,3),Holidays))</f>
        <v/>
      </c>
      <c r="Z473" s="17">
        <f>IF(OR($W473="",$W473=6),"",CHOOSE($W473,"1st Email Follow-up","2nd Email Follow-up","Escalate Local Office","Escalate to CBE","Escalate to Roxanne"))</f>
        <v/>
      </c>
    </row>
    <row r="474" spans="18:26">
      <c r="R474" s="15"/>
      <c r="S474" s="16"/>
      <c r="T474" s="17">
        <f>IF(AND(COUNTA($A474:$K474)=0,$L474=""),"",IF($S474="Paid","PAID",IF($S474="Closed","CLOSED",IF($W474="","",IF($W474=6,"ESCALATED TO ROXANNE",IF(TODAY()&gt;$Y474,"OVERDUE",IF($Y474&lt;=WORKDAY(TODAY(),1,Holidays),"DUE TOMORROW",IF($W474=4,"ESCALATED TO LOCAL OFFICE",IF($W474=5,"ESCALATED TO CBE",IF($X474=TODAY(),"EMAIL SENT","MONITORING"))))))))))</f>
        <v/>
      </c>
      <c r="U474" s="17">
        <f>IF($T474="",IF(AND(COUNTA($A474:$K474)&gt;0,$L474=""),"Awaiting Collection Email time stamp.",""),IF(OR($T474="PAID",$T474="CLOSED"),IF($T474="PAID","Account paid. Action completed.","Account closed. No further action required."),CHOOSE($W474,"Collection Email","1st Email Follow-up","2nd Email Follow-up","Escalation to Local Office","Escalation to CBE","Escalation to Roxanne")&amp;" sent "&amp;TEXT($X474,"dd-mmm")&amp;". "&amp;IF($W474=6,"Final escalation completed.",IF($T474="OVERDUE","Next: "&amp;$Z474&amp;" was due "&amp;TEXT($Y474,"dd-mmm")&amp;" - "&amp;(NETWORKDAYS($Y474,TODAY(),Holidays)-1)&amp;" business day(s) late. Send now.",IF($T474="DUE TOMORROW","Next: "&amp;$Z474&amp;IF($Y474&lt;=TODAY()," is due TODAY ("," is due next business day (")&amp;TEXT($Y474,"dd-mmm")&amp;").","Next: "&amp;$Z474&amp;" due "&amp;TEXT($Y474,"dd-mmm")&amp;" ("&amp;(NETWORKDAYS(TODAY(),$Y474,Holidays)-1)&amp;" business day(s) left).")))))</f>
        <v/>
      </c>
      <c r="V474" s="17">
        <f>IF($W474="","",CHOOSE($W474,"Collection Email","1st Follow-up","2nd Follow-up","Local Office","CBE","Roxanne")&amp;IF($W474=6," - Final"," - Day "&amp;MAX(0,NETWORKDAYS($X474,TODAY(),Holidays)-1)&amp;" of "&amp;CHOOSE($W474,3,3,2,2,3))&amp;" | Total Day "&amp;MAX(0,NETWORKDAYS($L474,TODAY(),Holidays)-1))</f>
        <v/>
      </c>
      <c r="W474" s="17">
        <f>IF($L474="","",COUNT($L474:$Q474))</f>
        <v/>
      </c>
      <c r="X474" s="18">
        <f>IF($W474="","",INT(INDEX($L474:$Q474,$W474)))</f>
        <v/>
      </c>
      <c r="Y474" s="18">
        <f>IF(OR($W474="",$W474=6),"",WORKDAY($X474,CHOOSE($W474,3,3,2,2,3),Holidays))</f>
        <v/>
      </c>
      <c r="Z474" s="17">
        <f>IF(OR($W474="",$W474=6),"",CHOOSE($W474,"1st Email Follow-up","2nd Email Follow-up","Escalate Local Office","Escalate to CBE","Escalate to Roxanne"))</f>
        <v/>
      </c>
    </row>
    <row r="475" spans="18:26">
      <c r="R475" s="15"/>
      <c r="S475" s="16"/>
      <c r="T475" s="17">
        <f>IF(AND(COUNTA($A475:$K475)=0,$L475=""),"",IF($S475="Paid","PAID",IF($S475="Closed","CLOSED",IF($W475="","",IF($W475=6,"ESCALATED TO ROXANNE",IF(TODAY()&gt;$Y475,"OVERDUE",IF($Y475&lt;=WORKDAY(TODAY(),1,Holidays),"DUE TOMORROW",IF($W475=4,"ESCALATED TO LOCAL OFFICE",IF($W475=5,"ESCALATED TO CBE",IF($X475=TODAY(),"EMAIL SENT","MONITORING"))))))))))</f>
        <v/>
      </c>
      <c r="U475" s="17">
        <f>IF($T475="",IF(AND(COUNTA($A475:$K475)&gt;0,$L475=""),"Awaiting Collection Email time stamp.",""),IF(OR($T475="PAID",$T475="CLOSED"),IF($T475="PAID","Account paid. Action completed.","Account closed. No further action required."),CHOOSE($W475,"Collection Email","1st Email Follow-up","2nd Email Follow-up","Escalation to Local Office","Escalation to CBE","Escalation to Roxanne")&amp;" sent "&amp;TEXT($X475,"dd-mmm")&amp;". "&amp;IF($W475=6,"Final escalation completed.",IF($T475="OVERDUE","Next: "&amp;$Z475&amp;" was due "&amp;TEXT($Y475,"dd-mmm")&amp;" - "&amp;(NETWORKDAYS($Y475,TODAY(),Holidays)-1)&amp;" business day(s) late. Send now.",IF($T475="DUE TOMORROW","Next: "&amp;$Z475&amp;IF($Y475&lt;=TODAY()," is due TODAY ("," is due next business day (")&amp;TEXT($Y475,"dd-mmm")&amp;").","Next: "&amp;$Z475&amp;" due "&amp;TEXT($Y475,"dd-mmm")&amp;" ("&amp;(NETWORKDAYS(TODAY(),$Y475,Holidays)-1)&amp;" business day(s) left).")))))</f>
        <v/>
      </c>
      <c r="V475" s="17">
        <f>IF($W475="","",CHOOSE($W475,"Collection Email","1st Follow-up","2nd Follow-up","Local Office","CBE","Roxanne")&amp;IF($W475=6," - Final"," - Day "&amp;MAX(0,NETWORKDAYS($X475,TODAY(),Holidays)-1)&amp;" of "&amp;CHOOSE($W475,3,3,2,2,3))&amp;" | Total Day "&amp;MAX(0,NETWORKDAYS($L475,TODAY(),Holidays)-1))</f>
        <v/>
      </c>
      <c r="W475" s="17">
        <f>IF($L475="","",COUNT($L475:$Q475))</f>
        <v/>
      </c>
      <c r="X475" s="18">
        <f>IF($W475="","",INT(INDEX($L475:$Q475,$W475)))</f>
        <v/>
      </c>
      <c r="Y475" s="18">
        <f>IF(OR($W475="",$W475=6),"",WORKDAY($X475,CHOOSE($W475,3,3,2,2,3),Holidays))</f>
        <v/>
      </c>
      <c r="Z475" s="17">
        <f>IF(OR($W475="",$W475=6),"",CHOOSE($W475,"1st Email Follow-up","2nd Email Follow-up","Escalate Local Office","Escalate to CBE","Escalate to Roxanne"))</f>
        <v/>
      </c>
    </row>
    <row r="476" spans="18:26">
      <c r="R476" s="15"/>
      <c r="S476" s="16"/>
      <c r="T476" s="17">
        <f>IF(AND(COUNTA($A476:$K476)=0,$L476=""),"",IF($S476="Paid","PAID",IF($S476="Closed","CLOSED",IF($W476="","",IF($W476=6,"ESCALATED TO ROXANNE",IF(TODAY()&gt;$Y476,"OVERDUE",IF($Y476&lt;=WORKDAY(TODAY(),1,Holidays),"DUE TOMORROW",IF($W476=4,"ESCALATED TO LOCAL OFFICE",IF($W476=5,"ESCALATED TO CBE",IF($X476=TODAY(),"EMAIL SENT","MONITORING"))))))))))</f>
        <v/>
      </c>
      <c r="U476" s="17">
        <f>IF($T476="",IF(AND(COUNTA($A476:$K476)&gt;0,$L476=""),"Awaiting Collection Email time stamp.",""),IF(OR($T476="PAID",$T476="CLOSED"),IF($T476="PAID","Account paid. Action completed.","Account closed. No further action required."),CHOOSE($W476,"Collection Email","1st Email Follow-up","2nd Email Follow-up","Escalation to Local Office","Escalation to CBE","Escalation to Roxanne")&amp;" sent "&amp;TEXT($X476,"dd-mmm")&amp;". "&amp;IF($W476=6,"Final escalation completed.",IF($T476="OVERDUE","Next: "&amp;$Z476&amp;" was due "&amp;TEXT($Y476,"dd-mmm")&amp;" - "&amp;(NETWORKDAYS($Y476,TODAY(),Holidays)-1)&amp;" business day(s) late. Send now.",IF($T476="DUE TOMORROW","Next: "&amp;$Z476&amp;IF($Y476&lt;=TODAY()," is due TODAY ("," is due next business day (")&amp;TEXT($Y476,"dd-mmm")&amp;").","Next: "&amp;$Z476&amp;" due "&amp;TEXT($Y476,"dd-mmm")&amp;" ("&amp;(NETWORKDAYS(TODAY(),$Y476,Holidays)-1)&amp;" business day(s) left).")))))</f>
        <v/>
      </c>
      <c r="V476" s="17">
        <f>IF($W476="","",CHOOSE($W476,"Collection Email","1st Follow-up","2nd Follow-up","Local Office","CBE","Roxanne")&amp;IF($W476=6," - Final"," - Day "&amp;MAX(0,NETWORKDAYS($X476,TODAY(),Holidays)-1)&amp;" of "&amp;CHOOSE($W476,3,3,2,2,3))&amp;" | Total Day "&amp;MAX(0,NETWORKDAYS($L476,TODAY(),Holidays)-1))</f>
        <v/>
      </c>
      <c r="W476" s="17">
        <f>IF($L476="","",COUNT($L476:$Q476))</f>
        <v/>
      </c>
      <c r="X476" s="18">
        <f>IF($W476="","",INT(INDEX($L476:$Q476,$W476)))</f>
        <v/>
      </c>
      <c r="Y476" s="18">
        <f>IF(OR($W476="",$W476=6),"",WORKDAY($X476,CHOOSE($W476,3,3,2,2,3),Holidays))</f>
        <v/>
      </c>
      <c r="Z476" s="17">
        <f>IF(OR($W476="",$W476=6),"",CHOOSE($W476,"1st Email Follow-up","2nd Email Follow-up","Escalate Local Office","Escalate to CBE","Escalate to Roxanne"))</f>
        <v/>
      </c>
    </row>
    <row r="477" spans="18:26">
      <c r="R477" s="15"/>
      <c r="S477" s="16"/>
      <c r="T477" s="17">
        <f>IF(AND(COUNTA($A477:$K477)=0,$L477=""),"",IF($S477="Paid","PAID",IF($S477="Closed","CLOSED",IF($W477="","",IF($W477=6,"ESCALATED TO ROXANNE",IF(TODAY()&gt;$Y477,"OVERDUE",IF($Y477&lt;=WORKDAY(TODAY(),1,Holidays),"DUE TOMORROW",IF($W477=4,"ESCALATED TO LOCAL OFFICE",IF($W477=5,"ESCALATED TO CBE",IF($X477=TODAY(),"EMAIL SENT","MONITORING"))))))))))</f>
        <v/>
      </c>
      <c r="U477" s="17">
        <f>IF($T477="",IF(AND(COUNTA($A477:$K477)&gt;0,$L477=""),"Awaiting Collection Email time stamp.",""),IF(OR($T477="PAID",$T477="CLOSED"),IF($T477="PAID","Account paid. Action completed.","Account closed. No further action required."),CHOOSE($W477,"Collection Email","1st Email Follow-up","2nd Email Follow-up","Escalation to Local Office","Escalation to CBE","Escalation to Roxanne")&amp;" sent "&amp;TEXT($X477,"dd-mmm")&amp;". "&amp;IF($W477=6,"Final escalation completed.",IF($T477="OVERDUE","Next: "&amp;$Z477&amp;" was due "&amp;TEXT($Y477,"dd-mmm")&amp;" - "&amp;(NETWORKDAYS($Y477,TODAY(),Holidays)-1)&amp;" business day(s) late. Send now.",IF($T477="DUE TOMORROW","Next: "&amp;$Z477&amp;IF($Y477&lt;=TODAY()," is due TODAY ("," is due next business day (")&amp;TEXT($Y477,"dd-mmm")&amp;").","Next: "&amp;$Z477&amp;" due "&amp;TEXT($Y477,"dd-mmm")&amp;" ("&amp;(NETWORKDAYS(TODAY(),$Y477,Holidays)-1)&amp;" business day(s) left).")))))</f>
        <v/>
      </c>
      <c r="V477" s="17">
        <f>IF($W477="","",CHOOSE($W477,"Collection Email","1st Follow-up","2nd Follow-up","Local Office","CBE","Roxanne")&amp;IF($W477=6," - Final"," - Day "&amp;MAX(0,NETWORKDAYS($X477,TODAY(),Holidays)-1)&amp;" of "&amp;CHOOSE($W477,3,3,2,2,3))&amp;" | Total Day "&amp;MAX(0,NETWORKDAYS($L477,TODAY(),Holidays)-1))</f>
        <v/>
      </c>
      <c r="W477" s="17">
        <f>IF($L477="","",COUNT($L477:$Q477))</f>
        <v/>
      </c>
      <c r="X477" s="18">
        <f>IF($W477="","",INT(INDEX($L477:$Q477,$W477)))</f>
        <v/>
      </c>
      <c r="Y477" s="18">
        <f>IF(OR($W477="",$W477=6),"",WORKDAY($X477,CHOOSE($W477,3,3,2,2,3),Holidays))</f>
        <v/>
      </c>
      <c r="Z477" s="17">
        <f>IF(OR($W477="",$W477=6),"",CHOOSE($W477,"1st Email Follow-up","2nd Email Follow-up","Escalate Local Office","Escalate to CBE","Escalate to Roxanne"))</f>
        <v/>
      </c>
    </row>
    <row r="478" spans="18:26">
      <c r="R478" s="15"/>
      <c r="S478" s="16"/>
      <c r="T478" s="17">
        <f>IF(AND(COUNTA($A478:$K478)=0,$L478=""),"",IF($S478="Paid","PAID",IF($S478="Closed","CLOSED",IF($W478="","",IF($W478=6,"ESCALATED TO ROXANNE",IF(TODAY()&gt;$Y478,"OVERDUE",IF($Y478&lt;=WORKDAY(TODAY(),1,Holidays),"DUE TOMORROW",IF($W478=4,"ESCALATED TO LOCAL OFFICE",IF($W478=5,"ESCALATED TO CBE",IF($X478=TODAY(),"EMAIL SENT","MONITORING"))))))))))</f>
        <v/>
      </c>
      <c r="U478" s="17">
        <f>IF($T478="",IF(AND(COUNTA($A478:$K478)&gt;0,$L478=""),"Awaiting Collection Email time stamp.",""),IF(OR($T478="PAID",$T478="CLOSED"),IF($T478="PAID","Account paid. Action completed.","Account closed. No further action required."),CHOOSE($W478,"Collection Email","1st Email Follow-up","2nd Email Follow-up","Escalation to Local Office","Escalation to CBE","Escalation to Roxanne")&amp;" sent "&amp;TEXT($X478,"dd-mmm")&amp;". "&amp;IF($W478=6,"Final escalation completed.",IF($T478="OVERDUE","Next: "&amp;$Z478&amp;" was due "&amp;TEXT($Y478,"dd-mmm")&amp;" - "&amp;(NETWORKDAYS($Y478,TODAY(),Holidays)-1)&amp;" business day(s) late. Send now.",IF($T478="DUE TOMORROW","Next: "&amp;$Z478&amp;IF($Y478&lt;=TODAY()," is due TODAY ("," is due next business day (")&amp;TEXT($Y478,"dd-mmm")&amp;").","Next: "&amp;$Z478&amp;" due "&amp;TEXT($Y478,"dd-mmm")&amp;" ("&amp;(NETWORKDAYS(TODAY(),$Y478,Holidays)-1)&amp;" business day(s) left).")))))</f>
        <v/>
      </c>
      <c r="V478" s="17">
        <f>IF($W478="","",CHOOSE($W478,"Collection Email","1st Follow-up","2nd Follow-up","Local Office","CBE","Roxanne")&amp;IF($W478=6," - Final"," - Day "&amp;MAX(0,NETWORKDAYS($X478,TODAY(),Holidays)-1)&amp;" of "&amp;CHOOSE($W478,3,3,2,2,3))&amp;" | Total Day "&amp;MAX(0,NETWORKDAYS($L478,TODAY(),Holidays)-1))</f>
        <v/>
      </c>
      <c r="W478" s="17">
        <f>IF($L478="","",COUNT($L478:$Q478))</f>
        <v/>
      </c>
      <c r="X478" s="18">
        <f>IF($W478="","",INT(INDEX($L478:$Q478,$W478)))</f>
        <v/>
      </c>
      <c r="Y478" s="18">
        <f>IF(OR($W478="",$W478=6),"",WORKDAY($X478,CHOOSE($W478,3,3,2,2,3),Holidays))</f>
        <v/>
      </c>
      <c r="Z478" s="17">
        <f>IF(OR($W478="",$W478=6),"",CHOOSE($W478,"1st Email Follow-up","2nd Email Follow-up","Escalate Local Office","Escalate to CBE","Escalate to Roxanne"))</f>
        <v/>
      </c>
    </row>
    <row r="479" spans="18:26">
      <c r="R479" s="15"/>
      <c r="S479" s="16"/>
      <c r="T479" s="17">
        <f>IF(AND(COUNTA($A479:$K479)=0,$L479=""),"",IF($S479="Paid","PAID",IF($S479="Closed","CLOSED",IF($W479="","",IF($W479=6,"ESCALATED TO ROXANNE",IF(TODAY()&gt;$Y479,"OVERDUE",IF($Y479&lt;=WORKDAY(TODAY(),1,Holidays),"DUE TOMORROW",IF($W479=4,"ESCALATED TO LOCAL OFFICE",IF($W479=5,"ESCALATED TO CBE",IF($X479=TODAY(),"EMAIL SENT","MONITORING"))))))))))</f>
        <v/>
      </c>
      <c r="U479" s="17">
        <f>IF($T479="",IF(AND(COUNTA($A479:$K479)&gt;0,$L479=""),"Awaiting Collection Email time stamp.",""),IF(OR($T479="PAID",$T479="CLOSED"),IF($T479="PAID","Account paid. Action completed.","Account closed. No further action required."),CHOOSE($W479,"Collection Email","1st Email Follow-up","2nd Email Follow-up","Escalation to Local Office","Escalation to CBE","Escalation to Roxanne")&amp;" sent "&amp;TEXT($X479,"dd-mmm")&amp;". "&amp;IF($W479=6,"Final escalation completed.",IF($T479="OVERDUE","Next: "&amp;$Z479&amp;" was due "&amp;TEXT($Y479,"dd-mmm")&amp;" - "&amp;(NETWORKDAYS($Y479,TODAY(),Holidays)-1)&amp;" business day(s) late. Send now.",IF($T479="DUE TOMORROW","Next: "&amp;$Z479&amp;IF($Y479&lt;=TODAY()," is due TODAY ("," is due next business day (")&amp;TEXT($Y479,"dd-mmm")&amp;").","Next: "&amp;$Z479&amp;" due "&amp;TEXT($Y479,"dd-mmm")&amp;" ("&amp;(NETWORKDAYS(TODAY(),$Y479,Holidays)-1)&amp;" business day(s) left).")))))</f>
        <v/>
      </c>
      <c r="V479" s="17">
        <f>IF($W479="","",CHOOSE($W479,"Collection Email","1st Follow-up","2nd Follow-up","Local Office","CBE","Roxanne")&amp;IF($W479=6," - Final"," - Day "&amp;MAX(0,NETWORKDAYS($X479,TODAY(),Holidays)-1)&amp;" of "&amp;CHOOSE($W479,3,3,2,2,3))&amp;" | Total Day "&amp;MAX(0,NETWORKDAYS($L479,TODAY(),Holidays)-1))</f>
        <v/>
      </c>
      <c r="W479" s="17">
        <f>IF($L479="","",COUNT($L479:$Q479))</f>
        <v/>
      </c>
      <c r="X479" s="18">
        <f>IF($W479="","",INT(INDEX($L479:$Q479,$W479)))</f>
        <v/>
      </c>
      <c r="Y479" s="18">
        <f>IF(OR($W479="",$W479=6),"",WORKDAY($X479,CHOOSE($W479,3,3,2,2,3),Holidays))</f>
        <v/>
      </c>
      <c r="Z479" s="17">
        <f>IF(OR($W479="",$W479=6),"",CHOOSE($W479,"1st Email Follow-up","2nd Email Follow-up","Escalate Local Office","Escalate to CBE","Escalate to Roxanne"))</f>
        <v/>
      </c>
    </row>
    <row r="480" spans="18:26">
      <c r="R480" s="15"/>
      <c r="S480" s="16"/>
      <c r="T480" s="17">
        <f>IF(AND(COUNTA($A480:$K480)=0,$L480=""),"",IF($S480="Paid","PAID",IF($S480="Closed","CLOSED",IF($W480="","",IF($W480=6,"ESCALATED TO ROXANNE",IF(TODAY()&gt;$Y480,"OVERDUE",IF($Y480&lt;=WORKDAY(TODAY(),1,Holidays),"DUE TOMORROW",IF($W480=4,"ESCALATED TO LOCAL OFFICE",IF($W480=5,"ESCALATED TO CBE",IF($X480=TODAY(),"EMAIL SENT","MONITORING"))))))))))</f>
        <v/>
      </c>
      <c r="U480" s="17">
        <f>IF($T480="",IF(AND(COUNTA($A480:$K480)&gt;0,$L480=""),"Awaiting Collection Email time stamp.",""),IF(OR($T480="PAID",$T480="CLOSED"),IF($T480="PAID","Account paid. Action completed.","Account closed. No further action required."),CHOOSE($W480,"Collection Email","1st Email Follow-up","2nd Email Follow-up","Escalation to Local Office","Escalation to CBE","Escalation to Roxanne")&amp;" sent "&amp;TEXT($X480,"dd-mmm")&amp;". "&amp;IF($W480=6,"Final escalation completed.",IF($T480="OVERDUE","Next: "&amp;$Z480&amp;" was due "&amp;TEXT($Y480,"dd-mmm")&amp;" - "&amp;(NETWORKDAYS($Y480,TODAY(),Holidays)-1)&amp;" business day(s) late. Send now.",IF($T480="DUE TOMORROW","Next: "&amp;$Z480&amp;IF($Y480&lt;=TODAY()," is due TODAY ("," is due next business day (")&amp;TEXT($Y480,"dd-mmm")&amp;").","Next: "&amp;$Z480&amp;" due "&amp;TEXT($Y480,"dd-mmm")&amp;" ("&amp;(NETWORKDAYS(TODAY(),$Y480,Holidays)-1)&amp;" business day(s) left).")))))</f>
        <v/>
      </c>
      <c r="V480" s="17">
        <f>IF($W480="","",CHOOSE($W480,"Collection Email","1st Follow-up","2nd Follow-up","Local Office","CBE","Roxanne")&amp;IF($W480=6," - Final"," - Day "&amp;MAX(0,NETWORKDAYS($X480,TODAY(),Holidays)-1)&amp;" of "&amp;CHOOSE($W480,3,3,2,2,3))&amp;" | Total Day "&amp;MAX(0,NETWORKDAYS($L480,TODAY(),Holidays)-1))</f>
        <v/>
      </c>
      <c r="W480" s="17">
        <f>IF($L480="","",COUNT($L480:$Q480))</f>
        <v/>
      </c>
      <c r="X480" s="18">
        <f>IF($W480="","",INT(INDEX($L480:$Q480,$W480)))</f>
        <v/>
      </c>
      <c r="Y480" s="18">
        <f>IF(OR($W480="",$W480=6),"",WORKDAY($X480,CHOOSE($W480,3,3,2,2,3),Holidays))</f>
        <v/>
      </c>
      <c r="Z480" s="17">
        <f>IF(OR($W480="",$W480=6),"",CHOOSE($W480,"1st Email Follow-up","2nd Email Follow-up","Escalate Local Office","Escalate to CBE","Escalate to Roxanne"))</f>
        <v/>
      </c>
    </row>
    <row r="481" spans="18:26">
      <c r="R481" s="15"/>
      <c r="S481" s="16"/>
      <c r="T481" s="17">
        <f>IF(AND(COUNTA($A481:$K481)=0,$L481=""),"",IF($S481="Paid","PAID",IF($S481="Closed","CLOSED",IF($W481="","",IF($W481=6,"ESCALATED TO ROXANNE",IF(TODAY()&gt;$Y481,"OVERDUE",IF($Y481&lt;=WORKDAY(TODAY(),1,Holidays),"DUE TOMORROW",IF($W481=4,"ESCALATED TO LOCAL OFFICE",IF($W481=5,"ESCALATED TO CBE",IF($X481=TODAY(),"EMAIL SENT","MONITORING"))))))))))</f>
        <v/>
      </c>
      <c r="U481" s="17">
        <f>IF($T481="",IF(AND(COUNTA($A481:$K481)&gt;0,$L481=""),"Awaiting Collection Email time stamp.",""),IF(OR($T481="PAID",$T481="CLOSED"),IF($T481="PAID","Account paid. Action completed.","Account closed. No further action required."),CHOOSE($W481,"Collection Email","1st Email Follow-up","2nd Email Follow-up","Escalation to Local Office","Escalation to CBE","Escalation to Roxanne")&amp;" sent "&amp;TEXT($X481,"dd-mmm")&amp;". "&amp;IF($W481=6,"Final escalation completed.",IF($T481="OVERDUE","Next: "&amp;$Z481&amp;" was due "&amp;TEXT($Y481,"dd-mmm")&amp;" - "&amp;(NETWORKDAYS($Y481,TODAY(),Holidays)-1)&amp;" business day(s) late. Send now.",IF($T481="DUE TOMORROW","Next: "&amp;$Z481&amp;IF($Y481&lt;=TODAY()," is due TODAY ("," is due next business day (")&amp;TEXT($Y481,"dd-mmm")&amp;").","Next: "&amp;$Z481&amp;" due "&amp;TEXT($Y481,"dd-mmm")&amp;" ("&amp;(NETWORKDAYS(TODAY(),$Y481,Holidays)-1)&amp;" business day(s) left).")))))</f>
        <v/>
      </c>
      <c r="V481" s="17">
        <f>IF($W481="","",CHOOSE($W481,"Collection Email","1st Follow-up","2nd Follow-up","Local Office","CBE","Roxanne")&amp;IF($W481=6," - Final"," - Day "&amp;MAX(0,NETWORKDAYS($X481,TODAY(),Holidays)-1)&amp;" of "&amp;CHOOSE($W481,3,3,2,2,3))&amp;" | Total Day "&amp;MAX(0,NETWORKDAYS($L481,TODAY(),Holidays)-1))</f>
        <v/>
      </c>
      <c r="W481" s="17">
        <f>IF($L481="","",COUNT($L481:$Q481))</f>
        <v/>
      </c>
      <c r="X481" s="18">
        <f>IF($W481="","",INT(INDEX($L481:$Q481,$W481)))</f>
        <v/>
      </c>
      <c r="Y481" s="18">
        <f>IF(OR($W481="",$W481=6),"",WORKDAY($X481,CHOOSE($W481,3,3,2,2,3),Holidays))</f>
        <v/>
      </c>
      <c r="Z481" s="17">
        <f>IF(OR($W481="",$W481=6),"",CHOOSE($W481,"1st Email Follow-up","2nd Email Follow-up","Escalate Local Office","Escalate to CBE","Escalate to Roxanne"))</f>
        <v/>
      </c>
    </row>
    <row r="482" spans="18:26">
      <c r="R482" s="15"/>
      <c r="S482" s="16"/>
      <c r="T482" s="17">
        <f>IF(AND(COUNTA($A482:$K482)=0,$L482=""),"",IF($S482="Paid","PAID",IF($S482="Closed","CLOSED",IF($W482="","",IF($W482=6,"ESCALATED TO ROXANNE",IF(TODAY()&gt;$Y482,"OVERDUE",IF($Y482&lt;=WORKDAY(TODAY(),1,Holidays),"DUE TOMORROW",IF($W482=4,"ESCALATED TO LOCAL OFFICE",IF($W482=5,"ESCALATED TO CBE",IF($X482=TODAY(),"EMAIL SENT","MONITORING"))))))))))</f>
        <v/>
      </c>
      <c r="U482" s="17">
        <f>IF($T482="",IF(AND(COUNTA($A482:$K482)&gt;0,$L482=""),"Awaiting Collection Email time stamp.",""),IF(OR($T482="PAID",$T482="CLOSED"),IF($T482="PAID","Account paid. Action completed.","Account closed. No further action required."),CHOOSE($W482,"Collection Email","1st Email Follow-up","2nd Email Follow-up","Escalation to Local Office","Escalation to CBE","Escalation to Roxanne")&amp;" sent "&amp;TEXT($X482,"dd-mmm")&amp;". "&amp;IF($W482=6,"Final escalation completed.",IF($T482="OVERDUE","Next: "&amp;$Z482&amp;" was due "&amp;TEXT($Y482,"dd-mmm")&amp;" - "&amp;(NETWORKDAYS($Y482,TODAY(),Holidays)-1)&amp;" business day(s) late. Send now.",IF($T482="DUE TOMORROW","Next: "&amp;$Z482&amp;IF($Y482&lt;=TODAY()," is due TODAY ("," is due next business day (")&amp;TEXT($Y482,"dd-mmm")&amp;").","Next: "&amp;$Z482&amp;" due "&amp;TEXT($Y482,"dd-mmm")&amp;" ("&amp;(NETWORKDAYS(TODAY(),$Y482,Holidays)-1)&amp;" business day(s) left).")))))</f>
        <v/>
      </c>
      <c r="V482" s="17">
        <f>IF($W482="","",CHOOSE($W482,"Collection Email","1st Follow-up","2nd Follow-up","Local Office","CBE","Roxanne")&amp;IF($W482=6," - Final"," - Day "&amp;MAX(0,NETWORKDAYS($X482,TODAY(),Holidays)-1)&amp;" of "&amp;CHOOSE($W482,3,3,2,2,3))&amp;" | Total Day "&amp;MAX(0,NETWORKDAYS($L482,TODAY(),Holidays)-1))</f>
        <v/>
      </c>
      <c r="W482" s="17">
        <f>IF($L482="","",COUNT($L482:$Q482))</f>
        <v/>
      </c>
      <c r="X482" s="18">
        <f>IF($W482="","",INT(INDEX($L482:$Q482,$W482)))</f>
        <v/>
      </c>
      <c r="Y482" s="18">
        <f>IF(OR($W482="",$W482=6),"",WORKDAY($X482,CHOOSE($W482,3,3,2,2,3),Holidays))</f>
        <v/>
      </c>
      <c r="Z482" s="17">
        <f>IF(OR($W482="",$W482=6),"",CHOOSE($W482,"1st Email Follow-up","2nd Email Follow-up","Escalate Local Office","Escalate to CBE","Escalate to Roxanne"))</f>
        <v/>
      </c>
    </row>
    <row r="483" spans="18:26">
      <c r="R483" s="15"/>
      <c r="S483" s="16"/>
      <c r="T483" s="17">
        <f>IF(AND(COUNTA($A483:$K483)=0,$L483=""),"",IF($S483="Paid","PAID",IF($S483="Closed","CLOSED",IF($W483="","",IF($W483=6,"ESCALATED TO ROXANNE",IF(TODAY()&gt;$Y483,"OVERDUE",IF($Y483&lt;=WORKDAY(TODAY(),1,Holidays),"DUE TOMORROW",IF($W483=4,"ESCALATED TO LOCAL OFFICE",IF($W483=5,"ESCALATED TO CBE",IF($X483=TODAY(),"EMAIL SENT","MONITORING"))))))))))</f>
        <v/>
      </c>
      <c r="U483" s="17">
        <f>IF($T483="",IF(AND(COUNTA($A483:$K483)&gt;0,$L483=""),"Awaiting Collection Email time stamp.",""),IF(OR($T483="PAID",$T483="CLOSED"),IF($T483="PAID","Account paid. Action completed.","Account closed. No further action required."),CHOOSE($W483,"Collection Email","1st Email Follow-up","2nd Email Follow-up","Escalation to Local Office","Escalation to CBE","Escalation to Roxanne")&amp;" sent "&amp;TEXT($X483,"dd-mmm")&amp;". "&amp;IF($W483=6,"Final escalation completed.",IF($T483="OVERDUE","Next: "&amp;$Z483&amp;" was due "&amp;TEXT($Y483,"dd-mmm")&amp;" - "&amp;(NETWORKDAYS($Y483,TODAY(),Holidays)-1)&amp;" business day(s) late. Send now.",IF($T483="DUE TOMORROW","Next: "&amp;$Z483&amp;IF($Y483&lt;=TODAY()," is due TODAY ("," is due next business day (")&amp;TEXT($Y483,"dd-mmm")&amp;").","Next: "&amp;$Z483&amp;" due "&amp;TEXT($Y483,"dd-mmm")&amp;" ("&amp;(NETWORKDAYS(TODAY(),$Y483,Holidays)-1)&amp;" business day(s) left).")))))</f>
        <v/>
      </c>
      <c r="V483" s="17">
        <f>IF($W483="","",CHOOSE($W483,"Collection Email","1st Follow-up","2nd Follow-up","Local Office","CBE","Roxanne")&amp;IF($W483=6," - Final"," - Day "&amp;MAX(0,NETWORKDAYS($X483,TODAY(),Holidays)-1)&amp;" of "&amp;CHOOSE($W483,3,3,2,2,3))&amp;" | Total Day "&amp;MAX(0,NETWORKDAYS($L483,TODAY(),Holidays)-1))</f>
        <v/>
      </c>
      <c r="W483" s="17">
        <f>IF($L483="","",COUNT($L483:$Q483))</f>
        <v/>
      </c>
      <c r="X483" s="18">
        <f>IF($W483="","",INT(INDEX($L483:$Q483,$W483)))</f>
        <v/>
      </c>
      <c r="Y483" s="18">
        <f>IF(OR($W483="",$W483=6),"",WORKDAY($X483,CHOOSE($W483,3,3,2,2,3),Holidays))</f>
        <v/>
      </c>
      <c r="Z483" s="17">
        <f>IF(OR($W483="",$W483=6),"",CHOOSE($W483,"1st Email Follow-up","2nd Email Follow-up","Escalate Local Office","Escalate to CBE","Escalate to Roxanne"))</f>
        <v/>
      </c>
    </row>
    <row r="484" spans="18:26">
      <c r="R484" s="15"/>
      <c r="S484" s="16"/>
      <c r="T484" s="17">
        <f>IF(AND(COUNTA($A484:$K484)=0,$L484=""),"",IF($S484="Paid","PAID",IF($S484="Closed","CLOSED",IF($W484="","",IF($W484=6,"ESCALATED TO ROXANNE",IF(TODAY()&gt;$Y484,"OVERDUE",IF($Y484&lt;=WORKDAY(TODAY(),1,Holidays),"DUE TOMORROW",IF($W484=4,"ESCALATED TO LOCAL OFFICE",IF($W484=5,"ESCALATED TO CBE",IF($X484=TODAY(),"EMAIL SENT","MONITORING"))))))))))</f>
        <v/>
      </c>
      <c r="U484" s="17">
        <f>IF($T484="",IF(AND(COUNTA($A484:$K484)&gt;0,$L484=""),"Awaiting Collection Email time stamp.",""),IF(OR($T484="PAID",$T484="CLOSED"),IF($T484="PAID","Account paid. Action completed.","Account closed. No further action required."),CHOOSE($W484,"Collection Email","1st Email Follow-up","2nd Email Follow-up","Escalation to Local Office","Escalation to CBE","Escalation to Roxanne")&amp;" sent "&amp;TEXT($X484,"dd-mmm")&amp;". "&amp;IF($W484=6,"Final escalation completed.",IF($T484="OVERDUE","Next: "&amp;$Z484&amp;" was due "&amp;TEXT($Y484,"dd-mmm")&amp;" - "&amp;(NETWORKDAYS($Y484,TODAY(),Holidays)-1)&amp;" business day(s) late. Send now.",IF($T484="DUE TOMORROW","Next: "&amp;$Z484&amp;IF($Y484&lt;=TODAY()," is due TODAY ("," is due next business day (")&amp;TEXT($Y484,"dd-mmm")&amp;").","Next: "&amp;$Z484&amp;" due "&amp;TEXT($Y484,"dd-mmm")&amp;" ("&amp;(NETWORKDAYS(TODAY(),$Y484,Holidays)-1)&amp;" business day(s) left).")))))</f>
        <v/>
      </c>
      <c r="V484" s="17">
        <f>IF($W484="","",CHOOSE($W484,"Collection Email","1st Follow-up","2nd Follow-up","Local Office","CBE","Roxanne")&amp;IF($W484=6," - Final"," - Day "&amp;MAX(0,NETWORKDAYS($X484,TODAY(),Holidays)-1)&amp;" of "&amp;CHOOSE($W484,3,3,2,2,3))&amp;" | Total Day "&amp;MAX(0,NETWORKDAYS($L484,TODAY(),Holidays)-1))</f>
        <v/>
      </c>
      <c r="W484" s="17">
        <f>IF($L484="","",COUNT($L484:$Q484))</f>
        <v/>
      </c>
      <c r="X484" s="18">
        <f>IF($W484="","",INT(INDEX($L484:$Q484,$W484)))</f>
        <v/>
      </c>
      <c r="Y484" s="18">
        <f>IF(OR($W484="",$W484=6),"",WORKDAY($X484,CHOOSE($W484,3,3,2,2,3),Holidays))</f>
        <v/>
      </c>
      <c r="Z484" s="17">
        <f>IF(OR($W484="",$W484=6),"",CHOOSE($W484,"1st Email Follow-up","2nd Email Follow-up","Escalate Local Office","Escalate to CBE","Escalate to Roxanne"))</f>
        <v/>
      </c>
    </row>
    <row r="485" spans="18:26">
      <c r="R485" s="15"/>
      <c r="S485" s="16"/>
      <c r="T485" s="17">
        <f>IF(AND(COUNTA($A485:$K485)=0,$L485=""),"",IF($S485="Paid","PAID",IF($S485="Closed","CLOSED",IF($W485="","",IF($W485=6,"ESCALATED TO ROXANNE",IF(TODAY()&gt;$Y485,"OVERDUE",IF($Y485&lt;=WORKDAY(TODAY(),1,Holidays),"DUE TOMORROW",IF($W485=4,"ESCALATED TO LOCAL OFFICE",IF($W485=5,"ESCALATED TO CBE",IF($X485=TODAY(),"EMAIL SENT","MONITORING"))))))))))</f>
        <v/>
      </c>
      <c r="U485" s="17">
        <f>IF($T485="",IF(AND(COUNTA($A485:$K485)&gt;0,$L485=""),"Awaiting Collection Email time stamp.",""),IF(OR($T485="PAID",$T485="CLOSED"),IF($T485="PAID","Account paid. Action completed.","Account closed. No further action required."),CHOOSE($W485,"Collection Email","1st Email Follow-up","2nd Email Follow-up","Escalation to Local Office","Escalation to CBE","Escalation to Roxanne")&amp;" sent "&amp;TEXT($X485,"dd-mmm")&amp;". "&amp;IF($W485=6,"Final escalation completed.",IF($T485="OVERDUE","Next: "&amp;$Z485&amp;" was due "&amp;TEXT($Y485,"dd-mmm")&amp;" - "&amp;(NETWORKDAYS($Y485,TODAY(),Holidays)-1)&amp;" business day(s) late. Send now.",IF($T485="DUE TOMORROW","Next: "&amp;$Z485&amp;IF($Y485&lt;=TODAY()," is due TODAY ("," is due next business day (")&amp;TEXT($Y485,"dd-mmm")&amp;").","Next: "&amp;$Z485&amp;" due "&amp;TEXT($Y485,"dd-mmm")&amp;" ("&amp;(NETWORKDAYS(TODAY(),$Y485,Holidays)-1)&amp;" business day(s) left).")))))</f>
        <v/>
      </c>
      <c r="V485" s="17">
        <f>IF($W485="","",CHOOSE($W485,"Collection Email","1st Follow-up","2nd Follow-up","Local Office","CBE","Roxanne")&amp;IF($W485=6," - Final"," - Day "&amp;MAX(0,NETWORKDAYS($X485,TODAY(),Holidays)-1)&amp;" of "&amp;CHOOSE($W485,3,3,2,2,3))&amp;" | Total Day "&amp;MAX(0,NETWORKDAYS($L485,TODAY(),Holidays)-1))</f>
        <v/>
      </c>
      <c r="W485" s="17">
        <f>IF($L485="","",COUNT($L485:$Q485))</f>
        <v/>
      </c>
      <c r="X485" s="18">
        <f>IF($W485="","",INT(INDEX($L485:$Q485,$W485)))</f>
        <v/>
      </c>
      <c r="Y485" s="18">
        <f>IF(OR($W485="",$W485=6),"",WORKDAY($X485,CHOOSE($W485,3,3,2,2,3),Holidays))</f>
        <v/>
      </c>
      <c r="Z485" s="17">
        <f>IF(OR($W485="",$W485=6),"",CHOOSE($W485,"1st Email Follow-up","2nd Email Follow-up","Escalate Local Office","Escalate to CBE","Escalate to Roxanne"))</f>
        <v/>
      </c>
    </row>
    <row r="486" spans="18:26">
      <c r="R486" s="15"/>
      <c r="S486" s="16"/>
      <c r="T486" s="17">
        <f>IF(AND(COUNTA($A486:$K486)=0,$L486=""),"",IF($S486="Paid","PAID",IF($S486="Closed","CLOSED",IF($W486="","",IF($W486=6,"ESCALATED TO ROXANNE",IF(TODAY()&gt;$Y486,"OVERDUE",IF($Y486&lt;=WORKDAY(TODAY(),1,Holidays),"DUE TOMORROW",IF($W486=4,"ESCALATED TO LOCAL OFFICE",IF($W486=5,"ESCALATED TO CBE",IF($X486=TODAY(),"EMAIL SENT","MONITORING"))))))))))</f>
        <v/>
      </c>
      <c r="U486" s="17">
        <f>IF($T486="",IF(AND(COUNTA($A486:$K486)&gt;0,$L486=""),"Awaiting Collection Email time stamp.",""),IF(OR($T486="PAID",$T486="CLOSED"),IF($T486="PAID","Account paid. Action completed.","Account closed. No further action required."),CHOOSE($W486,"Collection Email","1st Email Follow-up","2nd Email Follow-up","Escalation to Local Office","Escalation to CBE","Escalation to Roxanne")&amp;" sent "&amp;TEXT($X486,"dd-mmm")&amp;". "&amp;IF($W486=6,"Final escalation completed.",IF($T486="OVERDUE","Next: "&amp;$Z486&amp;" was due "&amp;TEXT($Y486,"dd-mmm")&amp;" - "&amp;(NETWORKDAYS($Y486,TODAY(),Holidays)-1)&amp;" business day(s) late. Send now.",IF($T486="DUE TOMORROW","Next: "&amp;$Z486&amp;IF($Y486&lt;=TODAY()," is due TODAY ("," is due next business day (")&amp;TEXT($Y486,"dd-mmm")&amp;").","Next: "&amp;$Z486&amp;" due "&amp;TEXT($Y486,"dd-mmm")&amp;" ("&amp;(NETWORKDAYS(TODAY(),$Y486,Holidays)-1)&amp;" business day(s) left).")))))</f>
        <v/>
      </c>
      <c r="V486" s="17">
        <f>IF($W486="","",CHOOSE($W486,"Collection Email","1st Follow-up","2nd Follow-up","Local Office","CBE","Roxanne")&amp;IF($W486=6," - Final"," - Day "&amp;MAX(0,NETWORKDAYS($X486,TODAY(),Holidays)-1)&amp;" of "&amp;CHOOSE($W486,3,3,2,2,3))&amp;" | Total Day "&amp;MAX(0,NETWORKDAYS($L486,TODAY(),Holidays)-1))</f>
        <v/>
      </c>
      <c r="W486" s="17">
        <f>IF($L486="","",COUNT($L486:$Q486))</f>
        <v/>
      </c>
      <c r="X486" s="18">
        <f>IF($W486="","",INT(INDEX($L486:$Q486,$W486)))</f>
        <v/>
      </c>
      <c r="Y486" s="18">
        <f>IF(OR($W486="",$W486=6),"",WORKDAY($X486,CHOOSE($W486,3,3,2,2,3),Holidays))</f>
        <v/>
      </c>
      <c r="Z486" s="17">
        <f>IF(OR($W486="",$W486=6),"",CHOOSE($W486,"1st Email Follow-up","2nd Email Follow-up","Escalate Local Office","Escalate to CBE","Escalate to Roxanne"))</f>
        <v/>
      </c>
    </row>
    <row r="487" spans="18:26">
      <c r="R487" s="15"/>
      <c r="S487" s="16"/>
      <c r="T487" s="17">
        <f>IF(AND(COUNTA($A487:$K487)=0,$L487=""),"",IF($S487="Paid","PAID",IF($S487="Closed","CLOSED",IF($W487="","",IF($W487=6,"ESCALATED TO ROXANNE",IF(TODAY()&gt;$Y487,"OVERDUE",IF($Y487&lt;=WORKDAY(TODAY(),1,Holidays),"DUE TOMORROW",IF($W487=4,"ESCALATED TO LOCAL OFFICE",IF($W487=5,"ESCALATED TO CBE",IF($X487=TODAY(),"EMAIL SENT","MONITORING"))))))))))</f>
        <v/>
      </c>
      <c r="U487" s="17">
        <f>IF($T487="",IF(AND(COUNTA($A487:$K487)&gt;0,$L487=""),"Awaiting Collection Email time stamp.",""),IF(OR($T487="PAID",$T487="CLOSED"),IF($T487="PAID","Account paid. Action completed.","Account closed. No further action required."),CHOOSE($W487,"Collection Email","1st Email Follow-up","2nd Email Follow-up","Escalation to Local Office","Escalation to CBE","Escalation to Roxanne")&amp;" sent "&amp;TEXT($X487,"dd-mmm")&amp;". "&amp;IF($W487=6,"Final escalation completed.",IF($T487="OVERDUE","Next: "&amp;$Z487&amp;" was due "&amp;TEXT($Y487,"dd-mmm")&amp;" - "&amp;(NETWORKDAYS($Y487,TODAY(),Holidays)-1)&amp;" business day(s) late. Send now.",IF($T487="DUE TOMORROW","Next: "&amp;$Z487&amp;IF($Y487&lt;=TODAY()," is due TODAY ("," is due next business day (")&amp;TEXT($Y487,"dd-mmm")&amp;").","Next: "&amp;$Z487&amp;" due "&amp;TEXT($Y487,"dd-mmm")&amp;" ("&amp;(NETWORKDAYS(TODAY(),$Y487,Holidays)-1)&amp;" business day(s) left).")))))</f>
        <v/>
      </c>
      <c r="V487" s="17">
        <f>IF($W487="","",CHOOSE($W487,"Collection Email","1st Follow-up","2nd Follow-up","Local Office","CBE","Roxanne")&amp;IF($W487=6," - Final"," - Day "&amp;MAX(0,NETWORKDAYS($X487,TODAY(),Holidays)-1)&amp;" of "&amp;CHOOSE($W487,3,3,2,2,3))&amp;" | Total Day "&amp;MAX(0,NETWORKDAYS($L487,TODAY(),Holidays)-1))</f>
        <v/>
      </c>
      <c r="W487" s="17">
        <f>IF($L487="","",COUNT($L487:$Q487))</f>
        <v/>
      </c>
      <c r="X487" s="18">
        <f>IF($W487="","",INT(INDEX($L487:$Q487,$W487)))</f>
        <v/>
      </c>
      <c r="Y487" s="18">
        <f>IF(OR($W487="",$W487=6),"",WORKDAY($X487,CHOOSE($W487,3,3,2,2,3),Holidays))</f>
        <v/>
      </c>
      <c r="Z487" s="17">
        <f>IF(OR($W487="",$W487=6),"",CHOOSE($W487,"1st Email Follow-up","2nd Email Follow-up","Escalate Local Office","Escalate to CBE","Escalate to Roxanne"))</f>
        <v/>
      </c>
    </row>
    <row r="488" spans="18:26">
      <c r="R488" s="15"/>
      <c r="S488" s="16"/>
      <c r="T488" s="17">
        <f>IF(AND(COUNTA($A488:$K488)=0,$L488=""),"",IF($S488="Paid","PAID",IF($S488="Closed","CLOSED",IF($W488="","",IF($W488=6,"ESCALATED TO ROXANNE",IF(TODAY()&gt;$Y488,"OVERDUE",IF($Y488&lt;=WORKDAY(TODAY(),1,Holidays),"DUE TOMORROW",IF($W488=4,"ESCALATED TO LOCAL OFFICE",IF($W488=5,"ESCALATED TO CBE",IF($X488=TODAY(),"EMAIL SENT","MONITORING"))))))))))</f>
        <v/>
      </c>
      <c r="U488" s="17">
        <f>IF($T488="",IF(AND(COUNTA($A488:$K488)&gt;0,$L488=""),"Awaiting Collection Email time stamp.",""),IF(OR($T488="PAID",$T488="CLOSED"),IF($T488="PAID","Account paid. Action completed.","Account closed. No further action required."),CHOOSE($W488,"Collection Email","1st Email Follow-up","2nd Email Follow-up","Escalation to Local Office","Escalation to CBE","Escalation to Roxanne")&amp;" sent "&amp;TEXT($X488,"dd-mmm")&amp;". "&amp;IF($W488=6,"Final escalation completed.",IF($T488="OVERDUE","Next: "&amp;$Z488&amp;" was due "&amp;TEXT($Y488,"dd-mmm")&amp;" - "&amp;(NETWORKDAYS($Y488,TODAY(),Holidays)-1)&amp;" business day(s) late. Send now.",IF($T488="DUE TOMORROW","Next: "&amp;$Z488&amp;IF($Y488&lt;=TODAY()," is due TODAY ("," is due next business day (")&amp;TEXT($Y488,"dd-mmm")&amp;").","Next: "&amp;$Z488&amp;" due "&amp;TEXT($Y488,"dd-mmm")&amp;" ("&amp;(NETWORKDAYS(TODAY(),$Y488,Holidays)-1)&amp;" business day(s) left).")))))</f>
        <v/>
      </c>
      <c r="V488" s="17">
        <f>IF($W488="","",CHOOSE($W488,"Collection Email","1st Follow-up","2nd Follow-up","Local Office","CBE","Roxanne")&amp;IF($W488=6," - Final"," - Day "&amp;MAX(0,NETWORKDAYS($X488,TODAY(),Holidays)-1)&amp;" of "&amp;CHOOSE($W488,3,3,2,2,3))&amp;" | Total Day "&amp;MAX(0,NETWORKDAYS($L488,TODAY(),Holidays)-1))</f>
        <v/>
      </c>
      <c r="W488" s="17">
        <f>IF($L488="","",COUNT($L488:$Q488))</f>
        <v/>
      </c>
      <c r="X488" s="18">
        <f>IF($W488="","",INT(INDEX($L488:$Q488,$W488)))</f>
        <v/>
      </c>
      <c r="Y488" s="18">
        <f>IF(OR($W488="",$W488=6),"",WORKDAY($X488,CHOOSE($W488,3,3,2,2,3),Holidays))</f>
        <v/>
      </c>
      <c r="Z488" s="17">
        <f>IF(OR($W488="",$W488=6),"",CHOOSE($W488,"1st Email Follow-up","2nd Email Follow-up","Escalate Local Office","Escalate to CBE","Escalate to Roxanne"))</f>
        <v/>
      </c>
    </row>
    <row r="489" spans="18:26">
      <c r="R489" s="15"/>
      <c r="S489" s="16"/>
      <c r="T489" s="17">
        <f>IF(AND(COUNTA($A489:$K489)=0,$L489=""),"",IF($S489="Paid","PAID",IF($S489="Closed","CLOSED",IF($W489="","",IF($W489=6,"ESCALATED TO ROXANNE",IF(TODAY()&gt;$Y489,"OVERDUE",IF($Y489&lt;=WORKDAY(TODAY(),1,Holidays),"DUE TOMORROW",IF($W489=4,"ESCALATED TO LOCAL OFFICE",IF($W489=5,"ESCALATED TO CBE",IF($X489=TODAY(),"EMAIL SENT","MONITORING"))))))))))</f>
        <v/>
      </c>
      <c r="U489" s="17">
        <f>IF($T489="",IF(AND(COUNTA($A489:$K489)&gt;0,$L489=""),"Awaiting Collection Email time stamp.",""),IF(OR($T489="PAID",$T489="CLOSED"),IF($T489="PAID","Account paid. Action completed.","Account closed. No further action required."),CHOOSE($W489,"Collection Email","1st Email Follow-up","2nd Email Follow-up","Escalation to Local Office","Escalation to CBE","Escalation to Roxanne")&amp;" sent "&amp;TEXT($X489,"dd-mmm")&amp;". "&amp;IF($W489=6,"Final escalation completed.",IF($T489="OVERDUE","Next: "&amp;$Z489&amp;" was due "&amp;TEXT($Y489,"dd-mmm")&amp;" - "&amp;(NETWORKDAYS($Y489,TODAY(),Holidays)-1)&amp;" business day(s) late. Send now.",IF($T489="DUE TOMORROW","Next: "&amp;$Z489&amp;IF($Y489&lt;=TODAY()," is due TODAY ("," is due next business day (")&amp;TEXT($Y489,"dd-mmm")&amp;").","Next: "&amp;$Z489&amp;" due "&amp;TEXT($Y489,"dd-mmm")&amp;" ("&amp;(NETWORKDAYS(TODAY(),$Y489,Holidays)-1)&amp;" business day(s) left).")))))</f>
        <v/>
      </c>
      <c r="V489" s="17">
        <f>IF($W489="","",CHOOSE($W489,"Collection Email","1st Follow-up","2nd Follow-up","Local Office","CBE","Roxanne")&amp;IF($W489=6," - Final"," - Day "&amp;MAX(0,NETWORKDAYS($X489,TODAY(),Holidays)-1)&amp;" of "&amp;CHOOSE($W489,3,3,2,2,3))&amp;" | Total Day "&amp;MAX(0,NETWORKDAYS($L489,TODAY(),Holidays)-1))</f>
        <v/>
      </c>
      <c r="W489" s="17">
        <f>IF($L489="","",COUNT($L489:$Q489))</f>
        <v/>
      </c>
      <c r="X489" s="18">
        <f>IF($W489="","",INT(INDEX($L489:$Q489,$W489)))</f>
        <v/>
      </c>
      <c r="Y489" s="18">
        <f>IF(OR($W489="",$W489=6),"",WORKDAY($X489,CHOOSE($W489,3,3,2,2,3),Holidays))</f>
        <v/>
      </c>
      <c r="Z489" s="17">
        <f>IF(OR($W489="",$W489=6),"",CHOOSE($W489,"1st Email Follow-up","2nd Email Follow-up","Escalate Local Office","Escalate to CBE","Escalate to Roxanne"))</f>
        <v/>
      </c>
    </row>
    <row r="490" spans="18:26">
      <c r="R490" s="15"/>
      <c r="S490" s="16"/>
      <c r="T490" s="17">
        <f>IF(AND(COUNTA($A490:$K490)=0,$L490=""),"",IF($S490="Paid","PAID",IF($S490="Closed","CLOSED",IF($W490="","",IF($W490=6,"ESCALATED TO ROXANNE",IF(TODAY()&gt;$Y490,"OVERDUE",IF($Y490&lt;=WORKDAY(TODAY(),1,Holidays),"DUE TOMORROW",IF($W490=4,"ESCALATED TO LOCAL OFFICE",IF($W490=5,"ESCALATED TO CBE",IF($X490=TODAY(),"EMAIL SENT","MONITORING"))))))))))</f>
        <v/>
      </c>
      <c r="U490" s="17">
        <f>IF($T490="",IF(AND(COUNTA($A490:$K490)&gt;0,$L490=""),"Awaiting Collection Email time stamp.",""),IF(OR($T490="PAID",$T490="CLOSED"),IF($T490="PAID","Account paid. Action completed.","Account closed. No further action required."),CHOOSE($W490,"Collection Email","1st Email Follow-up","2nd Email Follow-up","Escalation to Local Office","Escalation to CBE","Escalation to Roxanne")&amp;" sent "&amp;TEXT($X490,"dd-mmm")&amp;". "&amp;IF($W490=6,"Final escalation completed.",IF($T490="OVERDUE","Next: "&amp;$Z490&amp;" was due "&amp;TEXT($Y490,"dd-mmm")&amp;" - "&amp;(NETWORKDAYS($Y490,TODAY(),Holidays)-1)&amp;" business day(s) late. Send now.",IF($T490="DUE TOMORROW","Next: "&amp;$Z490&amp;IF($Y490&lt;=TODAY()," is due TODAY ("," is due next business day (")&amp;TEXT($Y490,"dd-mmm")&amp;").","Next: "&amp;$Z490&amp;" due "&amp;TEXT($Y490,"dd-mmm")&amp;" ("&amp;(NETWORKDAYS(TODAY(),$Y490,Holidays)-1)&amp;" business day(s) left).")))))</f>
        <v/>
      </c>
      <c r="V490" s="17">
        <f>IF($W490="","",CHOOSE($W490,"Collection Email","1st Follow-up","2nd Follow-up","Local Office","CBE","Roxanne")&amp;IF($W490=6," - Final"," - Day "&amp;MAX(0,NETWORKDAYS($X490,TODAY(),Holidays)-1)&amp;" of "&amp;CHOOSE($W490,3,3,2,2,3))&amp;" | Total Day "&amp;MAX(0,NETWORKDAYS($L490,TODAY(),Holidays)-1))</f>
        <v/>
      </c>
      <c r="W490" s="17">
        <f>IF($L490="","",COUNT($L490:$Q490))</f>
        <v/>
      </c>
      <c r="X490" s="18">
        <f>IF($W490="","",INT(INDEX($L490:$Q490,$W490)))</f>
        <v/>
      </c>
      <c r="Y490" s="18">
        <f>IF(OR($W490="",$W490=6),"",WORKDAY($X490,CHOOSE($W490,3,3,2,2,3),Holidays))</f>
        <v/>
      </c>
      <c r="Z490" s="17">
        <f>IF(OR($W490="",$W490=6),"",CHOOSE($W490,"1st Email Follow-up","2nd Email Follow-up","Escalate Local Office","Escalate to CBE","Escalate to Roxanne"))</f>
        <v/>
      </c>
    </row>
    <row r="491" spans="18:26">
      <c r="R491" s="15"/>
      <c r="S491" s="16"/>
      <c r="T491" s="17">
        <f>IF(AND(COUNTA($A491:$K491)=0,$L491=""),"",IF($S491="Paid","PAID",IF($S491="Closed","CLOSED",IF($W491="","",IF($W491=6,"ESCALATED TO ROXANNE",IF(TODAY()&gt;$Y491,"OVERDUE",IF($Y491&lt;=WORKDAY(TODAY(),1,Holidays),"DUE TOMORROW",IF($W491=4,"ESCALATED TO LOCAL OFFICE",IF($W491=5,"ESCALATED TO CBE",IF($X491=TODAY(),"EMAIL SENT","MONITORING"))))))))))</f>
        <v/>
      </c>
      <c r="U491" s="17">
        <f>IF($T491="",IF(AND(COUNTA($A491:$K491)&gt;0,$L491=""),"Awaiting Collection Email time stamp.",""),IF(OR($T491="PAID",$T491="CLOSED"),IF($T491="PAID","Account paid. Action completed.","Account closed. No further action required."),CHOOSE($W491,"Collection Email","1st Email Follow-up","2nd Email Follow-up","Escalation to Local Office","Escalation to CBE","Escalation to Roxanne")&amp;" sent "&amp;TEXT($X491,"dd-mmm")&amp;". "&amp;IF($W491=6,"Final escalation completed.",IF($T491="OVERDUE","Next: "&amp;$Z491&amp;" was due "&amp;TEXT($Y491,"dd-mmm")&amp;" - "&amp;(NETWORKDAYS($Y491,TODAY(),Holidays)-1)&amp;" business day(s) late. Send now.",IF($T491="DUE TOMORROW","Next: "&amp;$Z491&amp;IF($Y491&lt;=TODAY()," is due TODAY ("," is due next business day (")&amp;TEXT($Y491,"dd-mmm")&amp;").","Next: "&amp;$Z491&amp;" due "&amp;TEXT($Y491,"dd-mmm")&amp;" ("&amp;(NETWORKDAYS(TODAY(),$Y491,Holidays)-1)&amp;" business day(s) left).")))))</f>
        <v/>
      </c>
      <c r="V491" s="17">
        <f>IF($W491="","",CHOOSE($W491,"Collection Email","1st Follow-up","2nd Follow-up","Local Office","CBE","Roxanne")&amp;IF($W491=6," - Final"," - Day "&amp;MAX(0,NETWORKDAYS($X491,TODAY(),Holidays)-1)&amp;" of "&amp;CHOOSE($W491,3,3,2,2,3))&amp;" | Total Day "&amp;MAX(0,NETWORKDAYS($L491,TODAY(),Holidays)-1))</f>
        <v/>
      </c>
      <c r="W491" s="17">
        <f>IF($L491="","",COUNT($L491:$Q491))</f>
        <v/>
      </c>
      <c r="X491" s="18">
        <f>IF($W491="","",INT(INDEX($L491:$Q491,$W491)))</f>
        <v/>
      </c>
      <c r="Y491" s="18">
        <f>IF(OR($W491="",$W491=6),"",WORKDAY($X491,CHOOSE($W491,3,3,2,2,3),Holidays))</f>
        <v/>
      </c>
      <c r="Z491" s="17">
        <f>IF(OR($W491="",$W491=6),"",CHOOSE($W491,"1st Email Follow-up","2nd Email Follow-up","Escalate Local Office","Escalate to CBE","Escalate to Roxanne"))</f>
        <v/>
      </c>
    </row>
    <row r="492" spans="18:26">
      <c r="R492" s="15"/>
      <c r="S492" s="16"/>
      <c r="T492" s="17">
        <f>IF(AND(COUNTA($A492:$K492)=0,$L492=""),"",IF($S492="Paid","PAID",IF($S492="Closed","CLOSED",IF($W492="","",IF($W492=6,"ESCALATED TO ROXANNE",IF(TODAY()&gt;$Y492,"OVERDUE",IF($Y492&lt;=WORKDAY(TODAY(),1,Holidays),"DUE TOMORROW",IF($W492=4,"ESCALATED TO LOCAL OFFICE",IF($W492=5,"ESCALATED TO CBE",IF($X492=TODAY(),"EMAIL SENT","MONITORING"))))))))))</f>
        <v/>
      </c>
      <c r="U492" s="17">
        <f>IF($T492="",IF(AND(COUNTA($A492:$K492)&gt;0,$L492=""),"Awaiting Collection Email time stamp.",""),IF(OR($T492="PAID",$T492="CLOSED"),IF($T492="PAID","Account paid. Action completed.","Account closed. No further action required."),CHOOSE($W492,"Collection Email","1st Email Follow-up","2nd Email Follow-up","Escalation to Local Office","Escalation to CBE","Escalation to Roxanne")&amp;" sent "&amp;TEXT($X492,"dd-mmm")&amp;". "&amp;IF($W492=6,"Final escalation completed.",IF($T492="OVERDUE","Next: "&amp;$Z492&amp;" was due "&amp;TEXT($Y492,"dd-mmm")&amp;" - "&amp;(NETWORKDAYS($Y492,TODAY(),Holidays)-1)&amp;" business day(s) late. Send now.",IF($T492="DUE TOMORROW","Next: "&amp;$Z492&amp;IF($Y492&lt;=TODAY()," is due TODAY ("," is due next business day (")&amp;TEXT($Y492,"dd-mmm")&amp;").","Next: "&amp;$Z492&amp;" due "&amp;TEXT($Y492,"dd-mmm")&amp;" ("&amp;(NETWORKDAYS(TODAY(),$Y492,Holidays)-1)&amp;" business day(s) left).")))))</f>
        <v/>
      </c>
      <c r="V492" s="17">
        <f>IF($W492="","",CHOOSE($W492,"Collection Email","1st Follow-up","2nd Follow-up","Local Office","CBE","Roxanne")&amp;IF($W492=6," - Final"," - Day "&amp;MAX(0,NETWORKDAYS($X492,TODAY(),Holidays)-1)&amp;" of "&amp;CHOOSE($W492,3,3,2,2,3))&amp;" | Total Day "&amp;MAX(0,NETWORKDAYS($L492,TODAY(),Holidays)-1))</f>
        <v/>
      </c>
      <c r="W492" s="17">
        <f>IF($L492="","",COUNT($L492:$Q492))</f>
        <v/>
      </c>
      <c r="X492" s="18">
        <f>IF($W492="","",INT(INDEX($L492:$Q492,$W492)))</f>
        <v/>
      </c>
      <c r="Y492" s="18">
        <f>IF(OR($W492="",$W492=6),"",WORKDAY($X492,CHOOSE($W492,3,3,2,2,3),Holidays))</f>
        <v/>
      </c>
      <c r="Z492" s="17">
        <f>IF(OR($W492="",$W492=6),"",CHOOSE($W492,"1st Email Follow-up","2nd Email Follow-up","Escalate Local Office","Escalate to CBE","Escalate to Roxanne"))</f>
        <v/>
      </c>
    </row>
    <row r="493" spans="18:26">
      <c r="R493" s="15"/>
      <c r="S493" s="16"/>
      <c r="T493" s="17">
        <f>IF(AND(COUNTA($A493:$K493)=0,$L493=""),"",IF($S493="Paid","PAID",IF($S493="Closed","CLOSED",IF($W493="","",IF($W493=6,"ESCALATED TO ROXANNE",IF(TODAY()&gt;$Y493,"OVERDUE",IF($Y493&lt;=WORKDAY(TODAY(),1,Holidays),"DUE TOMORROW",IF($W493=4,"ESCALATED TO LOCAL OFFICE",IF($W493=5,"ESCALATED TO CBE",IF($X493=TODAY(),"EMAIL SENT","MONITORING"))))))))))</f>
        <v/>
      </c>
      <c r="U493" s="17">
        <f>IF($T493="",IF(AND(COUNTA($A493:$K493)&gt;0,$L493=""),"Awaiting Collection Email time stamp.",""),IF(OR($T493="PAID",$T493="CLOSED"),IF($T493="PAID","Account paid. Action completed.","Account closed. No further action required."),CHOOSE($W493,"Collection Email","1st Email Follow-up","2nd Email Follow-up","Escalation to Local Office","Escalation to CBE","Escalation to Roxanne")&amp;" sent "&amp;TEXT($X493,"dd-mmm")&amp;". "&amp;IF($W493=6,"Final escalation completed.",IF($T493="OVERDUE","Next: "&amp;$Z493&amp;" was due "&amp;TEXT($Y493,"dd-mmm")&amp;" - "&amp;(NETWORKDAYS($Y493,TODAY(),Holidays)-1)&amp;" business day(s) late. Send now.",IF($T493="DUE TOMORROW","Next: "&amp;$Z493&amp;IF($Y493&lt;=TODAY()," is due TODAY ("," is due next business day (")&amp;TEXT($Y493,"dd-mmm")&amp;").","Next: "&amp;$Z493&amp;" due "&amp;TEXT($Y493,"dd-mmm")&amp;" ("&amp;(NETWORKDAYS(TODAY(),$Y493,Holidays)-1)&amp;" business day(s) left).")))))</f>
        <v/>
      </c>
      <c r="V493" s="17">
        <f>IF($W493="","",CHOOSE($W493,"Collection Email","1st Follow-up","2nd Follow-up","Local Office","CBE","Roxanne")&amp;IF($W493=6," - Final"," - Day "&amp;MAX(0,NETWORKDAYS($X493,TODAY(),Holidays)-1)&amp;" of "&amp;CHOOSE($W493,3,3,2,2,3))&amp;" | Total Day "&amp;MAX(0,NETWORKDAYS($L493,TODAY(),Holidays)-1))</f>
        <v/>
      </c>
      <c r="W493" s="17">
        <f>IF($L493="","",COUNT($L493:$Q493))</f>
        <v/>
      </c>
      <c r="X493" s="18">
        <f>IF($W493="","",INT(INDEX($L493:$Q493,$W493)))</f>
        <v/>
      </c>
      <c r="Y493" s="18">
        <f>IF(OR($W493="",$W493=6),"",WORKDAY($X493,CHOOSE($W493,3,3,2,2,3),Holidays))</f>
        <v/>
      </c>
      <c r="Z493" s="17">
        <f>IF(OR($W493="",$W493=6),"",CHOOSE($W493,"1st Email Follow-up","2nd Email Follow-up","Escalate Local Office","Escalate to CBE","Escalate to Roxanne"))</f>
        <v/>
      </c>
    </row>
    <row r="494" spans="18:26">
      <c r="R494" s="15"/>
      <c r="S494" s="16"/>
      <c r="T494" s="17">
        <f>IF(AND(COUNTA($A494:$K494)=0,$L494=""),"",IF($S494="Paid","PAID",IF($S494="Closed","CLOSED",IF($W494="","",IF($W494=6,"ESCALATED TO ROXANNE",IF(TODAY()&gt;$Y494,"OVERDUE",IF($Y494&lt;=WORKDAY(TODAY(),1,Holidays),"DUE TOMORROW",IF($W494=4,"ESCALATED TO LOCAL OFFICE",IF($W494=5,"ESCALATED TO CBE",IF($X494=TODAY(),"EMAIL SENT","MONITORING"))))))))))</f>
        <v/>
      </c>
      <c r="U494" s="17">
        <f>IF($T494="",IF(AND(COUNTA($A494:$K494)&gt;0,$L494=""),"Awaiting Collection Email time stamp.",""),IF(OR($T494="PAID",$T494="CLOSED"),IF($T494="PAID","Account paid. Action completed.","Account closed. No further action required."),CHOOSE($W494,"Collection Email","1st Email Follow-up","2nd Email Follow-up","Escalation to Local Office","Escalation to CBE","Escalation to Roxanne")&amp;" sent "&amp;TEXT($X494,"dd-mmm")&amp;". "&amp;IF($W494=6,"Final escalation completed.",IF($T494="OVERDUE","Next: "&amp;$Z494&amp;" was due "&amp;TEXT($Y494,"dd-mmm")&amp;" - "&amp;(NETWORKDAYS($Y494,TODAY(),Holidays)-1)&amp;" business day(s) late. Send now.",IF($T494="DUE TOMORROW","Next: "&amp;$Z494&amp;IF($Y494&lt;=TODAY()," is due TODAY ("," is due next business day (")&amp;TEXT($Y494,"dd-mmm")&amp;").","Next: "&amp;$Z494&amp;" due "&amp;TEXT($Y494,"dd-mmm")&amp;" ("&amp;(NETWORKDAYS(TODAY(),$Y494,Holidays)-1)&amp;" business day(s) left).")))))</f>
        <v/>
      </c>
      <c r="V494" s="17">
        <f>IF($W494="","",CHOOSE($W494,"Collection Email","1st Follow-up","2nd Follow-up","Local Office","CBE","Roxanne")&amp;IF($W494=6," - Final"," - Day "&amp;MAX(0,NETWORKDAYS($X494,TODAY(),Holidays)-1)&amp;" of "&amp;CHOOSE($W494,3,3,2,2,3))&amp;" | Total Day "&amp;MAX(0,NETWORKDAYS($L494,TODAY(),Holidays)-1))</f>
        <v/>
      </c>
      <c r="W494" s="17">
        <f>IF($L494="","",COUNT($L494:$Q494))</f>
        <v/>
      </c>
      <c r="X494" s="18">
        <f>IF($W494="","",INT(INDEX($L494:$Q494,$W494)))</f>
        <v/>
      </c>
      <c r="Y494" s="18">
        <f>IF(OR($W494="",$W494=6),"",WORKDAY($X494,CHOOSE($W494,3,3,2,2,3),Holidays))</f>
        <v/>
      </c>
      <c r="Z494" s="17">
        <f>IF(OR($W494="",$W494=6),"",CHOOSE($W494,"1st Email Follow-up","2nd Email Follow-up","Escalate Local Office","Escalate to CBE","Escalate to Roxanne"))</f>
        <v/>
      </c>
    </row>
    <row r="495" spans="18:26">
      <c r="R495" s="15"/>
      <c r="S495" s="16"/>
      <c r="T495" s="17">
        <f>IF(AND(COUNTA($A495:$K495)=0,$L495=""),"",IF($S495="Paid","PAID",IF($S495="Closed","CLOSED",IF($W495="","",IF($W495=6,"ESCALATED TO ROXANNE",IF(TODAY()&gt;$Y495,"OVERDUE",IF($Y495&lt;=WORKDAY(TODAY(),1,Holidays),"DUE TOMORROW",IF($W495=4,"ESCALATED TO LOCAL OFFICE",IF($W495=5,"ESCALATED TO CBE",IF($X495=TODAY(),"EMAIL SENT","MONITORING"))))))))))</f>
        <v/>
      </c>
      <c r="U495" s="17">
        <f>IF($T495="",IF(AND(COUNTA($A495:$K495)&gt;0,$L495=""),"Awaiting Collection Email time stamp.",""),IF(OR($T495="PAID",$T495="CLOSED"),IF($T495="PAID","Account paid. Action completed.","Account closed. No further action required."),CHOOSE($W495,"Collection Email","1st Email Follow-up","2nd Email Follow-up","Escalation to Local Office","Escalation to CBE","Escalation to Roxanne")&amp;" sent "&amp;TEXT($X495,"dd-mmm")&amp;". "&amp;IF($W495=6,"Final escalation completed.",IF($T495="OVERDUE","Next: "&amp;$Z495&amp;" was due "&amp;TEXT($Y495,"dd-mmm")&amp;" - "&amp;(NETWORKDAYS($Y495,TODAY(),Holidays)-1)&amp;" business day(s) late. Send now.",IF($T495="DUE TOMORROW","Next: "&amp;$Z495&amp;IF($Y495&lt;=TODAY()," is due TODAY ("," is due next business day (")&amp;TEXT($Y495,"dd-mmm")&amp;").","Next: "&amp;$Z495&amp;" due "&amp;TEXT($Y495,"dd-mmm")&amp;" ("&amp;(NETWORKDAYS(TODAY(),$Y495,Holidays)-1)&amp;" business day(s) left).")))))</f>
        <v/>
      </c>
      <c r="V495" s="17">
        <f>IF($W495="","",CHOOSE($W495,"Collection Email","1st Follow-up","2nd Follow-up","Local Office","CBE","Roxanne")&amp;IF($W495=6," - Final"," - Day "&amp;MAX(0,NETWORKDAYS($X495,TODAY(),Holidays)-1)&amp;" of "&amp;CHOOSE($W495,3,3,2,2,3))&amp;" | Total Day "&amp;MAX(0,NETWORKDAYS($L495,TODAY(),Holidays)-1))</f>
        <v/>
      </c>
      <c r="W495" s="17">
        <f>IF($L495="","",COUNT($L495:$Q495))</f>
        <v/>
      </c>
      <c r="X495" s="18">
        <f>IF($W495="","",INT(INDEX($L495:$Q495,$W495)))</f>
        <v/>
      </c>
      <c r="Y495" s="18">
        <f>IF(OR($W495="",$W495=6),"",WORKDAY($X495,CHOOSE($W495,3,3,2,2,3),Holidays))</f>
        <v/>
      </c>
      <c r="Z495" s="17">
        <f>IF(OR($W495="",$W495=6),"",CHOOSE($W495,"1st Email Follow-up","2nd Email Follow-up","Escalate Local Office","Escalate to CBE","Escalate to Roxanne"))</f>
        <v/>
      </c>
    </row>
    <row r="496" spans="18:26">
      <c r="R496" s="15"/>
      <c r="S496" s="16"/>
      <c r="T496" s="17">
        <f>IF(AND(COUNTA($A496:$K496)=0,$L496=""),"",IF($S496="Paid","PAID",IF($S496="Closed","CLOSED",IF($W496="","",IF($W496=6,"ESCALATED TO ROXANNE",IF(TODAY()&gt;$Y496,"OVERDUE",IF($Y496&lt;=WORKDAY(TODAY(),1,Holidays),"DUE TOMORROW",IF($W496=4,"ESCALATED TO LOCAL OFFICE",IF($W496=5,"ESCALATED TO CBE",IF($X496=TODAY(),"EMAIL SENT","MONITORING"))))))))))</f>
        <v/>
      </c>
      <c r="U496" s="17">
        <f>IF($T496="",IF(AND(COUNTA($A496:$K496)&gt;0,$L496=""),"Awaiting Collection Email time stamp.",""),IF(OR($T496="PAID",$T496="CLOSED"),IF($T496="PAID","Account paid. Action completed.","Account closed. No further action required."),CHOOSE($W496,"Collection Email","1st Email Follow-up","2nd Email Follow-up","Escalation to Local Office","Escalation to CBE","Escalation to Roxanne")&amp;" sent "&amp;TEXT($X496,"dd-mmm")&amp;". "&amp;IF($W496=6,"Final escalation completed.",IF($T496="OVERDUE","Next: "&amp;$Z496&amp;" was due "&amp;TEXT($Y496,"dd-mmm")&amp;" - "&amp;(NETWORKDAYS($Y496,TODAY(),Holidays)-1)&amp;" business day(s) late. Send now.",IF($T496="DUE TOMORROW","Next: "&amp;$Z496&amp;IF($Y496&lt;=TODAY()," is due TODAY ("," is due next business day (")&amp;TEXT($Y496,"dd-mmm")&amp;").","Next: "&amp;$Z496&amp;" due "&amp;TEXT($Y496,"dd-mmm")&amp;" ("&amp;(NETWORKDAYS(TODAY(),$Y496,Holidays)-1)&amp;" business day(s) left).")))))</f>
        <v/>
      </c>
      <c r="V496" s="17">
        <f>IF($W496="","",CHOOSE($W496,"Collection Email","1st Follow-up","2nd Follow-up","Local Office","CBE","Roxanne")&amp;IF($W496=6," - Final"," - Day "&amp;MAX(0,NETWORKDAYS($X496,TODAY(),Holidays)-1)&amp;" of "&amp;CHOOSE($W496,3,3,2,2,3))&amp;" | Total Day "&amp;MAX(0,NETWORKDAYS($L496,TODAY(),Holidays)-1))</f>
        <v/>
      </c>
      <c r="W496" s="17">
        <f>IF($L496="","",COUNT($L496:$Q496))</f>
        <v/>
      </c>
      <c r="X496" s="18">
        <f>IF($W496="","",INT(INDEX($L496:$Q496,$W496)))</f>
        <v/>
      </c>
      <c r="Y496" s="18">
        <f>IF(OR($W496="",$W496=6),"",WORKDAY($X496,CHOOSE($W496,3,3,2,2,3),Holidays))</f>
        <v/>
      </c>
      <c r="Z496" s="17">
        <f>IF(OR($W496="",$W496=6),"",CHOOSE($W496,"1st Email Follow-up","2nd Email Follow-up","Escalate Local Office","Escalate to CBE","Escalate to Roxanne"))</f>
        <v/>
      </c>
    </row>
    <row r="497" spans="18:26">
      <c r="R497" s="15"/>
      <c r="S497" s="16"/>
      <c r="T497" s="17">
        <f>IF(AND(COUNTA($A497:$K497)=0,$L497=""),"",IF($S497="Paid","PAID",IF($S497="Closed","CLOSED",IF($W497="","",IF($W497=6,"ESCALATED TO ROXANNE",IF(TODAY()&gt;$Y497,"OVERDUE",IF($Y497&lt;=WORKDAY(TODAY(),1,Holidays),"DUE TOMORROW",IF($W497=4,"ESCALATED TO LOCAL OFFICE",IF($W497=5,"ESCALATED TO CBE",IF($X497=TODAY(),"EMAIL SENT","MONITORING"))))))))))</f>
        <v/>
      </c>
      <c r="U497" s="17">
        <f>IF($T497="",IF(AND(COUNTA($A497:$K497)&gt;0,$L497=""),"Awaiting Collection Email time stamp.",""),IF(OR($T497="PAID",$T497="CLOSED"),IF($T497="PAID","Account paid. Action completed.","Account closed. No further action required."),CHOOSE($W497,"Collection Email","1st Email Follow-up","2nd Email Follow-up","Escalation to Local Office","Escalation to CBE","Escalation to Roxanne")&amp;" sent "&amp;TEXT($X497,"dd-mmm")&amp;". "&amp;IF($W497=6,"Final escalation completed.",IF($T497="OVERDUE","Next: "&amp;$Z497&amp;" was due "&amp;TEXT($Y497,"dd-mmm")&amp;" - "&amp;(NETWORKDAYS($Y497,TODAY(),Holidays)-1)&amp;" business day(s) late. Send now.",IF($T497="DUE TOMORROW","Next: "&amp;$Z497&amp;IF($Y497&lt;=TODAY()," is due TODAY ("," is due next business day (")&amp;TEXT($Y497,"dd-mmm")&amp;").","Next: "&amp;$Z497&amp;" due "&amp;TEXT($Y497,"dd-mmm")&amp;" ("&amp;(NETWORKDAYS(TODAY(),$Y497,Holidays)-1)&amp;" business day(s) left).")))))</f>
        <v/>
      </c>
      <c r="V497" s="17">
        <f>IF($W497="","",CHOOSE($W497,"Collection Email","1st Follow-up","2nd Follow-up","Local Office","CBE","Roxanne")&amp;IF($W497=6," - Final"," - Day "&amp;MAX(0,NETWORKDAYS($X497,TODAY(),Holidays)-1)&amp;" of "&amp;CHOOSE($W497,3,3,2,2,3))&amp;" | Total Day "&amp;MAX(0,NETWORKDAYS($L497,TODAY(),Holidays)-1))</f>
        <v/>
      </c>
      <c r="W497" s="17">
        <f>IF($L497="","",COUNT($L497:$Q497))</f>
        <v/>
      </c>
      <c r="X497" s="18">
        <f>IF($W497="","",INT(INDEX($L497:$Q497,$W497)))</f>
        <v/>
      </c>
      <c r="Y497" s="18">
        <f>IF(OR($W497="",$W497=6),"",WORKDAY($X497,CHOOSE($W497,3,3,2,2,3),Holidays))</f>
        <v/>
      </c>
      <c r="Z497" s="17">
        <f>IF(OR($W497="",$W497=6),"",CHOOSE($W497,"1st Email Follow-up","2nd Email Follow-up","Escalate Local Office","Escalate to CBE","Escalate to Roxanne"))</f>
        <v/>
      </c>
    </row>
    <row r="498" spans="18:26">
      <c r="R498" s="15"/>
      <c r="S498" s="16"/>
      <c r="T498" s="17">
        <f>IF(AND(COUNTA($A498:$K498)=0,$L498=""),"",IF($S498="Paid","PAID",IF($S498="Closed","CLOSED",IF($W498="","",IF($W498=6,"ESCALATED TO ROXANNE",IF(TODAY()&gt;$Y498,"OVERDUE",IF($Y498&lt;=WORKDAY(TODAY(),1,Holidays),"DUE TOMORROW",IF($W498=4,"ESCALATED TO LOCAL OFFICE",IF($W498=5,"ESCALATED TO CBE",IF($X498=TODAY(),"EMAIL SENT","MONITORING"))))))))))</f>
        <v/>
      </c>
      <c r="U498" s="17">
        <f>IF($T498="",IF(AND(COUNTA($A498:$K498)&gt;0,$L498=""),"Awaiting Collection Email time stamp.",""),IF(OR($T498="PAID",$T498="CLOSED"),IF($T498="PAID","Account paid. Action completed.","Account closed. No further action required."),CHOOSE($W498,"Collection Email","1st Email Follow-up","2nd Email Follow-up","Escalation to Local Office","Escalation to CBE","Escalation to Roxanne")&amp;" sent "&amp;TEXT($X498,"dd-mmm")&amp;". "&amp;IF($W498=6,"Final escalation completed.",IF($T498="OVERDUE","Next: "&amp;$Z498&amp;" was due "&amp;TEXT($Y498,"dd-mmm")&amp;" - "&amp;(NETWORKDAYS($Y498,TODAY(),Holidays)-1)&amp;" business day(s) late. Send now.",IF($T498="DUE TOMORROW","Next: "&amp;$Z498&amp;IF($Y498&lt;=TODAY()," is due TODAY ("," is due next business day (")&amp;TEXT($Y498,"dd-mmm")&amp;").","Next: "&amp;$Z498&amp;" due "&amp;TEXT($Y498,"dd-mmm")&amp;" ("&amp;(NETWORKDAYS(TODAY(),$Y498,Holidays)-1)&amp;" business day(s) left).")))))</f>
        <v/>
      </c>
      <c r="V498" s="17">
        <f>IF($W498="","",CHOOSE($W498,"Collection Email","1st Follow-up","2nd Follow-up","Local Office","CBE","Roxanne")&amp;IF($W498=6," - Final"," - Day "&amp;MAX(0,NETWORKDAYS($X498,TODAY(),Holidays)-1)&amp;" of "&amp;CHOOSE($W498,3,3,2,2,3))&amp;" | Total Day "&amp;MAX(0,NETWORKDAYS($L498,TODAY(),Holidays)-1))</f>
        <v/>
      </c>
      <c r="W498" s="17">
        <f>IF($L498="","",COUNT($L498:$Q498))</f>
        <v/>
      </c>
      <c r="X498" s="18">
        <f>IF($W498="","",INT(INDEX($L498:$Q498,$W498)))</f>
        <v/>
      </c>
      <c r="Y498" s="18">
        <f>IF(OR($W498="",$W498=6),"",WORKDAY($X498,CHOOSE($W498,3,3,2,2,3),Holidays))</f>
        <v/>
      </c>
      <c r="Z498" s="17">
        <f>IF(OR($W498="",$W498=6),"",CHOOSE($W498,"1st Email Follow-up","2nd Email Follow-up","Escalate Local Office","Escalate to CBE","Escalate to Roxanne"))</f>
        <v/>
      </c>
    </row>
    <row r="499" spans="18:26">
      <c r="R499" s="15"/>
      <c r="S499" s="16"/>
      <c r="T499" s="17">
        <f>IF(AND(COUNTA($A499:$K499)=0,$L499=""),"",IF($S499="Paid","PAID",IF($S499="Closed","CLOSED",IF($W499="","",IF($W499=6,"ESCALATED TO ROXANNE",IF(TODAY()&gt;$Y499,"OVERDUE",IF($Y499&lt;=WORKDAY(TODAY(),1,Holidays),"DUE TOMORROW",IF($W499=4,"ESCALATED TO LOCAL OFFICE",IF($W499=5,"ESCALATED TO CBE",IF($X499=TODAY(),"EMAIL SENT","MONITORING"))))))))))</f>
        <v/>
      </c>
      <c r="U499" s="17">
        <f>IF($T499="",IF(AND(COUNTA($A499:$K499)&gt;0,$L499=""),"Awaiting Collection Email time stamp.",""),IF(OR($T499="PAID",$T499="CLOSED"),IF($T499="PAID","Account paid. Action completed.","Account closed. No further action required."),CHOOSE($W499,"Collection Email","1st Email Follow-up","2nd Email Follow-up","Escalation to Local Office","Escalation to CBE","Escalation to Roxanne")&amp;" sent "&amp;TEXT($X499,"dd-mmm")&amp;". "&amp;IF($W499=6,"Final escalation completed.",IF($T499="OVERDUE","Next: "&amp;$Z499&amp;" was due "&amp;TEXT($Y499,"dd-mmm")&amp;" - "&amp;(NETWORKDAYS($Y499,TODAY(),Holidays)-1)&amp;" business day(s) late. Send now.",IF($T499="DUE TOMORROW","Next: "&amp;$Z499&amp;IF($Y499&lt;=TODAY()," is due TODAY ("," is due next business day (")&amp;TEXT($Y499,"dd-mmm")&amp;").","Next: "&amp;$Z499&amp;" due "&amp;TEXT($Y499,"dd-mmm")&amp;" ("&amp;(NETWORKDAYS(TODAY(),$Y499,Holidays)-1)&amp;" business day(s) left).")))))</f>
        <v/>
      </c>
      <c r="V499" s="17">
        <f>IF($W499="","",CHOOSE($W499,"Collection Email","1st Follow-up","2nd Follow-up","Local Office","CBE","Roxanne")&amp;IF($W499=6," - Final"," - Day "&amp;MAX(0,NETWORKDAYS($X499,TODAY(),Holidays)-1)&amp;" of "&amp;CHOOSE($W499,3,3,2,2,3))&amp;" | Total Day "&amp;MAX(0,NETWORKDAYS($L499,TODAY(),Holidays)-1))</f>
        <v/>
      </c>
      <c r="W499" s="17">
        <f>IF($L499="","",COUNT($L499:$Q499))</f>
        <v/>
      </c>
      <c r="X499" s="18">
        <f>IF($W499="","",INT(INDEX($L499:$Q499,$W499)))</f>
        <v/>
      </c>
      <c r="Y499" s="18">
        <f>IF(OR($W499="",$W499=6),"",WORKDAY($X499,CHOOSE($W499,3,3,2,2,3),Holidays))</f>
        <v/>
      </c>
      <c r="Z499" s="17">
        <f>IF(OR($W499="",$W499=6),"",CHOOSE($W499,"1st Email Follow-up","2nd Email Follow-up","Escalate Local Office","Escalate to CBE","Escalate to Roxanne"))</f>
        <v/>
      </c>
    </row>
    <row r="500" spans="18:26">
      <c r="R500" s="15"/>
      <c r="S500" s="16"/>
      <c r="T500" s="17">
        <f>IF(AND(COUNTA($A500:$K500)=0,$L500=""),"",IF($S500="Paid","PAID",IF($S500="Closed","CLOSED",IF($W500="","",IF($W500=6,"ESCALATED TO ROXANNE",IF(TODAY()&gt;$Y500,"OVERDUE",IF($Y500&lt;=WORKDAY(TODAY(),1,Holidays),"DUE TOMORROW",IF($W500=4,"ESCALATED TO LOCAL OFFICE",IF($W500=5,"ESCALATED TO CBE",IF($X500=TODAY(),"EMAIL SENT","MONITORING"))))))))))</f>
        <v/>
      </c>
      <c r="U500" s="17">
        <f>IF($T500="",IF(AND(COUNTA($A500:$K500)&gt;0,$L500=""),"Awaiting Collection Email time stamp.",""),IF(OR($T500="PAID",$T500="CLOSED"),IF($T500="PAID","Account paid. Action completed.","Account closed. No further action required."),CHOOSE($W500,"Collection Email","1st Email Follow-up","2nd Email Follow-up","Escalation to Local Office","Escalation to CBE","Escalation to Roxanne")&amp;" sent "&amp;TEXT($X500,"dd-mmm")&amp;". "&amp;IF($W500=6,"Final escalation completed.",IF($T500="OVERDUE","Next: "&amp;$Z500&amp;" was due "&amp;TEXT($Y500,"dd-mmm")&amp;" - "&amp;(NETWORKDAYS($Y500,TODAY(),Holidays)-1)&amp;" business day(s) late. Send now.",IF($T500="DUE TOMORROW","Next: "&amp;$Z500&amp;IF($Y500&lt;=TODAY()," is due TODAY ("," is due next business day (")&amp;TEXT($Y500,"dd-mmm")&amp;").","Next: "&amp;$Z500&amp;" due "&amp;TEXT($Y500,"dd-mmm")&amp;" ("&amp;(NETWORKDAYS(TODAY(),$Y500,Holidays)-1)&amp;" business day(s) left).")))))</f>
        <v/>
      </c>
      <c r="V500" s="17">
        <f>IF($W500="","",CHOOSE($W500,"Collection Email","1st Follow-up","2nd Follow-up","Local Office","CBE","Roxanne")&amp;IF($W500=6," - Final"," - Day "&amp;MAX(0,NETWORKDAYS($X500,TODAY(),Holidays)-1)&amp;" of "&amp;CHOOSE($W500,3,3,2,2,3))&amp;" | Total Day "&amp;MAX(0,NETWORKDAYS($L500,TODAY(),Holidays)-1))</f>
        <v/>
      </c>
      <c r="W500" s="17">
        <f>IF($L500="","",COUNT($L500:$Q500))</f>
        <v/>
      </c>
      <c r="X500" s="18">
        <f>IF($W500="","",INT(INDEX($L500:$Q500,$W500)))</f>
        <v/>
      </c>
      <c r="Y500" s="18">
        <f>IF(OR($W500="",$W500=6),"",WORKDAY($X500,CHOOSE($W500,3,3,2,2,3),Holidays))</f>
        <v/>
      </c>
      <c r="Z500" s="17">
        <f>IF(OR($W500="",$W500=6),"",CHOOSE($W500,"1st Email Follow-up","2nd Email Follow-up","Escalate Local Office","Escalate to CBE","Escalate to Roxanne"))</f>
        <v/>
      </c>
    </row>
    <row r="501" spans="18:26">
      <c r="R501" s="15"/>
      <c r="S501" s="16"/>
      <c r="T501" s="17">
        <f>IF(AND(COUNTA($A501:$K501)=0,$L501=""),"",IF($S501="Paid","PAID",IF($S501="Closed","CLOSED",IF($W501="","",IF($W501=6,"ESCALATED TO ROXANNE",IF(TODAY()&gt;$Y501,"OVERDUE",IF($Y501&lt;=WORKDAY(TODAY(),1,Holidays),"DUE TOMORROW",IF($W501=4,"ESCALATED TO LOCAL OFFICE",IF($W501=5,"ESCALATED TO CBE",IF($X501=TODAY(),"EMAIL SENT","MONITORING"))))))))))</f>
        <v/>
      </c>
      <c r="U501" s="17">
        <f>IF($T501="",IF(AND(COUNTA($A501:$K501)&gt;0,$L501=""),"Awaiting Collection Email time stamp.",""),IF(OR($T501="PAID",$T501="CLOSED"),IF($T501="PAID","Account paid. Action completed.","Account closed. No further action required."),CHOOSE($W501,"Collection Email","1st Email Follow-up","2nd Email Follow-up","Escalation to Local Office","Escalation to CBE","Escalation to Roxanne")&amp;" sent "&amp;TEXT($X501,"dd-mmm")&amp;". "&amp;IF($W501=6,"Final escalation completed.",IF($T501="OVERDUE","Next: "&amp;$Z501&amp;" was due "&amp;TEXT($Y501,"dd-mmm")&amp;" - "&amp;(NETWORKDAYS($Y501,TODAY(),Holidays)-1)&amp;" business day(s) late. Send now.",IF($T501="DUE TOMORROW","Next: "&amp;$Z501&amp;IF($Y501&lt;=TODAY()," is due TODAY ("," is due next business day (")&amp;TEXT($Y501,"dd-mmm")&amp;").","Next: "&amp;$Z501&amp;" due "&amp;TEXT($Y501,"dd-mmm")&amp;" ("&amp;(NETWORKDAYS(TODAY(),$Y501,Holidays)-1)&amp;" business day(s) left).")))))</f>
        <v/>
      </c>
      <c r="V501" s="17">
        <f>IF($W501="","",CHOOSE($W501,"Collection Email","1st Follow-up","2nd Follow-up","Local Office","CBE","Roxanne")&amp;IF($W501=6," - Final"," - Day "&amp;MAX(0,NETWORKDAYS($X501,TODAY(),Holidays)-1)&amp;" of "&amp;CHOOSE($W501,3,3,2,2,3))&amp;" | Total Day "&amp;MAX(0,NETWORKDAYS($L501,TODAY(),Holidays)-1))</f>
        <v/>
      </c>
      <c r="W501" s="17">
        <f>IF($L501="","",COUNT($L501:$Q501))</f>
        <v/>
      </c>
      <c r="X501" s="18">
        <f>IF($W501="","",INT(INDEX($L501:$Q501,$W501)))</f>
        <v/>
      </c>
      <c r="Y501" s="18">
        <f>IF(OR($W501="",$W501=6),"",WORKDAY($X501,CHOOSE($W501,3,3,2,2,3),Holidays))</f>
        <v/>
      </c>
      <c r="Z501" s="17">
        <f>IF(OR($W501="",$W501=6),"",CHOOSE($W501,"1st Email Follow-up","2nd Email Follow-up","Escalate Local Office","Escalate to CBE","Escalate to Roxanne"))</f>
        <v/>
      </c>
    </row>
    <row r="502" spans="18:26">
      <c r="R502" s="15"/>
      <c r="S502" s="16"/>
      <c r="T502" s="17">
        <f>IF(AND(COUNTA($A502:$K502)=0,$L502=""),"",IF($S502="Paid","PAID",IF($S502="Closed","CLOSED",IF($W502="","",IF($W502=6,"ESCALATED TO ROXANNE",IF(TODAY()&gt;$Y502,"OVERDUE",IF($Y502&lt;=WORKDAY(TODAY(),1,Holidays),"DUE TOMORROW",IF($W502=4,"ESCALATED TO LOCAL OFFICE",IF($W502=5,"ESCALATED TO CBE",IF($X502=TODAY(),"EMAIL SENT","MONITORING"))))))))))</f>
        <v/>
      </c>
      <c r="U502" s="17">
        <f>IF($T502="",IF(AND(COUNTA($A502:$K502)&gt;0,$L502=""),"Awaiting Collection Email time stamp.",""),IF(OR($T502="PAID",$T502="CLOSED"),IF($T502="PAID","Account paid. Action completed.","Account closed. No further action required."),CHOOSE($W502,"Collection Email","1st Email Follow-up","2nd Email Follow-up","Escalation to Local Office","Escalation to CBE","Escalation to Roxanne")&amp;" sent "&amp;TEXT($X502,"dd-mmm")&amp;". "&amp;IF($W502=6,"Final escalation completed.",IF($T502="OVERDUE","Next: "&amp;$Z502&amp;" was due "&amp;TEXT($Y502,"dd-mmm")&amp;" - "&amp;(NETWORKDAYS($Y502,TODAY(),Holidays)-1)&amp;" business day(s) late. Send now.",IF($T502="DUE TOMORROW","Next: "&amp;$Z502&amp;IF($Y502&lt;=TODAY()," is due TODAY ("," is due next business day (")&amp;TEXT($Y502,"dd-mmm")&amp;").","Next: "&amp;$Z502&amp;" due "&amp;TEXT($Y502,"dd-mmm")&amp;" ("&amp;(NETWORKDAYS(TODAY(),$Y502,Holidays)-1)&amp;" business day(s) left).")))))</f>
        <v/>
      </c>
      <c r="V502" s="17">
        <f>IF($W502="","",CHOOSE($W502,"Collection Email","1st Follow-up","2nd Follow-up","Local Office","CBE","Roxanne")&amp;IF($W502=6," - Final"," - Day "&amp;MAX(0,NETWORKDAYS($X502,TODAY(),Holidays)-1)&amp;" of "&amp;CHOOSE($W502,3,3,2,2,3))&amp;" | Total Day "&amp;MAX(0,NETWORKDAYS($L502,TODAY(),Holidays)-1))</f>
        <v/>
      </c>
      <c r="W502" s="17">
        <f>IF($L502="","",COUNT($L502:$Q502))</f>
        <v/>
      </c>
      <c r="X502" s="18">
        <f>IF($W502="","",INT(INDEX($L502:$Q502,$W502)))</f>
        <v/>
      </c>
      <c r="Y502" s="18">
        <f>IF(OR($W502="",$W502=6),"",WORKDAY($X502,CHOOSE($W502,3,3,2,2,3),Holidays))</f>
        <v/>
      </c>
      <c r="Z502" s="17">
        <f>IF(OR($W502="",$W502=6),"",CHOOSE($W502,"1st Email Follow-up","2nd Email Follow-up","Escalate Local Office","Escalate to CBE","Escalate to Roxanne"))</f>
        <v/>
      </c>
    </row>
    <row r="503" spans="18:26">
      <c r="R503" s="15"/>
      <c r="S503" s="16"/>
      <c r="T503" s="17">
        <f>IF(AND(COUNTA($A503:$K503)=0,$L503=""),"",IF($S503="Paid","PAID",IF($S503="Closed","CLOSED",IF($W503="","",IF($W503=6,"ESCALATED TO ROXANNE",IF(TODAY()&gt;$Y503,"OVERDUE",IF($Y503&lt;=WORKDAY(TODAY(),1,Holidays),"DUE TOMORROW",IF($W503=4,"ESCALATED TO LOCAL OFFICE",IF($W503=5,"ESCALATED TO CBE",IF($X503=TODAY(),"EMAIL SENT","MONITORING"))))))))))</f>
        <v/>
      </c>
      <c r="U503" s="17">
        <f>IF($T503="",IF(AND(COUNTA($A503:$K503)&gt;0,$L503=""),"Awaiting Collection Email time stamp.",""),IF(OR($T503="PAID",$T503="CLOSED"),IF($T503="PAID","Account paid. Action completed.","Account closed. No further action required."),CHOOSE($W503,"Collection Email","1st Email Follow-up","2nd Email Follow-up","Escalation to Local Office","Escalation to CBE","Escalation to Roxanne")&amp;" sent "&amp;TEXT($X503,"dd-mmm")&amp;". "&amp;IF($W503=6,"Final escalation completed.",IF($T503="OVERDUE","Next: "&amp;$Z503&amp;" was due "&amp;TEXT($Y503,"dd-mmm")&amp;" - "&amp;(NETWORKDAYS($Y503,TODAY(),Holidays)-1)&amp;" business day(s) late. Send now.",IF($T503="DUE TOMORROW","Next: "&amp;$Z503&amp;IF($Y503&lt;=TODAY()," is due TODAY ("," is due next business day (")&amp;TEXT($Y503,"dd-mmm")&amp;").","Next: "&amp;$Z503&amp;" due "&amp;TEXT($Y503,"dd-mmm")&amp;" ("&amp;(NETWORKDAYS(TODAY(),$Y503,Holidays)-1)&amp;" business day(s) left).")))))</f>
        <v/>
      </c>
      <c r="V503" s="17">
        <f>IF($W503="","",CHOOSE($W503,"Collection Email","1st Follow-up","2nd Follow-up","Local Office","CBE","Roxanne")&amp;IF($W503=6," - Final"," - Day "&amp;MAX(0,NETWORKDAYS($X503,TODAY(),Holidays)-1)&amp;" of "&amp;CHOOSE($W503,3,3,2,2,3))&amp;" | Total Day "&amp;MAX(0,NETWORKDAYS($L503,TODAY(),Holidays)-1))</f>
        <v/>
      </c>
      <c r="W503" s="17">
        <f>IF($L503="","",COUNT($L503:$Q503))</f>
        <v/>
      </c>
      <c r="X503" s="18">
        <f>IF($W503="","",INT(INDEX($L503:$Q503,$W503)))</f>
        <v/>
      </c>
      <c r="Y503" s="18">
        <f>IF(OR($W503="",$W503=6),"",WORKDAY($X503,CHOOSE($W503,3,3,2,2,3),Holidays))</f>
        <v/>
      </c>
      <c r="Z503" s="17">
        <f>IF(OR($W503="",$W503=6),"",CHOOSE($W503,"1st Email Follow-up","2nd Email Follow-up","Escalate Local Office","Escalate to CBE","Escalate to Roxanne"))</f>
        <v/>
      </c>
    </row>
    <row r="504" spans="18:26">
      <c r="R504" s="15"/>
      <c r="S504" s="16"/>
      <c r="T504" s="17">
        <f>IF(AND(COUNTA($A504:$K504)=0,$L504=""),"",IF($S504="Paid","PAID",IF($S504="Closed","CLOSED",IF($W504="","",IF($W504=6,"ESCALATED TO ROXANNE",IF(TODAY()&gt;$Y504,"OVERDUE",IF($Y504&lt;=WORKDAY(TODAY(),1,Holidays),"DUE TOMORROW",IF($W504=4,"ESCALATED TO LOCAL OFFICE",IF($W504=5,"ESCALATED TO CBE",IF($X504=TODAY(),"EMAIL SENT","MONITORING"))))))))))</f>
        <v/>
      </c>
      <c r="U504" s="17">
        <f>IF($T504="",IF(AND(COUNTA($A504:$K504)&gt;0,$L504=""),"Awaiting Collection Email time stamp.",""),IF(OR($T504="PAID",$T504="CLOSED"),IF($T504="PAID","Account paid. Action completed.","Account closed. No further action required."),CHOOSE($W504,"Collection Email","1st Email Follow-up","2nd Email Follow-up","Escalation to Local Office","Escalation to CBE","Escalation to Roxanne")&amp;" sent "&amp;TEXT($X504,"dd-mmm")&amp;". "&amp;IF($W504=6,"Final escalation completed.",IF($T504="OVERDUE","Next: "&amp;$Z504&amp;" was due "&amp;TEXT($Y504,"dd-mmm")&amp;" - "&amp;(NETWORKDAYS($Y504,TODAY(),Holidays)-1)&amp;" business day(s) late. Send now.",IF($T504="DUE TOMORROW","Next: "&amp;$Z504&amp;IF($Y504&lt;=TODAY()," is due TODAY ("," is due next business day (")&amp;TEXT($Y504,"dd-mmm")&amp;").","Next: "&amp;$Z504&amp;" due "&amp;TEXT($Y504,"dd-mmm")&amp;" ("&amp;(NETWORKDAYS(TODAY(),$Y504,Holidays)-1)&amp;" business day(s) left).")))))</f>
        <v/>
      </c>
      <c r="V504" s="17">
        <f>IF($W504="","",CHOOSE($W504,"Collection Email","1st Follow-up","2nd Follow-up","Local Office","CBE","Roxanne")&amp;IF($W504=6," - Final"," - Day "&amp;MAX(0,NETWORKDAYS($X504,TODAY(),Holidays)-1)&amp;" of "&amp;CHOOSE($W504,3,3,2,2,3))&amp;" | Total Day "&amp;MAX(0,NETWORKDAYS($L504,TODAY(),Holidays)-1))</f>
        <v/>
      </c>
      <c r="W504" s="17">
        <f>IF($L504="","",COUNT($L504:$Q504))</f>
        <v/>
      </c>
      <c r="X504" s="18">
        <f>IF($W504="","",INT(INDEX($L504:$Q504,$W504)))</f>
        <v/>
      </c>
      <c r="Y504" s="18">
        <f>IF(OR($W504="",$W504=6),"",WORKDAY($X504,CHOOSE($W504,3,3,2,2,3),Holidays))</f>
        <v/>
      </c>
      <c r="Z504" s="17">
        <f>IF(OR($W504="",$W504=6),"",CHOOSE($W504,"1st Email Follow-up","2nd Email Follow-up","Escalate Local Office","Escalate to CBE","Escalate to Roxanne"))</f>
        <v/>
      </c>
    </row>
    <row r="505" spans="18:26">
      <c r="R505" s="15"/>
      <c r="S505" s="16"/>
      <c r="T505" s="17">
        <f>IF(AND(COUNTA($A505:$K505)=0,$L505=""),"",IF($S505="Paid","PAID",IF($S505="Closed","CLOSED",IF($W505="","",IF($W505=6,"ESCALATED TO ROXANNE",IF(TODAY()&gt;$Y505,"OVERDUE",IF($Y505&lt;=WORKDAY(TODAY(),1,Holidays),"DUE TOMORROW",IF($W505=4,"ESCALATED TO LOCAL OFFICE",IF($W505=5,"ESCALATED TO CBE",IF($X505=TODAY(),"EMAIL SENT","MONITORING"))))))))))</f>
        <v/>
      </c>
      <c r="U505" s="17">
        <f>IF($T505="",IF(AND(COUNTA($A505:$K505)&gt;0,$L505=""),"Awaiting Collection Email time stamp.",""),IF(OR($T505="PAID",$T505="CLOSED"),IF($T505="PAID","Account paid. Action completed.","Account closed. No further action required."),CHOOSE($W505,"Collection Email","1st Email Follow-up","2nd Email Follow-up","Escalation to Local Office","Escalation to CBE","Escalation to Roxanne")&amp;" sent "&amp;TEXT($X505,"dd-mmm")&amp;". "&amp;IF($W505=6,"Final escalation completed.",IF($T505="OVERDUE","Next: "&amp;$Z505&amp;" was due "&amp;TEXT($Y505,"dd-mmm")&amp;" - "&amp;(NETWORKDAYS($Y505,TODAY(),Holidays)-1)&amp;" business day(s) late. Send now.",IF($T505="DUE TOMORROW","Next: "&amp;$Z505&amp;IF($Y505&lt;=TODAY()," is due TODAY ("," is due next business day (")&amp;TEXT($Y505,"dd-mmm")&amp;").","Next: "&amp;$Z505&amp;" due "&amp;TEXT($Y505,"dd-mmm")&amp;" ("&amp;(NETWORKDAYS(TODAY(),$Y505,Holidays)-1)&amp;" business day(s) left).")))))</f>
        <v/>
      </c>
      <c r="V505" s="17">
        <f>IF($W505="","",CHOOSE($W505,"Collection Email","1st Follow-up","2nd Follow-up","Local Office","CBE","Roxanne")&amp;IF($W505=6," - Final"," - Day "&amp;MAX(0,NETWORKDAYS($X505,TODAY(),Holidays)-1)&amp;" of "&amp;CHOOSE($W505,3,3,2,2,3))&amp;" | Total Day "&amp;MAX(0,NETWORKDAYS($L505,TODAY(),Holidays)-1))</f>
        <v/>
      </c>
      <c r="W505" s="17">
        <f>IF($L505="","",COUNT($L505:$Q505))</f>
        <v/>
      </c>
      <c r="X505" s="18">
        <f>IF($W505="","",INT(INDEX($L505:$Q505,$W505)))</f>
        <v/>
      </c>
      <c r="Y505" s="18">
        <f>IF(OR($W505="",$W505=6),"",WORKDAY($X505,CHOOSE($W505,3,3,2,2,3),Holidays))</f>
        <v/>
      </c>
      <c r="Z505" s="17">
        <f>IF(OR($W505="",$W505=6),"",CHOOSE($W505,"1st Email Follow-up","2nd Email Follow-up","Escalate Local Office","Escalate to CBE","Escalate to Roxanne"))</f>
        <v/>
      </c>
    </row>
    <row r="506" spans="18:26">
      <c r="R506" s="15"/>
      <c r="S506" s="16"/>
      <c r="T506" s="17">
        <f>IF(AND(COUNTA($A506:$K506)=0,$L506=""),"",IF($S506="Paid","PAID",IF($S506="Closed","CLOSED",IF($W506="","",IF($W506=6,"ESCALATED TO ROXANNE",IF(TODAY()&gt;$Y506,"OVERDUE",IF($Y506&lt;=WORKDAY(TODAY(),1,Holidays),"DUE TOMORROW",IF($W506=4,"ESCALATED TO LOCAL OFFICE",IF($W506=5,"ESCALATED TO CBE",IF($X506=TODAY(),"EMAIL SENT","MONITORING"))))))))))</f>
        <v/>
      </c>
      <c r="U506" s="17">
        <f>IF($T506="",IF(AND(COUNTA($A506:$K506)&gt;0,$L506=""),"Awaiting Collection Email time stamp.",""),IF(OR($T506="PAID",$T506="CLOSED"),IF($T506="PAID","Account paid. Action completed.","Account closed. No further action required."),CHOOSE($W506,"Collection Email","1st Email Follow-up","2nd Email Follow-up","Escalation to Local Office","Escalation to CBE","Escalation to Roxanne")&amp;" sent "&amp;TEXT($X506,"dd-mmm")&amp;". "&amp;IF($W506=6,"Final escalation completed.",IF($T506="OVERDUE","Next: "&amp;$Z506&amp;" was due "&amp;TEXT($Y506,"dd-mmm")&amp;" - "&amp;(NETWORKDAYS($Y506,TODAY(),Holidays)-1)&amp;" business day(s) late. Send now.",IF($T506="DUE TOMORROW","Next: "&amp;$Z506&amp;IF($Y506&lt;=TODAY()," is due TODAY ("," is due next business day (")&amp;TEXT($Y506,"dd-mmm")&amp;").","Next: "&amp;$Z506&amp;" due "&amp;TEXT($Y506,"dd-mmm")&amp;" ("&amp;(NETWORKDAYS(TODAY(),$Y506,Holidays)-1)&amp;" business day(s) left).")))))</f>
        <v/>
      </c>
      <c r="V506" s="17">
        <f>IF($W506="","",CHOOSE($W506,"Collection Email","1st Follow-up","2nd Follow-up","Local Office","CBE","Roxanne")&amp;IF($W506=6," - Final"," - Day "&amp;MAX(0,NETWORKDAYS($X506,TODAY(),Holidays)-1)&amp;" of "&amp;CHOOSE($W506,3,3,2,2,3))&amp;" | Total Day "&amp;MAX(0,NETWORKDAYS($L506,TODAY(),Holidays)-1))</f>
        <v/>
      </c>
      <c r="W506" s="17">
        <f>IF($L506="","",COUNT($L506:$Q506))</f>
        <v/>
      </c>
      <c r="X506" s="18">
        <f>IF($W506="","",INT(INDEX($L506:$Q506,$W506)))</f>
        <v/>
      </c>
      <c r="Y506" s="18">
        <f>IF(OR($W506="",$W506=6),"",WORKDAY($X506,CHOOSE($W506,3,3,2,2,3),Holidays))</f>
        <v/>
      </c>
      <c r="Z506" s="17">
        <f>IF(OR($W506="",$W506=6),"",CHOOSE($W506,"1st Email Follow-up","2nd Email Follow-up","Escalate Local Office","Escalate to CBE","Escalate to Roxanne"))</f>
        <v/>
      </c>
    </row>
    <row r="507" spans="18:26">
      <c r="R507" s="15"/>
      <c r="S507" s="16"/>
      <c r="T507" s="17">
        <f>IF(AND(COUNTA($A507:$K507)=0,$L507=""),"",IF($S507="Paid","PAID",IF($S507="Closed","CLOSED",IF($W507="","",IF($W507=6,"ESCALATED TO ROXANNE",IF(TODAY()&gt;$Y507,"OVERDUE",IF($Y507&lt;=WORKDAY(TODAY(),1,Holidays),"DUE TOMORROW",IF($W507=4,"ESCALATED TO LOCAL OFFICE",IF($W507=5,"ESCALATED TO CBE",IF($X507=TODAY(),"EMAIL SENT","MONITORING"))))))))))</f>
        <v/>
      </c>
      <c r="U507" s="17">
        <f>IF($T507="",IF(AND(COUNTA($A507:$K507)&gt;0,$L507=""),"Awaiting Collection Email time stamp.",""),IF(OR($T507="PAID",$T507="CLOSED"),IF($T507="PAID","Account paid. Action completed.","Account closed. No further action required."),CHOOSE($W507,"Collection Email","1st Email Follow-up","2nd Email Follow-up","Escalation to Local Office","Escalation to CBE","Escalation to Roxanne")&amp;" sent "&amp;TEXT($X507,"dd-mmm")&amp;". "&amp;IF($W507=6,"Final escalation completed.",IF($T507="OVERDUE","Next: "&amp;$Z507&amp;" was due "&amp;TEXT($Y507,"dd-mmm")&amp;" - "&amp;(NETWORKDAYS($Y507,TODAY(),Holidays)-1)&amp;" business day(s) late. Send now.",IF($T507="DUE TOMORROW","Next: "&amp;$Z507&amp;IF($Y507&lt;=TODAY()," is due TODAY ("," is due next business day (")&amp;TEXT($Y507,"dd-mmm")&amp;").","Next: "&amp;$Z507&amp;" due "&amp;TEXT($Y507,"dd-mmm")&amp;" ("&amp;(NETWORKDAYS(TODAY(),$Y507,Holidays)-1)&amp;" business day(s) left).")))))</f>
        <v/>
      </c>
      <c r="V507" s="17">
        <f>IF($W507="","",CHOOSE($W507,"Collection Email","1st Follow-up","2nd Follow-up","Local Office","CBE","Roxanne")&amp;IF($W507=6," - Final"," - Day "&amp;MAX(0,NETWORKDAYS($X507,TODAY(),Holidays)-1)&amp;" of "&amp;CHOOSE($W507,3,3,2,2,3))&amp;" | Total Day "&amp;MAX(0,NETWORKDAYS($L507,TODAY(),Holidays)-1))</f>
        <v/>
      </c>
      <c r="W507" s="17">
        <f>IF($L507="","",COUNT($L507:$Q507))</f>
        <v/>
      </c>
      <c r="X507" s="18">
        <f>IF($W507="","",INT(INDEX($L507:$Q507,$W507)))</f>
        <v/>
      </c>
      <c r="Y507" s="18">
        <f>IF(OR($W507="",$W507=6),"",WORKDAY($X507,CHOOSE($W507,3,3,2,2,3),Holidays))</f>
        <v/>
      </c>
      <c r="Z507" s="17">
        <f>IF(OR($W507="",$W507=6),"",CHOOSE($W507,"1st Email Follow-up","2nd Email Follow-up","Escalate Local Office","Escalate to CBE","Escalate to Roxanne"))</f>
        <v/>
      </c>
    </row>
    <row r="508" spans="18:26">
      <c r="R508" s="15"/>
      <c r="S508" s="16"/>
      <c r="T508" s="17">
        <f>IF(AND(COUNTA($A508:$K508)=0,$L508=""),"",IF($S508="Paid","PAID",IF($S508="Closed","CLOSED",IF($W508="","",IF($W508=6,"ESCALATED TO ROXANNE",IF(TODAY()&gt;$Y508,"OVERDUE",IF($Y508&lt;=WORKDAY(TODAY(),1,Holidays),"DUE TOMORROW",IF($W508=4,"ESCALATED TO LOCAL OFFICE",IF($W508=5,"ESCALATED TO CBE",IF($X508=TODAY(),"EMAIL SENT","MONITORING"))))))))))</f>
        <v/>
      </c>
      <c r="U508" s="17">
        <f>IF($T508="",IF(AND(COUNTA($A508:$K508)&gt;0,$L508=""),"Awaiting Collection Email time stamp.",""),IF(OR($T508="PAID",$T508="CLOSED"),IF($T508="PAID","Account paid. Action completed.","Account closed. No further action required."),CHOOSE($W508,"Collection Email","1st Email Follow-up","2nd Email Follow-up","Escalation to Local Office","Escalation to CBE","Escalation to Roxanne")&amp;" sent "&amp;TEXT($X508,"dd-mmm")&amp;". "&amp;IF($W508=6,"Final escalation completed.",IF($T508="OVERDUE","Next: "&amp;$Z508&amp;" was due "&amp;TEXT($Y508,"dd-mmm")&amp;" - "&amp;(NETWORKDAYS($Y508,TODAY(),Holidays)-1)&amp;" business day(s) late. Send now.",IF($T508="DUE TOMORROW","Next: "&amp;$Z508&amp;IF($Y508&lt;=TODAY()," is due TODAY ("," is due next business day (")&amp;TEXT($Y508,"dd-mmm")&amp;").","Next: "&amp;$Z508&amp;" due "&amp;TEXT($Y508,"dd-mmm")&amp;" ("&amp;(NETWORKDAYS(TODAY(),$Y508,Holidays)-1)&amp;" business day(s) left).")))))</f>
        <v/>
      </c>
      <c r="V508" s="17">
        <f>IF($W508="","",CHOOSE($W508,"Collection Email","1st Follow-up","2nd Follow-up","Local Office","CBE","Roxanne")&amp;IF($W508=6," - Final"," - Day "&amp;MAX(0,NETWORKDAYS($X508,TODAY(),Holidays)-1)&amp;" of "&amp;CHOOSE($W508,3,3,2,2,3))&amp;" | Total Day "&amp;MAX(0,NETWORKDAYS($L508,TODAY(),Holidays)-1))</f>
        <v/>
      </c>
      <c r="W508" s="17">
        <f>IF($L508="","",COUNT($L508:$Q508))</f>
        <v/>
      </c>
      <c r="X508" s="18">
        <f>IF($W508="","",INT(INDEX($L508:$Q508,$W508)))</f>
        <v/>
      </c>
      <c r="Y508" s="18">
        <f>IF(OR($W508="",$W508=6),"",WORKDAY($X508,CHOOSE($W508,3,3,2,2,3),Holidays))</f>
        <v/>
      </c>
      <c r="Z508" s="17">
        <f>IF(OR($W508="",$W508=6),"",CHOOSE($W508,"1st Email Follow-up","2nd Email Follow-up","Escalate Local Office","Escalate to CBE","Escalate to Roxanne"))</f>
        <v/>
      </c>
    </row>
    <row r="509" spans="18:26">
      <c r="R509" s="15"/>
      <c r="S509" s="16"/>
      <c r="T509" s="17">
        <f>IF(AND(COUNTA($A509:$K509)=0,$L509=""),"",IF($S509="Paid","PAID",IF($S509="Closed","CLOSED",IF($W509="","",IF($W509=6,"ESCALATED TO ROXANNE",IF(TODAY()&gt;$Y509,"OVERDUE",IF($Y509&lt;=WORKDAY(TODAY(),1,Holidays),"DUE TOMORROW",IF($W509=4,"ESCALATED TO LOCAL OFFICE",IF($W509=5,"ESCALATED TO CBE",IF($X509=TODAY(),"EMAIL SENT","MONITORING"))))))))))</f>
        <v/>
      </c>
      <c r="U509" s="17">
        <f>IF($T509="",IF(AND(COUNTA($A509:$K509)&gt;0,$L509=""),"Awaiting Collection Email time stamp.",""),IF(OR($T509="PAID",$T509="CLOSED"),IF($T509="PAID","Account paid. Action completed.","Account closed. No further action required."),CHOOSE($W509,"Collection Email","1st Email Follow-up","2nd Email Follow-up","Escalation to Local Office","Escalation to CBE","Escalation to Roxanne")&amp;" sent "&amp;TEXT($X509,"dd-mmm")&amp;". "&amp;IF($W509=6,"Final escalation completed.",IF($T509="OVERDUE","Next: "&amp;$Z509&amp;" was due "&amp;TEXT($Y509,"dd-mmm")&amp;" - "&amp;(NETWORKDAYS($Y509,TODAY(),Holidays)-1)&amp;" business day(s) late. Send now.",IF($T509="DUE TOMORROW","Next: "&amp;$Z509&amp;IF($Y509&lt;=TODAY()," is due TODAY ("," is due next business day (")&amp;TEXT($Y509,"dd-mmm")&amp;").","Next: "&amp;$Z509&amp;" due "&amp;TEXT($Y509,"dd-mmm")&amp;" ("&amp;(NETWORKDAYS(TODAY(),$Y509,Holidays)-1)&amp;" business day(s) left).")))))</f>
        <v/>
      </c>
      <c r="V509" s="17">
        <f>IF($W509="","",CHOOSE($W509,"Collection Email","1st Follow-up","2nd Follow-up","Local Office","CBE","Roxanne")&amp;IF($W509=6," - Final"," - Day "&amp;MAX(0,NETWORKDAYS($X509,TODAY(),Holidays)-1)&amp;" of "&amp;CHOOSE($W509,3,3,2,2,3))&amp;" | Total Day "&amp;MAX(0,NETWORKDAYS($L509,TODAY(),Holidays)-1))</f>
        <v/>
      </c>
      <c r="W509" s="17">
        <f>IF($L509="","",COUNT($L509:$Q509))</f>
        <v/>
      </c>
      <c r="X509" s="18">
        <f>IF($W509="","",INT(INDEX($L509:$Q509,$W509)))</f>
        <v/>
      </c>
      <c r="Y509" s="18">
        <f>IF(OR($W509="",$W509=6),"",WORKDAY($X509,CHOOSE($W509,3,3,2,2,3),Holidays))</f>
        <v/>
      </c>
      <c r="Z509" s="17">
        <f>IF(OR($W509="",$W509=6),"",CHOOSE($W509,"1st Email Follow-up","2nd Email Follow-up","Escalate Local Office","Escalate to CBE","Escalate to Roxanne"))</f>
        <v/>
      </c>
    </row>
    <row r="510" spans="18:26">
      <c r="R510" s="15"/>
      <c r="S510" s="16"/>
      <c r="T510" s="17">
        <f>IF(AND(COUNTA($A510:$K510)=0,$L510=""),"",IF($S510="Paid","PAID",IF($S510="Closed","CLOSED",IF($W510="","",IF($W510=6,"ESCALATED TO ROXANNE",IF(TODAY()&gt;$Y510,"OVERDUE",IF($Y510&lt;=WORKDAY(TODAY(),1,Holidays),"DUE TOMORROW",IF($W510=4,"ESCALATED TO LOCAL OFFICE",IF($W510=5,"ESCALATED TO CBE",IF($X510=TODAY(),"EMAIL SENT","MONITORING"))))))))))</f>
        <v/>
      </c>
      <c r="U510" s="17">
        <f>IF($T510="",IF(AND(COUNTA($A510:$K510)&gt;0,$L510=""),"Awaiting Collection Email time stamp.",""),IF(OR($T510="PAID",$T510="CLOSED"),IF($T510="PAID","Account paid. Action completed.","Account closed. No further action required."),CHOOSE($W510,"Collection Email","1st Email Follow-up","2nd Email Follow-up","Escalation to Local Office","Escalation to CBE","Escalation to Roxanne")&amp;" sent "&amp;TEXT($X510,"dd-mmm")&amp;". "&amp;IF($W510=6,"Final escalation completed.",IF($T510="OVERDUE","Next: "&amp;$Z510&amp;" was due "&amp;TEXT($Y510,"dd-mmm")&amp;" - "&amp;(NETWORKDAYS($Y510,TODAY(),Holidays)-1)&amp;" business day(s) late. Send now.",IF($T510="DUE TOMORROW","Next: "&amp;$Z510&amp;IF($Y510&lt;=TODAY()," is due TODAY ("," is due next business day (")&amp;TEXT($Y510,"dd-mmm")&amp;").","Next: "&amp;$Z510&amp;" due "&amp;TEXT($Y510,"dd-mmm")&amp;" ("&amp;(NETWORKDAYS(TODAY(),$Y510,Holidays)-1)&amp;" business day(s) left).")))))</f>
        <v/>
      </c>
      <c r="V510" s="17">
        <f>IF($W510="","",CHOOSE($W510,"Collection Email","1st Follow-up","2nd Follow-up","Local Office","CBE","Roxanne")&amp;IF($W510=6," - Final"," - Day "&amp;MAX(0,NETWORKDAYS($X510,TODAY(),Holidays)-1)&amp;" of "&amp;CHOOSE($W510,3,3,2,2,3))&amp;" | Total Day "&amp;MAX(0,NETWORKDAYS($L510,TODAY(),Holidays)-1))</f>
        <v/>
      </c>
      <c r="W510" s="17">
        <f>IF($L510="","",COUNT($L510:$Q510))</f>
        <v/>
      </c>
      <c r="X510" s="18">
        <f>IF($W510="","",INT(INDEX($L510:$Q510,$W510)))</f>
        <v/>
      </c>
      <c r="Y510" s="18">
        <f>IF(OR($W510="",$W510=6),"",WORKDAY($X510,CHOOSE($W510,3,3,2,2,3),Holidays))</f>
        <v/>
      </c>
      <c r="Z510" s="17">
        <f>IF(OR($W510="",$W510=6),"",CHOOSE($W510,"1st Email Follow-up","2nd Email Follow-up","Escalate Local Office","Escalate to CBE","Escalate to Roxanne"))</f>
        <v/>
      </c>
    </row>
    <row r="511" spans="18:26">
      <c r="R511" s="15"/>
      <c r="S511" s="16"/>
      <c r="T511" s="17">
        <f>IF(AND(COUNTA($A511:$K511)=0,$L511=""),"",IF($S511="Paid","PAID",IF($S511="Closed","CLOSED",IF($W511="","",IF($W511=6,"ESCALATED TO ROXANNE",IF(TODAY()&gt;$Y511,"OVERDUE",IF($Y511&lt;=WORKDAY(TODAY(),1,Holidays),"DUE TOMORROW",IF($W511=4,"ESCALATED TO LOCAL OFFICE",IF($W511=5,"ESCALATED TO CBE",IF($X511=TODAY(),"EMAIL SENT","MONITORING"))))))))))</f>
        <v/>
      </c>
      <c r="U511" s="17">
        <f>IF($T511="",IF(AND(COUNTA($A511:$K511)&gt;0,$L511=""),"Awaiting Collection Email time stamp.",""),IF(OR($T511="PAID",$T511="CLOSED"),IF($T511="PAID","Account paid. Action completed.","Account closed. No further action required."),CHOOSE($W511,"Collection Email","1st Email Follow-up","2nd Email Follow-up","Escalation to Local Office","Escalation to CBE","Escalation to Roxanne")&amp;" sent "&amp;TEXT($X511,"dd-mmm")&amp;". "&amp;IF($W511=6,"Final escalation completed.",IF($T511="OVERDUE","Next: "&amp;$Z511&amp;" was due "&amp;TEXT($Y511,"dd-mmm")&amp;" - "&amp;(NETWORKDAYS($Y511,TODAY(),Holidays)-1)&amp;" business day(s) late. Send now.",IF($T511="DUE TOMORROW","Next: "&amp;$Z511&amp;IF($Y511&lt;=TODAY()," is due TODAY ("," is due next business day (")&amp;TEXT($Y511,"dd-mmm")&amp;").","Next: "&amp;$Z511&amp;" due "&amp;TEXT($Y511,"dd-mmm")&amp;" ("&amp;(NETWORKDAYS(TODAY(),$Y511,Holidays)-1)&amp;" business day(s) left).")))))</f>
        <v/>
      </c>
      <c r="V511" s="17">
        <f>IF($W511="","",CHOOSE($W511,"Collection Email","1st Follow-up","2nd Follow-up","Local Office","CBE","Roxanne")&amp;IF($W511=6," - Final"," - Day "&amp;MAX(0,NETWORKDAYS($X511,TODAY(),Holidays)-1)&amp;" of "&amp;CHOOSE($W511,3,3,2,2,3))&amp;" | Total Day "&amp;MAX(0,NETWORKDAYS($L511,TODAY(),Holidays)-1))</f>
        <v/>
      </c>
      <c r="W511" s="17">
        <f>IF($L511="","",COUNT($L511:$Q511))</f>
        <v/>
      </c>
      <c r="X511" s="18">
        <f>IF($W511="","",INT(INDEX($L511:$Q511,$W511)))</f>
        <v/>
      </c>
      <c r="Y511" s="18">
        <f>IF(OR($W511="",$W511=6),"",WORKDAY($X511,CHOOSE($W511,3,3,2,2,3),Holidays))</f>
        <v/>
      </c>
      <c r="Z511" s="17">
        <f>IF(OR($W511="",$W511=6),"",CHOOSE($W511,"1st Email Follow-up","2nd Email Follow-up","Escalate Local Office","Escalate to CBE","Escalate to Roxanne"))</f>
        <v/>
      </c>
    </row>
    <row r="512" spans="18:26">
      <c r="R512" s="15"/>
      <c r="S512" s="16"/>
      <c r="T512" s="17">
        <f>IF(AND(COUNTA($A512:$K512)=0,$L512=""),"",IF($S512="Paid","PAID",IF($S512="Closed","CLOSED",IF($W512="","",IF($W512=6,"ESCALATED TO ROXANNE",IF(TODAY()&gt;$Y512,"OVERDUE",IF($Y512&lt;=WORKDAY(TODAY(),1,Holidays),"DUE TOMORROW",IF($W512=4,"ESCALATED TO LOCAL OFFICE",IF($W512=5,"ESCALATED TO CBE",IF($X512=TODAY(),"EMAIL SENT","MONITORING"))))))))))</f>
        <v/>
      </c>
      <c r="U512" s="17">
        <f>IF($T512="",IF(AND(COUNTA($A512:$K512)&gt;0,$L512=""),"Awaiting Collection Email time stamp.",""),IF(OR($T512="PAID",$T512="CLOSED"),IF($T512="PAID","Account paid. Action completed.","Account closed. No further action required."),CHOOSE($W512,"Collection Email","1st Email Follow-up","2nd Email Follow-up","Escalation to Local Office","Escalation to CBE","Escalation to Roxanne")&amp;" sent "&amp;TEXT($X512,"dd-mmm")&amp;". "&amp;IF($W512=6,"Final escalation completed.",IF($T512="OVERDUE","Next: "&amp;$Z512&amp;" was due "&amp;TEXT($Y512,"dd-mmm")&amp;" - "&amp;(NETWORKDAYS($Y512,TODAY(),Holidays)-1)&amp;" business day(s) late. Send now.",IF($T512="DUE TOMORROW","Next: "&amp;$Z512&amp;IF($Y512&lt;=TODAY()," is due TODAY ("," is due next business day (")&amp;TEXT($Y512,"dd-mmm")&amp;").","Next: "&amp;$Z512&amp;" due "&amp;TEXT($Y512,"dd-mmm")&amp;" ("&amp;(NETWORKDAYS(TODAY(),$Y512,Holidays)-1)&amp;" business day(s) left).")))))</f>
        <v/>
      </c>
      <c r="V512" s="17">
        <f>IF($W512="","",CHOOSE($W512,"Collection Email","1st Follow-up","2nd Follow-up","Local Office","CBE","Roxanne")&amp;IF($W512=6," - Final"," - Day "&amp;MAX(0,NETWORKDAYS($X512,TODAY(),Holidays)-1)&amp;" of "&amp;CHOOSE($W512,3,3,2,2,3))&amp;" | Total Day "&amp;MAX(0,NETWORKDAYS($L512,TODAY(),Holidays)-1))</f>
        <v/>
      </c>
      <c r="W512" s="17">
        <f>IF($L512="","",COUNT($L512:$Q512))</f>
        <v/>
      </c>
      <c r="X512" s="18">
        <f>IF($W512="","",INT(INDEX($L512:$Q512,$W512)))</f>
        <v/>
      </c>
      <c r="Y512" s="18">
        <f>IF(OR($W512="",$W512=6),"",WORKDAY($X512,CHOOSE($W512,3,3,2,2,3),Holidays))</f>
        <v/>
      </c>
      <c r="Z512" s="17">
        <f>IF(OR($W512="",$W512=6),"",CHOOSE($W512,"1st Email Follow-up","2nd Email Follow-up","Escalate Local Office","Escalate to CBE","Escalate to Roxanne"))</f>
        <v/>
      </c>
    </row>
    <row r="513" spans="18:26">
      <c r="R513" s="15"/>
      <c r="S513" s="16"/>
      <c r="T513" s="17">
        <f>IF(AND(COUNTA($A513:$K513)=0,$L513=""),"",IF($S513="Paid","PAID",IF($S513="Closed","CLOSED",IF($W513="","",IF($W513=6,"ESCALATED TO ROXANNE",IF(TODAY()&gt;$Y513,"OVERDUE",IF($Y513&lt;=WORKDAY(TODAY(),1,Holidays),"DUE TOMORROW",IF($W513=4,"ESCALATED TO LOCAL OFFICE",IF($W513=5,"ESCALATED TO CBE",IF($X513=TODAY(),"EMAIL SENT","MONITORING"))))))))))</f>
        <v/>
      </c>
      <c r="U513" s="17">
        <f>IF($T513="",IF(AND(COUNTA($A513:$K513)&gt;0,$L513=""),"Awaiting Collection Email time stamp.",""),IF(OR($T513="PAID",$T513="CLOSED"),IF($T513="PAID","Account paid. Action completed.","Account closed. No further action required."),CHOOSE($W513,"Collection Email","1st Email Follow-up","2nd Email Follow-up","Escalation to Local Office","Escalation to CBE","Escalation to Roxanne")&amp;" sent "&amp;TEXT($X513,"dd-mmm")&amp;". "&amp;IF($W513=6,"Final escalation completed.",IF($T513="OVERDUE","Next: "&amp;$Z513&amp;" was due "&amp;TEXT($Y513,"dd-mmm")&amp;" - "&amp;(NETWORKDAYS($Y513,TODAY(),Holidays)-1)&amp;" business day(s) late. Send now.",IF($T513="DUE TOMORROW","Next: "&amp;$Z513&amp;IF($Y513&lt;=TODAY()," is due TODAY ("," is due next business day (")&amp;TEXT($Y513,"dd-mmm")&amp;").","Next: "&amp;$Z513&amp;" due "&amp;TEXT($Y513,"dd-mmm")&amp;" ("&amp;(NETWORKDAYS(TODAY(),$Y513,Holidays)-1)&amp;" business day(s) left).")))))</f>
        <v/>
      </c>
      <c r="V513" s="17">
        <f>IF($W513="","",CHOOSE($W513,"Collection Email","1st Follow-up","2nd Follow-up","Local Office","CBE","Roxanne")&amp;IF($W513=6," - Final"," - Day "&amp;MAX(0,NETWORKDAYS($X513,TODAY(),Holidays)-1)&amp;" of "&amp;CHOOSE($W513,3,3,2,2,3))&amp;" | Total Day "&amp;MAX(0,NETWORKDAYS($L513,TODAY(),Holidays)-1))</f>
        <v/>
      </c>
      <c r="W513" s="17">
        <f>IF($L513="","",COUNT($L513:$Q513))</f>
        <v/>
      </c>
      <c r="X513" s="18">
        <f>IF($W513="","",INT(INDEX($L513:$Q513,$W513)))</f>
        <v/>
      </c>
      <c r="Y513" s="18">
        <f>IF(OR($W513="",$W513=6),"",WORKDAY($X513,CHOOSE($W513,3,3,2,2,3),Holidays))</f>
        <v/>
      </c>
      <c r="Z513" s="17">
        <f>IF(OR($W513="",$W513=6),"",CHOOSE($W513,"1st Email Follow-up","2nd Email Follow-up","Escalate Local Office","Escalate to CBE","Escalate to Roxanne"))</f>
        <v/>
      </c>
    </row>
    <row r="514" spans="18:26">
      <c r="R514" s="15"/>
      <c r="S514" s="16"/>
      <c r="T514" s="17">
        <f>IF(AND(COUNTA($A514:$K514)=0,$L514=""),"",IF($S514="Paid","PAID",IF($S514="Closed","CLOSED",IF($W514="","",IF($W514=6,"ESCALATED TO ROXANNE",IF(TODAY()&gt;$Y514,"OVERDUE",IF($Y514&lt;=WORKDAY(TODAY(),1,Holidays),"DUE TOMORROW",IF($W514=4,"ESCALATED TO LOCAL OFFICE",IF($W514=5,"ESCALATED TO CBE",IF($X514=TODAY(),"EMAIL SENT","MONITORING"))))))))))</f>
        <v/>
      </c>
      <c r="U514" s="17">
        <f>IF($T514="",IF(AND(COUNTA($A514:$K514)&gt;0,$L514=""),"Awaiting Collection Email time stamp.",""),IF(OR($T514="PAID",$T514="CLOSED"),IF($T514="PAID","Account paid. Action completed.","Account closed. No further action required."),CHOOSE($W514,"Collection Email","1st Email Follow-up","2nd Email Follow-up","Escalation to Local Office","Escalation to CBE","Escalation to Roxanne")&amp;" sent "&amp;TEXT($X514,"dd-mmm")&amp;". "&amp;IF($W514=6,"Final escalation completed.",IF($T514="OVERDUE","Next: "&amp;$Z514&amp;" was due "&amp;TEXT($Y514,"dd-mmm")&amp;" - "&amp;(NETWORKDAYS($Y514,TODAY(),Holidays)-1)&amp;" business day(s) late. Send now.",IF($T514="DUE TOMORROW","Next: "&amp;$Z514&amp;IF($Y514&lt;=TODAY()," is due TODAY ("," is due next business day (")&amp;TEXT($Y514,"dd-mmm")&amp;").","Next: "&amp;$Z514&amp;" due "&amp;TEXT($Y514,"dd-mmm")&amp;" ("&amp;(NETWORKDAYS(TODAY(),$Y514,Holidays)-1)&amp;" business day(s) left).")))))</f>
        <v/>
      </c>
      <c r="V514" s="17">
        <f>IF($W514="","",CHOOSE($W514,"Collection Email","1st Follow-up","2nd Follow-up","Local Office","CBE","Roxanne")&amp;IF($W514=6," - Final"," - Day "&amp;MAX(0,NETWORKDAYS($X514,TODAY(),Holidays)-1)&amp;" of "&amp;CHOOSE($W514,3,3,2,2,3))&amp;" | Total Day "&amp;MAX(0,NETWORKDAYS($L514,TODAY(),Holidays)-1))</f>
        <v/>
      </c>
      <c r="W514" s="17">
        <f>IF($L514="","",COUNT($L514:$Q514))</f>
        <v/>
      </c>
      <c r="X514" s="18">
        <f>IF($W514="","",INT(INDEX($L514:$Q514,$W514)))</f>
        <v/>
      </c>
      <c r="Y514" s="18">
        <f>IF(OR($W514="",$W514=6),"",WORKDAY($X514,CHOOSE($W514,3,3,2,2,3),Holidays))</f>
        <v/>
      </c>
      <c r="Z514" s="17">
        <f>IF(OR($W514="",$W514=6),"",CHOOSE($W514,"1st Email Follow-up","2nd Email Follow-up","Escalate Local Office","Escalate to CBE","Escalate to Roxanne"))</f>
        <v/>
      </c>
    </row>
    <row r="515" spans="18:26">
      <c r="R515" s="15"/>
      <c r="S515" s="16"/>
      <c r="T515" s="17">
        <f>IF(AND(COUNTA($A515:$K515)=0,$L515=""),"",IF($S515="Paid","PAID",IF($S515="Closed","CLOSED",IF($W515="","",IF($W515=6,"ESCALATED TO ROXANNE",IF(TODAY()&gt;$Y515,"OVERDUE",IF($Y515&lt;=WORKDAY(TODAY(),1,Holidays),"DUE TOMORROW",IF($W515=4,"ESCALATED TO LOCAL OFFICE",IF($W515=5,"ESCALATED TO CBE",IF($X515=TODAY(),"EMAIL SENT","MONITORING"))))))))))</f>
        <v/>
      </c>
      <c r="U515" s="17">
        <f>IF($T515="",IF(AND(COUNTA($A515:$K515)&gt;0,$L515=""),"Awaiting Collection Email time stamp.",""),IF(OR($T515="PAID",$T515="CLOSED"),IF($T515="PAID","Account paid. Action completed.","Account closed. No further action required."),CHOOSE($W515,"Collection Email","1st Email Follow-up","2nd Email Follow-up","Escalation to Local Office","Escalation to CBE","Escalation to Roxanne")&amp;" sent "&amp;TEXT($X515,"dd-mmm")&amp;". "&amp;IF($W515=6,"Final escalation completed.",IF($T515="OVERDUE","Next: "&amp;$Z515&amp;" was due "&amp;TEXT($Y515,"dd-mmm")&amp;" - "&amp;(NETWORKDAYS($Y515,TODAY(),Holidays)-1)&amp;" business day(s) late. Send now.",IF($T515="DUE TOMORROW","Next: "&amp;$Z515&amp;IF($Y515&lt;=TODAY()," is due TODAY ("," is due next business day (")&amp;TEXT($Y515,"dd-mmm")&amp;").","Next: "&amp;$Z515&amp;" due "&amp;TEXT($Y515,"dd-mmm")&amp;" ("&amp;(NETWORKDAYS(TODAY(),$Y515,Holidays)-1)&amp;" business day(s) left).")))))</f>
        <v/>
      </c>
      <c r="V515" s="17">
        <f>IF($W515="","",CHOOSE($W515,"Collection Email","1st Follow-up","2nd Follow-up","Local Office","CBE","Roxanne")&amp;IF($W515=6," - Final"," - Day "&amp;MAX(0,NETWORKDAYS($X515,TODAY(),Holidays)-1)&amp;" of "&amp;CHOOSE($W515,3,3,2,2,3))&amp;" | Total Day "&amp;MAX(0,NETWORKDAYS($L515,TODAY(),Holidays)-1))</f>
        <v/>
      </c>
      <c r="W515" s="17">
        <f>IF($L515="","",COUNT($L515:$Q515))</f>
        <v/>
      </c>
      <c r="X515" s="18">
        <f>IF($W515="","",INT(INDEX($L515:$Q515,$W515)))</f>
        <v/>
      </c>
      <c r="Y515" s="18">
        <f>IF(OR($W515="",$W515=6),"",WORKDAY($X515,CHOOSE($W515,3,3,2,2,3),Holidays))</f>
        <v/>
      </c>
      <c r="Z515" s="17">
        <f>IF(OR($W515="",$W515=6),"",CHOOSE($W515,"1st Email Follow-up","2nd Email Follow-up","Escalate Local Office","Escalate to CBE","Escalate to Roxanne"))</f>
        <v/>
      </c>
    </row>
    <row r="516" spans="18:26">
      <c r="R516" s="15"/>
      <c r="S516" s="16"/>
      <c r="T516" s="17">
        <f>IF(AND(COUNTA($A516:$K516)=0,$L516=""),"",IF($S516="Paid","PAID",IF($S516="Closed","CLOSED",IF($W516="","",IF($W516=6,"ESCALATED TO ROXANNE",IF(TODAY()&gt;$Y516,"OVERDUE",IF($Y516&lt;=WORKDAY(TODAY(),1,Holidays),"DUE TOMORROW",IF($W516=4,"ESCALATED TO LOCAL OFFICE",IF($W516=5,"ESCALATED TO CBE",IF($X516=TODAY(),"EMAIL SENT","MONITORING"))))))))))</f>
        <v/>
      </c>
      <c r="U516" s="17">
        <f>IF($T516="",IF(AND(COUNTA($A516:$K516)&gt;0,$L516=""),"Awaiting Collection Email time stamp.",""),IF(OR($T516="PAID",$T516="CLOSED"),IF($T516="PAID","Account paid. Action completed.","Account closed. No further action required."),CHOOSE($W516,"Collection Email","1st Email Follow-up","2nd Email Follow-up","Escalation to Local Office","Escalation to CBE","Escalation to Roxanne")&amp;" sent "&amp;TEXT($X516,"dd-mmm")&amp;". "&amp;IF($W516=6,"Final escalation completed.",IF($T516="OVERDUE","Next: "&amp;$Z516&amp;" was due "&amp;TEXT($Y516,"dd-mmm")&amp;" - "&amp;(NETWORKDAYS($Y516,TODAY(),Holidays)-1)&amp;" business day(s) late. Send now.",IF($T516="DUE TOMORROW","Next: "&amp;$Z516&amp;IF($Y516&lt;=TODAY()," is due TODAY ("," is due next business day (")&amp;TEXT($Y516,"dd-mmm")&amp;").","Next: "&amp;$Z516&amp;" due "&amp;TEXT($Y516,"dd-mmm")&amp;" ("&amp;(NETWORKDAYS(TODAY(),$Y516,Holidays)-1)&amp;" business day(s) left).")))))</f>
        <v/>
      </c>
      <c r="V516" s="17">
        <f>IF($W516="","",CHOOSE($W516,"Collection Email","1st Follow-up","2nd Follow-up","Local Office","CBE","Roxanne")&amp;IF($W516=6," - Final"," - Day "&amp;MAX(0,NETWORKDAYS($X516,TODAY(),Holidays)-1)&amp;" of "&amp;CHOOSE($W516,3,3,2,2,3))&amp;" | Total Day "&amp;MAX(0,NETWORKDAYS($L516,TODAY(),Holidays)-1))</f>
        <v/>
      </c>
      <c r="W516" s="17">
        <f>IF($L516="","",COUNT($L516:$Q516))</f>
        <v/>
      </c>
      <c r="X516" s="18">
        <f>IF($W516="","",INT(INDEX($L516:$Q516,$W516)))</f>
        <v/>
      </c>
      <c r="Y516" s="18">
        <f>IF(OR($W516="",$W516=6),"",WORKDAY($X516,CHOOSE($W516,3,3,2,2,3),Holidays))</f>
        <v/>
      </c>
      <c r="Z516" s="17">
        <f>IF(OR($W516="",$W516=6),"",CHOOSE($W516,"1st Email Follow-up","2nd Email Follow-up","Escalate Local Office","Escalate to CBE","Escalate to Roxanne"))</f>
        <v/>
      </c>
    </row>
    <row r="517" spans="18:26">
      <c r="R517" s="15"/>
      <c r="S517" s="16"/>
      <c r="T517" s="17">
        <f>IF(AND(COUNTA($A517:$K517)=0,$L517=""),"",IF($S517="Paid","PAID",IF($S517="Closed","CLOSED",IF($W517="","",IF($W517=6,"ESCALATED TO ROXANNE",IF(TODAY()&gt;$Y517,"OVERDUE",IF($Y517&lt;=WORKDAY(TODAY(),1,Holidays),"DUE TOMORROW",IF($W517=4,"ESCALATED TO LOCAL OFFICE",IF($W517=5,"ESCALATED TO CBE",IF($X517=TODAY(),"EMAIL SENT","MONITORING"))))))))))</f>
        <v/>
      </c>
      <c r="U517" s="17">
        <f>IF($T517="",IF(AND(COUNTA($A517:$K517)&gt;0,$L517=""),"Awaiting Collection Email time stamp.",""),IF(OR($T517="PAID",$T517="CLOSED"),IF($T517="PAID","Account paid. Action completed.","Account closed. No further action required."),CHOOSE($W517,"Collection Email","1st Email Follow-up","2nd Email Follow-up","Escalation to Local Office","Escalation to CBE","Escalation to Roxanne")&amp;" sent "&amp;TEXT($X517,"dd-mmm")&amp;". "&amp;IF($W517=6,"Final escalation completed.",IF($T517="OVERDUE","Next: "&amp;$Z517&amp;" was due "&amp;TEXT($Y517,"dd-mmm")&amp;" - "&amp;(NETWORKDAYS($Y517,TODAY(),Holidays)-1)&amp;" business day(s) late. Send now.",IF($T517="DUE TOMORROW","Next: "&amp;$Z517&amp;IF($Y517&lt;=TODAY()," is due TODAY ("," is due next business day (")&amp;TEXT($Y517,"dd-mmm")&amp;").","Next: "&amp;$Z517&amp;" due "&amp;TEXT($Y517,"dd-mmm")&amp;" ("&amp;(NETWORKDAYS(TODAY(),$Y517,Holidays)-1)&amp;" business day(s) left).")))))</f>
        <v/>
      </c>
      <c r="V517" s="17">
        <f>IF($W517="","",CHOOSE($W517,"Collection Email","1st Follow-up","2nd Follow-up","Local Office","CBE","Roxanne")&amp;IF($W517=6," - Final"," - Day "&amp;MAX(0,NETWORKDAYS($X517,TODAY(),Holidays)-1)&amp;" of "&amp;CHOOSE($W517,3,3,2,2,3))&amp;" | Total Day "&amp;MAX(0,NETWORKDAYS($L517,TODAY(),Holidays)-1))</f>
        <v/>
      </c>
      <c r="W517" s="17">
        <f>IF($L517="","",COUNT($L517:$Q517))</f>
        <v/>
      </c>
      <c r="X517" s="18">
        <f>IF($W517="","",INT(INDEX($L517:$Q517,$W517)))</f>
        <v/>
      </c>
      <c r="Y517" s="18">
        <f>IF(OR($W517="",$W517=6),"",WORKDAY($X517,CHOOSE($W517,3,3,2,2,3),Holidays))</f>
        <v/>
      </c>
      <c r="Z517" s="17">
        <f>IF(OR($W517="",$W517=6),"",CHOOSE($W517,"1st Email Follow-up","2nd Email Follow-up","Escalate Local Office","Escalate to CBE","Escalate to Roxanne"))</f>
        <v/>
      </c>
    </row>
    <row r="518" spans="18:26">
      <c r="R518" s="15"/>
      <c r="S518" s="16"/>
      <c r="T518" s="17">
        <f>IF(AND(COUNTA($A518:$K518)=0,$L518=""),"",IF($S518="Paid","PAID",IF($S518="Closed","CLOSED",IF($W518="","",IF($W518=6,"ESCALATED TO ROXANNE",IF(TODAY()&gt;$Y518,"OVERDUE",IF($Y518&lt;=WORKDAY(TODAY(),1,Holidays),"DUE TOMORROW",IF($W518=4,"ESCALATED TO LOCAL OFFICE",IF($W518=5,"ESCALATED TO CBE",IF($X518=TODAY(),"EMAIL SENT","MONITORING"))))))))))</f>
        <v/>
      </c>
      <c r="U518" s="17">
        <f>IF($T518="",IF(AND(COUNTA($A518:$K518)&gt;0,$L518=""),"Awaiting Collection Email time stamp.",""),IF(OR($T518="PAID",$T518="CLOSED"),IF($T518="PAID","Account paid. Action completed.","Account closed. No further action required."),CHOOSE($W518,"Collection Email","1st Email Follow-up","2nd Email Follow-up","Escalation to Local Office","Escalation to CBE","Escalation to Roxanne")&amp;" sent "&amp;TEXT($X518,"dd-mmm")&amp;". "&amp;IF($W518=6,"Final escalation completed.",IF($T518="OVERDUE","Next: "&amp;$Z518&amp;" was due "&amp;TEXT($Y518,"dd-mmm")&amp;" - "&amp;(NETWORKDAYS($Y518,TODAY(),Holidays)-1)&amp;" business day(s) late. Send now.",IF($T518="DUE TOMORROW","Next: "&amp;$Z518&amp;IF($Y518&lt;=TODAY()," is due TODAY ("," is due next business day (")&amp;TEXT($Y518,"dd-mmm")&amp;").","Next: "&amp;$Z518&amp;" due "&amp;TEXT($Y518,"dd-mmm")&amp;" ("&amp;(NETWORKDAYS(TODAY(),$Y518,Holidays)-1)&amp;" business day(s) left).")))))</f>
        <v/>
      </c>
      <c r="V518" s="17">
        <f>IF($W518="","",CHOOSE($W518,"Collection Email","1st Follow-up","2nd Follow-up","Local Office","CBE","Roxanne")&amp;IF($W518=6," - Final"," - Day "&amp;MAX(0,NETWORKDAYS($X518,TODAY(),Holidays)-1)&amp;" of "&amp;CHOOSE($W518,3,3,2,2,3))&amp;" | Total Day "&amp;MAX(0,NETWORKDAYS($L518,TODAY(),Holidays)-1))</f>
        <v/>
      </c>
      <c r="W518" s="17">
        <f>IF($L518="","",COUNT($L518:$Q518))</f>
        <v/>
      </c>
      <c r="X518" s="18">
        <f>IF($W518="","",INT(INDEX($L518:$Q518,$W518)))</f>
        <v/>
      </c>
      <c r="Y518" s="18">
        <f>IF(OR($W518="",$W518=6),"",WORKDAY($X518,CHOOSE($W518,3,3,2,2,3),Holidays))</f>
        <v/>
      </c>
      <c r="Z518" s="17">
        <f>IF(OR($W518="",$W518=6),"",CHOOSE($W518,"1st Email Follow-up","2nd Email Follow-up","Escalate Local Office","Escalate to CBE","Escalate to Roxanne"))</f>
        <v/>
      </c>
    </row>
    <row r="519" spans="18:26">
      <c r="R519" s="15"/>
      <c r="S519" s="16"/>
      <c r="T519" s="17">
        <f>IF(AND(COUNTA($A519:$K519)=0,$L519=""),"",IF($S519="Paid","PAID",IF($S519="Closed","CLOSED",IF($W519="","",IF($W519=6,"ESCALATED TO ROXANNE",IF(TODAY()&gt;$Y519,"OVERDUE",IF($Y519&lt;=WORKDAY(TODAY(),1,Holidays),"DUE TOMORROW",IF($W519=4,"ESCALATED TO LOCAL OFFICE",IF($W519=5,"ESCALATED TO CBE",IF($X519=TODAY(),"EMAIL SENT","MONITORING"))))))))))</f>
        <v/>
      </c>
      <c r="U519" s="17">
        <f>IF($T519="",IF(AND(COUNTA($A519:$K519)&gt;0,$L519=""),"Awaiting Collection Email time stamp.",""),IF(OR($T519="PAID",$T519="CLOSED"),IF($T519="PAID","Account paid. Action completed.","Account closed. No further action required."),CHOOSE($W519,"Collection Email","1st Email Follow-up","2nd Email Follow-up","Escalation to Local Office","Escalation to CBE","Escalation to Roxanne")&amp;" sent "&amp;TEXT($X519,"dd-mmm")&amp;". "&amp;IF($W519=6,"Final escalation completed.",IF($T519="OVERDUE","Next: "&amp;$Z519&amp;" was due "&amp;TEXT($Y519,"dd-mmm")&amp;" - "&amp;(NETWORKDAYS($Y519,TODAY(),Holidays)-1)&amp;" business day(s) late. Send now.",IF($T519="DUE TOMORROW","Next: "&amp;$Z519&amp;IF($Y519&lt;=TODAY()," is due TODAY ("," is due next business day (")&amp;TEXT($Y519,"dd-mmm")&amp;").","Next: "&amp;$Z519&amp;" due "&amp;TEXT($Y519,"dd-mmm")&amp;" ("&amp;(NETWORKDAYS(TODAY(),$Y519,Holidays)-1)&amp;" business day(s) left).")))))</f>
        <v/>
      </c>
      <c r="V519" s="17">
        <f>IF($W519="","",CHOOSE($W519,"Collection Email","1st Follow-up","2nd Follow-up","Local Office","CBE","Roxanne")&amp;IF($W519=6," - Final"," - Day "&amp;MAX(0,NETWORKDAYS($X519,TODAY(),Holidays)-1)&amp;" of "&amp;CHOOSE($W519,3,3,2,2,3))&amp;" | Total Day "&amp;MAX(0,NETWORKDAYS($L519,TODAY(),Holidays)-1))</f>
        <v/>
      </c>
      <c r="W519" s="17">
        <f>IF($L519="","",COUNT($L519:$Q519))</f>
        <v/>
      </c>
      <c r="X519" s="18">
        <f>IF($W519="","",INT(INDEX($L519:$Q519,$W519)))</f>
        <v/>
      </c>
      <c r="Y519" s="18">
        <f>IF(OR($W519="",$W519=6),"",WORKDAY($X519,CHOOSE($W519,3,3,2,2,3),Holidays))</f>
        <v/>
      </c>
      <c r="Z519" s="17">
        <f>IF(OR($W519="",$W519=6),"",CHOOSE($W519,"1st Email Follow-up","2nd Email Follow-up","Escalate Local Office","Escalate to CBE","Escalate to Roxanne"))</f>
        <v/>
      </c>
    </row>
    <row r="520" spans="18:26">
      <c r="R520" s="15"/>
      <c r="S520" s="16"/>
      <c r="T520" s="17">
        <f>IF(AND(COUNTA($A520:$K520)=0,$L520=""),"",IF($S520="Paid","PAID",IF($S520="Closed","CLOSED",IF($W520="","",IF($W520=6,"ESCALATED TO ROXANNE",IF(TODAY()&gt;$Y520,"OVERDUE",IF($Y520&lt;=WORKDAY(TODAY(),1,Holidays),"DUE TOMORROW",IF($W520=4,"ESCALATED TO LOCAL OFFICE",IF($W520=5,"ESCALATED TO CBE",IF($X520=TODAY(),"EMAIL SENT","MONITORING"))))))))))</f>
        <v/>
      </c>
      <c r="U520" s="17">
        <f>IF($T520="",IF(AND(COUNTA($A520:$K520)&gt;0,$L520=""),"Awaiting Collection Email time stamp.",""),IF(OR($T520="PAID",$T520="CLOSED"),IF($T520="PAID","Account paid. Action completed.","Account closed. No further action required."),CHOOSE($W520,"Collection Email","1st Email Follow-up","2nd Email Follow-up","Escalation to Local Office","Escalation to CBE","Escalation to Roxanne")&amp;" sent "&amp;TEXT($X520,"dd-mmm")&amp;". "&amp;IF($W520=6,"Final escalation completed.",IF($T520="OVERDUE","Next: "&amp;$Z520&amp;" was due "&amp;TEXT($Y520,"dd-mmm")&amp;" - "&amp;(NETWORKDAYS($Y520,TODAY(),Holidays)-1)&amp;" business day(s) late. Send now.",IF($T520="DUE TOMORROW","Next: "&amp;$Z520&amp;IF($Y520&lt;=TODAY()," is due TODAY ("," is due next business day (")&amp;TEXT($Y520,"dd-mmm")&amp;").","Next: "&amp;$Z520&amp;" due "&amp;TEXT($Y520,"dd-mmm")&amp;" ("&amp;(NETWORKDAYS(TODAY(),$Y520,Holidays)-1)&amp;" business day(s) left).")))))</f>
        <v/>
      </c>
      <c r="V520" s="17">
        <f>IF($W520="","",CHOOSE($W520,"Collection Email","1st Follow-up","2nd Follow-up","Local Office","CBE","Roxanne")&amp;IF($W520=6," - Final"," - Day "&amp;MAX(0,NETWORKDAYS($X520,TODAY(),Holidays)-1)&amp;" of "&amp;CHOOSE($W520,3,3,2,2,3))&amp;" | Total Day "&amp;MAX(0,NETWORKDAYS($L520,TODAY(),Holidays)-1))</f>
        <v/>
      </c>
      <c r="W520" s="17">
        <f>IF($L520="","",COUNT($L520:$Q520))</f>
        <v/>
      </c>
      <c r="X520" s="18">
        <f>IF($W520="","",INT(INDEX($L520:$Q520,$W520)))</f>
        <v/>
      </c>
      <c r="Y520" s="18">
        <f>IF(OR($W520="",$W520=6),"",WORKDAY($X520,CHOOSE($W520,3,3,2,2,3),Holidays))</f>
        <v/>
      </c>
      <c r="Z520" s="17">
        <f>IF(OR($W520="",$W520=6),"",CHOOSE($W520,"1st Email Follow-up","2nd Email Follow-up","Escalate Local Office","Escalate to CBE","Escalate to Roxanne"))</f>
        <v/>
      </c>
    </row>
    <row r="521" spans="18:26">
      <c r="R521" s="15"/>
      <c r="S521" s="16"/>
      <c r="T521" s="17">
        <f>IF(AND(COUNTA($A521:$K521)=0,$L521=""),"",IF($S521="Paid","PAID",IF($S521="Closed","CLOSED",IF($W521="","",IF($W521=6,"ESCALATED TO ROXANNE",IF(TODAY()&gt;$Y521,"OVERDUE",IF($Y521&lt;=WORKDAY(TODAY(),1,Holidays),"DUE TOMORROW",IF($W521=4,"ESCALATED TO LOCAL OFFICE",IF($W521=5,"ESCALATED TO CBE",IF($X521=TODAY(),"EMAIL SENT","MONITORING"))))))))))</f>
        <v/>
      </c>
      <c r="U521" s="17">
        <f>IF($T521="",IF(AND(COUNTA($A521:$K521)&gt;0,$L521=""),"Awaiting Collection Email time stamp.",""),IF(OR($T521="PAID",$T521="CLOSED"),IF($T521="PAID","Account paid. Action completed.","Account closed. No further action required."),CHOOSE($W521,"Collection Email","1st Email Follow-up","2nd Email Follow-up","Escalation to Local Office","Escalation to CBE","Escalation to Roxanne")&amp;" sent "&amp;TEXT($X521,"dd-mmm")&amp;". "&amp;IF($W521=6,"Final escalation completed.",IF($T521="OVERDUE","Next: "&amp;$Z521&amp;" was due "&amp;TEXT($Y521,"dd-mmm")&amp;" - "&amp;(NETWORKDAYS($Y521,TODAY(),Holidays)-1)&amp;" business day(s) late. Send now.",IF($T521="DUE TOMORROW","Next: "&amp;$Z521&amp;IF($Y521&lt;=TODAY()," is due TODAY ("," is due next business day (")&amp;TEXT($Y521,"dd-mmm")&amp;").","Next: "&amp;$Z521&amp;" due "&amp;TEXT($Y521,"dd-mmm")&amp;" ("&amp;(NETWORKDAYS(TODAY(),$Y521,Holidays)-1)&amp;" business day(s) left).")))))</f>
        <v/>
      </c>
      <c r="V521" s="17">
        <f>IF($W521="","",CHOOSE($W521,"Collection Email","1st Follow-up","2nd Follow-up","Local Office","CBE","Roxanne")&amp;IF($W521=6," - Final"," - Day "&amp;MAX(0,NETWORKDAYS($X521,TODAY(),Holidays)-1)&amp;" of "&amp;CHOOSE($W521,3,3,2,2,3))&amp;" | Total Day "&amp;MAX(0,NETWORKDAYS($L521,TODAY(),Holidays)-1))</f>
        <v/>
      </c>
      <c r="W521" s="17">
        <f>IF($L521="","",COUNT($L521:$Q521))</f>
        <v/>
      </c>
      <c r="X521" s="18">
        <f>IF($W521="","",INT(INDEX($L521:$Q521,$W521)))</f>
        <v/>
      </c>
      <c r="Y521" s="18">
        <f>IF(OR($W521="",$W521=6),"",WORKDAY($X521,CHOOSE($W521,3,3,2,2,3),Holidays))</f>
        <v/>
      </c>
      <c r="Z521" s="17">
        <f>IF(OR($W521="",$W521=6),"",CHOOSE($W521,"1st Email Follow-up","2nd Email Follow-up","Escalate Local Office","Escalate to CBE","Escalate to Roxanne"))</f>
        <v/>
      </c>
    </row>
    <row r="522" spans="18:26">
      <c r="R522" s="15"/>
      <c r="S522" s="16"/>
      <c r="T522" s="17">
        <f>IF(AND(COUNTA($A522:$K522)=0,$L522=""),"",IF($S522="Paid","PAID",IF($S522="Closed","CLOSED",IF($W522="","",IF($W522=6,"ESCALATED TO ROXANNE",IF(TODAY()&gt;$Y522,"OVERDUE",IF($Y522&lt;=WORKDAY(TODAY(),1,Holidays),"DUE TOMORROW",IF($W522=4,"ESCALATED TO LOCAL OFFICE",IF($W522=5,"ESCALATED TO CBE",IF($X522=TODAY(),"EMAIL SENT","MONITORING"))))))))))</f>
        <v/>
      </c>
      <c r="U522" s="17">
        <f>IF($T522="",IF(AND(COUNTA($A522:$K522)&gt;0,$L522=""),"Awaiting Collection Email time stamp.",""),IF(OR($T522="PAID",$T522="CLOSED"),IF($T522="PAID","Account paid. Action completed.","Account closed. No further action required."),CHOOSE($W522,"Collection Email","1st Email Follow-up","2nd Email Follow-up","Escalation to Local Office","Escalation to CBE","Escalation to Roxanne")&amp;" sent "&amp;TEXT($X522,"dd-mmm")&amp;". "&amp;IF($W522=6,"Final escalation completed.",IF($T522="OVERDUE","Next: "&amp;$Z522&amp;" was due "&amp;TEXT($Y522,"dd-mmm")&amp;" - "&amp;(NETWORKDAYS($Y522,TODAY(),Holidays)-1)&amp;" business day(s) late. Send now.",IF($T522="DUE TOMORROW","Next: "&amp;$Z522&amp;IF($Y522&lt;=TODAY()," is due TODAY ("," is due next business day (")&amp;TEXT($Y522,"dd-mmm")&amp;").","Next: "&amp;$Z522&amp;" due "&amp;TEXT($Y522,"dd-mmm")&amp;" ("&amp;(NETWORKDAYS(TODAY(),$Y522,Holidays)-1)&amp;" business day(s) left).")))))</f>
        <v/>
      </c>
      <c r="V522" s="17">
        <f>IF($W522="","",CHOOSE($W522,"Collection Email","1st Follow-up","2nd Follow-up","Local Office","CBE","Roxanne")&amp;IF($W522=6," - Final"," - Day "&amp;MAX(0,NETWORKDAYS($X522,TODAY(),Holidays)-1)&amp;" of "&amp;CHOOSE($W522,3,3,2,2,3))&amp;" | Total Day "&amp;MAX(0,NETWORKDAYS($L522,TODAY(),Holidays)-1))</f>
        <v/>
      </c>
      <c r="W522" s="17">
        <f>IF($L522="","",COUNT($L522:$Q522))</f>
        <v/>
      </c>
      <c r="X522" s="18">
        <f>IF($W522="","",INT(INDEX($L522:$Q522,$W522)))</f>
        <v/>
      </c>
      <c r="Y522" s="18">
        <f>IF(OR($W522="",$W522=6),"",WORKDAY($X522,CHOOSE($W522,3,3,2,2,3),Holidays))</f>
        <v/>
      </c>
      <c r="Z522" s="17">
        <f>IF(OR($W522="",$W522=6),"",CHOOSE($W522,"1st Email Follow-up","2nd Email Follow-up","Escalate Local Office","Escalate to CBE","Escalate to Roxanne"))</f>
        <v/>
      </c>
    </row>
    <row r="523" spans="18:26">
      <c r="R523" s="15"/>
      <c r="S523" s="16"/>
      <c r="T523" s="17">
        <f>IF(AND(COUNTA($A523:$K523)=0,$L523=""),"",IF($S523="Paid","PAID",IF($S523="Closed","CLOSED",IF($W523="","",IF($W523=6,"ESCALATED TO ROXANNE",IF(TODAY()&gt;$Y523,"OVERDUE",IF($Y523&lt;=WORKDAY(TODAY(),1,Holidays),"DUE TOMORROW",IF($W523=4,"ESCALATED TO LOCAL OFFICE",IF($W523=5,"ESCALATED TO CBE",IF($X523=TODAY(),"EMAIL SENT","MONITORING"))))))))))</f>
        <v/>
      </c>
      <c r="U523" s="17">
        <f>IF($T523="",IF(AND(COUNTA($A523:$K523)&gt;0,$L523=""),"Awaiting Collection Email time stamp.",""),IF(OR($T523="PAID",$T523="CLOSED"),IF($T523="PAID","Account paid. Action completed.","Account closed. No further action required."),CHOOSE($W523,"Collection Email","1st Email Follow-up","2nd Email Follow-up","Escalation to Local Office","Escalation to CBE","Escalation to Roxanne")&amp;" sent "&amp;TEXT($X523,"dd-mmm")&amp;". "&amp;IF($W523=6,"Final escalation completed.",IF($T523="OVERDUE","Next: "&amp;$Z523&amp;" was due "&amp;TEXT($Y523,"dd-mmm")&amp;" - "&amp;(NETWORKDAYS($Y523,TODAY(),Holidays)-1)&amp;" business day(s) late. Send now.",IF($T523="DUE TOMORROW","Next: "&amp;$Z523&amp;IF($Y523&lt;=TODAY()," is due TODAY ("," is due next business day (")&amp;TEXT($Y523,"dd-mmm")&amp;").","Next: "&amp;$Z523&amp;" due "&amp;TEXT($Y523,"dd-mmm")&amp;" ("&amp;(NETWORKDAYS(TODAY(),$Y523,Holidays)-1)&amp;" business day(s) left).")))))</f>
        <v/>
      </c>
      <c r="V523" s="17">
        <f>IF($W523="","",CHOOSE($W523,"Collection Email","1st Follow-up","2nd Follow-up","Local Office","CBE","Roxanne")&amp;IF($W523=6," - Final"," - Day "&amp;MAX(0,NETWORKDAYS($X523,TODAY(),Holidays)-1)&amp;" of "&amp;CHOOSE($W523,3,3,2,2,3))&amp;" | Total Day "&amp;MAX(0,NETWORKDAYS($L523,TODAY(),Holidays)-1))</f>
        <v/>
      </c>
      <c r="W523" s="17">
        <f>IF($L523="","",COUNT($L523:$Q523))</f>
        <v/>
      </c>
      <c r="X523" s="18">
        <f>IF($W523="","",INT(INDEX($L523:$Q523,$W523)))</f>
        <v/>
      </c>
      <c r="Y523" s="18">
        <f>IF(OR($W523="",$W523=6),"",WORKDAY($X523,CHOOSE($W523,3,3,2,2,3),Holidays))</f>
        <v/>
      </c>
      <c r="Z523" s="17">
        <f>IF(OR($W523="",$W523=6),"",CHOOSE($W523,"1st Email Follow-up","2nd Email Follow-up","Escalate Local Office","Escalate to CBE","Escalate to Roxanne"))</f>
        <v/>
      </c>
    </row>
    <row r="524" spans="18:26">
      <c r="R524" s="15"/>
      <c r="S524" s="16"/>
      <c r="T524" s="17">
        <f>IF(AND(COUNTA($A524:$K524)=0,$L524=""),"",IF($S524="Paid","PAID",IF($S524="Closed","CLOSED",IF($W524="","",IF($W524=6,"ESCALATED TO ROXANNE",IF(TODAY()&gt;$Y524,"OVERDUE",IF($Y524&lt;=WORKDAY(TODAY(),1,Holidays),"DUE TOMORROW",IF($W524=4,"ESCALATED TO LOCAL OFFICE",IF($W524=5,"ESCALATED TO CBE",IF($X524=TODAY(),"EMAIL SENT","MONITORING"))))))))))</f>
        <v/>
      </c>
      <c r="U524" s="17">
        <f>IF($T524="",IF(AND(COUNTA($A524:$K524)&gt;0,$L524=""),"Awaiting Collection Email time stamp.",""),IF(OR($T524="PAID",$T524="CLOSED"),IF($T524="PAID","Account paid. Action completed.","Account closed. No further action required."),CHOOSE($W524,"Collection Email","1st Email Follow-up","2nd Email Follow-up","Escalation to Local Office","Escalation to CBE","Escalation to Roxanne")&amp;" sent "&amp;TEXT($X524,"dd-mmm")&amp;". "&amp;IF($W524=6,"Final escalation completed.",IF($T524="OVERDUE","Next: "&amp;$Z524&amp;" was due "&amp;TEXT($Y524,"dd-mmm")&amp;" - "&amp;(NETWORKDAYS($Y524,TODAY(),Holidays)-1)&amp;" business day(s) late. Send now.",IF($T524="DUE TOMORROW","Next: "&amp;$Z524&amp;IF($Y524&lt;=TODAY()," is due TODAY ("," is due next business day (")&amp;TEXT($Y524,"dd-mmm")&amp;").","Next: "&amp;$Z524&amp;" due "&amp;TEXT($Y524,"dd-mmm")&amp;" ("&amp;(NETWORKDAYS(TODAY(),$Y524,Holidays)-1)&amp;" business day(s) left).")))))</f>
        <v/>
      </c>
      <c r="V524" s="17">
        <f>IF($W524="","",CHOOSE($W524,"Collection Email","1st Follow-up","2nd Follow-up","Local Office","CBE","Roxanne")&amp;IF($W524=6," - Final"," - Day "&amp;MAX(0,NETWORKDAYS($X524,TODAY(),Holidays)-1)&amp;" of "&amp;CHOOSE($W524,3,3,2,2,3))&amp;" | Total Day "&amp;MAX(0,NETWORKDAYS($L524,TODAY(),Holidays)-1))</f>
        <v/>
      </c>
      <c r="W524" s="17">
        <f>IF($L524="","",COUNT($L524:$Q524))</f>
        <v/>
      </c>
      <c r="X524" s="18">
        <f>IF($W524="","",INT(INDEX($L524:$Q524,$W524)))</f>
        <v/>
      </c>
      <c r="Y524" s="18">
        <f>IF(OR($W524="",$W524=6),"",WORKDAY($X524,CHOOSE($W524,3,3,2,2,3),Holidays))</f>
        <v/>
      </c>
      <c r="Z524" s="17">
        <f>IF(OR($W524="",$W524=6),"",CHOOSE($W524,"1st Email Follow-up","2nd Email Follow-up","Escalate Local Office","Escalate to CBE","Escalate to Roxanne"))</f>
        <v/>
      </c>
    </row>
    <row r="525" spans="18:26">
      <c r="R525" s="15"/>
      <c r="S525" s="16"/>
      <c r="T525" s="17">
        <f>IF(AND(COUNTA($A525:$K525)=0,$L525=""),"",IF($S525="Paid","PAID",IF($S525="Closed","CLOSED",IF($W525="","",IF($W525=6,"ESCALATED TO ROXANNE",IF(TODAY()&gt;$Y525,"OVERDUE",IF($Y525&lt;=WORKDAY(TODAY(),1,Holidays),"DUE TOMORROW",IF($W525=4,"ESCALATED TO LOCAL OFFICE",IF($W525=5,"ESCALATED TO CBE",IF($X525=TODAY(),"EMAIL SENT","MONITORING"))))))))))</f>
        <v/>
      </c>
      <c r="U525" s="17">
        <f>IF($T525="",IF(AND(COUNTA($A525:$K525)&gt;0,$L525=""),"Awaiting Collection Email time stamp.",""),IF(OR($T525="PAID",$T525="CLOSED"),IF($T525="PAID","Account paid. Action completed.","Account closed. No further action required."),CHOOSE($W525,"Collection Email","1st Email Follow-up","2nd Email Follow-up","Escalation to Local Office","Escalation to CBE","Escalation to Roxanne")&amp;" sent "&amp;TEXT($X525,"dd-mmm")&amp;". "&amp;IF($W525=6,"Final escalation completed.",IF($T525="OVERDUE","Next: "&amp;$Z525&amp;" was due "&amp;TEXT($Y525,"dd-mmm")&amp;" - "&amp;(NETWORKDAYS($Y525,TODAY(),Holidays)-1)&amp;" business day(s) late. Send now.",IF($T525="DUE TOMORROW","Next: "&amp;$Z525&amp;IF($Y525&lt;=TODAY()," is due TODAY ("," is due next business day (")&amp;TEXT($Y525,"dd-mmm")&amp;").","Next: "&amp;$Z525&amp;" due "&amp;TEXT($Y525,"dd-mmm")&amp;" ("&amp;(NETWORKDAYS(TODAY(),$Y525,Holidays)-1)&amp;" business day(s) left).")))))</f>
        <v/>
      </c>
      <c r="V525" s="17">
        <f>IF($W525="","",CHOOSE($W525,"Collection Email","1st Follow-up","2nd Follow-up","Local Office","CBE","Roxanne")&amp;IF($W525=6," - Final"," - Day "&amp;MAX(0,NETWORKDAYS($X525,TODAY(),Holidays)-1)&amp;" of "&amp;CHOOSE($W525,3,3,2,2,3))&amp;" | Total Day "&amp;MAX(0,NETWORKDAYS($L525,TODAY(),Holidays)-1))</f>
        <v/>
      </c>
      <c r="W525" s="17">
        <f>IF($L525="","",COUNT($L525:$Q525))</f>
        <v/>
      </c>
      <c r="X525" s="18">
        <f>IF($W525="","",INT(INDEX($L525:$Q525,$W525)))</f>
        <v/>
      </c>
      <c r="Y525" s="18">
        <f>IF(OR($W525="",$W525=6),"",WORKDAY($X525,CHOOSE($W525,3,3,2,2,3),Holidays))</f>
        <v/>
      </c>
      <c r="Z525" s="17">
        <f>IF(OR($W525="",$W525=6),"",CHOOSE($W525,"1st Email Follow-up","2nd Email Follow-up","Escalate Local Office","Escalate to CBE","Escalate to Roxanne"))</f>
        <v/>
      </c>
    </row>
    <row r="526" spans="18:26">
      <c r="R526" s="15"/>
      <c r="S526" s="16"/>
      <c r="T526" s="17">
        <f>IF(AND(COUNTA($A526:$K526)=0,$L526=""),"",IF($S526="Paid","PAID",IF($S526="Closed","CLOSED",IF($W526="","",IF($W526=6,"ESCALATED TO ROXANNE",IF(TODAY()&gt;$Y526,"OVERDUE",IF($Y526&lt;=WORKDAY(TODAY(),1,Holidays),"DUE TOMORROW",IF($W526=4,"ESCALATED TO LOCAL OFFICE",IF($W526=5,"ESCALATED TO CBE",IF($X526=TODAY(),"EMAIL SENT","MONITORING"))))))))))</f>
        <v/>
      </c>
      <c r="U526" s="17">
        <f>IF($T526="",IF(AND(COUNTA($A526:$K526)&gt;0,$L526=""),"Awaiting Collection Email time stamp.",""),IF(OR($T526="PAID",$T526="CLOSED"),IF($T526="PAID","Account paid. Action completed.","Account closed. No further action required."),CHOOSE($W526,"Collection Email","1st Email Follow-up","2nd Email Follow-up","Escalation to Local Office","Escalation to CBE","Escalation to Roxanne")&amp;" sent "&amp;TEXT($X526,"dd-mmm")&amp;". "&amp;IF($W526=6,"Final escalation completed.",IF($T526="OVERDUE","Next: "&amp;$Z526&amp;" was due "&amp;TEXT($Y526,"dd-mmm")&amp;" - "&amp;(NETWORKDAYS($Y526,TODAY(),Holidays)-1)&amp;" business day(s) late. Send now.",IF($T526="DUE TOMORROW","Next: "&amp;$Z526&amp;IF($Y526&lt;=TODAY()," is due TODAY ("," is due next business day (")&amp;TEXT($Y526,"dd-mmm")&amp;").","Next: "&amp;$Z526&amp;" due "&amp;TEXT($Y526,"dd-mmm")&amp;" ("&amp;(NETWORKDAYS(TODAY(),$Y526,Holidays)-1)&amp;" business day(s) left).")))))</f>
        <v/>
      </c>
      <c r="V526" s="17">
        <f>IF($W526="","",CHOOSE($W526,"Collection Email","1st Follow-up","2nd Follow-up","Local Office","CBE","Roxanne")&amp;IF($W526=6," - Final"," - Day "&amp;MAX(0,NETWORKDAYS($X526,TODAY(),Holidays)-1)&amp;" of "&amp;CHOOSE($W526,3,3,2,2,3))&amp;" | Total Day "&amp;MAX(0,NETWORKDAYS($L526,TODAY(),Holidays)-1))</f>
        <v/>
      </c>
      <c r="W526" s="17">
        <f>IF($L526="","",COUNT($L526:$Q526))</f>
        <v/>
      </c>
      <c r="X526" s="18">
        <f>IF($W526="","",INT(INDEX($L526:$Q526,$W526)))</f>
        <v/>
      </c>
      <c r="Y526" s="18">
        <f>IF(OR($W526="",$W526=6),"",WORKDAY($X526,CHOOSE($W526,3,3,2,2,3),Holidays))</f>
        <v/>
      </c>
      <c r="Z526" s="17">
        <f>IF(OR($W526="",$W526=6),"",CHOOSE($W526,"1st Email Follow-up","2nd Email Follow-up","Escalate Local Office","Escalate to CBE","Escalate to Roxanne"))</f>
        <v/>
      </c>
    </row>
    <row r="527" spans="18:26">
      <c r="R527" s="15"/>
      <c r="S527" s="16"/>
      <c r="T527" s="17">
        <f>IF(AND(COUNTA($A527:$K527)=0,$L527=""),"",IF($S527="Paid","PAID",IF($S527="Closed","CLOSED",IF($W527="","",IF($W527=6,"ESCALATED TO ROXANNE",IF(TODAY()&gt;$Y527,"OVERDUE",IF($Y527&lt;=WORKDAY(TODAY(),1,Holidays),"DUE TOMORROW",IF($W527=4,"ESCALATED TO LOCAL OFFICE",IF($W527=5,"ESCALATED TO CBE",IF($X527=TODAY(),"EMAIL SENT","MONITORING"))))))))))</f>
        <v/>
      </c>
      <c r="U527" s="17">
        <f>IF($T527="",IF(AND(COUNTA($A527:$K527)&gt;0,$L527=""),"Awaiting Collection Email time stamp.",""),IF(OR($T527="PAID",$T527="CLOSED"),IF($T527="PAID","Account paid. Action completed.","Account closed. No further action required."),CHOOSE($W527,"Collection Email","1st Email Follow-up","2nd Email Follow-up","Escalation to Local Office","Escalation to CBE","Escalation to Roxanne")&amp;" sent "&amp;TEXT($X527,"dd-mmm")&amp;". "&amp;IF($W527=6,"Final escalation completed.",IF($T527="OVERDUE","Next: "&amp;$Z527&amp;" was due "&amp;TEXT($Y527,"dd-mmm")&amp;" - "&amp;(NETWORKDAYS($Y527,TODAY(),Holidays)-1)&amp;" business day(s) late. Send now.",IF($T527="DUE TOMORROW","Next: "&amp;$Z527&amp;IF($Y527&lt;=TODAY()," is due TODAY ("," is due next business day (")&amp;TEXT($Y527,"dd-mmm")&amp;").","Next: "&amp;$Z527&amp;" due "&amp;TEXT($Y527,"dd-mmm")&amp;" ("&amp;(NETWORKDAYS(TODAY(),$Y527,Holidays)-1)&amp;" business day(s) left).")))))</f>
        <v/>
      </c>
      <c r="V527" s="17">
        <f>IF($W527="","",CHOOSE($W527,"Collection Email","1st Follow-up","2nd Follow-up","Local Office","CBE","Roxanne")&amp;IF($W527=6," - Final"," - Day "&amp;MAX(0,NETWORKDAYS($X527,TODAY(),Holidays)-1)&amp;" of "&amp;CHOOSE($W527,3,3,2,2,3))&amp;" | Total Day "&amp;MAX(0,NETWORKDAYS($L527,TODAY(),Holidays)-1))</f>
        <v/>
      </c>
      <c r="W527" s="17">
        <f>IF($L527="","",COUNT($L527:$Q527))</f>
        <v/>
      </c>
      <c r="X527" s="18">
        <f>IF($W527="","",INT(INDEX($L527:$Q527,$W527)))</f>
        <v/>
      </c>
      <c r="Y527" s="18">
        <f>IF(OR($W527="",$W527=6),"",WORKDAY($X527,CHOOSE($W527,3,3,2,2,3),Holidays))</f>
        <v/>
      </c>
      <c r="Z527" s="17">
        <f>IF(OR($W527="",$W527=6),"",CHOOSE($W527,"1st Email Follow-up","2nd Email Follow-up","Escalate Local Office","Escalate to CBE","Escalate to Roxanne"))</f>
        <v/>
      </c>
    </row>
    <row r="528" spans="18:26">
      <c r="R528" s="15"/>
      <c r="S528" s="16"/>
      <c r="T528" s="17">
        <f>IF(AND(COUNTA($A528:$K528)=0,$L528=""),"",IF($S528="Paid","PAID",IF($S528="Closed","CLOSED",IF($W528="","",IF($W528=6,"ESCALATED TO ROXANNE",IF(TODAY()&gt;$Y528,"OVERDUE",IF($Y528&lt;=WORKDAY(TODAY(),1,Holidays),"DUE TOMORROW",IF($W528=4,"ESCALATED TO LOCAL OFFICE",IF($W528=5,"ESCALATED TO CBE",IF($X528=TODAY(),"EMAIL SENT","MONITORING"))))))))))</f>
        <v/>
      </c>
      <c r="U528" s="17">
        <f>IF($T528="",IF(AND(COUNTA($A528:$K528)&gt;0,$L528=""),"Awaiting Collection Email time stamp.",""),IF(OR($T528="PAID",$T528="CLOSED"),IF($T528="PAID","Account paid. Action completed.","Account closed. No further action required."),CHOOSE($W528,"Collection Email","1st Email Follow-up","2nd Email Follow-up","Escalation to Local Office","Escalation to CBE","Escalation to Roxanne")&amp;" sent "&amp;TEXT($X528,"dd-mmm")&amp;". "&amp;IF($W528=6,"Final escalation completed.",IF($T528="OVERDUE","Next: "&amp;$Z528&amp;" was due "&amp;TEXT($Y528,"dd-mmm")&amp;" - "&amp;(NETWORKDAYS($Y528,TODAY(),Holidays)-1)&amp;" business day(s) late. Send now.",IF($T528="DUE TOMORROW","Next: "&amp;$Z528&amp;IF($Y528&lt;=TODAY()," is due TODAY ("," is due next business day (")&amp;TEXT($Y528,"dd-mmm")&amp;").","Next: "&amp;$Z528&amp;" due "&amp;TEXT($Y528,"dd-mmm")&amp;" ("&amp;(NETWORKDAYS(TODAY(),$Y528,Holidays)-1)&amp;" business day(s) left).")))))</f>
        <v/>
      </c>
      <c r="V528" s="17">
        <f>IF($W528="","",CHOOSE($W528,"Collection Email","1st Follow-up","2nd Follow-up","Local Office","CBE","Roxanne")&amp;IF($W528=6," - Final"," - Day "&amp;MAX(0,NETWORKDAYS($X528,TODAY(),Holidays)-1)&amp;" of "&amp;CHOOSE($W528,3,3,2,2,3))&amp;" | Total Day "&amp;MAX(0,NETWORKDAYS($L528,TODAY(),Holidays)-1))</f>
        <v/>
      </c>
      <c r="W528" s="17">
        <f>IF($L528="","",COUNT($L528:$Q528))</f>
        <v/>
      </c>
      <c r="X528" s="18">
        <f>IF($W528="","",INT(INDEX($L528:$Q528,$W528)))</f>
        <v/>
      </c>
      <c r="Y528" s="18">
        <f>IF(OR($W528="",$W528=6),"",WORKDAY($X528,CHOOSE($W528,3,3,2,2,3),Holidays))</f>
        <v/>
      </c>
      <c r="Z528" s="17">
        <f>IF(OR($W528="",$W528=6),"",CHOOSE($W528,"1st Email Follow-up","2nd Email Follow-up","Escalate Local Office","Escalate to CBE","Escalate to Roxanne"))</f>
        <v/>
      </c>
    </row>
    <row r="529" spans="18:26">
      <c r="R529" s="15"/>
      <c r="S529" s="16"/>
      <c r="T529" s="17">
        <f>IF(AND(COUNTA($A529:$K529)=0,$L529=""),"",IF($S529="Paid","PAID",IF($S529="Closed","CLOSED",IF($W529="","",IF($W529=6,"ESCALATED TO ROXANNE",IF(TODAY()&gt;$Y529,"OVERDUE",IF($Y529&lt;=WORKDAY(TODAY(),1,Holidays),"DUE TOMORROW",IF($W529=4,"ESCALATED TO LOCAL OFFICE",IF($W529=5,"ESCALATED TO CBE",IF($X529=TODAY(),"EMAIL SENT","MONITORING"))))))))))</f>
        <v/>
      </c>
      <c r="U529" s="17">
        <f>IF($T529="",IF(AND(COUNTA($A529:$K529)&gt;0,$L529=""),"Awaiting Collection Email time stamp.",""),IF(OR($T529="PAID",$T529="CLOSED"),IF($T529="PAID","Account paid. Action completed.","Account closed. No further action required."),CHOOSE($W529,"Collection Email","1st Email Follow-up","2nd Email Follow-up","Escalation to Local Office","Escalation to CBE","Escalation to Roxanne")&amp;" sent "&amp;TEXT($X529,"dd-mmm")&amp;". "&amp;IF($W529=6,"Final escalation completed.",IF($T529="OVERDUE","Next: "&amp;$Z529&amp;" was due "&amp;TEXT($Y529,"dd-mmm")&amp;" - "&amp;(NETWORKDAYS($Y529,TODAY(),Holidays)-1)&amp;" business day(s) late. Send now.",IF($T529="DUE TOMORROW","Next: "&amp;$Z529&amp;IF($Y529&lt;=TODAY()," is due TODAY ("," is due next business day (")&amp;TEXT($Y529,"dd-mmm")&amp;").","Next: "&amp;$Z529&amp;" due "&amp;TEXT($Y529,"dd-mmm")&amp;" ("&amp;(NETWORKDAYS(TODAY(),$Y529,Holidays)-1)&amp;" business day(s) left).")))))</f>
        <v/>
      </c>
      <c r="V529" s="17">
        <f>IF($W529="","",CHOOSE($W529,"Collection Email","1st Follow-up","2nd Follow-up","Local Office","CBE","Roxanne")&amp;IF($W529=6," - Final"," - Day "&amp;MAX(0,NETWORKDAYS($X529,TODAY(),Holidays)-1)&amp;" of "&amp;CHOOSE($W529,3,3,2,2,3))&amp;" | Total Day "&amp;MAX(0,NETWORKDAYS($L529,TODAY(),Holidays)-1))</f>
        <v/>
      </c>
      <c r="W529" s="17">
        <f>IF($L529="","",COUNT($L529:$Q529))</f>
        <v/>
      </c>
      <c r="X529" s="18">
        <f>IF($W529="","",INT(INDEX($L529:$Q529,$W529)))</f>
        <v/>
      </c>
      <c r="Y529" s="18">
        <f>IF(OR($W529="",$W529=6),"",WORKDAY($X529,CHOOSE($W529,3,3,2,2,3),Holidays))</f>
        <v/>
      </c>
      <c r="Z529" s="17">
        <f>IF(OR($W529="",$W529=6),"",CHOOSE($W529,"1st Email Follow-up","2nd Email Follow-up","Escalate Local Office","Escalate to CBE","Escalate to Roxanne"))</f>
        <v/>
      </c>
    </row>
    <row r="530" spans="18:26">
      <c r="R530" s="15"/>
      <c r="S530" s="16"/>
      <c r="T530" s="17">
        <f>IF(AND(COUNTA($A530:$K530)=0,$L530=""),"",IF($S530="Paid","PAID",IF($S530="Closed","CLOSED",IF($W530="","",IF($W530=6,"ESCALATED TO ROXANNE",IF(TODAY()&gt;$Y530,"OVERDUE",IF($Y530&lt;=WORKDAY(TODAY(),1,Holidays),"DUE TOMORROW",IF($W530=4,"ESCALATED TO LOCAL OFFICE",IF($W530=5,"ESCALATED TO CBE",IF($X530=TODAY(),"EMAIL SENT","MONITORING"))))))))))</f>
        <v/>
      </c>
      <c r="U530" s="17">
        <f>IF($T530="",IF(AND(COUNTA($A530:$K530)&gt;0,$L530=""),"Awaiting Collection Email time stamp.",""),IF(OR($T530="PAID",$T530="CLOSED"),IF($T530="PAID","Account paid. Action completed.","Account closed. No further action required."),CHOOSE($W530,"Collection Email","1st Email Follow-up","2nd Email Follow-up","Escalation to Local Office","Escalation to CBE","Escalation to Roxanne")&amp;" sent "&amp;TEXT($X530,"dd-mmm")&amp;". "&amp;IF($W530=6,"Final escalation completed.",IF($T530="OVERDUE","Next: "&amp;$Z530&amp;" was due "&amp;TEXT($Y530,"dd-mmm")&amp;" - "&amp;(NETWORKDAYS($Y530,TODAY(),Holidays)-1)&amp;" business day(s) late. Send now.",IF($T530="DUE TOMORROW","Next: "&amp;$Z530&amp;IF($Y530&lt;=TODAY()," is due TODAY ("," is due next business day (")&amp;TEXT($Y530,"dd-mmm")&amp;").","Next: "&amp;$Z530&amp;" due "&amp;TEXT($Y530,"dd-mmm")&amp;" ("&amp;(NETWORKDAYS(TODAY(),$Y530,Holidays)-1)&amp;" business day(s) left).")))))</f>
        <v/>
      </c>
      <c r="V530" s="17">
        <f>IF($W530="","",CHOOSE($W530,"Collection Email","1st Follow-up","2nd Follow-up","Local Office","CBE","Roxanne")&amp;IF($W530=6," - Final"," - Day "&amp;MAX(0,NETWORKDAYS($X530,TODAY(),Holidays)-1)&amp;" of "&amp;CHOOSE($W530,3,3,2,2,3))&amp;" | Total Day "&amp;MAX(0,NETWORKDAYS($L530,TODAY(),Holidays)-1))</f>
        <v/>
      </c>
      <c r="W530" s="17">
        <f>IF($L530="","",COUNT($L530:$Q530))</f>
        <v/>
      </c>
      <c r="X530" s="18">
        <f>IF($W530="","",INT(INDEX($L530:$Q530,$W530)))</f>
        <v/>
      </c>
      <c r="Y530" s="18">
        <f>IF(OR($W530="",$W530=6),"",WORKDAY($X530,CHOOSE($W530,3,3,2,2,3),Holidays))</f>
        <v/>
      </c>
      <c r="Z530" s="17">
        <f>IF(OR($W530="",$W530=6),"",CHOOSE($W530,"1st Email Follow-up","2nd Email Follow-up","Escalate Local Office","Escalate to CBE","Escalate to Roxanne"))</f>
        <v/>
      </c>
    </row>
    <row r="531" spans="18:26">
      <c r="R531" s="15"/>
      <c r="S531" s="16"/>
      <c r="T531" s="17">
        <f>IF(AND(COUNTA($A531:$K531)=0,$L531=""),"",IF($S531="Paid","PAID",IF($S531="Closed","CLOSED",IF($W531="","",IF($W531=6,"ESCALATED TO ROXANNE",IF(TODAY()&gt;$Y531,"OVERDUE",IF($Y531&lt;=WORKDAY(TODAY(),1,Holidays),"DUE TOMORROW",IF($W531=4,"ESCALATED TO LOCAL OFFICE",IF($W531=5,"ESCALATED TO CBE",IF($X531=TODAY(),"EMAIL SENT","MONITORING"))))))))))</f>
        <v/>
      </c>
      <c r="U531" s="17">
        <f>IF($T531="",IF(AND(COUNTA($A531:$K531)&gt;0,$L531=""),"Awaiting Collection Email time stamp.",""),IF(OR($T531="PAID",$T531="CLOSED"),IF($T531="PAID","Account paid. Action completed.","Account closed. No further action required."),CHOOSE($W531,"Collection Email","1st Email Follow-up","2nd Email Follow-up","Escalation to Local Office","Escalation to CBE","Escalation to Roxanne")&amp;" sent "&amp;TEXT($X531,"dd-mmm")&amp;". "&amp;IF($W531=6,"Final escalation completed.",IF($T531="OVERDUE","Next: "&amp;$Z531&amp;" was due "&amp;TEXT($Y531,"dd-mmm")&amp;" - "&amp;(NETWORKDAYS($Y531,TODAY(),Holidays)-1)&amp;" business day(s) late. Send now.",IF($T531="DUE TOMORROW","Next: "&amp;$Z531&amp;IF($Y531&lt;=TODAY()," is due TODAY ("," is due next business day (")&amp;TEXT($Y531,"dd-mmm")&amp;").","Next: "&amp;$Z531&amp;" due "&amp;TEXT($Y531,"dd-mmm")&amp;" ("&amp;(NETWORKDAYS(TODAY(),$Y531,Holidays)-1)&amp;" business day(s) left).")))))</f>
        <v/>
      </c>
      <c r="V531" s="17">
        <f>IF($W531="","",CHOOSE($W531,"Collection Email","1st Follow-up","2nd Follow-up","Local Office","CBE","Roxanne")&amp;IF($W531=6," - Final"," - Day "&amp;MAX(0,NETWORKDAYS($X531,TODAY(),Holidays)-1)&amp;" of "&amp;CHOOSE($W531,3,3,2,2,3))&amp;" | Total Day "&amp;MAX(0,NETWORKDAYS($L531,TODAY(),Holidays)-1))</f>
        <v/>
      </c>
      <c r="W531" s="17">
        <f>IF($L531="","",COUNT($L531:$Q531))</f>
        <v/>
      </c>
      <c r="X531" s="18">
        <f>IF($W531="","",INT(INDEX($L531:$Q531,$W531)))</f>
        <v/>
      </c>
      <c r="Y531" s="18">
        <f>IF(OR($W531="",$W531=6),"",WORKDAY($X531,CHOOSE($W531,3,3,2,2,3),Holidays))</f>
        <v/>
      </c>
      <c r="Z531" s="17">
        <f>IF(OR($W531="",$W531=6),"",CHOOSE($W531,"1st Email Follow-up","2nd Email Follow-up","Escalate Local Office","Escalate to CBE","Escalate to Roxanne"))</f>
        <v/>
      </c>
    </row>
    <row r="532" spans="18:26">
      <c r="R532" s="15"/>
      <c r="S532" s="16"/>
      <c r="T532" s="17">
        <f>IF(AND(COUNTA($A532:$K532)=0,$L532=""),"",IF($S532="Paid","PAID",IF($S532="Closed","CLOSED",IF($W532="","",IF($W532=6,"ESCALATED TO ROXANNE",IF(TODAY()&gt;$Y532,"OVERDUE",IF($Y532&lt;=WORKDAY(TODAY(),1,Holidays),"DUE TOMORROW",IF($W532=4,"ESCALATED TO LOCAL OFFICE",IF($W532=5,"ESCALATED TO CBE",IF($X532=TODAY(),"EMAIL SENT","MONITORING"))))))))))</f>
        <v/>
      </c>
      <c r="U532" s="17">
        <f>IF($T532="",IF(AND(COUNTA($A532:$K532)&gt;0,$L532=""),"Awaiting Collection Email time stamp.",""),IF(OR($T532="PAID",$T532="CLOSED"),IF($T532="PAID","Account paid. Action completed.","Account closed. No further action required."),CHOOSE($W532,"Collection Email","1st Email Follow-up","2nd Email Follow-up","Escalation to Local Office","Escalation to CBE","Escalation to Roxanne")&amp;" sent "&amp;TEXT($X532,"dd-mmm")&amp;". "&amp;IF($W532=6,"Final escalation completed.",IF($T532="OVERDUE","Next: "&amp;$Z532&amp;" was due "&amp;TEXT($Y532,"dd-mmm")&amp;" - "&amp;(NETWORKDAYS($Y532,TODAY(),Holidays)-1)&amp;" business day(s) late. Send now.",IF($T532="DUE TOMORROW","Next: "&amp;$Z532&amp;IF($Y532&lt;=TODAY()," is due TODAY ("," is due next business day (")&amp;TEXT($Y532,"dd-mmm")&amp;").","Next: "&amp;$Z532&amp;" due "&amp;TEXT($Y532,"dd-mmm")&amp;" ("&amp;(NETWORKDAYS(TODAY(),$Y532,Holidays)-1)&amp;" business day(s) left).")))))</f>
        <v/>
      </c>
      <c r="V532" s="17">
        <f>IF($W532="","",CHOOSE($W532,"Collection Email","1st Follow-up","2nd Follow-up","Local Office","CBE","Roxanne")&amp;IF($W532=6," - Final"," - Day "&amp;MAX(0,NETWORKDAYS($X532,TODAY(),Holidays)-1)&amp;" of "&amp;CHOOSE($W532,3,3,2,2,3))&amp;" | Total Day "&amp;MAX(0,NETWORKDAYS($L532,TODAY(),Holidays)-1))</f>
        <v/>
      </c>
      <c r="W532" s="17">
        <f>IF($L532="","",COUNT($L532:$Q532))</f>
        <v/>
      </c>
      <c r="X532" s="18">
        <f>IF($W532="","",INT(INDEX($L532:$Q532,$W532)))</f>
        <v/>
      </c>
      <c r="Y532" s="18">
        <f>IF(OR($W532="",$W532=6),"",WORKDAY($X532,CHOOSE($W532,3,3,2,2,3),Holidays))</f>
        <v/>
      </c>
      <c r="Z532" s="17">
        <f>IF(OR($W532="",$W532=6),"",CHOOSE($W532,"1st Email Follow-up","2nd Email Follow-up","Escalate Local Office","Escalate to CBE","Escalate to Roxanne"))</f>
        <v/>
      </c>
    </row>
    <row r="533" spans="18:26">
      <c r="R533" s="15"/>
      <c r="S533" s="16"/>
      <c r="T533" s="17">
        <f>IF(AND(COUNTA($A533:$K533)=0,$L533=""),"",IF($S533="Paid","PAID",IF($S533="Closed","CLOSED",IF($W533="","",IF($W533=6,"ESCALATED TO ROXANNE",IF(TODAY()&gt;$Y533,"OVERDUE",IF($Y533&lt;=WORKDAY(TODAY(),1,Holidays),"DUE TOMORROW",IF($W533=4,"ESCALATED TO LOCAL OFFICE",IF($W533=5,"ESCALATED TO CBE",IF($X533=TODAY(),"EMAIL SENT","MONITORING"))))))))))</f>
        <v/>
      </c>
      <c r="U533" s="17">
        <f>IF($T533="",IF(AND(COUNTA($A533:$K533)&gt;0,$L533=""),"Awaiting Collection Email time stamp.",""),IF(OR($T533="PAID",$T533="CLOSED"),IF($T533="PAID","Account paid. Action completed.","Account closed. No further action required."),CHOOSE($W533,"Collection Email","1st Email Follow-up","2nd Email Follow-up","Escalation to Local Office","Escalation to CBE","Escalation to Roxanne")&amp;" sent "&amp;TEXT($X533,"dd-mmm")&amp;". "&amp;IF($W533=6,"Final escalation completed.",IF($T533="OVERDUE","Next: "&amp;$Z533&amp;" was due "&amp;TEXT($Y533,"dd-mmm")&amp;" - "&amp;(NETWORKDAYS($Y533,TODAY(),Holidays)-1)&amp;" business day(s) late. Send now.",IF($T533="DUE TOMORROW","Next: "&amp;$Z533&amp;IF($Y533&lt;=TODAY()," is due TODAY ("," is due next business day (")&amp;TEXT($Y533,"dd-mmm")&amp;").","Next: "&amp;$Z533&amp;" due "&amp;TEXT($Y533,"dd-mmm")&amp;" ("&amp;(NETWORKDAYS(TODAY(),$Y533,Holidays)-1)&amp;" business day(s) left).")))))</f>
        <v/>
      </c>
      <c r="V533" s="17">
        <f>IF($W533="","",CHOOSE($W533,"Collection Email","1st Follow-up","2nd Follow-up","Local Office","CBE","Roxanne")&amp;IF($W533=6," - Final"," - Day "&amp;MAX(0,NETWORKDAYS($X533,TODAY(),Holidays)-1)&amp;" of "&amp;CHOOSE($W533,3,3,2,2,3))&amp;" | Total Day "&amp;MAX(0,NETWORKDAYS($L533,TODAY(),Holidays)-1))</f>
        <v/>
      </c>
      <c r="W533" s="17">
        <f>IF($L533="","",COUNT($L533:$Q533))</f>
        <v/>
      </c>
      <c r="X533" s="18">
        <f>IF($W533="","",INT(INDEX($L533:$Q533,$W533)))</f>
        <v/>
      </c>
      <c r="Y533" s="18">
        <f>IF(OR($W533="",$W533=6),"",WORKDAY($X533,CHOOSE($W533,3,3,2,2,3),Holidays))</f>
        <v/>
      </c>
      <c r="Z533" s="17">
        <f>IF(OR($W533="",$W533=6),"",CHOOSE($W533,"1st Email Follow-up","2nd Email Follow-up","Escalate Local Office","Escalate to CBE","Escalate to Roxanne"))</f>
        <v/>
      </c>
    </row>
    <row r="534" spans="18:26">
      <c r="R534" s="15"/>
      <c r="S534" s="16"/>
      <c r="T534" s="17">
        <f>IF(AND(COUNTA($A534:$K534)=0,$L534=""),"",IF($S534="Paid","PAID",IF($S534="Closed","CLOSED",IF($W534="","",IF($W534=6,"ESCALATED TO ROXANNE",IF(TODAY()&gt;$Y534,"OVERDUE",IF($Y534&lt;=WORKDAY(TODAY(),1,Holidays),"DUE TOMORROW",IF($W534=4,"ESCALATED TO LOCAL OFFICE",IF($W534=5,"ESCALATED TO CBE",IF($X534=TODAY(),"EMAIL SENT","MONITORING"))))))))))</f>
        <v/>
      </c>
      <c r="U534" s="17">
        <f>IF($T534="",IF(AND(COUNTA($A534:$K534)&gt;0,$L534=""),"Awaiting Collection Email time stamp.",""),IF(OR($T534="PAID",$T534="CLOSED"),IF($T534="PAID","Account paid. Action completed.","Account closed. No further action required."),CHOOSE($W534,"Collection Email","1st Email Follow-up","2nd Email Follow-up","Escalation to Local Office","Escalation to CBE","Escalation to Roxanne")&amp;" sent "&amp;TEXT($X534,"dd-mmm")&amp;". "&amp;IF($W534=6,"Final escalation completed.",IF($T534="OVERDUE","Next: "&amp;$Z534&amp;" was due "&amp;TEXT($Y534,"dd-mmm")&amp;" - "&amp;(NETWORKDAYS($Y534,TODAY(),Holidays)-1)&amp;" business day(s) late. Send now.",IF($T534="DUE TOMORROW","Next: "&amp;$Z534&amp;IF($Y534&lt;=TODAY()," is due TODAY ("," is due next business day (")&amp;TEXT($Y534,"dd-mmm")&amp;").","Next: "&amp;$Z534&amp;" due "&amp;TEXT($Y534,"dd-mmm")&amp;" ("&amp;(NETWORKDAYS(TODAY(),$Y534,Holidays)-1)&amp;" business day(s) left).")))))</f>
        <v/>
      </c>
      <c r="V534" s="17">
        <f>IF($W534="","",CHOOSE($W534,"Collection Email","1st Follow-up","2nd Follow-up","Local Office","CBE","Roxanne")&amp;IF($W534=6," - Final"," - Day "&amp;MAX(0,NETWORKDAYS($X534,TODAY(),Holidays)-1)&amp;" of "&amp;CHOOSE($W534,3,3,2,2,3))&amp;" | Total Day "&amp;MAX(0,NETWORKDAYS($L534,TODAY(),Holidays)-1))</f>
        <v/>
      </c>
      <c r="W534" s="17">
        <f>IF($L534="","",COUNT($L534:$Q534))</f>
        <v/>
      </c>
      <c r="X534" s="18">
        <f>IF($W534="","",INT(INDEX($L534:$Q534,$W534)))</f>
        <v/>
      </c>
      <c r="Y534" s="18">
        <f>IF(OR($W534="",$W534=6),"",WORKDAY($X534,CHOOSE($W534,3,3,2,2,3),Holidays))</f>
        <v/>
      </c>
      <c r="Z534" s="17">
        <f>IF(OR($W534="",$W534=6),"",CHOOSE($W534,"1st Email Follow-up","2nd Email Follow-up","Escalate Local Office","Escalate to CBE","Escalate to Roxanne"))</f>
        <v/>
      </c>
    </row>
    <row r="535" spans="18:26">
      <c r="R535" s="15"/>
      <c r="S535" s="16"/>
      <c r="T535" s="17">
        <f>IF(AND(COUNTA($A535:$K535)=0,$L535=""),"",IF($S535="Paid","PAID",IF($S535="Closed","CLOSED",IF($W535="","",IF($W535=6,"ESCALATED TO ROXANNE",IF(TODAY()&gt;$Y535,"OVERDUE",IF($Y535&lt;=WORKDAY(TODAY(),1,Holidays),"DUE TOMORROW",IF($W535=4,"ESCALATED TO LOCAL OFFICE",IF($W535=5,"ESCALATED TO CBE",IF($X535=TODAY(),"EMAIL SENT","MONITORING"))))))))))</f>
        <v/>
      </c>
      <c r="U535" s="17">
        <f>IF($T535="",IF(AND(COUNTA($A535:$K535)&gt;0,$L535=""),"Awaiting Collection Email time stamp.",""),IF(OR($T535="PAID",$T535="CLOSED"),IF($T535="PAID","Account paid. Action completed.","Account closed. No further action required."),CHOOSE($W535,"Collection Email","1st Email Follow-up","2nd Email Follow-up","Escalation to Local Office","Escalation to CBE","Escalation to Roxanne")&amp;" sent "&amp;TEXT($X535,"dd-mmm")&amp;". "&amp;IF($W535=6,"Final escalation completed.",IF($T535="OVERDUE","Next: "&amp;$Z535&amp;" was due "&amp;TEXT($Y535,"dd-mmm")&amp;" - "&amp;(NETWORKDAYS($Y535,TODAY(),Holidays)-1)&amp;" business day(s) late. Send now.",IF($T535="DUE TOMORROW","Next: "&amp;$Z535&amp;IF($Y535&lt;=TODAY()," is due TODAY ("," is due next business day (")&amp;TEXT($Y535,"dd-mmm")&amp;").","Next: "&amp;$Z535&amp;" due "&amp;TEXT($Y535,"dd-mmm")&amp;" ("&amp;(NETWORKDAYS(TODAY(),$Y535,Holidays)-1)&amp;" business day(s) left).")))))</f>
        <v/>
      </c>
      <c r="V535" s="17">
        <f>IF($W535="","",CHOOSE($W535,"Collection Email","1st Follow-up","2nd Follow-up","Local Office","CBE","Roxanne")&amp;IF($W535=6," - Final"," - Day "&amp;MAX(0,NETWORKDAYS($X535,TODAY(),Holidays)-1)&amp;" of "&amp;CHOOSE($W535,3,3,2,2,3))&amp;" | Total Day "&amp;MAX(0,NETWORKDAYS($L535,TODAY(),Holidays)-1))</f>
        <v/>
      </c>
      <c r="W535" s="17">
        <f>IF($L535="","",COUNT($L535:$Q535))</f>
        <v/>
      </c>
      <c r="X535" s="18">
        <f>IF($W535="","",INT(INDEX($L535:$Q535,$W535)))</f>
        <v/>
      </c>
      <c r="Y535" s="18">
        <f>IF(OR($W535="",$W535=6),"",WORKDAY($X535,CHOOSE($W535,3,3,2,2,3),Holidays))</f>
        <v/>
      </c>
      <c r="Z535" s="17">
        <f>IF(OR($W535="",$W535=6),"",CHOOSE($W535,"1st Email Follow-up","2nd Email Follow-up","Escalate Local Office","Escalate to CBE","Escalate to Roxanne"))</f>
        <v/>
      </c>
    </row>
    <row r="536" spans="18:26">
      <c r="R536" s="15"/>
      <c r="S536" s="16"/>
      <c r="T536" s="17">
        <f>IF(AND(COUNTA($A536:$K536)=0,$L536=""),"",IF($S536="Paid","PAID",IF($S536="Closed","CLOSED",IF($W536="","",IF($W536=6,"ESCALATED TO ROXANNE",IF(TODAY()&gt;$Y536,"OVERDUE",IF($Y536&lt;=WORKDAY(TODAY(),1,Holidays),"DUE TOMORROW",IF($W536=4,"ESCALATED TO LOCAL OFFICE",IF($W536=5,"ESCALATED TO CBE",IF($X536=TODAY(),"EMAIL SENT","MONITORING"))))))))))</f>
        <v/>
      </c>
      <c r="U536" s="17">
        <f>IF($T536="",IF(AND(COUNTA($A536:$K536)&gt;0,$L536=""),"Awaiting Collection Email time stamp.",""),IF(OR($T536="PAID",$T536="CLOSED"),IF($T536="PAID","Account paid. Action completed.","Account closed. No further action required."),CHOOSE($W536,"Collection Email","1st Email Follow-up","2nd Email Follow-up","Escalation to Local Office","Escalation to CBE","Escalation to Roxanne")&amp;" sent "&amp;TEXT($X536,"dd-mmm")&amp;". "&amp;IF($W536=6,"Final escalation completed.",IF($T536="OVERDUE","Next: "&amp;$Z536&amp;" was due "&amp;TEXT($Y536,"dd-mmm")&amp;" - "&amp;(NETWORKDAYS($Y536,TODAY(),Holidays)-1)&amp;" business day(s) late. Send now.",IF($T536="DUE TOMORROW","Next: "&amp;$Z536&amp;IF($Y536&lt;=TODAY()," is due TODAY ("," is due next business day (")&amp;TEXT($Y536,"dd-mmm")&amp;").","Next: "&amp;$Z536&amp;" due "&amp;TEXT($Y536,"dd-mmm")&amp;" ("&amp;(NETWORKDAYS(TODAY(),$Y536,Holidays)-1)&amp;" business day(s) left).")))))</f>
        <v/>
      </c>
      <c r="V536" s="17">
        <f>IF($W536="","",CHOOSE($W536,"Collection Email","1st Follow-up","2nd Follow-up","Local Office","CBE","Roxanne")&amp;IF($W536=6," - Final"," - Day "&amp;MAX(0,NETWORKDAYS($X536,TODAY(),Holidays)-1)&amp;" of "&amp;CHOOSE($W536,3,3,2,2,3))&amp;" | Total Day "&amp;MAX(0,NETWORKDAYS($L536,TODAY(),Holidays)-1))</f>
        <v/>
      </c>
      <c r="W536" s="17">
        <f>IF($L536="","",COUNT($L536:$Q536))</f>
        <v/>
      </c>
      <c r="X536" s="18">
        <f>IF($W536="","",INT(INDEX($L536:$Q536,$W536)))</f>
        <v/>
      </c>
      <c r="Y536" s="18">
        <f>IF(OR($W536="",$W536=6),"",WORKDAY($X536,CHOOSE($W536,3,3,2,2,3),Holidays))</f>
        <v/>
      </c>
      <c r="Z536" s="17">
        <f>IF(OR($W536="",$W536=6),"",CHOOSE($W536,"1st Email Follow-up","2nd Email Follow-up","Escalate Local Office","Escalate to CBE","Escalate to Roxanne"))</f>
        <v/>
      </c>
    </row>
    <row r="537" spans="18:26">
      <c r="R537" s="15"/>
      <c r="S537" s="16"/>
      <c r="T537" s="17">
        <f>IF(AND(COUNTA($A537:$K537)=0,$L537=""),"",IF($S537="Paid","PAID",IF($S537="Closed","CLOSED",IF($W537="","",IF($W537=6,"ESCALATED TO ROXANNE",IF(TODAY()&gt;$Y537,"OVERDUE",IF($Y537&lt;=WORKDAY(TODAY(),1,Holidays),"DUE TOMORROW",IF($W537=4,"ESCALATED TO LOCAL OFFICE",IF($W537=5,"ESCALATED TO CBE",IF($X537=TODAY(),"EMAIL SENT","MONITORING"))))))))))</f>
        <v/>
      </c>
      <c r="U537" s="17">
        <f>IF($T537="",IF(AND(COUNTA($A537:$K537)&gt;0,$L537=""),"Awaiting Collection Email time stamp.",""),IF(OR($T537="PAID",$T537="CLOSED"),IF($T537="PAID","Account paid. Action completed.","Account closed. No further action required."),CHOOSE($W537,"Collection Email","1st Email Follow-up","2nd Email Follow-up","Escalation to Local Office","Escalation to CBE","Escalation to Roxanne")&amp;" sent "&amp;TEXT($X537,"dd-mmm")&amp;". "&amp;IF($W537=6,"Final escalation completed.",IF($T537="OVERDUE","Next: "&amp;$Z537&amp;" was due "&amp;TEXT($Y537,"dd-mmm")&amp;" - "&amp;(NETWORKDAYS($Y537,TODAY(),Holidays)-1)&amp;" business day(s) late. Send now.",IF($T537="DUE TOMORROW","Next: "&amp;$Z537&amp;IF($Y537&lt;=TODAY()," is due TODAY ("," is due next business day (")&amp;TEXT($Y537,"dd-mmm")&amp;").","Next: "&amp;$Z537&amp;" due "&amp;TEXT($Y537,"dd-mmm")&amp;" ("&amp;(NETWORKDAYS(TODAY(),$Y537,Holidays)-1)&amp;" business day(s) left).")))))</f>
        <v/>
      </c>
      <c r="V537" s="17">
        <f>IF($W537="","",CHOOSE($W537,"Collection Email","1st Follow-up","2nd Follow-up","Local Office","CBE","Roxanne")&amp;IF($W537=6," - Final"," - Day "&amp;MAX(0,NETWORKDAYS($X537,TODAY(),Holidays)-1)&amp;" of "&amp;CHOOSE($W537,3,3,2,2,3))&amp;" | Total Day "&amp;MAX(0,NETWORKDAYS($L537,TODAY(),Holidays)-1))</f>
        <v/>
      </c>
      <c r="W537" s="17">
        <f>IF($L537="","",COUNT($L537:$Q537))</f>
        <v/>
      </c>
      <c r="X537" s="18">
        <f>IF($W537="","",INT(INDEX($L537:$Q537,$W537)))</f>
        <v/>
      </c>
      <c r="Y537" s="18">
        <f>IF(OR($W537="",$W537=6),"",WORKDAY($X537,CHOOSE($W537,3,3,2,2,3),Holidays))</f>
        <v/>
      </c>
      <c r="Z537" s="17">
        <f>IF(OR($W537="",$W537=6),"",CHOOSE($W537,"1st Email Follow-up","2nd Email Follow-up","Escalate Local Office","Escalate to CBE","Escalate to Roxanne"))</f>
        <v/>
      </c>
    </row>
    <row r="538" spans="18:26">
      <c r="R538" s="15"/>
      <c r="S538" s="16"/>
      <c r="T538" s="17">
        <f>IF(AND(COUNTA($A538:$K538)=0,$L538=""),"",IF($S538="Paid","PAID",IF($S538="Closed","CLOSED",IF($W538="","",IF($W538=6,"ESCALATED TO ROXANNE",IF(TODAY()&gt;$Y538,"OVERDUE",IF($Y538&lt;=WORKDAY(TODAY(),1,Holidays),"DUE TOMORROW",IF($W538=4,"ESCALATED TO LOCAL OFFICE",IF($W538=5,"ESCALATED TO CBE",IF($X538=TODAY(),"EMAIL SENT","MONITORING"))))))))))</f>
        <v/>
      </c>
      <c r="U538" s="17">
        <f>IF($T538="",IF(AND(COUNTA($A538:$K538)&gt;0,$L538=""),"Awaiting Collection Email time stamp.",""),IF(OR($T538="PAID",$T538="CLOSED"),IF($T538="PAID","Account paid. Action completed.","Account closed. No further action required."),CHOOSE($W538,"Collection Email","1st Email Follow-up","2nd Email Follow-up","Escalation to Local Office","Escalation to CBE","Escalation to Roxanne")&amp;" sent "&amp;TEXT($X538,"dd-mmm")&amp;". "&amp;IF($W538=6,"Final escalation completed.",IF($T538="OVERDUE","Next: "&amp;$Z538&amp;" was due "&amp;TEXT($Y538,"dd-mmm")&amp;" - "&amp;(NETWORKDAYS($Y538,TODAY(),Holidays)-1)&amp;" business day(s) late. Send now.",IF($T538="DUE TOMORROW","Next: "&amp;$Z538&amp;IF($Y538&lt;=TODAY()," is due TODAY ("," is due next business day (")&amp;TEXT($Y538,"dd-mmm")&amp;").","Next: "&amp;$Z538&amp;" due "&amp;TEXT($Y538,"dd-mmm")&amp;" ("&amp;(NETWORKDAYS(TODAY(),$Y538,Holidays)-1)&amp;" business day(s) left).")))))</f>
        <v/>
      </c>
      <c r="V538" s="17">
        <f>IF($W538="","",CHOOSE($W538,"Collection Email","1st Follow-up","2nd Follow-up","Local Office","CBE","Roxanne")&amp;IF($W538=6," - Final"," - Day "&amp;MAX(0,NETWORKDAYS($X538,TODAY(),Holidays)-1)&amp;" of "&amp;CHOOSE($W538,3,3,2,2,3))&amp;" | Total Day "&amp;MAX(0,NETWORKDAYS($L538,TODAY(),Holidays)-1))</f>
        <v/>
      </c>
      <c r="W538" s="17">
        <f>IF($L538="","",COUNT($L538:$Q538))</f>
        <v/>
      </c>
      <c r="X538" s="18">
        <f>IF($W538="","",INT(INDEX($L538:$Q538,$W538)))</f>
        <v/>
      </c>
      <c r="Y538" s="18">
        <f>IF(OR($W538="",$W538=6),"",WORKDAY($X538,CHOOSE($W538,3,3,2,2,3),Holidays))</f>
        <v/>
      </c>
      <c r="Z538" s="17">
        <f>IF(OR($W538="",$W538=6),"",CHOOSE($W538,"1st Email Follow-up","2nd Email Follow-up","Escalate Local Office","Escalate to CBE","Escalate to Roxanne"))</f>
        <v/>
      </c>
    </row>
    <row r="539" spans="18:26">
      <c r="R539" s="15"/>
      <c r="S539" s="16"/>
      <c r="T539" s="17">
        <f>IF(AND(COUNTA($A539:$K539)=0,$L539=""),"",IF($S539="Paid","PAID",IF($S539="Closed","CLOSED",IF($W539="","",IF($W539=6,"ESCALATED TO ROXANNE",IF(TODAY()&gt;$Y539,"OVERDUE",IF($Y539&lt;=WORKDAY(TODAY(),1,Holidays),"DUE TOMORROW",IF($W539=4,"ESCALATED TO LOCAL OFFICE",IF($W539=5,"ESCALATED TO CBE",IF($X539=TODAY(),"EMAIL SENT","MONITORING"))))))))))</f>
        <v/>
      </c>
      <c r="U539" s="17">
        <f>IF($T539="",IF(AND(COUNTA($A539:$K539)&gt;0,$L539=""),"Awaiting Collection Email time stamp.",""),IF(OR($T539="PAID",$T539="CLOSED"),IF($T539="PAID","Account paid. Action completed.","Account closed. No further action required."),CHOOSE($W539,"Collection Email","1st Email Follow-up","2nd Email Follow-up","Escalation to Local Office","Escalation to CBE","Escalation to Roxanne")&amp;" sent "&amp;TEXT($X539,"dd-mmm")&amp;". "&amp;IF($W539=6,"Final escalation completed.",IF($T539="OVERDUE","Next: "&amp;$Z539&amp;" was due "&amp;TEXT($Y539,"dd-mmm")&amp;" - "&amp;(NETWORKDAYS($Y539,TODAY(),Holidays)-1)&amp;" business day(s) late. Send now.",IF($T539="DUE TOMORROW","Next: "&amp;$Z539&amp;IF($Y539&lt;=TODAY()," is due TODAY ("," is due next business day (")&amp;TEXT($Y539,"dd-mmm")&amp;").","Next: "&amp;$Z539&amp;" due "&amp;TEXT($Y539,"dd-mmm")&amp;" ("&amp;(NETWORKDAYS(TODAY(),$Y539,Holidays)-1)&amp;" business day(s) left).")))))</f>
        <v/>
      </c>
      <c r="V539" s="17">
        <f>IF($W539="","",CHOOSE($W539,"Collection Email","1st Follow-up","2nd Follow-up","Local Office","CBE","Roxanne")&amp;IF($W539=6," - Final"," - Day "&amp;MAX(0,NETWORKDAYS($X539,TODAY(),Holidays)-1)&amp;" of "&amp;CHOOSE($W539,3,3,2,2,3))&amp;" | Total Day "&amp;MAX(0,NETWORKDAYS($L539,TODAY(),Holidays)-1))</f>
        <v/>
      </c>
      <c r="W539" s="17">
        <f>IF($L539="","",COUNT($L539:$Q539))</f>
        <v/>
      </c>
      <c r="X539" s="18">
        <f>IF($W539="","",INT(INDEX($L539:$Q539,$W539)))</f>
        <v/>
      </c>
      <c r="Y539" s="18">
        <f>IF(OR($W539="",$W539=6),"",WORKDAY($X539,CHOOSE($W539,3,3,2,2,3),Holidays))</f>
        <v/>
      </c>
      <c r="Z539" s="17">
        <f>IF(OR($W539="",$W539=6),"",CHOOSE($W539,"1st Email Follow-up","2nd Email Follow-up","Escalate Local Office","Escalate to CBE","Escalate to Roxanne"))</f>
        <v/>
      </c>
    </row>
    <row r="540" spans="18:26">
      <c r="R540" s="15"/>
      <c r="S540" s="16"/>
      <c r="T540" s="17">
        <f>IF(AND(COUNTA($A540:$K540)=0,$L540=""),"",IF($S540="Paid","PAID",IF($S540="Closed","CLOSED",IF($W540="","",IF($W540=6,"ESCALATED TO ROXANNE",IF(TODAY()&gt;$Y540,"OVERDUE",IF($Y540&lt;=WORKDAY(TODAY(),1,Holidays),"DUE TOMORROW",IF($W540=4,"ESCALATED TO LOCAL OFFICE",IF($W540=5,"ESCALATED TO CBE",IF($X540=TODAY(),"EMAIL SENT","MONITORING"))))))))))</f>
        <v/>
      </c>
      <c r="U540" s="17">
        <f>IF($T540="",IF(AND(COUNTA($A540:$K540)&gt;0,$L540=""),"Awaiting Collection Email time stamp.",""),IF(OR($T540="PAID",$T540="CLOSED"),IF($T540="PAID","Account paid. Action completed.","Account closed. No further action required."),CHOOSE($W540,"Collection Email","1st Email Follow-up","2nd Email Follow-up","Escalation to Local Office","Escalation to CBE","Escalation to Roxanne")&amp;" sent "&amp;TEXT($X540,"dd-mmm")&amp;". "&amp;IF($W540=6,"Final escalation completed.",IF($T540="OVERDUE","Next: "&amp;$Z540&amp;" was due "&amp;TEXT($Y540,"dd-mmm")&amp;" - "&amp;(NETWORKDAYS($Y540,TODAY(),Holidays)-1)&amp;" business day(s) late. Send now.",IF($T540="DUE TOMORROW","Next: "&amp;$Z540&amp;IF($Y540&lt;=TODAY()," is due TODAY ("," is due next business day (")&amp;TEXT($Y540,"dd-mmm")&amp;").","Next: "&amp;$Z540&amp;" due "&amp;TEXT($Y540,"dd-mmm")&amp;" ("&amp;(NETWORKDAYS(TODAY(),$Y540,Holidays)-1)&amp;" business day(s) left).")))))</f>
        <v/>
      </c>
      <c r="V540" s="17">
        <f>IF($W540="","",CHOOSE($W540,"Collection Email","1st Follow-up","2nd Follow-up","Local Office","CBE","Roxanne")&amp;IF($W540=6," - Final"," - Day "&amp;MAX(0,NETWORKDAYS($X540,TODAY(),Holidays)-1)&amp;" of "&amp;CHOOSE($W540,3,3,2,2,3))&amp;" | Total Day "&amp;MAX(0,NETWORKDAYS($L540,TODAY(),Holidays)-1))</f>
        <v/>
      </c>
      <c r="W540" s="17">
        <f>IF($L540="","",COUNT($L540:$Q540))</f>
        <v/>
      </c>
      <c r="X540" s="18">
        <f>IF($W540="","",INT(INDEX($L540:$Q540,$W540)))</f>
        <v/>
      </c>
      <c r="Y540" s="18">
        <f>IF(OR($W540="",$W540=6),"",WORKDAY($X540,CHOOSE($W540,3,3,2,2,3),Holidays))</f>
        <v/>
      </c>
      <c r="Z540" s="17">
        <f>IF(OR($W540="",$W540=6),"",CHOOSE($W540,"1st Email Follow-up","2nd Email Follow-up","Escalate Local Office","Escalate to CBE","Escalate to Roxanne"))</f>
        <v/>
      </c>
    </row>
    <row r="541" spans="18:26">
      <c r="R541" s="15"/>
      <c r="S541" s="16"/>
      <c r="T541" s="17">
        <f>IF(AND(COUNTA($A541:$K541)=0,$L541=""),"",IF($S541="Paid","PAID",IF($S541="Closed","CLOSED",IF($W541="","",IF($W541=6,"ESCALATED TO ROXANNE",IF(TODAY()&gt;$Y541,"OVERDUE",IF($Y541&lt;=WORKDAY(TODAY(),1,Holidays),"DUE TOMORROW",IF($W541=4,"ESCALATED TO LOCAL OFFICE",IF($W541=5,"ESCALATED TO CBE",IF($X541=TODAY(),"EMAIL SENT","MONITORING"))))))))))</f>
        <v/>
      </c>
      <c r="U541" s="17">
        <f>IF($T541="",IF(AND(COUNTA($A541:$K541)&gt;0,$L541=""),"Awaiting Collection Email time stamp.",""),IF(OR($T541="PAID",$T541="CLOSED"),IF($T541="PAID","Account paid. Action completed.","Account closed. No further action required."),CHOOSE($W541,"Collection Email","1st Email Follow-up","2nd Email Follow-up","Escalation to Local Office","Escalation to CBE","Escalation to Roxanne")&amp;" sent "&amp;TEXT($X541,"dd-mmm")&amp;". "&amp;IF($W541=6,"Final escalation completed.",IF($T541="OVERDUE","Next: "&amp;$Z541&amp;" was due "&amp;TEXT($Y541,"dd-mmm")&amp;" - "&amp;(NETWORKDAYS($Y541,TODAY(),Holidays)-1)&amp;" business day(s) late. Send now.",IF($T541="DUE TOMORROW","Next: "&amp;$Z541&amp;IF($Y541&lt;=TODAY()," is due TODAY ("," is due next business day (")&amp;TEXT($Y541,"dd-mmm")&amp;").","Next: "&amp;$Z541&amp;" due "&amp;TEXT($Y541,"dd-mmm")&amp;" ("&amp;(NETWORKDAYS(TODAY(),$Y541,Holidays)-1)&amp;" business day(s) left).")))))</f>
        <v/>
      </c>
      <c r="V541" s="17">
        <f>IF($W541="","",CHOOSE($W541,"Collection Email","1st Follow-up","2nd Follow-up","Local Office","CBE","Roxanne")&amp;IF($W541=6," - Final"," - Day "&amp;MAX(0,NETWORKDAYS($X541,TODAY(),Holidays)-1)&amp;" of "&amp;CHOOSE($W541,3,3,2,2,3))&amp;" | Total Day "&amp;MAX(0,NETWORKDAYS($L541,TODAY(),Holidays)-1))</f>
        <v/>
      </c>
      <c r="W541" s="17">
        <f>IF($L541="","",COUNT($L541:$Q541))</f>
        <v/>
      </c>
      <c r="X541" s="18">
        <f>IF($W541="","",INT(INDEX($L541:$Q541,$W541)))</f>
        <v/>
      </c>
      <c r="Y541" s="18">
        <f>IF(OR($W541="",$W541=6),"",WORKDAY($X541,CHOOSE($W541,3,3,2,2,3),Holidays))</f>
        <v/>
      </c>
      <c r="Z541" s="17">
        <f>IF(OR($W541="",$W541=6),"",CHOOSE($W541,"1st Email Follow-up","2nd Email Follow-up","Escalate Local Office","Escalate to CBE","Escalate to Roxanne"))</f>
        <v/>
      </c>
    </row>
    <row r="542" spans="18:26">
      <c r="R542" s="15"/>
      <c r="S542" s="16"/>
      <c r="T542" s="17">
        <f>IF(AND(COUNTA($A542:$K542)=0,$L542=""),"",IF($S542="Paid","PAID",IF($S542="Closed","CLOSED",IF($W542="","",IF($W542=6,"ESCALATED TO ROXANNE",IF(TODAY()&gt;$Y542,"OVERDUE",IF($Y542&lt;=WORKDAY(TODAY(),1,Holidays),"DUE TOMORROW",IF($W542=4,"ESCALATED TO LOCAL OFFICE",IF($W542=5,"ESCALATED TO CBE",IF($X542=TODAY(),"EMAIL SENT","MONITORING"))))))))))</f>
        <v/>
      </c>
      <c r="U542" s="17">
        <f>IF($T542="",IF(AND(COUNTA($A542:$K542)&gt;0,$L542=""),"Awaiting Collection Email time stamp.",""),IF(OR($T542="PAID",$T542="CLOSED"),IF($T542="PAID","Account paid. Action completed.","Account closed. No further action required."),CHOOSE($W542,"Collection Email","1st Email Follow-up","2nd Email Follow-up","Escalation to Local Office","Escalation to CBE","Escalation to Roxanne")&amp;" sent "&amp;TEXT($X542,"dd-mmm")&amp;". "&amp;IF($W542=6,"Final escalation completed.",IF($T542="OVERDUE","Next: "&amp;$Z542&amp;" was due "&amp;TEXT($Y542,"dd-mmm")&amp;" - "&amp;(NETWORKDAYS($Y542,TODAY(),Holidays)-1)&amp;" business day(s) late. Send now.",IF($T542="DUE TOMORROW","Next: "&amp;$Z542&amp;IF($Y542&lt;=TODAY()," is due TODAY ("," is due next business day (")&amp;TEXT($Y542,"dd-mmm")&amp;").","Next: "&amp;$Z542&amp;" due "&amp;TEXT($Y542,"dd-mmm")&amp;" ("&amp;(NETWORKDAYS(TODAY(),$Y542,Holidays)-1)&amp;" business day(s) left).")))))</f>
        <v/>
      </c>
      <c r="V542" s="17">
        <f>IF($W542="","",CHOOSE($W542,"Collection Email","1st Follow-up","2nd Follow-up","Local Office","CBE","Roxanne")&amp;IF($W542=6," - Final"," - Day "&amp;MAX(0,NETWORKDAYS($X542,TODAY(),Holidays)-1)&amp;" of "&amp;CHOOSE($W542,3,3,2,2,3))&amp;" | Total Day "&amp;MAX(0,NETWORKDAYS($L542,TODAY(),Holidays)-1))</f>
        <v/>
      </c>
      <c r="W542" s="17">
        <f>IF($L542="","",COUNT($L542:$Q542))</f>
        <v/>
      </c>
      <c r="X542" s="18">
        <f>IF($W542="","",INT(INDEX($L542:$Q542,$W542)))</f>
        <v/>
      </c>
      <c r="Y542" s="18">
        <f>IF(OR($W542="",$W542=6),"",WORKDAY($X542,CHOOSE($W542,3,3,2,2,3),Holidays))</f>
        <v/>
      </c>
      <c r="Z542" s="17">
        <f>IF(OR($W542="",$W542=6),"",CHOOSE($W542,"1st Email Follow-up","2nd Email Follow-up","Escalate Local Office","Escalate to CBE","Escalate to Roxanne"))</f>
        <v/>
      </c>
    </row>
    <row r="543" spans="18:26">
      <c r="R543" s="15"/>
      <c r="S543" s="16"/>
      <c r="T543" s="17">
        <f>IF(AND(COUNTA($A543:$K543)=0,$L543=""),"",IF($S543="Paid","PAID",IF($S543="Closed","CLOSED",IF($W543="","",IF($W543=6,"ESCALATED TO ROXANNE",IF(TODAY()&gt;$Y543,"OVERDUE",IF($Y543&lt;=WORKDAY(TODAY(),1,Holidays),"DUE TOMORROW",IF($W543=4,"ESCALATED TO LOCAL OFFICE",IF($W543=5,"ESCALATED TO CBE",IF($X543=TODAY(),"EMAIL SENT","MONITORING"))))))))))</f>
        <v/>
      </c>
      <c r="U543" s="17">
        <f>IF($T543="",IF(AND(COUNTA($A543:$K543)&gt;0,$L543=""),"Awaiting Collection Email time stamp.",""),IF(OR($T543="PAID",$T543="CLOSED"),IF($T543="PAID","Account paid. Action completed.","Account closed. No further action required."),CHOOSE($W543,"Collection Email","1st Email Follow-up","2nd Email Follow-up","Escalation to Local Office","Escalation to CBE","Escalation to Roxanne")&amp;" sent "&amp;TEXT($X543,"dd-mmm")&amp;". "&amp;IF($W543=6,"Final escalation completed.",IF($T543="OVERDUE","Next: "&amp;$Z543&amp;" was due "&amp;TEXT($Y543,"dd-mmm")&amp;" - "&amp;(NETWORKDAYS($Y543,TODAY(),Holidays)-1)&amp;" business day(s) late. Send now.",IF($T543="DUE TOMORROW","Next: "&amp;$Z543&amp;IF($Y543&lt;=TODAY()," is due TODAY ("," is due next business day (")&amp;TEXT($Y543,"dd-mmm")&amp;").","Next: "&amp;$Z543&amp;" due "&amp;TEXT($Y543,"dd-mmm")&amp;" ("&amp;(NETWORKDAYS(TODAY(),$Y543,Holidays)-1)&amp;" business day(s) left).")))))</f>
        <v/>
      </c>
      <c r="V543" s="17">
        <f>IF($W543="","",CHOOSE($W543,"Collection Email","1st Follow-up","2nd Follow-up","Local Office","CBE","Roxanne")&amp;IF($W543=6," - Final"," - Day "&amp;MAX(0,NETWORKDAYS($X543,TODAY(),Holidays)-1)&amp;" of "&amp;CHOOSE($W543,3,3,2,2,3))&amp;" | Total Day "&amp;MAX(0,NETWORKDAYS($L543,TODAY(),Holidays)-1))</f>
        <v/>
      </c>
      <c r="W543" s="17">
        <f>IF($L543="","",COUNT($L543:$Q543))</f>
        <v/>
      </c>
      <c r="X543" s="18">
        <f>IF($W543="","",INT(INDEX($L543:$Q543,$W543)))</f>
        <v/>
      </c>
      <c r="Y543" s="18">
        <f>IF(OR($W543="",$W543=6),"",WORKDAY($X543,CHOOSE($W543,3,3,2,2,3),Holidays))</f>
        <v/>
      </c>
      <c r="Z543" s="17">
        <f>IF(OR($W543="",$W543=6),"",CHOOSE($W543,"1st Email Follow-up","2nd Email Follow-up","Escalate Local Office","Escalate to CBE","Escalate to Roxanne"))</f>
        <v/>
      </c>
    </row>
    <row r="544" spans="18:26">
      <c r="R544" s="15"/>
      <c r="S544" s="16"/>
      <c r="T544" s="17">
        <f>IF(AND(COUNTA($A544:$K544)=0,$L544=""),"",IF($S544="Paid","PAID",IF($S544="Closed","CLOSED",IF($W544="","",IF($W544=6,"ESCALATED TO ROXANNE",IF(TODAY()&gt;$Y544,"OVERDUE",IF($Y544&lt;=WORKDAY(TODAY(),1,Holidays),"DUE TOMORROW",IF($W544=4,"ESCALATED TO LOCAL OFFICE",IF($W544=5,"ESCALATED TO CBE",IF($X544=TODAY(),"EMAIL SENT","MONITORING"))))))))))</f>
        <v/>
      </c>
      <c r="U544" s="17">
        <f>IF($T544="",IF(AND(COUNTA($A544:$K544)&gt;0,$L544=""),"Awaiting Collection Email time stamp.",""),IF(OR($T544="PAID",$T544="CLOSED"),IF($T544="PAID","Account paid. Action completed.","Account closed. No further action required."),CHOOSE($W544,"Collection Email","1st Email Follow-up","2nd Email Follow-up","Escalation to Local Office","Escalation to CBE","Escalation to Roxanne")&amp;" sent "&amp;TEXT($X544,"dd-mmm")&amp;". "&amp;IF($W544=6,"Final escalation completed.",IF($T544="OVERDUE","Next: "&amp;$Z544&amp;" was due "&amp;TEXT($Y544,"dd-mmm")&amp;" - "&amp;(NETWORKDAYS($Y544,TODAY(),Holidays)-1)&amp;" business day(s) late. Send now.",IF($T544="DUE TOMORROW","Next: "&amp;$Z544&amp;IF($Y544&lt;=TODAY()," is due TODAY ("," is due next business day (")&amp;TEXT($Y544,"dd-mmm")&amp;").","Next: "&amp;$Z544&amp;" due "&amp;TEXT($Y544,"dd-mmm")&amp;" ("&amp;(NETWORKDAYS(TODAY(),$Y544,Holidays)-1)&amp;" business day(s) left).")))))</f>
        <v/>
      </c>
      <c r="V544" s="17">
        <f>IF($W544="","",CHOOSE($W544,"Collection Email","1st Follow-up","2nd Follow-up","Local Office","CBE","Roxanne")&amp;IF($W544=6," - Final"," - Day "&amp;MAX(0,NETWORKDAYS($X544,TODAY(),Holidays)-1)&amp;" of "&amp;CHOOSE($W544,3,3,2,2,3))&amp;" | Total Day "&amp;MAX(0,NETWORKDAYS($L544,TODAY(),Holidays)-1))</f>
        <v/>
      </c>
      <c r="W544" s="17">
        <f>IF($L544="","",COUNT($L544:$Q544))</f>
        <v/>
      </c>
      <c r="X544" s="18">
        <f>IF($W544="","",INT(INDEX($L544:$Q544,$W544)))</f>
        <v/>
      </c>
      <c r="Y544" s="18">
        <f>IF(OR($W544="",$W544=6),"",WORKDAY($X544,CHOOSE($W544,3,3,2,2,3),Holidays))</f>
        <v/>
      </c>
      <c r="Z544" s="17">
        <f>IF(OR($W544="",$W544=6),"",CHOOSE($W544,"1st Email Follow-up","2nd Email Follow-up","Escalate Local Office","Escalate to CBE","Escalate to Roxanne"))</f>
        <v/>
      </c>
    </row>
    <row r="545" spans="18:26">
      <c r="R545" s="15"/>
      <c r="S545" s="16"/>
      <c r="T545" s="17">
        <f>IF(AND(COUNTA($A545:$K545)=0,$L545=""),"",IF($S545="Paid","PAID",IF($S545="Closed","CLOSED",IF($W545="","",IF($W545=6,"ESCALATED TO ROXANNE",IF(TODAY()&gt;$Y545,"OVERDUE",IF($Y545&lt;=WORKDAY(TODAY(),1,Holidays),"DUE TOMORROW",IF($W545=4,"ESCALATED TO LOCAL OFFICE",IF($W545=5,"ESCALATED TO CBE",IF($X545=TODAY(),"EMAIL SENT","MONITORING"))))))))))</f>
        <v/>
      </c>
      <c r="U545" s="17">
        <f>IF($T545="",IF(AND(COUNTA($A545:$K545)&gt;0,$L545=""),"Awaiting Collection Email time stamp.",""),IF(OR($T545="PAID",$T545="CLOSED"),IF($T545="PAID","Account paid. Action completed.","Account closed. No further action required."),CHOOSE($W545,"Collection Email","1st Email Follow-up","2nd Email Follow-up","Escalation to Local Office","Escalation to CBE","Escalation to Roxanne")&amp;" sent "&amp;TEXT($X545,"dd-mmm")&amp;". "&amp;IF($W545=6,"Final escalation completed.",IF($T545="OVERDUE","Next: "&amp;$Z545&amp;" was due "&amp;TEXT($Y545,"dd-mmm")&amp;" - "&amp;(NETWORKDAYS($Y545,TODAY(),Holidays)-1)&amp;" business day(s) late. Send now.",IF($T545="DUE TOMORROW","Next: "&amp;$Z545&amp;IF($Y545&lt;=TODAY()," is due TODAY ("," is due next business day (")&amp;TEXT($Y545,"dd-mmm")&amp;").","Next: "&amp;$Z545&amp;" due "&amp;TEXT($Y545,"dd-mmm")&amp;" ("&amp;(NETWORKDAYS(TODAY(),$Y545,Holidays)-1)&amp;" business day(s) left).")))))</f>
        <v/>
      </c>
      <c r="V545" s="17">
        <f>IF($W545="","",CHOOSE($W545,"Collection Email","1st Follow-up","2nd Follow-up","Local Office","CBE","Roxanne")&amp;IF($W545=6," - Final"," - Day "&amp;MAX(0,NETWORKDAYS($X545,TODAY(),Holidays)-1)&amp;" of "&amp;CHOOSE($W545,3,3,2,2,3))&amp;" | Total Day "&amp;MAX(0,NETWORKDAYS($L545,TODAY(),Holidays)-1))</f>
        <v/>
      </c>
      <c r="W545" s="17">
        <f>IF($L545="","",COUNT($L545:$Q545))</f>
        <v/>
      </c>
      <c r="X545" s="18">
        <f>IF($W545="","",INT(INDEX($L545:$Q545,$W545)))</f>
        <v/>
      </c>
      <c r="Y545" s="18">
        <f>IF(OR($W545="",$W545=6),"",WORKDAY($X545,CHOOSE($W545,3,3,2,2,3),Holidays))</f>
        <v/>
      </c>
      <c r="Z545" s="17">
        <f>IF(OR($W545="",$W545=6),"",CHOOSE($W545,"1st Email Follow-up","2nd Email Follow-up","Escalate Local Office","Escalate to CBE","Escalate to Roxanne"))</f>
        <v/>
      </c>
    </row>
    <row r="546" spans="18:26">
      <c r="R546" s="15"/>
      <c r="S546" s="16"/>
      <c r="T546" s="17">
        <f>IF(AND(COUNTA($A546:$K546)=0,$L546=""),"",IF($S546="Paid","PAID",IF($S546="Closed","CLOSED",IF($W546="","",IF($W546=6,"ESCALATED TO ROXANNE",IF(TODAY()&gt;$Y546,"OVERDUE",IF($Y546&lt;=WORKDAY(TODAY(),1,Holidays),"DUE TOMORROW",IF($W546=4,"ESCALATED TO LOCAL OFFICE",IF($W546=5,"ESCALATED TO CBE",IF($X546=TODAY(),"EMAIL SENT","MONITORING"))))))))))</f>
        <v/>
      </c>
      <c r="U546" s="17">
        <f>IF($T546="",IF(AND(COUNTA($A546:$K546)&gt;0,$L546=""),"Awaiting Collection Email time stamp.",""),IF(OR($T546="PAID",$T546="CLOSED"),IF($T546="PAID","Account paid. Action completed.","Account closed. No further action required."),CHOOSE($W546,"Collection Email","1st Email Follow-up","2nd Email Follow-up","Escalation to Local Office","Escalation to CBE","Escalation to Roxanne")&amp;" sent "&amp;TEXT($X546,"dd-mmm")&amp;". "&amp;IF($W546=6,"Final escalation completed.",IF($T546="OVERDUE","Next: "&amp;$Z546&amp;" was due "&amp;TEXT($Y546,"dd-mmm")&amp;" - "&amp;(NETWORKDAYS($Y546,TODAY(),Holidays)-1)&amp;" business day(s) late. Send now.",IF($T546="DUE TOMORROW","Next: "&amp;$Z546&amp;IF($Y546&lt;=TODAY()," is due TODAY ("," is due next business day (")&amp;TEXT($Y546,"dd-mmm")&amp;").","Next: "&amp;$Z546&amp;" due "&amp;TEXT($Y546,"dd-mmm")&amp;" ("&amp;(NETWORKDAYS(TODAY(),$Y546,Holidays)-1)&amp;" business day(s) left).")))))</f>
        <v/>
      </c>
      <c r="V546" s="17">
        <f>IF($W546="","",CHOOSE($W546,"Collection Email","1st Follow-up","2nd Follow-up","Local Office","CBE","Roxanne")&amp;IF($W546=6," - Final"," - Day "&amp;MAX(0,NETWORKDAYS($X546,TODAY(),Holidays)-1)&amp;" of "&amp;CHOOSE($W546,3,3,2,2,3))&amp;" | Total Day "&amp;MAX(0,NETWORKDAYS($L546,TODAY(),Holidays)-1))</f>
        <v/>
      </c>
      <c r="W546" s="17">
        <f>IF($L546="","",COUNT($L546:$Q546))</f>
        <v/>
      </c>
      <c r="X546" s="18">
        <f>IF($W546="","",INT(INDEX($L546:$Q546,$W546)))</f>
        <v/>
      </c>
      <c r="Y546" s="18">
        <f>IF(OR($W546="",$W546=6),"",WORKDAY($X546,CHOOSE($W546,3,3,2,2,3),Holidays))</f>
        <v/>
      </c>
      <c r="Z546" s="17">
        <f>IF(OR($W546="",$W546=6),"",CHOOSE($W546,"1st Email Follow-up","2nd Email Follow-up","Escalate Local Office","Escalate to CBE","Escalate to Roxanne"))</f>
        <v/>
      </c>
    </row>
    <row r="547" spans="18:26">
      <c r="R547" s="15"/>
      <c r="S547" s="16"/>
      <c r="T547" s="17">
        <f>IF(AND(COUNTA($A547:$K547)=0,$L547=""),"",IF($S547="Paid","PAID",IF($S547="Closed","CLOSED",IF($W547="","",IF($W547=6,"ESCALATED TO ROXANNE",IF(TODAY()&gt;$Y547,"OVERDUE",IF($Y547&lt;=WORKDAY(TODAY(),1,Holidays),"DUE TOMORROW",IF($W547=4,"ESCALATED TO LOCAL OFFICE",IF($W547=5,"ESCALATED TO CBE",IF($X547=TODAY(),"EMAIL SENT","MONITORING"))))))))))</f>
        <v/>
      </c>
      <c r="U547" s="17">
        <f>IF($T547="",IF(AND(COUNTA($A547:$K547)&gt;0,$L547=""),"Awaiting Collection Email time stamp.",""),IF(OR($T547="PAID",$T547="CLOSED"),IF($T547="PAID","Account paid. Action completed.","Account closed. No further action required."),CHOOSE($W547,"Collection Email","1st Email Follow-up","2nd Email Follow-up","Escalation to Local Office","Escalation to CBE","Escalation to Roxanne")&amp;" sent "&amp;TEXT($X547,"dd-mmm")&amp;". "&amp;IF($W547=6,"Final escalation completed.",IF($T547="OVERDUE","Next: "&amp;$Z547&amp;" was due "&amp;TEXT($Y547,"dd-mmm")&amp;" - "&amp;(NETWORKDAYS($Y547,TODAY(),Holidays)-1)&amp;" business day(s) late. Send now.",IF($T547="DUE TOMORROW","Next: "&amp;$Z547&amp;IF($Y547&lt;=TODAY()," is due TODAY ("," is due next business day (")&amp;TEXT($Y547,"dd-mmm")&amp;").","Next: "&amp;$Z547&amp;" due "&amp;TEXT($Y547,"dd-mmm")&amp;" ("&amp;(NETWORKDAYS(TODAY(),$Y547,Holidays)-1)&amp;" business day(s) left).")))))</f>
        <v/>
      </c>
      <c r="V547" s="17">
        <f>IF($W547="","",CHOOSE($W547,"Collection Email","1st Follow-up","2nd Follow-up","Local Office","CBE","Roxanne")&amp;IF($W547=6," - Final"," - Day "&amp;MAX(0,NETWORKDAYS($X547,TODAY(),Holidays)-1)&amp;" of "&amp;CHOOSE($W547,3,3,2,2,3))&amp;" | Total Day "&amp;MAX(0,NETWORKDAYS($L547,TODAY(),Holidays)-1))</f>
        <v/>
      </c>
      <c r="W547" s="17">
        <f>IF($L547="","",COUNT($L547:$Q547))</f>
        <v/>
      </c>
      <c r="X547" s="18">
        <f>IF($W547="","",INT(INDEX($L547:$Q547,$W547)))</f>
        <v/>
      </c>
      <c r="Y547" s="18">
        <f>IF(OR($W547="",$W547=6),"",WORKDAY($X547,CHOOSE($W547,3,3,2,2,3),Holidays))</f>
        <v/>
      </c>
      <c r="Z547" s="17">
        <f>IF(OR($W547="",$W547=6),"",CHOOSE($W547,"1st Email Follow-up","2nd Email Follow-up","Escalate Local Office","Escalate to CBE","Escalate to Roxanne"))</f>
        <v/>
      </c>
    </row>
    <row r="548" spans="18:26">
      <c r="R548" s="15"/>
      <c r="S548" s="16"/>
      <c r="T548" s="17">
        <f>IF(AND(COUNTA($A548:$K548)=0,$L548=""),"",IF($S548="Paid","PAID",IF($S548="Closed","CLOSED",IF($W548="","",IF($W548=6,"ESCALATED TO ROXANNE",IF(TODAY()&gt;$Y548,"OVERDUE",IF($Y548&lt;=WORKDAY(TODAY(),1,Holidays),"DUE TOMORROW",IF($W548=4,"ESCALATED TO LOCAL OFFICE",IF($W548=5,"ESCALATED TO CBE",IF($X548=TODAY(),"EMAIL SENT","MONITORING"))))))))))</f>
        <v/>
      </c>
      <c r="U548" s="17">
        <f>IF($T548="",IF(AND(COUNTA($A548:$K548)&gt;0,$L548=""),"Awaiting Collection Email time stamp.",""),IF(OR($T548="PAID",$T548="CLOSED"),IF($T548="PAID","Account paid. Action completed.","Account closed. No further action required."),CHOOSE($W548,"Collection Email","1st Email Follow-up","2nd Email Follow-up","Escalation to Local Office","Escalation to CBE","Escalation to Roxanne")&amp;" sent "&amp;TEXT($X548,"dd-mmm")&amp;". "&amp;IF($W548=6,"Final escalation completed.",IF($T548="OVERDUE","Next: "&amp;$Z548&amp;" was due "&amp;TEXT($Y548,"dd-mmm")&amp;" - "&amp;(NETWORKDAYS($Y548,TODAY(),Holidays)-1)&amp;" business day(s) late. Send now.",IF($T548="DUE TOMORROW","Next: "&amp;$Z548&amp;IF($Y548&lt;=TODAY()," is due TODAY ("," is due next business day (")&amp;TEXT($Y548,"dd-mmm")&amp;").","Next: "&amp;$Z548&amp;" due "&amp;TEXT($Y548,"dd-mmm")&amp;" ("&amp;(NETWORKDAYS(TODAY(),$Y548,Holidays)-1)&amp;" business day(s) left).")))))</f>
        <v/>
      </c>
      <c r="V548" s="17">
        <f>IF($W548="","",CHOOSE($W548,"Collection Email","1st Follow-up","2nd Follow-up","Local Office","CBE","Roxanne")&amp;IF($W548=6," - Final"," - Day "&amp;MAX(0,NETWORKDAYS($X548,TODAY(),Holidays)-1)&amp;" of "&amp;CHOOSE($W548,3,3,2,2,3))&amp;" | Total Day "&amp;MAX(0,NETWORKDAYS($L548,TODAY(),Holidays)-1))</f>
        <v/>
      </c>
      <c r="W548" s="17">
        <f>IF($L548="","",COUNT($L548:$Q548))</f>
        <v/>
      </c>
      <c r="X548" s="18">
        <f>IF($W548="","",INT(INDEX($L548:$Q548,$W548)))</f>
        <v/>
      </c>
      <c r="Y548" s="18">
        <f>IF(OR($W548="",$W548=6),"",WORKDAY($X548,CHOOSE($W548,3,3,2,2,3),Holidays))</f>
        <v/>
      </c>
      <c r="Z548" s="17">
        <f>IF(OR($W548="",$W548=6),"",CHOOSE($W548,"1st Email Follow-up","2nd Email Follow-up","Escalate Local Office","Escalate to CBE","Escalate to Roxanne"))</f>
        <v/>
      </c>
    </row>
    <row r="549" spans="18:26">
      <c r="R549" s="15"/>
      <c r="S549" s="16"/>
      <c r="T549" s="17">
        <f>IF(AND(COUNTA($A549:$K549)=0,$L549=""),"",IF($S549="Paid","PAID",IF($S549="Closed","CLOSED",IF($W549="","",IF($W549=6,"ESCALATED TO ROXANNE",IF(TODAY()&gt;$Y549,"OVERDUE",IF($Y549&lt;=WORKDAY(TODAY(),1,Holidays),"DUE TOMORROW",IF($W549=4,"ESCALATED TO LOCAL OFFICE",IF($W549=5,"ESCALATED TO CBE",IF($X549=TODAY(),"EMAIL SENT","MONITORING"))))))))))</f>
        <v/>
      </c>
      <c r="U549" s="17">
        <f>IF($T549="",IF(AND(COUNTA($A549:$K549)&gt;0,$L549=""),"Awaiting Collection Email time stamp.",""),IF(OR($T549="PAID",$T549="CLOSED"),IF($T549="PAID","Account paid. Action completed.","Account closed. No further action required."),CHOOSE($W549,"Collection Email","1st Email Follow-up","2nd Email Follow-up","Escalation to Local Office","Escalation to CBE","Escalation to Roxanne")&amp;" sent "&amp;TEXT($X549,"dd-mmm")&amp;". "&amp;IF($W549=6,"Final escalation completed.",IF($T549="OVERDUE","Next: "&amp;$Z549&amp;" was due "&amp;TEXT($Y549,"dd-mmm")&amp;" - "&amp;(NETWORKDAYS($Y549,TODAY(),Holidays)-1)&amp;" business day(s) late. Send now.",IF($T549="DUE TOMORROW","Next: "&amp;$Z549&amp;IF($Y549&lt;=TODAY()," is due TODAY ("," is due next business day (")&amp;TEXT($Y549,"dd-mmm")&amp;").","Next: "&amp;$Z549&amp;" due "&amp;TEXT($Y549,"dd-mmm")&amp;" ("&amp;(NETWORKDAYS(TODAY(),$Y549,Holidays)-1)&amp;" business day(s) left).")))))</f>
        <v/>
      </c>
      <c r="V549" s="17">
        <f>IF($W549="","",CHOOSE($W549,"Collection Email","1st Follow-up","2nd Follow-up","Local Office","CBE","Roxanne")&amp;IF($W549=6," - Final"," - Day "&amp;MAX(0,NETWORKDAYS($X549,TODAY(),Holidays)-1)&amp;" of "&amp;CHOOSE($W549,3,3,2,2,3))&amp;" | Total Day "&amp;MAX(0,NETWORKDAYS($L549,TODAY(),Holidays)-1))</f>
        <v/>
      </c>
      <c r="W549" s="17">
        <f>IF($L549="","",COUNT($L549:$Q549))</f>
        <v/>
      </c>
      <c r="X549" s="18">
        <f>IF($W549="","",INT(INDEX($L549:$Q549,$W549)))</f>
        <v/>
      </c>
      <c r="Y549" s="18">
        <f>IF(OR($W549="",$W549=6),"",WORKDAY($X549,CHOOSE($W549,3,3,2,2,3),Holidays))</f>
        <v/>
      </c>
      <c r="Z549" s="17">
        <f>IF(OR($W549="",$W549=6),"",CHOOSE($W549,"1st Email Follow-up","2nd Email Follow-up","Escalate Local Office","Escalate to CBE","Escalate to Roxanne"))</f>
        <v/>
      </c>
    </row>
    <row r="550" spans="18:26">
      <c r="R550" s="15"/>
      <c r="S550" s="16"/>
      <c r="T550" s="17">
        <f>IF(AND(COUNTA($A550:$K550)=0,$L550=""),"",IF($S550="Paid","PAID",IF($S550="Closed","CLOSED",IF($W550="","",IF($W550=6,"ESCALATED TO ROXANNE",IF(TODAY()&gt;$Y550,"OVERDUE",IF($Y550&lt;=WORKDAY(TODAY(),1,Holidays),"DUE TOMORROW",IF($W550=4,"ESCALATED TO LOCAL OFFICE",IF($W550=5,"ESCALATED TO CBE",IF($X550=TODAY(),"EMAIL SENT","MONITORING"))))))))))</f>
        <v/>
      </c>
      <c r="U550" s="17">
        <f>IF($T550="",IF(AND(COUNTA($A550:$K550)&gt;0,$L550=""),"Awaiting Collection Email time stamp.",""),IF(OR($T550="PAID",$T550="CLOSED"),IF($T550="PAID","Account paid. Action completed.","Account closed. No further action required."),CHOOSE($W550,"Collection Email","1st Email Follow-up","2nd Email Follow-up","Escalation to Local Office","Escalation to CBE","Escalation to Roxanne")&amp;" sent "&amp;TEXT($X550,"dd-mmm")&amp;". "&amp;IF($W550=6,"Final escalation completed.",IF($T550="OVERDUE","Next: "&amp;$Z550&amp;" was due "&amp;TEXT($Y550,"dd-mmm")&amp;" - "&amp;(NETWORKDAYS($Y550,TODAY(),Holidays)-1)&amp;" business day(s) late. Send now.",IF($T550="DUE TOMORROW","Next: "&amp;$Z550&amp;IF($Y550&lt;=TODAY()," is due TODAY ("," is due next business day (")&amp;TEXT($Y550,"dd-mmm")&amp;").","Next: "&amp;$Z550&amp;" due "&amp;TEXT($Y550,"dd-mmm")&amp;" ("&amp;(NETWORKDAYS(TODAY(),$Y550,Holidays)-1)&amp;" business day(s) left).")))))</f>
        <v/>
      </c>
      <c r="V550" s="17">
        <f>IF($W550="","",CHOOSE($W550,"Collection Email","1st Follow-up","2nd Follow-up","Local Office","CBE","Roxanne")&amp;IF($W550=6," - Final"," - Day "&amp;MAX(0,NETWORKDAYS($X550,TODAY(),Holidays)-1)&amp;" of "&amp;CHOOSE($W550,3,3,2,2,3))&amp;" | Total Day "&amp;MAX(0,NETWORKDAYS($L550,TODAY(),Holidays)-1))</f>
        <v/>
      </c>
      <c r="W550" s="17">
        <f>IF($L550="","",COUNT($L550:$Q550))</f>
        <v/>
      </c>
      <c r="X550" s="18">
        <f>IF($W550="","",INT(INDEX($L550:$Q550,$W550)))</f>
        <v/>
      </c>
      <c r="Y550" s="18">
        <f>IF(OR($W550="",$W550=6),"",WORKDAY($X550,CHOOSE($W550,3,3,2,2,3),Holidays))</f>
        <v/>
      </c>
      <c r="Z550" s="17">
        <f>IF(OR($W550="",$W550=6),"",CHOOSE($W550,"1st Email Follow-up","2nd Email Follow-up","Escalate Local Office","Escalate to CBE","Escalate to Roxanne"))</f>
        <v/>
      </c>
    </row>
    <row r="551" spans="18:26">
      <c r="R551" s="15"/>
      <c r="S551" s="16"/>
      <c r="T551" s="17">
        <f>IF(AND(COUNTA($A551:$K551)=0,$L551=""),"",IF($S551="Paid","PAID",IF($S551="Closed","CLOSED",IF($W551="","",IF($W551=6,"ESCALATED TO ROXANNE",IF(TODAY()&gt;$Y551,"OVERDUE",IF($Y551&lt;=WORKDAY(TODAY(),1,Holidays),"DUE TOMORROW",IF($W551=4,"ESCALATED TO LOCAL OFFICE",IF($W551=5,"ESCALATED TO CBE",IF($X551=TODAY(),"EMAIL SENT","MONITORING"))))))))))</f>
        <v/>
      </c>
      <c r="U551" s="17">
        <f>IF($T551="",IF(AND(COUNTA($A551:$K551)&gt;0,$L551=""),"Awaiting Collection Email time stamp.",""),IF(OR($T551="PAID",$T551="CLOSED"),IF($T551="PAID","Account paid. Action completed.","Account closed. No further action required."),CHOOSE($W551,"Collection Email","1st Email Follow-up","2nd Email Follow-up","Escalation to Local Office","Escalation to CBE","Escalation to Roxanne")&amp;" sent "&amp;TEXT($X551,"dd-mmm")&amp;". "&amp;IF($W551=6,"Final escalation completed.",IF($T551="OVERDUE","Next: "&amp;$Z551&amp;" was due "&amp;TEXT($Y551,"dd-mmm")&amp;" - "&amp;(NETWORKDAYS($Y551,TODAY(),Holidays)-1)&amp;" business day(s) late. Send now.",IF($T551="DUE TOMORROW","Next: "&amp;$Z551&amp;IF($Y551&lt;=TODAY()," is due TODAY ("," is due next business day (")&amp;TEXT($Y551,"dd-mmm")&amp;").","Next: "&amp;$Z551&amp;" due "&amp;TEXT($Y551,"dd-mmm")&amp;" ("&amp;(NETWORKDAYS(TODAY(),$Y551,Holidays)-1)&amp;" business day(s) left).")))))</f>
        <v/>
      </c>
      <c r="V551" s="17">
        <f>IF($W551="","",CHOOSE($W551,"Collection Email","1st Follow-up","2nd Follow-up","Local Office","CBE","Roxanne")&amp;IF($W551=6," - Final"," - Day "&amp;MAX(0,NETWORKDAYS($X551,TODAY(),Holidays)-1)&amp;" of "&amp;CHOOSE($W551,3,3,2,2,3))&amp;" | Total Day "&amp;MAX(0,NETWORKDAYS($L551,TODAY(),Holidays)-1))</f>
        <v/>
      </c>
      <c r="W551" s="17">
        <f>IF($L551="","",COUNT($L551:$Q551))</f>
        <v/>
      </c>
      <c r="X551" s="18">
        <f>IF($W551="","",INT(INDEX($L551:$Q551,$W551)))</f>
        <v/>
      </c>
      <c r="Y551" s="18">
        <f>IF(OR($W551="",$W551=6),"",WORKDAY($X551,CHOOSE($W551,3,3,2,2,3),Holidays))</f>
        <v/>
      </c>
      <c r="Z551" s="17">
        <f>IF(OR($W551="",$W551=6),"",CHOOSE($W551,"1st Email Follow-up","2nd Email Follow-up","Escalate Local Office","Escalate to CBE","Escalate to Roxanne"))</f>
        <v/>
      </c>
    </row>
    <row r="552" spans="18:26">
      <c r="R552" s="15"/>
      <c r="S552" s="16"/>
      <c r="T552" s="17">
        <f>IF(AND(COUNTA($A552:$K552)=0,$L552=""),"",IF($S552="Paid","PAID",IF($S552="Closed","CLOSED",IF($W552="","",IF($W552=6,"ESCALATED TO ROXANNE",IF(TODAY()&gt;$Y552,"OVERDUE",IF($Y552&lt;=WORKDAY(TODAY(),1,Holidays),"DUE TOMORROW",IF($W552=4,"ESCALATED TO LOCAL OFFICE",IF($W552=5,"ESCALATED TO CBE",IF($X552=TODAY(),"EMAIL SENT","MONITORING"))))))))))</f>
        <v/>
      </c>
      <c r="U552" s="17">
        <f>IF($T552="",IF(AND(COUNTA($A552:$K552)&gt;0,$L552=""),"Awaiting Collection Email time stamp.",""),IF(OR($T552="PAID",$T552="CLOSED"),IF($T552="PAID","Account paid. Action completed.","Account closed. No further action required."),CHOOSE($W552,"Collection Email","1st Email Follow-up","2nd Email Follow-up","Escalation to Local Office","Escalation to CBE","Escalation to Roxanne")&amp;" sent "&amp;TEXT($X552,"dd-mmm")&amp;". "&amp;IF($W552=6,"Final escalation completed.",IF($T552="OVERDUE","Next: "&amp;$Z552&amp;" was due "&amp;TEXT($Y552,"dd-mmm")&amp;" - "&amp;(NETWORKDAYS($Y552,TODAY(),Holidays)-1)&amp;" business day(s) late. Send now.",IF($T552="DUE TOMORROW","Next: "&amp;$Z552&amp;IF($Y552&lt;=TODAY()," is due TODAY ("," is due next business day (")&amp;TEXT($Y552,"dd-mmm")&amp;").","Next: "&amp;$Z552&amp;" due "&amp;TEXT($Y552,"dd-mmm")&amp;" ("&amp;(NETWORKDAYS(TODAY(),$Y552,Holidays)-1)&amp;" business day(s) left).")))))</f>
        <v/>
      </c>
      <c r="V552" s="17">
        <f>IF($W552="","",CHOOSE($W552,"Collection Email","1st Follow-up","2nd Follow-up","Local Office","CBE","Roxanne")&amp;IF($W552=6," - Final"," - Day "&amp;MAX(0,NETWORKDAYS($X552,TODAY(),Holidays)-1)&amp;" of "&amp;CHOOSE($W552,3,3,2,2,3))&amp;" | Total Day "&amp;MAX(0,NETWORKDAYS($L552,TODAY(),Holidays)-1))</f>
        <v/>
      </c>
      <c r="W552" s="17">
        <f>IF($L552="","",COUNT($L552:$Q552))</f>
        <v/>
      </c>
      <c r="X552" s="18">
        <f>IF($W552="","",INT(INDEX($L552:$Q552,$W552)))</f>
        <v/>
      </c>
      <c r="Y552" s="18">
        <f>IF(OR($W552="",$W552=6),"",WORKDAY($X552,CHOOSE($W552,3,3,2,2,3),Holidays))</f>
        <v/>
      </c>
      <c r="Z552" s="17">
        <f>IF(OR($W552="",$W552=6),"",CHOOSE($W552,"1st Email Follow-up","2nd Email Follow-up","Escalate Local Office","Escalate to CBE","Escalate to Roxanne"))</f>
        <v/>
      </c>
    </row>
    <row r="553" spans="18:26">
      <c r="R553" s="15"/>
      <c r="S553" s="16"/>
      <c r="T553" s="17">
        <f>IF(AND(COUNTA($A553:$K553)=0,$L553=""),"",IF($S553="Paid","PAID",IF($S553="Closed","CLOSED",IF($W553="","",IF($W553=6,"ESCALATED TO ROXANNE",IF(TODAY()&gt;$Y553,"OVERDUE",IF($Y553&lt;=WORKDAY(TODAY(),1,Holidays),"DUE TOMORROW",IF($W553=4,"ESCALATED TO LOCAL OFFICE",IF($W553=5,"ESCALATED TO CBE",IF($X553=TODAY(),"EMAIL SENT","MONITORING"))))))))))</f>
        <v/>
      </c>
      <c r="U553" s="17">
        <f>IF($T553="",IF(AND(COUNTA($A553:$K553)&gt;0,$L553=""),"Awaiting Collection Email time stamp.",""),IF(OR($T553="PAID",$T553="CLOSED"),IF($T553="PAID","Account paid. Action completed.","Account closed. No further action required."),CHOOSE($W553,"Collection Email","1st Email Follow-up","2nd Email Follow-up","Escalation to Local Office","Escalation to CBE","Escalation to Roxanne")&amp;" sent "&amp;TEXT($X553,"dd-mmm")&amp;". "&amp;IF($W553=6,"Final escalation completed.",IF($T553="OVERDUE","Next: "&amp;$Z553&amp;" was due "&amp;TEXT($Y553,"dd-mmm")&amp;" - "&amp;(NETWORKDAYS($Y553,TODAY(),Holidays)-1)&amp;" business day(s) late. Send now.",IF($T553="DUE TOMORROW","Next: "&amp;$Z553&amp;IF($Y553&lt;=TODAY()," is due TODAY ("," is due next business day (")&amp;TEXT($Y553,"dd-mmm")&amp;").","Next: "&amp;$Z553&amp;" due "&amp;TEXT($Y553,"dd-mmm")&amp;" ("&amp;(NETWORKDAYS(TODAY(),$Y553,Holidays)-1)&amp;" business day(s) left).")))))</f>
        <v/>
      </c>
      <c r="V553" s="17">
        <f>IF($W553="","",CHOOSE($W553,"Collection Email","1st Follow-up","2nd Follow-up","Local Office","CBE","Roxanne")&amp;IF($W553=6," - Final"," - Day "&amp;MAX(0,NETWORKDAYS($X553,TODAY(),Holidays)-1)&amp;" of "&amp;CHOOSE($W553,3,3,2,2,3))&amp;" | Total Day "&amp;MAX(0,NETWORKDAYS($L553,TODAY(),Holidays)-1))</f>
        <v/>
      </c>
      <c r="W553" s="17">
        <f>IF($L553="","",COUNT($L553:$Q553))</f>
        <v/>
      </c>
      <c r="X553" s="18">
        <f>IF($W553="","",INT(INDEX($L553:$Q553,$W553)))</f>
        <v/>
      </c>
      <c r="Y553" s="18">
        <f>IF(OR($W553="",$W553=6),"",WORKDAY($X553,CHOOSE($W553,3,3,2,2,3),Holidays))</f>
        <v/>
      </c>
      <c r="Z553" s="17">
        <f>IF(OR($W553="",$W553=6),"",CHOOSE($W553,"1st Email Follow-up","2nd Email Follow-up","Escalate Local Office","Escalate to CBE","Escalate to Roxanne"))</f>
        <v/>
      </c>
    </row>
    <row r="554" spans="18:26">
      <c r="R554" s="15"/>
      <c r="S554" s="16"/>
      <c r="T554" s="17">
        <f>IF(AND(COUNTA($A554:$K554)=0,$L554=""),"",IF($S554="Paid","PAID",IF($S554="Closed","CLOSED",IF($W554="","",IF($W554=6,"ESCALATED TO ROXANNE",IF(TODAY()&gt;$Y554,"OVERDUE",IF($Y554&lt;=WORKDAY(TODAY(),1,Holidays),"DUE TOMORROW",IF($W554=4,"ESCALATED TO LOCAL OFFICE",IF($W554=5,"ESCALATED TO CBE",IF($X554=TODAY(),"EMAIL SENT","MONITORING"))))))))))</f>
        <v/>
      </c>
      <c r="U554" s="17">
        <f>IF($T554="",IF(AND(COUNTA($A554:$K554)&gt;0,$L554=""),"Awaiting Collection Email time stamp.",""),IF(OR($T554="PAID",$T554="CLOSED"),IF($T554="PAID","Account paid. Action completed.","Account closed. No further action required."),CHOOSE($W554,"Collection Email","1st Email Follow-up","2nd Email Follow-up","Escalation to Local Office","Escalation to CBE","Escalation to Roxanne")&amp;" sent "&amp;TEXT($X554,"dd-mmm")&amp;". "&amp;IF($W554=6,"Final escalation completed.",IF($T554="OVERDUE","Next: "&amp;$Z554&amp;" was due "&amp;TEXT($Y554,"dd-mmm")&amp;" - "&amp;(NETWORKDAYS($Y554,TODAY(),Holidays)-1)&amp;" business day(s) late. Send now.",IF($T554="DUE TOMORROW","Next: "&amp;$Z554&amp;IF($Y554&lt;=TODAY()," is due TODAY ("," is due next business day (")&amp;TEXT($Y554,"dd-mmm")&amp;").","Next: "&amp;$Z554&amp;" due "&amp;TEXT($Y554,"dd-mmm")&amp;" ("&amp;(NETWORKDAYS(TODAY(),$Y554,Holidays)-1)&amp;" business day(s) left).")))))</f>
        <v/>
      </c>
      <c r="V554" s="17">
        <f>IF($W554="","",CHOOSE($W554,"Collection Email","1st Follow-up","2nd Follow-up","Local Office","CBE","Roxanne")&amp;IF($W554=6," - Final"," - Day "&amp;MAX(0,NETWORKDAYS($X554,TODAY(),Holidays)-1)&amp;" of "&amp;CHOOSE($W554,3,3,2,2,3))&amp;" | Total Day "&amp;MAX(0,NETWORKDAYS($L554,TODAY(),Holidays)-1))</f>
        <v/>
      </c>
      <c r="W554" s="17">
        <f>IF($L554="","",COUNT($L554:$Q554))</f>
        <v/>
      </c>
      <c r="X554" s="18">
        <f>IF($W554="","",INT(INDEX($L554:$Q554,$W554)))</f>
        <v/>
      </c>
      <c r="Y554" s="18">
        <f>IF(OR($W554="",$W554=6),"",WORKDAY($X554,CHOOSE($W554,3,3,2,2,3),Holidays))</f>
        <v/>
      </c>
      <c r="Z554" s="17">
        <f>IF(OR($W554="",$W554=6),"",CHOOSE($W554,"1st Email Follow-up","2nd Email Follow-up","Escalate Local Office","Escalate to CBE","Escalate to Roxanne"))</f>
        <v/>
      </c>
    </row>
    <row r="555" spans="18:26">
      <c r="R555" s="15"/>
      <c r="S555" s="16"/>
      <c r="T555" s="17">
        <f>IF(AND(COUNTA($A555:$K555)=0,$L555=""),"",IF($S555="Paid","PAID",IF($S555="Closed","CLOSED",IF($W555="","",IF($W555=6,"ESCALATED TO ROXANNE",IF(TODAY()&gt;$Y555,"OVERDUE",IF($Y555&lt;=WORKDAY(TODAY(),1,Holidays),"DUE TOMORROW",IF($W555=4,"ESCALATED TO LOCAL OFFICE",IF($W555=5,"ESCALATED TO CBE",IF($X555=TODAY(),"EMAIL SENT","MONITORING"))))))))))</f>
        <v/>
      </c>
      <c r="U555" s="17">
        <f>IF($T555="",IF(AND(COUNTA($A555:$K555)&gt;0,$L555=""),"Awaiting Collection Email time stamp.",""),IF(OR($T555="PAID",$T555="CLOSED"),IF($T555="PAID","Account paid. Action completed.","Account closed. No further action required."),CHOOSE($W555,"Collection Email","1st Email Follow-up","2nd Email Follow-up","Escalation to Local Office","Escalation to CBE","Escalation to Roxanne")&amp;" sent "&amp;TEXT($X555,"dd-mmm")&amp;". "&amp;IF($W555=6,"Final escalation completed.",IF($T555="OVERDUE","Next: "&amp;$Z555&amp;" was due "&amp;TEXT($Y555,"dd-mmm")&amp;" - "&amp;(NETWORKDAYS($Y555,TODAY(),Holidays)-1)&amp;" business day(s) late. Send now.",IF($T555="DUE TOMORROW","Next: "&amp;$Z555&amp;IF($Y555&lt;=TODAY()," is due TODAY ("," is due next business day (")&amp;TEXT($Y555,"dd-mmm")&amp;").","Next: "&amp;$Z555&amp;" due "&amp;TEXT($Y555,"dd-mmm")&amp;" ("&amp;(NETWORKDAYS(TODAY(),$Y555,Holidays)-1)&amp;" business day(s) left).")))))</f>
        <v/>
      </c>
      <c r="V555" s="17">
        <f>IF($W555="","",CHOOSE($W555,"Collection Email","1st Follow-up","2nd Follow-up","Local Office","CBE","Roxanne")&amp;IF($W555=6," - Final"," - Day "&amp;MAX(0,NETWORKDAYS($X555,TODAY(),Holidays)-1)&amp;" of "&amp;CHOOSE($W555,3,3,2,2,3))&amp;" | Total Day "&amp;MAX(0,NETWORKDAYS($L555,TODAY(),Holidays)-1))</f>
        <v/>
      </c>
      <c r="W555" s="17">
        <f>IF($L555="","",COUNT($L555:$Q555))</f>
        <v/>
      </c>
      <c r="X555" s="18">
        <f>IF($W555="","",INT(INDEX($L555:$Q555,$W555)))</f>
        <v/>
      </c>
      <c r="Y555" s="18">
        <f>IF(OR($W555="",$W555=6),"",WORKDAY($X555,CHOOSE($W555,3,3,2,2,3),Holidays))</f>
        <v/>
      </c>
      <c r="Z555" s="17">
        <f>IF(OR($W555="",$W555=6),"",CHOOSE($W555,"1st Email Follow-up","2nd Email Follow-up","Escalate Local Office","Escalate to CBE","Escalate to Roxanne"))</f>
        <v/>
      </c>
    </row>
    <row r="556" spans="18:26">
      <c r="R556" s="15"/>
      <c r="S556" s="16"/>
      <c r="T556" s="17">
        <f>IF(AND(COUNTA($A556:$K556)=0,$L556=""),"",IF($S556="Paid","PAID",IF($S556="Closed","CLOSED",IF($W556="","",IF($W556=6,"ESCALATED TO ROXANNE",IF(TODAY()&gt;$Y556,"OVERDUE",IF($Y556&lt;=WORKDAY(TODAY(),1,Holidays),"DUE TOMORROW",IF($W556=4,"ESCALATED TO LOCAL OFFICE",IF($W556=5,"ESCALATED TO CBE",IF($X556=TODAY(),"EMAIL SENT","MONITORING"))))))))))</f>
        <v/>
      </c>
      <c r="U556" s="17">
        <f>IF($T556="",IF(AND(COUNTA($A556:$K556)&gt;0,$L556=""),"Awaiting Collection Email time stamp.",""),IF(OR($T556="PAID",$T556="CLOSED"),IF($T556="PAID","Account paid. Action completed.","Account closed. No further action required."),CHOOSE($W556,"Collection Email","1st Email Follow-up","2nd Email Follow-up","Escalation to Local Office","Escalation to CBE","Escalation to Roxanne")&amp;" sent "&amp;TEXT($X556,"dd-mmm")&amp;". "&amp;IF($W556=6,"Final escalation completed.",IF($T556="OVERDUE","Next: "&amp;$Z556&amp;" was due "&amp;TEXT($Y556,"dd-mmm")&amp;" - "&amp;(NETWORKDAYS($Y556,TODAY(),Holidays)-1)&amp;" business day(s) late. Send now.",IF($T556="DUE TOMORROW","Next: "&amp;$Z556&amp;IF($Y556&lt;=TODAY()," is due TODAY ("," is due next business day (")&amp;TEXT($Y556,"dd-mmm")&amp;").","Next: "&amp;$Z556&amp;" due "&amp;TEXT($Y556,"dd-mmm")&amp;" ("&amp;(NETWORKDAYS(TODAY(),$Y556,Holidays)-1)&amp;" business day(s) left).")))))</f>
        <v/>
      </c>
      <c r="V556" s="17">
        <f>IF($W556="","",CHOOSE($W556,"Collection Email","1st Follow-up","2nd Follow-up","Local Office","CBE","Roxanne")&amp;IF($W556=6," - Final"," - Day "&amp;MAX(0,NETWORKDAYS($X556,TODAY(),Holidays)-1)&amp;" of "&amp;CHOOSE($W556,3,3,2,2,3))&amp;" | Total Day "&amp;MAX(0,NETWORKDAYS($L556,TODAY(),Holidays)-1))</f>
        <v/>
      </c>
      <c r="W556" s="17">
        <f>IF($L556="","",COUNT($L556:$Q556))</f>
        <v/>
      </c>
      <c r="X556" s="18">
        <f>IF($W556="","",INT(INDEX($L556:$Q556,$W556)))</f>
        <v/>
      </c>
      <c r="Y556" s="18">
        <f>IF(OR($W556="",$W556=6),"",WORKDAY($X556,CHOOSE($W556,3,3,2,2,3),Holidays))</f>
        <v/>
      </c>
      <c r="Z556" s="17">
        <f>IF(OR($W556="",$W556=6),"",CHOOSE($W556,"1st Email Follow-up","2nd Email Follow-up","Escalate Local Office","Escalate to CBE","Escalate to Roxanne"))</f>
        <v/>
      </c>
    </row>
    <row r="557" spans="18:26">
      <c r="R557" s="15"/>
      <c r="S557" s="16"/>
      <c r="T557" s="17">
        <f>IF(AND(COUNTA($A557:$K557)=0,$L557=""),"",IF($S557="Paid","PAID",IF($S557="Closed","CLOSED",IF($W557="","",IF($W557=6,"ESCALATED TO ROXANNE",IF(TODAY()&gt;$Y557,"OVERDUE",IF($Y557&lt;=WORKDAY(TODAY(),1,Holidays),"DUE TOMORROW",IF($W557=4,"ESCALATED TO LOCAL OFFICE",IF($W557=5,"ESCALATED TO CBE",IF($X557=TODAY(),"EMAIL SENT","MONITORING"))))))))))</f>
        <v/>
      </c>
      <c r="U557" s="17">
        <f>IF($T557="",IF(AND(COUNTA($A557:$K557)&gt;0,$L557=""),"Awaiting Collection Email time stamp.",""),IF(OR($T557="PAID",$T557="CLOSED"),IF($T557="PAID","Account paid. Action completed.","Account closed. No further action required."),CHOOSE($W557,"Collection Email","1st Email Follow-up","2nd Email Follow-up","Escalation to Local Office","Escalation to CBE","Escalation to Roxanne")&amp;" sent "&amp;TEXT($X557,"dd-mmm")&amp;". "&amp;IF($W557=6,"Final escalation completed.",IF($T557="OVERDUE","Next: "&amp;$Z557&amp;" was due "&amp;TEXT($Y557,"dd-mmm")&amp;" - "&amp;(NETWORKDAYS($Y557,TODAY(),Holidays)-1)&amp;" business day(s) late. Send now.",IF($T557="DUE TOMORROW","Next: "&amp;$Z557&amp;IF($Y557&lt;=TODAY()," is due TODAY ("," is due next business day (")&amp;TEXT($Y557,"dd-mmm")&amp;").","Next: "&amp;$Z557&amp;" due "&amp;TEXT($Y557,"dd-mmm")&amp;" ("&amp;(NETWORKDAYS(TODAY(),$Y557,Holidays)-1)&amp;" business day(s) left).")))))</f>
        <v/>
      </c>
      <c r="V557" s="17">
        <f>IF($W557="","",CHOOSE($W557,"Collection Email","1st Follow-up","2nd Follow-up","Local Office","CBE","Roxanne")&amp;IF($W557=6," - Final"," - Day "&amp;MAX(0,NETWORKDAYS($X557,TODAY(),Holidays)-1)&amp;" of "&amp;CHOOSE($W557,3,3,2,2,3))&amp;" | Total Day "&amp;MAX(0,NETWORKDAYS($L557,TODAY(),Holidays)-1))</f>
        <v/>
      </c>
      <c r="W557" s="17">
        <f>IF($L557="","",COUNT($L557:$Q557))</f>
        <v/>
      </c>
      <c r="X557" s="18">
        <f>IF($W557="","",INT(INDEX($L557:$Q557,$W557)))</f>
        <v/>
      </c>
      <c r="Y557" s="18">
        <f>IF(OR($W557="",$W557=6),"",WORKDAY($X557,CHOOSE($W557,3,3,2,2,3),Holidays))</f>
        <v/>
      </c>
      <c r="Z557" s="17">
        <f>IF(OR($W557="",$W557=6),"",CHOOSE($W557,"1st Email Follow-up","2nd Email Follow-up","Escalate Local Office","Escalate to CBE","Escalate to Roxanne"))</f>
        <v/>
      </c>
    </row>
    <row r="558" spans="18:26">
      <c r="R558" s="15"/>
      <c r="S558" s="16"/>
      <c r="T558" s="17">
        <f>IF(AND(COUNTA($A558:$K558)=0,$L558=""),"",IF($S558="Paid","PAID",IF($S558="Closed","CLOSED",IF($W558="","",IF($W558=6,"ESCALATED TO ROXANNE",IF(TODAY()&gt;$Y558,"OVERDUE",IF($Y558&lt;=WORKDAY(TODAY(),1,Holidays),"DUE TOMORROW",IF($W558=4,"ESCALATED TO LOCAL OFFICE",IF($W558=5,"ESCALATED TO CBE",IF($X558=TODAY(),"EMAIL SENT","MONITORING"))))))))))</f>
        <v/>
      </c>
      <c r="U558" s="17">
        <f>IF($T558="",IF(AND(COUNTA($A558:$K558)&gt;0,$L558=""),"Awaiting Collection Email time stamp.",""),IF(OR($T558="PAID",$T558="CLOSED"),IF($T558="PAID","Account paid. Action completed.","Account closed. No further action required."),CHOOSE($W558,"Collection Email","1st Email Follow-up","2nd Email Follow-up","Escalation to Local Office","Escalation to CBE","Escalation to Roxanne")&amp;" sent "&amp;TEXT($X558,"dd-mmm")&amp;". "&amp;IF($W558=6,"Final escalation completed.",IF($T558="OVERDUE","Next: "&amp;$Z558&amp;" was due "&amp;TEXT($Y558,"dd-mmm")&amp;" - "&amp;(NETWORKDAYS($Y558,TODAY(),Holidays)-1)&amp;" business day(s) late. Send now.",IF($T558="DUE TOMORROW","Next: "&amp;$Z558&amp;IF($Y558&lt;=TODAY()," is due TODAY ("," is due next business day (")&amp;TEXT($Y558,"dd-mmm")&amp;").","Next: "&amp;$Z558&amp;" due "&amp;TEXT($Y558,"dd-mmm")&amp;" ("&amp;(NETWORKDAYS(TODAY(),$Y558,Holidays)-1)&amp;" business day(s) left).")))))</f>
        <v/>
      </c>
      <c r="V558" s="17">
        <f>IF($W558="","",CHOOSE($W558,"Collection Email","1st Follow-up","2nd Follow-up","Local Office","CBE","Roxanne")&amp;IF($W558=6," - Final"," - Day "&amp;MAX(0,NETWORKDAYS($X558,TODAY(),Holidays)-1)&amp;" of "&amp;CHOOSE($W558,3,3,2,2,3))&amp;" | Total Day "&amp;MAX(0,NETWORKDAYS($L558,TODAY(),Holidays)-1))</f>
        <v/>
      </c>
      <c r="W558" s="17">
        <f>IF($L558="","",COUNT($L558:$Q558))</f>
        <v/>
      </c>
      <c r="X558" s="18">
        <f>IF($W558="","",INT(INDEX($L558:$Q558,$W558)))</f>
        <v/>
      </c>
      <c r="Y558" s="18">
        <f>IF(OR($W558="",$W558=6),"",WORKDAY($X558,CHOOSE($W558,3,3,2,2,3),Holidays))</f>
        <v/>
      </c>
      <c r="Z558" s="17">
        <f>IF(OR($W558="",$W558=6),"",CHOOSE($W558,"1st Email Follow-up","2nd Email Follow-up","Escalate Local Office","Escalate to CBE","Escalate to Roxanne"))</f>
        <v/>
      </c>
    </row>
    <row r="559" spans="18:26">
      <c r="R559" s="15"/>
      <c r="S559" s="16"/>
      <c r="T559" s="17">
        <f>IF(AND(COUNTA($A559:$K559)=0,$L559=""),"",IF($S559="Paid","PAID",IF($S559="Closed","CLOSED",IF($W559="","",IF($W559=6,"ESCALATED TO ROXANNE",IF(TODAY()&gt;$Y559,"OVERDUE",IF($Y559&lt;=WORKDAY(TODAY(),1,Holidays),"DUE TOMORROW",IF($W559=4,"ESCALATED TO LOCAL OFFICE",IF($W559=5,"ESCALATED TO CBE",IF($X559=TODAY(),"EMAIL SENT","MONITORING"))))))))))</f>
        <v/>
      </c>
      <c r="U559" s="17">
        <f>IF($T559="",IF(AND(COUNTA($A559:$K559)&gt;0,$L559=""),"Awaiting Collection Email time stamp.",""),IF(OR($T559="PAID",$T559="CLOSED"),IF($T559="PAID","Account paid. Action completed.","Account closed. No further action required."),CHOOSE($W559,"Collection Email","1st Email Follow-up","2nd Email Follow-up","Escalation to Local Office","Escalation to CBE","Escalation to Roxanne")&amp;" sent "&amp;TEXT($X559,"dd-mmm")&amp;". "&amp;IF($W559=6,"Final escalation completed.",IF($T559="OVERDUE","Next: "&amp;$Z559&amp;" was due "&amp;TEXT($Y559,"dd-mmm")&amp;" - "&amp;(NETWORKDAYS($Y559,TODAY(),Holidays)-1)&amp;" business day(s) late. Send now.",IF($T559="DUE TOMORROW","Next: "&amp;$Z559&amp;IF($Y559&lt;=TODAY()," is due TODAY ("," is due next business day (")&amp;TEXT($Y559,"dd-mmm")&amp;").","Next: "&amp;$Z559&amp;" due "&amp;TEXT($Y559,"dd-mmm")&amp;" ("&amp;(NETWORKDAYS(TODAY(),$Y559,Holidays)-1)&amp;" business day(s) left).")))))</f>
        <v/>
      </c>
      <c r="V559" s="17">
        <f>IF($W559="","",CHOOSE($W559,"Collection Email","1st Follow-up","2nd Follow-up","Local Office","CBE","Roxanne")&amp;IF($W559=6," - Final"," - Day "&amp;MAX(0,NETWORKDAYS($X559,TODAY(),Holidays)-1)&amp;" of "&amp;CHOOSE($W559,3,3,2,2,3))&amp;" | Total Day "&amp;MAX(0,NETWORKDAYS($L559,TODAY(),Holidays)-1))</f>
        <v/>
      </c>
      <c r="W559" s="17">
        <f>IF($L559="","",COUNT($L559:$Q559))</f>
        <v/>
      </c>
      <c r="X559" s="18">
        <f>IF($W559="","",INT(INDEX($L559:$Q559,$W559)))</f>
        <v/>
      </c>
      <c r="Y559" s="18">
        <f>IF(OR($W559="",$W559=6),"",WORKDAY($X559,CHOOSE($W559,3,3,2,2,3),Holidays))</f>
        <v/>
      </c>
      <c r="Z559" s="17">
        <f>IF(OR($W559="",$W559=6),"",CHOOSE($W559,"1st Email Follow-up","2nd Email Follow-up","Escalate Local Office","Escalate to CBE","Escalate to Roxanne"))</f>
        <v/>
      </c>
    </row>
    <row r="560" spans="18:26">
      <c r="R560" s="15"/>
      <c r="S560" s="16"/>
      <c r="T560" s="17">
        <f>IF(AND(COUNTA($A560:$K560)=0,$L560=""),"",IF($S560="Paid","PAID",IF($S560="Closed","CLOSED",IF($W560="","",IF($W560=6,"ESCALATED TO ROXANNE",IF(TODAY()&gt;$Y560,"OVERDUE",IF($Y560&lt;=WORKDAY(TODAY(),1,Holidays),"DUE TOMORROW",IF($W560=4,"ESCALATED TO LOCAL OFFICE",IF($W560=5,"ESCALATED TO CBE",IF($X560=TODAY(),"EMAIL SENT","MONITORING"))))))))))</f>
        <v/>
      </c>
      <c r="U560" s="17">
        <f>IF($T560="",IF(AND(COUNTA($A560:$K560)&gt;0,$L560=""),"Awaiting Collection Email time stamp.",""),IF(OR($T560="PAID",$T560="CLOSED"),IF($T560="PAID","Account paid. Action completed.","Account closed. No further action required."),CHOOSE($W560,"Collection Email","1st Email Follow-up","2nd Email Follow-up","Escalation to Local Office","Escalation to CBE","Escalation to Roxanne")&amp;" sent "&amp;TEXT($X560,"dd-mmm")&amp;". "&amp;IF($W560=6,"Final escalation completed.",IF($T560="OVERDUE","Next: "&amp;$Z560&amp;" was due "&amp;TEXT($Y560,"dd-mmm")&amp;" - "&amp;(NETWORKDAYS($Y560,TODAY(),Holidays)-1)&amp;" business day(s) late. Send now.",IF($T560="DUE TOMORROW","Next: "&amp;$Z560&amp;IF($Y560&lt;=TODAY()," is due TODAY ("," is due next business day (")&amp;TEXT($Y560,"dd-mmm")&amp;").","Next: "&amp;$Z560&amp;" due "&amp;TEXT($Y560,"dd-mmm")&amp;" ("&amp;(NETWORKDAYS(TODAY(),$Y560,Holidays)-1)&amp;" business day(s) left).")))))</f>
        <v/>
      </c>
      <c r="V560" s="17">
        <f>IF($W560="","",CHOOSE($W560,"Collection Email","1st Follow-up","2nd Follow-up","Local Office","CBE","Roxanne")&amp;IF($W560=6," - Final"," - Day "&amp;MAX(0,NETWORKDAYS($X560,TODAY(),Holidays)-1)&amp;" of "&amp;CHOOSE($W560,3,3,2,2,3))&amp;" | Total Day "&amp;MAX(0,NETWORKDAYS($L560,TODAY(),Holidays)-1))</f>
        <v/>
      </c>
      <c r="W560" s="17">
        <f>IF($L560="","",COUNT($L560:$Q560))</f>
        <v/>
      </c>
      <c r="X560" s="18">
        <f>IF($W560="","",INT(INDEX($L560:$Q560,$W560)))</f>
        <v/>
      </c>
      <c r="Y560" s="18">
        <f>IF(OR($W560="",$W560=6),"",WORKDAY($X560,CHOOSE($W560,3,3,2,2,3),Holidays))</f>
        <v/>
      </c>
      <c r="Z560" s="17">
        <f>IF(OR($W560="",$W560=6),"",CHOOSE($W560,"1st Email Follow-up","2nd Email Follow-up","Escalate Local Office","Escalate to CBE","Escalate to Roxanne"))</f>
        <v/>
      </c>
    </row>
    <row r="561" spans="18:26">
      <c r="R561" s="15"/>
      <c r="S561" s="16"/>
      <c r="T561" s="17">
        <f>IF(AND(COUNTA($A561:$K561)=0,$L561=""),"",IF($S561="Paid","PAID",IF($S561="Closed","CLOSED",IF($W561="","",IF($W561=6,"ESCALATED TO ROXANNE",IF(TODAY()&gt;$Y561,"OVERDUE",IF($Y561&lt;=WORKDAY(TODAY(),1,Holidays),"DUE TOMORROW",IF($W561=4,"ESCALATED TO LOCAL OFFICE",IF($W561=5,"ESCALATED TO CBE",IF($X561=TODAY(),"EMAIL SENT","MONITORING"))))))))))</f>
        <v/>
      </c>
      <c r="U561" s="17">
        <f>IF($T561="",IF(AND(COUNTA($A561:$K561)&gt;0,$L561=""),"Awaiting Collection Email time stamp.",""),IF(OR($T561="PAID",$T561="CLOSED"),IF($T561="PAID","Account paid. Action completed.","Account closed. No further action required."),CHOOSE($W561,"Collection Email","1st Email Follow-up","2nd Email Follow-up","Escalation to Local Office","Escalation to CBE","Escalation to Roxanne")&amp;" sent "&amp;TEXT($X561,"dd-mmm")&amp;". "&amp;IF($W561=6,"Final escalation completed.",IF($T561="OVERDUE","Next: "&amp;$Z561&amp;" was due "&amp;TEXT($Y561,"dd-mmm")&amp;" - "&amp;(NETWORKDAYS($Y561,TODAY(),Holidays)-1)&amp;" business day(s) late. Send now.",IF($T561="DUE TOMORROW","Next: "&amp;$Z561&amp;IF($Y561&lt;=TODAY()," is due TODAY ("," is due next business day (")&amp;TEXT($Y561,"dd-mmm")&amp;").","Next: "&amp;$Z561&amp;" due "&amp;TEXT($Y561,"dd-mmm")&amp;" ("&amp;(NETWORKDAYS(TODAY(),$Y561,Holidays)-1)&amp;" business day(s) left).")))))</f>
        <v/>
      </c>
      <c r="V561" s="17">
        <f>IF($W561="","",CHOOSE($W561,"Collection Email","1st Follow-up","2nd Follow-up","Local Office","CBE","Roxanne")&amp;IF($W561=6," - Final"," - Day "&amp;MAX(0,NETWORKDAYS($X561,TODAY(),Holidays)-1)&amp;" of "&amp;CHOOSE($W561,3,3,2,2,3))&amp;" | Total Day "&amp;MAX(0,NETWORKDAYS($L561,TODAY(),Holidays)-1))</f>
        <v/>
      </c>
      <c r="W561" s="17">
        <f>IF($L561="","",COUNT($L561:$Q561))</f>
        <v/>
      </c>
      <c r="X561" s="18">
        <f>IF($W561="","",INT(INDEX($L561:$Q561,$W561)))</f>
        <v/>
      </c>
      <c r="Y561" s="18">
        <f>IF(OR($W561="",$W561=6),"",WORKDAY($X561,CHOOSE($W561,3,3,2,2,3),Holidays))</f>
        <v/>
      </c>
      <c r="Z561" s="17">
        <f>IF(OR($W561="",$W561=6),"",CHOOSE($W561,"1st Email Follow-up","2nd Email Follow-up","Escalate Local Office","Escalate to CBE","Escalate to Roxanne"))</f>
        <v/>
      </c>
    </row>
    <row r="562" spans="18:26">
      <c r="R562" s="15"/>
      <c r="S562" s="16"/>
      <c r="T562" s="17">
        <f>IF(AND(COUNTA($A562:$K562)=0,$L562=""),"",IF($S562="Paid","PAID",IF($S562="Closed","CLOSED",IF($W562="","",IF($W562=6,"ESCALATED TO ROXANNE",IF(TODAY()&gt;$Y562,"OVERDUE",IF($Y562&lt;=WORKDAY(TODAY(),1,Holidays),"DUE TOMORROW",IF($W562=4,"ESCALATED TO LOCAL OFFICE",IF($W562=5,"ESCALATED TO CBE",IF($X562=TODAY(),"EMAIL SENT","MONITORING"))))))))))</f>
        <v/>
      </c>
      <c r="U562" s="17">
        <f>IF($T562="",IF(AND(COUNTA($A562:$K562)&gt;0,$L562=""),"Awaiting Collection Email time stamp.",""),IF(OR($T562="PAID",$T562="CLOSED"),IF($T562="PAID","Account paid. Action completed.","Account closed. No further action required."),CHOOSE($W562,"Collection Email","1st Email Follow-up","2nd Email Follow-up","Escalation to Local Office","Escalation to CBE","Escalation to Roxanne")&amp;" sent "&amp;TEXT($X562,"dd-mmm")&amp;". "&amp;IF($W562=6,"Final escalation completed.",IF($T562="OVERDUE","Next: "&amp;$Z562&amp;" was due "&amp;TEXT($Y562,"dd-mmm")&amp;" - "&amp;(NETWORKDAYS($Y562,TODAY(),Holidays)-1)&amp;" business day(s) late. Send now.",IF($T562="DUE TOMORROW","Next: "&amp;$Z562&amp;IF($Y562&lt;=TODAY()," is due TODAY ("," is due next business day (")&amp;TEXT($Y562,"dd-mmm")&amp;").","Next: "&amp;$Z562&amp;" due "&amp;TEXT($Y562,"dd-mmm")&amp;" ("&amp;(NETWORKDAYS(TODAY(),$Y562,Holidays)-1)&amp;" business day(s) left).")))))</f>
        <v/>
      </c>
      <c r="V562" s="17">
        <f>IF($W562="","",CHOOSE($W562,"Collection Email","1st Follow-up","2nd Follow-up","Local Office","CBE","Roxanne")&amp;IF($W562=6," - Final"," - Day "&amp;MAX(0,NETWORKDAYS($X562,TODAY(),Holidays)-1)&amp;" of "&amp;CHOOSE($W562,3,3,2,2,3))&amp;" | Total Day "&amp;MAX(0,NETWORKDAYS($L562,TODAY(),Holidays)-1))</f>
        <v/>
      </c>
      <c r="W562" s="17">
        <f>IF($L562="","",COUNT($L562:$Q562))</f>
        <v/>
      </c>
      <c r="X562" s="18">
        <f>IF($W562="","",INT(INDEX($L562:$Q562,$W562)))</f>
        <v/>
      </c>
      <c r="Y562" s="18">
        <f>IF(OR($W562="",$W562=6),"",WORKDAY($X562,CHOOSE($W562,3,3,2,2,3),Holidays))</f>
        <v/>
      </c>
      <c r="Z562" s="17">
        <f>IF(OR($W562="",$W562=6),"",CHOOSE($W562,"1st Email Follow-up","2nd Email Follow-up","Escalate Local Office","Escalate to CBE","Escalate to Roxanne"))</f>
        <v/>
      </c>
    </row>
    <row r="563" spans="18:26">
      <c r="R563" s="15"/>
      <c r="S563" s="16"/>
      <c r="T563" s="17">
        <f>IF(AND(COUNTA($A563:$K563)=0,$L563=""),"",IF($S563="Paid","PAID",IF($S563="Closed","CLOSED",IF($W563="","",IF($W563=6,"ESCALATED TO ROXANNE",IF(TODAY()&gt;$Y563,"OVERDUE",IF($Y563&lt;=WORKDAY(TODAY(),1,Holidays),"DUE TOMORROW",IF($W563=4,"ESCALATED TO LOCAL OFFICE",IF($W563=5,"ESCALATED TO CBE",IF($X563=TODAY(),"EMAIL SENT","MONITORING"))))))))))</f>
        <v/>
      </c>
      <c r="U563" s="17">
        <f>IF($T563="",IF(AND(COUNTA($A563:$K563)&gt;0,$L563=""),"Awaiting Collection Email time stamp.",""),IF(OR($T563="PAID",$T563="CLOSED"),IF($T563="PAID","Account paid. Action completed.","Account closed. No further action required."),CHOOSE($W563,"Collection Email","1st Email Follow-up","2nd Email Follow-up","Escalation to Local Office","Escalation to CBE","Escalation to Roxanne")&amp;" sent "&amp;TEXT($X563,"dd-mmm")&amp;". "&amp;IF($W563=6,"Final escalation completed.",IF($T563="OVERDUE","Next: "&amp;$Z563&amp;" was due "&amp;TEXT($Y563,"dd-mmm")&amp;" - "&amp;(NETWORKDAYS($Y563,TODAY(),Holidays)-1)&amp;" business day(s) late. Send now.",IF($T563="DUE TOMORROW","Next: "&amp;$Z563&amp;IF($Y563&lt;=TODAY()," is due TODAY ("," is due next business day (")&amp;TEXT($Y563,"dd-mmm")&amp;").","Next: "&amp;$Z563&amp;" due "&amp;TEXT($Y563,"dd-mmm")&amp;" ("&amp;(NETWORKDAYS(TODAY(),$Y563,Holidays)-1)&amp;" business day(s) left).")))))</f>
        <v/>
      </c>
      <c r="V563" s="17">
        <f>IF($W563="","",CHOOSE($W563,"Collection Email","1st Follow-up","2nd Follow-up","Local Office","CBE","Roxanne")&amp;IF($W563=6," - Final"," - Day "&amp;MAX(0,NETWORKDAYS($X563,TODAY(),Holidays)-1)&amp;" of "&amp;CHOOSE($W563,3,3,2,2,3))&amp;" | Total Day "&amp;MAX(0,NETWORKDAYS($L563,TODAY(),Holidays)-1))</f>
        <v/>
      </c>
      <c r="W563" s="17">
        <f>IF($L563="","",COUNT($L563:$Q563))</f>
        <v/>
      </c>
      <c r="X563" s="18">
        <f>IF($W563="","",INT(INDEX($L563:$Q563,$W563)))</f>
        <v/>
      </c>
      <c r="Y563" s="18">
        <f>IF(OR($W563="",$W563=6),"",WORKDAY($X563,CHOOSE($W563,3,3,2,2,3),Holidays))</f>
        <v/>
      </c>
      <c r="Z563" s="17">
        <f>IF(OR($W563="",$W563=6),"",CHOOSE($W563,"1st Email Follow-up","2nd Email Follow-up","Escalate Local Office","Escalate to CBE","Escalate to Roxanne"))</f>
        <v/>
      </c>
    </row>
    <row r="564" spans="18:26">
      <c r="R564" s="15"/>
      <c r="S564" s="16"/>
      <c r="T564" s="17">
        <f>IF(AND(COUNTA($A564:$K564)=0,$L564=""),"",IF($S564="Paid","PAID",IF($S564="Closed","CLOSED",IF($W564="","",IF($W564=6,"ESCALATED TO ROXANNE",IF(TODAY()&gt;$Y564,"OVERDUE",IF($Y564&lt;=WORKDAY(TODAY(),1,Holidays),"DUE TOMORROW",IF($W564=4,"ESCALATED TO LOCAL OFFICE",IF($W564=5,"ESCALATED TO CBE",IF($X564=TODAY(),"EMAIL SENT","MONITORING"))))))))))</f>
        <v/>
      </c>
      <c r="U564" s="17">
        <f>IF($T564="",IF(AND(COUNTA($A564:$K564)&gt;0,$L564=""),"Awaiting Collection Email time stamp.",""),IF(OR($T564="PAID",$T564="CLOSED"),IF($T564="PAID","Account paid. Action completed.","Account closed. No further action required."),CHOOSE($W564,"Collection Email","1st Email Follow-up","2nd Email Follow-up","Escalation to Local Office","Escalation to CBE","Escalation to Roxanne")&amp;" sent "&amp;TEXT($X564,"dd-mmm")&amp;". "&amp;IF($W564=6,"Final escalation completed.",IF($T564="OVERDUE","Next: "&amp;$Z564&amp;" was due "&amp;TEXT($Y564,"dd-mmm")&amp;" - "&amp;(NETWORKDAYS($Y564,TODAY(),Holidays)-1)&amp;" business day(s) late. Send now.",IF($T564="DUE TOMORROW","Next: "&amp;$Z564&amp;IF($Y564&lt;=TODAY()," is due TODAY ("," is due next business day (")&amp;TEXT($Y564,"dd-mmm")&amp;").","Next: "&amp;$Z564&amp;" due "&amp;TEXT($Y564,"dd-mmm")&amp;" ("&amp;(NETWORKDAYS(TODAY(),$Y564,Holidays)-1)&amp;" business day(s) left).")))))</f>
        <v/>
      </c>
      <c r="V564" s="17">
        <f>IF($W564="","",CHOOSE($W564,"Collection Email","1st Follow-up","2nd Follow-up","Local Office","CBE","Roxanne")&amp;IF($W564=6," - Final"," - Day "&amp;MAX(0,NETWORKDAYS($X564,TODAY(),Holidays)-1)&amp;" of "&amp;CHOOSE($W564,3,3,2,2,3))&amp;" | Total Day "&amp;MAX(0,NETWORKDAYS($L564,TODAY(),Holidays)-1))</f>
        <v/>
      </c>
      <c r="W564" s="17">
        <f>IF($L564="","",COUNT($L564:$Q564))</f>
        <v/>
      </c>
      <c r="X564" s="18">
        <f>IF($W564="","",INT(INDEX($L564:$Q564,$W564)))</f>
        <v/>
      </c>
      <c r="Y564" s="18">
        <f>IF(OR($W564="",$W564=6),"",WORKDAY($X564,CHOOSE($W564,3,3,2,2,3),Holidays))</f>
        <v/>
      </c>
      <c r="Z564" s="17">
        <f>IF(OR($W564="",$W564=6),"",CHOOSE($W564,"1st Email Follow-up","2nd Email Follow-up","Escalate Local Office","Escalate to CBE","Escalate to Roxanne"))</f>
        <v/>
      </c>
    </row>
    <row r="565" spans="18:26">
      <c r="R565" s="15"/>
      <c r="S565" s="16"/>
      <c r="T565" s="17">
        <f>IF(AND(COUNTA($A565:$K565)=0,$L565=""),"",IF($S565="Paid","PAID",IF($S565="Closed","CLOSED",IF($W565="","",IF($W565=6,"ESCALATED TO ROXANNE",IF(TODAY()&gt;$Y565,"OVERDUE",IF($Y565&lt;=WORKDAY(TODAY(),1,Holidays),"DUE TOMORROW",IF($W565=4,"ESCALATED TO LOCAL OFFICE",IF($W565=5,"ESCALATED TO CBE",IF($X565=TODAY(),"EMAIL SENT","MONITORING"))))))))))</f>
        <v/>
      </c>
      <c r="U565" s="17">
        <f>IF($T565="",IF(AND(COUNTA($A565:$K565)&gt;0,$L565=""),"Awaiting Collection Email time stamp.",""),IF(OR($T565="PAID",$T565="CLOSED"),IF($T565="PAID","Account paid. Action completed.","Account closed. No further action required."),CHOOSE($W565,"Collection Email","1st Email Follow-up","2nd Email Follow-up","Escalation to Local Office","Escalation to CBE","Escalation to Roxanne")&amp;" sent "&amp;TEXT($X565,"dd-mmm")&amp;". "&amp;IF($W565=6,"Final escalation completed.",IF($T565="OVERDUE","Next: "&amp;$Z565&amp;" was due "&amp;TEXT($Y565,"dd-mmm")&amp;" - "&amp;(NETWORKDAYS($Y565,TODAY(),Holidays)-1)&amp;" business day(s) late. Send now.",IF($T565="DUE TOMORROW","Next: "&amp;$Z565&amp;IF($Y565&lt;=TODAY()," is due TODAY ("," is due next business day (")&amp;TEXT($Y565,"dd-mmm")&amp;").","Next: "&amp;$Z565&amp;" due "&amp;TEXT($Y565,"dd-mmm")&amp;" ("&amp;(NETWORKDAYS(TODAY(),$Y565,Holidays)-1)&amp;" business day(s) left).")))))</f>
        <v/>
      </c>
      <c r="V565" s="17">
        <f>IF($W565="","",CHOOSE($W565,"Collection Email","1st Follow-up","2nd Follow-up","Local Office","CBE","Roxanne")&amp;IF($W565=6," - Final"," - Day "&amp;MAX(0,NETWORKDAYS($X565,TODAY(),Holidays)-1)&amp;" of "&amp;CHOOSE($W565,3,3,2,2,3))&amp;" | Total Day "&amp;MAX(0,NETWORKDAYS($L565,TODAY(),Holidays)-1))</f>
        <v/>
      </c>
      <c r="W565" s="17">
        <f>IF($L565="","",COUNT($L565:$Q565))</f>
        <v/>
      </c>
      <c r="X565" s="18">
        <f>IF($W565="","",INT(INDEX($L565:$Q565,$W565)))</f>
        <v/>
      </c>
      <c r="Y565" s="18">
        <f>IF(OR($W565="",$W565=6),"",WORKDAY($X565,CHOOSE($W565,3,3,2,2,3),Holidays))</f>
        <v/>
      </c>
      <c r="Z565" s="17">
        <f>IF(OR($W565="",$W565=6),"",CHOOSE($W565,"1st Email Follow-up","2nd Email Follow-up","Escalate Local Office","Escalate to CBE","Escalate to Roxanne"))</f>
        <v/>
      </c>
    </row>
    <row r="566" spans="18:26">
      <c r="R566" s="15"/>
      <c r="S566" s="16"/>
      <c r="T566" s="17">
        <f>IF(AND(COUNTA($A566:$K566)=0,$L566=""),"",IF($S566="Paid","PAID",IF($S566="Closed","CLOSED",IF($W566="","",IF($W566=6,"ESCALATED TO ROXANNE",IF(TODAY()&gt;$Y566,"OVERDUE",IF($Y566&lt;=WORKDAY(TODAY(),1,Holidays),"DUE TOMORROW",IF($W566=4,"ESCALATED TO LOCAL OFFICE",IF($W566=5,"ESCALATED TO CBE",IF($X566=TODAY(),"EMAIL SENT","MONITORING"))))))))))</f>
        <v/>
      </c>
      <c r="U566" s="17">
        <f>IF($T566="",IF(AND(COUNTA($A566:$K566)&gt;0,$L566=""),"Awaiting Collection Email time stamp.",""),IF(OR($T566="PAID",$T566="CLOSED"),IF($T566="PAID","Account paid. Action completed.","Account closed. No further action required."),CHOOSE($W566,"Collection Email","1st Email Follow-up","2nd Email Follow-up","Escalation to Local Office","Escalation to CBE","Escalation to Roxanne")&amp;" sent "&amp;TEXT($X566,"dd-mmm")&amp;". "&amp;IF($W566=6,"Final escalation completed.",IF($T566="OVERDUE","Next: "&amp;$Z566&amp;" was due "&amp;TEXT($Y566,"dd-mmm")&amp;" - "&amp;(NETWORKDAYS($Y566,TODAY(),Holidays)-1)&amp;" business day(s) late. Send now.",IF($T566="DUE TOMORROW","Next: "&amp;$Z566&amp;IF($Y566&lt;=TODAY()," is due TODAY ("," is due next business day (")&amp;TEXT($Y566,"dd-mmm")&amp;").","Next: "&amp;$Z566&amp;" due "&amp;TEXT($Y566,"dd-mmm")&amp;" ("&amp;(NETWORKDAYS(TODAY(),$Y566,Holidays)-1)&amp;" business day(s) left).")))))</f>
        <v/>
      </c>
      <c r="V566" s="17">
        <f>IF($W566="","",CHOOSE($W566,"Collection Email","1st Follow-up","2nd Follow-up","Local Office","CBE","Roxanne")&amp;IF($W566=6," - Final"," - Day "&amp;MAX(0,NETWORKDAYS($X566,TODAY(),Holidays)-1)&amp;" of "&amp;CHOOSE($W566,3,3,2,2,3))&amp;" | Total Day "&amp;MAX(0,NETWORKDAYS($L566,TODAY(),Holidays)-1))</f>
        <v/>
      </c>
      <c r="W566" s="17">
        <f>IF($L566="","",COUNT($L566:$Q566))</f>
        <v/>
      </c>
      <c r="X566" s="18">
        <f>IF($W566="","",INT(INDEX($L566:$Q566,$W566)))</f>
        <v/>
      </c>
      <c r="Y566" s="18">
        <f>IF(OR($W566="",$W566=6),"",WORKDAY($X566,CHOOSE($W566,3,3,2,2,3),Holidays))</f>
        <v/>
      </c>
      <c r="Z566" s="17">
        <f>IF(OR($W566="",$W566=6),"",CHOOSE($W566,"1st Email Follow-up","2nd Email Follow-up","Escalate Local Office","Escalate to CBE","Escalate to Roxanne"))</f>
        <v/>
      </c>
    </row>
    <row r="567" spans="18:26">
      <c r="R567" s="15"/>
      <c r="S567" s="16"/>
      <c r="T567" s="17">
        <f>IF(AND(COUNTA($A567:$K567)=0,$L567=""),"",IF($S567="Paid","PAID",IF($S567="Closed","CLOSED",IF($W567="","",IF($W567=6,"ESCALATED TO ROXANNE",IF(TODAY()&gt;$Y567,"OVERDUE",IF($Y567&lt;=WORKDAY(TODAY(),1,Holidays),"DUE TOMORROW",IF($W567=4,"ESCALATED TO LOCAL OFFICE",IF($W567=5,"ESCALATED TO CBE",IF($X567=TODAY(),"EMAIL SENT","MONITORING"))))))))))</f>
        <v/>
      </c>
      <c r="U567" s="17">
        <f>IF($T567="",IF(AND(COUNTA($A567:$K567)&gt;0,$L567=""),"Awaiting Collection Email time stamp.",""),IF(OR($T567="PAID",$T567="CLOSED"),IF($T567="PAID","Account paid. Action completed.","Account closed. No further action required."),CHOOSE($W567,"Collection Email","1st Email Follow-up","2nd Email Follow-up","Escalation to Local Office","Escalation to CBE","Escalation to Roxanne")&amp;" sent "&amp;TEXT($X567,"dd-mmm")&amp;". "&amp;IF($W567=6,"Final escalation completed.",IF($T567="OVERDUE","Next: "&amp;$Z567&amp;" was due "&amp;TEXT($Y567,"dd-mmm")&amp;" - "&amp;(NETWORKDAYS($Y567,TODAY(),Holidays)-1)&amp;" business day(s) late. Send now.",IF($T567="DUE TOMORROW","Next: "&amp;$Z567&amp;IF($Y567&lt;=TODAY()," is due TODAY ("," is due next business day (")&amp;TEXT($Y567,"dd-mmm")&amp;").","Next: "&amp;$Z567&amp;" due "&amp;TEXT($Y567,"dd-mmm")&amp;" ("&amp;(NETWORKDAYS(TODAY(),$Y567,Holidays)-1)&amp;" business day(s) left).")))))</f>
        <v/>
      </c>
      <c r="V567" s="17">
        <f>IF($W567="","",CHOOSE($W567,"Collection Email","1st Follow-up","2nd Follow-up","Local Office","CBE","Roxanne")&amp;IF($W567=6," - Final"," - Day "&amp;MAX(0,NETWORKDAYS($X567,TODAY(),Holidays)-1)&amp;" of "&amp;CHOOSE($W567,3,3,2,2,3))&amp;" | Total Day "&amp;MAX(0,NETWORKDAYS($L567,TODAY(),Holidays)-1))</f>
        <v/>
      </c>
      <c r="W567" s="17">
        <f>IF($L567="","",COUNT($L567:$Q567))</f>
        <v/>
      </c>
      <c r="X567" s="18">
        <f>IF($W567="","",INT(INDEX($L567:$Q567,$W567)))</f>
        <v/>
      </c>
      <c r="Y567" s="18">
        <f>IF(OR($W567="",$W567=6),"",WORKDAY($X567,CHOOSE($W567,3,3,2,2,3),Holidays))</f>
        <v/>
      </c>
      <c r="Z567" s="17">
        <f>IF(OR($W567="",$W567=6),"",CHOOSE($W567,"1st Email Follow-up","2nd Email Follow-up","Escalate Local Office","Escalate to CBE","Escalate to Roxanne"))</f>
        <v/>
      </c>
    </row>
    <row r="568" spans="18:26">
      <c r="R568" s="15"/>
      <c r="S568" s="16"/>
      <c r="T568" s="17">
        <f>IF(AND(COUNTA($A568:$K568)=0,$L568=""),"",IF($S568="Paid","PAID",IF($S568="Closed","CLOSED",IF($W568="","",IF($W568=6,"ESCALATED TO ROXANNE",IF(TODAY()&gt;$Y568,"OVERDUE",IF($Y568&lt;=WORKDAY(TODAY(),1,Holidays),"DUE TOMORROW",IF($W568=4,"ESCALATED TO LOCAL OFFICE",IF($W568=5,"ESCALATED TO CBE",IF($X568=TODAY(),"EMAIL SENT","MONITORING"))))))))))</f>
        <v/>
      </c>
      <c r="U568" s="17">
        <f>IF($T568="",IF(AND(COUNTA($A568:$K568)&gt;0,$L568=""),"Awaiting Collection Email time stamp.",""),IF(OR($T568="PAID",$T568="CLOSED"),IF($T568="PAID","Account paid. Action completed.","Account closed. No further action required."),CHOOSE($W568,"Collection Email","1st Email Follow-up","2nd Email Follow-up","Escalation to Local Office","Escalation to CBE","Escalation to Roxanne")&amp;" sent "&amp;TEXT($X568,"dd-mmm")&amp;". "&amp;IF($W568=6,"Final escalation completed.",IF($T568="OVERDUE","Next: "&amp;$Z568&amp;" was due "&amp;TEXT($Y568,"dd-mmm")&amp;" - "&amp;(NETWORKDAYS($Y568,TODAY(),Holidays)-1)&amp;" business day(s) late. Send now.",IF($T568="DUE TOMORROW","Next: "&amp;$Z568&amp;IF($Y568&lt;=TODAY()," is due TODAY ("," is due next business day (")&amp;TEXT($Y568,"dd-mmm")&amp;").","Next: "&amp;$Z568&amp;" due "&amp;TEXT($Y568,"dd-mmm")&amp;" ("&amp;(NETWORKDAYS(TODAY(),$Y568,Holidays)-1)&amp;" business day(s) left).")))))</f>
        <v/>
      </c>
      <c r="V568" s="17">
        <f>IF($W568="","",CHOOSE($W568,"Collection Email","1st Follow-up","2nd Follow-up","Local Office","CBE","Roxanne")&amp;IF($W568=6," - Final"," - Day "&amp;MAX(0,NETWORKDAYS($X568,TODAY(),Holidays)-1)&amp;" of "&amp;CHOOSE($W568,3,3,2,2,3))&amp;" | Total Day "&amp;MAX(0,NETWORKDAYS($L568,TODAY(),Holidays)-1))</f>
        <v/>
      </c>
      <c r="W568" s="17">
        <f>IF($L568="","",COUNT($L568:$Q568))</f>
        <v/>
      </c>
      <c r="X568" s="18">
        <f>IF($W568="","",INT(INDEX($L568:$Q568,$W568)))</f>
        <v/>
      </c>
      <c r="Y568" s="18">
        <f>IF(OR($W568="",$W568=6),"",WORKDAY($X568,CHOOSE($W568,3,3,2,2,3),Holidays))</f>
        <v/>
      </c>
      <c r="Z568" s="17">
        <f>IF(OR($W568="",$W568=6),"",CHOOSE($W568,"1st Email Follow-up","2nd Email Follow-up","Escalate Local Office","Escalate to CBE","Escalate to Roxanne"))</f>
        <v/>
      </c>
    </row>
    <row r="569" spans="18:26">
      <c r="R569" s="15"/>
      <c r="S569" s="16"/>
      <c r="T569" s="17">
        <f>IF(AND(COUNTA($A569:$K569)=0,$L569=""),"",IF($S569="Paid","PAID",IF($S569="Closed","CLOSED",IF($W569="","",IF($W569=6,"ESCALATED TO ROXANNE",IF(TODAY()&gt;$Y569,"OVERDUE",IF($Y569&lt;=WORKDAY(TODAY(),1,Holidays),"DUE TOMORROW",IF($W569=4,"ESCALATED TO LOCAL OFFICE",IF($W569=5,"ESCALATED TO CBE",IF($X569=TODAY(),"EMAIL SENT","MONITORING"))))))))))</f>
        <v/>
      </c>
      <c r="U569" s="17">
        <f>IF($T569="",IF(AND(COUNTA($A569:$K569)&gt;0,$L569=""),"Awaiting Collection Email time stamp.",""),IF(OR($T569="PAID",$T569="CLOSED"),IF($T569="PAID","Account paid. Action completed.","Account closed. No further action required."),CHOOSE($W569,"Collection Email","1st Email Follow-up","2nd Email Follow-up","Escalation to Local Office","Escalation to CBE","Escalation to Roxanne")&amp;" sent "&amp;TEXT($X569,"dd-mmm")&amp;". "&amp;IF($W569=6,"Final escalation completed.",IF($T569="OVERDUE","Next: "&amp;$Z569&amp;" was due "&amp;TEXT($Y569,"dd-mmm")&amp;" - "&amp;(NETWORKDAYS($Y569,TODAY(),Holidays)-1)&amp;" business day(s) late. Send now.",IF($T569="DUE TOMORROW","Next: "&amp;$Z569&amp;IF($Y569&lt;=TODAY()," is due TODAY ("," is due next business day (")&amp;TEXT($Y569,"dd-mmm")&amp;").","Next: "&amp;$Z569&amp;" due "&amp;TEXT($Y569,"dd-mmm")&amp;" ("&amp;(NETWORKDAYS(TODAY(),$Y569,Holidays)-1)&amp;" business day(s) left).")))))</f>
        <v/>
      </c>
      <c r="V569" s="17">
        <f>IF($W569="","",CHOOSE($W569,"Collection Email","1st Follow-up","2nd Follow-up","Local Office","CBE","Roxanne")&amp;IF($W569=6," - Final"," - Day "&amp;MAX(0,NETWORKDAYS($X569,TODAY(),Holidays)-1)&amp;" of "&amp;CHOOSE($W569,3,3,2,2,3))&amp;" | Total Day "&amp;MAX(0,NETWORKDAYS($L569,TODAY(),Holidays)-1))</f>
        <v/>
      </c>
      <c r="W569" s="17">
        <f>IF($L569="","",COUNT($L569:$Q569))</f>
        <v/>
      </c>
      <c r="X569" s="18">
        <f>IF($W569="","",INT(INDEX($L569:$Q569,$W569)))</f>
        <v/>
      </c>
      <c r="Y569" s="18">
        <f>IF(OR($W569="",$W569=6),"",WORKDAY($X569,CHOOSE($W569,3,3,2,2,3),Holidays))</f>
        <v/>
      </c>
      <c r="Z569" s="17">
        <f>IF(OR($W569="",$W569=6),"",CHOOSE($W569,"1st Email Follow-up","2nd Email Follow-up","Escalate Local Office","Escalate to CBE","Escalate to Roxanne"))</f>
        <v/>
      </c>
    </row>
    <row r="570" spans="18:26">
      <c r="R570" s="15"/>
      <c r="S570" s="16"/>
      <c r="T570" s="17">
        <f>IF(AND(COUNTA($A570:$K570)=0,$L570=""),"",IF($S570="Paid","PAID",IF($S570="Closed","CLOSED",IF($W570="","",IF($W570=6,"ESCALATED TO ROXANNE",IF(TODAY()&gt;$Y570,"OVERDUE",IF($Y570&lt;=WORKDAY(TODAY(),1,Holidays),"DUE TOMORROW",IF($W570=4,"ESCALATED TO LOCAL OFFICE",IF($W570=5,"ESCALATED TO CBE",IF($X570=TODAY(),"EMAIL SENT","MONITORING"))))))))))</f>
        <v/>
      </c>
      <c r="U570" s="17">
        <f>IF($T570="",IF(AND(COUNTA($A570:$K570)&gt;0,$L570=""),"Awaiting Collection Email time stamp.",""),IF(OR($T570="PAID",$T570="CLOSED"),IF($T570="PAID","Account paid. Action completed.","Account closed. No further action required."),CHOOSE($W570,"Collection Email","1st Email Follow-up","2nd Email Follow-up","Escalation to Local Office","Escalation to CBE","Escalation to Roxanne")&amp;" sent "&amp;TEXT($X570,"dd-mmm")&amp;". "&amp;IF($W570=6,"Final escalation completed.",IF($T570="OVERDUE","Next: "&amp;$Z570&amp;" was due "&amp;TEXT($Y570,"dd-mmm")&amp;" - "&amp;(NETWORKDAYS($Y570,TODAY(),Holidays)-1)&amp;" business day(s) late. Send now.",IF($T570="DUE TOMORROW","Next: "&amp;$Z570&amp;IF($Y570&lt;=TODAY()," is due TODAY ("," is due next business day (")&amp;TEXT($Y570,"dd-mmm")&amp;").","Next: "&amp;$Z570&amp;" due "&amp;TEXT($Y570,"dd-mmm")&amp;" ("&amp;(NETWORKDAYS(TODAY(),$Y570,Holidays)-1)&amp;" business day(s) left).")))))</f>
        <v/>
      </c>
      <c r="V570" s="17">
        <f>IF($W570="","",CHOOSE($W570,"Collection Email","1st Follow-up","2nd Follow-up","Local Office","CBE","Roxanne")&amp;IF($W570=6," - Final"," - Day "&amp;MAX(0,NETWORKDAYS($X570,TODAY(),Holidays)-1)&amp;" of "&amp;CHOOSE($W570,3,3,2,2,3))&amp;" | Total Day "&amp;MAX(0,NETWORKDAYS($L570,TODAY(),Holidays)-1))</f>
        <v/>
      </c>
      <c r="W570" s="17">
        <f>IF($L570="","",COUNT($L570:$Q570))</f>
        <v/>
      </c>
      <c r="X570" s="18">
        <f>IF($W570="","",INT(INDEX($L570:$Q570,$W570)))</f>
        <v/>
      </c>
      <c r="Y570" s="18">
        <f>IF(OR($W570="",$W570=6),"",WORKDAY($X570,CHOOSE($W570,3,3,2,2,3),Holidays))</f>
        <v/>
      </c>
      <c r="Z570" s="17">
        <f>IF(OR($W570="",$W570=6),"",CHOOSE($W570,"1st Email Follow-up","2nd Email Follow-up","Escalate Local Office","Escalate to CBE","Escalate to Roxanne"))</f>
        <v/>
      </c>
    </row>
    <row r="571" spans="18:26">
      <c r="R571" s="15"/>
      <c r="S571" s="16"/>
      <c r="T571" s="17">
        <f>IF(AND(COUNTA($A571:$K571)=0,$L571=""),"",IF($S571="Paid","PAID",IF($S571="Closed","CLOSED",IF($W571="","",IF($W571=6,"ESCALATED TO ROXANNE",IF(TODAY()&gt;$Y571,"OVERDUE",IF($Y571&lt;=WORKDAY(TODAY(),1,Holidays),"DUE TOMORROW",IF($W571=4,"ESCALATED TO LOCAL OFFICE",IF($W571=5,"ESCALATED TO CBE",IF($X571=TODAY(),"EMAIL SENT","MONITORING"))))))))))</f>
        <v/>
      </c>
      <c r="U571" s="17">
        <f>IF($T571="",IF(AND(COUNTA($A571:$K571)&gt;0,$L571=""),"Awaiting Collection Email time stamp.",""),IF(OR($T571="PAID",$T571="CLOSED"),IF($T571="PAID","Account paid. Action completed.","Account closed. No further action required."),CHOOSE($W571,"Collection Email","1st Email Follow-up","2nd Email Follow-up","Escalation to Local Office","Escalation to CBE","Escalation to Roxanne")&amp;" sent "&amp;TEXT($X571,"dd-mmm")&amp;". "&amp;IF($W571=6,"Final escalation completed.",IF($T571="OVERDUE","Next: "&amp;$Z571&amp;" was due "&amp;TEXT($Y571,"dd-mmm")&amp;" - "&amp;(NETWORKDAYS($Y571,TODAY(),Holidays)-1)&amp;" business day(s) late. Send now.",IF($T571="DUE TOMORROW","Next: "&amp;$Z571&amp;IF($Y571&lt;=TODAY()," is due TODAY ("," is due next business day (")&amp;TEXT($Y571,"dd-mmm")&amp;").","Next: "&amp;$Z571&amp;" due "&amp;TEXT($Y571,"dd-mmm")&amp;" ("&amp;(NETWORKDAYS(TODAY(),$Y571,Holidays)-1)&amp;" business day(s) left).")))))</f>
        <v/>
      </c>
      <c r="V571" s="17">
        <f>IF($W571="","",CHOOSE($W571,"Collection Email","1st Follow-up","2nd Follow-up","Local Office","CBE","Roxanne")&amp;IF($W571=6," - Final"," - Day "&amp;MAX(0,NETWORKDAYS($X571,TODAY(),Holidays)-1)&amp;" of "&amp;CHOOSE($W571,3,3,2,2,3))&amp;" | Total Day "&amp;MAX(0,NETWORKDAYS($L571,TODAY(),Holidays)-1))</f>
        <v/>
      </c>
      <c r="W571" s="17">
        <f>IF($L571="","",COUNT($L571:$Q571))</f>
        <v/>
      </c>
      <c r="X571" s="18">
        <f>IF($W571="","",INT(INDEX($L571:$Q571,$W571)))</f>
        <v/>
      </c>
      <c r="Y571" s="18">
        <f>IF(OR($W571="",$W571=6),"",WORKDAY($X571,CHOOSE($W571,3,3,2,2,3),Holidays))</f>
        <v/>
      </c>
      <c r="Z571" s="17">
        <f>IF(OR($W571="",$W571=6),"",CHOOSE($W571,"1st Email Follow-up","2nd Email Follow-up","Escalate Local Office","Escalate to CBE","Escalate to Roxanne"))</f>
        <v/>
      </c>
    </row>
    <row r="572" spans="18:26">
      <c r="R572" s="15"/>
      <c r="S572" s="16"/>
      <c r="T572" s="17">
        <f>IF(AND(COUNTA($A572:$K572)=0,$L572=""),"",IF($S572="Paid","PAID",IF($S572="Closed","CLOSED",IF($W572="","",IF($W572=6,"ESCALATED TO ROXANNE",IF(TODAY()&gt;$Y572,"OVERDUE",IF($Y572&lt;=WORKDAY(TODAY(),1,Holidays),"DUE TOMORROW",IF($W572=4,"ESCALATED TO LOCAL OFFICE",IF($W572=5,"ESCALATED TO CBE",IF($X572=TODAY(),"EMAIL SENT","MONITORING"))))))))))</f>
        <v/>
      </c>
      <c r="U572" s="17">
        <f>IF($T572="",IF(AND(COUNTA($A572:$K572)&gt;0,$L572=""),"Awaiting Collection Email time stamp.",""),IF(OR($T572="PAID",$T572="CLOSED"),IF($T572="PAID","Account paid. Action completed.","Account closed. No further action required."),CHOOSE($W572,"Collection Email","1st Email Follow-up","2nd Email Follow-up","Escalation to Local Office","Escalation to CBE","Escalation to Roxanne")&amp;" sent "&amp;TEXT($X572,"dd-mmm")&amp;". "&amp;IF($W572=6,"Final escalation completed.",IF($T572="OVERDUE","Next: "&amp;$Z572&amp;" was due "&amp;TEXT($Y572,"dd-mmm")&amp;" - "&amp;(NETWORKDAYS($Y572,TODAY(),Holidays)-1)&amp;" business day(s) late. Send now.",IF($T572="DUE TOMORROW","Next: "&amp;$Z572&amp;IF($Y572&lt;=TODAY()," is due TODAY ("," is due next business day (")&amp;TEXT($Y572,"dd-mmm")&amp;").","Next: "&amp;$Z572&amp;" due "&amp;TEXT($Y572,"dd-mmm")&amp;" ("&amp;(NETWORKDAYS(TODAY(),$Y572,Holidays)-1)&amp;" business day(s) left).")))))</f>
        <v/>
      </c>
      <c r="V572" s="17">
        <f>IF($W572="","",CHOOSE($W572,"Collection Email","1st Follow-up","2nd Follow-up","Local Office","CBE","Roxanne")&amp;IF($W572=6," - Final"," - Day "&amp;MAX(0,NETWORKDAYS($X572,TODAY(),Holidays)-1)&amp;" of "&amp;CHOOSE($W572,3,3,2,2,3))&amp;" | Total Day "&amp;MAX(0,NETWORKDAYS($L572,TODAY(),Holidays)-1))</f>
        <v/>
      </c>
      <c r="W572" s="17">
        <f>IF($L572="","",COUNT($L572:$Q572))</f>
        <v/>
      </c>
      <c r="X572" s="18">
        <f>IF($W572="","",INT(INDEX($L572:$Q572,$W572)))</f>
        <v/>
      </c>
      <c r="Y572" s="18">
        <f>IF(OR($W572="",$W572=6),"",WORKDAY($X572,CHOOSE($W572,3,3,2,2,3),Holidays))</f>
        <v/>
      </c>
      <c r="Z572" s="17">
        <f>IF(OR($W572="",$W572=6),"",CHOOSE($W572,"1st Email Follow-up","2nd Email Follow-up","Escalate Local Office","Escalate to CBE","Escalate to Roxanne"))</f>
        <v/>
      </c>
    </row>
    <row r="573" spans="18:26">
      <c r="R573" s="15"/>
      <c r="S573" s="16"/>
      <c r="T573" s="17">
        <f>IF(AND(COUNTA($A573:$K573)=0,$L573=""),"",IF($S573="Paid","PAID",IF($S573="Closed","CLOSED",IF($W573="","",IF($W573=6,"ESCALATED TO ROXANNE",IF(TODAY()&gt;$Y573,"OVERDUE",IF($Y573&lt;=WORKDAY(TODAY(),1,Holidays),"DUE TOMORROW",IF($W573=4,"ESCALATED TO LOCAL OFFICE",IF($W573=5,"ESCALATED TO CBE",IF($X573=TODAY(),"EMAIL SENT","MONITORING"))))))))))</f>
        <v/>
      </c>
      <c r="U573" s="17">
        <f>IF($T573="",IF(AND(COUNTA($A573:$K573)&gt;0,$L573=""),"Awaiting Collection Email time stamp.",""),IF(OR($T573="PAID",$T573="CLOSED"),IF($T573="PAID","Account paid. Action completed.","Account closed. No further action required."),CHOOSE($W573,"Collection Email","1st Email Follow-up","2nd Email Follow-up","Escalation to Local Office","Escalation to CBE","Escalation to Roxanne")&amp;" sent "&amp;TEXT($X573,"dd-mmm")&amp;". "&amp;IF($W573=6,"Final escalation completed.",IF($T573="OVERDUE","Next: "&amp;$Z573&amp;" was due "&amp;TEXT($Y573,"dd-mmm")&amp;" - "&amp;(NETWORKDAYS($Y573,TODAY(),Holidays)-1)&amp;" business day(s) late. Send now.",IF($T573="DUE TOMORROW","Next: "&amp;$Z573&amp;IF($Y573&lt;=TODAY()," is due TODAY ("," is due next business day (")&amp;TEXT($Y573,"dd-mmm")&amp;").","Next: "&amp;$Z573&amp;" due "&amp;TEXT($Y573,"dd-mmm")&amp;" ("&amp;(NETWORKDAYS(TODAY(),$Y573,Holidays)-1)&amp;" business day(s) left).")))))</f>
        <v/>
      </c>
      <c r="V573" s="17">
        <f>IF($W573="","",CHOOSE($W573,"Collection Email","1st Follow-up","2nd Follow-up","Local Office","CBE","Roxanne")&amp;IF($W573=6," - Final"," - Day "&amp;MAX(0,NETWORKDAYS($X573,TODAY(),Holidays)-1)&amp;" of "&amp;CHOOSE($W573,3,3,2,2,3))&amp;" | Total Day "&amp;MAX(0,NETWORKDAYS($L573,TODAY(),Holidays)-1))</f>
        <v/>
      </c>
      <c r="W573" s="17">
        <f>IF($L573="","",COUNT($L573:$Q573))</f>
        <v/>
      </c>
      <c r="X573" s="18">
        <f>IF($W573="","",INT(INDEX($L573:$Q573,$W573)))</f>
        <v/>
      </c>
      <c r="Y573" s="18">
        <f>IF(OR($W573="",$W573=6),"",WORKDAY($X573,CHOOSE($W573,3,3,2,2,3),Holidays))</f>
        <v/>
      </c>
      <c r="Z573" s="17">
        <f>IF(OR($W573="",$W573=6),"",CHOOSE($W573,"1st Email Follow-up","2nd Email Follow-up","Escalate Local Office","Escalate to CBE","Escalate to Roxanne"))</f>
        <v/>
      </c>
    </row>
    <row r="574" spans="18:26">
      <c r="R574" s="15"/>
      <c r="S574" s="16"/>
      <c r="T574" s="17">
        <f>IF(AND(COUNTA($A574:$K574)=0,$L574=""),"",IF($S574="Paid","PAID",IF($S574="Closed","CLOSED",IF($W574="","",IF($W574=6,"ESCALATED TO ROXANNE",IF(TODAY()&gt;$Y574,"OVERDUE",IF($Y574&lt;=WORKDAY(TODAY(),1,Holidays),"DUE TOMORROW",IF($W574=4,"ESCALATED TO LOCAL OFFICE",IF($W574=5,"ESCALATED TO CBE",IF($X574=TODAY(),"EMAIL SENT","MONITORING"))))))))))</f>
        <v/>
      </c>
      <c r="U574" s="17">
        <f>IF($T574="",IF(AND(COUNTA($A574:$K574)&gt;0,$L574=""),"Awaiting Collection Email time stamp.",""),IF(OR($T574="PAID",$T574="CLOSED"),IF($T574="PAID","Account paid. Action completed.","Account closed. No further action required."),CHOOSE($W574,"Collection Email","1st Email Follow-up","2nd Email Follow-up","Escalation to Local Office","Escalation to CBE","Escalation to Roxanne")&amp;" sent "&amp;TEXT($X574,"dd-mmm")&amp;". "&amp;IF($W574=6,"Final escalation completed.",IF($T574="OVERDUE","Next: "&amp;$Z574&amp;" was due "&amp;TEXT($Y574,"dd-mmm")&amp;" - "&amp;(NETWORKDAYS($Y574,TODAY(),Holidays)-1)&amp;" business day(s) late. Send now.",IF($T574="DUE TOMORROW","Next: "&amp;$Z574&amp;IF($Y574&lt;=TODAY()," is due TODAY ("," is due next business day (")&amp;TEXT($Y574,"dd-mmm")&amp;").","Next: "&amp;$Z574&amp;" due "&amp;TEXT($Y574,"dd-mmm")&amp;" ("&amp;(NETWORKDAYS(TODAY(),$Y574,Holidays)-1)&amp;" business day(s) left).")))))</f>
        <v/>
      </c>
      <c r="V574" s="17">
        <f>IF($W574="","",CHOOSE($W574,"Collection Email","1st Follow-up","2nd Follow-up","Local Office","CBE","Roxanne")&amp;IF($W574=6," - Final"," - Day "&amp;MAX(0,NETWORKDAYS($X574,TODAY(),Holidays)-1)&amp;" of "&amp;CHOOSE($W574,3,3,2,2,3))&amp;" | Total Day "&amp;MAX(0,NETWORKDAYS($L574,TODAY(),Holidays)-1))</f>
        <v/>
      </c>
      <c r="W574" s="17">
        <f>IF($L574="","",COUNT($L574:$Q574))</f>
        <v/>
      </c>
      <c r="X574" s="18">
        <f>IF($W574="","",INT(INDEX($L574:$Q574,$W574)))</f>
        <v/>
      </c>
      <c r="Y574" s="18">
        <f>IF(OR($W574="",$W574=6),"",WORKDAY($X574,CHOOSE($W574,3,3,2,2,3),Holidays))</f>
        <v/>
      </c>
      <c r="Z574" s="17">
        <f>IF(OR($W574="",$W574=6),"",CHOOSE($W574,"1st Email Follow-up","2nd Email Follow-up","Escalate Local Office","Escalate to CBE","Escalate to Roxanne"))</f>
        <v/>
      </c>
    </row>
    <row r="575" spans="18:26">
      <c r="R575" s="15"/>
      <c r="S575" s="16"/>
      <c r="T575" s="17">
        <f>IF(AND(COUNTA($A575:$K575)=0,$L575=""),"",IF($S575="Paid","PAID",IF($S575="Closed","CLOSED",IF($W575="","",IF($W575=6,"ESCALATED TO ROXANNE",IF(TODAY()&gt;$Y575,"OVERDUE",IF($Y575&lt;=WORKDAY(TODAY(),1,Holidays),"DUE TOMORROW",IF($W575=4,"ESCALATED TO LOCAL OFFICE",IF($W575=5,"ESCALATED TO CBE",IF($X575=TODAY(),"EMAIL SENT","MONITORING"))))))))))</f>
        <v/>
      </c>
      <c r="U575" s="17">
        <f>IF($T575="",IF(AND(COUNTA($A575:$K575)&gt;0,$L575=""),"Awaiting Collection Email time stamp.",""),IF(OR($T575="PAID",$T575="CLOSED"),IF($T575="PAID","Account paid. Action completed.","Account closed. No further action required."),CHOOSE($W575,"Collection Email","1st Email Follow-up","2nd Email Follow-up","Escalation to Local Office","Escalation to CBE","Escalation to Roxanne")&amp;" sent "&amp;TEXT($X575,"dd-mmm")&amp;". "&amp;IF($W575=6,"Final escalation completed.",IF($T575="OVERDUE","Next: "&amp;$Z575&amp;" was due "&amp;TEXT($Y575,"dd-mmm")&amp;" - "&amp;(NETWORKDAYS($Y575,TODAY(),Holidays)-1)&amp;" business day(s) late. Send now.",IF($T575="DUE TOMORROW","Next: "&amp;$Z575&amp;IF($Y575&lt;=TODAY()," is due TODAY ("," is due next business day (")&amp;TEXT($Y575,"dd-mmm")&amp;").","Next: "&amp;$Z575&amp;" due "&amp;TEXT($Y575,"dd-mmm")&amp;" ("&amp;(NETWORKDAYS(TODAY(),$Y575,Holidays)-1)&amp;" business day(s) left).")))))</f>
        <v/>
      </c>
      <c r="V575" s="17">
        <f>IF($W575="","",CHOOSE($W575,"Collection Email","1st Follow-up","2nd Follow-up","Local Office","CBE","Roxanne")&amp;IF($W575=6," - Final"," - Day "&amp;MAX(0,NETWORKDAYS($X575,TODAY(),Holidays)-1)&amp;" of "&amp;CHOOSE($W575,3,3,2,2,3))&amp;" | Total Day "&amp;MAX(0,NETWORKDAYS($L575,TODAY(),Holidays)-1))</f>
        <v/>
      </c>
      <c r="W575" s="17">
        <f>IF($L575="","",COUNT($L575:$Q575))</f>
        <v/>
      </c>
      <c r="X575" s="18">
        <f>IF($W575="","",INT(INDEX($L575:$Q575,$W575)))</f>
        <v/>
      </c>
      <c r="Y575" s="18">
        <f>IF(OR($W575="",$W575=6),"",WORKDAY($X575,CHOOSE($W575,3,3,2,2,3),Holidays))</f>
        <v/>
      </c>
      <c r="Z575" s="17">
        <f>IF(OR($W575="",$W575=6),"",CHOOSE($W575,"1st Email Follow-up","2nd Email Follow-up","Escalate Local Office","Escalate to CBE","Escalate to Roxanne"))</f>
        <v/>
      </c>
    </row>
    <row r="576" spans="18:26">
      <c r="R576" s="15"/>
      <c r="S576" s="16"/>
      <c r="T576" s="17">
        <f>IF(AND(COUNTA($A576:$K576)=0,$L576=""),"",IF($S576="Paid","PAID",IF($S576="Closed","CLOSED",IF($W576="","",IF($W576=6,"ESCALATED TO ROXANNE",IF(TODAY()&gt;$Y576,"OVERDUE",IF($Y576&lt;=WORKDAY(TODAY(),1,Holidays),"DUE TOMORROW",IF($W576=4,"ESCALATED TO LOCAL OFFICE",IF($W576=5,"ESCALATED TO CBE",IF($X576=TODAY(),"EMAIL SENT","MONITORING"))))))))))</f>
        <v/>
      </c>
      <c r="U576" s="17">
        <f>IF($T576="",IF(AND(COUNTA($A576:$K576)&gt;0,$L576=""),"Awaiting Collection Email time stamp.",""),IF(OR($T576="PAID",$T576="CLOSED"),IF($T576="PAID","Account paid. Action completed.","Account closed. No further action required."),CHOOSE($W576,"Collection Email","1st Email Follow-up","2nd Email Follow-up","Escalation to Local Office","Escalation to CBE","Escalation to Roxanne")&amp;" sent "&amp;TEXT($X576,"dd-mmm")&amp;". "&amp;IF($W576=6,"Final escalation completed.",IF($T576="OVERDUE","Next: "&amp;$Z576&amp;" was due "&amp;TEXT($Y576,"dd-mmm")&amp;" - "&amp;(NETWORKDAYS($Y576,TODAY(),Holidays)-1)&amp;" business day(s) late. Send now.",IF($T576="DUE TOMORROW","Next: "&amp;$Z576&amp;IF($Y576&lt;=TODAY()," is due TODAY ("," is due next business day (")&amp;TEXT($Y576,"dd-mmm")&amp;").","Next: "&amp;$Z576&amp;" due "&amp;TEXT($Y576,"dd-mmm")&amp;" ("&amp;(NETWORKDAYS(TODAY(),$Y576,Holidays)-1)&amp;" business day(s) left).")))))</f>
        <v/>
      </c>
      <c r="V576" s="17">
        <f>IF($W576="","",CHOOSE($W576,"Collection Email","1st Follow-up","2nd Follow-up","Local Office","CBE","Roxanne")&amp;IF($W576=6," - Final"," - Day "&amp;MAX(0,NETWORKDAYS($X576,TODAY(),Holidays)-1)&amp;" of "&amp;CHOOSE($W576,3,3,2,2,3))&amp;" | Total Day "&amp;MAX(0,NETWORKDAYS($L576,TODAY(),Holidays)-1))</f>
        <v/>
      </c>
      <c r="W576" s="17">
        <f>IF($L576="","",COUNT($L576:$Q576))</f>
        <v/>
      </c>
      <c r="X576" s="18">
        <f>IF($W576="","",INT(INDEX($L576:$Q576,$W576)))</f>
        <v/>
      </c>
      <c r="Y576" s="18">
        <f>IF(OR($W576="",$W576=6),"",WORKDAY($X576,CHOOSE($W576,3,3,2,2,3),Holidays))</f>
        <v/>
      </c>
      <c r="Z576" s="17">
        <f>IF(OR($W576="",$W576=6),"",CHOOSE($W576,"1st Email Follow-up","2nd Email Follow-up","Escalate Local Office","Escalate to CBE","Escalate to Roxanne"))</f>
        <v/>
      </c>
    </row>
    <row r="577" spans="18:26">
      <c r="R577" s="15"/>
      <c r="S577" s="16"/>
      <c r="T577" s="17">
        <f>IF(AND(COUNTA($A577:$K577)=0,$L577=""),"",IF($S577="Paid","PAID",IF($S577="Closed","CLOSED",IF($W577="","",IF($W577=6,"ESCALATED TO ROXANNE",IF(TODAY()&gt;$Y577,"OVERDUE",IF($Y577&lt;=WORKDAY(TODAY(),1,Holidays),"DUE TOMORROW",IF($W577=4,"ESCALATED TO LOCAL OFFICE",IF($W577=5,"ESCALATED TO CBE",IF($X577=TODAY(),"EMAIL SENT","MONITORING"))))))))))</f>
        <v/>
      </c>
      <c r="U577" s="17">
        <f>IF($T577="",IF(AND(COUNTA($A577:$K577)&gt;0,$L577=""),"Awaiting Collection Email time stamp.",""),IF(OR($T577="PAID",$T577="CLOSED"),IF($T577="PAID","Account paid. Action completed.","Account closed. No further action required."),CHOOSE($W577,"Collection Email","1st Email Follow-up","2nd Email Follow-up","Escalation to Local Office","Escalation to CBE","Escalation to Roxanne")&amp;" sent "&amp;TEXT($X577,"dd-mmm")&amp;". "&amp;IF($W577=6,"Final escalation completed.",IF($T577="OVERDUE","Next: "&amp;$Z577&amp;" was due "&amp;TEXT($Y577,"dd-mmm")&amp;" - "&amp;(NETWORKDAYS($Y577,TODAY(),Holidays)-1)&amp;" business day(s) late. Send now.",IF($T577="DUE TOMORROW","Next: "&amp;$Z577&amp;IF($Y577&lt;=TODAY()," is due TODAY ("," is due next business day (")&amp;TEXT($Y577,"dd-mmm")&amp;").","Next: "&amp;$Z577&amp;" due "&amp;TEXT($Y577,"dd-mmm")&amp;" ("&amp;(NETWORKDAYS(TODAY(),$Y577,Holidays)-1)&amp;" business day(s) left).")))))</f>
        <v/>
      </c>
      <c r="V577" s="17">
        <f>IF($W577="","",CHOOSE($W577,"Collection Email","1st Follow-up","2nd Follow-up","Local Office","CBE","Roxanne")&amp;IF($W577=6," - Final"," - Day "&amp;MAX(0,NETWORKDAYS($X577,TODAY(),Holidays)-1)&amp;" of "&amp;CHOOSE($W577,3,3,2,2,3))&amp;" | Total Day "&amp;MAX(0,NETWORKDAYS($L577,TODAY(),Holidays)-1))</f>
        <v/>
      </c>
      <c r="W577" s="17">
        <f>IF($L577="","",COUNT($L577:$Q577))</f>
        <v/>
      </c>
      <c r="X577" s="18">
        <f>IF($W577="","",INT(INDEX($L577:$Q577,$W577)))</f>
        <v/>
      </c>
      <c r="Y577" s="18">
        <f>IF(OR($W577="",$W577=6),"",WORKDAY($X577,CHOOSE($W577,3,3,2,2,3),Holidays))</f>
        <v/>
      </c>
      <c r="Z577" s="17">
        <f>IF(OR($W577="",$W577=6),"",CHOOSE($W577,"1st Email Follow-up","2nd Email Follow-up","Escalate Local Office","Escalate to CBE","Escalate to Roxanne"))</f>
        <v/>
      </c>
    </row>
    <row r="578" spans="18:26">
      <c r="R578" s="15"/>
      <c r="S578" s="16"/>
      <c r="T578" s="17">
        <f>IF(AND(COUNTA($A578:$K578)=0,$L578=""),"",IF($S578="Paid","PAID",IF($S578="Closed","CLOSED",IF($W578="","",IF($W578=6,"ESCALATED TO ROXANNE",IF(TODAY()&gt;$Y578,"OVERDUE",IF($Y578&lt;=WORKDAY(TODAY(),1,Holidays),"DUE TOMORROW",IF($W578=4,"ESCALATED TO LOCAL OFFICE",IF($W578=5,"ESCALATED TO CBE",IF($X578=TODAY(),"EMAIL SENT","MONITORING"))))))))))</f>
        <v/>
      </c>
      <c r="U578" s="17">
        <f>IF($T578="",IF(AND(COUNTA($A578:$K578)&gt;0,$L578=""),"Awaiting Collection Email time stamp.",""),IF(OR($T578="PAID",$T578="CLOSED"),IF($T578="PAID","Account paid. Action completed.","Account closed. No further action required."),CHOOSE($W578,"Collection Email","1st Email Follow-up","2nd Email Follow-up","Escalation to Local Office","Escalation to CBE","Escalation to Roxanne")&amp;" sent "&amp;TEXT($X578,"dd-mmm")&amp;". "&amp;IF($W578=6,"Final escalation completed.",IF($T578="OVERDUE","Next: "&amp;$Z578&amp;" was due "&amp;TEXT($Y578,"dd-mmm")&amp;" - "&amp;(NETWORKDAYS($Y578,TODAY(),Holidays)-1)&amp;" business day(s) late. Send now.",IF($T578="DUE TOMORROW","Next: "&amp;$Z578&amp;IF($Y578&lt;=TODAY()," is due TODAY ("," is due next business day (")&amp;TEXT($Y578,"dd-mmm")&amp;").","Next: "&amp;$Z578&amp;" due "&amp;TEXT($Y578,"dd-mmm")&amp;" ("&amp;(NETWORKDAYS(TODAY(),$Y578,Holidays)-1)&amp;" business day(s) left).")))))</f>
        <v/>
      </c>
      <c r="V578" s="17">
        <f>IF($W578="","",CHOOSE($W578,"Collection Email","1st Follow-up","2nd Follow-up","Local Office","CBE","Roxanne")&amp;IF($W578=6," - Final"," - Day "&amp;MAX(0,NETWORKDAYS($X578,TODAY(),Holidays)-1)&amp;" of "&amp;CHOOSE($W578,3,3,2,2,3))&amp;" | Total Day "&amp;MAX(0,NETWORKDAYS($L578,TODAY(),Holidays)-1))</f>
        <v/>
      </c>
      <c r="W578" s="17">
        <f>IF($L578="","",COUNT($L578:$Q578))</f>
        <v/>
      </c>
      <c r="X578" s="18">
        <f>IF($W578="","",INT(INDEX($L578:$Q578,$W578)))</f>
        <v/>
      </c>
      <c r="Y578" s="18">
        <f>IF(OR($W578="",$W578=6),"",WORKDAY($X578,CHOOSE($W578,3,3,2,2,3),Holidays))</f>
        <v/>
      </c>
      <c r="Z578" s="17">
        <f>IF(OR($W578="",$W578=6),"",CHOOSE($W578,"1st Email Follow-up","2nd Email Follow-up","Escalate Local Office","Escalate to CBE","Escalate to Roxanne"))</f>
        <v/>
      </c>
    </row>
    <row r="579" spans="18:26">
      <c r="R579" s="15"/>
      <c r="S579" s="16"/>
      <c r="T579" s="17">
        <f>IF(AND(COUNTA($A579:$K579)=0,$L579=""),"",IF($S579="Paid","PAID",IF($S579="Closed","CLOSED",IF($W579="","",IF($W579=6,"ESCALATED TO ROXANNE",IF(TODAY()&gt;$Y579,"OVERDUE",IF($Y579&lt;=WORKDAY(TODAY(),1,Holidays),"DUE TOMORROW",IF($W579=4,"ESCALATED TO LOCAL OFFICE",IF($W579=5,"ESCALATED TO CBE",IF($X579=TODAY(),"EMAIL SENT","MONITORING"))))))))))</f>
        <v/>
      </c>
      <c r="U579" s="17">
        <f>IF($T579="",IF(AND(COUNTA($A579:$K579)&gt;0,$L579=""),"Awaiting Collection Email time stamp.",""),IF(OR($T579="PAID",$T579="CLOSED"),IF($T579="PAID","Account paid. Action completed.","Account closed. No further action required."),CHOOSE($W579,"Collection Email","1st Email Follow-up","2nd Email Follow-up","Escalation to Local Office","Escalation to CBE","Escalation to Roxanne")&amp;" sent "&amp;TEXT($X579,"dd-mmm")&amp;". "&amp;IF($W579=6,"Final escalation completed.",IF($T579="OVERDUE","Next: "&amp;$Z579&amp;" was due "&amp;TEXT($Y579,"dd-mmm")&amp;" - "&amp;(NETWORKDAYS($Y579,TODAY(),Holidays)-1)&amp;" business day(s) late. Send now.",IF($T579="DUE TOMORROW","Next: "&amp;$Z579&amp;IF($Y579&lt;=TODAY()," is due TODAY ("," is due next business day (")&amp;TEXT($Y579,"dd-mmm")&amp;").","Next: "&amp;$Z579&amp;" due "&amp;TEXT($Y579,"dd-mmm")&amp;" ("&amp;(NETWORKDAYS(TODAY(),$Y579,Holidays)-1)&amp;" business day(s) left).")))))</f>
        <v/>
      </c>
      <c r="V579" s="17">
        <f>IF($W579="","",CHOOSE($W579,"Collection Email","1st Follow-up","2nd Follow-up","Local Office","CBE","Roxanne")&amp;IF($W579=6," - Final"," - Day "&amp;MAX(0,NETWORKDAYS($X579,TODAY(),Holidays)-1)&amp;" of "&amp;CHOOSE($W579,3,3,2,2,3))&amp;" | Total Day "&amp;MAX(0,NETWORKDAYS($L579,TODAY(),Holidays)-1))</f>
        <v/>
      </c>
      <c r="W579" s="17">
        <f>IF($L579="","",COUNT($L579:$Q579))</f>
        <v/>
      </c>
      <c r="X579" s="18">
        <f>IF($W579="","",INT(INDEX($L579:$Q579,$W579)))</f>
        <v/>
      </c>
      <c r="Y579" s="18">
        <f>IF(OR($W579="",$W579=6),"",WORKDAY($X579,CHOOSE($W579,3,3,2,2,3),Holidays))</f>
        <v/>
      </c>
      <c r="Z579" s="17">
        <f>IF(OR($W579="",$W579=6),"",CHOOSE($W579,"1st Email Follow-up","2nd Email Follow-up","Escalate Local Office","Escalate to CBE","Escalate to Roxanne"))</f>
        <v/>
      </c>
    </row>
    <row r="580" spans="18:26">
      <c r="R580" s="15"/>
      <c r="S580" s="16"/>
      <c r="T580" s="17">
        <f>IF(AND(COUNTA($A580:$K580)=0,$L580=""),"",IF($S580="Paid","PAID",IF($S580="Closed","CLOSED",IF($W580="","",IF($W580=6,"ESCALATED TO ROXANNE",IF(TODAY()&gt;$Y580,"OVERDUE",IF($Y580&lt;=WORKDAY(TODAY(),1,Holidays),"DUE TOMORROW",IF($W580=4,"ESCALATED TO LOCAL OFFICE",IF($W580=5,"ESCALATED TO CBE",IF($X580=TODAY(),"EMAIL SENT","MONITORING"))))))))))</f>
        <v/>
      </c>
      <c r="U580" s="17">
        <f>IF($T580="",IF(AND(COUNTA($A580:$K580)&gt;0,$L580=""),"Awaiting Collection Email time stamp.",""),IF(OR($T580="PAID",$T580="CLOSED"),IF($T580="PAID","Account paid. Action completed.","Account closed. No further action required."),CHOOSE($W580,"Collection Email","1st Email Follow-up","2nd Email Follow-up","Escalation to Local Office","Escalation to CBE","Escalation to Roxanne")&amp;" sent "&amp;TEXT($X580,"dd-mmm")&amp;". "&amp;IF($W580=6,"Final escalation completed.",IF($T580="OVERDUE","Next: "&amp;$Z580&amp;" was due "&amp;TEXT($Y580,"dd-mmm")&amp;" - "&amp;(NETWORKDAYS($Y580,TODAY(),Holidays)-1)&amp;" business day(s) late. Send now.",IF($T580="DUE TOMORROW","Next: "&amp;$Z580&amp;IF($Y580&lt;=TODAY()," is due TODAY ("," is due next business day (")&amp;TEXT($Y580,"dd-mmm")&amp;").","Next: "&amp;$Z580&amp;" due "&amp;TEXT($Y580,"dd-mmm")&amp;" ("&amp;(NETWORKDAYS(TODAY(),$Y580,Holidays)-1)&amp;" business day(s) left).")))))</f>
        <v/>
      </c>
      <c r="V580" s="17">
        <f>IF($W580="","",CHOOSE($W580,"Collection Email","1st Follow-up","2nd Follow-up","Local Office","CBE","Roxanne")&amp;IF($W580=6," - Final"," - Day "&amp;MAX(0,NETWORKDAYS($X580,TODAY(),Holidays)-1)&amp;" of "&amp;CHOOSE($W580,3,3,2,2,3))&amp;" | Total Day "&amp;MAX(0,NETWORKDAYS($L580,TODAY(),Holidays)-1))</f>
        <v/>
      </c>
      <c r="W580" s="17">
        <f>IF($L580="","",COUNT($L580:$Q580))</f>
        <v/>
      </c>
      <c r="X580" s="18">
        <f>IF($W580="","",INT(INDEX($L580:$Q580,$W580)))</f>
        <v/>
      </c>
      <c r="Y580" s="18">
        <f>IF(OR($W580="",$W580=6),"",WORKDAY($X580,CHOOSE($W580,3,3,2,2,3),Holidays))</f>
        <v/>
      </c>
      <c r="Z580" s="17">
        <f>IF(OR($W580="",$W580=6),"",CHOOSE($W580,"1st Email Follow-up","2nd Email Follow-up","Escalate Local Office","Escalate to CBE","Escalate to Roxanne"))</f>
        <v/>
      </c>
    </row>
    <row r="581" spans="18:26">
      <c r="R581" s="15"/>
      <c r="S581" s="16"/>
      <c r="T581" s="17">
        <f>IF(AND(COUNTA($A581:$K581)=0,$L581=""),"",IF($S581="Paid","PAID",IF($S581="Closed","CLOSED",IF($W581="","",IF($W581=6,"ESCALATED TO ROXANNE",IF(TODAY()&gt;$Y581,"OVERDUE",IF($Y581&lt;=WORKDAY(TODAY(),1,Holidays),"DUE TOMORROW",IF($W581=4,"ESCALATED TO LOCAL OFFICE",IF($W581=5,"ESCALATED TO CBE",IF($X581=TODAY(),"EMAIL SENT","MONITORING"))))))))))</f>
        <v/>
      </c>
      <c r="U581" s="17">
        <f>IF($T581="",IF(AND(COUNTA($A581:$K581)&gt;0,$L581=""),"Awaiting Collection Email time stamp.",""),IF(OR($T581="PAID",$T581="CLOSED"),IF($T581="PAID","Account paid. Action completed.","Account closed. No further action required."),CHOOSE($W581,"Collection Email","1st Email Follow-up","2nd Email Follow-up","Escalation to Local Office","Escalation to CBE","Escalation to Roxanne")&amp;" sent "&amp;TEXT($X581,"dd-mmm")&amp;". "&amp;IF($W581=6,"Final escalation completed.",IF($T581="OVERDUE","Next: "&amp;$Z581&amp;" was due "&amp;TEXT($Y581,"dd-mmm")&amp;" - "&amp;(NETWORKDAYS($Y581,TODAY(),Holidays)-1)&amp;" business day(s) late. Send now.",IF($T581="DUE TOMORROW","Next: "&amp;$Z581&amp;IF($Y581&lt;=TODAY()," is due TODAY ("," is due next business day (")&amp;TEXT($Y581,"dd-mmm")&amp;").","Next: "&amp;$Z581&amp;" due "&amp;TEXT($Y581,"dd-mmm")&amp;" ("&amp;(NETWORKDAYS(TODAY(),$Y581,Holidays)-1)&amp;" business day(s) left).")))))</f>
        <v/>
      </c>
      <c r="V581" s="17">
        <f>IF($W581="","",CHOOSE($W581,"Collection Email","1st Follow-up","2nd Follow-up","Local Office","CBE","Roxanne")&amp;IF($W581=6," - Final"," - Day "&amp;MAX(0,NETWORKDAYS($X581,TODAY(),Holidays)-1)&amp;" of "&amp;CHOOSE($W581,3,3,2,2,3))&amp;" | Total Day "&amp;MAX(0,NETWORKDAYS($L581,TODAY(),Holidays)-1))</f>
        <v/>
      </c>
      <c r="W581" s="17">
        <f>IF($L581="","",COUNT($L581:$Q581))</f>
        <v/>
      </c>
      <c r="X581" s="18">
        <f>IF($W581="","",INT(INDEX($L581:$Q581,$W581)))</f>
        <v/>
      </c>
      <c r="Y581" s="18">
        <f>IF(OR($W581="",$W581=6),"",WORKDAY($X581,CHOOSE($W581,3,3,2,2,3),Holidays))</f>
        <v/>
      </c>
      <c r="Z581" s="17">
        <f>IF(OR($W581="",$W581=6),"",CHOOSE($W581,"1st Email Follow-up","2nd Email Follow-up","Escalate Local Office","Escalate to CBE","Escalate to Roxanne"))</f>
        <v/>
      </c>
    </row>
    <row r="582" spans="18:26">
      <c r="R582" s="15"/>
      <c r="S582" s="16"/>
      <c r="T582" s="17">
        <f>IF(AND(COUNTA($A582:$K582)=0,$L582=""),"",IF($S582="Paid","PAID",IF($S582="Closed","CLOSED",IF($W582="","",IF($W582=6,"ESCALATED TO ROXANNE",IF(TODAY()&gt;$Y582,"OVERDUE",IF($Y582&lt;=WORKDAY(TODAY(),1,Holidays),"DUE TOMORROW",IF($W582=4,"ESCALATED TO LOCAL OFFICE",IF($W582=5,"ESCALATED TO CBE",IF($X582=TODAY(),"EMAIL SENT","MONITORING"))))))))))</f>
        <v/>
      </c>
      <c r="U582" s="17">
        <f>IF($T582="",IF(AND(COUNTA($A582:$K582)&gt;0,$L582=""),"Awaiting Collection Email time stamp.",""),IF(OR($T582="PAID",$T582="CLOSED"),IF($T582="PAID","Account paid. Action completed.","Account closed. No further action required."),CHOOSE($W582,"Collection Email","1st Email Follow-up","2nd Email Follow-up","Escalation to Local Office","Escalation to CBE","Escalation to Roxanne")&amp;" sent "&amp;TEXT($X582,"dd-mmm")&amp;". "&amp;IF($W582=6,"Final escalation completed.",IF($T582="OVERDUE","Next: "&amp;$Z582&amp;" was due "&amp;TEXT($Y582,"dd-mmm")&amp;" - "&amp;(NETWORKDAYS($Y582,TODAY(),Holidays)-1)&amp;" business day(s) late. Send now.",IF($T582="DUE TOMORROW","Next: "&amp;$Z582&amp;IF($Y582&lt;=TODAY()," is due TODAY ("," is due next business day (")&amp;TEXT($Y582,"dd-mmm")&amp;").","Next: "&amp;$Z582&amp;" due "&amp;TEXT($Y582,"dd-mmm")&amp;" ("&amp;(NETWORKDAYS(TODAY(),$Y582,Holidays)-1)&amp;" business day(s) left).")))))</f>
        <v/>
      </c>
      <c r="V582" s="17">
        <f>IF($W582="","",CHOOSE($W582,"Collection Email","1st Follow-up","2nd Follow-up","Local Office","CBE","Roxanne")&amp;IF($W582=6," - Final"," - Day "&amp;MAX(0,NETWORKDAYS($X582,TODAY(),Holidays)-1)&amp;" of "&amp;CHOOSE($W582,3,3,2,2,3))&amp;" | Total Day "&amp;MAX(0,NETWORKDAYS($L582,TODAY(),Holidays)-1))</f>
        <v/>
      </c>
      <c r="W582" s="17">
        <f>IF($L582="","",COUNT($L582:$Q582))</f>
        <v/>
      </c>
      <c r="X582" s="18">
        <f>IF($W582="","",INT(INDEX($L582:$Q582,$W582)))</f>
        <v/>
      </c>
      <c r="Y582" s="18">
        <f>IF(OR($W582="",$W582=6),"",WORKDAY($X582,CHOOSE($W582,3,3,2,2,3),Holidays))</f>
        <v/>
      </c>
      <c r="Z582" s="17">
        <f>IF(OR($W582="",$W582=6),"",CHOOSE($W582,"1st Email Follow-up","2nd Email Follow-up","Escalate Local Office","Escalate to CBE","Escalate to Roxanne"))</f>
        <v/>
      </c>
    </row>
    <row r="583" spans="18:26">
      <c r="R583" s="15"/>
      <c r="S583" s="16"/>
      <c r="T583" s="17">
        <f>IF(AND(COUNTA($A583:$K583)=0,$L583=""),"",IF($S583="Paid","PAID",IF($S583="Closed","CLOSED",IF($W583="","",IF($W583=6,"ESCALATED TO ROXANNE",IF(TODAY()&gt;$Y583,"OVERDUE",IF($Y583&lt;=WORKDAY(TODAY(),1,Holidays),"DUE TOMORROW",IF($W583=4,"ESCALATED TO LOCAL OFFICE",IF($W583=5,"ESCALATED TO CBE",IF($X583=TODAY(),"EMAIL SENT","MONITORING"))))))))))</f>
        <v/>
      </c>
      <c r="U583" s="17">
        <f>IF($T583="",IF(AND(COUNTA($A583:$K583)&gt;0,$L583=""),"Awaiting Collection Email time stamp.",""),IF(OR($T583="PAID",$T583="CLOSED"),IF($T583="PAID","Account paid. Action completed.","Account closed. No further action required."),CHOOSE($W583,"Collection Email","1st Email Follow-up","2nd Email Follow-up","Escalation to Local Office","Escalation to CBE","Escalation to Roxanne")&amp;" sent "&amp;TEXT($X583,"dd-mmm")&amp;". "&amp;IF($W583=6,"Final escalation completed.",IF($T583="OVERDUE","Next: "&amp;$Z583&amp;" was due "&amp;TEXT($Y583,"dd-mmm")&amp;" - "&amp;(NETWORKDAYS($Y583,TODAY(),Holidays)-1)&amp;" business day(s) late. Send now.",IF($T583="DUE TOMORROW","Next: "&amp;$Z583&amp;IF($Y583&lt;=TODAY()," is due TODAY ("," is due next business day (")&amp;TEXT($Y583,"dd-mmm")&amp;").","Next: "&amp;$Z583&amp;" due "&amp;TEXT($Y583,"dd-mmm")&amp;" ("&amp;(NETWORKDAYS(TODAY(),$Y583,Holidays)-1)&amp;" business day(s) left).")))))</f>
        <v/>
      </c>
      <c r="V583" s="17">
        <f>IF($W583="","",CHOOSE($W583,"Collection Email","1st Follow-up","2nd Follow-up","Local Office","CBE","Roxanne")&amp;IF($W583=6," - Final"," - Day "&amp;MAX(0,NETWORKDAYS($X583,TODAY(),Holidays)-1)&amp;" of "&amp;CHOOSE($W583,3,3,2,2,3))&amp;" | Total Day "&amp;MAX(0,NETWORKDAYS($L583,TODAY(),Holidays)-1))</f>
        <v/>
      </c>
      <c r="W583" s="17">
        <f>IF($L583="","",COUNT($L583:$Q583))</f>
        <v/>
      </c>
      <c r="X583" s="18">
        <f>IF($W583="","",INT(INDEX($L583:$Q583,$W583)))</f>
        <v/>
      </c>
      <c r="Y583" s="18">
        <f>IF(OR($W583="",$W583=6),"",WORKDAY($X583,CHOOSE($W583,3,3,2,2,3),Holidays))</f>
        <v/>
      </c>
      <c r="Z583" s="17">
        <f>IF(OR($W583="",$W583=6),"",CHOOSE($W583,"1st Email Follow-up","2nd Email Follow-up","Escalate Local Office","Escalate to CBE","Escalate to Roxanne"))</f>
        <v/>
      </c>
    </row>
    <row r="584" spans="18:26">
      <c r="R584" s="15"/>
      <c r="S584" s="16"/>
      <c r="T584" s="17">
        <f>IF(AND(COUNTA($A584:$K584)=0,$L584=""),"",IF($S584="Paid","PAID",IF($S584="Closed","CLOSED",IF($W584="","",IF($W584=6,"ESCALATED TO ROXANNE",IF(TODAY()&gt;$Y584,"OVERDUE",IF($Y584&lt;=WORKDAY(TODAY(),1,Holidays),"DUE TOMORROW",IF($W584=4,"ESCALATED TO LOCAL OFFICE",IF($W584=5,"ESCALATED TO CBE",IF($X584=TODAY(),"EMAIL SENT","MONITORING"))))))))))</f>
        <v/>
      </c>
      <c r="U584" s="17">
        <f>IF($T584="",IF(AND(COUNTA($A584:$K584)&gt;0,$L584=""),"Awaiting Collection Email time stamp.",""),IF(OR($T584="PAID",$T584="CLOSED"),IF($T584="PAID","Account paid. Action completed.","Account closed. No further action required."),CHOOSE($W584,"Collection Email","1st Email Follow-up","2nd Email Follow-up","Escalation to Local Office","Escalation to CBE","Escalation to Roxanne")&amp;" sent "&amp;TEXT($X584,"dd-mmm")&amp;". "&amp;IF($W584=6,"Final escalation completed.",IF($T584="OVERDUE","Next: "&amp;$Z584&amp;" was due "&amp;TEXT($Y584,"dd-mmm")&amp;" - "&amp;(NETWORKDAYS($Y584,TODAY(),Holidays)-1)&amp;" business day(s) late. Send now.",IF($T584="DUE TOMORROW","Next: "&amp;$Z584&amp;IF($Y584&lt;=TODAY()," is due TODAY ("," is due next business day (")&amp;TEXT($Y584,"dd-mmm")&amp;").","Next: "&amp;$Z584&amp;" due "&amp;TEXT($Y584,"dd-mmm")&amp;" ("&amp;(NETWORKDAYS(TODAY(),$Y584,Holidays)-1)&amp;" business day(s) left).")))))</f>
        <v/>
      </c>
      <c r="V584" s="17">
        <f>IF($W584="","",CHOOSE($W584,"Collection Email","1st Follow-up","2nd Follow-up","Local Office","CBE","Roxanne")&amp;IF($W584=6," - Final"," - Day "&amp;MAX(0,NETWORKDAYS($X584,TODAY(),Holidays)-1)&amp;" of "&amp;CHOOSE($W584,3,3,2,2,3))&amp;" | Total Day "&amp;MAX(0,NETWORKDAYS($L584,TODAY(),Holidays)-1))</f>
        <v/>
      </c>
      <c r="W584" s="17">
        <f>IF($L584="","",COUNT($L584:$Q584))</f>
        <v/>
      </c>
      <c r="X584" s="18">
        <f>IF($W584="","",INT(INDEX($L584:$Q584,$W584)))</f>
        <v/>
      </c>
      <c r="Y584" s="18">
        <f>IF(OR($W584="",$W584=6),"",WORKDAY($X584,CHOOSE($W584,3,3,2,2,3),Holidays))</f>
        <v/>
      </c>
      <c r="Z584" s="17">
        <f>IF(OR($W584="",$W584=6),"",CHOOSE($W584,"1st Email Follow-up","2nd Email Follow-up","Escalate Local Office","Escalate to CBE","Escalate to Roxanne"))</f>
        <v/>
      </c>
    </row>
    <row r="585" spans="18:26">
      <c r="R585" s="15"/>
      <c r="S585" s="16"/>
      <c r="T585" s="17">
        <f>IF(AND(COUNTA($A585:$K585)=0,$L585=""),"",IF($S585="Paid","PAID",IF($S585="Closed","CLOSED",IF($W585="","",IF($W585=6,"ESCALATED TO ROXANNE",IF(TODAY()&gt;$Y585,"OVERDUE",IF($Y585&lt;=WORKDAY(TODAY(),1,Holidays),"DUE TOMORROW",IF($W585=4,"ESCALATED TO LOCAL OFFICE",IF($W585=5,"ESCALATED TO CBE",IF($X585=TODAY(),"EMAIL SENT","MONITORING"))))))))))</f>
        <v/>
      </c>
      <c r="U585" s="17">
        <f>IF($T585="",IF(AND(COUNTA($A585:$K585)&gt;0,$L585=""),"Awaiting Collection Email time stamp.",""),IF(OR($T585="PAID",$T585="CLOSED"),IF($T585="PAID","Account paid. Action completed.","Account closed. No further action required."),CHOOSE($W585,"Collection Email","1st Email Follow-up","2nd Email Follow-up","Escalation to Local Office","Escalation to CBE","Escalation to Roxanne")&amp;" sent "&amp;TEXT($X585,"dd-mmm")&amp;". "&amp;IF($W585=6,"Final escalation completed.",IF($T585="OVERDUE","Next: "&amp;$Z585&amp;" was due "&amp;TEXT($Y585,"dd-mmm")&amp;" - "&amp;(NETWORKDAYS($Y585,TODAY(),Holidays)-1)&amp;" business day(s) late. Send now.",IF($T585="DUE TOMORROW","Next: "&amp;$Z585&amp;IF($Y585&lt;=TODAY()," is due TODAY ("," is due next business day (")&amp;TEXT($Y585,"dd-mmm")&amp;").","Next: "&amp;$Z585&amp;" due "&amp;TEXT($Y585,"dd-mmm")&amp;" ("&amp;(NETWORKDAYS(TODAY(),$Y585,Holidays)-1)&amp;" business day(s) left).")))))</f>
        <v/>
      </c>
      <c r="V585" s="17">
        <f>IF($W585="","",CHOOSE($W585,"Collection Email","1st Follow-up","2nd Follow-up","Local Office","CBE","Roxanne")&amp;IF($W585=6," - Final"," - Day "&amp;MAX(0,NETWORKDAYS($X585,TODAY(),Holidays)-1)&amp;" of "&amp;CHOOSE($W585,3,3,2,2,3))&amp;" | Total Day "&amp;MAX(0,NETWORKDAYS($L585,TODAY(),Holidays)-1))</f>
        <v/>
      </c>
      <c r="W585" s="17">
        <f>IF($L585="","",COUNT($L585:$Q585))</f>
        <v/>
      </c>
      <c r="X585" s="18">
        <f>IF($W585="","",INT(INDEX($L585:$Q585,$W585)))</f>
        <v/>
      </c>
      <c r="Y585" s="18">
        <f>IF(OR($W585="",$W585=6),"",WORKDAY($X585,CHOOSE($W585,3,3,2,2,3),Holidays))</f>
        <v/>
      </c>
      <c r="Z585" s="17">
        <f>IF(OR($W585="",$W585=6),"",CHOOSE($W585,"1st Email Follow-up","2nd Email Follow-up","Escalate Local Office","Escalate to CBE","Escalate to Roxanne"))</f>
        <v/>
      </c>
    </row>
    <row r="586" spans="18:26">
      <c r="R586" s="15"/>
      <c r="S586" s="16"/>
      <c r="T586" s="17">
        <f>IF(AND(COUNTA($A586:$K586)=0,$L586=""),"",IF($S586="Paid","PAID",IF($S586="Closed","CLOSED",IF($W586="","",IF($W586=6,"ESCALATED TO ROXANNE",IF(TODAY()&gt;$Y586,"OVERDUE",IF($Y586&lt;=WORKDAY(TODAY(),1,Holidays),"DUE TOMORROW",IF($W586=4,"ESCALATED TO LOCAL OFFICE",IF($W586=5,"ESCALATED TO CBE",IF($X586=TODAY(),"EMAIL SENT","MONITORING"))))))))))</f>
        <v/>
      </c>
      <c r="U586" s="17">
        <f>IF($T586="",IF(AND(COUNTA($A586:$K586)&gt;0,$L586=""),"Awaiting Collection Email time stamp.",""),IF(OR($T586="PAID",$T586="CLOSED"),IF($T586="PAID","Account paid. Action completed.","Account closed. No further action required."),CHOOSE($W586,"Collection Email","1st Email Follow-up","2nd Email Follow-up","Escalation to Local Office","Escalation to CBE","Escalation to Roxanne")&amp;" sent "&amp;TEXT($X586,"dd-mmm")&amp;". "&amp;IF($W586=6,"Final escalation completed.",IF($T586="OVERDUE","Next: "&amp;$Z586&amp;" was due "&amp;TEXT($Y586,"dd-mmm")&amp;" - "&amp;(NETWORKDAYS($Y586,TODAY(),Holidays)-1)&amp;" business day(s) late. Send now.",IF($T586="DUE TOMORROW","Next: "&amp;$Z586&amp;IF($Y586&lt;=TODAY()," is due TODAY ("," is due next business day (")&amp;TEXT($Y586,"dd-mmm")&amp;").","Next: "&amp;$Z586&amp;" due "&amp;TEXT($Y586,"dd-mmm")&amp;" ("&amp;(NETWORKDAYS(TODAY(),$Y586,Holidays)-1)&amp;" business day(s) left).")))))</f>
        <v/>
      </c>
      <c r="V586" s="17">
        <f>IF($W586="","",CHOOSE($W586,"Collection Email","1st Follow-up","2nd Follow-up","Local Office","CBE","Roxanne")&amp;IF($W586=6," - Final"," - Day "&amp;MAX(0,NETWORKDAYS($X586,TODAY(),Holidays)-1)&amp;" of "&amp;CHOOSE($W586,3,3,2,2,3))&amp;" | Total Day "&amp;MAX(0,NETWORKDAYS($L586,TODAY(),Holidays)-1))</f>
        <v/>
      </c>
      <c r="W586" s="17">
        <f>IF($L586="","",COUNT($L586:$Q586))</f>
        <v/>
      </c>
      <c r="X586" s="18">
        <f>IF($W586="","",INT(INDEX($L586:$Q586,$W586)))</f>
        <v/>
      </c>
      <c r="Y586" s="18">
        <f>IF(OR($W586="",$W586=6),"",WORKDAY($X586,CHOOSE($W586,3,3,2,2,3),Holidays))</f>
        <v/>
      </c>
      <c r="Z586" s="17">
        <f>IF(OR($W586="",$W586=6),"",CHOOSE($W586,"1st Email Follow-up","2nd Email Follow-up","Escalate Local Office","Escalate to CBE","Escalate to Roxanne"))</f>
        <v/>
      </c>
    </row>
    <row r="587" spans="18:26">
      <c r="R587" s="15"/>
      <c r="S587" s="16"/>
      <c r="T587" s="17">
        <f>IF(AND(COUNTA($A587:$K587)=0,$L587=""),"",IF($S587="Paid","PAID",IF($S587="Closed","CLOSED",IF($W587="","",IF($W587=6,"ESCALATED TO ROXANNE",IF(TODAY()&gt;$Y587,"OVERDUE",IF($Y587&lt;=WORKDAY(TODAY(),1,Holidays),"DUE TOMORROW",IF($W587=4,"ESCALATED TO LOCAL OFFICE",IF($W587=5,"ESCALATED TO CBE",IF($X587=TODAY(),"EMAIL SENT","MONITORING"))))))))))</f>
        <v/>
      </c>
      <c r="U587" s="17">
        <f>IF($T587="",IF(AND(COUNTA($A587:$K587)&gt;0,$L587=""),"Awaiting Collection Email time stamp.",""),IF(OR($T587="PAID",$T587="CLOSED"),IF($T587="PAID","Account paid. Action completed.","Account closed. No further action required."),CHOOSE($W587,"Collection Email","1st Email Follow-up","2nd Email Follow-up","Escalation to Local Office","Escalation to CBE","Escalation to Roxanne")&amp;" sent "&amp;TEXT($X587,"dd-mmm")&amp;". "&amp;IF($W587=6,"Final escalation completed.",IF($T587="OVERDUE","Next: "&amp;$Z587&amp;" was due "&amp;TEXT($Y587,"dd-mmm")&amp;" - "&amp;(NETWORKDAYS($Y587,TODAY(),Holidays)-1)&amp;" business day(s) late. Send now.",IF($T587="DUE TOMORROW","Next: "&amp;$Z587&amp;IF($Y587&lt;=TODAY()," is due TODAY ("," is due next business day (")&amp;TEXT($Y587,"dd-mmm")&amp;").","Next: "&amp;$Z587&amp;" due "&amp;TEXT($Y587,"dd-mmm")&amp;" ("&amp;(NETWORKDAYS(TODAY(),$Y587,Holidays)-1)&amp;" business day(s) left).")))))</f>
        <v/>
      </c>
      <c r="V587" s="17">
        <f>IF($W587="","",CHOOSE($W587,"Collection Email","1st Follow-up","2nd Follow-up","Local Office","CBE","Roxanne")&amp;IF($W587=6," - Final"," - Day "&amp;MAX(0,NETWORKDAYS($X587,TODAY(),Holidays)-1)&amp;" of "&amp;CHOOSE($W587,3,3,2,2,3))&amp;" | Total Day "&amp;MAX(0,NETWORKDAYS($L587,TODAY(),Holidays)-1))</f>
        <v/>
      </c>
      <c r="W587" s="17">
        <f>IF($L587="","",COUNT($L587:$Q587))</f>
        <v/>
      </c>
      <c r="X587" s="18">
        <f>IF($W587="","",INT(INDEX($L587:$Q587,$W587)))</f>
        <v/>
      </c>
      <c r="Y587" s="18">
        <f>IF(OR($W587="",$W587=6),"",WORKDAY($X587,CHOOSE($W587,3,3,2,2,3),Holidays))</f>
        <v/>
      </c>
      <c r="Z587" s="17">
        <f>IF(OR($W587="",$W587=6),"",CHOOSE($W587,"1st Email Follow-up","2nd Email Follow-up","Escalate Local Office","Escalate to CBE","Escalate to Roxanne"))</f>
        <v/>
      </c>
    </row>
    <row r="588" spans="18:26">
      <c r="R588" s="15"/>
      <c r="S588" s="16"/>
      <c r="T588" s="17">
        <f>IF(AND(COUNTA($A588:$K588)=0,$L588=""),"",IF($S588="Paid","PAID",IF($S588="Closed","CLOSED",IF($W588="","",IF($W588=6,"ESCALATED TO ROXANNE",IF(TODAY()&gt;$Y588,"OVERDUE",IF($Y588&lt;=WORKDAY(TODAY(),1,Holidays),"DUE TOMORROW",IF($W588=4,"ESCALATED TO LOCAL OFFICE",IF($W588=5,"ESCALATED TO CBE",IF($X588=TODAY(),"EMAIL SENT","MONITORING"))))))))))</f>
        <v/>
      </c>
      <c r="U588" s="17">
        <f>IF($T588="",IF(AND(COUNTA($A588:$K588)&gt;0,$L588=""),"Awaiting Collection Email time stamp.",""),IF(OR($T588="PAID",$T588="CLOSED"),IF($T588="PAID","Account paid. Action completed.","Account closed. No further action required."),CHOOSE($W588,"Collection Email","1st Email Follow-up","2nd Email Follow-up","Escalation to Local Office","Escalation to CBE","Escalation to Roxanne")&amp;" sent "&amp;TEXT($X588,"dd-mmm")&amp;". "&amp;IF($W588=6,"Final escalation completed.",IF($T588="OVERDUE","Next: "&amp;$Z588&amp;" was due "&amp;TEXT($Y588,"dd-mmm")&amp;" - "&amp;(NETWORKDAYS($Y588,TODAY(),Holidays)-1)&amp;" business day(s) late. Send now.",IF($T588="DUE TOMORROW","Next: "&amp;$Z588&amp;IF($Y588&lt;=TODAY()," is due TODAY ("," is due next business day (")&amp;TEXT($Y588,"dd-mmm")&amp;").","Next: "&amp;$Z588&amp;" due "&amp;TEXT($Y588,"dd-mmm")&amp;" ("&amp;(NETWORKDAYS(TODAY(),$Y588,Holidays)-1)&amp;" business day(s) left).")))))</f>
        <v/>
      </c>
      <c r="V588" s="17">
        <f>IF($W588="","",CHOOSE($W588,"Collection Email","1st Follow-up","2nd Follow-up","Local Office","CBE","Roxanne")&amp;IF($W588=6," - Final"," - Day "&amp;MAX(0,NETWORKDAYS($X588,TODAY(),Holidays)-1)&amp;" of "&amp;CHOOSE($W588,3,3,2,2,3))&amp;" | Total Day "&amp;MAX(0,NETWORKDAYS($L588,TODAY(),Holidays)-1))</f>
        <v/>
      </c>
      <c r="W588" s="17">
        <f>IF($L588="","",COUNT($L588:$Q588))</f>
        <v/>
      </c>
      <c r="X588" s="18">
        <f>IF($W588="","",INT(INDEX($L588:$Q588,$W588)))</f>
        <v/>
      </c>
      <c r="Y588" s="18">
        <f>IF(OR($W588="",$W588=6),"",WORKDAY($X588,CHOOSE($W588,3,3,2,2,3),Holidays))</f>
        <v/>
      </c>
      <c r="Z588" s="17">
        <f>IF(OR($W588="",$W588=6),"",CHOOSE($W588,"1st Email Follow-up","2nd Email Follow-up","Escalate Local Office","Escalate to CBE","Escalate to Roxanne"))</f>
        <v/>
      </c>
    </row>
    <row r="589" spans="18:26">
      <c r="R589" s="15"/>
      <c r="S589" s="16"/>
      <c r="T589" s="17">
        <f>IF(AND(COUNTA($A589:$K589)=0,$L589=""),"",IF($S589="Paid","PAID",IF($S589="Closed","CLOSED",IF($W589="","",IF($W589=6,"ESCALATED TO ROXANNE",IF(TODAY()&gt;$Y589,"OVERDUE",IF($Y589&lt;=WORKDAY(TODAY(),1,Holidays),"DUE TOMORROW",IF($W589=4,"ESCALATED TO LOCAL OFFICE",IF($W589=5,"ESCALATED TO CBE",IF($X589=TODAY(),"EMAIL SENT","MONITORING"))))))))))</f>
        <v/>
      </c>
      <c r="U589" s="17">
        <f>IF($T589="",IF(AND(COUNTA($A589:$K589)&gt;0,$L589=""),"Awaiting Collection Email time stamp.",""),IF(OR($T589="PAID",$T589="CLOSED"),IF($T589="PAID","Account paid. Action completed.","Account closed. No further action required."),CHOOSE($W589,"Collection Email","1st Email Follow-up","2nd Email Follow-up","Escalation to Local Office","Escalation to CBE","Escalation to Roxanne")&amp;" sent "&amp;TEXT($X589,"dd-mmm")&amp;". "&amp;IF($W589=6,"Final escalation completed.",IF($T589="OVERDUE","Next: "&amp;$Z589&amp;" was due "&amp;TEXT($Y589,"dd-mmm")&amp;" - "&amp;(NETWORKDAYS($Y589,TODAY(),Holidays)-1)&amp;" business day(s) late. Send now.",IF($T589="DUE TOMORROW","Next: "&amp;$Z589&amp;IF($Y589&lt;=TODAY()," is due TODAY ("," is due next business day (")&amp;TEXT($Y589,"dd-mmm")&amp;").","Next: "&amp;$Z589&amp;" due "&amp;TEXT($Y589,"dd-mmm")&amp;" ("&amp;(NETWORKDAYS(TODAY(),$Y589,Holidays)-1)&amp;" business day(s) left).")))))</f>
        <v/>
      </c>
      <c r="V589" s="17">
        <f>IF($W589="","",CHOOSE($W589,"Collection Email","1st Follow-up","2nd Follow-up","Local Office","CBE","Roxanne")&amp;IF($W589=6," - Final"," - Day "&amp;MAX(0,NETWORKDAYS($X589,TODAY(),Holidays)-1)&amp;" of "&amp;CHOOSE($W589,3,3,2,2,3))&amp;" | Total Day "&amp;MAX(0,NETWORKDAYS($L589,TODAY(),Holidays)-1))</f>
        <v/>
      </c>
      <c r="W589" s="17">
        <f>IF($L589="","",COUNT($L589:$Q589))</f>
        <v/>
      </c>
      <c r="X589" s="18">
        <f>IF($W589="","",INT(INDEX($L589:$Q589,$W589)))</f>
        <v/>
      </c>
      <c r="Y589" s="18">
        <f>IF(OR($W589="",$W589=6),"",WORKDAY($X589,CHOOSE($W589,3,3,2,2,3),Holidays))</f>
        <v/>
      </c>
      <c r="Z589" s="17">
        <f>IF(OR($W589="",$W589=6),"",CHOOSE($W589,"1st Email Follow-up","2nd Email Follow-up","Escalate Local Office","Escalate to CBE","Escalate to Roxanne"))</f>
        <v/>
      </c>
    </row>
    <row r="590" spans="18:26">
      <c r="R590" s="15"/>
      <c r="S590" s="16"/>
      <c r="T590" s="17">
        <f>IF(AND(COUNTA($A590:$K590)=0,$L590=""),"",IF($S590="Paid","PAID",IF($S590="Closed","CLOSED",IF($W590="","",IF($W590=6,"ESCALATED TO ROXANNE",IF(TODAY()&gt;$Y590,"OVERDUE",IF($Y590&lt;=WORKDAY(TODAY(),1,Holidays),"DUE TOMORROW",IF($W590=4,"ESCALATED TO LOCAL OFFICE",IF($W590=5,"ESCALATED TO CBE",IF($X590=TODAY(),"EMAIL SENT","MONITORING"))))))))))</f>
        <v/>
      </c>
      <c r="U590" s="17">
        <f>IF($T590="",IF(AND(COUNTA($A590:$K590)&gt;0,$L590=""),"Awaiting Collection Email time stamp.",""),IF(OR($T590="PAID",$T590="CLOSED"),IF($T590="PAID","Account paid. Action completed.","Account closed. No further action required."),CHOOSE($W590,"Collection Email","1st Email Follow-up","2nd Email Follow-up","Escalation to Local Office","Escalation to CBE","Escalation to Roxanne")&amp;" sent "&amp;TEXT($X590,"dd-mmm")&amp;". "&amp;IF($W590=6,"Final escalation completed.",IF($T590="OVERDUE","Next: "&amp;$Z590&amp;" was due "&amp;TEXT($Y590,"dd-mmm")&amp;" - "&amp;(NETWORKDAYS($Y590,TODAY(),Holidays)-1)&amp;" business day(s) late. Send now.",IF($T590="DUE TOMORROW","Next: "&amp;$Z590&amp;IF($Y590&lt;=TODAY()," is due TODAY ("," is due next business day (")&amp;TEXT($Y590,"dd-mmm")&amp;").","Next: "&amp;$Z590&amp;" due "&amp;TEXT($Y590,"dd-mmm")&amp;" ("&amp;(NETWORKDAYS(TODAY(),$Y590,Holidays)-1)&amp;" business day(s) left).")))))</f>
        <v/>
      </c>
      <c r="V590" s="17">
        <f>IF($W590="","",CHOOSE($W590,"Collection Email","1st Follow-up","2nd Follow-up","Local Office","CBE","Roxanne")&amp;IF($W590=6," - Final"," - Day "&amp;MAX(0,NETWORKDAYS($X590,TODAY(),Holidays)-1)&amp;" of "&amp;CHOOSE($W590,3,3,2,2,3))&amp;" | Total Day "&amp;MAX(0,NETWORKDAYS($L590,TODAY(),Holidays)-1))</f>
        <v/>
      </c>
      <c r="W590" s="17">
        <f>IF($L590="","",COUNT($L590:$Q590))</f>
        <v/>
      </c>
      <c r="X590" s="18">
        <f>IF($W590="","",INT(INDEX($L590:$Q590,$W590)))</f>
        <v/>
      </c>
      <c r="Y590" s="18">
        <f>IF(OR($W590="",$W590=6),"",WORKDAY($X590,CHOOSE($W590,3,3,2,2,3),Holidays))</f>
        <v/>
      </c>
      <c r="Z590" s="17">
        <f>IF(OR($W590="",$W590=6),"",CHOOSE($W590,"1st Email Follow-up","2nd Email Follow-up","Escalate Local Office","Escalate to CBE","Escalate to Roxanne"))</f>
        <v/>
      </c>
    </row>
    <row r="591" spans="18:26">
      <c r="R591" s="15"/>
      <c r="S591" s="16"/>
      <c r="T591" s="17">
        <f>IF(AND(COUNTA($A591:$K591)=0,$L591=""),"",IF($S591="Paid","PAID",IF($S591="Closed","CLOSED",IF($W591="","",IF($W591=6,"ESCALATED TO ROXANNE",IF(TODAY()&gt;$Y591,"OVERDUE",IF($Y591&lt;=WORKDAY(TODAY(),1,Holidays),"DUE TOMORROW",IF($W591=4,"ESCALATED TO LOCAL OFFICE",IF($W591=5,"ESCALATED TO CBE",IF($X591=TODAY(),"EMAIL SENT","MONITORING"))))))))))</f>
        <v/>
      </c>
      <c r="U591" s="17">
        <f>IF($T591="",IF(AND(COUNTA($A591:$K591)&gt;0,$L591=""),"Awaiting Collection Email time stamp.",""),IF(OR($T591="PAID",$T591="CLOSED"),IF($T591="PAID","Account paid. Action completed.","Account closed. No further action required."),CHOOSE($W591,"Collection Email","1st Email Follow-up","2nd Email Follow-up","Escalation to Local Office","Escalation to CBE","Escalation to Roxanne")&amp;" sent "&amp;TEXT($X591,"dd-mmm")&amp;". "&amp;IF($W591=6,"Final escalation completed.",IF($T591="OVERDUE","Next: "&amp;$Z591&amp;" was due "&amp;TEXT($Y591,"dd-mmm")&amp;" - "&amp;(NETWORKDAYS($Y591,TODAY(),Holidays)-1)&amp;" business day(s) late. Send now.",IF($T591="DUE TOMORROW","Next: "&amp;$Z591&amp;IF($Y591&lt;=TODAY()," is due TODAY ("," is due next business day (")&amp;TEXT($Y591,"dd-mmm")&amp;").","Next: "&amp;$Z591&amp;" due "&amp;TEXT($Y591,"dd-mmm")&amp;" ("&amp;(NETWORKDAYS(TODAY(),$Y591,Holidays)-1)&amp;" business day(s) left).")))))</f>
        <v/>
      </c>
      <c r="V591" s="17">
        <f>IF($W591="","",CHOOSE($W591,"Collection Email","1st Follow-up","2nd Follow-up","Local Office","CBE","Roxanne")&amp;IF($W591=6," - Final"," - Day "&amp;MAX(0,NETWORKDAYS($X591,TODAY(),Holidays)-1)&amp;" of "&amp;CHOOSE($W591,3,3,2,2,3))&amp;" | Total Day "&amp;MAX(0,NETWORKDAYS($L591,TODAY(),Holidays)-1))</f>
        <v/>
      </c>
      <c r="W591" s="17">
        <f>IF($L591="","",COUNT($L591:$Q591))</f>
        <v/>
      </c>
      <c r="X591" s="18">
        <f>IF($W591="","",INT(INDEX($L591:$Q591,$W591)))</f>
        <v/>
      </c>
      <c r="Y591" s="18">
        <f>IF(OR($W591="",$W591=6),"",WORKDAY($X591,CHOOSE($W591,3,3,2,2,3),Holidays))</f>
        <v/>
      </c>
      <c r="Z591" s="17">
        <f>IF(OR($W591="",$W591=6),"",CHOOSE($W591,"1st Email Follow-up","2nd Email Follow-up","Escalate Local Office","Escalate to CBE","Escalate to Roxanne"))</f>
        <v/>
      </c>
    </row>
    <row r="592" spans="18:26">
      <c r="R592" s="15"/>
      <c r="S592" s="16"/>
      <c r="T592" s="17">
        <f>IF(AND(COUNTA($A592:$K592)=0,$L592=""),"",IF($S592="Paid","PAID",IF($S592="Closed","CLOSED",IF($W592="","",IF($W592=6,"ESCALATED TO ROXANNE",IF(TODAY()&gt;$Y592,"OVERDUE",IF($Y592&lt;=WORKDAY(TODAY(),1,Holidays),"DUE TOMORROW",IF($W592=4,"ESCALATED TO LOCAL OFFICE",IF($W592=5,"ESCALATED TO CBE",IF($X592=TODAY(),"EMAIL SENT","MONITORING"))))))))))</f>
        <v/>
      </c>
      <c r="U592" s="17">
        <f>IF($T592="",IF(AND(COUNTA($A592:$K592)&gt;0,$L592=""),"Awaiting Collection Email time stamp.",""),IF(OR($T592="PAID",$T592="CLOSED"),IF($T592="PAID","Account paid. Action completed.","Account closed. No further action required."),CHOOSE($W592,"Collection Email","1st Email Follow-up","2nd Email Follow-up","Escalation to Local Office","Escalation to CBE","Escalation to Roxanne")&amp;" sent "&amp;TEXT($X592,"dd-mmm")&amp;". "&amp;IF($W592=6,"Final escalation completed.",IF($T592="OVERDUE","Next: "&amp;$Z592&amp;" was due "&amp;TEXT($Y592,"dd-mmm")&amp;" - "&amp;(NETWORKDAYS($Y592,TODAY(),Holidays)-1)&amp;" business day(s) late. Send now.",IF($T592="DUE TOMORROW","Next: "&amp;$Z592&amp;IF($Y592&lt;=TODAY()," is due TODAY ("," is due next business day (")&amp;TEXT($Y592,"dd-mmm")&amp;").","Next: "&amp;$Z592&amp;" due "&amp;TEXT($Y592,"dd-mmm")&amp;" ("&amp;(NETWORKDAYS(TODAY(),$Y592,Holidays)-1)&amp;" business day(s) left).")))))</f>
        <v/>
      </c>
      <c r="V592" s="17">
        <f>IF($W592="","",CHOOSE($W592,"Collection Email","1st Follow-up","2nd Follow-up","Local Office","CBE","Roxanne")&amp;IF($W592=6," - Final"," - Day "&amp;MAX(0,NETWORKDAYS($X592,TODAY(),Holidays)-1)&amp;" of "&amp;CHOOSE($W592,3,3,2,2,3))&amp;" | Total Day "&amp;MAX(0,NETWORKDAYS($L592,TODAY(),Holidays)-1))</f>
        <v/>
      </c>
      <c r="W592" s="17">
        <f>IF($L592="","",COUNT($L592:$Q592))</f>
        <v/>
      </c>
      <c r="X592" s="18">
        <f>IF($W592="","",INT(INDEX($L592:$Q592,$W592)))</f>
        <v/>
      </c>
      <c r="Y592" s="18">
        <f>IF(OR($W592="",$W592=6),"",WORKDAY($X592,CHOOSE($W592,3,3,2,2,3),Holidays))</f>
        <v/>
      </c>
      <c r="Z592" s="17">
        <f>IF(OR($W592="",$W592=6),"",CHOOSE($W592,"1st Email Follow-up","2nd Email Follow-up","Escalate Local Office","Escalate to CBE","Escalate to Roxanne"))</f>
        <v/>
      </c>
    </row>
    <row r="593" spans="18:26">
      <c r="R593" s="15"/>
      <c r="S593" s="16"/>
      <c r="T593" s="17">
        <f>IF(AND(COUNTA($A593:$K593)=0,$L593=""),"",IF($S593="Paid","PAID",IF($S593="Closed","CLOSED",IF($W593="","",IF($W593=6,"ESCALATED TO ROXANNE",IF(TODAY()&gt;$Y593,"OVERDUE",IF($Y593&lt;=WORKDAY(TODAY(),1,Holidays),"DUE TOMORROW",IF($W593=4,"ESCALATED TO LOCAL OFFICE",IF($W593=5,"ESCALATED TO CBE",IF($X593=TODAY(),"EMAIL SENT","MONITORING"))))))))))</f>
        <v/>
      </c>
      <c r="U593" s="17">
        <f>IF($T593="",IF(AND(COUNTA($A593:$K593)&gt;0,$L593=""),"Awaiting Collection Email time stamp.",""),IF(OR($T593="PAID",$T593="CLOSED"),IF($T593="PAID","Account paid. Action completed.","Account closed. No further action required."),CHOOSE($W593,"Collection Email","1st Email Follow-up","2nd Email Follow-up","Escalation to Local Office","Escalation to CBE","Escalation to Roxanne")&amp;" sent "&amp;TEXT($X593,"dd-mmm")&amp;". "&amp;IF($W593=6,"Final escalation completed.",IF($T593="OVERDUE","Next: "&amp;$Z593&amp;" was due "&amp;TEXT($Y593,"dd-mmm")&amp;" - "&amp;(NETWORKDAYS($Y593,TODAY(),Holidays)-1)&amp;" business day(s) late. Send now.",IF($T593="DUE TOMORROW","Next: "&amp;$Z593&amp;IF($Y593&lt;=TODAY()," is due TODAY ("," is due next business day (")&amp;TEXT($Y593,"dd-mmm")&amp;").","Next: "&amp;$Z593&amp;" due "&amp;TEXT($Y593,"dd-mmm")&amp;" ("&amp;(NETWORKDAYS(TODAY(),$Y593,Holidays)-1)&amp;" business day(s) left).")))))</f>
        <v/>
      </c>
      <c r="V593" s="17">
        <f>IF($W593="","",CHOOSE($W593,"Collection Email","1st Follow-up","2nd Follow-up","Local Office","CBE","Roxanne")&amp;IF($W593=6," - Final"," - Day "&amp;MAX(0,NETWORKDAYS($X593,TODAY(),Holidays)-1)&amp;" of "&amp;CHOOSE($W593,3,3,2,2,3))&amp;" | Total Day "&amp;MAX(0,NETWORKDAYS($L593,TODAY(),Holidays)-1))</f>
        <v/>
      </c>
      <c r="W593" s="17">
        <f>IF($L593="","",COUNT($L593:$Q593))</f>
        <v/>
      </c>
      <c r="X593" s="18">
        <f>IF($W593="","",INT(INDEX($L593:$Q593,$W593)))</f>
        <v/>
      </c>
      <c r="Y593" s="18">
        <f>IF(OR($W593="",$W593=6),"",WORKDAY($X593,CHOOSE($W593,3,3,2,2,3),Holidays))</f>
        <v/>
      </c>
      <c r="Z593" s="17">
        <f>IF(OR($W593="",$W593=6),"",CHOOSE($W593,"1st Email Follow-up","2nd Email Follow-up","Escalate Local Office","Escalate to CBE","Escalate to Roxanne"))</f>
        <v/>
      </c>
    </row>
    <row r="594" spans="18:26">
      <c r="R594" s="15"/>
      <c r="S594" s="16"/>
      <c r="T594" s="17">
        <f>IF(AND(COUNTA($A594:$K594)=0,$L594=""),"",IF($S594="Paid","PAID",IF($S594="Closed","CLOSED",IF($W594="","",IF($W594=6,"ESCALATED TO ROXANNE",IF(TODAY()&gt;$Y594,"OVERDUE",IF($Y594&lt;=WORKDAY(TODAY(),1,Holidays),"DUE TOMORROW",IF($W594=4,"ESCALATED TO LOCAL OFFICE",IF($W594=5,"ESCALATED TO CBE",IF($X594=TODAY(),"EMAIL SENT","MONITORING"))))))))))</f>
        <v/>
      </c>
      <c r="U594" s="17">
        <f>IF($T594="",IF(AND(COUNTA($A594:$K594)&gt;0,$L594=""),"Awaiting Collection Email time stamp.",""),IF(OR($T594="PAID",$T594="CLOSED"),IF($T594="PAID","Account paid. Action completed.","Account closed. No further action required."),CHOOSE($W594,"Collection Email","1st Email Follow-up","2nd Email Follow-up","Escalation to Local Office","Escalation to CBE","Escalation to Roxanne")&amp;" sent "&amp;TEXT($X594,"dd-mmm")&amp;". "&amp;IF($W594=6,"Final escalation completed.",IF($T594="OVERDUE","Next: "&amp;$Z594&amp;" was due "&amp;TEXT($Y594,"dd-mmm")&amp;" - "&amp;(NETWORKDAYS($Y594,TODAY(),Holidays)-1)&amp;" business day(s) late. Send now.",IF($T594="DUE TOMORROW","Next: "&amp;$Z594&amp;IF($Y594&lt;=TODAY()," is due TODAY ("," is due next business day (")&amp;TEXT($Y594,"dd-mmm")&amp;").","Next: "&amp;$Z594&amp;" due "&amp;TEXT($Y594,"dd-mmm")&amp;" ("&amp;(NETWORKDAYS(TODAY(),$Y594,Holidays)-1)&amp;" business day(s) left).")))))</f>
        <v/>
      </c>
      <c r="V594" s="17">
        <f>IF($W594="","",CHOOSE($W594,"Collection Email","1st Follow-up","2nd Follow-up","Local Office","CBE","Roxanne")&amp;IF($W594=6," - Final"," - Day "&amp;MAX(0,NETWORKDAYS($X594,TODAY(),Holidays)-1)&amp;" of "&amp;CHOOSE($W594,3,3,2,2,3))&amp;" | Total Day "&amp;MAX(0,NETWORKDAYS($L594,TODAY(),Holidays)-1))</f>
        <v/>
      </c>
      <c r="W594" s="17">
        <f>IF($L594="","",COUNT($L594:$Q594))</f>
        <v/>
      </c>
      <c r="X594" s="18">
        <f>IF($W594="","",INT(INDEX($L594:$Q594,$W594)))</f>
        <v/>
      </c>
      <c r="Y594" s="18">
        <f>IF(OR($W594="",$W594=6),"",WORKDAY($X594,CHOOSE($W594,3,3,2,2,3),Holidays))</f>
        <v/>
      </c>
      <c r="Z594" s="17">
        <f>IF(OR($W594="",$W594=6),"",CHOOSE($W594,"1st Email Follow-up","2nd Email Follow-up","Escalate Local Office","Escalate to CBE","Escalate to Roxanne"))</f>
        <v/>
      </c>
    </row>
    <row r="595" spans="18:26">
      <c r="R595" s="15"/>
      <c r="S595" s="16"/>
      <c r="T595" s="17">
        <f>IF(AND(COUNTA($A595:$K595)=0,$L595=""),"",IF($S595="Paid","PAID",IF($S595="Closed","CLOSED",IF($W595="","",IF($W595=6,"ESCALATED TO ROXANNE",IF(TODAY()&gt;$Y595,"OVERDUE",IF($Y595&lt;=WORKDAY(TODAY(),1,Holidays),"DUE TOMORROW",IF($W595=4,"ESCALATED TO LOCAL OFFICE",IF($W595=5,"ESCALATED TO CBE",IF($X595=TODAY(),"EMAIL SENT","MONITORING"))))))))))</f>
        <v/>
      </c>
      <c r="U595" s="17">
        <f>IF($T595="",IF(AND(COUNTA($A595:$K595)&gt;0,$L595=""),"Awaiting Collection Email time stamp.",""),IF(OR($T595="PAID",$T595="CLOSED"),IF($T595="PAID","Account paid. Action completed.","Account closed. No further action required."),CHOOSE($W595,"Collection Email","1st Email Follow-up","2nd Email Follow-up","Escalation to Local Office","Escalation to CBE","Escalation to Roxanne")&amp;" sent "&amp;TEXT($X595,"dd-mmm")&amp;". "&amp;IF($W595=6,"Final escalation completed.",IF($T595="OVERDUE","Next: "&amp;$Z595&amp;" was due "&amp;TEXT($Y595,"dd-mmm")&amp;" - "&amp;(NETWORKDAYS($Y595,TODAY(),Holidays)-1)&amp;" business day(s) late. Send now.",IF($T595="DUE TOMORROW","Next: "&amp;$Z595&amp;IF($Y595&lt;=TODAY()," is due TODAY ("," is due next business day (")&amp;TEXT($Y595,"dd-mmm")&amp;").","Next: "&amp;$Z595&amp;" due "&amp;TEXT($Y595,"dd-mmm")&amp;" ("&amp;(NETWORKDAYS(TODAY(),$Y595,Holidays)-1)&amp;" business day(s) left).")))))</f>
        <v/>
      </c>
      <c r="V595" s="17">
        <f>IF($W595="","",CHOOSE($W595,"Collection Email","1st Follow-up","2nd Follow-up","Local Office","CBE","Roxanne")&amp;IF($W595=6," - Final"," - Day "&amp;MAX(0,NETWORKDAYS($X595,TODAY(),Holidays)-1)&amp;" of "&amp;CHOOSE($W595,3,3,2,2,3))&amp;" | Total Day "&amp;MAX(0,NETWORKDAYS($L595,TODAY(),Holidays)-1))</f>
        <v/>
      </c>
      <c r="W595" s="17">
        <f>IF($L595="","",COUNT($L595:$Q595))</f>
        <v/>
      </c>
      <c r="X595" s="18">
        <f>IF($W595="","",INT(INDEX($L595:$Q595,$W595)))</f>
        <v/>
      </c>
      <c r="Y595" s="18">
        <f>IF(OR($W595="",$W595=6),"",WORKDAY($X595,CHOOSE($W595,3,3,2,2,3),Holidays))</f>
        <v/>
      </c>
      <c r="Z595" s="17">
        <f>IF(OR($W595="",$W595=6),"",CHOOSE($W595,"1st Email Follow-up","2nd Email Follow-up","Escalate Local Office","Escalate to CBE","Escalate to Roxanne"))</f>
        <v/>
      </c>
    </row>
    <row r="596" spans="18:26">
      <c r="R596" s="15"/>
      <c r="S596" s="16"/>
      <c r="T596" s="17">
        <f>IF(AND(COUNTA($A596:$K596)=0,$L596=""),"",IF($S596="Paid","PAID",IF($S596="Closed","CLOSED",IF($W596="","",IF($W596=6,"ESCALATED TO ROXANNE",IF(TODAY()&gt;$Y596,"OVERDUE",IF($Y596&lt;=WORKDAY(TODAY(),1,Holidays),"DUE TOMORROW",IF($W596=4,"ESCALATED TO LOCAL OFFICE",IF($W596=5,"ESCALATED TO CBE",IF($X596=TODAY(),"EMAIL SENT","MONITORING"))))))))))</f>
        <v/>
      </c>
      <c r="U596" s="17">
        <f>IF($T596="",IF(AND(COUNTA($A596:$K596)&gt;0,$L596=""),"Awaiting Collection Email time stamp.",""),IF(OR($T596="PAID",$T596="CLOSED"),IF($T596="PAID","Account paid. Action completed.","Account closed. No further action required."),CHOOSE($W596,"Collection Email","1st Email Follow-up","2nd Email Follow-up","Escalation to Local Office","Escalation to CBE","Escalation to Roxanne")&amp;" sent "&amp;TEXT($X596,"dd-mmm")&amp;". "&amp;IF($W596=6,"Final escalation completed.",IF($T596="OVERDUE","Next: "&amp;$Z596&amp;" was due "&amp;TEXT($Y596,"dd-mmm")&amp;" - "&amp;(NETWORKDAYS($Y596,TODAY(),Holidays)-1)&amp;" business day(s) late. Send now.",IF($T596="DUE TOMORROW","Next: "&amp;$Z596&amp;IF($Y596&lt;=TODAY()," is due TODAY ("," is due next business day (")&amp;TEXT($Y596,"dd-mmm")&amp;").","Next: "&amp;$Z596&amp;" due "&amp;TEXT($Y596,"dd-mmm")&amp;" ("&amp;(NETWORKDAYS(TODAY(),$Y596,Holidays)-1)&amp;" business day(s) left).")))))</f>
        <v/>
      </c>
      <c r="V596" s="17">
        <f>IF($W596="","",CHOOSE($W596,"Collection Email","1st Follow-up","2nd Follow-up","Local Office","CBE","Roxanne")&amp;IF($W596=6," - Final"," - Day "&amp;MAX(0,NETWORKDAYS($X596,TODAY(),Holidays)-1)&amp;" of "&amp;CHOOSE($W596,3,3,2,2,3))&amp;" | Total Day "&amp;MAX(0,NETWORKDAYS($L596,TODAY(),Holidays)-1))</f>
        <v/>
      </c>
      <c r="W596" s="17">
        <f>IF($L596="","",COUNT($L596:$Q596))</f>
        <v/>
      </c>
      <c r="X596" s="18">
        <f>IF($W596="","",INT(INDEX($L596:$Q596,$W596)))</f>
        <v/>
      </c>
      <c r="Y596" s="18">
        <f>IF(OR($W596="",$W596=6),"",WORKDAY($X596,CHOOSE($W596,3,3,2,2,3),Holidays))</f>
        <v/>
      </c>
      <c r="Z596" s="17">
        <f>IF(OR($W596="",$W596=6),"",CHOOSE($W596,"1st Email Follow-up","2nd Email Follow-up","Escalate Local Office","Escalate to CBE","Escalate to Roxanne"))</f>
        <v/>
      </c>
    </row>
    <row r="597" spans="18:26">
      <c r="R597" s="15"/>
      <c r="S597" s="16"/>
      <c r="T597" s="17">
        <f>IF(AND(COUNTA($A597:$K597)=0,$L597=""),"",IF($S597="Paid","PAID",IF($S597="Closed","CLOSED",IF($W597="","",IF($W597=6,"ESCALATED TO ROXANNE",IF(TODAY()&gt;$Y597,"OVERDUE",IF($Y597&lt;=WORKDAY(TODAY(),1,Holidays),"DUE TOMORROW",IF($W597=4,"ESCALATED TO LOCAL OFFICE",IF($W597=5,"ESCALATED TO CBE",IF($X597=TODAY(),"EMAIL SENT","MONITORING"))))))))))</f>
        <v/>
      </c>
      <c r="U597" s="17">
        <f>IF($T597="",IF(AND(COUNTA($A597:$K597)&gt;0,$L597=""),"Awaiting Collection Email time stamp.",""),IF(OR($T597="PAID",$T597="CLOSED"),IF($T597="PAID","Account paid. Action completed.","Account closed. No further action required."),CHOOSE($W597,"Collection Email","1st Email Follow-up","2nd Email Follow-up","Escalation to Local Office","Escalation to CBE","Escalation to Roxanne")&amp;" sent "&amp;TEXT($X597,"dd-mmm")&amp;". "&amp;IF($W597=6,"Final escalation completed.",IF($T597="OVERDUE","Next: "&amp;$Z597&amp;" was due "&amp;TEXT($Y597,"dd-mmm")&amp;" - "&amp;(NETWORKDAYS($Y597,TODAY(),Holidays)-1)&amp;" business day(s) late. Send now.",IF($T597="DUE TOMORROW","Next: "&amp;$Z597&amp;IF($Y597&lt;=TODAY()," is due TODAY ("," is due next business day (")&amp;TEXT($Y597,"dd-mmm")&amp;").","Next: "&amp;$Z597&amp;" due "&amp;TEXT($Y597,"dd-mmm")&amp;" ("&amp;(NETWORKDAYS(TODAY(),$Y597,Holidays)-1)&amp;" business day(s) left).")))))</f>
        <v/>
      </c>
      <c r="V597" s="17">
        <f>IF($W597="","",CHOOSE($W597,"Collection Email","1st Follow-up","2nd Follow-up","Local Office","CBE","Roxanne")&amp;IF($W597=6," - Final"," - Day "&amp;MAX(0,NETWORKDAYS($X597,TODAY(),Holidays)-1)&amp;" of "&amp;CHOOSE($W597,3,3,2,2,3))&amp;" | Total Day "&amp;MAX(0,NETWORKDAYS($L597,TODAY(),Holidays)-1))</f>
        <v/>
      </c>
      <c r="W597" s="17">
        <f>IF($L597="","",COUNT($L597:$Q597))</f>
        <v/>
      </c>
      <c r="X597" s="18">
        <f>IF($W597="","",INT(INDEX($L597:$Q597,$W597)))</f>
        <v/>
      </c>
      <c r="Y597" s="18">
        <f>IF(OR($W597="",$W597=6),"",WORKDAY($X597,CHOOSE($W597,3,3,2,2,3),Holidays))</f>
        <v/>
      </c>
      <c r="Z597" s="17">
        <f>IF(OR($W597="",$W597=6),"",CHOOSE($W597,"1st Email Follow-up","2nd Email Follow-up","Escalate Local Office","Escalate to CBE","Escalate to Roxanne"))</f>
        <v/>
      </c>
    </row>
    <row r="598" spans="18:26">
      <c r="R598" s="15"/>
      <c r="S598" s="16"/>
      <c r="T598" s="17">
        <f>IF(AND(COUNTA($A598:$K598)=0,$L598=""),"",IF($S598="Paid","PAID",IF($S598="Closed","CLOSED",IF($W598="","",IF($W598=6,"ESCALATED TO ROXANNE",IF(TODAY()&gt;$Y598,"OVERDUE",IF($Y598&lt;=WORKDAY(TODAY(),1,Holidays),"DUE TOMORROW",IF($W598=4,"ESCALATED TO LOCAL OFFICE",IF($W598=5,"ESCALATED TO CBE",IF($X598=TODAY(),"EMAIL SENT","MONITORING"))))))))))</f>
        <v/>
      </c>
      <c r="U598" s="17">
        <f>IF($T598="",IF(AND(COUNTA($A598:$K598)&gt;0,$L598=""),"Awaiting Collection Email time stamp.",""),IF(OR($T598="PAID",$T598="CLOSED"),IF($T598="PAID","Account paid. Action completed.","Account closed. No further action required."),CHOOSE($W598,"Collection Email","1st Email Follow-up","2nd Email Follow-up","Escalation to Local Office","Escalation to CBE","Escalation to Roxanne")&amp;" sent "&amp;TEXT($X598,"dd-mmm")&amp;". "&amp;IF($W598=6,"Final escalation completed.",IF($T598="OVERDUE","Next: "&amp;$Z598&amp;" was due "&amp;TEXT($Y598,"dd-mmm")&amp;" - "&amp;(NETWORKDAYS($Y598,TODAY(),Holidays)-1)&amp;" business day(s) late. Send now.",IF($T598="DUE TOMORROW","Next: "&amp;$Z598&amp;IF($Y598&lt;=TODAY()," is due TODAY ("," is due next business day (")&amp;TEXT($Y598,"dd-mmm")&amp;").","Next: "&amp;$Z598&amp;" due "&amp;TEXT($Y598,"dd-mmm")&amp;" ("&amp;(NETWORKDAYS(TODAY(),$Y598,Holidays)-1)&amp;" business day(s) left).")))))</f>
        <v/>
      </c>
      <c r="V598" s="17">
        <f>IF($W598="","",CHOOSE($W598,"Collection Email","1st Follow-up","2nd Follow-up","Local Office","CBE","Roxanne")&amp;IF($W598=6," - Final"," - Day "&amp;MAX(0,NETWORKDAYS($X598,TODAY(),Holidays)-1)&amp;" of "&amp;CHOOSE($W598,3,3,2,2,3))&amp;" | Total Day "&amp;MAX(0,NETWORKDAYS($L598,TODAY(),Holidays)-1))</f>
        <v/>
      </c>
      <c r="W598" s="17">
        <f>IF($L598="","",COUNT($L598:$Q598))</f>
        <v/>
      </c>
      <c r="X598" s="18">
        <f>IF($W598="","",INT(INDEX($L598:$Q598,$W598)))</f>
        <v/>
      </c>
      <c r="Y598" s="18">
        <f>IF(OR($W598="",$W598=6),"",WORKDAY($X598,CHOOSE($W598,3,3,2,2,3),Holidays))</f>
        <v/>
      </c>
      <c r="Z598" s="17">
        <f>IF(OR($W598="",$W598=6),"",CHOOSE($W598,"1st Email Follow-up","2nd Email Follow-up","Escalate Local Office","Escalate to CBE","Escalate to Roxanne"))</f>
        <v/>
      </c>
    </row>
    <row r="599" spans="18:26">
      <c r="R599" s="15"/>
      <c r="S599" s="16"/>
      <c r="T599" s="17">
        <f>IF(AND(COUNTA($A599:$K599)=0,$L599=""),"",IF($S599="Paid","PAID",IF($S599="Closed","CLOSED",IF($W599="","",IF($W599=6,"ESCALATED TO ROXANNE",IF(TODAY()&gt;$Y599,"OVERDUE",IF($Y599&lt;=WORKDAY(TODAY(),1,Holidays),"DUE TOMORROW",IF($W599=4,"ESCALATED TO LOCAL OFFICE",IF($W599=5,"ESCALATED TO CBE",IF($X599=TODAY(),"EMAIL SENT","MONITORING"))))))))))</f>
        <v/>
      </c>
      <c r="U599" s="17">
        <f>IF($T599="",IF(AND(COUNTA($A599:$K599)&gt;0,$L599=""),"Awaiting Collection Email time stamp.",""),IF(OR($T599="PAID",$T599="CLOSED"),IF($T599="PAID","Account paid. Action completed.","Account closed. No further action required."),CHOOSE($W599,"Collection Email","1st Email Follow-up","2nd Email Follow-up","Escalation to Local Office","Escalation to CBE","Escalation to Roxanne")&amp;" sent "&amp;TEXT($X599,"dd-mmm")&amp;". "&amp;IF($W599=6,"Final escalation completed.",IF($T599="OVERDUE","Next: "&amp;$Z599&amp;" was due "&amp;TEXT($Y599,"dd-mmm")&amp;" - "&amp;(NETWORKDAYS($Y599,TODAY(),Holidays)-1)&amp;" business day(s) late. Send now.",IF($T599="DUE TOMORROW","Next: "&amp;$Z599&amp;IF($Y599&lt;=TODAY()," is due TODAY ("," is due next business day (")&amp;TEXT($Y599,"dd-mmm")&amp;").","Next: "&amp;$Z599&amp;" due "&amp;TEXT($Y599,"dd-mmm")&amp;" ("&amp;(NETWORKDAYS(TODAY(),$Y599,Holidays)-1)&amp;" business day(s) left).")))))</f>
        <v/>
      </c>
      <c r="V599" s="17">
        <f>IF($W599="","",CHOOSE($W599,"Collection Email","1st Follow-up","2nd Follow-up","Local Office","CBE","Roxanne")&amp;IF($W599=6," - Final"," - Day "&amp;MAX(0,NETWORKDAYS($X599,TODAY(),Holidays)-1)&amp;" of "&amp;CHOOSE($W599,3,3,2,2,3))&amp;" | Total Day "&amp;MAX(0,NETWORKDAYS($L599,TODAY(),Holidays)-1))</f>
        <v/>
      </c>
      <c r="W599" s="17">
        <f>IF($L599="","",COUNT($L599:$Q599))</f>
        <v/>
      </c>
      <c r="X599" s="18">
        <f>IF($W599="","",INT(INDEX($L599:$Q599,$W599)))</f>
        <v/>
      </c>
      <c r="Y599" s="18">
        <f>IF(OR($W599="",$W599=6),"",WORKDAY($X599,CHOOSE($W599,3,3,2,2,3),Holidays))</f>
        <v/>
      </c>
      <c r="Z599" s="17">
        <f>IF(OR($W599="",$W599=6),"",CHOOSE($W599,"1st Email Follow-up","2nd Email Follow-up","Escalate Local Office","Escalate to CBE","Escalate to Roxanne"))</f>
        <v/>
      </c>
    </row>
    <row r="600" spans="18:26">
      <c r="R600" s="15"/>
      <c r="S600" s="16"/>
      <c r="T600" s="17">
        <f>IF(AND(COUNTA($A600:$K600)=0,$L600=""),"",IF($S600="Paid","PAID",IF($S600="Closed","CLOSED",IF($W600="","",IF($W600=6,"ESCALATED TO ROXANNE",IF(TODAY()&gt;$Y600,"OVERDUE",IF($Y600&lt;=WORKDAY(TODAY(),1,Holidays),"DUE TOMORROW",IF($W600=4,"ESCALATED TO LOCAL OFFICE",IF($W600=5,"ESCALATED TO CBE",IF($X600=TODAY(),"EMAIL SENT","MONITORING"))))))))))</f>
        <v/>
      </c>
      <c r="U600" s="17">
        <f>IF($T600="",IF(AND(COUNTA($A600:$K600)&gt;0,$L600=""),"Awaiting Collection Email time stamp.",""),IF(OR($T600="PAID",$T600="CLOSED"),IF($T600="PAID","Account paid. Action completed.","Account closed. No further action required."),CHOOSE($W600,"Collection Email","1st Email Follow-up","2nd Email Follow-up","Escalation to Local Office","Escalation to CBE","Escalation to Roxanne")&amp;" sent "&amp;TEXT($X600,"dd-mmm")&amp;". "&amp;IF($W600=6,"Final escalation completed.",IF($T600="OVERDUE","Next: "&amp;$Z600&amp;" was due "&amp;TEXT($Y600,"dd-mmm")&amp;" - "&amp;(NETWORKDAYS($Y600,TODAY(),Holidays)-1)&amp;" business day(s) late. Send now.",IF($T600="DUE TOMORROW","Next: "&amp;$Z600&amp;IF($Y600&lt;=TODAY()," is due TODAY ("," is due next business day (")&amp;TEXT($Y600,"dd-mmm")&amp;").","Next: "&amp;$Z600&amp;" due "&amp;TEXT($Y600,"dd-mmm")&amp;" ("&amp;(NETWORKDAYS(TODAY(),$Y600,Holidays)-1)&amp;" business day(s) left).")))))</f>
        <v/>
      </c>
      <c r="V600" s="17">
        <f>IF($W600="","",CHOOSE($W600,"Collection Email","1st Follow-up","2nd Follow-up","Local Office","CBE","Roxanne")&amp;IF($W600=6," - Final"," - Day "&amp;MAX(0,NETWORKDAYS($X600,TODAY(),Holidays)-1)&amp;" of "&amp;CHOOSE($W600,3,3,2,2,3))&amp;" | Total Day "&amp;MAX(0,NETWORKDAYS($L600,TODAY(),Holidays)-1))</f>
        <v/>
      </c>
      <c r="W600" s="17">
        <f>IF($L600="","",COUNT($L600:$Q600))</f>
        <v/>
      </c>
      <c r="X600" s="18">
        <f>IF($W600="","",INT(INDEX($L600:$Q600,$W600)))</f>
        <v/>
      </c>
      <c r="Y600" s="18">
        <f>IF(OR($W600="",$W600=6),"",WORKDAY($X600,CHOOSE($W600,3,3,2,2,3),Holidays))</f>
        <v/>
      </c>
      <c r="Z600" s="17">
        <f>IF(OR($W600="",$W600=6),"",CHOOSE($W600,"1st Email Follow-up","2nd Email Follow-up","Escalate Local Office","Escalate to CBE","Escalate to Roxanne"))</f>
        <v/>
      </c>
    </row>
    <row r="601" spans="18:26">
      <c r="R601" s="15"/>
      <c r="S601" s="16"/>
      <c r="T601" s="17">
        <f>IF(AND(COUNTA($A601:$K601)=0,$L601=""),"",IF($S601="Paid","PAID",IF($S601="Closed","CLOSED",IF($W601="","",IF($W601=6,"ESCALATED TO ROXANNE",IF(TODAY()&gt;$Y601,"OVERDUE",IF($Y601&lt;=WORKDAY(TODAY(),1,Holidays),"DUE TOMORROW",IF($W601=4,"ESCALATED TO LOCAL OFFICE",IF($W601=5,"ESCALATED TO CBE",IF($X601=TODAY(),"EMAIL SENT","MONITORING"))))))))))</f>
        <v/>
      </c>
      <c r="U601" s="17">
        <f>IF($T601="",IF(AND(COUNTA($A601:$K601)&gt;0,$L601=""),"Awaiting Collection Email time stamp.",""),IF(OR($T601="PAID",$T601="CLOSED"),IF($T601="PAID","Account paid. Action completed.","Account closed. No further action required."),CHOOSE($W601,"Collection Email","1st Email Follow-up","2nd Email Follow-up","Escalation to Local Office","Escalation to CBE","Escalation to Roxanne")&amp;" sent "&amp;TEXT($X601,"dd-mmm")&amp;". "&amp;IF($W601=6,"Final escalation completed.",IF($T601="OVERDUE","Next: "&amp;$Z601&amp;" was due "&amp;TEXT($Y601,"dd-mmm")&amp;" - "&amp;(NETWORKDAYS($Y601,TODAY(),Holidays)-1)&amp;" business day(s) late. Send now.",IF($T601="DUE TOMORROW","Next: "&amp;$Z601&amp;IF($Y601&lt;=TODAY()," is due TODAY ("," is due next business day (")&amp;TEXT($Y601,"dd-mmm")&amp;").","Next: "&amp;$Z601&amp;" due "&amp;TEXT($Y601,"dd-mmm")&amp;" ("&amp;(NETWORKDAYS(TODAY(),$Y601,Holidays)-1)&amp;" business day(s) left).")))))</f>
        <v/>
      </c>
      <c r="V601" s="17">
        <f>IF($W601="","",CHOOSE($W601,"Collection Email","1st Follow-up","2nd Follow-up","Local Office","CBE","Roxanne")&amp;IF($W601=6," - Final"," - Day "&amp;MAX(0,NETWORKDAYS($X601,TODAY(),Holidays)-1)&amp;" of "&amp;CHOOSE($W601,3,3,2,2,3))&amp;" | Total Day "&amp;MAX(0,NETWORKDAYS($L601,TODAY(),Holidays)-1))</f>
        <v/>
      </c>
      <c r="W601" s="17">
        <f>IF($L601="","",COUNT($L601:$Q601))</f>
        <v/>
      </c>
      <c r="X601" s="18">
        <f>IF($W601="","",INT(INDEX($L601:$Q601,$W601)))</f>
        <v/>
      </c>
      <c r="Y601" s="18">
        <f>IF(OR($W601="",$W601=6),"",WORKDAY($X601,CHOOSE($W601,3,3,2,2,3),Holidays))</f>
        <v/>
      </c>
      <c r="Z601" s="17">
        <f>IF(OR($W601="",$W601=6),"",CHOOSE($W601,"1st Email Follow-up","2nd Email Follow-up","Escalate Local Office","Escalate to CBE","Escalate to Roxanne"))</f>
        <v/>
      </c>
    </row>
    <row r="602" spans="18:26">
      <c r="R602" s="15"/>
      <c r="S602" s="16"/>
      <c r="T602" s="17">
        <f>IF(AND(COUNTA($A602:$K602)=0,$L602=""),"",IF($S602="Paid","PAID",IF($S602="Closed","CLOSED",IF($W602="","",IF($W602=6,"ESCALATED TO ROXANNE",IF(TODAY()&gt;$Y602,"OVERDUE",IF($Y602&lt;=WORKDAY(TODAY(),1,Holidays),"DUE TOMORROW",IF($W602=4,"ESCALATED TO LOCAL OFFICE",IF($W602=5,"ESCALATED TO CBE",IF($X602=TODAY(),"EMAIL SENT","MONITORING"))))))))))</f>
        <v/>
      </c>
      <c r="U602" s="17">
        <f>IF($T602="",IF(AND(COUNTA($A602:$K602)&gt;0,$L602=""),"Awaiting Collection Email time stamp.",""),IF(OR($T602="PAID",$T602="CLOSED"),IF($T602="PAID","Account paid. Action completed.","Account closed. No further action required."),CHOOSE($W602,"Collection Email","1st Email Follow-up","2nd Email Follow-up","Escalation to Local Office","Escalation to CBE","Escalation to Roxanne")&amp;" sent "&amp;TEXT($X602,"dd-mmm")&amp;". "&amp;IF($W602=6,"Final escalation completed.",IF($T602="OVERDUE","Next: "&amp;$Z602&amp;" was due "&amp;TEXT($Y602,"dd-mmm")&amp;" - "&amp;(NETWORKDAYS($Y602,TODAY(),Holidays)-1)&amp;" business day(s) late. Send now.",IF($T602="DUE TOMORROW","Next: "&amp;$Z602&amp;IF($Y602&lt;=TODAY()," is due TODAY ("," is due next business day (")&amp;TEXT($Y602,"dd-mmm")&amp;").","Next: "&amp;$Z602&amp;" due "&amp;TEXT($Y602,"dd-mmm")&amp;" ("&amp;(NETWORKDAYS(TODAY(),$Y602,Holidays)-1)&amp;" business day(s) left).")))))</f>
        <v/>
      </c>
      <c r="V602" s="17">
        <f>IF($W602="","",CHOOSE($W602,"Collection Email","1st Follow-up","2nd Follow-up","Local Office","CBE","Roxanne")&amp;IF($W602=6," - Final"," - Day "&amp;MAX(0,NETWORKDAYS($X602,TODAY(),Holidays)-1)&amp;" of "&amp;CHOOSE($W602,3,3,2,2,3))&amp;" | Total Day "&amp;MAX(0,NETWORKDAYS($L602,TODAY(),Holidays)-1))</f>
        <v/>
      </c>
      <c r="W602" s="17">
        <f>IF($L602="","",COUNT($L602:$Q602))</f>
        <v/>
      </c>
      <c r="X602" s="18">
        <f>IF($W602="","",INT(INDEX($L602:$Q602,$W602)))</f>
        <v/>
      </c>
      <c r="Y602" s="18">
        <f>IF(OR($W602="",$W602=6),"",WORKDAY($X602,CHOOSE($W602,3,3,2,2,3),Holidays))</f>
        <v/>
      </c>
      <c r="Z602" s="17">
        <f>IF(OR($W602="",$W602=6),"",CHOOSE($W602,"1st Email Follow-up","2nd Email Follow-up","Escalate Local Office","Escalate to CBE","Escalate to Roxanne"))</f>
        <v/>
      </c>
    </row>
    <row r="603" spans="18:26">
      <c r="R603" s="15"/>
      <c r="S603" s="16"/>
      <c r="T603" s="17">
        <f>IF(AND(COUNTA($A603:$K603)=0,$L603=""),"",IF($S603="Paid","PAID",IF($S603="Closed","CLOSED",IF($W603="","",IF($W603=6,"ESCALATED TO ROXANNE",IF(TODAY()&gt;$Y603,"OVERDUE",IF($Y603&lt;=WORKDAY(TODAY(),1,Holidays),"DUE TOMORROW",IF($W603=4,"ESCALATED TO LOCAL OFFICE",IF($W603=5,"ESCALATED TO CBE",IF($X603=TODAY(),"EMAIL SENT","MONITORING"))))))))))</f>
        <v/>
      </c>
      <c r="U603" s="17">
        <f>IF($T603="",IF(AND(COUNTA($A603:$K603)&gt;0,$L603=""),"Awaiting Collection Email time stamp.",""),IF(OR($T603="PAID",$T603="CLOSED"),IF($T603="PAID","Account paid. Action completed.","Account closed. No further action required."),CHOOSE($W603,"Collection Email","1st Email Follow-up","2nd Email Follow-up","Escalation to Local Office","Escalation to CBE","Escalation to Roxanne")&amp;" sent "&amp;TEXT($X603,"dd-mmm")&amp;". "&amp;IF($W603=6,"Final escalation completed.",IF($T603="OVERDUE","Next: "&amp;$Z603&amp;" was due "&amp;TEXT($Y603,"dd-mmm")&amp;" - "&amp;(NETWORKDAYS($Y603,TODAY(),Holidays)-1)&amp;" business day(s) late. Send now.",IF($T603="DUE TOMORROW","Next: "&amp;$Z603&amp;IF($Y603&lt;=TODAY()," is due TODAY ("," is due next business day (")&amp;TEXT($Y603,"dd-mmm")&amp;").","Next: "&amp;$Z603&amp;" due "&amp;TEXT($Y603,"dd-mmm")&amp;" ("&amp;(NETWORKDAYS(TODAY(),$Y603,Holidays)-1)&amp;" business day(s) left).")))))</f>
        <v/>
      </c>
      <c r="V603" s="17">
        <f>IF($W603="","",CHOOSE($W603,"Collection Email","1st Follow-up","2nd Follow-up","Local Office","CBE","Roxanne")&amp;IF($W603=6," - Final"," - Day "&amp;MAX(0,NETWORKDAYS($X603,TODAY(),Holidays)-1)&amp;" of "&amp;CHOOSE($W603,3,3,2,2,3))&amp;" | Total Day "&amp;MAX(0,NETWORKDAYS($L603,TODAY(),Holidays)-1))</f>
        <v/>
      </c>
      <c r="W603" s="17">
        <f>IF($L603="","",COUNT($L603:$Q603))</f>
        <v/>
      </c>
      <c r="X603" s="18">
        <f>IF($W603="","",INT(INDEX($L603:$Q603,$W603)))</f>
        <v/>
      </c>
      <c r="Y603" s="18">
        <f>IF(OR($W603="",$W603=6),"",WORKDAY($X603,CHOOSE($W603,3,3,2,2,3),Holidays))</f>
        <v/>
      </c>
      <c r="Z603" s="17">
        <f>IF(OR($W603="",$W603=6),"",CHOOSE($W603,"1st Email Follow-up","2nd Email Follow-up","Escalate Local Office","Escalate to CBE","Escalate to Roxanne"))</f>
        <v/>
      </c>
    </row>
    <row r="604" spans="18:26">
      <c r="R604" s="15"/>
      <c r="S604" s="16"/>
      <c r="T604" s="17">
        <f>IF(AND(COUNTA($A604:$K604)=0,$L604=""),"",IF($S604="Paid","PAID",IF($S604="Closed","CLOSED",IF($W604="","",IF($W604=6,"ESCALATED TO ROXANNE",IF(TODAY()&gt;$Y604,"OVERDUE",IF($Y604&lt;=WORKDAY(TODAY(),1,Holidays),"DUE TOMORROW",IF($W604=4,"ESCALATED TO LOCAL OFFICE",IF($W604=5,"ESCALATED TO CBE",IF($X604=TODAY(),"EMAIL SENT","MONITORING"))))))))))</f>
        <v/>
      </c>
      <c r="U604" s="17">
        <f>IF($T604="",IF(AND(COUNTA($A604:$K604)&gt;0,$L604=""),"Awaiting Collection Email time stamp.",""),IF(OR($T604="PAID",$T604="CLOSED"),IF($T604="PAID","Account paid. Action completed.","Account closed. No further action required."),CHOOSE($W604,"Collection Email","1st Email Follow-up","2nd Email Follow-up","Escalation to Local Office","Escalation to CBE","Escalation to Roxanne")&amp;" sent "&amp;TEXT($X604,"dd-mmm")&amp;". "&amp;IF($W604=6,"Final escalation completed.",IF($T604="OVERDUE","Next: "&amp;$Z604&amp;" was due "&amp;TEXT($Y604,"dd-mmm")&amp;" - "&amp;(NETWORKDAYS($Y604,TODAY(),Holidays)-1)&amp;" business day(s) late. Send now.",IF($T604="DUE TOMORROW","Next: "&amp;$Z604&amp;IF($Y604&lt;=TODAY()," is due TODAY ("," is due next business day (")&amp;TEXT($Y604,"dd-mmm")&amp;").","Next: "&amp;$Z604&amp;" due "&amp;TEXT($Y604,"dd-mmm")&amp;" ("&amp;(NETWORKDAYS(TODAY(),$Y604,Holidays)-1)&amp;" business day(s) left).")))))</f>
        <v/>
      </c>
      <c r="V604" s="17">
        <f>IF($W604="","",CHOOSE($W604,"Collection Email","1st Follow-up","2nd Follow-up","Local Office","CBE","Roxanne")&amp;IF($W604=6," - Final"," - Day "&amp;MAX(0,NETWORKDAYS($X604,TODAY(),Holidays)-1)&amp;" of "&amp;CHOOSE($W604,3,3,2,2,3))&amp;" | Total Day "&amp;MAX(0,NETWORKDAYS($L604,TODAY(),Holidays)-1))</f>
        <v/>
      </c>
      <c r="W604" s="17">
        <f>IF($L604="","",COUNT($L604:$Q604))</f>
        <v/>
      </c>
      <c r="X604" s="18">
        <f>IF($W604="","",INT(INDEX($L604:$Q604,$W604)))</f>
        <v/>
      </c>
      <c r="Y604" s="18">
        <f>IF(OR($W604="",$W604=6),"",WORKDAY($X604,CHOOSE($W604,3,3,2,2,3),Holidays))</f>
        <v/>
      </c>
      <c r="Z604" s="17">
        <f>IF(OR($W604="",$W604=6),"",CHOOSE($W604,"1st Email Follow-up","2nd Email Follow-up","Escalate Local Office","Escalate to CBE","Escalate to Roxanne"))</f>
        <v/>
      </c>
    </row>
    <row r="605" spans="18:26">
      <c r="R605" s="15"/>
      <c r="S605" s="16"/>
      <c r="T605" s="17">
        <f>IF(AND(COUNTA($A605:$K605)=0,$L605=""),"",IF($S605="Paid","PAID",IF($S605="Closed","CLOSED",IF($W605="","",IF($W605=6,"ESCALATED TO ROXANNE",IF(TODAY()&gt;$Y605,"OVERDUE",IF($Y605&lt;=WORKDAY(TODAY(),1,Holidays),"DUE TOMORROW",IF($W605=4,"ESCALATED TO LOCAL OFFICE",IF($W605=5,"ESCALATED TO CBE",IF($X605=TODAY(),"EMAIL SENT","MONITORING"))))))))))</f>
        <v/>
      </c>
      <c r="U605" s="17">
        <f>IF($T605="",IF(AND(COUNTA($A605:$K605)&gt;0,$L605=""),"Awaiting Collection Email time stamp.",""),IF(OR($T605="PAID",$T605="CLOSED"),IF($T605="PAID","Account paid. Action completed.","Account closed. No further action required."),CHOOSE($W605,"Collection Email","1st Email Follow-up","2nd Email Follow-up","Escalation to Local Office","Escalation to CBE","Escalation to Roxanne")&amp;" sent "&amp;TEXT($X605,"dd-mmm")&amp;". "&amp;IF($W605=6,"Final escalation completed.",IF($T605="OVERDUE","Next: "&amp;$Z605&amp;" was due "&amp;TEXT($Y605,"dd-mmm")&amp;" - "&amp;(NETWORKDAYS($Y605,TODAY(),Holidays)-1)&amp;" business day(s) late. Send now.",IF($T605="DUE TOMORROW","Next: "&amp;$Z605&amp;IF($Y605&lt;=TODAY()," is due TODAY ("," is due next business day (")&amp;TEXT($Y605,"dd-mmm")&amp;").","Next: "&amp;$Z605&amp;" due "&amp;TEXT($Y605,"dd-mmm")&amp;" ("&amp;(NETWORKDAYS(TODAY(),$Y605,Holidays)-1)&amp;" business day(s) left).")))))</f>
        <v/>
      </c>
      <c r="V605" s="17">
        <f>IF($W605="","",CHOOSE($W605,"Collection Email","1st Follow-up","2nd Follow-up","Local Office","CBE","Roxanne")&amp;IF($W605=6," - Final"," - Day "&amp;MAX(0,NETWORKDAYS($X605,TODAY(),Holidays)-1)&amp;" of "&amp;CHOOSE($W605,3,3,2,2,3))&amp;" | Total Day "&amp;MAX(0,NETWORKDAYS($L605,TODAY(),Holidays)-1))</f>
        <v/>
      </c>
      <c r="W605" s="17">
        <f>IF($L605="","",COUNT($L605:$Q605))</f>
        <v/>
      </c>
      <c r="X605" s="18">
        <f>IF($W605="","",INT(INDEX($L605:$Q605,$W605)))</f>
        <v/>
      </c>
      <c r="Y605" s="18">
        <f>IF(OR($W605="",$W605=6),"",WORKDAY($X605,CHOOSE($W605,3,3,2,2,3),Holidays))</f>
        <v/>
      </c>
      <c r="Z605" s="17">
        <f>IF(OR($W605="",$W605=6),"",CHOOSE($W605,"1st Email Follow-up","2nd Email Follow-up","Escalate Local Office","Escalate to CBE","Escalate to Roxanne"))</f>
        <v/>
      </c>
    </row>
    <row r="606" spans="18:26">
      <c r="R606" s="15"/>
      <c r="S606" s="16"/>
      <c r="T606" s="17">
        <f>IF(AND(COUNTA($A606:$K606)=0,$L606=""),"",IF($S606="Paid","PAID",IF($S606="Closed","CLOSED",IF($W606="","",IF($W606=6,"ESCALATED TO ROXANNE",IF(TODAY()&gt;$Y606,"OVERDUE",IF($Y606&lt;=WORKDAY(TODAY(),1,Holidays),"DUE TOMORROW",IF($W606=4,"ESCALATED TO LOCAL OFFICE",IF($W606=5,"ESCALATED TO CBE",IF($X606=TODAY(),"EMAIL SENT","MONITORING"))))))))))</f>
        <v/>
      </c>
      <c r="U606" s="17">
        <f>IF($T606="",IF(AND(COUNTA($A606:$K606)&gt;0,$L606=""),"Awaiting Collection Email time stamp.",""),IF(OR($T606="PAID",$T606="CLOSED"),IF($T606="PAID","Account paid. Action completed.","Account closed. No further action required."),CHOOSE($W606,"Collection Email","1st Email Follow-up","2nd Email Follow-up","Escalation to Local Office","Escalation to CBE","Escalation to Roxanne")&amp;" sent "&amp;TEXT($X606,"dd-mmm")&amp;". "&amp;IF($W606=6,"Final escalation completed.",IF($T606="OVERDUE","Next: "&amp;$Z606&amp;" was due "&amp;TEXT($Y606,"dd-mmm")&amp;" - "&amp;(NETWORKDAYS($Y606,TODAY(),Holidays)-1)&amp;" business day(s) late. Send now.",IF($T606="DUE TOMORROW","Next: "&amp;$Z606&amp;IF($Y606&lt;=TODAY()," is due TODAY ("," is due next business day (")&amp;TEXT($Y606,"dd-mmm")&amp;").","Next: "&amp;$Z606&amp;" due "&amp;TEXT($Y606,"dd-mmm")&amp;" ("&amp;(NETWORKDAYS(TODAY(),$Y606,Holidays)-1)&amp;" business day(s) left).")))))</f>
        <v/>
      </c>
      <c r="V606" s="17">
        <f>IF($W606="","",CHOOSE($W606,"Collection Email","1st Follow-up","2nd Follow-up","Local Office","CBE","Roxanne")&amp;IF($W606=6," - Final"," - Day "&amp;MAX(0,NETWORKDAYS($X606,TODAY(),Holidays)-1)&amp;" of "&amp;CHOOSE($W606,3,3,2,2,3))&amp;" | Total Day "&amp;MAX(0,NETWORKDAYS($L606,TODAY(),Holidays)-1))</f>
        <v/>
      </c>
      <c r="W606" s="17">
        <f>IF($L606="","",COUNT($L606:$Q606))</f>
        <v/>
      </c>
      <c r="X606" s="18">
        <f>IF($W606="","",INT(INDEX($L606:$Q606,$W606)))</f>
        <v/>
      </c>
      <c r="Y606" s="18">
        <f>IF(OR($W606="",$W606=6),"",WORKDAY($X606,CHOOSE($W606,3,3,2,2,3),Holidays))</f>
        <v/>
      </c>
      <c r="Z606" s="17">
        <f>IF(OR($W606="",$W606=6),"",CHOOSE($W606,"1st Email Follow-up","2nd Email Follow-up","Escalate Local Office","Escalate to CBE","Escalate to Roxanne"))</f>
        <v/>
      </c>
    </row>
    <row r="607" spans="18:26">
      <c r="R607" s="15"/>
      <c r="S607" s="16"/>
      <c r="T607" s="17">
        <f>IF(AND(COUNTA($A607:$K607)=0,$L607=""),"",IF($S607="Paid","PAID",IF($S607="Closed","CLOSED",IF($W607="","",IF($W607=6,"ESCALATED TO ROXANNE",IF(TODAY()&gt;$Y607,"OVERDUE",IF($Y607&lt;=WORKDAY(TODAY(),1,Holidays),"DUE TOMORROW",IF($W607=4,"ESCALATED TO LOCAL OFFICE",IF($W607=5,"ESCALATED TO CBE",IF($X607=TODAY(),"EMAIL SENT","MONITORING"))))))))))</f>
        <v/>
      </c>
      <c r="U607" s="17">
        <f>IF($T607="",IF(AND(COUNTA($A607:$K607)&gt;0,$L607=""),"Awaiting Collection Email time stamp.",""),IF(OR($T607="PAID",$T607="CLOSED"),IF($T607="PAID","Account paid. Action completed.","Account closed. No further action required."),CHOOSE($W607,"Collection Email","1st Email Follow-up","2nd Email Follow-up","Escalation to Local Office","Escalation to CBE","Escalation to Roxanne")&amp;" sent "&amp;TEXT($X607,"dd-mmm")&amp;". "&amp;IF($W607=6,"Final escalation completed.",IF($T607="OVERDUE","Next: "&amp;$Z607&amp;" was due "&amp;TEXT($Y607,"dd-mmm")&amp;" - "&amp;(NETWORKDAYS($Y607,TODAY(),Holidays)-1)&amp;" business day(s) late. Send now.",IF($T607="DUE TOMORROW","Next: "&amp;$Z607&amp;IF($Y607&lt;=TODAY()," is due TODAY ("," is due next business day (")&amp;TEXT($Y607,"dd-mmm")&amp;").","Next: "&amp;$Z607&amp;" due "&amp;TEXT($Y607,"dd-mmm")&amp;" ("&amp;(NETWORKDAYS(TODAY(),$Y607,Holidays)-1)&amp;" business day(s) left).")))))</f>
        <v/>
      </c>
      <c r="V607" s="17">
        <f>IF($W607="","",CHOOSE($W607,"Collection Email","1st Follow-up","2nd Follow-up","Local Office","CBE","Roxanne")&amp;IF($W607=6," - Final"," - Day "&amp;MAX(0,NETWORKDAYS($X607,TODAY(),Holidays)-1)&amp;" of "&amp;CHOOSE($W607,3,3,2,2,3))&amp;" | Total Day "&amp;MAX(0,NETWORKDAYS($L607,TODAY(),Holidays)-1))</f>
        <v/>
      </c>
      <c r="W607" s="17">
        <f>IF($L607="","",COUNT($L607:$Q607))</f>
        <v/>
      </c>
      <c r="X607" s="18">
        <f>IF($W607="","",INT(INDEX($L607:$Q607,$W607)))</f>
        <v/>
      </c>
      <c r="Y607" s="18">
        <f>IF(OR($W607="",$W607=6),"",WORKDAY($X607,CHOOSE($W607,3,3,2,2,3),Holidays))</f>
        <v/>
      </c>
      <c r="Z607" s="17">
        <f>IF(OR($W607="",$W607=6),"",CHOOSE($W607,"1st Email Follow-up","2nd Email Follow-up","Escalate Local Office","Escalate to CBE","Escalate to Roxanne"))</f>
        <v/>
      </c>
    </row>
    <row r="608" spans="18:26">
      <c r="R608" s="15"/>
      <c r="S608" s="16"/>
      <c r="T608" s="17">
        <f>IF(AND(COUNTA($A608:$K608)=0,$L608=""),"",IF($S608="Paid","PAID",IF($S608="Closed","CLOSED",IF($W608="","",IF($W608=6,"ESCALATED TO ROXANNE",IF(TODAY()&gt;$Y608,"OVERDUE",IF($Y608&lt;=WORKDAY(TODAY(),1,Holidays),"DUE TOMORROW",IF($W608=4,"ESCALATED TO LOCAL OFFICE",IF($W608=5,"ESCALATED TO CBE",IF($X608=TODAY(),"EMAIL SENT","MONITORING"))))))))))</f>
        <v/>
      </c>
      <c r="U608" s="17">
        <f>IF($T608="",IF(AND(COUNTA($A608:$K608)&gt;0,$L608=""),"Awaiting Collection Email time stamp.",""),IF(OR($T608="PAID",$T608="CLOSED"),IF($T608="PAID","Account paid. Action completed.","Account closed. No further action required."),CHOOSE($W608,"Collection Email","1st Email Follow-up","2nd Email Follow-up","Escalation to Local Office","Escalation to CBE","Escalation to Roxanne")&amp;" sent "&amp;TEXT($X608,"dd-mmm")&amp;". "&amp;IF($W608=6,"Final escalation completed.",IF($T608="OVERDUE","Next: "&amp;$Z608&amp;" was due "&amp;TEXT($Y608,"dd-mmm")&amp;" - "&amp;(NETWORKDAYS($Y608,TODAY(),Holidays)-1)&amp;" business day(s) late. Send now.",IF($T608="DUE TOMORROW","Next: "&amp;$Z608&amp;IF($Y608&lt;=TODAY()," is due TODAY ("," is due next business day (")&amp;TEXT($Y608,"dd-mmm")&amp;").","Next: "&amp;$Z608&amp;" due "&amp;TEXT($Y608,"dd-mmm")&amp;" ("&amp;(NETWORKDAYS(TODAY(),$Y608,Holidays)-1)&amp;" business day(s) left).")))))</f>
        <v/>
      </c>
      <c r="V608" s="17">
        <f>IF($W608="","",CHOOSE($W608,"Collection Email","1st Follow-up","2nd Follow-up","Local Office","CBE","Roxanne")&amp;IF($W608=6," - Final"," - Day "&amp;MAX(0,NETWORKDAYS($X608,TODAY(),Holidays)-1)&amp;" of "&amp;CHOOSE($W608,3,3,2,2,3))&amp;" | Total Day "&amp;MAX(0,NETWORKDAYS($L608,TODAY(),Holidays)-1))</f>
        <v/>
      </c>
      <c r="W608" s="17">
        <f>IF($L608="","",COUNT($L608:$Q608))</f>
        <v/>
      </c>
      <c r="X608" s="18">
        <f>IF($W608="","",INT(INDEX($L608:$Q608,$W608)))</f>
        <v/>
      </c>
      <c r="Y608" s="18">
        <f>IF(OR($W608="",$W608=6),"",WORKDAY($X608,CHOOSE($W608,3,3,2,2,3),Holidays))</f>
        <v/>
      </c>
      <c r="Z608" s="17">
        <f>IF(OR($W608="",$W608=6),"",CHOOSE($W608,"1st Email Follow-up","2nd Email Follow-up","Escalate Local Office","Escalate to CBE","Escalate to Roxanne"))</f>
        <v/>
      </c>
    </row>
    <row r="609" spans="18:26">
      <c r="R609" s="15"/>
      <c r="S609" s="16"/>
      <c r="T609" s="17">
        <f>IF(AND(COUNTA($A609:$K609)=0,$L609=""),"",IF($S609="Paid","PAID",IF($S609="Closed","CLOSED",IF($W609="","",IF($W609=6,"ESCALATED TO ROXANNE",IF(TODAY()&gt;$Y609,"OVERDUE",IF($Y609&lt;=WORKDAY(TODAY(),1,Holidays),"DUE TOMORROW",IF($W609=4,"ESCALATED TO LOCAL OFFICE",IF($W609=5,"ESCALATED TO CBE",IF($X609=TODAY(),"EMAIL SENT","MONITORING"))))))))))</f>
        <v/>
      </c>
      <c r="U609" s="17">
        <f>IF($T609="",IF(AND(COUNTA($A609:$K609)&gt;0,$L609=""),"Awaiting Collection Email time stamp.",""),IF(OR($T609="PAID",$T609="CLOSED"),IF($T609="PAID","Account paid. Action completed.","Account closed. No further action required."),CHOOSE($W609,"Collection Email","1st Email Follow-up","2nd Email Follow-up","Escalation to Local Office","Escalation to CBE","Escalation to Roxanne")&amp;" sent "&amp;TEXT($X609,"dd-mmm")&amp;". "&amp;IF($W609=6,"Final escalation completed.",IF($T609="OVERDUE","Next: "&amp;$Z609&amp;" was due "&amp;TEXT($Y609,"dd-mmm")&amp;" - "&amp;(NETWORKDAYS($Y609,TODAY(),Holidays)-1)&amp;" business day(s) late. Send now.",IF($T609="DUE TOMORROW","Next: "&amp;$Z609&amp;IF($Y609&lt;=TODAY()," is due TODAY ("," is due next business day (")&amp;TEXT($Y609,"dd-mmm")&amp;").","Next: "&amp;$Z609&amp;" due "&amp;TEXT($Y609,"dd-mmm")&amp;" ("&amp;(NETWORKDAYS(TODAY(),$Y609,Holidays)-1)&amp;" business day(s) left).")))))</f>
        <v/>
      </c>
      <c r="V609" s="17">
        <f>IF($W609="","",CHOOSE($W609,"Collection Email","1st Follow-up","2nd Follow-up","Local Office","CBE","Roxanne")&amp;IF($W609=6," - Final"," - Day "&amp;MAX(0,NETWORKDAYS($X609,TODAY(),Holidays)-1)&amp;" of "&amp;CHOOSE($W609,3,3,2,2,3))&amp;" | Total Day "&amp;MAX(0,NETWORKDAYS($L609,TODAY(),Holidays)-1))</f>
        <v/>
      </c>
      <c r="W609" s="17">
        <f>IF($L609="","",COUNT($L609:$Q609))</f>
        <v/>
      </c>
      <c r="X609" s="18">
        <f>IF($W609="","",INT(INDEX($L609:$Q609,$W609)))</f>
        <v/>
      </c>
      <c r="Y609" s="18">
        <f>IF(OR($W609="",$W609=6),"",WORKDAY($X609,CHOOSE($W609,3,3,2,2,3),Holidays))</f>
        <v/>
      </c>
      <c r="Z609" s="17">
        <f>IF(OR($W609="",$W609=6),"",CHOOSE($W609,"1st Email Follow-up","2nd Email Follow-up","Escalate Local Office","Escalate to CBE","Escalate to Roxanne"))</f>
        <v/>
      </c>
    </row>
    <row r="610" spans="18:26">
      <c r="R610" s="15"/>
      <c r="S610" s="16"/>
      <c r="T610" s="17">
        <f>IF(AND(COUNTA($A610:$K610)=0,$L610=""),"",IF($S610="Paid","PAID",IF($S610="Closed","CLOSED",IF($W610="","",IF($W610=6,"ESCALATED TO ROXANNE",IF(TODAY()&gt;$Y610,"OVERDUE",IF($Y610&lt;=WORKDAY(TODAY(),1,Holidays),"DUE TOMORROW",IF($W610=4,"ESCALATED TO LOCAL OFFICE",IF($W610=5,"ESCALATED TO CBE",IF($X610=TODAY(),"EMAIL SENT","MONITORING"))))))))))</f>
        <v/>
      </c>
      <c r="U610" s="17">
        <f>IF($T610="",IF(AND(COUNTA($A610:$K610)&gt;0,$L610=""),"Awaiting Collection Email time stamp.",""),IF(OR($T610="PAID",$T610="CLOSED"),IF($T610="PAID","Account paid. Action completed.","Account closed. No further action required."),CHOOSE($W610,"Collection Email","1st Email Follow-up","2nd Email Follow-up","Escalation to Local Office","Escalation to CBE","Escalation to Roxanne")&amp;" sent "&amp;TEXT($X610,"dd-mmm")&amp;". "&amp;IF($W610=6,"Final escalation completed.",IF($T610="OVERDUE","Next: "&amp;$Z610&amp;" was due "&amp;TEXT($Y610,"dd-mmm")&amp;" - "&amp;(NETWORKDAYS($Y610,TODAY(),Holidays)-1)&amp;" business day(s) late. Send now.",IF($T610="DUE TOMORROW","Next: "&amp;$Z610&amp;IF($Y610&lt;=TODAY()," is due TODAY ("," is due next business day (")&amp;TEXT($Y610,"dd-mmm")&amp;").","Next: "&amp;$Z610&amp;" due "&amp;TEXT($Y610,"dd-mmm")&amp;" ("&amp;(NETWORKDAYS(TODAY(),$Y610,Holidays)-1)&amp;" business day(s) left).")))))</f>
        <v/>
      </c>
      <c r="V610" s="17">
        <f>IF($W610="","",CHOOSE($W610,"Collection Email","1st Follow-up","2nd Follow-up","Local Office","CBE","Roxanne")&amp;IF($W610=6," - Final"," - Day "&amp;MAX(0,NETWORKDAYS($X610,TODAY(),Holidays)-1)&amp;" of "&amp;CHOOSE($W610,3,3,2,2,3))&amp;" | Total Day "&amp;MAX(0,NETWORKDAYS($L610,TODAY(),Holidays)-1))</f>
        <v/>
      </c>
      <c r="W610" s="17">
        <f>IF($L610="","",COUNT($L610:$Q610))</f>
        <v/>
      </c>
      <c r="X610" s="18">
        <f>IF($W610="","",INT(INDEX($L610:$Q610,$W610)))</f>
        <v/>
      </c>
      <c r="Y610" s="18">
        <f>IF(OR($W610="",$W610=6),"",WORKDAY($X610,CHOOSE($W610,3,3,2,2,3),Holidays))</f>
        <v/>
      </c>
      <c r="Z610" s="17">
        <f>IF(OR($W610="",$W610=6),"",CHOOSE($W610,"1st Email Follow-up","2nd Email Follow-up","Escalate Local Office","Escalate to CBE","Escalate to Roxanne"))</f>
        <v/>
      </c>
    </row>
    <row r="611" spans="18:26">
      <c r="R611" s="15"/>
      <c r="S611" s="16"/>
      <c r="T611" s="17">
        <f>IF(AND(COUNTA($A611:$K611)=0,$L611=""),"",IF($S611="Paid","PAID",IF($S611="Closed","CLOSED",IF($W611="","",IF($W611=6,"ESCALATED TO ROXANNE",IF(TODAY()&gt;$Y611,"OVERDUE",IF($Y611&lt;=WORKDAY(TODAY(),1,Holidays),"DUE TOMORROW",IF($W611=4,"ESCALATED TO LOCAL OFFICE",IF($W611=5,"ESCALATED TO CBE",IF($X611=TODAY(),"EMAIL SENT","MONITORING"))))))))))</f>
        <v/>
      </c>
      <c r="U611" s="17">
        <f>IF($T611="",IF(AND(COUNTA($A611:$K611)&gt;0,$L611=""),"Awaiting Collection Email time stamp.",""),IF(OR($T611="PAID",$T611="CLOSED"),IF($T611="PAID","Account paid. Action completed.","Account closed. No further action required."),CHOOSE($W611,"Collection Email","1st Email Follow-up","2nd Email Follow-up","Escalation to Local Office","Escalation to CBE","Escalation to Roxanne")&amp;" sent "&amp;TEXT($X611,"dd-mmm")&amp;". "&amp;IF($W611=6,"Final escalation completed.",IF($T611="OVERDUE","Next: "&amp;$Z611&amp;" was due "&amp;TEXT($Y611,"dd-mmm")&amp;" - "&amp;(NETWORKDAYS($Y611,TODAY(),Holidays)-1)&amp;" business day(s) late. Send now.",IF($T611="DUE TOMORROW","Next: "&amp;$Z611&amp;IF($Y611&lt;=TODAY()," is due TODAY ("," is due next business day (")&amp;TEXT($Y611,"dd-mmm")&amp;").","Next: "&amp;$Z611&amp;" due "&amp;TEXT($Y611,"dd-mmm")&amp;" ("&amp;(NETWORKDAYS(TODAY(),$Y611,Holidays)-1)&amp;" business day(s) left).")))))</f>
        <v/>
      </c>
      <c r="V611" s="17">
        <f>IF($W611="","",CHOOSE($W611,"Collection Email","1st Follow-up","2nd Follow-up","Local Office","CBE","Roxanne")&amp;IF($W611=6," - Final"," - Day "&amp;MAX(0,NETWORKDAYS($X611,TODAY(),Holidays)-1)&amp;" of "&amp;CHOOSE($W611,3,3,2,2,3))&amp;" | Total Day "&amp;MAX(0,NETWORKDAYS($L611,TODAY(),Holidays)-1))</f>
        <v/>
      </c>
      <c r="W611" s="17">
        <f>IF($L611="","",COUNT($L611:$Q611))</f>
        <v/>
      </c>
      <c r="X611" s="18">
        <f>IF($W611="","",INT(INDEX($L611:$Q611,$W611)))</f>
        <v/>
      </c>
      <c r="Y611" s="18">
        <f>IF(OR($W611="",$W611=6),"",WORKDAY($X611,CHOOSE($W611,3,3,2,2,3),Holidays))</f>
        <v/>
      </c>
      <c r="Z611" s="17">
        <f>IF(OR($W611="",$W611=6),"",CHOOSE($W611,"1st Email Follow-up","2nd Email Follow-up","Escalate Local Office","Escalate to CBE","Escalate to Roxanne"))</f>
        <v/>
      </c>
    </row>
    <row r="612" spans="18:26">
      <c r="R612" s="15"/>
      <c r="S612" s="16"/>
      <c r="T612" s="17">
        <f>IF(AND(COUNTA($A612:$K612)=0,$L612=""),"",IF($S612="Paid","PAID",IF($S612="Closed","CLOSED",IF($W612="","",IF($W612=6,"ESCALATED TO ROXANNE",IF(TODAY()&gt;$Y612,"OVERDUE",IF($Y612&lt;=WORKDAY(TODAY(),1,Holidays),"DUE TOMORROW",IF($W612=4,"ESCALATED TO LOCAL OFFICE",IF($W612=5,"ESCALATED TO CBE",IF($X612=TODAY(),"EMAIL SENT","MONITORING"))))))))))</f>
        <v/>
      </c>
      <c r="U612" s="17">
        <f>IF($T612="",IF(AND(COUNTA($A612:$K612)&gt;0,$L612=""),"Awaiting Collection Email time stamp.",""),IF(OR($T612="PAID",$T612="CLOSED"),IF($T612="PAID","Account paid. Action completed.","Account closed. No further action required."),CHOOSE($W612,"Collection Email","1st Email Follow-up","2nd Email Follow-up","Escalation to Local Office","Escalation to CBE","Escalation to Roxanne")&amp;" sent "&amp;TEXT($X612,"dd-mmm")&amp;". "&amp;IF($W612=6,"Final escalation completed.",IF($T612="OVERDUE","Next: "&amp;$Z612&amp;" was due "&amp;TEXT($Y612,"dd-mmm")&amp;" - "&amp;(NETWORKDAYS($Y612,TODAY(),Holidays)-1)&amp;" business day(s) late. Send now.",IF($T612="DUE TOMORROW","Next: "&amp;$Z612&amp;IF($Y612&lt;=TODAY()," is due TODAY ("," is due next business day (")&amp;TEXT($Y612,"dd-mmm")&amp;").","Next: "&amp;$Z612&amp;" due "&amp;TEXT($Y612,"dd-mmm")&amp;" ("&amp;(NETWORKDAYS(TODAY(),$Y612,Holidays)-1)&amp;" business day(s) left).")))))</f>
        <v/>
      </c>
      <c r="V612" s="17">
        <f>IF($W612="","",CHOOSE($W612,"Collection Email","1st Follow-up","2nd Follow-up","Local Office","CBE","Roxanne")&amp;IF($W612=6," - Final"," - Day "&amp;MAX(0,NETWORKDAYS($X612,TODAY(),Holidays)-1)&amp;" of "&amp;CHOOSE($W612,3,3,2,2,3))&amp;" | Total Day "&amp;MAX(0,NETWORKDAYS($L612,TODAY(),Holidays)-1))</f>
        <v/>
      </c>
      <c r="W612" s="17">
        <f>IF($L612="","",COUNT($L612:$Q612))</f>
        <v/>
      </c>
      <c r="X612" s="18">
        <f>IF($W612="","",INT(INDEX($L612:$Q612,$W612)))</f>
        <v/>
      </c>
      <c r="Y612" s="18">
        <f>IF(OR($W612="",$W612=6),"",WORKDAY($X612,CHOOSE($W612,3,3,2,2,3),Holidays))</f>
        <v/>
      </c>
      <c r="Z612" s="17">
        <f>IF(OR($W612="",$W612=6),"",CHOOSE($W612,"1st Email Follow-up","2nd Email Follow-up","Escalate Local Office","Escalate to CBE","Escalate to Roxanne"))</f>
        <v/>
      </c>
    </row>
    <row r="613" spans="18:26">
      <c r="R613" s="15"/>
      <c r="S613" s="16"/>
      <c r="T613" s="17">
        <f>IF(AND(COUNTA($A613:$K613)=0,$L613=""),"",IF($S613="Paid","PAID",IF($S613="Closed","CLOSED",IF($W613="","",IF($W613=6,"ESCALATED TO ROXANNE",IF(TODAY()&gt;$Y613,"OVERDUE",IF($Y613&lt;=WORKDAY(TODAY(),1,Holidays),"DUE TOMORROW",IF($W613=4,"ESCALATED TO LOCAL OFFICE",IF($W613=5,"ESCALATED TO CBE",IF($X613=TODAY(),"EMAIL SENT","MONITORING"))))))))))</f>
        <v/>
      </c>
      <c r="U613" s="17">
        <f>IF($T613="",IF(AND(COUNTA($A613:$K613)&gt;0,$L613=""),"Awaiting Collection Email time stamp.",""),IF(OR($T613="PAID",$T613="CLOSED"),IF($T613="PAID","Account paid. Action completed.","Account closed. No further action required."),CHOOSE($W613,"Collection Email","1st Email Follow-up","2nd Email Follow-up","Escalation to Local Office","Escalation to CBE","Escalation to Roxanne")&amp;" sent "&amp;TEXT($X613,"dd-mmm")&amp;". "&amp;IF($W613=6,"Final escalation completed.",IF($T613="OVERDUE","Next: "&amp;$Z613&amp;" was due "&amp;TEXT($Y613,"dd-mmm")&amp;" - "&amp;(NETWORKDAYS($Y613,TODAY(),Holidays)-1)&amp;" business day(s) late. Send now.",IF($T613="DUE TOMORROW","Next: "&amp;$Z613&amp;IF($Y613&lt;=TODAY()," is due TODAY ("," is due next business day (")&amp;TEXT($Y613,"dd-mmm")&amp;").","Next: "&amp;$Z613&amp;" due "&amp;TEXT($Y613,"dd-mmm")&amp;" ("&amp;(NETWORKDAYS(TODAY(),$Y613,Holidays)-1)&amp;" business day(s) left).")))))</f>
        <v/>
      </c>
      <c r="V613" s="17">
        <f>IF($W613="","",CHOOSE($W613,"Collection Email","1st Follow-up","2nd Follow-up","Local Office","CBE","Roxanne")&amp;IF($W613=6," - Final"," - Day "&amp;MAX(0,NETWORKDAYS($X613,TODAY(),Holidays)-1)&amp;" of "&amp;CHOOSE($W613,3,3,2,2,3))&amp;" | Total Day "&amp;MAX(0,NETWORKDAYS($L613,TODAY(),Holidays)-1))</f>
        <v/>
      </c>
      <c r="W613" s="17">
        <f>IF($L613="","",COUNT($L613:$Q613))</f>
        <v/>
      </c>
      <c r="X613" s="18">
        <f>IF($W613="","",INT(INDEX($L613:$Q613,$W613)))</f>
        <v/>
      </c>
      <c r="Y613" s="18">
        <f>IF(OR($W613="",$W613=6),"",WORKDAY($X613,CHOOSE($W613,3,3,2,2,3),Holidays))</f>
        <v/>
      </c>
      <c r="Z613" s="17">
        <f>IF(OR($W613="",$W613=6),"",CHOOSE($W613,"1st Email Follow-up","2nd Email Follow-up","Escalate Local Office","Escalate to CBE","Escalate to Roxanne"))</f>
        <v/>
      </c>
    </row>
    <row r="614" spans="18:26">
      <c r="R614" s="15"/>
      <c r="S614" s="16"/>
      <c r="T614" s="17">
        <f>IF(AND(COUNTA($A614:$K614)=0,$L614=""),"",IF($S614="Paid","PAID",IF($S614="Closed","CLOSED",IF($W614="","",IF($W614=6,"ESCALATED TO ROXANNE",IF(TODAY()&gt;$Y614,"OVERDUE",IF($Y614&lt;=WORKDAY(TODAY(),1,Holidays),"DUE TOMORROW",IF($W614=4,"ESCALATED TO LOCAL OFFICE",IF($W614=5,"ESCALATED TO CBE",IF($X614=TODAY(),"EMAIL SENT","MONITORING"))))))))))</f>
        <v/>
      </c>
      <c r="U614" s="17">
        <f>IF($T614="",IF(AND(COUNTA($A614:$K614)&gt;0,$L614=""),"Awaiting Collection Email time stamp.",""),IF(OR($T614="PAID",$T614="CLOSED"),IF($T614="PAID","Account paid. Action completed.","Account closed. No further action required."),CHOOSE($W614,"Collection Email","1st Email Follow-up","2nd Email Follow-up","Escalation to Local Office","Escalation to CBE","Escalation to Roxanne")&amp;" sent "&amp;TEXT($X614,"dd-mmm")&amp;". "&amp;IF($W614=6,"Final escalation completed.",IF($T614="OVERDUE","Next: "&amp;$Z614&amp;" was due "&amp;TEXT($Y614,"dd-mmm")&amp;" - "&amp;(NETWORKDAYS($Y614,TODAY(),Holidays)-1)&amp;" business day(s) late. Send now.",IF($T614="DUE TOMORROW","Next: "&amp;$Z614&amp;IF($Y614&lt;=TODAY()," is due TODAY ("," is due next business day (")&amp;TEXT($Y614,"dd-mmm")&amp;").","Next: "&amp;$Z614&amp;" due "&amp;TEXT($Y614,"dd-mmm")&amp;" ("&amp;(NETWORKDAYS(TODAY(),$Y614,Holidays)-1)&amp;" business day(s) left).")))))</f>
        <v/>
      </c>
      <c r="V614" s="17">
        <f>IF($W614="","",CHOOSE($W614,"Collection Email","1st Follow-up","2nd Follow-up","Local Office","CBE","Roxanne")&amp;IF($W614=6," - Final"," - Day "&amp;MAX(0,NETWORKDAYS($X614,TODAY(),Holidays)-1)&amp;" of "&amp;CHOOSE($W614,3,3,2,2,3))&amp;" | Total Day "&amp;MAX(0,NETWORKDAYS($L614,TODAY(),Holidays)-1))</f>
        <v/>
      </c>
      <c r="W614" s="17">
        <f>IF($L614="","",COUNT($L614:$Q614))</f>
        <v/>
      </c>
      <c r="X614" s="18">
        <f>IF($W614="","",INT(INDEX($L614:$Q614,$W614)))</f>
        <v/>
      </c>
      <c r="Y614" s="18">
        <f>IF(OR($W614="",$W614=6),"",WORKDAY($X614,CHOOSE($W614,3,3,2,2,3),Holidays))</f>
        <v/>
      </c>
      <c r="Z614" s="17">
        <f>IF(OR($W614="",$W614=6),"",CHOOSE($W614,"1st Email Follow-up","2nd Email Follow-up","Escalate Local Office","Escalate to CBE","Escalate to Roxanne"))</f>
        <v/>
      </c>
    </row>
    <row r="615" spans="18:26">
      <c r="R615" s="15"/>
      <c r="S615" s="16"/>
      <c r="T615" s="17">
        <f>IF(AND(COUNTA($A615:$K615)=0,$L615=""),"",IF($S615="Paid","PAID",IF($S615="Closed","CLOSED",IF($W615="","",IF($W615=6,"ESCALATED TO ROXANNE",IF(TODAY()&gt;$Y615,"OVERDUE",IF($Y615&lt;=WORKDAY(TODAY(),1,Holidays),"DUE TOMORROW",IF($W615=4,"ESCALATED TO LOCAL OFFICE",IF($W615=5,"ESCALATED TO CBE",IF($X615=TODAY(),"EMAIL SENT","MONITORING"))))))))))</f>
        <v/>
      </c>
      <c r="U615" s="17">
        <f>IF($T615="",IF(AND(COUNTA($A615:$K615)&gt;0,$L615=""),"Awaiting Collection Email time stamp.",""),IF(OR($T615="PAID",$T615="CLOSED"),IF($T615="PAID","Account paid. Action completed.","Account closed. No further action required."),CHOOSE($W615,"Collection Email","1st Email Follow-up","2nd Email Follow-up","Escalation to Local Office","Escalation to CBE","Escalation to Roxanne")&amp;" sent "&amp;TEXT($X615,"dd-mmm")&amp;". "&amp;IF($W615=6,"Final escalation completed.",IF($T615="OVERDUE","Next: "&amp;$Z615&amp;" was due "&amp;TEXT($Y615,"dd-mmm")&amp;" - "&amp;(NETWORKDAYS($Y615,TODAY(),Holidays)-1)&amp;" business day(s) late. Send now.",IF($T615="DUE TOMORROW","Next: "&amp;$Z615&amp;IF($Y615&lt;=TODAY()," is due TODAY ("," is due next business day (")&amp;TEXT($Y615,"dd-mmm")&amp;").","Next: "&amp;$Z615&amp;" due "&amp;TEXT($Y615,"dd-mmm")&amp;" ("&amp;(NETWORKDAYS(TODAY(),$Y615,Holidays)-1)&amp;" business day(s) left).")))))</f>
        <v/>
      </c>
      <c r="V615" s="17">
        <f>IF($W615="","",CHOOSE($W615,"Collection Email","1st Follow-up","2nd Follow-up","Local Office","CBE","Roxanne")&amp;IF($W615=6," - Final"," - Day "&amp;MAX(0,NETWORKDAYS($X615,TODAY(),Holidays)-1)&amp;" of "&amp;CHOOSE($W615,3,3,2,2,3))&amp;" | Total Day "&amp;MAX(0,NETWORKDAYS($L615,TODAY(),Holidays)-1))</f>
        <v/>
      </c>
      <c r="W615" s="17">
        <f>IF($L615="","",COUNT($L615:$Q615))</f>
        <v/>
      </c>
      <c r="X615" s="18">
        <f>IF($W615="","",INT(INDEX($L615:$Q615,$W615)))</f>
        <v/>
      </c>
      <c r="Y615" s="18">
        <f>IF(OR($W615="",$W615=6),"",WORKDAY($X615,CHOOSE($W615,3,3,2,2,3),Holidays))</f>
        <v/>
      </c>
      <c r="Z615" s="17">
        <f>IF(OR($W615="",$W615=6),"",CHOOSE($W615,"1st Email Follow-up","2nd Email Follow-up","Escalate Local Office","Escalate to CBE","Escalate to Roxanne"))</f>
        <v/>
      </c>
    </row>
    <row r="616" spans="18:26">
      <c r="R616" s="15"/>
      <c r="S616" s="16"/>
      <c r="T616" s="17">
        <f>IF(AND(COUNTA($A616:$K616)=0,$L616=""),"",IF($S616="Paid","PAID",IF($S616="Closed","CLOSED",IF($W616="","",IF($W616=6,"ESCALATED TO ROXANNE",IF(TODAY()&gt;$Y616,"OVERDUE",IF($Y616&lt;=WORKDAY(TODAY(),1,Holidays),"DUE TOMORROW",IF($W616=4,"ESCALATED TO LOCAL OFFICE",IF($W616=5,"ESCALATED TO CBE",IF($X616=TODAY(),"EMAIL SENT","MONITORING"))))))))))</f>
        <v/>
      </c>
      <c r="U616" s="17">
        <f>IF($T616="",IF(AND(COUNTA($A616:$K616)&gt;0,$L616=""),"Awaiting Collection Email time stamp.",""),IF(OR($T616="PAID",$T616="CLOSED"),IF($T616="PAID","Account paid. Action completed.","Account closed. No further action required."),CHOOSE($W616,"Collection Email","1st Email Follow-up","2nd Email Follow-up","Escalation to Local Office","Escalation to CBE","Escalation to Roxanne")&amp;" sent "&amp;TEXT($X616,"dd-mmm")&amp;". "&amp;IF($W616=6,"Final escalation completed.",IF($T616="OVERDUE","Next: "&amp;$Z616&amp;" was due "&amp;TEXT($Y616,"dd-mmm")&amp;" - "&amp;(NETWORKDAYS($Y616,TODAY(),Holidays)-1)&amp;" business day(s) late. Send now.",IF($T616="DUE TOMORROW","Next: "&amp;$Z616&amp;IF($Y616&lt;=TODAY()," is due TODAY ("," is due next business day (")&amp;TEXT($Y616,"dd-mmm")&amp;").","Next: "&amp;$Z616&amp;" due "&amp;TEXT($Y616,"dd-mmm")&amp;" ("&amp;(NETWORKDAYS(TODAY(),$Y616,Holidays)-1)&amp;" business day(s) left).")))))</f>
        <v/>
      </c>
      <c r="V616" s="17">
        <f>IF($W616="","",CHOOSE($W616,"Collection Email","1st Follow-up","2nd Follow-up","Local Office","CBE","Roxanne")&amp;IF($W616=6," - Final"," - Day "&amp;MAX(0,NETWORKDAYS($X616,TODAY(),Holidays)-1)&amp;" of "&amp;CHOOSE($W616,3,3,2,2,3))&amp;" | Total Day "&amp;MAX(0,NETWORKDAYS($L616,TODAY(),Holidays)-1))</f>
        <v/>
      </c>
      <c r="W616" s="17">
        <f>IF($L616="","",COUNT($L616:$Q616))</f>
        <v/>
      </c>
      <c r="X616" s="18">
        <f>IF($W616="","",INT(INDEX($L616:$Q616,$W616)))</f>
        <v/>
      </c>
      <c r="Y616" s="18">
        <f>IF(OR($W616="",$W616=6),"",WORKDAY($X616,CHOOSE($W616,3,3,2,2,3),Holidays))</f>
        <v/>
      </c>
      <c r="Z616" s="17">
        <f>IF(OR($W616="",$W616=6),"",CHOOSE($W616,"1st Email Follow-up","2nd Email Follow-up","Escalate Local Office","Escalate to CBE","Escalate to Roxanne"))</f>
        <v/>
      </c>
    </row>
    <row r="617" spans="18:26">
      <c r="R617" s="15"/>
      <c r="S617" s="16"/>
      <c r="T617" s="17">
        <f>IF(AND(COUNTA($A617:$K617)=0,$L617=""),"",IF($S617="Paid","PAID",IF($S617="Closed","CLOSED",IF($W617="","",IF($W617=6,"ESCALATED TO ROXANNE",IF(TODAY()&gt;$Y617,"OVERDUE",IF($Y617&lt;=WORKDAY(TODAY(),1,Holidays),"DUE TOMORROW",IF($W617=4,"ESCALATED TO LOCAL OFFICE",IF($W617=5,"ESCALATED TO CBE",IF($X617=TODAY(),"EMAIL SENT","MONITORING"))))))))))</f>
        <v/>
      </c>
      <c r="U617" s="17">
        <f>IF($T617="",IF(AND(COUNTA($A617:$K617)&gt;0,$L617=""),"Awaiting Collection Email time stamp.",""),IF(OR($T617="PAID",$T617="CLOSED"),IF($T617="PAID","Account paid. Action completed.","Account closed. No further action required."),CHOOSE($W617,"Collection Email","1st Email Follow-up","2nd Email Follow-up","Escalation to Local Office","Escalation to CBE","Escalation to Roxanne")&amp;" sent "&amp;TEXT($X617,"dd-mmm")&amp;". "&amp;IF($W617=6,"Final escalation completed.",IF($T617="OVERDUE","Next: "&amp;$Z617&amp;" was due "&amp;TEXT($Y617,"dd-mmm")&amp;" - "&amp;(NETWORKDAYS($Y617,TODAY(),Holidays)-1)&amp;" business day(s) late. Send now.",IF($T617="DUE TOMORROW","Next: "&amp;$Z617&amp;IF($Y617&lt;=TODAY()," is due TODAY ("," is due next business day (")&amp;TEXT($Y617,"dd-mmm")&amp;").","Next: "&amp;$Z617&amp;" due "&amp;TEXT($Y617,"dd-mmm")&amp;" ("&amp;(NETWORKDAYS(TODAY(),$Y617,Holidays)-1)&amp;" business day(s) left).")))))</f>
        <v/>
      </c>
      <c r="V617" s="17">
        <f>IF($W617="","",CHOOSE($W617,"Collection Email","1st Follow-up","2nd Follow-up","Local Office","CBE","Roxanne")&amp;IF($W617=6," - Final"," - Day "&amp;MAX(0,NETWORKDAYS($X617,TODAY(),Holidays)-1)&amp;" of "&amp;CHOOSE($W617,3,3,2,2,3))&amp;" | Total Day "&amp;MAX(0,NETWORKDAYS($L617,TODAY(),Holidays)-1))</f>
        <v/>
      </c>
      <c r="W617" s="17">
        <f>IF($L617="","",COUNT($L617:$Q617))</f>
        <v/>
      </c>
      <c r="X617" s="18">
        <f>IF($W617="","",INT(INDEX($L617:$Q617,$W617)))</f>
        <v/>
      </c>
      <c r="Y617" s="18">
        <f>IF(OR($W617="",$W617=6),"",WORKDAY($X617,CHOOSE($W617,3,3,2,2,3),Holidays))</f>
        <v/>
      </c>
      <c r="Z617" s="17">
        <f>IF(OR($W617="",$W617=6),"",CHOOSE($W617,"1st Email Follow-up","2nd Email Follow-up","Escalate Local Office","Escalate to CBE","Escalate to Roxanne"))</f>
        <v/>
      </c>
    </row>
    <row r="618" spans="18:26">
      <c r="R618" s="15"/>
      <c r="S618" s="16"/>
      <c r="T618" s="17">
        <f>IF(AND(COUNTA($A618:$K618)=0,$L618=""),"",IF($S618="Paid","PAID",IF($S618="Closed","CLOSED",IF($W618="","",IF($W618=6,"ESCALATED TO ROXANNE",IF(TODAY()&gt;$Y618,"OVERDUE",IF($Y618&lt;=WORKDAY(TODAY(),1,Holidays),"DUE TOMORROW",IF($W618=4,"ESCALATED TO LOCAL OFFICE",IF($W618=5,"ESCALATED TO CBE",IF($X618=TODAY(),"EMAIL SENT","MONITORING"))))))))))</f>
        <v/>
      </c>
      <c r="U618" s="17">
        <f>IF($T618="",IF(AND(COUNTA($A618:$K618)&gt;0,$L618=""),"Awaiting Collection Email time stamp.",""),IF(OR($T618="PAID",$T618="CLOSED"),IF($T618="PAID","Account paid. Action completed.","Account closed. No further action required."),CHOOSE($W618,"Collection Email","1st Email Follow-up","2nd Email Follow-up","Escalation to Local Office","Escalation to CBE","Escalation to Roxanne")&amp;" sent "&amp;TEXT($X618,"dd-mmm")&amp;". "&amp;IF($W618=6,"Final escalation completed.",IF($T618="OVERDUE","Next: "&amp;$Z618&amp;" was due "&amp;TEXT($Y618,"dd-mmm")&amp;" - "&amp;(NETWORKDAYS($Y618,TODAY(),Holidays)-1)&amp;" business day(s) late. Send now.",IF($T618="DUE TOMORROW","Next: "&amp;$Z618&amp;IF($Y618&lt;=TODAY()," is due TODAY ("," is due next business day (")&amp;TEXT($Y618,"dd-mmm")&amp;").","Next: "&amp;$Z618&amp;" due "&amp;TEXT($Y618,"dd-mmm")&amp;" ("&amp;(NETWORKDAYS(TODAY(),$Y618,Holidays)-1)&amp;" business day(s) left).")))))</f>
        <v/>
      </c>
      <c r="V618" s="17">
        <f>IF($W618="","",CHOOSE($W618,"Collection Email","1st Follow-up","2nd Follow-up","Local Office","CBE","Roxanne")&amp;IF($W618=6," - Final"," - Day "&amp;MAX(0,NETWORKDAYS($X618,TODAY(),Holidays)-1)&amp;" of "&amp;CHOOSE($W618,3,3,2,2,3))&amp;" | Total Day "&amp;MAX(0,NETWORKDAYS($L618,TODAY(),Holidays)-1))</f>
        <v/>
      </c>
      <c r="W618" s="17">
        <f>IF($L618="","",COUNT($L618:$Q618))</f>
        <v/>
      </c>
      <c r="X618" s="18">
        <f>IF($W618="","",INT(INDEX($L618:$Q618,$W618)))</f>
        <v/>
      </c>
      <c r="Y618" s="18">
        <f>IF(OR($W618="",$W618=6),"",WORKDAY($X618,CHOOSE($W618,3,3,2,2,3),Holidays))</f>
        <v/>
      </c>
      <c r="Z618" s="17">
        <f>IF(OR($W618="",$W618=6),"",CHOOSE($W618,"1st Email Follow-up","2nd Email Follow-up","Escalate Local Office","Escalate to CBE","Escalate to Roxanne"))</f>
        <v/>
      </c>
    </row>
    <row r="619" spans="18:26">
      <c r="R619" s="15"/>
      <c r="S619" s="16"/>
      <c r="T619" s="17">
        <f>IF(AND(COUNTA($A619:$K619)=0,$L619=""),"",IF($S619="Paid","PAID",IF($S619="Closed","CLOSED",IF($W619="","",IF($W619=6,"ESCALATED TO ROXANNE",IF(TODAY()&gt;$Y619,"OVERDUE",IF($Y619&lt;=WORKDAY(TODAY(),1,Holidays),"DUE TOMORROW",IF($W619=4,"ESCALATED TO LOCAL OFFICE",IF($W619=5,"ESCALATED TO CBE",IF($X619=TODAY(),"EMAIL SENT","MONITORING"))))))))))</f>
        <v/>
      </c>
      <c r="U619" s="17">
        <f>IF($T619="",IF(AND(COUNTA($A619:$K619)&gt;0,$L619=""),"Awaiting Collection Email time stamp.",""),IF(OR($T619="PAID",$T619="CLOSED"),IF($T619="PAID","Account paid. Action completed.","Account closed. No further action required."),CHOOSE($W619,"Collection Email","1st Email Follow-up","2nd Email Follow-up","Escalation to Local Office","Escalation to CBE","Escalation to Roxanne")&amp;" sent "&amp;TEXT($X619,"dd-mmm")&amp;". "&amp;IF($W619=6,"Final escalation completed.",IF($T619="OVERDUE","Next: "&amp;$Z619&amp;" was due "&amp;TEXT($Y619,"dd-mmm")&amp;" - "&amp;(NETWORKDAYS($Y619,TODAY(),Holidays)-1)&amp;" business day(s) late. Send now.",IF($T619="DUE TOMORROW","Next: "&amp;$Z619&amp;IF($Y619&lt;=TODAY()," is due TODAY ("," is due next business day (")&amp;TEXT($Y619,"dd-mmm")&amp;").","Next: "&amp;$Z619&amp;" due "&amp;TEXT($Y619,"dd-mmm")&amp;" ("&amp;(NETWORKDAYS(TODAY(),$Y619,Holidays)-1)&amp;" business day(s) left).")))))</f>
        <v/>
      </c>
      <c r="V619" s="17">
        <f>IF($W619="","",CHOOSE($W619,"Collection Email","1st Follow-up","2nd Follow-up","Local Office","CBE","Roxanne")&amp;IF($W619=6," - Final"," - Day "&amp;MAX(0,NETWORKDAYS($X619,TODAY(),Holidays)-1)&amp;" of "&amp;CHOOSE($W619,3,3,2,2,3))&amp;" | Total Day "&amp;MAX(0,NETWORKDAYS($L619,TODAY(),Holidays)-1))</f>
        <v/>
      </c>
      <c r="W619" s="17">
        <f>IF($L619="","",COUNT($L619:$Q619))</f>
        <v/>
      </c>
      <c r="X619" s="18">
        <f>IF($W619="","",INT(INDEX($L619:$Q619,$W619)))</f>
        <v/>
      </c>
      <c r="Y619" s="18">
        <f>IF(OR($W619="",$W619=6),"",WORKDAY($X619,CHOOSE($W619,3,3,2,2,3),Holidays))</f>
        <v/>
      </c>
      <c r="Z619" s="17">
        <f>IF(OR($W619="",$W619=6),"",CHOOSE($W619,"1st Email Follow-up","2nd Email Follow-up","Escalate Local Office","Escalate to CBE","Escalate to Roxanne"))</f>
        <v/>
      </c>
    </row>
    <row r="620" spans="18:26">
      <c r="R620" s="15"/>
      <c r="S620" s="16"/>
      <c r="T620" s="17">
        <f>IF(AND(COUNTA($A620:$K620)=0,$L620=""),"",IF($S620="Paid","PAID",IF($S620="Closed","CLOSED",IF($W620="","",IF($W620=6,"ESCALATED TO ROXANNE",IF(TODAY()&gt;$Y620,"OVERDUE",IF($Y620&lt;=WORKDAY(TODAY(),1,Holidays),"DUE TOMORROW",IF($W620=4,"ESCALATED TO LOCAL OFFICE",IF($W620=5,"ESCALATED TO CBE",IF($X620=TODAY(),"EMAIL SENT","MONITORING"))))))))))</f>
        <v/>
      </c>
      <c r="U620" s="17">
        <f>IF($T620="",IF(AND(COUNTA($A620:$K620)&gt;0,$L620=""),"Awaiting Collection Email time stamp.",""),IF(OR($T620="PAID",$T620="CLOSED"),IF($T620="PAID","Account paid. Action completed.","Account closed. No further action required."),CHOOSE($W620,"Collection Email","1st Email Follow-up","2nd Email Follow-up","Escalation to Local Office","Escalation to CBE","Escalation to Roxanne")&amp;" sent "&amp;TEXT($X620,"dd-mmm")&amp;". "&amp;IF($W620=6,"Final escalation completed.",IF($T620="OVERDUE","Next: "&amp;$Z620&amp;" was due "&amp;TEXT($Y620,"dd-mmm")&amp;" - "&amp;(NETWORKDAYS($Y620,TODAY(),Holidays)-1)&amp;" business day(s) late. Send now.",IF($T620="DUE TOMORROW","Next: "&amp;$Z620&amp;IF($Y620&lt;=TODAY()," is due TODAY ("," is due next business day (")&amp;TEXT($Y620,"dd-mmm")&amp;").","Next: "&amp;$Z620&amp;" due "&amp;TEXT($Y620,"dd-mmm")&amp;" ("&amp;(NETWORKDAYS(TODAY(),$Y620,Holidays)-1)&amp;" business day(s) left).")))))</f>
        <v/>
      </c>
      <c r="V620" s="17">
        <f>IF($W620="","",CHOOSE($W620,"Collection Email","1st Follow-up","2nd Follow-up","Local Office","CBE","Roxanne")&amp;IF($W620=6," - Final"," - Day "&amp;MAX(0,NETWORKDAYS($X620,TODAY(),Holidays)-1)&amp;" of "&amp;CHOOSE($W620,3,3,2,2,3))&amp;" | Total Day "&amp;MAX(0,NETWORKDAYS($L620,TODAY(),Holidays)-1))</f>
        <v/>
      </c>
      <c r="W620" s="17">
        <f>IF($L620="","",COUNT($L620:$Q620))</f>
        <v/>
      </c>
      <c r="X620" s="18">
        <f>IF($W620="","",INT(INDEX($L620:$Q620,$W620)))</f>
        <v/>
      </c>
      <c r="Y620" s="18">
        <f>IF(OR($W620="",$W620=6),"",WORKDAY($X620,CHOOSE($W620,3,3,2,2,3),Holidays))</f>
        <v/>
      </c>
      <c r="Z620" s="17">
        <f>IF(OR($W620="",$W620=6),"",CHOOSE($W620,"1st Email Follow-up","2nd Email Follow-up","Escalate Local Office","Escalate to CBE","Escalate to Roxanne"))</f>
        <v/>
      </c>
    </row>
    <row r="621" spans="18:26">
      <c r="R621" s="15"/>
      <c r="S621" s="16"/>
      <c r="T621" s="17">
        <f>IF(AND(COUNTA($A621:$K621)=0,$L621=""),"",IF($S621="Paid","PAID",IF($S621="Closed","CLOSED",IF($W621="","",IF($W621=6,"ESCALATED TO ROXANNE",IF(TODAY()&gt;$Y621,"OVERDUE",IF($Y621&lt;=WORKDAY(TODAY(),1,Holidays),"DUE TOMORROW",IF($W621=4,"ESCALATED TO LOCAL OFFICE",IF($W621=5,"ESCALATED TO CBE",IF($X621=TODAY(),"EMAIL SENT","MONITORING"))))))))))</f>
        <v/>
      </c>
      <c r="U621" s="17">
        <f>IF($T621="",IF(AND(COUNTA($A621:$K621)&gt;0,$L621=""),"Awaiting Collection Email time stamp.",""),IF(OR($T621="PAID",$T621="CLOSED"),IF($T621="PAID","Account paid. Action completed.","Account closed. No further action required."),CHOOSE($W621,"Collection Email","1st Email Follow-up","2nd Email Follow-up","Escalation to Local Office","Escalation to CBE","Escalation to Roxanne")&amp;" sent "&amp;TEXT($X621,"dd-mmm")&amp;". "&amp;IF($W621=6,"Final escalation completed.",IF($T621="OVERDUE","Next: "&amp;$Z621&amp;" was due "&amp;TEXT($Y621,"dd-mmm")&amp;" - "&amp;(NETWORKDAYS($Y621,TODAY(),Holidays)-1)&amp;" business day(s) late. Send now.",IF($T621="DUE TOMORROW","Next: "&amp;$Z621&amp;IF($Y621&lt;=TODAY()," is due TODAY ("," is due next business day (")&amp;TEXT($Y621,"dd-mmm")&amp;").","Next: "&amp;$Z621&amp;" due "&amp;TEXT($Y621,"dd-mmm")&amp;" ("&amp;(NETWORKDAYS(TODAY(),$Y621,Holidays)-1)&amp;" business day(s) left).")))))</f>
        <v/>
      </c>
      <c r="V621" s="17">
        <f>IF($W621="","",CHOOSE($W621,"Collection Email","1st Follow-up","2nd Follow-up","Local Office","CBE","Roxanne")&amp;IF($W621=6," - Final"," - Day "&amp;MAX(0,NETWORKDAYS($X621,TODAY(),Holidays)-1)&amp;" of "&amp;CHOOSE($W621,3,3,2,2,3))&amp;" | Total Day "&amp;MAX(0,NETWORKDAYS($L621,TODAY(),Holidays)-1))</f>
        <v/>
      </c>
      <c r="W621" s="17">
        <f>IF($L621="","",COUNT($L621:$Q621))</f>
        <v/>
      </c>
      <c r="X621" s="18">
        <f>IF($W621="","",INT(INDEX($L621:$Q621,$W621)))</f>
        <v/>
      </c>
      <c r="Y621" s="18">
        <f>IF(OR($W621="",$W621=6),"",WORKDAY($X621,CHOOSE($W621,3,3,2,2,3),Holidays))</f>
        <v/>
      </c>
      <c r="Z621" s="17">
        <f>IF(OR($W621="",$W621=6),"",CHOOSE($W621,"1st Email Follow-up","2nd Email Follow-up","Escalate Local Office","Escalate to CBE","Escalate to Roxanne"))</f>
        <v/>
      </c>
    </row>
    <row r="622" spans="18:26">
      <c r="R622" s="15"/>
      <c r="S622" s="16"/>
      <c r="T622" s="17">
        <f>IF(AND(COUNTA($A622:$K622)=0,$L622=""),"",IF($S622="Paid","PAID",IF($S622="Closed","CLOSED",IF($W622="","",IF($W622=6,"ESCALATED TO ROXANNE",IF(TODAY()&gt;$Y622,"OVERDUE",IF($Y622&lt;=WORKDAY(TODAY(),1,Holidays),"DUE TOMORROW",IF($W622=4,"ESCALATED TO LOCAL OFFICE",IF($W622=5,"ESCALATED TO CBE",IF($X622=TODAY(),"EMAIL SENT","MONITORING"))))))))))</f>
        <v/>
      </c>
      <c r="U622" s="17">
        <f>IF($T622="",IF(AND(COUNTA($A622:$K622)&gt;0,$L622=""),"Awaiting Collection Email time stamp.",""),IF(OR($T622="PAID",$T622="CLOSED"),IF($T622="PAID","Account paid. Action completed.","Account closed. No further action required."),CHOOSE($W622,"Collection Email","1st Email Follow-up","2nd Email Follow-up","Escalation to Local Office","Escalation to CBE","Escalation to Roxanne")&amp;" sent "&amp;TEXT($X622,"dd-mmm")&amp;". "&amp;IF($W622=6,"Final escalation completed.",IF($T622="OVERDUE","Next: "&amp;$Z622&amp;" was due "&amp;TEXT($Y622,"dd-mmm")&amp;" - "&amp;(NETWORKDAYS($Y622,TODAY(),Holidays)-1)&amp;" business day(s) late. Send now.",IF($T622="DUE TOMORROW","Next: "&amp;$Z622&amp;IF($Y622&lt;=TODAY()," is due TODAY ("," is due next business day (")&amp;TEXT($Y622,"dd-mmm")&amp;").","Next: "&amp;$Z622&amp;" due "&amp;TEXT($Y622,"dd-mmm")&amp;" ("&amp;(NETWORKDAYS(TODAY(),$Y622,Holidays)-1)&amp;" business day(s) left).")))))</f>
        <v/>
      </c>
      <c r="V622" s="17">
        <f>IF($W622="","",CHOOSE($W622,"Collection Email","1st Follow-up","2nd Follow-up","Local Office","CBE","Roxanne")&amp;IF($W622=6," - Final"," - Day "&amp;MAX(0,NETWORKDAYS($X622,TODAY(),Holidays)-1)&amp;" of "&amp;CHOOSE($W622,3,3,2,2,3))&amp;" | Total Day "&amp;MAX(0,NETWORKDAYS($L622,TODAY(),Holidays)-1))</f>
        <v/>
      </c>
      <c r="W622" s="17">
        <f>IF($L622="","",COUNT($L622:$Q622))</f>
        <v/>
      </c>
      <c r="X622" s="18">
        <f>IF($W622="","",INT(INDEX($L622:$Q622,$W622)))</f>
        <v/>
      </c>
      <c r="Y622" s="18">
        <f>IF(OR($W622="",$W622=6),"",WORKDAY($X622,CHOOSE($W622,3,3,2,2,3),Holidays))</f>
        <v/>
      </c>
      <c r="Z622" s="17">
        <f>IF(OR($W622="",$W622=6),"",CHOOSE($W622,"1st Email Follow-up","2nd Email Follow-up","Escalate Local Office","Escalate to CBE","Escalate to Roxanne"))</f>
        <v/>
      </c>
    </row>
    <row r="623" spans="18:26">
      <c r="R623" s="15"/>
      <c r="S623" s="16"/>
      <c r="T623" s="17">
        <f>IF(AND(COUNTA($A623:$K623)=0,$L623=""),"",IF($S623="Paid","PAID",IF($S623="Closed","CLOSED",IF($W623="","",IF($W623=6,"ESCALATED TO ROXANNE",IF(TODAY()&gt;$Y623,"OVERDUE",IF($Y623&lt;=WORKDAY(TODAY(),1,Holidays),"DUE TOMORROW",IF($W623=4,"ESCALATED TO LOCAL OFFICE",IF($W623=5,"ESCALATED TO CBE",IF($X623=TODAY(),"EMAIL SENT","MONITORING"))))))))))</f>
        <v/>
      </c>
      <c r="U623" s="17">
        <f>IF($T623="",IF(AND(COUNTA($A623:$K623)&gt;0,$L623=""),"Awaiting Collection Email time stamp.",""),IF(OR($T623="PAID",$T623="CLOSED"),IF($T623="PAID","Account paid. Action completed.","Account closed. No further action required."),CHOOSE($W623,"Collection Email","1st Email Follow-up","2nd Email Follow-up","Escalation to Local Office","Escalation to CBE","Escalation to Roxanne")&amp;" sent "&amp;TEXT($X623,"dd-mmm")&amp;". "&amp;IF($W623=6,"Final escalation completed.",IF($T623="OVERDUE","Next: "&amp;$Z623&amp;" was due "&amp;TEXT($Y623,"dd-mmm")&amp;" - "&amp;(NETWORKDAYS($Y623,TODAY(),Holidays)-1)&amp;" business day(s) late. Send now.",IF($T623="DUE TOMORROW","Next: "&amp;$Z623&amp;IF($Y623&lt;=TODAY()," is due TODAY ("," is due next business day (")&amp;TEXT($Y623,"dd-mmm")&amp;").","Next: "&amp;$Z623&amp;" due "&amp;TEXT($Y623,"dd-mmm")&amp;" ("&amp;(NETWORKDAYS(TODAY(),$Y623,Holidays)-1)&amp;" business day(s) left).")))))</f>
        <v/>
      </c>
      <c r="V623" s="17">
        <f>IF($W623="","",CHOOSE($W623,"Collection Email","1st Follow-up","2nd Follow-up","Local Office","CBE","Roxanne")&amp;IF($W623=6," - Final"," - Day "&amp;MAX(0,NETWORKDAYS($X623,TODAY(),Holidays)-1)&amp;" of "&amp;CHOOSE($W623,3,3,2,2,3))&amp;" | Total Day "&amp;MAX(0,NETWORKDAYS($L623,TODAY(),Holidays)-1))</f>
        <v/>
      </c>
      <c r="W623" s="17">
        <f>IF($L623="","",COUNT($L623:$Q623))</f>
        <v/>
      </c>
      <c r="X623" s="18">
        <f>IF($W623="","",INT(INDEX($L623:$Q623,$W623)))</f>
        <v/>
      </c>
      <c r="Y623" s="18">
        <f>IF(OR($W623="",$W623=6),"",WORKDAY($X623,CHOOSE($W623,3,3,2,2,3),Holidays))</f>
        <v/>
      </c>
      <c r="Z623" s="17">
        <f>IF(OR($W623="",$W623=6),"",CHOOSE($W623,"1st Email Follow-up","2nd Email Follow-up","Escalate Local Office","Escalate to CBE","Escalate to Roxanne"))</f>
        <v/>
      </c>
    </row>
    <row r="624" spans="18:26">
      <c r="R624" s="15"/>
      <c r="S624" s="16"/>
      <c r="T624" s="17">
        <f>IF(AND(COUNTA($A624:$K624)=0,$L624=""),"",IF($S624="Paid","PAID",IF($S624="Closed","CLOSED",IF($W624="","",IF($W624=6,"ESCALATED TO ROXANNE",IF(TODAY()&gt;$Y624,"OVERDUE",IF($Y624&lt;=WORKDAY(TODAY(),1,Holidays),"DUE TOMORROW",IF($W624=4,"ESCALATED TO LOCAL OFFICE",IF($W624=5,"ESCALATED TO CBE",IF($X624=TODAY(),"EMAIL SENT","MONITORING"))))))))))</f>
        <v/>
      </c>
      <c r="U624" s="17">
        <f>IF($T624="",IF(AND(COUNTA($A624:$K624)&gt;0,$L624=""),"Awaiting Collection Email time stamp.",""),IF(OR($T624="PAID",$T624="CLOSED"),IF($T624="PAID","Account paid. Action completed.","Account closed. No further action required."),CHOOSE($W624,"Collection Email","1st Email Follow-up","2nd Email Follow-up","Escalation to Local Office","Escalation to CBE","Escalation to Roxanne")&amp;" sent "&amp;TEXT($X624,"dd-mmm")&amp;". "&amp;IF($W624=6,"Final escalation completed.",IF($T624="OVERDUE","Next: "&amp;$Z624&amp;" was due "&amp;TEXT($Y624,"dd-mmm")&amp;" - "&amp;(NETWORKDAYS($Y624,TODAY(),Holidays)-1)&amp;" business day(s) late. Send now.",IF($T624="DUE TOMORROW","Next: "&amp;$Z624&amp;IF($Y624&lt;=TODAY()," is due TODAY ("," is due next business day (")&amp;TEXT($Y624,"dd-mmm")&amp;").","Next: "&amp;$Z624&amp;" due "&amp;TEXT($Y624,"dd-mmm")&amp;" ("&amp;(NETWORKDAYS(TODAY(),$Y624,Holidays)-1)&amp;" business day(s) left).")))))</f>
        <v/>
      </c>
      <c r="V624" s="17">
        <f>IF($W624="","",CHOOSE($W624,"Collection Email","1st Follow-up","2nd Follow-up","Local Office","CBE","Roxanne")&amp;IF($W624=6," - Final"," - Day "&amp;MAX(0,NETWORKDAYS($X624,TODAY(),Holidays)-1)&amp;" of "&amp;CHOOSE($W624,3,3,2,2,3))&amp;" | Total Day "&amp;MAX(0,NETWORKDAYS($L624,TODAY(),Holidays)-1))</f>
        <v/>
      </c>
      <c r="W624" s="17">
        <f>IF($L624="","",COUNT($L624:$Q624))</f>
        <v/>
      </c>
      <c r="X624" s="18">
        <f>IF($W624="","",INT(INDEX($L624:$Q624,$W624)))</f>
        <v/>
      </c>
      <c r="Y624" s="18">
        <f>IF(OR($W624="",$W624=6),"",WORKDAY($X624,CHOOSE($W624,3,3,2,2,3),Holidays))</f>
        <v/>
      </c>
      <c r="Z624" s="17">
        <f>IF(OR($W624="",$W624=6),"",CHOOSE($W624,"1st Email Follow-up","2nd Email Follow-up","Escalate Local Office","Escalate to CBE","Escalate to Roxanne"))</f>
        <v/>
      </c>
    </row>
    <row r="625" spans="18:26">
      <c r="R625" s="15"/>
      <c r="S625" s="16"/>
      <c r="T625" s="17">
        <f>IF(AND(COUNTA($A625:$K625)=0,$L625=""),"",IF($S625="Paid","PAID",IF($S625="Closed","CLOSED",IF($W625="","",IF($W625=6,"ESCALATED TO ROXANNE",IF(TODAY()&gt;$Y625,"OVERDUE",IF($Y625&lt;=WORKDAY(TODAY(),1,Holidays),"DUE TOMORROW",IF($W625=4,"ESCALATED TO LOCAL OFFICE",IF($W625=5,"ESCALATED TO CBE",IF($X625=TODAY(),"EMAIL SENT","MONITORING"))))))))))</f>
        <v/>
      </c>
      <c r="U625" s="17">
        <f>IF($T625="",IF(AND(COUNTA($A625:$K625)&gt;0,$L625=""),"Awaiting Collection Email time stamp.",""),IF(OR($T625="PAID",$T625="CLOSED"),IF($T625="PAID","Account paid. Action completed.","Account closed. No further action required."),CHOOSE($W625,"Collection Email","1st Email Follow-up","2nd Email Follow-up","Escalation to Local Office","Escalation to CBE","Escalation to Roxanne")&amp;" sent "&amp;TEXT($X625,"dd-mmm")&amp;". "&amp;IF($W625=6,"Final escalation completed.",IF($T625="OVERDUE","Next: "&amp;$Z625&amp;" was due "&amp;TEXT($Y625,"dd-mmm")&amp;" - "&amp;(NETWORKDAYS($Y625,TODAY(),Holidays)-1)&amp;" business day(s) late. Send now.",IF($T625="DUE TOMORROW","Next: "&amp;$Z625&amp;IF($Y625&lt;=TODAY()," is due TODAY ("," is due next business day (")&amp;TEXT($Y625,"dd-mmm")&amp;").","Next: "&amp;$Z625&amp;" due "&amp;TEXT($Y625,"dd-mmm")&amp;" ("&amp;(NETWORKDAYS(TODAY(),$Y625,Holidays)-1)&amp;" business day(s) left).")))))</f>
        <v/>
      </c>
      <c r="V625" s="17">
        <f>IF($W625="","",CHOOSE($W625,"Collection Email","1st Follow-up","2nd Follow-up","Local Office","CBE","Roxanne")&amp;IF($W625=6," - Final"," - Day "&amp;MAX(0,NETWORKDAYS($X625,TODAY(),Holidays)-1)&amp;" of "&amp;CHOOSE($W625,3,3,2,2,3))&amp;" | Total Day "&amp;MAX(0,NETWORKDAYS($L625,TODAY(),Holidays)-1))</f>
        <v/>
      </c>
      <c r="W625" s="17">
        <f>IF($L625="","",COUNT($L625:$Q625))</f>
        <v/>
      </c>
      <c r="X625" s="18">
        <f>IF($W625="","",INT(INDEX($L625:$Q625,$W625)))</f>
        <v/>
      </c>
      <c r="Y625" s="18">
        <f>IF(OR($W625="",$W625=6),"",WORKDAY($X625,CHOOSE($W625,3,3,2,2,3),Holidays))</f>
        <v/>
      </c>
      <c r="Z625" s="17">
        <f>IF(OR($W625="",$W625=6),"",CHOOSE($W625,"1st Email Follow-up","2nd Email Follow-up","Escalate Local Office","Escalate to CBE","Escalate to Roxanne"))</f>
        <v/>
      </c>
    </row>
    <row r="626" spans="18:26">
      <c r="R626" s="15"/>
      <c r="S626" s="16"/>
      <c r="T626" s="17">
        <f>IF(AND(COUNTA($A626:$K626)=0,$L626=""),"",IF($S626="Paid","PAID",IF($S626="Closed","CLOSED",IF($W626="","",IF($W626=6,"ESCALATED TO ROXANNE",IF(TODAY()&gt;$Y626,"OVERDUE",IF($Y626&lt;=WORKDAY(TODAY(),1,Holidays),"DUE TOMORROW",IF($W626=4,"ESCALATED TO LOCAL OFFICE",IF($W626=5,"ESCALATED TO CBE",IF($X626=TODAY(),"EMAIL SENT","MONITORING"))))))))))</f>
        <v/>
      </c>
      <c r="U626" s="17">
        <f>IF($T626="",IF(AND(COUNTA($A626:$K626)&gt;0,$L626=""),"Awaiting Collection Email time stamp.",""),IF(OR($T626="PAID",$T626="CLOSED"),IF($T626="PAID","Account paid. Action completed.","Account closed. No further action required."),CHOOSE($W626,"Collection Email","1st Email Follow-up","2nd Email Follow-up","Escalation to Local Office","Escalation to CBE","Escalation to Roxanne")&amp;" sent "&amp;TEXT($X626,"dd-mmm")&amp;". "&amp;IF($W626=6,"Final escalation completed.",IF($T626="OVERDUE","Next: "&amp;$Z626&amp;" was due "&amp;TEXT($Y626,"dd-mmm")&amp;" - "&amp;(NETWORKDAYS($Y626,TODAY(),Holidays)-1)&amp;" business day(s) late. Send now.",IF($T626="DUE TOMORROW","Next: "&amp;$Z626&amp;IF($Y626&lt;=TODAY()," is due TODAY ("," is due next business day (")&amp;TEXT($Y626,"dd-mmm")&amp;").","Next: "&amp;$Z626&amp;" due "&amp;TEXT($Y626,"dd-mmm")&amp;" ("&amp;(NETWORKDAYS(TODAY(),$Y626,Holidays)-1)&amp;" business day(s) left).")))))</f>
        <v/>
      </c>
      <c r="V626" s="17">
        <f>IF($W626="","",CHOOSE($W626,"Collection Email","1st Follow-up","2nd Follow-up","Local Office","CBE","Roxanne")&amp;IF($W626=6," - Final"," - Day "&amp;MAX(0,NETWORKDAYS($X626,TODAY(),Holidays)-1)&amp;" of "&amp;CHOOSE($W626,3,3,2,2,3))&amp;" | Total Day "&amp;MAX(0,NETWORKDAYS($L626,TODAY(),Holidays)-1))</f>
        <v/>
      </c>
      <c r="W626" s="17">
        <f>IF($L626="","",COUNT($L626:$Q626))</f>
        <v/>
      </c>
      <c r="X626" s="18">
        <f>IF($W626="","",INT(INDEX($L626:$Q626,$W626)))</f>
        <v/>
      </c>
      <c r="Y626" s="18">
        <f>IF(OR($W626="",$W626=6),"",WORKDAY($X626,CHOOSE($W626,3,3,2,2,3),Holidays))</f>
        <v/>
      </c>
      <c r="Z626" s="17">
        <f>IF(OR($W626="",$W626=6),"",CHOOSE($W626,"1st Email Follow-up","2nd Email Follow-up","Escalate Local Office","Escalate to CBE","Escalate to Roxanne"))</f>
        <v/>
      </c>
    </row>
    <row r="627" spans="18:26">
      <c r="R627" s="15"/>
      <c r="S627" s="16"/>
      <c r="T627" s="17">
        <f>IF(AND(COUNTA($A627:$K627)=0,$L627=""),"",IF($S627="Paid","PAID",IF($S627="Closed","CLOSED",IF($W627="","",IF($W627=6,"ESCALATED TO ROXANNE",IF(TODAY()&gt;$Y627,"OVERDUE",IF($Y627&lt;=WORKDAY(TODAY(),1,Holidays),"DUE TOMORROW",IF($W627=4,"ESCALATED TO LOCAL OFFICE",IF($W627=5,"ESCALATED TO CBE",IF($X627=TODAY(),"EMAIL SENT","MONITORING"))))))))))</f>
        <v/>
      </c>
      <c r="U627" s="17">
        <f>IF($T627="",IF(AND(COUNTA($A627:$K627)&gt;0,$L627=""),"Awaiting Collection Email time stamp.",""),IF(OR($T627="PAID",$T627="CLOSED"),IF($T627="PAID","Account paid. Action completed.","Account closed. No further action required."),CHOOSE($W627,"Collection Email","1st Email Follow-up","2nd Email Follow-up","Escalation to Local Office","Escalation to CBE","Escalation to Roxanne")&amp;" sent "&amp;TEXT($X627,"dd-mmm")&amp;". "&amp;IF($W627=6,"Final escalation completed.",IF($T627="OVERDUE","Next: "&amp;$Z627&amp;" was due "&amp;TEXT($Y627,"dd-mmm")&amp;" - "&amp;(NETWORKDAYS($Y627,TODAY(),Holidays)-1)&amp;" business day(s) late. Send now.",IF($T627="DUE TOMORROW","Next: "&amp;$Z627&amp;IF($Y627&lt;=TODAY()," is due TODAY ("," is due next business day (")&amp;TEXT($Y627,"dd-mmm")&amp;").","Next: "&amp;$Z627&amp;" due "&amp;TEXT($Y627,"dd-mmm")&amp;" ("&amp;(NETWORKDAYS(TODAY(),$Y627,Holidays)-1)&amp;" business day(s) left).")))))</f>
        <v/>
      </c>
      <c r="V627" s="17">
        <f>IF($W627="","",CHOOSE($W627,"Collection Email","1st Follow-up","2nd Follow-up","Local Office","CBE","Roxanne")&amp;IF($W627=6," - Final"," - Day "&amp;MAX(0,NETWORKDAYS($X627,TODAY(),Holidays)-1)&amp;" of "&amp;CHOOSE($W627,3,3,2,2,3))&amp;" | Total Day "&amp;MAX(0,NETWORKDAYS($L627,TODAY(),Holidays)-1))</f>
        <v/>
      </c>
      <c r="W627" s="17">
        <f>IF($L627="","",COUNT($L627:$Q627))</f>
        <v/>
      </c>
      <c r="X627" s="18">
        <f>IF($W627="","",INT(INDEX($L627:$Q627,$W627)))</f>
        <v/>
      </c>
      <c r="Y627" s="18">
        <f>IF(OR($W627="",$W627=6),"",WORKDAY($X627,CHOOSE($W627,3,3,2,2,3),Holidays))</f>
        <v/>
      </c>
      <c r="Z627" s="17">
        <f>IF(OR($W627="",$W627=6),"",CHOOSE($W627,"1st Email Follow-up","2nd Email Follow-up","Escalate Local Office","Escalate to CBE","Escalate to Roxanne"))</f>
        <v/>
      </c>
    </row>
    <row r="628" spans="18:26">
      <c r="R628" s="15"/>
      <c r="S628" s="16"/>
      <c r="T628" s="17">
        <f>IF(AND(COUNTA($A628:$K628)=0,$L628=""),"",IF($S628="Paid","PAID",IF($S628="Closed","CLOSED",IF($W628="","",IF($W628=6,"ESCALATED TO ROXANNE",IF(TODAY()&gt;$Y628,"OVERDUE",IF($Y628&lt;=WORKDAY(TODAY(),1,Holidays),"DUE TOMORROW",IF($W628=4,"ESCALATED TO LOCAL OFFICE",IF($W628=5,"ESCALATED TO CBE",IF($X628=TODAY(),"EMAIL SENT","MONITORING"))))))))))</f>
        <v/>
      </c>
      <c r="U628" s="17">
        <f>IF($T628="",IF(AND(COUNTA($A628:$K628)&gt;0,$L628=""),"Awaiting Collection Email time stamp.",""),IF(OR($T628="PAID",$T628="CLOSED"),IF($T628="PAID","Account paid. Action completed.","Account closed. No further action required."),CHOOSE($W628,"Collection Email","1st Email Follow-up","2nd Email Follow-up","Escalation to Local Office","Escalation to CBE","Escalation to Roxanne")&amp;" sent "&amp;TEXT($X628,"dd-mmm")&amp;". "&amp;IF($W628=6,"Final escalation completed.",IF($T628="OVERDUE","Next: "&amp;$Z628&amp;" was due "&amp;TEXT($Y628,"dd-mmm")&amp;" - "&amp;(NETWORKDAYS($Y628,TODAY(),Holidays)-1)&amp;" business day(s) late. Send now.",IF($T628="DUE TOMORROW","Next: "&amp;$Z628&amp;IF($Y628&lt;=TODAY()," is due TODAY ("," is due next business day (")&amp;TEXT($Y628,"dd-mmm")&amp;").","Next: "&amp;$Z628&amp;" due "&amp;TEXT($Y628,"dd-mmm")&amp;" ("&amp;(NETWORKDAYS(TODAY(),$Y628,Holidays)-1)&amp;" business day(s) left).")))))</f>
        <v/>
      </c>
      <c r="V628" s="17">
        <f>IF($W628="","",CHOOSE($W628,"Collection Email","1st Follow-up","2nd Follow-up","Local Office","CBE","Roxanne")&amp;IF($W628=6," - Final"," - Day "&amp;MAX(0,NETWORKDAYS($X628,TODAY(),Holidays)-1)&amp;" of "&amp;CHOOSE($W628,3,3,2,2,3))&amp;" | Total Day "&amp;MAX(0,NETWORKDAYS($L628,TODAY(),Holidays)-1))</f>
        <v/>
      </c>
      <c r="W628" s="17">
        <f>IF($L628="","",COUNT($L628:$Q628))</f>
        <v/>
      </c>
      <c r="X628" s="18">
        <f>IF($W628="","",INT(INDEX($L628:$Q628,$W628)))</f>
        <v/>
      </c>
      <c r="Y628" s="18">
        <f>IF(OR($W628="",$W628=6),"",WORKDAY($X628,CHOOSE($W628,3,3,2,2,3),Holidays))</f>
        <v/>
      </c>
      <c r="Z628" s="17">
        <f>IF(OR($W628="",$W628=6),"",CHOOSE($W628,"1st Email Follow-up","2nd Email Follow-up","Escalate Local Office","Escalate to CBE","Escalate to Roxanne"))</f>
        <v/>
      </c>
    </row>
    <row r="629" spans="18:26">
      <c r="R629" s="15"/>
      <c r="S629" s="16"/>
      <c r="T629" s="17">
        <f>IF(AND(COUNTA($A629:$K629)=0,$L629=""),"",IF($S629="Paid","PAID",IF($S629="Closed","CLOSED",IF($W629="","",IF($W629=6,"ESCALATED TO ROXANNE",IF(TODAY()&gt;$Y629,"OVERDUE",IF($Y629&lt;=WORKDAY(TODAY(),1,Holidays),"DUE TOMORROW",IF($W629=4,"ESCALATED TO LOCAL OFFICE",IF($W629=5,"ESCALATED TO CBE",IF($X629=TODAY(),"EMAIL SENT","MONITORING"))))))))))</f>
        <v/>
      </c>
      <c r="U629" s="17">
        <f>IF($T629="",IF(AND(COUNTA($A629:$K629)&gt;0,$L629=""),"Awaiting Collection Email time stamp.",""),IF(OR($T629="PAID",$T629="CLOSED"),IF($T629="PAID","Account paid. Action completed.","Account closed. No further action required."),CHOOSE($W629,"Collection Email","1st Email Follow-up","2nd Email Follow-up","Escalation to Local Office","Escalation to CBE","Escalation to Roxanne")&amp;" sent "&amp;TEXT($X629,"dd-mmm")&amp;". "&amp;IF($W629=6,"Final escalation completed.",IF($T629="OVERDUE","Next: "&amp;$Z629&amp;" was due "&amp;TEXT($Y629,"dd-mmm")&amp;" - "&amp;(NETWORKDAYS($Y629,TODAY(),Holidays)-1)&amp;" business day(s) late. Send now.",IF($T629="DUE TOMORROW","Next: "&amp;$Z629&amp;IF($Y629&lt;=TODAY()," is due TODAY ("," is due next business day (")&amp;TEXT($Y629,"dd-mmm")&amp;").","Next: "&amp;$Z629&amp;" due "&amp;TEXT($Y629,"dd-mmm")&amp;" ("&amp;(NETWORKDAYS(TODAY(),$Y629,Holidays)-1)&amp;" business day(s) left).")))))</f>
        <v/>
      </c>
      <c r="V629" s="17">
        <f>IF($W629="","",CHOOSE($W629,"Collection Email","1st Follow-up","2nd Follow-up","Local Office","CBE","Roxanne")&amp;IF($W629=6," - Final"," - Day "&amp;MAX(0,NETWORKDAYS($X629,TODAY(),Holidays)-1)&amp;" of "&amp;CHOOSE($W629,3,3,2,2,3))&amp;" | Total Day "&amp;MAX(0,NETWORKDAYS($L629,TODAY(),Holidays)-1))</f>
        <v/>
      </c>
      <c r="W629" s="17">
        <f>IF($L629="","",COUNT($L629:$Q629))</f>
        <v/>
      </c>
      <c r="X629" s="18">
        <f>IF($W629="","",INT(INDEX($L629:$Q629,$W629)))</f>
        <v/>
      </c>
      <c r="Y629" s="18">
        <f>IF(OR($W629="",$W629=6),"",WORKDAY($X629,CHOOSE($W629,3,3,2,2,3),Holidays))</f>
        <v/>
      </c>
      <c r="Z629" s="17">
        <f>IF(OR($W629="",$W629=6),"",CHOOSE($W629,"1st Email Follow-up","2nd Email Follow-up","Escalate Local Office","Escalate to CBE","Escalate to Roxanne"))</f>
        <v/>
      </c>
    </row>
    <row r="630" spans="18:26">
      <c r="R630" s="15"/>
      <c r="S630" s="16"/>
      <c r="T630" s="17">
        <f>IF(AND(COUNTA($A630:$K630)=0,$L630=""),"",IF($S630="Paid","PAID",IF($S630="Closed","CLOSED",IF($W630="","",IF($W630=6,"ESCALATED TO ROXANNE",IF(TODAY()&gt;$Y630,"OVERDUE",IF($Y630&lt;=WORKDAY(TODAY(),1,Holidays),"DUE TOMORROW",IF($W630=4,"ESCALATED TO LOCAL OFFICE",IF($W630=5,"ESCALATED TO CBE",IF($X630=TODAY(),"EMAIL SENT","MONITORING"))))))))))</f>
        <v/>
      </c>
      <c r="U630" s="17">
        <f>IF($T630="",IF(AND(COUNTA($A630:$K630)&gt;0,$L630=""),"Awaiting Collection Email time stamp.",""),IF(OR($T630="PAID",$T630="CLOSED"),IF($T630="PAID","Account paid. Action completed.","Account closed. No further action required."),CHOOSE($W630,"Collection Email","1st Email Follow-up","2nd Email Follow-up","Escalation to Local Office","Escalation to CBE","Escalation to Roxanne")&amp;" sent "&amp;TEXT($X630,"dd-mmm")&amp;". "&amp;IF($W630=6,"Final escalation completed.",IF($T630="OVERDUE","Next: "&amp;$Z630&amp;" was due "&amp;TEXT($Y630,"dd-mmm")&amp;" - "&amp;(NETWORKDAYS($Y630,TODAY(),Holidays)-1)&amp;" business day(s) late. Send now.",IF($T630="DUE TOMORROW","Next: "&amp;$Z630&amp;IF($Y630&lt;=TODAY()," is due TODAY ("," is due next business day (")&amp;TEXT($Y630,"dd-mmm")&amp;").","Next: "&amp;$Z630&amp;" due "&amp;TEXT($Y630,"dd-mmm")&amp;" ("&amp;(NETWORKDAYS(TODAY(),$Y630,Holidays)-1)&amp;" business day(s) left).")))))</f>
        <v/>
      </c>
      <c r="V630" s="17">
        <f>IF($W630="","",CHOOSE($W630,"Collection Email","1st Follow-up","2nd Follow-up","Local Office","CBE","Roxanne")&amp;IF($W630=6," - Final"," - Day "&amp;MAX(0,NETWORKDAYS($X630,TODAY(),Holidays)-1)&amp;" of "&amp;CHOOSE($W630,3,3,2,2,3))&amp;" | Total Day "&amp;MAX(0,NETWORKDAYS($L630,TODAY(),Holidays)-1))</f>
        <v/>
      </c>
      <c r="W630" s="17">
        <f>IF($L630="","",COUNT($L630:$Q630))</f>
        <v/>
      </c>
      <c r="X630" s="18">
        <f>IF($W630="","",INT(INDEX($L630:$Q630,$W630)))</f>
        <v/>
      </c>
      <c r="Y630" s="18">
        <f>IF(OR($W630="",$W630=6),"",WORKDAY($X630,CHOOSE($W630,3,3,2,2,3),Holidays))</f>
        <v/>
      </c>
      <c r="Z630" s="17">
        <f>IF(OR($W630="",$W630=6),"",CHOOSE($W630,"1st Email Follow-up","2nd Email Follow-up","Escalate Local Office","Escalate to CBE","Escalate to Roxanne"))</f>
        <v/>
      </c>
    </row>
    <row r="631" spans="18:26">
      <c r="R631" s="15"/>
      <c r="S631" s="16"/>
      <c r="T631" s="17">
        <f>IF(AND(COUNTA($A631:$K631)=0,$L631=""),"",IF($S631="Paid","PAID",IF($S631="Closed","CLOSED",IF($W631="","",IF($W631=6,"ESCALATED TO ROXANNE",IF(TODAY()&gt;$Y631,"OVERDUE",IF($Y631&lt;=WORKDAY(TODAY(),1,Holidays),"DUE TOMORROW",IF($W631=4,"ESCALATED TO LOCAL OFFICE",IF($W631=5,"ESCALATED TO CBE",IF($X631=TODAY(),"EMAIL SENT","MONITORING"))))))))))</f>
        <v/>
      </c>
      <c r="U631" s="17">
        <f>IF($T631="",IF(AND(COUNTA($A631:$K631)&gt;0,$L631=""),"Awaiting Collection Email time stamp.",""),IF(OR($T631="PAID",$T631="CLOSED"),IF($T631="PAID","Account paid. Action completed.","Account closed. No further action required."),CHOOSE($W631,"Collection Email","1st Email Follow-up","2nd Email Follow-up","Escalation to Local Office","Escalation to CBE","Escalation to Roxanne")&amp;" sent "&amp;TEXT($X631,"dd-mmm")&amp;". "&amp;IF($W631=6,"Final escalation completed.",IF($T631="OVERDUE","Next: "&amp;$Z631&amp;" was due "&amp;TEXT($Y631,"dd-mmm")&amp;" - "&amp;(NETWORKDAYS($Y631,TODAY(),Holidays)-1)&amp;" business day(s) late. Send now.",IF($T631="DUE TOMORROW","Next: "&amp;$Z631&amp;IF($Y631&lt;=TODAY()," is due TODAY ("," is due next business day (")&amp;TEXT($Y631,"dd-mmm")&amp;").","Next: "&amp;$Z631&amp;" due "&amp;TEXT($Y631,"dd-mmm")&amp;" ("&amp;(NETWORKDAYS(TODAY(),$Y631,Holidays)-1)&amp;" business day(s) left).")))))</f>
        <v/>
      </c>
      <c r="V631" s="17">
        <f>IF($W631="","",CHOOSE($W631,"Collection Email","1st Follow-up","2nd Follow-up","Local Office","CBE","Roxanne")&amp;IF($W631=6," - Final"," - Day "&amp;MAX(0,NETWORKDAYS($X631,TODAY(),Holidays)-1)&amp;" of "&amp;CHOOSE($W631,3,3,2,2,3))&amp;" | Total Day "&amp;MAX(0,NETWORKDAYS($L631,TODAY(),Holidays)-1))</f>
        <v/>
      </c>
      <c r="W631" s="17">
        <f>IF($L631="","",COUNT($L631:$Q631))</f>
        <v/>
      </c>
      <c r="X631" s="18">
        <f>IF($W631="","",INT(INDEX($L631:$Q631,$W631)))</f>
        <v/>
      </c>
      <c r="Y631" s="18">
        <f>IF(OR($W631="",$W631=6),"",WORKDAY($X631,CHOOSE($W631,3,3,2,2,3),Holidays))</f>
        <v/>
      </c>
      <c r="Z631" s="17">
        <f>IF(OR($W631="",$W631=6),"",CHOOSE($W631,"1st Email Follow-up","2nd Email Follow-up","Escalate Local Office","Escalate to CBE","Escalate to Roxanne"))</f>
        <v/>
      </c>
    </row>
    <row r="632" spans="18:26">
      <c r="R632" s="15"/>
      <c r="S632" s="16"/>
      <c r="T632" s="17">
        <f>IF(AND(COUNTA($A632:$K632)=0,$L632=""),"",IF($S632="Paid","PAID",IF($S632="Closed","CLOSED",IF($W632="","",IF($W632=6,"ESCALATED TO ROXANNE",IF(TODAY()&gt;$Y632,"OVERDUE",IF($Y632&lt;=WORKDAY(TODAY(),1,Holidays),"DUE TOMORROW",IF($W632=4,"ESCALATED TO LOCAL OFFICE",IF($W632=5,"ESCALATED TO CBE",IF($X632=TODAY(),"EMAIL SENT","MONITORING"))))))))))</f>
        <v/>
      </c>
      <c r="U632" s="17">
        <f>IF($T632="",IF(AND(COUNTA($A632:$K632)&gt;0,$L632=""),"Awaiting Collection Email time stamp.",""),IF(OR($T632="PAID",$T632="CLOSED"),IF($T632="PAID","Account paid. Action completed.","Account closed. No further action required."),CHOOSE($W632,"Collection Email","1st Email Follow-up","2nd Email Follow-up","Escalation to Local Office","Escalation to CBE","Escalation to Roxanne")&amp;" sent "&amp;TEXT($X632,"dd-mmm")&amp;". "&amp;IF($W632=6,"Final escalation completed.",IF($T632="OVERDUE","Next: "&amp;$Z632&amp;" was due "&amp;TEXT($Y632,"dd-mmm")&amp;" - "&amp;(NETWORKDAYS($Y632,TODAY(),Holidays)-1)&amp;" business day(s) late. Send now.",IF($T632="DUE TOMORROW","Next: "&amp;$Z632&amp;IF($Y632&lt;=TODAY()," is due TODAY ("," is due next business day (")&amp;TEXT($Y632,"dd-mmm")&amp;").","Next: "&amp;$Z632&amp;" due "&amp;TEXT($Y632,"dd-mmm")&amp;" ("&amp;(NETWORKDAYS(TODAY(),$Y632,Holidays)-1)&amp;" business day(s) left).")))))</f>
        <v/>
      </c>
      <c r="V632" s="17">
        <f>IF($W632="","",CHOOSE($W632,"Collection Email","1st Follow-up","2nd Follow-up","Local Office","CBE","Roxanne")&amp;IF($W632=6," - Final"," - Day "&amp;MAX(0,NETWORKDAYS($X632,TODAY(),Holidays)-1)&amp;" of "&amp;CHOOSE($W632,3,3,2,2,3))&amp;" | Total Day "&amp;MAX(0,NETWORKDAYS($L632,TODAY(),Holidays)-1))</f>
        <v/>
      </c>
      <c r="W632" s="17">
        <f>IF($L632="","",COUNT($L632:$Q632))</f>
        <v/>
      </c>
      <c r="X632" s="18">
        <f>IF($W632="","",INT(INDEX($L632:$Q632,$W632)))</f>
        <v/>
      </c>
      <c r="Y632" s="18">
        <f>IF(OR($W632="",$W632=6),"",WORKDAY($X632,CHOOSE($W632,3,3,2,2,3),Holidays))</f>
        <v/>
      </c>
      <c r="Z632" s="17">
        <f>IF(OR($W632="",$W632=6),"",CHOOSE($W632,"1st Email Follow-up","2nd Email Follow-up","Escalate Local Office","Escalate to CBE","Escalate to Roxanne"))</f>
        <v/>
      </c>
    </row>
    <row r="633" spans="18:26">
      <c r="R633" s="15"/>
      <c r="S633" s="16"/>
      <c r="T633" s="17">
        <f>IF(AND(COUNTA($A633:$K633)=0,$L633=""),"",IF($S633="Paid","PAID",IF($S633="Closed","CLOSED",IF($W633="","",IF($W633=6,"ESCALATED TO ROXANNE",IF(TODAY()&gt;$Y633,"OVERDUE",IF($Y633&lt;=WORKDAY(TODAY(),1,Holidays),"DUE TOMORROW",IF($W633=4,"ESCALATED TO LOCAL OFFICE",IF($W633=5,"ESCALATED TO CBE",IF($X633=TODAY(),"EMAIL SENT","MONITORING"))))))))))</f>
        <v/>
      </c>
      <c r="U633" s="17">
        <f>IF($T633="",IF(AND(COUNTA($A633:$K633)&gt;0,$L633=""),"Awaiting Collection Email time stamp.",""),IF(OR($T633="PAID",$T633="CLOSED"),IF($T633="PAID","Account paid. Action completed.","Account closed. No further action required."),CHOOSE($W633,"Collection Email","1st Email Follow-up","2nd Email Follow-up","Escalation to Local Office","Escalation to CBE","Escalation to Roxanne")&amp;" sent "&amp;TEXT($X633,"dd-mmm")&amp;". "&amp;IF($W633=6,"Final escalation completed.",IF($T633="OVERDUE","Next: "&amp;$Z633&amp;" was due "&amp;TEXT($Y633,"dd-mmm")&amp;" - "&amp;(NETWORKDAYS($Y633,TODAY(),Holidays)-1)&amp;" business day(s) late. Send now.",IF($T633="DUE TOMORROW","Next: "&amp;$Z633&amp;IF($Y633&lt;=TODAY()," is due TODAY ("," is due next business day (")&amp;TEXT($Y633,"dd-mmm")&amp;").","Next: "&amp;$Z633&amp;" due "&amp;TEXT($Y633,"dd-mmm")&amp;" ("&amp;(NETWORKDAYS(TODAY(),$Y633,Holidays)-1)&amp;" business day(s) left).")))))</f>
        <v/>
      </c>
      <c r="V633" s="17">
        <f>IF($W633="","",CHOOSE($W633,"Collection Email","1st Follow-up","2nd Follow-up","Local Office","CBE","Roxanne")&amp;IF($W633=6," - Final"," - Day "&amp;MAX(0,NETWORKDAYS($X633,TODAY(),Holidays)-1)&amp;" of "&amp;CHOOSE($W633,3,3,2,2,3))&amp;" | Total Day "&amp;MAX(0,NETWORKDAYS($L633,TODAY(),Holidays)-1))</f>
        <v/>
      </c>
      <c r="W633" s="17">
        <f>IF($L633="","",COUNT($L633:$Q633))</f>
        <v/>
      </c>
      <c r="X633" s="18">
        <f>IF($W633="","",INT(INDEX($L633:$Q633,$W633)))</f>
        <v/>
      </c>
      <c r="Y633" s="18">
        <f>IF(OR($W633="",$W633=6),"",WORKDAY($X633,CHOOSE($W633,3,3,2,2,3),Holidays))</f>
        <v/>
      </c>
      <c r="Z633" s="17">
        <f>IF(OR($W633="",$W633=6),"",CHOOSE($W633,"1st Email Follow-up","2nd Email Follow-up","Escalate Local Office","Escalate to CBE","Escalate to Roxanne"))</f>
        <v/>
      </c>
    </row>
    <row r="634" spans="18:26">
      <c r="R634" s="15"/>
      <c r="S634" s="16"/>
      <c r="T634" s="17">
        <f>IF(AND(COUNTA($A634:$K634)=0,$L634=""),"",IF($S634="Paid","PAID",IF($S634="Closed","CLOSED",IF($W634="","",IF($W634=6,"ESCALATED TO ROXANNE",IF(TODAY()&gt;$Y634,"OVERDUE",IF($Y634&lt;=WORKDAY(TODAY(),1,Holidays),"DUE TOMORROW",IF($W634=4,"ESCALATED TO LOCAL OFFICE",IF($W634=5,"ESCALATED TO CBE",IF($X634=TODAY(),"EMAIL SENT","MONITORING"))))))))))</f>
        <v/>
      </c>
      <c r="U634" s="17">
        <f>IF($T634="",IF(AND(COUNTA($A634:$K634)&gt;0,$L634=""),"Awaiting Collection Email time stamp.",""),IF(OR($T634="PAID",$T634="CLOSED"),IF($T634="PAID","Account paid. Action completed.","Account closed. No further action required."),CHOOSE($W634,"Collection Email","1st Email Follow-up","2nd Email Follow-up","Escalation to Local Office","Escalation to CBE","Escalation to Roxanne")&amp;" sent "&amp;TEXT($X634,"dd-mmm")&amp;". "&amp;IF($W634=6,"Final escalation completed.",IF($T634="OVERDUE","Next: "&amp;$Z634&amp;" was due "&amp;TEXT($Y634,"dd-mmm")&amp;" - "&amp;(NETWORKDAYS($Y634,TODAY(),Holidays)-1)&amp;" business day(s) late. Send now.",IF($T634="DUE TOMORROW","Next: "&amp;$Z634&amp;IF($Y634&lt;=TODAY()," is due TODAY ("," is due next business day (")&amp;TEXT($Y634,"dd-mmm")&amp;").","Next: "&amp;$Z634&amp;" due "&amp;TEXT($Y634,"dd-mmm")&amp;" ("&amp;(NETWORKDAYS(TODAY(),$Y634,Holidays)-1)&amp;" business day(s) left).")))))</f>
        <v/>
      </c>
      <c r="V634" s="17">
        <f>IF($W634="","",CHOOSE($W634,"Collection Email","1st Follow-up","2nd Follow-up","Local Office","CBE","Roxanne")&amp;IF($W634=6," - Final"," - Day "&amp;MAX(0,NETWORKDAYS($X634,TODAY(),Holidays)-1)&amp;" of "&amp;CHOOSE($W634,3,3,2,2,3))&amp;" | Total Day "&amp;MAX(0,NETWORKDAYS($L634,TODAY(),Holidays)-1))</f>
        <v/>
      </c>
      <c r="W634" s="17">
        <f>IF($L634="","",COUNT($L634:$Q634))</f>
        <v/>
      </c>
      <c r="X634" s="18">
        <f>IF($W634="","",INT(INDEX($L634:$Q634,$W634)))</f>
        <v/>
      </c>
      <c r="Y634" s="18">
        <f>IF(OR($W634="",$W634=6),"",WORKDAY($X634,CHOOSE($W634,3,3,2,2,3),Holidays))</f>
        <v/>
      </c>
      <c r="Z634" s="17">
        <f>IF(OR($W634="",$W634=6),"",CHOOSE($W634,"1st Email Follow-up","2nd Email Follow-up","Escalate Local Office","Escalate to CBE","Escalate to Roxanne"))</f>
        <v/>
      </c>
    </row>
    <row r="635" spans="18:26">
      <c r="R635" s="15"/>
      <c r="S635" s="16"/>
      <c r="T635" s="17">
        <f>IF(AND(COUNTA($A635:$K635)=0,$L635=""),"",IF($S635="Paid","PAID",IF($S635="Closed","CLOSED",IF($W635="","",IF($W635=6,"ESCALATED TO ROXANNE",IF(TODAY()&gt;$Y635,"OVERDUE",IF($Y635&lt;=WORKDAY(TODAY(),1,Holidays),"DUE TOMORROW",IF($W635=4,"ESCALATED TO LOCAL OFFICE",IF($W635=5,"ESCALATED TO CBE",IF($X635=TODAY(),"EMAIL SENT","MONITORING"))))))))))</f>
        <v/>
      </c>
      <c r="U635" s="17">
        <f>IF($T635="",IF(AND(COUNTA($A635:$K635)&gt;0,$L635=""),"Awaiting Collection Email time stamp.",""),IF(OR($T635="PAID",$T635="CLOSED"),IF($T635="PAID","Account paid. Action completed.","Account closed. No further action required."),CHOOSE($W635,"Collection Email","1st Email Follow-up","2nd Email Follow-up","Escalation to Local Office","Escalation to CBE","Escalation to Roxanne")&amp;" sent "&amp;TEXT($X635,"dd-mmm")&amp;". "&amp;IF($W635=6,"Final escalation completed.",IF($T635="OVERDUE","Next: "&amp;$Z635&amp;" was due "&amp;TEXT($Y635,"dd-mmm")&amp;" - "&amp;(NETWORKDAYS($Y635,TODAY(),Holidays)-1)&amp;" business day(s) late. Send now.",IF($T635="DUE TOMORROW","Next: "&amp;$Z635&amp;IF($Y635&lt;=TODAY()," is due TODAY ("," is due next business day (")&amp;TEXT($Y635,"dd-mmm")&amp;").","Next: "&amp;$Z635&amp;" due "&amp;TEXT($Y635,"dd-mmm")&amp;" ("&amp;(NETWORKDAYS(TODAY(),$Y635,Holidays)-1)&amp;" business day(s) left).")))))</f>
        <v/>
      </c>
      <c r="V635" s="17">
        <f>IF($W635="","",CHOOSE($W635,"Collection Email","1st Follow-up","2nd Follow-up","Local Office","CBE","Roxanne")&amp;IF($W635=6," - Final"," - Day "&amp;MAX(0,NETWORKDAYS($X635,TODAY(),Holidays)-1)&amp;" of "&amp;CHOOSE($W635,3,3,2,2,3))&amp;" | Total Day "&amp;MAX(0,NETWORKDAYS($L635,TODAY(),Holidays)-1))</f>
        <v/>
      </c>
      <c r="W635" s="17">
        <f>IF($L635="","",COUNT($L635:$Q635))</f>
        <v/>
      </c>
      <c r="X635" s="18">
        <f>IF($W635="","",INT(INDEX($L635:$Q635,$W635)))</f>
        <v/>
      </c>
      <c r="Y635" s="18">
        <f>IF(OR($W635="",$W635=6),"",WORKDAY($X635,CHOOSE($W635,3,3,2,2,3),Holidays))</f>
        <v/>
      </c>
      <c r="Z635" s="17">
        <f>IF(OR($W635="",$W635=6),"",CHOOSE($W635,"1st Email Follow-up","2nd Email Follow-up","Escalate Local Office","Escalate to CBE","Escalate to Roxanne"))</f>
        <v/>
      </c>
    </row>
    <row r="636" spans="18:26">
      <c r="R636" s="15"/>
      <c r="S636" s="16"/>
      <c r="T636" s="17">
        <f>IF(AND(COUNTA($A636:$K636)=0,$L636=""),"",IF($S636="Paid","PAID",IF($S636="Closed","CLOSED",IF($W636="","",IF($W636=6,"ESCALATED TO ROXANNE",IF(TODAY()&gt;$Y636,"OVERDUE",IF($Y636&lt;=WORKDAY(TODAY(),1,Holidays),"DUE TOMORROW",IF($W636=4,"ESCALATED TO LOCAL OFFICE",IF($W636=5,"ESCALATED TO CBE",IF($X636=TODAY(),"EMAIL SENT","MONITORING"))))))))))</f>
        <v/>
      </c>
      <c r="U636" s="17">
        <f>IF($T636="",IF(AND(COUNTA($A636:$K636)&gt;0,$L636=""),"Awaiting Collection Email time stamp.",""),IF(OR($T636="PAID",$T636="CLOSED"),IF($T636="PAID","Account paid. Action completed.","Account closed. No further action required."),CHOOSE($W636,"Collection Email","1st Email Follow-up","2nd Email Follow-up","Escalation to Local Office","Escalation to CBE","Escalation to Roxanne")&amp;" sent "&amp;TEXT($X636,"dd-mmm")&amp;". "&amp;IF($W636=6,"Final escalation completed.",IF($T636="OVERDUE","Next: "&amp;$Z636&amp;" was due "&amp;TEXT($Y636,"dd-mmm")&amp;" - "&amp;(NETWORKDAYS($Y636,TODAY(),Holidays)-1)&amp;" business day(s) late. Send now.",IF($T636="DUE TOMORROW","Next: "&amp;$Z636&amp;IF($Y636&lt;=TODAY()," is due TODAY ("," is due next business day (")&amp;TEXT($Y636,"dd-mmm")&amp;").","Next: "&amp;$Z636&amp;" due "&amp;TEXT($Y636,"dd-mmm")&amp;" ("&amp;(NETWORKDAYS(TODAY(),$Y636,Holidays)-1)&amp;" business day(s) left).")))))</f>
        <v/>
      </c>
      <c r="V636" s="17">
        <f>IF($W636="","",CHOOSE($W636,"Collection Email","1st Follow-up","2nd Follow-up","Local Office","CBE","Roxanne")&amp;IF($W636=6," - Final"," - Day "&amp;MAX(0,NETWORKDAYS($X636,TODAY(),Holidays)-1)&amp;" of "&amp;CHOOSE($W636,3,3,2,2,3))&amp;" | Total Day "&amp;MAX(0,NETWORKDAYS($L636,TODAY(),Holidays)-1))</f>
        <v/>
      </c>
      <c r="W636" s="17">
        <f>IF($L636="","",COUNT($L636:$Q636))</f>
        <v/>
      </c>
      <c r="X636" s="18">
        <f>IF($W636="","",INT(INDEX($L636:$Q636,$W636)))</f>
        <v/>
      </c>
      <c r="Y636" s="18">
        <f>IF(OR($W636="",$W636=6),"",WORKDAY($X636,CHOOSE($W636,3,3,2,2,3),Holidays))</f>
        <v/>
      </c>
      <c r="Z636" s="17">
        <f>IF(OR($W636="",$W636=6),"",CHOOSE($W636,"1st Email Follow-up","2nd Email Follow-up","Escalate Local Office","Escalate to CBE","Escalate to Roxanne"))</f>
        <v/>
      </c>
    </row>
    <row r="637" spans="18:26">
      <c r="R637" s="15"/>
      <c r="S637" s="16"/>
      <c r="T637" s="17">
        <f>IF(AND(COUNTA($A637:$K637)=0,$L637=""),"",IF($S637="Paid","PAID",IF($S637="Closed","CLOSED",IF($W637="","",IF($W637=6,"ESCALATED TO ROXANNE",IF(TODAY()&gt;$Y637,"OVERDUE",IF($Y637&lt;=WORKDAY(TODAY(),1,Holidays),"DUE TOMORROW",IF($W637=4,"ESCALATED TO LOCAL OFFICE",IF($W637=5,"ESCALATED TO CBE",IF($X637=TODAY(),"EMAIL SENT","MONITORING"))))))))))</f>
        <v/>
      </c>
      <c r="U637" s="17">
        <f>IF($T637="",IF(AND(COUNTA($A637:$K637)&gt;0,$L637=""),"Awaiting Collection Email time stamp.",""),IF(OR($T637="PAID",$T637="CLOSED"),IF($T637="PAID","Account paid. Action completed.","Account closed. No further action required."),CHOOSE($W637,"Collection Email","1st Email Follow-up","2nd Email Follow-up","Escalation to Local Office","Escalation to CBE","Escalation to Roxanne")&amp;" sent "&amp;TEXT($X637,"dd-mmm")&amp;". "&amp;IF($W637=6,"Final escalation completed.",IF($T637="OVERDUE","Next: "&amp;$Z637&amp;" was due "&amp;TEXT($Y637,"dd-mmm")&amp;" - "&amp;(NETWORKDAYS($Y637,TODAY(),Holidays)-1)&amp;" business day(s) late. Send now.",IF($T637="DUE TOMORROW","Next: "&amp;$Z637&amp;IF($Y637&lt;=TODAY()," is due TODAY ("," is due next business day (")&amp;TEXT($Y637,"dd-mmm")&amp;").","Next: "&amp;$Z637&amp;" due "&amp;TEXT($Y637,"dd-mmm")&amp;" ("&amp;(NETWORKDAYS(TODAY(),$Y637,Holidays)-1)&amp;" business day(s) left).")))))</f>
        <v/>
      </c>
      <c r="V637" s="17">
        <f>IF($W637="","",CHOOSE($W637,"Collection Email","1st Follow-up","2nd Follow-up","Local Office","CBE","Roxanne")&amp;IF($W637=6," - Final"," - Day "&amp;MAX(0,NETWORKDAYS($X637,TODAY(),Holidays)-1)&amp;" of "&amp;CHOOSE($W637,3,3,2,2,3))&amp;" | Total Day "&amp;MAX(0,NETWORKDAYS($L637,TODAY(),Holidays)-1))</f>
        <v/>
      </c>
      <c r="W637" s="17">
        <f>IF($L637="","",COUNT($L637:$Q637))</f>
        <v/>
      </c>
      <c r="X637" s="18">
        <f>IF($W637="","",INT(INDEX($L637:$Q637,$W637)))</f>
        <v/>
      </c>
      <c r="Y637" s="18">
        <f>IF(OR($W637="",$W637=6),"",WORKDAY($X637,CHOOSE($W637,3,3,2,2,3),Holidays))</f>
        <v/>
      </c>
      <c r="Z637" s="17">
        <f>IF(OR($W637="",$W637=6),"",CHOOSE($W637,"1st Email Follow-up","2nd Email Follow-up","Escalate Local Office","Escalate to CBE","Escalate to Roxanne"))</f>
        <v/>
      </c>
    </row>
    <row r="638" spans="18:26">
      <c r="R638" s="15"/>
      <c r="S638" s="16"/>
      <c r="T638" s="17">
        <f>IF(AND(COUNTA($A638:$K638)=0,$L638=""),"",IF($S638="Paid","PAID",IF($S638="Closed","CLOSED",IF($W638="","",IF($W638=6,"ESCALATED TO ROXANNE",IF(TODAY()&gt;$Y638,"OVERDUE",IF($Y638&lt;=WORKDAY(TODAY(),1,Holidays),"DUE TOMORROW",IF($W638=4,"ESCALATED TO LOCAL OFFICE",IF($W638=5,"ESCALATED TO CBE",IF($X638=TODAY(),"EMAIL SENT","MONITORING"))))))))))</f>
        <v/>
      </c>
      <c r="U638" s="17">
        <f>IF($T638="",IF(AND(COUNTA($A638:$K638)&gt;0,$L638=""),"Awaiting Collection Email time stamp.",""),IF(OR($T638="PAID",$T638="CLOSED"),IF($T638="PAID","Account paid. Action completed.","Account closed. No further action required."),CHOOSE($W638,"Collection Email","1st Email Follow-up","2nd Email Follow-up","Escalation to Local Office","Escalation to CBE","Escalation to Roxanne")&amp;" sent "&amp;TEXT($X638,"dd-mmm")&amp;". "&amp;IF($W638=6,"Final escalation completed.",IF($T638="OVERDUE","Next: "&amp;$Z638&amp;" was due "&amp;TEXT($Y638,"dd-mmm")&amp;" - "&amp;(NETWORKDAYS($Y638,TODAY(),Holidays)-1)&amp;" business day(s) late. Send now.",IF($T638="DUE TOMORROW","Next: "&amp;$Z638&amp;IF($Y638&lt;=TODAY()," is due TODAY ("," is due next business day (")&amp;TEXT($Y638,"dd-mmm")&amp;").","Next: "&amp;$Z638&amp;" due "&amp;TEXT($Y638,"dd-mmm")&amp;" ("&amp;(NETWORKDAYS(TODAY(),$Y638,Holidays)-1)&amp;" business day(s) left).")))))</f>
        <v/>
      </c>
      <c r="V638" s="17">
        <f>IF($W638="","",CHOOSE($W638,"Collection Email","1st Follow-up","2nd Follow-up","Local Office","CBE","Roxanne")&amp;IF($W638=6," - Final"," - Day "&amp;MAX(0,NETWORKDAYS($X638,TODAY(),Holidays)-1)&amp;" of "&amp;CHOOSE($W638,3,3,2,2,3))&amp;" | Total Day "&amp;MAX(0,NETWORKDAYS($L638,TODAY(),Holidays)-1))</f>
        <v/>
      </c>
      <c r="W638" s="17">
        <f>IF($L638="","",COUNT($L638:$Q638))</f>
        <v/>
      </c>
      <c r="X638" s="18">
        <f>IF($W638="","",INT(INDEX($L638:$Q638,$W638)))</f>
        <v/>
      </c>
      <c r="Y638" s="18">
        <f>IF(OR($W638="",$W638=6),"",WORKDAY($X638,CHOOSE($W638,3,3,2,2,3),Holidays))</f>
        <v/>
      </c>
      <c r="Z638" s="17">
        <f>IF(OR($W638="",$W638=6),"",CHOOSE($W638,"1st Email Follow-up","2nd Email Follow-up","Escalate Local Office","Escalate to CBE","Escalate to Roxanne"))</f>
        <v/>
      </c>
    </row>
    <row r="639" spans="18:26">
      <c r="R639" s="15"/>
      <c r="S639" s="16"/>
      <c r="T639" s="17">
        <f>IF(AND(COUNTA($A639:$K639)=0,$L639=""),"",IF($S639="Paid","PAID",IF($S639="Closed","CLOSED",IF($W639="","",IF($W639=6,"ESCALATED TO ROXANNE",IF(TODAY()&gt;$Y639,"OVERDUE",IF($Y639&lt;=WORKDAY(TODAY(),1,Holidays),"DUE TOMORROW",IF($W639=4,"ESCALATED TO LOCAL OFFICE",IF($W639=5,"ESCALATED TO CBE",IF($X639=TODAY(),"EMAIL SENT","MONITORING"))))))))))</f>
        <v/>
      </c>
      <c r="U639" s="17">
        <f>IF($T639="",IF(AND(COUNTA($A639:$K639)&gt;0,$L639=""),"Awaiting Collection Email time stamp.",""),IF(OR($T639="PAID",$T639="CLOSED"),IF($T639="PAID","Account paid. Action completed.","Account closed. No further action required."),CHOOSE($W639,"Collection Email","1st Email Follow-up","2nd Email Follow-up","Escalation to Local Office","Escalation to CBE","Escalation to Roxanne")&amp;" sent "&amp;TEXT($X639,"dd-mmm")&amp;". "&amp;IF($W639=6,"Final escalation completed.",IF($T639="OVERDUE","Next: "&amp;$Z639&amp;" was due "&amp;TEXT($Y639,"dd-mmm")&amp;" - "&amp;(NETWORKDAYS($Y639,TODAY(),Holidays)-1)&amp;" business day(s) late. Send now.",IF($T639="DUE TOMORROW","Next: "&amp;$Z639&amp;IF($Y639&lt;=TODAY()," is due TODAY ("," is due next business day (")&amp;TEXT($Y639,"dd-mmm")&amp;").","Next: "&amp;$Z639&amp;" due "&amp;TEXT($Y639,"dd-mmm")&amp;" ("&amp;(NETWORKDAYS(TODAY(),$Y639,Holidays)-1)&amp;" business day(s) left).")))))</f>
        <v/>
      </c>
      <c r="V639" s="17">
        <f>IF($W639="","",CHOOSE($W639,"Collection Email","1st Follow-up","2nd Follow-up","Local Office","CBE","Roxanne")&amp;IF($W639=6," - Final"," - Day "&amp;MAX(0,NETWORKDAYS($X639,TODAY(),Holidays)-1)&amp;" of "&amp;CHOOSE($W639,3,3,2,2,3))&amp;" | Total Day "&amp;MAX(0,NETWORKDAYS($L639,TODAY(),Holidays)-1))</f>
        <v/>
      </c>
      <c r="W639" s="17">
        <f>IF($L639="","",COUNT($L639:$Q639))</f>
        <v/>
      </c>
      <c r="X639" s="18">
        <f>IF($W639="","",INT(INDEX($L639:$Q639,$W639)))</f>
        <v/>
      </c>
      <c r="Y639" s="18">
        <f>IF(OR($W639="",$W639=6),"",WORKDAY($X639,CHOOSE($W639,3,3,2,2,3),Holidays))</f>
        <v/>
      </c>
      <c r="Z639" s="17">
        <f>IF(OR($W639="",$W639=6),"",CHOOSE($W639,"1st Email Follow-up","2nd Email Follow-up","Escalate Local Office","Escalate to CBE","Escalate to Roxanne"))</f>
        <v/>
      </c>
    </row>
    <row r="640" spans="18:26">
      <c r="R640" s="15"/>
      <c r="S640" s="16"/>
      <c r="T640" s="17">
        <f>IF(AND(COUNTA($A640:$K640)=0,$L640=""),"",IF($S640="Paid","PAID",IF($S640="Closed","CLOSED",IF($W640="","",IF($W640=6,"ESCALATED TO ROXANNE",IF(TODAY()&gt;$Y640,"OVERDUE",IF($Y640&lt;=WORKDAY(TODAY(),1,Holidays),"DUE TOMORROW",IF($W640=4,"ESCALATED TO LOCAL OFFICE",IF($W640=5,"ESCALATED TO CBE",IF($X640=TODAY(),"EMAIL SENT","MONITORING"))))))))))</f>
        <v/>
      </c>
      <c r="U640" s="17">
        <f>IF($T640="",IF(AND(COUNTA($A640:$K640)&gt;0,$L640=""),"Awaiting Collection Email time stamp.",""),IF(OR($T640="PAID",$T640="CLOSED"),IF($T640="PAID","Account paid. Action completed.","Account closed. No further action required."),CHOOSE($W640,"Collection Email","1st Email Follow-up","2nd Email Follow-up","Escalation to Local Office","Escalation to CBE","Escalation to Roxanne")&amp;" sent "&amp;TEXT($X640,"dd-mmm")&amp;". "&amp;IF($W640=6,"Final escalation completed.",IF($T640="OVERDUE","Next: "&amp;$Z640&amp;" was due "&amp;TEXT($Y640,"dd-mmm")&amp;" - "&amp;(NETWORKDAYS($Y640,TODAY(),Holidays)-1)&amp;" business day(s) late. Send now.",IF($T640="DUE TOMORROW","Next: "&amp;$Z640&amp;IF($Y640&lt;=TODAY()," is due TODAY ("," is due next business day (")&amp;TEXT($Y640,"dd-mmm")&amp;").","Next: "&amp;$Z640&amp;" due "&amp;TEXT($Y640,"dd-mmm")&amp;" ("&amp;(NETWORKDAYS(TODAY(),$Y640,Holidays)-1)&amp;" business day(s) left).")))))</f>
        <v/>
      </c>
      <c r="V640" s="17">
        <f>IF($W640="","",CHOOSE($W640,"Collection Email","1st Follow-up","2nd Follow-up","Local Office","CBE","Roxanne")&amp;IF($W640=6," - Final"," - Day "&amp;MAX(0,NETWORKDAYS($X640,TODAY(),Holidays)-1)&amp;" of "&amp;CHOOSE($W640,3,3,2,2,3))&amp;" | Total Day "&amp;MAX(0,NETWORKDAYS($L640,TODAY(),Holidays)-1))</f>
        <v/>
      </c>
      <c r="W640" s="17">
        <f>IF($L640="","",COUNT($L640:$Q640))</f>
        <v/>
      </c>
      <c r="X640" s="18">
        <f>IF($W640="","",INT(INDEX($L640:$Q640,$W640)))</f>
        <v/>
      </c>
      <c r="Y640" s="18">
        <f>IF(OR($W640="",$W640=6),"",WORKDAY($X640,CHOOSE($W640,3,3,2,2,3),Holidays))</f>
        <v/>
      </c>
      <c r="Z640" s="17">
        <f>IF(OR($W640="",$W640=6),"",CHOOSE($W640,"1st Email Follow-up","2nd Email Follow-up","Escalate Local Office","Escalate to CBE","Escalate to Roxanne"))</f>
        <v/>
      </c>
    </row>
    <row r="641" spans="18:26">
      <c r="R641" s="15"/>
      <c r="S641" s="16"/>
      <c r="T641" s="17">
        <f>IF(AND(COUNTA($A641:$K641)=0,$L641=""),"",IF($S641="Paid","PAID",IF($S641="Closed","CLOSED",IF($W641="","",IF($W641=6,"ESCALATED TO ROXANNE",IF(TODAY()&gt;$Y641,"OVERDUE",IF($Y641&lt;=WORKDAY(TODAY(),1,Holidays),"DUE TOMORROW",IF($W641=4,"ESCALATED TO LOCAL OFFICE",IF($W641=5,"ESCALATED TO CBE",IF($X641=TODAY(),"EMAIL SENT","MONITORING"))))))))))</f>
        <v/>
      </c>
      <c r="U641" s="17">
        <f>IF($T641="",IF(AND(COUNTA($A641:$K641)&gt;0,$L641=""),"Awaiting Collection Email time stamp.",""),IF(OR($T641="PAID",$T641="CLOSED"),IF($T641="PAID","Account paid. Action completed.","Account closed. No further action required."),CHOOSE($W641,"Collection Email","1st Email Follow-up","2nd Email Follow-up","Escalation to Local Office","Escalation to CBE","Escalation to Roxanne")&amp;" sent "&amp;TEXT($X641,"dd-mmm")&amp;". "&amp;IF($W641=6,"Final escalation completed.",IF($T641="OVERDUE","Next: "&amp;$Z641&amp;" was due "&amp;TEXT($Y641,"dd-mmm")&amp;" - "&amp;(NETWORKDAYS($Y641,TODAY(),Holidays)-1)&amp;" business day(s) late. Send now.",IF($T641="DUE TOMORROW","Next: "&amp;$Z641&amp;IF($Y641&lt;=TODAY()," is due TODAY ("," is due next business day (")&amp;TEXT($Y641,"dd-mmm")&amp;").","Next: "&amp;$Z641&amp;" due "&amp;TEXT($Y641,"dd-mmm")&amp;" ("&amp;(NETWORKDAYS(TODAY(),$Y641,Holidays)-1)&amp;" business day(s) left).")))))</f>
        <v/>
      </c>
      <c r="V641" s="17">
        <f>IF($W641="","",CHOOSE($W641,"Collection Email","1st Follow-up","2nd Follow-up","Local Office","CBE","Roxanne")&amp;IF($W641=6," - Final"," - Day "&amp;MAX(0,NETWORKDAYS($X641,TODAY(),Holidays)-1)&amp;" of "&amp;CHOOSE($W641,3,3,2,2,3))&amp;" | Total Day "&amp;MAX(0,NETWORKDAYS($L641,TODAY(),Holidays)-1))</f>
        <v/>
      </c>
      <c r="W641" s="17">
        <f>IF($L641="","",COUNT($L641:$Q641))</f>
        <v/>
      </c>
      <c r="X641" s="18">
        <f>IF($W641="","",INT(INDEX($L641:$Q641,$W641)))</f>
        <v/>
      </c>
      <c r="Y641" s="18">
        <f>IF(OR($W641="",$W641=6),"",WORKDAY($X641,CHOOSE($W641,3,3,2,2,3),Holidays))</f>
        <v/>
      </c>
      <c r="Z641" s="17">
        <f>IF(OR($W641="",$W641=6),"",CHOOSE($W641,"1st Email Follow-up","2nd Email Follow-up","Escalate Local Office","Escalate to CBE","Escalate to Roxanne"))</f>
        <v/>
      </c>
    </row>
    <row r="642" spans="18:26">
      <c r="R642" s="15"/>
      <c r="S642" s="16"/>
      <c r="T642" s="17">
        <f>IF(AND(COUNTA($A642:$K642)=0,$L642=""),"",IF($S642="Paid","PAID",IF($S642="Closed","CLOSED",IF($W642="","",IF($W642=6,"ESCALATED TO ROXANNE",IF(TODAY()&gt;$Y642,"OVERDUE",IF($Y642&lt;=WORKDAY(TODAY(),1,Holidays),"DUE TOMORROW",IF($W642=4,"ESCALATED TO LOCAL OFFICE",IF($W642=5,"ESCALATED TO CBE",IF($X642=TODAY(),"EMAIL SENT","MONITORING"))))))))))</f>
        <v/>
      </c>
      <c r="U642" s="17">
        <f>IF($T642="",IF(AND(COUNTA($A642:$K642)&gt;0,$L642=""),"Awaiting Collection Email time stamp.",""),IF(OR($T642="PAID",$T642="CLOSED"),IF($T642="PAID","Account paid. Action completed.","Account closed. No further action required."),CHOOSE($W642,"Collection Email","1st Email Follow-up","2nd Email Follow-up","Escalation to Local Office","Escalation to CBE","Escalation to Roxanne")&amp;" sent "&amp;TEXT($X642,"dd-mmm")&amp;". "&amp;IF($W642=6,"Final escalation completed.",IF($T642="OVERDUE","Next: "&amp;$Z642&amp;" was due "&amp;TEXT($Y642,"dd-mmm")&amp;" - "&amp;(NETWORKDAYS($Y642,TODAY(),Holidays)-1)&amp;" business day(s) late. Send now.",IF($T642="DUE TOMORROW","Next: "&amp;$Z642&amp;IF($Y642&lt;=TODAY()," is due TODAY ("," is due next business day (")&amp;TEXT($Y642,"dd-mmm")&amp;").","Next: "&amp;$Z642&amp;" due "&amp;TEXT($Y642,"dd-mmm")&amp;" ("&amp;(NETWORKDAYS(TODAY(),$Y642,Holidays)-1)&amp;" business day(s) left).")))))</f>
        <v/>
      </c>
      <c r="V642" s="17">
        <f>IF($W642="","",CHOOSE($W642,"Collection Email","1st Follow-up","2nd Follow-up","Local Office","CBE","Roxanne")&amp;IF($W642=6," - Final"," - Day "&amp;MAX(0,NETWORKDAYS($X642,TODAY(),Holidays)-1)&amp;" of "&amp;CHOOSE($W642,3,3,2,2,3))&amp;" | Total Day "&amp;MAX(0,NETWORKDAYS($L642,TODAY(),Holidays)-1))</f>
        <v/>
      </c>
      <c r="W642" s="17">
        <f>IF($L642="","",COUNT($L642:$Q642))</f>
        <v/>
      </c>
      <c r="X642" s="18">
        <f>IF($W642="","",INT(INDEX($L642:$Q642,$W642)))</f>
        <v/>
      </c>
      <c r="Y642" s="18">
        <f>IF(OR($W642="",$W642=6),"",WORKDAY($X642,CHOOSE($W642,3,3,2,2,3),Holidays))</f>
        <v/>
      </c>
      <c r="Z642" s="17">
        <f>IF(OR($W642="",$W642=6),"",CHOOSE($W642,"1st Email Follow-up","2nd Email Follow-up","Escalate Local Office","Escalate to CBE","Escalate to Roxanne"))</f>
        <v/>
      </c>
    </row>
    <row r="643" spans="18:26">
      <c r="R643" s="15"/>
      <c r="S643" s="16"/>
      <c r="T643" s="17">
        <f>IF(AND(COUNTA($A643:$K643)=0,$L643=""),"",IF($S643="Paid","PAID",IF($S643="Closed","CLOSED",IF($W643="","",IF($W643=6,"ESCALATED TO ROXANNE",IF(TODAY()&gt;$Y643,"OVERDUE",IF($Y643&lt;=WORKDAY(TODAY(),1,Holidays),"DUE TOMORROW",IF($W643=4,"ESCALATED TO LOCAL OFFICE",IF($W643=5,"ESCALATED TO CBE",IF($X643=TODAY(),"EMAIL SENT","MONITORING"))))))))))</f>
        <v/>
      </c>
      <c r="U643" s="17">
        <f>IF($T643="",IF(AND(COUNTA($A643:$K643)&gt;0,$L643=""),"Awaiting Collection Email time stamp.",""),IF(OR($T643="PAID",$T643="CLOSED"),IF($T643="PAID","Account paid. Action completed.","Account closed. No further action required."),CHOOSE($W643,"Collection Email","1st Email Follow-up","2nd Email Follow-up","Escalation to Local Office","Escalation to CBE","Escalation to Roxanne")&amp;" sent "&amp;TEXT($X643,"dd-mmm")&amp;". "&amp;IF($W643=6,"Final escalation completed.",IF($T643="OVERDUE","Next: "&amp;$Z643&amp;" was due "&amp;TEXT($Y643,"dd-mmm")&amp;" - "&amp;(NETWORKDAYS($Y643,TODAY(),Holidays)-1)&amp;" business day(s) late. Send now.",IF($T643="DUE TOMORROW","Next: "&amp;$Z643&amp;IF($Y643&lt;=TODAY()," is due TODAY ("," is due next business day (")&amp;TEXT($Y643,"dd-mmm")&amp;").","Next: "&amp;$Z643&amp;" due "&amp;TEXT($Y643,"dd-mmm")&amp;" ("&amp;(NETWORKDAYS(TODAY(),$Y643,Holidays)-1)&amp;" business day(s) left).")))))</f>
        <v/>
      </c>
      <c r="V643" s="17">
        <f>IF($W643="","",CHOOSE($W643,"Collection Email","1st Follow-up","2nd Follow-up","Local Office","CBE","Roxanne")&amp;IF($W643=6," - Final"," - Day "&amp;MAX(0,NETWORKDAYS($X643,TODAY(),Holidays)-1)&amp;" of "&amp;CHOOSE($W643,3,3,2,2,3))&amp;" | Total Day "&amp;MAX(0,NETWORKDAYS($L643,TODAY(),Holidays)-1))</f>
        <v/>
      </c>
      <c r="W643" s="17">
        <f>IF($L643="","",COUNT($L643:$Q643))</f>
        <v/>
      </c>
      <c r="X643" s="18">
        <f>IF($W643="","",INT(INDEX($L643:$Q643,$W643)))</f>
        <v/>
      </c>
      <c r="Y643" s="18">
        <f>IF(OR($W643="",$W643=6),"",WORKDAY($X643,CHOOSE($W643,3,3,2,2,3),Holidays))</f>
        <v/>
      </c>
      <c r="Z643" s="17">
        <f>IF(OR($W643="",$W643=6),"",CHOOSE($W643,"1st Email Follow-up","2nd Email Follow-up","Escalate Local Office","Escalate to CBE","Escalate to Roxanne"))</f>
        <v/>
      </c>
    </row>
    <row r="644" spans="18:26">
      <c r="R644" s="15"/>
      <c r="S644" s="16"/>
      <c r="T644" s="17">
        <f>IF(AND(COUNTA($A644:$K644)=0,$L644=""),"",IF($S644="Paid","PAID",IF($S644="Closed","CLOSED",IF($W644="","",IF($W644=6,"ESCALATED TO ROXANNE",IF(TODAY()&gt;$Y644,"OVERDUE",IF($Y644&lt;=WORKDAY(TODAY(),1,Holidays),"DUE TOMORROW",IF($W644=4,"ESCALATED TO LOCAL OFFICE",IF($W644=5,"ESCALATED TO CBE",IF($X644=TODAY(),"EMAIL SENT","MONITORING"))))))))))</f>
        <v/>
      </c>
      <c r="U644" s="17">
        <f>IF($T644="",IF(AND(COUNTA($A644:$K644)&gt;0,$L644=""),"Awaiting Collection Email time stamp.",""),IF(OR($T644="PAID",$T644="CLOSED"),IF($T644="PAID","Account paid. Action completed.","Account closed. No further action required."),CHOOSE($W644,"Collection Email","1st Email Follow-up","2nd Email Follow-up","Escalation to Local Office","Escalation to CBE","Escalation to Roxanne")&amp;" sent "&amp;TEXT($X644,"dd-mmm")&amp;". "&amp;IF($W644=6,"Final escalation completed.",IF($T644="OVERDUE","Next: "&amp;$Z644&amp;" was due "&amp;TEXT($Y644,"dd-mmm")&amp;" - "&amp;(NETWORKDAYS($Y644,TODAY(),Holidays)-1)&amp;" business day(s) late. Send now.",IF($T644="DUE TOMORROW","Next: "&amp;$Z644&amp;IF($Y644&lt;=TODAY()," is due TODAY ("," is due next business day (")&amp;TEXT($Y644,"dd-mmm")&amp;").","Next: "&amp;$Z644&amp;" due "&amp;TEXT($Y644,"dd-mmm")&amp;" ("&amp;(NETWORKDAYS(TODAY(),$Y644,Holidays)-1)&amp;" business day(s) left).")))))</f>
        <v/>
      </c>
      <c r="V644" s="17">
        <f>IF($W644="","",CHOOSE($W644,"Collection Email","1st Follow-up","2nd Follow-up","Local Office","CBE","Roxanne")&amp;IF($W644=6," - Final"," - Day "&amp;MAX(0,NETWORKDAYS($X644,TODAY(),Holidays)-1)&amp;" of "&amp;CHOOSE($W644,3,3,2,2,3))&amp;" | Total Day "&amp;MAX(0,NETWORKDAYS($L644,TODAY(),Holidays)-1))</f>
        <v/>
      </c>
      <c r="W644" s="17">
        <f>IF($L644="","",COUNT($L644:$Q644))</f>
        <v/>
      </c>
      <c r="X644" s="18">
        <f>IF($W644="","",INT(INDEX($L644:$Q644,$W644)))</f>
        <v/>
      </c>
      <c r="Y644" s="18">
        <f>IF(OR($W644="",$W644=6),"",WORKDAY($X644,CHOOSE($W644,3,3,2,2,3),Holidays))</f>
        <v/>
      </c>
      <c r="Z644" s="17">
        <f>IF(OR($W644="",$W644=6),"",CHOOSE($W644,"1st Email Follow-up","2nd Email Follow-up","Escalate Local Office","Escalate to CBE","Escalate to Roxanne"))</f>
        <v/>
      </c>
    </row>
    <row r="645" spans="18:26">
      <c r="R645" s="15"/>
      <c r="S645" s="16"/>
      <c r="T645" s="17">
        <f>IF(AND(COUNTA($A645:$K645)=0,$L645=""),"",IF($S645="Paid","PAID",IF($S645="Closed","CLOSED",IF($W645="","",IF($W645=6,"ESCALATED TO ROXANNE",IF(TODAY()&gt;$Y645,"OVERDUE",IF($Y645&lt;=WORKDAY(TODAY(),1,Holidays),"DUE TOMORROW",IF($W645=4,"ESCALATED TO LOCAL OFFICE",IF($W645=5,"ESCALATED TO CBE",IF($X645=TODAY(),"EMAIL SENT","MONITORING"))))))))))</f>
        <v/>
      </c>
      <c r="U645" s="17">
        <f>IF($T645="",IF(AND(COUNTA($A645:$K645)&gt;0,$L645=""),"Awaiting Collection Email time stamp.",""),IF(OR($T645="PAID",$T645="CLOSED"),IF($T645="PAID","Account paid. Action completed.","Account closed. No further action required."),CHOOSE($W645,"Collection Email","1st Email Follow-up","2nd Email Follow-up","Escalation to Local Office","Escalation to CBE","Escalation to Roxanne")&amp;" sent "&amp;TEXT($X645,"dd-mmm")&amp;". "&amp;IF($W645=6,"Final escalation completed.",IF($T645="OVERDUE","Next: "&amp;$Z645&amp;" was due "&amp;TEXT($Y645,"dd-mmm")&amp;" - "&amp;(NETWORKDAYS($Y645,TODAY(),Holidays)-1)&amp;" business day(s) late. Send now.",IF($T645="DUE TOMORROW","Next: "&amp;$Z645&amp;IF($Y645&lt;=TODAY()," is due TODAY ("," is due next business day (")&amp;TEXT($Y645,"dd-mmm")&amp;").","Next: "&amp;$Z645&amp;" due "&amp;TEXT($Y645,"dd-mmm")&amp;" ("&amp;(NETWORKDAYS(TODAY(),$Y645,Holidays)-1)&amp;" business day(s) left).")))))</f>
        <v/>
      </c>
      <c r="V645" s="17">
        <f>IF($W645="","",CHOOSE($W645,"Collection Email","1st Follow-up","2nd Follow-up","Local Office","CBE","Roxanne")&amp;IF($W645=6," - Final"," - Day "&amp;MAX(0,NETWORKDAYS($X645,TODAY(),Holidays)-1)&amp;" of "&amp;CHOOSE($W645,3,3,2,2,3))&amp;" | Total Day "&amp;MAX(0,NETWORKDAYS($L645,TODAY(),Holidays)-1))</f>
        <v/>
      </c>
      <c r="W645" s="17">
        <f>IF($L645="","",COUNT($L645:$Q645))</f>
        <v/>
      </c>
      <c r="X645" s="18">
        <f>IF($W645="","",INT(INDEX($L645:$Q645,$W645)))</f>
        <v/>
      </c>
      <c r="Y645" s="18">
        <f>IF(OR($W645="",$W645=6),"",WORKDAY($X645,CHOOSE($W645,3,3,2,2,3),Holidays))</f>
        <v/>
      </c>
      <c r="Z645" s="17">
        <f>IF(OR($W645="",$W645=6),"",CHOOSE($W645,"1st Email Follow-up","2nd Email Follow-up","Escalate Local Office","Escalate to CBE","Escalate to Roxanne"))</f>
        <v/>
      </c>
    </row>
    <row r="646" spans="18:26">
      <c r="R646" s="15"/>
      <c r="S646" s="16"/>
      <c r="T646" s="17">
        <f>IF(AND(COUNTA($A646:$K646)=0,$L646=""),"",IF($S646="Paid","PAID",IF($S646="Closed","CLOSED",IF($W646="","",IF($W646=6,"ESCALATED TO ROXANNE",IF(TODAY()&gt;$Y646,"OVERDUE",IF($Y646&lt;=WORKDAY(TODAY(),1,Holidays),"DUE TOMORROW",IF($W646=4,"ESCALATED TO LOCAL OFFICE",IF($W646=5,"ESCALATED TO CBE",IF($X646=TODAY(),"EMAIL SENT","MONITORING"))))))))))</f>
        <v/>
      </c>
      <c r="U646" s="17">
        <f>IF($T646="",IF(AND(COUNTA($A646:$K646)&gt;0,$L646=""),"Awaiting Collection Email time stamp.",""),IF(OR($T646="PAID",$T646="CLOSED"),IF($T646="PAID","Account paid. Action completed.","Account closed. No further action required."),CHOOSE($W646,"Collection Email","1st Email Follow-up","2nd Email Follow-up","Escalation to Local Office","Escalation to CBE","Escalation to Roxanne")&amp;" sent "&amp;TEXT($X646,"dd-mmm")&amp;". "&amp;IF($W646=6,"Final escalation completed.",IF($T646="OVERDUE","Next: "&amp;$Z646&amp;" was due "&amp;TEXT($Y646,"dd-mmm")&amp;" - "&amp;(NETWORKDAYS($Y646,TODAY(),Holidays)-1)&amp;" business day(s) late. Send now.",IF($T646="DUE TOMORROW","Next: "&amp;$Z646&amp;IF($Y646&lt;=TODAY()," is due TODAY ("," is due next business day (")&amp;TEXT($Y646,"dd-mmm")&amp;").","Next: "&amp;$Z646&amp;" due "&amp;TEXT($Y646,"dd-mmm")&amp;" ("&amp;(NETWORKDAYS(TODAY(),$Y646,Holidays)-1)&amp;" business day(s) left).")))))</f>
        <v/>
      </c>
      <c r="V646" s="17">
        <f>IF($W646="","",CHOOSE($W646,"Collection Email","1st Follow-up","2nd Follow-up","Local Office","CBE","Roxanne")&amp;IF($W646=6," - Final"," - Day "&amp;MAX(0,NETWORKDAYS($X646,TODAY(),Holidays)-1)&amp;" of "&amp;CHOOSE($W646,3,3,2,2,3))&amp;" | Total Day "&amp;MAX(0,NETWORKDAYS($L646,TODAY(),Holidays)-1))</f>
        <v/>
      </c>
      <c r="W646" s="17">
        <f>IF($L646="","",COUNT($L646:$Q646))</f>
        <v/>
      </c>
      <c r="X646" s="18">
        <f>IF($W646="","",INT(INDEX($L646:$Q646,$W646)))</f>
        <v/>
      </c>
      <c r="Y646" s="18">
        <f>IF(OR($W646="",$W646=6),"",WORKDAY($X646,CHOOSE($W646,3,3,2,2,3),Holidays))</f>
        <v/>
      </c>
      <c r="Z646" s="17">
        <f>IF(OR($W646="",$W646=6),"",CHOOSE($W646,"1st Email Follow-up","2nd Email Follow-up","Escalate Local Office","Escalate to CBE","Escalate to Roxanne"))</f>
        <v/>
      </c>
    </row>
    <row r="647" spans="18:26">
      <c r="R647" s="15"/>
      <c r="S647" s="16"/>
      <c r="T647" s="17">
        <f>IF(AND(COUNTA($A647:$K647)=0,$L647=""),"",IF($S647="Paid","PAID",IF($S647="Closed","CLOSED",IF($W647="","",IF($W647=6,"ESCALATED TO ROXANNE",IF(TODAY()&gt;$Y647,"OVERDUE",IF($Y647&lt;=WORKDAY(TODAY(),1,Holidays),"DUE TOMORROW",IF($W647=4,"ESCALATED TO LOCAL OFFICE",IF($W647=5,"ESCALATED TO CBE",IF($X647=TODAY(),"EMAIL SENT","MONITORING"))))))))))</f>
        <v/>
      </c>
      <c r="U647" s="17">
        <f>IF($T647="",IF(AND(COUNTA($A647:$K647)&gt;0,$L647=""),"Awaiting Collection Email time stamp.",""),IF(OR($T647="PAID",$T647="CLOSED"),IF($T647="PAID","Account paid. Action completed.","Account closed. No further action required."),CHOOSE($W647,"Collection Email","1st Email Follow-up","2nd Email Follow-up","Escalation to Local Office","Escalation to CBE","Escalation to Roxanne")&amp;" sent "&amp;TEXT($X647,"dd-mmm")&amp;". "&amp;IF($W647=6,"Final escalation completed.",IF($T647="OVERDUE","Next: "&amp;$Z647&amp;" was due "&amp;TEXT($Y647,"dd-mmm")&amp;" - "&amp;(NETWORKDAYS($Y647,TODAY(),Holidays)-1)&amp;" business day(s) late. Send now.",IF($T647="DUE TOMORROW","Next: "&amp;$Z647&amp;IF($Y647&lt;=TODAY()," is due TODAY ("," is due next business day (")&amp;TEXT($Y647,"dd-mmm")&amp;").","Next: "&amp;$Z647&amp;" due "&amp;TEXT($Y647,"dd-mmm")&amp;" ("&amp;(NETWORKDAYS(TODAY(),$Y647,Holidays)-1)&amp;" business day(s) left).")))))</f>
        <v/>
      </c>
      <c r="V647" s="17">
        <f>IF($W647="","",CHOOSE($W647,"Collection Email","1st Follow-up","2nd Follow-up","Local Office","CBE","Roxanne")&amp;IF($W647=6," - Final"," - Day "&amp;MAX(0,NETWORKDAYS($X647,TODAY(),Holidays)-1)&amp;" of "&amp;CHOOSE($W647,3,3,2,2,3))&amp;" | Total Day "&amp;MAX(0,NETWORKDAYS($L647,TODAY(),Holidays)-1))</f>
        <v/>
      </c>
      <c r="W647" s="17">
        <f>IF($L647="","",COUNT($L647:$Q647))</f>
        <v/>
      </c>
      <c r="X647" s="18">
        <f>IF($W647="","",INT(INDEX($L647:$Q647,$W647)))</f>
        <v/>
      </c>
      <c r="Y647" s="18">
        <f>IF(OR($W647="",$W647=6),"",WORKDAY($X647,CHOOSE($W647,3,3,2,2,3),Holidays))</f>
        <v/>
      </c>
      <c r="Z647" s="17">
        <f>IF(OR($W647="",$W647=6),"",CHOOSE($W647,"1st Email Follow-up","2nd Email Follow-up","Escalate Local Office","Escalate to CBE","Escalate to Roxanne"))</f>
        <v/>
      </c>
    </row>
    <row r="648" spans="18:26">
      <c r="R648" s="15"/>
      <c r="S648" s="16"/>
      <c r="T648" s="17">
        <f>IF(AND(COUNTA($A648:$K648)=0,$L648=""),"",IF($S648="Paid","PAID",IF($S648="Closed","CLOSED",IF($W648="","",IF($W648=6,"ESCALATED TO ROXANNE",IF(TODAY()&gt;$Y648,"OVERDUE",IF($Y648&lt;=WORKDAY(TODAY(),1,Holidays),"DUE TOMORROW",IF($W648=4,"ESCALATED TO LOCAL OFFICE",IF($W648=5,"ESCALATED TO CBE",IF($X648=TODAY(),"EMAIL SENT","MONITORING"))))))))))</f>
        <v/>
      </c>
      <c r="U648" s="17">
        <f>IF($T648="",IF(AND(COUNTA($A648:$K648)&gt;0,$L648=""),"Awaiting Collection Email time stamp.",""),IF(OR($T648="PAID",$T648="CLOSED"),IF($T648="PAID","Account paid. Action completed.","Account closed. No further action required."),CHOOSE($W648,"Collection Email","1st Email Follow-up","2nd Email Follow-up","Escalation to Local Office","Escalation to CBE","Escalation to Roxanne")&amp;" sent "&amp;TEXT($X648,"dd-mmm")&amp;". "&amp;IF($W648=6,"Final escalation completed.",IF($T648="OVERDUE","Next: "&amp;$Z648&amp;" was due "&amp;TEXT($Y648,"dd-mmm")&amp;" - "&amp;(NETWORKDAYS($Y648,TODAY(),Holidays)-1)&amp;" business day(s) late. Send now.",IF($T648="DUE TOMORROW","Next: "&amp;$Z648&amp;IF($Y648&lt;=TODAY()," is due TODAY ("," is due next business day (")&amp;TEXT($Y648,"dd-mmm")&amp;").","Next: "&amp;$Z648&amp;" due "&amp;TEXT($Y648,"dd-mmm")&amp;" ("&amp;(NETWORKDAYS(TODAY(),$Y648,Holidays)-1)&amp;" business day(s) left).")))))</f>
        <v/>
      </c>
      <c r="V648" s="17">
        <f>IF($W648="","",CHOOSE($W648,"Collection Email","1st Follow-up","2nd Follow-up","Local Office","CBE","Roxanne")&amp;IF($W648=6," - Final"," - Day "&amp;MAX(0,NETWORKDAYS($X648,TODAY(),Holidays)-1)&amp;" of "&amp;CHOOSE($W648,3,3,2,2,3))&amp;" | Total Day "&amp;MAX(0,NETWORKDAYS($L648,TODAY(),Holidays)-1))</f>
        <v/>
      </c>
      <c r="W648" s="17">
        <f>IF($L648="","",COUNT($L648:$Q648))</f>
        <v/>
      </c>
      <c r="X648" s="18">
        <f>IF($W648="","",INT(INDEX($L648:$Q648,$W648)))</f>
        <v/>
      </c>
      <c r="Y648" s="18">
        <f>IF(OR($W648="",$W648=6),"",WORKDAY($X648,CHOOSE($W648,3,3,2,2,3),Holidays))</f>
        <v/>
      </c>
      <c r="Z648" s="17">
        <f>IF(OR($W648="",$W648=6),"",CHOOSE($W648,"1st Email Follow-up","2nd Email Follow-up","Escalate Local Office","Escalate to CBE","Escalate to Roxanne"))</f>
        <v/>
      </c>
    </row>
    <row r="649" spans="18:26">
      <c r="R649" s="15"/>
      <c r="S649" s="16"/>
      <c r="T649" s="17">
        <f>IF(AND(COUNTA($A649:$K649)=0,$L649=""),"",IF($S649="Paid","PAID",IF($S649="Closed","CLOSED",IF($W649="","",IF($W649=6,"ESCALATED TO ROXANNE",IF(TODAY()&gt;$Y649,"OVERDUE",IF($Y649&lt;=WORKDAY(TODAY(),1,Holidays),"DUE TOMORROW",IF($W649=4,"ESCALATED TO LOCAL OFFICE",IF($W649=5,"ESCALATED TO CBE",IF($X649=TODAY(),"EMAIL SENT","MONITORING"))))))))))</f>
        <v/>
      </c>
      <c r="U649" s="17">
        <f>IF($T649="",IF(AND(COUNTA($A649:$K649)&gt;0,$L649=""),"Awaiting Collection Email time stamp.",""),IF(OR($T649="PAID",$T649="CLOSED"),IF($T649="PAID","Account paid. Action completed.","Account closed. No further action required."),CHOOSE($W649,"Collection Email","1st Email Follow-up","2nd Email Follow-up","Escalation to Local Office","Escalation to CBE","Escalation to Roxanne")&amp;" sent "&amp;TEXT($X649,"dd-mmm")&amp;". "&amp;IF($W649=6,"Final escalation completed.",IF($T649="OVERDUE","Next: "&amp;$Z649&amp;" was due "&amp;TEXT($Y649,"dd-mmm")&amp;" - "&amp;(NETWORKDAYS($Y649,TODAY(),Holidays)-1)&amp;" business day(s) late. Send now.",IF($T649="DUE TOMORROW","Next: "&amp;$Z649&amp;IF($Y649&lt;=TODAY()," is due TODAY ("," is due next business day (")&amp;TEXT($Y649,"dd-mmm")&amp;").","Next: "&amp;$Z649&amp;" due "&amp;TEXT($Y649,"dd-mmm")&amp;" ("&amp;(NETWORKDAYS(TODAY(),$Y649,Holidays)-1)&amp;" business day(s) left).")))))</f>
        <v/>
      </c>
      <c r="V649" s="17">
        <f>IF($W649="","",CHOOSE($W649,"Collection Email","1st Follow-up","2nd Follow-up","Local Office","CBE","Roxanne")&amp;IF($W649=6," - Final"," - Day "&amp;MAX(0,NETWORKDAYS($X649,TODAY(),Holidays)-1)&amp;" of "&amp;CHOOSE($W649,3,3,2,2,3))&amp;" | Total Day "&amp;MAX(0,NETWORKDAYS($L649,TODAY(),Holidays)-1))</f>
        <v/>
      </c>
      <c r="W649" s="17">
        <f>IF($L649="","",COUNT($L649:$Q649))</f>
        <v/>
      </c>
      <c r="X649" s="18">
        <f>IF($W649="","",INT(INDEX($L649:$Q649,$W649)))</f>
        <v/>
      </c>
      <c r="Y649" s="18">
        <f>IF(OR($W649="",$W649=6),"",WORKDAY($X649,CHOOSE($W649,3,3,2,2,3),Holidays))</f>
        <v/>
      </c>
      <c r="Z649" s="17">
        <f>IF(OR($W649="",$W649=6),"",CHOOSE($W649,"1st Email Follow-up","2nd Email Follow-up","Escalate Local Office","Escalate to CBE","Escalate to Roxanne"))</f>
        <v/>
      </c>
    </row>
    <row r="650" spans="18:26">
      <c r="R650" s="15"/>
      <c r="S650" s="16"/>
      <c r="T650" s="17">
        <f>IF(AND(COUNTA($A650:$K650)=0,$L650=""),"",IF($S650="Paid","PAID",IF($S650="Closed","CLOSED",IF($W650="","",IF($W650=6,"ESCALATED TO ROXANNE",IF(TODAY()&gt;$Y650,"OVERDUE",IF($Y650&lt;=WORKDAY(TODAY(),1,Holidays),"DUE TOMORROW",IF($W650=4,"ESCALATED TO LOCAL OFFICE",IF($W650=5,"ESCALATED TO CBE",IF($X650=TODAY(),"EMAIL SENT","MONITORING"))))))))))</f>
        <v/>
      </c>
      <c r="U650" s="17">
        <f>IF($T650="",IF(AND(COUNTA($A650:$K650)&gt;0,$L650=""),"Awaiting Collection Email time stamp.",""),IF(OR($T650="PAID",$T650="CLOSED"),IF($T650="PAID","Account paid. Action completed.","Account closed. No further action required."),CHOOSE($W650,"Collection Email","1st Email Follow-up","2nd Email Follow-up","Escalation to Local Office","Escalation to CBE","Escalation to Roxanne")&amp;" sent "&amp;TEXT($X650,"dd-mmm")&amp;". "&amp;IF($W650=6,"Final escalation completed.",IF($T650="OVERDUE","Next: "&amp;$Z650&amp;" was due "&amp;TEXT($Y650,"dd-mmm")&amp;" - "&amp;(NETWORKDAYS($Y650,TODAY(),Holidays)-1)&amp;" business day(s) late. Send now.",IF($T650="DUE TOMORROW","Next: "&amp;$Z650&amp;IF($Y650&lt;=TODAY()," is due TODAY ("," is due next business day (")&amp;TEXT($Y650,"dd-mmm")&amp;").","Next: "&amp;$Z650&amp;" due "&amp;TEXT($Y650,"dd-mmm")&amp;" ("&amp;(NETWORKDAYS(TODAY(),$Y650,Holidays)-1)&amp;" business day(s) left).")))))</f>
        <v/>
      </c>
      <c r="V650" s="17">
        <f>IF($W650="","",CHOOSE($W650,"Collection Email","1st Follow-up","2nd Follow-up","Local Office","CBE","Roxanne")&amp;IF($W650=6," - Final"," - Day "&amp;MAX(0,NETWORKDAYS($X650,TODAY(),Holidays)-1)&amp;" of "&amp;CHOOSE($W650,3,3,2,2,3))&amp;" | Total Day "&amp;MAX(0,NETWORKDAYS($L650,TODAY(),Holidays)-1))</f>
        <v/>
      </c>
      <c r="W650" s="17">
        <f>IF($L650="","",COUNT($L650:$Q650))</f>
        <v/>
      </c>
      <c r="X650" s="18">
        <f>IF($W650="","",INT(INDEX($L650:$Q650,$W650)))</f>
        <v/>
      </c>
      <c r="Y650" s="18">
        <f>IF(OR($W650="",$W650=6),"",WORKDAY($X650,CHOOSE($W650,3,3,2,2,3),Holidays))</f>
        <v/>
      </c>
      <c r="Z650" s="17">
        <f>IF(OR($W650="",$W650=6),"",CHOOSE($W650,"1st Email Follow-up","2nd Email Follow-up","Escalate Local Office","Escalate to CBE","Escalate to Roxanne"))</f>
        <v/>
      </c>
    </row>
    <row r="651" spans="18:26">
      <c r="R651" s="15"/>
      <c r="S651" s="16"/>
      <c r="T651" s="17">
        <f>IF(AND(COUNTA($A651:$K651)=0,$L651=""),"",IF($S651="Paid","PAID",IF($S651="Closed","CLOSED",IF($W651="","",IF($W651=6,"ESCALATED TO ROXANNE",IF(TODAY()&gt;$Y651,"OVERDUE",IF($Y651&lt;=WORKDAY(TODAY(),1,Holidays),"DUE TOMORROW",IF($W651=4,"ESCALATED TO LOCAL OFFICE",IF($W651=5,"ESCALATED TO CBE",IF($X651=TODAY(),"EMAIL SENT","MONITORING"))))))))))</f>
        <v/>
      </c>
      <c r="U651" s="17">
        <f>IF($T651="",IF(AND(COUNTA($A651:$K651)&gt;0,$L651=""),"Awaiting Collection Email time stamp.",""),IF(OR($T651="PAID",$T651="CLOSED"),IF($T651="PAID","Account paid. Action completed.","Account closed. No further action required."),CHOOSE($W651,"Collection Email","1st Email Follow-up","2nd Email Follow-up","Escalation to Local Office","Escalation to CBE","Escalation to Roxanne")&amp;" sent "&amp;TEXT($X651,"dd-mmm")&amp;". "&amp;IF($W651=6,"Final escalation completed.",IF($T651="OVERDUE","Next: "&amp;$Z651&amp;" was due "&amp;TEXT($Y651,"dd-mmm")&amp;" - "&amp;(NETWORKDAYS($Y651,TODAY(),Holidays)-1)&amp;" business day(s) late. Send now.",IF($T651="DUE TOMORROW","Next: "&amp;$Z651&amp;IF($Y651&lt;=TODAY()," is due TODAY ("," is due next business day (")&amp;TEXT($Y651,"dd-mmm")&amp;").","Next: "&amp;$Z651&amp;" due "&amp;TEXT($Y651,"dd-mmm")&amp;" ("&amp;(NETWORKDAYS(TODAY(),$Y651,Holidays)-1)&amp;" business day(s) left).")))))</f>
        <v/>
      </c>
      <c r="V651" s="17">
        <f>IF($W651="","",CHOOSE($W651,"Collection Email","1st Follow-up","2nd Follow-up","Local Office","CBE","Roxanne")&amp;IF($W651=6," - Final"," - Day "&amp;MAX(0,NETWORKDAYS($X651,TODAY(),Holidays)-1)&amp;" of "&amp;CHOOSE($W651,3,3,2,2,3))&amp;" | Total Day "&amp;MAX(0,NETWORKDAYS($L651,TODAY(),Holidays)-1))</f>
        <v/>
      </c>
      <c r="W651" s="17">
        <f>IF($L651="","",COUNT($L651:$Q651))</f>
        <v/>
      </c>
      <c r="X651" s="18">
        <f>IF($W651="","",INT(INDEX($L651:$Q651,$W651)))</f>
        <v/>
      </c>
      <c r="Y651" s="18">
        <f>IF(OR($W651="",$W651=6),"",WORKDAY($X651,CHOOSE($W651,3,3,2,2,3),Holidays))</f>
        <v/>
      </c>
      <c r="Z651" s="17">
        <f>IF(OR($W651="",$W651=6),"",CHOOSE($W651,"1st Email Follow-up","2nd Email Follow-up","Escalate Local Office","Escalate to CBE","Escalate to Roxanne"))</f>
        <v/>
      </c>
    </row>
    <row r="652" spans="18:26">
      <c r="R652" s="15"/>
      <c r="S652" s="16"/>
      <c r="T652" s="17">
        <f>IF(AND(COUNTA($A652:$K652)=0,$L652=""),"",IF($S652="Paid","PAID",IF($S652="Closed","CLOSED",IF($W652="","",IF($W652=6,"ESCALATED TO ROXANNE",IF(TODAY()&gt;$Y652,"OVERDUE",IF($Y652&lt;=WORKDAY(TODAY(),1,Holidays),"DUE TOMORROW",IF($W652=4,"ESCALATED TO LOCAL OFFICE",IF($W652=5,"ESCALATED TO CBE",IF($X652=TODAY(),"EMAIL SENT","MONITORING"))))))))))</f>
        <v/>
      </c>
      <c r="U652" s="17">
        <f>IF($T652="",IF(AND(COUNTA($A652:$K652)&gt;0,$L652=""),"Awaiting Collection Email time stamp.",""),IF(OR($T652="PAID",$T652="CLOSED"),IF($T652="PAID","Account paid. Action completed.","Account closed. No further action required."),CHOOSE($W652,"Collection Email","1st Email Follow-up","2nd Email Follow-up","Escalation to Local Office","Escalation to CBE","Escalation to Roxanne")&amp;" sent "&amp;TEXT($X652,"dd-mmm")&amp;". "&amp;IF($W652=6,"Final escalation completed.",IF($T652="OVERDUE","Next: "&amp;$Z652&amp;" was due "&amp;TEXT($Y652,"dd-mmm")&amp;" - "&amp;(NETWORKDAYS($Y652,TODAY(),Holidays)-1)&amp;" business day(s) late. Send now.",IF($T652="DUE TOMORROW","Next: "&amp;$Z652&amp;IF($Y652&lt;=TODAY()," is due TODAY ("," is due next business day (")&amp;TEXT($Y652,"dd-mmm")&amp;").","Next: "&amp;$Z652&amp;" due "&amp;TEXT($Y652,"dd-mmm")&amp;" ("&amp;(NETWORKDAYS(TODAY(),$Y652,Holidays)-1)&amp;" business day(s) left).")))))</f>
        <v/>
      </c>
      <c r="V652" s="17">
        <f>IF($W652="","",CHOOSE($W652,"Collection Email","1st Follow-up","2nd Follow-up","Local Office","CBE","Roxanne")&amp;IF($W652=6," - Final"," - Day "&amp;MAX(0,NETWORKDAYS($X652,TODAY(),Holidays)-1)&amp;" of "&amp;CHOOSE($W652,3,3,2,2,3))&amp;" | Total Day "&amp;MAX(0,NETWORKDAYS($L652,TODAY(),Holidays)-1))</f>
        <v/>
      </c>
      <c r="W652" s="17">
        <f>IF($L652="","",COUNT($L652:$Q652))</f>
        <v/>
      </c>
      <c r="X652" s="18">
        <f>IF($W652="","",INT(INDEX($L652:$Q652,$W652)))</f>
        <v/>
      </c>
      <c r="Y652" s="18">
        <f>IF(OR($W652="",$W652=6),"",WORKDAY($X652,CHOOSE($W652,3,3,2,2,3),Holidays))</f>
        <v/>
      </c>
      <c r="Z652" s="17">
        <f>IF(OR($W652="",$W652=6),"",CHOOSE($W652,"1st Email Follow-up","2nd Email Follow-up","Escalate Local Office","Escalate to CBE","Escalate to Roxanne"))</f>
        <v/>
      </c>
    </row>
    <row r="653" spans="18:26">
      <c r="R653" s="15"/>
      <c r="S653" s="16"/>
      <c r="T653" s="17">
        <f>IF(AND(COUNTA($A653:$K653)=0,$L653=""),"",IF($S653="Paid","PAID",IF($S653="Closed","CLOSED",IF($W653="","",IF($W653=6,"ESCALATED TO ROXANNE",IF(TODAY()&gt;$Y653,"OVERDUE",IF($Y653&lt;=WORKDAY(TODAY(),1,Holidays),"DUE TOMORROW",IF($W653=4,"ESCALATED TO LOCAL OFFICE",IF($W653=5,"ESCALATED TO CBE",IF($X653=TODAY(),"EMAIL SENT","MONITORING"))))))))))</f>
        <v/>
      </c>
      <c r="U653" s="17">
        <f>IF($T653="",IF(AND(COUNTA($A653:$K653)&gt;0,$L653=""),"Awaiting Collection Email time stamp.",""),IF(OR($T653="PAID",$T653="CLOSED"),IF($T653="PAID","Account paid. Action completed.","Account closed. No further action required."),CHOOSE($W653,"Collection Email","1st Email Follow-up","2nd Email Follow-up","Escalation to Local Office","Escalation to CBE","Escalation to Roxanne")&amp;" sent "&amp;TEXT($X653,"dd-mmm")&amp;". "&amp;IF($W653=6,"Final escalation completed.",IF($T653="OVERDUE","Next: "&amp;$Z653&amp;" was due "&amp;TEXT($Y653,"dd-mmm")&amp;" - "&amp;(NETWORKDAYS($Y653,TODAY(),Holidays)-1)&amp;" business day(s) late. Send now.",IF($T653="DUE TOMORROW","Next: "&amp;$Z653&amp;IF($Y653&lt;=TODAY()," is due TODAY ("," is due next business day (")&amp;TEXT($Y653,"dd-mmm")&amp;").","Next: "&amp;$Z653&amp;" due "&amp;TEXT($Y653,"dd-mmm")&amp;" ("&amp;(NETWORKDAYS(TODAY(),$Y653,Holidays)-1)&amp;" business day(s) left).")))))</f>
        <v/>
      </c>
      <c r="V653" s="17">
        <f>IF($W653="","",CHOOSE($W653,"Collection Email","1st Follow-up","2nd Follow-up","Local Office","CBE","Roxanne")&amp;IF($W653=6," - Final"," - Day "&amp;MAX(0,NETWORKDAYS($X653,TODAY(),Holidays)-1)&amp;" of "&amp;CHOOSE($W653,3,3,2,2,3))&amp;" | Total Day "&amp;MAX(0,NETWORKDAYS($L653,TODAY(),Holidays)-1))</f>
        <v/>
      </c>
      <c r="W653" s="17">
        <f>IF($L653="","",COUNT($L653:$Q653))</f>
        <v/>
      </c>
      <c r="X653" s="18">
        <f>IF($W653="","",INT(INDEX($L653:$Q653,$W653)))</f>
        <v/>
      </c>
      <c r="Y653" s="18">
        <f>IF(OR($W653="",$W653=6),"",WORKDAY($X653,CHOOSE($W653,3,3,2,2,3),Holidays))</f>
        <v/>
      </c>
      <c r="Z653" s="17">
        <f>IF(OR($W653="",$W653=6),"",CHOOSE($W653,"1st Email Follow-up","2nd Email Follow-up","Escalate Local Office","Escalate to CBE","Escalate to Roxanne"))</f>
        <v/>
      </c>
    </row>
    <row r="654" spans="18:26">
      <c r="R654" s="15"/>
      <c r="S654" s="16"/>
      <c r="T654" s="17">
        <f>IF(AND(COUNTA($A654:$K654)=0,$L654=""),"",IF($S654="Paid","PAID",IF($S654="Closed","CLOSED",IF($W654="","",IF($W654=6,"ESCALATED TO ROXANNE",IF(TODAY()&gt;$Y654,"OVERDUE",IF($Y654&lt;=WORKDAY(TODAY(),1,Holidays),"DUE TOMORROW",IF($W654=4,"ESCALATED TO LOCAL OFFICE",IF($W654=5,"ESCALATED TO CBE",IF($X654=TODAY(),"EMAIL SENT","MONITORING"))))))))))</f>
        <v/>
      </c>
      <c r="U654" s="17">
        <f>IF($T654="",IF(AND(COUNTA($A654:$K654)&gt;0,$L654=""),"Awaiting Collection Email time stamp.",""),IF(OR($T654="PAID",$T654="CLOSED"),IF($T654="PAID","Account paid. Action completed.","Account closed. No further action required."),CHOOSE($W654,"Collection Email","1st Email Follow-up","2nd Email Follow-up","Escalation to Local Office","Escalation to CBE","Escalation to Roxanne")&amp;" sent "&amp;TEXT($X654,"dd-mmm")&amp;". "&amp;IF($W654=6,"Final escalation completed.",IF($T654="OVERDUE","Next: "&amp;$Z654&amp;" was due "&amp;TEXT($Y654,"dd-mmm")&amp;" - "&amp;(NETWORKDAYS($Y654,TODAY(),Holidays)-1)&amp;" business day(s) late. Send now.",IF($T654="DUE TOMORROW","Next: "&amp;$Z654&amp;IF($Y654&lt;=TODAY()," is due TODAY ("," is due next business day (")&amp;TEXT($Y654,"dd-mmm")&amp;").","Next: "&amp;$Z654&amp;" due "&amp;TEXT($Y654,"dd-mmm")&amp;" ("&amp;(NETWORKDAYS(TODAY(),$Y654,Holidays)-1)&amp;" business day(s) left).")))))</f>
        <v/>
      </c>
      <c r="V654" s="17">
        <f>IF($W654="","",CHOOSE($W654,"Collection Email","1st Follow-up","2nd Follow-up","Local Office","CBE","Roxanne")&amp;IF($W654=6," - Final"," - Day "&amp;MAX(0,NETWORKDAYS($X654,TODAY(),Holidays)-1)&amp;" of "&amp;CHOOSE($W654,3,3,2,2,3))&amp;" | Total Day "&amp;MAX(0,NETWORKDAYS($L654,TODAY(),Holidays)-1))</f>
        <v/>
      </c>
      <c r="W654" s="17">
        <f>IF($L654="","",COUNT($L654:$Q654))</f>
        <v/>
      </c>
      <c r="X654" s="18">
        <f>IF($W654="","",INT(INDEX($L654:$Q654,$W654)))</f>
        <v/>
      </c>
      <c r="Y654" s="18">
        <f>IF(OR($W654="",$W654=6),"",WORKDAY($X654,CHOOSE($W654,3,3,2,2,3),Holidays))</f>
        <v/>
      </c>
      <c r="Z654" s="17">
        <f>IF(OR($W654="",$W654=6),"",CHOOSE($W654,"1st Email Follow-up","2nd Email Follow-up","Escalate Local Office","Escalate to CBE","Escalate to Roxanne"))</f>
        <v/>
      </c>
    </row>
    <row r="655" spans="18:26">
      <c r="R655" s="15"/>
      <c r="S655" s="16"/>
      <c r="T655" s="17">
        <f>IF(AND(COUNTA($A655:$K655)=0,$L655=""),"",IF($S655="Paid","PAID",IF($S655="Closed","CLOSED",IF($W655="","",IF($W655=6,"ESCALATED TO ROXANNE",IF(TODAY()&gt;$Y655,"OVERDUE",IF($Y655&lt;=WORKDAY(TODAY(),1,Holidays),"DUE TOMORROW",IF($W655=4,"ESCALATED TO LOCAL OFFICE",IF($W655=5,"ESCALATED TO CBE",IF($X655=TODAY(),"EMAIL SENT","MONITORING"))))))))))</f>
        <v/>
      </c>
      <c r="U655" s="17">
        <f>IF($T655="",IF(AND(COUNTA($A655:$K655)&gt;0,$L655=""),"Awaiting Collection Email time stamp.",""),IF(OR($T655="PAID",$T655="CLOSED"),IF($T655="PAID","Account paid. Action completed.","Account closed. No further action required."),CHOOSE($W655,"Collection Email","1st Email Follow-up","2nd Email Follow-up","Escalation to Local Office","Escalation to CBE","Escalation to Roxanne")&amp;" sent "&amp;TEXT($X655,"dd-mmm")&amp;". "&amp;IF($W655=6,"Final escalation completed.",IF($T655="OVERDUE","Next: "&amp;$Z655&amp;" was due "&amp;TEXT($Y655,"dd-mmm")&amp;" - "&amp;(NETWORKDAYS($Y655,TODAY(),Holidays)-1)&amp;" business day(s) late. Send now.",IF($T655="DUE TOMORROW","Next: "&amp;$Z655&amp;IF($Y655&lt;=TODAY()," is due TODAY ("," is due next business day (")&amp;TEXT($Y655,"dd-mmm")&amp;").","Next: "&amp;$Z655&amp;" due "&amp;TEXT($Y655,"dd-mmm")&amp;" ("&amp;(NETWORKDAYS(TODAY(),$Y655,Holidays)-1)&amp;" business day(s) left).")))))</f>
        <v/>
      </c>
      <c r="V655" s="17">
        <f>IF($W655="","",CHOOSE($W655,"Collection Email","1st Follow-up","2nd Follow-up","Local Office","CBE","Roxanne")&amp;IF($W655=6," - Final"," - Day "&amp;MAX(0,NETWORKDAYS($X655,TODAY(),Holidays)-1)&amp;" of "&amp;CHOOSE($W655,3,3,2,2,3))&amp;" | Total Day "&amp;MAX(0,NETWORKDAYS($L655,TODAY(),Holidays)-1))</f>
        <v/>
      </c>
      <c r="W655" s="17">
        <f>IF($L655="","",COUNT($L655:$Q655))</f>
        <v/>
      </c>
      <c r="X655" s="18">
        <f>IF($W655="","",INT(INDEX($L655:$Q655,$W655)))</f>
        <v/>
      </c>
      <c r="Y655" s="18">
        <f>IF(OR($W655="",$W655=6),"",WORKDAY($X655,CHOOSE($W655,3,3,2,2,3),Holidays))</f>
        <v/>
      </c>
      <c r="Z655" s="17">
        <f>IF(OR($W655="",$W655=6),"",CHOOSE($W655,"1st Email Follow-up","2nd Email Follow-up","Escalate Local Office","Escalate to CBE","Escalate to Roxanne"))</f>
        <v/>
      </c>
    </row>
    <row r="656" spans="18:26">
      <c r="R656" s="15"/>
      <c r="S656" s="16"/>
      <c r="T656" s="17">
        <f>IF(AND(COUNTA($A656:$K656)=0,$L656=""),"",IF($S656="Paid","PAID",IF($S656="Closed","CLOSED",IF($W656="","",IF($W656=6,"ESCALATED TO ROXANNE",IF(TODAY()&gt;$Y656,"OVERDUE",IF($Y656&lt;=WORKDAY(TODAY(),1,Holidays),"DUE TOMORROW",IF($W656=4,"ESCALATED TO LOCAL OFFICE",IF($W656=5,"ESCALATED TO CBE",IF($X656=TODAY(),"EMAIL SENT","MONITORING"))))))))))</f>
        <v/>
      </c>
      <c r="U656" s="17">
        <f>IF($T656="",IF(AND(COUNTA($A656:$K656)&gt;0,$L656=""),"Awaiting Collection Email time stamp.",""),IF(OR($T656="PAID",$T656="CLOSED"),IF($T656="PAID","Account paid. Action completed.","Account closed. No further action required."),CHOOSE($W656,"Collection Email","1st Email Follow-up","2nd Email Follow-up","Escalation to Local Office","Escalation to CBE","Escalation to Roxanne")&amp;" sent "&amp;TEXT($X656,"dd-mmm")&amp;". "&amp;IF($W656=6,"Final escalation completed.",IF($T656="OVERDUE","Next: "&amp;$Z656&amp;" was due "&amp;TEXT($Y656,"dd-mmm")&amp;" - "&amp;(NETWORKDAYS($Y656,TODAY(),Holidays)-1)&amp;" business day(s) late. Send now.",IF($T656="DUE TOMORROW","Next: "&amp;$Z656&amp;IF($Y656&lt;=TODAY()," is due TODAY ("," is due next business day (")&amp;TEXT($Y656,"dd-mmm")&amp;").","Next: "&amp;$Z656&amp;" due "&amp;TEXT($Y656,"dd-mmm")&amp;" ("&amp;(NETWORKDAYS(TODAY(),$Y656,Holidays)-1)&amp;" business day(s) left).")))))</f>
        <v/>
      </c>
      <c r="V656" s="17">
        <f>IF($W656="","",CHOOSE($W656,"Collection Email","1st Follow-up","2nd Follow-up","Local Office","CBE","Roxanne")&amp;IF($W656=6," - Final"," - Day "&amp;MAX(0,NETWORKDAYS($X656,TODAY(),Holidays)-1)&amp;" of "&amp;CHOOSE($W656,3,3,2,2,3))&amp;" | Total Day "&amp;MAX(0,NETWORKDAYS($L656,TODAY(),Holidays)-1))</f>
        <v/>
      </c>
      <c r="W656" s="17">
        <f>IF($L656="","",COUNT($L656:$Q656))</f>
        <v/>
      </c>
      <c r="X656" s="18">
        <f>IF($W656="","",INT(INDEX($L656:$Q656,$W656)))</f>
        <v/>
      </c>
      <c r="Y656" s="18">
        <f>IF(OR($W656="",$W656=6),"",WORKDAY($X656,CHOOSE($W656,3,3,2,2,3),Holidays))</f>
        <v/>
      </c>
      <c r="Z656" s="17">
        <f>IF(OR($W656="",$W656=6),"",CHOOSE($W656,"1st Email Follow-up","2nd Email Follow-up","Escalate Local Office","Escalate to CBE","Escalate to Roxanne"))</f>
        <v/>
      </c>
    </row>
    <row r="657" spans="18:26">
      <c r="R657" s="15"/>
      <c r="S657" s="16"/>
      <c r="T657" s="17">
        <f>IF(AND(COUNTA($A657:$K657)=0,$L657=""),"",IF($S657="Paid","PAID",IF($S657="Closed","CLOSED",IF($W657="","",IF($W657=6,"ESCALATED TO ROXANNE",IF(TODAY()&gt;$Y657,"OVERDUE",IF($Y657&lt;=WORKDAY(TODAY(),1,Holidays),"DUE TOMORROW",IF($W657=4,"ESCALATED TO LOCAL OFFICE",IF($W657=5,"ESCALATED TO CBE",IF($X657=TODAY(),"EMAIL SENT","MONITORING"))))))))))</f>
        <v/>
      </c>
      <c r="U657" s="17">
        <f>IF($T657="",IF(AND(COUNTA($A657:$K657)&gt;0,$L657=""),"Awaiting Collection Email time stamp.",""),IF(OR($T657="PAID",$T657="CLOSED"),IF($T657="PAID","Account paid. Action completed.","Account closed. No further action required."),CHOOSE($W657,"Collection Email","1st Email Follow-up","2nd Email Follow-up","Escalation to Local Office","Escalation to CBE","Escalation to Roxanne")&amp;" sent "&amp;TEXT($X657,"dd-mmm")&amp;". "&amp;IF($W657=6,"Final escalation completed.",IF($T657="OVERDUE","Next: "&amp;$Z657&amp;" was due "&amp;TEXT($Y657,"dd-mmm")&amp;" - "&amp;(NETWORKDAYS($Y657,TODAY(),Holidays)-1)&amp;" business day(s) late. Send now.",IF($T657="DUE TOMORROW","Next: "&amp;$Z657&amp;IF($Y657&lt;=TODAY()," is due TODAY ("," is due next business day (")&amp;TEXT($Y657,"dd-mmm")&amp;").","Next: "&amp;$Z657&amp;" due "&amp;TEXT($Y657,"dd-mmm")&amp;" ("&amp;(NETWORKDAYS(TODAY(),$Y657,Holidays)-1)&amp;" business day(s) left).")))))</f>
        <v/>
      </c>
      <c r="V657" s="17">
        <f>IF($W657="","",CHOOSE($W657,"Collection Email","1st Follow-up","2nd Follow-up","Local Office","CBE","Roxanne")&amp;IF($W657=6," - Final"," - Day "&amp;MAX(0,NETWORKDAYS($X657,TODAY(),Holidays)-1)&amp;" of "&amp;CHOOSE($W657,3,3,2,2,3))&amp;" | Total Day "&amp;MAX(0,NETWORKDAYS($L657,TODAY(),Holidays)-1))</f>
        <v/>
      </c>
      <c r="W657" s="17">
        <f>IF($L657="","",COUNT($L657:$Q657))</f>
        <v/>
      </c>
      <c r="X657" s="18">
        <f>IF($W657="","",INT(INDEX($L657:$Q657,$W657)))</f>
        <v/>
      </c>
      <c r="Y657" s="18">
        <f>IF(OR($W657="",$W657=6),"",WORKDAY($X657,CHOOSE($W657,3,3,2,2,3),Holidays))</f>
        <v/>
      </c>
      <c r="Z657" s="17">
        <f>IF(OR($W657="",$W657=6),"",CHOOSE($W657,"1st Email Follow-up","2nd Email Follow-up","Escalate Local Office","Escalate to CBE","Escalate to Roxanne"))</f>
        <v/>
      </c>
    </row>
    <row r="658" spans="18:26">
      <c r="R658" s="15"/>
      <c r="S658" s="16"/>
      <c r="T658" s="17">
        <f>IF(AND(COUNTA($A658:$K658)=0,$L658=""),"",IF($S658="Paid","PAID",IF($S658="Closed","CLOSED",IF($W658="","",IF($W658=6,"ESCALATED TO ROXANNE",IF(TODAY()&gt;$Y658,"OVERDUE",IF($Y658&lt;=WORKDAY(TODAY(),1,Holidays),"DUE TOMORROW",IF($W658=4,"ESCALATED TO LOCAL OFFICE",IF($W658=5,"ESCALATED TO CBE",IF($X658=TODAY(),"EMAIL SENT","MONITORING"))))))))))</f>
        <v/>
      </c>
      <c r="U658" s="17">
        <f>IF($T658="",IF(AND(COUNTA($A658:$K658)&gt;0,$L658=""),"Awaiting Collection Email time stamp.",""),IF(OR($T658="PAID",$T658="CLOSED"),IF($T658="PAID","Account paid. Action completed.","Account closed. No further action required."),CHOOSE($W658,"Collection Email","1st Email Follow-up","2nd Email Follow-up","Escalation to Local Office","Escalation to CBE","Escalation to Roxanne")&amp;" sent "&amp;TEXT($X658,"dd-mmm")&amp;". "&amp;IF($W658=6,"Final escalation completed.",IF($T658="OVERDUE","Next: "&amp;$Z658&amp;" was due "&amp;TEXT($Y658,"dd-mmm")&amp;" - "&amp;(NETWORKDAYS($Y658,TODAY(),Holidays)-1)&amp;" business day(s) late. Send now.",IF($T658="DUE TOMORROW","Next: "&amp;$Z658&amp;IF($Y658&lt;=TODAY()," is due TODAY ("," is due next business day (")&amp;TEXT($Y658,"dd-mmm")&amp;").","Next: "&amp;$Z658&amp;" due "&amp;TEXT($Y658,"dd-mmm")&amp;" ("&amp;(NETWORKDAYS(TODAY(),$Y658,Holidays)-1)&amp;" business day(s) left).")))))</f>
        <v/>
      </c>
      <c r="V658" s="17">
        <f>IF($W658="","",CHOOSE($W658,"Collection Email","1st Follow-up","2nd Follow-up","Local Office","CBE","Roxanne")&amp;IF($W658=6," - Final"," - Day "&amp;MAX(0,NETWORKDAYS($X658,TODAY(),Holidays)-1)&amp;" of "&amp;CHOOSE($W658,3,3,2,2,3))&amp;" | Total Day "&amp;MAX(0,NETWORKDAYS($L658,TODAY(),Holidays)-1))</f>
        <v/>
      </c>
      <c r="W658" s="17">
        <f>IF($L658="","",COUNT($L658:$Q658))</f>
        <v/>
      </c>
      <c r="X658" s="18">
        <f>IF($W658="","",INT(INDEX($L658:$Q658,$W658)))</f>
        <v/>
      </c>
      <c r="Y658" s="18">
        <f>IF(OR($W658="",$W658=6),"",WORKDAY($X658,CHOOSE($W658,3,3,2,2,3),Holidays))</f>
        <v/>
      </c>
      <c r="Z658" s="17">
        <f>IF(OR($W658="",$W658=6),"",CHOOSE($W658,"1st Email Follow-up","2nd Email Follow-up","Escalate Local Office","Escalate to CBE","Escalate to Roxanne"))</f>
        <v/>
      </c>
    </row>
    <row r="659" spans="18:26">
      <c r="R659" s="15"/>
      <c r="S659" s="16"/>
      <c r="T659" s="17">
        <f>IF(AND(COUNTA($A659:$K659)=0,$L659=""),"",IF($S659="Paid","PAID",IF($S659="Closed","CLOSED",IF($W659="","",IF($W659=6,"ESCALATED TO ROXANNE",IF(TODAY()&gt;$Y659,"OVERDUE",IF($Y659&lt;=WORKDAY(TODAY(),1,Holidays),"DUE TOMORROW",IF($W659=4,"ESCALATED TO LOCAL OFFICE",IF($W659=5,"ESCALATED TO CBE",IF($X659=TODAY(),"EMAIL SENT","MONITORING"))))))))))</f>
        <v/>
      </c>
      <c r="U659" s="17">
        <f>IF($T659="",IF(AND(COUNTA($A659:$K659)&gt;0,$L659=""),"Awaiting Collection Email time stamp.",""),IF(OR($T659="PAID",$T659="CLOSED"),IF($T659="PAID","Account paid. Action completed.","Account closed. No further action required."),CHOOSE($W659,"Collection Email","1st Email Follow-up","2nd Email Follow-up","Escalation to Local Office","Escalation to CBE","Escalation to Roxanne")&amp;" sent "&amp;TEXT($X659,"dd-mmm")&amp;". "&amp;IF($W659=6,"Final escalation completed.",IF($T659="OVERDUE","Next: "&amp;$Z659&amp;" was due "&amp;TEXT($Y659,"dd-mmm")&amp;" - "&amp;(NETWORKDAYS($Y659,TODAY(),Holidays)-1)&amp;" business day(s) late. Send now.",IF($T659="DUE TOMORROW","Next: "&amp;$Z659&amp;IF($Y659&lt;=TODAY()," is due TODAY ("," is due next business day (")&amp;TEXT($Y659,"dd-mmm")&amp;").","Next: "&amp;$Z659&amp;" due "&amp;TEXT($Y659,"dd-mmm")&amp;" ("&amp;(NETWORKDAYS(TODAY(),$Y659,Holidays)-1)&amp;" business day(s) left).")))))</f>
        <v/>
      </c>
      <c r="V659" s="17">
        <f>IF($W659="","",CHOOSE($W659,"Collection Email","1st Follow-up","2nd Follow-up","Local Office","CBE","Roxanne")&amp;IF($W659=6," - Final"," - Day "&amp;MAX(0,NETWORKDAYS($X659,TODAY(),Holidays)-1)&amp;" of "&amp;CHOOSE($W659,3,3,2,2,3))&amp;" | Total Day "&amp;MAX(0,NETWORKDAYS($L659,TODAY(),Holidays)-1))</f>
        <v/>
      </c>
      <c r="W659" s="17">
        <f>IF($L659="","",COUNT($L659:$Q659))</f>
        <v/>
      </c>
      <c r="X659" s="18">
        <f>IF($W659="","",INT(INDEX($L659:$Q659,$W659)))</f>
        <v/>
      </c>
      <c r="Y659" s="18">
        <f>IF(OR($W659="",$W659=6),"",WORKDAY($X659,CHOOSE($W659,3,3,2,2,3),Holidays))</f>
        <v/>
      </c>
      <c r="Z659" s="17">
        <f>IF(OR($W659="",$W659=6),"",CHOOSE($W659,"1st Email Follow-up","2nd Email Follow-up","Escalate Local Office","Escalate to CBE","Escalate to Roxanne"))</f>
        <v/>
      </c>
    </row>
    <row r="660" spans="18:26">
      <c r="R660" s="15"/>
      <c r="S660" s="16"/>
      <c r="T660" s="17">
        <f>IF(AND(COUNTA($A660:$K660)=0,$L660=""),"",IF($S660="Paid","PAID",IF($S660="Closed","CLOSED",IF($W660="","",IF($W660=6,"ESCALATED TO ROXANNE",IF(TODAY()&gt;$Y660,"OVERDUE",IF($Y660&lt;=WORKDAY(TODAY(),1,Holidays),"DUE TOMORROW",IF($W660=4,"ESCALATED TO LOCAL OFFICE",IF($W660=5,"ESCALATED TO CBE",IF($X660=TODAY(),"EMAIL SENT","MONITORING"))))))))))</f>
        <v/>
      </c>
      <c r="U660" s="17">
        <f>IF($T660="",IF(AND(COUNTA($A660:$K660)&gt;0,$L660=""),"Awaiting Collection Email time stamp.",""),IF(OR($T660="PAID",$T660="CLOSED"),IF($T660="PAID","Account paid. Action completed.","Account closed. No further action required."),CHOOSE($W660,"Collection Email","1st Email Follow-up","2nd Email Follow-up","Escalation to Local Office","Escalation to CBE","Escalation to Roxanne")&amp;" sent "&amp;TEXT($X660,"dd-mmm")&amp;". "&amp;IF($W660=6,"Final escalation completed.",IF($T660="OVERDUE","Next: "&amp;$Z660&amp;" was due "&amp;TEXT($Y660,"dd-mmm")&amp;" - "&amp;(NETWORKDAYS($Y660,TODAY(),Holidays)-1)&amp;" business day(s) late. Send now.",IF($T660="DUE TOMORROW","Next: "&amp;$Z660&amp;IF($Y660&lt;=TODAY()," is due TODAY ("," is due next business day (")&amp;TEXT($Y660,"dd-mmm")&amp;").","Next: "&amp;$Z660&amp;" due "&amp;TEXT($Y660,"dd-mmm")&amp;" ("&amp;(NETWORKDAYS(TODAY(),$Y660,Holidays)-1)&amp;" business day(s) left).")))))</f>
        <v/>
      </c>
      <c r="V660" s="17">
        <f>IF($W660="","",CHOOSE($W660,"Collection Email","1st Follow-up","2nd Follow-up","Local Office","CBE","Roxanne")&amp;IF($W660=6," - Final"," - Day "&amp;MAX(0,NETWORKDAYS($X660,TODAY(),Holidays)-1)&amp;" of "&amp;CHOOSE($W660,3,3,2,2,3))&amp;" | Total Day "&amp;MAX(0,NETWORKDAYS($L660,TODAY(),Holidays)-1))</f>
        <v/>
      </c>
      <c r="W660" s="17">
        <f>IF($L660="","",COUNT($L660:$Q660))</f>
        <v/>
      </c>
      <c r="X660" s="18">
        <f>IF($W660="","",INT(INDEX($L660:$Q660,$W660)))</f>
        <v/>
      </c>
      <c r="Y660" s="18">
        <f>IF(OR($W660="",$W660=6),"",WORKDAY($X660,CHOOSE($W660,3,3,2,2,3),Holidays))</f>
        <v/>
      </c>
      <c r="Z660" s="17">
        <f>IF(OR($W660="",$W660=6),"",CHOOSE($W660,"1st Email Follow-up","2nd Email Follow-up","Escalate Local Office","Escalate to CBE","Escalate to Roxanne"))</f>
        <v/>
      </c>
    </row>
    <row r="661" spans="18:26">
      <c r="R661" s="15"/>
      <c r="S661" s="16"/>
      <c r="T661" s="17">
        <f>IF(AND(COUNTA($A661:$K661)=0,$L661=""),"",IF($S661="Paid","PAID",IF($S661="Closed","CLOSED",IF($W661="","",IF($W661=6,"ESCALATED TO ROXANNE",IF(TODAY()&gt;$Y661,"OVERDUE",IF($Y661&lt;=WORKDAY(TODAY(),1,Holidays),"DUE TOMORROW",IF($W661=4,"ESCALATED TO LOCAL OFFICE",IF($W661=5,"ESCALATED TO CBE",IF($X661=TODAY(),"EMAIL SENT","MONITORING"))))))))))</f>
        <v/>
      </c>
      <c r="U661" s="17">
        <f>IF($T661="",IF(AND(COUNTA($A661:$K661)&gt;0,$L661=""),"Awaiting Collection Email time stamp.",""),IF(OR($T661="PAID",$T661="CLOSED"),IF($T661="PAID","Account paid. Action completed.","Account closed. No further action required."),CHOOSE($W661,"Collection Email","1st Email Follow-up","2nd Email Follow-up","Escalation to Local Office","Escalation to CBE","Escalation to Roxanne")&amp;" sent "&amp;TEXT($X661,"dd-mmm")&amp;". "&amp;IF($W661=6,"Final escalation completed.",IF($T661="OVERDUE","Next: "&amp;$Z661&amp;" was due "&amp;TEXT($Y661,"dd-mmm")&amp;" - "&amp;(NETWORKDAYS($Y661,TODAY(),Holidays)-1)&amp;" business day(s) late. Send now.",IF($T661="DUE TOMORROW","Next: "&amp;$Z661&amp;IF($Y661&lt;=TODAY()," is due TODAY ("," is due next business day (")&amp;TEXT($Y661,"dd-mmm")&amp;").","Next: "&amp;$Z661&amp;" due "&amp;TEXT($Y661,"dd-mmm")&amp;" ("&amp;(NETWORKDAYS(TODAY(),$Y661,Holidays)-1)&amp;" business day(s) left).")))))</f>
        <v/>
      </c>
      <c r="V661" s="17">
        <f>IF($W661="","",CHOOSE($W661,"Collection Email","1st Follow-up","2nd Follow-up","Local Office","CBE","Roxanne")&amp;IF($W661=6," - Final"," - Day "&amp;MAX(0,NETWORKDAYS($X661,TODAY(),Holidays)-1)&amp;" of "&amp;CHOOSE($W661,3,3,2,2,3))&amp;" | Total Day "&amp;MAX(0,NETWORKDAYS($L661,TODAY(),Holidays)-1))</f>
        <v/>
      </c>
      <c r="W661" s="17">
        <f>IF($L661="","",COUNT($L661:$Q661))</f>
        <v/>
      </c>
      <c r="X661" s="18">
        <f>IF($W661="","",INT(INDEX($L661:$Q661,$W661)))</f>
        <v/>
      </c>
      <c r="Y661" s="18">
        <f>IF(OR($W661="",$W661=6),"",WORKDAY($X661,CHOOSE($W661,3,3,2,2,3),Holidays))</f>
        <v/>
      </c>
      <c r="Z661" s="17">
        <f>IF(OR($W661="",$W661=6),"",CHOOSE($W661,"1st Email Follow-up","2nd Email Follow-up","Escalate Local Office","Escalate to CBE","Escalate to Roxanne"))</f>
        <v/>
      </c>
    </row>
    <row r="662" spans="18:26">
      <c r="R662" s="15"/>
      <c r="S662" s="16"/>
      <c r="T662" s="17">
        <f>IF(AND(COUNTA($A662:$K662)=0,$L662=""),"",IF($S662="Paid","PAID",IF($S662="Closed","CLOSED",IF($W662="","",IF($W662=6,"ESCALATED TO ROXANNE",IF(TODAY()&gt;$Y662,"OVERDUE",IF($Y662&lt;=WORKDAY(TODAY(),1,Holidays),"DUE TOMORROW",IF($W662=4,"ESCALATED TO LOCAL OFFICE",IF($W662=5,"ESCALATED TO CBE",IF($X662=TODAY(),"EMAIL SENT","MONITORING"))))))))))</f>
        <v/>
      </c>
      <c r="U662" s="17">
        <f>IF($T662="",IF(AND(COUNTA($A662:$K662)&gt;0,$L662=""),"Awaiting Collection Email time stamp.",""),IF(OR($T662="PAID",$T662="CLOSED"),IF($T662="PAID","Account paid. Action completed.","Account closed. No further action required."),CHOOSE($W662,"Collection Email","1st Email Follow-up","2nd Email Follow-up","Escalation to Local Office","Escalation to CBE","Escalation to Roxanne")&amp;" sent "&amp;TEXT($X662,"dd-mmm")&amp;". "&amp;IF($W662=6,"Final escalation completed.",IF($T662="OVERDUE","Next: "&amp;$Z662&amp;" was due "&amp;TEXT($Y662,"dd-mmm")&amp;" - "&amp;(NETWORKDAYS($Y662,TODAY(),Holidays)-1)&amp;" business day(s) late. Send now.",IF($T662="DUE TOMORROW","Next: "&amp;$Z662&amp;IF($Y662&lt;=TODAY()," is due TODAY ("," is due next business day (")&amp;TEXT($Y662,"dd-mmm")&amp;").","Next: "&amp;$Z662&amp;" due "&amp;TEXT($Y662,"dd-mmm")&amp;" ("&amp;(NETWORKDAYS(TODAY(),$Y662,Holidays)-1)&amp;" business day(s) left).")))))</f>
        <v/>
      </c>
      <c r="V662" s="17">
        <f>IF($W662="","",CHOOSE($W662,"Collection Email","1st Follow-up","2nd Follow-up","Local Office","CBE","Roxanne")&amp;IF($W662=6," - Final"," - Day "&amp;MAX(0,NETWORKDAYS($X662,TODAY(),Holidays)-1)&amp;" of "&amp;CHOOSE($W662,3,3,2,2,3))&amp;" | Total Day "&amp;MAX(0,NETWORKDAYS($L662,TODAY(),Holidays)-1))</f>
        <v/>
      </c>
      <c r="W662" s="17">
        <f>IF($L662="","",COUNT($L662:$Q662))</f>
        <v/>
      </c>
      <c r="X662" s="18">
        <f>IF($W662="","",INT(INDEX($L662:$Q662,$W662)))</f>
        <v/>
      </c>
      <c r="Y662" s="18">
        <f>IF(OR($W662="",$W662=6),"",WORKDAY($X662,CHOOSE($W662,3,3,2,2,3),Holidays))</f>
        <v/>
      </c>
      <c r="Z662" s="17">
        <f>IF(OR($W662="",$W662=6),"",CHOOSE($W662,"1st Email Follow-up","2nd Email Follow-up","Escalate Local Office","Escalate to CBE","Escalate to Roxanne"))</f>
        <v/>
      </c>
    </row>
    <row r="663" spans="18:26">
      <c r="R663" s="15"/>
      <c r="S663" s="16"/>
      <c r="T663" s="17">
        <f>IF(AND(COUNTA($A663:$K663)=0,$L663=""),"",IF($S663="Paid","PAID",IF($S663="Closed","CLOSED",IF($W663="","",IF($W663=6,"ESCALATED TO ROXANNE",IF(TODAY()&gt;$Y663,"OVERDUE",IF($Y663&lt;=WORKDAY(TODAY(),1,Holidays),"DUE TOMORROW",IF($W663=4,"ESCALATED TO LOCAL OFFICE",IF($W663=5,"ESCALATED TO CBE",IF($X663=TODAY(),"EMAIL SENT","MONITORING"))))))))))</f>
        <v/>
      </c>
      <c r="U663" s="17">
        <f>IF($T663="",IF(AND(COUNTA($A663:$K663)&gt;0,$L663=""),"Awaiting Collection Email time stamp.",""),IF(OR($T663="PAID",$T663="CLOSED"),IF($T663="PAID","Account paid. Action completed.","Account closed. No further action required."),CHOOSE($W663,"Collection Email","1st Email Follow-up","2nd Email Follow-up","Escalation to Local Office","Escalation to CBE","Escalation to Roxanne")&amp;" sent "&amp;TEXT($X663,"dd-mmm")&amp;". "&amp;IF($W663=6,"Final escalation completed.",IF($T663="OVERDUE","Next: "&amp;$Z663&amp;" was due "&amp;TEXT($Y663,"dd-mmm")&amp;" - "&amp;(NETWORKDAYS($Y663,TODAY(),Holidays)-1)&amp;" business day(s) late. Send now.",IF($T663="DUE TOMORROW","Next: "&amp;$Z663&amp;IF($Y663&lt;=TODAY()," is due TODAY ("," is due next business day (")&amp;TEXT($Y663,"dd-mmm")&amp;").","Next: "&amp;$Z663&amp;" due "&amp;TEXT($Y663,"dd-mmm")&amp;" ("&amp;(NETWORKDAYS(TODAY(),$Y663,Holidays)-1)&amp;" business day(s) left).")))))</f>
        <v/>
      </c>
      <c r="V663" s="17">
        <f>IF($W663="","",CHOOSE($W663,"Collection Email","1st Follow-up","2nd Follow-up","Local Office","CBE","Roxanne")&amp;IF($W663=6," - Final"," - Day "&amp;MAX(0,NETWORKDAYS($X663,TODAY(),Holidays)-1)&amp;" of "&amp;CHOOSE($W663,3,3,2,2,3))&amp;" | Total Day "&amp;MAX(0,NETWORKDAYS($L663,TODAY(),Holidays)-1))</f>
        <v/>
      </c>
      <c r="W663" s="17">
        <f>IF($L663="","",COUNT($L663:$Q663))</f>
        <v/>
      </c>
      <c r="X663" s="18">
        <f>IF($W663="","",INT(INDEX($L663:$Q663,$W663)))</f>
        <v/>
      </c>
      <c r="Y663" s="18">
        <f>IF(OR($W663="",$W663=6),"",WORKDAY($X663,CHOOSE($W663,3,3,2,2,3),Holidays))</f>
        <v/>
      </c>
      <c r="Z663" s="17">
        <f>IF(OR($W663="",$W663=6),"",CHOOSE($W663,"1st Email Follow-up","2nd Email Follow-up","Escalate Local Office","Escalate to CBE","Escalate to Roxanne"))</f>
        <v/>
      </c>
    </row>
    <row r="664" spans="18:26">
      <c r="R664" s="15"/>
      <c r="S664" s="16"/>
      <c r="T664" s="17">
        <f>IF(AND(COUNTA($A664:$K664)=0,$L664=""),"",IF($S664="Paid","PAID",IF($S664="Closed","CLOSED",IF($W664="","",IF($W664=6,"ESCALATED TO ROXANNE",IF(TODAY()&gt;$Y664,"OVERDUE",IF($Y664&lt;=WORKDAY(TODAY(),1,Holidays),"DUE TOMORROW",IF($W664=4,"ESCALATED TO LOCAL OFFICE",IF($W664=5,"ESCALATED TO CBE",IF($X664=TODAY(),"EMAIL SENT","MONITORING"))))))))))</f>
        <v/>
      </c>
      <c r="U664" s="17">
        <f>IF($T664="",IF(AND(COUNTA($A664:$K664)&gt;0,$L664=""),"Awaiting Collection Email time stamp.",""),IF(OR($T664="PAID",$T664="CLOSED"),IF($T664="PAID","Account paid. Action completed.","Account closed. No further action required."),CHOOSE($W664,"Collection Email","1st Email Follow-up","2nd Email Follow-up","Escalation to Local Office","Escalation to CBE","Escalation to Roxanne")&amp;" sent "&amp;TEXT($X664,"dd-mmm")&amp;". "&amp;IF($W664=6,"Final escalation completed.",IF($T664="OVERDUE","Next: "&amp;$Z664&amp;" was due "&amp;TEXT($Y664,"dd-mmm")&amp;" - "&amp;(NETWORKDAYS($Y664,TODAY(),Holidays)-1)&amp;" business day(s) late. Send now.",IF($T664="DUE TOMORROW","Next: "&amp;$Z664&amp;IF($Y664&lt;=TODAY()," is due TODAY ("," is due next business day (")&amp;TEXT($Y664,"dd-mmm")&amp;").","Next: "&amp;$Z664&amp;" due "&amp;TEXT($Y664,"dd-mmm")&amp;" ("&amp;(NETWORKDAYS(TODAY(),$Y664,Holidays)-1)&amp;" business day(s) left).")))))</f>
        <v/>
      </c>
      <c r="V664" s="17">
        <f>IF($W664="","",CHOOSE($W664,"Collection Email","1st Follow-up","2nd Follow-up","Local Office","CBE","Roxanne")&amp;IF($W664=6," - Final"," - Day "&amp;MAX(0,NETWORKDAYS($X664,TODAY(),Holidays)-1)&amp;" of "&amp;CHOOSE($W664,3,3,2,2,3))&amp;" | Total Day "&amp;MAX(0,NETWORKDAYS($L664,TODAY(),Holidays)-1))</f>
        <v/>
      </c>
      <c r="W664" s="17">
        <f>IF($L664="","",COUNT($L664:$Q664))</f>
        <v/>
      </c>
      <c r="X664" s="18">
        <f>IF($W664="","",INT(INDEX($L664:$Q664,$W664)))</f>
        <v/>
      </c>
      <c r="Y664" s="18">
        <f>IF(OR($W664="",$W664=6),"",WORKDAY($X664,CHOOSE($W664,3,3,2,2,3),Holidays))</f>
        <v/>
      </c>
      <c r="Z664" s="17">
        <f>IF(OR($W664="",$W664=6),"",CHOOSE($W664,"1st Email Follow-up","2nd Email Follow-up","Escalate Local Office","Escalate to CBE","Escalate to Roxanne"))</f>
        <v/>
      </c>
    </row>
    <row r="665" spans="18:26">
      <c r="R665" s="15"/>
      <c r="S665" s="16"/>
      <c r="T665" s="17">
        <f>IF(AND(COUNTA($A665:$K665)=0,$L665=""),"",IF($S665="Paid","PAID",IF($S665="Closed","CLOSED",IF($W665="","",IF($W665=6,"ESCALATED TO ROXANNE",IF(TODAY()&gt;$Y665,"OVERDUE",IF($Y665&lt;=WORKDAY(TODAY(),1,Holidays),"DUE TOMORROW",IF($W665=4,"ESCALATED TO LOCAL OFFICE",IF($W665=5,"ESCALATED TO CBE",IF($X665=TODAY(),"EMAIL SENT","MONITORING"))))))))))</f>
        <v/>
      </c>
      <c r="U665" s="17">
        <f>IF($T665="",IF(AND(COUNTA($A665:$K665)&gt;0,$L665=""),"Awaiting Collection Email time stamp.",""),IF(OR($T665="PAID",$T665="CLOSED"),IF($T665="PAID","Account paid. Action completed.","Account closed. No further action required."),CHOOSE($W665,"Collection Email","1st Email Follow-up","2nd Email Follow-up","Escalation to Local Office","Escalation to CBE","Escalation to Roxanne")&amp;" sent "&amp;TEXT($X665,"dd-mmm")&amp;". "&amp;IF($W665=6,"Final escalation completed.",IF($T665="OVERDUE","Next: "&amp;$Z665&amp;" was due "&amp;TEXT($Y665,"dd-mmm")&amp;" - "&amp;(NETWORKDAYS($Y665,TODAY(),Holidays)-1)&amp;" business day(s) late. Send now.",IF($T665="DUE TOMORROW","Next: "&amp;$Z665&amp;IF($Y665&lt;=TODAY()," is due TODAY ("," is due next business day (")&amp;TEXT($Y665,"dd-mmm")&amp;").","Next: "&amp;$Z665&amp;" due "&amp;TEXT($Y665,"dd-mmm")&amp;" ("&amp;(NETWORKDAYS(TODAY(),$Y665,Holidays)-1)&amp;" business day(s) left).")))))</f>
        <v/>
      </c>
      <c r="V665" s="17">
        <f>IF($W665="","",CHOOSE($W665,"Collection Email","1st Follow-up","2nd Follow-up","Local Office","CBE","Roxanne")&amp;IF($W665=6," - Final"," - Day "&amp;MAX(0,NETWORKDAYS($X665,TODAY(),Holidays)-1)&amp;" of "&amp;CHOOSE($W665,3,3,2,2,3))&amp;" | Total Day "&amp;MAX(0,NETWORKDAYS($L665,TODAY(),Holidays)-1))</f>
        <v/>
      </c>
      <c r="W665" s="17">
        <f>IF($L665="","",COUNT($L665:$Q665))</f>
        <v/>
      </c>
      <c r="X665" s="18">
        <f>IF($W665="","",INT(INDEX($L665:$Q665,$W665)))</f>
        <v/>
      </c>
      <c r="Y665" s="18">
        <f>IF(OR($W665="",$W665=6),"",WORKDAY($X665,CHOOSE($W665,3,3,2,2,3),Holidays))</f>
        <v/>
      </c>
      <c r="Z665" s="17">
        <f>IF(OR($W665="",$W665=6),"",CHOOSE($W665,"1st Email Follow-up","2nd Email Follow-up","Escalate Local Office","Escalate to CBE","Escalate to Roxanne"))</f>
        <v/>
      </c>
    </row>
    <row r="666" spans="18:26">
      <c r="R666" s="15"/>
      <c r="S666" s="16"/>
      <c r="T666" s="17">
        <f>IF(AND(COUNTA($A666:$K666)=0,$L666=""),"",IF($S666="Paid","PAID",IF($S666="Closed","CLOSED",IF($W666="","",IF($W666=6,"ESCALATED TO ROXANNE",IF(TODAY()&gt;$Y666,"OVERDUE",IF($Y666&lt;=WORKDAY(TODAY(),1,Holidays),"DUE TOMORROW",IF($W666=4,"ESCALATED TO LOCAL OFFICE",IF($W666=5,"ESCALATED TO CBE",IF($X666=TODAY(),"EMAIL SENT","MONITORING"))))))))))</f>
        <v/>
      </c>
      <c r="U666" s="17">
        <f>IF($T666="",IF(AND(COUNTA($A666:$K666)&gt;0,$L666=""),"Awaiting Collection Email time stamp.",""),IF(OR($T666="PAID",$T666="CLOSED"),IF($T666="PAID","Account paid. Action completed.","Account closed. No further action required."),CHOOSE($W666,"Collection Email","1st Email Follow-up","2nd Email Follow-up","Escalation to Local Office","Escalation to CBE","Escalation to Roxanne")&amp;" sent "&amp;TEXT($X666,"dd-mmm")&amp;". "&amp;IF($W666=6,"Final escalation completed.",IF($T666="OVERDUE","Next: "&amp;$Z666&amp;" was due "&amp;TEXT($Y666,"dd-mmm")&amp;" - "&amp;(NETWORKDAYS($Y666,TODAY(),Holidays)-1)&amp;" business day(s) late. Send now.",IF($T666="DUE TOMORROW","Next: "&amp;$Z666&amp;IF($Y666&lt;=TODAY()," is due TODAY ("," is due next business day (")&amp;TEXT($Y666,"dd-mmm")&amp;").","Next: "&amp;$Z666&amp;" due "&amp;TEXT($Y666,"dd-mmm")&amp;" ("&amp;(NETWORKDAYS(TODAY(),$Y666,Holidays)-1)&amp;" business day(s) left).")))))</f>
        <v/>
      </c>
      <c r="V666" s="17">
        <f>IF($W666="","",CHOOSE($W666,"Collection Email","1st Follow-up","2nd Follow-up","Local Office","CBE","Roxanne")&amp;IF($W666=6," - Final"," - Day "&amp;MAX(0,NETWORKDAYS($X666,TODAY(),Holidays)-1)&amp;" of "&amp;CHOOSE($W666,3,3,2,2,3))&amp;" | Total Day "&amp;MAX(0,NETWORKDAYS($L666,TODAY(),Holidays)-1))</f>
        <v/>
      </c>
      <c r="W666" s="17">
        <f>IF($L666="","",COUNT($L666:$Q666))</f>
        <v/>
      </c>
      <c r="X666" s="18">
        <f>IF($W666="","",INT(INDEX($L666:$Q666,$W666)))</f>
        <v/>
      </c>
      <c r="Y666" s="18">
        <f>IF(OR($W666="",$W666=6),"",WORKDAY($X666,CHOOSE($W666,3,3,2,2,3),Holidays))</f>
        <v/>
      </c>
      <c r="Z666" s="17">
        <f>IF(OR($W666="",$W666=6),"",CHOOSE($W666,"1st Email Follow-up","2nd Email Follow-up","Escalate Local Office","Escalate to CBE","Escalate to Roxanne"))</f>
        <v/>
      </c>
    </row>
    <row r="667" spans="18:26">
      <c r="R667" s="15"/>
      <c r="S667" s="16"/>
      <c r="T667" s="17">
        <f>IF(AND(COUNTA($A667:$K667)=0,$L667=""),"",IF($S667="Paid","PAID",IF($S667="Closed","CLOSED",IF($W667="","",IF($W667=6,"ESCALATED TO ROXANNE",IF(TODAY()&gt;$Y667,"OVERDUE",IF($Y667&lt;=WORKDAY(TODAY(),1,Holidays),"DUE TOMORROW",IF($W667=4,"ESCALATED TO LOCAL OFFICE",IF($W667=5,"ESCALATED TO CBE",IF($X667=TODAY(),"EMAIL SENT","MONITORING"))))))))))</f>
        <v/>
      </c>
      <c r="U667" s="17">
        <f>IF($T667="",IF(AND(COUNTA($A667:$K667)&gt;0,$L667=""),"Awaiting Collection Email time stamp.",""),IF(OR($T667="PAID",$T667="CLOSED"),IF($T667="PAID","Account paid. Action completed.","Account closed. No further action required."),CHOOSE($W667,"Collection Email","1st Email Follow-up","2nd Email Follow-up","Escalation to Local Office","Escalation to CBE","Escalation to Roxanne")&amp;" sent "&amp;TEXT($X667,"dd-mmm")&amp;". "&amp;IF($W667=6,"Final escalation completed.",IF($T667="OVERDUE","Next: "&amp;$Z667&amp;" was due "&amp;TEXT($Y667,"dd-mmm")&amp;" - "&amp;(NETWORKDAYS($Y667,TODAY(),Holidays)-1)&amp;" business day(s) late. Send now.",IF($T667="DUE TOMORROW","Next: "&amp;$Z667&amp;IF($Y667&lt;=TODAY()," is due TODAY ("," is due next business day (")&amp;TEXT($Y667,"dd-mmm")&amp;").","Next: "&amp;$Z667&amp;" due "&amp;TEXT($Y667,"dd-mmm")&amp;" ("&amp;(NETWORKDAYS(TODAY(),$Y667,Holidays)-1)&amp;" business day(s) left).")))))</f>
        <v/>
      </c>
      <c r="V667" s="17">
        <f>IF($W667="","",CHOOSE($W667,"Collection Email","1st Follow-up","2nd Follow-up","Local Office","CBE","Roxanne")&amp;IF($W667=6," - Final"," - Day "&amp;MAX(0,NETWORKDAYS($X667,TODAY(),Holidays)-1)&amp;" of "&amp;CHOOSE($W667,3,3,2,2,3))&amp;" | Total Day "&amp;MAX(0,NETWORKDAYS($L667,TODAY(),Holidays)-1))</f>
        <v/>
      </c>
      <c r="W667" s="17">
        <f>IF($L667="","",COUNT($L667:$Q667))</f>
        <v/>
      </c>
      <c r="X667" s="18">
        <f>IF($W667="","",INT(INDEX($L667:$Q667,$W667)))</f>
        <v/>
      </c>
      <c r="Y667" s="18">
        <f>IF(OR($W667="",$W667=6),"",WORKDAY($X667,CHOOSE($W667,3,3,2,2,3),Holidays))</f>
        <v/>
      </c>
      <c r="Z667" s="17">
        <f>IF(OR($W667="",$W667=6),"",CHOOSE($W667,"1st Email Follow-up","2nd Email Follow-up","Escalate Local Office","Escalate to CBE","Escalate to Roxanne"))</f>
        <v/>
      </c>
    </row>
    <row r="668" spans="18:26">
      <c r="R668" s="15"/>
      <c r="S668" s="16"/>
      <c r="T668" s="17">
        <f>IF(AND(COUNTA($A668:$K668)=0,$L668=""),"",IF($S668="Paid","PAID",IF($S668="Closed","CLOSED",IF($W668="","",IF($W668=6,"ESCALATED TO ROXANNE",IF(TODAY()&gt;$Y668,"OVERDUE",IF($Y668&lt;=WORKDAY(TODAY(),1,Holidays),"DUE TOMORROW",IF($W668=4,"ESCALATED TO LOCAL OFFICE",IF($W668=5,"ESCALATED TO CBE",IF($X668=TODAY(),"EMAIL SENT","MONITORING"))))))))))</f>
        <v/>
      </c>
      <c r="U668" s="17">
        <f>IF($T668="",IF(AND(COUNTA($A668:$K668)&gt;0,$L668=""),"Awaiting Collection Email time stamp.",""),IF(OR($T668="PAID",$T668="CLOSED"),IF($T668="PAID","Account paid. Action completed.","Account closed. No further action required."),CHOOSE($W668,"Collection Email","1st Email Follow-up","2nd Email Follow-up","Escalation to Local Office","Escalation to CBE","Escalation to Roxanne")&amp;" sent "&amp;TEXT($X668,"dd-mmm")&amp;". "&amp;IF($W668=6,"Final escalation completed.",IF($T668="OVERDUE","Next: "&amp;$Z668&amp;" was due "&amp;TEXT($Y668,"dd-mmm")&amp;" - "&amp;(NETWORKDAYS($Y668,TODAY(),Holidays)-1)&amp;" business day(s) late. Send now.",IF($T668="DUE TOMORROW","Next: "&amp;$Z668&amp;IF($Y668&lt;=TODAY()," is due TODAY ("," is due next business day (")&amp;TEXT($Y668,"dd-mmm")&amp;").","Next: "&amp;$Z668&amp;" due "&amp;TEXT($Y668,"dd-mmm")&amp;" ("&amp;(NETWORKDAYS(TODAY(),$Y668,Holidays)-1)&amp;" business day(s) left).")))))</f>
        <v/>
      </c>
      <c r="V668" s="17">
        <f>IF($W668="","",CHOOSE($W668,"Collection Email","1st Follow-up","2nd Follow-up","Local Office","CBE","Roxanne")&amp;IF($W668=6," - Final"," - Day "&amp;MAX(0,NETWORKDAYS($X668,TODAY(),Holidays)-1)&amp;" of "&amp;CHOOSE($W668,3,3,2,2,3))&amp;" | Total Day "&amp;MAX(0,NETWORKDAYS($L668,TODAY(),Holidays)-1))</f>
        <v/>
      </c>
      <c r="W668" s="17">
        <f>IF($L668="","",COUNT($L668:$Q668))</f>
        <v/>
      </c>
      <c r="X668" s="18">
        <f>IF($W668="","",INT(INDEX($L668:$Q668,$W668)))</f>
        <v/>
      </c>
      <c r="Y668" s="18">
        <f>IF(OR($W668="",$W668=6),"",WORKDAY($X668,CHOOSE($W668,3,3,2,2,3),Holidays))</f>
        <v/>
      </c>
      <c r="Z668" s="17">
        <f>IF(OR($W668="",$W668=6),"",CHOOSE($W668,"1st Email Follow-up","2nd Email Follow-up","Escalate Local Office","Escalate to CBE","Escalate to Roxanne"))</f>
        <v/>
      </c>
    </row>
    <row r="669" spans="18:26">
      <c r="R669" s="15"/>
      <c r="S669" s="16"/>
      <c r="T669" s="17">
        <f>IF(AND(COUNTA($A669:$K669)=0,$L669=""),"",IF($S669="Paid","PAID",IF($S669="Closed","CLOSED",IF($W669="","",IF($W669=6,"ESCALATED TO ROXANNE",IF(TODAY()&gt;$Y669,"OVERDUE",IF($Y669&lt;=WORKDAY(TODAY(),1,Holidays),"DUE TOMORROW",IF($W669=4,"ESCALATED TO LOCAL OFFICE",IF($W669=5,"ESCALATED TO CBE",IF($X669=TODAY(),"EMAIL SENT","MONITORING"))))))))))</f>
        <v/>
      </c>
      <c r="U669" s="17">
        <f>IF($T669="",IF(AND(COUNTA($A669:$K669)&gt;0,$L669=""),"Awaiting Collection Email time stamp.",""),IF(OR($T669="PAID",$T669="CLOSED"),IF($T669="PAID","Account paid. Action completed.","Account closed. No further action required."),CHOOSE($W669,"Collection Email","1st Email Follow-up","2nd Email Follow-up","Escalation to Local Office","Escalation to CBE","Escalation to Roxanne")&amp;" sent "&amp;TEXT($X669,"dd-mmm")&amp;". "&amp;IF($W669=6,"Final escalation completed.",IF($T669="OVERDUE","Next: "&amp;$Z669&amp;" was due "&amp;TEXT($Y669,"dd-mmm")&amp;" - "&amp;(NETWORKDAYS($Y669,TODAY(),Holidays)-1)&amp;" business day(s) late. Send now.",IF($T669="DUE TOMORROW","Next: "&amp;$Z669&amp;IF($Y669&lt;=TODAY()," is due TODAY ("," is due next business day (")&amp;TEXT($Y669,"dd-mmm")&amp;").","Next: "&amp;$Z669&amp;" due "&amp;TEXT($Y669,"dd-mmm")&amp;" ("&amp;(NETWORKDAYS(TODAY(),$Y669,Holidays)-1)&amp;" business day(s) left).")))))</f>
        <v/>
      </c>
      <c r="V669" s="17">
        <f>IF($W669="","",CHOOSE($W669,"Collection Email","1st Follow-up","2nd Follow-up","Local Office","CBE","Roxanne")&amp;IF($W669=6," - Final"," - Day "&amp;MAX(0,NETWORKDAYS($X669,TODAY(),Holidays)-1)&amp;" of "&amp;CHOOSE($W669,3,3,2,2,3))&amp;" | Total Day "&amp;MAX(0,NETWORKDAYS($L669,TODAY(),Holidays)-1))</f>
        <v/>
      </c>
      <c r="W669" s="17">
        <f>IF($L669="","",COUNT($L669:$Q669))</f>
        <v/>
      </c>
      <c r="X669" s="18">
        <f>IF($W669="","",INT(INDEX($L669:$Q669,$W669)))</f>
        <v/>
      </c>
      <c r="Y669" s="18">
        <f>IF(OR($W669="",$W669=6),"",WORKDAY($X669,CHOOSE($W669,3,3,2,2,3),Holidays))</f>
        <v/>
      </c>
      <c r="Z669" s="17">
        <f>IF(OR($W669="",$W669=6),"",CHOOSE($W669,"1st Email Follow-up","2nd Email Follow-up","Escalate Local Office","Escalate to CBE","Escalate to Roxanne"))</f>
        <v/>
      </c>
    </row>
    <row r="670" spans="18:26">
      <c r="R670" s="15"/>
      <c r="S670" s="16"/>
      <c r="T670" s="17">
        <f>IF(AND(COUNTA($A670:$K670)=0,$L670=""),"",IF($S670="Paid","PAID",IF($S670="Closed","CLOSED",IF($W670="","",IF($W670=6,"ESCALATED TO ROXANNE",IF(TODAY()&gt;$Y670,"OVERDUE",IF($Y670&lt;=WORKDAY(TODAY(),1,Holidays),"DUE TOMORROW",IF($W670=4,"ESCALATED TO LOCAL OFFICE",IF($W670=5,"ESCALATED TO CBE",IF($X670=TODAY(),"EMAIL SENT","MONITORING"))))))))))</f>
        <v/>
      </c>
      <c r="U670" s="17">
        <f>IF($T670="",IF(AND(COUNTA($A670:$K670)&gt;0,$L670=""),"Awaiting Collection Email time stamp.",""),IF(OR($T670="PAID",$T670="CLOSED"),IF($T670="PAID","Account paid. Action completed.","Account closed. No further action required."),CHOOSE($W670,"Collection Email","1st Email Follow-up","2nd Email Follow-up","Escalation to Local Office","Escalation to CBE","Escalation to Roxanne")&amp;" sent "&amp;TEXT($X670,"dd-mmm")&amp;". "&amp;IF($W670=6,"Final escalation completed.",IF($T670="OVERDUE","Next: "&amp;$Z670&amp;" was due "&amp;TEXT($Y670,"dd-mmm")&amp;" - "&amp;(NETWORKDAYS($Y670,TODAY(),Holidays)-1)&amp;" business day(s) late. Send now.",IF($T670="DUE TOMORROW","Next: "&amp;$Z670&amp;IF($Y670&lt;=TODAY()," is due TODAY ("," is due next business day (")&amp;TEXT($Y670,"dd-mmm")&amp;").","Next: "&amp;$Z670&amp;" due "&amp;TEXT($Y670,"dd-mmm")&amp;" ("&amp;(NETWORKDAYS(TODAY(),$Y670,Holidays)-1)&amp;" business day(s) left).")))))</f>
        <v/>
      </c>
      <c r="V670" s="17">
        <f>IF($W670="","",CHOOSE($W670,"Collection Email","1st Follow-up","2nd Follow-up","Local Office","CBE","Roxanne")&amp;IF($W670=6," - Final"," - Day "&amp;MAX(0,NETWORKDAYS($X670,TODAY(),Holidays)-1)&amp;" of "&amp;CHOOSE($W670,3,3,2,2,3))&amp;" | Total Day "&amp;MAX(0,NETWORKDAYS($L670,TODAY(),Holidays)-1))</f>
        <v/>
      </c>
      <c r="W670" s="17">
        <f>IF($L670="","",COUNT($L670:$Q670))</f>
        <v/>
      </c>
      <c r="X670" s="18">
        <f>IF($W670="","",INT(INDEX($L670:$Q670,$W670)))</f>
        <v/>
      </c>
      <c r="Y670" s="18">
        <f>IF(OR($W670="",$W670=6),"",WORKDAY($X670,CHOOSE($W670,3,3,2,2,3),Holidays))</f>
        <v/>
      </c>
      <c r="Z670" s="17">
        <f>IF(OR($W670="",$W670=6),"",CHOOSE($W670,"1st Email Follow-up","2nd Email Follow-up","Escalate Local Office","Escalate to CBE","Escalate to Roxanne"))</f>
        <v/>
      </c>
    </row>
    <row r="671" spans="18:26">
      <c r="R671" s="15"/>
      <c r="S671" s="16"/>
      <c r="T671" s="17">
        <f>IF(AND(COUNTA($A671:$K671)=0,$L671=""),"",IF($S671="Paid","PAID",IF($S671="Closed","CLOSED",IF($W671="","",IF($W671=6,"ESCALATED TO ROXANNE",IF(TODAY()&gt;$Y671,"OVERDUE",IF($Y671&lt;=WORKDAY(TODAY(),1,Holidays),"DUE TOMORROW",IF($W671=4,"ESCALATED TO LOCAL OFFICE",IF($W671=5,"ESCALATED TO CBE",IF($X671=TODAY(),"EMAIL SENT","MONITORING"))))))))))</f>
        <v/>
      </c>
      <c r="U671" s="17">
        <f>IF($T671="",IF(AND(COUNTA($A671:$K671)&gt;0,$L671=""),"Awaiting Collection Email time stamp.",""),IF(OR($T671="PAID",$T671="CLOSED"),IF($T671="PAID","Account paid. Action completed.","Account closed. No further action required."),CHOOSE($W671,"Collection Email","1st Email Follow-up","2nd Email Follow-up","Escalation to Local Office","Escalation to CBE","Escalation to Roxanne")&amp;" sent "&amp;TEXT($X671,"dd-mmm")&amp;". "&amp;IF($W671=6,"Final escalation completed.",IF($T671="OVERDUE","Next: "&amp;$Z671&amp;" was due "&amp;TEXT($Y671,"dd-mmm")&amp;" - "&amp;(NETWORKDAYS($Y671,TODAY(),Holidays)-1)&amp;" business day(s) late. Send now.",IF($T671="DUE TOMORROW","Next: "&amp;$Z671&amp;IF($Y671&lt;=TODAY()," is due TODAY ("," is due next business day (")&amp;TEXT($Y671,"dd-mmm")&amp;").","Next: "&amp;$Z671&amp;" due "&amp;TEXT($Y671,"dd-mmm")&amp;" ("&amp;(NETWORKDAYS(TODAY(),$Y671,Holidays)-1)&amp;" business day(s) left).")))))</f>
        <v/>
      </c>
      <c r="V671" s="17">
        <f>IF($W671="","",CHOOSE($W671,"Collection Email","1st Follow-up","2nd Follow-up","Local Office","CBE","Roxanne")&amp;IF($W671=6," - Final"," - Day "&amp;MAX(0,NETWORKDAYS($X671,TODAY(),Holidays)-1)&amp;" of "&amp;CHOOSE($W671,3,3,2,2,3))&amp;" | Total Day "&amp;MAX(0,NETWORKDAYS($L671,TODAY(),Holidays)-1))</f>
        <v/>
      </c>
      <c r="W671" s="17">
        <f>IF($L671="","",COUNT($L671:$Q671))</f>
        <v/>
      </c>
      <c r="X671" s="18">
        <f>IF($W671="","",INT(INDEX($L671:$Q671,$W671)))</f>
        <v/>
      </c>
      <c r="Y671" s="18">
        <f>IF(OR($W671="",$W671=6),"",WORKDAY($X671,CHOOSE($W671,3,3,2,2,3),Holidays))</f>
        <v/>
      </c>
      <c r="Z671" s="17">
        <f>IF(OR($W671="",$W671=6),"",CHOOSE($W671,"1st Email Follow-up","2nd Email Follow-up","Escalate Local Office","Escalate to CBE","Escalate to Roxanne"))</f>
        <v/>
      </c>
    </row>
    <row r="672" spans="18:26">
      <c r="R672" s="15"/>
      <c r="S672" s="16"/>
      <c r="T672" s="17">
        <f>IF(AND(COUNTA($A672:$K672)=0,$L672=""),"",IF($S672="Paid","PAID",IF($S672="Closed","CLOSED",IF($W672="","",IF($W672=6,"ESCALATED TO ROXANNE",IF(TODAY()&gt;$Y672,"OVERDUE",IF($Y672&lt;=WORKDAY(TODAY(),1,Holidays),"DUE TOMORROW",IF($W672=4,"ESCALATED TO LOCAL OFFICE",IF($W672=5,"ESCALATED TO CBE",IF($X672=TODAY(),"EMAIL SENT","MONITORING"))))))))))</f>
        <v/>
      </c>
      <c r="U672" s="17">
        <f>IF($T672="",IF(AND(COUNTA($A672:$K672)&gt;0,$L672=""),"Awaiting Collection Email time stamp.",""),IF(OR($T672="PAID",$T672="CLOSED"),IF($T672="PAID","Account paid. Action completed.","Account closed. No further action required."),CHOOSE($W672,"Collection Email","1st Email Follow-up","2nd Email Follow-up","Escalation to Local Office","Escalation to CBE","Escalation to Roxanne")&amp;" sent "&amp;TEXT($X672,"dd-mmm")&amp;". "&amp;IF($W672=6,"Final escalation completed.",IF($T672="OVERDUE","Next: "&amp;$Z672&amp;" was due "&amp;TEXT($Y672,"dd-mmm")&amp;" - "&amp;(NETWORKDAYS($Y672,TODAY(),Holidays)-1)&amp;" business day(s) late. Send now.",IF($T672="DUE TOMORROW","Next: "&amp;$Z672&amp;IF($Y672&lt;=TODAY()," is due TODAY ("," is due next business day (")&amp;TEXT($Y672,"dd-mmm")&amp;").","Next: "&amp;$Z672&amp;" due "&amp;TEXT($Y672,"dd-mmm")&amp;" ("&amp;(NETWORKDAYS(TODAY(),$Y672,Holidays)-1)&amp;" business day(s) left).")))))</f>
        <v/>
      </c>
      <c r="V672" s="17">
        <f>IF($W672="","",CHOOSE($W672,"Collection Email","1st Follow-up","2nd Follow-up","Local Office","CBE","Roxanne")&amp;IF($W672=6," - Final"," - Day "&amp;MAX(0,NETWORKDAYS($X672,TODAY(),Holidays)-1)&amp;" of "&amp;CHOOSE($W672,3,3,2,2,3))&amp;" | Total Day "&amp;MAX(0,NETWORKDAYS($L672,TODAY(),Holidays)-1))</f>
        <v/>
      </c>
      <c r="W672" s="17">
        <f>IF($L672="","",COUNT($L672:$Q672))</f>
        <v/>
      </c>
      <c r="X672" s="18">
        <f>IF($W672="","",INT(INDEX($L672:$Q672,$W672)))</f>
        <v/>
      </c>
      <c r="Y672" s="18">
        <f>IF(OR($W672="",$W672=6),"",WORKDAY($X672,CHOOSE($W672,3,3,2,2,3),Holidays))</f>
        <v/>
      </c>
      <c r="Z672" s="17">
        <f>IF(OR($W672="",$W672=6),"",CHOOSE($W672,"1st Email Follow-up","2nd Email Follow-up","Escalate Local Office","Escalate to CBE","Escalate to Roxanne"))</f>
        <v/>
      </c>
    </row>
    <row r="673" spans="18:26">
      <c r="R673" s="15"/>
      <c r="S673" s="16"/>
      <c r="T673" s="17">
        <f>IF(AND(COUNTA($A673:$K673)=0,$L673=""),"",IF($S673="Paid","PAID",IF($S673="Closed","CLOSED",IF($W673="","",IF($W673=6,"ESCALATED TO ROXANNE",IF(TODAY()&gt;$Y673,"OVERDUE",IF($Y673&lt;=WORKDAY(TODAY(),1,Holidays),"DUE TOMORROW",IF($W673=4,"ESCALATED TO LOCAL OFFICE",IF($W673=5,"ESCALATED TO CBE",IF($X673=TODAY(),"EMAIL SENT","MONITORING"))))))))))</f>
        <v/>
      </c>
      <c r="U673" s="17">
        <f>IF($T673="",IF(AND(COUNTA($A673:$K673)&gt;0,$L673=""),"Awaiting Collection Email time stamp.",""),IF(OR($T673="PAID",$T673="CLOSED"),IF($T673="PAID","Account paid. Action completed.","Account closed. No further action required."),CHOOSE($W673,"Collection Email","1st Email Follow-up","2nd Email Follow-up","Escalation to Local Office","Escalation to CBE","Escalation to Roxanne")&amp;" sent "&amp;TEXT($X673,"dd-mmm")&amp;". "&amp;IF($W673=6,"Final escalation completed.",IF($T673="OVERDUE","Next: "&amp;$Z673&amp;" was due "&amp;TEXT($Y673,"dd-mmm")&amp;" - "&amp;(NETWORKDAYS($Y673,TODAY(),Holidays)-1)&amp;" business day(s) late. Send now.",IF($T673="DUE TOMORROW","Next: "&amp;$Z673&amp;IF($Y673&lt;=TODAY()," is due TODAY ("," is due next business day (")&amp;TEXT($Y673,"dd-mmm")&amp;").","Next: "&amp;$Z673&amp;" due "&amp;TEXT($Y673,"dd-mmm")&amp;" ("&amp;(NETWORKDAYS(TODAY(),$Y673,Holidays)-1)&amp;" business day(s) left).")))))</f>
        <v/>
      </c>
      <c r="V673" s="17">
        <f>IF($W673="","",CHOOSE($W673,"Collection Email","1st Follow-up","2nd Follow-up","Local Office","CBE","Roxanne")&amp;IF($W673=6," - Final"," - Day "&amp;MAX(0,NETWORKDAYS($X673,TODAY(),Holidays)-1)&amp;" of "&amp;CHOOSE($W673,3,3,2,2,3))&amp;" | Total Day "&amp;MAX(0,NETWORKDAYS($L673,TODAY(),Holidays)-1))</f>
        <v/>
      </c>
      <c r="W673" s="17">
        <f>IF($L673="","",COUNT($L673:$Q673))</f>
        <v/>
      </c>
      <c r="X673" s="18">
        <f>IF($W673="","",INT(INDEX($L673:$Q673,$W673)))</f>
        <v/>
      </c>
      <c r="Y673" s="18">
        <f>IF(OR($W673="",$W673=6),"",WORKDAY($X673,CHOOSE($W673,3,3,2,2,3),Holidays))</f>
        <v/>
      </c>
      <c r="Z673" s="17">
        <f>IF(OR($W673="",$W673=6),"",CHOOSE($W673,"1st Email Follow-up","2nd Email Follow-up","Escalate Local Office","Escalate to CBE","Escalate to Roxanne"))</f>
        <v/>
      </c>
    </row>
    <row r="674" spans="18:26">
      <c r="R674" s="15"/>
      <c r="S674" s="16"/>
      <c r="T674" s="17">
        <f>IF(AND(COUNTA($A674:$K674)=0,$L674=""),"",IF($S674="Paid","PAID",IF($S674="Closed","CLOSED",IF($W674="","",IF($W674=6,"ESCALATED TO ROXANNE",IF(TODAY()&gt;$Y674,"OVERDUE",IF($Y674&lt;=WORKDAY(TODAY(),1,Holidays),"DUE TOMORROW",IF($W674=4,"ESCALATED TO LOCAL OFFICE",IF($W674=5,"ESCALATED TO CBE",IF($X674=TODAY(),"EMAIL SENT","MONITORING"))))))))))</f>
        <v/>
      </c>
      <c r="U674" s="17">
        <f>IF($T674="",IF(AND(COUNTA($A674:$K674)&gt;0,$L674=""),"Awaiting Collection Email time stamp.",""),IF(OR($T674="PAID",$T674="CLOSED"),IF($T674="PAID","Account paid. Action completed.","Account closed. No further action required."),CHOOSE($W674,"Collection Email","1st Email Follow-up","2nd Email Follow-up","Escalation to Local Office","Escalation to CBE","Escalation to Roxanne")&amp;" sent "&amp;TEXT($X674,"dd-mmm")&amp;". "&amp;IF($W674=6,"Final escalation completed.",IF($T674="OVERDUE","Next: "&amp;$Z674&amp;" was due "&amp;TEXT($Y674,"dd-mmm")&amp;" - "&amp;(NETWORKDAYS($Y674,TODAY(),Holidays)-1)&amp;" business day(s) late. Send now.",IF($T674="DUE TOMORROW","Next: "&amp;$Z674&amp;IF($Y674&lt;=TODAY()," is due TODAY ("," is due next business day (")&amp;TEXT($Y674,"dd-mmm")&amp;").","Next: "&amp;$Z674&amp;" due "&amp;TEXT($Y674,"dd-mmm")&amp;" ("&amp;(NETWORKDAYS(TODAY(),$Y674,Holidays)-1)&amp;" business day(s) left).")))))</f>
        <v/>
      </c>
      <c r="V674" s="17">
        <f>IF($W674="","",CHOOSE($W674,"Collection Email","1st Follow-up","2nd Follow-up","Local Office","CBE","Roxanne")&amp;IF($W674=6," - Final"," - Day "&amp;MAX(0,NETWORKDAYS($X674,TODAY(),Holidays)-1)&amp;" of "&amp;CHOOSE($W674,3,3,2,2,3))&amp;" | Total Day "&amp;MAX(0,NETWORKDAYS($L674,TODAY(),Holidays)-1))</f>
        <v/>
      </c>
      <c r="W674" s="17">
        <f>IF($L674="","",COUNT($L674:$Q674))</f>
        <v/>
      </c>
      <c r="X674" s="18">
        <f>IF($W674="","",INT(INDEX($L674:$Q674,$W674)))</f>
        <v/>
      </c>
      <c r="Y674" s="18">
        <f>IF(OR($W674="",$W674=6),"",WORKDAY($X674,CHOOSE($W674,3,3,2,2,3),Holidays))</f>
        <v/>
      </c>
      <c r="Z674" s="17">
        <f>IF(OR($W674="",$W674=6),"",CHOOSE($W674,"1st Email Follow-up","2nd Email Follow-up","Escalate Local Office","Escalate to CBE","Escalate to Roxanne"))</f>
        <v/>
      </c>
    </row>
    <row r="675" spans="18:26">
      <c r="R675" s="15"/>
      <c r="S675" s="16"/>
      <c r="T675" s="17">
        <f>IF(AND(COUNTA($A675:$K675)=0,$L675=""),"",IF($S675="Paid","PAID",IF($S675="Closed","CLOSED",IF($W675="","",IF($W675=6,"ESCALATED TO ROXANNE",IF(TODAY()&gt;$Y675,"OVERDUE",IF($Y675&lt;=WORKDAY(TODAY(),1,Holidays),"DUE TOMORROW",IF($W675=4,"ESCALATED TO LOCAL OFFICE",IF($W675=5,"ESCALATED TO CBE",IF($X675=TODAY(),"EMAIL SENT","MONITORING"))))))))))</f>
        <v/>
      </c>
      <c r="U675" s="17">
        <f>IF($T675="",IF(AND(COUNTA($A675:$K675)&gt;0,$L675=""),"Awaiting Collection Email time stamp.",""),IF(OR($T675="PAID",$T675="CLOSED"),IF($T675="PAID","Account paid. Action completed.","Account closed. No further action required."),CHOOSE($W675,"Collection Email","1st Email Follow-up","2nd Email Follow-up","Escalation to Local Office","Escalation to CBE","Escalation to Roxanne")&amp;" sent "&amp;TEXT($X675,"dd-mmm")&amp;". "&amp;IF($W675=6,"Final escalation completed.",IF($T675="OVERDUE","Next: "&amp;$Z675&amp;" was due "&amp;TEXT($Y675,"dd-mmm")&amp;" - "&amp;(NETWORKDAYS($Y675,TODAY(),Holidays)-1)&amp;" business day(s) late. Send now.",IF($T675="DUE TOMORROW","Next: "&amp;$Z675&amp;IF($Y675&lt;=TODAY()," is due TODAY ("," is due next business day (")&amp;TEXT($Y675,"dd-mmm")&amp;").","Next: "&amp;$Z675&amp;" due "&amp;TEXT($Y675,"dd-mmm")&amp;" ("&amp;(NETWORKDAYS(TODAY(),$Y675,Holidays)-1)&amp;" business day(s) left).")))))</f>
        <v/>
      </c>
      <c r="V675" s="17">
        <f>IF($W675="","",CHOOSE($W675,"Collection Email","1st Follow-up","2nd Follow-up","Local Office","CBE","Roxanne")&amp;IF($W675=6," - Final"," - Day "&amp;MAX(0,NETWORKDAYS($X675,TODAY(),Holidays)-1)&amp;" of "&amp;CHOOSE($W675,3,3,2,2,3))&amp;" | Total Day "&amp;MAX(0,NETWORKDAYS($L675,TODAY(),Holidays)-1))</f>
        <v/>
      </c>
      <c r="W675" s="17">
        <f>IF($L675="","",COUNT($L675:$Q675))</f>
        <v/>
      </c>
      <c r="X675" s="18">
        <f>IF($W675="","",INT(INDEX($L675:$Q675,$W675)))</f>
        <v/>
      </c>
      <c r="Y675" s="18">
        <f>IF(OR($W675="",$W675=6),"",WORKDAY($X675,CHOOSE($W675,3,3,2,2,3),Holidays))</f>
        <v/>
      </c>
      <c r="Z675" s="17">
        <f>IF(OR($W675="",$W675=6),"",CHOOSE($W675,"1st Email Follow-up","2nd Email Follow-up","Escalate Local Office","Escalate to CBE","Escalate to Roxanne"))</f>
        <v/>
      </c>
    </row>
    <row r="676" spans="18:26">
      <c r="R676" s="15"/>
      <c r="S676" s="16"/>
      <c r="T676" s="17">
        <f>IF(AND(COUNTA($A676:$K676)=0,$L676=""),"",IF($S676="Paid","PAID",IF($S676="Closed","CLOSED",IF($W676="","",IF($W676=6,"ESCALATED TO ROXANNE",IF(TODAY()&gt;$Y676,"OVERDUE",IF($Y676&lt;=WORKDAY(TODAY(),1,Holidays),"DUE TOMORROW",IF($W676=4,"ESCALATED TO LOCAL OFFICE",IF($W676=5,"ESCALATED TO CBE",IF($X676=TODAY(),"EMAIL SENT","MONITORING"))))))))))</f>
        <v/>
      </c>
      <c r="U676" s="17">
        <f>IF($T676="",IF(AND(COUNTA($A676:$K676)&gt;0,$L676=""),"Awaiting Collection Email time stamp.",""),IF(OR($T676="PAID",$T676="CLOSED"),IF($T676="PAID","Account paid. Action completed.","Account closed. No further action required."),CHOOSE($W676,"Collection Email","1st Email Follow-up","2nd Email Follow-up","Escalation to Local Office","Escalation to CBE","Escalation to Roxanne")&amp;" sent "&amp;TEXT($X676,"dd-mmm")&amp;". "&amp;IF($W676=6,"Final escalation completed.",IF($T676="OVERDUE","Next: "&amp;$Z676&amp;" was due "&amp;TEXT($Y676,"dd-mmm")&amp;" - "&amp;(NETWORKDAYS($Y676,TODAY(),Holidays)-1)&amp;" business day(s) late. Send now.",IF($T676="DUE TOMORROW","Next: "&amp;$Z676&amp;IF($Y676&lt;=TODAY()," is due TODAY ("," is due next business day (")&amp;TEXT($Y676,"dd-mmm")&amp;").","Next: "&amp;$Z676&amp;" due "&amp;TEXT($Y676,"dd-mmm")&amp;" ("&amp;(NETWORKDAYS(TODAY(),$Y676,Holidays)-1)&amp;" business day(s) left).")))))</f>
        <v/>
      </c>
      <c r="V676" s="17">
        <f>IF($W676="","",CHOOSE($W676,"Collection Email","1st Follow-up","2nd Follow-up","Local Office","CBE","Roxanne")&amp;IF($W676=6," - Final"," - Day "&amp;MAX(0,NETWORKDAYS($X676,TODAY(),Holidays)-1)&amp;" of "&amp;CHOOSE($W676,3,3,2,2,3))&amp;" | Total Day "&amp;MAX(0,NETWORKDAYS($L676,TODAY(),Holidays)-1))</f>
        <v/>
      </c>
      <c r="W676" s="17">
        <f>IF($L676="","",COUNT($L676:$Q676))</f>
        <v/>
      </c>
      <c r="X676" s="18">
        <f>IF($W676="","",INT(INDEX($L676:$Q676,$W676)))</f>
        <v/>
      </c>
      <c r="Y676" s="18">
        <f>IF(OR($W676="",$W676=6),"",WORKDAY($X676,CHOOSE($W676,3,3,2,2,3),Holidays))</f>
        <v/>
      </c>
      <c r="Z676" s="17">
        <f>IF(OR($W676="",$W676=6),"",CHOOSE($W676,"1st Email Follow-up","2nd Email Follow-up","Escalate Local Office","Escalate to CBE","Escalate to Roxanne"))</f>
        <v/>
      </c>
    </row>
    <row r="677" spans="18:26">
      <c r="R677" s="15"/>
      <c r="S677" s="16"/>
      <c r="T677" s="17">
        <f>IF(AND(COUNTA($A677:$K677)=0,$L677=""),"",IF($S677="Paid","PAID",IF($S677="Closed","CLOSED",IF($W677="","",IF($W677=6,"ESCALATED TO ROXANNE",IF(TODAY()&gt;$Y677,"OVERDUE",IF($Y677&lt;=WORKDAY(TODAY(),1,Holidays),"DUE TOMORROW",IF($W677=4,"ESCALATED TO LOCAL OFFICE",IF($W677=5,"ESCALATED TO CBE",IF($X677=TODAY(),"EMAIL SENT","MONITORING"))))))))))</f>
        <v/>
      </c>
      <c r="U677" s="17">
        <f>IF($T677="",IF(AND(COUNTA($A677:$K677)&gt;0,$L677=""),"Awaiting Collection Email time stamp.",""),IF(OR($T677="PAID",$T677="CLOSED"),IF($T677="PAID","Account paid. Action completed.","Account closed. No further action required."),CHOOSE($W677,"Collection Email","1st Email Follow-up","2nd Email Follow-up","Escalation to Local Office","Escalation to CBE","Escalation to Roxanne")&amp;" sent "&amp;TEXT($X677,"dd-mmm")&amp;". "&amp;IF($W677=6,"Final escalation completed.",IF($T677="OVERDUE","Next: "&amp;$Z677&amp;" was due "&amp;TEXT($Y677,"dd-mmm")&amp;" - "&amp;(NETWORKDAYS($Y677,TODAY(),Holidays)-1)&amp;" business day(s) late. Send now.",IF($T677="DUE TOMORROW","Next: "&amp;$Z677&amp;IF($Y677&lt;=TODAY()," is due TODAY ("," is due next business day (")&amp;TEXT($Y677,"dd-mmm")&amp;").","Next: "&amp;$Z677&amp;" due "&amp;TEXT($Y677,"dd-mmm")&amp;" ("&amp;(NETWORKDAYS(TODAY(),$Y677,Holidays)-1)&amp;" business day(s) left).")))))</f>
        <v/>
      </c>
      <c r="V677" s="17">
        <f>IF($W677="","",CHOOSE($W677,"Collection Email","1st Follow-up","2nd Follow-up","Local Office","CBE","Roxanne")&amp;IF($W677=6," - Final"," - Day "&amp;MAX(0,NETWORKDAYS($X677,TODAY(),Holidays)-1)&amp;" of "&amp;CHOOSE($W677,3,3,2,2,3))&amp;" | Total Day "&amp;MAX(0,NETWORKDAYS($L677,TODAY(),Holidays)-1))</f>
        <v/>
      </c>
      <c r="W677" s="17">
        <f>IF($L677="","",COUNT($L677:$Q677))</f>
        <v/>
      </c>
      <c r="X677" s="18">
        <f>IF($W677="","",INT(INDEX($L677:$Q677,$W677)))</f>
        <v/>
      </c>
      <c r="Y677" s="18">
        <f>IF(OR($W677="",$W677=6),"",WORKDAY($X677,CHOOSE($W677,3,3,2,2,3),Holidays))</f>
        <v/>
      </c>
      <c r="Z677" s="17">
        <f>IF(OR($W677="",$W677=6),"",CHOOSE($W677,"1st Email Follow-up","2nd Email Follow-up","Escalate Local Office","Escalate to CBE","Escalate to Roxanne"))</f>
        <v/>
      </c>
    </row>
    <row r="678" spans="18:26">
      <c r="R678" s="15"/>
      <c r="S678" s="16"/>
      <c r="T678" s="17">
        <f>IF(AND(COUNTA($A678:$K678)=0,$L678=""),"",IF($S678="Paid","PAID",IF($S678="Closed","CLOSED",IF($W678="","",IF($W678=6,"ESCALATED TO ROXANNE",IF(TODAY()&gt;$Y678,"OVERDUE",IF($Y678&lt;=WORKDAY(TODAY(),1,Holidays),"DUE TOMORROW",IF($W678=4,"ESCALATED TO LOCAL OFFICE",IF($W678=5,"ESCALATED TO CBE",IF($X678=TODAY(),"EMAIL SENT","MONITORING"))))))))))</f>
        <v/>
      </c>
      <c r="U678" s="17">
        <f>IF($T678="",IF(AND(COUNTA($A678:$K678)&gt;0,$L678=""),"Awaiting Collection Email time stamp.",""),IF(OR($T678="PAID",$T678="CLOSED"),IF($T678="PAID","Account paid. Action completed.","Account closed. No further action required."),CHOOSE($W678,"Collection Email","1st Email Follow-up","2nd Email Follow-up","Escalation to Local Office","Escalation to CBE","Escalation to Roxanne")&amp;" sent "&amp;TEXT($X678,"dd-mmm")&amp;". "&amp;IF($W678=6,"Final escalation completed.",IF($T678="OVERDUE","Next: "&amp;$Z678&amp;" was due "&amp;TEXT($Y678,"dd-mmm")&amp;" - "&amp;(NETWORKDAYS($Y678,TODAY(),Holidays)-1)&amp;" business day(s) late. Send now.",IF($T678="DUE TOMORROW","Next: "&amp;$Z678&amp;IF($Y678&lt;=TODAY()," is due TODAY ("," is due next business day (")&amp;TEXT($Y678,"dd-mmm")&amp;").","Next: "&amp;$Z678&amp;" due "&amp;TEXT($Y678,"dd-mmm")&amp;" ("&amp;(NETWORKDAYS(TODAY(),$Y678,Holidays)-1)&amp;" business day(s) left).")))))</f>
        <v/>
      </c>
      <c r="V678" s="17">
        <f>IF($W678="","",CHOOSE($W678,"Collection Email","1st Follow-up","2nd Follow-up","Local Office","CBE","Roxanne")&amp;IF($W678=6," - Final"," - Day "&amp;MAX(0,NETWORKDAYS($X678,TODAY(),Holidays)-1)&amp;" of "&amp;CHOOSE($W678,3,3,2,2,3))&amp;" | Total Day "&amp;MAX(0,NETWORKDAYS($L678,TODAY(),Holidays)-1))</f>
        <v/>
      </c>
      <c r="W678" s="17">
        <f>IF($L678="","",COUNT($L678:$Q678))</f>
        <v/>
      </c>
      <c r="X678" s="18">
        <f>IF($W678="","",INT(INDEX($L678:$Q678,$W678)))</f>
        <v/>
      </c>
      <c r="Y678" s="18">
        <f>IF(OR($W678="",$W678=6),"",WORKDAY($X678,CHOOSE($W678,3,3,2,2,3),Holidays))</f>
        <v/>
      </c>
      <c r="Z678" s="17">
        <f>IF(OR($W678="",$W678=6),"",CHOOSE($W678,"1st Email Follow-up","2nd Email Follow-up","Escalate Local Office","Escalate to CBE","Escalate to Roxanne"))</f>
        <v/>
      </c>
    </row>
    <row r="679" spans="18:26">
      <c r="R679" s="15"/>
      <c r="S679" s="16"/>
      <c r="T679" s="17">
        <f>IF(AND(COUNTA($A679:$K679)=0,$L679=""),"",IF($S679="Paid","PAID",IF($S679="Closed","CLOSED",IF($W679="","",IF($W679=6,"ESCALATED TO ROXANNE",IF(TODAY()&gt;$Y679,"OVERDUE",IF($Y679&lt;=WORKDAY(TODAY(),1,Holidays),"DUE TOMORROW",IF($W679=4,"ESCALATED TO LOCAL OFFICE",IF($W679=5,"ESCALATED TO CBE",IF($X679=TODAY(),"EMAIL SENT","MONITORING"))))))))))</f>
        <v/>
      </c>
      <c r="U679" s="17">
        <f>IF($T679="",IF(AND(COUNTA($A679:$K679)&gt;0,$L679=""),"Awaiting Collection Email time stamp.",""),IF(OR($T679="PAID",$T679="CLOSED"),IF($T679="PAID","Account paid. Action completed.","Account closed. No further action required."),CHOOSE($W679,"Collection Email","1st Email Follow-up","2nd Email Follow-up","Escalation to Local Office","Escalation to CBE","Escalation to Roxanne")&amp;" sent "&amp;TEXT($X679,"dd-mmm")&amp;". "&amp;IF($W679=6,"Final escalation completed.",IF($T679="OVERDUE","Next: "&amp;$Z679&amp;" was due "&amp;TEXT($Y679,"dd-mmm")&amp;" - "&amp;(NETWORKDAYS($Y679,TODAY(),Holidays)-1)&amp;" business day(s) late. Send now.",IF($T679="DUE TOMORROW","Next: "&amp;$Z679&amp;IF($Y679&lt;=TODAY()," is due TODAY ("," is due next business day (")&amp;TEXT($Y679,"dd-mmm")&amp;").","Next: "&amp;$Z679&amp;" due "&amp;TEXT($Y679,"dd-mmm")&amp;" ("&amp;(NETWORKDAYS(TODAY(),$Y679,Holidays)-1)&amp;" business day(s) left).")))))</f>
        <v/>
      </c>
      <c r="V679" s="17">
        <f>IF($W679="","",CHOOSE($W679,"Collection Email","1st Follow-up","2nd Follow-up","Local Office","CBE","Roxanne")&amp;IF($W679=6," - Final"," - Day "&amp;MAX(0,NETWORKDAYS($X679,TODAY(),Holidays)-1)&amp;" of "&amp;CHOOSE($W679,3,3,2,2,3))&amp;" | Total Day "&amp;MAX(0,NETWORKDAYS($L679,TODAY(),Holidays)-1))</f>
        <v/>
      </c>
      <c r="W679" s="17">
        <f>IF($L679="","",COUNT($L679:$Q679))</f>
        <v/>
      </c>
      <c r="X679" s="18">
        <f>IF($W679="","",INT(INDEX($L679:$Q679,$W679)))</f>
        <v/>
      </c>
      <c r="Y679" s="18">
        <f>IF(OR($W679="",$W679=6),"",WORKDAY($X679,CHOOSE($W679,3,3,2,2,3),Holidays))</f>
        <v/>
      </c>
      <c r="Z679" s="17">
        <f>IF(OR($W679="",$W679=6),"",CHOOSE($W679,"1st Email Follow-up","2nd Email Follow-up","Escalate Local Office","Escalate to CBE","Escalate to Roxanne"))</f>
        <v/>
      </c>
    </row>
    <row r="680" spans="18:26">
      <c r="R680" s="15"/>
      <c r="S680" s="16"/>
      <c r="T680" s="17">
        <f>IF(AND(COUNTA($A680:$K680)=0,$L680=""),"",IF($S680="Paid","PAID",IF($S680="Closed","CLOSED",IF($W680="","",IF($W680=6,"ESCALATED TO ROXANNE",IF(TODAY()&gt;$Y680,"OVERDUE",IF($Y680&lt;=WORKDAY(TODAY(),1,Holidays),"DUE TOMORROW",IF($W680=4,"ESCALATED TO LOCAL OFFICE",IF($W680=5,"ESCALATED TO CBE",IF($X680=TODAY(),"EMAIL SENT","MONITORING"))))))))))</f>
        <v/>
      </c>
      <c r="U680" s="17">
        <f>IF($T680="",IF(AND(COUNTA($A680:$K680)&gt;0,$L680=""),"Awaiting Collection Email time stamp.",""),IF(OR($T680="PAID",$T680="CLOSED"),IF($T680="PAID","Account paid. Action completed.","Account closed. No further action required."),CHOOSE($W680,"Collection Email","1st Email Follow-up","2nd Email Follow-up","Escalation to Local Office","Escalation to CBE","Escalation to Roxanne")&amp;" sent "&amp;TEXT($X680,"dd-mmm")&amp;". "&amp;IF($W680=6,"Final escalation completed.",IF($T680="OVERDUE","Next: "&amp;$Z680&amp;" was due "&amp;TEXT($Y680,"dd-mmm")&amp;" - "&amp;(NETWORKDAYS($Y680,TODAY(),Holidays)-1)&amp;" business day(s) late. Send now.",IF($T680="DUE TOMORROW","Next: "&amp;$Z680&amp;IF($Y680&lt;=TODAY()," is due TODAY ("," is due next business day (")&amp;TEXT($Y680,"dd-mmm")&amp;").","Next: "&amp;$Z680&amp;" due "&amp;TEXT($Y680,"dd-mmm")&amp;" ("&amp;(NETWORKDAYS(TODAY(),$Y680,Holidays)-1)&amp;" business day(s) left).")))))</f>
        <v/>
      </c>
      <c r="V680" s="17">
        <f>IF($W680="","",CHOOSE($W680,"Collection Email","1st Follow-up","2nd Follow-up","Local Office","CBE","Roxanne")&amp;IF($W680=6," - Final"," - Day "&amp;MAX(0,NETWORKDAYS($X680,TODAY(),Holidays)-1)&amp;" of "&amp;CHOOSE($W680,3,3,2,2,3))&amp;" | Total Day "&amp;MAX(0,NETWORKDAYS($L680,TODAY(),Holidays)-1))</f>
        <v/>
      </c>
      <c r="W680" s="17">
        <f>IF($L680="","",COUNT($L680:$Q680))</f>
        <v/>
      </c>
      <c r="X680" s="18">
        <f>IF($W680="","",INT(INDEX($L680:$Q680,$W680)))</f>
        <v/>
      </c>
      <c r="Y680" s="18">
        <f>IF(OR($W680="",$W680=6),"",WORKDAY($X680,CHOOSE($W680,3,3,2,2,3),Holidays))</f>
        <v/>
      </c>
      <c r="Z680" s="17">
        <f>IF(OR($W680="",$W680=6),"",CHOOSE($W680,"1st Email Follow-up","2nd Email Follow-up","Escalate Local Office","Escalate to CBE","Escalate to Roxanne"))</f>
        <v/>
      </c>
    </row>
    <row r="681" spans="18:26">
      <c r="R681" s="15"/>
      <c r="S681" s="16"/>
      <c r="T681" s="17">
        <f>IF(AND(COUNTA($A681:$K681)=0,$L681=""),"",IF($S681="Paid","PAID",IF($S681="Closed","CLOSED",IF($W681="","",IF($W681=6,"ESCALATED TO ROXANNE",IF(TODAY()&gt;$Y681,"OVERDUE",IF($Y681&lt;=WORKDAY(TODAY(),1,Holidays),"DUE TOMORROW",IF($W681=4,"ESCALATED TO LOCAL OFFICE",IF($W681=5,"ESCALATED TO CBE",IF($X681=TODAY(),"EMAIL SENT","MONITORING"))))))))))</f>
        <v/>
      </c>
      <c r="U681" s="17">
        <f>IF($T681="",IF(AND(COUNTA($A681:$K681)&gt;0,$L681=""),"Awaiting Collection Email time stamp.",""),IF(OR($T681="PAID",$T681="CLOSED"),IF($T681="PAID","Account paid. Action completed.","Account closed. No further action required."),CHOOSE($W681,"Collection Email","1st Email Follow-up","2nd Email Follow-up","Escalation to Local Office","Escalation to CBE","Escalation to Roxanne")&amp;" sent "&amp;TEXT($X681,"dd-mmm")&amp;". "&amp;IF($W681=6,"Final escalation completed.",IF($T681="OVERDUE","Next: "&amp;$Z681&amp;" was due "&amp;TEXT($Y681,"dd-mmm")&amp;" - "&amp;(NETWORKDAYS($Y681,TODAY(),Holidays)-1)&amp;" business day(s) late. Send now.",IF($T681="DUE TOMORROW","Next: "&amp;$Z681&amp;IF($Y681&lt;=TODAY()," is due TODAY ("," is due next business day (")&amp;TEXT($Y681,"dd-mmm")&amp;").","Next: "&amp;$Z681&amp;" due "&amp;TEXT($Y681,"dd-mmm")&amp;" ("&amp;(NETWORKDAYS(TODAY(),$Y681,Holidays)-1)&amp;" business day(s) left).")))))</f>
        <v/>
      </c>
      <c r="V681" s="17">
        <f>IF($W681="","",CHOOSE($W681,"Collection Email","1st Follow-up","2nd Follow-up","Local Office","CBE","Roxanne")&amp;IF($W681=6," - Final"," - Day "&amp;MAX(0,NETWORKDAYS($X681,TODAY(),Holidays)-1)&amp;" of "&amp;CHOOSE($W681,3,3,2,2,3))&amp;" | Total Day "&amp;MAX(0,NETWORKDAYS($L681,TODAY(),Holidays)-1))</f>
        <v/>
      </c>
      <c r="W681" s="17">
        <f>IF($L681="","",COUNT($L681:$Q681))</f>
        <v/>
      </c>
      <c r="X681" s="18">
        <f>IF($W681="","",INT(INDEX($L681:$Q681,$W681)))</f>
        <v/>
      </c>
      <c r="Y681" s="18">
        <f>IF(OR($W681="",$W681=6),"",WORKDAY($X681,CHOOSE($W681,3,3,2,2,3),Holidays))</f>
        <v/>
      </c>
      <c r="Z681" s="17">
        <f>IF(OR($W681="",$W681=6),"",CHOOSE($W681,"1st Email Follow-up","2nd Email Follow-up","Escalate Local Office","Escalate to CBE","Escalate to Roxanne"))</f>
        <v/>
      </c>
    </row>
    <row r="682" spans="18:26">
      <c r="R682" s="15"/>
      <c r="S682" s="16"/>
      <c r="T682" s="17">
        <f>IF(AND(COUNTA($A682:$K682)=0,$L682=""),"",IF($S682="Paid","PAID",IF($S682="Closed","CLOSED",IF($W682="","",IF($W682=6,"ESCALATED TO ROXANNE",IF(TODAY()&gt;$Y682,"OVERDUE",IF($Y682&lt;=WORKDAY(TODAY(),1,Holidays),"DUE TOMORROW",IF($W682=4,"ESCALATED TO LOCAL OFFICE",IF($W682=5,"ESCALATED TO CBE",IF($X682=TODAY(),"EMAIL SENT","MONITORING"))))))))))</f>
        <v/>
      </c>
      <c r="U682" s="17">
        <f>IF($T682="",IF(AND(COUNTA($A682:$K682)&gt;0,$L682=""),"Awaiting Collection Email time stamp.",""),IF(OR($T682="PAID",$T682="CLOSED"),IF($T682="PAID","Account paid. Action completed.","Account closed. No further action required."),CHOOSE($W682,"Collection Email","1st Email Follow-up","2nd Email Follow-up","Escalation to Local Office","Escalation to CBE","Escalation to Roxanne")&amp;" sent "&amp;TEXT($X682,"dd-mmm")&amp;". "&amp;IF($W682=6,"Final escalation completed.",IF($T682="OVERDUE","Next: "&amp;$Z682&amp;" was due "&amp;TEXT($Y682,"dd-mmm")&amp;" - "&amp;(NETWORKDAYS($Y682,TODAY(),Holidays)-1)&amp;" business day(s) late. Send now.",IF($T682="DUE TOMORROW","Next: "&amp;$Z682&amp;IF($Y682&lt;=TODAY()," is due TODAY ("," is due next business day (")&amp;TEXT($Y682,"dd-mmm")&amp;").","Next: "&amp;$Z682&amp;" due "&amp;TEXT($Y682,"dd-mmm")&amp;" ("&amp;(NETWORKDAYS(TODAY(),$Y682,Holidays)-1)&amp;" business day(s) left).")))))</f>
        <v/>
      </c>
      <c r="V682" s="17">
        <f>IF($W682="","",CHOOSE($W682,"Collection Email","1st Follow-up","2nd Follow-up","Local Office","CBE","Roxanne")&amp;IF($W682=6," - Final"," - Day "&amp;MAX(0,NETWORKDAYS($X682,TODAY(),Holidays)-1)&amp;" of "&amp;CHOOSE($W682,3,3,2,2,3))&amp;" | Total Day "&amp;MAX(0,NETWORKDAYS($L682,TODAY(),Holidays)-1))</f>
        <v/>
      </c>
      <c r="W682" s="17">
        <f>IF($L682="","",COUNT($L682:$Q682))</f>
        <v/>
      </c>
      <c r="X682" s="18">
        <f>IF($W682="","",INT(INDEX($L682:$Q682,$W682)))</f>
        <v/>
      </c>
      <c r="Y682" s="18">
        <f>IF(OR($W682="",$W682=6),"",WORKDAY($X682,CHOOSE($W682,3,3,2,2,3),Holidays))</f>
        <v/>
      </c>
      <c r="Z682" s="17">
        <f>IF(OR($W682="",$W682=6),"",CHOOSE($W682,"1st Email Follow-up","2nd Email Follow-up","Escalate Local Office","Escalate to CBE","Escalate to Roxanne"))</f>
        <v/>
      </c>
    </row>
    <row r="683" spans="18:26">
      <c r="R683" s="15"/>
      <c r="S683" s="16"/>
      <c r="T683" s="17">
        <f>IF(AND(COUNTA($A683:$K683)=0,$L683=""),"",IF($S683="Paid","PAID",IF($S683="Closed","CLOSED",IF($W683="","",IF($W683=6,"ESCALATED TO ROXANNE",IF(TODAY()&gt;$Y683,"OVERDUE",IF($Y683&lt;=WORKDAY(TODAY(),1,Holidays),"DUE TOMORROW",IF($W683=4,"ESCALATED TO LOCAL OFFICE",IF($W683=5,"ESCALATED TO CBE",IF($X683=TODAY(),"EMAIL SENT","MONITORING"))))))))))</f>
        <v/>
      </c>
      <c r="U683" s="17">
        <f>IF($T683="",IF(AND(COUNTA($A683:$K683)&gt;0,$L683=""),"Awaiting Collection Email time stamp.",""),IF(OR($T683="PAID",$T683="CLOSED"),IF($T683="PAID","Account paid. Action completed.","Account closed. No further action required."),CHOOSE($W683,"Collection Email","1st Email Follow-up","2nd Email Follow-up","Escalation to Local Office","Escalation to CBE","Escalation to Roxanne")&amp;" sent "&amp;TEXT($X683,"dd-mmm")&amp;". "&amp;IF($W683=6,"Final escalation completed.",IF($T683="OVERDUE","Next: "&amp;$Z683&amp;" was due "&amp;TEXT($Y683,"dd-mmm")&amp;" - "&amp;(NETWORKDAYS($Y683,TODAY(),Holidays)-1)&amp;" business day(s) late. Send now.",IF($T683="DUE TOMORROW","Next: "&amp;$Z683&amp;IF($Y683&lt;=TODAY()," is due TODAY ("," is due next business day (")&amp;TEXT($Y683,"dd-mmm")&amp;").","Next: "&amp;$Z683&amp;" due "&amp;TEXT($Y683,"dd-mmm")&amp;" ("&amp;(NETWORKDAYS(TODAY(),$Y683,Holidays)-1)&amp;" business day(s) left).")))))</f>
        <v/>
      </c>
      <c r="V683" s="17">
        <f>IF($W683="","",CHOOSE($W683,"Collection Email","1st Follow-up","2nd Follow-up","Local Office","CBE","Roxanne")&amp;IF($W683=6," - Final"," - Day "&amp;MAX(0,NETWORKDAYS($X683,TODAY(),Holidays)-1)&amp;" of "&amp;CHOOSE($W683,3,3,2,2,3))&amp;" | Total Day "&amp;MAX(0,NETWORKDAYS($L683,TODAY(),Holidays)-1))</f>
        <v/>
      </c>
      <c r="W683" s="17">
        <f>IF($L683="","",COUNT($L683:$Q683))</f>
        <v/>
      </c>
      <c r="X683" s="18">
        <f>IF($W683="","",INT(INDEX($L683:$Q683,$W683)))</f>
        <v/>
      </c>
      <c r="Y683" s="18">
        <f>IF(OR($W683="",$W683=6),"",WORKDAY($X683,CHOOSE($W683,3,3,2,2,3),Holidays))</f>
        <v/>
      </c>
      <c r="Z683" s="17">
        <f>IF(OR($W683="",$W683=6),"",CHOOSE($W683,"1st Email Follow-up","2nd Email Follow-up","Escalate Local Office","Escalate to CBE","Escalate to Roxanne"))</f>
        <v/>
      </c>
    </row>
    <row r="684" spans="18:26">
      <c r="R684" s="15"/>
      <c r="S684" s="16"/>
      <c r="T684" s="17">
        <f>IF(AND(COUNTA($A684:$K684)=0,$L684=""),"",IF($S684="Paid","PAID",IF($S684="Closed","CLOSED",IF($W684="","",IF($W684=6,"ESCALATED TO ROXANNE",IF(TODAY()&gt;$Y684,"OVERDUE",IF($Y684&lt;=WORKDAY(TODAY(),1,Holidays),"DUE TOMORROW",IF($W684=4,"ESCALATED TO LOCAL OFFICE",IF($W684=5,"ESCALATED TO CBE",IF($X684=TODAY(),"EMAIL SENT","MONITORING"))))))))))</f>
        <v/>
      </c>
      <c r="U684" s="17">
        <f>IF($T684="",IF(AND(COUNTA($A684:$K684)&gt;0,$L684=""),"Awaiting Collection Email time stamp.",""),IF(OR($T684="PAID",$T684="CLOSED"),IF($T684="PAID","Account paid. Action completed.","Account closed. No further action required."),CHOOSE($W684,"Collection Email","1st Email Follow-up","2nd Email Follow-up","Escalation to Local Office","Escalation to CBE","Escalation to Roxanne")&amp;" sent "&amp;TEXT($X684,"dd-mmm")&amp;". "&amp;IF($W684=6,"Final escalation completed.",IF($T684="OVERDUE","Next: "&amp;$Z684&amp;" was due "&amp;TEXT($Y684,"dd-mmm")&amp;" - "&amp;(NETWORKDAYS($Y684,TODAY(),Holidays)-1)&amp;" business day(s) late. Send now.",IF($T684="DUE TOMORROW","Next: "&amp;$Z684&amp;IF($Y684&lt;=TODAY()," is due TODAY ("," is due next business day (")&amp;TEXT($Y684,"dd-mmm")&amp;").","Next: "&amp;$Z684&amp;" due "&amp;TEXT($Y684,"dd-mmm")&amp;" ("&amp;(NETWORKDAYS(TODAY(),$Y684,Holidays)-1)&amp;" business day(s) left).")))))</f>
        <v/>
      </c>
      <c r="V684" s="17">
        <f>IF($W684="","",CHOOSE($W684,"Collection Email","1st Follow-up","2nd Follow-up","Local Office","CBE","Roxanne")&amp;IF($W684=6," - Final"," - Day "&amp;MAX(0,NETWORKDAYS($X684,TODAY(),Holidays)-1)&amp;" of "&amp;CHOOSE($W684,3,3,2,2,3))&amp;" | Total Day "&amp;MAX(0,NETWORKDAYS($L684,TODAY(),Holidays)-1))</f>
        <v/>
      </c>
      <c r="W684" s="17">
        <f>IF($L684="","",COUNT($L684:$Q684))</f>
        <v/>
      </c>
      <c r="X684" s="18">
        <f>IF($W684="","",INT(INDEX($L684:$Q684,$W684)))</f>
        <v/>
      </c>
      <c r="Y684" s="18">
        <f>IF(OR($W684="",$W684=6),"",WORKDAY($X684,CHOOSE($W684,3,3,2,2,3),Holidays))</f>
        <v/>
      </c>
      <c r="Z684" s="17">
        <f>IF(OR($W684="",$W684=6),"",CHOOSE($W684,"1st Email Follow-up","2nd Email Follow-up","Escalate Local Office","Escalate to CBE","Escalate to Roxanne"))</f>
        <v/>
      </c>
    </row>
    <row r="685" spans="18:26">
      <c r="R685" s="15"/>
      <c r="S685" s="16"/>
      <c r="T685" s="17">
        <f>IF(AND(COUNTA($A685:$K685)=0,$L685=""),"",IF($S685="Paid","PAID",IF($S685="Closed","CLOSED",IF($W685="","",IF($W685=6,"ESCALATED TO ROXANNE",IF(TODAY()&gt;$Y685,"OVERDUE",IF($Y685&lt;=WORKDAY(TODAY(),1,Holidays),"DUE TOMORROW",IF($W685=4,"ESCALATED TO LOCAL OFFICE",IF($W685=5,"ESCALATED TO CBE",IF($X685=TODAY(),"EMAIL SENT","MONITORING"))))))))))</f>
        <v/>
      </c>
      <c r="U685" s="17">
        <f>IF($T685="",IF(AND(COUNTA($A685:$K685)&gt;0,$L685=""),"Awaiting Collection Email time stamp.",""),IF(OR($T685="PAID",$T685="CLOSED"),IF($T685="PAID","Account paid. Action completed.","Account closed. No further action required."),CHOOSE($W685,"Collection Email","1st Email Follow-up","2nd Email Follow-up","Escalation to Local Office","Escalation to CBE","Escalation to Roxanne")&amp;" sent "&amp;TEXT($X685,"dd-mmm")&amp;". "&amp;IF($W685=6,"Final escalation completed.",IF($T685="OVERDUE","Next: "&amp;$Z685&amp;" was due "&amp;TEXT($Y685,"dd-mmm")&amp;" - "&amp;(NETWORKDAYS($Y685,TODAY(),Holidays)-1)&amp;" business day(s) late. Send now.",IF($T685="DUE TOMORROW","Next: "&amp;$Z685&amp;IF($Y685&lt;=TODAY()," is due TODAY ("," is due next business day (")&amp;TEXT($Y685,"dd-mmm")&amp;").","Next: "&amp;$Z685&amp;" due "&amp;TEXT($Y685,"dd-mmm")&amp;" ("&amp;(NETWORKDAYS(TODAY(),$Y685,Holidays)-1)&amp;" business day(s) left).")))))</f>
        <v/>
      </c>
      <c r="V685" s="17">
        <f>IF($W685="","",CHOOSE($W685,"Collection Email","1st Follow-up","2nd Follow-up","Local Office","CBE","Roxanne")&amp;IF($W685=6," - Final"," - Day "&amp;MAX(0,NETWORKDAYS($X685,TODAY(),Holidays)-1)&amp;" of "&amp;CHOOSE($W685,3,3,2,2,3))&amp;" | Total Day "&amp;MAX(0,NETWORKDAYS($L685,TODAY(),Holidays)-1))</f>
        <v/>
      </c>
      <c r="W685" s="17">
        <f>IF($L685="","",COUNT($L685:$Q685))</f>
        <v/>
      </c>
      <c r="X685" s="18">
        <f>IF($W685="","",INT(INDEX($L685:$Q685,$W685)))</f>
        <v/>
      </c>
      <c r="Y685" s="18">
        <f>IF(OR($W685="",$W685=6),"",WORKDAY($X685,CHOOSE($W685,3,3,2,2,3),Holidays))</f>
        <v/>
      </c>
      <c r="Z685" s="17">
        <f>IF(OR($W685="",$W685=6),"",CHOOSE($W685,"1st Email Follow-up","2nd Email Follow-up","Escalate Local Office","Escalate to CBE","Escalate to Roxanne"))</f>
        <v/>
      </c>
    </row>
    <row r="686" spans="18:26">
      <c r="R686" s="15"/>
      <c r="S686" s="16"/>
      <c r="T686" s="17">
        <f>IF(AND(COUNTA($A686:$K686)=0,$L686=""),"",IF($S686="Paid","PAID",IF($S686="Closed","CLOSED",IF($W686="","",IF($W686=6,"ESCALATED TO ROXANNE",IF(TODAY()&gt;$Y686,"OVERDUE",IF($Y686&lt;=WORKDAY(TODAY(),1,Holidays),"DUE TOMORROW",IF($W686=4,"ESCALATED TO LOCAL OFFICE",IF($W686=5,"ESCALATED TO CBE",IF($X686=TODAY(),"EMAIL SENT","MONITORING"))))))))))</f>
        <v/>
      </c>
      <c r="U686" s="17">
        <f>IF($T686="",IF(AND(COUNTA($A686:$K686)&gt;0,$L686=""),"Awaiting Collection Email time stamp.",""),IF(OR($T686="PAID",$T686="CLOSED"),IF($T686="PAID","Account paid. Action completed.","Account closed. No further action required."),CHOOSE($W686,"Collection Email","1st Email Follow-up","2nd Email Follow-up","Escalation to Local Office","Escalation to CBE","Escalation to Roxanne")&amp;" sent "&amp;TEXT($X686,"dd-mmm")&amp;". "&amp;IF($W686=6,"Final escalation completed.",IF($T686="OVERDUE","Next: "&amp;$Z686&amp;" was due "&amp;TEXT($Y686,"dd-mmm")&amp;" - "&amp;(NETWORKDAYS($Y686,TODAY(),Holidays)-1)&amp;" business day(s) late. Send now.",IF($T686="DUE TOMORROW","Next: "&amp;$Z686&amp;IF($Y686&lt;=TODAY()," is due TODAY ("," is due next business day (")&amp;TEXT($Y686,"dd-mmm")&amp;").","Next: "&amp;$Z686&amp;" due "&amp;TEXT($Y686,"dd-mmm")&amp;" ("&amp;(NETWORKDAYS(TODAY(),$Y686,Holidays)-1)&amp;" business day(s) left).")))))</f>
        <v/>
      </c>
      <c r="V686" s="17">
        <f>IF($W686="","",CHOOSE($W686,"Collection Email","1st Follow-up","2nd Follow-up","Local Office","CBE","Roxanne")&amp;IF($W686=6," - Final"," - Day "&amp;MAX(0,NETWORKDAYS($X686,TODAY(),Holidays)-1)&amp;" of "&amp;CHOOSE($W686,3,3,2,2,3))&amp;" | Total Day "&amp;MAX(0,NETWORKDAYS($L686,TODAY(),Holidays)-1))</f>
        <v/>
      </c>
      <c r="W686" s="17">
        <f>IF($L686="","",COUNT($L686:$Q686))</f>
        <v/>
      </c>
      <c r="X686" s="18">
        <f>IF($W686="","",INT(INDEX($L686:$Q686,$W686)))</f>
        <v/>
      </c>
      <c r="Y686" s="18">
        <f>IF(OR($W686="",$W686=6),"",WORKDAY($X686,CHOOSE($W686,3,3,2,2,3),Holidays))</f>
        <v/>
      </c>
      <c r="Z686" s="17">
        <f>IF(OR($W686="",$W686=6),"",CHOOSE($W686,"1st Email Follow-up","2nd Email Follow-up","Escalate Local Office","Escalate to CBE","Escalate to Roxanne"))</f>
        <v/>
      </c>
    </row>
    <row r="687" spans="18:26">
      <c r="R687" s="15"/>
      <c r="S687" s="16"/>
      <c r="T687" s="17">
        <f>IF(AND(COUNTA($A687:$K687)=0,$L687=""),"",IF($S687="Paid","PAID",IF($S687="Closed","CLOSED",IF($W687="","",IF($W687=6,"ESCALATED TO ROXANNE",IF(TODAY()&gt;$Y687,"OVERDUE",IF($Y687&lt;=WORKDAY(TODAY(),1,Holidays),"DUE TOMORROW",IF($W687=4,"ESCALATED TO LOCAL OFFICE",IF($W687=5,"ESCALATED TO CBE",IF($X687=TODAY(),"EMAIL SENT","MONITORING"))))))))))</f>
        <v/>
      </c>
      <c r="U687" s="17">
        <f>IF($T687="",IF(AND(COUNTA($A687:$K687)&gt;0,$L687=""),"Awaiting Collection Email time stamp.",""),IF(OR($T687="PAID",$T687="CLOSED"),IF($T687="PAID","Account paid. Action completed.","Account closed. No further action required."),CHOOSE($W687,"Collection Email","1st Email Follow-up","2nd Email Follow-up","Escalation to Local Office","Escalation to CBE","Escalation to Roxanne")&amp;" sent "&amp;TEXT($X687,"dd-mmm")&amp;". "&amp;IF($W687=6,"Final escalation completed.",IF($T687="OVERDUE","Next: "&amp;$Z687&amp;" was due "&amp;TEXT($Y687,"dd-mmm")&amp;" - "&amp;(NETWORKDAYS($Y687,TODAY(),Holidays)-1)&amp;" business day(s) late. Send now.",IF($T687="DUE TOMORROW","Next: "&amp;$Z687&amp;IF($Y687&lt;=TODAY()," is due TODAY ("," is due next business day (")&amp;TEXT($Y687,"dd-mmm")&amp;").","Next: "&amp;$Z687&amp;" due "&amp;TEXT($Y687,"dd-mmm")&amp;" ("&amp;(NETWORKDAYS(TODAY(),$Y687,Holidays)-1)&amp;" business day(s) left).")))))</f>
        <v/>
      </c>
      <c r="V687" s="17">
        <f>IF($W687="","",CHOOSE($W687,"Collection Email","1st Follow-up","2nd Follow-up","Local Office","CBE","Roxanne")&amp;IF($W687=6," - Final"," - Day "&amp;MAX(0,NETWORKDAYS($X687,TODAY(),Holidays)-1)&amp;" of "&amp;CHOOSE($W687,3,3,2,2,3))&amp;" | Total Day "&amp;MAX(0,NETWORKDAYS($L687,TODAY(),Holidays)-1))</f>
        <v/>
      </c>
      <c r="W687" s="17">
        <f>IF($L687="","",COUNT($L687:$Q687))</f>
        <v/>
      </c>
      <c r="X687" s="18">
        <f>IF($W687="","",INT(INDEX($L687:$Q687,$W687)))</f>
        <v/>
      </c>
      <c r="Y687" s="18">
        <f>IF(OR($W687="",$W687=6),"",WORKDAY($X687,CHOOSE($W687,3,3,2,2,3),Holidays))</f>
        <v/>
      </c>
      <c r="Z687" s="17">
        <f>IF(OR($W687="",$W687=6),"",CHOOSE($W687,"1st Email Follow-up","2nd Email Follow-up","Escalate Local Office","Escalate to CBE","Escalate to Roxanne"))</f>
        <v/>
      </c>
    </row>
    <row r="688" spans="18:26">
      <c r="R688" s="15"/>
      <c r="S688" s="16"/>
      <c r="T688" s="17">
        <f>IF(AND(COUNTA($A688:$K688)=0,$L688=""),"",IF($S688="Paid","PAID",IF($S688="Closed","CLOSED",IF($W688="","",IF($W688=6,"ESCALATED TO ROXANNE",IF(TODAY()&gt;$Y688,"OVERDUE",IF($Y688&lt;=WORKDAY(TODAY(),1,Holidays),"DUE TOMORROW",IF($W688=4,"ESCALATED TO LOCAL OFFICE",IF($W688=5,"ESCALATED TO CBE",IF($X688=TODAY(),"EMAIL SENT","MONITORING"))))))))))</f>
        <v/>
      </c>
      <c r="U688" s="17">
        <f>IF($T688="",IF(AND(COUNTA($A688:$K688)&gt;0,$L688=""),"Awaiting Collection Email time stamp.",""),IF(OR($T688="PAID",$T688="CLOSED"),IF($T688="PAID","Account paid. Action completed.","Account closed. No further action required."),CHOOSE($W688,"Collection Email","1st Email Follow-up","2nd Email Follow-up","Escalation to Local Office","Escalation to CBE","Escalation to Roxanne")&amp;" sent "&amp;TEXT($X688,"dd-mmm")&amp;". "&amp;IF($W688=6,"Final escalation completed.",IF($T688="OVERDUE","Next: "&amp;$Z688&amp;" was due "&amp;TEXT($Y688,"dd-mmm")&amp;" - "&amp;(NETWORKDAYS($Y688,TODAY(),Holidays)-1)&amp;" business day(s) late. Send now.",IF($T688="DUE TOMORROW","Next: "&amp;$Z688&amp;IF($Y688&lt;=TODAY()," is due TODAY ("," is due next business day (")&amp;TEXT($Y688,"dd-mmm")&amp;").","Next: "&amp;$Z688&amp;" due "&amp;TEXT($Y688,"dd-mmm")&amp;" ("&amp;(NETWORKDAYS(TODAY(),$Y688,Holidays)-1)&amp;" business day(s) left).")))))</f>
        <v/>
      </c>
      <c r="V688" s="17">
        <f>IF($W688="","",CHOOSE($W688,"Collection Email","1st Follow-up","2nd Follow-up","Local Office","CBE","Roxanne")&amp;IF($W688=6," - Final"," - Day "&amp;MAX(0,NETWORKDAYS($X688,TODAY(),Holidays)-1)&amp;" of "&amp;CHOOSE($W688,3,3,2,2,3))&amp;" | Total Day "&amp;MAX(0,NETWORKDAYS($L688,TODAY(),Holidays)-1))</f>
        <v/>
      </c>
      <c r="W688" s="17">
        <f>IF($L688="","",COUNT($L688:$Q688))</f>
        <v/>
      </c>
      <c r="X688" s="18">
        <f>IF($W688="","",INT(INDEX($L688:$Q688,$W688)))</f>
        <v/>
      </c>
      <c r="Y688" s="18">
        <f>IF(OR($W688="",$W688=6),"",WORKDAY($X688,CHOOSE($W688,3,3,2,2,3),Holidays))</f>
        <v/>
      </c>
      <c r="Z688" s="17">
        <f>IF(OR($W688="",$W688=6),"",CHOOSE($W688,"1st Email Follow-up","2nd Email Follow-up","Escalate Local Office","Escalate to CBE","Escalate to Roxanne"))</f>
        <v/>
      </c>
    </row>
    <row r="689" spans="18:26">
      <c r="R689" s="15"/>
      <c r="S689" s="16"/>
      <c r="T689" s="17">
        <f>IF(AND(COUNTA($A689:$K689)=0,$L689=""),"",IF($S689="Paid","PAID",IF($S689="Closed","CLOSED",IF($W689="","",IF($W689=6,"ESCALATED TO ROXANNE",IF(TODAY()&gt;$Y689,"OVERDUE",IF($Y689&lt;=WORKDAY(TODAY(),1,Holidays),"DUE TOMORROW",IF($W689=4,"ESCALATED TO LOCAL OFFICE",IF($W689=5,"ESCALATED TO CBE",IF($X689=TODAY(),"EMAIL SENT","MONITORING"))))))))))</f>
        <v/>
      </c>
      <c r="U689" s="17">
        <f>IF($T689="",IF(AND(COUNTA($A689:$K689)&gt;0,$L689=""),"Awaiting Collection Email time stamp.",""),IF(OR($T689="PAID",$T689="CLOSED"),IF($T689="PAID","Account paid. Action completed.","Account closed. No further action required."),CHOOSE($W689,"Collection Email","1st Email Follow-up","2nd Email Follow-up","Escalation to Local Office","Escalation to CBE","Escalation to Roxanne")&amp;" sent "&amp;TEXT($X689,"dd-mmm")&amp;". "&amp;IF($W689=6,"Final escalation completed.",IF($T689="OVERDUE","Next: "&amp;$Z689&amp;" was due "&amp;TEXT($Y689,"dd-mmm")&amp;" - "&amp;(NETWORKDAYS($Y689,TODAY(),Holidays)-1)&amp;" business day(s) late. Send now.",IF($T689="DUE TOMORROW","Next: "&amp;$Z689&amp;IF($Y689&lt;=TODAY()," is due TODAY ("," is due next business day (")&amp;TEXT($Y689,"dd-mmm")&amp;").","Next: "&amp;$Z689&amp;" due "&amp;TEXT($Y689,"dd-mmm")&amp;" ("&amp;(NETWORKDAYS(TODAY(),$Y689,Holidays)-1)&amp;" business day(s) left).")))))</f>
        <v/>
      </c>
      <c r="V689" s="17">
        <f>IF($W689="","",CHOOSE($W689,"Collection Email","1st Follow-up","2nd Follow-up","Local Office","CBE","Roxanne")&amp;IF($W689=6," - Final"," - Day "&amp;MAX(0,NETWORKDAYS($X689,TODAY(),Holidays)-1)&amp;" of "&amp;CHOOSE($W689,3,3,2,2,3))&amp;" | Total Day "&amp;MAX(0,NETWORKDAYS($L689,TODAY(),Holidays)-1))</f>
        <v/>
      </c>
      <c r="W689" s="17">
        <f>IF($L689="","",COUNT($L689:$Q689))</f>
        <v/>
      </c>
      <c r="X689" s="18">
        <f>IF($W689="","",INT(INDEX($L689:$Q689,$W689)))</f>
        <v/>
      </c>
      <c r="Y689" s="18">
        <f>IF(OR($W689="",$W689=6),"",WORKDAY($X689,CHOOSE($W689,3,3,2,2,3),Holidays))</f>
        <v/>
      </c>
      <c r="Z689" s="17">
        <f>IF(OR($W689="",$W689=6),"",CHOOSE($W689,"1st Email Follow-up","2nd Email Follow-up","Escalate Local Office","Escalate to CBE","Escalate to Roxanne"))</f>
        <v/>
      </c>
    </row>
    <row r="690" spans="18:26">
      <c r="R690" s="15"/>
      <c r="S690" s="16"/>
      <c r="T690" s="17">
        <f>IF(AND(COUNTA($A690:$K690)=0,$L690=""),"",IF($S690="Paid","PAID",IF($S690="Closed","CLOSED",IF($W690="","",IF($W690=6,"ESCALATED TO ROXANNE",IF(TODAY()&gt;$Y690,"OVERDUE",IF($Y690&lt;=WORKDAY(TODAY(),1,Holidays),"DUE TOMORROW",IF($W690=4,"ESCALATED TO LOCAL OFFICE",IF($W690=5,"ESCALATED TO CBE",IF($X690=TODAY(),"EMAIL SENT","MONITORING"))))))))))</f>
        <v/>
      </c>
      <c r="U690" s="17">
        <f>IF($T690="",IF(AND(COUNTA($A690:$K690)&gt;0,$L690=""),"Awaiting Collection Email time stamp.",""),IF(OR($T690="PAID",$T690="CLOSED"),IF($T690="PAID","Account paid. Action completed.","Account closed. No further action required."),CHOOSE($W690,"Collection Email","1st Email Follow-up","2nd Email Follow-up","Escalation to Local Office","Escalation to CBE","Escalation to Roxanne")&amp;" sent "&amp;TEXT($X690,"dd-mmm")&amp;". "&amp;IF($W690=6,"Final escalation completed.",IF($T690="OVERDUE","Next: "&amp;$Z690&amp;" was due "&amp;TEXT($Y690,"dd-mmm")&amp;" - "&amp;(NETWORKDAYS($Y690,TODAY(),Holidays)-1)&amp;" business day(s) late. Send now.",IF($T690="DUE TOMORROW","Next: "&amp;$Z690&amp;IF($Y690&lt;=TODAY()," is due TODAY ("," is due next business day (")&amp;TEXT($Y690,"dd-mmm")&amp;").","Next: "&amp;$Z690&amp;" due "&amp;TEXT($Y690,"dd-mmm")&amp;" ("&amp;(NETWORKDAYS(TODAY(),$Y690,Holidays)-1)&amp;" business day(s) left).")))))</f>
        <v/>
      </c>
      <c r="V690" s="17">
        <f>IF($W690="","",CHOOSE($W690,"Collection Email","1st Follow-up","2nd Follow-up","Local Office","CBE","Roxanne")&amp;IF($W690=6," - Final"," - Day "&amp;MAX(0,NETWORKDAYS($X690,TODAY(),Holidays)-1)&amp;" of "&amp;CHOOSE($W690,3,3,2,2,3))&amp;" | Total Day "&amp;MAX(0,NETWORKDAYS($L690,TODAY(),Holidays)-1))</f>
        <v/>
      </c>
      <c r="W690" s="17">
        <f>IF($L690="","",COUNT($L690:$Q690))</f>
        <v/>
      </c>
      <c r="X690" s="18">
        <f>IF($W690="","",INT(INDEX($L690:$Q690,$W690)))</f>
        <v/>
      </c>
      <c r="Y690" s="18">
        <f>IF(OR($W690="",$W690=6),"",WORKDAY($X690,CHOOSE($W690,3,3,2,2,3),Holidays))</f>
        <v/>
      </c>
      <c r="Z690" s="17">
        <f>IF(OR($W690="",$W690=6),"",CHOOSE($W690,"1st Email Follow-up","2nd Email Follow-up","Escalate Local Office","Escalate to CBE","Escalate to Roxanne"))</f>
        <v/>
      </c>
    </row>
    <row r="691" spans="18:26">
      <c r="R691" s="15"/>
      <c r="S691" s="16"/>
      <c r="T691" s="17">
        <f>IF(AND(COUNTA($A691:$K691)=0,$L691=""),"",IF($S691="Paid","PAID",IF($S691="Closed","CLOSED",IF($W691="","",IF($W691=6,"ESCALATED TO ROXANNE",IF(TODAY()&gt;$Y691,"OVERDUE",IF($Y691&lt;=WORKDAY(TODAY(),1,Holidays),"DUE TOMORROW",IF($W691=4,"ESCALATED TO LOCAL OFFICE",IF($W691=5,"ESCALATED TO CBE",IF($X691=TODAY(),"EMAIL SENT","MONITORING"))))))))))</f>
        <v/>
      </c>
      <c r="U691" s="17">
        <f>IF($T691="",IF(AND(COUNTA($A691:$K691)&gt;0,$L691=""),"Awaiting Collection Email time stamp.",""),IF(OR($T691="PAID",$T691="CLOSED"),IF($T691="PAID","Account paid. Action completed.","Account closed. No further action required."),CHOOSE($W691,"Collection Email","1st Email Follow-up","2nd Email Follow-up","Escalation to Local Office","Escalation to CBE","Escalation to Roxanne")&amp;" sent "&amp;TEXT($X691,"dd-mmm")&amp;". "&amp;IF($W691=6,"Final escalation completed.",IF($T691="OVERDUE","Next: "&amp;$Z691&amp;" was due "&amp;TEXT($Y691,"dd-mmm")&amp;" - "&amp;(NETWORKDAYS($Y691,TODAY(),Holidays)-1)&amp;" business day(s) late. Send now.",IF($T691="DUE TOMORROW","Next: "&amp;$Z691&amp;IF($Y691&lt;=TODAY()," is due TODAY ("," is due next business day (")&amp;TEXT($Y691,"dd-mmm")&amp;").","Next: "&amp;$Z691&amp;" due "&amp;TEXT($Y691,"dd-mmm")&amp;" ("&amp;(NETWORKDAYS(TODAY(),$Y691,Holidays)-1)&amp;" business day(s) left).")))))</f>
        <v/>
      </c>
      <c r="V691" s="17">
        <f>IF($W691="","",CHOOSE($W691,"Collection Email","1st Follow-up","2nd Follow-up","Local Office","CBE","Roxanne")&amp;IF($W691=6," - Final"," - Day "&amp;MAX(0,NETWORKDAYS($X691,TODAY(),Holidays)-1)&amp;" of "&amp;CHOOSE($W691,3,3,2,2,3))&amp;" | Total Day "&amp;MAX(0,NETWORKDAYS($L691,TODAY(),Holidays)-1))</f>
        <v/>
      </c>
      <c r="W691" s="17">
        <f>IF($L691="","",COUNT($L691:$Q691))</f>
        <v/>
      </c>
      <c r="X691" s="18">
        <f>IF($W691="","",INT(INDEX($L691:$Q691,$W691)))</f>
        <v/>
      </c>
      <c r="Y691" s="18">
        <f>IF(OR($W691="",$W691=6),"",WORKDAY($X691,CHOOSE($W691,3,3,2,2,3),Holidays))</f>
        <v/>
      </c>
      <c r="Z691" s="17">
        <f>IF(OR($W691="",$W691=6),"",CHOOSE($W691,"1st Email Follow-up","2nd Email Follow-up","Escalate Local Office","Escalate to CBE","Escalate to Roxanne"))</f>
        <v/>
      </c>
    </row>
    <row r="692" spans="18:26">
      <c r="R692" s="15"/>
      <c r="S692" s="16"/>
      <c r="T692" s="17">
        <f>IF(AND(COUNTA($A692:$K692)=0,$L692=""),"",IF($S692="Paid","PAID",IF($S692="Closed","CLOSED",IF($W692="","",IF($W692=6,"ESCALATED TO ROXANNE",IF(TODAY()&gt;$Y692,"OVERDUE",IF($Y692&lt;=WORKDAY(TODAY(),1,Holidays),"DUE TOMORROW",IF($W692=4,"ESCALATED TO LOCAL OFFICE",IF($W692=5,"ESCALATED TO CBE",IF($X692=TODAY(),"EMAIL SENT","MONITORING"))))))))))</f>
        <v/>
      </c>
      <c r="U692" s="17">
        <f>IF($T692="",IF(AND(COUNTA($A692:$K692)&gt;0,$L692=""),"Awaiting Collection Email time stamp.",""),IF(OR($T692="PAID",$T692="CLOSED"),IF($T692="PAID","Account paid. Action completed.","Account closed. No further action required."),CHOOSE($W692,"Collection Email","1st Email Follow-up","2nd Email Follow-up","Escalation to Local Office","Escalation to CBE","Escalation to Roxanne")&amp;" sent "&amp;TEXT($X692,"dd-mmm")&amp;". "&amp;IF($W692=6,"Final escalation completed.",IF($T692="OVERDUE","Next: "&amp;$Z692&amp;" was due "&amp;TEXT($Y692,"dd-mmm")&amp;" - "&amp;(NETWORKDAYS($Y692,TODAY(),Holidays)-1)&amp;" business day(s) late. Send now.",IF($T692="DUE TOMORROW","Next: "&amp;$Z692&amp;IF($Y692&lt;=TODAY()," is due TODAY ("," is due next business day (")&amp;TEXT($Y692,"dd-mmm")&amp;").","Next: "&amp;$Z692&amp;" due "&amp;TEXT($Y692,"dd-mmm")&amp;" ("&amp;(NETWORKDAYS(TODAY(),$Y692,Holidays)-1)&amp;" business day(s) left).")))))</f>
        <v/>
      </c>
      <c r="V692" s="17">
        <f>IF($W692="","",CHOOSE($W692,"Collection Email","1st Follow-up","2nd Follow-up","Local Office","CBE","Roxanne")&amp;IF($W692=6," - Final"," - Day "&amp;MAX(0,NETWORKDAYS($X692,TODAY(),Holidays)-1)&amp;" of "&amp;CHOOSE($W692,3,3,2,2,3))&amp;" | Total Day "&amp;MAX(0,NETWORKDAYS($L692,TODAY(),Holidays)-1))</f>
        <v/>
      </c>
      <c r="W692" s="17">
        <f>IF($L692="","",COUNT($L692:$Q692))</f>
        <v/>
      </c>
      <c r="X692" s="18">
        <f>IF($W692="","",INT(INDEX($L692:$Q692,$W692)))</f>
        <v/>
      </c>
      <c r="Y692" s="18">
        <f>IF(OR($W692="",$W692=6),"",WORKDAY($X692,CHOOSE($W692,3,3,2,2,3),Holidays))</f>
        <v/>
      </c>
      <c r="Z692" s="17">
        <f>IF(OR($W692="",$W692=6),"",CHOOSE($W692,"1st Email Follow-up","2nd Email Follow-up","Escalate Local Office","Escalate to CBE","Escalate to Roxanne"))</f>
        <v/>
      </c>
    </row>
    <row r="693" spans="18:26">
      <c r="R693" s="15"/>
      <c r="S693" s="16"/>
      <c r="T693" s="17">
        <f>IF(AND(COUNTA($A693:$K693)=0,$L693=""),"",IF($S693="Paid","PAID",IF($S693="Closed","CLOSED",IF($W693="","",IF($W693=6,"ESCALATED TO ROXANNE",IF(TODAY()&gt;$Y693,"OVERDUE",IF($Y693&lt;=WORKDAY(TODAY(),1,Holidays),"DUE TOMORROW",IF($W693=4,"ESCALATED TO LOCAL OFFICE",IF($W693=5,"ESCALATED TO CBE",IF($X693=TODAY(),"EMAIL SENT","MONITORING"))))))))))</f>
        <v/>
      </c>
      <c r="U693" s="17">
        <f>IF($T693="",IF(AND(COUNTA($A693:$K693)&gt;0,$L693=""),"Awaiting Collection Email time stamp.",""),IF(OR($T693="PAID",$T693="CLOSED"),IF($T693="PAID","Account paid. Action completed.","Account closed. No further action required."),CHOOSE($W693,"Collection Email","1st Email Follow-up","2nd Email Follow-up","Escalation to Local Office","Escalation to CBE","Escalation to Roxanne")&amp;" sent "&amp;TEXT($X693,"dd-mmm")&amp;". "&amp;IF($W693=6,"Final escalation completed.",IF($T693="OVERDUE","Next: "&amp;$Z693&amp;" was due "&amp;TEXT($Y693,"dd-mmm")&amp;" - "&amp;(NETWORKDAYS($Y693,TODAY(),Holidays)-1)&amp;" business day(s) late. Send now.",IF($T693="DUE TOMORROW","Next: "&amp;$Z693&amp;IF($Y693&lt;=TODAY()," is due TODAY ("," is due next business day (")&amp;TEXT($Y693,"dd-mmm")&amp;").","Next: "&amp;$Z693&amp;" due "&amp;TEXT($Y693,"dd-mmm")&amp;" ("&amp;(NETWORKDAYS(TODAY(),$Y693,Holidays)-1)&amp;" business day(s) left).")))))</f>
        <v/>
      </c>
      <c r="V693" s="17">
        <f>IF($W693="","",CHOOSE($W693,"Collection Email","1st Follow-up","2nd Follow-up","Local Office","CBE","Roxanne")&amp;IF($W693=6," - Final"," - Day "&amp;MAX(0,NETWORKDAYS($X693,TODAY(),Holidays)-1)&amp;" of "&amp;CHOOSE($W693,3,3,2,2,3))&amp;" | Total Day "&amp;MAX(0,NETWORKDAYS($L693,TODAY(),Holidays)-1))</f>
        <v/>
      </c>
      <c r="W693" s="17">
        <f>IF($L693="","",COUNT($L693:$Q693))</f>
        <v/>
      </c>
      <c r="X693" s="18">
        <f>IF($W693="","",INT(INDEX($L693:$Q693,$W693)))</f>
        <v/>
      </c>
      <c r="Y693" s="18">
        <f>IF(OR($W693="",$W693=6),"",WORKDAY($X693,CHOOSE($W693,3,3,2,2,3),Holidays))</f>
        <v/>
      </c>
      <c r="Z693" s="17">
        <f>IF(OR($W693="",$W693=6),"",CHOOSE($W693,"1st Email Follow-up","2nd Email Follow-up","Escalate Local Office","Escalate to CBE","Escalate to Roxanne"))</f>
        <v/>
      </c>
    </row>
    <row r="694" spans="18:26">
      <c r="R694" s="15"/>
      <c r="S694" s="16"/>
      <c r="T694" s="17">
        <f>IF(AND(COUNTA($A694:$K694)=0,$L694=""),"",IF($S694="Paid","PAID",IF($S694="Closed","CLOSED",IF($W694="","",IF($W694=6,"ESCALATED TO ROXANNE",IF(TODAY()&gt;$Y694,"OVERDUE",IF($Y694&lt;=WORKDAY(TODAY(),1,Holidays),"DUE TOMORROW",IF($W694=4,"ESCALATED TO LOCAL OFFICE",IF($W694=5,"ESCALATED TO CBE",IF($X694=TODAY(),"EMAIL SENT","MONITORING"))))))))))</f>
        <v/>
      </c>
      <c r="U694" s="17">
        <f>IF($T694="",IF(AND(COUNTA($A694:$K694)&gt;0,$L694=""),"Awaiting Collection Email time stamp.",""),IF(OR($T694="PAID",$T694="CLOSED"),IF($T694="PAID","Account paid. Action completed.","Account closed. No further action required."),CHOOSE($W694,"Collection Email","1st Email Follow-up","2nd Email Follow-up","Escalation to Local Office","Escalation to CBE","Escalation to Roxanne")&amp;" sent "&amp;TEXT($X694,"dd-mmm")&amp;". "&amp;IF($W694=6,"Final escalation completed.",IF($T694="OVERDUE","Next: "&amp;$Z694&amp;" was due "&amp;TEXT($Y694,"dd-mmm")&amp;" - "&amp;(NETWORKDAYS($Y694,TODAY(),Holidays)-1)&amp;" business day(s) late. Send now.",IF($T694="DUE TOMORROW","Next: "&amp;$Z694&amp;IF($Y694&lt;=TODAY()," is due TODAY ("," is due next business day (")&amp;TEXT($Y694,"dd-mmm")&amp;").","Next: "&amp;$Z694&amp;" due "&amp;TEXT($Y694,"dd-mmm")&amp;" ("&amp;(NETWORKDAYS(TODAY(),$Y694,Holidays)-1)&amp;" business day(s) left).")))))</f>
        <v/>
      </c>
      <c r="V694" s="17">
        <f>IF($W694="","",CHOOSE($W694,"Collection Email","1st Follow-up","2nd Follow-up","Local Office","CBE","Roxanne")&amp;IF($W694=6," - Final"," - Day "&amp;MAX(0,NETWORKDAYS($X694,TODAY(),Holidays)-1)&amp;" of "&amp;CHOOSE($W694,3,3,2,2,3))&amp;" | Total Day "&amp;MAX(0,NETWORKDAYS($L694,TODAY(),Holidays)-1))</f>
        <v/>
      </c>
      <c r="W694" s="17">
        <f>IF($L694="","",COUNT($L694:$Q694))</f>
        <v/>
      </c>
      <c r="X694" s="18">
        <f>IF($W694="","",INT(INDEX($L694:$Q694,$W694)))</f>
        <v/>
      </c>
      <c r="Y694" s="18">
        <f>IF(OR($W694="",$W694=6),"",WORKDAY($X694,CHOOSE($W694,3,3,2,2,3),Holidays))</f>
        <v/>
      </c>
      <c r="Z694" s="17">
        <f>IF(OR($W694="",$W694=6),"",CHOOSE($W694,"1st Email Follow-up","2nd Email Follow-up","Escalate Local Office","Escalate to CBE","Escalate to Roxanne"))</f>
        <v/>
      </c>
    </row>
    <row r="695" spans="18:26">
      <c r="R695" s="15"/>
      <c r="S695" s="16"/>
      <c r="T695" s="17">
        <f>IF(AND(COUNTA($A695:$K695)=0,$L695=""),"",IF($S695="Paid","PAID",IF($S695="Closed","CLOSED",IF($W695="","",IF($W695=6,"ESCALATED TO ROXANNE",IF(TODAY()&gt;$Y695,"OVERDUE",IF($Y695&lt;=WORKDAY(TODAY(),1,Holidays),"DUE TOMORROW",IF($W695=4,"ESCALATED TO LOCAL OFFICE",IF($W695=5,"ESCALATED TO CBE",IF($X695=TODAY(),"EMAIL SENT","MONITORING"))))))))))</f>
        <v/>
      </c>
      <c r="U695" s="17">
        <f>IF($T695="",IF(AND(COUNTA($A695:$K695)&gt;0,$L695=""),"Awaiting Collection Email time stamp.",""),IF(OR($T695="PAID",$T695="CLOSED"),IF($T695="PAID","Account paid. Action completed.","Account closed. No further action required."),CHOOSE($W695,"Collection Email","1st Email Follow-up","2nd Email Follow-up","Escalation to Local Office","Escalation to CBE","Escalation to Roxanne")&amp;" sent "&amp;TEXT($X695,"dd-mmm")&amp;". "&amp;IF($W695=6,"Final escalation completed.",IF($T695="OVERDUE","Next: "&amp;$Z695&amp;" was due "&amp;TEXT($Y695,"dd-mmm")&amp;" - "&amp;(NETWORKDAYS($Y695,TODAY(),Holidays)-1)&amp;" business day(s) late. Send now.",IF($T695="DUE TOMORROW","Next: "&amp;$Z695&amp;IF($Y695&lt;=TODAY()," is due TODAY ("," is due next business day (")&amp;TEXT($Y695,"dd-mmm")&amp;").","Next: "&amp;$Z695&amp;" due "&amp;TEXT($Y695,"dd-mmm")&amp;" ("&amp;(NETWORKDAYS(TODAY(),$Y695,Holidays)-1)&amp;" business day(s) left).")))))</f>
        <v/>
      </c>
      <c r="V695" s="17">
        <f>IF($W695="","",CHOOSE($W695,"Collection Email","1st Follow-up","2nd Follow-up","Local Office","CBE","Roxanne")&amp;IF($W695=6," - Final"," - Day "&amp;MAX(0,NETWORKDAYS($X695,TODAY(),Holidays)-1)&amp;" of "&amp;CHOOSE($W695,3,3,2,2,3))&amp;" | Total Day "&amp;MAX(0,NETWORKDAYS($L695,TODAY(),Holidays)-1))</f>
        <v/>
      </c>
      <c r="W695" s="17">
        <f>IF($L695="","",COUNT($L695:$Q695))</f>
        <v/>
      </c>
      <c r="X695" s="18">
        <f>IF($W695="","",INT(INDEX($L695:$Q695,$W695)))</f>
        <v/>
      </c>
      <c r="Y695" s="18">
        <f>IF(OR($W695="",$W695=6),"",WORKDAY($X695,CHOOSE($W695,3,3,2,2,3),Holidays))</f>
        <v/>
      </c>
      <c r="Z695" s="17">
        <f>IF(OR($W695="",$W695=6),"",CHOOSE($W695,"1st Email Follow-up","2nd Email Follow-up","Escalate Local Office","Escalate to CBE","Escalate to Roxanne"))</f>
        <v/>
      </c>
    </row>
    <row r="696" spans="18:26">
      <c r="R696" s="15"/>
      <c r="S696" s="16"/>
      <c r="T696" s="17">
        <f>IF(AND(COUNTA($A696:$K696)=0,$L696=""),"",IF($S696="Paid","PAID",IF($S696="Closed","CLOSED",IF($W696="","",IF($W696=6,"ESCALATED TO ROXANNE",IF(TODAY()&gt;$Y696,"OVERDUE",IF($Y696&lt;=WORKDAY(TODAY(),1,Holidays),"DUE TOMORROW",IF($W696=4,"ESCALATED TO LOCAL OFFICE",IF($W696=5,"ESCALATED TO CBE",IF($X696=TODAY(),"EMAIL SENT","MONITORING"))))))))))</f>
        <v/>
      </c>
      <c r="U696" s="17">
        <f>IF($T696="",IF(AND(COUNTA($A696:$K696)&gt;0,$L696=""),"Awaiting Collection Email time stamp.",""),IF(OR($T696="PAID",$T696="CLOSED"),IF($T696="PAID","Account paid. Action completed.","Account closed. No further action required."),CHOOSE($W696,"Collection Email","1st Email Follow-up","2nd Email Follow-up","Escalation to Local Office","Escalation to CBE","Escalation to Roxanne")&amp;" sent "&amp;TEXT($X696,"dd-mmm")&amp;". "&amp;IF($W696=6,"Final escalation completed.",IF($T696="OVERDUE","Next: "&amp;$Z696&amp;" was due "&amp;TEXT($Y696,"dd-mmm")&amp;" - "&amp;(NETWORKDAYS($Y696,TODAY(),Holidays)-1)&amp;" business day(s) late. Send now.",IF($T696="DUE TOMORROW","Next: "&amp;$Z696&amp;IF($Y696&lt;=TODAY()," is due TODAY ("," is due next business day (")&amp;TEXT($Y696,"dd-mmm")&amp;").","Next: "&amp;$Z696&amp;" due "&amp;TEXT($Y696,"dd-mmm")&amp;" ("&amp;(NETWORKDAYS(TODAY(),$Y696,Holidays)-1)&amp;" business day(s) left).")))))</f>
        <v/>
      </c>
      <c r="V696" s="17">
        <f>IF($W696="","",CHOOSE($W696,"Collection Email","1st Follow-up","2nd Follow-up","Local Office","CBE","Roxanne")&amp;IF($W696=6," - Final"," - Day "&amp;MAX(0,NETWORKDAYS($X696,TODAY(),Holidays)-1)&amp;" of "&amp;CHOOSE($W696,3,3,2,2,3))&amp;" | Total Day "&amp;MAX(0,NETWORKDAYS($L696,TODAY(),Holidays)-1))</f>
        <v/>
      </c>
      <c r="W696" s="17">
        <f>IF($L696="","",COUNT($L696:$Q696))</f>
        <v/>
      </c>
      <c r="X696" s="18">
        <f>IF($W696="","",INT(INDEX($L696:$Q696,$W696)))</f>
        <v/>
      </c>
      <c r="Y696" s="18">
        <f>IF(OR($W696="",$W696=6),"",WORKDAY($X696,CHOOSE($W696,3,3,2,2,3),Holidays))</f>
        <v/>
      </c>
      <c r="Z696" s="17">
        <f>IF(OR($W696="",$W696=6),"",CHOOSE($W696,"1st Email Follow-up","2nd Email Follow-up","Escalate Local Office","Escalate to CBE","Escalate to Roxanne"))</f>
        <v/>
      </c>
    </row>
    <row r="697" spans="18:26">
      <c r="R697" s="15"/>
      <c r="S697" s="16"/>
      <c r="T697" s="17">
        <f>IF(AND(COUNTA($A697:$K697)=0,$L697=""),"",IF($S697="Paid","PAID",IF($S697="Closed","CLOSED",IF($W697="","",IF($W697=6,"ESCALATED TO ROXANNE",IF(TODAY()&gt;$Y697,"OVERDUE",IF($Y697&lt;=WORKDAY(TODAY(),1,Holidays),"DUE TOMORROW",IF($W697=4,"ESCALATED TO LOCAL OFFICE",IF($W697=5,"ESCALATED TO CBE",IF($X697=TODAY(),"EMAIL SENT","MONITORING"))))))))))</f>
        <v/>
      </c>
      <c r="U697" s="17">
        <f>IF($T697="",IF(AND(COUNTA($A697:$K697)&gt;0,$L697=""),"Awaiting Collection Email time stamp.",""),IF(OR($T697="PAID",$T697="CLOSED"),IF($T697="PAID","Account paid. Action completed.","Account closed. No further action required."),CHOOSE($W697,"Collection Email","1st Email Follow-up","2nd Email Follow-up","Escalation to Local Office","Escalation to CBE","Escalation to Roxanne")&amp;" sent "&amp;TEXT($X697,"dd-mmm")&amp;". "&amp;IF($W697=6,"Final escalation completed.",IF($T697="OVERDUE","Next: "&amp;$Z697&amp;" was due "&amp;TEXT($Y697,"dd-mmm")&amp;" - "&amp;(NETWORKDAYS($Y697,TODAY(),Holidays)-1)&amp;" business day(s) late. Send now.",IF($T697="DUE TOMORROW","Next: "&amp;$Z697&amp;IF($Y697&lt;=TODAY()," is due TODAY ("," is due next business day (")&amp;TEXT($Y697,"dd-mmm")&amp;").","Next: "&amp;$Z697&amp;" due "&amp;TEXT($Y697,"dd-mmm")&amp;" ("&amp;(NETWORKDAYS(TODAY(),$Y697,Holidays)-1)&amp;" business day(s) left).")))))</f>
        <v/>
      </c>
      <c r="V697" s="17">
        <f>IF($W697="","",CHOOSE($W697,"Collection Email","1st Follow-up","2nd Follow-up","Local Office","CBE","Roxanne")&amp;IF($W697=6," - Final"," - Day "&amp;MAX(0,NETWORKDAYS($X697,TODAY(),Holidays)-1)&amp;" of "&amp;CHOOSE($W697,3,3,2,2,3))&amp;" | Total Day "&amp;MAX(0,NETWORKDAYS($L697,TODAY(),Holidays)-1))</f>
        <v/>
      </c>
      <c r="W697" s="17">
        <f>IF($L697="","",COUNT($L697:$Q697))</f>
        <v/>
      </c>
      <c r="X697" s="18">
        <f>IF($W697="","",INT(INDEX($L697:$Q697,$W697)))</f>
        <v/>
      </c>
      <c r="Y697" s="18">
        <f>IF(OR($W697="",$W697=6),"",WORKDAY($X697,CHOOSE($W697,3,3,2,2,3),Holidays))</f>
        <v/>
      </c>
      <c r="Z697" s="17">
        <f>IF(OR($W697="",$W697=6),"",CHOOSE($W697,"1st Email Follow-up","2nd Email Follow-up","Escalate Local Office","Escalate to CBE","Escalate to Roxanne"))</f>
        <v/>
      </c>
    </row>
    <row r="698" spans="18:26">
      <c r="R698" s="15"/>
      <c r="S698" s="16"/>
      <c r="T698" s="17">
        <f>IF(AND(COUNTA($A698:$K698)=0,$L698=""),"",IF($S698="Paid","PAID",IF($S698="Closed","CLOSED",IF($W698="","",IF($W698=6,"ESCALATED TO ROXANNE",IF(TODAY()&gt;$Y698,"OVERDUE",IF($Y698&lt;=WORKDAY(TODAY(),1,Holidays),"DUE TOMORROW",IF($W698=4,"ESCALATED TO LOCAL OFFICE",IF($W698=5,"ESCALATED TO CBE",IF($X698=TODAY(),"EMAIL SENT","MONITORING"))))))))))</f>
        <v/>
      </c>
      <c r="U698" s="17">
        <f>IF($T698="",IF(AND(COUNTA($A698:$K698)&gt;0,$L698=""),"Awaiting Collection Email time stamp.",""),IF(OR($T698="PAID",$T698="CLOSED"),IF($T698="PAID","Account paid. Action completed.","Account closed. No further action required."),CHOOSE($W698,"Collection Email","1st Email Follow-up","2nd Email Follow-up","Escalation to Local Office","Escalation to CBE","Escalation to Roxanne")&amp;" sent "&amp;TEXT($X698,"dd-mmm")&amp;". "&amp;IF($W698=6,"Final escalation completed.",IF($T698="OVERDUE","Next: "&amp;$Z698&amp;" was due "&amp;TEXT($Y698,"dd-mmm")&amp;" - "&amp;(NETWORKDAYS($Y698,TODAY(),Holidays)-1)&amp;" business day(s) late. Send now.",IF($T698="DUE TOMORROW","Next: "&amp;$Z698&amp;IF($Y698&lt;=TODAY()," is due TODAY ("," is due next business day (")&amp;TEXT($Y698,"dd-mmm")&amp;").","Next: "&amp;$Z698&amp;" due "&amp;TEXT($Y698,"dd-mmm")&amp;" ("&amp;(NETWORKDAYS(TODAY(),$Y698,Holidays)-1)&amp;" business day(s) left).")))))</f>
        <v/>
      </c>
      <c r="V698" s="17">
        <f>IF($W698="","",CHOOSE($W698,"Collection Email","1st Follow-up","2nd Follow-up","Local Office","CBE","Roxanne")&amp;IF($W698=6," - Final"," - Day "&amp;MAX(0,NETWORKDAYS($X698,TODAY(),Holidays)-1)&amp;" of "&amp;CHOOSE($W698,3,3,2,2,3))&amp;" | Total Day "&amp;MAX(0,NETWORKDAYS($L698,TODAY(),Holidays)-1))</f>
        <v/>
      </c>
      <c r="W698" s="17">
        <f>IF($L698="","",COUNT($L698:$Q698))</f>
        <v/>
      </c>
      <c r="X698" s="18">
        <f>IF($W698="","",INT(INDEX($L698:$Q698,$W698)))</f>
        <v/>
      </c>
      <c r="Y698" s="18">
        <f>IF(OR($W698="",$W698=6),"",WORKDAY($X698,CHOOSE($W698,3,3,2,2,3),Holidays))</f>
        <v/>
      </c>
      <c r="Z698" s="17">
        <f>IF(OR($W698="",$W698=6),"",CHOOSE($W698,"1st Email Follow-up","2nd Email Follow-up","Escalate Local Office","Escalate to CBE","Escalate to Roxanne"))</f>
        <v/>
      </c>
    </row>
    <row r="699" spans="18:26">
      <c r="R699" s="15"/>
      <c r="S699" s="16"/>
      <c r="T699" s="17">
        <f>IF(AND(COUNTA($A699:$K699)=0,$L699=""),"",IF($S699="Paid","PAID",IF($S699="Closed","CLOSED",IF($W699="","",IF($W699=6,"ESCALATED TO ROXANNE",IF(TODAY()&gt;$Y699,"OVERDUE",IF($Y699&lt;=WORKDAY(TODAY(),1,Holidays),"DUE TOMORROW",IF($W699=4,"ESCALATED TO LOCAL OFFICE",IF($W699=5,"ESCALATED TO CBE",IF($X699=TODAY(),"EMAIL SENT","MONITORING"))))))))))</f>
        <v/>
      </c>
      <c r="U699" s="17">
        <f>IF($T699="",IF(AND(COUNTA($A699:$K699)&gt;0,$L699=""),"Awaiting Collection Email time stamp.",""),IF(OR($T699="PAID",$T699="CLOSED"),IF($T699="PAID","Account paid. Action completed.","Account closed. No further action required."),CHOOSE($W699,"Collection Email","1st Email Follow-up","2nd Email Follow-up","Escalation to Local Office","Escalation to CBE","Escalation to Roxanne")&amp;" sent "&amp;TEXT($X699,"dd-mmm")&amp;". "&amp;IF($W699=6,"Final escalation completed.",IF($T699="OVERDUE","Next: "&amp;$Z699&amp;" was due "&amp;TEXT($Y699,"dd-mmm")&amp;" - "&amp;(NETWORKDAYS($Y699,TODAY(),Holidays)-1)&amp;" business day(s) late. Send now.",IF($T699="DUE TOMORROW","Next: "&amp;$Z699&amp;IF($Y699&lt;=TODAY()," is due TODAY ("," is due next business day (")&amp;TEXT($Y699,"dd-mmm")&amp;").","Next: "&amp;$Z699&amp;" due "&amp;TEXT($Y699,"dd-mmm")&amp;" ("&amp;(NETWORKDAYS(TODAY(),$Y699,Holidays)-1)&amp;" business day(s) left).")))))</f>
        <v/>
      </c>
      <c r="V699" s="17">
        <f>IF($W699="","",CHOOSE($W699,"Collection Email","1st Follow-up","2nd Follow-up","Local Office","CBE","Roxanne")&amp;IF($W699=6," - Final"," - Day "&amp;MAX(0,NETWORKDAYS($X699,TODAY(),Holidays)-1)&amp;" of "&amp;CHOOSE($W699,3,3,2,2,3))&amp;" | Total Day "&amp;MAX(0,NETWORKDAYS($L699,TODAY(),Holidays)-1))</f>
        <v/>
      </c>
      <c r="W699" s="17">
        <f>IF($L699="","",COUNT($L699:$Q699))</f>
        <v/>
      </c>
      <c r="X699" s="18">
        <f>IF($W699="","",INT(INDEX($L699:$Q699,$W699)))</f>
        <v/>
      </c>
      <c r="Y699" s="18">
        <f>IF(OR($W699="",$W699=6),"",WORKDAY($X699,CHOOSE($W699,3,3,2,2,3),Holidays))</f>
        <v/>
      </c>
      <c r="Z699" s="17">
        <f>IF(OR($W699="",$W699=6),"",CHOOSE($W699,"1st Email Follow-up","2nd Email Follow-up","Escalate Local Office","Escalate to CBE","Escalate to Roxanne"))</f>
        <v/>
      </c>
    </row>
    <row r="700" spans="18:26">
      <c r="R700" s="15"/>
      <c r="S700" s="16"/>
      <c r="T700" s="17">
        <f>IF(AND(COUNTA($A700:$K700)=0,$L700=""),"",IF($S700="Paid","PAID",IF($S700="Closed","CLOSED",IF($W700="","",IF($W700=6,"ESCALATED TO ROXANNE",IF(TODAY()&gt;$Y700,"OVERDUE",IF($Y700&lt;=WORKDAY(TODAY(),1,Holidays),"DUE TOMORROW",IF($W700=4,"ESCALATED TO LOCAL OFFICE",IF($W700=5,"ESCALATED TO CBE",IF($X700=TODAY(),"EMAIL SENT","MONITORING"))))))))))</f>
        <v/>
      </c>
      <c r="U700" s="17">
        <f>IF($T700="",IF(AND(COUNTA($A700:$K700)&gt;0,$L700=""),"Awaiting Collection Email time stamp.",""),IF(OR($T700="PAID",$T700="CLOSED"),IF($T700="PAID","Account paid. Action completed.","Account closed. No further action required."),CHOOSE($W700,"Collection Email","1st Email Follow-up","2nd Email Follow-up","Escalation to Local Office","Escalation to CBE","Escalation to Roxanne")&amp;" sent "&amp;TEXT($X700,"dd-mmm")&amp;". "&amp;IF($W700=6,"Final escalation completed.",IF($T700="OVERDUE","Next: "&amp;$Z700&amp;" was due "&amp;TEXT($Y700,"dd-mmm")&amp;" - "&amp;(NETWORKDAYS($Y700,TODAY(),Holidays)-1)&amp;" business day(s) late. Send now.",IF($T700="DUE TOMORROW","Next: "&amp;$Z700&amp;IF($Y700&lt;=TODAY()," is due TODAY ("," is due next business day (")&amp;TEXT($Y700,"dd-mmm")&amp;").","Next: "&amp;$Z700&amp;" due "&amp;TEXT($Y700,"dd-mmm")&amp;" ("&amp;(NETWORKDAYS(TODAY(),$Y700,Holidays)-1)&amp;" business day(s) left).")))))</f>
        <v/>
      </c>
      <c r="V700" s="17">
        <f>IF($W700="","",CHOOSE($W700,"Collection Email","1st Follow-up","2nd Follow-up","Local Office","CBE","Roxanne")&amp;IF($W700=6," - Final"," - Day "&amp;MAX(0,NETWORKDAYS($X700,TODAY(),Holidays)-1)&amp;" of "&amp;CHOOSE($W700,3,3,2,2,3))&amp;" | Total Day "&amp;MAX(0,NETWORKDAYS($L700,TODAY(),Holidays)-1))</f>
        <v/>
      </c>
      <c r="W700" s="17">
        <f>IF($L700="","",COUNT($L700:$Q700))</f>
        <v/>
      </c>
      <c r="X700" s="18">
        <f>IF($W700="","",INT(INDEX($L700:$Q700,$W700)))</f>
        <v/>
      </c>
      <c r="Y700" s="18">
        <f>IF(OR($W700="",$W700=6),"",WORKDAY($X700,CHOOSE($W700,3,3,2,2,3),Holidays))</f>
        <v/>
      </c>
      <c r="Z700" s="17">
        <f>IF(OR($W700="",$W700=6),"",CHOOSE($W700,"1st Email Follow-up","2nd Email Follow-up","Escalate Local Office","Escalate to CBE","Escalate to Roxanne"))</f>
        <v/>
      </c>
    </row>
    <row r="701" spans="18:26">
      <c r="R701" s="15"/>
      <c r="S701" s="16"/>
      <c r="T701" s="17">
        <f>IF(AND(COUNTA($A701:$K701)=0,$L701=""),"",IF($S701="Paid","PAID",IF($S701="Closed","CLOSED",IF($W701="","",IF($W701=6,"ESCALATED TO ROXANNE",IF(TODAY()&gt;$Y701,"OVERDUE",IF($Y701&lt;=WORKDAY(TODAY(),1,Holidays),"DUE TOMORROW",IF($W701=4,"ESCALATED TO LOCAL OFFICE",IF($W701=5,"ESCALATED TO CBE",IF($X701=TODAY(),"EMAIL SENT","MONITORING"))))))))))</f>
        <v/>
      </c>
      <c r="U701" s="17">
        <f>IF($T701="",IF(AND(COUNTA($A701:$K701)&gt;0,$L701=""),"Awaiting Collection Email time stamp.",""),IF(OR($T701="PAID",$T701="CLOSED"),IF($T701="PAID","Account paid. Action completed.","Account closed. No further action required."),CHOOSE($W701,"Collection Email","1st Email Follow-up","2nd Email Follow-up","Escalation to Local Office","Escalation to CBE","Escalation to Roxanne")&amp;" sent "&amp;TEXT($X701,"dd-mmm")&amp;". "&amp;IF($W701=6,"Final escalation completed.",IF($T701="OVERDUE","Next: "&amp;$Z701&amp;" was due "&amp;TEXT($Y701,"dd-mmm")&amp;" - "&amp;(NETWORKDAYS($Y701,TODAY(),Holidays)-1)&amp;" business day(s) late. Send now.",IF($T701="DUE TOMORROW","Next: "&amp;$Z701&amp;IF($Y701&lt;=TODAY()," is due TODAY ("," is due next business day (")&amp;TEXT($Y701,"dd-mmm")&amp;").","Next: "&amp;$Z701&amp;" due "&amp;TEXT($Y701,"dd-mmm")&amp;" ("&amp;(NETWORKDAYS(TODAY(),$Y701,Holidays)-1)&amp;" business day(s) left).")))))</f>
        <v/>
      </c>
      <c r="V701" s="17">
        <f>IF($W701="","",CHOOSE($W701,"Collection Email","1st Follow-up","2nd Follow-up","Local Office","CBE","Roxanne")&amp;IF($W701=6," - Final"," - Day "&amp;MAX(0,NETWORKDAYS($X701,TODAY(),Holidays)-1)&amp;" of "&amp;CHOOSE($W701,3,3,2,2,3))&amp;" | Total Day "&amp;MAX(0,NETWORKDAYS($L701,TODAY(),Holidays)-1))</f>
        <v/>
      </c>
      <c r="W701" s="17">
        <f>IF($L701="","",COUNT($L701:$Q701))</f>
        <v/>
      </c>
      <c r="X701" s="18">
        <f>IF($W701="","",INT(INDEX($L701:$Q701,$W701)))</f>
        <v/>
      </c>
      <c r="Y701" s="18">
        <f>IF(OR($W701="",$W701=6),"",WORKDAY($X701,CHOOSE($W701,3,3,2,2,3),Holidays))</f>
        <v/>
      </c>
      <c r="Z701" s="17">
        <f>IF(OR($W701="",$W701=6),"",CHOOSE($W701,"1st Email Follow-up","2nd Email Follow-up","Escalate Local Office","Escalate to CBE","Escalate to Roxanne"))</f>
        <v/>
      </c>
    </row>
    <row r="702" spans="18:26">
      <c r="R702" s="15"/>
      <c r="S702" s="16"/>
      <c r="T702" s="17">
        <f>IF(AND(COUNTA($A702:$K702)=0,$L702=""),"",IF($S702="Paid","PAID",IF($S702="Closed","CLOSED",IF($W702="","",IF($W702=6,"ESCALATED TO ROXANNE",IF(TODAY()&gt;$Y702,"OVERDUE",IF($Y702&lt;=WORKDAY(TODAY(),1,Holidays),"DUE TOMORROW",IF($W702=4,"ESCALATED TO LOCAL OFFICE",IF($W702=5,"ESCALATED TO CBE",IF($X702=TODAY(),"EMAIL SENT","MONITORING"))))))))))</f>
        <v/>
      </c>
      <c r="U702" s="17">
        <f>IF($T702="",IF(AND(COUNTA($A702:$K702)&gt;0,$L702=""),"Awaiting Collection Email time stamp.",""),IF(OR($T702="PAID",$T702="CLOSED"),IF($T702="PAID","Account paid. Action completed.","Account closed. No further action required."),CHOOSE($W702,"Collection Email","1st Email Follow-up","2nd Email Follow-up","Escalation to Local Office","Escalation to CBE","Escalation to Roxanne")&amp;" sent "&amp;TEXT($X702,"dd-mmm")&amp;". "&amp;IF($W702=6,"Final escalation completed.",IF($T702="OVERDUE","Next: "&amp;$Z702&amp;" was due "&amp;TEXT($Y702,"dd-mmm")&amp;" - "&amp;(NETWORKDAYS($Y702,TODAY(),Holidays)-1)&amp;" business day(s) late. Send now.",IF($T702="DUE TOMORROW","Next: "&amp;$Z702&amp;IF($Y702&lt;=TODAY()," is due TODAY ("," is due next business day (")&amp;TEXT($Y702,"dd-mmm")&amp;").","Next: "&amp;$Z702&amp;" due "&amp;TEXT($Y702,"dd-mmm")&amp;" ("&amp;(NETWORKDAYS(TODAY(),$Y702,Holidays)-1)&amp;" business day(s) left).")))))</f>
        <v/>
      </c>
      <c r="V702" s="17">
        <f>IF($W702="","",CHOOSE($W702,"Collection Email","1st Follow-up","2nd Follow-up","Local Office","CBE","Roxanne")&amp;IF($W702=6," - Final"," - Day "&amp;MAX(0,NETWORKDAYS($X702,TODAY(),Holidays)-1)&amp;" of "&amp;CHOOSE($W702,3,3,2,2,3))&amp;" | Total Day "&amp;MAX(0,NETWORKDAYS($L702,TODAY(),Holidays)-1))</f>
        <v/>
      </c>
      <c r="W702" s="17">
        <f>IF($L702="","",COUNT($L702:$Q702))</f>
        <v/>
      </c>
      <c r="X702" s="18">
        <f>IF($W702="","",INT(INDEX($L702:$Q702,$W702)))</f>
        <v/>
      </c>
      <c r="Y702" s="18">
        <f>IF(OR($W702="",$W702=6),"",WORKDAY($X702,CHOOSE($W702,3,3,2,2,3),Holidays))</f>
        <v/>
      </c>
      <c r="Z702" s="17">
        <f>IF(OR($W702="",$W702=6),"",CHOOSE($W702,"1st Email Follow-up","2nd Email Follow-up","Escalate Local Office","Escalate to CBE","Escalate to Roxanne"))</f>
        <v/>
      </c>
    </row>
    <row r="703" spans="18:26">
      <c r="R703" s="15"/>
      <c r="S703" s="16"/>
      <c r="T703" s="17">
        <f>IF(AND(COUNTA($A703:$K703)=0,$L703=""),"",IF($S703="Paid","PAID",IF($S703="Closed","CLOSED",IF($W703="","",IF($W703=6,"ESCALATED TO ROXANNE",IF(TODAY()&gt;$Y703,"OVERDUE",IF($Y703&lt;=WORKDAY(TODAY(),1,Holidays),"DUE TOMORROW",IF($W703=4,"ESCALATED TO LOCAL OFFICE",IF($W703=5,"ESCALATED TO CBE",IF($X703=TODAY(),"EMAIL SENT","MONITORING"))))))))))</f>
        <v/>
      </c>
      <c r="U703" s="17">
        <f>IF($T703="",IF(AND(COUNTA($A703:$K703)&gt;0,$L703=""),"Awaiting Collection Email time stamp.",""),IF(OR($T703="PAID",$T703="CLOSED"),IF($T703="PAID","Account paid. Action completed.","Account closed. No further action required."),CHOOSE($W703,"Collection Email","1st Email Follow-up","2nd Email Follow-up","Escalation to Local Office","Escalation to CBE","Escalation to Roxanne")&amp;" sent "&amp;TEXT($X703,"dd-mmm")&amp;". "&amp;IF($W703=6,"Final escalation completed.",IF($T703="OVERDUE","Next: "&amp;$Z703&amp;" was due "&amp;TEXT($Y703,"dd-mmm")&amp;" - "&amp;(NETWORKDAYS($Y703,TODAY(),Holidays)-1)&amp;" business day(s) late. Send now.",IF($T703="DUE TOMORROW","Next: "&amp;$Z703&amp;IF($Y703&lt;=TODAY()," is due TODAY ("," is due next business day (")&amp;TEXT($Y703,"dd-mmm")&amp;").","Next: "&amp;$Z703&amp;" due "&amp;TEXT($Y703,"dd-mmm")&amp;" ("&amp;(NETWORKDAYS(TODAY(),$Y703,Holidays)-1)&amp;" business day(s) left).")))))</f>
        <v/>
      </c>
      <c r="V703" s="17">
        <f>IF($W703="","",CHOOSE($W703,"Collection Email","1st Follow-up","2nd Follow-up","Local Office","CBE","Roxanne")&amp;IF($W703=6," - Final"," - Day "&amp;MAX(0,NETWORKDAYS($X703,TODAY(),Holidays)-1)&amp;" of "&amp;CHOOSE($W703,3,3,2,2,3))&amp;" | Total Day "&amp;MAX(0,NETWORKDAYS($L703,TODAY(),Holidays)-1))</f>
        <v/>
      </c>
      <c r="W703" s="17">
        <f>IF($L703="","",COUNT($L703:$Q703))</f>
        <v/>
      </c>
      <c r="X703" s="18">
        <f>IF($W703="","",INT(INDEX($L703:$Q703,$W703)))</f>
        <v/>
      </c>
      <c r="Y703" s="18">
        <f>IF(OR($W703="",$W703=6),"",WORKDAY($X703,CHOOSE($W703,3,3,2,2,3),Holidays))</f>
        <v/>
      </c>
      <c r="Z703" s="17">
        <f>IF(OR($W703="",$W703=6),"",CHOOSE($W703,"1st Email Follow-up","2nd Email Follow-up","Escalate Local Office","Escalate to CBE","Escalate to Roxanne"))</f>
        <v/>
      </c>
    </row>
    <row r="704" spans="18:26">
      <c r="R704" s="15"/>
      <c r="S704" s="16"/>
      <c r="T704" s="17">
        <f>IF(AND(COUNTA($A704:$K704)=0,$L704=""),"",IF($S704="Paid","PAID",IF($S704="Closed","CLOSED",IF($W704="","",IF($W704=6,"ESCALATED TO ROXANNE",IF(TODAY()&gt;$Y704,"OVERDUE",IF($Y704&lt;=WORKDAY(TODAY(),1,Holidays),"DUE TOMORROW",IF($W704=4,"ESCALATED TO LOCAL OFFICE",IF($W704=5,"ESCALATED TO CBE",IF($X704=TODAY(),"EMAIL SENT","MONITORING"))))))))))</f>
        <v/>
      </c>
      <c r="U704" s="17">
        <f>IF($T704="",IF(AND(COUNTA($A704:$K704)&gt;0,$L704=""),"Awaiting Collection Email time stamp.",""),IF(OR($T704="PAID",$T704="CLOSED"),IF($T704="PAID","Account paid. Action completed.","Account closed. No further action required."),CHOOSE($W704,"Collection Email","1st Email Follow-up","2nd Email Follow-up","Escalation to Local Office","Escalation to CBE","Escalation to Roxanne")&amp;" sent "&amp;TEXT($X704,"dd-mmm")&amp;". "&amp;IF($W704=6,"Final escalation completed.",IF($T704="OVERDUE","Next: "&amp;$Z704&amp;" was due "&amp;TEXT($Y704,"dd-mmm")&amp;" - "&amp;(NETWORKDAYS($Y704,TODAY(),Holidays)-1)&amp;" business day(s) late. Send now.",IF($T704="DUE TOMORROW","Next: "&amp;$Z704&amp;IF($Y704&lt;=TODAY()," is due TODAY ("," is due next business day (")&amp;TEXT($Y704,"dd-mmm")&amp;").","Next: "&amp;$Z704&amp;" due "&amp;TEXT($Y704,"dd-mmm")&amp;" ("&amp;(NETWORKDAYS(TODAY(),$Y704,Holidays)-1)&amp;" business day(s) left).")))))</f>
        <v/>
      </c>
      <c r="V704" s="17">
        <f>IF($W704="","",CHOOSE($W704,"Collection Email","1st Follow-up","2nd Follow-up","Local Office","CBE","Roxanne")&amp;IF($W704=6," - Final"," - Day "&amp;MAX(0,NETWORKDAYS($X704,TODAY(),Holidays)-1)&amp;" of "&amp;CHOOSE($W704,3,3,2,2,3))&amp;" | Total Day "&amp;MAX(0,NETWORKDAYS($L704,TODAY(),Holidays)-1))</f>
        <v/>
      </c>
      <c r="W704" s="17">
        <f>IF($L704="","",COUNT($L704:$Q704))</f>
        <v/>
      </c>
      <c r="X704" s="18">
        <f>IF($W704="","",INT(INDEX($L704:$Q704,$W704)))</f>
        <v/>
      </c>
      <c r="Y704" s="18">
        <f>IF(OR($W704="",$W704=6),"",WORKDAY($X704,CHOOSE($W704,3,3,2,2,3),Holidays))</f>
        <v/>
      </c>
      <c r="Z704" s="17">
        <f>IF(OR($W704="",$W704=6),"",CHOOSE($W704,"1st Email Follow-up","2nd Email Follow-up","Escalate Local Office","Escalate to CBE","Escalate to Roxanne"))</f>
        <v/>
      </c>
    </row>
    <row r="705" spans="18:26">
      <c r="R705" s="15"/>
      <c r="S705" s="16"/>
      <c r="T705" s="17">
        <f>IF(AND(COUNTA($A705:$K705)=0,$L705=""),"",IF($S705="Paid","PAID",IF($S705="Closed","CLOSED",IF($W705="","",IF($W705=6,"ESCALATED TO ROXANNE",IF(TODAY()&gt;$Y705,"OVERDUE",IF($Y705&lt;=WORKDAY(TODAY(),1,Holidays),"DUE TOMORROW",IF($W705=4,"ESCALATED TO LOCAL OFFICE",IF($W705=5,"ESCALATED TO CBE",IF($X705=TODAY(),"EMAIL SENT","MONITORING"))))))))))</f>
        <v/>
      </c>
      <c r="U705" s="17">
        <f>IF($T705="",IF(AND(COUNTA($A705:$K705)&gt;0,$L705=""),"Awaiting Collection Email time stamp.",""),IF(OR($T705="PAID",$T705="CLOSED"),IF($T705="PAID","Account paid. Action completed.","Account closed. No further action required."),CHOOSE($W705,"Collection Email","1st Email Follow-up","2nd Email Follow-up","Escalation to Local Office","Escalation to CBE","Escalation to Roxanne")&amp;" sent "&amp;TEXT($X705,"dd-mmm")&amp;". "&amp;IF($W705=6,"Final escalation completed.",IF($T705="OVERDUE","Next: "&amp;$Z705&amp;" was due "&amp;TEXT($Y705,"dd-mmm")&amp;" - "&amp;(NETWORKDAYS($Y705,TODAY(),Holidays)-1)&amp;" business day(s) late. Send now.",IF($T705="DUE TOMORROW","Next: "&amp;$Z705&amp;IF($Y705&lt;=TODAY()," is due TODAY ("," is due next business day (")&amp;TEXT($Y705,"dd-mmm")&amp;").","Next: "&amp;$Z705&amp;" due "&amp;TEXT($Y705,"dd-mmm")&amp;" ("&amp;(NETWORKDAYS(TODAY(),$Y705,Holidays)-1)&amp;" business day(s) left).")))))</f>
        <v/>
      </c>
      <c r="V705" s="17">
        <f>IF($W705="","",CHOOSE($W705,"Collection Email","1st Follow-up","2nd Follow-up","Local Office","CBE","Roxanne")&amp;IF($W705=6," - Final"," - Day "&amp;MAX(0,NETWORKDAYS($X705,TODAY(),Holidays)-1)&amp;" of "&amp;CHOOSE($W705,3,3,2,2,3))&amp;" | Total Day "&amp;MAX(0,NETWORKDAYS($L705,TODAY(),Holidays)-1))</f>
        <v/>
      </c>
      <c r="W705" s="17">
        <f>IF($L705="","",COUNT($L705:$Q705))</f>
        <v/>
      </c>
      <c r="X705" s="18">
        <f>IF($W705="","",INT(INDEX($L705:$Q705,$W705)))</f>
        <v/>
      </c>
      <c r="Y705" s="18">
        <f>IF(OR($W705="",$W705=6),"",WORKDAY($X705,CHOOSE($W705,3,3,2,2,3),Holidays))</f>
        <v/>
      </c>
      <c r="Z705" s="17">
        <f>IF(OR($W705="",$W705=6),"",CHOOSE($W705,"1st Email Follow-up","2nd Email Follow-up","Escalate Local Office","Escalate to CBE","Escalate to Roxanne"))</f>
        <v/>
      </c>
    </row>
    <row r="706" spans="18:26">
      <c r="R706" s="15"/>
      <c r="S706" s="16"/>
      <c r="T706" s="17">
        <f>IF(AND(COUNTA($A706:$K706)=0,$L706=""),"",IF($S706="Paid","PAID",IF($S706="Closed","CLOSED",IF($W706="","",IF($W706=6,"ESCALATED TO ROXANNE",IF(TODAY()&gt;$Y706,"OVERDUE",IF($Y706&lt;=WORKDAY(TODAY(),1,Holidays),"DUE TOMORROW",IF($W706=4,"ESCALATED TO LOCAL OFFICE",IF($W706=5,"ESCALATED TO CBE",IF($X706=TODAY(),"EMAIL SENT","MONITORING"))))))))))</f>
        <v/>
      </c>
      <c r="U706" s="17">
        <f>IF($T706="",IF(AND(COUNTA($A706:$K706)&gt;0,$L706=""),"Awaiting Collection Email time stamp.",""),IF(OR($T706="PAID",$T706="CLOSED"),IF($T706="PAID","Account paid. Action completed.","Account closed. No further action required."),CHOOSE($W706,"Collection Email","1st Email Follow-up","2nd Email Follow-up","Escalation to Local Office","Escalation to CBE","Escalation to Roxanne")&amp;" sent "&amp;TEXT($X706,"dd-mmm")&amp;". "&amp;IF($W706=6,"Final escalation completed.",IF($T706="OVERDUE","Next: "&amp;$Z706&amp;" was due "&amp;TEXT($Y706,"dd-mmm")&amp;" - "&amp;(NETWORKDAYS($Y706,TODAY(),Holidays)-1)&amp;" business day(s) late. Send now.",IF($T706="DUE TOMORROW","Next: "&amp;$Z706&amp;IF($Y706&lt;=TODAY()," is due TODAY ("," is due next business day (")&amp;TEXT($Y706,"dd-mmm")&amp;").","Next: "&amp;$Z706&amp;" due "&amp;TEXT($Y706,"dd-mmm")&amp;" ("&amp;(NETWORKDAYS(TODAY(),$Y706,Holidays)-1)&amp;" business day(s) left).")))))</f>
        <v/>
      </c>
      <c r="V706" s="17">
        <f>IF($W706="","",CHOOSE($W706,"Collection Email","1st Follow-up","2nd Follow-up","Local Office","CBE","Roxanne")&amp;IF($W706=6," - Final"," - Day "&amp;MAX(0,NETWORKDAYS($X706,TODAY(),Holidays)-1)&amp;" of "&amp;CHOOSE($W706,3,3,2,2,3))&amp;" | Total Day "&amp;MAX(0,NETWORKDAYS($L706,TODAY(),Holidays)-1))</f>
        <v/>
      </c>
      <c r="W706" s="17">
        <f>IF($L706="","",COUNT($L706:$Q706))</f>
        <v/>
      </c>
      <c r="X706" s="18">
        <f>IF($W706="","",INT(INDEX($L706:$Q706,$W706)))</f>
        <v/>
      </c>
      <c r="Y706" s="18">
        <f>IF(OR($W706="",$W706=6),"",WORKDAY($X706,CHOOSE($W706,3,3,2,2,3),Holidays))</f>
        <v/>
      </c>
      <c r="Z706" s="17">
        <f>IF(OR($W706="",$W706=6),"",CHOOSE($W706,"1st Email Follow-up","2nd Email Follow-up","Escalate Local Office","Escalate to CBE","Escalate to Roxanne"))</f>
        <v/>
      </c>
    </row>
    <row r="707" spans="18:26">
      <c r="R707" s="15"/>
      <c r="S707" s="16"/>
      <c r="T707" s="17">
        <f>IF(AND(COUNTA($A707:$K707)=0,$L707=""),"",IF($S707="Paid","PAID",IF($S707="Closed","CLOSED",IF($W707="","",IF($W707=6,"ESCALATED TO ROXANNE",IF(TODAY()&gt;$Y707,"OVERDUE",IF($Y707&lt;=WORKDAY(TODAY(),1,Holidays),"DUE TOMORROW",IF($W707=4,"ESCALATED TO LOCAL OFFICE",IF($W707=5,"ESCALATED TO CBE",IF($X707=TODAY(),"EMAIL SENT","MONITORING"))))))))))</f>
        <v/>
      </c>
      <c r="U707" s="17">
        <f>IF($T707="",IF(AND(COUNTA($A707:$K707)&gt;0,$L707=""),"Awaiting Collection Email time stamp.",""),IF(OR($T707="PAID",$T707="CLOSED"),IF($T707="PAID","Account paid. Action completed.","Account closed. No further action required."),CHOOSE($W707,"Collection Email","1st Email Follow-up","2nd Email Follow-up","Escalation to Local Office","Escalation to CBE","Escalation to Roxanne")&amp;" sent "&amp;TEXT($X707,"dd-mmm")&amp;". "&amp;IF($W707=6,"Final escalation completed.",IF($T707="OVERDUE","Next: "&amp;$Z707&amp;" was due "&amp;TEXT($Y707,"dd-mmm")&amp;" - "&amp;(NETWORKDAYS($Y707,TODAY(),Holidays)-1)&amp;" business day(s) late. Send now.",IF($T707="DUE TOMORROW","Next: "&amp;$Z707&amp;IF($Y707&lt;=TODAY()," is due TODAY ("," is due next business day (")&amp;TEXT($Y707,"dd-mmm")&amp;").","Next: "&amp;$Z707&amp;" due "&amp;TEXT($Y707,"dd-mmm")&amp;" ("&amp;(NETWORKDAYS(TODAY(),$Y707,Holidays)-1)&amp;" business day(s) left).")))))</f>
        <v/>
      </c>
      <c r="V707" s="17">
        <f>IF($W707="","",CHOOSE($W707,"Collection Email","1st Follow-up","2nd Follow-up","Local Office","CBE","Roxanne")&amp;IF($W707=6," - Final"," - Day "&amp;MAX(0,NETWORKDAYS($X707,TODAY(),Holidays)-1)&amp;" of "&amp;CHOOSE($W707,3,3,2,2,3))&amp;" | Total Day "&amp;MAX(0,NETWORKDAYS($L707,TODAY(),Holidays)-1))</f>
        <v/>
      </c>
      <c r="W707" s="17">
        <f>IF($L707="","",COUNT($L707:$Q707))</f>
        <v/>
      </c>
      <c r="X707" s="18">
        <f>IF($W707="","",INT(INDEX($L707:$Q707,$W707)))</f>
        <v/>
      </c>
      <c r="Y707" s="18">
        <f>IF(OR($W707="",$W707=6),"",WORKDAY($X707,CHOOSE($W707,3,3,2,2,3),Holidays))</f>
        <v/>
      </c>
      <c r="Z707" s="17">
        <f>IF(OR($W707="",$W707=6),"",CHOOSE($W707,"1st Email Follow-up","2nd Email Follow-up","Escalate Local Office","Escalate to CBE","Escalate to Roxanne"))</f>
        <v/>
      </c>
    </row>
    <row r="708" spans="18:26">
      <c r="R708" s="15"/>
      <c r="S708" s="16"/>
      <c r="T708" s="17">
        <f>IF(AND(COUNTA($A708:$K708)=0,$L708=""),"",IF($S708="Paid","PAID",IF($S708="Closed","CLOSED",IF($W708="","",IF($W708=6,"ESCALATED TO ROXANNE",IF(TODAY()&gt;$Y708,"OVERDUE",IF($Y708&lt;=WORKDAY(TODAY(),1,Holidays),"DUE TOMORROW",IF($W708=4,"ESCALATED TO LOCAL OFFICE",IF($W708=5,"ESCALATED TO CBE",IF($X708=TODAY(),"EMAIL SENT","MONITORING"))))))))))</f>
        <v/>
      </c>
      <c r="U708" s="17">
        <f>IF($T708="",IF(AND(COUNTA($A708:$K708)&gt;0,$L708=""),"Awaiting Collection Email time stamp.",""),IF(OR($T708="PAID",$T708="CLOSED"),IF($T708="PAID","Account paid. Action completed.","Account closed. No further action required."),CHOOSE($W708,"Collection Email","1st Email Follow-up","2nd Email Follow-up","Escalation to Local Office","Escalation to CBE","Escalation to Roxanne")&amp;" sent "&amp;TEXT($X708,"dd-mmm")&amp;". "&amp;IF($W708=6,"Final escalation completed.",IF($T708="OVERDUE","Next: "&amp;$Z708&amp;" was due "&amp;TEXT($Y708,"dd-mmm")&amp;" - "&amp;(NETWORKDAYS($Y708,TODAY(),Holidays)-1)&amp;" business day(s) late. Send now.",IF($T708="DUE TOMORROW","Next: "&amp;$Z708&amp;IF($Y708&lt;=TODAY()," is due TODAY ("," is due next business day (")&amp;TEXT($Y708,"dd-mmm")&amp;").","Next: "&amp;$Z708&amp;" due "&amp;TEXT($Y708,"dd-mmm")&amp;" ("&amp;(NETWORKDAYS(TODAY(),$Y708,Holidays)-1)&amp;" business day(s) left).")))))</f>
        <v/>
      </c>
      <c r="V708" s="17">
        <f>IF($W708="","",CHOOSE($W708,"Collection Email","1st Follow-up","2nd Follow-up","Local Office","CBE","Roxanne")&amp;IF($W708=6," - Final"," - Day "&amp;MAX(0,NETWORKDAYS($X708,TODAY(),Holidays)-1)&amp;" of "&amp;CHOOSE($W708,3,3,2,2,3))&amp;" | Total Day "&amp;MAX(0,NETWORKDAYS($L708,TODAY(),Holidays)-1))</f>
        <v/>
      </c>
      <c r="W708" s="17">
        <f>IF($L708="","",COUNT($L708:$Q708))</f>
        <v/>
      </c>
      <c r="X708" s="18">
        <f>IF($W708="","",INT(INDEX($L708:$Q708,$W708)))</f>
        <v/>
      </c>
      <c r="Y708" s="18">
        <f>IF(OR($W708="",$W708=6),"",WORKDAY($X708,CHOOSE($W708,3,3,2,2,3),Holidays))</f>
        <v/>
      </c>
      <c r="Z708" s="17">
        <f>IF(OR($W708="",$W708=6),"",CHOOSE($W708,"1st Email Follow-up","2nd Email Follow-up","Escalate Local Office","Escalate to CBE","Escalate to Roxanne"))</f>
        <v/>
      </c>
    </row>
    <row r="709" spans="18:26">
      <c r="R709" s="15"/>
      <c r="S709" s="16"/>
      <c r="T709" s="17">
        <f>IF(AND(COUNTA($A709:$K709)=0,$L709=""),"",IF($S709="Paid","PAID",IF($S709="Closed","CLOSED",IF($W709="","",IF($W709=6,"ESCALATED TO ROXANNE",IF(TODAY()&gt;$Y709,"OVERDUE",IF($Y709&lt;=WORKDAY(TODAY(),1,Holidays),"DUE TOMORROW",IF($W709=4,"ESCALATED TO LOCAL OFFICE",IF($W709=5,"ESCALATED TO CBE",IF($X709=TODAY(),"EMAIL SENT","MONITORING"))))))))))</f>
        <v/>
      </c>
      <c r="U709" s="17">
        <f>IF($T709="",IF(AND(COUNTA($A709:$K709)&gt;0,$L709=""),"Awaiting Collection Email time stamp.",""),IF(OR($T709="PAID",$T709="CLOSED"),IF($T709="PAID","Account paid. Action completed.","Account closed. No further action required."),CHOOSE($W709,"Collection Email","1st Email Follow-up","2nd Email Follow-up","Escalation to Local Office","Escalation to CBE","Escalation to Roxanne")&amp;" sent "&amp;TEXT($X709,"dd-mmm")&amp;". "&amp;IF($W709=6,"Final escalation completed.",IF($T709="OVERDUE","Next: "&amp;$Z709&amp;" was due "&amp;TEXT($Y709,"dd-mmm")&amp;" - "&amp;(NETWORKDAYS($Y709,TODAY(),Holidays)-1)&amp;" business day(s) late. Send now.",IF($T709="DUE TOMORROW","Next: "&amp;$Z709&amp;IF($Y709&lt;=TODAY()," is due TODAY ("," is due next business day (")&amp;TEXT($Y709,"dd-mmm")&amp;").","Next: "&amp;$Z709&amp;" due "&amp;TEXT($Y709,"dd-mmm")&amp;" ("&amp;(NETWORKDAYS(TODAY(),$Y709,Holidays)-1)&amp;" business day(s) left).")))))</f>
        <v/>
      </c>
      <c r="V709" s="17">
        <f>IF($W709="","",CHOOSE($W709,"Collection Email","1st Follow-up","2nd Follow-up","Local Office","CBE","Roxanne")&amp;IF($W709=6," - Final"," - Day "&amp;MAX(0,NETWORKDAYS($X709,TODAY(),Holidays)-1)&amp;" of "&amp;CHOOSE($W709,3,3,2,2,3))&amp;" | Total Day "&amp;MAX(0,NETWORKDAYS($L709,TODAY(),Holidays)-1))</f>
        <v/>
      </c>
      <c r="W709" s="17">
        <f>IF($L709="","",COUNT($L709:$Q709))</f>
        <v/>
      </c>
      <c r="X709" s="18">
        <f>IF($W709="","",INT(INDEX($L709:$Q709,$W709)))</f>
        <v/>
      </c>
      <c r="Y709" s="18">
        <f>IF(OR($W709="",$W709=6),"",WORKDAY($X709,CHOOSE($W709,3,3,2,2,3),Holidays))</f>
        <v/>
      </c>
      <c r="Z709" s="17">
        <f>IF(OR($W709="",$W709=6),"",CHOOSE($W709,"1st Email Follow-up","2nd Email Follow-up","Escalate Local Office","Escalate to CBE","Escalate to Roxanne"))</f>
        <v/>
      </c>
    </row>
    <row r="710" spans="18:26">
      <c r="R710" s="15"/>
      <c r="S710" s="16"/>
      <c r="T710" s="17">
        <f>IF(AND(COUNTA($A710:$K710)=0,$L710=""),"",IF($S710="Paid","PAID",IF($S710="Closed","CLOSED",IF($W710="","",IF($W710=6,"ESCALATED TO ROXANNE",IF(TODAY()&gt;$Y710,"OVERDUE",IF($Y710&lt;=WORKDAY(TODAY(),1,Holidays),"DUE TOMORROW",IF($W710=4,"ESCALATED TO LOCAL OFFICE",IF($W710=5,"ESCALATED TO CBE",IF($X710=TODAY(),"EMAIL SENT","MONITORING"))))))))))</f>
        <v/>
      </c>
      <c r="U710" s="17">
        <f>IF($T710="",IF(AND(COUNTA($A710:$K710)&gt;0,$L710=""),"Awaiting Collection Email time stamp.",""),IF(OR($T710="PAID",$T710="CLOSED"),IF($T710="PAID","Account paid. Action completed.","Account closed. No further action required."),CHOOSE($W710,"Collection Email","1st Email Follow-up","2nd Email Follow-up","Escalation to Local Office","Escalation to CBE","Escalation to Roxanne")&amp;" sent "&amp;TEXT($X710,"dd-mmm")&amp;". "&amp;IF($W710=6,"Final escalation completed.",IF($T710="OVERDUE","Next: "&amp;$Z710&amp;" was due "&amp;TEXT($Y710,"dd-mmm")&amp;" - "&amp;(NETWORKDAYS($Y710,TODAY(),Holidays)-1)&amp;" business day(s) late. Send now.",IF($T710="DUE TOMORROW","Next: "&amp;$Z710&amp;IF($Y710&lt;=TODAY()," is due TODAY ("," is due next business day (")&amp;TEXT($Y710,"dd-mmm")&amp;").","Next: "&amp;$Z710&amp;" due "&amp;TEXT($Y710,"dd-mmm")&amp;" ("&amp;(NETWORKDAYS(TODAY(),$Y710,Holidays)-1)&amp;" business day(s) left).")))))</f>
        <v/>
      </c>
      <c r="V710" s="17">
        <f>IF($W710="","",CHOOSE($W710,"Collection Email","1st Follow-up","2nd Follow-up","Local Office","CBE","Roxanne")&amp;IF($W710=6," - Final"," - Day "&amp;MAX(0,NETWORKDAYS($X710,TODAY(),Holidays)-1)&amp;" of "&amp;CHOOSE($W710,3,3,2,2,3))&amp;" | Total Day "&amp;MAX(0,NETWORKDAYS($L710,TODAY(),Holidays)-1))</f>
        <v/>
      </c>
      <c r="W710" s="17">
        <f>IF($L710="","",COUNT($L710:$Q710))</f>
        <v/>
      </c>
      <c r="X710" s="18">
        <f>IF($W710="","",INT(INDEX($L710:$Q710,$W710)))</f>
        <v/>
      </c>
      <c r="Y710" s="18">
        <f>IF(OR($W710="",$W710=6),"",WORKDAY($X710,CHOOSE($W710,3,3,2,2,3),Holidays))</f>
        <v/>
      </c>
      <c r="Z710" s="17">
        <f>IF(OR($W710="",$W710=6),"",CHOOSE($W710,"1st Email Follow-up","2nd Email Follow-up","Escalate Local Office","Escalate to CBE","Escalate to Roxanne"))</f>
        <v/>
      </c>
    </row>
    <row r="711" spans="18:26">
      <c r="R711" s="15"/>
      <c r="S711" s="16"/>
      <c r="T711" s="17">
        <f>IF(AND(COUNTA($A711:$K711)=0,$L711=""),"",IF($S711="Paid","PAID",IF($S711="Closed","CLOSED",IF($W711="","",IF($W711=6,"ESCALATED TO ROXANNE",IF(TODAY()&gt;$Y711,"OVERDUE",IF($Y711&lt;=WORKDAY(TODAY(),1,Holidays),"DUE TOMORROW",IF($W711=4,"ESCALATED TO LOCAL OFFICE",IF($W711=5,"ESCALATED TO CBE",IF($X711=TODAY(),"EMAIL SENT","MONITORING"))))))))))</f>
        <v/>
      </c>
      <c r="U711" s="17">
        <f>IF($T711="",IF(AND(COUNTA($A711:$K711)&gt;0,$L711=""),"Awaiting Collection Email time stamp.",""),IF(OR($T711="PAID",$T711="CLOSED"),IF($T711="PAID","Account paid. Action completed.","Account closed. No further action required."),CHOOSE($W711,"Collection Email","1st Email Follow-up","2nd Email Follow-up","Escalation to Local Office","Escalation to CBE","Escalation to Roxanne")&amp;" sent "&amp;TEXT($X711,"dd-mmm")&amp;". "&amp;IF($W711=6,"Final escalation completed.",IF($T711="OVERDUE","Next: "&amp;$Z711&amp;" was due "&amp;TEXT($Y711,"dd-mmm")&amp;" - "&amp;(NETWORKDAYS($Y711,TODAY(),Holidays)-1)&amp;" business day(s) late. Send now.",IF($T711="DUE TOMORROW","Next: "&amp;$Z711&amp;IF($Y711&lt;=TODAY()," is due TODAY ("," is due next business day (")&amp;TEXT($Y711,"dd-mmm")&amp;").","Next: "&amp;$Z711&amp;" due "&amp;TEXT($Y711,"dd-mmm")&amp;" ("&amp;(NETWORKDAYS(TODAY(),$Y711,Holidays)-1)&amp;" business day(s) left).")))))</f>
        <v/>
      </c>
      <c r="V711" s="17">
        <f>IF($W711="","",CHOOSE($W711,"Collection Email","1st Follow-up","2nd Follow-up","Local Office","CBE","Roxanne")&amp;IF($W711=6," - Final"," - Day "&amp;MAX(0,NETWORKDAYS($X711,TODAY(),Holidays)-1)&amp;" of "&amp;CHOOSE($W711,3,3,2,2,3))&amp;" | Total Day "&amp;MAX(0,NETWORKDAYS($L711,TODAY(),Holidays)-1))</f>
        <v/>
      </c>
      <c r="W711" s="17">
        <f>IF($L711="","",COUNT($L711:$Q711))</f>
        <v/>
      </c>
      <c r="X711" s="18">
        <f>IF($W711="","",INT(INDEX($L711:$Q711,$W711)))</f>
        <v/>
      </c>
      <c r="Y711" s="18">
        <f>IF(OR($W711="",$W711=6),"",WORKDAY($X711,CHOOSE($W711,3,3,2,2,3),Holidays))</f>
        <v/>
      </c>
      <c r="Z711" s="17">
        <f>IF(OR($W711="",$W711=6),"",CHOOSE($W711,"1st Email Follow-up","2nd Email Follow-up","Escalate Local Office","Escalate to CBE","Escalate to Roxanne"))</f>
        <v/>
      </c>
    </row>
    <row r="712" spans="18:26">
      <c r="R712" s="15"/>
      <c r="S712" s="16"/>
      <c r="T712" s="17">
        <f>IF(AND(COUNTA($A712:$K712)=0,$L712=""),"",IF($S712="Paid","PAID",IF($S712="Closed","CLOSED",IF($W712="","",IF($W712=6,"ESCALATED TO ROXANNE",IF(TODAY()&gt;$Y712,"OVERDUE",IF($Y712&lt;=WORKDAY(TODAY(),1,Holidays),"DUE TOMORROW",IF($W712=4,"ESCALATED TO LOCAL OFFICE",IF($W712=5,"ESCALATED TO CBE",IF($X712=TODAY(),"EMAIL SENT","MONITORING"))))))))))</f>
        <v/>
      </c>
      <c r="U712" s="17">
        <f>IF($T712="",IF(AND(COUNTA($A712:$K712)&gt;0,$L712=""),"Awaiting Collection Email time stamp.",""),IF(OR($T712="PAID",$T712="CLOSED"),IF($T712="PAID","Account paid. Action completed.","Account closed. No further action required."),CHOOSE($W712,"Collection Email","1st Email Follow-up","2nd Email Follow-up","Escalation to Local Office","Escalation to CBE","Escalation to Roxanne")&amp;" sent "&amp;TEXT($X712,"dd-mmm")&amp;". "&amp;IF($W712=6,"Final escalation completed.",IF($T712="OVERDUE","Next: "&amp;$Z712&amp;" was due "&amp;TEXT($Y712,"dd-mmm")&amp;" - "&amp;(NETWORKDAYS($Y712,TODAY(),Holidays)-1)&amp;" business day(s) late. Send now.",IF($T712="DUE TOMORROW","Next: "&amp;$Z712&amp;IF($Y712&lt;=TODAY()," is due TODAY ("," is due next business day (")&amp;TEXT($Y712,"dd-mmm")&amp;").","Next: "&amp;$Z712&amp;" due "&amp;TEXT($Y712,"dd-mmm")&amp;" ("&amp;(NETWORKDAYS(TODAY(),$Y712,Holidays)-1)&amp;" business day(s) left).")))))</f>
        <v/>
      </c>
      <c r="V712" s="17">
        <f>IF($W712="","",CHOOSE($W712,"Collection Email","1st Follow-up","2nd Follow-up","Local Office","CBE","Roxanne")&amp;IF($W712=6," - Final"," - Day "&amp;MAX(0,NETWORKDAYS($X712,TODAY(),Holidays)-1)&amp;" of "&amp;CHOOSE($W712,3,3,2,2,3))&amp;" | Total Day "&amp;MAX(0,NETWORKDAYS($L712,TODAY(),Holidays)-1))</f>
        <v/>
      </c>
      <c r="W712" s="17">
        <f>IF($L712="","",COUNT($L712:$Q712))</f>
        <v/>
      </c>
      <c r="X712" s="18">
        <f>IF($W712="","",INT(INDEX($L712:$Q712,$W712)))</f>
        <v/>
      </c>
      <c r="Y712" s="18">
        <f>IF(OR($W712="",$W712=6),"",WORKDAY($X712,CHOOSE($W712,3,3,2,2,3),Holidays))</f>
        <v/>
      </c>
      <c r="Z712" s="17">
        <f>IF(OR($W712="",$W712=6),"",CHOOSE($W712,"1st Email Follow-up","2nd Email Follow-up","Escalate Local Office","Escalate to CBE","Escalate to Roxanne"))</f>
        <v/>
      </c>
    </row>
    <row r="713" spans="18:26">
      <c r="R713" s="15"/>
      <c r="S713" s="16"/>
      <c r="T713" s="17">
        <f>IF(AND(COUNTA($A713:$K713)=0,$L713=""),"",IF($S713="Paid","PAID",IF($S713="Closed","CLOSED",IF($W713="","",IF($W713=6,"ESCALATED TO ROXANNE",IF(TODAY()&gt;$Y713,"OVERDUE",IF($Y713&lt;=WORKDAY(TODAY(),1,Holidays),"DUE TOMORROW",IF($W713=4,"ESCALATED TO LOCAL OFFICE",IF($W713=5,"ESCALATED TO CBE",IF($X713=TODAY(),"EMAIL SENT","MONITORING"))))))))))</f>
        <v/>
      </c>
      <c r="U713" s="17">
        <f>IF($T713="",IF(AND(COUNTA($A713:$K713)&gt;0,$L713=""),"Awaiting Collection Email time stamp.",""),IF(OR($T713="PAID",$T713="CLOSED"),IF($T713="PAID","Account paid. Action completed.","Account closed. No further action required."),CHOOSE($W713,"Collection Email","1st Email Follow-up","2nd Email Follow-up","Escalation to Local Office","Escalation to CBE","Escalation to Roxanne")&amp;" sent "&amp;TEXT($X713,"dd-mmm")&amp;". "&amp;IF($W713=6,"Final escalation completed.",IF($T713="OVERDUE","Next: "&amp;$Z713&amp;" was due "&amp;TEXT($Y713,"dd-mmm")&amp;" - "&amp;(NETWORKDAYS($Y713,TODAY(),Holidays)-1)&amp;" business day(s) late. Send now.",IF($T713="DUE TOMORROW","Next: "&amp;$Z713&amp;IF($Y713&lt;=TODAY()," is due TODAY ("," is due next business day (")&amp;TEXT($Y713,"dd-mmm")&amp;").","Next: "&amp;$Z713&amp;" due "&amp;TEXT($Y713,"dd-mmm")&amp;" ("&amp;(NETWORKDAYS(TODAY(),$Y713,Holidays)-1)&amp;" business day(s) left).")))))</f>
        <v/>
      </c>
      <c r="V713" s="17">
        <f>IF($W713="","",CHOOSE($W713,"Collection Email","1st Follow-up","2nd Follow-up","Local Office","CBE","Roxanne")&amp;IF($W713=6," - Final"," - Day "&amp;MAX(0,NETWORKDAYS($X713,TODAY(),Holidays)-1)&amp;" of "&amp;CHOOSE($W713,3,3,2,2,3))&amp;" | Total Day "&amp;MAX(0,NETWORKDAYS($L713,TODAY(),Holidays)-1))</f>
        <v/>
      </c>
      <c r="W713" s="17">
        <f>IF($L713="","",COUNT($L713:$Q713))</f>
        <v/>
      </c>
      <c r="X713" s="18">
        <f>IF($W713="","",INT(INDEX($L713:$Q713,$W713)))</f>
        <v/>
      </c>
      <c r="Y713" s="18">
        <f>IF(OR($W713="",$W713=6),"",WORKDAY($X713,CHOOSE($W713,3,3,2,2,3),Holidays))</f>
        <v/>
      </c>
      <c r="Z713" s="17">
        <f>IF(OR($W713="",$W713=6),"",CHOOSE($W713,"1st Email Follow-up","2nd Email Follow-up","Escalate Local Office","Escalate to CBE","Escalate to Roxanne"))</f>
        <v/>
      </c>
    </row>
    <row r="714" spans="18:26">
      <c r="R714" s="15"/>
      <c r="S714" s="16"/>
      <c r="T714" s="17">
        <f>IF(AND(COUNTA($A714:$K714)=0,$L714=""),"",IF($S714="Paid","PAID",IF($S714="Closed","CLOSED",IF($W714="","",IF($W714=6,"ESCALATED TO ROXANNE",IF(TODAY()&gt;$Y714,"OVERDUE",IF($Y714&lt;=WORKDAY(TODAY(),1,Holidays),"DUE TOMORROW",IF($W714=4,"ESCALATED TO LOCAL OFFICE",IF($W714=5,"ESCALATED TO CBE",IF($X714=TODAY(),"EMAIL SENT","MONITORING"))))))))))</f>
        <v/>
      </c>
      <c r="U714" s="17">
        <f>IF($T714="",IF(AND(COUNTA($A714:$K714)&gt;0,$L714=""),"Awaiting Collection Email time stamp.",""),IF(OR($T714="PAID",$T714="CLOSED"),IF($T714="PAID","Account paid. Action completed.","Account closed. No further action required."),CHOOSE($W714,"Collection Email","1st Email Follow-up","2nd Email Follow-up","Escalation to Local Office","Escalation to CBE","Escalation to Roxanne")&amp;" sent "&amp;TEXT($X714,"dd-mmm")&amp;". "&amp;IF($W714=6,"Final escalation completed.",IF($T714="OVERDUE","Next: "&amp;$Z714&amp;" was due "&amp;TEXT($Y714,"dd-mmm")&amp;" - "&amp;(NETWORKDAYS($Y714,TODAY(),Holidays)-1)&amp;" business day(s) late. Send now.",IF($T714="DUE TOMORROW","Next: "&amp;$Z714&amp;IF($Y714&lt;=TODAY()," is due TODAY ("," is due next business day (")&amp;TEXT($Y714,"dd-mmm")&amp;").","Next: "&amp;$Z714&amp;" due "&amp;TEXT($Y714,"dd-mmm")&amp;" ("&amp;(NETWORKDAYS(TODAY(),$Y714,Holidays)-1)&amp;" business day(s) left).")))))</f>
        <v/>
      </c>
      <c r="V714" s="17">
        <f>IF($W714="","",CHOOSE($W714,"Collection Email","1st Follow-up","2nd Follow-up","Local Office","CBE","Roxanne")&amp;IF($W714=6," - Final"," - Day "&amp;MAX(0,NETWORKDAYS($X714,TODAY(),Holidays)-1)&amp;" of "&amp;CHOOSE($W714,3,3,2,2,3))&amp;" | Total Day "&amp;MAX(0,NETWORKDAYS($L714,TODAY(),Holidays)-1))</f>
        <v/>
      </c>
      <c r="W714" s="17">
        <f>IF($L714="","",COUNT($L714:$Q714))</f>
        <v/>
      </c>
      <c r="X714" s="18">
        <f>IF($W714="","",INT(INDEX($L714:$Q714,$W714)))</f>
        <v/>
      </c>
      <c r="Y714" s="18">
        <f>IF(OR($W714="",$W714=6),"",WORKDAY($X714,CHOOSE($W714,3,3,2,2,3),Holidays))</f>
        <v/>
      </c>
      <c r="Z714" s="17">
        <f>IF(OR($W714="",$W714=6),"",CHOOSE($W714,"1st Email Follow-up","2nd Email Follow-up","Escalate Local Office","Escalate to CBE","Escalate to Roxanne"))</f>
        <v/>
      </c>
    </row>
    <row r="715" spans="18:26">
      <c r="R715" s="15"/>
      <c r="S715" s="16"/>
      <c r="T715" s="17">
        <f>IF(AND(COUNTA($A715:$K715)=0,$L715=""),"",IF($S715="Paid","PAID",IF($S715="Closed","CLOSED",IF($W715="","",IF($W715=6,"ESCALATED TO ROXANNE",IF(TODAY()&gt;$Y715,"OVERDUE",IF($Y715&lt;=WORKDAY(TODAY(),1,Holidays),"DUE TOMORROW",IF($W715=4,"ESCALATED TO LOCAL OFFICE",IF($W715=5,"ESCALATED TO CBE",IF($X715=TODAY(),"EMAIL SENT","MONITORING"))))))))))</f>
        <v/>
      </c>
      <c r="U715" s="17">
        <f>IF($T715="",IF(AND(COUNTA($A715:$K715)&gt;0,$L715=""),"Awaiting Collection Email time stamp.",""),IF(OR($T715="PAID",$T715="CLOSED"),IF($T715="PAID","Account paid. Action completed.","Account closed. No further action required."),CHOOSE($W715,"Collection Email","1st Email Follow-up","2nd Email Follow-up","Escalation to Local Office","Escalation to CBE","Escalation to Roxanne")&amp;" sent "&amp;TEXT($X715,"dd-mmm")&amp;". "&amp;IF($W715=6,"Final escalation completed.",IF($T715="OVERDUE","Next: "&amp;$Z715&amp;" was due "&amp;TEXT($Y715,"dd-mmm")&amp;" - "&amp;(NETWORKDAYS($Y715,TODAY(),Holidays)-1)&amp;" business day(s) late. Send now.",IF($T715="DUE TOMORROW","Next: "&amp;$Z715&amp;IF($Y715&lt;=TODAY()," is due TODAY ("," is due next business day (")&amp;TEXT($Y715,"dd-mmm")&amp;").","Next: "&amp;$Z715&amp;" due "&amp;TEXT($Y715,"dd-mmm")&amp;" ("&amp;(NETWORKDAYS(TODAY(),$Y715,Holidays)-1)&amp;" business day(s) left).")))))</f>
        <v/>
      </c>
      <c r="V715" s="17">
        <f>IF($W715="","",CHOOSE($W715,"Collection Email","1st Follow-up","2nd Follow-up","Local Office","CBE","Roxanne")&amp;IF($W715=6," - Final"," - Day "&amp;MAX(0,NETWORKDAYS($X715,TODAY(),Holidays)-1)&amp;" of "&amp;CHOOSE($W715,3,3,2,2,3))&amp;" | Total Day "&amp;MAX(0,NETWORKDAYS($L715,TODAY(),Holidays)-1))</f>
        <v/>
      </c>
      <c r="W715" s="17">
        <f>IF($L715="","",COUNT($L715:$Q715))</f>
        <v/>
      </c>
      <c r="X715" s="18">
        <f>IF($W715="","",INT(INDEX($L715:$Q715,$W715)))</f>
        <v/>
      </c>
      <c r="Y715" s="18">
        <f>IF(OR($W715="",$W715=6),"",WORKDAY($X715,CHOOSE($W715,3,3,2,2,3),Holidays))</f>
        <v/>
      </c>
      <c r="Z715" s="17">
        <f>IF(OR($W715="",$W715=6),"",CHOOSE($W715,"1st Email Follow-up","2nd Email Follow-up","Escalate Local Office","Escalate to CBE","Escalate to Roxanne"))</f>
        <v/>
      </c>
    </row>
    <row r="716" spans="18:26">
      <c r="R716" s="15"/>
      <c r="S716" s="16"/>
      <c r="T716" s="17">
        <f>IF(AND(COUNTA($A716:$K716)=0,$L716=""),"",IF($S716="Paid","PAID",IF($S716="Closed","CLOSED",IF($W716="","",IF($W716=6,"ESCALATED TO ROXANNE",IF(TODAY()&gt;$Y716,"OVERDUE",IF($Y716&lt;=WORKDAY(TODAY(),1,Holidays),"DUE TOMORROW",IF($W716=4,"ESCALATED TO LOCAL OFFICE",IF($W716=5,"ESCALATED TO CBE",IF($X716=TODAY(),"EMAIL SENT","MONITORING"))))))))))</f>
        <v/>
      </c>
      <c r="U716" s="17">
        <f>IF($T716="",IF(AND(COUNTA($A716:$K716)&gt;0,$L716=""),"Awaiting Collection Email time stamp.",""),IF(OR($T716="PAID",$T716="CLOSED"),IF($T716="PAID","Account paid. Action completed.","Account closed. No further action required."),CHOOSE($W716,"Collection Email","1st Email Follow-up","2nd Email Follow-up","Escalation to Local Office","Escalation to CBE","Escalation to Roxanne")&amp;" sent "&amp;TEXT($X716,"dd-mmm")&amp;". "&amp;IF($W716=6,"Final escalation completed.",IF($T716="OVERDUE","Next: "&amp;$Z716&amp;" was due "&amp;TEXT($Y716,"dd-mmm")&amp;" - "&amp;(NETWORKDAYS($Y716,TODAY(),Holidays)-1)&amp;" business day(s) late. Send now.",IF($T716="DUE TOMORROW","Next: "&amp;$Z716&amp;IF($Y716&lt;=TODAY()," is due TODAY ("," is due next business day (")&amp;TEXT($Y716,"dd-mmm")&amp;").","Next: "&amp;$Z716&amp;" due "&amp;TEXT($Y716,"dd-mmm")&amp;" ("&amp;(NETWORKDAYS(TODAY(),$Y716,Holidays)-1)&amp;" business day(s) left).")))))</f>
        <v/>
      </c>
      <c r="V716" s="17">
        <f>IF($W716="","",CHOOSE($W716,"Collection Email","1st Follow-up","2nd Follow-up","Local Office","CBE","Roxanne")&amp;IF($W716=6," - Final"," - Day "&amp;MAX(0,NETWORKDAYS($X716,TODAY(),Holidays)-1)&amp;" of "&amp;CHOOSE($W716,3,3,2,2,3))&amp;" | Total Day "&amp;MAX(0,NETWORKDAYS($L716,TODAY(),Holidays)-1))</f>
        <v/>
      </c>
      <c r="W716" s="17">
        <f>IF($L716="","",COUNT($L716:$Q716))</f>
        <v/>
      </c>
      <c r="X716" s="18">
        <f>IF($W716="","",INT(INDEX($L716:$Q716,$W716)))</f>
        <v/>
      </c>
      <c r="Y716" s="18">
        <f>IF(OR($W716="",$W716=6),"",WORKDAY($X716,CHOOSE($W716,3,3,2,2,3),Holidays))</f>
        <v/>
      </c>
      <c r="Z716" s="17">
        <f>IF(OR($W716="",$W716=6),"",CHOOSE($W716,"1st Email Follow-up","2nd Email Follow-up","Escalate Local Office","Escalate to CBE","Escalate to Roxanne"))</f>
        <v/>
      </c>
    </row>
    <row r="717" spans="18:26">
      <c r="R717" s="15"/>
      <c r="S717" s="16"/>
      <c r="T717" s="17">
        <f>IF(AND(COUNTA($A717:$K717)=0,$L717=""),"",IF($S717="Paid","PAID",IF($S717="Closed","CLOSED",IF($W717="","",IF($W717=6,"ESCALATED TO ROXANNE",IF(TODAY()&gt;$Y717,"OVERDUE",IF($Y717&lt;=WORKDAY(TODAY(),1,Holidays),"DUE TOMORROW",IF($W717=4,"ESCALATED TO LOCAL OFFICE",IF($W717=5,"ESCALATED TO CBE",IF($X717=TODAY(),"EMAIL SENT","MONITORING"))))))))))</f>
        <v/>
      </c>
      <c r="U717" s="17">
        <f>IF($T717="",IF(AND(COUNTA($A717:$K717)&gt;0,$L717=""),"Awaiting Collection Email time stamp.",""),IF(OR($T717="PAID",$T717="CLOSED"),IF($T717="PAID","Account paid. Action completed.","Account closed. No further action required."),CHOOSE($W717,"Collection Email","1st Email Follow-up","2nd Email Follow-up","Escalation to Local Office","Escalation to CBE","Escalation to Roxanne")&amp;" sent "&amp;TEXT($X717,"dd-mmm")&amp;". "&amp;IF($W717=6,"Final escalation completed.",IF($T717="OVERDUE","Next: "&amp;$Z717&amp;" was due "&amp;TEXT($Y717,"dd-mmm")&amp;" - "&amp;(NETWORKDAYS($Y717,TODAY(),Holidays)-1)&amp;" business day(s) late. Send now.",IF($T717="DUE TOMORROW","Next: "&amp;$Z717&amp;IF($Y717&lt;=TODAY()," is due TODAY ("," is due next business day (")&amp;TEXT($Y717,"dd-mmm")&amp;").","Next: "&amp;$Z717&amp;" due "&amp;TEXT($Y717,"dd-mmm")&amp;" ("&amp;(NETWORKDAYS(TODAY(),$Y717,Holidays)-1)&amp;" business day(s) left).")))))</f>
        <v/>
      </c>
      <c r="V717" s="17">
        <f>IF($W717="","",CHOOSE($W717,"Collection Email","1st Follow-up","2nd Follow-up","Local Office","CBE","Roxanne")&amp;IF($W717=6," - Final"," - Day "&amp;MAX(0,NETWORKDAYS($X717,TODAY(),Holidays)-1)&amp;" of "&amp;CHOOSE($W717,3,3,2,2,3))&amp;" | Total Day "&amp;MAX(0,NETWORKDAYS($L717,TODAY(),Holidays)-1))</f>
        <v/>
      </c>
      <c r="W717" s="17">
        <f>IF($L717="","",COUNT($L717:$Q717))</f>
        <v/>
      </c>
      <c r="X717" s="18">
        <f>IF($W717="","",INT(INDEX($L717:$Q717,$W717)))</f>
        <v/>
      </c>
      <c r="Y717" s="18">
        <f>IF(OR($W717="",$W717=6),"",WORKDAY($X717,CHOOSE($W717,3,3,2,2,3),Holidays))</f>
        <v/>
      </c>
      <c r="Z717" s="17">
        <f>IF(OR($W717="",$W717=6),"",CHOOSE($W717,"1st Email Follow-up","2nd Email Follow-up","Escalate Local Office","Escalate to CBE","Escalate to Roxanne"))</f>
        <v/>
      </c>
    </row>
    <row r="718" spans="18:26">
      <c r="R718" s="15"/>
      <c r="S718" s="16"/>
      <c r="T718" s="17">
        <f>IF(AND(COUNTA($A718:$K718)=0,$L718=""),"",IF($S718="Paid","PAID",IF($S718="Closed","CLOSED",IF($W718="","",IF($W718=6,"ESCALATED TO ROXANNE",IF(TODAY()&gt;$Y718,"OVERDUE",IF($Y718&lt;=WORKDAY(TODAY(),1,Holidays),"DUE TOMORROW",IF($W718=4,"ESCALATED TO LOCAL OFFICE",IF($W718=5,"ESCALATED TO CBE",IF($X718=TODAY(),"EMAIL SENT","MONITORING"))))))))))</f>
        <v/>
      </c>
      <c r="U718" s="17">
        <f>IF($T718="",IF(AND(COUNTA($A718:$K718)&gt;0,$L718=""),"Awaiting Collection Email time stamp.",""),IF(OR($T718="PAID",$T718="CLOSED"),IF($T718="PAID","Account paid. Action completed.","Account closed. No further action required."),CHOOSE($W718,"Collection Email","1st Email Follow-up","2nd Email Follow-up","Escalation to Local Office","Escalation to CBE","Escalation to Roxanne")&amp;" sent "&amp;TEXT($X718,"dd-mmm")&amp;". "&amp;IF($W718=6,"Final escalation completed.",IF($T718="OVERDUE","Next: "&amp;$Z718&amp;" was due "&amp;TEXT($Y718,"dd-mmm")&amp;" - "&amp;(NETWORKDAYS($Y718,TODAY(),Holidays)-1)&amp;" business day(s) late. Send now.",IF($T718="DUE TOMORROW","Next: "&amp;$Z718&amp;IF($Y718&lt;=TODAY()," is due TODAY ("," is due next business day (")&amp;TEXT($Y718,"dd-mmm")&amp;").","Next: "&amp;$Z718&amp;" due "&amp;TEXT($Y718,"dd-mmm")&amp;" ("&amp;(NETWORKDAYS(TODAY(),$Y718,Holidays)-1)&amp;" business day(s) left).")))))</f>
        <v/>
      </c>
      <c r="V718" s="17">
        <f>IF($W718="","",CHOOSE($W718,"Collection Email","1st Follow-up","2nd Follow-up","Local Office","CBE","Roxanne")&amp;IF($W718=6," - Final"," - Day "&amp;MAX(0,NETWORKDAYS($X718,TODAY(),Holidays)-1)&amp;" of "&amp;CHOOSE($W718,3,3,2,2,3))&amp;" | Total Day "&amp;MAX(0,NETWORKDAYS($L718,TODAY(),Holidays)-1))</f>
        <v/>
      </c>
      <c r="W718" s="17">
        <f>IF($L718="","",COUNT($L718:$Q718))</f>
        <v/>
      </c>
      <c r="X718" s="18">
        <f>IF($W718="","",INT(INDEX($L718:$Q718,$W718)))</f>
        <v/>
      </c>
      <c r="Y718" s="18">
        <f>IF(OR($W718="",$W718=6),"",WORKDAY($X718,CHOOSE($W718,3,3,2,2,3),Holidays))</f>
        <v/>
      </c>
      <c r="Z718" s="17">
        <f>IF(OR($W718="",$W718=6),"",CHOOSE($W718,"1st Email Follow-up","2nd Email Follow-up","Escalate Local Office","Escalate to CBE","Escalate to Roxanne"))</f>
        <v/>
      </c>
    </row>
    <row r="719" spans="18:26">
      <c r="R719" s="15"/>
      <c r="S719" s="16"/>
      <c r="T719" s="17">
        <f>IF(AND(COUNTA($A719:$K719)=0,$L719=""),"",IF($S719="Paid","PAID",IF($S719="Closed","CLOSED",IF($W719="","",IF($W719=6,"ESCALATED TO ROXANNE",IF(TODAY()&gt;$Y719,"OVERDUE",IF($Y719&lt;=WORKDAY(TODAY(),1,Holidays),"DUE TOMORROW",IF($W719=4,"ESCALATED TO LOCAL OFFICE",IF($W719=5,"ESCALATED TO CBE",IF($X719=TODAY(),"EMAIL SENT","MONITORING"))))))))))</f>
        <v/>
      </c>
      <c r="U719" s="17">
        <f>IF($T719="",IF(AND(COUNTA($A719:$K719)&gt;0,$L719=""),"Awaiting Collection Email time stamp.",""),IF(OR($T719="PAID",$T719="CLOSED"),IF($T719="PAID","Account paid. Action completed.","Account closed. No further action required."),CHOOSE($W719,"Collection Email","1st Email Follow-up","2nd Email Follow-up","Escalation to Local Office","Escalation to CBE","Escalation to Roxanne")&amp;" sent "&amp;TEXT($X719,"dd-mmm")&amp;". "&amp;IF($W719=6,"Final escalation completed.",IF($T719="OVERDUE","Next: "&amp;$Z719&amp;" was due "&amp;TEXT($Y719,"dd-mmm")&amp;" - "&amp;(NETWORKDAYS($Y719,TODAY(),Holidays)-1)&amp;" business day(s) late. Send now.",IF($T719="DUE TOMORROW","Next: "&amp;$Z719&amp;IF($Y719&lt;=TODAY()," is due TODAY ("," is due next business day (")&amp;TEXT($Y719,"dd-mmm")&amp;").","Next: "&amp;$Z719&amp;" due "&amp;TEXT($Y719,"dd-mmm")&amp;" ("&amp;(NETWORKDAYS(TODAY(),$Y719,Holidays)-1)&amp;" business day(s) left).")))))</f>
        <v/>
      </c>
      <c r="V719" s="17">
        <f>IF($W719="","",CHOOSE($W719,"Collection Email","1st Follow-up","2nd Follow-up","Local Office","CBE","Roxanne")&amp;IF($W719=6," - Final"," - Day "&amp;MAX(0,NETWORKDAYS($X719,TODAY(),Holidays)-1)&amp;" of "&amp;CHOOSE($W719,3,3,2,2,3))&amp;" | Total Day "&amp;MAX(0,NETWORKDAYS($L719,TODAY(),Holidays)-1))</f>
        <v/>
      </c>
      <c r="W719" s="17">
        <f>IF($L719="","",COUNT($L719:$Q719))</f>
        <v/>
      </c>
      <c r="X719" s="18">
        <f>IF($W719="","",INT(INDEX($L719:$Q719,$W719)))</f>
        <v/>
      </c>
      <c r="Y719" s="18">
        <f>IF(OR($W719="",$W719=6),"",WORKDAY($X719,CHOOSE($W719,3,3,2,2,3),Holidays))</f>
        <v/>
      </c>
      <c r="Z719" s="17">
        <f>IF(OR($W719="",$W719=6),"",CHOOSE($W719,"1st Email Follow-up","2nd Email Follow-up","Escalate Local Office","Escalate to CBE","Escalate to Roxanne"))</f>
        <v/>
      </c>
    </row>
    <row r="720" spans="18:26">
      <c r="R720" s="15"/>
      <c r="S720" s="16"/>
      <c r="T720" s="17">
        <f>IF(AND(COUNTA($A720:$K720)=0,$L720=""),"",IF($S720="Paid","PAID",IF($S720="Closed","CLOSED",IF($W720="","",IF($W720=6,"ESCALATED TO ROXANNE",IF(TODAY()&gt;$Y720,"OVERDUE",IF($Y720&lt;=WORKDAY(TODAY(),1,Holidays),"DUE TOMORROW",IF($W720=4,"ESCALATED TO LOCAL OFFICE",IF($W720=5,"ESCALATED TO CBE",IF($X720=TODAY(),"EMAIL SENT","MONITORING"))))))))))</f>
        <v/>
      </c>
      <c r="U720" s="17">
        <f>IF($T720="",IF(AND(COUNTA($A720:$K720)&gt;0,$L720=""),"Awaiting Collection Email time stamp.",""),IF(OR($T720="PAID",$T720="CLOSED"),IF($T720="PAID","Account paid. Action completed.","Account closed. No further action required."),CHOOSE($W720,"Collection Email","1st Email Follow-up","2nd Email Follow-up","Escalation to Local Office","Escalation to CBE","Escalation to Roxanne")&amp;" sent "&amp;TEXT($X720,"dd-mmm")&amp;". "&amp;IF($W720=6,"Final escalation completed.",IF($T720="OVERDUE","Next: "&amp;$Z720&amp;" was due "&amp;TEXT($Y720,"dd-mmm")&amp;" - "&amp;(NETWORKDAYS($Y720,TODAY(),Holidays)-1)&amp;" business day(s) late. Send now.",IF($T720="DUE TOMORROW","Next: "&amp;$Z720&amp;IF($Y720&lt;=TODAY()," is due TODAY ("," is due next business day (")&amp;TEXT($Y720,"dd-mmm")&amp;").","Next: "&amp;$Z720&amp;" due "&amp;TEXT($Y720,"dd-mmm")&amp;" ("&amp;(NETWORKDAYS(TODAY(),$Y720,Holidays)-1)&amp;" business day(s) left).")))))</f>
        <v/>
      </c>
      <c r="V720" s="17">
        <f>IF($W720="","",CHOOSE($W720,"Collection Email","1st Follow-up","2nd Follow-up","Local Office","CBE","Roxanne")&amp;IF($W720=6," - Final"," - Day "&amp;MAX(0,NETWORKDAYS($X720,TODAY(),Holidays)-1)&amp;" of "&amp;CHOOSE($W720,3,3,2,2,3))&amp;" | Total Day "&amp;MAX(0,NETWORKDAYS($L720,TODAY(),Holidays)-1))</f>
        <v/>
      </c>
      <c r="W720" s="17">
        <f>IF($L720="","",COUNT($L720:$Q720))</f>
        <v/>
      </c>
      <c r="X720" s="18">
        <f>IF($W720="","",INT(INDEX($L720:$Q720,$W720)))</f>
        <v/>
      </c>
      <c r="Y720" s="18">
        <f>IF(OR($W720="",$W720=6),"",WORKDAY($X720,CHOOSE($W720,3,3,2,2,3),Holidays))</f>
        <v/>
      </c>
      <c r="Z720" s="17">
        <f>IF(OR($W720="",$W720=6),"",CHOOSE($W720,"1st Email Follow-up","2nd Email Follow-up","Escalate Local Office","Escalate to CBE","Escalate to Roxanne"))</f>
        <v/>
      </c>
    </row>
    <row r="721" spans="18:26">
      <c r="R721" s="15"/>
      <c r="S721" s="16"/>
      <c r="T721" s="17">
        <f>IF(AND(COUNTA($A721:$K721)=0,$L721=""),"",IF($S721="Paid","PAID",IF($S721="Closed","CLOSED",IF($W721="","",IF($W721=6,"ESCALATED TO ROXANNE",IF(TODAY()&gt;$Y721,"OVERDUE",IF($Y721&lt;=WORKDAY(TODAY(),1,Holidays),"DUE TOMORROW",IF($W721=4,"ESCALATED TO LOCAL OFFICE",IF($W721=5,"ESCALATED TO CBE",IF($X721=TODAY(),"EMAIL SENT","MONITORING"))))))))))</f>
        <v/>
      </c>
      <c r="U721" s="17">
        <f>IF($T721="",IF(AND(COUNTA($A721:$K721)&gt;0,$L721=""),"Awaiting Collection Email time stamp.",""),IF(OR($T721="PAID",$T721="CLOSED"),IF($T721="PAID","Account paid. Action completed.","Account closed. No further action required."),CHOOSE($W721,"Collection Email","1st Email Follow-up","2nd Email Follow-up","Escalation to Local Office","Escalation to CBE","Escalation to Roxanne")&amp;" sent "&amp;TEXT($X721,"dd-mmm")&amp;". "&amp;IF($W721=6,"Final escalation completed.",IF($T721="OVERDUE","Next: "&amp;$Z721&amp;" was due "&amp;TEXT($Y721,"dd-mmm")&amp;" - "&amp;(NETWORKDAYS($Y721,TODAY(),Holidays)-1)&amp;" business day(s) late. Send now.",IF($T721="DUE TOMORROW","Next: "&amp;$Z721&amp;IF($Y721&lt;=TODAY()," is due TODAY ("," is due next business day (")&amp;TEXT($Y721,"dd-mmm")&amp;").","Next: "&amp;$Z721&amp;" due "&amp;TEXT($Y721,"dd-mmm")&amp;" ("&amp;(NETWORKDAYS(TODAY(),$Y721,Holidays)-1)&amp;" business day(s) left).")))))</f>
        <v/>
      </c>
      <c r="V721" s="17">
        <f>IF($W721="","",CHOOSE($W721,"Collection Email","1st Follow-up","2nd Follow-up","Local Office","CBE","Roxanne")&amp;IF($W721=6," - Final"," - Day "&amp;MAX(0,NETWORKDAYS($X721,TODAY(),Holidays)-1)&amp;" of "&amp;CHOOSE($W721,3,3,2,2,3))&amp;" | Total Day "&amp;MAX(0,NETWORKDAYS($L721,TODAY(),Holidays)-1))</f>
        <v/>
      </c>
      <c r="W721" s="17">
        <f>IF($L721="","",COUNT($L721:$Q721))</f>
        <v/>
      </c>
      <c r="X721" s="18">
        <f>IF($W721="","",INT(INDEX($L721:$Q721,$W721)))</f>
        <v/>
      </c>
      <c r="Y721" s="18">
        <f>IF(OR($W721="",$W721=6),"",WORKDAY($X721,CHOOSE($W721,3,3,2,2,3),Holidays))</f>
        <v/>
      </c>
      <c r="Z721" s="17">
        <f>IF(OR($W721="",$W721=6),"",CHOOSE($W721,"1st Email Follow-up","2nd Email Follow-up","Escalate Local Office","Escalate to CBE","Escalate to Roxanne"))</f>
        <v/>
      </c>
    </row>
    <row r="722" spans="18:26">
      <c r="R722" s="15"/>
      <c r="S722" s="16"/>
      <c r="T722" s="17">
        <f>IF(AND(COUNTA($A722:$K722)=0,$L722=""),"",IF($S722="Paid","PAID",IF($S722="Closed","CLOSED",IF($W722="","",IF($W722=6,"ESCALATED TO ROXANNE",IF(TODAY()&gt;$Y722,"OVERDUE",IF($Y722&lt;=WORKDAY(TODAY(),1,Holidays),"DUE TOMORROW",IF($W722=4,"ESCALATED TO LOCAL OFFICE",IF($W722=5,"ESCALATED TO CBE",IF($X722=TODAY(),"EMAIL SENT","MONITORING"))))))))))</f>
        <v/>
      </c>
      <c r="U722" s="17">
        <f>IF($T722="",IF(AND(COUNTA($A722:$K722)&gt;0,$L722=""),"Awaiting Collection Email time stamp.",""),IF(OR($T722="PAID",$T722="CLOSED"),IF($T722="PAID","Account paid. Action completed.","Account closed. No further action required."),CHOOSE($W722,"Collection Email","1st Email Follow-up","2nd Email Follow-up","Escalation to Local Office","Escalation to CBE","Escalation to Roxanne")&amp;" sent "&amp;TEXT($X722,"dd-mmm")&amp;". "&amp;IF($W722=6,"Final escalation completed.",IF($T722="OVERDUE","Next: "&amp;$Z722&amp;" was due "&amp;TEXT($Y722,"dd-mmm")&amp;" - "&amp;(NETWORKDAYS($Y722,TODAY(),Holidays)-1)&amp;" business day(s) late. Send now.",IF($T722="DUE TOMORROW","Next: "&amp;$Z722&amp;IF($Y722&lt;=TODAY()," is due TODAY ("," is due next business day (")&amp;TEXT($Y722,"dd-mmm")&amp;").","Next: "&amp;$Z722&amp;" due "&amp;TEXT($Y722,"dd-mmm")&amp;" ("&amp;(NETWORKDAYS(TODAY(),$Y722,Holidays)-1)&amp;" business day(s) left).")))))</f>
        <v/>
      </c>
      <c r="V722" s="17">
        <f>IF($W722="","",CHOOSE($W722,"Collection Email","1st Follow-up","2nd Follow-up","Local Office","CBE","Roxanne")&amp;IF($W722=6," - Final"," - Day "&amp;MAX(0,NETWORKDAYS($X722,TODAY(),Holidays)-1)&amp;" of "&amp;CHOOSE($W722,3,3,2,2,3))&amp;" | Total Day "&amp;MAX(0,NETWORKDAYS($L722,TODAY(),Holidays)-1))</f>
        <v/>
      </c>
      <c r="W722" s="17">
        <f>IF($L722="","",COUNT($L722:$Q722))</f>
        <v/>
      </c>
      <c r="X722" s="18">
        <f>IF($W722="","",INT(INDEX($L722:$Q722,$W722)))</f>
        <v/>
      </c>
      <c r="Y722" s="18">
        <f>IF(OR($W722="",$W722=6),"",WORKDAY($X722,CHOOSE($W722,3,3,2,2,3),Holidays))</f>
        <v/>
      </c>
      <c r="Z722" s="17">
        <f>IF(OR($W722="",$W722=6),"",CHOOSE($W722,"1st Email Follow-up","2nd Email Follow-up","Escalate Local Office","Escalate to CBE","Escalate to Roxanne"))</f>
        <v/>
      </c>
    </row>
    <row r="723" spans="18:26">
      <c r="R723" s="15"/>
      <c r="S723" s="16"/>
      <c r="T723" s="17">
        <f>IF(AND(COUNTA($A723:$K723)=0,$L723=""),"",IF($S723="Paid","PAID",IF($S723="Closed","CLOSED",IF($W723="","",IF($W723=6,"ESCALATED TO ROXANNE",IF(TODAY()&gt;$Y723,"OVERDUE",IF($Y723&lt;=WORKDAY(TODAY(),1,Holidays),"DUE TOMORROW",IF($W723=4,"ESCALATED TO LOCAL OFFICE",IF($W723=5,"ESCALATED TO CBE",IF($X723=TODAY(),"EMAIL SENT","MONITORING"))))))))))</f>
        <v/>
      </c>
      <c r="U723" s="17">
        <f>IF($T723="",IF(AND(COUNTA($A723:$K723)&gt;0,$L723=""),"Awaiting Collection Email time stamp.",""),IF(OR($T723="PAID",$T723="CLOSED"),IF($T723="PAID","Account paid. Action completed.","Account closed. No further action required."),CHOOSE($W723,"Collection Email","1st Email Follow-up","2nd Email Follow-up","Escalation to Local Office","Escalation to CBE","Escalation to Roxanne")&amp;" sent "&amp;TEXT($X723,"dd-mmm")&amp;". "&amp;IF($W723=6,"Final escalation completed.",IF($T723="OVERDUE","Next: "&amp;$Z723&amp;" was due "&amp;TEXT($Y723,"dd-mmm")&amp;" - "&amp;(NETWORKDAYS($Y723,TODAY(),Holidays)-1)&amp;" business day(s) late. Send now.",IF($T723="DUE TOMORROW","Next: "&amp;$Z723&amp;IF($Y723&lt;=TODAY()," is due TODAY ("," is due next business day (")&amp;TEXT($Y723,"dd-mmm")&amp;").","Next: "&amp;$Z723&amp;" due "&amp;TEXT($Y723,"dd-mmm")&amp;" ("&amp;(NETWORKDAYS(TODAY(),$Y723,Holidays)-1)&amp;" business day(s) left).")))))</f>
        <v/>
      </c>
      <c r="V723" s="17">
        <f>IF($W723="","",CHOOSE($W723,"Collection Email","1st Follow-up","2nd Follow-up","Local Office","CBE","Roxanne")&amp;IF($W723=6," - Final"," - Day "&amp;MAX(0,NETWORKDAYS($X723,TODAY(),Holidays)-1)&amp;" of "&amp;CHOOSE($W723,3,3,2,2,3))&amp;" | Total Day "&amp;MAX(0,NETWORKDAYS($L723,TODAY(),Holidays)-1))</f>
        <v/>
      </c>
      <c r="W723" s="17">
        <f>IF($L723="","",COUNT($L723:$Q723))</f>
        <v/>
      </c>
      <c r="X723" s="18">
        <f>IF($W723="","",INT(INDEX($L723:$Q723,$W723)))</f>
        <v/>
      </c>
      <c r="Y723" s="18">
        <f>IF(OR($W723="",$W723=6),"",WORKDAY($X723,CHOOSE($W723,3,3,2,2,3),Holidays))</f>
        <v/>
      </c>
      <c r="Z723" s="17">
        <f>IF(OR($W723="",$W723=6),"",CHOOSE($W723,"1st Email Follow-up","2nd Email Follow-up","Escalate Local Office","Escalate to CBE","Escalate to Roxanne"))</f>
        <v/>
      </c>
    </row>
    <row r="724" spans="18:26">
      <c r="R724" s="15"/>
      <c r="S724" s="16"/>
      <c r="T724" s="17">
        <f>IF(AND(COUNTA($A724:$K724)=0,$L724=""),"",IF($S724="Paid","PAID",IF($S724="Closed","CLOSED",IF($W724="","",IF($W724=6,"ESCALATED TO ROXANNE",IF(TODAY()&gt;$Y724,"OVERDUE",IF($Y724&lt;=WORKDAY(TODAY(),1,Holidays),"DUE TOMORROW",IF($W724=4,"ESCALATED TO LOCAL OFFICE",IF($W724=5,"ESCALATED TO CBE",IF($X724=TODAY(),"EMAIL SENT","MONITORING"))))))))))</f>
        <v/>
      </c>
      <c r="U724" s="17">
        <f>IF($T724="",IF(AND(COUNTA($A724:$K724)&gt;0,$L724=""),"Awaiting Collection Email time stamp.",""),IF(OR($T724="PAID",$T724="CLOSED"),IF($T724="PAID","Account paid. Action completed.","Account closed. No further action required."),CHOOSE($W724,"Collection Email","1st Email Follow-up","2nd Email Follow-up","Escalation to Local Office","Escalation to CBE","Escalation to Roxanne")&amp;" sent "&amp;TEXT($X724,"dd-mmm")&amp;". "&amp;IF($W724=6,"Final escalation completed.",IF($T724="OVERDUE","Next: "&amp;$Z724&amp;" was due "&amp;TEXT($Y724,"dd-mmm")&amp;" - "&amp;(NETWORKDAYS($Y724,TODAY(),Holidays)-1)&amp;" business day(s) late. Send now.",IF($T724="DUE TOMORROW","Next: "&amp;$Z724&amp;IF($Y724&lt;=TODAY()," is due TODAY ("," is due next business day (")&amp;TEXT($Y724,"dd-mmm")&amp;").","Next: "&amp;$Z724&amp;" due "&amp;TEXT($Y724,"dd-mmm")&amp;" ("&amp;(NETWORKDAYS(TODAY(),$Y724,Holidays)-1)&amp;" business day(s) left).")))))</f>
        <v/>
      </c>
      <c r="V724" s="17">
        <f>IF($W724="","",CHOOSE($W724,"Collection Email","1st Follow-up","2nd Follow-up","Local Office","CBE","Roxanne")&amp;IF($W724=6," - Final"," - Day "&amp;MAX(0,NETWORKDAYS($X724,TODAY(),Holidays)-1)&amp;" of "&amp;CHOOSE($W724,3,3,2,2,3))&amp;" | Total Day "&amp;MAX(0,NETWORKDAYS($L724,TODAY(),Holidays)-1))</f>
        <v/>
      </c>
      <c r="W724" s="17">
        <f>IF($L724="","",COUNT($L724:$Q724))</f>
        <v/>
      </c>
      <c r="X724" s="18">
        <f>IF($W724="","",INT(INDEX($L724:$Q724,$W724)))</f>
        <v/>
      </c>
      <c r="Y724" s="18">
        <f>IF(OR($W724="",$W724=6),"",WORKDAY($X724,CHOOSE($W724,3,3,2,2,3),Holidays))</f>
        <v/>
      </c>
      <c r="Z724" s="17">
        <f>IF(OR($W724="",$W724=6),"",CHOOSE($W724,"1st Email Follow-up","2nd Email Follow-up","Escalate Local Office","Escalate to CBE","Escalate to Roxanne"))</f>
        <v/>
      </c>
    </row>
    <row r="725" spans="18:26">
      <c r="R725" s="15"/>
      <c r="S725" s="16"/>
      <c r="T725" s="17">
        <f>IF(AND(COUNTA($A725:$K725)=0,$L725=""),"",IF($S725="Paid","PAID",IF($S725="Closed","CLOSED",IF($W725="","",IF($W725=6,"ESCALATED TO ROXANNE",IF(TODAY()&gt;$Y725,"OVERDUE",IF($Y725&lt;=WORKDAY(TODAY(),1,Holidays),"DUE TOMORROW",IF($W725=4,"ESCALATED TO LOCAL OFFICE",IF($W725=5,"ESCALATED TO CBE",IF($X725=TODAY(),"EMAIL SENT","MONITORING"))))))))))</f>
        <v/>
      </c>
      <c r="U725" s="17">
        <f>IF($T725="",IF(AND(COUNTA($A725:$K725)&gt;0,$L725=""),"Awaiting Collection Email time stamp.",""),IF(OR($T725="PAID",$T725="CLOSED"),IF($T725="PAID","Account paid. Action completed.","Account closed. No further action required."),CHOOSE($W725,"Collection Email","1st Email Follow-up","2nd Email Follow-up","Escalation to Local Office","Escalation to CBE","Escalation to Roxanne")&amp;" sent "&amp;TEXT($X725,"dd-mmm")&amp;". "&amp;IF($W725=6,"Final escalation completed.",IF($T725="OVERDUE","Next: "&amp;$Z725&amp;" was due "&amp;TEXT($Y725,"dd-mmm")&amp;" - "&amp;(NETWORKDAYS($Y725,TODAY(),Holidays)-1)&amp;" business day(s) late. Send now.",IF($T725="DUE TOMORROW","Next: "&amp;$Z725&amp;IF($Y725&lt;=TODAY()," is due TODAY ("," is due next business day (")&amp;TEXT($Y725,"dd-mmm")&amp;").","Next: "&amp;$Z725&amp;" due "&amp;TEXT($Y725,"dd-mmm")&amp;" ("&amp;(NETWORKDAYS(TODAY(),$Y725,Holidays)-1)&amp;" business day(s) left).")))))</f>
        <v/>
      </c>
      <c r="V725" s="17">
        <f>IF($W725="","",CHOOSE($W725,"Collection Email","1st Follow-up","2nd Follow-up","Local Office","CBE","Roxanne")&amp;IF($W725=6," - Final"," - Day "&amp;MAX(0,NETWORKDAYS($X725,TODAY(),Holidays)-1)&amp;" of "&amp;CHOOSE($W725,3,3,2,2,3))&amp;" | Total Day "&amp;MAX(0,NETWORKDAYS($L725,TODAY(),Holidays)-1))</f>
        <v/>
      </c>
      <c r="W725" s="17">
        <f>IF($L725="","",COUNT($L725:$Q725))</f>
        <v/>
      </c>
      <c r="X725" s="18">
        <f>IF($W725="","",INT(INDEX($L725:$Q725,$W725)))</f>
        <v/>
      </c>
      <c r="Y725" s="18">
        <f>IF(OR($W725="",$W725=6),"",WORKDAY($X725,CHOOSE($W725,3,3,2,2,3),Holidays))</f>
        <v/>
      </c>
      <c r="Z725" s="17">
        <f>IF(OR($W725="",$W725=6),"",CHOOSE($W725,"1st Email Follow-up","2nd Email Follow-up","Escalate Local Office","Escalate to CBE","Escalate to Roxanne"))</f>
        <v/>
      </c>
    </row>
    <row r="726" spans="18:26">
      <c r="R726" s="15"/>
      <c r="S726" s="16"/>
      <c r="T726" s="17">
        <f>IF(AND(COUNTA($A726:$K726)=0,$L726=""),"",IF($S726="Paid","PAID",IF($S726="Closed","CLOSED",IF($W726="","",IF($W726=6,"ESCALATED TO ROXANNE",IF(TODAY()&gt;$Y726,"OVERDUE",IF($Y726&lt;=WORKDAY(TODAY(),1,Holidays),"DUE TOMORROW",IF($W726=4,"ESCALATED TO LOCAL OFFICE",IF($W726=5,"ESCALATED TO CBE",IF($X726=TODAY(),"EMAIL SENT","MONITORING"))))))))))</f>
        <v/>
      </c>
      <c r="U726" s="17">
        <f>IF($T726="",IF(AND(COUNTA($A726:$K726)&gt;0,$L726=""),"Awaiting Collection Email time stamp.",""),IF(OR($T726="PAID",$T726="CLOSED"),IF($T726="PAID","Account paid. Action completed.","Account closed. No further action required."),CHOOSE($W726,"Collection Email","1st Email Follow-up","2nd Email Follow-up","Escalation to Local Office","Escalation to CBE","Escalation to Roxanne")&amp;" sent "&amp;TEXT($X726,"dd-mmm")&amp;". "&amp;IF($W726=6,"Final escalation completed.",IF($T726="OVERDUE","Next: "&amp;$Z726&amp;" was due "&amp;TEXT($Y726,"dd-mmm")&amp;" - "&amp;(NETWORKDAYS($Y726,TODAY(),Holidays)-1)&amp;" business day(s) late. Send now.",IF($T726="DUE TOMORROW","Next: "&amp;$Z726&amp;IF($Y726&lt;=TODAY()," is due TODAY ("," is due next business day (")&amp;TEXT($Y726,"dd-mmm")&amp;").","Next: "&amp;$Z726&amp;" due "&amp;TEXT($Y726,"dd-mmm")&amp;" ("&amp;(NETWORKDAYS(TODAY(),$Y726,Holidays)-1)&amp;" business day(s) left).")))))</f>
        <v/>
      </c>
      <c r="V726" s="17">
        <f>IF($W726="","",CHOOSE($W726,"Collection Email","1st Follow-up","2nd Follow-up","Local Office","CBE","Roxanne")&amp;IF($W726=6," - Final"," - Day "&amp;MAX(0,NETWORKDAYS($X726,TODAY(),Holidays)-1)&amp;" of "&amp;CHOOSE($W726,3,3,2,2,3))&amp;" | Total Day "&amp;MAX(0,NETWORKDAYS($L726,TODAY(),Holidays)-1))</f>
        <v/>
      </c>
      <c r="W726" s="17">
        <f>IF($L726="","",COUNT($L726:$Q726))</f>
        <v/>
      </c>
      <c r="X726" s="18">
        <f>IF($W726="","",INT(INDEX($L726:$Q726,$W726)))</f>
        <v/>
      </c>
      <c r="Y726" s="18">
        <f>IF(OR($W726="",$W726=6),"",WORKDAY($X726,CHOOSE($W726,3,3,2,2,3),Holidays))</f>
        <v/>
      </c>
      <c r="Z726" s="17">
        <f>IF(OR($W726="",$W726=6),"",CHOOSE($W726,"1st Email Follow-up","2nd Email Follow-up","Escalate Local Office","Escalate to CBE","Escalate to Roxanne"))</f>
        <v/>
      </c>
    </row>
    <row r="727" spans="18:26">
      <c r="R727" s="15"/>
      <c r="S727" s="16"/>
      <c r="T727" s="17">
        <f>IF(AND(COUNTA($A727:$K727)=0,$L727=""),"",IF($S727="Paid","PAID",IF($S727="Closed","CLOSED",IF($W727="","",IF($W727=6,"ESCALATED TO ROXANNE",IF(TODAY()&gt;$Y727,"OVERDUE",IF($Y727&lt;=WORKDAY(TODAY(),1,Holidays),"DUE TOMORROW",IF($W727=4,"ESCALATED TO LOCAL OFFICE",IF($W727=5,"ESCALATED TO CBE",IF($X727=TODAY(),"EMAIL SENT","MONITORING"))))))))))</f>
        <v/>
      </c>
      <c r="U727" s="17">
        <f>IF($T727="",IF(AND(COUNTA($A727:$K727)&gt;0,$L727=""),"Awaiting Collection Email time stamp.",""),IF(OR($T727="PAID",$T727="CLOSED"),IF($T727="PAID","Account paid. Action completed.","Account closed. No further action required."),CHOOSE($W727,"Collection Email","1st Email Follow-up","2nd Email Follow-up","Escalation to Local Office","Escalation to CBE","Escalation to Roxanne")&amp;" sent "&amp;TEXT($X727,"dd-mmm")&amp;". "&amp;IF($W727=6,"Final escalation completed.",IF($T727="OVERDUE","Next: "&amp;$Z727&amp;" was due "&amp;TEXT($Y727,"dd-mmm")&amp;" - "&amp;(NETWORKDAYS($Y727,TODAY(),Holidays)-1)&amp;" business day(s) late. Send now.",IF($T727="DUE TOMORROW","Next: "&amp;$Z727&amp;IF($Y727&lt;=TODAY()," is due TODAY ("," is due next business day (")&amp;TEXT($Y727,"dd-mmm")&amp;").","Next: "&amp;$Z727&amp;" due "&amp;TEXT($Y727,"dd-mmm")&amp;" ("&amp;(NETWORKDAYS(TODAY(),$Y727,Holidays)-1)&amp;" business day(s) left).")))))</f>
        <v/>
      </c>
      <c r="V727" s="17">
        <f>IF($W727="","",CHOOSE($W727,"Collection Email","1st Follow-up","2nd Follow-up","Local Office","CBE","Roxanne")&amp;IF($W727=6," - Final"," - Day "&amp;MAX(0,NETWORKDAYS($X727,TODAY(),Holidays)-1)&amp;" of "&amp;CHOOSE($W727,3,3,2,2,3))&amp;" | Total Day "&amp;MAX(0,NETWORKDAYS($L727,TODAY(),Holidays)-1))</f>
        <v/>
      </c>
      <c r="W727" s="17">
        <f>IF($L727="","",COUNT($L727:$Q727))</f>
        <v/>
      </c>
      <c r="X727" s="18">
        <f>IF($W727="","",INT(INDEX($L727:$Q727,$W727)))</f>
        <v/>
      </c>
      <c r="Y727" s="18">
        <f>IF(OR($W727="",$W727=6),"",WORKDAY($X727,CHOOSE($W727,3,3,2,2,3),Holidays))</f>
        <v/>
      </c>
      <c r="Z727" s="17">
        <f>IF(OR($W727="",$W727=6),"",CHOOSE($W727,"1st Email Follow-up","2nd Email Follow-up","Escalate Local Office","Escalate to CBE","Escalate to Roxanne"))</f>
        <v/>
      </c>
    </row>
    <row r="728" spans="18:26">
      <c r="R728" s="15"/>
      <c r="S728" s="16"/>
      <c r="T728" s="17">
        <f>IF(AND(COUNTA($A728:$K728)=0,$L728=""),"",IF($S728="Paid","PAID",IF($S728="Closed","CLOSED",IF($W728="","",IF($W728=6,"ESCALATED TO ROXANNE",IF(TODAY()&gt;$Y728,"OVERDUE",IF($Y728&lt;=WORKDAY(TODAY(),1,Holidays),"DUE TOMORROW",IF($W728=4,"ESCALATED TO LOCAL OFFICE",IF($W728=5,"ESCALATED TO CBE",IF($X728=TODAY(),"EMAIL SENT","MONITORING"))))))))))</f>
        <v/>
      </c>
      <c r="U728" s="17">
        <f>IF($T728="",IF(AND(COUNTA($A728:$K728)&gt;0,$L728=""),"Awaiting Collection Email time stamp.",""),IF(OR($T728="PAID",$T728="CLOSED"),IF($T728="PAID","Account paid. Action completed.","Account closed. No further action required."),CHOOSE($W728,"Collection Email","1st Email Follow-up","2nd Email Follow-up","Escalation to Local Office","Escalation to CBE","Escalation to Roxanne")&amp;" sent "&amp;TEXT($X728,"dd-mmm")&amp;". "&amp;IF($W728=6,"Final escalation completed.",IF($T728="OVERDUE","Next: "&amp;$Z728&amp;" was due "&amp;TEXT($Y728,"dd-mmm")&amp;" - "&amp;(NETWORKDAYS($Y728,TODAY(),Holidays)-1)&amp;" business day(s) late. Send now.",IF($T728="DUE TOMORROW","Next: "&amp;$Z728&amp;IF($Y728&lt;=TODAY()," is due TODAY ("," is due next business day (")&amp;TEXT($Y728,"dd-mmm")&amp;").","Next: "&amp;$Z728&amp;" due "&amp;TEXT($Y728,"dd-mmm")&amp;" ("&amp;(NETWORKDAYS(TODAY(),$Y728,Holidays)-1)&amp;" business day(s) left).")))))</f>
        <v/>
      </c>
      <c r="V728" s="17">
        <f>IF($W728="","",CHOOSE($W728,"Collection Email","1st Follow-up","2nd Follow-up","Local Office","CBE","Roxanne")&amp;IF($W728=6," - Final"," - Day "&amp;MAX(0,NETWORKDAYS($X728,TODAY(),Holidays)-1)&amp;" of "&amp;CHOOSE($W728,3,3,2,2,3))&amp;" | Total Day "&amp;MAX(0,NETWORKDAYS($L728,TODAY(),Holidays)-1))</f>
        <v/>
      </c>
      <c r="W728" s="17">
        <f>IF($L728="","",COUNT($L728:$Q728))</f>
        <v/>
      </c>
      <c r="X728" s="18">
        <f>IF($W728="","",INT(INDEX($L728:$Q728,$W728)))</f>
        <v/>
      </c>
      <c r="Y728" s="18">
        <f>IF(OR($W728="",$W728=6),"",WORKDAY($X728,CHOOSE($W728,3,3,2,2,3),Holidays))</f>
        <v/>
      </c>
      <c r="Z728" s="17">
        <f>IF(OR($W728="",$W728=6),"",CHOOSE($W728,"1st Email Follow-up","2nd Email Follow-up","Escalate Local Office","Escalate to CBE","Escalate to Roxanne"))</f>
        <v/>
      </c>
    </row>
    <row r="729" spans="18:26">
      <c r="R729" s="15"/>
      <c r="S729" s="16"/>
      <c r="T729" s="17">
        <f>IF(AND(COUNTA($A729:$K729)=0,$L729=""),"",IF($S729="Paid","PAID",IF($S729="Closed","CLOSED",IF($W729="","",IF($W729=6,"ESCALATED TO ROXANNE",IF(TODAY()&gt;$Y729,"OVERDUE",IF($Y729&lt;=WORKDAY(TODAY(),1,Holidays),"DUE TOMORROW",IF($W729=4,"ESCALATED TO LOCAL OFFICE",IF($W729=5,"ESCALATED TO CBE",IF($X729=TODAY(),"EMAIL SENT","MONITORING"))))))))))</f>
        <v/>
      </c>
      <c r="U729" s="17">
        <f>IF($T729="",IF(AND(COUNTA($A729:$K729)&gt;0,$L729=""),"Awaiting Collection Email time stamp.",""),IF(OR($T729="PAID",$T729="CLOSED"),IF($T729="PAID","Account paid. Action completed.","Account closed. No further action required."),CHOOSE($W729,"Collection Email","1st Email Follow-up","2nd Email Follow-up","Escalation to Local Office","Escalation to CBE","Escalation to Roxanne")&amp;" sent "&amp;TEXT($X729,"dd-mmm")&amp;". "&amp;IF($W729=6,"Final escalation completed.",IF($T729="OVERDUE","Next: "&amp;$Z729&amp;" was due "&amp;TEXT($Y729,"dd-mmm")&amp;" - "&amp;(NETWORKDAYS($Y729,TODAY(),Holidays)-1)&amp;" business day(s) late. Send now.",IF($T729="DUE TOMORROW","Next: "&amp;$Z729&amp;IF($Y729&lt;=TODAY()," is due TODAY ("," is due next business day (")&amp;TEXT($Y729,"dd-mmm")&amp;").","Next: "&amp;$Z729&amp;" due "&amp;TEXT($Y729,"dd-mmm")&amp;" ("&amp;(NETWORKDAYS(TODAY(),$Y729,Holidays)-1)&amp;" business day(s) left).")))))</f>
        <v/>
      </c>
      <c r="V729" s="17">
        <f>IF($W729="","",CHOOSE($W729,"Collection Email","1st Follow-up","2nd Follow-up","Local Office","CBE","Roxanne")&amp;IF($W729=6," - Final"," - Day "&amp;MAX(0,NETWORKDAYS($X729,TODAY(),Holidays)-1)&amp;" of "&amp;CHOOSE($W729,3,3,2,2,3))&amp;" | Total Day "&amp;MAX(0,NETWORKDAYS($L729,TODAY(),Holidays)-1))</f>
        <v/>
      </c>
      <c r="W729" s="17">
        <f>IF($L729="","",COUNT($L729:$Q729))</f>
        <v/>
      </c>
      <c r="X729" s="18">
        <f>IF($W729="","",INT(INDEX($L729:$Q729,$W729)))</f>
        <v/>
      </c>
      <c r="Y729" s="18">
        <f>IF(OR($W729="",$W729=6),"",WORKDAY($X729,CHOOSE($W729,3,3,2,2,3),Holidays))</f>
        <v/>
      </c>
      <c r="Z729" s="17">
        <f>IF(OR($W729="",$W729=6),"",CHOOSE($W729,"1st Email Follow-up","2nd Email Follow-up","Escalate Local Office","Escalate to CBE","Escalate to Roxanne"))</f>
        <v/>
      </c>
    </row>
    <row r="730" spans="18:26">
      <c r="R730" s="15"/>
      <c r="S730" s="16"/>
      <c r="T730" s="17">
        <f>IF(AND(COUNTA($A730:$K730)=0,$L730=""),"",IF($S730="Paid","PAID",IF($S730="Closed","CLOSED",IF($W730="","",IF($W730=6,"ESCALATED TO ROXANNE",IF(TODAY()&gt;$Y730,"OVERDUE",IF($Y730&lt;=WORKDAY(TODAY(),1,Holidays),"DUE TOMORROW",IF($W730=4,"ESCALATED TO LOCAL OFFICE",IF($W730=5,"ESCALATED TO CBE",IF($X730=TODAY(),"EMAIL SENT","MONITORING"))))))))))</f>
        <v/>
      </c>
      <c r="U730" s="17">
        <f>IF($T730="",IF(AND(COUNTA($A730:$K730)&gt;0,$L730=""),"Awaiting Collection Email time stamp.",""),IF(OR($T730="PAID",$T730="CLOSED"),IF($T730="PAID","Account paid. Action completed.","Account closed. No further action required."),CHOOSE($W730,"Collection Email","1st Email Follow-up","2nd Email Follow-up","Escalation to Local Office","Escalation to CBE","Escalation to Roxanne")&amp;" sent "&amp;TEXT($X730,"dd-mmm")&amp;". "&amp;IF($W730=6,"Final escalation completed.",IF($T730="OVERDUE","Next: "&amp;$Z730&amp;" was due "&amp;TEXT($Y730,"dd-mmm")&amp;" - "&amp;(NETWORKDAYS($Y730,TODAY(),Holidays)-1)&amp;" business day(s) late. Send now.",IF($T730="DUE TOMORROW","Next: "&amp;$Z730&amp;IF($Y730&lt;=TODAY()," is due TODAY ("," is due next business day (")&amp;TEXT($Y730,"dd-mmm")&amp;").","Next: "&amp;$Z730&amp;" due "&amp;TEXT($Y730,"dd-mmm")&amp;" ("&amp;(NETWORKDAYS(TODAY(),$Y730,Holidays)-1)&amp;" business day(s) left).")))))</f>
        <v/>
      </c>
      <c r="V730" s="17">
        <f>IF($W730="","",CHOOSE($W730,"Collection Email","1st Follow-up","2nd Follow-up","Local Office","CBE","Roxanne")&amp;IF($W730=6," - Final"," - Day "&amp;MAX(0,NETWORKDAYS($X730,TODAY(),Holidays)-1)&amp;" of "&amp;CHOOSE($W730,3,3,2,2,3))&amp;" | Total Day "&amp;MAX(0,NETWORKDAYS($L730,TODAY(),Holidays)-1))</f>
        <v/>
      </c>
      <c r="W730" s="17">
        <f>IF($L730="","",COUNT($L730:$Q730))</f>
        <v/>
      </c>
      <c r="X730" s="18">
        <f>IF($W730="","",INT(INDEX($L730:$Q730,$W730)))</f>
        <v/>
      </c>
      <c r="Y730" s="18">
        <f>IF(OR($W730="",$W730=6),"",WORKDAY($X730,CHOOSE($W730,3,3,2,2,3),Holidays))</f>
        <v/>
      </c>
      <c r="Z730" s="17">
        <f>IF(OR($W730="",$W730=6),"",CHOOSE($W730,"1st Email Follow-up","2nd Email Follow-up","Escalate Local Office","Escalate to CBE","Escalate to Roxanne"))</f>
        <v/>
      </c>
    </row>
    <row r="731" spans="18:26">
      <c r="R731" s="15"/>
      <c r="S731" s="16"/>
      <c r="T731" s="17">
        <f>IF(AND(COUNTA($A731:$K731)=0,$L731=""),"",IF($S731="Paid","PAID",IF($S731="Closed","CLOSED",IF($W731="","",IF($W731=6,"ESCALATED TO ROXANNE",IF(TODAY()&gt;$Y731,"OVERDUE",IF($Y731&lt;=WORKDAY(TODAY(),1,Holidays),"DUE TOMORROW",IF($W731=4,"ESCALATED TO LOCAL OFFICE",IF($W731=5,"ESCALATED TO CBE",IF($X731=TODAY(),"EMAIL SENT","MONITORING"))))))))))</f>
        <v/>
      </c>
      <c r="U731" s="17">
        <f>IF($T731="",IF(AND(COUNTA($A731:$K731)&gt;0,$L731=""),"Awaiting Collection Email time stamp.",""),IF(OR($T731="PAID",$T731="CLOSED"),IF($T731="PAID","Account paid. Action completed.","Account closed. No further action required."),CHOOSE($W731,"Collection Email","1st Email Follow-up","2nd Email Follow-up","Escalation to Local Office","Escalation to CBE","Escalation to Roxanne")&amp;" sent "&amp;TEXT($X731,"dd-mmm")&amp;". "&amp;IF($W731=6,"Final escalation completed.",IF($T731="OVERDUE","Next: "&amp;$Z731&amp;" was due "&amp;TEXT($Y731,"dd-mmm")&amp;" - "&amp;(NETWORKDAYS($Y731,TODAY(),Holidays)-1)&amp;" business day(s) late. Send now.",IF($T731="DUE TOMORROW","Next: "&amp;$Z731&amp;IF($Y731&lt;=TODAY()," is due TODAY ("," is due next business day (")&amp;TEXT($Y731,"dd-mmm")&amp;").","Next: "&amp;$Z731&amp;" due "&amp;TEXT($Y731,"dd-mmm")&amp;" ("&amp;(NETWORKDAYS(TODAY(),$Y731,Holidays)-1)&amp;" business day(s) left).")))))</f>
        <v/>
      </c>
      <c r="V731" s="17">
        <f>IF($W731="","",CHOOSE($W731,"Collection Email","1st Follow-up","2nd Follow-up","Local Office","CBE","Roxanne")&amp;IF($W731=6," - Final"," - Day "&amp;MAX(0,NETWORKDAYS($X731,TODAY(),Holidays)-1)&amp;" of "&amp;CHOOSE($W731,3,3,2,2,3))&amp;" | Total Day "&amp;MAX(0,NETWORKDAYS($L731,TODAY(),Holidays)-1))</f>
        <v/>
      </c>
      <c r="W731" s="17">
        <f>IF($L731="","",COUNT($L731:$Q731))</f>
        <v/>
      </c>
      <c r="X731" s="18">
        <f>IF($W731="","",INT(INDEX($L731:$Q731,$W731)))</f>
        <v/>
      </c>
      <c r="Y731" s="18">
        <f>IF(OR($W731="",$W731=6),"",WORKDAY($X731,CHOOSE($W731,3,3,2,2,3),Holidays))</f>
        <v/>
      </c>
      <c r="Z731" s="17">
        <f>IF(OR($W731="",$W731=6),"",CHOOSE($W731,"1st Email Follow-up","2nd Email Follow-up","Escalate Local Office","Escalate to CBE","Escalate to Roxanne"))</f>
        <v/>
      </c>
    </row>
    <row r="732" spans="18:26">
      <c r="R732" s="15"/>
      <c r="S732" s="16"/>
      <c r="T732" s="17">
        <f>IF(AND(COUNTA($A732:$K732)=0,$L732=""),"",IF($S732="Paid","PAID",IF($S732="Closed","CLOSED",IF($W732="","",IF($W732=6,"ESCALATED TO ROXANNE",IF(TODAY()&gt;$Y732,"OVERDUE",IF($Y732&lt;=WORKDAY(TODAY(),1,Holidays),"DUE TOMORROW",IF($W732=4,"ESCALATED TO LOCAL OFFICE",IF($W732=5,"ESCALATED TO CBE",IF($X732=TODAY(),"EMAIL SENT","MONITORING"))))))))))</f>
        <v/>
      </c>
      <c r="U732" s="17">
        <f>IF($T732="",IF(AND(COUNTA($A732:$K732)&gt;0,$L732=""),"Awaiting Collection Email time stamp.",""),IF(OR($T732="PAID",$T732="CLOSED"),IF($T732="PAID","Account paid. Action completed.","Account closed. No further action required."),CHOOSE($W732,"Collection Email","1st Email Follow-up","2nd Email Follow-up","Escalation to Local Office","Escalation to CBE","Escalation to Roxanne")&amp;" sent "&amp;TEXT($X732,"dd-mmm")&amp;". "&amp;IF($W732=6,"Final escalation completed.",IF($T732="OVERDUE","Next: "&amp;$Z732&amp;" was due "&amp;TEXT($Y732,"dd-mmm")&amp;" - "&amp;(NETWORKDAYS($Y732,TODAY(),Holidays)-1)&amp;" business day(s) late. Send now.",IF($T732="DUE TOMORROW","Next: "&amp;$Z732&amp;IF($Y732&lt;=TODAY()," is due TODAY ("," is due next business day (")&amp;TEXT($Y732,"dd-mmm")&amp;").","Next: "&amp;$Z732&amp;" due "&amp;TEXT($Y732,"dd-mmm")&amp;" ("&amp;(NETWORKDAYS(TODAY(),$Y732,Holidays)-1)&amp;" business day(s) left).")))))</f>
        <v/>
      </c>
      <c r="V732" s="17">
        <f>IF($W732="","",CHOOSE($W732,"Collection Email","1st Follow-up","2nd Follow-up","Local Office","CBE","Roxanne")&amp;IF($W732=6," - Final"," - Day "&amp;MAX(0,NETWORKDAYS($X732,TODAY(),Holidays)-1)&amp;" of "&amp;CHOOSE($W732,3,3,2,2,3))&amp;" | Total Day "&amp;MAX(0,NETWORKDAYS($L732,TODAY(),Holidays)-1))</f>
        <v/>
      </c>
      <c r="W732" s="17">
        <f>IF($L732="","",COUNT($L732:$Q732))</f>
        <v/>
      </c>
      <c r="X732" s="18">
        <f>IF($W732="","",INT(INDEX($L732:$Q732,$W732)))</f>
        <v/>
      </c>
      <c r="Y732" s="18">
        <f>IF(OR($W732="",$W732=6),"",WORKDAY($X732,CHOOSE($W732,3,3,2,2,3),Holidays))</f>
        <v/>
      </c>
      <c r="Z732" s="17">
        <f>IF(OR($W732="",$W732=6),"",CHOOSE($W732,"1st Email Follow-up","2nd Email Follow-up","Escalate Local Office","Escalate to CBE","Escalate to Roxanne"))</f>
        <v/>
      </c>
    </row>
    <row r="733" spans="18:26">
      <c r="R733" s="15"/>
      <c r="S733" s="16"/>
      <c r="T733" s="17">
        <f>IF(AND(COUNTA($A733:$K733)=0,$L733=""),"",IF($S733="Paid","PAID",IF($S733="Closed","CLOSED",IF($W733="","",IF($W733=6,"ESCALATED TO ROXANNE",IF(TODAY()&gt;$Y733,"OVERDUE",IF($Y733&lt;=WORKDAY(TODAY(),1,Holidays),"DUE TOMORROW",IF($W733=4,"ESCALATED TO LOCAL OFFICE",IF($W733=5,"ESCALATED TO CBE",IF($X733=TODAY(),"EMAIL SENT","MONITORING"))))))))))</f>
        <v/>
      </c>
      <c r="U733" s="17">
        <f>IF($T733="",IF(AND(COUNTA($A733:$K733)&gt;0,$L733=""),"Awaiting Collection Email time stamp.",""),IF(OR($T733="PAID",$T733="CLOSED"),IF($T733="PAID","Account paid. Action completed.","Account closed. No further action required."),CHOOSE($W733,"Collection Email","1st Email Follow-up","2nd Email Follow-up","Escalation to Local Office","Escalation to CBE","Escalation to Roxanne")&amp;" sent "&amp;TEXT($X733,"dd-mmm")&amp;". "&amp;IF($W733=6,"Final escalation completed.",IF($T733="OVERDUE","Next: "&amp;$Z733&amp;" was due "&amp;TEXT($Y733,"dd-mmm")&amp;" - "&amp;(NETWORKDAYS($Y733,TODAY(),Holidays)-1)&amp;" business day(s) late. Send now.",IF($T733="DUE TOMORROW","Next: "&amp;$Z733&amp;IF($Y733&lt;=TODAY()," is due TODAY ("," is due next business day (")&amp;TEXT($Y733,"dd-mmm")&amp;").","Next: "&amp;$Z733&amp;" due "&amp;TEXT($Y733,"dd-mmm")&amp;" ("&amp;(NETWORKDAYS(TODAY(),$Y733,Holidays)-1)&amp;" business day(s) left).")))))</f>
        <v/>
      </c>
      <c r="V733" s="17">
        <f>IF($W733="","",CHOOSE($W733,"Collection Email","1st Follow-up","2nd Follow-up","Local Office","CBE","Roxanne")&amp;IF($W733=6," - Final"," - Day "&amp;MAX(0,NETWORKDAYS($X733,TODAY(),Holidays)-1)&amp;" of "&amp;CHOOSE($W733,3,3,2,2,3))&amp;" | Total Day "&amp;MAX(0,NETWORKDAYS($L733,TODAY(),Holidays)-1))</f>
        <v/>
      </c>
      <c r="W733" s="17">
        <f>IF($L733="","",COUNT($L733:$Q733))</f>
        <v/>
      </c>
      <c r="X733" s="18">
        <f>IF($W733="","",INT(INDEX($L733:$Q733,$W733)))</f>
        <v/>
      </c>
      <c r="Y733" s="18">
        <f>IF(OR($W733="",$W733=6),"",WORKDAY($X733,CHOOSE($W733,3,3,2,2,3),Holidays))</f>
        <v/>
      </c>
      <c r="Z733" s="17">
        <f>IF(OR($W733="",$W733=6),"",CHOOSE($W733,"1st Email Follow-up","2nd Email Follow-up","Escalate Local Office","Escalate to CBE","Escalate to Roxanne"))</f>
        <v/>
      </c>
    </row>
    <row r="734" spans="18:26">
      <c r="R734" s="15"/>
      <c r="S734" s="16"/>
      <c r="T734" s="17">
        <f>IF(AND(COUNTA($A734:$K734)=0,$L734=""),"",IF($S734="Paid","PAID",IF($S734="Closed","CLOSED",IF($W734="","",IF($W734=6,"ESCALATED TO ROXANNE",IF(TODAY()&gt;$Y734,"OVERDUE",IF($Y734&lt;=WORKDAY(TODAY(),1,Holidays),"DUE TOMORROW",IF($W734=4,"ESCALATED TO LOCAL OFFICE",IF($W734=5,"ESCALATED TO CBE",IF($X734=TODAY(),"EMAIL SENT","MONITORING"))))))))))</f>
        <v/>
      </c>
      <c r="U734" s="17">
        <f>IF($T734="",IF(AND(COUNTA($A734:$K734)&gt;0,$L734=""),"Awaiting Collection Email time stamp.",""),IF(OR($T734="PAID",$T734="CLOSED"),IF($T734="PAID","Account paid. Action completed.","Account closed. No further action required."),CHOOSE($W734,"Collection Email","1st Email Follow-up","2nd Email Follow-up","Escalation to Local Office","Escalation to CBE","Escalation to Roxanne")&amp;" sent "&amp;TEXT($X734,"dd-mmm")&amp;". "&amp;IF($W734=6,"Final escalation completed.",IF($T734="OVERDUE","Next: "&amp;$Z734&amp;" was due "&amp;TEXT($Y734,"dd-mmm")&amp;" - "&amp;(NETWORKDAYS($Y734,TODAY(),Holidays)-1)&amp;" business day(s) late. Send now.",IF($T734="DUE TOMORROW","Next: "&amp;$Z734&amp;IF($Y734&lt;=TODAY()," is due TODAY ("," is due next business day (")&amp;TEXT($Y734,"dd-mmm")&amp;").","Next: "&amp;$Z734&amp;" due "&amp;TEXT($Y734,"dd-mmm")&amp;" ("&amp;(NETWORKDAYS(TODAY(),$Y734,Holidays)-1)&amp;" business day(s) left).")))))</f>
        <v/>
      </c>
      <c r="V734" s="17">
        <f>IF($W734="","",CHOOSE($W734,"Collection Email","1st Follow-up","2nd Follow-up","Local Office","CBE","Roxanne")&amp;IF($W734=6," - Final"," - Day "&amp;MAX(0,NETWORKDAYS($X734,TODAY(),Holidays)-1)&amp;" of "&amp;CHOOSE($W734,3,3,2,2,3))&amp;" | Total Day "&amp;MAX(0,NETWORKDAYS($L734,TODAY(),Holidays)-1))</f>
        <v/>
      </c>
      <c r="W734" s="17">
        <f>IF($L734="","",COUNT($L734:$Q734))</f>
        <v/>
      </c>
      <c r="X734" s="18">
        <f>IF($W734="","",INT(INDEX($L734:$Q734,$W734)))</f>
        <v/>
      </c>
      <c r="Y734" s="18">
        <f>IF(OR($W734="",$W734=6),"",WORKDAY($X734,CHOOSE($W734,3,3,2,2,3),Holidays))</f>
        <v/>
      </c>
      <c r="Z734" s="17">
        <f>IF(OR($W734="",$W734=6),"",CHOOSE($W734,"1st Email Follow-up","2nd Email Follow-up","Escalate Local Office","Escalate to CBE","Escalate to Roxanne"))</f>
        <v/>
      </c>
    </row>
    <row r="735" spans="18:26">
      <c r="R735" s="15"/>
      <c r="S735" s="16"/>
      <c r="T735" s="17">
        <f>IF(AND(COUNTA($A735:$K735)=0,$L735=""),"",IF($S735="Paid","PAID",IF($S735="Closed","CLOSED",IF($W735="","",IF($W735=6,"ESCALATED TO ROXANNE",IF(TODAY()&gt;$Y735,"OVERDUE",IF($Y735&lt;=WORKDAY(TODAY(),1,Holidays),"DUE TOMORROW",IF($W735=4,"ESCALATED TO LOCAL OFFICE",IF($W735=5,"ESCALATED TO CBE",IF($X735=TODAY(),"EMAIL SENT","MONITORING"))))))))))</f>
        <v/>
      </c>
      <c r="U735" s="17">
        <f>IF($T735="",IF(AND(COUNTA($A735:$K735)&gt;0,$L735=""),"Awaiting Collection Email time stamp.",""),IF(OR($T735="PAID",$T735="CLOSED"),IF($T735="PAID","Account paid. Action completed.","Account closed. No further action required."),CHOOSE($W735,"Collection Email","1st Email Follow-up","2nd Email Follow-up","Escalation to Local Office","Escalation to CBE","Escalation to Roxanne")&amp;" sent "&amp;TEXT($X735,"dd-mmm")&amp;". "&amp;IF($W735=6,"Final escalation completed.",IF($T735="OVERDUE","Next: "&amp;$Z735&amp;" was due "&amp;TEXT($Y735,"dd-mmm")&amp;" - "&amp;(NETWORKDAYS($Y735,TODAY(),Holidays)-1)&amp;" business day(s) late. Send now.",IF($T735="DUE TOMORROW","Next: "&amp;$Z735&amp;IF($Y735&lt;=TODAY()," is due TODAY ("," is due next business day (")&amp;TEXT($Y735,"dd-mmm")&amp;").","Next: "&amp;$Z735&amp;" due "&amp;TEXT($Y735,"dd-mmm")&amp;" ("&amp;(NETWORKDAYS(TODAY(),$Y735,Holidays)-1)&amp;" business day(s) left).")))))</f>
        <v/>
      </c>
      <c r="V735" s="17">
        <f>IF($W735="","",CHOOSE($W735,"Collection Email","1st Follow-up","2nd Follow-up","Local Office","CBE","Roxanne")&amp;IF($W735=6," - Final"," - Day "&amp;MAX(0,NETWORKDAYS($X735,TODAY(),Holidays)-1)&amp;" of "&amp;CHOOSE($W735,3,3,2,2,3))&amp;" | Total Day "&amp;MAX(0,NETWORKDAYS($L735,TODAY(),Holidays)-1))</f>
        <v/>
      </c>
      <c r="W735" s="17">
        <f>IF($L735="","",COUNT($L735:$Q735))</f>
        <v/>
      </c>
      <c r="X735" s="18">
        <f>IF($W735="","",INT(INDEX($L735:$Q735,$W735)))</f>
        <v/>
      </c>
      <c r="Y735" s="18">
        <f>IF(OR($W735="",$W735=6),"",WORKDAY($X735,CHOOSE($W735,3,3,2,2,3),Holidays))</f>
        <v/>
      </c>
      <c r="Z735" s="17">
        <f>IF(OR($W735="",$W735=6),"",CHOOSE($W735,"1st Email Follow-up","2nd Email Follow-up","Escalate Local Office","Escalate to CBE","Escalate to Roxanne"))</f>
        <v/>
      </c>
    </row>
    <row r="736" spans="18:26">
      <c r="R736" s="15"/>
      <c r="S736" s="16"/>
      <c r="T736" s="17">
        <f>IF(AND(COUNTA($A736:$K736)=0,$L736=""),"",IF($S736="Paid","PAID",IF($S736="Closed","CLOSED",IF($W736="","",IF($W736=6,"ESCALATED TO ROXANNE",IF(TODAY()&gt;$Y736,"OVERDUE",IF($Y736&lt;=WORKDAY(TODAY(),1,Holidays),"DUE TOMORROW",IF($W736=4,"ESCALATED TO LOCAL OFFICE",IF($W736=5,"ESCALATED TO CBE",IF($X736=TODAY(),"EMAIL SENT","MONITORING"))))))))))</f>
        <v/>
      </c>
      <c r="U736" s="17">
        <f>IF($T736="",IF(AND(COUNTA($A736:$K736)&gt;0,$L736=""),"Awaiting Collection Email time stamp.",""),IF(OR($T736="PAID",$T736="CLOSED"),IF($T736="PAID","Account paid. Action completed.","Account closed. No further action required."),CHOOSE($W736,"Collection Email","1st Email Follow-up","2nd Email Follow-up","Escalation to Local Office","Escalation to CBE","Escalation to Roxanne")&amp;" sent "&amp;TEXT($X736,"dd-mmm")&amp;". "&amp;IF($W736=6,"Final escalation completed.",IF($T736="OVERDUE","Next: "&amp;$Z736&amp;" was due "&amp;TEXT($Y736,"dd-mmm")&amp;" - "&amp;(NETWORKDAYS($Y736,TODAY(),Holidays)-1)&amp;" business day(s) late. Send now.",IF($T736="DUE TOMORROW","Next: "&amp;$Z736&amp;IF($Y736&lt;=TODAY()," is due TODAY ("," is due next business day (")&amp;TEXT($Y736,"dd-mmm")&amp;").","Next: "&amp;$Z736&amp;" due "&amp;TEXT($Y736,"dd-mmm")&amp;" ("&amp;(NETWORKDAYS(TODAY(),$Y736,Holidays)-1)&amp;" business day(s) left).")))))</f>
        <v/>
      </c>
      <c r="V736" s="17">
        <f>IF($W736="","",CHOOSE($W736,"Collection Email","1st Follow-up","2nd Follow-up","Local Office","CBE","Roxanne")&amp;IF($W736=6," - Final"," - Day "&amp;MAX(0,NETWORKDAYS($X736,TODAY(),Holidays)-1)&amp;" of "&amp;CHOOSE($W736,3,3,2,2,3))&amp;" | Total Day "&amp;MAX(0,NETWORKDAYS($L736,TODAY(),Holidays)-1))</f>
        <v/>
      </c>
      <c r="W736" s="17">
        <f>IF($L736="","",COUNT($L736:$Q736))</f>
        <v/>
      </c>
      <c r="X736" s="18">
        <f>IF($W736="","",INT(INDEX($L736:$Q736,$W736)))</f>
        <v/>
      </c>
      <c r="Y736" s="18">
        <f>IF(OR($W736="",$W736=6),"",WORKDAY($X736,CHOOSE($W736,3,3,2,2,3),Holidays))</f>
        <v/>
      </c>
      <c r="Z736" s="17">
        <f>IF(OR($W736="",$W736=6),"",CHOOSE($W736,"1st Email Follow-up","2nd Email Follow-up","Escalate Local Office","Escalate to CBE","Escalate to Roxanne"))</f>
        <v/>
      </c>
    </row>
    <row r="737" spans="18:26">
      <c r="R737" s="15"/>
      <c r="S737" s="16"/>
      <c r="T737" s="17">
        <f>IF(AND(COUNTA($A737:$K737)=0,$L737=""),"",IF($S737="Paid","PAID",IF($S737="Closed","CLOSED",IF($W737="","",IF($W737=6,"ESCALATED TO ROXANNE",IF(TODAY()&gt;$Y737,"OVERDUE",IF($Y737&lt;=WORKDAY(TODAY(),1,Holidays),"DUE TOMORROW",IF($W737=4,"ESCALATED TO LOCAL OFFICE",IF($W737=5,"ESCALATED TO CBE",IF($X737=TODAY(),"EMAIL SENT","MONITORING"))))))))))</f>
        <v/>
      </c>
      <c r="U737" s="17">
        <f>IF($T737="",IF(AND(COUNTA($A737:$K737)&gt;0,$L737=""),"Awaiting Collection Email time stamp.",""),IF(OR($T737="PAID",$T737="CLOSED"),IF($T737="PAID","Account paid. Action completed.","Account closed. No further action required."),CHOOSE($W737,"Collection Email","1st Email Follow-up","2nd Email Follow-up","Escalation to Local Office","Escalation to CBE","Escalation to Roxanne")&amp;" sent "&amp;TEXT($X737,"dd-mmm")&amp;". "&amp;IF($W737=6,"Final escalation completed.",IF($T737="OVERDUE","Next: "&amp;$Z737&amp;" was due "&amp;TEXT($Y737,"dd-mmm")&amp;" - "&amp;(NETWORKDAYS($Y737,TODAY(),Holidays)-1)&amp;" business day(s) late. Send now.",IF($T737="DUE TOMORROW","Next: "&amp;$Z737&amp;IF($Y737&lt;=TODAY()," is due TODAY ("," is due next business day (")&amp;TEXT($Y737,"dd-mmm")&amp;").","Next: "&amp;$Z737&amp;" due "&amp;TEXT($Y737,"dd-mmm")&amp;" ("&amp;(NETWORKDAYS(TODAY(),$Y737,Holidays)-1)&amp;" business day(s) left).")))))</f>
        <v/>
      </c>
      <c r="V737" s="17">
        <f>IF($W737="","",CHOOSE($W737,"Collection Email","1st Follow-up","2nd Follow-up","Local Office","CBE","Roxanne")&amp;IF($W737=6," - Final"," - Day "&amp;MAX(0,NETWORKDAYS($X737,TODAY(),Holidays)-1)&amp;" of "&amp;CHOOSE($W737,3,3,2,2,3))&amp;" | Total Day "&amp;MAX(0,NETWORKDAYS($L737,TODAY(),Holidays)-1))</f>
        <v/>
      </c>
      <c r="W737" s="17">
        <f>IF($L737="","",COUNT($L737:$Q737))</f>
        <v/>
      </c>
      <c r="X737" s="18">
        <f>IF($W737="","",INT(INDEX($L737:$Q737,$W737)))</f>
        <v/>
      </c>
      <c r="Y737" s="18">
        <f>IF(OR($W737="",$W737=6),"",WORKDAY($X737,CHOOSE($W737,3,3,2,2,3),Holidays))</f>
        <v/>
      </c>
      <c r="Z737" s="17">
        <f>IF(OR($W737="",$W737=6),"",CHOOSE($W737,"1st Email Follow-up","2nd Email Follow-up","Escalate Local Office","Escalate to CBE","Escalate to Roxanne"))</f>
        <v/>
      </c>
    </row>
    <row r="738" spans="18:26">
      <c r="R738" s="15"/>
      <c r="S738" s="16"/>
      <c r="T738" s="17">
        <f>IF(AND(COUNTA($A738:$K738)=0,$L738=""),"",IF($S738="Paid","PAID",IF($S738="Closed","CLOSED",IF($W738="","",IF($W738=6,"ESCALATED TO ROXANNE",IF(TODAY()&gt;$Y738,"OVERDUE",IF($Y738&lt;=WORKDAY(TODAY(),1,Holidays),"DUE TOMORROW",IF($W738=4,"ESCALATED TO LOCAL OFFICE",IF($W738=5,"ESCALATED TO CBE",IF($X738=TODAY(),"EMAIL SENT","MONITORING"))))))))))</f>
        <v/>
      </c>
      <c r="U738" s="17">
        <f>IF($T738="",IF(AND(COUNTA($A738:$K738)&gt;0,$L738=""),"Awaiting Collection Email time stamp.",""),IF(OR($T738="PAID",$T738="CLOSED"),IF($T738="PAID","Account paid. Action completed.","Account closed. No further action required."),CHOOSE($W738,"Collection Email","1st Email Follow-up","2nd Email Follow-up","Escalation to Local Office","Escalation to CBE","Escalation to Roxanne")&amp;" sent "&amp;TEXT($X738,"dd-mmm")&amp;". "&amp;IF($W738=6,"Final escalation completed.",IF($T738="OVERDUE","Next: "&amp;$Z738&amp;" was due "&amp;TEXT($Y738,"dd-mmm")&amp;" - "&amp;(NETWORKDAYS($Y738,TODAY(),Holidays)-1)&amp;" business day(s) late. Send now.",IF($T738="DUE TOMORROW","Next: "&amp;$Z738&amp;IF($Y738&lt;=TODAY()," is due TODAY ("," is due next business day (")&amp;TEXT($Y738,"dd-mmm")&amp;").","Next: "&amp;$Z738&amp;" due "&amp;TEXT($Y738,"dd-mmm")&amp;" ("&amp;(NETWORKDAYS(TODAY(),$Y738,Holidays)-1)&amp;" business day(s) left).")))))</f>
        <v/>
      </c>
      <c r="V738" s="17">
        <f>IF($W738="","",CHOOSE($W738,"Collection Email","1st Follow-up","2nd Follow-up","Local Office","CBE","Roxanne")&amp;IF($W738=6," - Final"," - Day "&amp;MAX(0,NETWORKDAYS($X738,TODAY(),Holidays)-1)&amp;" of "&amp;CHOOSE($W738,3,3,2,2,3))&amp;" | Total Day "&amp;MAX(0,NETWORKDAYS($L738,TODAY(),Holidays)-1))</f>
        <v/>
      </c>
      <c r="W738" s="17">
        <f>IF($L738="","",COUNT($L738:$Q738))</f>
        <v/>
      </c>
      <c r="X738" s="18">
        <f>IF($W738="","",INT(INDEX($L738:$Q738,$W738)))</f>
        <v/>
      </c>
      <c r="Y738" s="18">
        <f>IF(OR($W738="",$W738=6),"",WORKDAY($X738,CHOOSE($W738,3,3,2,2,3),Holidays))</f>
        <v/>
      </c>
      <c r="Z738" s="17">
        <f>IF(OR($W738="",$W738=6),"",CHOOSE($W738,"1st Email Follow-up","2nd Email Follow-up","Escalate Local Office","Escalate to CBE","Escalate to Roxanne"))</f>
        <v/>
      </c>
    </row>
    <row r="739" spans="18:26">
      <c r="R739" s="15"/>
      <c r="S739" s="16"/>
      <c r="T739" s="17">
        <f>IF(AND(COUNTA($A739:$K739)=0,$L739=""),"",IF($S739="Paid","PAID",IF($S739="Closed","CLOSED",IF($W739="","",IF($W739=6,"ESCALATED TO ROXANNE",IF(TODAY()&gt;$Y739,"OVERDUE",IF($Y739&lt;=WORKDAY(TODAY(),1,Holidays),"DUE TOMORROW",IF($W739=4,"ESCALATED TO LOCAL OFFICE",IF($W739=5,"ESCALATED TO CBE",IF($X739=TODAY(),"EMAIL SENT","MONITORING"))))))))))</f>
        <v/>
      </c>
      <c r="U739" s="17">
        <f>IF($T739="",IF(AND(COUNTA($A739:$K739)&gt;0,$L739=""),"Awaiting Collection Email time stamp.",""),IF(OR($T739="PAID",$T739="CLOSED"),IF($T739="PAID","Account paid. Action completed.","Account closed. No further action required."),CHOOSE($W739,"Collection Email","1st Email Follow-up","2nd Email Follow-up","Escalation to Local Office","Escalation to CBE","Escalation to Roxanne")&amp;" sent "&amp;TEXT($X739,"dd-mmm")&amp;". "&amp;IF($W739=6,"Final escalation completed.",IF($T739="OVERDUE","Next: "&amp;$Z739&amp;" was due "&amp;TEXT($Y739,"dd-mmm")&amp;" - "&amp;(NETWORKDAYS($Y739,TODAY(),Holidays)-1)&amp;" business day(s) late. Send now.",IF($T739="DUE TOMORROW","Next: "&amp;$Z739&amp;IF($Y739&lt;=TODAY()," is due TODAY ("," is due next business day (")&amp;TEXT($Y739,"dd-mmm")&amp;").","Next: "&amp;$Z739&amp;" due "&amp;TEXT($Y739,"dd-mmm")&amp;" ("&amp;(NETWORKDAYS(TODAY(),$Y739,Holidays)-1)&amp;" business day(s) left).")))))</f>
        <v/>
      </c>
      <c r="V739" s="17">
        <f>IF($W739="","",CHOOSE($W739,"Collection Email","1st Follow-up","2nd Follow-up","Local Office","CBE","Roxanne")&amp;IF($W739=6," - Final"," - Day "&amp;MAX(0,NETWORKDAYS($X739,TODAY(),Holidays)-1)&amp;" of "&amp;CHOOSE($W739,3,3,2,2,3))&amp;" | Total Day "&amp;MAX(0,NETWORKDAYS($L739,TODAY(),Holidays)-1))</f>
        <v/>
      </c>
      <c r="W739" s="17">
        <f>IF($L739="","",COUNT($L739:$Q739))</f>
        <v/>
      </c>
      <c r="X739" s="18">
        <f>IF($W739="","",INT(INDEX($L739:$Q739,$W739)))</f>
        <v/>
      </c>
      <c r="Y739" s="18">
        <f>IF(OR($W739="",$W739=6),"",WORKDAY($X739,CHOOSE($W739,3,3,2,2,3),Holidays))</f>
        <v/>
      </c>
      <c r="Z739" s="17">
        <f>IF(OR($W739="",$W739=6),"",CHOOSE($W739,"1st Email Follow-up","2nd Email Follow-up","Escalate Local Office","Escalate to CBE","Escalate to Roxanne"))</f>
        <v/>
      </c>
    </row>
    <row r="740" spans="18:26">
      <c r="R740" s="15"/>
      <c r="S740" s="16"/>
      <c r="T740" s="17">
        <f>IF(AND(COUNTA($A740:$K740)=0,$L740=""),"",IF($S740="Paid","PAID",IF($S740="Closed","CLOSED",IF($W740="","",IF($W740=6,"ESCALATED TO ROXANNE",IF(TODAY()&gt;$Y740,"OVERDUE",IF($Y740&lt;=WORKDAY(TODAY(),1,Holidays),"DUE TOMORROW",IF($W740=4,"ESCALATED TO LOCAL OFFICE",IF($W740=5,"ESCALATED TO CBE",IF($X740=TODAY(),"EMAIL SENT","MONITORING"))))))))))</f>
        <v/>
      </c>
      <c r="U740" s="17">
        <f>IF($T740="",IF(AND(COUNTA($A740:$K740)&gt;0,$L740=""),"Awaiting Collection Email time stamp.",""),IF(OR($T740="PAID",$T740="CLOSED"),IF($T740="PAID","Account paid. Action completed.","Account closed. No further action required."),CHOOSE($W740,"Collection Email","1st Email Follow-up","2nd Email Follow-up","Escalation to Local Office","Escalation to CBE","Escalation to Roxanne")&amp;" sent "&amp;TEXT($X740,"dd-mmm")&amp;". "&amp;IF($W740=6,"Final escalation completed.",IF($T740="OVERDUE","Next: "&amp;$Z740&amp;" was due "&amp;TEXT($Y740,"dd-mmm")&amp;" - "&amp;(NETWORKDAYS($Y740,TODAY(),Holidays)-1)&amp;" business day(s) late. Send now.",IF($T740="DUE TOMORROW","Next: "&amp;$Z740&amp;IF($Y740&lt;=TODAY()," is due TODAY ("," is due next business day (")&amp;TEXT($Y740,"dd-mmm")&amp;").","Next: "&amp;$Z740&amp;" due "&amp;TEXT($Y740,"dd-mmm")&amp;" ("&amp;(NETWORKDAYS(TODAY(),$Y740,Holidays)-1)&amp;" business day(s) left).")))))</f>
        <v/>
      </c>
      <c r="V740" s="17">
        <f>IF($W740="","",CHOOSE($W740,"Collection Email","1st Follow-up","2nd Follow-up","Local Office","CBE","Roxanne")&amp;IF($W740=6," - Final"," - Day "&amp;MAX(0,NETWORKDAYS($X740,TODAY(),Holidays)-1)&amp;" of "&amp;CHOOSE($W740,3,3,2,2,3))&amp;" | Total Day "&amp;MAX(0,NETWORKDAYS($L740,TODAY(),Holidays)-1))</f>
        <v/>
      </c>
      <c r="W740" s="17">
        <f>IF($L740="","",COUNT($L740:$Q740))</f>
        <v/>
      </c>
      <c r="X740" s="18">
        <f>IF($W740="","",INT(INDEX($L740:$Q740,$W740)))</f>
        <v/>
      </c>
      <c r="Y740" s="18">
        <f>IF(OR($W740="",$W740=6),"",WORKDAY($X740,CHOOSE($W740,3,3,2,2,3),Holidays))</f>
        <v/>
      </c>
      <c r="Z740" s="17">
        <f>IF(OR($W740="",$W740=6),"",CHOOSE($W740,"1st Email Follow-up","2nd Email Follow-up","Escalate Local Office","Escalate to CBE","Escalate to Roxanne"))</f>
        <v/>
      </c>
    </row>
    <row r="741" spans="18:26">
      <c r="R741" s="15"/>
      <c r="S741" s="16"/>
      <c r="T741" s="17">
        <f>IF(AND(COUNTA($A741:$K741)=0,$L741=""),"",IF($S741="Paid","PAID",IF($S741="Closed","CLOSED",IF($W741="","",IF($W741=6,"ESCALATED TO ROXANNE",IF(TODAY()&gt;$Y741,"OVERDUE",IF($Y741&lt;=WORKDAY(TODAY(),1,Holidays),"DUE TOMORROW",IF($W741=4,"ESCALATED TO LOCAL OFFICE",IF($W741=5,"ESCALATED TO CBE",IF($X741=TODAY(),"EMAIL SENT","MONITORING"))))))))))</f>
        <v/>
      </c>
      <c r="U741" s="17">
        <f>IF($T741="",IF(AND(COUNTA($A741:$K741)&gt;0,$L741=""),"Awaiting Collection Email time stamp.",""),IF(OR($T741="PAID",$T741="CLOSED"),IF($T741="PAID","Account paid. Action completed.","Account closed. No further action required."),CHOOSE($W741,"Collection Email","1st Email Follow-up","2nd Email Follow-up","Escalation to Local Office","Escalation to CBE","Escalation to Roxanne")&amp;" sent "&amp;TEXT($X741,"dd-mmm")&amp;". "&amp;IF($W741=6,"Final escalation completed.",IF($T741="OVERDUE","Next: "&amp;$Z741&amp;" was due "&amp;TEXT($Y741,"dd-mmm")&amp;" - "&amp;(NETWORKDAYS($Y741,TODAY(),Holidays)-1)&amp;" business day(s) late. Send now.",IF($T741="DUE TOMORROW","Next: "&amp;$Z741&amp;IF($Y741&lt;=TODAY()," is due TODAY ("," is due next business day (")&amp;TEXT($Y741,"dd-mmm")&amp;").","Next: "&amp;$Z741&amp;" due "&amp;TEXT($Y741,"dd-mmm")&amp;" ("&amp;(NETWORKDAYS(TODAY(),$Y741,Holidays)-1)&amp;" business day(s) left).")))))</f>
        <v/>
      </c>
      <c r="V741" s="17">
        <f>IF($W741="","",CHOOSE($W741,"Collection Email","1st Follow-up","2nd Follow-up","Local Office","CBE","Roxanne")&amp;IF($W741=6," - Final"," - Day "&amp;MAX(0,NETWORKDAYS($X741,TODAY(),Holidays)-1)&amp;" of "&amp;CHOOSE($W741,3,3,2,2,3))&amp;" | Total Day "&amp;MAX(0,NETWORKDAYS($L741,TODAY(),Holidays)-1))</f>
        <v/>
      </c>
      <c r="W741" s="17">
        <f>IF($L741="","",COUNT($L741:$Q741))</f>
        <v/>
      </c>
      <c r="X741" s="18">
        <f>IF($W741="","",INT(INDEX($L741:$Q741,$W741)))</f>
        <v/>
      </c>
      <c r="Y741" s="18">
        <f>IF(OR($W741="",$W741=6),"",WORKDAY($X741,CHOOSE($W741,3,3,2,2,3),Holidays))</f>
        <v/>
      </c>
      <c r="Z741" s="17">
        <f>IF(OR($W741="",$W741=6),"",CHOOSE($W741,"1st Email Follow-up","2nd Email Follow-up","Escalate Local Office","Escalate to CBE","Escalate to Roxanne"))</f>
        <v/>
      </c>
    </row>
    <row r="742" spans="18:26">
      <c r="R742" s="15"/>
      <c r="S742" s="16"/>
      <c r="T742" s="17">
        <f>IF(AND(COUNTA($A742:$K742)=0,$L742=""),"",IF($S742="Paid","PAID",IF($S742="Closed","CLOSED",IF($W742="","",IF($W742=6,"ESCALATED TO ROXANNE",IF(TODAY()&gt;$Y742,"OVERDUE",IF($Y742&lt;=WORKDAY(TODAY(),1,Holidays),"DUE TOMORROW",IF($W742=4,"ESCALATED TO LOCAL OFFICE",IF($W742=5,"ESCALATED TO CBE",IF($X742=TODAY(),"EMAIL SENT","MONITORING"))))))))))</f>
        <v/>
      </c>
      <c r="U742" s="17">
        <f>IF($T742="",IF(AND(COUNTA($A742:$K742)&gt;0,$L742=""),"Awaiting Collection Email time stamp.",""),IF(OR($T742="PAID",$T742="CLOSED"),IF($T742="PAID","Account paid. Action completed.","Account closed. No further action required."),CHOOSE($W742,"Collection Email","1st Email Follow-up","2nd Email Follow-up","Escalation to Local Office","Escalation to CBE","Escalation to Roxanne")&amp;" sent "&amp;TEXT($X742,"dd-mmm")&amp;". "&amp;IF($W742=6,"Final escalation completed.",IF($T742="OVERDUE","Next: "&amp;$Z742&amp;" was due "&amp;TEXT($Y742,"dd-mmm")&amp;" - "&amp;(NETWORKDAYS($Y742,TODAY(),Holidays)-1)&amp;" business day(s) late. Send now.",IF($T742="DUE TOMORROW","Next: "&amp;$Z742&amp;IF($Y742&lt;=TODAY()," is due TODAY ("," is due next business day (")&amp;TEXT($Y742,"dd-mmm")&amp;").","Next: "&amp;$Z742&amp;" due "&amp;TEXT($Y742,"dd-mmm")&amp;" ("&amp;(NETWORKDAYS(TODAY(),$Y742,Holidays)-1)&amp;" business day(s) left).")))))</f>
        <v/>
      </c>
      <c r="V742" s="17">
        <f>IF($W742="","",CHOOSE($W742,"Collection Email","1st Follow-up","2nd Follow-up","Local Office","CBE","Roxanne")&amp;IF($W742=6," - Final"," - Day "&amp;MAX(0,NETWORKDAYS($X742,TODAY(),Holidays)-1)&amp;" of "&amp;CHOOSE($W742,3,3,2,2,3))&amp;" | Total Day "&amp;MAX(0,NETWORKDAYS($L742,TODAY(),Holidays)-1))</f>
        <v/>
      </c>
      <c r="W742" s="17">
        <f>IF($L742="","",COUNT($L742:$Q742))</f>
        <v/>
      </c>
      <c r="X742" s="18">
        <f>IF($W742="","",INT(INDEX($L742:$Q742,$W742)))</f>
        <v/>
      </c>
      <c r="Y742" s="18">
        <f>IF(OR($W742="",$W742=6),"",WORKDAY($X742,CHOOSE($W742,3,3,2,2,3),Holidays))</f>
        <v/>
      </c>
      <c r="Z742" s="17">
        <f>IF(OR($W742="",$W742=6),"",CHOOSE($W742,"1st Email Follow-up","2nd Email Follow-up","Escalate Local Office","Escalate to CBE","Escalate to Roxanne"))</f>
        <v/>
      </c>
    </row>
    <row r="743" spans="18:26">
      <c r="R743" s="15"/>
      <c r="S743" s="16"/>
      <c r="T743" s="17">
        <f>IF(AND(COUNTA($A743:$K743)=0,$L743=""),"",IF($S743="Paid","PAID",IF($S743="Closed","CLOSED",IF($W743="","",IF($W743=6,"ESCALATED TO ROXANNE",IF(TODAY()&gt;$Y743,"OVERDUE",IF($Y743&lt;=WORKDAY(TODAY(),1,Holidays),"DUE TOMORROW",IF($W743=4,"ESCALATED TO LOCAL OFFICE",IF($W743=5,"ESCALATED TO CBE",IF($X743=TODAY(),"EMAIL SENT","MONITORING"))))))))))</f>
        <v/>
      </c>
      <c r="U743" s="17">
        <f>IF($T743="",IF(AND(COUNTA($A743:$K743)&gt;0,$L743=""),"Awaiting Collection Email time stamp.",""),IF(OR($T743="PAID",$T743="CLOSED"),IF($T743="PAID","Account paid. Action completed.","Account closed. No further action required."),CHOOSE($W743,"Collection Email","1st Email Follow-up","2nd Email Follow-up","Escalation to Local Office","Escalation to CBE","Escalation to Roxanne")&amp;" sent "&amp;TEXT($X743,"dd-mmm")&amp;". "&amp;IF($W743=6,"Final escalation completed.",IF($T743="OVERDUE","Next: "&amp;$Z743&amp;" was due "&amp;TEXT($Y743,"dd-mmm")&amp;" - "&amp;(NETWORKDAYS($Y743,TODAY(),Holidays)-1)&amp;" business day(s) late. Send now.",IF($T743="DUE TOMORROW","Next: "&amp;$Z743&amp;IF($Y743&lt;=TODAY()," is due TODAY ("," is due next business day (")&amp;TEXT($Y743,"dd-mmm")&amp;").","Next: "&amp;$Z743&amp;" due "&amp;TEXT($Y743,"dd-mmm")&amp;" ("&amp;(NETWORKDAYS(TODAY(),$Y743,Holidays)-1)&amp;" business day(s) left).")))))</f>
        <v/>
      </c>
      <c r="V743" s="17">
        <f>IF($W743="","",CHOOSE($W743,"Collection Email","1st Follow-up","2nd Follow-up","Local Office","CBE","Roxanne")&amp;IF($W743=6," - Final"," - Day "&amp;MAX(0,NETWORKDAYS($X743,TODAY(),Holidays)-1)&amp;" of "&amp;CHOOSE($W743,3,3,2,2,3))&amp;" | Total Day "&amp;MAX(0,NETWORKDAYS($L743,TODAY(),Holidays)-1))</f>
        <v/>
      </c>
      <c r="W743" s="17">
        <f>IF($L743="","",COUNT($L743:$Q743))</f>
        <v/>
      </c>
      <c r="X743" s="18">
        <f>IF($W743="","",INT(INDEX($L743:$Q743,$W743)))</f>
        <v/>
      </c>
      <c r="Y743" s="18">
        <f>IF(OR($W743="",$W743=6),"",WORKDAY($X743,CHOOSE($W743,3,3,2,2,3),Holidays))</f>
        <v/>
      </c>
      <c r="Z743" s="17">
        <f>IF(OR($W743="",$W743=6),"",CHOOSE($W743,"1st Email Follow-up","2nd Email Follow-up","Escalate Local Office","Escalate to CBE","Escalate to Roxanne"))</f>
        <v/>
      </c>
    </row>
    <row r="744" spans="18:26">
      <c r="R744" s="15"/>
      <c r="S744" s="16"/>
      <c r="T744" s="17">
        <f>IF(AND(COUNTA($A744:$K744)=0,$L744=""),"",IF($S744="Paid","PAID",IF($S744="Closed","CLOSED",IF($W744="","",IF($W744=6,"ESCALATED TO ROXANNE",IF(TODAY()&gt;$Y744,"OVERDUE",IF($Y744&lt;=WORKDAY(TODAY(),1,Holidays),"DUE TOMORROW",IF($W744=4,"ESCALATED TO LOCAL OFFICE",IF($W744=5,"ESCALATED TO CBE",IF($X744=TODAY(),"EMAIL SENT","MONITORING"))))))))))</f>
        <v/>
      </c>
      <c r="U744" s="17">
        <f>IF($T744="",IF(AND(COUNTA($A744:$K744)&gt;0,$L744=""),"Awaiting Collection Email time stamp.",""),IF(OR($T744="PAID",$T744="CLOSED"),IF($T744="PAID","Account paid. Action completed.","Account closed. No further action required."),CHOOSE($W744,"Collection Email","1st Email Follow-up","2nd Email Follow-up","Escalation to Local Office","Escalation to CBE","Escalation to Roxanne")&amp;" sent "&amp;TEXT($X744,"dd-mmm")&amp;". "&amp;IF($W744=6,"Final escalation completed.",IF($T744="OVERDUE","Next: "&amp;$Z744&amp;" was due "&amp;TEXT($Y744,"dd-mmm")&amp;" - "&amp;(NETWORKDAYS($Y744,TODAY(),Holidays)-1)&amp;" business day(s) late. Send now.",IF($T744="DUE TOMORROW","Next: "&amp;$Z744&amp;IF($Y744&lt;=TODAY()," is due TODAY ("," is due next business day (")&amp;TEXT($Y744,"dd-mmm")&amp;").","Next: "&amp;$Z744&amp;" due "&amp;TEXT($Y744,"dd-mmm")&amp;" ("&amp;(NETWORKDAYS(TODAY(),$Y744,Holidays)-1)&amp;" business day(s) left).")))))</f>
        <v/>
      </c>
      <c r="V744" s="17">
        <f>IF($W744="","",CHOOSE($W744,"Collection Email","1st Follow-up","2nd Follow-up","Local Office","CBE","Roxanne")&amp;IF($W744=6," - Final"," - Day "&amp;MAX(0,NETWORKDAYS($X744,TODAY(),Holidays)-1)&amp;" of "&amp;CHOOSE($W744,3,3,2,2,3))&amp;" | Total Day "&amp;MAX(0,NETWORKDAYS($L744,TODAY(),Holidays)-1))</f>
        <v/>
      </c>
      <c r="W744" s="17">
        <f>IF($L744="","",COUNT($L744:$Q744))</f>
        <v/>
      </c>
      <c r="X744" s="18">
        <f>IF($W744="","",INT(INDEX($L744:$Q744,$W744)))</f>
        <v/>
      </c>
      <c r="Y744" s="18">
        <f>IF(OR($W744="",$W744=6),"",WORKDAY($X744,CHOOSE($W744,3,3,2,2,3),Holidays))</f>
        <v/>
      </c>
      <c r="Z744" s="17">
        <f>IF(OR($W744="",$W744=6),"",CHOOSE($W744,"1st Email Follow-up","2nd Email Follow-up","Escalate Local Office","Escalate to CBE","Escalate to Roxanne"))</f>
        <v/>
      </c>
    </row>
    <row r="745" spans="18:26">
      <c r="R745" s="15"/>
      <c r="S745" s="16"/>
      <c r="T745" s="17">
        <f>IF(AND(COUNTA($A745:$K745)=0,$L745=""),"",IF($S745="Paid","PAID",IF($S745="Closed","CLOSED",IF($W745="","",IF($W745=6,"ESCALATED TO ROXANNE",IF(TODAY()&gt;$Y745,"OVERDUE",IF($Y745&lt;=WORKDAY(TODAY(),1,Holidays),"DUE TOMORROW",IF($W745=4,"ESCALATED TO LOCAL OFFICE",IF($W745=5,"ESCALATED TO CBE",IF($X745=TODAY(),"EMAIL SENT","MONITORING"))))))))))</f>
        <v/>
      </c>
      <c r="U745" s="17">
        <f>IF($T745="",IF(AND(COUNTA($A745:$K745)&gt;0,$L745=""),"Awaiting Collection Email time stamp.",""),IF(OR($T745="PAID",$T745="CLOSED"),IF($T745="PAID","Account paid. Action completed.","Account closed. No further action required."),CHOOSE($W745,"Collection Email","1st Email Follow-up","2nd Email Follow-up","Escalation to Local Office","Escalation to CBE","Escalation to Roxanne")&amp;" sent "&amp;TEXT($X745,"dd-mmm")&amp;". "&amp;IF($W745=6,"Final escalation completed.",IF($T745="OVERDUE","Next: "&amp;$Z745&amp;" was due "&amp;TEXT($Y745,"dd-mmm")&amp;" - "&amp;(NETWORKDAYS($Y745,TODAY(),Holidays)-1)&amp;" business day(s) late. Send now.",IF($T745="DUE TOMORROW","Next: "&amp;$Z745&amp;IF($Y745&lt;=TODAY()," is due TODAY ("," is due next business day (")&amp;TEXT($Y745,"dd-mmm")&amp;").","Next: "&amp;$Z745&amp;" due "&amp;TEXT($Y745,"dd-mmm")&amp;" ("&amp;(NETWORKDAYS(TODAY(),$Y745,Holidays)-1)&amp;" business day(s) left).")))))</f>
        <v/>
      </c>
      <c r="V745" s="17">
        <f>IF($W745="","",CHOOSE($W745,"Collection Email","1st Follow-up","2nd Follow-up","Local Office","CBE","Roxanne")&amp;IF($W745=6," - Final"," - Day "&amp;MAX(0,NETWORKDAYS($X745,TODAY(),Holidays)-1)&amp;" of "&amp;CHOOSE($W745,3,3,2,2,3))&amp;" | Total Day "&amp;MAX(0,NETWORKDAYS($L745,TODAY(),Holidays)-1))</f>
        <v/>
      </c>
      <c r="W745" s="17">
        <f>IF($L745="","",COUNT($L745:$Q745))</f>
        <v/>
      </c>
      <c r="X745" s="18">
        <f>IF($W745="","",INT(INDEX($L745:$Q745,$W745)))</f>
        <v/>
      </c>
      <c r="Y745" s="18">
        <f>IF(OR($W745="",$W745=6),"",WORKDAY($X745,CHOOSE($W745,3,3,2,2,3),Holidays))</f>
        <v/>
      </c>
      <c r="Z745" s="17">
        <f>IF(OR($W745="",$W745=6),"",CHOOSE($W745,"1st Email Follow-up","2nd Email Follow-up","Escalate Local Office","Escalate to CBE","Escalate to Roxanne"))</f>
        <v/>
      </c>
    </row>
    <row r="746" spans="18:26">
      <c r="R746" s="15"/>
      <c r="S746" s="16"/>
      <c r="T746" s="17">
        <f>IF(AND(COUNTA($A746:$K746)=0,$L746=""),"",IF($S746="Paid","PAID",IF($S746="Closed","CLOSED",IF($W746="","",IF($W746=6,"ESCALATED TO ROXANNE",IF(TODAY()&gt;$Y746,"OVERDUE",IF($Y746&lt;=WORKDAY(TODAY(),1,Holidays),"DUE TOMORROW",IF($W746=4,"ESCALATED TO LOCAL OFFICE",IF($W746=5,"ESCALATED TO CBE",IF($X746=TODAY(),"EMAIL SENT","MONITORING"))))))))))</f>
        <v/>
      </c>
      <c r="U746" s="17">
        <f>IF($T746="",IF(AND(COUNTA($A746:$K746)&gt;0,$L746=""),"Awaiting Collection Email time stamp.",""),IF(OR($T746="PAID",$T746="CLOSED"),IF($T746="PAID","Account paid. Action completed.","Account closed. No further action required."),CHOOSE($W746,"Collection Email","1st Email Follow-up","2nd Email Follow-up","Escalation to Local Office","Escalation to CBE","Escalation to Roxanne")&amp;" sent "&amp;TEXT($X746,"dd-mmm")&amp;". "&amp;IF($W746=6,"Final escalation completed.",IF($T746="OVERDUE","Next: "&amp;$Z746&amp;" was due "&amp;TEXT($Y746,"dd-mmm")&amp;" - "&amp;(NETWORKDAYS($Y746,TODAY(),Holidays)-1)&amp;" business day(s) late. Send now.",IF($T746="DUE TOMORROW","Next: "&amp;$Z746&amp;IF($Y746&lt;=TODAY()," is due TODAY ("," is due next business day (")&amp;TEXT($Y746,"dd-mmm")&amp;").","Next: "&amp;$Z746&amp;" due "&amp;TEXT($Y746,"dd-mmm")&amp;" ("&amp;(NETWORKDAYS(TODAY(),$Y746,Holidays)-1)&amp;" business day(s) left).")))))</f>
        <v/>
      </c>
      <c r="V746" s="17">
        <f>IF($W746="","",CHOOSE($W746,"Collection Email","1st Follow-up","2nd Follow-up","Local Office","CBE","Roxanne")&amp;IF($W746=6," - Final"," - Day "&amp;MAX(0,NETWORKDAYS($X746,TODAY(),Holidays)-1)&amp;" of "&amp;CHOOSE($W746,3,3,2,2,3))&amp;" | Total Day "&amp;MAX(0,NETWORKDAYS($L746,TODAY(),Holidays)-1))</f>
        <v/>
      </c>
      <c r="W746" s="17">
        <f>IF($L746="","",COUNT($L746:$Q746))</f>
        <v/>
      </c>
      <c r="X746" s="18">
        <f>IF($W746="","",INT(INDEX($L746:$Q746,$W746)))</f>
        <v/>
      </c>
      <c r="Y746" s="18">
        <f>IF(OR($W746="",$W746=6),"",WORKDAY($X746,CHOOSE($W746,3,3,2,2,3),Holidays))</f>
        <v/>
      </c>
      <c r="Z746" s="17">
        <f>IF(OR($W746="",$W746=6),"",CHOOSE($W746,"1st Email Follow-up","2nd Email Follow-up","Escalate Local Office","Escalate to CBE","Escalate to Roxanne"))</f>
        <v/>
      </c>
    </row>
    <row r="747" spans="18:26">
      <c r="R747" s="15"/>
      <c r="S747" s="16"/>
      <c r="T747" s="17">
        <f>IF(AND(COUNTA($A747:$K747)=0,$L747=""),"",IF($S747="Paid","PAID",IF($S747="Closed","CLOSED",IF($W747="","",IF($W747=6,"ESCALATED TO ROXANNE",IF(TODAY()&gt;$Y747,"OVERDUE",IF($Y747&lt;=WORKDAY(TODAY(),1,Holidays),"DUE TOMORROW",IF($W747=4,"ESCALATED TO LOCAL OFFICE",IF($W747=5,"ESCALATED TO CBE",IF($X747=TODAY(),"EMAIL SENT","MONITORING"))))))))))</f>
        <v/>
      </c>
      <c r="U747" s="17">
        <f>IF($T747="",IF(AND(COUNTA($A747:$K747)&gt;0,$L747=""),"Awaiting Collection Email time stamp.",""),IF(OR($T747="PAID",$T747="CLOSED"),IF($T747="PAID","Account paid. Action completed.","Account closed. No further action required."),CHOOSE($W747,"Collection Email","1st Email Follow-up","2nd Email Follow-up","Escalation to Local Office","Escalation to CBE","Escalation to Roxanne")&amp;" sent "&amp;TEXT($X747,"dd-mmm")&amp;". "&amp;IF($W747=6,"Final escalation completed.",IF($T747="OVERDUE","Next: "&amp;$Z747&amp;" was due "&amp;TEXT($Y747,"dd-mmm")&amp;" - "&amp;(NETWORKDAYS($Y747,TODAY(),Holidays)-1)&amp;" business day(s) late. Send now.",IF($T747="DUE TOMORROW","Next: "&amp;$Z747&amp;IF($Y747&lt;=TODAY()," is due TODAY ("," is due next business day (")&amp;TEXT($Y747,"dd-mmm")&amp;").","Next: "&amp;$Z747&amp;" due "&amp;TEXT($Y747,"dd-mmm")&amp;" ("&amp;(NETWORKDAYS(TODAY(),$Y747,Holidays)-1)&amp;" business day(s) left).")))))</f>
        <v/>
      </c>
      <c r="V747" s="17">
        <f>IF($W747="","",CHOOSE($W747,"Collection Email","1st Follow-up","2nd Follow-up","Local Office","CBE","Roxanne")&amp;IF($W747=6," - Final"," - Day "&amp;MAX(0,NETWORKDAYS($X747,TODAY(),Holidays)-1)&amp;" of "&amp;CHOOSE($W747,3,3,2,2,3))&amp;" | Total Day "&amp;MAX(0,NETWORKDAYS($L747,TODAY(),Holidays)-1))</f>
        <v/>
      </c>
      <c r="W747" s="17">
        <f>IF($L747="","",COUNT($L747:$Q747))</f>
        <v/>
      </c>
      <c r="X747" s="18">
        <f>IF($W747="","",INT(INDEX($L747:$Q747,$W747)))</f>
        <v/>
      </c>
      <c r="Y747" s="18">
        <f>IF(OR($W747="",$W747=6),"",WORKDAY($X747,CHOOSE($W747,3,3,2,2,3),Holidays))</f>
        <v/>
      </c>
      <c r="Z747" s="17">
        <f>IF(OR($W747="",$W747=6),"",CHOOSE($W747,"1st Email Follow-up","2nd Email Follow-up","Escalate Local Office","Escalate to CBE","Escalate to Roxanne"))</f>
        <v/>
      </c>
    </row>
    <row r="748" spans="18:26">
      <c r="R748" s="15"/>
      <c r="S748" s="16"/>
      <c r="T748" s="17">
        <f>IF(AND(COUNTA($A748:$K748)=0,$L748=""),"",IF($S748="Paid","PAID",IF($S748="Closed","CLOSED",IF($W748="","",IF($W748=6,"ESCALATED TO ROXANNE",IF(TODAY()&gt;$Y748,"OVERDUE",IF($Y748&lt;=WORKDAY(TODAY(),1,Holidays),"DUE TOMORROW",IF($W748=4,"ESCALATED TO LOCAL OFFICE",IF($W748=5,"ESCALATED TO CBE",IF($X748=TODAY(),"EMAIL SENT","MONITORING"))))))))))</f>
        <v/>
      </c>
      <c r="U748" s="17">
        <f>IF($T748="",IF(AND(COUNTA($A748:$K748)&gt;0,$L748=""),"Awaiting Collection Email time stamp.",""),IF(OR($T748="PAID",$T748="CLOSED"),IF($T748="PAID","Account paid. Action completed.","Account closed. No further action required."),CHOOSE($W748,"Collection Email","1st Email Follow-up","2nd Email Follow-up","Escalation to Local Office","Escalation to CBE","Escalation to Roxanne")&amp;" sent "&amp;TEXT($X748,"dd-mmm")&amp;". "&amp;IF($W748=6,"Final escalation completed.",IF($T748="OVERDUE","Next: "&amp;$Z748&amp;" was due "&amp;TEXT($Y748,"dd-mmm")&amp;" - "&amp;(NETWORKDAYS($Y748,TODAY(),Holidays)-1)&amp;" business day(s) late. Send now.",IF($T748="DUE TOMORROW","Next: "&amp;$Z748&amp;IF($Y748&lt;=TODAY()," is due TODAY ("," is due next business day (")&amp;TEXT($Y748,"dd-mmm")&amp;").","Next: "&amp;$Z748&amp;" due "&amp;TEXT($Y748,"dd-mmm")&amp;" ("&amp;(NETWORKDAYS(TODAY(),$Y748,Holidays)-1)&amp;" business day(s) left).")))))</f>
        <v/>
      </c>
      <c r="V748" s="17">
        <f>IF($W748="","",CHOOSE($W748,"Collection Email","1st Follow-up","2nd Follow-up","Local Office","CBE","Roxanne")&amp;IF($W748=6," - Final"," - Day "&amp;MAX(0,NETWORKDAYS($X748,TODAY(),Holidays)-1)&amp;" of "&amp;CHOOSE($W748,3,3,2,2,3))&amp;" | Total Day "&amp;MAX(0,NETWORKDAYS($L748,TODAY(),Holidays)-1))</f>
        <v/>
      </c>
      <c r="W748" s="17">
        <f>IF($L748="","",COUNT($L748:$Q748))</f>
        <v/>
      </c>
      <c r="X748" s="18">
        <f>IF($W748="","",INT(INDEX($L748:$Q748,$W748)))</f>
        <v/>
      </c>
      <c r="Y748" s="18">
        <f>IF(OR($W748="",$W748=6),"",WORKDAY($X748,CHOOSE($W748,3,3,2,2,3),Holidays))</f>
        <v/>
      </c>
      <c r="Z748" s="17">
        <f>IF(OR($W748="",$W748=6),"",CHOOSE($W748,"1st Email Follow-up","2nd Email Follow-up","Escalate Local Office","Escalate to CBE","Escalate to Roxanne"))</f>
        <v/>
      </c>
    </row>
    <row r="749" spans="18:26">
      <c r="R749" s="15"/>
      <c r="S749" s="16"/>
      <c r="T749" s="17">
        <f>IF(AND(COUNTA($A749:$K749)=0,$L749=""),"",IF($S749="Paid","PAID",IF($S749="Closed","CLOSED",IF($W749="","",IF($W749=6,"ESCALATED TO ROXANNE",IF(TODAY()&gt;$Y749,"OVERDUE",IF($Y749&lt;=WORKDAY(TODAY(),1,Holidays),"DUE TOMORROW",IF($W749=4,"ESCALATED TO LOCAL OFFICE",IF($W749=5,"ESCALATED TO CBE",IF($X749=TODAY(),"EMAIL SENT","MONITORING"))))))))))</f>
        <v/>
      </c>
      <c r="U749" s="17">
        <f>IF($T749="",IF(AND(COUNTA($A749:$K749)&gt;0,$L749=""),"Awaiting Collection Email time stamp.",""),IF(OR($T749="PAID",$T749="CLOSED"),IF($T749="PAID","Account paid. Action completed.","Account closed. No further action required."),CHOOSE($W749,"Collection Email","1st Email Follow-up","2nd Email Follow-up","Escalation to Local Office","Escalation to CBE","Escalation to Roxanne")&amp;" sent "&amp;TEXT($X749,"dd-mmm")&amp;". "&amp;IF($W749=6,"Final escalation completed.",IF($T749="OVERDUE","Next: "&amp;$Z749&amp;" was due "&amp;TEXT($Y749,"dd-mmm")&amp;" - "&amp;(NETWORKDAYS($Y749,TODAY(),Holidays)-1)&amp;" business day(s) late. Send now.",IF($T749="DUE TOMORROW","Next: "&amp;$Z749&amp;IF($Y749&lt;=TODAY()," is due TODAY ("," is due next business day (")&amp;TEXT($Y749,"dd-mmm")&amp;").","Next: "&amp;$Z749&amp;" due "&amp;TEXT($Y749,"dd-mmm")&amp;" ("&amp;(NETWORKDAYS(TODAY(),$Y749,Holidays)-1)&amp;" business day(s) left).")))))</f>
        <v/>
      </c>
      <c r="V749" s="17">
        <f>IF($W749="","",CHOOSE($W749,"Collection Email","1st Follow-up","2nd Follow-up","Local Office","CBE","Roxanne")&amp;IF($W749=6," - Final"," - Day "&amp;MAX(0,NETWORKDAYS($X749,TODAY(),Holidays)-1)&amp;" of "&amp;CHOOSE($W749,3,3,2,2,3))&amp;" | Total Day "&amp;MAX(0,NETWORKDAYS($L749,TODAY(),Holidays)-1))</f>
        <v/>
      </c>
      <c r="W749" s="17">
        <f>IF($L749="","",COUNT($L749:$Q749))</f>
        <v/>
      </c>
      <c r="X749" s="18">
        <f>IF($W749="","",INT(INDEX($L749:$Q749,$W749)))</f>
        <v/>
      </c>
      <c r="Y749" s="18">
        <f>IF(OR($W749="",$W749=6),"",WORKDAY($X749,CHOOSE($W749,3,3,2,2,3),Holidays))</f>
        <v/>
      </c>
      <c r="Z749" s="17">
        <f>IF(OR($W749="",$W749=6),"",CHOOSE($W749,"1st Email Follow-up","2nd Email Follow-up","Escalate Local Office","Escalate to CBE","Escalate to Roxanne"))</f>
        <v/>
      </c>
    </row>
    <row r="750" spans="18:26">
      <c r="R750" s="15"/>
      <c r="S750" s="16"/>
      <c r="T750" s="17">
        <f>IF(AND(COUNTA($A750:$K750)=0,$L750=""),"",IF($S750="Paid","PAID",IF($S750="Closed","CLOSED",IF($W750="","",IF($W750=6,"ESCALATED TO ROXANNE",IF(TODAY()&gt;$Y750,"OVERDUE",IF($Y750&lt;=WORKDAY(TODAY(),1,Holidays),"DUE TOMORROW",IF($W750=4,"ESCALATED TO LOCAL OFFICE",IF($W750=5,"ESCALATED TO CBE",IF($X750=TODAY(),"EMAIL SENT","MONITORING"))))))))))</f>
        <v/>
      </c>
      <c r="U750" s="17">
        <f>IF($T750="",IF(AND(COUNTA($A750:$K750)&gt;0,$L750=""),"Awaiting Collection Email time stamp.",""),IF(OR($T750="PAID",$T750="CLOSED"),IF($T750="PAID","Account paid. Action completed.","Account closed. No further action required."),CHOOSE($W750,"Collection Email","1st Email Follow-up","2nd Email Follow-up","Escalation to Local Office","Escalation to CBE","Escalation to Roxanne")&amp;" sent "&amp;TEXT($X750,"dd-mmm")&amp;". "&amp;IF($W750=6,"Final escalation completed.",IF($T750="OVERDUE","Next: "&amp;$Z750&amp;" was due "&amp;TEXT($Y750,"dd-mmm")&amp;" - "&amp;(NETWORKDAYS($Y750,TODAY(),Holidays)-1)&amp;" business day(s) late. Send now.",IF($T750="DUE TOMORROW","Next: "&amp;$Z750&amp;IF($Y750&lt;=TODAY()," is due TODAY ("," is due next business day (")&amp;TEXT($Y750,"dd-mmm")&amp;").","Next: "&amp;$Z750&amp;" due "&amp;TEXT($Y750,"dd-mmm")&amp;" ("&amp;(NETWORKDAYS(TODAY(),$Y750,Holidays)-1)&amp;" business day(s) left).")))))</f>
        <v/>
      </c>
      <c r="V750" s="17">
        <f>IF($W750="","",CHOOSE($W750,"Collection Email","1st Follow-up","2nd Follow-up","Local Office","CBE","Roxanne")&amp;IF($W750=6," - Final"," - Day "&amp;MAX(0,NETWORKDAYS($X750,TODAY(),Holidays)-1)&amp;" of "&amp;CHOOSE($W750,3,3,2,2,3))&amp;" | Total Day "&amp;MAX(0,NETWORKDAYS($L750,TODAY(),Holidays)-1))</f>
        <v/>
      </c>
      <c r="W750" s="17">
        <f>IF($L750="","",COUNT($L750:$Q750))</f>
        <v/>
      </c>
      <c r="X750" s="18">
        <f>IF($W750="","",INT(INDEX($L750:$Q750,$W750)))</f>
        <v/>
      </c>
      <c r="Y750" s="18">
        <f>IF(OR($W750="",$W750=6),"",WORKDAY($X750,CHOOSE($W750,3,3,2,2,3),Holidays))</f>
        <v/>
      </c>
      <c r="Z750" s="17">
        <f>IF(OR($W750="",$W750=6),"",CHOOSE($W750,"1st Email Follow-up","2nd Email Follow-up","Escalate Local Office","Escalate to CBE","Escalate to Roxanne"))</f>
        <v/>
      </c>
    </row>
    <row r="751" spans="18:26">
      <c r="R751" s="15"/>
      <c r="S751" s="16"/>
      <c r="T751" s="17">
        <f>IF(AND(COUNTA($A751:$K751)=0,$L751=""),"",IF($S751="Paid","PAID",IF($S751="Closed","CLOSED",IF($W751="","",IF($W751=6,"ESCALATED TO ROXANNE",IF(TODAY()&gt;$Y751,"OVERDUE",IF($Y751&lt;=WORKDAY(TODAY(),1,Holidays),"DUE TOMORROW",IF($W751=4,"ESCALATED TO LOCAL OFFICE",IF($W751=5,"ESCALATED TO CBE",IF($X751=TODAY(),"EMAIL SENT","MONITORING"))))))))))</f>
        <v/>
      </c>
      <c r="U751" s="17">
        <f>IF($T751="",IF(AND(COUNTA($A751:$K751)&gt;0,$L751=""),"Awaiting Collection Email time stamp.",""),IF(OR($T751="PAID",$T751="CLOSED"),IF($T751="PAID","Account paid. Action completed.","Account closed. No further action required."),CHOOSE($W751,"Collection Email","1st Email Follow-up","2nd Email Follow-up","Escalation to Local Office","Escalation to CBE","Escalation to Roxanne")&amp;" sent "&amp;TEXT($X751,"dd-mmm")&amp;". "&amp;IF($W751=6,"Final escalation completed.",IF($T751="OVERDUE","Next: "&amp;$Z751&amp;" was due "&amp;TEXT($Y751,"dd-mmm")&amp;" - "&amp;(NETWORKDAYS($Y751,TODAY(),Holidays)-1)&amp;" business day(s) late. Send now.",IF($T751="DUE TOMORROW","Next: "&amp;$Z751&amp;IF($Y751&lt;=TODAY()," is due TODAY ("," is due next business day (")&amp;TEXT($Y751,"dd-mmm")&amp;").","Next: "&amp;$Z751&amp;" due "&amp;TEXT($Y751,"dd-mmm")&amp;" ("&amp;(NETWORKDAYS(TODAY(),$Y751,Holidays)-1)&amp;" business day(s) left).")))))</f>
        <v/>
      </c>
      <c r="V751" s="17">
        <f>IF($W751="","",CHOOSE($W751,"Collection Email","1st Follow-up","2nd Follow-up","Local Office","CBE","Roxanne")&amp;IF($W751=6," - Final"," - Day "&amp;MAX(0,NETWORKDAYS($X751,TODAY(),Holidays)-1)&amp;" of "&amp;CHOOSE($W751,3,3,2,2,3))&amp;" | Total Day "&amp;MAX(0,NETWORKDAYS($L751,TODAY(),Holidays)-1))</f>
        <v/>
      </c>
      <c r="W751" s="17">
        <f>IF($L751="","",COUNT($L751:$Q751))</f>
        <v/>
      </c>
      <c r="X751" s="18">
        <f>IF($W751="","",INT(INDEX($L751:$Q751,$W751)))</f>
        <v/>
      </c>
      <c r="Y751" s="18">
        <f>IF(OR($W751="",$W751=6),"",WORKDAY($X751,CHOOSE($W751,3,3,2,2,3),Holidays))</f>
        <v/>
      </c>
      <c r="Z751" s="17">
        <f>IF(OR($W751="",$W751=6),"",CHOOSE($W751,"1st Email Follow-up","2nd Email Follow-up","Escalate Local Office","Escalate to CBE","Escalate to Roxanne"))</f>
        <v/>
      </c>
    </row>
    <row r="752" spans="18:26">
      <c r="R752" s="15"/>
      <c r="S752" s="16"/>
      <c r="T752" s="17">
        <f>IF(AND(COUNTA($A752:$K752)=0,$L752=""),"",IF($S752="Paid","PAID",IF($S752="Closed","CLOSED",IF($W752="","",IF($W752=6,"ESCALATED TO ROXANNE",IF(TODAY()&gt;$Y752,"OVERDUE",IF($Y752&lt;=WORKDAY(TODAY(),1,Holidays),"DUE TOMORROW",IF($W752=4,"ESCALATED TO LOCAL OFFICE",IF($W752=5,"ESCALATED TO CBE",IF($X752=TODAY(),"EMAIL SENT","MONITORING"))))))))))</f>
        <v/>
      </c>
      <c r="U752" s="17">
        <f>IF($T752="",IF(AND(COUNTA($A752:$K752)&gt;0,$L752=""),"Awaiting Collection Email time stamp.",""),IF(OR($T752="PAID",$T752="CLOSED"),IF($T752="PAID","Account paid. Action completed.","Account closed. No further action required."),CHOOSE($W752,"Collection Email","1st Email Follow-up","2nd Email Follow-up","Escalation to Local Office","Escalation to CBE","Escalation to Roxanne")&amp;" sent "&amp;TEXT($X752,"dd-mmm")&amp;". "&amp;IF($W752=6,"Final escalation completed.",IF($T752="OVERDUE","Next: "&amp;$Z752&amp;" was due "&amp;TEXT($Y752,"dd-mmm")&amp;" - "&amp;(NETWORKDAYS($Y752,TODAY(),Holidays)-1)&amp;" business day(s) late. Send now.",IF($T752="DUE TOMORROW","Next: "&amp;$Z752&amp;IF($Y752&lt;=TODAY()," is due TODAY ("," is due next business day (")&amp;TEXT($Y752,"dd-mmm")&amp;").","Next: "&amp;$Z752&amp;" due "&amp;TEXT($Y752,"dd-mmm")&amp;" ("&amp;(NETWORKDAYS(TODAY(),$Y752,Holidays)-1)&amp;" business day(s) left).")))))</f>
        <v/>
      </c>
      <c r="V752" s="17">
        <f>IF($W752="","",CHOOSE($W752,"Collection Email","1st Follow-up","2nd Follow-up","Local Office","CBE","Roxanne")&amp;IF($W752=6," - Final"," - Day "&amp;MAX(0,NETWORKDAYS($X752,TODAY(),Holidays)-1)&amp;" of "&amp;CHOOSE($W752,3,3,2,2,3))&amp;" | Total Day "&amp;MAX(0,NETWORKDAYS($L752,TODAY(),Holidays)-1))</f>
        <v/>
      </c>
      <c r="W752" s="17">
        <f>IF($L752="","",COUNT($L752:$Q752))</f>
        <v/>
      </c>
      <c r="X752" s="18">
        <f>IF($W752="","",INT(INDEX($L752:$Q752,$W752)))</f>
        <v/>
      </c>
      <c r="Y752" s="18">
        <f>IF(OR($W752="",$W752=6),"",WORKDAY($X752,CHOOSE($W752,3,3,2,2,3),Holidays))</f>
        <v/>
      </c>
      <c r="Z752" s="17">
        <f>IF(OR($W752="",$W752=6),"",CHOOSE($W752,"1st Email Follow-up","2nd Email Follow-up","Escalate Local Office","Escalate to CBE","Escalate to Roxanne"))</f>
        <v/>
      </c>
    </row>
    <row r="753" spans="18:26">
      <c r="R753" s="15"/>
      <c r="S753" s="16"/>
      <c r="T753" s="17">
        <f>IF(AND(COUNTA($A753:$K753)=0,$L753=""),"",IF($S753="Paid","PAID",IF($S753="Closed","CLOSED",IF($W753="","",IF($W753=6,"ESCALATED TO ROXANNE",IF(TODAY()&gt;$Y753,"OVERDUE",IF($Y753&lt;=WORKDAY(TODAY(),1,Holidays),"DUE TOMORROW",IF($W753=4,"ESCALATED TO LOCAL OFFICE",IF($W753=5,"ESCALATED TO CBE",IF($X753=TODAY(),"EMAIL SENT","MONITORING"))))))))))</f>
        <v/>
      </c>
      <c r="U753" s="17">
        <f>IF($T753="",IF(AND(COUNTA($A753:$K753)&gt;0,$L753=""),"Awaiting Collection Email time stamp.",""),IF(OR($T753="PAID",$T753="CLOSED"),IF($T753="PAID","Account paid. Action completed.","Account closed. No further action required."),CHOOSE($W753,"Collection Email","1st Email Follow-up","2nd Email Follow-up","Escalation to Local Office","Escalation to CBE","Escalation to Roxanne")&amp;" sent "&amp;TEXT($X753,"dd-mmm")&amp;". "&amp;IF($W753=6,"Final escalation completed.",IF($T753="OVERDUE","Next: "&amp;$Z753&amp;" was due "&amp;TEXT($Y753,"dd-mmm")&amp;" - "&amp;(NETWORKDAYS($Y753,TODAY(),Holidays)-1)&amp;" business day(s) late. Send now.",IF($T753="DUE TOMORROW","Next: "&amp;$Z753&amp;IF($Y753&lt;=TODAY()," is due TODAY ("," is due next business day (")&amp;TEXT($Y753,"dd-mmm")&amp;").","Next: "&amp;$Z753&amp;" due "&amp;TEXT($Y753,"dd-mmm")&amp;" ("&amp;(NETWORKDAYS(TODAY(),$Y753,Holidays)-1)&amp;" business day(s) left).")))))</f>
        <v/>
      </c>
      <c r="V753" s="17">
        <f>IF($W753="","",CHOOSE($W753,"Collection Email","1st Follow-up","2nd Follow-up","Local Office","CBE","Roxanne")&amp;IF($W753=6," - Final"," - Day "&amp;MAX(0,NETWORKDAYS($X753,TODAY(),Holidays)-1)&amp;" of "&amp;CHOOSE($W753,3,3,2,2,3))&amp;" | Total Day "&amp;MAX(0,NETWORKDAYS($L753,TODAY(),Holidays)-1))</f>
        <v/>
      </c>
      <c r="W753" s="17">
        <f>IF($L753="","",COUNT($L753:$Q753))</f>
        <v/>
      </c>
      <c r="X753" s="18">
        <f>IF($W753="","",INT(INDEX($L753:$Q753,$W753)))</f>
        <v/>
      </c>
      <c r="Y753" s="18">
        <f>IF(OR($W753="",$W753=6),"",WORKDAY($X753,CHOOSE($W753,3,3,2,2,3),Holidays))</f>
        <v/>
      </c>
      <c r="Z753" s="17">
        <f>IF(OR($W753="",$W753=6),"",CHOOSE($W753,"1st Email Follow-up","2nd Email Follow-up","Escalate Local Office","Escalate to CBE","Escalate to Roxanne"))</f>
        <v/>
      </c>
    </row>
    <row r="754" spans="18:26">
      <c r="R754" s="15"/>
      <c r="S754" s="16"/>
      <c r="T754" s="17">
        <f>IF(AND(COUNTA($A754:$K754)=0,$L754=""),"",IF($S754="Paid","PAID",IF($S754="Closed","CLOSED",IF($W754="","",IF($W754=6,"ESCALATED TO ROXANNE",IF(TODAY()&gt;$Y754,"OVERDUE",IF($Y754&lt;=WORKDAY(TODAY(),1,Holidays),"DUE TOMORROW",IF($W754=4,"ESCALATED TO LOCAL OFFICE",IF($W754=5,"ESCALATED TO CBE",IF($X754=TODAY(),"EMAIL SENT","MONITORING"))))))))))</f>
        <v/>
      </c>
      <c r="U754" s="17">
        <f>IF($T754="",IF(AND(COUNTA($A754:$K754)&gt;0,$L754=""),"Awaiting Collection Email time stamp.",""),IF(OR($T754="PAID",$T754="CLOSED"),IF($T754="PAID","Account paid. Action completed.","Account closed. No further action required."),CHOOSE($W754,"Collection Email","1st Email Follow-up","2nd Email Follow-up","Escalation to Local Office","Escalation to CBE","Escalation to Roxanne")&amp;" sent "&amp;TEXT($X754,"dd-mmm")&amp;". "&amp;IF($W754=6,"Final escalation completed.",IF($T754="OVERDUE","Next: "&amp;$Z754&amp;" was due "&amp;TEXT($Y754,"dd-mmm")&amp;" - "&amp;(NETWORKDAYS($Y754,TODAY(),Holidays)-1)&amp;" business day(s) late. Send now.",IF($T754="DUE TOMORROW","Next: "&amp;$Z754&amp;IF($Y754&lt;=TODAY()," is due TODAY ("," is due next business day (")&amp;TEXT($Y754,"dd-mmm")&amp;").","Next: "&amp;$Z754&amp;" due "&amp;TEXT($Y754,"dd-mmm")&amp;" ("&amp;(NETWORKDAYS(TODAY(),$Y754,Holidays)-1)&amp;" business day(s) left).")))))</f>
        <v/>
      </c>
      <c r="V754" s="17">
        <f>IF($W754="","",CHOOSE($W754,"Collection Email","1st Follow-up","2nd Follow-up","Local Office","CBE","Roxanne")&amp;IF($W754=6," - Final"," - Day "&amp;MAX(0,NETWORKDAYS($X754,TODAY(),Holidays)-1)&amp;" of "&amp;CHOOSE($W754,3,3,2,2,3))&amp;" | Total Day "&amp;MAX(0,NETWORKDAYS($L754,TODAY(),Holidays)-1))</f>
        <v/>
      </c>
      <c r="W754" s="17">
        <f>IF($L754="","",COUNT($L754:$Q754))</f>
        <v/>
      </c>
      <c r="X754" s="18">
        <f>IF($W754="","",INT(INDEX($L754:$Q754,$W754)))</f>
        <v/>
      </c>
      <c r="Y754" s="18">
        <f>IF(OR($W754="",$W754=6),"",WORKDAY($X754,CHOOSE($W754,3,3,2,2,3),Holidays))</f>
        <v/>
      </c>
      <c r="Z754" s="17">
        <f>IF(OR($W754="",$W754=6),"",CHOOSE($W754,"1st Email Follow-up","2nd Email Follow-up","Escalate Local Office","Escalate to CBE","Escalate to Roxanne"))</f>
        <v/>
      </c>
    </row>
    <row r="755" spans="18:26">
      <c r="R755" s="15"/>
      <c r="S755" s="16"/>
      <c r="T755" s="17">
        <f>IF(AND(COUNTA($A755:$K755)=0,$L755=""),"",IF($S755="Paid","PAID",IF($S755="Closed","CLOSED",IF($W755="","",IF($W755=6,"ESCALATED TO ROXANNE",IF(TODAY()&gt;$Y755,"OVERDUE",IF($Y755&lt;=WORKDAY(TODAY(),1,Holidays),"DUE TOMORROW",IF($W755=4,"ESCALATED TO LOCAL OFFICE",IF($W755=5,"ESCALATED TO CBE",IF($X755=TODAY(),"EMAIL SENT","MONITORING"))))))))))</f>
        <v/>
      </c>
      <c r="U755" s="17">
        <f>IF($T755="",IF(AND(COUNTA($A755:$K755)&gt;0,$L755=""),"Awaiting Collection Email time stamp.",""),IF(OR($T755="PAID",$T755="CLOSED"),IF($T755="PAID","Account paid. Action completed.","Account closed. No further action required."),CHOOSE($W755,"Collection Email","1st Email Follow-up","2nd Email Follow-up","Escalation to Local Office","Escalation to CBE","Escalation to Roxanne")&amp;" sent "&amp;TEXT($X755,"dd-mmm")&amp;". "&amp;IF($W755=6,"Final escalation completed.",IF($T755="OVERDUE","Next: "&amp;$Z755&amp;" was due "&amp;TEXT($Y755,"dd-mmm")&amp;" - "&amp;(NETWORKDAYS($Y755,TODAY(),Holidays)-1)&amp;" business day(s) late. Send now.",IF($T755="DUE TOMORROW","Next: "&amp;$Z755&amp;IF($Y755&lt;=TODAY()," is due TODAY ("," is due next business day (")&amp;TEXT($Y755,"dd-mmm")&amp;").","Next: "&amp;$Z755&amp;" due "&amp;TEXT($Y755,"dd-mmm")&amp;" ("&amp;(NETWORKDAYS(TODAY(),$Y755,Holidays)-1)&amp;" business day(s) left).")))))</f>
        <v/>
      </c>
      <c r="V755" s="17">
        <f>IF($W755="","",CHOOSE($W755,"Collection Email","1st Follow-up","2nd Follow-up","Local Office","CBE","Roxanne")&amp;IF($W755=6," - Final"," - Day "&amp;MAX(0,NETWORKDAYS($X755,TODAY(),Holidays)-1)&amp;" of "&amp;CHOOSE($W755,3,3,2,2,3))&amp;" | Total Day "&amp;MAX(0,NETWORKDAYS($L755,TODAY(),Holidays)-1))</f>
        <v/>
      </c>
      <c r="W755" s="17">
        <f>IF($L755="","",COUNT($L755:$Q755))</f>
        <v/>
      </c>
      <c r="X755" s="18">
        <f>IF($W755="","",INT(INDEX($L755:$Q755,$W755)))</f>
        <v/>
      </c>
      <c r="Y755" s="18">
        <f>IF(OR($W755="",$W755=6),"",WORKDAY($X755,CHOOSE($W755,3,3,2,2,3),Holidays))</f>
        <v/>
      </c>
      <c r="Z755" s="17">
        <f>IF(OR($W755="",$W755=6),"",CHOOSE($W755,"1st Email Follow-up","2nd Email Follow-up","Escalate Local Office","Escalate to CBE","Escalate to Roxanne"))</f>
        <v/>
      </c>
    </row>
    <row r="756" spans="18:26">
      <c r="R756" s="15"/>
      <c r="S756" s="16"/>
      <c r="T756" s="17">
        <f>IF(AND(COUNTA($A756:$K756)=0,$L756=""),"",IF($S756="Paid","PAID",IF($S756="Closed","CLOSED",IF($W756="","",IF($W756=6,"ESCALATED TO ROXANNE",IF(TODAY()&gt;$Y756,"OVERDUE",IF($Y756&lt;=WORKDAY(TODAY(),1,Holidays),"DUE TOMORROW",IF($W756=4,"ESCALATED TO LOCAL OFFICE",IF($W756=5,"ESCALATED TO CBE",IF($X756=TODAY(),"EMAIL SENT","MONITORING"))))))))))</f>
        <v/>
      </c>
      <c r="U756" s="17">
        <f>IF($T756="",IF(AND(COUNTA($A756:$K756)&gt;0,$L756=""),"Awaiting Collection Email time stamp.",""),IF(OR($T756="PAID",$T756="CLOSED"),IF($T756="PAID","Account paid. Action completed.","Account closed. No further action required."),CHOOSE($W756,"Collection Email","1st Email Follow-up","2nd Email Follow-up","Escalation to Local Office","Escalation to CBE","Escalation to Roxanne")&amp;" sent "&amp;TEXT($X756,"dd-mmm")&amp;". "&amp;IF($W756=6,"Final escalation completed.",IF($T756="OVERDUE","Next: "&amp;$Z756&amp;" was due "&amp;TEXT($Y756,"dd-mmm")&amp;" - "&amp;(NETWORKDAYS($Y756,TODAY(),Holidays)-1)&amp;" business day(s) late. Send now.",IF($T756="DUE TOMORROW","Next: "&amp;$Z756&amp;IF($Y756&lt;=TODAY()," is due TODAY ("," is due next business day (")&amp;TEXT($Y756,"dd-mmm")&amp;").","Next: "&amp;$Z756&amp;" due "&amp;TEXT($Y756,"dd-mmm")&amp;" ("&amp;(NETWORKDAYS(TODAY(),$Y756,Holidays)-1)&amp;" business day(s) left).")))))</f>
        <v/>
      </c>
      <c r="V756" s="17">
        <f>IF($W756="","",CHOOSE($W756,"Collection Email","1st Follow-up","2nd Follow-up","Local Office","CBE","Roxanne")&amp;IF($W756=6," - Final"," - Day "&amp;MAX(0,NETWORKDAYS($X756,TODAY(),Holidays)-1)&amp;" of "&amp;CHOOSE($W756,3,3,2,2,3))&amp;" | Total Day "&amp;MAX(0,NETWORKDAYS($L756,TODAY(),Holidays)-1))</f>
        <v/>
      </c>
      <c r="W756" s="17">
        <f>IF($L756="","",COUNT($L756:$Q756))</f>
        <v/>
      </c>
      <c r="X756" s="18">
        <f>IF($W756="","",INT(INDEX($L756:$Q756,$W756)))</f>
        <v/>
      </c>
      <c r="Y756" s="18">
        <f>IF(OR($W756="",$W756=6),"",WORKDAY($X756,CHOOSE($W756,3,3,2,2,3),Holidays))</f>
        <v/>
      </c>
      <c r="Z756" s="17">
        <f>IF(OR($W756="",$W756=6),"",CHOOSE($W756,"1st Email Follow-up","2nd Email Follow-up","Escalate Local Office","Escalate to CBE","Escalate to Roxanne"))</f>
        <v/>
      </c>
    </row>
    <row r="757" spans="18:26">
      <c r="R757" s="15"/>
      <c r="S757" s="16"/>
      <c r="T757" s="17">
        <f>IF(AND(COUNTA($A757:$K757)=0,$L757=""),"",IF($S757="Paid","PAID",IF($S757="Closed","CLOSED",IF($W757="","",IF($W757=6,"ESCALATED TO ROXANNE",IF(TODAY()&gt;$Y757,"OVERDUE",IF($Y757&lt;=WORKDAY(TODAY(),1,Holidays),"DUE TOMORROW",IF($W757=4,"ESCALATED TO LOCAL OFFICE",IF($W757=5,"ESCALATED TO CBE",IF($X757=TODAY(),"EMAIL SENT","MONITORING"))))))))))</f>
        <v/>
      </c>
      <c r="U757" s="17">
        <f>IF($T757="",IF(AND(COUNTA($A757:$K757)&gt;0,$L757=""),"Awaiting Collection Email time stamp.",""),IF(OR($T757="PAID",$T757="CLOSED"),IF($T757="PAID","Account paid. Action completed.","Account closed. No further action required."),CHOOSE($W757,"Collection Email","1st Email Follow-up","2nd Email Follow-up","Escalation to Local Office","Escalation to CBE","Escalation to Roxanne")&amp;" sent "&amp;TEXT($X757,"dd-mmm")&amp;". "&amp;IF($W757=6,"Final escalation completed.",IF($T757="OVERDUE","Next: "&amp;$Z757&amp;" was due "&amp;TEXT($Y757,"dd-mmm")&amp;" - "&amp;(NETWORKDAYS($Y757,TODAY(),Holidays)-1)&amp;" business day(s) late. Send now.",IF($T757="DUE TOMORROW","Next: "&amp;$Z757&amp;IF($Y757&lt;=TODAY()," is due TODAY ("," is due next business day (")&amp;TEXT($Y757,"dd-mmm")&amp;").","Next: "&amp;$Z757&amp;" due "&amp;TEXT($Y757,"dd-mmm")&amp;" ("&amp;(NETWORKDAYS(TODAY(),$Y757,Holidays)-1)&amp;" business day(s) left).")))))</f>
        <v/>
      </c>
      <c r="V757" s="17">
        <f>IF($W757="","",CHOOSE($W757,"Collection Email","1st Follow-up","2nd Follow-up","Local Office","CBE","Roxanne")&amp;IF($W757=6," - Final"," - Day "&amp;MAX(0,NETWORKDAYS($X757,TODAY(),Holidays)-1)&amp;" of "&amp;CHOOSE($W757,3,3,2,2,3))&amp;" | Total Day "&amp;MAX(0,NETWORKDAYS($L757,TODAY(),Holidays)-1))</f>
        <v/>
      </c>
      <c r="W757" s="17">
        <f>IF($L757="","",COUNT($L757:$Q757))</f>
        <v/>
      </c>
      <c r="X757" s="18">
        <f>IF($W757="","",INT(INDEX($L757:$Q757,$W757)))</f>
        <v/>
      </c>
      <c r="Y757" s="18">
        <f>IF(OR($W757="",$W757=6),"",WORKDAY($X757,CHOOSE($W757,3,3,2,2,3),Holidays))</f>
        <v/>
      </c>
      <c r="Z757" s="17">
        <f>IF(OR($W757="",$W757=6),"",CHOOSE($W757,"1st Email Follow-up","2nd Email Follow-up","Escalate Local Office","Escalate to CBE","Escalate to Roxanne"))</f>
        <v/>
      </c>
    </row>
    <row r="758" spans="18:26">
      <c r="R758" s="15"/>
      <c r="S758" s="16"/>
      <c r="T758" s="17">
        <f>IF(AND(COUNTA($A758:$K758)=0,$L758=""),"",IF($S758="Paid","PAID",IF($S758="Closed","CLOSED",IF($W758="","",IF($W758=6,"ESCALATED TO ROXANNE",IF(TODAY()&gt;$Y758,"OVERDUE",IF($Y758&lt;=WORKDAY(TODAY(),1,Holidays),"DUE TOMORROW",IF($W758=4,"ESCALATED TO LOCAL OFFICE",IF($W758=5,"ESCALATED TO CBE",IF($X758=TODAY(),"EMAIL SENT","MONITORING"))))))))))</f>
        <v/>
      </c>
      <c r="U758" s="17">
        <f>IF($T758="",IF(AND(COUNTA($A758:$K758)&gt;0,$L758=""),"Awaiting Collection Email time stamp.",""),IF(OR($T758="PAID",$T758="CLOSED"),IF($T758="PAID","Account paid. Action completed.","Account closed. No further action required."),CHOOSE($W758,"Collection Email","1st Email Follow-up","2nd Email Follow-up","Escalation to Local Office","Escalation to CBE","Escalation to Roxanne")&amp;" sent "&amp;TEXT($X758,"dd-mmm")&amp;". "&amp;IF($W758=6,"Final escalation completed.",IF($T758="OVERDUE","Next: "&amp;$Z758&amp;" was due "&amp;TEXT($Y758,"dd-mmm")&amp;" - "&amp;(NETWORKDAYS($Y758,TODAY(),Holidays)-1)&amp;" business day(s) late. Send now.",IF($T758="DUE TOMORROW","Next: "&amp;$Z758&amp;IF($Y758&lt;=TODAY()," is due TODAY ("," is due next business day (")&amp;TEXT($Y758,"dd-mmm")&amp;").","Next: "&amp;$Z758&amp;" due "&amp;TEXT($Y758,"dd-mmm")&amp;" ("&amp;(NETWORKDAYS(TODAY(),$Y758,Holidays)-1)&amp;" business day(s) left).")))))</f>
        <v/>
      </c>
      <c r="V758" s="17">
        <f>IF($W758="","",CHOOSE($W758,"Collection Email","1st Follow-up","2nd Follow-up","Local Office","CBE","Roxanne")&amp;IF($W758=6," - Final"," - Day "&amp;MAX(0,NETWORKDAYS($X758,TODAY(),Holidays)-1)&amp;" of "&amp;CHOOSE($W758,3,3,2,2,3))&amp;" | Total Day "&amp;MAX(0,NETWORKDAYS($L758,TODAY(),Holidays)-1))</f>
        <v/>
      </c>
      <c r="W758" s="17">
        <f>IF($L758="","",COUNT($L758:$Q758))</f>
        <v/>
      </c>
      <c r="X758" s="18">
        <f>IF($W758="","",INT(INDEX($L758:$Q758,$W758)))</f>
        <v/>
      </c>
      <c r="Y758" s="18">
        <f>IF(OR($W758="",$W758=6),"",WORKDAY($X758,CHOOSE($W758,3,3,2,2,3),Holidays))</f>
        <v/>
      </c>
      <c r="Z758" s="17">
        <f>IF(OR($W758="",$W758=6),"",CHOOSE($W758,"1st Email Follow-up","2nd Email Follow-up","Escalate Local Office","Escalate to CBE","Escalate to Roxanne"))</f>
        <v/>
      </c>
    </row>
    <row r="759" spans="18:26">
      <c r="R759" s="15"/>
      <c r="S759" s="16"/>
      <c r="T759" s="17">
        <f>IF(AND(COUNTA($A759:$K759)=0,$L759=""),"",IF($S759="Paid","PAID",IF($S759="Closed","CLOSED",IF($W759="","",IF($W759=6,"ESCALATED TO ROXANNE",IF(TODAY()&gt;$Y759,"OVERDUE",IF($Y759&lt;=WORKDAY(TODAY(),1,Holidays),"DUE TOMORROW",IF($W759=4,"ESCALATED TO LOCAL OFFICE",IF($W759=5,"ESCALATED TO CBE",IF($X759=TODAY(),"EMAIL SENT","MONITORING"))))))))))</f>
        <v/>
      </c>
      <c r="U759" s="17">
        <f>IF($T759="",IF(AND(COUNTA($A759:$K759)&gt;0,$L759=""),"Awaiting Collection Email time stamp.",""),IF(OR($T759="PAID",$T759="CLOSED"),IF($T759="PAID","Account paid. Action completed.","Account closed. No further action required."),CHOOSE($W759,"Collection Email","1st Email Follow-up","2nd Email Follow-up","Escalation to Local Office","Escalation to CBE","Escalation to Roxanne")&amp;" sent "&amp;TEXT($X759,"dd-mmm")&amp;". "&amp;IF($W759=6,"Final escalation completed.",IF($T759="OVERDUE","Next: "&amp;$Z759&amp;" was due "&amp;TEXT($Y759,"dd-mmm")&amp;" - "&amp;(NETWORKDAYS($Y759,TODAY(),Holidays)-1)&amp;" business day(s) late. Send now.",IF($T759="DUE TOMORROW","Next: "&amp;$Z759&amp;IF($Y759&lt;=TODAY()," is due TODAY ("," is due next business day (")&amp;TEXT($Y759,"dd-mmm")&amp;").","Next: "&amp;$Z759&amp;" due "&amp;TEXT($Y759,"dd-mmm")&amp;" ("&amp;(NETWORKDAYS(TODAY(),$Y759,Holidays)-1)&amp;" business day(s) left).")))))</f>
        <v/>
      </c>
      <c r="V759" s="17">
        <f>IF($W759="","",CHOOSE($W759,"Collection Email","1st Follow-up","2nd Follow-up","Local Office","CBE","Roxanne")&amp;IF($W759=6," - Final"," - Day "&amp;MAX(0,NETWORKDAYS($X759,TODAY(),Holidays)-1)&amp;" of "&amp;CHOOSE($W759,3,3,2,2,3))&amp;" | Total Day "&amp;MAX(0,NETWORKDAYS($L759,TODAY(),Holidays)-1))</f>
        <v/>
      </c>
      <c r="W759" s="17">
        <f>IF($L759="","",COUNT($L759:$Q759))</f>
        <v/>
      </c>
      <c r="X759" s="18">
        <f>IF($W759="","",INT(INDEX($L759:$Q759,$W759)))</f>
        <v/>
      </c>
      <c r="Y759" s="18">
        <f>IF(OR($W759="",$W759=6),"",WORKDAY($X759,CHOOSE($W759,3,3,2,2,3),Holidays))</f>
        <v/>
      </c>
      <c r="Z759" s="17">
        <f>IF(OR($W759="",$W759=6),"",CHOOSE($W759,"1st Email Follow-up","2nd Email Follow-up","Escalate Local Office","Escalate to CBE","Escalate to Roxanne"))</f>
        <v/>
      </c>
    </row>
    <row r="760" spans="18:26">
      <c r="R760" s="15"/>
      <c r="S760" s="16"/>
      <c r="T760" s="17">
        <f>IF(AND(COUNTA($A760:$K760)=0,$L760=""),"",IF($S760="Paid","PAID",IF($S760="Closed","CLOSED",IF($W760="","",IF($W760=6,"ESCALATED TO ROXANNE",IF(TODAY()&gt;$Y760,"OVERDUE",IF($Y760&lt;=WORKDAY(TODAY(),1,Holidays),"DUE TOMORROW",IF($W760=4,"ESCALATED TO LOCAL OFFICE",IF($W760=5,"ESCALATED TO CBE",IF($X760=TODAY(),"EMAIL SENT","MONITORING"))))))))))</f>
        <v/>
      </c>
      <c r="U760" s="17">
        <f>IF($T760="",IF(AND(COUNTA($A760:$K760)&gt;0,$L760=""),"Awaiting Collection Email time stamp.",""),IF(OR($T760="PAID",$T760="CLOSED"),IF($T760="PAID","Account paid. Action completed.","Account closed. No further action required."),CHOOSE($W760,"Collection Email","1st Email Follow-up","2nd Email Follow-up","Escalation to Local Office","Escalation to CBE","Escalation to Roxanne")&amp;" sent "&amp;TEXT($X760,"dd-mmm")&amp;". "&amp;IF($W760=6,"Final escalation completed.",IF($T760="OVERDUE","Next: "&amp;$Z760&amp;" was due "&amp;TEXT($Y760,"dd-mmm")&amp;" - "&amp;(NETWORKDAYS($Y760,TODAY(),Holidays)-1)&amp;" business day(s) late. Send now.",IF($T760="DUE TOMORROW","Next: "&amp;$Z760&amp;IF($Y760&lt;=TODAY()," is due TODAY ("," is due next business day (")&amp;TEXT($Y760,"dd-mmm")&amp;").","Next: "&amp;$Z760&amp;" due "&amp;TEXT($Y760,"dd-mmm")&amp;" ("&amp;(NETWORKDAYS(TODAY(),$Y760,Holidays)-1)&amp;" business day(s) left).")))))</f>
        <v/>
      </c>
      <c r="V760" s="17">
        <f>IF($W760="","",CHOOSE($W760,"Collection Email","1st Follow-up","2nd Follow-up","Local Office","CBE","Roxanne")&amp;IF($W760=6," - Final"," - Day "&amp;MAX(0,NETWORKDAYS($X760,TODAY(),Holidays)-1)&amp;" of "&amp;CHOOSE($W760,3,3,2,2,3))&amp;" | Total Day "&amp;MAX(0,NETWORKDAYS($L760,TODAY(),Holidays)-1))</f>
        <v/>
      </c>
      <c r="W760" s="17">
        <f>IF($L760="","",COUNT($L760:$Q760))</f>
        <v/>
      </c>
      <c r="X760" s="18">
        <f>IF($W760="","",INT(INDEX($L760:$Q760,$W760)))</f>
        <v/>
      </c>
      <c r="Y760" s="18">
        <f>IF(OR($W760="",$W760=6),"",WORKDAY($X760,CHOOSE($W760,3,3,2,2,3),Holidays))</f>
        <v/>
      </c>
      <c r="Z760" s="17">
        <f>IF(OR($W760="",$W760=6),"",CHOOSE($W760,"1st Email Follow-up","2nd Email Follow-up","Escalate Local Office","Escalate to CBE","Escalate to Roxanne"))</f>
        <v/>
      </c>
    </row>
    <row r="761" spans="18:26">
      <c r="R761" s="15"/>
      <c r="S761" s="16"/>
      <c r="T761" s="17">
        <f>IF(AND(COUNTA($A761:$K761)=0,$L761=""),"",IF($S761="Paid","PAID",IF($S761="Closed","CLOSED",IF($W761="","",IF($W761=6,"ESCALATED TO ROXANNE",IF(TODAY()&gt;$Y761,"OVERDUE",IF($Y761&lt;=WORKDAY(TODAY(),1,Holidays),"DUE TOMORROW",IF($W761=4,"ESCALATED TO LOCAL OFFICE",IF($W761=5,"ESCALATED TO CBE",IF($X761=TODAY(),"EMAIL SENT","MONITORING"))))))))))</f>
        <v/>
      </c>
      <c r="U761" s="17">
        <f>IF($T761="",IF(AND(COUNTA($A761:$K761)&gt;0,$L761=""),"Awaiting Collection Email time stamp.",""),IF(OR($T761="PAID",$T761="CLOSED"),IF($T761="PAID","Account paid. Action completed.","Account closed. No further action required."),CHOOSE($W761,"Collection Email","1st Email Follow-up","2nd Email Follow-up","Escalation to Local Office","Escalation to CBE","Escalation to Roxanne")&amp;" sent "&amp;TEXT($X761,"dd-mmm")&amp;". "&amp;IF($W761=6,"Final escalation completed.",IF($T761="OVERDUE","Next: "&amp;$Z761&amp;" was due "&amp;TEXT($Y761,"dd-mmm")&amp;" - "&amp;(NETWORKDAYS($Y761,TODAY(),Holidays)-1)&amp;" business day(s) late. Send now.",IF($T761="DUE TOMORROW","Next: "&amp;$Z761&amp;IF($Y761&lt;=TODAY()," is due TODAY ("," is due next business day (")&amp;TEXT($Y761,"dd-mmm")&amp;").","Next: "&amp;$Z761&amp;" due "&amp;TEXT($Y761,"dd-mmm")&amp;" ("&amp;(NETWORKDAYS(TODAY(),$Y761,Holidays)-1)&amp;" business day(s) left).")))))</f>
        <v/>
      </c>
      <c r="V761" s="17">
        <f>IF($W761="","",CHOOSE($W761,"Collection Email","1st Follow-up","2nd Follow-up","Local Office","CBE","Roxanne")&amp;IF($W761=6," - Final"," - Day "&amp;MAX(0,NETWORKDAYS($X761,TODAY(),Holidays)-1)&amp;" of "&amp;CHOOSE($W761,3,3,2,2,3))&amp;" | Total Day "&amp;MAX(0,NETWORKDAYS($L761,TODAY(),Holidays)-1))</f>
        <v/>
      </c>
      <c r="W761" s="17">
        <f>IF($L761="","",COUNT($L761:$Q761))</f>
        <v/>
      </c>
      <c r="X761" s="18">
        <f>IF($W761="","",INT(INDEX($L761:$Q761,$W761)))</f>
        <v/>
      </c>
      <c r="Y761" s="18">
        <f>IF(OR($W761="",$W761=6),"",WORKDAY($X761,CHOOSE($W761,3,3,2,2,3),Holidays))</f>
        <v/>
      </c>
      <c r="Z761" s="17">
        <f>IF(OR($W761="",$W761=6),"",CHOOSE($W761,"1st Email Follow-up","2nd Email Follow-up","Escalate Local Office","Escalate to CBE","Escalate to Roxanne"))</f>
        <v/>
      </c>
    </row>
    <row r="762" spans="18:26">
      <c r="R762" s="15"/>
      <c r="S762" s="16"/>
      <c r="T762" s="17">
        <f>IF(AND(COUNTA($A762:$K762)=0,$L762=""),"",IF($S762="Paid","PAID",IF($S762="Closed","CLOSED",IF($W762="","",IF($W762=6,"ESCALATED TO ROXANNE",IF(TODAY()&gt;$Y762,"OVERDUE",IF($Y762&lt;=WORKDAY(TODAY(),1,Holidays),"DUE TOMORROW",IF($W762=4,"ESCALATED TO LOCAL OFFICE",IF($W762=5,"ESCALATED TO CBE",IF($X762=TODAY(),"EMAIL SENT","MONITORING"))))))))))</f>
        <v/>
      </c>
      <c r="U762" s="17">
        <f>IF($T762="",IF(AND(COUNTA($A762:$K762)&gt;0,$L762=""),"Awaiting Collection Email time stamp.",""),IF(OR($T762="PAID",$T762="CLOSED"),IF($T762="PAID","Account paid. Action completed.","Account closed. No further action required."),CHOOSE($W762,"Collection Email","1st Email Follow-up","2nd Email Follow-up","Escalation to Local Office","Escalation to CBE","Escalation to Roxanne")&amp;" sent "&amp;TEXT($X762,"dd-mmm")&amp;". "&amp;IF($W762=6,"Final escalation completed.",IF($T762="OVERDUE","Next: "&amp;$Z762&amp;" was due "&amp;TEXT($Y762,"dd-mmm")&amp;" - "&amp;(NETWORKDAYS($Y762,TODAY(),Holidays)-1)&amp;" business day(s) late. Send now.",IF($T762="DUE TOMORROW","Next: "&amp;$Z762&amp;IF($Y762&lt;=TODAY()," is due TODAY ("," is due next business day (")&amp;TEXT($Y762,"dd-mmm")&amp;").","Next: "&amp;$Z762&amp;" due "&amp;TEXT($Y762,"dd-mmm")&amp;" ("&amp;(NETWORKDAYS(TODAY(),$Y762,Holidays)-1)&amp;" business day(s) left).")))))</f>
        <v/>
      </c>
      <c r="V762" s="17">
        <f>IF($W762="","",CHOOSE($W762,"Collection Email","1st Follow-up","2nd Follow-up","Local Office","CBE","Roxanne")&amp;IF($W762=6," - Final"," - Day "&amp;MAX(0,NETWORKDAYS($X762,TODAY(),Holidays)-1)&amp;" of "&amp;CHOOSE($W762,3,3,2,2,3))&amp;" | Total Day "&amp;MAX(0,NETWORKDAYS($L762,TODAY(),Holidays)-1))</f>
        <v/>
      </c>
      <c r="W762" s="17">
        <f>IF($L762="","",COUNT($L762:$Q762))</f>
        <v/>
      </c>
      <c r="X762" s="18">
        <f>IF($W762="","",INT(INDEX($L762:$Q762,$W762)))</f>
        <v/>
      </c>
      <c r="Y762" s="18">
        <f>IF(OR($W762="",$W762=6),"",WORKDAY($X762,CHOOSE($W762,3,3,2,2,3),Holidays))</f>
        <v/>
      </c>
      <c r="Z762" s="17">
        <f>IF(OR($W762="",$W762=6),"",CHOOSE($W762,"1st Email Follow-up","2nd Email Follow-up","Escalate Local Office","Escalate to CBE","Escalate to Roxanne"))</f>
        <v/>
      </c>
    </row>
    <row r="763" spans="18:26">
      <c r="R763" s="15"/>
      <c r="S763" s="16"/>
      <c r="T763" s="17">
        <f>IF(AND(COUNTA($A763:$K763)=0,$L763=""),"",IF($S763="Paid","PAID",IF($S763="Closed","CLOSED",IF($W763="","",IF($W763=6,"ESCALATED TO ROXANNE",IF(TODAY()&gt;$Y763,"OVERDUE",IF($Y763&lt;=WORKDAY(TODAY(),1,Holidays),"DUE TOMORROW",IF($W763=4,"ESCALATED TO LOCAL OFFICE",IF($W763=5,"ESCALATED TO CBE",IF($X763=TODAY(),"EMAIL SENT","MONITORING"))))))))))</f>
        <v/>
      </c>
      <c r="U763" s="17">
        <f>IF($T763="",IF(AND(COUNTA($A763:$K763)&gt;0,$L763=""),"Awaiting Collection Email time stamp.",""),IF(OR($T763="PAID",$T763="CLOSED"),IF($T763="PAID","Account paid. Action completed.","Account closed. No further action required."),CHOOSE($W763,"Collection Email","1st Email Follow-up","2nd Email Follow-up","Escalation to Local Office","Escalation to CBE","Escalation to Roxanne")&amp;" sent "&amp;TEXT($X763,"dd-mmm")&amp;". "&amp;IF($W763=6,"Final escalation completed.",IF($T763="OVERDUE","Next: "&amp;$Z763&amp;" was due "&amp;TEXT($Y763,"dd-mmm")&amp;" - "&amp;(NETWORKDAYS($Y763,TODAY(),Holidays)-1)&amp;" business day(s) late. Send now.",IF($T763="DUE TOMORROW","Next: "&amp;$Z763&amp;IF($Y763&lt;=TODAY()," is due TODAY ("," is due next business day (")&amp;TEXT($Y763,"dd-mmm")&amp;").","Next: "&amp;$Z763&amp;" due "&amp;TEXT($Y763,"dd-mmm")&amp;" ("&amp;(NETWORKDAYS(TODAY(),$Y763,Holidays)-1)&amp;" business day(s) left).")))))</f>
        <v/>
      </c>
      <c r="V763" s="17">
        <f>IF($W763="","",CHOOSE($W763,"Collection Email","1st Follow-up","2nd Follow-up","Local Office","CBE","Roxanne")&amp;IF($W763=6," - Final"," - Day "&amp;MAX(0,NETWORKDAYS($X763,TODAY(),Holidays)-1)&amp;" of "&amp;CHOOSE($W763,3,3,2,2,3))&amp;" | Total Day "&amp;MAX(0,NETWORKDAYS($L763,TODAY(),Holidays)-1))</f>
        <v/>
      </c>
      <c r="W763" s="17">
        <f>IF($L763="","",COUNT($L763:$Q763))</f>
        <v/>
      </c>
      <c r="X763" s="18">
        <f>IF($W763="","",INT(INDEX($L763:$Q763,$W763)))</f>
        <v/>
      </c>
      <c r="Y763" s="18">
        <f>IF(OR($W763="",$W763=6),"",WORKDAY($X763,CHOOSE($W763,3,3,2,2,3),Holidays))</f>
        <v/>
      </c>
      <c r="Z763" s="17">
        <f>IF(OR($W763="",$W763=6),"",CHOOSE($W763,"1st Email Follow-up","2nd Email Follow-up","Escalate Local Office","Escalate to CBE","Escalate to Roxanne"))</f>
        <v/>
      </c>
    </row>
    <row r="764" spans="18:26">
      <c r="R764" s="15"/>
      <c r="S764" s="16"/>
      <c r="T764" s="17">
        <f>IF(AND(COUNTA($A764:$K764)=0,$L764=""),"",IF($S764="Paid","PAID",IF($S764="Closed","CLOSED",IF($W764="","",IF($W764=6,"ESCALATED TO ROXANNE",IF(TODAY()&gt;$Y764,"OVERDUE",IF($Y764&lt;=WORKDAY(TODAY(),1,Holidays),"DUE TOMORROW",IF($W764=4,"ESCALATED TO LOCAL OFFICE",IF($W764=5,"ESCALATED TO CBE",IF($X764=TODAY(),"EMAIL SENT","MONITORING"))))))))))</f>
        <v/>
      </c>
      <c r="U764" s="17">
        <f>IF($T764="",IF(AND(COUNTA($A764:$K764)&gt;0,$L764=""),"Awaiting Collection Email time stamp.",""),IF(OR($T764="PAID",$T764="CLOSED"),IF($T764="PAID","Account paid. Action completed.","Account closed. No further action required."),CHOOSE($W764,"Collection Email","1st Email Follow-up","2nd Email Follow-up","Escalation to Local Office","Escalation to CBE","Escalation to Roxanne")&amp;" sent "&amp;TEXT($X764,"dd-mmm")&amp;". "&amp;IF($W764=6,"Final escalation completed.",IF($T764="OVERDUE","Next: "&amp;$Z764&amp;" was due "&amp;TEXT($Y764,"dd-mmm")&amp;" - "&amp;(NETWORKDAYS($Y764,TODAY(),Holidays)-1)&amp;" business day(s) late. Send now.",IF($T764="DUE TOMORROW","Next: "&amp;$Z764&amp;IF($Y764&lt;=TODAY()," is due TODAY ("," is due next business day (")&amp;TEXT($Y764,"dd-mmm")&amp;").","Next: "&amp;$Z764&amp;" due "&amp;TEXT($Y764,"dd-mmm")&amp;" ("&amp;(NETWORKDAYS(TODAY(),$Y764,Holidays)-1)&amp;" business day(s) left).")))))</f>
        <v/>
      </c>
      <c r="V764" s="17">
        <f>IF($W764="","",CHOOSE($W764,"Collection Email","1st Follow-up","2nd Follow-up","Local Office","CBE","Roxanne")&amp;IF($W764=6," - Final"," - Day "&amp;MAX(0,NETWORKDAYS($X764,TODAY(),Holidays)-1)&amp;" of "&amp;CHOOSE($W764,3,3,2,2,3))&amp;" | Total Day "&amp;MAX(0,NETWORKDAYS($L764,TODAY(),Holidays)-1))</f>
        <v/>
      </c>
      <c r="W764" s="17">
        <f>IF($L764="","",COUNT($L764:$Q764))</f>
        <v/>
      </c>
      <c r="X764" s="18">
        <f>IF($W764="","",INT(INDEX($L764:$Q764,$W764)))</f>
        <v/>
      </c>
      <c r="Y764" s="18">
        <f>IF(OR($W764="",$W764=6),"",WORKDAY($X764,CHOOSE($W764,3,3,2,2,3),Holidays))</f>
        <v/>
      </c>
      <c r="Z764" s="17">
        <f>IF(OR($W764="",$W764=6),"",CHOOSE($W764,"1st Email Follow-up","2nd Email Follow-up","Escalate Local Office","Escalate to CBE","Escalate to Roxanne"))</f>
        <v/>
      </c>
    </row>
    <row r="765" spans="18:26">
      <c r="R765" s="15"/>
      <c r="S765" s="16"/>
      <c r="T765" s="17">
        <f>IF(AND(COUNTA($A765:$K765)=0,$L765=""),"",IF($S765="Paid","PAID",IF($S765="Closed","CLOSED",IF($W765="","",IF($W765=6,"ESCALATED TO ROXANNE",IF(TODAY()&gt;$Y765,"OVERDUE",IF($Y765&lt;=WORKDAY(TODAY(),1,Holidays),"DUE TOMORROW",IF($W765=4,"ESCALATED TO LOCAL OFFICE",IF($W765=5,"ESCALATED TO CBE",IF($X765=TODAY(),"EMAIL SENT","MONITORING"))))))))))</f>
        <v/>
      </c>
      <c r="U765" s="17">
        <f>IF($T765="",IF(AND(COUNTA($A765:$K765)&gt;0,$L765=""),"Awaiting Collection Email time stamp.",""),IF(OR($T765="PAID",$T765="CLOSED"),IF($T765="PAID","Account paid. Action completed.","Account closed. No further action required."),CHOOSE($W765,"Collection Email","1st Email Follow-up","2nd Email Follow-up","Escalation to Local Office","Escalation to CBE","Escalation to Roxanne")&amp;" sent "&amp;TEXT($X765,"dd-mmm")&amp;". "&amp;IF($W765=6,"Final escalation completed.",IF($T765="OVERDUE","Next: "&amp;$Z765&amp;" was due "&amp;TEXT($Y765,"dd-mmm")&amp;" - "&amp;(NETWORKDAYS($Y765,TODAY(),Holidays)-1)&amp;" business day(s) late. Send now.",IF($T765="DUE TOMORROW","Next: "&amp;$Z765&amp;IF($Y765&lt;=TODAY()," is due TODAY ("," is due next business day (")&amp;TEXT($Y765,"dd-mmm")&amp;").","Next: "&amp;$Z765&amp;" due "&amp;TEXT($Y765,"dd-mmm")&amp;" ("&amp;(NETWORKDAYS(TODAY(),$Y765,Holidays)-1)&amp;" business day(s) left).")))))</f>
        <v/>
      </c>
      <c r="V765" s="17">
        <f>IF($W765="","",CHOOSE($W765,"Collection Email","1st Follow-up","2nd Follow-up","Local Office","CBE","Roxanne")&amp;IF($W765=6," - Final"," - Day "&amp;MAX(0,NETWORKDAYS($X765,TODAY(),Holidays)-1)&amp;" of "&amp;CHOOSE($W765,3,3,2,2,3))&amp;" | Total Day "&amp;MAX(0,NETWORKDAYS($L765,TODAY(),Holidays)-1))</f>
        <v/>
      </c>
      <c r="W765" s="17">
        <f>IF($L765="","",COUNT($L765:$Q765))</f>
        <v/>
      </c>
      <c r="X765" s="18">
        <f>IF($W765="","",INT(INDEX($L765:$Q765,$W765)))</f>
        <v/>
      </c>
      <c r="Y765" s="18">
        <f>IF(OR($W765="",$W765=6),"",WORKDAY($X765,CHOOSE($W765,3,3,2,2,3),Holidays))</f>
        <v/>
      </c>
      <c r="Z765" s="17">
        <f>IF(OR($W765="",$W765=6),"",CHOOSE($W765,"1st Email Follow-up","2nd Email Follow-up","Escalate Local Office","Escalate to CBE","Escalate to Roxanne"))</f>
        <v/>
      </c>
    </row>
    <row r="766" spans="18:26">
      <c r="R766" s="15"/>
      <c r="S766" s="16"/>
      <c r="T766" s="17">
        <f>IF(AND(COUNTA($A766:$K766)=0,$L766=""),"",IF($S766="Paid","PAID",IF($S766="Closed","CLOSED",IF($W766="","",IF($W766=6,"ESCALATED TO ROXANNE",IF(TODAY()&gt;$Y766,"OVERDUE",IF($Y766&lt;=WORKDAY(TODAY(),1,Holidays),"DUE TOMORROW",IF($W766=4,"ESCALATED TO LOCAL OFFICE",IF($W766=5,"ESCALATED TO CBE",IF($X766=TODAY(),"EMAIL SENT","MONITORING"))))))))))</f>
        <v/>
      </c>
      <c r="U766" s="17">
        <f>IF($T766="",IF(AND(COUNTA($A766:$K766)&gt;0,$L766=""),"Awaiting Collection Email time stamp.",""),IF(OR($T766="PAID",$T766="CLOSED"),IF($T766="PAID","Account paid. Action completed.","Account closed. No further action required."),CHOOSE($W766,"Collection Email","1st Email Follow-up","2nd Email Follow-up","Escalation to Local Office","Escalation to CBE","Escalation to Roxanne")&amp;" sent "&amp;TEXT($X766,"dd-mmm")&amp;". "&amp;IF($W766=6,"Final escalation completed.",IF($T766="OVERDUE","Next: "&amp;$Z766&amp;" was due "&amp;TEXT($Y766,"dd-mmm")&amp;" - "&amp;(NETWORKDAYS($Y766,TODAY(),Holidays)-1)&amp;" business day(s) late. Send now.",IF($T766="DUE TOMORROW","Next: "&amp;$Z766&amp;IF($Y766&lt;=TODAY()," is due TODAY ("," is due next business day (")&amp;TEXT($Y766,"dd-mmm")&amp;").","Next: "&amp;$Z766&amp;" due "&amp;TEXT($Y766,"dd-mmm")&amp;" ("&amp;(NETWORKDAYS(TODAY(),$Y766,Holidays)-1)&amp;" business day(s) left).")))))</f>
        <v/>
      </c>
      <c r="V766" s="17">
        <f>IF($W766="","",CHOOSE($W766,"Collection Email","1st Follow-up","2nd Follow-up","Local Office","CBE","Roxanne")&amp;IF($W766=6," - Final"," - Day "&amp;MAX(0,NETWORKDAYS($X766,TODAY(),Holidays)-1)&amp;" of "&amp;CHOOSE($W766,3,3,2,2,3))&amp;" | Total Day "&amp;MAX(0,NETWORKDAYS($L766,TODAY(),Holidays)-1))</f>
        <v/>
      </c>
      <c r="W766" s="17">
        <f>IF($L766="","",COUNT($L766:$Q766))</f>
        <v/>
      </c>
      <c r="X766" s="18">
        <f>IF($W766="","",INT(INDEX($L766:$Q766,$W766)))</f>
        <v/>
      </c>
      <c r="Y766" s="18">
        <f>IF(OR($W766="",$W766=6),"",WORKDAY($X766,CHOOSE($W766,3,3,2,2,3),Holidays))</f>
        <v/>
      </c>
      <c r="Z766" s="17">
        <f>IF(OR($W766="",$W766=6),"",CHOOSE($W766,"1st Email Follow-up","2nd Email Follow-up","Escalate Local Office","Escalate to CBE","Escalate to Roxanne"))</f>
        <v/>
      </c>
    </row>
    <row r="767" spans="18:26">
      <c r="R767" s="15"/>
      <c r="S767" s="16"/>
      <c r="T767" s="17">
        <f>IF(AND(COUNTA($A767:$K767)=0,$L767=""),"",IF($S767="Paid","PAID",IF($S767="Closed","CLOSED",IF($W767="","",IF($W767=6,"ESCALATED TO ROXANNE",IF(TODAY()&gt;$Y767,"OVERDUE",IF($Y767&lt;=WORKDAY(TODAY(),1,Holidays),"DUE TOMORROW",IF($W767=4,"ESCALATED TO LOCAL OFFICE",IF($W767=5,"ESCALATED TO CBE",IF($X767=TODAY(),"EMAIL SENT","MONITORING"))))))))))</f>
        <v/>
      </c>
      <c r="U767" s="17">
        <f>IF($T767="",IF(AND(COUNTA($A767:$K767)&gt;0,$L767=""),"Awaiting Collection Email time stamp.",""),IF(OR($T767="PAID",$T767="CLOSED"),IF($T767="PAID","Account paid. Action completed.","Account closed. No further action required."),CHOOSE($W767,"Collection Email","1st Email Follow-up","2nd Email Follow-up","Escalation to Local Office","Escalation to CBE","Escalation to Roxanne")&amp;" sent "&amp;TEXT($X767,"dd-mmm")&amp;". "&amp;IF($W767=6,"Final escalation completed.",IF($T767="OVERDUE","Next: "&amp;$Z767&amp;" was due "&amp;TEXT($Y767,"dd-mmm")&amp;" - "&amp;(NETWORKDAYS($Y767,TODAY(),Holidays)-1)&amp;" business day(s) late. Send now.",IF($T767="DUE TOMORROW","Next: "&amp;$Z767&amp;IF($Y767&lt;=TODAY()," is due TODAY ("," is due next business day (")&amp;TEXT($Y767,"dd-mmm")&amp;").","Next: "&amp;$Z767&amp;" due "&amp;TEXT($Y767,"dd-mmm")&amp;" ("&amp;(NETWORKDAYS(TODAY(),$Y767,Holidays)-1)&amp;" business day(s) left).")))))</f>
        <v/>
      </c>
      <c r="V767" s="17">
        <f>IF($W767="","",CHOOSE($W767,"Collection Email","1st Follow-up","2nd Follow-up","Local Office","CBE","Roxanne")&amp;IF($W767=6," - Final"," - Day "&amp;MAX(0,NETWORKDAYS($X767,TODAY(),Holidays)-1)&amp;" of "&amp;CHOOSE($W767,3,3,2,2,3))&amp;" | Total Day "&amp;MAX(0,NETWORKDAYS($L767,TODAY(),Holidays)-1))</f>
        <v/>
      </c>
      <c r="W767" s="17">
        <f>IF($L767="","",COUNT($L767:$Q767))</f>
        <v/>
      </c>
      <c r="X767" s="18">
        <f>IF($W767="","",INT(INDEX($L767:$Q767,$W767)))</f>
        <v/>
      </c>
      <c r="Y767" s="18">
        <f>IF(OR($W767="",$W767=6),"",WORKDAY($X767,CHOOSE($W767,3,3,2,2,3),Holidays))</f>
        <v/>
      </c>
      <c r="Z767" s="17">
        <f>IF(OR($W767="",$W767=6),"",CHOOSE($W767,"1st Email Follow-up","2nd Email Follow-up","Escalate Local Office","Escalate to CBE","Escalate to Roxanne"))</f>
        <v/>
      </c>
    </row>
    <row r="768" spans="18:26">
      <c r="R768" s="15"/>
      <c r="S768" s="16"/>
      <c r="T768" s="17">
        <f>IF(AND(COUNTA($A768:$K768)=0,$L768=""),"",IF($S768="Paid","PAID",IF($S768="Closed","CLOSED",IF($W768="","",IF($W768=6,"ESCALATED TO ROXANNE",IF(TODAY()&gt;$Y768,"OVERDUE",IF($Y768&lt;=WORKDAY(TODAY(),1,Holidays),"DUE TOMORROW",IF($W768=4,"ESCALATED TO LOCAL OFFICE",IF($W768=5,"ESCALATED TO CBE",IF($X768=TODAY(),"EMAIL SENT","MONITORING"))))))))))</f>
        <v/>
      </c>
      <c r="U768" s="17">
        <f>IF($T768="",IF(AND(COUNTA($A768:$K768)&gt;0,$L768=""),"Awaiting Collection Email time stamp.",""),IF(OR($T768="PAID",$T768="CLOSED"),IF($T768="PAID","Account paid. Action completed.","Account closed. No further action required."),CHOOSE($W768,"Collection Email","1st Email Follow-up","2nd Email Follow-up","Escalation to Local Office","Escalation to CBE","Escalation to Roxanne")&amp;" sent "&amp;TEXT($X768,"dd-mmm")&amp;". "&amp;IF($W768=6,"Final escalation completed.",IF($T768="OVERDUE","Next: "&amp;$Z768&amp;" was due "&amp;TEXT($Y768,"dd-mmm")&amp;" - "&amp;(NETWORKDAYS($Y768,TODAY(),Holidays)-1)&amp;" business day(s) late. Send now.",IF($T768="DUE TOMORROW","Next: "&amp;$Z768&amp;IF($Y768&lt;=TODAY()," is due TODAY ("," is due next business day (")&amp;TEXT($Y768,"dd-mmm")&amp;").","Next: "&amp;$Z768&amp;" due "&amp;TEXT($Y768,"dd-mmm")&amp;" ("&amp;(NETWORKDAYS(TODAY(),$Y768,Holidays)-1)&amp;" business day(s) left).")))))</f>
        <v/>
      </c>
      <c r="V768" s="17">
        <f>IF($W768="","",CHOOSE($W768,"Collection Email","1st Follow-up","2nd Follow-up","Local Office","CBE","Roxanne")&amp;IF($W768=6," - Final"," - Day "&amp;MAX(0,NETWORKDAYS($X768,TODAY(),Holidays)-1)&amp;" of "&amp;CHOOSE($W768,3,3,2,2,3))&amp;" | Total Day "&amp;MAX(0,NETWORKDAYS($L768,TODAY(),Holidays)-1))</f>
        <v/>
      </c>
      <c r="W768" s="17">
        <f>IF($L768="","",COUNT($L768:$Q768))</f>
        <v/>
      </c>
      <c r="X768" s="18">
        <f>IF($W768="","",INT(INDEX($L768:$Q768,$W768)))</f>
        <v/>
      </c>
      <c r="Y768" s="18">
        <f>IF(OR($W768="",$W768=6),"",WORKDAY($X768,CHOOSE($W768,3,3,2,2,3),Holidays))</f>
        <v/>
      </c>
      <c r="Z768" s="17">
        <f>IF(OR($W768="",$W768=6),"",CHOOSE($W768,"1st Email Follow-up","2nd Email Follow-up","Escalate Local Office","Escalate to CBE","Escalate to Roxanne"))</f>
        <v/>
      </c>
    </row>
    <row r="769" spans="18:26">
      <c r="R769" s="15"/>
      <c r="S769" s="16"/>
      <c r="T769" s="17">
        <f>IF(AND(COUNTA($A769:$K769)=0,$L769=""),"",IF($S769="Paid","PAID",IF($S769="Closed","CLOSED",IF($W769="","",IF($W769=6,"ESCALATED TO ROXANNE",IF(TODAY()&gt;$Y769,"OVERDUE",IF($Y769&lt;=WORKDAY(TODAY(),1,Holidays),"DUE TOMORROW",IF($W769=4,"ESCALATED TO LOCAL OFFICE",IF($W769=5,"ESCALATED TO CBE",IF($X769=TODAY(),"EMAIL SENT","MONITORING"))))))))))</f>
        <v/>
      </c>
      <c r="U769" s="17">
        <f>IF($T769="",IF(AND(COUNTA($A769:$K769)&gt;0,$L769=""),"Awaiting Collection Email time stamp.",""),IF(OR($T769="PAID",$T769="CLOSED"),IF($T769="PAID","Account paid. Action completed.","Account closed. No further action required."),CHOOSE($W769,"Collection Email","1st Email Follow-up","2nd Email Follow-up","Escalation to Local Office","Escalation to CBE","Escalation to Roxanne")&amp;" sent "&amp;TEXT($X769,"dd-mmm")&amp;". "&amp;IF($W769=6,"Final escalation completed.",IF($T769="OVERDUE","Next: "&amp;$Z769&amp;" was due "&amp;TEXT($Y769,"dd-mmm")&amp;" - "&amp;(NETWORKDAYS($Y769,TODAY(),Holidays)-1)&amp;" business day(s) late. Send now.",IF($T769="DUE TOMORROW","Next: "&amp;$Z769&amp;IF($Y769&lt;=TODAY()," is due TODAY ("," is due next business day (")&amp;TEXT($Y769,"dd-mmm")&amp;").","Next: "&amp;$Z769&amp;" due "&amp;TEXT($Y769,"dd-mmm")&amp;" ("&amp;(NETWORKDAYS(TODAY(),$Y769,Holidays)-1)&amp;" business day(s) left).")))))</f>
        <v/>
      </c>
      <c r="V769" s="17">
        <f>IF($W769="","",CHOOSE($W769,"Collection Email","1st Follow-up","2nd Follow-up","Local Office","CBE","Roxanne")&amp;IF($W769=6," - Final"," - Day "&amp;MAX(0,NETWORKDAYS($X769,TODAY(),Holidays)-1)&amp;" of "&amp;CHOOSE($W769,3,3,2,2,3))&amp;" | Total Day "&amp;MAX(0,NETWORKDAYS($L769,TODAY(),Holidays)-1))</f>
        <v/>
      </c>
      <c r="W769" s="17">
        <f>IF($L769="","",COUNT($L769:$Q769))</f>
        <v/>
      </c>
      <c r="X769" s="18">
        <f>IF($W769="","",INT(INDEX($L769:$Q769,$W769)))</f>
        <v/>
      </c>
      <c r="Y769" s="18">
        <f>IF(OR($W769="",$W769=6),"",WORKDAY($X769,CHOOSE($W769,3,3,2,2,3),Holidays))</f>
        <v/>
      </c>
      <c r="Z769" s="17">
        <f>IF(OR($W769="",$W769=6),"",CHOOSE($W769,"1st Email Follow-up","2nd Email Follow-up","Escalate Local Office","Escalate to CBE","Escalate to Roxanne"))</f>
        <v/>
      </c>
    </row>
    <row r="770" spans="18:26">
      <c r="R770" s="15"/>
      <c r="S770" s="16"/>
      <c r="T770" s="17">
        <f>IF(AND(COUNTA($A770:$K770)=0,$L770=""),"",IF($S770="Paid","PAID",IF($S770="Closed","CLOSED",IF($W770="","",IF($W770=6,"ESCALATED TO ROXANNE",IF(TODAY()&gt;$Y770,"OVERDUE",IF($Y770&lt;=WORKDAY(TODAY(),1,Holidays),"DUE TOMORROW",IF($W770=4,"ESCALATED TO LOCAL OFFICE",IF($W770=5,"ESCALATED TO CBE",IF($X770=TODAY(),"EMAIL SENT","MONITORING"))))))))))</f>
        <v/>
      </c>
      <c r="U770" s="17">
        <f>IF($T770="",IF(AND(COUNTA($A770:$K770)&gt;0,$L770=""),"Awaiting Collection Email time stamp.",""),IF(OR($T770="PAID",$T770="CLOSED"),IF($T770="PAID","Account paid. Action completed.","Account closed. No further action required."),CHOOSE($W770,"Collection Email","1st Email Follow-up","2nd Email Follow-up","Escalation to Local Office","Escalation to CBE","Escalation to Roxanne")&amp;" sent "&amp;TEXT($X770,"dd-mmm")&amp;". "&amp;IF($W770=6,"Final escalation completed.",IF($T770="OVERDUE","Next: "&amp;$Z770&amp;" was due "&amp;TEXT($Y770,"dd-mmm")&amp;" - "&amp;(NETWORKDAYS($Y770,TODAY(),Holidays)-1)&amp;" business day(s) late. Send now.",IF($T770="DUE TOMORROW","Next: "&amp;$Z770&amp;IF($Y770&lt;=TODAY()," is due TODAY ("," is due next business day (")&amp;TEXT($Y770,"dd-mmm")&amp;").","Next: "&amp;$Z770&amp;" due "&amp;TEXT($Y770,"dd-mmm")&amp;" ("&amp;(NETWORKDAYS(TODAY(),$Y770,Holidays)-1)&amp;" business day(s) left).")))))</f>
        <v/>
      </c>
      <c r="V770" s="17">
        <f>IF($W770="","",CHOOSE($W770,"Collection Email","1st Follow-up","2nd Follow-up","Local Office","CBE","Roxanne")&amp;IF($W770=6," - Final"," - Day "&amp;MAX(0,NETWORKDAYS($X770,TODAY(),Holidays)-1)&amp;" of "&amp;CHOOSE($W770,3,3,2,2,3))&amp;" | Total Day "&amp;MAX(0,NETWORKDAYS($L770,TODAY(),Holidays)-1))</f>
        <v/>
      </c>
      <c r="W770" s="17">
        <f>IF($L770="","",COUNT($L770:$Q770))</f>
        <v/>
      </c>
      <c r="X770" s="18">
        <f>IF($W770="","",INT(INDEX($L770:$Q770,$W770)))</f>
        <v/>
      </c>
      <c r="Y770" s="18">
        <f>IF(OR($W770="",$W770=6),"",WORKDAY($X770,CHOOSE($W770,3,3,2,2,3),Holidays))</f>
        <v/>
      </c>
      <c r="Z770" s="17">
        <f>IF(OR($W770="",$W770=6),"",CHOOSE($W770,"1st Email Follow-up","2nd Email Follow-up","Escalate Local Office","Escalate to CBE","Escalate to Roxanne"))</f>
        <v/>
      </c>
    </row>
    <row r="771" spans="18:26">
      <c r="R771" s="15"/>
      <c r="S771" s="16"/>
      <c r="T771" s="17">
        <f>IF(AND(COUNTA($A771:$K771)=0,$L771=""),"",IF($S771="Paid","PAID",IF($S771="Closed","CLOSED",IF($W771="","",IF($W771=6,"ESCALATED TO ROXANNE",IF(TODAY()&gt;$Y771,"OVERDUE",IF($Y771&lt;=WORKDAY(TODAY(),1,Holidays),"DUE TOMORROW",IF($W771=4,"ESCALATED TO LOCAL OFFICE",IF($W771=5,"ESCALATED TO CBE",IF($X771=TODAY(),"EMAIL SENT","MONITORING"))))))))))</f>
        <v/>
      </c>
      <c r="U771" s="17">
        <f>IF($T771="",IF(AND(COUNTA($A771:$K771)&gt;0,$L771=""),"Awaiting Collection Email time stamp.",""),IF(OR($T771="PAID",$T771="CLOSED"),IF($T771="PAID","Account paid. Action completed.","Account closed. No further action required."),CHOOSE($W771,"Collection Email","1st Email Follow-up","2nd Email Follow-up","Escalation to Local Office","Escalation to CBE","Escalation to Roxanne")&amp;" sent "&amp;TEXT($X771,"dd-mmm")&amp;". "&amp;IF($W771=6,"Final escalation completed.",IF($T771="OVERDUE","Next: "&amp;$Z771&amp;" was due "&amp;TEXT($Y771,"dd-mmm")&amp;" - "&amp;(NETWORKDAYS($Y771,TODAY(),Holidays)-1)&amp;" business day(s) late. Send now.",IF($T771="DUE TOMORROW","Next: "&amp;$Z771&amp;IF($Y771&lt;=TODAY()," is due TODAY ("," is due next business day (")&amp;TEXT($Y771,"dd-mmm")&amp;").","Next: "&amp;$Z771&amp;" due "&amp;TEXT($Y771,"dd-mmm")&amp;" ("&amp;(NETWORKDAYS(TODAY(),$Y771,Holidays)-1)&amp;" business day(s) left).")))))</f>
        <v/>
      </c>
      <c r="V771" s="17">
        <f>IF($W771="","",CHOOSE($W771,"Collection Email","1st Follow-up","2nd Follow-up","Local Office","CBE","Roxanne")&amp;IF($W771=6," - Final"," - Day "&amp;MAX(0,NETWORKDAYS($X771,TODAY(),Holidays)-1)&amp;" of "&amp;CHOOSE($W771,3,3,2,2,3))&amp;" | Total Day "&amp;MAX(0,NETWORKDAYS($L771,TODAY(),Holidays)-1))</f>
        <v/>
      </c>
      <c r="W771" s="17">
        <f>IF($L771="","",COUNT($L771:$Q771))</f>
        <v/>
      </c>
      <c r="X771" s="18">
        <f>IF($W771="","",INT(INDEX($L771:$Q771,$W771)))</f>
        <v/>
      </c>
      <c r="Y771" s="18">
        <f>IF(OR($W771="",$W771=6),"",WORKDAY($X771,CHOOSE($W771,3,3,2,2,3),Holidays))</f>
        <v/>
      </c>
      <c r="Z771" s="17">
        <f>IF(OR($W771="",$W771=6),"",CHOOSE($W771,"1st Email Follow-up","2nd Email Follow-up","Escalate Local Office","Escalate to CBE","Escalate to Roxanne"))</f>
        <v/>
      </c>
    </row>
    <row r="772" spans="18:26">
      <c r="R772" s="15"/>
      <c r="S772" s="16"/>
      <c r="T772" s="17">
        <f>IF(AND(COUNTA($A772:$K772)=0,$L772=""),"",IF($S772="Paid","PAID",IF($S772="Closed","CLOSED",IF($W772="","",IF($W772=6,"ESCALATED TO ROXANNE",IF(TODAY()&gt;$Y772,"OVERDUE",IF($Y772&lt;=WORKDAY(TODAY(),1,Holidays),"DUE TOMORROW",IF($W772=4,"ESCALATED TO LOCAL OFFICE",IF($W772=5,"ESCALATED TO CBE",IF($X772=TODAY(),"EMAIL SENT","MONITORING"))))))))))</f>
        <v/>
      </c>
      <c r="U772" s="17">
        <f>IF($T772="",IF(AND(COUNTA($A772:$K772)&gt;0,$L772=""),"Awaiting Collection Email time stamp.",""),IF(OR($T772="PAID",$T772="CLOSED"),IF($T772="PAID","Account paid. Action completed.","Account closed. No further action required."),CHOOSE($W772,"Collection Email","1st Email Follow-up","2nd Email Follow-up","Escalation to Local Office","Escalation to CBE","Escalation to Roxanne")&amp;" sent "&amp;TEXT($X772,"dd-mmm")&amp;". "&amp;IF($W772=6,"Final escalation completed.",IF($T772="OVERDUE","Next: "&amp;$Z772&amp;" was due "&amp;TEXT($Y772,"dd-mmm")&amp;" - "&amp;(NETWORKDAYS($Y772,TODAY(),Holidays)-1)&amp;" business day(s) late. Send now.",IF($T772="DUE TOMORROW","Next: "&amp;$Z772&amp;IF($Y772&lt;=TODAY()," is due TODAY ("," is due next business day (")&amp;TEXT($Y772,"dd-mmm")&amp;").","Next: "&amp;$Z772&amp;" due "&amp;TEXT($Y772,"dd-mmm")&amp;" ("&amp;(NETWORKDAYS(TODAY(),$Y772,Holidays)-1)&amp;" business day(s) left).")))))</f>
        <v/>
      </c>
      <c r="V772" s="17">
        <f>IF($W772="","",CHOOSE($W772,"Collection Email","1st Follow-up","2nd Follow-up","Local Office","CBE","Roxanne")&amp;IF($W772=6," - Final"," - Day "&amp;MAX(0,NETWORKDAYS($X772,TODAY(),Holidays)-1)&amp;" of "&amp;CHOOSE($W772,3,3,2,2,3))&amp;" | Total Day "&amp;MAX(0,NETWORKDAYS($L772,TODAY(),Holidays)-1))</f>
        <v/>
      </c>
      <c r="W772" s="17">
        <f>IF($L772="","",COUNT($L772:$Q772))</f>
        <v/>
      </c>
      <c r="X772" s="18">
        <f>IF($W772="","",INT(INDEX($L772:$Q772,$W772)))</f>
        <v/>
      </c>
      <c r="Y772" s="18">
        <f>IF(OR($W772="",$W772=6),"",WORKDAY($X772,CHOOSE($W772,3,3,2,2,3),Holidays))</f>
        <v/>
      </c>
      <c r="Z772" s="17">
        <f>IF(OR($W772="",$W772=6),"",CHOOSE($W772,"1st Email Follow-up","2nd Email Follow-up","Escalate Local Office","Escalate to CBE","Escalate to Roxanne"))</f>
        <v/>
      </c>
    </row>
    <row r="773" spans="18:26">
      <c r="R773" s="15"/>
      <c r="S773" s="16"/>
      <c r="T773" s="17">
        <f>IF(AND(COUNTA($A773:$K773)=0,$L773=""),"",IF($S773="Paid","PAID",IF($S773="Closed","CLOSED",IF($W773="","",IF($W773=6,"ESCALATED TO ROXANNE",IF(TODAY()&gt;$Y773,"OVERDUE",IF($Y773&lt;=WORKDAY(TODAY(),1,Holidays),"DUE TOMORROW",IF($W773=4,"ESCALATED TO LOCAL OFFICE",IF($W773=5,"ESCALATED TO CBE",IF($X773=TODAY(),"EMAIL SENT","MONITORING"))))))))))</f>
        <v/>
      </c>
      <c r="U773" s="17">
        <f>IF($T773="",IF(AND(COUNTA($A773:$K773)&gt;0,$L773=""),"Awaiting Collection Email time stamp.",""),IF(OR($T773="PAID",$T773="CLOSED"),IF($T773="PAID","Account paid. Action completed.","Account closed. No further action required."),CHOOSE($W773,"Collection Email","1st Email Follow-up","2nd Email Follow-up","Escalation to Local Office","Escalation to CBE","Escalation to Roxanne")&amp;" sent "&amp;TEXT($X773,"dd-mmm")&amp;". "&amp;IF($W773=6,"Final escalation completed.",IF($T773="OVERDUE","Next: "&amp;$Z773&amp;" was due "&amp;TEXT($Y773,"dd-mmm")&amp;" - "&amp;(NETWORKDAYS($Y773,TODAY(),Holidays)-1)&amp;" business day(s) late. Send now.",IF($T773="DUE TOMORROW","Next: "&amp;$Z773&amp;IF($Y773&lt;=TODAY()," is due TODAY ("," is due next business day (")&amp;TEXT($Y773,"dd-mmm")&amp;").","Next: "&amp;$Z773&amp;" due "&amp;TEXT($Y773,"dd-mmm")&amp;" ("&amp;(NETWORKDAYS(TODAY(),$Y773,Holidays)-1)&amp;" business day(s) left).")))))</f>
        <v/>
      </c>
      <c r="V773" s="17">
        <f>IF($W773="","",CHOOSE($W773,"Collection Email","1st Follow-up","2nd Follow-up","Local Office","CBE","Roxanne")&amp;IF($W773=6," - Final"," - Day "&amp;MAX(0,NETWORKDAYS($X773,TODAY(),Holidays)-1)&amp;" of "&amp;CHOOSE($W773,3,3,2,2,3))&amp;" | Total Day "&amp;MAX(0,NETWORKDAYS($L773,TODAY(),Holidays)-1))</f>
        <v/>
      </c>
      <c r="W773" s="17">
        <f>IF($L773="","",COUNT($L773:$Q773))</f>
        <v/>
      </c>
      <c r="X773" s="18">
        <f>IF($W773="","",INT(INDEX($L773:$Q773,$W773)))</f>
        <v/>
      </c>
      <c r="Y773" s="18">
        <f>IF(OR($W773="",$W773=6),"",WORKDAY($X773,CHOOSE($W773,3,3,2,2,3),Holidays))</f>
        <v/>
      </c>
      <c r="Z773" s="17">
        <f>IF(OR($W773="",$W773=6),"",CHOOSE($W773,"1st Email Follow-up","2nd Email Follow-up","Escalate Local Office","Escalate to CBE","Escalate to Roxanne"))</f>
        <v/>
      </c>
    </row>
    <row r="774" spans="18:26">
      <c r="R774" s="15"/>
      <c r="S774" s="16"/>
      <c r="T774" s="17">
        <f>IF(AND(COUNTA($A774:$K774)=0,$L774=""),"",IF($S774="Paid","PAID",IF($S774="Closed","CLOSED",IF($W774="","",IF($W774=6,"ESCALATED TO ROXANNE",IF(TODAY()&gt;$Y774,"OVERDUE",IF($Y774&lt;=WORKDAY(TODAY(),1,Holidays),"DUE TOMORROW",IF($W774=4,"ESCALATED TO LOCAL OFFICE",IF($W774=5,"ESCALATED TO CBE",IF($X774=TODAY(),"EMAIL SENT","MONITORING"))))))))))</f>
        <v/>
      </c>
      <c r="U774" s="17">
        <f>IF($T774="",IF(AND(COUNTA($A774:$K774)&gt;0,$L774=""),"Awaiting Collection Email time stamp.",""),IF(OR($T774="PAID",$T774="CLOSED"),IF($T774="PAID","Account paid. Action completed.","Account closed. No further action required."),CHOOSE($W774,"Collection Email","1st Email Follow-up","2nd Email Follow-up","Escalation to Local Office","Escalation to CBE","Escalation to Roxanne")&amp;" sent "&amp;TEXT($X774,"dd-mmm")&amp;". "&amp;IF($W774=6,"Final escalation completed.",IF($T774="OVERDUE","Next: "&amp;$Z774&amp;" was due "&amp;TEXT($Y774,"dd-mmm")&amp;" - "&amp;(NETWORKDAYS($Y774,TODAY(),Holidays)-1)&amp;" business day(s) late. Send now.",IF($T774="DUE TOMORROW","Next: "&amp;$Z774&amp;IF($Y774&lt;=TODAY()," is due TODAY ("," is due next business day (")&amp;TEXT($Y774,"dd-mmm")&amp;").","Next: "&amp;$Z774&amp;" due "&amp;TEXT($Y774,"dd-mmm")&amp;" ("&amp;(NETWORKDAYS(TODAY(),$Y774,Holidays)-1)&amp;" business day(s) left).")))))</f>
        <v/>
      </c>
      <c r="V774" s="17">
        <f>IF($W774="","",CHOOSE($W774,"Collection Email","1st Follow-up","2nd Follow-up","Local Office","CBE","Roxanne")&amp;IF($W774=6," - Final"," - Day "&amp;MAX(0,NETWORKDAYS($X774,TODAY(),Holidays)-1)&amp;" of "&amp;CHOOSE($W774,3,3,2,2,3))&amp;" | Total Day "&amp;MAX(0,NETWORKDAYS($L774,TODAY(),Holidays)-1))</f>
        <v/>
      </c>
      <c r="W774" s="17">
        <f>IF($L774="","",COUNT($L774:$Q774))</f>
        <v/>
      </c>
      <c r="X774" s="18">
        <f>IF($W774="","",INT(INDEX($L774:$Q774,$W774)))</f>
        <v/>
      </c>
      <c r="Y774" s="18">
        <f>IF(OR($W774="",$W774=6),"",WORKDAY($X774,CHOOSE($W774,3,3,2,2,3),Holidays))</f>
        <v/>
      </c>
      <c r="Z774" s="17">
        <f>IF(OR($W774="",$W774=6),"",CHOOSE($W774,"1st Email Follow-up","2nd Email Follow-up","Escalate Local Office","Escalate to CBE","Escalate to Roxanne"))</f>
        <v/>
      </c>
    </row>
    <row r="775" spans="18:26">
      <c r="R775" s="15"/>
      <c r="S775" s="16"/>
      <c r="T775" s="17">
        <f>IF(AND(COUNTA($A775:$K775)=0,$L775=""),"",IF($S775="Paid","PAID",IF($S775="Closed","CLOSED",IF($W775="","",IF($W775=6,"ESCALATED TO ROXANNE",IF(TODAY()&gt;$Y775,"OVERDUE",IF($Y775&lt;=WORKDAY(TODAY(),1,Holidays),"DUE TOMORROW",IF($W775=4,"ESCALATED TO LOCAL OFFICE",IF($W775=5,"ESCALATED TO CBE",IF($X775=TODAY(),"EMAIL SENT","MONITORING"))))))))))</f>
        <v/>
      </c>
      <c r="U775" s="17">
        <f>IF($T775="",IF(AND(COUNTA($A775:$K775)&gt;0,$L775=""),"Awaiting Collection Email time stamp.",""),IF(OR($T775="PAID",$T775="CLOSED"),IF($T775="PAID","Account paid. Action completed.","Account closed. No further action required."),CHOOSE($W775,"Collection Email","1st Email Follow-up","2nd Email Follow-up","Escalation to Local Office","Escalation to CBE","Escalation to Roxanne")&amp;" sent "&amp;TEXT($X775,"dd-mmm")&amp;". "&amp;IF($W775=6,"Final escalation completed.",IF($T775="OVERDUE","Next: "&amp;$Z775&amp;" was due "&amp;TEXT($Y775,"dd-mmm")&amp;" - "&amp;(NETWORKDAYS($Y775,TODAY(),Holidays)-1)&amp;" business day(s) late. Send now.",IF($T775="DUE TOMORROW","Next: "&amp;$Z775&amp;IF($Y775&lt;=TODAY()," is due TODAY ("," is due next business day (")&amp;TEXT($Y775,"dd-mmm")&amp;").","Next: "&amp;$Z775&amp;" due "&amp;TEXT($Y775,"dd-mmm")&amp;" ("&amp;(NETWORKDAYS(TODAY(),$Y775,Holidays)-1)&amp;" business day(s) left).")))))</f>
        <v/>
      </c>
      <c r="V775" s="17">
        <f>IF($W775="","",CHOOSE($W775,"Collection Email","1st Follow-up","2nd Follow-up","Local Office","CBE","Roxanne")&amp;IF($W775=6," - Final"," - Day "&amp;MAX(0,NETWORKDAYS($X775,TODAY(),Holidays)-1)&amp;" of "&amp;CHOOSE($W775,3,3,2,2,3))&amp;" | Total Day "&amp;MAX(0,NETWORKDAYS($L775,TODAY(),Holidays)-1))</f>
        <v/>
      </c>
      <c r="W775" s="17">
        <f>IF($L775="","",COUNT($L775:$Q775))</f>
        <v/>
      </c>
      <c r="X775" s="18">
        <f>IF($W775="","",INT(INDEX($L775:$Q775,$W775)))</f>
        <v/>
      </c>
      <c r="Y775" s="18">
        <f>IF(OR($W775="",$W775=6),"",WORKDAY($X775,CHOOSE($W775,3,3,2,2,3),Holidays))</f>
        <v/>
      </c>
      <c r="Z775" s="17">
        <f>IF(OR($W775="",$W775=6),"",CHOOSE($W775,"1st Email Follow-up","2nd Email Follow-up","Escalate Local Office","Escalate to CBE","Escalate to Roxanne"))</f>
        <v/>
      </c>
    </row>
    <row r="776" spans="18:26">
      <c r="R776" s="15"/>
      <c r="S776" s="16"/>
      <c r="T776" s="17">
        <f>IF(AND(COUNTA($A776:$K776)=0,$L776=""),"",IF($S776="Paid","PAID",IF($S776="Closed","CLOSED",IF($W776="","",IF($W776=6,"ESCALATED TO ROXANNE",IF(TODAY()&gt;$Y776,"OVERDUE",IF($Y776&lt;=WORKDAY(TODAY(),1,Holidays),"DUE TOMORROW",IF($W776=4,"ESCALATED TO LOCAL OFFICE",IF($W776=5,"ESCALATED TO CBE",IF($X776=TODAY(),"EMAIL SENT","MONITORING"))))))))))</f>
        <v/>
      </c>
      <c r="U776" s="17">
        <f>IF($T776="",IF(AND(COUNTA($A776:$K776)&gt;0,$L776=""),"Awaiting Collection Email time stamp.",""),IF(OR($T776="PAID",$T776="CLOSED"),IF($T776="PAID","Account paid. Action completed.","Account closed. No further action required."),CHOOSE($W776,"Collection Email","1st Email Follow-up","2nd Email Follow-up","Escalation to Local Office","Escalation to CBE","Escalation to Roxanne")&amp;" sent "&amp;TEXT($X776,"dd-mmm")&amp;". "&amp;IF($W776=6,"Final escalation completed.",IF($T776="OVERDUE","Next: "&amp;$Z776&amp;" was due "&amp;TEXT($Y776,"dd-mmm")&amp;" - "&amp;(NETWORKDAYS($Y776,TODAY(),Holidays)-1)&amp;" business day(s) late. Send now.",IF($T776="DUE TOMORROW","Next: "&amp;$Z776&amp;IF($Y776&lt;=TODAY()," is due TODAY ("," is due next business day (")&amp;TEXT($Y776,"dd-mmm")&amp;").","Next: "&amp;$Z776&amp;" due "&amp;TEXT($Y776,"dd-mmm")&amp;" ("&amp;(NETWORKDAYS(TODAY(),$Y776,Holidays)-1)&amp;" business day(s) left).")))))</f>
        <v/>
      </c>
      <c r="V776" s="17">
        <f>IF($W776="","",CHOOSE($W776,"Collection Email","1st Follow-up","2nd Follow-up","Local Office","CBE","Roxanne")&amp;IF($W776=6," - Final"," - Day "&amp;MAX(0,NETWORKDAYS($X776,TODAY(),Holidays)-1)&amp;" of "&amp;CHOOSE($W776,3,3,2,2,3))&amp;" | Total Day "&amp;MAX(0,NETWORKDAYS($L776,TODAY(),Holidays)-1))</f>
        <v/>
      </c>
      <c r="W776" s="17">
        <f>IF($L776="","",COUNT($L776:$Q776))</f>
        <v/>
      </c>
      <c r="X776" s="18">
        <f>IF($W776="","",INT(INDEX($L776:$Q776,$W776)))</f>
        <v/>
      </c>
      <c r="Y776" s="18">
        <f>IF(OR($W776="",$W776=6),"",WORKDAY($X776,CHOOSE($W776,3,3,2,2,3),Holidays))</f>
        <v/>
      </c>
      <c r="Z776" s="17">
        <f>IF(OR($W776="",$W776=6),"",CHOOSE($W776,"1st Email Follow-up","2nd Email Follow-up","Escalate Local Office","Escalate to CBE","Escalate to Roxanne"))</f>
        <v/>
      </c>
    </row>
    <row r="777" spans="18:26">
      <c r="R777" s="15"/>
      <c r="S777" s="16"/>
      <c r="T777" s="17">
        <f>IF(AND(COUNTA($A777:$K777)=0,$L777=""),"",IF($S777="Paid","PAID",IF($S777="Closed","CLOSED",IF($W777="","",IF($W777=6,"ESCALATED TO ROXANNE",IF(TODAY()&gt;$Y777,"OVERDUE",IF($Y777&lt;=WORKDAY(TODAY(),1,Holidays),"DUE TOMORROW",IF($W777=4,"ESCALATED TO LOCAL OFFICE",IF($W777=5,"ESCALATED TO CBE",IF($X777=TODAY(),"EMAIL SENT","MONITORING"))))))))))</f>
        <v/>
      </c>
      <c r="U777" s="17">
        <f>IF($T777="",IF(AND(COUNTA($A777:$K777)&gt;0,$L777=""),"Awaiting Collection Email time stamp.",""),IF(OR($T777="PAID",$T777="CLOSED"),IF($T777="PAID","Account paid. Action completed.","Account closed. No further action required."),CHOOSE($W777,"Collection Email","1st Email Follow-up","2nd Email Follow-up","Escalation to Local Office","Escalation to CBE","Escalation to Roxanne")&amp;" sent "&amp;TEXT($X777,"dd-mmm")&amp;". "&amp;IF($W777=6,"Final escalation completed.",IF($T777="OVERDUE","Next: "&amp;$Z777&amp;" was due "&amp;TEXT($Y777,"dd-mmm")&amp;" - "&amp;(NETWORKDAYS($Y777,TODAY(),Holidays)-1)&amp;" business day(s) late. Send now.",IF($T777="DUE TOMORROW","Next: "&amp;$Z777&amp;IF($Y777&lt;=TODAY()," is due TODAY ("," is due next business day (")&amp;TEXT($Y777,"dd-mmm")&amp;").","Next: "&amp;$Z777&amp;" due "&amp;TEXT($Y777,"dd-mmm")&amp;" ("&amp;(NETWORKDAYS(TODAY(),$Y777,Holidays)-1)&amp;" business day(s) left).")))))</f>
        <v/>
      </c>
      <c r="V777" s="17">
        <f>IF($W777="","",CHOOSE($W777,"Collection Email","1st Follow-up","2nd Follow-up","Local Office","CBE","Roxanne")&amp;IF($W777=6," - Final"," - Day "&amp;MAX(0,NETWORKDAYS($X777,TODAY(),Holidays)-1)&amp;" of "&amp;CHOOSE($W777,3,3,2,2,3))&amp;" | Total Day "&amp;MAX(0,NETWORKDAYS($L777,TODAY(),Holidays)-1))</f>
        <v/>
      </c>
      <c r="W777" s="17">
        <f>IF($L777="","",COUNT($L777:$Q777))</f>
        <v/>
      </c>
      <c r="X777" s="18">
        <f>IF($W777="","",INT(INDEX($L777:$Q777,$W777)))</f>
        <v/>
      </c>
      <c r="Y777" s="18">
        <f>IF(OR($W777="",$W777=6),"",WORKDAY($X777,CHOOSE($W777,3,3,2,2,3),Holidays))</f>
        <v/>
      </c>
      <c r="Z777" s="17">
        <f>IF(OR($W777="",$W777=6),"",CHOOSE($W777,"1st Email Follow-up","2nd Email Follow-up","Escalate Local Office","Escalate to CBE","Escalate to Roxanne"))</f>
        <v/>
      </c>
    </row>
    <row r="778" spans="18:26">
      <c r="R778" s="15"/>
      <c r="S778" s="16"/>
      <c r="T778" s="17">
        <f>IF(AND(COUNTA($A778:$K778)=0,$L778=""),"",IF($S778="Paid","PAID",IF($S778="Closed","CLOSED",IF($W778="","",IF($W778=6,"ESCALATED TO ROXANNE",IF(TODAY()&gt;$Y778,"OVERDUE",IF($Y778&lt;=WORKDAY(TODAY(),1,Holidays),"DUE TOMORROW",IF($W778=4,"ESCALATED TO LOCAL OFFICE",IF($W778=5,"ESCALATED TO CBE",IF($X778=TODAY(),"EMAIL SENT","MONITORING"))))))))))</f>
        <v/>
      </c>
      <c r="U778" s="17">
        <f>IF($T778="",IF(AND(COUNTA($A778:$K778)&gt;0,$L778=""),"Awaiting Collection Email time stamp.",""),IF(OR($T778="PAID",$T778="CLOSED"),IF($T778="PAID","Account paid. Action completed.","Account closed. No further action required."),CHOOSE($W778,"Collection Email","1st Email Follow-up","2nd Email Follow-up","Escalation to Local Office","Escalation to CBE","Escalation to Roxanne")&amp;" sent "&amp;TEXT($X778,"dd-mmm")&amp;". "&amp;IF($W778=6,"Final escalation completed.",IF($T778="OVERDUE","Next: "&amp;$Z778&amp;" was due "&amp;TEXT($Y778,"dd-mmm")&amp;" - "&amp;(NETWORKDAYS($Y778,TODAY(),Holidays)-1)&amp;" business day(s) late. Send now.",IF($T778="DUE TOMORROW","Next: "&amp;$Z778&amp;IF($Y778&lt;=TODAY()," is due TODAY ("," is due next business day (")&amp;TEXT($Y778,"dd-mmm")&amp;").","Next: "&amp;$Z778&amp;" due "&amp;TEXT($Y778,"dd-mmm")&amp;" ("&amp;(NETWORKDAYS(TODAY(),$Y778,Holidays)-1)&amp;" business day(s) left).")))))</f>
        <v/>
      </c>
      <c r="V778" s="17">
        <f>IF($W778="","",CHOOSE($W778,"Collection Email","1st Follow-up","2nd Follow-up","Local Office","CBE","Roxanne")&amp;IF($W778=6," - Final"," - Day "&amp;MAX(0,NETWORKDAYS($X778,TODAY(),Holidays)-1)&amp;" of "&amp;CHOOSE($W778,3,3,2,2,3))&amp;" | Total Day "&amp;MAX(0,NETWORKDAYS($L778,TODAY(),Holidays)-1))</f>
        <v/>
      </c>
      <c r="W778" s="17">
        <f>IF($L778="","",COUNT($L778:$Q778))</f>
        <v/>
      </c>
      <c r="X778" s="18">
        <f>IF($W778="","",INT(INDEX($L778:$Q778,$W778)))</f>
        <v/>
      </c>
      <c r="Y778" s="18">
        <f>IF(OR($W778="",$W778=6),"",WORKDAY($X778,CHOOSE($W778,3,3,2,2,3),Holidays))</f>
        <v/>
      </c>
      <c r="Z778" s="17">
        <f>IF(OR($W778="",$W778=6),"",CHOOSE($W778,"1st Email Follow-up","2nd Email Follow-up","Escalate Local Office","Escalate to CBE","Escalate to Roxanne"))</f>
        <v/>
      </c>
    </row>
    <row r="779" spans="18:26">
      <c r="R779" s="15"/>
      <c r="S779" s="16"/>
      <c r="T779" s="17">
        <f>IF(AND(COUNTA($A779:$K779)=0,$L779=""),"",IF($S779="Paid","PAID",IF($S779="Closed","CLOSED",IF($W779="","",IF($W779=6,"ESCALATED TO ROXANNE",IF(TODAY()&gt;$Y779,"OVERDUE",IF($Y779&lt;=WORKDAY(TODAY(),1,Holidays),"DUE TOMORROW",IF($W779=4,"ESCALATED TO LOCAL OFFICE",IF($W779=5,"ESCALATED TO CBE",IF($X779=TODAY(),"EMAIL SENT","MONITORING"))))))))))</f>
        <v/>
      </c>
      <c r="U779" s="17">
        <f>IF($T779="",IF(AND(COUNTA($A779:$K779)&gt;0,$L779=""),"Awaiting Collection Email time stamp.",""),IF(OR($T779="PAID",$T779="CLOSED"),IF($T779="PAID","Account paid. Action completed.","Account closed. No further action required."),CHOOSE($W779,"Collection Email","1st Email Follow-up","2nd Email Follow-up","Escalation to Local Office","Escalation to CBE","Escalation to Roxanne")&amp;" sent "&amp;TEXT($X779,"dd-mmm")&amp;". "&amp;IF($W779=6,"Final escalation completed.",IF($T779="OVERDUE","Next: "&amp;$Z779&amp;" was due "&amp;TEXT($Y779,"dd-mmm")&amp;" - "&amp;(NETWORKDAYS($Y779,TODAY(),Holidays)-1)&amp;" business day(s) late. Send now.",IF($T779="DUE TOMORROW","Next: "&amp;$Z779&amp;IF($Y779&lt;=TODAY()," is due TODAY ("," is due next business day (")&amp;TEXT($Y779,"dd-mmm")&amp;").","Next: "&amp;$Z779&amp;" due "&amp;TEXT($Y779,"dd-mmm")&amp;" ("&amp;(NETWORKDAYS(TODAY(),$Y779,Holidays)-1)&amp;" business day(s) left).")))))</f>
        <v/>
      </c>
      <c r="V779" s="17">
        <f>IF($W779="","",CHOOSE($W779,"Collection Email","1st Follow-up","2nd Follow-up","Local Office","CBE","Roxanne")&amp;IF($W779=6," - Final"," - Day "&amp;MAX(0,NETWORKDAYS($X779,TODAY(),Holidays)-1)&amp;" of "&amp;CHOOSE($W779,3,3,2,2,3))&amp;" | Total Day "&amp;MAX(0,NETWORKDAYS($L779,TODAY(),Holidays)-1))</f>
        <v/>
      </c>
      <c r="W779" s="17">
        <f>IF($L779="","",COUNT($L779:$Q779))</f>
        <v/>
      </c>
      <c r="X779" s="18">
        <f>IF($W779="","",INT(INDEX($L779:$Q779,$W779)))</f>
        <v/>
      </c>
      <c r="Y779" s="18">
        <f>IF(OR($W779="",$W779=6),"",WORKDAY($X779,CHOOSE($W779,3,3,2,2,3),Holidays))</f>
        <v/>
      </c>
      <c r="Z779" s="17">
        <f>IF(OR($W779="",$W779=6),"",CHOOSE($W779,"1st Email Follow-up","2nd Email Follow-up","Escalate Local Office","Escalate to CBE","Escalate to Roxanne"))</f>
        <v/>
      </c>
    </row>
    <row r="780" spans="18:26">
      <c r="R780" s="15"/>
      <c r="S780" s="16"/>
      <c r="T780" s="17">
        <f>IF(AND(COUNTA($A780:$K780)=0,$L780=""),"",IF($S780="Paid","PAID",IF($S780="Closed","CLOSED",IF($W780="","",IF($W780=6,"ESCALATED TO ROXANNE",IF(TODAY()&gt;$Y780,"OVERDUE",IF($Y780&lt;=WORKDAY(TODAY(),1,Holidays),"DUE TOMORROW",IF($W780=4,"ESCALATED TO LOCAL OFFICE",IF($W780=5,"ESCALATED TO CBE",IF($X780=TODAY(),"EMAIL SENT","MONITORING"))))))))))</f>
        <v/>
      </c>
      <c r="U780" s="17">
        <f>IF($T780="",IF(AND(COUNTA($A780:$K780)&gt;0,$L780=""),"Awaiting Collection Email time stamp.",""),IF(OR($T780="PAID",$T780="CLOSED"),IF($T780="PAID","Account paid. Action completed.","Account closed. No further action required."),CHOOSE($W780,"Collection Email","1st Email Follow-up","2nd Email Follow-up","Escalation to Local Office","Escalation to CBE","Escalation to Roxanne")&amp;" sent "&amp;TEXT($X780,"dd-mmm")&amp;". "&amp;IF($W780=6,"Final escalation completed.",IF($T780="OVERDUE","Next: "&amp;$Z780&amp;" was due "&amp;TEXT($Y780,"dd-mmm")&amp;" - "&amp;(NETWORKDAYS($Y780,TODAY(),Holidays)-1)&amp;" business day(s) late. Send now.",IF($T780="DUE TOMORROW","Next: "&amp;$Z780&amp;IF($Y780&lt;=TODAY()," is due TODAY ("," is due next business day (")&amp;TEXT($Y780,"dd-mmm")&amp;").","Next: "&amp;$Z780&amp;" due "&amp;TEXT($Y780,"dd-mmm")&amp;" ("&amp;(NETWORKDAYS(TODAY(),$Y780,Holidays)-1)&amp;" business day(s) left).")))))</f>
        <v/>
      </c>
      <c r="V780" s="17">
        <f>IF($W780="","",CHOOSE($W780,"Collection Email","1st Follow-up","2nd Follow-up","Local Office","CBE","Roxanne")&amp;IF($W780=6," - Final"," - Day "&amp;MAX(0,NETWORKDAYS($X780,TODAY(),Holidays)-1)&amp;" of "&amp;CHOOSE($W780,3,3,2,2,3))&amp;" | Total Day "&amp;MAX(0,NETWORKDAYS($L780,TODAY(),Holidays)-1))</f>
        <v/>
      </c>
      <c r="W780" s="17">
        <f>IF($L780="","",COUNT($L780:$Q780))</f>
        <v/>
      </c>
      <c r="X780" s="18">
        <f>IF($W780="","",INT(INDEX($L780:$Q780,$W780)))</f>
        <v/>
      </c>
      <c r="Y780" s="18">
        <f>IF(OR($W780="",$W780=6),"",WORKDAY($X780,CHOOSE($W780,3,3,2,2,3),Holidays))</f>
        <v/>
      </c>
      <c r="Z780" s="17">
        <f>IF(OR($W780="",$W780=6),"",CHOOSE($W780,"1st Email Follow-up","2nd Email Follow-up","Escalate Local Office","Escalate to CBE","Escalate to Roxanne"))</f>
        <v/>
      </c>
    </row>
    <row r="781" spans="18:26">
      <c r="R781" s="15"/>
      <c r="S781" s="16"/>
      <c r="T781" s="17">
        <f>IF(AND(COUNTA($A781:$K781)=0,$L781=""),"",IF($S781="Paid","PAID",IF($S781="Closed","CLOSED",IF($W781="","",IF($W781=6,"ESCALATED TO ROXANNE",IF(TODAY()&gt;$Y781,"OVERDUE",IF($Y781&lt;=WORKDAY(TODAY(),1,Holidays),"DUE TOMORROW",IF($W781=4,"ESCALATED TO LOCAL OFFICE",IF($W781=5,"ESCALATED TO CBE",IF($X781=TODAY(),"EMAIL SENT","MONITORING"))))))))))</f>
        <v/>
      </c>
      <c r="U781" s="17">
        <f>IF($T781="",IF(AND(COUNTA($A781:$K781)&gt;0,$L781=""),"Awaiting Collection Email time stamp.",""),IF(OR($T781="PAID",$T781="CLOSED"),IF($T781="PAID","Account paid. Action completed.","Account closed. No further action required."),CHOOSE($W781,"Collection Email","1st Email Follow-up","2nd Email Follow-up","Escalation to Local Office","Escalation to CBE","Escalation to Roxanne")&amp;" sent "&amp;TEXT($X781,"dd-mmm")&amp;". "&amp;IF($W781=6,"Final escalation completed.",IF($T781="OVERDUE","Next: "&amp;$Z781&amp;" was due "&amp;TEXT($Y781,"dd-mmm")&amp;" - "&amp;(NETWORKDAYS($Y781,TODAY(),Holidays)-1)&amp;" business day(s) late. Send now.",IF($T781="DUE TOMORROW","Next: "&amp;$Z781&amp;IF($Y781&lt;=TODAY()," is due TODAY ("," is due next business day (")&amp;TEXT($Y781,"dd-mmm")&amp;").","Next: "&amp;$Z781&amp;" due "&amp;TEXT($Y781,"dd-mmm")&amp;" ("&amp;(NETWORKDAYS(TODAY(),$Y781,Holidays)-1)&amp;" business day(s) left).")))))</f>
        <v/>
      </c>
      <c r="V781" s="17">
        <f>IF($W781="","",CHOOSE($W781,"Collection Email","1st Follow-up","2nd Follow-up","Local Office","CBE","Roxanne")&amp;IF($W781=6," - Final"," - Day "&amp;MAX(0,NETWORKDAYS($X781,TODAY(),Holidays)-1)&amp;" of "&amp;CHOOSE($W781,3,3,2,2,3))&amp;" | Total Day "&amp;MAX(0,NETWORKDAYS($L781,TODAY(),Holidays)-1))</f>
        <v/>
      </c>
      <c r="W781" s="17">
        <f>IF($L781="","",COUNT($L781:$Q781))</f>
        <v/>
      </c>
      <c r="X781" s="18">
        <f>IF($W781="","",INT(INDEX($L781:$Q781,$W781)))</f>
        <v/>
      </c>
      <c r="Y781" s="18">
        <f>IF(OR($W781="",$W781=6),"",WORKDAY($X781,CHOOSE($W781,3,3,2,2,3),Holidays))</f>
        <v/>
      </c>
      <c r="Z781" s="17">
        <f>IF(OR($W781="",$W781=6),"",CHOOSE($W781,"1st Email Follow-up","2nd Email Follow-up","Escalate Local Office","Escalate to CBE","Escalate to Roxanne"))</f>
        <v/>
      </c>
    </row>
    <row r="782" spans="18:26">
      <c r="R782" s="15"/>
      <c r="S782" s="16"/>
      <c r="T782" s="17">
        <f>IF(AND(COUNTA($A782:$K782)=0,$L782=""),"",IF($S782="Paid","PAID",IF($S782="Closed","CLOSED",IF($W782="","",IF($W782=6,"ESCALATED TO ROXANNE",IF(TODAY()&gt;$Y782,"OVERDUE",IF($Y782&lt;=WORKDAY(TODAY(),1,Holidays),"DUE TOMORROW",IF($W782=4,"ESCALATED TO LOCAL OFFICE",IF($W782=5,"ESCALATED TO CBE",IF($X782=TODAY(),"EMAIL SENT","MONITORING"))))))))))</f>
        <v/>
      </c>
      <c r="U782" s="17">
        <f>IF($T782="",IF(AND(COUNTA($A782:$K782)&gt;0,$L782=""),"Awaiting Collection Email time stamp.",""),IF(OR($T782="PAID",$T782="CLOSED"),IF($T782="PAID","Account paid. Action completed.","Account closed. No further action required."),CHOOSE($W782,"Collection Email","1st Email Follow-up","2nd Email Follow-up","Escalation to Local Office","Escalation to CBE","Escalation to Roxanne")&amp;" sent "&amp;TEXT($X782,"dd-mmm")&amp;". "&amp;IF($W782=6,"Final escalation completed.",IF($T782="OVERDUE","Next: "&amp;$Z782&amp;" was due "&amp;TEXT($Y782,"dd-mmm")&amp;" - "&amp;(NETWORKDAYS($Y782,TODAY(),Holidays)-1)&amp;" business day(s) late. Send now.",IF($T782="DUE TOMORROW","Next: "&amp;$Z782&amp;IF($Y782&lt;=TODAY()," is due TODAY ("," is due next business day (")&amp;TEXT($Y782,"dd-mmm")&amp;").","Next: "&amp;$Z782&amp;" due "&amp;TEXT($Y782,"dd-mmm")&amp;" ("&amp;(NETWORKDAYS(TODAY(),$Y782,Holidays)-1)&amp;" business day(s) left).")))))</f>
        <v/>
      </c>
      <c r="V782" s="17">
        <f>IF($W782="","",CHOOSE($W782,"Collection Email","1st Follow-up","2nd Follow-up","Local Office","CBE","Roxanne")&amp;IF($W782=6," - Final"," - Day "&amp;MAX(0,NETWORKDAYS($X782,TODAY(),Holidays)-1)&amp;" of "&amp;CHOOSE($W782,3,3,2,2,3))&amp;" | Total Day "&amp;MAX(0,NETWORKDAYS($L782,TODAY(),Holidays)-1))</f>
        <v/>
      </c>
      <c r="W782" s="17">
        <f>IF($L782="","",COUNT($L782:$Q782))</f>
        <v/>
      </c>
      <c r="X782" s="18">
        <f>IF($W782="","",INT(INDEX($L782:$Q782,$W782)))</f>
        <v/>
      </c>
      <c r="Y782" s="18">
        <f>IF(OR($W782="",$W782=6),"",WORKDAY($X782,CHOOSE($W782,3,3,2,2,3),Holidays))</f>
        <v/>
      </c>
      <c r="Z782" s="17">
        <f>IF(OR($W782="",$W782=6),"",CHOOSE($W782,"1st Email Follow-up","2nd Email Follow-up","Escalate Local Office","Escalate to CBE","Escalate to Roxanne"))</f>
        <v/>
      </c>
    </row>
    <row r="783" spans="18:26">
      <c r="R783" s="15"/>
      <c r="S783" s="16"/>
      <c r="T783" s="17">
        <f>IF(AND(COUNTA($A783:$K783)=0,$L783=""),"",IF($S783="Paid","PAID",IF($S783="Closed","CLOSED",IF($W783="","",IF($W783=6,"ESCALATED TO ROXANNE",IF(TODAY()&gt;$Y783,"OVERDUE",IF($Y783&lt;=WORKDAY(TODAY(),1,Holidays),"DUE TOMORROW",IF($W783=4,"ESCALATED TO LOCAL OFFICE",IF($W783=5,"ESCALATED TO CBE",IF($X783=TODAY(),"EMAIL SENT","MONITORING"))))))))))</f>
        <v/>
      </c>
      <c r="U783" s="17">
        <f>IF($T783="",IF(AND(COUNTA($A783:$K783)&gt;0,$L783=""),"Awaiting Collection Email time stamp.",""),IF(OR($T783="PAID",$T783="CLOSED"),IF($T783="PAID","Account paid. Action completed.","Account closed. No further action required."),CHOOSE($W783,"Collection Email","1st Email Follow-up","2nd Email Follow-up","Escalation to Local Office","Escalation to CBE","Escalation to Roxanne")&amp;" sent "&amp;TEXT($X783,"dd-mmm")&amp;". "&amp;IF($W783=6,"Final escalation completed.",IF($T783="OVERDUE","Next: "&amp;$Z783&amp;" was due "&amp;TEXT($Y783,"dd-mmm")&amp;" - "&amp;(NETWORKDAYS($Y783,TODAY(),Holidays)-1)&amp;" business day(s) late. Send now.",IF($T783="DUE TOMORROW","Next: "&amp;$Z783&amp;IF($Y783&lt;=TODAY()," is due TODAY ("," is due next business day (")&amp;TEXT($Y783,"dd-mmm")&amp;").","Next: "&amp;$Z783&amp;" due "&amp;TEXT($Y783,"dd-mmm")&amp;" ("&amp;(NETWORKDAYS(TODAY(),$Y783,Holidays)-1)&amp;" business day(s) left).")))))</f>
        <v/>
      </c>
      <c r="V783" s="17">
        <f>IF($W783="","",CHOOSE($W783,"Collection Email","1st Follow-up","2nd Follow-up","Local Office","CBE","Roxanne")&amp;IF($W783=6," - Final"," - Day "&amp;MAX(0,NETWORKDAYS($X783,TODAY(),Holidays)-1)&amp;" of "&amp;CHOOSE($W783,3,3,2,2,3))&amp;" | Total Day "&amp;MAX(0,NETWORKDAYS($L783,TODAY(),Holidays)-1))</f>
        <v/>
      </c>
      <c r="W783" s="17">
        <f>IF($L783="","",COUNT($L783:$Q783))</f>
        <v/>
      </c>
      <c r="X783" s="18">
        <f>IF($W783="","",INT(INDEX($L783:$Q783,$W783)))</f>
        <v/>
      </c>
      <c r="Y783" s="18">
        <f>IF(OR($W783="",$W783=6),"",WORKDAY($X783,CHOOSE($W783,3,3,2,2,3),Holidays))</f>
        <v/>
      </c>
      <c r="Z783" s="17">
        <f>IF(OR($W783="",$W783=6),"",CHOOSE($W783,"1st Email Follow-up","2nd Email Follow-up","Escalate Local Office","Escalate to CBE","Escalate to Roxanne"))</f>
        <v/>
      </c>
    </row>
    <row r="784" spans="18:26">
      <c r="R784" s="15"/>
      <c r="S784" s="16"/>
      <c r="T784" s="17">
        <f>IF(AND(COUNTA($A784:$K784)=0,$L784=""),"",IF($S784="Paid","PAID",IF($S784="Closed","CLOSED",IF($W784="","",IF($W784=6,"ESCALATED TO ROXANNE",IF(TODAY()&gt;$Y784,"OVERDUE",IF($Y784&lt;=WORKDAY(TODAY(),1,Holidays),"DUE TOMORROW",IF($W784=4,"ESCALATED TO LOCAL OFFICE",IF($W784=5,"ESCALATED TO CBE",IF($X784=TODAY(),"EMAIL SENT","MONITORING"))))))))))</f>
        <v/>
      </c>
      <c r="U784" s="17">
        <f>IF($T784="",IF(AND(COUNTA($A784:$K784)&gt;0,$L784=""),"Awaiting Collection Email time stamp.",""),IF(OR($T784="PAID",$T784="CLOSED"),IF($T784="PAID","Account paid. Action completed.","Account closed. No further action required."),CHOOSE($W784,"Collection Email","1st Email Follow-up","2nd Email Follow-up","Escalation to Local Office","Escalation to CBE","Escalation to Roxanne")&amp;" sent "&amp;TEXT($X784,"dd-mmm")&amp;". "&amp;IF($W784=6,"Final escalation completed.",IF($T784="OVERDUE","Next: "&amp;$Z784&amp;" was due "&amp;TEXT($Y784,"dd-mmm")&amp;" - "&amp;(NETWORKDAYS($Y784,TODAY(),Holidays)-1)&amp;" business day(s) late. Send now.",IF($T784="DUE TOMORROW","Next: "&amp;$Z784&amp;IF($Y784&lt;=TODAY()," is due TODAY ("," is due next business day (")&amp;TEXT($Y784,"dd-mmm")&amp;").","Next: "&amp;$Z784&amp;" due "&amp;TEXT($Y784,"dd-mmm")&amp;" ("&amp;(NETWORKDAYS(TODAY(),$Y784,Holidays)-1)&amp;" business day(s) left).")))))</f>
        <v/>
      </c>
      <c r="V784" s="17">
        <f>IF($W784="","",CHOOSE($W784,"Collection Email","1st Follow-up","2nd Follow-up","Local Office","CBE","Roxanne")&amp;IF($W784=6," - Final"," - Day "&amp;MAX(0,NETWORKDAYS($X784,TODAY(),Holidays)-1)&amp;" of "&amp;CHOOSE($W784,3,3,2,2,3))&amp;" | Total Day "&amp;MAX(0,NETWORKDAYS($L784,TODAY(),Holidays)-1))</f>
        <v/>
      </c>
      <c r="W784" s="17">
        <f>IF($L784="","",COUNT($L784:$Q784))</f>
        <v/>
      </c>
      <c r="X784" s="18">
        <f>IF($W784="","",INT(INDEX($L784:$Q784,$W784)))</f>
        <v/>
      </c>
      <c r="Y784" s="18">
        <f>IF(OR($W784="",$W784=6),"",WORKDAY($X784,CHOOSE($W784,3,3,2,2,3),Holidays))</f>
        <v/>
      </c>
      <c r="Z784" s="17">
        <f>IF(OR($W784="",$W784=6),"",CHOOSE($W784,"1st Email Follow-up","2nd Email Follow-up","Escalate Local Office","Escalate to CBE","Escalate to Roxanne"))</f>
        <v/>
      </c>
    </row>
    <row r="785" spans="18:26">
      <c r="R785" s="15"/>
      <c r="S785" s="16"/>
      <c r="T785" s="17">
        <f>IF(AND(COUNTA($A785:$K785)=0,$L785=""),"",IF($S785="Paid","PAID",IF($S785="Closed","CLOSED",IF($W785="","",IF($W785=6,"ESCALATED TO ROXANNE",IF(TODAY()&gt;$Y785,"OVERDUE",IF($Y785&lt;=WORKDAY(TODAY(),1,Holidays),"DUE TOMORROW",IF($W785=4,"ESCALATED TO LOCAL OFFICE",IF($W785=5,"ESCALATED TO CBE",IF($X785=TODAY(),"EMAIL SENT","MONITORING"))))))))))</f>
        <v/>
      </c>
      <c r="U785" s="17">
        <f>IF($T785="",IF(AND(COUNTA($A785:$K785)&gt;0,$L785=""),"Awaiting Collection Email time stamp.",""),IF(OR($T785="PAID",$T785="CLOSED"),IF($T785="PAID","Account paid. Action completed.","Account closed. No further action required."),CHOOSE($W785,"Collection Email","1st Email Follow-up","2nd Email Follow-up","Escalation to Local Office","Escalation to CBE","Escalation to Roxanne")&amp;" sent "&amp;TEXT($X785,"dd-mmm")&amp;". "&amp;IF($W785=6,"Final escalation completed.",IF($T785="OVERDUE","Next: "&amp;$Z785&amp;" was due "&amp;TEXT($Y785,"dd-mmm")&amp;" - "&amp;(NETWORKDAYS($Y785,TODAY(),Holidays)-1)&amp;" business day(s) late. Send now.",IF($T785="DUE TOMORROW","Next: "&amp;$Z785&amp;IF($Y785&lt;=TODAY()," is due TODAY ("," is due next business day (")&amp;TEXT($Y785,"dd-mmm")&amp;").","Next: "&amp;$Z785&amp;" due "&amp;TEXT($Y785,"dd-mmm")&amp;" ("&amp;(NETWORKDAYS(TODAY(),$Y785,Holidays)-1)&amp;" business day(s) left).")))))</f>
        <v/>
      </c>
      <c r="V785" s="17">
        <f>IF($W785="","",CHOOSE($W785,"Collection Email","1st Follow-up","2nd Follow-up","Local Office","CBE","Roxanne")&amp;IF($W785=6," - Final"," - Day "&amp;MAX(0,NETWORKDAYS($X785,TODAY(),Holidays)-1)&amp;" of "&amp;CHOOSE($W785,3,3,2,2,3))&amp;" | Total Day "&amp;MAX(0,NETWORKDAYS($L785,TODAY(),Holidays)-1))</f>
        <v/>
      </c>
      <c r="W785" s="17">
        <f>IF($L785="","",COUNT($L785:$Q785))</f>
        <v/>
      </c>
      <c r="X785" s="18">
        <f>IF($W785="","",INT(INDEX($L785:$Q785,$W785)))</f>
        <v/>
      </c>
      <c r="Y785" s="18">
        <f>IF(OR($W785="",$W785=6),"",WORKDAY($X785,CHOOSE($W785,3,3,2,2,3),Holidays))</f>
        <v/>
      </c>
      <c r="Z785" s="17">
        <f>IF(OR($W785="",$W785=6),"",CHOOSE($W785,"1st Email Follow-up","2nd Email Follow-up","Escalate Local Office","Escalate to CBE","Escalate to Roxanne"))</f>
        <v/>
      </c>
    </row>
    <row r="786" spans="18:26">
      <c r="R786" s="15"/>
      <c r="S786" s="16"/>
      <c r="T786" s="17">
        <f>IF(AND(COUNTA($A786:$K786)=0,$L786=""),"",IF($S786="Paid","PAID",IF($S786="Closed","CLOSED",IF($W786="","",IF($W786=6,"ESCALATED TO ROXANNE",IF(TODAY()&gt;$Y786,"OVERDUE",IF($Y786&lt;=WORKDAY(TODAY(),1,Holidays),"DUE TOMORROW",IF($W786=4,"ESCALATED TO LOCAL OFFICE",IF($W786=5,"ESCALATED TO CBE",IF($X786=TODAY(),"EMAIL SENT","MONITORING"))))))))))</f>
        <v/>
      </c>
      <c r="U786" s="17">
        <f>IF($T786="",IF(AND(COUNTA($A786:$K786)&gt;0,$L786=""),"Awaiting Collection Email time stamp.",""),IF(OR($T786="PAID",$T786="CLOSED"),IF($T786="PAID","Account paid. Action completed.","Account closed. No further action required."),CHOOSE($W786,"Collection Email","1st Email Follow-up","2nd Email Follow-up","Escalation to Local Office","Escalation to CBE","Escalation to Roxanne")&amp;" sent "&amp;TEXT($X786,"dd-mmm")&amp;". "&amp;IF($W786=6,"Final escalation completed.",IF($T786="OVERDUE","Next: "&amp;$Z786&amp;" was due "&amp;TEXT($Y786,"dd-mmm")&amp;" - "&amp;(NETWORKDAYS($Y786,TODAY(),Holidays)-1)&amp;" business day(s) late. Send now.",IF($T786="DUE TOMORROW","Next: "&amp;$Z786&amp;IF($Y786&lt;=TODAY()," is due TODAY ("," is due next business day (")&amp;TEXT($Y786,"dd-mmm")&amp;").","Next: "&amp;$Z786&amp;" due "&amp;TEXT($Y786,"dd-mmm")&amp;" ("&amp;(NETWORKDAYS(TODAY(),$Y786,Holidays)-1)&amp;" business day(s) left).")))))</f>
        <v/>
      </c>
      <c r="V786" s="17">
        <f>IF($W786="","",CHOOSE($W786,"Collection Email","1st Follow-up","2nd Follow-up","Local Office","CBE","Roxanne")&amp;IF($W786=6," - Final"," - Day "&amp;MAX(0,NETWORKDAYS($X786,TODAY(),Holidays)-1)&amp;" of "&amp;CHOOSE($W786,3,3,2,2,3))&amp;" | Total Day "&amp;MAX(0,NETWORKDAYS($L786,TODAY(),Holidays)-1))</f>
        <v/>
      </c>
      <c r="W786" s="17">
        <f>IF($L786="","",COUNT($L786:$Q786))</f>
        <v/>
      </c>
      <c r="X786" s="18">
        <f>IF($W786="","",INT(INDEX($L786:$Q786,$W786)))</f>
        <v/>
      </c>
      <c r="Y786" s="18">
        <f>IF(OR($W786="",$W786=6),"",WORKDAY($X786,CHOOSE($W786,3,3,2,2,3),Holidays))</f>
        <v/>
      </c>
      <c r="Z786" s="17">
        <f>IF(OR($W786="",$W786=6),"",CHOOSE($W786,"1st Email Follow-up","2nd Email Follow-up","Escalate Local Office","Escalate to CBE","Escalate to Roxanne"))</f>
        <v/>
      </c>
    </row>
    <row r="787" spans="18:26">
      <c r="R787" s="15"/>
      <c r="S787" s="16"/>
      <c r="T787" s="17">
        <f>IF(AND(COUNTA($A787:$K787)=0,$L787=""),"",IF($S787="Paid","PAID",IF($S787="Closed","CLOSED",IF($W787="","",IF($W787=6,"ESCALATED TO ROXANNE",IF(TODAY()&gt;$Y787,"OVERDUE",IF($Y787&lt;=WORKDAY(TODAY(),1,Holidays),"DUE TOMORROW",IF($W787=4,"ESCALATED TO LOCAL OFFICE",IF($W787=5,"ESCALATED TO CBE",IF($X787=TODAY(),"EMAIL SENT","MONITORING"))))))))))</f>
        <v/>
      </c>
      <c r="U787" s="17">
        <f>IF($T787="",IF(AND(COUNTA($A787:$K787)&gt;0,$L787=""),"Awaiting Collection Email time stamp.",""),IF(OR($T787="PAID",$T787="CLOSED"),IF($T787="PAID","Account paid. Action completed.","Account closed. No further action required."),CHOOSE($W787,"Collection Email","1st Email Follow-up","2nd Email Follow-up","Escalation to Local Office","Escalation to CBE","Escalation to Roxanne")&amp;" sent "&amp;TEXT($X787,"dd-mmm")&amp;". "&amp;IF($W787=6,"Final escalation completed.",IF($T787="OVERDUE","Next: "&amp;$Z787&amp;" was due "&amp;TEXT($Y787,"dd-mmm")&amp;" - "&amp;(NETWORKDAYS($Y787,TODAY(),Holidays)-1)&amp;" business day(s) late. Send now.",IF($T787="DUE TOMORROW","Next: "&amp;$Z787&amp;IF($Y787&lt;=TODAY()," is due TODAY ("," is due next business day (")&amp;TEXT($Y787,"dd-mmm")&amp;").","Next: "&amp;$Z787&amp;" due "&amp;TEXT($Y787,"dd-mmm")&amp;" ("&amp;(NETWORKDAYS(TODAY(),$Y787,Holidays)-1)&amp;" business day(s) left).")))))</f>
        <v/>
      </c>
      <c r="V787" s="17">
        <f>IF($W787="","",CHOOSE($W787,"Collection Email","1st Follow-up","2nd Follow-up","Local Office","CBE","Roxanne")&amp;IF($W787=6," - Final"," - Day "&amp;MAX(0,NETWORKDAYS($X787,TODAY(),Holidays)-1)&amp;" of "&amp;CHOOSE($W787,3,3,2,2,3))&amp;" | Total Day "&amp;MAX(0,NETWORKDAYS($L787,TODAY(),Holidays)-1))</f>
        <v/>
      </c>
      <c r="W787" s="17">
        <f>IF($L787="","",COUNT($L787:$Q787))</f>
        <v/>
      </c>
      <c r="X787" s="18">
        <f>IF($W787="","",INT(INDEX($L787:$Q787,$W787)))</f>
        <v/>
      </c>
      <c r="Y787" s="18">
        <f>IF(OR($W787="",$W787=6),"",WORKDAY($X787,CHOOSE($W787,3,3,2,2,3),Holidays))</f>
        <v/>
      </c>
      <c r="Z787" s="17">
        <f>IF(OR($W787="",$W787=6),"",CHOOSE($W787,"1st Email Follow-up","2nd Email Follow-up","Escalate Local Office","Escalate to CBE","Escalate to Roxanne"))</f>
        <v/>
      </c>
    </row>
    <row r="788" spans="18:26">
      <c r="R788" s="15"/>
      <c r="S788" s="16"/>
      <c r="T788" s="17">
        <f>IF(AND(COUNTA($A788:$K788)=0,$L788=""),"",IF($S788="Paid","PAID",IF($S788="Closed","CLOSED",IF($W788="","",IF($W788=6,"ESCALATED TO ROXANNE",IF(TODAY()&gt;$Y788,"OVERDUE",IF($Y788&lt;=WORKDAY(TODAY(),1,Holidays),"DUE TOMORROW",IF($W788=4,"ESCALATED TO LOCAL OFFICE",IF($W788=5,"ESCALATED TO CBE",IF($X788=TODAY(),"EMAIL SENT","MONITORING"))))))))))</f>
        <v/>
      </c>
      <c r="U788" s="17">
        <f>IF($T788="",IF(AND(COUNTA($A788:$K788)&gt;0,$L788=""),"Awaiting Collection Email time stamp.",""),IF(OR($T788="PAID",$T788="CLOSED"),IF($T788="PAID","Account paid. Action completed.","Account closed. No further action required."),CHOOSE($W788,"Collection Email","1st Email Follow-up","2nd Email Follow-up","Escalation to Local Office","Escalation to CBE","Escalation to Roxanne")&amp;" sent "&amp;TEXT($X788,"dd-mmm")&amp;". "&amp;IF($W788=6,"Final escalation completed.",IF($T788="OVERDUE","Next: "&amp;$Z788&amp;" was due "&amp;TEXT($Y788,"dd-mmm")&amp;" - "&amp;(NETWORKDAYS($Y788,TODAY(),Holidays)-1)&amp;" business day(s) late. Send now.",IF($T788="DUE TOMORROW","Next: "&amp;$Z788&amp;IF($Y788&lt;=TODAY()," is due TODAY ("," is due next business day (")&amp;TEXT($Y788,"dd-mmm")&amp;").","Next: "&amp;$Z788&amp;" due "&amp;TEXT($Y788,"dd-mmm")&amp;" ("&amp;(NETWORKDAYS(TODAY(),$Y788,Holidays)-1)&amp;" business day(s) left).")))))</f>
        <v/>
      </c>
      <c r="V788" s="17">
        <f>IF($W788="","",CHOOSE($W788,"Collection Email","1st Follow-up","2nd Follow-up","Local Office","CBE","Roxanne")&amp;IF($W788=6," - Final"," - Day "&amp;MAX(0,NETWORKDAYS($X788,TODAY(),Holidays)-1)&amp;" of "&amp;CHOOSE($W788,3,3,2,2,3))&amp;" | Total Day "&amp;MAX(0,NETWORKDAYS($L788,TODAY(),Holidays)-1))</f>
        <v/>
      </c>
      <c r="W788" s="17">
        <f>IF($L788="","",COUNT($L788:$Q788))</f>
        <v/>
      </c>
      <c r="X788" s="18">
        <f>IF($W788="","",INT(INDEX($L788:$Q788,$W788)))</f>
        <v/>
      </c>
      <c r="Y788" s="18">
        <f>IF(OR($W788="",$W788=6),"",WORKDAY($X788,CHOOSE($W788,3,3,2,2,3),Holidays))</f>
        <v/>
      </c>
      <c r="Z788" s="17">
        <f>IF(OR($W788="",$W788=6),"",CHOOSE($W788,"1st Email Follow-up","2nd Email Follow-up","Escalate Local Office","Escalate to CBE","Escalate to Roxanne"))</f>
        <v/>
      </c>
    </row>
    <row r="789" spans="18:26">
      <c r="R789" s="15"/>
      <c r="S789" s="16"/>
      <c r="T789" s="17">
        <f>IF(AND(COUNTA($A789:$K789)=0,$L789=""),"",IF($S789="Paid","PAID",IF($S789="Closed","CLOSED",IF($W789="","",IF($W789=6,"ESCALATED TO ROXANNE",IF(TODAY()&gt;$Y789,"OVERDUE",IF($Y789&lt;=WORKDAY(TODAY(),1,Holidays),"DUE TOMORROW",IF($W789=4,"ESCALATED TO LOCAL OFFICE",IF($W789=5,"ESCALATED TO CBE",IF($X789=TODAY(),"EMAIL SENT","MONITORING"))))))))))</f>
        <v/>
      </c>
      <c r="U789" s="17">
        <f>IF($T789="",IF(AND(COUNTA($A789:$K789)&gt;0,$L789=""),"Awaiting Collection Email time stamp.",""),IF(OR($T789="PAID",$T789="CLOSED"),IF($T789="PAID","Account paid. Action completed.","Account closed. No further action required."),CHOOSE($W789,"Collection Email","1st Email Follow-up","2nd Email Follow-up","Escalation to Local Office","Escalation to CBE","Escalation to Roxanne")&amp;" sent "&amp;TEXT($X789,"dd-mmm")&amp;". "&amp;IF($W789=6,"Final escalation completed.",IF($T789="OVERDUE","Next: "&amp;$Z789&amp;" was due "&amp;TEXT($Y789,"dd-mmm")&amp;" - "&amp;(NETWORKDAYS($Y789,TODAY(),Holidays)-1)&amp;" business day(s) late. Send now.",IF($T789="DUE TOMORROW","Next: "&amp;$Z789&amp;IF($Y789&lt;=TODAY()," is due TODAY ("," is due next business day (")&amp;TEXT($Y789,"dd-mmm")&amp;").","Next: "&amp;$Z789&amp;" due "&amp;TEXT($Y789,"dd-mmm")&amp;" ("&amp;(NETWORKDAYS(TODAY(),$Y789,Holidays)-1)&amp;" business day(s) left).")))))</f>
        <v/>
      </c>
      <c r="V789" s="17">
        <f>IF($W789="","",CHOOSE($W789,"Collection Email","1st Follow-up","2nd Follow-up","Local Office","CBE","Roxanne")&amp;IF($W789=6," - Final"," - Day "&amp;MAX(0,NETWORKDAYS($X789,TODAY(),Holidays)-1)&amp;" of "&amp;CHOOSE($W789,3,3,2,2,3))&amp;" | Total Day "&amp;MAX(0,NETWORKDAYS($L789,TODAY(),Holidays)-1))</f>
        <v/>
      </c>
      <c r="W789" s="17">
        <f>IF($L789="","",COUNT($L789:$Q789))</f>
        <v/>
      </c>
      <c r="X789" s="18">
        <f>IF($W789="","",INT(INDEX($L789:$Q789,$W789)))</f>
        <v/>
      </c>
      <c r="Y789" s="18">
        <f>IF(OR($W789="",$W789=6),"",WORKDAY($X789,CHOOSE($W789,3,3,2,2,3),Holidays))</f>
        <v/>
      </c>
      <c r="Z789" s="17">
        <f>IF(OR($W789="",$W789=6),"",CHOOSE($W789,"1st Email Follow-up","2nd Email Follow-up","Escalate Local Office","Escalate to CBE","Escalate to Roxanne"))</f>
        <v/>
      </c>
    </row>
    <row r="790" spans="18:26">
      <c r="R790" s="15"/>
      <c r="S790" s="16"/>
      <c r="T790" s="17">
        <f>IF(AND(COUNTA($A790:$K790)=0,$L790=""),"",IF($S790="Paid","PAID",IF($S790="Closed","CLOSED",IF($W790="","",IF($W790=6,"ESCALATED TO ROXANNE",IF(TODAY()&gt;$Y790,"OVERDUE",IF($Y790&lt;=WORKDAY(TODAY(),1,Holidays),"DUE TOMORROW",IF($W790=4,"ESCALATED TO LOCAL OFFICE",IF($W790=5,"ESCALATED TO CBE",IF($X790=TODAY(),"EMAIL SENT","MONITORING"))))))))))</f>
        <v/>
      </c>
      <c r="U790" s="17">
        <f>IF($T790="",IF(AND(COUNTA($A790:$K790)&gt;0,$L790=""),"Awaiting Collection Email time stamp.",""),IF(OR($T790="PAID",$T790="CLOSED"),IF($T790="PAID","Account paid. Action completed.","Account closed. No further action required."),CHOOSE($W790,"Collection Email","1st Email Follow-up","2nd Email Follow-up","Escalation to Local Office","Escalation to CBE","Escalation to Roxanne")&amp;" sent "&amp;TEXT($X790,"dd-mmm")&amp;". "&amp;IF($W790=6,"Final escalation completed.",IF($T790="OVERDUE","Next: "&amp;$Z790&amp;" was due "&amp;TEXT($Y790,"dd-mmm")&amp;" - "&amp;(NETWORKDAYS($Y790,TODAY(),Holidays)-1)&amp;" business day(s) late. Send now.",IF($T790="DUE TOMORROW","Next: "&amp;$Z790&amp;IF($Y790&lt;=TODAY()," is due TODAY ("," is due next business day (")&amp;TEXT($Y790,"dd-mmm")&amp;").","Next: "&amp;$Z790&amp;" due "&amp;TEXT($Y790,"dd-mmm")&amp;" ("&amp;(NETWORKDAYS(TODAY(),$Y790,Holidays)-1)&amp;" business day(s) left).")))))</f>
        <v/>
      </c>
      <c r="V790" s="17">
        <f>IF($W790="","",CHOOSE($W790,"Collection Email","1st Follow-up","2nd Follow-up","Local Office","CBE","Roxanne")&amp;IF($W790=6," - Final"," - Day "&amp;MAX(0,NETWORKDAYS($X790,TODAY(),Holidays)-1)&amp;" of "&amp;CHOOSE($W790,3,3,2,2,3))&amp;" | Total Day "&amp;MAX(0,NETWORKDAYS($L790,TODAY(),Holidays)-1))</f>
        <v/>
      </c>
      <c r="W790" s="17">
        <f>IF($L790="","",COUNT($L790:$Q790))</f>
        <v/>
      </c>
      <c r="X790" s="18">
        <f>IF($W790="","",INT(INDEX($L790:$Q790,$W790)))</f>
        <v/>
      </c>
      <c r="Y790" s="18">
        <f>IF(OR($W790="",$W790=6),"",WORKDAY($X790,CHOOSE($W790,3,3,2,2,3),Holidays))</f>
        <v/>
      </c>
      <c r="Z790" s="17">
        <f>IF(OR($W790="",$W790=6),"",CHOOSE($W790,"1st Email Follow-up","2nd Email Follow-up","Escalate Local Office","Escalate to CBE","Escalate to Roxanne"))</f>
        <v/>
      </c>
    </row>
    <row r="791" spans="18:26">
      <c r="R791" s="15"/>
      <c r="S791" s="16"/>
      <c r="T791" s="17">
        <f>IF(AND(COUNTA($A791:$K791)=0,$L791=""),"",IF($S791="Paid","PAID",IF($S791="Closed","CLOSED",IF($W791="","",IF($W791=6,"ESCALATED TO ROXANNE",IF(TODAY()&gt;$Y791,"OVERDUE",IF($Y791&lt;=WORKDAY(TODAY(),1,Holidays),"DUE TOMORROW",IF($W791=4,"ESCALATED TO LOCAL OFFICE",IF($W791=5,"ESCALATED TO CBE",IF($X791=TODAY(),"EMAIL SENT","MONITORING"))))))))))</f>
        <v/>
      </c>
      <c r="U791" s="17">
        <f>IF($T791="",IF(AND(COUNTA($A791:$K791)&gt;0,$L791=""),"Awaiting Collection Email time stamp.",""),IF(OR($T791="PAID",$T791="CLOSED"),IF($T791="PAID","Account paid. Action completed.","Account closed. No further action required."),CHOOSE($W791,"Collection Email","1st Email Follow-up","2nd Email Follow-up","Escalation to Local Office","Escalation to CBE","Escalation to Roxanne")&amp;" sent "&amp;TEXT($X791,"dd-mmm")&amp;". "&amp;IF($W791=6,"Final escalation completed.",IF($T791="OVERDUE","Next: "&amp;$Z791&amp;" was due "&amp;TEXT($Y791,"dd-mmm")&amp;" - "&amp;(NETWORKDAYS($Y791,TODAY(),Holidays)-1)&amp;" business day(s) late. Send now.",IF($T791="DUE TOMORROW","Next: "&amp;$Z791&amp;IF($Y791&lt;=TODAY()," is due TODAY ("," is due next business day (")&amp;TEXT($Y791,"dd-mmm")&amp;").","Next: "&amp;$Z791&amp;" due "&amp;TEXT($Y791,"dd-mmm")&amp;" ("&amp;(NETWORKDAYS(TODAY(),$Y791,Holidays)-1)&amp;" business day(s) left).")))))</f>
        <v/>
      </c>
      <c r="V791" s="17">
        <f>IF($W791="","",CHOOSE($W791,"Collection Email","1st Follow-up","2nd Follow-up","Local Office","CBE","Roxanne")&amp;IF($W791=6," - Final"," - Day "&amp;MAX(0,NETWORKDAYS($X791,TODAY(),Holidays)-1)&amp;" of "&amp;CHOOSE($W791,3,3,2,2,3))&amp;" | Total Day "&amp;MAX(0,NETWORKDAYS($L791,TODAY(),Holidays)-1))</f>
        <v/>
      </c>
      <c r="W791" s="17">
        <f>IF($L791="","",COUNT($L791:$Q791))</f>
        <v/>
      </c>
      <c r="X791" s="18">
        <f>IF($W791="","",INT(INDEX($L791:$Q791,$W791)))</f>
        <v/>
      </c>
      <c r="Y791" s="18">
        <f>IF(OR($W791="",$W791=6),"",WORKDAY($X791,CHOOSE($W791,3,3,2,2,3),Holidays))</f>
        <v/>
      </c>
      <c r="Z791" s="17">
        <f>IF(OR($W791="",$W791=6),"",CHOOSE($W791,"1st Email Follow-up","2nd Email Follow-up","Escalate Local Office","Escalate to CBE","Escalate to Roxanne"))</f>
        <v/>
      </c>
    </row>
    <row r="792" spans="18:26">
      <c r="R792" s="15"/>
      <c r="S792" s="16"/>
      <c r="T792" s="17">
        <f>IF(AND(COUNTA($A792:$K792)=0,$L792=""),"",IF($S792="Paid","PAID",IF($S792="Closed","CLOSED",IF($W792="","",IF($W792=6,"ESCALATED TO ROXANNE",IF(TODAY()&gt;$Y792,"OVERDUE",IF($Y792&lt;=WORKDAY(TODAY(),1,Holidays),"DUE TOMORROW",IF($W792=4,"ESCALATED TO LOCAL OFFICE",IF($W792=5,"ESCALATED TO CBE",IF($X792=TODAY(),"EMAIL SENT","MONITORING"))))))))))</f>
        <v/>
      </c>
      <c r="U792" s="17">
        <f>IF($T792="",IF(AND(COUNTA($A792:$K792)&gt;0,$L792=""),"Awaiting Collection Email time stamp.",""),IF(OR($T792="PAID",$T792="CLOSED"),IF($T792="PAID","Account paid. Action completed.","Account closed. No further action required."),CHOOSE($W792,"Collection Email","1st Email Follow-up","2nd Email Follow-up","Escalation to Local Office","Escalation to CBE","Escalation to Roxanne")&amp;" sent "&amp;TEXT($X792,"dd-mmm")&amp;". "&amp;IF($W792=6,"Final escalation completed.",IF($T792="OVERDUE","Next: "&amp;$Z792&amp;" was due "&amp;TEXT($Y792,"dd-mmm")&amp;" - "&amp;(NETWORKDAYS($Y792,TODAY(),Holidays)-1)&amp;" business day(s) late. Send now.",IF($T792="DUE TOMORROW","Next: "&amp;$Z792&amp;IF($Y792&lt;=TODAY()," is due TODAY ("," is due next business day (")&amp;TEXT($Y792,"dd-mmm")&amp;").","Next: "&amp;$Z792&amp;" due "&amp;TEXT($Y792,"dd-mmm")&amp;" ("&amp;(NETWORKDAYS(TODAY(),$Y792,Holidays)-1)&amp;" business day(s) left).")))))</f>
        <v/>
      </c>
      <c r="V792" s="17">
        <f>IF($W792="","",CHOOSE($W792,"Collection Email","1st Follow-up","2nd Follow-up","Local Office","CBE","Roxanne")&amp;IF($W792=6," - Final"," - Day "&amp;MAX(0,NETWORKDAYS($X792,TODAY(),Holidays)-1)&amp;" of "&amp;CHOOSE($W792,3,3,2,2,3))&amp;" | Total Day "&amp;MAX(0,NETWORKDAYS($L792,TODAY(),Holidays)-1))</f>
        <v/>
      </c>
      <c r="W792" s="17">
        <f>IF($L792="","",COUNT($L792:$Q792))</f>
        <v/>
      </c>
      <c r="X792" s="18">
        <f>IF($W792="","",INT(INDEX($L792:$Q792,$W792)))</f>
        <v/>
      </c>
      <c r="Y792" s="18">
        <f>IF(OR($W792="",$W792=6),"",WORKDAY($X792,CHOOSE($W792,3,3,2,2,3),Holidays))</f>
        <v/>
      </c>
      <c r="Z792" s="17">
        <f>IF(OR($W792="",$W792=6),"",CHOOSE($W792,"1st Email Follow-up","2nd Email Follow-up","Escalate Local Office","Escalate to CBE","Escalate to Roxanne"))</f>
        <v/>
      </c>
    </row>
    <row r="793" spans="18:26">
      <c r="R793" s="15"/>
      <c r="S793" s="16"/>
      <c r="T793" s="17">
        <f>IF(AND(COUNTA($A793:$K793)=0,$L793=""),"",IF($S793="Paid","PAID",IF($S793="Closed","CLOSED",IF($W793="","",IF($W793=6,"ESCALATED TO ROXANNE",IF(TODAY()&gt;$Y793,"OVERDUE",IF($Y793&lt;=WORKDAY(TODAY(),1,Holidays),"DUE TOMORROW",IF($W793=4,"ESCALATED TO LOCAL OFFICE",IF($W793=5,"ESCALATED TO CBE",IF($X793=TODAY(),"EMAIL SENT","MONITORING"))))))))))</f>
        <v/>
      </c>
      <c r="U793" s="17">
        <f>IF($T793="",IF(AND(COUNTA($A793:$K793)&gt;0,$L793=""),"Awaiting Collection Email time stamp.",""),IF(OR($T793="PAID",$T793="CLOSED"),IF($T793="PAID","Account paid. Action completed.","Account closed. No further action required."),CHOOSE($W793,"Collection Email","1st Email Follow-up","2nd Email Follow-up","Escalation to Local Office","Escalation to CBE","Escalation to Roxanne")&amp;" sent "&amp;TEXT($X793,"dd-mmm")&amp;". "&amp;IF($W793=6,"Final escalation completed.",IF($T793="OVERDUE","Next: "&amp;$Z793&amp;" was due "&amp;TEXT($Y793,"dd-mmm")&amp;" - "&amp;(NETWORKDAYS($Y793,TODAY(),Holidays)-1)&amp;" business day(s) late. Send now.",IF($T793="DUE TOMORROW","Next: "&amp;$Z793&amp;IF($Y793&lt;=TODAY()," is due TODAY ("," is due next business day (")&amp;TEXT($Y793,"dd-mmm")&amp;").","Next: "&amp;$Z793&amp;" due "&amp;TEXT($Y793,"dd-mmm")&amp;" ("&amp;(NETWORKDAYS(TODAY(),$Y793,Holidays)-1)&amp;" business day(s) left).")))))</f>
        <v/>
      </c>
      <c r="V793" s="17">
        <f>IF($W793="","",CHOOSE($W793,"Collection Email","1st Follow-up","2nd Follow-up","Local Office","CBE","Roxanne")&amp;IF($W793=6," - Final"," - Day "&amp;MAX(0,NETWORKDAYS($X793,TODAY(),Holidays)-1)&amp;" of "&amp;CHOOSE($W793,3,3,2,2,3))&amp;" | Total Day "&amp;MAX(0,NETWORKDAYS($L793,TODAY(),Holidays)-1))</f>
        <v/>
      </c>
      <c r="W793" s="17">
        <f>IF($L793="","",COUNT($L793:$Q793))</f>
        <v/>
      </c>
      <c r="X793" s="18">
        <f>IF($W793="","",INT(INDEX($L793:$Q793,$W793)))</f>
        <v/>
      </c>
      <c r="Y793" s="18">
        <f>IF(OR($W793="",$W793=6),"",WORKDAY($X793,CHOOSE($W793,3,3,2,2,3),Holidays))</f>
        <v/>
      </c>
      <c r="Z793" s="17">
        <f>IF(OR($W793="",$W793=6),"",CHOOSE($W793,"1st Email Follow-up","2nd Email Follow-up","Escalate Local Office","Escalate to CBE","Escalate to Roxanne"))</f>
        <v/>
      </c>
    </row>
    <row r="794" spans="18:26">
      <c r="R794" s="15"/>
      <c r="S794" s="16"/>
      <c r="T794" s="17">
        <f>IF(AND(COUNTA($A794:$K794)=0,$L794=""),"",IF($S794="Paid","PAID",IF($S794="Closed","CLOSED",IF($W794="","",IF($W794=6,"ESCALATED TO ROXANNE",IF(TODAY()&gt;$Y794,"OVERDUE",IF($Y794&lt;=WORKDAY(TODAY(),1,Holidays),"DUE TOMORROW",IF($W794=4,"ESCALATED TO LOCAL OFFICE",IF($W794=5,"ESCALATED TO CBE",IF($X794=TODAY(),"EMAIL SENT","MONITORING"))))))))))</f>
        <v/>
      </c>
      <c r="U794" s="17">
        <f>IF($T794="",IF(AND(COUNTA($A794:$K794)&gt;0,$L794=""),"Awaiting Collection Email time stamp.",""),IF(OR($T794="PAID",$T794="CLOSED"),IF($T794="PAID","Account paid. Action completed.","Account closed. No further action required."),CHOOSE($W794,"Collection Email","1st Email Follow-up","2nd Email Follow-up","Escalation to Local Office","Escalation to CBE","Escalation to Roxanne")&amp;" sent "&amp;TEXT($X794,"dd-mmm")&amp;". "&amp;IF($W794=6,"Final escalation completed.",IF($T794="OVERDUE","Next: "&amp;$Z794&amp;" was due "&amp;TEXT($Y794,"dd-mmm")&amp;" - "&amp;(NETWORKDAYS($Y794,TODAY(),Holidays)-1)&amp;" business day(s) late. Send now.",IF($T794="DUE TOMORROW","Next: "&amp;$Z794&amp;IF($Y794&lt;=TODAY()," is due TODAY ("," is due next business day (")&amp;TEXT($Y794,"dd-mmm")&amp;").","Next: "&amp;$Z794&amp;" due "&amp;TEXT($Y794,"dd-mmm")&amp;" ("&amp;(NETWORKDAYS(TODAY(),$Y794,Holidays)-1)&amp;" business day(s) left).")))))</f>
        <v/>
      </c>
      <c r="V794" s="17">
        <f>IF($W794="","",CHOOSE($W794,"Collection Email","1st Follow-up","2nd Follow-up","Local Office","CBE","Roxanne")&amp;IF($W794=6," - Final"," - Day "&amp;MAX(0,NETWORKDAYS($X794,TODAY(),Holidays)-1)&amp;" of "&amp;CHOOSE($W794,3,3,2,2,3))&amp;" | Total Day "&amp;MAX(0,NETWORKDAYS($L794,TODAY(),Holidays)-1))</f>
        <v/>
      </c>
      <c r="W794" s="17">
        <f>IF($L794="","",COUNT($L794:$Q794))</f>
        <v/>
      </c>
      <c r="X794" s="18">
        <f>IF($W794="","",INT(INDEX($L794:$Q794,$W794)))</f>
        <v/>
      </c>
      <c r="Y794" s="18">
        <f>IF(OR($W794="",$W794=6),"",WORKDAY($X794,CHOOSE($W794,3,3,2,2,3),Holidays))</f>
        <v/>
      </c>
      <c r="Z794" s="17">
        <f>IF(OR($W794="",$W794=6),"",CHOOSE($W794,"1st Email Follow-up","2nd Email Follow-up","Escalate Local Office","Escalate to CBE","Escalate to Roxanne"))</f>
        <v/>
      </c>
    </row>
    <row r="795" spans="18:26">
      <c r="R795" s="15"/>
      <c r="S795" s="16"/>
      <c r="T795" s="17">
        <f>IF(AND(COUNTA($A795:$K795)=0,$L795=""),"",IF($S795="Paid","PAID",IF($S795="Closed","CLOSED",IF($W795="","",IF($W795=6,"ESCALATED TO ROXANNE",IF(TODAY()&gt;$Y795,"OVERDUE",IF($Y795&lt;=WORKDAY(TODAY(),1,Holidays),"DUE TOMORROW",IF($W795=4,"ESCALATED TO LOCAL OFFICE",IF($W795=5,"ESCALATED TO CBE",IF($X795=TODAY(),"EMAIL SENT","MONITORING"))))))))))</f>
        <v/>
      </c>
      <c r="U795" s="17">
        <f>IF($T795="",IF(AND(COUNTA($A795:$K795)&gt;0,$L795=""),"Awaiting Collection Email time stamp.",""),IF(OR($T795="PAID",$T795="CLOSED"),IF($T795="PAID","Account paid. Action completed.","Account closed. No further action required."),CHOOSE($W795,"Collection Email","1st Email Follow-up","2nd Email Follow-up","Escalation to Local Office","Escalation to CBE","Escalation to Roxanne")&amp;" sent "&amp;TEXT($X795,"dd-mmm")&amp;". "&amp;IF($W795=6,"Final escalation completed.",IF($T795="OVERDUE","Next: "&amp;$Z795&amp;" was due "&amp;TEXT($Y795,"dd-mmm")&amp;" - "&amp;(NETWORKDAYS($Y795,TODAY(),Holidays)-1)&amp;" business day(s) late. Send now.",IF($T795="DUE TOMORROW","Next: "&amp;$Z795&amp;IF($Y795&lt;=TODAY()," is due TODAY ("," is due next business day (")&amp;TEXT($Y795,"dd-mmm")&amp;").","Next: "&amp;$Z795&amp;" due "&amp;TEXT($Y795,"dd-mmm")&amp;" ("&amp;(NETWORKDAYS(TODAY(),$Y795,Holidays)-1)&amp;" business day(s) left).")))))</f>
        <v/>
      </c>
      <c r="V795" s="17">
        <f>IF($W795="","",CHOOSE($W795,"Collection Email","1st Follow-up","2nd Follow-up","Local Office","CBE","Roxanne")&amp;IF($W795=6," - Final"," - Day "&amp;MAX(0,NETWORKDAYS($X795,TODAY(),Holidays)-1)&amp;" of "&amp;CHOOSE($W795,3,3,2,2,3))&amp;" | Total Day "&amp;MAX(0,NETWORKDAYS($L795,TODAY(),Holidays)-1))</f>
        <v/>
      </c>
      <c r="W795" s="17">
        <f>IF($L795="","",COUNT($L795:$Q795))</f>
        <v/>
      </c>
      <c r="X795" s="18">
        <f>IF($W795="","",INT(INDEX($L795:$Q795,$W795)))</f>
        <v/>
      </c>
      <c r="Y795" s="18">
        <f>IF(OR($W795="",$W795=6),"",WORKDAY($X795,CHOOSE($W795,3,3,2,2,3),Holidays))</f>
        <v/>
      </c>
      <c r="Z795" s="17">
        <f>IF(OR($W795="",$W795=6),"",CHOOSE($W795,"1st Email Follow-up","2nd Email Follow-up","Escalate Local Office","Escalate to CBE","Escalate to Roxanne"))</f>
        <v/>
      </c>
    </row>
    <row r="796" spans="18:26">
      <c r="R796" s="15"/>
      <c r="S796" s="16"/>
      <c r="T796" s="17">
        <f>IF(AND(COUNTA($A796:$K796)=0,$L796=""),"",IF($S796="Paid","PAID",IF($S796="Closed","CLOSED",IF($W796="","",IF($W796=6,"ESCALATED TO ROXANNE",IF(TODAY()&gt;$Y796,"OVERDUE",IF($Y796&lt;=WORKDAY(TODAY(),1,Holidays),"DUE TOMORROW",IF($W796=4,"ESCALATED TO LOCAL OFFICE",IF($W796=5,"ESCALATED TO CBE",IF($X796=TODAY(),"EMAIL SENT","MONITORING"))))))))))</f>
        <v/>
      </c>
      <c r="U796" s="17">
        <f>IF($T796="",IF(AND(COUNTA($A796:$K796)&gt;0,$L796=""),"Awaiting Collection Email time stamp.",""),IF(OR($T796="PAID",$T796="CLOSED"),IF($T796="PAID","Account paid. Action completed.","Account closed. No further action required."),CHOOSE($W796,"Collection Email","1st Email Follow-up","2nd Email Follow-up","Escalation to Local Office","Escalation to CBE","Escalation to Roxanne")&amp;" sent "&amp;TEXT($X796,"dd-mmm")&amp;". "&amp;IF($W796=6,"Final escalation completed.",IF($T796="OVERDUE","Next: "&amp;$Z796&amp;" was due "&amp;TEXT($Y796,"dd-mmm")&amp;" - "&amp;(NETWORKDAYS($Y796,TODAY(),Holidays)-1)&amp;" business day(s) late. Send now.",IF($T796="DUE TOMORROW","Next: "&amp;$Z796&amp;IF($Y796&lt;=TODAY()," is due TODAY ("," is due next business day (")&amp;TEXT($Y796,"dd-mmm")&amp;").","Next: "&amp;$Z796&amp;" due "&amp;TEXT($Y796,"dd-mmm")&amp;" ("&amp;(NETWORKDAYS(TODAY(),$Y796,Holidays)-1)&amp;" business day(s) left).")))))</f>
        <v/>
      </c>
      <c r="V796" s="17">
        <f>IF($W796="","",CHOOSE($W796,"Collection Email","1st Follow-up","2nd Follow-up","Local Office","CBE","Roxanne")&amp;IF($W796=6," - Final"," - Day "&amp;MAX(0,NETWORKDAYS($X796,TODAY(),Holidays)-1)&amp;" of "&amp;CHOOSE($W796,3,3,2,2,3))&amp;" | Total Day "&amp;MAX(0,NETWORKDAYS($L796,TODAY(),Holidays)-1))</f>
        <v/>
      </c>
      <c r="W796" s="17">
        <f>IF($L796="","",COUNT($L796:$Q796))</f>
        <v/>
      </c>
      <c r="X796" s="18">
        <f>IF($W796="","",INT(INDEX($L796:$Q796,$W796)))</f>
        <v/>
      </c>
      <c r="Y796" s="18">
        <f>IF(OR($W796="",$W796=6),"",WORKDAY($X796,CHOOSE($W796,3,3,2,2,3),Holidays))</f>
        <v/>
      </c>
      <c r="Z796" s="17">
        <f>IF(OR($W796="",$W796=6),"",CHOOSE($W796,"1st Email Follow-up","2nd Email Follow-up","Escalate Local Office","Escalate to CBE","Escalate to Roxanne"))</f>
        <v/>
      </c>
    </row>
    <row r="797" spans="18:26">
      <c r="R797" s="15"/>
      <c r="S797" s="16"/>
      <c r="T797" s="17">
        <f>IF(AND(COUNTA($A797:$K797)=0,$L797=""),"",IF($S797="Paid","PAID",IF($S797="Closed","CLOSED",IF($W797="","",IF($W797=6,"ESCALATED TO ROXANNE",IF(TODAY()&gt;$Y797,"OVERDUE",IF($Y797&lt;=WORKDAY(TODAY(),1,Holidays),"DUE TOMORROW",IF($W797=4,"ESCALATED TO LOCAL OFFICE",IF($W797=5,"ESCALATED TO CBE",IF($X797=TODAY(),"EMAIL SENT","MONITORING"))))))))))</f>
        <v/>
      </c>
      <c r="U797" s="17">
        <f>IF($T797="",IF(AND(COUNTA($A797:$K797)&gt;0,$L797=""),"Awaiting Collection Email time stamp.",""),IF(OR($T797="PAID",$T797="CLOSED"),IF($T797="PAID","Account paid. Action completed.","Account closed. No further action required."),CHOOSE($W797,"Collection Email","1st Email Follow-up","2nd Email Follow-up","Escalation to Local Office","Escalation to CBE","Escalation to Roxanne")&amp;" sent "&amp;TEXT($X797,"dd-mmm")&amp;". "&amp;IF($W797=6,"Final escalation completed.",IF($T797="OVERDUE","Next: "&amp;$Z797&amp;" was due "&amp;TEXT($Y797,"dd-mmm")&amp;" - "&amp;(NETWORKDAYS($Y797,TODAY(),Holidays)-1)&amp;" business day(s) late. Send now.",IF($T797="DUE TOMORROW","Next: "&amp;$Z797&amp;IF($Y797&lt;=TODAY()," is due TODAY ("," is due next business day (")&amp;TEXT($Y797,"dd-mmm")&amp;").","Next: "&amp;$Z797&amp;" due "&amp;TEXT($Y797,"dd-mmm")&amp;" ("&amp;(NETWORKDAYS(TODAY(),$Y797,Holidays)-1)&amp;" business day(s) left).")))))</f>
        <v/>
      </c>
      <c r="V797" s="17">
        <f>IF($W797="","",CHOOSE($W797,"Collection Email","1st Follow-up","2nd Follow-up","Local Office","CBE","Roxanne")&amp;IF($W797=6," - Final"," - Day "&amp;MAX(0,NETWORKDAYS($X797,TODAY(),Holidays)-1)&amp;" of "&amp;CHOOSE($W797,3,3,2,2,3))&amp;" | Total Day "&amp;MAX(0,NETWORKDAYS($L797,TODAY(),Holidays)-1))</f>
        <v/>
      </c>
      <c r="W797" s="17">
        <f>IF($L797="","",COUNT($L797:$Q797))</f>
        <v/>
      </c>
      <c r="X797" s="18">
        <f>IF($W797="","",INT(INDEX($L797:$Q797,$W797)))</f>
        <v/>
      </c>
      <c r="Y797" s="18">
        <f>IF(OR($W797="",$W797=6),"",WORKDAY($X797,CHOOSE($W797,3,3,2,2,3),Holidays))</f>
        <v/>
      </c>
      <c r="Z797" s="17">
        <f>IF(OR($W797="",$W797=6),"",CHOOSE($W797,"1st Email Follow-up","2nd Email Follow-up","Escalate Local Office","Escalate to CBE","Escalate to Roxanne"))</f>
        <v/>
      </c>
    </row>
    <row r="798" spans="18:26">
      <c r="R798" s="15"/>
      <c r="S798" s="16"/>
      <c r="T798" s="17">
        <f>IF(AND(COUNTA($A798:$K798)=0,$L798=""),"",IF($S798="Paid","PAID",IF($S798="Closed","CLOSED",IF($W798="","",IF($W798=6,"ESCALATED TO ROXANNE",IF(TODAY()&gt;$Y798,"OVERDUE",IF($Y798&lt;=WORKDAY(TODAY(),1,Holidays),"DUE TOMORROW",IF($W798=4,"ESCALATED TO LOCAL OFFICE",IF($W798=5,"ESCALATED TO CBE",IF($X798=TODAY(),"EMAIL SENT","MONITORING"))))))))))</f>
        <v/>
      </c>
      <c r="U798" s="17">
        <f>IF($T798="",IF(AND(COUNTA($A798:$K798)&gt;0,$L798=""),"Awaiting Collection Email time stamp.",""),IF(OR($T798="PAID",$T798="CLOSED"),IF($T798="PAID","Account paid. Action completed.","Account closed. No further action required."),CHOOSE($W798,"Collection Email","1st Email Follow-up","2nd Email Follow-up","Escalation to Local Office","Escalation to CBE","Escalation to Roxanne")&amp;" sent "&amp;TEXT($X798,"dd-mmm")&amp;". "&amp;IF($W798=6,"Final escalation completed.",IF($T798="OVERDUE","Next: "&amp;$Z798&amp;" was due "&amp;TEXT($Y798,"dd-mmm")&amp;" - "&amp;(NETWORKDAYS($Y798,TODAY(),Holidays)-1)&amp;" business day(s) late. Send now.",IF($T798="DUE TOMORROW","Next: "&amp;$Z798&amp;IF($Y798&lt;=TODAY()," is due TODAY ("," is due next business day (")&amp;TEXT($Y798,"dd-mmm")&amp;").","Next: "&amp;$Z798&amp;" due "&amp;TEXT($Y798,"dd-mmm")&amp;" ("&amp;(NETWORKDAYS(TODAY(),$Y798,Holidays)-1)&amp;" business day(s) left).")))))</f>
        <v/>
      </c>
      <c r="V798" s="17">
        <f>IF($W798="","",CHOOSE($W798,"Collection Email","1st Follow-up","2nd Follow-up","Local Office","CBE","Roxanne")&amp;IF($W798=6," - Final"," - Day "&amp;MAX(0,NETWORKDAYS($X798,TODAY(),Holidays)-1)&amp;" of "&amp;CHOOSE($W798,3,3,2,2,3))&amp;" | Total Day "&amp;MAX(0,NETWORKDAYS($L798,TODAY(),Holidays)-1))</f>
        <v/>
      </c>
      <c r="W798" s="17">
        <f>IF($L798="","",COUNT($L798:$Q798))</f>
        <v/>
      </c>
      <c r="X798" s="18">
        <f>IF($W798="","",INT(INDEX($L798:$Q798,$W798)))</f>
        <v/>
      </c>
      <c r="Y798" s="18">
        <f>IF(OR($W798="",$W798=6),"",WORKDAY($X798,CHOOSE($W798,3,3,2,2,3),Holidays))</f>
        <v/>
      </c>
      <c r="Z798" s="17">
        <f>IF(OR($W798="",$W798=6),"",CHOOSE($W798,"1st Email Follow-up","2nd Email Follow-up","Escalate Local Office","Escalate to CBE","Escalate to Roxanne"))</f>
        <v/>
      </c>
    </row>
    <row r="799" spans="18:26">
      <c r="R799" s="15"/>
      <c r="S799" s="16"/>
      <c r="T799" s="17">
        <f>IF(AND(COUNTA($A799:$K799)=0,$L799=""),"",IF($S799="Paid","PAID",IF($S799="Closed","CLOSED",IF($W799="","",IF($W799=6,"ESCALATED TO ROXANNE",IF(TODAY()&gt;$Y799,"OVERDUE",IF($Y799&lt;=WORKDAY(TODAY(),1,Holidays),"DUE TOMORROW",IF($W799=4,"ESCALATED TO LOCAL OFFICE",IF($W799=5,"ESCALATED TO CBE",IF($X799=TODAY(),"EMAIL SENT","MONITORING"))))))))))</f>
        <v/>
      </c>
      <c r="U799" s="17">
        <f>IF($T799="",IF(AND(COUNTA($A799:$K799)&gt;0,$L799=""),"Awaiting Collection Email time stamp.",""),IF(OR($T799="PAID",$T799="CLOSED"),IF($T799="PAID","Account paid. Action completed.","Account closed. No further action required."),CHOOSE($W799,"Collection Email","1st Email Follow-up","2nd Email Follow-up","Escalation to Local Office","Escalation to CBE","Escalation to Roxanne")&amp;" sent "&amp;TEXT($X799,"dd-mmm")&amp;". "&amp;IF($W799=6,"Final escalation completed.",IF($T799="OVERDUE","Next: "&amp;$Z799&amp;" was due "&amp;TEXT($Y799,"dd-mmm")&amp;" - "&amp;(NETWORKDAYS($Y799,TODAY(),Holidays)-1)&amp;" business day(s) late. Send now.",IF($T799="DUE TOMORROW","Next: "&amp;$Z799&amp;IF($Y799&lt;=TODAY()," is due TODAY ("," is due next business day (")&amp;TEXT($Y799,"dd-mmm")&amp;").","Next: "&amp;$Z799&amp;" due "&amp;TEXT($Y799,"dd-mmm")&amp;" ("&amp;(NETWORKDAYS(TODAY(),$Y799,Holidays)-1)&amp;" business day(s) left).")))))</f>
        <v/>
      </c>
      <c r="V799" s="17">
        <f>IF($W799="","",CHOOSE($W799,"Collection Email","1st Follow-up","2nd Follow-up","Local Office","CBE","Roxanne")&amp;IF($W799=6," - Final"," - Day "&amp;MAX(0,NETWORKDAYS($X799,TODAY(),Holidays)-1)&amp;" of "&amp;CHOOSE($W799,3,3,2,2,3))&amp;" | Total Day "&amp;MAX(0,NETWORKDAYS($L799,TODAY(),Holidays)-1))</f>
        <v/>
      </c>
      <c r="W799" s="17">
        <f>IF($L799="","",COUNT($L799:$Q799))</f>
        <v/>
      </c>
      <c r="X799" s="18">
        <f>IF($W799="","",INT(INDEX($L799:$Q799,$W799)))</f>
        <v/>
      </c>
      <c r="Y799" s="18">
        <f>IF(OR($W799="",$W799=6),"",WORKDAY($X799,CHOOSE($W799,3,3,2,2,3),Holidays))</f>
        <v/>
      </c>
      <c r="Z799" s="17">
        <f>IF(OR($W799="",$W799=6),"",CHOOSE($W799,"1st Email Follow-up","2nd Email Follow-up","Escalate Local Office","Escalate to CBE","Escalate to Roxanne"))</f>
        <v/>
      </c>
    </row>
    <row r="800" spans="18:26">
      <c r="R800" s="15"/>
      <c r="S800" s="16"/>
      <c r="T800" s="17">
        <f>IF(AND(COUNTA($A800:$K800)=0,$L800=""),"",IF($S800="Paid","PAID",IF($S800="Closed","CLOSED",IF($W800="","",IF($W800=6,"ESCALATED TO ROXANNE",IF(TODAY()&gt;$Y800,"OVERDUE",IF($Y800&lt;=WORKDAY(TODAY(),1,Holidays),"DUE TOMORROW",IF($W800=4,"ESCALATED TO LOCAL OFFICE",IF($W800=5,"ESCALATED TO CBE",IF($X800=TODAY(),"EMAIL SENT","MONITORING"))))))))))</f>
        <v/>
      </c>
      <c r="U800" s="17">
        <f>IF($T800="",IF(AND(COUNTA($A800:$K800)&gt;0,$L800=""),"Awaiting Collection Email time stamp.",""),IF(OR($T800="PAID",$T800="CLOSED"),IF($T800="PAID","Account paid. Action completed.","Account closed. No further action required."),CHOOSE($W800,"Collection Email","1st Email Follow-up","2nd Email Follow-up","Escalation to Local Office","Escalation to CBE","Escalation to Roxanne")&amp;" sent "&amp;TEXT($X800,"dd-mmm")&amp;". "&amp;IF($W800=6,"Final escalation completed.",IF($T800="OVERDUE","Next: "&amp;$Z800&amp;" was due "&amp;TEXT($Y800,"dd-mmm")&amp;" - "&amp;(NETWORKDAYS($Y800,TODAY(),Holidays)-1)&amp;" business day(s) late. Send now.",IF($T800="DUE TOMORROW","Next: "&amp;$Z800&amp;IF($Y800&lt;=TODAY()," is due TODAY ("," is due next business day (")&amp;TEXT($Y800,"dd-mmm")&amp;").","Next: "&amp;$Z800&amp;" due "&amp;TEXT($Y800,"dd-mmm")&amp;" ("&amp;(NETWORKDAYS(TODAY(),$Y800,Holidays)-1)&amp;" business day(s) left).")))))</f>
        <v/>
      </c>
      <c r="V800" s="17">
        <f>IF($W800="","",CHOOSE($W800,"Collection Email","1st Follow-up","2nd Follow-up","Local Office","CBE","Roxanne")&amp;IF($W800=6," - Final"," - Day "&amp;MAX(0,NETWORKDAYS($X800,TODAY(),Holidays)-1)&amp;" of "&amp;CHOOSE($W800,3,3,2,2,3))&amp;" | Total Day "&amp;MAX(0,NETWORKDAYS($L800,TODAY(),Holidays)-1))</f>
        <v/>
      </c>
      <c r="W800" s="17">
        <f>IF($L800="","",COUNT($L800:$Q800))</f>
        <v/>
      </c>
      <c r="X800" s="18">
        <f>IF($W800="","",INT(INDEX($L800:$Q800,$W800)))</f>
        <v/>
      </c>
      <c r="Y800" s="18">
        <f>IF(OR($W800="",$W800=6),"",WORKDAY($X800,CHOOSE($W800,3,3,2,2,3),Holidays))</f>
        <v/>
      </c>
      <c r="Z800" s="17">
        <f>IF(OR($W800="",$W800=6),"",CHOOSE($W800,"1st Email Follow-up","2nd Email Follow-up","Escalate Local Office","Escalate to CBE","Escalate to Roxanne"))</f>
        <v/>
      </c>
    </row>
    <row r="801" spans="18:26">
      <c r="R801" s="15"/>
      <c r="S801" s="16"/>
      <c r="T801" s="17">
        <f>IF(AND(COUNTA($A801:$K801)=0,$L801=""),"",IF($S801="Paid","PAID",IF($S801="Closed","CLOSED",IF($W801="","",IF($W801=6,"ESCALATED TO ROXANNE",IF(TODAY()&gt;$Y801,"OVERDUE",IF($Y801&lt;=WORKDAY(TODAY(),1,Holidays),"DUE TOMORROW",IF($W801=4,"ESCALATED TO LOCAL OFFICE",IF($W801=5,"ESCALATED TO CBE",IF($X801=TODAY(),"EMAIL SENT","MONITORING"))))))))))</f>
        <v/>
      </c>
      <c r="U801" s="17">
        <f>IF($T801="",IF(AND(COUNTA($A801:$K801)&gt;0,$L801=""),"Awaiting Collection Email time stamp.",""),IF(OR($T801="PAID",$T801="CLOSED"),IF($T801="PAID","Account paid. Action completed.","Account closed. No further action required."),CHOOSE($W801,"Collection Email","1st Email Follow-up","2nd Email Follow-up","Escalation to Local Office","Escalation to CBE","Escalation to Roxanne")&amp;" sent "&amp;TEXT($X801,"dd-mmm")&amp;". "&amp;IF($W801=6,"Final escalation completed.",IF($T801="OVERDUE","Next: "&amp;$Z801&amp;" was due "&amp;TEXT($Y801,"dd-mmm")&amp;" - "&amp;(NETWORKDAYS($Y801,TODAY(),Holidays)-1)&amp;" business day(s) late. Send now.",IF($T801="DUE TOMORROW","Next: "&amp;$Z801&amp;IF($Y801&lt;=TODAY()," is due TODAY ("," is due next business day (")&amp;TEXT($Y801,"dd-mmm")&amp;").","Next: "&amp;$Z801&amp;" due "&amp;TEXT($Y801,"dd-mmm")&amp;" ("&amp;(NETWORKDAYS(TODAY(),$Y801,Holidays)-1)&amp;" business day(s) left).")))))</f>
        <v/>
      </c>
      <c r="V801" s="17">
        <f>IF($W801="","",CHOOSE($W801,"Collection Email","1st Follow-up","2nd Follow-up","Local Office","CBE","Roxanne")&amp;IF($W801=6," - Final"," - Day "&amp;MAX(0,NETWORKDAYS($X801,TODAY(),Holidays)-1)&amp;" of "&amp;CHOOSE($W801,3,3,2,2,3))&amp;" | Total Day "&amp;MAX(0,NETWORKDAYS($L801,TODAY(),Holidays)-1))</f>
        <v/>
      </c>
      <c r="W801" s="17">
        <f>IF($L801="","",COUNT($L801:$Q801))</f>
        <v/>
      </c>
      <c r="X801" s="18">
        <f>IF($W801="","",INT(INDEX($L801:$Q801,$W801)))</f>
        <v/>
      </c>
      <c r="Y801" s="18">
        <f>IF(OR($W801="",$W801=6),"",WORKDAY($X801,CHOOSE($W801,3,3,2,2,3),Holidays))</f>
        <v/>
      </c>
      <c r="Z801" s="17">
        <f>IF(OR($W801="",$W801=6),"",CHOOSE($W801,"1st Email Follow-up","2nd Email Follow-up","Escalate Local Office","Escalate to CBE","Escalate to Roxanne"))</f>
        <v/>
      </c>
    </row>
    <row r="802" spans="18:26">
      <c r="R802" s="15"/>
      <c r="S802" s="16"/>
      <c r="T802" s="17">
        <f>IF(AND(COUNTA($A802:$K802)=0,$L802=""),"",IF($S802="Paid","PAID",IF($S802="Closed","CLOSED",IF($W802="","",IF($W802=6,"ESCALATED TO ROXANNE",IF(TODAY()&gt;$Y802,"OVERDUE",IF($Y802&lt;=WORKDAY(TODAY(),1,Holidays),"DUE TOMORROW",IF($W802=4,"ESCALATED TO LOCAL OFFICE",IF($W802=5,"ESCALATED TO CBE",IF($X802=TODAY(),"EMAIL SENT","MONITORING"))))))))))</f>
        <v/>
      </c>
      <c r="U802" s="17">
        <f>IF($T802="",IF(AND(COUNTA($A802:$K802)&gt;0,$L802=""),"Awaiting Collection Email time stamp.",""),IF(OR($T802="PAID",$T802="CLOSED"),IF($T802="PAID","Account paid. Action completed.","Account closed. No further action required."),CHOOSE($W802,"Collection Email","1st Email Follow-up","2nd Email Follow-up","Escalation to Local Office","Escalation to CBE","Escalation to Roxanne")&amp;" sent "&amp;TEXT($X802,"dd-mmm")&amp;". "&amp;IF($W802=6,"Final escalation completed.",IF($T802="OVERDUE","Next: "&amp;$Z802&amp;" was due "&amp;TEXT($Y802,"dd-mmm")&amp;" - "&amp;(NETWORKDAYS($Y802,TODAY(),Holidays)-1)&amp;" business day(s) late. Send now.",IF($T802="DUE TOMORROW","Next: "&amp;$Z802&amp;IF($Y802&lt;=TODAY()," is due TODAY ("," is due next business day (")&amp;TEXT($Y802,"dd-mmm")&amp;").","Next: "&amp;$Z802&amp;" due "&amp;TEXT($Y802,"dd-mmm")&amp;" ("&amp;(NETWORKDAYS(TODAY(),$Y802,Holidays)-1)&amp;" business day(s) left).")))))</f>
        <v/>
      </c>
      <c r="V802" s="17">
        <f>IF($W802="","",CHOOSE($W802,"Collection Email","1st Follow-up","2nd Follow-up","Local Office","CBE","Roxanne")&amp;IF($W802=6," - Final"," - Day "&amp;MAX(0,NETWORKDAYS($X802,TODAY(),Holidays)-1)&amp;" of "&amp;CHOOSE($W802,3,3,2,2,3))&amp;" | Total Day "&amp;MAX(0,NETWORKDAYS($L802,TODAY(),Holidays)-1))</f>
        <v/>
      </c>
      <c r="W802" s="17">
        <f>IF($L802="","",COUNT($L802:$Q802))</f>
        <v/>
      </c>
      <c r="X802" s="18">
        <f>IF($W802="","",INT(INDEX($L802:$Q802,$W802)))</f>
        <v/>
      </c>
      <c r="Y802" s="18">
        <f>IF(OR($W802="",$W802=6),"",WORKDAY($X802,CHOOSE($W802,3,3,2,2,3),Holidays))</f>
        <v/>
      </c>
      <c r="Z802" s="17">
        <f>IF(OR($W802="",$W802=6),"",CHOOSE($W802,"1st Email Follow-up","2nd Email Follow-up","Escalate Local Office","Escalate to CBE","Escalate to Roxanne"))</f>
        <v/>
      </c>
    </row>
    <row r="803" spans="18:26">
      <c r="R803" s="15"/>
      <c r="S803" s="16"/>
      <c r="T803" s="17">
        <f>IF(AND(COUNTA($A803:$K803)=0,$L803=""),"",IF($S803="Paid","PAID",IF($S803="Closed","CLOSED",IF($W803="","",IF($W803=6,"ESCALATED TO ROXANNE",IF(TODAY()&gt;$Y803,"OVERDUE",IF($Y803&lt;=WORKDAY(TODAY(),1,Holidays),"DUE TOMORROW",IF($W803=4,"ESCALATED TO LOCAL OFFICE",IF($W803=5,"ESCALATED TO CBE",IF($X803=TODAY(),"EMAIL SENT","MONITORING"))))))))))</f>
        <v/>
      </c>
      <c r="U803" s="17">
        <f>IF($T803="",IF(AND(COUNTA($A803:$K803)&gt;0,$L803=""),"Awaiting Collection Email time stamp.",""),IF(OR($T803="PAID",$T803="CLOSED"),IF($T803="PAID","Account paid. Action completed.","Account closed. No further action required."),CHOOSE($W803,"Collection Email","1st Email Follow-up","2nd Email Follow-up","Escalation to Local Office","Escalation to CBE","Escalation to Roxanne")&amp;" sent "&amp;TEXT($X803,"dd-mmm")&amp;". "&amp;IF($W803=6,"Final escalation completed.",IF($T803="OVERDUE","Next: "&amp;$Z803&amp;" was due "&amp;TEXT($Y803,"dd-mmm")&amp;" - "&amp;(NETWORKDAYS($Y803,TODAY(),Holidays)-1)&amp;" business day(s) late. Send now.",IF($T803="DUE TOMORROW","Next: "&amp;$Z803&amp;IF($Y803&lt;=TODAY()," is due TODAY ("," is due next business day (")&amp;TEXT($Y803,"dd-mmm")&amp;").","Next: "&amp;$Z803&amp;" due "&amp;TEXT($Y803,"dd-mmm")&amp;" ("&amp;(NETWORKDAYS(TODAY(),$Y803,Holidays)-1)&amp;" business day(s) left).")))))</f>
        <v/>
      </c>
      <c r="V803" s="17">
        <f>IF($W803="","",CHOOSE($W803,"Collection Email","1st Follow-up","2nd Follow-up","Local Office","CBE","Roxanne")&amp;IF($W803=6," - Final"," - Day "&amp;MAX(0,NETWORKDAYS($X803,TODAY(),Holidays)-1)&amp;" of "&amp;CHOOSE($W803,3,3,2,2,3))&amp;" | Total Day "&amp;MAX(0,NETWORKDAYS($L803,TODAY(),Holidays)-1))</f>
        <v/>
      </c>
      <c r="W803" s="17">
        <f>IF($L803="","",COUNT($L803:$Q803))</f>
        <v/>
      </c>
      <c r="X803" s="18">
        <f>IF($W803="","",INT(INDEX($L803:$Q803,$W803)))</f>
        <v/>
      </c>
      <c r="Y803" s="18">
        <f>IF(OR($W803="",$W803=6),"",WORKDAY($X803,CHOOSE($W803,3,3,2,2,3),Holidays))</f>
        <v/>
      </c>
      <c r="Z803" s="17">
        <f>IF(OR($W803="",$W803=6),"",CHOOSE($W803,"1st Email Follow-up","2nd Email Follow-up","Escalate Local Office","Escalate to CBE","Escalate to Roxanne"))</f>
        <v/>
      </c>
    </row>
    <row r="804" spans="18:26">
      <c r="R804" s="15"/>
      <c r="S804" s="16"/>
      <c r="T804" s="17">
        <f>IF(AND(COUNTA($A804:$K804)=0,$L804=""),"",IF($S804="Paid","PAID",IF($S804="Closed","CLOSED",IF($W804="","",IF($W804=6,"ESCALATED TO ROXANNE",IF(TODAY()&gt;$Y804,"OVERDUE",IF($Y804&lt;=WORKDAY(TODAY(),1,Holidays),"DUE TOMORROW",IF($W804=4,"ESCALATED TO LOCAL OFFICE",IF($W804=5,"ESCALATED TO CBE",IF($X804=TODAY(),"EMAIL SENT","MONITORING"))))))))))</f>
        <v/>
      </c>
      <c r="U804" s="17">
        <f>IF($T804="",IF(AND(COUNTA($A804:$K804)&gt;0,$L804=""),"Awaiting Collection Email time stamp.",""),IF(OR($T804="PAID",$T804="CLOSED"),IF($T804="PAID","Account paid. Action completed.","Account closed. No further action required."),CHOOSE($W804,"Collection Email","1st Email Follow-up","2nd Email Follow-up","Escalation to Local Office","Escalation to CBE","Escalation to Roxanne")&amp;" sent "&amp;TEXT($X804,"dd-mmm")&amp;". "&amp;IF($W804=6,"Final escalation completed.",IF($T804="OVERDUE","Next: "&amp;$Z804&amp;" was due "&amp;TEXT($Y804,"dd-mmm")&amp;" - "&amp;(NETWORKDAYS($Y804,TODAY(),Holidays)-1)&amp;" business day(s) late. Send now.",IF($T804="DUE TOMORROW","Next: "&amp;$Z804&amp;IF($Y804&lt;=TODAY()," is due TODAY ("," is due next business day (")&amp;TEXT($Y804,"dd-mmm")&amp;").","Next: "&amp;$Z804&amp;" due "&amp;TEXT($Y804,"dd-mmm")&amp;" ("&amp;(NETWORKDAYS(TODAY(),$Y804,Holidays)-1)&amp;" business day(s) left).")))))</f>
        <v/>
      </c>
      <c r="V804" s="17">
        <f>IF($W804="","",CHOOSE($W804,"Collection Email","1st Follow-up","2nd Follow-up","Local Office","CBE","Roxanne")&amp;IF($W804=6," - Final"," - Day "&amp;MAX(0,NETWORKDAYS($X804,TODAY(),Holidays)-1)&amp;" of "&amp;CHOOSE($W804,3,3,2,2,3))&amp;" | Total Day "&amp;MAX(0,NETWORKDAYS($L804,TODAY(),Holidays)-1))</f>
        <v/>
      </c>
      <c r="W804" s="17">
        <f>IF($L804="","",COUNT($L804:$Q804))</f>
        <v/>
      </c>
      <c r="X804" s="18">
        <f>IF($W804="","",INT(INDEX($L804:$Q804,$W804)))</f>
        <v/>
      </c>
      <c r="Y804" s="18">
        <f>IF(OR($W804="",$W804=6),"",WORKDAY($X804,CHOOSE($W804,3,3,2,2,3),Holidays))</f>
        <v/>
      </c>
      <c r="Z804" s="17">
        <f>IF(OR($W804="",$W804=6),"",CHOOSE($W804,"1st Email Follow-up","2nd Email Follow-up","Escalate Local Office","Escalate to CBE","Escalate to Roxanne"))</f>
        <v/>
      </c>
    </row>
    <row r="805" spans="18:26">
      <c r="R805" s="15"/>
      <c r="S805" s="16"/>
      <c r="T805" s="17">
        <f>IF(AND(COUNTA($A805:$K805)=0,$L805=""),"",IF($S805="Paid","PAID",IF($S805="Closed","CLOSED",IF($W805="","",IF($W805=6,"ESCALATED TO ROXANNE",IF(TODAY()&gt;$Y805,"OVERDUE",IF($Y805&lt;=WORKDAY(TODAY(),1,Holidays),"DUE TOMORROW",IF($W805=4,"ESCALATED TO LOCAL OFFICE",IF($W805=5,"ESCALATED TO CBE",IF($X805=TODAY(),"EMAIL SENT","MONITORING"))))))))))</f>
        <v/>
      </c>
      <c r="U805" s="17">
        <f>IF($T805="",IF(AND(COUNTA($A805:$K805)&gt;0,$L805=""),"Awaiting Collection Email time stamp.",""),IF(OR($T805="PAID",$T805="CLOSED"),IF($T805="PAID","Account paid. Action completed.","Account closed. No further action required."),CHOOSE($W805,"Collection Email","1st Email Follow-up","2nd Email Follow-up","Escalation to Local Office","Escalation to CBE","Escalation to Roxanne")&amp;" sent "&amp;TEXT($X805,"dd-mmm")&amp;". "&amp;IF($W805=6,"Final escalation completed.",IF($T805="OVERDUE","Next: "&amp;$Z805&amp;" was due "&amp;TEXT($Y805,"dd-mmm")&amp;" - "&amp;(NETWORKDAYS($Y805,TODAY(),Holidays)-1)&amp;" business day(s) late. Send now.",IF($T805="DUE TOMORROW","Next: "&amp;$Z805&amp;IF($Y805&lt;=TODAY()," is due TODAY ("," is due next business day (")&amp;TEXT($Y805,"dd-mmm")&amp;").","Next: "&amp;$Z805&amp;" due "&amp;TEXT($Y805,"dd-mmm")&amp;" ("&amp;(NETWORKDAYS(TODAY(),$Y805,Holidays)-1)&amp;" business day(s) left).")))))</f>
        <v/>
      </c>
      <c r="V805" s="17">
        <f>IF($W805="","",CHOOSE($W805,"Collection Email","1st Follow-up","2nd Follow-up","Local Office","CBE","Roxanne")&amp;IF($W805=6," - Final"," - Day "&amp;MAX(0,NETWORKDAYS($X805,TODAY(),Holidays)-1)&amp;" of "&amp;CHOOSE($W805,3,3,2,2,3))&amp;" | Total Day "&amp;MAX(0,NETWORKDAYS($L805,TODAY(),Holidays)-1))</f>
        <v/>
      </c>
      <c r="W805" s="17">
        <f>IF($L805="","",COUNT($L805:$Q805))</f>
        <v/>
      </c>
      <c r="X805" s="18">
        <f>IF($W805="","",INT(INDEX($L805:$Q805,$W805)))</f>
        <v/>
      </c>
      <c r="Y805" s="18">
        <f>IF(OR($W805="",$W805=6),"",WORKDAY($X805,CHOOSE($W805,3,3,2,2,3),Holidays))</f>
        <v/>
      </c>
      <c r="Z805" s="17">
        <f>IF(OR($W805="",$W805=6),"",CHOOSE($W805,"1st Email Follow-up","2nd Email Follow-up","Escalate Local Office","Escalate to CBE","Escalate to Roxanne"))</f>
        <v/>
      </c>
    </row>
    <row r="806" spans="18:26">
      <c r="R806" s="15"/>
      <c r="S806" s="16"/>
      <c r="T806" s="17">
        <f>IF(AND(COUNTA($A806:$K806)=0,$L806=""),"",IF($S806="Paid","PAID",IF($S806="Closed","CLOSED",IF($W806="","",IF($W806=6,"ESCALATED TO ROXANNE",IF(TODAY()&gt;$Y806,"OVERDUE",IF($Y806&lt;=WORKDAY(TODAY(),1,Holidays),"DUE TOMORROW",IF($W806=4,"ESCALATED TO LOCAL OFFICE",IF($W806=5,"ESCALATED TO CBE",IF($X806=TODAY(),"EMAIL SENT","MONITORING"))))))))))</f>
        <v/>
      </c>
      <c r="U806" s="17">
        <f>IF($T806="",IF(AND(COUNTA($A806:$K806)&gt;0,$L806=""),"Awaiting Collection Email time stamp.",""),IF(OR($T806="PAID",$T806="CLOSED"),IF($T806="PAID","Account paid. Action completed.","Account closed. No further action required."),CHOOSE($W806,"Collection Email","1st Email Follow-up","2nd Email Follow-up","Escalation to Local Office","Escalation to CBE","Escalation to Roxanne")&amp;" sent "&amp;TEXT($X806,"dd-mmm")&amp;". "&amp;IF($W806=6,"Final escalation completed.",IF($T806="OVERDUE","Next: "&amp;$Z806&amp;" was due "&amp;TEXT($Y806,"dd-mmm")&amp;" - "&amp;(NETWORKDAYS($Y806,TODAY(),Holidays)-1)&amp;" business day(s) late. Send now.",IF($T806="DUE TOMORROW","Next: "&amp;$Z806&amp;IF($Y806&lt;=TODAY()," is due TODAY ("," is due next business day (")&amp;TEXT($Y806,"dd-mmm")&amp;").","Next: "&amp;$Z806&amp;" due "&amp;TEXT($Y806,"dd-mmm")&amp;" ("&amp;(NETWORKDAYS(TODAY(),$Y806,Holidays)-1)&amp;" business day(s) left).")))))</f>
        <v/>
      </c>
      <c r="V806" s="17">
        <f>IF($W806="","",CHOOSE($W806,"Collection Email","1st Follow-up","2nd Follow-up","Local Office","CBE","Roxanne")&amp;IF($W806=6," - Final"," - Day "&amp;MAX(0,NETWORKDAYS($X806,TODAY(),Holidays)-1)&amp;" of "&amp;CHOOSE($W806,3,3,2,2,3))&amp;" | Total Day "&amp;MAX(0,NETWORKDAYS($L806,TODAY(),Holidays)-1))</f>
        <v/>
      </c>
      <c r="W806" s="17">
        <f>IF($L806="","",COUNT($L806:$Q806))</f>
        <v/>
      </c>
      <c r="X806" s="18">
        <f>IF($W806="","",INT(INDEX($L806:$Q806,$W806)))</f>
        <v/>
      </c>
      <c r="Y806" s="18">
        <f>IF(OR($W806="",$W806=6),"",WORKDAY($X806,CHOOSE($W806,3,3,2,2,3),Holidays))</f>
        <v/>
      </c>
      <c r="Z806" s="17">
        <f>IF(OR($W806="",$W806=6),"",CHOOSE($W806,"1st Email Follow-up","2nd Email Follow-up","Escalate Local Office","Escalate to CBE","Escalate to Roxanne"))</f>
        <v/>
      </c>
    </row>
    <row r="807" spans="18:26">
      <c r="R807" s="15"/>
      <c r="S807" s="16"/>
      <c r="T807" s="17">
        <f>IF(AND(COUNTA($A807:$K807)=0,$L807=""),"",IF($S807="Paid","PAID",IF($S807="Closed","CLOSED",IF($W807="","",IF($W807=6,"ESCALATED TO ROXANNE",IF(TODAY()&gt;$Y807,"OVERDUE",IF($Y807&lt;=WORKDAY(TODAY(),1,Holidays),"DUE TOMORROW",IF($W807=4,"ESCALATED TO LOCAL OFFICE",IF($W807=5,"ESCALATED TO CBE",IF($X807=TODAY(),"EMAIL SENT","MONITORING"))))))))))</f>
        <v/>
      </c>
      <c r="U807" s="17">
        <f>IF($T807="",IF(AND(COUNTA($A807:$K807)&gt;0,$L807=""),"Awaiting Collection Email time stamp.",""),IF(OR($T807="PAID",$T807="CLOSED"),IF($T807="PAID","Account paid. Action completed.","Account closed. No further action required."),CHOOSE($W807,"Collection Email","1st Email Follow-up","2nd Email Follow-up","Escalation to Local Office","Escalation to CBE","Escalation to Roxanne")&amp;" sent "&amp;TEXT($X807,"dd-mmm")&amp;". "&amp;IF($W807=6,"Final escalation completed.",IF($T807="OVERDUE","Next: "&amp;$Z807&amp;" was due "&amp;TEXT($Y807,"dd-mmm")&amp;" - "&amp;(NETWORKDAYS($Y807,TODAY(),Holidays)-1)&amp;" business day(s) late. Send now.",IF($T807="DUE TOMORROW","Next: "&amp;$Z807&amp;IF($Y807&lt;=TODAY()," is due TODAY ("," is due next business day (")&amp;TEXT($Y807,"dd-mmm")&amp;").","Next: "&amp;$Z807&amp;" due "&amp;TEXT($Y807,"dd-mmm")&amp;" ("&amp;(NETWORKDAYS(TODAY(),$Y807,Holidays)-1)&amp;" business day(s) left).")))))</f>
        <v/>
      </c>
      <c r="V807" s="17">
        <f>IF($W807="","",CHOOSE($W807,"Collection Email","1st Follow-up","2nd Follow-up","Local Office","CBE","Roxanne")&amp;IF($W807=6," - Final"," - Day "&amp;MAX(0,NETWORKDAYS($X807,TODAY(),Holidays)-1)&amp;" of "&amp;CHOOSE($W807,3,3,2,2,3))&amp;" | Total Day "&amp;MAX(0,NETWORKDAYS($L807,TODAY(),Holidays)-1))</f>
        <v/>
      </c>
      <c r="W807" s="17">
        <f>IF($L807="","",COUNT($L807:$Q807))</f>
        <v/>
      </c>
      <c r="X807" s="18">
        <f>IF($W807="","",INT(INDEX($L807:$Q807,$W807)))</f>
        <v/>
      </c>
      <c r="Y807" s="18">
        <f>IF(OR($W807="",$W807=6),"",WORKDAY($X807,CHOOSE($W807,3,3,2,2,3),Holidays))</f>
        <v/>
      </c>
      <c r="Z807" s="17">
        <f>IF(OR($W807="",$W807=6),"",CHOOSE($W807,"1st Email Follow-up","2nd Email Follow-up","Escalate Local Office","Escalate to CBE","Escalate to Roxanne"))</f>
        <v/>
      </c>
    </row>
    <row r="808" spans="18:26">
      <c r="R808" s="15"/>
      <c r="S808" s="16"/>
      <c r="T808" s="17">
        <f>IF(AND(COUNTA($A808:$K808)=0,$L808=""),"",IF($S808="Paid","PAID",IF($S808="Closed","CLOSED",IF($W808="","",IF($W808=6,"ESCALATED TO ROXANNE",IF(TODAY()&gt;$Y808,"OVERDUE",IF($Y808&lt;=WORKDAY(TODAY(),1,Holidays),"DUE TOMORROW",IF($W808=4,"ESCALATED TO LOCAL OFFICE",IF($W808=5,"ESCALATED TO CBE",IF($X808=TODAY(),"EMAIL SENT","MONITORING"))))))))))</f>
        <v/>
      </c>
      <c r="U808" s="17">
        <f>IF($T808="",IF(AND(COUNTA($A808:$K808)&gt;0,$L808=""),"Awaiting Collection Email time stamp.",""),IF(OR($T808="PAID",$T808="CLOSED"),IF($T808="PAID","Account paid. Action completed.","Account closed. No further action required."),CHOOSE($W808,"Collection Email","1st Email Follow-up","2nd Email Follow-up","Escalation to Local Office","Escalation to CBE","Escalation to Roxanne")&amp;" sent "&amp;TEXT($X808,"dd-mmm")&amp;". "&amp;IF($W808=6,"Final escalation completed.",IF($T808="OVERDUE","Next: "&amp;$Z808&amp;" was due "&amp;TEXT($Y808,"dd-mmm")&amp;" - "&amp;(NETWORKDAYS($Y808,TODAY(),Holidays)-1)&amp;" business day(s) late. Send now.",IF($T808="DUE TOMORROW","Next: "&amp;$Z808&amp;IF($Y808&lt;=TODAY()," is due TODAY ("," is due next business day (")&amp;TEXT($Y808,"dd-mmm")&amp;").","Next: "&amp;$Z808&amp;" due "&amp;TEXT($Y808,"dd-mmm")&amp;" ("&amp;(NETWORKDAYS(TODAY(),$Y808,Holidays)-1)&amp;" business day(s) left).")))))</f>
        <v/>
      </c>
      <c r="V808" s="17">
        <f>IF($W808="","",CHOOSE($W808,"Collection Email","1st Follow-up","2nd Follow-up","Local Office","CBE","Roxanne")&amp;IF($W808=6," - Final"," - Day "&amp;MAX(0,NETWORKDAYS($X808,TODAY(),Holidays)-1)&amp;" of "&amp;CHOOSE($W808,3,3,2,2,3))&amp;" | Total Day "&amp;MAX(0,NETWORKDAYS($L808,TODAY(),Holidays)-1))</f>
        <v/>
      </c>
      <c r="W808" s="17">
        <f>IF($L808="","",COUNT($L808:$Q808))</f>
        <v/>
      </c>
      <c r="X808" s="18">
        <f>IF($W808="","",INT(INDEX($L808:$Q808,$W808)))</f>
        <v/>
      </c>
      <c r="Y808" s="18">
        <f>IF(OR($W808="",$W808=6),"",WORKDAY($X808,CHOOSE($W808,3,3,2,2,3),Holidays))</f>
        <v/>
      </c>
      <c r="Z808" s="17">
        <f>IF(OR($W808="",$W808=6),"",CHOOSE($W808,"1st Email Follow-up","2nd Email Follow-up","Escalate Local Office","Escalate to CBE","Escalate to Roxanne"))</f>
        <v/>
      </c>
    </row>
    <row r="809" spans="18:26">
      <c r="R809" s="15"/>
      <c r="S809" s="16"/>
      <c r="T809" s="17">
        <f>IF(AND(COUNTA($A809:$K809)=0,$L809=""),"",IF($S809="Paid","PAID",IF($S809="Closed","CLOSED",IF($W809="","",IF($W809=6,"ESCALATED TO ROXANNE",IF(TODAY()&gt;$Y809,"OVERDUE",IF($Y809&lt;=WORKDAY(TODAY(),1,Holidays),"DUE TOMORROW",IF($W809=4,"ESCALATED TO LOCAL OFFICE",IF($W809=5,"ESCALATED TO CBE",IF($X809=TODAY(),"EMAIL SENT","MONITORING"))))))))))</f>
        <v/>
      </c>
      <c r="U809" s="17">
        <f>IF($T809="",IF(AND(COUNTA($A809:$K809)&gt;0,$L809=""),"Awaiting Collection Email time stamp.",""),IF(OR($T809="PAID",$T809="CLOSED"),IF($T809="PAID","Account paid. Action completed.","Account closed. No further action required."),CHOOSE($W809,"Collection Email","1st Email Follow-up","2nd Email Follow-up","Escalation to Local Office","Escalation to CBE","Escalation to Roxanne")&amp;" sent "&amp;TEXT($X809,"dd-mmm")&amp;". "&amp;IF($W809=6,"Final escalation completed.",IF($T809="OVERDUE","Next: "&amp;$Z809&amp;" was due "&amp;TEXT($Y809,"dd-mmm")&amp;" - "&amp;(NETWORKDAYS($Y809,TODAY(),Holidays)-1)&amp;" business day(s) late. Send now.",IF($T809="DUE TOMORROW","Next: "&amp;$Z809&amp;IF($Y809&lt;=TODAY()," is due TODAY ("," is due next business day (")&amp;TEXT($Y809,"dd-mmm")&amp;").","Next: "&amp;$Z809&amp;" due "&amp;TEXT($Y809,"dd-mmm")&amp;" ("&amp;(NETWORKDAYS(TODAY(),$Y809,Holidays)-1)&amp;" business day(s) left).")))))</f>
        <v/>
      </c>
      <c r="V809" s="17">
        <f>IF($W809="","",CHOOSE($W809,"Collection Email","1st Follow-up","2nd Follow-up","Local Office","CBE","Roxanne")&amp;IF($W809=6," - Final"," - Day "&amp;MAX(0,NETWORKDAYS($X809,TODAY(),Holidays)-1)&amp;" of "&amp;CHOOSE($W809,3,3,2,2,3))&amp;" | Total Day "&amp;MAX(0,NETWORKDAYS($L809,TODAY(),Holidays)-1))</f>
        <v/>
      </c>
      <c r="W809" s="17">
        <f>IF($L809="","",COUNT($L809:$Q809))</f>
        <v/>
      </c>
      <c r="X809" s="18">
        <f>IF($W809="","",INT(INDEX($L809:$Q809,$W809)))</f>
        <v/>
      </c>
      <c r="Y809" s="18">
        <f>IF(OR($W809="",$W809=6),"",WORKDAY($X809,CHOOSE($W809,3,3,2,2,3),Holidays))</f>
        <v/>
      </c>
      <c r="Z809" s="17">
        <f>IF(OR($W809="",$W809=6),"",CHOOSE($W809,"1st Email Follow-up","2nd Email Follow-up","Escalate Local Office","Escalate to CBE","Escalate to Roxanne"))</f>
        <v/>
      </c>
    </row>
    <row r="810" spans="18:26">
      <c r="R810" s="15"/>
      <c r="S810" s="16"/>
      <c r="T810" s="17">
        <f>IF(AND(COUNTA($A810:$K810)=0,$L810=""),"",IF($S810="Paid","PAID",IF($S810="Closed","CLOSED",IF($W810="","",IF($W810=6,"ESCALATED TO ROXANNE",IF(TODAY()&gt;$Y810,"OVERDUE",IF($Y810&lt;=WORKDAY(TODAY(),1,Holidays),"DUE TOMORROW",IF($W810=4,"ESCALATED TO LOCAL OFFICE",IF($W810=5,"ESCALATED TO CBE",IF($X810=TODAY(),"EMAIL SENT","MONITORING"))))))))))</f>
        <v/>
      </c>
      <c r="U810" s="17">
        <f>IF($T810="",IF(AND(COUNTA($A810:$K810)&gt;0,$L810=""),"Awaiting Collection Email time stamp.",""),IF(OR($T810="PAID",$T810="CLOSED"),IF($T810="PAID","Account paid. Action completed.","Account closed. No further action required."),CHOOSE($W810,"Collection Email","1st Email Follow-up","2nd Email Follow-up","Escalation to Local Office","Escalation to CBE","Escalation to Roxanne")&amp;" sent "&amp;TEXT($X810,"dd-mmm")&amp;". "&amp;IF($W810=6,"Final escalation completed.",IF($T810="OVERDUE","Next: "&amp;$Z810&amp;" was due "&amp;TEXT($Y810,"dd-mmm")&amp;" - "&amp;(NETWORKDAYS($Y810,TODAY(),Holidays)-1)&amp;" business day(s) late. Send now.",IF($T810="DUE TOMORROW","Next: "&amp;$Z810&amp;IF($Y810&lt;=TODAY()," is due TODAY ("," is due next business day (")&amp;TEXT($Y810,"dd-mmm")&amp;").","Next: "&amp;$Z810&amp;" due "&amp;TEXT($Y810,"dd-mmm")&amp;" ("&amp;(NETWORKDAYS(TODAY(),$Y810,Holidays)-1)&amp;" business day(s) left).")))))</f>
        <v/>
      </c>
      <c r="V810" s="17">
        <f>IF($W810="","",CHOOSE($W810,"Collection Email","1st Follow-up","2nd Follow-up","Local Office","CBE","Roxanne")&amp;IF($W810=6," - Final"," - Day "&amp;MAX(0,NETWORKDAYS($X810,TODAY(),Holidays)-1)&amp;" of "&amp;CHOOSE($W810,3,3,2,2,3))&amp;" | Total Day "&amp;MAX(0,NETWORKDAYS($L810,TODAY(),Holidays)-1))</f>
        <v/>
      </c>
      <c r="W810" s="17">
        <f>IF($L810="","",COUNT($L810:$Q810))</f>
        <v/>
      </c>
      <c r="X810" s="18">
        <f>IF($W810="","",INT(INDEX($L810:$Q810,$W810)))</f>
        <v/>
      </c>
      <c r="Y810" s="18">
        <f>IF(OR($W810="",$W810=6),"",WORKDAY($X810,CHOOSE($W810,3,3,2,2,3),Holidays))</f>
        <v/>
      </c>
      <c r="Z810" s="17">
        <f>IF(OR($W810="",$W810=6),"",CHOOSE($W810,"1st Email Follow-up","2nd Email Follow-up","Escalate Local Office","Escalate to CBE","Escalate to Roxanne"))</f>
        <v/>
      </c>
    </row>
    <row r="811" spans="18:26">
      <c r="R811" s="15"/>
      <c r="S811" s="16"/>
      <c r="T811" s="17">
        <f>IF(AND(COUNTA($A811:$K811)=0,$L811=""),"",IF($S811="Paid","PAID",IF($S811="Closed","CLOSED",IF($W811="","",IF($W811=6,"ESCALATED TO ROXANNE",IF(TODAY()&gt;$Y811,"OVERDUE",IF($Y811&lt;=WORKDAY(TODAY(),1,Holidays),"DUE TOMORROW",IF($W811=4,"ESCALATED TO LOCAL OFFICE",IF($W811=5,"ESCALATED TO CBE",IF($X811=TODAY(),"EMAIL SENT","MONITORING"))))))))))</f>
        <v/>
      </c>
      <c r="U811" s="17">
        <f>IF($T811="",IF(AND(COUNTA($A811:$K811)&gt;0,$L811=""),"Awaiting Collection Email time stamp.",""),IF(OR($T811="PAID",$T811="CLOSED"),IF($T811="PAID","Account paid. Action completed.","Account closed. No further action required."),CHOOSE($W811,"Collection Email","1st Email Follow-up","2nd Email Follow-up","Escalation to Local Office","Escalation to CBE","Escalation to Roxanne")&amp;" sent "&amp;TEXT($X811,"dd-mmm")&amp;". "&amp;IF($W811=6,"Final escalation completed.",IF($T811="OVERDUE","Next: "&amp;$Z811&amp;" was due "&amp;TEXT($Y811,"dd-mmm")&amp;" - "&amp;(NETWORKDAYS($Y811,TODAY(),Holidays)-1)&amp;" business day(s) late. Send now.",IF($T811="DUE TOMORROW","Next: "&amp;$Z811&amp;IF($Y811&lt;=TODAY()," is due TODAY ("," is due next business day (")&amp;TEXT($Y811,"dd-mmm")&amp;").","Next: "&amp;$Z811&amp;" due "&amp;TEXT($Y811,"dd-mmm")&amp;" ("&amp;(NETWORKDAYS(TODAY(),$Y811,Holidays)-1)&amp;" business day(s) left).")))))</f>
        <v/>
      </c>
      <c r="V811" s="17">
        <f>IF($W811="","",CHOOSE($W811,"Collection Email","1st Follow-up","2nd Follow-up","Local Office","CBE","Roxanne")&amp;IF($W811=6," - Final"," - Day "&amp;MAX(0,NETWORKDAYS($X811,TODAY(),Holidays)-1)&amp;" of "&amp;CHOOSE($W811,3,3,2,2,3))&amp;" | Total Day "&amp;MAX(0,NETWORKDAYS($L811,TODAY(),Holidays)-1))</f>
        <v/>
      </c>
      <c r="W811" s="17">
        <f>IF($L811="","",COUNT($L811:$Q811))</f>
        <v/>
      </c>
      <c r="X811" s="18">
        <f>IF($W811="","",INT(INDEX($L811:$Q811,$W811)))</f>
        <v/>
      </c>
      <c r="Y811" s="18">
        <f>IF(OR($W811="",$W811=6),"",WORKDAY($X811,CHOOSE($W811,3,3,2,2,3),Holidays))</f>
        <v/>
      </c>
      <c r="Z811" s="17">
        <f>IF(OR($W811="",$W811=6),"",CHOOSE($W811,"1st Email Follow-up","2nd Email Follow-up","Escalate Local Office","Escalate to CBE","Escalate to Roxanne"))</f>
        <v/>
      </c>
    </row>
    <row r="812" spans="18:26">
      <c r="R812" s="15"/>
      <c r="S812" s="16"/>
      <c r="T812" s="17">
        <f>IF(AND(COUNTA($A812:$K812)=0,$L812=""),"",IF($S812="Paid","PAID",IF($S812="Closed","CLOSED",IF($W812="","",IF($W812=6,"ESCALATED TO ROXANNE",IF(TODAY()&gt;$Y812,"OVERDUE",IF($Y812&lt;=WORKDAY(TODAY(),1,Holidays),"DUE TOMORROW",IF($W812=4,"ESCALATED TO LOCAL OFFICE",IF($W812=5,"ESCALATED TO CBE",IF($X812=TODAY(),"EMAIL SENT","MONITORING"))))))))))</f>
        <v/>
      </c>
      <c r="U812" s="17">
        <f>IF($T812="",IF(AND(COUNTA($A812:$K812)&gt;0,$L812=""),"Awaiting Collection Email time stamp.",""),IF(OR($T812="PAID",$T812="CLOSED"),IF($T812="PAID","Account paid. Action completed.","Account closed. No further action required."),CHOOSE($W812,"Collection Email","1st Email Follow-up","2nd Email Follow-up","Escalation to Local Office","Escalation to CBE","Escalation to Roxanne")&amp;" sent "&amp;TEXT($X812,"dd-mmm")&amp;". "&amp;IF($W812=6,"Final escalation completed.",IF($T812="OVERDUE","Next: "&amp;$Z812&amp;" was due "&amp;TEXT($Y812,"dd-mmm")&amp;" - "&amp;(NETWORKDAYS($Y812,TODAY(),Holidays)-1)&amp;" business day(s) late. Send now.",IF($T812="DUE TOMORROW","Next: "&amp;$Z812&amp;IF($Y812&lt;=TODAY()," is due TODAY ("," is due next business day (")&amp;TEXT($Y812,"dd-mmm")&amp;").","Next: "&amp;$Z812&amp;" due "&amp;TEXT($Y812,"dd-mmm")&amp;" ("&amp;(NETWORKDAYS(TODAY(),$Y812,Holidays)-1)&amp;" business day(s) left).")))))</f>
        <v/>
      </c>
      <c r="V812" s="17">
        <f>IF($W812="","",CHOOSE($W812,"Collection Email","1st Follow-up","2nd Follow-up","Local Office","CBE","Roxanne")&amp;IF($W812=6," - Final"," - Day "&amp;MAX(0,NETWORKDAYS($X812,TODAY(),Holidays)-1)&amp;" of "&amp;CHOOSE($W812,3,3,2,2,3))&amp;" | Total Day "&amp;MAX(0,NETWORKDAYS($L812,TODAY(),Holidays)-1))</f>
        <v/>
      </c>
      <c r="W812" s="17">
        <f>IF($L812="","",COUNT($L812:$Q812))</f>
        <v/>
      </c>
      <c r="X812" s="18">
        <f>IF($W812="","",INT(INDEX($L812:$Q812,$W812)))</f>
        <v/>
      </c>
      <c r="Y812" s="18">
        <f>IF(OR($W812="",$W812=6),"",WORKDAY($X812,CHOOSE($W812,3,3,2,2,3),Holidays))</f>
        <v/>
      </c>
      <c r="Z812" s="17">
        <f>IF(OR($W812="",$W812=6),"",CHOOSE($W812,"1st Email Follow-up","2nd Email Follow-up","Escalate Local Office","Escalate to CBE","Escalate to Roxanne"))</f>
        <v/>
      </c>
    </row>
    <row r="813" spans="18:26">
      <c r="R813" s="15"/>
      <c r="S813" s="16"/>
      <c r="T813" s="17">
        <f>IF(AND(COUNTA($A813:$K813)=0,$L813=""),"",IF($S813="Paid","PAID",IF($S813="Closed","CLOSED",IF($W813="","",IF($W813=6,"ESCALATED TO ROXANNE",IF(TODAY()&gt;$Y813,"OVERDUE",IF($Y813&lt;=WORKDAY(TODAY(),1,Holidays),"DUE TOMORROW",IF($W813=4,"ESCALATED TO LOCAL OFFICE",IF($W813=5,"ESCALATED TO CBE",IF($X813=TODAY(),"EMAIL SENT","MONITORING"))))))))))</f>
        <v/>
      </c>
      <c r="U813" s="17">
        <f>IF($T813="",IF(AND(COUNTA($A813:$K813)&gt;0,$L813=""),"Awaiting Collection Email time stamp.",""),IF(OR($T813="PAID",$T813="CLOSED"),IF($T813="PAID","Account paid. Action completed.","Account closed. No further action required."),CHOOSE($W813,"Collection Email","1st Email Follow-up","2nd Email Follow-up","Escalation to Local Office","Escalation to CBE","Escalation to Roxanne")&amp;" sent "&amp;TEXT($X813,"dd-mmm")&amp;". "&amp;IF($W813=6,"Final escalation completed.",IF($T813="OVERDUE","Next: "&amp;$Z813&amp;" was due "&amp;TEXT($Y813,"dd-mmm")&amp;" - "&amp;(NETWORKDAYS($Y813,TODAY(),Holidays)-1)&amp;" business day(s) late. Send now.",IF($T813="DUE TOMORROW","Next: "&amp;$Z813&amp;IF($Y813&lt;=TODAY()," is due TODAY ("," is due next business day (")&amp;TEXT($Y813,"dd-mmm")&amp;").","Next: "&amp;$Z813&amp;" due "&amp;TEXT($Y813,"dd-mmm")&amp;" ("&amp;(NETWORKDAYS(TODAY(),$Y813,Holidays)-1)&amp;" business day(s) left).")))))</f>
        <v/>
      </c>
      <c r="V813" s="17">
        <f>IF($W813="","",CHOOSE($W813,"Collection Email","1st Follow-up","2nd Follow-up","Local Office","CBE","Roxanne")&amp;IF($W813=6," - Final"," - Day "&amp;MAX(0,NETWORKDAYS($X813,TODAY(),Holidays)-1)&amp;" of "&amp;CHOOSE($W813,3,3,2,2,3))&amp;" | Total Day "&amp;MAX(0,NETWORKDAYS($L813,TODAY(),Holidays)-1))</f>
        <v/>
      </c>
      <c r="W813" s="17">
        <f>IF($L813="","",COUNT($L813:$Q813))</f>
        <v/>
      </c>
      <c r="X813" s="18">
        <f>IF($W813="","",INT(INDEX($L813:$Q813,$W813)))</f>
        <v/>
      </c>
      <c r="Y813" s="18">
        <f>IF(OR($W813="",$W813=6),"",WORKDAY($X813,CHOOSE($W813,3,3,2,2,3),Holidays))</f>
        <v/>
      </c>
      <c r="Z813" s="17">
        <f>IF(OR($W813="",$W813=6),"",CHOOSE($W813,"1st Email Follow-up","2nd Email Follow-up","Escalate Local Office","Escalate to CBE","Escalate to Roxanne"))</f>
        <v/>
      </c>
    </row>
    <row r="814" spans="18:26">
      <c r="R814" s="15"/>
      <c r="S814" s="16"/>
      <c r="T814" s="17">
        <f>IF(AND(COUNTA($A814:$K814)=0,$L814=""),"",IF($S814="Paid","PAID",IF($S814="Closed","CLOSED",IF($W814="","",IF($W814=6,"ESCALATED TO ROXANNE",IF(TODAY()&gt;$Y814,"OVERDUE",IF($Y814&lt;=WORKDAY(TODAY(),1,Holidays),"DUE TOMORROW",IF($W814=4,"ESCALATED TO LOCAL OFFICE",IF($W814=5,"ESCALATED TO CBE",IF($X814=TODAY(),"EMAIL SENT","MONITORING"))))))))))</f>
        <v/>
      </c>
      <c r="U814" s="17">
        <f>IF($T814="",IF(AND(COUNTA($A814:$K814)&gt;0,$L814=""),"Awaiting Collection Email time stamp.",""),IF(OR($T814="PAID",$T814="CLOSED"),IF($T814="PAID","Account paid. Action completed.","Account closed. No further action required."),CHOOSE($W814,"Collection Email","1st Email Follow-up","2nd Email Follow-up","Escalation to Local Office","Escalation to CBE","Escalation to Roxanne")&amp;" sent "&amp;TEXT($X814,"dd-mmm")&amp;". "&amp;IF($W814=6,"Final escalation completed.",IF($T814="OVERDUE","Next: "&amp;$Z814&amp;" was due "&amp;TEXT($Y814,"dd-mmm")&amp;" - "&amp;(NETWORKDAYS($Y814,TODAY(),Holidays)-1)&amp;" business day(s) late. Send now.",IF($T814="DUE TOMORROW","Next: "&amp;$Z814&amp;IF($Y814&lt;=TODAY()," is due TODAY ("," is due next business day (")&amp;TEXT($Y814,"dd-mmm")&amp;").","Next: "&amp;$Z814&amp;" due "&amp;TEXT($Y814,"dd-mmm")&amp;" ("&amp;(NETWORKDAYS(TODAY(),$Y814,Holidays)-1)&amp;" business day(s) left).")))))</f>
        <v/>
      </c>
      <c r="V814" s="17">
        <f>IF($W814="","",CHOOSE($W814,"Collection Email","1st Follow-up","2nd Follow-up","Local Office","CBE","Roxanne")&amp;IF($W814=6," - Final"," - Day "&amp;MAX(0,NETWORKDAYS($X814,TODAY(),Holidays)-1)&amp;" of "&amp;CHOOSE($W814,3,3,2,2,3))&amp;" | Total Day "&amp;MAX(0,NETWORKDAYS($L814,TODAY(),Holidays)-1))</f>
        <v/>
      </c>
      <c r="W814" s="17">
        <f>IF($L814="","",COUNT($L814:$Q814))</f>
        <v/>
      </c>
      <c r="X814" s="18">
        <f>IF($W814="","",INT(INDEX($L814:$Q814,$W814)))</f>
        <v/>
      </c>
      <c r="Y814" s="18">
        <f>IF(OR($W814="",$W814=6),"",WORKDAY($X814,CHOOSE($W814,3,3,2,2,3),Holidays))</f>
        <v/>
      </c>
      <c r="Z814" s="17">
        <f>IF(OR($W814="",$W814=6),"",CHOOSE($W814,"1st Email Follow-up","2nd Email Follow-up","Escalate Local Office","Escalate to CBE","Escalate to Roxanne"))</f>
        <v/>
      </c>
    </row>
    <row r="815" spans="18:26">
      <c r="R815" s="15"/>
      <c r="S815" s="16"/>
      <c r="T815" s="17">
        <f>IF(AND(COUNTA($A815:$K815)=0,$L815=""),"",IF($S815="Paid","PAID",IF($S815="Closed","CLOSED",IF($W815="","",IF($W815=6,"ESCALATED TO ROXANNE",IF(TODAY()&gt;$Y815,"OVERDUE",IF($Y815&lt;=WORKDAY(TODAY(),1,Holidays),"DUE TOMORROW",IF($W815=4,"ESCALATED TO LOCAL OFFICE",IF($W815=5,"ESCALATED TO CBE",IF($X815=TODAY(),"EMAIL SENT","MONITORING"))))))))))</f>
        <v/>
      </c>
      <c r="U815" s="17">
        <f>IF($T815="",IF(AND(COUNTA($A815:$K815)&gt;0,$L815=""),"Awaiting Collection Email time stamp.",""),IF(OR($T815="PAID",$T815="CLOSED"),IF($T815="PAID","Account paid. Action completed.","Account closed. No further action required."),CHOOSE($W815,"Collection Email","1st Email Follow-up","2nd Email Follow-up","Escalation to Local Office","Escalation to CBE","Escalation to Roxanne")&amp;" sent "&amp;TEXT($X815,"dd-mmm")&amp;". "&amp;IF($W815=6,"Final escalation completed.",IF($T815="OVERDUE","Next: "&amp;$Z815&amp;" was due "&amp;TEXT($Y815,"dd-mmm")&amp;" - "&amp;(NETWORKDAYS($Y815,TODAY(),Holidays)-1)&amp;" business day(s) late. Send now.",IF($T815="DUE TOMORROW","Next: "&amp;$Z815&amp;IF($Y815&lt;=TODAY()," is due TODAY ("," is due next business day (")&amp;TEXT($Y815,"dd-mmm")&amp;").","Next: "&amp;$Z815&amp;" due "&amp;TEXT($Y815,"dd-mmm")&amp;" ("&amp;(NETWORKDAYS(TODAY(),$Y815,Holidays)-1)&amp;" business day(s) left).")))))</f>
        <v/>
      </c>
      <c r="V815" s="17">
        <f>IF($W815="","",CHOOSE($W815,"Collection Email","1st Follow-up","2nd Follow-up","Local Office","CBE","Roxanne")&amp;IF($W815=6," - Final"," - Day "&amp;MAX(0,NETWORKDAYS($X815,TODAY(),Holidays)-1)&amp;" of "&amp;CHOOSE($W815,3,3,2,2,3))&amp;" | Total Day "&amp;MAX(0,NETWORKDAYS($L815,TODAY(),Holidays)-1))</f>
        <v/>
      </c>
      <c r="W815" s="17">
        <f>IF($L815="","",COUNT($L815:$Q815))</f>
        <v/>
      </c>
      <c r="X815" s="18">
        <f>IF($W815="","",INT(INDEX($L815:$Q815,$W815)))</f>
        <v/>
      </c>
      <c r="Y815" s="18">
        <f>IF(OR($W815="",$W815=6),"",WORKDAY($X815,CHOOSE($W815,3,3,2,2,3),Holidays))</f>
        <v/>
      </c>
      <c r="Z815" s="17">
        <f>IF(OR($W815="",$W815=6),"",CHOOSE($W815,"1st Email Follow-up","2nd Email Follow-up","Escalate Local Office","Escalate to CBE","Escalate to Roxanne"))</f>
        <v/>
      </c>
    </row>
    <row r="816" spans="18:26">
      <c r="R816" s="15"/>
      <c r="S816" s="16"/>
      <c r="T816" s="17">
        <f>IF(AND(COUNTA($A816:$K816)=0,$L816=""),"",IF($S816="Paid","PAID",IF($S816="Closed","CLOSED",IF($W816="","",IF($W816=6,"ESCALATED TO ROXANNE",IF(TODAY()&gt;$Y816,"OVERDUE",IF($Y816&lt;=WORKDAY(TODAY(),1,Holidays),"DUE TOMORROW",IF($W816=4,"ESCALATED TO LOCAL OFFICE",IF($W816=5,"ESCALATED TO CBE",IF($X816=TODAY(),"EMAIL SENT","MONITORING"))))))))))</f>
        <v/>
      </c>
      <c r="U816" s="17">
        <f>IF($T816="",IF(AND(COUNTA($A816:$K816)&gt;0,$L816=""),"Awaiting Collection Email time stamp.",""),IF(OR($T816="PAID",$T816="CLOSED"),IF($T816="PAID","Account paid. Action completed.","Account closed. No further action required."),CHOOSE($W816,"Collection Email","1st Email Follow-up","2nd Email Follow-up","Escalation to Local Office","Escalation to CBE","Escalation to Roxanne")&amp;" sent "&amp;TEXT($X816,"dd-mmm")&amp;". "&amp;IF($W816=6,"Final escalation completed.",IF($T816="OVERDUE","Next: "&amp;$Z816&amp;" was due "&amp;TEXT($Y816,"dd-mmm")&amp;" - "&amp;(NETWORKDAYS($Y816,TODAY(),Holidays)-1)&amp;" business day(s) late. Send now.",IF($T816="DUE TOMORROW","Next: "&amp;$Z816&amp;IF($Y816&lt;=TODAY()," is due TODAY ("," is due next business day (")&amp;TEXT($Y816,"dd-mmm")&amp;").","Next: "&amp;$Z816&amp;" due "&amp;TEXT($Y816,"dd-mmm")&amp;" ("&amp;(NETWORKDAYS(TODAY(),$Y816,Holidays)-1)&amp;" business day(s) left).")))))</f>
        <v/>
      </c>
      <c r="V816" s="17">
        <f>IF($W816="","",CHOOSE($W816,"Collection Email","1st Follow-up","2nd Follow-up","Local Office","CBE","Roxanne")&amp;IF($W816=6," - Final"," - Day "&amp;MAX(0,NETWORKDAYS($X816,TODAY(),Holidays)-1)&amp;" of "&amp;CHOOSE($W816,3,3,2,2,3))&amp;" | Total Day "&amp;MAX(0,NETWORKDAYS($L816,TODAY(),Holidays)-1))</f>
        <v/>
      </c>
      <c r="W816" s="17">
        <f>IF($L816="","",COUNT($L816:$Q816))</f>
        <v/>
      </c>
      <c r="X816" s="18">
        <f>IF($W816="","",INT(INDEX($L816:$Q816,$W816)))</f>
        <v/>
      </c>
      <c r="Y816" s="18">
        <f>IF(OR($W816="",$W816=6),"",WORKDAY($X816,CHOOSE($W816,3,3,2,2,3),Holidays))</f>
        <v/>
      </c>
      <c r="Z816" s="17">
        <f>IF(OR($W816="",$W816=6),"",CHOOSE($W816,"1st Email Follow-up","2nd Email Follow-up","Escalate Local Office","Escalate to CBE","Escalate to Roxanne"))</f>
        <v/>
      </c>
    </row>
    <row r="817" spans="18:26">
      <c r="R817" s="15"/>
      <c r="S817" s="16"/>
      <c r="T817" s="17">
        <f>IF(AND(COUNTA($A817:$K817)=0,$L817=""),"",IF($S817="Paid","PAID",IF($S817="Closed","CLOSED",IF($W817="","",IF($W817=6,"ESCALATED TO ROXANNE",IF(TODAY()&gt;$Y817,"OVERDUE",IF($Y817&lt;=WORKDAY(TODAY(),1,Holidays),"DUE TOMORROW",IF($W817=4,"ESCALATED TO LOCAL OFFICE",IF($W817=5,"ESCALATED TO CBE",IF($X817=TODAY(),"EMAIL SENT","MONITORING"))))))))))</f>
        <v/>
      </c>
      <c r="U817" s="17">
        <f>IF($T817="",IF(AND(COUNTA($A817:$K817)&gt;0,$L817=""),"Awaiting Collection Email time stamp.",""),IF(OR($T817="PAID",$T817="CLOSED"),IF($T817="PAID","Account paid. Action completed.","Account closed. No further action required."),CHOOSE($W817,"Collection Email","1st Email Follow-up","2nd Email Follow-up","Escalation to Local Office","Escalation to CBE","Escalation to Roxanne")&amp;" sent "&amp;TEXT($X817,"dd-mmm")&amp;". "&amp;IF($W817=6,"Final escalation completed.",IF($T817="OVERDUE","Next: "&amp;$Z817&amp;" was due "&amp;TEXT($Y817,"dd-mmm")&amp;" - "&amp;(NETWORKDAYS($Y817,TODAY(),Holidays)-1)&amp;" business day(s) late. Send now.",IF($T817="DUE TOMORROW","Next: "&amp;$Z817&amp;IF($Y817&lt;=TODAY()," is due TODAY ("," is due next business day (")&amp;TEXT($Y817,"dd-mmm")&amp;").","Next: "&amp;$Z817&amp;" due "&amp;TEXT($Y817,"dd-mmm")&amp;" ("&amp;(NETWORKDAYS(TODAY(),$Y817,Holidays)-1)&amp;" business day(s) left).")))))</f>
        <v/>
      </c>
      <c r="V817" s="17">
        <f>IF($W817="","",CHOOSE($W817,"Collection Email","1st Follow-up","2nd Follow-up","Local Office","CBE","Roxanne")&amp;IF($W817=6," - Final"," - Day "&amp;MAX(0,NETWORKDAYS($X817,TODAY(),Holidays)-1)&amp;" of "&amp;CHOOSE($W817,3,3,2,2,3))&amp;" | Total Day "&amp;MAX(0,NETWORKDAYS($L817,TODAY(),Holidays)-1))</f>
        <v/>
      </c>
      <c r="W817" s="17">
        <f>IF($L817="","",COUNT($L817:$Q817))</f>
        <v/>
      </c>
      <c r="X817" s="18">
        <f>IF($W817="","",INT(INDEX($L817:$Q817,$W817)))</f>
        <v/>
      </c>
      <c r="Y817" s="18">
        <f>IF(OR($W817="",$W817=6),"",WORKDAY($X817,CHOOSE($W817,3,3,2,2,3),Holidays))</f>
        <v/>
      </c>
      <c r="Z817" s="17">
        <f>IF(OR($W817="",$W817=6),"",CHOOSE($W817,"1st Email Follow-up","2nd Email Follow-up","Escalate Local Office","Escalate to CBE","Escalate to Roxanne"))</f>
        <v/>
      </c>
    </row>
    <row r="818" spans="18:26">
      <c r="R818" s="15"/>
      <c r="S818" s="16"/>
      <c r="T818" s="17">
        <f>IF(AND(COUNTA($A818:$K818)=0,$L818=""),"",IF($S818="Paid","PAID",IF($S818="Closed","CLOSED",IF($W818="","",IF($W818=6,"ESCALATED TO ROXANNE",IF(TODAY()&gt;$Y818,"OVERDUE",IF($Y818&lt;=WORKDAY(TODAY(),1,Holidays),"DUE TOMORROW",IF($W818=4,"ESCALATED TO LOCAL OFFICE",IF($W818=5,"ESCALATED TO CBE",IF($X818=TODAY(),"EMAIL SENT","MONITORING"))))))))))</f>
        <v/>
      </c>
      <c r="U818" s="17">
        <f>IF($T818="",IF(AND(COUNTA($A818:$K818)&gt;0,$L818=""),"Awaiting Collection Email time stamp.",""),IF(OR($T818="PAID",$T818="CLOSED"),IF($T818="PAID","Account paid. Action completed.","Account closed. No further action required."),CHOOSE($W818,"Collection Email","1st Email Follow-up","2nd Email Follow-up","Escalation to Local Office","Escalation to CBE","Escalation to Roxanne")&amp;" sent "&amp;TEXT($X818,"dd-mmm")&amp;". "&amp;IF($W818=6,"Final escalation completed.",IF($T818="OVERDUE","Next: "&amp;$Z818&amp;" was due "&amp;TEXT($Y818,"dd-mmm")&amp;" - "&amp;(NETWORKDAYS($Y818,TODAY(),Holidays)-1)&amp;" business day(s) late. Send now.",IF($T818="DUE TOMORROW","Next: "&amp;$Z818&amp;IF($Y818&lt;=TODAY()," is due TODAY ("," is due next business day (")&amp;TEXT($Y818,"dd-mmm")&amp;").","Next: "&amp;$Z818&amp;" due "&amp;TEXT($Y818,"dd-mmm")&amp;" ("&amp;(NETWORKDAYS(TODAY(),$Y818,Holidays)-1)&amp;" business day(s) left).")))))</f>
        <v/>
      </c>
      <c r="V818" s="17">
        <f>IF($W818="","",CHOOSE($W818,"Collection Email","1st Follow-up","2nd Follow-up","Local Office","CBE","Roxanne")&amp;IF($W818=6," - Final"," - Day "&amp;MAX(0,NETWORKDAYS($X818,TODAY(),Holidays)-1)&amp;" of "&amp;CHOOSE($W818,3,3,2,2,3))&amp;" | Total Day "&amp;MAX(0,NETWORKDAYS($L818,TODAY(),Holidays)-1))</f>
        <v/>
      </c>
      <c r="W818" s="17">
        <f>IF($L818="","",COUNT($L818:$Q818))</f>
        <v/>
      </c>
      <c r="X818" s="18">
        <f>IF($W818="","",INT(INDEX($L818:$Q818,$W818)))</f>
        <v/>
      </c>
      <c r="Y818" s="18">
        <f>IF(OR($W818="",$W818=6),"",WORKDAY($X818,CHOOSE($W818,3,3,2,2,3),Holidays))</f>
        <v/>
      </c>
      <c r="Z818" s="17">
        <f>IF(OR($W818="",$W818=6),"",CHOOSE($W818,"1st Email Follow-up","2nd Email Follow-up","Escalate Local Office","Escalate to CBE","Escalate to Roxanne"))</f>
        <v/>
      </c>
    </row>
    <row r="819" spans="18:26">
      <c r="R819" s="15"/>
      <c r="S819" s="16"/>
      <c r="T819" s="17">
        <f>IF(AND(COUNTA($A819:$K819)=0,$L819=""),"",IF($S819="Paid","PAID",IF($S819="Closed","CLOSED",IF($W819="","",IF($W819=6,"ESCALATED TO ROXANNE",IF(TODAY()&gt;$Y819,"OVERDUE",IF($Y819&lt;=WORKDAY(TODAY(),1,Holidays),"DUE TOMORROW",IF($W819=4,"ESCALATED TO LOCAL OFFICE",IF($W819=5,"ESCALATED TO CBE",IF($X819=TODAY(),"EMAIL SENT","MONITORING"))))))))))</f>
        <v/>
      </c>
      <c r="U819" s="17">
        <f>IF($T819="",IF(AND(COUNTA($A819:$K819)&gt;0,$L819=""),"Awaiting Collection Email time stamp.",""),IF(OR($T819="PAID",$T819="CLOSED"),IF($T819="PAID","Account paid. Action completed.","Account closed. No further action required."),CHOOSE($W819,"Collection Email","1st Email Follow-up","2nd Email Follow-up","Escalation to Local Office","Escalation to CBE","Escalation to Roxanne")&amp;" sent "&amp;TEXT($X819,"dd-mmm")&amp;". "&amp;IF($W819=6,"Final escalation completed.",IF($T819="OVERDUE","Next: "&amp;$Z819&amp;" was due "&amp;TEXT($Y819,"dd-mmm")&amp;" - "&amp;(NETWORKDAYS($Y819,TODAY(),Holidays)-1)&amp;" business day(s) late. Send now.",IF($T819="DUE TOMORROW","Next: "&amp;$Z819&amp;IF($Y819&lt;=TODAY()," is due TODAY ("," is due next business day (")&amp;TEXT($Y819,"dd-mmm")&amp;").","Next: "&amp;$Z819&amp;" due "&amp;TEXT($Y819,"dd-mmm")&amp;" ("&amp;(NETWORKDAYS(TODAY(),$Y819,Holidays)-1)&amp;" business day(s) left).")))))</f>
        <v/>
      </c>
      <c r="V819" s="17">
        <f>IF($W819="","",CHOOSE($W819,"Collection Email","1st Follow-up","2nd Follow-up","Local Office","CBE","Roxanne")&amp;IF($W819=6," - Final"," - Day "&amp;MAX(0,NETWORKDAYS($X819,TODAY(),Holidays)-1)&amp;" of "&amp;CHOOSE($W819,3,3,2,2,3))&amp;" | Total Day "&amp;MAX(0,NETWORKDAYS($L819,TODAY(),Holidays)-1))</f>
        <v/>
      </c>
      <c r="W819" s="17">
        <f>IF($L819="","",COUNT($L819:$Q819))</f>
        <v/>
      </c>
      <c r="X819" s="18">
        <f>IF($W819="","",INT(INDEX($L819:$Q819,$W819)))</f>
        <v/>
      </c>
      <c r="Y819" s="18">
        <f>IF(OR($W819="",$W819=6),"",WORKDAY($X819,CHOOSE($W819,3,3,2,2,3),Holidays))</f>
        <v/>
      </c>
      <c r="Z819" s="17">
        <f>IF(OR($W819="",$W819=6),"",CHOOSE($W819,"1st Email Follow-up","2nd Email Follow-up","Escalate Local Office","Escalate to CBE","Escalate to Roxanne"))</f>
        <v/>
      </c>
    </row>
    <row r="820" spans="18:26">
      <c r="R820" s="15"/>
      <c r="S820" s="16"/>
      <c r="T820" s="17">
        <f>IF(AND(COUNTA($A820:$K820)=0,$L820=""),"",IF($S820="Paid","PAID",IF($S820="Closed","CLOSED",IF($W820="","",IF($W820=6,"ESCALATED TO ROXANNE",IF(TODAY()&gt;$Y820,"OVERDUE",IF($Y820&lt;=WORKDAY(TODAY(),1,Holidays),"DUE TOMORROW",IF($W820=4,"ESCALATED TO LOCAL OFFICE",IF($W820=5,"ESCALATED TO CBE",IF($X820=TODAY(),"EMAIL SENT","MONITORING"))))))))))</f>
        <v/>
      </c>
      <c r="U820" s="17">
        <f>IF($T820="",IF(AND(COUNTA($A820:$K820)&gt;0,$L820=""),"Awaiting Collection Email time stamp.",""),IF(OR($T820="PAID",$T820="CLOSED"),IF($T820="PAID","Account paid. Action completed.","Account closed. No further action required."),CHOOSE($W820,"Collection Email","1st Email Follow-up","2nd Email Follow-up","Escalation to Local Office","Escalation to CBE","Escalation to Roxanne")&amp;" sent "&amp;TEXT($X820,"dd-mmm")&amp;". "&amp;IF($W820=6,"Final escalation completed.",IF($T820="OVERDUE","Next: "&amp;$Z820&amp;" was due "&amp;TEXT($Y820,"dd-mmm")&amp;" - "&amp;(NETWORKDAYS($Y820,TODAY(),Holidays)-1)&amp;" business day(s) late. Send now.",IF($T820="DUE TOMORROW","Next: "&amp;$Z820&amp;IF($Y820&lt;=TODAY()," is due TODAY ("," is due next business day (")&amp;TEXT($Y820,"dd-mmm")&amp;").","Next: "&amp;$Z820&amp;" due "&amp;TEXT($Y820,"dd-mmm")&amp;" ("&amp;(NETWORKDAYS(TODAY(),$Y820,Holidays)-1)&amp;" business day(s) left).")))))</f>
        <v/>
      </c>
      <c r="V820" s="17">
        <f>IF($W820="","",CHOOSE($W820,"Collection Email","1st Follow-up","2nd Follow-up","Local Office","CBE","Roxanne")&amp;IF($W820=6," - Final"," - Day "&amp;MAX(0,NETWORKDAYS($X820,TODAY(),Holidays)-1)&amp;" of "&amp;CHOOSE($W820,3,3,2,2,3))&amp;" | Total Day "&amp;MAX(0,NETWORKDAYS($L820,TODAY(),Holidays)-1))</f>
        <v/>
      </c>
      <c r="W820" s="17">
        <f>IF($L820="","",COUNT($L820:$Q820))</f>
        <v/>
      </c>
      <c r="X820" s="18">
        <f>IF($W820="","",INT(INDEX($L820:$Q820,$W820)))</f>
        <v/>
      </c>
      <c r="Y820" s="18">
        <f>IF(OR($W820="",$W820=6),"",WORKDAY($X820,CHOOSE($W820,3,3,2,2,3),Holidays))</f>
        <v/>
      </c>
      <c r="Z820" s="17">
        <f>IF(OR($W820="",$W820=6),"",CHOOSE($W820,"1st Email Follow-up","2nd Email Follow-up","Escalate Local Office","Escalate to CBE","Escalate to Roxanne"))</f>
        <v/>
      </c>
    </row>
    <row r="821" spans="18:26">
      <c r="R821" s="15"/>
      <c r="S821" s="16"/>
      <c r="T821" s="17">
        <f>IF(AND(COUNTA($A821:$K821)=0,$L821=""),"",IF($S821="Paid","PAID",IF($S821="Closed","CLOSED",IF($W821="","",IF($W821=6,"ESCALATED TO ROXANNE",IF(TODAY()&gt;$Y821,"OVERDUE",IF($Y821&lt;=WORKDAY(TODAY(),1,Holidays),"DUE TOMORROW",IF($W821=4,"ESCALATED TO LOCAL OFFICE",IF($W821=5,"ESCALATED TO CBE",IF($X821=TODAY(),"EMAIL SENT","MONITORING"))))))))))</f>
        <v/>
      </c>
      <c r="U821" s="17">
        <f>IF($T821="",IF(AND(COUNTA($A821:$K821)&gt;0,$L821=""),"Awaiting Collection Email time stamp.",""),IF(OR($T821="PAID",$T821="CLOSED"),IF($T821="PAID","Account paid. Action completed.","Account closed. No further action required."),CHOOSE($W821,"Collection Email","1st Email Follow-up","2nd Email Follow-up","Escalation to Local Office","Escalation to CBE","Escalation to Roxanne")&amp;" sent "&amp;TEXT($X821,"dd-mmm")&amp;". "&amp;IF($W821=6,"Final escalation completed.",IF($T821="OVERDUE","Next: "&amp;$Z821&amp;" was due "&amp;TEXT($Y821,"dd-mmm")&amp;" - "&amp;(NETWORKDAYS($Y821,TODAY(),Holidays)-1)&amp;" business day(s) late. Send now.",IF($T821="DUE TOMORROW","Next: "&amp;$Z821&amp;IF($Y821&lt;=TODAY()," is due TODAY ("," is due next business day (")&amp;TEXT($Y821,"dd-mmm")&amp;").","Next: "&amp;$Z821&amp;" due "&amp;TEXT($Y821,"dd-mmm")&amp;" ("&amp;(NETWORKDAYS(TODAY(),$Y821,Holidays)-1)&amp;" business day(s) left).")))))</f>
        <v/>
      </c>
      <c r="V821" s="17">
        <f>IF($W821="","",CHOOSE($W821,"Collection Email","1st Follow-up","2nd Follow-up","Local Office","CBE","Roxanne")&amp;IF($W821=6," - Final"," - Day "&amp;MAX(0,NETWORKDAYS($X821,TODAY(),Holidays)-1)&amp;" of "&amp;CHOOSE($W821,3,3,2,2,3))&amp;" | Total Day "&amp;MAX(0,NETWORKDAYS($L821,TODAY(),Holidays)-1))</f>
        <v/>
      </c>
      <c r="W821" s="17">
        <f>IF($L821="","",COUNT($L821:$Q821))</f>
        <v/>
      </c>
      <c r="X821" s="18">
        <f>IF($W821="","",INT(INDEX($L821:$Q821,$W821)))</f>
        <v/>
      </c>
      <c r="Y821" s="18">
        <f>IF(OR($W821="",$W821=6),"",WORKDAY($X821,CHOOSE($W821,3,3,2,2,3),Holidays))</f>
        <v/>
      </c>
      <c r="Z821" s="17">
        <f>IF(OR($W821="",$W821=6),"",CHOOSE($W821,"1st Email Follow-up","2nd Email Follow-up","Escalate Local Office","Escalate to CBE","Escalate to Roxanne"))</f>
        <v/>
      </c>
    </row>
    <row r="822" spans="18:26">
      <c r="R822" s="15"/>
      <c r="S822" s="16"/>
      <c r="T822" s="17">
        <f>IF(AND(COUNTA($A822:$K822)=0,$L822=""),"",IF($S822="Paid","PAID",IF($S822="Closed","CLOSED",IF($W822="","",IF($W822=6,"ESCALATED TO ROXANNE",IF(TODAY()&gt;$Y822,"OVERDUE",IF($Y822&lt;=WORKDAY(TODAY(),1,Holidays),"DUE TOMORROW",IF($W822=4,"ESCALATED TO LOCAL OFFICE",IF($W822=5,"ESCALATED TO CBE",IF($X822=TODAY(),"EMAIL SENT","MONITORING"))))))))))</f>
        <v/>
      </c>
      <c r="U822" s="17">
        <f>IF($T822="",IF(AND(COUNTA($A822:$K822)&gt;0,$L822=""),"Awaiting Collection Email time stamp.",""),IF(OR($T822="PAID",$T822="CLOSED"),IF($T822="PAID","Account paid. Action completed.","Account closed. No further action required."),CHOOSE($W822,"Collection Email","1st Email Follow-up","2nd Email Follow-up","Escalation to Local Office","Escalation to CBE","Escalation to Roxanne")&amp;" sent "&amp;TEXT($X822,"dd-mmm")&amp;". "&amp;IF($W822=6,"Final escalation completed.",IF($T822="OVERDUE","Next: "&amp;$Z822&amp;" was due "&amp;TEXT($Y822,"dd-mmm")&amp;" - "&amp;(NETWORKDAYS($Y822,TODAY(),Holidays)-1)&amp;" business day(s) late. Send now.",IF($T822="DUE TOMORROW","Next: "&amp;$Z822&amp;IF($Y822&lt;=TODAY()," is due TODAY ("," is due next business day (")&amp;TEXT($Y822,"dd-mmm")&amp;").","Next: "&amp;$Z822&amp;" due "&amp;TEXT($Y822,"dd-mmm")&amp;" ("&amp;(NETWORKDAYS(TODAY(),$Y822,Holidays)-1)&amp;" business day(s) left).")))))</f>
        <v/>
      </c>
      <c r="V822" s="17">
        <f>IF($W822="","",CHOOSE($W822,"Collection Email","1st Follow-up","2nd Follow-up","Local Office","CBE","Roxanne")&amp;IF($W822=6," - Final"," - Day "&amp;MAX(0,NETWORKDAYS($X822,TODAY(),Holidays)-1)&amp;" of "&amp;CHOOSE($W822,3,3,2,2,3))&amp;" | Total Day "&amp;MAX(0,NETWORKDAYS($L822,TODAY(),Holidays)-1))</f>
        <v/>
      </c>
      <c r="W822" s="17">
        <f>IF($L822="","",COUNT($L822:$Q822))</f>
        <v/>
      </c>
      <c r="X822" s="18">
        <f>IF($W822="","",INT(INDEX($L822:$Q822,$W822)))</f>
        <v/>
      </c>
      <c r="Y822" s="18">
        <f>IF(OR($W822="",$W822=6),"",WORKDAY($X822,CHOOSE($W822,3,3,2,2,3),Holidays))</f>
        <v/>
      </c>
      <c r="Z822" s="17">
        <f>IF(OR($W822="",$W822=6),"",CHOOSE($W822,"1st Email Follow-up","2nd Email Follow-up","Escalate Local Office","Escalate to CBE","Escalate to Roxanne"))</f>
        <v/>
      </c>
    </row>
    <row r="823" spans="18:26">
      <c r="R823" s="15"/>
      <c r="S823" s="16"/>
      <c r="T823" s="17">
        <f>IF(AND(COUNTA($A823:$K823)=0,$L823=""),"",IF($S823="Paid","PAID",IF($S823="Closed","CLOSED",IF($W823="","",IF($W823=6,"ESCALATED TO ROXANNE",IF(TODAY()&gt;$Y823,"OVERDUE",IF($Y823&lt;=WORKDAY(TODAY(),1,Holidays),"DUE TOMORROW",IF($W823=4,"ESCALATED TO LOCAL OFFICE",IF($W823=5,"ESCALATED TO CBE",IF($X823=TODAY(),"EMAIL SENT","MONITORING"))))))))))</f>
        <v/>
      </c>
      <c r="U823" s="17">
        <f>IF($T823="",IF(AND(COUNTA($A823:$K823)&gt;0,$L823=""),"Awaiting Collection Email time stamp.",""),IF(OR($T823="PAID",$T823="CLOSED"),IF($T823="PAID","Account paid. Action completed.","Account closed. No further action required."),CHOOSE($W823,"Collection Email","1st Email Follow-up","2nd Email Follow-up","Escalation to Local Office","Escalation to CBE","Escalation to Roxanne")&amp;" sent "&amp;TEXT($X823,"dd-mmm")&amp;". "&amp;IF($W823=6,"Final escalation completed.",IF($T823="OVERDUE","Next: "&amp;$Z823&amp;" was due "&amp;TEXT($Y823,"dd-mmm")&amp;" - "&amp;(NETWORKDAYS($Y823,TODAY(),Holidays)-1)&amp;" business day(s) late. Send now.",IF($T823="DUE TOMORROW","Next: "&amp;$Z823&amp;IF($Y823&lt;=TODAY()," is due TODAY ("," is due next business day (")&amp;TEXT($Y823,"dd-mmm")&amp;").","Next: "&amp;$Z823&amp;" due "&amp;TEXT($Y823,"dd-mmm")&amp;" ("&amp;(NETWORKDAYS(TODAY(),$Y823,Holidays)-1)&amp;" business day(s) left).")))))</f>
        <v/>
      </c>
      <c r="V823" s="17">
        <f>IF($W823="","",CHOOSE($W823,"Collection Email","1st Follow-up","2nd Follow-up","Local Office","CBE","Roxanne")&amp;IF($W823=6," - Final"," - Day "&amp;MAX(0,NETWORKDAYS($X823,TODAY(),Holidays)-1)&amp;" of "&amp;CHOOSE($W823,3,3,2,2,3))&amp;" | Total Day "&amp;MAX(0,NETWORKDAYS($L823,TODAY(),Holidays)-1))</f>
        <v/>
      </c>
      <c r="W823" s="17">
        <f>IF($L823="","",COUNT($L823:$Q823))</f>
        <v/>
      </c>
      <c r="X823" s="18">
        <f>IF($W823="","",INT(INDEX($L823:$Q823,$W823)))</f>
        <v/>
      </c>
      <c r="Y823" s="18">
        <f>IF(OR($W823="",$W823=6),"",WORKDAY($X823,CHOOSE($W823,3,3,2,2,3),Holidays))</f>
        <v/>
      </c>
      <c r="Z823" s="17">
        <f>IF(OR($W823="",$W823=6),"",CHOOSE($W823,"1st Email Follow-up","2nd Email Follow-up","Escalate Local Office","Escalate to CBE","Escalate to Roxanne"))</f>
        <v/>
      </c>
    </row>
    <row r="824" spans="18:26">
      <c r="R824" s="15"/>
      <c r="S824" s="16"/>
      <c r="T824" s="17">
        <f>IF(AND(COUNTA($A824:$K824)=0,$L824=""),"",IF($S824="Paid","PAID",IF($S824="Closed","CLOSED",IF($W824="","",IF($W824=6,"ESCALATED TO ROXANNE",IF(TODAY()&gt;$Y824,"OVERDUE",IF($Y824&lt;=WORKDAY(TODAY(),1,Holidays),"DUE TOMORROW",IF($W824=4,"ESCALATED TO LOCAL OFFICE",IF($W824=5,"ESCALATED TO CBE",IF($X824=TODAY(),"EMAIL SENT","MONITORING"))))))))))</f>
        <v/>
      </c>
      <c r="U824" s="17">
        <f>IF($T824="",IF(AND(COUNTA($A824:$K824)&gt;0,$L824=""),"Awaiting Collection Email time stamp.",""),IF(OR($T824="PAID",$T824="CLOSED"),IF($T824="PAID","Account paid. Action completed.","Account closed. No further action required."),CHOOSE($W824,"Collection Email","1st Email Follow-up","2nd Email Follow-up","Escalation to Local Office","Escalation to CBE","Escalation to Roxanne")&amp;" sent "&amp;TEXT($X824,"dd-mmm")&amp;". "&amp;IF($W824=6,"Final escalation completed.",IF($T824="OVERDUE","Next: "&amp;$Z824&amp;" was due "&amp;TEXT($Y824,"dd-mmm")&amp;" - "&amp;(NETWORKDAYS($Y824,TODAY(),Holidays)-1)&amp;" business day(s) late. Send now.",IF($T824="DUE TOMORROW","Next: "&amp;$Z824&amp;IF($Y824&lt;=TODAY()," is due TODAY ("," is due next business day (")&amp;TEXT($Y824,"dd-mmm")&amp;").","Next: "&amp;$Z824&amp;" due "&amp;TEXT($Y824,"dd-mmm")&amp;" ("&amp;(NETWORKDAYS(TODAY(),$Y824,Holidays)-1)&amp;" business day(s) left).")))))</f>
        <v/>
      </c>
      <c r="V824" s="17">
        <f>IF($W824="","",CHOOSE($W824,"Collection Email","1st Follow-up","2nd Follow-up","Local Office","CBE","Roxanne")&amp;IF($W824=6," - Final"," - Day "&amp;MAX(0,NETWORKDAYS($X824,TODAY(),Holidays)-1)&amp;" of "&amp;CHOOSE($W824,3,3,2,2,3))&amp;" | Total Day "&amp;MAX(0,NETWORKDAYS($L824,TODAY(),Holidays)-1))</f>
        <v/>
      </c>
      <c r="W824" s="17">
        <f>IF($L824="","",COUNT($L824:$Q824))</f>
        <v/>
      </c>
      <c r="X824" s="18">
        <f>IF($W824="","",INT(INDEX($L824:$Q824,$W824)))</f>
        <v/>
      </c>
      <c r="Y824" s="18">
        <f>IF(OR($W824="",$W824=6),"",WORKDAY($X824,CHOOSE($W824,3,3,2,2,3),Holidays))</f>
        <v/>
      </c>
      <c r="Z824" s="17">
        <f>IF(OR($W824="",$W824=6),"",CHOOSE($W824,"1st Email Follow-up","2nd Email Follow-up","Escalate Local Office","Escalate to CBE","Escalate to Roxanne"))</f>
        <v/>
      </c>
    </row>
    <row r="825" spans="18:26">
      <c r="R825" s="15"/>
      <c r="S825" s="16"/>
      <c r="T825" s="17">
        <f>IF(AND(COUNTA($A825:$K825)=0,$L825=""),"",IF($S825="Paid","PAID",IF($S825="Closed","CLOSED",IF($W825="","",IF($W825=6,"ESCALATED TO ROXANNE",IF(TODAY()&gt;$Y825,"OVERDUE",IF($Y825&lt;=WORKDAY(TODAY(),1,Holidays),"DUE TOMORROW",IF($W825=4,"ESCALATED TO LOCAL OFFICE",IF($W825=5,"ESCALATED TO CBE",IF($X825=TODAY(),"EMAIL SENT","MONITORING"))))))))))</f>
        <v/>
      </c>
      <c r="U825" s="17">
        <f>IF($T825="",IF(AND(COUNTA($A825:$K825)&gt;0,$L825=""),"Awaiting Collection Email time stamp.",""),IF(OR($T825="PAID",$T825="CLOSED"),IF($T825="PAID","Account paid. Action completed.","Account closed. No further action required."),CHOOSE($W825,"Collection Email","1st Email Follow-up","2nd Email Follow-up","Escalation to Local Office","Escalation to CBE","Escalation to Roxanne")&amp;" sent "&amp;TEXT($X825,"dd-mmm")&amp;". "&amp;IF($W825=6,"Final escalation completed.",IF($T825="OVERDUE","Next: "&amp;$Z825&amp;" was due "&amp;TEXT($Y825,"dd-mmm")&amp;" - "&amp;(NETWORKDAYS($Y825,TODAY(),Holidays)-1)&amp;" business day(s) late. Send now.",IF($T825="DUE TOMORROW","Next: "&amp;$Z825&amp;IF($Y825&lt;=TODAY()," is due TODAY ("," is due next business day (")&amp;TEXT($Y825,"dd-mmm")&amp;").","Next: "&amp;$Z825&amp;" due "&amp;TEXT($Y825,"dd-mmm")&amp;" ("&amp;(NETWORKDAYS(TODAY(),$Y825,Holidays)-1)&amp;" business day(s) left).")))))</f>
        <v/>
      </c>
      <c r="V825" s="17">
        <f>IF($W825="","",CHOOSE($W825,"Collection Email","1st Follow-up","2nd Follow-up","Local Office","CBE","Roxanne")&amp;IF($W825=6," - Final"," - Day "&amp;MAX(0,NETWORKDAYS($X825,TODAY(),Holidays)-1)&amp;" of "&amp;CHOOSE($W825,3,3,2,2,3))&amp;" | Total Day "&amp;MAX(0,NETWORKDAYS($L825,TODAY(),Holidays)-1))</f>
        <v/>
      </c>
      <c r="W825" s="17">
        <f>IF($L825="","",COUNT($L825:$Q825))</f>
        <v/>
      </c>
      <c r="X825" s="18">
        <f>IF($W825="","",INT(INDEX($L825:$Q825,$W825)))</f>
        <v/>
      </c>
      <c r="Y825" s="18">
        <f>IF(OR($W825="",$W825=6),"",WORKDAY($X825,CHOOSE($W825,3,3,2,2,3),Holidays))</f>
        <v/>
      </c>
      <c r="Z825" s="17">
        <f>IF(OR($W825="",$W825=6),"",CHOOSE($W825,"1st Email Follow-up","2nd Email Follow-up","Escalate Local Office","Escalate to CBE","Escalate to Roxanne"))</f>
        <v/>
      </c>
    </row>
    <row r="826" spans="18:26">
      <c r="R826" s="15"/>
      <c r="S826" s="16"/>
      <c r="T826" s="17">
        <f>IF(AND(COUNTA($A826:$K826)=0,$L826=""),"",IF($S826="Paid","PAID",IF($S826="Closed","CLOSED",IF($W826="","",IF($W826=6,"ESCALATED TO ROXANNE",IF(TODAY()&gt;$Y826,"OVERDUE",IF($Y826&lt;=WORKDAY(TODAY(),1,Holidays),"DUE TOMORROW",IF($W826=4,"ESCALATED TO LOCAL OFFICE",IF($W826=5,"ESCALATED TO CBE",IF($X826=TODAY(),"EMAIL SENT","MONITORING"))))))))))</f>
        <v/>
      </c>
      <c r="U826" s="17">
        <f>IF($T826="",IF(AND(COUNTA($A826:$K826)&gt;0,$L826=""),"Awaiting Collection Email time stamp.",""),IF(OR($T826="PAID",$T826="CLOSED"),IF($T826="PAID","Account paid. Action completed.","Account closed. No further action required."),CHOOSE($W826,"Collection Email","1st Email Follow-up","2nd Email Follow-up","Escalation to Local Office","Escalation to CBE","Escalation to Roxanne")&amp;" sent "&amp;TEXT($X826,"dd-mmm")&amp;". "&amp;IF($W826=6,"Final escalation completed.",IF($T826="OVERDUE","Next: "&amp;$Z826&amp;" was due "&amp;TEXT($Y826,"dd-mmm")&amp;" - "&amp;(NETWORKDAYS($Y826,TODAY(),Holidays)-1)&amp;" business day(s) late. Send now.",IF($T826="DUE TOMORROW","Next: "&amp;$Z826&amp;IF($Y826&lt;=TODAY()," is due TODAY ("," is due next business day (")&amp;TEXT($Y826,"dd-mmm")&amp;").","Next: "&amp;$Z826&amp;" due "&amp;TEXT($Y826,"dd-mmm")&amp;" ("&amp;(NETWORKDAYS(TODAY(),$Y826,Holidays)-1)&amp;" business day(s) left).")))))</f>
        <v/>
      </c>
      <c r="V826" s="17">
        <f>IF($W826="","",CHOOSE($W826,"Collection Email","1st Follow-up","2nd Follow-up","Local Office","CBE","Roxanne")&amp;IF($W826=6," - Final"," - Day "&amp;MAX(0,NETWORKDAYS($X826,TODAY(),Holidays)-1)&amp;" of "&amp;CHOOSE($W826,3,3,2,2,3))&amp;" | Total Day "&amp;MAX(0,NETWORKDAYS($L826,TODAY(),Holidays)-1))</f>
        <v/>
      </c>
      <c r="W826" s="17">
        <f>IF($L826="","",COUNT($L826:$Q826))</f>
        <v/>
      </c>
      <c r="X826" s="18">
        <f>IF($W826="","",INT(INDEX($L826:$Q826,$W826)))</f>
        <v/>
      </c>
      <c r="Y826" s="18">
        <f>IF(OR($W826="",$W826=6),"",WORKDAY($X826,CHOOSE($W826,3,3,2,2,3),Holidays))</f>
        <v/>
      </c>
      <c r="Z826" s="17">
        <f>IF(OR($W826="",$W826=6),"",CHOOSE($W826,"1st Email Follow-up","2nd Email Follow-up","Escalate Local Office","Escalate to CBE","Escalate to Roxanne"))</f>
        <v/>
      </c>
    </row>
    <row r="827" spans="18:26">
      <c r="R827" s="15"/>
      <c r="S827" s="16"/>
      <c r="T827" s="17">
        <f>IF(AND(COUNTA($A827:$K827)=0,$L827=""),"",IF($S827="Paid","PAID",IF($S827="Closed","CLOSED",IF($W827="","",IF($W827=6,"ESCALATED TO ROXANNE",IF(TODAY()&gt;$Y827,"OVERDUE",IF($Y827&lt;=WORKDAY(TODAY(),1,Holidays),"DUE TOMORROW",IF($W827=4,"ESCALATED TO LOCAL OFFICE",IF($W827=5,"ESCALATED TO CBE",IF($X827=TODAY(),"EMAIL SENT","MONITORING"))))))))))</f>
        <v/>
      </c>
      <c r="U827" s="17">
        <f>IF($T827="",IF(AND(COUNTA($A827:$K827)&gt;0,$L827=""),"Awaiting Collection Email time stamp.",""),IF(OR($T827="PAID",$T827="CLOSED"),IF($T827="PAID","Account paid. Action completed.","Account closed. No further action required."),CHOOSE($W827,"Collection Email","1st Email Follow-up","2nd Email Follow-up","Escalation to Local Office","Escalation to CBE","Escalation to Roxanne")&amp;" sent "&amp;TEXT($X827,"dd-mmm")&amp;". "&amp;IF($W827=6,"Final escalation completed.",IF($T827="OVERDUE","Next: "&amp;$Z827&amp;" was due "&amp;TEXT($Y827,"dd-mmm")&amp;" - "&amp;(NETWORKDAYS($Y827,TODAY(),Holidays)-1)&amp;" business day(s) late. Send now.",IF($T827="DUE TOMORROW","Next: "&amp;$Z827&amp;IF($Y827&lt;=TODAY()," is due TODAY ("," is due next business day (")&amp;TEXT($Y827,"dd-mmm")&amp;").","Next: "&amp;$Z827&amp;" due "&amp;TEXT($Y827,"dd-mmm")&amp;" ("&amp;(NETWORKDAYS(TODAY(),$Y827,Holidays)-1)&amp;" business day(s) left).")))))</f>
        <v/>
      </c>
      <c r="V827" s="17">
        <f>IF($W827="","",CHOOSE($W827,"Collection Email","1st Follow-up","2nd Follow-up","Local Office","CBE","Roxanne")&amp;IF($W827=6," - Final"," - Day "&amp;MAX(0,NETWORKDAYS($X827,TODAY(),Holidays)-1)&amp;" of "&amp;CHOOSE($W827,3,3,2,2,3))&amp;" | Total Day "&amp;MAX(0,NETWORKDAYS($L827,TODAY(),Holidays)-1))</f>
        <v/>
      </c>
      <c r="W827" s="17">
        <f>IF($L827="","",COUNT($L827:$Q827))</f>
        <v/>
      </c>
      <c r="X827" s="18">
        <f>IF($W827="","",INT(INDEX($L827:$Q827,$W827)))</f>
        <v/>
      </c>
      <c r="Y827" s="18">
        <f>IF(OR($W827="",$W827=6),"",WORKDAY($X827,CHOOSE($W827,3,3,2,2,3),Holidays))</f>
        <v/>
      </c>
      <c r="Z827" s="17">
        <f>IF(OR($W827="",$W827=6),"",CHOOSE($W827,"1st Email Follow-up","2nd Email Follow-up","Escalate Local Office","Escalate to CBE","Escalate to Roxanne"))</f>
        <v/>
      </c>
    </row>
    <row r="828" spans="18:26">
      <c r="R828" s="15"/>
      <c r="S828" s="16"/>
      <c r="T828" s="17">
        <f>IF(AND(COUNTA($A828:$K828)=0,$L828=""),"",IF($S828="Paid","PAID",IF($S828="Closed","CLOSED",IF($W828="","",IF($W828=6,"ESCALATED TO ROXANNE",IF(TODAY()&gt;$Y828,"OVERDUE",IF($Y828&lt;=WORKDAY(TODAY(),1,Holidays),"DUE TOMORROW",IF($W828=4,"ESCALATED TO LOCAL OFFICE",IF($W828=5,"ESCALATED TO CBE",IF($X828=TODAY(),"EMAIL SENT","MONITORING"))))))))))</f>
        <v/>
      </c>
      <c r="U828" s="17">
        <f>IF($T828="",IF(AND(COUNTA($A828:$K828)&gt;0,$L828=""),"Awaiting Collection Email time stamp.",""),IF(OR($T828="PAID",$T828="CLOSED"),IF($T828="PAID","Account paid. Action completed.","Account closed. No further action required."),CHOOSE($W828,"Collection Email","1st Email Follow-up","2nd Email Follow-up","Escalation to Local Office","Escalation to CBE","Escalation to Roxanne")&amp;" sent "&amp;TEXT($X828,"dd-mmm")&amp;". "&amp;IF($W828=6,"Final escalation completed.",IF($T828="OVERDUE","Next: "&amp;$Z828&amp;" was due "&amp;TEXT($Y828,"dd-mmm")&amp;" - "&amp;(NETWORKDAYS($Y828,TODAY(),Holidays)-1)&amp;" business day(s) late. Send now.",IF($T828="DUE TOMORROW","Next: "&amp;$Z828&amp;IF($Y828&lt;=TODAY()," is due TODAY ("," is due next business day (")&amp;TEXT($Y828,"dd-mmm")&amp;").","Next: "&amp;$Z828&amp;" due "&amp;TEXT($Y828,"dd-mmm")&amp;" ("&amp;(NETWORKDAYS(TODAY(),$Y828,Holidays)-1)&amp;" business day(s) left).")))))</f>
        <v/>
      </c>
      <c r="V828" s="17">
        <f>IF($W828="","",CHOOSE($W828,"Collection Email","1st Follow-up","2nd Follow-up","Local Office","CBE","Roxanne")&amp;IF($W828=6," - Final"," - Day "&amp;MAX(0,NETWORKDAYS($X828,TODAY(),Holidays)-1)&amp;" of "&amp;CHOOSE($W828,3,3,2,2,3))&amp;" | Total Day "&amp;MAX(0,NETWORKDAYS($L828,TODAY(),Holidays)-1))</f>
        <v/>
      </c>
      <c r="W828" s="17">
        <f>IF($L828="","",COUNT($L828:$Q828))</f>
        <v/>
      </c>
      <c r="X828" s="18">
        <f>IF($W828="","",INT(INDEX($L828:$Q828,$W828)))</f>
        <v/>
      </c>
      <c r="Y828" s="18">
        <f>IF(OR($W828="",$W828=6),"",WORKDAY($X828,CHOOSE($W828,3,3,2,2,3),Holidays))</f>
        <v/>
      </c>
      <c r="Z828" s="17">
        <f>IF(OR($W828="",$W828=6),"",CHOOSE($W828,"1st Email Follow-up","2nd Email Follow-up","Escalate Local Office","Escalate to CBE","Escalate to Roxanne"))</f>
        <v/>
      </c>
    </row>
    <row r="829" spans="18:26">
      <c r="R829" s="15"/>
      <c r="S829" s="16"/>
      <c r="T829" s="17">
        <f>IF(AND(COUNTA($A829:$K829)=0,$L829=""),"",IF($S829="Paid","PAID",IF($S829="Closed","CLOSED",IF($W829="","",IF($W829=6,"ESCALATED TO ROXANNE",IF(TODAY()&gt;$Y829,"OVERDUE",IF($Y829&lt;=WORKDAY(TODAY(),1,Holidays),"DUE TOMORROW",IF($W829=4,"ESCALATED TO LOCAL OFFICE",IF($W829=5,"ESCALATED TO CBE",IF($X829=TODAY(),"EMAIL SENT","MONITORING"))))))))))</f>
        <v/>
      </c>
      <c r="U829" s="17">
        <f>IF($T829="",IF(AND(COUNTA($A829:$K829)&gt;0,$L829=""),"Awaiting Collection Email time stamp.",""),IF(OR($T829="PAID",$T829="CLOSED"),IF($T829="PAID","Account paid. Action completed.","Account closed. No further action required."),CHOOSE($W829,"Collection Email","1st Email Follow-up","2nd Email Follow-up","Escalation to Local Office","Escalation to CBE","Escalation to Roxanne")&amp;" sent "&amp;TEXT($X829,"dd-mmm")&amp;". "&amp;IF($W829=6,"Final escalation completed.",IF($T829="OVERDUE","Next: "&amp;$Z829&amp;" was due "&amp;TEXT($Y829,"dd-mmm")&amp;" - "&amp;(NETWORKDAYS($Y829,TODAY(),Holidays)-1)&amp;" business day(s) late. Send now.",IF($T829="DUE TOMORROW","Next: "&amp;$Z829&amp;IF($Y829&lt;=TODAY()," is due TODAY ("," is due next business day (")&amp;TEXT($Y829,"dd-mmm")&amp;").","Next: "&amp;$Z829&amp;" due "&amp;TEXT($Y829,"dd-mmm")&amp;" ("&amp;(NETWORKDAYS(TODAY(),$Y829,Holidays)-1)&amp;" business day(s) left).")))))</f>
        <v/>
      </c>
      <c r="V829" s="17">
        <f>IF($W829="","",CHOOSE($W829,"Collection Email","1st Follow-up","2nd Follow-up","Local Office","CBE","Roxanne")&amp;IF($W829=6," - Final"," - Day "&amp;MAX(0,NETWORKDAYS($X829,TODAY(),Holidays)-1)&amp;" of "&amp;CHOOSE($W829,3,3,2,2,3))&amp;" | Total Day "&amp;MAX(0,NETWORKDAYS($L829,TODAY(),Holidays)-1))</f>
        <v/>
      </c>
      <c r="W829" s="17">
        <f>IF($L829="","",COUNT($L829:$Q829))</f>
        <v/>
      </c>
      <c r="X829" s="18">
        <f>IF($W829="","",INT(INDEX($L829:$Q829,$W829)))</f>
        <v/>
      </c>
      <c r="Y829" s="18">
        <f>IF(OR($W829="",$W829=6),"",WORKDAY($X829,CHOOSE($W829,3,3,2,2,3),Holidays))</f>
        <v/>
      </c>
      <c r="Z829" s="17">
        <f>IF(OR($W829="",$W829=6),"",CHOOSE($W829,"1st Email Follow-up","2nd Email Follow-up","Escalate Local Office","Escalate to CBE","Escalate to Roxanne"))</f>
        <v/>
      </c>
    </row>
    <row r="830" spans="18:26">
      <c r="R830" s="15"/>
      <c r="S830" s="16"/>
      <c r="T830" s="17">
        <f>IF(AND(COUNTA($A830:$K830)=0,$L830=""),"",IF($S830="Paid","PAID",IF($S830="Closed","CLOSED",IF($W830="","",IF($W830=6,"ESCALATED TO ROXANNE",IF(TODAY()&gt;$Y830,"OVERDUE",IF($Y830&lt;=WORKDAY(TODAY(),1,Holidays),"DUE TOMORROW",IF($W830=4,"ESCALATED TO LOCAL OFFICE",IF($W830=5,"ESCALATED TO CBE",IF($X830=TODAY(),"EMAIL SENT","MONITORING"))))))))))</f>
        <v/>
      </c>
      <c r="U830" s="17">
        <f>IF($T830="",IF(AND(COUNTA($A830:$K830)&gt;0,$L830=""),"Awaiting Collection Email time stamp.",""),IF(OR($T830="PAID",$T830="CLOSED"),IF($T830="PAID","Account paid. Action completed.","Account closed. No further action required."),CHOOSE($W830,"Collection Email","1st Email Follow-up","2nd Email Follow-up","Escalation to Local Office","Escalation to CBE","Escalation to Roxanne")&amp;" sent "&amp;TEXT($X830,"dd-mmm")&amp;". "&amp;IF($W830=6,"Final escalation completed.",IF($T830="OVERDUE","Next: "&amp;$Z830&amp;" was due "&amp;TEXT($Y830,"dd-mmm")&amp;" - "&amp;(NETWORKDAYS($Y830,TODAY(),Holidays)-1)&amp;" business day(s) late. Send now.",IF($T830="DUE TOMORROW","Next: "&amp;$Z830&amp;IF($Y830&lt;=TODAY()," is due TODAY ("," is due next business day (")&amp;TEXT($Y830,"dd-mmm")&amp;").","Next: "&amp;$Z830&amp;" due "&amp;TEXT($Y830,"dd-mmm")&amp;" ("&amp;(NETWORKDAYS(TODAY(),$Y830,Holidays)-1)&amp;" business day(s) left).")))))</f>
        <v/>
      </c>
      <c r="V830" s="17">
        <f>IF($W830="","",CHOOSE($W830,"Collection Email","1st Follow-up","2nd Follow-up","Local Office","CBE","Roxanne")&amp;IF($W830=6," - Final"," - Day "&amp;MAX(0,NETWORKDAYS($X830,TODAY(),Holidays)-1)&amp;" of "&amp;CHOOSE($W830,3,3,2,2,3))&amp;" | Total Day "&amp;MAX(0,NETWORKDAYS($L830,TODAY(),Holidays)-1))</f>
        <v/>
      </c>
      <c r="W830" s="17">
        <f>IF($L830="","",COUNT($L830:$Q830))</f>
        <v/>
      </c>
      <c r="X830" s="18">
        <f>IF($W830="","",INT(INDEX($L830:$Q830,$W830)))</f>
        <v/>
      </c>
      <c r="Y830" s="18">
        <f>IF(OR($W830="",$W830=6),"",WORKDAY($X830,CHOOSE($W830,3,3,2,2,3),Holidays))</f>
        <v/>
      </c>
      <c r="Z830" s="17">
        <f>IF(OR($W830="",$W830=6),"",CHOOSE($W830,"1st Email Follow-up","2nd Email Follow-up","Escalate Local Office","Escalate to CBE","Escalate to Roxanne"))</f>
        <v/>
      </c>
    </row>
    <row r="831" spans="18:26">
      <c r="R831" s="15"/>
      <c r="S831" s="16"/>
      <c r="T831" s="17">
        <f>IF(AND(COUNTA($A831:$K831)=0,$L831=""),"",IF($S831="Paid","PAID",IF($S831="Closed","CLOSED",IF($W831="","",IF($W831=6,"ESCALATED TO ROXANNE",IF(TODAY()&gt;$Y831,"OVERDUE",IF($Y831&lt;=WORKDAY(TODAY(),1,Holidays),"DUE TOMORROW",IF($W831=4,"ESCALATED TO LOCAL OFFICE",IF($W831=5,"ESCALATED TO CBE",IF($X831=TODAY(),"EMAIL SENT","MONITORING"))))))))))</f>
        <v/>
      </c>
      <c r="U831" s="17">
        <f>IF($T831="",IF(AND(COUNTA($A831:$K831)&gt;0,$L831=""),"Awaiting Collection Email time stamp.",""),IF(OR($T831="PAID",$T831="CLOSED"),IF($T831="PAID","Account paid. Action completed.","Account closed. No further action required."),CHOOSE($W831,"Collection Email","1st Email Follow-up","2nd Email Follow-up","Escalation to Local Office","Escalation to CBE","Escalation to Roxanne")&amp;" sent "&amp;TEXT($X831,"dd-mmm")&amp;". "&amp;IF($W831=6,"Final escalation completed.",IF($T831="OVERDUE","Next: "&amp;$Z831&amp;" was due "&amp;TEXT($Y831,"dd-mmm")&amp;" - "&amp;(NETWORKDAYS($Y831,TODAY(),Holidays)-1)&amp;" business day(s) late. Send now.",IF($T831="DUE TOMORROW","Next: "&amp;$Z831&amp;IF($Y831&lt;=TODAY()," is due TODAY ("," is due next business day (")&amp;TEXT($Y831,"dd-mmm")&amp;").","Next: "&amp;$Z831&amp;" due "&amp;TEXT($Y831,"dd-mmm")&amp;" ("&amp;(NETWORKDAYS(TODAY(),$Y831,Holidays)-1)&amp;" business day(s) left).")))))</f>
        <v/>
      </c>
      <c r="V831" s="17">
        <f>IF($W831="","",CHOOSE($W831,"Collection Email","1st Follow-up","2nd Follow-up","Local Office","CBE","Roxanne")&amp;IF($W831=6," - Final"," - Day "&amp;MAX(0,NETWORKDAYS($X831,TODAY(),Holidays)-1)&amp;" of "&amp;CHOOSE($W831,3,3,2,2,3))&amp;" | Total Day "&amp;MAX(0,NETWORKDAYS($L831,TODAY(),Holidays)-1))</f>
        <v/>
      </c>
      <c r="W831" s="17">
        <f>IF($L831="","",COUNT($L831:$Q831))</f>
        <v/>
      </c>
      <c r="X831" s="18">
        <f>IF($W831="","",INT(INDEX($L831:$Q831,$W831)))</f>
        <v/>
      </c>
      <c r="Y831" s="18">
        <f>IF(OR($W831="",$W831=6),"",WORKDAY($X831,CHOOSE($W831,3,3,2,2,3),Holidays))</f>
        <v/>
      </c>
      <c r="Z831" s="17">
        <f>IF(OR($W831="",$W831=6),"",CHOOSE($W831,"1st Email Follow-up","2nd Email Follow-up","Escalate Local Office","Escalate to CBE","Escalate to Roxanne"))</f>
        <v/>
      </c>
    </row>
    <row r="832" spans="18:26">
      <c r="R832" s="15"/>
      <c r="S832" s="16"/>
      <c r="T832" s="17">
        <f>IF(AND(COUNTA($A832:$K832)=0,$L832=""),"",IF($S832="Paid","PAID",IF($S832="Closed","CLOSED",IF($W832="","",IF($W832=6,"ESCALATED TO ROXANNE",IF(TODAY()&gt;$Y832,"OVERDUE",IF($Y832&lt;=WORKDAY(TODAY(),1,Holidays),"DUE TOMORROW",IF($W832=4,"ESCALATED TO LOCAL OFFICE",IF($W832=5,"ESCALATED TO CBE",IF($X832=TODAY(),"EMAIL SENT","MONITORING"))))))))))</f>
        <v/>
      </c>
      <c r="U832" s="17">
        <f>IF($T832="",IF(AND(COUNTA($A832:$K832)&gt;0,$L832=""),"Awaiting Collection Email time stamp.",""),IF(OR($T832="PAID",$T832="CLOSED"),IF($T832="PAID","Account paid. Action completed.","Account closed. No further action required."),CHOOSE($W832,"Collection Email","1st Email Follow-up","2nd Email Follow-up","Escalation to Local Office","Escalation to CBE","Escalation to Roxanne")&amp;" sent "&amp;TEXT($X832,"dd-mmm")&amp;". "&amp;IF($W832=6,"Final escalation completed.",IF($T832="OVERDUE","Next: "&amp;$Z832&amp;" was due "&amp;TEXT($Y832,"dd-mmm")&amp;" - "&amp;(NETWORKDAYS($Y832,TODAY(),Holidays)-1)&amp;" business day(s) late. Send now.",IF($T832="DUE TOMORROW","Next: "&amp;$Z832&amp;IF($Y832&lt;=TODAY()," is due TODAY ("," is due next business day (")&amp;TEXT($Y832,"dd-mmm")&amp;").","Next: "&amp;$Z832&amp;" due "&amp;TEXT($Y832,"dd-mmm")&amp;" ("&amp;(NETWORKDAYS(TODAY(),$Y832,Holidays)-1)&amp;" business day(s) left).")))))</f>
        <v/>
      </c>
      <c r="V832" s="17">
        <f>IF($W832="","",CHOOSE($W832,"Collection Email","1st Follow-up","2nd Follow-up","Local Office","CBE","Roxanne")&amp;IF($W832=6," - Final"," - Day "&amp;MAX(0,NETWORKDAYS($X832,TODAY(),Holidays)-1)&amp;" of "&amp;CHOOSE($W832,3,3,2,2,3))&amp;" | Total Day "&amp;MAX(0,NETWORKDAYS($L832,TODAY(),Holidays)-1))</f>
        <v/>
      </c>
      <c r="W832" s="17">
        <f>IF($L832="","",COUNT($L832:$Q832))</f>
        <v/>
      </c>
      <c r="X832" s="18">
        <f>IF($W832="","",INT(INDEX($L832:$Q832,$W832)))</f>
        <v/>
      </c>
      <c r="Y832" s="18">
        <f>IF(OR($W832="",$W832=6),"",WORKDAY($X832,CHOOSE($W832,3,3,2,2,3),Holidays))</f>
        <v/>
      </c>
      <c r="Z832" s="17">
        <f>IF(OR($W832="",$W832=6),"",CHOOSE($W832,"1st Email Follow-up","2nd Email Follow-up","Escalate Local Office","Escalate to CBE","Escalate to Roxanne"))</f>
        <v/>
      </c>
    </row>
    <row r="833" spans="18:26">
      <c r="R833" s="15"/>
      <c r="S833" s="16"/>
      <c r="T833" s="17">
        <f>IF(AND(COUNTA($A833:$K833)=0,$L833=""),"",IF($S833="Paid","PAID",IF($S833="Closed","CLOSED",IF($W833="","",IF($W833=6,"ESCALATED TO ROXANNE",IF(TODAY()&gt;$Y833,"OVERDUE",IF($Y833&lt;=WORKDAY(TODAY(),1,Holidays),"DUE TOMORROW",IF($W833=4,"ESCALATED TO LOCAL OFFICE",IF($W833=5,"ESCALATED TO CBE",IF($X833=TODAY(),"EMAIL SENT","MONITORING"))))))))))</f>
        <v/>
      </c>
      <c r="U833" s="17">
        <f>IF($T833="",IF(AND(COUNTA($A833:$K833)&gt;0,$L833=""),"Awaiting Collection Email time stamp.",""),IF(OR($T833="PAID",$T833="CLOSED"),IF($T833="PAID","Account paid. Action completed.","Account closed. No further action required."),CHOOSE($W833,"Collection Email","1st Email Follow-up","2nd Email Follow-up","Escalation to Local Office","Escalation to CBE","Escalation to Roxanne")&amp;" sent "&amp;TEXT($X833,"dd-mmm")&amp;". "&amp;IF($W833=6,"Final escalation completed.",IF($T833="OVERDUE","Next: "&amp;$Z833&amp;" was due "&amp;TEXT($Y833,"dd-mmm")&amp;" - "&amp;(NETWORKDAYS($Y833,TODAY(),Holidays)-1)&amp;" business day(s) late. Send now.",IF($T833="DUE TOMORROW","Next: "&amp;$Z833&amp;IF($Y833&lt;=TODAY()," is due TODAY ("," is due next business day (")&amp;TEXT($Y833,"dd-mmm")&amp;").","Next: "&amp;$Z833&amp;" due "&amp;TEXT($Y833,"dd-mmm")&amp;" ("&amp;(NETWORKDAYS(TODAY(),$Y833,Holidays)-1)&amp;" business day(s) left).")))))</f>
        <v/>
      </c>
      <c r="V833" s="17">
        <f>IF($W833="","",CHOOSE($W833,"Collection Email","1st Follow-up","2nd Follow-up","Local Office","CBE","Roxanne")&amp;IF($W833=6," - Final"," - Day "&amp;MAX(0,NETWORKDAYS($X833,TODAY(),Holidays)-1)&amp;" of "&amp;CHOOSE($W833,3,3,2,2,3))&amp;" | Total Day "&amp;MAX(0,NETWORKDAYS($L833,TODAY(),Holidays)-1))</f>
        <v/>
      </c>
      <c r="W833" s="17">
        <f>IF($L833="","",COUNT($L833:$Q833))</f>
        <v/>
      </c>
      <c r="X833" s="18">
        <f>IF($W833="","",INT(INDEX($L833:$Q833,$W833)))</f>
        <v/>
      </c>
      <c r="Y833" s="18">
        <f>IF(OR($W833="",$W833=6),"",WORKDAY($X833,CHOOSE($W833,3,3,2,2,3),Holidays))</f>
        <v/>
      </c>
      <c r="Z833" s="17">
        <f>IF(OR($W833="",$W833=6),"",CHOOSE($W833,"1st Email Follow-up","2nd Email Follow-up","Escalate Local Office","Escalate to CBE","Escalate to Roxanne"))</f>
        <v/>
      </c>
    </row>
    <row r="834" spans="18:26">
      <c r="R834" s="15"/>
      <c r="S834" s="16"/>
      <c r="T834" s="17">
        <f>IF(AND(COUNTA($A834:$K834)=0,$L834=""),"",IF($S834="Paid","PAID",IF($S834="Closed","CLOSED",IF($W834="","",IF($W834=6,"ESCALATED TO ROXANNE",IF(TODAY()&gt;$Y834,"OVERDUE",IF($Y834&lt;=WORKDAY(TODAY(),1,Holidays),"DUE TOMORROW",IF($W834=4,"ESCALATED TO LOCAL OFFICE",IF($W834=5,"ESCALATED TO CBE",IF($X834=TODAY(),"EMAIL SENT","MONITORING"))))))))))</f>
        <v/>
      </c>
      <c r="U834" s="17">
        <f>IF($T834="",IF(AND(COUNTA($A834:$K834)&gt;0,$L834=""),"Awaiting Collection Email time stamp.",""),IF(OR($T834="PAID",$T834="CLOSED"),IF($T834="PAID","Account paid. Action completed.","Account closed. No further action required."),CHOOSE($W834,"Collection Email","1st Email Follow-up","2nd Email Follow-up","Escalation to Local Office","Escalation to CBE","Escalation to Roxanne")&amp;" sent "&amp;TEXT($X834,"dd-mmm")&amp;". "&amp;IF($W834=6,"Final escalation completed.",IF($T834="OVERDUE","Next: "&amp;$Z834&amp;" was due "&amp;TEXT($Y834,"dd-mmm")&amp;" - "&amp;(NETWORKDAYS($Y834,TODAY(),Holidays)-1)&amp;" business day(s) late. Send now.",IF($T834="DUE TOMORROW","Next: "&amp;$Z834&amp;IF($Y834&lt;=TODAY()," is due TODAY ("," is due next business day (")&amp;TEXT($Y834,"dd-mmm")&amp;").","Next: "&amp;$Z834&amp;" due "&amp;TEXT($Y834,"dd-mmm")&amp;" ("&amp;(NETWORKDAYS(TODAY(),$Y834,Holidays)-1)&amp;" business day(s) left).")))))</f>
        <v/>
      </c>
      <c r="V834" s="17">
        <f>IF($W834="","",CHOOSE($W834,"Collection Email","1st Follow-up","2nd Follow-up","Local Office","CBE","Roxanne")&amp;IF($W834=6," - Final"," - Day "&amp;MAX(0,NETWORKDAYS($X834,TODAY(),Holidays)-1)&amp;" of "&amp;CHOOSE($W834,3,3,2,2,3))&amp;" | Total Day "&amp;MAX(0,NETWORKDAYS($L834,TODAY(),Holidays)-1))</f>
        <v/>
      </c>
      <c r="W834" s="17">
        <f>IF($L834="","",COUNT($L834:$Q834))</f>
        <v/>
      </c>
      <c r="X834" s="18">
        <f>IF($W834="","",INT(INDEX($L834:$Q834,$W834)))</f>
        <v/>
      </c>
      <c r="Y834" s="18">
        <f>IF(OR($W834="",$W834=6),"",WORKDAY($X834,CHOOSE($W834,3,3,2,2,3),Holidays))</f>
        <v/>
      </c>
      <c r="Z834" s="17">
        <f>IF(OR($W834="",$W834=6),"",CHOOSE($W834,"1st Email Follow-up","2nd Email Follow-up","Escalate Local Office","Escalate to CBE","Escalate to Roxanne"))</f>
        <v/>
      </c>
    </row>
    <row r="835" spans="18:26">
      <c r="R835" s="15"/>
      <c r="S835" s="16"/>
      <c r="T835" s="17">
        <f>IF(AND(COUNTA($A835:$K835)=0,$L835=""),"",IF($S835="Paid","PAID",IF($S835="Closed","CLOSED",IF($W835="","",IF($W835=6,"ESCALATED TO ROXANNE",IF(TODAY()&gt;$Y835,"OVERDUE",IF($Y835&lt;=WORKDAY(TODAY(),1,Holidays),"DUE TOMORROW",IF($W835=4,"ESCALATED TO LOCAL OFFICE",IF($W835=5,"ESCALATED TO CBE",IF($X835=TODAY(),"EMAIL SENT","MONITORING"))))))))))</f>
        <v/>
      </c>
      <c r="U835" s="17">
        <f>IF($T835="",IF(AND(COUNTA($A835:$K835)&gt;0,$L835=""),"Awaiting Collection Email time stamp.",""),IF(OR($T835="PAID",$T835="CLOSED"),IF($T835="PAID","Account paid. Action completed.","Account closed. No further action required."),CHOOSE($W835,"Collection Email","1st Email Follow-up","2nd Email Follow-up","Escalation to Local Office","Escalation to CBE","Escalation to Roxanne")&amp;" sent "&amp;TEXT($X835,"dd-mmm")&amp;". "&amp;IF($W835=6,"Final escalation completed.",IF($T835="OVERDUE","Next: "&amp;$Z835&amp;" was due "&amp;TEXT($Y835,"dd-mmm")&amp;" - "&amp;(NETWORKDAYS($Y835,TODAY(),Holidays)-1)&amp;" business day(s) late. Send now.",IF($T835="DUE TOMORROW","Next: "&amp;$Z835&amp;IF($Y835&lt;=TODAY()," is due TODAY ("," is due next business day (")&amp;TEXT($Y835,"dd-mmm")&amp;").","Next: "&amp;$Z835&amp;" due "&amp;TEXT($Y835,"dd-mmm")&amp;" ("&amp;(NETWORKDAYS(TODAY(),$Y835,Holidays)-1)&amp;" business day(s) left).")))))</f>
        <v/>
      </c>
      <c r="V835" s="17">
        <f>IF($W835="","",CHOOSE($W835,"Collection Email","1st Follow-up","2nd Follow-up","Local Office","CBE","Roxanne")&amp;IF($W835=6," - Final"," - Day "&amp;MAX(0,NETWORKDAYS($X835,TODAY(),Holidays)-1)&amp;" of "&amp;CHOOSE($W835,3,3,2,2,3))&amp;" | Total Day "&amp;MAX(0,NETWORKDAYS($L835,TODAY(),Holidays)-1))</f>
        <v/>
      </c>
      <c r="W835" s="17">
        <f>IF($L835="","",COUNT($L835:$Q835))</f>
        <v/>
      </c>
      <c r="X835" s="18">
        <f>IF($W835="","",INT(INDEX($L835:$Q835,$W835)))</f>
        <v/>
      </c>
      <c r="Y835" s="18">
        <f>IF(OR($W835="",$W835=6),"",WORKDAY($X835,CHOOSE($W835,3,3,2,2,3),Holidays))</f>
        <v/>
      </c>
      <c r="Z835" s="17">
        <f>IF(OR($W835="",$W835=6),"",CHOOSE($W835,"1st Email Follow-up","2nd Email Follow-up","Escalate Local Office","Escalate to CBE","Escalate to Roxanne"))</f>
        <v/>
      </c>
    </row>
    <row r="836" spans="18:26">
      <c r="R836" s="15"/>
      <c r="S836" s="16"/>
      <c r="T836" s="17">
        <f>IF(AND(COUNTA($A836:$K836)=0,$L836=""),"",IF($S836="Paid","PAID",IF($S836="Closed","CLOSED",IF($W836="","",IF($W836=6,"ESCALATED TO ROXANNE",IF(TODAY()&gt;$Y836,"OVERDUE",IF($Y836&lt;=WORKDAY(TODAY(),1,Holidays),"DUE TOMORROW",IF($W836=4,"ESCALATED TO LOCAL OFFICE",IF($W836=5,"ESCALATED TO CBE",IF($X836=TODAY(),"EMAIL SENT","MONITORING"))))))))))</f>
        <v/>
      </c>
      <c r="U836" s="17">
        <f>IF($T836="",IF(AND(COUNTA($A836:$K836)&gt;0,$L836=""),"Awaiting Collection Email time stamp.",""),IF(OR($T836="PAID",$T836="CLOSED"),IF($T836="PAID","Account paid. Action completed.","Account closed. No further action required."),CHOOSE($W836,"Collection Email","1st Email Follow-up","2nd Email Follow-up","Escalation to Local Office","Escalation to CBE","Escalation to Roxanne")&amp;" sent "&amp;TEXT($X836,"dd-mmm")&amp;". "&amp;IF($W836=6,"Final escalation completed.",IF($T836="OVERDUE","Next: "&amp;$Z836&amp;" was due "&amp;TEXT($Y836,"dd-mmm")&amp;" - "&amp;(NETWORKDAYS($Y836,TODAY(),Holidays)-1)&amp;" business day(s) late. Send now.",IF($T836="DUE TOMORROW","Next: "&amp;$Z836&amp;IF($Y836&lt;=TODAY()," is due TODAY ("," is due next business day (")&amp;TEXT($Y836,"dd-mmm")&amp;").","Next: "&amp;$Z836&amp;" due "&amp;TEXT($Y836,"dd-mmm")&amp;" ("&amp;(NETWORKDAYS(TODAY(),$Y836,Holidays)-1)&amp;" business day(s) left).")))))</f>
        <v/>
      </c>
      <c r="V836" s="17">
        <f>IF($W836="","",CHOOSE($W836,"Collection Email","1st Follow-up","2nd Follow-up","Local Office","CBE","Roxanne")&amp;IF($W836=6," - Final"," - Day "&amp;MAX(0,NETWORKDAYS($X836,TODAY(),Holidays)-1)&amp;" of "&amp;CHOOSE($W836,3,3,2,2,3))&amp;" | Total Day "&amp;MAX(0,NETWORKDAYS($L836,TODAY(),Holidays)-1))</f>
        <v/>
      </c>
      <c r="W836" s="17">
        <f>IF($L836="","",COUNT($L836:$Q836))</f>
        <v/>
      </c>
      <c r="X836" s="18">
        <f>IF($W836="","",INT(INDEX($L836:$Q836,$W836)))</f>
        <v/>
      </c>
      <c r="Y836" s="18">
        <f>IF(OR($W836="",$W836=6),"",WORKDAY($X836,CHOOSE($W836,3,3,2,2,3),Holidays))</f>
        <v/>
      </c>
      <c r="Z836" s="17">
        <f>IF(OR($W836="",$W836=6),"",CHOOSE($W836,"1st Email Follow-up","2nd Email Follow-up","Escalate Local Office","Escalate to CBE","Escalate to Roxanne"))</f>
        <v/>
      </c>
    </row>
    <row r="837" spans="18:26">
      <c r="R837" s="15"/>
      <c r="S837" s="16"/>
      <c r="T837" s="17">
        <f>IF(AND(COUNTA($A837:$K837)=0,$L837=""),"",IF($S837="Paid","PAID",IF($S837="Closed","CLOSED",IF($W837="","",IF($W837=6,"ESCALATED TO ROXANNE",IF(TODAY()&gt;$Y837,"OVERDUE",IF($Y837&lt;=WORKDAY(TODAY(),1,Holidays),"DUE TOMORROW",IF($W837=4,"ESCALATED TO LOCAL OFFICE",IF($W837=5,"ESCALATED TO CBE",IF($X837=TODAY(),"EMAIL SENT","MONITORING"))))))))))</f>
        <v/>
      </c>
      <c r="U837" s="17">
        <f>IF($T837="",IF(AND(COUNTA($A837:$K837)&gt;0,$L837=""),"Awaiting Collection Email time stamp.",""),IF(OR($T837="PAID",$T837="CLOSED"),IF($T837="PAID","Account paid. Action completed.","Account closed. No further action required."),CHOOSE($W837,"Collection Email","1st Email Follow-up","2nd Email Follow-up","Escalation to Local Office","Escalation to CBE","Escalation to Roxanne")&amp;" sent "&amp;TEXT($X837,"dd-mmm")&amp;". "&amp;IF($W837=6,"Final escalation completed.",IF($T837="OVERDUE","Next: "&amp;$Z837&amp;" was due "&amp;TEXT($Y837,"dd-mmm")&amp;" - "&amp;(NETWORKDAYS($Y837,TODAY(),Holidays)-1)&amp;" business day(s) late. Send now.",IF($T837="DUE TOMORROW","Next: "&amp;$Z837&amp;IF($Y837&lt;=TODAY()," is due TODAY ("," is due next business day (")&amp;TEXT($Y837,"dd-mmm")&amp;").","Next: "&amp;$Z837&amp;" due "&amp;TEXT($Y837,"dd-mmm")&amp;" ("&amp;(NETWORKDAYS(TODAY(),$Y837,Holidays)-1)&amp;" business day(s) left).")))))</f>
        <v/>
      </c>
      <c r="V837" s="17">
        <f>IF($W837="","",CHOOSE($W837,"Collection Email","1st Follow-up","2nd Follow-up","Local Office","CBE","Roxanne")&amp;IF($W837=6," - Final"," - Day "&amp;MAX(0,NETWORKDAYS($X837,TODAY(),Holidays)-1)&amp;" of "&amp;CHOOSE($W837,3,3,2,2,3))&amp;" | Total Day "&amp;MAX(0,NETWORKDAYS($L837,TODAY(),Holidays)-1))</f>
        <v/>
      </c>
      <c r="W837" s="17">
        <f>IF($L837="","",COUNT($L837:$Q837))</f>
        <v/>
      </c>
      <c r="X837" s="18">
        <f>IF($W837="","",INT(INDEX($L837:$Q837,$W837)))</f>
        <v/>
      </c>
      <c r="Y837" s="18">
        <f>IF(OR($W837="",$W837=6),"",WORKDAY($X837,CHOOSE($W837,3,3,2,2,3),Holidays))</f>
        <v/>
      </c>
      <c r="Z837" s="17">
        <f>IF(OR($W837="",$W837=6),"",CHOOSE($W837,"1st Email Follow-up","2nd Email Follow-up","Escalate Local Office","Escalate to CBE","Escalate to Roxanne"))</f>
        <v/>
      </c>
    </row>
    <row r="838" spans="18:26">
      <c r="R838" s="15"/>
      <c r="S838" s="16"/>
      <c r="T838" s="17">
        <f>IF(AND(COUNTA($A838:$K838)=0,$L838=""),"",IF($S838="Paid","PAID",IF($S838="Closed","CLOSED",IF($W838="","",IF($W838=6,"ESCALATED TO ROXANNE",IF(TODAY()&gt;$Y838,"OVERDUE",IF($Y838&lt;=WORKDAY(TODAY(),1,Holidays),"DUE TOMORROW",IF($W838=4,"ESCALATED TO LOCAL OFFICE",IF($W838=5,"ESCALATED TO CBE",IF($X838=TODAY(),"EMAIL SENT","MONITORING"))))))))))</f>
        <v/>
      </c>
      <c r="U838" s="17">
        <f>IF($T838="",IF(AND(COUNTA($A838:$K838)&gt;0,$L838=""),"Awaiting Collection Email time stamp.",""),IF(OR($T838="PAID",$T838="CLOSED"),IF($T838="PAID","Account paid. Action completed.","Account closed. No further action required."),CHOOSE($W838,"Collection Email","1st Email Follow-up","2nd Email Follow-up","Escalation to Local Office","Escalation to CBE","Escalation to Roxanne")&amp;" sent "&amp;TEXT($X838,"dd-mmm")&amp;". "&amp;IF($W838=6,"Final escalation completed.",IF($T838="OVERDUE","Next: "&amp;$Z838&amp;" was due "&amp;TEXT($Y838,"dd-mmm")&amp;" - "&amp;(NETWORKDAYS($Y838,TODAY(),Holidays)-1)&amp;" business day(s) late. Send now.",IF($T838="DUE TOMORROW","Next: "&amp;$Z838&amp;IF($Y838&lt;=TODAY()," is due TODAY ("," is due next business day (")&amp;TEXT($Y838,"dd-mmm")&amp;").","Next: "&amp;$Z838&amp;" due "&amp;TEXT($Y838,"dd-mmm")&amp;" ("&amp;(NETWORKDAYS(TODAY(),$Y838,Holidays)-1)&amp;" business day(s) left).")))))</f>
        <v/>
      </c>
      <c r="V838" s="17">
        <f>IF($W838="","",CHOOSE($W838,"Collection Email","1st Follow-up","2nd Follow-up","Local Office","CBE","Roxanne")&amp;IF($W838=6," - Final"," - Day "&amp;MAX(0,NETWORKDAYS($X838,TODAY(),Holidays)-1)&amp;" of "&amp;CHOOSE($W838,3,3,2,2,3))&amp;" | Total Day "&amp;MAX(0,NETWORKDAYS($L838,TODAY(),Holidays)-1))</f>
        <v/>
      </c>
      <c r="W838" s="17">
        <f>IF($L838="","",COUNT($L838:$Q838))</f>
        <v/>
      </c>
      <c r="X838" s="18">
        <f>IF($W838="","",INT(INDEX($L838:$Q838,$W838)))</f>
        <v/>
      </c>
      <c r="Y838" s="18">
        <f>IF(OR($W838="",$W838=6),"",WORKDAY($X838,CHOOSE($W838,3,3,2,2,3),Holidays))</f>
        <v/>
      </c>
      <c r="Z838" s="17">
        <f>IF(OR($W838="",$W838=6),"",CHOOSE($W838,"1st Email Follow-up","2nd Email Follow-up","Escalate Local Office","Escalate to CBE","Escalate to Roxanne"))</f>
        <v/>
      </c>
    </row>
    <row r="839" spans="18:26">
      <c r="R839" s="15"/>
      <c r="S839" s="16"/>
      <c r="T839" s="17">
        <f>IF(AND(COUNTA($A839:$K839)=0,$L839=""),"",IF($S839="Paid","PAID",IF($S839="Closed","CLOSED",IF($W839="","",IF($W839=6,"ESCALATED TO ROXANNE",IF(TODAY()&gt;$Y839,"OVERDUE",IF($Y839&lt;=WORKDAY(TODAY(),1,Holidays),"DUE TOMORROW",IF($W839=4,"ESCALATED TO LOCAL OFFICE",IF($W839=5,"ESCALATED TO CBE",IF($X839=TODAY(),"EMAIL SENT","MONITORING"))))))))))</f>
        <v/>
      </c>
      <c r="U839" s="17">
        <f>IF($T839="",IF(AND(COUNTA($A839:$K839)&gt;0,$L839=""),"Awaiting Collection Email time stamp.",""),IF(OR($T839="PAID",$T839="CLOSED"),IF($T839="PAID","Account paid. Action completed.","Account closed. No further action required."),CHOOSE($W839,"Collection Email","1st Email Follow-up","2nd Email Follow-up","Escalation to Local Office","Escalation to CBE","Escalation to Roxanne")&amp;" sent "&amp;TEXT($X839,"dd-mmm")&amp;". "&amp;IF($W839=6,"Final escalation completed.",IF($T839="OVERDUE","Next: "&amp;$Z839&amp;" was due "&amp;TEXT($Y839,"dd-mmm")&amp;" - "&amp;(NETWORKDAYS($Y839,TODAY(),Holidays)-1)&amp;" business day(s) late. Send now.",IF($T839="DUE TOMORROW","Next: "&amp;$Z839&amp;IF($Y839&lt;=TODAY()," is due TODAY ("," is due next business day (")&amp;TEXT($Y839,"dd-mmm")&amp;").","Next: "&amp;$Z839&amp;" due "&amp;TEXT($Y839,"dd-mmm")&amp;" ("&amp;(NETWORKDAYS(TODAY(),$Y839,Holidays)-1)&amp;" business day(s) left).")))))</f>
        <v/>
      </c>
      <c r="V839" s="17">
        <f>IF($W839="","",CHOOSE($W839,"Collection Email","1st Follow-up","2nd Follow-up","Local Office","CBE","Roxanne")&amp;IF($W839=6," - Final"," - Day "&amp;MAX(0,NETWORKDAYS($X839,TODAY(),Holidays)-1)&amp;" of "&amp;CHOOSE($W839,3,3,2,2,3))&amp;" | Total Day "&amp;MAX(0,NETWORKDAYS($L839,TODAY(),Holidays)-1))</f>
        <v/>
      </c>
      <c r="W839" s="17">
        <f>IF($L839="","",COUNT($L839:$Q839))</f>
        <v/>
      </c>
      <c r="X839" s="18">
        <f>IF($W839="","",INT(INDEX($L839:$Q839,$W839)))</f>
        <v/>
      </c>
      <c r="Y839" s="18">
        <f>IF(OR($W839="",$W839=6),"",WORKDAY($X839,CHOOSE($W839,3,3,2,2,3),Holidays))</f>
        <v/>
      </c>
      <c r="Z839" s="17">
        <f>IF(OR($W839="",$W839=6),"",CHOOSE($W839,"1st Email Follow-up","2nd Email Follow-up","Escalate Local Office","Escalate to CBE","Escalate to Roxanne"))</f>
        <v/>
      </c>
    </row>
    <row r="840" spans="18:26">
      <c r="R840" s="15"/>
      <c r="S840" s="16"/>
      <c r="T840" s="17">
        <f>IF(AND(COUNTA($A840:$K840)=0,$L840=""),"",IF($S840="Paid","PAID",IF($S840="Closed","CLOSED",IF($W840="","",IF($W840=6,"ESCALATED TO ROXANNE",IF(TODAY()&gt;$Y840,"OVERDUE",IF($Y840&lt;=WORKDAY(TODAY(),1,Holidays),"DUE TOMORROW",IF($W840=4,"ESCALATED TO LOCAL OFFICE",IF($W840=5,"ESCALATED TO CBE",IF($X840=TODAY(),"EMAIL SENT","MONITORING"))))))))))</f>
        <v/>
      </c>
      <c r="U840" s="17">
        <f>IF($T840="",IF(AND(COUNTA($A840:$K840)&gt;0,$L840=""),"Awaiting Collection Email time stamp.",""),IF(OR($T840="PAID",$T840="CLOSED"),IF($T840="PAID","Account paid. Action completed.","Account closed. No further action required."),CHOOSE($W840,"Collection Email","1st Email Follow-up","2nd Email Follow-up","Escalation to Local Office","Escalation to CBE","Escalation to Roxanne")&amp;" sent "&amp;TEXT($X840,"dd-mmm")&amp;". "&amp;IF($W840=6,"Final escalation completed.",IF($T840="OVERDUE","Next: "&amp;$Z840&amp;" was due "&amp;TEXT($Y840,"dd-mmm")&amp;" - "&amp;(NETWORKDAYS($Y840,TODAY(),Holidays)-1)&amp;" business day(s) late. Send now.",IF($T840="DUE TOMORROW","Next: "&amp;$Z840&amp;IF($Y840&lt;=TODAY()," is due TODAY ("," is due next business day (")&amp;TEXT($Y840,"dd-mmm")&amp;").","Next: "&amp;$Z840&amp;" due "&amp;TEXT($Y840,"dd-mmm")&amp;" ("&amp;(NETWORKDAYS(TODAY(),$Y840,Holidays)-1)&amp;" business day(s) left).")))))</f>
        <v/>
      </c>
      <c r="V840" s="17">
        <f>IF($W840="","",CHOOSE($W840,"Collection Email","1st Follow-up","2nd Follow-up","Local Office","CBE","Roxanne")&amp;IF($W840=6," - Final"," - Day "&amp;MAX(0,NETWORKDAYS($X840,TODAY(),Holidays)-1)&amp;" of "&amp;CHOOSE($W840,3,3,2,2,3))&amp;" | Total Day "&amp;MAX(0,NETWORKDAYS($L840,TODAY(),Holidays)-1))</f>
        <v/>
      </c>
      <c r="W840" s="17">
        <f>IF($L840="","",COUNT($L840:$Q840))</f>
        <v/>
      </c>
      <c r="X840" s="18">
        <f>IF($W840="","",INT(INDEX($L840:$Q840,$W840)))</f>
        <v/>
      </c>
      <c r="Y840" s="18">
        <f>IF(OR($W840="",$W840=6),"",WORKDAY($X840,CHOOSE($W840,3,3,2,2,3),Holidays))</f>
        <v/>
      </c>
      <c r="Z840" s="17">
        <f>IF(OR($W840="",$W840=6),"",CHOOSE($W840,"1st Email Follow-up","2nd Email Follow-up","Escalate Local Office","Escalate to CBE","Escalate to Roxanne"))</f>
        <v/>
      </c>
    </row>
    <row r="841" spans="18:26">
      <c r="R841" s="15"/>
      <c r="S841" s="16"/>
      <c r="T841" s="17">
        <f>IF(AND(COUNTA($A841:$K841)=0,$L841=""),"",IF($S841="Paid","PAID",IF($S841="Closed","CLOSED",IF($W841="","",IF($W841=6,"ESCALATED TO ROXANNE",IF(TODAY()&gt;$Y841,"OVERDUE",IF($Y841&lt;=WORKDAY(TODAY(),1,Holidays),"DUE TOMORROW",IF($W841=4,"ESCALATED TO LOCAL OFFICE",IF($W841=5,"ESCALATED TO CBE",IF($X841=TODAY(),"EMAIL SENT","MONITORING"))))))))))</f>
        <v/>
      </c>
      <c r="U841" s="17">
        <f>IF($T841="",IF(AND(COUNTA($A841:$K841)&gt;0,$L841=""),"Awaiting Collection Email time stamp.",""),IF(OR($T841="PAID",$T841="CLOSED"),IF($T841="PAID","Account paid. Action completed.","Account closed. No further action required."),CHOOSE($W841,"Collection Email","1st Email Follow-up","2nd Email Follow-up","Escalation to Local Office","Escalation to CBE","Escalation to Roxanne")&amp;" sent "&amp;TEXT($X841,"dd-mmm")&amp;". "&amp;IF($W841=6,"Final escalation completed.",IF($T841="OVERDUE","Next: "&amp;$Z841&amp;" was due "&amp;TEXT($Y841,"dd-mmm")&amp;" - "&amp;(NETWORKDAYS($Y841,TODAY(),Holidays)-1)&amp;" business day(s) late. Send now.",IF($T841="DUE TOMORROW","Next: "&amp;$Z841&amp;IF($Y841&lt;=TODAY()," is due TODAY ("," is due next business day (")&amp;TEXT($Y841,"dd-mmm")&amp;").","Next: "&amp;$Z841&amp;" due "&amp;TEXT($Y841,"dd-mmm")&amp;" ("&amp;(NETWORKDAYS(TODAY(),$Y841,Holidays)-1)&amp;" business day(s) left).")))))</f>
        <v/>
      </c>
      <c r="V841" s="17">
        <f>IF($W841="","",CHOOSE($W841,"Collection Email","1st Follow-up","2nd Follow-up","Local Office","CBE","Roxanne")&amp;IF($W841=6," - Final"," - Day "&amp;MAX(0,NETWORKDAYS($X841,TODAY(),Holidays)-1)&amp;" of "&amp;CHOOSE($W841,3,3,2,2,3))&amp;" | Total Day "&amp;MAX(0,NETWORKDAYS($L841,TODAY(),Holidays)-1))</f>
        <v/>
      </c>
      <c r="W841" s="17">
        <f>IF($L841="","",COUNT($L841:$Q841))</f>
        <v/>
      </c>
      <c r="X841" s="18">
        <f>IF($W841="","",INT(INDEX($L841:$Q841,$W841)))</f>
        <v/>
      </c>
      <c r="Y841" s="18">
        <f>IF(OR($W841="",$W841=6),"",WORKDAY($X841,CHOOSE($W841,3,3,2,2,3),Holidays))</f>
        <v/>
      </c>
      <c r="Z841" s="17">
        <f>IF(OR($W841="",$W841=6),"",CHOOSE($W841,"1st Email Follow-up","2nd Email Follow-up","Escalate Local Office","Escalate to CBE","Escalate to Roxanne"))</f>
        <v/>
      </c>
    </row>
    <row r="842" spans="18:26">
      <c r="R842" s="15"/>
      <c r="S842" s="16"/>
      <c r="T842" s="17">
        <f>IF(AND(COUNTA($A842:$K842)=0,$L842=""),"",IF($S842="Paid","PAID",IF($S842="Closed","CLOSED",IF($W842="","",IF($W842=6,"ESCALATED TO ROXANNE",IF(TODAY()&gt;$Y842,"OVERDUE",IF($Y842&lt;=WORKDAY(TODAY(),1,Holidays),"DUE TOMORROW",IF($W842=4,"ESCALATED TO LOCAL OFFICE",IF($W842=5,"ESCALATED TO CBE",IF($X842=TODAY(),"EMAIL SENT","MONITORING"))))))))))</f>
        <v/>
      </c>
      <c r="U842" s="17">
        <f>IF($T842="",IF(AND(COUNTA($A842:$K842)&gt;0,$L842=""),"Awaiting Collection Email time stamp.",""),IF(OR($T842="PAID",$T842="CLOSED"),IF($T842="PAID","Account paid. Action completed.","Account closed. No further action required."),CHOOSE($W842,"Collection Email","1st Email Follow-up","2nd Email Follow-up","Escalation to Local Office","Escalation to CBE","Escalation to Roxanne")&amp;" sent "&amp;TEXT($X842,"dd-mmm")&amp;". "&amp;IF($W842=6,"Final escalation completed.",IF($T842="OVERDUE","Next: "&amp;$Z842&amp;" was due "&amp;TEXT($Y842,"dd-mmm")&amp;" - "&amp;(NETWORKDAYS($Y842,TODAY(),Holidays)-1)&amp;" business day(s) late. Send now.",IF($T842="DUE TOMORROW","Next: "&amp;$Z842&amp;IF($Y842&lt;=TODAY()," is due TODAY ("," is due next business day (")&amp;TEXT($Y842,"dd-mmm")&amp;").","Next: "&amp;$Z842&amp;" due "&amp;TEXT($Y842,"dd-mmm")&amp;" ("&amp;(NETWORKDAYS(TODAY(),$Y842,Holidays)-1)&amp;" business day(s) left).")))))</f>
        <v/>
      </c>
      <c r="V842" s="17">
        <f>IF($W842="","",CHOOSE($W842,"Collection Email","1st Follow-up","2nd Follow-up","Local Office","CBE","Roxanne")&amp;IF($W842=6," - Final"," - Day "&amp;MAX(0,NETWORKDAYS($X842,TODAY(),Holidays)-1)&amp;" of "&amp;CHOOSE($W842,3,3,2,2,3))&amp;" | Total Day "&amp;MAX(0,NETWORKDAYS($L842,TODAY(),Holidays)-1))</f>
        <v/>
      </c>
      <c r="W842" s="17">
        <f>IF($L842="","",COUNT($L842:$Q842))</f>
        <v/>
      </c>
      <c r="X842" s="18">
        <f>IF($W842="","",INT(INDEX($L842:$Q842,$W842)))</f>
        <v/>
      </c>
      <c r="Y842" s="18">
        <f>IF(OR($W842="",$W842=6),"",WORKDAY($X842,CHOOSE($W842,3,3,2,2,3),Holidays))</f>
        <v/>
      </c>
      <c r="Z842" s="17">
        <f>IF(OR($W842="",$W842=6),"",CHOOSE($W842,"1st Email Follow-up","2nd Email Follow-up","Escalate Local Office","Escalate to CBE","Escalate to Roxanne"))</f>
        <v/>
      </c>
    </row>
    <row r="843" spans="18:26">
      <c r="R843" s="15"/>
      <c r="S843" s="16"/>
      <c r="T843" s="17">
        <f>IF(AND(COUNTA($A843:$K843)=0,$L843=""),"",IF($S843="Paid","PAID",IF($S843="Closed","CLOSED",IF($W843="","",IF($W843=6,"ESCALATED TO ROXANNE",IF(TODAY()&gt;$Y843,"OVERDUE",IF($Y843&lt;=WORKDAY(TODAY(),1,Holidays),"DUE TOMORROW",IF($W843=4,"ESCALATED TO LOCAL OFFICE",IF($W843=5,"ESCALATED TO CBE",IF($X843=TODAY(),"EMAIL SENT","MONITORING"))))))))))</f>
        <v/>
      </c>
      <c r="U843" s="17">
        <f>IF($T843="",IF(AND(COUNTA($A843:$K843)&gt;0,$L843=""),"Awaiting Collection Email time stamp.",""),IF(OR($T843="PAID",$T843="CLOSED"),IF($T843="PAID","Account paid. Action completed.","Account closed. No further action required."),CHOOSE($W843,"Collection Email","1st Email Follow-up","2nd Email Follow-up","Escalation to Local Office","Escalation to CBE","Escalation to Roxanne")&amp;" sent "&amp;TEXT($X843,"dd-mmm")&amp;". "&amp;IF($W843=6,"Final escalation completed.",IF($T843="OVERDUE","Next: "&amp;$Z843&amp;" was due "&amp;TEXT($Y843,"dd-mmm")&amp;" - "&amp;(NETWORKDAYS($Y843,TODAY(),Holidays)-1)&amp;" business day(s) late. Send now.",IF($T843="DUE TOMORROW","Next: "&amp;$Z843&amp;IF($Y843&lt;=TODAY()," is due TODAY ("," is due next business day (")&amp;TEXT($Y843,"dd-mmm")&amp;").","Next: "&amp;$Z843&amp;" due "&amp;TEXT($Y843,"dd-mmm")&amp;" ("&amp;(NETWORKDAYS(TODAY(),$Y843,Holidays)-1)&amp;" business day(s) left).")))))</f>
        <v/>
      </c>
      <c r="V843" s="17">
        <f>IF($W843="","",CHOOSE($W843,"Collection Email","1st Follow-up","2nd Follow-up","Local Office","CBE","Roxanne")&amp;IF($W843=6," - Final"," - Day "&amp;MAX(0,NETWORKDAYS($X843,TODAY(),Holidays)-1)&amp;" of "&amp;CHOOSE($W843,3,3,2,2,3))&amp;" | Total Day "&amp;MAX(0,NETWORKDAYS($L843,TODAY(),Holidays)-1))</f>
        <v/>
      </c>
      <c r="W843" s="17">
        <f>IF($L843="","",COUNT($L843:$Q843))</f>
        <v/>
      </c>
      <c r="X843" s="18">
        <f>IF($W843="","",INT(INDEX($L843:$Q843,$W843)))</f>
        <v/>
      </c>
      <c r="Y843" s="18">
        <f>IF(OR($W843="",$W843=6),"",WORKDAY($X843,CHOOSE($W843,3,3,2,2,3),Holidays))</f>
        <v/>
      </c>
      <c r="Z843" s="17">
        <f>IF(OR($W843="",$W843=6),"",CHOOSE($W843,"1st Email Follow-up","2nd Email Follow-up","Escalate Local Office","Escalate to CBE","Escalate to Roxanne"))</f>
        <v/>
      </c>
    </row>
    <row r="844" spans="18:26">
      <c r="R844" s="15"/>
      <c r="S844" s="16"/>
      <c r="T844" s="17">
        <f>IF(AND(COUNTA($A844:$K844)=0,$L844=""),"",IF($S844="Paid","PAID",IF($S844="Closed","CLOSED",IF($W844="","",IF($W844=6,"ESCALATED TO ROXANNE",IF(TODAY()&gt;$Y844,"OVERDUE",IF($Y844&lt;=WORKDAY(TODAY(),1,Holidays),"DUE TOMORROW",IF($W844=4,"ESCALATED TO LOCAL OFFICE",IF($W844=5,"ESCALATED TO CBE",IF($X844=TODAY(),"EMAIL SENT","MONITORING"))))))))))</f>
        <v/>
      </c>
      <c r="U844" s="17">
        <f>IF($T844="",IF(AND(COUNTA($A844:$K844)&gt;0,$L844=""),"Awaiting Collection Email time stamp.",""),IF(OR($T844="PAID",$T844="CLOSED"),IF($T844="PAID","Account paid. Action completed.","Account closed. No further action required."),CHOOSE($W844,"Collection Email","1st Email Follow-up","2nd Email Follow-up","Escalation to Local Office","Escalation to CBE","Escalation to Roxanne")&amp;" sent "&amp;TEXT($X844,"dd-mmm")&amp;". "&amp;IF($W844=6,"Final escalation completed.",IF($T844="OVERDUE","Next: "&amp;$Z844&amp;" was due "&amp;TEXT($Y844,"dd-mmm")&amp;" - "&amp;(NETWORKDAYS($Y844,TODAY(),Holidays)-1)&amp;" business day(s) late. Send now.",IF($T844="DUE TOMORROW","Next: "&amp;$Z844&amp;IF($Y844&lt;=TODAY()," is due TODAY ("," is due next business day (")&amp;TEXT($Y844,"dd-mmm")&amp;").","Next: "&amp;$Z844&amp;" due "&amp;TEXT($Y844,"dd-mmm")&amp;" ("&amp;(NETWORKDAYS(TODAY(),$Y844,Holidays)-1)&amp;" business day(s) left).")))))</f>
        <v/>
      </c>
      <c r="V844" s="17">
        <f>IF($W844="","",CHOOSE($W844,"Collection Email","1st Follow-up","2nd Follow-up","Local Office","CBE","Roxanne")&amp;IF($W844=6," - Final"," - Day "&amp;MAX(0,NETWORKDAYS($X844,TODAY(),Holidays)-1)&amp;" of "&amp;CHOOSE($W844,3,3,2,2,3))&amp;" | Total Day "&amp;MAX(0,NETWORKDAYS($L844,TODAY(),Holidays)-1))</f>
        <v/>
      </c>
      <c r="W844" s="17">
        <f>IF($L844="","",COUNT($L844:$Q844))</f>
        <v/>
      </c>
      <c r="X844" s="18">
        <f>IF($W844="","",INT(INDEX($L844:$Q844,$W844)))</f>
        <v/>
      </c>
      <c r="Y844" s="18">
        <f>IF(OR($W844="",$W844=6),"",WORKDAY($X844,CHOOSE($W844,3,3,2,2,3),Holidays))</f>
        <v/>
      </c>
      <c r="Z844" s="17">
        <f>IF(OR($W844="",$W844=6),"",CHOOSE($W844,"1st Email Follow-up","2nd Email Follow-up","Escalate Local Office","Escalate to CBE","Escalate to Roxanne"))</f>
        <v/>
      </c>
    </row>
    <row r="845" spans="18:26">
      <c r="R845" s="15"/>
      <c r="S845" s="16"/>
      <c r="T845" s="17">
        <f>IF(AND(COUNTA($A845:$K845)=0,$L845=""),"",IF($S845="Paid","PAID",IF($S845="Closed","CLOSED",IF($W845="","",IF($W845=6,"ESCALATED TO ROXANNE",IF(TODAY()&gt;$Y845,"OVERDUE",IF($Y845&lt;=WORKDAY(TODAY(),1,Holidays),"DUE TOMORROW",IF($W845=4,"ESCALATED TO LOCAL OFFICE",IF($W845=5,"ESCALATED TO CBE",IF($X845=TODAY(),"EMAIL SENT","MONITORING"))))))))))</f>
        <v/>
      </c>
      <c r="U845" s="17">
        <f>IF($T845="",IF(AND(COUNTA($A845:$K845)&gt;0,$L845=""),"Awaiting Collection Email time stamp.",""),IF(OR($T845="PAID",$T845="CLOSED"),IF($T845="PAID","Account paid. Action completed.","Account closed. No further action required."),CHOOSE($W845,"Collection Email","1st Email Follow-up","2nd Email Follow-up","Escalation to Local Office","Escalation to CBE","Escalation to Roxanne")&amp;" sent "&amp;TEXT($X845,"dd-mmm")&amp;". "&amp;IF($W845=6,"Final escalation completed.",IF($T845="OVERDUE","Next: "&amp;$Z845&amp;" was due "&amp;TEXT($Y845,"dd-mmm")&amp;" - "&amp;(NETWORKDAYS($Y845,TODAY(),Holidays)-1)&amp;" business day(s) late. Send now.",IF($T845="DUE TOMORROW","Next: "&amp;$Z845&amp;IF($Y845&lt;=TODAY()," is due TODAY ("," is due next business day (")&amp;TEXT($Y845,"dd-mmm")&amp;").","Next: "&amp;$Z845&amp;" due "&amp;TEXT($Y845,"dd-mmm")&amp;" ("&amp;(NETWORKDAYS(TODAY(),$Y845,Holidays)-1)&amp;" business day(s) left).")))))</f>
        <v/>
      </c>
      <c r="V845" s="17">
        <f>IF($W845="","",CHOOSE($W845,"Collection Email","1st Follow-up","2nd Follow-up","Local Office","CBE","Roxanne")&amp;IF($W845=6," - Final"," - Day "&amp;MAX(0,NETWORKDAYS($X845,TODAY(),Holidays)-1)&amp;" of "&amp;CHOOSE($W845,3,3,2,2,3))&amp;" | Total Day "&amp;MAX(0,NETWORKDAYS($L845,TODAY(),Holidays)-1))</f>
        <v/>
      </c>
      <c r="W845" s="17">
        <f>IF($L845="","",COUNT($L845:$Q845))</f>
        <v/>
      </c>
      <c r="X845" s="18">
        <f>IF($W845="","",INT(INDEX($L845:$Q845,$W845)))</f>
        <v/>
      </c>
      <c r="Y845" s="18">
        <f>IF(OR($W845="",$W845=6),"",WORKDAY($X845,CHOOSE($W845,3,3,2,2,3),Holidays))</f>
        <v/>
      </c>
      <c r="Z845" s="17">
        <f>IF(OR($W845="",$W845=6),"",CHOOSE($W845,"1st Email Follow-up","2nd Email Follow-up","Escalate Local Office","Escalate to CBE","Escalate to Roxanne"))</f>
        <v/>
      </c>
    </row>
    <row r="846" spans="18:26">
      <c r="R846" s="15"/>
      <c r="S846" s="16"/>
      <c r="T846" s="17">
        <f>IF(AND(COUNTA($A846:$K846)=0,$L846=""),"",IF($S846="Paid","PAID",IF($S846="Closed","CLOSED",IF($W846="","",IF($W846=6,"ESCALATED TO ROXANNE",IF(TODAY()&gt;$Y846,"OVERDUE",IF($Y846&lt;=WORKDAY(TODAY(),1,Holidays),"DUE TOMORROW",IF($W846=4,"ESCALATED TO LOCAL OFFICE",IF($W846=5,"ESCALATED TO CBE",IF($X846=TODAY(),"EMAIL SENT","MONITORING"))))))))))</f>
        <v/>
      </c>
      <c r="U846" s="17">
        <f>IF($T846="",IF(AND(COUNTA($A846:$K846)&gt;0,$L846=""),"Awaiting Collection Email time stamp.",""),IF(OR($T846="PAID",$T846="CLOSED"),IF($T846="PAID","Account paid. Action completed.","Account closed. No further action required."),CHOOSE($W846,"Collection Email","1st Email Follow-up","2nd Email Follow-up","Escalation to Local Office","Escalation to CBE","Escalation to Roxanne")&amp;" sent "&amp;TEXT($X846,"dd-mmm")&amp;". "&amp;IF($W846=6,"Final escalation completed.",IF($T846="OVERDUE","Next: "&amp;$Z846&amp;" was due "&amp;TEXT($Y846,"dd-mmm")&amp;" - "&amp;(NETWORKDAYS($Y846,TODAY(),Holidays)-1)&amp;" business day(s) late. Send now.",IF($T846="DUE TOMORROW","Next: "&amp;$Z846&amp;IF($Y846&lt;=TODAY()," is due TODAY ("," is due next business day (")&amp;TEXT($Y846,"dd-mmm")&amp;").","Next: "&amp;$Z846&amp;" due "&amp;TEXT($Y846,"dd-mmm")&amp;" ("&amp;(NETWORKDAYS(TODAY(),$Y846,Holidays)-1)&amp;" business day(s) left).")))))</f>
        <v/>
      </c>
      <c r="V846" s="17">
        <f>IF($W846="","",CHOOSE($W846,"Collection Email","1st Follow-up","2nd Follow-up","Local Office","CBE","Roxanne")&amp;IF($W846=6," - Final"," - Day "&amp;MAX(0,NETWORKDAYS($X846,TODAY(),Holidays)-1)&amp;" of "&amp;CHOOSE($W846,3,3,2,2,3))&amp;" | Total Day "&amp;MAX(0,NETWORKDAYS($L846,TODAY(),Holidays)-1))</f>
        <v/>
      </c>
      <c r="W846" s="17">
        <f>IF($L846="","",COUNT($L846:$Q846))</f>
        <v/>
      </c>
      <c r="X846" s="18">
        <f>IF($W846="","",INT(INDEX($L846:$Q846,$W846)))</f>
        <v/>
      </c>
      <c r="Y846" s="18">
        <f>IF(OR($W846="",$W846=6),"",WORKDAY($X846,CHOOSE($W846,3,3,2,2,3),Holidays))</f>
        <v/>
      </c>
      <c r="Z846" s="17">
        <f>IF(OR($W846="",$W846=6),"",CHOOSE($W846,"1st Email Follow-up","2nd Email Follow-up","Escalate Local Office","Escalate to CBE","Escalate to Roxanne"))</f>
        <v/>
      </c>
    </row>
    <row r="847" spans="18:26">
      <c r="R847" s="15"/>
      <c r="S847" s="16"/>
      <c r="T847" s="17">
        <f>IF(AND(COUNTA($A847:$K847)=0,$L847=""),"",IF($S847="Paid","PAID",IF($S847="Closed","CLOSED",IF($W847="","",IF($W847=6,"ESCALATED TO ROXANNE",IF(TODAY()&gt;$Y847,"OVERDUE",IF($Y847&lt;=WORKDAY(TODAY(),1,Holidays),"DUE TOMORROW",IF($W847=4,"ESCALATED TO LOCAL OFFICE",IF($W847=5,"ESCALATED TO CBE",IF($X847=TODAY(),"EMAIL SENT","MONITORING"))))))))))</f>
        <v/>
      </c>
      <c r="U847" s="17">
        <f>IF($T847="",IF(AND(COUNTA($A847:$K847)&gt;0,$L847=""),"Awaiting Collection Email time stamp.",""),IF(OR($T847="PAID",$T847="CLOSED"),IF($T847="PAID","Account paid. Action completed.","Account closed. No further action required."),CHOOSE($W847,"Collection Email","1st Email Follow-up","2nd Email Follow-up","Escalation to Local Office","Escalation to CBE","Escalation to Roxanne")&amp;" sent "&amp;TEXT($X847,"dd-mmm")&amp;". "&amp;IF($W847=6,"Final escalation completed.",IF($T847="OVERDUE","Next: "&amp;$Z847&amp;" was due "&amp;TEXT($Y847,"dd-mmm")&amp;" - "&amp;(NETWORKDAYS($Y847,TODAY(),Holidays)-1)&amp;" business day(s) late. Send now.",IF($T847="DUE TOMORROW","Next: "&amp;$Z847&amp;IF($Y847&lt;=TODAY()," is due TODAY ("," is due next business day (")&amp;TEXT($Y847,"dd-mmm")&amp;").","Next: "&amp;$Z847&amp;" due "&amp;TEXT($Y847,"dd-mmm")&amp;" ("&amp;(NETWORKDAYS(TODAY(),$Y847,Holidays)-1)&amp;" business day(s) left).")))))</f>
        <v/>
      </c>
      <c r="V847" s="17">
        <f>IF($W847="","",CHOOSE($W847,"Collection Email","1st Follow-up","2nd Follow-up","Local Office","CBE","Roxanne")&amp;IF($W847=6," - Final"," - Day "&amp;MAX(0,NETWORKDAYS($X847,TODAY(),Holidays)-1)&amp;" of "&amp;CHOOSE($W847,3,3,2,2,3))&amp;" | Total Day "&amp;MAX(0,NETWORKDAYS($L847,TODAY(),Holidays)-1))</f>
        <v/>
      </c>
      <c r="W847" s="17">
        <f>IF($L847="","",COUNT($L847:$Q847))</f>
        <v/>
      </c>
      <c r="X847" s="18">
        <f>IF($W847="","",INT(INDEX($L847:$Q847,$W847)))</f>
        <v/>
      </c>
      <c r="Y847" s="18">
        <f>IF(OR($W847="",$W847=6),"",WORKDAY($X847,CHOOSE($W847,3,3,2,2,3),Holidays))</f>
        <v/>
      </c>
      <c r="Z847" s="17">
        <f>IF(OR($W847="",$W847=6),"",CHOOSE($W847,"1st Email Follow-up","2nd Email Follow-up","Escalate Local Office","Escalate to CBE","Escalate to Roxanne"))</f>
        <v/>
      </c>
    </row>
    <row r="848" spans="18:26">
      <c r="R848" s="15"/>
      <c r="S848" s="16"/>
      <c r="T848" s="17">
        <f>IF(AND(COUNTA($A848:$K848)=0,$L848=""),"",IF($S848="Paid","PAID",IF($S848="Closed","CLOSED",IF($W848="","",IF($W848=6,"ESCALATED TO ROXANNE",IF(TODAY()&gt;$Y848,"OVERDUE",IF($Y848&lt;=WORKDAY(TODAY(),1,Holidays),"DUE TOMORROW",IF($W848=4,"ESCALATED TO LOCAL OFFICE",IF($W848=5,"ESCALATED TO CBE",IF($X848=TODAY(),"EMAIL SENT","MONITORING"))))))))))</f>
        <v/>
      </c>
      <c r="U848" s="17">
        <f>IF($T848="",IF(AND(COUNTA($A848:$K848)&gt;0,$L848=""),"Awaiting Collection Email time stamp.",""),IF(OR($T848="PAID",$T848="CLOSED"),IF($T848="PAID","Account paid. Action completed.","Account closed. No further action required."),CHOOSE($W848,"Collection Email","1st Email Follow-up","2nd Email Follow-up","Escalation to Local Office","Escalation to CBE","Escalation to Roxanne")&amp;" sent "&amp;TEXT($X848,"dd-mmm")&amp;". "&amp;IF($W848=6,"Final escalation completed.",IF($T848="OVERDUE","Next: "&amp;$Z848&amp;" was due "&amp;TEXT($Y848,"dd-mmm")&amp;" - "&amp;(NETWORKDAYS($Y848,TODAY(),Holidays)-1)&amp;" business day(s) late. Send now.",IF($T848="DUE TOMORROW","Next: "&amp;$Z848&amp;IF($Y848&lt;=TODAY()," is due TODAY ("," is due next business day (")&amp;TEXT($Y848,"dd-mmm")&amp;").","Next: "&amp;$Z848&amp;" due "&amp;TEXT($Y848,"dd-mmm")&amp;" ("&amp;(NETWORKDAYS(TODAY(),$Y848,Holidays)-1)&amp;" business day(s) left).")))))</f>
        <v/>
      </c>
      <c r="V848" s="17">
        <f>IF($W848="","",CHOOSE($W848,"Collection Email","1st Follow-up","2nd Follow-up","Local Office","CBE","Roxanne")&amp;IF($W848=6," - Final"," - Day "&amp;MAX(0,NETWORKDAYS($X848,TODAY(),Holidays)-1)&amp;" of "&amp;CHOOSE($W848,3,3,2,2,3))&amp;" | Total Day "&amp;MAX(0,NETWORKDAYS($L848,TODAY(),Holidays)-1))</f>
        <v/>
      </c>
      <c r="W848" s="17">
        <f>IF($L848="","",COUNT($L848:$Q848))</f>
        <v/>
      </c>
      <c r="X848" s="18">
        <f>IF($W848="","",INT(INDEX($L848:$Q848,$W848)))</f>
        <v/>
      </c>
      <c r="Y848" s="18">
        <f>IF(OR($W848="",$W848=6),"",WORKDAY($X848,CHOOSE($W848,3,3,2,2,3),Holidays))</f>
        <v/>
      </c>
      <c r="Z848" s="17">
        <f>IF(OR($W848="",$W848=6),"",CHOOSE($W848,"1st Email Follow-up","2nd Email Follow-up","Escalate Local Office","Escalate to CBE","Escalate to Roxanne"))</f>
        <v/>
      </c>
    </row>
    <row r="849" spans="18:26">
      <c r="R849" s="15"/>
      <c r="S849" s="16"/>
      <c r="T849" s="17">
        <f>IF(AND(COUNTA($A849:$K849)=0,$L849=""),"",IF($S849="Paid","PAID",IF($S849="Closed","CLOSED",IF($W849="","",IF($W849=6,"ESCALATED TO ROXANNE",IF(TODAY()&gt;$Y849,"OVERDUE",IF($Y849&lt;=WORKDAY(TODAY(),1,Holidays),"DUE TOMORROW",IF($W849=4,"ESCALATED TO LOCAL OFFICE",IF($W849=5,"ESCALATED TO CBE",IF($X849=TODAY(),"EMAIL SENT","MONITORING"))))))))))</f>
        <v/>
      </c>
      <c r="U849" s="17">
        <f>IF($T849="",IF(AND(COUNTA($A849:$K849)&gt;0,$L849=""),"Awaiting Collection Email time stamp.",""),IF(OR($T849="PAID",$T849="CLOSED"),IF($T849="PAID","Account paid. Action completed.","Account closed. No further action required."),CHOOSE($W849,"Collection Email","1st Email Follow-up","2nd Email Follow-up","Escalation to Local Office","Escalation to CBE","Escalation to Roxanne")&amp;" sent "&amp;TEXT($X849,"dd-mmm")&amp;". "&amp;IF($W849=6,"Final escalation completed.",IF($T849="OVERDUE","Next: "&amp;$Z849&amp;" was due "&amp;TEXT($Y849,"dd-mmm")&amp;" - "&amp;(NETWORKDAYS($Y849,TODAY(),Holidays)-1)&amp;" business day(s) late. Send now.",IF($T849="DUE TOMORROW","Next: "&amp;$Z849&amp;IF($Y849&lt;=TODAY()," is due TODAY ("," is due next business day (")&amp;TEXT($Y849,"dd-mmm")&amp;").","Next: "&amp;$Z849&amp;" due "&amp;TEXT($Y849,"dd-mmm")&amp;" ("&amp;(NETWORKDAYS(TODAY(),$Y849,Holidays)-1)&amp;" business day(s) left).")))))</f>
        <v/>
      </c>
      <c r="V849" s="17">
        <f>IF($W849="","",CHOOSE($W849,"Collection Email","1st Follow-up","2nd Follow-up","Local Office","CBE","Roxanne")&amp;IF($W849=6," - Final"," - Day "&amp;MAX(0,NETWORKDAYS($X849,TODAY(),Holidays)-1)&amp;" of "&amp;CHOOSE($W849,3,3,2,2,3))&amp;" | Total Day "&amp;MAX(0,NETWORKDAYS($L849,TODAY(),Holidays)-1))</f>
        <v/>
      </c>
      <c r="W849" s="17">
        <f>IF($L849="","",COUNT($L849:$Q849))</f>
        <v/>
      </c>
      <c r="X849" s="18">
        <f>IF($W849="","",INT(INDEX($L849:$Q849,$W849)))</f>
        <v/>
      </c>
      <c r="Y849" s="18">
        <f>IF(OR($W849="",$W849=6),"",WORKDAY($X849,CHOOSE($W849,3,3,2,2,3),Holidays))</f>
        <v/>
      </c>
      <c r="Z849" s="17">
        <f>IF(OR($W849="",$W849=6),"",CHOOSE($W849,"1st Email Follow-up","2nd Email Follow-up","Escalate Local Office","Escalate to CBE","Escalate to Roxanne"))</f>
        <v/>
      </c>
    </row>
    <row r="850" spans="18:26">
      <c r="R850" s="15"/>
      <c r="S850" s="16"/>
      <c r="T850" s="17">
        <f>IF(AND(COUNTA($A850:$K850)=0,$L850=""),"",IF($S850="Paid","PAID",IF($S850="Closed","CLOSED",IF($W850="","",IF($W850=6,"ESCALATED TO ROXANNE",IF(TODAY()&gt;$Y850,"OVERDUE",IF($Y850&lt;=WORKDAY(TODAY(),1,Holidays),"DUE TOMORROW",IF($W850=4,"ESCALATED TO LOCAL OFFICE",IF($W850=5,"ESCALATED TO CBE",IF($X850=TODAY(),"EMAIL SENT","MONITORING"))))))))))</f>
        <v/>
      </c>
      <c r="U850" s="17">
        <f>IF($T850="",IF(AND(COUNTA($A850:$K850)&gt;0,$L850=""),"Awaiting Collection Email time stamp.",""),IF(OR($T850="PAID",$T850="CLOSED"),IF($T850="PAID","Account paid. Action completed.","Account closed. No further action required."),CHOOSE($W850,"Collection Email","1st Email Follow-up","2nd Email Follow-up","Escalation to Local Office","Escalation to CBE","Escalation to Roxanne")&amp;" sent "&amp;TEXT($X850,"dd-mmm")&amp;". "&amp;IF($W850=6,"Final escalation completed.",IF($T850="OVERDUE","Next: "&amp;$Z850&amp;" was due "&amp;TEXT($Y850,"dd-mmm")&amp;" - "&amp;(NETWORKDAYS($Y850,TODAY(),Holidays)-1)&amp;" business day(s) late. Send now.",IF($T850="DUE TOMORROW","Next: "&amp;$Z850&amp;IF($Y850&lt;=TODAY()," is due TODAY ("," is due next business day (")&amp;TEXT($Y850,"dd-mmm")&amp;").","Next: "&amp;$Z850&amp;" due "&amp;TEXT($Y850,"dd-mmm")&amp;" ("&amp;(NETWORKDAYS(TODAY(),$Y850,Holidays)-1)&amp;" business day(s) left).")))))</f>
        <v/>
      </c>
      <c r="V850" s="17">
        <f>IF($W850="","",CHOOSE($W850,"Collection Email","1st Follow-up","2nd Follow-up","Local Office","CBE","Roxanne")&amp;IF($W850=6," - Final"," - Day "&amp;MAX(0,NETWORKDAYS($X850,TODAY(),Holidays)-1)&amp;" of "&amp;CHOOSE($W850,3,3,2,2,3))&amp;" | Total Day "&amp;MAX(0,NETWORKDAYS($L850,TODAY(),Holidays)-1))</f>
        <v/>
      </c>
      <c r="W850" s="17">
        <f>IF($L850="","",COUNT($L850:$Q850))</f>
        <v/>
      </c>
      <c r="X850" s="18">
        <f>IF($W850="","",INT(INDEX($L850:$Q850,$W850)))</f>
        <v/>
      </c>
      <c r="Y850" s="18">
        <f>IF(OR($W850="",$W850=6),"",WORKDAY($X850,CHOOSE($W850,3,3,2,2,3),Holidays))</f>
        <v/>
      </c>
      <c r="Z850" s="17">
        <f>IF(OR($W850="",$W850=6),"",CHOOSE($W850,"1st Email Follow-up","2nd Email Follow-up","Escalate Local Office","Escalate to CBE","Escalate to Roxanne"))</f>
        <v/>
      </c>
    </row>
    <row r="851" spans="18:26">
      <c r="R851" s="15"/>
      <c r="S851" s="16"/>
      <c r="T851" s="17">
        <f>IF(AND(COUNTA($A851:$K851)=0,$L851=""),"",IF($S851="Paid","PAID",IF($S851="Closed","CLOSED",IF($W851="","",IF($W851=6,"ESCALATED TO ROXANNE",IF(TODAY()&gt;$Y851,"OVERDUE",IF($Y851&lt;=WORKDAY(TODAY(),1,Holidays),"DUE TOMORROW",IF($W851=4,"ESCALATED TO LOCAL OFFICE",IF($W851=5,"ESCALATED TO CBE",IF($X851=TODAY(),"EMAIL SENT","MONITORING"))))))))))</f>
        <v/>
      </c>
      <c r="U851" s="17">
        <f>IF($T851="",IF(AND(COUNTA($A851:$K851)&gt;0,$L851=""),"Awaiting Collection Email time stamp.",""),IF(OR($T851="PAID",$T851="CLOSED"),IF($T851="PAID","Account paid. Action completed.","Account closed. No further action required."),CHOOSE($W851,"Collection Email","1st Email Follow-up","2nd Email Follow-up","Escalation to Local Office","Escalation to CBE","Escalation to Roxanne")&amp;" sent "&amp;TEXT($X851,"dd-mmm")&amp;". "&amp;IF($W851=6,"Final escalation completed.",IF($T851="OVERDUE","Next: "&amp;$Z851&amp;" was due "&amp;TEXT($Y851,"dd-mmm")&amp;" - "&amp;(NETWORKDAYS($Y851,TODAY(),Holidays)-1)&amp;" business day(s) late. Send now.",IF($T851="DUE TOMORROW","Next: "&amp;$Z851&amp;IF($Y851&lt;=TODAY()," is due TODAY ("," is due next business day (")&amp;TEXT($Y851,"dd-mmm")&amp;").","Next: "&amp;$Z851&amp;" due "&amp;TEXT($Y851,"dd-mmm")&amp;" ("&amp;(NETWORKDAYS(TODAY(),$Y851,Holidays)-1)&amp;" business day(s) left).")))))</f>
        <v/>
      </c>
      <c r="V851" s="17">
        <f>IF($W851="","",CHOOSE($W851,"Collection Email","1st Follow-up","2nd Follow-up","Local Office","CBE","Roxanne")&amp;IF($W851=6," - Final"," - Day "&amp;MAX(0,NETWORKDAYS($X851,TODAY(),Holidays)-1)&amp;" of "&amp;CHOOSE($W851,3,3,2,2,3))&amp;" | Total Day "&amp;MAX(0,NETWORKDAYS($L851,TODAY(),Holidays)-1))</f>
        <v/>
      </c>
      <c r="W851" s="17">
        <f>IF($L851="","",COUNT($L851:$Q851))</f>
        <v/>
      </c>
      <c r="X851" s="18">
        <f>IF($W851="","",INT(INDEX($L851:$Q851,$W851)))</f>
        <v/>
      </c>
      <c r="Y851" s="18">
        <f>IF(OR($W851="",$W851=6),"",WORKDAY($X851,CHOOSE($W851,3,3,2,2,3),Holidays))</f>
        <v/>
      </c>
      <c r="Z851" s="17">
        <f>IF(OR($W851="",$W851=6),"",CHOOSE($W851,"1st Email Follow-up","2nd Email Follow-up","Escalate Local Office","Escalate to CBE","Escalate to Roxanne"))</f>
        <v/>
      </c>
    </row>
    <row r="852" spans="18:26">
      <c r="R852" s="15"/>
      <c r="S852" s="16"/>
      <c r="T852" s="17">
        <f>IF(AND(COUNTA($A852:$K852)=0,$L852=""),"",IF($S852="Paid","PAID",IF($S852="Closed","CLOSED",IF($W852="","",IF($W852=6,"ESCALATED TO ROXANNE",IF(TODAY()&gt;$Y852,"OVERDUE",IF($Y852&lt;=WORKDAY(TODAY(),1,Holidays),"DUE TOMORROW",IF($W852=4,"ESCALATED TO LOCAL OFFICE",IF($W852=5,"ESCALATED TO CBE",IF($X852=TODAY(),"EMAIL SENT","MONITORING"))))))))))</f>
        <v/>
      </c>
      <c r="U852" s="17">
        <f>IF($T852="",IF(AND(COUNTA($A852:$K852)&gt;0,$L852=""),"Awaiting Collection Email time stamp.",""),IF(OR($T852="PAID",$T852="CLOSED"),IF($T852="PAID","Account paid. Action completed.","Account closed. No further action required."),CHOOSE($W852,"Collection Email","1st Email Follow-up","2nd Email Follow-up","Escalation to Local Office","Escalation to CBE","Escalation to Roxanne")&amp;" sent "&amp;TEXT($X852,"dd-mmm")&amp;". "&amp;IF($W852=6,"Final escalation completed.",IF($T852="OVERDUE","Next: "&amp;$Z852&amp;" was due "&amp;TEXT($Y852,"dd-mmm")&amp;" - "&amp;(NETWORKDAYS($Y852,TODAY(),Holidays)-1)&amp;" business day(s) late. Send now.",IF($T852="DUE TOMORROW","Next: "&amp;$Z852&amp;IF($Y852&lt;=TODAY()," is due TODAY ("," is due next business day (")&amp;TEXT($Y852,"dd-mmm")&amp;").","Next: "&amp;$Z852&amp;" due "&amp;TEXT($Y852,"dd-mmm")&amp;" ("&amp;(NETWORKDAYS(TODAY(),$Y852,Holidays)-1)&amp;" business day(s) left).")))))</f>
        <v/>
      </c>
      <c r="V852" s="17">
        <f>IF($W852="","",CHOOSE($W852,"Collection Email","1st Follow-up","2nd Follow-up","Local Office","CBE","Roxanne")&amp;IF($W852=6," - Final"," - Day "&amp;MAX(0,NETWORKDAYS($X852,TODAY(),Holidays)-1)&amp;" of "&amp;CHOOSE($W852,3,3,2,2,3))&amp;" | Total Day "&amp;MAX(0,NETWORKDAYS($L852,TODAY(),Holidays)-1))</f>
        <v/>
      </c>
      <c r="W852" s="17">
        <f>IF($L852="","",COUNT($L852:$Q852))</f>
        <v/>
      </c>
      <c r="X852" s="18">
        <f>IF($W852="","",INT(INDEX($L852:$Q852,$W852)))</f>
        <v/>
      </c>
      <c r="Y852" s="18">
        <f>IF(OR($W852="",$W852=6),"",WORKDAY($X852,CHOOSE($W852,3,3,2,2,3),Holidays))</f>
        <v/>
      </c>
      <c r="Z852" s="17">
        <f>IF(OR($W852="",$W852=6),"",CHOOSE($W852,"1st Email Follow-up","2nd Email Follow-up","Escalate Local Office","Escalate to CBE","Escalate to Roxanne"))</f>
        <v/>
      </c>
    </row>
    <row r="853" spans="18:26">
      <c r="R853" s="15"/>
      <c r="S853" s="16"/>
      <c r="T853" s="17">
        <f>IF(AND(COUNTA($A853:$K853)=0,$L853=""),"",IF($S853="Paid","PAID",IF($S853="Closed","CLOSED",IF($W853="","",IF($W853=6,"ESCALATED TO ROXANNE",IF(TODAY()&gt;$Y853,"OVERDUE",IF($Y853&lt;=WORKDAY(TODAY(),1,Holidays),"DUE TOMORROW",IF($W853=4,"ESCALATED TO LOCAL OFFICE",IF($W853=5,"ESCALATED TO CBE",IF($X853=TODAY(),"EMAIL SENT","MONITORING"))))))))))</f>
        <v/>
      </c>
      <c r="U853" s="17">
        <f>IF($T853="",IF(AND(COUNTA($A853:$K853)&gt;0,$L853=""),"Awaiting Collection Email time stamp.",""),IF(OR($T853="PAID",$T853="CLOSED"),IF($T853="PAID","Account paid. Action completed.","Account closed. No further action required."),CHOOSE($W853,"Collection Email","1st Email Follow-up","2nd Email Follow-up","Escalation to Local Office","Escalation to CBE","Escalation to Roxanne")&amp;" sent "&amp;TEXT($X853,"dd-mmm")&amp;". "&amp;IF($W853=6,"Final escalation completed.",IF($T853="OVERDUE","Next: "&amp;$Z853&amp;" was due "&amp;TEXT($Y853,"dd-mmm")&amp;" - "&amp;(NETWORKDAYS($Y853,TODAY(),Holidays)-1)&amp;" business day(s) late. Send now.",IF($T853="DUE TOMORROW","Next: "&amp;$Z853&amp;IF($Y853&lt;=TODAY()," is due TODAY ("," is due next business day (")&amp;TEXT($Y853,"dd-mmm")&amp;").","Next: "&amp;$Z853&amp;" due "&amp;TEXT($Y853,"dd-mmm")&amp;" ("&amp;(NETWORKDAYS(TODAY(),$Y853,Holidays)-1)&amp;" business day(s) left).")))))</f>
        <v/>
      </c>
      <c r="V853" s="17">
        <f>IF($W853="","",CHOOSE($W853,"Collection Email","1st Follow-up","2nd Follow-up","Local Office","CBE","Roxanne")&amp;IF($W853=6," - Final"," - Day "&amp;MAX(0,NETWORKDAYS($X853,TODAY(),Holidays)-1)&amp;" of "&amp;CHOOSE($W853,3,3,2,2,3))&amp;" | Total Day "&amp;MAX(0,NETWORKDAYS($L853,TODAY(),Holidays)-1))</f>
        <v/>
      </c>
      <c r="W853" s="17">
        <f>IF($L853="","",COUNT($L853:$Q853))</f>
        <v/>
      </c>
      <c r="X853" s="18">
        <f>IF($W853="","",INT(INDEX($L853:$Q853,$W853)))</f>
        <v/>
      </c>
      <c r="Y853" s="18">
        <f>IF(OR($W853="",$W853=6),"",WORKDAY($X853,CHOOSE($W853,3,3,2,2,3),Holidays))</f>
        <v/>
      </c>
      <c r="Z853" s="17">
        <f>IF(OR($W853="",$W853=6),"",CHOOSE($W853,"1st Email Follow-up","2nd Email Follow-up","Escalate Local Office","Escalate to CBE","Escalate to Roxanne"))</f>
        <v/>
      </c>
    </row>
    <row r="854" spans="18:26">
      <c r="R854" s="15"/>
      <c r="S854" s="16"/>
      <c r="T854" s="17">
        <f>IF(AND(COUNTA($A854:$K854)=0,$L854=""),"",IF($S854="Paid","PAID",IF($S854="Closed","CLOSED",IF($W854="","",IF($W854=6,"ESCALATED TO ROXANNE",IF(TODAY()&gt;$Y854,"OVERDUE",IF($Y854&lt;=WORKDAY(TODAY(),1,Holidays),"DUE TOMORROW",IF($W854=4,"ESCALATED TO LOCAL OFFICE",IF($W854=5,"ESCALATED TO CBE",IF($X854=TODAY(),"EMAIL SENT","MONITORING"))))))))))</f>
        <v/>
      </c>
      <c r="U854" s="17">
        <f>IF($T854="",IF(AND(COUNTA($A854:$K854)&gt;0,$L854=""),"Awaiting Collection Email time stamp.",""),IF(OR($T854="PAID",$T854="CLOSED"),IF($T854="PAID","Account paid. Action completed.","Account closed. No further action required."),CHOOSE($W854,"Collection Email","1st Email Follow-up","2nd Email Follow-up","Escalation to Local Office","Escalation to CBE","Escalation to Roxanne")&amp;" sent "&amp;TEXT($X854,"dd-mmm")&amp;". "&amp;IF($W854=6,"Final escalation completed.",IF($T854="OVERDUE","Next: "&amp;$Z854&amp;" was due "&amp;TEXT($Y854,"dd-mmm")&amp;" - "&amp;(NETWORKDAYS($Y854,TODAY(),Holidays)-1)&amp;" business day(s) late. Send now.",IF($T854="DUE TOMORROW","Next: "&amp;$Z854&amp;IF($Y854&lt;=TODAY()," is due TODAY ("," is due next business day (")&amp;TEXT($Y854,"dd-mmm")&amp;").","Next: "&amp;$Z854&amp;" due "&amp;TEXT($Y854,"dd-mmm")&amp;" ("&amp;(NETWORKDAYS(TODAY(),$Y854,Holidays)-1)&amp;" business day(s) left).")))))</f>
        <v/>
      </c>
      <c r="V854" s="17">
        <f>IF($W854="","",CHOOSE($W854,"Collection Email","1st Follow-up","2nd Follow-up","Local Office","CBE","Roxanne")&amp;IF($W854=6," - Final"," - Day "&amp;MAX(0,NETWORKDAYS($X854,TODAY(),Holidays)-1)&amp;" of "&amp;CHOOSE($W854,3,3,2,2,3))&amp;" | Total Day "&amp;MAX(0,NETWORKDAYS($L854,TODAY(),Holidays)-1))</f>
        <v/>
      </c>
      <c r="W854" s="17">
        <f>IF($L854="","",COUNT($L854:$Q854))</f>
        <v/>
      </c>
      <c r="X854" s="18">
        <f>IF($W854="","",INT(INDEX($L854:$Q854,$W854)))</f>
        <v/>
      </c>
      <c r="Y854" s="18">
        <f>IF(OR($W854="",$W854=6),"",WORKDAY($X854,CHOOSE($W854,3,3,2,2,3),Holidays))</f>
        <v/>
      </c>
      <c r="Z854" s="17">
        <f>IF(OR($W854="",$W854=6),"",CHOOSE($W854,"1st Email Follow-up","2nd Email Follow-up","Escalate Local Office","Escalate to CBE","Escalate to Roxanne"))</f>
        <v/>
      </c>
    </row>
    <row r="855" spans="18:26">
      <c r="R855" s="15"/>
      <c r="S855" s="16"/>
      <c r="T855" s="17">
        <f>IF(AND(COUNTA($A855:$K855)=0,$L855=""),"",IF($S855="Paid","PAID",IF($S855="Closed","CLOSED",IF($W855="","",IF($W855=6,"ESCALATED TO ROXANNE",IF(TODAY()&gt;$Y855,"OVERDUE",IF($Y855&lt;=WORKDAY(TODAY(),1,Holidays),"DUE TOMORROW",IF($W855=4,"ESCALATED TO LOCAL OFFICE",IF($W855=5,"ESCALATED TO CBE",IF($X855=TODAY(),"EMAIL SENT","MONITORING"))))))))))</f>
        <v/>
      </c>
      <c r="U855" s="17">
        <f>IF($T855="",IF(AND(COUNTA($A855:$K855)&gt;0,$L855=""),"Awaiting Collection Email time stamp.",""),IF(OR($T855="PAID",$T855="CLOSED"),IF($T855="PAID","Account paid. Action completed.","Account closed. No further action required."),CHOOSE($W855,"Collection Email","1st Email Follow-up","2nd Email Follow-up","Escalation to Local Office","Escalation to CBE","Escalation to Roxanne")&amp;" sent "&amp;TEXT($X855,"dd-mmm")&amp;". "&amp;IF($W855=6,"Final escalation completed.",IF($T855="OVERDUE","Next: "&amp;$Z855&amp;" was due "&amp;TEXT($Y855,"dd-mmm")&amp;" - "&amp;(NETWORKDAYS($Y855,TODAY(),Holidays)-1)&amp;" business day(s) late. Send now.",IF($T855="DUE TOMORROW","Next: "&amp;$Z855&amp;IF($Y855&lt;=TODAY()," is due TODAY ("," is due next business day (")&amp;TEXT($Y855,"dd-mmm")&amp;").","Next: "&amp;$Z855&amp;" due "&amp;TEXT($Y855,"dd-mmm")&amp;" ("&amp;(NETWORKDAYS(TODAY(),$Y855,Holidays)-1)&amp;" business day(s) left).")))))</f>
        <v/>
      </c>
      <c r="V855" s="17">
        <f>IF($W855="","",CHOOSE($W855,"Collection Email","1st Follow-up","2nd Follow-up","Local Office","CBE","Roxanne")&amp;IF($W855=6," - Final"," - Day "&amp;MAX(0,NETWORKDAYS($X855,TODAY(),Holidays)-1)&amp;" of "&amp;CHOOSE($W855,3,3,2,2,3))&amp;" | Total Day "&amp;MAX(0,NETWORKDAYS($L855,TODAY(),Holidays)-1))</f>
        <v/>
      </c>
      <c r="W855" s="17">
        <f>IF($L855="","",COUNT($L855:$Q855))</f>
        <v/>
      </c>
      <c r="X855" s="18">
        <f>IF($W855="","",INT(INDEX($L855:$Q855,$W855)))</f>
        <v/>
      </c>
      <c r="Y855" s="18">
        <f>IF(OR($W855="",$W855=6),"",WORKDAY($X855,CHOOSE($W855,3,3,2,2,3),Holidays))</f>
        <v/>
      </c>
      <c r="Z855" s="17">
        <f>IF(OR($W855="",$W855=6),"",CHOOSE($W855,"1st Email Follow-up","2nd Email Follow-up","Escalate Local Office","Escalate to CBE","Escalate to Roxanne"))</f>
        <v/>
      </c>
    </row>
    <row r="856" spans="18:26">
      <c r="R856" s="15"/>
      <c r="S856" s="16"/>
      <c r="T856" s="17">
        <f>IF(AND(COUNTA($A856:$K856)=0,$L856=""),"",IF($S856="Paid","PAID",IF($S856="Closed","CLOSED",IF($W856="","",IF($W856=6,"ESCALATED TO ROXANNE",IF(TODAY()&gt;$Y856,"OVERDUE",IF($Y856&lt;=WORKDAY(TODAY(),1,Holidays),"DUE TOMORROW",IF($W856=4,"ESCALATED TO LOCAL OFFICE",IF($W856=5,"ESCALATED TO CBE",IF($X856=TODAY(),"EMAIL SENT","MONITORING"))))))))))</f>
        <v/>
      </c>
      <c r="U856" s="17">
        <f>IF($T856="",IF(AND(COUNTA($A856:$K856)&gt;0,$L856=""),"Awaiting Collection Email time stamp.",""),IF(OR($T856="PAID",$T856="CLOSED"),IF($T856="PAID","Account paid. Action completed.","Account closed. No further action required."),CHOOSE($W856,"Collection Email","1st Email Follow-up","2nd Email Follow-up","Escalation to Local Office","Escalation to CBE","Escalation to Roxanne")&amp;" sent "&amp;TEXT($X856,"dd-mmm")&amp;". "&amp;IF($W856=6,"Final escalation completed.",IF($T856="OVERDUE","Next: "&amp;$Z856&amp;" was due "&amp;TEXT($Y856,"dd-mmm")&amp;" - "&amp;(NETWORKDAYS($Y856,TODAY(),Holidays)-1)&amp;" business day(s) late. Send now.",IF($T856="DUE TOMORROW","Next: "&amp;$Z856&amp;IF($Y856&lt;=TODAY()," is due TODAY ("," is due next business day (")&amp;TEXT($Y856,"dd-mmm")&amp;").","Next: "&amp;$Z856&amp;" due "&amp;TEXT($Y856,"dd-mmm")&amp;" ("&amp;(NETWORKDAYS(TODAY(),$Y856,Holidays)-1)&amp;" business day(s) left).")))))</f>
        <v/>
      </c>
      <c r="V856" s="17">
        <f>IF($W856="","",CHOOSE($W856,"Collection Email","1st Follow-up","2nd Follow-up","Local Office","CBE","Roxanne")&amp;IF($W856=6," - Final"," - Day "&amp;MAX(0,NETWORKDAYS($X856,TODAY(),Holidays)-1)&amp;" of "&amp;CHOOSE($W856,3,3,2,2,3))&amp;" | Total Day "&amp;MAX(0,NETWORKDAYS($L856,TODAY(),Holidays)-1))</f>
        <v/>
      </c>
      <c r="W856" s="17">
        <f>IF($L856="","",COUNT($L856:$Q856))</f>
        <v/>
      </c>
      <c r="X856" s="18">
        <f>IF($W856="","",INT(INDEX($L856:$Q856,$W856)))</f>
        <v/>
      </c>
      <c r="Y856" s="18">
        <f>IF(OR($W856="",$W856=6),"",WORKDAY($X856,CHOOSE($W856,3,3,2,2,3),Holidays))</f>
        <v/>
      </c>
      <c r="Z856" s="17">
        <f>IF(OR($W856="",$W856=6),"",CHOOSE($W856,"1st Email Follow-up","2nd Email Follow-up","Escalate Local Office","Escalate to CBE","Escalate to Roxanne"))</f>
        <v/>
      </c>
    </row>
    <row r="857" spans="18:26">
      <c r="R857" s="15"/>
      <c r="S857" s="16"/>
      <c r="T857" s="17">
        <f>IF(AND(COUNTA($A857:$K857)=0,$L857=""),"",IF($S857="Paid","PAID",IF($S857="Closed","CLOSED",IF($W857="","",IF($W857=6,"ESCALATED TO ROXANNE",IF(TODAY()&gt;$Y857,"OVERDUE",IF($Y857&lt;=WORKDAY(TODAY(),1,Holidays),"DUE TOMORROW",IF($W857=4,"ESCALATED TO LOCAL OFFICE",IF($W857=5,"ESCALATED TO CBE",IF($X857=TODAY(),"EMAIL SENT","MONITORING"))))))))))</f>
        <v/>
      </c>
      <c r="U857" s="17">
        <f>IF($T857="",IF(AND(COUNTA($A857:$K857)&gt;0,$L857=""),"Awaiting Collection Email time stamp.",""),IF(OR($T857="PAID",$T857="CLOSED"),IF($T857="PAID","Account paid. Action completed.","Account closed. No further action required."),CHOOSE($W857,"Collection Email","1st Email Follow-up","2nd Email Follow-up","Escalation to Local Office","Escalation to CBE","Escalation to Roxanne")&amp;" sent "&amp;TEXT($X857,"dd-mmm")&amp;". "&amp;IF($W857=6,"Final escalation completed.",IF($T857="OVERDUE","Next: "&amp;$Z857&amp;" was due "&amp;TEXT($Y857,"dd-mmm")&amp;" - "&amp;(NETWORKDAYS($Y857,TODAY(),Holidays)-1)&amp;" business day(s) late. Send now.",IF($T857="DUE TOMORROW","Next: "&amp;$Z857&amp;IF($Y857&lt;=TODAY()," is due TODAY ("," is due next business day (")&amp;TEXT($Y857,"dd-mmm")&amp;").","Next: "&amp;$Z857&amp;" due "&amp;TEXT($Y857,"dd-mmm")&amp;" ("&amp;(NETWORKDAYS(TODAY(),$Y857,Holidays)-1)&amp;" business day(s) left).")))))</f>
        <v/>
      </c>
      <c r="V857" s="17">
        <f>IF($W857="","",CHOOSE($W857,"Collection Email","1st Follow-up","2nd Follow-up","Local Office","CBE","Roxanne")&amp;IF($W857=6," - Final"," - Day "&amp;MAX(0,NETWORKDAYS($X857,TODAY(),Holidays)-1)&amp;" of "&amp;CHOOSE($W857,3,3,2,2,3))&amp;" | Total Day "&amp;MAX(0,NETWORKDAYS($L857,TODAY(),Holidays)-1))</f>
        <v/>
      </c>
      <c r="W857" s="17">
        <f>IF($L857="","",COUNT($L857:$Q857))</f>
        <v/>
      </c>
      <c r="X857" s="18">
        <f>IF($W857="","",INT(INDEX($L857:$Q857,$W857)))</f>
        <v/>
      </c>
      <c r="Y857" s="18">
        <f>IF(OR($W857="",$W857=6),"",WORKDAY($X857,CHOOSE($W857,3,3,2,2,3),Holidays))</f>
        <v/>
      </c>
      <c r="Z857" s="17">
        <f>IF(OR($W857="",$W857=6),"",CHOOSE($W857,"1st Email Follow-up","2nd Email Follow-up","Escalate Local Office","Escalate to CBE","Escalate to Roxanne"))</f>
        <v/>
      </c>
    </row>
    <row r="858" spans="18:26">
      <c r="R858" s="15"/>
      <c r="S858" s="16"/>
      <c r="T858" s="17">
        <f>IF(AND(COUNTA($A858:$K858)=0,$L858=""),"",IF($S858="Paid","PAID",IF($S858="Closed","CLOSED",IF($W858="","",IF($W858=6,"ESCALATED TO ROXANNE",IF(TODAY()&gt;$Y858,"OVERDUE",IF($Y858&lt;=WORKDAY(TODAY(),1,Holidays),"DUE TOMORROW",IF($W858=4,"ESCALATED TO LOCAL OFFICE",IF($W858=5,"ESCALATED TO CBE",IF($X858=TODAY(),"EMAIL SENT","MONITORING"))))))))))</f>
        <v/>
      </c>
      <c r="U858" s="17">
        <f>IF($T858="",IF(AND(COUNTA($A858:$K858)&gt;0,$L858=""),"Awaiting Collection Email time stamp.",""),IF(OR($T858="PAID",$T858="CLOSED"),IF($T858="PAID","Account paid. Action completed.","Account closed. No further action required."),CHOOSE($W858,"Collection Email","1st Email Follow-up","2nd Email Follow-up","Escalation to Local Office","Escalation to CBE","Escalation to Roxanne")&amp;" sent "&amp;TEXT($X858,"dd-mmm")&amp;". "&amp;IF($W858=6,"Final escalation completed.",IF($T858="OVERDUE","Next: "&amp;$Z858&amp;" was due "&amp;TEXT($Y858,"dd-mmm")&amp;" - "&amp;(NETWORKDAYS($Y858,TODAY(),Holidays)-1)&amp;" business day(s) late. Send now.",IF($T858="DUE TOMORROW","Next: "&amp;$Z858&amp;IF($Y858&lt;=TODAY()," is due TODAY ("," is due next business day (")&amp;TEXT($Y858,"dd-mmm")&amp;").","Next: "&amp;$Z858&amp;" due "&amp;TEXT($Y858,"dd-mmm")&amp;" ("&amp;(NETWORKDAYS(TODAY(),$Y858,Holidays)-1)&amp;" business day(s) left).")))))</f>
        <v/>
      </c>
      <c r="V858" s="17">
        <f>IF($W858="","",CHOOSE($W858,"Collection Email","1st Follow-up","2nd Follow-up","Local Office","CBE","Roxanne")&amp;IF($W858=6," - Final"," - Day "&amp;MAX(0,NETWORKDAYS($X858,TODAY(),Holidays)-1)&amp;" of "&amp;CHOOSE($W858,3,3,2,2,3))&amp;" | Total Day "&amp;MAX(0,NETWORKDAYS($L858,TODAY(),Holidays)-1))</f>
        <v/>
      </c>
      <c r="W858" s="17">
        <f>IF($L858="","",COUNT($L858:$Q858))</f>
        <v/>
      </c>
      <c r="X858" s="18">
        <f>IF($W858="","",INT(INDEX($L858:$Q858,$W858)))</f>
        <v/>
      </c>
      <c r="Y858" s="18">
        <f>IF(OR($W858="",$W858=6),"",WORKDAY($X858,CHOOSE($W858,3,3,2,2,3),Holidays))</f>
        <v/>
      </c>
      <c r="Z858" s="17">
        <f>IF(OR($W858="",$W858=6),"",CHOOSE($W858,"1st Email Follow-up","2nd Email Follow-up","Escalate Local Office","Escalate to CBE","Escalate to Roxanne"))</f>
        <v/>
      </c>
    </row>
    <row r="859" spans="18:26">
      <c r="R859" s="15"/>
      <c r="S859" s="16"/>
      <c r="T859" s="17">
        <f>IF(AND(COUNTA($A859:$K859)=0,$L859=""),"",IF($S859="Paid","PAID",IF($S859="Closed","CLOSED",IF($W859="","",IF($W859=6,"ESCALATED TO ROXANNE",IF(TODAY()&gt;$Y859,"OVERDUE",IF($Y859&lt;=WORKDAY(TODAY(),1,Holidays),"DUE TOMORROW",IF($W859=4,"ESCALATED TO LOCAL OFFICE",IF($W859=5,"ESCALATED TO CBE",IF($X859=TODAY(),"EMAIL SENT","MONITORING"))))))))))</f>
        <v/>
      </c>
      <c r="U859" s="17">
        <f>IF($T859="",IF(AND(COUNTA($A859:$K859)&gt;0,$L859=""),"Awaiting Collection Email time stamp.",""),IF(OR($T859="PAID",$T859="CLOSED"),IF($T859="PAID","Account paid. Action completed.","Account closed. No further action required."),CHOOSE($W859,"Collection Email","1st Email Follow-up","2nd Email Follow-up","Escalation to Local Office","Escalation to CBE","Escalation to Roxanne")&amp;" sent "&amp;TEXT($X859,"dd-mmm")&amp;". "&amp;IF($W859=6,"Final escalation completed.",IF($T859="OVERDUE","Next: "&amp;$Z859&amp;" was due "&amp;TEXT($Y859,"dd-mmm")&amp;" - "&amp;(NETWORKDAYS($Y859,TODAY(),Holidays)-1)&amp;" business day(s) late. Send now.",IF($T859="DUE TOMORROW","Next: "&amp;$Z859&amp;IF($Y859&lt;=TODAY()," is due TODAY ("," is due next business day (")&amp;TEXT($Y859,"dd-mmm")&amp;").","Next: "&amp;$Z859&amp;" due "&amp;TEXT($Y859,"dd-mmm")&amp;" ("&amp;(NETWORKDAYS(TODAY(),$Y859,Holidays)-1)&amp;" business day(s) left).")))))</f>
        <v/>
      </c>
      <c r="V859" s="17">
        <f>IF($W859="","",CHOOSE($W859,"Collection Email","1st Follow-up","2nd Follow-up","Local Office","CBE","Roxanne")&amp;IF($W859=6," - Final"," - Day "&amp;MAX(0,NETWORKDAYS($X859,TODAY(),Holidays)-1)&amp;" of "&amp;CHOOSE($W859,3,3,2,2,3))&amp;" | Total Day "&amp;MAX(0,NETWORKDAYS($L859,TODAY(),Holidays)-1))</f>
        <v/>
      </c>
      <c r="W859" s="17">
        <f>IF($L859="","",COUNT($L859:$Q859))</f>
        <v/>
      </c>
      <c r="X859" s="18">
        <f>IF($W859="","",INT(INDEX($L859:$Q859,$W859)))</f>
        <v/>
      </c>
      <c r="Y859" s="18">
        <f>IF(OR($W859="",$W859=6),"",WORKDAY($X859,CHOOSE($W859,3,3,2,2,3),Holidays))</f>
        <v/>
      </c>
      <c r="Z859" s="17">
        <f>IF(OR($W859="",$W859=6),"",CHOOSE($W859,"1st Email Follow-up","2nd Email Follow-up","Escalate Local Office","Escalate to CBE","Escalate to Roxanne"))</f>
        <v/>
      </c>
    </row>
    <row r="860" spans="18:26">
      <c r="R860" s="15"/>
      <c r="S860" s="16"/>
      <c r="T860" s="17">
        <f>IF(AND(COUNTA($A860:$K860)=0,$L860=""),"",IF($S860="Paid","PAID",IF($S860="Closed","CLOSED",IF($W860="","",IF($W860=6,"ESCALATED TO ROXANNE",IF(TODAY()&gt;$Y860,"OVERDUE",IF($Y860&lt;=WORKDAY(TODAY(),1,Holidays),"DUE TOMORROW",IF($W860=4,"ESCALATED TO LOCAL OFFICE",IF($W860=5,"ESCALATED TO CBE",IF($X860=TODAY(),"EMAIL SENT","MONITORING"))))))))))</f>
        <v/>
      </c>
      <c r="U860" s="17">
        <f>IF($T860="",IF(AND(COUNTA($A860:$K860)&gt;0,$L860=""),"Awaiting Collection Email time stamp.",""),IF(OR($T860="PAID",$T860="CLOSED"),IF($T860="PAID","Account paid. Action completed.","Account closed. No further action required."),CHOOSE($W860,"Collection Email","1st Email Follow-up","2nd Email Follow-up","Escalation to Local Office","Escalation to CBE","Escalation to Roxanne")&amp;" sent "&amp;TEXT($X860,"dd-mmm")&amp;". "&amp;IF($W860=6,"Final escalation completed.",IF($T860="OVERDUE","Next: "&amp;$Z860&amp;" was due "&amp;TEXT($Y860,"dd-mmm")&amp;" - "&amp;(NETWORKDAYS($Y860,TODAY(),Holidays)-1)&amp;" business day(s) late. Send now.",IF($T860="DUE TOMORROW","Next: "&amp;$Z860&amp;IF($Y860&lt;=TODAY()," is due TODAY ("," is due next business day (")&amp;TEXT($Y860,"dd-mmm")&amp;").","Next: "&amp;$Z860&amp;" due "&amp;TEXT($Y860,"dd-mmm")&amp;" ("&amp;(NETWORKDAYS(TODAY(),$Y860,Holidays)-1)&amp;" business day(s) left).")))))</f>
        <v/>
      </c>
      <c r="V860" s="17">
        <f>IF($W860="","",CHOOSE($W860,"Collection Email","1st Follow-up","2nd Follow-up","Local Office","CBE","Roxanne")&amp;IF($W860=6," - Final"," - Day "&amp;MAX(0,NETWORKDAYS($X860,TODAY(),Holidays)-1)&amp;" of "&amp;CHOOSE($W860,3,3,2,2,3))&amp;" | Total Day "&amp;MAX(0,NETWORKDAYS($L860,TODAY(),Holidays)-1))</f>
        <v/>
      </c>
      <c r="W860" s="17">
        <f>IF($L860="","",COUNT($L860:$Q860))</f>
        <v/>
      </c>
      <c r="X860" s="18">
        <f>IF($W860="","",INT(INDEX($L860:$Q860,$W860)))</f>
        <v/>
      </c>
      <c r="Y860" s="18">
        <f>IF(OR($W860="",$W860=6),"",WORKDAY($X860,CHOOSE($W860,3,3,2,2,3),Holidays))</f>
        <v/>
      </c>
      <c r="Z860" s="17">
        <f>IF(OR($W860="",$W860=6),"",CHOOSE($W860,"1st Email Follow-up","2nd Email Follow-up","Escalate Local Office","Escalate to CBE","Escalate to Roxanne"))</f>
        <v/>
      </c>
    </row>
    <row r="861" spans="18:26">
      <c r="R861" s="15"/>
      <c r="S861" s="16"/>
      <c r="T861" s="17">
        <f>IF(AND(COUNTA($A861:$K861)=0,$L861=""),"",IF($S861="Paid","PAID",IF($S861="Closed","CLOSED",IF($W861="","",IF($W861=6,"ESCALATED TO ROXANNE",IF(TODAY()&gt;$Y861,"OVERDUE",IF($Y861&lt;=WORKDAY(TODAY(),1,Holidays),"DUE TOMORROW",IF($W861=4,"ESCALATED TO LOCAL OFFICE",IF($W861=5,"ESCALATED TO CBE",IF($X861=TODAY(),"EMAIL SENT","MONITORING"))))))))))</f>
        <v/>
      </c>
      <c r="U861" s="17">
        <f>IF($T861="",IF(AND(COUNTA($A861:$K861)&gt;0,$L861=""),"Awaiting Collection Email time stamp.",""),IF(OR($T861="PAID",$T861="CLOSED"),IF($T861="PAID","Account paid. Action completed.","Account closed. No further action required."),CHOOSE($W861,"Collection Email","1st Email Follow-up","2nd Email Follow-up","Escalation to Local Office","Escalation to CBE","Escalation to Roxanne")&amp;" sent "&amp;TEXT($X861,"dd-mmm")&amp;". "&amp;IF($W861=6,"Final escalation completed.",IF($T861="OVERDUE","Next: "&amp;$Z861&amp;" was due "&amp;TEXT($Y861,"dd-mmm")&amp;" - "&amp;(NETWORKDAYS($Y861,TODAY(),Holidays)-1)&amp;" business day(s) late. Send now.",IF($T861="DUE TOMORROW","Next: "&amp;$Z861&amp;IF($Y861&lt;=TODAY()," is due TODAY ("," is due next business day (")&amp;TEXT($Y861,"dd-mmm")&amp;").","Next: "&amp;$Z861&amp;" due "&amp;TEXT($Y861,"dd-mmm")&amp;" ("&amp;(NETWORKDAYS(TODAY(),$Y861,Holidays)-1)&amp;" business day(s) left).")))))</f>
        <v/>
      </c>
      <c r="V861" s="17">
        <f>IF($W861="","",CHOOSE($W861,"Collection Email","1st Follow-up","2nd Follow-up","Local Office","CBE","Roxanne")&amp;IF($W861=6," - Final"," - Day "&amp;MAX(0,NETWORKDAYS($X861,TODAY(),Holidays)-1)&amp;" of "&amp;CHOOSE($W861,3,3,2,2,3))&amp;" | Total Day "&amp;MAX(0,NETWORKDAYS($L861,TODAY(),Holidays)-1))</f>
        <v/>
      </c>
      <c r="W861" s="17">
        <f>IF($L861="","",COUNT($L861:$Q861))</f>
        <v/>
      </c>
      <c r="X861" s="18">
        <f>IF($W861="","",INT(INDEX($L861:$Q861,$W861)))</f>
        <v/>
      </c>
      <c r="Y861" s="18">
        <f>IF(OR($W861="",$W861=6),"",WORKDAY($X861,CHOOSE($W861,3,3,2,2,3),Holidays))</f>
        <v/>
      </c>
      <c r="Z861" s="17">
        <f>IF(OR($W861="",$W861=6),"",CHOOSE($W861,"1st Email Follow-up","2nd Email Follow-up","Escalate Local Office","Escalate to CBE","Escalate to Roxanne"))</f>
        <v/>
      </c>
    </row>
    <row r="862" spans="18:26">
      <c r="R862" s="15"/>
      <c r="S862" s="16"/>
      <c r="T862" s="17">
        <f>IF(AND(COUNTA($A862:$K862)=0,$L862=""),"",IF($S862="Paid","PAID",IF($S862="Closed","CLOSED",IF($W862="","",IF($W862=6,"ESCALATED TO ROXANNE",IF(TODAY()&gt;$Y862,"OVERDUE",IF($Y862&lt;=WORKDAY(TODAY(),1,Holidays),"DUE TOMORROW",IF($W862=4,"ESCALATED TO LOCAL OFFICE",IF($W862=5,"ESCALATED TO CBE",IF($X862=TODAY(),"EMAIL SENT","MONITORING"))))))))))</f>
        <v/>
      </c>
      <c r="U862" s="17">
        <f>IF($T862="",IF(AND(COUNTA($A862:$K862)&gt;0,$L862=""),"Awaiting Collection Email time stamp.",""),IF(OR($T862="PAID",$T862="CLOSED"),IF($T862="PAID","Account paid. Action completed.","Account closed. No further action required."),CHOOSE($W862,"Collection Email","1st Email Follow-up","2nd Email Follow-up","Escalation to Local Office","Escalation to CBE","Escalation to Roxanne")&amp;" sent "&amp;TEXT($X862,"dd-mmm")&amp;". "&amp;IF($W862=6,"Final escalation completed.",IF($T862="OVERDUE","Next: "&amp;$Z862&amp;" was due "&amp;TEXT($Y862,"dd-mmm")&amp;" - "&amp;(NETWORKDAYS($Y862,TODAY(),Holidays)-1)&amp;" business day(s) late. Send now.",IF($T862="DUE TOMORROW","Next: "&amp;$Z862&amp;IF($Y862&lt;=TODAY()," is due TODAY ("," is due next business day (")&amp;TEXT($Y862,"dd-mmm")&amp;").","Next: "&amp;$Z862&amp;" due "&amp;TEXT($Y862,"dd-mmm")&amp;" ("&amp;(NETWORKDAYS(TODAY(),$Y862,Holidays)-1)&amp;" business day(s) left).")))))</f>
        <v/>
      </c>
      <c r="V862" s="17">
        <f>IF($W862="","",CHOOSE($W862,"Collection Email","1st Follow-up","2nd Follow-up","Local Office","CBE","Roxanne")&amp;IF($W862=6," - Final"," - Day "&amp;MAX(0,NETWORKDAYS($X862,TODAY(),Holidays)-1)&amp;" of "&amp;CHOOSE($W862,3,3,2,2,3))&amp;" | Total Day "&amp;MAX(0,NETWORKDAYS($L862,TODAY(),Holidays)-1))</f>
        <v/>
      </c>
      <c r="W862" s="17">
        <f>IF($L862="","",COUNT($L862:$Q862))</f>
        <v/>
      </c>
      <c r="X862" s="18">
        <f>IF($W862="","",INT(INDEX($L862:$Q862,$W862)))</f>
        <v/>
      </c>
      <c r="Y862" s="18">
        <f>IF(OR($W862="",$W862=6),"",WORKDAY($X862,CHOOSE($W862,3,3,2,2,3),Holidays))</f>
        <v/>
      </c>
      <c r="Z862" s="17">
        <f>IF(OR($W862="",$W862=6),"",CHOOSE($W862,"1st Email Follow-up","2nd Email Follow-up","Escalate Local Office","Escalate to CBE","Escalate to Roxanne"))</f>
        <v/>
      </c>
    </row>
    <row r="863" spans="18:26">
      <c r="R863" s="15"/>
      <c r="S863" s="16"/>
      <c r="T863" s="17">
        <f>IF(AND(COUNTA($A863:$K863)=0,$L863=""),"",IF($S863="Paid","PAID",IF($S863="Closed","CLOSED",IF($W863="","",IF($W863=6,"ESCALATED TO ROXANNE",IF(TODAY()&gt;$Y863,"OVERDUE",IF($Y863&lt;=WORKDAY(TODAY(),1,Holidays),"DUE TOMORROW",IF($W863=4,"ESCALATED TO LOCAL OFFICE",IF($W863=5,"ESCALATED TO CBE",IF($X863=TODAY(),"EMAIL SENT","MONITORING"))))))))))</f>
        <v/>
      </c>
      <c r="U863" s="17">
        <f>IF($T863="",IF(AND(COUNTA($A863:$K863)&gt;0,$L863=""),"Awaiting Collection Email time stamp.",""),IF(OR($T863="PAID",$T863="CLOSED"),IF($T863="PAID","Account paid. Action completed.","Account closed. No further action required."),CHOOSE($W863,"Collection Email","1st Email Follow-up","2nd Email Follow-up","Escalation to Local Office","Escalation to CBE","Escalation to Roxanne")&amp;" sent "&amp;TEXT($X863,"dd-mmm")&amp;". "&amp;IF($W863=6,"Final escalation completed.",IF($T863="OVERDUE","Next: "&amp;$Z863&amp;" was due "&amp;TEXT($Y863,"dd-mmm")&amp;" - "&amp;(NETWORKDAYS($Y863,TODAY(),Holidays)-1)&amp;" business day(s) late. Send now.",IF($T863="DUE TOMORROW","Next: "&amp;$Z863&amp;IF($Y863&lt;=TODAY()," is due TODAY ("," is due next business day (")&amp;TEXT($Y863,"dd-mmm")&amp;").","Next: "&amp;$Z863&amp;" due "&amp;TEXT($Y863,"dd-mmm")&amp;" ("&amp;(NETWORKDAYS(TODAY(),$Y863,Holidays)-1)&amp;" business day(s) left).")))))</f>
        <v/>
      </c>
      <c r="V863" s="17">
        <f>IF($W863="","",CHOOSE($W863,"Collection Email","1st Follow-up","2nd Follow-up","Local Office","CBE","Roxanne")&amp;IF($W863=6," - Final"," - Day "&amp;MAX(0,NETWORKDAYS($X863,TODAY(),Holidays)-1)&amp;" of "&amp;CHOOSE($W863,3,3,2,2,3))&amp;" | Total Day "&amp;MAX(0,NETWORKDAYS($L863,TODAY(),Holidays)-1))</f>
        <v/>
      </c>
      <c r="W863" s="17">
        <f>IF($L863="","",COUNT($L863:$Q863))</f>
        <v/>
      </c>
      <c r="X863" s="18">
        <f>IF($W863="","",INT(INDEX($L863:$Q863,$W863)))</f>
        <v/>
      </c>
      <c r="Y863" s="18">
        <f>IF(OR($W863="",$W863=6),"",WORKDAY($X863,CHOOSE($W863,3,3,2,2,3),Holidays))</f>
        <v/>
      </c>
      <c r="Z863" s="17">
        <f>IF(OR($W863="",$W863=6),"",CHOOSE($W863,"1st Email Follow-up","2nd Email Follow-up","Escalate Local Office","Escalate to CBE","Escalate to Roxanne"))</f>
        <v/>
      </c>
    </row>
    <row r="864" spans="18:26">
      <c r="R864" s="15"/>
      <c r="S864" s="16"/>
      <c r="T864" s="17">
        <f>IF(AND(COUNTA($A864:$K864)=0,$L864=""),"",IF($S864="Paid","PAID",IF($S864="Closed","CLOSED",IF($W864="","",IF($W864=6,"ESCALATED TO ROXANNE",IF(TODAY()&gt;$Y864,"OVERDUE",IF($Y864&lt;=WORKDAY(TODAY(),1,Holidays),"DUE TOMORROW",IF($W864=4,"ESCALATED TO LOCAL OFFICE",IF($W864=5,"ESCALATED TO CBE",IF($X864=TODAY(),"EMAIL SENT","MONITORING"))))))))))</f>
        <v/>
      </c>
      <c r="U864" s="17">
        <f>IF($T864="",IF(AND(COUNTA($A864:$K864)&gt;0,$L864=""),"Awaiting Collection Email time stamp.",""),IF(OR($T864="PAID",$T864="CLOSED"),IF($T864="PAID","Account paid. Action completed.","Account closed. No further action required."),CHOOSE($W864,"Collection Email","1st Email Follow-up","2nd Email Follow-up","Escalation to Local Office","Escalation to CBE","Escalation to Roxanne")&amp;" sent "&amp;TEXT($X864,"dd-mmm")&amp;". "&amp;IF($W864=6,"Final escalation completed.",IF($T864="OVERDUE","Next: "&amp;$Z864&amp;" was due "&amp;TEXT($Y864,"dd-mmm")&amp;" - "&amp;(NETWORKDAYS($Y864,TODAY(),Holidays)-1)&amp;" business day(s) late. Send now.",IF($T864="DUE TOMORROW","Next: "&amp;$Z864&amp;IF($Y864&lt;=TODAY()," is due TODAY ("," is due next business day (")&amp;TEXT($Y864,"dd-mmm")&amp;").","Next: "&amp;$Z864&amp;" due "&amp;TEXT($Y864,"dd-mmm")&amp;" ("&amp;(NETWORKDAYS(TODAY(),$Y864,Holidays)-1)&amp;" business day(s) left).")))))</f>
        <v/>
      </c>
      <c r="V864" s="17">
        <f>IF($W864="","",CHOOSE($W864,"Collection Email","1st Follow-up","2nd Follow-up","Local Office","CBE","Roxanne")&amp;IF($W864=6," - Final"," - Day "&amp;MAX(0,NETWORKDAYS($X864,TODAY(),Holidays)-1)&amp;" of "&amp;CHOOSE($W864,3,3,2,2,3))&amp;" | Total Day "&amp;MAX(0,NETWORKDAYS($L864,TODAY(),Holidays)-1))</f>
        <v/>
      </c>
      <c r="W864" s="17">
        <f>IF($L864="","",COUNT($L864:$Q864))</f>
        <v/>
      </c>
      <c r="X864" s="18">
        <f>IF($W864="","",INT(INDEX($L864:$Q864,$W864)))</f>
        <v/>
      </c>
      <c r="Y864" s="18">
        <f>IF(OR($W864="",$W864=6),"",WORKDAY($X864,CHOOSE($W864,3,3,2,2,3),Holidays))</f>
        <v/>
      </c>
      <c r="Z864" s="17">
        <f>IF(OR($W864="",$W864=6),"",CHOOSE($W864,"1st Email Follow-up","2nd Email Follow-up","Escalate Local Office","Escalate to CBE","Escalate to Roxanne"))</f>
        <v/>
      </c>
    </row>
    <row r="865" spans="18:26">
      <c r="R865" s="15"/>
      <c r="S865" s="16"/>
      <c r="T865" s="17">
        <f>IF(AND(COUNTA($A865:$K865)=0,$L865=""),"",IF($S865="Paid","PAID",IF($S865="Closed","CLOSED",IF($W865="","",IF($W865=6,"ESCALATED TO ROXANNE",IF(TODAY()&gt;$Y865,"OVERDUE",IF($Y865&lt;=WORKDAY(TODAY(),1,Holidays),"DUE TOMORROW",IF($W865=4,"ESCALATED TO LOCAL OFFICE",IF($W865=5,"ESCALATED TO CBE",IF($X865=TODAY(),"EMAIL SENT","MONITORING"))))))))))</f>
        <v/>
      </c>
      <c r="U865" s="17">
        <f>IF($T865="",IF(AND(COUNTA($A865:$K865)&gt;0,$L865=""),"Awaiting Collection Email time stamp.",""),IF(OR($T865="PAID",$T865="CLOSED"),IF($T865="PAID","Account paid. Action completed.","Account closed. No further action required."),CHOOSE($W865,"Collection Email","1st Email Follow-up","2nd Email Follow-up","Escalation to Local Office","Escalation to CBE","Escalation to Roxanne")&amp;" sent "&amp;TEXT($X865,"dd-mmm")&amp;". "&amp;IF($W865=6,"Final escalation completed.",IF($T865="OVERDUE","Next: "&amp;$Z865&amp;" was due "&amp;TEXT($Y865,"dd-mmm")&amp;" - "&amp;(NETWORKDAYS($Y865,TODAY(),Holidays)-1)&amp;" business day(s) late. Send now.",IF($T865="DUE TOMORROW","Next: "&amp;$Z865&amp;IF($Y865&lt;=TODAY()," is due TODAY ("," is due next business day (")&amp;TEXT($Y865,"dd-mmm")&amp;").","Next: "&amp;$Z865&amp;" due "&amp;TEXT($Y865,"dd-mmm")&amp;" ("&amp;(NETWORKDAYS(TODAY(),$Y865,Holidays)-1)&amp;" business day(s) left).")))))</f>
        <v/>
      </c>
      <c r="V865" s="17">
        <f>IF($W865="","",CHOOSE($W865,"Collection Email","1st Follow-up","2nd Follow-up","Local Office","CBE","Roxanne")&amp;IF($W865=6," - Final"," - Day "&amp;MAX(0,NETWORKDAYS($X865,TODAY(),Holidays)-1)&amp;" of "&amp;CHOOSE($W865,3,3,2,2,3))&amp;" | Total Day "&amp;MAX(0,NETWORKDAYS($L865,TODAY(),Holidays)-1))</f>
        <v/>
      </c>
      <c r="W865" s="17">
        <f>IF($L865="","",COUNT($L865:$Q865))</f>
        <v/>
      </c>
      <c r="X865" s="18">
        <f>IF($W865="","",INT(INDEX($L865:$Q865,$W865)))</f>
        <v/>
      </c>
      <c r="Y865" s="18">
        <f>IF(OR($W865="",$W865=6),"",WORKDAY($X865,CHOOSE($W865,3,3,2,2,3),Holidays))</f>
        <v/>
      </c>
      <c r="Z865" s="17">
        <f>IF(OR($W865="",$W865=6),"",CHOOSE($W865,"1st Email Follow-up","2nd Email Follow-up","Escalate Local Office","Escalate to CBE","Escalate to Roxanne"))</f>
        <v/>
      </c>
    </row>
    <row r="866" spans="18:26">
      <c r="R866" s="15"/>
      <c r="S866" s="16"/>
      <c r="T866" s="17">
        <f>IF(AND(COUNTA($A866:$K866)=0,$L866=""),"",IF($S866="Paid","PAID",IF($S866="Closed","CLOSED",IF($W866="","",IF($W866=6,"ESCALATED TO ROXANNE",IF(TODAY()&gt;$Y866,"OVERDUE",IF($Y866&lt;=WORKDAY(TODAY(),1,Holidays),"DUE TOMORROW",IF($W866=4,"ESCALATED TO LOCAL OFFICE",IF($W866=5,"ESCALATED TO CBE",IF($X866=TODAY(),"EMAIL SENT","MONITORING"))))))))))</f>
        <v/>
      </c>
      <c r="U866" s="17">
        <f>IF($T866="",IF(AND(COUNTA($A866:$K866)&gt;0,$L866=""),"Awaiting Collection Email time stamp.",""),IF(OR($T866="PAID",$T866="CLOSED"),IF($T866="PAID","Account paid. Action completed.","Account closed. No further action required."),CHOOSE($W866,"Collection Email","1st Email Follow-up","2nd Email Follow-up","Escalation to Local Office","Escalation to CBE","Escalation to Roxanne")&amp;" sent "&amp;TEXT($X866,"dd-mmm")&amp;". "&amp;IF($W866=6,"Final escalation completed.",IF($T866="OVERDUE","Next: "&amp;$Z866&amp;" was due "&amp;TEXT($Y866,"dd-mmm")&amp;" - "&amp;(NETWORKDAYS($Y866,TODAY(),Holidays)-1)&amp;" business day(s) late. Send now.",IF($T866="DUE TOMORROW","Next: "&amp;$Z866&amp;IF($Y866&lt;=TODAY()," is due TODAY ("," is due next business day (")&amp;TEXT($Y866,"dd-mmm")&amp;").","Next: "&amp;$Z866&amp;" due "&amp;TEXT($Y866,"dd-mmm")&amp;" ("&amp;(NETWORKDAYS(TODAY(),$Y866,Holidays)-1)&amp;" business day(s) left).")))))</f>
        <v/>
      </c>
      <c r="V866" s="17">
        <f>IF($W866="","",CHOOSE($W866,"Collection Email","1st Follow-up","2nd Follow-up","Local Office","CBE","Roxanne")&amp;IF($W866=6," - Final"," - Day "&amp;MAX(0,NETWORKDAYS($X866,TODAY(),Holidays)-1)&amp;" of "&amp;CHOOSE($W866,3,3,2,2,3))&amp;" | Total Day "&amp;MAX(0,NETWORKDAYS($L866,TODAY(),Holidays)-1))</f>
        <v/>
      </c>
      <c r="W866" s="17">
        <f>IF($L866="","",COUNT($L866:$Q866))</f>
        <v/>
      </c>
      <c r="X866" s="18">
        <f>IF($W866="","",INT(INDEX($L866:$Q866,$W866)))</f>
        <v/>
      </c>
      <c r="Y866" s="18">
        <f>IF(OR($W866="",$W866=6),"",WORKDAY($X866,CHOOSE($W866,3,3,2,2,3),Holidays))</f>
        <v/>
      </c>
      <c r="Z866" s="17">
        <f>IF(OR($W866="",$W866=6),"",CHOOSE($W866,"1st Email Follow-up","2nd Email Follow-up","Escalate Local Office","Escalate to CBE","Escalate to Roxanne"))</f>
        <v/>
      </c>
    </row>
    <row r="867" spans="18:26">
      <c r="R867" s="15"/>
      <c r="S867" s="16"/>
      <c r="T867" s="17">
        <f>IF(AND(COUNTA($A867:$K867)=0,$L867=""),"",IF($S867="Paid","PAID",IF($S867="Closed","CLOSED",IF($W867="","",IF($W867=6,"ESCALATED TO ROXANNE",IF(TODAY()&gt;$Y867,"OVERDUE",IF($Y867&lt;=WORKDAY(TODAY(),1,Holidays),"DUE TOMORROW",IF($W867=4,"ESCALATED TO LOCAL OFFICE",IF($W867=5,"ESCALATED TO CBE",IF($X867=TODAY(),"EMAIL SENT","MONITORING"))))))))))</f>
        <v/>
      </c>
      <c r="U867" s="17">
        <f>IF($T867="",IF(AND(COUNTA($A867:$K867)&gt;0,$L867=""),"Awaiting Collection Email time stamp.",""),IF(OR($T867="PAID",$T867="CLOSED"),IF($T867="PAID","Account paid. Action completed.","Account closed. No further action required."),CHOOSE($W867,"Collection Email","1st Email Follow-up","2nd Email Follow-up","Escalation to Local Office","Escalation to CBE","Escalation to Roxanne")&amp;" sent "&amp;TEXT($X867,"dd-mmm")&amp;". "&amp;IF($W867=6,"Final escalation completed.",IF($T867="OVERDUE","Next: "&amp;$Z867&amp;" was due "&amp;TEXT($Y867,"dd-mmm")&amp;" - "&amp;(NETWORKDAYS($Y867,TODAY(),Holidays)-1)&amp;" business day(s) late. Send now.",IF($T867="DUE TOMORROW","Next: "&amp;$Z867&amp;IF($Y867&lt;=TODAY()," is due TODAY ("," is due next business day (")&amp;TEXT($Y867,"dd-mmm")&amp;").","Next: "&amp;$Z867&amp;" due "&amp;TEXT($Y867,"dd-mmm")&amp;" ("&amp;(NETWORKDAYS(TODAY(),$Y867,Holidays)-1)&amp;" business day(s) left).")))))</f>
        <v/>
      </c>
      <c r="V867" s="17">
        <f>IF($W867="","",CHOOSE($W867,"Collection Email","1st Follow-up","2nd Follow-up","Local Office","CBE","Roxanne")&amp;IF($W867=6," - Final"," - Day "&amp;MAX(0,NETWORKDAYS($X867,TODAY(),Holidays)-1)&amp;" of "&amp;CHOOSE($W867,3,3,2,2,3))&amp;" | Total Day "&amp;MAX(0,NETWORKDAYS($L867,TODAY(),Holidays)-1))</f>
        <v/>
      </c>
      <c r="W867" s="17">
        <f>IF($L867="","",COUNT($L867:$Q867))</f>
        <v/>
      </c>
      <c r="X867" s="18">
        <f>IF($W867="","",INT(INDEX($L867:$Q867,$W867)))</f>
        <v/>
      </c>
      <c r="Y867" s="18">
        <f>IF(OR($W867="",$W867=6),"",WORKDAY($X867,CHOOSE($W867,3,3,2,2,3),Holidays))</f>
        <v/>
      </c>
      <c r="Z867" s="17">
        <f>IF(OR($W867="",$W867=6),"",CHOOSE($W867,"1st Email Follow-up","2nd Email Follow-up","Escalate Local Office","Escalate to CBE","Escalate to Roxanne"))</f>
        <v/>
      </c>
    </row>
    <row r="868" spans="18:26">
      <c r="R868" s="15"/>
      <c r="S868" s="16"/>
      <c r="T868" s="17">
        <f>IF(AND(COUNTA($A868:$K868)=0,$L868=""),"",IF($S868="Paid","PAID",IF($S868="Closed","CLOSED",IF($W868="","",IF($W868=6,"ESCALATED TO ROXANNE",IF(TODAY()&gt;$Y868,"OVERDUE",IF($Y868&lt;=WORKDAY(TODAY(),1,Holidays),"DUE TOMORROW",IF($W868=4,"ESCALATED TO LOCAL OFFICE",IF($W868=5,"ESCALATED TO CBE",IF($X868=TODAY(),"EMAIL SENT","MONITORING"))))))))))</f>
        <v/>
      </c>
      <c r="U868" s="17">
        <f>IF($T868="",IF(AND(COUNTA($A868:$K868)&gt;0,$L868=""),"Awaiting Collection Email time stamp.",""),IF(OR($T868="PAID",$T868="CLOSED"),IF($T868="PAID","Account paid. Action completed.","Account closed. No further action required."),CHOOSE($W868,"Collection Email","1st Email Follow-up","2nd Email Follow-up","Escalation to Local Office","Escalation to CBE","Escalation to Roxanne")&amp;" sent "&amp;TEXT($X868,"dd-mmm")&amp;". "&amp;IF($W868=6,"Final escalation completed.",IF($T868="OVERDUE","Next: "&amp;$Z868&amp;" was due "&amp;TEXT($Y868,"dd-mmm")&amp;" - "&amp;(NETWORKDAYS($Y868,TODAY(),Holidays)-1)&amp;" business day(s) late. Send now.",IF($T868="DUE TOMORROW","Next: "&amp;$Z868&amp;IF($Y868&lt;=TODAY()," is due TODAY ("," is due next business day (")&amp;TEXT($Y868,"dd-mmm")&amp;").","Next: "&amp;$Z868&amp;" due "&amp;TEXT($Y868,"dd-mmm")&amp;" ("&amp;(NETWORKDAYS(TODAY(),$Y868,Holidays)-1)&amp;" business day(s) left).")))))</f>
        <v/>
      </c>
      <c r="V868" s="17">
        <f>IF($W868="","",CHOOSE($W868,"Collection Email","1st Follow-up","2nd Follow-up","Local Office","CBE","Roxanne")&amp;IF($W868=6," - Final"," - Day "&amp;MAX(0,NETWORKDAYS($X868,TODAY(),Holidays)-1)&amp;" of "&amp;CHOOSE($W868,3,3,2,2,3))&amp;" | Total Day "&amp;MAX(0,NETWORKDAYS($L868,TODAY(),Holidays)-1))</f>
        <v/>
      </c>
      <c r="W868" s="17">
        <f>IF($L868="","",COUNT($L868:$Q868))</f>
        <v/>
      </c>
      <c r="X868" s="18">
        <f>IF($W868="","",INT(INDEX($L868:$Q868,$W868)))</f>
        <v/>
      </c>
      <c r="Y868" s="18">
        <f>IF(OR($W868="",$W868=6),"",WORKDAY($X868,CHOOSE($W868,3,3,2,2,3),Holidays))</f>
        <v/>
      </c>
      <c r="Z868" s="17">
        <f>IF(OR($W868="",$W868=6),"",CHOOSE($W868,"1st Email Follow-up","2nd Email Follow-up","Escalate Local Office","Escalate to CBE","Escalate to Roxanne"))</f>
        <v/>
      </c>
    </row>
    <row r="869" spans="18:26">
      <c r="R869" s="15"/>
      <c r="S869" s="16"/>
      <c r="T869" s="17">
        <f>IF(AND(COUNTA($A869:$K869)=0,$L869=""),"",IF($S869="Paid","PAID",IF($S869="Closed","CLOSED",IF($W869="","",IF($W869=6,"ESCALATED TO ROXANNE",IF(TODAY()&gt;$Y869,"OVERDUE",IF($Y869&lt;=WORKDAY(TODAY(),1,Holidays),"DUE TOMORROW",IF($W869=4,"ESCALATED TO LOCAL OFFICE",IF($W869=5,"ESCALATED TO CBE",IF($X869=TODAY(),"EMAIL SENT","MONITORING"))))))))))</f>
        <v/>
      </c>
      <c r="U869" s="17">
        <f>IF($T869="",IF(AND(COUNTA($A869:$K869)&gt;0,$L869=""),"Awaiting Collection Email time stamp.",""),IF(OR($T869="PAID",$T869="CLOSED"),IF($T869="PAID","Account paid. Action completed.","Account closed. No further action required."),CHOOSE($W869,"Collection Email","1st Email Follow-up","2nd Email Follow-up","Escalation to Local Office","Escalation to CBE","Escalation to Roxanne")&amp;" sent "&amp;TEXT($X869,"dd-mmm")&amp;". "&amp;IF($W869=6,"Final escalation completed.",IF($T869="OVERDUE","Next: "&amp;$Z869&amp;" was due "&amp;TEXT($Y869,"dd-mmm")&amp;" - "&amp;(NETWORKDAYS($Y869,TODAY(),Holidays)-1)&amp;" business day(s) late. Send now.",IF($T869="DUE TOMORROW","Next: "&amp;$Z869&amp;IF($Y869&lt;=TODAY()," is due TODAY ("," is due next business day (")&amp;TEXT($Y869,"dd-mmm")&amp;").","Next: "&amp;$Z869&amp;" due "&amp;TEXT($Y869,"dd-mmm")&amp;" ("&amp;(NETWORKDAYS(TODAY(),$Y869,Holidays)-1)&amp;" business day(s) left).")))))</f>
        <v/>
      </c>
      <c r="V869" s="17">
        <f>IF($W869="","",CHOOSE($W869,"Collection Email","1st Follow-up","2nd Follow-up","Local Office","CBE","Roxanne")&amp;IF($W869=6," - Final"," - Day "&amp;MAX(0,NETWORKDAYS($X869,TODAY(),Holidays)-1)&amp;" of "&amp;CHOOSE($W869,3,3,2,2,3))&amp;" | Total Day "&amp;MAX(0,NETWORKDAYS($L869,TODAY(),Holidays)-1))</f>
        <v/>
      </c>
      <c r="W869" s="17">
        <f>IF($L869="","",COUNT($L869:$Q869))</f>
        <v/>
      </c>
      <c r="X869" s="18">
        <f>IF($W869="","",INT(INDEX($L869:$Q869,$W869)))</f>
        <v/>
      </c>
      <c r="Y869" s="18">
        <f>IF(OR($W869="",$W869=6),"",WORKDAY($X869,CHOOSE($W869,3,3,2,2,3),Holidays))</f>
        <v/>
      </c>
      <c r="Z869" s="17">
        <f>IF(OR($W869="",$W869=6),"",CHOOSE($W869,"1st Email Follow-up","2nd Email Follow-up","Escalate Local Office","Escalate to CBE","Escalate to Roxanne"))</f>
        <v/>
      </c>
    </row>
    <row r="870" spans="18:26">
      <c r="R870" s="15"/>
      <c r="S870" s="16"/>
      <c r="T870" s="17">
        <f>IF(AND(COUNTA($A870:$K870)=0,$L870=""),"",IF($S870="Paid","PAID",IF($S870="Closed","CLOSED",IF($W870="","",IF($W870=6,"ESCALATED TO ROXANNE",IF(TODAY()&gt;$Y870,"OVERDUE",IF($Y870&lt;=WORKDAY(TODAY(),1,Holidays),"DUE TOMORROW",IF($W870=4,"ESCALATED TO LOCAL OFFICE",IF($W870=5,"ESCALATED TO CBE",IF($X870=TODAY(),"EMAIL SENT","MONITORING"))))))))))</f>
        <v/>
      </c>
      <c r="U870" s="17">
        <f>IF($T870="",IF(AND(COUNTA($A870:$K870)&gt;0,$L870=""),"Awaiting Collection Email time stamp.",""),IF(OR($T870="PAID",$T870="CLOSED"),IF($T870="PAID","Account paid. Action completed.","Account closed. No further action required."),CHOOSE($W870,"Collection Email","1st Email Follow-up","2nd Email Follow-up","Escalation to Local Office","Escalation to CBE","Escalation to Roxanne")&amp;" sent "&amp;TEXT($X870,"dd-mmm")&amp;". "&amp;IF($W870=6,"Final escalation completed.",IF($T870="OVERDUE","Next: "&amp;$Z870&amp;" was due "&amp;TEXT($Y870,"dd-mmm")&amp;" - "&amp;(NETWORKDAYS($Y870,TODAY(),Holidays)-1)&amp;" business day(s) late. Send now.",IF($T870="DUE TOMORROW","Next: "&amp;$Z870&amp;IF($Y870&lt;=TODAY()," is due TODAY ("," is due next business day (")&amp;TEXT($Y870,"dd-mmm")&amp;").","Next: "&amp;$Z870&amp;" due "&amp;TEXT($Y870,"dd-mmm")&amp;" ("&amp;(NETWORKDAYS(TODAY(),$Y870,Holidays)-1)&amp;" business day(s) left).")))))</f>
        <v/>
      </c>
      <c r="V870" s="17">
        <f>IF($W870="","",CHOOSE($W870,"Collection Email","1st Follow-up","2nd Follow-up","Local Office","CBE","Roxanne")&amp;IF($W870=6," - Final"," - Day "&amp;MAX(0,NETWORKDAYS($X870,TODAY(),Holidays)-1)&amp;" of "&amp;CHOOSE($W870,3,3,2,2,3))&amp;" | Total Day "&amp;MAX(0,NETWORKDAYS($L870,TODAY(),Holidays)-1))</f>
        <v/>
      </c>
      <c r="W870" s="17">
        <f>IF($L870="","",COUNT($L870:$Q870))</f>
        <v/>
      </c>
      <c r="X870" s="18">
        <f>IF($W870="","",INT(INDEX($L870:$Q870,$W870)))</f>
        <v/>
      </c>
      <c r="Y870" s="18">
        <f>IF(OR($W870="",$W870=6),"",WORKDAY($X870,CHOOSE($W870,3,3,2,2,3),Holidays))</f>
        <v/>
      </c>
      <c r="Z870" s="17">
        <f>IF(OR($W870="",$W870=6),"",CHOOSE($W870,"1st Email Follow-up","2nd Email Follow-up","Escalate Local Office","Escalate to CBE","Escalate to Roxanne"))</f>
        <v/>
      </c>
    </row>
    <row r="871" spans="18:26">
      <c r="R871" s="15"/>
      <c r="S871" s="16"/>
      <c r="T871" s="17">
        <f>IF(AND(COUNTA($A871:$K871)=0,$L871=""),"",IF($S871="Paid","PAID",IF($S871="Closed","CLOSED",IF($W871="","",IF($W871=6,"ESCALATED TO ROXANNE",IF(TODAY()&gt;$Y871,"OVERDUE",IF($Y871&lt;=WORKDAY(TODAY(),1,Holidays),"DUE TOMORROW",IF($W871=4,"ESCALATED TO LOCAL OFFICE",IF($W871=5,"ESCALATED TO CBE",IF($X871=TODAY(),"EMAIL SENT","MONITORING"))))))))))</f>
        <v/>
      </c>
      <c r="U871" s="17">
        <f>IF($T871="",IF(AND(COUNTA($A871:$K871)&gt;0,$L871=""),"Awaiting Collection Email time stamp.",""),IF(OR($T871="PAID",$T871="CLOSED"),IF($T871="PAID","Account paid. Action completed.","Account closed. No further action required."),CHOOSE($W871,"Collection Email","1st Email Follow-up","2nd Email Follow-up","Escalation to Local Office","Escalation to CBE","Escalation to Roxanne")&amp;" sent "&amp;TEXT($X871,"dd-mmm")&amp;". "&amp;IF($W871=6,"Final escalation completed.",IF($T871="OVERDUE","Next: "&amp;$Z871&amp;" was due "&amp;TEXT($Y871,"dd-mmm")&amp;" - "&amp;(NETWORKDAYS($Y871,TODAY(),Holidays)-1)&amp;" business day(s) late. Send now.",IF($T871="DUE TOMORROW","Next: "&amp;$Z871&amp;IF($Y871&lt;=TODAY()," is due TODAY ("," is due next business day (")&amp;TEXT($Y871,"dd-mmm")&amp;").","Next: "&amp;$Z871&amp;" due "&amp;TEXT($Y871,"dd-mmm")&amp;" ("&amp;(NETWORKDAYS(TODAY(),$Y871,Holidays)-1)&amp;" business day(s) left).")))))</f>
        <v/>
      </c>
      <c r="V871" s="17">
        <f>IF($W871="","",CHOOSE($W871,"Collection Email","1st Follow-up","2nd Follow-up","Local Office","CBE","Roxanne")&amp;IF($W871=6," - Final"," - Day "&amp;MAX(0,NETWORKDAYS($X871,TODAY(),Holidays)-1)&amp;" of "&amp;CHOOSE($W871,3,3,2,2,3))&amp;" | Total Day "&amp;MAX(0,NETWORKDAYS($L871,TODAY(),Holidays)-1))</f>
        <v/>
      </c>
      <c r="W871" s="17">
        <f>IF($L871="","",COUNT($L871:$Q871))</f>
        <v/>
      </c>
      <c r="X871" s="18">
        <f>IF($W871="","",INT(INDEX($L871:$Q871,$W871)))</f>
        <v/>
      </c>
      <c r="Y871" s="18">
        <f>IF(OR($W871="",$W871=6),"",WORKDAY($X871,CHOOSE($W871,3,3,2,2,3),Holidays))</f>
        <v/>
      </c>
      <c r="Z871" s="17">
        <f>IF(OR($W871="",$W871=6),"",CHOOSE($W871,"1st Email Follow-up","2nd Email Follow-up","Escalate Local Office","Escalate to CBE","Escalate to Roxanne"))</f>
        <v/>
      </c>
    </row>
    <row r="872" spans="18:26">
      <c r="R872" s="15"/>
      <c r="S872" s="16"/>
      <c r="T872" s="17">
        <f>IF(AND(COUNTA($A872:$K872)=0,$L872=""),"",IF($S872="Paid","PAID",IF($S872="Closed","CLOSED",IF($W872="","",IF($W872=6,"ESCALATED TO ROXANNE",IF(TODAY()&gt;$Y872,"OVERDUE",IF($Y872&lt;=WORKDAY(TODAY(),1,Holidays),"DUE TOMORROW",IF($W872=4,"ESCALATED TO LOCAL OFFICE",IF($W872=5,"ESCALATED TO CBE",IF($X872=TODAY(),"EMAIL SENT","MONITORING"))))))))))</f>
        <v/>
      </c>
      <c r="U872" s="17">
        <f>IF($T872="",IF(AND(COUNTA($A872:$K872)&gt;0,$L872=""),"Awaiting Collection Email time stamp.",""),IF(OR($T872="PAID",$T872="CLOSED"),IF($T872="PAID","Account paid. Action completed.","Account closed. No further action required."),CHOOSE($W872,"Collection Email","1st Email Follow-up","2nd Email Follow-up","Escalation to Local Office","Escalation to CBE","Escalation to Roxanne")&amp;" sent "&amp;TEXT($X872,"dd-mmm")&amp;". "&amp;IF($W872=6,"Final escalation completed.",IF($T872="OVERDUE","Next: "&amp;$Z872&amp;" was due "&amp;TEXT($Y872,"dd-mmm")&amp;" - "&amp;(NETWORKDAYS($Y872,TODAY(),Holidays)-1)&amp;" business day(s) late. Send now.",IF($T872="DUE TOMORROW","Next: "&amp;$Z872&amp;IF($Y872&lt;=TODAY()," is due TODAY ("," is due next business day (")&amp;TEXT($Y872,"dd-mmm")&amp;").","Next: "&amp;$Z872&amp;" due "&amp;TEXT($Y872,"dd-mmm")&amp;" ("&amp;(NETWORKDAYS(TODAY(),$Y872,Holidays)-1)&amp;" business day(s) left).")))))</f>
        <v/>
      </c>
      <c r="V872" s="17">
        <f>IF($W872="","",CHOOSE($W872,"Collection Email","1st Follow-up","2nd Follow-up","Local Office","CBE","Roxanne")&amp;IF($W872=6," - Final"," - Day "&amp;MAX(0,NETWORKDAYS($X872,TODAY(),Holidays)-1)&amp;" of "&amp;CHOOSE($W872,3,3,2,2,3))&amp;" | Total Day "&amp;MAX(0,NETWORKDAYS($L872,TODAY(),Holidays)-1))</f>
        <v/>
      </c>
      <c r="W872" s="17">
        <f>IF($L872="","",COUNT($L872:$Q872))</f>
        <v/>
      </c>
      <c r="X872" s="18">
        <f>IF($W872="","",INT(INDEX($L872:$Q872,$W872)))</f>
        <v/>
      </c>
      <c r="Y872" s="18">
        <f>IF(OR($W872="",$W872=6),"",WORKDAY($X872,CHOOSE($W872,3,3,2,2,3),Holidays))</f>
        <v/>
      </c>
      <c r="Z872" s="17">
        <f>IF(OR($W872="",$W872=6),"",CHOOSE($W872,"1st Email Follow-up","2nd Email Follow-up","Escalate Local Office","Escalate to CBE","Escalate to Roxanne"))</f>
        <v/>
      </c>
    </row>
    <row r="873" spans="18:26">
      <c r="R873" s="15"/>
      <c r="S873" s="16"/>
      <c r="T873" s="17">
        <f>IF(AND(COUNTA($A873:$K873)=0,$L873=""),"",IF($S873="Paid","PAID",IF($S873="Closed","CLOSED",IF($W873="","",IF($W873=6,"ESCALATED TO ROXANNE",IF(TODAY()&gt;$Y873,"OVERDUE",IF($Y873&lt;=WORKDAY(TODAY(),1,Holidays),"DUE TOMORROW",IF($W873=4,"ESCALATED TO LOCAL OFFICE",IF($W873=5,"ESCALATED TO CBE",IF($X873=TODAY(),"EMAIL SENT","MONITORING"))))))))))</f>
        <v/>
      </c>
      <c r="U873" s="17">
        <f>IF($T873="",IF(AND(COUNTA($A873:$K873)&gt;0,$L873=""),"Awaiting Collection Email time stamp.",""),IF(OR($T873="PAID",$T873="CLOSED"),IF($T873="PAID","Account paid. Action completed.","Account closed. No further action required."),CHOOSE($W873,"Collection Email","1st Email Follow-up","2nd Email Follow-up","Escalation to Local Office","Escalation to CBE","Escalation to Roxanne")&amp;" sent "&amp;TEXT($X873,"dd-mmm")&amp;". "&amp;IF($W873=6,"Final escalation completed.",IF($T873="OVERDUE","Next: "&amp;$Z873&amp;" was due "&amp;TEXT($Y873,"dd-mmm")&amp;" - "&amp;(NETWORKDAYS($Y873,TODAY(),Holidays)-1)&amp;" business day(s) late. Send now.",IF($T873="DUE TOMORROW","Next: "&amp;$Z873&amp;IF($Y873&lt;=TODAY()," is due TODAY ("," is due next business day (")&amp;TEXT($Y873,"dd-mmm")&amp;").","Next: "&amp;$Z873&amp;" due "&amp;TEXT($Y873,"dd-mmm")&amp;" ("&amp;(NETWORKDAYS(TODAY(),$Y873,Holidays)-1)&amp;" business day(s) left).")))))</f>
        <v/>
      </c>
      <c r="V873" s="17">
        <f>IF($W873="","",CHOOSE($W873,"Collection Email","1st Follow-up","2nd Follow-up","Local Office","CBE","Roxanne")&amp;IF($W873=6," - Final"," - Day "&amp;MAX(0,NETWORKDAYS($X873,TODAY(),Holidays)-1)&amp;" of "&amp;CHOOSE($W873,3,3,2,2,3))&amp;" | Total Day "&amp;MAX(0,NETWORKDAYS($L873,TODAY(),Holidays)-1))</f>
        <v/>
      </c>
      <c r="W873" s="17">
        <f>IF($L873="","",COUNT($L873:$Q873))</f>
        <v/>
      </c>
      <c r="X873" s="18">
        <f>IF($W873="","",INT(INDEX($L873:$Q873,$W873)))</f>
        <v/>
      </c>
      <c r="Y873" s="18">
        <f>IF(OR($W873="",$W873=6),"",WORKDAY($X873,CHOOSE($W873,3,3,2,2,3),Holidays))</f>
        <v/>
      </c>
      <c r="Z873" s="17">
        <f>IF(OR($W873="",$W873=6),"",CHOOSE($W873,"1st Email Follow-up","2nd Email Follow-up","Escalate Local Office","Escalate to CBE","Escalate to Roxanne"))</f>
        <v/>
      </c>
    </row>
    <row r="874" spans="18:26">
      <c r="R874" s="15"/>
      <c r="S874" s="16"/>
      <c r="T874" s="17">
        <f>IF(AND(COUNTA($A874:$K874)=0,$L874=""),"",IF($S874="Paid","PAID",IF($S874="Closed","CLOSED",IF($W874="","",IF($W874=6,"ESCALATED TO ROXANNE",IF(TODAY()&gt;$Y874,"OVERDUE",IF($Y874&lt;=WORKDAY(TODAY(),1,Holidays),"DUE TOMORROW",IF($W874=4,"ESCALATED TO LOCAL OFFICE",IF($W874=5,"ESCALATED TO CBE",IF($X874=TODAY(),"EMAIL SENT","MONITORING"))))))))))</f>
        <v/>
      </c>
      <c r="U874" s="17">
        <f>IF($T874="",IF(AND(COUNTA($A874:$K874)&gt;0,$L874=""),"Awaiting Collection Email time stamp.",""),IF(OR($T874="PAID",$T874="CLOSED"),IF($T874="PAID","Account paid. Action completed.","Account closed. No further action required."),CHOOSE($W874,"Collection Email","1st Email Follow-up","2nd Email Follow-up","Escalation to Local Office","Escalation to CBE","Escalation to Roxanne")&amp;" sent "&amp;TEXT($X874,"dd-mmm")&amp;". "&amp;IF($W874=6,"Final escalation completed.",IF($T874="OVERDUE","Next: "&amp;$Z874&amp;" was due "&amp;TEXT($Y874,"dd-mmm")&amp;" - "&amp;(NETWORKDAYS($Y874,TODAY(),Holidays)-1)&amp;" business day(s) late. Send now.",IF($T874="DUE TOMORROW","Next: "&amp;$Z874&amp;IF($Y874&lt;=TODAY()," is due TODAY ("," is due next business day (")&amp;TEXT($Y874,"dd-mmm")&amp;").","Next: "&amp;$Z874&amp;" due "&amp;TEXT($Y874,"dd-mmm")&amp;" ("&amp;(NETWORKDAYS(TODAY(),$Y874,Holidays)-1)&amp;" business day(s) left).")))))</f>
        <v/>
      </c>
      <c r="V874" s="17">
        <f>IF($W874="","",CHOOSE($W874,"Collection Email","1st Follow-up","2nd Follow-up","Local Office","CBE","Roxanne")&amp;IF($W874=6," - Final"," - Day "&amp;MAX(0,NETWORKDAYS($X874,TODAY(),Holidays)-1)&amp;" of "&amp;CHOOSE($W874,3,3,2,2,3))&amp;" | Total Day "&amp;MAX(0,NETWORKDAYS($L874,TODAY(),Holidays)-1))</f>
        <v/>
      </c>
      <c r="W874" s="17">
        <f>IF($L874="","",COUNT($L874:$Q874))</f>
        <v/>
      </c>
      <c r="X874" s="18">
        <f>IF($W874="","",INT(INDEX($L874:$Q874,$W874)))</f>
        <v/>
      </c>
      <c r="Y874" s="18">
        <f>IF(OR($W874="",$W874=6),"",WORKDAY($X874,CHOOSE($W874,3,3,2,2,3),Holidays))</f>
        <v/>
      </c>
      <c r="Z874" s="17">
        <f>IF(OR($W874="",$W874=6),"",CHOOSE($W874,"1st Email Follow-up","2nd Email Follow-up","Escalate Local Office","Escalate to CBE","Escalate to Roxanne"))</f>
        <v/>
      </c>
    </row>
    <row r="875" spans="18:26">
      <c r="R875" s="15"/>
      <c r="S875" s="16"/>
      <c r="T875" s="17">
        <f>IF(AND(COUNTA($A875:$K875)=0,$L875=""),"",IF($S875="Paid","PAID",IF($S875="Closed","CLOSED",IF($W875="","",IF($W875=6,"ESCALATED TO ROXANNE",IF(TODAY()&gt;$Y875,"OVERDUE",IF($Y875&lt;=WORKDAY(TODAY(),1,Holidays),"DUE TOMORROW",IF($W875=4,"ESCALATED TO LOCAL OFFICE",IF($W875=5,"ESCALATED TO CBE",IF($X875=TODAY(),"EMAIL SENT","MONITORING"))))))))))</f>
        <v/>
      </c>
      <c r="U875" s="17">
        <f>IF($T875="",IF(AND(COUNTA($A875:$K875)&gt;0,$L875=""),"Awaiting Collection Email time stamp.",""),IF(OR($T875="PAID",$T875="CLOSED"),IF($T875="PAID","Account paid. Action completed.","Account closed. No further action required."),CHOOSE($W875,"Collection Email","1st Email Follow-up","2nd Email Follow-up","Escalation to Local Office","Escalation to CBE","Escalation to Roxanne")&amp;" sent "&amp;TEXT($X875,"dd-mmm")&amp;". "&amp;IF($W875=6,"Final escalation completed.",IF($T875="OVERDUE","Next: "&amp;$Z875&amp;" was due "&amp;TEXT($Y875,"dd-mmm")&amp;" - "&amp;(NETWORKDAYS($Y875,TODAY(),Holidays)-1)&amp;" business day(s) late. Send now.",IF($T875="DUE TOMORROW","Next: "&amp;$Z875&amp;IF($Y875&lt;=TODAY()," is due TODAY ("," is due next business day (")&amp;TEXT($Y875,"dd-mmm")&amp;").","Next: "&amp;$Z875&amp;" due "&amp;TEXT($Y875,"dd-mmm")&amp;" ("&amp;(NETWORKDAYS(TODAY(),$Y875,Holidays)-1)&amp;" business day(s) left).")))))</f>
        <v/>
      </c>
      <c r="V875" s="17">
        <f>IF($W875="","",CHOOSE($W875,"Collection Email","1st Follow-up","2nd Follow-up","Local Office","CBE","Roxanne")&amp;IF($W875=6," - Final"," - Day "&amp;MAX(0,NETWORKDAYS($X875,TODAY(),Holidays)-1)&amp;" of "&amp;CHOOSE($W875,3,3,2,2,3))&amp;" | Total Day "&amp;MAX(0,NETWORKDAYS($L875,TODAY(),Holidays)-1))</f>
        <v/>
      </c>
      <c r="W875" s="17">
        <f>IF($L875="","",COUNT($L875:$Q875))</f>
        <v/>
      </c>
      <c r="X875" s="18">
        <f>IF($W875="","",INT(INDEX($L875:$Q875,$W875)))</f>
        <v/>
      </c>
      <c r="Y875" s="18">
        <f>IF(OR($W875="",$W875=6),"",WORKDAY($X875,CHOOSE($W875,3,3,2,2,3),Holidays))</f>
        <v/>
      </c>
      <c r="Z875" s="17">
        <f>IF(OR($W875="",$W875=6),"",CHOOSE($W875,"1st Email Follow-up","2nd Email Follow-up","Escalate Local Office","Escalate to CBE","Escalate to Roxanne"))</f>
        <v/>
      </c>
    </row>
    <row r="876" spans="18:26">
      <c r="R876" s="15"/>
      <c r="S876" s="16"/>
      <c r="T876" s="17">
        <f>IF(AND(COUNTA($A876:$K876)=0,$L876=""),"",IF($S876="Paid","PAID",IF($S876="Closed","CLOSED",IF($W876="","",IF($W876=6,"ESCALATED TO ROXANNE",IF(TODAY()&gt;$Y876,"OVERDUE",IF($Y876&lt;=WORKDAY(TODAY(),1,Holidays),"DUE TOMORROW",IF($W876=4,"ESCALATED TO LOCAL OFFICE",IF($W876=5,"ESCALATED TO CBE",IF($X876=TODAY(),"EMAIL SENT","MONITORING"))))))))))</f>
        <v/>
      </c>
      <c r="U876" s="17">
        <f>IF($T876="",IF(AND(COUNTA($A876:$K876)&gt;0,$L876=""),"Awaiting Collection Email time stamp.",""),IF(OR($T876="PAID",$T876="CLOSED"),IF($T876="PAID","Account paid. Action completed.","Account closed. No further action required."),CHOOSE($W876,"Collection Email","1st Email Follow-up","2nd Email Follow-up","Escalation to Local Office","Escalation to CBE","Escalation to Roxanne")&amp;" sent "&amp;TEXT($X876,"dd-mmm")&amp;". "&amp;IF($W876=6,"Final escalation completed.",IF($T876="OVERDUE","Next: "&amp;$Z876&amp;" was due "&amp;TEXT($Y876,"dd-mmm")&amp;" - "&amp;(NETWORKDAYS($Y876,TODAY(),Holidays)-1)&amp;" business day(s) late. Send now.",IF($T876="DUE TOMORROW","Next: "&amp;$Z876&amp;IF($Y876&lt;=TODAY()," is due TODAY ("," is due next business day (")&amp;TEXT($Y876,"dd-mmm")&amp;").","Next: "&amp;$Z876&amp;" due "&amp;TEXT($Y876,"dd-mmm")&amp;" ("&amp;(NETWORKDAYS(TODAY(),$Y876,Holidays)-1)&amp;" business day(s) left).")))))</f>
        <v/>
      </c>
      <c r="V876" s="17">
        <f>IF($W876="","",CHOOSE($W876,"Collection Email","1st Follow-up","2nd Follow-up","Local Office","CBE","Roxanne")&amp;IF($W876=6," - Final"," - Day "&amp;MAX(0,NETWORKDAYS($X876,TODAY(),Holidays)-1)&amp;" of "&amp;CHOOSE($W876,3,3,2,2,3))&amp;" | Total Day "&amp;MAX(0,NETWORKDAYS($L876,TODAY(),Holidays)-1))</f>
        <v/>
      </c>
      <c r="W876" s="17">
        <f>IF($L876="","",COUNT($L876:$Q876))</f>
        <v/>
      </c>
      <c r="X876" s="18">
        <f>IF($W876="","",INT(INDEX($L876:$Q876,$W876)))</f>
        <v/>
      </c>
      <c r="Y876" s="18">
        <f>IF(OR($W876="",$W876=6),"",WORKDAY($X876,CHOOSE($W876,3,3,2,2,3),Holidays))</f>
        <v/>
      </c>
      <c r="Z876" s="17">
        <f>IF(OR($W876="",$W876=6),"",CHOOSE($W876,"1st Email Follow-up","2nd Email Follow-up","Escalate Local Office","Escalate to CBE","Escalate to Roxanne"))</f>
        <v/>
      </c>
    </row>
    <row r="877" spans="18:26">
      <c r="R877" s="15"/>
      <c r="S877" s="16"/>
      <c r="T877" s="17">
        <f>IF(AND(COUNTA($A877:$K877)=0,$L877=""),"",IF($S877="Paid","PAID",IF($S877="Closed","CLOSED",IF($W877="","",IF($W877=6,"ESCALATED TO ROXANNE",IF(TODAY()&gt;$Y877,"OVERDUE",IF($Y877&lt;=WORKDAY(TODAY(),1,Holidays),"DUE TOMORROW",IF($W877=4,"ESCALATED TO LOCAL OFFICE",IF($W877=5,"ESCALATED TO CBE",IF($X877=TODAY(),"EMAIL SENT","MONITORING"))))))))))</f>
        <v/>
      </c>
      <c r="U877" s="17">
        <f>IF($T877="",IF(AND(COUNTA($A877:$K877)&gt;0,$L877=""),"Awaiting Collection Email time stamp.",""),IF(OR($T877="PAID",$T877="CLOSED"),IF($T877="PAID","Account paid. Action completed.","Account closed. No further action required."),CHOOSE($W877,"Collection Email","1st Email Follow-up","2nd Email Follow-up","Escalation to Local Office","Escalation to CBE","Escalation to Roxanne")&amp;" sent "&amp;TEXT($X877,"dd-mmm")&amp;". "&amp;IF($W877=6,"Final escalation completed.",IF($T877="OVERDUE","Next: "&amp;$Z877&amp;" was due "&amp;TEXT($Y877,"dd-mmm")&amp;" - "&amp;(NETWORKDAYS($Y877,TODAY(),Holidays)-1)&amp;" business day(s) late. Send now.",IF($T877="DUE TOMORROW","Next: "&amp;$Z877&amp;IF($Y877&lt;=TODAY()," is due TODAY ("," is due next business day (")&amp;TEXT($Y877,"dd-mmm")&amp;").","Next: "&amp;$Z877&amp;" due "&amp;TEXT($Y877,"dd-mmm")&amp;" ("&amp;(NETWORKDAYS(TODAY(),$Y877,Holidays)-1)&amp;" business day(s) left).")))))</f>
        <v/>
      </c>
      <c r="V877" s="17">
        <f>IF($W877="","",CHOOSE($W877,"Collection Email","1st Follow-up","2nd Follow-up","Local Office","CBE","Roxanne")&amp;IF($W877=6," - Final"," - Day "&amp;MAX(0,NETWORKDAYS($X877,TODAY(),Holidays)-1)&amp;" of "&amp;CHOOSE($W877,3,3,2,2,3))&amp;" | Total Day "&amp;MAX(0,NETWORKDAYS($L877,TODAY(),Holidays)-1))</f>
        <v/>
      </c>
      <c r="W877" s="17">
        <f>IF($L877="","",COUNT($L877:$Q877))</f>
        <v/>
      </c>
      <c r="X877" s="18">
        <f>IF($W877="","",INT(INDEX($L877:$Q877,$W877)))</f>
        <v/>
      </c>
      <c r="Y877" s="18">
        <f>IF(OR($W877="",$W877=6),"",WORKDAY($X877,CHOOSE($W877,3,3,2,2,3),Holidays))</f>
        <v/>
      </c>
      <c r="Z877" s="17">
        <f>IF(OR($W877="",$W877=6),"",CHOOSE($W877,"1st Email Follow-up","2nd Email Follow-up","Escalate Local Office","Escalate to CBE","Escalate to Roxanne"))</f>
        <v/>
      </c>
    </row>
    <row r="878" spans="18:26">
      <c r="R878" s="15"/>
      <c r="S878" s="16"/>
      <c r="T878" s="17">
        <f>IF(AND(COUNTA($A878:$K878)=0,$L878=""),"",IF($S878="Paid","PAID",IF($S878="Closed","CLOSED",IF($W878="","",IF($W878=6,"ESCALATED TO ROXANNE",IF(TODAY()&gt;$Y878,"OVERDUE",IF($Y878&lt;=WORKDAY(TODAY(),1,Holidays),"DUE TOMORROW",IF($W878=4,"ESCALATED TO LOCAL OFFICE",IF($W878=5,"ESCALATED TO CBE",IF($X878=TODAY(),"EMAIL SENT","MONITORING"))))))))))</f>
        <v/>
      </c>
      <c r="U878" s="17">
        <f>IF($T878="",IF(AND(COUNTA($A878:$K878)&gt;0,$L878=""),"Awaiting Collection Email time stamp.",""),IF(OR($T878="PAID",$T878="CLOSED"),IF($T878="PAID","Account paid. Action completed.","Account closed. No further action required."),CHOOSE($W878,"Collection Email","1st Email Follow-up","2nd Email Follow-up","Escalation to Local Office","Escalation to CBE","Escalation to Roxanne")&amp;" sent "&amp;TEXT($X878,"dd-mmm")&amp;". "&amp;IF($W878=6,"Final escalation completed.",IF($T878="OVERDUE","Next: "&amp;$Z878&amp;" was due "&amp;TEXT($Y878,"dd-mmm")&amp;" - "&amp;(NETWORKDAYS($Y878,TODAY(),Holidays)-1)&amp;" business day(s) late. Send now.",IF($T878="DUE TOMORROW","Next: "&amp;$Z878&amp;IF($Y878&lt;=TODAY()," is due TODAY ("," is due next business day (")&amp;TEXT($Y878,"dd-mmm")&amp;").","Next: "&amp;$Z878&amp;" due "&amp;TEXT($Y878,"dd-mmm")&amp;" ("&amp;(NETWORKDAYS(TODAY(),$Y878,Holidays)-1)&amp;" business day(s) left).")))))</f>
        <v/>
      </c>
      <c r="V878" s="17">
        <f>IF($W878="","",CHOOSE($W878,"Collection Email","1st Follow-up","2nd Follow-up","Local Office","CBE","Roxanne")&amp;IF($W878=6," - Final"," - Day "&amp;MAX(0,NETWORKDAYS($X878,TODAY(),Holidays)-1)&amp;" of "&amp;CHOOSE($W878,3,3,2,2,3))&amp;" | Total Day "&amp;MAX(0,NETWORKDAYS($L878,TODAY(),Holidays)-1))</f>
        <v/>
      </c>
      <c r="W878" s="17">
        <f>IF($L878="","",COUNT($L878:$Q878))</f>
        <v/>
      </c>
      <c r="X878" s="18">
        <f>IF($W878="","",INT(INDEX($L878:$Q878,$W878)))</f>
        <v/>
      </c>
      <c r="Y878" s="18">
        <f>IF(OR($W878="",$W878=6),"",WORKDAY($X878,CHOOSE($W878,3,3,2,2,3),Holidays))</f>
        <v/>
      </c>
      <c r="Z878" s="17">
        <f>IF(OR($W878="",$W878=6),"",CHOOSE($W878,"1st Email Follow-up","2nd Email Follow-up","Escalate Local Office","Escalate to CBE","Escalate to Roxanne"))</f>
        <v/>
      </c>
    </row>
    <row r="879" spans="18:26">
      <c r="R879" s="15"/>
      <c r="S879" s="16"/>
      <c r="T879" s="17">
        <f>IF(AND(COUNTA($A879:$K879)=0,$L879=""),"",IF($S879="Paid","PAID",IF($S879="Closed","CLOSED",IF($W879="","",IF($W879=6,"ESCALATED TO ROXANNE",IF(TODAY()&gt;$Y879,"OVERDUE",IF($Y879&lt;=WORKDAY(TODAY(),1,Holidays),"DUE TOMORROW",IF($W879=4,"ESCALATED TO LOCAL OFFICE",IF($W879=5,"ESCALATED TO CBE",IF($X879=TODAY(),"EMAIL SENT","MONITORING"))))))))))</f>
        <v/>
      </c>
      <c r="U879" s="17">
        <f>IF($T879="",IF(AND(COUNTA($A879:$K879)&gt;0,$L879=""),"Awaiting Collection Email time stamp.",""),IF(OR($T879="PAID",$T879="CLOSED"),IF($T879="PAID","Account paid. Action completed.","Account closed. No further action required."),CHOOSE($W879,"Collection Email","1st Email Follow-up","2nd Email Follow-up","Escalation to Local Office","Escalation to CBE","Escalation to Roxanne")&amp;" sent "&amp;TEXT($X879,"dd-mmm")&amp;". "&amp;IF($W879=6,"Final escalation completed.",IF($T879="OVERDUE","Next: "&amp;$Z879&amp;" was due "&amp;TEXT($Y879,"dd-mmm")&amp;" - "&amp;(NETWORKDAYS($Y879,TODAY(),Holidays)-1)&amp;" business day(s) late. Send now.",IF($T879="DUE TOMORROW","Next: "&amp;$Z879&amp;IF($Y879&lt;=TODAY()," is due TODAY ("," is due next business day (")&amp;TEXT($Y879,"dd-mmm")&amp;").","Next: "&amp;$Z879&amp;" due "&amp;TEXT($Y879,"dd-mmm")&amp;" ("&amp;(NETWORKDAYS(TODAY(),$Y879,Holidays)-1)&amp;" business day(s) left).")))))</f>
        <v/>
      </c>
      <c r="V879" s="17">
        <f>IF($W879="","",CHOOSE($W879,"Collection Email","1st Follow-up","2nd Follow-up","Local Office","CBE","Roxanne")&amp;IF($W879=6," - Final"," - Day "&amp;MAX(0,NETWORKDAYS($X879,TODAY(),Holidays)-1)&amp;" of "&amp;CHOOSE($W879,3,3,2,2,3))&amp;" | Total Day "&amp;MAX(0,NETWORKDAYS($L879,TODAY(),Holidays)-1))</f>
        <v/>
      </c>
      <c r="W879" s="17">
        <f>IF($L879="","",COUNT($L879:$Q879))</f>
        <v/>
      </c>
      <c r="X879" s="18">
        <f>IF($W879="","",INT(INDEX($L879:$Q879,$W879)))</f>
        <v/>
      </c>
      <c r="Y879" s="18">
        <f>IF(OR($W879="",$W879=6),"",WORKDAY($X879,CHOOSE($W879,3,3,2,2,3),Holidays))</f>
        <v/>
      </c>
      <c r="Z879" s="17">
        <f>IF(OR($W879="",$W879=6),"",CHOOSE($W879,"1st Email Follow-up","2nd Email Follow-up","Escalate Local Office","Escalate to CBE","Escalate to Roxanne"))</f>
        <v/>
      </c>
    </row>
    <row r="880" spans="18:26">
      <c r="R880" s="15"/>
      <c r="S880" s="16"/>
      <c r="T880" s="17">
        <f>IF(AND(COUNTA($A880:$K880)=0,$L880=""),"",IF($S880="Paid","PAID",IF($S880="Closed","CLOSED",IF($W880="","",IF($W880=6,"ESCALATED TO ROXANNE",IF(TODAY()&gt;$Y880,"OVERDUE",IF($Y880&lt;=WORKDAY(TODAY(),1,Holidays),"DUE TOMORROW",IF($W880=4,"ESCALATED TO LOCAL OFFICE",IF($W880=5,"ESCALATED TO CBE",IF($X880=TODAY(),"EMAIL SENT","MONITORING"))))))))))</f>
        <v/>
      </c>
      <c r="U880" s="17">
        <f>IF($T880="",IF(AND(COUNTA($A880:$K880)&gt;0,$L880=""),"Awaiting Collection Email time stamp.",""),IF(OR($T880="PAID",$T880="CLOSED"),IF($T880="PAID","Account paid. Action completed.","Account closed. No further action required."),CHOOSE($W880,"Collection Email","1st Email Follow-up","2nd Email Follow-up","Escalation to Local Office","Escalation to CBE","Escalation to Roxanne")&amp;" sent "&amp;TEXT($X880,"dd-mmm")&amp;". "&amp;IF($W880=6,"Final escalation completed.",IF($T880="OVERDUE","Next: "&amp;$Z880&amp;" was due "&amp;TEXT($Y880,"dd-mmm")&amp;" - "&amp;(NETWORKDAYS($Y880,TODAY(),Holidays)-1)&amp;" business day(s) late. Send now.",IF($T880="DUE TOMORROW","Next: "&amp;$Z880&amp;IF($Y880&lt;=TODAY()," is due TODAY ("," is due next business day (")&amp;TEXT($Y880,"dd-mmm")&amp;").","Next: "&amp;$Z880&amp;" due "&amp;TEXT($Y880,"dd-mmm")&amp;" ("&amp;(NETWORKDAYS(TODAY(),$Y880,Holidays)-1)&amp;" business day(s) left).")))))</f>
        <v/>
      </c>
      <c r="V880" s="17">
        <f>IF($W880="","",CHOOSE($W880,"Collection Email","1st Follow-up","2nd Follow-up","Local Office","CBE","Roxanne")&amp;IF($W880=6," - Final"," - Day "&amp;MAX(0,NETWORKDAYS($X880,TODAY(),Holidays)-1)&amp;" of "&amp;CHOOSE($W880,3,3,2,2,3))&amp;" | Total Day "&amp;MAX(0,NETWORKDAYS($L880,TODAY(),Holidays)-1))</f>
        <v/>
      </c>
      <c r="W880" s="17">
        <f>IF($L880="","",COUNT($L880:$Q880))</f>
        <v/>
      </c>
      <c r="X880" s="18">
        <f>IF($W880="","",INT(INDEX($L880:$Q880,$W880)))</f>
        <v/>
      </c>
      <c r="Y880" s="18">
        <f>IF(OR($W880="",$W880=6),"",WORKDAY($X880,CHOOSE($W880,3,3,2,2,3),Holidays))</f>
        <v/>
      </c>
      <c r="Z880" s="17">
        <f>IF(OR($W880="",$W880=6),"",CHOOSE($W880,"1st Email Follow-up","2nd Email Follow-up","Escalate Local Office","Escalate to CBE","Escalate to Roxanne"))</f>
        <v/>
      </c>
    </row>
    <row r="881" spans="18:26">
      <c r="R881" s="15"/>
      <c r="S881" s="16"/>
      <c r="T881" s="17">
        <f>IF(AND(COUNTA($A881:$K881)=0,$L881=""),"",IF($S881="Paid","PAID",IF($S881="Closed","CLOSED",IF($W881="","",IF($W881=6,"ESCALATED TO ROXANNE",IF(TODAY()&gt;$Y881,"OVERDUE",IF($Y881&lt;=WORKDAY(TODAY(),1,Holidays),"DUE TOMORROW",IF($W881=4,"ESCALATED TO LOCAL OFFICE",IF($W881=5,"ESCALATED TO CBE",IF($X881=TODAY(),"EMAIL SENT","MONITORING"))))))))))</f>
        <v/>
      </c>
      <c r="U881" s="17">
        <f>IF($T881="",IF(AND(COUNTA($A881:$K881)&gt;0,$L881=""),"Awaiting Collection Email time stamp.",""),IF(OR($T881="PAID",$T881="CLOSED"),IF($T881="PAID","Account paid. Action completed.","Account closed. No further action required."),CHOOSE($W881,"Collection Email","1st Email Follow-up","2nd Email Follow-up","Escalation to Local Office","Escalation to CBE","Escalation to Roxanne")&amp;" sent "&amp;TEXT($X881,"dd-mmm")&amp;". "&amp;IF($W881=6,"Final escalation completed.",IF($T881="OVERDUE","Next: "&amp;$Z881&amp;" was due "&amp;TEXT($Y881,"dd-mmm")&amp;" - "&amp;(NETWORKDAYS($Y881,TODAY(),Holidays)-1)&amp;" business day(s) late. Send now.",IF($T881="DUE TOMORROW","Next: "&amp;$Z881&amp;IF($Y881&lt;=TODAY()," is due TODAY ("," is due next business day (")&amp;TEXT($Y881,"dd-mmm")&amp;").","Next: "&amp;$Z881&amp;" due "&amp;TEXT($Y881,"dd-mmm")&amp;" ("&amp;(NETWORKDAYS(TODAY(),$Y881,Holidays)-1)&amp;" business day(s) left).")))))</f>
        <v/>
      </c>
      <c r="V881" s="17">
        <f>IF($W881="","",CHOOSE($W881,"Collection Email","1st Follow-up","2nd Follow-up","Local Office","CBE","Roxanne")&amp;IF($W881=6," - Final"," - Day "&amp;MAX(0,NETWORKDAYS($X881,TODAY(),Holidays)-1)&amp;" of "&amp;CHOOSE($W881,3,3,2,2,3))&amp;" | Total Day "&amp;MAX(0,NETWORKDAYS($L881,TODAY(),Holidays)-1))</f>
        <v/>
      </c>
      <c r="W881" s="17">
        <f>IF($L881="","",COUNT($L881:$Q881))</f>
        <v/>
      </c>
      <c r="X881" s="18">
        <f>IF($W881="","",INT(INDEX($L881:$Q881,$W881)))</f>
        <v/>
      </c>
      <c r="Y881" s="18">
        <f>IF(OR($W881="",$W881=6),"",WORKDAY($X881,CHOOSE($W881,3,3,2,2,3),Holidays))</f>
        <v/>
      </c>
      <c r="Z881" s="17">
        <f>IF(OR($W881="",$W881=6),"",CHOOSE($W881,"1st Email Follow-up","2nd Email Follow-up","Escalate Local Office","Escalate to CBE","Escalate to Roxanne"))</f>
        <v/>
      </c>
    </row>
    <row r="882" spans="18:26">
      <c r="R882" s="15"/>
      <c r="S882" s="16"/>
      <c r="T882" s="17">
        <f>IF(AND(COUNTA($A882:$K882)=0,$L882=""),"",IF($S882="Paid","PAID",IF($S882="Closed","CLOSED",IF($W882="","",IF($W882=6,"ESCALATED TO ROXANNE",IF(TODAY()&gt;$Y882,"OVERDUE",IF($Y882&lt;=WORKDAY(TODAY(),1,Holidays),"DUE TOMORROW",IF($W882=4,"ESCALATED TO LOCAL OFFICE",IF($W882=5,"ESCALATED TO CBE",IF($X882=TODAY(),"EMAIL SENT","MONITORING"))))))))))</f>
        <v/>
      </c>
      <c r="U882" s="17">
        <f>IF($T882="",IF(AND(COUNTA($A882:$K882)&gt;0,$L882=""),"Awaiting Collection Email time stamp.",""),IF(OR($T882="PAID",$T882="CLOSED"),IF($T882="PAID","Account paid. Action completed.","Account closed. No further action required."),CHOOSE($W882,"Collection Email","1st Email Follow-up","2nd Email Follow-up","Escalation to Local Office","Escalation to CBE","Escalation to Roxanne")&amp;" sent "&amp;TEXT($X882,"dd-mmm")&amp;". "&amp;IF($W882=6,"Final escalation completed.",IF($T882="OVERDUE","Next: "&amp;$Z882&amp;" was due "&amp;TEXT($Y882,"dd-mmm")&amp;" - "&amp;(NETWORKDAYS($Y882,TODAY(),Holidays)-1)&amp;" business day(s) late. Send now.",IF($T882="DUE TOMORROW","Next: "&amp;$Z882&amp;IF($Y882&lt;=TODAY()," is due TODAY ("," is due next business day (")&amp;TEXT($Y882,"dd-mmm")&amp;").","Next: "&amp;$Z882&amp;" due "&amp;TEXT($Y882,"dd-mmm")&amp;" ("&amp;(NETWORKDAYS(TODAY(),$Y882,Holidays)-1)&amp;" business day(s) left).")))))</f>
        <v/>
      </c>
      <c r="V882" s="17">
        <f>IF($W882="","",CHOOSE($W882,"Collection Email","1st Follow-up","2nd Follow-up","Local Office","CBE","Roxanne")&amp;IF($W882=6," - Final"," - Day "&amp;MAX(0,NETWORKDAYS($X882,TODAY(),Holidays)-1)&amp;" of "&amp;CHOOSE($W882,3,3,2,2,3))&amp;" | Total Day "&amp;MAX(0,NETWORKDAYS($L882,TODAY(),Holidays)-1))</f>
        <v/>
      </c>
      <c r="W882" s="17">
        <f>IF($L882="","",COUNT($L882:$Q882))</f>
        <v/>
      </c>
      <c r="X882" s="18">
        <f>IF($W882="","",INT(INDEX($L882:$Q882,$W882)))</f>
        <v/>
      </c>
      <c r="Y882" s="18">
        <f>IF(OR($W882="",$W882=6),"",WORKDAY($X882,CHOOSE($W882,3,3,2,2,3),Holidays))</f>
        <v/>
      </c>
      <c r="Z882" s="17">
        <f>IF(OR($W882="",$W882=6),"",CHOOSE($W882,"1st Email Follow-up","2nd Email Follow-up","Escalate Local Office","Escalate to CBE","Escalate to Roxanne"))</f>
        <v/>
      </c>
    </row>
    <row r="883" spans="18:26">
      <c r="R883" s="15"/>
      <c r="S883" s="16"/>
      <c r="T883" s="17">
        <f>IF(AND(COUNTA($A883:$K883)=0,$L883=""),"",IF($S883="Paid","PAID",IF($S883="Closed","CLOSED",IF($W883="","",IF($W883=6,"ESCALATED TO ROXANNE",IF(TODAY()&gt;$Y883,"OVERDUE",IF($Y883&lt;=WORKDAY(TODAY(),1,Holidays),"DUE TOMORROW",IF($W883=4,"ESCALATED TO LOCAL OFFICE",IF($W883=5,"ESCALATED TO CBE",IF($X883=TODAY(),"EMAIL SENT","MONITORING"))))))))))</f>
        <v/>
      </c>
      <c r="U883" s="17">
        <f>IF($T883="",IF(AND(COUNTA($A883:$K883)&gt;0,$L883=""),"Awaiting Collection Email time stamp.",""),IF(OR($T883="PAID",$T883="CLOSED"),IF($T883="PAID","Account paid. Action completed.","Account closed. No further action required."),CHOOSE($W883,"Collection Email","1st Email Follow-up","2nd Email Follow-up","Escalation to Local Office","Escalation to CBE","Escalation to Roxanne")&amp;" sent "&amp;TEXT($X883,"dd-mmm")&amp;". "&amp;IF($W883=6,"Final escalation completed.",IF($T883="OVERDUE","Next: "&amp;$Z883&amp;" was due "&amp;TEXT($Y883,"dd-mmm")&amp;" - "&amp;(NETWORKDAYS($Y883,TODAY(),Holidays)-1)&amp;" business day(s) late. Send now.",IF($T883="DUE TOMORROW","Next: "&amp;$Z883&amp;IF($Y883&lt;=TODAY()," is due TODAY ("," is due next business day (")&amp;TEXT($Y883,"dd-mmm")&amp;").","Next: "&amp;$Z883&amp;" due "&amp;TEXT($Y883,"dd-mmm")&amp;" ("&amp;(NETWORKDAYS(TODAY(),$Y883,Holidays)-1)&amp;" business day(s) left).")))))</f>
        <v/>
      </c>
      <c r="V883" s="17">
        <f>IF($W883="","",CHOOSE($W883,"Collection Email","1st Follow-up","2nd Follow-up","Local Office","CBE","Roxanne")&amp;IF($W883=6," - Final"," - Day "&amp;MAX(0,NETWORKDAYS($X883,TODAY(),Holidays)-1)&amp;" of "&amp;CHOOSE($W883,3,3,2,2,3))&amp;" | Total Day "&amp;MAX(0,NETWORKDAYS($L883,TODAY(),Holidays)-1))</f>
        <v/>
      </c>
      <c r="W883" s="17">
        <f>IF($L883="","",COUNT($L883:$Q883))</f>
        <v/>
      </c>
      <c r="X883" s="18">
        <f>IF($W883="","",INT(INDEX($L883:$Q883,$W883)))</f>
        <v/>
      </c>
      <c r="Y883" s="18">
        <f>IF(OR($W883="",$W883=6),"",WORKDAY($X883,CHOOSE($W883,3,3,2,2,3),Holidays))</f>
        <v/>
      </c>
      <c r="Z883" s="17">
        <f>IF(OR($W883="",$W883=6),"",CHOOSE($W883,"1st Email Follow-up","2nd Email Follow-up","Escalate Local Office","Escalate to CBE","Escalate to Roxanne"))</f>
        <v/>
      </c>
    </row>
    <row r="884" spans="18:26">
      <c r="R884" s="15"/>
      <c r="S884" s="16"/>
      <c r="T884" s="17">
        <f>IF(AND(COUNTA($A884:$K884)=0,$L884=""),"",IF($S884="Paid","PAID",IF($S884="Closed","CLOSED",IF($W884="","",IF($W884=6,"ESCALATED TO ROXANNE",IF(TODAY()&gt;$Y884,"OVERDUE",IF($Y884&lt;=WORKDAY(TODAY(),1,Holidays),"DUE TOMORROW",IF($W884=4,"ESCALATED TO LOCAL OFFICE",IF($W884=5,"ESCALATED TO CBE",IF($X884=TODAY(),"EMAIL SENT","MONITORING"))))))))))</f>
        <v/>
      </c>
      <c r="U884" s="17">
        <f>IF($T884="",IF(AND(COUNTA($A884:$K884)&gt;0,$L884=""),"Awaiting Collection Email time stamp.",""),IF(OR($T884="PAID",$T884="CLOSED"),IF($T884="PAID","Account paid. Action completed.","Account closed. No further action required."),CHOOSE($W884,"Collection Email","1st Email Follow-up","2nd Email Follow-up","Escalation to Local Office","Escalation to CBE","Escalation to Roxanne")&amp;" sent "&amp;TEXT($X884,"dd-mmm")&amp;". "&amp;IF($W884=6,"Final escalation completed.",IF($T884="OVERDUE","Next: "&amp;$Z884&amp;" was due "&amp;TEXT($Y884,"dd-mmm")&amp;" - "&amp;(NETWORKDAYS($Y884,TODAY(),Holidays)-1)&amp;" business day(s) late. Send now.",IF($T884="DUE TOMORROW","Next: "&amp;$Z884&amp;IF($Y884&lt;=TODAY()," is due TODAY ("," is due next business day (")&amp;TEXT($Y884,"dd-mmm")&amp;").","Next: "&amp;$Z884&amp;" due "&amp;TEXT($Y884,"dd-mmm")&amp;" ("&amp;(NETWORKDAYS(TODAY(),$Y884,Holidays)-1)&amp;" business day(s) left).")))))</f>
        <v/>
      </c>
      <c r="V884" s="17">
        <f>IF($W884="","",CHOOSE($W884,"Collection Email","1st Follow-up","2nd Follow-up","Local Office","CBE","Roxanne")&amp;IF($W884=6," - Final"," - Day "&amp;MAX(0,NETWORKDAYS($X884,TODAY(),Holidays)-1)&amp;" of "&amp;CHOOSE($W884,3,3,2,2,3))&amp;" | Total Day "&amp;MAX(0,NETWORKDAYS($L884,TODAY(),Holidays)-1))</f>
        <v/>
      </c>
      <c r="W884" s="17">
        <f>IF($L884="","",COUNT($L884:$Q884))</f>
        <v/>
      </c>
      <c r="X884" s="18">
        <f>IF($W884="","",INT(INDEX($L884:$Q884,$W884)))</f>
        <v/>
      </c>
      <c r="Y884" s="18">
        <f>IF(OR($W884="",$W884=6),"",WORKDAY($X884,CHOOSE($W884,3,3,2,2,3),Holidays))</f>
        <v/>
      </c>
      <c r="Z884" s="17">
        <f>IF(OR($W884="",$W884=6),"",CHOOSE($W884,"1st Email Follow-up","2nd Email Follow-up","Escalate Local Office","Escalate to CBE","Escalate to Roxanne"))</f>
        <v/>
      </c>
    </row>
    <row r="885" spans="18:26">
      <c r="R885" s="15"/>
      <c r="S885" s="16"/>
      <c r="T885" s="17">
        <f>IF(AND(COUNTA($A885:$K885)=0,$L885=""),"",IF($S885="Paid","PAID",IF($S885="Closed","CLOSED",IF($W885="","",IF($W885=6,"ESCALATED TO ROXANNE",IF(TODAY()&gt;$Y885,"OVERDUE",IF($Y885&lt;=WORKDAY(TODAY(),1,Holidays),"DUE TOMORROW",IF($W885=4,"ESCALATED TO LOCAL OFFICE",IF($W885=5,"ESCALATED TO CBE",IF($X885=TODAY(),"EMAIL SENT","MONITORING"))))))))))</f>
        <v/>
      </c>
      <c r="U885" s="17">
        <f>IF($T885="",IF(AND(COUNTA($A885:$K885)&gt;0,$L885=""),"Awaiting Collection Email time stamp.",""),IF(OR($T885="PAID",$T885="CLOSED"),IF($T885="PAID","Account paid. Action completed.","Account closed. No further action required."),CHOOSE($W885,"Collection Email","1st Email Follow-up","2nd Email Follow-up","Escalation to Local Office","Escalation to CBE","Escalation to Roxanne")&amp;" sent "&amp;TEXT($X885,"dd-mmm")&amp;". "&amp;IF($W885=6,"Final escalation completed.",IF($T885="OVERDUE","Next: "&amp;$Z885&amp;" was due "&amp;TEXT($Y885,"dd-mmm")&amp;" - "&amp;(NETWORKDAYS($Y885,TODAY(),Holidays)-1)&amp;" business day(s) late. Send now.",IF($T885="DUE TOMORROW","Next: "&amp;$Z885&amp;IF($Y885&lt;=TODAY()," is due TODAY ("," is due next business day (")&amp;TEXT($Y885,"dd-mmm")&amp;").","Next: "&amp;$Z885&amp;" due "&amp;TEXT($Y885,"dd-mmm")&amp;" ("&amp;(NETWORKDAYS(TODAY(),$Y885,Holidays)-1)&amp;" business day(s) left).")))))</f>
        <v/>
      </c>
      <c r="V885" s="17">
        <f>IF($W885="","",CHOOSE($W885,"Collection Email","1st Follow-up","2nd Follow-up","Local Office","CBE","Roxanne")&amp;IF($W885=6," - Final"," - Day "&amp;MAX(0,NETWORKDAYS($X885,TODAY(),Holidays)-1)&amp;" of "&amp;CHOOSE($W885,3,3,2,2,3))&amp;" | Total Day "&amp;MAX(0,NETWORKDAYS($L885,TODAY(),Holidays)-1))</f>
        <v/>
      </c>
      <c r="W885" s="17">
        <f>IF($L885="","",COUNT($L885:$Q885))</f>
        <v/>
      </c>
      <c r="X885" s="18">
        <f>IF($W885="","",INT(INDEX($L885:$Q885,$W885)))</f>
        <v/>
      </c>
      <c r="Y885" s="18">
        <f>IF(OR($W885="",$W885=6),"",WORKDAY($X885,CHOOSE($W885,3,3,2,2,3),Holidays))</f>
        <v/>
      </c>
      <c r="Z885" s="17">
        <f>IF(OR($W885="",$W885=6),"",CHOOSE($W885,"1st Email Follow-up","2nd Email Follow-up","Escalate Local Office","Escalate to CBE","Escalate to Roxanne"))</f>
        <v/>
      </c>
    </row>
    <row r="886" spans="18:26">
      <c r="R886" s="15"/>
      <c r="S886" s="16"/>
      <c r="T886" s="17">
        <f>IF(AND(COUNTA($A886:$K886)=0,$L886=""),"",IF($S886="Paid","PAID",IF($S886="Closed","CLOSED",IF($W886="","",IF($W886=6,"ESCALATED TO ROXANNE",IF(TODAY()&gt;$Y886,"OVERDUE",IF($Y886&lt;=WORKDAY(TODAY(),1,Holidays),"DUE TOMORROW",IF($W886=4,"ESCALATED TO LOCAL OFFICE",IF($W886=5,"ESCALATED TO CBE",IF($X886=TODAY(),"EMAIL SENT","MONITORING"))))))))))</f>
        <v/>
      </c>
      <c r="U886" s="17">
        <f>IF($T886="",IF(AND(COUNTA($A886:$K886)&gt;0,$L886=""),"Awaiting Collection Email time stamp.",""),IF(OR($T886="PAID",$T886="CLOSED"),IF($T886="PAID","Account paid. Action completed.","Account closed. No further action required."),CHOOSE($W886,"Collection Email","1st Email Follow-up","2nd Email Follow-up","Escalation to Local Office","Escalation to CBE","Escalation to Roxanne")&amp;" sent "&amp;TEXT($X886,"dd-mmm")&amp;". "&amp;IF($W886=6,"Final escalation completed.",IF($T886="OVERDUE","Next: "&amp;$Z886&amp;" was due "&amp;TEXT($Y886,"dd-mmm")&amp;" - "&amp;(NETWORKDAYS($Y886,TODAY(),Holidays)-1)&amp;" business day(s) late. Send now.",IF($T886="DUE TOMORROW","Next: "&amp;$Z886&amp;IF($Y886&lt;=TODAY()," is due TODAY ("," is due next business day (")&amp;TEXT($Y886,"dd-mmm")&amp;").","Next: "&amp;$Z886&amp;" due "&amp;TEXT($Y886,"dd-mmm")&amp;" ("&amp;(NETWORKDAYS(TODAY(),$Y886,Holidays)-1)&amp;" business day(s) left).")))))</f>
        <v/>
      </c>
      <c r="V886" s="17">
        <f>IF($W886="","",CHOOSE($W886,"Collection Email","1st Follow-up","2nd Follow-up","Local Office","CBE","Roxanne")&amp;IF($W886=6," - Final"," - Day "&amp;MAX(0,NETWORKDAYS($X886,TODAY(),Holidays)-1)&amp;" of "&amp;CHOOSE($W886,3,3,2,2,3))&amp;" | Total Day "&amp;MAX(0,NETWORKDAYS($L886,TODAY(),Holidays)-1))</f>
        <v/>
      </c>
      <c r="W886" s="17">
        <f>IF($L886="","",COUNT($L886:$Q886))</f>
        <v/>
      </c>
      <c r="X886" s="18">
        <f>IF($W886="","",INT(INDEX($L886:$Q886,$W886)))</f>
        <v/>
      </c>
      <c r="Y886" s="18">
        <f>IF(OR($W886="",$W886=6),"",WORKDAY($X886,CHOOSE($W886,3,3,2,2,3),Holidays))</f>
        <v/>
      </c>
      <c r="Z886" s="17">
        <f>IF(OR($W886="",$W886=6),"",CHOOSE($W886,"1st Email Follow-up","2nd Email Follow-up","Escalate Local Office","Escalate to CBE","Escalate to Roxanne"))</f>
        <v/>
      </c>
    </row>
    <row r="887" spans="18:26">
      <c r="R887" s="15"/>
      <c r="S887" s="16"/>
      <c r="T887" s="17">
        <f>IF(AND(COUNTA($A887:$K887)=0,$L887=""),"",IF($S887="Paid","PAID",IF($S887="Closed","CLOSED",IF($W887="","",IF($W887=6,"ESCALATED TO ROXANNE",IF(TODAY()&gt;$Y887,"OVERDUE",IF($Y887&lt;=WORKDAY(TODAY(),1,Holidays),"DUE TOMORROW",IF($W887=4,"ESCALATED TO LOCAL OFFICE",IF($W887=5,"ESCALATED TO CBE",IF($X887=TODAY(),"EMAIL SENT","MONITORING"))))))))))</f>
        <v/>
      </c>
      <c r="U887" s="17">
        <f>IF($T887="",IF(AND(COUNTA($A887:$K887)&gt;0,$L887=""),"Awaiting Collection Email time stamp.",""),IF(OR($T887="PAID",$T887="CLOSED"),IF($T887="PAID","Account paid. Action completed.","Account closed. No further action required."),CHOOSE($W887,"Collection Email","1st Email Follow-up","2nd Email Follow-up","Escalation to Local Office","Escalation to CBE","Escalation to Roxanne")&amp;" sent "&amp;TEXT($X887,"dd-mmm")&amp;". "&amp;IF($W887=6,"Final escalation completed.",IF($T887="OVERDUE","Next: "&amp;$Z887&amp;" was due "&amp;TEXT($Y887,"dd-mmm")&amp;" - "&amp;(NETWORKDAYS($Y887,TODAY(),Holidays)-1)&amp;" business day(s) late. Send now.",IF($T887="DUE TOMORROW","Next: "&amp;$Z887&amp;IF($Y887&lt;=TODAY()," is due TODAY ("," is due next business day (")&amp;TEXT($Y887,"dd-mmm")&amp;").","Next: "&amp;$Z887&amp;" due "&amp;TEXT($Y887,"dd-mmm")&amp;" ("&amp;(NETWORKDAYS(TODAY(),$Y887,Holidays)-1)&amp;" business day(s) left).")))))</f>
        <v/>
      </c>
      <c r="V887" s="17">
        <f>IF($W887="","",CHOOSE($W887,"Collection Email","1st Follow-up","2nd Follow-up","Local Office","CBE","Roxanne")&amp;IF($W887=6," - Final"," - Day "&amp;MAX(0,NETWORKDAYS($X887,TODAY(),Holidays)-1)&amp;" of "&amp;CHOOSE($W887,3,3,2,2,3))&amp;" | Total Day "&amp;MAX(0,NETWORKDAYS($L887,TODAY(),Holidays)-1))</f>
        <v/>
      </c>
      <c r="W887" s="17">
        <f>IF($L887="","",COUNT($L887:$Q887))</f>
        <v/>
      </c>
      <c r="X887" s="18">
        <f>IF($W887="","",INT(INDEX($L887:$Q887,$W887)))</f>
        <v/>
      </c>
      <c r="Y887" s="18">
        <f>IF(OR($W887="",$W887=6),"",WORKDAY($X887,CHOOSE($W887,3,3,2,2,3),Holidays))</f>
        <v/>
      </c>
      <c r="Z887" s="17">
        <f>IF(OR($W887="",$W887=6),"",CHOOSE($W887,"1st Email Follow-up","2nd Email Follow-up","Escalate Local Office","Escalate to CBE","Escalate to Roxanne"))</f>
        <v/>
      </c>
    </row>
    <row r="888" spans="18:26">
      <c r="R888" s="15"/>
      <c r="S888" s="16"/>
      <c r="T888" s="17">
        <f>IF(AND(COUNTA($A888:$K888)=0,$L888=""),"",IF($S888="Paid","PAID",IF($S888="Closed","CLOSED",IF($W888="","",IF($W888=6,"ESCALATED TO ROXANNE",IF(TODAY()&gt;$Y888,"OVERDUE",IF($Y888&lt;=WORKDAY(TODAY(),1,Holidays),"DUE TOMORROW",IF($W888=4,"ESCALATED TO LOCAL OFFICE",IF($W888=5,"ESCALATED TO CBE",IF($X888=TODAY(),"EMAIL SENT","MONITORING"))))))))))</f>
        <v/>
      </c>
      <c r="U888" s="17">
        <f>IF($T888="",IF(AND(COUNTA($A888:$K888)&gt;0,$L888=""),"Awaiting Collection Email time stamp.",""),IF(OR($T888="PAID",$T888="CLOSED"),IF($T888="PAID","Account paid. Action completed.","Account closed. No further action required."),CHOOSE($W888,"Collection Email","1st Email Follow-up","2nd Email Follow-up","Escalation to Local Office","Escalation to CBE","Escalation to Roxanne")&amp;" sent "&amp;TEXT($X888,"dd-mmm")&amp;". "&amp;IF($W888=6,"Final escalation completed.",IF($T888="OVERDUE","Next: "&amp;$Z888&amp;" was due "&amp;TEXT($Y888,"dd-mmm")&amp;" - "&amp;(NETWORKDAYS($Y888,TODAY(),Holidays)-1)&amp;" business day(s) late. Send now.",IF($T888="DUE TOMORROW","Next: "&amp;$Z888&amp;IF($Y888&lt;=TODAY()," is due TODAY ("," is due next business day (")&amp;TEXT($Y888,"dd-mmm")&amp;").","Next: "&amp;$Z888&amp;" due "&amp;TEXT($Y888,"dd-mmm")&amp;" ("&amp;(NETWORKDAYS(TODAY(),$Y888,Holidays)-1)&amp;" business day(s) left).")))))</f>
        <v/>
      </c>
      <c r="V888" s="17">
        <f>IF($W888="","",CHOOSE($W888,"Collection Email","1st Follow-up","2nd Follow-up","Local Office","CBE","Roxanne")&amp;IF($W888=6," - Final"," - Day "&amp;MAX(0,NETWORKDAYS($X888,TODAY(),Holidays)-1)&amp;" of "&amp;CHOOSE($W888,3,3,2,2,3))&amp;" | Total Day "&amp;MAX(0,NETWORKDAYS($L888,TODAY(),Holidays)-1))</f>
        <v/>
      </c>
      <c r="W888" s="17">
        <f>IF($L888="","",COUNT($L888:$Q888))</f>
        <v/>
      </c>
      <c r="X888" s="18">
        <f>IF($W888="","",INT(INDEX($L888:$Q888,$W888)))</f>
        <v/>
      </c>
      <c r="Y888" s="18">
        <f>IF(OR($W888="",$W888=6),"",WORKDAY($X888,CHOOSE($W888,3,3,2,2,3),Holidays))</f>
        <v/>
      </c>
      <c r="Z888" s="17">
        <f>IF(OR($W888="",$W888=6),"",CHOOSE($W888,"1st Email Follow-up","2nd Email Follow-up","Escalate Local Office","Escalate to CBE","Escalate to Roxanne"))</f>
        <v/>
      </c>
    </row>
    <row r="889" spans="18:26">
      <c r="R889" s="15"/>
      <c r="S889" s="16"/>
      <c r="T889" s="17">
        <f>IF(AND(COUNTA($A889:$K889)=0,$L889=""),"",IF($S889="Paid","PAID",IF($S889="Closed","CLOSED",IF($W889="","",IF($W889=6,"ESCALATED TO ROXANNE",IF(TODAY()&gt;$Y889,"OVERDUE",IF($Y889&lt;=WORKDAY(TODAY(),1,Holidays),"DUE TOMORROW",IF($W889=4,"ESCALATED TO LOCAL OFFICE",IF($W889=5,"ESCALATED TO CBE",IF($X889=TODAY(),"EMAIL SENT","MONITORING"))))))))))</f>
        <v/>
      </c>
      <c r="U889" s="17">
        <f>IF($T889="",IF(AND(COUNTA($A889:$K889)&gt;0,$L889=""),"Awaiting Collection Email time stamp.",""),IF(OR($T889="PAID",$T889="CLOSED"),IF($T889="PAID","Account paid. Action completed.","Account closed. No further action required."),CHOOSE($W889,"Collection Email","1st Email Follow-up","2nd Email Follow-up","Escalation to Local Office","Escalation to CBE","Escalation to Roxanne")&amp;" sent "&amp;TEXT($X889,"dd-mmm")&amp;". "&amp;IF($W889=6,"Final escalation completed.",IF($T889="OVERDUE","Next: "&amp;$Z889&amp;" was due "&amp;TEXT($Y889,"dd-mmm")&amp;" - "&amp;(NETWORKDAYS($Y889,TODAY(),Holidays)-1)&amp;" business day(s) late. Send now.",IF($T889="DUE TOMORROW","Next: "&amp;$Z889&amp;IF($Y889&lt;=TODAY()," is due TODAY ("," is due next business day (")&amp;TEXT($Y889,"dd-mmm")&amp;").","Next: "&amp;$Z889&amp;" due "&amp;TEXT($Y889,"dd-mmm")&amp;" ("&amp;(NETWORKDAYS(TODAY(),$Y889,Holidays)-1)&amp;" business day(s) left).")))))</f>
        <v/>
      </c>
      <c r="V889" s="17">
        <f>IF($W889="","",CHOOSE($W889,"Collection Email","1st Follow-up","2nd Follow-up","Local Office","CBE","Roxanne")&amp;IF($W889=6," - Final"," - Day "&amp;MAX(0,NETWORKDAYS($X889,TODAY(),Holidays)-1)&amp;" of "&amp;CHOOSE($W889,3,3,2,2,3))&amp;" | Total Day "&amp;MAX(0,NETWORKDAYS($L889,TODAY(),Holidays)-1))</f>
        <v/>
      </c>
      <c r="W889" s="17">
        <f>IF($L889="","",COUNT($L889:$Q889))</f>
        <v/>
      </c>
      <c r="X889" s="18">
        <f>IF($W889="","",INT(INDEX($L889:$Q889,$W889)))</f>
        <v/>
      </c>
      <c r="Y889" s="18">
        <f>IF(OR($W889="",$W889=6),"",WORKDAY($X889,CHOOSE($W889,3,3,2,2,3),Holidays))</f>
        <v/>
      </c>
      <c r="Z889" s="17">
        <f>IF(OR($W889="",$W889=6),"",CHOOSE($W889,"1st Email Follow-up","2nd Email Follow-up","Escalate Local Office","Escalate to CBE","Escalate to Roxanne"))</f>
        <v/>
      </c>
    </row>
    <row r="890" spans="18:26">
      <c r="R890" s="15"/>
      <c r="S890" s="16"/>
      <c r="T890" s="17">
        <f>IF(AND(COUNTA($A890:$K890)=0,$L890=""),"",IF($S890="Paid","PAID",IF($S890="Closed","CLOSED",IF($W890="","",IF($W890=6,"ESCALATED TO ROXANNE",IF(TODAY()&gt;$Y890,"OVERDUE",IF($Y890&lt;=WORKDAY(TODAY(),1,Holidays),"DUE TOMORROW",IF($W890=4,"ESCALATED TO LOCAL OFFICE",IF($W890=5,"ESCALATED TO CBE",IF($X890=TODAY(),"EMAIL SENT","MONITORING"))))))))))</f>
        <v/>
      </c>
      <c r="U890" s="17">
        <f>IF($T890="",IF(AND(COUNTA($A890:$K890)&gt;0,$L890=""),"Awaiting Collection Email time stamp.",""),IF(OR($T890="PAID",$T890="CLOSED"),IF($T890="PAID","Account paid. Action completed.","Account closed. No further action required."),CHOOSE($W890,"Collection Email","1st Email Follow-up","2nd Email Follow-up","Escalation to Local Office","Escalation to CBE","Escalation to Roxanne")&amp;" sent "&amp;TEXT($X890,"dd-mmm")&amp;". "&amp;IF($W890=6,"Final escalation completed.",IF($T890="OVERDUE","Next: "&amp;$Z890&amp;" was due "&amp;TEXT($Y890,"dd-mmm")&amp;" - "&amp;(NETWORKDAYS($Y890,TODAY(),Holidays)-1)&amp;" business day(s) late. Send now.",IF($T890="DUE TOMORROW","Next: "&amp;$Z890&amp;IF($Y890&lt;=TODAY()," is due TODAY ("," is due next business day (")&amp;TEXT($Y890,"dd-mmm")&amp;").","Next: "&amp;$Z890&amp;" due "&amp;TEXT($Y890,"dd-mmm")&amp;" ("&amp;(NETWORKDAYS(TODAY(),$Y890,Holidays)-1)&amp;" business day(s) left).")))))</f>
        <v/>
      </c>
      <c r="V890" s="17">
        <f>IF($W890="","",CHOOSE($W890,"Collection Email","1st Follow-up","2nd Follow-up","Local Office","CBE","Roxanne")&amp;IF($W890=6," - Final"," - Day "&amp;MAX(0,NETWORKDAYS($X890,TODAY(),Holidays)-1)&amp;" of "&amp;CHOOSE($W890,3,3,2,2,3))&amp;" | Total Day "&amp;MAX(0,NETWORKDAYS($L890,TODAY(),Holidays)-1))</f>
        <v/>
      </c>
      <c r="W890" s="17">
        <f>IF($L890="","",COUNT($L890:$Q890))</f>
        <v/>
      </c>
      <c r="X890" s="18">
        <f>IF($W890="","",INT(INDEX($L890:$Q890,$W890)))</f>
        <v/>
      </c>
      <c r="Y890" s="18">
        <f>IF(OR($W890="",$W890=6),"",WORKDAY($X890,CHOOSE($W890,3,3,2,2,3),Holidays))</f>
        <v/>
      </c>
      <c r="Z890" s="17">
        <f>IF(OR($W890="",$W890=6),"",CHOOSE($W890,"1st Email Follow-up","2nd Email Follow-up","Escalate Local Office","Escalate to CBE","Escalate to Roxanne"))</f>
        <v/>
      </c>
    </row>
    <row r="891" spans="18:26">
      <c r="R891" s="15"/>
      <c r="S891" s="16"/>
      <c r="T891" s="17">
        <f>IF(AND(COUNTA($A891:$K891)=0,$L891=""),"",IF($S891="Paid","PAID",IF($S891="Closed","CLOSED",IF($W891="","",IF($W891=6,"ESCALATED TO ROXANNE",IF(TODAY()&gt;$Y891,"OVERDUE",IF($Y891&lt;=WORKDAY(TODAY(),1,Holidays),"DUE TOMORROW",IF($W891=4,"ESCALATED TO LOCAL OFFICE",IF($W891=5,"ESCALATED TO CBE",IF($X891=TODAY(),"EMAIL SENT","MONITORING"))))))))))</f>
        <v/>
      </c>
      <c r="U891" s="17">
        <f>IF($T891="",IF(AND(COUNTA($A891:$K891)&gt;0,$L891=""),"Awaiting Collection Email time stamp.",""),IF(OR($T891="PAID",$T891="CLOSED"),IF($T891="PAID","Account paid. Action completed.","Account closed. No further action required."),CHOOSE($W891,"Collection Email","1st Email Follow-up","2nd Email Follow-up","Escalation to Local Office","Escalation to CBE","Escalation to Roxanne")&amp;" sent "&amp;TEXT($X891,"dd-mmm")&amp;". "&amp;IF($W891=6,"Final escalation completed.",IF($T891="OVERDUE","Next: "&amp;$Z891&amp;" was due "&amp;TEXT($Y891,"dd-mmm")&amp;" - "&amp;(NETWORKDAYS($Y891,TODAY(),Holidays)-1)&amp;" business day(s) late. Send now.",IF($T891="DUE TOMORROW","Next: "&amp;$Z891&amp;IF($Y891&lt;=TODAY()," is due TODAY ("," is due next business day (")&amp;TEXT($Y891,"dd-mmm")&amp;").","Next: "&amp;$Z891&amp;" due "&amp;TEXT($Y891,"dd-mmm")&amp;" ("&amp;(NETWORKDAYS(TODAY(),$Y891,Holidays)-1)&amp;" business day(s) left).")))))</f>
        <v/>
      </c>
      <c r="V891" s="17">
        <f>IF($W891="","",CHOOSE($W891,"Collection Email","1st Follow-up","2nd Follow-up","Local Office","CBE","Roxanne")&amp;IF($W891=6," - Final"," - Day "&amp;MAX(0,NETWORKDAYS($X891,TODAY(),Holidays)-1)&amp;" of "&amp;CHOOSE($W891,3,3,2,2,3))&amp;" | Total Day "&amp;MAX(0,NETWORKDAYS($L891,TODAY(),Holidays)-1))</f>
        <v/>
      </c>
      <c r="W891" s="17">
        <f>IF($L891="","",COUNT($L891:$Q891))</f>
        <v/>
      </c>
      <c r="X891" s="18">
        <f>IF($W891="","",INT(INDEX($L891:$Q891,$W891)))</f>
        <v/>
      </c>
      <c r="Y891" s="18">
        <f>IF(OR($W891="",$W891=6),"",WORKDAY($X891,CHOOSE($W891,3,3,2,2,3),Holidays))</f>
        <v/>
      </c>
      <c r="Z891" s="17">
        <f>IF(OR($W891="",$W891=6),"",CHOOSE($W891,"1st Email Follow-up","2nd Email Follow-up","Escalate Local Office","Escalate to CBE","Escalate to Roxanne"))</f>
        <v/>
      </c>
    </row>
    <row r="892" spans="18:26">
      <c r="R892" s="15"/>
      <c r="S892" s="16"/>
      <c r="T892" s="17">
        <f>IF(AND(COUNTA($A892:$K892)=0,$L892=""),"",IF($S892="Paid","PAID",IF($S892="Closed","CLOSED",IF($W892="","",IF($W892=6,"ESCALATED TO ROXANNE",IF(TODAY()&gt;$Y892,"OVERDUE",IF($Y892&lt;=WORKDAY(TODAY(),1,Holidays),"DUE TOMORROW",IF($W892=4,"ESCALATED TO LOCAL OFFICE",IF($W892=5,"ESCALATED TO CBE",IF($X892=TODAY(),"EMAIL SENT","MONITORING"))))))))))</f>
        <v/>
      </c>
      <c r="U892" s="17">
        <f>IF($T892="",IF(AND(COUNTA($A892:$K892)&gt;0,$L892=""),"Awaiting Collection Email time stamp.",""),IF(OR($T892="PAID",$T892="CLOSED"),IF($T892="PAID","Account paid. Action completed.","Account closed. No further action required."),CHOOSE($W892,"Collection Email","1st Email Follow-up","2nd Email Follow-up","Escalation to Local Office","Escalation to CBE","Escalation to Roxanne")&amp;" sent "&amp;TEXT($X892,"dd-mmm")&amp;". "&amp;IF($W892=6,"Final escalation completed.",IF($T892="OVERDUE","Next: "&amp;$Z892&amp;" was due "&amp;TEXT($Y892,"dd-mmm")&amp;" - "&amp;(NETWORKDAYS($Y892,TODAY(),Holidays)-1)&amp;" business day(s) late. Send now.",IF($T892="DUE TOMORROW","Next: "&amp;$Z892&amp;IF($Y892&lt;=TODAY()," is due TODAY ("," is due next business day (")&amp;TEXT($Y892,"dd-mmm")&amp;").","Next: "&amp;$Z892&amp;" due "&amp;TEXT($Y892,"dd-mmm")&amp;" ("&amp;(NETWORKDAYS(TODAY(),$Y892,Holidays)-1)&amp;" business day(s) left).")))))</f>
        <v/>
      </c>
      <c r="V892" s="17">
        <f>IF($W892="","",CHOOSE($W892,"Collection Email","1st Follow-up","2nd Follow-up","Local Office","CBE","Roxanne")&amp;IF($W892=6," - Final"," - Day "&amp;MAX(0,NETWORKDAYS($X892,TODAY(),Holidays)-1)&amp;" of "&amp;CHOOSE($W892,3,3,2,2,3))&amp;" | Total Day "&amp;MAX(0,NETWORKDAYS($L892,TODAY(),Holidays)-1))</f>
        <v/>
      </c>
      <c r="W892" s="17">
        <f>IF($L892="","",COUNT($L892:$Q892))</f>
        <v/>
      </c>
      <c r="X892" s="18">
        <f>IF($W892="","",INT(INDEX($L892:$Q892,$W892)))</f>
        <v/>
      </c>
      <c r="Y892" s="18">
        <f>IF(OR($W892="",$W892=6),"",WORKDAY($X892,CHOOSE($W892,3,3,2,2,3),Holidays))</f>
        <v/>
      </c>
      <c r="Z892" s="17">
        <f>IF(OR($W892="",$W892=6),"",CHOOSE($W892,"1st Email Follow-up","2nd Email Follow-up","Escalate Local Office","Escalate to CBE","Escalate to Roxanne"))</f>
        <v/>
      </c>
    </row>
    <row r="893" spans="18:26">
      <c r="R893" s="15"/>
      <c r="S893" s="16"/>
      <c r="T893" s="17">
        <f>IF(AND(COUNTA($A893:$K893)=0,$L893=""),"",IF($S893="Paid","PAID",IF($S893="Closed","CLOSED",IF($W893="","",IF($W893=6,"ESCALATED TO ROXANNE",IF(TODAY()&gt;$Y893,"OVERDUE",IF($Y893&lt;=WORKDAY(TODAY(),1,Holidays),"DUE TOMORROW",IF($W893=4,"ESCALATED TO LOCAL OFFICE",IF($W893=5,"ESCALATED TO CBE",IF($X893=TODAY(),"EMAIL SENT","MONITORING"))))))))))</f>
        <v/>
      </c>
      <c r="U893" s="17">
        <f>IF($T893="",IF(AND(COUNTA($A893:$K893)&gt;0,$L893=""),"Awaiting Collection Email time stamp.",""),IF(OR($T893="PAID",$T893="CLOSED"),IF($T893="PAID","Account paid. Action completed.","Account closed. No further action required."),CHOOSE($W893,"Collection Email","1st Email Follow-up","2nd Email Follow-up","Escalation to Local Office","Escalation to CBE","Escalation to Roxanne")&amp;" sent "&amp;TEXT($X893,"dd-mmm")&amp;". "&amp;IF($W893=6,"Final escalation completed.",IF($T893="OVERDUE","Next: "&amp;$Z893&amp;" was due "&amp;TEXT($Y893,"dd-mmm")&amp;" - "&amp;(NETWORKDAYS($Y893,TODAY(),Holidays)-1)&amp;" business day(s) late. Send now.",IF($T893="DUE TOMORROW","Next: "&amp;$Z893&amp;IF($Y893&lt;=TODAY()," is due TODAY ("," is due next business day (")&amp;TEXT($Y893,"dd-mmm")&amp;").","Next: "&amp;$Z893&amp;" due "&amp;TEXT($Y893,"dd-mmm")&amp;" ("&amp;(NETWORKDAYS(TODAY(),$Y893,Holidays)-1)&amp;" business day(s) left).")))))</f>
        <v/>
      </c>
      <c r="V893" s="17">
        <f>IF($W893="","",CHOOSE($W893,"Collection Email","1st Follow-up","2nd Follow-up","Local Office","CBE","Roxanne")&amp;IF($W893=6," - Final"," - Day "&amp;MAX(0,NETWORKDAYS($X893,TODAY(),Holidays)-1)&amp;" of "&amp;CHOOSE($W893,3,3,2,2,3))&amp;" | Total Day "&amp;MAX(0,NETWORKDAYS($L893,TODAY(),Holidays)-1))</f>
        <v/>
      </c>
      <c r="W893" s="17">
        <f>IF($L893="","",COUNT($L893:$Q893))</f>
        <v/>
      </c>
      <c r="X893" s="18">
        <f>IF($W893="","",INT(INDEX($L893:$Q893,$W893)))</f>
        <v/>
      </c>
      <c r="Y893" s="18">
        <f>IF(OR($W893="",$W893=6),"",WORKDAY($X893,CHOOSE($W893,3,3,2,2,3),Holidays))</f>
        <v/>
      </c>
      <c r="Z893" s="17">
        <f>IF(OR($W893="",$W893=6),"",CHOOSE($W893,"1st Email Follow-up","2nd Email Follow-up","Escalate Local Office","Escalate to CBE","Escalate to Roxanne"))</f>
        <v/>
      </c>
    </row>
    <row r="894" spans="18:26">
      <c r="R894" s="15"/>
      <c r="S894" s="16"/>
      <c r="T894" s="17">
        <f>IF(AND(COUNTA($A894:$K894)=0,$L894=""),"",IF($S894="Paid","PAID",IF($S894="Closed","CLOSED",IF($W894="","",IF($W894=6,"ESCALATED TO ROXANNE",IF(TODAY()&gt;$Y894,"OVERDUE",IF($Y894&lt;=WORKDAY(TODAY(),1,Holidays),"DUE TOMORROW",IF($W894=4,"ESCALATED TO LOCAL OFFICE",IF($W894=5,"ESCALATED TO CBE",IF($X894=TODAY(),"EMAIL SENT","MONITORING"))))))))))</f>
        <v/>
      </c>
      <c r="U894" s="17">
        <f>IF($T894="",IF(AND(COUNTA($A894:$K894)&gt;0,$L894=""),"Awaiting Collection Email time stamp.",""),IF(OR($T894="PAID",$T894="CLOSED"),IF($T894="PAID","Account paid. Action completed.","Account closed. No further action required."),CHOOSE($W894,"Collection Email","1st Email Follow-up","2nd Email Follow-up","Escalation to Local Office","Escalation to CBE","Escalation to Roxanne")&amp;" sent "&amp;TEXT($X894,"dd-mmm")&amp;". "&amp;IF($W894=6,"Final escalation completed.",IF($T894="OVERDUE","Next: "&amp;$Z894&amp;" was due "&amp;TEXT($Y894,"dd-mmm")&amp;" - "&amp;(NETWORKDAYS($Y894,TODAY(),Holidays)-1)&amp;" business day(s) late. Send now.",IF($T894="DUE TOMORROW","Next: "&amp;$Z894&amp;IF($Y894&lt;=TODAY()," is due TODAY ("," is due next business day (")&amp;TEXT($Y894,"dd-mmm")&amp;").","Next: "&amp;$Z894&amp;" due "&amp;TEXT($Y894,"dd-mmm")&amp;" ("&amp;(NETWORKDAYS(TODAY(),$Y894,Holidays)-1)&amp;" business day(s) left).")))))</f>
        <v/>
      </c>
      <c r="V894" s="17">
        <f>IF($W894="","",CHOOSE($W894,"Collection Email","1st Follow-up","2nd Follow-up","Local Office","CBE","Roxanne")&amp;IF($W894=6," - Final"," - Day "&amp;MAX(0,NETWORKDAYS($X894,TODAY(),Holidays)-1)&amp;" of "&amp;CHOOSE($W894,3,3,2,2,3))&amp;" | Total Day "&amp;MAX(0,NETWORKDAYS($L894,TODAY(),Holidays)-1))</f>
        <v/>
      </c>
      <c r="W894" s="17">
        <f>IF($L894="","",COUNT($L894:$Q894))</f>
        <v/>
      </c>
      <c r="X894" s="18">
        <f>IF($W894="","",INT(INDEX($L894:$Q894,$W894)))</f>
        <v/>
      </c>
      <c r="Y894" s="18">
        <f>IF(OR($W894="",$W894=6),"",WORKDAY($X894,CHOOSE($W894,3,3,2,2,3),Holidays))</f>
        <v/>
      </c>
      <c r="Z894" s="17">
        <f>IF(OR($W894="",$W894=6),"",CHOOSE($W894,"1st Email Follow-up","2nd Email Follow-up","Escalate Local Office","Escalate to CBE","Escalate to Roxanne"))</f>
        <v/>
      </c>
    </row>
    <row r="895" spans="18:26">
      <c r="R895" s="15"/>
      <c r="S895" s="16"/>
      <c r="T895" s="17">
        <f>IF(AND(COUNTA($A895:$K895)=0,$L895=""),"",IF($S895="Paid","PAID",IF($S895="Closed","CLOSED",IF($W895="","",IF($W895=6,"ESCALATED TO ROXANNE",IF(TODAY()&gt;$Y895,"OVERDUE",IF($Y895&lt;=WORKDAY(TODAY(),1,Holidays),"DUE TOMORROW",IF($W895=4,"ESCALATED TO LOCAL OFFICE",IF($W895=5,"ESCALATED TO CBE",IF($X895=TODAY(),"EMAIL SENT","MONITORING"))))))))))</f>
        <v/>
      </c>
      <c r="U895" s="17">
        <f>IF($T895="",IF(AND(COUNTA($A895:$K895)&gt;0,$L895=""),"Awaiting Collection Email time stamp.",""),IF(OR($T895="PAID",$T895="CLOSED"),IF($T895="PAID","Account paid. Action completed.","Account closed. No further action required."),CHOOSE($W895,"Collection Email","1st Email Follow-up","2nd Email Follow-up","Escalation to Local Office","Escalation to CBE","Escalation to Roxanne")&amp;" sent "&amp;TEXT($X895,"dd-mmm")&amp;". "&amp;IF($W895=6,"Final escalation completed.",IF($T895="OVERDUE","Next: "&amp;$Z895&amp;" was due "&amp;TEXT($Y895,"dd-mmm")&amp;" - "&amp;(NETWORKDAYS($Y895,TODAY(),Holidays)-1)&amp;" business day(s) late. Send now.",IF($T895="DUE TOMORROW","Next: "&amp;$Z895&amp;IF($Y895&lt;=TODAY()," is due TODAY ("," is due next business day (")&amp;TEXT($Y895,"dd-mmm")&amp;").","Next: "&amp;$Z895&amp;" due "&amp;TEXT($Y895,"dd-mmm")&amp;" ("&amp;(NETWORKDAYS(TODAY(),$Y895,Holidays)-1)&amp;" business day(s) left).")))))</f>
        <v/>
      </c>
      <c r="V895" s="17">
        <f>IF($W895="","",CHOOSE($W895,"Collection Email","1st Follow-up","2nd Follow-up","Local Office","CBE","Roxanne")&amp;IF($W895=6," - Final"," - Day "&amp;MAX(0,NETWORKDAYS($X895,TODAY(),Holidays)-1)&amp;" of "&amp;CHOOSE($W895,3,3,2,2,3))&amp;" | Total Day "&amp;MAX(0,NETWORKDAYS($L895,TODAY(),Holidays)-1))</f>
        <v/>
      </c>
      <c r="W895" s="17">
        <f>IF($L895="","",COUNT($L895:$Q895))</f>
        <v/>
      </c>
      <c r="X895" s="18">
        <f>IF($W895="","",INT(INDEX($L895:$Q895,$W895)))</f>
        <v/>
      </c>
      <c r="Y895" s="18">
        <f>IF(OR($W895="",$W895=6),"",WORKDAY($X895,CHOOSE($W895,3,3,2,2,3),Holidays))</f>
        <v/>
      </c>
      <c r="Z895" s="17">
        <f>IF(OR($W895="",$W895=6),"",CHOOSE($W895,"1st Email Follow-up","2nd Email Follow-up","Escalate Local Office","Escalate to CBE","Escalate to Roxanne"))</f>
        <v/>
      </c>
    </row>
    <row r="896" spans="18:26">
      <c r="R896" s="15"/>
      <c r="S896" s="16"/>
      <c r="T896" s="17">
        <f>IF(AND(COUNTA($A896:$K896)=0,$L896=""),"",IF($S896="Paid","PAID",IF($S896="Closed","CLOSED",IF($W896="","",IF($W896=6,"ESCALATED TO ROXANNE",IF(TODAY()&gt;$Y896,"OVERDUE",IF($Y896&lt;=WORKDAY(TODAY(),1,Holidays),"DUE TOMORROW",IF($W896=4,"ESCALATED TO LOCAL OFFICE",IF($W896=5,"ESCALATED TO CBE",IF($X896=TODAY(),"EMAIL SENT","MONITORING"))))))))))</f>
        <v/>
      </c>
      <c r="U896" s="17">
        <f>IF($T896="",IF(AND(COUNTA($A896:$K896)&gt;0,$L896=""),"Awaiting Collection Email time stamp.",""),IF(OR($T896="PAID",$T896="CLOSED"),IF($T896="PAID","Account paid. Action completed.","Account closed. No further action required."),CHOOSE($W896,"Collection Email","1st Email Follow-up","2nd Email Follow-up","Escalation to Local Office","Escalation to CBE","Escalation to Roxanne")&amp;" sent "&amp;TEXT($X896,"dd-mmm")&amp;". "&amp;IF($W896=6,"Final escalation completed.",IF($T896="OVERDUE","Next: "&amp;$Z896&amp;" was due "&amp;TEXT($Y896,"dd-mmm")&amp;" - "&amp;(NETWORKDAYS($Y896,TODAY(),Holidays)-1)&amp;" business day(s) late. Send now.",IF($T896="DUE TOMORROW","Next: "&amp;$Z896&amp;IF($Y896&lt;=TODAY()," is due TODAY ("," is due next business day (")&amp;TEXT($Y896,"dd-mmm")&amp;").","Next: "&amp;$Z896&amp;" due "&amp;TEXT($Y896,"dd-mmm")&amp;" ("&amp;(NETWORKDAYS(TODAY(),$Y896,Holidays)-1)&amp;" business day(s) left).")))))</f>
        <v/>
      </c>
      <c r="V896" s="17">
        <f>IF($W896="","",CHOOSE($W896,"Collection Email","1st Follow-up","2nd Follow-up","Local Office","CBE","Roxanne")&amp;IF($W896=6," - Final"," - Day "&amp;MAX(0,NETWORKDAYS($X896,TODAY(),Holidays)-1)&amp;" of "&amp;CHOOSE($W896,3,3,2,2,3))&amp;" | Total Day "&amp;MAX(0,NETWORKDAYS($L896,TODAY(),Holidays)-1))</f>
        <v/>
      </c>
      <c r="W896" s="17">
        <f>IF($L896="","",COUNT($L896:$Q896))</f>
        <v/>
      </c>
      <c r="X896" s="18">
        <f>IF($W896="","",INT(INDEX($L896:$Q896,$W896)))</f>
        <v/>
      </c>
      <c r="Y896" s="18">
        <f>IF(OR($W896="",$W896=6),"",WORKDAY($X896,CHOOSE($W896,3,3,2,2,3),Holidays))</f>
        <v/>
      </c>
      <c r="Z896" s="17">
        <f>IF(OR($W896="",$W896=6),"",CHOOSE($W896,"1st Email Follow-up","2nd Email Follow-up","Escalate Local Office","Escalate to CBE","Escalate to Roxanne"))</f>
        <v/>
      </c>
    </row>
    <row r="897" spans="18:26">
      <c r="R897" s="15"/>
      <c r="S897" s="16"/>
      <c r="T897" s="17">
        <f>IF(AND(COUNTA($A897:$K897)=0,$L897=""),"",IF($S897="Paid","PAID",IF($S897="Closed","CLOSED",IF($W897="","",IF($W897=6,"ESCALATED TO ROXANNE",IF(TODAY()&gt;$Y897,"OVERDUE",IF($Y897&lt;=WORKDAY(TODAY(),1,Holidays),"DUE TOMORROW",IF($W897=4,"ESCALATED TO LOCAL OFFICE",IF($W897=5,"ESCALATED TO CBE",IF($X897=TODAY(),"EMAIL SENT","MONITORING"))))))))))</f>
        <v/>
      </c>
      <c r="U897" s="17">
        <f>IF($T897="",IF(AND(COUNTA($A897:$K897)&gt;0,$L897=""),"Awaiting Collection Email time stamp.",""),IF(OR($T897="PAID",$T897="CLOSED"),IF($T897="PAID","Account paid. Action completed.","Account closed. No further action required."),CHOOSE($W897,"Collection Email","1st Email Follow-up","2nd Email Follow-up","Escalation to Local Office","Escalation to CBE","Escalation to Roxanne")&amp;" sent "&amp;TEXT($X897,"dd-mmm")&amp;". "&amp;IF($W897=6,"Final escalation completed.",IF($T897="OVERDUE","Next: "&amp;$Z897&amp;" was due "&amp;TEXT($Y897,"dd-mmm")&amp;" - "&amp;(NETWORKDAYS($Y897,TODAY(),Holidays)-1)&amp;" business day(s) late. Send now.",IF($T897="DUE TOMORROW","Next: "&amp;$Z897&amp;IF($Y897&lt;=TODAY()," is due TODAY ("," is due next business day (")&amp;TEXT($Y897,"dd-mmm")&amp;").","Next: "&amp;$Z897&amp;" due "&amp;TEXT($Y897,"dd-mmm")&amp;" ("&amp;(NETWORKDAYS(TODAY(),$Y897,Holidays)-1)&amp;" business day(s) left).")))))</f>
        <v/>
      </c>
      <c r="V897" s="17">
        <f>IF($W897="","",CHOOSE($W897,"Collection Email","1st Follow-up","2nd Follow-up","Local Office","CBE","Roxanne")&amp;IF($W897=6," - Final"," - Day "&amp;MAX(0,NETWORKDAYS($X897,TODAY(),Holidays)-1)&amp;" of "&amp;CHOOSE($W897,3,3,2,2,3))&amp;" | Total Day "&amp;MAX(0,NETWORKDAYS($L897,TODAY(),Holidays)-1))</f>
        <v/>
      </c>
      <c r="W897" s="17">
        <f>IF($L897="","",COUNT($L897:$Q897))</f>
        <v/>
      </c>
      <c r="X897" s="18">
        <f>IF($W897="","",INT(INDEX($L897:$Q897,$W897)))</f>
        <v/>
      </c>
      <c r="Y897" s="18">
        <f>IF(OR($W897="",$W897=6),"",WORKDAY($X897,CHOOSE($W897,3,3,2,2,3),Holidays))</f>
        <v/>
      </c>
      <c r="Z897" s="17">
        <f>IF(OR($W897="",$W897=6),"",CHOOSE($W897,"1st Email Follow-up","2nd Email Follow-up","Escalate Local Office","Escalate to CBE","Escalate to Roxanne"))</f>
        <v/>
      </c>
    </row>
    <row r="898" spans="18:26">
      <c r="R898" s="15"/>
      <c r="S898" s="16"/>
      <c r="T898" s="17">
        <f>IF(AND(COUNTA($A898:$K898)=0,$L898=""),"",IF($S898="Paid","PAID",IF($S898="Closed","CLOSED",IF($W898="","",IF($W898=6,"ESCALATED TO ROXANNE",IF(TODAY()&gt;$Y898,"OVERDUE",IF($Y898&lt;=WORKDAY(TODAY(),1,Holidays),"DUE TOMORROW",IF($W898=4,"ESCALATED TO LOCAL OFFICE",IF($W898=5,"ESCALATED TO CBE",IF($X898=TODAY(),"EMAIL SENT","MONITORING"))))))))))</f>
        <v/>
      </c>
      <c r="U898" s="17">
        <f>IF($T898="",IF(AND(COUNTA($A898:$K898)&gt;0,$L898=""),"Awaiting Collection Email time stamp.",""),IF(OR($T898="PAID",$T898="CLOSED"),IF($T898="PAID","Account paid. Action completed.","Account closed. No further action required."),CHOOSE($W898,"Collection Email","1st Email Follow-up","2nd Email Follow-up","Escalation to Local Office","Escalation to CBE","Escalation to Roxanne")&amp;" sent "&amp;TEXT($X898,"dd-mmm")&amp;". "&amp;IF($W898=6,"Final escalation completed.",IF($T898="OVERDUE","Next: "&amp;$Z898&amp;" was due "&amp;TEXT($Y898,"dd-mmm")&amp;" - "&amp;(NETWORKDAYS($Y898,TODAY(),Holidays)-1)&amp;" business day(s) late. Send now.",IF($T898="DUE TOMORROW","Next: "&amp;$Z898&amp;IF($Y898&lt;=TODAY()," is due TODAY ("," is due next business day (")&amp;TEXT($Y898,"dd-mmm")&amp;").","Next: "&amp;$Z898&amp;" due "&amp;TEXT($Y898,"dd-mmm")&amp;" ("&amp;(NETWORKDAYS(TODAY(),$Y898,Holidays)-1)&amp;" business day(s) left).")))))</f>
        <v/>
      </c>
      <c r="V898" s="17">
        <f>IF($W898="","",CHOOSE($W898,"Collection Email","1st Follow-up","2nd Follow-up","Local Office","CBE","Roxanne")&amp;IF($W898=6," - Final"," - Day "&amp;MAX(0,NETWORKDAYS($X898,TODAY(),Holidays)-1)&amp;" of "&amp;CHOOSE($W898,3,3,2,2,3))&amp;" | Total Day "&amp;MAX(0,NETWORKDAYS($L898,TODAY(),Holidays)-1))</f>
        <v/>
      </c>
      <c r="W898" s="17">
        <f>IF($L898="","",COUNT($L898:$Q898))</f>
        <v/>
      </c>
      <c r="X898" s="18">
        <f>IF($W898="","",INT(INDEX($L898:$Q898,$W898)))</f>
        <v/>
      </c>
      <c r="Y898" s="18">
        <f>IF(OR($W898="",$W898=6),"",WORKDAY($X898,CHOOSE($W898,3,3,2,2,3),Holidays))</f>
        <v/>
      </c>
      <c r="Z898" s="17">
        <f>IF(OR($W898="",$W898=6),"",CHOOSE($W898,"1st Email Follow-up","2nd Email Follow-up","Escalate Local Office","Escalate to CBE","Escalate to Roxanne"))</f>
        <v/>
      </c>
    </row>
    <row r="899" spans="18:26">
      <c r="R899" s="15"/>
      <c r="S899" s="16"/>
      <c r="T899" s="17">
        <f>IF(AND(COUNTA($A899:$K899)=0,$L899=""),"",IF($S899="Paid","PAID",IF($S899="Closed","CLOSED",IF($W899="","",IF($W899=6,"ESCALATED TO ROXANNE",IF(TODAY()&gt;$Y899,"OVERDUE",IF($Y899&lt;=WORKDAY(TODAY(),1,Holidays),"DUE TOMORROW",IF($W899=4,"ESCALATED TO LOCAL OFFICE",IF($W899=5,"ESCALATED TO CBE",IF($X899=TODAY(),"EMAIL SENT","MONITORING"))))))))))</f>
        <v/>
      </c>
      <c r="U899" s="17">
        <f>IF($T899="",IF(AND(COUNTA($A899:$K899)&gt;0,$L899=""),"Awaiting Collection Email time stamp.",""),IF(OR($T899="PAID",$T899="CLOSED"),IF($T899="PAID","Account paid. Action completed.","Account closed. No further action required."),CHOOSE($W899,"Collection Email","1st Email Follow-up","2nd Email Follow-up","Escalation to Local Office","Escalation to CBE","Escalation to Roxanne")&amp;" sent "&amp;TEXT($X899,"dd-mmm")&amp;". "&amp;IF($W899=6,"Final escalation completed.",IF($T899="OVERDUE","Next: "&amp;$Z899&amp;" was due "&amp;TEXT($Y899,"dd-mmm")&amp;" - "&amp;(NETWORKDAYS($Y899,TODAY(),Holidays)-1)&amp;" business day(s) late. Send now.",IF($T899="DUE TOMORROW","Next: "&amp;$Z899&amp;IF($Y899&lt;=TODAY()," is due TODAY ("," is due next business day (")&amp;TEXT($Y899,"dd-mmm")&amp;").","Next: "&amp;$Z899&amp;" due "&amp;TEXT($Y899,"dd-mmm")&amp;" ("&amp;(NETWORKDAYS(TODAY(),$Y899,Holidays)-1)&amp;" business day(s) left).")))))</f>
        <v/>
      </c>
      <c r="V899" s="17">
        <f>IF($W899="","",CHOOSE($W899,"Collection Email","1st Follow-up","2nd Follow-up","Local Office","CBE","Roxanne")&amp;IF($W899=6," - Final"," - Day "&amp;MAX(0,NETWORKDAYS($X899,TODAY(),Holidays)-1)&amp;" of "&amp;CHOOSE($W899,3,3,2,2,3))&amp;" | Total Day "&amp;MAX(0,NETWORKDAYS($L899,TODAY(),Holidays)-1))</f>
        <v/>
      </c>
      <c r="W899" s="17">
        <f>IF($L899="","",COUNT($L899:$Q899))</f>
        <v/>
      </c>
      <c r="X899" s="18">
        <f>IF($W899="","",INT(INDEX($L899:$Q899,$W899)))</f>
        <v/>
      </c>
      <c r="Y899" s="18">
        <f>IF(OR($W899="",$W899=6),"",WORKDAY($X899,CHOOSE($W899,3,3,2,2,3),Holidays))</f>
        <v/>
      </c>
      <c r="Z899" s="17">
        <f>IF(OR($W899="",$W899=6),"",CHOOSE($W899,"1st Email Follow-up","2nd Email Follow-up","Escalate Local Office","Escalate to CBE","Escalate to Roxanne"))</f>
        <v/>
      </c>
    </row>
    <row r="900" spans="18:26">
      <c r="R900" s="15"/>
      <c r="S900" s="16"/>
      <c r="T900" s="17">
        <f>IF(AND(COUNTA($A900:$K900)=0,$L900=""),"",IF($S900="Paid","PAID",IF($S900="Closed","CLOSED",IF($W900="","",IF($W900=6,"ESCALATED TO ROXANNE",IF(TODAY()&gt;$Y900,"OVERDUE",IF($Y900&lt;=WORKDAY(TODAY(),1,Holidays),"DUE TOMORROW",IF($W900=4,"ESCALATED TO LOCAL OFFICE",IF($W900=5,"ESCALATED TO CBE",IF($X900=TODAY(),"EMAIL SENT","MONITORING"))))))))))</f>
        <v/>
      </c>
      <c r="U900" s="17">
        <f>IF($T900="",IF(AND(COUNTA($A900:$K900)&gt;0,$L900=""),"Awaiting Collection Email time stamp.",""),IF(OR($T900="PAID",$T900="CLOSED"),IF($T900="PAID","Account paid. Action completed.","Account closed. No further action required."),CHOOSE($W900,"Collection Email","1st Email Follow-up","2nd Email Follow-up","Escalation to Local Office","Escalation to CBE","Escalation to Roxanne")&amp;" sent "&amp;TEXT($X900,"dd-mmm")&amp;". "&amp;IF($W900=6,"Final escalation completed.",IF($T900="OVERDUE","Next: "&amp;$Z900&amp;" was due "&amp;TEXT($Y900,"dd-mmm")&amp;" - "&amp;(NETWORKDAYS($Y900,TODAY(),Holidays)-1)&amp;" business day(s) late. Send now.",IF($T900="DUE TOMORROW","Next: "&amp;$Z900&amp;IF($Y900&lt;=TODAY()," is due TODAY ("," is due next business day (")&amp;TEXT($Y900,"dd-mmm")&amp;").","Next: "&amp;$Z900&amp;" due "&amp;TEXT($Y900,"dd-mmm")&amp;" ("&amp;(NETWORKDAYS(TODAY(),$Y900,Holidays)-1)&amp;" business day(s) left).")))))</f>
        <v/>
      </c>
      <c r="V900" s="17">
        <f>IF($W900="","",CHOOSE($W900,"Collection Email","1st Follow-up","2nd Follow-up","Local Office","CBE","Roxanne")&amp;IF($W900=6," - Final"," - Day "&amp;MAX(0,NETWORKDAYS($X900,TODAY(),Holidays)-1)&amp;" of "&amp;CHOOSE($W900,3,3,2,2,3))&amp;" | Total Day "&amp;MAX(0,NETWORKDAYS($L900,TODAY(),Holidays)-1))</f>
        <v/>
      </c>
      <c r="W900" s="17">
        <f>IF($L900="","",COUNT($L900:$Q900))</f>
        <v/>
      </c>
      <c r="X900" s="18">
        <f>IF($W900="","",INT(INDEX($L900:$Q900,$W900)))</f>
        <v/>
      </c>
      <c r="Y900" s="18">
        <f>IF(OR($W900="",$W900=6),"",WORKDAY($X900,CHOOSE($W900,3,3,2,2,3),Holidays))</f>
        <v/>
      </c>
      <c r="Z900" s="17">
        <f>IF(OR($W900="",$W900=6),"",CHOOSE($W900,"1st Email Follow-up","2nd Email Follow-up","Escalate Local Office","Escalate to CBE","Escalate to Roxanne"))</f>
        <v/>
      </c>
    </row>
    <row r="901" spans="18:26">
      <c r="R901" s="15"/>
      <c r="S901" s="16"/>
      <c r="T901" s="17">
        <f>IF(AND(COUNTA($A901:$K901)=0,$L901=""),"",IF($S901="Paid","PAID",IF($S901="Closed","CLOSED",IF($W901="","",IF($W901=6,"ESCALATED TO ROXANNE",IF(TODAY()&gt;$Y901,"OVERDUE",IF($Y901&lt;=WORKDAY(TODAY(),1,Holidays),"DUE TOMORROW",IF($W901=4,"ESCALATED TO LOCAL OFFICE",IF($W901=5,"ESCALATED TO CBE",IF($X901=TODAY(),"EMAIL SENT","MONITORING"))))))))))</f>
        <v/>
      </c>
      <c r="U901" s="17">
        <f>IF($T901="",IF(AND(COUNTA($A901:$K901)&gt;0,$L901=""),"Awaiting Collection Email time stamp.",""),IF(OR($T901="PAID",$T901="CLOSED"),IF($T901="PAID","Account paid. Action completed.","Account closed. No further action required."),CHOOSE($W901,"Collection Email","1st Email Follow-up","2nd Email Follow-up","Escalation to Local Office","Escalation to CBE","Escalation to Roxanne")&amp;" sent "&amp;TEXT($X901,"dd-mmm")&amp;". "&amp;IF($W901=6,"Final escalation completed.",IF($T901="OVERDUE","Next: "&amp;$Z901&amp;" was due "&amp;TEXT($Y901,"dd-mmm")&amp;" - "&amp;(NETWORKDAYS($Y901,TODAY(),Holidays)-1)&amp;" business day(s) late. Send now.",IF($T901="DUE TOMORROW","Next: "&amp;$Z901&amp;IF($Y901&lt;=TODAY()," is due TODAY ("," is due next business day (")&amp;TEXT($Y901,"dd-mmm")&amp;").","Next: "&amp;$Z901&amp;" due "&amp;TEXT($Y901,"dd-mmm")&amp;" ("&amp;(NETWORKDAYS(TODAY(),$Y901,Holidays)-1)&amp;" business day(s) left).")))))</f>
        <v/>
      </c>
      <c r="V901" s="17">
        <f>IF($W901="","",CHOOSE($W901,"Collection Email","1st Follow-up","2nd Follow-up","Local Office","CBE","Roxanne")&amp;IF($W901=6," - Final"," - Day "&amp;MAX(0,NETWORKDAYS($X901,TODAY(),Holidays)-1)&amp;" of "&amp;CHOOSE($W901,3,3,2,2,3))&amp;" | Total Day "&amp;MAX(0,NETWORKDAYS($L901,TODAY(),Holidays)-1))</f>
        <v/>
      </c>
      <c r="W901" s="17">
        <f>IF($L901="","",COUNT($L901:$Q901))</f>
        <v/>
      </c>
      <c r="X901" s="18">
        <f>IF($W901="","",INT(INDEX($L901:$Q901,$W901)))</f>
        <v/>
      </c>
      <c r="Y901" s="18">
        <f>IF(OR($W901="",$W901=6),"",WORKDAY($X901,CHOOSE($W901,3,3,2,2,3),Holidays))</f>
        <v/>
      </c>
      <c r="Z901" s="17">
        <f>IF(OR($W901="",$W901=6),"",CHOOSE($W901,"1st Email Follow-up","2nd Email Follow-up","Escalate Local Office","Escalate to CBE","Escalate to Roxanne"))</f>
        <v/>
      </c>
    </row>
    <row r="902" spans="18:26">
      <c r="R902" s="15"/>
      <c r="S902" s="16"/>
      <c r="T902" s="17">
        <f>IF(AND(COUNTA($A902:$K902)=0,$L902=""),"",IF($S902="Paid","PAID",IF($S902="Closed","CLOSED",IF($W902="","",IF($W902=6,"ESCALATED TO ROXANNE",IF(TODAY()&gt;$Y902,"OVERDUE",IF($Y902&lt;=WORKDAY(TODAY(),1,Holidays),"DUE TOMORROW",IF($W902=4,"ESCALATED TO LOCAL OFFICE",IF($W902=5,"ESCALATED TO CBE",IF($X902=TODAY(),"EMAIL SENT","MONITORING"))))))))))</f>
        <v/>
      </c>
      <c r="U902" s="17">
        <f>IF($T902="",IF(AND(COUNTA($A902:$K902)&gt;0,$L902=""),"Awaiting Collection Email time stamp.",""),IF(OR($T902="PAID",$T902="CLOSED"),IF($T902="PAID","Account paid. Action completed.","Account closed. No further action required."),CHOOSE($W902,"Collection Email","1st Email Follow-up","2nd Email Follow-up","Escalation to Local Office","Escalation to CBE","Escalation to Roxanne")&amp;" sent "&amp;TEXT($X902,"dd-mmm")&amp;". "&amp;IF($W902=6,"Final escalation completed.",IF($T902="OVERDUE","Next: "&amp;$Z902&amp;" was due "&amp;TEXT($Y902,"dd-mmm")&amp;" - "&amp;(NETWORKDAYS($Y902,TODAY(),Holidays)-1)&amp;" business day(s) late. Send now.",IF($T902="DUE TOMORROW","Next: "&amp;$Z902&amp;IF($Y902&lt;=TODAY()," is due TODAY ("," is due next business day (")&amp;TEXT($Y902,"dd-mmm")&amp;").","Next: "&amp;$Z902&amp;" due "&amp;TEXT($Y902,"dd-mmm")&amp;" ("&amp;(NETWORKDAYS(TODAY(),$Y902,Holidays)-1)&amp;" business day(s) left).")))))</f>
        <v/>
      </c>
      <c r="V902" s="17">
        <f>IF($W902="","",CHOOSE($W902,"Collection Email","1st Follow-up","2nd Follow-up","Local Office","CBE","Roxanne")&amp;IF($W902=6," - Final"," - Day "&amp;MAX(0,NETWORKDAYS($X902,TODAY(),Holidays)-1)&amp;" of "&amp;CHOOSE($W902,3,3,2,2,3))&amp;" | Total Day "&amp;MAX(0,NETWORKDAYS($L902,TODAY(),Holidays)-1))</f>
        <v/>
      </c>
      <c r="W902" s="17">
        <f>IF($L902="","",COUNT($L902:$Q902))</f>
        <v/>
      </c>
      <c r="X902" s="18">
        <f>IF($W902="","",INT(INDEX($L902:$Q902,$W902)))</f>
        <v/>
      </c>
      <c r="Y902" s="18">
        <f>IF(OR($W902="",$W902=6),"",WORKDAY($X902,CHOOSE($W902,3,3,2,2,3),Holidays))</f>
        <v/>
      </c>
      <c r="Z902" s="17">
        <f>IF(OR($W902="",$W902=6),"",CHOOSE($W902,"1st Email Follow-up","2nd Email Follow-up","Escalate Local Office","Escalate to CBE","Escalate to Roxanne"))</f>
        <v/>
      </c>
    </row>
    <row r="903" spans="18:26">
      <c r="R903" s="15"/>
      <c r="S903" s="16"/>
      <c r="T903" s="17">
        <f>IF(AND(COUNTA($A903:$K903)=0,$L903=""),"",IF($S903="Paid","PAID",IF($S903="Closed","CLOSED",IF($W903="","",IF($W903=6,"ESCALATED TO ROXANNE",IF(TODAY()&gt;$Y903,"OVERDUE",IF($Y903&lt;=WORKDAY(TODAY(),1,Holidays),"DUE TOMORROW",IF($W903=4,"ESCALATED TO LOCAL OFFICE",IF($W903=5,"ESCALATED TO CBE",IF($X903=TODAY(),"EMAIL SENT","MONITORING"))))))))))</f>
        <v/>
      </c>
      <c r="U903" s="17">
        <f>IF($T903="",IF(AND(COUNTA($A903:$K903)&gt;0,$L903=""),"Awaiting Collection Email time stamp.",""),IF(OR($T903="PAID",$T903="CLOSED"),IF($T903="PAID","Account paid. Action completed.","Account closed. No further action required."),CHOOSE($W903,"Collection Email","1st Email Follow-up","2nd Email Follow-up","Escalation to Local Office","Escalation to CBE","Escalation to Roxanne")&amp;" sent "&amp;TEXT($X903,"dd-mmm")&amp;". "&amp;IF($W903=6,"Final escalation completed.",IF($T903="OVERDUE","Next: "&amp;$Z903&amp;" was due "&amp;TEXT($Y903,"dd-mmm")&amp;" - "&amp;(NETWORKDAYS($Y903,TODAY(),Holidays)-1)&amp;" business day(s) late. Send now.",IF($T903="DUE TOMORROW","Next: "&amp;$Z903&amp;IF($Y903&lt;=TODAY()," is due TODAY ("," is due next business day (")&amp;TEXT($Y903,"dd-mmm")&amp;").","Next: "&amp;$Z903&amp;" due "&amp;TEXT($Y903,"dd-mmm")&amp;" ("&amp;(NETWORKDAYS(TODAY(),$Y903,Holidays)-1)&amp;" business day(s) left).")))))</f>
        <v/>
      </c>
      <c r="V903" s="17">
        <f>IF($W903="","",CHOOSE($W903,"Collection Email","1st Follow-up","2nd Follow-up","Local Office","CBE","Roxanne")&amp;IF($W903=6," - Final"," - Day "&amp;MAX(0,NETWORKDAYS($X903,TODAY(),Holidays)-1)&amp;" of "&amp;CHOOSE($W903,3,3,2,2,3))&amp;" | Total Day "&amp;MAX(0,NETWORKDAYS($L903,TODAY(),Holidays)-1))</f>
        <v/>
      </c>
      <c r="W903" s="17">
        <f>IF($L903="","",COUNT($L903:$Q903))</f>
        <v/>
      </c>
      <c r="X903" s="18">
        <f>IF($W903="","",INT(INDEX($L903:$Q903,$W903)))</f>
        <v/>
      </c>
      <c r="Y903" s="18">
        <f>IF(OR($W903="",$W903=6),"",WORKDAY($X903,CHOOSE($W903,3,3,2,2,3),Holidays))</f>
        <v/>
      </c>
      <c r="Z903" s="17">
        <f>IF(OR($W903="",$W903=6),"",CHOOSE($W903,"1st Email Follow-up","2nd Email Follow-up","Escalate Local Office","Escalate to CBE","Escalate to Roxanne"))</f>
        <v/>
      </c>
    </row>
    <row r="904" spans="18:26">
      <c r="R904" s="15"/>
      <c r="S904" s="16"/>
      <c r="T904" s="17">
        <f>IF(AND(COUNTA($A904:$K904)=0,$L904=""),"",IF($S904="Paid","PAID",IF($S904="Closed","CLOSED",IF($W904="","",IF($W904=6,"ESCALATED TO ROXANNE",IF(TODAY()&gt;$Y904,"OVERDUE",IF($Y904&lt;=WORKDAY(TODAY(),1,Holidays),"DUE TOMORROW",IF($W904=4,"ESCALATED TO LOCAL OFFICE",IF($W904=5,"ESCALATED TO CBE",IF($X904=TODAY(),"EMAIL SENT","MONITORING"))))))))))</f>
        <v/>
      </c>
      <c r="U904" s="17">
        <f>IF($T904="",IF(AND(COUNTA($A904:$K904)&gt;0,$L904=""),"Awaiting Collection Email time stamp.",""),IF(OR($T904="PAID",$T904="CLOSED"),IF($T904="PAID","Account paid. Action completed.","Account closed. No further action required."),CHOOSE($W904,"Collection Email","1st Email Follow-up","2nd Email Follow-up","Escalation to Local Office","Escalation to CBE","Escalation to Roxanne")&amp;" sent "&amp;TEXT($X904,"dd-mmm")&amp;". "&amp;IF($W904=6,"Final escalation completed.",IF($T904="OVERDUE","Next: "&amp;$Z904&amp;" was due "&amp;TEXT($Y904,"dd-mmm")&amp;" - "&amp;(NETWORKDAYS($Y904,TODAY(),Holidays)-1)&amp;" business day(s) late. Send now.",IF($T904="DUE TOMORROW","Next: "&amp;$Z904&amp;IF($Y904&lt;=TODAY()," is due TODAY ("," is due next business day (")&amp;TEXT($Y904,"dd-mmm")&amp;").","Next: "&amp;$Z904&amp;" due "&amp;TEXT($Y904,"dd-mmm")&amp;" ("&amp;(NETWORKDAYS(TODAY(),$Y904,Holidays)-1)&amp;" business day(s) left).")))))</f>
        <v/>
      </c>
      <c r="V904" s="17">
        <f>IF($W904="","",CHOOSE($W904,"Collection Email","1st Follow-up","2nd Follow-up","Local Office","CBE","Roxanne")&amp;IF($W904=6," - Final"," - Day "&amp;MAX(0,NETWORKDAYS($X904,TODAY(),Holidays)-1)&amp;" of "&amp;CHOOSE($W904,3,3,2,2,3))&amp;" | Total Day "&amp;MAX(0,NETWORKDAYS($L904,TODAY(),Holidays)-1))</f>
        <v/>
      </c>
      <c r="W904" s="17">
        <f>IF($L904="","",COUNT($L904:$Q904))</f>
        <v/>
      </c>
      <c r="X904" s="18">
        <f>IF($W904="","",INT(INDEX($L904:$Q904,$W904)))</f>
        <v/>
      </c>
      <c r="Y904" s="18">
        <f>IF(OR($W904="",$W904=6),"",WORKDAY($X904,CHOOSE($W904,3,3,2,2,3),Holidays))</f>
        <v/>
      </c>
      <c r="Z904" s="17">
        <f>IF(OR($W904="",$W904=6),"",CHOOSE($W904,"1st Email Follow-up","2nd Email Follow-up","Escalate Local Office","Escalate to CBE","Escalate to Roxanne"))</f>
        <v/>
      </c>
    </row>
    <row r="905" spans="18:26">
      <c r="R905" s="15"/>
      <c r="S905" s="16"/>
      <c r="T905" s="17">
        <f>IF(AND(COUNTA($A905:$K905)=0,$L905=""),"",IF($S905="Paid","PAID",IF($S905="Closed","CLOSED",IF($W905="","",IF($W905=6,"ESCALATED TO ROXANNE",IF(TODAY()&gt;$Y905,"OVERDUE",IF($Y905&lt;=WORKDAY(TODAY(),1,Holidays),"DUE TOMORROW",IF($W905=4,"ESCALATED TO LOCAL OFFICE",IF($W905=5,"ESCALATED TO CBE",IF($X905=TODAY(),"EMAIL SENT","MONITORING"))))))))))</f>
        <v/>
      </c>
      <c r="U905" s="17">
        <f>IF($T905="",IF(AND(COUNTA($A905:$K905)&gt;0,$L905=""),"Awaiting Collection Email time stamp.",""),IF(OR($T905="PAID",$T905="CLOSED"),IF($T905="PAID","Account paid. Action completed.","Account closed. No further action required."),CHOOSE($W905,"Collection Email","1st Email Follow-up","2nd Email Follow-up","Escalation to Local Office","Escalation to CBE","Escalation to Roxanne")&amp;" sent "&amp;TEXT($X905,"dd-mmm")&amp;". "&amp;IF($W905=6,"Final escalation completed.",IF($T905="OVERDUE","Next: "&amp;$Z905&amp;" was due "&amp;TEXT($Y905,"dd-mmm")&amp;" - "&amp;(NETWORKDAYS($Y905,TODAY(),Holidays)-1)&amp;" business day(s) late. Send now.",IF($T905="DUE TOMORROW","Next: "&amp;$Z905&amp;IF($Y905&lt;=TODAY()," is due TODAY ("," is due next business day (")&amp;TEXT($Y905,"dd-mmm")&amp;").","Next: "&amp;$Z905&amp;" due "&amp;TEXT($Y905,"dd-mmm")&amp;" ("&amp;(NETWORKDAYS(TODAY(),$Y905,Holidays)-1)&amp;" business day(s) left).")))))</f>
        <v/>
      </c>
      <c r="V905" s="17">
        <f>IF($W905="","",CHOOSE($W905,"Collection Email","1st Follow-up","2nd Follow-up","Local Office","CBE","Roxanne")&amp;IF($W905=6," - Final"," - Day "&amp;MAX(0,NETWORKDAYS($X905,TODAY(),Holidays)-1)&amp;" of "&amp;CHOOSE($W905,3,3,2,2,3))&amp;" | Total Day "&amp;MAX(0,NETWORKDAYS($L905,TODAY(),Holidays)-1))</f>
        <v/>
      </c>
      <c r="W905" s="17">
        <f>IF($L905="","",COUNT($L905:$Q905))</f>
        <v/>
      </c>
      <c r="X905" s="18">
        <f>IF($W905="","",INT(INDEX($L905:$Q905,$W905)))</f>
        <v/>
      </c>
      <c r="Y905" s="18">
        <f>IF(OR($W905="",$W905=6),"",WORKDAY($X905,CHOOSE($W905,3,3,2,2,3),Holidays))</f>
        <v/>
      </c>
      <c r="Z905" s="17">
        <f>IF(OR($W905="",$W905=6),"",CHOOSE($W905,"1st Email Follow-up","2nd Email Follow-up","Escalate Local Office","Escalate to CBE","Escalate to Roxanne"))</f>
        <v/>
      </c>
    </row>
    <row r="906" spans="18:26">
      <c r="R906" s="15"/>
      <c r="S906" s="16"/>
      <c r="T906" s="17">
        <f>IF(AND(COUNTA($A906:$K906)=0,$L906=""),"",IF($S906="Paid","PAID",IF($S906="Closed","CLOSED",IF($W906="","",IF($W906=6,"ESCALATED TO ROXANNE",IF(TODAY()&gt;$Y906,"OVERDUE",IF($Y906&lt;=WORKDAY(TODAY(),1,Holidays),"DUE TOMORROW",IF($W906=4,"ESCALATED TO LOCAL OFFICE",IF($W906=5,"ESCALATED TO CBE",IF($X906=TODAY(),"EMAIL SENT","MONITORING"))))))))))</f>
        <v/>
      </c>
      <c r="U906" s="17">
        <f>IF($T906="",IF(AND(COUNTA($A906:$K906)&gt;0,$L906=""),"Awaiting Collection Email time stamp.",""),IF(OR($T906="PAID",$T906="CLOSED"),IF($T906="PAID","Account paid. Action completed.","Account closed. No further action required."),CHOOSE($W906,"Collection Email","1st Email Follow-up","2nd Email Follow-up","Escalation to Local Office","Escalation to CBE","Escalation to Roxanne")&amp;" sent "&amp;TEXT($X906,"dd-mmm")&amp;". "&amp;IF($W906=6,"Final escalation completed.",IF($T906="OVERDUE","Next: "&amp;$Z906&amp;" was due "&amp;TEXT($Y906,"dd-mmm")&amp;" - "&amp;(NETWORKDAYS($Y906,TODAY(),Holidays)-1)&amp;" business day(s) late. Send now.",IF($T906="DUE TOMORROW","Next: "&amp;$Z906&amp;IF($Y906&lt;=TODAY()," is due TODAY ("," is due next business day (")&amp;TEXT($Y906,"dd-mmm")&amp;").","Next: "&amp;$Z906&amp;" due "&amp;TEXT($Y906,"dd-mmm")&amp;" ("&amp;(NETWORKDAYS(TODAY(),$Y906,Holidays)-1)&amp;" business day(s) left).")))))</f>
        <v/>
      </c>
      <c r="V906" s="17">
        <f>IF($W906="","",CHOOSE($W906,"Collection Email","1st Follow-up","2nd Follow-up","Local Office","CBE","Roxanne")&amp;IF($W906=6," - Final"," - Day "&amp;MAX(0,NETWORKDAYS($X906,TODAY(),Holidays)-1)&amp;" of "&amp;CHOOSE($W906,3,3,2,2,3))&amp;" | Total Day "&amp;MAX(0,NETWORKDAYS($L906,TODAY(),Holidays)-1))</f>
        <v/>
      </c>
      <c r="W906" s="17">
        <f>IF($L906="","",COUNT($L906:$Q906))</f>
        <v/>
      </c>
      <c r="X906" s="18">
        <f>IF($W906="","",INT(INDEX($L906:$Q906,$W906)))</f>
        <v/>
      </c>
      <c r="Y906" s="18">
        <f>IF(OR($W906="",$W906=6),"",WORKDAY($X906,CHOOSE($W906,3,3,2,2,3),Holidays))</f>
        <v/>
      </c>
      <c r="Z906" s="17">
        <f>IF(OR($W906="",$W906=6),"",CHOOSE($W906,"1st Email Follow-up","2nd Email Follow-up","Escalate Local Office","Escalate to CBE","Escalate to Roxanne"))</f>
        <v/>
      </c>
    </row>
    <row r="907" spans="18:26">
      <c r="R907" s="15"/>
      <c r="S907" s="16"/>
      <c r="T907" s="17">
        <f>IF(AND(COUNTA($A907:$K907)=0,$L907=""),"",IF($S907="Paid","PAID",IF($S907="Closed","CLOSED",IF($W907="","",IF($W907=6,"ESCALATED TO ROXANNE",IF(TODAY()&gt;$Y907,"OVERDUE",IF($Y907&lt;=WORKDAY(TODAY(),1,Holidays),"DUE TOMORROW",IF($W907=4,"ESCALATED TO LOCAL OFFICE",IF($W907=5,"ESCALATED TO CBE",IF($X907=TODAY(),"EMAIL SENT","MONITORING"))))))))))</f>
        <v/>
      </c>
      <c r="U907" s="17">
        <f>IF($T907="",IF(AND(COUNTA($A907:$K907)&gt;0,$L907=""),"Awaiting Collection Email time stamp.",""),IF(OR($T907="PAID",$T907="CLOSED"),IF($T907="PAID","Account paid. Action completed.","Account closed. No further action required."),CHOOSE($W907,"Collection Email","1st Email Follow-up","2nd Email Follow-up","Escalation to Local Office","Escalation to CBE","Escalation to Roxanne")&amp;" sent "&amp;TEXT($X907,"dd-mmm")&amp;". "&amp;IF($W907=6,"Final escalation completed.",IF($T907="OVERDUE","Next: "&amp;$Z907&amp;" was due "&amp;TEXT($Y907,"dd-mmm")&amp;" - "&amp;(NETWORKDAYS($Y907,TODAY(),Holidays)-1)&amp;" business day(s) late. Send now.",IF($T907="DUE TOMORROW","Next: "&amp;$Z907&amp;IF($Y907&lt;=TODAY()," is due TODAY ("," is due next business day (")&amp;TEXT($Y907,"dd-mmm")&amp;").","Next: "&amp;$Z907&amp;" due "&amp;TEXT($Y907,"dd-mmm")&amp;" ("&amp;(NETWORKDAYS(TODAY(),$Y907,Holidays)-1)&amp;" business day(s) left).")))))</f>
        <v/>
      </c>
      <c r="V907" s="17">
        <f>IF($W907="","",CHOOSE($W907,"Collection Email","1st Follow-up","2nd Follow-up","Local Office","CBE","Roxanne")&amp;IF($W907=6," - Final"," - Day "&amp;MAX(0,NETWORKDAYS($X907,TODAY(),Holidays)-1)&amp;" of "&amp;CHOOSE($W907,3,3,2,2,3))&amp;" | Total Day "&amp;MAX(0,NETWORKDAYS($L907,TODAY(),Holidays)-1))</f>
        <v/>
      </c>
      <c r="W907" s="17">
        <f>IF($L907="","",COUNT($L907:$Q907))</f>
        <v/>
      </c>
      <c r="X907" s="18">
        <f>IF($W907="","",INT(INDEX($L907:$Q907,$W907)))</f>
        <v/>
      </c>
      <c r="Y907" s="18">
        <f>IF(OR($W907="",$W907=6),"",WORKDAY($X907,CHOOSE($W907,3,3,2,2,3),Holidays))</f>
        <v/>
      </c>
      <c r="Z907" s="17">
        <f>IF(OR($W907="",$W907=6),"",CHOOSE($W907,"1st Email Follow-up","2nd Email Follow-up","Escalate Local Office","Escalate to CBE","Escalate to Roxanne"))</f>
        <v/>
      </c>
    </row>
    <row r="908" spans="18:26">
      <c r="R908" s="15"/>
      <c r="S908" s="16"/>
      <c r="T908" s="17">
        <f>IF(AND(COUNTA($A908:$K908)=0,$L908=""),"",IF($S908="Paid","PAID",IF($S908="Closed","CLOSED",IF($W908="","",IF($W908=6,"ESCALATED TO ROXANNE",IF(TODAY()&gt;$Y908,"OVERDUE",IF($Y908&lt;=WORKDAY(TODAY(),1,Holidays),"DUE TOMORROW",IF($W908=4,"ESCALATED TO LOCAL OFFICE",IF($W908=5,"ESCALATED TO CBE",IF($X908=TODAY(),"EMAIL SENT","MONITORING"))))))))))</f>
        <v/>
      </c>
      <c r="U908" s="17">
        <f>IF($T908="",IF(AND(COUNTA($A908:$K908)&gt;0,$L908=""),"Awaiting Collection Email time stamp.",""),IF(OR($T908="PAID",$T908="CLOSED"),IF($T908="PAID","Account paid. Action completed.","Account closed. No further action required."),CHOOSE($W908,"Collection Email","1st Email Follow-up","2nd Email Follow-up","Escalation to Local Office","Escalation to CBE","Escalation to Roxanne")&amp;" sent "&amp;TEXT($X908,"dd-mmm")&amp;". "&amp;IF($W908=6,"Final escalation completed.",IF($T908="OVERDUE","Next: "&amp;$Z908&amp;" was due "&amp;TEXT($Y908,"dd-mmm")&amp;" - "&amp;(NETWORKDAYS($Y908,TODAY(),Holidays)-1)&amp;" business day(s) late. Send now.",IF($T908="DUE TOMORROW","Next: "&amp;$Z908&amp;IF($Y908&lt;=TODAY()," is due TODAY ("," is due next business day (")&amp;TEXT($Y908,"dd-mmm")&amp;").","Next: "&amp;$Z908&amp;" due "&amp;TEXT($Y908,"dd-mmm")&amp;" ("&amp;(NETWORKDAYS(TODAY(),$Y908,Holidays)-1)&amp;" business day(s) left).")))))</f>
        <v/>
      </c>
      <c r="V908" s="17">
        <f>IF($W908="","",CHOOSE($W908,"Collection Email","1st Follow-up","2nd Follow-up","Local Office","CBE","Roxanne")&amp;IF($W908=6," - Final"," - Day "&amp;MAX(0,NETWORKDAYS($X908,TODAY(),Holidays)-1)&amp;" of "&amp;CHOOSE($W908,3,3,2,2,3))&amp;" | Total Day "&amp;MAX(0,NETWORKDAYS($L908,TODAY(),Holidays)-1))</f>
        <v/>
      </c>
      <c r="W908" s="17">
        <f>IF($L908="","",COUNT($L908:$Q908))</f>
        <v/>
      </c>
      <c r="X908" s="18">
        <f>IF($W908="","",INT(INDEX($L908:$Q908,$W908)))</f>
        <v/>
      </c>
      <c r="Y908" s="18">
        <f>IF(OR($W908="",$W908=6),"",WORKDAY($X908,CHOOSE($W908,3,3,2,2,3),Holidays))</f>
        <v/>
      </c>
      <c r="Z908" s="17">
        <f>IF(OR($W908="",$W908=6),"",CHOOSE($W908,"1st Email Follow-up","2nd Email Follow-up","Escalate Local Office","Escalate to CBE","Escalate to Roxanne"))</f>
        <v/>
      </c>
    </row>
    <row r="909" spans="18:26">
      <c r="R909" s="15"/>
      <c r="S909" s="16"/>
      <c r="T909" s="17">
        <f>IF(AND(COUNTA($A909:$K909)=0,$L909=""),"",IF($S909="Paid","PAID",IF($S909="Closed","CLOSED",IF($W909="","",IF($W909=6,"ESCALATED TO ROXANNE",IF(TODAY()&gt;$Y909,"OVERDUE",IF($Y909&lt;=WORKDAY(TODAY(),1,Holidays),"DUE TOMORROW",IF($W909=4,"ESCALATED TO LOCAL OFFICE",IF($W909=5,"ESCALATED TO CBE",IF($X909=TODAY(),"EMAIL SENT","MONITORING"))))))))))</f>
        <v/>
      </c>
      <c r="U909" s="17">
        <f>IF($T909="",IF(AND(COUNTA($A909:$K909)&gt;0,$L909=""),"Awaiting Collection Email time stamp.",""),IF(OR($T909="PAID",$T909="CLOSED"),IF($T909="PAID","Account paid. Action completed.","Account closed. No further action required."),CHOOSE($W909,"Collection Email","1st Email Follow-up","2nd Email Follow-up","Escalation to Local Office","Escalation to CBE","Escalation to Roxanne")&amp;" sent "&amp;TEXT($X909,"dd-mmm")&amp;". "&amp;IF($W909=6,"Final escalation completed.",IF($T909="OVERDUE","Next: "&amp;$Z909&amp;" was due "&amp;TEXT($Y909,"dd-mmm")&amp;" - "&amp;(NETWORKDAYS($Y909,TODAY(),Holidays)-1)&amp;" business day(s) late. Send now.",IF($T909="DUE TOMORROW","Next: "&amp;$Z909&amp;IF($Y909&lt;=TODAY()," is due TODAY ("," is due next business day (")&amp;TEXT($Y909,"dd-mmm")&amp;").","Next: "&amp;$Z909&amp;" due "&amp;TEXT($Y909,"dd-mmm")&amp;" ("&amp;(NETWORKDAYS(TODAY(),$Y909,Holidays)-1)&amp;" business day(s) left).")))))</f>
        <v/>
      </c>
      <c r="V909" s="17">
        <f>IF($W909="","",CHOOSE($W909,"Collection Email","1st Follow-up","2nd Follow-up","Local Office","CBE","Roxanne")&amp;IF($W909=6," - Final"," - Day "&amp;MAX(0,NETWORKDAYS($X909,TODAY(),Holidays)-1)&amp;" of "&amp;CHOOSE($W909,3,3,2,2,3))&amp;" | Total Day "&amp;MAX(0,NETWORKDAYS($L909,TODAY(),Holidays)-1))</f>
        <v/>
      </c>
      <c r="W909" s="17">
        <f>IF($L909="","",COUNT($L909:$Q909))</f>
        <v/>
      </c>
      <c r="X909" s="18">
        <f>IF($W909="","",INT(INDEX($L909:$Q909,$W909)))</f>
        <v/>
      </c>
      <c r="Y909" s="18">
        <f>IF(OR($W909="",$W909=6),"",WORKDAY($X909,CHOOSE($W909,3,3,2,2,3),Holidays))</f>
        <v/>
      </c>
      <c r="Z909" s="17">
        <f>IF(OR($W909="",$W909=6),"",CHOOSE($W909,"1st Email Follow-up","2nd Email Follow-up","Escalate Local Office","Escalate to CBE","Escalate to Roxanne"))</f>
        <v/>
      </c>
    </row>
    <row r="910" spans="18:26">
      <c r="R910" s="15"/>
      <c r="S910" s="16"/>
      <c r="T910" s="17">
        <f>IF(AND(COUNTA($A910:$K910)=0,$L910=""),"",IF($S910="Paid","PAID",IF($S910="Closed","CLOSED",IF($W910="","",IF($W910=6,"ESCALATED TO ROXANNE",IF(TODAY()&gt;$Y910,"OVERDUE",IF($Y910&lt;=WORKDAY(TODAY(),1,Holidays),"DUE TOMORROW",IF($W910=4,"ESCALATED TO LOCAL OFFICE",IF($W910=5,"ESCALATED TO CBE",IF($X910=TODAY(),"EMAIL SENT","MONITORING"))))))))))</f>
        <v/>
      </c>
      <c r="U910" s="17">
        <f>IF($T910="",IF(AND(COUNTA($A910:$K910)&gt;0,$L910=""),"Awaiting Collection Email time stamp.",""),IF(OR($T910="PAID",$T910="CLOSED"),IF($T910="PAID","Account paid. Action completed.","Account closed. No further action required."),CHOOSE($W910,"Collection Email","1st Email Follow-up","2nd Email Follow-up","Escalation to Local Office","Escalation to CBE","Escalation to Roxanne")&amp;" sent "&amp;TEXT($X910,"dd-mmm")&amp;". "&amp;IF($W910=6,"Final escalation completed.",IF($T910="OVERDUE","Next: "&amp;$Z910&amp;" was due "&amp;TEXT($Y910,"dd-mmm")&amp;" - "&amp;(NETWORKDAYS($Y910,TODAY(),Holidays)-1)&amp;" business day(s) late. Send now.",IF($T910="DUE TOMORROW","Next: "&amp;$Z910&amp;IF($Y910&lt;=TODAY()," is due TODAY ("," is due next business day (")&amp;TEXT($Y910,"dd-mmm")&amp;").","Next: "&amp;$Z910&amp;" due "&amp;TEXT($Y910,"dd-mmm")&amp;" ("&amp;(NETWORKDAYS(TODAY(),$Y910,Holidays)-1)&amp;" business day(s) left).")))))</f>
        <v/>
      </c>
      <c r="V910" s="17">
        <f>IF($W910="","",CHOOSE($W910,"Collection Email","1st Follow-up","2nd Follow-up","Local Office","CBE","Roxanne")&amp;IF($W910=6," - Final"," - Day "&amp;MAX(0,NETWORKDAYS($X910,TODAY(),Holidays)-1)&amp;" of "&amp;CHOOSE($W910,3,3,2,2,3))&amp;" | Total Day "&amp;MAX(0,NETWORKDAYS($L910,TODAY(),Holidays)-1))</f>
        <v/>
      </c>
      <c r="W910" s="17">
        <f>IF($L910="","",COUNT($L910:$Q910))</f>
        <v/>
      </c>
      <c r="X910" s="18">
        <f>IF($W910="","",INT(INDEX($L910:$Q910,$W910)))</f>
        <v/>
      </c>
      <c r="Y910" s="18">
        <f>IF(OR($W910="",$W910=6),"",WORKDAY($X910,CHOOSE($W910,3,3,2,2,3),Holidays))</f>
        <v/>
      </c>
      <c r="Z910" s="17">
        <f>IF(OR($W910="",$W910=6),"",CHOOSE($W910,"1st Email Follow-up","2nd Email Follow-up","Escalate Local Office","Escalate to CBE","Escalate to Roxanne"))</f>
        <v/>
      </c>
    </row>
    <row r="911" spans="18:26">
      <c r="R911" s="15"/>
      <c r="S911" s="16"/>
      <c r="T911" s="17">
        <f>IF(AND(COUNTA($A911:$K911)=0,$L911=""),"",IF($S911="Paid","PAID",IF($S911="Closed","CLOSED",IF($W911="","",IF($W911=6,"ESCALATED TO ROXANNE",IF(TODAY()&gt;$Y911,"OVERDUE",IF($Y911&lt;=WORKDAY(TODAY(),1,Holidays),"DUE TOMORROW",IF($W911=4,"ESCALATED TO LOCAL OFFICE",IF($W911=5,"ESCALATED TO CBE",IF($X911=TODAY(),"EMAIL SENT","MONITORING"))))))))))</f>
        <v/>
      </c>
      <c r="U911" s="17">
        <f>IF($T911="",IF(AND(COUNTA($A911:$K911)&gt;0,$L911=""),"Awaiting Collection Email time stamp.",""),IF(OR($T911="PAID",$T911="CLOSED"),IF($T911="PAID","Account paid. Action completed.","Account closed. No further action required."),CHOOSE($W911,"Collection Email","1st Email Follow-up","2nd Email Follow-up","Escalation to Local Office","Escalation to CBE","Escalation to Roxanne")&amp;" sent "&amp;TEXT($X911,"dd-mmm")&amp;". "&amp;IF($W911=6,"Final escalation completed.",IF($T911="OVERDUE","Next: "&amp;$Z911&amp;" was due "&amp;TEXT($Y911,"dd-mmm")&amp;" - "&amp;(NETWORKDAYS($Y911,TODAY(),Holidays)-1)&amp;" business day(s) late. Send now.",IF($T911="DUE TOMORROW","Next: "&amp;$Z911&amp;IF($Y911&lt;=TODAY()," is due TODAY ("," is due next business day (")&amp;TEXT($Y911,"dd-mmm")&amp;").","Next: "&amp;$Z911&amp;" due "&amp;TEXT($Y911,"dd-mmm")&amp;" ("&amp;(NETWORKDAYS(TODAY(),$Y911,Holidays)-1)&amp;" business day(s) left).")))))</f>
        <v/>
      </c>
      <c r="V911" s="17">
        <f>IF($W911="","",CHOOSE($W911,"Collection Email","1st Follow-up","2nd Follow-up","Local Office","CBE","Roxanne")&amp;IF($W911=6," - Final"," - Day "&amp;MAX(0,NETWORKDAYS($X911,TODAY(),Holidays)-1)&amp;" of "&amp;CHOOSE($W911,3,3,2,2,3))&amp;" | Total Day "&amp;MAX(0,NETWORKDAYS($L911,TODAY(),Holidays)-1))</f>
        <v/>
      </c>
      <c r="W911" s="17">
        <f>IF($L911="","",COUNT($L911:$Q911))</f>
        <v/>
      </c>
      <c r="X911" s="18">
        <f>IF($W911="","",INT(INDEX($L911:$Q911,$W911)))</f>
        <v/>
      </c>
      <c r="Y911" s="18">
        <f>IF(OR($W911="",$W911=6),"",WORKDAY($X911,CHOOSE($W911,3,3,2,2,3),Holidays))</f>
        <v/>
      </c>
      <c r="Z911" s="17">
        <f>IF(OR($W911="",$W911=6),"",CHOOSE($W911,"1st Email Follow-up","2nd Email Follow-up","Escalate Local Office","Escalate to CBE","Escalate to Roxanne"))</f>
        <v/>
      </c>
    </row>
    <row r="912" spans="18:26">
      <c r="R912" s="15"/>
      <c r="S912" s="16"/>
      <c r="T912" s="17">
        <f>IF(AND(COUNTA($A912:$K912)=0,$L912=""),"",IF($S912="Paid","PAID",IF($S912="Closed","CLOSED",IF($W912="","",IF($W912=6,"ESCALATED TO ROXANNE",IF(TODAY()&gt;$Y912,"OVERDUE",IF($Y912&lt;=WORKDAY(TODAY(),1,Holidays),"DUE TOMORROW",IF($W912=4,"ESCALATED TO LOCAL OFFICE",IF($W912=5,"ESCALATED TO CBE",IF($X912=TODAY(),"EMAIL SENT","MONITORING"))))))))))</f>
        <v/>
      </c>
      <c r="U912" s="17">
        <f>IF($T912="",IF(AND(COUNTA($A912:$K912)&gt;0,$L912=""),"Awaiting Collection Email time stamp.",""),IF(OR($T912="PAID",$T912="CLOSED"),IF($T912="PAID","Account paid. Action completed.","Account closed. No further action required."),CHOOSE($W912,"Collection Email","1st Email Follow-up","2nd Email Follow-up","Escalation to Local Office","Escalation to CBE","Escalation to Roxanne")&amp;" sent "&amp;TEXT($X912,"dd-mmm")&amp;". "&amp;IF($W912=6,"Final escalation completed.",IF($T912="OVERDUE","Next: "&amp;$Z912&amp;" was due "&amp;TEXT($Y912,"dd-mmm")&amp;" - "&amp;(NETWORKDAYS($Y912,TODAY(),Holidays)-1)&amp;" business day(s) late. Send now.",IF($T912="DUE TOMORROW","Next: "&amp;$Z912&amp;IF($Y912&lt;=TODAY()," is due TODAY ("," is due next business day (")&amp;TEXT($Y912,"dd-mmm")&amp;").","Next: "&amp;$Z912&amp;" due "&amp;TEXT($Y912,"dd-mmm")&amp;" ("&amp;(NETWORKDAYS(TODAY(),$Y912,Holidays)-1)&amp;" business day(s) left).")))))</f>
        <v/>
      </c>
      <c r="V912" s="17">
        <f>IF($W912="","",CHOOSE($W912,"Collection Email","1st Follow-up","2nd Follow-up","Local Office","CBE","Roxanne")&amp;IF($W912=6," - Final"," - Day "&amp;MAX(0,NETWORKDAYS($X912,TODAY(),Holidays)-1)&amp;" of "&amp;CHOOSE($W912,3,3,2,2,3))&amp;" | Total Day "&amp;MAX(0,NETWORKDAYS($L912,TODAY(),Holidays)-1))</f>
        <v/>
      </c>
      <c r="W912" s="17">
        <f>IF($L912="","",COUNT($L912:$Q912))</f>
        <v/>
      </c>
      <c r="X912" s="18">
        <f>IF($W912="","",INT(INDEX($L912:$Q912,$W912)))</f>
        <v/>
      </c>
      <c r="Y912" s="18">
        <f>IF(OR($W912="",$W912=6),"",WORKDAY($X912,CHOOSE($W912,3,3,2,2,3),Holidays))</f>
        <v/>
      </c>
      <c r="Z912" s="17">
        <f>IF(OR($W912="",$W912=6),"",CHOOSE($W912,"1st Email Follow-up","2nd Email Follow-up","Escalate Local Office","Escalate to CBE","Escalate to Roxanne"))</f>
        <v/>
      </c>
    </row>
    <row r="913" spans="18:26">
      <c r="R913" s="15"/>
      <c r="S913" s="16"/>
      <c r="T913" s="17">
        <f>IF(AND(COUNTA($A913:$K913)=0,$L913=""),"",IF($S913="Paid","PAID",IF($S913="Closed","CLOSED",IF($W913="","",IF($W913=6,"ESCALATED TO ROXANNE",IF(TODAY()&gt;$Y913,"OVERDUE",IF($Y913&lt;=WORKDAY(TODAY(),1,Holidays),"DUE TOMORROW",IF($W913=4,"ESCALATED TO LOCAL OFFICE",IF($W913=5,"ESCALATED TO CBE",IF($X913=TODAY(),"EMAIL SENT","MONITORING"))))))))))</f>
        <v/>
      </c>
      <c r="U913" s="17">
        <f>IF($T913="",IF(AND(COUNTA($A913:$K913)&gt;0,$L913=""),"Awaiting Collection Email time stamp.",""),IF(OR($T913="PAID",$T913="CLOSED"),IF($T913="PAID","Account paid. Action completed.","Account closed. No further action required."),CHOOSE($W913,"Collection Email","1st Email Follow-up","2nd Email Follow-up","Escalation to Local Office","Escalation to CBE","Escalation to Roxanne")&amp;" sent "&amp;TEXT($X913,"dd-mmm")&amp;". "&amp;IF($W913=6,"Final escalation completed.",IF($T913="OVERDUE","Next: "&amp;$Z913&amp;" was due "&amp;TEXT($Y913,"dd-mmm")&amp;" - "&amp;(NETWORKDAYS($Y913,TODAY(),Holidays)-1)&amp;" business day(s) late. Send now.",IF($T913="DUE TOMORROW","Next: "&amp;$Z913&amp;IF($Y913&lt;=TODAY()," is due TODAY ("," is due next business day (")&amp;TEXT($Y913,"dd-mmm")&amp;").","Next: "&amp;$Z913&amp;" due "&amp;TEXT($Y913,"dd-mmm")&amp;" ("&amp;(NETWORKDAYS(TODAY(),$Y913,Holidays)-1)&amp;" business day(s) left).")))))</f>
        <v/>
      </c>
      <c r="V913" s="17">
        <f>IF($W913="","",CHOOSE($W913,"Collection Email","1st Follow-up","2nd Follow-up","Local Office","CBE","Roxanne")&amp;IF($W913=6," - Final"," - Day "&amp;MAX(0,NETWORKDAYS($X913,TODAY(),Holidays)-1)&amp;" of "&amp;CHOOSE($W913,3,3,2,2,3))&amp;" | Total Day "&amp;MAX(0,NETWORKDAYS($L913,TODAY(),Holidays)-1))</f>
        <v/>
      </c>
      <c r="W913" s="17">
        <f>IF($L913="","",COUNT($L913:$Q913))</f>
        <v/>
      </c>
      <c r="X913" s="18">
        <f>IF($W913="","",INT(INDEX($L913:$Q913,$W913)))</f>
        <v/>
      </c>
      <c r="Y913" s="18">
        <f>IF(OR($W913="",$W913=6),"",WORKDAY($X913,CHOOSE($W913,3,3,2,2,3),Holidays))</f>
        <v/>
      </c>
      <c r="Z913" s="17">
        <f>IF(OR($W913="",$W913=6),"",CHOOSE($W913,"1st Email Follow-up","2nd Email Follow-up","Escalate Local Office","Escalate to CBE","Escalate to Roxanne"))</f>
        <v/>
      </c>
    </row>
    <row r="914" spans="18:26">
      <c r="R914" s="15"/>
      <c r="S914" s="16"/>
      <c r="T914" s="17">
        <f>IF(AND(COUNTA($A914:$K914)=0,$L914=""),"",IF($S914="Paid","PAID",IF($S914="Closed","CLOSED",IF($W914="","",IF($W914=6,"ESCALATED TO ROXANNE",IF(TODAY()&gt;$Y914,"OVERDUE",IF($Y914&lt;=WORKDAY(TODAY(),1,Holidays),"DUE TOMORROW",IF($W914=4,"ESCALATED TO LOCAL OFFICE",IF($W914=5,"ESCALATED TO CBE",IF($X914=TODAY(),"EMAIL SENT","MONITORING"))))))))))</f>
        <v/>
      </c>
      <c r="U914" s="17">
        <f>IF($T914="",IF(AND(COUNTA($A914:$K914)&gt;0,$L914=""),"Awaiting Collection Email time stamp.",""),IF(OR($T914="PAID",$T914="CLOSED"),IF($T914="PAID","Account paid. Action completed.","Account closed. No further action required."),CHOOSE($W914,"Collection Email","1st Email Follow-up","2nd Email Follow-up","Escalation to Local Office","Escalation to CBE","Escalation to Roxanne")&amp;" sent "&amp;TEXT($X914,"dd-mmm")&amp;". "&amp;IF($W914=6,"Final escalation completed.",IF($T914="OVERDUE","Next: "&amp;$Z914&amp;" was due "&amp;TEXT($Y914,"dd-mmm")&amp;" - "&amp;(NETWORKDAYS($Y914,TODAY(),Holidays)-1)&amp;" business day(s) late. Send now.",IF($T914="DUE TOMORROW","Next: "&amp;$Z914&amp;IF($Y914&lt;=TODAY()," is due TODAY ("," is due next business day (")&amp;TEXT($Y914,"dd-mmm")&amp;").","Next: "&amp;$Z914&amp;" due "&amp;TEXT($Y914,"dd-mmm")&amp;" ("&amp;(NETWORKDAYS(TODAY(),$Y914,Holidays)-1)&amp;" business day(s) left).")))))</f>
        <v/>
      </c>
      <c r="V914" s="17">
        <f>IF($W914="","",CHOOSE($W914,"Collection Email","1st Follow-up","2nd Follow-up","Local Office","CBE","Roxanne")&amp;IF($W914=6," - Final"," - Day "&amp;MAX(0,NETWORKDAYS($X914,TODAY(),Holidays)-1)&amp;" of "&amp;CHOOSE($W914,3,3,2,2,3))&amp;" | Total Day "&amp;MAX(0,NETWORKDAYS($L914,TODAY(),Holidays)-1))</f>
        <v/>
      </c>
      <c r="W914" s="17">
        <f>IF($L914="","",COUNT($L914:$Q914))</f>
        <v/>
      </c>
      <c r="X914" s="18">
        <f>IF($W914="","",INT(INDEX($L914:$Q914,$W914)))</f>
        <v/>
      </c>
      <c r="Y914" s="18">
        <f>IF(OR($W914="",$W914=6),"",WORKDAY($X914,CHOOSE($W914,3,3,2,2,3),Holidays))</f>
        <v/>
      </c>
      <c r="Z914" s="17">
        <f>IF(OR($W914="",$W914=6),"",CHOOSE($W914,"1st Email Follow-up","2nd Email Follow-up","Escalate Local Office","Escalate to CBE","Escalate to Roxanne"))</f>
        <v/>
      </c>
    </row>
    <row r="915" spans="18:26">
      <c r="R915" s="15"/>
      <c r="S915" s="16"/>
      <c r="T915" s="17">
        <f>IF(AND(COUNTA($A915:$K915)=0,$L915=""),"",IF($S915="Paid","PAID",IF($S915="Closed","CLOSED",IF($W915="","",IF($W915=6,"ESCALATED TO ROXANNE",IF(TODAY()&gt;$Y915,"OVERDUE",IF($Y915&lt;=WORKDAY(TODAY(),1,Holidays),"DUE TOMORROW",IF($W915=4,"ESCALATED TO LOCAL OFFICE",IF($W915=5,"ESCALATED TO CBE",IF($X915=TODAY(),"EMAIL SENT","MONITORING"))))))))))</f>
        <v/>
      </c>
      <c r="U915" s="17">
        <f>IF($T915="",IF(AND(COUNTA($A915:$K915)&gt;0,$L915=""),"Awaiting Collection Email time stamp.",""),IF(OR($T915="PAID",$T915="CLOSED"),IF($T915="PAID","Account paid. Action completed.","Account closed. No further action required."),CHOOSE($W915,"Collection Email","1st Email Follow-up","2nd Email Follow-up","Escalation to Local Office","Escalation to CBE","Escalation to Roxanne")&amp;" sent "&amp;TEXT($X915,"dd-mmm")&amp;". "&amp;IF($W915=6,"Final escalation completed.",IF($T915="OVERDUE","Next: "&amp;$Z915&amp;" was due "&amp;TEXT($Y915,"dd-mmm")&amp;" - "&amp;(NETWORKDAYS($Y915,TODAY(),Holidays)-1)&amp;" business day(s) late. Send now.",IF($T915="DUE TOMORROW","Next: "&amp;$Z915&amp;IF($Y915&lt;=TODAY()," is due TODAY ("," is due next business day (")&amp;TEXT($Y915,"dd-mmm")&amp;").","Next: "&amp;$Z915&amp;" due "&amp;TEXT($Y915,"dd-mmm")&amp;" ("&amp;(NETWORKDAYS(TODAY(),$Y915,Holidays)-1)&amp;" business day(s) left).")))))</f>
        <v/>
      </c>
      <c r="V915" s="17">
        <f>IF($W915="","",CHOOSE($W915,"Collection Email","1st Follow-up","2nd Follow-up","Local Office","CBE","Roxanne")&amp;IF($W915=6," - Final"," - Day "&amp;MAX(0,NETWORKDAYS($X915,TODAY(),Holidays)-1)&amp;" of "&amp;CHOOSE($W915,3,3,2,2,3))&amp;" | Total Day "&amp;MAX(0,NETWORKDAYS($L915,TODAY(),Holidays)-1))</f>
        <v/>
      </c>
      <c r="W915" s="17">
        <f>IF($L915="","",COUNT($L915:$Q915))</f>
        <v/>
      </c>
      <c r="X915" s="18">
        <f>IF($W915="","",INT(INDEX($L915:$Q915,$W915)))</f>
        <v/>
      </c>
      <c r="Y915" s="18">
        <f>IF(OR($W915="",$W915=6),"",WORKDAY($X915,CHOOSE($W915,3,3,2,2,3),Holidays))</f>
        <v/>
      </c>
      <c r="Z915" s="17">
        <f>IF(OR($W915="",$W915=6),"",CHOOSE($W915,"1st Email Follow-up","2nd Email Follow-up","Escalate Local Office","Escalate to CBE","Escalate to Roxanne"))</f>
        <v/>
      </c>
    </row>
    <row r="916" spans="18:26">
      <c r="R916" s="15"/>
      <c r="S916" s="16"/>
      <c r="T916" s="17">
        <f>IF(AND(COUNTA($A916:$K916)=0,$L916=""),"",IF($S916="Paid","PAID",IF($S916="Closed","CLOSED",IF($W916="","",IF($W916=6,"ESCALATED TO ROXANNE",IF(TODAY()&gt;$Y916,"OVERDUE",IF($Y916&lt;=WORKDAY(TODAY(),1,Holidays),"DUE TOMORROW",IF($W916=4,"ESCALATED TO LOCAL OFFICE",IF($W916=5,"ESCALATED TO CBE",IF($X916=TODAY(),"EMAIL SENT","MONITORING"))))))))))</f>
        <v/>
      </c>
      <c r="U916" s="17">
        <f>IF($T916="",IF(AND(COUNTA($A916:$K916)&gt;0,$L916=""),"Awaiting Collection Email time stamp.",""),IF(OR($T916="PAID",$T916="CLOSED"),IF($T916="PAID","Account paid. Action completed.","Account closed. No further action required."),CHOOSE($W916,"Collection Email","1st Email Follow-up","2nd Email Follow-up","Escalation to Local Office","Escalation to CBE","Escalation to Roxanne")&amp;" sent "&amp;TEXT($X916,"dd-mmm")&amp;". "&amp;IF($W916=6,"Final escalation completed.",IF($T916="OVERDUE","Next: "&amp;$Z916&amp;" was due "&amp;TEXT($Y916,"dd-mmm")&amp;" - "&amp;(NETWORKDAYS($Y916,TODAY(),Holidays)-1)&amp;" business day(s) late. Send now.",IF($T916="DUE TOMORROW","Next: "&amp;$Z916&amp;IF($Y916&lt;=TODAY()," is due TODAY ("," is due next business day (")&amp;TEXT($Y916,"dd-mmm")&amp;").","Next: "&amp;$Z916&amp;" due "&amp;TEXT($Y916,"dd-mmm")&amp;" ("&amp;(NETWORKDAYS(TODAY(),$Y916,Holidays)-1)&amp;" business day(s) left).")))))</f>
        <v/>
      </c>
      <c r="V916" s="17">
        <f>IF($W916="","",CHOOSE($W916,"Collection Email","1st Follow-up","2nd Follow-up","Local Office","CBE","Roxanne")&amp;IF($W916=6," - Final"," - Day "&amp;MAX(0,NETWORKDAYS($X916,TODAY(),Holidays)-1)&amp;" of "&amp;CHOOSE($W916,3,3,2,2,3))&amp;" | Total Day "&amp;MAX(0,NETWORKDAYS($L916,TODAY(),Holidays)-1))</f>
        <v/>
      </c>
      <c r="W916" s="17">
        <f>IF($L916="","",COUNT($L916:$Q916))</f>
        <v/>
      </c>
      <c r="X916" s="18">
        <f>IF($W916="","",INT(INDEX($L916:$Q916,$W916)))</f>
        <v/>
      </c>
      <c r="Y916" s="18">
        <f>IF(OR($W916="",$W916=6),"",WORKDAY($X916,CHOOSE($W916,3,3,2,2,3),Holidays))</f>
        <v/>
      </c>
      <c r="Z916" s="17">
        <f>IF(OR($W916="",$W916=6),"",CHOOSE($W916,"1st Email Follow-up","2nd Email Follow-up","Escalate Local Office","Escalate to CBE","Escalate to Roxanne"))</f>
        <v/>
      </c>
    </row>
    <row r="917" spans="18:26">
      <c r="R917" s="15"/>
      <c r="S917" s="16"/>
      <c r="T917" s="17">
        <f>IF(AND(COUNTA($A917:$K917)=0,$L917=""),"",IF($S917="Paid","PAID",IF($S917="Closed","CLOSED",IF($W917="","",IF($W917=6,"ESCALATED TO ROXANNE",IF(TODAY()&gt;$Y917,"OVERDUE",IF($Y917&lt;=WORKDAY(TODAY(),1,Holidays),"DUE TOMORROW",IF($W917=4,"ESCALATED TO LOCAL OFFICE",IF($W917=5,"ESCALATED TO CBE",IF($X917=TODAY(),"EMAIL SENT","MONITORING"))))))))))</f>
        <v/>
      </c>
      <c r="U917" s="17">
        <f>IF($T917="",IF(AND(COUNTA($A917:$K917)&gt;0,$L917=""),"Awaiting Collection Email time stamp.",""),IF(OR($T917="PAID",$T917="CLOSED"),IF($T917="PAID","Account paid. Action completed.","Account closed. No further action required."),CHOOSE($W917,"Collection Email","1st Email Follow-up","2nd Email Follow-up","Escalation to Local Office","Escalation to CBE","Escalation to Roxanne")&amp;" sent "&amp;TEXT($X917,"dd-mmm")&amp;". "&amp;IF($W917=6,"Final escalation completed.",IF($T917="OVERDUE","Next: "&amp;$Z917&amp;" was due "&amp;TEXT($Y917,"dd-mmm")&amp;" - "&amp;(NETWORKDAYS($Y917,TODAY(),Holidays)-1)&amp;" business day(s) late. Send now.",IF($T917="DUE TOMORROW","Next: "&amp;$Z917&amp;IF($Y917&lt;=TODAY()," is due TODAY ("," is due next business day (")&amp;TEXT($Y917,"dd-mmm")&amp;").","Next: "&amp;$Z917&amp;" due "&amp;TEXT($Y917,"dd-mmm")&amp;" ("&amp;(NETWORKDAYS(TODAY(),$Y917,Holidays)-1)&amp;" business day(s) left).")))))</f>
        <v/>
      </c>
      <c r="V917" s="17">
        <f>IF($W917="","",CHOOSE($W917,"Collection Email","1st Follow-up","2nd Follow-up","Local Office","CBE","Roxanne")&amp;IF($W917=6," - Final"," - Day "&amp;MAX(0,NETWORKDAYS($X917,TODAY(),Holidays)-1)&amp;" of "&amp;CHOOSE($W917,3,3,2,2,3))&amp;" | Total Day "&amp;MAX(0,NETWORKDAYS($L917,TODAY(),Holidays)-1))</f>
        <v/>
      </c>
      <c r="W917" s="17">
        <f>IF($L917="","",COUNT($L917:$Q917))</f>
        <v/>
      </c>
      <c r="X917" s="18">
        <f>IF($W917="","",INT(INDEX($L917:$Q917,$W917)))</f>
        <v/>
      </c>
      <c r="Y917" s="18">
        <f>IF(OR($W917="",$W917=6),"",WORKDAY($X917,CHOOSE($W917,3,3,2,2,3),Holidays))</f>
        <v/>
      </c>
      <c r="Z917" s="17">
        <f>IF(OR($W917="",$W917=6),"",CHOOSE($W917,"1st Email Follow-up","2nd Email Follow-up","Escalate Local Office","Escalate to CBE","Escalate to Roxanne"))</f>
        <v/>
      </c>
    </row>
    <row r="918" spans="18:26">
      <c r="R918" s="15"/>
      <c r="S918" s="16"/>
      <c r="T918" s="17">
        <f>IF(AND(COUNTA($A918:$K918)=0,$L918=""),"",IF($S918="Paid","PAID",IF($S918="Closed","CLOSED",IF($W918="","",IF($W918=6,"ESCALATED TO ROXANNE",IF(TODAY()&gt;$Y918,"OVERDUE",IF($Y918&lt;=WORKDAY(TODAY(),1,Holidays),"DUE TOMORROW",IF($W918=4,"ESCALATED TO LOCAL OFFICE",IF($W918=5,"ESCALATED TO CBE",IF($X918=TODAY(),"EMAIL SENT","MONITORING"))))))))))</f>
        <v/>
      </c>
      <c r="U918" s="17">
        <f>IF($T918="",IF(AND(COUNTA($A918:$K918)&gt;0,$L918=""),"Awaiting Collection Email time stamp.",""),IF(OR($T918="PAID",$T918="CLOSED"),IF($T918="PAID","Account paid. Action completed.","Account closed. No further action required."),CHOOSE($W918,"Collection Email","1st Email Follow-up","2nd Email Follow-up","Escalation to Local Office","Escalation to CBE","Escalation to Roxanne")&amp;" sent "&amp;TEXT($X918,"dd-mmm")&amp;". "&amp;IF($W918=6,"Final escalation completed.",IF($T918="OVERDUE","Next: "&amp;$Z918&amp;" was due "&amp;TEXT($Y918,"dd-mmm")&amp;" - "&amp;(NETWORKDAYS($Y918,TODAY(),Holidays)-1)&amp;" business day(s) late. Send now.",IF($T918="DUE TOMORROW","Next: "&amp;$Z918&amp;IF($Y918&lt;=TODAY()," is due TODAY ("," is due next business day (")&amp;TEXT($Y918,"dd-mmm")&amp;").","Next: "&amp;$Z918&amp;" due "&amp;TEXT($Y918,"dd-mmm")&amp;" ("&amp;(NETWORKDAYS(TODAY(),$Y918,Holidays)-1)&amp;" business day(s) left).")))))</f>
        <v/>
      </c>
      <c r="V918" s="17">
        <f>IF($W918="","",CHOOSE($W918,"Collection Email","1st Follow-up","2nd Follow-up","Local Office","CBE","Roxanne")&amp;IF($W918=6," - Final"," - Day "&amp;MAX(0,NETWORKDAYS($X918,TODAY(),Holidays)-1)&amp;" of "&amp;CHOOSE($W918,3,3,2,2,3))&amp;" | Total Day "&amp;MAX(0,NETWORKDAYS($L918,TODAY(),Holidays)-1))</f>
        <v/>
      </c>
      <c r="W918" s="17">
        <f>IF($L918="","",COUNT($L918:$Q918))</f>
        <v/>
      </c>
      <c r="X918" s="18">
        <f>IF($W918="","",INT(INDEX($L918:$Q918,$W918)))</f>
        <v/>
      </c>
      <c r="Y918" s="18">
        <f>IF(OR($W918="",$W918=6),"",WORKDAY($X918,CHOOSE($W918,3,3,2,2,3),Holidays))</f>
        <v/>
      </c>
      <c r="Z918" s="17">
        <f>IF(OR($W918="",$W918=6),"",CHOOSE($W918,"1st Email Follow-up","2nd Email Follow-up","Escalate Local Office","Escalate to CBE","Escalate to Roxanne"))</f>
        <v/>
      </c>
    </row>
    <row r="919" spans="18:26">
      <c r="R919" s="15"/>
      <c r="S919" s="16"/>
      <c r="T919" s="17">
        <f>IF(AND(COUNTA($A919:$K919)=0,$L919=""),"",IF($S919="Paid","PAID",IF($S919="Closed","CLOSED",IF($W919="","",IF($W919=6,"ESCALATED TO ROXANNE",IF(TODAY()&gt;$Y919,"OVERDUE",IF($Y919&lt;=WORKDAY(TODAY(),1,Holidays),"DUE TOMORROW",IF($W919=4,"ESCALATED TO LOCAL OFFICE",IF($W919=5,"ESCALATED TO CBE",IF($X919=TODAY(),"EMAIL SENT","MONITORING"))))))))))</f>
        <v/>
      </c>
      <c r="U919" s="17">
        <f>IF($T919="",IF(AND(COUNTA($A919:$K919)&gt;0,$L919=""),"Awaiting Collection Email time stamp.",""),IF(OR($T919="PAID",$T919="CLOSED"),IF($T919="PAID","Account paid. Action completed.","Account closed. No further action required."),CHOOSE($W919,"Collection Email","1st Email Follow-up","2nd Email Follow-up","Escalation to Local Office","Escalation to CBE","Escalation to Roxanne")&amp;" sent "&amp;TEXT($X919,"dd-mmm")&amp;". "&amp;IF($W919=6,"Final escalation completed.",IF($T919="OVERDUE","Next: "&amp;$Z919&amp;" was due "&amp;TEXT($Y919,"dd-mmm")&amp;" - "&amp;(NETWORKDAYS($Y919,TODAY(),Holidays)-1)&amp;" business day(s) late. Send now.",IF($T919="DUE TOMORROW","Next: "&amp;$Z919&amp;IF($Y919&lt;=TODAY()," is due TODAY ("," is due next business day (")&amp;TEXT($Y919,"dd-mmm")&amp;").","Next: "&amp;$Z919&amp;" due "&amp;TEXT($Y919,"dd-mmm")&amp;" ("&amp;(NETWORKDAYS(TODAY(),$Y919,Holidays)-1)&amp;" business day(s) left).")))))</f>
        <v/>
      </c>
      <c r="V919" s="17">
        <f>IF($W919="","",CHOOSE($W919,"Collection Email","1st Follow-up","2nd Follow-up","Local Office","CBE","Roxanne")&amp;IF($W919=6," - Final"," - Day "&amp;MAX(0,NETWORKDAYS($X919,TODAY(),Holidays)-1)&amp;" of "&amp;CHOOSE($W919,3,3,2,2,3))&amp;" | Total Day "&amp;MAX(0,NETWORKDAYS($L919,TODAY(),Holidays)-1))</f>
        <v/>
      </c>
      <c r="W919" s="17">
        <f>IF($L919="","",COUNT($L919:$Q919))</f>
        <v/>
      </c>
      <c r="X919" s="18">
        <f>IF($W919="","",INT(INDEX($L919:$Q919,$W919)))</f>
        <v/>
      </c>
      <c r="Y919" s="18">
        <f>IF(OR($W919="",$W919=6),"",WORKDAY($X919,CHOOSE($W919,3,3,2,2,3),Holidays))</f>
        <v/>
      </c>
      <c r="Z919" s="17">
        <f>IF(OR($W919="",$W919=6),"",CHOOSE($W919,"1st Email Follow-up","2nd Email Follow-up","Escalate Local Office","Escalate to CBE","Escalate to Roxanne"))</f>
        <v/>
      </c>
    </row>
    <row r="920" spans="18:26">
      <c r="R920" s="15"/>
      <c r="S920" s="16"/>
      <c r="T920" s="17">
        <f>IF(AND(COUNTA($A920:$K920)=0,$L920=""),"",IF($S920="Paid","PAID",IF($S920="Closed","CLOSED",IF($W920="","",IF($W920=6,"ESCALATED TO ROXANNE",IF(TODAY()&gt;$Y920,"OVERDUE",IF($Y920&lt;=WORKDAY(TODAY(),1,Holidays),"DUE TOMORROW",IF($W920=4,"ESCALATED TO LOCAL OFFICE",IF($W920=5,"ESCALATED TO CBE",IF($X920=TODAY(),"EMAIL SENT","MONITORING"))))))))))</f>
        <v/>
      </c>
      <c r="U920" s="17">
        <f>IF($T920="",IF(AND(COUNTA($A920:$K920)&gt;0,$L920=""),"Awaiting Collection Email time stamp.",""),IF(OR($T920="PAID",$T920="CLOSED"),IF($T920="PAID","Account paid. Action completed.","Account closed. No further action required."),CHOOSE($W920,"Collection Email","1st Email Follow-up","2nd Email Follow-up","Escalation to Local Office","Escalation to CBE","Escalation to Roxanne")&amp;" sent "&amp;TEXT($X920,"dd-mmm")&amp;". "&amp;IF($W920=6,"Final escalation completed.",IF($T920="OVERDUE","Next: "&amp;$Z920&amp;" was due "&amp;TEXT($Y920,"dd-mmm")&amp;" - "&amp;(NETWORKDAYS($Y920,TODAY(),Holidays)-1)&amp;" business day(s) late. Send now.",IF($T920="DUE TOMORROW","Next: "&amp;$Z920&amp;IF($Y920&lt;=TODAY()," is due TODAY ("," is due next business day (")&amp;TEXT($Y920,"dd-mmm")&amp;").","Next: "&amp;$Z920&amp;" due "&amp;TEXT($Y920,"dd-mmm")&amp;" ("&amp;(NETWORKDAYS(TODAY(),$Y920,Holidays)-1)&amp;" business day(s) left).")))))</f>
        <v/>
      </c>
      <c r="V920" s="17">
        <f>IF($W920="","",CHOOSE($W920,"Collection Email","1st Follow-up","2nd Follow-up","Local Office","CBE","Roxanne")&amp;IF($W920=6," - Final"," - Day "&amp;MAX(0,NETWORKDAYS($X920,TODAY(),Holidays)-1)&amp;" of "&amp;CHOOSE($W920,3,3,2,2,3))&amp;" | Total Day "&amp;MAX(0,NETWORKDAYS($L920,TODAY(),Holidays)-1))</f>
        <v/>
      </c>
      <c r="W920" s="17">
        <f>IF($L920="","",COUNT($L920:$Q920))</f>
        <v/>
      </c>
      <c r="X920" s="18">
        <f>IF($W920="","",INT(INDEX($L920:$Q920,$W920)))</f>
        <v/>
      </c>
      <c r="Y920" s="18">
        <f>IF(OR($W920="",$W920=6),"",WORKDAY($X920,CHOOSE($W920,3,3,2,2,3),Holidays))</f>
        <v/>
      </c>
      <c r="Z920" s="17">
        <f>IF(OR($W920="",$W920=6),"",CHOOSE($W920,"1st Email Follow-up","2nd Email Follow-up","Escalate Local Office","Escalate to CBE","Escalate to Roxanne"))</f>
        <v/>
      </c>
    </row>
    <row r="921" spans="18:26">
      <c r="R921" s="15"/>
      <c r="S921" s="16"/>
      <c r="T921" s="17">
        <f>IF(AND(COUNTA($A921:$K921)=0,$L921=""),"",IF($S921="Paid","PAID",IF($S921="Closed","CLOSED",IF($W921="","",IF($W921=6,"ESCALATED TO ROXANNE",IF(TODAY()&gt;$Y921,"OVERDUE",IF($Y921&lt;=WORKDAY(TODAY(),1,Holidays),"DUE TOMORROW",IF($W921=4,"ESCALATED TO LOCAL OFFICE",IF($W921=5,"ESCALATED TO CBE",IF($X921=TODAY(),"EMAIL SENT","MONITORING"))))))))))</f>
        <v/>
      </c>
      <c r="U921" s="17">
        <f>IF($T921="",IF(AND(COUNTA($A921:$K921)&gt;0,$L921=""),"Awaiting Collection Email time stamp.",""),IF(OR($T921="PAID",$T921="CLOSED"),IF($T921="PAID","Account paid. Action completed.","Account closed. No further action required."),CHOOSE($W921,"Collection Email","1st Email Follow-up","2nd Email Follow-up","Escalation to Local Office","Escalation to CBE","Escalation to Roxanne")&amp;" sent "&amp;TEXT($X921,"dd-mmm")&amp;". "&amp;IF($W921=6,"Final escalation completed.",IF($T921="OVERDUE","Next: "&amp;$Z921&amp;" was due "&amp;TEXT($Y921,"dd-mmm")&amp;" - "&amp;(NETWORKDAYS($Y921,TODAY(),Holidays)-1)&amp;" business day(s) late. Send now.",IF($T921="DUE TOMORROW","Next: "&amp;$Z921&amp;IF($Y921&lt;=TODAY()," is due TODAY ("," is due next business day (")&amp;TEXT($Y921,"dd-mmm")&amp;").","Next: "&amp;$Z921&amp;" due "&amp;TEXT($Y921,"dd-mmm")&amp;" ("&amp;(NETWORKDAYS(TODAY(),$Y921,Holidays)-1)&amp;" business day(s) left).")))))</f>
        <v/>
      </c>
      <c r="V921" s="17">
        <f>IF($W921="","",CHOOSE($W921,"Collection Email","1st Follow-up","2nd Follow-up","Local Office","CBE","Roxanne")&amp;IF($W921=6," - Final"," - Day "&amp;MAX(0,NETWORKDAYS($X921,TODAY(),Holidays)-1)&amp;" of "&amp;CHOOSE($W921,3,3,2,2,3))&amp;" | Total Day "&amp;MAX(0,NETWORKDAYS($L921,TODAY(),Holidays)-1))</f>
        <v/>
      </c>
      <c r="W921" s="17">
        <f>IF($L921="","",COUNT($L921:$Q921))</f>
        <v/>
      </c>
      <c r="X921" s="18">
        <f>IF($W921="","",INT(INDEX($L921:$Q921,$W921)))</f>
        <v/>
      </c>
      <c r="Y921" s="18">
        <f>IF(OR($W921="",$W921=6),"",WORKDAY($X921,CHOOSE($W921,3,3,2,2,3),Holidays))</f>
        <v/>
      </c>
      <c r="Z921" s="17">
        <f>IF(OR($W921="",$W921=6),"",CHOOSE($W921,"1st Email Follow-up","2nd Email Follow-up","Escalate Local Office","Escalate to CBE","Escalate to Roxanne"))</f>
        <v/>
      </c>
    </row>
    <row r="922" spans="18:26">
      <c r="R922" s="15"/>
      <c r="S922" s="16"/>
      <c r="T922" s="17">
        <f>IF(AND(COUNTA($A922:$K922)=0,$L922=""),"",IF($S922="Paid","PAID",IF($S922="Closed","CLOSED",IF($W922="","",IF($W922=6,"ESCALATED TO ROXANNE",IF(TODAY()&gt;$Y922,"OVERDUE",IF($Y922&lt;=WORKDAY(TODAY(),1,Holidays),"DUE TOMORROW",IF($W922=4,"ESCALATED TO LOCAL OFFICE",IF($W922=5,"ESCALATED TO CBE",IF($X922=TODAY(),"EMAIL SENT","MONITORING"))))))))))</f>
        <v/>
      </c>
      <c r="U922" s="17">
        <f>IF($T922="",IF(AND(COUNTA($A922:$K922)&gt;0,$L922=""),"Awaiting Collection Email time stamp.",""),IF(OR($T922="PAID",$T922="CLOSED"),IF($T922="PAID","Account paid. Action completed.","Account closed. No further action required."),CHOOSE($W922,"Collection Email","1st Email Follow-up","2nd Email Follow-up","Escalation to Local Office","Escalation to CBE","Escalation to Roxanne")&amp;" sent "&amp;TEXT($X922,"dd-mmm")&amp;". "&amp;IF($W922=6,"Final escalation completed.",IF($T922="OVERDUE","Next: "&amp;$Z922&amp;" was due "&amp;TEXT($Y922,"dd-mmm")&amp;" - "&amp;(NETWORKDAYS($Y922,TODAY(),Holidays)-1)&amp;" business day(s) late. Send now.",IF($T922="DUE TOMORROW","Next: "&amp;$Z922&amp;IF($Y922&lt;=TODAY()," is due TODAY ("," is due next business day (")&amp;TEXT($Y922,"dd-mmm")&amp;").","Next: "&amp;$Z922&amp;" due "&amp;TEXT($Y922,"dd-mmm")&amp;" ("&amp;(NETWORKDAYS(TODAY(),$Y922,Holidays)-1)&amp;" business day(s) left).")))))</f>
        <v/>
      </c>
      <c r="V922" s="17">
        <f>IF($W922="","",CHOOSE($W922,"Collection Email","1st Follow-up","2nd Follow-up","Local Office","CBE","Roxanne")&amp;IF($W922=6," - Final"," - Day "&amp;MAX(0,NETWORKDAYS($X922,TODAY(),Holidays)-1)&amp;" of "&amp;CHOOSE($W922,3,3,2,2,3))&amp;" | Total Day "&amp;MAX(0,NETWORKDAYS($L922,TODAY(),Holidays)-1))</f>
        <v/>
      </c>
      <c r="W922" s="17">
        <f>IF($L922="","",COUNT($L922:$Q922))</f>
        <v/>
      </c>
      <c r="X922" s="18">
        <f>IF($W922="","",INT(INDEX($L922:$Q922,$W922)))</f>
        <v/>
      </c>
      <c r="Y922" s="18">
        <f>IF(OR($W922="",$W922=6),"",WORKDAY($X922,CHOOSE($W922,3,3,2,2,3),Holidays))</f>
        <v/>
      </c>
      <c r="Z922" s="17">
        <f>IF(OR($W922="",$W922=6),"",CHOOSE($W922,"1st Email Follow-up","2nd Email Follow-up","Escalate Local Office","Escalate to CBE","Escalate to Roxanne"))</f>
        <v/>
      </c>
    </row>
    <row r="923" spans="18:26">
      <c r="R923" s="15"/>
      <c r="S923" s="16"/>
      <c r="T923" s="17">
        <f>IF(AND(COUNTA($A923:$K923)=0,$L923=""),"",IF($S923="Paid","PAID",IF($S923="Closed","CLOSED",IF($W923="","",IF($W923=6,"ESCALATED TO ROXANNE",IF(TODAY()&gt;$Y923,"OVERDUE",IF($Y923&lt;=WORKDAY(TODAY(),1,Holidays),"DUE TOMORROW",IF($W923=4,"ESCALATED TO LOCAL OFFICE",IF($W923=5,"ESCALATED TO CBE",IF($X923=TODAY(),"EMAIL SENT","MONITORING"))))))))))</f>
        <v/>
      </c>
      <c r="U923" s="17">
        <f>IF($T923="",IF(AND(COUNTA($A923:$K923)&gt;0,$L923=""),"Awaiting Collection Email time stamp.",""),IF(OR($T923="PAID",$T923="CLOSED"),IF($T923="PAID","Account paid. Action completed.","Account closed. No further action required."),CHOOSE($W923,"Collection Email","1st Email Follow-up","2nd Email Follow-up","Escalation to Local Office","Escalation to CBE","Escalation to Roxanne")&amp;" sent "&amp;TEXT($X923,"dd-mmm")&amp;". "&amp;IF($W923=6,"Final escalation completed.",IF($T923="OVERDUE","Next: "&amp;$Z923&amp;" was due "&amp;TEXT($Y923,"dd-mmm")&amp;" - "&amp;(NETWORKDAYS($Y923,TODAY(),Holidays)-1)&amp;" business day(s) late. Send now.",IF($T923="DUE TOMORROW","Next: "&amp;$Z923&amp;IF($Y923&lt;=TODAY()," is due TODAY ("," is due next business day (")&amp;TEXT($Y923,"dd-mmm")&amp;").","Next: "&amp;$Z923&amp;" due "&amp;TEXT($Y923,"dd-mmm")&amp;" ("&amp;(NETWORKDAYS(TODAY(),$Y923,Holidays)-1)&amp;" business day(s) left).")))))</f>
        <v/>
      </c>
      <c r="V923" s="17">
        <f>IF($W923="","",CHOOSE($W923,"Collection Email","1st Follow-up","2nd Follow-up","Local Office","CBE","Roxanne")&amp;IF($W923=6," - Final"," - Day "&amp;MAX(0,NETWORKDAYS($X923,TODAY(),Holidays)-1)&amp;" of "&amp;CHOOSE($W923,3,3,2,2,3))&amp;" | Total Day "&amp;MAX(0,NETWORKDAYS($L923,TODAY(),Holidays)-1))</f>
        <v/>
      </c>
      <c r="W923" s="17">
        <f>IF($L923="","",COUNT($L923:$Q923))</f>
        <v/>
      </c>
      <c r="X923" s="18">
        <f>IF($W923="","",INT(INDEX($L923:$Q923,$W923)))</f>
        <v/>
      </c>
      <c r="Y923" s="18">
        <f>IF(OR($W923="",$W923=6),"",WORKDAY($X923,CHOOSE($W923,3,3,2,2,3),Holidays))</f>
        <v/>
      </c>
      <c r="Z923" s="17">
        <f>IF(OR($W923="",$W923=6),"",CHOOSE($W923,"1st Email Follow-up","2nd Email Follow-up","Escalate Local Office","Escalate to CBE","Escalate to Roxanne"))</f>
        <v/>
      </c>
    </row>
    <row r="924" spans="18:26">
      <c r="R924" s="15"/>
      <c r="S924" s="16"/>
      <c r="T924" s="17">
        <f>IF(AND(COUNTA($A924:$K924)=0,$L924=""),"",IF($S924="Paid","PAID",IF($S924="Closed","CLOSED",IF($W924="","",IF($W924=6,"ESCALATED TO ROXANNE",IF(TODAY()&gt;$Y924,"OVERDUE",IF($Y924&lt;=WORKDAY(TODAY(),1,Holidays),"DUE TOMORROW",IF($W924=4,"ESCALATED TO LOCAL OFFICE",IF($W924=5,"ESCALATED TO CBE",IF($X924=TODAY(),"EMAIL SENT","MONITORING"))))))))))</f>
        <v/>
      </c>
      <c r="U924" s="17">
        <f>IF($T924="",IF(AND(COUNTA($A924:$K924)&gt;0,$L924=""),"Awaiting Collection Email time stamp.",""),IF(OR($T924="PAID",$T924="CLOSED"),IF($T924="PAID","Account paid. Action completed.","Account closed. No further action required."),CHOOSE($W924,"Collection Email","1st Email Follow-up","2nd Email Follow-up","Escalation to Local Office","Escalation to CBE","Escalation to Roxanne")&amp;" sent "&amp;TEXT($X924,"dd-mmm")&amp;". "&amp;IF($W924=6,"Final escalation completed.",IF($T924="OVERDUE","Next: "&amp;$Z924&amp;" was due "&amp;TEXT($Y924,"dd-mmm")&amp;" - "&amp;(NETWORKDAYS($Y924,TODAY(),Holidays)-1)&amp;" business day(s) late. Send now.",IF($T924="DUE TOMORROW","Next: "&amp;$Z924&amp;IF($Y924&lt;=TODAY()," is due TODAY ("," is due next business day (")&amp;TEXT($Y924,"dd-mmm")&amp;").","Next: "&amp;$Z924&amp;" due "&amp;TEXT($Y924,"dd-mmm")&amp;" ("&amp;(NETWORKDAYS(TODAY(),$Y924,Holidays)-1)&amp;" business day(s) left).")))))</f>
        <v/>
      </c>
      <c r="V924" s="17">
        <f>IF($W924="","",CHOOSE($W924,"Collection Email","1st Follow-up","2nd Follow-up","Local Office","CBE","Roxanne")&amp;IF($W924=6," - Final"," - Day "&amp;MAX(0,NETWORKDAYS($X924,TODAY(),Holidays)-1)&amp;" of "&amp;CHOOSE($W924,3,3,2,2,3))&amp;" | Total Day "&amp;MAX(0,NETWORKDAYS($L924,TODAY(),Holidays)-1))</f>
        <v/>
      </c>
      <c r="W924" s="17">
        <f>IF($L924="","",COUNT($L924:$Q924))</f>
        <v/>
      </c>
      <c r="X924" s="18">
        <f>IF($W924="","",INT(INDEX($L924:$Q924,$W924)))</f>
        <v/>
      </c>
      <c r="Y924" s="18">
        <f>IF(OR($W924="",$W924=6),"",WORKDAY($X924,CHOOSE($W924,3,3,2,2,3),Holidays))</f>
        <v/>
      </c>
      <c r="Z924" s="17">
        <f>IF(OR($W924="",$W924=6),"",CHOOSE($W924,"1st Email Follow-up","2nd Email Follow-up","Escalate Local Office","Escalate to CBE","Escalate to Roxanne"))</f>
        <v/>
      </c>
    </row>
    <row r="925" spans="18:26">
      <c r="R925" s="15"/>
      <c r="S925" s="16"/>
      <c r="T925" s="17">
        <f>IF(AND(COUNTA($A925:$K925)=0,$L925=""),"",IF($S925="Paid","PAID",IF($S925="Closed","CLOSED",IF($W925="","",IF($W925=6,"ESCALATED TO ROXANNE",IF(TODAY()&gt;$Y925,"OVERDUE",IF($Y925&lt;=WORKDAY(TODAY(),1,Holidays),"DUE TOMORROW",IF($W925=4,"ESCALATED TO LOCAL OFFICE",IF($W925=5,"ESCALATED TO CBE",IF($X925=TODAY(),"EMAIL SENT","MONITORING"))))))))))</f>
        <v/>
      </c>
      <c r="U925" s="17">
        <f>IF($T925="",IF(AND(COUNTA($A925:$K925)&gt;0,$L925=""),"Awaiting Collection Email time stamp.",""),IF(OR($T925="PAID",$T925="CLOSED"),IF($T925="PAID","Account paid. Action completed.","Account closed. No further action required."),CHOOSE($W925,"Collection Email","1st Email Follow-up","2nd Email Follow-up","Escalation to Local Office","Escalation to CBE","Escalation to Roxanne")&amp;" sent "&amp;TEXT($X925,"dd-mmm")&amp;". "&amp;IF($W925=6,"Final escalation completed.",IF($T925="OVERDUE","Next: "&amp;$Z925&amp;" was due "&amp;TEXT($Y925,"dd-mmm")&amp;" - "&amp;(NETWORKDAYS($Y925,TODAY(),Holidays)-1)&amp;" business day(s) late. Send now.",IF($T925="DUE TOMORROW","Next: "&amp;$Z925&amp;IF($Y925&lt;=TODAY()," is due TODAY ("," is due next business day (")&amp;TEXT($Y925,"dd-mmm")&amp;").","Next: "&amp;$Z925&amp;" due "&amp;TEXT($Y925,"dd-mmm")&amp;" ("&amp;(NETWORKDAYS(TODAY(),$Y925,Holidays)-1)&amp;" business day(s) left).")))))</f>
        <v/>
      </c>
      <c r="V925" s="17">
        <f>IF($W925="","",CHOOSE($W925,"Collection Email","1st Follow-up","2nd Follow-up","Local Office","CBE","Roxanne")&amp;IF($W925=6," - Final"," - Day "&amp;MAX(0,NETWORKDAYS($X925,TODAY(),Holidays)-1)&amp;" of "&amp;CHOOSE($W925,3,3,2,2,3))&amp;" | Total Day "&amp;MAX(0,NETWORKDAYS($L925,TODAY(),Holidays)-1))</f>
        <v/>
      </c>
      <c r="W925" s="17">
        <f>IF($L925="","",COUNT($L925:$Q925))</f>
        <v/>
      </c>
      <c r="X925" s="18">
        <f>IF($W925="","",INT(INDEX($L925:$Q925,$W925)))</f>
        <v/>
      </c>
      <c r="Y925" s="18">
        <f>IF(OR($W925="",$W925=6),"",WORKDAY($X925,CHOOSE($W925,3,3,2,2,3),Holidays))</f>
        <v/>
      </c>
      <c r="Z925" s="17">
        <f>IF(OR($W925="",$W925=6),"",CHOOSE($W925,"1st Email Follow-up","2nd Email Follow-up","Escalate Local Office","Escalate to CBE","Escalate to Roxanne"))</f>
        <v/>
      </c>
    </row>
    <row r="926" spans="18:26">
      <c r="R926" s="15"/>
      <c r="S926" s="16"/>
      <c r="T926" s="17">
        <f>IF(AND(COUNTA($A926:$K926)=0,$L926=""),"",IF($S926="Paid","PAID",IF($S926="Closed","CLOSED",IF($W926="","",IF($W926=6,"ESCALATED TO ROXANNE",IF(TODAY()&gt;$Y926,"OVERDUE",IF($Y926&lt;=WORKDAY(TODAY(),1,Holidays),"DUE TOMORROW",IF($W926=4,"ESCALATED TO LOCAL OFFICE",IF($W926=5,"ESCALATED TO CBE",IF($X926=TODAY(),"EMAIL SENT","MONITORING"))))))))))</f>
        <v/>
      </c>
      <c r="U926" s="17">
        <f>IF($T926="",IF(AND(COUNTA($A926:$K926)&gt;0,$L926=""),"Awaiting Collection Email time stamp.",""),IF(OR($T926="PAID",$T926="CLOSED"),IF($T926="PAID","Account paid. Action completed.","Account closed. No further action required."),CHOOSE($W926,"Collection Email","1st Email Follow-up","2nd Email Follow-up","Escalation to Local Office","Escalation to CBE","Escalation to Roxanne")&amp;" sent "&amp;TEXT($X926,"dd-mmm")&amp;". "&amp;IF($W926=6,"Final escalation completed.",IF($T926="OVERDUE","Next: "&amp;$Z926&amp;" was due "&amp;TEXT($Y926,"dd-mmm")&amp;" - "&amp;(NETWORKDAYS($Y926,TODAY(),Holidays)-1)&amp;" business day(s) late. Send now.",IF($T926="DUE TOMORROW","Next: "&amp;$Z926&amp;IF($Y926&lt;=TODAY()," is due TODAY ("," is due next business day (")&amp;TEXT($Y926,"dd-mmm")&amp;").","Next: "&amp;$Z926&amp;" due "&amp;TEXT($Y926,"dd-mmm")&amp;" ("&amp;(NETWORKDAYS(TODAY(),$Y926,Holidays)-1)&amp;" business day(s) left).")))))</f>
        <v/>
      </c>
      <c r="V926" s="17">
        <f>IF($W926="","",CHOOSE($W926,"Collection Email","1st Follow-up","2nd Follow-up","Local Office","CBE","Roxanne")&amp;IF($W926=6," - Final"," - Day "&amp;MAX(0,NETWORKDAYS($X926,TODAY(),Holidays)-1)&amp;" of "&amp;CHOOSE($W926,3,3,2,2,3))&amp;" | Total Day "&amp;MAX(0,NETWORKDAYS($L926,TODAY(),Holidays)-1))</f>
        <v/>
      </c>
      <c r="W926" s="17">
        <f>IF($L926="","",COUNT($L926:$Q926))</f>
        <v/>
      </c>
      <c r="X926" s="18">
        <f>IF($W926="","",INT(INDEX($L926:$Q926,$W926)))</f>
        <v/>
      </c>
      <c r="Y926" s="18">
        <f>IF(OR($W926="",$W926=6),"",WORKDAY($X926,CHOOSE($W926,3,3,2,2,3),Holidays))</f>
        <v/>
      </c>
      <c r="Z926" s="17">
        <f>IF(OR($W926="",$W926=6),"",CHOOSE($W926,"1st Email Follow-up","2nd Email Follow-up","Escalate Local Office","Escalate to CBE","Escalate to Roxanne"))</f>
        <v/>
      </c>
    </row>
    <row r="927" spans="18:26">
      <c r="R927" s="15"/>
      <c r="S927" s="16"/>
      <c r="T927" s="17">
        <f>IF(AND(COUNTA($A927:$K927)=0,$L927=""),"",IF($S927="Paid","PAID",IF($S927="Closed","CLOSED",IF($W927="","",IF($W927=6,"ESCALATED TO ROXANNE",IF(TODAY()&gt;$Y927,"OVERDUE",IF($Y927&lt;=WORKDAY(TODAY(),1,Holidays),"DUE TOMORROW",IF($W927=4,"ESCALATED TO LOCAL OFFICE",IF($W927=5,"ESCALATED TO CBE",IF($X927=TODAY(),"EMAIL SENT","MONITORING"))))))))))</f>
        <v/>
      </c>
      <c r="U927" s="17">
        <f>IF($T927="",IF(AND(COUNTA($A927:$K927)&gt;0,$L927=""),"Awaiting Collection Email time stamp.",""),IF(OR($T927="PAID",$T927="CLOSED"),IF($T927="PAID","Account paid. Action completed.","Account closed. No further action required."),CHOOSE($W927,"Collection Email","1st Email Follow-up","2nd Email Follow-up","Escalation to Local Office","Escalation to CBE","Escalation to Roxanne")&amp;" sent "&amp;TEXT($X927,"dd-mmm")&amp;". "&amp;IF($W927=6,"Final escalation completed.",IF($T927="OVERDUE","Next: "&amp;$Z927&amp;" was due "&amp;TEXT($Y927,"dd-mmm")&amp;" - "&amp;(NETWORKDAYS($Y927,TODAY(),Holidays)-1)&amp;" business day(s) late. Send now.",IF($T927="DUE TOMORROW","Next: "&amp;$Z927&amp;IF($Y927&lt;=TODAY()," is due TODAY ("," is due next business day (")&amp;TEXT($Y927,"dd-mmm")&amp;").","Next: "&amp;$Z927&amp;" due "&amp;TEXT($Y927,"dd-mmm")&amp;" ("&amp;(NETWORKDAYS(TODAY(),$Y927,Holidays)-1)&amp;" business day(s) left).")))))</f>
        <v/>
      </c>
      <c r="V927" s="17">
        <f>IF($W927="","",CHOOSE($W927,"Collection Email","1st Follow-up","2nd Follow-up","Local Office","CBE","Roxanne")&amp;IF($W927=6," - Final"," - Day "&amp;MAX(0,NETWORKDAYS($X927,TODAY(),Holidays)-1)&amp;" of "&amp;CHOOSE($W927,3,3,2,2,3))&amp;" | Total Day "&amp;MAX(0,NETWORKDAYS($L927,TODAY(),Holidays)-1))</f>
        <v/>
      </c>
      <c r="W927" s="17">
        <f>IF($L927="","",COUNT($L927:$Q927))</f>
        <v/>
      </c>
      <c r="X927" s="18">
        <f>IF($W927="","",INT(INDEX($L927:$Q927,$W927)))</f>
        <v/>
      </c>
      <c r="Y927" s="18">
        <f>IF(OR($W927="",$W927=6),"",WORKDAY($X927,CHOOSE($W927,3,3,2,2,3),Holidays))</f>
        <v/>
      </c>
      <c r="Z927" s="17">
        <f>IF(OR($W927="",$W927=6),"",CHOOSE($W927,"1st Email Follow-up","2nd Email Follow-up","Escalate Local Office","Escalate to CBE","Escalate to Roxanne"))</f>
        <v/>
      </c>
    </row>
    <row r="928" spans="18:26">
      <c r="R928" s="15"/>
      <c r="S928" s="16"/>
      <c r="T928" s="17">
        <f>IF(AND(COUNTA($A928:$K928)=0,$L928=""),"",IF($S928="Paid","PAID",IF($S928="Closed","CLOSED",IF($W928="","",IF($W928=6,"ESCALATED TO ROXANNE",IF(TODAY()&gt;$Y928,"OVERDUE",IF($Y928&lt;=WORKDAY(TODAY(),1,Holidays),"DUE TOMORROW",IF($W928=4,"ESCALATED TO LOCAL OFFICE",IF($W928=5,"ESCALATED TO CBE",IF($X928=TODAY(),"EMAIL SENT","MONITORING"))))))))))</f>
        <v/>
      </c>
      <c r="U928" s="17">
        <f>IF($T928="",IF(AND(COUNTA($A928:$K928)&gt;0,$L928=""),"Awaiting Collection Email time stamp.",""),IF(OR($T928="PAID",$T928="CLOSED"),IF($T928="PAID","Account paid. Action completed.","Account closed. No further action required."),CHOOSE($W928,"Collection Email","1st Email Follow-up","2nd Email Follow-up","Escalation to Local Office","Escalation to CBE","Escalation to Roxanne")&amp;" sent "&amp;TEXT($X928,"dd-mmm")&amp;". "&amp;IF($W928=6,"Final escalation completed.",IF($T928="OVERDUE","Next: "&amp;$Z928&amp;" was due "&amp;TEXT($Y928,"dd-mmm")&amp;" - "&amp;(NETWORKDAYS($Y928,TODAY(),Holidays)-1)&amp;" business day(s) late. Send now.",IF($T928="DUE TOMORROW","Next: "&amp;$Z928&amp;IF($Y928&lt;=TODAY()," is due TODAY ("," is due next business day (")&amp;TEXT($Y928,"dd-mmm")&amp;").","Next: "&amp;$Z928&amp;" due "&amp;TEXT($Y928,"dd-mmm")&amp;" ("&amp;(NETWORKDAYS(TODAY(),$Y928,Holidays)-1)&amp;" business day(s) left).")))))</f>
        <v/>
      </c>
      <c r="V928" s="17">
        <f>IF($W928="","",CHOOSE($W928,"Collection Email","1st Follow-up","2nd Follow-up","Local Office","CBE","Roxanne")&amp;IF($W928=6," - Final"," - Day "&amp;MAX(0,NETWORKDAYS($X928,TODAY(),Holidays)-1)&amp;" of "&amp;CHOOSE($W928,3,3,2,2,3))&amp;" | Total Day "&amp;MAX(0,NETWORKDAYS($L928,TODAY(),Holidays)-1))</f>
        <v/>
      </c>
      <c r="W928" s="17">
        <f>IF($L928="","",COUNT($L928:$Q928))</f>
        <v/>
      </c>
      <c r="X928" s="18">
        <f>IF($W928="","",INT(INDEX($L928:$Q928,$W928)))</f>
        <v/>
      </c>
      <c r="Y928" s="18">
        <f>IF(OR($W928="",$W928=6),"",WORKDAY($X928,CHOOSE($W928,3,3,2,2,3),Holidays))</f>
        <v/>
      </c>
      <c r="Z928" s="17">
        <f>IF(OR($W928="",$W928=6),"",CHOOSE($W928,"1st Email Follow-up","2nd Email Follow-up","Escalate Local Office","Escalate to CBE","Escalate to Roxanne"))</f>
        <v/>
      </c>
    </row>
    <row r="929" spans="18:26">
      <c r="R929" s="15"/>
      <c r="S929" s="16"/>
      <c r="T929" s="17">
        <f>IF(AND(COUNTA($A929:$K929)=0,$L929=""),"",IF($S929="Paid","PAID",IF($S929="Closed","CLOSED",IF($W929="","",IF($W929=6,"ESCALATED TO ROXANNE",IF(TODAY()&gt;$Y929,"OVERDUE",IF($Y929&lt;=WORKDAY(TODAY(),1,Holidays),"DUE TOMORROW",IF($W929=4,"ESCALATED TO LOCAL OFFICE",IF($W929=5,"ESCALATED TO CBE",IF($X929=TODAY(),"EMAIL SENT","MONITORING"))))))))))</f>
        <v/>
      </c>
      <c r="U929" s="17">
        <f>IF($T929="",IF(AND(COUNTA($A929:$K929)&gt;0,$L929=""),"Awaiting Collection Email time stamp.",""),IF(OR($T929="PAID",$T929="CLOSED"),IF($T929="PAID","Account paid. Action completed.","Account closed. No further action required."),CHOOSE($W929,"Collection Email","1st Email Follow-up","2nd Email Follow-up","Escalation to Local Office","Escalation to CBE","Escalation to Roxanne")&amp;" sent "&amp;TEXT($X929,"dd-mmm")&amp;". "&amp;IF($W929=6,"Final escalation completed.",IF($T929="OVERDUE","Next: "&amp;$Z929&amp;" was due "&amp;TEXT($Y929,"dd-mmm")&amp;" - "&amp;(NETWORKDAYS($Y929,TODAY(),Holidays)-1)&amp;" business day(s) late. Send now.",IF($T929="DUE TOMORROW","Next: "&amp;$Z929&amp;IF($Y929&lt;=TODAY()," is due TODAY ("," is due next business day (")&amp;TEXT($Y929,"dd-mmm")&amp;").","Next: "&amp;$Z929&amp;" due "&amp;TEXT($Y929,"dd-mmm")&amp;" ("&amp;(NETWORKDAYS(TODAY(),$Y929,Holidays)-1)&amp;" business day(s) left).")))))</f>
        <v/>
      </c>
      <c r="V929" s="17">
        <f>IF($W929="","",CHOOSE($W929,"Collection Email","1st Follow-up","2nd Follow-up","Local Office","CBE","Roxanne")&amp;IF($W929=6," - Final"," - Day "&amp;MAX(0,NETWORKDAYS($X929,TODAY(),Holidays)-1)&amp;" of "&amp;CHOOSE($W929,3,3,2,2,3))&amp;" | Total Day "&amp;MAX(0,NETWORKDAYS($L929,TODAY(),Holidays)-1))</f>
        <v/>
      </c>
      <c r="W929" s="17">
        <f>IF($L929="","",COUNT($L929:$Q929))</f>
        <v/>
      </c>
      <c r="X929" s="18">
        <f>IF($W929="","",INT(INDEX($L929:$Q929,$W929)))</f>
        <v/>
      </c>
      <c r="Y929" s="18">
        <f>IF(OR($W929="",$W929=6),"",WORKDAY($X929,CHOOSE($W929,3,3,2,2,3),Holidays))</f>
        <v/>
      </c>
      <c r="Z929" s="17">
        <f>IF(OR($W929="",$W929=6),"",CHOOSE($W929,"1st Email Follow-up","2nd Email Follow-up","Escalate Local Office","Escalate to CBE","Escalate to Roxanne"))</f>
        <v/>
      </c>
    </row>
    <row r="930" spans="18:26">
      <c r="R930" s="15"/>
      <c r="S930" s="16"/>
      <c r="T930" s="17">
        <f>IF(AND(COUNTA($A930:$K930)=0,$L930=""),"",IF($S930="Paid","PAID",IF($S930="Closed","CLOSED",IF($W930="","",IF($W930=6,"ESCALATED TO ROXANNE",IF(TODAY()&gt;$Y930,"OVERDUE",IF($Y930&lt;=WORKDAY(TODAY(),1,Holidays),"DUE TOMORROW",IF($W930=4,"ESCALATED TO LOCAL OFFICE",IF($W930=5,"ESCALATED TO CBE",IF($X930=TODAY(),"EMAIL SENT","MONITORING"))))))))))</f>
        <v/>
      </c>
      <c r="U930" s="17">
        <f>IF($T930="",IF(AND(COUNTA($A930:$K930)&gt;0,$L930=""),"Awaiting Collection Email time stamp.",""),IF(OR($T930="PAID",$T930="CLOSED"),IF($T930="PAID","Account paid. Action completed.","Account closed. No further action required."),CHOOSE($W930,"Collection Email","1st Email Follow-up","2nd Email Follow-up","Escalation to Local Office","Escalation to CBE","Escalation to Roxanne")&amp;" sent "&amp;TEXT($X930,"dd-mmm")&amp;". "&amp;IF($W930=6,"Final escalation completed.",IF($T930="OVERDUE","Next: "&amp;$Z930&amp;" was due "&amp;TEXT($Y930,"dd-mmm")&amp;" - "&amp;(NETWORKDAYS($Y930,TODAY(),Holidays)-1)&amp;" business day(s) late. Send now.",IF($T930="DUE TOMORROW","Next: "&amp;$Z930&amp;IF($Y930&lt;=TODAY()," is due TODAY ("," is due next business day (")&amp;TEXT($Y930,"dd-mmm")&amp;").","Next: "&amp;$Z930&amp;" due "&amp;TEXT($Y930,"dd-mmm")&amp;" ("&amp;(NETWORKDAYS(TODAY(),$Y930,Holidays)-1)&amp;" business day(s) left).")))))</f>
        <v/>
      </c>
      <c r="V930" s="17">
        <f>IF($W930="","",CHOOSE($W930,"Collection Email","1st Follow-up","2nd Follow-up","Local Office","CBE","Roxanne")&amp;IF($W930=6," - Final"," - Day "&amp;MAX(0,NETWORKDAYS($X930,TODAY(),Holidays)-1)&amp;" of "&amp;CHOOSE($W930,3,3,2,2,3))&amp;" | Total Day "&amp;MAX(0,NETWORKDAYS($L930,TODAY(),Holidays)-1))</f>
        <v/>
      </c>
      <c r="W930" s="17">
        <f>IF($L930="","",COUNT($L930:$Q930))</f>
        <v/>
      </c>
      <c r="X930" s="18">
        <f>IF($W930="","",INT(INDEX($L930:$Q930,$W930)))</f>
        <v/>
      </c>
      <c r="Y930" s="18">
        <f>IF(OR($W930="",$W930=6),"",WORKDAY($X930,CHOOSE($W930,3,3,2,2,3),Holidays))</f>
        <v/>
      </c>
      <c r="Z930" s="17">
        <f>IF(OR($W930="",$W930=6),"",CHOOSE($W930,"1st Email Follow-up","2nd Email Follow-up","Escalate Local Office","Escalate to CBE","Escalate to Roxanne"))</f>
        <v/>
      </c>
    </row>
    <row r="931" spans="18:26">
      <c r="R931" s="15"/>
      <c r="S931" s="16"/>
      <c r="T931" s="17">
        <f>IF(AND(COUNTA($A931:$K931)=0,$L931=""),"",IF($S931="Paid","PAID",IF($S931="Closed","CLOSED",IF($W931="","",IF($W931=6,"ESCALATED TO ROXANNE",IF(TODAY()&gt;$Y931,"OVERDUE",IF($Y931&lt;=WORKDAY(TODAY(),1,Holidays),"DUE TOMORROW",IF($W931=4,"ESCALATED TO LOCAL OFFICE",IF($W931=5,"ESCALATED TO CBE",IF($X931=TODAY(),"EMAIL SENT","MONITORING"))))))))))</f>
        <v/>
      </c>
      <c r="U931" s="17">
        <f>IF($T931="",IF(AND(COUNTA($A931:$K931)&gt;0,$L931=""),"Awaiting Collection Email time stamp.",""),IF(OR($T931="PAID",$T931="CLOSED"),IF($T931="PAID","Account paid. Action completed.","Account closed. No further action required."),CHOOSE($W931,"Collection Email","1st Email Follow-up","2nd Email Follow-up","Escalation to Local Office","Escalation to CBE","Escalation to Roxanne")&amp;" sent "&amp;TEXT($X931,"dd-mmm")&amp;". "&amp;IF($W931=6,"Final escalation completed.",IF($T931="OVERDUE","Next: "&amp;$Z931&amp;" was due "&amp;TEXT($Y931,"dd-mmm")&amp;" - "&amp;(NETWORKDAYS($Y931,TODAY(),Holidays)-1)&amp;" business day(s) late. Send now.",IF($T931="DUE TOMORROW","Next: "&amp;$Z931&amp;IF($Y931&lt;=TODAY()," is due TODAY ("," is due next business day (")&amp;TEXT($Y931,"dd-mmm")&amp;").","Next: "&amp;$Z931&amp;" due "&amp;TEXT($Y931,"dd-mmm")&amp;" ("&amp;(NETWORKDAYS(TODAY(),$Y931,Holidays)-1)&amp;" business day(s) left).")))))</f>
        <v/>
      </c>
      <c r="V931" s="17">
        <f>IF($W931="","",CHOOSE($W931,"Collection Email","1st Follow-up","2nd Follow-up","Local Office","CBE","Roxanne")&amp;IF($W931=6," - Final"," - Day "&amp;MAX(0,NETWORKDAYS($X931,TODAY(),Holidays)-1)&amp;" of "&amp;CHOOSE($W931,3,3,2,2,3))&amp;" | Total Day "&amp;MAX(0,NETWORKDAYS($L931,TODAY(),Holidays)-1))</f>
        <v/>
      </c>
      <c r="W931" s="17">
        <f>IF($L931="","",COUNT($L931:$Q931))</f>
        <v/>
      </c>
      <c r="X931" s="18">
        <f>IF($W931="","",INT(INDEX($L931:$Q931,$W931)))</f>
        <v/>
      </c>
      <c r="Y931" s="18">
        <f>IF(OR($W931="",$W931=6),"",WORKDAY($X931,CHOOSE($W931,3,3,2,2,3),Holidays))</f>
        <v/>
      </c>
      <c r="Z931" s="17">
        <f>IF(OR($W931="",$W931=6),"",CHOOSE($W931,"1st Email Follow-up","2nd Email Follow-up","Escalate Local Office","Escalate to CBE","Escalate to Roxanne"))</f>
        <v/>
      </c>
    </row>
    <row r="932" spans="18:26">
      <c r="R932" s="15"/>
      <c r="S932" s="16"/>
      <c r="T932" s="17">
        <f>IF(AND(COUNTA($A932:$K932)=0,$L932=""),"",IF($S932="Paid","PAID",IF($S932="Closed","CLOSED",IF($W932="","",IF($W932=6,"ESCALATED TO ROXANNE",IF(TODAY()&gt;$Y932,"OVERDUE",IF($Y932&lt;=WORKDAY(TODAY(),1,Holidays),"DUE TOMORROW",IF($W932=4,"ESCALATED TO LOCAL OFFICE",IF($W932=5,"ESCALATED TO CBE",IF($X932=TODAY(),"EMAIL SENT","MONITORING"))))))))))</f>
        <v/>
      </c>
      <c r="U932" s="17">
        <f>IF($T932="",IF(AND(COUNTA($A932:$K932)&gt;0,$L932=""),"Awaiting Collection Email time stamp.",""),IF(OR($T932="PAID",$T932="CLOSED"),IF($T932="PAID","Account paid. Action completed.","Account closed. No further action required."),CHOOSE($W932,"Collection Email","1st Email Follow-up","2nd Email Follow-up","Escalation to Local Office","Escalation to CBE","Escalation to Roxanne")&amp;" sent "&amp;TEXT($X932,"dd-mmm")&amp;". "&amp;IF($W932=6,"Final escalation completed.",IF($T932="OVERDUE","Next: "&amp;$Z932&amp;" was due "&amp;TEXT($Y932,"dd-mmm")&amp;" - "&amp;(NETWORKDAYS($Y932,TODAY(),Holidays)-1)&amp;" business day(s) late. Send now.",IF($T932="DUE TOMORROW","Next: "&amp;$Z932&amp;IF($Y932&lt;=TODAY()," is due TODAY ("," is due next business day (")&amp;TEXT($Y932,"dd-mmm")&amp;").","Next: "&amp;$Z932&amp;" due "&amp;TEXT($Y932,"dd-mmm")&amp;" ("&amp;(NETWORKDAYS(TODAY(),$Y932,Holidays)-1)&amp;" business day(s) left).")))))</f>
        <v/>
      </c>
      <c r="V932" s="17">
        <f>IF($W932="","",CHOOSE($W932,"Collection Email","1st Follow-up","2nd Follow-up","Local Office","CBE","Roxanne")&amp;IF($W932=6," - Final"," - Day "&amp;MAX(0,NETWORKDAYS($X932,TODAY(),Holidays)-1)&amp;" of "&amp;CHOOSE($W932,3,3,2,2,3))&amp;" | Total Day "&amp;MAX(0,NETWORKDAYS($L932,TODAY(),Holidays)-1))</f>
        <v/>
      </c>
      <c r="W932" s="17">
        <f>IF($L932="","",COUNT($L932:$Q932))</f>
        <v/>
      </c>
      <c r="X932" s="18">
        <f>IF($W932="","",INT(INDEX($L932:$Q932,$W932)))</f>
        <v/>
      </c>
      <c r="Y932" s="18">
        <f>IF(OR($W932="",$W932=6),"",WORKDAY($X932,CHOOSE($W932,3,3,2,2,3),Holidays))</f>
        <v/>
      </c>
      <c r="Z932" s="17">
        <f>IF(OR($W932="",$W932=6),"",CHOOSE($W932,"1st Email Follow-up","2nd Email Follow-up","Escalate Local Office","Escalate to CBE","Escalate to Roxanne"))</f>
        <v/>
      </c>
    </row>
    <row r="933" spans="18:26">
      <c r="R933" s="15"/>
      <c r="S933" s="16"/>
      <c r="T933" s="17">
        <f>IF(AND(COUNTA($A933:$K933)=0,$L933=""),"",IF($S933="Paid","PAID",IF($S933="Closed","CLOSED",IF($W933="","",IF($W933=6,"ESCALATED TO ROXANNE",IF(TODAY()&gt;$Y933,"OVERDUE",IF($Y933&lt;=WORKDAY(TODAY(),1,Holidays),"DUE TOMORROW",IF($W933=4,"ESCALATED TO LOCAL OFFICE",IF($W933=5,"ESCALATED TO CBE",IF($X933=TODAY(),"EMAIL SENT","MONITORING"))))))))))</f>
        <v/>
      </c>
      <c r="U933" s="17">
        <f>IF($T933="",IF(AND(COUNTA($A933:$K933)&gt;0,$L933=""),"Awaiting Collection Email time stamp.",""),IF(OR($T933="PAID",$T933="CLOSED"),IF($T933="PAID","Account paid. Action completed.","Account closed. No further action required."),CHOOSE($W933,"Collection Email","1st Email Follow-up","2nd Email Follow-up","Escalation to Local Office","Escalation to CBE","Escalation to Roxanne")&amp;" sent "&amp;TEXT($X933,"dd-mmm")&amp;". "&amp;IF($W933=6,"Final escalation completed.",IF($T933="OVERDUE","Next: "&amp;$Z933&amp;" was due "&amp;TEXT($Y933,"dd-mmm")&amp;" - "&amp;(NETWORKDAYS($Y933,TODAY(),Holidays)-1)&amp;" business day(s) late. Send now.",IF($T933="DUE TOMORROW","Next: "&amp;$Z933&amp;IF($Y933&lt;=TODAY()," is due TODAY ("," is due next business day (")&amp;TEXT($Y933,"dd-mmm")&amp;").","Next: "&amp;$Z933&amp;" due "&amp;TEXT($Y933,"dd-mmm")&amp;" ("&amp;(NETWORKDAYS(TODAY(),$Y933,Holidays)-1)&amp;" business day(s) left).")))))</f>
        <v/>
      </c>
      <c r="V933" s="17">
        <f>IF($W933="","",CHOOSE($W933,"Collection Email","1st Follow-up","2nd Follow-up","Local Office","CBE","Roxanne")&amp;IF($W933=6," - Final"," - Day "&amp;MAX(0,NETWORKDAYS($X933,TODAY(),Holidays)-1)&amp;" of "&amp;CHOOSE($W933,3,3,2,2,3))&amp;" | Total Day "&amp;MAX(0,NETWORKDAYS($L933,TODAY(),Holidays)-1))</f>
        <v/>
      </c>
      <c r="W933" s="17">
        <f>IF($L933="","",COUNT($L933:$Q933))</f>
        <v/>
      </c>
      <c r="X933" s="18">
        <f>IF($W933="","",INT(INDEX($L933:$Q933,$W933)))</f>
        <v/>
      </c>
      <c r="Y933" s="18">
        <f>IF(OR($W933="",$W933=6),"",WORKDAY($X933,CHOOSE($W933,3,3,2,2,3),Holidays))</f>
        <v/>
      </c>
      <c r="Z933" s="17">
        <f>IF(OR($W933="",$W933=6),"",CHOOSE($W933,"1st Email Follow-up","2nd Email Follow-up","Escalate Local Office","Escalate to CBE","Escalate to Roxanne"))</f>
        <v/>
      </c>
    </row>
    <row r="934" spans="18:26">
      <c r="R934" s="15"/>
      <c r="S934" s="16"/>
      <c r="T934" s="17">
        <f>IF(AND(COUNTA($A934:$K934)=0,$L934=""),"",IF($S934="Paid","PAID",IF($S934="Closed","CLOSED",IF($W934="","",IF($W934=6,"ESCALATED TO ROXANNE",IF(TODAY()&gt;$Y934,"OVERDUE",IF($Y934&lt;=WORKDAY(TODAY(),1,Holidays),"DUE TOMORROW",IF($W934=4,"ESCALATED TO LOCAL OFFICE",IF($W934=5,"ESCALATED TO CBE",IF($X934=TODAY(),"EMAIL SENT","MONITORING"))))))))))</f>
        <v/>
      </c>
      <c r="U934" s="17">
        <f>IF($T934="",IF(AND(COUNTA($A934:$K934)&gt;0,$L934=""),"Awaiting Collection Email time stamp.",""),IF(OR($T934="PAID",$T934="CLOSED"),IF($T934="PAID","Account paid. Action completed.","Account closed. No further action required."),CHOOSE($W934,"Collection Email","1st Email Follow-up","2nd Email Follow-up","Escalation to Local Office","Escalation to CBE","Escalation to Roxanne")&amp;" sent "&amp;TEXT($X934,"dd-mmm")&amp;". "&amp;IF($W934=6,"Final escalation completed.",IF($T934="OVERDUE","Next: "&amp;$Z934&amp;" was due "&amp;TEXT($Y934,"dd-mmm")&amp;" - "&amp;(NETWORKDAYS($Y934,TODAY(),Holidays)-1)&amp;" business day(s) late. Send now.",IF($T934="DUE TOMORROW","Next: "&amp;$Z934&amp;IF($Y934&lt;=TODAY()," is due TODAY ("," is due next business day (")&amp;TEXT($Y934,"dd-mmm")&amp;").","Next: "&amp;$Z934&amp;" due "&amp;TEXT($Y934,"dd-mmm")&amp;" ("&amp;(NETWORKDAYS(TODAY(),$Y934,Holidays)-1)&amp;" business day(s) left).")))))</f>
        <v/>
      </c>
      <c r="V934" s="17">
        <f>IF($W934="","",CHOOSE($W934,"Collection Email","1st Follow-up","2nd Follow-up","Local Office","CBE","Roxanne")&amp;IF($W934=6," - Final"," - Day "&amp;MAX(0,NETWORKDAYS($X934,TODAY(),Holidays)-1)&amp;" of "&amp;CHOOSE($W934,3,3,2,2,3))&amp;" | Total Day "&amp;MAX(0,NETWORKDAYS($L934,TODAY(),Holidays)-1))</f>
        <v/>
      </c>
      <c r="W934" s="17">
        <f>IF($L934="","",COUNT($L934:$Q934))</f>
        <v/>
      </c>
      <c r="X934" s="18">
        <f>IF($W934="","",INT(INDEX($L934:$Q934,$W934)))</f>
        <v/>
      </c>
      <c r="Y934" s="18">
        <f>IF(OR($W934="",$W934=6),"",WORKDAY($X934,CHOOSE($W934,3,3,2,2,3),Holidays))</f>
        <v/>
      </c>
      <c r="Z934" s="17">
        <f>IF(OR($W934="",$W934=6),"",CHOOSE($W934,"1st Email Follow-up","2nd Email Follow-up","Escalate Local Office","Escalate to CBE","Escalate to Roxanne"))</f>
        <v/>
      </c>
    </row>
    <row r="935" spans="18:26">
      <c r="R935" s="15"/>
      <c r="S935" s="16"/>
      <c r="T935" s="17">
        <f>IF(AND(COUNTA($A935:$K935)=0,$L935=""),"",IF($S935="Paid","PAID",IF($S935="Closed","CLOSED",IF($W935="","",IF($W935=6,"ESCALATED TO ROXANNE",IF(TODAY()&gt;$Y935,"OVERDUE",IF($Y935&lt;=WORKDAY(TODAY(),1,Holidays),"DUE TOMORROW",IF($W935=4,"ESCALATED TO LOCAL OFFICE",IF($W935=5,"ESCALATED TO CBE",IF($X935=TODAY(),"EMAIL SENT","MONITORING"))))))))))</f>
        <v/>
      </c>
      <c r="U935" s="17">
        <f>IF($T935="",IF(AND(COUNTA($A935:$K935)&gt;0,$L935=""),"Awaiting Collection Email time stamp.",""),IF(OR($T935="PAID",$T935="CLOSED"),IF($T935="PAID","Account paid. Action completed.","Account closed. No further action required."),CHOOSE($W935,"Collection Email","1st Email Follow-up","2nd Email Follow-up","Escalation to Local Office","Escalation to CBE","Escalation to Roxanne")&amp;" sent "&amp;TEXT($X935,"dd-mmm")&amp;". "&amp;IF($W935=6,"Final escalation completed.",IF($T935="OVERDUE","Next: "&amp;$Z935&amp;" was due "&amp;TEXT($Y935,"dd-mmm")&amp;" - "&amp;(NETWORKDAYS($Y935,TODAY(),Holidays)-1)&amp;" business day(s) late. Send now.",IF($T935="DUE TOMORROW","Next: "&amp;$Z935&amp;IF($Y935&lt;=TODAY()," is due TODAY ("," is due next business day (")&amp;TEXT($Y935,"dd-mmm")&amp;").","Next: "&amp;$Z935&amp;" due "&amp;TEXT($Y935,"dd-mmm")&amp;" ("&amp;(NETWORKDAYS(TODAY(),$Y935,Holidays)-1)&amp;" business day(s) left).")))))</f>
        <v/>
      </c>
      <c r="V935" s="17">
        <f>IF($W935="","",CHOOSE($W935,"Collection Email","1st Follow-up","2nd Follow-up","Local Office","CBE","Roxanne")&amp;IF($W935=6," - Final"," - Day "&amp;MAX(0,NETWORKDAYS($X935,TODAY(),Holidays)-1)&amp;" of "&amp;CHOOSE($W935,3,3,2,2,3))&amp;" | Total Day "&amp;MAX(0,NETWORKDAYS($L935,TODAY(),Holidays)-1))</f>
        <v/>
      </c>
      <c r="W935" s="17">
        <f>IF($L935="","",COUNT($L935:$Q935))</f>
        <v/>
      </c>
      <c r="X935" s="18">
        <f>IF($W935="","",INT(INDEX($L935:$Q935,$W935)))</f>
        <v/>
      </c>
      <c r="Y935" s="18">
        <f>IF(OR($W935="",$W935=6),"",WORKDAY($X935,CHOOSE($W935,3,3,2,2,3),Holidays))</f>
        <v/>
      </c>
      <c r="Z935" s="17">
        <f>IF(OR($W935="",$W935=6),"",CHOOSE($W935,"1st Email Follow-up","2nd Email Follow-up","Escalate Local Office","Escalate to CBE","Escalate to Roxanne"))</f>
        <v/>
      </c>
    </row>
    <row r="936" spans="18:26">
      <c r="R936" s="15"/>
      <c r="S936" s="16"/>
      <c r="T936" s="17">
        <f>IF(AND(COUNTA($A936:$K936)=0,$L936=""),"",IF($S936="Paid","PAID",IF($S936="Closed","CLOSED",IF($W936="","",IF($W936=6,"ESCALATED TO ROXANNE",IF(TODAY()&gt;$Y936,"OVERDUE",IF($Y936&lt;=WORKDAY(TODAY(),1,Holidays),"DUE TOMORROW",IF($W936=4,"ESCALATED TO LOCAL OFFICE",IF($W936=5,"ESCALATED TO CBE",IF($X936=TODAY(),"EMAIL SENT","MONITORING"))))))))))</f>
        <v/>
      </c>
      <c r="U936" s="17">
        <f>IF($T936="",IF(AND(COUNTA($A936:$K936)&gt;0,$L936=""),"Awaiting Collection Email time stamp.",""),IF(OR($T936="PAID",$T936="CLOSED"),IF($T936="PAID","Account paid. Action completed.","Account closed. No further action required."),CHOOSE($W936,"Collection Email","1st Email Follow-up","2nd Email Follow-up","Escalation to Local Office","Escalation to CBE","Escalation to Roxanne")&amp;" sent "&amp;TEXT($X936,"dd-mmm")&amp;". "&amp;IF($W936=6,"Final escalation completed.",IF($T936="OVERDUE","Next: "&amp;$Z936&amp;" was due "&amp;TEXT($Y936,"dd-mmm")&amp;" - "&amp;(NETWORKDAYS($Y936,TODAY(),Holidays)-1)&amp;" business day(s) late. Send now.",IF($T936="DUE TOMORROW","Next: "&amp;$Z936&amp;IF($Y936&lt;=TODAY()," is due TODAY ("," is due next business day (")&amp;TEXT($Y936,"dd-mmm")&amp;").","Next: "&amp;$Z936&amp;" due "&amp;TEXT($Y936,"dd-mmm")&amp;" ("&amp;(NETWORKDAYS(TODAY(),$Y936,Holidays)-1)&amp;" business day(s) left).")))))</f>
        <v/>
      </c>
      <c r="V936" s="17">
        <f>IF($W936="","",CHOOSE($W936,"Collection Email","1st Follow-up","2nd Follow-up","Local Office","CBE","Roxanne")&amp;IF($W936=6," - Final"," - Day "&amp;MAX(0,NETWORKDAYS($X936,TODAY(),Holidays)-1)&amp;" of "&amp;CHOOSE($W936,3,3,2,2,3))&amp;" | Total Day "&amp;MAX(0,NETWORKDAYS($L936,TODAY(),Holidays)-1))</f>
        <v/>
      </c>
      <c r="W936" s="17">
        <f>IF($L936="","",COUNT($L936:$Q936))</f>
        <v/>
      </c>
      <c r="X936" s="18">
        <f>IF($W936="","",INT(INDEX($L936:$Q936,$W936)))</f>
        <v/>
      </c>
      <c r="Y936" s="18">
        <f>IF(OR($W936="",$W936=6),"",WORKDAY($X936,CHOOSE($W936,3,3,2,2,3),Holidays))</f>
        <v/>
      </c>
      <c r="Z936" s="17">
        <f>IF(OR($W936="",$W936=6),"",CHOOSE($W936,"1st Email Follow-up","2nd Email Follow-up","Escalate Local Office","Escalate to CBE","Escalate to Roxanne"))</f>
        <v/>
      </c>
    </row>
    <row r="937" spans="18:26">
      <c r="R937" s="15"/>
      <c r="S937" s="16"/>
      <c r="T937" s="17">
        <f>IF(AND(COUNTA($A937:$K937)=0,$L937=""),"",IF($S937="Paid","PAID",IF($S937="Closed","CLOSED",IF($W937="","",IF($W937=6,"ESCALATED TO ROXANNE",IF(TODAY()&gt;$Y937,"OVERDUE",IF($Y937&lt;=WORKDAY(TODAY(),1,Holidays),"DUE TOMORROW",IF($W937=4,"ESCALATED TO LOCAL OFFICE",IF($W937=5,"ESCALATED TO CBE",IF($X937=TODAY(),"EMAIL SENT","MONITORING"))))))))))</f>
        <v/>
      </c>
      <c r="U937" s="17">
        <f>IF($T937="",IF(AND(COUNTA($A937:$K937)&gt;0,$L937=""),"Awaiting Collection Email time stamp.",""),IF(OR($T937="PAID",$T937="CLOSED"),IF($T937="PAID","Account paid. Action completed.","Account closed. No further action required."),CHOOSE($W937,"Collection Email","1st Email Follow-up","2nd Email Follow-up","Escalation to Local Office","Escalation to CBE","Escalation to Roxanne")&amp;" sent "&amp;TEXT($X937,"dd-mmm")&amp;". "&amp;IF($W937=6,"Final escalation completed.",IF($T937="OVERDUE","Next: "&amp;$Z937&amp;" was due "&amp;TEXT($Y937,"dd-mmm")&amp;" - "&amp;(NETWORKDAYS($Y937,TODAY(),Holidays)-1)&amp;" business day(s) late. Send now.",IF($T937="DUE TOMORROW","Next: "&amp;$Z937&amp;IF($Y937&lt;=TODAY()," is due TODAY ("," is due next business day (")&amp;TEXT($Y937,"dd-mmm")&amp;").","Next: "&amp;$Z937&amp;" due "&amp;TEXT($Y937,"dd-mmm")&amp;" ("&amp;(NETWORKDAYS(TODAY(),$Y937,Holidays)-1)&amp;" business day(s) left).")))))</f>
        <v/>
      </c>
      <c r="V937" s="17">
        <f>IF($W937="","",CHOOSE($W937,"Collection Email","1st Follow-up","2nd Follow-up","Local Office","CBE","Roxanne")&amp;IF($W937=6," - Final"," - Day "&amp;MAX(0,NETWORKDAYS($X937,TODAY(),Holidays)-1)&amp;" of "&amp;CHOOSE($W937,3,3,2,2,3))&amp;" | Total Day "&amp;MAX(0,NETWORKDAYS($L937,TODAY(),Holidays)-1))</f>
        <v/>
      </c>
      <c r="W937" s="17">
        <f>IF($L937="","",COUNT($L937:$Q937))</f>
        <v/>
      </c>
      <c r="X937" s="18">
        <f>IF($W937="","",INT(INDEX($L937:$Q937,$W937)))</f>
        <v/>
      </c>
      <c r="Y937" s="18">
        <f>IF(OR($W937="",$W937=6),"",WORKDAY($X937,CHOOSE($W937,3,3,2,2,3),Holidays))</f>
        <v/>
      </c>
      <c r="Z937" s="17">
        <f>IF(OR($W937="",$W937=6),"",CHOOSE($W937,"1st Email Follow-up","2nd Email Follow-up","Escalate Local Office","Escalate to CBE","Escalate to Roxanne"))</f>
        <v/>
      </c>
    </row>
    <row r="938" spans="18:26">
      <c r="R938" s="15"/>
      <c r="S938" s="16"/>
      <c r="T938" s="17">
        <f>IF(AND(COUNTA($A938:$K938)=0,$L938=""),"",IF($S938="Paid","PAID",IF($S938="Closed","CLOSED",IF($W938="","",IF($W938=6,"ESCALATED TO ROXANNE",IF(TODAY()&gt;$Y938,"OVERDUE",IF($Y938&lt;=WORKDAY(TODAY(),1,Holidays),"DUE TOMORROW",IF($W938=4,"ESCALATED TO LOCAL OFFICE",IF($W938=5,"ESCALATED TO CBE",IF($X938=TODAY(),"EMAIL SENT","MONITORING"))))))))))</f>
        <v/>
      </c>
      <c r="U938" s="17">
        <f>IF($T938="",IF(AND(COUNTA($A938:$K938)&gt;0,$L938=""),"Awaiting Collection Email time stamp.",""),IF(OR($T938="PAID",$T938="CLOSED"),IF($T938="PAID","Account paid. Action completed.","Account closed. No further action required."),CHOOSE($W938,"Collection Email","1st Email Follow-up","2nd Email Follow-up","Escalation to Local Office","Escalation to CBE","Escalation to Roxanne")&amp;" sent "&amp;TEXT($X938,"dd-mmm")&amp;". "&amp;IF($W938=6,"Final escalation completed.",IF($T938="OVERDUE","Next: "&amp;$Z938&amp;" was due "&amp;TEXT($Y938,"dd-mmm")&amp;" - "&amp;(NETWORKDAYS($Y938,TODAY(),Holidays)-1)&amp;" business day(s) late. Send now.",IF($T938="DUE TOMORROW","Next: "&amp;$Z938&amp;IF($Y938&lt;=TODAY()," is due TODAY ("," is due next business day (")&amp;TEXT($Y938,"dd-mmm")&amp;").","Next: "&amp;$Z938&amp;" due "&amp;TEXT($Y938,"dd-mmm")&amp;" ("&amp;(NETWORKDAYS(TODAY(),$Y938,Holidays)-1)&amp;" business day(s) left).")))))</f>
        <v/>
      </c>
      <c r="V938" s="17">
        <f>IF($W938="","",CHOOSE($W938,"Collection Email","1st Follow-up","2nd Follow-up","Local Office","CBE","Roxanne")&amp;IF($W938=6," - Final"," - Day "&amp;MAX(0,NETWORKDAYS($X938,TODAY(),Holidays)-1)&amp;" of "&amp;CHOOSE($W938,3,3,2,2,3))&amp;" | Total Day "&amp;MAX(0,NETWORKDAYS($L938,TODAY(),Holidays)-1))</f>
        <v/>
      </c>
      <c r="W938" s="17">
        <f>IF($L938="","",COUNT($L938:$Q938))</f>
        <v/>
      </c>
      <c r="X938" s="18">
        <f>IF($W938="","",INT(INDEX($L938:$Q938,$W938)))</f>
        <v/>
      </c>
      <c r="Y938" s="18">
        <f>IF(OR($W938="",$W938=6),"",WORKDAY($X938,CHOOSE($W938,3,3,2,2,3),Holidays))</f>
        <v/>
      </c>
      <c r="Z938" s="17">
        <f>IF(OR($W938="",$W938=6),"",CHOOSE($W938,"1st Email Follow-up","2nd Email Follow-up","Escalate Local Office","Escalate to CBE","Escalate to Roxanne"))</f>
        <v/>
      </c>
    </row>
    <row r="939" spans="18:26">
      <c r="R939" s="15"/>
      <c r="S939" s="16"/>
      <c r="T939" s="17">
        <f>IF(AND(COUNTA($A939:$K939)=0,$L939=""),"",IF($S939="Paid","PAID",IF($S939="Closed","CLOSED",IF($W939="","",IF($W939=6,"ESCALATED TO ROXANNE",IF(TODAY()&gt;$Y939,"OVERDUE",IF($Y939&lt;=WORKDAY(TODAY(),1,Holidays),"DUE TOMORROW",IF($W939=4,"ESCALATED TO LOCAL OFFICE",IF($W939=5,"ESCALATED TO CBE",IF($X939=TODAY(),"EMAIL SENT","MONITORING"))))))))))</f>
        <v/>
      </c>
      <c r="U939" s="17">
        <f>IF($T939="",IF(AND(COUNTA($A939:$K939)&gt;0,$L939=""),"Awaiting Collection Email time stamp.",""),IF(OR($T939="PAID",$T939="CLOSED"),IF($T939="PAID","Account paid. Action completed.","Account closed. No further action required."),CHOOSE($W939,"Collection Email","1st Email Follow-up","2nd Email Follow-up","Escalation to Local Office","Escalation to CBE","Escalation to Roxanne")&amp;" sent "&amp;TEXT($X939,"dd-mmm")&amp;". "&amp;IF($W939=6,"Final escalation completed.",IF($T939="OVERDUE","Next: "&amp;$Z939&amp;" was due "&amp;TEXT($Y939,"dd-mmm")&amp;" - "&amp;(NETWORKDAYS($Y939,TODAY(),Holidays)-1)&amp;" business day(s) late. Send now.",IF($T939="DUE TOMORROW","Next: "&amp;$Z939&amp;IF($Y939&lt;=TODAY()," is due TODAY ("," is due next business day (")&amp;TEXT($Y939,"dd-mmm")&amp;").","Next: "&amp;$Z939&amp;" due "&amp;TEXT($Y939,"dd-mmm")&amp;" ("&amp;(NETWORKDAYS(TODAY(),$Y939,Holidays)-1)&amp;" business day(s) left).")))))</f>
        <v/>
      </c>
      <c r="V939" s="17">
        <f>IF($W939="","",CHOOSE($W939,"Collection Email","1st Follow-up","2nd Follow-up","Local Office","CBE","Roxanne")&amp;IF($W939=6," - Final"," - Day "&amp;MAX(0,NETWORKDAYS($X939,TODAY(),Holidays)-1)&amp;" of "&amp;CHOOSE($W939,3,3,2,2,3))&amp;" | Total Day "&amp;MAX(0,NETWORKDAYS($L939,TODAY(),Holidays)-1))</f>
        <v/>
      </c>
      <c r="W939" s="17">
        <f>IF($L939="","",COUNT($L939:$Q939))</f>
        <v/>
      </c>
      <c r="X939" s="18">
        <f>IF($W939="","",INT(INDEX($L939:$Q939,$W939)))</f>
        <v/>
      </c>
      <c r="Y939" s="18">
        <f>IF(OR($W939="",$W939=6),"",WORKDAY($X939,CHOOSE($W939,3,3,2,2,3),Holidays))</f>
        <v/>
      </c>
      <c r="Z939" s="17">
        <f>IF(OR($W939="",$W939=6),"",CHOOSE($W939,"1st Email Follow-up","2nd Email Follow-up","Escalate Local Office","Escalate to CBE","Escalate to Roxanne"))</f>
        <v/>
      </c>
    </row>
    <row r="940" spans="18:26">
      <c r="R940" s="15"/>
      <c r="S940" s="16"/>
      <c r="T940" s="17">
        <f>IF(AND(COUNTA($A940:$K940)=0,$L940=""),"",IF($S940="Paid","PAID",IF($S940="Closed","CLOSED",IF($W940="","",IF($W940=6,"ESCALATED TO ROXANNE",IF(TODAY()&gt;$Y940,"OVERDUE",IF($Y940&lt;=WORKDAY(TODAY(),1,Holidays),"DUE TOMORROW",IF($W940=4,"ESCALATED TO LOCAL OFFICE",IF($W940=5,"ESCALATED TO CBE",IF($X940=TODAY(),"EMAIL SENT","MONITORING"))))))))))</f>
        <v/>
      </c>
      <c r="U940" s="17">
        <f>IF($T940="",IF(AND(COUNTA($A940:$K940)&gt;0,$L940=""),"Awaiting Collection Email time stamp.",""),IF(OR($T940="PAID",$T940="CLOSED"),IF($T940="PAID","Account paid. Action completed.","Account closed. No further action required."),CHOOSE($W940,"Collection Email","1st Email Follow-up","2nd Email Follow-up","Escalation to Local Office","Escalation to CBE","Escalation to Roxanne")&amp;" sent "&amp;TEXT($X940,"dd-mmm")&amp;". "&amp;IF($W940=6,"Final escalation completed.",IF($T940="OVERDUE","Next: "&amp;$Z940&amp;" was due "&amp;TEXT($Y940,"dd-mmm")&amp;" - "&amp;(NETWORKDAYS($Y940,TODAY(),Holidays)-1)&amp;" business day(s) late. Send now.",IF($T940="DUE TOMORROW","Next: "&amp;$Z940&amp;IF($Y940&lt;=TODAY()," is due TODAY ("," is due next business day (")&amp;TEXT($Y940,"dd-mmm")&amp;").","Next: "&amp;$Z940&amp;" due "&amp;TEXT($Y940,"dd-mmm")&amp;" ("&amp;(NETWORKDAYS(TODAY(),$Y940,Holidays)-1)&amp;" business day(s) left).")))))</f>
        <v/>
      </c>
      <c r="V940" s="17">
        <f>IF($W940="","",CHOOSE($W940,"Collection Email","1st Follow-up","2nd Follow-up","Local Office","CBE","Roxanne")&amp;IF($W940=6," - Final"," - Day "&amp;MAX(0,NETWORKDAYS($X940,TODAY(),Holidays)-1)&amp;" of "&amp;CHOOSE($W940,3,3,2,2,3))&amp;" | Total Day "&amp;MAX(0,NETWORKDAYS($L940,TODAY(),Holidays)-1))</f>
        <v/>
      </c>
      <c r="W940" s="17">
        <f>IF($L940="","",COUNT($L940:$Q940))</f>
        <v/>
      </c>
      <c r="X940" s="18">
        <f>IF($W940="","",INT(INDEX($L940:$Q940,$W940)))</f>
        <v/>
      </c>
      <c r="Y940" s="18">
        <f>IF(OR($W940="",$W940=6),"",WORKDAY($X940,CHOOSE($W940,3,3,2,2,3),Holidays))</f>
        <v/>
      </c>
      <c r="Z940" s="17">
        <f>IF(OR($W940="",$W940=6),"",CHOOSE($W940,"1st Email Follow-up","2nd Email Follow-up","Escalate Local Office","Escalate to CBE","Escalate to Roxanne"))</f>
        <v/>
      </c>
    </row>
    <row r="941" spans="18:26">
      <c r="R941" s="15"/>
      <c r="S941" s="16"/>
      <c r="T941" s="17">
        <f>IF(AND(COUNTA($A941:$K941)=0,$L941=""),"",IF($S941="Paid","PAID",IF($S941="Closed","CLOSED",IF($W941="","",IF($W941=6,"ESCALATED TO ROXANNE",IF(TODAY()&gt;$Y941,"OVERDUE",IF($Y941&lt;=WORKDAY(TODAY(),1,Holidays),"DUE TOMORROW",IF($W941=4,"ESCALATED TO LOCAL OFFICE",IF($W941=5,"ESCALATED TO CBE",IF($X941=TODAY(),"EMAIL SENT","MONITORING"))))))))))</f>
        <v/>
      </c>
      <c r="U941" s="17">
        <f>IF($T941="",IF(AND(COUNTA($A941:$K941)&gt;0,$L941=""),"Awaiting Collection Email time stamp.",""),IF(OR($T941="PAID",$T941="CLOSED"),IF($T941="PAID","Account paid. Action completed.","Account closed. No further action required."),CHOOSE($W941,"Collection Email","1st Email Follow-up","2nd Email Follow-up","Escalation to Local Office","Escalation to CBE","Escalation to Roxanne")&amp;" sent "&amp;TEXT($X941,"dd-mmm")&amp;". "&amp;IF($W941=6,"Final escalation completed.",IF($T941="OVERDUE","Next: "&amp;$Z941&amp;" was due "&amp;TEXT($Y941,"dd-mmm")&amp;" - "&amp;(NETWORKDAYS($Y941,TODAY(),Holidays)-1)&amp;" business day(s) late. Send now.",IF($T941="DUE TOMORROW","Next: "&amp;$Z941&amp;IF($Y941&lt;=TODAY()," is due TODAY ("," is due next business day (")&amp;TEXT($Y941,"dd-mmm")&amp;").","Next: "&amp;$Z941&amp;" due "&amp;TEXT($Y941,"dd-mmm")&amp;" ("&amp;(NETWORKDAYS(TODAY(),$Y941,Holidays)-1)&amp;" business day(s) left).")))))</f>
        <v/>
      </c>
      <c r="V941" s="17">
        <f>IF($W941="","",CHOOSE($W941,"Collection Email","1st Follow-up","2nd Follow-up","Local Office","CBE","Roxanne")&amp;IF($W941=6," - Final"," - Day "&amp;MAX(0,NETWORKDAYS($X941,TODAY(),Holidays)-1)&amp;" of "&amp;CHOOSE($W941,3,3,2,2,3))&amp;" | Total Day "&amp;MAX(0,NETWORKDAYS($L941,TODAY(),Holidays)-1))</f>
        <v/>
      </c>
      <c r="W941" s="17">
        <f>IF($L941="","",COUNT($L941:$Q941))</f>
        <v/>
      </c>
      <c r="X941" s="18">
        <f>IF($W941="","",INT(INDEX($L941:$Q941,$W941)))</f>
        <v/>
      </c>
      <c r="Y941" s="18">
        <f>IF(OR($W941="",$W941=6),"",WORKDAY($X941,CHOOSE($W941,3,3,2,2,3),Holidays))</f>
        <v/>
      </c>
      <c r="Z941" s="17">
        <f>IF(OR($W941="",$W941=6),"",CHOOSE($W941,"1st Email Follow-up","2nd Email Follow-up","Escalate Local Office","Escalate to CBE","Escalate to Roxanne"))</f>
        <v/>
      </c>
    </row>
    <row r="942" spans="18:26">
      <c r="R942" s="15"/>
      <c r="S942" s="16"/>
      <c r="T942" s="17">
        <f>IF(AND(COUNTA($A942:$K942)=0,$L942=""),"",IF($S942="Paid","PAID",IF($S942="Closed","CLOSED",IF($W942="","",IF($W942=6,"ESCALATED TO ROXANNE",IF(TODAY()&gt;$Y942,"OVERDUE",IF($Y942&lt;=WORKDAY(TODAY(),1,Holidays),"DUE TOMORROW",IF($W942=4,"ESCALATED TO LOCAL OFFICE",IF($W942=5,"ESCALATED TO CBE",IF($X942=TODAY(),"EMAIL SENT","MONITORING"))))))))))</f>
        <v/>
      </c>
      <c r="U942" s="17">
        <f>IF($T942="",IF(AND(COUNTA($A942:$K942)&gt;0,$L942=""),"Awaiting Collection Email time stamp.",""),IF(OR($T942="PAID",$T942="CLOSED"),IF($T942="PAID","Account paid. Action completed.","Account closed. No further action required."),CHOOSE($W942,"Collection Email","1st Email Follow-up","2nd Email Follow-up","Escalation to Local Office","Escalation to CBE","Escalation to Roxanne")&amp;" sent "&amp;TEXT($X942,"dd-mmm")&amp;". "&amp;IF($W942=6,"Final escalation completed.",IF($T942="OVERDUE","Next: "&amp;$Z942&amp;" was due "&amp;TEXT($Y942,"dd-mmm")&amp;" - "&amp;(NETWORKDAYS($Y942,TODAY(),Holidays)-1)&amp;" business day(s) late. Send now.",IF($T942="DUE TOMORROW","Next: "&amp;$Z942&amp;IF($Y942&lt;=TODAY()," is due TODAY ("," is due next business day (")&amp;TEXT($Y942,"dd-mmm")&amp;").","Next: "&amp;$Z942&amp;" due "&amp;TEXT($Y942,"dd-mmm")&amp;" ("&amp;(NETWORKDAYS(TODAY(),$Y942,Holidays)-1)&amp;" business day(s) left).")))))</f>
        <v/>
      </c>
      <c r="V942" s="17">
        <f>IF($W942="","",CHOOSE($W942,"Collection Email","1st Follow-up","2nd Follow-up","Local Office","CBE","Roxanne")&amp;IF($W942=6," - Final"," - Day "&amp;MAX(0,NETWORKDAYS($X942,TODAY(),Holidays)-1)&amp;" of "&amp;CHOOSE($W942,3,3,2,2,3))&amp;" | Total Day "&amp;MAX(0,NETWORKDAYS($L942,TODAY(),Holidays)-1))</f>
        <v/>
      </c>
      <c r="W942" s="17">
        <f>IF($L942="","",COUNT($L942:$Q942))</f>
        <v/>
      </c>
      <c r="X942" s="18">
        <f>IF($W942="","",INT(INDEX($L942:$Q942,$W942)))</f>
        <v/>
      </c>
      <c r="Y942" s="18">
        <f>IF(OR($W942="",$W942=6),"",WORKDAY($X942,CHOOSE($W942,3,3,2,2,3),Holidays))</f>
        <v/>
      </c>
      <c r="Z942" s="17">
        <f>IF(OR($W942="",$W942=6),"",CHOOSE($W942,"1st Email Follow-up","2nd Email Follow-up","Escalate Local Office","Escalate to CBE","Escalate to Roxanne"))</f>
        <v/>
      </c>
    </row>
    <row r="943" spans="18:26">
      <c r="R943" s="15"/>
      <c r="S943" s="16"/>
      <c r="T943" s="17">
        <f>IF(AND(COUNTA($A943:$K943)=0,$L943=""),"",IF($S943="Paid","PAID",IF($S943="Closed","CLOSED",IF($W943="","",IF($W943=6,"ESCALATED TO ROXANNE",IF(TODAY()&gt;$Y943,"OVERDUE",IF($Y943&lt;=WORKDAY(TODAY(),1,Holidays),"DUE TOMORROW",IF($W943=4,"ESCALATED TO LOCAL OFFICE",IF($W943=5,"ESCALATED TO CBE",IF($X943=TODAY(),"EMAIL SENT","MONITORING"))))))))))</f>
        <v/>
      </c>
      <c r="U943" s="17">
        <f>IF($T943="",IF(AND(COUNTA($A943:$K943)&gt;0,$L943=""),"Awaiting Collection Email time stamp.",""),IF(OR($T943="PAID",$T943="CLOSED"),IF($T943="PAID","Account paid. Action completed.","Account closed. No further action required."),CHOOSE($W943,"Collection Email","1st Email Follow-up","2nd Email Follow-up","Escalation to Local Office","Escalation to CBE","Escalation to Roxanne")&amp;" sent "&amp;TEXT($X943,"dd-mmm")&amp;". "&amp;IF($W943=6,"Final escalation completed.",IF($T943="OVERDUE","Next: "&amp;$Z943&amp;" was due "&amp;TEXT($Y943,"dd-mmm")&amp;" - "&amp;(NETWORKDAYS($Y943,TODAY(),Holidays)-1)&amp;" business day(s) late. Send now.",IF($T943="DUE TOMORROW","Next: "&amp;$Z943&amp;IF($Y943&lt;=TODAY()," is due TODAY ("," is due next business day (")&amp;TEXT($Y943,"dd-mmm")&amp;").","Next: "&amp;$Z943&amp;" due "&amp;TEXT($Y943,"dd-mmm")&amp;" ("&amp;(NETWORKDAYS(TODAY(),$Y943,Holidays)-1)&amp;" business day(s) left).")))))</f>
        <v/>
      </c>
      <c r="V943" s="17">
        <f>IF($W943="","",CHOOSE($W943,"Collection Email","1st Follow-up","2nd Follow-up","Local Office","CBE","Roxanne")&amp;IF($W943=6," - Final"," - Day "&amp;MAX(0,NETWORKDAYS($X943,TODAY(),Holidays)-1)&amp;" of "&amp;CHOOSE($W943,3,3,2,2,3))&amp;" | Total Day "&amp;MAX(0,NETWORKDAYS($L943,TODAY(),Holidays)-1))</f>
        <v/>
      </c>
      <c r="W943" s="17">
        <f>IF($L943="","",COUNT($L943:$Q943))</f>
        <v/>
      </c>
      <c r="X943" s="18">
        <f>IF($W943="","",INT(INDEX($L943:$Q943,$W943)))</f>
        <v/>
      </c>
      <c r="Y943" s="18">
        <f>IF(OR($W943="",$W943=6),"",WORKDAY($X943,CHOOSE($W943,3,3,2,2,3),Holidays))</f>
        <v/>
      </c>
      <c r="Z943" s="17">
        <f>IF(OR($W943="",$W943=6),"",CHOOSE($W943,"1st Email Follow-up","2nd Email Follow-up","Escalate Local Office","Escalate to CBE","Escalate to Roxanne"))</f>
        <v/>
      </c>
    </row>
    <row r="944" spans="18:26">
      <c r="R944" s="15"/>
      <c r="S944" s="16"/>
      <c r="T944" s="17">
        <f>IF(AND(COUNTA($A944:$K944)=0,$L944=""),"",IF($S944="Paid","PAID",IF($S944="Closed","CLOSED",IF($W944="","",IF($W944=6,"ESCALATED TO ROXANNE",IF(TODAY()&gt;$Y944,"OVERDUE",IF($Y944&lt;=WORKDAY(TODAY(),1,Holidays),"DUE TOMORROW",IF($W944=4,"ESCALATED TO LOCAL OFFICE",IF($W944=5,"ESCALATED TO CBE",IF($X944=TODAY(),"EMAIL SENT","MONITORING"))))))))))</f>
        <v/>
      </c>
      <c r="U944" s="17">
        <f>IF($T944="",IF(AND(COUNTA($A944:$K944)&gt;0,$L944=""),"Awaiting Collection Email time stamp.",""),IF(OR($T944="PAID",$T944="CLOSED"),IF($T944="PAID","Account paid. Action completed.","Account closed. No further action required."),CHOOSE($W944,"Collection Email","1st Email Follow-up","2nd Email Follow-up","Escalation to Local Office","Escalation to CBE","Escalation to Roxanne")&amp;" sent "&amp;TEXT($X944,"dd-mmm")&amp;". "&amp;IF($W944=6,"Final escalation completed.",IF($T944="OVERDUE","Next: "&amp;$Z944&amp;" was due "&amp;TEXT($Y944,"dd-mmm")&amp;" - "&amp;(NETWORKDAYS($Y944,TODAY(),Holidays)-1)&amp;" business day(s) late. Send now.",IF($T944="DUE TOMORROW","Next: "&amp;$Z944&amp;IF($Y944&lt;=TODAY()," is due TODAY ("," is due next business day (")&amp;TEXT($Y944,"dd-mmm")&amp;").","Next: "&amp;$Z944&amp;" due "&amp;TEXT($Y944,"dd-mmm")&amp;" ("&amp;(NETWORKDAYS(TODAY(),$Y944,Holidays)-1)&amp;" business day(s) left).")))))</f>
        <v/>
      </c>
      <c r="V944" s="17">
        <f>IF($W944="","",CHOOSE($W944,"Collection Email","1st Follow-up","2nd Follow-up","Local Office","CBE","Roxanne")&amp;IF($W944=6," - Final"," - Day "&amp;MAX(0,NETWORKDAYS($X944,TODAY(),Holidays)-1)&amp;" of "&amp;CHOOSE($W944,3,3,2,2,3))&amp;" | Total Day "&amp;MAX(0,NETWORKDAYS($L944,TODAY(),Holidays)-1))</f>
        <v/>
      </c>
      <c r="W944" s="17">
        <f>IF($L944="","",COUNT($L944:$Q944))</f>
        <v/>
      </c>
      <c r="X944" s="18">
        <f>IF($W944="","",INT(INDEX($L944:$Q944,$W944)))</f>
        <v/>
      </c>
      <c r="Y944" s="18">
        <f>IF(OR($W944="",$W944=6),"",WORKDAY($X944,CHOOSE($W944,3,3,2,2,3),Holidays))</f>
        <v/>
      </c>
      <c r="Z944" s="17">
        <f>IF(OR($W944="",$W944=6),"",CHOOSE($W944,"1st Email Follow-up","2nd Email Follow-up","Escalate Local Office","Escalate to CBE","Escalate to Roxanne"))</f>
        <v/>
      </c>
    </row>
    <row r="945" spans="18:26">
      <c r="R945" s="15"/>
      <c r="S945" s="16"/>
      <c r="T945" s="17">
        <f>IF(AND(COUNTA($A945:$K945)=0,$L945=""),"",IF($S945="Paid","PAID",IF($S945="Closed","CLOSED",IF($W945="","",IF($W945=6,"ESCALATED TO ROXANNE",IF(TODAY()&gt;$Y945,"OVERDUE",IF($Y945&lt;=WORKDAY(TODAY(),1,Holidays),"DUE TOMORROW",IF($W945=4,"ESCALATED TO LOCAL OFFICE",IF($W945=5,"ESCALATED TO CBE",IF($X945=TODAY(),"EMAIL SENT","MONITORING"))))))))))</f>
        <v/>
      </c>
      <c r="U945" s="17">
        <f>IF($T945="",IF(AND(COUNTA($A945:$K945)&gt;0,$L945=""),"Awaiting Collection Email time stamp.",""),IF(OR($T945="PAID",$T945="CLOSED"),IF($T945="PAID","Account paid. Action completed.","Account closed. No further action required."),CHOOSE($W945,"Collection Email","1st Email Follow-up","2nd Email Follow-up","Escalation to Local Office","Escalation to CBE","Escalation to Roxanne")&amp;" sent "&amp;TEXT($X945,"dd-mmm")&amp;". "&amp;IF($W945=6,"Final escalation completed.",IF($T945="OVERDUE","Next: "&amp;$Z945&amp;" was due "&amp;TEXT($Y945,"dd-mmm")&amp;" - "&amp;(NETWORKDAYS($Y945,TODAY(),Holidays)-1)&amp;" business day(s) late. Send now.",IF($T945="DUE TOMORROW","Next: "&amp;$Z945&amp;IF($Y945&lt;=TODAY()," is due TODAY ("," is due next business day (")&amp;TEXT($Y945,"dd-mmm")&amp;").","Next: "&amp;$Z945&amp;" due "&amp;TEXT($Y945,"dd-mmm")&amp;" ("&amp;(NETWORKDAYS(TODAY(),$Y945,Holidays)-1)&amp;" business day(s) left).")))))</f>
        <v/>
      </c>
      <c r="V945" s="17">
        <f>IF($W945="","",CHOOSE($W945,"Collection Email","1st Follow-up","2nd Follow-up","Local Office","CBE","Roxanne")&amp;IF($W945=6," - Final"," - Day "&amp;MAX(0,NETWORKDAYS($X945,TODAY(),Holidays)-1)&amp;" of "&amp;CHOOSE($W945,3,3,2,2,3))&amp;" | Total Day "&amp;MAX(0,NETWORKDAYS($L945,TODAY(),Holidays)-1))</f>
        <v/>
      </c>
      <c r="W945" s="17">
        <f>IF($L945="","",COUNT($L945:$Q945))</f>
        <v/>
      </c>
      <c r="X945" s="18">
        <f>IF($W945="","",INT(INDEX($L945:$Q945,$W945)))</f>
        <v/>
      </c>
      <c r="Y945" s="18">
        <f>IF(OR($W945="",$W945=6),"",WORKDAY($X945,CHOOSE($W945,3,3,2,2,3),Holidays))</f>
        <v/>
      </c>
      <c r="Z945" s="17">
        <f>IF(OR($W945="",$W945=6),"",CHOOSE($W945,"1st Email Follow-up","2nd Email Follow-up","Escalate Local Office","Escalate to CBE","Escalate to Roxanne"))</f>
        <v/>
      </c>
    </row>
    <row r="946" spans="18:26">
      <c r="R946" s="15"/>
      <c r="S946" s="16"/>
      <c r="T946" s="17">
        <f>IF(AND(COUNTA($A946:$K946)=0,$L946=""),"",IF($S946="Paid","PAID",IF($S946="Closed","CLOSED",IF($W946="","",IF($W946=6,"ESCALATED TO ROXANNE",IF(TODAY()&gt;$Y946,"OVERDUE",IF($Y946&lt;=WORKDAY(TODAY(),1,Holidays),"DUE TOMORROW",IF($W946=4,"ESCALATED TO LOCAL OFFICE",IF($W946=5,"ESCALATED TO CBE",IF($X946=TODAY(),"EMAIL SENT","MONITORING"))))))))))</f>
        <v/>
      </c>
      <c r="U946" s="17">
        <f>IF($T946="",IF(AND(COUNTA($A946:$K946)&gt;0,$L946=""),"Awaiting Collection Email time stamp.",""),IF(OR($T946="PAID",$T946="CLOSED"),IF($T946="PAID","Account paid. Action completed.","Account closed. No further action required."),CHOOSE($W946,"Collection Email","1st Email Follow-up","2nd Email Follow-up","Escalation to Local Office","Escalation to CBE","Escalation to Roxanne")&amp;" sent "&amp;TEXT($X946,"dd-mmm")&amp;". "&amp;IF($W946=6,"Final escalation completed.",IF($T946="OVERDUE","Next: "&amp;$Z946&amp;" was due "&amp;TEXT($Y946,"dd-mmm")&amp;" - "&amp;(NETWORKDAYS($Y946,TODAY(),Holidays)-1)&amp;" business day(s) late. Send now.",IF($T946="DUE TOMORROW","Next: "&amp;$Z946&amp;IF($Y946&lt;=TODAY()," is due TODAY ("," is due next business day (")&amp;TEXT($Y946,"dd-mmm")&amp;").","Next: "&amp;$Z946&amp;" due "&amp;TEXT($Y946,"dd-mmm")&amp;" ("&amp;(NETWORKDAYS(TODAY(),$Y946,Holidays)-1)&amp;" business day(s) left).")))))</f>
        <v/>
      </c>
      <c r="V946" s="17">
        <f>IF($W946="","",CHOOSE($W946,"Collection Email","1st Follow-up","2nd Follow-up","Local Office","CBE","Roxanne")&amp;IF($W946=6," - Final"," - Day "&amp;MAX(0,NETWORKDAYS($X946,TODAY(),Holidays)-1)&amp;" of "&amp;CHOOSE($W946,3,3,2,2,3))&amp;" | Total Day "&amp;MAX(0,NETWORKDAYS($L946,TODAY(),Holidays)-1))</f>
        <v/>
      </c>
      <c r="W946" s="17">
        <f>IF($L946="","",COUNT($L946:$Q946))</f>
        <v/>
      </c>
      <c r="X946" s="18">
        <f>IF($W946="","",INT(INDEX($L946:$Q946,$W946)))</f>
        <v/>
      </c>
      <c r="Y946" s="18">
        <f>IF(OR($W946="",$W946=6),"",WORKDAY($X946,CHOOSE($W946,3,3,2,2,3),Holidays))</f>
        <v/>
      </c>
      <c r="Z946" s="17">
        <f>IF(OR($W946="",$W946=6),"",CHOOSE($W946,"1st Email Follow-up","2nd Email Follow-up","Escalate Local Office","Escalate to CBE","Escalate to Roxanne"))</f>
        <v/>
      </c>
    </row>
    <row r="947" spans="18:26">
      <c r="R947" s="15"/>
      <c r="S947" s="16"/>
      <c r="T947" s="17">
        <f>IF(AND(COUNTA($A947:$K947)=0,$L947=""),"",IF($S947="Paid","PAID",IF($S947="Closed","CLOSED",IF($W947="","",IF($W947=6,"ESCALATED TO ROXANNE",IF(TODAY()&gt;$Y947,"OVERDUE",IF($Y947&lt;=WORKDAY(TODAY(),1,Holidays),"DUE TOMORROW",IF($W947=4,"ESCALATED TO LOCAL OFFICE",IF($W947=5,"ESCALATED TO CBE",IF($X947=TODAY(),"EMAIL SENT","MONITORING"))))))))))</f>
        <v/>
      </c>
      <c r="U947" s="17">
        <f>IF($T947="",IF(AND(COUNTA($A947:$K947)&gt;0,$L947=""),"Awaiting Collection Email time stamp.",""),IF(OR($T947="PAID",$T947="CLOSED"),IF($T947="PAID","Account paid. Action completed.","Account closed. No further action required."),CHOOSE($W947,"Collection Email","1st Email Follow-up","2nd Email Follow-up","Escalation to Local Office","Escalation to CBE","Escalation to Roxanne")&amp;" sent "&amp;TEXT($X947,"dd-mmm")&amp;". "&amp;IF($W947=6,"Final escalation completed.",IF($T947="OVERDUE","Next: "&amp;$Z947&amp;" was due "&amp;TEXT($Y947,"dd-mmm")&amp;" - "&amp;(NETWORKDAYS($Y947,TODAY(),Holidays)-1)&amp;" business day(s) late. Send now.",IF($T947="DUE TOMORROW","Next: "&amp;$Z947&amp;IF($Y947&lt;=TODAY()," is due TODAY ("," is due next business day (")&amp;TEXT($Y947,"dd-mmm")&amp;").","Next: "&amp;$Z947&amp;" due "&amp;TEXT($Y947,"dd-mmm")&amp;" ("&amp;(NETWORKDAYS(TODAY(),$Y947,Holidays)-1)&amp;" business day(s) left).")))))</f>
        <v/>
      </c>
      <c r="V947" s="17">
        <f>IF($W947="","",CHOOSE($W947,"Collection Email","1st Follow-up","2nd Follow-up","Local Office","CBE","Roxanne")&amp;IF($W947=6," - Final"," - Day "&amp;MAX(0,NETWORKDAYS($X947,TODAY(),Holidays)-1)&amp;" of "&amp;CHOOSE($W947,3,3,2,2,3))&amp;" | Total Day "&amp;MAX(0,NETWORKDAYS($L947,TODAY(),Holidays)-1))</f>
        <v/>
      </c>
      <c r="W947" s="17">
        <f>IF($L947="","",COUNT($L947:$Q947))</f>
        <v/>
      </c>
      <c r="X947" s="18">
        <f>IF($W947="","",INT(INDEX($L947:$Q947,$W947)))</f>
        <v/>
      </c>
      <c r="Y947" s="18">
        <f>IF(OR($W947="",$W947=6),"",WORKDAY($X947,CHOOSE($W947,3,3,2,2,3),Holidays))</f>
        <v/>
      </c>
      <c r="Z947" s="17">
        <f>IF(OR($W947="",$W947=6),"",CHOOSE($W947,"1st Email Follow-up","2nd Email Follow-up","Escalate Local Office","Escalate to CBE","Escalate to Roxanne"))</f>
        <v/>
      </c>
    </row>
    <row r="948" spans="18:26">
      <c r="R948" s="15"/>
      <c r="S948" s="16"/>
      <c r="T948" s="17">
        <f>IF(AND(COUNTA($A948:$K948)=0,$L948=""),"",IF($S948="Paid","PAID",IF($S948="Closed","CLOSED",IF($W948="","",IF($W948=6,"ESCALATED TO ROXANNE",IF(TODAY()&gt;$Y948,"OVERDUE",IF($Y948&lt;=WORKDAY(TODAY(),1,Holidays),"DUE TOMORROW",IF($W948=4,"ESCALATED TO LOCAL OFFICE",IF($W948=5,"ESCALATED TO CBE",IF($X948=TODAY(),"EMAIL SENT","MONITORING"))))))))))</f>
        <v/>
      </c>
      <c r="U948" s="17">
        <f>IF($T948="",IF(AND(COUNTA($A948:$K948)&gt;0,$L948=""),"Awaiting Collection Email time stamp.",""),IF(OR($T948="PAID",$T948="CLOSED"),IF($T948="PAID","Account paid. Action completed.","Account closed. No further action required."),CHOOSE($W948,"Collection Email","1st Email Follow-up","2nd Email Follow-up","Escalation to Local Office","Escalation to CBE","Escalation to Roxanne")&amp;" sent "&amp;TEXT($X948,"dd-mmm")&amp;". "&amp;IF($W948=6,"Final escalation completed.",IF($T948="OVERDUE","Next: "&amp;$Z948&amp;" was due "&amp;TEXT($Y948,"dd-mmm")&amp;" - "&amp;(NETWORKDAYS($Y948,TODAY(),Holidays)-1)&amp;" business day(s) late. Send now.",IF($T948="DUE TOMORROW","Next: "&amp;$Z948&amp;IF($Y948&lt;=TODAY()," is due TODAY ("," is due next business day (")&amp;TEXT($Y948,"dd-mmm")&amp;").","Next: "&amp;$Z948&amp;" due "&amp;TEXT($Y948,"dd-mmm")&amp;" ("&amp;(NETWORKDAYS(TODAY(),$Y948,Holidays)-1)&amp;" business day(s) left).")))))</f>
        <v/>
      </c>
      <c r="V948" s="17">
        <f>IF($W948="","",CHOOSE($W948,"Collection Email","1st Follow-up","2nd Follow-up","Local Office","CBE","Roxanne")&amp;IF($W948=6," - Final"," - Day "&amp;MAX(0,NETWORKDAYS($X948,TODAY(),Holidays)-1)&amp;" of "&amp;CHOOSE($W948,3,3,2,2,3))&amp;" | Total Day "&amp;MAX(0,NETWORKDAYS($L948,TODAY(),Holidays)-1))</f>
        <v/>
      </c>
      <c r="W948" s="17">
        <f>IF($L948="","",COUNT($L948:$Q948))</f>
        <v/>
      </c>
      <c r="X948" s="18">
        <f>IF($W948="","",INT(INDEX($L948:$Q948,$W948)))</f>
        <v/>
      </c>
      <c r="Y948" s="18">
        <f>IF(OR($W948="",$W948=6),"",WORKDAY($X948,CHOOSE($W948,3,3,2,2,3),Holidays))</f>
        <v/>
      </c>
      <c r="Z948" s="17">
        <f>IF(OR($W948="",$W948=6),"",CHOOSE($W948,"1st Email Follow-up","2nd Email Follow-up","Escalate Local Office","Escalate to CBE","Escalate to Roxanne"))</f>
        <v/>
      </c>
    </row>
    <row r="949" spans="18:26">
      <c r="R949" s="15"/>
      <c r="S949" s="16"/>
      <c r="T949" s="17">
        <f>IF(AND(COUNTA($A949:$K949)=0,$L949=""),"",IF($S949="Paid","PAID",IF($S949="Closed","CLOSED",IF($W949="","",IF($W949=6,"ESCALATED TO ROXANNE",IF(TODAY()&gt;$Y949,"OVERDUE",IF($Y949&lt;=WORKDAY(TODAY(),1,Holidays),"DUE TOMORROW",IF($W949=4,"ESCALATED TO LOCAL OFFICE",IF($W949=5,"ESCALATED TO CBE",IF($X949=TODAY(),"EMAIL SENT","MONITORING"))))))))))</f>
        <v/>
      </c>
      <c r="U949" s="17">
        <f>IF($T949="",IF(AND(COUNTA($A949:$K949)&gt;0,$L949=""),"Awaiting Collection Email time stamp.",""),IF(OR($T949="PAID",$T949="CLOSED"),IF($T949="PAID","Account paid. Action completed.","Account closed. No further action required."),CHOOSE($W949,"Collection Email","1st Email Follow-up","2nd Email Follow-up","Escalation to Local Office","Escalation to CBE","Escalation to Roxanne")&amp;" sent "&amp;TEXT($X949,"dd-mmm")&amp;". "&amp;IF($W949=6,"Final escalation completed.",IF($T949="OVERDUE","Next: "&amp;$Z949&amp;" was due "&amp;TEXT($Y949,"dd-mmm")&amp;" - "&amp;(NETWORKDAYS($Y949,TODAY(),Holidays)-1)&amp;" business day(s) late. Send now.",IF($T949="DUE TOMORROW","Next: "&amp;$Z949&amp;IF($Y949&lt;=TODAY()," is due TODAY ("," is due next business day (")&amp;TEXT($Y949,"dd-mmm")&amp;").","Next: "&amp;$Z949&amp;" due "&amp;TEXT($Y949,"dd-mmm")&amp;" ("&amp;(NETWORKDAYS(TODAY(),$Y949,Holidays)-1)&amp;" business day(s) left).")))))</f>
        <v/>
      </c>
      <c r="V949" s="17">
        <f>IF($W949="","",CHOOSE($W949,"Collection Email","1st Follow-up","2nd Follow-up","Local Office","CBE","Roxanne")&amp;IF($W949=6," - Final"," - Day "&amp;MAX(0,NETWORKDAYS($X949,TODAY(),Holidays)-1)&amp;" of "&amp;CHOOSE($W949,3,3,2,2,3))&amp;" | Total Day "&amp;MAX(0,NETWORKDAYS($L949,TODAY(),Holidays)-1))</f>
        <v/>
      </c>
      <c r="W949" s="17">
        <f>IF($L949="","",COUNT($L949:$Q949))</f>
        <v/>
      </c>
      <c r="X949" s="18">
        <f>IF($W949="","",INT(INDEX($L949:$Q949,$W949)))</f>
        <v/>
      </c>
      <c r="Y949" s="18">
        <f>IF(OR($W949="",$W949=6),"",WORKDAY($X949,CHOOSE($W949,3,3,2,2,3),Holidays))</f>
        <v/>
      </c>
      <c r="Z949" s="17">
        <f>IF(OR($W949="",$W949=6),"",CHOOSE($W949,"1st Email Follow-up","2nd Email Follow-up","Escalate Local Office","Escalate to CBE","Escalate to Roxanne"))</f>
        <v/>
      </c>
    </row>
    <row r="950" spans="18:26">
      <c r="R950" s="15"/>
      <c r="S950" s="16"/>
      <c r="T950" s="17">
        <f>IF(AND(COUNTA($A950:$K950)=0,$L950=""),"",IF($S950="Paid","PAID",IF($S950="Closed","CLOSED",IF($W950="","",IF($W950=6,"ESCALATED TO ROXANNE",IF(TODAY()&gt;$Y950,"OVERDUE",IF($Y950&lt;=WORKDAY(TODAY(),1,Holidays),"DUE TOMORROW",IF($W950=4,"ESCALATED TO LOCAL OFFICE",IF($W950=5,"ESCALATED TO CBE",IF($X950=TODAY(),"EMAIL SENT","MONITORING"))))))))))</f>
        <v/>
      </c>
      <c r="U950" s="17">
        <f>IF($T950="",IF(AND(COUNTA($A950:$K950)&gt;0,$L950=""),"Awaiting Collection Email time stamp.",""),IF(OR($T950="PAID",$T950="CLOSED"),IF($T950="PAID","Account paid. Action completed.","Account closed. No further action required."),CHOOSE($W950,"Collection Email","1st Email Follow-up","2nd Email Follow-up","Escalation to Local Office","Escalation to CBE","Escalation to Roxanne")&amp;" sent "&amp;TEXT($X950,"dd-mmm")&amp;". "&amp;IF($W950=6,"Final escalation completed.",IF($T950="OVERDUE","Next: "&amp;$Z950&amp;" was due "&amp;TEXT($Y950,"dd-mmm")&amp;" - "&amp;(NETWORKDAYS($Y950,TODAY(),Holidays)-1)&amp;" business day(s) late. Send now.",IF($T950="DUE TOMORROW","Next: "&amp;$Z950&amp;IF($Y950&lt;=TODAY()," is due TODAY ("," is due next business day (")&amp;TEXT($Y950,"dd-mmm")&amp;").","Next: "&amp;$Z950&amp;" due "&amp;TEXT($Y950,"dd-mmm")&amp;" ("&amp;(NETWORKDAYS(TODAY(),$Y950,Holidays)-1)&amp;" business day(s) left).")))))</f>
        <v/>
      </c>
      <c r="V950" s="17">
        <f>IF($W950="","",CHOOSE($W950,"Collection Email","1st Follow-up","2nd Follow-up","Local Office","CBE","Roxanne")&amp;IF($W950=6," - Final"," - Day "&amp;MAX(0,NETWORKDAYS($X950,TODAY(),Holidays)-1)&amp;" of "&amp;CHOOSE($W950,3,3,2,2,3))&amp;" | Total Day "&amp;MAX(0,NETWORKDAYS($L950,TODAY(),Holidays)-1))</f>
        <v/>
      </c>
      <c r="W950" s="17">
        <f>IF($L950="","",COUNT($L950:$Q950))</f>
        <v/>
      </c>
      <c r="X950" s="18">
        <f>IF($W950="","",INT(INDEX($L950:$Q950,$W950)))</f>
        <v/>
      </c>
      <c r="Y950" s="18">
        <f>IF(OR($W950="",$W950=6),"",WORKDAY($X950,CHOOSE($W950,3,3,2,2,3),Holidays))</f>
        <v/>
      </c>
      <c r="Z950" s="17">
        <f>IF(OR($W950="",$W950=6),"",CHOOSE($W950,"1st Email Follow-up","2nd Email Follow-up","Escalate Local Office","Escalate to CBE","Escalate to Roxanne"))</f>
        <v/>
      </c>
    </row>
    <row r="951" spans="18:26">
      <c r="R951" s="15"/>
      <c r="S951" s="16"/>
      <c r="T951" s="17">
        <f>IF(AND(COUNTA($A951:$K951)=0,$L951=""),"",IF($S951="Paid","PAID",IF($S951="Closed","CLOSED",IF($W951="","",IF($W951=6,"ESCALATED TO ROXANNE",IF(TODAY()&gt;$Y951,"OVERDUE",IF($Y951&lt;=WORKDAY(TODAY(),1,Holidays),"DUE TOMORROW",IF($W951=4,"ESCALATED TO LOCAL OFFICE",IF($W951=5,"ESCALATED TO CBE",IF($X951=TODAY(),"EMAIL SENT","MONITORING"))))))))))</f>
        <v/>
      </c>
      <c r="U951" s="17">
        <f>IF($T951="",IF(AND(COUNTA($A951:$K951)&gt;0,$L951=""),"Awaiting Collection Email time stamp.",""),IF(OR($T951="PAID",$T951="CLOSED"),IF($T951="PAID","Account paid. Action completed.","Account closed. No further action required."),CHOOSE($W951,"Collection Email","1st Email Follow-up","2nd Email Follow-up","Escalation to Local Office","Escalation to CBE","Escalation to Roxanne")&amp;" sent "&amp;TEXT($X951,"dd-mmm")&amp;". "&amp;IF($W951=6,"Final escalation completed.",IF($T951="OVERDUE","Next: "&amp;$Z951&amp;" was due "&amp;TEXT($Y951,"dd-mmm")&amp;" - "&amp;(NETWORKDAYS($Y951,TODAY(),Holidays)-1)&amp;" business day(s) late. Send now.",IF($T951="DUE TOMORROW","Next: "&amp;$Z951&amp;IF($Y951&lt;=TODAY()," is due TODAY ("," is due next business day (")&amp;TEXT($Y951,"dd-mmm")&amp;").","Next: "&amp;$Z951&amp;" due "&amp;TEXT($Y951,"dd-mmm")&amp;" ("&amp;(NETWORKDAYS(TODAY(),$Y951,Holidays)-1)&amp;" business day(s) left).")))))</f>
        <v/>
      </c>
      <c r="V951" s="17">
        <f>IF($W951="","",CHOOSE($W951,"Collection Email","1st Follow-up","2nd Follow-up","Local Office","CBE","Roxanne")&amp;IF($W951=6," - Final"," - Day "&amp;MAX(0,NETWORKDAYS($X951,TODAY(),Holidays)-1)&amp;" of "&amp;CHOOSE($W951,3,3,2,2,3))&amp;" | Total Day "&amp;MAX(0,NETWORKDAYS($L951,TODAY(),Holidays)-1))</f>
        <v/>
      </c>
      <c r="W951" s="17">
        <f>IF($L951="","",COUNT($L951:$Q951))</f>
        <v/>
      </c>
      <c r="X951" s="18">
        <f>IF($W951="","",INT(INDEX($L951:$Q951,$W951)))</f>
        <v/>
      </c>
      <c r="Y951" s="18">
        <f>IF(OR($W951="",$W951=6),"",WORKDAY($X951,CHOOSE($W951,3,3,2,2,3),Holidays))</f>
        <v/>
      </c>
      <c r="Z951" s="17">
        <f>IF(OR($W951="",$W951=6),"",CHOOSE($W951,"1st Email Follow-up","2nd Email Follow-up","Escalate Local Office","Escalate to CBE","Escalate to Roxanne"))</f>
        <v/>
      </c>
    </row>
    <row r="952" spans="18:26">
      <c r="R952" s="15"/>
      <c r="S952" s="16"/>
      <c r="T952" s="17">
        <f>IF(AND(COUNTA($A952:$K952)=0,$L952=""),"",IF($S952="Paid","PAID",IF($S952="Closed","CLOSED",IF($W952="","",IF($W952=6,"ESCALATED TO ROXANNE",IF(TODAY()&gt;$Y952,"OVERDUE",IF($Y952&lt;=WORKDAY(TODAY(),1,Holidays),"DUE TOMORROW",IF($W952=4,"ESCALATED TO LOCAL OFFICE",IF($W952=5,"ESCALATED TO CBE",IF($X952=TODAY(),"EMAIL SENT","MONITORING"))))))))))</f>
        <v/>
      </c>
      <c r="U952" s="17">
        <f>IF($T952="",IF(AND(COUNTA($A952:$K952)&gt;0,$L952=""),"Awaiting Collection Email time stamp.",""),IF(OR($T952="PAID",$T952="CLOSED"),IF($T952="PAID","Account paid. Action completed.","Account closed. No further action required."),CHOOSE($W952,"Collection Email","1st Email Follow-up","2nd Email Follow-up","Escalation to Local Office","Escalation to CBE","Escalation to Roxanne")&amp;" sent "&amp;TEXT($X952,"dd-mmm")&amp;". "&amp;IF($W952=6,"Final escalation completed.",IF($T952="OVERDUE","Next: "&amp;$Z952&amp;" was due "&amp;TEXT($Y952,"dd-mmm")&amp;" - "&amp;(NETWORKDAYS($Y952,TODAY(),Holidays)-1)&amp;" business day(s) late. Send now.",IF($T952="DUE TOMORROW","Next: "&amp;$Z952&amp;IF($Y952&lt;=TODAY()," is due TODAY ("," is due next business day (")&amp;TEXT($Y952,"dd-mmm")&amp;").","Next: "&amp;$Z952&amp;" due "&amp;TEXT($Y952,"dd-mmm")&amp;" ("&amp;(NETWORKDAYS(TODAY(),$Y952,Holidays)-1)&amp;" business day(s) left).")))))</f>
        <v/>
      </c>
      <c r="V952" s="17">
        <f>IF($W952="","",CHOOSE($W952,"Collection Email","1st Follow-up","2nd Follow-up","Local Office","CBE","Roxanne")&amp;IF($W952=6," - Final"," - Day "&amp;MAX(0,NETWORKDAYS($X952,TODAY(),Holidays)-1)&amp;" of "&amp;CHOOSE($W952,3,3,2,2,3))&amp;" | Total Day "&amp;MAX(0,NETWORKDAYS($L952,TODAY(),Holidays)-1))</f>
        <v/>
      </c>
      <c r="W952" s="17">
        <f>IF($L952="","",COUNT($L952:$Q952))</f>
        <v/>
      </c>
      <c r="X952" s="18">
        <f>IF($W952="","",INT(INDEX($L952:$Q952,$W952)))</f>
        <v/>
      </c>
      <c r="Y952" s="18">
        <f>IF(OR($W952="",$W952=6),"",WORKDAY($X952,CHOOSE($W952,3,3,2,2,3),Holidays))</f>
        <v/>
      </c>
      <c r="Z952" s="17">
        <f>IF(OR($W952="",$W952=6),"",CHOOSE($W952,"1st Email Follow-up","2nd Email Follow-up","Escalate Local Office","Escalate to CBE","Escalate to Roxanne"))</f>
        <v/>
      </c>
    </row>
    <row r="953" spans="18:26">
      <c r="R953" s="15"/>
      <c r="S953" s="16"/>
      <c r="T953" s="17">
        <f>IF(AND(COUNTA($A953:$K953)=0,$L953=""),"",IF($S953="Paid","PAID",IF($S953="Closed","CLOSED",IF($W953="","",IF($W953=6,"ESCALATED TO ROXANNE",IF(TODAY()&gt;$Y953,"OVERDUE",IF($Y953&lt;=WORKDAY(TODAY(),1,Holidays),"DUE TOMORROW",IF($W953=4,"ESCALATED TO LOCAL OFFICE",IF($W953=5,"ESCALATED TO CBE",IF($X953=TODAY(),"EMAIL SENT","MONITORING"))))))))))</f>
        <v/>
      </c>
      <c r="U953" s="17">
        <f>IF($T953="",IF(AND(COUNTA($A953:$K953)&gt;0,$L953=""),"Awaiting Collection Email time stamp.",""),IF(OR($T953="PAID",$T953="CLOSED"),IF($T953="PAID","Account paid. Action completed.","Account closed. No further action required."),CHOOSE($W953,"Collection Email","1st Email Follow-up","2nd Email Follow-up","Escalation to Local Office","Escalation to CBE","Escalation to Roxanne")&amp;" sent "&amp;TEXT($X953,"dd-mmm")&amp;". "&amp;IF($W953=6,"Final escalation completed.",IF($T953="OVERDUE","Next: "&amp;$Z953&amp;" was due "&amp;TEXT($Y953,"dd-mmm")&amp;" - "&amp;(NETWORKDAYS($Y953,TODAY(),Holidays)-1)&amp;" business day(s) late. Send now.",IF($T953="DUE TOMORROW","Next: "&amp;$Z953&amp;IF($Y953&lt;=TODAY()," is due TODAY ("," is due next business day (")&amp;TEXT($Y953,"dd-mmm")&amp;").","Next: "&amp;$Z953&amp;" due "&amp;TEXT($Y953,"dd-mmm")&amp;" ("&amp;(NETWORKDAYS(TODAY(),$Y953,Holidays)-1)&amp;" business day(s) left).")))))</f>
        <v/>
      </c>
      <c r="V953" s="17">
        <f>IF($W953="","",CHOOSE($W953,"Collection Email","1st Follow-up","2nd Follow-up","Local Office","CBE","Roxanne")&amp;IF($W953=6," - Final"," - Day "&amp;MAX(0,NETWORKDAYS($X953,TODAY(),Holidays)-1)&amp;" of "&amp;CHOOSE($W953,3,3,2,2,3))&amp;" | Total Day "&amp;MAX(0,NETWORKDAYS($L953,TODAY(),Holidays)-1))</f>
        <v/>
      </c>
      <c r="W953" s="17">
        <f>IF($L953="","",COUNT($L953:$Q953))</f>
        <v/>
      </c>
      <c r="X953" s="18">
        <f>IF($W953="","",INT(INDEX($L953:$Q953,$W953)))</f>
        <v/>
      </c>
      <c r="Y953" s="18">
        <f>IF(OR($W953="",$W953=6),"",WORKDAY($X953,CHOOSE($W953,3,3,2,2,3),Holidays))</f>
        <v/>
      </c>
      <c r="Z953" s="17">
        <f>IF(OR($W953="",$W953=6),"",CHOOSE($W953,"1st Email Follow-up","2nd Email Follow-up","Escalate Local Office","Escalate to CBE","Escalate to Roxanne"))</f>
        <v/>
      </c>
    </row>
    <row r="954" spans="18:26">
      <c r="R954" s="15"/>
      <c r="S954" s="16"/>
      <c r="T954" s="17">
        <f>IF(AND(COUNTA($A954:$K954)=0,$L954=""),"",IF($S954="Paid","PAID",IF($S954="Closed","CLOSED",IF($W954="","",IF($W954=6,"ESCALATED TO ROXANNE",IF(TODAY()&gt;$Y954,"OVERDUE",IF($Y954&lt;=WORKDAY(TODAY(),1,Holidays),"DUE TOMORROW",IF($W954=4,"ESCALATED TO LOCAL OFFICE",IF($W954=5,"ESCALATED TO CBE",IF($X954=TODAY(),"EMAIL SENT","MONITORING"))))))))))</f>
        <v/>
      </c>
      <c r="U954" s="17">
        <f>IF($T954="",IF(AND(COUNTA($A954:$K954)&gt;0,$L954=""),"Awaiting Collection Email time stamp.",""),IF(OR($T954="PAID",$T954="CLOSED"),IF($T954="PAID","Account paid. Action completed.","Account closed. No further action required."),CHOOSE($W954,"Collection Email","1st Email Follow-up","2nd Email Follow-up","Escalation to Local Office","Escalation to CBE","Escalation to Roxanne")&amp;" sent "&amp;TEXT($X954,"dd-mmm")&amp;". "&amp;IF($W954=6,"Final escalation completed.",IF($T954="OVERDUE","Next: "&amp;$Z954&amp;" was due "&amp;TEXT($Y954,"dd-mmm")&amp;" - "&amp;(NETWORKDAYS($Y954,TODAY(),Holidays)-1)&amp;" business day(s) late. Send now.",IF($T954="DUE TOMORROW","Next: "&amp;$Z954&amp;IF($Y954&lt;=TODAY()," is due TODAY ("," is due next business day (")&amp;TEXT($Y954,"dd-mmm")&amp;").","Next: "&amp;$Z954&amp;" due "&amp;TEXT($Y954,"dd-mmm")&amp;" ("&amp;(NETWORKDAYS(TODAY(),$Y954,Holidays)-1)&amp;" business day(s) left).")))))</f>
        <v/>
      </c>
      <c r="V954" s="17">
        <f>IF($W954="","",CHOOSE($W954,"Collection Email","1st Follow-up","2nd Follow-up","Local Office","CBE","Roxanne")&amp;IF($W954=6," - Final"," - Day "&amp;MAX(0,NETWORKDAYS($X954,TODAY(),Holidays)-1)&amp;" of "&amp;CHOOSE($W954,3,3,2,2,3))&amp;" | Total Day "&amp;MAX(0,NETWORKDAYS($L954,TODAY(),Holidays)-1))</f>
        <v/>
      </c>
      <c r="W954" s="17">
        <f>IF($L954="","",COUNT($L954:$Q954))</f>
        <v/>
      </c>
      <c r="X954" s="18">
        <f>IF($W954="","",INT(INDEX($L954:$Q954,$W954)))</f>
        <v/>
      </c>
      <c r="Y954" s="18">
        <f>IF(OR($W954="",$W954=6),"",WORKDAY($X954,CHOOSE($W954,3,3,2,2,3),Holidays))</f>
        <v/>
      </c>
      <c r="Z954" s="17">
        <f>IF(OR($W954="",$W954=6),"",CHOOSE($W954,"1st Email Follow-up","2nd Email Follow-up","Escalate Local Office","Escalate to CBE","Escalate to Roxanne"))</f>
        <v/>
      </c>
    </row>
    <row r="955" spans="18:26">
      <c r="R955" s="15"/>
      <c r="S955" s="16"/>
      <c r="T955" s="17">
        <f>IF(AND(COUNTA($A955:$K955)=0,$L955=""),"",IF($S955="Paid","PAID",IF($S955="Closed","CLOSED",IF($W955="","",IF($W955=6,"ESCALATED TO ROXANNE",IF(TODAY()&gt;$Y955,"OVERDUE",IF($Y955&lt;=WORKDAY(TODAY(),1,Holidays),"DUE TOMORROW",IF($W955=4,"ESCALATED TO LOCAL OFFICE",IF($W955=5,"ESCALATED TO CBE",IF($X955=TODAY(),"EMAIL SENT","MONITORING"))))))))))</f>
        <v/>
      </c>
      <c r="U955" s="17">
        <f>IF($T955="",IF(AND(COUNTA($A955:$K955)&gt;0,$L955=""),"Awaiting Collection Email time stamp.",""),IF(OR($T955="PAID",$T955="CLOSED"),IF($T955="PAID","Account paid. Action completed.","Account closed. No further action required."),CHOOSE($W955,"Collection Email","1st Email Follow-up","2nd Email Follow-up","Escalation to Local Office","Escalation to CBE","Escalation to Roxanne")&amp;" sent "&amp;TEXT($X955,"dd-mmm")&amp;". "&amp;IF($W955=6,"Final escalation completed.",IF($T955="OVERDUE","Next: "&amp;$Z955&amp;" was due "&amp;TEXT($Y955,"dd-mmm")&amp;" - "&amp;(NETWORKDAYS($Y955,TODAY(),Holidays)-1)&amp;" business day(s) late. Send now.",IF($T955="DUE TOMORROW","Next: "&amp;$Z955&amp;IF($Y955&lt;=TODAY()," is due TODAY ("," is due next business day (")&amp;TEXT($Y955,"dd-mmm")&amp;").","Next: "&amp;$Z955&amp;" due "&amp;TEXT($Y955,"dd-mmm")&amp;" ("&amp;(NETWORKDAYS(TODAY(),$Y955,Holidays)-1)&amp;" business day(s) left).")))))</f>
        <v/>
      </c>
      <c r="V955" s="17">
        <f>IF($W955="","",CHOOSE($W955,"Collection Email","1st Follow-up","2nd Follow-up","Local Office","CBE","Roxanne")&amp;IF($W955=6," - Final"," - Day "&amp;MAX(0,NETWORKDAYS($X955,TODAY(),Holidays)-1)&amp;" of "&amp;CHOOSE($W955,3,3,2,2,3))&amp;" | Total Day "&amp;MAX(0,NETWORKDAYS($L955,TODAY(),Holidays)-1))</f>
        <v/>
      </c>
      <c r="W955" s="17">
        <f>IF($L955="","",COUNT($L955:$Q955))</f>
        <v/>
      </c>
      <c r="X955" s="18">
        <f>IF($W955="","",INT(INDEX($L955:$Q955,$W955)))</f>
        <v/>
      </c>
      <c r="Y955" s="18">
        <f>IF(OR($W955="",$W955=6),"",WORKDAY($X955,CHOOSE($W955,3,3,2,2,3),Holidays))</f>
        <v/>
      </c>
      <c r="Z955" s="17">
        <f>IF(OR($W955="",$W955=6),"",CHOOSE($W955,"1st Email Follow-up","2nd Email Follow-up","Escalate Local Office","Escalate to CBE","Escalate to Roxanne"))</f>
        <v/>
      </c>
    </row>
    <row r="956" spans="18:26">
      <c r="R956" s="15"/>
      <c r="S956" s="16"/>
      <c r="T956" s="17">
        <f>IF(AND(COUNTA($A956:$K956)=0,$L956=""),"",IF($S956="Paid","PAID",IF($S956="Closed","CLOSED",IF($W956="","",IF($W956=6,"ESCALATED TO ROXANNE",IF(TODAY()&gt;$Y956,"OVERDUE",IF($Y956&lt;=WORKDAY(TODAY(),1,Holidays),"DUE TOMORROW",IF($W956=4,"ESCALATED TO LOCAL OFFICE",IF($W956=5,"ESCALATED TO CBE",IF($X956=TODAY(),"EMAIL SENT","MONITORING"))))))))))</f>
        <v/>
      </c>
      <c r="U956" s="17">
        <f>IF($T956="",IF(AND(COUNTA($A956:$K956)&gt;0,$L956=""),"Awaiting Collection Email time stamp.",""),IF(OR($T956="PAID",$T956="CLOSED"),IF($T956="PAID","Account paid. Action completed.","Account closed. No further action required."),CHOOSE($W956,"Collection Email","1st Email Follow-up","2nd Email Follow-up","Escalation to Local Office","Escalation to CBE","Escalation to Roxanne")&amp;" sent "&amp;TEXT($X956,"dd-mmm")&amp;". "&amp;IF($W956=6,"Final escalation completed.",IF($T956="OVERDUE","Next: "&amp;$Z956&amp;" was due "&amp;TEXT($Y956,"dd-mmm")&amp;" - "&amp;(NETWORKDAYS($Y956,TODAY(),Holidays)-1)&amp;" business day(s) late. Send now.",IF($T956="DUE TOMORROW","Next: "&amp;$Z956&amp;IF($Y956&lt;=TODAY()," is due TODAY ("," is due next business day (")&amp;TEXT($Y956,"dd-mmm")&amp;").","Next: "&amp;$Z956&amp;" due "&amp;TEXT($Y956,"dd-mmm")&amp;" ("&amp;(NETWORKDAYS(TODAY(),$Y956,Holidays)-1)&amp;" business day(s) left).")))))</f>
        <v/>
      </c>
      <c r="V956" s="17">
        <f>IF($W956="","",CHOOSE($W956,"Collection Email","1st Follow-up","2nd Follow-up","Local Office","CBE","Roxanne")&amp;IF($W956=6," - Final"," - Day "&amp;MAX(0,NETWORKDAYS($X956,TODAY(),Holidays)-1)&amp;" of "&amp;CHOOSE($W956,3,3,2,2,3))&amp;" | Total Day "&amp;MAX(0,NETWORKDAYS($L956,TODAY(),Holidays)-1))</f>
        <v/>
      </c>
      <c r="W956" s="17">
        <f>IF($L956="","",COUNT($L956:$Q956))</f>
        <v/>
      </c>
      <c r="X956" s="18">
        <f>IF($W956="","",INT(INDEX($L956:$Q956,$W956)))</f>
        <v/>
      </c>
      <c r="Y956" s="18">
        <f>IF(OR($W956="",$W956=6),"",WORKDAY($X956,CHOOSE($W956,3,3,2,2,3),Holidays))</f>
        <v/>
      </c>
      <c r="Z956" s="17">
        <f>IF(OR($W956="",$W956=6),"",CHOOSE($W956,"1st Email Follow-up","2nd Email Follow-up","Escalate Local Office","Escalate to CBE","Escalate to Roxanne"))</f>
        <v/>
      </c>
    </row>
    <row r="957" spans="18:26">
      <c r="R957" s="15"/>
      <c r="S957" s="16"/>
      <c r="T957" s="17">
        <f>IF(AND(COUNTA($A957:$K957)=0,$L957=""),"",IF($S957="Paid","PAID",IF($S957="Closed","CLOSED",IF($W957="","",IF($W957=6,"ESCALATED TO ROXANNE",IF(TODAY()&gt;$Y957,"OVERDUE",IF($Y957&lt;=WORKDAY(TODAY(),1,Holidays),"DUE TOMORROW",IF($W957=4,"ESCALATED TO LOCAL OFFICE",IF($W957=5,"ESCALATED TO CBE",IF($X957=TODAY(),"EMAIL SENT","MONITORING"))))))))))</f>
        <v/>
      </c>
      <c r="U957" s="17">
        <f>IF($T957="",IF(AND(COUNTA($A957:$K957)&gt;0,$L957=""),"Awaiting Collection Email time stamp.",""),IF(OR($T957="PAID",$T957="CLOSED"),IF($T957="PAID","Account paid. Action completed.","Account closed. No further action required."),CHOOSE($W957,"Collection Email","1st Email Follow-up","2nd Email Follow-up","Escalation to Local Office","Escalation to CBE","Escalation to Roxanne")&amp;" sent "&amp;TEXT($X957,"dd-mmm")&amp;". "&amp;IF($W957=6,"Final escalation completed.",IF($T957="OVERDUE","Next: "&amp;$Z957&amp;" was due "&amp;TEXT($Y957,"dd-mmm")&amp;" - "&amp;(NETWORKDAYS($Y957,TODAY(),Holidays)-1)&amp;" business day(s) late. Send now.",IF($T957="DUE TOMORROW","Next: "&amp;$Z957&amp;IF($Y957&lt;=TODAY()," is due TODAY ("," is due next business day (")&amp;TEXT($Y957,"dd-mmm")&amp;").","Next: "&amp;$Z957&amp;" due "&amp;TEXT($Y957,"dd-mmm")&amp;" ("&amp;(NETWORKDAYS(TODAY(),$Y957,Holidays)-1)&amp;" business day(s) left).")))))</f>
        <v/>
      </c>
      <c r="V957" s="17">
        <f>IF($W957="","",CHOOSE($W957,"Collection Email","1st Follow-up","2nd Follow-up","Local Office","CBE","Roxanne")&amp;IF($W957=6," - Final"," - Day "&amp;MAX(0,NETWORKDAYS($X957,TODAY(),Holidays)-1)&amp;" of "&amp;CHOOSE($W957,3,3,2,2,3))&amp;" | Total Day "&amp;MAX(0,NETWORKDAYS($L957,TODAY(),Holidays)-1))</f>
        <v/>
      </c>
      <c r="W957" s="17">
        <f>IF($L957="","",COUNT($L957:$Q957))</f>
        <v/>
      </c>
      <c r="X957" s="18">
        <f>IF($W957="","",INT(INDEX($L957:$Q957,$W957)))</f>
        <v/>
      </c>
      <c r="Y957" s="18">
        <f>IF(OR($W957="",$W957=6),"",WORKDAY($X957,CHOOSE($W957,3,3,2,2,3),Holidays))</f>
        <v/>
      </c>
      <c r="Z957" s="17">
        <f>IF(OR($W957="",$W957=6),"",CHOOSE($W957,"1st Email Follow-up","2nd Email Follow-up","Escalate Local Office","Escalate to CBE","Escalate to Roxanne"))</f>
        <v/>
      </c>
    </row>
    <row r="958" spans="18:26">
      <c r="R958" s="15"/>
      <c r="S958" s="16"/>
      <c r="T958" s="17">
        <f>IF(AND(COUNTA($A958:$K958)=0,$L958=""),"",IF($S958="Paid","PAID",IF($S958="Closed","CLOSED",IF($W958="","",IF($W958=6,"ESCALATED TO ROXANNE",IF(TODAY()&gt;$Y958,"OVERDUE",IF($Y958&lt;=WORKDAY(TODAY(),1,Holidays),"DUE TOMORROW",IF($W958=4,"ESCALATED TO LOCAL OFFICE",IF($W958=5,"ESCALATED TO CBE",IF($X958=TODAY(),"EMAIL SENT","MONITORING"))))))))))</f>
        <v/>
      </c>
      <c r="U958" s="17">
        <f>IF($T958="",IF(AND(COUNTA($A958:$K958)&gt;0,$L958=""),"Awaiting Collection Email time stamp.",""),IF(OR($T958="PAID",$T958="CLOSED"),IF($T958="PAID","Account paid. Action completed.","Account closed. No further action required."),CHOOSE($W958,"Collection Email","1st Email Follow-up","2nd Email Follow-up","Escalation to Local Office","Escalation to CBE","Escalation to Roxanne")&amp;" sent "&amp;TEXT($X958,"dd-mmm")&amp;". "&amp;IF($W958=6,"Final escalation completed.",IF($T958="OVERDUE","Next: "&amp;$Z958&amp;" was due "&amp;TEXT($Y958,"dd-mmm")&amp;" - "&amp;(NETWORKDAYS($Y958,TODAY(),Holidays)-1)&amp;" business day(s) late. Send now.",IF($T958="DUE TOMORROW","Next: "&amp;$Z958&amp;IF($Y958&lt;=TODAY()," is due TODAY ("," is due next business day (")&amp;TEXT($Y958,"dd-mmm")&amp;").","Next: "&amp;$Z958&amp;" due "&amp;TEXT($Y958,"dd-mmm")&amp;" ("&amp;(NETWORKDAYS(TODAY(),$Y958,Holidays)-1)&amp;" business day(s) left).")))))</f>
        <v/>
      </c>
      <c r="V958" s="17">
        <f>IF($W958="","",CHOOSE($W958,"Collection Email","1st Follow-up","2nd Follow-up","Local Office","CBE","Roxanne")&amp;IF($W958=6," - Final"," - Day "&amp;MAX(0,NETWORKDAYS($X958,TODAY(),Holidays)-1)&amp;" of "&amp;CHOOSE($W958,3,3,2,2,3))&amp;" | Total Day "&amp;MAX(0,NETWORKDAYS($L958,TODAY(),Holidays)-1))</f>
        <v/>
      </c>
      <c r="W958" s="17">
        <f>IF($L958="","",COUNT($L958:$Q958))</f>
        <v/>
      </c>
      <c r="X958" s="18">
        <f>IF($W958="","",INT(INDEX($L958:$Q958,$W958)))</f>
        <v/>
      </c>
      <c r="Y958" s="18">
        <f>IF(OR($W958="",$W958=6),"",WORKDAY($X958,CHOOSE($W958,3,3,2,2,3),Holidays))</f>
        <v/>
      </c>
      <c r="Z958" s="17">
        <f>IF(OR($W958="",$W958=6),"",CHOOSE($W958,"1st Email Follow-up","2nd Email Follow-up","Escalate Local Office","Escalate to CBE","Escalate to Roxanne"))</f>
        <v/>
      </c>
    </row>
    <row r="959" spans="18:26">
      <c r="R959" s="15"/>
      <c r="S959" s="16"/>
      <c r="T959" s="17">
        <f>IF(AND(COUNTA($A959:$K959)=0,$L959=""),"",IF($S959="Paid","PAID",IF($S959="Closed","CLOSED",IF($W959="","",IF($W959=6,"ESCALATED TO ROXANNE",IF(TODAY()&gt;$Y959,"OVERDUE",IF($Y959&lt;=WORKDAY(TODAY(),1,Holidays),"DUE TOMORROW",IF($W959=4,"ESCALATED TO LOCAL OFFICE",IF($W959=5,"ESCALATED TO CBE",IF($X959=TODAY(),"EMAIL SENT","MONITORING"))))))))))</f>
        <v/>
      </c>
      <c r="U959" s="17">
        <f>IF($T959="",IF(AND(COUNTA($A959:$K959)&gt;0,$L959=""),"Awaiting Collection Email time stamp.",""),IF(OR($T959="PAID",$T959="CLOSED"),IF($T959="PAID","Account paid. Action completed.","Account closed. No further action required."),CHOOSE($W959,"Collection Email","1st Email Follow-up","2nd Email Follow-up","Escalation to Local Office","Escalation to CBE","Escalation to Roxanne")&amp;" sent "&amp;TEXT($X959,"dd-mmm")&amp;". "&amp;IF($W959=6,"Final escalation completed.",IF($T959="OVERDUE","Next: "&amp;$Z959&amp;" was due "&amp;TEXT($Y959,"dd-mmm")&amp;" - "&amp;(NETWORKDAYS($Y959,TODAY(),Holidays)-1)&amp;" business day(s) late. Send now.",IF($T959="DUE TOMORROW","Next: "&amp;$Z959&amp;IF($Y959&lt;=TODAY()," is due TODAY ("," is due next business day (")&amp;TEXT($Y959,"dd-mmm")&amp;").","Next: "&amp;$Z959&amp;" due "&amp;TEXT($Y959,"dd-mmm")&amp;" ("&amp;(NETWORKDAYS(TODAY(),$Y959,Holidays)-1)&amp;" business day(s) left).")))))</f>
        <v/>
      </c>
      <c r="V959" s="17">
        <f>IF($W959="","",CHOOSE($W959,"Collection Email","1st Follow-up","2nd Follow-up","Local Office","CBE","Roxanne")&amp;IF($W959=6," - Final"," - Day "&amp;MAX(0,NETWORKDAYS($X959,TODAY(),Holidays)-1)&amp;" of "&amp;CHOOSE($W959,3,3,2,2,3))&amp;" | Total Day "&amp;MAX(0,NETWORKDAYS($L959,TODAY(),Holidays)-1))</f>
        <v/>
      </c>
      <c r="W959" s="17">
        <f>IF($L959="","",COUNT($L959:$Q959))</f>
        <v/>
      </c>
      <c r="X959" s="18">
        <f>IF($W959="","",INT(INDEX($L959:$Q959,$W959)))</f>
        <v/>
      </c>
      <c r="Y959" s="18">
        <f>IF(OR($W959="",$W959=6),"",WORKDAY($X959,CHOOSE($W959,3,3,2,2,3),Holidays))</f>
        <v/>
      </c>
      <c r="Z959" s="17">
        <f>IF(OR($W959="",$W959=6),"",CHOOSE($W959,"1st Email Follow-up","2nd Email Follow-up","Escalate Local Office","Escalate to CBE","Escalate to Roxanne"))</f>
        <v/>
      </c>
    </row>
    <row r="960" spans="18:26">
      <c r="R960" s="15"/>
      <c r="S960" s="16"/>
      <c r="T960" s="17">
        <f>IF(AND(COUNTA($A960:$K960)=0,$L960=""),"",IF($S960="Paid","PAID",IF($S960="Closed","CLOSED",IF($W960="","",IF($W960=6,"ESCALATED TO ROXANNE",IF(TODAY()&gt;$Y960,"OVERDUE",IF($Y960&lt;=WORKDAY(TODAY(),1,Holidays),"DUE TOMORROW",IF($W960=4,"ESCALATED TO LOCAL OFFICE",IF($W960=5,"ESCALATED TO CBE",IF($X960=TODAY(),"EMAIL SENT","MONITORING"))))))))))</f>
        <v/>
      </c>
      <c r="U960" s="17">
        <f>IF($T960="",IF(AND(COUNTA($A960:$K960)&gt;0,$L960=""),"Awaiting Collection Email time stamp.",""),IF(OR($T960="PAID",$T960="CLOSED"),IF($T960="PAID","Account paid. Action completed.","Account closed. No further action required."),CHOOSE($W960,"Collection Email","1st Email Follow-up","2nd Email Follow-up","Escalation to Local Office","Escalation to CBE","Escalation to Roxanne")&amp;" sent "&amp;TEXT($X960,"dd-mmm")&amp;". "&amp;IF($W960=6,"Final escalation completed.",IF($T960="OVERDUE","Next: "&amp;$Z960&amp;" was due "&amp;TEXT($Y960,"dd-mmm")&amp;" - "&amp;(NETWORKDAYS($Y960,TODAY(),Holidays)-1)&amp;" business day(s) late. Send now.",IF($T960="DUE TOMORROW","Next: "&amp;$Z960&amp;IF($Y960&lt;=TODAY()," is due TODAY ("," is due next business day (")&amp;TEXT($Y960,"dd-mmm")&amp;").","Next: "&amp;$Z960&amp;" due "&amp;TEXT($Y960,"dd-mmm")&amp;" ("&amp;(NETWORKDAYS(TODAY(),$Y960,Holidays)-1)&amp;" business day(s) left).")))))</f>
        <v/>
      </c>
      <c r="V960" s="17">
        <f>IF($W960="","",CHOOSE($W960,"Collection Email","1st Follow-up","2nd Follow-up","Local Office","CBE","Roxanne")&amp;IF($W960=6," - Final"," - Day "&amp;MAX(0,NETWORKDAYS($X960,TODAY(),Holidays)-1)&amp;" of "&amp;CHOOSE($W960,3,3,2,2,3))&amp;" | Total Day "&amp;MAX(0,NETWORKDAYS($L960,TODAY(),Holidays)-1))</f>
        <v/>
      </c>
      <c r="W960" s="17">
        <f>IF($L960="","",COUNT($L960:$Q960))</f>
        <v/>
      </c>
      <c r="X960" s="18">
        <f>IF($W960="","",INT(INDEX($L960:$Q960,$W960)))</f>
        <v/>
      </c>
      <c r="Y960" s="18">
        <f>IF(OR($W960="",$W960=6),"",WORKDAY($X960,CHOOSE($W960,3,3,2,2,3),Holidays))</f>
        <v/>
      </c>
      <c r="Z960" s="17">
        <f>IF(OR($W960="",$W960=6),"",CHOOSE($W960,"1st Email Follow-up","2nd Email Follow-up","Escalate Local Office","Escalate to CBE","Escalate to Roxanne"))</f>
        <v/>
      </c>
    </row>
    <row r="961" spans="18:26">
      <c r="R961" s="15"/>
      <c r="S961" s="16"/>
      <c r="T961" s="17">
        <f>IF(AND(COUNTA($A961:$K961)=0,$L961=""),"",IF($S961="Paid","PAID",IF($S961="Closed","CLOSED",IF($W961="","",IF($W961=6,"ESCALATED TO ROXANNE",IF(TODAY()&gt;$Y961,"OVERDUE",IF($Y961&lt;=WORKDAY(TODAY(),1,Holidays),"DUE TOMORROW",IF($W961=4,"ESCALATED TO LOCAL OFFICE",IF($W961=5,"ESCALATED TO CBE",IF($X961=TODAY(),"EMAIL SENT","MONITORING"))))))))))</f>
        <v/>
      </c>
      <c r="U961" s="17">
        <f>IF($T961="",IF(AND(COUNTA($A961:$K961)&gt;0,$L961=""),"Awaiting Collection Email time stamp.",""),IF(OR($T961="PAID",$T961="CLOSED"),IF($T961="PAID","Account paid. Action completed.","Account closed. No further action required."),CHOOSE($W961,"Collection Email","1st Email Follow-up","2nd Email Follow-up","Escalation to Local Office","Escalation to CBE","Escalation to Roxanne")&amp;" sent "&amp;TEXT($X961,"dd-mmm")&amp;". "&amp;IF($W961=6,"Final escalation completed.",IF($T961="OVERDUE","Next: "&amp;$Z961&amp;" was due "&amp;TEXT($Y961,"dd-mmm")&amp;" - "&amp;(NETWORKDAYS($Y961,TODAY(),Holidays)-1)&amp;" business day(s) late. Send now.",IF($T961="DUE TOMORROW","Next: "&amp;$Z961&amp;IF($Y961&lt;=TODAY()," is due TODAY ("," is due next business day (")&amp;TEXT($Y961,"dd-mmm")&amp;").","Next: "&amp;$Z961&amp;" due "&amp;TEXT($Y961,"dd-mmm")&amp;" ("&amp;(NETWORKDAYS(TODAY(),$Y961,Holidays)-1)&amp;" business day(s) left).")))))</f>
        <v/>
      </c>
      <c r="V961" s="17">
        <f>IF($W961="","",CHOOSE($W961,"Collection Email","1st Follow-up","2nd Follow-up","Local Office","CBE","Roxanne")&amp;IF($W961=6," - Final"," - Day "&amp;MAX(0,NETWORKDAYS($X961,TODAY(),Holidays)-1)&amp;" of "&amp;CHOOSE($W961,3,3,2,2,3))&amp;" | Total Day "&amp;MAX(0,NETWORKDAYS($L961,TODAY(),Holidays)-1))</f>
        <v/>
      </c>
      <c r="W961" s="17">
        <f>IF($L961="","",COUNT($L961:$Q961))</f>
        <v/>
      </c>
      <c r="X961" s="18">
        <f>IF($W961="","",INT(INDEX($L961:$Q961,$W961)))</f>
        <v/>
      </c>
      <c r="Y961" s="18">
        <f>IF(OR($W961="",$W961=6),"",WORKDAY($X961,CHOOSE($W961,3,3,2,2,3),Holidays))</f>
        <v/>
      </c>
      <c r="Z961" s="17">
        <f>IF(OR($W961="",$W961=6),"",CHOOSE($W961,"1st Email Follow-up","2nd Email Follow-up","Escalate Local Office","Escalate to CBE","Escalate to Roxanne"))</f>
        <v/>
      </c>
    </row>
    <row r="962" spans="18:26">
      <c r="R962" s="15"/>
      <c r="S962" s="16"/>
      <c r="T962" s="17">
        <f>IF(AND(COUNTA($A962:$K962)=0,$L962=""),"",IF($S962="Paid","PAID",IF($S962="Closed","CLOSED",IF($W962="","",IF($W962=6,"ESCALATED TO ROXANNE",IF(TODAY()&gt;$Y962,"OVERDUE",IF($Y962&lt;=WORKDAY(TODAY(),1,Holidays),"DUE TOMORROW",IF($W962=4,"ESCALATED TO LOCAL OFFICE",IF($W962=5,"ESCALATED TO CBE",IF($X962=TODAY(),"EMAIL SENT","MONITORING"))))))))))</f>
        <v/>
      </c>
      <c r="U962" s="17">
        <f>IF($T962="",IF(AND(COUNTA($A962:$K962)&gt;0,$L962=""),"Awaiting Collection Email time stamp.",""),IF(OR($T962="PAID",$T962="CLOSED"),IF($T962="PAID","Account paid. Action completed.","Account closed. No further action required."),CHOOSE($W962,"Collection Email","1st Email Follow-up","2nd Email Follow-up","Escalation to Local Office","Escalation to CBE","Escalation to Roxanne")&amp;" sent "&amp;TEXT($X962,"dd-mmm")&amp;". "&amp;IF($W962=6,"Final escalation completed.",IF($T962="OVERDUE","Next: "&amp;$Z962&amp;" was due "&amp;TEXT($Y962,"dd-mmm")&amp;" - "&amp;(NETWORKDAYS($Y962,TODAY(),Holidays)-1)&amp;" business day(s) late. Send now.",IF($T962="DUE TOMORROW","Next: "&amp;$Z962&amp;IF($Y962&lt;=TODAY()," is due TODAY ("," is due next business day (")&amp;TEXT($Y962,"dd-mmm")&amp;").","Next: "&amp;$Z962&amp;" due "&amp;TEXT($Y962,"dd-mmm")&amp;" ("&amp;(NETWORKDAYS(TODAY(),$Y962,Holidays)-1)&amp;" business day(s) left).")))))</f>
        <v/>
      </c>
      <c r="V962" s="17">
        <f>IF($W962="","",CHOOSE($W962,"Collection Email","1st Follow-up","2nd Follow-up","Local Office","CBE","Roxanne")&amp;IF($W962=6," - Final"," - Day "&amp;MAX(0,NETWORKDAYS($X962,TODAY(),Holidays)-1)&amp;" of "&amp;CHOOSE($W962,3,3,2,2,3))&amp;" | Total Day "&amp;MAX(0,NETWORKDAYS($L962,TODAY(),Holidays)-1))</f>
        <v/>
      </c>
      <c r="W962" s="17">
        <f>IF($L962="","",COUNT($L962:$Q962))</f>
        <v/>
      </c>
      <c r="X962" s="18">
        <f>IF($W962="","",INT(INDEX($L962:$Q962,$W962)))</f>
        <v/>
      </c>
      <c r="Y962" s="18">
        <f>IF(OR($W962="",$W962=6),"",WORKDAY($X962,CHOOSE($W962,3,3,2,2,3),Holidays))</f>
        <v/>
      </c>
      <c r="Z962" s="17">
        <f>IF(OR($W962="",$W962=6),"",CHOOSE($W962,"1st Email Follow-up","2nd Email Follow-up","Escalate Local Office","Escalate to CBE","Escalate to Roxanne"))</f>
        <v/>
      </c>
    </row>
    <row r="963" spans="18:26">
      <c r="R963" s="15"/>
      <c r="S963" s="16"/>
      <c r="T963" s="17">
        <f>IF(AND(COUNTA($A963:$K963)=0,$L963=""),"",IF($S963="Paid","PAID",IF($S963="Closed","CLOSED",IF($W963="","",IF($W963=6,"ESCALATED TO ROXANNE",IF(TODAY()&gt;$Y963,"OVERDUE",IF($Y963&lt;=WORKDAY(TODAY(),1,Holidays),"DUE TOMORROW",IF($W963=4,"ESCALATED TO LOCAL OFFICE",IF($W963=5,"ESCALATED TO CBE",IF($X963=TODAY(),"EMAIL SENT","MONITORING"))))))))))</f>
        <v/>
      </c>
      <c r="U963" s="17">
        <f>IF($T963="",IF(AND(COUNTA($A963:$K963)&gt;0,$L963=""),"Awaiting Collection Email time stamp.",""),IF(OR($T963="PAID",$T963="CLOSED"),IF($T963="PAID","Account paid. Action completed.","Account closed. No further action required."),CHOOSE($W963,"Collection Email","1st Email Follow-up","2nd Email Follow-up","Escalation to Local Office","Escalation to CBE","Escalation to Roxanne")&amp;" sent "&amp;TEXT($X963,"dd-mmm")&amp;". "&amp;IF($W963=6,"Final escalation completed.",IF($T963="OVERDUE","Next: "&amp;$Z963&amp;" was due "&amp;TEXT($Y963,"dd-mmm")&amp;" - "&amp;(NETWORKDAYS($Y963,TODAY(),Holidays)-1)&amp;" business day(s) late. Send now.",IF($T963="DUE TOMORROW","Next: "&amp;$Z963&amp;IF($Y963&lt;=TODAY()," is due TODAY ("," is due next business day (")&amp;TEXT($Y963,"dd-mmm")&amp;").","Next: "&amp;$Z963&amp;" due "&amp;TEXT($Y963,"dd-mmm")&amp;" ("&amp;(NETWORKDAYS(TODAY(),$Y963,Holidays)-1)&amp;" business day(s) left).")))))</f>
        <v/>
      </c>
      <c r="V963" s="17">
        <f>IF($W963="","",CHOOSE($W963,"Collection Email","1st Follow-up","2nd Follow-up","Local Office","CBE","Roxanne")&amp;IF($W963=6," - Final"," - Day "&amp;MAX(0,NETWORKDAYS($X963,TODAY(),Holidays)-1)&amp;" of "&amp;CHOOSE($W963,3,3,2,2,3))&amp;" | Total Day "&amp;MAX(0,NETWORKDAYS($L963,TODAY(),Holidays)-1))</f>
        <v/>
      </c>
      <c r="W963" s="17">
        <f>IF($L963="","",COUNT($L963:$Q963))</f>
        <v/>
      </c>
      <c r="X963" s="18">
        <f>IF($W963="","",INT(INDEX($L963:$Q963,$W963)))</f>
        <v/>
      </c>
      <c r="Y963" s="18">
        <f>IF(OR($W963="",$W963=6),"",WORKDAY($X963,CHOOSE($W963,3,3,2,2,3),Holidays))</f>
        <v/>
      </c>
      <c r="Z963" s="17">
        <f>IF(OR($W963="",$W963=6),"",CHOOSE($W963,"1st Email Follow-up","2nd Email Follow-up","Escalate Local Office","Escalate to CBE","Escalate to Roxanne"))</f>
        <v/>
      </c>
    </row>
    <row r="964" spans="18:26">
      <c r="R964" s="15"/>
      <c r="S964" s="16"/>
      <c r="T964" s="17">
        <f>IF(AND(COUNTA($A964:$K964)=0,$L964=""),"",IF($S964="Paid","PAID",IF($S964="Closed","CLOSED",IF($W964="","",IF($W964=6,"ESCALATED TO ROXANNE",IF(TODAY()&gt;$Y964,"OVERDUE",IF($Y964&lt;=WORKDAY(TODAY(),1,Holidays),"DUE TOMORROW",IF($W964=4,"ESCALATED TO LOCAL OFFICE",IF($W964=5,"ESCALATED TO CBE",IF($X964=TODAY(),"EMAIL SENT","MONITORING"))))))))))</f>
        <v/>
      </c>
      <c r="U964" s="17">
        <f>IF($T964="",IF(AND(COUNTA($A964:$K964)&gt;0,$L964=""),"Awaiting Collection Email time stamp.",""),IF(OR($T964="PAID",$T964="CLOSED"),IF($T964="PAID","Account paid. Action completed.","Account closed. No further action required."),CHOOSE($W964,"Collection Email","1st Email Follow-up","2nd Email Follow-up","Escalation to Local Office","Escalation to CBE","Escalation to Roxanne")&amp;" sent "&amp;TEXT($X964,"dd-mmm")&amp;". "&amp;IF($W964=6,"Final escalation completed.",IF($T964="OVERDUE","Next: "&amp;$Z964&amp;" was due "&amp;TEXT($Y964,"dd-mmm")&amp;" - "&amp;(NETWORKDAYS($Y964,TODAY(),Holidays)-1)&amp;" business day(s) late. Send now.",IF($T964="DUE TOMORROW","Next: "&amp;$Z964&amp;IF($Y964&lt;=TODAY()," is due TODAY ("," is due next business day (")&amp;TEXT($Y964,"dd-mmm")&amp;").","Next: "&amp;$Z964&amp;" due "&amp;TEXT($Y964,"dd-mmm")&amp;" ("&amp;(NETWORKDAYS(TODAY(),$Y964,Holidays)-1)&amp;" business day(s) left).")))))</f>
        <v/>
      </c>
      <c r="V964" s="17">
        <f>IF($W964="","",CHOOSE($W964,"Collection Email","1st Follow-up","2nd Follow-up","Local Office","CBE","Roxanne")&amp;IF($W964=6," - Final"," - Day "&amp;MAX(0,NETWORKDAYS($X964,TODAY(),Holidays)-1)&amp;" of "&amp;CHOOSE($W964,3,3,2,2,3))&amp;" | Total Day "&amp;MAX(0,NETWORKDAYS($L964,TODAY(),Holidays)-1))</f>
        <v/>
      </c>
      <c r="W964" s="17">
        <f>IF($L964="","",COUNT($L964:$Q964))</f>
        <v/>
      </c>
      <c r="X964" s="18">
        <f>IF($W964="","",INT(INDEX($L964:$Q964,$W964)))</f>
        <v/>
      </c>
      <c r="Y964" s="18">
        <f>IF(OR($W964="",$W964=6),"",WORKDAY($X964,CHOOSE($W964,3,3,2,2,3),Holidays))</f>
        <v/>
      </c>
      <c r="Z964" s="17">
        <f>IF(OR($W964="",$W964=6),"",CHOOSE($W964,"1st Email Follow-up","2nd Email Follow-up","Escalate Local Office","Escalate to CBE","Escalate to Roxanne"))</f>
        <v/>
      </c>
    </row>
    <row r="965" spans="18:26">
      <c r="R965" s="15"/>
      <c r="S965" s="16"/>
      <c r="T965" s="17">
        <f>IF(AND(COUNTA($A965:$K965)=0,$L965=""),"",IF($S965="Paid","PAID",IF($S965="Closed","CLOSED",IF($W965="","",IF($W965=6,"ESCALATED TO ROXANNE",IF(TODAY()&gt;$Y965,"OVERDUE",IF($Y965&lt;=WORKDAY(TODAY(),1,Holidays),"DUE TOMORROW",IF($W965=4,"ESCALATED TO LOCAL OFFICE",IF($W965=5,"ESCALATED TO CBE",IF($X965=TODAY(),"EMAIL SENT","MONITORING"))))))))))</f>
        <v/>
      </c>
      <c r="U965" s="17">
        <f>IF($T965="",IF(AND(COUNTA($A965:$K965)&gt;0,$L965=""),"Awaiting Collection Email time stamp.",""),IF(OR($T965="PAID",$T965="CLOSED"),IF($T965="PAID","Account paid. Action completed.","Account closed. No further action required."),CHOOSE($W965,"Collection Email","1st Email Follow-up","2nd Email Follow-up","Escalation to Local Office","Escalation to CBE","Escalation to Roxanne")&amp;" sent "&amp;TEXT($X965,"dd-mmm")&amp;". "&amp;IF($W965=6,"Final escalation completed.",IF($T965="OVERDUE","Next: "&amp;$Z965&amp;" was due "&amp;TEXT($Y965,"dd-mmm")&amp;" - "&amp;(NETWORKDAYS($Y965,TODAY(),Holidays)-1)&amp;" business day(s) late. Send now.",IF($T965="DUE TOMORROW","Next: "&amp;$Z965&amp;IF($Y965&lt;=TODAY()," is due TODAY ("," is due next business day (")&amp;TEXT($Y965,"dd-mmm")&amp;").","Next: "&amp;$Z965&amp;" due "&amp;TEXT($Y965,"dd-mmm")&amp;" ("&amp;(NETWORKDAYS(TODAY(),$Y965,Holidays)-1)&amp;" business day(s) left).")))))</f>
        <v/>
      </c>
      <c r="V965" s="17">
        <f>IF($W965="","",CHOOSE($W965,"Collection Email","1st Follow-up","2nd Follow-up","Local Office","CBE","Roxanne")&amp;IF($W965=6," - Final"," - Day "&amp;MAX(0,NETWORKDAYS($X965,TODAY(),Holidays)-1)&amp;" of "&amp;CHOOSE($W965,3,3,2,2,3))&amp;" | Total Day "&amp;MAX(0,NETWORKDAYS($L965,TODAY(),Holidays)-1))</f>
        <v/>
      </c>
      <c r="W965" s="17">
        <f>IF($L965="","",COUNT($L965:$Q965))</f>
        <v/>
      </c>
      <c r="X965" s="18">
        <f>IF($W965="","",INT(INDEX($L965:$Q965,$W965)))</f>
        <v/>
      </c>
      <c r="Y965" s="18">
        <f>IF(OR($W965="",$W965=6),"",WORKDAY($X965,CHOOSE($W965,3,3,2,2,3),Holidays))</f>
        <v/>
      </c>
      <c r="Z965" s="17">
        <f>IF(OR($W965="",$W965=6),"",CHOOSE($W965,"1st Email Follow-up","2nd Email Follow-up","Escalate Local Office","Escalate to CBE","Escalate to Roxanne"))</f>
        <v/>
      </c>
    </row>
    <row r="966" spans="18:26">
      <c r="R966" s="15"/>
      <c r="S966" s="16"/>
      <c r="T966" s="17">
        <f>IF(AND(COUNTA($A966:$K966)=0,$L966=""),"",IF($S966="Paid","PAID",IF($S966="Closed","CLOSED",IF($W966="","",IF($W966=6,"ESCALATED TO ROXANNE",IF(TODAY()&gt;$Y966,"OVERDUE",IF($Y966&lt;=WORKDAY(TODAY(),1,Holidays),"DUE TOMORROW",IF($W966=4,"ESCALATED TO LOCAL OFFICE",IF($W966=5,"ESCALATED TO CBE",IF($X966=TODAY(),"EMAIL SENT","MONITORING"))))))))))</f>
        <v/>
      </c>
      <c r="U966" s="17">
        <f>IF($T966="",IF(AND(COUNTA($A966:$K966)&gt;0,$L966=""),"Awaiting Collection Email time stamp.",""),IF(OR($T966="PAID",$T966="CLOSED"),IF($T966="PAID","Account paid. Action completed.","Account closed. No further action required."),CHOOSE($W966,"Collection Email","1st Email Follow-up","2nd Email Follow-up","Escalation to Local Office","Escalation to CBE","Escalation to Roxanne")&amp;" sent "&amp;TEXT($X966,"dd-mmm")&amp;". "&amp;IF($W966=6,"Final escalation completed.",IF($T966="OVERDUE","Next: "&amp;$Z966&amp;" was due "&amp;TEXT($Y966,"dd-mmm")&amp;" - "&amp;(NETWORKDAYS($Y966,TODAY(),Holidays)-1)&amp;" business day(s) late. Send now.",IF($T966="DUE TOMORROW","Next: "&amp;$Z966&amp;IF($Y966&lt;=TODAY()," is due TODAY ("," is due next business day (")&amp;TEXT($Y966,"dd-mmm")&amp;").","Next: "&amp;$Z966&amp;" due "&amp;TEXT($Y966,"dd-mmm")&amp;" ("&amp;(NETWORKDAYS(TODAY(),$Y966,Holidays)-1)&amp;" business day(s) left).")))))</f>
        <v/>
      </c>
      <c r="V966" s="17">
        <f>IF($W966="","",CHOOSE($W966,"Collection Email","1st Follow-up","2nd Follow-up","Local Office","CBE","Roxanne")&amp;IF($W966=6," - Final"," - Day "&amp;MAX(0,NETWORKDAYS($X966,TODAY(),Holidays)-1)&amp;" of "&amp;CHOOSE($W966,3,3,2,2,3))&amp;" | Total Day "&amp;MAX(0,NETWORKDAYS($L966,TODAY(),Holidays)-1))</f>
        <v/>
      </c>
      <c r="W966" s="17">
        <f>IF($L966="","",COUNT($L966:$Q966))</f>
        <v/>
      </c>
      <c r="X966" s="18">
        <f>IF($W966="","",INT(INDEX($L966:$Q966,$W966)))</f>
        <v/>
      </c>
      <c r="Y966" s="18">
        <f>IF(OR($W966="",$W966=6),"",WORKDAY($X966,CHOOSE($W966,3,3,2,2,3),Holidays))</f>
        <v/>
      </c>
      <c r="Z966" s="17">
        <f>IF(OR($W966="",$W966=6),"",CHOOSE($W966,"1st Email Follow-up","2nd Email Follow-up","Escalate Local Office","Escalate to CBE","Escalate to Roxanne"))</f>
        <v/>
      </c>
    </row>
    <row r="967" spans="18:26">
      <c r="R967" s="15"/>
      <c r="S967" s="16"/>
      <c r="T967" s="17">
        <f>IF(AND(COUNTA($A967:$K967)=0,$L967=""),"",IF($S967="Paid","PAID",IF($S967="Closed","CLOSED",IF($W967="","",IF($W967=6,"ESCALATED TO ROXANNE",IF(TODAY()&gt;$Y967,"OVERDUE",IF($Y967&lt;=WORKDAY(TODAY(),1,Holidays),"DUE TOMORROW",IF($W967=4,"ESCALATED TO LOCAL OFFICE",IF($W967=5,"ESCALATED TO CBE",IF($X967=TODAY(),"EMAIL SENT","MONITORING"))))))))))</f>
        <v/>
      </c>
      <c r="U967" s="17">
        <f>IF($T967="",IF(AND(COUNTA($A967:$K967)&gt;0,$L967=""),"Awaiting Collection Email time stamp.",""),IF(OR($T967="PAID",$T967="CLOSED"),IF($T967="PAID","Account paid. Action completed.","Account closed. No further action required."),CHOOSE($W967,"Collection Email","1st Email Follow-up","2nd Email Follow-up","Escalation to Local Office","Escalation to CBE","Escalation to Roxanne")&amp;" sent "&amp;TEXT($X967,"dd-mmm")&amp;". "&amp;IF($W967=6,"Final escalation completed.",IF($T967="OVERDUE","Next: "&amp;$Z967&amp;" was due "&amp;TEXT($Y967,"dd-mmm")&amp;" - "&amp;(NETWORKDAYS($Y967,TODAY(),Holidays)-1)&amp;" business day(s) late. Send now.",IF($T967="DUE TOMORROW","Next: "&amp;$Z967&amp;IF($Y967&lt;=TODAY()," is due TODAY ("," is due next business day (")&amp;TEXT($Y967,"dd-mmm")&amp;").","Next: "&amp;$Z967&amp;" due "&amp;TEXT($Y967,"dd-mmm")&amp;" ("&amp;(NETWORKDAYS(TODAY(),$Y967,Holidays)-1)&amp;" business day(s) left).")))))</f>
        <v/>
      </c>
      <c r="V967" s="17">
        <f>IF($W967="","",CHOOSE($W967,"Collection Email","1st Follow-up","2nd Follow-up","Local Office","CBE","Roxanne")&amp;IF($W967=6," - Final"," - Day "&amp;MAX(0,NETWORKDAYS($X967,TODAY(),Holidays)-1)&amp;" of "&amp;CHOOSE($W967,3,3,2,2,3))&amp;" | Total Day "&amp;MAX(0,NETWORKDAYS($L967,TODAY(),Holidays)-1))</f>
        <v/>
      </c>
      <c r="W967" s="17">
        <f>IF($L967="","",COUNT($L967:$Q967))</f>
        <v/>
      </c>
      <c r="X967" s="18">
        <f>IF($W967="","",INT(INDEX($L967:$Q967,$W967)))</f>
        <v/>
      </c>
      <c r="Y967" s="18">
        <f>IF(OR($W967="",$W967=6),"",WORKDAY($X967,CHOOSE($W967,3,3,2,2,3),Holidays))</f>
        <v/>
      </c>
      <c r="Z967" s="17">
        <f>IF(OR($W967="",$W967=6),"",CHOOSE($W967,"1st Email Follow-up","2nd Email Follow-up","Escalate Local Office","Escalate to CBE","Escalate to Roxanne"))</f>
        <v/>
      </c>
    </row>
    <row r="968" spans="18:26">
      <c r="R968" s="15"/>
      <c r="S968" s="16"/>
      <c r="T968" s="17">
        <f>IF(AND(COUNTA($A968:$K968)=0,$L968=""),"",IF($S968="Paid","PAID",IF($S968="Closed","CLOSED",IF($W968="","",IF($W968=6,"ESCALATED TO ROXANNE",IF(TODAY()&gt;$Y968,"OVERDUE",IF($Y968&lt;=WORKDAY(TODAY(),1,Holidays),"DUE TOMORROW",IF($W968=4,"ESCALATED TO LOCAL OFFICE",IF($W968=5,"ESCALATED TO CBE",IF($X968=TODAY(),"EMAIL SENT","MONITORING"))))))))))</f>
        <v/>
      </c>
      <c r="U968" s="17">
        <f>IF($T968="",IF(AND(COUNTA($A968:$K968)&gt;0,$L968=""),"Awaiting Collection Email time stamp.",""),IF(OR($T968="PAID",$T968="CLOSED"),IF($T968="PAID","Account paid. Action completed.","Account closed. No further action required."),CHOOSE($W968,"Collection Email","1st Email Follow-up","2nd Email Follow-up","Escalation to Local Office","Escalation to CBE","Escalation to Roxanne")&amp;" sent "&amp;TEXT($X968,"dd-mmm")&amp;". "&amp;IF($W968=6,"Final escalation completed.",IF($T968="OVERDUE","Next: "&amp;$Z968&amp;" was due "&amp;TEXT($Y968,"dd-mmm")&amp;" - "&amp;(NETWORKDAYS($Y968,TODAY(),Holidays)-1)&amp;" business day(s) late. Send now.",IF($T968="DUE TOMORROW","Next: "&amp;$Z968&amp;IF($Y968&lt;=TODAY()," is due TODAY ("," is due next business day (")&amp;TEXT($Y968,"dd-mmm")&amp;").","Next: "&amp;$Z968&amp;" due "&amp;TEXT($Y968,"dd-mmm")&amp;" ("&amp;(NETWORKDAYS(TODAY(),$Y968,Holidays)-1)&amp;" business day(s) left).")))))</f>
        <v/>
      </c>
      <c r="V968" s="17">
        <f>IF($W968="","",CHOOSE($W968,"Collection Email","1st Follow-up","2nd Follow-up","Local Office","CBE","Roxanne")&amp;IF($W968=6," - Final"," - Day "&amp;MAX(0,NETWORKDAYS($X968,TODAY(),Holidays)-1)&amp;" of "&amp;CHOOSE($W968,3,3,2,2,3))&amp;" | Total Day "&amp;MAX(0,NETWORKDAYS($L968,TODAY(),Holidays)-1))</f>
        <v/>
      </c>
      <c r="W968" s="17">
        <f>IF($L968="","",COUNT($L968:$Q968))</f>
        <v/>
      </c>
      <c r="X968" s="18">
        <f>IF($W968="","",INT(INDEX($L968:$Q968,$W968)))</f>
        <v/>
      </c>
      <c r="Y968" s="18">
        <f>IF(OR($W968="",$W968=6),"",WORKDAY($X968,CHOOSE($W968,3,3,2,2,3),Holidays))</f>
        <v/>
      </c>
      <c r="Z968" s="17">
        <f>IF(OR($W968="",$W968=6),"",CHOOSE($W968,"1st Email Follow-up","2nd Email Follow-up","Escalate Local Office","Escalate to CBE","Escalate to Roxanne"))</f>
        <v/>
      </c>
    </row>
    <row r="969" spans="18:26">
      <c r="R969" s="15"/>
      <c r="S969" s="16"/>
      <c r="T969" s="17">
        <f>IF(AND(COUNTA($A969:$K969)=0,$L969=""),"",IF($S969="Paid","PAID",IF($S969="Closed","CLOSED",IF($W969="","",IF($W969=6,"ESCALATED TO ROXANNE",IF(TODAY()&gt;$Y969,"OVERDUE",IF($Y969&lt;=WORKDAY(TODAY(),1,Holidays),"DUE TOMORROW",IF($W969=4,"ESCALATED TO LOCAL OFFICE",IF($W969=5,"ESCALATED TO CBE",IF($X969=TODAY(),"EMAIL SENT","MONITORING"))))))))))</f>
        <v/>
      </c>
      <c r="U969" s="17">
        <f>IF($T969="",IF(AND(COUNTA($A969:$K969)&gt;0,$L969=""),"Awaiting Collection Email time stamp.",""),IF(OR($T969="PAID",$T969="CLOSED"),IF($T969="PAID","Account paid. Action completed.","Account closed. No further action required."),CHOOSE($W969,"Collection Email","1st Email Follow-up","2nd Email Follow-up","Escalation to Local Office","Escalation to CBE","Escalation to Roxanne")&amp;" sent "&amp;TEXT($X969,"dd-mmm")&amp;". "&amp;IF($W969=6,"Final escalation completed.",IF($T969="OVERDUE","Next: "&amp;$Z969&amp;" was due "&amp;TEXT($Y969,"dd-mmm")&amp;" - "&amp;(NETWORKDAYS($Y969,TODAY(),Holidays)-1)&amp;" business day(s) late. Send now.",IF($T969="DUE TOMORROW","Next: "&amp;$Z969&amp;IF($Y969&lt;=TODAY()," is due TODAY ("," is due next business day (")&amp;TEXT($Y969,"dd-mmm")&amp;").","Next: "&amp;$Z969&amp;" due "&amp;TEXT($Y969,"dd-mmm")&amp;" ("&amp;(NETWORKDAYS(TODAY(),$Y969,Holidays)-1)&amp;" business day(s) left).")))))</f>
        <v/>
      </c>
      <c r="V969" s="17">
        <f>IF($W969="","",CHOOSE($W969,"Collection Email","1st Follow-up","2nd Follow-up","Local Office","CBE","Roxanne")&amp;IF($W969=6," - Final"," - Day "&amp;MAX(0,NETWORKDAYS($X969,TODAY(),Holidays)-1)&amp;" of "&amp;CHOOSE($W969,3,3,2,2,3))&amp;" | Total Day "&amp;MAX(0,NETWORKDAYS($L969,TODAY(),Holidays)-1))</f>
        <v/>
      </c>
      <c r="W969" s="17">
        <f>IF($L969="","",COUNT($L969:$Q969))</f>
        <v/>
      </c>
      <c r="X969" s="18">
        <f>IF($W969="","",INT(INDEX($L969:$Q969,$W969)))</f>
        <v/>
      </c>
      <c r="Y969" s="18">
        <f>IF(OR($W969="",$W969=6),"",WORKDAY($X969,CHOOSE($W969,3,3,2,2,3),Holidays))</f>
        <v/>
      </c>
      <c r="Z969" s="17">
        <f>IF(OR($W969="",$W969=6),"",CHOOSE($W969,"1st Email Follow-up","2nd Email Follow-up","Escalate Local Office","Escalate to CBE","Escalate to Roxanne"))</f>
        <v/>
      </c>
    </row>
    <row r="970" spans="18:26">
      <c r="R970" s="15"/>
      <c r="S970" s="16"/>
      <c r="T970" s="17">
        <f>IF(AND(COUNTA($A970:$K970)=0,$L970=""),"",IF($S970="Paid","PAID",IF($S970="Closed","CLOSED",IF($W970="","",IF($W970=6,"ESCALATED TO ROXANNE",IF(TODAY()&gt;$Y970,"OVERDUE",IF($Y970&lt;=WORKDAY(TODAY(),1,Holidays),"DUE TOMORROW",IF($W970=4,"ESCALATED TO LOCAL OFFICE",IF($W970=5,"ESCALATED TO CBE",IF($X970=TODAY(),"EMAIL SENT","MONITORING"))))))))))</f>
        <v/>
      </c>
      <c r="U970" s="17">
        <f>IF($T970="",IF(AND(COUNTA($A970:$K970)&gt;0,$L970=""),"Awaiting Collection Email time stamp.",""),IF(OR($T970="PAID",$T970="CLOSED"),IF($T970="PAID","Account paid. Action completed.","Account closed. No further action required."),CHOOSE($W970,"Collection Email","1st Email Follow-up","2nd Email Follow-up","Escalation to Local Office","Escalation to CBE","Escalation to Roxanne")&amp;" sent "&amp;TEXT($X970,"dd-mmm")&amp;". "&amp;IF($W970=6,"Final escalation completed.",IF($T970="OVERDUE","Next: "&amp;$Z970&amp;" was due "&amp;TEXT($Y970,"dd-mmm")&amp;" - "&amp;(NETWORKDAYS($Y970,TODAY(),Holidays)-1)&amp;" business day(s) late. Send now.",IF($T970="DUE TOMORROW","Next: "&amp;$Z970&amp;IF($Y970&lt;=TODAY()," is due TODAY ("," is due next business day (")&amp;TEXT($Y970,"dd-mmm")&amp;").","Next: "&amp;$Z970&amp;" due "&amp;TEXT($Y970,"dd-mmm")&amp;" ("&amp;(NETWORKDAYS(TODAY(),$Y970,Holidays)-1)&amp;" business day(s) left).")))))</f>
        <v/>
      </c>
      <c r="V970" s="17">
        <f>IF($W970="","",CHOOSE($W970,"Collection Email","1st Follow-up","2nd Follow-up","Local Office","CBE","Roxanne")&amp;IF($W970=6," - Final"," - Day "&amp;MAX(0,NETWORKDAYS($X970,TODAY(),Holidays)-1)&amp;" of "&amp;CHOOSE($W970,3,3,2,2,3))&amp;" | Total Day "&amp;MAX(0,NETWORKDAYS($L970,TODAY(),Holidays)-1))</f>
        <v/>
      </c>
      <c r="W970" s="17">
        <f>IF($L970="","",COUNT($L970:$Q970))</f>
        <v/>
      </c>
      <c r="X970" s="18">
        <f>IF($W970="","",INT(INDEX($L970:$Q970,$W970)))</f>
        <v/>
      </c>
      <c r="Y970" s="18">
        <f>IF(OR($W970="",$W970=6),"",WORKDAY($X970,CHOOSE($W970,3,3,2,2,3),Holidays))</f>
        <v/>
      </c>
      <c r="Z970" s="17">
        <f>IF(OR($W970="",$W970=6),"",CHOOSE($W970,"1st Email Follow-up","2nd Email Follow-up","Escalate Local Office","Escalate to CBE","Escalate to Roxanne"))</f>
        <v/>
      </c>
    </row>
    <row r="971" spans="18:26">
      <c r="R971" s="15"/>
      <c r="S971" s="16"/>
      <c r="T971" s="17">
        <f>IF(AND(COUNTA($A971:$K971)=0,$L971=""),"",IF($S971="Paid","PAID",IF($S971="Closed","CLOSED",IF($W971="","",IF($W971=6,"ESCALATED TO ROXANNE",IF(TODAY()&gt;$Y971,"OVERDUE",IF($Y971&lt;=WORKDAY(TODAY(),1,Holidays),"DUE TOMORROW",IF($W971=4,"ESCALATED TO LOCAL OFFICE",IF($W971=5,"ESCALATED TO CBE",IF($X971=TODAY(),"EMAIL SENT","MONITORING"))))))))))</f>
        <v/>
      </c>
      <c r="U971" s="17">
        <f>IF($T971="",IF(AND(COUNTA($A971:$K971)&gt;0,$L971=""),"Awaiting Collection Email time stamp.",""),IF(OR($T971="PAID",$T971="CLOSED"),IF($T971="PAID","Account paid. Action completed.","Account closed. No further action required."),CHOOSE($W971,"Collection Email","1st Email Follow-up","2nd Email Follow-up","Escalation to Local Office","Escalation to CBE","Escalation to Roxanne")&amp;" sent "&amp;TEXT($X971,"dd-mmm")&amp;". "&amp;IF($W971=6,"Final escalation completed.",IF($T971="OVERDUE","Next: "&amp;$Z971&amp;" was due "&amp;TEXT($Y971,"dd-mmm")&amp;" - "&amp;(NETWORKDAYS($Y971,TODAY(),Holidays)-1)&amp;" business day(s) late. Send now.",IF($T971="DUE TOMORROW","Next: "&amp;$Z971&amp;IF($Y971&lt;=TODAY()," is due TODAY ("," is due next business day (")&amp;TEXT($Y971,"dd-mmm")&amp;").","Next: "&amp;$Z971&amp;" due "&amp;TEXT($Y971,"dd-mmm")&amp;" ("&amp;(NETWORKDAYS(TODAY(),$Y971,Holidays)-1)&amp;" business day(s) left).")))))</f>
        <v/>
      </c>
      <c r="V971" s="17">
        <f>IF($W971="","",CHOOSE($W971,"Collection Email","1st Follow-up","2nd Follow-up","Local Office","CBE","Roxanne")&amp;IF($W971=6," - Final"," - Day "&amp;MAX(0,NETWORKDAYS($X971,TODAY(),Holidays)-1)&amp;" of "&amp;CHOOSE($W971,3,3,2,2,3))&amp;" | Total Day "&amp;MAX(0,NETWORKDAYS($L971,TODAY(),Holidays)-1))</f>
        <v/>
      </c>
      <c r="W971" s="17">
        <f>IF($L971="","",COUNT($L971:$Q971))</f>
        <v/>
      </c>
      <c r="X971" s="18">
        <f>IF($W971="","",INT(INDEX($L971:$Q971,$W971)))</f>
        <v/>
      </c>
      <c r="Y971" s="18">
        <f>IF(OR($W971="",$W971=6),"",WORKDAY($X971,CHOOSE($W971,3,3,2,2,3),Holidays))</f>
        <v/>
      </c>
      <c r="Z971" s="17">
        <f>IF(OR($W971="",$W971=6),"",CHOOSE($W971,"1st Email Follow-up","2nd Email Follow-up","Escalate Local Office","Escalate to CBE","Escalate to Roxanne"))</f>
        <v/>
      </c>
    </row>
    <row r="972" spans="18:26">
      <c r="R972" s="15"/>
      <c r="S972" s="16"/>
      <c r="T972" s="17">
        <f>IF(AND(COUNTA($A972:$K972)=0,$L972=""),"",IF($S972="Paid","PAID",IF($S972="Closed","CLOSED",IF($W972="","",IF($W972=6,"ESCALATED TO ROXANNE",IF(TODAY()&gt;$Y972,"OVERDUE",IF($Y972&lt;=WORKDAY(TODAY(),1,Holidays),"DUE TOMORROW",IF($W972=4,"ESCALATED TO LOCAL OFFICE",IF($W972=5,"ESCALATED TO CBE",IF($X972=TODAY(),"EMAIL SENT","MONITORING"))))))))))</f>
        <v/>
      </c>
      <c r="U972" s="17">
        <f>IF($T972="",IF(AND(COUNTA($A972:$K972)&gt;0,$L972=""),"Awaiting Collection Email time stamp.",""),IF(OR($T972="PAID",$T972="CLOSED"),IF($T972="PAID","Account paid. Action completed.","Account closed. No further action required."),CHOOSE($W972,"Collection Email","1st Email Follow-up","2nd Email Follow-up","Escalation to Local Office","Escalation to CBE","Escalation to Roxanne")&amp;" sent "&amp;TEXT($X972,"dd-mmm")&amp;". "&amp;IF($W972=6,"Final escalation completed.",IF($T972="OVERDUE","Next: "&amp;$Z972&amp;" was due "&amp;TEXT($Y972,"dd-mmm")&amp;" - "&amp;(NETWORKDAYS($Y972,TODAY(),Holidays)-1)&amp;" business day(s) late. Send now.",IF($T972="DUE TOMORROW","Next: "&amp;$Z972&amp;IF($Y972&lt;=TODAY()," is due TODAY ("," is due next business day (")&amp;TEXT($Y972,"dd-mmm")&amp;").","Next: "&amp;$Z972&amp;" due "&amp;TEXT($Y972,"dd-mmm")&amp;" ("&amp;(NETWORKDAYS(TODAY(),$Y972,Holidays)-1)&amp;" business day(s) left).")))))</f>
        <v/>
      </c>
      <c r="V972" s="17">
        <f>IF($W972="","",CHOOSE($W972,"Collection Email","1st Follow-up","2nd Follow-up","Local Office","CBE","Roxanne")&amp;IF($W972=6," - Final"," - Day "&amp;MAX(0,NETWORKDAYS($X972,TODAY(),Holidays)-1)&amp;" of "&amp;CHOOSE($W972,3,3,2,2,3))&amp;" | Total Day "&amp;MAX(0,NETWORKDAYS($L972,TODAY(),Holidays)-1))</f>
        <v/>
      </c>
      <c r="W972" s="17">
        <f>IF($L972="","",COUNT($L972:$Q972))</f>
        <v/>
      </c>
      <c r="X972" s="18">
        <f>IF($W972="","",INT(INDEX($L972:$Q972,$W972)))</f>
        <v/>
      </c>
      <c r="Y972" s="18">
        <f>IF(OR($W972="",$W972=6),"",WORKDAY($X972,CHOOSE($W972,3,3,2,2,3),Holidays))</f>
        <v/>
      </c>
      <c r="Z972" s="17">
        <f>IF(OR($W972="",$W972=6),"",CHOOSE($W972,"1st Email Follow-up","2nd Email Follow-up","Escalate Local Office","Escalate to CBE","Escalate to Roxanne"))</f>
        <v/>
      </c>
    </row>
    <row r="973" spans="18:26">
      <c r="R973" s="15"/>
      <c r="S973" s="16"/>
      <c r="T973" s="17">
        <f>IF(AND(COUNTA($A973:$K973)=0,$L973=""),"",IF($S973="Paid","PAID",IF($S973="Closed","CLOSED",IF($W973="","",IF($W973=6,"ESCALATED TO ROXANNE",IF(TODAY()&gt;$Y973,"OVERDUE",IF($Y973&lt;=WORKDAY(TODAY(),1,Holidays),"DUE TOMORROW",IF($W973=4,"ESCALATED TO LOCAL OFFICE",IF($W973=5,"ESCALATED TO CBE",IF($X973=TODAY(),"EMAIL SENT","MONITORING"))))))))))</f>
        <v/>
      </c>
      <c r="U973" s="17">
        <f>IF($T973="",IF(AND(COUNTA($A973:$K973)&gt;0,$L973=""),"Awaiting Collection Email time stamp.",""),IF(OR($T973="PAID",$T973="CLOSED"),IF($T973="PAID","Account paid. Action completed.","Account closed. No further action required."),CHOOSE($W973,"Collection Email","1st Email Follow-up","2nd Email Follow-up","Escalation to Local Office","Escalation to CBE","Escalation to Roxanne")&amp;" sent "&amp;TEXT($X973,"dd-mmm")&amp;". "&amp;IF($W973=6,"Final escalation completed.",IF($T973="OVERDUE","Next: "&amp;$Z973&amp;" was due "&amp;TEXT($Y973,"dd-mmm")&amp;" - "&amp;(NETWORKDAYS($Y973,TODAY(),Holidays)-1)&amp;" business day(s) late. Send now.",IF($T973="DUE TOMORROW","Next: "&amp;$Z973&amp;IF($Y973&lt;=TODAY()," is due TODAY ("," is due next business day (")&amp;TEXT($Y973,"dd-mmm")&amp;").","Next: "&amp;$Z973&amp;" due "&amp;TEXT($Y973,"dd-mmm")&amp;" ("&amp;(NETWORKDAYS(TODAY(),$Y973,Holidays)-1)&amp;" business day(s) left).")))))</f>
        <v/>
      </c>
      <c r="V973" s="17">
        <f>IF($W973="","",CHOOSE($W973,"Collection Email","1st Follow-up","2nd Follow-up","Local Office","CBE","Roxanne")&amp;IF($W973=6," - Final"," - Day "&amp;MAX(0,NETWORKDAYS($X973,TODAY(),Holidays)-1)&amp;" of "&amp;CHOOSE($W973,3,3,2,2,3))&amp;" | Total Day "&amp;MAX(0,NETWORKDAYS($L973,TODAY(),Holidays)-1))</f>
        <v/>
      </c>
      <c r="W973" s="17">
        <f>IF($L973="","",COUNT($L973:$Q973))</f>
        <v/>
      </c>
      <c r="X973" s="18">
        <f>IF($W973="","",INT(INDEX($L973:$Q973,$W973)))</f>
        <v/>
      </c>
      <c r="Y973" s="18">
        <f>IF(OR($W973="",$W973=6),"",WORKDAY($X973,CHOOSE($W973,3,3,2,2,3),Holidays))</f>
        <v/>
      </c>
      <c r="Z973" s="17">
        <f>IF(OR($W973="",$W973=6),"",CHOOSE($W973,"1st Email Follow-up","2nd Email Follow-up","Escalate Local Office","Escalate to CBE","Escalate to Roxanne"))</f>
        <v/>
      </c>
    </row>
    <row r="974" spans="18:26">
      <c r="R974" s="15"/>
      <c r="S974" s="16"/>
      <c r="T974" s="17">
        <f>IF(AND(COUNTA($A974:$K974)=0,$L974=""),"",IF($S974="Paid","PAID",IF($S974="Closed","CLOSED",IF($W974="","",IF($W974=6,"ESCALATED TO ROXANNE",IF(TODAY()&gt;$Y974,"OVERDUE",IF($Y974&lt;=WORKDAY(TODAY(),1,Holidays),"DUE TOMORROW",IF($W974=4,"ESCALATED TO LOCAL OFFICE",IF($W974=5,"ESCALATED TO CBE",IF($X974=TODAY(),"EMAIL SENT","MONITORING"))))))))))</f>
        <v/>
      </c>
      <c r="U974" s="17">
        <f>IF($T974="",IF(AND(COUNTA($A974:$K974)&gt;0,$L974=""),"Awaiting Collection Email time stamp.",""),IF(OR($T974="PAID",$T974="CLOSED"),IF($T974="PAID","Account paid. Action completed.","Account closed. No further action required."),CHOOSE($W974,"Collection Email","1st Email Follow-up","2nd Email Follow-up","Escalation to Local Office","Escalation to CBE","Escalation to Roxanne")&amp;" sent "&amp;TEXT($X974,"dd-mmm")&amp;". "&amp;IF($W974=6,"Final escalation completed.",IF($T974="OVERDUE","Next: "&amp;$Z974&amp;" was due "&amp;TEXT($Y974,"dd-mmm")&amp;" - "&amp;(NETWORKDAYS($Y974,TODAY(),Holidays)-1)&amp;" business day(s) late. Send now.",IF($T974="DUE TOMORROW","Next: "&amp;$Z974&amp;IF($Y974&lt;=TODAY()," is due TODAY ("," is due next business day (")&amp;TEXT($Y974,"dd-mmm")&amp;").","Next: "&amp;$Z974&amp;" due "&amp;TEXT($Y974,"dd-mmm")&amp;" ("&amp;(NETWORKDAYS(TODAY(),$Y974,Holidays)-1)&amp;" business day(s) left).")))))</f>
        <v/>
      </c>
      <c r="V974" s="17">
        <f>IF($W974="","",CHOOSE($W974,"Collection Email","1st Follow-up","2nd Follow-up","Local Office","CBE","Roxanne")&amp;IF($W974=6," - Final"," - Day "&amp;MAX(0,NETWORKDAYS($X974,TODAY(),Holidays)-1)&amp;" of "&amp;CHOOSE($W974,3,3,2,2,3))&amp;" | Total Day "&amp;MAX(0,NETWORKDAYS($L974,TODAY(),Holidays)-1))</f>
        <v/>
      </c>
      <c r="W974" s="17">
        <f>IF($L974="","",COUNT($L974:$Q974))</f>
        <v/>
      </c>
      <c r="X974" s="18">
        <f>IF($W974="","",INT(INDEX($L974:$Q974,$W974)))</f>
        <v/>
      </c>
      <c r="Y974" s="18">
        <f>IF(OR($W974="",$W974=6),"",WORKDAY($X974,CHOOSE($W974,3,3,2,2,3),Holidays))</f>
        <v/>
      </c>
      <c r="Z974" s="17">
        <f>IF(OR($W974="",$W974=6),"",CHOOSE($W974,"1st Email Follow-up","2nd Email Follow-up","Escalate Local Office","Escalate to CBE","Escalate to Roxanne"))</f>
        <v/>
      </c>
    </row>
    <row r="975" spans="18:26">
      <c r="R975" s="15"/>
      <c r="S975" s="16"/>
      <c r="T975" s="17">
        <f>IF(AND(COUNTA($A975:$K975)=0,$L975=""),"",IF($S975="Paid","PAID",IF($S975="Closed","CLOSED",IF($W975="","",IF($W975=6,"ESCALATED TO ROXANNE",IF(TODAY()&gt;$Y975,"OVERDUE",IF($Y975&lt;=WORKDAY(TODAY(),1,Holidays),"DUE TOMORROW",IF($W975=4,"ESCALATED TO LOCAL OFFICE",IF($W975=5,"ESCALATED TO CBE",IF($X975=TODAY(),"EMAIL SENT","MONITORING"))))))))))</f>
        <v/>
      </c>
      <c r="U975" s="17">
        <f>IF($T975="",IF(AND(COUNTA($A975:$K975)&gt;0,$L975=""),"Awaiting Collection Email time stamp.",""),IF(OR($T975="PAID",$T975="CLOSED"),IF($T975="PAID","Account paid. Action completed.","Account closed. No further action required."),CHOOSE($W975,"Collection Email","1st Email Follow-up","2nd Email Follow-up","Escalation to Local Office","Escalation to CBE","Escalation to Roxanne")&amp;" sent "&amp;TEXT($X975,"dd-mmm")&amp;". "&amp;IF($W975=6,"Final escalation completed.",IF($T975="OVERDUE","Next: "&amp;$Z975&amp;" was due "&amp;TEXT($Y975,"dd-mmm")&amp;" - "&amp;(NETWORKDAYS($Y975,TODAY(),Holidays)-1)&amp;" business day(s) late. Send now.",IF($T975="DUE TOMORROW","Next: "&amp;$Z975&amp;IF($Y975&lt;=TODAY()," is due TODAY ("," is due next business day (")&amp;TEXT($Y975,"dd-mmm")&amp;").","Next: "&amp;$Z975&amp;" due "&amp;TEXT($Y975,"dd-mmm")&amp;" ("&amp;(NETWORKDAYS(TODAY(),$Y975,Holidays)-1)&amp;" business day(s) left).")))))</f>
        <v/>
      </c>
      <c r="V975" s="17">
        <f>IF($W975="","",CHOOSE($W975,"Collection Email","1st Follow-up","2nd Follow-up","Local Office","CBE","Roxanne")&amp;IF($W975=6," - Final"," - Day "&amp;MAX(0,NETWORKDAYS($X975,TODAY(),Holidays)-1)&amp;" of "&amp;CHOOSE($W975,3,3,2,2,3))&amp;" | Total Day "&amp;MAX(0,NETWORKDAYS($L975,TODAY(),Holidays)-1))</f>
        <v/>
      </c>
      <c r="W975" s="17">
        <f>IF($L975="","",COUNT($L975:$Q975))</f>
        <v/>
      </c>
      <c r="X975" s="18">
        <f>IF($W975="","",INT(INDEX($L975:$Q975,$W975)))</f>
        <v/>
      </c>
      <c r="Y975" s="18">
        <f>IF(OR($W975="",$W975=6),"",WORKDAY($X975,CHOOSE($W975,3,3,2,2,3),Holidays))</f>
        <v/>
      </c>
      <c r="Z975" s="17">
        <f>IF(OR($W975="",$W975=6),"",CHOOSE($W975,"1st Email Follow-up","2nd Email Follow-up","Escalate Local Office","Escalate to CBE","Escalate to Roxanne"))</f>
        <v/>
      </c>
    </row>
    <row r="976" spans="18:26">
      <c r="R976" s="15"/>
      <c r="S976" s="16"/>
      <c r="T976" s="17">
        <f>IF(AND(COUNTA($A976:$K976)=0,$L976=""),"",IF($S976="Paid","PAID",IF($S976="Closed","CLOSED",IF($W976="","",IF($W976=6,"ESCALATED TO ROXANNE",IF(TODAY()&gt;$Y976,"OVERDUE",IF($Y976&lt;=WORKDAY(TODAY(),1,Holidays),"DUE TOMORROW",IF($W976=4,"ESCALATED TO LOCAL OFFICE",IF($W976=5,"ESCALATED TO CBE",IF($X976=TODAY(),"EMAIL SENT","MONITORING"))))))))))</f>
        <v/>
      </c>
      <c r="U976" s="17">
        <f>IF($T976="",IF(AND(COUNTA($A976:$K976)&gt;0,$L976=""),"Awaiting Collection Email time stamp.",""),IF(OR($T976="PAID",$T976="CLOSED"),IF($T976="PAID","Account paid. Action completed.","Account closed. No further action required."),CHOOSE($W976,"Collection Email","1st Email Follow-up","2nd Email Follow-up","Escalation to Local Office","Escalation to CBE","Escalation to Roxanne")&amp;" sent "&amp;TEXT($X976,"dd-mmm")&amp;". "&amp;IF($W976=6,"Final escalation completed.",IF($T976="OVERDUE","Next: "&amp;$Z976&amp;" was due "&amp;TEXT($Y976,"dd-mmm")&amp;" - "&amp;(NETWORKDAYS($Y976,TODAY(),Holidays)-1)&amp;" business day(s) late. Send now.",IF($T976="DUE TOMORROW","Next: "&amp;$Z976&amp;IF($Y976&lt;=TODAY()," is due TODAY ("," is due next business day (")&amp;TEXT($Y976,"dd-mmm")&amp;").","Next: "&amp;$Z976&amp;" due "&amp;TEXT($Y976,"dd-mmm")&amp;" ("&amp;(NETWORKDAYS(TODAY(),$Y976,Holidays)-1)&amp;" business day(s) left).")))))</f>
        <v/>
      </c>
      <c r="V976" s="17">
        <f>IF($W976="","",CHOOSE($W976,"Collection Email","1st Follow-up","2nd Follow-up","Local Office","CBE","Roxanne")&amp;IF($W976=6," - Final"," - Day "&amp;MAX(0,NETWORKDAYS($X976,TODAY(),Holidays)-1)&amp;" of "&amp;CHOOSE($W976,3,3,2,2,3))&amp;" | Total Day "&amp;MAX(0,NETWORKDAYS($L976,TODAY(),Holidays)-1))</f>
        <v/>
      </c>
      <c r="W976" s="17">
        <f>IF($L976="","",COUNT($L976:$Q976))</f>
        <v/>
      </c>
      <c r="X976" s="18">
        <f>IF($W976="","",INT(INDEX($L976:$Q976,$W976)))</f>
        <v/>
      </c>
      <c r="Y976" s="18">
        <f>IF(OR($W976="",$W976=6),"",WORKDAY($X976,CHOOSE($W976,3,3,2,2,3),Holidays))</f>
        <v/>
      </c>
      <c r="Z976" s="17">
        <f>IF(OR($W976="",$W976=6),"",CHOOSE($W976,"1st Email Follow-up","2nd Email Follow-up","Escalate Local Office","Escalate to CBE","Escalate to Roxanne"))</f>
        <v/>
      </c>
    </row>
    <row r="977" spans="18:26">
      <c r="R977" s="15"/>
      <c r="S977" s="16"/>
      <c r="T977" s="17">
        <f>IF(AND(COUNTA($A977:$K977)=0,$L977=""),"",IF($S977="Paid","PAID",IF($S977="Closed","CLOSED",IF($W977="","",IF($W977=6,"ESCALATED TO ROXANNE",IF(TODAY()&gt;$Y977,"OVERDUE",IF($Y977&lt;=WORKDAY(TODAY(),1,Holidays),"DUE TOMORROW",IF($W977=4,"ESCALATED TO LOCAL OFFICE",IF($W977=5,"ESCALATED TO CBE",IF($X977=TODAY(),"EMAIL SENT","MONITORING"))))))))))</f>
        <v/>
      </c>
      <c r="U977" s="17">
        <f>IF($T977="",IF(AND(COUNTA($A977:$K977)&gt;0,$L977=""),"Awaiting Collection Email time stamp.",""),IF(OR($T977="PAID",$T977="CLOSED"),IF($T977="PAID","Account paid. Action completed.","Account closed. No further action required."),CHOOSE($W977,"Collection Email","1st Email Follow-up","2nd Email Follow-up","Escalation to Local Office","Escalation to CBE","Escalation to Roxanne")&amp;" sent "&amp;TEXT($X977,"dd-mmm")&amp;". "&amp;IF($W977=6,"Final escalation completed.",IF($T977="OVERDUE","Next: "&amp;$Z977&amp;" was due "&amp;TEXT($Y977,"dd-mmm")&amp;" - "&amp;(NETWORKDAYS($Y977,TODAY(),Holidays)-1)&amp;" business day(s) late. Send now.",IF($T977="DUE TOMORROW","Next: "&amp;$Z977&amp;IF($Y977&lt;=TODAY()," is due TODAY ("," is due next business day (")&amp;TEXT($Y977,"dd-mmm")&amp;").","Next: "&amp;$Z977&amp;" due "&amp;TEXT($Y977,"dd-mmm")&amp;" ("&amp;(NETWORKDAYS(TODAY(),$Y977,Holidays)-1)&amp;" business day(s) left).")))))</f>
        <v/>
      </c>
      <c r="V977" s="17">
        <f>IF($W977="","",CHOOSE($W977,"Collection Email","1st Follow-up","2nd Follow-up","Local Office","CBE","Roxanne")&amp;IF($W977=6," - Final"," - Day "&amp;MAX(0,NETWORKDAYS($X977,TODAY(),Holidays)-1)&amp;" of "&amp;CHOOSE($W977,3,3,2,2,3))&amp;" | Total Day "&amp;MAX(0,NETWORKDAYS($L977,TODAY(),Holidays)-1))</f>
        <v/>
      </c>
      <c r="W977" s="17">
        <f>IF($L977="","",COUNT($L977:$Q977))</f>
        <v/>
      </c>
      <c r="X977" s="18">
        <f>IF($W977="","",INT(INDEX($L977:$Q977,$W977)))</f>
        <v/>
      </c>
      <c r="Y977" s="18">
        <f>IF(OR($W977="",$W977=6),"",WORKDAY($X977,CHOOSE($W977,3,3,2,2,3),Holidays))</f>
        <v/>
      </c>
      <c r="Z977" s="17">
        <f>IF(OR($W977="",$W977=6),"",CHOOSE($W977,"1st Email Follow-up","2nd Email Follow-up","Escalate Local Office","Escalate to CBE","Escalate to Roxanne"))</f>
        <v/>
      </c>
    </row>
    <row r="978" spans="18:26">
      <c r="R978" s="15"/>
      <c r="S978" s="16"/>
      <c r="T978" s="17">
        <f>IF(AND(COUNTA($A978:$K978)=0,$L978=""),"",IF($S978="Paid","PAID",IF($S978="Closed","CLOSED",IF($W978="","",IF($W978=6,"ESCALATED TO ROXANNE",IF(TODAY()&gt;$Y978,"OVERDUE",IF($Y978&lt;=WORKDAY(TODAY(),1,Holidays),"DUE TOMORROW",IF($W978=4,"ESCALATED TO LOCAL OFFICE",IF($W978=5,"ESCALATED TO CBE",IF($X978=TODAY(),"EMAIL SENT","MONITORING"))))))))))</f>
        <v/>
      </c>
      <c r="U978" s="17">
        <f>IF($T978="",IF(AND(COUNTA($A978:$K978)&gt;0,$L978=""),"Awaiting Collection Email time stamp.",""),IF(OR($T978="PAID",$T978="CLOSED"),IF($T978="PAID","Account paid. Action completed.","Account closed. No further action required."),CHOOSE($W978,"Collection Email","1st Email Follow-up","2nd Email Follow-up","Escalation to Local Office","Escalation to CBE","Escalation to Roxanne")&amp;" sent "&amp;TEXT($X978,"dd-mmm")&amp;". "&amp;IF($W978=6,"Final escalation completed.",IF($T978="OVERDUE","Next: "&amp;$Z978&amp;" was due "&amp;TEXT($Y978,"dd-mmm")&amp;" - "&amp;(NETWORKDAYS($Y978,TODAY(),Holidays)-1)&amp;" business day(s) late. Send now.",IF($T978="DUE TOMORROW","Next: "&amp;$Z978&amp;IF($Y978&lt;=TODAY()," is due TODAY ("," is due next business day (")&amp;TEXT($Y978,"dd-mmm")&amp;").","Next: "&amp;$Z978&amp;" due "&amp;TEXT($Y978,"dd-mmm")&amp;" ("&amp;(NETWORKDAYS(TODAY(),$Y978,Holidays)-1)&amp;" business day(s) left).")))))</f>
        <v/>
      </c>
      <c r="V978" s="17">
        <f>IF($W978="","",CHOOSE($W978,"Collection Email","1st Follow-up","2nd Follow-up","Local Office","CBE","Roxanne")&amp;IF($W978=6," - Final"," - Day "&amp;MAX(0,NETWORKDAYS($X978,TODAY(),Holidays)-1)&amp;" of "&amp;CHOOSE($W978,3,3,2,2,3))&amp;" | Total Day "&amp;MAX(0,NETWORKDAYS($L978,TODAY(),Holidays)-1))</f>
        <v/>
      </c>
      <c r="W978" s="17">
        <f>IF($L978="","",COUNT($L978:$Q978))</f>
        <v/>
      </c>
      <c r="X978" s="18">
        <f>IF($W978="","",INT(INDEX($L978:$Q978,$W978)))</f>
        <v/>
      </c>
      <c r="Y978" s="18">
        <f>IF(OR($W978="",$W978=6),"",WORKDAY($X978,CHOOSE($W978,3,3,2,2,3),Holidays))</f>
        <v/>
      </c>
      <c r="Z978" s="17">
        <f>IF(OR($W978="",$W978=6),"",CHOOSE($W978,"1st Email Follow-up","2nd Email Follow-up","Escalate Local Office","Escalate to CBE","Escalate to Roxanne"))</f>
        <v/>
      </c>
    </row>
    <row r="979" spans="18:26">
      <c r="R979" s="15"/>
      <c r="S979" s="16"/>
      <c r="T979" s="17">
        <f>IF(AND(COUNTA($A979:$K979)=0,$L979=""),"",IF($S979="Paid","PAID",IF($S979="Closed","CLOSED",IF($W979="","",IF($W979=6,"ESCALATED TO ROXANNE",IF(TODAY()&gt;$Y979,"OVERDUE",IF($Y979&lt;=WORKDAY(TODAY(),1,Holidays),"DUE TOMORROW",IF($W979=4,"ESCALATED TO LOCAL OFFICE",IF($W979=5,"ESCALATED TO CBE",IF($X979=TODAY(),"EMAIL SENT","MONITORING"))))))))))</f>
        <v/>
      </c>
      <c r="U979" s="17">
        <f>IF($T979="",IF(AND(COUNTA($A979:$K979)&gt;0,$L979=""),"Awaiting Collection Email time stamp.",""),IF(OR($T979="PAID",$T979="CLOSED"),IF($T979="PAID","Account paid. Action completed.","Account closed. No further action required."),CHOOSE($W979,"Collection Email","1st Email Follow-up","2nd Email Follow-up","Escalation to Local Office","Escalation to CBE","Escalation to Roxanne")&amp;" sent "&amp;TEXT($X979,"dd-mmm")&amp;". "&amp;IF($W979=6,"Final escalation completed.",IF($T979="OVERDUE","Next: "&amp;$Z979&amp;" was due "&amp;TEXT($Y979,"dd-mmm")&amp;" - "&amp;(NETWORKDAYS($Y979,TODAY(),Holidays)-1)&amp;" business day(s) late. Send now.",IF($T979="DUE TOMORROW","Next: "&amp;$Z979&amp;IF($Y979&lt;=TODAY()," is due TODAY ("," is due next business day (")&amp;TEXT($Y979,"dd-mmm")&amp;").","Next: "&amp;$Z979&amp;" due "&amp;TEXT($Y979,"dd-mmm")&amp;" ("&amp;(NETWORKDAYS(TODAY(),$Y979,Holidays)-1)&amp;" business day(s) left).")))))</f>
        <v/>
      </c>
      <c r="V979" s="17">
        <f>IF($W979="","",CHOOSE($W979,"Collection Email","1st Follow-up","2nd Follow-up","Local Office","CBE","Roxanne")&amp;IF($W979=6," - Final"," - Day "&amp;MAX(0,NETWORKDAYS($X979,TODAY(),Holidays)-1)&amp;" of "&amp;CHOOSE($W979,3,3,2,2,3))&amp;" | Total Day "&amp;MAX(0,NETWORKDAYS($L979,TODAY(),Holidays)-1))</f>
        <v/>
      </c>
      <c r="W979" s="17">
        <f>IF($L979="","",COUNT($L979:$Q979))</f>
        <v/>
      </c>
      <c r="X979" s="18">
        <f>IF($W979="","",INT(INDEX($L979:$Q979,$W979)))</f>
        <v/>
      </c>
      <c r="Y979" s="18">
        <f>IF(OR($W979="",$W979=6),"",WORKDAY($X979,CHOOSE($W979,3,3,2,2,3),Holidays))</f>
        <v/>
      </c>
      <c r="Z979" s="17">
        <f>IF(OR($W979="",$W979=6),"",CHOOSE($W979,"1st Email Follow-up","2nd Email Follow-up","Escalate Local Office","Escalate to CBE","Escalate to Roxanne"))</f>
        <v/>
      </c>
    </row>
    <row r="980" spans="18:26">
      <c r="R980" s="15"/>
      <c r="S980" s="16"/>
      <c r="T980" s="17">
        <f>IF(AND(COUNTA($A980:$K980)=0,$L980=""),"",IF($S980="Paid","PAID",IF($S980="Closed","CLOSED",IF($W980="","",IF($W980=6,"ESCALATED TO ROXANNE",IF(TODAY()&gt;$Y980,"OVERDUE",IF($Y980&lt;=WORKDAY(TODAY(),1,Holidays),"DUE TOMORROW",IF($W980=4,"ESCALATED TO LOCAL OFFICE",IF($W980=5,"ESCALATED TO CBE",IF($X980=TODAY(),"EMAIL SENT","MONITORING"))))))))))</f>
        <v/>
      </c>
      <c r="U980" s="17">
        <f>IF($T980="",IF(AND(COUNTA($A980:$K980)&gt;0,$L980=""),"Awaiting Collection Email time stamp.",""),IF(OR($T980="PAID",$T980="CLOSED"),IF($T980="PAID","Account paid. Action completed.","Account closed. No further action required."),CHOOSE($W980,"Collection Email","1st Email Follow-up","2nd Email Follow-up","Escalation to Local Office","Escalation to CBE","Escalation to Roxanne")&amp;" sent "&amp;TEXT($X980,"dd-mmm")&amp;". "&amp;IF($W980=6,"Final escalation completed.",IF($T980="OVERDUE","Next: "&amp;$Z980&amp;" was due "&amp;TEXT($Y980,"dd-mmm")&amp;" - "&amp;(NETWORKDAYS($Y980,TODAY(),Holidays)-1)&amp;" business day(s) late. Send now.",IF($T980="DUE TOMORROW","Next: "&amp;$Z980&amp;IF($Y980&lt;=TODAY()," is due TODAY ("," is due next business day (")&amp;TEXT($Y980,"dd-mmm")&amp;").","Next: "&amp;$Z980&amp;" due "&amp;TEXT($Y980,"dd-mmm")&amp;" ("&amp;(NETWORKDAYS(TODAY(),$Y980,Holidays)-1)&amp;" business day(s) left).")))))</f>
        <v/>
      </c>
      <c r="V980" s="17">
        <f>IF($W980="","",CHOOSE($W980,"Collection Email","1st Follow-up","2nd Follow-up","Local Office","CBE","Roxanne")&amp;IF($W980=6," - Final"," - Day "&amp;MAX(0,NETWORKDAYS($X980,TODAY(),Holidays)-1)&amp;" of "&amp;CHOOSE($W980,3,3,2,2,3))&amp;" | Total Day "&amp;MAX(0,NETWORKDAYS($L980,TODAY(),Holidays)-1))</f>
        <v/>
      </c>
      <c r="W980" s="17">
        <f>IF($L980="","",COUNT($L980:$Q980))</f>
        <v/>
      </c>
      <c r="X980" s="18">
        <f>IF($W980="","",INT(INDEX($L980:$Q980,$W980)))</f>
        <v/>
      </c>
      <c r="Y980" s="18">
        <f>IF(OR($W980="",$W980=6),"",WORKDAY($X980,CHOOSE($W980,3,3,2,2,3),Holidays))</f>
        <v/>
      </c>
      <c r="Z980" s="17">
        <f>IF(OR($W980="",$W980=6),"",CHOOSE($W980,"1st Email Follow-up","2nd Email Follow-up","Escalate Local Office","Escalate to CBE","Escalate to Roxanne"))</f>
        <v/>
      </c>
    </row>
    <row r="981" spans="18:26">
      <c r="R981" s="15"/>
      <c r="S981" s="16"/>
      <c r="T981" s="17">
        <f>IF(AND(COUNTA($A981:$K981)=0,$L981=""),"",IF($S981="Paid","PAID",IF($S981="Closed","CLOSED",IF($W981="","",IF($W981=6,"ESCALATED TO ROXANNE",IF(TODAY()&gt;$Y981,"OVERDUE",IF($Y981&lt;=WORKDAY(TODAY(),1,Holidays),"DUE TOMORROW",IF($W981=4,"ESCALATED TO LOCAL OFFICE",IF($W981=5,"ESCALATED TO CBE",IF($X981=TODAY(),"EMAIL SENT","MONITORING"))))))))))</f>
        <v/>
      </c>
      <c r="U981" s="17">
        <f>IF($T981="",IF(AND(COUNTA($A981:$K981)&gt;0,$L981=""),"Awaiting Collection Email time stamp.",""),IF(OR($T981="PAID",$T981="CLOSED"),IF($T981="PAID","Account paid. Action completed.","Account closed. No further action required."),CHOOSE($W981,"Collection Email","1st Email Follow-up","2nd Email Follow-up","Escalation to Local Office","Escalation to CBE","Escalation to Roxanne")&amp;" sent "&amp;TEXT($X981,"dd-mmm")&amp;". "&amp;IF($W981=6,"Final escalation completed.",IF($T981="OVERDUE","Next: "&amp;$Z981&amp;" was due "&amp;TEXT($Y981,"dd-mmm")&amp;" - "&amp;(NETWORKDAYS($Y981,TODAY(),Holidays)-1)&amp;" business day(s) late. Send now.",IF($T981="DUE TOMORROW","Next: "&amp;$Z981&amp;IF($Y981&lt;=TODAY()," is due TODAY ("," is due next business day (")&amp;TEXT($Y981,"dd-mmm")&amp;").","Next: "&amp;$Z981&amp;" due "&amp;TEXT($Y981,"dd-mmm")&amp;" ("&amp;(NETWORKDAYS(TODAY(),$Y981,Holidays)-1)&amp;" business day(s) left).")))))</f>
        <v/>
      </c>
      <c r="V981" s="17">
        <f>IF($W981="","",CHOOSE($W981,"Collection Email","1st Follow-up","2nd Follow-up","Local Office","CBE","Roxanne")&amp;IF($W981=6," - Final"," - Day "&amp;MAX(0,NETWORKDAYS($X981,TODAY(),Holidays)-1)&amp;" of "&amp;CHOOSE($W981,3,3,2,2,3))&amp;" | Total Day "&amp;MAX(0,NETWORKDAYS($L981,TODAY(),Holidays)-1))</f>
        <v/>
      </c>
      <c r="W981" s="17">
        <f>IF($L981="","",COUNT($L981:$Q981))</f>
        <v/>
      </c>
      <c r="X981" s="18">
        <f>IF($W981="","",INT(INDEX($L981:$Q981,$W981)))</f>
        <v/>
      </c>
      <c r="Y981" s="18">
        <f>IF(OR($W981="",$W981=6),"",WORKDAY($X981,CHOOSE($W981,3,3,2,2,3),Holidays))</f>
        <v/>
      </c>
      <c r="Z981" s="17">
        <f>IF(OR($W981="",$W981=6),"",CHOOSE($W981,"1st Email Follow-up","2nd Email Follow-up","Escalate Local Office","Escalate to CBE","Escalate to Roxanne"))</f>
        <v/>
      </c>
    </row>
    <row r="982" spans="18:26">
      <c r="R982" s="15"/>
      <c r="S982" s="16"/>
      <c r="T982" s="17">
        <f>IF(AND(COUNTA($A982:$K982)=0,$L982=""),"",IF($S982="Paid","PAID",IF($S982="Closed","CLOSED",IF($W982="","",IF($W982=6,"ESCALATED TO ROXANNE",IF(TODAY()&gt;$Y982,"OVERDUE",IF($Y982&lt;=WORKDAY(TODAY(),1,Holidays),"DUE TOMORROW",IF($W982=4,"ESCALATED TO LOCAL OFFICE",IF($W982=5,"ESCALATED TO CBE",IF($X982=TODAY(),"EMAIL SENT","MONITORING"))))))))))</f>
        <v/>
      </c>
      <c r="U982" s="17">
        <f>IF($T982="",IF(AND(COUNTA($A982:$K982)&gt;0,$L982=""),"Awaiting Collection Email time stamp.",""),IF(OR($T982="PAID",$T982="CLOSED"),IF($T982="PAID","Account paid. Action completed.","Account closed. No further action required."),CHOOSE($W982,"Collection Email","1st Email Follow-up","2nd Email Follow-up","Escalation to Local Office","Escalation to CBE","Escalation to Roxanne")&amp;" sent "&amp;TEXT($X982,"dd-mmm")&amp;". "&amp;IF($W982=6,"Final escalation completed.",IF($T982="OVERDUE","Next: "&amp;$Z982&amp;" was due "&amp;TEXT($Y982,"dd-mmm")&amp;" - "&amp;(NETWORKDAYS($Y982,TODAY(),Holidays)-1)&amp;" business day(s) late. Send now.",IF($T982="DUE TOMORROW","Next: "&amp;$Z982&amp;IF($Y982&lt;=TODAY()," is due TODAY ("," is due next business day (")&amp;TEXT($Y982,"dd-mmm")&amp;").","Next: "&amp;$Z982&amp;" due "&amp;TEXT($Y982,"dd-mmm")&amp;" ("&amp;(NETWORKDAYS(TODAY(),$Y982,Holidays)-1)&amp;" business day(s) left).")))))</f>
        <v/>
      </c>
      <c r="V982" s="17">
        <f>IF($W982="","",CHOOSE($W982,"Collection Email","1st Follow-up","2nd Follow-up","Local Office","CBE","Roxanne")&amp;IF($W982=6," - Final"," - Day "&amp;MAX(0,NETWORKDAYS($X982,TODAY(),Holidays)-1)&amp;" of "&amp;CHOOSE($W982,3,3,2,2,3))&amp;" | Total Day "&amp;MAX(0,NETWORKDAYS($L982,TODAY(),Holidays)-1))</f>
        <v/>
      </c>
      <c r="W982" s="17">
        <f>IF($L982="","",COUNT($L982:$Q982))</f>
        <v/>
      </c>
      <c r="X982" s="18">
        <f>IF($W982="","",INT(INDEX($L982:$Q982,$W982)))</f>
        <v/>
      </c>
      <c r="Y982" s="18">
        <f>IF(OR($W982="",$W982=6),"",WORKDAY($X982,CHOOSE($W982,3,3,2,2,3),Holidays))</f>
        <v/>
      </c>
      <c r="Z982" s="17">
        <f>IF(OR($W982="",$W982=6),"",CHOOSE($W982,"1st Email Follow-up","2nd Email Follow-up","Escalate Local Office","Escalate to CBE","Escalate to Roxanne"))</f>
        <v/>
      </c>
    </row>
    <row r="983" spans="18:26">
      <c r="R983" s="15"/>
      <c r="S983" s="16"/>
      <c r="T983" s="17">
        <f>IF(AND(COUNTA($A983:$K983)=0,$L983=""),"",IF($S983="Paid","PAID",IF($S983="Closed","CLOSED",IF($W983="","",IF($W983=6,"ESCALATED TO ROXANNE",IF(TODAY()&gt;$Y983,"OVERDUE",IF($Y983&lt;=WORKDAY(TODAY(),1,Holidays),"DUE TOMORROW",IF($W983=4,"ESCALATED TO LOCAL OFFICE",IF($W983=5,"ESCALATED TO CBE",IF($X983=TODAY(),"EMAIL SENT","MONITORING"))))))))))</f>
        <v/>
      </c>
      <c r="U983" s="17">
        <f>IF($T983="",IF(AND(COUNTA($A983:$K983)&gt;0,$L983=""),"Awaiting Collection Email time stamp.",""),IF(OR($T983="PAID",$T983="CLOSED"),IF($T983="PAID","Account paid. Action completed.","Account closed. No further action required."),CHOOSE($W983,"Collection Email","1st Email Follow-up","2nd Email Follow-up","Escalation to Local Office","Escalation to CBE","Escalation to Roxanne")&amp;" sent "&amp;TEXT($X983,"dd-mmm")&amp;". "&amp;IF($W983=6,"Final escalation completed.",IF($T983="OVERDUE","Next: "&amp;$Z983&amp;" was due "&amp;TEXT($Y983,"dd-mmm")&amp;" - "&amp;(NETWORKDAYS($Y983,TODAY(),Holidays)-1)&amp;" business day(s) late. Send now.",IF($T983="DUE TOMORROW","Next: "&amp;$Z983&amp;IF($Y983&lt;=TODAY()," is due TODAY ("," is due next business day (")&amp;TEXT($Y983,"dd-mmm")&amp;").","Next: "&amp;$Z983&amp;" due "&amp;TEXT($Y983,"dd-mmm")&amp;" ("&amp;(NETWORKDAYS(TODAY(),$Y983,Holidays)-1)&amp;" business day(s) left).")))))</f>
        <v/>
      </c>
      <c r="V983" s="17">
        <f>IF($W983="","",CHOOSE($W983,"Collection Email","1st Follow-up","2nd Follow-up","Local Office","CBE","Roxanne")&amp;IF($W983=6," - Final"," - Day "&amp;MAX(0,NETWORKDAYS($X983,TODAY(),Holidays)-1)&amp;" of "&amp;CHOOSE($W983,3,3,2,2,3))&amp;" | Total Day "&amp;MAX(0,NETWORKDAYS($L983,TODAY(),Holidays)-1))</f>
        <v/>
      </c>
      <c r="W983" s="17">
        <f>IF($L983="","",COUNT($L983:$Q983))</f>
        <v/>
      </c>
      <c r="X983" s="18">
        <f>IF($W983="","",INT(INDEX($L983:$Q983,$W983)))</f>
        <v/>
      </c>
      <c r="Y983" s="18">
        <f>IF(OR($W983="",$W983=6),"",WORKDAY($X983,CHOOSE($W983,3,3,2,2,3),Holidays))</f>
        <v/>
      </c>
      <c r="Z983" s="17">
        <f>IF(OR($W983="",$W983=6),"",CHOOSE($W983,"1st Email Follow-up","2nd Email Follow-up","Escalate Local Office","Escalate to CBE","Escalate to Roxanne"))</f>
        <v/>
      </c>
    </row>
    <row r="984" spans="18:26">
      <c r="R984" s="15"/>
      <c r="S984" s="16"/>
      <c r="T984" s="17">
        <f>IF(AND(COUNTA($A984:$K984)=0,$L984=""),"",IF($S984="Paid","PAID",IF($S984="Closed","CLOSED",IF($W984="","",IF($W984=6,"ESCALATED TO ROXANNE",IF(TODAY()&gt;$Y984,"OVERDUE",IF($Y984&lt;=WORKDAY(TODAY(),1,Holidays),"DUE TOMORROW",IF($W984=4,"ESCALATED TO LOCAL OFFICE",IF($W984=5,"ESCALATED TO CBE",IF($X984=TODAY(),"EMAIL SENT","MONITORING"))))))))))</f>
        <v/>
      </c>
      <c r="U984" s="17">
        <f>IF($T984="",IF(AND(COUNTA($A984:$K984)&gt;0,$L984=""),"Awaiting Collection Email time stamp.",""),IF(OR($T984="PAID",$T984="CLOSED"),IF($T984="PAID","Account paid. Action completed.","Account closed. No further action required."),CHOOSE($W984,"Collection Email","1st Email Follow-up","2nd Email Follow-up","Escalation to Local Office","Escalation to CBE","Escalation to Roxanne")&amp;" sent "&amp;TEXT($X984,"dd-mmm")&amp;". "&amp;IF($W984=6,"Final escalation completed.",IF($T984="OVERDUE","Next: "&amp;$Z984&amp;" was due "&amp;TEXT($Y984,"dd-mmm")&amp;" - "&amp;(NETWORKDAYS($Y984,TODAY(),Holidays)-1)&amp;" business day(s) late. Send now.",IF($T984="DUE TOMORROW","Next: "&amp;$Z984&amp;IF($Y984&lt;=TODAY()," is due TODAY ("," is due next business day (")&amp;TEXT($Y984,"dd-mmm")&amp;").","Next: "&amp;$Z984&amp;" due "&amp;TEXT($Y984,"dd-mmm")&amp;" ("&amp;(NETWORKDAYS(TODAY(),$Y984,Holidays)-1)&amp;" business day(s) left).")))))</f>
        <v/>
      </c>
      <c r="V984" s="17">
        <f>IF($W984="","",CHOOSE($W984,"Collection Email","1st Follow-up","2nd Follow-up","Local Office","CBE","Roxanne")&amp;IF($W984=6," - Final"," - Day "&amp;MAX(0,NETWORKDAYS($X984,TODAY(),Holidays)-1)&amp;" of "&amp;CHOOSE($W984,3,3,2,2,3))&amp;" | Total Day "&amp;MAX(0,NETWORKDAYS($L984,TODAY(),Holidays)-1))</f>
        <v/>
      </c>
      <c r="W984" s="17">
        <f>IF($L984="","",COUNT($L984:$Q984))</f>
        <v/>
      </c>
      <c r="X984" s="18">
        <f>IF($W984="","",INT(INDEX($L984:$Q984,$W984)))</f>
        <v/>
      </c>
      <c r="Y984" s="18">
        <f>IF(OR($W984="",$W984=6),"",WORKDAY($X984,CHOOSE($W984,3,3,2,2,3),Holidays))</f>
        <v/>
      </c>
      <c r="Z984" s="17">
        <f>IF(OR($W984="",$W984=6),"",CHOOSE($W984,"1st Email Follow-up","2nd Email Follow-up","Escalate Local Office","Escalate to CBE","Escalate to Roxanne"))</f>
        <v/>
      </c>
    </row>
    <row r="985" spans="18:26">
      <c r="R985" s="15"/>
      <c r="S985" s="16"/>
      <c r="T985" s="17">
        <f>IF(AND(COUNTA($A985:$K985)=0,$L985=""),"",IF($S985="Paid","PAID",IF($S985="Closed","CLOSED",IF($W985="","",IF($W985=6,"ESCALATED TO ROXANNE",IF(TODAY()&gt;$Y985,"OVERDUE",IF($Y985&lt;=WORKDAY(TODAY(),1,Holidays),"DUE TOMORROW",IF($W985=4,"ESCALATED TO LOCAL OFFICE",IF($W985=5,"ESCALATED TO CBE",IF($X985=TODAY(),"EMAIL SENT","MONITORING"))))))))))</f>
        <v/>
      </c>
      <c r="U985" s="17">
        <f>IF($T985="",IF(AND(COUNTA($A985:$K985)&gt;0,$L985=""),"Awaiting Collection Email time stamp.",""),IF(OR($T985="PAID",$T985="CLOSED"),IF($T985="PAID","Account paid. Action completed.","Account closed. No further action required."),CHOOSE($W985,"Collection Email","1st Email Follow-up","2nd Email Follow-up","Escalation to Local Office","Escalation to CBE","Escalation to Roxanne")&amp;" sent "&amp;TEXT($X985,"dd-mmm")&amp;". "&amp;IF($W985=6,"Final escalation completed.",IF($T985="OVERDUE","Next: "&amp;$Z985&amp;" was due "&amp;TEXT($Y985,"dd-mmm")&amp;" - "&amp;(NETWORKDAYS($Y985,TODAY(),Holidays)-1)&amp;" business day(s) late. Send now.",IF($T985="DUE TOMORROW","Next: "&amp;$Z985&amp;IF($Y985&lt;=TODAY()," is due TODAY ("," is due next business day (")&amp;TEXT($Y985,"dd-mmm")&amp;").","Next: "&amp;$Z985&amp;" due "&amp;TEXT($Y985,"dd-mmm")&amp;" ("&amp;(NETWORKDAYS(TODAY(),$Y985,Holidays)-1)&amp;" business day(s) left).")))))</f>
        <v/>
      </c>
      <c r="V985" s="17">
        <f>IF($W985="","",CHOOSE($W985,"Collection Email","1st Follow-up","2nd Follow-up","Local Office","CBE","Roxanne")&amp;IF($W985=6," - Final"," - Day "&amp;MAX(0,NETWORKDAYS($X985,TODAY(),Holidays)-1)&amp;" of "&amp;CHOOSE($W985,3,3,2,2,3))&amp;" | Total Day "&amp;MAX(0,NETWORKDAYS($L985,TODAY(),Holidays)-1))</f>
        <v/>
      </c>
      <c r="W985" s="17">
        <f>IF($L985="","",COUNT($L985:$Q985))</f>
        <v/>
      </c>
      <c r="X985" s="18">
        <f>IF($W985="","",INT(INDEX($L985:$Q985,$W985)))</f>
        <v/>
      </c>
      <c r="Y985" s="18">
        <f>IF(OR($W985="",$W985=6),"",WORKDAY($X985,CHOOSE($W985,3,3,2,2,3),Holidays))</f>
        <v/>
      </c>
      <c r="Z985" s="17">
        <f>IF(OR($W985="",$W985=6),"",CHOOSE($W985,"1st Email Follow-up","2nd Email Follow-up","Escalate Local Office","Escalate to CBE","Escalate to Roxanne"))</f>
        <v/>
      </c>
    </row>
    <row r="986" spans="18:26">
      <c r="R986" s="15"/>
      <c r="S986" s="16"/>
      <c r="T986" s="17">
        <f>IF(AND(COUNTA($A986:$K986)=0,$L986=""),"",IF($S986="Paid","PAID",IF($S986="Closed","CLOSED",IF($W986="","",IF($W986=6,"ESCALATED TO ROXANNE",IF(TODAY()&gt;$Y986,"OVERDUE",IF($Y986&lt;=WORKDAY(TODAY(),1,Holidays),"DUE TOMORROW",IF($W986=4,"ESCALATED TO LOCAL OFFICE",IF($W986=5,"ESCALATED TO CBE",IF($X986=TODAY(),"EMAIL SENT","MONITORING"))))))))))</f>
        <v/>
      </c>
      <c r="U986" s="17">
        <f>IF($T986="",IF(AND(COUNTA($A986:$K986)&gt;0,$L986=""),"Awaiting Collection Email time stamp.",""),IF(OR($T986="PAID",$T986="CLOSED"),IF($T986="PAID","Account paid. Action completed.","Account closed. No further action required."),CHOOSE($W986,"Collection Email","1st Email Follow-up","2nd Email Follow-up","Escalation to Local Office","Escalation to CBE","Escalation to Roxanne")&amp;" sent "&amp;TEXT($X986,"dd-mmm")&amp;". "&amp;IF($W986=6,"Final escalation completed.",IF($T986="OVERDUE","Next: "&amp;$Z986&amp;" was due "&amp;TEXT($Y986,"dd-mmm")&amp;" - "&amp;(NETWORKDAYS($Y986,TODAY(),Holidays)-1)&amp;" business day(s) late. Send now.",IF($T986="DUE TOMORROW","Next: "&amp;$Z986&amp;IF($Y986&lt;=TODAY()," is due TODAY ("," is due next business day (")&amp;TEXT($Y986,"dd-mmm")&amp;").","Next: "&amp;$Z986&amp;" due "&amp;TEXT($Y986,"dd-mmm")&amp;" ("&amp;(NETWORKDAYS(TODAY(),$Y986,Holidays)-1)&amp;" business day(s) left).")))))</f>
        <v/>
      </c>
      <c r="V986" s="17">
        <f>IF($W986="","",CHOOSE($W986,"Collection Email","1st Follow-up","2nd Follow-up","Local Office","CBE","Roxanne")&amp;IF($W986=6," - Final"," - Day "&amp;MAX(0,NETWORKDAYS($X986,TODAY(),Holidays)-1)&amp;" of "&amp;CHOOSE($W986,3,3,2,2,3))&amp;" | Total Day "&amp;MAX(0,NETWORKDAYS($L986,TODAY(),Holidays)-1))</f>
        <v/>
      </c>
      <c r="W986" s="17">
        <f>IF($L986="","",COUNT($L986:$Q986))</f>
        <v/>
      </c>
      <c r="X986" s="18">
        <f>IF($W986="","",INT(INDEX($L986:$Q986,$W986)))</f>
        <v/>
      </c>
      <c r="Y986" s="18">
        <f>IF(OR($W986="",$W986=6),"",WORKDAY($X986,CHOOSE($W986,3,3,2,2,3),Holidays))</f>
        <v/>
      </c>
      <c r="Z986" s="17">
        <f>IF(OR($W986="",$W986=6),"",CHOOSE($W986,"1st Email Follow-up","2nd Email Follow-up","Escalate Local Office","Escalate to CBE","Escalate to Roxanne"))</f>
        <v/>
      </c>
    </row>
    <row r="987" spans="18:26">
      <c r="R987" s="15"/>
      <c r="S987" s="16"/>
      <c r="T987" s="17">
        <f>IF(AND(COUNTA($A987:$K987)=0,$L987=""),"",IF($S987="Paid","PAID",IF($S987="Closed","CLOSED",IF($W987="","",IF($W987=6,"ESCALATED TO ROXANNE",IF(TODAY()&gt;$Y987,"OVERDUE",IF($Y987&lt;=WORKDAY(TODAY(),1,Holidays),"DUE TOMORROW",IF($W987=4,"ESCALATED TO LOCAL OFFICE",IF($W987=5,"ESCALATED TO CBE",IF($X987=TODAY(),"EMAIL SENT","MONITORING"))))))))))</f>
        <v/>
      </c>
      <c r="U987" s="17">
        <f>IF($T987="",IF(AND(COUNTA($A987:$K987)&gt;0,$L987=""),"Awaiting Collection Email time stamp.",""),IF(OR($T987="PAID",$T987="CLOSED"),IF($T987="PAID","Account paid. Action completed.","Account closed. No further action required."),CHOOSE($W987,"Collection Email","1st Email Follow-up","2nd Email Follow-up","Escalation to Local Office","Escalation to CBE","Escalation to Roxanne")&amp;" sent "&amp;TEXT($X987,"dd-mmm")&amp;". "&amp;IF($W987=6,"Final escalation completed.",IF($T987="OVERDUE","Next: "&amp;$Z987&amp;" was due "&amp;TEXT($Y987,"dd-mmm")&amp;" - "&amp;(NETWORKDAYS($Y987,TODAY(),Holidays)-1)&amp;" business day(s) late. Send now.",IF($T987="DUE TOMORROW","Next: "&amp;$Z987&amp;IF($Y987&lt;=TODAY()," is due TODAY ("," is due next business day (")&amp;TEXT($Y987,"dd-mmm")&amp;").","Next: "&amp;$Z987&amp;" due "&amp;TEXT($Y987,"dd-mmm")&amp;" ("&amp;(NETWORKDAYS(TODAY(),$Y987,Holidays)-1)&amp;" business day(s) left).")))))</f>
        <v/>
      </c>
      <c r="V987" s="17">
        <f>IF($W987="","",CHOOSE($W987,"Collection Email","1st Follow-up","2nd Follow-up","Local Office","CBE","Roxanne")&amp;IF($W987=6," - Final"," - Day "&amp;MAX(0,NETWORKDAYS($X987,TODAY(),Holidays)-1)&amp;" of "&amp;CHOOSE($W987,3,3,2,2,3))&amp;" | Total Day "&amp;MAX(0,NETWORKDAYS($L987,TODAY(),Holidays)-1))</f>
        <v/>
      </c>
      <c r="W987" s="17">
        <f>IF($L987="","",COUNT($L987:$Q987))</f>
        <v/>
      </c>
      <c r="X987" s="18">
        <f>IF($W987="","",INT(INDEX($L987:$Q987,$W987)))</f>
        <v/>
      </c>
      <c r="Y987" s="18">
        <f>IF(OR($W987="",$W987=6),"",WORKDAY($X987,CHOOSE($W987,3,3,2,2,3),Holidays))</f>
        <v/>
      </c>
      <c r="Z987" s="17">
        <f>IF(OR($W987="",$W987=6),"",CHOOSE($W987,"1st Email Follow-up","2nd Email Follow-up","Escalate Local Office","Escalate to CBE","Escalate to Roxanne"))</f>
        <v/>
      </c>
    </row>
    <row r="988" spans="18:26">
      <c r="R988" s="15"/>
      <c r="S988" s="16"/>
      <c r="T988" s="17">
        <f>IF(AND(COUNTA($A988:$K988)=0,$L988=""),"",IF($S988="Paid","PAID",IF($S988="Closed","CLOSED",IF($W988="","",IF($W988=6,"ESCALATED TO ROXANNE",IF(TODAY()&gt;$Y988,"OVERDUE",IF($Y988&lt;=WORKDAY(TODAY(),1,Holidays),"DUE TOMORROW",IF($W988=4,"ESCALATED TO LOCAL OFFICE",IF($W988=5,"ESCALATED TO CBE",IF($X988=TODAY(),"EMAIL SENT","MONITORING"))))))))))</f>
        <v/>
      </c>
      <c r="U988" s="17">
        <f>IF($T988="",IF(AND(COUNTA($A988:$K988)&gt;0,$L988=""),"Awaiting Collection Email time stamp.",""),IF(OR($T988="PAID",$T988="CLOSED"),IF($T988="PAID","Account paid. Action completed.","Account closed. No further action required."),CHOOSE($W988,"Collection Email","1st Email Follow-up","2nd Email Follow-up","Escalation to Local Office","Escalation to CBE","Escalation to Roxanne")&amp;" sent "&amp;TEXT($X988,"dd-mmm")&amp;". "&amp;IF($W988=6,"Final escalation completed.",IF($T988="OVERDUE","Next: "&amp;$Z988&amp;" was due "&amp;TEXT($Y988,"dd-mmm")&amp;" - "&amp;(NETWORKDAYS($Y988,TODAY(),Holidays)-1)&amp;" business day(s) late. Send now.",IF($T988="DUE TOMORROW","Next: "&amp;$Z988&amp;IF($Y988&lt;=TODAY()," is due TODAY ("," is due next business day (")&amp;TEXT($Y988,"dd-mmm")&amp;").","Next: "&amp;$Z988&amp;" due "&amp;TEXT($Y988,"dd-mmm")&amp;" ("&amp;(NETWORKDAYS(TODAY(),$Y988,Holidays)-1)&amp;" business day(s) left).")))))</f>
        <v/>
      </c>
      <c r="V988" s="17">
        <f>IF($W988="","",CHOOSE($W988,"Collection Email","1st Follow-up","2nd Follow-up","Local Office","CBE","Roxanne")&amp;IF($W988=6," - Final"," - Day "&amp;MAX(0,NETWORKDAYS($X988,TODAY(),Holidays)-1)&amp;" of "&amp;CHOOSE($W988,3,3,2,2,3))&amp;" | Total Day "&amp;MAX(0,NETWORKDAYS($L988,TODAY(),Holidays)-1))</f>
        <v/>
      </c>
      <c r="W988" s="17">
        <f>IF($L988="","",COUNT($L988:$Q988))</f>
        <v/>
      </c>
      <c r="X988" s="18">
        <f>IF($W988="","",INT(INDEX($L988:$Q988,$W988)))</f>
        <v/>
      </c>
      <c r="Y988" s="18">
        <f>IF(OR($W988="",$W988=6),"",WORKDAY($X988,CHOOSE($W988,3,3,2,2,3),Holidays))</f>
        <v/>
      </c>
      <c r="Z988" s="17">
        <f>IF(OR($W988="",$W988=6),"",CHOOSE($W988,"1st Email Follow-up","2nd Email Follow-up","Escalate Local Office","Escalate to CBE","Escalate to Roxanne"))</f>
        <v/>
      </c>
    </row>
    <row r="989" spans="18:26">
      <c r="R989" s="15"/>
      <c r="S989" s="16"/>
      <c r="T989" s="17">
        <f>IF(AND(COUNTA($A989:$K989)=0,$L989=""),"",IF($S989="Paid","PAID",IF($S989="Closed","CLOSED",IF($W989="","",IF($W989=6,"ESCALATED TO ROXANNE",IF(TODAY()&gt;$Y989,"OVERDUE",IF($Y989&lt;=WORKDAY(TODAY(),1,Holidays),"DUE TOMORROW",IF($W989=4,"ESCALATED TO LOCAL OFFICE",IF($W989=5,"ESCALATED TO CBE",IF($X989=TODAY(),"EMAIL SENT","MONITORING"))))))))))</f>
        <v/>
      </c>
      <c r="U989" s="17">
        <f>IF($T989="",IF(AND(COUNTA($A989:$K989)&gt;0,$L989=""),"Awaiting Collection Email time stamp.",""),IF(OR($T989="PAID",$T989="CLOSED"),IF($T989="PAID","Account paid. Action completed.","Account closed. No further action required."),CHOOSE($W989,"Collection Email","1st Email Follow-up","2nd Email Follow-up","Escalation to Local Office","Escalation to CBE","Escalation to Roxanne")&amp;" sent "&amp;TEXT($X989,"dd-mmm")&amp;". "&amp;IF($W989=6,"Final escalation completed.",IF($T989="OVERDUE","Next: "&amp;$Z989&amp;" was due "&amp;TEXT($Y989,"dd-mmm")&amp;" - "&amp;(NETWORKDAYS($Y989,TODAY(),Holidays)-1)&amp;" business day(s) late. Send now.",IF($T989="DUE TOMORROW","Next: "&amp;$Z989&amp;IF($Y989&lt;=TODAY()," is due TODAY ("," is due next business day (")&amp;TEXT($Y989,"dd-mmm")&amp;").","Next: "&amp;$Z989&amp;" due "&amp;TEXT($Y989,"dd-mmm")&amp;" ("&amp;(NETWORKDAYS(TODAY(),$Y989,Holidays)-1)&amp;" business day(s) left).")))))</f>
        <v/>
      </c>
      <c r="V989" s="17">
        <f>IF($W989="","",CHOOSE($W989,"Collection Email","1st Follow-up","2nd Follow-up","Local Office","CBE","Roxanne")&amp;IF($W989=6," - Final"," - Day "&amp;MAX(0,NETWORKDAYS($X989,TODAY(),Holidays)-1)&amp;" of "&amp;CHOOSE($W989,3,3,2,2,3))&amp;" | Total Day "&amp;MAX(0,NETWORKDAYS($L989,TODAY(),Holidays)-1))</f>
        <v/>
      </c>
      <c r="W989" s="17">
        <f>IF($L989="","",COUNT($L989:$Q989))</f>
        <v/>
      </c>
      <c r="X989" s="18">
        <f>IF($W989="","",INT(INDEX($L989:$Q989,$W989)))</f>
        <v/>
      </c>
      <c r="Y989" s="18">
        <f>IF(OR($W989="",$W989=6),"",WORKDAY($X989,CHOOSE($W989,3,3,2,2,3),Holidays))</f>
        <v/>
      </c>
      <c r="Z989" s="17">
        <f>IF(OR($W989="",$W989=6),"",CHOOSE($W989,"1st Email Follow-up","2nd Email Follow-up","Escalate Local Office","Escalate to CBE","Escalate to Roxanne"))</f>
        <v/>
      </c>
    </row>
    <row r="990" spans="18:26">
      <c r="R990" s="15"/>
      <c r="S990" s="16"/>
      <c r="T990" s="17">
        <f>IF(AND(COUNTA($A990:$K990)=0,$L990=""),"",IF($S990="Paid","PAID",IF($S990="Closed","CLOSED",IF($W990="","",IF($W990=6,"ESCALATED TO ROXANNE",IF(TODAY()&gt;$Y990,"OVERDUE",IF($Y990&lt;=WORKDAY(TODAY(),1,Holidays),"DUE TOMORROW",IF($W990=4,"ESCALATED TO LOCAL OFFICE",IF($W990=5,"ESCALATED TO CBE",IF($X990=TODAY(),"EMAIL SENT","MONITORING"))))))))))</f>
        <v/>
      </c>
      <c r="U990" s="17">
        <f>IF($T990="",IF(AND(COUNTA($A990:$K990)&gt;0,$L990=""),"Awaiting Collection Email time stamp.",""),IF(OR($T990="PAID",$T990="CLOSED"),IF($T990="PAID","Account paid. Action completed.","Account closed. No further action required."),CHOOSE($W990,"Collection Email","1st Email Follow-up","2nd Email Follow-up","Escalation to Local Office","Escalation to CBE","Escalation to Roxanne")&amp;" sent "&amp;TEXT($X990,"dd-mmm")&amp;". "&amp;IF($W990=6,"Final escalation completed.",IF($T990="OVERDUE","Next: "&amp;$Z990&amp;" was due "&amp;TEXT($Y990,"dd-mmm")&amp;" - "&amp;(NETWORKDAYS($Y990,TODAY(),Holidays)-1)&amp;" business day(s) late. Send now.",IF($T990="DUE TOMORROW","Next: "&amp;$Z990&amp;IF($Y990&lt;=TODAY()," is due TODAY ("," is due next business day (")&amp;TEXT($Y990,"dd-mmm")&amp;").","Next: "&amp;$Z990&amp;" due "&amp;TEXT($Y990,"dd-mmm")&amp;" ("&amp;(NETWORKDAYS(TODAY(),$Y990,Holidays)-1)&amp;" business day(s) left).")))))</f>
        <v/>
      </c>
      <c r="V990" s="17">
        <f>IF($W990="","",CHOOSE($W990,"Collection Email","1st Follow-up","2nd Follow-up","Local Office","CBE","Roxanne")&amp;IF($W990=6," - Final"," - Day "&amp;MAX(0,NETWORKDAYS($X990,TODAY(),Holidays)-1)&amp;" of "&amp;CHOOSE($W990,3,3,2,2,3))&amp;" | Total Day "&amp;MAX(0,NETWORKDAYS($L990,TODAY(),Holidays)-1))</f>
        <v/>
      </c>
      <c r="W990" s="17">
        <f>IF($L990="","",COUNT($L990:$Q990))</f>
        <v/>
      </c>
      <c r="X990" s="18">
        <f>IF($W990="","",INT(INDEX($L990:$Q990,$W990)))</f>
        <v/>
      </c>
      <c r="Y990" s="18">
        <f>IF(OR($W990="",$W990=6),"",WORKDAY($X990,CHOOSE($W990,3,3,2,2,3),Holidays))</f>
        <v/>
      </c>
      <c r="Z990" s="17">
        <f>IF(OR($W990="",$W990=6),"",CHOOSE($W990,"1st Email Follow-up","2nd Email Follow-up","Escalate Local Office","Escalate to CBE","Escalate to Roxanne"))</f>
        <v/>
      </c>
    </row>
    <row r="991" spans="18:26">
      <c r="R991" s="15"/>
      <c r="S991" s="16"/>
      <c r="T991" s="17">
        <f>IF(AND(COUNTA($A991:$K991)=0,$L991=""),"",IF($S991="Paid","PAID",IF($S991="Closed","CLOSED",IF($W991="","",IF($W991=6,"ESCALATED TO ROXANNE",IF(TODAY()&gt;$Y991,"OVERDUE",IF($Y991&lt;=WORKDAY(TODAY(),1,Holidays),"DUE TOMORROW",IF($W991=4,"ESCALATED TO LOCAL OFFICE",IF($W991=5,"ESCALATED TO CBE",IF($X991=TODAY(),"EMAIL SENT","MONITORING"))))))))))</f>
        <v/>
      </c>
      <c r="U991" s="17">
        <f>IF($T991="",IF(AND(COUNTA($A991:$K991)&gt;0,$L991=""),"Awaiting Collection Email time stamp.",""),IF(OR($T991="PAID",$T991="CLOSED"),IF($T991="PAID","Account paid. Action completed.","Account closed. No further action required."),CHOOSE($W991,"Collection Email","1st Email Follow-up","2nd Email Follow-up","Escalation to Local Office","Escalation to CBE","Escalation to Roxanne")&amp;" sent "&amp;TEXT($X991,"dd-mmm")&amp;". "&amp;IF($W991=6,"Final escalation completed.",IF($T991="OVERDUE","Next: "&amp;$Z991&amp;" was due "&amp;TEXT($Y991,"dd-mmm")&amp;" - "&amp;(NETWORKDAYS($Y991,TODAY(),Holidays)-1)&amp;" business day(s) late. Send now.",IF($T991="DUE TOMORROW","Next: "&amp;$Z991&amp;IF($Y991&lt;=TODAY()," is due TODAY ("," is due next business day (")&amp;TEXT($Y991,"dd-mmm")&amp;").","Next: "&amp;$Z991&amp;" due "&amp;TEXT($Y991,"dd-mmm")&amp;" ("&amp;(NETWORKDAYS(TODAY(),$Y991,Holidays)-1)&amp;" business day(s) left).")))))</f>
        <v/>
      </c>
      <c r="V991" s="17">
        <f>IF($W991="","",CHOOSE($W991,"Collection Email","1st Follow-up","2nd Follow-up","Local Office","CBE","Roxanne")&amp;IF($W991=6," - Final"," - Day "&amp;MAX(0,NETWORKDAYS($X991,TODAY(),Holidays)-1)&amp;" of "&amp;CHOOSE($W991,3,3,2,2,3))&amp;" | Total Day "&amp;MAX(0,NETWORKDAYS($L991,TODAY(),Holidays)-1))</f>
        <v/>
      </c>
      <c r="W991" s="17">
        <f>IF($L991="","",COUNT($L991:$Q991))</f>
        <v/>
      </c>
      <c r="X991" s="18">
        <f>IF($W991="","",INT(INDEX($L991:$Q991,$W991)))</f>
        <v/>
      </c>
      <c r="Y991" s="18">
        <f>IF(OR($W991="",$W991=6),"",WORKDAY($X991,CHOOSE($W991,3,3,2,2,3),Holidays))</f>
        <v/>
      </c>
      <c r="Z991" s="17">
        <f>IF(OR($W991="",$W991=6),"",CHOOSE($W991,"1st Email Follow-up","2nd Email Follow-up","Escalate Local Office","Escalate to CBE","Escalate to Roxanne"))</f>
        <v/>
      </c>
    </row>
    <row r="992" spans="18:26">
      <c r="R992" s="15"/>
      <c r="S992" s="16"/>
      <c r="T992" s="17">
        <f>IF(AND(COUNTA($A992:$K992)=0,$L992=""),"",IF($S992="Paid","PAID",IF($S992="Closed","CLOSED",IF($W992="","",IF($W992=6,"ESCALATED TO ROXANNE",IF(TODAY()&gt;$Y992,"OVERDUE",IF($Y992&lt;=WORKDAY(TODAY(),1,Holidays),"DUE TOMORROW",IF($W992=4,"ESCALATED TO LOCAL OFFICE",IF($W992=5,"ESCALATED TO CBE",IF($X992=TODAY(),"EMAIL SENT","MONITORING"))))))))))</f>
        <v/>
      </c>
      <c r="U992" s="17">
        <f>IF($T992="",IF(AND(COUNTA($A992:$K992)&gt;0,$L992=""),"Awaiting Collection Email time stamp.",""),IF(OR($T992="PAID",$T992="CLOSED"),IF($T992="PAID","Account paid. Action completed.","Account closed. No further action required."),CHOOSE($W992,"Collection Email","1st Email Follow-up","2nd Email Follow-up","Escalation to Local Office","Escalation to CBE","Escalation to Roxanne")&amp;" sent "&amp;TEXT($X992,"dd-mmm")&amp;". "&amp;IF($W992=6,"Final escalation completed.",IF($T992="OVERDUE","Next: "&amp;$Z992&amp;" was due "&amp;TEXT($Y992,"dd-mmm")&amp;" - "&amp;(NETWORKDAYS($Y992,TODAY(),Holidays)-1)&amp;" business day(s) late. Send now.",IF($T992="DUE TOMORROW","Next: "&amp;$Z992&amp;IF($Y992&lt;=TODAY()," is due TODAY ("," is due next business day (")&amp;TEXT($Y992,"dd-mmm")&amp;").","Next: "&amp;$Z992&amp;" due "&amp;TEXT($Y992,"dd-mmm")&amp;" ("&amp;(NETWORKDAYS(TODAY(),$Y992,Holidays)-1)&amp;" business day(s) left).")))))</f>
        <v/>
      </c>
      <c r="V992" s="17">
        <f>IF($W992="","",CHOOSE($W992,"Collection Email","1st Follow-up","2nd Follow-up","Local Office","CBE","Roxanne")&amp;IF($W992=6," - Final"," - Day "&amp;MAX(0,NETWORKDAYS($X992,TODAY(),Holidays)-1)&amp;" of "&amp;CHOOSE($W992,3,3,2,2,3))&amp;" | Total Day "&amp;MAX(0,NETWORKDAYS($L992,TODAY(),Holidays)-1))</f>
        <v/>
      </c>
      <c r="W992" s="17">
        <f>IF($L992="","",COUNT($L992:$Q992))</f>
        <v/>
      </c>
      <c r="X992" s="18">
        <f>IF($W992="","",INT(INDEX($L992:$Q992,$W992)))</f>
        <v/>
      </c>
      <c r="Y992" s="18">
        <f>IF(OR($W992="",$W992=6),"",WORKDAY($X992,CHOOSE($W992,3,3,2,2,3),Holidays))</f>
        <v/>
      </c>
      <c r="Z992" s="17">
        <f>IF(OR($W992="",$W992=6),"",CHOOSE($W992,"1st Email Follow-up","2nd Email Follow-up","Escalate Local Office","Escalate to CBE","Escalate to Roxanne"))</f>
        <v/>
      </c>
    </row>
    <row r="993" spans="18:26">
      <c r="R993" s="15"/>
      <c r="S993" s="16"/>
      <c r="T993" s="17">
        <f>IF(AND(COUNTA($A993:$K993)=0,$L993=""),"",IF($S993="Paid","PAID",IF($S993="Closed","CLOSED",IF($W993="","",IF($W993=6,"ESCALATED TO ROXANNE",IF(TODAY()&gt;$Y993,"OVERDUE",IF($Y993&lt;=WORKDAY(TODAY(),1,Holidays),"DUE TOMORROW",IF($W993=4,"ESCALATED TO LOCAL OFFICE",IF($W993=5,"ESCALATED TO CBE",IF($X993=TODAY(),"EMAIL SENT","MONITORING"))))))))))</f>
        <v/>
      </c>
      <c r="U993" s="17">
        <f>IF($T993="",IF(AND(COUNTA($A993:$K993)&gt;0,$L993=""),"Awaiting Collection Email time stamp.",""),IF(OR($T993="PAID",$T993="CLOSED"),IF($T993="PAID","Account paid. Action completed.","Account closed. No further action required."),CHOOSE($W993,"Collection Email","1st Email Follow-up","2nd Email Follow-up","Escalation to Local Office","Escalation to CBE","Escalation to Roxanne")&amp;" sent "&amp;TEXT($X993,"dd-mmm")&amp;". "&amp;IF($W993=6,"Final escalation completed.",IF($T993="OVERDUE","Next: "&amp;$Z993&amp;" was due "&amp;TEXT($Y993,"dd-mmm")&amp;" - "&amp;(NETWORKDAYS($Y993,TODAY(),Holidays)-1)&amp;" business day(s) late. Send now.",IF($T993="DUE TOMORROW","Next: "&amp;$Z993&amp;IF($Y993&lt;=TODAY()," is due TODAY ("," is due next business day (")&amp;TEXT($Y993,"dd-mmm")&amp;").","Next: "&amp;$Z993&amp;" due "&amp;TEXT($Y993,"dd-mmm")&amp;" ("&amp;(NETWORKDAYS(TODAY(),$Y993,Holidays)-1)&amp;" business day(s) left).")))))</f>
        <v/>
      </c>
      <c r="V993" s="17">
        <f>IF($W993="","",CHOOSE($W993,"Collection Email","1st Follow-up","2nd Follow-up","Local Office","CBE","Roxanne")&amp;IF($W993=6," - Final"," - Day "&amp;MAX(0,NETWORKDAYS($X993,TODAY(),Holidays)-1)&amp;" of "&amp;CHOOSE($W993,3,3,2,2,3))&amp;" | Total Day "&amp;MAX(0,NETWORKDAYS($L993,TODAY(),Holidays)-1))</f>
        <v/>
      </c>
      <c r="W993" s="17">
        <f>IF($L993="","",COUNT($L993:$Q993))</f>
        <v/>
      </c>
      <c r="X993" s="18">
        <f>IF($W993="","",INT(INDEX($L993:$Q993,$W993)))</f>
        <v/>
      </c>
      <c r="Y993" s="18">
        <f>IF(OR($W993="",$W993=6),"",WORKDAY($X993,CHOOSE($W993,3,3,2,2,3),Holidays))</f>
        <v/>
      </c>
      <c r="Z993" s="17">
        <f>IF(OR($W993="",$W993=6),"",CHOOSE($W993,"1st Email Follow-up","2nd Email Follow-up","Escalate Local Office","Escalate to CBE","Escalate to Roxanne"))</f>
        <v/>
      </c>
    </row>
    <row r="994" spans="18:26">
      <c r="R994" s="15"/>
      <c r="S994" s="16"/>
      <c r="T994" s="17">
        <f>IF(AND(COUNTA($A994:$K994)=0,$L994=""),"",IF($S994="Paid","PAID",IF($S994="Closed","CLOSED",IF($W994="","",IF($W994=6,"ESCALATED TO ROXANNE",IF(TODAY()&gt;$Y994,"OVERDUE",IF($Y994&lt;=WORKDAY(TODAY(),1,Holidays),"DUE TOMORROW",IF($W994=4,"ESCALATED TO LOCAL OFFICE",IF($W994=5,"ESCALATED TO CBE",IF($X994=TODAY(),"EMAIL SENT","MONITORING"))))))))))</f>
        <v/>
      </c>
      <c r="U994" s="17">
        <f>IF($T994="",IF(AND(COUNTA($A994:$K994)&gt;0,$L994=""),"Awaiting Collection Email time stamp.",""),IF(OR($T994="PAID",$T994="CLOSED"),IF($T994="PAID","Account paid. Action completed.","Account closed. No further action required."),CHOOSE($W994,"Collection Email","1st Email Follow-up","2nd Email Follow-up","Escalation to Local Office","Escalation to CBE","Escalation to Roxanne")&amp;" sent "&amp;TEXT($X994,"dd-mmm")&amp;". "&amp;IF($W994=6,"Final escalation completed.",IF($T994="OVERDUE","Next: "&amp;$Z994&amp;" was due "&amp;TEXT($Y994,"dd-mmm")&amp;" - "&amp;(NETWORKDAYS($Y994,TODAY(),Holidays)-1)&amp;" business day(s) late. Send now.",IF($T994="DUE TOMORROW","Next: "&amp;$Z994&amp;IF($Y994&lt;=TODAY()," is due TODAY ("," is due next business day (")&amp;TEXT($Y994,"dd-mmm")&amp;").","Next: "&amp;$Z994&amp;" due "&amp;TEXT($Y994,"dd-mmm")&amp;" ("&amp;(NETWORKDAYS(TODAY(),$Y994,Holidays)-1)&amp;" business day(s) left).")))))</f>
        <v/>
      </c>
      <c r="V994" s="17">
        <f>IF($W994="","",CHOOSE($W994,"Collection Email","1st Follow-up","2nd Follow-up","Local Office","CBE","Roxanne")&amp;IF($W994=6," - Final"," - Day "&amp;MAX(0,NETWORKDAYS($X994,TODAY(),Holidays)-1)&amp;" of "&amp;CHOOSE($W994,3,3,2,2,3))&amp;" | Total Day "&amp;MAX(0,NETWORKDAYS($L994,TODAY(),Holidays)-1))</f>
        <v/>
      </c>
      <c r="W994" s="17">
        <f>IF($L994="","",COUNT($L994:$Q994))</f>
        <v/>
      </c>
      <c r="X994" s="18">
        <f>IF($W994="","",INT(INDEX($L994:$Q994,$W994)))</f>
        <v/>
      </c>
      <c r="Y994" s="18">
        <f>IF(OR($W994="",$W994=6),"",WORKDAY($X994,CHOOSE($W994,3,3,2,2,3),Holidays))</f>
        <v/>
      </c>
      <c r="Z994" s="17">
        <f>IF(OR($W994="",$W994=6),"",CHOOSE($W994,"1st Email Follow-up","2nd Email Follow-up","Escalate Local Office","Escalate to CBE","Escalate to Roxanne"))</f>
        <v/>
      </c>
    </row>
    <row r="995" spans="18:26">
      <c r="R995" s="15"/>
      <c r="S995" s="16"/>
      <c r="T995" s="17">
        <f>IF(AND(COUNTA($A995:$K995)=0,$L995=""),"",IF($S995="Paid","PAID",IF($S995="Closed","CLOSED",IF($W995="","",IF($W995=6,"ESCALATED TO ROXANNE",IF(TODAY()&gt;$Y995,"OVERDUE",IF($Y995&lt;=WORKDAY(TODAY(),1,Holidays),"DUE TOMORROW",IF($W995=4,"ESCALATED TO LOCAL OFFICE",IF($W995=5,"ESCALATED TO CBE",IF($X995=TODAY(),"EMAIL SENT","MONITORING"))))))))))</f>
        <v/>
      </c>
      <c r="U995" s="17">
        <f>IF($T995="",IF(AND(COUNTA($A995:$K995)&gt;0,$L995=""),"Awaiting Collection Email time stamp.",""),IF(OR($T995="PAID",$T995="CLOSED"),IF($T995="PAID","Account paid. Action completed.","Account closed. No further action required."),CHOOSE($W995,"Collection Email","1st Email Follow-up","2nd Email Follow-up","Escalation to Local Office","Escalation to CBE","Escalation to Roxanne")&amp;" sent "&amp;TEXT($X995,"dd-mmm")&amp;". "&amp;IF($W995=6,"Final escalation completed.",IF($T995="OVERDUE","Next: "&amp;$Z995&amp;" was due "&amp;TEXT($Y995,"dd-mmm")&amp;" - "&amp;(NETWORKDAYS($Y995,TODAY(),Holidays)-1)&amp;" business day(s) late. Send now.",IF($T995="DUE TOMORROW","Next: "&amp;$Z995&amp;IF($Y995&lt;=TODAY()," is due TODAY ("," is due next business day (")&amp;TEXT($Y995,"dd-mmm")&amp;").","Next: "&amp;$Z995&amp;" due "&amp;TEXT($Y995,"dd-mmm")&amp;" ("&amp;(NETWORKDAYS(TODAY(),$Y995,Holidays)-1)&amp;" business day(s) left).")))))</f>
        <v/>
      </c>
      <c r="V995" s="17">
        <f>IF($W995="","",CHOOSE($W995,"Collection Email","1st Follow-up","2nd Follow-up","Local Office","CBE","Roxanne")&amp;IF($W995=6," - Final"," - Day "&amp;MAX(0,NETWORKDAYS($X995,TODAY(),Holidays)-1)&amp;" of "&amp;CHOOSE($W995,3,3,2,2,3))&amp;" | Total Day "&amp;MAX(0,NETWORKDAYS($L995,TODAY(),Holidays)-1))</f>
        <v/>
      </c>
      <c r="W995" s="17">
        <f>IF($L995="","",COUNT($L995:$Q995))</f>
        <v/>
      </c>
      <c r="X995" s="18">
        <f>IF($W995="","",INT(INDEX($L995:$Q995,$W995)))</f>
        <v/>
      </c>
      <c r="Y995" s="18">
        <f>IF(OR($W995="",$W995=6),"",WORKDAY($X995,CHOOSE($W995,3,3,2,2,3),Holidays))</f>
        <v/>
      </c>
      <c r="Z995" s="17">
        <f>IF(OR($W995="",$W995=6),"",CHOOSE($W995,"1st Email Follow-up","2nd Email Follow-up","Escalate Local Office","Escalate to CBE","Escalate to Roxanne"))</f>
        <v/>
      </c>
    </row>
    <row r="996" spans="18:26">
      <c r="R996" s="15"/>
      <c r="S996" s="16"/>
      <c r="T996" s="17">
        <f>IF(AND(COUNTA($A996:$K996)=0,$L996=""),"",IF($S996="Paid","PAID",IF($S996="Closed","CLOSED",IF($W996="","",IF($W996=6,"ESCALATED TO ROXANNE",IF(TODAY()&gt;$Y996,"OVERDUE",IF($Y996&lt;=WORKDAY(TODAY(),1,Holidays),"DUE TOMORROW",IF($W996=4,"ESCALATED TO LOCAL OFFICE",IF($W996=5,"ESCALATED TO CBE",IF($X996=TODAY(),"EMAIL SENT","MONITORING"))))))))))</f>
        <v/>
      </c>
      <c r="U996" s="17">
        <f>IF($T996="",IF(AND(COUNTA($A996:$K996)&gt;0,$L996=""),"Awaiting Collection Email time stamp.",""),IF(OR($T996="PAID",$T996="CLOSED"),IF($T996="PAID","Account paid. Action completed.","Account closed. No further action required."),CHOOSE($W996,"Collection Email","1st Email Follow-up","2nd Email Follow-up","Escalation to Local Office","Escalation to CBE","Escalation to Roxanne")&amp;" sent "&amp;TEXT($X996,"dd-mmm")&amp;". "&amp;IF($W996=6,"Final escalation completed.",IF($T996="OVERDUE","Next: "&amp;$Z996&amp;" was due "&amp;TEXT($Y996,"dd-mmm")&amp;" - "&amp;(NETWORKDAYS($Y996,TODAY(),Holidays)-1)&amp;" business day(s) late. Send now.",IF($T996="DUE TOMORROW","Next: "&amp;$Z996&amp;IF($Y996&lt;=TODAY()," is due TODAY ("," is due next business day (")&amp;TEXT($Y996,"dd-mmm")&amp;").","Next: "&amp;$Z996&amp;" due "&amp;TEXT($Y996,"dd-mmm")&amp;" ("&amp;(NETWORKDAYS(TODAY(),$Y996,Holidays)-1)&amp;" business day(s) left).")))))</f>
        <v/>
      </c>
      <c r="V996" s="17">
        <f>IF($W996="","",CHOOSE($W996,"Collection Email","1st Follow-up","2nd Follow-up","Local Office","CBE","Roxanne")&amp;IF($W996=6," - Final"," - Day "&amp;MAX(0,NETWORKDAYS($X996,TODAY(),Holidays)-1)&amp;" of "&amp;CHOOSE($W996,3,3,2,2,3))&amp;" | Total Day "&amp;MAX(0,NETWORKDAYS($L996,TODAY(),Holidays)-1))</f>
        <v/>
      </c>
      <c r="W996" s="17">
        <f>IF($L996="","",COUNT($L996:$Q996))</f>
        <v/>
      </c>
      <c r="X996" s="18">
        <f>IF($W996="","",INT(INDEX($L996:$Q996,$W996)))</f>
        <v/>
      </c>
      <c r="Y996" s="18">
        <f>IF(OR($W996="",$W996=6),"",WORKDAY($X996,CHOOSE($W996,3,3,2,2,3),Holidays))</f>
        <v/>
      </c>
      <c r="Z996" s="17">
        <f>IF(OR($W996="",$W996=6),"",CHOOSE($W996,"1st Email Follow-up","2nd Email Follow-up","Escalate Local Office","Escalate to CBE","Escalate to Roxanne"))</f>
        <v/>
      </c>
    </row>
    <row r="997" spans="18:26">
      <c r="R997" s="15"/>
      <c r="S997" s="16"/>
      <c r="T997" s="17">
        <f>IF(AND(COUNTA($A997:$K997)=0,$L997=""),"",IF($S997="Paid","PAID",IF($S997="Closed","CLOSED",IF($W997="","",IF($W997=6,"ESCALATED TO ROXANNE",IF(TODAY()&gt;$Y997,"OVERDUE",IF($Y997&lt;=WORKDAY(TODAY(),1,Holidays),"DUE TOMORROW",IF($W997=4,"ESCALATED TO LOCAL OFFICE",IF($W997=5,"ESCALATED TO CBE",IF($X997=TODAY(),"EMAIL SENT","MONITORING"))))))))))</f>
        <v/>
      </c>
      <c r="U997" s="17">
        <f>IF($T997="",IF(AND(COUNTA($A997:$K997)&gt;0,$L997=""),"Awaiting Collection Email time stamp.",""),IF(OR($T997="PAID",$T997="CLOSED"),IF($T997="PAID","Account paid. Action completed.","Account closed. No further action required."),CHOOSE($W997,"Collection Email","1st Email Follow-up","2nd Email Follow-up","Escalation to Local Office","Escalation to CBE","Escalation to Roxanne")&amp;" sent "&amp;TEXT($X997,"dd-mmm")&amp;". "&amp;IF($W997=6,"Final escalation completed.",IF($T997="OVERDUE","Next: "&amp;$Z997&amp;" was due "&amp;TEXT($Y997,"dd-mmm")&amp;" - "&amp;(NETWORKDAYS($Y997,TODAY(),Holidays)-1)&amp;" business day(s) late. Send now.",IF($T997="DUE TOMORROW","Next: "&amp;$Z997&amp;IF($Y997&lt;=TODAY()," is due TODAY ("," is due next business day (")&amp;TEXT($Y997,"dd-mmm")&amp;").","Next: "&amp;$Z997&amp;" due "&amp;TEXT($Y997,"dd-mmm")&amp;" ("&amp;(NETWORKDAYS(TODAY(),$Y997,Holidays)-1)&amp;" business day(s) left).")))))</f>
        <v/>
      </c>
      <c r="V997" s="17">
        <f>IF($W997="","",CHOOSE($W997,"Collection Email","1st Follow-up","2nd Follow-up","Local Office","CBE","Roxanne")&amp;IF($W997=6," - Final"," - Day "&amp;MAX(0,NETWORKDAYS($X997,TODAY(),Holidays)-1)&amp;" of "&amp;CHOOSE($W997,3,3,2,2,3))&amp;" | Total Day "&amp;MAX(0,NETWORKDAYS($L997,TODAY(),Holidays)-1))</f>
        <v/>
      </c>
      <c r="W997" s="17">
        <f>IF($L997="","",COUNT($L997:$Q997))</f>
        <v/>
      </c>
      <c r="X997" s="18">
        <f>IF($W997="","",INT(INDEX($L997:$Q997,$W997)))</f>
        <v/>
      </c>
      <c r="Y997" s="18">
        <f>IF(OR($W997="",$W997=6),"",WORKDAY($X997,CHOOSE($W997,3,3,2,2,3),Holidays))</f>
        <v/>
      </c>
      <c r="Z997" s="17">
        <f>IF(OR($W997="",$W997=6),"",CHOOSE($W997,"1st Email Follow-up","2nd Email Follow-up","Escalate Local Office","Escalate to CBE","Escalate to Roxanne"))</f>
        <v/>
      </c>
    </row>
    <row r="998" spans="18:26">
      <c r="R998" s="15"/>
      <c r="S998" s="16"/>
      <c r="T998" s="17">
        <f>IF(AND(COUNTA($A998:$K998)=0,$L998=""),"",IF($S998="Paid","PAID",IF($S998="Closed","CLOSED",IF($W998="","",IF($W998=6,"ESCALATED TO ROXANNE",IF(TODAY()&gt;$Y998,"OVERDUE",IF($Y998&lt;=WORKDAY(TODAY(),1,Holidays),"DUE TOMORROW",IF($W998=4,"ESCALATED TO LOCAL OFFICE",IF($W998=5,"ESCALATED TO CBE",IF($X998=TODAY(),"EMAIL SENT","MONITORING"))))))))))</f>
        <v/>
      </c>
      <c r="U998" s="17">
        <f>IF($T998="",IF(AND(COUNTA($A998:$K998)&gt;0,$L998=""),"Awaiting Collection Email time stamp.",""),IF(OR($T998="PAID",$T998="CLOSED"),IF($T998="PAID","Account paid. Action completed.","Account closed. No further action required."),CHOOSE($W998,"Collection Email","1st Email Follow-up","2nd Email Follow-up","Escalation to Local Office","Escalation to CBE","Escalation to Roxanne")&amp;" sent "&amp;TEXT($X998,"dd-mmm")&amp;". "&amp;IF($W998=6,"Final escalation completed.",IF($T998="OVERDUE","Next: "&amp;$Z998&amp;" was due "&amp;TEXT($Y998,"dd-mmm")&amp;" - "&amp;(NETWORKDAYS($Y998,TODAY(),Holidays)-1)&amp;" business day(s) late. Send now.",IF($T998="DUE TOMORROW","Next: "&amp;$Z998&amp;IF($Y998&lt;=TODAY()," is due TODAY ("," is due next business day (")&amp;TEXT($Y998,"dd-mmm")&amp;").","Next: "&amp;$Z998&amp;" due "&amp;TEXT($Y998,"dd-mmm")&amp;" ("&amp;(NETWORKDAYS(TODAY(),$Y998,Holidays)-1)&amp;" business day(s) left).")))))</f>
        <v/>
      </c>
      <c r="V998" s="17">
        <f>IF($W998="","",CHOOSE($W998,"Collection Email","1st Follow-up","2nd Follow-up","Local Office","CBE","Roxanne")&amp;IF($W998=6," - Final"," - Day "&amp;MAX(0,NETWORKDAYS($X998,TODAY(),Holidays)-1)&amp;" of "&amp;CHOOSE($W998,3,3,2,2,3))&amp;" | Total Day "&amp;MAX(0,NETWORKDAYS($L998,TODAY(),Holidays)-1))</f>
        <v/>
      </c>
      <c r="W998" s="17">
        <f>IF($L998="","",COUNT($L998:$Q998))</f>
        <v/>
      </c>
      <c r="X998" s="18">
        <f>IF($W998="","",INT(INDEX($L998:$Q998,$W998)))</f>
        <v/>
      </c>
      <c r="Y998" s="18">
        <f>IF(OR($W998="",$W998=6),"",WORKDAY($X998,CHOOSE($W998,3,3,2,2,3),Holidays))</f>
        <v/>
      </c>
      <c r="Z998" s="17">
        <f>IF(OR($W998="",$W998=6),"",CHOOSE($W998,"1st Email Follow-up","2nd Email Follow-up","Escalate Local Office","Escalate to CBE","Escalate to Roxanne"))</f>
        <v/>
      </c>
    </row>
    <row r="999" spans="18:26">
      <c r="R999" s="15"/>
      <c r="S999" s="16"/>
      <c r="T999" s="17">
        <f>IF(AND(COUNTA($A999:$K999)=0,$L999=""),"",IF($S999="Paid","PAID",IF($S999="Closed","CLOSED",IF($W999="","",IF($W999=6,"ESCALATED TO ROXANNE",IF(TODAY()&gt;$Y999,"OVERDUE",IF($Y999&lt;=WORKDAY(TODAY(),1,Holidays),"DUE TOMORROW",IF($W999=4,"ESCALATED TO LOCAL OFFICE",IF($W999=5,"ESCALATED TO CBE",IF($X999=TODAY(),"EMAIL SENT","MONITORING"))))))))))</f>
        <v/>
      </c>
      <c r="U999" s="17">
        <f>IF($T999="",IF(AND(COUNTA($A999:$K999)&gt;0,$L999=""),"Awaiting Collection Email time stamp.",""),IF(OR($T999="PAID",$T999="CLOSED"),IF($T999="PAID","Account paid. Action completed.","Account closed. No further action required."),CHOOSE($W999,"Collection Email","1st Email Follow-up","2nd Email Follow-up","Escalation to Local Office","Escalation to CBE","Escalation to Roxanne")&amp;" sent "&amp;TEXT($X999,"dd-mmm")&amp;". "&amp;IF($W999=6,"Final escalation completed.",IF($T999="OVERDUE","Next: "&amp;$Z999&amp;" was due "&amp;TEXT($Y999,"dd-mmm")&amp;" - "&amp;(NETWORKDAYS($Y999,TODAY(),Holidays)-1)&amp;" business day(s) late. Send now.",IF($T999="DUE TOMORROW","Next: "&amp;$Z999&amp;IF($Y999&lt;=TODAY()," is due TODAY ("," is due next business day (")&amp;TEXT($Y999,"dd-mmm")&amp;").","Next: "&amp;$Z999&amp;" due "&amp;TEXT($Y999,"dd-mmm")&amp;" ("&amp;(NETWORKDAYS(TODAY(),$Y999,Holidays)-1)&amp;" business day(s) left).")))))</f>
        <v/>
      </c>
      <c r="V999" s="17">
        <f>IF($W999="","",CHOOSE($W999,"Collection Email","1st Follow-up","2nd Follow-up","Local Office","CBE","Roxanne")&amp;IF($W999=6," - Final"," - Day "&amp;MAX(0,NETWORKDAYS($X999,TODAY(),Holidays)-1)&amp;" of "&amp;CHOOSE($W999,3,3,2,2,3))&amp;" | Total Day "&amp;MAX(0,NETWORKDAYS($L999,TODAY(),Holidays)-1))</f>
        <v/>
      </c>
      <c r="W999" s="17">
        <f>IF($L999="","",COUNT($L999:$Q999))</f>
        <v/>
      </c>
      <c r="X999" s="18">
        <f>IF($W999="","",INT(INDEX($L999:$Q999,$W999)))</f>
        <v/>
      </c>
      <c r="Y999" s="18">
        <f>IF(OR($W999="",$W999=6),"",WORKDAY($X999,CHOOSE($W999,3,3,2,2,3),Holidays))</f>
        <v/>
      </c>
      <c r="Z999" s="17">
        <f>IF(OR($W999="",$W999=6),"",CHOOSE($W999,"1st Email Follow-up","2nd Email Follow-up","Escalate Local Office","Escalate to CBE","Escalate to Roxanne"))</f>
        <v/>
      </c>
    </row>
    <row r="1000" spans="18:26">
      <c r="R1000" s="15"/>
      <c r="S1000" s="16"/>
      <c r="T1000" s="17">
        <f>IF(AND(COUNTA($A1000:$K1000)=0,$L1000=""),"",IF($S1000="Paid","PAID",IF($S1000="Closed","CLOSED",IF($W1000="","",IF($W1000=6,"ESCALATED TO ROXANNE",IF(TODAY()&gt;$Y1000,"OVERDUE",IF($Y1000&lt;=WORKDAY(TODAY(),1,Holidays),"DUE TOMORROW",IF($W1000=4,"ESCALATED TO LOCAL OFFICE",IF($W1000=5,"ESCALATED TO CBE",IF($X1000=TODAY(),"EMAIL SENT","MONITORING"))))))))))</f>
        <v/>
      </c>
      <c r="U1000" s="17">
        <f>IF($T1000="",IF(AND(COUNTA($A1000:$K1000)&gt;0,$L1000=""),"Awaiting Collection Email time stamp.",""),IF(OR($T1000="PAID",$T1000="CLOSED"),IF($T1000="PAID","Account paid. Action completed.","Account closed. No further action required."),CHOOSE($W1000,"Collection Email","1st Email Follow-up","2nd Email Follow-up","Escalation to Local Office","Escalation to CBE","Escalation to Roxanne")&amp;" sent "&amp;TEXT($X1000,"dd-mmm")&amp;". "&amp;IF($W1000=6,"Final escalation completed.",IF($T1000="OVERDUE","Next: "&amp;$Z1000&amp;" was due "&amp;TEXT($Y1000,"dd-mmm")&amp;" - "&amp;(NETWORKDAYS($Y1000,TODAY(),Holidays)-1)&amp;" business day(s) late. Send now.",IF($T1000="DUE TOMORROW","Next: "&amp;$Z1000&amp;IF($Y1000&lt;=TODAY()," is due TODAY ("," is due next business day (")&amp;TEXT($Y1000,"dd-mmm")&amp;").","Next: "&amp;$Z1000&amp;" due "&amp;TEXT($Y1000,"dd-mmm")&amp;" ("&amp;(NETWORKDAYS(TODAY(),$Y1000,Holidays)-1)&amp;" business day(s) left).")))))</f>
        <v/>
      </c>
      <c r="V1000" s="17">
        <f>IF($W1000="","",CHOOSE($W1000,"Collection Email","1st Follow-up","2nd Follow-up","Local Office","CBE","Roxanne")&amp;IF($W1000=6," - Final"," - Day "&amp;MAX(0,NETWORKDAYS($X1000,TODAY(),Holidays)-1)&amp;" of "&amp;CHOOSE($W1000,3,3,2,2,3))&amp;" | Total Day "&amp;MAX(0,NETWORKDAYS($L1000,TODAY(),Holidays)-1))</f>
        <v/>
      </c>
      <c r="W1000" s="17">
        <f>IF($L1000="","",COUNT($L1000:$Q1000))</f>
        <v/>
      </c>
      <c r="X1000" s="18">
        <f>IF($W1000="","",INT(INDEX($L1000:$Q1000,$W1000)))</f>
        <v/>
      </c>
      <c r="Y1000" s="18">
        <f>IF(OR($W1000="",$W1000=6),"",WORKDAY($X1000,CHOOSE($W1000,3,3,2,2,3),Holidays))</f>
        <v/>
      </c>
      <c r="Z1000" s="17">
        <f>IF(OR($W1000="",$W1000=6),"",CHOOSE($W1000,"1st Email Follow-up","2nd Email Follow-up","Escalate Local Office","Escalate to CBE","Escalate to Roxanne"))</f>
        <v/>
      </c>
    </row>
    <row r="1001" spans="18:26">
      <c r="R1001" s="15"/>
      <c r="S1001" s="16"/>
      <c r="T1001" s="17">
        <f>IF(AND(COUNTA($A1001:$K1001)=0,$L1001=""),"",IF($S1001="Paid","PAID",IF($S1001="Closed","CLOSED",IF($W1001="","",IF($W1001=6,"ESCALATED TO ROXANNE",IF(TODAY()&gt;$Y1001,"OVERDUE",IF($Y1001&lt;=WORKDAY(TODAY(),1,Holidays),"DUE TOMORROW",IF($W1001=4,"ESCALATED TO LOCAL OFFICE",IF($W1001=5,"ESCALATED TO CBE",IF($X1001=TODAY(),"EMAIL SENT","MONITORING"))))))))))</f>
        <v/>
      </c>
      <c r="U1001" s="17">
        <f>IF($T1001="",IF(AND(COUNTA($A1001:$K1001)&gt;0,$L1001=""),"Awaiting Collection Email time stamp.",""),IF(OR($T1001="PAID",$T1001="CLOSED"),IF($T1001="PAID","Account paid. Action completed.","Account closed. No further action required."),CHOOSE($W1001,"Collection Email","1st Email Follow-up","2nd Email Follow-up","Escalation to Local Office","Escalation to CBE","Escalation to Roxanne")&amp;" sent "&amp;TEXT($X1001,"dd-mmm")&amp;". "&amp;IF($W1001=6,"Final escalation completed.",IF($T1001="OVERDUE","Next: "&amp;$Z1001&amp;" was due "&amp;TEXT($Y1001,"dd-mmm")&amp;" - "&amp;(NETWORKDAYS($Y1001,TODAY(),Holidays)-1)&amp;" business day(s) late. Send now.",IF($T1001="DUE TOMORROW","Next: "&amp;$Z1001&amp;IF($Y1001&lt;=TODAY()," is due TODAY ("," is due next business day (")&amp;TEXT($Y1001,"dd-mmm")&amp;").","Next: "&amp;$Z1001&amp;" due "&amp;TEXT($Y1001,"dd-mmm")&amp;" ("&amp;(NETWORKDAYS(TODAY(),$Y1001,Holidays)-1)&amp;" business day(s) left).")))))</f>
        <v/>
      </c>
      <c r="V1001" s="17">
        <f>IF($W1001="","",CHOOSE($W1001,"Collection Email","1st Follow-up","2nd Follow-up","Local Office","CBE","Roxanne")&amp;IF($W1001=6," - Final"," - Day "&amp;MAX(0,NETWORKDAYS($X1001,TODAY(),Holidays)-1)&amp;" of "&amp;CHOOSE($W1001,3,3,2,2,3))&amp;" | Total Day "&amp;MAX(0,NETWORKDAYS($L1001,TODAY(),Holidays)-1))</f>
        <v/>
      </c>
      <c r="W1001" s="17">
        <f>IF($L1001="","",COUNT($L1001:$Q1001))</f>
        <v/>
      </c>
      <c r="X1001" s="18">
        <f>IF($W1001="","",INT(INDEX($L1001:$Q1001,$W1001)))</f>
        <v/>
      </c>
      <c r="Y1001" s="18">
        <f>IF(OR($W1001="",$W1001=6),"",WORKDAY($X1001,CHOOSE($W1001,3,3,2,2,3),Holidays))</f>
        <v/>
      </c>
      <c r="Z1001" s="17">
        <f>IF(OR($W1001="",$W1001=6),"",CHOOSE($W1001,"1st Email Follow-up","2nd Email Follow-up","Escalate Local Office","Escalate to CBE","Escalate to Roxanne"))</f>
        <v/>
      </c>
    </row>
    <row r="1002" spans="18:26">
      <c r="R1002" s="15"/>
      <c r="S1002" s="16"/>
      <c r="T1002" s="17">
        <f>IF(AND(COUNTA($A1002:$K1002)=0,$L1002=""),"",IF($S1002="Paid","PAID",IF($S1002="Closed","CLOSED",IF($W1002="","",IF($W1002=6,"ESCALATED TO ROXANNE",IF(TODAY()&gt;$Y1002,"OVERDUE",IF($Y1002&lt;=WORKDAY(TODAY(),1,Holidays),"DUE TOMORROW",IF($W1002=4,"ESCALATED TO LOCAL OFFICE",IF($W1002=5,"ESCALATED TO CBE",IF($X1002=TODAY(),"EMAIL SENT","MONITORING"))))))))))</f>
        <v/>
      </c>
      <c r="U1002" s="17">
        <f>IF($T1002="",IF(AND(COUNTA($A1002:$K1002)&gt;0,$L1002=""),"Awaiting Collection Email time stamp.",""),IF(OR($T1002="PAID",$T1002="CLOSED"),IF($T1002="PAID","Account paid. Action completed.","Account closed. No further action required."),CHOOSE($W1002,"Collection Email","1st Email Follow-up","2nd Email Follow-up","Escalation to Local Office","Escalation to CBE","Escalation to Roxanne")&amp;" sent "&amp;TEXT($X1002,"dd-mmm")&amp;". "&amp;IF($W1002=6,"Final escalation completed.",IF($T1002="OVERDUE","Next: "&amp;$Z1002&amp;" was due "&amp;TEXT($Y1002,"dd-mmm")&amp;" - "&amp;(NETWORKDAYS($Y1002,TODAY(),Holidays)-1)&amp;" business day(s) late. Send now.",IF($T1002="DUE TOMORROW","Next: "&amp;$Z1002&amp;IF($Y1002&lt;=TODAY()," is due TODAY ("," is due next business day (")&amp;TEXT($Y1002,"dd-mmm")&amp;").","Next: "&amp;$Z1002&amp;" due "&amp;TEXT($Y1002,"dd-mmm")&amp;" ("&amp;(NETWORKDAYS(TODAY(),$Y1002,Holidays)-1)&amp;" business day(s) left).")))))</f>
        <v/>
      </c>
      <c r="V1002" s="17">
        <f>IF($W1002="","",CHOOSE($W1002,"Collection Email","1st Follow-up","2nd Follow-up","Local Office","CBE","Roxanne")&amp;IF($W1002=6," - Final"," - Day "&amp;MAX(0,NETWORKDAYS($X1002,TODAY(),Holidays)-1)&amp;" of "&amp;CHOOSE($W1002,3,3,2,2,3))&amp;" | Total Day "&amp;MAX(0,NETWORKDAYS($L1002,TODAY(),Holidays)-1))</f>
        <v/>
      </c>
      <c r="W1002" s="17">
        <f>IF($L1002="","",COUNT($L1002:$Q1002))</f>
        <v/>
      </c>
      <c r="X1002" s="18">
        <f>IF($W1002="","",INT(INDEX($L1002:$Q1002,$W1002)))</f>
        <v/>
      </c>
      <c r="Y1002" s="18">
        <f>IF(OR($W1002="",$W1002=6),"",WORKDAY($X1002,CHOOSE($W1002,3,3,2,2,3),Holidays))</f>
        <v/>
      </c>
      <c r="Z1002" s="17">
        <f>IF(OR($W1002="",$W1002=6),"",CHOOSE($W1002,"1st Email Follow-up","2nd Email Follow-up","Escalate Local Office","Escalate to CBE","Escalate to Roxanne"))</f>
        <v/>
      </c>
    </row>
    <row r="1003" spans="18:26">
      <c r="R1003" s="15"/>
      <c r="S1003" s="16"/>
      <c r="T1003" s="17">
        <f>IF(AND(COUNTA($A1003:$K1003)=0,$L1003=""),"",IF($S1003="Paid","PAID",IF($S1003="Closed","CLOSED",IF($W1003="","",IF($W1003=6,"ESCALATED TO ROXANNE",IF(TODAY()&gt;$Y1003,"OVERDUE",IF($Y1003&lt;=WORKDAY(TODAY(),1,Holidays),"DUE TOMORROW",IF($W1003=4,"ESCALATED TO LOCAL OFFICE",IF($W1003=5,"ESCALATED TO CBE",IF($X1003=TODAY(),"EMAIL SENT","MONITORING"))))))))))</f>
        <v/>
      </c>
      <c r="U1003" s="17">
        <f>IF($T1003="",IF(AND(COUNTA($A1003:$K1003)&gt;0,$L1003=""),"Awaiting Collection Email time stamp.",""),IF(OR($T1003="PAID",$T1003="CLOSED"),IF($T1003="PAID","Account paid. Action completed.","Account closed. No further action required."),CHOOSE($W1003,"Collection Email","1st Email Follow-up","2nd Email Follow-up","Escalation to Local Office","Escalation to CBE","Escalation to Roxanne")&amp;" sent "&amp;TEXT($X1003,"dd-mmm")&amp;". "&amp;IF($W1003=6,"Final escalation completed.",IF($T1003="OVERDUE","Next: "&amp;$Z1003&amp;" was due "&amp;TEXT($Y1003,"dd-mmm")&amp;" - "&amp;(NETWORKDAYS($Y1003,TODAY(),Holidays)-1)&amp;" business day(s) late. Send now.",IF($T1003="DUE TOMORROW","Next: "&amp;$Z1003&amp;IF($Y1003&lt;=TODAY()," is due TODAY ("," is due next business day (")&amp;TEXT($Y1003,"dd-mmm")&amp;").","Next: "&amp;$Z1003&amp;" due "&amp;TEXT($Y1003,"dd-mmm")&amp;" ("&amp;(NETWORKDAYS(TODAY(),$Y1003,Holidays)-1)&amp;" business day(s) left).")))))</f>
        <v/>
      </c>
      <c r="V1003" s="17">
        <f>IF($W1003="","",CHOOSE($W1003,"Collection Email","1st Follow-up","2nd Follow-up","Local Office","CBE","Roxanne")&amp;IF($W1003=6," - Final"," - Day "&amp;MAX(0,NETWORKDAYS($X1003,TODAY(),Holidays)-1)&amp;" of "&amp;CHOOSE($W1003,3,3,2,2,3))&amp;" | Total Day "&amp;MAX(0,NETWORKDAYS($L1003,TODAY(),Holidays)-1))</f>
        <v/>
      </c>
      <c r="W1003" s="17">
        <f>IF($L1003="","",COUNT($L1003:$Q1003))</f>
        <v/>
      </c>
      <c r="X1003" s="18">
        <f>IF($W1003="","",INT(INDEX($L1003:$Q1003,$W1003)))</f>
        <v/>
      </c>
      <c r="Y1003" s="18">
        <f>IF(OR($W1003="",$W1003=6),"",WORKDAY($X1003,CHOOSE($W1003,3,3,2,2,3),Holidays))</f>
        <v/>
      </c>
      <c r="Z1003" s="17">
        <f>IF(OR($W1003="",$W1003=6),"",CHOOSE($W1003,"1st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T4:U1003">
    <cfRule type="expression" dxfId="0" priority="1" stopIfTrue="1">
      <formula>$T4="PAID"</formula>
    </cfRule>
    <cfRule type="expression" dxfId="0" priority="2" stopIfTrue="1">
      <formula>$T4="CLOSED"</formula>
    </cfRule>
    <cfRule type="expression" dxfId="0" priority="3" stopIfTrue="1">
      <formula>$T4="EMAIL SENT"</formula>
    </cfRule>
    <cfRule type="expression" dxfId="1" priority="4" stopIfTrue="1">
      <formula>$T4="DUE TOMORROW"</formula>
    </cfRule>
    <cfRule type="expression" dxfId="2" priority="5" stopIfTrue="1">
      <formula>$T4="OVERDUE"</formula>
    </cfRule>
    <cfRule type="expression" dxfId="3" priority="6" stopIfTrue="1">
      <formula>$T4="ESCALATED TO LOCAL OFFICE"</formula>
    </cfRule>
    <cfRule type="expression" dxfId="3" priority="7" stopIfTrue="1">
      <formula>$T4="ESCALATED TO CBE"</formula>
    </cfRule>
    <cfRule type="expression" dxfId="4" priority="8" stopIfTrue="1">
      <formula>$T4="ESCALATED TO ROXANNE"</formula>
    </cfRule>
    <cfRule type="expression" dxfId="5" priority="9" stopIfTrue="1">
      <formula>$T4="MONITORING"</formula>
    </cfRule>
  </conditionalFormatting>
  <dataValidations count="1">
    <dataValidation type="list" allowBlank="1" showInputMessage="1" showErrorMessage="1" errorTitle="Resolution" error="Choose Paid or Closed from the list, or leave blank." sqref="S4:S1003">
      <formula1>"Paid,Closed"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1" customWidth="1"/>
    <col min="12" max="12" width="15.7109375" style="14" customWidth="1"/>
    <col min="13" max="14" width="16.7109375" style="14" customWidth="1"/>
    <col min="15" max="16" width="18.7109375" style="14" customWidth="1"/>
    <col min="17" max="17" width="20.7109375" style="14" customWidth="1"/>
    <col min="18" max="18" width="40.7109375" style="15" customWidth="1"/>
    <col min="19" max="19" width="14.7109375" style="16" customWidth="1"/>
    <col min="20" max="20" width="26.7109375" style="17" customWidth="1"/>
    <col min="21" max="21" width="60.7109375" style="17" customWidth="1"/>
    <col min="22" max="22" width="22.7109375" style="17" customWidth="1"/>
    <col min="23" max="23" width="8.7109375" style="17" hidden="1" customWidth="1"/>
    <col min="24" max="25" width="12.7109375" style="18" hidden="1" customWidth="1"/>
    <col min="26" max="26" width="22.7109375" style="17" hidden="1" customWidth="1"/>
  </cols>
  <sheetData>
    <row r="1" spans="1:26" ht="30" customHeight="1"/>
    <row r="2" spans="1:26">
      <c r="M2" s="19" t="s">
        <v>0</v>
      </c>
      <c r="N2" s="19" t="s">
        <v>0</v>
      </c>
      <c r="O2" s="19" t="s">
        <v>1</v>
      </c>
      <c r="P2" s="19" t="s">
        <v>1</v>
      </c>
      <c r="Q2" s="19" t="s">
        <v>0</v>
      </c>
    </row>
    <row r="3" spans="1:26" ht="32" customHeight="1">
      <c r="A3" s="20" t="s">
        <v>2</v>
      </c>
      <c r="B3" s="20" t="s">
        <v>3</v>
      </c>
      <c r="C3" s="20" t="s">
        <v>4</v>
      </c>
      <c r="D3" s="20" t="s">
        <v>5</v>
      </c>
      <c r="E3" s="20" t="s">
        <v>6</v>
      </c>
      <c r="F3" s="20" t="s">
        <v>7</v>
      </c>
      <c r="G3" s="20" t="s">
        <v>8</v>
      </c>
      <c r="H3" s="20" t="s">
        <v>9</v>
      </c>
      <c r="I3" s="20" t="s">
        <v>10</v>
      </c>
      <c r="J3" s="20" t="s">
        <v>11</v>
      </c>
      <c r="K3" s="20" t="s">
        <v>12</v>
      </c>
      <c r="L3" s="21" t="s">
        <v>13</v>
      </c>
      <c r="M3" s="21" t="s">
        <v>14</v>
      </c>
      <c r="N3" s="21" t="s">
        <v>15</v>
      </c>
      <c r="O3" s="21" t="s">
        <v>16</v>
      </c>
      <c r="P3" s="21" t="s">
        <v>17</v>
      </c>
      <c r="Q3" s="21" t="s">
        <v>18</v>
      </c>
      <c r="R3" s="22" t="s">
        <v>19</v>
      </c>
      <c r="S3" s="22" t="s">
        <v>20</v>
      </c>
      <c r="T3" s="20" t="s">
        <v>21</v>
      </c>
      <c r="U3" s="20" t="s">
        <v>22</v>
      </c>
      <c r="V3" s="20" t="s">
        <v>23</v>
      </c>
      <c r="W3" s="20" t="s">
        <v>24</v>
      </c>
      <c r="X3" s="20" t="s">
        <v>25</v>
      </c>
      <c r="Y3" s="20" t="s">
        <v>26</v>
      </c>
      <c r="Z3" s="20" t="s">
        <v>27</v>
      </c>
    </row>
    <row r="4" spans="1:26">
      <c r="R4" s="15"/>
      <c r="S4" s="16"/>
      <c r="T4" s="17">
        <f>IF(AND(COUNTA($A4:$K4)=0,$L4=""),"",IF($S4="Paid","PAID",IF($S4="Closed","CLOSED",IF($W4="","",IF($W4=6,"ESCALATED TO ROXANNE",IF(TODAY()&gt;$Y4,"OVERDUE",IF($Y4&lt;=WORKDAY(TODAY(),1,Holidays),"DUE TOMORROW",IF($W4=4,"ESCALATED TO LOCAL OFFICE",IF($W4=5,"ESCALATED TO CBE",IF($X4=TODAY(),"EMAIL SENT","MONITORING"))))))))))</f>
        <v/>
      </c>
      <c r="U4" s="17">
        <f>IF($T4="",IF(AND(COUNTA($A4:$K4)&gt;0,$L4=""),"Awaiting Collection Email time stamp.",""),IF(OR($T4="PAID",$T4="CLOSED"),IF($T4="PAID","Account paid. Action completed.","Account closed. No further action required."),CHOOSE($W4,"Collection Email","1st Email Follow-up","2nd Email Follow-up","Escalation to Local Office","Escalation to CBE","Escalation to Roxanne")&amp;" sent "&amp;TEXT($X4,"dd-mmm")&amp;". "&amp;IF($W4=6,"Final escalation completed.",IF($T4="OVERDUE","Next: "&amp;$Z4&amp;" was due "&amp;TEXT($Y4,"dd-mmm")&amp;" - "&amp;(NETWORKDAYS($Y4,TODAY(),Holidays)-1)&amp;" business day(s) late. Send now.",IF($T4="DUE TOMORROW","Next: "&amp;$Z4&amp;IF($Y4&lt;=TODAY()," is due TODAY ("," is due next business day (")&amp;TEXT($Y4,"dd-mmm")&amp;").","Next: "&amp;$Z4&amp;" due "&amp;TEXT($Y4,"dd-mmm")&amp;" ("&amp;(NETWORKDAYS(TODAY(),$Y4,Holidays)-1)&amp;" business day(s) left).")))))</f>
        <v/>
      </c>
      <c r="V4" s="17">
        <f>IF($W4="","",CHOOSE($W4,"Collection Email","1st Follow-up","2nd Follow-up","Local Office","CBE","Roxanne")&amp;IF($W4=6," - Final"," - Day "&amp;MAX(0,NETWORKDAYS($X4,TODAY(),Holidays)-1)&amp;" of "&amp;CHOOSE($W4,3,3,2,2,3))&amp;" | Total Day "&amp;MAX(0,NETWORKDAYS($L4,TODAY(),Holidays)-1))</f>
        <v/>
      </c>
      <c r="W4" s="17">
        <f>IF($L4="","",COUNT($L4:$Q4))</f>
        <v/>
      </c>
      <c r="X4" s="18">
        <f>IF($W4="","",INT(INDEX($L4:$Q4,$W4)))</f>
        <v/>
      </c>
      <c r="Y4" s="18">
        <f>IF(OR($W4="",$W4=6),"",WORKDAY($X4,CHOOSE($W4,3,3,2,2,3),Holidays))</f>
        <v/>
      </c>
      <c r="Z4" s="17">
        <f>IF(OR($W4="",$W4=6),"",CHOOSE($W4,"1st Email Follow-up","2nd Email Follow-up","Escalate Local Office","Escalate to CBE","Escalate to Roxanne"))</f>
        <v/>
      </c>
    </row>
    <row r="5" spans="1:26">
      <c r="R5" s="15"/>
      <c r="S5" s="16"/>
      <c r="T5" s="17">
        <f>IF(AND(COUNTA($A5:$K5)=0,$L5=""),"",IF($S5="Paid","PAID",IF($S5="Closed","CLOSED",IF($W5="","",IF($W5=6,"ESCALATED TO ROXANNE",IF(TODAY()&gt;$Y5,"OVERDUE",IF($Y5&lt;=WORKDAY(TODAY(),1,Holidays),"DUE TOMORROW",IF($W5=4,"ESCALATED TO LOCAL OFFICE",IF($W5=5,"ESCALATED TO CBE",IF($X5=TODAY(),"EMAIL SENT","MONITORING"))))))))))</f>
        <v/>
      </c>
      <c r="U5" s="17">
        <f>IF($T5="",IF(AND(COUNTA($A5:$K5)&gt;0,$L5=""),"Awaiting Collection Email time stamp.",""),IF(OR($T5="PAID",$T5="CLOSED"),IF($T5="PAID","Account paid. Action completed.","Account closed. No further action required."),CHOOSE($W5,"Collection Email","1st Email Follow-up","2nd Email Follow-up","Escalation to Local Office","Escalation to CBE","Escalation to Roxanne")&amp;" sent "&amp;TEXT($X5,"dd-mmm")&amp;". "&amp;IF($W5=6,"Final escalation completed.",IF($T5="OVERDUE","Next: "&amp;$Z5&amp;" was due "&amp;TEXT($Y5,"dd-mmm")&amp;" - "&amp;(NETWORKDAYS($Y5,TODAY(),Holidays)-1)&amp;" business day(s) late. Send now.",IF($T5="DUE TOMORROW","Next: "&amp;$Z5&amp;IF($Y5&lt;=TODAY()," is due TODAY ("," is due next business day (")&amp;TEXT($Y5,"dd-mmm")&amp;").","Next: "&amp;$Z5&amp;" due "&amp;TEXT($Y5,"dd-mmm")&amp;" ("&amp;(NETWORKDAYS(TODAY(),$Y5,Holidays)-1)&amp;" business day(s) left).")))))</f>
        <v/>
      </c>
      <c r="V5" s="17">
        <f>IF($W5="","",CHOOSE($W5,"Collection Email","1st Follow-up","2nd Follow-up","Local Office","CBE","Roxanne")&amp;IF($W5=6," - Final"," - Day "&amp;MAX(0,NETWORKDAYS($X5,TODAY(),Holidays)-1)&amp;" of "&amp;CHOOSE($W5,3,3,2,2,3))&amp;" | Total Day "&amp;MAX(0,NETWORKDAYS($L5,TODAY(),Holidays)-1))</f>
        <v/>
      </c>
      <c r="W5" s="17">
        <f>IF($L5="","",COUNT($L5:$Q5))</f>
        <v/>
      </c>
      <c r="X5" s="18">
        <f>IF($W5="","",INT(INDEX($L5:$Q5,$W5)))</f>
        <v/>
      </c>
      <c r="Y5" s="18">
        <f>IF(OR($W5="",$W5=6),"",WORKDAY($X5,CHOOSE($W5,3,3,2,2,3),Holidays))</f>
        <v/>
      </c>
      <c r="Z5" s="17">
        <f>IF(OR($W5="",$W5=6),"",CHOOSE($W5,"1st Email Follow-up","2nd Email Follow-up","Escalate Local Office","Escalate to CBE","Escalate to Roxanne"))</f>
        <v/>
      </c>
    </row>
    <row r="6" spans="1:26">
      <c r="R6" s="15"/>
      <c r="S6" s="16"/>
      <c r="T6" s="17">
        <f>IF(AND(COUNTA($A6:$K6)=0,$L6=""),"",IF($S6="Paid","PAID",IF($S6="Closed","CLOSED",IF($W6="","",IF($W6=6,"ESCALATED TO ROXANNE",IF(TODAY()&gt;$Y6,"OVERDUE",IF($Y6&lt;=WORKDAY(TODAY(),1,Holidays),"DUE TOMORROW",IF($W6=4,"ESCALATED TO LOCAL OFFICE",IF($W6=5,"ESCALATED TO CBE",IF($X6=TODAY(),"EMAIL SENT","MONITORING"))))))))))</f>
        <v/>
      </c>
      <c r="U6" s="17">
        <f>IF($T6="",IF(AND(COUNTA($A6:$K6)&gt;0,$L6=""),"Awaiting Collection Email time stamp.",""),IF(OR($T6="PAID",$T6="CLOSED"),IF($T6="PAID","Account paid. Action completed.","Account closed. No further action required."),CHOOSE($W6,"Collection Email","1st Email Follow-up","2nd Email Follow-up","Escalation to Local Office","Escalation to CBE","Escalation to Roxanne")&amp;" sent "&amp;TEXT($X6,"dd-mmm")&amp;". "&amp;IF($W6=6,"Final escalation completed.",IF($T6="OVERDUE","Next: "&amp;$Z6&amp;" was due "&amp;TEXT($Y6,"dd-mmm")&amp;" - "&amp;(NETWORKDAYS($Y6,TODAY(),Holidays)-1)&amp;" business day(s) late. Send now.",IF($T6="DUE TOMORROW","Next: "&amp;$Z6&amp;IF($Y6&lt;=TODAY()," is due TODAY ("," is due next business day (")&amp;TEXT($Y6,"dd-mmm")&amp;").","Next: "&amp;$Z6&amp;" due "&amp;TEXT($Y6,"dd-mmm")&amp;" ("&amp;(NETWORKDAYS(TODAY(),$Y6,Holidays)-1)&amp;" business day(s) left).")))))</f>
        <v/>
      </c>
      <c r="V6" s="17">
        <f>IF($W6="","",CHOOSE($W6,"Collection Email","1st Follow-up","2nd Follow-up","Local Office","CBE","Roxanne")&amp;IF($W6=6," - Final"," - Day "&amp;MAX(0,NETWORKDAYS($X6,TODAY(),Holidays)-1)&amp;" of "&amp;CHOOSE($W6,3,3,2,2,3))&amp;" | Total Day "&amp;MAX(0,NETWORKDAYS($L6,TODAY(),Holidays)-1))</f>
        <v/>
      </c>
      <c r="W6" s="17">
        <f>IF($L6="","",COUNT($L6:$Q6))</f>
        <v/>
      </c>
      <c r="X6" s="18">
        <f>IF($W6="","",INT(INDEX($L6:$Q6,$W6)))</f>
        <v/>
      </c>
      <c r="Y6" s="18">
        <f>IF(OR($W6="",$W6=6),"",WORKDAY($X6,CHOOSE($W6,3,3,2,2,3),Holidays))</f>
        <v/>
      </c>
      <c r="Z6" s="17">
        <f>IF(OR($W6="",$W6=6),"",CHOOSE($W6,"1st Email Follow-up","2nd Email Follow-up","Escalate Local Office","Escalate to CBE","Escalate to Roxanne"))</f>
        <v/>
      </c>
    </row>
    <row r="7" spans="1:26">
      <c r="R7" s="15"/>
      <c r="S7" s="16"/>
      <c r="T7" s="17">
        <f>IF(AND(COUNTA($A7:$K7)=0,$L7=""),"",IF($S7="Paid","PAID",IF($S7="Closed","CLOSED",IF($W7="","",IF($W7=6,"ESCALATED TO ROXANNE",IF(TODAY()&gt;$Y7,"OVERDUE",IF($Y7&lt;=WORKDAY(TODAY(),1,Holidays),"DUE TOMORROW",IF($W7=4,"ESCALATED TO LOCAL OFFICE",IF($W7=5,"ESCALATED TO CBE",IF($X7=TODAY(),"EMAIL SENT","MONITORING"))))))))))</f>
        <v/>
      </c>
      <c r="U7" s="17">
        <f>IF($T7="",IF(AND(COUNTA($A7:$K7)&gt;0,$L7=""),"Awaiting Collection Email time stamp.",""),IF(OR($T7="PAID",$T7="CLOSED"),IF($T7="PAID","Account paid. Action completed.","Account closed. No further action required."),CHOOSE($W7,"Collection Email","1st Email Follow-up","2nd Email Follow-up","Escalation to Local Office","Escalation to CBE","Escalation to Roxanne")&amp;" sent "&amp;TEXT($X7,"dd-mmm")&amp;". "&amp;IF($W7=6,"Final escalation completed.",IF($T7="OVERDUE","Next: "&amp;$Z7&amp;" was due "&amp;TEXT($Y7,"dd-mmm")&amp;" - "&amp;(NETWORKDAYS($Y7,TODAY(),Holidays)-1)&amp;" business day(s) late. Send now.",IF($T7="DUE TOMORROW","Next: "&amp;$Z7&amp;IF($Y7&lt;=TODAY()," is due TODAY ("," is due next business day (")&amp;TEXT($Y7,"dd-mmm")&amp;").","Next: "&amp;$Z7&amp;" due "&amp;TEXT($Y7,"dd-mmm")&amp;" ("&amp;(NETWORKDAYS(TODAY(),$Y7,Holidays)-1)&amp;" business day(s) left).")))))</f>
        <v/>
      </c>
      <c r="V7" s="17">
        <f>IF($W7="","",CHOOSE($W7,"Collection Email","1st Follow-up","2nd Follow-up","Local Office","CBE","Roxanne")&amp;IF($W7=6," - Final"," - Day "&amp;MAX(0,NETWORKDAYS($X7,TODAY(),Holidays)-1)&amp;" of "&amp;CHOOSE($W7,3,3,2,2,3))&amp;" | Total Day "&amp;MAX(0,NETWORKDAYS($L7,TODAY(),Holidays)-1))</f>
        <v/>
      </c>
      <c r="W7" s="17">
        <f>IF($L7="","",COUNT($L7:$Q7))</f>
        <v/>
      </c>
      <c r="X7" s="18">
        <f>IF($W7="","",INT(INDEX($L7:$Q7,$W7)))</f>
        <v/>
      </c>
      <c r="Y7" s="18">
        <f>IF(OR($W7="",$W7=6),"",WORKDAY($X7,CHOOSE($W7,3,3,2,2,3),Holidays))</f>
        <v/>
      </c>
      <c r="Z7" s="17">
        <f>IF(OR($W7="",$W7=6),"",CHOOSE($W7,"1st Email Follow-up","2nd Email Follow-up","Escalate Local Office","Escalate to CBE","Escalate to Roxanne"))</f>
        <v/>
      </c>
    </row>
    <row r="8" spans="1:26">
      <c r="R8" s="15"/>
      <c r="S8" s="16"/>
      <c r="T8" s="17">
        <f>IF(AND(COUNTA($A8:$K8)=0,$L8=""),"",IF($S8="Paid","PAID",IF($S8="Closed","CLOSED",IF($W8="","",IF($W8=6,"ESCALATED TO ROXANNE",IF(TODAY()&gt;$Y8,"OVERDUE",IF($Y8&lt;=WORKDAY(TODAY(),1,Holidays),"DUE TOMORROW",IF($W8=4,"ESCALATED TO LOCAL OFFICE",IF($W8=5,"ESCALATED TO CBE",IF($X8=TODAY(),"EMAIL SENT","MONITORING"))))))))))</f>
        <v/>
      </c>
      <c r="U8" s="17">
        <f>IF($T8="",IF(AND(COUNTA($A8:$K8)&gt;0,$L8=""),"Awaiting Collection Email time stamp.",""),IF(OR($T8="PAID",$T8="CLOSED"),IF($T8="PAID","Account paid. Action completed.","Account closed. No further action required."),CHOOSE($W8,"Collection Email","1st Email Follow-up","2nd Email Follow-up","Escalation to Local Office","Escalation to CBE","Escalation to Roxanne")&amp;" sent "&amp;TEXT($X8,"dd-mmm")&amp;". "&amp;IF($W8=6,"Final escalation completed.",IF($T8="OVERDUE","Next: "&amp;$Z8&amp;" was due "&amp;TEXT($Y8,"dd-mmm")&amp;" - "&amp;(NETWORKDAYS($Y8,TODAY(),Holidays)-1)&amp;" business day(s) late. Send now.",IF($T8="DUE TOMORROW","Next: "&amp;$Z8&amp;IF($Y8&lt;=TODAY()," is due TODAY ("," is due next business day (")&amp;TEXT($Y8,"dd-mmm")&amp;").","Next: "&amp;$Z8&amp;" due "&amp;TEXT($Y8,"dd-mmm")&amp;" ("&amp;(NETWORKDAYS(TODAY(),$Y8,Holidays)-1)&amp;" business day(s) left).")))))</f>
        <v/>
      </c>
      <c r="V8" s="17">
        <f>IF($W8="","",CHOOSE($W8,"Collection Email","1st Follow-up","2nd Follow-up","Local Office","CBE","Roxanne")&amp;IF($W8=6," - Final"," - Day "&amp;MAX(0,NETWORKDAYS($X8,TODAY(),Holidays)-1)&amp;" of "&amp;CHOOSE($W8,3,3,2,2,3))&amp;" | Total Day "&amp;MAX(0,NETWORKDAYS($L8,TODAY(),Holidays)-1))</f>
        <v/>
      </c>
      <c r="W8" s="17">
        <f>IF($L8="","",COUNT($L8:$Q8))</f>
        <v/>
      </c>
      <c r="X8" s="18">
        <f>IF($W8="","",INT(INDEX($L8:$Q8,$W8)))</f>
        <v/>
      </c>
      <c r="Y8" s="18">
        <f>IF(OR($W8="",$W8=6),"",WORKDAY($X8,CHOOSE($W8,3,3,2,2,3),Holidays))</f>
        <v/>
      </c>
      <c r="Z8" s="17">
        <f>IF(OR($W8="",$W8=6),"",CHOOSE($W8,"1st Email Follow-up","2nd Email Follow-up","Escalate Local Office","Escalate to CBE","Escalate to Roxanne"))</f>
        <v/>
      </c>
    </row>
    <row r="9" spans="1:26">
      <c r="R9" s="15"/>
      <c r="S9" s="16"/>
      <c r="T9" s="17">
        <f>IF(AND(COUNTA($A9:$K9)=0,$L9=""),"",IF($S9="Paid","PAID",IF($S9="Closed","CLOSED",IF($W9="","",IF($W9=6,"ESCALATED TO ROXANNE",IF(TODAY()&gt;$Y9,"OVERDUE",IF($Y9&lt;=WORKDAY(TODAY(),1,Holidays),"DUE TOMORROW",IF($W9=4,"ESCALATED TO LOCAL OFFICE",IF($W9=5,"ESCALATED TO CBE",IF($X9=TODAY(),"EMAIL SENT","MONITORING"))))))))))</f>
        <v/>
      </c>
      <c r="U9" s="17">
        <f>IF($T9="",IF(AND(COUNTA($A9:$K9)&gt;0,$L9=""),"Awaiting Collection Email time stamp.",""),IF(OR($T9="PAID",$T9="CLOSED"),IF($T9="PAID","Account paid. Action completed.","Account closed. No further action required."),CHOOSE($W9,"Collection Email","1st Email Follow-up","2nd Email Follow-up","Escalation to Local Office","Escalation to CBE","Escalation to Roxanne")&amp;" sent "&amp;TEXT($X9,"dd-mmm")&amp;". "&amp;IF($W9=6,"Final escalation completed.",IF($T9="OVERDUE","Next: "&amp;$Z9&amp;" was due "&amp;TEXT($Y9,"dd-mmm")&amp;" - "&amp;(NETWORKDAYS($Y9,TODAY(),Holidays)-1)&amp;" business day(s) late. Send now.",IF($T9="DUE TOMORROW","Next: "&amp;$Z9&amp;IF($Y9&lt;=TODAY()," is due TODAY ("," is due next business day (")&amp;TEXT($Y9,"dd-mmm")&amp;").","Next: "&amp;$Z9&amp;" due "&amp;TEXT($Y9,"dd-mmm")&amp;" ("&amp;(NETWORKDAYS(TODAY(),$Y9,Holidays)-1)&amp;" business day(s) left).")))))</f>
        <v/>
      </c>
      <c r="V9" s="17">
        <f>IF($W9="","",CHOOSE($W9,"Collection Email","1st Follow-up","2nd Follow-up","Local Office","CBE","Roxanne")&amp;IF($W9=6," - Final"," - Day "&amp;MAX(0,NETWORKDAYS($X9,TODAY(),Holidays)-1)&amp;" of "&amp;CHOOSE($W9,3,3,2,2,3))&amp;" | Total Day "&amp;MAX(0,NETWORKDAYS($L9,TODAY(),Holidays)-1))</f>
        <v/>
      </c>
      <c r="W9" s="17">
        <f>IF($L9="","",COUNT($L9:$Q9))</f>
        <v/>
      </c>
      <c r="X9" s="18">
        <f>IF($W9="","",INT(INDEX($L9:$Q9,$W9)))</f>
        <v/>
      </c>
      <c r="Y9" s="18">
        <f>IF(OR($W9="",$W9=6),"",WORKDAY($X9,CHOOSE($W9,3,3,2,2,3),Holidays))</f>
        <v/>
      </c>
      <c r="Z9" s="17">
        <f>IF(OR($W9="",$W9=6),"",CHOOSE($W9,"1st Email Follow-up","2nd Email Follow-up","Escalate Local Office","Escalate to CBE","Escalate to Roxanne"))</f>
        <v/>
      </c>
    </row>
    <row r="10" spans="1:26">
      <c r="R10" s="15"/>
      <c r="S10" s="16"/>
      <c r="T10" s="17">
        <f>IF(AND(COUNTA($A10:$K10)=0,$L10=""),"",IF($S10="Paid","PAID",IF($S10="Closed","CLOSED",IF($W10="","",IF($W10=6,"ESCALATED TO ROXANNE",IF(TODAY()&gt;$Y10,"OVERDUE",IF($Y10&lt;=WORKDAY(TODAY(),1,Holidays),"DUE TOMORROW",IF($W10=4,"ESCALATED TO LOCAL OFFICE",IF($W10=5,"ESCALATED TO CBE",IF($X10=TODAY(),"EMAIL SENT","MONITORING"))))))))))</f>
        <v/>
      </c>
      <c r="U10" s="17">
        <f>IF($T10="",IF(AND(COUNTA($A10:$K10)&gt;0,$L10=""),"Awaiting Collection Email time stamp.",""),IF(OR($T10="PAID",$T10="CLOSED"),IF($T10="PAID","Account paid. Action completed.","Account closed. No further action required."),CHOOSE($W10,"Collection Email","1st Email Follow-up","2nd Email Follow-up","Escalation to Local Office","Escalation to CBE","Escalation to Roxanne")&amp;" sent "&amp;TEXT($X10,"dd-mmm")&amp;". "&amp;IF($W10=6,"Final escalation completed.",IF($T10="OVERDUE","Next: "&amp;$Z10&amp;" was due "&amp;TEXT($Y10,"dd-mmm")&amp;" - "&amp;(NETWORKDAYS($Y10,TODAY(),Holidays)-1)&amp;" business day(s) late. Send now.",IF($T10="DUE TOMORROW","Next: "&amp;$Z10&amp;IF($Y10&lt;=TODAY()," is due TODAY ("," is due next business day (")&amp;TEXT($Y10,"dd-mmm")&amp;").","Next: "&amp;$Z10&amp;" due "&amp;TEXT($Y10,"dd-mmm")&amp;" ("&amp;(NETWORKDAYS(TODAY(),$Y10,Holidays)-1)&amp;" business day(s) left).")))))</f>
        <v/>
      </c>
      <c r="V10" s="17">
        <f>IF($W10="","",CHOOSE($W10,"Collection Email","1st Follow-up","2nd Follow-up","Local Office","CBE","Roxanne")&amp;IF($W10=6," - Final"," - Day "&amp;MAX(0,NETWORKDAYS($X10,TODAY(),Holidays)-1)&amp;" of "&amp;CHOOSE($W10,3,3,2,2,3))&amp;" | Total Day "&amp;MAX(0,NETWORKDAYS($L10,TODAY(),Holidays)-1))</f>
        <v/>
      </c>
      <c r="W10" s="17">
        <f>IF($L10="","",COUNT($L10:$Q10))</f>
        <v/>
      </c>
      <c r="X10" s="18">
        <f>IF($W10="","",INT(INDEX($L10:$Q10,$W10)))</f>
        <v/>
      </c>
      <c r="Y10" s="18">
        <f>IF(OR($W10="",$W10=6),"",WORKDAY($X10,CHOOSE($W10,3,3,2,2,3),Holidays))</f>
        <v/>
      </c>
      <c r="Z10" s="17">
        <f>IF(OR($W10="",$W10=6),"",CHOOSE($W10,"1st Email Follow-up","2nd Email Follow-up","Escalate Local Office","Escalate to CBE","Escalate to Roxanne"))</f>
        <v/>
      </c>
    </row>
    <row r="11" spans="1:26">
      <c r="R11" s="15"/>
      <c r="S11" s="16"/>
      <c r="T11" s="17">
        <f>IF(AND(COUNTA($A11:$K11)=0,$L11=""),"",IF($S11="Paid","PAID",IF($S11="Closed","CLOSED",IF($W11="","",IF($W11=6,"ESCALATED TO ROXANNE",IF(TODAY()&gt;$Y11,"OVERDUE",IF($Y11&lt;=WORKDAY(TODAY(),1,Holidays),"DUE TOMORROW",IF($W11=4,"ESCALATED TO LOCAL OFFICE",IF($W11=5,"ESCALATED TO CBE",IF($X11=TODAY(),"EMAIL SENT","MONITORING"))))))))))</f>
        <v/>
      </c>
      <c r="U11" s="17">
        <f>IF($T11="",IF(AND(COUNTA($A11:$K11)&gt;0,$L11=""),"Awaiting Collection Email time stamp.",""),IF(OR($T11="PAID",$T11="CLOSED"),IF($T11="PAID","Account paid. Action completed.","Account closed. No further action required."),CHOOSE($W11,"Collection Email","1st Email Follow-up","2nd Email Follow-up","Escalation to Local Office","Escalation to CBE","Escalation to Roxanne")&amp;" sent "&amp;TEXT($X11,"dd-mmm")&amp;". "&amp;IF($W11=6,"Final escalation completed.",IF($T11="OVERDUE","Next: "&amp;$Z11&amp;" was due "&amp;TEXT($Y11,"dd-mmm")&amp;" - "&amp;(NETWORKDAYS($Y11,TODAY(),Holidays)-1)&amp;" business day(s) late. Send now.",IF($T11="DUE TOMORROW","Next: "&amp;$Z11&amp;IF($Y11&lt;=TODAY()," is due TODAY ("," is due next business day (")&amp;TEXT($Y11,"dd-mmm")&amp;").","Next: "&amp;$Z11&amp;" due "&amp;TEXT($Y11,"dd-mmm")&amp;" ("&amp;(NETWORKDAYS(TODAY(),$Y11,Holidays)-1)&amp;" business day(s) left).")))))</f>
        <v/>
      </c>
      <c r="V11" s="17">
        <f>IF($W11="","",CHOOSE($W11,"Collection Email","1st Follow-up","2nd Follow-up","Local Office","CBE","Roxanne")&amp;IF($W11=6," - Final"," - Day "&amp;MAX(0,NETWORKDAYS($X11,TODAY(),Holidays)-1)&amp;" of "&amp;CHOOSE($W11,3,3,2,2,3))&amp;" | Total Day "&amp;MAX(0,NETWORKDAYS($L11,TODAY(),Holidays)-1))</f>
        <v/>
      </c>
      <c r="W11" s="17">
        <f>IF($L11="","",COUNT($L11:$Q11))</f>
        <v/>
      </c>
      <c r="X11" s="18">
        <f>IF($W11="","",INT(INDEX($L11:$Q11,$W11)))</f>
        <v/>
      </c>
      <c r="Y11" s="18">
        <f>IF(OR($W11="",$W11=6),"",WORKDAY($X11,CHOOSE($W11,3,3,2,2,3),Holidays))</f>
        <v/>
      </c>
      <c r="Z11" s="17">
        <f>IF(OR($W11="",$W11=6),"",CHOOSE($W11,"1st Email Follow-up","2nd Email Follow-up","Escalate Local Office","Escalate to CBE","Escalate to Roxanne"))</f>
        <v/>
      </c>
    </row>
    <row r="12" spans="1:26">
      <c r="R12" s="15"/>
      <c r="S12" s="16"/>
      <c r="T12" s="17">
        <f>IF(AND(COUNTA($A12:$K12)=0,$L12=""),"",IF($S12="Paid","PAID",IF($S12="Closed","CLOSED",IF($W12="","",IF($W12=6,"ESCALATED TO ROXANNE",IF(TODAY()&gt;$Y12,"OVERDUE",IF($Y12&lt;=WORKDAY(TODAY(),1,Holidays),"DUE TOMORROW",IF($W12=4,"ESCALATED TO LOCAL OFFICE",IF($W12=5,"ESCALATED TO CBE",IF($X12=TODAY(),"EMAIL SENT","MONITORING"))))))))))</f>
        <v/>
      </c>
      <c r="U12" s="17">
        <f>IF($T12="",IF(AND(COUNTA($A12:$K12)&gt;0,$L12=""),"Awaiting Collection Email time stamp.",""),IF(OR($T12="PAID",$T12="CLOSED"),IF($T12="PAID","Account paid. Action completed.","Account closed. No further action required."),CHOOSE($W12,"Collection Email","1st Email Follow-up","2nd Email Follow-up","Escalation to Local Office","Escalation to CBE","Escalation to Roxanne")&amp;" sent "&amp;TEXT($X12,"dd-mmm")&amp;". "&amp;IF($W12=6,"Final escalation completed.",IF($T12="OVERDUE","Next: "&amp;$Z12&amp;" was due "&amp;TEXT($Y12,"dd-mmm")&amp;" - "&amp;(NETWORKDAYS($Y12,TODAY(),Holidays)-1)&amp;" business day(s) late. Send now.",IF($T12="DUE TOMORROW","Next: "&amp;$Z12&amp;IF($Y12&lt;=TODAY()," is due TODAY ("," is due next business day (")&amp;TEXT($Y12,"dd-mmm")&amp;").","Next: "&amp;$Z12&amp;" due "&amp;TEXT($Y12,"dd-mmm")&amp;" ("&amp;(NETWORKDAYS(TODAY(),$Y12,Holidays)-1)&amp;" business day(s) left).")))))</f>
        <v/>
      </c>
      <c r="V12" s="17">
        <f>IF($W12="","",CHOOSE($W12,"Collection Email","1st Follow-up","2nd Follow-up","Local Office","CBE","Roxanne")&amp;IF($W12=6," - Final"," - Day "&amp;MAX(0,NETWORKDAYS($X12,TODAY(),Holidays)-1)&amp;" of "&amp;CHOOSE($W12,3,3,2,2,3))&amp;" | Total Day "&amp;MAX(0,NETWORKDAYS($L12,TODAY(),Holidays)-1))</f>
        <v/>
      </c>
      <c r="W12" s="17">
        <f>IF($L12="","",COUNT($L12:$Q12))</f>
        <v/>
      </c>
      <c r="X12" s="18">
        <f>IF($W12="","",INT(INDEX($L12:$Q12,$W12)))</f>
        <v/>
      </c>
      <c r="Y12" s="18">
        <f>IF(OR($W12="",$W12=6),"",WORKDAY($X12,CHOOSE($W12,3,3,2,2,3),Holidays))</f>
        <v/>
      </c>
      <c r="Z12" s="17">
        <f>IF(OR($W12="",$W12=6),"",CHOOSE($W12,"1st Email Follow-up","2nd Email Follow-up","Escalate Local Office","Escalate to CBE","Escalate to Roxanne"))</f>
        <v/>
      </c>
    </row>
    <row r="13" spans="1:26">
      <c r="R13" s="15"/>
      <c r="S13" s="16"/>
      <c r="T13" s="17">
        <f>IF(AND(COUNTA($A13:$K13)=0,$L13=""),"",IF($S13="Paid","PAID",IF($S13="Closed","CLOSED",IF($W13="","",IF($W13=6,"ESCALATED TO ROXANNE",IF(TODAY()&gt;$Y13,"OVERDUE",IF($Y13&lt;=WORKDAY(TODAY(),1,Holidays),"DUE TOMORROW",IF($W13=4,"ESCALATED TO LOCAL OFFICE",IF($W13=5,"ESCALATED TO CBE",IF($X13=TODAY(),"EMAIL SENT","MONITORING"))))))))))</f>
        <v/>
      </c>
      <c r="U13" s="17">
        <f>IF($T13="",IF(AND(COUNTA($A13:$K13)&gt;0,$L13=""),"Awaiting Collection Email time stamp.",""),IF(OR($T13="PAID",$T13="CLOSED"),IF($T13="PAID","Account paid. Action completed.","Account closed. No further action required."),CHOOSE($W13,"Collection Email","1st Email Follow-up","2nd Email Follow-up","Escalation to Local Office","Escalation to CBE","Escalation to Roxanne")&amp;" sent "&amp;TEXT($X13,"dd-mmm")&amp;". "&amp;IF($W13=6,"Final escalation completed.",IF($T13="OVERDUE","Next: "&amp;$Z13&amp;" was due "&amp;TEXT($Y13,"dd-mmm")&amp;" - "&amp;(NETWORKDAYS($Y13,TODAY(),Holidays)-1)&amp;" business day(s) late. Send now.",IF($T13="DUE TOMORROW","Next: "&amp;$Z13&amp;IF($Y13&lt;=TODAY()," is due TODAY ("," is due next business day (")&amp;TEXT($Y13,"dd-mmm")&amp;").","Next: "&amp;$Z13&amp;" due "&amp;TEXT($Y13,"dd-mmm")&amp;" ("&amp;(NETWORKDAYS(TODAY(),$Y13,Holidays)-1)&amp;" business day(s) left).")))))</f>
        <v/>
      </c>
      <c r="V13" s="17">
        <f>IF($W13="","",CHOOSE($W13,"Collection Email","1st Follow-up","2nd Follow-up","Local Office","CBE","Roxanne")&amp;IF($W13=6," - Final"," - Day "&amp;MAX(0,NETWORKDAYS($X13,TODAY(),Holidays)-1)&amp;" of "&amp;CHOOSE($W13,3,3,2,2,3))&amp;" | Total Day "&amp;MAX(0,NETWORKDAYS($L13,TODAY(),Holidays)-1))</f>
        <v/>
      </c>
      <c r="W13" s="17">
        <f>IF($L13="","",COUNT($L13:$Q13))</f>
        <v/>
      </c>
      <c r="X13" s="18">
        <f>IF($W13="","",INT(INDEX($L13:$Q13,$W13)))</f>
        <v/>
      </c>
      <c r="Y13" s="18">
        <f>IF(OR($W13="",$W13=6),"",WORKDAY($X13,CHOOSE($W13,3,3,2,2,3),Holidays))</f>
        <v/>
      </c>
      <c r="Z13" s="17">
        <f>IF(OR($W13="",$W13=6),"",CHOOSE($W13,"1st Email Follow-up","2nd Email Follow-up","Escalate Local Office","Escalate to CBE","Escalate to Roxanne"))</f>
        <v/>
      </c>
    </row>
    <row r="14" spans="1:26">
      <c r="R14" s="15"/>
      <c r="S14" s="16"/>
      <c r="T14" s="17">
        <f>IF(AND(COUNTA($A14:$K14)=0,$L14=""),"",IF($S14="Paid","PAID",IF($S14="Closed","CLOSED",IF($W14="","",IF($W14=6,"ESCALATED TO ROXANNE",IF(TODAY()&gt;$Y14,"OVERDUE",IF($Y14&lt;=WORKDAY(TODAY(),1,Holidays),"DUE TOMORROW",IF($W14=4,"ESCALATED TO LOCAL OFFICE",IF($W14=5,"ESCALATED TO CBE",IF($X14=TODAY(),"EMAIL SENT","MONITORING"))))))))))</f>
        <v/>
      </c>
      <c r="U14" s="17">
        <f>IF($T14="",IF(AND(COUNTA($A14:$K14)&gt;0,$L14=""),"Awaiting Collection Email time stamp.",""),IF(OR($T14="PAID",$T14="CLOSED"),IF($T14="PAID","Account paid. Action completed.","Account closed. No further action required."),CHOOSE($W14,"Collection Email","1st Email Follow-up","2nd Email Follow-up","Escalation to Local Office","Escalation to CBE","Escalation to Roxanne")&amp;" sent "&amp;TEXT($X14,"dd-mmm")&amp;". "&amp;IF($W14=6,"Final escalation completed.",IF($T14="OVERDUE","Next: "&amp;$Z14&amp;" was due "&amp;TEXT($Y14,"dd-mmm")&amp;" - "&amp;(NETWORKDAYS($Y14,TODAY(),Holidays)-1)&amp;" business day(s) late. Send now.",IF($T14="DUE TOMORROW","Next: "&amp;$Z14&amp;IF($Y14&lt;=TODAY()," is due TODAY ("," is due next business day (")&amp;TEXT($Y14,"dd-mmm")&amp;").","Next: "&amp;$Z14&amp;" due "&amp;TEXT($Y14,"dd-mmm")&amp;" ("&amp;(NETWORKDAYS(TODAY(),$Y14,Holidays)-1)&amp;" business day(s) left).")))))</f>
        <v/>
      </c>
      <c r="V14" s="17">
        <f>IF($W14="","",CHOOSE($W14,"Collection Email","1st Follow-up","2nd Follow-up","Local Office","CBE","Roxanne")&amp;IF($W14=6," - Final"," - Day "&amp;MAX(0,NETWORKDAYS($X14,TODAY(),Holidays)-1)&amp;" of "&amp;CHOOSE($W14,3,3,2,2,3))&amp;" | Total Day "&amp;MAX(0,NETWORKDAYS($L14,TODAY(),Holidays)-1))</f>
        <v/>
      </c>
      <c r="W14" s="17">
        <f>IF($L14="","",COUNT($L14:$Q14))</f>
        <v/>
      </c>
      <c r="X14" s="18">
        <f>IF($W14="","",INT(INDEX($L14:$Q14,$W14)))</f>
        <v/>
      </c>
      <c r="Y14" s="18">
        <f>IF(OR($W14="",$W14=6),"",WORKDAY($X14,CHOOSE($W14,3,3,2,2,3),Holidays))</f>
        <v/>
      </c>
      <c r="Z14" s="17">
        <f>IF(OR($W14="",$W14=6),"",CHOOSE($W14,"1st Email Follow-up","2nd Email Follow-up","Escalate Local Office","Escalate to CBE","Escalate to Roxanne"))</f>
        <v/>
      </c>
    </row>
    <row r="15" spans="1:26">
      <c r="R15" s="15"/>
      <c r="S15" s="16"/>
      <c r="T15" s="17">
        <f>IF(AND(COUNTA($A15:$K15)=0,$L15=""),"",IF($S15="Paid","PAID",IF($S15="Closed","CLOSED",IF($W15="","",IF($W15=6,"ESCALATED TO ROXANNE",IF(TODAY()&gt;$Y15,"OVERDUE",IF($Y15&lt;=WORKDAY(TODAY(),1,Holidays),"DUE TOMORROW",IF($W15=4,"ESCALATED TO LOCAL OFFICE",IF($W15=5,"ESCALATED TO CBE",IF($X15=TODAY(),"EMAIL SENT","MONITORING"))))))))))</f>
        <v/>
      </c>
      <c r="U15" s="17">
        <f>IF($T15="",IF(AND(COUNTA($A15:$K15)&gt;0,$L15=""),"Awaiting Collection Email time stamp.",""),IF(OR($T15="PAID",$T15="CLOSED"),IF($T15="PAID","Account paid. Action completed.","Account closed. No further action required."),CHOOSE($W15,"Collection Email","1st Email Follow-up","2nd Email Follow-up","Escalation to Local Office","Escalation to CBE","Escalation to Roxanne")&amp;" sent "&amp;TEXT($X15,"dd-mmm")&amp;". "&amp;IF($W15=6,"Final escalation completed.",IF($T15="OVERDUE","Next: "&amp;$Z15&amp;" was due "&amp;TEXT($Y15,"dd-mmm")&amp;" - "&amp;(NETWORKDAYS($Y15,TODAY(),Holidays)-1)&amp;" business day(s) late. Send now.",IF($T15="DUE TOMORROW","Next: "&amp;$Z15&amp;IF($Y15&lt;=TODAY()," is due TODAY ("," is due next business day (")&amp;TEXT($Y15,"dd-mmm")&amp;").","Next: "&amp;$Z15&amp;" due "&amp;TEXT($Y15,"dd-mmm")&amp;" ("&amp;(NETWORKDAYS(TODAY(),$Y15,Holidays)-1)&amp;" business day(s) left).")))))</f>
        <v/>
      </c>
      <c r="V15" s="17">
        <f>IF($W15="","",CHOOSE($W15,"Collection Email","1st Follow-up","2nd Follow-up","Local Office","CBE","Roxanne")&amp;IF($W15=6," - Final"," - Day "&amp;MAX(0,NETWORKDAYS($X15,TODAY(),Holidays)-1)&amp;" of "&amp;CHOOSE($W15,3,3,2,2,3))&amp;" | Total Day "&amp;MAX(0,NETWORKDAYS($L15,TODAY(),Holidays)-1))</f>
        <v/>
      </c>
      <c r="W15" s="17">
        <f>IF($L15="","",COUNT($L15:$Q15))</f>
        <v/>
      </c>
      <c r="X15" s="18">
        <f>IF($W15="","",INT(INDEX($L15:$Q15,$W15)))</f>
        <v/>
      </c>
      <c r="Y15" s="18">
        <f>IF(OR($W15="",$W15=6),"",WORKDAY($X15,CHOOSE($W15,3,3,2,2,3),Holidays))</f>
        <v/>
      </c>
      <c r="Z15" s="17">
        <f>IF(OR($W15="",$W15=6),"",CHOOSE($W15,"1st Email Follow-up","2nd Email Follow-up","Escalate Local Office","Escalate to CBE","Escalate to Roxanne"))</f>
        <v/>
      </c>
    </row>
    <row r="16" spans="1:26">
      <c r="R16" s="15"/>
      <c r="S16" s="16"/>
      <c r="T16" s="17">
        <f>IF(AND(COUNTA($A16:$K16)=0,$L16=""),"",IF($S16="Paid","PAID",IF($S16="Closed","CLOSED",IF($W16="","",IF($W16=6,"ESCALATED TO ROXANNE",IF(TODAY()&gt;$Y16,"OVERDUE",IF($Y16&lt;=WORKDAY(TODAY(),1,Holidays),"DUE TOMORROW",IF($W16=4,"ESCALATED TO LOCAL OFFICE",IF($W16=5,"ESCALATED TO CBE",IF($X16=TODAY(),"EMAIL SENT","MONITORING"))))))))))</f>
        <v/>
      </c>
      <c r="U16" s="17">
        <f>IF($T16="",IF(AND(COUNTA($A16:$K16)&gt;0,$L16=""),"Awaiting Collection Email time stamp.",""),IF(OR($T16="PAID",$T16="CLOSED"),IF($T16="PAID","Account paid. Action completed.","Account closed. No further action required."),CHOOSE($W16,"Collection Email","1st Email Follow-up","2nd Email Follow-up","Escalation to Local Office","Escalation to CBE","Escalation to Roxanne")&amp;" sent "&amp;TEXT($X16,"dd-mmm")&amp;". "&amp;IF($W16=6,"Final escalation completed.",IF($T16="OVERDUE","Next: "&amp;$Z16&amp;" was due "&amp;TEXT($Y16,"dd-mmm")&amp;" - "&amp;(NETWORKDAYS($Y16,TODAY(),Holidays)-1)&amp;" business day(s) late. Send now.",IF($T16="DUE TOMORROW","Next: "&amp;$Z16&amp;IF($Y16&lt;=TODAY()," is due TODAY ("," is due next business day (")&amp;TEXT($Y16,"dd-mmm")&amp;").","Next: "&amp;$Z16&amp;" due "&amp;TEXT($Y16,"dd-mmm")&amp;" ("&amp;(NETWORKDAYS(TODAY(),$Y16,Holidays)-1)&amp;" business day(s) left).")))))</f>
        <v/>
      </c>
      <c r="V16" s="17">
        <f>IF($W16="","",CHOOSE($W16,"Collection Email","1st Follow-up","2nd Follow-up","Local Office","CBE","Roxanne")&amp;IF($W16=6," - Final"," - Day "&amp;MAX(0,NETWORKDAYS($X16,TODAY(),Holidays)-1)&amp;" of "&amp;CHOOSE($W16,3,3,2,2,3))&amp;" | Total Day "&amp;MAX(0,NETWORKDAYS($L16,TODAY(),Holidays)-1))</f>
        <v/>
      </c>
      <c r="W16" s="17">
        <f>IF($L16="","",COUNT($L16:$Q16))</f>
        <v/>
      </c>
      <c r="X16" s="18">
        <f>IF($W16="","",INT(INDEX($L16:$Q16,$W16)))</f>
        <v/>
      </c>
      <c r="Y16" s="18">
        <f>IF(OR($W16="",$W16=6),"",WORKDAY($X16,CHOOSE($W16,3,3,2,2,3),Holidays))</f>
        <v/>
      </c>
      <c r="Z16" s="17">
        <f>IF(OR($W16="",$W16=6),"",CHOOSE($W16,"1st Email Follow-up","2nd Email Follow-up","Escalate Local Office","Escalate to CBE","Escalate to Roxanne"))</f>
        <v/>
      </c>
    </row>
    <row r="17" spans="18:26">
      <c r="R17" s="15"/>
      <c r="S17" s="16"/>
      <c r="T17" s="17">
        <f>IF(AND(COUNTA($A17:$K17)=0,$L17=""),"",IF($S17="Paid","PAID",IF($S17="Closed","CLOSED",IF($W17="","",IF($W17=6,"ESCALATED TO ROXANNE",IF(TODAY()&gt;$Y17,"OVERDUE",IF($Y17&lt;=WORKDAY(TODAY(),1,Holidays),"DUE TOMORROW",IF($W17=4,"ESCALATED TO LOCAL OFFICE",IF($W17=5,"ESCALATED TO CBE",IF($X17=TODAY(),"EMAIL SENT","MONITORING"))))))))))</f>
        <v/>
      </c>
      <c r="U17" s="17">
        <f>IF($T17="",IF(AND(COUNTA($A17:$K17)&gt;0,$L17=""),"Awaiting Collection Email time stamp.",""),IF(OR($T17="PAID",$T17="CLOSED"),IF($T17="PAID","Account paid. Action completed.","Account closed. No further action required."),CHOOSE($W17,"Collection Email","1st Email Follow-up","2nd Email Follow-up","Escalation to Local Office","Escalation to CBE","Escalation to Roxanne")&amp;" sent "&amp;TEXT($X17,"dd-mmm")&amp;". "&amp;IF($W17=6,"Final escalation completed.",IF($T17="OVERDUE","Next: "&amp;$Z17&amp;" was due "&amp;TEXT($Y17,"dd-mmm")&amp;" - "&amp;(NETWORKDAYS($Y17,TODAY(),Holidays)-1)&amp;" business day(s) late. Send now.",IF($T17="DUE TOMORROW","Next: "&amp;$Z17&amp;IF($Y17&lt;=TODAY()," is due TODAY ("," is due next business day (")&amp;TEXT($Y17,"dd-mmm")&amp;").","Next: "&amp;$Z17&amp;" due "&amp;TEXT($Y17,"dd-mmm")&amp;" ("&amp;(NETWORKDAYS(TODAY(),$Y17,Holidays)-1)&amp;" business day(s) left).")))))</f>
        <v/>
      </c>
      <c r="V17" s="17">
        <f>IF($W17="","",CHOOSE($W17,"Collection Email","1st Follow-up","2nd Follow-up","Local Office","CBE","Roxanne")&amp;IF($W17=6," - Final"," - Day "&amp;MAX(0,NETWORKDAYS($X17,TODAY(),Holidays)-1)&amp;" of "&amp;CHOOSE($W17,3,3,2,2,3))&amp;" | Total Day "&amp;MAX(0,NETWORKDAYS($L17,TODAY(),Holidays)-1))</f>
        <v/>
      </c>
      <c r="W17" s="17">
        <f>IF($L17="","",COUNT($L17:$Q17))</f>
        <v/>
      </c>
      <c r="X17" s="18">
        <f>IF($W17="","",INT(INDEX($L17:$Q17,$W17)))</f>
        <v/>
      </c>
      <c r="Y17" s="18">
        <f>IF(OR($W17="",$W17=6),"",WORKDAY($X17,CHOOSE($W17,3,3,2,2,3),Holidays))</f>
        <v/>
      </c>
      <c r="Z17" s="17">
        <f>IF(OR($W17="",$W17=6),"",CHOOSE($W17,"1st Email Follow-up","2nd Email Follow-up","Escalate Local Office","Escalate to CBE","Escalate to Roxanne"))</f>
        <v/>
      </c>
    </row>
    <row r="18" spans="18:26">
      <c r="R18" s="15"/>
      <c r="S18" s="16"/>
      <c r="T18" s="17">
        <f>IF(AND(COUNTA($A18:$K18)=0,$L18=""),"",IF($S18="Paid","PAID",IF($S18="Closed","CLOSED",IF($W18="","",IF($W18=6,"ESCALATED TO ROXANNE",IF(TODAY()&gt;$Y18,"OVERDUE",IF($Y18&lt;=WORKDAY(TODAY(),1,Holidays),"DUE TOMORROW",IF($W18=4,"ESCALATED TO LOCAL OFFICE",IF($W18=5,"ESCALATED TO CBE",IF($X18=TODAY(),"EMAIL SENT","MONITORING"))))))))))</f>
        <v/>
      </c>
      <c r="U18" s="17">
        <f>IF($T18="",IF(AND(COUNTA($A18:$K18)&gt;0,$L18=""),"Awaiting Collection Email time stamp.",""),IF(OR($T18="PAID",$T18="CLOSED"),IF($T18="PAID","Account paid. Action completed.","Account closed. No further action required."),CHOOSE($W18,"Collection Email","1st Email Follow-up","2nd Email Follow-up","Escalation to Local Office","Escalation to CBE","Escalation to Roxanne")&amp;" sent "&amp;TEXT($X18,"dd-mmm")&amp;". "&amp;IF($W18=6,"Final escalation completed.",IF($T18="OVERDUE","Next: "&amp;$Z18&amp;" was due "&amp;TEXT($Y18,"dd-mmm")&amp;" - "&amp;(NETWORKDAYS($Y18,TODAY(),Holidays)-1)&amp;" business day(s) late. Send now.",IF($T18="DUE TOMORROW","Next: "&amp;$Z18&amp;IF($Y18&lt;=TODAY()," is due TODAY ("," is due next business day (")&amp;TEXT($Y18,"dd-mmm")&amp;").","Next: "&amp;$Z18&amp;" due "&amp;TEXT($Y18,"dd-mmm")&amp;" ("&amp;(NETWORKDAYS(TODAY(),$Y18,Holidays)-1)&amp;" business day(s) left).")))))</f>
        <v/>
      </c>
      <c r="V18" s="17">
        <f>IF($W18="","",CHOOSE($W18,"Collection Email","1st Follow-up","2nd Follow-up","Local Office","CBE","Roxanne")&amp;IF($W18=6," - Final"," - Day "&amp;MAX(0,NETWORKDAYS($X18,TODAY(),Holidays)-1)&amp;" of "&amp;CHOOSE($W18,3,3,2,2,3))&amp;" | Total Day "&amp;MAX(0,NETWORKDAYS($L18,TODAY(),Holidays)-1))</f>
        <v/>
      </c>
      <c r="W18" s="17">
        <f>IF($L18="","",COUNT($L18:$Q18))</f>
        <v/>
      </c>
      <c r="X18" s="18">
        <f>IF($W18="","",INT(INDEX($L18:$Q18,$W18)))</f>
        <v/>
      </c>
      <c r="Y18" s="18">
        <f>IF(OR($W18="",$W18=6),"",WORKDAY($X18,CHOOSE($W18,3,3,2,2,3),Holidays))</f>
        <v/>
      </c>
      <c r="Z18" s="17">
        <f>IF(OR($W18="",$W18=6),"",CHOOSE($W18,"1st Email Follow-up","2nd Email Follow-up","Escalate Local Office","Escalate to CBE","Escalate to Roxanne"))</f>
        <v/>
      </c>
    </row>
    <row r="19" spans="18:26">
      <c r="R19" s="15"/>
      <c r="S19" s="16"/>
      <c r="T19" s="17">
        <f>IF(AND(COUNTA($A19:$K19)=0,$L19=""),"",IF($S19="Paid","PAID",IF($S19="Closed","CLOSED",IF($W19="","",IF($W19=6,"ESCALATED TO ROXANNE",IF(TODAY()&gt;$Y19,"OVERDUE",IF($Y19&lt;=WORKDAY(TODAY(),1,Holidays),"DUE TOMORROW",IF($W19=4,"ESCALATED TO LOCAL OFFICE",IF($W19=5,"ESCALATED TO CBE",IF($X19=TODAY(),"EMAIL SENT","MONITORING"))))))))))</f>
        <v/>
      </c>
      <c r="U19" s="17">
        <f>IF($T19="",IF(AND(COUNTA($A19:$K19)&gt;0,$L19=""),"Awaiting Collection Email time stamp.",""),IF(OR($T19="PAID",$T19="CLOSED"),IF($T19="PAID","Account paid. Action completed.","Account closed. No further action required."),CHOOSE($W19,"Collection Email","1st Email Follow-up","2nd Email Follow-up","Escalation to Local Office","Escalation to CBE","Escalation to Roxanne")&amp;" sent "&amp;TEXT($X19,"dd-mmm")&amp;". "&amp;IF($W19=6,"Final escalation completed.",IF($T19="OVERDUE","Next: "&amp;$Z19&amp;" was due "&amp;TEXT($Y19,"dd-mmm")&amp;" - "&amp;(NETWORKDAYS($Y19,TODAY(),Holidays)-1)&amp;" business day(s) late. Send now.",IF($T19="DUE TOMORROW","Next: "&amp;$Z19&amp;IF($Y19&lt;=TODAY()," is due TODAY ("," is due next business day (")&amp;TEXT($Y19,"dd-mmm")&amp;").","Next: "&amp;$Z19&amp;" due "&amp;TEXT($Y19,"dd-mmm")&amp;" ("&amp;(NETWORKDAYS(TODAY(),$Y19,Holidays)-1)&amp;" business day(s) left).")))))</f>
        <v/>
      </c>
      <c r="V19" s="17">
        <f>IF($W19="","",CHOOSE($W19,"Collection Email","1st Follow-up","2nd Follow-up","Local Office","CBE","Roxanne")&amp;IF($W19=6," - Final"," - Day "&amp;MAX(0,NETWORKDAYS($X19,TODAY(),Holidays)-1)&amp;" of "&amp;CHOOSE($W19,3,3,2,2,3))&amp;" | Total Day "&amp;MAX(0,NETWORKDAYS($L19,TODAY(),Holidays)-1))</f>
        <v/>
      </c>
      <c r="W19" s="17">
        <f>IF($L19="","",COUNT($L19:$Q19))</f>
        <v/>
      </c>
      <c r="X19" s="18">
        <f>IF($W19="","",INT(INDEX($L19:$Q19,$W19)))</f>
        <v/>
      </c>
      <c r="Y19" s="18">
        <f>IF(OR($W19="",$W19=6),"",WORKDAY($X19,CHOOSE($W19,3,3,2,2,3),Holidays))</f>
        <v/>
      </c>
      <c r="Z19" s="17">
        <f>IF(OR($W19="",$W19=6),"",CHOOSE($W19,"1st Email Follow-up","2nd Email Follow-up","Escalate Local Office","Escalate to CBE","Escalate to Roxanne"))</f>
        <v/>
      </c>
    </row>
    <row r="20" spans="18:26">
      <c r="R20" s="15"/>
      <c r="S20" s="16"/>
      <c r="T20" s="17">
        <f>IF(AND(COUNTA($A20:$K20)=0,$L20=""),"",IF($S20="Paid","PAID",IF($S20="Closed","CLOSED",IF($W20="","",IF($W20=6,"ESCALATED TO ROXANNE",IF(TODAY()&gt;$Y20,"OVERDUE",IF($Y20&lt;=WORKDAY(TODAY(),1,Holidays),"DUE TOMORROW",IF($W20=4,"ESCALATED TO LOCAL OFFICE",IF($W20=5,"ESCALATED TO CBE",IF($X20=TODAY(),"EMAIL SENT","MONITORING"))))))))))</f>
        <v/>
      </c>
      <c r="U20" s="17">
        <f>IF($T20="",IF(AND(COUNTA($A20:$K20)&gt;0,$L20=""),"Awaiting Collection Email time stamp.",""),IF(OR($T20="PAID",$T20="CLOSED"),IF($T20="PAID","Account paid. Action completed.","Account closed. No further action required."),CHOOSE($W20,"Collection Email","1st Email Follow-up","2nd Email Follow-up","Escalation to Local Office","Escalation to CBE","Escalation to Roxanne")&amp;" sent "&amp;TEXT($X20,"dd-mmm")&amp;". "&amp;IF($W20=6,"Final escalation completed.",IF($T20="OVERDUE","Next: "&amp;$Z20&amp;" was due "&amp;TEXT($Y20,"dd-mmm")&amp;" - "&amp;(NETWORKDAYS($Y20,TODAY(),Holidays)-1)&amp;" business day(s) late. Send now.",IF($T20="DUE TOMORROW","Next: "&amp;$Z20&amp;IF($Y20&lt;=TODAY()," is due TODAY ("," is due next business day (")&amp;TEXT($Y20,"dd-mmm")&amp;").","Next: "&amp;$Z20&amp;" due "&amp;TEXT($Y20,"dd-mmm")&amp;" ("&amp;(NETWORKDAYS(TODAY(),$Y20,Holidays)-1)&amp;" business day(s) left).")))))</f>
        <v/>
      </c>
      <c r="V20" s="17">
        <f>IF($W20="","",CHOOSE($W20,"Collection Email","1st Follow-up","2nd Follow-up","Local Office","CBE","Roxanne")&amp;IF($W20=6," - Final"," - Day "&amp;MAX(0,NETWORKDAYS($X20,TODAY(),Holidays)-1)&amp;" of "&amp;CHOOSE($W20,3,3,2,2,3))&amp;" | Total Day "&amp;MAX(0,NETWORKDAYS($L20,TODAY(),Holidays)-1))</f>
        <v/>
      </c>
      <c r="W20" s="17">
        <f>IF($L20="","",COUNT($L20:$Q20))</f>
        <v/>
      </c>
      <c r="X20" s="18">
        <f>IF($W20="","",INT(INDEX($L20:$Q20,$W20)))</f>
        <v/>
      </c>
      <c r="Y20" s="18">
        <f>IF(OR($W20="",$W20=6),"",WORKDAY($X20,CHOOSE($W20,3,3,2,2,3),Holidays))</f>
        <v/>
      </c>
      <c r="Z20" s="17">
        <f>IF(OR($W20="",$W20=6),"",CHOOSE($W20,"1st Email Follow-up","2nd Email Follow-up","Escalate Local Office","Escalate to CBE","Escalate to Roxanne"))</f>
        <v/>
      </c>
    </row>
    <row r="21" spans="18:26">
      <c r="R21" s="15"/>
      <c r="S21" s="16"/>
      <c r="T21" s="17">
        <f>IF(AND(COUNTA($A21:$K21)=0,$L21=""),"",IF($S21="Paid","PAID",IF($S21="Closed","CLOSED",IF($W21="","",IF($W21=6,"ESCALATED TO ROXANNE",IF(TODAY()&gt;$Y21,"OVERDUE",IF($Y21&lt;=WORKDAY(TODAY(),1,Holidays),"DUE TOMORROW",IF($W21=4,"ESCALATED TO LOCAL OFFICE",IF($W21=5,"ESCALATED TO CBE",IF($X21=TODAY(),"EMAIL SENT","MONITORING"))))))))))</f>
        <v/>
      </c>
      <c r="U21" s="17">
        <f>IF($T21="",IF(AND(COUNTA($A21:$K21)&gt;0,$L21=""),"Awaiting Collection Email time stamp.",""),IF(OR($T21="PAID",$T21="CLOSED"),IF($T21="PAID","Account paid. Action completed.","Account closed. No further action required."),CHOOSE($W21,"Collection Email","1st Email Follow-up","2nd Email Follow-up","Escalation to Local Office","Escalation to CBE","Escalation to Roxanne")&amp;" sent "&amp;TEXT($X21,"dd-mmm")&amp;". "&amp;IF($W21=6,"Final escalation completed.",IF($T21="OVERDUE","Next: "&amp;$Z21&amp;" was due "&amp;TEXT($Y21,"dd-mmm")&amp;" - "&amp;(NETWORKDAYS($Y21,TODAY(),Holidays)-1)&amp;" business day(s) late. Send now.",IF($T21="DUE TOMORROW","Next: "&amp;$Z21&amp;IF($Y21&lt;=TODAY()," is due TODAY ("," is due next business day (")&amp;TEXT($Y21,"dd-mmm")&amp;").","Next: "&amp;$Z21&amp;" due "&amp;TEXT($Y21,"dd-mmm")&amp;" ("&amp;(NETWORKDAYS(TODAY(),$Y21,Holidays)-1)&amp;" business day(s) left).")))))</f>
        <v/>
      </c>
      <c r="V21" s="17">
        <f>IF($W21="","",CHOOSE($W21,"Collection Email","1st Follow-up","2nd Follow-up","Local Office","CBE","Roxanne")&amp;IF($W21=6," - Final"," - Day "&amp;MAX(0,NETWORKDAYS($X21,TODAY(),Holidays)-1)&amp;" of "&amp;CHOOSE($W21,3,3,2,2,3))&amp;" | Total Day "&amp;MAX(0,NETWORKDAYS($L21,TODAY(),Holidays)-1))</f>
        <v/>
      </c>
      <c r="W21" s="17">
        <f>IF($L21="","",COUNT($L21:$Q21))</f>
        <v/>
      </c>
      <c r="X21" s="18">
        <f>IF($W21="","",INT(INDEX($L21:$Q21,$W21)))</f>
        <v/>
      </c>
      <c r="Y21" s="18">
        <f>IF(OR($W21="",$W21=6),"",WORKDAY($X21,CHOOSE($W21,3,3,2,2,3),Holidays))</f>
        <v/>
      </c>
      <c r="Z21" s="17">
        <f>IF(OR($W21="",$W21=6),"",CHOOSE($W21,"1st Email Follow-up","2nd Email Follow-up","Escalate Local Office","Escalate to CBE","Escalate to Roxanne"))</f>
        <v/>
      </c>
    </row>
    <row r="22" spans="18:26">
      <c r="R22" s="15"/>
      <c r="S22" s="16"/>
      <c r="T22" s="17">
        <f>IF(AND(COUNTA($A22:$K22)=0,$L22=""),"",IF($S22="Paid","PAID",IF($S22="Closed","CLOSED",IF($W22="","",IF($W22=6,"ESCALATED TO ROXANNE",IF(TODAY()&gt;$Y22,"OVERDUE",IF($Y22&lt;=WORKDAY(TODAY(),1,Holidays),"DUE TOMORROW",IF($W22=4,"ESCALATED TO LOCAL OFFICE",IF($W22=5,"ESCALATED TO CBE",IF($X22=TODAY(),"EMAIL SENT","MONITORING"))))))))))</f>
        <v/>
      </c>
      <c r="U22" s="17">
        <f>IF($T22="",IF(AND(COUNTA($A22:$K22)&gt;0,$L22=""),"Awaiting Collection Email time stamp.",""),IF(OR($T22="PAID",$T22="CLOSED"),IF($T22="PAID","Account paid. Action completed.","Account closed. No further action required."),CHOOSE($W22,"Collection Email","1st Email Follow-up","2nd Email Follow-up","Escalation to Local Office","Escalation to CBE","Escalation to Roxanne")&amp;" sent "&amp;TEXT($X22,"dd-mmm")&amp;". "&amp;IF($W22=6,"Final escalation completed.",IF($T22="OVERDUE","Next: "&amp;$Z22&amp;" was due "&amp;TEXT($Y22,"dd-mmm")&amp;" - "&amp;(NETWORKDAYS($Y22,TODAY(),Holidays)-1)&amp;" business day(s) late. Send now.",IF($T22="DUE TOMORROW","Next: "&amp;$Z22&amp;IF($Y22&lt;=TODAY()," is due TODAY ("," is due next business day (")&amp;TEXT($Y22,"dd-mmm")&amp;").","Next: "&amp;$Z22&amp;" due "&amp;TEXT($Y22,"dd-mmm")&amp;" ("&amp;(NETWORKDAYS(TODAY(),$Y22,Holidays)-1)&amp;" business day(s) left).")))))</f>
        <v/>
      </c>
      <c r="V22" s="17">
        <f>IF($W22="","",CHOOSE($W22,"Collection Email","1st Follow-up","2nd Follow-up","Local Office","CBE","Roxanne")&amp;IF($W22=6," - Final"," - Day "&amp;MAX(0,NETWORKDAYS($X22,TODAY(),Holidays)-1)&amp;" of "&amp;CHOOSE($W22,3,3,2,2,3))&amp;" | Total Day "&amp;MAX(0,NETWORKDAYS($L22,TODAY(),Holidays)-1))</f>
        <v/>
      </c>
      <c r="W22" s="17">
        <f>IF($L22="","",COUNT($L22:$Q22))</f>
        <v/>
      </c>
      <c r="X22" s="18">
        <f>IF($W22="","",INT(INDEX($L22:$Q22,$W22)))</f>
        <v/>
      </c>
      <c r="Y22" s="18">
        <f>IF(OR($W22="",$W22=6),"",WORKDAY($X22,CHOOSE($W22,3,3,2,2,3),Holidays))</f>
        <v/>
      </c>
      <c r="Z22" s="17">
        <f>IF(OR($W22="",$W22=6),"",CHOOSE($W22,"1st Email Follow-up","2nd Email Follow-up","Escalate Local Office","Escalate to CBE","Escalate to Roxanne"))</f>
        <v/>
      </c>
    </row>
    <row r="23" spans="18:26">
      <c r="R23" s="15"/>
      <c r="S23" s="16"/>
      <c r="T23" s="17">
        <f>IF(AND(COUNTA($A23:$K23)=0,$L23=""),"",IF($S23="Paid","PAID",IF($S23="Closed","CLOSED",IF($W23="","",IF($W23=6,"ESCALATED TO ROXANNE",IF(TODAY()&gt;$Y23,"OVERDUE",IF($Y23&lt;=WORKDAY(TODAY(),1,Holidays),"DUE TOMORROW",IF($W23=4,"ESCALATED TO LOCAL OFFICE",IF($W23=5,"ESCALATED TO CBE",IF($X23=TODAY(),"EMAIL SENT","MONITORING"))))))))))</f>
        <v/>
      </c>
      <c r="U23" s="17">
        <f>IF($T23="",IF(AND(COUNTA($A23:$K23)&gt;0,$L23=""),"Awaiting Collection Email time stamp.",""),IF(OR($T23="PAID",$T23="CLOSED"),IF($T23="PAID","Account paid. Action completed.","Account closed. No further action required."),CHOOSE($W23,"Collection Email","1st Email Follow-up","2nd Email Follow-up","Escalation to Local Office","Escalation to CBE","Escalation to Roxanne")&amp;" sent "&amp;TEXT($X23,"dd-mmm")&amp;". "&amp;IF($W23=6,"Final escalation completed.",IF($T23="OVERDUE","Next: "&amp;$Z23&amp;" was due "&amp;TEXT($Y23,"dd-mmm")&amp;" - "&amp;(NETWORKDAYS($Y23,TODAY(),Holidays)-1)&amp;" business day(s) late. Send now.",IF($T23="DUE TOMORROW","Next: "&amp;$Z23&amp;IF($Y23&lt;=TODAY()," is due TODAY ("," is due next business day (")&amp;TEXT($Y23,"dd-mmm")&amp;").","Next: "&amp;$Z23&amp;" due "&amp;TEXT($Y23,"dd-mmm")&amp;" ("&amp;(NETWORKDAYS(TODAY(),$Y23,Holidays)-1)&amp;" business day(s) left).")))))</f>
        <v/>
      </c>
      <c r="V23" s="17">
        <f>IF($W23="","",CHOOSE($W23,"Collection Email","1st Follow-up","2nd Follow-up","Local Office","CBE","Roxanne")&amp;IF($W23=6," - Final"," - Day "&amp;MAX(0,NETWORKDAYS($X23,TODAY(),Holidays)-1)&amp;" of "&amp;CHOOSE($W23,3,3,2,2,3))&amp;" | Total Day "&amp;MAX(0,NETWORKDAYS($L23,TODAY(),Holidays)-1))</f>
        <v/>
      </c>
      <c r="W23" s="17">
        <f>IF($L23="","",COUNT($L23:$Q23))</f>
        <v/>
      </c>
      <c r="X23" s="18">
        <f>IF($W23="","",INT(INDEX($L23:$Q23,$W23)))</f>
        <v/>
      </c>
      <c r="Y23" s="18">
        <f>IF(OR($W23="",$W23=6),"",WORKDAY($X23,CHOOSE($W23,3,3,2,2,3),Holidays))</f>
        <v/>
      </c>
      <c r="Z23" s="17">
        <f>IF(OR($W23="",$W23=6),"",CHOOSE($W23,"1st Email Follow-up","2nd Email Follow-up","Escalate Local Office","Escalate to CBE","Escalate to Roxanne"))</f>
        <v/>
      </c>
    </row>
    <row r="24" spans="18:26">
      <c r="R24" s="15"/>
      <c r="S24" s="16"/>
      <c r="T24" s="17">
        <f>IF(AND(COUNTA($A24:$K24)=0,$L24=""),"",IF($S24="Paid","PAID",IF($S24="Closed","CLOSED",IF($W24="","",IF($W24=6,"ESCALATED TO ROXANNE",IF(TODAY()&gt;$Y24,"OVERDUE",IF($Y24&lt;=WORKDAY(TODAY(),1,Holidays),"DUE TOMORROW",IF($W24=4,"ESCALATED TO LOCAL OFFICE",IF($W24=5,"ESCALATED TO CBE",IF($X24=TODAY(),"EMAIL SENT","MONITORING"))))))))))</f>
        <v/>
      </c>
      <c r="U24" s="17">
        <f>IF($T24="",IF(AND(COUNTA($A24:$K24)&gt;0,$L24=""),"Awaiting Collection Email time stamp.",""),IF(OR($T24="PAID",$T24="CLOSED"),IF($T24="PAID","Account paid. Action completed.","Account closed. No further action required."),CHOOSE($W24,"Collection Email","1st Email Follow-up","2nd Email Follow-up","Escalation to Local Office","Escalation to CBE","Escalation to Roxanne")&amp;" sent "&amp;TEXT($X24,"dd-mmm")&amp;". "&amp;IF($W24=6,"Final escalation completed.",IF($T24="OVERDUE","Next: "&amp;$Z24&amp;" was due "&amp;TEXT($Y24,"dd-mmm")&amp;" - "&amp;(NETWORKDAYS($Y24,TODAY(),Holidays)-1)&amp;" business day(s) late. Send now.",IF($T24="DUE TOMORROW","Next: "&amp;$Z24&amp;IF($Y24&lt;=TODAY()," is due TODAY ("," is due next business day (")&amp;TEXT($Y24,"dd-mmm")&amp;").","Next: "&amp;$Z24&amp;" due "&amp;TEXT($Y24,"dd-mmm")&amp;" ("&amp;(NETWORKDAYS(TODAY(),$Y24,Holidays)-1)&amp;" business day(s) left).")))))</f>
        <v/>
      </c>
      <c r="V24" s="17">
        <f>IF($W24="","",CHOOSE($W24,"Collection Email","1st Follow-up","2nd Follow-up","Local Office","CBE","Roxanne")&amp;IF($W24=6," - Final"," - Day "&amp;MAX(0,NETWORKDAYS($X24,TODAY(),Holidays)-1)&amp;" of "&amp;CHOOSE($W24,3,3,2,2,3))&amp;" | Total Day "&amp;MAX(0,NETWORKDAYS($L24,TODAY(),Holidays)-1))</f>
        <v/>
      </c>
      <c r="W24" s="17">
        <f>IF($L24="","",COUNT($L24:$Q24))</f>
        <v/>
      </c>
      <c r="X24" s="18">
        <f>IF($W24="","",INT(INDEX($L24:$Q24,$W24)))</f>
        <v/>
      </c>
      <c r="Y24" s="18">
        <f>IF(OR($W24="",$W24=6),"",WORKDAY($X24,CHOOSE($W24,3,3,2,2,3),Holidays))</f>
        <v/>
      </c>
      <c r="Z24" s="17">
        <f>IF(OR($W24="",$W24=6),"",CHOOSE($W24,"1st Email Follow-up","2nd Email Follow-up","Escalate Local Office","Escalate to CBE","Escalate to Roxanne"))</f>
        <v/>
      </c>
    </row>
    <row r="25" spans="18:26">
      <c r="R25" s="15"/>
      <c r="S25" s="16"/>
      <c r="T25" s="17">
        <f>IF(AND(COUNTA($A25:$K25)=0,$L25=""),"",IF($S25="Paid","PAID",IF($S25="Closed","CLOSED",IF($W25="","",IF($W25=6,"ESCALATED TO ROXANNE",IF(TODAY()&gt;$Y25,"OVERDUE",IF($Y25&lt;=WORKDAY(TODAY(),1,Holidays),"DUE TOMORROW",IF($W25=4,"ESCALATED TO LOCAL OFFICE",IF($W25=5,"ESCALATED TO CBE",IF($X25=TODAY(),"EMAIL SENT","MONITORING"))))))))))</f>
        <v/>
      </c>
      <c r="U25" s="17">
        <f>IF($T25="",IF(AND(COUNTA($A25:$K25)&gt;0,$L25=""),"Awaiting Collection Email time stamp.",""),IF(OR($T25="PAID",$T25="CLOSED"),IF($T25="PAID","Account paid. Action completed.","Account closed. No further action required."),CHOOSE($W25,"Collection Email","1st Email Follow-up","2nd Email Follow-up","Escalation to Local Office","Escalation to CBE","Escalation to Roxanne")&amp;" sent "&amp;TEXT($X25,"dd-mmm")&amp;". "&amp;IF($W25=6,"Final escalation completed.",IF($T25="OVERDUE","Next: "&amp;$Z25&amp;" was due "&amp;TEXT($Y25,"dd-mmm")&amp;" - "&amp;(NETWORKDAYS($Y25,TODAY(),Holidays)-1)&amp;" business day(s) late. Send now.",IF($T25="DUE TOMORROW","Next: "&amp;$Z25&amp;IF($Y25&lt;=TODAY()," is due TODAY ("," is due next business day (")&amp;TEXT($Y25,"dd-mmm")&amp;").","Next: "&amp;$Z25&amp;" due "&amp;TEXT($Y25,"dd-mmm")&amp;" ("&amp;(NETWORKDAYS(TODAY(),$Y25,Holidays)-1)&amp;" business day(s) left).")))))</f>
        <v/>
      </c>
      <c r="V25" s="17">
        <f>IF($W25="","",CHOOSE($W25,"Collection Email","1st Follow-up","2nd Follow-up","Local Office","CBE","Roxanne")&amp;IF($W25=6," - Final"," - Day "&amp;MAX(0,NETWORKDAYS($X25,TODAY(),Holidays)-1)&amp;" of "&amp;CHOOSE($W25,3,3,2,2,3))&amp;" | Total Day "&amp;MAX(0,NETWORKDAYS($L25,TODAY(),Holidays)-1))</f>
        <v/>
      </c>
      <c r="W25" s="17">
        <f>IF($L25="","",COUNT($L25:$Q25))</f>
        <v/>
      </c>
      <c r="X25" s="18">
        <f>IF($W25="","",INT(INDEX($L25:$Q25,$W25)))</f>
        <v/>
      </c>
      <c r="Y25" s="18">
        <f>IF(OR($W25="",$W25=6),"",WORKDAY($X25,CHOOSE($W25,3,3,2,2,3),Holidays))</f>
        <v/>
      </c>
      <c r="Z25" s="17">
        <f>IF(OR($W25="",$W25=6),"",CHOOSE($W25,"1st Email Follow-up","2nd Email Follow-up","Escalate Local Office","Escalate to CBE","Escalate to Roxanne"))</f>
        <v/>
      </c>
    </row>
    <row r="26" spans="18:26">
      <c r="R26" s="15"/>
      <c r="S26" s="16"/>
      <c r="T26" s="17">
        <f>IF(AND(COUNTA($A26:$K26)=0,$L26=""),"",IF($S26="Paid","PAID",IF($S26="Closed","CLOSED",IF($W26="","",IF($W26=6,"ESCALATED TO ROXANNE",IF(TODAY()&gt;$Y26,"OVERDUE",IF($Y26&lt;=WORKDAY(TODAY(),1,Holidays),"DUE TOMORROW",IF($W26=4,"ESCALATED TO LOCAL OFFICE",IF($W26=5,"ESCALATED TO CBE",IF($X26=TODAY(),"EMAIL SENT","MONITORING"))))))))))</f>
        <v/>
      </c>
      <c r="U26" s="17">
        <f>IF($T26="",IF(AND(COUNTA($A26:$K26)&gt;0,$L26=""),"Awaiting Collection Email time stamp.",""),IF(OR($T26="PAID",$T26="CLOSED"),IF($T26="PAID","Account paid. Action completed.","Account closed. No further action required."),CHOOSE($W26,"Collection Email","1st Email Follow-up","2nd Email Follow-up","Escalation to Local Office","Escalation to CBE","Escalation to Roxanne")&amp;" sent "&amp;TEXT($X26,"dd-mmm")&amp;". "&amp;IF($W26=6,"Final escalation completed.",IF($T26="OVERDUE","Next: "&amp;$Z26&amp;" was due "&amp;TEXT($Y26,"dd-mmm")&amp;" - "&amp;(NETWORKDAYS($Y26,TODAY(),Holidays)-1)&amp;" business day(s) late. Send now.",IF($T26="DUE TOMORROW","Next: "&amp;$Z26&amp;IF($Y26&lt;=TODAY()," is due TODAY ("," is due next business day (")&amp;TEXT($Y26,"dd-mmm")&amp;").","Next: "&amp;$Z26&amp;" due "&amp;TEXT($Y26,"dd-mmm")&amp;" ("&amp;(NETWORKDAYS(TODAY(),$Y26,Holidays)-1)&amp;" business day(s) left).")))))</f>
        <v/>
      </c>
      <c r="V26" s="17">
        <f>IF($W26="","",CHOOSE($W26,"Collection Email","1st Follow-up","2nd Follow-up","Local Office","CBE","Roxanne")&amp;IF($W26=6," - Final"," - Day "&amp;MAX(0,NETWORKDAYS($X26,TODAY(),Holidays)-1)&amp;" of "&amp;CHOOSE($W26,3,3,2,2,3))&amp;" | Total Day "&amp;MAX(0,NETWORKDAYS($L26,TODAY(),Holidays)-1))</f>
        <v/>
      </c>
      <c r="W26" s="17">
        <f>IF($L26="","",COUNT($L26:$Q26))</f>
        <v/>
      </c>
      <c r="X26" s="18">
        <f>IF($W26="","",INT(INDEX($L26:$Q26,$W26)))</f>
        <v/>
      </c>
      <c r="Y26" s="18">
        <f>IF(OR($W26="",$W26=6),"",WORKDAY($X26,CHOOSE($W26,3,3,2,2,3),Holidays))</f>
        <v/>
      </c>
      <c r="Z26" s="17">
        <f>IF(OR($W26="",$W26=6),"",CHOOSE($W26,"1st Email Follow-up","2nd Email Follow-up","Escalate Local Office","Escalate to CBE","Escalate to Roxanne"))</f>
        <v/>
      </c>
    </row>
    <row r="27" spans="18:26">
      <c r="R27" s="15"/>
      <c r="S27" s="16"/>
      <c r="T27" s="17">
        <f>IF(AND(COUNTA($A27:$K27)=0,$L27=""),"",IF($S27="Paid","PAID",IF($S27="Closed","CLOSED",IF($W27="","",IF($W27=6,"ESCALATED TO ROXANNE",IF(TODAY()&gt;$Y27,"OVERDUE",IF($Y27&lt;=WORKDAY(TODAY(),1,Holidays),"DUE TOMORROW",IF($W27=4,"ESCALATED TO LOCAL OFFICE",IF($W27=5,"ESCALATED TO CBE",IF($X27=TODAY(),"EMAIL SENT","MONITORING"))))))))))</f>
        <v/>
      </c>
      <c r="U27" s="17">
        <f>IF($T27="",IF(AND(COUNTA($A27:$K27)&gt;0,$L27=""),"Awaiting Collection Email time stamp.",""),IF(OR($T27="PAID",$T27="CLOSED"),IF($T27="PAID","Account paid. Action completed.","Account closed. No further action required."),CHOOSE($W27,"Collection Email","1st Email Follow-up","2nd Email Follow-up","Escalation to Local Office","Escalation to CBE","Escalation to Roxanne")&amp;" sent "&amp;TEXT($X27,"dd-mmm")&amp;". "&amp;IF($W27=6,"Final escalation completed.",IF($T27="OVERDUE","Next: "&amp;$Z27&amp;" was due "&amp;TEXT($Y27,"dd-mmm")&amp;" - "&amp;(NETWORKDAYS($Y27,TODAY(),Holidays)-1)&amp;" business day(s) late. Send now.",IF($T27="DUE TOMORROW","Next: "&amp;$Z27&amp;IF($Y27&lt;=TODAY()," is due TODAY ("," is due next business day (")&amp;TEXT($Y27,"dd-mmm")&amp;").","Next: "&amp;$Z27&amp;" due "&amp;TEXT($Y27,"dd-mmm")&amp;" ("&amp;(NETWORKDAYS(TODAY(),$Y27,Holidays)-1)&amp;" business day(s) left).")))))</f>
        <v/>
      </c>
      <c r="V27" s="17">
        <f>IF($W27="","",CHOOSE($W27,"Collection Email","1st Follow-up","2nd Follow-up","Local Office","CBE","Roxanne")&amp;IF($W27=6," - Final"," - Day "&amp;MAX(0,NETWORKDAYS($X27,TODAY(),Holidays)-1)&amp;" of "&amp;CHOOSE($W27,3,3,2,2,3))&amp;" | Total Day "&amp;MAX(0,NETWORKDAYS($L27,TODAY(),Holidays)-1))</f>
        <v/>
      </c>
      <c r="W27" s="17">
        <f>IF($L27="","",COUNT($L27:$Q27))</f>
        <v/>
      </c>
      <c r="X27" s="18">
        <f>IF($W27="","",INT(INDEX($L27:$Q27,$W27)))</f>
        <v/>
      </c>
      <c r="Y27" s="18">
        <f>IF(OR($W27="",$W27=6),"",WORKDAY($X27,CHOOSE($W27,3,3,2,2,3),Holidays))</f>
        <v/>
      </c>
      <c r="Z27" s="17">
        <f>IF(OR($W27="",$W27=6),"",CHOOSE($W27,"1st Email Follow-up","2nd Email Follow-up","Escalate Local Office","Escalate to CBE","Escalate to Roxanne"))</f>
        <v/>
      </c>
    </row>
    <row r="28" spans="18:26">
      <c r="R28" s="15"/>
      <c r="S28" s="16"/>
      <c r="T28" s="17">
        <f>IF(AND(COUNTA($A28:$K28)=0,$L28=""),"",IF($S28="Paid","PAID",IF($S28="Closed","CLOSED",IF($W28="","",IF($W28=6,"ESCALATED TO ROXANNE",IF(TODAY()&gt;$Y28,"OVERDUE",IF($Y28&lt;=WORKDAY(TODAY(),1,Holidays),"DUE TOMORROW",IF($W28=4,"ESCALATED TO LOCAL OFFICE",IF($W28=5,"ESCALATED TO CBE",IF($X28=TODAY(),"EMAIL SENT","MONITORING"))))))))))</f>
        <v/>
      </c>
      <c r="U28" s="17">
        <f>IF($T28="",IF(AND(COUNTA($A28:$K28)&gt;0,$L28=""),"Awaiting Collection Email time stamp.",""),IF(OR($T28="PAID",$T28="CLOSED"),IF($T28="PAID","Account paid. Action completed.","Account closed. No further action required."),CHOOSE($W28,"Collection Email","1st Email Follow-up","2nd Email Follow-up","Escalation to Local Office","Escalation to CBE","Escalation to Roxanne")&amp;" sent "&amp;TEXT($X28,"dd-mmm")&amp;". "&amp;IF($W28=6,"Final escalation completed.",IF($T28="OVERDUE","Next: "&amp;$Z28&amp;" was due "&amp;TEXT($Y28,"dd-mmm")&amp;" - "&amp;(NETWORKDAYS($Y28,TODAY(),Holidays)-1)&amp;" business day(s) late. Send now.",IF($T28="DUE TOMORROW","Next: "&amp;$Z28&amp;IF($Y28&lt;=TODAY()," is due TODAY ("," is due next business day (")&amp;TEXT($Y28,"dd-mmm")&amp;").","Next: "&amp;$Z28&amp;" due "&amp;TEXT($Y28,"dd-mmm")&amp;" ("&amp;(NETWORKDAYS(TODAY(),$Y28,Holidays)-1)&amp;" business day(s) left).")))))</f>
        <v/>
      </c>
      <c r="V28" s="17">
        <f>IF($W28="","",CHOOSE($W28,"Collection Email","1st Follow-up","2nd Follow-up","Local Office","CBE","Roxanne")&amp;IF($W28=6," - Final"," - Day "&amp;MAX(0,NETWORKDAYS($X28,TODAY(),Holidays)-1)&amp;" of "&amp;CHOOSE($W28,3,3,2,2,3))&amp;" | Total Day "&amp;MAX(0,NETWORKDAYS($L28,TODAY(),Holidays)-1))</f>
        <v/>
      </c>
      <c r="W28" s="17">
        <f>IF($L28="","",COUNT($L28:$Q28))</f>
        <v/>
      </c>
      <c r="X28" s="18">
        <f>IF($W28="","",INT(INDEX($L28:$Q28,$W28)))</f>
        <v/>
      </c>
      <c r="Y28" s="18">
        <f>IF(OR($W28="",$W28=6),"",WORKDAY($X28,CHOOSE($W28,3,3,2,2,3),Holidays))</f>
        <v/>
      </c>
      <c r="Z28" s="17">
        <f>IF(OR($W28="",$W28=6),"",CHOOSE($W28,"1st Email Follow-up","2nd Email Follow-up","Escalate Local Office","Escalate to CBE","Escalate to Roxanne"))</f>
        <v/>
      </c>
    </row>
    <row r="29" spans="18:26">
      <c r="R29" s="15"/>
      <c r="S29" s="16"/>
      <c r="T29" s="17">
        <f>IF(AND(COUNTA($A29:$K29)=0,$L29=""),"",IF($S29="Paid","PAID",IF($S29="Closed","CLOSED",IF($W29="","",IF($W29=6,"ESCALATED TO ROXANNE",IF(TODAY()&gt;$Y29,"OVERDUE",IF($Y29&lt;=WORKDAY(TODAY(),1,Holidays),"DUE TOMORROW",IF($W29=4,"ESCALATED TO LOCAL OFFICE",IF($W29=5,"ESCALATED TO CBE",IF($X29=TODAY(),"EMAIL SENT","MONITORING"))))))))))</f>
        <v/>
      </c>
      <c r="U29" s="17">
        <f>IF($T29="",IF(AND(COUNTA($A29:$K29)&gt;0,$L29=""),"Awaiting Collection Email time stamp.",""),IF(OR($T29="PAID",$T29="CLOSED"),IF($T29="PAID","Account paid. Action completed.","Account closed. No further action required."),CHOOSE($W29,"Collection Email","1st Email Follow-up","2nd Email Follow-up","Escalation to Local Office","Escalation to CBE","Escalation to Roxanne")&amp;" sent "&amp;TEXT($X29,"dd-mmm")&amp;". "&amp;IF($W29=6,"Final escalation completed.",IF($T29="OVERDUE","Next: "&amp;$Z29&amp;" was due "&amp;TEXT($Y29,"dd-mmm")&amp;" - "&amp;(NETWORKDAYS($Y29,TODAY(),Holidays)-1)&amp;" business day(s) late. Send now.",IF($T29="DUE TOMORROW","Next: "&amp;$Z29&amp;IF($Y29&lt;=TODAY()," is due TODAY ("," is due next business day (")&amp;TEXT($Y29,"dd-mmm")&amp;").","Next: "&amp;$Z29&amp;" due "&amp;TEXT($Y29,"dd-mmm")&amp;" ("&amp;(NETWORKDAYS(TODAY(),$Y29,Holidays)-1)&amp;" business day(s) left).")))))</f>
        <v/>
      </c>
      <c r="V29" s="17">
        <f>IF($W29="","",CHOOSE($W29,"Collection Email","1st Follow-up","2nd Follow-up","Local Office","CBE","Roxanne")&amp;IF($W29=6," - Final"," - Day "&amp;MAX(0,NETWORKDAYS($X29,TODAY(),Holidays)-1)&amp;" of "&amp;CHOOSE($W29,3,3,2,2,3))&amp;" | Total Day "&amp;MAX(0,NETWORKDAYS($L29,TODAY(),Holidays)-1))</f>
        <v/>
      </c>
      <c r="W29" s="17">
        <f>IF($L29="","",COUNT($L29:$Q29))</f>
        <v/>
      </c>
      <c r="X29" s="18">
        <f>IF($W29="","",INT(INDEX($L29:$Q29,$W29)))</f>
        <v/>
      </c>
      <c r="Y29" s="18">
        <f>IF(OR($W29="",$W29=6),"",WORKDAY($X29,CHOOSE($W29,3,3,2,2,3),Holidays))</f>
        <v/>
      </c>
      <c r="Z29" s="17">
        <f>IF(OR($W29="",$W29=6),"",CHOOSE($W29,"1st Email Follow-up","2nd Email Follow-up","Escalate Local Office","Escalate to CBE","Escalate to Roxanne"))</f>
        <v/>
      </c>
    </row>
    <row r="30" spans="18:26">
      <c r="R30" s="15"/>
      <c r="S30" s="16"/>
      <c r="T30" s="17">
        <f>IF(AND(COUNTA($A30:$K30)=0,$L30=""),"",IF($S30="Paid","PAID",IF($S30="Closed","CLOSED",IF($W30="","",IF($W30=6,"ESCALATED TO ROXANNE",IF(TODAY()&gt;$Y30,"OVERDUE",IF($Y30&lt;=WORKDAY(TODAY(),1,Holidays),"DUE TOMORROW",IF($W30=4,"ESCALATED TO LOCAL OFFICE",IF($W30=5,"ESCALATED TO CBE",IF($X30=TODAY(),"EMAIL SENT","MONITORING"))))))))))</f>
        <v/>
      </c>
      <c r="U30" s="17">
        <f>IF($T30="",IF(AND(COUNTA($A30:$K30)&gt;0,$L30=""),"Awaiting Collection Email time stamp.",""),IF(OR($T30="PAID",$T30="CLOSED"),IF($T30="PAID","Account paid. Action completed.","Account closed. No further action required."),CHOOSE($W30,"Collection Email","1st Email Follow-up","2nd Email Follow-up","Escalation to Local Office","Escalation to CBE","Escalation to Roxanne")&amp;" sent "&amp;TEXT($X30,"dd-mmm")&amp;". "&amp;IF($W30=6,"Final escalation completed.",IF($T30="OVERDUE","Next: "&amp;$Z30&amp;" was due "&amp;TEXT($Y30,"dd-mmm")&amp;" - "&amp;(NETWORKDAYS($Y30,TODAY(),Holidays)-1)&amp;" business day(s) late. Send now.",IF($T30="DUE TOMORROW","Next: "&amp;$Z30&amp;IF($Y30&lt;=TODAY()," is due TODAY ("," is due next business day (")&amp;TEXT($Y30,"dd-mmm")&amp;").","Next: "&amp;$Z30&amp;" due "&amp;TEXT($Y30,"dd-mmm")&amp;" ("&amp;(NETWORKDAYS(TODAY(),$Y30,Holidays)-1)&amp;" business day(s) left).")))))</f>
        <v/>
      </c>
      <c r="V30" s="17">
        <f>IF($W30="","",CHOOSE($W30,"Collection Email","1st Follow-up","2nd Follow-up","Local Office","CBE","Roxanne")&amp;IF($W30=6," - Final"," - Day "&amp;MAX(0,NETWORKDAYS($X30,TODAY(),Holidays)-1)&amp;" of "&amp;CHOOSE($W30,3,3,2,2,3))&amp;" | Total Day "&amp;MAX(0,NETWORKDAYS($L30,TODAY(),Holidays)-1))</f>
        <v/>
      </c>
      <c r="W30" s="17">
        <f>IF($L30="","",COUNT($L30:$Q30))</f>
        <v/>
      </c>
      <c r="X30" s="18">
        <f>IF($W30="","",INT(INDEX($L30:$Q30,$W30)))</f>
        <v/>
      </c>
      <c r="Y30" s="18">
        <f>IF(OR($W30="",$W30=6),"",WORKDAY($X30,CHOOSE($W30,3,3,2,2,3),Holidays))</f>
        <v/>
      </c>
      <c r="Z30" s="17">
        <f>IF(OR($W30="",$W30=6),"",CHOOSE($W30,"1st Email Follow-up","2nd Email Follow-up","Escalate Local Office","Escalate to CBE","Escalate to Roxanne"))</f>
        <v/>
      </c>
    </row>
    <row r="31" spans="18:26">
      <c r="R31" s="15"/>
      <c r="S31" s="16"/>
      <c r="T31" s="17">
        <f>IF(AND(COUNTA($A31:$K31)=0,$L31=""),"",IF($S31="Paid","PAID",IF($S31="Closed","CLOSED",IF($W31="","",IF($W31=6,"ESCALATED TO ROXANNE",IF(TODAY()&gt;$Y31,"OVERDUE",IF($Y31&lt;=WORKDAY(TODAY(),1,Holidays),"DUE TOMORROW",IF($W31=4,"ESCALATED TO LOCAL OFFICE",IF($W31=5,"ESCALATED TO CBE",IF($X31=TODAY(),"EMAIL SENT","MONITORING"))))))))))</f>
        <v/>
      </c>
      <c r="U31" s="17">
        <f>IF($T31="",IF(AND(COUNTA($A31:$K31)&gt;0,$L31=""),"Awaiting Collection Email time stamp.",""),IF(OR($T31="PAID",$T31="CLOSED"),IF($T31="PAID","Account paid. Action completed.","Account closed. No further action required."),CHOOSE($W31,"Collection Email","1st Email Follow-up","2nd Email Follow-up","Escalation to Local Office","Escalation to CBE","Escalation to Roxanne")&amp;" sent "&amp;TEXT($X31,"dd-mmm")&amp;". "&amp;IF($W31=6,"Final escalation completed.",IF($T31="OVERDUE","Next: "&amp;$Z31&amp;" was due "&amp;TEXT($Y31,"dd-mmm")&amp;" - "&amp;(NETWORKDAYS($Y31,TODAY(),Holidays)-1)&amp;" business day(s) late. Send now.",IF($T31="DUE TOMORROW","Next: "&amp;$Z31&amp;IF($Y31&lt;=TODAY()," is due TODAY ("," is due next business day (")&amp;TEXT($Y31,"dd-mmm")&amp;").","Next: "&amp;$Z31&amp;" due "&amp;TEXT($Y31,"dd-mmm")&amp;" ("&amp;(NETWORKDAYS(TODAY(),$Y31,Holidays)-1)&amp;" business day(s) left).")))))</f>
        <v/>
      </c>
      <c r="V31" s="17">
        <f>IF($W31="","",CHOOSE($W31,"Collection Email","1st Follow-up","2nd Follow-up","Local Office","CBE","Roxanne")&amp;IF($W31=6," - Final"," - Day "&amp;MAX(0,NETWORKDAYS($X31,TODAY(),Holidays)-1)&amp;" of "&amp;CHOOSE($W31,3,3,2,2,3))&amp;" | Total Day "&amp;MAX(0,NETWORKDAYS($L31,TODAY(),Holidays)-1))</f>
        <v/>
      </c>
      <c r="W31" s="17">
        <f>IF($L31="","",COUNT($L31:$Q31))</f>
        <v/>
      </c>
      <c r="X31" s="18">
        <f>IF($W31="","",INT(INDEX($L31:$Q31,$W31)))</f>
        <v/>
      </c>
      <c r="Y31" s="18">
        <f>IF(OR($W31="",$W31=6),"",WORKDAY($X31,CHOOSE($W31,3,3,2,2,3),Holidays))</f>
        <v/>
      </c>
      <c r="Z31" s="17">
        <f>IF(OR($W31="",$W31=6),"",CHOOSE($W31,"1st Email Follow-up","2nd Email Follow-up","Escalate Local Office","Escalate to CBE","Escalate to Roxanne"))</f>
        <v/>
      </c>
    </row>
    <row r="32" spans="18:26">
      <c r="R32" s="15"/>
      <c r="S32" s="16"/>
      <c r="T32" s="17">
        <f>IF(AND(COUNTA($A32:$K32)=0,$L32=""),"",IF($S32="Paid","PAID",IF($S32="Closed","CLOSED",IF($W32="","",IF($W32=6,"ESCALATED TO ROXANNE",IF(TODAY()&gt;$Y32,"OVERDUE",IF($Y32&lt;=WORKDAY(TODAY(),1,Holidays),"DUE TOMORROW",IF($W32=4,"ESCALATED TO LOCAL OFFICE",IF($W32=5,"ESCALATED TO CBE",IF($X32=TODAY(),"EMAIL SENT","MONITORING"))))))))))</f>
        <v/>
      </c>
      <c r="U32" s="17">
        <f>IF($T32="",IF(AND(COUNTA($A32:$K32)&gt;0,$L32=""),"Awaiting Collection Email time stamp.",""),IF(OR($T32="PAID",$T32="CLOSED"),IF($T32="PAID","Account paid. Action completed.","Account closed. No further action required."),CHOOSE($W32,"Collection Email","1st Email Follow-up","2nd Email Follow-up","Escalation to Local Office","Escalation to CBE","Escalation to Roxanne")&amp;" sent "&amp;TEXT($X32,"dd-mmm")&amp;". "&amp;IF($W32=6,"Final escalation completed.",IF($T32="OVERDUE","Next: "&amp;$Z32&amp;" was due "&amp;TEXT($Y32,"dd-mmm")&amp;" - "&amp;(NETWORKDAYS($Y32,TODAY(),Holidays)-1)&amp;" business day(s) late. Send now.",IF($T32="DUE TOMORROW","Next: "&amp;$Z32&amp;IF($Y32&lt;=TODAY()," is due TODAY ("," is due next business day (")&amp;TEXT($Y32,"dd-mmm")&amp;").","Next: "&amp;$Z32&amp;" due "&amp;TEXT($Y32,"dd-mmm")&amp;" ("&amp;(NETWORKDAYS(TODAY(),$Y32,Holidays)-1)&amp;" business day(s) left).")))))</f>
        <v/>
      </c>
      <c r="V32" s="17">
        <f>IF($W32="","",CHOOSE($W32,"Collection Email","1st Follow-up","2nd Follow-up","Local Office","CBE","Roxanne")&amp;IF($W32=6," - Final"," - Day "&amp;MAX(0,NETWORKDAYS($X32,TODAY(),Holidays)-1)&amp;" of "&amp;CHOOSE($W32,3,3,2,2,3))&amp;" | Total Day "&amp;MAX(0,NETWORKDAYS($L32,TODAY(),Holidays)-1))</f>
        <v/>
      </c>
      <c r="W32" s="17">
        <f>IF($L32="","",COUNT($L32:$Q32))</f>
        <v/>
      </c>
      <c r="X32" s="18">
        <f>IF($W32="","",INT(INDEX($L32:$Q32,$W32)))</f>
        <v/>
      </c>
      <c r="Y32" s="18">
        <f>IF(OR($W32="",$W32=6),"",WORKDAY($X32,CHOOSE($W32,3,3,2,2,3),Holidays))</f>
        <v/>
      </c>
      <c r="Z32" s="17">
        <f>IF(OR($W32="",$W32=6),"",CHOOSE($W32,"1st Email Follow-up","2nd Email Follow-up","Escalate Local Office","Escalate to CBE","Escalate to Roxanne"))</f>
        <v/>
      </c>
    </row>
    <row r="33" spans="18:26">
      <c r="R33" s="15"/>
      <c r="S33" s="16"/>
      <c r="T33" s="17">
        <f>IF(AND(COUNTA($A33:$K33)=0,$L33=""),"",IF($S33="Paid","PAID",IF($S33="Closed","CLOSED",IF($W33="","",IF($W33=6,"ESCALATED TO ROXANNE",IF(TODAY()&gt;$Y33,"OVERDUE",IF($Y33&lt;=WORKDAY(TODAY(),1,Holidays),"DUE TOMORROW",IF($W33=4,"ESCALATED TO LOCAL OFFICE",IF($W33=5,"ESCALATED TO CBE",IF($X33=TODAY(),"EMAIL SENT","MONITORING"))))))))))</f>
        <v/>
      </c>
      <c r="U33" s="17">
        <f>IF($T33="",IF(AND(COUNTA($A33:$K33)&gt;0,$L33=""),"Awaiting Collection Email time stamp.",""),IF(OR($T33="PAID",$T33="CLOSED"),IF($T33="PAID","Account paid. Action completed.","Account closed. No further action required."),CHOOSE($W33,"Collection Email","1st Email Follow-up","2nd Email Follow-up","Escalation to Local Office","Escalation to CBE","Escalation to Roxanne")&amp;" sent "&amp;TEXT($X33,"dd-mmm")&amp;". "&amp;IF($W33=6,"Final escalation completed.",IF($T33="OVERDUE","Next: "&amp;$Z33&amp;" was due "&amp;TEXT($Y33,"dd-mmm")&amp;" - "&amp;(NETWORKDAYS($Y33,TODAY(),Holidays)-1)&amp;" business day(s) late. Send now.",IF($T33="DUE TOMORROW","Next: "&amp;$Z33&amp;IF($Y33&lt;=TODAY()," is due TODAY ("," is due next business day (")&amp;TEXT($Y33,"dd-mmm")&amp;").","Next: "&amp;$Z33&amp;" due "&amp;TEXT($Y33,"dd-mmm")&amp;" ("&amp;(NETWORKDAYS(TODAY(),$Y33,Holidays)-1)&amp;" business day(s) left).")))))</f>
        <v/>
      </c>
      <c r="V33" s="17">
        <f>IF($W33="","",CHOOSE($W33,"Collection Email","1st Follow-up","2nd Follow-up","Local Office","CBE","Roxanne")&amp;IF($W33=6," - Final"," - Day "&amp;MAX(0,NETWORKDAYS($X33,TODAY(),Holidays)-1)&amp;" of "&amp;CHOOSE($W33,3,3,2,2,3))&amp;" | Total Day "&amp;MAX(0,NETWORKDAYS($L33,TODAY(),Holidays)-1))</f>
        <v/>
      </c>
      <c r="W33" s="17">
        <f>IF($L33="","",COUNT($L33:$Q33))</f>
        <v/>
      </c>
      <c r="X33" s="18">
        <f>IF($W33="","",INT(INDEX($L33:$Q33,$W33)))</f>
        <v/>
      </c>
      <c r="Y33" s="18">
        <f>IF(OR($W33="",$W33=6),"",WORKDAY($X33,CHOOSE($W33,3,3,2,2,3),Holidays))</f>
        <v/>
      </c>
      <c r="Z33" s="17">
        <f>IF(OR($W33="",$W33=6),"",CHOOSE($W33,"1st Email Follow-up","2nd Email Follow-up","Escalate Local Office","Escalate to CBE","Escalate to Roxanne"))</f>
        <v/>
      </c>
    </row>
    <row r="34" spans="18:26">
      <c r="R34" s="15"/>
      <c r="S34" s="16"/>
      <c r="T34" s="17">
        <f>IF(AND(COUNTA($A34:$K34)=0,$L34=""),"",IF($S34="Paid","PAID",IF($S34="Closed","CLOSED",IF($W34="","",IF($W34=6,"ESCALATED TO ROXANNE",IF(TODAY()&gt;$Y34,"OVERDUE",IF($Y34&lt;=WORKDAY(TODAY(),1,Holidays),"DUE TOMORROW",IF($W34=4,"ESCALATED TO LOCAL OFFICE",IF($W34=5,"ESCALATED TO CBE",IF($X34=TODAY(),"EMAIL SENT","MONITORING"))))))))))</f>
        <v/>
      </c>
      <c r="U34" s="17">
        <f>IF($T34="",IF(AND(COUNTA($A34:$K34)&gt;0,$L34=""),"Awaiting Collection Email time stamp.",""),IF(OR($T34="PAID",$T34="CLOSED"),IF($T34="PAID","Account paid. Action completed.","Account closed. No further action required."),CHOOSE($W34,"Collection Email","1st Email Follow-up","2nd Email Follow-up","Escalation to Local Office","Escalation to CBE","Escalation to Roxanne")&amp;" sent "&amp;TEXT($X34,"dd-mmm")&amp;". "&amp;IF($W34=6,"Final escalation completed.",IF($T34="OVERDUE","Next: "&amp;$Z34&amp;" was due "&amp;TEXT($Y34,"dd-mmm")&amp;" - "&amp;(NETWORKDAYS($Y34,TODAY(),Holidays)-1)&amp;" business day(s) late. Send now.",IF($T34="DUE TOMORROW","Next: "&amp;$Z34&amp;IF($Y34&lt;=TODAY()," is due TODAY ("," is due next business day (")&amp;TEXT($Y34,"dd-mmm")&amp;").","Next: "&amp;$Z34&amp;" due "&amp;TEXT($Y34,"dd-mmm")&amp;" ("&amp;(NETWORKDAYS(TODAY(),$Y34,Holidays)-1)&amp;" business day(s) left).")))))</f>
        <v/>
      </c>
      <c r="V34" s="17">
        <f>IF($W34="","",CHOOSE($W34,"Collection Email","1st Follow-up","2nd Follow-up","Local Office","CBE","Roxanne")&amp;IF($W34=6," - Final"," - Day "&amp;MAX(0,NETWORKDAYS($X34,TODAY(),Holidays)-1)&amp;" of "&amp;CHOOSE($W34,3,3,2,2,3))&amp;" | Total Day "&amp;MAX(0,NETWORKDAYS($L34,TODAY(),Holidays)-1))</f>
        <v/>
      </c>
      <c r="W34" s="17">
        <f>IF($L34="","",COUNT($L34:$Q34))</f>
        <v/>
      </c>
      <c r="X34" s="18">
        <f>IF($W34="","",INT(INDEX($L34:$Q34,$W34)))</f>
        <v/>
      </c>
      <c r="Y34" s="18">
        <f>IF(OR($W34="",$W34=6),"",WORKDAY($X34,CHOOSE($W34,3,3,2,2,3),Holidays))</f>
        <v/>
      </c>
      <c r="Z34" s="17">
        <f>IF(OR($W34="",$W34=6),"",CHOOSE($W34,"1st Email Follow-up","2nd Email Follow-up","Escalate Local Office","Escalate to CBE","Escalate to Roxanne"))</f>
        <v/>
      </c>
    </row>
    <row r="35" spans="18:26">
      <c r="R35" s="15"/>
      <c r="S35" s="16"/>
      <c r="T35" s="17">
        <f>IF(AND(COUNTA($A35:$K35)=0,$L35=""),"",IF($S35="Paid","PAID",IF($S35="Closed","CLOSED",IF($W35="","",IF($W35=6,"ESCALATED TO ROXANNE",IF(TODAY()&gt;$Y35,"OVERDUE",IF($Y35&lt;=WORKDAY(TODAY(),1,Holidays),"DUE TOMORROW",IF($W35=4,"ESCALATED TO LOCAL OFFICE",IF($W35=5,"ESCALATED TO CBE",IF($X35=TODAY(),"EMAIL SENT","MONITORING"))))))))))</f>
        <v/>
      </c>
      <c r="U35" s="17">
        <f>IF($T35="",IF(AND(COUNTA($A35:$K35)&gt;0,$L35=""),"Awaiting Collection Email time stamp.",""),IF(OR($T35="PAID",$T35="CLOSED"),IF($T35="PAID","Account paid. Action completed.","Account closed. No further action required."),CHOOSE($W35,"Collection Email","1st Email Follow-up","2nd Email Follow-up","Escalation to Local Office","Escalation to CBE","Escalation to Roxanne")&amp;" sent "&amp;TEXT($X35,"dd-mmm")&amp;". "&amp;IF($W35=6,"Final escalation completed.",IF($T35="OVERDUE","Next: "&amp;$Z35&amp;" was due "&amp;TEXT($Y35,"dd-mmm")&amp;" - "&amp;(NETWORKDAYS($Y35,TODAY(),Holidays)-1)&amp;" business day(s) late. Send now.",IF($T35="DUE TOMORROW","Next: "&amp;$Z35&amp;IF($Y35&lt;=TODAY()," is due TODAY ("," is due next business day (")&amp;TEXT($Y35,"dd-mmm")&amp;").","Next: "&amp;$Z35&amp;" due "&amp;TEXT($Y35,"dd-mmm")&amp;" ("&amp;(NETWORKDAYS(TODAY(),$Y35,Holidays)-1)&amp;" business day(s) left).")))))</f>
        <v/>
      </c>
      <c r="V35" s="17">
        <f>IF($W35="","",CHOOSE($W35,"Collection Email","1st Follow-up","2nd Follow-up","Local Office","CBE","Roxanne")&amp;IF($W35=6," - Final"," - Day "&amp;MAX(0,NETWORKDAYS($X35,TODAY(),Holidays)-1)&amp;" of "&amp;CHOOSE($W35,3,3,2,2,3))&amp;" | Total Day "&amp;MAX(0,NETWORKDAYS($L35,TODAY(),Holidays)-1))</f>
        <v/>
      </c>
      <c r="W35" s="17">
        <f>IF($L35="","",COUNT($L35:$Q35))</f>
        <v/>
      </c>
      <c r="X35" s="18">
        <f>IF($W35="","",INT(INDEX($L35:$Q35,$W35)))</f>
        <v/>
      </c>
      <c r="Y35" s="18">
        <f>IF(OR($W35="",$W35=6),"",WORKDAY($X35,CHOOSE($W35,3,3,2,2,3),Holidays))</f>
        <v/>
      </c>
      <c r="Z35" s="17">
        <f>IF(OR($W35="",$W35=6),"",CHOOSE($W35,"1st Email Follow-up","2nd Email Follow-up","Escalate Local Office","Escalate to CBE","Escalate to Roxanne"))</f>
        <v/>
      </c>
    </row>
    <row r="36" spans="18:26">
      <c r="R36" s="15"/>
      <c r="S36" s="16"/>
      <c r="T36" s="17">
        <f>IF(AND(COUNTA($A36:$K36)=0,$L36=""),"",IF($S36="Paid","PAID",IF($S36="Closed","CLOSED",IF($W36="","",IF($W36=6,"ESCALATED TO ROXANNE",IF(TODAY()&gt;$Y36,"OVERDUE",IF($Y36&lt;=WORKDAY(TODAY(),1,Holidays),"DUE TOMORROW",IF($W36=4,"ESCALATED TO LOCAL OFFICE",IF($W36=5,"ESCALATED TO CBE",IF($X36=TODAY(),"EMAIL SENT","MONITORING"))))))))))</f>
        <v/>
      </c>
      <c r="U36" s="17">
        <f>IF($T36="",IF(AND(COUNTA($A36:$K36)&gt;0,$L36=""),"Awaiting Collection Email time stamp.",""),IF(OR($T36="PAID",$T36="CLOSED"),IF($T36="PAID","Account paid. Action completed.","Account closed. No further action required."),CHOOSE($W36,"Collection Email","1st Email Follow-up","2nd Email Follow-up","Escalation to Local Office","Escalation to CBE","Escalation to Roxanne")&amp;" sent "&amp;TEXT($X36,"dd-mmm")&amp;". "&amp;IF($W36=6,"Final escalation completed.",IF($T36="OVERDUE","Next: "&amp;$Z36&amp;" was due "&amp;TEXT($Y36,"dd-mmm")&amp;" - "&amp;(NETWORKDAYS($Y36,TODAY(),Holidays)-1)&amp;" business day(s) late. Send now.",IF($T36="DUE TOMORROW","Next: "&amp;$Z36&amp;IF($Y36&lt;=TODAY()," is due TODAY ("," is due next business day (")&amp;TEXT($Y36,"dd-mmm")&amp;").","Next: "&amp;$Z36&amp;" due "&amp;TEXT($Y36,"dd-mmm")&amp;" ("&amp;(NETWORKDAYS(TODAY(),$Y36,Holidays)-1)&amp;" business day(s) left).")))))</f>
        <v/>
      </c>
      <c r="V36" s="17">
        <f>IF($W36="","",CHOOSE($W36,"Collection Email","1st Follow-up","2nd Follow-up","Local Office","CBE","Roxanne")&amp;IF($W36=6," - Final"," - Day "&amp;MAX(0,NETWORKDAYS($X36,TODAY(),Holidays)-1)&amp;" of "&amp;CHOOSE($W36,3,3,2,2,3))&amp;" | Total Day "&amp;MAX(0,NETWORKDAYS($L36,TODAY(),Holidays)-1))</f>
        <v/>
      </c>
      <c r="W36" s="17">
        <f>IF($L36="","",COUNT($L36:$Q36))</f>
        <v/>
      </c>
      <c r="X36" s="18">
        <f>IF($W36="","",INT(INDEX($L36:$Q36,$W36)))</f>
        <v/>
      </c>
      <c r="Y36" s="18">
        <f>IF(OR($W36="",$W36=6),"",WORKDAY($X36,CHOOSE($W36,3,3,2,2,3),Holidays))</f>
        <v/>
      </c>
      <c r="Z36" s="17">
        <f>IF(OR($W36="",$W36=6),"",CHOOSE($W36,"1st Email Follow-up","2nd Email Follow-up","Escalate Local Office","Escalate to CBE","Escalate to Roxanne"))</f>
        <v/>
      </c>
    </row>
    <row r="37" spans="18:26">
      <c r="R37" s="15"/>
      <c r="S37" s="16"/>
      <c r="T37" s="17">
        <f>IF(AND(COUNTA($A37:$K37)=0,$L37=""),"",IF($S37="Paid","PAID",IF($S37="Closed","CLOSED",IF($W37="","",IF($W37=6,"ESCALATED TO ROXANNE",IF(TODAY()&gt;$Y37,"OVERDUE",IF($Y37&lt;=WORKDAY(TODAY(),1,Holidays),"DUE TOMORROW",IF($W37=4,"ESCALATED TO LOCAL OFFICE",IF($W37=5,"ESCALATED TO CBE",IF($X37=TODAY(),"EMAIL SENT","MONITORING"))))))))))</f>
        <v/>
      </c>
      <c r="U37" s="17">
        <f>IF($T37="",IF(AND(COUNTA($A37:$K37)&gt;0,$L37=""),"Awaiting Collection Email time stamp.",""),IF(OR($T37="PAID",$T37="CLOSED"),IF($T37="PAID","Account paid. Action completed.","Account closed. No further action required."),CHOOSE($W37,"Collection Email","1st Email Follow-up","2nd Email Follow-up","Escalation to Local Office","Escalation to CBE","Escalation to Roxanne")&amp;" sent "&amp;TEXT($X37,"dd-mmm")&amp;". "&amp;IF($W37=6,"Final escalation completed.",IF($T37="OVERDUE","Next: "&amp;$Z37&amp;" was due "&amp;TEXT($Y37,"dd-mmm")&amp;" - "&amp;(NETWORKDAYS($Y37,TODAY(),Holidays)-1)&amp;" business day(s) late. Send now.",IF($T37="DUE TOMORROW","Next: "&amp;$Z37&amp;IF($Y37&lt;=TODAY()," is due TODAY ("," is due next business day (")&amp;TEXT($Y37,"dd-mmm")&amp;").","Next: "&amp;$Z37&amp;" due "&amp;TEXT($Y37,"dd-mmm")&amp;" ("&amp;(NETWORKDAYS(TODAY(),$Y37,Holidays)-1)&amp;" business day(s) left).")))))</f>
        <v/>
      </c>
      <c r="V37" s="17">
        <f>IF($W37="","",CHOOSE($W37,"Collection Email","1st Follow-up","2nd Follow-up","Local Office","CBE","Roxanne")&amp;IF($W37=6," - Final"," - Day "&amp;MAX(0,NETWORKDAYS($X37,TODAY(),Holidays)-1)&amp;" of "&amp;CHOOSE($W37,3,3,2,2,3))&amp;" | Total Day "&amp;MAX(0,NETWORKDAYS($L37,TODAY(),Holidays)-1))</f>
        <v/>
      </c>
      <c r="W37" s="17">
        <f>IF($L37="","",COUNT($L37:$Q37))</f>
        <v/>
      </c>
      <c r="X37" s="18">
        <f>IF($W37="","",INT(INDEX($L37:$Q37,$W37)))</f>
        <v/>
      </c>
      <c r="Y37" s="18">
        <f>IF(OR($W37="",$W37=6),"",WORKDAY($X37,CHOOSE($W37,3,3,2,2,3),Holidays))</f>
        <v/>
      </c>
      <c r="Z37" s="17">
        <f>IF(OR($W37="",$W37=6),"",CHOOSE($W37,"1st Email Follow-up","2nd Email Follow-up","Escalate Local Office","Escalate to CBE","Escalate to Roxanne"))</f>
        <v/>
      </c>
    </row>
    <row r="38" spans="18:26">
      <c r="R38" s="15"/>
      <c r="S38" s="16"/>
      <c r="T38" s="17">
        <f>IF(AND(COUNTA($A38:$K38)=0,$L38=""),"",IF($S38="Paid","PAID",IF($S38="Closed","CLOSED",IF($W38="","",IF($W38=6,"ESCALATED TO ROXANNE",IF(TODAY()&gt;$Y38,"OVERDUE",IF($Y38&lt;=WORKDAY(TODAY(),1,Holidays),"DUE TOMORROW",IF($W38=4,"ESCALATED TO LOCAL OFFICE",IF($W38=5,"ESCALATED TO CBE",IF($X38=TODAY(),"EMAIL SENT","MONITORING"))))))))))</f>
        <v/>
      </c>
      <c r="U38" s="17">
        <f>IF($T38="",IF(AND(COUNTA($A38:$K38)&gt;0,$L38=""),"Awaiting Collection Email time stamp.",""),IF(OR($T38="PAID",$T38="CLOSED"),IF($T38="PAID","Account paid. Action completed.","Account closed. No further action required."),CHOOSE($W38,"Collection Email","1st Email Follow-up","2nd Email Follow-up","Escalation to Local Office","Escalation to CBE","Escalation to Roxanne")&amp;" sent "&amp;TEXT($X38,"dd-mmm")&amp;". "&amp;IF($W38=6,"Final escalation completed.",IF($T38="OVERDUE","Next: "&amp;$Z38&amp;" was due "&amp;TEXT($Y38,"dd-mmm")&amp;" - "&amp;(NETWORKDAYS($Y38,TODAY(),Holidays)-1)&amp;" business day(s) late. Send now.",IF($T38="DUE TOMORROW","Next: "&amp;$Z38&amp;IF($Y38&lt;=TODAY()," is due TODAY ("," is due next business day (")&amp;TEXT($Y38,"dd-mmm")&amp;").","Next: "&amp;$Z38&amp;" due "&amp;TEXT($Y38,"dd-mmm")&amp;" ("&amp;(NETWORKDAYS(TODAY(),$Y38,Holidays)-1)&amp;" business day(s) left).")))))</f>
        <v/>
      </c>
      <c r="V38" s="17">
        <f>IF($W38="","",CHOOSE($W38,"Collection Email","1st Follow-up","2nd Follow-up","Local Office","CBE","Roxanne")&amp;IF($W38=6," - Final"," - Day "&amp;MAX(0,NETWORKDAYS($X38,TODAY(),Holidays)-1)&amp;" of "&amp;CHOOSE($W38,3,3,2,2,3))&amp;" | Total Day "&amp;MAX(0,NETWORKDAYS($L38,TODAY(),Holidays)-1))</f>
        <v/>
      </c>
      <c r="W38" s="17">
        <f>IF($L38="","",COUNT($L38:$Q38))</f>
        <v/>
      </c>
      <c r="X38" s="18">
        <f>IF($W38="","",INT(INDEX($L38:$Q38,$W38)))</f>
        <v/>
      </c>
      <c r="Y38" s="18">
        <f>IF(OR($W38="",$W38=6),"",WORKDAY($X38,CHOOSE($W38,3,3,2,2,3),Holidays))</f>
        <v/>
      </c>
      <c r="Z38" s="17">
        <f>IF(OR($W38="",$W38=6),"",CHOOSE($W38,"1st Email Follow-up","2nd Email Follow-up","Escalate Local Office","Escalate to CBE","Escalate to Roxanne"))</f>
        <v/>
      </c>
    </row>
    <row r="39" spans="18:26">
      <c r="R39" s="15"/>
      <c r="S39" s="16"/>
      <c r="T39" s="17">
        <f>IF(AND(COUNTA($A39:$K39)=0,$L39=""),"",IF($S39="Paid","PAID",IF($S39="Closed","CLOSED",IF($W39="","",IF($W39=6,"ESCALATED TO ROXANNE",IF(TODAY()&gt;$Y39,"OVERDUE",IF($Y39&lt;=WORKDAY(TODAY(),1,Holidays),"DUE TOMORROW",IF($W39=4,"ESCALATED TO LOCAL OFFICE",IF($W39=5,"ESCALATED TO CBE",IF($X39=TODAY(),"EMAIL SENT","MONITORING"))))))))))</f>
        <v/>
      </c>
      <c r="U39" s="17">
        <f>IF($T39="",IF(AND(COUNTA($A39:$K39)&gt;0,$L39=""),"Awaiting Collection Email time stamp.",""),IF(OR($T39="PAID",$T39="CLOSED"),IF($T39="PAID","Account paid. Action completed.","Account closed. No further action required."),CHOOSE($W39,"Collection Email","1st Email Follow-up","2nd Email Follow-up","Escalation to Local Office","Escalation to CBE","Escalation to Roxanne")&amp;" sent "&amp;TEXT($X39,"dd-mmm")&amp;". "&amp;IF($W39=6,"Final escalation completed.",IF($T39="OVERDUE","Next: "&amp;$Z39&amp;" was due "&amp;TEXT($Y39,"dd-mmm")&amp;" - "&amp;(NETWORKDAYS($Y39,TODAY(),Holidays)-1)&amp;" business day(s) late. Send now.",IF($T39="DUE TOMORROW","Next: "&amp;$Z39&amp;IF($Y39&lt;=TODAY()," is due TODAY ("," is due next business day (")&amp;TEXT($Y39,"dd-mmm")&amp;").","Next: "&amp;$Z39&amp;" due "&amp;TEXT($Y39,"dd-mmm")&amp;" ("&amp;(NETWORKDAYS(TODAY(),$Y39,Holidays)-1)&amp;" business day(s) left).")))))</f>
        <v/>
      </c>
      <c r="V39" s="17">
        <f>IF($W39="","",CHOOSE($W39,"Collection Email","1st Follow-up","2nd Follow-up","Local Office","CBE","Roxanne")&amp;IF($W39=6," - Final"," - Day "&amp;MAX(0,NETWORKDAYS($X39,TODAY(),Holidays)-1)&amp;" of "&amp;CHOOSE($W39,3,3,2,2,3))&amp;" | Total Day "&amp;MAX(0,NETWORKDAYS($L39,TODAY(),Holidays)-1))</f>
        <v/>
      </c>
      <c r="W39" s="17">
        <f>IF($L39="","",COUNT($L39:$Q39))</f>
        <v/>
      </c>
      <c r="X39" s="18">
        <f>IF($W39="","",INT(INDEX($L39:$Q39,$W39)))</f>
        <v/>
      </c>
      <c r="Y39" s="18">
        <f>IF(OR($W39="",$W39=6),"",WORKDAY($X39,CHOOSE($W39,3,3,2,2,3),Holidays))</f>
        <v/>
      </c>
      <c r="Z39" s="17">
        <f>IF(OR($W39="",$W39=6),"",CHOOSE($W39,"1st Email Follow-up","2nd Email Follow-up","Escalate Local Office","Escalate to CBE","Escalate to Roxanne"))</f>
        <v/>
      </c>
    </row>
    <row r="40" spans="18:26">
      <c r="R40" s="15"/>
      <c r="S40" s="16"/>
      <c r="T40" s="17">
        <f>IF(AND(COUNTA($A40:$K40)=0,$L40=""),"",IF($S40="Paid","PAID",IF($S40="Closed","CLOSED",IF($W40="","",IF($W40=6,"ESCALATED TO ROXANNE",IF(TODAY()&gt;$Y40,"OVERDUE",IF($Y40&lt;=WORKDAY(TODAY(),1,Holidays),"DUE TOMORROW",IF($W40=4,"ESCALATED TO LOCAL OFFICE",IF($W40=5,"ESCALATED TO CBE",IF($X40=TODAY(),"EMAIL SENT","MONITORING"))))))))))</f>
        <v/>
      </c>
      <c r="U40" s="17">
        <f>IF($T40="",IF(AND(COUNTA($A40:$K40)&gt;0,$L40=""),"Awaiting Collection Email time stamp.",""),IF(OR($T40="PAID",$T40="CLOSED"),IF($T40="PAID","Account paid. Action completed.","Account closed. No further action required."),CHOOSE($W40,"Collection Email","1st Email Follow-up","2nd Email Follow-up","Escalation to Local Office","Escalation to CBE","Escalation to Roxanne")&amp;" sent "&amp;TEXT($X40,"dd-mmm")&amp;". "&amp;IF($W40=6,"Final escalation completed.",IF($T40="OVERDUE","Next: "&amp;$Z40&amp;" was due "&amp;TEXT($Y40,"dd-mmm")&amp;" - "&amp;(NETWORKDAYS($Y40,TODAY(),Holidays)-1)&amp;" business day(s) late. Send now.",IF($T40="DUE TOMORROW","Next: "&amp;$Z40&amp;IF($Y40&lt;=TODAY()," is due TODAY ("," is due next business day (")&amp;TEXT($Y40,"dd-mmm")&amp;").","Next: "&amp;$Z40&amp;" due "&amp;TEXT($Y40,"dd-mmm")&amp;" ("&amp;(NETWORKDAYS(TODAY(),$Y40,Holidays)-1)&amp;" business day(s) left).")))))</f>
        <v/>
      </c>
      <c r="V40" s="17">
        <f>IF($W40="","",CHOOSE($W40,"Collection Email","1st Follow-up","2nd Follow-up","Local Office","CBE","Roxanne")&amp;IF($W40=6," - Final"," - Day "&amp;MAX(0,NETWORKDAYS($X40,TODAY(),Holidays)-1)&amp;" of "&amp;CHOOSE($W40,3,3,2,2,3))&amp;" | Total Day "&amp;MAX(0,NETWORKDAYS($L40,TODAY(),Holidays)-1))</f>
        <v/>
      </c>
      <c r="W40" s="17">
        <f>IF($L40="","",COUNT($L40:$Q40))</f>
        <v/>
      </c>
      <c r="X40" s="18">
        <f>IF($W40="","",INT(INDEX($L40:$Q40,$W40)))</f>
        <v/>
      </c>
      <c r="Y40" s="18">
        <f>IF(OR($W40="",$W40=6),"",WORKDAY($X40,CHOOSE($W40,3,3,2,2,3),Holidays))</f>
        <v/>
      </c>
      <c r="Z40" s="17">
        <f>IF(OR($W40="",$W40=6),"",CHOOSE($W40,"1st Email Follow-up","2nd Email Follow-up","Escalate Local Office","Escalate to CBE","Escalate to Roxanne"))</f>
        <v/>
      </c>
    </row>
    <row r="41" spans="18:26">
      <c r="R41" s="15"/>
      <c r="S41" s="16"/>
      <c r="T41" s="17">
        <f>IF(AND(COUNTA($A41:$K41)=0,$L41=""),"",IF($S41="Paid","PAID",IF($S41="Closed","CLOSED",IF($W41="","",IF($W41=6,"ESCALATED TO ROXANNE",IF(TODAY()&gt;$Y41,"OVERDUE",IF($Y41&lt;=WORKDAY(TODAY(),1,Holidays),"DUE TOMORROW",IF($W41=4,"ESCALATED TO LOCAL OFFICE",IF($W41=5,"ESCALATED TO CBE",IF($X41=TODAY(),"EMAIL SENT","MONITORING"))))))))))</f>
        <v/>
      </c>
      <c r="U41" s="17">
        <f>IF($T41="",IF(AND(COUNTA($A41:$K41)&gt;0,$L41=""),"Awaiting Collection Email time stamp.",""),IF(OR($T41="PAID",$T41="CLOSED"),IF($T41="PAID","Account paid. Action completed.","Account closed. No further action required."),CHOOSE($W41,"Collection Email","1st Email Follow-up","2nd Email Follow-up","Escalation to Local Office","Escalation to CBE","Escalation to Roxanne")&amp;" sent "&amp;TEXT($X41,"dd-mmm")&amp;". "&amp;IF($W41=6,"Final escalation completed.",IF($T41="OVERDUE","Next: "&amp;$Z41&amp;" was due "&amp;TEXT($Y41,"dd-mmm")&amp;" - "&amp;(NETWORKDAYS($Y41,TODAY(),Holidays)-1)&amp;" business day(s) late. Send now.",IF($T41="DUE TOMORROW","Next: "&amp;$Z41&amp;IF($Y41&lt;=TODAY()," is due TODAY ("," is due next business day (")&amp;TEXT($Y41,"dd-mmm")&amp;").","Next: "&amp;$Z41&amp;" due "&amp;TEXT($Y41,"dd-mmm")&amp;" ("&amp;(NETWORKDAYS(TODAY(),$Y41,Holidays)-1)&amp;" business day(s) left).")))))</f>
        <v/>
      </c>
      <c r="V41" s="17">
        <f>IF($W41="","",CHOOSE($W41,"Collection Email","1st Follow-up","2nd Follow-up","Local Office","CBE","Roxanne")&amp;IF($W41=6," - Final"," - Day "&amp;MAX(0,NETWORKDAYS($X41,TODAY(),Holidays)-1)&amp;" of "&amp;CHOOSE($W41,3,3,2,2,3))&amp;" | Total Day "&amp;MAX(0,NETWORKDAYS($L41,TODAY(),Holidays)-1))</f>
        <v/>
      </c>
      <c r="W41" s="17">
        <f>IF($L41="","",COUNT($L41:$Q41))</f>
        <v/>
      </c>
      <c r="X41" s="18">
        <f>IF($W41="","",INT(INDEX($L41:$Q41,$W41)))</f>
        <v/>
      </c>
      <c r="Y41" s="18">
        <f>IF(OR($W41="",$W41=6),"",WORKDAY($X41,CHOOSE($W41,3,3,2,2,3),Holidays))</f>
        <v/>
      </c>
      <c r="Z41" s="17">
        <f>IF(OR($W41="",$W41=6),"",CHOOSE($W41,"1st Email Follow-up","2nd Email Follow-up","Escalate Local Office","Escalate to CBE","Escalate to Roxanne"))</f>
        <v/>
      </c>
    </row>
    <row r="42" spans="18:26">
      <c r="R42" s="15"/>
      <c r="S42" s="16"/>
      <c r="T42" s="17">
        <f>IF(AND(COUNTA($A42:$K42)=0,$L42=""),"",IF($S42="Paid","PAID",IF($S42="Closed","CLOSED",IF($W42="","",IF($W42=6,"ESCALATED TO ROXANNE",IF(TODAY()&gt;$Y42,"OVERDUE",IF($Y42&lt;=WORKDAY(TODAY(),1,Holidays),"DUE TOMORROW",IF($W42=4,"ESCALATED TO LOCAL OFFICE",IF($W42=5,"ESCALATED TO CBE",IF($X42=TODAY(),"EMAIL SENT","MONITORING"))))))))))</f>
        <v/>
      </c>
      <c r="U42" s="17">
        <f>IF($T42="",IF(AND(COUNTA($A42:$K42)&gt;0,$L42=""),"Awaiting Collection Email time stamp.",""),IF(OR($T42="PAID",$T42="CLOSED"),IF($T42="PAID","Account paid. Action completed.","Account closed. No further action required."),CHOOSE($W42,"Collection Email","1st Email Follow-up","2nd Email Follow-up","Escalation to Local Office","Escalation to CBE","Escalation to Roxanne")&amp;" sent "&amp;TEXT($X42,"dd-mmm")&amp;". "&amp;IF($W42=6,"Final escalation completed.",IF($T42="OVERDUE","Next: "&amp;$Z42&amp;" was due "&amp;TEXT($Y42,"dd-mmm")&amp;" - "&amp;(NETWORKDAYS($Y42,TODAY(),Holidays)-1)&amp;" business day(s) late. Send now.",IF($T42="DUE TOMORROW","Next: "&amp;$Z42&amp;IF($Y42&lt;=TODAY()," is due TODAY ("," is due next business day (")&amp;TEXT($Y42,"dd-mmm")&amp;").","Next: "&amp;$Z42&amp;" due "&amp;TEXT($Y42,"dd-mmm")&amp;" ("&amp;(NETWORKDAYS(TODAY(),$Y42,Holidays)-1)&amp;" business day(s) left).")))))</f>
        <v/>
      </c>
      <c r="V42" s="17">
        <f>IF($W42="","",CHOOSE($W42,"Collection Email","1st Follow-up","2nd Follow-up","Local Office","CBE","Roxanne")&amp;IF($W42=6," - Final"," - Day "&amp;MAX(0,NETWORKDAYS($X42,TODAY(),Holidays)-1)&amp;" of "&amp;CHOOSE($W42,3,3,2,2,3))&amp;" | Total Day "&amp;MAX(0,NETWORKDAYS($L42,TODAY(),Holidays)-1))</f>
        <v/>
      </c>
      <c r="W42" s="17">
        <f>IF($L42="","",COUNT($L42:$Q42))</f>
        <v/>
      </c>
      <c r="X42" s="18">
        <f>IF($W42="","",INT(INDEX($L42:$Q42,$W42)))</f>
        <v/>
      </c>
      <c r="Y42" s="18">
        <f>IF(OR($W42="",$W42=6),"",WORKDAY($X42,CHOOSE($W42,3,3,2,2,3),Holidays))</f>
        <v/>
      </c>
      <c r="Z42" s="17">
        <f>IF(OR($W42="",$W42=6),"",CHOOSE($W42,"1st Email Follow-up","2nd Email Follow-up","Escalate Local Office","Escalate to CBE","Escalate to Roxanne"))</f>
        <v/>
      </c>
    </row>
    <row r="43" spans="18:26">
      <c r="R43" s="15"/>
      <c r="S43" s="16"/>
      <c r="T43" s="17">
        <f>IF(AND(COUNTA($A43:$K43)=0,$L43=""),"",IF($S43="Paid","PAID",IF($S43="Closed","CLOSED",IF($W43="","",IF($W43=6,"ESCALATED TO ROXANNE",IF(TODAY()&gt;$Y43,"OVERDUE",IF($Y43&lt;=WORKDAY(TODAY(),1,Holidays),"DUE TOMORROW",IF($W43=4,"ESCALATED TO LOCAL OFFICE",IF($W43=5,"ESCALATED TO CBE",IF($X43=TODAY(),"EMAIL SENT","MONITORING"))))))))))</f>
        <v/>
      </c>
      <c r="U43" s="17">
        <f>IF($T43="",IF(AND(COUNTA($A43:$K43)&gt;0,$L43=""),"Awaiting Collection Email time stamp.",""),IF(OR($T43="PAID",$T43="CLOSED"),IF($T43="PAID","Account paid. Action completed.","Account closed. No further action required."),CHOOSE($W43,"Collection Email","1st Email Follow-up","2nd Email Follow-up","Escalation to Local Office","Escalation to CBE","Escalation to Roxanne")&amp;" sent "&amp;TEXT($X43,"dd-mmm")&amp;". "&amp;IF($W43=6,"Final escalation completed.",IF($T43="OVERDUE","Next: "&amp;$Z43&amp;" was due "&amp;TEXT($Y43,"dd-mmm")&amp;" - "&amp;(NETWORKDAYS($Y43,TODAY(),Holidays)-1)&amp;" business day(s) late. Send now.",IF($T43="DUE TOMORROW","Next: "&amp;$Z43&amp;IF($Y43&lt;=TODAY()," is due TODAY ("," is due next business day (")&amp;TEXT($Y43,"dd-mmm")&amp;").","Next: "&amp;$Z43&amp;" due "&amp;TEXT($Y43,"dd-mmm")&amp;" ("&amp;(NETWORKDAYS(TODAY(),$Y43,Holidays)-1)&amp;" business day(s) left).")))))</f>
        <v/>
      </c>
      <c r="V43" s="17">
        <f>IF($W43="","",CHOOSE($W43,"Collection Email","1st Follow-up","2nd Follow-up","Local Office","CBE","Roxanne")&amp;IF($W43=6," - Final"," - Day "&amp;MAX(0,NETWORKDAYS($X43,TODAY(),Holidays)-1)&amp;" of "&amp;CHOOSE($W43,3,3,2,2,3))&amp;" | Total Day "&amp;MAX(0,NETWORKDAYS($L43,TODAY(),Holidays)-1))</f>
        <v/>
      </c>
      <c r="W43" s="17">
        <f>IF($L43="","",COUNT($L43:$Q43))</f>
        <v/>
      </c>
      <c r="X43" s="18">
        <f>IF($W43="","",INT(INDEX($L43:$Q43,$W43)))</f>
        <v/>
      </c>
      <c r="Y43" s="18">
        <f>IF(OR($W43="",$W43=6),"",WORKDAY($X43,CHOOSE($W43,3,3,2,2,3),Holidays))</f>
        <v/>
      </c>
      <c r="Z43" s="17">
        <f>IF(OR($W43="",$W43=6),"",CHOOSE($W43,"1st Email Follow-up","2nd Email Follow-up","Escalate Local Office","Escalate to CBE","Escalate to Roxanne"))</f>
        <v/>
      </c>
    </row>
    <row r="44" spans="18:26">
      <c r="R44" s="15"/>
      <c r="S44" s="16"/>
      <c r="T44" s="17">
        <f>IF(AND(COUNTA($A44:$K44)=0,$L44=""),"",IF($S44="Paid","PAID",IF($S44="Closed","CLOSED",IF($W44="","",IF($W44=6,"ESCALATED TO ROXANNE",IF(TODAY()&gt;$Y44,"OVERDUE",IF($Y44&lt;=WORKDAY(TODAY(),1,Holidays),"DUE TOMORROW",IF($W44=4,"ESCALATED TO LOCAL OFFICE",IF($W44=5,"ESCALATED TO CBE",IF($X44=TODAY(),"EMAIL SENT","MONITORING"))))))))))</f>
        <v/>
      </c>
      <c r="U44" s="17">
        <f>IF($T44="",IF(AND(COUNTA($A44:$K44)&gt;0,$L44=""),"Awaiting Collection Email time stamp.",""),IF(OR($T44="PAID",$T44="CLOSED"),IF($T44="PAID","Account paid. Action completed.","Account closed. No further action required."),CHOOSE($W44,"Collection Email","1st Email Follow-up","2nd Email Follow-up","Escalation to Local Office","Escalation to CBE","Escalation to Roxanne")&amp;" sent "&amp;TEXT($X44,"dd-mmm")&amp;". "&amp;IF($W44=6,"Final escalation completed.",IF($T44="OVERDUE","Next: "&amp;$Z44&amp;" was due "&amp;TEXT($Y44,"dd-mmm")&amp;" - "&amp;(NETWORKDAYS($Y44,TODAY(),Holidays)-1)&amp;" business day(s) late. Send now.",IF($T44="DUE TOMORROW","Next: "&amp;$Z44&amp;IF($Y44&lt;=TODAY()," is due TODAY ("," is due next business day (")&amp;TEXT($Y44,"dd-mmm")&amp;").","Next: "&amp;$Z44&amp;" due "&amp;TEXT($Y44,"dd-mmm")&amp;" ("&amp;(NETWORKDAYS(TODAY(),$Y44,Holidays)-1)&amp;" business day(s) left).")))))</f>
        <v/>
      </c>
      <c r="V44" s="17">
        <f>IF($W44="","",CHOOSE($W44,"Collection Email","1st Follow-up","2nd Follow-up","Local Office","CBE","Roxanne")&amp;IF($W44=6," - Final"," - Day "&amp;MAX(0,NETWORKDAYS($X44,TODAY(),Holidays)-1)&amp;" of "&amp;CHOOSE($W44,3,3,2,2,3))&amp;" | Total Day "&amp;MAX(0,NETWORKDAYS($L44,TODAY(),Holidays)-1))</f>
        <v/>
      </c>
      <c r="W44" s="17">
        <f>IF($L44="","",COUNT($L44:$Q44))</f>
        <v/>
      </c>
      <c r="X44" s="18">
        <f>IF($W44="","",INT(INDEX($L44:$Q44,$W44)))</f>
        <v/>
      </c>
      <c r="Y44" s="18">
        <f>IF(OR($W44="",$W44=6),"",WORKDAY($X44,CHOOSE($W44,3,3,2,2,3),Holidays))</f>
        <v/>
      </c>
      <c r="Z44" s="17">
        <f>IF(OR($W44="",$W44=6),"",CHOOSE($W44,"1st Email Follow-up","2nd Email Follow-up","Escalate Local Office","Escalate to CBE","Escalate to Roxanne"))</f>
        <v/>
      </c>
    </row>
    <row r="45" spans="18:26">
      <c r="R45" s="15"/>
      <c r="S45" s="16"/>
      <c r="T45" s="17">
        <f>IF(AND(COUNTA($A45:$K45)=0,$L45=""),"",IF($S45="Paid","PAID",IF($S45="Closed","CLOSED",IF($W45="","",IF($W45=6,"ESCALATED TO ROXANNE",IF(TODAY()&gt;$Y45,"OVERDUE",IF($Y45&lt;=WORKDAY(TODAY(),1,Holidays),"DUE TOMORROW",IF($W45=4,"ESCALATED TO LOCAL OFFICE",IF($W45=5,"ESCALATED TO CBE",IF($X45=TODAY(),"EMAIL SENT","MONITORING"))))))))))</f>
        <v/>
      </c>
      <c r="U45" s="17">
        <f>IF($T45="",IF(AND(COUNTA($A45:$K45)&gt;0,$L45=""),"Awaiting Collection Email time stamp.",""),IF(OR($T45="PAID",$T45="CLOSED"),IF($T45="PAID","Account paid. Action completed.","Account closed. No further action required."),CHOOSE($W45,"Collection Email","1st Email Follow-up","2nd Email Follow-up","Escalation to Local Office","Escalation to CBE","Escalation to Roxanne")&amp;" sent "&amp;TEXT($X45,"dd-mmm")&amp;". "&amp;IF($W45=6,"Final escalation completed.",IF($T45="OVERDUE","Next: "&amp;$Z45&amp;" was due "&amp;TEXT($Y45,"dd-mmm")&amp;" - "&amp;(NETWORKDAYS($Y45,TODAY(),Holidays)-1)&amp;" business day(s) late. Send now.",IF($T45="DUE TOMORROW","Next: "&amp;$Z45&amp;IF($Y45&lt;=TODAY()," is due TODAY ("," is due next business day (")&amp;TEXT($Y45,"dd-mmm")&amp;").","Next: "&amp;$Z45&amp;" due "&amp;TEXT($Y45,"dd-mmm")&amp;" ("&amp;(NETWORKDAYS(TODAY(),$Y45,Holidays)-1)&amp;" business day(s) left).")))))</f>
        <v/>
      </c>
      <c r="V45" s="17">
        <f>IF($W45="","",CHOOSE($W45,"Collection Email","1st Follow-up","2nd Follow-up","Local Office","CBE","Roxanne")&amp;IF($W45=6," - Final"," - Day "&amp;MAX(0,NETWORKDAYS($X45,TODAY(),Holidays)-1)&amp;" of "&amp;CHOOSE($W45,3,3,2,2,3))&amp;" | Total Day "&amp;MAX(0,NETWORKDAYS($L45,TODAY(),Holidays)-1))</f>
        <v/>
      </c>
      <c r="W45" s="17">
        <f>IF($L45="","",COUNT($L45:$Q45))</f>
        <v/>
      </c>
      <c r="X45" s="18">
        <f>IF($W45="","",INT(INDEX($L45:$Q45,$W45)))</f>
        <v/>
      </c>
      <c r="Y45" s="18">
        <f>IF(OR($W45="",$W45=6),"",WORKDAY($X45,CHOOSE($W45,3,3,2,2,3),Holidays))</f>
        <v/>
      </c>
      <c r="Z45" s="17">
        <f>IF(OR($W45="",$W45=6),"",CHOOSE($W45,"1st Email Follow-up","2nd Email Follow-up","Escalate Local Office","Escalate to CBE","Escalate to Roxanne"))</f>
        <v/>
      </c>
    </row>
    <row r="46" spans="18:26">
      <c r="R46" s="15"/>
      <c r="S46" s="16"/>
      <c r="T46" s="17">
        <f>IF(AND(COUNTA($A46:$K46)=0,$L46=""),"",IF($S46="Paid","PAID",IF($S46="Closed","CLOSED",IF($W46="","",IF($W46=6,"ESCALATED TO ROXANNE",IF(TODAY()&gt;$Y46,"OVERDUE",IF($Y46&lt;=WORKDAY(TODAY(),1,Holidays),"DUE TOMORROW",IF($W46=4,"ESCALATED TO LOCAL OFFICE",IF($W46=5,"ESCALATED TO CBE",IF($X46=TODAY(),"EMAIL SENT","MONITORING"))))))))))</f>
        <v/>
      </c>
      <c r="U46" s="17">
        <f>IF($T46="",IF(AND(COUNTA($A46:$K46)&gt;0,$L46=""),"Awaiting Collection Email time stamp.",""),IF(OR($T46="PAID",$T46="CLOSED"),IF($T46="PAID","Account paid. Action completed.","Account closed. No further action required."),CHOOSE($W46,"Collection Email","1st Email Follow-up","2nd Email Follow-up","Escalation to Local Office","Escalation to CBE","Escalation to Roxanne")&amp;" sent "&amp;TEXT($X46,"dd-mmm")&amp;". "&amp;IF($W46=6,"Final escalation completed.",IF($T46="OVERDUE","Next: "&amp;$Z46&amp;" was due "&amp;TEXT($Y46,"dd-mmm")&amp;" - "&amp;(NETWORKDAYS($Y46,TODAY(),Holidays)-1)&amp;" business day(s) late. Send now.",IF($T46="DUE TOMORROW","Next: "&amp;$Z46&amp;IF($Y46&lt;=TODAY()," is due TODAY ("," is due next business day (")&amp;TEXT($Y46,"dd-mmm")&amp;").","Next: "&amp;$Z46&amp;" due "&amp;TEXT($Y46,"dd-mmm")&amp;" ("&amp;(NETWORKDAYS(TODAY(),$Y46,Holidays)-1)&amp;" business day(s) left).")))))</f>
        <v/>
      </c>
      <c r="V46" s="17">
        <f>IF($W46="","",CHOOSE($W46,"Collection Email","1st Follow-up","2nd Follow-up","Local Office","CBE","Roxanne")&amp;IF($W46=6," - Final"," - Day "&amp;MAX(0,NETWORKDAYS($X46,TODAY(),Holidays)-1)&amp;" of "&amp;CHOOSE($W46,3,3,2,2,3))&amp;" | Total Day "&amp;MAX(0,NETWORKDAYS($L46,TODAY(),Holidays)-1))</f>
        <v/>
      </c>
      <c r="W46" s="17">
        <f>IF($L46="","",COUNT($L46:$Q46))</f>
        <v/>
      </c>
      <c r="X46" s="18">
        <f>IF($W46="","",INT(INDEX($L46:$Q46,$W46)))</f>
        <v/>
      </c>
      <c r="Y46" s="18">
        <f>IF(OR($W46="",$W46=6),"",WORKDAY($X46,CHOOSE($W46,3,3,2,2,3),Holidays))</f>
        <v/>
      </c>
      <c r="Z46" s="17">
        <f>IF(OR($W46="",$W46=6),"",CHOOSE($W46,"1st Email Follow-up","2nd Email Follow-up","Escalate Local Office","Escalate to CBE","Escalate to Roxanne"))</f>
        <v/>
      </c>
    </row>
    <row r="47" spans="18:26">
      <c r="R47" s="15"/>
      <c r="S47" s="16"/>
      <c r="T47" s="17">
        <f>IF(AND(COUNTA($A47:$K47)=0,$L47=""),"",IF($S47="Paid","PAID",IF($S47="Closed","CLOSED",IF($W47="","",IF($W47=6,"ESCALATED TO ROXANNE",IF(TODAY()&gt;$Y47,"OVERDUE",IF($Y47&lt;=WORKDAY(TODAY(),1,Holidays),"DUE TOMORROW",IF($W47=4,"ESCALATED TO LOCAL OFFICE",IF($W47=5,"ESCALATED TO CBE",IF($X47=TODAY(),"EMAIL SENT","MONITORING"))))))))))</f>
        <v/>
      </c>
      <c r="U47" s="17">
        <f>IF($T47="",IF(AND(COUNTA($A47:$K47)&gt;0,$L47=""),"Awaiting Collection Email time stamp.",""),IF(OR($T47="PAID",$T47="CLOSED"),IF($T47="PAID","Account paid. Action completed.","Account closed. No further action required."),CHOOSE($W47,"Collection Email","1st Email Follow-up","2nd Email Follow-up","Escalation to Local Office","Escalation to CBE","Escalation to Roxanne")&amp;" sent "&amp;TEXT($X47,"dd-mmm")&amp;". "&amp;IF($W47=6,"Final escalation completed.",IF($T47="OVERDUE","Next: "&amp;$Z47&amp;" was due "&amp;TEXT($Y47,"dd-mmm")&amp;" - "&amp;(NETWORKDAYS($Y47,TODAY(),Holidays)-1)&amp;" business day(s) late. Send now.",IF($T47="DUE TOMORROW","Next: "&amp;$Z47&amp;IF($Y47&lt;=TODAY()," is due TODAY ("," is due next business day (")&amp;TEXT($Y47,"dd-mmm")&amp;").","Next: "&amp;$Z47&amp;" due "&amp;TEXT($Y47,"dd-mmm")&amp;" ("&amp;(NETWORKDAYS(TODAY(),$Y47,Holidays)-1)&amp;" business day(s) left).")))))</f>
        <v/>
      </c>
      <c r="V47" s="17">
        <f>IF($W47="","",CHOOSE($W47,"Collection Email","1st Follow-up","2nd Follow-up","Local Office","CBE","Roxanne")&amp;IF($W47=6," - Final"," - Day "&amp;MAX(0,NETWORKDAYS($X47,TODAY(),Holidays)-1)&amp;" of "&amp;CHOOSE($W47,3,3,2,2,3))&amp;" | Total Day "&amp;MAX(0,NETWORKDAYS($L47,TODAY(),Holidays)-1))</f>
        <v/>
      </c>
      <c r="W47" s="17">
        <f>IF($L47="","",COUNT($L47:$Q47))</f>
        <v/>
      </c>
      <c r="X47" s="18">
        <f>IF($W47="","",INT(INDEX($L47:$Q47,$W47)))</f>
        <v/>
      </c>
      <c r="Y47" s="18">
        <f>IF(OR($W47="",$W47=6),"",WORKDAY($X47,CHOOSE($W47,3,3,2,2,3),Holidays))</f>
        <v/>
      </c>
      <c r="Z47" s="17">
        <f>IF(OR($W47="",$W47=6),"",CHOOSE($W47,"1st Email Follow-up","2nd Email Follow-up","Escalate Local Office","Escalate to CBE","Escalate to Roxanne"))</f>
        <v/>
      </c>
    </row>
    <row r="48" spans="18:26">
      <c r="R48" s="15"/>
      <c r="S48" s="16"/>
      <c r="T48" s="17">
        <f>IF(AND(COUNTA($A48:$K48)=0,$L48=""),"",IF($S48="Paid","PAID",IF($S48="Closed","CLOSED",IF($W48="","",IF($W48=6,"ESCALATED TO ROXANNE",IF(TODAY()&gt;$Y48,"OVERDUE",IF($Y48&lt;=WORKDAY(TODAY(),1,Holidays),"DUE TOMORROW",IF($W48=4,"ESCALATED TO LOCAL OFFICE",IF($W48=5,"ESCALATED TO CBE",IF($X48=TODAY(),"EMAIL SENT","MONITORING"))))))))))</f>
        <v/>
      </c>
      <c r="U48" s="17">
        <f>IF($T48="",IF(AND(COUNTA($A48:$K48)&gt;0,$L48=""),"Awaiting Collection Email time stamp.",""),IF(OR($T48="PAID",$T48="CLOSED"),IF($T48="PAID","Account paid. Action completed.","Account closed. No further action required."),CHOOSE($W48,"Collection Email","1st Email Follow-up","2nd Email Follow-up","Escalation to Local Office","Escalation to CBE","Escalation to Roxanne")&amp;" sent "&amp;TEXT($X48,"dd-mmm")&amp;". "&amp;IF($W48=6,"Final escalation completed.",IF($T48="OVERDUE","Next: "&amp;$Z48&amp;" was due "&amp;TEXT($Y48,"dd-mmm")&amp;" - "&amp;(NETWORKDAYS($Y48,TODAY(),Holidays)-1)&amp;" business day(s) late. Send now.",IF($T48="DUE TOMORROW","Next: "&amp;$Z48&amp;IF($Y48&lt;=TODAY()," is due TODAY ("," is due next business day (")&amp;TEXT($Y48,"dd-mmm")&amp;").","Next: "&amp;$Z48&amp;" due "&amp;TEXT($Y48,"dd-mmm")&amp;" ("&amp;(NETWORKDAYS(TODAY(),$Y48,Holidays)-1)&amp;" business day(s) left).")))))</f>
        <v/>
      </c>
      <c r="V48" s="17">
        <f>IF($W48="","",CHOOSE($W48,"Collection Email","1st Follow-up","2nd Follow-up","Local Office","CBE","Roxanne")&amp;IF($W48=6," - Final"," - Day "&amp;MAX(0,NETWORKDAYS($X48,TODAY(),Holidays)-1)&amp;" of "&amp;CHOOSE($W48,3,3,2,2,3))&amp;" | Total Day "&amp;MAX(0,NETWORKDAYS($L48,TODAY(),Holidays)-1))</f>
        <v/>
      </c>
      <c r="W48" s="17">
        <f>IF($L48="","",COUNT($L48:$Q48))</f>
        <v/>
      </c>
      <c r="X48" s="18">
        <f>IF($W48="","",INT(INDEX($L48:$Q48,$W48)))</f>
        <v/>
      </c>
      <c r="Y48" s="18">
        <f>IF(OR($W48="",$W48=6),"",WORKDAY($X48,CHOOSE($W48,3,3,2,2,3),Holidays))</f>
        <v/>
      </c>
      <c r="Z48" s="17">
        <f>IF(OR($W48="",$W48=6),"",CHOOSE($W48,"1st Email Follow-up","2nd Email Follow-up","Escalate Local Office","Escalate to CBE","Escalate to Roxanne"))</f>
        <v/>
      </c>
    </row>
    <row r="49" spans="18:26">
      <c r="R49" s="15"/>
      <c r="S49" s="16"/>
      <c r="T49" s="17">
        <f>IF(AND(COUNTA($A49:$K49)=0,$L49=""),"",IF($S49="Paid","PAID",IF($S49="Closed","CLOSED",IF($W49="","",IF($W49=6,"ESCALATED TO ROXANNE",IF(TODAY()&gt;$Y49,"OVERDUE",IF($Y49&lt;=WORKDAY(TODAY(),1,Holidays),"DUE TOMORROW",IF($W49=4,"ESCALATED TO LOCAL OFFICE",IF($W49=5,"ESCALATED TO CBE",IF($X49=TODAY(),"EMAIL SENT","MONITORING"))))))))))</f>
        <v/>
      </c>
      <c r="U49" s="17">
        <f>IF($T49="",IF(AND(COUNTA($A49:$K49)&gt;0,$L49=""),"Awaiting Collection Email time stamp.",""),IF(OR($T49="PAID",$T49="CLOSED"),IF($T49="PAID","Account paid. Action completed.","Account closed. No further action required."),CHOOSE($W49,"Collection Email","1st Email Follow-up","2nd Email Follow-up","Escalation to Local Office","Escalation to CBE","Escalation to Roxanne")&amp;" sent "&amp;TEXT($X49,"dd-mmm")&amp;". "&amp;IF($W49=6,"Final escalation completed.",IF($T49="OVERDUE","Next: "&amp;$Z49&amp;" was due "&amp;TEXT($Y49,"dd-mmm")&amp;" - "&amp;(NETWORKDAYS($Y49,TODAY(),Holidays)-1)&amp;" business day(s) late. Send now.",IF($T49="DUE TOMORROW","Next: "&amp;$Z49&amp;IF($Y49&lt;=TODAY()," is due TODAY ("," is due next business day (")&amp;TEXT($Y49,"dd-mmm")&amp;").","Next: "&amp;$Z49&amp;" due "&amp;TEXT($Y49,"dd-mmm")&amp;" ("&amp;(NETWORKDAYS(TODAY(),$Y49,Holidays)-1)&amp;" business day(s) left).")))))</f>
        <v/>
      </c>
      <c r="V49" s="17">
        <f>IF($W49="","",CHOOSE($W49,"Collection Email","1st Follow-up","2nd Follow-up","Local Office","CBE","Roxanne")&amp;IF($W49=6," - Final"," - Day "&amp;MAX(0,NETWORKDAYS($X49,TODAY(),Holidays)-1)&amp;" of "&amp;CHOOSE($W49,3,3,2,2,3))&amp;" | Total Day "&amp;MAX(0,NETWORKDAYS($L49,TODAY(),Holidays)-1))</f>
        <v/>
      </c>
      <c r="W49" s="17">
        <f>IF($L49="","",COUNT($L49:$Q49))</f>
        <v/>
      </c>
      <c r="X49" s="18">
        <f>IF($W49="","",INT(INDEX($L49:$Q49,$W49)))</f>
        <v/>
      </c>
      <c r="Y49" s="18">
        <f>IF(OR($W49="",$W49=6),"",WORKDAY($X49,CHOOSE($W49,3,3,2,2,3),Holidays))</f>
        <v/>
      </c>
      <c r="Z49" s="17">
        <f>IF(OR($W49="",$W49=6),"",CHOOSE($W49,"1st Email Follow-up","2nd Email Follow-up","Escalate Local Office","Escalate to CBE","Escalate to Roxanne"))</f>
        <v/>
      </c>
    </row>
    <row r="50" spans="18:26">
      <c r="R50" s="15"/>
      <c r="S50" s="16"/>
      <c r="T50" s="17">
        <f>IF(AND(COUNTA($A50:$K50)=0,$L50=""),"",IF($S50="Paid","PAID",IF($S50="Closed","CLOSED",IF($W50="","",IF($W50=6,"ESCALATED TO ROXANNE",IF(TODAY()&gt;$Y50,"OVERDUE",IF($Y50&lt;=WORKDAY(TODAY(),1,Holidays),"DUE TOMORROW",IF($W50=4,"ESCALATED TO LOCAL OFFICE",IF($W50=5,"ESCALATED TO CBE",IF($X50=TODAY(),"EMAIL SENT","MONITORING"))))))))))</f>
        <v/>
      </c>
      <c r="U50" s="17">
        <f>IF($T50="",IF(AND(COUNTA($A50:$K50)&gt;0,$L50=""),"Awaiting Collection Email time stamp.",""),IF(OR($T50="PAID",$T50="CLOSED"),IF($T50="PAID","Account paid. Action completed.","Account closed. No further action required."),CHOOSE($W50,"Collection Email","1st Email Follow-up","2nd Email Follow-up","Escalation to Local Office","Escalation to CBE","Escalation to Roxanne")&amp;" sent "&amp;TEXT($X50,"dd-mmm")&amp;". "&amp;IF($W50=6,"Final escalation completed.",IF($T50="OVERDUE","Next: "&amp;$Z50&amp;" was due "&amp;TEXT($Y50,"dd-mmm")&amp;" - "&amp;(NETWORKDAYS($Y50,TODAY(),Holidays)-1)&amp;" business day(s) late. Send now.",IF($T50="DUE TOMORROW","Next: "&amp;$Z50&amp;IF($Y50&lt;=TODAY()," is due TODAY ("," is due next business day (")&amp;TEXT($Y50,"dd-mmm")&amp;").","Next: "&amp;$Z50&amp;" due "&amp;TEXT($Y50,"dd-mmm")&amp;" ("&amp;(NETWORKDAYS(TODAY(),$Y50,Holidays)-1)&amp;" business day(s) left).")))))</f>
        <v/>
      </c>
      <c r="V50" s="17">
        <f>IF($W50="","",CHOOSE($W50,"Collection Email","1st Follow-up","2nd Follow-up","Local Office","CBE","Roxanne")&amp;IF($W50=6," - Final"," - Day "&amp;MAX(0,NETWORKDAYS($X50,TODAY(),Holidays)-1)&amp;" of "&amp;CHOOSE($W50,3,3,2,2,3))&amp;" | Total Day "&amp;MAX(0,NETWORKDAYS($L50,TODAY(),Holidays)-1))</f>
        <v/>
      </c>
      <c r="W50" s="17">
        <f>IF($L50="","",COUNT($L50:$Q50))</f>
        <v/>
      </c>
      <c r="X50" s="18">
        <f>IF($W50="","",INT(INDEX($L50:$Q50,$W50)))</f>
        <v/>
      </c>
      <c r="Y50" s="18">
        <f>IF(OR($W50="",$W50=6),"",WORKDAY($X50,CHOOSE($W50,3,3,2,2,3),Holidays))</f>
        <v/>
      </c>
      <c r="Z50" s="17">
        <f>IF(OR($W50="",$W50=6),"",CHOOSE($W50,"1st Email Follow-up","2nd Email Follow-up","Escalate Local Office","Escalate to CBE","Escalate to Roxanne"))</f>
        <v/>
      </c>
    </row>
    <row r="51" spans="18:26">
      <c r="R51" s="15"/>
      <c r="S51" s="16"/>
      <c r="T51" s="17">
        <f>IF(AND(COUNTA($A51:$K51)=0,$L51=""),"",IF($S51="Paid","PAID",IF($S51="Closed","CLOSED",IF($W51="","",IF($W51=6,"ESCALATED TO ROXANNE",IF(TODAY()&gt;$Y51,"OVERDUE",IF($Y51&lt;=WORKDAY(TODAY(),1,Holidays),"DUE TOMORROW",IF($W51=4,"ESCALATED TO LOCAL OFFICE",IF($W51=5,"ESCALATED TO CBE",IF($X51=TODAY(),"EMAIL SENT","MONITORING"))))))))))</f>
        <v/>
      </c>
      <c r="U51" s="17">
        <f>IF($T51="",IF(AND(COUNTA($A51:$K51)&gt;0,$L51=""),"Awaiting Collection Email time stamp.",""),IF(OR($T51="PAID",$T51="CLOSED"),IF($T51="PAID","Account paid. Action completed.","Account closed. No further action required."),CHOOSE($W51,"Collection Email","1st Email Follow-up","2nd Email Follow-up","Escalation to Local Office","Escalation to CBE","Escalation to Roxanne")&amp;" sent "&amp;TEXT($X51,"dd-mmm")&amp;". "&amp;IF($W51=6,"Final escalation completed.",IF($T51="OVERDUE","Next: "&amp;$Z51&amp;" was due "&amp;TEXT($Y51,"dd-mmm")&amp;" - "&amp;(NETWORKDAYS($Y51,TODAY(),Holidays)-1)&amp;" business day(s) late. Send now.",IF($T51="DUE TOMORROW","Next: "&amp;$Z51&amp;IF($Y51&lt;=TODAY()," is due TODAY ("," is due next business day (")&amp;TEXT($Y51,"dd-mmm")&amp;").","Next: "&amp;$Z51&amp;" due "&amp;TEXT($Y51,"dd-mmm")&amp;" ("&amp;(NETWORKDAYS(TODAY(),$Y51,Holidays)-1)&amp;" business day(s) left).")))))</f>
        <v/>
      </c>
      <c r="V51" s="17">
        <f>IF($W51="","",CHOOSE($W51,"Collection Email","1st Follow-up","2nd Follow-up","Local Office","CBE","Roxanne")&amp;IF($W51=6," - Final"," - Day "&amp;MAX(0,NETWORKDAYS($X51,TODAY(),Holidays)-1)&amp;" of "&amp;CHOOSE($W51,3,3,2,2,3))&amp;" | Total Day "&amp;MAX(0,NETWORKDAYS($L51,TODAY(),Holidays)-1))</f>
        <v/>
      </c>
      <c r="W51" s="17">
        <f>IF($L51="","",COUNT($L51:$Q51))</f>
        <v/>
      </c>
      <c r="X51" s="18">
        <f>IF($W51="","",INT(INDEX($L51:$Q51,$W51)))</f>
        <v/>
      </c>
      <c r="Y51" s="18">
        <f>IF(OR($W51="",$W51=6),"",WORKDAY($X51,CHOOSE($W51,3,3,2,2,3),Holidays))</f>
        <v/>
      </c>
      <c r="Z51" s="17">
        <f>IF(OR($W51="",$W51=6),"",CHOOSE($W51,"1st Email Follow-up","2nd Email Follow-up","Escalate Local Office","Escalate to CBE","Escalate to Roxanne"))</f>
        <v/>
      </c>
    </row>
    <row r="52" spans="18:26">
      <c r="R52" s="15"/>
      <c r="S52" s="16"/>
      <c r="T52" s="17">
        <f>IF(AND(COUNTA($A52:$K52)=0,$L52=""),"",IF($S52="Paid","PAID",IF($S52="Closed","CLOSED",IF($W52="","",IF($W52=6,"ESCALATED TO ROXANNE",IF(TODAY()&gt;$Y52,"OVERDUE",IF($Y52&lt;=WORKDAY(TODAY(),1,Holidays),"DUE TOMORROW",IF($W52=4,"ESCALATED TO LOCAL OFFICE",IF($W52=5,"ESCALATED TO CBE",IF($X52=TODAY(),"EMAIL SENT","MONITORING"))))))))))</f>
        <v/>
      </c>
      <c r="U52" s="17">
        <f>IF($T52="",IF(AND(COUNTA($A52:$K52)&gt;0,$L52=""),"Awaiting Collection Email time stamp.",""),IF(OR($T52="PAID",$T52="CLOSED"),IF($T52="PAID","Account paid. Action completed.","Account closed. No further action required."),CHOOSE($W52,"Collection Email","1st Email Follow-up","2nd Email Follow-up","Escalation to Local Office","Escalation to CBE","Escalation to Roxanne")&amp;" sent "&amp;TEXT($X52,"dd-mmm")&amp;". "&amp;IF($W52=6,"Final escalation completed.",IF($T52="OVERDUE","Next: "&amp;$Z52&amp;" was due "&amp;TEXT($Y52,"dd-mmm")&amp;" - "&amp;(NETWORKDAYS($Y52,TODAY(),Holidays)-1)&amp;" business day(s) late. Send now.",IF($T52="DUE TOMORROW","Next: "&amp;$Z52&amp;IF($Y52&lt;=TODAY()," is due TODAY ("," is due next business day (")&amp;TEXT($Y52,"dd-mmm")&amp;").","Next: "&amp;$Z52&amp;" due "&amp;TEXT($Y52,"dd-mmm")&amp;" ("&amp;(NETWORKDAYS(TODAY(),$Y52,Holidays)-1)&amp;" business day(s) left).")))))</f>
        <v/>
      </c>
      <c r="V52" s="17">
        <f>IF($W52="","",CHOOSE($W52,"Collection Email","1st Follow-up","2nd Follow-up","Local Office","CBE","Roxanne")&amp;IF($W52=6," - Final"," - Day "&amp;MAX(0,NETWORKDAYS($X52,TODAY(),Holidays)-1)&amp;" of "&amp;CHOOSE($W52,3,3,2,2,3))&amp;" | Total Day "&amp;MAX(0,NETWORKDAYS($L52,TODAY(),Holidays)-1))</f>
        <v/>
      </c>
      <c r="W52" s="17">
        <f>IF($L52="","",COUNT($L52:$Q52))</f>
        <v/>
      </c>
      <c r="X52" s="18">
        <f>IF($W52="","",INT(INDEX($L52:$Q52,$W52)))</f>
        <v/>
      </c>
      <c r="Y52" s="18">
        <f>IF(OR($W52="",$W52=6),"",WORKDAY($X52,CHOOSE($W52,3,3,2,2,3),Holidays))</f>
        <v/>
      </c>
      <c r="Z52" s="17">
        <f>IF(OR($W52="",$W52=6),"",CHOOSE($W52,"1st Email Follow-up","2nd Email Follow-up","Escalate Local Office","Escalate to CBE","Escalate to Roxanne"))</f>
        <v/>
      </c>
    </row>
    <row r="53" spans="18:26">
      <c r="R53" s="15"/>
      <c r="S53" s="16"/>
      <c r="T53" s="17">
        <f>IF(AND(COUNTA($A53:$K53)=0,$L53=""),"",IF($S53="Paid","PAID",IF($S53="Closed","CLOSED",IF($W53="","",IF($W53=6,"ESCALATED TO ROXANNE",IF(TODAY()&gt;$Y53,"OVERDUE",IF($Y53&lt;=WORKDAY(TODAY(),1,Holidays),"DUE TOMORROW",IF($W53=4,"ESCALATED TO LOCAL OFFICE",IF($W53=5,"ESCALATED TO CBE",IF($X53=TODAY(),"EMAIL SENT","MONITORING"))))))))))</f>
        <v/>
      </c>
      <c r="U53" s="17">
        <f>IF($T53="",IF(AND(COUNTA($A53:$K53)&gt;0,$L53=""),"Awaiting Collection Email time stamp.",""),IF(OR($T53="PAID",$T53="CLOSED"),IF($T53="PAID","Account paid. Action completed.","Account closed. No further action required."),CHOOSE($W53,"Collection Email","1st Email Follow-up","2nd Email Follow-up","Escalation to Local Office","Escalation to CBE","Escalation to Roxanne")&amp;" sent "&amp;TEXT($X53,"dd-mmm")&amp;". "&amp;IF($W53=6,"Final escalation completed.",IF($T53="OVERDUE","Next: "&amp;$Z53&amp;" was due "&amp;TEXT($Y53,"dd-mmm")&amp;" - "&amp;(NETWORKDAYS($Y53,TODAY(),Holidays)-1)&amp;" business day(s) late. Send now.",IF($T53="DUE TOMORROW","Next: "&amp;$Z53&amp;IF($Y53&lt;=TODAY()," is due TODAY ("," is due next business day (")&amp;TEXT($Y53,"dd-mmm")&amp;").","Next: "&amp;$Z53&amp;" due "&amp;TEXT($Y53,"dd-mmm")&amp;" ("&amp;(NETWORKDAYS(TODAY(),$Y53,Holidays)-1)&amp;" business day(s) left).")))))</f>
        <v/>
      </c>
      <c r="V53" s="17">
        <f>IF($W53="","",CHOOSE($W53,"Collection Email","1st Follow-up","2nd Follow-up","Local Office","CBE","Roxanne")&amp;IF($W53=6," - Final"," - Day "&amp;MAX(0,NETWORKDAYS($X53,TODAY(),Holidays)-1)&amp;" of "&amp;CHOOSE($W53,3,3,2,2,3))&amp;" | Total Day "&amp;MAX(0,NETWORKDAYS($L53,TODAY(),Holidays)-1))</f>
        <v/>
      </c>
      <c r="W53" s="17">
        <f>IF($L53="","",COUNT($L53:$Q53))</f>
        <v/>
      </c>
      <c r="X53" s="18">
        <f>IF($W53="","",INT(INDEX($L53:$Q53,$W53)))</f>
        <v/>
      </c>
      <c r="Y53" s="18">
        <f>IF(OR($W53="",$W53=6),"",WORKDAY($X53,CHOOSE($W53,3,3,2,2,3),Holidays))</f>
        <v/>
      </c>
      <c r="Z53" s="17">
        <f>IF(OR($W53="",$W53=6),"",CHOOSE($W53,"1st Email Follow-up","2nd Email Follow-up","Escalate Local Office","Escalate to CBE","Escalate to Roxanne"))</f>
        <v/>
      </c>
    </row>
    <row r="54" spans="18:26">
      <c r="R54" s="15"/>
      <c r="S54" s="16"/>
      <c r="T54" s="17">
        <f>IF(AND(COUNTA($A54:$K54)=0,$L54=""),"",IF($S54="Paid","PAID",IF($S54="Closed","CLOSED",IF($W54="","",IF($W54=6,"ESCALATED TO ROXANNE",IF(TODAY()&gt;$Y54,"OVERDUE",IF($Y54&lt;=WORKDAY(TODAY(),1,Holidays),"DUE TOMORROW",IF($W54=4,"ESCALATED TO LOCAL OFFICE",IF($W54=5,"ESCALATED TO CBE",IF($X54=TODAY(),"EMAIL SENT","MONITORING"))))))))))</f>
        <v/>
      </c>
      <c r="U54" s="17">
        <f>IF($T54="",IF(AND(COUNTA($A54:$K54)&gt;0,$L54=""),"Awaiting Collection Email time stamp.",""),IF(OR($T54="PAID",$T54="CLOSED"),IF($T54="PAID","Account paid. Action completed.","Account closed. No further action required."),CHOOSE($W54,"Collection Email","1st Email Follow-up","2nd Email Follow-up","Escalation to Local Office","Escalation to CBE","Escalation to Roxanne")&amp;" sent "&amp;TEXT($X54,"dd-mmm")&amp;". "&amp;IF($W54=6,"Final escalation completed.",IF($T54="OVERDUE","Next: "&amp;$Z54&amp;" was due "&amp;TEXT($Y54,"dd-mmm")&amp;" - "&amp;(NETWORKDAYS($Y54,TODAY(),Holidays)-1)&amp;" business day(s) late. Send now.",IF($T54="DUE TOMORROW","Next: "&amp;$Z54&amp;IF($Y54&lt;=TODAY()," is due TODAY ("," is due next business day (")&amp;TEXT($Y54,"dd-mmm")&amp;").","Next: "&amp;$Z54&amp;" due "&amp;TEXT($Y54,"dd-mmm")&amp;" ("&amp;(NETWORKDAYS(TODAY(),$Y54,Holidays)-1)&amp;" business day(s) left).")))))</f>
        <v/>
      </c>
      <c r="V54" s="17">
        <f>IF($W54="","",CHOOSE($W54,"Collection Email","1st Follow-up","2nd Follow-up","Local Office","CBE","Roxanne")&amp;IF($W54=6," - Final"," - Day "&amp;MAX(0,NETWORKDAYS($X54,TODAY(),Holidays)-1)&amp;" of "&amp;CHOOSE($W54,3,3,2,2,3))&amp;" | Total Day "&amp;MAX(0,NETWORKDAYS($L54,TODAY(),Holidays)-1))</f>
        <v/>
      </c>
      <c r="W54" s="17">
        <f>IF($L54="","",COUNT($L54:$Q54))</f>
        <v/>
      </c>
      <c r="X54" s="18">
        <f>IF($W54="","",INT(INDEX($L54:$Q54,$W54)))</f>
        <v/>
      </c>
      <c r="Y54" s="18">
        <f>IF(OR($W54="",$W54=6),"",WORKDAY($X54,CHOOSE($W54,3,3,2,2,3),Holidays))</f>
        <v/>
      </c>
      <c r="Z54" s="17">
        <f>IF(OR($W54="",$W54=6),"",CHOOSE($W54,"1st Email Follow-up","2nd Email Follow-up","Escalate Local Office","Escalate to CBE","Escalate to Roxanne"))</f>
        <v/>
      </c>
    </row>
    <row r="55" spans="18:26">
      <c r="R55" s="15"/>
      <c r="S55" s="16"/>
      <c r="T55" s="17">
        <f>IF(AND(COUNTA($A55:$K55)=0,$L55=""),"",IF($S55="Paid","PAID",IF($S55="Closed","CLOSED",IF($W55="","",IF($W55=6,"ESCALATED TO ROXANNE",IF(TODAY()&gt;$Y55,"OVERDUE",IF($Y55&lt;=WORKDAY(TODAY(),1,Holidays),"DUE TOMORROW",IF($W55=4,"ESCALATED TO LOCAL OFFICE",IF($W55=5,"ESCALATED TO CBE",IF($X55=TODAY(),"EMAIL SENT","MONITORING"))))))))))</f>
        <v/>
      </c>
      <c r="U55" s="17">
        <f>IF($T55="",IF(AND(COUNTA($A55:$K55)&gt;0,$L55=""),"Awaiting Collection Email time stamp.",""),IF(OR($T55="PAID",$T55="CLOSED"),IF($T55="PAID","Account paid. Action completed.","Account closed. No further action required."),CHOOSE($W55,"Collection Email","1st Email Follow-up","2nd Email Follow-up","Escalation to Local Office","Escalation to CBE","Escalation to Roxanne")&amp;" sent "&amp;TEXT($X55,"dd-mmm")&amp;". "&amp;IF($W55=6,"Final escalation completed.",IF($T55="OVERDUE","Next: "&amp;$Z55&amp;" was due "&amp;TEXT($Y55,"dd-mmm")&amp;" - "&amp;(NETWORKDAYS($Y55,TODAY(),Holidays)-1)&amp;" business day(s) late. Send now.",IF($T55="DUE TOMORROW","Next: "&amp;$Z55&amp;IF($Y55&lt;=TODAY()," is due TODAY ("," is due next business day (")&amp;TEXT($Y55,"dd-mmm")&amp;").","Next: "&amp;$Z55&amp;" due "&amp;TEXT($Y55,"dd-mmm")&amp;" ("&amp;(NETWORKDAYS(TODAY(),$Y55,Holidays)-1)&amp;" business day(s) left).")))))</f>
        <v/>
      </c>
      <c r="V55" s="17">
        <f>IF($W55="","",CHOOSE($W55,"Collection Email","1st Follow-up","2nd Follow-up","Local Office","CBE","Roxanne")&amp;IF($W55=6," - Final"," - Day "&amp;MAX(0,NETWORKDAYS($X55,TODAY(),Holidays)-1)&amp;" of "&amp;CHOOSE($W55,3,3,2,2,3))&amp;" | Total Day "&amp;MAX(0,NETWORKDAYS($L55,TODAY(),Holidays)-1))</f>
        <v/>
      </c>
      <c r="W55" s="17">
        <f>IF($L55="","",COUNT($L55:$Q55))</f>
        <v/>
      </c>
      <c r="X55" s="18">
        <f>IF($W55="","",INT(INDEX($L55:$Q55,$W55)))</f>
        <v/>
      </c>
      <c r="Y55" s="18">
        <f>IF(OR($W55="",$W55=6),"",WORKDAY($X55,CHOOSE($W55,3,3,2,2,3),Holidays))</f>
        <v/>
      </c>
      <c r="Z55" s="17">
        <f>IF(OR($W55="",$W55=6),"",CHOOSE($W55,"1st Email Follow-up","2nd Email Follow-up","Escalate Local Office","Escalate to CBE","Escalate to Roxanne"))</f>
        <v/>
      </c>
    </row>
    <row r="56" spans="18:26">
      <c r="R56" s="15"/>
      <c r="S56" s="16"/>
      <c r="T56" s="17">
        <f>IF(AND(COUNTA($A56:$K56)=0,$L56=""),"",IF($S56="Paid","PAID",IF($S56="Closed","CLOSED",IF($W56="","",IF($W56=6,"ESCALATED TO ROXANNE",IF(TODAY()&gt;$Y56,"OVERDUE",IF($Y56&lt;=WORKDAY(TODAY(),1,Holidays),"DUE TOMORROW",IF($W56=4,"ESCALATED TO LOCAL OFFICE",IF($W56=5,"ESCALATED TO CBE",IF($X56=TODAY(),"EMAIL SENT","MONITORING"))))))))))</f>
        <v/>
      </c>
      <c r="U56" s="17">
        <f>IF($T56="",IF(AND(COUNTA($A56:$K56)&gt;0,$L56=""),"Awaiting Collection Email time stamp.",""),IF(OR($T56="PAID",$T56="CLOSED"),IF($T56="PAID","Account paid. Action completed.","Account closed. No further action required."),CHOOSE($W56,"Collection Email","1st Email Follow-up","2nd Email Follow-up","Escalation to Local Office","Escalation to CBE","Escalation to Roxanne")&amp;" sent "&amp;TEXT($X56,"dd-mmm")&amp;". "&amp;IF($W56=6,"Final escalation completed.",IF($T56="OVERDUE","Next: "&amp;$Z56&amp;" was due "&amp;TEXT($Y56,"dd-mmm")&amp;" - "&amp;(NETWORKDAYS($Y56,TODAY(),Holidays)-1)&amp;" business day(s) late. Send now.",IF($T56="DUE TOMORROW","Next: "&amp;$Z56&amp;IF($Y56&lt;=TODAY()," is due TODAY ("," is due next business day (")&amp;TEXT($Y56,"dd-mmm")&amp;").","Next: "&amp;$Z56&amp;" due "&amp;TEXT($Y56,"dd-mmm")&amp;" ("&amp;(NETWORKDAYS(TODAY(),$Y56,Holidays)-1)&amp;" business day(s) left).")))))</f>
        <v/>
      </c>
      <c r="V56" s="17">
        <f>IF($W56="","",CHOOSE($W56,"Collection Email","1st Follow-up","2nd Follow-up","Local Office","CBE","Roxanne")&amp;IF($W56=6," - Final"," - Day "&amp;MAX(0,NETWORKDAYS($X56,TODAY(),Holidays)-1)&amp;" of "&amp;CHOOSE($W56,3,3,2,2,3))&amp;" | Total Day "&amp;MAX(0,NETWORKDAYS($L56,TODAY(),Holidays)-1))</f>
        <v/>
      </c>
      <c r="W56" s="17">
        <f>IF($L56="","",COUNT($L56:$Q56))</f>
        <v/>
      </c>
      <c r="X56" s="18">
        <f>IF($W56="","",INT(INDEX($L56:$Q56,$W56)))</f>
        <v/>
      </c>
      <c r="Y56" s="18">
        <f>IF(OR($W56="",$W56=6),"",WORKDAY($X56,CHOOSE($W56,3,3,2,2,3),Holidays))</f>
        <v/>
      </c>
      <c r="Z56" s="17">
        <f>IF(OR($W56="",$W56=6),"",CHOOSE($W56,"1st Email Follow-up","2nd Email Follow-up","Escalate Local Office","Escalate to CBE","Escalate to Roxanne"))</f>
        <v/>
      </c>
    </row>
    <row r="57" spans="18:26">
      <c r="R57" s="15"/>
      <c r="S57" s="16"/>
      <c r="T57" s="17">
        <f>IF(AND(COUNTA($A57:$K57)=0,$L57=""),"",IF($S57="Paid","PAID",IF($S57="Closed","CLOSED",IF($W57="","",IF($W57=6,"ESCALATED TO ROXANNE",IF(TODAY()&gt;$Y57,"OVERDUE",IF($Y57&lt;=WORKDAY(TODAY(),1,Holidays),"DUE TOMORROW",IF($W57=4,"ESCALATED TO LOCAL OFFICE",IF($W57=5,"ESCALATED TO CBE",IF($X57=TODAY(),"EMAIL SENT","MONITORING"))))))))))</f>
        <v/>
      </c>
      <c r="U57" s="17">
        <f>IF($T57="",IF(AND(COUNTA($A57:$K57)&gt;0,$L57=""),"Awaiting Collection Email time stamp.",""),IF(OR($T57="PAID",$T57="CLOSED"),IF($T57="PAID","Account paid. Action completed.","Account closed. No further action required."),CHOOSE($W57,"Collection Email","1st Email Follow-up","2nd Email Follow-up","Escalation to Local Office","Escalation to CBE","Escalation to Roxanne")&amp;" sent "&amp;TEXT($X57,"dd-mmm")&amp;". "&amp;IF($W57=6,"Final escalation completed.",IF($T57="OVERDUE","Next: "&amp;$Z57&amp;" was due "&amp;TEXT($Y57,"dd-mmm")&amp;" - "&amp;(NETWORKDAYS($Y57,TODAY(),Holidays)-1)&amp;" business day(s) late. Send now.",IF($T57="DUE TOMORROW","Next: "&amp;$Z57&amp;IF($Y57&lt;=TODAY()," is due TODAY ("," is due next business day (")&amp;TEXT($Y57,"dd-mmm")&amp;").","Next: "&amp;$Z57&amp;" due "&amp;TEXT($Y57,"dd-mmm")&amp;" ("&amp;(NETWORKDAYS(TODAY(),$Y57,Holidays)-1)&amp;" business day(s) left).")))))</f>
        <v/>
      </c>
      <c r="V57" s="17">
        <f>IF($W57="","",CHOOSE($W57,"Collection Email","1st Follow-up","2nd Follow-up","Local Office","CBE","Roxanne")&amp;IF($W57=6," - Final"," - Day "&amp;MAX(0,NETWORKDAYS($X57,TODAY(),Holidays)-1)&amp;" of "&amp;CHOOSE($W57,3,3,2,2,3))&amp;" | Total Day "&amp;MAX(0,NETWORKDAYS($L57,TODAY(),Holidays)-1))</f>
        <v/>
      </c>
      <c r="W57" s="17">
        <f>IF($L57="","",COUNT($L57:$Q57))</f>
        <v/>
      </c>
      <c r="X57" s="18">
        <f>IF($W57="","",INT(INDEX($L57:$Q57,$W57)))</f>
        <v/>
      </c>
      <c r="Y57" s="18">
        <f>IF(OR($W57="",$W57=6),"",WORKDAY($X57,CHOOSE($W57,3,3,2,2,3),Holidays))</f>
        <v/>
      </c>
      <c r="Z57" s="17">
        <f>IF(OR($W57="",$W57=6),"",CHOOSE($W57,"1st Email Follow-up","2nd Email Follow-up","Escalate Local Office","Escalate to CBE","Escalate to Roxanne"))</f>
        <v/>
      </c>
    </row>
    <row r="58" spans="18:26">
      <c r="R58" s="15"/>
      <c r="S58" s="16"/>
      <c r="T58" s="17">
        <f>IF(AND(COUNTA($A58:$K58)=0,$L58=""),"",IF($S58="Paid","PAID",IF($S58="Closed","CLOSED",IF($W58="","",IF($W58=6,"ESCALATED TO ROXANNE",IF(TODAY()&gt;$Y58,"OVERDUE",IF($Y58&lt;=WORKDAY(TODAY(),1,Holidays),"DUE TOMORROW",IF($W58=4,"ESCALATED TO LOCAL OFFICE",IF($W58=5,"ESCALATED TO CBE",IF($X58=TODAY(),"EMAIL SENT","MONITORING"))))))))))</f>
        <v/>
      </c>
      <c r="U58" s="17">
        <f>IF($T58="",IF(AND(COUNTA($A58:$K58)&gt;0,$L58=""),"Awaiting Collection Email time stamp.",""),IF(OR($T58="PAID",$T58="CLOSED"),IF($T58="PAID","Account paid. Action completed.","Account closed. No further action required."),CHOOSE($W58,"Collection Email","1st Email Follow-up","2nd Email Follow-up","Escalation to Local Office","Escalation to CBE","Escalation to Roxanne")&amp;" sent "&amp;TEXT($X58,"dd-mmm")&amp;". "&amp;IF($W58=6,"Final escalation completed.",IF($T58="OVERDUE","Next: "&amp;$Z58&amp;" was due "&amp;TEXT($Y58,"dd-mmm")&amp;" - "&amp;(NETWORKDAYS($Y58,TODAY(),Holidays)-1)&amp;" business day(s) late. Send now.",IF($T58="DUE TOMORROW","Next: "&amp;$Z58&amp;IF($Y58&lt;=TODAY()," is due TODAY ("," is due next business day (")&amp;TEXT($Y58,"dd-mmm")&amp;").","Next: "&amp;$Z58&amp;" due "&amp;TEXT($Y58,"dd-mmm")&amp;" ("&amp;(NETWORKDAYS(TODAY(),$Y58,Holidays)-1)&amp;" business day(s) left).")))))</f>
        <v/>
      </c>
      <c r="V58" s="17">
        <f>IF($W58="","",CHOOSE($W58,"Collection Email","1st Follow-up","2nd Follow-up","Local Office","CBE","Roxanne")&amp;IF($W58=6," - Final"," - Day "&amp;MAX(0,NETWORKDAYS($X58,TODAY(),Holidays)-1)&amp;" of "&amp;CHOOSE($W58,3,3,2,2,3))&amp;" | Total Day "&amp;MAX(0,NETWORKDAYS($L58,TODAY(),Holidays)-1))</f>
        <v/>
      </c>
      <c r="W58" s="17">
        <f>IF($L58="","",COUNT($L58:$Q58))</f>
        <v/>
      </c>
      <c r="X58" s="18">
        <f>IF($W58="","",INT(INDEX($L58:$Q58,$W58)))</f>
        <v/>
      </c>
      <c r="Y58" s="18">
        <f>IF(OR($W58="",$W58=6),"",WORKDAY($X58,CHOOSE($W58,3,3,2,2,3),Holidays))</f>
        <v/>
      </c>
      <c r="Z58" s="17">
        <f>IF(OR($W58="",$W58=6),"",CHOOSE($W58,"1st Email Follow-up","2nd Email Follow-up","Escalate Local Office","Escalate to CBE","Escalate to Roxanne"))</f>
        <v/>
      </c>
    </row>
    <row r="59" spans="18:26">
      <c r="R59" s="15"/>
      <c r="S59" s="16"/>
      <c r="T59" s="17">
        <f>IF(AND(COUNTA($A59:$K59)=0,$L59=""),"",IF($S59="Paid","PAID",IF($S59="Closed","CLOSED",IF($W59="","",IF($W59=6,"ESCALATED TO ROXANNE",IF(TODAY()&gt;$Y59,"OVERDUE",IF($Y59&lt;=WORKDAY(TODAY(),1,Holidays),"DUE TOMORROW",IF($W59=4,"ESCALATED TO LOCAL OFFICE",IF($W59=5,"ESCALATED TO CBE",IF($X59=TODAY(),"EMAIL SENT","MONITORING"))))))))))</f>
        <v/>
      </c>
      <c r="U59" s="17">
        <f>IF($T59="",IF(AND(COUNTA($A59:$K59)&gt;0,$L59=""),"Awaiting Collection Email time stamp.",""),IF(OR($T59="PAID",$T59="CLOSED"),IF($T59="PAID","Account paid. Action completed.","Account closed. No further action required."),CHOOSE($W59,"Collection Email","1st Email Follow-up","2nd Email Follow-up","Escalation to Local Office","Escalation to CBE","Escalation to Roxanne")&amp;" sent "&amp;TEXT($X59,"dd-mmm")&amp;". "&amp;IF($W59=6,"Final escalation completed.",IF($T59="OVERDUE","Next: "&amp;$Z59&amp;" was due "&amp;TEXT($Y59,"dd-mmm")&amp;" - "&amp;(NETWORKDAYS($Y59,TODAY(),Holidays)-1)&amp;" business day(s) late. Send now.",IF($T59="DUE TOMORROW","Next: "&amp;$Z59&amp;IF($Y59&lt;=TODAY()," is due TODAY ("," is due next business day (")&amp;TEXT($Y59,"dd-mmm")&amp;").","Next: "&amp;$Z59&amp;" due "&amp;TEXT($Y59,"dd-mmm")&amp;" ("&amp;(NETWORKDAYS(TODAY(),$Y59,Holidays)-1)&amp;" business day(s) left).")))))</f>
        <v/>
      </c>
      <c r="V59" s="17">
        <f>IF($W59="","",CHOOSE($W59,"Collection Email","1st Follow-up","2nd Follow-up","Local Office","CBE","Roxanne")&amp;IF($W59=6," - Final"," - Day "&amp;MAX(0,NETWORKDAYS($X59,TODAY(),Holidays)-1)&amp;" of "&amp;CHOOSE($W59,3,3,2,2,3))&amp;" | Total Day "&amp;MAX(0,NETWORKDAYS($L59,TODAY(),Holidays)-1))</f>
        <v/>
      </c>
      <c r="W59" s="17">
        <f>IF($L59="","",COUNT($L59:$Q59))</f>
        <v/>
      </c>
      <c r="X59" s="18">
        <f>IF($W59="","",INT(INDEX($L59:$Q59,$W59)))</f>
        <v/>
      </c>
      <c r="Y59" s="18">
        <f>IF(OR($W59="",$W59=6),"",WORKDAY($X59,CHOOSE($W59,3,3,2,2,3),Holidays))</f>
        <v/>
      </c>
      <c r="Z59" s="17">
        <f>IF(OR($W59="",$W59=6),"",CHOOSE($W59,"1st Email Follow-up","2nd Email Follow-up","Escalate Local Office","Escalate to CBE","Escalate to Roxanne"))</f>
        <v/>
      </c>
    </row>
    <row r="60" spans="18:26">
      <c r="R60" s="15"/>
      <c r="S60" s="16"/>
      <c r="T60" s="17">
        <f>IF(AND(COUNTA($A60:$K60)=0,$L60=""),"",IF($S60="Paid","PAID",IF($S60="Closed","CLOSED",IF($W60="","",IF($W60=6,"ESCALATED TO ROXANNE",IF(TODAY()&gt;$Y60,"OVERDUE",IF($Y60&lt;=WORKDAY(TODAY(),1,Holidays),"DUE TOMORROW",IF($W60=4,"ESCALATED TO LOCAL OFFICE",IF($W60=5,"ESCALATED TO CBE",IF($X60=TODAY(),"EMAIL SENT","MONITORING"))))))))))</f>
        <v/>
      </c>
      <c r="U60" s="17">
        <f>IF($T60="",IF(AND(COUNTA($A60:$K60)&gt;0,$L60=""),"Awaiting Collection Email time stamp.",""),IF(OR($T60="PAID",$T60="CLOSED"),IF($T60="PAID","Account paid. Action completed.","Account closed. No further action required."),CHOOSE($W60,"Collection Email","1st Email Follow-up","2nd Email Follow-up","Escalation to Local Office","Escalation to CBE","Escalation to Roxanne")&amp;" sent "&amp;TEXT($X60,"dd-mmm")&amp;". "&amp;IF($W60=6,"Final escalation completed.",IF($T60="OVERDUE","Next: "&amp;$Z60&amp;" was due "&amp;TEXT($Y60,"dd-mmm")&amp;" - "&amp;(NETWORKDAYS($Y60,TODAY(),Holidays)-1)&amp;" business day(s) late. Send now.",IF($T60="DUE TOMORROW","Next: "&amp;$Z60&amp;IF($Y60&lt;=TODAY()," is due TODAY ("," is due next business day (")&amp;TEXT($Y60,"dd-mmm")&amp;").","Next: "&amp;$Z60&amp;" due "&amp;TEXT($Y60,"dd-mmm")&amp;" ("&amp;(NETWORKDAYS(TODAY(),$Y60,Holidays)-1)&amp;" business day(s) left).")))))</f>
        <v/>
      </c>
      <c r="V60" s="17">
        <f>IF($W60="","",CHOOSE($W60,"Collection Email","1st Follow-up","2nd Follow-up","Local Office","CBE","Roxanne")&amp;IF($W60=6," - Final"," - Day "&amp;MAX(0,NETWORKDAYS($X60,TODAY(),Holidays)-1)&amp;" of "&amp;CHOOSE($W60,3,3,2,2,3))&amp;" | Total Day "&amp;MAX(0,NETWORKDAYS($L60,TODAY(),Holidays)-1))</f>
        <v/>
      </c>
      <c r="W60" s="17">
        <f>IF($L60="","",COUNT($L60:$Q60))</f>
        <v/>
      </c>
      <c r="X60" s="18">
        <f>IF($W60="","",INT(INDEX($L60:$Q60,$W60)))</f>
        <v/>
      </c>
      <c r="Y60" s="18">
        <f>IF(OR($W60="",$W60=6),"",WORKDAY($X60,CHOOSE($W60,3,3,2,2,3),Holidays))</f>
        <v/>
      </c>
      <c r="Z60" s="17">
        <f>IF(OR($W60="",$W60=6),"",CHOOSE($W60,"1st Email Follow-up","2nd Email Follow-up","Escalate Local Office","Escalate to CBE","Escalate to Roxanne"))</f>
        <v/>
      </c>
    </row>
    <row r="61" spans="18:26">
      <c r="R61" s="15"/>
      <c r="S61" s="16"/>
      <c r="T61" s="17">
        <f>IF(AND(COUNTA($A61:$K61)=0,$L61=""),"",IF($S61="Paid","PAID",IF($S61="Closed","CLOSED",IF($W61="","",IF($W61=6,"ESCALATED TO ROXANNE",IF(TODAY()&gt;$Y61,"OVERDUE",IF($Y61&lt;=WORKDAY(TODAY(),1,Holidays),"DUE TOMORROW",IF($W61=4,"ESCALATED TO LOCAL OFFICE",IF($W61=5,"ESCALATED TO CBE",IF($X61=TODAY(),"EMAIL SENT","MONITORING"))))))))))</f>
        <v/>
      </c>
      <c r="U61" s="17">
        <f>IF($T61="",IF(AND(COUNTA($A61:$K61)&gt;0,$L61=""),"Awaiting Collection Email time stamp.",""),IF(OR($T61="PAID",$T61="CLOSED"),IF($T61="PAID","Account paid. Action completed.","Account closed. No further action required."),CHOOSE($W61,"Collection Email","1st Email Follow-up","2nd Email Follow-up","Escalation to Local Office","Escalation to CBE","Escalation to Roxanne")&amp;" sent "&amp;TEXT($X61,"dd-mmm")&amp;". "&amp;IF($W61=6,"Final escalation completed.",IF($T61="OVERDUE","Next: "&amp;$Z61&amp;" was due "&amp;TEXT($Y61,"dd-mmm")&amp;" - "&amp;(NETWORKDAYS($Y61,TODAY(),Holidays)-1)&amp;" business day(s) late. Send now.",IF($T61="DUE TOMORROW","Next: "&amp;$Z61&amp;IF($Y61&lt;=TODAY()," is due TODAY ("," is due next business day (")&amp;TEXT($Y61,"dd-mmm")&amp;").","Next: "&amp;$Z61&amp;" due "&amp;TEXT($Y61,"dd-mmm")&amp;" ("&amp;(NETWORKDAYS(TODAY(),$Y61,Holidays)-1)&amp;" business day(s) left).")))))</f>
        <v/>
      </c>
      <c r="V61" s="17">
        <f>IF($W61="","",CHOOSE($W61,"Collection Email","1st Follow-up","2nd Follow-up","Local Office","CBE","Roxanne")&amp;IF($W61=6," - Final"," - Day "&amp;MAX(0,NETWORKDAYS($X61,TODAY(),Holidays)-1)&amp;" of "&amp;CHOOSE($W61,3,3,2,2,3))&amp;" | Total Day "&amp;MAX(0,NETWORKDAYS($L61,TODAY(),Holidays)-1))</f>
        <v/>
      </c>
      <c r="W61" s="17">
        <f>IF($L61="","",COUNT($L61:$Q61))</f>
        <v/>
      </c>
      <c r="X61" s="18">
        <f>IF($W61="","",INT(INDEX($L61:$Q61,$W61)))</f>
        <v/>
      </c>
      <c r="Y61" s="18">
        <f>IF(OR($W61="",$W61=6),"",WORKDAY($X61,CHOOSE($W61,3,3,2,2,3),Holidays))</f>
        <v/>
      </c>
      <c r="Z61" s="17">
        <f>IF(OR($W61="",$W61=6),"",CHOOSE($W61,"1st Email Follow-up","2nd Email Follow-up","Escalate Local Office","Escalate to CBE","Escalate to Roxanne"))</f>
        <v/>
      </c>
    </row>
    <row r="62" spans="18:26">
      <c r="R62" s="15"/>
      <c r="S62" s="16"/>
      <c r="T62" s="17">
        <f>IF(AND(COUNTA($A62:$K62)=0,$L62=""),"",IF($S62="Paid","PAID",IF($S62="Closed","CLOSED",IF($W62="","",IF($W62=6,"ESCALATED TO ROXANNE",IF(TODAY()&gt;$Y62,"OVERDUE",IF($Y62&lt;=WORKDAY(TODAY(),1,Holidays),"DUE TOMORROW",IF($W62=4,"ESCALATED TO LOCAL OFFICE",IF($W62=5,"ESCALATED TO CBE",IF($X62=TODAY(),"EMAIL SENT","MONITORING"))))))))))</f>
        <v/>
      </c>
      <c r="U62" s="17">
        <f>IF($T62="",IF(AND(COUNTA($A62:$K62)&gt;0,$L62=""),"Awaiting Collection Email time stamp.",""),IF(OR($T62="PAID",$T62="CLOSED"),IF($T62="PAID","Account paid. Action completed.","Account closed. No further action required."),CHOOSE($W62,"Collection Email","1st Email Follow-up","2nd Email Follow-up","Escalation to Local Office","Escalation to CBE","Escalation to Roxanne")&amp;" sent "&amp;TEXT($X62,"dd-mmm")&amp;". "&amp;IF($W62=6,"Final escalation completed.",IF($T62="OVERDUE","Next: "&amp;$Z62&amp;" was due "&amp;TEXT($Y62,"dd-mmm")&amp;" - "&amp;(NETWORKDAYS($Y62,TODAY(),Holidays)-1)&amp;" business day(s) late. Send now.",IF($T62="DUE TOMORROW","Next: "&amp;$Z62&amp;IF($Y62&lt;=TODAY()," is due TODAY ("," is due next business day (")&amp;TEXT($Y62,"dd-mmm")&amp;").","Next: "&amp;$Z62&amp;" due "&amp;TEXT($Y62,"dd-mmm")&amp;" ("&amp;(NETWORKDAYS(TODAY(),$Y62,Holidays)-1)&amp;" business day(s) left).")))))</f>
        <v/>
      </c>
      <c r="V62" s="17">
        <f>IF($W62="","",CHOOSE($W62,"Collection Email","1st Follow-up","2nd Follow-up","Local Office","CBE","Roxanne")&amp;IF($W62=6," - Final"," - Day "&amp;MAX(0,NETWORKDAYS($X62,TODAY(),Holidays)-1)&amp;" of "&amp;CHOOSE($W62,3,3,2,2,3))&amp;" | Total Day "&amp;MAX(0,NETWORKDAYS($L62,TODAY(),Holidays)-1))</f>
        <v/>
      </c>
      <c r="W62" s="17">
        <f>IF($L62="","",COUNT($L62:$Q62))</f>
        <v/>
      </c>
      <c r="X62" s="18">
        <f>IF($W62="","",INT(INDEX($L62:$Q62,$W62)))</f>
        <v/>
      </c>
      <c r="Y62" s="18">
        <f>IF(OR($W62="",$W62=6),"",WORKDAY($X62,CHOOSE($W62,3,3,2,2,3),Holidays))</f>
        <v/>
      </c>
      <c r="Z62" s="17">
        <f>IF(OR($W62="",$W62=6),"",CHOOSE($W62,"1st Email Follow-up","2nd Email Follow-up","Escalate Local Office","Escalate to CBE","Escalate to Roxanne"))</f>
        <v/>
      </c>
    </row>
    <row r="63" spans="18:26">
      <c r="R63" s="15"/>
      <c r="S63" s="16"/>
      <c r="T63" s="17">
        <f>IF(AND(COUNTA($A63:$K63)=0,$L63=""),"",IF($S63="Paid","PAID",IF($S63="Closed","CLOSED",IF($W63="","",IF($W63=6,"ESCALATED TO ROXANNE",IF(TODAY()&gt;$Y63,"OVERDUE",IF($Y63&lt;=WORKDAY(TODAY(),1,Holidays),"DUE TOMORROW",IF($W63=4,"ESCALATED TO LOCAL OFFICE",IF($W63=5,"ESCALATED TO CBE",IF($X63=TODAY(),"EMAIL SENT","MONITORING"))))))))))</f>
        <v/>
      </c>
      <c r="U63" s="17">
        <f>IF($T63="",IF(AND(COUNTA($A63:$K63)&gt;0,$L63=""),"Awaiting Collection Email time stamp.",""),IF(OR($T63="PAID",$T63="CLOSED"),IF($T63="PAID","Account paid. Action completed.","Account closed. No further action required."),CHOOSE($W63,"Collection Email","1st Email Follow-up","2nd Email Follow-up","Escalation to Local Office","Escalation to CBE","Escalation to Roxanne")&amp;" sent "&amp;TEXT($X63,"dd-mmm")&amp;". "&amp;IF($W63=6,"Final escalation completed.",IF($T63="OVERDUE","Next: "&amp;$Z63&amp;" was due "&amp;TEXT($Y63,"dd-mmm")&amp;" - "&amp;(NETWORKDAYS($Y63,TODAY(),Holidays)-1)&amp;" business day(s) late. Send now.",IF($T63="DUE TOMORROW","Next: "&amp;$Z63&amp;IF($Y63&lt;=TODAY()," is due TODAY ("," is due next business day (")&amp;TEXT($Y63,"dd-mmm")&amp;").","Next: "&amp;$Z63&amp;" due "&amp;TEXT($Y63,"dd-mmm")&amp;" ("&amp;(NETWORKDAYS(TODAY(),$Y63,Holidays)-1)&amp;" business day(s) left).")))))</f>
        <v/>
      </c>
      <c r="V63" s="17">
        <f>IF($W63="","",CHOOSE($W63,"Collection Email","1st Follow-up","2nd Follow-up","Local Office","CBE","Roxanne")&amp;IF($W63=6," - Final"," - Day "&amp;MAX(0,NETWORKDAYS($X63,TODAY(),Holidays)-1)&amp;" of "&amp;CHOOSE($W63,3,3,2,2,3))&amp;" | Total Day "&amp;MAX(0,NETWORKDAYS($L63,TODAY(),Holidays)-1))</f>
        <v/>
      </c>
      <c r="W63" s="17">
        <f>IF($L63="","",COUNT($L63:$Q63))</f>
        <v/>
      </c>
      <c r="X63" s="18">
        <f>IF($W63="","",INT(INDEX($L63:$Q63,$W63)))</f>
        <v/>
      </c>
      <c r="Y63" s="18">
        <f>IF(OR($W63="",$W63=6),"",WORKDAY($X63,CHOOSE($W63,3,3,2,2,3),Holidays))</f>
        <v/>
      </c>
      <c r="Z63" s="17">
        <f>IF(OR($W63="",$W63=6),"",CHOOSE($W63,"1st Email Follow-up","2nd Email Follow-up","Escalate Local Office","Escalate to CBE","Escalate to Roxanne"))</f>
        <v/>
      </c>
    </row>
    <row r="64" spans="18:26">
      <c r="R64" s="15"/>
      <c r="S64" s="16"/>
      <c r="T64" s="17">
        <f>IF(AND(COUNTA($A64:$K64)=0,$L64=""),"",IF($S64="Paid","PAID",IF($S64="Closed","CLOSED",IF($W64="","",IF($W64=6,"ESCALATED TO ROXANNE",IF(TODAY()&gt;$Y64,"OVERDUE",IF($Y64&lt;=WORKDAY(TODAY(),1,Holidays),"DUE TOMORROW",IF($W64=4,"ESCALATED TO LOCAL OFFICE",IF($W64=5,"ESCALATED TO CBE",IF($X64=TODAY(),"EMAIL SENT","MONITORING"))))))))))</f>
        <v/>
      </c>
      <c r="U64" s="17">
        <f>IF($T64="",IF(AND(COUNTA($A64:$K64)&gt;0,$L64=""),"Awaiting Collection Email time stamp.",""),IF(OR($T64="PAID",$T64="CLOSED"),IF($T64="PAID","Account paid. Action completed.","Account closed. No further action required."),CHOOSE($W64,"Collection Email","1st Email Follow-up","2nd Email Follow-up","Escalation to Local Office","Escalation to CBE","Escalation to Roxanne")&amp;" sent "&amp;TEXT($X64,"dd-mmm")&amp;". "&amp;IF($W64=6,"Final escalation completed.",IF($T64="OVERDUE","Next: "&amp;$Z64&amp;" was due "&amp;TEXT($Y64,"dd-mmm")&amp;" - "&amp;(NETWORKDAYS($Y64,TODAY(),Holidays)-1)&amp;" business day(s) late. Send now.",IF($T64="DUE TOMORROW","Next: "&amp;$Z64&amp;IF($Y64&lt;=TODAY()," is due TODAY ("," is due next business day (")&amp;TEXT($Y64,"dd-mmm")&amp;").","Next: "&amp;$Z64&amp;" due "&amp;TEXT($Y64,"dd-mmm")&amp;" ("&amp;(NETWORKDAYS(TODAY(),$Y64,Holidays)-1)&amp;" business day(s) left).")))))</f>
        <v/>
      </c>
      <c r="V64" s="17">
        <f>IF($W64="","",CHOOSE($W64,"Collection Email","1st Follow-up","2nd Follow-up","Local Office","CBE","Roxanne")&amp;IF($W64=6," - Final"," - Day "&amp;MAX(0,NETWORKDAYS($X64,TODAY(),Holidays)-1)&amp;" of "&amp;CHOOSE($W64,3,3,2,2,3))&amp;" | Total Day "&amp;MAX(0,NETWORKDAYS($L64,TODAY(),Holidays)-1))</f>
        <v/>
      </c>
      <c r="W64" s="17">
        <f>IF($L64="","",COUNT($L64:$Q64))</f>
        <v/>
      </c>
      <c r="X64" s="18">
        <f>IF($W64="","",INT(INDEX($L64:$Q64,$W64)))</f>
        <v/>
      </c>
      <c r="Y64" s="18">
        <f>IF(OR($W64="",$W64=6),"",WORKDAY($X64,CHOOSE($W64,3,3,2,2,3),Holidays))</f>
        <v/>
      </c>
      <c r="Z64" s="17">
        <f>IF(OR($W64="",$W64=6),"",CHOOSE($W64,"1st Email Follow-up","2nd Email Follow-up","Escalate Local Office","Escalate to CBE","Escalate to Roxanne"))</f>
        <v/>
      </c>
    </row>
    <row r="65" spans="18:26">
      <c r="R65" s="15"/>
      <c r="S65" s="16"/>
      <c r="T65" s="17">
        <f>IF(AND(COUNTA($A65:$K65)=0,$L65=""),"",IF($S65="Paid","PAID",IF($S65="Closed","CLOSED",IF($W65="","",IF($W65=6,"ESCALATED TO ROXANNE",IF(TODAY()&gt;$Y65,"OVERDUE",IF($Y65&lt;=WORKDAY(TODAY(),1,Holidays),"DUE TOMORROW",IF($W65=4,"ESCALATED TO LOCAL OFFICE",IF($W65=5,"ESCALATED TO CBE",IF($X65=TODAY(),"EMAIL SENT","MONITORING"))))))))))</f>
        <v/>
      </c>
      <c r="U65" s="17">
        <f>IF($T65="",IF(AND(COUNTA($A65:$K65)&gt;0,$L65=""),"Awaiting Collection Email time stamp.",""),IF(OR($T65="PAID",$T65="CLOSED"),IF($T65="PAID","Account paid. Action completed.","Account closed. No further action required."),CHOOSE($W65,"Collection Email","1st Email Follow-up","2nd Email Follow-up","Escalation to Local Office","Escalation to CBE","Escalation to Roxanne")&amp;" sent "&amp;TEXT($X65,"dd-mmm")&amp;". "&amp;IF($W65=6,"Final escalation completed.",IF($T65="OVERDUE","Next: "&amp;$Z65&amp;" was due "&amp;TEXT($Y65,"dd-mmm")&amp;" - "&amp;(NETWORKDAYS($Y65,TODAY(),Holidays)-1)&amp;" business day(s) late. Send now.",IF($T65="DUE TOMORROW","Next: "&amp;$Z65&amp;IF($Y65&lt;=TODAY()," is due TODAY ("," is due next business day (")&amp;TEXT($Y65,"dd-mmm")&amp;").","Next: "&amp;$Z65&amp;" due "&amp;TEXT($Y65,"dd-mmm")&amp;" ("&amp;(NETWORKDAYS(TODAY(),$Y65,Holidays)-1)&amp;" business day(s) left).")))))</f>
        <v/>
      </c>
      <c r="V65" s="17">
        <f>IF($W65="","",CHOOSE($W65,"Collection Email","1st Follow-up","2nd Follow-up","Local Office","CBE","Roxanne")&amp;IF($W65=6," - Final"," - Day "&amp;MAX(0,NETWORKDAYS($X65,TODAY(),Holidays)-1)&amp;" of "&amp;CHOOSE($W65,3,3,2,2,3))&amp;" | Total Day "&amp;MAX(0,NETWORKDAYS($L65,TODAY(),Holidays)-1))</f>
        <v/>
      </c>
      <c r="W65" s="17">
        <f>IF($L65="","",COUNT($L65:$Q65))</f>
        <v/>
      </c>
      <c r="X65" s="18">
        <f>IF($W65="","",INT(INDEX($L65:$Q65,$W65)))</f>
        <v/>
      </c>
      <c r="Y65" s="18">
        <f>IF(OR($W65="",$W65=6),"",WORKDAY($X65,CHOOSE($W65,3,3,2,2,3),Holidays))</f>
        <v/>
      </c>
      <c r="Z65" s="17">
        <f>IF(OR($W65="",$W65=6),"",CHOOSE($W65,"1st Email Follow-up","2nd Email Follow-up","Escalate Local Office","Escalate to CBE","Escalate to Roxanne"))</f>
        <v/>
      </c>
    </row>
    <row r="66" spans="18:26">
      <c r="R66" s="15"/>
      <c r="S66" s="16"/>
      <c r="T66" s="17">
        <f>IF(AND(COUNTA($A66:$K66)=0,$L66=""),"",IF($S66="Paid","PAID",IF($S66="Closed","CLOSED",IF($W66="","",IF($W66=6,"ESCALATED TO ROXANNE",IF(TODAY()&gt;$Y66,"OVERDUE",IF($Y66&lt;=WORKDAY(TODAY(),1,Holidays),"DUE TOMORROW",IF($W66=4,"ESCALATED TO LOCAL OFFICE",IF($W66=5,"ESCALATED TO CBE",IF($X66=TODAY(),"EMAIL SENT","MONITORING"))))))))))</f>
        <v/>
      </c>
      <c r="U66" s="17">
        <f>IF($T66="",IF(AND(COUNTA($A66:$K66)&gt;0,$L66=""),"Awaiting Collection Email time stamp.",""),IF(OR($T66="PAID",$T66="CLOSED"),IF($T66="PAID","Account paid. Action completed.","Account closed. No further action required."),CHOOSE($W66,"Collection Email","1st Email Follow-up","2nd Email Follow-up","Escalation to Local Office","Escalation to CBE","Escalation to Roxanne")&amp;" sent "&amp;TEXT($X66,"dd-mmm")&amp;". "&amp;IF($W66=6,"Final escalation completed.",IF($T66="OVERDUE","Next: "&amp;$Z66&amp;" was due "&amp;TEXT($Y66,"dd-mmm")&amp;" - "&amp;(NETWORKDAYS($Y66,TODAY(),Holidays)-1)&amp;" business day(s) late. Send now.",IF($T66="DUE TOMORROW","Next: "&amp;$Z66&amp;IF($Y66&lt;=TODAY()," is due TODAY ("," is due next business day (")&amp;TEXT($Y66,"dd-mmm")&amp;").","Next: "&amp;$Z66&amp;" due "&amp;TEXT($Y66,"dd-mmm")&amp;" ("&amp;(NETWORKDAYS(TODAY(),$Y66,Holidays)-1)&amp;" business day(s) left).")))))</f>
        <v/>
      </c>
      <c r="V66" s="17">
        <f>IF($W66="","",CHOOSE($W66,"Collection Email","1st Follow-up","2nd Follow-up","Local Office","CBE","Roxanne")&amp;IF($W66=6," - Final"," - Day "&amp;MAX(0,NETWORKDAYS($X66,TODAY(),Holidays)-1)&amp;" of "&amp;CHOOSE($W66,3,3,2,2,3))&amp;" | Total Day "&amp;MAX(0,NETWORKDAYS($L66,TODAY(),Holidays)-1))</f>
        <v/>
      </c>
      <c r="W66" s="17">
        <f>IF($L66="","",COUNT($L66:$Q66))</f>
        <v/>
      </c>
      <c r="X66" s="18">
        <f>IF($W66="","",INT(INDEX($L66:$Q66,$W66)))</f>
        <v/>
      </c>
      <c r="Y66" s="18">
        <f>IF(OR($W66="",$W66=6),"",WORKDAY($X66,CHOOSE($W66,3,3,2,2,3),Holidays))</f>
        <v/>
      </c>
      <c r="Z66" s="17">
        <f>IF(OR($W66="",$W66=6),"",CHOOSE($W66,"1st Email Follow-up","2nd Email Follow-up","Escalate Local Office","Escalate to CBE","Escalate to Roxanne"))</f>
        <v/>
      </c>
    </row>
    <row r="67" spans="18:26">
      <c r="R67" s="15"/>
      <c r="S67" s="16"/>
      <c r="T67" s="17">
        <f>IF(AND(COUNTA($A67:$K67)=0,$L67=""),"",IF($S67="Paid","PAID",IF($S67="Closed","CLOSED",IF($W67="","",IF($W67=6,"ESCALATED TO ROXANNE",IF(TODAY()&gt;$Y67,"OVERDUE",IF($Y67&lt;=WORKDAY(TODAY(),1,Holidays),"DUE TOMORROW",IF($W67=4,"ESCALATED TO LOCAL OFFICE",IF($W67=5,"ESCALATED TO CBE",IF($X67=TODAY(),"EMAIL SENT","MONITORING"))))))))))</f>
        <v/>
      </c>
      <c r="U67" s="17">
        <f>IF($T67="",IF(AND(COUNTA($A67:$K67)&gt;0,$L67=""),"Awaiting Collection Email time stamp.",""),IF(OR($T67="PAID",$T67="CLOSED"),IF($T67="PAID","Account paid. Action completed.","Account closed. No further action required."),CHOOSE($W67,"Collection Email","1st Email Follow-up","2nd Email Follow-up","Escalation to Local Office","Escalation to CBE","Escalation to Roxanne")&amp;" sent "&amp;TEXT($X67,"dd-mmm")&amp;". "&amp;IF($W67=6,"Final escalation completed.",IF($T67="OVERDUE","Next: "&amp;$Z67&amp;" was due "&amp;TEXT($Y67,"dd-mmm")&amp;" - "&amp;(NETWORKDAYS($Y67,TODAY(),Holidays)-1)&amp;" business day(s) late. Send now.",IF($T67="DUE TOMORROW","Next: "&amp;$Z67&amp;IF($Y67&lt;=TODAY()," is due TODAY ("," is due next business day (")&amp;TEXT($Y67,"dd-mmm")&amp;").","Next: "&amp;$Z67&amp;" due "&amp;TEXT($Y67,"dd-mmm")&amp;" ("&amp;(NETWORKDAYS(TODAY(),$Y67,Holidays)-1)&amp;" business day(s) left).")))))</f>
        <v/>
      </c>
      <c r="V67" s="17">
        <f>IF($W67="","",CHOOSE($W67,"Collection Email","1st Follow-up","2nd Follow-up","Local Office","CBE","Roxanne")&amp;IF($W67=6," - Final"," - Day "&amp;MAX(0,NETWORKDAYS($X67,TODAY(),Holidays)-1)&amp;" of "&amp;CHOOSE($W67,3,3,2,2,3))&amp;" | Total Day "&amp;MAX(0,NETWORKDAYS($L67,TODAY(),Holidays)-1))</f>
        <v/>
      </c>
      <c r="W67" s="17">
        <f>IF($L67="","",COUNT($L67:$Q67))</f>
        <v/>
      </c>
      <c r="X67" s="18">
        <f>IF($W67="","",INT(INDEX($L67:$Q67,$W67)))</f>
        <v/>
      </c>
      <c r="Y67" s="18">
        <f>IF(OR($W67="",$W67=6),"",WORKDAY($X67,CHOOSE($W67,3,3,2,2,3),Holidays))</f>
        <v/>
      </c>
      <c r="Z67" s="17">
        <f>IF(OR($W67="",$W67=6),"",CHOOSE($W67,"1st Email Follow-up","2nd Email Follow-up","Escalate Local Office","Escalate to CBE","Escalate to Roxanne"))</f>
        <v/>
      </c>
    </row>
    <row r="68" spans="18:26">
      <c r="R68" s="15"/>
      <c r="S68" s="16"/>
      <c r="T68" s="17">
        <f>IF(AND(COUNTA($A68:$K68)=0,$L68=""),"",IF($S68="Paid","PAID",IF($S68="Closed","CLOSED",IF($W68="","",IF($W68=6,"ESCALATED TO ROXANNE",IF(TODAY()&gt;$Y68,"OVERDUE",IF($Y68&lt;=WORKDAY(TODAY(),1,Holidays),"DUE TOMORROW",IF($W68=4,"ESCALATED TO LOCAL OFFICE",IF($W68=5,"ESCALATED TO CBE",IF($X68=TODAY(),"EMAIL SENT","MONITORING"))))))))))</f>
        <v/>
      </c>
      <c r="U68" s="17">
        <f>IF($T68="",IF(AND(COUNTA($A68:$K68)&gt;0,$L68=""),"Awaiting Collection Email time stamp.",""),IF(OR($T68="PAID",$T68="CLOSED"),IF($T68="PAID","Account paid. Action completed.","Account closed. No further action required."),CHOOSE($W68,"Collection Email","1st Email Follow-up","2nd Email Follow-up","Escalation to Local Office","Escalation to CBE","Escalation to Roxanne")&amp;" sent "&amp;TEXT($X68,"dd-mmm")&amp;". "&amp;IF($W68=6,"Final escalation completed.",IF($T68="OVERDUE","Next: "&amp;$Z68&amp;" was due "&amp;TEXT($Y68,"dd-mmm")&amp;" - "&amp;(NETWORKDAYS($Y68,TODAY(),Holidays)-1)&amp;" business day(s) late. Send now.",IF($T68="DUE TOMORROW","Next: "&amp;$Z68&amp;IF($Y68&lt;=TODAY()," is due TODAY ("," is due next business day (")&amp;TEXT($Y68,"dd-mmm")&amp;").","Next: "&amp;$Z68&amp;" due "&amp;TEXT($Y68,"dd-mmm")&amp;" ("&amp;(NETWORKDAYS(TODAY(),$Y68,Holidays)-1)&amp;" business day(s) left).")))))</f>
        <v/>
      </c>
      <c r="V68" s="17">
        <f>IF($W68="","",CHOOSE($W68,"Collection Email","1st Follow-up","2nd Follow-up","Local Office","CBE","Roxanne")&amp;IF($W68=6," - Final"," - Day "&amp;MAX(0,NETWORKDAYS($X68,TODAY(),Holidays)-1)&amp;" of "&amp;CHOOSE($W68,3,3,2,2,3))&amp;" | Total Day "&amp;MAX(0,NETWORKDAYS($L68,TODAY(),Holidays)-1))</f>
        <v/>
      </c>
      <c r="W68" s="17">
        <f>IF($L68="","",COUNT($L68:$Q68))</f>
        <v/>
      </c>
      <c r="X68" s="18">
        <f>IF($W68="","",INT(INDEX($L68:$Q68,$W68)))</f>
        <v/>
      </c>
      <c r="Y68" s="18">
        <f>IF(OR($W68="",$W68=6),"",WORKDAY($X68,CHOOSE($W68,3,3,2,2,3),Holidays))</f>
        <v/>
      </c>
      <c r="Z68" s="17">
        <f>IF(OR($W68="",$W68=6),"",CHOOSE($W68,"1st Email Follow-up","2nd Email Follow-up","Escalate Local Office","Escalate to CBE","Escalate to Roxanne"))</f>
        <v/>
      </c>
    </row>
    <row r="69" spans="18:26">
      <c r="R69" s="15"/>
      <c r="S69" s="16"/>
      <c r="T69" s="17">
        <f>IF(AND(COUNTA($A69:$K69)=0,$L69=""),"",IF($S69="Paid","PAID",IF($S69="Closed","CLOSED",IF($W69="","",IF($W69=6,"ESCALATED TO ROXANNE",IF(TODAY()&gt;$Y69,"OVERDUE",IF($Y69&lt;=WORKDAY(TODAY(),1,Holidays),"DUE TOMORROW",IF($W69=4,"ESCALATED TO LOCAL OFFICE",IF($W69=5,"ESCALATED TO CBE",IF($X69=TODAY(),"EMAIL SENT","MONITORING"))))))))))</f>
        <v/>
      </c>
      <c r="U69" s="17">
        <f>IF($T69="",IF(AND(COUNTA($A69:$K69)&gt;0,$L69=""),"Awaiting Collection Email time stamp.",""),IF(OR($T69="PAID",$T69="CLOSED"),IF($T69="PAID","Account paid. Action completed.","Account closed. No further action required."),CHOOSE($W69,"Collection Email","1st Email Follow-up","2nd Email Follow-up","Escalation to Local Office","Escalation to CBE","Escalation to Roxanne")&amp;" sent "&amp;TEXT($X69,"dd-mmm")&amp;". "&amp;IF($W69=6,"Final escalation completed.",IF($T69="OVERDUE","Next: "&amp;$Z69&amp;" was due "&amp;TEXT($Y69,"dd-mmm")&amp;" - "&amp;(NETWORKDAYS($Y69,TODAY(),Holidays)-1)&amp;" business day(s) late. Send now.",IF($T69="DUE TOMORROW","Next: "&amp;$Z69&amp;IF($Y69&lt;=TODAY()," is due TODAY ("," is due next business day (")&amp;TEXT($Y69,"dd-mmm")&amp;").","Next: "&amp;$Z69&amp;" due "&amp;TEXT($Y69,"dd-mmm")&amp;" ("&amp;(NETWORKDAYS(TODAY(),$Y69,Holidays)-1)&amp;" business day(s) left).")))))</f>
        <v/>
      </c>
      <c r="V69" s="17">
        <f>IF($W69="","",CHOOSE($W69,"Collection Email","1st Follow-up","2nd Follow-up","Local Office","CBE","Roxanne")&amp;IF($W69=6," - Final"," - Day "&amp;MAX(0,NETWORKDAYS($X69,TODAY(),Holidays)-1)&amp;" of "&amp;CHOOSE($W69,3,3,2,2,3))&amp;" | Total Day "&amp;MAX(0,NETWORKDAYS($L69,TODAY(),Holidays)-1))</f>
        <v/>
      </c>
      <c r="W69" s="17">
        <f>IF($L69="","",COUNT($L69:$Q69))</f>
        <v/>
      </c>
      <c r="X69" s="18">
        <f>IF($W69="","",INT(INDEX($L69:$Q69,$W69)))</f>
        <v/>
      </c>
      <c r="Y69" s="18">
        <f>IF(OR($W69="",$W69=6),"",WORKDAY($X69,CHOOSE($W69,3,3,2,2,3),Holidays))</f>
        <v/>
      </c>
      <c r="Z69" s="17">
        <f>IF(OR($W69="",$W69=6),"",CHOOSE($W69,"1st Email Follow-up","2nd Email Follow-up","Escalate Local Office","Escalate to CBE","Escalate to Roxanne"))</f>
        <v/>
      </c>
    </row>
    <row r="70" spans="18:26">
      <c r="R70" s="15"/>
      <c r="S70" s="16"/>
      <c r="T70" s="17">
        <f>IF(AND(COUNTA($A70:$K70)=0,$L70=""),"",IF($S70="Paid","PAID",IF($S70="Closed","CLOSED",IF($W70="","",IF($W70=6,"ESCALATED TO ROXANNE",IF(TODAY()&gt;$Y70,"OVERDUE",IF($Y70&lt;=WORKDAY(TODAY(),1,Holidays),"DUE TOMORROW",IF($W70=4,"ESCALATED TO LOCAL OFFICE",IF($W70=5,"ESCALATED TO CBE",IF($X70=TODAY(),"EMAIL SENT","MONITORING"))))))))))</f>
        <v/>
      </c>
      <c r="U70" s="17">
        <f>IF($T70="",IF(AND(COUNTA($A70:$K70)&gt;0,$L70=""),"Awaiting Collection Email time stamp.",""),IF(OR($T70="PAID",$T70="CLOSED"),IF($T70="PAID","Account paid. Action completed.","Account closed. No further action required."),CHOOSE($W70,"Collection Email","1st Email Follow-up","2nd Email Follow-up","Escalation to Local Office","Escalation to CBE","Escalation to Roxanne")&amp;" sent "&amp;TEXT($X70,"dd-mmm")&amp;". "&amp;IF($W70=6,"Final escalation completed.",IF($T70="OVERDUE","Next: "&amp;$Z70&amp;" was due "&amp;TEXT($Y70,"dd-mmm")&amp;" - "&amp;(NETWORKDAYS($Y70,TODAY(),Holidays)-1)&amp;" business day(s) late. Send now.",IF($T70="DUE TOMORROW","Next: "&amp;$Z70&amp;IF($Y70&lt;=TODAY()," is due TODAY ("," is due next business day (")&amp;TEXT($Y70,"dd-mmm")&amp;").","Next: "&amp;$Z70&amp;" due "&amp;TEXT($Y70,"dd-mmm")&amp;" ("&amp;(NETWORKDAYS(TODAY(),$Y70,Holidays)-1)&amp;" business day(s) left).")))))</f>
        <v/>
      </c>
      <c r="V70" s="17">
        <f>IF($W70="","",CHOOSE($W70,"Collection Email","1st Follow-up","2nd Follow-up","Local Office","CBE","Roxanne")&amp;IF($W70=6," - Final"," - Day "&amp;MAX(0,NETWORKDAYS($X70,TODAY(),Holidays)-1)&amp;" of "&amp;CHOOSE($W70,3,3,2,2,3))&amp;" | Total Day "&amp;MAX(0,NETWORKDAYS($L70,TODAY(),Holidays)-1))</f>
        <v/>
      </c>
      <c r="W70" s="17">
        <f>IF($L70="","",COUNT($L70:$Q70))</f>
        <v/>
      </c>
      <c r="X70" s="18">
        <f>IF($W70="","",INT(INDEX($L70:$Q70,$W70)))</f>
        <v/>
      </c>
      <c r="Y70" s="18">
        <f>IF(OR($W70="",$W70=6),"",WORKDAY($X70,CHOOSE($W70,3,3,2,2,3),Holidays))</f>
        <v/>
      </c>
      <c r="Z70" s="17">
        <f>IF(OR($W70="",$W70=6),"",CHOOSE($W70,"1st Email Follow-up","2nd Email Follow-up","Escalate Local Office","Escalate to CBE","Escalate to Roxanne"))</f>
        <v/>
      </c>
    </row>
    <row r="71" spans="18:26">
      <c r="R71" s="15"/>
      <c r="S71" s="16"/>
      <c r="T71" s="17">
        <f>IF(AND(COUNTA($A71:$K71)=0,$L71=""),"",IF($S71="Paid","PAID",IF($S71="Closed","CLOSED",IF($W71="","",IF($W71=6,"ESCALATED TO ROXANNE",IF(TODAY()&gt;$Y71,"OVERDUE",IF($Y71&lt;=WORKDAY(TODAY(),1,Holidays),"DUE TOMORROW",IF($W71=4,"ESCALATED TO LOCAL OFFICE",IF($W71=5,"ESCALATED TO CBE",IF($X71=TODAY(),"EMAIL SENT","MONITORING"))))))))))</f>
        <v/>
      </c>
      <c r="U71" s="17">
        <f>IF($T71="",IF(AND(COUNTA($A71:$K71)&gt;0,$L71=""),"Awaiting Collection Email time stamp.",""),IF(OR($T71="PAID",$T71="CLOSED"),IF($T71="PAID","Account paid. Action completed.","Account closed. No further action required."),CHOOSE($W71,"Collection Email","1st Email Follow-up","2nd Email Follow-up","Escalation to Local Office","Escalation to CBE","Escalation to Roxanne")&amp;" sent "&amp;TEXT($X71,"dd-mmm")&amp;". "&amp;IF($W71=6,"Final escalation completed.",IF($T71="OVERDUE","Next: "&amp;$Z71&amp;" was due "&amp;TEXT($Y71,"dd-mmm")&amp;" - "&amp;(NETWORKDAYS($Y71,TODAY(),Holidays)-1)&amp;" business day(s) late. Send now.",IF($T71="DUE TOMORROW","Next: "&amp;$Z71&amp;IF($Y71&lt;=TODAY()," is due TODAY ("," is due next business day (")&amp;TEXT($Y71,"dd-mmm")&amp;").","Next: "&amp;$Z71&amp;" due "&amp;TEXT($Y71,"dd-mmm")&amp;" ("&amp;(NETWORKDAYS(TODAY(),$Y71,Holidays)-1)&amp;" business day(s) left).")))))</f>
        <v/>
      </c>
      <c r="V71" s="17">
        <f>IF($W71="","",CHOOSE($W71,"Collection Email","1st Follow-up","2nd Follow-up","Local Office","CBE","Roxanne")&amp;IF($W71=6," - Final"," - Day "&amp;MAX(0,NETWORKDAYS($X71,TODAY(),Holidays)-1)&amp;" of "&amp;CHOOSE($W71,3,3,2,2,3))&amp;" | Total Day "&amp;MAX(0,NETWORKDAYS($L71,TODAY(),Holidays)-1))</f>
        <v/>
      </c>
      <c r="W71" s="17">
        <f>IF($L71="","",COUNT($L71:$Q71))</f>
        <v/>
      </c>
      <c r="X71" s="18">
        <f>IF($W71="","",INT(INDEX($L71:$Q71,$W71)))</f>
        <v/>
      </c>
      <c r="Y71" s="18">
        <f>IF(OR($W71="",$W71=6),"",WORKDAY($X71,CHOOSE($W71,3,3,2,2,3),Holidays))</f>
        <v/>
      </c>
      <c r="Z71" s="17">
        <f>IF(OR($W71="",$W71=6),"",CHOOSE($W71,"1st Email Follow-up","2nd Email Follow-up","Escalate Local Office","Escalate to CBE","Escalate to Roxanne"))</f>
        <v/>
      </c>
    </row>
    <row r="72" spans="18:26">
      <c r="R72" s="15"/>
      <c r="S72" s="16"/>
      <c r="T72" s="17">
        <f>IF(AND(COUNTA($A72:$K72)=0,$L72=""),"",IF($S72="Paid","PAID",IF($S72="Closed","CLOSED",IF($W72="","",IF($W72=6,"ESCALATED TO ROXANNE",IF(TODAY()&gt;$Y72,"OVERDUE",IF($Y72&lt;=WORKDAY(TODAY(),1,Holidays),"DUE TOMORROW",IF($W72=4,"ESCALATED TO LOCAL OFFICE",IF($W72=5,"ESCALATED TO CBE",IF($X72=TODAY(),"EMAIL SENT","MONITORING"))))))))))</f>
        <v/>
      </c>
      <c r="U72" s="17">
        <f>IF($T72="",IF(AND(COUNTA($A72:$K72)&gt;0,$L72=""),"Awaiting Collection Email time stamp.",""),IF(OR($T72="PAID",$T72="CLOSED"),IF($T72="PAID","Account paid. Action completed.","Account closed. No further action required."),CHOOSE($W72,"Collection Email","1st Email Follow-up","2nd Email Follow-up","Escalation to Local Office","Escalation to CBE","Escalation to Roxanne")&amp;" sent "&amp;TEXT($X72,"dd-mmm")&amp;". "&amp;IF($W72=6,"Final escalation completed.",IF($T72="OVERDUE","Next: "&amp;$Z72&amp;" was due "&amp;TEXT($Y72,"dd-mmm")&amp;" - "&amp;(NETWORKDAYS($Y72,TODAY(),Holidays)-1)&amp;" business day(s) late. Send now.",IF($T72="DUE TOMORROW","Next: "&amp;$Z72&amp;IF($Y72&lt;=TODAY()," is due TODAY ("," is due next business day (")&amp;TEXT($Y72,"dd-mmm")&amp;").","Next: "&amp;$Z72&amp;" due "&amp;TEXT($Y72,"dd-mmm")&amp;" ("&amp;(NETWORKDAYS(TODAY(),$Y72,Holidays)-1)&amp;" business day(s) left).")))))</f>
        <v/>
      </c>
      <c r="V72" s="17">
        <f>IF($W72="","",CHOOSE($W72,"Collection Email","1st Follow-up","2nd Follow-up","Local Office","CBE","Roxanne")&amp;IF($W72=6," - Final"," - Day "&amp;MAX(0,NETWORKDAYS($X72,TODAY(),Holidays)-1)&amp;" of "&amp;CHOOSE($W72,3,3,2,2,3))&amp;" | Total Day "&amp;MAX(0,NETWORKDAYS($L72,TODAY(),Holidays)-1))</f>
        <v/>
      </c>
      <c r="W72" s="17">
        <f>IF($L72="","",COUNT($L72:$Q72))</f>
        <v/>
      </c>
      <c r="X72" s="18">
        <f>IF($W72="","",INT(INDEX($L72:$Q72,$W72)))</f>
        <v/>
      </c>
      <c r="Y72" s="18">
        <f>IF(OR($W72="",$W72=6),"",WORKDAY($X72,CHOOSE($W72,3,3,2,2,3),Holidays))</f>
        <v/>
      </c>
      <c r="Z72" s="17">
        <f>IF(OR($W72="",$W72=6),"",CHOOSE($W72,"1st Email Follow-up","2nd Email Follow-up","Escalate Local Office","Escalate to CBE","Escalate to Roxanne"))</f>
        <v/>
      </c>
    </row>
    <row r="73" spans="18:26">
      <c r="R73" s="15"/>
      <c r="S73" s="16"/>
      <c r="T73" s="17">
        <f>IF(AND(COUNTA($A73:$K73)=0,$L73=""),"",IF($S73="Paid","PAID",IF($S73="Closed","CLOSED",IF($W73="","",IF($W73=6,"ESCALATED TO ROXANNE",IF(TODAY()&gt;$Y73,"OVERDUE",IF($Y73&lt;=WORKDAY(TODAY(),1,Holidays),"DUE TOMORROW",IF($W73=4,"ESCALATED TO LOCAL OFFICE",IF($W73=5,"ESCALATED TO CBE",IF($X73=TODAY(),"EMAIL SENT","MONITORING"))))))))))</f>
        <v/>
      </c>
      <c r="U73" s="17">
        <f>IF($T73="",IF(AND(COUNTA($A73:$K73)&gt;0,$L73=""),"Awaiting Collection Email time stamp.",""),IF(OR($T73="PAID",$T73="CLOSED"),IF($T73="PAID","Account paid. Action completed.","Account closed. No further action required."),CHOOSE($W73,"Collection Email","1st Email Follow-up","2nd Email Follow-up","Escalation to Local Office","Escalation to CBE","Escalation to Roxanne")&amp;" sent "&amp;TEXT($X73,"dd-mmm")&amp;". "&amp;IF($W73=6,"Final escalation completed.",IF($T73="OVERDUE","Next: "&amp;$Z73&amp;" was due "&amp;TEXT($Y73,"dd-mmm")&amp;" - "&amp;(NETWORKDAYS($Y73,TODAY(),Holidays)-1)&amp;" business day(s) late. Send now.",IF($T73="DUE TOMORROW","Next: "&amp;$Z73&amp;IF($Y73&lt;=TODAY()," is due TODAY ("," is due next business day (")&amp;TEXT($Y73,"dd-mmm")&amp;").","Next: "&amp;$Z73&amp;" due "&amp;TEXT($Y73,"dd-mmm")&amp;" ("&amp;(NETWORKDAYS(TODAY(),$Y73,Holidays)-1)&amp;" business day(s) left).")))))</f>
        <v/>
      </c>
      <c r="V73" s="17">
        <f>IF($W73="","",CHOOSE($W73,"Collection Email","1st Follow-up","2nd Follow-up","Local Office","CBE","Roxanne")&amp;IF($W73=6," - Final"," - Day "&amp;MAX(0,NETWORKDAYS($X73,TODAY(),Holidays)-1)&amp;" of "&amp;CHOOSE($W73,3,3,2,2,3))&amp;" | Total Day "&amp;MAX(0,NETWORKDAYS($L73,TODAY(),Holidays)-1))</f>
        <v/>
      </c>
      <c r="W73" s="17">
        <f>IF($L73="","",COUNT($L73:$Q73))</f>
        <v/>
      </c>
      <c r="X73" s="18">
        <f>IF($W73="","",INT(INDEX($L73:$Q73,$W73)))</f>
        <v/>
      </c>
      <c r="Y73" s="18">
        <f>IF(OR($W73="",$W73=6),"",WORKDAY($X73,CHOOSE($W73,3,3,2,2,3),Holidays))</f>
        <v/>
      </c>
      <c r="Z73" s="17">
        <f>IF(OR($W73="",$W73=6),"",CHOOSE($W73,"1st Email Follow-up","2nd Email Follow-up","Escalate Local Office","Escalate to CBE","Escalate to Roxanne"))</f>
        <v/>
      </c>
    </row>
    <row r="74" spans="18:26">
      <c r="R74" s="15"/>
      <c r="S74" s="16"/>
      <c r="T74" s="17">
        <f>IF(AND(COUNTA($A74:$K74)=0,$L74=""),"",IF($S74="Paid","PAID",IF($S74="Closed","CLOSED",IF($W74="","",IF($W74=6,"ESCALATED TO ROXANNE",IF(TODAY()&gt;$Y74,"OVERDUE",IF($Y74&lt;=WORKDAY(TODAY(),1,Holidays),"DUE TOMORROW",IF($W74=4,"ESCALATED TO LOCAL OFFICE",IF($W74=5,"ESCALATED TO CBE",IF($X74=TODAY(),"EMAIL SENT","MONITORING"))))))))))</f>
        <v/>
      </c>
      <c r="U74" s="17">
        <f>IF($T74="",IF(AND(COUNTA($A74:$K74)&gt;0,$L74=""),"Awaiting Collection Email time stamp.",""),IF(OR($T74="PAID",$T74="CLOSED"),IF($T74="PAID","Account paid. Action completed.","Account closed. No further action required."),CHOOSE($W74,"Collection Email","1st Email Follow-up","2nd Email Follow-up","Escalation to Local Office","Escalation to CBE","Escalation to Roxanne")&amp;" sent "&amp;TEXT($X74,"dd-mmm")&amp;". "&amp;IF($W74=6,"Final escalation completed.",IF($T74="OVERDUE","Next: "&amp;$Z74&amp;" was due "&amp;TEXT($Y74,"dd-mmm")&amp;" - "&amp;(NETWORKDAYS($Y74,TODAY(),Holidays)-1)&amp;" business day(s) late. Send now.",IF($T74="DUE TOMORROW","Next: "&amp;$Z74&amp;IF($Y74&lt;=TODAY()," is due TODAY ("," is due next business day (")&amp;TEXT($Y74,"dd-mmm")&amp;").","Next: "&amp;$Z74&amp;" due "&amp;TEXT($Y74,"dd-mmm")&amp;" ("&amp;(NETWORKDAYS(TODAY(),$Y74,Holidays)-1)&amp;" business day(s) left).")))))</f>
        <v/>
      </c>
      <c r="V74" s="17">
        <f>IF($W74="","",CHOOSE($W74,"Collection Email","1st Follow-up","2nd Follow-up","Local Office","CBE","Roxanne")&amp;IF($W74=6," - Final"," - Day "&amp;MAX(0,NETWORKDAYS($X74,TODAY(),Holidays)-1)&amp;" of "&amp;CHOOSE($W74,3,3,2,2,3))&amp;" | Total Day "&amp;MAX(0,NETWORKDAYS($L74,TODAY(),Holidays)-1))</f>
        <v/>
      </c>
      <c r="W74" s="17">
        <f>IF($L74="","",COUNT($L74:$Q74))</f>
        <v/>
      </c>
      <c r="X74" s="18">
        <f>IF($W74="","",INT(INDEX($L74:$Q74,$W74)))</f>
        <v/>
      </c>
      <c r="Y74" s="18">
        <f>IF(OR($W74="",$W74=6),"",WORKDAY($X74,CHOOSE($W74,3,3,2,2,3),Holidays))</f>
        <v/>
      </c>
      <c r="Z74" s="17">
        <f>IF(OR($W74="",$W74=6),"",CHOOSE($W74,"1st Email Follow-up","2nd Email Follow-up","Escalate Local Office","Escalate to CBE","Escalate to Roxanne"))</f>
        <v/>
      </c>
    </row>
    <row r="75" spans="18:26">
      <c r="R75" s="15"/>
      <c r="S75" s="16"/>
      <c r="T75" s="17">
        <f>IF(AND(COUNTA($A75:$K75)=0,$L75=""),"",IF($S75="Paid","PAID",IF($S75="Closed","CLOSED",IF($W75="","",IF($W75=6,"ESCALATED TO ROXANNE",IF(TODAY()&gt;$Y75,"OVERDUE",IF($Y75&lt;=WORKDAY(TODAY(),1,Holidays),"DUE TOMORROW",IF($W75=4,"ESCALATED TO LOCAL OFFICE",IF($W75=5,"ESCALATED TO CBE",IF($X75=TODAY(),"EMAIL SENT","MONITORING"))))))))))</f>
        <v/>
      </c>
      <c r="U75" s="17">
        <f>IF($T75="",IF(AND(COUNTA($A75:$K75)&gt;0,$L75=""),"Awaiting Collection Email time stamp.",""),IF(OR($T75="PAID",$T75="CLOSED"),IF($T75="PAID","Account paid. Action completed.","Account closed. No further action required."),CHOOSE($W75,"Collection Email","1st Email Follow-up","2nd Email Follow-up","Escalation to Local Office","Escalation to CBE","Escalation to Roxanne")&amp;" sent "&amp;TEXT($X75,"dd-mmm")&amp;". "&amp;IF($W75=6,"Final escalation completed.",IF($T75="OVERDUE","Next: "&amp;$Z75&amp;" was due "&amp;TEXT($Y75,"dd-mmm")&amp;" - "&amp;(NETWORKDAYS($Y75,TODAY(),Holidays)-1)&amp;" business day(s) late. Send now.",IF($T75="DUE TOMORROW","Next: "&amp;$Z75&amp;IF($Y75&lt;=TODAY()," is due TODAY ("," is due next business day (")&amp;TEXT($Y75,"dd-mmm")&amp;").","Next: "&amp;$Z75&amp;" due "&amp;TEXT($Y75,"dd-mmm")&amp;" ("&amp;(NETWORKDAYS(TODAY(),$Y75,Holidays)-1)&amp;" business day(s) left).")))))</f>
        <v/>
      </c>
      <c r="V75" s="17">
        <f>IF($W75="","",CHOOSE($W75,"Collection Email","1st Follow-up","2nd Follow-up","Local Office","CBE","Roxanne")&amp;IF($W75=6," - Final"," - Day "&amp;MAX(0,NETWORKDAYS($X75,TODAY(),Holidays)-1)&amp;" of "&amp;CHOOSE($W75,3,3,2,2,3))&amp;" | Total Day "&amp;MAX(0,NETWORKDAYS($L75,TODAY(),Holidays)-1))</f>
        <v/>
      </c>
      <c r="W75" s="17">
        <f>IF($L75="","",COUNT($L75:$Q75))</f>
        <v/>
      </c>
      <c r="X75" s="18">
        <f>IF($W75="","",INT(INDEX($L75:$Q75,$W75)))</f>
        <v/>
      </c>
      <c r="Y75" s="18">
        <f>IF(OR($W75="",$W75=6),"",WORKDAY($X75,CHOOSE($W75,3,3,2,2,3),Holidays))</f>
        <v/>
      </c>
      <c r="Z75" s="17">
        <f>IF(OR($W75="",$W75=6),"",CHOOSE($W75,"1st Email Follow-up","2nd Email Follow-up","Escalate Local Office","Escalate to CBE","Escalate to Roxanne"))</f>
        <v/>
      </c>
    </row>
    <row r="76" spans="18:26">
      <c r="R76" s="15"/>
      <c r="S76" s="16"/>
      <c r="T76" s="17">
        <f>IF(AND(COUNTA($A76:$K76)=0,$L76=""),"",IF($S76="Paid","PAID",IF($S76="Closed","CLOSED",IF($W76="","",IF($W76=6,"ESCALATED TO ROXANNE",IF(TODAY()&gt;$Y76,"OVERDUE",IF($Y76&lt;=WORKDAY(TODAY(),1,Holidays),"DUE TOMORROW",IF($W76=4,"ESCALATED TO LOCAL OFFICE",IF($W76=5,"ESCALATED TO CBE",IF($X76=TODAY(),"EMAIL SENT","MONITORING"))))))))))</f>
        <v/>
      </c>
      <c r="U76" s="17">
        <f>IF($T76="",IF(AND(COUNTA($A76:$K76)&gt;0,$L76=""),"Awaiting Collection Email time stamp.",""),IF(OR($T76="PAID",$T76="CLOSED"),IF($T76="PAID","Account paid. Action completed.","Account closed. No further action required."),CHOOSE($W76,"Collection Email","1st Email Follow-up","2nd Email Follow-up","Escalation to Local Office","Escalation to CBE","Escalation to Roxanne")&amp;" sent "&amp;TEXT($X76,"dd-mmm")&amp;". "&amp;IF($W76=6,"Final escalation completed.",IF($T76="OVERDUE","Next: "&amp;$Z76&amp;" was due "&amp;TEXT($Y76,"dd-mmm")&amp;" - "&amp;(NETWORKDAYS($Y76,TODAY(),Holidays)-1)&amp;" business day(s) late. Send now.",IF($T76="DUE TOMORROW","Next: "&amp;$Z76&amp;IF($Y76&lt;=TODAY()," is due TODAY ("," is due next business day (")&amp;TEXT($Y76,"dd-mmm")&amp;").","Next: "&amp;$Z76&amp;" due "&amp;TEXT($Y76,"dd-mmm")&amp;" ("&amp;(NETWORKDAYS(TODAY(),$Y76,Holidays)-1)&amp;" business day(s) left).")))))</f>
        <v/>
      </c>
      <c r="V76" s="17">
        <f>IF($W76="","",CHOOSE($W76,"Collection Email","1st Follow-up","2nd Follow-up","Local Office","CBE","Roxanne")&amp;IF($W76=6," - Final"," - Day "&amp;MAX(0,NETWORKDAYS($X76,TODAY(),Holidays)-1)&amp;" of "&amp;CHOOSE($W76,3,3,2,2,3))&amp;" | Total Day "&amp;MAX(0,NETWORKDAYS($L76,TODAY(),Holidays)-1))</f>
        <v/>
      </c>
      <c r="W76" s="17">
        <f>IF($L76="","",COUNT($L76:$Q76))</f>
        <v/>
      </c>
      <c r="X76" s="18">
        <f>IF($W76="","",INT(INDEX($L76:$Q76,$W76)))</f>
        <v/>
      </c>
      <c r="Y76" s="18">
        <f>IF(OR($W76="",$W76=6),"",WORKDAY($X76,CHOOSE($W76,3,3,2,2,3),Holidays))</f>
        <v/>
      </c>
      <c r="Z76" s="17">
        <f>IF(OR($W76="",$W76=6),"",CHOOSE($W76,"1st Email Follow-up","2nd Email Follow-up","Escalate Local Office","Escalate to CBE","Escalate to Roxanne"))</f>
        <v/>
      </c>
    </row>
    <row r="77" spans="18:26">
      <c r="R77" s="15"/>
      <c r="S77" s="16"/>
      <c r="T77" s="17">
        <f>IF(AND(COUNTA($A77:$K77)=0,$L77=""),"",IF($S77="Paid","PAID",IF($S77="Closed","CLOSED",IF($W77="","",IF($W77=6,"ESCALATED TO ROXANNE",IF(TODAY()&gt;$Y77,"OVERDUE",IF($Y77&lt;=WORKDAY(TODAY(),1,Holidays),"DUE TOMORROW",IF($W77=4,"ESCALATED TO LOCAL OFFICE",IF($W77=5,"ESCALATED TO CBE",IF($X77=TODAY(),"EMAIL SENT","MONITORING"))))))))))</f>
        <v/>
      </c>
      <c r="U77" s="17">
        <f>IF($T77="",IF(AND(COUNTA($A77:$K77)&gt;0,$L77=""),"Awaiting Collection Email time stamp.",""),IF(OR($T77="PAID",$T77="CLOSED"),IF($T77="PAID","Account paid. Action completed.","Account closed. No further action required."),CHOOSE($W77,"Collection Email","1st Email Follow-up","2nd Email Follow-up","Escalation to Local Office","Escalation to CBE","Escalation to Roxanne")&amp;" sent "&amp;TEXT($X77,"dd-mmm")&amp;". "&amp;IF($W77=6,"Final escalation completed.",IF($T77="OVERDUE","Next: "&amp;$Z77&amp;" was due "&amp;TEXT($Y77,"dd-mmm")&amp;" - "&amp;(NETWORKDAYS($Y77,TODAY(),Holidays)-1)&amp;" business day(s) late. Send now.",IF($T77="DUE TOMORROW","Next: "&amp;$Z77&amp;IF($Y77&lt;=TODAY()," is due TODAY ("," is due next business day (")&amp;TEXT($Y77,"dd-mmm")&amp;").","Next: "&amp;$Z77&amp;" due "&amp;TEXT($Y77,"dd-mmm")&amp;" ("&amp;(NETWORKDAYS(TODAY(),$Y77,Holidays)-1)&amp;" business day(s) left).")))))</f>
        <v/>
      </c>
      <c r="V77" s="17">
        <f>IF($W77="","",CHOOSE($W77,"Collection Email","1st Follow-up","2nd Follow-up","Local Office","CBE","Roxanne")&amp;IF($W77=6," - Final"," - Day "&amp;MAX(0,NETWORKDAYS($X77,TODAY(),Holidays)-1)&amp;" of "&amp;CHOOSE($W77,3,3,2,2,3))&amp;" | Total Day "&amp;MAX(0,NETWORKDAYS($L77,TODAY(),Holidays)-1))</f>
        <v/>
      </c>
      <c r="W77" s="17">
        <f>IF($L77="","",COUNT($L77:$Q77))</f>
        <v/>
      </c>
      <c r="X77" s="18">
        <f>IF($W77="","",INT(INDEX($L77:$Q77,$W77)))</f>
        <v/>
      </c>
      <c r="Y77" s="18">
        <f>IF(OR($W77="",$W77=6),"",WORKDAY($X77,CHOOSE($W77,3,3,2,2,3),Holidays))</f>
        <v/>
      </c>
      <c r="Z77" s="17">
        <f>IF(OR($W77="",$W77=6),"",CHOOSE($W77,"1st Email Follow-up","2nd Email Follow-up","Escalate Local Office","Escalate to CBE","Escalate to Roxanne"))</f>
        <v/>
      </c>
    </row>
    <row r="78" spans="18:26">
      <c r="R78" s="15"/>
      <c r="S78" s="16"/>
      <c r="T78" s="17">
        <f>IF(AND(COUNTA($A78:$K78)=0,$L78=""),"",IF($S78="Paid","PAID",IF($S78="Closed","CLOSED",IF($W78="","",IF($W78=6,"ESCALATED TO ROXANNE",IF(TODAY()&gt;$Y78,"OVERDUE",IF($Y78&lt;=WORKDAY(TODAY(),1,Holidays),"DUE TOMORROW",IF($W78=4,"ESCALATED TO LOCAL OFFICE",IF($W78=5,"ESCALATED TO CBE",IF($X78=TODAY(),"EMAIL SENT","MONITORING"))))))))))</f>
        <v/>
      </c>
      <c r="U78" s="17">
        <f>IF($T78="",IF(AND(COUNTA($A78:$K78)&gt;0,$L78=""),"Awaiting Collection Email time stamp.",""),IF(OR($T78="PAID",$T78="CLOSED"),IF($T78="PAID","Account paid. Action completed.","Account closed. No further action required."),CHOOSE($W78,"Collection Email","1st Email Follow-up","2nd Email Follow-up","Escalation to Local Office","Escalation to CBE","Escalation to Roxanne")&amp;" sent "&amp;TEXT($X78,"dd-mmm")&amp;". "&amp;IF($W78=6,"Final escalation completed.",IF($T78="OVERDUE","Next: "&amp;$Z78&amp;" was due "&amp;TEXT($Y78,"dd-mmm")&amp;" - "&amp;(NETWORKDAYS($Y78,TODAY(),Holidays)-1)&amp;" business day(s) late. Send now.",IF($T78="DUE TOMORROW","Next: "&amp;$Z78&amp;IF($Y78&lt;=TODAY()," is due TODAY ("," is due next business day (")&amp;TEXT($Y78,"dd-mmm")&amp;").","Next: "&amp;$Z78&amp;" due "&amp;TEXT($Y78,"dd-mmm")&amp;" ("&amp;(NETWORKDAYS(TODAY(),$Y78,Holidays)-1)&amp;" business day(s) left).")))))</f>
        <v/>
      </c>
      <c r="V78" s="17">
        <f>IF($W78="","",CHOOSE($W78,"Collection Email","1st Follow-up","2nd Follow-up","Local Office","CBE","Roxanne")&amp;IF($W78=6," - Final"," - Day "&amp;MAX(0,NETWORKDAYS($X78,TODAY(),Holidays)-1)&amp;" of "&amp;CHOOSE($W78,3,3,2,2,3))&amp;" | Total Day "&amp;MAX(0,NETWORKDAYS($L78,TODAY(),Holidays)-1))</f>
        <v/>
      </c>
      <c r="W78" s="17">
        <f>IF($L78="","",COUNT($L78:$Q78))</f>
        <v/>
      </c>
      <c r="X78" s="18">
        <f>IF($W78="","",INT(INDEX($L78:$Q78,$W78)))</f>
        <v/>
      </c>
      <c r="Y78" s="18">
        <f>IF(OR($W78="",$W78=6),"",WORKDAY($X78,CHOOSE($W78,3,3,2,2,3),Holidays))</f>
        <v/>
      </c>
      <c r="Z78" s="17">
        <f>IF(OR($W78="",$W78=6),"",CHOOSE($W78,"1st Email Follow-up","2nd Email Follow-up","Escalate Local Office","Escalate to CBE","Escalate to Roxanne"))</f>
        <v/>
      </c>
    </row>
    <row r="79" spans="18:26">
      <c r="R79" s="15"/>
      <c r="S79" s="16"/>
      <c r="T79" s="17">
        <f>IF(AND(COUNTA($A79:$K79)=0,$L79=""),"",IF($S79="Paid","PAID",IF($S79="Closed","CLOSED",IF($W79="","",IF($W79=6,"ESCALATED TO ROXANNE",IF(TODAY()&gt;$Y79,"OVERDUE",IF($Y79&lt;=WORKDAY(TODAY(),1,Holidays),"DUE TOMORROW",IF($W79=4,"ESCALATED TO LOCAL OFFICE",IF($W79=5,"ESCALATED TO CBE",IF($X79=TODAY(),"EMAIL SENT","MONITORING"))))))))))</f>
        <v/>
      </c>
      <c r="U79" s="17">
        <f>IF($T79="",IF(AND(COUNTA($A79:$K79)&gt;0,$L79=""),"Awaiting Collection Email time stamp.",""),IF(OR($T79="PAID",$T79="CLOSED"),IF($T79="PAID","Account paid. Action completed.","Account closed. No further action required."),CHOOSE($W79,"Collection Email","1st Email Follow-up","2nd Email Follow-up","Escalation to Local Office","Escalation to CBE","Escalation to Roxanne")&amp;" sent "&amp;TEXT($X79,"dd-mmm")&amp;". "&amp;IF($W79=6,"Final escalation completed.",IF($T79="OVERDUE","Next: "&amp;$Z79&amp;" was due "&amp;TEXT($Y79,"dd-mmm")&amp;" - "&amp;(NETWORKDAYS($Y79,TODAY(),Holidays)-1)&amp;" business day(s) late. Send now.",IF($T79="DUE TOMORROW","Next: "&amp;$Z79&amp;IF($Y79&lt;=TODAY()," is due TODAY ("," is due next business day (")&amp;TEXT($Y79,"dd-mmm")&amp;").","Next: "&amp;$Z79&amp;" due "&amp;TEXT($Y79,"dd-mmm")&amp;" ("&amp;(NETWORKDAYS(TODAY(),$Y79,Holidays)-1)&amp;" business day(s) left).")))))</f>
        <v/>
      </c>
      <c r="V79" s="17">
        <f>IF($W79="","",CHOOSE($W79,"Collection Email","1st Follow-up","2nd Follow-up","Local Office","CBE","Roxanne")&amp;IF($W79=6," - Final"," - Day "&amp;MAX(0,NETWORKDAYS($X79,TODAY(),Holidays)-1)&amp;" of "&amp;CHOOSE($W79,3,3,2,2,3))&amp;" | Total Day "&amp;MAX(0,NETWORKDAYS($L79,TODAY(),Holidays)-1))</f>
        <v/>
      </c>
      <c r="W79" s="17">
        <f>IF($L79="","",COUNT($L79:$Q79))</f>
        <v/>
      </c>
      <c r="X79" s="18">
        <f>IF($W79="","",INT(INDEX($L79:$Q79,$W79)))</f>
        <v/>
      </c>
      <c r="Y79" s="18">
        <f>IF(OR($W79="",$W79=6),"",WORKDAY($X79,CHOOSE($W79,3,3,2,2,3),Holidays))</f>
        <v/>
      </c>
      <c r="Z79" s="17">
        <f>IF(OR($W79="",$W79=6),"",CHOOSE($W79,"1st Email Follow-up","2nd Email Follow-up","Escalate Local Office","Escalate to CBE","Escalate to Roxanne"))</f>
        <v/>
      </c>
    </row>
    <row r="80" spans="18:26">
      <c r="R80" s="15"/>
      <c r="S80" s="16"/>
      <c r="T80" s="17">
        <f>IF(AND(COUNTA($A80:$K80)=0,$L80=""),"",IF($S80="Paid","PAID",IF($S80="Closed","CLOSED",IF($W80="","",IF($W80=6,"ESCALATED TO ROXANNE",IF(TODAY()&gt;$Y80,"OVERDUE",IF($Y80&lt;=WORKDAY(TODAY(),1,Holidays),"DUE TOMORROW",IF($W80=4,"ESCALATED TO LOCAL OFFICE",IF($W80=5,"ESCALATED TO CBE",IF($X80=TODAY(),"EMAIL SENT","MONITORING"))))))))))</f>
        <v/>
      </c>
      <c r="U80" s="17">
        <f>IF($T80="",IF(AND(COUNTA($A80:$K80)&gt;0,$L80=""),"Awaiting Collection Email time stamp.",""),IF(OR($T80="PAID",$T80="CLOSED"),IF($T80="PAID","Account paid. Action completed.","Account closed. No further action required."),CHOOSE($W80,"Collection Email","1st Email Follow-up","2nd Email Follow-up","Escalation to Local Office","Escalation to CBE","Escalation to Roxanne")&amp;" sent "&amp;TEXT($X80,"dd-mmm")&amp;". "&amp;IF($W80=6,"Final escalation completed.",IF($T80="OVERDUE","Next: "&amp;$Z80&amp;" was due "&amp;TEXT($Y80,"dd-mmm")&amp;" - "&amp;(NETWORKDAYS($Y80,TODAY(),Holidays)-1)&amp;" business day(s) late. Send now.",IF($T80="DUE TOMORROW","Next: "&amp;$Z80&amp;IF($Y80&lt;=TODAY()," is due TODAY ("," is due next business day (")&amp;TEXT($Y80,"dd-mmm")&amp;").","Next: "&amp;$Z80&amp;" due "&amp;TEXT($Y80,"dd-mmm")&amp;" ("&amp;(NETWORKDAYS(TODAY(),$Y80,Holidays)-1)&amp;" business day(s) left).")))))</f>
        <v/>
      </c>
      <c r="V80" s="17">
        <f>IF($W80="","",CHOOSE($W80,"Collection Email","1st Follow-up","2nd Follow-up","Local Office","CBE","Roxanne")&amp;IF($W80=6," - Final"," - Day "&amp;MAX(0,NETWORKDAYS($X80,TODAY(),Holidays)-1)&amp;" of "&amp;CHOOSE($W80,3,3,2,2,3))&amp;" | Total Day "&amp;MAX(0,NETWORKDAYS($L80,TODAY(),Holidays)-1))</f>
        <v/>
      </c>
      <c r="W80" s="17">
        <f>IF($L80="","",COUNT($L80:$Q80))</f>
        <v/>
      </c>
      <c r="X80" s="18">
        <f>IF($W80="","",INT(INDEX($L80:$Q80,$W80)))</f>
        <v/>
      </c>
      <c r="Y80" s="18">
        <f>IF(OR($W80="",$W80=6),"",WORKDAY($X80,CHOOSE($W80,3,3,2,2,3),Holidays))</f>
        <v/>
      </c>
      <c r="Z80" s="17">
        <f>IF(OR($W80="",$W80=6),"",CHOOSE($W80,"1st Email Follow-up","2nd Email Follow-up","Escalate Local Office","Escalate to CBE","Escalate to Roxanne"))</f>
        <v/>
      </c>
    </row>
    <row r="81" spans="18:26">
      <c r="R81" s="15"/>
      <c r="S81" s="16"/>
      <c r="T81" s="17">
        <f>IF(AND(COUNTA($A81:$K81)=0,$L81=""),"",IF($S81="Paid","PAID",IF($S81="Closed","CLOSED",IF($W81="","",IF($W81=6,"ESCALATED TO ROXANNE",IF(TODAY()&gt;$Y81,"OVERDUE",IF($Y81&lt;=WORKDAY(TODAY(),1,Holidays),"DUE TOMORROW",IF($W81=4,"ESCALATED TO LOCAL OFFICE",IF($W81=5,"ESCALATED TO CBE",IF($X81=TODAY(),"EMAIL SENT","MONITORING"))))))))))</f>
        <v/>
      </c>
      <c r="U81" s="17">
        <f>IF($T81="",IF(AND(COUNTA($A81:$K81)&gt;0,$L81=""),"Awaiting Collection Email time stamp.",""),IF(OR($T81="PAID",$T81="CLOSED"),IF($T81="PAID","Account paid. Action completed.","Account closed. No further action required."),CHOOSE($W81,"Collection Email","1st Email Follow-up","2nd Email Follow-up","Escalation to Local Office","Escalation to CBE","Escalation to Roxanne")&amp;" sent "&amp;TEXT($X81,"dd-mmm")&amp;". "&amp;IF($W81=6,"Final escalation completed.",IF($T81="OVERDUE","Next: "&amp;$Z81&amp;" was due "&amp;TEXT($Y81,"dd-mmm")&amp;" - "&amp;(NETWORKDAYS($Y81,TODAY(),Holidays)-1)&amp;" business day(s) late. Send now.",IF($T81="DUE TOMORROW","Next: "&amp;$Z81&amp;IF($Y81&lt;=TODAY()," is due TODAY ("," is due next business day (")&amp;TEXT($Y81,"dd-mmm")&amp;").","Next: "&amp;$Z81&amp;" due "&amp;TEXT($Y81,"dd-mmm")&amp;" ("&amp;(NETWORKDAYS(TODAY(),$Y81,Holidays)-1)&amp;" business day(s) left).")))))</f>
        <v/>
      </c>
      <c r="V81" s="17">
        <f>IF($W81="","",CHOOSE($W81,"Collection Email","1st Follow-up","2nd Follow-up","Local Office","CBE","Roxanne")&amp;IF($W81=6," - Final"," - Day "&amp;MAX(0,NETWORKDAYS($X81,TODAY(),Holidays)-1)&amp;" of "&amp;CHOOSE($W81,3,3,2,2,3))&amp;" | Total Day "&amp;MAX(0,NETWORKDAYS($L81,TODAY(),Holidays)-1))</f>
        <v/>
      </c>
      <c r="W81" s="17">
        <f>IF($L81="","",COUNT($L81:$Q81))</f>
        <v/>
      </c>
      <c r="X81" s="18">
        <f>IF($W81="","",INT(INDEX($L81:$Q81,$W81)))</f>
        <v/>
      </c>
      <c r="Y81" s="18">
        <f>IF(OR($W81="",$W81=6),"",WORKDAY($X81,CHOOSE($W81,3,3,2,2,3),Holidays))</f>
        <v/>
      </c>
      <c r="Z81" s="17">
        <f>IF(OR($W81="",$W81=6),"",CHOOSE($W81,"1st Email Follow-up","2nd Email Follow-up","Escalate Local Office","Escalate to CBE","Escalate to Roxanne"))</f>
        <v/>
      </c>
    </row>
    <row r="82" spans="18:26">
      <c r="R82" s="15"/>
      <c r="S82" s="16"/>
      <c r="T82" s="17">
        <f>IF(AND(COUNTA($A82:$K82)=0,$L82=""),"",IF($S82="Paid","PAID",IF($S82="Closed","CLOSED",IF($W82="","",IF($W82=6,"ESCALATED TO ROXANNE",IF(TODAY()&gt;$Y82,"OVERDUE",IF($Y82&lt;=WORKDAY(TODAY(),1,Holidays),"DUE TOMORROW",IF($W82=4,"ESCALATED TO LOCAL OFFICE",IF($W82=5,"ESCALATED TO CBE",IF($X82=TODAY(),"EMAIL SENT","MONITORING"))))))))))</f>
        <v/>
      </c>
      <c r="U82" s="17">
        <f>IF($T82="",IF(AND(COUNTA($A82:$K82)&gt;0,$L82=""),"Awaiting Collection Email time stamp.",""),IF(OR($T82="PAID",$T82="CLOSED"),IF($T82="PAID","Account paid. Action completed.","Account closed. No further action required."),CHOOSE($W82,"Collection Email","1st Email Follow-up","2nd Email Follow-up","Escalation to Local Office","Escalation to CBE","Escalation to Roxanne")&amp;" sent "&amp;TEXT($X82,"dd-mmm")&amp;". "&amp;IF($W82=6,"Final escalation completed.",IF($T82="OVERDUE","Next: "&amp;$Z82&amp;" was due "&amp;TEXT($Y82,"dd-mmm")&amp;" - "&amp;(NETWORKDAYS($Y82,TODAY(),Holidays)-1)&amp;" business day(s) late. Send now.",IF($T82="DUE TOMORROW","Next: "&amp;$Z82&amp;IF($Y82&lt;=TODAY()," is due TODAY ("," is due next business day (")&amp;TEXT($Y82,"dd-mmm")&amp;").","Next: "&amp;$Z82&amp;" due "&amp;TEXT($Y82,"dd-mmm")&amp;" ("&amp;(NETWORKDAYS(TODAY(),$Y82,Holidays)-1)&amp;" business day(s) left).")))))</f>
        <v/>
      </c>
      <c r="V82" s="17">
        <f>IF($W82="","",CHOOSE($W82,"Collection Email","1st Follow-up","2nd Follow-up","Local Office","CBE","Roxanne")&amp;IF($W82=6," - Final"," - Day "&amp;MAX(0,NETWORKDAYS($X82,TODAY(),Holidays)-1)&amp;" of "&amp;CHOOSE($W82,3,3,2,2,3))&amp;" | Total Day "&amp;MAX(0,NETWORKDAYS($L82,TODAY(),Holidays)-1))</f>
        <v/>
      </c>
      <c r="W82" s="17">
        <f>IF($L82="","",COUNT($L82:$Q82))</f>
        <v/>
      </c>
      <c r="X82" s="18">
        <f>IF($W82="","",INT(INDEX($L82:$Q82,$W82)))</f>
        <v/>
      </c>
      <c r="Y82" s="18">
        <f>IF(OR($W82="",$W82=6),"",WORKDAY($X82,CHOOSE($W82,3,3,2,2,3),Holidays))</f>
        <v/>
      </c>
      <c r="Z82" s="17">
        <f>IF(OR($W82="",$W82=6),"",CHOOSE($W82,"1st Email Follow-up","2nd Email Follow-up","Escalate Local Office","Escalate to CBE","Escalate to Roxanne"))</f>
        <v/>
      </c>
    </row>
    <row r="83" spans="18:26">
      <c r="R83" s="15"/>
      <c r="S83" s="16"/>
      <c r="T83" s="17">
        <f>IF(AND(COUNTA($A83:$K83)=0,$L83=""),"",IF($S83="Paid","PAID",IF($S83="Closed","CLOSED",IF($W83="","",IF($W83=6,"ESCALATED TO ROXANNE",IF(TODAY()&gt;$Y83,"OVERDUE",IF($Y83&lt;=WORKDAY(TODAY(),1,Holidays),"DUE TOMORROW",IF($W83=4,"ESCALATED TO LOCAL OFFICE",IF($W83=5,"ESCALATED TO CBE",IF($X83=TODAY(),"EMAIL SENT","MONITORING"))))))))))</f>
        <v/>
      </c>
      <c r="U83" s="17">
        <f>IF($T83="",IF(AND(COUNTA($A83:$K83)&gt;0,$L83=""),"Awaiting Collection Email time stamp.",""),IF(OR($T83="PAID",$T83="CLOSED"),IF($T83="PAID","Account paid. Action completed.","Account closed. No further action required."),CHOOSE($W83,"Collection Email","1st Email Follow-up","2nd Email Follow-up","Escalation to Local Office","Escalation to CBE","Escalation to Roxanne")&amp;" sent "&amp;TEXT($X83,"dd-mmm")&amp;". "&amp;IF($W83=6,"Final escalation completed.",IF($T83="OVERDUE","Next: "&amp;$Z83&amp;" was due "&amp;TEXT($Y83,"dd-mmm")&amp;" - "&amp;(NETWORKDAYS($Y83,TODAY(),Holidays)-1)&amp;" business day(s) late. Send now.",IF($T83="DUE TOMORROW","Next: "&amp;$Z83&amp;IF($Y83&lt;=TODAY()," is due TODAY ("," is due next business day (")&amp;TEXT($Y83,"dd-mmm")&amp;").","Next: "&amp;$Z83&amp;" due "&amp;TEXT($Y83,"dd-mmm")&amp;" ("&amp;(NETWORKDAYS(TODAY(),$Y83,Holidays)-1)&amp;" business day(s) left).")))))</f>
        <v/>
      </c>
      <c r="V83" s="17">
        <f>IF($W83="","",CHOOSE($W83,"Collection Email","1st Follow-up","2nd Follow-up","Local Office","CBE","Roxanne")&amp;IF($W83=6," - Final"," - Day "&amp;MAX(0,NETWORKDAYS($X83,TODAY(),Holidays)-1)&amp;" of "&amp;CHOOSE($W83,3,3,2,2,3))&amp;" | Total Day "&amp;MAX(0,NETWORKDAYS($L83,TODAY(),Holidays)-1))</f>
        <v/>
      </c>
      <c r="W83" s="17">
        <f>IF($L83="","",COUNT($L83:$Q83))</f>
        <v/>
      </c>
      <c r="X83" s="18">
        <f>IF($W83="","",INT(INDEX($L83:$Q83,$W83)))</f>
        <v/>
      </c>
      <c r="Y83" s="18">
        <f>IF(OR($W83="",$W83=6),"",WORKDAY($X83,CHOOSE($W83,3,3,2,2,3),Holidays))</f>
        <v/>
      </c>
      <c r="Z83" s="17">
        <f>IF(OR($W83="",$W83=6),"",CHOOSE($W83,"1st Email Follow-up","2nd Email Follow-up","Escalate Local Office","Escalate to CBE","Escalate to Roxanne"))</f>
        <v/>
      </c>
    </row>
    <row r="84" spans="18:26">
      <c r="R84" s="15"/>
      <c r="S84" s="16"/>
      <c r="T84" s="17">
        <f>IF(AND(COUNTA($A84:$K84)=0,$L84=""),"",IF($S84="Paid","PAID",IF($S84="Closed","CLOSED",IF($W84="","",IF($W84=6,"ESCALATED TO ROXANNE",IF(TODAY()&gt;$Y84,"OVERDUE",IF($Y84&lt;=WORKDAY(TODAY(),1,Holidays),"DUE TOMORROW",IF($W84=4,"ESCALATED TO LOCAL OFFICE",IF($W84=5,"ESCALATED TO CBE",IF($X84=TODAY(),"EMAIL SENT","MONITORING"))))))))))</f>
        <v/>
      </c>
      <c r="U84" s="17">
        <f>IF($T84="",IF(AND(COUNTA($A84:$K84)&gt;0,$L84=""),"Awaiting Collection Email time stamp.",""),IF(OR($T84="PAID",$T84="CLOSED"),IF($T84="PAID","Account paid. Action completed.","Account closed. No further action required."),CHOOSE($W84,"Collection Email","1st Email Follow-up","2nd Email Follow-up","Escalation to Local Office","Escalation to CBE","Escalation to Roxanne")&amp;" sent "&amp;TEXT($X84,"dd-mmm")&amp;". "&amp;IF($W84=6,"Final escalation completed.",IF($T84="OVERDUE","Next: "&amp;$Z84&amp;" was due "&amp;TEXT($Y84,"dd-mmm")&amp;" - "&amp;(NETWORKDAYS($Y84,TODAY(),Holidays)-1)&amp;" business day(s) late. Send now.",IF($T84="DUE TOMORROW","Next: "&amp;$Z84&amp;IF($Y84&lt;=TODAY()," is due TODAY ("," is due next business day (")&amp;TEXT($Y84,"dd-mmm")&amp;").","Next: "&amp;$Z84&amp;" due "&amp;TEXT($Y84,"dd-mmm")&amp;" ("&amp;(NETWORKDAYS(TODAY(),$Y84,Holidays)-1)&amp;" business day(s) left).")))))</f>
        <v/>
      </c>
      <c r="V84" s="17">
        <f>IF($W84="","",CHOOSE($W84,"Collection Email","1st Follow-up","2nd Follow-up","Local Office","CBE","Roxanne")&amp;IF($W84=6," - Final"," - Day "&amp;MAX(0,NETWORKDAYS($X84,TODAY(),Holidays)-1)&amp;" of "&amp;CHOOSE($W84,3,3,2,2,3))&amp;" | Total Day "&amp;MAX(0,NETWORKDAYS($L84,TODAY(),Holidays)-1))</f>
        <v/>
      </c>
      <c r="W84" s="17">
        <f>IF($L84="","",COUNT($L84:$Q84))</f>
        <v/>
      </c>
      <c r="X84" s="18">
        <f>IF($W84="","",INT(INDEX($L84:$Q84,$W84)))</f>
        <v/>
      </c>
      <c r="Y84" s="18">
        <f>IF(OR($W84="",$W84=6),"",WORKDAY($X84,CHOOSE($W84,3,3,2,2,3),Holidays))</f>
        <v/>
      </c>
      <c r="Z84" s="17">
        <f>IF(OR($W84="",$W84=6),"",CHOOSE($W84,"1st Email Follow-up","2nd Email Follow-up","Escalate Local Office","Escalate to CBE","Escalate to Roxanne"))</f>
        <v/>
      </c>
    </row>
    <row r="85" spans="18:26">
      <c r="R85" s="15"/>
      <c r="S85" s="16"/>
      <c r="T85" s="17">
        <f>IF(AND(COUNTA($A85:$K85)=0,$L85=""),"",IF($S85="Paid","PAID",IF($S85="Closed","CLOSED",IF($W85="","",IF($W85=6,"ESCALATED TO ROXANNE",IF(TODAY()&gt;$Y85,"OVERDUE",IF($Y85&lt;=WORKDAY(TODAY(),1,Holidays),"DUE TOMORROW",IF($W85=4,"ESCALATED TO LOCAL OFFICE",IF($W85=5,"ESCALATED TO CBE",IF($X85=TODAY(),"EMAIL SENT","MONITORING"))))))))))</f>
        <v/>
      </c>
      <c r="U85" s="17">
        <f>IF($T85="",IF(AND(COUNTA($A85:$K85)&gt;0,$L85=""),"Awaiting Collection Email time stamp.",""),IF(OR($T85="PAID",$T85="CLOSED"),IF($T85="PAID","Account paid. Action completed.","Account closed. No further action required."),CHOOSE($W85,"Collection Email","1st Email Follow-up","2nd Email Follow-up","Escalation to Local Office","Escalation to CBE","Escalation to Roxanne")&amp;" sent "&amp;TEXT($X85,"dd-mmm")&amp;". "&amp;IF($W85=6,"Final escalation completed.",IF($T85="OVERDUE","Next: "&amp;$Z85&amp;" was due "&amp;TEXT($Y85,"dd-mmm")&amp;" - "&amp;(NETWORKDAYS($Y85,TODAY(),Holidays)-1)&amp;" business day(s) late. Send now.",IF($T85="DUE TOMORROW","Next: "&amp;$Z85&amp;IF($Y85&lt;=TODAY()," is due TODAY ("," is due next business day (")&amp;TEXT($Y85,"dd-mmm")&amp;").","Next: "&amp;$Z85&amp;" due "&amp;TEXT($Y85,"dd-mmm")&amp;" ("&amp;(NETWORKDAYS(TODAY(),$Y85,Holidays)-1)&amp;" business day(s) left).")))))</f>
        <v/>
      </c>
      <c r="V85" s="17">
        <f>IF($W85="","",CHOOSE($W85,"Collection Email","1st Follow-up","2nd Follow-up","Local Office","CBE","Roxanne")&amp;IF($W85=6," - Final"," - Day "&amp;MAX(0,NETWORKDAYS($X85,TODAY(),Holidays)-1)&amp;" of "&amp;CHOOSE($W85,3,3,2,2,3))&amp;" | Total Day "&amp;MAX(0,NETWORKDAYS($L85,TODAY(),Holidays)-1))</f>
        <v/>
      </c>
      <c r="W85" s="17">
        <f>IF($L85="","",COUNT($L85:$Q85))</f>
        <v/>
      </c>
      <c r="X85" s="18">
        <f>IF($W85="","",INT(INDEX($L85:$Q85,$W85)))</f>
        <v/>
      </c>
      <c r="Y85" s="18">
        <f>IF(OR($W85="",$W85=6),"",WORKDAY($X85,CHOOSE($W85,3,3,2,2,3),Holidays))</f>
        <v/>
      </c>
      <c r="Z85" s="17">
        <f>IF(OR($W85="",$W85=6),"",CHOOSE($W85,"1st Email Follow-up","2nd Email Follow-up","Escalate Local Office","Escalate to CBE","Escalate to Roxanne"))</f>
        <v/>
      </c>
    </row>
    <row r="86" spans="18:26">
      <c r="R86" s="15"/>
      <c r="S86" s="16"/>
      <c r="T86" s="17">
        <f>IF(AND(COUNTA($A86:$K86)=0,$L86=""),"",IF($S86="Paid","PAID",IF($S86="Closed","CLOSED",IF($W86="","",IF($W86=6,"ESCALATED TO ROXANNE",IF(TODAY()&gt;$Y86,"OVERDUE",IF($Y86&lt;=WORKDAY(TODAY(),1,Holidays),"DUE TOMORROW",IF($W86=4,"ESCALATED TO LOCAL OFFICE",IF($W86=5,"ESCALATED TO CBE",IF($X86=TODAY(),"EMAIL SENT","MONITORING"))))))))))</f>
        <v/>
      </c>
      <c r="U86" s="17">
        <f>IF($T86="",IF(AND(COUNTA($A86:$K86)&gt;0,$L86=""),"Awaiting Collection Email time stamp.",""),IF(OR($T86="PAID",$T86="CLOSED"),IF($T86="PAID","Account paid. Action completed.","Account closed. No further action required."),CHOOSE($W86,"Collection Email","1st Email Follow-up","2nd Email Follow-up","Escalation to Local Office","Escalation to CBE","Escalation to Roxanne")&amp;" sent "&amp;TEXT($X86,"dd-mmm")&amp;". "&amp;IF($W86=6,"Final escalation completed.",IF($T86="OVERDUE","Next: "&amp;$Z86&amp;" was due "&amp;TEXT($Y86,"dd-mmm")&amp;" - "&amp;(NETWORKDAYS($Y86,TODAY(),Holidays)-1)&amp;" business day(s) late. Send now.",IF($T86="DUE TOMORROW","Next: "&amp;$Z86&amp;IF($Y86&lt;=TODAY()," is due TODAY ("," is due next business day (")&amp;TEXT($Y86,"dd-mmm")&amp;").","Next: "&amp;$Z86&amp;" due "&amp;TEXT($Y86,"dd-mmm")&amp;" ("&amp;(NETWORKDAYS(TODAY(),$Y86,Holidays)-1)&amp;" business day(s) left).")))))</f>
        <v/>
      </c>
      <c r="V86" s="17">
        <f>IF($W86="","",CHOOSE($W86,"Collection Email","1st Follow-up","2nd Follow-up","Local Office","CBE","Roxanne")&amp;IF($W86=6," - Final"," - Day "&amp;MAX(0,NETWORKDAYS($X86,TODAY(),Holidays)-1)&amp;" of "&amp;CHOOSE($W86,3,3,2,2,3))&amp;" | Total Day "&amp;MAX(0,NETWORKDAYS($L86,TODAY(),Holidays)-1))</f>
        <v/>
      </c>
      <c r="W86" s="17">
        <f>IF($L86="","",COUNT($L86:$Q86))</f>
        <v/>
      </c>
      <c r="X86" s="18">
        <f>IF($W86="","",INT(INDEX($L86:$Q86,$W86)))</f>
        <v/>
      </c>
      <c r="Y86" s="18">
        <f>IF(OR($W86="",$W86=6),"",WORKDAY($X86,CHOOSE($W86,3,3,2,2,3),Holidays))</f>
        <v/>
      </c>
      <c r="Z86" s="17">
        <f>IF(OR($W86="",$W86=6),"",CHOOSE($W86,"1st Email Follow-up","2nd Email Follow-up","Escalate Local Office","Escalate to CBE","Escalate to Roxanne"))</f>
        <v/>
      </c>
    </row>
    <row r="87" spans="18:26">
      <c r="R87" s="15"/>
      <c r="S87" s="16"/>
      <c r="T87" s="17">
        <f>IF(AND(COUNTA($A87:$K87)=0,$L87=""),"",IF($S87="Paid","PAID",IF($S87="Closed","CLOSED",IF($W87="","",IF($W87=6,"ESCALATED TO ROXANNE",IF(TODAY()&gt;$Y87,"OVERDUE",IF($Y87&lt;=WORKDAY(TODAY(),1,Holidays),"DUE TOMORROW",IF($W87=4,"ESCALATED TO LOCAL OFFICE",IF($W87=5,"ESCALATED TO CBE",IF($X87=TODAY(),"EMAIL SENT","MONITORING"))))))))))</f>
        <v/>
      </c>
      <c r="U87" s="17">
        <f>IF($T87="",IF(AND(COUNTA($A87:$K87)&gt;0,$L87=""),"Awaiting Collection Email time stamp.",""),IF(OR($T87="PAID",$T87="CLOSED"),IF($T87="PAID","Account paid. Action completed.","Account closed. No further action required."),CHOOSE($W87,"Collection Email","1st Email Follow-up","2nd Email Follow-up","Escalation to Local Office","Escalation to CBE","Escalation to Roxanne")&amp;" sent "&amp;TEXT($X87,"dd-mmm")&amp;". "&amp;IF($W87=6,"Final escalation completed.",IF($T87="OVERDUE","Next: "&amp;$Z87&amp;" was due "&amp;TEXT($Y87,"dd-mmm")&amp;" - "&amp;(NETWORKDAYS($Y87,TODAY(),Holidays)-1)&amp;" business day(s) late. Send now.",IF($T87="DUE TOMORROW","Next: "&amp;$Z87&amp;IF($Y87&lt;=TODAY()," is due TODAY ("," is due next business day (")&amp;TEXT($Y87,"dd-mmm")&amp;").","Next: "&amp;$Z87&amp;" due "&amp;TEXT($Y87,"dd-mmm")&amp;" ("&amp;(NETWORKDAYS(TODAY(),$Y87,Holidays)-1)&amp;" business day(s) left).")))))</f>
        <v/>
      </c>
      <c r="V87" s="17">
        <f>IF($W87="","",CHOOSE($W87,"Collection Email","1st Follow-up","2nd Follow-up","Local Office","CBE","Roxanne")&amp;IF($W87=6," - Final"," - Day "&amp;MAX(0,NETWORKDAYS($X87,TODAY(),Holidays)-1)&amp;" of "&amp;CHOOSE($W87,3,3,2,2,3))&amp;" | Total Day "&amp;MAX(0,NETWORKDAYS($L87,TODAY(),Holidays)-1))</f>
        <v/>
      </c>
      <c r="W87" s="17">
        <f>IF($L87="","",COUNT($L87:$Q87))</f>
        <v/>
      </c>
      <c r="X87" s="18">
        <f>IF($W87="","",INT(INDEX($L87:$Q87,$W87)))</f>
        <v/>
      </c>
      <c r="Y87" s="18">
        <f>IF(OR($W87="",$W87=6),"",WORKDAY($X87,CHOOSE($W87,3,3,2,2,3),Holidays))</f>
        <v/>
      </c>
      <c r="Z87" s="17">
        <f>IF(OR($W87="",$W87=6),"",CHOOSE($W87,"1st Email Follow-up","2nd Email Follow-up","Escalate Local Office","Escalate to CBE","Escalate to Roxanne"))</f>
        <v/>
      </c>
    </row>
    <row r="88" spans="18:26">
      <c r="R88" s="15"/>
      <c r="S88" s="16"/>
      <c r="T88" s="17">
        <f>IF(AND(COUNTA($A88:$K88)=0,$L88=""),"",IF($S88="Paid","PAID",IF($S88="Closed","CLOSED",IF($W88="","",IF($W88=6,"ESCALATED TO ROXANNE",IF(TODAY()&gt;$Y88,"OVERDUE",IF($Y88&lt;=WORKDAY(TODAY(),1,Holidays),"DUE TOMORROW",IF($W88=4,"ESCALATED TO LOCAL OFFICE",IF($W88=5,"ESCALATED TO CBE",IF($X88=TODAY(),"EMAIL SENT","MONITORING"))))))))))</f>
        <v/>
      </c>
      <c r="U88" s="17">
        <f>IF($T88="",IF(AND(COUNTA($A88:$K88)&gt;0,$L88=""),"Awaiting Collection Email time stamp.",""),IF(OR($T88="PAID",$T88="CLOSED"),IF($T88="PAID","Account paid. Action completed.","Account closed. No further action required."),CHOOSE($W88,"Collection Email","1st Email Follow-up","2nd Email Follow-up","Escalation to Local Office","Escalation to CBE","Escalation to Roxanne")&amp;" sent "&amp;TEXT($X88,"dd-mmm")&amp;". "&amp;IF($W88=6,"Final escalation completed.",IF($T88="OVERDUE","Next: "&amp;$Z88&amp;" was due "&amp;TEXT($Y88,"dd-mmm")&amp;" - "&amp;(NETWORKDAYS($Y88,TODAY(),Holidays)-1)&amp;" business day(s) late. Send now.",IF($T88="DUE TOMORROW","Next: "&amp;$Z88&amp;IF($Y88&lt;=TODAY()," is due TODAY ("," is due next business day (")&amp;TEXT($Y88,"dd-mmm")&amp;").","Next: "&amp;$Z88&amp;" due "&amp;TEXT($Y88,"dd-mmm")&amp;" ("&amp;(NETWORKDAYS(TODAY(),$Y88,Holidays)-1)&amp;" business day(s) left).")))))</f>
        <v/>
      </c>
      <c r="V88" s="17">
        <f>IF($W88="","",CHOOSE($W88,"Collection Email","1st Follow-up","2nd Follow-up","Local Office","CBE","Roxanne")&amp;IF($W88=6," - Final"," - Day "&amp;MAX(0,NETWORKDAYS($X88,TODAY(),Holidays)-1)&amp;" of "&amp;CHOOSE($W88,3,3,2,2,3))&amp;" | Total Day "&amp;MAX(0,NETWORKDAYS($L88,TODAY(),Holidays)-1))</f>
        <v/>
      </c>
      <c r="W88" s="17">
        <f>IF($L88="","",COUNT($L88:$Q88))</f>
        <v/>
      </c>
      <c r="X88" s="18">
        <f>IF($W88="","",INT(INDEX($L88:$Q88,$W88)))</f>
        <v/>
      </c>
      <c r="Y88" s="18">
        <f>IF(OR($W88="",$W88=6),"",WORKDAY($X88,CHOOSE($W88,3,3,2,2,3),Holidays))</f>
        <v/>
      </c>
      <c r="Z88" s="17">
        <f>IF(OR($W88="",$W88=6),"",CHOOSE($W88,"1st Email Follow-up","2nd Email Follow-up","Escalate Local Office","Escalate to CBE","Escalate to Roxanne"))</f>
        <v/>
      </c>
    </row>
    <row r="89" spans="18:26">
      <c r="R89" s="15"/>
      <c r="S89" s="16"/>
      <c r="T89" s="17">
        <f>IF(AND(COUNTA($A89:$K89)=0,$L89=""),"",IF($S89="Paid","PAID",IF($S89="Closed","CLOSED",IF($W89="","",IF($W89=6,"ESCALATED TO ROXANNE",IF(TODAY()&gt;$Y89,"OVERDUE",IF($Y89&lt;=WORKDAY(TODAY(),1,Holidays),"DUE TOMORROW",IF($W89=4,"ESCALATED TO LOCAL OFFICE",IF($W89=5,"ESCALATED TO CBE",IF($X89=TODAY(),"EMAIL SENT","MONITORING"))))))))))</f>
        <v/>
      </c>
      <c r="U89" s="17">
        <f>IF($T89="",IF(AND(COUNTA($A89:$K89)&gt;0,$L89=""),"Awaiting Collection Email time stamp.",""),IF(OR($T89="PAID",$T89="CLOSED"),IF($T89="PAID","Account paid. Action completed.","Account closed. No further action required."),CHOOSE($W89,"Collection Email","1st Email Follow-up","2nd Email Follow-up","Escalation to Local Office","Escalation to CBE","Escalation to Roxanne")&amp;" sent "&amp;TEXT($X89,"dd-mmm")&amp;". "&amp;IF($W89=6,"Final escalation completed.",IF($T89="OVERDUE","Next: "&amp;$Z89&amp;" was due "&amp;TEXT($Y89,"dd-mmm")&amp;" - "&amp;(NETWORKDAYS($Y89,TODAY(),Holidays)-1)&amp;" business day(s) late. Send now.",IF($T89="DUE TOMORROW","Next: "&amp;$Z89&amp;IF($Y89&lt;=TODAY()," is due TODAY ("," is due next business day (")&amp;TEXT($Y89,"dd-mmm")&amp;").","Next: "&amp;$Z89&amp;" due "&amp;TEXT($Y89,"dd-mmm")&amp;" ("&amp;(NETWORKDAYS(TODAY(),$Y89,Holidays)-1)&amp;" business day(s) left).")))))</f>
        <v/>
      </c>
      <c r="V89" s="17">
        <f>IF($W89="","",CHOOSE($W89,"Collection Email","1st Follow-up","2nd Follow-up","Local Office","CBE","Roxanne")&amp;IF($W89=6," - Final"," - Day "&amp;MAX(0,NETWORKDAYS($X89,TODAY(),Holidays)-1)&amp;" of "&amp;CHOOSE($W89,3,3,2,2,3))&amp;" | Total Day "&amp;MAX(0,NETWORKDAYS($L89,TODAY(),Holidays)-1))</f>
        <v/>
      </c>
      <c r="W89" s="17">
        <f>IF($L89="","",COUNT($L89:$Q89))</f>
        <v/>
      </c>
      <c r="X89" s="18">
        <f>IF($W89="","",INT(INDEX($L89:$Q89,$W89)))</f>
        <v/>
      </c>
      <c r="Y89" s="18">
        <f>IF(OR($W89="",$W89=6),"",WORKDAY($X89,CHOOSE($W89,3,3,2,2,3),Holidays))</f>
        <v/>
      </c>
      <c r="Z89" s="17">
        <f>IF(OR($W89="",$W89=6),"",CHOOSE($W89,"1st Email Follow-up","2nd Email Follow-up","Escalate Local Office","Escalate to CBE","Escalate to Roxanne"))</f>
        <v/>
      </c>
    </row>
    <row r="90" spans="18:26">
      <c r="R90" s="15"/>
      <c r="S90" s="16"/>
      <c r="T90" s="17">
        <f>IF(AND(COUNTA($A90:$K90)=0,$L90=""),"",IF($S90="Paid","PAID",IF($S90="Closed","CLOSED",IF($W90="","",IF($W90=6,"ESCALATED TO ROXANNE",IF(TODAY()&gt;$Y90,"OVERDUE",IF($Y90&lt;=WORKDAY(TODAY(),1,Holidays),"DUE TOMORROW",IF($W90=4,"ESCALATED TO LOCAL OFFICE",IF($W90=5,"ESCALATED TO CBE",IF($X90=TODAY(),"EMAIL SENT","MONITORING"))))))))))</f>
        <v/>
      </c>
      <c r="U90" s="17">
        <f>IF($T90="",IF(AND(COUNTA($A90:$K90)&gt;0,$L90=""),"Awaiting Collection Email time stamp.",""),IF(OR($T90="PAID",$T90="CLOSED"),IF($T90="PAID","Account paid. Action completed.","Account closed. No further action required."),CHOOSE($W90,"Collection Email","1st Email Follow-up","2nd Email Follow-up","Escalation to Local Office","Escalation to CBE","Escalation to Roxanne")&amp;" sent "&amp;TEXT($X90,"dd-mmm")&amp;". "&amp;IF($W90=6,"Final escalation completed.",IF($T90="OVERDUE","Next: "&amp;$Z90&amp;" was due "&amp;TEXT($Y90,"dd-mmm")&amp;" - "&amp;(NETWORKDAYS($Y90,TODAY(),Holidays)-1)&amp;" business day(s) late. Send now.",IF($T90="DUE TOMORROW","Next: "&amp;$Z90&amp;IF($Y90&lt;=TODAY()," is due TODAY ("," is due next business day (")&amp;TEXT($Y90,"dd-mmm")&amp;").","Next: "&amp;$Z90&amp;" due "&amp;TEXT($Y90,"dd-mmm")&amp;" ("&amp;(NETWORKDAYS(TODAY(),$Y90,Holidays)-1)&amp;" business day(s) left).")))))</f>
        <v/>
      </c>
      <c r="V90" s="17">
        <f>IF($W90="","",CHOOSE($W90,"Collection Email","1st Follow-up","2nd Follow-up","Local Office","CBE","Roxanne")&amp;IF($W90=6," - Final"," - Day "&amp;MAX(0,NETWORKDAYS($X90,TODAY(),Holidays)-1)&amp;" of "&amp;CHOOSE($W90,3,3,2,2,3))&amp;" | Total Day "&amp;MAX(0,NETWORKDAYS($L90,TODAY(),Holidays)-1))</f>
        <v/>
      </c>
      <c r="W90" s="17">
        <f>IF($L90="","",COUNT($L90:$Q90))</f>
        <v/>
      </c>
      <c r="X90" s="18">
        <f>IF($W90="","",INT(INDEX($L90:$Q90,$W90)))</f>
        <v/>
      </c>
      <c r="Y90" s="18">
        <f>IF(OR($W90="",$W90=6),"",WORKDAY($X90,CHOOSE($W90,3,3,2,2,3),Holidays))</f>
        <v/>
      </c>
      <c r="Z90" s="17">
        <f>IF(OR($W90="",$W90=6),"",CHOOSE($W90,"1st Email Follow-up","2nd Email Follow-up","Escalate Local Office","Escalate to CBE","Escalate to Roxanne"))</f>
        <v/>
      </c>
    </row>
    <row r="91" spans="18:26">
      <c r="R91" s="15"/>
      <c r="S91" s="16"/>
      <c r="T91" s="17">
        <f>IF(AND(COUNTA($A91:$K91)=0,$L91=""),"",IF($S91="Paid","PAID",IF($S91="Closed","CLOSED",IF($W91="","",IF($W91=6,"ESCALATED TO ROXANNE",IF(TODAY()&gt;$Y91,"OVERDUE",IF($Y91&lt;=WORKDAY(TODAY(),1,Holidays),"DUE TOMORROW",IF($W91=4,"ESCALATED TO LOCAL OFFICE",IF($W91=5,"ESCALATED TO CBE",IF($X91=TODAY(),"EMAIL SENT","MONITORING"))))))))))</f>
        <v/>
      </c>
      <c r="U91" s="17">
        <f>IF($T91="",IF(AND(COUNTA($A91:$K91)&gt;0,$L91=""),"Awaiting Collection Email time stamp.",""),IF(OR($T91="PAID",$T91="CLOSED"),IF($T91="PAID","Account paid. Action completed.","Account closed. No further action required."),CHOOSE($W91,"Collection Email","1st Email Follow-up","2nd Email Follow-up","Escalation to Local Office","Escalation to CBE","Escalation to Roxanne")&amp;" sent "&amp;TEXT($X91,"dd-mmm")&amp;". "&amp;IF($W91=6,"Final escalation completed.",IF($T91="OVERDUE","Next: "&amp;$Z91&amp;" was due "&amp;TEXT($Y91,"dd-mmm")&amp;" - "&amp;(NETWORKDAYS($Y91,TODAY(),Holidays)-1)&amp;" business day(s) late. Send now.",IF($T91="DUE TOMORROW","Next: "&amp;$Z91&amp;IF($Y91&lt;=TODAY()," is due TODAY ("," is due next business day (")&amp;TEXT($Y91,"dd-mmm")&amp;").","Next: "&amp;$Z91&amp;" due "&amp;TEXT($Y91,"dd-mmm")&amp;" ("&amp;(NETWORKDAYS(TODAY(),$Y91,Holidays)-1)&amp;" business day(s) left).")))))</f>
        <v/>
      </c>
      <c r="V91" s="17">
        <f>IF($W91="","",CHOOSE($W91,"Collection Email","1st Follow-up","2nd Follow-up","Local Office","CBE","Roxanne")&amp;IF($W91=6," - Final"," - Day "&amp;MAX(0,NETWORKDAYS($X91,TODAY(),Holidays)-1)&amp;" of "&amp;CHOOSE($W91,3,3,2,2,3))&amp;" | Total Day "&amp;MAX(0,NETWORKDAYS($L91,TODAY(),Holidays)-1))</f>
        <v/>
      </c>
      <c r="W91" s="17">
        <f>IF($L91="","",COUNT($L91:$Q91))</f>
        <v/>
      </c>
      <c r="X91" s="18">
        <f>IF($W91="","",INT(INDEX($L91:$Q91,$W91)))</f>
        <v/>
      </c>
      <c r="Y91" s="18">
        <f>IF(OR($W91="",$W91=6),"",WORKDAY($X91,CHOOSE($W91,3,3,2,2,3),Holidays))</f>
        <v/>
      </c>
      <c r="Z91" s="17">
        <f>IF(OR($W91="",$W91=6),"",CHOOSE($W91,"1st Email Follow-up","2nd Email Follow-up","Escalate Local Office","Escalate to CBE","Escalate to Roxanne"))</f>
        <v/>
      </c>
    </row>
    <row r="92" spans="18:26">
      <c r="R92" s="15"/>
      <c r="S92" s="16"/>
      <c r="T92" s="17">
        <f>IF(AND(COUNTA($A92:$K92)=0,$L92=""),"",IF($S92="Paid","PAID",IF($S92="Closed","CLOSED",IF($W92="","",IF($W92=6,"ESCALATED TO ROXANNE",IF(TODAY()&gt;$Y92,"OVERDUE",IF($Y92&lt;=WORKDAY(TODAY(),1,Holidays),"DUE TOMORROW",IF($W92=4,"ESCALATED TO LOCAL OFFICE",IF($W92=5,"ESCALATED TO CBE",IF($X92=TODAY(),"EMAIL SENT","MONITORING"))))))))))</f>
        <v/>
      </c>
      <c r="U92" s="17">
        <f>IF($T92="",IF(AND(COUNTA($A92:$K92)&gt;0,$L92=""),"Awaiting Collection Email time stamp.",""),IF(OR($T92="PAID",$T92="CLOSED"),IF($T92="PAID","Account paid. Action completed.","Account closed. No further action required."),CHOOSE($W92,"Collection Email","1st Email Follow-up","2nd Email Follow-up","Escalation to Local Office","Escalation to CBE","Escalation to Roxanne")&amp;" sent "&amp;TEXT($X92,"dd-mmm")&amp;". "&amp;IF($W92=6,"Final escalation completed.",IF($T92="OVERDUE","Next: "&amp;$Z92&amp;" was due "&amp;TEXT($Y92,"dd-mmm")&amp;" - "&amp;(NETWORKDAYS($Y92,TODAY(),Holidays)-1)&amp;" business day(s) late. Send now.",IF($T92="DUE TOMORROW","Next: "&amp;$Z92&amp;IF($Y92&lt;=TODAY()," is due TODAY ("," is due next business day (")&amp;TEXT($Y92,"dd-mmm")&amp;").","Next: "&amp;$Z92&amp;" due "&amp;TEXT($Y92,"dd-mmm")&amp;" ("&amp;(NETWORKDAYS(TODAY(),$Y92,Holidays)-1)&amp;" business day(s) left).")))))</f>
        <v/>
      </c>
      <c r="V92" s="17">
        <f>IF($W92="","",CHOOSE($W92,"Collection Email","1st Follow-up","2nd Follow-up","Local Office","CBE","Roxanne")&amp;IF($W92=6," - Final"," - Day "&amp;MAX(0,NETWORKDAYS($X92,TODAY(),Holidays)-1)&amp;" of "&amp;CHOOSE($W92,3,3,2,2,3))&amp;" | Total Day "&amp;MAX(0,NETWORKDAYS($L92,TODAY(),Holidays)-1))</f>
        <v/>
      </c>
      <c r="W92" s="17">
        <f>IF($L92="","",COUNT($L92:$Q92))</f>
        <v/>
      </c>
      <c r="X92" s="18">
        <f>IF($W92="","",INT(INDEX($L92:$Q92,$W92)))</f>
        <v/>
      </c>
      <c r="Y92" s="18">
        <f>IF(OR($W92="",$W92=6),"",WORKDAY($X92,CHOOSE($W92,3,3,2,2,3),Holidays))</f>
        <v/>
      </c>
      <c r="Z92" s="17">
        <f>IF(OR($W92="",$W92=6),"",CHOOSE($W92,"1st Email Follow-up","2nd Email Follow-up","Escalate Local Office","Escalate to CBE","Escalate to Roxanne"))</f>
        <v/>
      </c>
    </row>
    <row r="93" spans="18:26">
      <c r="R93" s="15"/>
      <c r="S93" s="16"/>
      <c r="T93" s="17">
        <f>IF(AND(COUNTA($A93:$K93)=0,$L93=""),"",IF($S93="Paid","PAID",IF($S93="Closed","CLOSED",IF($W93="","",IF($W93=6,"ESCALATED TO ROXANNE",IF(TODAY()&gt;$Y93,"OVERDUE",IF($Y93&lt;=WORKDAY(TODAY(),1,Holidays),"DUE TOMORROW",IF($W93=4,"ESCALATED TO LOCAL OFFICE",IF($W93=5,"ESCALATED TO CBE",IF($X93=TODAY(),"EMAIL SENT","MONITORING"))))))))))</f>
        <v/>
      </c>
      <c r="U93" s="17">
        <f>IF($T93="",IF(AND(COUNTA($A93:$K93)&gt;0,$L93=""),"Awaiting Collection Email time stamp.",""),IF(OR($T93="PAID",$T93="CLOSED"),IF($T93="PAID","Account paid. Action completed.","Account closed. No further action required."),CHOOSE($W93,"Collection Email","1st Email Follow-up","2nd Email Follow-up","Escalation to Local Office","Escalation to CBE","Escalation to Roxanne")&amp;" sent "&amp;TEXT($X93,"dd-mmm")&amp;". "&amp;IF($W93=6,"Final escalation completed.",IF($T93="OVERDUE","Next: "&amp;$Z93&amp;" was due "&amp;TEXT($Y93,"dd-mmm")&amp;" - "&amp;(NETWORKDAYS($Y93,TODAY(),Holidays)-1)&amp;" business day(s) late. Send now.",IF($T93="DUE TOMORROW","Next: "&amp;$Z93&amp;IF($Y93&lt;=TODAY()," is due TODAY ("," is due next business day (")&amp;TEXT($Y93,"dd-mmm")&amp;").","Next: "&amp;$Z93&amp;" due "&amp;TEXT($Y93,"dd-mmm")&amp;" ("&amp;(NETWORKDAYS(TODAY(),$Y93,Holidays)-1)&amp;" business day(s) left).")))))</f>
        <v/>
      </c>
      <c r="V93" s="17">
        <f>IF($W93="","",CHOOSE($W93,"Collection Email","1st Follow-up","2nd Follow-up","Local Office","CBE","Roxanne")&amp;IF($W93=6," - Final"," - Day "&amp;MAX(0,NETWORKDAYS($X93,TODAY(),Holidays)-1)&amp;" of "&amp;CHOOSE($W93,3,3,2,2,3))&amp;" | Total Day "&amp;MAX(0,NETWORKDAYS($L93,TODAY(),Holidays)-1))</f>
        <v/>
      </c>
      <c r="W93" s="17">
        <f>IF($L93="","",COUNT($L93:$Q93))</f>
        <v/>
      </c>
      <c r="X93" s="18">
        <f>IF($W93="","",INT(INDEX($L93:$Q93,$W93)))</f>
        <v/>
      </c>
      <c r="Y93" s="18">
        <f>IF(OR($W93="",$W93=6),"",WORKDAY($X93,CHOOSE($W93,3,3,2,2,3),Holidays))</f>
        <v/>
      </c>
      <c r="Z93" s="17">
        <f>IF(OR($W93="",$W93=6),"",CHOOSE($W93,"1st Email Follow-up","2nd Email Follow-up","Escalate Local Office","Escalate to CBE","Escalate to Roxanne"))</f>
        <v/>
      </c>
    </row>
    <row r="94" spans="18:26">
      <c r="R94" s="15"/>
      <c r="S94" s="16"/>
      <c r="T94" s="17">
        <f>IF(AND(COUNTA($A94:$K94)=0,$L94=""),"",IF($S94="Paid","PAID",IF($S94="Closed","CLOSED",IF($W94="","",IF($W94=6,"ESCALATED TO ROXANNE",IF(TODAY()&gt;$Y94,"OVERDUE",IF($Y94&lt;=WORKDAY(TODAY(),1,Holidays),"DUE TOMORROW",IF($W94=4,"ESCALATED TO LOCAL OFFICE",IF($W94=5,"ESCALATED TO CBE",IF($X94=TODAY(),"EMAIL SENT","MONITORING"))))))))))</f>
        <v/>
      </c>
      <c r="U94" s="17">
        <f>IF($T94="",IF(AND(COUNTA($A94:$K94)&gt;0,$L94=""),"Awaiting Collection Email time stamp.",""),IF(OR($T94="PAID",$T94="CLOSED"),IF($T94="PAID","Account paid. Action completed.","Account closed. No further action required."),CHOOSE($W94,"Collection Email","1st Email Follow-up","2nd Email Follow-up","Escalation to Local Office","Escalation to CBE","Escalation to Roxanne")&amp;" sent "&amp;TEXT($X94,"dd-mmm")&amp;". "&amp;IF($W94=6,"Final escalation completed.",IF($T94="OVERDUE","Next: "&amp;$Z94&amp;" was due "&amp;TEXT($Y94,"dd-mmm")&amp;" - "&amp;(NETWORKDAYS($Y94,TODAY(),Holidays)-1)&amp;" business day(s) late. Send now.",IF($T94="DUE TOMORROW","Next: "&amp;$Z94&amp;IF($Y94&lt;=TODAY()," is due TODAY ("," is due next business day (")&amp;TEXT($Y94,"dd-mmm")&amp;").","Next: "&amp;$Z94&amp;" due "&amp;TEXT($Y94,"dd-mmm")&amp;" ("&amp;(NETWORKDAYS(TODAY(),$Y94,Holidays)-1)&amp;" business day(s) left).")))))</f>
        <v/>
      </c>
      <c r="V94" s="17">
        <f>IF($W94="","",CHOOSE($W94,"Collection Email","1st Follow-up","2nd Follow-up","Local Office","CBE","Roxanne")&amp;IF($W94=6," - Final"," - Day "&amp;MAX(0,NETWORKDAYS($X94,TODAY(),Holidays)-1)&amp;" of "&amp;CHOOSE($W94,3,3,2,2,3))&amp;" | Total Day "&amp;MAX(0,NETWORKDAYS($L94,TODAY(),Holidays)-1))</f>
        <v/>
      </c>
      <c r="W94" s="17">
        <f>IF($L94="","",COUNT($L94:$Q94))</f>
        <v/>
      </c>
      <c r="X94" s="18">
        <f>IF($W94="","",INT(INDEX($L94:$Q94,$W94)))</f>
        <v/>
      </c>
      <c r="Y94" s="18">
        <f>IF(OR($W94="",$W94=6),"",WORKDAY($X94,CHOOSE($W94,3,3,2,2,3),Holidays))</f>
        <v/>
      </c>
      <c r="Z94" s="17">
        <f>IF(OR($W94="",$W94=6),"",CHOOSE($W94,"1st Email Follow-up","2nd Email Follow-up","Escalate Local Office","Escalate to CBE","Escalate to Roxanne"))</f>
        <v/>
      </c>
    </row>
    <row r="95" spans="18:26">
      <c r="R95" s="15"/>
      <c r="S95" s="16"/>
      <c r="T95" s="17">
        <f>IF(AND(COUNTA($A95:$K95)=0,$L95=""),"",IF($S95="Paid","PAID",IF($S95="Closed","CLOSED",IF($W95="","",IF($W95=6,"ESCALATED TO ROXANNE",IF(TODAY()&gt;$Y95,"OVERDUE",IF($Y95&lt;=WORKDAY(TODAY(),1,Holidays),"DUE TOMORROW",IF($W95=4,"ESCALATED TO LOCAL OFFICE",IF($W95=5,"ESCALATED TO CBE",IF($X95=TODAY(),"EMAIL SENT","MONITORING"))))))))))</f>
        <v/>
      </c>
      <c r="U95" s="17">
        <f>IF($T95="",IF(AND(COUNTA($A95:$K95)&gt;0,$L95=""),"Awaiting Collection Email time stamp.",""),IF(OR($T95="PAID",$T95="CLOSED"),IF($T95="PAID","Account paid. Action completed.","Account closed. No further action required."),CHOOSE($W95,"Collection Email","1st Email Follow-up","2nd Email Follow-up","Escalation to Local Office","Escalation to CBE","Escalation to Roxanne")&amp;" sent "&amp;TEXT($X95,"dd-mmm")&amp;". "&amp;IF($W95=6,"Final escalation completed.",IF($T95="OVERDUE","Next: "&amp;$Z95&amp;" was due "&amp;TEXT($Y95,"dd-mmm")&amp;" - "&amp;(NETWORKDAYS($Y95,TODAY(),Holidays)-1)&amp;" business day(s) late. Send now.",IF($T95="DUE TOMORROW","Next: "&amp;$Z95&amp;IF($Y95&lt;=TODAY()," is due TODAY ("," is due next business day (")&amp;TEXT($Y95,"dd-mmm")&amp;").","Next: "&amp;$Z95&amp;" due "&amp;TEXT($Y95,"dd-mmm")&amp;" ("&amp;(NETWORKDAYS(TODAY(),$Y95,Holidays)-1)&amp;" business day(s) left).")))))</f>
        <v/>
      </c>
      <c r="V95" s="17">
        <f>IF($W95="","",CHOOSE($W95,"Collection Email","1st Follow-up","2nd Follow-up","Local Office","CBE","Roxanne")&amp;IF($W95=6," - Final"," - Day "&amp;MAX(0,NETWORKDAYS($X95,TODAY(),Holidays)-1)&amp;" of "&amp;CHOOSE($W95,3,3,2,2,3))&amp;" | Total Day "&amp;MAX(0,NETWORKDAYS($L95,TODAY(),Holidays)-1))</f>
        <v/>
      </c>
      <c r="W95" s="17">
        <f>IF($L95="","",COUNT($L95:$Q95))</f>
        <v/>
      </c>
      <c r="X95" s="18">
        <f>IF($W95="","",INT(INDEX($L95:$Q95,$W95)))</f>
        <v/>
      </c>
      <c r="Y95" s="18">
        <f>IF(OR($W95="",$W95=6),"",WORKDAY($X95,CHOOSE($W95,3,3,2,2,3),Holidays))</f>
        <v/>
      </c>
      <c r="Z95" s="17">
        <f>IF(OR($W95="",$W95=6),"",CHOOSE($W95,"1st Email Follow-up","2nd Email Follow-up","Escalate Local Office","Escalate to CBE","Escalate to Roxanne"))</f>
        <v/>
      </c>
    </row>
    <row r="96" spans="18:26">
      <c r="R96" s="15"/>
      <c r="S96" s="16"/>
      <c r="T96" s="17">
        <f>IF(AND(COUNTA($A96:$K96)=0,$L96=""),"",IF($S96="Paid","PAID",IF($S96="Closed","CLOSED",IF($W96="","",IF($W96=6,"ESCALATED TO ROXANNE",IF(TODAY()&gt;$Y96,"OVERDUE",IF($Y96&lt;=WORKDAY(TODAY(),1,Holidays),"DUE TOMORROW",IF($W96=4,"ESCALATED TO LOCAL OFFICE",IF($W96=5,"ESCALATED TO CBE",IF($X96=TODAY(),"EMAIL SENT","MONITORING"))))))))))</f>
        <v/>
      </c>
      <c r="U96" s="17">
        <f>IF($T96="",IF(AND(COUNTA($A96:$K96)&gt;0,$L96=""),"Awaiting Collection Email time stamp.",""),IF(OR($T96="PAID",$T96="CLOSED"),IF($T96="PAID","Account paid. Action completed.","Account closed. No further action required."),CHOOSE($W96,"Collection Email","1st Email Follow-up","2nd Email Follow-up","Escalation to Local Office","Escalation to CBE","Escalation to Roxanne")&amp;" sent "&amp;TEXT($X96,"dd-mmm")&amp;". "&amp;IF($W96=6,"Final escalation completed.",IF($T96="OVERDUE","Next: "&amp;$Z96&amp;" was due "&amp;TEXT($Y96,"dd-mmm")&amp;" - "&amp;(NETWORKDAYS($Y96,TODAY(),Holidays)-1)&amp;" business day(s) late. Send now.",IF($T96="DUE TOMORROW","Next: "&amp;$Z96&amp;IF($Y96&lt;=TODAY()," is due TODAY ("," is due next business day (")&amp;TEXT($Y96,"dd-mmm")&amp;").","Next: "&amp;$Z96&amp;" due "&amp;TEXT($Y96,"dd-mmm")&amp;" ("&amp;(NETWORKDAYS(TODAY(),$Y96,Holidays)-1)&amp;" business day(s) left).")))))</f>
        <v/>
      </c>
      <c r="V96" s="17">
        <f>IF($W96="","",CHOOSE($W96,"Collection Email","1st Follow-up","2nd Follow-up","Local Office","CBE","Roxanne")&amp;IF($W96=6," - Final"," - Day "&amp;MAX(0,NETWORKDAYS($X96,TODAY(),Holidays)-1)&amp;" of "&amp;CHOOSE($W96,3,3,2,2,3))&amp;" | Total Day "&amp;MAX(0,NETWORKDAYS($L96,TODAY(),Holidays)-1))</f>
        <v/>
      </c>
      <c r="W96" s="17">
        <f>IF($L96="","",COUNT($L96:$Q96))</f>
        <v/>
      </c>
      <c r="X96" s="18">
        <f>IF($W96="","",INT(INDEX($L96:$Q96,$W96)))</f>
        <v/>
      </c>
      <c r="Y96" s="18">
        <f>IF(OR($W96="",$W96=6),"",WORKDAY($X96,CHOOSE($W96,3,3,2,2,3),Holidays))</f>
        <v/>
      </c>
      <c r="Z96" s="17">
        <f>IF(OR($W96="",$W96=6),"",CHOOSE($W96,"1st Email Follow-up","2nd Email Follow-up","Escalate Local Office","Escalate to CBE","Escalate to Roxanne"))</f>
        <v/>
      </c>
    </row>
    <row r="97" spans="18:26">
      <c r="R97" s="15"/>
      <c r="S97" s="16"/>
      <c r="T97" s="17">
        <f>IF(AND(COUNTA($A97:$K97)=0,$L97=""),"",IF($S97="Paid","PAID",IF($S97="Closed","CLOSED",IF($W97="","",IF($W97=6,"ESCALATED TO ROXANNE",IF(TODAY()&gt;$Y97,"OVERDUE",IF($Y97&lt;=WORKDAY(TODAY(),1,Holidays),"DUE TOMORROW",IF($W97=4,"ESCALATED TO LOCAL OFFICE",IF($W97=5,"ESCALATED TO CBE",IF($X97=TODAY(),"EMAIL SENT","MONITORING"))))))))))</f>
        <v/>
      </c>
      <c r="U97" s="17">
        <f>IF($T97="",IF(AND(COUNTA($A97:$K97)&gt;0,$L97=""),"Awaiting Collection Email time stamp.",""),IF(OR($T97="PAID",$T97="CLOSED"),IF($T97="PAID","Account paid. Action completed.","Account closed. No further action required."),CHOOSE($W97,"Collection Email","1st Email Follow-up","2nd Email Follow-up","Escalation to Local Office","Escalation to CBE","Escalation to Roxanne")&amp;" sent "&amp;TEXT($X97,"dd-mmm")&amp;". "&amp;IF($W97=6,"Final escalation completed.",IF($T97="OVERDUE","Next: "&amp;$Z97&amp;" was due "&amp;TEXT($Y97,"dd-mmm")&amp;" - "&amp;(NETWORKDAYS($Y97,TODAY(),Holidays)-1)&amp;" business day(s) late. Send now.",IF($T97="DUE TOMORROW","Next: "&amp;$Z97&amp;IF($Y97&lt;=TODAY()," is due TODAY ("," is due next business day (")&amp;TEXT($Y97,"dd-mmm")&amp;").","Next: "&amp;$Z97&amp;" due "&amp;TEXT($Y97,"dd-mmm")&amp;" ("&amp;(NETWORKDAYS(TODAY(),$Y97,Holidays)-1)&amp;" business day(s) left).")))))</f>
        <v/>
      </c>
      <c r="V97" s="17">
        <f>IF($W97="","",CHOOSE($W97,"Collection Email","1st Follow-up","2nd Follow-up","Local Office","CBE","Roxanne")&amp;IF($W97=6," - Final"," - Day "&amp;MAX(0,NETWORKDAYS($X97,TODAY(),Holidays)-1)&amp;" of "&amp;CHOOSE($W97,3,3,2,2,3))&amp;" | Total Day "&amp;MAX(0,NETWORKDAYS($L97,TODAY(),Holidays)-1))</f>
        <v/>
      </c>
      <c r="W97" s="17">
        <f>IF($L97="","",COUNT($L97:$Q97))</f>
        <v/>
      </c>
      <c r="X97" s="18">
        <f>IF($W97="","",INT(INDEX($L97:$Q97,$W97)))</f>
        <v/>
      </c>
      <c r="Y97" s="18">
        <f>IF(OR($W97="",$W97=6),"",WORKDAY($X97,CHOOSE($W97,3,3,2,2,3),Holidays))</f>
        <v/>
      </c>
      <c r="Z97" s="17">
        <f>IF(OR($W97="",$W97=6),"",CHOOSE($W97,"1st Email Follow-up","2nd Email Follow-up","Escalate Local Office","Escalate to CBE","Escalate to Roxanne"))</f>
        <v/>
      </c>
    </row>
    <row r="98" spans="18:26">
      <c r="R98" s="15"/>
      <c r="S98" s="16"/>
      <c r="T98" s="17">
        <f>IF(AND(COUNTA($A98:$K98)=0,$L98=""),"",IF($S98="Paid","PAID",IF($S98="Closed","CLOSED",IF($W98="","",IF($W98=6,"ESCALATED TO ROXANNE",IF(TODAY()&gt;$Y98,"OVERDUE",IF($Y98&lt;=WORKDAY(TODAY(),1,Holidays),"DUE TOMORROW",IF($W98=4,"ESCALATED TO LOCAL OFFICE",IF($W98=5,"ESCALATED TO CBE",IF($X98=TODAY(),"EMAIL SENT","MONITORING"))))))))))</f>
        <v/>
      </c>
      <c r="U98" s="17">
        <f>IF($T98="",IF(AND(COUNTA($A98:$K98)&gt;0,$L98=""),"Awaiting Collection Email time stamp.",""),IF(OR($T98="PAID",$T98="CLOSED"),IF($T98="PAID","Account paid. Action completed.","Account closed. No further action required."),CHOOSE($W98,"Collection Email","1st Email Follow-up","2nd Email Follow-up","Escalation to Local Office","Escalation to CBE","Escalation to Roxanne")&amp;" sent "&amp;TEXT($X98,"dd-mmm")&amp;". "&amp;IF($W98=6,"Final escalation completed.",IF($T98="OVERDUE","Next: "&amp;$Z98&amp;" was due "&amp;TEXT($Y98,"dd-mmm")&amp;" - "&amp;(NETWORKDAYS($Y98,TODAY(),Holidays)-1)&amp;" business day(s) late. Send now.",IF($T98="DUE TOMORROW","Next: "&amp;$Z98&amp;IF($Y98&lt;=TODAY()," is due TODAY ("," is due next business day (")&amp;TEXT($Y98,"dd-mmm")&amp;").","Next: "&amp;$Z98&amp;" due "&amp;TEXT($Y98,"dd-mmm")&amp;" ("&amp;(NETWORKDAYS(TODAY(),$Y98,Holidays)-1)&amp;" business day(s) left).")))))</f>
        <v/>
      </c>
      <c r="V98" s="17">
        <f>IF($W98="","",CHOOSE($W98,"Collection Email","1st Follow-up","2nd Follow-up","Local Office","CBE","Roxanne")&amp;IF($W98=6," - Final"," - Day "&amp;MAX(0,NETWORKDAYS($X98,TODAY(),Holidays)-1)&amp;" of "&amp;CHOOSE($W98,3,3,2,2,3))&amp;" | Total Day "&amp;MAX(0,NETWORKDAYS($L98,TODAY(),Holidays)-1))</f>
        <v/>
      </c>
      <c r="W98" s="17">
        <f>IF($L98="","",COUNT($L98:$Q98))</f>
        <v/>
      </c>
      <c r="X98" s="18">
        <f>IF($W98="","",INT(INDEX($L98:$Q98,$W98)))</f>
        <v/>
      </c>
      <c r="Y98" s="18">
        <f>IF(OR($W98="",$W98=6),"",WORKDAY($X98,CHOOSE($W98,3,3,2,2,3),Holidays))</f>
        <v/>
      </c>
      <c r="Z98" s="17">
        <f>IF(OR($W98="",$W98=6),"",CHOOSE($W98,"1st Email Follow-up","2nd Email Follow-up","Escalate Local Office","Escalate to CBE","Escalate to Roxanne"))</f>
        <v/>
      </c>
    </row>
    <row r="99" spans="18:26">
      <c r="R99" s="15"/>
      <c r="S99" s="16"/>
      <c r="T99" s="17">
        <f>IF(AND(COUNTA($A99:$K99)=0,$L99=""),"",IF($S99="Paid","PAID",IF($S99="Closed","CLOSED",IF($W99="","",IF($W99=6,"ESCALATED TO ROXANNE",IF(TODAY()&gt;$Y99,"OVERDUE",IF($Y99&lt;=WORKDAY(TODAY(),1,Holidays),"DUE TOMORROW",IF($W99=4,"ESCALATED TO LOCAL OFFICE",IF($W99=5,"ESCALATED TO CBE",IF($X99=TODAY(),"EMAIL SENT","MONITORING"))))))))))</f>
        <v/>
      </c>
      <c r="U99" s="17">
        <f>IF($T99="",IF(AND(COUNTA($A99:$K99)&gt;0,$L99=""),"Awaiting Collection Email time stamp.",""),IF(OR($T99="PAID",$T99="CLOSED"),IF($T99="PAID","Account paid. Action completed.","Account closed. No further action required."),CHOOSE($W99,"Collection Email","1st Email Follow-up","2nd Email Follow-up","Escalation to Local Office","Escalation to CBE","Escalation to Roxanne")&amp;" sent "&amp;TEXT($X99,"dd-mmm")&amp;". "&amp;IF($W99=6,"Final escalation completed.",IF($T99="OVERDUE","Next: "&amp;$Z99&amp;" was due "&amp;TEXT($Y99,"dd-mmm")&amp;" - "&amp;(NETWORKDAYS($Y99,TODAY(),Holidays)-1)&amp;" business day(s) late. Send now.",IF($T99="DUE TOMORROW","Next: "&amp;$Z99&amp;IF($Y99&lt;=TODAY()," is due TODAY ("," is due next business day (")&amp;TEXT($Y99,"dd-mmm")&amp;").","Next: "&amp;$Z99&amp;" due "&amp;TEXT($Y99,"dd-mmm")&amp;" ("&amp;(NETWORKDAYS(TODAY(),$Y99,Holidays)-1)&amp;" business day(s) left).")))))</f>
        <v/>
      </c>
      <c r="V99" s="17">
        <f>IF($W99="","",CHOOSE($W99,"Collection Email","1st Follow-up","2nd Follow-up","Local Office","CBE","Roxanne")&amp;IF($W99=6," - Final"," - Day "&amp;MAX(0,NETWORKDAYS($X99,TODAY(),Holidays)-1)&amp;" of "&amp;CHOOSE($W99,3,3,2,2,3))&amp;" | Total Day "&amp;MAX(0,NETWORKDAYS($L99,TODAY(),Holidays)-1))</f>
        <v/>
      </c>
      <c r="W99" s="17">
        <f>IF($L99="","",COUNT($L99:$Q99))</f>
        <v/>
      </c>
      <c r="X99" s="18">
        <f>IF($W99="","",INT(INDEX($L99:$Q99,$W99)))</f>
        <v/>
      </c>
      <c r="Y99" s="18">
        <f>IF(OR($W99="",$W99=6),"",WORKDAY($X99,CHOOSE($W99,3,3,2,2,3),Holidays))</f>
        <v/>
      </c>
      <c r="Z99" s="17">
        <f>IF(OR($W99="",$W99=6),"",CHOOSE($W99,"1st Email Follow-up","2nd Email Follow-up","Escalate Local Office","Escalate to CBE","Escalate to Roxanne"))</f>
        <v/>
      </c>
    </row>
    <row r="100" spans="18:26">
      <c r="R100" s="15"/>
      <c r="S100" s="16"/>
      <c r="T100" s="17">
        <f>IF(AND(COUNTA($A100:$K100)=0,$L100=""),"",IF($S100="Paid","PAID",IF($S100="Closed","CLOSED",IF($W100="","",IF($W100=6,"ESCALATED TO ROXANNE",IF(TODAY()&gt;$Y100,"OVERDUE",IF($Y100&lt;=WORKDAY(TODAY(),1,Holidays),"DUE TOMORROW",IF($W100=4,"ESCALATED TO LOCAL OFFICE",IF($W100=5,"ESCALATED TO CBE",IF($X100=TODAY(),"EMAIL SENT","MONITORING"))))))))))</f>
        <v/>
      </c>
      <c r="U100" s="17">
        <f>IF($T100="",IF(AND(COUNTA($A100:$K100)&gt;0,$L100=""),"Awaiting Collection Email time stamp.",""),IF(OR($T100="PAID",$T100="CLOSED"),IF($T100="PAID","Account paid. Action completed.","Account closed. No further action required."),CHOOSE($W100,"Collection Email","1st Email Follow-up","2nd Email Follow-up","Escalation to Local Office","Escalation to CBE","Escalation to Roxanne")&amp;" sent "&amp;TEXT($X100,"dd-mmm")&amp;". "&amp;IF($W100=6,"Final escalation completed.",IF($T100="OVERDUE","Next: "&amp;$Z100&amp;" was due "&amp;TEXT($Y100,"dd-mmm")&amp;" - "&amp;(NETWORKDAYS($Y100,TODAY(),Holidays)-1)&amp;" business day(s) late. Send now.",IF($T100="DUE TOMORROW","Next: "&amp;$Z100&amp;IF($Y100&lt;=TODAY()," is due TODAY ("," is due next business day (")&amp;TEXT($Y100,"dd-mmm")&amp;").","Next: "&amp;$Z100&amp;" due "&amp;TEXT($Y100,"dd-mmm")&amp;" ("&amp;(NETWORKDAYS(TODAY(),$Y100,Holidays)-1)&amp;" business day(s) left).")))))</f>
        <v/>
      </c>
      <c r="V100" s="17">
        <f>IF($W100="","",CHOOSE($W100,"Collection Email","1st Follow-up","2nd Follow-up","Local Office","CBE","Roxanne")&amp;IF($W100=6," - Final"," - Day "&amp;MAX(0,NETWORKDAYS($X100,TODAY(),Holidays)-1)&amp;" of "&amp;CHOOSE($W100,3,3,2,2,3))&amp;" | Total Day "&amp;MAX(0,NETWORKDAYS($L100,TODAY(),Holidays)-1))</f>
        <v/>
      </c>
      <c r="W100" s="17">
        <f>IF($L100="","",COUNT($L100:$Q100))</f>
        <v/>
      </c>
      <c r="X100" s="18">
        <f>IF($W100="","",INT(INDEX($L100:$Q100,$W100)))</f>
        <v/>
      </c>
      <c r="Y100" s="18">
        <f>IF(OR($W100="",$W100=6),"",WORKDAY($X100,CHOOSE($W100,3,3,2,2,3),Holidays))</f>
        <v/>
      </c>
      <c r="Z100" s="17">
        <f>IF(OR($W100="",$W100=6),"",CHOOSE($W100,"1st Email Follow-up","2nd Email Follow-up","Escalate Local Office","Escalate to CBE","Escalate to Roxanne"))</f>
        <v/>
      </c>
    </row>
    <row r="101" spans="18:26">
      <c r="R101" s="15"/>
      <c r="S101" s="16"/>
      <c r="T101" s="17">
        <f>IF(AND(COUNTA($A101:$K101)=0,$L101=""),"",IF($S101="Paid","PAID",IF($S101="Closed","CLOSED",IF($W101="","",IF($W101=6,"ESCALATED TO ROXANNE",IF(TODAY()&gt;$Y101,"OVERDUE",IF($Y101&lt;=WORKDAY(TODAY(),1,Holidays),"DUE TOMORROW",IF($W101=4,"ESCALATED TO LOCAL OFFICE",IF($W101=5,"ESCALATED TO CBE",IF($X101=TODAY(),"EMAIL SENT","MONITORING"))))))))))</f>
        <v/>
      </c>
      <c r="U101" s="17">
        <f>IF($T101="",IF(AND(COUNTA($A101:$K101)&gt;0,$L101=""),"Awaiting Collection Email time stamp.",""),IF(OR($T101="PAID",$T101="CLOSED"),IF($T101="PAID","Account paid. Action completed.","Account closed. No further action required."),CHOOSE($W101,"Collection Email","1st Email Follow-up","2nd Email Follow-up","Escalation to Local Office","Escalation to CBE","Escalation to Roxanne")&amp;" sent "&amp;TEXT($X101,"dd-mmm")&amp;". "&amp;IF($W101=6,"Final escalation completed.",IF($T101="OVERDUE","Next: "&amp;$Z101&amp;" was due "&amp;TEXT($Y101,"dd-mmm")&amp;" - "&amp;(NETWORKDAYS($Y101,TODAY(),Holidays)-1)&amp;" business day(s) late. Send now.",IF($T101="DUE TOMORROW","Next: "&amp;$Z101&amp;IF($Y101&lt;=TODAY()," is due TODAY ("," is due next business day (")&amp;TEXT($Y101,"dd-mmm")&amp;").","Next: "&amp;$Z101&amp;" due "&amp;TEXT($Y101,"dd-mmm")&amp;" ("&amp;(NETWORKDAYS(TODAY(),$Y101,Holidays)-1)&amp;" business day(s) left).")))))</f>
        <v/>
      </c>
      <c r="V101" s="17">
        <f>IF($W101="","",CHOOSE($W101,"Collection Email","1st Follow-up","2nd Follow-up","Local Office","CBE","Roxanne")&amp;IF($W101=6," - Final"," - Day "&amp;MAX(0,NETWORKDAYS($X101,TODAY(),Holidays)-1)&amp;" of "&amp;CHOOSE($W101,3,3,2,2,3))&amp;" | Total Day "&amp;MAX(0,NETWORKDAYS($L101,TODAY(),Holidays)-1))</f>
        <v/>
      </c>
      <c r="W101" s="17">
        <f>IF($L101="","",COUNT($L101:$Q101))</f>
        <v/>
      </c>
      <c r="X101" s="18">
        <f>IF($W101="","",INT(INDEX($L101:$Q101,$W101)))</f>
        <v/>
      </c>
      <c r="Y101" s="18">
        <f>IF(OR($W101="",$W101=6),"",WORKDAY($X101,CHOOSE($W101,3,3,2,2,3),Holidays))</f>
        <v/>
      </c>
      <c r="Z101" s="17">
        <f>IF(OR($W101="",$W101=6),"",CHOOSE($W101,"1st Email Follow-up","2nd Email Follow-up","Escalate Local Office","Escalate to CBE","Escalate to Roxanne"))</f>
        <v/>
      </c>
    </row>
    <row r="102" spans="18:26">
      <c r="R102" s="15"/>
      <c r="S102" s="16"/>
      <c r="T102" s="17">
        <f>IF(AND(COUNTA($A102:$K102)=0,$L102=""),"",IF($S102="Paid","PAID",IF($S102="Closed","CLOSED",IF($W102="","",IF($W102=6,"ESCALATED TO ROXANNE",IF(TODAY()&gt;$Y102,"OVERDUE",IF($Y102&lt;=WORKDAY(TODAY(),1,Holidays),"DUE TOMORROW",IF($W102=4,"ESCALATED TO LOCAL OFFICE",IF($W102=5,"ESCALATED TO CBE",IF($X102=TODAY(),"EMAIL SENT","MONITORING"))))))))))</f>
        <v/>
      </c>
      <c r="U102" s="17">
        <f>IF($T102="",IF(AND(COUNTA($A102:$K102)&gt;0,$L102=""),"Awaiting Collection Email time stamp.",""),IF(OR($T102="PAID",$T102="CLOSED"),IF($T102="PAID","Account paid. Action completed.","Account closed. No further action required."),CHOOSE($W102,"Collection Email","1st Email Follow-up","2nd Email Follow-up","Escalation to Local Office","Escalation to CBE","Escalation to Roxanne")&amp;" sent "&amp;TEXT($X102,"dd-mmm")&amp;". "&amp;IF($W102=6,"Final escalation completed.",IF($T102="OVERDUE","Next: "&amp;$Z102&amp;" was due "&amp;TEXT($Y102,"dd-mmm")&amp;" - "&amp;(NETWORKDAYS($Y102,TODAY(),Holidays)-1)&amp;" business day(s) late. Send now.",IF($T102="DUE TOMORROW","Next: "&amp;$Z102&amp;IF($Y102&lt;=TODAY()," is due TODAY ("," is due next business day (")&amp;TEXT($Y102,"dd-mmm")&amp;").","Next: "&amp;$Z102&amp;" due "&amp;TEXT($Y102,"dd-mmm")&amp;" ("&amp;(NETWORKDAYS(TODAY(),$Y102,Holidays)-1)&amp;" business day(s) left).")))))</f>
        <v/>
      </c>
      <c r="V102" s="17">
        <f>IF($W102="","",CHOOSE($W102,"Collection Email","1st Follow-up","2nd Follow-up","Local Office","CBE","Roxanne")&amp;IF($W102=6," - Final"," - Day "&amp;MAX(0,NETWORKDAYS($X102,TODAY(),Holidays)-1)&amp;" of "&amp;CHOOSE($W102,3,3,2,2,3))&amp;" | Total Day "&amp;MAX(0,NETWORKDAYS($L102,TODAY(),Holidays)-1))</f>
        <v/>
      </c>
      <c r="W102" s="17">
        <f>IF($L102="","",COUNT($L102:$Q102))</f>
        <v/>
      </c>
      <c r="X102" s="18">
        <f>IF($W102="","",INT(INDEX($L102:$Q102,$W102)))</f>
        <v/>
      </c>
      <c r="Y102" s="18">
        <f>IF(OR($W102="",$W102=6),"",WORKDAY($X102,CHOOSE($W102,3,3,2,2,3),Holidays))</f>
        <v/>
      </c>
      <c r="Z102" s="17">
        <f>IF(OR($W102="",$W102=6),"",CHOOSE($W102,"1st Email Follow-up","2nd Email Follow-up","Escalate Local Office","Escalate to CBE","Escalate to Roxanne"))</f>
        <v/>
      </c>
    </row>
    <row r="103" spans="18:26">
      <c r="R103" s="15"/>
      <c r="S103" s="16"/>
      <c r="T103" s="17">
        <f>IF(AND(COUNTA($A103:$K103)=0,$L103=""),"",IF($S103="Paid","PAID",IF($S103="Closed","CLOSED",IF($W103="","",IF($W103=6,"ESCALATED TO ROXANNE",IF(TODAY()&gt;$Y103,"OVERDUE",IF($Y103&lt;=WORKDAY(TODAY(),1,Holidays),"DUE TOMORROW",IF($W103=4,"ESCALATED TO LOCAL OFFICE",IF($W103=5,"ESCALATED TO CBE",IF($X103=TODAY(),"EMAIL SENT","MONITORING"))))))))))</f>
        <v/>
      </c>
      <c r="U103" s="17">
        <f>IF($T103="",IF(AND(COUNTA($A103:$K103)&gt;0,$L103=""),"Awaiting Collection Email time stamp.",""),IF(OR($T103="PAID",$T103="CLOSED"),IF($T103="PAID","Account paid. Action completed.","Account closed. No further action required."),CHOOSE($W103,"Collection Email","1st Email Follow-up","2nd Email Follow-up","Escalation to Local Office","Escalation to CBE","Escalation to Roxanne")&amp;" sent "&amp;TEXT($X103,"dd-mmm")&amp;". "&amp;IF($W103=6,"Final escalation completed.",IF($T103="OVERDUE","Next: "&amp;$Z103&amp;" was due "&amp;TEXT($Y103,"dd-mmm")&amp;" - "&amp;(NETWORKDAYS($Y103,TODAY(),Holidays)-1)&amp;" business day(s) late. Send now.",IF($T103="DUE TOMORROW","Next: "&amp;$Z103&amp;IF($Y103&lt;=TODAY()," is due TODAY ("," is due next business day (")&amp;TEXT($Y103,"dd-mmm")&amp;").","Next: "&amp;$Z103&amp;" due "&amp;TEXT($Y103,"dd-mmm")&amp;" ("&amp;(NETWORKDAYS(TODAY(),$Y103,Holidays)-1)&amp;" business day(s) left).")))))</f>
        <v/>
      </c>
      <c r="V103" s="17">
        <f>IF($W103="","",CHOOSE($W103,"Collection Email","1st Follow-up","2nd Follow-up","Local Office","CBE","Roxanne")&amp;IF($W103=6," - Final"," - Day "&amp;MAX(0,NETWORKDAYS($X103,TODAY(),Holidays)-1)&amp;" of "&amp;CHOOSE($W103,3,3,2,2,3))&amp;" | Total Day "&amp;MAX(0,NETWORKDAYS($L103,TODAY(),Holidays)-1))</f>
        <v/>
      </c>
      <c r="W103" s="17">
        <f>IF($L103="","",COUNT($L103:$Q103))</f>
        <v/>
      </c>
      <c r="X103" s="18">
        <f>IF($W103="","",INT(INDEX($L103:$Q103,$W103)))</f>
        <v/>
      </c>
      <c r="Y103" s="18">
        <f>IF(OR($W103="",$W103=6),"",WORKDAY($X103,CHOOSE($W103,3,3,2,2,3),Holidays))</f>
        <v/>
      </c>
      <c r="Z103" s="17">
        <f>IF(OR($W103="",$W103=6),"",CHOOSE($W103,"1st Email Follow-up","2nd Email Follow-up","Escalate Local Office","Escalate to CBE","Escalate to Roxanne"))</f>
        <v/>
      </c>
    </row>
    <row r="104" spans="18:26">
      <c r="R104" s="15"/>
      <c r="S104" s="16"/>
      <c r="T104" s="17">
        <f>IF(AND(COUNTA($A104:$K104)=0,$L104=""),"",IF($S104="Paid","PAID",IF($S104="Closed","CLOSED",IF($W104="","",IF($W104=6,"ESCALATED TO ROXANNE",IF(TODAY()&gt;$Y104,"OVERDUE",IF($Y104&lt;=WORKDAY(TODAY(),1,Holidays),"DUE TOMORROW",IF($W104=4,"ESCALATED TO LOCAL OFFICE",IF($W104=5,"ESCALATED TO CBE",IF($X104=TODAY(),"EMAIL SENT","MONITORING"))))))))))</f>
        <v/>
      </c>
      <c r="U104" s="17">
        <f>IF($T104="",IF(AND(COUNTA($A104:$K104)&gt;0,$L104=""),"Awaiting Collection Email time stamp.",""),IF(OR($T104="PAID",$T104="CLOSED"),IF($T104="PAID","Account paid. Action completed.","Account closed. No further action required."),CHOOSE($W104,"Collection Email","1st Email Follow-up","2nd Email Follow-up","Escalation to Local Office","Escalation to CBE","Escalation to Roxanne")&amp;" sent "&amp;TEXT($X104,"dd-mmm")&amp;". "&amp;IF($W104=6,"Final escalation completed.",IF($T104="OVERDUE","Next: "&amp;$Z104&amp;" was due "&amp;TEXT($Y104,"dd-mmm")&amp;" - "&amp;(NETWORKDAYS($Y104,TODAY(),Holidays)-1)&amp;" business day(s) late. Send now.",IF($T104="DUE TOMORROW","Next: "&amp;$Z104&amp;IF($Y104&lt;=TODAY()," is due TODAY ("," is due next business day (")&amp;TEXT($Y104,"dd-mmm")&amp;").","Next: "&amp;$Z104&amp;" due "&amp;TEXT($Y104,"dd-mmm")&amp;" ("&amp;(NETWORKDAYS(TODAY(),$Y104,Holidays)-1)&amp;" business day(s) left).")))))</f>
        <v/>
      </c>
      <c r="V104" s="17">
        <f>IF($W104="","",CHOOSE($W104,"Collection Email","1st Follow-up","2nd Follow-up","Local Office","CBE","Roxanne")&amp;IF($W104=6," - Final"," - Day "&amp;MAX(0,NETWORKDAYS($X104,TODAY(),Holidays)-1)&amp;" of "&amp;CHOOSE($W104,3,3,2,2,3))&amp;" | Total Day "&amp;MAX(0,NETWORKDAYS($L104,TODAY(),Holidays)-1))</f>
        <v/>
      </c>
      <c r="W104" s="17">
        <f>IF($L104="","",COUNT($L104:$Q104))</f>
        <v/>
      </c>
      <c r="X104" s="18">
        <f>IF($W104="","",INT(INDEX($L104:$Q104,$W104)))</f>
        <v/>
      </c>
      <c r="Y104" s="18">
        <f>IF(OR($W104="",$W104=6),"",WORKDAY($X104,CHOOSE($W104,3,3,2,2,3),Holidays))</f>
        <v/>
      </c>
      <c r="Z104" s="17">
        <f>IF(OR($W104="",$W104=6),"",CHOOSE($W104,"1st Email Follow-up","2nd Email Follow-up","Escalate Local Office","Escalate to CBE","Escalate to Roxanne"))</f>
        <v/>
      </c>
    </row>
    <row r="105" spans="18:26">
      <c r="R105" s="15"/>
      <c r="S105" s="16"/>
      <c r="T105" s="17">
        <f>IF(AND(COUNTA($A105:$K105)=0,$L105=""),"",IF($S105="Paid","PAID",IF($S105="Closed","CLOSED",IF($W105="","",IF($W105=6,"ESCALATED TO ROXANNE",IF(TODAY()&gt;$Y105,"OVERDUE",IF($Y105&lt;=WORKDAY(TODAY(),1,Holidays),"DUE TOMORROW",IF($W105=4,"ESCALATED TO LOCAL OFFICE",IF($W105=5,"ESCALATED TO CBE",IF($X105=TODAY(),"EMAIL SENT","MONITORING"))))))))))</f>
        <v/>
      </c>
      <c r="U105" s="17">
        <f>IF($T105="",IF(AND(COUNTA($A105:$K105)&gt;0,$L105=""),"Awaiting Collection Email time stamp.",""),IF(OR($T105="PAID",$T105="CLOSED"),IF($T105="PAID","Account paid. Action completed.","Account closed. No further action required."),CHOOSE($W105,"Collection Email","1st Email Follow-up","2nd Email Follow-up","Escalation to Local Office","Escalation to CBE","Escalation to Roxanne")&amp;" sent "&amp;TEXT($X105,"dd-mmm")&amp;". "&amp;IF($W105=6,"Final escalation completed.",IF($T105="OVERDUE","Next: "&amp;$Z105&amp;" was due "&amp;TEXT($Y105,"dd-mmm")&amp;" - "&amp;(NETWORKDAYS($Y105,TODAY(),Holidays)-1)&amp;" business day(s) late. Send now.",IF($T105="DUE TOMORROW","Next: "&amp;$Z105&amp;IF($Y105&lt;=TODAY()," is due TODAY ("," is due next business day (")&amp;TEXT($Y105,"dd-mmm")&amp;").","Next: "&amp;$Z105&amp;" due "&amp;TEXT($Y105,"dd-mmm")&amp;" ("&amp;(NETWORKDAYS(TODAY(),$Y105,Holidays)-1)&amp;" business day(s) left).")))))</f>
        <v/>
      </c>
      <c r="V105" s="17">
        <f>IF($W105="","",CHOOSE($W105,"Collection Email","1st Follow-up","2nd Follow-up","Local Office","CBE","Roxanne")&amp;IF($W105=6," - Final"," - Day "&amp;MAX(0,NETWORKDAYS($X105,TODAY(),Holidays)-1)&amp;" of "&amp;CHOOSE($W105,3,3,2,2,3))&amp;" | Total Day "&amp;MAX(0,NETWORKDAYS($L105,TODAY(),Holidays)-1))</f>
        <v/>
      </c>
      <c r="W105" s="17">
        <f>IF($L105="","",COUNT($L105:$Q105))</f>
        <v/>
      </c>
      <c r="X105" s="18">
        <f>IF($W105="","",INT(INDEX($L105:$Q105,$W105)))</f>
        <v/>
      </c>
      <c r="Y105" s="18">
        <f>IF(OR($W105="",$W105=6),"",WORKDAY($X105,CHOOSE($W105,3,3,2,2,3),Holidays))</f>
        <v/>
      </c>
      <c r="Z105" s="17">
        <f>IF(OR($W105="",$W105=6),"",CHOOSE($W105,"1st Email Follow-up","2nd Email Follow-up","Escalate Local Office","Escalate to CBE","Escalate to Roxanne"))</f>
        <v/>
      </c>
    </row>
    <row r="106" spans="18:26">
      <c r="R106" s="15"/>
      <c r="S106" s="16"/>
      <c r="T106" s="17">
        <f>IF(AND(COUNTA($A106:$K106)=0,$L106=""),"",IF($S106="Paid","PAID",IF($S106="Closed","CLOSED",IF($W106="","",IF($W106=6,"ESCALATED TO ROXANNE",IF(TODAY()&gt;$Y106,"OVERDUE",IF($Y106&lt;=WORKDAY(TODAY(),1,Holidays),"DUE TOMORROW",IF($W106=4,"ESCALATED TO LOCAL OFFICE",IF($W106=5,"ESCALATED TO CBE",IF($X106=TODAY(),"EMAIL SENT","MONITORING"))))))))))</f>
        <v/>
      </c>
      <c r="U106" s="17">
        <f>IF($T106="",IF(AND(COUNTA($A106:$K106)&gt;0,$L106=""),"Awaiting Collection Email time stamp.",""),IF(OR($T106="PAID",$T106="CLOSED"),IF($T106="PAID","Account paid. Action completed.","Account closed. No further action required."),CHOOSE($W106,"Collection Email","1st Email Follow-up","2nd Email Follow-up","Escalation to Local Office","Escalation to CBE","Escalation to Roxanne")&amp;" sent "&amp;TEXT($X106,"dd-mmm")&amp;". "&amp;IF($W106=6,"Final escalation completed.",IF($T106="OVERDUE","Next: "&amp;$Z106&amp;" was due "&amp;TEXT($Y106,"dd-mmm")&amp;" - "&amp;(NETWORKDAYS($Y106,TODAY(),Holidays)-1)&amp;" business day(s) late. Send now.",IF($T106="DUE TOMORROW","Next: "&amp;$Z106&amp;IF($Y106&lt;=TODAY()," is due TODAY ("," is due next business day (")&amp;TEXT($Y106,"dd-mmm")&amp;").","Next: "&amp;$Z106&amp;" due "&amp;TEXT($Y106,"dd-mmm")&amp;" ("&amp;(NETWORKDAYS(TODAY(),$Y106,Holidays)-1)&amp;" business day(s) left).")))))</f>
        <v/>
      </c>
      <c r="V106" s="17">
        <f>IF($W106="","",CHOOSE($W106,"Collection Email","1st Follow-up","2nd Follow-up","Local Office","CBE","Roxanne")&amp;IF($W106=6," - Final"," - Day "&amp;MAX(0,NETWORKDAYS($X106,TODAY(),Holidays)-1)&amp;" of "&amp;CHOOSE($W106,3,3,2,2,3))&amp;" | Total Day "&amp;MAX(0,NETWORKDAYS($L106,TODAY(),Holidays)-1))</f>
        <v/>
      </c>
      <c r="W106" s="17">
        <f>IF($L106="","",COUNT($L106:$Q106))</f>
        <v/>
      </c>
      <c r="X106" s="18">
        <f>IF($W106="","",INT(INDEX($L106:$Q106,$W106)))</f>
        <v/>
      </c>
      <c r="Y106" s="18">
        <f>IF(OR($W106="",$W106=6),"",WORKDAY($X106,CHOOSE($W106,3,3,2,2,3),Holidays))</f>
        <v/>
      </c>
      <c r="Z106" s="17">
        <f>IF(OR($W106="",$W106=6),"",CHOOSE($W106,"1st Email Follow-up","2nd Email Follow-up","Escalate Local Office","Escalate to CBE","Escalate to Roxanne"))</f>
        <v/>
      </c>
    </row>
    <row r="107" spans="18:26">
      <c r="R107" s="15"/>
      <c r="S107" s="16"/>
      <c r="T107" s="17">
        <f>IF(AND(COUNTA($A107:$K107)=0,$L107=""),"",IF($S107="Paid","PAID",IF($S107="Closed","CLOSED",IF($W107="","",IF($W107=6,"ESCALATED TO ROXANNE",IF(TODAY()&gt;$Y107,"OVERDUE",IF($Y107&lt;=WORKDAY(TODAY(),1,Holidays),"DUE TOMORROW",IF($W107=4,"ESCALATED TO LOCAL OFFICE",IF($W107=5,"ESCALATED TO CBE",IF($X107=TODAY(),"EMAIL SENT","MONITORING"))))))))))</f>
        <v/>
      </c>
      <c r="U107" s="17">
        <f>IF($T107="",IF(AND(COUNTA($A107:$K107)&gt;0,$L107=""),"Awaiting Collection Email time stamp.",""),IF(OR($T107="PAID",$T107="CLOSED"),IF($T107="PAID","Account paid. Action completed.","Account closed. No further action required."),CHOOSE($W107,"Collection Email","1st Email Follow-up","2nd Email Follow-up","Escalation to Local Office","Escalation to CBE","Escalation to Roxanne")&amp;" sent "&amp;TEXT($X107,"dd-mmm")&amp;". "&amp;IF($W107=6,"Final escalation completed.",IF($T107="OVERDUE","Next: "&amp;$Z107&amp;" was due "&amp;TEXT($Y107,"dd-mmm")&amp;" - "&amp;(NETWORKDAYS($Y107,TODAY(),Holidays)-1)&amp;" business day(s) late. Send now.",IF($T107="DUE TOMORROW","Next: "&amp;$Z107&amp;IF($Y107&lt;=TODAY()," is due TODAY ("," is due next business day (")&amp;TEXT($Y107,"dd-mmm")&amp;").","Next: "&amp;$Z107&amp;" due "&amp;TEXT($Y107,"dd-mmm")&amp;" ("&amp;(NETWORKDAYS(TODAY(),$Y107,Holidays)-1)&amp;" business day(s) left).")))))</f>
        <v/>
      </c>
      <c r="V107" s="17">
        <f>IF($W107="","",CHOOSE($W107,"Collection Email","1st Follow-up","2nd Follow-up","Local Office","CBE","Roxanne")&amp;IF($W107=6," - Final"," - Day "&amp;MAX(0,NETWORKDAYS($X107,TODAY(),Holidays)-1)&amp;" of "&amp;CHOOSE($W107,3,3,2,2,3))&amp;" | Total Day "&amp;MAX(0,NETWORKDAYS($L107,TODAY(),Holidays)-1))</f>
        <v/>
      </c>
      <c r="W107" s="17">
        <f>IF($L107="","",COUNT($L107:$Q107))</f>
        <v/>
      </c>
      <c r="X107" s="18">
        <f>IF($W107="","",INT(INDEX($L107:$Q107,$W107)))</f>
        <v/>
      </c>
      <c r="Y107" s="18">
        <f>IF(OR($W107="",$W107=6),"",WORKDAY($X107,CHOOSE($W107,3,3,2,2,3),Holidays))</f>
        <v/>
      </c>
      <c r="Z107" s="17">
        <f>IF(OR($W107="",$W107=6),"",CHOOSE($W107,"1st Email Follow-up","2nd Email Follow-up","Escalate Local Office","Escalate to CBE","Escalate to Roxanne"))</f>
        <v/>
      </c>
    </row>
    <row r="108" spans="18:26">
      <c r="R108" s="15"/>
      <c r="S108" s="16"/>
      <c r="T108" s="17">
        <f>IF(AND(COUNTA($A108:$K108)=0,$L108=""),"",IF($S108="Paid","PAID",IF($S108="Closed","CLOSED",IF($W108="","",IF($W108=6,"ESCALATED TO ROXANNE",IF(TODAY()&gt;$Y108,"OVERDUE",IF($Y108&lt;=WORKDAY(TODAY(),1,Holidays),"DUE TOMORROW",IF($W108=4,"ESCALATED TO LOCAL OFFICE",IF($W108=5,"ESCALATED TO CBE",IF($X108=TODAY(),"EMAIL SENT","MONITORING"))))))))))</f>
        <v/>
      </c>
      <c r="U108" s="17">
        <f>IF($T108="",IF(AND(COUNTA($A108:$K108)&gt;0,$L108=""),"Awaiting Collection Email time stamp.",""),IF(OR($T108="PAID",$T108="CLOSED"),IF($T108="PAID","Account paid. Action completed.","Account closed. No further action required."),CHOOSE($W108,"Collection Email","1st Email Follow-up","2nd Email Follow-up","Escalation to Local Office","Escalation to CBE","Escalation to Roxanne")&amp;" sent "&amp;TEXT($X108,"dd-mmm")&amp;". "&amp;IF($W108=6,"Final escalation completed.",IF($T108="OVERDUE","Next: "&amp;$Z108&amp;" was due "&amp;TEXT($Y108,"dd-mmm")&amp;" - "&amp;(NETWORKDAYS($Y108,TODAY(),Holidays)-1)&amp;" business day(s) late. Send now.",IF($T108="DUE TOMORROW","Next: "&amp;$Z108&amp;IF($Y108&lt;=TODAY()," is due TODAY ("," is due next business day (")&amp;TEXT($Y108,"dd-mmm")&amp;").","Next: "&amp;$Z108&amp;" due "&amp;TEXT($Y108,"dd-mmm")&amp;" ("&amp;(NETWORKDAYS(TODAY(),$Y108,Holidays)-1)&amp;" business day(s) left).")))))</f>
        <v/>
      </c>
      <c r="V108" s="17">
        <f>IF($W108="","",CHOOSE($W108,"Collection Email","1st Follow-up","2nd Follow-up","Local Office","CBE","Roxanne")&amp;IF($W108=6," - Final"," - Day "&amp;MAX(0,NETWORKDAYS($X108,TODAY(),Holidays)-1)&amp;" of "&amp;CHOOSE($W108,3,3,2,2,3))&amp;" | Total Day "&amp;MAX(0,NETWORKDAYS($L108,TODAY(),Holidays)-1))</f>
        <v/>
      </c>
      <c r="W108" s="17">
        <f>IF($L108="","",COUNT($L108:$Q108))</f>
        <v/>
      </c>
      <c r="X108" s="18">
        <f>IF($W108="","",INT(INDEX($L108:$Q108,$W108)))</f>
        <v/>
      </c>
      <c r="Y108" s="18">
        <f>IF(OR($W108="",$W108=6),"",WORKDAY($X108,CHOOSE($W108,3,3,2,2,3),Holidays))</f>
        <v/>
      </c>
      <c r="Z108" s="17">
        <f>IF(OR($W108="",$W108=6),"",CHOOSE($W108,"1st Email Follow-up","2nd Email Follow-up","Escalate Local Office","Escalate to CBE","Escalate to Roxanne"))</f>
        <v/>
      </c>
    </row>
    <row r="109" spans="18:26">
      <c r="R109" s="15"/>
      <c r="S109" s="16"/>
      <c r="T109" s="17">
        <f>IF(AND(COUNTA($A109:$K109)=0,$L109=""),"",IF($S109="Paid","PAID",IF($S109="Closed","CLOSED",IF($W109="","",IF($W109=6,"ESCALATED TO ROXANNE",IF(TODAY()&gt;$Y109,"OVERDUE",IF($Y109&lt;=WORKDAY(TODAY(),1,Holidays),"DUE TOMORROW",IF($W109=4,"ESCALATED TO LOCAL OFFICE",IF($W109=5,"ESCALATED TO CBE",IF($X109=TODAY(),"EMAIL SENT","MONITORING"))))))))))</f>
        <v/>
      </c>
      <c r="U109" s="17">
        <f>IF($T109="",IF(AND(COUNTA($A109:$K109)&gt;0,$L109=""),"Awaiting Collection Email time stamp.",""),IF(OR($T109="PAID",$T109="CLOSED"),IF($T109="PAID","Account paid. Action completed.","Account closed. No further action required."),CHOOSE($W109,"Collection Email","1st Email Follow-up","2nd Email Follow-up","Escalation to Local Office","Escalation to CBE","Escalation to Roxanne")&amp;" sent "&amp;TEXT($X109,"dd-mmm")&amp;". "&amp;IF($W109=6,"Final escalation completed.",IF($T109="OVERDUE","Next: "&amp;$Z109&amp;" was due "&amp;TEXT($Y109,"dd-mmm")&amp;" - "&amp;(NETWORKDAYS($Y109,TODAY(),Holidays)-1)&amp;" business day(s) late. Send now.",IF($T109="DUE TOMORROW","Next: "&amp;$Z109&amp;IF($Y109&lt;=TODAY()," is due TODAY ("," is due next business day (")&amp;TEXT($Y109,"dd-mmm")&amp;").","Next: "&amp;$Z109&amp;" due "&amp;TEXT($Y109,"dd-mmm")&amp;" ("&amp;(NETWORKDAYS(TODAY(),$Y109,Holidays)-1)&amp;" business day(s) left).")))))</f>
        <v/>
      </c>
      <c r="V109" s="17">
        <f>IF($W109="","",CHOOSE($W109,"Collection Email","1st Follow-up","2nd Follow-up","Local Office","CBE","Roxanne")&amp;IF($W109=6," - Final"," - Day "&amp;MAX(0,NETWORKDAYS($X109,TODAY(),Holidays)-1)&amp;" of "&amp;CHOOSE($W109,3,3,2,2,3))&amp;" | Total Day "&amp;MAX(0,NETWORKDAYS($L109,TODAY(),Holidays)-1))</f>
        <v/>
      </c>
      <c r="W109" s="17">
        <f>IF($L109="","",COUNT($L109:$Q109))</f>
        <v/>
      </c>
      <c r="X109" s="18">
        <f>IF($W109="","",INT(INDEX($L109:$Q109,$W109)))</f>
        <v/>
      </c>
      <c r="Y109" s="18">
        <f>IF(OR($W109="",$W109=6),"",WORKDAY($X109,CHOOSE($W109,3,3,2,2,3),Holidays))</f>
        <v/>
      </c>
      <c r="Z109" s="17">
        <f>IF(OR($W109="",$W109=6),"",CHOOSE($W109,"1st Email Follow-up","2nd Email Follow-up","Escalate Local Office","Escalate to CBE","Escalate to Roxanne"))</f>
        <v/>
      </c>
    </row>
    <row r="110" spans="18:26">
      <c r="R110" s="15"/>
      <c r="S110" s="16"/>
      <c r="T110" s="17">
        <f>IF(AND(COUNTA($A110:$K110)=0,$L110=""),"",IF($S110="Paid","PAID",IF($S110="Closed","CLOSED",IF($W110="","",IF($W110=6,"ESCALATED TO ROXANNE",IF(TODAY()&gt;$Y110,"OVERDUE",IF($Y110&lt;=WORKDAY(TODAY(),1,Holidays),"DUE TOMORROW",IF($W110=4,"ESCALATED TO LOCAL OFFICE",IF($W110=5,"ESCALATED TO CBE",IF($X110=TODAY(),"EMAIL SENT","MONITORING"))))))))))</f>
        <v/>
      </c>
      <c r="U110" s="17">
        <f>IF($T110="",IF(AND(COUNTA($A110:$K110)&gt;0,$L110=""),"Awaiting Collection Email time stamp.",""),IF(OR($T110="PAID",$T110="CLOSED"),IF($T110="PAID","Account paid. Action completed.","Account closed. No further action required."),CHOOSE($W110,"Collection Email","1st Email Follow-up","2nd Email Follow-up","Escalation to Local Office","Escalation to CBE","Escalation to Roxanne")&amp;" sent "&amp;TEXT($X110,"dd-mmm")&amp;". "&amp;IF($W110=6,"Final escalation completed.",IF($T110="OVERDUE","Next: "&amp;$Z110&amp;" was due "&amp;TEXT($Y110,"dd-mmm")&amp;" - "&amp;(NETWORKDAYS($Y110,TODAY(),Holidays)-1)&amp;" business day(s) late. Send now.",IF($T110="DUE TOMORROW","Next: "&amp;$Z110&amp;IF($Y110&lt;=TODAY()," is due TODAY ("," is due next business day (")&amp;TEXT($Y110,"dd-mmm")&amp;").","Next: "&amp;$Z110&amp;" due "&amp;TEXT($Y110,"dd-mmm")&amp;" ("&amp;(NETWORKDAYS(TODAY(),$Y110,Holidays)-1)&amp;" business day(s) left).")))))</f>
        <v/>
      </c>
      <c r="V110" s="17">
        <f>IF($W110="","",CHOOSE($W110,"Collection Email","1st Follow-up","2nd Follow-up","Local Office","CBE","Roxanne")&amp;IF($W110=6," - Final"," - Day "&amp;MAX(0,NETWORKDAYS($X110,TODAY(),Holidays)-1)&amp;" of "&amp;CHOOSE($W110,3,3,2,2,3))&amp;" | Total Day "&amp;MAX(0,NETWORKDAYS($L110,TODAY(),Holidays)-1))</f>
        <v/>
      </c>
      <c r="W110" s="17">
        <f>IF($L110="","",COUNT($L110:$Q110))</f>
        <v/>
      </c>
      <c r="X110" s="18">
        <f>IF($W110="","",INT(INDEX($L110:$Q110,$W110)))</f>
        <v/>
      </c>
      <c r="Y110" s="18">
        <f>IF(OR($W110="",$W110=6),"",WORKDAY($X110,CHOOSE($W110,3,3,2,2,3),Holidays))</f>
        <v/>
      </c>
      <c r="Z110" s="17">
        <f>IF(OR($W110="",$W110=6),"",CHOOSE($W110,"1st Email Follow-up","2nd Email Follow-up","Escalate Local Office","Escalate to CBE","Escalate to Roxanne"))</f>
        <v/>
      </c>
    </row>
    <row r="111" spans="18:26">
      <c r="R111" s="15"/>
      <c r="S111" s="16"/>
      <c r="T111" s="17">
        <f>IF(AND(COUNTA($A111:$K111)=0,$L111=""),"",IF($S111="Paid","PAID",IF($S111="Closed","CLOSED",IF($W111="","",IF($W111=6,"ESCALATED TO ROXANNE",IF(TODAY()&gt;$Y111,"OVERDUE",IF($Y111&lt;=WORKDAY(TODAY(),1,Holidays),"DUE TOMORROW",IF($W111=4,"ESCALATED TO LOCAL OFFICE",IF($W111=5,"ESCALATED TO CBE",IF($X111=TODAY(),"EMAIL SENT","MONITORING"))))))))))</f>
        <v/>
      </c>
      <c r="U111" s="17">
        <f>IF($T111="",IF(AND(COUNTA($A111:$K111)&gt;0,$L111=""),"Awaiting Collection Email time stamp.",""),IF(OR($T111="PAID",$T111="CLOSED"),IF($T111="PAID","Account paid. Action completed.","Account closed. No further action required."),CHOOSE($W111,"Collection Email","1st Email Follow-up","2nd Email Follow-up","Escalation to Local Office","Escalation to CBE","Escalation to Roxanne")&amp;" sent "&amp;TEXT($X111,"dd-mmm")&amp;". "&amp;IF($W111=6,"Final escalation completed.",IF($T111="OVERDUE","Next: "&amp;$Z111&amp;" was due "&amp;TEXT($Y111,"dd-mmm")&amp;" - "&amp;(NETWORKDAYS($Y111,TODAY(),Holidays)-1)&amp;" business day(s) late. Send now.",IF($T111="DUE TOMORROW","Next: "&amp;$Z111&amp;IF($Y111&lt;=TODAY()," is due TODAY ("," is due next business day (")&amp;TEXT($Y111,"dd-mmm")&amp;").","Next: "&amp;$Z111&amp;" due "&amp;TEXT($Y111,"dd-mmm")&amp;" ("&amp;(NETWORKDAYS(TODAY(),$Y111,Holidays)-1)&amp;" business day(s) left).")))))</f>
        <v/>
      </c>
      <c r="V111" s="17">
        <f>IF($W111="","",CHOOSE($W111,"Collection Email","1st Follow-up","2nd Follow-up","Local Office","CBE","Roxanne")&amp;IF($W111=6," - Final"," - Day "&amp;MAX(0,NETWORKDAYS($X111,TODAY(),Holidays)-1)&amp;" of "&amp;CHOOSE($W111,3,3,2,2,3))&amp;" | Total Day "&amp;MAX(0,NETWORKDAYS($L111,TODAY(),Holidays)-1))</f>
        <v/>
      </c>
      <c r="W111" s="17">
        <f>IF($L111="","",COUNT($L111:$Q111))</f>
        <v/>
      </c>
      <c r="X111" s="18">
        <f>IF($W111="","",INT(INDEX($L111:$Q111,$W111)))</f>
        <v/>
      </c>
      <c r="Y111" s="18">
        <f>IF(OR($W111="",$W111=6),"",WORKDAY($X111,CHOOSE($W111,3,3,2,2,3),Holidays))</f>
        <v/>
      </c>
      <c r="Z111" s="17">
        <f>IF(OR($W111="",$W111=6),"",CHOOSE($W111,"1st Email Follow-up","2nd Email Follow-up","Escalate Local Office","Escalate to CBE","Escalate to Roxanne"))</f>
        <v/>
      </c>
    </row>
    <row r="112" spans="18:26">
      <c r="R112" s="15"/>
      <c r="S112" s="16"/>
      <c r="T112" s="17">
        <f>IF(AND(COUNTA($A112:$K112)=0,$L112=""),"",IF($S112="Paid","PAID",IF($S112="Closed","CLOSED",IF($W112="","",IF($W112=6,"ESCALATED TO ROXANNE",IF(TODAY()&gt;$Y112,"OVERDUE",IF($Y112&lt;=WORKDAY(TODAY(),1,Holidays),"DUE TOMORROW",IF($W112=4,"ESCALATED TO LOCAL OFFICE",IF($W112=5,"ESCALATED TO CBE",IF($X112=TODAY(),"EMAIL SENT","MONITORING"))))))))))</f>
        <v/>
      </c>
      <c r="U112" s="17">
        <f>IF($T112="",IF(AND(COUNTA($A112:$K112)&gt;0,$L112=""),"Awaiting Collection Email time stamp.",""),IF(OR($T112="PAID",$T112="CLOSED"),IF($T112="PAID","Account paid. Action completed.","Account closed. No further action required."),CHOOSE($W112,"Collection Email","1st Email Follow-up","2nd Email Follow-up","Escalation to Local Office","Escalation to CBE","Escalation to Roxanne")&amp;" sent "&amp;TEXT($X112,"dd-mmm")&amp;". "&amp;IF($W112=6,"Final escalation completed.",IF($T112="OVERDUE","Next: "&amp;$Z112&amp;" was due "&amp;TEXT($Y112,"dd-mmm")&amp;" - "&amp;(NETWORKDAYS($Y112,TODAY(),Holidays)-1)&amp;" business day(s) late. Send now.",IF($T112="DUE TOMORROW","Next: "&amp;$Z112&amp;IF($Y112&lt;=TODAY()," is due TODAY ("," is due next business day (")&amp;TEXT($Y112,"dd-mmm")&amp;").","Next: "&amp;$Z112&amp;" due "&amp;TEXT($Y112,"dd-mmm")&amp;" ("&amp;(NETWORKDAYS(TODAY(),$Y112,Holidays)-1)&amp;" business day(s) left).")))))</f>
        <v/>
      </c>
      <c r="V112" s="17">
        <f>IF($W112="","",CHOOSE($W112,"Collection Email","1st Follow-up","2nd Follow-up","Local Office","CBE","Roxanne")&amp;IF($W112=6," - Final"," - Day "&amp;MAX(0,NETWORKDAYS($X112,TODAY(),Holidays)-1)&amp;" of "&amp;CHOOSE($W112,3,3,2,2,3))&amp;" | Total Day "&amp;MAX(0,NETWORKDAYS($L112,TODAY(),Holidays)-1))</f>
        <v/>
      </c>
      <c r="W112" s="17">
        <f>IF($L112="","",COUNT($L112:$Q112))</f>
        <v/>
      </c>
      <c r="X112" s="18">
        <f>IF($W112="","",INT(INDEX($L112:$Q112,$W112)))</f>
        <v/>
      </c>
      <c r="Y112" s="18">
        <f>IF(OR($W112="",$W112=6),"",WORKDAY($X112,CHOOSE($W112,3,3,2,2,3),Holidays))</f>
        <v/>
      </c>
      <c r="Z112" s="17">
        <f>IF(OR($W112="",$W112=6),"",CHOOSE($W112,"1st Email Follow-up","2nd Email Follow-up","Escalate Local Office","Escalate to CBE","Escalate to Roxanne"))</f>
        <v/>
      </c>
    </row>
    <row r="113" spans="18:26">
      <c r="R113" s="15"/>
      <c r="S113" s="16"/>
      <c r="T113" s="17">
        <f>IF(AND(COUNTA($A113:$K113)=0,$L113=""),"",IF($S113="Paid","PAID",IF($S113="Closed","CLOSED",IF($W113="","",IF($W113=6,"ESCALATED TO ROXANNE",IF(TODAY()&gt;$Y113,"OVERDUE",IF($Y113&lt;=WORKDAY(TODAY(),1,Holidays),"DUE TOMORROW",IF($W113=4,"ESCALATED TO LOCAL OFFICE",IF($W113=5,"ESCALATED TO CBE",IF($X113=TODAY(),"EMAIL SENT","MONITORING"))))))))))</f>
        <v/>
      </c>
      <c r="U113" s="17">
        <f>IF($T113="",IF(AND(COUNTA($A113:$K113)&gt;0,$L113=""),"Awaiting Collection Email time stamp.",""),IF(OR($T113="PAID",$T113="CLOSED"),IF($T113="PAID","Account paid. Action completed.","Account closed. No further action required."),CHOOSE($W113,"Collection Email","1st Email Follow-up","2nd Email Follow-up","Escalation to Local Office","Escalation to CBE","Escalation to Roxanne")&amp;" sent "&amp;TEXT($X113,"dd-mmm")&amp;". "&amp;IF($W113=6,"Final escalation completed.",IF($T113="OVERDUE","Next: "&amp;$Z113&amp;" was due "&amp;TEXT($Y113,"dd-mmm")&amp;" - "&amp;(NETWORKDAYS($Y113,TODAY(),Holidays)-1)&amp;" business day(s) late. Send now.",IF($T113="DUE TOMORROW","Next: "&amp;$Z113&amp;IF($Y113&lt;=TODAY()," is due TODAY ("," is due next business day (")&amp;TEXT($Y113,"dd-mmm")&amp;").","Next: "&amp;$Z113&amp;" due "&amp;TEXT($Y113,"dd-mmm")&amp;" ("&amp;(NETWORKDAYS(TODAY(),$Y113,Holidays)-1)&amp;" business day(s) left).")))))</f>
        <v/>
      </c>
      <c r="V113" s="17">
        <f>IF($W113="","",CHOOSE($W113,"Collection Email","1st Follow-up","2nd Follow-up","Local Office","CBE","Roxanne")&amp;IF($W113=6," - Final"," - Day "&amp;MAX(0,NETWORKDAYS($X113,TODAY(),Holidays)-1)&amp;" of "&amp;CHOOSE($W113,3,3,2,2,3))&amp;" | Total Day "&amp;MAX(0,NETWORKDAYS($L113,TODAY(),Holidays)-1))</f>
        <v/>
      </c>
      <c r="W113" s="17">
        <f>IF($L113="","",COUNT($L113:$Q113))</f>
        <v/>
      </c>
      <c r="X113" s="18">
        <f>IF($W113="","",INT(INDEX($L113:$Q113,$W113)))</f>
        <v/>
      </c>
      <c r="Y113" s="18">
        <f>IF(OR($W113="",$W113=6),"",WORKDAY($X113,CHOOSE($W113,3,3,2,2,3),Holidays))</f>
        <v/>
      </c>
      <c r="Z113" s="17">
        <f>IF(OR($W113="",$W113=6),"",CHOOSE($W113,"1st Email Follow-up","2nd Email Follow-up","Escalate Local Office","Escalate to CBE","Escalate to Roxanne"))</f>
        <v/>
      </c>
    </row>
    <row r="114" spans="18:26">
      <c r="R114" s="15"/>
      <c r="S114" s="16"/>
      <c r="T114" s="17">
        <f>IF(AND(COUNTA($A114:$K114)=0,$L114=""),"",IF($S114="Paid","PAID",IF($S114="Closed","CLOSED",IF($W114="","",IF($W114=6,"ESCALATED TO ROXANNE",IF(TODAY()&gt;$Y114,"OVERDUE",IF($Y114&lt;=WORKDAY(TODAY(),1,Holidays),"DUE TOMORROW",IF($W114=4,"ESCALATED TO LOCAL OFFICE",IF($W114=5,"ESCALATED TO CBE",IF($X114=TODAY(),"EMAIL SENT","MONITORING"))))))))))</f>
        <v/>
      </c>
      <c r="U114" s="17">
        <f>IF($T114="",IF(AND(COUNTA($A114:$K114)&gt;0,$L114=""),"Awaiting Collection Email time stamp.",""),IF(OR($T114="PAID",$T114="CLOSED"),IF($T114="PAID","Account paid. Action completed.","Account closed. No further action required."),CHOOSE($W114,"Collection Email","1st Email Follow-up","2nd Email Follow-up","Escalation to Local Office","Escalation to CBE","Escalation to Roxanne")&amp;" sent "&amp;TEXT($X114,"dd-mmm")&amp;". "&amp;IF($W114=6,"Final escalation completed.",IF($T114="OVERDUE","Next: "&amp;$Z114&amp;" was due "&amp;TEXT($Y114,"dd-mmm")&amp;" - "&amp;(NETWORKDAYS($Y114,TODAY(),Holidays)-1)&amp;" business day(s) late. Send now.",IF($T114="DUE TOMORROW","Next: "&amp;$Z114&amp;IF($Y114&lt;=TODAY()," is due TODAY ("," is due next business day (")&amp;TEXT($Y114,"dd-mmm")&amp;").","Next: "&amp;$Z114&amp;" due "&amp;TEXT($Y114,"dd-mmm")&amp;" ("&amp;(NETWORKDAYS(TODAY(),$Y114,Holidays)-1)&amp;" business day(s) left).")))))</f>
        <v/>
      </c>
      <c r="V114" s="17">
        <f>IF($W114="","",CHOOSE($W114,"Collection Email","1st Follow-up","2nd Follow-up","Local Office","CBE","Roxanne")&amp;IF($W114=6," - Final"," - Day "&amp;MAX(0,NETWORKDAYS($X114,TODAY(),Holidays)-1)&amp;" of "&amp;CHOOSE($W114,3,3,2,2,3))&amp;" | Total Day "&amp;MAX(0,NETWORKDAYS($L114,TODAY(),Holidays)-1))</f>
        <v/>
      </c>
      <c r="W114" s="17">
        <f>IF($L114="","",COUNT($L114:$Q114))</f>
        <v/>
      </c>
      <c r="X114" s="18">
        <f>IF($W114="","",INT(INDEX($L114:$Q114,$W114)))</f>
        <v/>
      </c>
      <c r="Y114" s="18">
        <f>IF(OR($W114="",$W114=6),"",WORKDAY($X114,CHOOSE($W114,3,3,2,2,3),Holidays))</f>
        <v/>
      </c>
      <c r="Z114" s="17">
        <f>IF(OR($W114="",$W114=6),"",CHOOSE($W114,"1st Email Follow-up","2nd Email Follow-up","Escalate Local Office","Escalate to CBE","Escalate to Roxanne"))</f>
        <v/>
      </c>
    </row>
    <row r="115" spans="18:26">
      <c r="R115" s="15"/>
      <c r="S115" s="16"/>
      <c r="T115" s="17">
        <f>IF(AND(COUNTA($A115:$K115)=0,$L115=""),"",IF($S115="Paid","PAID",IF($S115="Closed","CLOSED",IF($W115="","",IF($W115=6,"ESCALATED TO ROXANNE",IF(TODAY()&gt;$Y115,"OVERDUE",IF($Y115&lt;=WORKDAY(TODAY(),1,Holidays),"DUE TOMORROW",IF($W115=4,"ESCALATED TO LOCAL OFFICE",IF($W115=5,"ESCALATED TO CBE",IF($X115=TODAY(),"EMAIL SENT","MONITORING"))))))))))</f>
        <v/>
      </c>
      <c r="U115" s="17">
        <f>IF($T115="",IF(AND(COUNTA($A115:$K115)&gt;0,$L115=""),"Awaiting Collection Email time stamp.",""),IF(OR($T115="PAID",$T115="CLOSED"),IF($T115="PAID","Account paid. Action completed.","Account closed. No further action required."),CHOOSE($W115,"Collection Email","1st Email Follow-up","2nd Email Follow-up","Escalation to Local Office","Escalation to CBE","Escalation to Roxanne")&amp;" sent "&amp;TEXT($X115,"dd-mmm")&amp;". "&amp;IF($W115=6,"Final escalation completed.",IF($T115="OVERDUE","Next: "&amp;$Z115&amp;" was due "&amp;TEXT($Y115,"dd-mmm")&amp;" - "&amp;(NETWORKDAYS($Y115,TODAY(),Holidays)-1)&amp;" business day(s) late. Send now.",IF($T115="DUE TOMORROW","Next: "&amp;$Z115&amp;IF($Y115&lt;=TODAY()," is due TODAY ("," is due next business day (")&amp;TEXT($Y115,"dd-mmm")&amp;").","Next: "&amp;$Z115&amp;" due "&amp;TEXT($Y115,"dd-mmm")&amp;" ("&amp;(NETWORKDAYS(TODAY(),$Y115,Holidays)-1)&amp;" business day(s) left).")))))</f>
        <v/>
      </c>
      <c r="V115" s="17">
        <f>IF($W115="","",CHOOSE($W115,"Collection Email","1st Follow-up","2nd Follow-up","Local Office","CBE","Roxanne")&amp;IF($W115=6," - Final"," - Day "&amp;MAX(0,NETWORKDAYS($X115,TODAY(),Holidays)-1)&amp;" of "&amp;CHOOSE($W115,3,3,2,2,3))&amp;" | Total Day "&amp;MAX(0,NETWORKDAYS($L115,TODAY(),Holidays)-1))</f>
        <v/>
      </c>
      <c r="W115" s="17">
        <f>IF($L115="","",COUNT($L115:$Q115))</f>
        <v/>
      </c>
      <c r="X115" s="18">
        <f>IF($W115="","",INT(INDEX($L115:$Q115,$W115)))</f>
        <v/>
      </c>
      <c r="Y115" s="18">
        <f>IF(OR($W115="",$W115=6),"",WORKDAY($X115,CHOOSE($W115,3,3,2,2,3),Holidays))</f>
        <v/>
      </c>
      <c r="Z115" s="17">
        <f>IF(OR($W115="",$W115=6),"",CHOOSE($W115,"1st Email Follow-up","2nd Email Follow-up","Escalate Local Office","Escalate to CBE","Escalate to Roxanne"))</f>
        <v/>
      </c>
    </row>
    <row r="116" spans="18:26">
      <c r="R116" s="15"/>
      <c r="S116" s="16"/>
      <c r="T116" s="17">
        <f>IF(AND(COUNTA($A116:$K116)=0,$L116=""),"",IF($S116="Paid","PAID",IF($S116="Closed","CLOSED",IF($W116="","",IF($W116=6,"ESCALATED TO ROXANNE",IF(TODAY()&gt;$Y116,"OVERDUE",IF($Y116&lt;=WORKDAY(TODAY(),1,Holidays),"DUE TOMORROW",IF($W116=4,"ESCALATED TO LOCAL OFFICE",IF($W116=5,"ESCALATED TO CBE",IF($X116=TODAY(),"EMAIL SENT","MONITORING"))))))))))</f>
        <v/>
      </c>
      <c r="U116" s="17">
        <f>IF($T116="",IF(AND(COUNTA($A116:$K116)&gt;0,$L116=""),"Awaiting Collection Email time stamp.",""),IF(OR($T116="PAID",$T116="CLOSED"),IF($T116="PAID","Account paid. Action completed.","Account closed. No further action required."),CHOOSE($W116,"Collection Email","1st Email Follow-up","2nd Email Follow-up","Escalation to Local Office","Escalation to CBE","Escalation to Roxanne")&amp;" sent "&amp;TEXT($X116,"dd-mmm")&amp;". "&amp;IF($W116=6,"Final escalation completed.",IF($T116="OVERDUE","Next: "&amp;$Z116&amp;" was due "&amp;TEXT($Y116,"dd-mmm")&amp;" - "&amp;(NETWORKDAYS($Y116,TODAY(),Holidays)-1)&amp;" business day(s) late. Send now.",IF($T116="DUE TOMORROW","Next: "&amp;$Z116&amp;IF($Y116&lt;=TODAY()," is due TODAY ("," is due next business day (")&amp;TEXT($Y116,"dd-mmm")&amp;").","Next: "&amp;$Z116&amp;" due "&amp;TEXT($Y116,"dd-mmm")&amp;" ("&amp;(NETWORKDAYS(TODAY(),$Y116,Holidays)-1)&amp;" business day(s) left).")))))</f>
        <v/>
      </c>
      <c r="V116" s="17">
        <f>IF($W116="","",CHOOSE($W116,"Collection Email","1st Follow-up","2nd Follow-up","Local Office","CBE","Roxanne")&amp;IF($W116=6," - Final"," - Day "&amp;MAX(0,NETWORKDAYS($X116,TODAY(),Holidays)-1)&amp;" of "&amp;CHOOSE($W116,3,3,2,2,3))&amp;" | Total Day "&amp;MAX(0,NETWORKDAYS($L116,TODAY(),Holidays)-1))</f>
        <v/>
      </c>
      <c r="W116" s="17">
        <f>IF($L116="","",COUNT($L116:$Q116))</f>
        <v/>
      </c>
      <c r="X116" s="18">
        <f>IF($W116="","",INT(INDEX($L116:$Q116,$W116)))</f>
        <v/>
      </c>
      <c r="Y116" s="18">
        <f>IF(OR($W116="",$W116=6),"",WORKDAY($X116,CHOOSE($W116,3,3,2,2,3),Holidays))</f>
        <v/>
      </c>
      <c r="Z116" s="17">
        <f>IF(OR($W116="",$W116=6),"",CHOOSE($W116,"1st Email Follow-up","2nd Email Follow-up","Escalate Local Office","Escalate to CBE","Escalate to Roxanne"))</f>
        <v/>
      </c>
    </row>
    <row r="117" spans="18:26">
      <c r="R117" s="15"/>
      <c r="S117" s="16"/>
      <c r="T117" s="17">
        <f>IF(AND(COUNTA($A117:$K117)=0,$L117=""),"",IF($S117="Paid","PAID",IF($S117="Closed","CLOSED",IF($W117="","",IF($W117=6,"ESCALATED TO ROXANNE",IF(TODAY()&gt;$Y117,"OVERDUE",IF($Y117&lt;=WORKDAY(TODAY(),1,Holidays),"DUE TOMORROW",IF($W117=4,"ESCALATED TO LOCAL OFFICE",IF($W117=5,"ESCALATED TO CBE",IF($X117=TODAY(),"EMAIL SENT","MONITORING"))))))))))</f>
        <v/>
      </c>
      <c r="U117" s="17">
        <f>IF($T117="",IF(AND(COUNTA($A117:$K117)&gt;0,$L117=""),"Awaiting Collection Email time stamp.",""),IF(OR($T117="PAID",$T117="CLOSED"),IF($T117="PAID","Account paid. Action completed.","Account closed. No further action required."),CHOOSE($W117,"Collection Email","1st Email Follow-up","2nd Email Follow-up","Escalation to Local Office","Escalation to CBE","Escalation to Roxanne")&amp;" sent "&amp;TEXT($X117,"dd-mmm")&amp;". "&amp;IF($W117=6,"Final escalation completed.",IF($T117="OVERDUE","Next: "&amp;$Z117&amp;" was due "&amp;TEXT($Y117,"dd-mmm")&amp;" - "&amp;(NETWORKDAYS($Y117,TODAY(),Holidays)-1)&amp;" business day(s) late. Send now.",IF($T117="DUE TOMORROW","Next: "&amp;$Z117&amp;IF($Y117&lt;=TODAY()," is due TODAY ("," is due next business day (")&amp;TEXT($Y117,"dd-mmm")&amp;").","Next: "&amp;$Z117&amp;" due "&amp;TEXT($Y117,"dd-mmm")&amp;" ("&amp;(NETWORKDAYS(TODAY(),$Y117,Holidays)-1)&amp;" business day(s) left).")))))</f>
        <v/>
      </c>
      <c r="V117" s="17">
        <f>IF($W117="","",CHOOSE($W117,"Collection Email","1st Follow-up","2nd Follow-up","Local Office","CBE","Roxanne")&amp;IF($W117=6," - Final"," - Day "&amp;MAX(0,NETWORKDAYS($X117,TODAY(),Holidays)-1)&amp;" of "&amp;CHOOSE($W117,3,3,2,2,3))&amp;" | Total Day "&amp;MAX(0,NETWORKDAYS($L117,TODAY(),Holidays)-1))</f>
        <v/>
      </c>
      <c r="W117" s="17">
        <f>IF($L117="","",COUNT($L117:$Q117))</f>
        <v/>
      </c>
      <c r="X117" s="18">
        <f>IF($W117="","",INT(INDEX($L117:$Q117,$W117)))</f>
        <v/>
      </c>
      <c r="Y117" s="18">
        <f>IF(OR($W117="",$W117=6),"",WORKDAY($X117,CHOOSE($W117,3,3,2,2,3),Holidays))</f>
        <v/>
      </c>
      <c r="Z117" s="17">
        <f>IF(OR($W117="",$W117=6),"",CHOOSE($W117,"1st Email Follow-up","2nd Email Follow-up","Escalate Local Office","Escalate to CBE","Escalate to Roxanne"))</f>
        <v/>
      </c>
    </row>
    <row r="118" spans="18:26">
      <c r="R118" s="15"/>
      <c r="S118" s="16"/>
      <c r="T118" s="17">
        <f>IF(AND(COUNTA($A118:$K118)=0,$L118=""),"",IF($S118="Paid","PAID",IF($S118="Closed","CLOSED",IF($W118="","",IF($W118=6,"ESCALATED TO ROXANNE",IF(TODAY()&gt;$Y118,"OVERDUE",IF($Y118&lt;=WORKDAY(TODAY(),1,Holidays),"DUE TOMORROW",IF($W118=4,"ESCALATED TO LOCAL OFFICE",IF($W118=5,"ESCALATED TO CBE",IF($X118=TODAY(),"EMAIL SENT","MONITORING"))))))))))</f>
        <v/>
      </c>
      <c r="U118" s="17">
        <f>IF($T118="",IF(AND(COUNTA($A118:$K118)&gt;0,$L118=""),"Awaiting Collection Email time stamp.",""),IF(OR($T118="PAID",$T118="CLOSED"),IF($T118="PAID","Account paid. Action completed.","Account closed. No further action required."),CHOOSE($W118,"Collection Email","1st Email Follow-up","2nd Email Follow-up","Escalation to Local Office","Escalation to CBE","Escalation to Roxanne")&amp;" sent "&amp;TEXT($X118,"dd-mmm")&amp;". "&amp;IF($W118=6,"Final escalation completed.",IF($T118="OVERDUE","Next: "&amp;$Z118&amp;" was due "&amp;TEXT($Y118,"dd-mmm")&amp;" - "&amp;(NETWORKDAYS($Y118,TODAY(),Holidays)-1)&amp;" business day(s) late. Send now.",IF($T118="DUE TOMORROW","Next: "&amp;$Z118&amp;IF($Y118&lt;=TODAY()," is due TODAY ("," is due next business day (")&amp;TEXT($Y118,"dd-mmm")&amp;").","Next: "&amp;$Z118&amp;" due "&amp;TEXT($Y118,"dd-mmm")&amp;" ("&amp;(NETWORKDAYS(TODAY(),$Y118,Holidays)-1)&amp;" business day(s) left).")))))</f>
        <v/>
      </c>
      <c r="V118" s="17">
        <f>IF($W118="","",CHOOSE($W118,"Collection Email","1st Follow-up","2nd Follow-up","Local Office","CBE","Roxanne")&amp;IF($W118=6," - Final"," - Day "&amp;MAX(0,NETWORKDAYS($X118,TODAY(),Holidays)-1)&amp;" of "&amp;CHOOSE($W118,3,3,2,2,3))&amp;" | Total Day "&amp;MAX(0,NETWORKDAYS($L118,TODAY(),Holidays)-1))</f>
        <v/>
      </c>
      <c r="W118" s="17">
        <f>IF($L118="","",COUNT($L118:$Q118))</f>
        <v/>
      </c>
      <c r="X118" s="18">
        <f>IF($W118="","",INT(INDEX($L118:$Q118,$W118)))</f>
        <v/>
      </c>
      <c r="Y118" s="18">
        <f>IF(OR($W118="",$W118=6),"",WORKDAY($X118,CHOOSE($W118,3,3,2,2,3),Holidays))</f>
        <v/>
      </c>
      <c r="Z118" s="17">
        <f>IF(OR($W118="",$W118=6),"",CHOOSE($W118,"1st Email Follow-up","2nd Email Follow-up","Escalate Local Office","Escalate to CBE","Escalate to Roxanne"))</f>
        <v/>
      </c>
    </row>
    <row r="119" spans="18:26">
      <c r="R119" s="15"/>
      <c r="S119" s="16"/>
      <c r="T119" s="17">
        <f>IF(AND(COUNTA($A119:$K119)=0,$L119=""),"",IF($S119="Paid","PAID",IF($S119="Closed","CLOSED",IF($W119="","",IF($W119=6,"ESCALATED TO ROXANNE",IF(TODAY()&gt;$Y119,"OVERDUE",IF($Y119&lt;=WORKDAY(TODAY(),1,Holidays),"DUE TOMORROW",IF($W119=4,"ESCALATED TO LOCAL OFFICE",IF($W119=5,"ESCALATED TO CBE",IF($X119=TODAY(),"EMAIL SENT","MONITORING"))))))))))</f>
        <v/>
      </c>
      <c r="U119" s="17">
        <f>IF($T119="",IF(AND(COUNTA($A119:$K119)&gt;0,$L119=""),"Awaiting Collection Email time stamp.",""),IF(OR($T119="PAID",$T119="CLOSED"),IF($T119="PAID","Account paid. Action completed.","Account closed. No further action required."),CHOOSE($W119,"Collection Email","1st Email Follow-up","2nd Email Follow-up","Escalation to Local Office","Escalation to CBE","Escalation to Roxanne")&amp;" sent "&amp;TEXT($X119,"dd-mmm")&amp;". "&amp;IF($W119=6,"Final escalation completed.",IF($T119="OVERDUE","Next: "&amp;$Z119&amp;" was due "&amp;TEXT($Y119,"dd-mmm")&amp;" - "&amp;(NETWORKDAYS($Y119,TODAY(),Holidays)-1)&amp;" business day(s) late. Send now.",IF($T119="DUE TOMORROW","Next: "&amp;$Z119&amp;IF($Y119&lt;=TODAY()," is due TODAY ("," is due next business day (")&amp;TEXT($Y119,"dd-mmm")&amp;").","Next: "&amp;$Z119&amp;" due "&amp;TEXT($Y119,"dd-mmm")&amp;" ("&amp;(NETWORKDAYS(TODAY(),$Y119,Holidays)-1)&amp;" business day(s) left).")))))</f>
        <v/>
      </c>
      <c r="V119" s="17">
        <f>IF($W119="","",CHOOSE($W119,"Collection Email","1st Follow-up","2nd Follow-up","Local Office","CBE","Roxanne")&amp;IF($W119=6," - Final"," - Day "&amp;MAX(0,NETWORKDAYS($X119,TODAY(),Holidays)-1)&amp;" of "&amp;CHOOSE($W119,3,3,2,2,3))&amp;" | Total Day "&amp;MAX(0,NETWORKDAYS($L119,TODAY(),Holidays)-1))</f>
        <v/>
      </c>
      <c r="W119" s="17">
        <f>IF($L119="","",COUNT($L119:$Q119))</f>
        <v/>
      </c>
      <c r="X119" s="18">
        <f>IF($W119="","",INT(INDEX($L119:$Q119,$W119)))</f>
        <v/>
      </c>
      <c r="Y119" s="18">
        <f>IF(OR($W119="",$W119=6),"",WORKDAY($X119,CHOOSE($W119,3,3,2,2,3),Holidays))</f>
        <v/>
      </c>
      <c r="Z119" s="17">
        <f>IF(OR($W119="",$W119=6),"",CHOOSE($W119,"1st Email Follow-up","2nd Email Follow-up","Escalate Local Office","Escalate to CBE","Escalate to Roxanne"))</f>
        <v/>
      </c>
    </row>
    <row r="120" spans="18:26">
      <c r="R120" s="15"/>
      <c r="S120" s="16"/>
      <c r="T120" s="17">
        <f>IF(AND(COUNTA($A120:$K120)=0,$L120=""),"",IF($S120="Paid","PAID",IF($S120="Closed","CLOSED",IF($W120="","",IF($W120=6,"ESCALATED TO ROXANNE",IF(TODAY()&gt;$Y120,"OVERDUE",IF($Y120&lt;=WORKDAY(TODAY(),1,Holidays),"DUE TOMORROW",IF($W120=4,"ESCALATED TO LOCAL OFFICE",IF($W120=5,"ESCALATED TO CBE",IF($X120=TODAY(),"EMAIL SENT","MONITORING"))))))))))</f>
        <v/>
      </c>
      <c r="U120" s="17">
        <f>IF($T120="",IF(AND(COUNTA($A120:$K120)&gt;0,$L120=""),"Awaiting Collection Email time stamp.",""),IF(OR($T120="PAID",$T120="CLOSED"),IF($T120="PAID","Account paid. Action completed.","Account closed. No further action required."),CHOOSE($W120,"Collection Email","1st Email Follow-up","2nd Email Follow-up","Escalation to Local Office","Escalation to CBE","Escalation to Roxanne")&amp;" sent "&amp;TEXT($X120,"dd-mmm")&amp;". "&amp;IF($W120=6,"Final escalation completed.",IF($T120="OVERDUE","Next: "&amp;$Z120&amp;" was due "&amp;TEXT($Y120,"dd-mmm")&amp;" - "&amp;(NETWORKDAYS($Y120,TODAY(),Holidays)-1)&amp;" business day(s) late. Send now.",IF($T120="DUE TOMORROW","Next: "&amp;$Z120&amp;IF($Y120&lt;=TODAY()," is due TODAY ("," is due next business day (")&amp;TEXT($Y120,"dd-mmm")&amp;").","Next: "&amp;$Z120&amp;" due "&amp;TEXT($Y120,"dd-mmm")&amp;" ("&amp;(NETWORKDAYS(TODAY(),$Y120,Holidays)-1)&amp;" business day(s) left).")))))</f>
        <v/>
      </c>
      <c r="V120" s="17">
        <f>IF($W120="","",CHOOSE($W120,"Collection Email","1st Follow-up","2nd Follow-up","Local Office","CBE","Roxanne")&amp;IF($W120=6," - Final"," - Day "&amp;MAX(0,NETWORKDAYS($X120,TODAY(),Holidays)-1)&amp;" of "&amp;CHOOSE($W120,3,3,2,2,3))&amp;" | Total Day "&amp;MAX(0,NETWORKDAYS($L120,TODAY(),Holidays)-1))</f>
        <v/>
      </c>
      <c r="W120" s="17">
        <f>IF($L120="","",COUNT($L120:$Q120))</f>
        <v/>
      </c>
      <c r="X120" s="18">
        <f>IF($W120="","",INT(INDEX($L120:$Q120,$W120)))</f>
        <v/>
      </c>
      <c r="Y120" s="18">
        <f>IF(OR($W120="",$W120=6),"",WORKDAY($X120,CHOOSE($W120,3,3,2,2,3),Holidays))</f>
        <v/>
      </c>
      <c r="Z120" s="17">
        <f>IF(OR($W120="",$W120=6),"",CHOOSE($W120,"1st Email Follow-up","2nd Email Follow-up","Escalate Local Office","Escalate to CBE","Escalate to Roxanne"))</f>
        <v/>
      </c>
    </row>
    <row r="121" spans="18:26">
      <c r="R121" s="15"/>
      <c r="S121" s="16"/>
      <c r="T121" s="17">
        <f>IF(AND(COUNTA($A121:$K121)=0,$L121=""),"",IF($S121="Paid","PAID",IF($S121="Closed","CLOSED",IF($W121="","",IF($W121=6,"ESCALATED TO ROXANNE",IF(TODAY()&gt;$Y121,"OVERDUE",IF($Y121&lt;=WORKDAY(TODAY(),1,Holidays),"DUE TOMORROW",IF($W121=4,"ESCALATED TO LOCAL OFFICE",IF($W121=5,"ESCALATED TO CBE",IF($X121=TODAY(),"EMAIL SENT","MONITORING"))))))))))</f>
        <v/>
      </c>
      <c r="U121" s="17">
        <f>IF($T121="",IF(AND(COUNTA($A121:$K121)&gt;0,$L121=""),"Awaiting Collection Email time stamp.",""),IF(OR($T121="PAID",$T121="CLOSED"),IF($T121="PAID","Account paid. Action completed.","Account closed. No further action required."),CHOOSE($W121,"Collection Email","1st Email Follow-up","2nd Email Follow-up","Escalation to Local Office","Escalation to CBE","Escalation to Roxanne")&amp;" sent "&amp;TEXT($X121,"dd-mmm")&amp;". "&amp;IF($W121=6,"Final escalation completed.",IF($T121="OVERDUE","Next: "&amp;$Z121&amp;" was due "&amp;TEXT($Y121,"dd-mmm")&amp;" - "&amp;(NETWORKDAYS($Y121,TODAY(),Holidays)-1)&amp;" business day(s) late. Send now.",IF($T121="DUE TOMORROW","Next: "&amp;$Z121&amp;IF($Y121&lt;=TODAY()," is due TODAY ("," is due next business day (")&amp;TEXT($Y121,"dd-mmm")&amp;").","Next: "&amp;$Z121&amp;" due "&amp;TEXT($Y121,"dd-mmm")&amp;" ("&amp;(NETWORKDAYS(TODAY(),$Y121,Holidays)-1)&amp;" business day(s) left).")))))</f>
        <v/>
      </c>
      <c r="V121" s="17">
        <f>IF($W121="","",CHOOSE($W121,"Collection Email","1st Follow-up","2nd Follow-up","Local Office","CBE","Roxanne")&amp;IF($W121=6," - Final"," - Day "&amp;MAX(0,NETWORKDAYS($X121,TODAY(),Holidays)-1)&amp;" of "&amp;CHOOSE($W121,3,3,2,2,3))&amp;" | Total Day "&amp;MAX(0,NETWORKDAYS($L121,TODAY(),Holidays)-1))</f>
        <v/>
      </c>
      <c r="W121" s="17">
        <f>IF($L121="","",COUNT($L121:$Q121))</f>
        <v/>
      </c>
      <c r="X121" s="18">
        <f>IF($W121="","",INT(INDEX($L121:$Q121,$W121)))</f>
        <v/>
      </c>
      <c r="Y121" s="18">
        <f>IF(OR($W121="",$W121=6),"",WORKDAY($X121,CHOOSE($W121,3,3,2,2,3),Holidays))</f>
        <v/>
      </c>
      <c r="Z121" s="17">
        <f>IF(OR($W121="",$W121=6),"",CHOOSE($W121,"1st Email Follow-up","2nd Email Follow-up","Escalate Local Office","Escalate to CBE","Escalate to Roxanne"))</f>
        <v/>
      </c>
    </row>
    <row r="122" spans="18:26">
      <c r="R122" s="15"/>
      <c r="S122" s="16"/>
      <c r="T122" s="17">
        <f>IF(AND(COUNTA($A122:$K122)=0,$L122=""),"",IF($S122="Paid","PAID",IF($S122="Closed","CLOSED",IF($W122="","",IF($W122=6,"ESCALATED TO ROXANNE",IF(TODAY()&gt;$Y122,"OVERDUE",IF($Y122&lt;=WORKDAY(TODAY(),1,Holidays),"DUE TOMORROW",IF($W122=4,"ESCALATED TO LOCAL OFFICE",IF($W122=5,"ESCALATED TO CBE",IF($X122=TODAY(),"EMAIL SENT","MONITORING"))))))))))</f>
        <v/>
      </c>
      <c r="U122" s="17">
        <f>IF($T122="",IF(AND(COUNTA($A122:$K122)&gt;0,$L122=""),"Awaiting Collection Email time stamp.",""),IF(OR($T122="PAID",$T122="CLOSED"),IF($T122="PAID","Account paid. Action completed.","Account closed. No further action required."),CHOOSE($W122,"Collection Email","1st Email Follow-up","2nd Email Follow-up","Escalation to Local Office","Escalation to CBE","Escalation to Roxanne")&amp;" sent "&amp;TEXT($X122,"dd-mmm")&amp;". "&amp;IF($W122=6,"Final escalation completed.",IF($T122="OVERDUE","Next: "&amp;$Z122&amp;" was due "&amp;TEXT($Y122,"dd-mmm")&amp;" - "&amp;(NETWORKDAYS($Y122,TODAY(),Holidays)-1)&amp;" business day(s) late. Send now.",IF($T122="DUE TOMORROW","Next: "&amp;$Z122&amp;IF($Y122&lt;=TODAY()," is due TODAY ("," is due next business day (")&amp;TEXT($Y122,"dd-mmm")&amp;").","Next: "&amp;$Z122&amp;" due "&amp;TEXT($Y122,"dd-mmm")&amp;" ("&amp;(NETWORKDAYS(TODAY(),$Y122,Holidays)-1)&amp;" business day(s) left).")))))</f>
        <v/>
      </c>
      <c r="V122" s="17">
        <f>IF($W122="","",CHOOSE($W122,"Collection Email","1st Follow-up","2nd Follow-up","Local Office","CBE","Roxanne")&amp;IF($W122=6," - Final"," - Day "&amp;MAX(0,NETWORKDAYS($X122,TODAY(),Holidays)-1)&amp;" of "&amp;CHOOSE($W122,3,3,2,2,3))&amp;" | Total Day "&amp;MAX(0,NETWORKDAYS($L122,TODAY(),Holidays)-1))</f>
        <v/>
      </c>
      <c r="W122" s="17">
        <f>IF($L122="","",COUNT($L122:$Q122))</f>
        <v/>
      </c>
      <c r="X122" s="18">
        <f>IF($W122="","",INT(INDEX($L122:$Q122,$W122)))</f>
        <v/>
      </c>
      <c r="Y122" s="18">
        <f>IF(OR($W122="",$W122=6),"",WORKDAY($X122,CHOOSE($W122,3,3,2,2,3),Holidays))</f>
        <v/>
      </c>
      <c r="Z122" s="17">
        <f>IF(OR($W122="",$W122=6),"",CHOOSE($W122,"1st Email Follow-up","2nd Email Follow-up","Escalate Local Office","Escalate to CBE","Escalate to Roxanne"))</f>
        <v/>
      </c>
    </row>
    <row r="123" spans="18:26">
      <c r="R123" s="15"/>
      <c r="S123" s="16"/>
      <c r="T123" s="17">
        <f>IF(AND(COUNTA($A123:$K123)=0,$L123=""),"",IF($S123="Paid","PAID",IF($S123="Closed","CLOSED",IF($W123="","",IF($W123=6,"ESCALATED TO ROXANNE",IF(TODAY()&gt;$Y123,"OVERDUE",IF($Y123&lt;=WORKDAY(TODAY(),1,Holidays),"DUE TOMORROW",IF($W123=4,"ESCALATED TO LOCAL OFFICE",IF($W123=5,"ESCALATED TO CBE",IF($X123=TODAY(),"EMAIL SENT","MONITORING"))))))))))</f>
        <v/>
      </c>
      <c r="U123" s="17">
        <f>IF($T123="",IF(AND(COUNTA($A123:$K123)&gt;0,$L123=""),"Awaiting Collection Email time stamp.",""),IF(OR($T123="PAID",$T123="CLOSED"),IF($T123="PAID","Account paid. Action completed.","Account closed. No further action required."),CHOOSE($W123,"Collection Email","1st Email Follow-up","2nd Email Follow-up","Escalation to Local Office","Escalation to CBE","Escalation to Roxanne")&amp;" sent "&amp;TEXT($X123,"dd-mmm")&amp;". "&amp;IF($W123=6,"Final escalation completed.",IF($T123="OVERDUE","Next: "&amp;$Z123&amp;" was due "&amp;TEXT($Y123,"dd-mmm")&amp;" - "&amp;(NETWORKDAYS($Y123,TODAY(),Holidays)-1)&amp;" business day(s) late. Send now.",IF($T123="DUE TOMORROW","Next: "&amp;$Z123&amp;IF($Y123&lt;=TODAY()," is due TODAY ("," is due next business day (")&amp;TEXT($Y123,"dd-mmm")&amp;").","Next: "&amp;$Z123&amp;" due "&amp;TEXT($Y123,"dd-mmm")&amp;" ("&amp;(NETWORKDAYS(TODAY(),$Y123,Holidays)-1)&amp;" business day(s) left).")))))</f>
        <v/>
      </c>
      <c r="V123" s="17">
        <f>IF($W123="","",CHOOSE($W123,"Collection Email","1st Follow-up","2nd Follow-up","Local Office","CBE","Roxanne")&amp;IF($W123=6," - Final"," - Day "&amp;MAX(0,NETWORKDAYS($X123,TODAY(),Holidays)-1)&amp;" of "&amp;CHOOSE($W123,3,3,2,2,3))&amp;" | Total Day "&amp;MAX(0,NETWORKDAYS($L123,TODAY(),Holidays)-1))</f>
        <v/>
      </c>
      <c r="W123" s="17">
        <f>IF($L123="","",COUNT($L123:$Q123))</f>
        <v/>
      </c>
      <c r="X123" s="18">
        <f>IF($W123="","",INT(INDEX($L123:$Q123,$W123)))</f>
        <v/>
      </c>
      <c r="Y123" s="18">
        <f>IF(OR($W123="",$W123=6),"",WORKDAY($X123,CHOOSE($W123,3,3,2,2,3),Holidays))</f>
        <v/>
      </c>
      <c r="Z123" s="17">
        <f>IF(OR($W123="",$W123=6),"",CHOOSE($W123,"1st Email Follow-up","2nd Email Follow-up","Escalate Local Office","Escalate to CBE","Escalate to Roxanne"))</f>
        <v/>
      </c>
    </row>
    <row r="124" spans="18:26">
      <c r="R124" s="15"/>
      <c r="S124" s="16"/>
      <c r="T124" s="17">
        <f>IF(AND(COUNTA($A124:$K124)=0,$L124=""),"",IF($S124="Paid","PAID",IF($S124="Closed","CLOSED",IF($W124="","",IF($W124=6,"ESCALATED TO ROXANNE",IF(TODAY()&gt;$Y124,"OVERDUE",IF($Y124&lt;=WORKDAY(TODAY(),1,Holidays),"DUE TOMORROW",IF($W124=4,"ESCALATED TO LOCAL OFFICE",IF($W124=5,"ESCALATED TO CBE",IF($X124=TODAY(),"EMAIL SENT","MONITORING"))))))))))</f>
        <v/>
      </c>
      <c r="U124" s="17">
        <f>IF($T124="",IF(AND(COUNTA($A124:$K124)&gt;0,$L124=""),"Awaiting Collection Email time stamp.",""),IF(OR($T124="PAID",$T124="CLOSED"),IF($T124="PAID","Account paid. Action completed.","Account closed. No further action required."),CHOOSE($W124,"Collection Email","1st Email Follow-up","2nd Email Follow-up","Escalation to Local Office","Escalation to CBE","Escalation to Roxanne")&amp;" sent "&amp;TEXT($X124,"dd-mmm")&amp;". "&amp;IF($W124=6,"Final escalation completed.",IF($T124="OVERDUE","Next: "&amp;$Z124&amp;" was due "&amp;TEXT($Y124,"dd-mmm")&amp;" - "&amp;(NETWORKDAYS($Y124,TODAY(),Holidays)-1)&amp;" business day(s) late. Send now.",IF($T124="DUE TOMORROW","Next: "&amp;$Z124&amp;IF($Y124&lt;=TODAY()," is due TODAY ("," is due next business day (")&amp;TEXT($Y124,"dd-mmm")&amp;").","Next: "&amp;$Z124&amp;" due "&amp;TEXT($Y124,"dd-mmm")&amp;" ("&amp;(NETWORKDAYS(TODAY(),$Y124,Holidays)-1)&amp;" business day(s) left).")))))</f>
        <v/>
      </c>
      <c r="V124" s="17">
        <f>IF($W124="","",CHOOSE($W124,"Collection Email","1st Follow-up","2nd Follow-up","Local Office","CBE","Roxanne")&amp;IF($W124=6," - Final"," - Day "&amp;MAX(0,NETWORKDAYS($X124,TODAY(),Holidays)-1)&amp;" of "&amp;CHOOSE($W124,3,3,2,2,3))&amp;" | Total Day "&amp;MAX(0,NETWORKDAYS($L124,TODAY(),Holidays)-1))</f>
        <v/>
      </c>
      <c r="W124" s="17">
        <f>IF($L124="","",COUNT($L124:$Q124))</f>
        <v/>
      </c>
      <c r="X124" s="18">
        <f>IF($W124="","",INT(INDEX($L124:$Q124,$W124)))</f>
        <v/>
      </c>
      <c r="Y124" s="18">
        <f>IF(OR($W124="",$W124=6),"",WORKDAY($X124,CHOOSE($W124,3,3,2,2,3),Holidays))</f>
        <v/>
      </c>
      <c r="Z124" s="17">
        <f>IF(OR($W124="",$W124=6),"",CHOOSE($W124,"1st Email Follow-up","2nd Email Follow-up","Escalate Local Office","Escalate to CBE","Escalate to Roxanne"))</f>
        <v/>
      </c>
    </row>
    <row r="125" spans="18:26">
      <c r="R125" s="15"/>
      <c r="S125" s="16"/>
      <c r="T125" s="17">
        <f>IF(AND(COUNTA($A125:$K125)=0,$L125=""),"",IF($S125="Paid","PAID",IF($S125="Closed","CLOSED",IF($W125="","",IF($W125=6,"ESCALATED TO ROXANNE",IF(TODAY()&gt;$Y125,"OVERDUE",IF($Y125&lt;=WORKDAY(TODAY(),1,Holidays),"DUE TOMORROW",IF($W125=4,"ESCALATED TO LOCAL OFFICE",IF($W125=5,"ESCALATED TO CBE",IF($X125=TODAY(),"EMAIL SENT","MONITORING"))))))))))</f>
        <v/>
      </c>
      <c r="U125" s="17">
        <f>IF($T125="",IF(AND(COUNTA($A125:$K125)&gt;0,$L125=""),"Awaiting Collection Email time stamp.",""),IF(OR($T125="PAID",$T125="CLOSED"),IF($T125="PAID","Account paid. Action completed.","Account closed. No further action required."),CHOOSE($W125,"Collection Email","1st Email Follow-up","2nd Email Follow-up","Escalation to Local Office","Escalation to CBE","Escalation to Roxanne")&amp;" sent "&amp;TEXT($X125,"dd-mmm")&amp;". "&amp;IF($W125=6,"Final escalation completed.",IF($T125="OVERDUE","Next: "&amp;$Z125&amp;" was due "&amp;TEXT($Y125,"dd-mmm")&amp;" - "&amp;(NETWORKDAYS($Y125,TODAY(),Holidays)-1)&amp;" business day(s) late. Send now.",IF($T125="DUE TOMORROW","Next: "&amp;$Z125&amp;IF($Y125&lt;=TODAY()," is due TODAY ("," is due next business day (")&amp;TEXT($Y125,"dd-mmm")&amp;").","Next: "&amp;$Z125&amp;" due "&amp;TEXT($Y125,"dd-mmm")&amp;" ("&amp;(NETWORKDAYS(TODAY(),$Y125,Holidays)-1)&amp;" business day(s) left).")))))</f>
        <v/>
      </c>
      <c r="V125" s="17">
        <f>IF($W125="","",CHOOSE($W125,"Collection Email","1st Follow-up","2nd Follow-up","Local Office","CBE","Roxanne")&amp;IF($W125=6," - Final"," - Day "&amp;MAX(0,NETWORKDAYS($X125,TODAY(),Holidays)-1)&amp;" of "&amp;CHOOSE($W125,3,3,2,2,3))&amp;" | Total Day "&amp;MAX(0,NETWORKDAYS($L125,TODAY(),Holidays)-1))</f>
        <v/>
      </c>
      <c r="W125" s="17">
        <f>IF($L125="","",COUNT($L125:$Q125))</f>
        <v/>
      </c>
      <c r="X125" s="18">
        <f>IF($W125="","",INT(INDEX($L125:$Q125,$W125)))</f>
        <v/>
      </c>
      <c r="Y125" s="18">
        <f>IF(OR($W125="",$W125=6),"",WORKDAY($X125,CHOOSE($W125,3,3,2,2,3),Holidays))</f>
        <v/>
      </c>
      <c r="Z125" s="17">
        <f>IF(OR($W125="",$W125=6),"",CHOOSE($W125,"1st Email Follow-up","2nd Email Follow-up","Escalate Local Office","Escalate to CBE","Escalate to Roxanne"))</f>
        <v/>
      </c>
    </row>
    <row r="126" spans="18:26">
      <c r="R126" s="15"/>
      <c r="S126" s="16"/>
      <c r="T126" s="17">
        <f>IF(AND(COUNTA($A126:$K126)=0,$L126=""),"",IF($S126="Paid","PAID",IF($S126="Closed","CLOSED",IF($W126="","",IF($W126=6,"ESCALATED TO ROXANNE",IF(TODAY()&gt;$Y126,"OVERDUE",IF($Y126&lt;=WORKDAY(TODAY(),1,Holidays),"DUE TOMORROW",IF($W126=4,"ESCALATED TO LOCAL OFFICE",IF($W126=5,"ESCALATED TO CBE",IF($X126=TODAY(),"EMAIL SENT","MONITORING"))))))))))</f>
        <v/>
      </c>
      <c r="U126" s="17">
        <f>IF($T126="",IF(AND(COUNTA($A126:$K126)&gt;0,$L126=""),"Awaiting Collection Email time stamp.",""),IF(OR($T126="PAID",$T126="CLOSED"),IF($T126="PAID","Account paid. Action completed.","Account closed. No further action required."),CHOOSE($W126,"Collection Email","1st Email Follow-up","2nd Email Follow-up","Escalation to Local Office","Escalation to CBE","Escalation to Roxanne")&amp;" sent "&amp;TEXT($X126,"dd-mmm")&amp;". "&amp;IF($W126=6,"Final escalation completed.",IF($T126="OVERDUE","Next: "&amp;$Z126&amp;" was due "&amp;TEXT($Y126,"dd-mmm")&amp;" - "&amp;(NETWORKDAYS($Y126,TODAY(),Holidays)-1)&amp;" business day(s) late. Send now.",IF($T126="DUE TOMORROW","Next: "&amp;$Z126&amp;IF($Y126&lt;=TODAY()," is due TODAY ("," is due next business day (")&amp;TEXT($Y126,"dd-mmm")&amp;").","Next: "&amp;$Z126&amp;" due "&amp;TEXT($Y126,"dd-mmm")&amp;" ("&amp;(NETWORKDAYS(TODAY(),$Y126,Holidays)-1)&amp;" business day(s) left).")))))</f>
        <v/>
      </c>
      <c r="V126" s="17">
        <f>IF($W126="","",CHOOSE($W126,"Collection Email","1st Follow-up","2nd Follow-up","Local Office","CBE","Roxanne")&amp;IF($W126=6," - Final"," - Day "&amp;MAX(0,NETWORKDAYS($X126,TODAY(),Holidays)-1)&amp;" of "&amp;CHOOSE($W126,3,3,2,2,3))&amp;" | Total Day "&amp;MAX(0,NETWORKDAYS($L126,TODAY(),Holidays)-1))</f>
        <v/>
      </c>
      <c r="W126" s="17">
        <f>IF($L126="","",COUNT($L126:$Q126))</f>
        <v/>
      </c>
      <c r="X126" s="18">
        <f>IF($W126="","",INT(INDEX($L126:$Q126,$W126)))</f>
        <v/>
      </c>
      <c r="Y126" s="18">
        <f>IF(OR($W126="",$W126=6),"",WORKDAY($X126,CHOOSE($W126,3,3,2,2,3),Holidays))</f>
        <v/>
      </c>
      <c r="Z126" s="17">
        <f>IF(OR($W126="",$W126=6),"",CHOOSE($W126,"1st Email Follow-up","2nd Email Follow-up","Escalate Local Office","Escalate to CBE","Escalate to Roxanne"))</f>
        <v/>
      </c>
    </row>
    <row r="127" spans="18:26">
      <c r="R127" s="15"/>
      <c r="S127" s="16"/>
      <c r="T127" s="17">
        <f>IF(AND(COUNTA($A127:$K127)=0,$L127=""),"",IF($S127="Paid","PAID",IF($S127="Closed","CLOSED",IF($W127="","",IF($W127=6,"ESCALATED TO ROXANNE",IF(TODAY()&gt;$Y127,"OVERDUE",IF($Y127&lt;=WORKDAY(TODAY(),1,Holidays),"DUE TOMORROW",IF($W127=4,"ESCALATED TO LOCAL OFFICE",IF($W127=5,"ESCALATED TO CBE",IF($X127=TODAY(),"EMAIL SENT","MONITORING"))))))))))</f>
        <v/>
      </c>
      <c r="U127" s="17">
        <f>IF($T127="",IF(AND(COUNTA($A127:$K127)&gt;0,$L127=""),"Awaiting Collection Email time stamp.",""),IF(OR($T127="PAID",$T127="CLOSED"),IF($T127="PAID","Account paid. Action completed.","Account closed. No further action required."),CHOOSE($W127,"Collection Email","1st Email Follow-up","2nd Email Follow-up","Escalation to Local Office","Escalation to CBE","Escalation to Roxanne")&amp;" sent "&amp;TEXT($X127,"dd-mmm")&amp;". "&amp;IF($W127=6,"Final escalation completed.",IF($T127="OVERDUE","Next: "&amp;$Z127&amp;" was due "&amp;TEXT($Y127,"dd-mmm")&amp;" - "&amp;(NETWORKDAYS($Y127,TODAY(),Holidays)-1)&amp;" business day(s) late. Send now.",IF($T127="DUE TOMORROW","Next: "&amp;$Z127&amp;IF($Y127&lt;=TODAY()," is due TODAY ("," is due next business day (")&amp;TEXT($Y127,"dd-mmm")&amp;").","Next: "&amp;$Z127&amp;" due "&amp;TEXT($Y127,"dd-mmm")&amp;" ("&amp;(NETWORKDAYS(TODAY(),$Y127,Holidays)-1)&amp;" business day(s) left).")))))</f>
        <v/>
      </c>
      <c r="V127" s="17">
        <f>IF($W127="","",CHOOSE($W127,"Collection Email","1st Follow-up","2nd Follow-up","Local Office","CBE","Roxanne")&amp;IF($W127=6," - Final"," - Day "&amp;MAX(0,NETWORKDAYS($X127,TODAY(),Holidays)-1)&amp;" of "&amp;CHOOSE($W127,3,3,2,2,3))&amp;" | Total Day "&amp;MAX(0,NETWORKDAYS($L127,TODAY(),Holidays)-1))</f>
        <v/>
      </c>
      <c r="W127" s="17">
        <f>IF($L127="","",COUNT($L127:$Q127))</f>
        <v/>
      </c>
      <c r="X127" s="18">
        <f>IF($W127="","",INT(INDEX($L127:$Q127,$W127)))</f>
        <v/>
      </c>
      <c r="Y127" s="18">
        <f>IF(OR($W127="",$W127=6),"",WORKDAY($X127,CHOOSE($W127,3,3,2,2,3),Holidays))</f>
        <v/>
      </c>
      <c r="Z127" s="17">
        <f>IF(OR($W127="",$W127=6),"",CHOOSE($W127,"1st Email Follow-up","2nd Email Follow-up","Escalate Local Office","Escalate to CBE","Escalate to Roxanne"))</f>
        <v/>
      </c>
    </row>
    <row r="128" spans="18:26">
      <c r="R128" s="15"/>
      <c r="S128" s="16"/>
      <c r="T128" s="17">
        <f>IF(AND(COUNTA($A128:$K128)=0,$L128=""),"",IF($S128="Paid","PAID",IF($S128="Closed","CLOSED",IF($W128="","",IF($W128=6,"ESCALATED TO ROXANNE",IF(TODAY()&gt;$Y128,"OVERDUE",IF($Y128&lt;=WORKDAY(TODAY(),1,Holidays),"DUE TOMORROW",IF($W128=4,"ESCALATED TO LOCAL OFFICE",IF($W128=5,"ESCALATED TO CBE",IF($X128=TODAY(),"EMAIL SENT","MONITORING"))))))))))</f>
        <v/>
      </c>
      <c r="U128" s="17">
        <f>IF($T128="",IF(AND(COUNTA($A128:$K128)&gt;0,$L128=""),"Awaiting Collection Email time stamp.",""),IF(OR($T128="PAID",$T128="CLOSED"),IF($T128="PAID","Account paid. Action completed.","Account closed. No further action required."),CHOOSE($W128,"Collection Email","1st Email Follow-up","2nd Email Follow-up","Escalation to Local Office","Escalation to CBE","Escalation to Roxanne")&amp;" sent "&amp;TEXT($X128,"dd-mmm")&amp;". "&amp;IF($W128=6,"Final escalation completed.",IF($T128="OVERDUE","Next: "&amp;$Z128&amp;" was due "&amp;TEXT($Y128,"dd-mmm")&amp;" - "&amp;(NETWORKDAYS($Y128,TODAY(),Holidays)-1)&amp;" business day(s) late. Send now.",IF($T128="DUE TOMORROW","Next: "&amp;$Z128&amp;IF($Y128&lt;=TODAY()," is due TODAY ("," is due next business day (")&amp;TEXT($Y128,"dd-mmm")&amp;").","Next: "&amp;$Z128&amp;" due "&amp;TEXT($Y128,"dd-mmm")&amp;" ("&amp;(NETWORKDAYS(TODAY(),$Y128,Holidays)-1)&amp;" business day(s) left).")))))</f>
        <v/>
      </c>
      <c r="V128" s="17">
        <f>IF($W128="","",CHOOSE($W128,"Collection Email","1st Follow-up","2nd Follow-up","Local Office","CBE","Roxanne")&amp;IF($W128=6," - Final"," - Day "&amp;MAX(0,NETWORKDAYS($X128,TODAY(),Holidays)-1)&amp;" of "&amp;CHOOSE($W128,3,3,2,2,3))&amp;" | Total Day "&amp;MAX(0,NETWORKDAYS($L128,TODAY(),Holidays)-1))</f>
        <v/>
      </c>
      <c r="W128" s="17">
        <f>IF($L128="","",COUNT($L128:$Q128))</f>
        <v/>
      </c>
      <c r="X128" s="18">
        <f>IF($W128="","",INT(INDEX($L128:$Q128,$W128)))</f>
        <v/>
      </c>
      <c r="Y128" s="18">
        <f>IF(OR($W128="",$W128=6),"",WORKDAY($X128,CHOOSE($W128,3,3,2,2,3),Holidays))</f>
        <v/>
      </c>
      <c r="Z128" s="17">
        <f>IF(OR($W128="",$W128=6),"",CHOOSE($W128,"1st Email Follow-up","2nd Email Follow-up","Escalate Local Office","Escalate to CBE","Escalate to Roxanne"))</f>
        <v/>
      </c>
    </row>
    <row r="129" spans="18:26">
      <c r="R129" s="15"/>
      <c r="S129" s="16"/>
      <c r="T129" s="17">
        <f>IF(AND(COUNTA($A129:$K129)=0,$L129=""),"",IF($S129="Paid","PAID",IF($S129="Closed","CLOSED",IF($W129="","",IF($W129=6,"ESCALATED TO ROXANNE",IF(TODAY()&gt;$Y129,"OVERDUE",IF($Y129&lt;=WORKDAY(TODAY(),1,Holidays),"DUE TOMORROW",IF($W129=4,"ESCALATED TO LOCAL OFFICE",IF($W129=5,"ESCALATED TO CBE",IF($X129=TODAY(),"EMAIL SENT","MONITORING"))))))))))</f>
        <v/>
      </c>
      <c r="U129" s="17">
        <f>IF($T129="",IF(AND(COUNTA($A129:$K129)&gt;0,$L129=""),"Awaiting Collection Email time stamp.",""),IF(OR($T129="PAID",$T129="CLOSED"),IF($T129="PAID","Account paid. Action completed.","Account closed. No further action required."),CHOOSE($W129,"Collection Email","1st Email Follow-up","2nd Email Follow-up","Escalation to Local Office","Escalation to CBE","Escalation to Roxanne")&amp;" sent "&amp;TEXT($X129,"dd-mmm")&amp;". "&amp;IF($W129=6,"Final escalation completed.",IF($T129="OVERDUE","Next: "&amp;$Z129&amp;" was due "&amp;TEXT($Y129,"dd-mmm")&amp;" - "&amp;(NETWORKDAYS($Y129,TODAY(),Holidays)-1)&amp;" business day(s) late. Send now.",IF($T129="DUE TOMORROW","Next: "&amp;$Z129&amp;IF($Y129&lt;=TODAY()," is due TODAY ("," is due next business day (")&amp;TEXT($Y129,"dd-mmm")&amp;").","Next: "&amp;$Z129&amp;" due "&amp;TEXT($Y129,"dd-mmm")&amp;" ("&amp;(NETWORKDAYS(TODAY(),$Y129,Holidays)-1)&amp;" business day(s) left).")))))</f>
        <v/>
      </c>
      <c r="V129" s="17">
        <f>IF($W129="","",CHOOSE($W129,"Collection Email","1st Follow-up","2nd Follow-up","Local Office","CBE","Roxanne")&amp;IF($W129=6," - Final"," - Day "&amp;MAX(0,NETWORKDAYS($X129,TODAY(),Holidays)-1)&amp;" of "&amp;CHOOSE($W129,3,3,2,2,3))&amp;" | Total Day "&amp;MAX(0,NETWORKDAYS($L129,TODAY(),Holidays)-1))</f>
        <v/>
      </c>
      <c r="W129" s="17">
        <f>IF($L129="","",COUNT($L129:$Q129))</f>
        <v/>
      </c>
      <c r="X129" s="18">
        <f>IF($W129="","",INT(INDEX($L129:$Q129,$W129)))</f>
        <v/>
      </c>
      <c r="Y129" s="18">
        <f>IF(OR($W129="",$W129=6),"",WORKDAY($X129,CHOOSE($W129,3,3,2,2,3),Holidays))</f>
        <v/>
      </c>
      <c r="Z129" s="17">
        <f>IF(OR($W129="",$W129=6),"",CHOOSE($W129,"1st Email Follow-up","2nd Email Follow-up","Escalate Local Office","Escalate to CBE","Escalate to Roxanne"))</f>
        <v/>
      </c>
    </row>
    <row r="130" spans="18:26">
      <c r="R130" s="15"/>
      <c r="S130" s="16"/>
      <c r="T130" s="17">
        <f>IF(AND(COUNTA($A130:$K130)=0,$L130=""),"",IF($S130="Paid","PAID",IF($S130="Closed","CLOSED",IF($W130="","",IF($W130=6,"ESCALATED TO ROXANNE",IF(TODAY()&gt;$Y130,"OVERDUE",IF($Y130&lt;=WORKDAY(TODAY(),1,Holidays),"DUE TOMORROW",IF($W130=4,"ESCALATED TO LOCAL OFFICE",IF($W130=5,"ESCALATED TO CBE",IF($X130=TODAY(),"EMAIL SENT","MONITORING"))))))))))</f>
        <v/>
      </c>
      <c r="U130" s="17">
        <f>IF($T130="",IF(AND(COUNTA($A130:$K130)&gt;0,$L130=""),"Awaiting Collection Email time stamp.",""),IF(OR($T130="PAID",$T130="CLOSED"),IF($T130="PAID","Account paid. Action completed.","Account closed. No further action required."),CHOOSE($W130,"Collection Email","1st Email Follow-up","2nd Email Follow-up","Escalation to Local Office","Escalation to CBE","Escalation to Roxanne")&amp;" sent "&amp;TEXT($X130,"dd-mmm")&amp;". "&amp;IF($W130=6,"Final escalation completed.",IF($T130="OVERDUE","Next: "&amp;$Z130&amp;" was due "&amp;TEXT($Y130,"dd-mmm")&amp;" - "&amp;(NETWORKDAYS($Y130,TODAY(),Holidays)-1)&amp;" business day(s) late. Send now.",IF($T130="DUE TOMORROW","Next: "&amp;$Z130&amp;IF($Y130&lt;=TODAY()," is due TODAY ("," is due next business day (")&amp;TEXT($Y130,"dd-mmm")&amp;").","Next: "&amp;$Z130&amp;" due "&amp;TEXT($Y130,"dd-mmm")&amp;" ("&amp;(NETWORKDAYS(TODAY(),$Y130,Holidays)-1)&amp;" business day(s) left).")))))</f>
        <v/>
      </c>
      <c r="V130" s="17">
        <f>IF($W130="","",CHOOSE($W130,"Collection Email","1st Follow-up","2nd Follow-up","Local Office","CBE","Roxanne")&amp;IF($W130=6," - Final"," - Day "&amp;MAX(0,NETWORKDAYS($X130,TODAY(),Holidays)-1)&amp;" of "&amp;CHOOSE($W130,3,3,2,2,3))&amp;" | Total Day "&amp;MAX(0,NETWORKDAYS($L130,TODAY(),Holidays)-1))</f>
        <v/>
      </c>
      <c r="W130" s="17">
        <f>IF($L130="","",COUNT($L130:$Q130))</f>
        <v/>
      </c>
      <c r="X130" s="18">
        <f>IF($W130="","",INT(INDEX($L130:$Q130,$W130)))</f>
        <v/>
      </c>
      <c r="Y130" s="18">
        <f>IF(OR($W130="",$W130=6),"",WORKDAY($X130,CHOOSE($W130,3,3,2,2,3),Holidays))</f>
        <v/>
      </c>
      <c r="Z130" s="17">
        <f>IF(OR($W130="",$W130=6),"",CHOOSE($W130,"1st Email Follow-up","2nd Email Follow-up","Escalate Local Office","Escalate to CBE","Escalate to Roxanne"))</f>
        <v/>
      </c>
    </row>
    <row r="131" spans="18:26">
      <c r="R131" s="15"/>
      <c r="S131" s="16"/>
      <c r="T131" s="17">
        <f>IF(AND(COUNTA($A131:$K131)=0,$L131=""),"",IF($S131="Paid","PAID",IF($S131="Closed","CLOSED",IF($W131="","",IF($W131=6,"ESCALATED TO ROXANNE",IF(TODAY()&gt;$Y131,"OVERDUE",IF($Y131&lt;=WORKDAY(TODAY(),1,Holidays),"DUE TOMORROW",IF($W131=4,"ESCALATED TO LOCAL OFFICE",IF($W131=5,"ESCALATED TO CBE",IF($X131=TODAY(),"EMAIL SENT","MONITORING"))))))))))</f>
        <v/>
      </c>
      <c r="U131" s="17">
        <f>IF($T131="",IF(AND(COUNTA($A131:$K131)&gt;0,$L131=""),"Awaiting Collection Email time stamp.",""),IF(OR($T131="PAID",$T131="CLOSED"),IF($T131="PAID","Account paid. Action completed.","Account closed. No further action required."),CHOOSE($W131,"Collection Email","1st Email Follow-up","2nd Email Follow-up","Escalation to Local Office","Escalation to CBE","Escalation to Roxanne")&amp;" sent "&amp;TEXT($X131,"dd-mmm")&amp;". "&amp;IF($W131=6,"Final escalation completed.",IF($T131="OVERDUE","Next: "&amp;$Z131&amp;" was due "&amp;TEXT($Y131,"dd-mmm")&amp;" - "&amp;(NETWORKDAYS($Y131,TODAY(),Holidays)-1)&amp;" business day(s) late. Send now.",IF($T131="DUE TOMORROW","Next: "&amp;$Z131&amp;IF($Y131&lt;=TODAY()," is due TODAY ("," is due next business day (")&amp;TEXT($Y131,"dd-mmm")&amp;").","Next: "&amp;$Z131&amp;" due "&amp;TEXT($Y131,"dd-mmm")&amp;" ("&amp;(NETWORKDAYS(TODAY(),$Y131,Holidays)-1)&amp;" business day(s) left).")))))</f>
        <v/>
      </c>
      <c r="V131" s="17">
        <f>IF($W131="","",CHOOSE($W131,"Collection Email","1st Follow-up","2nd Follow-up","Local Office","CBE","Roxanne")&amp;IF($W131=6," - Final"," - Day "&amp;MAX(0,NETWORKDAYS($X131,TODAY(),Holidays)-1)&amp;" of "&amp;CHOOSE($W131,3,3,2,2,3))&amp;" | Total Day "&amp;MAX(0,NETWORKDAYS($L131,TODAY(),Holidays)-1))</f>
        <v/>
      </c>
      <c r="W131" s="17">
        <f>IF($L131="","",COUNT($L131:$Q131))</f>
        <v/>
      </c>
      <c r="X131" s="18">
        <f>IF($W131="","",INT(INDEX($L131:$Q131,$W131)))</f>
        <v/>
      </c>
      <c r="Y131" s="18">
        <f>IF(OR($W131="",$W131=6),"",WORKDAY($X131,CHOOSE($W131,3,3,2,2,3),Holidays))</f>
        <v/>
      </c>
      <c r="Z131" s="17">
        <f>IF(OR($W131="",$W131=6),"",CHOOSE($W131,"1st Email Follow-up","2nd Email Follow-up","Escalate Local Office","Escalate to CBE","Escalate to Roxanne"))</f>
        <v/>
      </c>
    </row>
    <row r="132" spans="18:26">
      <c r="R132" s="15"/>
      <c r="S132" s="16"/>
      <c r="T132" s="17">
        <f>IF(AND(COUNTA($A132:$K132)=0,$L132=""),"",IF($S132="Paid","PAID",IF($S132="Closed","CLOSED",IF($W132="","",IF($W132=6,"ESCALATED TO ROXANNE",IF(TODAY()&gt;$Y132,"OVERDUE",IF($Y132&lt;=WORKDAY(TODAY(),1,Holidays),"DUE TOMORROW",IF($W132=4,"ESCALATED TO LOCAL OFFICE",IF($W132=5,"ESCALATED TO CBE",IF($X132=TODAY(),"EMAIL SENT","MONITORING"))))))))))</f>
        <v/>
      </c>
      <c r="U132" s="17">
        <f>IF($T132="",IF(AND(COUNTA($A132:$K132)&gt;0,$L132=""),"Awaiting Collection Email time stamp.",""),IF(OR($T132="PAID",$T132="CLOSED"),IF($T132="PAID","Account paid. Action completed.","Account closed. No further action required."),CHOOSE($W132,"Collection Email","1st Email Follow-up","2nd Email Follow-up","Escalation to Local Office","Escalation to CBE","Escalation to Roxanne")&amp;" sent "&amp;TEXT($X132,"dd-mmm")&amp;". "&amp;IF($W132=6,"Final escalation completed.",IF($T132="OVERDUE","Next: "&amp;$Z132&amp;" was due "&amp;TEXT($Y132,"dd-mmm")&amp;" - "&amp;(NETWORKDAYS($Y132,TODAY(),Holidays)-1)&amp;" business day(s) late. Send now.",IF($T132="DUE TOMORROW","Next: "&amp;$Z132&amp;IF($Y132&lt;=TODAY()," is due TODAY ("," is due next business day (")&amp;TEXT($Y132,"dd-mmm")&amp;").","Next: "&amp;$Z132&amp;" due "&amp;TEXT($Y132,"dd-mmm")&amp;" ("&amp;(NETWORKDAYS(TODAY(),$Y132,Holidays)-1)&amp;" business day(s) left).")))))</f>
        <v/>
      </c>
      <c r="V132" s="17">
        <f>IF($W132="","",CHOOSE($W132,"Collection Email","1st Follow-up","2nd Follow-up","Local Office","CBE","Roxanne")&amp;IF($W132=6," - Final"," - Day "&amp;MAX(0,NETWORKDAYS($X132,TODAY(),Holidays)-1)&amp;" of "&amp;CHOOSE($W132,3,3,2,2,3))&amp;" | Total Day "&amp;MAX(0,NETWORKDAYS($L132,TODAY(),Holidays)-1))</f>
        <v/>
      </c>
      <c r="W132" s="17">
        <f>IF($L132="","",COUNT($L132:$Q132))</f>
        <v/>
      </c>
      <c r="X132" s="18">
        <f>IF($W132="","",INT(INDEX($L132:$Q132,$W132)))</f>
        <v/>
      </c>
      <c r="Y132" s="18">
        <f>IF(OR($W132="",$W132=6),"",WORKDAY($X132,CHOOSE($W132,3,3,2,2,3),Holidays))</f>
        <v/>
      </c>
      <c r="Z132" s="17">
        <f>IF(OR($W132="",$W132=6),"",CHOOSE($W132,"1st Email Follow-up","2nd Email Follow-up","Escalate Local Office","Escalate to CBE","Escalate to Roxanne"))</f>
        <v/>
      </c>
    </row>
    <row r="133" spans="18:26">
      <c r="R133" s="15"/>
      <c r="S133" s="16"/>
      <c r="T133" s="17">
        <f>IF(AND(COUNTA($A133:$K133)=0,$L133=""),"",IF($S133="Paid","PAID",IF($S133="Closed","CLOSED",IF($W133="","",IF($W133=6,"ESCALATED TO ROXANNE",IF(TODAY()&gt;$Y133,"OVERDUE",IF($Y133&lt;=WORKDAY(TODAY(),1,Holidays),"DUE TOMORROW",IF($W133=4,"ESCALATED TO LOCAL OFFICE",IF($W133=5,"ESCALATED TO CBE",IF($X133=TODAY(),"EMAIL SENT","MONITORING"))))))))))</f>
        <v/>
      </c>
      <c r="U133" s="17">
        <f>IF($T133="",IF(AND(COUNTA($A133:$K133)&gt;0,$L133=""),"Awaiting Collection Email time stamp.",""),IF(OR($T133="PAID",$T133="CLOSED"),IF($T133="PAID","Account paid. Action completed.","Account closed. No further action required."),CHOOSE($W133,"Collection Email","1st Email Follow-up","2nd Email Follow-up","Escalation to Local Office","Escalation to CBE","Escalation to Roxanne")&amp;" sent "&amp;TEXT($X133,"dd-mmm")&amp;". "&amp;IF($W133=6,"Final escalation completed.",IF($T133="OVERDUE","Next: "&amp;$Z133&amp;" was due "&amp;TEXT($Y133,"dd-mmm")&amp;" - "&amp;(NETWORKDAYS($Y133,TODAY(),Holidays)-1)&amp;" business day(s) late. Send now.",IF($T133="DUE TOMORROW","Next: "&amp;$Z133&amp;IF($Y133&lt;=TODAY()," is due TODAY ("," is due next business day (")&amp;TEXT($Y133,"dd-mmm")&amp;").","Next: "&amp;$Z133&amp;" due "&amp;TEXT($Y133,"dd-mmm")&amp;" ("&amp;(NETWORKDAYS(TODAY(),$Y133,Holidays)-1)&amp;" business day(s) left).")))))</f>
        <v/>
      </c>
      <c r="V133" s="17">
        <f>IF($W133="","",CHOOSE($W133,"Collection Email","1st Follow-up","2nd Follow-up","Local Office","CBE","Roxanne")&amp;IF($W133=6," - Final"," - Day "&amp;MAX(0,NETWORKDAYS($X133,TODAY(),Holidays)-1)&amp;" of "&amp;CHOOSE($W133,3,3,2,2,3))&amp;" | Total Day "&amp;MAX(0,NETWORKDAYS($L133,TODAY(),Holidays)-1))</f>
        <v/>
      </c>
      <c r="W133" s="17">
        <f>IF($L133="","",COUNT($L133:$Q133))</f>
        <v/>
      </c>
      <c r="X133" s="18">
        <f>IF($W133="","",INT(INDEX($L133:$Q133,$W133)))</f>
        <v/>
      </c>
      <c r="Y133" s="18">
        <f>IF(OR($W133="",$W133=6),"",WORKDAY($X133,CHOOSE($W133,3,3,2,2,3),Holidays))</f>
        <v/>
      </c>
      <c r="Z133" s="17">
        <f>IF(OR($W133="",$W133=6),"",CHOOSE($W133,"1st Email Follow-up","2nd Email Follow-up","Escalate Local Office","Escalate to CBE","Escalate to Roxanne"))</f>
        <v/>
      </c>
    </row>
    <row r="134" spans="18:26">
      <c r="R134" s="15"/>
      <c r="S134" s="16"/>
      <c r="T134" s="17">
        <f>IF(AND(COUNTA($A134:$K134)=0,$L134=""),"",IF($S134="Paid","PAID",IF($S134="Closed","CLOSED",IF($W134="","",IF($W134=6,"ESCALATED TO ROXANNE",IF(TODAY()&gt;$Y134,"OVERDUE",IF($Y134&lt;=WORKDAY(TODAY(),1,Holidays),"DUE TOMORROW",IF($W134=4,"ESCALATED TO LOCAL OFFICE",IF($W134=5,"ESCALATED TO CBE",IF($X134=TODAY(),"EMAIL SENT","MONITORING"))))))))))</f>
        <v/>
      </c>
      <c r="U134" s="17">
        <f>IF($T134="",IF(AND(COUNTA($A134:$K134)&gt;0,$L134=""),"Awaiting Collection Email time stamp.",""),IF(OR($T134="PAID",$T134="CLOSED"),IF($T134="PAID","Account paid. Action completed.","Account closed. No further action required."),CHOOSE($W134,"Collection Email","1st Email Follow-up","2nd Email Follow-up","Escalation to Local Office","Escalation to CBE","Escalation to Roxanne")&amp;" sent "&amp;TEXT($X134,"dd-mmm")&amp;". "&amp;IF($W134=6,"Final escalation completed.",IF($T134="OVERDUE","Next: "&amp;$Z134&amp;" was due "&amp;TEXT($Y134,"dd-mmm")&amp;" - "&amp;(NETWORKDAYS($Y134,TODAY(),Holidays)-1)&amp;" business day(s) late. Send now.",IF($T134="DUE TOMORROW","Next: "&amp;$Z134&amp;IF($Y134&lt;=TODAY()," is due TODAY ("," is due next business day (")&amp;TEXT($Y134,"dd-mmm")&amp;").","Next: "&amp;$Z134&amp;" due "&amp;TEXT($Y134,"dd-mmm")&amp;" ("&amp;(NETWORKDAYS(TODAY(),$Y134,Holidays)-1)&amp;" business day(s) left).")))))</f>
        <v/>
      </c>
      <c r="V134" s="17">
        <f>IF($W134="","",CHOOSE($W134,"Collection Email","1st Follow-up","2nd Follow-up","Local Office","CBE","Roxanne")&amp;IF($W134=6," - Final"," - Day "&amp;MAX(0,NETWORKDAYS($X134,TODAY(),Holidays)-1)&amp;" of "&amp;CHOOSE($W134,3,3,2,2,3))&amp;" | Total Day "&amp;MAX(0,NETWORKDAYS($L134,TODAY(),Holidays)-1))</f>
        <v/>
      </c>
      <c r="W134" s="17">
        <f>IF($L134="","",COUNT($L134:$Q134))</f>
        <v/>
      </c>
      <c r="X134" s="18">
        <f>IF($W134="","",INT(INDEX($L134:$Q134,$W134)))</f>
        <v/>
      </c>
      <c r="Y134" s="18">
        <f>IF(OR($W134="",$W134=6),"",WORKDAY($X134,CHOOSE($W134,3,3,2,2,3),Holidays))</f>
        <v/>
      </c>
      <c r="Z134" s="17">
        <f>IF(OR($W134="",$W134=6),"",CHOOSE($W134,"1st Email Follow-up","2nd Email Follow-up","Escalate Local Office","Escalate to CBE","Escalate to Roxanne"))</f>
        <v/>
      </c>
    </row>
    <row r="135" spans="18:26">
      <c r="R135" s="15"/>
      <c r="S135" s="16"/>
      <c r="T135" s="17">
        <f>IF(AND(COUNTA($A135:$K135)=0,$L135=""),"",IF($S135="Paid","PAID",IF($S135="Closed","CLOSED",IF($W135="","",IF($W135=6,"ESCALATED TO ROXANNE",IF(TODAY()&gt;$Y135,"OVERDUE",IF($Y135&lt;=WORKDAY(TODAY(),1,Holidays),"DUE TOMORROW",IF($W135=4,"ESCALATED TO LOCAL OFFICE",IF($W135=5,"ESCALATED TO CBE",IF($X135=TODAY(),"EMAIL SENT","MONITORING"))))))))))</f>
        <v/>
      </c>
      <c r="U135" s="17">
        <f>IF($T135="",IF(AND(COUNTA($A135:$K135)&gt;0,$L135=""),"Awaiting Collection Email time stamp.",""),IF(OR($T135="PAID",$T135="CLOSED"),IF($T135="PAID","Account paid. Action completed.","Account closed. No further action required."),CHOOSE($W135,"Collection Email","1st Email Follow-up","2nd Email Follow-up","Escalation to Local Office","Escalation to CBE","Escalation to Roxanne")&amp;" sent "&amp;TEXT($X135,"dd-mmm")&amp;". "&amp;IF($W135=6,"Final escalation completed.",IF($T135="OVERDUE","Next: "&amp;$Z135&amp;" was due "&amp;TEXT($Y135,"dd-mmm")&amp;" - "&amp;(NETWORKDAYS($Y135,TODAY(),Holidays)-1)&amp;" business day(s) late. Send now.",IF($T135="DUE TOMORROW","Next: "&amp;$Z135&amp;IF($Y135&lt;=TODAY()," is due TODAY ("," is due next business day (")&amp;TEXT($Y135,"dd-mmm")&amp;").","Next: "&amp;$Z135&amp;" due "&amp;TEXT($Y135,"dd-mmm")&amp;" ("&amp;(NETWORKDAYS(TODAY(),$Y135,Holidays)-1)&amp;" business day(s) left).")))))</f>
        <v/>
      </c>
      <c r="V135" s="17">
        <f>IF($W135="","",CHOOSE($W135,"Collection Email","1st Follow-up","2nd Follow-up","Local Office","CBE","Roxanne")&amp;IF($W135=6," - Final"," - Day "&amp;MAX(0,NETWORKDAYS($X135,TODAY(),Holidays)-1)&amp;" of "&amp;CHOOSE($W135,3,3,2,2,3))&amp;" | Total Day "&amp;MAX(0,NETWORKDAYS($L135,TODAY(),Holidays)-1))</f>
        <v/>
      </c>
      <c r="W135" s="17">
        <f>IF($L135="","",COUNT($L135:$Q135))</f>
        <v/>
      </c>
      <c r="X135" s="18">
        <f>IF($W135="","",INT(INDEX($L135:$Q135,$W135)))</f>
        <v/>
      </c>
      <c r="Y135" s="18">
        <f>IF(OR($W135="",$W135=6),"",WORKDAY($X135,CHOOSE($W135,3,3,2,2,3),Holidays))</f>
        <v/>
      </c>
      <c r="Z135" s="17">
        <f>IF(OR($W135="",$W135=6),"",CHOOSE($W135,"1st Email Follow-up","2nd Email Follow-up","Escalate Local Office","Escalate to CBE","Escalate to Roxanne"))</f>
        <v/>
      </c>
    </row>
    <row r="136" spans="18:26">
      <c r="R136" s="15"/>
      <c r="S136" s="16"/>
      <c r="T136" s="17">
        <f>IF(AND(COUNTA($A136:$K136)=0,$L136=""),"",IF($S136="Paid","PAID",IF($S136="Closed","CLOSED",IF($W136="","",IF($W136=6,"ESCALATED TO ROXANNE",IF(TODAY()&gt;$Y136,"OVERDUE",IF($Y136&lt;=WORKDAY(TODAY(),1,Holidays),"DUE TOMORROW",IF($W136=4,"ESCALATED TO LOCAL OFFICE",IF($W136=5,"ESCALATED TO CBE",IF($X136=TODAY(),"EMAIL SENT","MONITORING"))))))))))</f>
        <v/>
      </c>
      <c r="U136" s="17">
        <f>IF($T136="",IF(AND(COUNTA($A136:$K136)&gt;0,$L136=""),"Awaiting Collection Email time stamp.",""),IF(OR($T136="PAID",$T136="CLOSED"),IF($T136="PAID","Account paid. Action completed.","Account closed. No further action required."),CHOOSE($W136,"Collection Email","1st Email Follow-up","2nd Email Follow-up","Escalation to Local Office","Escalation to CBE","Escalation to Roxanne")&amp;" sent "&amp;TEXT($X136,"dd-mmm")&amp;". "&amp;IF($W136=6,"Final escalation completed.",IF($T136="OVERDUE","Next: "&amp;$Z136&amp;" was due "&amp;TEXT($Y136,"dd-mmm")&amp;" - "&amp;(NETWORKDAYS($Y136,TODAY(),Holidays)-1)&amp;" business day(s) late. Send now.",IF($T136="DUE TOMORROW","Next: "&amp;$Z136&amp;IF($Y136&lt;=TODAY()," is due TODAY ("," is due next business day (")&amp;TEXT($Y136,"dd-mmm")&amp;").","Next: "&amp;$Z136&amp;" due "&amp;TEXT($Y136,"dd-mmm")&amp;" ("&amp;(NETWORKDAYS(TODAY(),$Y136,Holidays)-1)&amp;" business day(s) left).")))))</f>
        <v/>
      </c>
      <c r="V136" s="17">
        <f>IF($W136="","",CHOOSE($W136,"Collection Email","1st Follow-up","2nd Follow-up","Local Office","CBE","Roxanne")&amp;IF($W136=6," - Final"," - Day "&amp;MAX(0,NETWORKDAYS($X136,TODAY(),Holidays)-1)&amp;" of "&amp;CHOOSE($W136,3,3,2,2,3))&amp;" | Total Day "&amp;MAX(0,NETWORKDAYS($L136,TODAY(),Holidays)-1))</f>
        <v/>
      </c>
      <c r="W136" s="17">
        <f>IF($L136="","",COUNT($L136:$Q136))</f>
        <v/>
      </c>
      <c r="X136" s="18">
        <f>IF($W136="","",INT(INDEX($L136:$Q136,$W136)))</f>
        <v/>
      </c>
      <c r="Y136" s="18">
        <f>IF(OR($W136="",$W136=6),"",WORKDAY($X136,CHOOSE($W136,3,3,2,2,3),Holidays))</f>
        <v/>
      </c>
      <c r="Z136" s="17">
        <f>IF(OR($W136="",$W136=6),"",CHOOSE($W136,"1st Email Follow-up","2nd Email Follow-up","Escalate Local Office","Escalate to CBE","Escalate to Roxanne"))</f>
        <v/>
      </c>
    </row>
    <row r="137" spans="18:26">
      <c r="R137" s="15"/>
      <c r="S137" s="16"/>
      <c r="T137" s="17">
        <f>IF(AND(COUNTA($A137:$K137)=0,$L137=""),"",IF($S137="Paid","PAID",IF($S137="Closed","CLOSED",IF($W137="","",IF($W137=6,"ESCALATED TO ROXANNE",IF(TODAY()&gt;$Y137,"OVERDUE",IF($Y137&lt;=WORKDAY(TODAY(),1,Holidays),"DUE TOMORROW",IF($W137=4,"ESCALATED TO LOCAL OFFICE",IF($W137=5,"ESCALATED TO CBE",IF($X137=TODAY(),"EMAIL SENT","MONITORING"))))))))))</f>
        <v/>
      </c>
      <c r="U137" s="17">
        <f>IF($T137="",IF(AND(COUNTA($A137:$K137)&gt;0,$L137=""),"Awaiting Collection Email time stamp.",""),IF(OR($T137="PAID",$T137="CLOSED"),IF($T137="PAID","Account paid. Action completed.","Account closed. No further action required."),CHOOSE($W137,"Collection Email","1st Email Follow-up","2nd Email Follow-up","Escalation to Local Office","Escalation to CBE","Escalation to Roxanne")&amp;" sent "&amp;TEXT($X137,"dd-mmm")&amp;". "&amp;IF($W137=6,"Final escalation completed.",IF($T137="OVERDUE","Next: "&amp;$Z137&amp;" was due "&amp;TEXT($Y137,"dd-mmm")&amp;" - "&amp;(NETWORKDAYS($Y137,TODAY(),Holidays)-1)&amp;" business day(s) late. Send now.",IF($T137="DUE TOMORROW","Next: "&amp;$Z137&amp;IF($Y137&lt;=TODAY()," is due TODAY ("," is due next business day (")&amp;TEXT($Y137,"dd-mmm")&amp;").","Next: "&amp;$Z137&amp;" due "&amp;TEXT($Y137,"dd-mmm")&amp;" ("&amp;(NETWORKDAYS(TODAY(),$Y137,Holidays)-1)&amp;" business day(s) left).")))))</f>
        <v/>
      </c>
      <c r="V137" s="17">
        <f>IF($W137="","",CHOOSE($W137,"Collection Email","1st Follow-up","2nd Follow-up","Local Office","CBE","Roxanne")&amp;IF($W137=6," - Final"," - Day "&amp;MAX(0,NETWORKDAYS($X137,TODAY(),Holidays)-1)&amp;" of "&amp;CHOOSE($W137,3,3,2,2,3))&amp;" | Total Day "&amp;MAX(0,NETWORKDAYS($L137,TODAY(),Holidays)-1))</f>
        <v/>
      </c>
      <c r="W137" s="17">
        <f>IF($L137="","",COUNT($L137:$Q137))</f>
        <v/>
      </c>
      <c r="X137" s="18">
        <f>IF($W137="","",INT(INDEX($L137:$Q137,$W137)))</f>
        <v/>
      </c>
      <c r="Y137" s="18">
        <f>IF(OR($W137="",$W137=6),"",WORKDAY($X137,CHOOSE($W137,3,3,2,2,3),Holidays))</f>
        <v/>
      </c>
      <c r="Z137" s="17">
        <f>IF(OR($W137="",$W137=6),"",CHOOSE($W137,"1st Email Follow-up","2nd Email Follow-up","Escalate Local Office","Escalate to CBE","Escalate to Roxanne"))</f>
        <v/>
      </c>
    </row>
    <row r="138" spans="18:26">
      <c r="R138" s="15"/>
      <c r="S138" s="16"/>
      <c r="T138" s="17">
        <f>IF(AND(COUNTA($A138:$K138)=0,$L138=""),"",IF($S138="Paid","PAID",IF($S138="Closed","CLOSED",IF($W138="","",IF($W138=6,"ESCALATED TO ROXANNE",IF(TODAY()&gt;$Y138,"OVERDUE",IF($Y138&lt;=WORKDAY(TODAY(),1,Holidays),"DUE TOMORROW",IF($W138=4,"ESCALATED TO LOCAL OFFICE",IF($W138=5,"ESCALATED TO CBE",IF($X138=TODAY(),"EMAIL SENT","MONITORING"))))))))))</f>
        <v/>
      </c>
      <c r="U138" s="17">
        <f>IF($T138="",IF(AND(COUNTA($A138:$K138)&gt;0,$L138=""),"Awaiting Collection Email time stamp.",""),IF(OR($T138="PAID",$T138="CLOSED"),IF($T138="PAID","Account paid. Action completed.","Account closed. No further action required."),CHOOSE($W138,"Collection Email","1st Email Follow-up","2nd Email Follow-up","Escalation to Local Office","Escalation to CBE","Escalation to Roxanne")&amp;" sent "&amp;TEXT($X138,"dd-mmm")&amp;". "&amp;IF($W138=6,"Final escalation completed.",IF($T138="OVERDUE","Next: "&amp;$Z138&amp;" was due "&amp;TEXT($Y138,"dd-mmm")&amp;" - "&amp;(NETWORKDAYS($Y138,TODAY(),Holidays)-1)&amp;" business day(s) late. Send now.",IF($T138="DUE TOMORROW","Next: "&amp;$Z138&amp;IF($Y138&lt;=TODAY()," is due TODAY ("," is due next business day (")&amp;TEXT($Y138,"dd-mmm")&amp;").","Next: "&amp;$Z138&amp;" due "&amp;TEXT($Y138,"dd-mmm")&amp;" ("&amp;(NETWORKDAYS(TODAY(),$Y138,Holidays)-1)&amp;" business day(s) left).")))))</f>
        <v/>
      </c>
      <c r="V138" s="17">
        <f>IF($W138="","",CHOOSE($W138,"Collection Email","1st Follow-up","2nd Follow-up","Local Office","CBE","Roxanne")&amp;IF($W138=6," - Final"," - Day "&amp;MAX(0,NETWORKDAYS($X138,TODAY(),Holidays)-1)&amp;" of "&amp;CHOOSE($W138,3,3,2,2,3))&amp;" | Total Day "&amp;MAX(0,NETWORKDAYS($L138,TODAY(),Holidays)-1))</f>
        <v/>
      </c>
      <c r="W138" s="17">
        <f>IF($L138="","",COUNT($L138:$Q138))</f>
        <v/>
      </c>
      <c r="X138" s="18">
        <f>IF($W138="","",INT(INDEX($L138:$Q138,$W138)))</f>
        <v/>
      </c>
      <c r="Y138" s="18">
        <f>IF(OR($W138="",$W138=6),"",WORKDAY($X138,CHOOSE($W138,3,3,2,2,3),Holidays))</f>
        <v/>
      </c>
      <c r="Z138" s="17">
        <f>IF(OR($W138="",$W138=6),"",CHOOSE($W138,"1st Email Follow-up","2nd Email Follow-up","Escalate Local Office","Escalate to CBE","Escalate to Roxanne"))</f>
        <v/>
      </c>
    </row>
    <row r="139" spans="18:26">
      <c r="R139" s="15"/>
      <c r="S139" s="16"/>
      <c r="T139" s="17">
        <f>IF(AND(COUNTA($A139:$K139)=0,$L139=""),"",IF($S139="Paid","PAID",IF($S139="Closed","CLOSED",IF($W139="","",IF($W139=6,"ESCALATED TO ROXANNE",IF(TODAY()&gt;$Y139,"OVERDUE",IF($Y139&lt;=WORKDAY(TODAY(),1,Holidays),"DUE TOMORROW",IF($W139=4,"ESCALATED TO LOCAL OFFICE",IF($W139=5,"ESCALATED TO CBE",IF($X139=TODAY(),"EMAIL SENT","MONITORING"))))))))))</f>
        <v/>
      </c>
      <c r="U139" s="17">
        <f>IF($T139="",IF(AND(COUNTA($A139:$K139)&gt;0,$L139=""),"Awaiting Collection Email time stamp.",""),IF(OR($T139="PAID",$T139="CLOSED"),IF($T139="PAID","Account paid. Action completed.","Account closed. No further action required."),CHOOSE($W139,"Collection Email","1st Email Follow-up","2nd Email Follow-up","Escalation to Local Office","Escalation to CBE","Escalation to Roxanne")&amp;" sent "&amp;TEXT($X139,"dd-mmm")&amp;". "&amp;IF($W139=6,"Final escalation completed.",IF($T139="OVERDUE","Next: "&amp;$Z139&amp;" was due "&amp;TEXT($Y139,"dd-mmm")&amp;" - "&amp;(NETWORKDAYS($Y139,TODAY(),Holidays)-1)&amp;" business day(s) late. Send now.",IF($T139="DUE TOMORROW","Next: "&amp;$Z139&amp;IF($Y139&lt;=TODAY()," is due TODAY ("," is due next business day (")&amp;TEXT($Y139,"dd-mmm")&amp;").","Next: "&amp;$Z139&amp;" due "&amp;TEXT($Y139,"dd-mmm")&amp;" ("&amp;(NETWORKDAYS(TODAY(),$Y139,Holidays)-1)&amp;" business day(s) left).")))))</f>
        <v/>
      </c>
      <c r="V139" s="17">
        <f>IF($W139="","",CHOOSE($W139,"Collection Email","1st Follow-up","2nd Follow-up","Local Office","CBE","Roxanne")&amp;IF($W139=6," - Final"," - Day "&amp;MAX(0,NETWORKDAYS($X139,TODAY(),Holidays)-1)&amp;" of "&amp;CHOOSE($W139,3,3,2,2,3))&amp;" | Total Day "&amp;MAX(0,NETWORKDAYS($L139,TODAY(),Holidays)-1))</f>
        <v/>
      </c>
      <c r="W139" s="17">
        <f>IF($L139="","",COUNT($L139:$Q139))</f>
        <v/>
      </c>
      <c r="X139" s="18">
        <f>IF($W139="","",INT(INDEX($L139:$Q139,$W139)))</f>
        <v/>
      </c>
      <c r="Y139" s="18">
        <f>IF(OR($W139="",$W139=6),"",WORKDAY($X139,CHOOSE($W139,3,3,2,2,3),Holidays))</f>
        <v/>
      </c>
      <c r="Z139" s="17">
        <f>IF(OR($W139="",$W139=6),"",CHOOSE($W139,"1st Email Follow-up","2nd Email Follow-up","Escalate Local Office","Escalate to CBE","Escalate to Roxanne"))</f>
        <v/>
      </c>
    </row>
    <row r="140" spans="18:26">
      <c r="R140" s="15"/>
      <c r="S140" s="16"/>
      <c r="T140" s="17">
        <f>IF(AND(COUNTA($A140:$K140)=0,$L140=""),"",IF($S140="Paid","PAID",IF($S140="Closed","CLOSED",IF($W140="","",IF($W140=6,"ESCALATED TO ROXANNE",IF(TODAY()&gt;$Y140,"OVERDUE",IF($Y140&lt;=WORKDAY(TODAY(),1,Holidays),"DUE TOMORROW",IF($W140=4,"ESCALATED TO LOCAL OFFICE",IF($W140=5,"ESCALATED TO CBE",IF($X140=TODAY(),"EMAIL SENT","MONITORING"))))))))))</f>
        <v/>
      </c>
      <c r="U140" s="17">
        <f>IF($T140="",IF(AND(COUNTA($A140:$K140)&gt;0,$L140=""),"Awaiting Collection Email time stamp.",""),IF(OR($T140="PAID",$T140="CLOSED"),IF($T140="PAID","Account paid. Action completed.","Account closed. No further action required."),CHOOSE($W140,"Collection Email","1st Email Follow-up","2nd Email Follow-up","Escalation to Local Office","Escalation to CBE","Escalation to Roxanne")&amp;" sent "&amp;TEXT($X140,"dd-mmm")&amp;". "&amp;IF($W140=6,"Final escalation completed.",IF($T140="OVERDUE","Next: "&amp;$Z140&amp;" was due "&amp;TEXT($Y140,"dd-mmm")&amp;" - "&amp;(NETWORKDAYS($Y140,TODAY(),Holidays)-1)&amp;" business day(s) late. Send now.",IF($T140="DUE TOMORROW","Next: "&amp;$Z140&amp;IF($Y140&lt;=TODAY()," is due TODAY ("," is due next business day (")&amp;TEXT($Y140,"dd-mmm")&amp;").","Next: "&amp;$Z140&amp;" due "&amp;TEXT($Y140,"dd-mmm")&amp;" ("&amp;(NETWORKDAYS(TODAY(),$Y140,Holidays)-1)&amp;" business day(s) left).")))))</f>
        <v/>
      </c>
      <c r="V140" s="17">
        <f>IF($W140="","",CHOOSE($W140,"Collection Email","1st Follow-up","2nd Follow-up","Local Office","CBE","Roxanne")&amp;IF($W140=6," - Final"," - Day "&amp;MAX(0,NETWORKDAYS($X140,TODAY(),Holidays)-1)&amp;" of "&amp;CHOOSE($W140,3,3,2,2,3))&amp;" | Total Day "&amp;MAX(0,NETWORKDAYS($L140,TODAY(),Holidays)-1))</f>
        <v/>
      </c>
      <c r="W140" s="17">
        <f>IF($L140="","",COUNT($L140:$Q140))</f>
        <v/>
      </c>
      <c r="X140" s="18">
        <f>IF($W140="","",INT(INDEX($L140:$Q140,$W140)))</f>
        <v/>
      </c>
      <c r="Y140" s="18">
        <f>IF(OR($W140="",$W140=6),"",WORKDAY($X140,CHOOSE($W140,3,3,2,2,3),Holidays))</f>
        <v/>
      </c>
      <c r="Z140" s="17">
        <f>IF(OR($W140="",$W140=6),"",CHOOSE($W140,"1st Email Follow-up","2nd Email Follow-up","Escalate Local Office","Escalate to CBE","Escalate to Roxanne"))</f>
        <v/>
      </c>
    </row>
    <row r="141" spans="18:26">
      <c r="R141" s="15"/>
      <c r="S141" s="16"/>
      <c r="T141" s="17">
        <f>IF(AND(COUNTA($A141:$K141)=0,$L141=""),"",IF($S141="Paid","PAID",IF($S141="Closed","CLOSED",IF($W141="","",IF($W141=6,"ESCALATED TO ROXANNE",IF(TODAY()&gt;$Y141,"OVERDUE",IF($Y141&lt;=WORKDAY(TODAY(),1,Holidays),"DUE TOMORROW",IF($W141=4,"ESCALATED TO LOCAL OFFICE",IF($W141=5,"ESCALATED TO CBE",IF($X141=TODAY(),"EMAIL SENT","MONITORING"))))))))))</f>
        <v/>
      </c>
      <c r="U141" s="17">
        <f>IF($T141="",IF(AND(COUNTA($A141:$K141)&gt;0,$L141=""),"Awaiting Collection Email time stamp.",""),IF(OR($T141="PAID",$T141="CLOSED"),IF($T141="PAID","Account paid. Action completed.","Account closed. No further action required."),CHOOSE($W141,"Collection Email","1st Email Follow-up","2nd Email Follow-up","Escalation to Local Office","Escalation to CBE","Escalation to Roxanne")&amp;" sent "&amp;TEXT($X141,"dd-mmm")&amp;". "&amp;IF($W141=6,"Final escalation completed.",IF($T141="OVERDUE","Next: "&amp;$Z141&amp;" was due "&amp;TEXT($Y141,"dd-mmm")&amp;" - "&amp;(NETWORKDAYS($Y141,TODAY(),Holidays)-1)&amp;" business day(s) late. Send now.",IF($T141="DUE TOMORROW","Next: "&amp;$Z141&amp;IF($Y141&lt;=TODAY()," is due TODAY ("," is due next business day (")&amp;TEXT($Y141,"dd-mmm")&amp;").","Next: "&amp;$Z141&amp;" due "&amp;TEXT($Y141,"dd-mmm")&amp;" ("&amp;(NETWORKDAYS(TODAY(),$Y141,Holidays)-1)&amp;" business day(s) left).")))))</f>
        <v/>
      </c>
      <c r="V141" s="17">
        <f>IF($W141="","",CHOOSE($W141,"Collection Email","1st Follow-up","2nd Follow-up","Local Office","CBE","Roxanne")&amp;IF($W141=6," - Final"," - Day "&amp;MAX(0,NETWORKDAYS($X141,TODAY(),Holidays)-1)&amp;" of "&amp;CHOOSE($W141,3,3,2,2,3))&amp;" | Total Day "&amp;MAX(0,NETWORKDAYS($L141,TODAY(),Holidays)-1))</f>
        <v/>
      </c>
      <c r="W141" s="17">
        <f>IF($L141="","",COUNT($L141:$Q141))</f>
        <v/>
      </c>
      <c r="X141" s="18">
        <f>IF($W141="","",INT(INDEX($L141:$Q141,$W141)))</f>
        <v/>
      </c>
      <c r="Y141" s="18">
        <f>IF(OR($W141="",$W141=6),"",WORKDAY($X141,CHOOSE($W141,3,3,2,2,3),Holidays))</f>
        <v/>
      </c>
      <c r="Z141" s="17">
        <f>IF(OR($W141="",$W141=6),"",CHOOSE($W141,"1st Email Follow-up","2nd Email Follow-up","Escalate Local Office","Escalate to CBE","Escalate to Roxanne"))</f>
        <v/>
      </c>
    </row>
    <row r="142" spans="18:26">
      <c r="R142" s="15"/>
      <c r="S142" s="16"/>
      <c r="T142" s="17">
        <f>IF(AND(COUNTA($A142:$K142)=0,$L142=""),"",IF($S142="Paid","PAID",IF($S142="Closed","CLOSED",IF($W142="","",IF($W142=6,"ESCALATED TO ROXANNE",IF(TODAY()&gt;$Y142,"OVERDUE",IF($Y142&lt;=WORKDAY(TODAY(),1,Holidays),"DUE TOMORROW",IF($W142=4,"ESCALATED TO LOCAL OFFICE",IF($W142=5,"ESCALATED TO CBE",IF($X142=TODAY(),"EMAIL SENT","MONITORING"))))))))))</f>
        <v/>
      </c>
      <c r="U142" s="17">
        <f>IF($T142="",IF(AND(COUNTA($A142:$K142)&gt;0,$L142=""),"Awaiting Collection Email time stamp.",""),IF(OR($T142="PAID",$T142="CLOSED"),IF($T142="PAID","Account paid. Action completed.","Account closed. No further action required."),CHOOSE($W142,"Collection Email","1st Email Follow-up","2nd Email Follow-up","Escalation to Local Office","Escalation to CBE","Escalation to Roxanne")&amp;" sent "&amp;TEXT($X142,"dd-mmm")&amp;". "&amp;IF($W142=6,"Final escalation completed.",IF($T142="OVERDUE","Next: "&amp;$Z142&amp;" was due "&amp;TEXT($Y142,"dd-mmm")&amp;" - "&amp;(NETWORKDAYS($Y142,TODAY(),Holidays)-1)&amp;" business day(s) late. Send now.",IF($T142="DUE TOMORROW","Next: "&amp;$Z142&amp;IF($Y142&lt;=TODAY()," is due TODAY ("," is due next business day (")&amp;TEXT($Y142,"dd-mmm")&amp;").","Next: "&amp;$Z142&amp;" due "&amp;TEXT($Y142,"dd-mmm")&amp;" ("&amp;(NETWORKDAYS(TODAY(),$Y142,Holidays)-1)&amp;" business day(s) left).")))))</f>
        <v/>
      </c>
      <c r="V142" s="17">
        <f>IF($W142="","",CHOOSE($W142,"Collection Email","1st Follow-up","2nd Follow-up","Local Office","CBE","Roxanne")&amp;IF($W142=6," - Final"," - Day "&amp;MAX(0,NETWORKDAYS($X142,TODAY(),Holidays)-1)&amp;" of "&amp;CHOOSE($W142,3,3,2,2,3))&amp;" | Total Day "&amp;MAX(0,NETWORKDAYS($L142,TODAY(),Holidays)-1))</f>
        <v/>
      </c>
      <c r="W142" s="17">
        <f>IF($L142="","",COUNT($L142:$Q142))</f>
        <v/>
      </c>
      <c r="X142" s="18">
        <f>IF($W142="","",INT(INDEX($L142:$Q142,$W142)))</f>
        <v/>
      </c>
      <c r="Y142" s="18">
        <f>IF(OR($W142="",$W142=6),"",WORKDAY($X142,CHOOSE($W142,3,3,2,2,3),Holidays))</f>
        <v/>
      </c>
      <c r="Z142" s="17">
        <f>IF(OR($W142="",$W142=6),"",CHOOSE($W142,"1st Email Follow-up","2nd Email Follow-up","Escalate Local Office","Escalate to CBE","Escalate to Roxanne"))</f>
        <v/>
      </c>
    </row>
    <row r="143" spans="18:26">
      <c r="R143" s="15"/>
      <c r="S143" s="16"/>
      <c r="T143" s="17">
        <f>IF(AND(COUNTA($A143:$K143)=0,$L143=""),"",IF($S143="Paid","PAID",IF($S143="Closed","CLOSED",IF($W143="","",IF($W143=6,"ESCALATED TO ROXANNE",IF(TODAY()&gt;$Y143,"OVERDUE",IF($Y143&lt;=WORKDAY(TODAY(),1,Holidays),"DUE TOMORROW",IF($W143=4,"ESCALATED TO LOCAL OFFICE",IF($W143=5,"ESCALATED TO CBE",IF($X143=TODAY(),"EMAIL SENT","MONITORING"))))))))))</f>
        <v/>
      </c>
      <c r="U143" s="17">
        <f>IF($T143="",IF(AND(COUNTA($A143:$K143)&gt;0,$L143=""),"Awaiting Collection Email time stamp.",""),IF(OR($T143="PAID",$T143="CLOSED"),IF($T143="PAID","Account paid. Action completed.","Account closed. No further action required."),CHOOSE($W143,"Collection Email","1st Email Follow-up","2nd Email Follow-up","Escalation to Local Office","Escalation to CBE","Escalation to Roxanne")&amp;" sent "&amp;TEXT($X143,"dd-mmm")&amp;". "&amp;IF($W143=6,"Final escalation completed.",IF($T143="OVERDUE","Next: "&amp;$Z143&amp;" was due "&amp;TEXT($Y143,"dd-mmm")&amp;" - "&amp;(NETWORKDAYS($Y143,TODAY(),Holidays)-1)&amp;" business day(s) late. Send now.",IF($T143="DUE TOMORROW","Next: "&amp;$Z143&amp;IF($Y143&lt;=TODAY()," is due TODAY ("," is due next business day (")&amp;TEXT($Y143,"dd-mmm")&amp;").","Next: "&amp;$Z143&amp;" due "&amp;TEXT($Y143,"dd-mmm")&amp;" ("&amp;(NETWORKDAYS(TODAY(),$Y143,Holidays)-1)&amp;" business day(s) left).")))))</f>
        <v/>
      </c>
      <c r="V143" s="17">
        <f>IF($W143="","",CHOOSE($W143,"Collection Email","1st Follow-up","2nd Follow-up","Local Office","CBE","Roxanne")&amp;IF($W143=6," - Final"," - Day "&amp;MAX(0,NETWORKDAYS($X143,TODAY(),Holidays)-1)&amp;" of "&amp;CHOOSE($W143,3,3,2,2,3))&amp;" | Total Day "&amp;MAX(0,NETWORKDAYS($L143,TODAY(),Holidays)-1))</f>
        <v/>
      </c>
      <c r="W143" s="17">
        <f>IF($L143="","",COUNT($L143:$Q143))</f>
        <v/>
      </c>
      <c r="X143" s="18">
        <f>IF($W143="","",INT(INDEX($L143:$Q143,$W143)))</f>
        <v/>
      </c>
      <c r="Y143" s="18">
        <f>IF(OR($W143="",$W143=6),"",WORKDAY($X143,CHOOSE($W143,3,3,2,2,3),Holidays))</f>
        <v/>
      </c>
      <c r="Z143" s="17">
        <f>IF(OR($W143="",$W143=6),"",CHOOSE($W143,"1st Email Follow-up","2nd Email Follow-up","Escalate Local Office","Escalate to CBE","Escalate to Roxanne"))</f>
        <v/>
      </c>
    </row>
    <row r="144" spans="18:26">
      <c r="R144" s="15"/>
      <c r="S144" s="16"/>
      <c r="T144" s="17">
        <f>IF(AND(COUNTA($A144:$K144)=0,$L144=""),"",IF($S144="Paid","PAID",IF($S144="Closed","CLOSED",IF($W144="","",IF($W144=6,"ESCALATED TO ROXANNE",IF(TODAY()&gt;$Y144,"OVERDUE",IF($Y144&lt;=WORKDAY(TODAY(),1,Holidays),"DUE TOMORROW",IF($W144=4,"ESCALATED TO LOCAL OFFICE",IF($W144=5,"ESCALATED TO CBE",IF($X144=TODAY(),"EMAIL SENT","MONITORING"))))))))))</f>
        <v/>
      </c>
      <c r="U144" s="17">
        <f>IF($T144="",IF(AND(COUNTA($A144:$K144)&gt;0,$L144=""),"Awaiting Collection Email time stamp.",""),IF(OR($T144="PAID",$T144="CLOSED"),IF($T144="PAID","Account paid. Action completed.","Account closed. No further action required."),CHOOSE($W144,"Collection Email","1st Email Follow-up","2nd Email Follow-up","Escalation to Local Office","Escalation to CBE","Escalation to Roxanne")&amp;" sent "&amp;TEXT($X144,"dd-mmm")&amp;". "&amp;IF($W144=6,"Final escalation completed.",IF($T144="OVERDUE","Next: "&amp;$Z144&amp;" was due "&amp;TEXT($Y144,"dd-mmm")&amp;" - "&amp;(NETWORKDAYS($Y144,TODAY(),Holidays)-1)&amp;" business day(s) late. Send now.",IF($T144="DUE TOMORROW","Next: "&amp;$Z144&amp;IF($Y144&lt;=TODAY()," is due TODAY ("," is due next business day (")&amp;TEXT($Y144,"dd-mmm")&amp;").","Next: "&amp;$Z144&amp;" due "&amp;TEXT($Y144,"dd-mmm")&amp;" ("&amp;(NETWORKDAYS(TODAY(),$Y144,Holidays)-1)&amp;" business day(s) left).")))))</f>
        <v/>
      </c>
      <c r="V144" s="17">
        <f>IF($W144="","",CHOOSE($W144,"Collection Email","1st Follow-up","2nd Follow-up","Local Office","CBE","Roxanne")&amp;IF($W144=6," - Final"," - Day "&amp;MAX(0,NETWORKDAYS($X144,TODAY(),Holidays)-1)&amp;" of "&amp;CHOOSE($W144,3,3,2,2,3))&amp;" | Total Day "&amp;MAX(0,NETWORKDAYS($L144,TODAY(),Holidays)-1))</f>
        <v/>
      </c>
      <c r="W144" s="17">
        <f>IF($L144="","",COUNT($L144:$Q144))</f>
        <v/>
      </c>
      <c r="X144" s="18">
        <f>IF($W144="","",INT(INDEX($L144:$Q144,$W144)))</f>
        <v/>
      </c>
      <c r="Y144" s="18">
        <f>IF(OR($W144="",$W144=6),"",WORKDAY($X144,CHOOSE($W144,3,3,2,2,3),Holidays))</f>
        <v/>
      </c>
      <c r="Z144" s="17">
        <f>IF(OR($W144="",$W144=6),"",CHOOSE($W144,"1st Email Follow-up","2nd Email Follow-up","Escalate Local Office","Escalate to CBE","Escalate to Roxanne"))</f>
        <v/>
      </c>
    </row>
    <row r="145" spans="18:26">
      <c r="R145" s="15"/>
      <c r="S145" s="16"/>
      <c r="T145" s="17">
        <f>IF(AND(COUNTA($A145:$K145)=0,$L145=""),"",IF($S145="Paid","PAID",IF($S145="Closed","CLOSED",IF($W145="","",IF($W145=6,"ESCALATED TO ROXANNE",IF(TODAY()&gt;$Y145,"OVERDUE",IF($Y145&lt;=WORKDAY(TODAY(),1,Holidays),"DUE TOMORROW",IF($W145=4,"ESCALATED TO LOCAL OFFICE",IF($W145=5,"ESCALATED TO CBE",IF($X145=TODAY(),"EMAIL SENT","MONITORING"))))))))))</f>
        <v/>
      </c>
      <c r="U145" s="17">
        <f>IF($T145="",IF(AND(COUNTA($A145:$K145)&gt;0,$L145=""),"Awaiting Collection Email time stamp.",""),IF(OR($T145="PAID",$T145="CLOSED"),IF($T145="PAID","Account paid. Action completed.","Account closed. No further action required."),CHOOSE($W145,"Collection Email","1st Email Follow-up","2nd Email Follow-up","Escalation to Local Office","Escalation to CBE","Escalation to Roxanne")&amp;" sent "&amp;TEXT($X145,"dd-mmm")&amp;". "&amp;IF($W145=6,"Final escalation completed.",IF($T145="OVERDUE","Next: "&amp;$Z145&amp;" was due "&amp;TEXT($Y145,"dd-mmm")&amp;" - "&amp;(NETWORKDAYS($Y145,TODAY(),Holidays)-1)&amp;" business day(s) late. Send now.",IF($T145="DUE TOMORROW","Next: "&amp;$Z145&amp;IF($Y145&lt;=TODAY()," is due TODAY ("," is due next business day (")&amp;TEXT($Y145,"dd-mmm")&amp;").","Next: "&amp;$Z145&amp;" due "&amp;TEXT($Y145,"dd-mmm")&amp;" ("&amp;(NETWORKDAYS(TODAY(),$Y145,Holidays)-1)&amp;" business day(s) left).")))))</f>
        <v/>
      </c>
      <c r="V145" s="17">
        <f>IF($W145="","",CHOOSE($W145,"Collection Email","1st Follow-up","2nd Follow-up","Local Office","CBE","Roxanne")&amp;IF($W145=6," - Final"," - Day "&amp;MAX(0,NETWORKDAYS($X145,TODAY(),Holidays)-1)&amp;" of "&amp;CHOOSE($W145,3,3,2,2,3))&amp;" | Total Day "&amp;MAX(0,NETWORKDAYS($L145,TODAY(),Holidays)-1))</f>
        <v/>
      </c>
      <c r="W145" s="17">
        <f>IF($L145="","",COUNT($L145:$Q145))</f>
        <v/>
      </c>
      <c r="X145" s="18">
        <f>IF($W145="","",INT(INDEX($L145:$Q145,$W145)))</f>
        <v/>
      </c>
      <c r="Y145" s="18">
        <f>IF(OR($W145="",$W145=6),"",WORKDAY($X145,CHOOSE($W145,3,3,2,2,3),Holidays))</f>
        <v/>
      </c>
      <c r="Z145" s="17">
        <f>IF(OR($W145="",$W145=6),"",CHOOSE($W145,"1st Email Follow-up","2nd Email Follow-up","Escalate Local Office","Escalate to CBE","Escalate to Roxanne"))</f>
        <v/>
      </c>
    </row>
    <row r="146" spans="18:26">
      <c r="R146" s="15"/>
      <c r="S146" s="16"/>
      <c r="T146" s="17">
        <f>IF(AND(COUNTA($A146:$K146)=0,$L146=""),"",IF($S146="Paid","PAID",IF($S146="Closed","CLOSED",IF($W146="","",IF($W146=6,"ESCALATED TO ROXANNE",IF(TODAY()&gt;$Y146,"OVERDUE",IF($Y146&lt;=WORKDAY(TODAY(),1,Holidays),"DUE TOMORROW",IF($W146=4,"ESCALATED TO LOCAL OFFICE",IF($W146=5,"ESCALATED TO CBE",IF($X146=TODAY(),"EMAIL SENT","MONITORING"))))))))))</f>
        <v/>
      </c>
      <c r="U146" s="17">
        <f>IF($T146="",IF(AND(COUNTA($A146:$K146)&gt;0,$L146=""),"Awaiting Collection Email time stamp.",""),IF(OR($T146="PAID",$T146="CLOSED"),IF($T146="PAID","Account paid. Action completed.","Account closed. No further action required."),CHOOSE($W146,"Collection Email","1st Email Follow-up","2nd Email Follow-up","Escalation to Local Office","Escalation to CBE","Escalation to Roxanne")&amp;" sent "&amp;TEXT($X146,"dd-mmm")&amp;". "&amp;IF($W146=6,"Final escalation completed.",IF($T146="OVERDUE","Next: "&amp;$Z146&amp;" was due "&amp;TEXT($Y146,"dd-mmm")&amp;" - "&amp;(NETWORKDAYS($Y146,TODAY(),Holidays)-1)&amp;" business day(s) late. Send now.",IF($T146="DUE TOMORROW","Next: "&amp;$Z146&amp;IF($Y146&lt;=TODAY()," is due TODAY ("," is due next business day (")&amp;TEXT($Y146,"dd-mmm")&amp;").","Next: "&amp;$Z146&amp;" due "&amp;TEXT($Y146,"dd-mmm")&amp;" ("&amp;(NETWORKDAYS(TODAY(),$Y146,Holidays)-1)&amp;" business day(s) left).")))))</f>
        <v/>
      </c>
      <c r="V146" s="17">
        <f>IF($W146="","",CHOOSE($W146,"Collection Email","1st Follow-up","2nd Follow-up","Local Office","CBE","Roxanne")&amp;IF($W146=6," - Final"," - Day "&amp;MAX(0,NETWORKDAYS($X146,TODAY(),Holidays)-1)&amp;" of "&amp;CHOOSE($W146,3,3,2,2,3))&amp;" | Total Day "&amp;MAX(0,NETWORKDAYS($L146,TODAY(),Holidays)-1))</f>
        <v/>
      </c>
      <c r="W146" s="17">
        <f>IF($L146="","",COUNT($L146:$Q146))</f>
        <v/>
      </c>
      <c r="X146" s="18">
        <f>IF($W146="","",INT(INDEX($L146:$Q146,$W146)))</f>
        <v/>
      </c>
      <c r="Y146" s="18">
        <f>IF(OR($W146="",$W146=6),"",WORKDAY($X146,CHOOSE($W146,3,3,2,2,3),Holidays))</f>
        <v/>
      </c>
      <c r="Z146" s="17">
        <f>IF(OR($W146="",$W146=6),"",CHOOSE($W146,"1st Email Follow-up","2nd Email Follow-up","Escalate Local Office","Escalate to CBE","Escalate to Roxanne"))</f>
        <v/>
      </c>
    </row>
    <row r="147" spans="18:26">
      <c r="R147" s="15"/>
      <c r="S147" s="16"/>
      <c r="T147" s="17">
        <f>IF(AND(COUNTA($A147:$K147)=0,$L147=""),"",IF($S147="Paid","PAID",IF($S147="Closed","CLOSED",IF($W147="","",IF($W147=6,"ESCALATED TO ROXANNE",IF(TODAY()&gt;$Y147,"OVERDUE",IF($Y147&lt;=WORKDAY(TODAY(),1,Holidays),"DUE TOMORROW",IF($W147=4,"ESCALATED TO LOCAL OFFICE",IF($W147=5,"ESCALATED TO CBE",IF($X147=TODAY(),"EMAIL SENT","MONITORING"))))))))))</f>
        <v/>
      </c>
      <c r="U147" s="17">
        <f>IF($T147="",IF(AND(COUNTA($A147:$K147)&gt;0,$L147=""),"Awaiting Collection Email time stamp.",""),IF(OR($T147="PAID",$T147="CLOSED"),IF($T147="PAID","Account paid. Action completed.","Account closed. No further action required."),CHOOSE($W147,"Collection Email","1st Email Follow-up","2nd Email Follow-up","Escalation to Local Office","Escalation to CBE","Escalation to Roxanne")&amp;" sent "&amp;TEXT($X147,"dd-mmm")&amp;". "&amp;IF($W147=6,"Final escalation completed.",IF($T147="OVERDUE","Next: "&amp;$Z147&amp;" was due "&amp;TEXT($Y147,"dd-mmm")&amp;" - "&amp;(NETWORKDAYS($Y147,TODAY(),Holidays)-1)&amp;" business day(s) late. Send now.",IF($T147="DUE TOMORROW","Next: "&amp;$Z147&amp;IF($Y147&lt;=TODAY()," is due TODAY ("," is due next business day (")&amp;TEXT($Y147,"dd-mmm")&amp;").","Next: "&amp;$Z147&amp;" due "&amp;TEXT($Y147,"dd-mmm")&amp;" ("&amp;(NETWORKDAYS(TODAY(),$Y147,Holidays)-1)&amp;" business day(s) left).")))))</f>
        <v/>
      </c>
      <c r="V147" s="17">
        <f>IF($W147="","",CHOOSE($W147,"Collection Email","1st Follow-up","2nd Follow-up","Local Office","CBE","Roxanne")&amp;IF($W147=6," - Final"," - Day "&amp;MAX(0,NETWORKDAYS($X147,TODAY(),Holidays)-1)&amp;" of "&amp;CHOOSE($W147,3,3,2,2,3))&amp;" | Total Day "&amp;MAX(0,NETWORKDAYS($L147,TODAY(),Holidays)-1))</f>
        <v/>
      </c>
      <c r="W147" s="17">
        <f>IF($L147="","",COUNT($L147:$Q147))</f>
        <v/>
      </c>
      <c r="X147" s="18">
        <f>IF($W147="","",INT(INDEX($L147:$Q147,$W147)))</f>
        <v/>
      </c>
      <c r="Y147" s="18">
        <f>IF(OR($W147="",$W147=6),"",WORKDAY($X147,CHOOSE($W147,3,3,2,2,3),Holidays))</f>
        <v/>
      </c>
      <c r="Z147" s="17">
        <f>IF(OR($W147="",$W147=6),"",CHOOSE($W147,"1st Email Follow-up","2nd Email Follow-up","Escalate Local Office","Escalate to CBE","Escalate to Roxanne"))</f>
        <v/>
      </c>
    </row>
    <row r="148" spans="18:26">
      <c r="R148" s="15"/>
      <c r="S148" s="16"/>
      <c r="T148" s="17">
        <f>IF(AND(COUNTA($A148:$K148)=0,$L148=""),"",IF($S148="Paid","PAID",IF($S148="Closed","CLOSED",IF($W148="","",IF($W148=6,"ESCALATED TO ROXANNE",IF(TODAY()&gt;$Y148,"OVERDUE",IF($Y148&lt;=WORKDAY(TODAY(),1,Holidays),"DUE TOMORROW",IF($W148=4,"ESCALATED TO LOCAL OFFICE",IF($W148=5,"ESCALATED TO CBE",IF($X148=TODAY(),"EMAIL SENT","MONITORING"))))))))))</f>
        <v/>
      </c>
      <c r="U148" s="17">
        <f>IF($T148="",IF(AND(COUNTA($A148:$K148)&gt;0,$L148=""),"Awaiting Collection Email time stamp.",""),IF(OR($T148="PAID",$T148="CLOSED"),IF($T148="PAID","Account paid. Action completed.","Account closed. No further action required."),CHOOSE($W148,"Collection Email","1st Email Follow-up","2nd Email Follow-up","Escalation to Local Office","Escalation to CBE","Escalation to Roxanne")&amp;" sent "&amp;TEXT($X148,"dd-mmm")&amp;". "&amp;IF($W148=6,"Final escalation completed.",IF($T148="OVERDUE","Next: "&amp;$Z148&amp;" was due "&amp;TEXT($Y148,"dd-mmm")&amp;" - "&amp;(NETWORKDAYS($Y148,TODAY(),Holidays)-1)&amp;" business day(s) late. Send now.",IF($T148="DUE TOMORROW","Next: "&amp;$Z148&amp;IF($Y148&lt;=TODAY()," is due TODAY ("," is due next business day (")&amp;TEXT($Y148,"dd-mmm")&amp;").","Next: "&amp;$Z148&amp;" due "&amp;TEXT($Y148,"dd-mmm")&amp;" ("&amp;(NETWORKDAYS(TODAY(),$Y148,Holidays)-1)&amp;" business day(s) left).")))))</f>
        <v/>
      </c>
      <c r="V148" s="17">
        <f>IF($W148="","",CHOOSE($W148,"Collection Email","1st Follow-up","2nd Follow-up","Local Office","CBE","Roxanne")&amp;IF($W148=6," - Final"," - Day "&amp;MAX(0,NETWORKDAYS($X148,TODAY(),Holidays)-1)&amp;" of "&amp;CHOOSE($W148,3,3,2,2,3))&amp;" | Total Day "&amp;MAX(0,NETWORKDAYS($L148,TODAY(),Holidays)-1))</f>
        <v/>
      </c>
      <c r="W148" s="17">
        <f>IF($L148="","",COUNT($L148:$Q148))</f>
        <v/>
      </c>
      <c r="X148" s="18">
        <f>IF($W148="","",INT(INDEX($L148:$Q148,$W148)))</f>
        <v/>
      </c>
      <c r="Y148" s="18">
        <f>IF(OR($W148="",$W148=6),"",WORKDAY($X148,CHOOSE($W148,3,3,2,2,3),Holidays))</f>
        <v/>
      </c>
      <c r="Z148" s="17">
        <f>IF(OR($W148="",$W148=6),"",CHOOSE($W148,"1st Email Follow-up","2nd Email Follow-up","Escalate Local Office","Escalate to CBE","Escalate to Roxanne"))</f>
        <v/>
      </c>
    </row>
    <row r="149" spans="18:26">
      <c r="R149" s="15"/>
      <c r="S149" s="16"/>
      <c r="T149" s="17">
        <f>IF(AND(COUNTA($A149:$K149)=0,$L149=""),"",IF($S149="Paid","PAID",IF($S149="Closed","CLOSED",IF($W149="","",IF($W149=6,"ESCALATED TO ROXANNE",IF(TODAY()&gt;$Y149,"OVERDUE",IF($Y149&lt;=WORKDAY(TODAY(),1,Holidays),"DUE TOMORROW",IF($W149=4,"ESCALATED TO LOCAL OFFICE",IF($W149=5,"ESCALATED TO CBE",IF($X149=TODAY(),"EMAIL SENT","MONITORING"))))))))))</f>
        <v/>
      </c>
      <c r="U149" s="17">
        <f>IF($T149="",IF(AND(COUNTA($A149:$K149)&gt;0,$L149=""),"Awaiting Collection Email time stamp.",""),IF(OR($T149="PAID",$T149="CLOSED"),IF($T149="PAID","Account paid. Action completed.","Account closed. No further action required."),CHOOSE($W149,"Collection Email","1st Email Follow-up","2nd Email Follow-up","Escalation to Local Office","Escalation to CBE","Escalation to Roxanne")&amp;" sent "&amp;TEXT($X149,"dd-mmm")&amp;". "&amp;IF($W149=6,"Final escalation completed.",IF($T149="OVERDUE","Next: "&amp;$Z149&amp;" was due "&amp;TEXT($Y149,"dd-mmm")&amp;" - "&amp;(NETWORKDAYS($Y149,TODAY(),Holidays)-1)&amp;" business day(s) late. Send now.",IF($T149="DUE TOMORROW","Next: "&amp;$Z149&amp;IF($Y149&lt;=TODAY()," is due TODAY ("," is due next business day (")&amp;TEXT($Y149,"dd-mmm")&amp;").","Next: "&amp;$Z149&amp;" due "&amp;TEXT($Y149,"dd-mmm")&amp;" ("&amp;(NETWORKDAYS(TODAY(),$Y149,Holidays)-1)&amp;" business day(s) left).")))))</f>
        <v/>
      </c>
      <c r="V149" s="17">
        <f>IF($W149="","",CHOOSE($W149,"Collection Email","1st Follow-up","2nd Follow-up","Local Office","CBE","Roxanne")&amp;IF($W149=6," - Final"," - Day "&amp;MAX(0,NETWORKDAYS($X149,TODAY(),Holidays)-1)&amp;" of "&amp;CHOOSE($W149,3,3,2,2,3))&amp;" | Total Day "&amp;MAX(0,NETWORKDAYS($L149,TODAY(),Holidays)-1))</f>
        <v/>
      </c>
      <c r="W149" s="17">
        <f>IF($L149="","",COUNT($L149:$Q149))</f>
        <v/>
      </c>
      <c r="X149" s="18">
        <f>IF($W149="","",INT(INDEX($L149:$Q149,$W149)))</f>
        <v/>
      </c>
      <c r="Y149" s="18">
        <f>IF(OR($W149="",$W149=6),"",WORKDAY($X149,CHOOSE($W149,3,3,2,2,3),Holidays))</f>
        <v/>
      </c>
      <c r="Z149" s="17">
        <f>IF(OR($W149="",$W149=6),"",CHOOSE($W149,"1st Email Follow-up","2nd Email Follow-up","Escalate Local Office","Escalate to CBE","Escalate to Roxanne"))</f>
        <v/>
      </c>
    </row>
    <row r="150" spans="18:26">
      <c r="R150" s="15"/>
      <c r="S150" s="16"/>
      <c r="T150" s="17">
        <f>IF(AND(COUNTA($A150:$K150)=0,$L150=""),"",IF($S150="Paid","PAID",IF($S150="Closed","CLOSED",IF($W150="","",IF($W150=6,"ESCALATED TO ROXANNE",IF(TODAY()&gt;$Y150,"OVERDUE",IF($Y150&lt;=WORKDAY(TODAY(),1,Holidays),"DUE TOMORROW",IF($W150=4,"ESCALATED TO LOCAL OFFICE",IF($W150=5,"ESCALATED TO CBE",IF($X150=TODAY(),"EMAIL SENT","MONITORING"))))))))))</f>
        <v/>
      </c>
      <c r="U150" s="17">
        <f>IF($T150="",IF(AND(COUNTA($A150:$K150)&gt;0,$L150=""),"Awaiting Collection Email time stamp.",""),IF(OR($T150="PAID",$T150="CLOSED"),IF($T150="PAID","Account paid. Action completed.","Account closed. No further action required."),CHOOSE($W150,"Collection Email","1st Email Follow-up","2nd Email Follow-up","Escalation to Local Office","Escalation to CBE","Escalation to Roxanne")&amp;" sent "&amp;TEXT($X150,"dd-mmm")&amp;". "&amp;IF($W150=6,"Final escalation completed.",IF($T150="OVERDUE","Next: "&amp;$Z150&amp;" was due "&amp;TEXT($Y150,"dd-mmm")&amp;" - "&amp;(NETWORKDAYS($Y150,TODAY(),Holidays)-1)&amp;" business day(s) late. Send now.",IF($T150="DUE TOMORROW","Next: "&amp;$Z150&amp;IF($Y150&lt;=TODAY()," is due TODAY ("," is due next business day (")&amp;TEXT($Y150,"dd-mmm")&amp;").","Next: "&amp;$Z150&amp;" due "&amp;TEXT($Y150,"dd-mmm")&amp;" ("&amp;(NETWORKDAYS(TODAY(),$Y150,Holidays)-1)&amp;" business day(s) left).")))))</f>
        <v/>
      </c>
      <c r="V150" s="17">
        <f>IF($W150="","",CHOOSE($W150,"Collection Email","1st Follow-up","2nd Follow-up","Local Office","CBE","Roxanne")&amp;IF($W150=6," - Final"," - Day "&amp;MAX(0,NETWORKDAYS($X150,TODAY(),Holidays)-1)&amp;" of "&amp;CHOOSE($W150,3,3,2,2,3))&amp;" | Total Day "&amp;MAX(0,NETWORKDAYS($L150,TODAY(),Holidays)-1))</f>
        <v/>
      </c>
      <c r="W150" s="17">
        <f>IF($L150="","",COUNT($L150:$Q150))</f>
        <v/>
      </c>
      <c r="X150" s="18">
        <f>IF($W150="","",INT(INDEX($L150:$Q150,$W150)))</f>
        <v/>
      </c>
      <c r="Y150" s="18">
        <f>IF(OR($W150="",$W150=6),"",WORKDAY($X150,CHOOSE($W150,3,3,2,2,3),Holidays))</f>
        <v/>
      </c>
      <c r="Z150" s="17">
        <f>IF(OR($W150="",$W150=6),"",CHOOSE($W150,"1st Email Follow-up","2nd Email Follow-up","Escalate Local Office","Escalate to CBE","Escalate to Roxanne"))</f>
        <v/>
      </c>
    </row>
    <row r="151" spans="18:26">
      <c r="R151" s="15"/>
      <c r="S151" s="16"/>
      <c r="T151" s="17">
        <f>IF(AND(COUNTA($A151:$K151)=0,$L151=""),"",IF($S151="Paid","PAID",IF($S151="Closed","CLOSED",IF($W151="","",IF($W151=6,"ESCALATED TO ROXANNE",IF(TODAY()&gt;$Y151,"OVERDUE",IF($Y151&lt;=WORKDAY(TODAY(),1,Holidays),"DUE TOMORROW",IF($W151=4,"ESCALATED TO LOCAL OFFICE",IF($W151=5,"ESCALATED TO CBE",IF($X151=TODAY(),"EMAIL SENT","MONITORING"))))))))))</f>
        <v/>
      </c>
      <c r="U151" s="17">
        <f>IF($T151="",IF(AND(COUNTA($A151:$K151)&gt;0,$L151=""),"Awaiting Collection Email time stamp.",""),IF(OR($T151="PAID",$T151="CLOSED"),IF($T151="PAID","Account paid. Action completed.","Account closed. No further action required."),CHOOSE($W151,"Collection Email","1st Email Follow-up","2nd Email Follow-up","Escalation to Local Office","Escalation to CBE","Escalation to Roxanne")&amp;" sent "&amp;TEXT($X151,"dd-mmm")&amp;". "&amp;IF($W151=6,"Final escalation completed.",IF($T151="OVERDUE","Next: "&amp;$Z151&amp;" was due "&amp;TEXT($Y151,"dd-mmm")&amp;" - "&amp;(NETWORKDAYS($Y151,TODAY(),Holidays)-1)&amp;" business day(s) late. Send now.",IF($T151="DUE TOMORROW","Next: "&amp;$Z151&amp;IF($Y151&lt;=TODAY()," is due TODAY ("," is due next business day (")&amp;TEXT($Y151,"dd-mmm")&amp;").","Next: "&amp;$Z151&amp;" due "&amp;TEXT($Y151,"dd-mmm")&amp;" ("&amp;(NETWORKDAYS(TODAY(),$Y151,Holidays)-1)&amp;" business day(s) left).")))))</f>
        <v/>
      </c>
      <c r="V151" s="17">
        <f>IF($W151="","",CHOOSE($W151,"Collection Email","1st Follow-up","2nd Follow-up","Local Office","CBE","Roxanne")&amp;IF($W151=6," - Final"," - Day "&amp;MAX(0,NETWORKDAYS($X151,TODAY(),Holidays)-1)&amp;" of "&amp;CHOOSE($W151,3,3,2,2,3))&amp;" | Total Day "&amp;MAX(0,NETWORKDAYS($L151,TODAY(),Holidays)-1))</f>
        <v/>
      </c>
      <c r="W151" s="17">
        <f>IF($L151="","",COUNT($L151:$Q151))</f>
        <v/>
      </c>
      <c r="X151" s="18">
        <f>IF($W151="","",INT(INDEX($L151:$Q151,$W151)))</f>
        <v/>
      </c>
      <c r="Y151" s="18">
        <f>IF(OR($W151="",$W151=6),"",WORKDAY($X151,CHOOSE($W151,3,3,2,2,3),Holidays))</f>
        <v/>
      </c>
      <c r="Z151" s="17">
        <f>IF(OR($W151="",$W151=6),"",CHOOSE($W151,"1st Email Follow-up","2nd Email Follow-up","Escalate Local Office","Escalate to CBE","Escalate to Roxanne"))</f>
        <v/>
      </c>
    </row>
    <row r="152" spans="18:26">
      <c r="R152" s="15"/>
      <c r="S152" s="16"/>
      <c r="T152" s="17">
        <f>IF(AND(COUNTA($A152:$K152)=0,$L152=""),"",IF($S152="Paid","PAID",IF($S152="Closed","CLOSED",IF($W152="","",IF($W152=6,"ESCALATED TO ROXANNE",IF(TODAY()&gt;$Y152,"OVERDUE",IF($Y152&lt;=WORKDAY(TODAY(),1,Holidays),"DUE TOMORROW",IF($W152=4,"ESCALATED TO LOCAL OFFICE",IF($W152=5,"ESCALATED TO CBE",IF($X152=TODAY(),"EMAIL SENT","MONITORING"))))))))))</f>
        <v/>
      </c>
      <c r="U152" s="17">
        <f>IF($T152="",IF(AND(COUNTA($A152:$K152)&gt;0,$L152=""),"Awaiting Collection Email time stamp.",""),IF(OR($T152="PAID",$T152="CLOSED"),IF($T152="PAID","Account paid. Action completed.","Account closed. No further action required."),CHOOSE($W152,"Collection Email","1st Email Follow-up","2nd Email Follow-up","Escalation to Local Office","Escalation to CBE","Escalation to Roxanne")&amp;" sent "&amp;TEXT($X152,"dd-mmm")&amp;". "&amp;IF($W152=6,"Final escalation completed.",IF($T152="OVERDUE","Next: "&amp;$Z152&amp;" was due "&amp;TEXT($Y152,"dd-mmm")&amp;" - "&amp;(NETWORKDAYS($Y152,TODAY(),Holidays)-1)&amp;" business day(s) late. Send now.",IF($T152="DUE TOMORROW","Next: "&amp;$Z152&amp;IF($Y152&lt;=TODAY()," is due TODAY ("," is due next business day (")&amp;TEXT($Y152,"dd-mmm")&amp;").","Next: "&amp;$Z152&amp;" due "&amp;TEXT($Y152,"dd-mmm")&amp;" ("&amp;(NETWORKDAYS(TODAY(),$Y152,Holidays)-1)&amp;" business day(s) left).")))))</f>
        <v/>
      </c>
      <c r="V152" s="17">
        <f>IF($W152="","",CHOOSE($W152,"Collection Email","1st Follow-up","2nd Follow-up","Local Office","CBE","Roxanne")&amp;IF($W152=6," - Final"," - Day "&amp;MAX(0,NETWORKDAYS($X152,TODAY(),Holidays)-1)&amp;" of "&amp;CHOOSE($W152,3,3,2,2,3))&amp;" | Total Day "&amp;MAX(0,NETWORKDAYS($L152,TODAY(),Holidays)-1))</f>
        <v/>
      </c>
      <c r="W152" s="17">
        <f>IF($L152="","",COUNT($L152:$Q152))</f>
        <v/>
      </c>
      <c r="X152" s="18">
        <f>IF($W152="","",INT(INDEX($L152:$Q152,$W152)))</f>
        <v/>
      </c>
      <c r="Y152" s="18">
        <f>IF(OR($W152="",$W152=6),"",WORKDAY($X152,CHOOSE($W152,3,3,2,2,3),Holidays))</f>
        <v/>
      </c>
      <c r="Z152" s="17">
        <f>IF(OR($W152="",$W152=6),"",CHOOSE($W152,"1st Email Follow-up","2nd Email Follow-up","Escalate Local Office","Escalate to CBE","Escalate to Roxanne"))</f>
        <v/>
      </c>
    </row>
    <row r="153" spans="18:26">
      <c r="R153" s="15"/>
      <c r="S153" s="16"/>
      <c r="T153" s="17">
        <f>IF(AND(COUNTA($A153:$K153)=0,$L153=""),"",IF($S153="Paid","PAID",IF($S153="Closed","CLOSED",IF($W153="","",IF($W153=6,"ESCALATED TO ROXANNE",IF(TODAY()&gt;$Y153,"OVERDUE",IF($Y153&lt;=WORKDAY(TODAY(),1,Holidays),"DUE TOMORROW",IF($W153=4,"ESCALATED TO LOCAL OFFICE",IF($W153=5,"ESCALATED TO CBE",IF($X153=TODAY(),"EMAIL SENT","MONITORING"))))))))))</f>
        <v/>
      </c>
      <c r="U153" s="17">
        <f>IF($T153="",IF(AND(COUNTA($A153:$K153)&gt;0,$L153=""),"Awaiting Collection Email time stamp.",""),IF(OR($T153="PAID",$T153="CLOSED"),IF($T153="PAID","Account paid. Action completed.","Account closed. No further action required."),CHOOSE($W153,"Collection Email","1st Email Follow-up","2nd Email Follow-up","Escalation to Local Office","Escalation to CBE","Escalation to Roxanne")&amp;" sent "&amp;TEXT($X153,"dd-mmm")&amp;". "&amp;IF($W153=6,"Final escalation completed.",IF($T153="OVERDUE","Next: "&amp;$Z153&amp;" was due "&amp;TEXT($Y153,"dd-mmm")&amp;" - "&amp;(NETWORKDAYS($Y153,TODAY(),Holidays)-1)&amp;" business day(s) late. Send now.",IF($T153="DUE TOMORROW","Next: "&amp;$Z153&amp;IF($Y153&lt;=TODAY()," is due TODAY ("," is due next business day (")&amp;TEXT($Y153,"dd-mmm")&amp;").","Next: "&amp;$Z153&amp;" due "&amp;TEXT($Y153,"dd-mmm")&amp;" ("&amp;(NETWORKDAYS(TODAY(),$Y153,Holidays)-1)&amp;" business day(s) left).")))))</f>
        <v/>
      </c>
      <c r="V153" s="17">
        <f>IF($W153="","",CHOOSE($W153,"Collection Email","1st Follow-up","2nd Follow-up","Local Office","CBE","Roxanne")&amp;IF($W153=6," - Final"," - Day "&amp;MAX(0,NETWORKDAYS($X153,TODAY(),Holidays)-1)&amp;" of "&amp;CHOOSE($W153,3,3,2,2,3))&amp;" | Total Day "&amp;MAX(0,NETWORKDAYS($L153,TODAY(),Holidays)-1))</f>
        <v/>
      </c>
      <c r="W153" s="17">
        <f>IF($L153="","",COUNT($L153:$Q153))</f>
        <v/>
      </c>
      <c r="X153" s="18">
        <f>IF($W153="","",INT(INDEX($L153:$Q153,$W153)))</f>
        <v/>
      </c>
      <c r="Y153" s="18">
        <f>IF(OR($W153="",$W153=6),"",WORKDAY($X153,CHOOSE($W153,3,3,2,2,3),Holidays))</f>
        <v/>
      </c>
      <c r="Z153" s="17">
        <f>IF(OR($W153="",$W153=6),"",CHOOSE($W153,"1st Email Follow-up","2nd Email Follow-up","Escalate Local Office","Escalate to CBE","Escalate to Roxanne"))</f>
        <v/>
      </c>
    </row>
    <row r="154" spans="18:26">
      <c r="R154" s="15"/>
      <c r="S154" s="16"/>
      <c r="T154" s="17">
        <f>IF(AND(COUNTA($A154:$K154)=0,$L154=""),"",IF($S154="Paid","PAID",IF($S154="Closed","CLOSED",IF($W154="","",IF($W154=6,"ESCALATED TO ROXANNE",IF(TODAY()&gt;$Y154,"OVERDUE",IF($Y154&lt;=WORKDAY(TODAY(),1,Holidays),"DUE TOMORROW",IF($W154=4,"ESCALATED TO LOCAL OFFICE",IF($W154=5,"ESCALATED TO CBE",IF($X154=TODAY(),"EMAIL SENT","MONITORING"))))))))))</f>
        <v/>
      </c>
      <c r="U154" s="17">
        <f>IF($T154="",IF(AND(COUNTA($A154:$K154)&gt;0,$L154=""),"Awaiting Collection Email time stamp.",""),IF(OR($T154="PAID",$T154="CLOSED"),IF($T154="PAID","Account paid. Action completed.","Account closed. No further action required."),CHOOSE($W154,"Collection Email","1st Email Follow-up","2nd Email Follow-up","Escalation to Local Office","Escalation to CBE","Escalation to Roxanne")&amp;" sent "&amp;TEXT($X154,"dd-mmm")&amp;". "&amp;IF($W154=6,"Final escalation completed.",IF($T154="OVERDUE","Next: "&amp;$Z154&amp;" was due "&amp;TEXT($Y154,"dd-mmm")&amp;" - "&amp;(NETWORKDAYS($Y154,TODAY(),Holidays)-1)&amp;" business day(s) late. Send now.",IF($T154="DUE TOMORROW","Next: "&amp;$Z154&amp;IF($Y154&lt;=TODAY()," is due TODAY ("," is due next business day (")&amp;TEXT($Y154,"dd-mmm")&amp;").","Next: "&amp;$Z154&amp;" due "&amp;TEXT($Y154,"dd-mmm")&amp;" ("&amp;(NETWORKDAYS(TODAY(),$Y154,Holidays)-1)&amp;" business day(s) left).")))))</f>
        <v/>
      </c>
      <c r="V154" s="17">
        <f>IF($W154="","",CHOOSE($W154,"Collection Email","1st Follow-up","2nd Follow-up","Local Office","CBE","Roxanne")&amp;IF($W154=6," - Final"," - Day "&amp;MAX(0,NETWORKDAYS($X154,TODAY(),Holidays)-1)&amp;" of "&amp;CHOOSE($W154,3,3,2,2,3))&amp;" | Total Day "&amp;MAX(0,NETWORKDAYS($L154,TODAY(),Holidays)-1))</f>
        <v/>
      </c>
      <c r="W154" s="17">
        <f>IF($L154="","",COUNT($L154:$Q154))</f>
        <v/>
      </c>
      <c r="X154" s="18">
        <f>IF($W154="","",INT(INDEX($L154:$Q154,$W154)))</f>
        <v/>
      </c>
      <c r="Y154" s="18">
        <f>IF(OR($W154="",$W154=6),"",WORKDAY($X154,CHOOSE($W154,3,3,2,2,3),Holidays))</f>
        <v/>
      </c>
      <c r="Z154" s="17">
        <f>IF(OR($W154="",$W154=6),"",CHOOSE($W154,"1st Email Follow-up","2nd Email Follow-up","Escalate Local Office","Escalate to CBE","Escalate to Roxanne"))</f>
        <v/>
      </c>
    </row>
    <row r="155" spans="18:26">
      <c r="R155" s="15"/>
      <c r="S155" s="16"/>
      <c r="T155" s="17">
        <f>IF(AND(COUNTA($A155:$K155)=0,$L155=""),"",IF($S155="Paid","PAID",IF($S155="Closed","CLOSED",IF($W155="","",IF($W155=6,"ESCALATED TO ROXANNE",IF(TODAY()&gt;$Y155,"OVERDUE",IF($Y155&lt;=WORKDAY(TODAY(),1,Holidays),"DUE TOMORROW",IF($W155=4,"ESCALATED TO LOCAL OFFICE",IF($W155=5,"ESCALATED TO CBE",IF($X155=TODAY(),"EMAIL SENT","MONITORING"))))))))))</f>
        <v/>
      </c>
      <c r="U155" s="17">
        <f>IF($T155="",IF(AND(COUNTA($A155:$K155)&gt;0,$L155=""),"Awaiting Collection Email time stamp.",""),IF(OR($T155="PAID",$T155="CLOSED"),IF($T155="PAID","Account paid. Action completed.","Account closed. No further action required."),CHOOSE($W155,"Collection Email","1st Email Follow-up","2nd Email Follow-up","Escalation to Local Office","Escalation to CBE","Escalation to Roxanne")&amp;" sent "&amp;TEXT($X155,"dd-mmm")&amp;". "&amp;IF($W155=6,"Final escalation completed.",IF($T155="OVERDUE","Next: "&amp;$Z155&amp;" was due "&amp;TEXT($Y155,"dd-mmm")&amp;" - "&amp;(NETWORKDAYS($Y155,TODAY(),Holidays)-1)&amp;" business day(s) late. Send now.",IF($T155="DUE TOMORROW","Next: "&amp;$Z155&amp;IF($Y155&lt;=TODAY()," is due TODAY ("," is due next business day (")&amp;TEXT($Y155,"dd-mmm")&amp;").","Next: "&amp;$Z155&amp;" due "&amp;TEXT($Y155,"dd-mmm")&amp;" ("&amp;(NETWORKDAYS(TODAY(),$Y155,Holidays)-1)&amp;" business day(s) left).")))))</f>
        <v/>
      </c>
      <c r="V155" s="17">
        <f>IF($W155="","",CHOOSE($W155,"Collection Email","1st Follow-up","2nd Follow-up","Local Office","CBE","Roxanne")&amp;IF($W155=6," - Final"," - Day "&amp;MAX(0,NETWORKDAYS($X155,TODAY(),Holidays)-1)&amp;" of "&amp;CHOOSE($W155,3,3,2,2,3))&amp;" | Total Day "&amp;MAX(0,NETWORKDAYS($L155,TODAY(),Holidays)-1))</f>
        <v/>
      </c>
      <c r="W155" s="17">
        <f>IF($L155="","",COUNT($L155:$Q155))</f>
        <v/>
      </c>
      <c r="X155" s="18">
        <f>IF($W155="","",INT(INDEX($L155:$Q155,$W155)))</f>
        <v/>
      </c>
      <c r="Y155" s="18">
        <f>IF(OR($W155="",$W155=6),"",WORKDAY($X155,CHOOSE($W155,3,3,2,2,3),Holidays))</f>
        <v/>
      </c>
      <c r="Z155" s="17">
        <f>IF(OR($W155="",$W155=6),"",CHOOSE($W155,"1st Email Follow-up","2nd Email Follow-up","Escalate Local Office","Escalate to CBE","Escalate to Roxanne"))</f>
        <v/>
      </c>
    </row>
    <row r="156" spans="18:26">
      <c r="R156" s="15"/>
      <c r="S156" s="16"/>
      <c r="T156" s="17">
        <f>IF(AND(COUNTA($A156:$K156)=0,$L156=""),"",IF($S156="Paid","PAID",IF($S156="Closed","CLOSED",IF($W156="","",IF($W156=6,"ESCALATED TO ROXANNE",IF(TODAY()&gt;$Y156,"OVERDUE",IF($Y156&lt;=WORKDAY(TODAY(),1,Holidays),"DUE TOMORROW",IF($W156=4,"ESCALATED TO LOCAL OFFICE",IF($W156=5,"ESCALATED TO CBE",IF($X156=TODAY(),"EMAIL SENT","MONITORING"))))))))))</f>
        <v/>
      </c>
      <c r="U156" s="17">
        <f>IF($T156="",IF(AND(COUNTA($A156:$K156)&gt;0,$L156=""),"Awaiting Collection Email time stamp.",""),IF(OR($T156="PAID",$T156="CLOSED"),IF($T156="PAID","Account paid. Action completed.","Account closed. No further action required."),CHOOSE($W156,"Collection Email","1st Email Follow-up","2nd Email Follow-up","Escalation to Local Office","Escalation to CBE","Escalation to Roxanne")&amp;" sent "&amp;TEXT($X156,"dd-mmm")&amp;". "&amp;IF($W156=6,"Final escalation completed.",IF($T156="OVERDUE","Next: "&amp;$Z156&amp;" was due "&amp;TEXT($Y156,"dd-mmm")&amp;" - "&amp;(NETWORKDAYS($Y156,TODAY(),Holidays)-1)&amp;" business day(s) late. Send now.",IF($T156="DUE TOMORROW","Next: "&amp;$Z156&amp;IF($Y156&lt;=TODAY()," is due TODAY ("," is due next business day (")&amp;TEXT($Y156,"dd-mmm")&amp;").","Next: "&amp;$Z156&amp;" due "&amp;TEXT($Y156,"dd-mmm")&amp;" ("&amp;(NETWORKDAYS(TODAY(),$Y156,Holidays)-1)&amp;" business day(s) left).")))))</f>
        <v/>
      </c>
      <c r="V156" s="17">
        <f>IF($W156="","",CHOOSE($W156,"Collection Email","1st Follow-up","2nd Follow-up","Local Office","CBE","Roxanne")&amp;IF($W156=6," - Final"," - Day "&amp;MAX(0,NETWORKDAYS($X156,TODAY(),Holidays)-1)&amp;" of "&amp;CHOOSE($W156,3,3,2,2,3))&amp;" | Total Day "&amp;MAX(0,NETWORKDAYS($L156,TODAY(),Holidays)-1))</f>
        <v/>
      </c>
      <c r="W156" s="17">
        <f>IF($L156="","",COUNT($L156:$Q156))</f>
        <v/>
      </c>
      <c r="X156" s="18">
        <f>IF($W156="","",INT(INDEX($L156:$Q156,$W156)))</f>
        <v/>
      </c>
      <c r="Y156" s="18">
        <f>IF(OR($W156="",$W156=6),"",WORKDAY($X156,CHOOSE($W156,3,3,2,2,3),Holidays))</f>
        <v/>
      </c>
      <c r="Z156" s="17">
        <f>IF(OR($W156="",$W156=6),"",CHOOSE($W156,"1st Email Follow-up","2nd Email Follow-up","Escalate Local Office","Escalate to CBE","Escalate to Roxanne"))</f>
        <v/>
      </c>
    </row>
    <row r="157" spans="18:26">
      <c r="R157" s="15"/>
      <c r="S157" s="16"/>
      <c r="T157" s="17">
        <f>IF(AND(COUNTA($A157:$K157)=0,$L157=""),"",IF($S157="Paid","PAID",IF($S157="Closed","CLOSED",IF($W157="","",IF($W157=6,"ESCALATED TO ROXANNE",IF(TODAY()&gt;$Y157,"OVERDUE",IF($Y157&lt;=WORKDAY(TODAY(),1,Holidays),"DUE TOMORROW",IF($W157=4,"ESCALATED TO LOCAL OFFICE",IF($W157=5,"ESCALATED TO CBE",IF($X157=TODAY(),"EMAIL SENT","MONITORING"))))))))))</f>
        <v/>
      </c>
      <c r="U157" s="17">
        <f>IF($T157="",IF(AND(COUNTA($A157:$K157)&gt;0,$L157=""),"Awaiting Collection Email time stamp.",""),IF(OR($T157="PAID",$T157="CLOSED"),IF($T157="PAID","Account paid. Action completed.","Account closed. No further action required."),CHOOSE($W157,"Collection Email","1st Email Follow-up","2nd Email Follow-up","Escalation to Local Office","Escalation to CBE","Escalation to Roxanne")&amp;" sent "&amp;TEXT($X157,"dd-mmm")&amp;". "&amp;IF($W157=6,"Final escalation completed.",IF($T157="OVERDUE","Next: "&amp;$Z157&amp;" was due "&amp;TEXT($Y157,"dd-mmm")&amp;" - "&amp;(NETWORKDAYS($Y157,TODAY(),Holidays)-1)&amp;" business day(s) late. Send now.",IF($T157="DUE TOMORROW","Next: "&amp;$Z157&amp;IF($Y157&lt;=TODAY()," is due TODAY ("," is due next business day (")&amp;TEXT($Y157,"dd-mmm")&amp;").","Next: "&amp;$Z157&amp;" due "&amp;TEXT($Y157,"dd-mmm")&amp;" ("&amp;(NETWORKDAYS(TODAY(),$Y157,Holidays)-1)&amp;" business day(s) left).")))))</f>
        <v/>
      </c>
      <c r="V157" s="17">
        <f>IF($W157="","",CHOOSE($W157,"Collection Email","1st Follow-up","2nd Follow-up","Local Office","CBE","Roxanne")&amp;IF($W157=6," - Final"," - Day "&amp;MAX(0,NETWORKDAYS($X157,TODAY(),Holidays)-1)&amp;" of "&amp;CHOOSE($W157,3,3,2,2,3))&amp;" | Total Day "&amp;MAX(0,NETWORKDAYS($L157,TODAY(),Holidays)-1))</f>
        <v/>
      </c>
      <c r="W157" s="17">
        <f>IF($L157="","",COUNT($L157:$Q157))</f>
        <v/>
      </c>
      <c r="X157" s="18">
        <f>IF($W157="","",INT(INDEX($L157:$Q157,$W157)))</f>
        <v/>
      </c>
      <c r="Y157" s="18">
        <f>IF(OR($W157="",$W157=6),"",WORKDAY($X157,CHOOSE($W157,3,3,2,2,3),Holidays))</f>
        <v/>
      </c>
      <c r="Z157" s="17">
        <f>IF(OR($W157="",$W157=6),"",CHOOSE($W157,"1st Email Follow-up","2nd Email Follow-up","Escalate Local Office","Escalate to CBE","Escalate to Roxanne"))</f>
        <v/>
      </c>
    </row>
    <row r="158" spans="18:26">
      <c r="R158" s="15"/>
      <c r="S158" s="16"/>
      <c r="T158" s="17">
        <f>IF(AND(COUNTA($A158:$K158)=0,$L158=""),"",IF($S158="Paid","PAID",IF($S158="Closed","CLOSED",IF($W158="","",IF($W158=6,"ESCALATED TO ROXANNE",IF(TODAY()&gt;$Y158,"OVERDUE",IF($Y158&lt;=WORKDAY(TODAY(),1,Holidays),"DUE TOMORROW",IF($W158=4,"ESCALATED TO LOCAL OFFICE",IF($W158=5,"ESCALATED TO CBE",IF($X158=TODAY(),"EMAIL SENT","MONITORING"))))))))))</f>
        <v/>
      </c>
      <c r="U158" s="17">
        <f>IF($T158="",IF(AND(COUNTA($A158:$K158)&gt;0,$L158=""),"Awaiting Collection Email time stamp.",""),IF(OR($T158="PAID",$T158="CLOSED"),IF($T158="PAID","Account paid. Action completed.","Account closed. No further action required."),CHOOSE($W158,"Collection Email","1st Email Follow-up","2nd Email Follow-up","Escalation to Local Office","Escalation to CBE","Escalation to Roxanne")&amp;" sent "&amp;TEXT($X158,"dd-mmm")&amp;". "&amp;IF($W158=6,"Final escalation completed.",IF($T158="OVERDUE","Next: "&amp;$Z158&amp;" was due "&amp;TEXT($Y158,"dd-mmm")&amp;" - "&amp;(NETWORKDAYS($Y158,TODAY(),Holidays)-1)&amp;" business day(s) late. Send now.",IF($T158="DUE TOMORROW","Next: "&amp;$Z158&amp;IF($Y158&lt;=TODAY()," is due TODAY ("," is due next business day (")&amp;TEXT($Y158,"dd-mmm")&amp;").","Next: "&amp;$Z158&amp;" due "&amp;TEXT($Y158,"dd-mmm")&amp;" ("&amp;(NETWORKDAYS(TODAY(),$Y158,Holidays)-1)&amp;" business day(s) left).")))))</f>
        <v/>
      </c>
      <c r="V158" s="17">
        <f>IF($W158="","",CHOOSE($W158,"Collection Email","1st Follow-up","2nd Follow-up","Local Office","CBE","Roxanne")&amp;IF($W158=6," - Final"," - Day "&amp;MAX(0,NETWORKDAYS($X158,TODAY(),Holidays)-1)&amp;" of "&amp;CHOOSE($W158,3,3,2,2,3))&amp;" | Total Day "&amp;MAX(0,NETWORKDAYS($L158,TODAY(),Holidays)-1))</f>
        <v/>
      </c>
      <c r="W158" s="17">
        <f>IF($L158="","",COUNT($L158:$Q158))</f>
        <v/>
      </c>
      <c r="X158" s="18">
        <f>IF($W158="","",INT(INDEX($L158:$Q158,$W158)))</f>
        <v/>
      </c>
      <c r="Y158" s="18">
        <f>IF(OR($W158="",$W158=6),"",WORKDAY($X158,CHOOSE($W158,3,3,2,2,3),Holidays))</f>
        <v/>
      </c>
      <c r="Z158" s="17">
        <f>IF(OR($W158="",$W158=6),"",CHOOSE($W158,"1st Email Follow-up","2nd Email Follow-up","Escalate Local Office","Escalate to CBE","Escalate to Roxanne"))</f>
        <v/>
      </c>
    </row>
    <row r="159" spans="18:26">
      <c r="R159" s="15"/>
      <c r="S159" s="16"/>
      <c r="T159" s="17">
        <f>IF(AND(COUNTA($A159:$K159)=0,$L159=""),"",IF($S159="Paid","PAID",IF($S159="Closed","CLOSED",IF($W159="","",IF($W159=6,"ESCALATED TO ROXANNE",IF(TODAY()&gt;$Y159,"OVERDUE",IF($Y159&lt;=WORKDAY(TODAY(),1,Holidays),"DUE TOMORROW",IF($W159=4,"ESCALATED TO LOCAL OFFICE",IF($W159=5,"ESCALATED TO CBE",IF($X159=TODAY(),"EMAIL SENT","MONITORING"))))))))))</f>
        <v/>
      </c>
      <c r="U159" s="17">
        <f>IF($T159="",IF(AND(COUNTA($A159:$K159)&gt;0,$L159=""),"Awaiting Collection Email time stamp.",""),IF(OR($T159="PAID",$T159="CLOSED"),IF($T159="PAID","Account paid. Action completed.","Account closed. No further action required."),CHOOSE($W159,"Collection Email","1st Email Follow-up","2nd Email Follow-up","Escalation to Local Office","Escalation to CBE","Escalation to Roxanne")&amp;" sent "&amp;TEXT($X159,"dd-mmm")&amp;". "&amp;IF($W159=6,"Final escalation completed.",IF($T159="OVERDUE","Next: "&amp;$Z159&amp;" was due "&amp;TEXT($Y159,"dd-mmm")&amp;" - "&amp;(NETWORKDAYS($Y159,TODAY(),Holidays)-1)&amp;" business day(s) late. Send now.",IF($T159="DUE TOMORROW","Next: "&amp;$Z159&amp;IF($Y159&lt;=TODAY()," is due TODAY ("," is due next business day (")&amp;TEXT($Y159,"dd-mmm")&amp;").","Next: "&amp;$Z159&amp;" due "&amp;TEXT($Y159,"dd-mmm")&amp;" ("&amp;(NETWORKDAYS(TODAY(),$Y159,Holidays)-1)&amp;" business day(s) left).")))))</f>
        <v/>
      </c>
      <c r="V159" s="17">
        <f>IF($W159="","",CHOOSE($W159,"Collection Email","1st Follow-up","2nd Follow-up","Local Office","CBE","Roxanne")&amp;IF($W159=6," - Final"," - Day "&amp;MAX(0,NETWORKDAYS($X159,TODAY(),Holidays)-1)&amp;" of "&amp;CHOOSE($W159,3,3,2,2,3))&amp;" | Total Day "&amp;MAX(0,NETWORKDAYS($L159,TODAY(),Holidays)-1))</f>
        <v/>
      </c>
      <c r="W159" s="17">
        <f>IF($L159="","",COUNT($L159:$Q159))</f>
        <v/>
      </c>
      <c r="X159" s="18">
        <f>IF($W159="","",INT(INDEX($L159:$Q159,$W159)))</f>
        <v/>
      </c>
      <c r="Y159" s="18">
        <f>IF(OR($W159="",$W159=6),"",WORKDAY($X159,CHOOSE($W159,3,3,2,2,3),Holidays))</f>
        <v/>
      </c>
      <c r="Z159" s="17">
        <f>IF(OR($W159="",$W159=6),"",CHOOSE($W159,"1st Email Follow-up","2nd Email Follow-up","Escalate Local Office","Escalate to CBE","Escalate to Roxanne"))</f>
        <v/>
      </c>
    </row>
    <row r="160" spans="18:26">
      <c r="R160" s="15"/>
      <c r="S160" s="16"/>
      <c r="T160" s="17">
        <f>IF(AND(COUNTA($A160:$K160)=0,$L160=""),"",IF($S160="Paid","PAID",IF($S160="Closed","CLOSED",IF($W160="","",IF($W160=6,"ESCALATED TO ROXANNE",IF(TODAY()&gt;$Y160,"OVERDUE",IF($Y160&lt;=WORKDAY(TODAY(),1,Holidays),"DUE TOMORROW",IF($W160=4,"ESCALATED TO LOCAL OFFICE",IF($W160=5,"ESCALATED TO CBE",IF($X160=TODAY(),"EMAIL SENT","MONITORING"))))))))))</f>
        <v/>
      </c>
      <c r="U160" s="17">
        <f>IF($T160="",IF(AND(COUNTA($A160:$K160)&gt;0,$L160=""),"Awaiting Collection Email time stamp.",""),IF(OR($T160="PAID",$T160="CLOSED"),IF($T160="PAID","Account paid. Action completed.","Account closed. No further action required."),CHOOSE($W160,"Collection Email","1st Email Follow-up","2nd Email Follow-up","Escalation to Local Office","Escalation to CBE","Escalation to Roxanne")&amp;" sent "&amp;TEXT($X160,"dd-mmm")&amp;". "&amp;IF($W160=6,"Final escalation completed.",IF($T160="OVERDUE","Next: "&amp;$Z160&amp;" was due "&amp;TEXT($Y160,"dd-mmm")&amp;" - "&amp;(NETWORKDAYS($Y160,TODAY(),Holidays)-1)&amp;" business day(s) late. Send now.",IF($T160="DUE TOMORROW","Next: "&amp;$Z160&amp;IF($Y160&lt;=TODAY()," is due TODAY ("," is due next business day (")&amp;TEXT($Y160,"dd-mmm")&amp;").","Next: "&amp;$Z160&amp;" due "&amp;TEXT($Y160,"dd-mmm")&amp;" ("&amp;(NETWORKDAYS(TODAY(),$Y160,Holidays)-1)&amp;" business day(s) left).")))))</f>
        <v/>
      </c>
      <c r="V160" s="17">
        <f>IF($W160="","",CHOOSE($W160,"Collection Email","1st Follow-up","2nd Follow-up","Local Office","CBE","Roxanne")&amp;IF($W160=6," - Final"," - Day "&amp;MAX(0,NETWORKDAYS($X160,TODAY(),Holidays)-1)&amp;" of "&amp;CHOOSE($W160,3,3,2,2,3))&amp;" | Total Day "&amp;MAX(0,NETWORKDAYS($L160,TODAY(),Holidays)-1))</f>
        <v/>
      </c>
      <c r="W160" s="17">
        <f>IF($L160="","",COUNT($L160:$Q160))</f>
        <v/>
      </c>
      <c r="X160" s="18">
        <f>IF($W160="","",INT(INDEX($L160:$Q160,$W160)))</f>
        <v/>
      </c>
      <c r="Y160" s="18">
        <f>IF(OR($W160="",$W160=6),"",WORKDAY($X160,CHOOSE($W160,3,3,2,2,3),Holidays))</f>
        <v/>
      </c>
      <c r="Z160" s="17">
        <f>IF(OR($W160="",$W160=6),"",CHOOSE($W160,"1st Email Follow-up","2nd Email Follow-up","Escalate Local Office","Escalate to CBE","Escalate to Roxanne"))</f>
        <v/>
      </c>
    </row>
    <row r="161" spans="18:26">
      <c r="R161" s="15"/>
      <c r="S161" s="16"/>
      <c r="T161" s="17">
        <f>IF(AND(COUNTA($A161:$K161)=0,$L161=""),"",IF($S161="Paid","PAID",IF($S161="Closed","CLOSED",IF($W161="","",IF($W161=6,"ESCALATED TO ROXANNE",IF(TODAY()&gt;$Y161,"OVERDUE",IF($Y161&lt;=WORKDAY(TODAY(),1,Holidays),"DUE TOMORROW",IF($W161=4,"ESCALATED TO LOCAL OFFICE",IF($W161=5,"ESCALATED TO CBE",IF($X161=TODAY(),"EMAIL SENT","MONITORING"))))))))))</f>
        <v/>
      </c>
      <c r="U161" s="17">
        <f>IF($T161="",IF(AND(COUNTA($A161:$K161)&gt;0,$L161=""),"Awaiting Collection Email time stamp.",""),IF(OR($T161="PAID",$T161="CLOSED"),IF($T161="PAID","Account paid. Action completed.","Account closed. No further action required."),CHOOSE($W161,"Collection Email","1st Email Follow-up","2nd Email Follow-up","Escalation to Local Office","Escalation to CBE","Escalation to Roxanne")&amp;" sent "&amp;TEXT($X161,"dd-mmm")&amp;". "&amp;IF($W161=6,"Final escalation completed.",IF($T161="OVERDUE","Next: "&amp;$Z161&amp;" was due "&amp;TEXT($Y161,"dd-mmm")&amp;" - "&amp;(NETWORKDAYS($Y161,TODAY(),Holidays)-1)&amp;" business day(s) late. Send now.",IF($T161="DUE TOMORROW","Next: "&amp;$Z161&amp;IF($Y161&lt;=TODAY()," is due TODAY ("," is due next business day (")&amp;TEXT($Y161,"dd-mmm")&amp;").","Next: "&amp;$Z161&amp;" due "&amp;TEXT($Y161,"dd-mmm")&amp;" ("&amp;(NETWORKDAYS(TODAY(),$Y161,Holidays)-1)&amp;" business day(s) left).")))))</f>
        <v/>
      </c>
      <c r="V161" s="17">
        <f>IF($W161="","",CHOOSE($W161,"Collection Email","1st Follow-up","2nd Follow-up","Local Office","CBE","Roxanne")&amp;IF($W161=6," - Final"," - Day "&amp;MAX(0,NETWORKDAYS($X161,TODAY(),Holidays)-1)&amp;" of "&amp;CHOOSE($W161,3,3,2,2,3))&amp;" | Total Day "&amp;MAX(0,NETWORKDAYS($L161,TODAY(),Holidays)-1))</f>
        <v/>
      </c>
      <c r="W161" s="17">
        <f>IF($L161="","",COUNT($L161:$Q161))</f>
        <v/>
      </c>
      <c r="X161" s="18">
        <f>IF($W161="","",INT(INDEX($L161:$Q161,$W161)))</f>
        <v/>
      </c>
      <c r="Y161" s="18">
        <f>IF(OR($W161="",$W161=6),"",WORKDAY($X161,CHOOSE($W161,3,3,2,2,3),Holidays))</f>
        <v/>
      </c>
      <c r="Z161" s="17">
        <f>IF(OR($W161="",$W161=6),"",CHOOSE($W161,"1st Email Follow-up","2nd Email Follow-up","Escalate Local Office","Escalate to CBE","Escalate to Roxanne"))</f>
        <v/>
      </c>
    </row>
    <row r="162" spans="18:26">
      <c r="R162" s="15"/>
      <c r="S162" s="16"/>
      <c r="T162" s="17">
        <f>IF(AND(COUNTA($A162:$K162)=0,$L162=""),"",IF($S162="Paid","PAID",IF($S162="Closed","CLOSED",IF($W162="","",IF($W162=6,"ESCALATED TO ROXANNE",IF(TODAY()&gt;$Y162,"OVERDUE",IF($Y162&lt;=WORKDAY(TODAY(),1,Holidays),"DUE TOMORROW",IF($W162=4,"ESCALATED TO LOCAL OFFICE",IF($W162=5,"ESCALATED TO CBE",IF($X162=TODAY(),"EMAIL SENT","MONITORING"))))))))))</f>
        <v/>
      </c>
      <c r="U162" s="17">
        <f>IF($T162="",IF(AND(COUNTA($A162:$K162)&gt;0,$L162=""),"Awaiting Collection Email time stamp.",""),IF(OR($T162="PAID",$T162="CLOSED"),IF($T162="PAID","Account paid. Action completed.","Account closed. No further action required."),CHOOSE($W162,"Collection Email","1st Email Follow-up","2nd Email Follow-up","Escalation to Local Office","Escalation to CBE","Escalation to Roxanne")&amp;" sent "&amp;TEXT($X162,"dd-mmm")&amp;". "&amp;IF($W162=6,"Final escalation completed.",IF($T162="OVERDUE","Next: "&amp;$Z162&amp;" was due "&amp;TEXT($Y162,"dd-mmm")&amp;" - "&amp;(NETWORKDAYS($Y162,TODAY(),Holidays)-1)&amp;" business day(s) late. Send now.",IF($T162="DUE TOMORROW","Next: "&amp;$Z162&amp;IF($Y162&lt;=TODAY()," is due TODAY ("," is due next business day (")&amp;TEXT($Y162,"dd-mmm")&amp;").","Next: "&amp;$Z162&amp;" due "&amp;TEXT($Y162,"dd-mmm")&amp;" ("&amp;(NETWORKDAYS(TODAY(),$Y162,Holidays)-1)&amp;" business day(s) left).")))))</f>
        <v/>
      </c>
      <c r="V162" s="17">
        <f>IF($W162="","",CHOOSE($W162,"Collection Email","1st Follow-up","2nd Follow-up","Local Office","CBE","Roxanne")&amp;IF($W162=6," - Final"," - Day "&amp;MAX(0,NETWORKDAYS($X162,TODAY(),Holidays)-1)&amp;" of "&amp;CHOOSE($W162,3,3,2,2,3))&amp;" | Total Day "&amp;MAX(0,NETWORKDAYS($L162,TODAY(),Holidays)-1))</f>
        <v/>
      </c>
      <c r="W162" s="17">
        <f>IF($L162="","",COUNT($L162:$Q162))</f>
        <v/>
      </c>
      <c r="X162" s="18">
        <f>IF($W162="","",INT(INDEX($L162:$Q162,$W162)))</f>
        <v/>
      </c>
      <c r="Y162" s="18">
        <f>IF(OR($W162="",$W162=6),"",WORKDAY($X162,CHOOSE($W162,3,3,2,2,3),Holidays))</f>
        <v/>
      </c>
      <c r="Z162" s="17">
        <f>IF(OR($W162="",$W162=6),"",CHOOSE($W162,"1st Email Follow-up","2nd Email Follow-up","Escalate Local Office","Escalate to CBE","Escalate to Roxanne"))</f>
        <v/>
      </c>
    </row>
    <row r="163" spans="18:26">
      <c r="R163" s="15"/>
      <c r="S163" s="16"/>
      <c r="T163" s="17">
        <f>IF(AND(COUNTA($A163:$K163)=0,$L163=""),"",IF($S163="Paid","PAID",IF($S163="Closed","CLOSED",IF($W163="","",IF($W163=6,"ESCALATED TO ROXANNE",IF(TODAY()&gt;$Y163,"OVERDUE",IF($Y163&lt;=WORKDAY(TODAY(),1,Holidays),"DUE TOMORROW",IF($W163=4,"ESCALATED TO LOCAL OFFICE",IF($W163=5,"ESCALATED TO CBE",IF($X163=TODAY(),"EMAIL SENT","MONITORING"))))))))))</f>
        <v/>
      </c>
      <c r="U163" s="17">
        <f>IF($T163="",IF(AND(COUNTA($A163:$K163)&gt;0,$L163=""),"Awaiting Collection Email time stamp.",""),IF(OR($T163="PAID",$T163="CLOSED"),IF($T163="PAID","Account paid. Action completed.","Account closed. No further action required."),CHOOSE($W163,"Collection Email","1st Email Follow-up","2nd Email Follow-up","Escalation to Local Office","Escalation to CBE","Escalation to Roxanne")&amp;" sent "&amp;TEXT($X163,"dd-mmm")&amp;". "&amp;IF($W163=6,"Final escalation completed.",IF($T163="OVERDUE","Next: "&amp;$Z163&amp;" was due "&amp;TEXT($Y163,"dd-mmm")&amp;" - "&amp;(NETWORKDAYS($Y163,TODAY(),Holidays)-1)&amp;" business day(s) late. Send now.",IF($T163="DUE TOMORROW","Next: "&amp;$Z163&amp;IF($Y163&lt;=TODAY()," is due TODAY ("," is due next business day (")&amp;TEXT($Y163,"dd-mmm")&amp;").","Next: "&amp;$Z163&amp;" due "&amp;TEXT($Y163,"dd-mmm")&amp;" ("&amp;(NETWORKDAYS(TODAY(),$Y163,Holidays)-1)&amp;" business day(s) left).")))))</f>
        <v/>
      </c>
      <c r="V163" s="17">
        <f>IF($W163="","",CHOOSE($W163,"Collection Email","1st Follow-up","2nd Follow-up","Local Office","CBE","Roxanne")&amp;IF($W163=6," - Final"," - Day "&amp;MAX(0,NETWORKDAYS($X163,TODAY(),Holidays)-1)&amp;" of "&amp;CHOOSE($W163,3,3,2,2,3))&amp;" | Total Day "&amp;MAX(0,NETWORKDAYS($L163,TODAY(),Holidays)-1))</f>
        <v/>
      </c>
      <c r="W163" s="17">
        <f>IF($L163="","",COUNT($L163:$Q163))</f>
        <v/>
      </c>
      <c r="X163" s="18">
        <f>IF($W163="","",INT(INDEX($L163:$Q163,$W163)))</f>
        <v/>
      </c>
      <c r="Y163" s="18">
        <f>IF(OR($W163="",$W163=6),"",WORKDAY($X163,CHOOSE($W163,3,3,2,2,3),Holidays))</f>
        <v/>
      </c>
      <c r="Z163" s="17">
        <f>IF(OR($W163="",$W163=6),"",CHOOSE($W163,"1st Email Follow-up","2nd Email Follow-up","Escalate Local Office","Escalate to CBE","Escalate to Roxanne"))</f>
        <v/>
      </c>
    </row>
    <row r="164" spans="18:26">
      <c r="R164" s="15"/>
      <c r="S164" s="16"/>
      <c r="T164" s="17">
        <f>IF(AND(COUNTA($A164:$K164)=0,$L164=""),"",IF($S164="Paid","PAID",IF($S164="Closed","CLOSED",IF($W164="","",IF($W164=6,"ESCALATED TO ROXANNE",IF(TODAY()&gt;$Y164,"OVERDUE",IF($Y164&lt;=WORKDAY(TODAY(),1,Holidays),"DUE TOMORROW",IF($W164=4,"ESCALATED TO LOCAL OFFICE",IF($W164=5,"ESCALATED TO CBE",IF($X164=TODAY(),"EMAIL SENT","MONITORING"))))))))))</f>
        <v/>
      </c>
      <c r="U164" s="17">
        <f>IF($T164="",IF(AND(COUNTA($A164:$K164)&gt;0,$L164=""),"Awaiting Collection Email time stamp.",""),IF(OR($T164="PAID",$T164="CLOSED"),IF($T164="PAID","Account paid. Action completed.","Account closed. No further action required."),CHOOSE($W164,"Collection Email","1st Email Follow-up","2nd Email Follow-up","Escalation to Local Office","Escalation to CBE","Escalation to Roxanne")&amp;" sent "&amp;TEXT($X164,"dd-mmm")&amp;". "&amp;IF($W164=6,"Final escalation completed.",IF($T164="OVERDUE","Next: "&amp;$Z164&amp;" was due "&amp;TEXT($Y164,"dd-mmm")&amp;" - "&amp;(NETWORKDAYS($Y164,TODAY(),Holidays)-1)&amp;" business day(s) late. Send now.",IF($T164="DUE TOMORROW","Next: "&amp;$Z164&amp;IF($Y164&lt;=TODAY()," is due TODAY ("," is due next business day (")&amp;TEXT($Y164,"dd-mmm")&amp;").","Next: "&amp;$Z164&amp;" due "&amp;TEXT($Y164,"dd-mmm")&amp;" ("&amp;(NETWORKDAYS(TODAY(),$Y164,Holidays)-1)&amp;" business day(s) left).")))))</f>
        <v/>
      </c>
      <c r="V164" s="17">
        <f>IF($W164="","",CHOOSE($W164,"Collection Email","1st Follow-up","2nd Follow-up","Local Office","CBE","Roxanne")&amp;IF($W164=6," - Final"," - Day "&amp;MAX(0,NETWORKDAYS($X164,TODAY(),Holidays)-1)&amp;" of "&amp;CHOOSE($W164,3,3,2,2,3))&amp;" | Total Day "&amp;MAX(0,NETWORKDAYS($L164,TODAY(),Holidays)-1))</f>
        <v/>
      </c>
      <c r="W164" s="17">
        <f>IF($L164="","",COUNT($L164:$Q164))</f>
        <v/>
      </c>
      <c r="X164" s="18">
        <f>IF($W164="","",INT(INDEX($L164:$Q164,$W164)))</f>
        <v/>
      </c>
      <c r="Y164" s="18">
        <f>IF(OR($W164="",$W164=6),"",WORKDAY($X164,CHOOSE($W164,3,3,2,2,3),Holidays))</f>
        <v/>
      </c>
      <c r="Z164" s="17">
        <f>IF(OR($W164="",$W164=6),"",CHOOSE($W164,"1st Email Follow-up","2nd Email Follow-up","Escalate Local Office","Escalate to CBE","Escalate to Roxanne"))</f>
        <v/>
      </c>
    </row>
    <row r="165" spans="18:26">
      <c r="R165" s="15"/>
      <c r="S165" s="16"/>
      <c r="T165" s="17">
        <f>IF(AND(COUNTA($A165:$K165)=0,$L165=""),"",IF($S165="Paid","PAID",IF($S165="Closed","CLOSED",IF($W165="","",IF($W165=6,"ESCALATED TO ROXANNE",IF(TODAY()&gt;$Y165,"OVERDUE",IF($Y165&lt;=WORKDAY(TODAY(),1,Holidays),"DUE TOMORROW",IF($W165=4,"ESCALATED TO LOCAL OFFICE",IF($W165=5,"ESCALATED TO CBE",IF($X165=TODAY(),"EMAIL SENT","MONITORING"))))))))))</f>
        <v/>
      </c>
      <c r="U165" s="17">
        <f>IF($T165="",IF(AND(COUNTA($A165:$K165)&gt;0,$L165=""),"Awaiting Collection Email time stamp.",""),IF(OR($T165="PAID",$T165="CLOSED"),IF($T165="PAID","Account paid. Action completed.","Account closed. No further action required."),CHOOSE($W165,"Collection Email","1st Email Follow-up","2nd Email Follow-up","Escalation to Local Office","Escalation to CBE","Escalation to Roxanne")&amp;" sent "&amp;TEXT($X165,"dd-mmm")&amp;". "&amp;IF($W165=6,"Final escalation completed.",IF($T165="OVERDUE","Next: "&amp;$Z165&amp;" was due "&amp;TEXT($Y165,"dd-mmm")&amp;" - "&amp;(NETWORKDAYS($Y165,TODAY(),Holidays)-1)&amp;" business day(s) late. Send now.",IF($T165="DUE TOMORROW","Next: "&amp;$Z165&amp;IF($Y165&lt;=TODAY()," is due TODAY ("," is due next business day (")&amp;TEXT($Y165,"dd-mmm")&amp;").","Next: "&amp;$Z165&amp;" due "&amp;TEXT($Y165,"dd-mmm")&amp;" ("&amp;(NETWORKDAYS(TODAY(),$Y165,Holidays)-1)&amp;" business day(s) left).")))))</f>
        <v/>
      </c>
      <c r="V165" s="17">
        <f>IF($W165="","",CHOOSE($W165,"Collection Email","1st Follow-up","2nd Follow-up","Local Office","CBE","Roxanne")&amp;IF($W165=6," - Final"," - Day "&amp;MAX(0,NETWORKDAYS($X165,TODAY(),Holidays)-1)&amp;" of "&amp;CHOOSE($W165,3,3,2,2,3))&amp;" | Total Day "&amp;MAX(0,NETWORKDAYS($L165,TODAY(),Holidays)-1))</f>
        <v/>
      </c>
      <c r="W165" s="17">
        <f>IF($L165="","",COUNT($L165:$Q165))</f>
        <v/>
      </c>
      <c r="X165" s="18">
        <f>IF($W165="","",INT(INDEX($L165:$Q165,$W165)))</f>
        <v/>
      </c>
      <c r="Y165" s="18">
        <f>IF(OR($W165="",$W165=6),"",WORKDAY($X165,CHOOSE($W165,3,3,2,2,3),Holidays))</f>
        <v/>
      </c>
      <c r="Z165" s="17">
        <f>IF(OR($W165="",$W165=6),"",CHOOSE($W165,"1st Email Follow-up","2nd Email Follow-up","Escalate Local Office","Escalate to CBE","Escalate to Roxanne"))</f>
        <v/>
      </c>
    </row>
    <row r="166" spans="18:26">
      <c r="R166" s="15"/>
      <c r="S166" s="16"/>
      <c r="T166" s="17">
        <f>IF(AND(COUNTA($A166:$K166)=0,$L166=""),"",IF($S166="Paid","PAID",IF($S166="Closed","CLOSED",IF($W166="","",IF($W166=6,"ESCALATED TO ROXANNE",IF(TODAY()&gt;$Y166,"OVERDUE",IF($Y166&lt;=WORKDAY(TODAY(),1,Holidays),"DUE TOMORROW",IF($W166=4,"ESCALATED TO LOCAL OFFICE",IF($W166=5,"ESCALATED TO CBE",IF($X166=TODAY(),"EMAIL SENT","MONITORING"))))))))))</f>
        <v/>
      </c>
      <c r="U166" s="17">
        <f>IF($T166="",IF(AND(COUNTA($A166:$K166)&gt;0,$L166=""),"Awaiting Collection Email time stamp.",""),IF(OR($T166="PAID",$T166="CLOSED"),IF($T166="PAID","Account paid. Action completed.","Account closed. No further action required."),CHOOSE($W166,"Collection Email","1st Email Follow-up","2nd Email Follow-up","Escalation to Local Office","Escalation to CBE","Escalation to Roxanne")&amp;" sent "&amp;TEXT($X166,"dd-mmm")&amp;". "&amp;IF($W166=6,"Final escalation completed.",IF($T166="OVERDUE","Next: "&amp;$Z166&amp;" was due "&amp;TEXT($Y166,"dd-mmm")&amp;" - "&amp;(NETWORKDAYS($Y166,TODAY(),Holidays)-1)&amp;" business day(s) late. Send now.",IF($T166="DUE TOMORROW","Next: "&amp;$Z166&amp;IF($Y166&lt;=TODAY()," is due TODAY ("," is due next business day (")&amp;TEXT($Y166,"dd-mmm")&amp;").","Next: "&amp;$Z166&amp;" due "&amp;TEXT($Y166,"dd-mmm")&amp;" ("&amp;(NETWORKDAYS(TODAY(),$Y166,Holidays)-1)&amp;" business day(s) left).")))))</f>
        <v/>
      </c>
      <c r="V166" s="17">
        <f>IF($W166="","",CHOOSE($W166,"Collection Email","1st Follow-up","2nd Follow-up","Local Office","CBE","Roxanne")&amp;IF($W166=6," - Final"," - Day "&amp;MAX(0,NETWORKDAYS($X166,TODAY(),Holidays)-1)&amp;" of "&amp;CHOOSE($W166,3,3,2,2,3))&amp;" | Total Day "&amp;MAX(0,NETWORKDAYS($L166,TODAY(),Holidays)-1))</f>
        <v/>
      </c>
      <c r="W166" s="17">
        <f>IF($L166="","",COUNT($L166:$Q166))</f>
        <v/>
      </c>
      <c r="X166" s="18">
        <f>IF($W166="","",INT(INDEX($L166:$Q166,$W166)))</f>
        <v/>
      </c>
      <c r="Y166" s="18">
        <f>IF(OR($W166="",$W166=6),"",WORKDAY($X166,CHOOSE($W166,3,3,2,2,3),Holidays))</f>
        <v/>
      </c>
      <c r="Z166" s="17">
        <f>IF(OR($W166="",$W166=6),"",CHOOSE($W166,"1st Email Follow-up","2nd Email Follow-up","Escalate Local Office","Escalate to CBE","Escalate to Roxanne"))</f>
        <v/>
      </c>
    </row>
    <row r="167" spans="18:26">
      <c r="R167" s="15"/>
      <c r="S167" s="16"/>
      <c r="T167" s="17">
        <f>IF(AND(COUNTA($A167:$K167)=0,$L167=""),"",IF($S167="Paid","PAID",IF($S167="Closed","CLOSED",IF($W167="","",IF($W167=6,"ESCALATED TO ROXANNE",IF(TODAY()&gt;$Y167,"OVERDUE",IF($Y167&lt;=WORKDAY(TODAY(),1,Holidays),"DUE TOMORROW",IF($W167=4,"ESCALATED TO LOCAL OFFICE",IF($W167=5,"ESCALATED TO CBE",IF($X167=TODAY(),"EMAIL SENT","MONITORING"))))))))))</f>
        <v/>
      </c>
      <c r="U167" s="17">
        <f>IF($T167="",IF(AND(COUNTA($A167:$K167)&gt;0,$L167=""),"Awaiting Collection Email time stamp.",""),IF(OR($T167="PAID",$T167="CLOSED"),IF($T167="PAID","Account paid. Action completed.","Account closed. No further action required."),CHOOSE($W167,"Collection Email","1st Email Follow-up","2nd Email Follow-up","Escalation to Local Office","Escalation to CBE","Escalation to Roxanne")&amp;" sent "&amp;TEXT($X167,"dd-mmm")&amp;". "&amp;IF($W167=6,"Final escalation completed.",IF($T167="OVERDUE","Next: "&amp;$Z167&amp;" was due "&amp;TEXT($Y167,"dd-mmm")&amp;" - "&amp;(NETWORKDAYS($Y167,TODAY(),Holidays)-1)&amp;" business day(s) late. Send now.",IF($T167="DUE TOMORROW","Next: "&amp;$Z167&amp;IF($Y167&lt;=TODAY()," is due TODAY ("," is due next business day (")&amp;TEXT($Y167,"dd-mmm")&amp;").","Next: "&amp;$Z167&amp;" due "&amp;TEXT($Y167,"dd-mmm")&amp;" ("&amp;(NETWORKDAYS(TODAY(),$Y167,Holidays)-1)&amp;" business day(s) left).")))))</f>
        <v/>
      </c>
      <c r="V167" s="17">
        <f>IF($W167="","",CHOOSE($W167,"Collection Email","1st Follow-up","2nd Follow-up","Local Office","CBE","Roxanne")&amp;IF($W167=6," - Final"," - Day "&amp;MAX(0,NETWORKDAYS($X167,TODAY(),Holidays)-1)&amp;" of "&amp;CHOOSE($W167,3,3,2,2,3))&amp;" | Total Day "&amp;MAX(0,NETWORKDAYS($L167,TODAY(),Holidays)-1))</f>
        <v/>
      </c>
      <c r="W167" s="17">
        <f>IF($L167="","",COUNT($L167:$Q167))</f>
        <v/>
      </c>
      <c r="X167" s="18">
        <f>IF($W167="","",INT(INDEX($L167:$Q167,$W167)))</f>
        <v/>
      </c>
      <c r="Y167" s="18">
        <f>IF(OR($W167="",$W167=6),"",WORKDAY($X167,CHOOSE($W167,3,3,2,2,3),Holidays))</f>
        <v/>
      </c>
      <c r="Z167" s="17">
        <f>IF(OR($W167="",$W167=6),"",CHOOSE($W167,"1st Email Follow-up","2nd Email Follow-up","Escalate Local Office","Escalate to CBE","Escalate to Roxanne"))</f>
        <v/>
      </c>
    </row>
    <row r="168" spans="18:26">
      <c r="R168" s="15"/>
      <c r="S168" s="16"/>
      <c r="T168" s="17">
        <f>IF(AND(COUNTA($A168:$K168)=0,$L168=""),"",IF($S168="Paid","PAID",IF($S168="Closed","CLOSED",IF($W168="","",IF($W168=6,"ESCALATED TO ROXANNE",IF(TODAY()&gt;$Y168,"OVERDUE",IF($Y168&lt;=WORKDAY(TODAY(),1,Holidays),"DUE TOMORROW",IF($W168=4,"ESCALATED TO LOCAL OFFICE",IF($W168=5,"ESCALATED TO CBE",IF($X168=TODAY(),"EMAIL SENT","MONITORING"))))))))))</f>
        <v/>
      </c>
      <c r="U168" s="17">
        <f>IF($T168="",IF(AND(COUNTA($A168:$K168)&gt;0,$L168=""),"Awaiting Collection Email time stamp.",""),IF(OR($T168="PAID",$T168="CLOSED"),IF($T168="PAID","Account paid. Action completed.","Account closed. No further action required."),CHOOSE($W168,"Collection Email","1st Email Follow-up","2nd Email Follow-up","Escalation to Local Office","Escalation to CBE","Escalation to Roxanne")&amp;" sent "&amp;TEXT($X168,"dd-mmm")&amp;". "&amp;IF($W168=6,"Final escalation completed.",IF($T168="OVERDUE","Next: "&amp;$Z168&amp;" was due "&amp;TEXT($Y168,"dd-mmm")&amp;" - "&amp;(NETWORKDAYS($Y168,TODAY(),Holidays)-1)&amp;" business day(s) late. Send now.",IF($T168="DUE TOMORROW","Next: "&amp;$Z168&amp;IF($Y168&lt;=TODAY()," is due TODAY ("," is due next business day (")&amp;TEXT($Y168,"dd-mmm")&amp;").","Next: "&amp;$Z168&amp;" due "&amp;TEXT($Y168,"dd-mmm")&amp;" ("&amp;(NETWORKDAYS(TODAY(),$Y168,Holidays)-1)&amp;" business day(s) left).")))))</f>
        <v/>
      </c>
      <c r="V168" s="17">
        <f>IF($W168="","",CHOOSE($W168,"Collection Email","1st Follow-up","2nd Follow-up","Local Office","CBE","Roxanne")&amp;IF($W168=6," - Final"," - Day "&amp;MAX(0,NETWORKDAYS($X168,TODAY(),Holidays)-1)&amp;" of "&amp;CHOOSE($W168,3,3,2,2,3))&amp;" | Total Day "&amp;MAX(0,NETWORKDAYS($L168,TODAY(),Holidays)-1))</f>
        <v/>
      </c>
      <c r="W168" s="17">
        <f>IF($L168="","",COUNT($L168:$Q168))</f>
        <v/>
      </c>
      <c r="X168" s="18">
        <f>IF($W168="","",INT(INDEX($L168:$Q168,$W168)))</f>
        <v/>
      </c>
      <c r="Y168" s="18">
        <f>IF(OR($W168="",$W168=6),"",WORKDAY($X168,CHOOSE($W168,3,3,2,2,3),Holidays))</f>
        <v/>
      </c>
      <c r="Z168" s="17">
        <f>IF(OR($W168="",$W168=6),"",CHOOSE($W168,"1st Email Follow-up","2nd Email Follow-up","Escalate Local Office","Escalate to CBE","Escalate to Roxanne"))</f>
        <v/>
      </c>
    </row>
    <row r="169" spans="18:26">
      <c r="R169" s="15"/>
      <c r="S169" s="16"/>
      <c r="T169" s="17">
        <f>IF(AND(COUNTA($A169:$K169)=0,$L169=""),"",IF($S169="Paid","PAID",IF($S169="Closed","CLOSED",IF($W169="","",IF($W169=6,"ESCALATED TO ROXANNE",IF(TODAY()&gt;$Y169,"OVERDUE",IF($Y169&lt;=WORKDAY(TODAY(),1,Holidays),"DUE TOMORROW",IF($W169=4,"ESCALATED TO LOCAL OFFICE",IF($W169=5,"ESCALATED TO CBE",IF($X169=TODAY(),"EMAIL SENT","MONITORING"))))))))))</f>
        <v/>
      </c>
      <c r="U169" s="17">
        <f>IF($T169="",IF(AND(COUNTA($A169:$K169)&gt;0,$L169=""),"Awaiting Collection Email time stamp.",""),IF(OR($T169="PAID",$T169="CLOSED"),IF($T169="PAID","Account paid. Action completed.","Account closed. No further action required."),CHOOSE($W169,"Collection Email","1st Email Follow-up","2nd Email Follow-up","Escalation to Local Office","Escalation to CBE","Escalation to Roxanne")&amp;" sent "&amp;TEXT($X169,"dd-mmm")&amp;". "&amp;IF($W169=6,"Final escalation completed.",IF($T169="OVERDUE","Next: "&amp;$Z169&amp;" was due "&amp;TEXT($Y169,"dd-mmm")&amp;" - "&amp;(NETWORKDAYS($Y169,TODAY(),Holidays)-1)&amp;" business day(s) late. Send now.",IF($T169="DUE TOMORROW","Next: "&amp;$Z169&amp;IF($Y169&lt;=TODAY()," is due TODAY ("," is due next business day (")&amp;TEXT($Y169,"dd-mmm")&amp;").","Next: "&amp;$Z169&amp;" due "&amp;TEXT($Y169,"dd-mmm")&amp;" ("&amp;(NETWORKDAYS(TODAY(),$Y169,Holidays)-1)&amp;" business day(s) left).")))))</f>
        <v/>
      </c>
      <c r="V169" s="17">
        <f>IF($W169="","",CHOOSE($W169,"Collection Email","1st Follow-up","2nd Follow-up","Local Office","CBE","Roxanne")&amp;IF($W169=6," - Final"," - Day "&amp;MAX(0,NETWORKDAYS($X169,TODAY(),Holidays)-1)&amp;" of "&amp;CHOOSE($W169,3,3,2,2,3))&amp;" | Total Day "&amp;MAX(0,NETWORKDAYS($L169,TODAY(),Holidays)-1))</f>
        <v/>
      </c>
      <c r="W169" s="17">
        <f>IF($L169="","",COUNT($L169:$Q169))</f>
        <v/>
      </c>
      <c r="X169" s="18">
        <f>IF($W169="","",INT(INDEX($L169:$Q169,$W169)))</f>
        <v/>
      </c>
      <c r="Y169" s="18">
        <f>IF(OR($W169="",$W169=6),"",WORKDAY($X169,CHOOSE($W169,3,3,2,2,3),Holidays))</f>
        <v/>
      </c>
      <c r="Z169" s="17">
        <f>IF(OR($W169="",$W169=6),"",CHOOSE($W169,"1st Email Follow-up","2nd Email Follow-up","Escalate Local Office","Escalate to CBE","Escalate to Roxanne"))</f>
        <v/>
      </c>
    </row>
    <row r="170" spans="18:26">
      <c r="R170" s="15"/>
      <c r="S170" s="16"/>
      <c r="T170" s="17">
        <f>IF(AND(COUNTA($A170:$K170)=0,$L170=""),"",IF($S170="Paid","PAID",IF($S170="Closed","CLOSED",IF($W170="","",IF($W170=6,"ESCALATED TO ROXANNE",IF(TODAY()&gt;$Y170,"OVERDUE",IF($Y170&lt;=WORKDAY(TODAY(),1,Holidays),"DUE TOMORROW",IF($W170=4,"ESCALATED TO LOCAL OFFICE",IF($W170=5,"ESCALATED TO CBE",IF($X170=TODAY(),"EMAIL SENT","MONITORING"))))))))))</f>
        <v/>
      </c>
      <c r="U170" s="17">
        <f>IF($T170="",IF(AND(COUNTA($A170:$K170)&gt;0,$L170=""),"Awaiting Collection Email time stamp.",""),IF(OR($T170="PAID",$T170="CLOSED"),IF($T170="PAID","Account paid. Action completed.","Account closed. No further action required."),CHOOSE($W170,"Collection Email","1st Email Follow-up","2nd Email Follow-up","Escalation to Local Office","Escalation to CBE","Escalation to Roxanne")&amp;" sent "&amp;TEXT($X170,"dd-mmm")&amp;". "&amp;IF($W170=6,"Final escalation completed.",IF($T170="OVERDUE","Next: "&amp;$Z170&amp;" was due "&amp;TEXT($Y170,"dd-mmm")&amp;" - "&amp;(NETWORKDAYS($Y170,TODAY(),Holidays)-1)&amp;" business day(s) late. Send now.",IF($T170="DUE TOMORROW","Next: "&amp;$Z170&amp;IF($Y170&lt;=TODAY()," is due TODAY ("," is due next business day (")&amp;TEXT($Y170,"dd-mmm")&amp;").","Next: "&amp;$Z170&amp;" due "&amp;TEXT($Y170,"dd-mmm")&amp;" ("&amp;(NETWORKDAYS(TODAY(),$Y170,Holidays)-1)&amp;" business day(s) left).")))))</f>
        <v/>
      </c>
      <c r="V170" s="17">
        <f>IF($W170="","",CHOOSE($W170,"Collection Email","1st Follow-up","2nd Follow-up","Local Office","CBE","Roxanne")&amp;IF($W170=6," - Final"," - Day "&amp;MAX(0,NETWORKDAYS($X170,TODAY(),Holidays)-1)&amp;" of "&amp;CHOOSE($W170,3,3,2,2,3))&amp;" | Total Day "&amp;MAX(0,NETWORKDAYS($L170,TODAY(),Holidays)-1))</f>
        <v/>
      </c>
      <c r="W170" s="17">
        <f>IF($L170="","",COUNT($L170:$Q170))</f>
        <v/>
      </c>
      <c r="X170" s="18">
        <f>IF($W170="","",INT(INDEX($L170:$Q170,$W170)))</f>
        <v/>
      </c>
      <c r="Y170" s="18">
        <f>IF(OR($W170="",$W170=6),"",WORKDAY($X170,CHOOSE($W170,3,3,2,2,3),Holidays))</f>
        <v/>
      </c>
      <c r="Z170" s="17">
        <f>IF(OR($W170="",$W170=6),"",CHOOSE($W170,"1st Email Follow-up","2nd Email Follow-up","Escalate Local Office","Escalate to CBE","Escalate to Roxanne"))</f>
        <v/>
      </c>
    </row>
    <row r="171" spans="18:26">
      <c r="R171" s="15"/>
      <c r="S171" s="16"/>
      <c r="T171" s="17">
        <f>IF(AND(COUNTA($A171:$K171)=0,$L171=""),"",IF($S171="Paid","PAID",IF($S171="Closed","CLOSED",IF($W171="","",IF($W171=6,"ESCALATED TO ROXANNE",IF(TODAY()&gt;$Y171,"OVERDUE",IF($Y171&lt;=WORKDAY(TODAY(),1,Holidays),"DUE TOMORROW",IF($W171=4,"ESCALATED TO LOCAL OFFICE",IF($W171=5,"ESCALATED TO CBE",IF($X171=TODAY(),"EMAIL SENT","MONITORING"))))))))))</f>
        <v/>
      </c>
      <c r="U171" s="17">
        <f>IF($T171="",IF(AND(COUNTA($A171:$K171)&gt;0,$L171=""),"Awaiting Collection Email time stamp.",""),IF(OR($T171="PAID",$T171="CLOSED"),IF($T171="PAID","Account paid. Action completed.","Account closed. No further action required."),CHOOSE($W171,"Collection Email","1st Email Follow-up","2nd Email Follow-up","Escalation to Local Office","Escalation to CBE","Escalation to Roxanne")&amp;" sent "&amp;TEXT($X171,"dd-mmm")&amp;". "&amp;IF($W171=6,"Final escalation completed.",IF($T171="OVERDUE","Next: "&amp;$Z171&amp;" was due "&amp;TEXT($Y171,"dd-mmm")&amp;" - "&amp;(NETWORKDAYS($Y171,TODAY(),Holidays)-1)&amp;" business day(s) late. Send now.",IF($T171="DUE TOMORROW","Next: "&amp;$Z171&amp;IF($Y171&lt;=TODAY()," is due TODAY ("," is due next business day (")&amp;TEXT($Y171,"dd-mmm")&amp;").","Next: "&amp;$Z171&amp;" due "&amp;TEXT($Y171,"dd-mmm")&amp;" ("&amp;(NETWORKDAYS(TODAY(),$Y171,Holidays)-1)&amp;" business day(s) left).")))))</f>
        <v/>
      </c>
      <c r="V171" s="17">
        <f>IF($W171="","",CHOOSE($W171,"Collection Email","1st Follow-up","2nd Follow-up","Local Office","CBE","Roxanne")&amp;IF($W171=6," - Final"," - Day "&amp;MAX(0,NETWORKDAYS($X171,TODAY(),Holidays)-1)&amp;" of "&amp;CHOOSE($W171,3,3,2,2,3))&amp;" | Total Day "&amp;MAX(0,NETWORKDAYS($L171,TODAY(),Holidays)-1))</f>
        <v/>
      </c>
      <c r="W171" s="17">
        <f>IF($L171="","",COUNT($L171:$Q171))</f>
        <v/>
      </c>
      <c r="X171" s="18">
        <f>IF($W171="","",INT(INDEX($L171:$Q171,$W171)))</f>
        <v/>
      </c>
      <c r="Y171" s="18">
        <f>IF(OR($W171="",$W171=6),"",WORKDAY($X171,CHOOSE($W171,3,3,2,2,3),Holidays))</f>
        <v/>
      </c>
      <c r="Z171" s="17">
        <f>IF(OR($W171="",$W171=6),"",CHOOSE($W171,"1st Email Follow-up","2nd Email Follow-up","Escalate Local Office","Escalate to CBE","Escalate to Roxanne"))</f>
        <v/>
      </c>
    </row>
    <row r="172" spans="18:26">
      <c r="R172" s="15"/>
      <c r="S172" s="16"/>
      <c r="T172" s="17">
        <f>IF(AND(COUNTA($A172:$K172)=0,$L172=""),"",IF($S172="Paid","PAID",IF($S172="Closed","CLOSED",IF($W172="","",IF($W172=6,"ESCALATED TO ROXANNE",IF(TODAY()&gt;$Y172,"OVERDUE",IF($Y172&lt;=WORKDAY(TODAY(),1,Holidays),"DUE TOMORROW",IF($W172=4,"ESCALATED TO LOCAL OFFICE",IF($W172=5,"ESCALATED TO CBE",IF($X172=TODAY(),"EMAIL SENT","MONITORING"))))))))))</f>
        <v/>
      </c>
      <c r="U172" s="17">
        <f>IF($T172="",IF(AND(COUNTA($A172:$K172)&gt;0,$L172=""),"Awaiting Collection Email time stamp.",""),IF(OR($T172="PAID",$T172="CLOSED"),IF($T172="PAID","Account paid. Action completed.","Account closed. No further action required."),CHOOSE($W172,"Collection Email","1st Email Follow-up","2nd Email Follow-up","Escalation to Local Office","Escalation to CBE","Escalation to Roxanne")&amp;" sent "&amp;TEXT($X172,"dd-mmm")&amp;". "&amp;IF($W172=6,"Final escalation completed.",IF($T172="OVERDUE","Next: "&amp;$Z172&amp;" was due "&amp;TEXT($Y172,"dd-mmm")&amp;" - "&amp;(NETWORKDAYS($Y172,TODAY(),Holidays)-1)&amp;" business day(s) late. Send now.",IF($T172="DUE TOMORROW","Next: "&amp;$Z172&amp;IF($Y172&lt;=TODAY()," is due TODAY ("," is due next business day (")&amp;TEXT($Y172,"dd-mmm")&amp;").","Next: "&amp;$Z172&amp;" due "&amp;TEXT($Y172,"dd-mmm")&amp;" ("&amp;(NETWORKDAYS(TODAY(),$Y172,Holidays)-1)&amp;" business day(s) left).")))))</f>
        <v/>
      </c>
      <c r="V172" s="17">
        <f>IF($W172="","",CHOOSE($W172,"Collection Email","1st Follow-up","2nd Follow-up","Local Office","CBE","Roxanne")&amp;IF($W172=6," - Final"," - Day "&amp;MAX(0,NETWORKDAYS($X172,TODAY(),Holidays)-1)&amp;" of "&amp;CHOOSE($W172,3,3,2,2,3))&amp;" | Total Day "&amp;MAX(0,NETWORKDAYS($L172,TODAY(),Holidays)-1))</f>
        <v/>
      </c>
      <c r="W172" s="17">
        <f>IF($L172="","",COUNT($L172:$Q172))</f>
        <v/>
      </c>
      <c r="X172" s="18">
        <f>IF($W172="","",INT(INDEX($L172:$Q172,$W172)))</f>
        <v/>
      </c>
      <c r="Y172" s="18">
        <f>IF(OR($W172="",$W172=6),"",WORKDAY($X172,CHOOSE($W172,3,3,2,2,3),Holidays))</f>
        <v/>
      </c>
      <c r="Z172" s="17">
        <f>IF(OR($W172="",$W172=6),"",CHOOSE($W172,"1st Email Follow-up","2nd Email Follow-up","Escalate Local Office","Escalate to CBE","Escalate to Roxanne"))</f>
        <v/>
      </c>
    </row>
    <row r="173" spans="18:26">
      <c r="R173" s="15"/>
      <c r="S173" s="16"/>
      <c r="T173" s="17">
        <f>IF(AND(COUNTA($A173:$K173)=0,$L173=""),"",IF($S173="Paid","PAID",IF($S173="Closed","CLOSED",IF($W173="","",IF($W173=6,"ESCALATED TO ROXANNE",IF(TODAY()&gt;$Y173,"OVERDUE",IF($Y173&lt;=WORKDAY(TODAY(),1,Holidays),"DUE TOMORROW",IF($W173=4,"ESCALATED TO LOCAL OFFICE",IF($W173=5,"ESCALATED TO CBE",IF($X173=TODAY(),"EMAIL SENT","MONITORING"))))))))))</f>
        <v/>
      </c>
      <c r="U173" s="17">
        <f>IF($T173="",IF(AND(COUNTA($A173:$K173)&gt;0,$L173=""),"Awaiting Collection Email time stamp.",""),IF(OR($T173="PAID",$T173="CLOSED"),IF($T173="PAID","Account paid. Action completed.","Account closed. No further action required."),CHOOSE($W173,"Collection Email","1st Email Follow-up","2nd Email Follow-up","Escalation to Local Office","Escalation to CBE","Escalation to Roxanne")&amp;" sent "&amp;TEXT($X173,"dd-mmm")&amp;". "&amp;IF($W173=6,"Final escalation completed.",IF($T173="OVERDUE","Next: "&amp;$Z173&amp;" was due "&amp;TEXT($Y173,"dd-mmm")&amp;" - "&amp;(NETWORKDAYS($Y173,TODAY(),Holidays)-1)&amp;" business day(s) late. Send now.",IF($T173="DUE TOMORROW","Next: "&amp;$Z173&amp;IF($Y173&lt;=TODAY()," is due TODAY ("," is due next business day (")&amp;TEXT($Y173,"dd-mmm")&amp;").","Next: "&amp;$Z173&amp;" due "&amp;TEXT($Y173,"dd-mmm")&amp;" ("&amp;(NETWORKDAYS(TODAY(),$Y173,Holidays)-1)&amp;" business day(s) left).")))))</f>
        <v/>
      </c>
      <c r="V173" s="17">
        <f>IF($W173="","",CHOOSE($W173,"Collection Email","1st Follow-up","2nd Follow-up","Local Office","CBE","Roxanne")&amp;IF($W173=6," - Final"," - Day "&amp;MAX(0,NETWORKDAYS($X173,TODAY(),Holidays)-1)&amp;" of "&amp;CHOOSE($W173,3,3,2,2,3))&amp;" | Total Day "&amp;MAX(0,NETWORKDAYS($L173,TODAY(),Holidays)-1))</f>
        <v/>
      </c>
      <c r="W173" s="17">
        <f>IF($L173="","",COUNT($L173:$Q173))</f>
        <v/>
      </c>
      <c r="X173" s="18">
        <f>IF($W173="","",INT(INDEX($L173:$Q173,$W173)))</f>
        <v/>
      </c>
      <c r="Y173" s="18">
        <f>IF(OR($W173="",$W173=6),"",WORKDAY($X173,CHOOSE($W173,3,3,2,2,3),Holidays))</f>
        <v/>
      </c>
      <c r="Z173" s="17">
        <f>IF(OR($W173="",$W173=6),"",CHOOSE($W173,"1st Email Follow-up","2nd Email Follow-up","Escalate Local Office","Escalate to CBE","Escalate to Roxanne"))</f>
        <v/>
      </c>
    </row>
    <row r="174" spans="18:26">
      <c r="R174" s="15"/>
      <c r="S174" s="16"/>
      <c r="T174" s="17">
        <f>IF(AND(COUNTA($A174:$K174)=0,$L174=""),"",IF($S174="Paid","PAID",IF($S174="Closed","CLOSED",IF($W174="","",IF($W174=6,"ESCALATED TO ROXANNE",IF(TODAY()&gt;$Y174,"OVERDUE",IF($Y174&lt;=WORKDAY(TODAY(),1,Holidays),"DUE TOMORROW",IF($W174=4,"ESCALATED TO LOCAL OFFICE",IF($W174=5,"ESCALATED TO CBE",IF($X174=TODAY(),"EMAIL SENT","MONITORING"))))))))))</f>
        <v/>
      </c>
      <c r="U174" s="17">
        <f>IF($T174="",IF(AND(COUNTA($A174:$K174)&gt;0,$L174=""),"Awaiting Collection Email time stamp.",""),IF(OR($T174="PAID",$T174="CLOSED"),IF($T174="PAID","Account paid. Action completed.","Account closed. No further action required."),CHOOSE($W174,"Collection Email","1st Email Follow-up","2nd Email Follow-up","Escalation to Local Office","Escalation to CBE","Escalation to Roxanne")&amp;" sent "&amp;TEXT($X174,"dd-mmm")&amp;". "&amp;IF($W174=6,"Final escalation completed.",IF($T174="OVERDUE","Next: "&amp;$Z174&amp;" was due "&amp;TEXT($Y174,"dd-mmm")&amp;" - "&amp;(NETWORKDAYS($Y174,TODAY(),Holidays)-1)&amp;" business day(s) late. Send now.",IF($T174="DUE TOMORROW","Next: "&amp;$Z174&amp;IF($Y174&lt;=TODAY()," is due TODAY ("," is due next business day (")&amp;TEXT($Y174,"dd-mmm")&amp;").","Next: "&amp;$Z174&amp;" due "&amp;TEXT($Y174,"dd-mmm")&amp;" ("&amp;(NETWORKDAYS(TODAY(),$Y174,Holidays)-1)&amp;" business day(s) left).")))))</f>
        <v/>
      </c>
      <c r="V174" s="17">
        <f>IF($W174="","",CHOOSE($W174,"Collection Email","1st Follow-up","2nd Follow-up","Local Office","CBE","Roxanne")&amp;IF($W174=6," - Final"," - Day "&amp;MAX(0,NETWORKDAYS($X174,TODAY(),Holidays)-1)&amp;" of "&amp;CHOOSE($W174,3,3,2,2,3))&amp;" | Total Day "&amp;MAX(0,NETWORKDAYS($L174,TODAY(),Holidays)-1))</f>
        <v/>
      </c>
      <c r="W174" s="17">
        <f>IF($L174="","",COUNT($L174:$Q174))</f>
        <v/>
      </c>
      <c r="X174" s="18">
        <f>IF($W174="","",INT(INDEX($L174:$Q174,$W174)))</f>
        <v/>
      </c>
      <c r="Y174" s="18">
        <f>IF(OR($W174="",$W174=6),"",WORKDAY($X174,CHOOSE($W174,3,3,2,2,3),Holidays))</f>
        <v/>
      </c>
      <c r="Z174" s="17">
        <f>IF(OR($W174="",$W174=6),"",CHOOSE($W174,"1st Email Follow-up","2nd Email Follow-up","Escalate Local Office","Escalate to CBE","Escalate to Roxanne"))</f>
        <v/>
      </c>
    </row>
    <row r="175" spans="18:26">
      <c r="R175" s="15"/>
      <c r="S175" s="16"/>
      <c r="T175" s="17">
        <f>IF(AND(COUNTA($A175:$K175)=0,$L175=""),"",IF($S175="Paid","PAID",IF($S175="Closed","CLOSED",IF($W175="","",IF($W175=6,"ESCALATED TO ROXANNE",IF(TODAY()&gt;$Y175,"OVERDUE",IF($Y175&lt;=WORKDAY(TODAY(),1,Holidays),"DUE TOMORROW",IF($W175=4,"ESCALATED TO LOCAL OFFICE",IF($W175=5,"ESCALATED TO CBE",IF($X175=TODAY(),"EMAIL SENT","MONITORING"))))))))))</f>
        <v/>
      </c>
      <c r="U175" s="17">
        <f>IF($T175="",IF(AND(COUNTA($A175:$K175)&gt;0,$L175=""),"Awaiting Collection Email time stamp.",""),IF(OR($T175="PAID",$T175="CLOSED"),IF($T175="PAID","Account paid. Action completed.","Account closed. No further action required."),CHOOSE($W175,"Collection Email","1st Email Follow-up","2nd Email Follow-up","Escalation to Local Office","Escalation to CBE","Escalation to Roxanne")&amp;" sent "&amp;TEXT($X175,"dd-mmm")&amp;". "&amp;IF($W175=6,"Final escalation completed.",IF($T175="OVERDUE","Next: "&amp;$Z175&amp;" was due "&amp;TEXT($Y175,"dd-mmm")&amp;" - "&amp;(NETWORKDAYS($Y175,TODAY(),Holidays)-1)&amp;" business day(s) late. Send now.",IF($T175="DUE TOMORROW","Next: "&amp;$Z175&amp;IF($Y175&lt;=TODAY()," is due TODAY ("," is due next business day (")&amp;TEXT($Y175,"dd-mmm")&amp;").","Next: "&amp;$Z175&amp;" due "&amp;TEXT($Y175,"dd-mmm")&amp;" ("&amp;(NETWORKDAYS(TODAY(),$Y175,Holidays)-1)&amp;" business day(s) left).")))))</f>
        <v/>
      </c>
      <c r="V175" s="17">
        <f>IF($W175="","",CHOOSE($W175,"Collection Email","1st Follow-up","2nd Follow-up","Local Office","CBE","Roxanne")&amp;IF($W175=6," - Final"," - Day "&amp;MAX(0,NETWORKDAYS($X175,TODAY(),Holidays)-1)&amp;" of "&amp;CHOOSE($W175,3,3,2,2,3))&amp;" | Total Day "&amp;MAX(0,NETWORKDAYS($L175,TODAY(),Holidays)-1))</f>
        <v/>
      </c>
      <c r="W175" s="17">
        <f>IF($L175="","",COUNT($L175:$Q175))</f>
        <v/>
      </c>
      <c r="X175" s="18">
        <f>IF($W175="","",INT(INDEX($L175:$Q175,$W175)))</f>
        <v/>
      </c>
      <c r="Y175" s="18">
        <f>IF(OR($W175="",$W175=6),"",WORKDAY($X175,CHOOSE($W175,3,3,2,2,3),Holidays))</f>
        <v/>
      </c>
      <c r="Z175" s="17">
        <f>IF(OR($W175="",$W175=6),"",CHOOSE($W175,"1st Email Follow-up","2nd Email Follow-up","Escalate Local Office","Escalate to CBE","Escalate to Roxanne"))</f>
        <v/>
      </c>
    </row>
    <row r="176" spans="18:26">
      <c r="R176" s="15"/>
      <c r="S176" s="16"/>
      <c r="T176" s="17">
        <f>IF(AND(COUNTA($A176:$K176)=0,$L176=""),"",IF($S176="Paid","PAID",IF($S176="Closed","CLOSED",IF($W176="","",IF($W176=6,"ESCALATED TO ROXANNE",IF(TODAY()&gt;$Y176,"OVERDUE",IF($Y176&lt;=WORKDAY(TODAY(),1,Holidays),"DUE TOMORROW",IF($W176=4,"ESCALATED TO LOCAL OFFICE",IF($W176=5,"ESCALATED TO CBE",IF($X176=TODAY(),"EMAIL SENT","MONITORING"))))))))))</f>
        <v/>
      </c>
      <c r="U176" s="17">
        <f>IF($T176="",IF(AND(COUNTA($A176:$K176)&gt;0,$L176=""),"Awaiting Collection Email time stamp.",""),IF(OR($T176="PAID",$T176="CLOSED"),IF($T176="PAID","Account paid. Action completed.","Account closed. No further action required."),CHOOSE($W176,"Collection Email","1st Email Follow-up","2nd Email Follow-up","Escalation to Local Office","Escalation to CBE","Escalation to Roxanne")&amp;" sent "&amp;TEXT($X176,"dd-mmm")&amp;". "&amp;IF($W176=6,"Final escalation completed.",IF($T176="OVERDUE","Next: "&amp;$Z176&amp;" was due "&amp;TEXT($Y176,"dd-mmm")&amp;" - "&amp;(NETWORKDAYS($Y176,TODAY(),Holidays)-1)&amp;" business day(s) late. Send now.",IF($T176="DUE TOMORROW","Next: "&amp;$Z176&amp;IF($Y176&lt;=TODAY()," is due TODAY ("," is due next business day (")&amp;TEXT($Y176,"dd-mmm")&amp;").","Next: "&amp;$Z176&amp;" due "&amp;TEXT($Y176,"dd-mmm")&amp;" ("&amp;(NETWORKDAYS(TODAY(),$Y176,Holidays)-1)&amp;" business day(s) left).")))))</f>
        <v/>
      </c>
      <c r="V176" s="17">
        <f>IF($W176="","",CHOOSE($W176,"Collection Email","1st Follow-up","2nd Follow-up","Local Office","CBE","Roxanne")&amp;IF($W176=6," - Final"," - Day "&amp;MAX(0,NETWORKDAYS($X176,TODAY(),Holidays)-1)&amp;" of "&amp;CHOOSE($W176,3,3,2,2,3))&amp;" | Total Day "&amp;MAX(0,NETWORKDAYS($L176,TODAY(),Holidays)-1))</f>
        <v/>
      </c>
      <c r="W176" s="17">
        <f>IF($L176="","",COUNT($L176:$Q176))</f>
        <v/>
      </c>
      <c r="X176" s="18">
        <f>IF($W176="","",INT(INDEX($L176:$Q176,$W176)))</f>
        <v/>
      </c>
      <c r="Y176" s="18">
        <f>IF(OR($W176="",$W176=6),"",WORKDAY($X176,CHOOSE($W176,3,3,2,2,3),Holidays))</f>
        <v/>
      </c>
      <c r="Z176" s="17">
        <f>IF(OR($W176="",$W176=6),"",CHOOSE($W176,"1st Email Follow-up","2nd Email Follow-up","Escalate Local Office","Escalate to CBE","Escalate to Roxanne"))</f>
        <v/>
      </c>
    </row>
    <row r="177" spans="18:26">
      <c r="R177" s="15"/>
      <c r="S177" s="16"/>
      <c r="T177" s="17">
        <f>IF(AND(COUNTA($A177:$K177)=0,$L177=""),"",IF($S177="Paid","PAID",IF($S177="Closed","CLOSED",IF($W177="","",IF($W177=6,"ESCALATED TO ROXANNE",IF(TODAY()&gt;$Y177,"OVERDUE",IF($Y177&lt;=WORKDAY(TODAY(),1,Holidays),"DUE TOMORROW",IF($W177=4,"ESCALATED TO LOCAL OFFICE",IF($W177=5,"ESCALATED TO CBE",IF($X177=TODAY(),"EMAIL SENT","MONITORING"))))))))))</f>
        <v/>
      </c>
      <c r="U177" s="17">
        <f>IF($T177="",IF(AND(COUNTA($A177:$K177)&gt;0,$L177=""),"Awaiting Collection Email time stamp.",""),IF(OR($T177="PAID",$T177="CLOSED"),IF($T177="PAID","Account paid. Action completed.","Account closed. No further action required."),CHOOSE($W177,"Collection Email","1st Email Follow-up","2nd Email Follow-up","Escalation to Local Office","Escalation to CBE","Escalation to Roxanne")&amp;" sent "&amp;TEXT($X177,"dd-mmm")&amp;". "&amp;IF($W177=6,"Final escalation completed.",IF($T177="OVERDUE","Next: "&amp;$Z177&amp;" was due "&amp;TEXT($Y177,"dd-mmm")&amp;" - "&amp;(NETWORKDAYS($Y177,TODAY(),Holidays)-1)&amp;" business day(s) late. Send now.",IF($T177="DUE TOMORROW","Next: "&amp;$Z177&amp;IF($Y177&lt;=TODAY()," is due TODAY ("," is due next business day (")&amp;TEXT($Y177,"dd-mmm")&amp;").","Next: "&amp;$Z177&amp;" due "&amp;TEXT($Y177,"dd-mmm")&amp;" ("&amp;(NETWORKDAYS(TODAY(),$Y177,Holidays)-1)&amp;" business day(s) left).")))))</f>
        <v/>
      </c>
      <c r="V177" s="17">
        <f>IF($W177="","",CHOOSE($W177,"Collection Email","1st Follow-up","2nd Follow-up","Local Office","CBE","Roxanne")&amp;IF($W177=6," - Final"," - Day "&amp;MAX(0,NETWORKDAYS($X177,TODAY(),Holidays)-1)&amp;" of "&amp;CHOOSE($W177,3,3,2,2,3))&amp;" | Total Day "&amp;MAX(0,NETWORKDAYS($L177,TODAY(),Holidays)-1))</f>
        <v/>
      </c>
      <c r="W177" s="17">
        <f>IF($L177="","",COUNT($L177:$Q177))</f>
        <v/>
      </c>
      <c r="X177" s="18">
        <f>IF($W177="","",INT(INDEX($L177:$Q177,$W177)))</f>
        <v/>
      </c>
      <c r="Y177" s="18">
        <f>IF(OR($W177="",$W177=6),"",WORKDAY($X177,CHOOSE($W177,3,3,2,2,3),Holidays))</f>
        <v/>
      </c>
      <c r="Z177" s="17">
        <f>IF(OR($W177="",$W177=6),"",CHOOSE($W177,"1st Email Follow-up","2nd Email Follow-up","Escalate Local Office","Escalate to CBE","Escalate to Roxanne"))</f>
        <v/>
      </c>
    </row>
    <row r="178" spans="18:26">
      <c r="R178" s="15"/>
      <c r="S178" s="16"/>
      <c r="T178" s="17">
        <f>IF(AND(COUNTA($A178:$K178)=0,$L178=""),"",IF($S178="Paid","PAID",IF($S178="Closed","CLOSED",IF($W178="","",IF($W178=6,"ESCALATED TO ROXANNE",IF(TODAY()&gt;$Y178,"OVERDUE",IF($Y178&lt;=WORKDAY(TODAY(),1,Holidays),"DUE TOMORROW",IF($W178=4,"ESCALATED TO LOCAL OFFICE",IF($W178=5,"ESCALATED TO CBE",IF($X178=TODAY(),"EMAIL SENT","MONITORING"))))))))))</f>
        <v/>
      </c>
      <c r="U178" s="17">
        <f>IF($T178="",IF(AND(COUNTA($A178:$K178)&gt;0,$L178=""),"Awaiting Collection Email time stamp.",""),IF(OR($T178="PAID",$T178="CLOSED"),IF($T178="PAID","Account paid. Action completed.","Account closed. No further action required."),CHOOSE($W178,"Collection Email","1st Email Follow-up","2nd Email Follow-up","Escalation to Local Office","Escalation to CBE","Escalation to Roxanne")&amp;" sent "&amp;TEXT($X178,"dd-mmm")&amp;". "&amp;IF($W178=6,"Final escalation completed.",IF($T178="OVERDUE","Next: "&amp;$Z178&amp;" was due "&amp;TEXT($Y178,"dd-mmm")&amp;" - "&amp;(NETWORKDAYS($Y178,TODAY(),Holidays)-1)&amp;" business day(s) late. Send now.",IF($T178="DUE TOMORROW","Next: "&amp;$Z178&amp;IF($Y178&lt;=TODAY()," is due TODAY ("," is due next business day (")&amp;TEXT($Y178,"dd-mmm")&amp;").","Next: "&amp;$Z178&amp;" due "&amp;TEXT($Y178,"dd-mmm")&amp;" ("&amp;(NETWORKDAYS(TODAY(),$Y178,Holidays)-1)&amp;" business day(s) left).")))))</f>
        <v/>
      </c>
      <c r="V178" s="17">
        <f>IF($W178="","",CHOOSE($W178,"Collection Email","1st Follow-up","2nd Follow-up","Local Office","CBE","Roxanne")&amp;IF($W178=6," - Final"," - Day "&amp;MAX(0,NETWORKDAYS($X178,TODAY(),Holidays)-1)&amp;" of "&amp;CHOOSE($W178,3,3,2,2,3))&amp;" | Total Day "&amp;MAX(0,NETWORKDAYS($L178,TODAY(),Holidays)-1))</f>
        <v/>
      </c>
      <c r="W178" s="17">
        <f>IF($L178="","",COUNT($L178:$Q178))</f>
        <v/>
      </c>
      <c r="X178" s="18">
        <f>IF($W178="","",INT(INDEX($L178:$Q178,$W178)))</f>
        <v/>
      </c>
      <c r="Y178" s="18">
        <f>IF(OR($W178="",$W178=6),"",WORKDAY($X178,CHOOSE($W178,3,3,2,2,3),Holidays))</f>
        <v/>
      </c>
      <c r="Z178" s="17">
        <f>IF(OR($W178="",$W178=6),"",CHOOSE($W178,"1st Email Follow-up","2nd Email Follow-up","Escalate Local Office","Escalate to CBE","Escalate to Roxanne"))</f>
        <v/>
      </c>
    </row>
    <row r="179" spans="18:26">
      <c r="R179" s="15"/>
      <c r="S179" s="16"/>
      <c r="T179" s="17">
        <f>IF(AND(COUNTA($A179:$K179)=0,$L179=""),"",IF($S179="Paid","PAID",IF($S179="Closed","CLOSED",IF($W179="","",IF($W179=6,"ESCALATED TO ROXANNE",IF(TODAY()&gt;$Y179,"OVERDUE",IF($Y179&lt;=WORKDAY(TODAY(),1,Holidays),"DUE TOMORROW",IF($W179=4,"ESCALATED TO LOCAL OFFICE",IF($W179=5,"ESCALATED TO CBE",IF($X179=TODAY(),"EMAIL SENT","MONITORING"))))))))))</f>
        <v/>
      </c>
      <c r="U179" s="17">
        <f>IF($T179="",IF(AND(COUNTA($A179:$K179)&gt;0,$L179=""),"Awaiting Collection Email time stamp.",""),IF(OR($T179="PAID",$T179="CLOSED"),IF($T179="PAID","Account paid. Action completed.","Account closed. No further action required."),CHOOSE($W179,"Collection Email","1st Email Follow-up","2nd Email Follow-up","Escalation to Local Office","Escalation to CBE","Escalation to Roxanne")&amp;" sent "&amp;TEXT($X179,"dd-mmm")&amp;". "&amp;IF($W179=6,"Final escalation completed.",IF($T179="OVERDUE","Next: "&amp;$Z179&amp;" was due "&amp;TEXT($Y179,"dd-mmm")&amp;" - "&amp;(NETWORKDAYS($Y179,TODAY(),Holidays)-1)&amp;" business day(s) late. Send now.",IF($T179="DUE TOMORROW","Next: "&amp;$Z179&amp;IF($Y179&lt;=TODAY()," is due TODAY ("," is due next business day (")&amp;TEXT($Y179,"dd-mmm")&amp;").","Next: "&amp;$Z179&amp;" due "&amp;TEXT($Y179,"dd-mmm")&amp;" ("&amp;(NETWORKDAYS(TODAY(),$Y179,Holidays)-1)&amp;" business day(s) left).")))))</f>
        <v/>
      </c>
      <c r="V179" s="17">
        <f>IF($W179="","",CHOOSE($W179,"Collection Email","1st Follow-up","2nd Follow-up","Local Office","CBE","Roxanne")&amp;IF($W179=6," - Final"," - Day "&amp;MAX(0,NETWORKDAYS($X179,TODAY(),Holidays)-1)&amp;" of "&amp;CHOOSE($W179,3,3,2,2,3))&amp;" | Total Day "&amp;MAX(0,NETWORKDAYS($L179,TODAY(),Holidays)-1))</f>
        <v/>
      </c>
      <c r="W179" s="17">
        <f>IF($L179="","",COUNT($L179:$Q179))</f>
        <v/>
      </c>
      <c r="X179" s="18">
        <f>IF($W179="","",INT(INDEX($L179:$Q179,$W179)))</f>
        <v/>
      </c>
      <c r="Y179" s="18">
        <f>IF(OR($W179="",$W179=6),"",WORKDAY($X179,CHOOSE($W179,3,3,2,2,3),Holidays))</f>
        <v/>
      </c>
      <c r="Z179" s="17">
        <f>IF(OR($W179="",$W179=6),"",CHOOSE($W179,"1st Email Follow-up","2nd Email Follow-up","Escalate Local Office","Escalate to CBE","Escalate to Roxanne"))</f>
        <v/>
      </c>
    </row>
    <row r="180" spans="18:26">
      <c r="R180" s="15"/>
      <c r="S180" s="16"/>
      <c r="T180" s="17">
        <f>IF(AND(COUNTA($A180:$K180)=0,$L180=""),"",IF($S180="Paid","PAID",IF($S180="Closed","CLOSED",IF($W180="","",IF($W180=6,"ESCALATED TO ROXANNE",IF(TODAY()&gt;$Y180,"OVERDUE",IF($Y180&lt;=WORKDAY(TODAY(),1,Holidays),"DUE TOMORROW",IF($W180=4,"ESCALATED TO LOCAL OFFICE",IF($W180=5,"ESCALATED TO CBE",IF($X180=TODAY(),"EMAIL SENT","MONITORING"))))))))))</f>
        <v/>
      </c>
      <c r="U180" s="17">
        <f>IF($T180="",IF(AND(COUNTA($A180:$K180)&gt;0,$L180=""),"Awaiting Collection Email time stamp.",""),IF(OR($T180="PAID",$T180="CLOSED"),IF($T180="PAID","Account paid. Action completed.","Account closed. No further action required."),CHOOSE($W180,"Collection Email","1st Email Follow-up","2nd Email Follow-up","Escalation to Local Office","Escalation to CBE","Escalation to Roxanne")&amp;" sent "&amp;TEXT($X180,"dd-mmm")&amp;". "&amp;IF($W180=6,"Final escalation completed.",IF($T180="OVERDUE","Next: "&amp;$Z180&amp;" was due "&amp;TEXT($Y180,"dd-mmm")&amp;" - "&amp;(NETWORKDAYS($Y180,TODAY(),Holidays)-1)&amp;" business day(s) late. Send now.",IF($T180="DUE TOMORROW","Next: "&amp;$Z180&amp;IF($Y180&lt;=TODAY()," is due TODAY ("," is due next business day (")&amp;TEXT($Y180,"dd-mmm")&amp;").","Next: "&amp;$Z180&amp;" due "&amp;TEXT($Y180,"dd-mmm")&amp;" ("&amp;(NETWORKDAYS(TODAY(),$Y180,Holidays)-1)&amp;" business day(s) left).")))))</f>
        <v/>
      </c>
      <c r="V180" s="17">
        <f>IF($W180="","",CHOOSE($W180,"Collection Email","1st Follow-up","2nd Follow-up","Local Office","CBE","Roxanne")&amp;IF($W180=6," - Final"," - Day "&amp;MAX(0,NETWORKDAYS($X180,TODAY(),Holidays)-1)&amp;" of "&amp;CHOOSE($W180,3,3,2,2,3))&amp;" | Total Day "&amp;MAX(0,NETWORKDAYS($L180,TODAY(),Holidays)-1))</f>
        <v/>
      </c>
      <c r="W180" s="17">
        <f>IF($L180="","",COUNT($L180:$Q180))</f>
        <v/>
      </c>
      <c r="X180" s="18">
        <f>IF($W180="","",INT(INDEX($L180:$Q180,$W180)))</f>
        <v/>
      </c>
      <c r="Y180" s="18">
        <f>IF(OR($W180="",$W180=6),"",WORKDAY($X180,CHOOSE($W180,3,3,2,2,3),Holidays))</f>
        <v/>
      </c>
      <c r="Z180" s="17">
        <f>IF(OR($W180="",$W180=6),"",CHOOSE($W180,"1st Email Follow-up","2nd Email Follow-up","Escalate Local Office","Escalate to CBE","Escalate to Roxanne"))</f>
        <v/>
      </c>
    </row>
    <row r="181" spans="18:26">
      <c r="R181" s="15"/>
      <c r="S181" s="16"/>
      <c r="T181" s="17">
        <f>IF(AND(COUNTA($A181:$K181)=0,$L181=""),"",IF($S181="Paid","PAID",IF($S181="Closed","CLOSED",IF($W181="","",IF($W181=6,"ESCALATED TO ROXANNE",IF(TODAY()&gt;$Y181,"OVERDUE",IF($Y181&lt;=WORKDAY(TODAY(),1,Holidays),"DUE TOMORROW",IF($W181=4,"ESCALATED TO LOCAL OFFICE",IF($W181=5,"ESCALATED TO CBE",IF($X181=TODAY(),"EMAIL SENT","MONITORING"))))))))))</f>
        <v/>
      </c>
      <c r="U181" s="17">
        <f>IF($T181="",IF(AND(COUNTA($A181:$K181)&gt;0,$L181=""),"Awaiting Collection Email time stamp.",""),IF(OR($T181="PAID",$T181="CLOSED"),IF($T181="PAID","Account paid. Action completed.","Account closed. No further action required."),CHOOSE($W181,"Collection Email","1st Email Follow-up","2nd Email Follow-up","Escalation to Local Office","Escalation to CBE","Escalation to Roxanne")&amp;" sent "&amp;TEXT($X181,"dd-mmm")&amp;". "&amp;IF($W181=6,"Final escalation completed.",IF($T181="OVERDUE","Next: "&amp;$Z181&amp;" was due "&amp;TEXT($Y181,"dd-mmm")&amp;" - "&amp;(NETWORKDAYS($Y181,TODAY(),Holidays)-1)&amp;" business day(s) late. Send now.",IF($T181="DUE TOMORROW","Next: "&amp;$Z181&amp;IF($Y181&lt;=TODAY()," is due TODAY ("," is due next business day (")&amp;TEXT($Y181,"dd-mmm")&amp;").","Next: "&amp;$Z181&amp;" due "&amp;TEXT($Y181,"dd-mmm")&amp;" ("&amp;(NETWORKDAYS(TODAY(),$Y181,Holidays)-1)&amp;" business day(s) left).")))))</f>
        <v/>
      </c>
      <c r="V181" s="17">
        <f>IF($W181="","",CHOOSE($W181,"Collection Email","1st Follow-up","2nd Follow-up","Local Office","CBE","Roxanne")&amp;IF($W181=6," - Final"," - Day "&amp;MAX(0,NETWORKDAYS($X181,TODAY(),Holidays)-1)&amp;" of "&amp;CHOOSE($W181,3,3,2,2,3))&amp;" | Total Day "&amp;MAX(0,NETWORKDAYS($L181,TODAY(),Holidays)-1))</f>
        <v/>
      </c>
      <c r="W181" s="17">
        <f>IF($L181="","",COUNT($L181:$Q181))</f>
        <v/>
      </c>
      <c r="X181" s="18">
        <f>IF($W181="","",INT(INDEX($L181:$Q181,$W181)))</f>
        <v/>
      </c>
      <c r="Y181" s="18">
        <f>IF(OR($W181="",$W181=6),"",WORKDAY($X181,CHOOSE($W181,3,3,2,2,3),Holidays))</f>
        <v/>
      </c>
      <c r="Z181" s="17">
        <f>IF(OR($W181="",$W181=6),"",CHOOSE($W181,"1st Email Follow-up","2nd Email Follow-up","Escalate Local Office","Escalate to CBE","Escalate to Roxanne"))</f>
        <v/>
      </c>
    </row>
    <row r="182" spans="18:26">
      <c r="R182" s="15"/>
      <c r="S182" s="16"/>
      <c r="T182" s="17">
        <f>IF(AND(COUNTA($A182:$K182)=0,$L182=""),"",IF($S182="Paid","PAID",IF($S182="Closed","CLOSED",IF($W182="","",IF($W182=6,"ESCALATED TO ROXANNE",IF(TODAY()&gt;$Y182,"OVERDUE",IF($Y182&lt;=WORKDAY(TODAY(),1,Holidays),"DUE TOMORROW",IF($W182=4,"ESCALATED TO LOCAL OFFICE",IF($W182=5,"ESCALATED TO CBE",IF($X182=TODAY(),"EMAIL SENT","MONITORING"))))))))))</f>
        <v/>
      </c>
      <c r="U182" s="17">
        <f>IF($T182="",IF(AND(COUNTA($A182:$K182)&gt;0,$L182=""),"Awaiting Collection Email time stamp.",""),IF(OR($T182="PAID",$T182="CLOSED"),IF($T182="PAID","Account paid. Action completed.","Account closed. No further action required."),CHOOSE($W182,"Collection Email","1st Email Follow-up","2nd Email Follow-up","Escalation to Local Office","Escalation to CBE","Escalation to Roxanne")&amp;" sent "&amp;TEXT($X182,"dd-mmm")&amp;". "&amp;IF($W182=6,"Final escalation completed.",IF($T182="OVERDUE","Next: "&amp;$Z182&amp;" was due "&amp;TEXT($Y182,"dd-mmm")&amp;" - "&amp;(NETWORKDAYS($Y182,TODAY(),Holidays)-1)&amp;" business day(s) late. Send now.",IF($T182="DUE TOMORROW","Next: "&amp;$Z182&amp;IF($Y182&lt;=TODAY()," is due TODAY ("," is due next business day (")&amp;TEXT($Y182,"dd-mmm")&amp;").","Next: "&amp;$Z182&amp;" due "&amp;TEXT($Y182,"dd-mmm")&amp;" ("&amp;(NETWORKDAYS(TODAY(),$Y182,Holidays)-1)&amp;" business day(s) left).")))))</f>
        <v/>
      </c>
      <c r="V182" s="17">
        <f>IF($W182="","",CHOOSE($W182,"Collection Email","1st Follow-up","2nd Follow-up","Local Office","CBE","Roxanne")&amp;IF($W182=6," - Final"," - Day "&amp;MAX(0,NETWORKDAYS($X182,TODAY(),Holidays)-1)&amp;" of "&amp;CHOOSE($W182,3,3,2,2,3))&amp;" | Total Day "&amp;MAX(0,NETWORKDAYS($L182,TODAY(),Holidays)-1))</f>
        <v/>
      </c>
      <c r="W182" s="17">
        <f>IF($L182="","",COUNT($L182:$Q182))</f>
        <v/>
      </c>
      <c r="X182" s="18">
        <f>IF($W182="","",INT(INDEX($L182:$Q182,$W182)))</f>
        <v/>
      </c>
      <c r="Y182" s="18">
        <f>IF(OR($W182="",$W182=6),"",WORKDAY($X182,CHOOSE($W182,3,3,2,2,3),Holidays))</f>
        <v/>
      </c>
      <c r="Z182" s="17">
        <f>IF(OR($W182="",$W182=6),"",CHOOSE($W182,"1st Email Follow-up","2nd Email Follow-up","Escalate Local Office","Escalate to CBE","Escalate to Roxanne"))</f>
        <v/>
      </c>
    </row>
    <row r="183" spans="18:26">
      <c r="R183" s="15"/>
      <c r="S183" s="16"/>
      <c r="T183" s="17">
        <f>IF(AND(COUNTA($A183:$K183)=0,$L183=""),"",IF($S183="Paid","PAID",IF($S183="Closed","CLOSED",IF($W183="","",IF($W183=6,"ESCALATED TO ROXANNE",IF(TODAY()&gt;$Y183,"OVERDUE",IF($Y183&lt;=WORKDAY(TODAY(),1,Holidays),"DUE TOMORROW",IF($W183=4,"ESCALATED TO LOCAL OFFICE",IF($W183=5,"ESCALATED TO CBE",IF($X183=TODAY(),"EMAIL SENT","MONITORING"))))))))))</f>
        <v/>
      </c>
      <c r="U183" s="17">
        <f>IF($T183="",IF(AND(COUNTA($A183:$K183)&gt;0,$L183=""),"Awaiting Collection Email time stamp.",""),IF(OR($T183="PAID",$T183="CLOSED"),IF($T183="PAID","Account paid. Action completed.","Account closed. No further action required."),CHOOSE($W183,"Collection Email","1st Email Follow-up","2nd Email Follow-up","Escalation to Local Office","Escalation to CBE","Escalation to Roxanne")&amp;" sent "&amp;TEXT($X183,"dd-mmm")&amp;". "&amp;IF($W183=6,"Final escalation completed.",IF($T183="OVERDUE","Next: "&amp;$Z183&amp;" was due "&amp;TEXT($Y183,"dd-mmm")&amp;" - "&amp;(NETWORKDAYS($Y183,TODAY(),Holidays)-1)&amp;" business day(s) late. Send now.",IF($T183="DUE TOMORROW","Next: "&amp;$Z183&amp;IF($Y183&lt;=TODAY()," is due TODAY ("," is due next business day (")&amp;TEXT($Y183,"dd-mmm")&amp;").","Next: "&amp;$Z183&amp;" due "&amp;TEXT($Y183,"dd-mmm")&amp;" ("&amp;(NETWORKDAYS(TODAY(),$Y183,Holidays)-1)&amp;" business day(s) left).")))))</f>
        <v/>
      </c>
      <c r="V183" s="17">
        <f>IF($W183="","",CHOOSE($W183,"Collection Email","1st Follow-up","2nd Follow-up","Local Office","CBE","Roxanne")&amp;IF($W183=6," - Final"," - Day "&amp;MAX(0,NETWORKDAYS($X183,TODAY(),Holidays)-1)&amp;" of "&amp;CHOOSE($W183,3,3,2,2,3))&amp;" | Total Day "&amp;MAX(0,NETWORKDAYS($L183,TODAY(),Holidays)-1))</f>
        <v/>
      </c>
      <c r="W183" s="17">
        <f>IF($L183="","",COUNT($L183:$Q183))</f>
        <v/>
      </c>
      <c r="X183" s="18">
        <f>IF($W183="","",INT(INDEX($L183:$Q183,$W183)))</f>
        <v/>
      </c>
      <c r="Y183" s="18">
        <f>IF(OR($W183="",$W183=6),"",WORKDAY($X183,CHOOSE($W183,3,3,2,2,3),Holidays))</f>
        <v/>
      </c>
      <c r="Z183" s="17">
        <f>IF(OR($W183="",$W183=6),"",CHOOSE($W183,"1st Email Follow-up","2nd Email Follow-up","Escalate Local Office","Escalate to CBE","Escalate to Roxanne"))</f>
        <v/>
      </c>
    </row>
    <row r="184" spans="18:26">
      <c r="R184" s="15"/>
      <c r="S184" s="16"/>
      <c r="T184" s="17">
        <f>IF(AND(COUNTA($A184:$K184)=0,$L184=""),"",IF($S184="Paid","PAID",IF($S184="Closed","CLOSED",IF($W184="","",IF($W184=6,"ESCALATED TO ROXANNE",IF(TODAY()&gt;$Y184,"OVERDUE",IF($Y184&lt;=WORKDAY(TODAY(),1,Holidays),"DUE TOMORROW",IF($W184=4,"ESCALATED TO LOCAL OFFICE",IF($W184=5,"ESCALATED TO CBE",IF($X184=TODAY(),"EMAIL SENT","MONITORING"))))))))))</f>
        <v/>
      </c>
      <c r="U184" s="17">
        <f>IF($T184="",IF(AND(COUNTA($A184:$K184)&gt;0,$L184=""),"Awaiting Collection Email time stamp.",""),IF(OR($T184="PAID",$T184="CLOSED"),IF($T184="PAID","Account paid. Action completed.","Account closed. No further action required."),CHOOSE($W184,"Collection Email","1st Email Follow-up","2nd Email Follow-up","Escalation to Local Office","Escalation to CBE","Escalation to Roxanne")&amp;" sent "&amp;TEXT($X184,"dd-mmm")&amp;". "&amp;IF($W184=6,"Final escalation completed.",IF($T184="OVERDUE","Next: "&amp;$Z184&amp;" was due "&amp;TEXT($Y184,"dd-mmm")&amp;" - "&amp;(NETWORKDAYS($Y184,TODAY(),Holidays)-1)&amp;" business day(s) late. Send now.",IF($T184="DUE TOMORROW","Next: "&amp;$Z184&amp;IF($Y184&lt;=TODAY()," is due TODAY ("," is due next business day (")&amp;TEXT($Y184,"dd-mmm")&amp;").","Next: "&amp;$Z184&amp;" due "&amp;TEXT($Y184,"dd-mmm")&amp;" ("&amp;(NETWORKDAYS(TODAY(),$Y184,Holidays)-1)&amp;" business day(s) left).")))))</f>
        <v/>
      </c>
      <c r="V184" s="17">
        <f>IF($W184="","",CHOOSE($W184,"Collection Email","1st Follow-up","2nd Follow-up","Local Office","CBE","Roxanne")&amp;IF($W184=6," - Final"," - Day "&amp;MAX(0,NETWORKDAYS($X184,TODAY(),Holidays)-1)&amp;" of "&amp;CHOOSE($W184,3,3,2,2,3))&amp;" | Total Day "&amp;MAX(0,NETWORKDAYS($L184,TODAY(),Holidays)-1))</f>
        <v/>
      </c>
      <c r="W184" s="17">
        <f>IF($L184="","",COUNT($L184:$Q184))</f>
        <v/>
      </c>
      <c r="X184" s="18">
        <f>IF($W184="","",INT(INDEX($L184:$Q184,$W184)))</f>
        <v/>
      </c>
      <c r="Y184" s="18">
        <f>IF(OR($W184="",$W184=6),"",WORKDAY($X184,CHOOSE($W184,3,3,2,2,3),Holidays))</f>
        <v/>
      </c>
      <c r="Z184" s="17">
        <f>IF(OR($W184="",$W184=6),"",CHOOSE($W184,"1st Email Follow-up","2nd Email Follow-up","Escalate Local Office","Escalate to CBE","Escalate to Roxanne"))</f>
        <v/>
      </c>
    </row>
    <row r="185" spans="18:26">
      <c r="R185" s="15"/>
      <c r="S185" s="16"/>
      <c r="T185" s="17">
        <f>IF(AND(COUNTA($A185:$K185)=0,$L185=""),"",IF($S185="Paid","PAID",IF($S185="Closed","CLOSED",IF($W185="","",IF($W185=6,"ESCALATED TO ROXANNE",IF(TODAY()&gt;$Y185,"OVERDUE",IF($Y185&lt;=WORKDAY(TODAY(),1,Holidays),"DUE TOMORROW",IF($W185=4,"ESCALATED TO LOCAL OFFICE",IF($W185=5,"ESCALATED TO CBE",IF($X185=TODAY(),"EMAIL SENT","MONITORING"))))))))))</f>
        <v/>
      </c>
      <c r="U185" s="17">
        <f>IF($T185="",IF(AND(COUNTA($A185:$K185)&gt;0,$L185=""),"Awaiting Collection Email time stamp.",""),IF(OR($T185="PAID",$T185="CLOSED"),IF($T185="PAID","Account paid. Action completed.","Account closed. No further action required."),CHOOSE($W185,"Collection Email","1st Email Follow-up","2nd Email Follow-up","Escalation to Local Office","Escalation to CBE","Escalation to Roxanne")&amp;" sent "&amp;TEXT($X185,"dd-mmm")&amp;". "&amp;IF($W185=6,"Final escalation completed.",IF($T185="OVERDUE","Next: "&amp;$Z185&amp;" was due "&amp;TEXT($Y185,"dd-mmm")&amp;" - "&amp;(NETWORKDAYS($Y185,TODAY(),Holidays)-1)&amp;" business day(s) late. Send now.",IF($T185="DUE TOMORROW","Next: "&amp;$Z185&amp;IF($Y185&lt;=TODAY()," is due TODAY ("," is due next business day (")&amp;TEXT($Y185,"dd-mmm")&amp;").","Next: "&amp;$Z185&amp;" due "&amp;TEXT($Y185,"dd-mmm")&amp;" ("&amp;(NETWORKDAYS(TODAY(),$Y185,Holidays)-1)&amp;" business day(s) left).")))))</f>
        <v/>
      </c>
      <c r="V185" s="17">
        <f>IF($W185="","",CHOOSE($W185,"Collection Email","1st Follow-up","2nd Follow-up","Local Office","CBE","Roxanne")&amp;IF($W185=6," - Final"," - Day "&amp;MAX(0,NETWORKDAYS($X185,TODAY(),Holidays)-1)&amp;" of "&amp;CHOOSE($W185,3,3,2,2,3))&amp;" | Total Day "&amp;MAX(0,NETWORKDAYS($L185,TODAY(),Holidays)-1))</f>
        <v/>
      </c>
      <c r="W185" s="17">
        <f>IF($L185="","",COUNT($L185:$Q185))</f>
        <v/>
      </c>
      <c r="X185" s="18">
        <f>IF($W185="","",INT(INDEX($L185:$Q185,$W185)))</f>
        <v/>
      </c>
      <c r="Y185" s="18">
        <f>IF(OR($W185="",$W185=6),"",WORKDAY($X185,CHOOSE($W185,3,3,2,2,3),Holidays))</f>
        <v/>
      </c>
      <c r="Z185" s="17">
        <f>IF(OR($W185="",$W185=6),"",CHOOSE($W185,"1st Email Follow-up","2nd Email Follow-up","Escalate Local Office","Escalate to CBE","Escalate to Roxanne"))</f>
        <v/>
      </c>
    </row>
    <row r="186" spans="18:26">
      <c r="R186" s="15"/>
      <c r="S186" s="16"/>
      <c r="T186" s="17">
        <f>IF(AND(COUNTA($A186:$K186)=0,$L186=""),"",IF($S186="Paid","PAID",IF($S186="Closed","CLOSED",IF($W186="","",IF($W186=6,"ESCALATED TO ROXANNE",IF(TODAY()&gt;$Y186,"OVERDUE",IF($Y186&lt;=WORKDAY(TODAY(),1,Holidays),"DUE TOMORROW",IF($W186=4,"ESCALATED TO LOCAL OFFICE",IF($W186=5,"ESCALATED TO CBE",IF($X186=TODAY(),"EMAIL SENT","MONITORING"))))))))))</f>
        <v/>
      </c>
      <c r="U186" s="17">
        <f>IF($T186="",IF(AND(COUNTA($A186:$K186)&gt;0,$L186=""),"Awaiting Collection Email time stamp.",""),IF(OR($T186="PAID",$T186="CLOSED"),IF($T186="PAID","Account paid. Action completed.","Account closed. No further action required."),CHOOSE($W186,"Collection Email","1st Email Follow-up","2nd Email Follow-up","Escalation to Local Office","Escalation to CBE","Escalation to Roxanne")&amp;" sent "&amp;TEXT($X186,"dd-mmm")&amp;". "&amp;IF($W186=6,"Final escalation completed.",IF($T186="OVERDUE","Next: "&amp;$Z186&amp;" was due "&amp;TEXT($Y186,"dd-mmm")&amp;" - "&amp;(NETWORKDAYS($Y186,TODAY(),Holidays)-1)&amp;" business day(s) late. Send now.",IF($T186="DUE TOMORROW","Next: "&amp;$Z186&amp;IF($Y186&lt;=TODAY()," is due TODAY ("," is due next business day (")&amp;TEXT($Y186,"dd-mmm")&amp;").","Next: "&amp;$Z186&amp;" due "&amp;TEXT($Y186,"dd-mmm")&amp;" ("&amp;(NETWORKDAYS(TODAY(),$Y186,Holidays)-1)&amp;" business day(s) left).")))))</f>
        <v/>
      </c>
      <c r="V186" s="17">
        <f>IF($W186="","",CHOOSE($W186,"Collection Email","1st Follow-up","2nd Follow-up","Local Office","CBE","Roxanne")&amp;IF($W186=6," - Final"," - Day "&amp;MAX(0,NETWORKDAYS($X186,TODAY(),Holidays)-1)&amp;" of "&amp;CHOOSE($W186,3,3,2,2,3))&amp;" | Total Day "&amp;MAX(0,NETWORKDAYS($L186,TODAY(),Holidays)-1))</f>
        <v/>
      </c>
      <c r="W186" s="17">
        <f>IF($L186="","",COUNT($L186:$Q186))</f>
        <v/>
      </c>
      <c r="X186" s="18">
        <f>IF($W186="","",INT(INDEX($L186:$Q186,$W186)))</f>
        <v/>
      </c>
      <c r="Y186" s="18">
        <f>IF(OR($W186="",$W186=6),"",WORKDAY($X186,CHOOSE($W186,3,3,2,2,3),Holidays))</f>
        <v/>
      </c>
      <c r="Z186" s="17">
        <f>IF(OR($W186="",$W186=6),"",CHOOSE($W186,"1st Email Follow-up","2nd Email Follow-up","Escalate Local Office","Escalate to CBE","Escalate to Roxanne"))</f>
        <v/>
      </c>
    </row>
    <row r="187" spans="18:26">
      <c r="R187" s="15"/>
      <c r="S187" s="16"/>
      <c r="T187" s="17">
        <f>IF(AND(COUNTA($A187:$K187)=0,$L187=""),"",IF($S187="Paid","PAID",IF($S187="Closed","CLOSED",IF($W187="","",IF($W187=6,"ESCALATED TO ROXANNE",IF(TODAY()&gt;$Y187,"OVERDUE",IF($Y187&lt;=WORKDAY(TODAY(),1,Holidays),"DUE TOMORROW",IF($W187=4,"ESCALATED TO LOCAL OFFICE",IF($W187=5,"ESCALATED TO CBE",IF($X187=TODAY(),"EMAIL SENT","MONITORING"))))))))))</f>
        <v/>
      </c>
      <c r="U187" s="17">
        <f>IF($T187="",IF(AND(COUNTA($A187:$K187)&gt;0,$L187=""),"Awaiting Collection Email time stamp.",""),IF(OR($T187="PAID",$T187="CLOSED"),IF($T187="PAID","Account paid. Action completed.","Account closed. No further action required."),CHOOSE($W187,"Collection Email","1st Email Follow-up","2nd Email Follow-up","Escalation to Local Office","Escalation to CBE","Escalation to Roxanne")&amp;" sent "&amp;TEXT($X187,"dd-mmm")&amp;". "&amp;IF($W187=6,"Final escalation completed.",IF($T187="OVERDUE","Next: "&amp;$Z187&amp;" was due "&amp;TEXT($Y187,"dd-mmm")&amp;" - "&amp;(NETWORKDAYS($Y187,TODAY(),Holidays)-1)&amp;" business day(s) late. Send now.",IF($T187="DUE TOMORROW","Next: "&amp;$Z187&amp;IF($Y187&lt;=TODAY()," is due TODAY ("," is due next business day (")&amp;TEXT($Y187,"dd-mmm")&amp;").","Next: "&amp;$Z187&amp;" due "&amp;TEXT($Y187,"dd-mmm")&amp;" ("&amp;(NETWORKDAYS(TODAY(),$Y187,Holidays)-1)&amp;" business day(s) left).")))))</f>
        <v/>
      </c>
      <c r="V187" s="17">
        <f>IF($W187="","",CHOOSE($W187,"Collection Email","1st Follow-up","2nd Follow-up","Local Office","CBE","Roxanne")&amp;IF($W187=6," - Final"," - Day "&amp;MAX(0,NETWORKDAYS($X187,TODAY(),Holidays)-1)&amp;" of "&amp;CHOOSE($W187,3,3,2,2,3))&amp;" | Total Day "&amp;MAX(0,NETWORKDAYS($L187,TODAY(),Holidays)-1))</f>
        <v/>
      </c>
      <c r="W187" s="17">
        <f>IF($L187="","",COUNT($L187:$Q187))</f>
        <v/>
      </c>
      <c r="X187" s="18">
        <f>IF($W187="","",INT(INDEX($L187:$Q187,$W187)))</f>
        <v/>
      </c>
      <c r="Y187" s="18">
        <f>IF(OR($W187="",$W187=6),"",WORKDAY($X187,CHOOSE($W187,3,3,2,2,3),Holidays))</f>
        <v/>
      </c>
      <c r="Z187" s="17">
        <f>IF(OR($W187="",$W187=6),"",CHOOSE($W187,"1st Email Follow-up","2nd Email Follow-up","Escalate Local Office","Escalate to CBE","Escalate to Roxanne"))</f>
        <v/>
      </c>
    </row>
    <row r="188" spans="18:26">
      <c r="R188" s="15"/>
      <c r="S188" s="16"/>
      <c r="T188" s="17">
        <f>IF(AND(COUNTA($A188:$K188)=0,$L188=""),"",IF($S188="Paid","PAID",IF($S188="Closed","CLOSED",IF($W188="","",IF($W188=6,"ESCALATED TO ROXANNE",IF(TODAY()&gt;$Y188,"OVERDUE",IF($Y188&lt;=WORKDAY(TODAY(),1,Holidays),"DUE TOMORROW",IF($W188=4,"ESCALATED TO LOCAL OFFICE",IF($W188=5,"ESCALATED TO CBE",IF($X188=TODAY(),"EMAIL SENT","MONITORING"))))))))))</f>
        <v/>
      </c>
      <c r="U188" s="17">
        <f>IF($T188="",IF(AND(COUNTA($A188:$K188)&gt;0,$L188=""),"Awaiting Collection Email time stamp.",""),IF(OR($T188="PAID",$T188="CLOSED"),IF($T188="PAID","Account paid. Action completed.","Account closed. No further action required."),CHOOSE($W188,"Collection Email","1st Email Follow-up","2nd Email Follow-up","Escalation to Local Office","Escalation to CBE","Escalation to Roxanne")&amp;" sent "&amp;TEXT($X188,"dd-mmm")&amp;". "&amp;IF($W188=6,"Final escalation completed.",IF($T188="OVERDUE","Next: "&amp;$Z188&amp;" was due "&amp;TEXT($Y188,"dd-mmm")&amp;" - "&amp;(NETWORKDAYS($Y188,TODAY(),Holidays)-1)&amp;" business day(s) late. Send now.",IF($T188="DUE TOMORROW","Next: "&amp;$Z188&amp;IF($Y188&lt;=TODAY()," is due TODAY ("," is due next business day (")&amp;TEXT($Y188,"dd-mmm")&amp;").","Next: "&amp;$Z188&amp;" due "&amp;TEXT($Y188,"dd-mmm")&amp;" ("&amp;(NETWORKDAYS(TODAY(),$Y188,Holidays)-1)&amp;" business day(s) left).")))))</f>
        <v/>
      </c>
      <c r="V188" s="17">
        <f>IF($W188="","",CHOOSE($W188,"Collection Email","1st Follow-up","2nd Follow-up","Local Office","CBE","Roxanne")&amp;IF($W188=6," - Final"," - Day "&amp;MAX(0,NETWORKDAYS($X188,TODAY(),Holidays)-1)&amp;" of "&amp;CHOOSE($W188,3,3,2,2,3))&amp;" | Total Day "&amp;MAX(0,NETWORKDAYS($L188,TODAY(),Holidays)-1))</f>
        <v/>
      </c>
      <c r="W188" s="17">
        <f>IF($L188="","",COUNT($L188:$Q188))</f>
        <v/>
      </c>
      <c r="X188" s="18">
        <f>IF($W188="","",INT(INDEX($L188:$Q188,$W188)))</f>
        <v/>
      </c>
      <c r="Y188" s="18">
        <f>IF(OR($W188="",$W188=6),"",WORKDAY($X188,CHOOSE($W188,3,3,2,2,3),Holidays))</f>
        <v/>
      </c>
      <c r="Z188" s="17">
        <f>IF(OR($W188="",$W188=6),"",CHOOSE($W188,"1st Email Follow-up","2nd Email Follow-up","Escalate Local Office","Escalate to CBE","Escalate to Roxanne"))</f>
        <v/>
      </c>
    </row>
    <row r="189" spans="18:26">
      <c r="R189" s="15"/>
      <c r="S189" s="16"/>
      <c r="T189" s="17">
        <f>IF(AND(COUNTA($A189:$K189)=0,$L189=""),"",IF($S189="Paid","PAID",IF($S189="Closed","CLOSED",IF($W189="","",IF($W189=6,"ESCALATED TO ROXANNE",IF(TODAY()&gt;$Y189,"OVERDUE",IF($Y189&lt;=WORKDAY(TODAY(),1,Holidays),"DUE TOMORROW",IF($W189=4,"ESCALATED TO LOCAL OFFICE",IF($W189=5,"ESCALATED TO CBE",IF($X189=TODAY(),"EMAIL SENT","MONITORING"))))))))))</f>
        <v/>
      </c>
      <c r="U189" s="17">
        <f>IF($T189="",IF(AND(COUNTA($A189:$K189)&gt;0,$L189=""),"Awaiting Collection Email time stamp.",""),IF(OR($T189="PAID",$T189="CLOSED"),IF($T189="PAID","Account paid. Action completed.","Account closed. No further action required."),CHOOSE($W189,"Collection Email","1st Email Follow-up","2nd Email Follow-up","Escalation to Local Office","Escalation to CBE","Escalation to Roxanne")&amp;" sent "&amp;TEXT($X189,"dd-mmm")&amp;". "&amp;IF($W189=6,"Final escalation completed.",IF($T189="OVERDUE","Next: "&amp;$Z189&amp;" was due "&amp;TEXT($Y189,"dd-mmm")&amp;" - "&amp;(NETWORKDAYS($Y189,TODAY(),Holidays)-1)&amp;" business day(s) late. Send now.",IF($T189="DUE TOMORROW","Next: "&amp;$Z189&amp;IF($Y189&lt;=TODAY()," is due TODAY ("," is due next business day (")&amp;TEXT($Y189,"dd-mmm")&amp;").","Next: "&amp;$Z189&amp;" due "&amp;TEXT($Y189,"dd-mmm")&amp;" ("&amp;(NETWORKDAYS(TODAY(),$Y189,Holidays)-1)&amp;" business day(s) left).")))))</f>
        <v/>
      </c>
      <c r="V189" s="17">
        <f>IF($W189="","",CHOOSE($W189,"Collection Email","1st Follow-up","2nd Follow-up","Local Office","CBE","Roxanne")&amp;IF($W189=6," - Final"," - Day "&amp;MAX(0,NETWORKDAYS($X189,TODAY(),Holidays)-1)&amp;" of "&amp;CHOOSE($W189,3,3,2,2,3))&amp;" | Total Day "&amp;MAX(0,NETWORKDAYS($L189,TODAY(),Holidays)-1))</f>
        <v/>
      </c>
      <c r="W189" s="17">
        <f>IF($L189="","",COUNT($L189:$Q189))</f>
        <v/>
      </c>
      <c r="X189" s="18">
        <f>IF($W189="","",INT(INDEX($L189:$Q189,$W189)))</f>
        <v/>
      </c>
      <c r="Y189" s="18">
        <f>IF(OR($W189="",$W189=6),"",WORKDAY($X189,CHOOSE($W189,3,3,2,2,3),Holidays))</f>
        <v/>
      </c>
      <c r="Z189" s="17">
        <f>IF(OR($W189="",$W189=6),"",CHOOSE($W189,"1st Email Follow-up","2nd Email Follow-up","Escalate Local Office","Escalate to CBE","Escalate to Roxanne"))</f>
        <v/>
      </c>
    </row>
    <row r="190" spans="18:26">
      <c r="R190" s="15"/>
      <c r="S190" s="16"/>
      <c r="T190" s="17">
        <f>IF(AND(COUNTA($A190:$K190)=0,$L190=""),"",IF($S190="Paid","PAID",IF($S190="Closed","CLOSED",IF($W190="","",IF($W190=6,"ESCALATED TO ROXANNE",IF(TODAY()&gt;$Y190,"OVERDUE",IF($Y190&lt;=WORKDAY(TODAY(),1,Holidays),"DUE TOMORROW",IF($W190=4,"ESCALATED TO LOCAL OFFICE",IF($W190=5,"ESCALATED TO CBE",IF($X190=TODAY(),"EMAIL SENT","MONITORING"))))))))))</f>
        <v/>
      </c>
      <c r="U190" s="17">
        <f>IF($T190="",IF(AND(COUNTA($A190:$K190)&gt;0,$L190=""),"Awaiting Collection Email time stamp.",""),IF(OR($T190="PAID",$T190="CLOSED"),IF($T190="PAID","Account paid. Action completed.","Account closed. No further action required."),CHOOSE($W190,"Collection Email","1st Email Follow-up","2nd Email Follow-up","Escalation to Local Office","Escalation to CBE","Escalation to Roxanne")&amp;" sent "&amp;TEXT($X190,"dd-mmm")&amp;". "&amp;IF($W190=6,"Final escalation completed.",IF($T190="OVERDUE","Next: "&amp;$Z190&amp;" was due "&amp;TEXT($Y190,"dd-mmm")&amp;" - "&amp;(NETWORKDAYS($Y190,TODAY(),Holidays)-1)&amp;" business day(s) late. Send now.",IF($T190="DUE TOMORROW","Next: "&amp;$Z190&amp;IF($Y190&lt;=TODAY()," is due TODAY ("," is due next business day (")&amp;TEXT($Y190,"dd-mmm")&amp;").","Next: "&amp;$Z190&amp;" due "&amp;TEXT($Y190,"dd-mmm")&amp;" ("&amp;(NETWORKDAYS(TODAY(),$Y190,Holidays)-1)&amp;" business day(s) left).")))))</f>
        <v/>
      </c>
      <c r="V190" s="17">
        <f>IF($W190="","",CHOOSE($W190,"Collection Email","1st Follow-up","2nd Follow-up","Local Office","CBE","Roxanne")&amp;IF($W190=6," - Final"," - Day "&amp;MAX(0,NETWORKDAYS($X190,TODAY(),Holidays)-1)&amp;" of "&amp;CHOOSE($W190,3,3,2,2,3))&amp;" | Total Day "&amp;MAX(0,NETWORKDAYS($L190,TODAY(),Holidays)-1))</f>
        <v/>
      </c>
      <c r="W190" s="17">
        <f>IF($L190="","",COUNT($L190:$Q190))</f>
        <v/>
      </c>
      <c r="X190" s="18">
        <f>IF($W190="","",INT(INDEX($L190:$Q190,$W190)))</f>
        <v/>
      </c>
      <c r="Y190" s="18">
        <f>IF(OR($W190="",$W190=6),"",WORKDAY($X190,CHOOSE($W190,3,3,2,2,3),Holidays))</f>
        <v/>
      </c>
      <c r="Z190" s="17">
        <f>IF(OR($W190="",$W190=6),"",CHOOSE($W190,"1st Email Follow-up","2nd Email Follow-up","Escalate Local Office","Escalate to CBE","Escalate to Roxanne"))</f>
        <v/>
      </c>
    </row>
    <row r="191" spans="18:26">
      <c r="R191" s="15"/>
      <c r="S191" s="16"/>
      <c r="T191" s="17">
        <f>IF(AND(COUNTA($A191:$K191)=0,$L191=""),"",IF($S191="Paid","PAID",IF($S191="Closed","CLOSED",IF($W191="","",IF($W191=6,"ESCALATED TO ROXANNE",IF(TODAY()&gt;$Y191,"OVERDUE",IF($Y191&lt;=WORKDAY(TODAY(),1,Holidays),"DUE TOMORROW",IF($W191=4,"ESCALATED TO LOCAL OFFICE",IF($W191=5,"ESCALATED TO CBE",IF($X191=TODAY(),"EMAIL SENT","MONITORING"))))))))))</f>
        <v/>
      </c>
      <c r="U191" s="17">
        <f>IF($T191="",IF(AND(COUNTA($A191:$K191)&gt;0,$L191=""),"Awaiting Collection Email time stamp.",""),IF(OR($T191="PAID",$T191="CLOSED"),IF($T191="PAID","Account paid. Action completed.","Account closed. No further action required."),CHOOSE($W191,"Collection Email","1st Email Follow-up","2nd Email Follow-up","Escalation to Local Office","Escalation to CBE","Escalation to Roxanne")&amp;" sent "&amp;TEXT($X191,"dd-mmm")&amp;". "&amp;IF($W191=6,"Final escalation completed.",IF($T191="OVERDUE","Next: "&amp;$Z191&amp;" was due "&amp;TEXT($Y191,"dd-mmm")&amp;" - "&amp;(NETWORKDAYS($Y191,TODAY(),Holidays)-1)&amp;" business day(s) late. Send now.",IF($T191="DUE TOMORROW","Next: "&amp;$Z191&amp;IF($Y191&lt;=TODAY()," is due TODAY ("," is due next business day (")&amp;TEXT($Y191,"dd-mmm")&amp;").","Next: "&amp;$Z191&amp;" due "&amp;TEXT($Y191,"dd-mmm")&amp;" ("&amp;(NETWORKDAYS(TODAY(),$Y191,Holidays)-1)&amp;" business day(s) left).")))))</f>
        <v/>
      </c>
      <c r="V191" s="17">
        <f>IF($W191="","",CHOOSE($W191,"Collection Email","1st Follow-up","2nd Follow-up","Local Office","CBE","Roxanne")&amp;IF($W191=6," - Final"," - Day "&amp;MAX(0,NETWORKDAYS($X191,TODAY(),Holidays)-1)&amp;" of "&amp;CHOOSE($W191,3,3,2,2,3))&amp;" | Total Day "&amp;MAX(0,NETWORKDAYS($L191,TODAY(),Holidays)-1))</f>
        <v/>
      </c>
      <c r="W191" s="17">
        <f>IF($L191="","",COUNT($L191:$Q191))</f>
        <v/>
      </c>
      <c r="X191" s="18">
        <f>IF($W191="","",INT(INDEX($L191:$Q191,$W191)))</f>
        <v/>
      </c>
      <c r="Y191" s="18">
        <f>IF(OR($W191="",$W191=6),"",WORKDAY($X191,CHOOSE($W191,3,3,2,2,3),Holidays))</f>
        <v/>
      </c>
      <c r="Z191" s="17">
        <f>IF(OR($W191="",$W191=6),"",CHOOSE($W191,"1st Email Follow-up","2nd Email Follow-up","Escalate Local Office","Escalate to CBE","Escalate to Roxanne"))</f>
        <v/>
      </c>
    </row>
    <row r="192" spans="18:26">
      <c r="R192" s="15"/>
      <c r="S192" s="16"/>
      <c r="T192" s="17">
        <f>IF(AND(COUNTA($A192:$K192)=0,$L192=""),"",IF($S192="Paid","PAID",IF($S192="Closed","CLOSED",IF($W192="","",IF($W192=6,"ESCALATED TO ROXANNE",IF(TODAY()&gt;$Y192,"OVERDUE",IF($Y192&lt;=WORKDAY(TODAY(),1,Holidays),"DUE TOMORROW",IF($W192=4,"ESCALATED TO LOCAL OFFICE",IF($W192=5,"ESCALATED TO CBE",IF($X192=TODAY(),"EMAIL SENT","MONITORING"))))))))))</f>
        <v/>
      </c>
      <c r="U192" s="17">
        <f>IF($T192="",IF(AND(COUNTA($A192:$K192)&gt;0,$L192=""),"Awaiting Collection Email time stamp.",""),IF(OR($T192="PAID",$T192="CLOSED"),IF($T192="PAID","Account paid. Action completed.","Account closed. No further action required."),CHOOSE($W192,"Collection Email","1st Email Follow-up","2nd Email Follow-up","Escalation to Local Office","Escalation to CBE","Escalation to Roxanne")&amp;" sent "&amp;TEXT($X192,"dd-mmm")&amp;". "&amp;IF($W192=6,"Final escalation completed.",IF($T192="OVERDUE","Next: "&amp;$Z192&amp;" was due "&amp;TEXT($Y192,"dd-mmm")&amp;" - "&amp;(NETWORKDAYS($Y192,TODAY(),Holidays)-1)&amp;" business day(s) late. Send now.",IF($T192="DUE TOMORROW","Next: "&amp;$Z192&amp;IF($Y192&lt;=TODAY()," is due TODAY ("," is due next business day (")&amp;TEXT($Y192,"dd-mmm")&amp;").","Next: "&amp;$Z192&amp;" due "&amp;TEXT($Y192,"dd-mmm")&amp;" ("&amp;(NETWORKDAYS(TODAY(),$Y192,Holidays)-1)&amp;" business day(s) left).")))))</f>
        <v/>
      </c>
      <c r="V192" s="17">
        <f>IF($W192="","",CHOOSE($W192,"Collection Email","1st Follow-up","2nd Follow-up","Local Office","CBE","Roxanne")&amp;IF($W192=6," - Final"," - Day "&amp;MAX(0,NETWORKDAYS($X192,TODAY(),Holidays)-1)&amp;" of "&amp;CHOOSE($W192,3,3,2,2,3))&amp;" | Total Day "&amp;MAX(0,NETWORKDAYS($L192,TODAY(),Holidays)-1))</f>
        <v/>
      </c>
      <c r="W192" s="17">
        <f>IF($L192="","",COUNT($L192:$Q192))</f>
        <v/>
      </c>
      <c r="X192" s="18">
        <f>IF($W192="","",INT(INDEX($L192:$Q192,$W192)))</f>
        <v/>
      </c>
      <c r="Y192" s="18">
        <f>IF(OR($W192="",$W192=6),"",WORKDAY($X192,CHOOSE($W192,3,3,2,2,3),Holidays))</f>
        <v/>
      </c>
      <c r="Z192" s="17">
        <f>IF(OR($W192="",$W192=6),"",CHOOSE($W192,"1st Email Follow-up","2nd Email Follow-up","Escalate Local Office","Escalate to CBE","Escalate to Roxanne"))</f>
        <v/>
      </c>
    </row>
    <row r="193" spans="18:26">
      <c r="R193" s="15"/>
      <c r="S193" s="16"/>
      <c r="T193" s="17">
        <f>IF(AND(COUNTA($A193:$K193)=0,$L193=""),"",IF($S193="Paid","PAID",IF($S193="Closed","CLOSED",IF($W193="","",IF($W193=6,"ESCALATED TO ROXANNE",IF(TODAY()&gt;$Y193,"OVERDUE",IF($Y193&lt;=WORKDAY(TODAY(),1,Holidays),"DUE TOMORROW",IF($W193=4,"ESCALATED TO LOCAL OFFICE",IF($W193=5,"ESCALATED TO CBE",IF($X193=TODAY(),"EMAIL SENT","MONITORING"))))))))))</f>
        <v/>
      </c>
      <c r="U193" s="17">
        <f>IF($T193="",IF(AND(COUNTA($A193:$K193)&gt;0,$L193=""),"Awaiting Collection Email time stamp.",""),IF(OR($T193="PAID",$T193="CLOSED"),IF($T193="PAID","Account paid. Action completed.","Account closed. No further action required."),CHOOSE($W193,"Collection Email","1st Email Follow-up","2nd Email Follow-up","Escalation to Local Office","Escalation to CBE","Escalation to Roxanne")&amp;" sent "&amp;TEXT($X193,"dd-mmm")&amp;". "&amp;IF($W193=6,"Final escalation completed.",IF($T193="OVERDUE","Next: "&amp;$Z193&amp;" was due "&amp;TEXT($Y193,"dd-mmm")&amp;" - "&amp;(NETWORKDAYS($Y193,TODAY(),Holidays)-1)&amp;" business day(s) late. Send now.",IF($T193="DUE TOMORROW","Next: "&amp;$Z193&amp;IF($Y193&lt;=TODAY()," is due TODAY ("," is due next business day (")&amp;TEXT($Y193,"dd-mmm")&amp;").","Next: "&amp;$Z193&amp;" due "&amp;TEXT($Y193,"dd-mmm")&amp;" ("&amp;(NETWORKDAYS(TODAY(),$Y193,Holidays)-1)&amp;" business day(s) left).")))))</f>
        <v/>
      </c>
      <c r="V193" s="17">
        <f>IF($W193="","",CHOOSE($W193,"Collection Email","1st Follow-up","2nd Follow-up","Local Office","CBE","Roxanne")&amp;IF($W193=6," - Final"," - Day "&amp;MAX(0,NETWORKDAYS($X193,TODAY(),Holidays)-1)&amp;" of "&amp;CHOOSE($W193,3,3,2,2,3))&amp;" | Total Day "&amp;MAX(0,NETWORKDAYS($L193,TODAY(),Holidays)-1))</f>
        <v/>
      </c>
      <c r="W193" s="17">
        <f>IF($L193="","",COUNT($L193:$Q193))</f>
        <v/>
      </c>
      <c r="X193" s="18">
        <f>IF($W193="","",INT(INDEX($L193:$Q193,$W193)))</f>
        <v/>
      </c>
      <c r="Y193" s="18">
        <f>IF(OR($W193="",$W193=6),"",WORKDAY($X193,CHOOSE($W193,3,3,2,2,3),Holidays))</f>
        <v/>
      </c>
      <c r="Z193" s="17">
        <f>IF(OR($W193="",$W193=6),"",CHOOSE($W193,"1st Email Follow-up","2nd Email Follow-up","Escalate Local Office","Escalate to CBE","Escalate to Roxanne"))</f>
        <v/>
      </c>
    </row>
    <row r="194" spans="18:26">
      <c r="R194" s="15"/>
      <c r="S194" s="16"/>
      <c r="T194" s="17">
        <f>IF(AND(COUNTA($A194:$K194)=0,$L194=""),"",IF($S194="Paid","PAID",IF($S194="Closed","CLOSED",IF($W194="","",IF($W194=6,"ESCALATED TO ROXANNE",IF(TODAY()&gt;$Y194,"OVERDUE",IF($Y194&lt;=WORKDAY(TODAY(),1,Holidays),"DUE TOMORROW",IF($W194=4,"ESCALATED TO LOCAL OFFICE",IF($W194=5,"ESCALATED TO CBE",IF($X194=TODAY(),"EMAIL SENT","MONITORING"))))))))))</f>
        <v/>
      </c>
      <c r="U194" s="17">
        <f>IF($T194="",IF(AND(COUNTA($A194:$K194)&gt;0,$L194=""),"Awaiting Collection Email time stamp.",""),IF(OR($T194="PAID",$T194="CLOSED"),IF($T194="PAID","Account paid. Action completed.","Account closed. No further action required."),CHOOSE($W194,"Collection Email","1st Email Follow-up","2nd Email Follow-up","Escalation to Local Office","Escalation to CBE","Escalation to Roxanne")&amp;" sent "&amp;TEXT($X194,"dd-mmm")&amp;". "&amp;IF($W194=6,"Final escalation completed.",IF($T194="OVERDUE","Next: "&amp;$Z194&amp;" was due "&amp;TEXT($Y194,"dd-mmm")&amp;" - "&amp;(NETWORKDAYS($Y194,TODAY(),Holidays)-1)&amp;" business day(s) late. Send now.",IF($T194="DUE TOMORROW","Next: "&amp;$Z194&amp;IF($Y194&lt;=TODAY()," is due TODAY ("," is due next business day (")&amp;TEXT($Y194,"dd-mmm")&amp;").","Next: "&amp;$Z194&amp;" due "&amp;TEXT($Y194,"dd-mmm")&amp;" ("&amp;(NETWORKDAYS(TODAY(),$Y194,Holidays)-1)&amp;" business day(s) left).")))))</f>
        <v/>
      </c>
      <c r="V194" s="17">
        <f>IF($W194="","",CHOOSE($W194,"Collection Email","1st Follow-up","2nd Follow-up","Local Office","CBE","Roxanne")&amp;IF($W194=6," - Final"," - Day "&amp;MAX(0,NETWORKDAYS($X194,TODAY(),Holidays)-1)&amp;" of "&amp;CHOOSE($W194,3,3,2,2,3))&amp;" | Total Day "&amp;MAX(0,NETWORKDAYS($L194,TODAY(),Holidays)-1))</f>
        <v/>
      </c>
      <c r="W194" s="17">
        <f>IF($L194="","",COUNT($L194:$Q194))</f>
        <v/>
      </c>
      <c r="X194" s="18">
        <f>IF($W194="","",INT(INDEX($L194:$Q194,$W194)))</f>
        <v/>
      </c>
      <c r="Y194" s="18">
        <f>IF(OR($W194="",$W194=6),"",WORKDAY($X194,CHOOSE($W194,3,3,2,2,3),Holidays))</f>
        <v/>
      </c>
      <c r="Z194" s="17">
        <f>IF(OR($W194="",$W194=6),"",CHOOSE($W194,"1st Email Follow-up","2nd Email Follow-up","Escalate Local Office","Escalate to CBE","Escalate to Roxanne"))</f>
        <v/>
      </c>
    </row>
    <row r="195" spans="18:26">
      <c r="R195" s="15"/>
      <c r="S195" s="16"/>
      <c r="T195" s="17">
        <f>IF(AND(COUNTA($A195:$K195)=0,$L195=""),"",IF($S195="Paid","PAID",IF($S195="Closed","CLOSED",IF($W195="","",IF($W195=6,"ESCALATED TO ROXANNE",IF(TODAY()&gt;$Y195,"OVERDUE",IF($Y195&lt;=WORKDAY(TODAY(),1,Holidays),"DUE TOMORROW",IF($W195=4,"ESCALATED TO LOCAL OFFICE",IF($W195=5,"ESCALATED TO CBE",IF($X195=TODAY(),"EMAIL SENT","MONITORING"))))))))))</f>
        <v/>
      </c>
      <c r="U195" s="17">
        <f>IF($T195="",IF(AND(COUNTA($A195:$K195)&gt;0,$L195=""),"Awaiting Collection Email time stamp.",""),IF(OR($T195="PAID",$T195="CLOSED"),IF($T195="PAID","Account paid. Action completed.","Account closed. No further action required."),CHOOSE($W195,"Collection Email","1st Email Follow-up","2nd Email Follow-up","Escalation to Local Office","Escalation to CBE","Escalation to Roxanne")&amp;" sent "&amp;TEXT($X195,"dd-mmm")&amp;". "&amp;IF($W195=6,"Final escalation completed.",IF($T195="OVERDUE","Next: "&amp;$Z195&amp;" was due "&amp;TEXT($Y195,"dd-mmm")&amp;" - "&amp;(NETWORKDAYS($Y195,TODAY(),Holidays)-1)&amp;" business day(s) late. Send now.",IF($T195="DUE TOMORROW","Next: "&amp;$Z195&amp;IF($Y195&lt;=TODAY()," is due TODAY ("," is due next business day (")&amp;TEXT($Y195,"dd-mmm")&amp;").","Next: "&amp;$Z195&amp;" due "&amp;TEXT($Y195,"dd-mmm")&amp;" ("&amp;(NETWORKDAYS(TODAY(),$Y195,Holidays)-1)&amp;" business day(s) left).")))))</f>
        <v/>
      </c>
      <c r="V195" s="17">
        <f>IF($W195="","",CHOOSE($W195,"Collection Email","1st Follow-up","2nd Follow-up","Local Office","CBE","Roxanne")&amp;IF($W195=6," - Final"," - Day "&amp;MAX(0,NETWORKDAYS($X195,TODAY(),Holidays)-1)&amp;" of "&amp;CHOOSE($W195,3,3,2,2,3))&amp;" | Total Day "&amp;MAX(0,NETWORKDAYS($L195,TODAY(),Holidays)-1))</f>
        <v/>
      </c>
      <c r="W195" s="17">
        <f>IF($L195="","",COUNT($L195:$Q195))</f>
        <v/>
      </c>
      <c r="X195" s="18">
        <f>IF($W195="","",INT(INDEX($L195:$Q195,$W195)))</f>
        <v/>
      </c>
      <c r="Y195" s="18">
        <f>IF(OR($W195="",$W195=6),"",WORKDAY($X195,CHOOSE($W195,3,3,2,2,3),Holidays))</f>
        <v/>
      </c>
      <c r="Z195" s="17">
        <f>IF(OR($W195="",$W195=6),"",CHOOSE($W195,"1st Email Follow-up","2nd Email Follow-up","Escalate Local Office","Escalate to CBE","Escalate to Roxanne"))</f>
        <v/>
      </c>
    </row>
    <row r="196" spans="18:26">
      <c r="R196" s="15"/>
      <c r="S196" s="16"/>
      <c r="T196" s="17">
        <f>IF(AND(COUNTA($A196:$K196)=0,$L196=""),"",IF($S196="Paid","PAID",IF($S196="Closed","CLOSED",IF($W196="","",IF($W196=6,"ESCALATED TO ROXANNE",IF(TODAY()&gt;$Y196,"OVERDUE",IF($Y196&lt;=WORKDAY(TODAY(),1,Holidays),"DUE TOMORROW",IF($W196=4,"ESCALATED TO LOCAL OFFICE",IF($W196=5,"ESCALATED TO CBE",IF($X196=TODAY(),"EMAIL SENT","MONITORING"))))))))))</f>
        <v/>
      </c>
      <c r="U196" s="17">
        <f>IF($T196="",IF(AND(COUNTA($A196:$K196)&gt;0,$L196=""),"Awaiting Collection Email time stamp.",""),IF(OR($T196="PAID",$T196="CLOSED"),IF($T196="PAID","Account paid. Action completed.","Account closed. No further action required."),CHOOSE($W196,"Collection Email","1st Email Follow-up","2nd Email Follow-up","Escalation to Local Office","Escalation to CBE","Escalation to Roxanne")&amp;" sent "&amp;TEXT($X196,"dd-mmm")&amp;". "&amp;IF($W196=6,"Final escalation completed.",IF($T196="OVERDUE","Next: "&amp;$Z196&amp;" was due "&amp;TEXT($Y196,"dd-mmm")&amp;" - "&amp;(NETWORKDAYS($Y196,TODAY(),Holidays)-1)&amp;" business day(s) late. Send now.",IF($T196="DUE TOMORROW","Next: "&amp;$Z196&amp;IF($Y196&lt;=TODAY()," is due TODAY ("," is due next business day (")&amp;TEXT($Y196,"dd-mmm")&amp;").","Next: "&amp;$Z196&amp;" due "&amp;TEXT($Y196,"dd-mmm")&amp;" ("&amp;(NETWORKDAYS(TODAY(),$Y196,Holidays)-1)&amp;" business day(s) left).")))))</f>
        <v/>
      </c>
      <c r="V196" s="17">
        <f>IF($W196="","",CHOOSE($W196,"Collection Email","1st Follow-up","2nd Follow-up","Local Office","CBE","Roxanne")&amp;IF($W196=6," - Final"," - Day "&amp;MAX(0,NETWORKDAYS($X196,TODAY(),Holidays)-1)&amp;" of "&amp;CHOOSE($W196,3,3,2,2,3))&amp;" | Total Day "&amp;MAX(0,NETWORKDAYS($L196,TODAY(),Holidays)-1))</f>
        <v/>
      </c>
      <c r="W196" s="17">
        <f>IF($L196="","",COUNT($L196:$Q196))</f>
        <v/>
      </c>
      <c r="X196" s="18">
        <f>IF($W196="","",INT(INDEX($L196:$Q196,$W196)))</f>
        <v/>
      </c>
      <c r="Y196" s="18">
        <f>IF(OR($W196="",$W196=6),"",WORKDAY($X196,CHOOSE($W196,3,3,2,2,3),Holidays))</f>
        <v/>
      </c>
      <c r="Z196" s="17">
        <f>IF(OR($W196="",$W196=6),"",CHOOSE($W196,"1st Email Follow-up","2nd Email Follow-up","Escalate Local Office","Escalate to CBE","Escalate to Roxanne"))</f>
        <v/>
      </c>
    </row>
    <row r="197" spans="18:26">
      <c r="R197" s="15"/>
      <c r="S197" s="16"/>
      <c r="T197" s="17">
        <f>IF(AND(COUNTA($A197:$K197)=0,$L197=""),"",IF($S197="Paid","PAID",IF($S197="Closed","CLOSED",IF($W197="","",IF($W197=6,"ESCALATED TO ROXANNE",IF(TODAY()&gt;$Y197,"OVERDUE",IF($Y197&lt;=WORKDAY(TODAY(),1,Holidays),"DUE TOMORROW",IF($W197=4,"ESCALATED TO LOCAL OFFICE",IF($W197=5,"ESCALATED TO CBE",IF($X197=TODAY(),"EMAIL SENT","MONITORING"))))))))))</f>
        <v/>
      </c>
      <c r="U197" s="17">
        <f>IF($T197="",IF(AND(COUNTA($A197:$K197)&gt;0,$L197=""),"Awaiting Collection Email time stamp.",""),IF(OR($T197="PAID",$T197="CLOSED"),IF($T197="PAID","Account paid. Action completed.","Account closed. No further action required."),CHOOSE($W197,"Collection Email","1st Email Follow-up","2nd Email Follow-up","Escalation to Local Office","Escalation to CBE","Escalation to Roxanne")&amp;" sent "&amp;TEXT($X197,"dd-mmm")&amp;". "&amp;IF($W197=6,"Final escalation completed.",IF($T197="OVERDUE","Next: "&amp;$Z197&amp;" was due "&amp;TEXT($Y197,"dd-mmm")&amp;" - "&amp;(NETWORKDAYS($Y197,TODAY(),Holidays)-1)&amp;" business day(s) late. Send now.",IF($T197="DUE TOMORROW","Next: "&amp;$Z197&amp;IF($Y197&lt;=TODAY()," is due TODAY ("," is due next business day (")&amp;TEXT($Y197,"dd-mmm")&amp;").","Next: "&amp;$Z197&amp;" due "&amp;TEXT($Y197,"dd-mmm")&amp;" ("&amp;(NETWORKDAYS(TODAY(),$Y197,Holidays)-1)&amp;" business day(s) left).")))))</f>
        <v/>
      </c>
      <c r="V197" s="17">
        <f>IF($W197="","",CHOOSE($W197,"Collection Email","1st Follow-up","2nd Follow-up","Local Office","CBE","Roxanne")&amp;IF($W197=6," - Final"," - Day "&amp;MAX(0,NETWORKDAYS($X197,TODAY(),Holidays)-1)&amp;" of "&amp;CHOOSE($W197,3,3,2,2,3))&amp;" | Total Day "&amp;MAX(0,NETWORKDAYS($L197,TODAY(),Holidays)-1))</f>
        <v/>
      </c>
      <c r="W197" s="17">
        <f>IF($L197="","",COUNT($L197:$Q197))</f>
        <v/>
      </c>
      <c r="X197" s="18">
        <f>IF($W197="","",INT(INDEX($L197:$Q197,$W197)))</f>
        <v/>
      </c>
      <c r="Y197" s="18">
        <f>IF(OR($W197="",$W197=6),"",WORKDAY($X197,CHOOSE($W197,3,3,2,2,3),Holidays))</f>
        <v/>
      </c>
      <c r="Z197" s="17">
        <f>IF(OR($W197="",$W197=6),"",CHOOSE($W197,"1st Email Follow-up","2nd Email Follow-up","Escalate Local Office","Escalate to CBE","Escalate to Roxanne"))</f>
        <v/>
      </c>
    </row>
    <row r="198" spans="18:26">
      <c r="R198" s="15"/>
      <c r="S198" s="16"/>
      <c r="T198" s="17">
        <f>IF(AND(COUNTA($A198:$K198)=0,$L198=""),"",IF($S198="Paid","PAID",IF($S198="Closed","CLOSED",IF($W198="","",IF($W198=6,"ESCALATED TO ROXANNE",IF(TODAY()&gt;$Y198,"OVERDUE",IF($Y198&lt;=WORKDAY(TODAY(),1,Holidays),"DUE TOMORROW",IF($W198=4,"ESCALATED TO LOCAL OFFICE",IF($W198=5,"ESCALATED TO CBE",IF($X198=TODAY(),"EMAIL SENT","MONITORING"))))))))))</f>
        <v/>
      </c>
      <c r="U198" s="17">
        <f>IF($T198="",IF(AND(COUNTA($A198:$K198)&gt;0,$L198=""),"Awaiting Collection Email time stamp.",""),IF(OR($T198="PAID",$T198="CLOSED"),IF($T198="PAID","Account paid. Action completed.","Account closed. No further action required."),CHOOSE($W198,"Collection Email","1st Email Follow-up","2nd Email Follow-up","Escalation to Local Office","Escalation to CBE","Escalation to Roxanne")&amp;" sent "&amp;TEXT($X198,"dd-mmm")&amp;". "&amp;IF($W198=6,"Final escalation completed.",IF($T198="OVERDUE","Next: "&amp;$Z198&amp;" was due "&amp;TEXT($Y198,"dd-mmm")&amp;" - "&amp;(NETWORKDAYS($Y198,TODAY(),Holidays)-1)&amp;" business day(s) late. Send now.",IF($T198="DUE TOMORROW","Next: "&amp;$Z198&amp;IF($Y198&lt;=TODAY()," is due TODAY ("," is due next business day (")&amp;TEXT($Y198,"dd-mmm")&amp;").","Next: "&amp;$Z198&amp;" due "&amp;TEXT($Y198,"dd-mmm")&amp;" ("&amp;(NETWORKDAYS(TODAY(),$Y198,Holidays)-1)&amp;" business day(s) left).")))))</f>
        <v/>
      </c>
      <c r="V198" s="17">
        <f>IF($W198="","",CHOOSE($W198,"Collection Email","1st Follow-up","2nd Follow-up","Local Office","CBE","Roxanne")&amp;IF($W198=6," - Final"," - Day "&amp;MAX(0,NETWORKDAYS($X198,TODAY(),Holidays)-1)&amp;" of "&amp;CHOOSE($W198,3,3,2,2,3))&amp;" | Total Day "&amp;MAX(0,NETWORKDAYS($L198,TODAY(),Holidays)-1))</f>
        <v/>
      </c>
      <c r="W198" s="17">
        <f>IF($L198="","",COUNT($L198:$Q198))</f>
        <v/>
      </c>
      <c r="X198" s="18">
        <f>IF($W198="","",INT(INDEX($L198:$Q198,$W198)))</f>
        <v/>
      </c>
      <c r="Y198" s="18">
        <f>IF(OR($W198="",$W198=6),"",WORKDAY($X198,CHOOSE($W198,3,3,2,2,3),Holidays))</f>
        <v/>
      </c>
      <c r="Z198" s="17">
        <f>IF(OR($W198="",$W198=6),"",CHOOSE($W198,"1st Email Follow-up","2nd Email Follow-up","Escalate Local Office","Escalate to CBE","Escalate to Roxanne"))</f>
        <v/>
      </c>
    </row>
    <row r="199" spans="18:26">
      <c r="R199" s="15"/>
      <c r="S199" s="16"/>
      <c r="T199" s="17">
        <f>IF(AND(COUNTA($A199:$K199)=0,$L199=""),"",IF($S199="Paid","PAID",IF($S199="Closed","CLOSED",IF($W199="","",IF($W199=6,"ESCALATED TO ROXANNE",IF(TODAY()&gt;$Y199,"OVERDUE",IF($Y199&lt;=WORKDAY(TODAY(),1,Holidays),"DUE TOMORROW",IF($W199=4,"ESCALATED TO LOCAL OFFICE",IF($W199=5,"ESCALATED TO CBE",IF($X199=TODAY(),"EMAIL SENT","MONITORING"))))))))))</f>
        <v/>
      </c>
      <c r="U199" s="17">
        <f>IF($T199="",IF(AND(COUNTA($A199:$K199)&gt;0,$L199=""),"Awaiting Collection Email time stamp.",""),IF(OR($T199="PAID",$T199="CLOSED"),IF($T199="PAID","Account paid. Action completed.","Account closed. No further action required."),CHOOSE($W199,"Collection Email","1st Email Follow-up","2nd Email Follow-up","Escalation to Local Office","Escalation to CBE","Escalation to Roxanne")&amp;" sent "&amp;TEXT($X199,"dd-mmm")&amp;". "&amp;IF($W199=6,"Final escalation completed.",IF($T199="OVERDUE","Next: "&amp;$Z199&amp;" was due "&amp;TEXT($Y199,"dd-mmm")&amp;" - "&amp;(NETWORKDAYS($Y199,TODAY(),Holidays)-1)&amp;" business day(s) late. Send now.",IF($T199="DUE TOMORROW","Next: "&amp;$Z199&amp;IF($Y199&lt;=TODAY()," is due TODAY ("," is due next business day (")&amp;TEXT($Y199,"dd-mmm")&amp;").","Next: "&amp;$Z199&amp;" due "&amp;TEXT($Y199,"dd-mmm")&amp;" ("&amp;(NETWORKDAYS(TODAY(),$Y199,Holidays)-1)&amp;" business day(s) left).")))))</f>
        <v/>
      </c>
      <c r="V199" s="17">
        <f>IF($W199="","",CHOOSE($W199,"Collection Email","1st Follow-up","2nd Follow-up","Local Office","CBE","Roxanne")&amp;IF($W199=6," - Final"," - Day "&amp;MAX(0,NETWORKDAYS($X199,TODAY(),Holidays)-1)&amp;" of "&amp;CHOOSE($W199,3,3,2,2,3))&amp;" | Total Day "&amp;MAX(0,NETWORKDAYS($L199,TODAY(),Holidays)-1))</f>
        <v/>
      </c>
      <c r="W199" s="17">
        <f>IF($L199="","",COUNT($L199:$Q199))</f>
        <v/>
      </c>
      <c r="X199" s="18">
        <f>IF($W199="","",INT(INDEX($L199:$Q199,$W199)))</f>
        <v/>
      </c>
      <c r="Y199" s="18">
        <f>IF(OR($W199="",$W199=6),"",WORKDAY($X199,CHOOSE($W199,3,3,2,2,3),Holidays))</f>
        <v/>
      </c>
      <c r="Z199" s="17">
        <f>IF(OR($W199="",$W199=6),"",CHOOSE($W199,"1st Email Follow-up","2nd Email Follow-up","Escalate Local Office","Escalate to CBE","Escalate to Roxanne"))</f>
        <v/>
      </c>
    </row>
    <row r="200" spans="18:26">
      <c r="R200" s="15"/>
      <c r="S200" s="16"/>
      <c r="T200" s="17">
        <f>IF(AND(COUNTA($A200:$K200)=0,$L200=""),"",IF($S200="Paid","PAID",IF($S200="Closed","CLOSED",IF($W200="","",IF($W200=6,"ESCALATED TO ROXANNE",IF(TODAY()&gt;$Y200,"OVERDUE",IF($Y200&lt;=WORKDAY(TODAY(),1,Holidays),"DUE TOMORROW",IF($W200=4,"ESCALATED TO LOCAL OFFICE",IF($W200=5,"ESCALATED TO CBE",IF($X200=TODAY(),"EMAIL SENT","MONITORING"))))))))))</f>
        <v/>
      </c>
      <c r="U200" s="17">
        <f>IF($T200="",IF(AND(COUNTA($A200:$K200)&gt;0,$L200=""),"Awaiting Collection Email time stamp.",""),IF(OR($T200="PAID",$T200="CLOSED"),IF($T200="PAID","Account paid. Action completed.","Account closed. No further action required."),CHOOSE($W200,"Collection Email","1st Email Follow-up","2nd Email Follow-up","Escalation to Local Office","Escalation to CBE","Escalation to Roxanne")&amp;" sent "&amp;TEXT($X200,"dd-mmm")&amp;". "&amp;IF($W200=6,"Final escalation completed.",IF($T200="OVERDUE","Next: "&amp;$Z200&amp;" was due "&amp;TEXT($Y200,"dd-mmm")&amp;" - "&amp;(NETWORKDAYS($Y200,TODAY(),Holidays)-1)&amp;" business day(s) late. Send now.",IF($T200="DUE TOMORROW","Next: "&amp;$Z200&amp;IF($Y200&lt;=TODAY()," is due TODAY ("," is due next business day (")&amp;TEXT($Y200,"dd-mmm")&amp;").","Next: "&amp;$Z200&amp;" due "&amp;TEXT($Y200,"dd-mmm")&amp;" ("&amp;(NETWORKDAYS(TODAY(),$Y200,Holidays)-1)&amp;" business day(s) left).")))))</f>
        <v/>
      </c>
      <c r="V200" s="17">
        <f>IF($W200="","",CHOOSE($W200,"Collection Email","1st Follow-up","2nd Follow-up","Local Office","CBE","Roxanne")&amp;IF($W200=6," - Final"," - Day "&amp;MAX(0,NETWORKDAYS($X200,TODAY(),Holidays)-1)&amp;" of "&amp;CHOOSE($W200,3,3,2,2,3))&amp;" | Total Day "&amp;MAX(0,NETWORKDAYS($L200,TODAY(),Holidays)-1))</f>
        <v/>
      </c>
      <c r="W200" s="17">
        <f>IF($L200="","",COUNT($L200:$Q200))</f>
        <v/>
      </c>
      <c r="X200" s="18">
        <f>IF($W200="","",INT(INDEX($L200:$Q200,$W200)))</f>
        <v/>
      </c>
      <c r="Y200" s="18">
        <f>IF(OR($W200="",$W200=6),"",WORKDAY($X200,CHOOSE($W200,3,3,2,2,3),Holidays))</f>
        <v/>
      </c>
      <c r="Z200" s="17">
        <f>IF(OR($W200="",$W200=6),"",CHOOSE($W200,"1st Email Follow-up","2nd Email Follow-up","Escalate Local Office","Escalate to CBE","Escalate to Roxanne"))</f>
        <v/>
      </c>
    </row>
    <row r="201" spans="18:26">
      <c r="R201" s="15"/>
      <c r="S201" s="16"/>
      <c r="T201" s="17">
        <f>IF(AND(COUNTA($A201:$K201)=0,$L201=""),"",IF($S201="Paid","PAID",IF($S201="Closed","CLOSED",IF($W201="","",IF($W201=6,"ESCALATED TO ROXANNE",IF(TODAY()&gt;$Y201,"OVERDUE",IF($Y201&lt;=WORKDAY(TODAY(),1,Holidays),"DUE TOMORROW",IF($W201=4,"ESCALATED TO LOCAL OFFICE",IF($W201=5,"ESCALATED TO CBE",IF($X201=TODAY(),"EMAIL SENT","MONITORING"))))))))))</f>
        <v/>
      </c>
      <c r="U201" s="17">
        <f>IF($T201="",IF(AND(COUNTA($A201:$K201)&gt;0,$L201=""),"Awaiting Collection Email time stamp.",""),IF(OR($T201="PAID",$T201="CLOSED"),IF($T201="PAID","Account paid. Action completed.","Account closed. No further action required."),CHOOSE($W201,"Collection Email","1st Email Follow-up","2nd Email Follow-up","Escalation to Local Office","Escalation to CBE","Escalation to Roxanne")&amp;" sent "&amp;TEXT($X201,"dd-mmm")&amp;". "&amp;IF($W201=6,"Final escalation completed.",IF($T201="OVERDUE","Next: "&amp;$Z201&amp;" was due "&amp;TEXT($Y201,"dd-mmm")&amp;" - "&amp;(NETWORKDAYS($Y201,TODAY(),Holidays)-1)&amp;" business day(s) late. Send now.",IF($T201="DUE TOMORROW","Next: "&amp;$Z201&amp;IF($Y201&lt;=TODAY()," is due TODAY ("," is due next business day (")&amp;TEXT($Y201,"dd-mmm")&amp;").","Next: "&amp;$Z201&amp;" due "&amp;TEXT($Y201,"dd-mmm")&amp;" ("&amp;(NETWORKDAYS(TODAY(),$Y201,Holidays)-1)&amp;" business day(s) left).")))))</f>
        <v/>
      </c>
      <c r="V201" s="17">
        <f>IF($W201="","",CHOOSE($W201,"Collection Email","1st Follow-up","2nd Follow-up","Local Office","CBE","Roxanne")&amp;IF($W201=6," - Final"," - Day "&amp;MAX(0,NETWORKDAYS($X201,TODAY(),Holidays)-1)&amp;" of "&amp;CHOOSE($W201,3,3,2,2,3))&amp;" | Total Day "&amp;MAX(0,NETWORKDAYS($L201,TODAY(),Holidays)-1))</f>
        <v/>
      </c>
      <c r="W201" s="17">
        <f>IF($L201="","",COUNT($L201:$Q201))</f>
        <v/>
      </c>
      <c r="X201" s="18">
        <f>IF($W201="","",INT(INDEX($L201:$Q201,$W201)))</f>
        <v/>
      </c>
      <c r="Y201" s="18">
        <f>IF(OR($W201="",$W201=6),"",WORKDAY($X201,CHOOSE($W201,3,3,2,2,3),Holidays))</f>
        <v/>
      </c>
      <c r="Z201" s="17">
        <f>IF(OR($W201="",$W201=6),"",CHOOSE($W201,"1st Email Follow-up","2nd Email Follow-up","Escalate Local Office","Escalate to CBE","Escalate to Roxanne"))</f>
        <v/>
      </c>
    </row>
    <row r="202" spans="18:26">
      <c r="R202" s="15"/>
      <c r="S202" s="16"/>
      <c r="T202" s="17">
        <f>IF(AND(COUNTA($A202:$K202)=0,$L202=""),"",IF($S202="Paid","PAID",IF($S202="Closed","CLOSED",IF($W202="","",IF($W202=6,"ESCALATED TO ROXANNE",IF(TODAY()&gt;$Y202,"OVERDUE",IF($Y202&lt;=WORKDAY(TODAY(),1,Holidays),"DUE TOMORROW",IF($W202=4,"ESCALATED TO LOCAL OFFICE",IF($W202=5,"ESCALATED TO CBE",IF($X202=TODAY(),"EMAIL SENT","MONITORING"))))))))))</f>
        <v/>
      </c>
      <c r="U202" s="17">
        <f>IF($T202="",IF(AND(COUNTA($A202:$K202)&gt;0,$L202=""),"Awaiting Collection Email time stamp.",""),IF(OR($T202="PAID",$T202="CLOSED"),IF($T202="PAID","Account paid. Action completed.","Account closed. No further action required."),CHOOSE($W202,"Collection Email","1st Email Follow-up","2nd Email Follow-up","Escalation to Local Office","Escalation to CBE","Escalation to Roxanne")&amp;" sent "&amp;TEXT($X202,"dd-mmm")&amp;". "&amp;IF($W202=6,"Final escalation completed.",IF($T202="OVERDUE","Next: "&amp;$Z202&amp;" was due "&amp;TEXT($Y202,"dd-mmm")&amp;" - "&amp;(NETWORKDAYS($Y202,TODAY(),Holidays)-1)&amp;" business day(s) late. Send now.",IF($T202="DUE TOMORROW","Next: "&amp;$Z202&amp;IF($Y202&lt;=TODAY()," is due TODAY ("," is due next business day (")&amp;TEXT($Y202,"dd-mmm")&amp;").","Next: "&amp;$Z202&amp;" due "&amp;TEXT($Y202,"dd-mmm")&amp;" ("&amp;(NETWORKDAYS(TODAY(),$Y202,Holidays)-1)&amp;" business day(s) left).")))))</f>
        <v/>
      </c>
      <c r="V202" s="17">
        <f>IF($W202="","",CHOOSE($W202,"Collection Email","1st Follow-up","2nd Follow-up","Local Office","CBE","Roxanne")&amp;IF($W202=6," - Final"," - Day "&amp;MAX(0,NETWORKDAYS($X202,TODAY(),Holidays)-1)&amp;" of "&amp;CHOOSE($W202,3,3,2,2,3))&amp;" | Total Day "&amp;MAX(0,NETWORKDAYS($L202,TODAY(),Holidays)-1))</f>
        <v/>
      </c>
      <c r="W202" s="17">
        <f>IF($L202="","",COUNT($L202:$Q202))</f>
        <v/>
      </c>
      <c r="X202" s="18">
        <f>IF($W202="","",INT(INDEX($L202:$Q202,$W202)))</f>
        <v/>
      </c>
      <c r="Y202" s="18">
        <f>IF(OR($W202="",$W202=6),"",WORKDAY($X202,CHOOSE($W202,3,3,2,2,3),Holidays))</f>
        <v/>
      </c>
      <c r="Z202" s="17">
        <f>IF(OR($W202="",$W202=6),"",CHOOSE($W202,"1st Email Follow-up","2nd Email Follow-up","Escalate Local Office","Escalate to CBE","Escalate to Roxanne"))</f>
        <v/>
      </c>
    </row>
    <row r="203" spans="18:26">
      <c r="R203" s="15"/>
      <c r="S203" s="16"/>
      <c r="T203" s="17">
        <f>IF(AND(COUNTA($A203:$K203)=0,$L203=""),"",IF($S203="Paid","PAID",IF($S203="Closed","CLOSED",IF($W203="","",IF($W203=6,"ESCALATED TO ROXANNE",IF(TODAY()&gt;$Y203,"OVERDUE",IF($Y203&lt;=WORKDAY(TODAY(),1,Holidays),"DUE TOMORROW",IF($W203=4,"ESCALATED TO LOCAL OFFICE",IF($W203=5,"ESCALATED TO CBE",IF($X203=TODAY(),"EMAIL SENT","MONITORING"))))))))))</f>
        <v/>
      </c>
      <c r="U203" s="17">
        <f>IF($T203="",IF(AND(COUNTA($A203:$K203)&gt;0,$L203=""),"Awaiting Collection Email time stamp.",""),IF(OR($T203="PAID",$T203="CLOSED"),IF($T203="PAID","Account paid. Action completed.","Account closed. No further action required."),CHOOSE($W203,"Collection Email","1st Email Follow-up","2nd Email Follow-up","Escalation to Local Office","Escalation to CBE","Escalation to Roxanne")&amp;" sent "&amp;TEXT($X203,"dd-mmm")&amp;". "&amp;IF($W203=6,"Final escalation completed.",IF($T203="OVERDUE","Next: "&amp;$Z203&amp;" was due "&amp;TEXT($Y203,"dd-mmm")&amp;" - "&amp;(NETWORKDAYS($Y203,TODAY(),Holidays)-1)&amp;" business day(s) late. Send now.",IF($T203="DUE TOMORROW","Next: "&amp;$Z203&amp;IF($Y203&lt;=TODAY()," is due TODAY ("," is due next business day (")&amp;TEXT($Y203,"dd-mmm")&amp;").","Next: "&amp;$Z203&amp;" due "&amp;TEXT($Y203,"dd-mmm")&amp;" ("&amp;(NETWORKDAYS(TODAY(),$Y203,Holidays)-1)&amp;" business day(s) left).")))))</f>
        <v/>
      </c>
      <c r="V203" s="17">
        <f>IF($W203="","",CHOOSE($W203,"Collection Email","1st Follow-up","2nd Follow-up","Local Office","CBE","Roxanne")&amp;IF($W203=6," - Final"," - Day "&amp;MAX(0,NETWORKDAYS($X203,TODAY(),Holidays)-1)&amp;" of "&amp;CHOOSE($W203,3,3,2,2,3))&amp;" | Total Day "&amp;MAX(0,NETWORKDAYS($L203,TODAY(),Holidays)-1))</f>
        <v/>
      </c>
      <c r="W203" s="17">
        <f>IF($L203="","",COUNT($L203:$Q203))</f>
        <v/>
      </c>
      <c r="X203" s="18">
        <f>IF($W203="","",INT(INDEX($L203:$Q203,$W203)))</f>
        <v/>
      </c>
      <c r="Y203" s="18">
        <f>IF(OR($W203="",$W203=6),"",WORKDAY($X203,CHOOSE($W203,3,3,2,2,3),Holidays))</f>
        <v/>
      </c>
      <c r="Z203" s="17">
        <f>IF(OR($W203="",$W203=6),"",CHOOSE($W203,"1st Email Follow-up","2nd Email Follow-up","Escalate Local Office","Escalate to CBE","Escalate to Roxanne"))</f>
        <v/>
      </c>
    </row>
    <row r="204" spans="18:26">
      <c r="R204" s="15"/>
      <c r="S204" s="16"/>
      <c r="T204" s="17">
        <f>IF(AND(COUNTA($A204:$K204)=0,$L204=""),"",IF($S204="Paid","PAID",IF($S204="Closed","CLOSED",IF($W204="","",IF($W204=6,"ESCALATED TO ROXANNE",IF(TODAY()&gt;$Y204,"OVERDUE",IF($Y204&lt;=WORKDAY(TODAY(),1,Holidays),"DUE TOMORROW",IF($W204=4,"ESCALATED TO LOCAL OFFICE",IF($W204=5,"ESCALATED TO CBE",IF($X204=TODAY(),"EMAIL SENT","MONITORING"))))))))))</f>
        <v/>
      </c>
      <c r="U204" s="17">
        <f>IF($T204="",IF(AND(COUNTA($A204:$K204)&gt;0,$L204=""),"Awaiting Collection Email time stamp.",""),IF(OR($T204="PAID",$T204="CLOSED"),IF($T204="PAID","Account paid. Action completed.","Account closed. No further action required."),CHOOSE($W204,"Collection Email","1st Email Follow-up","2nd Email Follow-up","Escalation to Local Office","Escalation to CBE","Escalation to Roxanne")&amp;" sent "&amp;TEXT($X204,"dd-mmm")&amp;". "&amp;IF($W204=6,"Final escalation completed.",IF($T204="OVERDUE","Next: "&amp;$Z204&amp;" was due "&amp;TEXT($Y204,"dd-mmm")&amp;" - "&amp;(NETWORKDAYS($Y204,TODAY(),Holidays)-1)&amp;" business day(s) late. Send now.",IF($T204="DUE TOMORROW","Next: "&amp;$Z204&amp;IF($Y204&lt;=TODAY()," is due TODAY ("," is due next business day (")&amp;TEXT($Y204,"dd-mmm")&amp;").","Next: "&amp;$Z204&amp;" due "&amp;TEXT($Y204,"dd-mmm")&amp;" ("&amp;(NETWORKDAYS(TODAY(),$Y204,Holidays)-1)&amp;" business day(s) left).")))))</f>
        <v/>
      </c>
      <c r="V204" s="17">
        <f>IF($W204="","",CHOOSE($W204,"Collection Email","1st Follow-up","2nd Follow-up","Local Office","CBE","Roxanne")&amp;IF($W204=6," - Final"," - Day "&amp;MAX(0,NETWORKDAYS($X204,TODAY(),Holidays)-1)&amp;" of "&amp;CHOOSE($W204,3,3,2,2,3))&amp;" | Total Day "&amp;MAX(0,NETWORKDAYS($L204,TODAY(),Holidays)-1))</f>
        <v/>
      </c>
      <c r="W204" s="17">
        <f>IF($L204="","",COUNT($L204:$Q204))</f>
        <v/>
      </c>
      <c r="X204" s="18">
        <f>IF($W204="","",INT(INDEX($L204:$Q204,$W204)))</f>
        <v/>
      </c>
      <c r="Y204" s="18">
        <f>IF(OR($W204="",$W204=6),"",WORKDAY($X204,CHOOSE($W204,3,3,2,2,3),Holidays))</f>
        <v/>
      </c>
      <c r="Z204" s="17">
        <f>IF(OR($W204="",$W204=6),"",CHOOSE($W204,"1st Email Follow-up","2nd Email Follow-up","Escalate Local Office","Escalate to CBE","Escalate to Roxanne"))</f>
        <v/>
      </c>
    </row>
    <row r="205" spans="18:26">
      <c r="R205" s="15"/>
      <c r="S205" s="16"/>
      <c r="T205" s="17">
        <f>IF(AND(COUNTA($A205:$K205)=0,$L205=""),"",IF($S205="Paid","PAID",IF($S205="Closed","CLOSED",IF($W205="","",IF($W205=6,"ESCALATED TO ROXANNE",IF(TODAY()&gt;$Y205,"OVERDUE",IF($Y205&lt;=WORKDAY(TODAY(),1,Holidays),"DUE TOMORROW",IF($W205=4,"ESCALATED TO LOCAL OFFICE",IF($W205=5,"ESCALATED TO CBE",IF($X205=TODAY(),"EMAIL SENT","MONITORING"))))))))))</f>
        <v/>
      </c>
      <c r="U205" s="17">
        <f>IF($T205="",IF(AND(COUNTA($A205:$K205)&gt;0,$L205=""),"Awaiting Collection Email time stamp.",""),IF(OR($T205="PAID",$T205="CLOSED"),IF($T205="PAID","Account paid. Action completed.","Account closed. No further action required."),CHOOSE($W205,"Collection Email","1st Email Follow-up","2nd Email Follow-up","Escalation to Local Office","Escalation to CBE","Escalation to Roxanne")&amp;" sent "&amp;TEXT($X205,"dd-mmm")&amp;". "&amp;IF($W205=6,"Final escalation completed.",IF($T205="OVERDUE","Next: "&amp;$Z205&amp;" was due "&amp;TEXT($Y205,"dd-mmm")&amp;" - "&amp;(NETWORKDAYS($Y205,TODAY(),Holidays)-1)&amp;" business day(s) late. Send now.",IF($T205="DUE TOMORROW","Next: "&amp;$Z205&amp;IF($Y205&lt;=TODAY()," is due TODAY ("," is due next business day (")&amp;TEXT($Y205,"dd-mmm")&amp;").","Next: "&amp;$Z205&amp;" due "&amp;TEXT($Y205,"dd-mmm")&amp;" ("&amp;(NETWORKDAYS(TODAY(),$Y205,Holidays)-1)&amp;" business day(s) left).")))))</f>
        <v/>
      </c>
      <c r="V205" s="17">
        <f>IF($W205="","",CHOOSE($W205,"Collection Email","1st Follow-up","2nd Follow-up","Local Office","CBE","Roxanne")&amp;IF($W205=6," - Final"," - Day "&amp;MAX(0,NETWORKDAYS($X205,TODAY(),Holidays)-1)&amp;" of "&amp;CHOOSE($W205,3,3,2,2,3))&amp;" | Total Day "&amp;MAX(0,NETWORKDAYS($L205,TODAY(),Holidays)-1))</f>
        <v/>
      </c>
      <c r="W205" s="17">
        <f>IF($L205="","",COUNT($L205:$Q205))</f>
        <v/>
      </c>
      <c r="X205" s="18">
        <f>IF($W205="","",INT(INDEX($L205:$Q205,$W205)))</f>
        <v/>
      </c>
      <c r="Y205" s="18">
        <f>IF(OR($W205="",$W205=6),"",WORKDAY($X205,CHOOSE($W205,3,3,2,2,3),Holidays))</f>
        <v/>
      </c>
      <c r="Z205" s="17">
        <f>IF(OR($W205="",$W205=6),"",CHOOSE($W205,"1st Email Follow-up","2nd Email Follow-up","Escalate Local Office","Escalate to CBE","Escalate to Roxanne"))</f>
        <v/>
      </c>
    </row>
    <row r="206" spans="18:26">
      <c r="R206" s="15"/>
      <c r="S206" s="16"/>
      <c r="T206" s="17">
        <f>IF(AND(COUNTA($A206:$K206)=0,$L206=""),"",IF($S206="Paid","PAID",IF($S206="Closed","CLOSED",IF($W206="","",IF($W206=6,"ESCALATED TO ROXANNE",IF(TODAY()&gt;$Y206,"OVERDUE",IF($Y206&lt;=WORKDAY(TODAY(),1,Holidays),"DUE TOMORROW",IF($W206=4,"ESCALATED TO LOCAL OFFICE",IF($W206=5,"ESCALATED TO CBE",IF($X206=TODAY(),"EMAIL SENT","MONITORING"))))))))))</f>
        <v/>
      </c>
      <c r="U206" s="17">
        <f>IF($T206="",IF(AND(COUNTA($A206:$K206)&gt;0,$L206=""),"Awaiting Collection Email time stamp.",""),IF(OR($T206="PAID",$T206="CLOSED"),IF($T206="PAID","Account paid. Action completed.","Account closed. No further action required."),CHOOSE($W206,"Collection Email","1st Email Follow-up","2nd Email Follow-up","Escalation to Local Office","Escalation to CBE","Escalation to Roxanne")&amp;" sent "&amp;TEXT($X206,"dd-mmm")&amp;". "&amp;IF($W206=6,"Final escalation completed.",IF($T206="OVERDUE","Next: "&amp;$Z206&amp;" was due "&amp;TEXT($Y206,"dd-mmm")&amp;" - "&amp;(NETWORKDAYS($Y206,TODAY(),Holidays)-1)&amp;" business day(s) late. Send now.",IF($T206="DUE TOMORROW","Next: "&amp;$Z206&amp;IF($Y206&lt;=TODAY()," is due TODAY ("," is due next business day (")&amp;TEXT($Y206,"dd-mmm")&amp;").","Next: "&amp;$Z206&amp;" due "&amp;TEXT($Y206,"dd-mmm")&amp;" ("&amp;(NETWORKDAYS(TODAY(),$Y206,Holidays)-1)&amp;" business day(s) left).")))))</f>
        <v/>
      </c>
      <c r="V206" s="17">
        <f>IF($W206="","",CHOOSE($W206,"Collection Email","1st Follow-up","2nd Follow-up","Local Office","CBE","Roxanne")&amp;IF($W206=6," - Final"," - Day "&amp;MAX(0,NETWORKDAYS($X206,TODAY(),Holidays)-1)&amp;" of "&amp;CHOOSE($W206,3,3,2,2,3))&amp;" | Total Day "&amp;MAX(0,NETWORKDAYS($L206,TODAY(),Holidays)-1))</f>
        <v/>
      </c>
      <c r="W206" s="17">
        <f>IF($L206="","",COUNT($L206:$Q206))</f>
        <v/>
      </c>
      <c r="X206" s="18">
        <f>IF($W206="","",INT(INDEX($L206:$Q206,$W206)))</f>
        <v/>
      </c>
      <c r="Y206" s="18">
        <f>IF(OR($W206="",$W206=6),"",WORKDAY($X206,CHOOSE($W206,3,3,2,2,3),Holidays))</f>
        <v/>
      </c>
      <c r="Z206" s="17">
        <f>IF(OR($W206="",$W206=6),"",CHOOSE($W206,"1st Email Follow-up","2nd Email Follow-up","Escalate Local Office","Escalate to CBE","Escalate to Roxanne"))</f>
        <v/>
      </c>
    </row>
    <row r="207" spans="18:26">
      <c r="R207" s="15"/>
      <c r="S207" s="16"/>
      <c r="T207" s="17">
        <f>IF(AND(COUNTA($A207:$K207)=0,$L207=""),"",IF($S207="Paid","PAID",IF($S207="Closed","CLOSED",IF($W207="","",IF($W207=6,"ESCALATED TO ROXANNE",IF(TODAY()&gt;$Y207,"OVERDUE",IF($Y207&lt;=WORKDAY(TODAY(),1,Holidays),"DUE TOMORROW",IF($W207=4,"ESCALATED TO LOCAL OFFICE",IF($W207=5,"ESCALATED TO CBE",IF($X207=TODAY(),"EMAIL SENT","MONITORING"))))))))))</f>
        <v/>
      </c>
      <c r="U207" s="17">
        <f>IF($T207="",IF(AND(COUNTA($A207:$K207)&gt;0,$L207=""),"Awaiting Collection Email time stamp.",""),IF(OR($T207="PAID",$T207="CLOSED"),IF($T207="PAID","Account paid. Action completed.","Account closed. No further action required."),CHOOSE($W207,"Collection Email","1st Email Follow-up","2nd Email Follow-up","Escalation to Local Office","Escalation to CBE","Escalation to Roxanne")&amp;" sent "&amp;TEXT($X207,"dd-mmm")&amp;". "&amp;IF($W207=6,"Final escalation completed.",IF($T207="OVERDUE","Next: "&amp;$Z207&amp;" was due "&amp;TEXT($Y207,"dd-mmm")&amp;" - "&amp;(NETWORKDAYS($Y207,TODAY(),Holidays)-1)&amp;" business day(s) late. Send now.",IF($T207="DUE TOMORROW","Next: "&amp;$Z207&amp;IF($Y207&lt;=TODAY()," is due TODAY ("," is due next business day (")&amp;TEXT($Y207,"dd-mmm")&amp;").","Next: "&amp;$Z207&amp;" due "&amp;TEXT($Y207,"dd-mmm")&amp;" ("&amp;(NETWORKDAYS(TODAY(),$Y207,Holidays)-1)&amp;" business day(s) left).")))))</f>
        <v/>
      </c>
      <c r="V207" s="17">
        <f>IF($W207="","",CHOOSE($W207,"Collection Email","1st Follow-up","2nd Follow-up","Local Office","CBE","Roxanne")&amp;IF($W207=6," - Final"," - Day "&amp;MAX(0,NETWORKDAYS($X207,TODAY(),Holidays)-1)&amp;" of "&amp;CHOOSE($W207,3,3,2,2,3))&amp;" | Total Day "&amp;MAX(0,NETWORKDAYS($L207,TODAY(),Holidays)-1))</f>
        <v/>
      </c>
      <c r="W207" s="17">
        <f>IF($L207="","",COUNT($L207:$Q207))</f>
        <v/>
      </c>
      <c r="X207" s="18">
        <f>IF($W207="","",INT(INDEX($L207:$Q207,$W207)))</f>
        <v/>
      </c>
      <c r="Y207" s="18">
        <f>IF(OR($W207="",$W207=6),"",WORKDAY($X207,CHOOSE($W207,3,3,2,2,3),Holidays))</f>
        <v/>
      </c>
      <c r="Z207" s="17">
        <f>IF(OR($W207="",$W207=6),"",CHOOSE($W207,"1st Email Follow-up","2nd Email Follow-up","Escalate Local Office","Escalate to CBE","Escalate to Roxanne"))</f>
        <v/>
      </c>
    </row>
    <row r="208" spans="18:26">
      <c r="R208" s="15"/>
      <c r="S208" s="16"/>
      <c r="T208" s="17">
        <f>IF(AND(COUNTA($A208:$K208)=0,$L208=""),"",IF($S208="Paid","PAID",IF($S208="Closed","CLOSED",IF($W208="","",IF($W208=6,"ESCALATED TO ROXANNE",IF(TODAY()&gt;$Y208,"OVERDUE",IF($Y208&lt;=WORKDAY(TODAY(),1,Holidays),"DUE TOMORROW",IF($W208=4,"ESCALATED TO LOCAL OFFICE",IF($W208=5,"ESCALATED TO CBE",IF($X208=TODAY(),"EMAIL SENT","MONITORING"))))))))))</f>
        <v/>
      </c>
      <c r="U208" s="17">
        <f>IF($T208="",IF(AND(COUNTA($A208:$K208)&gt;0,$L208=""),"Awaiting Collection Email time stamp.",""),IF(OR($T208="PAID",$T208="CLOSED"),IF($T208="PAID","Account paid. Action completed.","Account closed. No further action required."),CHOOSE($W208,"Collection Email","1st Email Follow-up","2nd Email Follow-up","Escalation to Local Office","Escalation to CBE","Escalation to Roxanne")&amp;" sent "&amp;TEXT($X208,"dd-mmm")&amp;". "&amp;IF($W208=6,"Final escalation completed.",IF($T208="OVERDUE","Next: "&amp;$Z208&amp;" was due "&amp;TEXT($Y208,"dd-mmm")&amp;" - "&amp;(NETWORKDAYS($Y208,TODAY(),Holidays)-1)&amp;" business day(s) late. Send now.",IF($T208="DUE TOMORROW","Next: "&amp;$Z208&amp;IF($Y208&lt;=TODAY()," is due TODAY ("," is due next business day (")&amp;TEXT($Y208,"dd-mmm")&amp;").","Next: "&amp;$Z208&amp;" due "&amp;TEXT($Y208,"dd-mmm")&amp;" ("&amp;(NETWORKDAYS(TODAY(),$Y208,Holidays)-1)&amp;" business day(s) left).")))))</f>
        <v/>
      </c>
      <c r="V208" s="17">
        <f>IF($W208="","",CHOOSE($W208,"Collection Email","1st Follow-up","2nd Follow-up","Local Office","CBE","Roxanne")&amp;IF($W208=6," - Final"," - Day "&amp;MAX(0,NETWORKDAYS($X208,TODAY(),Holidays)-1)&amp;" of "&amp;CHOOSE($W208,3,3,2,2,3))&amp;" | Total Day "&amp;MAX(0,NETWORKDAYS($L208,TODAY(),Holidays)-1))</f>
        <v/>
      </c>
      <c r="W208" s="17">
        <f>IF($L208="","",COUNT($L208:$Q208))</f>
        <v/>
      </c>
      <c r="X208" s="18">
        <f>IF($W208="","",INT(INDEX($L208:$Q208,$W208)))</f>
        <v/>
      </c>
      <c r="Y208" s="18">
        <f>IF(OR($W208="",$W208=6),"",WORKDAY($X208,CHOOSE($W208,3,3,2,2,3),Holidays))</f>
        <v/>
      </c>
      <c r="Z208" s="17">
        <f>IF(OR($W208="",$W208=6),"",CHOOSE($W208,"1st Email Follow-up","2nd Email Follow-up","Escalate Local Office","Escalate to CBE","Escalate to Roxanne"))</f>
        <v/>
      </c>
    </row>
    <row r="209" spans="18:26">
      <c r="R209" s="15"/>
      <c r="S209" s="16"/>
      <c r="T209" s="17">
        <f>IF(AND(COUNTA($A209:$K209)=0,$L209=""),"",IF($S209="Paid","PAID",IF($S209="Closed","CLOSED",IF($W209="","",IF($W209=6,"ESCALATED TO ROXANNE",IF(TODAY()&gt;$Y209,"OVERDUE",IF($Y209&lt;=WORKDAY(TODAY(),1,Holidays),"DUE TOMORROW",IF($W209=4,"ESCALATED TO LOCAL OFFICE",IF($W209=5,"ESCALATED TO CBE",IF($X209=TODAY(),"EMAIL SENT","MONITORING"))))))))))</f>
        <v/>
      </c>
      <c r="U209" s="17">
        <f>IF($T209="",IF(AND(COUNTA($A209:$K209)&gt;0,$L209=""),"Awaiting Collection Email time stamp.",""),IF(OR($T209="PAID",$T209="CLOSED"),IF($T209="PAID","Account paid. Action completed.","Account closed. No further action required."),CHOOSE($W209,"Collection Email","1st Email Follow-up","2nd Email Follow-up","Escalation to Local Office","Escalation to CBE","Escalation to Roxanne")&amp;" sent "&amp;TEXT($X209,"dd-mmm")&amp;". "&amp;IF($W209=6,"Final escalation completed.",IF($T209="OVERDUE","Next: "&amp;$Z209&amp;" was due "&amp;TEXT($Y209,"dd-mmm")&amp;" - "&amp;(NETWORKDAYS($Y209,TODAY(),Holidays)-1)&amp;" business day(s) late. Send now.",IF($T209="DUE TOMORROW","Next: "&amp;$Z209&amp;IF($Y209&lt;=TODAY()," is due TODAY ("," is due next business day (")&amp;TEXT($Y209,"dd-mmm")&amp;").","Next: "&amp;$Z209&amp;" due "&amp;TEXT($Y209,"dd-mmm")&amp;" ("&amp;(NETWORKDAYS(TODAY(),$Y209,Holidays)-1)&amp;" business day(s) left).")))))</f>
        <v/>
      </c>
      <c r="V209" s="17">
        <f>IF($W209="","",CHOOSE($W209,"Collection Email","1st Follow-up","2nd Follow-up","Local Office","CBE","Roxanne")&amp;IF($W209=6," - Final"," - Day "&amp;MAX(0,NETWORKDAYS($X209,TODAY(),Holidays)-1)&amp;" of "&amp;CHOOSE($W209,3,3,2,2,3))&amp;" | Total Day "&amp;MAX(0,NETWORKDAYS($L209,TODAY(),Holidays)-1))</f>
        <v/>
      </c>
      <c r="W209" s="17">
        <f>IF($L209="","",COUNT($L209:$Q209))</f>
        <v/>
      </c>
      <c r="X209" s="18">
        <f>IF($W209="","",INT(INDEX($L209:$Q209,$W209)))</f>
        <v/>
      </c>
      <c r="Y209" s="18">
        <f>IF(OR($W209="",$W209=6),"",WORKDAY($X209,CHOOSE($W209,3,3,2,2,3),Holidays))</f>
        <v/>
      </c>
      <c r="Z209" s="17">
        <f>IF(OR($W209="",$W209=6),"",CHOOSE($W209,"1st Email Follow-up","2nd Email Follow-up","Escalate Local Office","Escalate to CBE","Escalate to Roxanne"))</f>
        <v/>
      </c>
    </row>
    <row r="210" spans="18:26">
      <c r="R210" s="15"/>
      <c r="S210" s="16"/>
      <c r="T210" s="17">
        <f>IF(AND(COUNTA($A210:$K210)=0,$L210=""),"",IF($S210="Paid","PAID",IF($S210="Closed","CLOSED",IF($W210="","",IF($W210=6,"ESCALATED TO ROXANNE",IF(TODAY()&gt;$Y210,"OVERDUE",IF($Y210&lt;=WORKDAY(TODAY(),1,Holidays),"DUE TOMORROW",IF($W210=4,"ESCALATED TO LOCAL OFFICE",IF($W210=5,"ESCALATED TO CBE",IF($X210=TODAY(),"EMAIL SENT","MONITORING"))))))))))</f>
        <v/>
      </c>
      <c r="U210" s="17">
        <f>IF($T210="",IF(AND(COUNTA($A210:$K210)&gt;0,$L210=""),"Awaiting Collection Email time stamp.",""),IF(OR($T210="PAID",$T210="CLOSED"),IF($T210="PAID","Account paid. Action completed.","Account closed. No further action required."),CHOOSE($W210,"Collection Email","1st Email Follow-up","2nd Email Follow-up","Escalation to Local Office","Escalation to CBE","Escalation to Roxanne")&amp;" sent "&amp;TEXT($X210,"dd-mmm")&amp;". "&amp;IF($W210=6,"Final escalation completed.",IF($T210="OVERDUE","Next: "&amp;$Z210&amp;" was due "&amp;TEXT($Y210,"dd-mmm")&amp;" - "&amp;(NETWORKDAYS($Y210,TODAY(),Holidays)-1)&amp;" business day(s) late. Send now.",IF($T210="DUE TOMORROW","Next: "&amp;$Z210&amp;IF($Y210&lt;=TODAY()," is due TODAY ("," is due next business day (")&amp;TEXT($Y210,"dd-mmm")&amp;").","Next: "&amp;$Z210&amp;" due "&amp;TEXT($Y210,"dd-mmm")&amp;" ("&amp;(NETWORKDAYS(TODAY(),$Y210,Holidays)-1)&amp;" business day(s) left).")))))</f>
        <v/>
      </c>
      <c r="V210" s="17">
        <f>IF($W210="","",CHOOSE($W210,"Collection Email","1st Follow-up","2nd Follow-up","Local Office","CBE","Roxanne")&amp;IF($W210=6," - Final"," - Day "&amp;MAX(0,NETWORKDAYS($X210,TODAY(),Holidays)-1)&amp;" of "&amp;CHOOSE($W210,3,3,2,2,3))&amp;" | Total Day "&amp;MAX(0,NETWORKDAYS($L210,TODAY(),Holidays)-1))</f>
        <v/>
      </c>
      <c r="W210" s="17">
        <f>IF($L210="","",COUNT($L210:$Q210))</f>
        <v/>
      </c>
      <c r="X210" s="18">
        <f>IF($W210="","",INT(INDEX($L210:$Q210,$W210)))</f>
        <v/>
      </c>
      <c r="Y210" s="18">
        <f>IF(OR($W210="",$W210=6),"",WORKDAY($X210,CHOOSE($W210,3,3,2,2,3),Holidays))</f>
        <v/>
      </c>
      <c r="Z210" s="17">
        <f>IF(OR($W210="",$W210=6),"",CHOOSE($W210,"1st Email Follow-up","2nd Email Follow-up","Escalate Local Office","Escalate to CBE","Escalate to Roxanne"))</f>
        <v/>
      </c>
    </row>
    <row r="211" spans="18:26">
      <c r="R211" s="15"/>
      <c r="S211" s="16"/>
      <c r="T211" s="17">
        <f>IF(AND(COUNTA($A211:$K211)=0,$L211=""),"",IF($S211="Paid","PAID",IF($S211="Closed","CLOSED",IF($W211="","",IF($W211=6,"ESCALATED TO ROXANNE",IF(TODAY()&gt;$Y211,"OVERDUE",IF($Y211&lt;=WORKDAY(TODAY(),1,Holidays),"DUE TOMORROW",IF($W211=4,"ESCALATED TO LOCAL OFFICE",IF($W211=5,"ESCALATED TO CBE",IF($X211=TODAY(),"EMAIL SENT","MONITORING"))))))))))</f>
        <v/>
      </c>
      <c r="U211" s="17">
        <f>IF($T211="",IF(AND(COUNTA($A211:$K211)&gt;0,$L211=""),"Awaiting Collection Email time stamp.",""),IF(OR($T211="PAID",$T211="CLOSED"),IF($T211="PAID","Account paid. Action completed.","Account closed. No further action required."),CHOOSE($W211,"Collection Email","1st Email Follow-up","2nd Email Follow-up","Escalation to Local Office","Escalation to CBE","Escalation to Roxanne")&amp;" sent "&amp;TEXT($X211,"dd-mmm")&amp;". "&amp;IF($W211=6,"Final escalation completed.",IF($T211="OVERDUE","Next: "&amp;$Z211&amp;" was due "&amp;TEXT($Y211,"dd-mmm")&amp;" - "&amp;(NETWORKDAYS($Y211,TODAY(),Holidays)-1)&amp;" business day(s) late. Send now.",IF($T211="DUE TOMORROW","Next: "&amp;$Z211&amp;IF($Y211&lt;=TODAY()," is due TODAY ("," is due next business day (")&amp;TEXT($Y211,"dd-mmm")&amp;").","Next: "&amp;$Z211&amp;" due "&amp;TEXT($Y211,"dd-mmm")&amp;" ("&amp;(NETWORKDAYS(TODAY(),$Y211,Holidays)-1)&amp;" business day(s) left).")))))</f>
        <v/>
      </c>
      <c r="V211" s="17">
        <f>IF($W211="","",CHOOSE($W211,"Collection Email","1st Follow-up","2nd Follow-up","Local Office","CBE","Roxanne")&amp;IF($W211=6," - Final"," - Day "&amp;MAX(0,NETWORKDAYS($X211,TODAY(),Holidays)-1)&amp;" of "&amp;CHOOSE($W211,3,3,2,2,3))&amp;" | Total Day "&amp;MAX(0,NETWORKDAYS($L211,TODAY(),Holidays)-1))</f>
        <v/>
      </c>
      <c r="W211" s="17">
        <f>IF($L211="","",COUNT($L211:$Q211))</f>
        <v/>
      </c>
      <c r="X211" s="18">
        <f>IF($W211="","",INT(INDEX($L211:$Q211,$W211)))</f>
        <v/>
      </c>
      <c r="Y211" s="18">
        <f>IF(OR($W211="",$W211=6),"",WORKDAY($X211,CHOOSE($W211,3,3,2,2,3),Holidays))</f>
        <v/>
      </c>
      <c r="Z211" s="17">
        <f>IF(OR($W211="",$W211=6),"",CHOOSE($W211,"1st Email Follow-up","2nd Email Follow-up","Escalate Local Office","Escalate to CBE","Escalate to Roxanne"))</f>
        <v/>
      </c>
    </row>
    <row r="212" spans="18:26">
      <c r="R212" s="15"/>
      <c r="S212" s="16"/>
      <c r="T212" s="17">
        <f>IF(AND(COUNTA($A212:$K212)=0,$L212=""),"",IF($S212="Paid","PAID",IF($S212="Closed","CLOSED",IF($W212="","",IF($W212=6,"ESCALATED TO ROXANNE",IF(TODAY()&gt;$Y212,"OVERDUE",IF($Y212&lt;=WORKDAY(TODAY(),1,Holidays),"DUE TOMORROW",IF($W212=4,"ESCALATED TO LOCAL OFFICE",IF($W212=5,"ESCALATED TO CBE",IF($X212=TODAY(),"EMAIL SENT","MONITORING"))))))))))</f>
        <v/>
      </c>
      <c r="U212" s="17">
        <f>IF($T212="",IF(AND(COUNTA($A212:$K212)&gt;0,$L212=""),"Awaiting Collection Email time stamp.",""),IF(OR($T212="PAID",$T212="CLOSED"),IF($T212="PAID","Account paid. Action completed.","Account closed. No further action required."),CHOOSE($W212,"Collection Email","1st Email Follow-up","2nd Email Follow-up","Escalation to Local Office","Escalation to CBE","Escalation to Roxanne")&amp;" sent "&amp;TEXT($X212,"dd-mmm")&amp;". "&amp;IF($W212=6,"Final escalation completed.",IF($T212="OVERDUE","Next: "&amp;$Z212&amp;" was due "&amp;TEXT($Y212,"dd-mmm")&amp;" - "&amp;(NETWORKDAYS($Y212,TODAY(),Holidays)-1)&amp;" business day(s) late. Send now.",IF($T212="DUE TOMORROW","Next: "&amp;$Z212&amp;IF($Y212&lt;=TODAY()," is due TODAY ("," is due next business day (")&amp;TEXT($Y212,"dd-mmm")&amp;").","Next: "&amp;$Z212&amp;" due "&amp;TEXT($Y212,"dd-mmm")&amp;" ("&amp;(NETWORKDAYS(TODAY(),$Y212,Holidays)-1)&amp;" business day(s) left).")))))</f>
        <v/>
      </c>
      <c r="V212" s="17">
        <f>IF($W212="","",CHOOSE($W212,"Collection Email","1st Follow-up","2nd Follow-up","Local Office","CBE","Roxanne")&amp;IF($W212=6," - Final"," - Day "&amp;MAX(0,NETWORKDAYS($X212,TODAY(),Holidays)-1)&amp;" of "&amp;CHOOSE($W212,3,3,2,2,3))&amp;" | Total Day "&amp;MAX(0,NETWORKDAYS($L212,TODAY(),Holidays)-1))</f>
        <v/>
      </c>
      <c r="W212" s="17">
        <f>IF($L212="","",COUNT($L212:$Q212))</f>
        <v/>
      </c>
      <c r="X212" s="18">
        <f>IF($W212="","",INT(INDEX($L212:$Q212,$W212)))</f>
        <v/>
      </c>
      <c r="Y212" s="18">
        <f>IF(OR($W212="",$W212=6),"",WORKDAY($X212,CHOOSE($W212,3,3,2,2,3),Holidays))</f>
        <v/>
      </c>
      <c r="Z212" s="17">
        <f>IF(OR($W212="",$W212=6),"",CHOOSE($W212,"1st Email Follow-up","2nd Email Follow-up","Escalate Local Office","Escalate to CBE","Escalate to Roxanne"))</f>
        <v/>
      </c>
    </row>
    <row r="213" spans="18:26">
      <c r="R213" s="15"/>
      <c r="S213" s="16"/>
      <c r="T213" s="17">
        <f>IF(AND(COUNTA($A213:$K213)=0,$L213=""),"",IF($S213="Paid","PAID",IF($S213="Closed","CLOSED",IF($W213="","",IF($W213=6,"ESCALATED TO ROXANNE",IF(TODAY()&gt;$Y213,"OVERDUE",IF($Y213&lt;=WORKDAY(TODAY(),1,Holidays),"DUE TOMORROW",IF($W213=4,"ESCALATED TO LOCAL OFFICE",IF($W213=5,"ESCALATED TO CBE",IF($X213=TODAY(),"EMAIL SENT","MONITORING"))))))))))</f>
        <v/>
      </c>
      <c r="U213" s="17">
        <f>IF($T213="",IF(AND(COUNTA($A213:$K213)&gt;0,$L213=""),"Awaiting Collection Email time stamp.",""),IF(OR($T213="PAID",$T213="CLOSED"),IF($T213="PAID","Account paid. Action completed.","Account closed. No further action required."),CHOOSE($W213,"Collection Email","1st Email Follow-up","2nd Email Follow-up","Escalation to Local Office","Escalation to CBE","Escalation to Roxanne")&amp;" sent "&amp;TEXT($X213,"dd-mmm")&amp;". "&amp;IF($W213=6,"Final escalation completed.",IF($T213="OVERDUE","Next: "&amp;$Z213&amp;" was due "&amp;TEXT($Y213,"dd-mmm")&amp;" - "&amp;(NETWORKDAYS($Y213,TODAY(),Holidays)-1)&amp;" business day(s) late. Send now.",IF($T213="DUE TOMORROW","Next: "&amp;$Z213&amp;IF($Y213&lt;=TODAY()," is due TODAY ("," is due next business day (")&amp;TEXT($Y213,"dd-mmm")&amp;").","Next: "&amp;$Z213&amp;" due "&amp;TEXT($Y213,"dd-mmm")&amp;" ("&amp;(NETWORKDAYS(TODAY(),$Y213,Holidays)-1)&amp;" business day(s) left).")))))</f>
        <v/>
      </c>
      <c r="V213" s="17">
        <f>IF($W213="","",CHOOSE($W213,"Collection Email","1st Follow-up","2nd Follow-up","Local Office","CBE","Roxanne")&amp;IF($W213=6," - Final"," - Day "&amp;MAX(0,NETWORKDAYS($X213,TODAY(),Holidays)-1)&amp;" of "&amp;CHOOSE($W213,3,3,2,2,3))&amp;" | Total Day "&amp;MAX(0,NETWORKDAYS($L213,TODAY(),Holidays)-1))</f>
        <v/>
      </c>
      <c r="W213" s="17">
        <f>IF($L213="","",COUNT($L213:$Q213))</f>
        <v/>
      </c>
      <c r="X213" s="18">
        <f>IF($W213="","",INT(INDEX($L213:$Q213,$W213)))</f>
        <v/>
      </c>
      <c r="Y213" s="18">
        <f>IF(OR($W213="",$W213=6),"",WORKDAY($X213,CHOOSE($W213,3,3,2,2,3),Holidays))</f>
        <v/>
      </c>
      <c r="Z213" s="17">
        <f>IF(OR($W213="",$W213=6),"",CHOOSE($W213,"1st Email Follow-up","2nd Email Follow-up","Escalate Local Office","Escalate to CBE","Escalate to Roxanne"))</f>
        <v/>
      </c>
    </row>
    <row r="214" spans="18:26">
      <c r="R214" s="15"/>
      <c r="S214" s="16"/>
      <c r="T214" s="17">
        <f>IF(AND(COUNTA($A214:$K214)=0,$L214=""),"",IF($S214="Paid","PAID",IF($S214="Closed","CLOSED",IF($W214="","",IF($W214=6,"ESCALATED TO ROXANNE",IF(TODAY()&gt;$Y214,"OVERDUE",IF($Y214&lt;=WORKDAY(TODAY(),1,Holidays),"DUE TOMORROW",IF($W214=4,"ESCALATED TO LOCAL OFFICE",IF($W214=5,"ESCALATED TO CBE",IF($X214=TODAY(),"EMAIL SENT","MONITORING"))))))))))</f>
        <v/>
      </c>
      <c r="U214" s="17">
        <f>IF($T214="",IF(AND(COUNTA($A214:$K214)&gt;0,$L214=""),"Awaiting Collection Email time stamp.",""),IF(OR($T214="PAID",$T214="CLOSED"),IF($T214="PAID","Account paid. Action completed.","Account closed. No further action required."),CHOOSE($W214,"Collection Email","1st Email Follow-up","2nd Email Follow-up","Escalation to Local Office","Escalation to CBE","Escalation to Roxanne")&amp;" sent "&amp;TEXT($X214,"dd-mmm")&amp;". "&amp;IF($W214=6,"Final escalation completed.",IF($T214="OVERDUE","Next: "&amp;$Z214&amp;" was due "&amp;TEXT($Y214,"dd-mmm")&amp;" - "&amp;(NETWORKDAYS($Y214,TODAY(),Holidays)-1)&amp;" business day(s) late. Send now.",IF($T214="DUE TOMORROW","Next: "&amp;$Z214&amp;IF($Y214&lt;=TODAY()," is due TODAY ("," is due next business day (")&amp;TEXT($Y214,"dd-mmm")&amp;").","Next: "&amp;$Z214&amp;" due "&amp;TEXT($Y214,"dd-mmm")&amp;" ("&amp;(NETWORKDAYS(TODAY(),$Y214,Holidays)-1)&amp;" business day(s) left).")))))</f>
        <v/>
      </c>
      <c r="V214" s="17">
        <f>IF($W214="","",CHOOSE($W214,"Collection Email","1st Follow-up","2nd Follow-up","Local Office","CBE","Roxanne")&amp;IF($W214=6," - Final"," - Day "&amp;MAX(0,NETWORKDAYS($X214,TODAY(),Holidays)-1)&amp;" of "&amp;CHOOSE($W214,3,3,2,2,3))&amp;" | Total Day "&amp;MAX(0,NETWORKDAYS($L214,TODAY(),Holidays)-1))</f>
        <v/>
      </c>
      <c r="W214" s="17">
        <f>IF($L214="","",COUNT($L214:$Q214))</f>
        <v/>
      </c>
      <c r="X214" s="18">
        <f>IF($W214="","",INT(INDEX($L214:$Q214,$W214)))</f>
        <v/>
      </c>
      <c r="Y214" s="18">
        <f>IF(OR($W214="",$W214=6),"",WORKDAY($X214,CHOOSE($W214,3,3,2,2,3),Holidays))</f>
        <v/>
      </c>
      <c r="Z214" s="17">
        <f>IF(OR($W214="",$W214=6),"",CHOOSE($W214,"1st Email Follow-up","2nd Email Follow-up","Escalate Local Office","Escalate to CBE","Escalate to Roxanne"))</f>
        <v/>
      </c>
    </row>
    <row r="215" spans="18:26">
      <c r="R215" s="15"/>
      <c r="S215" s="16"/>
      <c r="T215" s="17">
        <f>IF(AND(COUNTA($A215:$K215)=0,$L215=""),"",IF($S215="Paid","PAID",IF($S215="Closed","CLOSED",IF($W215="","",IF($W215=6,"ESCALATED TO ROXANNE",IF(TODAY()&gt;$Y215,"OVERDUE",IF($Y215&lt;=WORKDAY(TODAY(),1,Holidays),"DUE TOMORROW",IF($W215=4,"ESCALATED TO LOCAL OFFICE",IF($W215=5,"ESCALATED TO CBE",IF($X215=TODAY(),"EMAIL SENT","MONITORING"))))))))))</f>
        <v/>
      </c>
      <c r="U215" s="17">
        <f>IF($T215="",IF(AND(COUNTA($A215:$K215)&gt;0,$L215=""),"Awaiting Collection Email time stamp.",""),IF(OR($T215="PAID",$T215="CLOSED"),IF($T215="PAID","Account paid. Action completed.","Account closed. No further action required."),CHOOSE($W215,"Collection Email","1st Email Follow-up","2nd Email Follow-up","Escalation to Local Office","Escalation to CBE","Escalation to Roxanne")&amp;" sent "&amp;TEXT($X215,"dd-mmm")&amp;". "&amp;IF($W215=6,"Final escalation completed.",IF($T215="OVERDUE","Next: "&amp;$Z215&amp;" was due "&amp;TEXT($Y215,"dd-mmm")&amp;" - "&amp;(NETWORKDAYS($Y215,TODAY(),Holidays)-1)&amp;" business day(s) late. Send now.",IF($T215="DUE TOMORROW","Next: "&amp;$Z215&amp;IF($Y215&lt;=TODAY()," is due TODAY ("," is due next business day (")&amp;TEXT($Y215,"dd-mmm")&amp;").","Next: "&amp;$Z215&amp;" due "&amp;TEXT($Y215,"dd-mmm")&amp;" ("&amp;(NETWORKDAYS(TODAY(),$Y215,Holidays)-1)&amp;" business day(s) left).")))))</f>
        <v/>
      </c>
      <c r="V215" s="17">
        <f>IF($W215="","",CHOOSE($W215,"Collection Email","1st Follow-up","2nd Follow-up","Local Office","CBE","Roxanne")&amp;IF($W215=6," - Final"," - Day "&amp;MAX(0,NETWORKDAYS($X215,TODAY(),Holidays)-1)&amp;" of "&amp;CHOOSE($W215,3,3,2,2,3))&amp;" | Total Day "&amp;MAX(0,NETWORKDAYS($L215,TODAY(),Holidays)-1))</f>
        <v/>
      </c>
      <c r="W215" s="17">
        <f>IF($L215="","",COUNT($L215:$Q215))</f>
        <v/>
      </c>
      <c r="X215" s="18">
        <f>IF($W215="","",INT(INDEX($L215:$Q215,$W215)))</f>
        <v/>
      </c>
      <c r="Y215" s="18">
        <f>IF(OR($W215="",$W215=6),"",WORKDAY($X215,CHOOSE($W215,3,3,2,2,3),Holidays))</f>
        <v/>
      </c>
      <c r="Z215" s="17">
        <f>IF(OR($W215="",$W215=6),"",CHOOSE($W215,"1st Email Follow-up","2nd Email Follow-up","Escalate Local Office","Escalate to CBE","Escalate to Roxanne"))</f>
        <v/>
      </c>
    </row>
    <row r="216" spans="18:26">
      <c r="R216" s="15"/>
      <c r="S216" s="16"/>
      <c r="T216" s="17">
        <f>IF(AND(COUNTA($A216:$K216)=0,$L216=""),"",IF($S216="Paid","PAID",IF($S216="Closed","CLOSED",IF($W216="","",IF($W216=6,"ESCALATED TO ROXANNE",IF(TODAY()&gt;$Y216,"OVERDUE",IF($Y216&lt;=WORKDAY(TODAY(),1,Holidays),"DUE TOMORROW",IF($W216=4,"ESCALATED TO LOCAL OFFICE",IF($W216=5,"ESCALATED TO CBE",IF($X216=TODAY(),"EMAIL SENT","MONITORING"))))))))))</f>
        <v/>
      </c>
      <c r="U216" s="17">
        <f>IF($T216="",IF(AND(COUNTA($A216:$K216)&gt;0,$L216=""),"Awaiting Collection Email time stamp.",""),IF(OR($T216="PAID",$T216="CLOSED"),IF($T216="PAID","Account paid. Action completed.","Account closed. No further action required."),CHOOSE($W216,"Collection Email","1st Email Follow-up","2nd Email Follow-up","Escalation to Local Office","Escalation to CBE","Escalation to Roxanne")&amp;" sent "&amp;TEXT($X216,"dd-mmm")&amp;". "&amp;IF($W216=6,"Final escalation completed.",IF($T216="OVERDUE","Next: "&amp;$Z216&amp;" was due "&amp;TEXT($Y216,"dd-mmm")&amp;" - "&amp;(NETWORKDAYS($Y216,TODAY(),Holidays)-1)&amp;" business day(s) late. Send now.",IF($T216="DUE TOMORROW","Next: "&amp;$Z216&amp;IF($Y216&lt;=TODAY()," is due TODAY ("," is due next business day (")&amp;TEXT($Y216,"dd-mmm")&amp;").","Next: "&amp;$Z216&amp;" due "&amp;TEXT($Y216,"dd-mmm")&amp;" ("&amp;(NETWORKDAYS(TODAY(),$Y216,Holidays)-1)&amp;" business day(s) left).")))))</f>
        <v/>
      </c>
      <c r="V216" s="17">
        <f>IF($W216="","",CHOOSE($W216,"Collection Email","1st Follow-up","2nd Follow-up","Local Office","CBE","Roxanne")&amp;IF($W216=6," - Final"," - Day "&amp;MAX(0,NETWORKDAYS($X216,TODAY(),Holidays)-1)&amp;" of "&amp;CHOOSE($W216,3,3,2,2,3))&amp;" | Total Day "&amp;MAX(0,NETWORKDAYS($L216,TODAY(),Holidays)-1))</f>
        <v/>
      </c>
      <c r="W216" s="17">
        <f>IF($L216="","",COUNT($L216:$Q216))</f>
        <v/>
      </c>
      <c r="X216" s="18">
        <f>IF($W216="","",INT(INDEX($L216:$Q216,$W216)))</f>
        <v/>
      </c>
      <c r="Y216" s="18">
        <f>IF(OR($W216="",$W216=6),"",WORKDAY($X216,CHOOSE($W216,3,3,2,2,3),Holidays))</f>
        <v/>
      </c>
      <c r="Z216" s="17">
        <f>IF(OR($W216="",$W216=6),"",CHOOSE($W216,"1st Email Follow-up","2nd Email Follow-up","Escalate Local Office","Escalate to CBE","Escalate to Roxanne"))</f>
        <v/>
      </c>
    </row>
    <row r="217" spans="18:26">
      <c r="R217" s="15"/>
      <c r="S217" s="16"/>
      <c r="T217" s="17">
        <f>IF(AND(COUNTA($A217:$K217)=0,$L217=""),"",IF($S217="Paid","PAID",IF($S217="Closed","CLOSED",IF($W217="","",IF($W217=6,"ESCALATED TO ROXANNE",IF(TODAY()&gt;$Y217,"OVERDUE",IF($Y217&lt;=WORKDAY(TODAY(),1,Holidays),"DUE TOMORROW",IF($W217=4,"ESCALATED TO LOCAL OFFICE",IF($W217=5,"ESCALATED TO CBE",IF($X217=TODAY(),"EMAIL SENT","MONITORING"))))))))))</f>
        <v/>
      </c>
      <c r="U217" s="17">
        <f>IF($T217="",IF(AND(COUNTA($A217:$K217)&gt;0,$L217=""),"Awaiting Collection Email time stamp.",""),IF(OR($T217="PAID",$T217="CLOSED"),IF($T217="PAID","Account paid. Action completed.","Account closed. No further action required."),CHOOSE($W217,"Collection Email","1st Email Follow-up","2nd Email Follow-up","Escalation to Local Office","Escalation to CBE","Escalation to Roxanne")&amp;" sent "&amp;TEXT($X217,"dd-mmm")&amp;". "&amp;IF($W217=6,"Final escalation completed.",IF($T217="OVERDUE","Next: "&amp;$Z217&amp;" was due "&amp;TEXT($Y217,"dd-mmm")&amp;" - "&amp;(NETWORKDAYS($Y217,TODAY(),Holidays)-1)&amp;" business day(s) late. Send now.",IF($T217="DUE TOMORROW","Next: "&amp;$Z217&amp;IF($Y217&lt;=TODAY()," is due TODAY ("," is due next business day (")&amp;TEXT($Y217,"dd-mmm")&amp;").","Next: "&amp;$Z217&amp;" due "&amp;TEXT($Y217,"dd-mmm")&amp;" ("&amp;(NETWORKDAYS(TODAY(),$Y217,Holidays)-1)&amp;" business day(s) left).")))))</f>
        <v/>
      </c>
      <c r="V217" s="17">
        <f>IF($W217="","",CHOOSE($W217,"Collection Email","1st Follow-up","2nd Follow-up","Local Office","CBE","Roxanne")&amp;IF($W217=6," - Final"," - Day "&amp;MAX(0,NETWORKDAYS($X217,TODAY(),Holidays)-1)&amp;" of "&amp;CHOOSE($W217,3,3,2,2,3))&amp;" | Total Day "&amp;MAX(0,NETWORKDAYS($L217,TODAY(),Holidays)-1))</f>
        <v/>
      </c>
      <c r="W217" s="17">
        <f>IF($L217="","",COUNT($L217:$Q217))</f>
        <v/>
      </c>
      <c r="X217" s="18">
        <f>IF($W217="","",INT(INDEX($L217:$Q217,$W217)))</f>
        <v/>
      </c>
      <c r="Y217" s="18">
        <f>IF(OR($W217="",$W217=6),"",WORKDAY($X217,CHOOSE($W217,3,3,2,2,3),Holidays))</f>
        <v/>
      </c>
      <c r="Z217" s="17">
        <f>IF(OR($W217="",$W217=6),"",CHOOSE($W217,"1st Email Follow-up","2nd Email Follow-up","Escalate Local Office","Escalate to CBE","Escalate to Roxanne"))</f>
        <v/>
      </c>
    </row>
    <row r="218" spans="18:26">
      <c r="R218" s="15"/>
      <c r="S218" s="16"/>
      <c r="T218" s="17">
        <f>IF(AND(COUNTA($A218:$K218)=0,$L218=""),"",IF($S218="Paid","PAID",IF($S218="Closed","CLOSED",IF($W218="","",IF($W218=6,"ESCALATED TO ROXANNE",IF(TODAY()&gt;$Y218,"OVERDUE",IF($Y218&lt;=WORKDAY(TODAY(),1,Holidays),"DUE TOMORROW",IF($W218=4,"ESCALATED TO LOCAL OFFICE",IF($W218=5,"ESCALATED TO CBE",IF($X218=TODAY(),"EMAIL SENT","MONITORING"))))))))))</f>
        <v/>
      </c>
      <c r="U218" s="17">
        <f>IF($T218="",IF(AND(COUNTA($A218:$K218)&gt;0,$L218=""),"Awaiting Collection Email time stamp.",""),IF(OR($T218="PAID",$T218="CLOSED"),IF($T218="PAID","Account paid. Action completed.","Account closed. No further action required."),CHOOSE($W218,"Collection Email","1st Email Follow-up","2nd Email Follow-up","Escalation to Local Office","Escalation to CBE","Escalation to Roxanne")&amp;" sent "&amp;TEXT($X218,"dd-mmm")&amp;". "&amp;IF($W218=6,"Final escalation completed.",IF($T218="OVERDUE","Next: "&amp;$Z218&amp;" was due "&amp;TEXT($Y218,"dd-mmm")&amp;" - "&amp;(NETWORKDAYS($Y218,TODAY(),Holidays)-1)&amp;" business day(s) late. Send now.",IF($T218="DUE TOMORROW","Next: "&amp;$Z218&amp;IF($Y218&lt;=TODAY()," is due TODAY ("," is due next business day (")&amp;TEXT($Y218,"dd-mmm")&amp;").","Next: "&amp;$Z218&amp;" due "&amp;TEXT($Y218,"dd-mmm")&amp;" ("&amp;(NETWORKDAYS(TODAY(),$Y218,Holidays)-1)&amp;" business day(s) left).")))))</f>
        <v/>
      </c>
      <c r="V218" s="17">
        <f>IF($W218="","",CHOOSE($W218,"Collection Email","1st Follow-up","2nd Follow-up","Local Office","CBE","Roxanne")&amp;IF($W218=6," - Final"," - Day "&amp;MAX(0,NETWORKDAYS($X218,TODAY(),Holidays)-1)&amp;" of "&amp;CHOOSE($W218,3,3,2,2,3))&amp;" | Total Day "&amp;MAX(0,NETWORKDAYS($L218,TODAY(),Holidays)-1))</f>
        <v/>
      </c>
      <c r="W218" s="17">
        <f>IF($L218="","",COUNT($L218:$Q218))</f>
        <v/>
      </c>
      <c r="X218" s="18">
        <f>IF($W218="","",INT(INDEX($L218:$Q218,$W218)))</f>
        <v/>
      </c>
      <c r="Y218" s="18">
        <f>IF(OR($W218="",$W218=6),"",WORKDAY($X218,CHOOSE($W218,3,3,2,2,3),Holidays))</f>
        <v/>
      </c>
      <c r="Z218" s="17">
        <f>IF(OR($W218="",$W218=6),"",CHOOSE($W218,"1st Email Follow-up","2nd Email Follow-up","Escalate Local Office","Escalate to CBE","Escalate to Roxanne"))</f>
        <v/>
      </c>
    </row>
    <row r="219" spans="18:26">
      <c r="R219" s="15"/>
      <c r="S219" s="16"/>
      <c r="T219" s="17">
        <f>IF(AND(COUNTA($A219:$K219)=0,$L219=""),"",IF($S219="Paid","PAID",IF($S219="Closed","CLOSED",IF($W219="","",IF($W219=6,"ESCALATED TO ROXANNE",IF(TODAY()&gt;$Y219,"OVERDUE",IF($Y219&lt;=WORKDAY(TODAY(),1,Holidays),"DUE TOMORROW",IF($W219=4,"ESCALATED TO LOCAL OFFICE",IF($W219=5,"ESCALATED TO CBE",IF($X219=TODAY(),"EMAIL SENT","MONITORING"))))))))))</f>
        <v/>
      </c>
      <c r="U219" s="17">
        <f>IF($T219="",IF(AND(COUNTA($A219:$K219)&gt;0,$L219=""),"Awaiting Collection Email time stamp.",""),IF(OR($T219="PAID",$T219="CLOSED"),IF($T219="PAID","Account paid. Action completed.","Account closed. No further action required."),CHOOSE($W219,"Collection Email","1st Email Follow-up","2nd Email Follow-up","Escalation to Local Office","Escalation to CBE","Escalation to Roxanne")&amp;" sent "&amp;TEXT($X219,"dd-mmm")&amp;". "&amp;IF($W219=6,"Final escalation completed.",IF($T219="OVERDUE","Next: "&amp;$Z219&amp;" was due "&amp;TEXT($Y219,"dd-mmm")&amp;" - "&amp;(NETWORKDAYS($Y219,TODAY(),Holidays)-1)&amp;" business day(s) late. Send now.",IF($T219="DUE TOMORROW","Next: "&amp;$Z219&amp;IF($Y219&lt;=TODAY()," is due TODAY ("," is due next business day (")&amp;TEXT($Y219,"dd-mmm")&amp;").","Next: "&amp;$Z219&amp;" due "&amp;TEXT($Y219,"dd-mmm")&amp;" ("&amp;(NETWORKDAYS(TODAY(),$Y219,Holidays)-1)&amp;" business day(s) left).")))))</f>
        <v/>
      </c>
      <c r="V219" s="17">
        <f>IF($W219="","",CHOOSE($W219,"Collection Email","1st Follow-up","2nd Follow-up","Local Office","CBE","Roxanne")&amp;IF($W219=6," - Final"," - Day "&amp;MAX(0,NETWORKDAYS($X219,TODAY(),Holidays)-1)&amp;" of "&amp;CHOOSE($W219,3,3,2,2,3))&amp;" | Total Day "&amp;MAX(0,NETWORKDAYS($L219,TODAY(),Holidays)-1))</f>
        <v/>
      </c>
      <c r="W219" s="17">
        <f>IF($L219="","",COUNT($L219:$Q219))</f>
        <v/>
      </c>
      <c r="X219" s="18">
        <f>IF($W219="","",INT(INDEX($L219:$Q219,$W219)))</f>
        <v/>
      </c>
      <c r="Y219" s="18">
        <f>IF(OR($W219="",$W219=6),"",WORKDAY($X219,CHOOSE($W219,3,3,2,2,3),Holidays))</f>
        <v/>
      </c>
      <c r="Z219" s="17">
        <f>IF(OR($W219="",$W219=6),"",CHOOSE($W219,"1st Email Follow-up","2nd Email Follow-up","Escalate Local Office","Escalate to CBE","Escalate to Roxanne"))</f>
        <v/>
      </c>
    </row>
    <row r="220" spans="18:26">
      <c r="R220" s="15"/>
      <c r="S220" s="16"/>
      <c r="T220" s="17">
        <f>IF(AND(COUNTA($A220:$K220)=0,$L220=""),"",IF($S220="Paid","PAID",IF($S220="Closed","CLOSED",IF($W220="","",IF($W220=6,"ESCALATED TO ROXANNE",IF(TODAY()&gt;$Y220,"OVERDUE",IF($Y220&lt;=WORKDAY(TODAY(),1,Holidays),"DUE TOMORROW",IF($W220=4,"ESCALATED TO LOCAL OFFICE",IF($W220=5,"ESCALATED TO CBE",IF($X220=TODAY(),"EMAIL SENT","MONITORING"))))))))))</f>
        <v/>
      </c>
      <c r="U220" s="17">
        <f>IF($T220="",IF(AND(COUNTA($A220:$K220)&gt;0,$L220=""),"Awaiting Collection Email time stamp.",""),IF(OR($T220="PAID",$T220="CLOSED"),IF($T220="PAID","Account paid. Action completed.","Account closed. No further action required."),CHOOSE($W220,"Collection Email","1st Email Follow-up","2nd Email Follow-up","Escalation to Local Office","Escalation to CBE","Escalation to Roxanne")&amp;" sent "&amp;TEXT($X220,"dd-mmm")&amp;". "&amp;IF($W220=6,"Final escalation completed.",IF($T220="OVERDUE","Next: "&amp;$Z220&amp;" was due "&amp;TEXT($Y220,"dd-mmm")&amp;" - "&amp;(NETWORKDAYS($Y220,TODAY(),Holidays)-1)&amp;" business day(s) late. Send now.",IF($T220="DUE TOMORROW","Next: "&amp;$Z220&amp;IF($Y220&lt;=TODAY()," is due TODAY ("," is due next business day (")&amp;TEXT($Y220,"dd-mmm")&amp;").","Next: "&amp;$Z220&amp;" due "&amp;TEXT($Y220,"dd-mmm")&amp;" ("&amp;(NETWORKDAYS(TODAY(),$Y220,Holidays)-1)&amp;" business day(s) left).")))))</f>
        <v/>
      </c>
      <c r="V220" s="17">
        <f>IF($W220="","",CHOOSE($W220,"Collection Email","1st Follow-up","2nd Follow-up","Local Office","CBE","Roxanne")&amp;IF($W220=6," - Final"," - Day "&amp;MAX(0,NETWORKDAYS($X220,TODAY(),Holidays)-1)&amp;" of "&amp;CHOOSE($W220,3,3,2,2,3))&amp;" | Total Day "&amp;MAX(0,NETWORKDAYS($L220,TODAY(),Holidays)-1))</f>
        <v/>
      </c>
      <c r="W220" s="17">
        <f>IF($L220="","",COUNT($L220:$Q220))</f>
        <v/>
      </c>
      <c r="X220" s="18">
        <f>IF($W220="","",INT(INDEX($L220:$Q220,$W220)))</f>
        <v/>
      </c>
      <c r="Y220" s="18">
        <f>IF(OR($W220="",$W220=6),"",WORKDAY($X220,CHOOSE($W220,3,3,2,2,3),Holidays))</f>
        <v/>
      </c>
      <c r="Z220" s="17">
        <f>IF(OR($W220="",$W220=6),"",CHOOSE($W220,"1st Email Follow-up","2nd Email Follow-up","Escalate Local Office","Escalate to CBE","Escalate to Roxanne"))</f>
        <v/>
      </c>
    </row>
    <row r="221" spans="18:26">
      <c r="R221" s="15"/>
      <c r="S221" s="16"/>
      <c r="T221" s="17">
        <f>IF(AND(COUNTA($A221:$K221)=0,$L221=""),"",IF($S221="Paid","PAID",IF($S221="Closed","CLOSED",IF($W221="","",IF($W221=6,"ESCALATED TO ROXANNE",IF(TODAY()&gt;$Y221,"OVERDUE",IF($Y221&lt;=WORKDAY(TODAY(),1,Holidays),"DUE TOMORROW",IF($W221=4,"ESCALATED TO LOCAL OFFICE",IF($W221=5,"ESCALATED TO CBE",IF($X221=TODAY(),"EMAIL SENT","MONITORING"))))))))))</f>
        <v/>
      </c>
      <c r="U221" s="17">
        <f>IF($T221="",IF(AND(COUNTA($A221:$K221)&gt;0,$L221=""),"Awaiting Collection Email time stamp.",""),IF(OR($T221="PAID",$T221="CLOSED"),IF($T221="PAID","Account paid. Action completed.","Account closed. No further action required."),CHOOSE($W221,"Collection Email","1st Email Follow-up","2nd Email Follow-up","Escalation to Local Office","Escalation to CBE","Escalation to Roxanne")&amp;" sent "&amp;TEXT($X221,"dd-mmm")&amp;". "&amp;IF($W221=6,"Final escalation completed.",IF($T221="OVERDUE","Next: "&amp;$Z221&amp;" was due "&amp;TEXT($Y221,"dd-mmm")&amp;" - "&amp;(NETWORKDAYS($Y221,TODAY(),Holidays)-1)&amp;" business day(s) late. Send now.",IF($T221="DUE TOMORROW","Next: "&amp;$Z221&amp;IF($Y221&lt;=TODAY()," is due TODAY ("," is due next business day (")&amp;TEXT($Y221,"dd-mmm")&amp;").","Next: "&amp;$Z221&amp;" due "&amp;TEXT($Y221,"dd-mmm")&amp;" ("&amp;(NETWORKDAYS(TODAY(),$Y221,Holidays)-1)&amp;" business day(s) left).")))))</f>
        <v/>
      </c>
      <c r="V221" s="17">
        <f>IF($W221="","",CHOOSE($W221,"Collection Email","1st Follow-up","2nd Follow-up","Local Office","CBE","Roxanne")&amp;IF($W221=6," - Final"," - Day "&amp;MAX(0,NETWORKDAYS($X221,TODAY(),Holidays)-1)&amp;" of "&amp;CHOOSE($W221,3,3,2,2,3))&amp;" | Total Day "&amp;MAX(0,NETWORKDAYS($L221,TODAY(),Holidays)-1))</f>
        <v/>
      </c>
      <c r="W221" s="17">
        <f>IF($L221="","",COUNT($L221:$Q221))</f>
        <v/>
      </c>
      <c r="X221" s="18">
        <f>IF($W221="","",INT(INDEX($L221:$Q221,$W221)))</f>
        <v/>
      </c>
      <c r="Y221" s="18">
        <f>IF(OR($W221="",$W221=6),"",WORKDAY($X221,CHOOSE($W221,3,3,2,2,3),Holidays))</f>
        <v/>
      </c>
      <c r="Z221" s="17">
        <f>IF(OR($W221="",$W221=6),"",CHOOSE($W221,"1st Email Follow-up","2nd Email Follow-up","Escalate Local Office","Escalate to CBE","Escalate to Roxanne"))</f>
        <v/>
      </c>
    </row>
    <row r="222" spans="18:26">
      <c r="R222" s="15"/>
      <c r="S222" s="16"/>
      <c r="T222" s="17">
        <f>IF(AND(COUNTA($A222:$K222)=0,$L222=""),"",IF($S222="Paid","PAID",IF($S222="Closed","CLOSED",IF($W222="","",IF($W222=6,"ESCALATED TO ROXANNE",IF(TODAY()&gt;$Y222,"OVERDUE",IF($Y222&lt;=WORKDAY(TODAY(),1,Holidays),"DUE TOMORROW",IF($W222=4,"ESCALATED TO LOCAL OFFICE",IF($W222=5,"ESCALATED TO CBE",IF($X222=TODAY(),"EMAIL SENT","MONITORING"))))))))))</f>
        <v/>
      </c>
      <c r="U222" s="17">
        <f>IF($T222="",IF(AND(COUNTA($A222:$K222)&gt;0,$L222=""),"Awaiting Collection Email time stamp.",""),IF(OR($T222="PAID",$T222="CLOSED"),IF($T222="PAID","Account paid. Action completed.","Account closed. No further action required."),CHOOSE($W222,"Collection Email","1st Email Follow-up","2nd Email Follow-up","Escalation to Local Office","Escalation to CBE","Escalation to Roxanne")&amp;" sent "&amp;TEXT($X222,"dd-mmm")&amp;". "&amp;IF($W222=6,"Final escalation completed.",IF($T222="OVERDUE","Next: "&amp;$Z222&amp;" was due "&amp;TEXT($Y222,"dd-mmm")&amp;" - "&amp;(NETWORKDAYS($Y222,TODAY(),Holidays)-1)&amp;" business day(s) late. Send now.",IF($T222="DUE TOMORROW","Next: "&amp;$Z222&amp;IF($Y222&lt;=TODAY()," is due TODAY ("," is due next business day (")&amp;TEXT($Y222,"dd-mmm")&amp;").","Next: "&amp;$Z222&amp;" due "&amp;TEXT($Y222,"dd-mmm")&amp;" ("&amp;(NETWORKDAYS(TODAY(),$Y222,Holidays)-1)&amp;" business day(s) left).")))))</f>
        <v/>
      </c>
      <c r="V222" s="17">
        <f>IF($W222="","",CHOOSE($W222,"Collection Email","1st Follow-up","2nd Follow-up","Local Office","CBE","Roxanne")&amp;IF($W222=6," - Final"," - Day "&amp;MAX(0,NETWORKDAYS($X222,TODAY(),Holidays)-1)&amp;" of "&amp;CHOOSE($W222,3,3,2,2,3))&amp;" | Total Day "&amp;MAX(0,NETWORKDAYS($L222,TODAY(),Holidays)-1))</f>
        <v/>
      </c>
      <c r="W222" s="17">
        <f>IF($L222="","",COUNT($L222:$Q222))</f>
        <v/>
      </c>
      <c r="X222" s="18">
        <f>IF($W222="","",INT(INDEX($L222:$Q222,$W222)))</f>
        <v/>
      </c>
      <c r="Y222" s="18">
        <f>IF(OR($W222="",$W222=6),"",WORKDAY($X222,CHOOSE($W222,3,3,2,2,3),Holidays))</f>
        <v/>
      </c>
      <c r="Z222" s="17">
        <f>IF(OR($W222="",$W222=6),"",CHOOSE($W222,"1st Email Follow-up","2nd Email Follow-up","Escalate Local Office","Escalate to CBE","Escalate to Roxanne"))</f>
        <v/>
      </c>
    </row>
    <row r="223" spans="18:26">
      <c r="R223" s="15"/>
      <c r="S223" s="16"/>
      <c r="T223" s="17">
        <f>IF(AND(COUNTA($A223:$K223)=0,$L223=""),"",IF($S223="Paid","PAID",IF($S223="Closed","CLOSED",IF($W223="","",IF($W223=6,"ESCALATED TO ROXANNE",IF(TODAY()&gt;$Y223,"OVERDUE",IF($Y223&lt;=WORKDAY(TODAY(),1,Holidays),"DUE TOMORROW",IF($W223=4,"ESCALATED TO LOCAL OFFICE",IF($W223=5,"ESCALATED TO CBE",IF($X223=TODAY(),"EMAIL SENT","MONITORING"))))))))))</f>
        <v/>
      </c>
      <c r="U223" s="17">
        <f>IF($T223="",IF(AND(COUNTA($A223:$K223)&gt;0,$L223=""),"Awaiting Collection Email time stamp.",""),IF(OR($T223="PAID",$T223="CLOSED"),IF($T223="PAID","Account paid. Action completed.","Account closed. No further action required."),CHOOSE($W223,"Collection Email","1st Email Follow-up","2nd Email Follow-up","Escalation to Local Office","Escalation to CBE","Escalation to Roxanne")&amp;" sent "&amp;TEXT($X223,"dd-mmm")&amp;". "&amp;IF($W223=6,"Final escalation completed.",IF($T223="OVERDUE","Next: "&amp;$Z223&amp;" was due "&amp;TEXT($Y223,"dd-mmm")&amp;" - "&amp;(NETWORKDAYS($Y223,TODAY(),Holidays)-1)&amp;" business day(s) late. Send now.",IF($T223="DUE TOMORROW","Next: "&amp;$Z223&amp;IF($Y223&lt;=TODAY()," is due TODAY ("," is due next business day (")&amp;TEXT($Y223,"dd-mmm")&amp;").","Next: "&amp;$Z223&amp;" due "&amp;TEXT($Y223,"dd-mmm")&amp;" ("&amp;(NETWORKDAYS(TODAY(),$Y223,Holidays)-1)&amp;" business day(s) left).")))))</f>
        <v/>
      </c>
      <c r="V223" s="17">
        <f>IF($W223="","",CHOOSE($W223,"Collection Email","1st Follow-up","2nd Follow-up","Local Office","CBE","Roxanne")&amp;IF($W223=6," - Final"," - Day "&amp;MAX(0,NETWORKDAYS($X223,TODAY(),Holidays)-1)&amp;" of "&amp;CHOOSE($W223,3,3,2,2,3))&amp;" | Total Day "&amp;MAX(0,NETWORKDAYS($L223,TODAY(),Holidays)-1))</f>
        <v/>
      </c>
      <c r="W223" s="17">
        <f>IF($L223="","",COUNT($L223:$Q223))</f>
        <v/>
      </c>
      <c r="X223" s="18">
        <f>IF($W223="","",INT(INDEX($L223:$Q223,$W223)))</f>
        <v/>
      </c>
      <c r="Y223" s="18">
        <f>IF(OR($W223="",$W223=6),"",WORKDAY($X223,CHOOSE($W223,3,3,2,2,3),Holidays))</f>
        <v/>
      </c>
      <c r="Z223" s="17">
        <f>IF(OR($W223="",$W223=6),"",CHOOSE($W223,"1st Email Follow-up","2nd Email Follow-up","Escalate Local Office","Escalate to CBE","Escalate to Roxanne"))</f>
        <v/>
      </c>
    </row>
    <row r="224" spans="18:26">
      <c r="R224" s="15"/>
      <c r="S224" s="16"/>
      <c r="T224" s="17">
        <f>IF(AND(COUNTA($A224:$K224)=0,$L224=""),"",IF($S224="Paid","PAID",IF($S224="Closed","CLOSED",IF($W224="","",IF($W224=6,"ESCALATED TO ROXANNE",IF(TODAY()&gt;$Y224,"OVERDUE",IF($Y224&lt;=WORKDAY(TODAY(),1,Holidays),"DUE TOMORROW",IF($W224=4,"ESCALATED TO LOCAL OFFICE",IF($W224=5,"ESCALATED TO CBE",IF($X224=TODAY(),"EMAIL SENT","MONITORING"))))))))))</f>
        <v/>
      </c>
      <c r="U224" s="17">
        <f>IF($T224="",IF(AND(COUNTA($A224:$K224)&gt;0,$L224=""),"Awaiting Collection Email time stamp.",""),IF(OR($T224="PAID",$T224="CLOSED"),IF($T224="PAID","Account paid. Action completed.","Account closed. No further action required."),CHOOSE($W224,"Collection Email","1st Email Follow-up","2nd Email Follow-up","Escalation to Local Office","Escalation to CBE","Escalation to Roxanne")&amp;" sent "&amp;TEXT($X224,"dd-mmm")&amp;". "&amp;IF($W224=6,"Final escalation completed.",IF($T224="OVERDUE","Next: "&amp;$Z224&amp;" was due "&amp;TEXT($Y224,"dd-mmm")&amp;" - "&amp;(NETWORKDAYS($Y224,TODAY(),Holidays)-1)&amp;" business day(s) late. Send now.",IF($T224="DUE TOMORROW","Next: "&amp;$Z224&amp;IF($Y224&lt;=TODAY()," is due TODAY ("," is due next business day (")&amp;TEXT($Y224,"dd-mmm")&amp;").","Next: "&amp;$Z224&amp;" due "&amp;TEXT($Y224,"dd-mmm")&amp;" ("&amp;(NETWORKDAYS(TODAY(),$Y224,Holidays)-1)&amp;" business day(s) left).")))))</f>
        <v/>
      </c>
      <c r="V224" s="17">
        <f>IF($W224="","",CHOOSE($W224,"Collection Email","1st Follow-up","2nd Follow-up","Local Office","CBE","Roxanne")&amp;IF($W224=6," - Final"," - Day "&amp;MAX(0,NETWORKDAYS($X224,TODAY(),Holidays)-1)&amp;" of "&amp;CHOOSE($W224,3,3,2,2,3))&amp;" | Total Day "&amp;MAX(0,NETWORKDAYS($L224,TODAY(),Holidays)-1))</f>
        <v/>
      </c>
      <c r="W224" s="17">
        <f>IF($L224="","",COUNT($L224:$Q224))</f>
        <v/>
      </c>
      <c r="X224" s="18">
        <f>IF($W224="","",INT(INDEX($L224:$Q224,$W224)))</f>
        <v/>
      </c>
      <c r="Y224" s="18">
        <f>IF(OR($W224="",$W224=6),"",WORKDAY($X224,CHOOSE($W224,3,3,2,2,3),Holidays))</f>
        <v/>
      </c>
      <c r="Z224" s="17">
        <f>IF(OR($W224="",$W224=6),"",CHOOSE($W224,"1st Email Follow-up","2nd Email Follow-up","Escalate Local Office","Escalate to CBE","Escalate to Roxanne"))</f>
        <v/>
      </c>
    </row>
    <row r="225" spans="18:26">
      <c r="R225" s="15"/>
      <c r="S225" s="16"/>
      <c r="T225" s="17">
        <f>IF(AND(COUNTA($A225:$K225)=0,$L225=""),"",IF($S225="Paid","PAID",IF($S225="Closed","CLOSED",IF($W225="","",IF($W225=6,"ESCALATED TO ROXANNE",IF(TODAY()&gt;$Y225,"OVERDUE",IF($Y225&lt;=WORKDAY(TODAY(),1,Holidays),"DUE TOMORROW",IF($W225=4,"ESCALATED TO LOCAL OFFICE",IF($W225=5,"ESCALATED TO CBE",IF($X225=TODAY(),"EMAIL SENT","MONITORING"))))))))))</f>
        <v/>
      </c>
      <c r="U225" s="17">
        <f>IF($T225="",IF(AND(COUNTA($A225:$K225)&gt;0,$L225=""),"Awaiting Collection Email time stamp.",""),IF(OR($T225="PAID",$T225="CLOSED"),IF($T225="PAID","Account paid. Action completed.","Account closed. No further action required."),CHOOSE($W225,"Collection Email","1st Email Follow-up","2nd Email Follow-up","Escalation to Local Office","Escalation to CBE","Escalation to Roxanne")&amp;" sent "&amp;TEXT($X225,"dd-mmm")&amp;". "&amp;IF($W225=6,"Final escalation completed.",IF($T225="OVERDUE","Next: "&amp;$Z225&amp;" was due "&amp;TEXT($Y225,"dd-mmm")&amp;" - "&amp;(NETWORKDAYS($Y225,TODAY(),Holidays)-1)&amp;" business day(s) late. Send now.",IF($T225="DUE TOMORROW","Next: "&amp;$Z225&amp;IF($Y225&lt;=TODAY()," is due TODAY ("," is due next business day (")&amp;TEXT($Y225,"dd-mmm")&amp;").","Next: "&amp;$Z225&amp;" due "&amp;TEXT($Y225,"dd-mmm")&amp;" ("&amp;(NETWORKDAYS(TODAY(),$Y225,Holidays)-1)&amp;" business day(s) left).")))))</f>
        <v/>
      </c>
      <c r="V225" s="17">
        <f>IF($W225="","",CHOOSE($W225,"Collection Email","1st Follow-up","2nd Follow-up","Local Office","CBE","Roxanne")&amp;IF($W225=6," - Final"," - Day "&amp;MAX(0,NETWORKDAYS($X225,TODAY(),Holidays)-1)&amp;" of "&amp;CHOOSE($W225,3,3,2,2,3))&amp;" | Total Day "&amp;MAX(0,NETWORKDAYS($L225,TODAY(),Holidays)-1))</f>
        <v/>
      </c>
      <c r="W225" s="17">
        <f>IF($L225="","",COUNT($L225:$Q225))</f>
        <v/>
      </c>
      <c r="X225" s="18">
        <f>IF($W225="","",INT(INDEX($L225:$Q225,$W225)))</f>
        <v/>
      </c>
      <c r="Y225" s="18">
        <f>IF(OR($W225="",$W225=6),"",WORKDAY($X225,CHOOSE($W225,3,3,2,2,3),Holidays))</f>
        <v/>
      </c>
      <c r="Z225" s="17">
        <f>IF(OR($W225="",$W225=6),"",CHOOSE($W225,"1st Email Follow-up","2nd Email Follow-up","Escalate Local Office","Escalate to CBE","Escalate to Roxanne"))</f>
        <v/>
      </c>
    </row>
    <row r="226" spans="18:26">
      <c r="R226" s="15"/>
      <c r="S226" s="16"/>
      <c r="T226" s="17">
        <f>IF(AND(COUNTA($A226:$K226)=0,$L226=""),"",IF($S226="Paid","PAID",IF($S226="Closed","CLOSED",IF($W226="","",IF($W226=6,"ESCALATED TO ROXANNE",IF(TODAY()&gt;$Y226,"OVERDUE",IF($Y226&lt;=WORKDAY(TODAY(),1,Holidays),"DUE TOMORROW",IF($W226=4,"ESCALATED TO LOCAL OFFICE",IF($W226=5,"ESCALATED TO CBE",IF($X226=TODAY(),"EMAIL SENT","MONITORING"))))))))))</f>
        <v/>
      </c>
      <c r="U226" s="17">
        <f>IF($T226="",IF(AND(COUNTA($A226:$K226)&gt;0,$L226=""),"Awaiting Collection Email time stamp.",""),IF(OR($T226="PAID",$T226="CLOSED"),IF($T226="PAID","Account paid. Action completed.","Account closed. No further action required."),CHOOSE($W226,"Collection Email","1st Email Follow-up","2nd Email Follow-up","Escalation to Local Office","Escalation to CBE","Escalation to Roxanne")&amp;" sent "&amp;TEXT($X226,"dd-mmm")&amp;". "&amp;IF($W226=6,"Final escalation completed.",IF($T226="OVERDUE","Next: "&amp;$Z226&amp;" was due "&amp;TEXT($Y226,"dd-mmm")&amp;" - "&amp;(NETWORKDAYS($Y226,TODAY(),Holidays)-1)&amp;" business day(s) late. Send now.",IF($T226="DUE TOMORROW","Next: "&amp;$Z226&amp;IF($Y226&lt;=TODAY()," is due TODAY ("," is due next business day (")&amp;TEXT($Y226,"dd-mmm")&amp;").","Next: "&amp;$Z226&amp;" due "&amp;TEXT($Y226,"dd-mmm")&amp;" ("&amp;(NETWORKDAYS(TODAY(),$Y226,Holidays)-1)&amp;" business day(s) left).")))))</f>
        <v/>
      </c>
      <c r="V226" s="17">
        <f>IF($W226="","",CHOOSE($W226,"Collection Email","1st Follow-up","2nd Follow-up","Local Office","CBE","Roxanne")&amp;IF($W226=6," - Final"," - Day "&amp;MAX(0,NETWORKDAYS($X226,TODAY(),Holidays)-1)&amp;" of "&amp;CHOOSE($W226,3,3,2,2,3))&amp;" | Total Day "&amp;MAX(0,NETWORKDAYS($L226,TODAY(),Holidays)-1))</f>
        <v/>
      </c>
      <c r="W226" s="17">
        <f>IF($L226="","",COUNT($L226:$Q226))</f>
        <v/>
      </c>
      <c r="X226" s="18">
        <f>IF($W226="","",INT(INDEX($L226:$Q226,$W226)))</f>
        <v/>
      </c>
      <c r="Y226" s="18">
        <f>IF(OR($W226="",$W226=6),"",WORKDAY($X226,CHOOSE($W226,3,3,2,2,3),Holidays))</f>
        <v/>
      </c>
      <c r="Z226" s="17">
        <f>IF(OR($W226="",$W226=6),"",CHOOSE($W226,"1st Email Follow-up","2nd Email Follow-up","Escalate Local Office","Escalate to CBE","Escalate to Roxanne"))</f>
        <v/>
      </c>
    </row>
    <row r="227" spans="18:26">
      <c r="R227" s="15"/>
      <c r="S227" s="16"/>
      <c r="T227" s="17">
        <f>IF(AND(COUNTA($A227:$K227)=0,$L227=""),"",IF($S227="Paid","PAID",IF($S227="Closed","CLOSED",IF($W227="","",IF($W227=6,"ESCALATED TO ROXANNE",IF(TODAY()&gt;$Y227,"OVERDUE",IF($Y227&lt;=WORKDAY(TODAY(),1,Holidays),"DUE TOMORROW",IF($W227=4,"ESCALATED TO LOCAL OFFICE",IF($W227=5,"ESCALATED TO CBE",IF($X227=TODAY(),"EMAIL SENT","MONITORING"))))))))))</f>
        <v/>
      </c>
      <c r="U227" s="17">
        <f>IF($T227="",IF(AND(COUNTA($A227:$K227)&gt;0,$L227=""),"Awaiting Collection Email time stamp.",""),IF(OR($T227="PAID",$T227="CLOSED"),IF($T227="PAID","Account paid. Action completed.","Account closed. No further action required."),CHOOSE($W227,"Collection Email","1st Email Follow-up","2nd Email Follow-up","Escalation to Local Office","Escalation to CBE","Escalation to Roxanne")&amp;" sent "&amp;TEXT($X227,"dd-mmm")&amp;". "&amp;IF($W227=6,"Final escalation completed.",IF($T227="OVERDUE","Next: "&amp;$Z227&amp;" was due "&amp;TEXT($Y227,"dd-mmm")&amp;" - "&amp;(NETWORKDAYS($Y227,TODAY(),Holidays)-1)&amp;" business day(s) late. Send now.",IF($T227="DUE TOMORROW","Next: "&amp;$Z227&amp;IF($Y227&lt;=TODAY()," is due TODAY ("," is due next business day (")&amp;TEXT($Y227,"dd-mmm")&amp;").","Next: "&amp;$Z227&amp;" due "&amp;TEXT($Y227,"dd-mmm")&amp;" ("&amp;(NETWORKDAYS(TODAY(),$Y227,Holidays)-1)&amp;" business day(s) left).")))))</f>
        <v/>
      </c>
      <c r="V227" s="17">
        <f>IF($W227="","",CHOOSE($W227,"Collection Email","1st Follow-up","2nd Follow-up","Local Office","CBE","Roxanne")&amp;IF($W227=6," - Final"," - Day "&amp;MAX(0,NETWORKDAYS($X227,TODAY(),Holidays)-1)&amp;" of "&amp;CHOOSE($W227,3,3,2,2,3))&amp;" | Total Day "&amp;MAX(0,NETWORKDAYS($L227,TODAY(),Holidays)-1))</f>
        <v/>
      </c>
      <c r="W227" s="17">
        <f>IF($L227="","",COUNT($L227:$Q227))</f>
        <v/>
      </c>
      <c r="X227" s="18">
        <f>IF($W227="","",INT(INDEX($L227:$Q227,$W227)))</f>
        <v/>
      </c>
      <c r="Y227" s="18">
        <f>IF(OR($W227="",$W227=6),"",WORKDAY($X227,CHOOSE($W227,3,3,2,2,3),Holidays))</f>
        <v/>
      </c>
      <c r="Z227" s="17">
        <f>IF(OR($W227="",$W227=6),"",CHOOSE($W227,"1st Email Follow-up","2nd Email Follow-up","Escalate Local Office","Escalate to CBE","Escalate to Roxanne"))</f>
        <v/>
      </c>
    </row>
    <row r="228" spans="18:26">
      <c r="R228" s="15"/>
      <c r="S228" s="16"/>
      <c r="T228" s="17">
        <f>IF(AND(COUNTA($A228:$K228)=0,$L228=""),"",IF($S228="Paid","PAID",IF($S228="Closed","CLOSED",IF($W228="","",IF($W228=6,"ESCALATED TO ROXANNE",IF(TODAY()&gt;$Y228,"OVERDUE",IF($Y228&lt;=WORKDAY(TODAY(),1,Holidays),"DUE TOMORROW",IF($W228=4,"ESCALATED TO LOCAL OFFICE",IF($W228=5,"ESCALATED TO CBE",IF($X228=TODAY(),"EMAIL SENT","MONITORING"))))))))))</f>
        <v/>
      </c>
      <c r="U228" s="17">
        <f>IF($T228="",IF(AND(COUNTA($A228:$K228)&gt;0,$L228=""),"Awaiting Collection Email time stamp.",""),IF(OR($T228="PAID",$T228="CLOSED"),IF($T228="PAID","Account paid. Action completed.","Account closed. No further action required."),CHOOSE($W228,"Collection Email","1st Email Follow-up","2nd Email Follow-up","Escalation to Local Office","Escalation to CBE","Escalation to Roxanne")&amp;" sent "&amp;TEXT($X228,"dd-mmm")&amp;". "&amp;IF($W228=6,"Final escalation completed.",IF($T228="OVERDUE","Next: "&amp;$Z228&amp;" was due "&amp;TEXT($Y228,"dd-mmm")&amp;" - "&amp;(NETWORKDAYS($Y228,TODAY(),Holidays)-1)&amp;" business day(s) late. Send now.",IF($T228="DUE TOMORROW","Next: "&amp;$Z228&amp;IF($Y228&lt;=TODAY()," is due TODAY ("," is due next business day (")&amp;TEXT($Y228,"dd-mmm")&amp;").","Next: "&amp;$Z228&amp;" due "&amp;TEXT($Y228,"dd-mmm")&amp;" ("&amp;(NETWORKDAYS(TODAY(),$Y228,Holidays)-1)&amp;" business day(s) left).")))))</f>
        <v/>
      </c>
      <c r="V228" s="17">
        <f>IF($W228="","",CHOOSE($W228,"Collection Email","1st Follow-up","2nd Follow-up","Local Office","CBE","Roxanne")&amp;IF($W228=6," - Final"," - Day "&amp;MAX(0,NETWORKDAYS($X228,TODAY(),Holidays)-1)&amp;" of "&amp;CHOOSE($W228,3,3,2,2,3))&amp;" | Total Day "&amp;MAX(0,NETWORKDAYS($L228,TODAY(),Holidays)-1))</f>
        <v/>
      </c>
      <c r="W228" s="17">
        <f>IF($L228="","",COUNT($L228:$Q228))</f>
        <v/>
      </c>
      <c r="X228" s="18">
        <f>IF($W228="","",INT(INDEX($L228:$Q228,$W228)))</f>
        <v/>
      </c>
      <c r="Y228" s="18">
        <f>IF(OR($W228="",$W228=6),"",WORKDAY($X228,CHOOSE($W228,3,3,2,2,3),Holidays))</f>
        <v/>
      </c>
      <c r="Z228" s="17">
        <f>IF(OR($W228="",$W228=6),"",CHOOSE($W228,"1st Email Follow-up","2nd Email Follow-up","Escalate Local Office","Escalate to CBE","Escalate to Roxanne"))</f>
        <v/>
      </c>
    </row>
    <row r="229" spans="18:26">
      <c r="R229" s="15"/>
      <c r="S229" s="16"/>
      <c r="T229" s="17">
        <f>IF(AND(COUNTA($A229:$K229)=0,$L229=""),"",IF($S229="Paid","PAID",IF($S229="Closed","CLOSED",IF($W229="","",IF($W229=6,"ESCALATED TO ROXANNE",IF(TODAY()&gt;$Y229,"OVERDUE",IF($Y229&lt;=WORKDAY(TODAY(),1,Holidays),"DUE TOMORROW",IF($W229=4,"ESCALATED TO LOCAL OFFICE",IF($W229=5,"ESCALATED TO CBE",IF($X229=TODAY(),"EMAIL SENT","MONITORING"))))))))))</f>
        <v/>
      </c>
      <c r="U229" s="17">
        <f>IF($T229="",IF(AND(COUNTA($A229:$K229)&gt;0,$L229=""),"Awaiting Collection Email time stamp.",""),IF(OR($T229="PAID",$T229="CLOSED"),IF($T229="PAID","Account paid. Action completed.","Account closed. No further action required."),CHOOSE($W229,"Collection Email","1st Email Follow-up","2nd Email Follow-up","Escalation to Local Office","Escalation to CBE","Escalation to Roxanne")&amp;" sent "&amp;TEXT($X229,"dd-mmm")&amp;". "&amp;IF($W229=6,"Final escalation completed.",IF($T229="OVERDUE","Next: "&amp;$Z229&amp;" was due "&amp;TEXT($Y229,"dd-mmm")&amp;" - "&amp;(NETWORKDAYS($Y229,TODAY(),Holidays)-1)&amp;" business day(s) late. Send now.",IF($T229="DUE TOMORROW","Next: "&amp;$Z229&amp;IF($Y229&lt;=TODAY()," is due TODAY ("," is due next business day (")&amp;TEXT($Y229,"dd-mmm")&amp;").","Next: "&amp;$Z229&amp;" due "&amp;TEXT($Y229,"dd-mmm")&amp;" ("&amp;(NETWORKDAYS(TODAY(),$Y229,Holidays)-1)&amp;" business day(s) left).")))))</f>
        <v/>
      </c>
      <c r="V229" s="17">
        <f>IF($W229="","",CHOOSE($W229,"Collection Email","1st Follow-up","2nd Follow-up","Local Office","CBE","Roxanne")&amp;IF($W229=6," - Final"," - Day "&amp;MAX(0,NETWORKDAYS($X229,TODAY(),Holidays)-1)&amp;" of "&amp;CHOOSE($W229,3,3,2,2,3))&amp;" | Total Day "&amp;MAX(0,NETWORKDAYS($L229,TODAY(),Holidays)-1))</f>
        <v/>
      </c>
      <c r="W229" s="17">
        <f>IF($L229="","",COUNT($L229:$Q229))</f>
        <v/>
      </c>
      <c r="X229" s="18">
        <f>IF($W229="","",INT(INDEX($L229:$Q229,$W229)))</f>
        <v/>
      </c>
      <c r="Y229" s="18">
        <f>IF(OR($W229="",$W229=6),"",WORKDAY($X229,CHOOSE($W229,3,3,2,2,3),Holidays))</f>
        <v/>
      </c>
      <c r="Z229" s="17">
        <f>IF(OR($W229="",$W229=6),"",CHOOSE($W229,"1st Email Follow-up","2nd Email Follow-up","Escalate Local Office","Escalate to CBE","Escalate to Roxanne"))</f>
        <v/>
      </c>
    </row>
    <row r="230" spans="18:26">
      <c r="R230" s="15"/>
      <c r="S230" s="16"/>
      <c r="T230" s="17">
        <f>IF(AND(COUNTA($A230:$K230)=0,$L230=""),"",IF($S230="Paid","PAID",IF($S230="Closed","CLOSED",IF($W230="","",IF($W230=6,"ESCALATED TO ROXANNE",IF(TODAY()&gt;$Y230,"OVERDUE",IF($Y230&lt;=WORKDAY(TODAY(),1,Holidays),"DUE TOMORROW",IF($W230=4,"ESCALATED TO LOCAL OFFICE",IF($W230=5,"ESCALATED TO CBE",IF($X230=TODAY(),"EMAIL SENT","MONITORING"))))))))))</f>
        <v/>
      </c>
      <c r="U230" s="17">
        <f>IF($T230="",IF(AND(COUNTA($A230:$K230)&gt;0,$L230=""),"Awaiting Collection Email time stamp.",""),IF(OR($T230="PAID",$T230="CLOSED"),IF($T230="PAID","Account paid. Action completed.","Account closed. No further action required."),CHOOSE($W230,"Collection Email","1st Email Follow-up","2nd Email Follow-up","Escalation to Local Office","Escalation to CBE","Escalation to Roxanne")&amp;" sent "&amp;TEXT($X230,"dd-mmm")&amp;". "&amp;IF($W230=6,"Final escalation completed.",IF($T230="OVERDUE","Next: "&amp;$Z230&amp;" was due "&amp;TEXT($Y230,"dd-mmm")&amp;" - "&amp;(NETWORKDAYS($Y230,TODAY(),Holidays)-1)&amp;" business day(s) late. Send now.",IF($T230="DUE TOMORROW","Next: "&amp;$Z230&amp;IF($Y230&lt;=TODAY()," is due TODAY ("," is due next business day (")&amp;TEXT($Y230,"dd-mmm")&amp;").","Next: "&amp;$Z230&amp;" due "&amp;TEXT($Y230,"dd-mmm")&amp;" ("&amp;(NETWORKDAYS(TODAY(),$Y230,Holidays)-1)&amp;" business day(s) left).")))))</f>
        <v/>
      </c>
      <c r="V230" s="17">
        <f>IF($W230="","",CHOOSE($W230,"Collection Email","1st Follow-up","2nd Follow-up","Local Office","CBE","Roxanne")&amp;IF($W230=6," - Final"," - Day "&amp;MAX(0,NETWORKDAYS($X230,TODAY(),Holidays)-1)&amp;" of "&amp;CHOOSE($W230,3,3,2,2,3))&amp;" | Total Day "&amp;MAX(0,NETWORKDAYS($L230,TODAY(),Holidays)-1))</f>
        <v/>
      </c>
      <c r="W230" s="17">
        <f>IF($L230="","",COUNT($L230:$Q230))</f>
        <v/>
      </c>
      <c r="X230" s="18">
        <f>IF($W230="","",INT(INDEX($L230:$Q230,$W230)))</f>
        <v/>
      </c>
      <c r="Y230" s="18">
        <f>IF(OR($W230="",$W230=6),"",WORKDAY($X230,CHOOSE($W230,3,3,2,2,3),Holidays))</f>
        <v/>
      </c>
      <c r="Z230" s="17">
        <f>IF(OR($W230="",$W230=6),"",CHOOSE($W230,"1st Email Follow-up","2nd Email Follow-up","Escalate Local Office","Escalate to CBE","Escalate to Roxanne"))</f>
        <v/>
      </c>
    </row>
    <row r="231" spans="18:26">
      <c r="R231" s="15"/>
      <c r="S231" s="16"/>
      <c r="T231" s="17">
        <f>IF(AND(COUNTA($A231:$K231)=0,$L231=""),"",IF($S231="Paid","PAID",IF($S231="Closed","CLOSED",IF($W231="","",IF($W231=6,"ESCALATED TO ROXANNE",IF(TODAY()&gt;$Y231,"OVERDUE",IF($Y231&lt;=WORKDAY(TODAY(),1,Holidays),"DUE TOMORROW",IF($W231=4,"ESCALATED TO LOCAL OFFICE",IF($W231=5,"ESCALATED TO CBE",IF($X231=TODAY(),"EMAIL SENT","MONITORING"))))))))))</f>
        <v/>
      </c>
      <c r="U231" s="17">
        <f>IF($T231="",IF(AND(COUNTA($A231:$K231)&gt;0,$L231=""),"Awaiting Collection Email time stamp.",""),IF(OR($T231="PAID",$T231="CLOSED"),IF($T231="PAID","Account paid. Action completed.","Account closed. No further action required."),CHOOSE($W231,"Collection Email","1st Email Follow-up","2nd Email Follow-up","Escalation to Local Office","Escalation to CBE","Escalation to Roxanne")&amp;" sent "&amp;TEXT($X231,"dd-mmm")&amp;". "&amp;IF($W231=6,"Final escalation completed.",IF($T231="OVERDUE","Next: "&amp;$Z231&amp;" was due "&amp;TEXT($Y231,"dd-mmm")&amp;" - "&amp;(NETWORKDAYS($Y231,TODAY(),Holidays)-1)&amp;" business day(s) late. Send now.",IF($T231="DUE TOMORROW","Next: "&amp;$Z231&amp;IF($Y231&lt;=TODAY()," is due TODAY ("," is due next business day (")&amp;TEXT($Y231,"dd-mmm")&amp;").","Next: "&amp;$Z231&amp;" due "&amp;TEXT($Y231,"dd-mmm")&amp;" ("&amp;(NETWORKDAYS(TODAY(),$Y231,Holidays)-1)&amp;" business day(s) left).")))))</f>
        <v/>
      </c>
      <c r="V231" s="17">
        <f>IF($W231="","",CHOOSE($W231,"Collection Email","1st Follow-up","2nd Follow-up","Local Office","CBE","Roxanne")&amp;IF($W231=6," - Final"," - Day "&amp;MAX(0,NETWORKDAYS($X231,TODAY(),Holidays)-1)&amp;" of "&amp;CHOOSE($W231,3,3,2,2,3))&amp;" | Total Day "&amp;MAX(0,NETWORKDAYS($L231,TODAY(),Holidays)-1))</f>
        <v/>
      </c>
      <c r="W231" s="17">
        <f>IF($L231="","",COUNT($L231:$Q231))</f>
        <v/>
      </c>
      <c r="X231" s="18">
        <f>IF($W231="","",INT(INDEX($L231:$Q231,$W231)))</f>
        <v/>
      </c>
      <c r="Y231" s="18">
        <f>IF(OR($W231="",$W231=6),"",WORKDAY($X231,CHOOSE($W231,3,3,2,2,3),Holidays))</f>
        <v/>
      </c>
      <c r="Z231" s="17">
        <f>IF(OR($W231="",$W231=6),"",CHOOSE($W231,"1st Email Follow-up","2nd Email Follow-up","Escalate Local Office","Escalate to CBE","Escalate to Roxanne"))</f>
        <v/>
      </c>
    </row>
    <row r="232" spans="18:26">
      <c r="R232" s="15"/>
      <c r="S232" s="16"/>
      <c r="T232" s="17">
        <f>IF(AND(COUNTA($A232:$K232)=0,$L232=""),"",IF($S232="Paid","PAID",IF($S232="Closed","CLOSED",IF($W232="","",IF($W232=6,"ESCALATED TO ROXANNE",IF(TODAY()&gt;$Y232,"OVERDUE",IF($Y232&lt;=WORKDAY(TODAY(),1,Holidays),"DUE TOMORROW",IF($W232=4,"ESCALATED TO LOCAL OFFICE",IF($W232=5,"ESCALATED TO CBE",IF($X232=TODAY(),"EMAIL SENT","MONITORING"))))))))))</f>
        <v/>
      </c>
      <c r="U232" s="17">
        <f>IF($T232="",IF(AND(COUNTA($A232:$K232)&gt;0,$L232=""),"Awaiting Collection Email time stamp.",""),IF(OR($T232="PAID",$T232="CLOSED"),IF($T232="PAID","Account paid. Action completed.","Account closed. No further action required."),CHOOSE($W232,"Collection Email","1st Email Follow-up","2nd Email Follow-up","Escalation to Local Office","Escalation to CBE","Escalation to Roxanne")&amp;" sent "&amp;TEXT($X232,"dd-mmm")&amp;". "&amp;IF($W232=6,"Final escalation completed.",IF($T232="OVERDUE","Next: "&amp;$Z232&amp;" was due "&amp;TEXT($Y232,"dd-mmm")&amp;" - "&amp;(NETWORKDAYS($Y232,TODAY(),Holidays)-1)&amp;" business day(s) late. Send now.",IF($T232="DUE TOMORROW","Next: "&amp;$Z232&amp;IF($Y232&lt;=TODAY()," is due TODAY ("," is due next business day (")&amp;TEXT($Y232,"dd-mmm")&amp;").","Next: "&amp;$Z232&amp;" due "&amp;TEXT($Y232,"dd-mmm")&amp;" ("&amp;(NETWORKDAYS(TODAY(),$Y232,Holidays)-1)&amp;" business day(s) left).")))))</f>
        <v/>
      </c>
      <c r="V232" s="17">
        <f>IF($W232="","",CHOOSE($W232,"Collection Email","1st Follow-up","2nd Follow-up","Local Office","CBE","Roxanne")&amp;IF($W232=6," - Final"," - Day "&amp;MAX(0,NETWORKDAYS($X232,TODAY(),Holidays)-1)&amp;" of "&amp;CHOOSE($W232,3,3,2,2,3))&amp;" | Total Day "&amp;MAX(0,NETWORKDAYS($L232,TODAY(),Holidays)-1))</f>
        <v/>
      </c>
      <c r="W232" s="17">
        <f>IF($L232="","",COUNT($L232:$Q232))</f>
        <v/>
      </c>
      <c r="X232" s="18">
        <f>IF($W232="","",INT(INDEX($L232:$Q232,$W232)))</f>
        <v/>
      </c>
      <c r="Y232" s="18">
        <f>IF(OR($W232="",$W232=6),"",WORKDAY($X232,CHOOSE($W232,3,3,2,2,3),Holidays))</f>
        <v/>
      </c>
      <c r="Z232" s="17">
        <f>IF(OR($W232="",$W232=6),"",CHOOSE($W232,"1st Email Follow-up","2nd Email Follow-up","Escalate Local Office","Escalate to CBE","Escalate to Roxanne"))</f>
        <v/>
      </c>
    </row>
    <row r="233" spans="18:26">
      <c r="R233" s="15"/>
      <c r="S233" s="16"/>
      <c r="T233" s="17">
        <f>IF(AND(COUNTA($A233:$K233)=0,$L233=""),"",IF($S233="Paid","PAID",IF($S233="Closed","CLOSED",IF($W233="","",IF($W233=6,"ESCALATED TO ROXANNE",IF(TODAY()&gt;$Y233,"OVERDUE",IF($Y233&lt;=WORKDAY(TODAY(),1,Holidays),"DUE TOMORROW",IF($W233=4,"ESCALATED TO LOCAL OFFICE",IF($W233=5,"ESCALATED TO CBE",IF($X233=TODAY(),"EMAIL SENT","MONITORING"))))))))))</f>
        <v/>
      </c>
      <c r="U233" s="17">
        <f>IF($T233="",IF(AND(COUNTA($A233:$K233)&gt;0,$L233=""),"Awaiting Collection Email time stamp.",""),IF(OR($T233="PAID",$T233="CLOSED"),IF($T233="PAID","Account paid. Action completed.","Account closed. No further action required."),CHOOSE($W233,"Collection Email","1st Email Follow-up","2nd Email Follow-up","Escalation to Local Office","Escalation to CBE","Escalation to Roxanne")&amp;" sent "&amp;TEXT($X233,"dd-mmm")&amp;". "&amp;IF($W233=6,"Final escalation completed.",IF($T233="OVERDUE","Next: "&amp;$Z233&amp;" was due "&amp;TEXT($Y233,"dd-mmm")&amp;" - "&amp;(NETWORKDAYS($Y233,TODAY(),Holidays)-1)&amp;" business day(s) late. Send now.",IF($T233="DUE TOMORROW","Next: "&amp;$Z233&amp;IF($Y233&lt;=TODAY()," is due TODAY ("," is due next business day (")&amp;TEXT($Y233,"dd-mmm")&amp;").","Next: "&amp;$Z233&amp;" due "&amp;TEXT($Y233,"dd-mmm")&amp;" ("&amp;(NETWORKDAYS(TODAY(),$Y233,Holidays)-1)&amp;" business day(s) left).")))))</f>
        <v/>
      </c>
      <c r="V233" s="17">
        <f>IF($W233="","",CHOOSE($W233,"Collection Email","1st Follow-up","2nd Follow-up","Local Office","CBE","Roxanne")&amp;IF($W233=6," - Final"," - Day "&amp;MAX(0,NETWORKDAYS($X233,TODAY(),Holidays)-1)&amp;" of "&amp;CHOOSE($W233,3,3,2,2,3))&amp;" | Total Day "&amp;MAX(0,NETWORKDAYS($L233,TODAY(),Holidays)-1))</f>
        <v/>
      </c>
      <c r="W233" s="17">
        <f>IF($L233="","",COUNT($L233:$Q233))</f>
        <v/>
      </c>
      <c r="X233" s="18">
        <f>IF($W233="","",INT(INDEX($L233:$Q233,$W233)))</f>
        <v/>
      </c>
      <c r="Y233" s="18">
        <f>IF(OR($W233="",$W233=6),"",WORKDAY($X233,CHOOSE($W233,3,3,2,2,3),Holidays))</f>
        <v/>
      </c>
      <c r="Z233" s="17">
        <f>IF(OR($W233="",$W233=6),"",CHOOSE($W233,"1st Email Follow-up","2nd Email Follow-up","Escalate Local Office","Escalate to CBE","Escalate to Roxanne"))</f>
        <v/>
      </c>
    </row>
    <row r="234" spans="18:26">
      <c r="R234" s="15"/>
      <c r="S234" s="16"/>
      <c r="T234" s="17">
        <f>IF(AND(COUNTA($A234:$K234)=0,$L234=""),"",IF($S234="Paid","PAID",IF($S234="Closed","CLOSED",IF($W234="","",IF($W234=6,"ESCALATED TO ROXANNE",IF(TODAY()&gt;$Y234,"OVERDUE",IF($Y234&lt;=WORKDAY(TODAY(),1,Holidays),"DUE TOMORROW",IF($W234=4,"ESCALATED TO LOCAL OFFICE",IF($W234=5,"ESCALATED TO CBE",IF($X234=TODAY(),"EMAIL SENT","MONITORING"))))))))))</f>
        <v/>
      </c>
      <c r="U234" s="17">
        <f>IF($T234="",IF(AND(COUNTA($A234:$K234)&gt;0,$L234=""),"Awaiting Collection Email time stamp.",""),IF(OR($T234="PAID",$T234="CLOSED"),IF($T234="PAID","Account paid. Action completed.","Account closed. No further action required."),CHOOSE($W234,"Collection Email","1st Email Follow-up","2nd Email Follow-up","Escalation to Local Office","Escalation to CBE","Escalation to Roxanne")&amp;" sent "&amp;TEXT($X234,"dd-mmm")&amp;". "&amp;IF($W234=6,"Final escalation completed.",IF($T234="OVERDUE","Next: "&amp;$Z234&amp;" was due "&amp;TEXT($Y234,"dd-mmm")&amp;" - "&amp;(NETWORKDAYS($Y234,TODAY(),Holidays)-1)&amp;" business day(s) late. Send now.",IF($T234="DUE TOMORROW","Next: "&amp;$Z234&amp;IF($Y234&lt;=TODAY()," is due TODAY ("," is due next business day (")&amp;TEXT($Y234,"dd-mmm")&amp;").","Next: "&amp;$Z234&amp;" due "&amp;TEXT($Y234,"dd-mmm")&amp;" ("&amp;(NETWORKDAYS(TODAY(),$Y234,Holidays)-1)&amp;" business day(s) left).")))))</f>
        <v/>
      </c>
      <c r="V234" s="17">
        <f>IF($W234="","",CHOOSE($W234,"Collection Email","1st Follow-up","2nd Follow-up","Local Office","CBE","Roxanne")&amp;IF($W234=6," - Final"," - Day "&amp;MAX(0,NETWORKDAYS($X234,TODAY(),Holidays)-1)&amp;" of "&amp;CHOOSE($W234,3,3,2,2,3))&amp;" | Total Day "&amp;MAX(0,NETWORKDAYS($L234,TODAY(),Holidays)-1))</f>
        <v/>
      </c>
      <c r="W234" s="17">
        <f>IF($L234="","",COUNT($L234:$Q234))</f>
        <v/>
      </c>
      <c r="X234" s="18">
        <f>IF($W234="","",INT(INDEX($L234:$Q234,$W234)))</f>
        <v/>
      </c>
      <c r="Y234" s="18">
        <f>IF(OR($W234="",$W234=6),"",WORKDAY($X234,CHOOSE($W234,3,3,2,2,3),Holidays))</f>
        <v/>
      </c>
      <c r="Z234" s="17">
        <f>IF(OR($W234="",$W234=6),"",CHOOSE($W234,"1st Email Follow-up","2nd Email Follow-up","Escalate Local Office","Escalate to CBE","Escalate to Roxanne"))</f>
        <v/>
      </c>
    </row>
    <row r="235" spans="18:26">
      <c r="R235" s="15"/>
      <c r="S235" s="16"/>
      <c r="T235" s="17">
        <f>IF(AND(COUNTA($A235:$K235)=0,$L235=""),"",IF($S235="Paid","PAID",IF($S235="Closed","CLOSED",IF($W235="","",IF($W235=6,"ESCALATED TO ROXANNE",IF(TODAY()&gt;$Y235,"OVERDUE",IF($Y235&lt;=WORKDAY(TODAY(),1,Holidays),"DUE TOMORROW",IF($W235=4,"ESCALATED TO LOCAL OFFICE",IF($W235=5,"ESCALATED TO CBE",IF($X235=TODAY(),"EMAIL SENT","MONITORING"))))))))))</f>
        <v/>
      </c>
      <c r="U235" s="17">
        <f>IF($T235="",IF(AND(COUNTA($A235:$K235)&gt;0,$L235=""),"Awaiting Collection Email time stamp.",""),IF(OR($T235="PAID",$T235="CLOSED"),IF($T235="PAID","Account paid. Action completed.","Account closed. No further action required."),CHOOSE($W235,"Collection Email","1st Email Follow-up","2nd Email Follow-up","Escalation to Local Office","Escalation to CBE","Escalation to Roxanne")&amp;" sent "&amp;TEXT($X235,"dd-mmm")&amp;". "&amp;IF($W235=6,"Final escalation completed.",IF($T235="OVERDUE","Next: "&amp;$Z235&amp;" was due "&amp;TEXT($Y235,"dd-mmm")&amp;" - "&amp;(NETWORKDAYS($Y235,TODAY(),Holidays)-1)&amp;" business day(s) late. Send now.",IF($T235="DUE TOMORROW","Next: "&amp;$Z235&amp;IF($Y235&lt;=TODAY()," is due TODAY ("," is due next business day (")&amp;TEXT($Y235,"dd-mmm")&amp;").","Next: "&amp;$Z235&amp;" due "&amp;TEXT($Y235,"dd-mmm")&amp;" ("&amp;(NETWORKDAYS(TODAY(),$Y235,Holidays)-1)&amp;" business day(s) left).")))))</f>
        <v/>
      </c>
      <c r="V235" s="17">
        <f>IF($W235="","",CHOOSE($W235,"Collection Email","1st Follow-up","2nd Follow-up","Local Office","CBE","Roxanne")&amp;IF($W235=6," - Final"," - Day "&amp;MAX(0,NETWORKDAYS($X235,TODAY(),Holidays)-1)&amp;" of "&amp;CHOOSE($W235,3,3,2,2,3))&amp;" | Total Day "&amp;MAX(0,NETWORKDAYS($L235,TODAY(),Holidays)-1))</f>
        <v/>
      </c>
      <c r="W235" s="17">
        <f>IF($L235="","",COUNT($L235:$Q235))</f>
        <v/>
      </c>
      <c r="X235" s="18">
        <f>IF($W235="","",INT(INDEX($L235:$Q235,$W235)))</f>
        <v/>
      </c>
      <c r="Y235" s="18">
        <f>IF(OR($W235="",$W235=6),"",WORKDAY($X235,CHOOSE($W235,3,3,2,2,3),Holidays))</f>
        <v/>
      </c>
      <c r="Z235" s="17">
        <f>IF(OR($W235="",$W235=6),"",CHOOSE($W235,"1st Email Follow-up","2nd Email Follow-up","Escalate Local Office","Escalate to CBE","Escalate to Roxanne"))</f>
        <v/>
      </c>
    </row>
    <row r="236" spans="18:26">
      <c r="R236" s="15"/>
      <c r="S236" s="16"/>
      <c r="T236" s="17">
        <f>IF(AND(COUNTA($A236:$K236)=0,$L236=""),"",IF($S236="Paid","PAID",IF($S236="Closed","CLOSED",IF($W236="","",IF($W236=6,"ESCALATED TO ROXANNE",IF(TODAY()&gt;$Y236,"OVERDUE",IF($Y236&lt;=WORKDAY(TODAY(),1,Holidays),"DUE TOMORROW",IF($W236=4,"ESCALATED TO LOCAL OFFICE",IF($W236=5,"ESCALATED TO CBE",IF($X236=TODAY(),"EMAIL SENT","MONITORING"))))))))))</f>
        <v/>
      </c>
      <c r="U236" s="17">
        <f>IF($T236="",IF(AND(COUNTA($A236:$K236)&gt;0,$L236=""),"Awaiting Collection Email time stamp.",""),IF(OR($T236="PAID",$T236="CLOSED"),IF($T236="PAID","Account paid. Action completed.","Account closed. No further action required."),CHOOSE($W236,"Collection Email","1st Email Follow-up","2nd Email Follow-up","Escalation to Local Office","Escalation to CBE","Escalation to Roxanne")&amp;" sent "&amp;TEXT($X236,"dd-mmm")&amp;". "&amp;IF($W236=6,"Final escalation completed.",IF($T236="OVERDUE","Next: "&amp;$Z236&amp;" was due "&amp;TEXT($Y236,"dd-mmm")&amp;" - "&amp;(NETWORKDAYS($Y236,TODAY(),Holidays)-1)&amp;" business day(s) late. Send now.",IF($T236="DUE TOMORROW","Next: "&amp;$Z236&amp;IF($Y236&lt;=TODAY()," is due TODAY ("," is due next business day (")&amp;TEXT($Y236,"dd-mmm")&amp;").","Next: "&amp;$Z236&amp;" due "&amp;TEXT($Y236,"dd-mmm")&amp;" ("&amp;(NETWORKDAYS(TODAY(),$Y236,Holidays)-1)&amp;" business day(s) left).")))))</f>
        <v/>
      </c>
      <c r="V236" s="17">
        <f>IF($W236="","",CHOOSE($W236,"Collection Email","1st Follow-up","2nd Follow-up","Local Office","CBE","Roxanne")&amp;IF($W236=6," - Final"," - Day "&amp;MAX(0,NETWORKDAYS($X236,TODAY(),Holidays)-1)&amp;" of "&amp;CHOOSE($W236,3,3,2,2,3))&amp;" | Total Day "&amp;MAX(0,NETWORKDAYS($L236,TODAY(),Holidays)-1))</f>
        <v/>
      </c>
      <c r="W236" s="17">
        <f>IF($L236="","",COUNT($L236:$Q236))</f>
        <v/>
      </c>
      <c r="X236" s="18">
        <f>IF($W236="","",INT(INDEX($L236:$Q236,$W236)))</f>
        <v/>
      </c>
      <c r="Y236" s="18">
        <f>IF(OR($W236="",$W236=6),"",WORKDAY($X236,CHOOSE($W236,3,3,2,2,3),Holidays))</f>
        <v/>
      </c>
      <c r="Z236" s="17">
        <f>IF(OR($W236="",$W236=6),"",CHOOSE($W236,"1st Email Follow-up","2nd Email Follow-up","Escalate Local Office","Escalate to CBE","Escalate to Roxanne"))</f>
        <v/>
      </c>
    </row>
    <row r="237" spans="18:26">
      <c r="R237" s="15"/>
      <c r="S237" s="16"/>
      <c r="T237" s="17">
        <f>IF(AND(COUNTA($A237:$K237)=0,$L237=""),"",IF($S237="Paid","PAID",IF($S237="Closed","CLOSED",IF($W237="","",IF($W237=6,"ESCALATED TO ROXANNE",IF(TODAY()&gt;$Y237,"OVERDUE",IF($Y237&lt;=WORKDAY(TODAY(),1,Holidays),"DUE TOMORROW",IF($W237=4,"ESCALATED TO LOCAL OFFICE",IF($W237=5,"ESCALATED TO CBE",IF($X237=TODAY(),"EMAIL SENT","MONITORING"))))))))))</f>
        <v/>
      </c>
      <c r="U237" s="17">
        <f>IF($T237="",IF(AND(COUNTA($A237:$K237)&gt;0,$L237=""),"Awaiting Collection Email time stamp.",""),IF(OR($T237="PAID",$T237="CLOSED"),IF($T237="PAID","Account paid. Action completed.","Account closed. No further action required."),CHOOSE($W237,"Collection Email","1st Email Follow-up","2nd Email Follow-up","Escalation to Local Office","Escalation to CBE","Escalation to Roxanne")&amp;" sent "&amp;TEXT($X237,"dd-mmm")&amp;". "&amp;IF($W237=6,"Final escalation completed.",IF($T237="OVERDUE","Next: "&amp;$Z237&amp;" was due "&amp;TEXT($Y237,"dd-mmm")&amp;" - "&amp;(NETWORKDAYS($Y237,TODAY(),Holidays)-1)&amp;" business day(s) late. Send now.",IF($T237="DUE TOMORROW","Next: "&amp;$Z237&amp;IF($Y237&lt;=TODAY()," is due TODAY ("," is due next business day (")&amp;TEXT($Y237,"dd-mmm")&amp;").","Next: "&amp;$Z237&amp;" due "&amp;TEXT($Y237,"dd-mmm")&amp;" ("&amp;(NETWORKDAYS(TODAY(),$Y237,Holidays)-1)&amp;" business day(s) left).")))))</f>
        <v/>
      </c>
      <c r="V237" s="17">
        <f>IF($W237="","",CHOOSE($W237,"Collection Email","1st Follow-up","2nd Follow-up","Local Office","CBE","Roxanne")&amp;IF($W237=6," - Final"," - Day "&amp;MAX(0,NETWORKDAYS($X237,TODAY(),Holidays)-1)&amp;" of "&amp;CHOOSE($W237,3,3,2,2,3))&amp;" | Total Day "&amp;MAX(0,NETWORKDAYS($L237,TODAY(),Holidays)-1))</f>
        <v/>
      </c>
      <c r="W237" s="17">
        <f>IF($L237="","",COUNT($L237:$Q237))</f>
        <v/>
      </c>
      <c r="X237" s="18">
        <f>IF($W237="","",INT(INDEX($L237:$Q237,$W237)))</f>
        <v/>
      </c>
      <c r="Y237" s="18">
        <f>IF(OR($W237="",$W237=6),"",WORKDAY($X237,CHOOSE($W237,3,3,2,2,3),Holidays))</f>
        <v/>
      </c>
      <c r="Z237" s="17">
        <f>IF(OR($W237="",$W237=6),"",CHOOSE($W237,"1st Email Follow-up","2nd Email Follow-up","Escalate Local Office","Escalate to CBE","Escalate to Roxanne"))</f>
        <v/>
      </c>
    </row>
    <row r="238" spans="18:26">
      <c r="R238" s="15"/>
      <c r="S238" s="16"/>
      <c r="T238" s="17">
        <f>IF(AND(COUNTA($A238:$K238)=0,$L238=""),"",IF($S238="Paid","PAID",IF($S238="Closed","CLOSED",IF($W238="","",IF($W238=6,"ESCALATED TO ROXANNE",IF(TODAY()&gt;$Y238,"OVERDUE",IF($Y238&lt;=WORKDAY(TODAY(),1,Holidays),"DUE TOMORROW",IF($W238=4,"ESCALATED TO LOCAL OFFICE",IF($W238=5,"ESCALATED TO CBE",IF($X238=TODAY(),"EMAIL SENT","MONITORING"))))))))))</f>
        <v/>
      </c>
      <c r="U238" s="17">
        <f>IF($T238="",IF(AND(COUNTA($A238:$K238)&gt;0,$L238=""),"Awaiting Collection Email time stamp.",""),IF(OR($T238="PAID",$T238="CLOSED"),IF($T238="PAID","Account paid. Action completed.","Account closed. No further action required."),CHOOSE($W238,"Collection Email","1st Email Follow-up","2nd Email Follow-up","Escalation to Local Office","Escalation to CBE","Escalation to Roxanne")&amp;" sent "&amp;TEXT($X238,"dd-mmm")&amp;". "&amp;IF($W238=6,"Final escalation completed.",IF($T238="OVERDUE","Next: "&amp;$Z238&amp;" was due "&amp;TEXT($Y238,"dd-mmm")&amp;" - "&amp;(NETWORKDAYS($Y238,TODAY(),Holidays)-1)&amp;" business day(s) late. Send now.",IF($T238="DUE TOMORROW","Next: "&amp;$Z238&amp;IF($Y238&lt;=TODAY()," is due TODAY ("," is due next business day (")&amp;TEXT($Y238,"dd-mmm")&amp;").","Next: "&amp;$Z238&amp;" due "&amp;TEXT($Y238,"dd-mmm")&amp;" ("&amp;(NETWORKDAYS(TODAY(),$Y238,Holidays)-1)&amp;" business day(s) left).")))))</f>
        <v/>
      </c>
      <c r="V238" s="17">
        <f>IF($W238="","",CHOOSE($W238,"Collection Email","1st Follow-up","2nd Follow-up","Local Office","CBE","Roxanne")&amp;IF($W238=6," - Final"," - Day "&amp;MAX(0,NETWORKDAYS($X238,TODAY(),Holidays)-1)&amp;" of "&amp;CHOOSE($W238,3,3,2,2,3))&amp;" | Total Day "&amp;MAX(0,NETWORKDAYS($L238,TODAY(),Holidays)-1))</f>
        <v/>
      </c>
      <c r="W238" s="17">
        <f>IF($L238="","",COUNT($L238:$Q238))</f>
        <v/>
      </c>
      <c r="X238" s="18">
        <f>IF($W238="","",INT(INDEX($L238:$Q238,$W238)))</f>
        <v/>
      </c>
      <c r="Y238" s="18">
        <f>IF(OR($W238="",$W238=6),"",WORKDAY($X238,CHOOSE($W238,3,3,2,2,3),Holidays))</f>
        <v/>
      </c>
      <c r="Z238" s="17">
        <f>IF(OR($W238="",$W238=6),"",CHOOSE($W238,"1st Email Follow-up","2nd Email Follow-up","Escalate Local Office","Escalate to CBE","Escalate to Roxanne"))</f>
        <v/>
      </c>
    </row>
    <row r="239" spans="18:26">
      <c r="R239" s="15"/>
      <c r="S239" s="16"/>
      <c r="T239" s="17">
        <f>IF(AND(COUNTA($A239:$K239)=0,$L239=""),"",IF($S239="Paid","PAID",IF($S239="Closed","CLOSED",IF($W239="","",IF($W239=6,"ESCALATED TO ROXANNE",IF(TODAY()&gt;$Y239,"OVERDUE",IF($Y239&lt;=WORKDAY(TODAY(),1,Holidays),"DUE TOMORROW",IF($W239=4,"ESCALATED TO LOCAL OFFICE",IF($W239=5,"ESCALATED TO CBE",IF($X239=TODAY(),"EMAIL SENT","MONITORING"))))))))))</f>
        <v/>
      </c>
      <c r="U239" s="17">
        <f>IF($T239="",IF(AND(COUNTA($A239:$K239)&gt;0,$L239=""),"Awaiting Collection Email time stamp.",""),IF(OR($T239="PAID",$T239="CLOSED"),IF($T239="PAID","Account paid. Action completed.","Account closed. No further action required."),CHOOSE($W239,"Collection Email","1st Email Follow-up","2nd Email Follow-up","Escalation to Local Office","Escalation to CBE","Escalation to Roxanne")&amp;" sent "&amp;TEXT($X239,"dd-mmm")&amp;". "&amp;IF($W239=6,"Final escalation completed.",IF($T239="OVERDUE","Next: "&amp;$Z239&amp;" was due "&amp;TEXT($Y239,"dd-mmm")&amp;" - "&amp;(NETWORKDAYS($Y239,TODAY(),Holidays)-1)&amp;" business day(s) late. Send now.",IF($T239="DUE TOMORROW","Next: "&amp;$Z239&amp;IF($Y239&lt;=TODAY()," is due TODAY ("," is due next business day (")&amp;TEXT($Y239,"dd-mmm")&amp;").","Next: "&amp;$Z239&amp;" due "&amp;TEXT($Y239,"dd-mmm")&amp;" ("&amp;(NETWORKDAYS(TODAY(),$Y239,Holidays)-1)&amp;" business day(s) left).")))))</f>
        <v/>
      </c>
      <c r="V239" s="17">
        <f>IF($W239="","",CHOOSE($W239,"Collection Email","1st Follow-up","2nd Follow-up","Local Office","CBE","Roxanne")&amp;IF($W239=6," - Final"," - Day "&amp;MAX(0,NETWORKDAYS($X239,TODAY(),Holidays)-1)&amp;" of "&amp;CHOOSE($W239,3,3,2,2,3))&amp;" | Total Day "&amp;MAX(0,NETWORKDAYS($L239,TODAY(),Holidays)-1))</f>
        <v/>
      </c>
      <c r="W239" s="17">
        <f>IF($L239="","",COUNT($L239:$Q239))</f>
        <v/>
      </c>
      <c r="X239" s="18">
        <f>IF($W239="","",INT(INDEX($L239:$Q239,$W239)))</f>
        <v/>
      </c>
      <c r="Y239" s="18">
        <f>IF(OR($W239="",$W239=6),"",WORKDAY($X239,CHOOSE($W239,3,3,2,2,3),Holidays))</f>
        <v/>
      </c>
      <c r="Z239" s="17">
        <f>IF(OR($W239="",$W239=6),"",CHOOSE($W239,"1st Email Follow-up","2nd Email Follow-up","Escalate Local Office","Escalate to CBE","Escalate to Roxanne"))</f>
        <v/>
      </c>
    </row>
    <row r="240" spans="18:26">
      <c r="R240" s="15"/>
      <c r="S240" s="16"/>
      <c r="T240" s="17">
        <f>IF(AND(COUNTA($A240:$K240)=0,$L240=""),"",IF($S240="Paid","PAID",IF($S240="Closed","CLOSED",IF($W240="","",IF($W240=6,"ESCALATED TO ROXANNE",IF(TODAY()&gt;$Y240,"OVERDUE",IF($Y240&lt;=WORKDAY(TODAY(),1,Holidays),"DUE TOMORROW",IF($W240=4,"ESCALATED TO LOCAL OFFICE",IF($W240=5,"ESCALATED TO CBE",IF($X240=TODAY(),"EMAIL SENT","MONITORING"))))))))))</f>
        <v/>
      </c>
      <c r="U240" s="17">
        <f>IF($T240="",IF(AND(COUNTA($A240:$K240)&gt;0,$L240=""),"Awaiting Collection Email time stamp.",""),IF(OR($T240="PAID",$T240="CLOSED"),IF($T240="PAID","Account paid. Action completed.","Account closed. No further action required."),CHOOSE($W240,"Collection Email","1st Email Follow-up","2nd Email Follow-up","Escalation to Local Office","Escalation to CBE","Escalation to Roxanne")&amp;" sent "&amp;TEXT($X240,"dd-mmm")&amp;". "&amp;IF($W240=6,"Final escalation completed.",IF($T240="OVERDUE","Next: "&amp;$Z240&amp;" was due "&amp;TEXT($Y240,"dd-mmm")&amp;" - "&amp;(NETWORKDAYS($Y240,TODAY(),Holidays)-1)&amp;" business day(s) late. Send now.",IF($T240="DUE TOMORROW","Next: "&amp;$Z240&amp;IF($Y240&lt;=TODAY()," is due TODAY ("," is due next business day (")&amp;TEXT($Y240,"dd-mmm")&amp;").","Next: "&amp;$Z240&amp;" due "&amp;TEXT($Y240,"dd-mmm")&amp;" ("&amp;(NETWORKDAYS(TODAY(),$Y240,Holidays)-1)&amp;" business day(s) left).")))))</f>
        <v/>
      </c>
      <c r="V240" s="17">
        <f>IF($W240="","",CHOOSE($W240,"Collection Email","1st Follow-up","2nd Follow-up","Local Office","CBE","Roxanne")&amp;IF($W240=6," - Final"," - Day "&amp;MAX(0,NETWORKDAYS($X240,TODAY(),Holidays)-1)&amp;" of "&amp;CHOOSE($W240,3,3,2,2,3))&amp;" | Total Day "&amp;MAX(0,NETWORKDAYS($L240,TODAY(),Holidays)-1))</f>
        <v/>
      </c>
      <c r="W240" s="17">
        <f>IF($L240="","",COUNT($L240:$Q240))</f>
        <v/>
      </c>
      <c r="X240" s="18">
        <f>IF($W240="","",INT(INDEX($L240:$Q240,$W240)))</f>
        <v/>
      </c>
      <c r="Y240" s="18">
        <f>IF(OR($W240="",$W240=6),"",WORKDAY($X240,CHOOSE($W240,3,3,2,2,3),Holidays))</f>
        <v/>
      </c>
      <c r="Z240" s="17">
        <f>IF(OR($W240="",$W240=6),"",CHOOSE($W240,"1st Email Follow-up","2nd Email Follow-up","Escalate Local Office","Escalate to CBE","Escalate to Roxanne"))</f>
        <v/>
      </c>
    </row>
    <row r="241" spans="18:26">
      <c r="R241" s="15"/>
      <c r="S241" s="16"/>
      <c r="T241" s="17">
        <f>IF(AND(COUNTA($A241:$K241)=0,$L241=""),"",IF($S241="Paid","PAID",IF($S241="Closed","CLOSED",IF($W241="","",IF($W241=6,"ESCALATED TO ROXANNE",IF(TODAY()&gt;$Y241,"OVERDUE",IF($Y241&lt;=WORKDAY(TODAY(),1,Holidays),"DUE TOMORROW",IF($W241=4,"ESCALATED TO LOCAL OFFICE",IF($W241=5,"ESCALATED TO CBE",IF($X241=TODAY(),"EMAIL SENT","MONITORING"))))))))))</f>
        <v/>
      </c>
      <c r="U241" s="17">
        <f>IF($T241="",IF(AND(COUNTA($A241:$K241)&gt;0,$L241=""),"Awaiting Collection Email time stamp.",""),IF(OR($T241="PAID",$T241="CLOSED"),IF($T241="PAID","Account paid. Action completed.","Account closed. No further action required."),CHOOSE($W241,"Collection Email","1st Email Follow-up","2nd Email Follow-up","Escalation to Local Office","Escalation to CBE","Escalation to Roxanne")&amp;" sent "&amp;TEXT($X241,"dd-mmm")&amp;". "&amp;IF($W241=6,"Final escalation completed.",IF($T241="OVERDUE","Next: "&amp;$Z241&amp;" was due "&amp;TEXT($Y241,"dd-mmm")&amp;" - "&amp;(NETWORKDAYS($Y241,TODAY(),Holidays)-1)&amp;" business day(s) late. Send now.",IF($T241="DUE TOMORROW","Next: "&amp;$Z241&amp;IF($Y241&lt;=TODAY()," is due TODAY ("," is due next business day (")&amp;TEXT($Y241,"dd-mmm")&amp;").","Next: "&amp;$Z241&amp;" due "&amp;TEXT($Y241,"dd-mmm")&amp;" ("&amp;(NETWORKDAYS(TODAY(),$Y241,Holidays)-1)&amp;" business day(s) left).")))))</f>
        <v/>
      </c>
      <c r="V241" s="17">
        <f>IF($W241="","",CHOOSE($W241,"Collection Email","1st Follow-up","2nd Follow-up","Local Office","CBE","Roxanne")&amp;IF($W241=6," - Final"," - Day "&amp;MAX(0,NETWORKDAYS($X241,TODAY(),Holidays)-1)&amp;" of "&amp;CHOOSE($W241,3,3,2,2,3))&amp;" | Total Day "&amp;MAX(0,NETWORKDAYS($L241,TODAY(),Holidays)-1))</f>
        <v/>
      </c>
      <c r="W241" s="17">
        <f>IF($L241="","",COUNT($L241:$Q241))</f>
        <v/>
      </c>
      <c r="X241" s="18">
        <f>IF($W241="","",INT(INDEX($L241:$Q241,$W241)))</f>
        <v/>
      </c>
      <c r="Y241" s="18">
        <f>IF(OR($W241="",$W241=6),"",WORKDAY($X241,CHOOSE($W241,3,3,2,2,3),Holidays))</f>
        <v/>
      </c>
      <c r="Z241" s="17">
        <f>IF(OR($W241="",$W241=6),"",CHOOSE($W241,"1st Email Follow-up","2nd Email Follow-up","Escalate Local Office","Escalate to CBE","Escalate to Roxanne"))</f>
        <v/>
      </c>
    </row>
    <row r="242" spans="18:26">
      <c r="R242" s="15"/>
      <c r="S242" s="16"/>
      <c r="T242" s="17">
        <f>IF(AND(COUNTA($A242:$K242)=0,$L242=""),"",IF($S242="Paid","PAID",IF($S242="Closed","CLOSED",IF($W242="","",IF($W242=6,"ESCALATED TO ROXANNE",IF(TODAY()&gt;$Y242,"OVERDUE",IF($Y242&lt;=WORKDAY(TODAY(),1,Holidays),"DUE TOMORROW",IF($W242=4,"ESCALATED TO LOCAL OFFICE",IF($W242=5,"ESCALATED TO CBE",IF($X242=TODAY(),"EMAIL SENT","MONITORING"))))))))))</f>
        <v/>
      </c>
      <c r="U242" s="17">
        <f>IF($T242="",IF(AND(COUNTA($A242:$K242)&gt;0,$L242=""),"Awaiting Collection Email time stamp.",""),IF(OR($T242="PAID",$T242="CLOSED"),IF($T242="PAID","Account paid. Action completed.","Account closed. No further action required."),CHOOSE($W242,"Collection Email","1st Email Follow-up","2nd Email Follow-up","Escalation to Local Office","Escalation to CBE","Escalation to Roxanne")&amp;" sent "&amp;TEXT($X242,"dd-mmm")&amp;". "&amp;IF($W242=6,"Final escalation completed.",IF($T242="OVERDUE","Next: "&amp;$Z242&amp;" was due "&amp;TEXT($Y242,"dd-mmm")&amp;" - "&amp;(NETWORKDAYS($Y242,TODAY(),Holidays)-1)&amp;" business day(s) late. Send now.",IF($T242="DUE TOMORROW","Next: "&amp;$Z242&amp;IF($Y242&lt;=TODAY()," is due TODAY ("," is due next business day (")&amp;TEXT($Y242,"dd-mmm")&amp;").","Next: "&amp;$Z242&amp;" due "&amp;TEXT($Y242,"dd-mmm")&amp;" ("&amp;(NETWORKDAYS(TODAY(),$Y242,Holidays)-1)&amp;" business day(s) left).")))))</f>
        <v/>
      </c>
      <c r="V242" s="17">
        <f>IF($W242="","",CHOOSE($W242,"Collection Email","1st Follow-up","2nd Follow-up","Local Office","CBE","Roxanne")&amp;IF($W242=6," - Final"," - Day "&amp;MAX(0,NETWORKDAYS($X242,TODAY(),Holidays)-1)&amp;" of "&amp;CHOOSE($W242,3,3,2,2,3))&amp;" | Total Day "&amp;MAX(0,NETWORKDAYS($L242,TODAY(),Holidays)-1))</f>
        <v/>
      </c>
      <c r="W242" s="17">
        <f>IF($L242="","",COUNT($L242:$Q242))</f>
        <v/>
      </c>
      <c r="X242" s="18">
        <f>IF($W242="","",INT(INDEX($L242:$Q242,$W242)))</f>
        <v/>
      </c>
      <c r="Y242" s="18">
        <f>IF(OR($W242="",$W242=6),"",WORKDAY($X242,CHOOSE($W242,3,3,2,2,3),Holidays))</f>
        <v/>
      </c>
      <c r="Z242" s="17">
        <f>IF(OR($W242="",$W242=6),"",CHOOSE($W242,"1st Email Follow-up","2nd Email Follow-up","Escalate Local Office","Escalate to CBE","Escalate to Roxanne"))</f>
        <v/>
      </c>
    </row>
    <row r="243" spans="18:26">
      <c r="R243" s="15"/>
      <c r="S243" s="16"/>
      <c r="T243" s="17">
        <f>IF(AND(COUNTA($A243:$K243)=0,$L243=""),"",IF($S243="Paid","PAID",IF($S243="Closed","CLOSED",IF($W243="","",IF($W243=6,"ESCALATED TO ROXANNE",IF(TODAY()&gt;$Y243,"OVERDUE",IF($Y243&lt;=WORKDAY(TODAY(),1,Holidays),"DUE TOMORROW",IF($W243=4,"ESCALATED TO LOCAL OFFICE",IF($W243=5,"ESCALATED TO CBE",IF($X243=TODAY(),"EMAIL SENT","MONITORING"))))))))))</f>
        <v/>
      </c>
      <c r="U243" s="17">
        <f>IF($T243="",IF(AND(COUNTA($A243:$K243)&gt;0,$L243=""),"Awaiting Collection Email time stamp.",""),IF(OR($T243="PAID",$T243="CLOSED"),IF($T243="PAID","Account paid. Action completed.","Account closed. No further action required."),CHOOSE($W243,"Collection Email","1st Email Follow-up","2nd Email Follow-up","Escalation to Local Office","Escalation to CBE","Escalation to Roxanne")&amp;" sent "&amp;TEXT($X243,"dd-mmm")&amp;". "&amp;IF($W243=6,"Final escalation completed.",IF($T243="OVERDUE","Next: "&amp;$Z243&amp;" was due "&amp;TEXT($Y243,"dd-mmm")&amp;" - "&amp;(NETWORKDAYS($Y243,TODAY(),Holidays)-1)&amp;" business day(s) late. Send now.",IF($T243="DUE TOMORROW","Next: "&amp;$Z243&amp;IF($Y243&lt;=TODAY()," is due TODAY ("," is due next business day (")&amp;TEXT($Y243,"dd-mmm")&amp;").","Next: "&amp;$Z243&amp;" due "&amp;TEXT($Y243,"dd-mmm")&amp;" ("&amp;(NETWORKDAYS(TODAY(),$Y243,Holidays)-1)&amp;" business day(s) left).")))))</f>
        <v/>
      </c>
      <c r="V243" s="17">
        <f>IF($W243="","",CHOOSE($W243,"Collection Email","1st Follow-up","2nd Follow-up","Local Office","CBE","Roxanne")&amp;IF($W243=6," - Final"," - Day "&amp;MAX(0,NETWORKDAYS($X243,TODAY(),Holidays)-1)&amp;" of "&amp;CHOOSE($W243,3,3,2,2,3))&amp;" | Total Day "&amp;MAX(0,NETWORKDAYS($L243,TODAY(),Holidays)-1))</f>
        <v/>
      </c>
      <c r="W243" s="17">
        <f>IF($L243="","",COUNT($L243:$Q243))</f>
        <v/>
      </c>
      <c r="X243" s="18">
        <f>IF($W243="","",INT(INDEX($L243:$Q243,$W243)))</f>
        <v/>
      </c>
      <c r="Y243" s="18">
        <f>IF(OR($W243="",$W243=6),"",WORKDAY($X243,CHOOSE($W243,3,3,2,2,3),Holidays))</f>
        <v/>
      </c>
      <c r="Z243" s="17">
        <f>IF(OR($W243="",$W243=6),"",CHOOSE($W243,"1st Email Follow-up","2nd Email Follow-up","Escalate Local Office","Escalate to CBE","Escalate to Roxanne"))</f>
        <v/>
      </c>
    </row>
    <row r="244" spans="18:26">
      <c r="R244" s="15"/>
      <c r="S244" s="16"/>
      <c r="T244" s="17">
        <f>IF(AND(COUNTA($A244:$K244)=0,$L244=""),"",IF($S244="Paid","PAID",IF($S244="Closed","CLOSED",IF($W244="","",IF($W244=6,"ESCALATED TO ROXANNE",IF(TODAY()&gt;$Y244,"OVERDUE",IF($Y244&lt;=WORKDAY(TODAY(),1,Holidays),"DUE TOMORROW",IF($W244=4,"ESCALATED TO LOCAL OFFICE",IF($W244=5,"ESCALATED TO CBE",IF($X244=TODAY(),"EMAIL SENT","MONITORING"))))))))))</f>
        <v/>
      </c>
      <c r="U244" s="17">
        <f>IF($T244="",IF(AND(COUNTA($A244:$K244)&gt;0,$L244=""),"Awaiting Collection Email time stamp.",""),IF(OR($T244="PAID",$T244="CLOSED"),IF($T244="PAID","Account paid. Action completed.","Account closed. No further action required."),CHOOSE($W244,"Collection Email","1st Email Follow-up","2nd Email Follow-up","Escalation to Local Office","Escalation to CBE","Escalation to Roxanne")&amp;" sent "&amp;TEXT($X244,"dd-mmm")&amp;". "&amp;IF($W244=6,"Final escalation completed.",IF($T244="OVERDUE","Next: "&amp;$Z244&amp;" was due "&amp;TEXT($Y244,"dd-mmm")&amp;" - "&amp;(NETWORKDAYS($Y244,TODAY(),Holidays)-1)&amp;" business day(s) late. Send now.",IF($T244="DUE TOMORROW","Next: "&amp;$Z244&amp;IF($Y244&lt;=TODAY()," is due TODAY ("," is due next business day (")&amp;TEXT($Y244,"dd-mmm")&amp;").","Next: "&amp;$Z244&amp;" due "&amp;TEXT($Y244,"dd-mmm")&amp;" ("&amp;(NETWORKDAYS(TODAY(),$Y244,Holidays)-1)&amp;" business day(s) left).")))))</f>
        <v/>
      </c>
      <c r="V244" s="17">
        <f>IF($W244="","",CHOOSE($W244,"Collection Email","1st Follow-up","2nd Follow-up","Local Office","CBE","Roxanne")&amp;IF($W244=6," - Final"," - Day "&amp;MAX(0,NETWORKDAYS($X244,TODAY(),Holidays)-1)&amp;" of "&amp;CHOOSE($W244,3,3,2,2,3))&amp;" | Total Day "&amp;MAX(0,NETWORKDAYS($L244,TODAY(),Holidays)-1))</f>
        <v/>
      </c>
      <c r="W244" s="17">
        <f>IF($L244="","",COUNT($L244:$Q244))</f>
        <v/>
      </c>
      <c r="X244" s="18">
        <f>IF($W244="","",INT(INDEX($L244:$Q244,$W244)))</f>
        <v/>
      </c>
      <c r="Y244" s="18">
        <f>IF(OR($W244="",$W244=6),"",WORKDAY($X244,CHOOSE($W244,3,3,2,2,3),Holidays))</f>
        <v/>
      </c>
      <c r="Z244" s="17">
        <f>IF(OR($W244="",$W244=6),"",CHOOSE($W244,"1st Email Follow-up","2nd Email Follow-up","Escalate Local Office","Escalate to CBE","Escalate to Roxanne"))</f>
        <v/>
      </c>
    </row>
    <row r="245" spans="18:26">
      <c r="R245" s="15"/>
      <c r="S245" s="16"/>
      <c r="T245" s="17">
        <f>IF(AND(COUNTA($A245:$K245)=0,$L245=""),"",IF($S245="Paid","PAID",IF($S245="Closed","CLOSED",IF($W245="","",IF($W245=6,"ESCALATED TO ROXANNE",IF(TODAY()&gt;$Y245,"OVERDUE",IF($Y245&lt;=WORKDAY(TODAY(),1,Holidays),"DUE TOMORROW",IF($W245=4,"ESCALATED TO LOCAL OFFICE",IF($W245=5,"ESCALATED TO CBE",IF($X245=TODAY(),"EMAIL SENT","MONITORING"))))))))))</f>
        <v/>
      </c>
      <c r="U245" s="17">
        <f>IF($T245="",IF(AND(COUNTA($A245:$K245)&gt;0,$L245=""),"Awaiting Collection Email time stamp.",""),IF(OR($T245="PAID",$T245="CLOSED"),IF($T245="PAID","Account paid. Action completed.","Account closed. No further action required."),CHOOSE($W245,"Collection Email","1st Email Follow-up","2nd Email Follow-up","Escalation to Local Office","Escalation to CBE","Escalation to Roxanne")&amp;" sent "&amp;TEXT($X245,"dd-mmm")&amp;". "&amp;IF($W245=6,"Final escalation completed.",IF($T245="OVERDUE","Next: "&amp;$Z245&amp;" was due "&amp;TEXT($Y245,"dd-mmm")&amp;" - "&amp;(NETWORKDAYS($Y245,TODAY(),Holidays)-1)&amp;" business day(s) late. Send now.",IF($T245="DUE TOMORROW","Next: "&amp;$Z245&amp;IF($Y245&lt;=TODAY()," is due TODAY ("," is due next business day (")&amp;TEXT($Y245,"dd-mmm")&amp;").","Next: "&amp;$Z245&amp;" due "&amp;TEXT($Y245,"dd-mmm")&amp;" ("&amp;(NETWORKDAYS(TODAY(),$Y245,Holidays)-1)&amp;" business day(s) left).")))))</f>
        <v/>
      </c>
      <c r="V245" s="17">
        <f>IF($W245="","",CHOOSE($W245,"Collection Email","1st Follow-up","2nd Follow-up","Local Office","CBE","Roxanne")&amp;IF($W245=6," - Final"," - Day "&amp;MAX(0,NETWORKDAYS($X245,TODAY(),Holidays)-1)&amp;" of "&amp;CHOOSE($W245,3,3,2,2,3))&amp;" | Total Day "&amp;MAX(0,NETWORKDAYS($L245,TODAY(),Holidays)-1))</f>
        <v/>
      </c>
      <c r="W245" s="17">
        <f>IF($L245="","",COUNT($L245:$Q245))</f>
        <v/>
      </c>
      <c r="X245" s="18">
        <f>IF($W245="","",INT(INDEX($L245:$Q245,$W245)))</f>
        <v/>
      </c>
      <c r="Y245" s="18">
        <f>IF(OR($W245="",$W245=6),"",WORKDAY($X245,CHOOSE($W245,3,3,2,2,3),Holidays))</f>
        <v/>
      </c>
      <c r="Z245" s="17">
        <f>IF(OR($W245="",$W245=6),"",CHOOSE($W245,"1st Email Follow-up","2nd Email Follow-up","Escalate Local Office","Escalate to CBE","Escalate to Roxanne"))</f>
        <v/>
      </c>
    </row>
    <row r="246" spans="18:26">
      <c r="R246" s="15"/>
      <c r="S246" s="16"/>
      <c r="T246" s="17">
        <f>IF(AND(COUNTA($A246:$K246)=0,$L246=""),"",IF($S246="Paid","PAID",IF($S246="Closed","CLOSED",IF($W246="","",IF($W246=6,"ESCALATED TO ROXANNE",IF(TODAY()&gt;$Y246,"OVERDUE",IF($Y246&lt;=WORKDAY(TODAY(),1,Holidays),"DUE TOMORROW",IF($W246=4,"ESCALATED TO LOCAL OFFICE",IF($W246=5,"ESCALATED TO CBE",IF($X246=TODAY(),"EMAIL SENT","MONITORING"))))))))))</f>
        <v/>
      </c>
      <c r="U246" s="17">
        <f>IF($T246="",IF(AND(COUNTA($A246:$K246)&gt;0,$L246=""),"Awaiting Collection Email time stamp.",""),IF(OR($T246="PAID",$T246="CLOSED"),IF($T246="PAID","Account paid. Action completed.","Account closed. No further action required."),CHOOSE($W246,"Collection Email","1st Email Follow-up","2nd Email Follow-up","Escalation to Local Office","Escalation to CBE","Escalation to Roxanne")&amp;" sent "&amp;TEXT($X246,"dd-mmm")&amp;". "&amp;IF($W246=6,"Final escalation completed.",IF($T246="OVERDUE","Next: "&amp;$Z246&amp;" was due "&amp;TEXT($Y246,"dd-mmm")&amp;" - "&amp;(NETWORKDAYS($Y246,TODAY(),Holidays)-1)&amp;" business day(s) late. Send now.",IF($T246="DUE TOMORROW","Next: "&amp;$Z246&amp;IF($Y246&lt;=TODAY()," is due TODAY ("," is due next business day (")&amp;TEXT($Y246,"dd-mmm")&amp;").","Next: "&amp;$Z246&amp;" due "&amp;TEXT($Y246,"dd-mmm")&amp;" ("&amp;(NETWORKDAYS(TODAY(),$Y246,Holidays)-1)&amp;" business day(s) left).")))))</f>
        <v/>
      </c>
      <c r="V246" s="17">
        <f>IF($W246="","",CHOOSE($W246,"Collection Email","1st Follow-up","2nd Follow-up","Local Office","CBE","Roxanne")&amp;IF($W246=6," - Final"," - Day "&amp;MAX(0,NETWORKDAYS($X246,TODAY(),Holidays)-1)&amp;" of "&amp;CHOOSE($W246,3,3,2,2,3))&amp;" | Total Day "&amp;MAX(0,NETWORKDAYS($L246,TODAY(),Holidays)-1))</f>
        <v/>
      </c>
      <c r="W246" s="17">
        <f>IF($L246="","",COUNT($L246:$Q246))</f>
        <v/>
      </c>
      <c r="X246" s="18">
        <f>IF($W246="","",INT(INDEX($L246:$Q246,$W246)))</f>
        <v/>
      </c>
      <c r="Y246" s="18">
        <f>IF(OR($W246="",$W246=6),"",WORKDAY($X246,CHOOSE($W246,3,3,2,2,3),Holidays))</f>
        <v/>
      </c>
      <c r="Z246" s="17">
        <f>IF(OR($W246="",$W246=6),"",CHOOSE($W246,"1st Email Follow-up","2nd Email Follow-up","Escalate Local Office","Escalate to CBE","Escalate to Roxanne"))</f>
        <v/>
      </c>
    </row>
    <row r="247" spans="18:26">
      <c r="R247" s="15"/>
      <c r="S247" s="16"/>
      <c r="T247" s="17">
        <f>IF(AND(COUNTA($A247:$K247)=0,$L247=""),"",IF($S247="Paid","PAID",IF($S247="Closed","CLOSED",IF($W247="","",IF($W247=6,"ESCALATED TO ROXANNE",IF(TODAY()&gt;$Y247,"OVERDUE",IF($Y247&lt;=WORKDAY(TODAY(),1,Holidays),"DUE TOMORROW",IF($W247=4,"ESCALATED TO LOCAL OFFICE",IF($W247=5,"ESCALATED TO CBE",IF($X247=TODAY(),"EMAIL SENT","MONITORING"))))))))))</f>
        <v/>
      </c>
      <c r="U247" s="17">
        <f>IF($T247="",IF(AND(COUNTA($A247:$K247)&gt;0,$L247=""),"Awaiting Collection Email time stamp.",""),IF(OR($T247="PAID",$T247="CLOSED"),IF($T247="PAID","Account paid. Action completed.","Account closed. No further action required."),CHOOSE($W247,"Collection Email","1st Email Follow-up","2nd Email Follow-up","Escalation to Local Office","Escalation to CBE","Escalation to Roxanne")&amp;" sent "&amp;TEXT($X247,"dd-mmm")&amp;". "&amp;IF($W247=6,"Final escalation completed.",IF($T247="OVERDUE","Next: "&amp;$Z247&amp;" was due "&amp;TEXT($Y247,"dd-mmm")&amp;" - "&amp;(NETWORKDAYS($Y247,TODAY(),Holidays)-1)&amp;" business day(s) late. Send now.",IF($T247="DUE TOMORROW","Next: "&amp;$Z247&amp;IF($Y247&lt;=TODAY()," is due TODAY ("," is due next business day (")&amp;TEXT($Y247,"dd-mmm")&amp;").","Next: "&amp;$Z247&amp;" due "&amp;TEXT($Y247,"dd-mmm")&amp;" ("&amp;(NETWORKDAYS(TODAY(),$Y247,Holidays)-1)&amp;" business day(s) left).")))))</f>
        <v/>
      </c>
      <c r="V247" s="17">
        <f>IF($W247="","",CHOOSE($W247,"Collection Email","1st Follow-up","2nd Follow-up","Local Office","CBE","Roxanne")&amp;IF($W247=6," - Final"," - Day "&amp;MAX(0,NETWORKDAYS($X247,TODAY(),Holidays)-1)&amp;" of "&amp;CHOOSE($W247,3,3,2,2,3))&amp;" | Total Day "&amp;MAX(0,NETWORKDAYS($L247,TODAY(),Holidays)-1))</f>
        <v/>
      </c>
      <c r="W247" s="17">
        <f>IF($L247="","",COUNT($L247:$Q247))</f>
        <v/>
      </c>
      <c r="X247" s="18">
        <f>IF($W247="","",INT(INDEX($L247:$Q247,$W247)))</f>
        <v/>
      </c>
      <c r="Y247" s="18">
        <f>IF(OR($W247="",$W247=6),"",WORKDAY($X247,CHOOSE($W247,3,3,2,2,3),Holidays))</f>
        <v/>
      </c>
      <c r="Z247" s="17">
        <f>IF(OR($W247="",$W247=6),"",CHOOSE($W247,"1st Email Follow-up","2nd Email Follow-up","Escalate Local Office","Escalate to CBE","Escalate to Roxanne"))</f>
        <v/>
      </c>
    </row>
    <row r="248" spans="18:26">
      <c r="R248" s="15"/>
      <c r="S248" s="16"/>
      <c r="T248" s="17">
        <f>IF(AND(COUNTA($A248:$K248)=0,$L248=""),"",IF($S248="Paid","PAID",IF($S248="Closed","CLOSED",IF($W248="","",IF($W248=6,"ESCALATED TO ROXANNE",IF(TODAY()&gt;$Y248,"OVERDUE",IF($Y248&lt;=WORKDAY(TODAY(),1,Holidays),"DUE TOMORROW",IF($W248=4,"ESCALATED TO LOCAL OFFICE",IF($W248=5,"ESCALATED TO CBE",IF($X248=TODAY(),"EMAIL SENT","MONITORING"))))))))))</f>
        <v/>
      </c>
      <c r="U248" s="17">
        <f>IF($T248="",IF(AND(COUNTA($A248:$K248)&gt;0,$L248=""),"Awaiting Collection Email time stamp.",""),IF(OR($T248="PAID",$T248="CLOSED"),IF($T248="PAID","Account paid. Action completed.","Account closed. No further action required."),CHOOSE($W248,"Collection Email","1st Email Follow-up","2nd Email Follow-up","Escalation to Local Office","Escalation to CBE","Escalation to Roxanne")&amp;" sent "&amp;TEXT($X248,"dd-mmm")&amp;". "&amp;IF($W248=6,"Final escalation completed.",IF($T248="OVERDUE","Next: "&amp;$Z248&amp;" was due "&amp;TEXT($Y248,"dd-mmm")&amp;" - "&amp;(NETWORKDAYS($Y248,TODAY(),Holidays)-1)&amp;" business day(s) late. Send now.",IF($T248="DUE TOMORROW","Next: "&amp;$Z248&amp;IF($Y248&lt;=TODAY()," is due TODAY ("," is due next business day (")&amp;TEXT($Y248,"dd-mmm")&amp;").","Next: "&amp;$Z248&amp;" due "&amp;TEXT($Y248,"dd-mmm")&amp;" ("&amp;(NETWORKDAYS(TODAY(),$Y248,Holidays)-1)&amp;" business day(s) left).")))))</f>
        <v/>
      </c>
      <c r="V248" s="17">
        <f>IF($W248="","",CHOOSE($W248,"Collection Email","1st Follow-up","2nd Follow-up","Local Office","CBE","Roxanne")&amp;IF($W248=6," - Final"," - Day "&amp;MAX(0,NETWORKDAYS($X248,TODAY(),Holidays)-1)&amp;" of "&amp;CHOOSE($W248,3,3,2,2,3))&amp;" | Total Day "&amp;MAX(0,NETWORKDAYS($L248,TODAY(),Holidays)-1))</f>
        <v/>
      </c>
      <c r="W248" s="17">
        <f>IF($L248="","",COUNT($L248:$Q248))</f>
        <v/>
      </c>
      <c r="X248" s="18">
        <f>IF($W248="","",INT(INDEX($L248:$Q248,$W248)))</f>
        <v/>
      </c>
      <c r="Y248" s="18">
        <f>IF(OR($W248="",$W248=6),"",WORKDAY($X248,CHOOSE($W248,3,3,2,2,3),Holidays))</f>
        <v/>
      </c>
      <c r="Z248" s="17">
        <f>IF(OR($W248="",$W248=6),"",CHOOSE($W248,"1st Email Follow-up","2nd Email Follow-up","Escalate Local Office","Escalate to CBE","Escalate to Roxanne"))</f>
        <v/>
      </c>
    </row>
    <row r="249" spans="18:26">
      <c r="R249" s="15"/>
      <c r="S249" s="16"/>
      <c r="T249" s="17">
        <f>IF(AND(COUNTA($A249:$K249)=0,$L249=""),"",IF($S249="Paid","PAID",IF($S249="Closed","CLOSED",IF($W249="","",IF($W249=6,"ESCALATED TO ROXANNE",IF(TODAY()&gt;$Y249,"OVERDUE",IF($Y249&lt;=WORKDAY(TODAY(),1,Holidays),"DUE TOMORROW",IF($W249=4,"ESCALATED TO LOCAL OFFICE",IF($W249=5,"ESCALATED TO CBE",IF($X249=TODAY(),"EMAIL SENT","MONITORING"))))))))))</f>
        <v/>
      </c>
      <c r="U249" s="17">
        <f>IF($T249="",IF(AND(COUNTA($A249:$K249)&gt;0,$L249=""),"Awaiting Collection Email time stamp.",""),IF(OR($T249="PAID",$T249="CLOSED"),IF($T249="PAID","Account paid. Action completed.","Account closed. No further action required."),CHOOSE($W249,"Collection Email","1st Email Follow-up","2nd Email Follow-up","Escalation to Local Office","Escalation to CBE","Escalation to Roxanne")&amp;" sent "&amp;TEXT($X249,"dd-mmm")&amp;". "&amp;IF($W249=6,"Final escalation completed.",IF($T249="OVERDUE","Next: "&amp;$Z249&amp;" was due "&amp;TEXT($Y249,"dd-mmm")&amp;" - "&amp;(NETWORKDAYS($Y249,TODAY(),Holidays)-1)&amp;" business day(s) late. Send now.",IF($T249="DUE TOMORROW","Next: "&amp;$Z249&amp;IF($Y249&lt;=TODAY()," is due TODAY ("," is due next business day (")&amp;TEXT($Y249,"dd-mmm")&amp;").","Next: "&amp;$Z249&amp;" due "&amp;TEXT($Y249,"dd-mmm")&amp;" ("&amp;(NETWORKDAYS(TODAY(),$Y249,Holidays)-1)&amp;" business day(s) left).")))))</f>
        <v/>
      </c>
      <c r="V249" s="17">
        <f>IF($W249="","",CHOOSE($W249,"Collection Email","1st Follow-up","2nd Follow-up","Local Office","CBE","Roxanne")&amp;IF($W249=6," - Final"," - Day "&amp;MAX(0,NETWORKDAYS($X249,TODAY(),Holidays)-1)&amp;" of "&amp;CHOOSE($W249,3,3,2,2,3))&amp;" | Total Day "&amp;MAX(0,NETWORKDAYS($L249,TODAY(),Holidays)-1))</f>
        <v/>
      </c>
      <c r="W249" s="17">
        <f>IF($L249="","",COUNT($L249:$Q249))</f>
        <v/>
      </c>
      <c r="X249" s="18">
        <f>IF($W249="","",INT(INDEX($L249:$Q249,$W249)))</f>
        <v/>
      </c>
      <c r="Y249" s="18">
        <f>IF(OR($W249="",$W249=6),"",WORKDAY($X249,CHOOSE($W249,3,3,2,2,3),Holidays))</f>
        <v/>
      </c>
      <c r="Z249" s="17">
        <f>IF(OR($W249="",$W249=6),"",CHOOSE($W249,"1st Email Follow-up","2nd Email Follow-up","Escalate Local Office","Escalate to CBE","Escalate to Roxanne"))</f>
        <v/>
      </c>
    </row>
    <row r="250" spans="18:26">
      <c r="R250" s="15"/>
      <c r="S250" s="16"/>
      <c r="T250" s="17">
        <f>IF(AND(COUNTA($A250:$K250)=0,$L250=""),"",IF($S250="Paid","PAID",IF($S250="Closed","CLOSED",IF($W250="","",IF($W250=6,"ESCALATED TO ROXANNE",IF(TODAY()&gt;$Y250,"OVERDUE",IF($Y250&lt;=WORKDAY(TODAY(),1,Holidays),"DUE TOMORROW",IF($W250=4,"ESCALATED TO LOCAL OFFICE",IF($W250=5,"ESCALATED TO CBE",IF($X250=TODAY(),"EMAIL SENT","MONITORING"))))))))))</f>
        <v/>
      </c>
      <c r="U250" s="17">
        <f>IF($T250="",IF(AND(COUNTA($A250:$K250)&gt;0,$L250=""),"Awaiting Collection Email time stamp.",""),IF(OR($T250="PAID",$T250="CLOSED"),IF($T250="PAID","Account paid. Action completed.","Account closed. No further action required."),CHOOSE($W250,"Collection Email","1st Email Follow-up","2nd Email Follow-up","Escalation to Local Office","Escalation to CBE","Escalation to Roxanne")&amp;" sent "&amp;TEXT($X250,"dd-mmm")&amp;". "&amp;IF($W250=6,"Final escalation completed.",IF($T250="OVERDUE","Next: "&amp;$Z250&amp;" was due "&amp;TEXT($Y250,"dd-mmm")&amp;" - "&amp;(NETWORKDAYS($Y250,TODAY(),Holidays)-1)&amp;" business day(s) late. Send now.",IF($T250="DUE TOMORROW","Next: "&amp;$Z250&amp;IF($Y250&lt;=TODAY()," is due TODAY ("," is due next business day (")&amp;TEXT($Y250,"dd-mmm")&amp;").","Next: "&amp;$Z250&amp;" due "&amp;TEXT($Y250,"dd-mmm")&amp;" ("&amp;(NETWORKDAYS(TODAY(),$Y250,Holidays)-1)&amp;" business day(s) left).")))))</f>
        <v/>
      </c>
      <c r="V250" s="17">
        <f>IF($W250="","",CHOOSE($W250,"Collection Email","1st Follow-up","2nd Follow-up","Local Office","CBE","Roxanne")&amp;IF($W250=6," - Final"," - Day "&amp;MAX(0,NETWORKDAYS($X250,TODAY(),Holidays)-1)&amp;" of "&amp;CHOOSE($W250,3,3,2,2,3))&amp;" | Total Day "&amp;MAX(0,NETWORKDAYS($L250,TODAY(),Holidays)-1))</f>
        <v/>
      </c>
      <c r="W250" s="17">
        <f>IF($L250="","",COUNT($L250:$Q250))</f>
        <v/>
      </c>
      <c r="X250" s="18">
        <f>IF($W250="","",INT(INDEX($L250:$Q250,$W250)))</f>
        <v/>
      </c>
      <c r="Y250" s="18">
        <f>IF(OR($W250="",$W250=6),"",WORKDAY($X250,CHOOSE($W250,3,3,2,2,3),Holidays))</f>
        <v/>
      </c>
      <c r="Z250" s="17">
        <f>IF(OR($W250="",$W250=6),"",CHOOSE($W250,"1st Email Follow-up","2nd Email Follow-up","Escalate Local Office","Escalate to CBE","Escalate to Roxanne"))</f>
        <v/>
      </c>
    </row>
    <row r="251" spans="18:26">
      <c r="R251" s="15"/>
      <c r="S251" s="16"/>
      <c r="T251" s="17">
        <f>IF(AND(COUNTA($A251:$K251)=0,$L251=""),"",IF($S251="Paid","PAID",IF($S251="Closed","CLOSED",IF($W251="","",IF($W251=6,"ESCALATED TO ROXANNE",IF(TODAY()&gt;$Y251,"OVERDUE",IF($Y251&lt;=WORKDAY(TODAY(),1,Holidays),"DUE TOMORROW",IF($W251=4,"ESCALATED TO LOCAL OFFICE",IF($W251=5,"ESCALATED TO CBE",IF($X251=TODAY(),"EMAIL SENT","MONITORING"))))))))))</f>
        <v/>
      </c>
      <c r="U251" s="17">
        <f>IF($T251="",IF(AND(COUNTA($A251:$K251)&gt;0,$L251=""),"Awaiting Collection Email time stamp.",""),IF(OR($T251="PAID",$T251="CLOSED"),IF($T251="PAID","Account paid. Action completed.","Account closed. No further action required."),CHOOSE($W251,"Collection Email","1st Email Follow-up","2nd Email Follow-up","Escalation to Local Office","Escalation to CBE","Escalation to Roxanne")&amp;" sent "&amp;TEXT($X251,"dd-mmm")&amp;". "&amp;IF($W251=6,"Final escalation completed.",IF($T251="OVERDUE","Next: "&amp;$Z251&amp;" was due "&amp;TEXT($Y251,"dd-mmm")&amp;" - "&amp;(NETWORKDAYS($Y251,TODAY(),Holidays)-1)&amp;" business day(s) late. Send now.",IF($T251="DUE TOMORROW","Next: "&amp;$Z251&amp;IF($Y251&lt;=TODAY()," is due TODAY ("," is due next business day (")&amp;TEXT($Y251,"dd-mmm")&amp;").","Next: "&amp;$Z251&amp;" due "&amp;TEXT($Y251,"dd-mmm")&amp;" ("&amp;(NETWORKDAYS(TODAY(),$Y251,Holidays)-1)&amp;" business day(s) left).")))))</f>
        <v/>
      </c>
      <c r="V251" s="17">
        <f>IF($W251="","",CHOOSE($W251,"Collection Email","1st Follow-up","2nd Follow-up","Local Office","CBE","Roxanne")&amp;IF($W251=6," - Final"," - Day "&amp;MAX(0,NETWORKDAYS($X251,TODAY(),Holidays)-1)&amp;" of "&amp;CHOOSE($W251,3,3,2,2,3))&amp;" | Total Day "&amp;MAX(0,NETWORKDAYS($L251,TODAY(),Holidays)-1))</f>
        <v/>
      </c>
      <c r="W251" s="17">
        <f>IF($L251="","",COUNT($L251:$Q251))</f>
        <v/>
      </c>
      <c r="X251" s="18">
        <f>IF($W251="","",INT(INDEX($L251:$Q251,$W251)))</f>
        <v/>
      </c>
      <c r="Y251" s="18">
        <f>IF(OR($W251="",$W251=6),"",WORKDAY($X251,CHOOSE($W251,3,3,2,2,3),Holidays))</f>
        <v/>
      </c>
      <c r="Z251" s="17">
        <f>IF(OR($W251="",$W251=6),"",CHOOSE($W251,"1st Email Follow-up","2nd Email Follow-up","Escalate Local Office","Escalate to CBE","Escalate to Roxanne"))</f>
        <v/>
      </c>
    </row>
    <row r="252" spans="18:26">
      <c r="R252" s="15"/>
      <c r="S252" s="16"/>
      <c r="T252" s="17">
        <f>IF(AND(COUNTA($A252:$K252)=0,$L252=""),"",IF($S252="Paid","PAID",IF($S252="Closed","CLOSED",IF($W252="","",IF($W252=6,"ESCALATED TO ROXANNE",IF(TODAY()&gt;$Y252,"OVERDUE",IF($Y252&lt;=WORKDAY(TODAY(),1,Holidays),"DUE TOMORROW",IF($W252=4,"ESCALATED TO LOCAL OFFICE",IF($W252=5,"ESCALATED TO CBE",IF($X252=TODAY(),"EMAIL SENT","MONITORING"))))))))))</f>
        <v/>
      </c>
      <c r="U252" s="17">
        <f>IF($T252="",IF(AND(COUNTA($A252:$K252)&gt;0,$L252=""),"Awaiting Collection Email time stamp.",""),IF(OR($T252="PAID",$T252="CLOSED"),IF($T252="PAID","Account paid. Action completed.","Account closed. No further action required."),CHOOSE($W252,"Collection Email","1st Email Follow-up","2nd Email Follow-up","Escalation to Local Office","Escalation to CBE","Escalation to Roxanne")&amp;" sent "&amp;TEXT($X252,"dd-mmm")&amp;". "&amp;IF($W252=6,"Final escalation completed.",IF($T252="OVERDUE","Next: "&amp;$Z252&amp;" was due "&amp;TEXT($Y252,"dd-mmm")&amp;" - "&amp;(NETWORKDAYS($Y252,TODAY(),Holidays)-1)&amp;" business day(s) late. Send now.",IF($T252="DUE TOMORROW","Next: "&amp;$Z252&amp;IF($Y252&lt;=TODAY()," is due TODAY ("," is due next business day (")&amp;TEXT($Y252,"dd-mmm")&amp;").","Next: "&amp;$Z252&amp;" due "&amp;TEXT($Y252,"dd-mmm")&amp;" ("&amp;(NETWORKDAYS(TODAY(),$Y252,Holidays)-1)&amp;" business day(s) left).")))))</f>
        <v/>
      </c>
      <c r="V252" s="17">
        <f>IF($W252="","",CHOOSE($W252,"Collection Email","1st Follow-up","2nd Follow-up","Local Office","CBE","Roxanne")&amp;IF($W252=6," - Final"," - Day "&amp;MAX(0,NETWORKDAYS($X252,TODAY(),Holidays)-1)&amp;" of "&amp;CHOOSE($W252,3,3,2,2,3))&amp;" | Total Day "&amp;MAX(0,NETWORKDAYS($L252,TODAY(),Holidays)-1))</f>
        <v/>
      </c>
      <c r="W252" s="17">
        <f>IF($L252="","",COUNT($L252:$Q252))</f>
        <v/>
      </c>
      <c r="X252" s="18">
        <f>IF($W252="","",INT(INDEX($L252:$Q252,$W252)))</f>
        <v/>
      </c>
      <c r="Y252" s="18">
        <f>IF(OR($W252="",$W252=6),"",WORKDAY($X252,CHOOSE($W252,3,3,2,2,3),Holidays))</f>
        <v/>
      </c>
      <c r="Z252" s="17">
        <f>IF(OR($W252="",$W252=6),"",CHOOSE($W252,"1st Email Follow-up","2nd Email Follow-up","Escalate Local Office","Escalate to CBE","Escalate to Roxanne"))</f>
        <v/>
      </c>
    </row>
    <row r="253" spans="18:26">
      <c r="R253" s="15"/>
      <c r="S253" s="16"/>
      <c r="T253" s="17">
        <f>IF(AND(COUNTA($A253:$K253)=0,$L253=""),"",IF($S253="Paid","PAID",IF($S253="Closed","CLOSED",IF($W253="","",IF($W253=6,"ESCALATED TO ROXANNE",IF(TODAY()&gt;$Y253,"OVERDUE",IF($Y253&lt;=WORKDAY(TODAY(),1,Holidays),"DUE TOMORROW",IF($W253=4,"ESCALATED TO LOCAL OFFICE",IF($W253=5,"ESCALATED TO CBE",IF($X253=TODAY(),"EMAIL SENT","MONITORING"))))))))))</f>
        <v/>
      </c>
      <c r="U253" s="17">
        <f>IF($T253="",IF(AND(COUNTA($A253:$K253)&gt;0,$L253=""),"Awaiting Collection Email time stamp.",""),IF(OR($T253="PAID",$T253="CLOSED"),IF($T253="PAID","Account paid. Action completed.","Account closed. No further action required."),CHOOSE($W253,"Collection Email","1st Email Follow-up","2nd Email Follow-up","Escalation to Local Office","Escalation to CBE","Escalation to Roxanne")&amp;" sent "&amp;TEXT($X253,"dd-mmm")&amp;". "&amp;IF($W253=6,"Final escalation completed.",IF($T253="OVERDUE","Next: "&amp;$Z253&amp;" was due "&amp;TEXT($Y253,"dd-mmm")&amp;" - "&amp;(NETWORKDAYS($Y253,TODAY(),Holidays)-1)&amp;" business day(s) late. Send now.",IF($T253="DUE TOMORROW","Next: "&amp;$Z253&amp;IF($Y253&lt;=TODAY()," is due TODAY ("," is due next business day (")&amp;TEXT($Y253,"dd-mmm")&amp;").","Next: "&amp;$Z253&amp;" due "&amp;TEXT($Y253,"dd-mmm")&amp;" ("&amp;(NETWORKDAYS(TODAY(),$Y253,Holidays)-1)&amp;" business day(s) left).")))))</f>
        <v/>
      </c>
      <c r="V253" s="17">
        <f>IF($W253="","",CHOOSE($W253,"Collection Email","1st Follow-up","2nd Follow-up","Local Office","CBE","Roxanne")&amp;IF($W253=6," - Final"," - Day "&amp;MAX(0,NETWORKDAYS($X253,TODAY(),Holidays)-1)&amp;" of "&amp;CHOOSE($W253,3,3,2,2,3))&amp;" | Total Day "&amp;MAX(0,NETWORKDAYS($L253,TODAY(),Holidays)-1))</f>
        <v/>
      </c>
      <c r="W253" s="17">
        <f>IF($L253="","",COUNT($L253:$Q253))</f>
        <v/>
      </c>
      <c r="X253" s="18">
        <f>IF($W253="","",INT(INDEX($L253:$Q253,$W253)))</f>
        <v/>
      </c>
      <c r="Y253" s="18">
        <f>IF(OR($W253="",$W253=6),"",WORKDAY($X253,CHOOSE($W253,3,3,2,2,3),Holidays))</f>
        <v/>
      </c>
      <c r="Z253" s="17">
        <f>IF(OR($W253="",$W253=6),"",CHOOSE($W253,"1st Email Follow-up","2nd Email Follow-up","Escalate Local Office","Escalate to CBE","Escalate to Roxanne"))</f>
        <v/>
      </c>
    </row>
    <row r="254" spans="18:26">
      <c r="R254" s="15"/>
      <c r="S254" s="16"/>
      <c r="T254" s="17">
        <f>IF(AND(COUNTA($A254:$K254)=0,$L254=""),"",IF($S254="Paid","PAID",IF($S254="Closed","CLOSED",IF($W254="","",IF($W254=6,"ESCALATED TO ROXANNE",IF(TODAY()&gt;$Y254,"OVERDUE",IF($Y254&lt;=WORKDAY(TODAY(),1,Holidays),"DUE TOMORROW",IF($W254=4,"ESCALATED TO LOCAL OFFICE",IF($W254=5,"ESCALATED TO CBE",IF($X254=TODAY(),"EMAIL SENT","MONITORING"))))))))))</f>
        <v/>
      </c>
      <c r="U254" s="17">
        <f>IF($T254="",IF(AND(COUNTA($A254:$K254)&gt;0,$L254=""),"Awaiting Collection Email time stamp.",""),IF(OR($T254="PAID",$T254="CLOSED"),IF($T254="PAID","Account paid. Action completed.","Account closed. No further action required."),CHOOSE($W254,"Collection Email","1st Email Follow-up","2nd Email Follow-up","Escalation to Local Office","Escalation to CBE","Escalation to Roxanne")&amp;" sent "&amp;TEXT($X254,"dd-mmm")&amp;". "&amp;IF($W254=6,"Final escalation completed.",IF($T254="OVERDUE","Next: "&amp;$Z254&amp;" was due "&amp;TEXT($Y254,"dd-mmm")&amp;" - "&amp;(NETWORKDAYS($Y254,TODAY(),Holidays)-1)&amp;" business day(s) late. Send now.",IF($T254="DUE TOMORROW","Next: "&amp;$Z254&amp;IF($Y254&lt;=TODAY()," is due TODAY ("," is due next business day (")&amp;TEXT($Y254,"dd-mmm")&amp;").","Next: "&amp;$Z254&amp;" due "&amp;TEXT($Y254,"dd-mmm")&amp;" ("&amp;(NETWORKDAYS(TODAY(),$Y254,Holidays)-1)&amp;" business day(s) left).")))))</f>
        <v/>
      </c>
      <c r="V254" s="17">
        <f>IF($W254="","",CHOOSE($W254,"Collection Email","1st Follow-up","2nd Follow-up","Local Office","CBE","Roxanne")&amp;IF($W254=6," - Final"," - Day "&amp;MAX(0,NETWORKDAYS($X254,TODAY(),Holidays)-1)&amp;" of "&amp;CHOOSE($W254,3,3,2,2,3))&amp;" | Total Day "&amp;MAX(0,NETWORKDAYS($L254,TODAY(),Holidays)-1))</f>
        <v/>
      </c>
      <c r="W254" s="17">
        <f>IF($L254="","",COUNT($L254:$Q254))</f>
        <v/>
      </c>
      <c r="X254" s="18">
        <f>IF($W254="","",INT(INDEX($L254:$Q254,$W254)))</f>
        <v/>
      </c>
      <c r="Y254" s="18">
        <f>IF(OR($W254="",$W254=6),"",WORKDAY($X254,CHOOSE($W254,3,3,2,2,3),Holidays))</f>
        <v/>
      </c>
      <c r="Z254" s="17">
        <f>IF(OR($W254="",$W254=6),"",CHOOSE($W254,"1st Email Follow-up","2nd Email Follow-up","Escalate Local Office","Escalate to CBE","Escalate to Roxanne"))</f>
        <v/>
      </c>
    </row>
    <row r="255" spans="18:26">
      <c r="R255" s="15"/>
      <c r="S255" s="16"/>
      <c r="T255" s="17">
        <f>IF(AND(COUNTA($A255:$K255)=0,$L255=""),"",IF($S255="Paid","PAID",IF($S255="Closed","CLOSED",IF($W255="","",IF($W255=6,"ESCALATED TO ROXANNE",IF(TODAY()&gt;$Y255,"OVERDUE",IF($Y255&lt;=WORKDAY(TODAY(),1,Holidays),"DUE TOMORROW",IF($W255=4,"ESCALATED TO LOCAL OFFICE",IF($W255=5,"ESCALATED TO CBE",IF($X255=TODAY(),"EMAIL SENT","MONITORING"))))))))))</f>
        <v/>
      </c>
      <c r="U255" s="17">
        <f>IF($T255="",IF(AND(COUNTA($A255:$K255)&gt;0,$L255=""),"Awaiting Collection Email time stamp.",""),IF(OR($T255="PAID",$T255="CLOSED"),IF($T255="PAID","Account paid. Action completed.","Account closed. No further action required."),CHOOSE($W255,"Collection Email","1st Email Follow-up","2nd Email Follow-up","Escalation to Local Office","Escalation to CBE","Escalation to Roxanne")&amp;" sent "&amp;TEXT($X255,"dd-mmm")&amp;". "&amp;IF($W255=6,"Final escalation completed.",IF($T255="OVERDUE","Next: "&amp;$Z255&amp;" was due "&amp;TEXT($Y255,"dd-mmm")&amp;" - "&amp;(NETWORKDAYS($Y255,TODAY(),Holidays)-1)&amp;" business day(s) late. Send now.",IF($T255="DUE TOMORROW","Next: "&amp;$Z255&amp;IF($Y255&lt;=TODAY()," is due TODAY ("," is due next business day (")&amp;TEXT($Y255,"dd-mmm")&amp;").","Next: "&amp;$Z255&amp;" due "&amp;TEXT($Y255,"dd-mmm")&amp;" ("&amp;(NETWORKDAYS(TODAY(),$Y255,Holidays)-1)&amp;" business day(s) left).")))))</f>
        <v/>
      </c>
      <c r="V255" s="17">
        <f>IF($W255="","",CHOOSE($W255,"Collection Email","1st Follow-up","2nd Follow-up","Local Office","CBE","Roxanne")&amp;IF($W255=6," - Final"," - Day "&amp;MAX(0,NETWORKDAYS($X255,TODAY(),Holidays)-1)&amp;" of "&amp;CHOOSE($W255,3,3,2,2,3))&amp;" | Total Day "&amp;MAX(0,NETWORKDAYS($L255,TODAY(),Holidays)-1))</f>
        <v/>
      </c>
      <c r="W255" s="17">
        <f>IF($L255="","",COUNT($L255:$Q255))</f>
        <v/>
      </c>
      <c r="X255" s="18">
        <f>IF($W255="","",INT(INDEX($L255:$Q255,$W255)))</f>
        <v/>
      </c>
      <c r="Y255" s="18">
        <f>IF(OR($W255="",$W255=6),"",WORKDAY($X255,CHOOSE($W255,3,3,2,2,3),Holidays))</f>
        <v/>
      </c>
      <c r="Z255" s="17">
        <f>IF(OR($W255="",$W255=6),"",CHOOSE($W255,"1st Email Follow-up","2nd Email Follow-up","Escalate Local Office","Escalate to CBE","Escalate to Roxanne"))</f>
        <v/>
      </c>
    </row>
    <row r="256" spans="18:26">
      <c r="R256" s="15"/>
      <c r="S256" s="16"/>
      <c r="T256" s="17">
        <f>IF(AND(COUNTA($A256:$K256)=0,$L256=""),"",IF($S256="Paid","PAID",IF($S256="Closed","CLOSED",IF($W256="","",IF($W256=6,"ESCALATED TO ROXANNE",IF(TODAY()&gt;$Y256,"OVERDUE",IF($Y256&lt;=WORKDAY(TODAY(),1,Holidays),"DUE TOMORROW",IF($W256=4,"ESCALATED TO LOCAL OFFICE",IF($W256=5,"ESCALATED TO CBE",IF($X256=TODAY(),"EMAIL SENT","MONITORING"))))))))))</f>
        <v/>
      </c>
      <c r="U256" s="17">
        <f>IF($T256="",IF(AND(COUNTA($A256:$K256)&gt;0,$L256=""),"Awaiting Collection Email time stamp.",""),IF(OR($T256="PAID",$T256="CLOSED"),IF($T256="PAID","Account paid. Action completed.","Account closed. No further action required."),CHOOSE($W256,"Collection Email","1st Email Follow-up","2nd Email Follow-up","Escalation to Local Office","Escalation to CBE","Escalation to Roxanne")&amp;" sent "&amp;TEXT($X256,"dd-mmm")&amp;". "&amp;IF($W256=6,"Final escalation completed.",IF($T256="OVERDUE","Next: "&amp;$Z256&amp;" was due "&amp;TEXT($Y256,"dd-mmm")&amp;" - "&amp;(NETWORKDAYS($Y256,TODAY(),Holidays)-1)&amp;" business day(s) late. Send now.",IF($T256="DUE TOMORROW","Next: "&amp;$Z256&amp;IF($Y256&lt;=TODAY()," is due TODAY ("," is due next business day (")&amp;TEXT($Y256,"dd-mmm")&amp;").","Next: "&amp;$Z256&amp;" due "&amp;TEXT($Y256,"dd-mmm")&amp;" ("&amp;(NETWORKDAYS(TODAY(),$Y256,Holidays)-1)&amp;" business day(s) left).")))))</f>
        <v/>
      </c>
      <c r="V256" s="17">
        <f>IF($W256="","",CHOOSE($W256,"Collection Email","1st Follow-up","2nd Follow-up","Local Office","CBE","Roxanne")&amp;IF($W256=6," - Final"," - Day "&amp;MAX(0,NETWORKDAYS($X256,TODAY(),Holidays)-1)&amp;" of "&amp;CHOOSE($W256,3,3,2,2,3))&amp;" | Total Day "&amp;MAX(0,NETWORKDAYS($L256,TODAY(),Holidays)-1))</f>
        <v/>
      </c>
      <c r="W256" s="17">
        <f>IF($L256="","",COUNT($L256:$Q256))</f>
        <v/>
      </c>
      <c r="X256" s="18">
        <f>IF($W256="","",INT(INDEX($L256:$Q256,$W256)))</f>
        <v/>
      </c>
      <c r="Y256" s="18">
        <f>IF(OR($W256="",$W256=6),"",WORKDAY($X256,CHOOSE($W256,3,3,2,2,3),Holidays))</f>
        <v/>
      </c>
      <c r="Z256" s="17">
        <f>IF(OR($W256="",$W256=6),"",CHOOSE($W256,"1st Email Follow-up","2nd Email Follow-up","Escalate Local Office","Escalate to CBE","Escalate to Roxanne"))</f>
        <v/>
      </c>
    </row>
    <row r="257" spans="18:26">
      <c r="R257" s="15"/>
      <c r="S257" s="16"/>
      <c r="T257" s="17">
        <f>IF(AND(COUNTA($A257:$K257)=0,$L257=""),"",IF($S257="Paid","PAID",IF($S257="Closed","CLOSED",IF($W257="","",IF($W257=6,"ESCALATED TO ROXANNE",IF(TODAY()&gt;$Y257,"OVERDUE",IF($Y257&lt;=WORKDAY(TODAY(),1,Holidays),"DUE TOMORROW",IF($W257=4,"ESCALATED TO LOCAL OFFICE",IF($W257=5,"ESCALATED TO CBE",IF($X257=TODAY(),"EMAIL SENT","MONITORING"))))))))))</f>
        <v/>
      </c>
      <c r="U257" s="17">
        <f>IF($T257="",IF(AND(COUNTA($A257:$K257)&gt;0,$L257=""),"Awaiting Collection Email time stamp.",""),IF(OR($T257="PAID",$T257="CLOSED"),IF($T257="PAID","Account paid. Action completed.","Account closed. No further action required."),CHOOSE($W257,"Collection Email","1st Email Follow-up","2nd Email Follow-up","Escalation to Local Office","Escalation to CBE","Escalation to Roxanne")&amp;" sent "&amp;TEXT($X257,"dd-mmm")&amp;". "&amp;IF($W257=6,"Final escalation completed.",IF($T257="OVERDUE","Next: "&amp;$Z257&amp;" was due "&amp;TEXT($Y257,"dd-mmm")&amp;" - "&amp;(NETWORKDAYS($Y257,TODAY(),Holidays)-1)&amp;" business day(s) late. Send now.",IF($T257="DUE TOMORROW","Next: "&amp;$Z257&amp;IF($Y257&lt;=TODAY()," is due TODAY ("," is due next business day (")&amp;TEXT($Y257,"dd-mmm")&amp;").","Next: "&amp;$Z257&amp;" due "&amp;TEXT($Y257,"dd-mmm")&amp;" ("&amp;(NETWORKDAYS(TODAY(),$Y257,Holidays)-1)&amp;" business day(s) left).")))))</f>
        <v/>
      </c>
      <c r="V257" s="17">
        <f>IF($W257="","",CHOOSE($W257,"Collection Email","1st Follow-up","2nd Follow-up","Local Office","CBE","Roxanne")&amp;IF($W257=6," - Final"," - Day "&amp;MAX(0,NETWORKDAYS($X257,TODAY(),Holidays)-1)&amp;" of "&amp;CHOOSE($W257,3,3,2,2,3))&amp;" | Total Day "&amp;MAX(0,NETWORKDAYS($L257,TODAY(),Holidays)-1))</f>
        <v/>
      </c>
      <c r="W257" s="17">
        <f>IF($L257="","",COUNT($L257:$Q257))</f>
        <v/>
      </c>
      <c r="X257" s="18">
        <f>IF($W257="","",INT(INDEX($L257:$Q257,$W257)))</f>
        <v/>
      </c>
      <c r="Y257" s="18">
        <f>IF(OR($W257="",$W257=6),"",WORKDAY($X257,CHOOSE($W257,3,3,2,2,3),Holidays))</f>
        <v/>
      </c>
      <c r="Z257" s="17">
        <f>IF(OR($W257="",$W257=6),"",CHOOSE($W257,"1st Email Follow-up","2nd Email Follow-up","Escalate Local Office","Escalate to CBE","Escalate to Roxanne"))</f>
        <v/>
      </c>
    </row>
    <row r="258" spans="18:26">
      <c r="R258" s="15"/>
      <c r="S258" s="16"/>
      <c r="T258" s="17">
        <f>IF(AND(COUNTA($A258:$K258)=0,$L258=""),"",IF($S258="Paid","PAID",IF($S258="Closed","CLOSED",IF($W258="","",IF($W258=6,"ESCALATED TO ROXANNE",IF(TODAY()&gt;$Y258,"OVERDUE",IF($Y258&lt;=WORKDAY(TODAY(),1,Holidays),"DUE TOMORROW",IF($W258=4,"ESCALATED TO LOCAL OFFICE",IF($W258=5,"ESCALATED TO CBE",IF($X258=TODAY(),"EMAIL SENT","MONITORING"))))))))))</f>
        <v/>
      </c>
      <c r="U258" s="17">
        <f>IF($T258="",IF(AND(COUNTA($A258:$K258)&gt;0,$L258=""),"Awaiting Collection Email time stamp.",""),IF(OR($T258="PAID",$T258="CLOSED"),IF($T258="PAID","Account paid. Action completed.","Account closed. No further action required."),CHOOSE($W258,"Collection Email","1st Email Follow-up","2nd Email Follow-up","Escalation to Local Office","Escalation to CBE","Escalation to Roxanne")&amp;" sent "&amp;TEXT($X258,"dd-mmm")&amp;". "&amp;IF($W258=6,"Final escalation completed.",IF($T258="OVERDUE","Next: "&amp;$Z258&amp;" was due "&amp;TEXT($Y258,"dd-mmm")&amp;" - "&amp;(NETWORKDAYS($Y258,TODAY(),Holidays)-1)&amp;" business day(s) late. Send now.",IF($T258="DUE TOMORROW","Next: "&amp;$Z258&amp;IF($Y258&lt;=TODAY()," is due TODAY ("," is due next business day (")&amp;TEXT($Y258,"dd-mmm")&amp;").","Next: "&amp;$Z258&amp;" due "&amp;TEXT($Y258,"dd-mmm")&amp;" ("&amp;(NETWORKDAYS(TODAY(),$Y258,Holidays)-1)&amp;" business day(s) left).")))))</f>
        <v/>
      </c>
      <c r="V258" s="17">
        <f>IF($W258="","",CHOOSE($W258,"Collection Email","1st Follow-up","2nd Follow-up","Local Office","CBE","Roxanne")&amp;IF($W258=6," - Final"," - Day "&amp;MAX(0,NETWORKDAYS($X258,TODAY(),Holidays)-1)&amp;" of "&amp;CHOOSE($W258,3,3,2,2,3))&amp;" | Total Day "&amp;MAX(0,NETWORKDAYS($L258,TODAY(),Holidays)-1))</f>
        <v/>
      </c>
      <c r="W258" s="17">
        <f>IF($L258="","",COUNT($L258:$Q258))</f>
        <v/>
      </c>
      <c r="X258" s="18">
        <f>IF($W258="","",INT(INDEX($L258:$Q258,$W258)))</f>
        <v/>
      </c>
      <c r="Y258" s="18">
        <f>IF(OR($W258="",$W258=6),"",WORKDAY($X258,CHOOSE($W258,3,3,2,2,3),Holidays))</f>
        <v/>
      </c>
      <c r="Z258" s="17">
        <f>IF(OR($W258="",$W258=6),"",CHOOSE($W258,"1st Email Follow-up","2nd Email Follow-up","Escalate Local Office","Escalate to CBE","Escalate to Roxanne"))</f>
        <v/>
      </c>
    </row>
    <row r="259" spans="18:26">
      <c r="R259" s="15"/>
      <c r="S259" s="16"/>
      <c r="T259" s="17">
        <f>IF(AND(COUNTA($A259:$K259)=0,$L259=""),"",IF($S259="Paid","PAID",IF($S259="Closed","CLOSED",IF($W259="","",IF($W259=6,"ESCALATED TO ROXANNE",IF(TODAY()&gt;$Y259,"OVERDUE",IF($Y259&lt;=WORKDAY(TODAY(),1,Holidays),"DUE TOMORROW",IF($W259=4,"ESCALATED TO LOCAL OFFICE",IF($W259=5,"ESCALATED TO CBE",IF($X259=TODAY(),"EMAIL SENT","MONITORING"))))))))))</f>
        <v/>
      </c>
      <c r="U259" s="17">
        <f>IF($T259="",IF(AND(COUNTA($A259:$K259)&gt;0,$L259=""),"Awaiting Collection Email time stamp.",""),IF(OR($T259="PAID",$T259="CLOSED"),IF($T259="PAID","Account paid. Action completed.","Account closed. No further action required."),CHOOSE($W259,"Collection Email","1st Email Follow-up","2nd Email Follow-up","Escalation to Local Office","Escalation to CBE","Escalation to Roxanne")&amp;" sent "&amp;TEXT($X259,"dd-mmm")&amp;". "&amp;IF($W259=6,"Final escalation completed.",IF($T259="OVERDUE","Next: "&amp;$Z259&amp;" was due "&amp;TEXT($Y259,"dd-mmm")&amp;" - "&amp;(NETWORKDAYS($Y259,TODAY(),Holidays)-1)&amp;" business day(s) late. Send now.",IF($T259="DUE TOMORROW","Next: "&amp;$Z259&amp;IF($Y259&lt;=TODAY()," is due TODAY ("," is due next business day (")&amp;TEXT($Y259,"dd-mmm")&amp;").","Next: "&amp;$Z259&amp;" due "&amp;TEXT($Y259,"dd-mmm")&amp;" ("&amp;(NETWORKDAYS(TODAY(),$Y259,Holidays)-1)&amp;" business day(s) left).")))))</f>
        <v/>
      </c>
      <c r="V259" s="17">
        <f>IF($W259="","",CHOOSE($W259,"Collection Email","1st Follow-up","2nd Follow-up","Local Office","CBE","Roxanne")&amp;IF($W259=6," - Final"," - Day "&amp;MAX(0,NETWORKDAYS($X259,TODAY(),Holidays)-1)&amp;" of "&amp;CHOOSE($W259,3,3,2,2,3))&amp;" | Total Day "&amp;MAX(0,NETWORKDAYS($L259,TODAY(),Holidays)-1))</f>
        <v/>
      </c>
      <c r="W259" s="17">
        <f>IF($L259="","",COUNT($L259:$Q259))</f>
        <v/>
      </c>
      <c r="X259" s="18">
        <f>IF($W259="","",INT(INDEX($L259:$Q259,$W259)))</f>
        <v/>
      </c>
      <c r="Y259" s="18">
        <f>IF(OR($W259="",$W259=6),"",WORKDAY($X259,CHOOSE($W259,3,3,2,2,3),Holidays))</f>
        <v/>
      </c>
      <c r="Z259" s="17">
        <f>IF(OR($W259="",$W259=6),"",CHOOSE($W259,"1st Email Follow-up","2nd Email Follow-up","Escalate Local Office","Escalate to CBE","Escalate to Roxanne"))</f>
        <v/>
      </c>
    </row>
    <row r="260" spans="18:26">
      <c r="R260" s="15"/>
      <c r="S260" s="16"/>
      <c r="T260" s="17">
        <f>IF(AND(COUNTA($A260:$K260)=0,$L260=""),"",IF($S260="Paid","PAID",IF($S260="Closed","CLOSED",IF($W260="","",IF($W260=6,"ESCALATED TO ROXANNE",IF(TODAY()&gt;$Y260,"OVERDUE",IF($Y260&lt;=WORKDAY(TODAY(),1,Holidays),"DUE TOMORROW",IF($W260=4,"ESCALATED TO LOCAL OFFICE",IF($W260=5,"ESCALATED TO CBE",IF($X260=TODAY(),"EMAIL SENT","MONITORING"))))))))))</f>
        <v/>
      </c>
      <c r="U260" s="17">
        <f>IF($T260="",IF(AND(COUNTA($A260:$K260)&gt;0,$L260=""),"Awaiting Collection Email time stamp.",""),IF(OR($T260="PAID",$T260="CLOSED"),IF($T260="PAID","Account paid. Action completed.","Account closed. No further action required."),CHOOSE($W260,"Collection Email","1st Email Follow-up","2nd Email Follow-up","Escalation to Local Office","Escalation to CBE","Escalation to Roxanne")&amp;" sent "&amp;TEXT($X260,"dd-mmm")&amp;". "&amp;IF($W260=6,"Final escalation completed.",IF($T260="OVERDUE","Next: "&amp;$Z260&amp;" was due "&amp;TEXT($Y260,"dd-mmm")&amp;" - "&amp;(NETWORKDAYS($Y260,TODAY(),Holidays)-1)&amp;" business day(s) late. Send now.",IF($T260="DUE TOMORROW","Next: "&amp;$Z260&amp;IF($Y260&lt;=TODAY()," is due TODAY ("," is due next business day (")&amp;TEXT($Y260,"dd-mmm")&amp;").","Next: "&amp;$Z260&amp;" due "&amp;TEXT($Y260,"dd-mmm")&amp;" ("&amp;(NETWORKDAYS(TODAY(),$Y260,Holidays)-1)&amp;" business day(s) left).")))))</f>
        <v/>
      </c>
      <c r="V260" s="17">
        <f>IF($W260="","",CHOOSE($W260,"Collection Email","1st Follow-up","2nd Follow-up","Local Office","CBE","Roxanne")&amp;IF($W260=6," - Final"," - Day "&amp;MAX(0,NETWORKDAYS($X260,TODAY(),Holidays)-1)&amp;" of "&amp;CHOOSE($W260,3,3,2,2,3))&amp;" | Total Day "&amp;MAX(0,NETWORKDAYS($L260,TODAY(),Holidays)-1))</f>
        <v/>
      </c>
      <c r="W260" s="17">
        <f>IF($L260="","",COUNT($L260:$Q260))</f>
        <v/>
      </c>
      <c r="X260" s="18">
        <f>IF($W260="","",INT(INDEX($L260:$Q260,$W260)))</f>
        <v/>
      </c>
      <c r="Y260" s="18">
        <f>IF(OR($W260="",$W260=6),"",WORKDAY($X260,CHOOSE($W260,3,3,2,2,3),Holidays))</f>
        <v/>
      </c>
      <c r="Z260" s="17">
        <f>IF(OR($W260="",$W260=6),"",CHOOSE($W260,"1st Email Follow-up","2nd Email Follow-up","Escalate Local Office","Escalate to CBE","Escalate to Roxanne"))</f>
        <v/>
      </c>
    </row>
    <row r="261" spans="18:26">
      <c r="R261" s="15"/>
      <c r="S261" s="16"/>
      <c r="T261" s="17">
        <f>IF(AND(COUNTA($A261:$K261)=0,$L261=""),"",IF($S261="Paid","PAID",IF($S261="Closed","CLOSED",IF($W261="","",IF($W261=6,"ESCALATED TO ROXANNE",IF(TODAY()&gt;$Y261,"OVERDUE",IF($Y261&lt;=WORKDAY(TODAY(),1,Holidays),"DUE TOMORROW",IF($W261=4,"ESCALATED TO LOCAL OFFICE",IF($W261=5,"ESCALATED TO CBE",IF($X261=TODAY(),"EMAIL SENT","MONITORING"))))))))))</f>
        <v/>
      </c>
      <c r="U261" s="17">
        <f>IF($T261="",IF(AND(COUNTA($A261:$K261)&gt;0,$L261=""),"Awaiting Collection Email time stamp.",""),IF(OR($T261="PAID",$T261="CLOSED"),IF($T261="PAID","Account paid. Action completed.","Account closed. No further action required."),CHOOSE($W261,"Collection Email","1st Email Follow-up","2nd Email Follow-up","Escalation to Local Office","Escalation to CBE","Escalation to Roxanne")&amp;" sent "&amp;TEXT($X261,"dd-mmm")&amp;". "&amp;IF($W261=6,"Final escalation completed.",IF($T261="OVERDUE","Next: "&amp;$Z261&amp;" was due "&amp;TEXT($Y261,"dd-mmm")&amp;" - "&amp;(NETWORKDAYS($Y261,TODAY(),Holidays)-1)&amp;" business day(s) late. Send now.",IF($T261="DUE TOMORROW","Next: "&amp;$Z261&amp;IF($Y261&lt;=TODAY()," is due TODAY ("," is due next business day (")&amp;TEXT($Y261,"dd-mmm")&amp;").","Next: "&amp;$Z261&amp;" due "&amp;TEXT($Y261,"dd-mmm")&amp;" ("&amp;(NETWORKDAYS(TODAY(),$Y261,Holidays)-1)&amp;" business day(s) left).")))))</f>
        <v/>
      </c>
      <c r="V261" s="17">
        <f>IF($W261="","",CHOOSE($W261,"Collection Email","1st Follow-up","2nd Follow-up","Local Office","CBE","Roxanne")&amp;IF($W261=6," - Final"," - Day "&amp;MAX(0,NETWORKDAYS($X261,TODAY(),Holidays)-1)&amp;" of "&amp;CHOOSE($W261,3,3,2,2,3))&amp;" | Total Day "&amp;MAX(0,NETWORKDAYS($L261,TODAY(),Holidays)-1))</f>
        <v/>
      </c>
      <c r="W261" s="17">
        <f>IF($L261="","",COUNT($L261:$Q261))</f>
        <v/>
      </c>
      <c r="X261" s="18">
        <f>IF($W261="","",INT(INDEX($L261:$Q261,$W261)))</f>
        <v/>
      </c>
      <c r="Y261" s="18">
        <f>IF(OR($W261="",$W261=6),"",WORKDAY($X261,CHOOSE($W261,3,3,2,2,3),Holidays))</f>
        <v/>
      </c>
      <c r="Z261" s="17">
        <f>IF(OR($W261="",$W261=6),"",CHOOSE($W261,"1st Email Follow-up","2nd Email Follow-up","Escalate Local Office","Escalate to CBE","Escalate to Roxanne"))</f>
        <v/>
      </c>
    </row>
    <row r="262" spans="18:26">
      <c r="R262" s="15"/>
      <c r="S262" s="16"/>
      <c r="T262" s="17">
        <f>IF(AND(COUNTA($A262:$K262)=0,$L262=""),"",IF($S262="Paid","PAID",IF($S262="Closed","CLOSED",IF($W262="","",IF($W262=6,"ESCALATED TO ROXANNE",IF(TODAY()&gt;$Y262,"OVERDUE",IF($Y262&lt;=WORKDAY(TODAY(),1,Holidays),"DUE TOMORROW",IF($W262=4,"ESCALATED TO LOCAL OFFICE",IF($W262=5,"ESCALATED TO CBE",IF($X262=TODAY(),"EMAIL SENT","MONITORING"))))))))))</f>
        <v/>
      </c>
      <c r="U262" s="17">
        <f>IF($T262="",IF(AND(COUNTA($A262:$K262)&gt;0,$L262=""),"Awaiting Collection Email time stamp.",""),IF(OR($T262="PAID",$T262="CLOSED"),IF($T262="PAID","Account paid. Action completed.","Account closed. No further action required."),CHOOSE($W262,"Collection Email","1st Email Follow-up","2nd Email Follow-up","Escalation to Local Office","Escalation to CBE","Escalation to Roxanne")&amp;" sent "&amp;TEXT($X262,"dd-mmm")&amp;". "&amp;IF($W262=6,"Final escalation completed.",IF($T262="OVERDUE","Next: "&amp;$Z262&amp;" was due "&amp;TEXT($Y262,"dd-mmm")&amp;" - "&amp;(NETWORKDAYS($Y262,TODAY(),Holidays)-1)&amp;" business day(s) late. Send now.",IF($T262="DUE TOMORROW","Next: "&amp;$Z262&amp;IF($Y262&lt;=TODAY()," is due TODAY ("," is due next business day (")&amp;TEXT($Y262,"dd-mmm")&amp;").","Next: "&amp;$Z262&amp;" due "&amp;TEXT($Y262,"dd-mmm")&amp;" ("&amp;(NETWORKDAYS(TODAY(),$Y262,Holidays)-1)&amp;" business day(s) left).")))))</f>
        <v/>
      </c>
      <c r="V262" s="17">
        <f>IF($W262="","",CHOOSE($W262,"Collection Email","1st Follow-up","2nd Follow-up","Local Office","CBE","Roxanne")&amp;IF($W262=6," - Final"," - Day "&amp;MAX(0,NETWORKDAYS($X262,TODAY(),Holidays)-1)&amp;" of "&amp;CHOOSE($W262,3,3,2,2,3))&amp;" | Total Day "&amp;MAX(0,NETWORKDAYS($L262,TODAY(),Holidays)-1))</f>
        <v/>
      </c>
      <c r="W262" s="17">
        <f>IF($L262="","",COUNT($L262:$Q262))</f>
        <v/>
      </c>
      <c r="X262" s="18">
        <f>IF($W262="","",INT(INDEX($L262:$Q262,$W262)))</f>
        <v/>
      </c>
      <c r="Y262" s="18">
        <f>IF(OR($W262="",$W262=6),"",WORKDAY($X262,CHOOSE($W262,3,3,2,2,3),Holidays))</f>
        <v/>
      </c>
      <c r="Z262" s="17">
        <f>IF(OR($W262="",$W262=6),"",CHOOSE($W262,"1st Email Follow-up","2nd Email Follow-up","Escalate Local Office","Escalate to CBE","Escalate to Roxanne"))</f>
        <v/>
      </c>
    </row>
    <row r="263" spans="18:26">
      <c r="R263" s="15"/>
      <c r="S263" s="16"/>
      <c r="T263" s="17">
        <f>IF(AND(COUNTA($A263:$K263)=0,$L263=""),"",IF($S263="Paid","PAID",IF($S263="Closed","CLOSED",IF($W263="","",IF($W263=6,"ESCALATED TO ROXANNE",IF(TODAY()&gt;$Y263,"OVERDUE",IF($Y263&lt;=WORKDAY(TODAY(),1,Holidays),"DUE TOMORROW",IF($W263=4,"ESCALATED TO LOCAL OFFICE",IF($W263=5,"ESCALATED TO CBE",IF($X263=TODAY(),"EMAIL SENT","MONITORING"))))))))))</f>
        <v/>
      </c>
      <c r="U263" s="17">
        <f>IF($T263="",IF(AND(COUNTA($A263:$K263)&gt;0,$L263=""),"Awaiting Collection Email time stamp.",""),IF(OR($T263="PAID",$T263="CLOSED"),IF($T263="PAID","Account paid. Action completed.","Account closed. No further action required."),CHOOSE($W263,"Collection Email","1st Email Follow-up","2nd Email Follow-up","Escalation to Local Office","Escalation to CBE","Escalation to Roxanne")&amp;" sent "&amp;TEXT($X263,"dd-mmm")&amp;". "&amp;IF($W263=6,"Final escalation completed.",IF($T263="OVERDUE","Next: "&amp;$Z263&amp;" was due "&amp;TEXT($Y263,"dd-mmm")&amp;" - "&amp;(NETWORKDAYS($Y263,TODAY(),Holidays)-1)&amp;" business day(s) late. Send now.",IF($T263="DUE TOMORROW","Next: "&amp;$Z263&amp;IF($Y263&lt;=TODAY()," is due TODAY ("," is due next business day (")&amp;TEXT($Y263,"dd-mmm")&amp;").","Next: "&amp;$Z263&amp;" due "&amp;TEXT($Y263,"dd-mmm")&amp;" ("&amp;(NETWORKDAYS(TODAY(),$Y263,Holidays)-1)&amp;" business day(s) left).")))))</f>
        <v/>
      </c>
      <c r="V263" s="17">
        <f>IF($W263="","",CHOOSE($W263,"Collection Email","1st Follow-up","2nd Follow-up","Local Office","CBE","Roxanne")&amp;IF($W263=6," - Final"," - Day "&amp;MAX(0,NETWORKDAYS($X263,TODAY(),Holidays)-1)&amp;" of "&amp;CHOOSE($W263,3,3,2,2,3))&amp;" | Total Day "&amp;MAX(0,NETWORKDAYS($L263,TODAY(),Holidays)-1))</f>
        <v/>
      </c>
      <c r="W263" s="17">
        <f>IF($L263="","",COUNT($L263:$Q263))</f>
        <v/>
      </c>
      <c r="X263" s="18">
        <f>IF($W263="","",INT(INDEX($L263:$Q263,$W263)))</f>
        <v/>
      </c>
      <c r="Y263" s="18">
        <f>IF(OR($W263="",$W263=6),"",WORKDAY($X263,CHOOSE($W263,3,3,2,2,3),Holidays))</f>
        <v/>
      </c>
      <c r="Z263" s="17">
        <f>IF(OR($W263="",$W263=6),"",CHOOSE($W263,"1st Email Follow-up","2nd Email Follow-up","Escalate Local Office","Escalate to CBE","Escalate to Roxanne"))</f>
        <v/>
      </c>
    </row>
    <row r="264" spans="18:26">
      <c r="R264" s="15"/>
      <c r="S264" s="16"/>
      <c r="T264" s="17">
        <f>IF(AND(COUNTA($A264:$K264)=0,$L264=""),"",IF($S264="Paid","PAID",IF($S264="Closed","CLOSED",IF($W264="","",IF($W264=6,"ESCALATED TO ROXANNE",IF(TODAY()&gt;$Y264,"OVERDUE",IF($Y264&lt;=WORKDAY(TODAY(),1,Holidays),"DUE TOMORROW",IF($W264=4,"ESCALATED TO LOCAL OFFICE",IF($W264=5,"ESCALATED TO CBE",IF($X264=TODAY(),"EMAIL SENT","MONITORING"))))))))))</f>
        <v/>
      </c>
      <c r="U264" s="17">
        <f>IF($T264="",IF(AND(COUNTA($A264:$K264)&gt;0,$L264=""),"Awaiting Collection Email time stamp.",""),IF(OR($T264="PAID",$T264="CLOSED"),IF($T264="PAID","Account paid. Action completed.","Account closed. No further action required."),CHOOSE($W264,"Collection Email","1st Email Follow-up","2nd Email Follow-up","Escalation to Local Office","Escalation to CBE","Escalation to Roxanne")&amp;" sent "&amp;TEXT($X264,"dd-mmm")&amp;". "&amp;IF($W264=6,"Final escalation completed.",IF($T264="OVERDUE","Next: "&amp;$Z264&amp;" was due "&amp;TEXT($Y264,"dd-mmm")&amp;" - "&amp;(NETWORKDAYS($Y264,TODAY(),Holidays)-1)&amp;" business day(s) late. Send now.",IF($T264="DUE TOMORROW","Next: "&amp;$Z264&amp;IF($Y264&lt;=TODAY()," is due TODAY ("," is due next business day (")&amp;TEXT($Y264,"dd-mmm")&amp;").","Next: "&amp;$Z264&amp;" due "&amp;TEXT($Y264,"dd-mmm")&amp;" ("&amp;(NETWORKDAYS(TODAY(),$Y264,Holidays)-1)&amp;" business day(s) left).")))))</f>
        <v/>
      </c>
      <c r="V264" s="17">
        <f>IF($W264="","",CHOOSE($W264,"Collection Email","1st Follow-up","2nd Follow-up","Local Office","CBE","Roxanne")&amp;IF($W264=6," - Final"," - Day "&amp;MAX(0,NETWORKDAYS($X264,TODAY(),Holidays)-1)&amp;" of "&amp;CHOOSE($W264,3,3,2,2,3))&amp;" | Total Day "&amp;MAX(0,NETWORKDAYS($L264,TODAY(),Holidays)-1))</f>
        <v/>
      </c>
      <c r="W264" s="17">
        <f>IF($L264="","",COUNT($L264:$Q264))</f>
        <v/>
      </c>
      <c r="X264" s="18">
        <f>IF($W264="","",INT(INDEX($L264:$Q264,$W264)))</f>
        <v/>
      </c>
      <c r="Y264" s="18">
        <f>IF(OR($W264="",$W264=6),"",WORKDAY($X264,CHOOSE($W264,3,3,2,2,3),Holidays))</f>
        <v/>
      </c>
      <c r="Z264" s="17">
        <f>IF(OR($W264="",$W264=6),"",CHOOSE($W264,"1st Email Follow-up","2nd Email Follow-up","Escalate Local Office","Escalate to CBE","Escalate to Roxanne"))</f>
        <v/>
      </c>
    </row>
    <row r="265" spans="18:26">
      <c r="R265" s="15"/>
      <c r="S265" s="16"/>
      <c r="T265" s="17">
        <f>IF(AND(COUNTA($A265:$K265)=0,$L265=""),"",IF($S265="Paid","PAID",IF($S265="Closed","CLOSED",IF($W265="","",IF($W265=6,"ESCALATED TO ROXANNE",IF(TODAY()&gt;$Y265,"OVERDUE",IF($Y265&lt;=WORKDAY(TODAY(),1,Holidays),"DUE TOMORROW",IF($W265=4,"ESCALATED TO LOCAL OFFICE",IF($W265=5,"ESCALATED TO CBE",IF($X265=TODAY(),"EMAIL SENT","MONITORING"))))))))))</f>
        <v/>
      </c>
      <c r="U265" s="17">
        <f>IF($T265="",IF(AND(COUNTA($A265:$K265)&gt;0,$L265=""),"Awaiting Collection Email time stamp.",""),IF(OR($T265="PAID",$T265="CLOSED"),IF($T265="PAID","Account paid. Action completed.","Account closed. No further action required."),CHOOSE($W265,"Collection Email","1st Email Follow-up","2nd Email Follow-up","Escalation to Local Office","Escalation to CBE","Escalation to Roxanne")&amp;" sent "&amp;TEXT($X265,"dd-mmm")&amp;". "&amp;IF($W265=6,"Final escalation completed.",IF($T265="OVERDUE","Next: "&amp;$Z265&amp;" was due "&amp;TEXT($Y265,"dd-mmm")&amp;" - "&amp;(NETWORKDAYS($Y265,TODAY(),Holidays)-1)&amp;" business day(s) late. Send now.",IF($T265="DUE TOMORROW","Next: "&amp;$Z265&amp;IF($Y265&lt;=TODAY()," is due TODAY ("," is due next business day (")&amp;TEXT($Y265,"dd-mmm")&amp;").","Next: "&amp;$Z265&amp;" due "&amp;TEXT($Y265,"dd-mmm")&amp;" ("&amp;(NETWORKDAYS(TODAY(),$Y265,Holidays)-1)&amp;" business day(s) left).")))))</f>
        <v/>
      </c>
      <c r="V265" s="17">
        <f>IF($W265="","",CHOOSE($W265,"Collection Email","1st Follow-up","2nd Follow-up","Local Office","CBE","Roxanne")&amp;IF($W265=6," - Final"," - Day "&amp;MAX(0,NETWORKDAYS($X265,TODAY(),Holidays)-1)&amp;" of "&amp;CHOOSE($W265,3,3,2,2,3))&amp;" | Total Day "&amp;MAX(0,NETWORKDAYS($L265,TODAY(),Holidays)-1))</f>
        <v/>
      </c>
      <c r="W265" s="17">
        <f>IF($L265="","",COUNT($L265:$Q265))</f>
        <v/>
      </c>
      <c r="X265" s="18">
        <f>IF($W265="","",INT(INDEX($L265:$Q265,$W265)))</f>
        <v/>
      </c>
      <c r="Y265" s="18">
        <f>IF(OR($W265="",$W265=6),"",WORKDAY($X265,CHOOSE($W265,3,3,2,2,3),Holidays))</f>
        <v/>
      </c>
      <c r="Z265" s="17">
        <f>IF(OR($W265="",$W265=6),"",CHOOSE($W265,"1st Email Follow-up","2nd Email Follow-up","Escalate Local Office","Escalate to CBE","Escalate to Roxanne"))</f>
        <v/>
      </c>
    </row>
    <row r="266" spans="18:26">
      <c r="R266" s="15"/>
      <c r="S266" s="16"/>
      <c r="T266" s="17">
        <f>IF(AND(COUNTA($A266:$K266)=0,$L266=""),"",IF($S266="Paid","PAID",IF($S266="Closed","CLOSED",IF($W266="","",IF($W266=6,"ESCALATED TO ROXANNE",IF(TODAY()&gt;$Y266,"OVERDUE",IF($Y266&lt;=WORKDAY(TODAY(),1,Holidays),"DUE TOMORROW",IF($W266=4,"ESCALATED TO LOCAL OFFICE",IF($W266=5,"ESCALATED TO CBE",IF($X266=TODAY(),"EMAIL SENT","MONITORING"))))))))))</f>
        <v/>
      </c>
      <c r="U266" s="17">
        <f>IF($T266="",IF(AND(COUNTA($A266:$K266)&gt;0,$L266=""),"Awaiting Collection Email time stamp.",""),IF(OR($T266="PAID",$T266="CLOSED"),IF($T266="PAID","Account paid. Action completed.","Account closed. No further action required."),CHOOSE($W266,"Collection Email","1st Email Follow-up","2nd Email Follow-up","Escalation to Local Office","Escalation to CBE","Escalation to Roxanne")&amp;" sent "&amp;TEXT($X266,"dd-mmm")&amp;". "&amp;IF($W266=6,"Final escalation completed.",IF($T266="OVERDUE","Next: "&amp;$Z266&amp;" was due "&amp;TEXT($Y266,"dd-mmm")&amp;" - "&amp;(NETWORKDAYS($Y266,TODAY(),Holidays)-1)&amp;" business day(s) late. Send now.",IF($T266="DUE TOMORROW","Next: "&amp;$Z266&amp;IF($Y266&lt;=TODAY()," is due TODAY ("," is due next business day (")&amp;TEXT($Y266,"dd-mmm")&amp;").","Next: "&amp;$Z266&amp;" due "&amp;TEXT($Y266,"dd-mmm")&amp;" ("&amp;(NETWORKDAYS(TODAY(),$Y266,Holidays)-1)&amp;" business day(s) left).")))))</f>
        <v/>
      </c>
      <c r="V266" s="17">
        <f>IF($W266="","",CHOOSE($W266,"Collection Email","1st Follow-up","2nd Follow-up","Local Office","CBE","Roxanne")&amp;IF($W266=6," - Final"," - Day "&amp;MAX(0,NETWORKDAYS($X266,TODAY(),Holidays)-1)&amp;" of "&amp;CHOOSE($W266,3,3,2,2,3))&amp;" | Total Day "&amp;MAX(0,NETWORKDAYS($L266,TODAY(),Holidays)-1))</f>
        <v/>
      </c>
      <c r="W266" s="17">
        <f>IF($L266="","",COUNT($L266:$Q266))</f>
        <v/>
      </c>
      <c r="X266" s="18">
        <f>IF($W266="","",INT(INDEX($L266:$Q266,$W266)))</f>
        <v/>
      </c>
      <c r="Y266" s="18">
        <f>IF(OR($W266="",$W266=6),"",WORKDAY($X266,CHOOSE($W266,3,3,2,2,3),Holidays))</f>
        <v/>
      </c>
      <c r="Z266" s="17">
        <f>IF(OR($W266="",$W266=6),"",CHOOSE($W266,"1st Email Follow-up","2nd Email Follow-up","Escalate Local Office","Escalate to CBE","Escalate to Roxanne"))</f>
        <v/>
      </c>
    </row>
    <row r="267" spans="18:26">
      <c r="R267" s="15"/>
      <c r="S267" s="16"/>
      <c r="T267" s="17">
        <f>IF(AND(COUNTA($A267:$K267)=0,$L267=""),"",IF($S267="Paid","PAID",IF($S267="Closed","CLOSED",IF($W267="","",IF($W267=6,"ESCALATED TO ROXANNE",IF(TODAY()&gt;$Y267,"OVERDUE",IF($Y267&lt;=WORKDAY(TODAY(),1,Holidays),"DUE TOMORROW",IF($W267=4,"ESCALATED TO LOCAL OFFICE",IF($W267=5,"ESCALATED TO CBE",IF($X267=TODAY(),"EMAIL SENT","MONITORING"))))))))))</f>
        <v/>
      </c>
      <c r="U267" s="17">
        <f>IF($T267="",IF(AND(COUNTA($A267:$K267)&gt;0,$L267=""),"Awaiting Collection Email time stamp.",""),IF(OR($T267="PAID",$T267="CLOSED"),IF($T267="PAID","Account paid. Action completed.","Account closed. No further action required."),CHOOSE($W267,"Collection Email","1st Email Follow-up","2nd Email Follow-up","Escalation to Local Office","Escalation to CBE","Escalation to Roxanne")&amp;" sent "&amp;TEXT($X267,"dd-mmm")&amp;". "&amp;IF($W267=6,"Final escalation completed.",IF($T267="OVERDUE","Next: "&amp;$Z267&amp;" was due "&amp;TEXT($Y267,"dd-mmm")&amp;" - "&amp;(NETWORKDAYS($Y267,TODAY(),Holidays)-1)&amp;" business day(s) late. Send now.",IF($T267="DUE TOMORROW","Next: "&amp;$Z267&amp;IF($Y267&lt;=TODAY()," is due TODAY ("," is due next business day (")&amp;TEXT($Y267,"dd-mmm")&amp;").","Next: "&amp;$Z267&amp;" due "&amp;TEXT($Y267,"dd-mmm")&amp;" ("&amp;(NETWORKDAYS(TODAY(),$Y267,Holidays)-1)&amp;" business day(s) left).")))))</f>
        <v/>
      </c>
      <c r="V267" s="17">
        <f>IF($W267="","",CHOOSE($W267,"Collection Email","1st Follow-up","2nd Follow-up","Local Office","CBE","Roxanne")&amp;IF($W267=6," - Final"," - Day "&amp;MAX(0,NETWORKDAYS($X267,TODAY(),Holidays)-1)&amp;" of "&amp;CHOOSE($W267,3,3,2,2,3))&amp;" | Total Day "&amp;MAX(0,NETWORKDAYS($L267,TODAY(),Holidays)-1))</f>
        <v/>
      </c>
      <c r="W267" s="17">
        <f>IF($L267="","",COUNT($L267:$Q267))</f>
        <v/>
      </c>
      <c r="X267" s="18">
        <f>IF($W267="","",INT(INDEX($L267:$Q267,$W267)))</f>
        <v/>
      </c>
      <c r="Y267" s="18">
        <f>IF(OR($W267="",$W267=6),"",WORKDAY($X267,CHOOSE($W267,3,3,2,2,3),Holidays))</f>
        <v/>
      </c>
      <c r="Z267" s="17">
        <f>IF(OR($W267="",$W267=6),"",CHOOSE($W267,"1st Email Follow-up","2nd Email Follow-up","Escalate Local Office","Escalate to CBE","Escalate to Roxanne"))</f>
        <v/>
      </c>
    </row>
    <row r="268" spans="18:26">
      <c r="R268" s="15"/>
      <c r="S268" s="16"/>
      <c r="T268" s="17">
        <f>IF(AND(COUNTA($A268:$K268)=0,$L268=""),"",IF($S268="Paid","PAID",IF($S268="Closed","CLOSED",IF($W268="","",IF($W268=6,"ESCALATED TO ROXANNE",IF(TODAY()&gt;$Y268,"OVERDUE",IF($Y268&lt;=WORKDAY(TODAY(),1,Holidays),"DUE TOMORROW",IF($W268=4,"ESCALATED TO LOCAL OFFICE",IF($W268=5,"ESCALATED TO CBE",IF($X268=TODAY(),"EMAIL SENT","MONITORING"))))))))))</f>
        <v/>
      </c>
      <c r="U268" s="17">
        <f>IF($T268="",IF(AND(COUNTA($A268:$K268)&gt;0,$L268=""),"Awaiting Collection Email time stamp.",""),IF(OR($T268="PAID",$T268="CLOSED"),IF($T268="PAID","Account paid. Action completed.","Account closed. No further action required."),CHOOSE($W268,"Collection Email","1st Email Follow-up","2nd Email Follow-up","Escalation to Local Office","Escalation to CBE","Escalation to Roxanne")&amp;" sent "&amp;TEXT($X268,"dd-mmm")&amp;". "&amp;IF($W268=6,"Final escalation completed.",IF($T268="OVERDUE","Next: "&amp;$Z268&amp;" was due "&amp;TEXT($Y268,"dd-mmm")&amp;" - "&amp;(NETWORKDAYS($Y268,TODAY(),Holidays)-1)&amp;" business day(s) late. Send now.",IF($T268="DUE TOMORROW","Next: "&amp;$Z268&amp;IF($Y268&lt;=TODAY()," is due TODAY ("," is due next business day (")&amp;TEXT($Y268,"dd-mmm")&amp;").","Next: "&amp;$Z268&amp;" due "&amp;TEXT($Y268,"dd-mmm")&amp;" ("&amp;(NETWORKDAYS(TODAY(),$Y268,Holidays)-1)&amp;" business day(s) left).")))))</f>
        <v/>
      </c>
      <c r="V268" s="17">
        <f>IF($W268="","",CHOOSE($W268,"Collection Email","1st Follow-up","2nd Follow-up","Local Office","CBE","Roxanne")&amp;IF($W268=6," - Final"," - Day "&amp;MAX(0,NETWORKDAYS($X268,TODAY(),Holidays)-1)&amp;" of "&amp;CHOOSE($W268,3,3,2,2,3))&amp;" | Total Day "&amp;MAX(0,NETWORKDAYS($L268,TODAY(),Holidays)-1))</f>
        <v/>
      </c>
      <c r="W268" s="17">
        <f>IF($L268="","",COUNT($L268:$Q268))</f>
        <v/>
      </c>
      <c r="X268" s="18">
        <f>IF($W268="","",INT(INDEX($L268:$Q268,$W268)))</f>
        <v/>
      </c>
      <c r="Y268" s="18">
        <f>IF(OR($W268="",$W268=6),"",WORKDAY($X268,CHOOSE($W268,3,3,2,2,3),Holidays))</f>
        <v/>
      </c>
      <c r="Z268" s="17">
        <f>IF(OR($W268="",$W268=6),"",CHOOSE($W268,"1st Email Follow-up","2nd Email Follow-up","Escalate Local Office","Escalate to CBE","Escalate to Roxanne"))</f>
        <v/>
      </c>
    </row>
    <row r="269" spans="18:26">
      <c r="R269" s="15"/>
      <c r="S269" s="16"/>
      <c r="T269" s="17">
        <f>IF(AND(COUNTA($A269:$K269)=0,$L269=""),"",IF($S269="Paid","PAID",IF($S269="Closed","CLOSED",IF($W269="","",IF($W269=6,"ESCALATED TO ROXANNE",IF(TODAY()&gt;$Y269,"OVERDUE",IF($Y269&lt;=WORKDAY(TODAY(),1,Holidays),"DUE TOMORROW",IF($W269=4,"ESCALATED TO LOCAL OFFICE",IF($W269=5,"ESCALATED TO CBE",IF($X269=TODAY(),"EMAIL SENT","MONITORING"))))))))))</f>
        <v/>
      </c>
      <c r="U269" s="17">
        <f>IF($T269="",IF(AND(COUNTA($A269:$K269)&gt;0,$L269=""),"Awaiting Collection Email time stamp.",""),IF(OR($T269="PAID",$T269="CLOSED"),IF($T269="PAID","Account paid. Action completed.","Account closed. No further action required."),CHOOSE($W269,"Collection Email","1st Email Follow-up","2nd Email Follow-up","Escalation to Local Office","Escalation to CBE","Escalation to Roxanne")&amp;" sent "&amp;TEXT($X269,"dd-mmm")&amp;". "&amp;IF($W269=6,"Final escalation completed.",IF($T269="OVERDUE","Next: "&amp;$Z269&amp;" was due "&amp;TEXT($Y269,"dd-mmm")&amp;" - "&amp;(NETWORKDAYS($Y269,TODAY(),Holidays)-1)&amp;" business day(s) late. Send now.",IF($T269="DUE TOMORROW","Next: "&amp;$Z269&amp;IF($Y269&lt;=TODAY()," is due TODAY ("," is due next business day (")&amp;TEXT($Y269,"dd-mmm")&amp;").","Next: "&amp;$Z269&amp;" due "&amp;TEXT($Y269,"dd-mmm")&amp;" ("&amp;(NETWORKDAYS(TODAY(),$Y269,Holidays)-1)&amp;" business day(s) left).")))))</f>
        <v/>
      </c>
      <c r="V269" s="17">
        <f>IF($W269="","",CHOOSE($W269,"Collection Email","1st Follow-up","2nd Follow-up","Local Office","CBE","Roxanne")&amp;IF($W269=6," - Final"," - Day "&amp;MAX(0,NETWORKDAYS($X269,TODAY(),Holidays)-1)&amp;" of "&amp;CHOOSE($W269,3,3,2,2,3))&amp;" | Total Day "&amp;MAX(0,NETWORKDAYS($L269,TODAY(),Holidays)-1))</f>
        <v/>
      </c>
      <c r="W269" s="17">
        <f>IF($L269="","",COUNT($L269:$Q269))</f>
        <v/>
      </c>
      <c r="X269" s="18">
        <f>IF($W269="","",INT(INDEX($L269:$Q269,$W269)))</f>
        <v/>
      </c>
      <c r="Y269" s="18">
        <f>IF(OR($W269="",$W269=6),"",WORKDAY($X269,CHOOSE($W269,3,3,2,2,3),Holidays))</f>
        <v/>
      </c>
      <c r="Z269" s="17">
        <f>IF(OR($W269="",$W269=6),"",CHOOSE($W269,"1st Email Follow-up","2nd Email Follow-up","Escalate Local Office","Escalate to CBE","Escalate to Roxanne"))</f>
        <v/>
      </c>
    </row>
    <row r="270" spans="18:26">
      <c r="R270" s="15"/>
      <c r="S270" s="16"/>
      <c r="T270" s="17">
        <f>IF(AND(COUNTA($A270:$K270)=0,$L270=""),"",IF($S270="Paid","PAID",IF($S270="Closed","CLOSED",IF($W270="","",IF($W270=6,"ESCALATED TO ROXANNE",IF(TODAY()&gt;$Y270,"OVERDUE",IF($Y270&lt;=WORKDAY(TODAY(),1,Holidays),"DUE TOMORROW",IF($W270=4,"ESCALATED TO LOCAL OFFICE",IF($W270=5,"ESCALATED TO CBE",IF($X270=TODAY(),"EMAIL SENT","MONITORING"))))))))))</f>
        <v/>
      </c>
      <c r="U270" s="17">
        <f>IF($T270="",IF(AND(COUNTA($A270:$K270)&gt;0,$L270=""),"Awaiting Collection Email time stamp.",""),IF(OR($T270="PAID",$T270="CLOSED"),IF($T270="PAID","Account paid. Action completed.","Account closed. No further action required."),CHOOSE($W270,"Collection Email","1st Email Follow-up","2nd Email Follow-up","Escalation to Local Office","Escalation to CBE","Escalation to Roxanne")&amp;" sent "&amp;TEXT($X270,"dd-mmm")&amp;". "&amp;IF($W270=6,"Final escalation completed.",IF($T270="OVERDUE","Next: "&amp;$Z270&amp;" was due "&amp;TEXT($Y270,"dd-mmm")&amp;" - "&amp;(NETWORKDAYS($Y270,TODAY(),Holidays)-1)&amp;" business day(s) late. Send now.",IF($T270="DUE TOMORROW","Next: "&amp;$Z270&amp;IF($Y270&lt;=TODAY()," is due TODAY ("," is due next business day (")&amp;TEXT($Y270,"dd-mmm")&amp;").","Next: "&amp;$Z270&amp;" due "&amp;TEXT($Y270,"dd-mmm")&amp;" ("&amp;(NETWORKDAYS(TODAY(),$Y270,Holidays)-1)&amp;" business day(s) left).")))))</f>
        <v/>
      </c>
      <c r="V270" s="17">
        <f>IF($W270="","",CHOOSE($W270,"Collection Email","1st Follow-up","2nd Follow-up","Local Office","CBE","Roxanne")&amp;IF($W270=6," - Final"," - Day "&amp;MAX(0,NETWORKDAYS($X270,TODAY(),Holidays)-1)&amp;" of "&amp;CHOOSE($W270,3,3,2,2,3))&amp;" | Total Day "&amp;MAX(0,NETWORKDAYS($L270,TODAY(),Holidays)-1))</f>
        <v/>
      </c>
      <c r="W270" s="17">
        <f>IF($L270="","",COUNT($L270:$Q270))</f>
        <v/>
      </c>
      <c r="X270" s="18">
        <f>IF($W270="","",INT(INDEX($L270:$Q270,$W270)))</f>
        <v/>
      </c>
      <c r="Y270" s="18">
        <f>IF(OR($W270="",$W270=6),"",WORKDAY($X270,CHOOSE($W270,3,3,2,2,3),Holidays))</f>
        <v/>
      </c>
      <c r="Z270" s="17">
        <f>IF(OR($W270="",$W270=6),"",CHOOSE($W270,"1st Email Follow-up","2nd Email Follow-up","Escalate Local Office","Escalate to CBE","Escalate to Roxanne"))</f>
        <v/>
      </c>
    </row>
    <row r="271" spans="18:26">
      <c r="R271" s="15"/>
      <c r="S271" s="16"/>
      <c r="T271" s="17">
        <f>IF(AND(COUNTA($A271:$K271)=0,$L271=""),"",IF($S271="Paid","PAID",IF($S271="Closed","CLOSED",IF($W271="","",IF($W271=6,"ESCALATED TO ROXANNE",IF(TODAY()&gt;$Y271,"OVERDUE",IF($Y271&lt;=WORKDAY(TODAY(),1,Holidays),"DUE TOMORROW",IF($W271=4,"ESCALATED TO LOCAL OFFICE",IF($W271=5,"ESCALATED TO CBE",IF($X271=TODAY(),"EMAIL SENT","MONITORING"))))))))))</f>
        <v/>
      </c>
      <c r="U271" s="17">
        <f>IF($T271="",IF(AND(COUNTA($A271:$K271)&gt;0,$L271=""),"Awaiting Collection Email time stamp.",""),IF(OR($T271="PAID",$T271="CLOSED"),IF($T271="PAID","Account paid. Action completed.","Account closed. No further action required."),CHOOSE($W271,"Collection Email","1st Email Follow-up","2nd Email Follow-up","Escalation to Local Office","Escalation to CBE","Escalation to Roxanne")&amp;" sent "&amp;TEXT($X271,"dd-mmm")&amp;". "&amp;IF($W271=6,"Final escalation completed.",IF($T271="OVERDUE","Next: "&amp;$Z271&amp;" was due "&amp;TEXT($Y271,"dd-mmm")&amp;" - "&amp;(NETWORKDAYS($Y271,TODAY(),Holidays)-1)&amp;" business day(s) late. Send now.",IF($T271="DUE TOMORROW","Next: "&amp;$Z271&amp;IF($Y271&lt;=TODAY()," is due TODAY ("," is due next business day (")&amp;TEXT($Y271,"dd-mmm")&amp;").","Next: "&amp;$Z271&amp;" due "&amp;TEXT($Y271,"dd-mmm")&amp;" ("&amp;(NETWORKDAYS(TODAY(),$Y271,Holidays)-1)&amp;" business day(s) left).")))))</f>
        <v/>
      </c>
      <c r="V271" s="17">
        <f>IF($W271="","",CHOOSE($W271,"Collection Email","1st Follow-up","2nd Follow-up","Local Office","CBE","Roxanne")&amp;IF($W271=6," - Final"," - Day "&amp;MAX(0,NETWORKDAYS($X271,TODAY(),Holidays)-1)&amp;" of "&amp;CHOOSE($W271,3,3,2,2,3))&amp;" | Total Day "&amp;MAX(0,NETWORKDAYS($L271,TODAY(),Holidays)-1))</f>
        <v/>
      </c>
      <c r="W271" s="17">
        <f>IF($L271="","",COUNT($L271:$Q271))</f>
        <v/>
      </c>
      <c r="X271" s="18">
        <f>IF($W271="","",INT(INDEX($L271:$Q271,$W271)))</f>
        <v/>
      </c>
      <c r="Y271" s="18">
        <f>IF(OR($W271="",$W271=6),"",WORKDAY($X271,CHOOSE($W271,3,3,2,2,3),Holidays))</f>
        <v/>
      </c>
      <c r="Z271" s="17">
        <f>IF(OR($W271="",$W271=6),"",CHOOSE($W271,"1st Email Follow-up","2nd Email Follow-up","Escalate Local Office","Escalate to CBE","Escalate to Roxanne"))</f>
        <v/>
      </c>
    </row>
    <row r="272" spans="18:26">
      <c r="R272" s="15"/>
      <c r="S272" s="16"/>
      <c r="T272" s="17">
        <f>IF(AND(COUNTA($A272:$K272)=0,$L272=""),"",IF($S272="Paid","PAID",IF($S272="Closed","CLOSED",IF($W272="","",IF($W272=6,"ESCALATED TO ROXANNE",IF(TODAY()&gt;$Y272,"OVERDUE",IF($Y272&lt;=WORKDAY(TODAY(),1,Holidays),"DUE TOMORROW",IF($W272=4,"ESCALATED TO LOCAL OFFICE",IF($W272=5,"ESCALATED TO CBE",IF($X272=TODAY(),"EMAIL SENT","MONITORING"))))))))))</f>
        <v/>
      </c>
      <c r="U272" s="17">
        <f>IF($T272="",IF(AND(COUNTA($A272:$K272)&gt;0,$L272=""),"Awaiting Collection Email time stamp.",""),IF(OR($T272="PAID",$T272="CLOSED"),IF($T272="PAID","Account paid. Action completed.","Account closed. No further action required."),CHOOSE($W272,"Collection Email","1st Email Follow-up","2nd Email Follow-up","Escalation to Local Office","Escalation to CBE","Escalation to Roxanne")&amp;" sent "&amp;TEXT($X272,"dd-mmm")&amp;". "&amp;IF($W272=6,"Final escalation completed.",IF($T272="OVERDUE","Next: "&amp;$Z272&amp;" was due "&amp;TEXT($Y272,"dd-mmm")&amp;" - "&amp;(NETWORKDAYS($Y272,TODAY(),Holidays)-1)&amp;" business day(s) late. Send now.",IF($T272="DUE TOMORROW","Next: "&amp;$Z272&amp;IF($Y272&lt;=TODAY()," is due TODAY ("," is due next business day (")&amp;TEXT($Y272,"dd-mmm")&amp;").","Next: "&amp;$Z272&amp;" due "&amp;TEXT($Y272,"dd-mmm")&amp;" ("&amp;(NETWORKDAYS(TODAY(),$Y272,Holidays)-1)&amp;" business day(s) left).")))))</f>
        <v/>
      </c>
      <c r="V272" s="17">
        <f>IF($W272="","",CHOOSE($W272,"Collection Email","1st Follow-up","2nd Follow-up","Local Office","CBE","Roxanne")&amp;IF($W272=6," - Final"," - Day "&amp;MAX(0,NETWORKDAYS($X272,TODAY(),Holidays)-1)&amp;" of "&amp;CHOOSE($W272,3,3,2,2,3))&amp;" | Total Day "&amp;MAX(0,NETWORKDAYS($L272,TODAY(),Holidays)-1))</f>
        <v/>
      </c>
      <c r="W272" s="17">
        <f>IF($L272="","",COUNT($L272:$Q272))</f>
        <v/>
      </c>
      <c r="X272" s="18">
        <f>IF($W272="","",INT(INDEX($L272:$Q272,$W272)))</f>
        <v/>
      </c>
      <c r="Y272" s="18">
        <f>IF(OR($W272="",$W272=6),"",WORKDAY($X272,CHOOSE($W272,3,3,2,2,3),Holidays))</f>
        <v/>
      </c>
      <c r="Z272" s="17">
        <f>IF(OR($W272="",$W272=6),"",CHOOSE($W272,"1st Email Follow-up","2nd Email Follow-up","Escalate Local Office","Escalate to CBE","Escalate to Roxanne"))</f>
        <v/>
      </c>
    </row>
    <row r="273" spans="18:26">
      <c r="R273" s="15"/>
      <c r="S273" s="16"/>
      <c r="T273" s="17">
        <f>IF(AND(COUNTA($A273:$K273)=0,$L273=""),"",IF($S273="Paid","PAID",IF($S273="Closed","CLOSED",IF($W273="","",IF($W273=6,"ESCALATED TO ROXANNE",IF(TODAY()&gt;$Y273,"OVERDUE",IF($Y273&lt;=WORKDAY(TODAY(),1,Holidays),"DUE TOMORROW",IF($W273=4,"ESCALATED TO LOCAL OFFICE",IF($W273=5,"ESCALATED TO CBE",IF($X273=TODAY(),"EMAIL SENT","MONITORING"))))))))))</f>
        <v/>
      </c>
      <c r="U273" s="17">
        <f>IF($T273="",IF(AND(COUNTA($A273:$K273)&gt;0,$L273=""),"Awaiting Collection Email time stamp.",""),IF(OR($T273="PAID",$T273="CLOSED"),IF($T273="PAID","Account paid. Action completed.","Account closed. No further action required."),CHOOSE($W273,"Collection Email","1st Email Follow-up","2nd Email Follow-up","Escalation to Local Office","Escalation to CBE","Escalation to Roxanne")&amp;" sent "&amp;TEXT($X273,"dd-mmm")&amp;". "&amp;IF($W273=6,"Final escalation completed.",IF($T273="OVERDUE","Next: "&amp;$Z273&amp;" was due "&amp;TEXT($Y273,"dd-mmm")&amp;" - "&amp;(NETWORKDAYS($Y273,TODAY(),Holidays)-1)&amp;" business day(s) late. Send now.",IF($T273="DUE TOMORROW","Next: "&amp;$Z273&amp;IF($Y273&lt;=TODAY()," is due TODAY ("," is due next business day (")&amp;TEXT($Y273,"dd-mmm")&amp;").","Next: "&amp;$Z273&amp;" due "&amp;TEXT($Y273,"dd-mmm")&amp;" ("&amp;(NETWORKDAYS(TODAY(),$Y273,Holidays)-1)&amp;" business day(s) left).")))))</f>
        <v/>
      </c>
      <c r="V273" s="17">
        <f>IF($W273="","",CHOOSE($W273,"Collection Email","1st Follow-up","2nd Follow-up","Local Office","CBE","Roxanne")&amp;IF($W273=6," - Final"," - Day "&amp;MAX(0,NETWORKDAYS($X273,TODAY(),Holidays)-1)&amp;" of "&amp;CHOOSE($W273,3,3,2,2,3))&amp;" | Total Day "&amp;MAX(0,NETWORKDAYS($L273,TODAY(),Holidays)-1))</f>
        <v/>
      </c>
      <c r="W273" s="17">
        <f>IF($L273="","",COUNT($L273:$Q273))</f>
        <v/>
      </c>
      <c r="X273" s="18">
        <f>IF($W273="","",INT(INDEX($L273:$Q273,$W273)))</f>
        <v/>
      </c>
      <c r="Y273" s="18">
        <f>IF(OR($W273="",$W273=6),"",WORKDAY($X273,CHOOSE($W273,3,3,2,2,3),Holidays))</f>
        <v/>
      </c>
      <c r="Z273" s="17">
        <f>IF(OR($W273="",$W273=6),"",CHOOSE($W273,"1st Email Follow-up","2nd Email Follow-up","Escalate Local Office","Escalate to CBE","Escalate to Roxanne"))</f>
        <v/>
      </c>
    </row>
    <row r="274" spans="18:26">
      <c r="R274" s="15"/>
      <c r="S274" s="16"/>
      <c r="T274" s="17">
        <f>IF(AND(COUNTA($A274:$K274)=0,$L274=""),"",IF($S274="Paid","PAID",IF($S274="Closed","CLOSED",IF($W274="","",IF($W274=6,"ESCALATED TO ROXANNE",IF(TODAY()&gt;$Y274,"OVERDUE",IF($Y274&lt;=WORKDAY(TODAY(),1,Holidays),"DUE TOMORROW",IF($W274=4,"ESCALATED TO LOCAL OFFICE",IF($W274=5,"ESCALATED TO CBE",IF($X274=TODAY(),"EMAIL SENT","MONITORING"))))))))))</f>
        <v/>
      </c>
      <c r="U274" s="17">
        <f>IF($T274="",IF(AND(COUNTA($A274:$K274)&gt;0,$L274=""),"Awaiting Collection Email time stamp.",""),IF(OR($T274="PAID",$T274="CLOSED"),IF($T274="PAID","Account paid. Action completed.","Account closed. No further action required."),CHOOSE($W274,"Collection Email","1st Email Follow-up","2nd Email Follow-up","Escalation to Local Office","Escalation to CBE","Escalation to Roxanne")&amp;" sent "&amp;TEXT($X274,"dd-mmm")&amp;". "&amp;IF($W274=6,"Final escalation completed.",IF($T274="OVERDUE","Next: "&amp;$Z274&amp;" was due "&amp;TEXT($Y274,"dd-mmm")&amp;" - "&amp;(NETWORKDAYS($Y274,TODAY(),Holidays)-1)&amp;" business day(s) late. Send now.",IF($T274="DUE TOMORROW","Next: "&amp;$Z274&amp;IF($Y274&lt;=TODAY()," is due TODAY ("," is due next business day (")&amp;TEXT($Y274,"dd-mmm")&amp;").","Next: "&amp;$Z274&amp;" due "&amp;TEXT($Y274,"dd-mmm")&amp;" ("&amp;(NETWORKDAYS(TODAY(),$Y274,Holidays)-1)&amp;" business day(s) left).")))))</f>
        <v/>
      </c>
      <c r="V274" s="17">
        <f>IF($W274="","",CHOOSE($W274,"Collection Email","1st Follow-up","2nd Follow-up","Local Office","CBE","Roxanne")&amp;IF($W274=6," - Final"," - Day "&amp;MAX(0,NETWORKDAYS($X274,TODAY(),Holidays)-1)&amp;" of "&amp;CHOOSE($W274,3,3,2,2,3))&amp;" | Total Day "&amp;MAX(0,NETWORKDAYS($L274,TODAY(),Holidays)-1))</f>
        <v/>
      </c>
      <c r="W274" s="17">
        <f>IF($L274="","",COUNT($L274:$Q274))</f>
        <v/>
      </c>
      <c r="X274" s="18">
        <f>IF($W274="","",INT(INDEX($L274:$Q274,$W274)))</f>
        <v/>
      </c>
      <c r="Y274" s="18">
        <f>IF(OR($W274="",$W274=6),"",WORKDAY($X274,CHOOSE($W274,3,3,2,2,3),Holidays))</f>
        <v/>
      </c>
      <c r="Z274" s="17">
        <f>IF(OR($W274="",$W274=6),"",CHOOSE($W274,"1st Email Follow-up","2nd Email Follow-up","Escalate Local Office","Escalate to CBE","Escalate to Roxanne"))</f>
        <v/>
      </c>
    </row>
    <row r="275" spans="18:26">
      <c r="R275" s="15"/>
      <c r="S275" s="16"/>
      <c r="T275" s="17">
        <f>IF(AND(COUNTA($A275:$K275)=0,$L275=""),"",IF($S275="Paid","PAID",IF($S275="Closed","CLOSED",IF($W275="","",IF($W275=6,"ESCALATED TO ROXANNE",IF(TODAY()&gt;$Y275,"OVERDUE",IF($Y275&lt;=WORKDAY(TODAY(),1,Holidays),"DUE TOMORROW",IF($W275=4,"ESCALATED TO LOCAL OFFICE",IF($W275=5,"ESCALATED TO CBE",IF($X275=TODAY(),"EMAIL SENT","MONITORING"))))))))))</f>
        <v/>
      </c>
      <c r="U275" s="17">
        <f>IF($T275="",IF(AND(COUNTA($A275:$K275)&gt;0,$L275=""),"Awaiting Collection Email time stamp.",""),IF(OR($T275="PAID",$T275="CLOSED"),IF($T275="PAID","Account paid. Action completed.","Account closed. No further action required."),CHOOSE($W275,"Collection Email","1st Email Follow-up","2nd Email Follow-up","Escalation to Local Office","Escalation to CBE","Escalation to Roxanne")&amp;" sent "&amp;TEXT($X275,"dd-mmm")&amp;". "&amp;IF($W275=6,"Final escalation completed.",IF($T275="OVERDUE","Next: "&amp;$Z275&amp;" was due "&amp;TEXT($Y275,"dd-mmm")&amp;" - "&amp;(NETWORKDAYS($Y275,TODAY(),Holidays)-1)&amp;" business day(s) late. Send now.",IF($T275="DUE TOMORROW","Next: "&amp;$Z275&amp;IF($Y275&lt;=TODAY()," is due TODAY ("," is due next business day (")&amp;TEXT($Y275,"dd-mmm")&amp;").","Next: "&amp;$Z275&amp;" due "&amp;TEXT($Y275,"dd-mmm")&amp;" ("&amp;(NETWORKDAYS(TODAY(),$Y275,Holidays)-1)&amp;" business day(s) left).")))))</f>
        <v/>
      </c>
      <c r="V275" s="17">
        <f>IF($W275="","",CHOOSE($W275,"Collection Email","1st Follow-up","2nd Follow-up","Local Office","CBE","Roxanne")&amp;IF($W275=6," - Final"," - Day "&amp;MAX(0,NETWORKDAYS($X275,TODAY(),Holidays)-1)&amp;" of "&amp;CHOOSE($W275,3,3,2,2,3))&amp;" | Total Day "&amp;MAX(0,NETWORKDAYS($L275,TODAY(),Holidays)-1))</f>
        <v/>
      </c>
      <c r="W275" s="17">
        <f>IF($L275="","",COUNT($L275:$Q275))</f>
        <v/>
      </c>
      <c r="X275" s="18">
        <f>IF($W275="","",INT(INDEX($L275:$Q275,$W275)))</f>
        <v/>
      </c>
      <c r="Y275" s="18">
        <f>IF(OR($W275="",$W275=6),"",WORKDAY($X275,CHOOSE($W275,3,3,2,2,3),Holidays))</f>
        <v/>
      </c>
      <c r="Z275" s="17">
        <f>IF(OR($W275="",$W275=6),"",CHOOSE($W275,"1st Email Follow-up","2nd Email Follow-up","Escalate Local Office","Escalate to CBE","Escalate to Roxanne"))</f>
        <v/>
      </c>
    </row>
    <row r="276" spans="18:26">
      <c r="R276" s="15"/>
      <c r="S276" s="16"/>
      <c r="T276" s="17">
        <f>IF(AND(COUNTA($A276:$K276)=0,$L276=""),"",IF($S276="Paid","PAID",IF($S276="Closed","CLOSED",IF($W276="","",IF($W276=6,"ESCALATED TO ROXANNE",IF(TODAY()&gt;$Y276,"OVERDUE",IF($Y276&lt;=WORKDAY(TODAY(),1,Holidays),"DUE TOMORROW",IF($W276=4,"ESCALATED TO LOCAL OFFICE",IF($W276=5,"ESCALATED TO CBE",IF($X276=TODAY(),"EMAIL SENT","MONITORING"))))))))))</f>
        <v/>
      </c>
      <c r="U276" s="17">
        <f>IF($T276="",IF(AND(COUNTA($A276:$K276)&gt;0,$L276=""),"Awaiting Collection Email time stamp.",""),IF(OR($T276="PAID",$T276="CLOSED"),IF($T276="PAID","Account paid. Action completed.","Account closed. No further action required."),CHOOSE($W276,"Collection Email","1st Email Follow-up","2nd Email Follow-up","Escalation to Local Office","Escalation to CBE","Escalation to Roxanne")&amp;" sent "&amp;TEXT($X276,"dd-mmm")&amp;". "&amp;IF($W276=6,"Final escalation completed.",IF($T276="OVERDUE","Next: "&amp;$Z276&amp;" was due "&amp;TEXT($Y276,"dd-mmm")&amp;" - "&amp;(NETWORKDAYS($Y276,TODAY(),Holidays)-1)&amp;" business day(s) late. Send now.",IF($T276="DUE TOMORROW","Next: "&amp;$Z276&amp;IF($Y276&lt;=TODAY()," is due TODAY ("," is due next business day (")&amp;TEXT($Y276,"dd-mmm")&amp;").","Next: "&amp;$Z276&amp;" due "&amp;TEXT($Y276,"dd-mmm")&amp;" ("&amp;(NETWORKDAYS(TODAY(),$Y276,Holidays)-1)&amp;" business day(s) left).")))))</f>
        <v/>
      </c>
      <c r="V276" s="17">
        <f>IF($W276="","",CHOOSE($W276,"Collection Email","1st Follow-up","2nd Follow-up","Local Office","CBE","Roxanne")&amp;IF($W276=6," - Final"," - Day "&amp;MAX(0,NETWORKDAYS($X276,TODAY(),Holidays)-1)&amp;" of "&amp;CHOOSE($W276,3,3,2,2,3))&amp;" | Total Day "&amp;MAX(0,NETWORKDAYS($L276,TODAY(),Holidays)-1))</f>
        <v/>
      </c>
      <c r="W276" s="17">
        <f>IF($L276="","",COUNT($L276:$Q276))</f>
        <v/>
      </c>
      <c r="X276" s="18">
        <f>IF($W276="","",INT(INDEX($L276:$Q276,$W276)))</f>
        <v/>
      </c>
      <c r="Y276" s="18">
        <f>IF(OR($W276="",$W276=6),"",WORKDAY($X276,CHOOSE($W276,3,3,2,2,3),Holidays))</f>
        <v/>
      </c>
      <c r="Z276" s="17">
        <f>IF(OR($W276="",$W276=6),"",CHOOSE($W276,"1st Email Follow-up","2nd Email Follow-up","Escalate Local Office","Escalate to CBE","Escalate to Roxanne"))</f>
        <v/>
      </c>
    </row>
    <row r="277" spans="18:26">
      <c r="R277" s="15"/>
      <c r="S277" s="16"/>
      <c r="T277" s="17">
        <f>IF(AND(COUNTA($A277:$K277)=0,$L277=""),"",IF($S277="Paid","PAID",IF($S277="Closed","CLOSED",IF($W277="","",IF($W277=6,"ESCALATED TO ROXANNE",IF(TODAY()&gt;$Y277,"OVERDUE",IF($Y277&lt;=WORKDAY(TODAY(),1,Holidays),"DUE TOMORROW",IF($W277=4,"ESCALATED TO LOCAL OFFICE",IF($W277=5,"ESCALATED TO CBE",IF($X277=TODAY(),"EMAIL SENT","MONITORING"))))))))))</f>
        <v/>
      </c>
      <c r="U277" s="17">
        <f>IF($T277="",IF(AND(COUNTA($A277:$K277)&gt;0,$L277=""),"Awaiting Collection Email time stamp.",""),IF(OR($T277="PAID",$T277="CLOSED"),IF($T277="PAID","Account paid. Action completed.","Account closed. No further action required."),CHOOSE($W277,"Collection Email","1st Email Follow-up","2nd Email Follow-up","Escalation to Local Office","Escalation to CBE","Escalation to Roxanne")&amp;" sent "&amp;TEXT($X277,"dd-mmm")&amp;". "&amp;IF($W277=6,"Final escalation completed.",IF($T277="OVERDUE","Next: "&amp;$Z277&amp;" was due "&amp;TEXT($Y277,"dd-mmm")&amp;" - "&amp;(NETWORKDAYS($Y277,TODAY(),Holidays)-1)&amp;" business day(s) late. Send now.",IF($T277="DUE TOMORROW","Next: "&amp;$Z277&amp;IF($Y277&lt;=TODAY()," is due TODAY ("," is due next business day (")&amp;TEXT($Y277,"dd-mmm")&amp;").","Next: "&amp;$Z277&amp;" due "&amp;TEXT($Y277,"dd-mmm")&amp;" ("&amp;(NETWORKDAYS(TODAY(),$Y277,Holidays)-1)&amp;" business day(s) left).")))))</f>
        <v/>
      </c>
      <c r="V277" s="17">
        <f>IF($W277="","",CHOOSE($W277,"Collection Email","1st Follow-up","2nd Follow-up","Local Office","CBE","Roxanne")&amp;IF($W277=6," - Final"," - Day "&amp;MAX(0,NETWORKDAYS($X277,TODAY(),Holidays)-1)&amp;" of "&amp;CHOOSE($W277,3,3,2,2,3))&amp;" | Total Day "&amp;MAX(0,NETWORKDAYS($L277,TODAY(),Holidays)-1))</f>
        <v/>
      </c>
      <c r="W277" s="17">
        <f>IF($L277="","",COUNT($L277:$Q277))</f>
        <v/>
      </c>
      <c r="X277" s="18">
        <f>IF($W277="","",INT(INDEX($L277:$Q277,$W277)))</f>
        <v/>
      </c>
      <c r="Y277" s="18">
        <f>IF(OR($W277="",$W277=6),"",WORKDAY($X277,CHOOSE($W277,3,3,2,2,3),Holidays))</f>
        <v/>
      </c>
      <c r="Z277" s="17">
        <f>IF(OR($W277="",$W277=6),"",CHOOSE($W277,"1st Email Follow-up","2nd Email Follow-up","Escalate Local Office","Escalate to CBE","Escalate to Roxanne"))</f>
        <v/>
      </c>
    </row>
    <row r="278" spans="18:26">
      <c r="R278" s="15"/>
      <c r="S278" s="16"/>
      <c r="T278" s="17">
        <f>IF(AND(COUNTA($A278:$K278)=0,$L278=""),"",IF($S278="Paid","PAID",IF($S278="Closed","CLOSED",IF($W278="","",IF($W278=6,"ESCALATED TO ROXANNE",IF(TODAY()&gt;$Y278,"OVERDUE",IF($Y278&lt;=WORKDAY(TODAY(),1,Holidays),"DUE TOMORROW",IF($W278=4,"ESCALATED TO LOCAL OFFICE",IF($W278=5,"ESCALATED TO CBE",IF($X278=TODAY(),"EMAIL SENT","MONITORING"))))))))))</f>
        <v/>
      </c>
      <c r="U278" s="17">
        <f>IF($T278="",IF(AND(COUNTA($A278:$K278)&gt;0,$L278=""),"Awaiting Collection Email time stamp.",""),IF(OR($T278="PAID",$T278="CLOSED"),IF($T278="PAID","Account paid. Action completed.","Account closed. No further action required."),CHOOSE($W278,"Collection Email","1st Email Follow-up","2nd Email Follow-up","Escalation to Local Office","Escalation to CBE","Escalation to Roxanne")&amp;" sent "&amp;TEXT($X278,"dd-mmm")&amp;". "&amp;IF($W278=6,"Final escalation completed.",IF($T278="OVERDUE","Next: "&amp;$Z278&amp;" was due "&amp;TEXT($Y278,"dd-mmm")&amp;" - "&amp;(NETWORKDAYS($Y278,TODAY(),Holidays)-1)&amp;" business day(s) late. Send now.",IF($T278="DUE TOMORROW","Next: "&amp;$Z278&amp;IF($Y278&lt;=TODAY()," is due TODAY ("," is due next business day (")&amp;TEXT($Y278,"dd-mmm")&amp;").","Next: "&amp;$Z278&amp;" due "&amp;TEXT($Y278,"dd-mmm")&amp;" ("&amp;(NETWORKDAYS(TODAY(),$Y278,Holidays)-1)&amp;" business day(s) left).")))))</f>
        <v/>
      </c>
      <c r="V278" s="17">
        <f>IF($W278="","",CHOOSE($W278,"Collection Email","1st Follow-up","2nd Follow-up","Local Office","CBE","Roxanne")&amp;IF($W278=6," - Final"," - Day "&amp;MAX(0,NETWORKDAYS($X278,TODAY(),Holidays)-1)&amp;" of "&amp;CHOOSE($W278,3,3,2,2,3))&amp;" | Total Day "&amp;MAX(0,NETWORKDAYS($L278,TODAY(),Holidays)-1))</f>
        <v/>
      </c>
      <c r="W278" s="17">
        <f>IF($L278="","",COUNT($L278:$Q278))</f>
        <v/>
      </c>
      <c r="X278" s="18">
        <f>IF($W278="","",INT(INDEX($L278:$Q278,$W278)))</f>
        <v/>
      </c>
      <c r="Y278" s="18">
        <f>IF(OR($W278="",$W278=6),"",WORKDAY($X278,CHOOSE($W278,3,3,2,2,3),Holidays))</f>
        <v/>
      </c>
      <c r="Z278" s="17">
        <f>IF(OR($W278="",$W278=6),"",CHOOSE($W278,"1st Email Follow-up","2nd Email Follow-up","Escalate Local Office","Escalate to CBE","Escalate to Roxanne"))</f>
        <v/>
      </c>
    </row>
    <row r="279" spans="18:26">
      <c r="R279" s="15"/>
      <c r="S279" s="16"/>
      <c r="T279" s="17">
        <f>IF(AND(COUNTA($A279:$K279)=0,$L279=""),"",IF($S279="Paid","PAID",IF($S279="Closed","CLOSED",IF($W279="","",IF($W279=6,"ESCALATED TO ROXANNE",IF(TODAY()&gt;$Y279,"OVERDUE",IF($Y279&lt;=WORKDAY(TODAY(),1,Holidays),"DUE TOMORROW",IF($W279=4,"ESCALATED TO LOCAL OFFICE",IF($W279=5,"ESCALATED TO CBE",IF($X279=TODAY(),"EMAIL SENT","MONITORING"))))))))))</f>
        <v/>
      </c>
      <c r="U279" s="17">
        <f>IF($T279="",IF(AND(COUNTA($A279:$K279)&gt;0,$L279=""),"Awaiting Collection Email time stamp.",""),IF(OR($T279="PAID",$T279="CLOSED"),IF($T279="PAID","Account paid. Action completed.","Account closed. No further action required."),CHOOSE($W279,"Collection Email","1st Email Follow-up","2nd Email Follow-up","Escalation to Local Office","Escalation to CBE","Escalation to Roxanne")&amp;" sent "&amp;TEXT($X279,"dd-mmm")&amp;". "&amp;IF($W279=6,"Final escalation completed.",IF($T279="OVERDUE","Next: "&amp;$Z279&amp;" was due "&amp;TEXT($Y279,"dd-mmm")&amp;" - "&amp;(NETWORKDAYS($Y279,TODAY(),Holidays)-1)&amp;" business day(s) late. Send now.",IF($T279="DUE TOMORROW","Next: "&amp;$Z279&amp;IF($Y279&lt;=TODAY()," is due TODAY ("," is due next business day (")&amp;TEXT($Y279,"dd-mmm")&amp;").","Next: "&amp;$Z279&amp;" due "&amp;TEXT($Y279,"dd-mmm")&amp;" ("&amp;(NETWORKDAYS(TODAY(),$Y279,Holidays)-1)&amp;" business day(s) left).")))))</f>
        <v/>
      </c>
      <c r="V279" s="17">
        <f>IF($W279="","",CHOOSE($W279,"Collection Email","1st Follow-up","2nd Follow-up","Local Office","CBE","Roxanne")&amp;IF($W279=6," - Final"," - Day "&amp;MAX(0,NETWORKDAYS($X279,TODAY(),Holidays)-1)&amp;" of "&amp;CHOOSE($W279,3,3,2,2,3))&amp;" | Total Day "&amp;MAX(0,NETWORKDAYS($L279,TODAY(),Holidays)-1))</f>
        <v/>
      </c>
      <c r="W279" s="17">
        <f>IF($L279="","",COUNT($L279:$Q279))</f>
        <v/>
      </c>
      <c r="X279" s="18">
        <f>IF($W279="","",INT(INDEX($L279:$Q279,$W279)))</f>
        <v/>
      </c>
      <c r="Y279" s="18">
        <f>IF(OR($W279="",$W279=6),"",WORKDAY($X279,CHOOSE($W279,3,3,2,2,3),Holidays))</f>
        <v/>
      </c>
      <c r="Z279" s="17">
        <f>IF(OR($W279="",$W279=6),"",CHOOSE($W279,"1st Email Follow-up","2nd Email Follow-up","Escalate Local Office","Escalate to CBE","Escalate to Roxanne"))</f>
        <v/>
      </c>
    </row>
    <row r="280" spans="18:26">
      <c r="R280" s="15"/>
      <c r="S280" s="16"/>
      <c r="T280" s="17">
        <f>IF(AND(COUNTA($A280:$K280)=0,$L280=""),"",IF($S280="Paid","PAID",IF($S280="Closed","CLOSED",IF($W280="","",IF($W280=6,"ESCALATED TO ROXANNE",IF(TODAY()&gt;$Y280,"OVERDUE",IF($Y280&lt;=WORKDAY(TODAY(),1,Holidays),"DUE TOMORROW",IF($W280=4,"ESCALATED TO LOCAL OFFICE",IF($W280=5,"ESCALATED TO CBE",IF($X280=TODAY(),"EMAIL SENT","MONITORING"))))))))))</f>
        <v/>
      </c>
      <c r="U280" s="17">
        <f>IF($T280="",IF(AND(COUNTA($A280:$K280)&gt;0,$L280=""),"Awaiting Collection Email time stamp.",""),IF(OR($T280="PAID",$T280="CLOSED"),IF($T280="PAID","Account paid. Action completed.","Account closed. No further action required."),CHOOSE($W280,"Collection Email","1st Email Follow-up","2nd Email Follow-up","Escalation to Local Office","Escalation to CBE","Escalation to Roxanne")&amp;" sent "&amp;TEXT($X280,"dd-mmm")&amp;". "&amp;IF($W280=6,"Final escalation completed.",IF($T280="OVERDUE","Next: "&amp;$Z280&amp;" was due "&amp;TEXT($Y280,"dd-mmm")&amp;" - "&amp;(NETWORKDAYS($Y280,TODAY(),Holidays)-1)&amp;" business day(s) late. Send now.",IF($T280="DUE TOMORROW","Next: "&amp;$Z280&amp;IF($Y280&lt;=TODAY()," is due TODAY ("," is due next business day (")&amp;TEXT($Y280,"dd-mmm")&amp;").","Next: "&amp;$Z280&amp;" due "&amp;TEXT($Y280,"dd-mmm")&amp;" ("&amp;(NETWORKDAYS(TODAY(),$Y280,Holidays)-1)&amp;" business day(s) left).")))))</f>
        <v/>
      </c>
      <c r="V280" s="17">
        <f>IF($W280="","",CHOOSE($W280,"Collection Email","1st Follow-up","2nd Follow-up","Local Office","CBE","Roxanne")&amp;IF($W280=6," - Final"," - Day "&amp;MAX(0,NETWORKDAYS($X280,TODAY(),Holidays)-1)&amp;" of "&amp;CHOOSE($W280,3,3,2,2,3))&amp;" | Total Day "&amp;MAX(0,NETWORKDAYS($L280,TODAY(),Holidays)-1))</f>
        <v/>
      </c>
      <c r="W280" s="17">
        <f>IF($L280="","",COUNT($L280:$Q280))</f>
        <v/>
      </c>
      <c r="X280" s="18">
        <f>IF($W280="","",INT(INDEX($L280:$Q280,$W280)))</f>
        <v/>
      </c>
      <c r="Y280" s="18">
        <f>IF(OR($W280="",$W280=6),"",WORKDAY($X280,CHOOSE($W280,3,3,2,2,3),Holidays))</f>
        <v/>
      </c>
      <c r="Z280" s="17">
        <f>IF(OR($W280="",$W280=6),"",CHOOSE($W280,"1st Email Follow-up","2nd Email Follow-up","Escalate Local Office","Escalate to CBE","Escalate to Roxanne"))</f>
        <v/>
      </c>
    </row>
    <row r="281" spans="18:26">
      <c r="R281" s="15"/>
      <c r="S281" s="16"/>
      <c r="T281" s="17">
        <f>IF(AND(COUNTA($A281:$K281)=0,$L281=""),"",IF($S281="Paid","PAID",IF($S281="Closed","CLOSED",IF($W281="","",IF($W281=6,"ESCALATED TO ROXANNE",IF(TODAY()&gt;$Y281,"OVERDUE",IF($Y281&lt;=WORKDAY(TODAY(),1,Holidays),"DUE TOMORROW",IF($W281=4,"ESCALATED TO LOCAL OFFICE",IF($W281=5,"ESCALATED TO CBE",IF($X281=TODAY(),"EMAIL SENT","MONITORING"))))))))))</f>
        <v/>
      </c>
      <c r="U281" s="17">
        <f>IF($T281="",IF(AND(COUNTA($A281:$K281)&gt;0,$L281=""),"Awaiting Collection Email time stamp.",""),IF(OR($T281="PAID",$T281="CLOSED"),IF($T281="PAID","Account paid. Action completed.","Account closed. No further action required."),CHOOSE($W281,"Collection Email","1st Email Follow-up","2nd Email Follow-up","Escalation to Local Office","Escalation to CBE","Escalation to Roxanne")&amp;" sent "&amp;TEXT($X281,"dd-mmm")&amp;". "&amp;IF($W281=6,"Final escalation completed.",IF($T281="OVERDUE","Next: "&amp;$Z281&amp;" was due "&amp;TEXT($Y281,"dd-mmm")&amp;" - "&amp;(NETWORKDAYS($Y281,TODAY(),Holidays)-1)&amp;" business day(s) late. Send now.",IF($T281="DUE TOMORROW","Next: "&amp;$Z281&amp;IF($Y281&lt;=TODAY()," is due TODAY ("," is due next business day (")&amp;TEXT($Y281,"dd-mmm")&amp;").","Next: "&amp;$Z281&amp;" due "&amp;TEXT($Y281,"dd-mmm")&amp;" ("&amp;(NETWORKDAYS(TODAY(),$Y281,Holidays)-1)&amp;" business day(s) left).")))))</f>
        <v/>
      </c>
      <c r="V281" s="17">
        <f>IF($W281="","",CHOOSE($W281,"Collection Email","1st Follow-up","2nd Follow-up","Local Office","CBE","Roxanne")&amp;IF($W281=6," - Final"," - Day "&amp;MAX(0,NETWORKDAYS($X281,TODAY(),Holidays)-1)&amp;" of "&amp;CHOOSE($W281,3,3,2,2,3))&amp;" | Total Day "&amp;MAX(0,NETWORKDAYS($L281,TODAY(),Holidays)-1))</f>
        <v/>
      </c>
      <c r="W281" s="17">
        <f>IF($L281="","",COUNT($L281:$Q281))</f>
        <v/>
      </c>
      <c r="X281" s="18">
        <f>IF($W281="","",INT(INDEX($L281:$Q281,$W281)))</f>
        <v/>
      </c>
      <c r="Y281" s="18">
        <f>IF(OR($W281="",$W281=6),"",WORKDAY($X281,CHOOSE($W281,3,3,2,2,3),Holidays))</f>
        <v/>
      </c>
      <c r="Z281" s="17">
        <f>IF(OR($W281="",$W281=6),"",CHOOSE($W281,"1st Email Follow-up","2nd Email Follow-up","Escalate Local Office","Escalate to CBE","Escalate to Roxanne"))</f>
        <v/>
      </c>
    </row>
    <row r="282" spans="18:26">
      <c r="R282" s="15"/>
      <c r="S282" s="16"/>
      <c r="T282" s="17">
        <f>IF(AND(COUNTA($A282:$K282)=0,$L282=""),"",IF($S282="Paid","PAID",IF($S282="Closed","CLOSED",IF($W282="","",IF($W282=6,"ESCALATED TO ROXANNE",IF(TODAY()&gt;$Y282,"OVERDUE",IF($Y282&lt;=WORKDAY(TODAY(),1,Holidays),"DUE TOMORROW",IF($W282=4,"ESCALATED TO LOCAL OFFICE",IF($W282=5,"ESCALATED TO CBE",IF($X282=TODAY(),"EMAIL SENT","MONITORING"))))))))))</f>
        <v/>
      </c>
      <c r="U282" s="17">
        <f>IF($T282="",IF(AND(COUNTA($A282:$K282)&gt;0,$L282=""),"Awaiting Collection Email time stamp.",""),IF(OR($T282="PAID",$T282="CLOSED"),IF($T282="PAID","Account paid. Action completed.","Account closed. No further action required."),CHOOSE($W282,"Collection Email","1st Email Follow-up","2nd Email Follow-up","Escalation to Local Office","Escalation to CBE","Escalation to Roxanne")&amp;" sent "&amp;TEXT($X282,"dd-mmm")&amp;". "&amp;IF($W282=6,"Final escalation completed.",IF($T282="OVERDUE","Next: "&amp;$Z282&amp;" was due "&amp;TEXT($Y282,"dd-mmm")&amp;" - "&amp;(NETWORKDAYS($Y282,TODAY(),Holidays)-1)&amp;" business day(s) late. Send now.",IF($T282="DUE TOMORROW","Next: "&amp;$Z282&amp;IF($Y282&lt;=TODAY()," is due TODAY ("," is due next business day (")&amp;TEXT($Y282,"dd-mmm")&amp;").","Next: "&amp;$Z282&amp;" due "&amp;TEXT($Y282,"dd-mmm")&amp;" ("&amp;(NETWORKDAYS(TODAY(),$Y282,Holidays)-1)&amp;" business day(s) left).")))))</f>
        <v/>
      </c>
      <c r="V282" s="17">
        <f>IF($W282="","",CHOOSE($W282,"Collection Email","1st Follow-up","2nd Follow-up","Local Office","CBE","Roxanne")&amp;IF($W282=6," - Final"," - Day "&amp;MAX(0,NETWORKDAYS($X282,TODAY(),Holidays)-1)&amp;" of "&amp;CHOOSE($W282,3,3,2,2,3))&amp;" | Total Day "&amp;MAX(0,NETWORKDAYS($L282,TODAY(),Holidays)-1))</f>
        <v/>
      </c>
      <c r="W282" s="17">
        <f>IF($L282="","",COUNT($L282:$Q282))</f>
        <v/>
      </c>
      <c r="X282" s="18">
        <f>IF($W282="","",INT(INDEX($L282:$Q282,$W282)))</f>
        <v/>
      </c>
      <c r="Y282" s="18">
        <f>IF(OR($W282="",$W282=6),"",WORKDAY($X282,CHOOSE($W282,3,3,2,2,3),Holidays))</f>
        <v/>
      </c>
      <c r="Z282" s="17">
        <f>IF(OR($W282="",$W282=6),"",CHOOSE($W282,"1st Email Follow-up","2nd Email Follow-up","Escalate Local Office","Escalate to CBE","Escalate to Roxanne"))</f>
        <v/>
      </c>
    </row>
    <row r="283" spans="18:26">
      <c r="R283" s="15"/>
      <c r="S283" s="16"/>
      <c r="T283" s="17">
        <f>IF(AND(COUNTA($A283:$K283)=0,$L283=""),"",IF($S283="Paid","PAID",IF($S283="Closed","CLOSED",IF($W283="","",IF($W283=6,"ESCALATED TO ROXANNE",IF(TODAY()&gt;$Y283,"OVERDUE",IF($Y283&lt;=WORKDAY(TODAY(),1,Holidays),"DUE TOMORROW",IF($W283=4,"ESCALATED TO LOCAL OFFICE",IF($W283=5,"ESCALATED TO CBE",IF($X283=TODAY(),"EMAIL SENT","MONITORING"))))))))))</f>
        <v/>
      </c>
      <c r="U283" s="17">
        <f>IF($T283="",IF(AND(COUNTA($A283:$K283)&gt;0,$L283=""),"Awaiting Collection Email time stamp.",""),IF(OR($T283="PAID",$T283="CLOSED"),IF($T283="PAID","Account paid. Action completed.","Account closed. No further action required."),CHOOSE($W283,"Collection Email","1st Email Follow-up","2nd Email Follow-up","Escalation to Local Office","Escalation to CBE","Escalation to Roxanne")&amp;" sent "&amp;TEXT($X283,"dd-mmm")&amp;". "&amp;IF($W283=6,"Final escalation completed.",IF($T283="OVERDUE","Next: "&amp;$Z283&amp;" was due "&amp;TEXT($Y283,"dd-mmm")&amp;" - "&amp;(NETWORKDAYS($Y283,TODAY(),Holidays)-1)&amp;" business day(s) late. Send now.",IF($T283="DUE TOMORROW","Next: "&amp;$Z283&amp;IF($Y283&lt;=TODAY()," is due TODAY ("," is due next business day (")&amp;TEXT($Y283,"dd-mmm")&amp;").","Next: "&amp;$Z283&amp;" due "&amp;TEXT($Y283,"dd-mmm")&amp;" ("&amp;(NETWORKDAYS(TODAY(),$Y283,Holidays)-1)&amp;" business day(s) left).")))))</f>
        <v/>
      </c>
      <c r="V283" s="17">
        <f>IF($W283="","",CHOOSE($W283,"Collection Email","1st Follow-up","2nd Follow-up","Local Office","CBE","Roxanne")&amp;IF($W283=6," - Final"," - Day "&amp;MAX(0,NETWORKDAYS($X283,TODAY(),Holidays)-1)&amp;" of "&amp;CHOOSE($W283,3,3,2,2,3))&amp;" | Total Day "&amp;MAX(0,NETWORKDAYS($L283,TODAY(),Holidays)-1))</f>
        <v/>
      </c>
      <c r="W283" s="17">
        <f>IF($L283="","",COUNT($L283:$Q283))</f>
        <v/>
      </c>
      <c r="X283" s="18">
        <f>IF($W283="","",INT(INDEX($L283:$Q283,$W283)))</f>
        <v/>
      </c>
      <c r="Y283" s="18">
        <f>IF(OR($W283="",$W283=6),"",WORKDAY($X283,CHOOSE($W283,3,3,2,2,3),Holidays))</f>
        <v/>
      </c>
      <c r="Z283" s="17">
        <f>IF(OR($W283="",$W283=6),"",CHOOSE($W283,"1st Email Follow-up","2nd Email Follow-up","Escalate Local Office","Escalate to CBE","Escalate to Roxanne"))</f>
        <v/>
      </c>
    </row>
    <row r="284" spans="18:26">
      <c r="R284" s="15"/>
      <c r="S284" s="16"/>
      <c r="T284" s="17">
        <f>IF(AND(COUNTA($A284:$K284)=0,$L284=""),"",IF($S284="Paid","PAID",IF($S284="Closed","CLOSED",IF($W284="","",IF($W284=6,"ESCALATED TO ROXANNE",IF(TODAY()&gt;$Y284,"OVERDUE",IF($Y284&lt;=WORKDAY(TODAY(),1,Holidays),"DUE TOMORROW",IF($W284=4,"ESCALATED TO LOCAL OFFICE",IF($W284=5,"ESCALATED TO CBE",IF($X284=TODAY(),"EMAIL SENT","MONITORING"))))))))))</f>
        <v/>
      </c>
      <c r="U284" s="17">
        <f>IF($T284="",IF(AND(COUNTA($A284:$K284)&gt;0,$L284=""),"Awaiting Collection Email time stamp.",""),IF(OR($T284="PAID",$T284="CLOSED"),IF($T284="PAID","Account paid. Action completed.","Account closed. No further action required."),CHOOSE($W284,"Collection Email","1st Email Follow-up","2nd Email Follow-up","Escalation to Local Office","Escalation to CBE","Escalation to Roxanne")&amp;" sent "&amp;TEXT($X284,"dd-mmm")&amp;". "&amp;IF($W284=6,"Final escalation completed.",IF($T284="OVERDUE","Next: "&amp;$Z284&amp;" was due "&amp;TEXT($Y284,"dd-mmm")&amp;" - "&amp;(NETWORKDAYS($Y284,TODAY(),Holidays)-1)&amp;" business day(s) late. Send now.",IF($T284="DUE TOMORROW","Next: "&amp;$Z284&amp;IF($Y284&lt;=TODAY()," is due TODAY ("," is due next business day (")&amp;TEXT($Y284,"dd-mmm")&amp;").","Next: "&amp;$Z284&amp;" due "&amp;TEXT($Y284,"dd-mmm")&amp;" ("&amp;(NETWORKDAYS(TODAY(),$Y284,Holidays)-1)&amp;" business day(s) left).")))))</f>
        <v/>
      </c>
      <c r="V284" s="17">
        <f>IF($W284="","",CHOOSE($W284,"Collection Email","1st Follow-up","2nd Follow-up","Local Office","CBE","Roxanne")&amp;IF($W284=6," - Final"," - Day "&amp;MAX(0,NETWORKDAYS($X284,TODAY(),Holidays)-1)&amp;" of "&amp;CHOOSE($W284,3,3,2,2,3))&amp;" | Total Day "&amp;MAX(0,NETWORKDAYS($L284,TODAY(),Holidays)-1))</f>
        <v/>
      </c>
      <c r="W284" s="17">
        <f>IF($L284="","",COUNT($L284:$Q284))</f>
        <v/>
      </c>
      <c r="X284" s="18">
        <f>IF($W284="","",INT(INDEX($L284:$Q284,$W284)))</f>
        <v/>
      </c>
      <c r="Y284" s="18">
        <f>IF(OR($W284="",$W284=6),"",WORKDAY($X284,CHOOSE($W284,3,3,2,2,3),Holidays))</f>
        <v/>
      </c>
      <c r="Z284" s="17">
        <f>IF(OR($W284="",$W284=6),"",CHOOSE($W284,"1st Email Follow-up","2nd Email Follow-up","Escalate Local Office","Escalate to CBE","Escalate to Roxanne"))</f>
        <v/>
      </c>
    </row>
    <row r="285" spans="18:26">
      <c r="R285" s="15"/>
      <c r="S285" s="16"/>
      <c r="T285" s="17">
        <f>IF(AND(COUNTA($A285:$K285)=0,$L285=""),"",IF($S285="Paid","PAID",IF($S285="Closed","CLOSED",IF($W285="","",IF($W285=6,"ESCALATED TO ROXANNE",IF(TODAY()&gt;$Y285,"OVERDUE",IF($Y285&lt;=WORKDAY(TODAY(),1,Holidays),"DUE TOMORROW",IF($W285=4,"ESCALATED TO LOCAL OFFICE",IF($W285=5,"ESCALATED TO CBE",IF($X285=TODAY(),"EMAIL SENT","MONITORING"))))))))))</f>
        <v/>
      </c>
      <c r="U285" s="17">
        <f>IF($T285="",IF(AND(COUNTA($A285:$K285)&gt;0,$L285=""),"Awaiting Collection Email time stamp.",""),IF(OR($T285="PAID",$T285="CLOSED"),IF($T285="PAID","Account paid. Action completed.","Account closed. No further action required."),CHOOSE($W285,"Collection Email","1st Email Follow-up","2nd Email Follow-up","Escalation to Local Office","Escalation to CBE","Escalation to Roxanne")&amp;" sent "&amp;TEXT($X285,"dd-mmm")&amp;". "&amp;IF($W285=6,"Final escalation completed.",IF($T285="OVERDUE","Next: "&amp;$Z285&amp;" was due "&amp;TEXT($Y285,"dd-mmm")&amp;" - "&amp;(NETWORKDAYS($Y285,TODAY(),Holidays)-1)&amp;" business day(s) late. Send now.",IF($T285="DUE TOMORROW","Next: "&amp;$Z285&amp;IF($Y285&lt;=TODAY()," is due TODAY ("," is due next business day (")&amp;TEXT($Y285,"dd-mmm")&amp;").","Next: "&amp;$Z285&amp;" due "&amp;TEXT($Y285,"dd-mmm")&amp;" ("&amp;(NETWORKDAYS(TODAY(),$Y285,Holidays)-1)&amp;" business day(s) left).")))))</f>
        <v/>
      </c>
      <c r="V285" s="17">
        <f>IF($W285="","",CHOOSE($W285,"Collection Email","1st Follow-up","2nd Follow-up","Local Office","CBE","Roxanne")&amp;IF($W285=6," - Final"," - Day "&amp;MAX(0,NETWORKDAYS($X285,TODAY(),Holidays)-1)&amp;" of "&amp;CHOOSE($W285,3,3,2,2,3))&amp;" | Total Day "&amp;MAX(0,NETWORKDAYS($L285,TODAY(),Holidays)-1))</f>
        <v/>
      </c>
      <c r="W285" s="17">
        <f>IF($L285="","",COUNT($L285:$Q285))</f>
        <v/>
      </c>
      <c r="X285" s="18">
        <f>IF($W285="","",INT(INDEX($L285:$Q285,$W285)))</f>
        <v/>
      </c>
      <c r="Y285" s="18">
        <f>IF(OR($W285="",$W285=6),"",WORKDAY($X285,CHOOSE($W285,3,3,2,2,3),Holidays))</f>
        <v/>
      </c>
      <c r="Z285" s="17">
        <f>IF(OR($W285="",$W285=6),"",CHOOSE($W285,"1st Email Follow-up","2nd Email Follow-up","Escalate Local Office","Escalate to CBE","Escalate to Roxanne"))</f>
        <v/>
      </c>
    </row>
    <row r="286" spans="18:26">
      <c r="R286" s="15"/>
      <c r="S286" s="16"/>
      <c r="T286" s="17">
        <f>IF(AND(COUNTA($A286:$K286)=0,$L286=""),"",IF($S286="Paid","PAID",IF($S286="Closed","CLOSED",IF($W286="","",IF($W286=6,"ESCALATED TO ROXANNE",IF(TODAY()&gt;$Y286,"OVERDUE",IF($Y286&lt;=WORKDAY(TODAY(),1,Holidays),"DUE TOMORROW",IF($W286=4,"ESCALATED TO LOCAL OFFICE",IF($W286=5,"ESCALATED TO CBE",IF($X286=TODAY(),"EMAIL SENT","MONITORING"))))))))))</f>
        <v/>
      </c>
      <c r="U286" s="17">
        <f>IF($T286="",IF(AND(COUNTA($A286:$K286)&gt;0,$L286=""),"Awaiting Collection Email time stamp.",""),IF(OR($T286="PAID",$T286="CLOSED"),IF($T286="PAID","Account paid. Action completed.","Account closed. No further action required."),CHOOSE($W286,"Collection Email","1st Email Follow-up","2nd Email Follow-up","Escalation to Local Office","Escalation to CBE","Escalation to Roxanne")&amp;" sent "&amp;TEXT($X286,"dd-mmm")&amp;". "&amp;IF($W286=6,"Final escalation completed.",IF($T286="OVERDUE","Next: "&amp;$Z286&amp;" was due "&amp;TEXT($Y286,"dd-mmm")&amp;" - "&amp;(NETWORKDAYS($Y286,TODAY(),Holidays)-1)&amp;" business day(s) late. Send now.",IF($T286="DUE TOMORROW","Next: "&amp;$Z286&amp;IF($Y286&lt;=TODAY()," is due TODAY ("," is due next business day (")&amp;TEXT($Y286,"dd-mmm")&amp;").","Next: "&amp;$Z286&amp;" due "&amp;TEXT($Y286,"dd-mmm")&amp;" ("&amp;(NETWORKDAYS(TODAY(),$Y286,Holidays)-1)&amp;" business day(s) left).")))))</f>
        <v/>
      </c>
      <c r="V286" s="17">
        <f>IF($W286="","",CHOOSE($W286,"Collection Email","1st Follow-up","2nd Follow-up","Local Office","CBE","Roxanne")&amp;IF($W286=6," - Final"," - Day "&amp;MAX(0,NETWORKDAYS($X286,TODAY(),Holidays)-1)&amp;" of "&amp;CHOOSE($W286,3,3,2,2,3))&amp;" | Total Day "&amp;MAX(0,NETWORKDAYS($L286,TODAY(),Holidays)-1))</f>
        <v/>
      </c>
      <c r="W286" s="17">
        <f>IF($L286="","",COUNT($L286:$Q286))</f>
        <v/>
      </c>
      <c r="X286" s="18">
        <f>IF($W286="","",INT(INDEX($L286:$Q286,$W286)))</f>
        <v/>
      </c>
      <c r="Y286" s="18">
        <f>IF(OR($W286="",$W286=6),"",WORKDAY($X286,CHOOSE($W286,3,3,2,2,3),Holidays))</f>
        <v/>
      </c>
      <c r="Z286" s="17">
        <f>IF(OR($W286="",$W286=6),"",CHOOSE($W286,"1st Email Follow-up","2nd Email Follow-up","Escalate Local Office","Escalate to CBE","Escalate to Roxanne"))</f>
        <v/>
      </c>
    </row>
    <row r="287" spans="18:26">
      <c r="R287" s="15"/>
      <c r="S287" s="16"/>
      <c r="T287" s="17">
        <f>IF(AND(COUNTA($A287:$K287)=0,$L287=""),"",IF($S287="Paid","PAID",IF($S287="Closed","CLOSED",IF($W287="","",IF($W287=6,"ESCALATED TO ROXANNE",IF(TODAY()&gt;$Y287,"OVERDUE",IF($Y287&lt;=WORKDAY(TODAY(),1,Holidays),"DUE TOMORROW",IF($W287=4,"ESCALATED TO LOCAL OFFICE",IF($W287=5,"ESCALATED TO CBE",IF($X287=TODAY(),"EMAIL SENT","MONITORING"))))))))))</f>
        <v/>
      </c>
      <c r="U287" s="17">
        <f>IF($T287="",IF(AND(COUNTA($A287:$K287)&gt;0,$L287=""),"Awaiting Collection Email time stamp.",""),IF(OR($T287="PAID",$T287="CLOSED"),IF($T287="PAID","Account paid. Action completed.","Account closed. No further action required."),CHOOSE($W287,"Collection Email","1st Email Follow-up","2nd Email Follow-up","Escalation to Local Office","Escalation to CBE","Escalation to Roxanne")&amp;" sent "&amp;TEXT($X287,"dd-mmm")&amp;". "&amp;IF($W287=6,"Final escalation completed.",IF($T287="OVERDUE","Next: "&amp;$Z287&amp;" was due "&amp;TEXT($Y287,"dd-mmm")&amp;" - "&amp;(NETWORKDAYS($Y287,TODAY(),Holidays)-1)&amp;" business day(s) late. Send now.",IF($T287="DUE TOMORROW","Next: "&amp;$Z287&amp;IF($Y287&lt;=TODAY()," is due TODAY ("," is due next business day (")&amp;TEXT($Y287,"dd-mmm")&amp;").","Next: "&amp;$Z287&amp;" due "&amp;TEXT($Y287,"dd-mmm")&amp;" ("&amp;(NETWORKDAYS(TODAY(),$Y287,Holidays)-1)&amp;" business day(s) left).")))))</f>
        <v/>
      </c>
      <c r="V287" s="17">
        <f>IF($W287="","",CHOOSE($W287,"Collection Email","1st Follow-up","2nd Follow-up","Local Office","CBE","Roxanne")&amp;IF($W287=6," - Final"," - Day "&amp;MAX(0,NETWORKDAYS($X287,TODAY(),Holidays)-1)&amp;" of "&amp;CHOOSE($W287,3,3,2,2,3))&amp;" | Total Day "&amp;MAX(0,NETWORKDAYS($L287,TODAY(),Holidays)-1))</f>
        <v/>
      </c>
      <c r="W287" s="17">
        <f>IF($L287="","",COUNT($L287:$Q287))</f>
        <v/>
      </c>
      <c r="X287" s="18">
        <f>IF($W287="","",INT(INDEX($L287:$Q287,$W287)))</f>
        <v/>
      </c>
      <c r="Y287" s="18">
        <f>IF(OR($W287="",$W287=6),"",WORKDAY($X287,CHOOSE($W287,3,3,2,2,3),Holidays))</f>
        <v/>
      </c>
      <c r="Z287" s="17">
        <f>IF(OR($W287="",$W287=6),"",CHOOSE($W287,"1st Email Follow-up","2nd Email Follow-up","Escalate Local Office","Escalate to CBE","Escalate to Roxanne"))</f>
        <v/>
      </c>
    </row>
    <row r="288" spans="18:26">
      <c r="R288" s="15"/>
      <c r="S288" s="16"/>
      <c r="T288" s="17">
        <f>IF(AND(COUNTA($A288:$K288)=0,$L288=""),"",IF($S288="Paid","PAID",IF($S288="Closed","CLOSED",IF($W288="","",IF($W288=6,"ESCALATED TO ROXANNE",IF(TODAY()&gt;$Y288,"OVERDUE",IF($Y288&lt;=WORKDAY(TODAY(),1,Holidays),"DUE TOMORROW",IF($W288=4,"ESCALATED TO LOCAL OFFICE",IF($W288=5,"ESCALATED TO CBE",IF($X288=TODAY(),"EMAIL SENT","MONITORING"))))))))))</f>
        <v/>
      </c>
      <c r="U288" s="17">
        <f>IF($T288="",IF(AND(COUNTA($A288:$K288)&gt;0,$L288=""),"Awaiting Collection Email time stamp.",""),IF(OR($T288="PAID",$T288="CLOSED"),IF($T288="PAID","Account paid. Action completed.","Account closed. No further action required."),CHOOSE($W288,"Collection Email","1st Email Follow-up","2nd Email Follow-up","Escalation to Local Office","Escalation to CBE","Escalation to Roxanne")&amp;" sent "&amp;TEXT($X288,"dd-mmm")&amp;". "&amp;IF($W288=6,"Final escalation completed.",IF($T288="OVERDUE","Next: "&amp;$Z288&amp;" was due "&amp;TEXT($Y288,"dd-mmm")&amp;" - "&amp;(NETWORKDAYS($Y288,TODAY(),Holidays)-1)&amp;" business day(s) late. Send now.",IF($T288="DUE TOMORROW","Next: "&amp;$Z288&amp;IF($Y288&lt;=TODAY()," is due TODAY ("," is due next business day (")&amp;TEXT($Y288,"dd-mmm")&amp;").","Next: "&amp;$Z288&amp;" due "&amp;TEXT($Y288,"dd-mmm")&amp;" ("&amp;(NETWORKDAYS(TODAY(),$Y288,Holidays)-1)&amp;" business day(s) left).")))))</f>
        <v/>
      </c>
      <c r="V288" s="17">
        <f>IF($W288="","",CHOOSE($W288,"Collection Email","1st Follow-up","2nd Follow-up","Local Office","CBE","Roxanne")&amp;IF($W288=6," - Final"," - Day "&amp;MAX(0,NETWORKDAYS($X288,TODAY(),Holidays)-1)&amp;" of "&amp;CHOOSE($W288,3,3,2,2,3))&amp;" | Total Day "&amp;MAX(0,NETWORKDAYS($L288,TODAY(),Holidays)-1))</f>
        <v/>
      </c>
      <c r="W288" s="17">
        <f>IF($L288="","",COUNT($L288:$Q288))</f>
        <v/>
      </c>
      <c r="X288" s="18">
        <f>IF($W288="","",INT(INDEX($L288:$Q288,$W288)))</f>
        <v/>
      </c>
      <c r="Y288" s="18">
        <f>IF(OR($W288="",$W288=6),"",WORKDAY($X288,CHOOSE($W288,3,3,2,2,3),Holidays))</f>
        <v/>
      </c>
      <c r="Z288" s="17">
        <f>IF(OR($W288="",$W288=6),"",CHOOSE($W288,"1st Email Follow-up","2nd Email Follow-up","Escalate Local Office","Escalate to CBE","Escalate to Roxanne"))</f>
        <v/>
      </c>
    </row>
    <row r="289" spans="18:26">
      <c r="R289" s="15"/>
      <c r="S289" s="16"/>
      <c r="T289" s="17">
        <f>IF(AND(COUNTA($A289:$K289)=0,$L289=""),"",IF($S289="Paid","PAID",IF($S289="Closed","CLOSED",IF($W289="","",IF($W289=6,"ESCALATED TO ROXANNE",IF(TODAY()&gt;$Y289,"OVERDUE",IF($Y289&lt;=WORKDAY(TODAY(),1,Holidays),"DUE TOMORROW",IF($W289=4,"ESCALATED TO LOCAL OFFICE",IF($W289=5,"ESCALATED TO CBE",IF($X289=TODAY(),"EMAIL SENT","MONITORING"))))))))))</f>
        <v/>
      </c>
      <c r="U289" s="17">
        <f>IF($T289="",IF(AND(COUNTA($A289:$K289)&gt;0,$L289=""),"Awaiting Collection Email time stamp.",""),IF(OR($T289="PAID",$T289="CLOSED"),IF($T289="PAID","Account paid. Action completed.","Account closed. No further action required."),CHOOSE($W289,"Collection Email","1st Email Follow-up","2nd Email Follow-up","Escalation to Local Office","Escalation to CBE","Escalation to Roxanne")&amp;" sent "&amp;TEXT($X289,"dd-mmm")&amp;". "&amp;IF($W289=6,"Final escalation completed.",IF($T289="OVERDUE","Next: "&amp;$Z289&amp;" was due "&amp;TEXT($Y289,"dd-mmm")&amp;" - "&amp;(NETWORKDAYS($Y289,TODAY(),Holidays)-1)&amp;" business day(s) late. Send now.",IF($T289="DUE TOMORROW","Next: "&amp;$Z289&amp;IF($Y289&lt;=TODAY()," is due TODAY ("," is due next business day (")&amp;TEXT($Y289,"dd-mmm")&amp;").","Next: "&amp;$Z289&amp;" due "&amp;TEXT($Y289,"dd-mmm")&amp;" ("&amp;(NETWORKDAYS(TODAY(),$Y289,Holidays)-1)&amp;" business day(s) left).")))))</f>
        <v/>
      </c>
      <c r="V289" s="17">
        <f>IF($W289="","",CHOOSE($W289,"Collection Email","1st Follow-up","2nd Follow-up","Local Office","CBE","Roxanne")&amp;IF($W289=6," - Final"," - Day "&amp;MAX(0,NETWORKDAYS($X289,TODAY(),Holidays)-1)&amp;" of "&amp;CHOOSE($W289,3,3,2,2,3))&amp;" | Total Day "&amp;MAX(0,NETWORKDAYS($L289,TODAY(),Holidays)-1))</f>
        <v/>
      </c>
      <c r="W289" s="17">
        <f>IF($L289="","",COUNT($L289:$Q289))</f>
        <v/>
      </c>
      <c r="X289" s="18">
        <f>IF($W289="","",INT(INDEX($L289:$Q289,$W289)))</f>
        <v/>
      </c>
      <c r="Y289" s="18">
        <f>IF(OR($W289="",$W289=6),"",WORKDAY($X289,CHOOSE($W289,3,3,2,2,3),Holidays))</f>
        <v/>
      </c>
      <c r="Z289" s="17">
        <f>IF(OR($W289="",$W289=6),"",CHOOSE($W289,"1st Email Follow-up","2nd Email Follow-up","Escalate Local Office","Escalate to CBE","Escalate to Roxanne"))</f>
        <v/>
      </c>
    </row>
    <row r="290" spans="18:26">
      <c r="R290" s="15"/>
      <c r="S290" s="16"/>
      <c r="T290" s="17">
        <f>IF(AND(COUNTA($A290:$K290)=0,$L290=""),"",IF($S290="Paid","PAID",IF($S290="Closed","CLOSED",IF($W290="","",IF($W290=6,"ESCALATED TO ROXANNE",IF(TODAY()&gt;$Y290,"OVERDUE",IF($Y290&lt;=WORKDAY(TODAY(),1,Holidays),"DUE TOMORROW",IF($W290=4,"ESCALATED TO LOCAL OFFICE",IF($W290=5,"ESCALATED TO CBE",IF($X290=TODAY(),"EMAIL SENT","MONITORING"))))))))))</f>
        <v/>
      </c>
      <c r="U290" s="17">
        <f>IF($T290="",IF(AND(COUNTA($A290:$K290)&gt;0,$L290=""),"Awaiting Collection Email time stamp.",""),IF(OR($T290="PAID",$T290="CLOSED"),IF($T290="PAID","Account paid. Action completed.","Account closed. No further action required."),CHOOSE($W290,"Collection Email","1st Email Follow-up","2nd Email Follow-up","Escalation to Local Office","Escalation to CBE","Escalation to Roxanne")&amp;" sent "&amp;TEXT($X290,"dd-mmm")&amp;". "&amp;IF($W290=6,"Final escalation completed.",IF($T290="OVERDUE","Next: "&amp;$Z290&amp;" was due "&amp;TEXT($Y290,"dd-mmm")&amp;" - "&amp;(NETWORKDAYS($Y290,TODAY(),Holidays)-1)&amp;" business day(s) late. Send now.",IF($T290="DUE TOMORROW","Next: "&amp;$Z290&amp;IF($Y290&lt;=TODAY()," is due TODAY ("," is due next business day (")&amp;TEXT($Y290,"dd-mmm")&amp;").","Next: "&amp;$Z290&amp;" due "&amp;TEXT($Y290,"dd-mmm")&amp;" ("&amp;(NETWORKDAYS(TODAY(),$Y290,Holidays)-1)&amp;" business day(s) left).")))))</f>
        <v/>
      </c>
      <c r="V290" s="17">
        <f>IF($W290="","",CHOOSE($W290,"Collection Email","1st Follow-up","2nd Follow-up","Local Office","CBE","Roxanne")&amp;IF($W290=6," - Final"," - Day "&amp;MAX(0,NETWORKDAYS($X290,TODAY(),Holidays)-1)&amp;" of "&amp;CHOOSE($W290,3,3,2,2,3))&amp;" | Total Day "&amp;MAX(0,NETWORKDAYS($L290,TODAY(),Holidays)-1))</f>
        <v/>
      </c>
      <c r="W290" s="17">
        <f>IF($L290="","",COUNT($L290:$Q290))</f>
        <v/>
      </c>
      <c r="X290" s="18">
        <f>IF($W290="","",INT(INDEX($L290:$Q290,$W290)))</f>
        <v/>
      </c>
      <c r="Y290" s="18">
        <f>IF(OR($W290="",$W290=6),"",WORKDAY($X290,CHOOSE($W290,3,3,2,2,3),Holidays))</f>
        <v/>
      </c>
      <c r="Z290" s="17">
        <f>IF(OR($W290="",$W290=6),"",CHOOSE($W290,"1st Email Follow-up","2nd Email Follow-up","Escalate Local Office","Escalate to CBE","Escalate to Roxanne"))</f>
        <v/>
      </c>
    </row>
    <row r="291" spans="18:26">
      <c r="R291" s="15"/>
      <c r="S291" s="16"/>
      <c r="T291" s="17">
        <f>IF(AND(COUNTA($A291:$K291)=0,$L291=""),"",IF($S291="Paid","PAID",IF($S291="Closed","CLOSED",IF($W291="","",IF($W291=6,"ESCALATED TO ROXANNE",IF(TODAY()&gt;$Y291,"OVERDUE",IF($Y291&lt;=WORKDAY(TODAY(),1,Holidays),"DUE TOMORROW",IF($W291=4,"ESCALATED TO LOCAL OFFICE",IF($W291=5,"ESCALATED TO CBE",IF($X291=TODAY(),"EMAIL SENT","MONITORING"))))))))))</f>
        <v/>
      </c>
      <c r="U291" s="17">
        <f>IF($T291="",IF(AND(COUNTA($A291:$K291)&gt;0,$L291=""),"Awaiting Collection Email time stamp.",""),IF(OR($T291="PAID",$T291="CLOSED"),IF($T291="PAID","Account paid. Action completed.","Account closed. No further action required."),CHOOSE($W291,"Collection Email","1st Email Follow-up","2nd Email Follow-up","Escalation to Local Office","Escalation to CBE","Escalation to Roxanne")&amp;" sent "&amp;TEXT($X291,"dd-mmm")&amp;". "&amp;IF($W291=6,"Final escalation completed.",IF($T291="OVERDUE","Next: "&amp;$Z291&amp;" was due "&amp;TEXT($Y291,"dd-mmm")&amp;" - "&amp;(NETWORKDAYS($Y291,TODAY(),Holidays)-1)&amp;" business day(s) late. Send now.",IF($T291="DUE TOMORROW","Next: "&amp;$Z291&amp;IF($Y291&lt;=TODAY()," is due TODAY ("," is due next business day (")&amp;TEXT($Y291,"dd-mmm")&amp;").","Next: "&amp;$Z291&amp;" due "&amp;TEXT($Y291,"dd-mmm")&amp;" ("&amp;(NETWORKDAYS(TODAY(),$Y291,Holidays)-1)&amp;" business day(s) left).")))))</f>
        <v/>
      </c>
      <c r="V291" s="17">
        <f>IF($W291="","",CHOOSE($W291,"Collection Email","1st Follow-up","2nd Follow-up","Local Office","CBE","Roxanne")&amp;IF($W291=6," - Final"," - Day "&amp;MAX(0,NETWORKDAYS($X291,TODAY(),Holidays)-1)&amp;" of "&amp;CHOOSE($W291,3,3,2,2,3))&amp;" | Total Day "&amp;MAX(0,NETWORKDAYS($L291,TODAY(),Holidays)-1))</f>
        <v/>
      </c>
      <c r="W291" s="17">
        <f>IF($L291="","",COUNT($L291:$Q291))</f>
        <v/>
      </c>
      <c r="X291" s="18">
        <f>IF($W291="","",INT(INDEX($L291:$Q291,$W291)))</f>
        <v/>
      </c>
      <c r="Y291" s="18">
        <f>IF(OR($W291="",$W291=6),"",WORKDAY($X291,CHOOSE($W291,3,3,2,2,3),Holidays))</f>
        <v/>
      </c>
      <c r="Z291" s="17">
        <f>IF(OR($W291="",$W291=6),"",CHOOSE($W291,"1st Email Follow-up","2nd Email Follow-up","Escalate Local Office","Escalate to CBE","Escalate to Roxanne"))</f>
        <v/>
      </c>
    </row>
    <row r="292" spans="18:26">
      <c r="R292" s="15"/>
      <c r="S292" s="16"/>
      <c r="T292" s="17">
        <f>IF(AND(COUNTA($A292:$K292)=0,$L292=""),"",IF($S292="Paid","PAID",IF($S292="Closed","CLOSED",IF($W292="","",IF($W292=6,"ESCALATED TO ROXANNE",IF(TODAY()&gt;$Y292,"OVERDUE",IF($Y292&lt;=WORKDAY(TODAY(),1,Holidays),"DUE TOMORROW",IF($W292=4,"ESCALATED TO LOCAL OFFICE",IF($W292=5,"ESCALATED TO CBE",IF($X292=TODAY(),"EMAIL SENT","MONITORING"))))))))))</f>
        <v/>
      </c>
      <c r="U292" s="17">
        <f>IF($T292="",IF(AND(COUNTA($A292:$K292)&gt;0,$L292=""),"Awaiting Collection Email time stamp.",""),IF(OR($T292="PAID",$T292="CLOSED"),IF($T292="PAID","Account paid. Action completed.","Account closed. No further action required."),CHOOSE($W292,"Collection Email","1st Email Follow-up","2nd Email Follow-up","Escalation to Local Office","Escalation to CBE","Escalation to Roxanne")&amp;" sent "&amp;TEXT($X292,"dd-mmm")&amp;". "&amp;IF($W292=6,"Final escalation completed.",IF($T292="OVERDUE","Next: "&amp;$Z292&amp;" was due "&amp;TEXT($Y292,"dd-mmm")&amp;" - "&amp;(NETWORKDAYS($Y292,TODAY(),Holidays)-1)&amp;" business day(s) late. Send now.",IF($T292="DUE TOMORROW","Next: "&amp;$Z292&amp;IF($Y292&lt;=TODAY()," is due TODAY ("," is due next business day (")&amp;TEXT($Y292,"dd-mmm")&amp;").","Next: "&amp;$Z292&amp;" due "&amp;TEXT($Y292,"dd-mmm")&amp;" ("&amp;(NETWORKDAYS(TODAY(),$Y292,Holidays)-1)&amp;" business day(s) left).")))))</f>
        <v/>
      </c>
      <c r="V292" s="17">
        <f>IF($W292="","",CHOOSE($W292,"Collection Email","1st Follow-up","2nd Follow-up","Local Office","CBE","Roxanne")&amp;IF($W292=6," - Final"," - Day "&amp;MAX(0,NETWORKDAYS($X292,TODAY(),Holidays)-1)&amp;" of "&amp;CHOOSE($W292,3,3,2,2,3))&amp;" | Total Day "&amp;MAX(0,NETWORKDAYS($L292,TODAY(),Holidays)-1))</f>
        <v/>
      </c>
      <c r="W292" s="17">
        <f>IF($L292="","",COUNT($L292:$Q292))</f>
        <v/>
      </c>
      <c r="X292" s="18">
        <f>IF($W292="","",INT(INDEX($L292:$Q292,$W292)))</f>
        <v/>
      </c>
      <c r="Y292" s="18">
        <f>IF(OR($W292="",$W292=6),"",WORKDAY($X292,CHOOSE($W292,3,3,2,2,3),Holidays))</f>
        <v/>
      </c>
      <c r="Z292" s="17">
        <f>IF(OR($W292="",$W292=6),"",CHOOSE($W292,"1st Email Follow-up","2nd Email Follow-up","Escalate Local Office","Escalate to CBE","Escalate to Roxanne"))</f>
        <v/>
      </c>
    </row>
    <row r="293" spans="18:26">
      <c r="R293" s="15"/>
      <c r="S293" s="16"/>
      <c r="T293" s="17">
        <f>IF(AND(COUNTA($A293:$K293)=0,$L293=""),"",IF($S293="Paid","PAID",IF($S293="Closed","CLOSED",IF($W293="","",IF($W293=6,"ESCALATED TO ROXANNE",IF(TODAY()&gt;$Y293,"OVERDUE",IF($Y293&lt;=WORKDAY(TODAY(),1,Holidays),"DUE TOMORROW",IF($W293=4,"ESCALATED TO LOCAL OFFICE",IF($W293=5,"ESCALATED TO CBE",IF($X293=TODAY(),"EMAIL SENT","MONITORING"))))))))))</f>
        <v/>
      </c>
      <c r="U293" s="17">
        <f>IF($T293="",IF(AND(COUNTA($A293:$K293)&gt;0,$L293=""),"Awaiting Collection Email time stamp.",""),IF(OR($T293="PAID",$T293="CLOSED"),IF($T293="PAID","Account paid. Action completed.","Account closed. No further action required."),CHOOSE($W293,"Collection Email","1st Email Follow-up","2nd Email Follow-up","Escalation to Local Office","Escalation to CBE","Escalation to Roxanne")&amp;" sent "&amp;TEXT($X293,"dd-mmm")&amp;". "&amp;IF($W293=6,"Final escalation completed.",IF($T293="OVERDUE","Next: "&amp;$Z293&amp;" was due "&amp;TEXT($Y293,"dd-mmm")&amp;" - "&amp;(NETWORKDAYS($Y293,TODAY(),Holidays)-1)&amp;" business day(s) late. Send now.",IF($T293="DUE TOMORROW","Next: "&amp;$Z293&amp;IF($Y293&lt;=TODAY()," is due TODAY ("," is due next business day (")&amp;TEXT($Y293,"dd-mmm")&amp;").","Next: "&amp;$Z293&amp;" due "&amp;TEXT($Y293,"dd-mmm")&amp;" ("&amp;(NETWORKDAYS(TODAY(),$Y293,Holidays)-1)&amp;" business day(s) left).")))))</f>
        <v/>
      </c>
      <c r="V293" s="17">
        <f>IF($W293="","",CHOOSE($W293,"Collection Email","1st Follow-up","2nd Follow-up","Local Office","CBE","Roxanne")&amp;IF($W293=6," - Final"," - Day "&amp;MAX(0,NETWORKDAYS($X293,TODAY(),Holidays)-1)&amp;" of "&amp;CHOOSE($W293,3,3,2,2,3))&amp;" | Total Day "&amp;MAX(0,NETWORKDAYS($L293,TODAY(),Holidays)-1))</f>
        <v/>
      </c>
      <c r="W293" s="17">
        <f>IF($L293="","",COUNT($L293:$Q293))</f>
        <v/>
      </c>
      <c r="X293" s="18">
        <f>IF($W293="","",INT(INDEX($L293:$Q293,$W293)))</f>
        <v/>
      </c>
      <c r="Y293" s="18">
        <f>IF(OR($W293="",$W293=6),"",WORKDAY($X293,CHOOSE($W293,3,3,2,2,3),Holidays))</f>
        <v/>
      </c>
      <c r="Z293" s="17">
        <f>IF(OR($W293="",$W293=6),"",CHOOSE($W293,"1st Email Follow-up","2nd Email Follow-up","Escalate Local Office","Escalate to CBE","Escalate to Roxanne"))</f>
        <v/>
      </c>
    </row>
    <row r="294" spans="18:26">
      <c r="R294" s="15"/>
      <c r="S294" s="16"/>
      <c r="T294" s="17">
        <f>IF(AND(COUNTA($A294:$K294)=0,$L294=""),"",IF($S294="Paid","PAID",IF($S294="Closed","CLOSED",IF($W294="","",IF($W294=6,"ESCALATED TO ROXANNE",IF(TODAY()&gt;$Y294,"OVERDUE",IF($Y294&lt;=WORKDAY(TODAY(),1,Holidays),"DUE TOMORROW",IF($W294=4,"ESCALATED TO LOCAL OFFICE",IF($W294=5,"ESCALATED TO CBE",IF($X294=TODAY(),"EMAIL SENT","MONITORING"))))))))))</f>
        <v/>
      </c>
      <c r="U294" s="17">
        <f>IF($T294="",IF(AND(COUNTA($A294:$K294)&gt;0,$L294=""),"Awaiting Collection Email time stamp.",""),IF(OR($T294="PAID",$T294="CLOSED"),IF($T294="PAID","Account paid. Action completed.","Account closed. No further action required."),CHOOSE($W294,"Collection Email","1st Email Follow-up","2nd Email Follow-up","Escalation to Local Office","Escalation to CBE","Escalation to Roxanne")&amp;" sent "&amp;TEXT($X294,"dd-mmm")&amp;". "&amp;IF($W294=6,"Final escalation completed.",IF($T294="OVERDUE","Next: "&amp;$Z294&amp;" was due "&amp;TEXT($Y294,"dd-mmm")&amp;" - "&amp;(NETWORKDAYS($Y294,TODAY(),Holidays)-1)&amp;" business day(s) late. Send now.",IF($T294="DUE TOMORROW","Next: "&amp;$Z294&amp;IF($Y294&lt;=TODAY()," is due TODAY ("," is due next business day (")&amp;TEXT($Y294,"dd-mmm")&amp;").","Next: "&amp;$Z294&amp;" due "&amp;TEXT($Y294,"dd-mmm")&amp;" ("&amp;(NETWORKDAYS(TODAY(),$Y294,Holidays)-1)&amp;" business day(s) left).")))))</f>
        <v/>
      </c>
      <c r="V294" s="17">
        <f>IF($W294="","",CHOOSE($W294,"Collection Email","1st Follow-up","2nd Follow-up","Local Office","CBE","Roxanne")&amp;IF($W294=6," - Final"," - Day "&amp;MAX(0,NETWORKDAYS($X294,TODAY(),Holidays)-1)&amp;" of "&amp;CHOOSE($W294,3,3,2,2,3))&amp;" | Total Day "&amp;MAX(0,NETWORKDAYS($L294,TODAY(),Holidays)-1))</f>
        <v/>
      </c>
      <c r="W294" s="17">
        <f>IF($L294="","",COUNT($L294:$Q294))</f>
        <v/>
      </c>
      <c r="X294" s="18">
        <f>IF($W294="","",INT(INDEX($L294:$Q294,$W294)))</f>
        <v/>
      </c>
      <c r="Y294" s="18">
        <f>IF(OR($W294="",$W294=6),"",WORKDAY($X294,CHOOSE($W294,3,3,2,2,3),Holidays))</f>
        <v/>
      </c>
      <c r="Z294" s="17">
        <f>IF(OR($W294="",$W294=6),"",CHOOSE($W294,"1st Email Follow-up","2nd Email Follow-up","Escalate Local Office","Escalate to CBE","Escalate to Roxanne"))</f>
        <v/>
      </c>
    </row>
    <row r="295" spans="18:26">
      <c r="R295" s="15"/>
      <c r="S295" s="16"/>
      <c r="T295" s="17">
        <f>IF(AND(COUNTA($A295:$K295)=0,$L295=""),"",IF($S295="Paid","PAID",IF($S295="Closed","CLOSED",IF($W295="","",IF($W295=6,"ESCALATED TO ROXANNE",IF(TODAY()&gt;$Y295,"OVERDUE",IF($Y295&lt;=WORKDAY(TODAY(),1,Holidays),"DUE TOMORROW",IF($W295=4,"ESCALATED TO LOCAL OFFICE",IF($W295=5,"ESCALATED TO CBE",IF($X295=TODAY(),"EMAIL SENT","MONITORING"))))))))))</f>
        <v/>
      </c>
      <c r="U295" s="17">
        <f>IF($T295="",IF(AND(COUNTA($A295:$K295)&gt;0,$L295=""),"Awaiting Collection Email time stamp.",""),IF(OR($T295="PAID",$T295="CLOSED"),IF($T295="PAID","Account paid. Action completed.","Account closed. No further action required."),CHOOSE($W295,"Collection Email","1st Email Follow-up","2nd Email Follow-up","Escalation to Local Office","Escalation to CBE","Escalation to Roxanne")&amp;" sent "&amp;TEXT($X295,"dd-mmm")&amp;". "&amp;IF($W295=6,"Final escalation completed.",IF($T295="OVERDUE","Next: "&amp;$Z295&amp;" was due "&amp;TEXT($Y295,"dd-mmm")&amp;" - "&amp;(NETWORKDAYS($Y295,TODAY(),Holidays)-1)&amp;" business day(s) late. Send now.",IF($T295="DUE TOMORROW","Next: "&amp;$Z295&amp;IF($Y295&lt;=TODAY()," is due TODAY ("," is due next business day (")&amp;TEXT($Y295,"dd-mmm")&amp;").","Next: "&amp;$Z295&amp;" due "&amp;TEXT($Y295,"dd-mmm")&amp;" ("&amp;(NETWORKDAYS(TODAY(),$Y295,Holidays)-1)&amp;" business day(s) left).")))))</f>
        <v/>
      </c>
      <c r="V295" s="17">
        <f>IF($W295="","",CHOOSE($W295,"Collection Email","1st Follow-up","2nd Follow-up","Local Office","CBE","Roxanne")&amp;IF($W295=6," - Final"," - Day "&amp;MAX(0,NETWORKDAYS($X295,TODAY(),Holidays)-1)&amp;" of "&amp;CHOOSE($W295,3,3,2,2,3))&amp;" | Total Day "&amp;MAX(0,NETWORKDAYS($L295,TODAY(),Holidays)-1))</f>
        <v/>
      </c>
      <c r="W295" s="17">
        <f>IF($L295="","",COUNT($L295:$Q295))</f>
        <v/>
      </c>
      <c r="X295" s="18">
        <f>IF($W295="","",INT(INDEX($L295:$Q295,$W295)))</f>
        <v/>
      </c>
      <c r="Y295" s="18">
        <f>IF(OR($W295="",$W295=6),"",WORKDAY($X295,CHOOSE($W295,3,3,2,2,3),Holidays))</f>
        <v/>
      </c>
      <c r="Z295" s="17">
        <f>IF(OR($W295="",$W295=6),"",CHOOSE($W295,"1st Email Follow-up","2nd Email Follow-up","Escalate Local Office","Escalate to CBE","Escalate to Roxanne"))</f>
        <v/>
      </c>
    </row>
    <row r="296" spans="18:26">
      <c r="R296" s="15"/>
      <c r="S296" s="16"/>
      <c r="T296" s="17">
        <f>IF(AND(COUNTA($A296:$K296)=0,$L296=""),"",IF($S296="Paid","PAID",IF($S296="Closed","CLOSED",IF($W296="","",IF($W296=6,"ESCALATED TO ROXANNE",IF(TODAY()&gt;$Y296,"OVERDUE",IF($Y296&lt;=WORKDAY(TODAY(),1,Holidays),"DUE TOMORROW",IF($W296=4,"ESCALATED TO LOCAL OFFICE",IF($W296=5,"ESCALATED TO CBE",IF($X296=TODAY(),"EMAIL SENT","MONITORING"))))))))))</f>
        <v/>
      </c>
      <c r="U296" s="17">
        <f>IF($T296="",IF(AND(COUNTA($A296:$K296)&gt;0,$L296=""),"Awaiting Collection Email time stamp.",""),IF(OR($T296="PAID",$T296="CLOSED"),IF($T296="PAID","Account paid. Action completed.","Account closed. No further action required."),CHOOSE($W296,"Collection Email","1st Email Follow-up","2nd Email Follow-up","Escalation to Local Office","Escalation to CBE","Escalation to Roxanne")&amp;" sent "&amp;TEXT($X296,"dd-mmm")&amp;". "&amp;IF($W296=6,"Final escalation completed.",IF($T296="OVERDUE","Next: "&amp;$Z296&amp;" was due "&amp;TEXT($Y296,"dd-mmm")&amp;" - "&amp;(NETWORKDAYS($Y296,TODAY(),Holidays)-1)&amp;" business day(s) late. Send now.",IF($T296="DUE TOMORROW","Next: "&amp;$Z296&amp;IF($Y296&lt;=TODAY()," is due TODAY ("," is due next business day (")&amp;TEXT($Y296,"dd-mmm")&amp;").","Next: "&amp;$Z296&amp;" due "&amp;TEXT($Y296,"dd-mmm")&amp;" ("&amp;(NETWORKDAYS(TODAY(),$Y296,Holidays)-1)&amp;" business day(s) left).")))))</f>
        <v/>
      </c>
      <c r="V296" s="17">
        <f>IF($W296="","",CHOOSE($W296,"Collection Email","1st Follow-up","2nd Follow-up","Local Office","CBE","Roxanne")&amp;IF($W296=6," - Final"," - Day "&amp;MAX(0,NETWORKDAYS($X296,TODAY(),Holidays)-1)&amp;" of "&amp;CHOOSE($W296,3,3,2,2,3))&amp;" | Total Day "&amp;MAX(0,NETWORKDAYS($L296,TODAY(),Holidays)-1))</f>
        <v/>
      </c>
      <c r="W296" s="17">
        <f>IF($L296="","",COUNT($L296:$Q296))</f>
        <v/>
      </c>
      <c r="X296" s="18">
        <f>IF($W296="","",INT(INDEX($L296:$Q296,$W296)))</f>
        <v/>
      </c>
      <c r="Y296" s="18">
        <f>IF(OR($W296="",$W296=6),"",WORKDAY($X296,CHOOSE($W296,3,3,2,2,3),Holidays))</f>
        <v/>
      </c>
      <c r="Z296" s="17">
        <f>IF(OR($W296="",$W296=6),"",CHOOSE($W296,"1st Email Follow-up","2nd Email Follow-up","Escalate Local Office","Escalate to CBE","Escalate to Roxanne"))</f>
        <v/>
      </c>
    </row>
    <row r="297" spans="18:26">
      <c r="R297" s="15"/>
      <c r="S297" s="16"/>
      <c r="T297" s="17">
        <f>IF(AND(COUNTA($A297:$K297)=0,$L297=""),"",IF($S297="Paid","PAID",IF($S297="Closed","CLOSED",IF($W297="","",IF($W297=6,"ESCALATED TO ROXANNE",IF(TODAY()&gt;$Y297,"OVERDUE",IF($Y297&lt;=WORKDAY(TODAY(),1,Holidays),"DUE TOMORROW",IF($W297=4,"ESCALATED TO LOCAL OFFICE",IF($W297=5,"ESCALATED TO CBE",IF($X297=TODAY(),"EMAIL SENT","MONITORING"))))))))))</f>
        <v/>
      </c>
      <c r="U297" s="17">
        <f>IF($T297="",IF(AND(COUNTA($A297:$K297)&gt;0,$L297=""),"Awaiting Collection Email time stamp.",""),IF(OR($T297="PAID",$T297="CLOSED"),IF($T297="PAID","Account paid. Action completed.","Account closed. No further action required."),CHOOSE($W297,"Collection Email","1st Email Follow-up","2nd Email Follow-up","Escalation to Local Office","Escalation to CBE","Escalation to Roxanne")&amp;" sent "&amp;TEXT($X297,"dd-mmm")&amp;". "&amp;IF($W297=6,"Final escalation completed.",IF($T297="OVERDUE","Next: "&amp;$Z297&amp;" was due "&amp;TEXT($Y297,"dd-mmm")&amp;" - "&amp;(NETWORKDAYS($Y297,TODAY(),Holidays)-1)&amp;" business day(s) late. Send now.",IF($T297="DUE TOMORROW","Next: "&amp;$Z297&amp;IF($Y297&lt;=TODAY()," is due TODAY ("," is due next business day (")&amp;TEXT($Y297,"dd-mmm")&amp;").","Next: "&amp;$Z297&amp;" due "&amp;TEXT($Y297,"dd-mmm")&amp;" ("&amp;(NETWORKDAYS(TODAY(),$Y297,Holidays)-1)&amp;" business day(s) left).")))))</f>
        <v/>
      </c>
      <c r="V297" s="17">
        <f>IF($W297="","",CHOOSE($W297,"Collection Email","1st Follow-up","2nd Follow-up","Local Office","CBE","Roxanne")&amp;IF($W297=6," - Final"," - Day "&amp;MAX(0,NETWORKDAYS($X297,TODAY(),Holidays)-1)&amp;" of "&amp;CHOOSE($W297,3,3,2,2,3))&amp;" | Total Day "&amp;MAX(0,NETWORKDAYS($L297,TODAY(),Holidays)-1))</f>
        <v/>
      </c>
      <c r="W297" s="17">
        <f>IF($L297="","",COUNT($L297:$Q297))</f>
        <v/>
      </c>
      <c r="X297" s="18">
        <f>IF($W297="","",INT(INDEX($L297:$Q297,$W297)))</f>
        <v/>
      </c>
      <c r="Y297" s="18">
        <f>IF(OR($W297="",$W297=6),"",WORKDAY($X297,CHOOSE($W297,3,3,2,2,3),Holidays))</f>
        <v/>
      </c>
      <c r="Z297" s="17">
        <f>IF(OR($W297="",$W297=6),"",CHOOSE($W297,"1st Email Follow-up","2nd Email Follow-up","Escalate Local Office","Escalate to CBE","Escalate to Roxanne"))</f>
        <v/>
      </c>
    </row>
    <row r="298" spans="18:26">
      <c r="R298" s="15"/>
      <c r="S298" s="16"/>
      <c r="T298" s="17">
        <f>IF(AND(COUNTA($A298:$K298)=0,$L298=""),"",IF($S298="Paid","PAID",IF($S298="Closed","CLOSED",IF($W298="","",IF($W298=6,"ESCALATED TO ROXANNE",IF(TODAY()&gt;$Y298,"OVERDUE",IF($Y298&lt;=WORKDAY(TODAY(),1,Holidays),"DUE TOMORROW",IF($W298=4,"ESCALATED TO LOCAL OFFICE",IF($W298=5,"ESCALATED TO CBE",IF($X298=TODAY(),"EMAIL SENT","MONITORING"))))))))))</f>
        <v/>
      </c>
      <c r="U298" s="17">
        <f>IF($T298="",IF(AND(COUNTA($A298:$K298)&gt;0,$L298=""),"Awaiting Collection Email time stamp.",""),IF(OR($T298="PAID",$T298="CLOSED"),IF($T298="PAID","Account paid. Action completed.","Account closed. No further action required."),CHOOSE($W298,"Collection Email","1st Email Follow-up","2nd Email Follow-up","Escalation to Local Office","Escalation to CBE","Escalation to Roxanne")&amp;" sent "&amp;TEXT($X298,"dd-mmm")&amp;". "&amp;IF($W298=6,"Final escalation completed.",IF($T298="OVERDUE","Next: "&amp;$Z298&amp;" was due "&amp;TEXT($Y298,"dd-mmm")&amp;" - "&amp;(NETWORKDAYS($Y298,TODAY(),Holidays)-1)&amp;" business day(s) late. Send now.",IF($T298="DUE TOMORROW","Next: "&amp;$Z298&amp;IF($Y298&lt;=TODAY()," is due TODAY ("," is due next business day (")&amp;TEXT($Y298,"dd-mmm")&amp;").","Next: "&amp;$Z298&amp;" due "&amp;TEXT($Y298,"dd-mmm")&amp;" ("&amp;(NETWORKDAYS(TODAY(),$Y298,Holidays)-1)&amp;" business day(s) left).")))))</f>
        <v/>
      </c>
      <c r="V298" s="17">
        <f>IF($W298="","",CHOOSE($W298,"Collection Email","1st Follow-up","2nd Follow-up","Local Office","CBE","Roxanne")&amp;IF($W298=6," - Final"," - Day "&amp;MAX(0,NETWORKDAYS($X298,TODAY(),Holidays)-1)&amp;" of "&amp;CHOOSE($W298,3,3,2,2,3))&amp;" | Total Day "&amp;MAX(0,NETWORKDAYS($L298,TODAY(),Holidays)-1))</f>
        <v/>
      </c>
      <c r="W298" s="17">
        <f>IF($L298="","",COUNT($L298:$Q298))</f>
        <v/>
      </c>
      <c r="X298" s="18">
        <f>IF($W298="","",INT(INDEX($L298:$Q298,$W298)))</f>
        <v/>
      </c>
      <c r="Y298" s="18">
        <f>IF(OR($W298="",$W298=6),"",WORKDAY($X298,CHOOSE($W298,3,3,2,2,3),Holidays))</f>
        <v/>
      </c>
      <c r="Z298" s="17">
        <f>IF(OR($W298="",$W298=6),"",CHOOSE($W298,"1st Email Follow-up","2nd Email Follow-up","Escalate Local Office","Escalate to CBE","Escalate to Roxanne"))</f>
        <v/>
      </c>
    </row>
    <row r="299" spans="18:26">
      <c r="R299" s="15"/>
      <c r="S299" s="16"/>
      <c r="T299" s="17">
        <f>IF(AND(COUNTA($A299:$K299)=0,$L299=""),"",IF($S299="Paid","PAID",IF($S299="Closed","CLOSED",IF($W299="","",IF($W299=6,"ESCALATED TO ROXANNE",IF(TODAY()&gt;$Y299,"OVERDUE",IF($Y299&lt;=WORKDAY(TODAY(),1,Holidays),"DUE TOMORROW",IF($W299=4,"ESCALATED TO LOCAL OFFICE",IF($W299=5,"ESCALATED TO CBE",IF($X299=TODAY(),"EMAIL SENT","MONITORING"))))))))))</f>
        <v/>
      </c>
      <c r="U299" s="17">
        <f>IF($T299="",IF(AND(COUNTA($A299:$K299)&gt;0,$L299=""),"Awaiting Collection Email time stamp.",""),IF(OR($T299="PAID",$T299="CLOSED"),IF($T299="PAID","Account paid. Action completed.","Account closed. No further action required."),CHOOSE($W299,"Collection Email","1st Email Follow-up","2nd Email Follow-up","Escalation to Local Office","Escalation to CBE","Escalation to Roxanne")&amp;" sent "&amp;TEXT($X299,"dd-mmm")&amp;". "&amp;IF($W299=6,"Final escalation completed.",IF($T299="OVERDUE","Next: "&amp;$Z299&amp;" was due "&amp;TEXT($Y299,"dd-mmm")&amp;" - "&amp;(NETWORKDAYS($Y299,TODAY(),Holidays)-1)&amp;" business day(s) late. Send now.",IF($T299="DUE TOMORROW","Next: "&amp;$Z299&amp;IF($Y299&lt;=TODAY()," is due TODAY ("," is due next business day (")&amp;TEXT($Y299,"dd-mmm")&amp;").","Next: "&amp;$Z299&amp;" due "&amp;TEXT($Y299,"dd-mmm")&amp;" ("&amp;(NETWORKDAYS(TODAY(),$Y299,Holidays)-1)&amp;" business day(s) left).")))))</f>
        <v/>
      </c>
      <c r="V299" s="17">
        <f>IF($W299="","",CHOOSE($W299,"Collection Email","1st Follow-up","2nd Follow-up","Local Office","CBE","Roxanne")&amp;IF($W299=6," - Final"," - Day "&amp;MAX(0,NETWORKDAYS($X299,TODAY(),Holidays)-1)&amp;" of "&amp;CHOOSE($W299,3,3,2,2,3))&amp;" | Total Day "&amp;MAX(0,NETWORKDAYS($L299,TODAY(),Holidays)-1))</f>
        <v/>
      </c>
      <c r="W299" s="17">
        <f>IF($L299="","",COUNT($L299:$Q299))</f>
        <v/>
      </c>
      <c r="X299" s="18">
        <f>IF($W299="","",INT(INDEX($L299:$Q299,$W299)))</f>
        <v/>
      </c>
      <c r="Y299" s="18">
        <f>IF(OR($W299="",$W299=6),"",WORKDAY($X299,CHOOSE($W299,3,3,2,2,3),Holidays))</f>
        <v/>
      </c>
      <c r="Z299" s="17">
        <f>IF(OR($W299="",$W299=6),"",CHOOSE($W299,"1st Email Follow-up","2nd Email Follow-up","Escalate Local Office","Escalate to CBE","Escalate to Roxanne"))</f>
        <v/>
      </c>
    </row>
    <row r="300" spans="18:26">
      <c r="R300" s="15"/>
      <c r="S300" s="16"/>
      <c r="T300" s="17">
        <f>IF(AND(COUNTA($A300:$K300)=0,$L300=""),"",IF($S300="Paid","PAID",IF($S300="Closed","CLOSED",IF($W300="","",IF($W300=6,"ESCALATED TO ROXANNE",IF(TODAY()&gt;$Y300,"OVERDUE",IF($Y300&lt;=WORKDAY(TODAY(),1,Holidays),"DUE TOMORROW",IF($W300=4,"ESCALATED TO LOCAL OFFICE",IF($W300=5,"ESCALATED TO CBE",IF($X300=TODAY(),"EMAIL SENT","MONITORING"))))))))))</f>
        <v/>
      </c>
      <c r="U300" s="17">
        <f>IF($T300="",IF(AND(COUNTA($A300:$K300)&gt;0,$L300=""),"Awaiting Collection Email time stamp.",""),IF(OR($T300="PAID",$T300="CLOSED"),IF($T300="PAID","Account paid. Action completed.","Account closed. No further action required."),CHOOSE($W300,"Collection Email","1st Email Follow-up","2nd Email Follow-up","Escalation to Local Office","Escalation to CBE","Escalation to Roxanne")&amp;" sent "&amp;TEXT($X300,"dd-mmm")&amp;". "&amp;IF($W300=6,"Final escalation completed.",IF($T300="OVERDUE","Next: "&amp;$Z300&amp;" was due "&amp;TEXT($Y300,"dd-mmm")&amp;" - "&amp;(NETWORKDAYS($Y300,TODAY(),Holidays)-1)&amp;" business day(s) late. Send now.",IF($T300="DUE TOMORROW","Next: "&amp;$Z300&amp;IF($Y300&lt;=TODAY()," is due TODAY ("," is due next business day (")&amp;TEXT($Y300,"dd-mmm")&amp;").","Next: "&amp;$Z300&amp;" due "&amp;TEXT($Y300,"dd-mmm")&amp;" ("&amp;(NETWORKDAYS(TODAY(),$Y300,Holidays)-1)&amp;" business day(s) left).")))))</f>
        <v/>
      </c>
      <c r="V300" s="17">
        <f>IF($W300="","",CHOOSE($W300,"Collection Email","1st Follow-up","2nd Follow-up","Local Office","CBE","Roxanne")&amp;IF($W300=6," - Final"," - Day "&amp;MAX(0,NETWORKDAYS($X300,TODAY(),Holidays)-1)&amp;" of "&amp;CHOOSE($W300,3,3,2,2,3))&amp;" | Total Day "&amp;MAX(0,NETWORKDAYS($L300,TODAY(),Holidays)-1))</f>
        <v/>
      </c>
      <c r="W300" s="17">
        <f>IF($L300="","",COUNT($L300:$Q300))</f>
        <v/>
      </c>
      <c r="X300" s="18">
        <f>IF($W300="","",INT(INDEX($L300:$Q300,$W300)))</f>
        <v/>
      </c>
      <c r="Y300" s="18">
        <f>IF(OR($W300="",$W300=6),"",WORKDAY($X300,CHOOSE($W300,3,3,2,2,3),Holidays))</f>
        <v/>
      </c>
      <c r="Z300" s="17">
        <f>IF(OR($W300="",$W300=6),"",CHOOSE($W300,"1st Email Follow-up","2nd Email Follow-up","Escalate Local Office","Escalate to CBE","Escalate to Roxanne"))</f>
        <v/>
      </c>
    </row>
    <row r="301" spans="18:26">
      <c r="R301" s="15"/>
      <c r="S301" s="16"/>
      <c r="T301" s="17">
        <f>IF(AND(COUNTA($A301:$K301)=0,$L301=""),"",IF($S301="Paid","PAID",IF($S301="Closed","CLOSED",IF($W301="","",IF($W301=6,"ESCALATED TO ROXANNE",IF(TODAY()&gt;$Y301,"OVERDUE",IF($Y301&lt;=WORKDAY(TODAY(),1,Holidays),"DUE TOMORROW",IF($W301=4,"ESCALATED TO LOCAL OFFICE",IF($W301=5,"ESCALATED TO CBE",IF($X301=TODAY(),"EMAIL SENT","MONITORING"))))))))))</f>
        <v/>
      </c>
      <c r="U301" s="17">
        <f>IF($T301="",IF(AND(COUNTA($A301:$K301)&gt;0,$L301=""),"Awaiting Collection Email time stamp.",""),IF(OR($T301="PAID",$T301="CLOSED"),IF($T301="PAID","Account paid. Action completed.","Account closed. No further action required."),CHOOSE($W301,"Collection Email","1st Email Follow-up","2nd Email Follow-up","Escalation to Local Office","Escalation to CBE","Escalation to Roxanne")&amp;" sent "&amp;TEXT($X301,"dd-mmm")&amp;". "&amp;IF($W301=6,"Final escalation completed.",IF($T301="OVERDUE","Next: "&amp;$Z301&amp;" was due "&amp;TEXT($Y301,"dd-mmm")&amp;" - "&amp;(NETWORKDAYS($Y301,TODAY(),Holidays)-1)&amp;" business day(s) late. Send now.",IF($T301="DUE TOMORROW","Next: "&amp;$Z301&amp;IF($Y301&lt;=TODAY()," is due TODAY ("," is due next business day (")&amp;TEXT($Y301,"dd-mmm")&amp;").","Next: "&amp;$Z301&amp;" due "&amp;TEXT($Y301,"dd-mmm")&amp;" ("&amp;(NETWORKDAYS(TODAY(),$Y301,Holidays)-1)&amp;" business day(s) left).")))))</f>
        <v/>
      </c>
      <c r="V301" s="17">
        <f>IF($W301="","",CHOOSE($W301,"Collection Email","1st Follow-up","2nd Follow-up","Local Office","CBE","Roxanne")&amp;IF($W301=6," - Final"," - Day "&amp;MAX(0,NETWORKDAYS($X301,TODAY(),Holidays)-1)&amp;" of "&amp;CHOOSE($W301,3,3,2,2,3))&amp;" | Total Day "&amp;MAX(0,NETWORKDAYS($L301,TODAY(),Holidays)-1))</f>
        <v/>
      </c>
      <c r="W301" s="17">
        <f>IF($L301="","",COUNT($L301:$Q301))</f>
        <v/>
      </c>
      <c r="X301" s="18">
        <f>IF($W301="","",INT(INDEX($L301:$Q301,$W301)))</f>
        <v/>
      </c>
      <c r="Y301" s="18">
        <f>IF(OR($W301="",$W301=6),"",WORKDAY($X301,CHOOSE($W301,3,3,2,2,3),Holidays))</f>
        <v/>
      </c>
      <c r="Z301" s="17">
        <f>IF(OR($W301="",$W301=6),"",CHOOSE($W301,"1st Email Follow-up","2nd Email Follow-up","Escalate Local Office","Escalate to CBE","Escalate to Roxanne"))</f>
        <v/>
      </c>
    </row>
    <row r="302" spans="18:26">
      <c r="R302" s="15"/>
      <c r="S302" s="16"/>
      <c r="T302" s="17">
        <f>IF(AND(COUNTA($A302:$K302)=0,$L302=""),"",IF($S302="Paid","PAID",IF($S302="Closed","CLOSED",IF($W302="","",IF($W302=6,"ESCALATED TO ROXANNE",IF(TODAY()&gt;$Y302,"OVERDUE",IF($Y302&lt;=WORKDAY(TODAY(),1,Holidays),"DUE TOMORROW",IF($W302=4,"ESCALATED TO LOCAL OFFICE",IF($W302=5,"ESCALATED TO CBE",IF($X302=TODAY(),"EMAIL SENT","MONITORING"))))))))))</f>
        <v/>
      </c>
      <c r="U302" s="17">
        <f>IF($T302="",IF(AND(COUNTA($A302:$K302)&gt;0,$L302=""),"Awaiting Collection Email time stamp.",""),IF(OR($T302="PAID",$T302="CLOSED"),IF($T302="PAID","Account paid. Action completed.","Account closed. No further action required."),CHOOSE($W302,"Collection Email","1st Email Follow-up","2nd Email Follow-up","Escalation to Local Office","Escalation to CBE","Escalation to Roxanne")&amp;" sent "&amp;TEXT($X302,"dd-mmm")&amp;". "&amp;IF($W302=6,"Final escalation completed.",IF($T302="OVERDUE","Next: "&amp;$Z302&amp;" was due "&amp;TEXT($Y302,"dd-mmm")&amp;" - "&amp;(NETWORKDAYS($Y302,TODAY(),Holidays)-1)&amp;" business day(s) late. Send now.",IF($T302="DUE TOMORROW","Next: "&amp;$Z302&amp;IF($Y302&lt;=TODAY()," is due TODAY ("," is due next business day (")&amp;TEXT($Y302,"dd-mmm")&amp;").","Next: "&amp;$Z302&amp;" due "&amp;TEXT($Y302,"dd-mmm")&amp;" ("&amp;(NETWORKDAYS(TODAY(),$Y302,Holidays)-1)&amp;" business day(s) left).")))))</f>
        <v/>
      </c>
      <c r="V302" s="17">
        <f>IF($W302="","",CHOOSE($W302,"Collection Email","1st Follow-up","2nd Follow-up","Local Office","CBE","Roxanne")&amp;IF($W302=6," - Final"," - Day "&amp;MAX(0,NETWORKDAYS($X302,TODAY(),Holidays)-1)&amp;" of "&amp;CHOOSE($W302,3,3,2,2,3))&amp;" | Total Day "&amp;MAX(0,NETWORKDAYS($L302,TODAY(),Holidays)-1))</f>
        <v/>
      </c>
      <c r="W302" s="17">
        <f>IF($L302="","",COUNT($L302:$Q302))</f>
        <v/>
      </c>
      <c r="X302" s="18">
        <f>IF($W302="","",INT(INDEX($L302:$Q302,$W302)))</f>
        <v/>
      </c>
      <c r="Y302" s="18">
        <f>IF(OR($W302="",$W302=6),"",WORKDAY($X302,CHOOSE($W302,3,3,2,2,3),Holidays))</f>
        <v/>
      </c>
      <c r="Z302" s="17">
        <f>IF(OR($W302="",$W302=6),"",CHOOSE($W302,"1st Email Follow-up","2nd Email Follow-up","Escalate Local Office","Escalate to CBE","Escalate to Roxanne"))</f>
        <v/>
      </c>
    </row>
    <row r="303" spans="18:26">
      <c r="R303" s="15"/>
      <c r="S303" s="16"/>
      <c r="T303" s="17">
        <f>IF(AND(COUNTA($A303:$K303)=0,$L303=""),"",IF($S303="Paid","PAID",IF($S303="Closed","CLOSED",IF($W303="","",IF($W303=6,"ESCALATED TO ROXANNE",IF(TODAY()&gt;$Y303,"OVERDUE",IF($Y303&lt;=WORKDAY(TODAY(),1,Holidays),"DUE TOMORROW",IF($W303=4,"ESCALATED TO LOCAL OFFICE",IF($W303=5,"ESCALATED TO CBE",IF($X303=TODAY(),"EMAIL SENT","MONITORING"))))))))))</f>
        <v/>
      </c>
      <c r="U303" s="17">
        <f>IF($T303="",IF(AND(COUNTA($A303:$K303)&gt;0,$L303=""),"Awaiting Collection Email time stamp.",""),IF(OR($T303="PAID",$T303="CLOSED"),IF($T303="PAID","Account paid. Action completed.","Account closed. No further action required."),CHOOSE($W303,"Collection Email","1st Email Follow-up","2nd Email Follow-up","Escalation to Local Office","Escalation to CBE","Escalation to Roxanne")&amp;" sent "&amp;TEXT($X303,"dd-mmm")&amp;". "&amp;IF($W303=6,"Final escalation completed.",IF($T303="OVERDUE","Next: "&amp;$Z303&amp;" was due "&amp;TEXT($Y303,"dd-mmm")&amp;" - "&amp;(NETWORKDAYS($Y303,TODAY(),Holidays)-1)&amp;" business day(s) late. Send now.",IF($T303="DUE TOMORROW","Next: "&amp;$Z303&amp;IF($Y303&lt;=TODAY()," is due TODAY ("," is due next business day (")&amp;TEXT($Y303,"dd-mmm")&amp;").","Next: "&amp;$Z303&amp;" due "&amp;TEXT($Y303,"dd-mmm")&amp;" ("&amp;(NETWORKDAYS(TODAY(),$Y303,Holidays)-1)&amp;" business day(s) left).")))))</f>
        <v/>
      </c>
      <c r="V303" s="17">
        <f>IF($W303="","",CHOOSE($W303,"Collection Email","1st Follow-up","2nd Follow-up","Local Office","CBE","Roxanne")&amp;IF($W303=6," - Final"," - Day "&amp;MAX(0,NETWORKDAYS($X303,TODAY(),Holidays)-1)&amp;" of "&amp;CHOOSE($W303,3,3,2,2,3))&amp;" | Total Day "&amp;MAX(0,NETWORKDAYS($L303,TODAY(),Holidays)-1))</f>
        <v/>
      </c>
      <c r="W303" s="17">
        <f>IF($L303="","",COUNT($L303:$Q303))</f>
        <v/>
      </c>
      <c r="X303" s="18">
        <f>IF($W303="","",INT(INDEX($L303:$Q303,$W303)))</f>
        <v/>
      </c>
      <c r="Y303" s="18">
        <f>IF(OR($W303="",$W303=6),"",WORKDAY($X303,CHOOSE($W303,3,3,2,2,3),Holidays))</f>
        <v/>
      </c>
      <c r="Z303" s="17">
        <f>IF(OR($W303="",$W303=6),"",CHOOSE($W303,"1st Email Follow-up","2nd Email Follow-up","Escalate Local Office","Escalate to CBE","Escalate to Roxanne"))</f>
        <v/>
      </c>
    </row>
    <row r="304" spans="18:26">
      <c r="R304" s="15"/>
      <c r="S304" s="16"/>
      <c r="T304" s="17">
        <f>IF(AND(COUNTA($A304:$K304)=0,$L304=""),"",IF($S304="Paid","PAID",IF($S304="Closed","CLOSED",IF($W304="","",IF($W304=6,"ESCALATED TO ROXANNE",IF(TODAY()&gt;$Y304,"OVERDUE",IF($Y304&lt;=WORKDAY(TODAY(),1,Holidays),"DUE TOMORROW",IF($W304=4,"ESCALATED TO LOCAL OFFICE",IF($W304=5,"ESCALATED TO CBE",IF($X304=TODAY(),"EMAIL SENT","MONITORING"))))))))))</f>
        <v/>
      </c>
      <c r="U304" s="17">
        <f>IF($T304="",IF(AND(COUNTA($A304:$K304)&gt;0,$L304=""),"Awaiting Collection Email time stamp.",""),IF(OR($T304="PAID",$T304="CLOSED"),IF($T304="PAID","Account paid. Action completed.","Account closed. No further action required."),CHOOSE($W304,"Collection Email","1st Email Follow-up","2nd Email Follow-up","Escalation to Local Office","Escalation to CBE","Escalation to Roxanne")&amp;" sent "&amp;TEXT($X304,"dd-mmm")&amp;". "&amp;IF($W304=6,"Final escalation completed.",IF($T304="OVERDUE","Next: "&amp;$Z304&amp;" was due "&amp;TEXT($Y304,"dd-mmm")&amp;" - "&amp;(NETWORKDAYS($Y304,TODAY(),Holidays)-1)&amp;" business day(s) late. Send now.",IF($T304="DUE TOMORROW","Next: "&amp;$Z304&amp;IF($Y304&lt;=TODAY()," is due TODAY ("," is due next business day (")&amp;TEXT($Y304,"dd-mmm")&amp;").","Next: "&amp;$Z304&amp;" due "&amp;TEXT($Y304,"dd-mmm")&amp;" ("&amp;(NETWORKDAYS(TODAY(),$Y304,Holidays)-1)&amp;" business day(s) left).")))))</f>
        <v/>
      </c>
      <c r="V304" s="17">
        <f>IF($W304="","",CHOOSE($W304,"Collection Email","1st Follow-up","2nd Follow-up","Local Office","CBE","Roxanne")&amp;IF($W304=6," - Final"," - Day "&amp;MAX(0,NETWORKDAYS($X304,TODAY(),Holidays)-1)&amp;" of "&amp;CHOOSE($W304,3,3,2,2,3))&amp;" | Total Day "&amp;MAX(0,NETWORKDAYS($L304,TODAY(),Holidays)-1))</f>
        <v/>
      </c>
      <c r="W304" s="17">
        <f>IF($L304="","",COUNT($L304:$Q304))</f>
        <v/>
      </c>
      <c r="X304" s="18">
        <f>IF($W304="","",INT(INDEX($L304:$Q304,$W304)))</f>
        <v/>
      </c>
      <c r="Y304" s="18">
        <f>IF(OR($W304="",$W304=6),"",WORKDAY($X304,CHOOSE($W304,3,3,2,2,3),Holidays))</f>
        <v/>
      </c>
      <c r="Z304" s="17">
        <f>IF(OR($W304="",$W304=6),"",CHOOSE($W304,"1st Email Follow-up","2nd Email Follow-up","Escalate Local Office","Escalate to CBE","Escalate to Roxanne"))</f>
        <v/>
      </c>
    </row>
    <row r="305" spans="18:26">
      <c r="R305" s="15"/>
      <c r="S305" s="16"/>
      <c r="T305" s="17">
        <f>IF(AND(COUNTA($A305:$K305)=0,$L305=""),"",IF($S305="Paid","PAID",IF($S305="Closed","CLOSED",IF($W305="","",IF($W305=6,"ESCALATED TO ROXANNE",IF(TODAY()&gt;$Y305,"OVERDUE",IF($Y305&lt;=WORKDAY(TODAY(),1,Holidays),"DUE TOMORROW",IF($W305=4,"ESCALATED TO LOCAL OFFICE",IF($W305=5,"ESCALATED TO CBE",IF($X305=TODAY(),"EMAIL SENT","MONITORING"))))))))))</f>
        <v/>
      </c>
      <c r="U305" s="17">
        <f>IF($T305="",IF(AND(COUNTA($A305:$K305)&gt;0,$L305=""),"Awaiting Collection Email time stamp.",""),IF(OR($T305="PAID",$T305="CLOSED"),IF($T305="PAID","Account paid. Action completed.","Account closed. No further action required."),CHOOSE($W305,"Collection Email","1st Email Follow-up","2nd Email Follow-up","Escalation to Local Office","Escalation to CBE","Escalation to Roxanne")&amp;" sent "&amp;TEXT($X305,"dd-mmm")&amp;". "&amp;IF($W305=6,"Final escalation completed.",IF($T305="OVERDUE","Next: "&amp;$Z305&amp;" was due "&amp;TEXT($Y305,"dd-mmm")&amp;" - "&amp;(NETWORKDAYS($Y305,TODAY(),Holidays)-1)&amp;" business day(s) late. Send now.",IF($T305="DUE TOMORROW","Next: "&amp;$Z305&amp;IF($Y305&lt;=TODAY()," is due TODAY ("," is due next business day (")&amp;TEXT($Y305,"dd-mmm")&amp;").","Next: "&amp;$Z305&amp;" due "&amp;TEXT($Y305,"dd-mmm")&amp;" ("&amp;(NETWORKDAYS(TODAY(),$Y305,Holidays)-1)&amp;" business day(s) left).")))))</f>
        <v/>
      </c>
      <c r="V305" s="17">
        <f>IF($W305="","",CHOOSE($W305,"Collection Email","1st Follow-up","2nd Follow-up","Local Office","CBE","Roxanne")&amp;IF($W305=6," - Final"," - Day "&amp;MAX(0,NETWORKDAYS($X305,TODAY(),Holidays)-1)&amp;" of "&amp;CHOOSE($W305,3,3,2,2,3))&amp;" | Total Day "&amp;MAX(0,NETWORKDAYS($L305,TODAY(),Holidays)-1))</f>
        <v/>
      </c>
      <c r="W305" s="17">
        <f>IF($L305="","",COUNT($L305:$Q305))</f>
        <v/>
      </c>
      <c r="X305" s="18">
        <f>IF($W305="","",INT(INDEX($L305:$Q305,$W305)))</f>
        <v/>
      </c>
      <c r="Y305" s="18">
        <f>IF(OR($W305="",$W305=6),"",WORKDAY($X305,CHOOSE($W305,3,3,2,2,3),Holidays))</f>
        <v/>
      </c>
      <c r="Z305" s="17">
        <f>IF(OR($W305="",$W305=6),"",CHOOSE($W305,"1st Email Follow-up","2nd Email Follow-up","Escalate Local Office","Escalate to CBE","Escalate to Roxanne"))</f>
        <v/>
      </c>
    </row>
    <row r="306" spans="18:26">
      <c r="R306" s="15"/>
      <c r="S306" s="16"/>
      <c r="T306" s="17">
        <f>IF(AND(COUNTA($A306:$K306)=0,$L306=""),"",IF($S306="Paid","PAID",IF($S306="Closed","CLOSED",IF($W306="","",IF($W306=6,"ESCALATED TO ROXANNE",IF(TODAY()&gt;$Y306,"OVERDUE",IF($Y306&lt;=WORKDAY(TODAY(),1,Holidays),"DUE TOMORROW",IF($W306=4,"ESCALATED TO LOCAL OFFICE",IF($W306=5,"ESCALATED TO CBE",IF($X306=TODAY(),"EMAIL SENT","MONITORING"))))))))))</f>
        <v/>
      </c>
      <c r="U306" s="17">
        <f>IF($T306="",IF(AND(COUNTA($A306:$K306)&gt;0,$L306=""),"Awaiting Collection Email time stamp.",""),IF(OR($T306="PAID",$T306="CLOSED"),IF($T306="PAID","Account paid. Action completed.","Account closed. No further action required."),CHOOSE($W306,"Collection Email","1st Email Follow-up","2nd Email Follow-up","Escalation to Local Office","Escalation to CBE","Escalation to Roxanne")&amp;" sent "&amp;TEXT($X306,"dd-mmm")&amp;". "&amp;IF($W306=6,"Final escalation completed.",IF($T306="OVERDUE","Next: "&amp;$Z306&amp;" was due "&amp;TEXT($Y306,"dd-mmm")&amp;" - "&amp;(NETWORKDAYS($Y306,TODAY(),Holidays)-1)&amp;" business day(s) late. Send now.",IF($T306="DUE TOMORROW","Next: "&amp;$Z306&amp;IF($Y306&lt;=TODAY()," is due TODAY ("," is due next business day (")&amp;TEXT($Y306,"dd-mmm")&amp;").","Next: "&amp;$Z306&amp;" due "&amp;TEXT($Y306,"dd-mmm")&amp;" ("&amp;(NETWORKDAYS(TODAY(),$Y306,Holidays)-1)&amp;" business day(s) left).")))))</f>
        <v/>
      </c>
      <c r="V306" s="17">
        <f>IF($W306="","",CHOOSE($W306,"Collection Email","1st Follow-up","2nd Follow-up","Local Office","CBE","Roxanne")&amp;IF($W306=6," - Final"," - Day "&amp;MAX(0,NETWORKDAYS($X306,TODAY(),Holidays)-1)&amp;" of "&amp;CHOOSE($W306,3,3,2,2,3))&amp;" | Total Day "&amp;MAX(0,NETWORKDAYS($L306,TODAY(),Holidays)-1))</f>
        <v/>
      </c>
      <c r="W306" s="17">
        <f>IF($L306="","",COUNT($L306:$Q306))</f>
        <v/>
      </c>
      <c r="X306" s="18">
        <f>IF($W306="","",INT(INDEX($L306:$Q306,$W306)))</f>
        <v/>
      </c>
      <c r="Y306" s="18">
        <f>IF(OR($W306="",$W306=6),"",WORKDAY($X306,CHOOSE($W306,3,3,2,2,3),Holidays))</f>
        <v/>
      </c>
      <c r="Z306" s="17">
        <f>IF(OR($W306="",$W306=6),"",CHOOSE($W306,"1st Email Follow-up","2nd Email Follow-up","Escalate Local Office","Escalate to CBE","Escalate to Roxanne"))</f>
        <v/>
      </c>
    </row>
    <row r="307" spans="18:26">
      <c r="R307" s="15"/>
      <c r="S307" s="16"/>
      <c r="T307" s="17">
        <f>IF(AND(COUNTA($A307:$K307)=0,$L307=""),"",IF($S307="Paid","PAID",IF($S307="Closed","CLOSED",IF($W307="","",IF($W307=6,"ESCALATED TO ROXANNE",IF(TODAY()&gt;$Y307,"OVERDUE",IF($Y307&lt;=WORKDAY(TODAY(),1,Holidays),"DUE TOMORROW",IF($W307=4,"ESCALATED TO LOCAL OFFICE",IF($W307=5,"ESCALATED TO CBE",IF($X307=TODAY(),"EMAIL SENT","MONITORING"))))))))))</f>
        <v/>
      </c>
      <c r="U307" s="17">
        <f>IF($T307="",IF(AND(COUNTA($A307:$K307)&gt;0,$L307=""),"Awaiting Collection Email time stamp.",""),IF(OR($T307="PAID",$T307="CLOSED"),IF($T307="PAID","Account paid. Action completed.","Account closed. No further action required."),CHOOSE($W307,"Collection Email","1st Email Follow-up","2nd Email Follow-up","Escalation to Local Office","Escalation to CBE","Escalation to Roxanne")&amp;" sent "&amp;TEXT($X307,"dd-mmm")&amp;". "&amp;IF($W307=6,"Final escalation completed.",IF($T307="OVERDUE","Next: "&amp;$Z307&amp;" was due "&amp;TEXT($Y307,"dd-mmm")&amp;" - "&amp;(NETWORKDAYS($Y307,TODAY(),Holidays)-1)&amp;" business day(s) late. Send now.",IF($T307="DUE TOMORROW","Next: "&amp;$Z307&amp;IF($Y307&lt;=TODAY()," is due TODAY ("," is due next business day (")&amp;TEXT($Y307,"dd-mmm")&amp;").","Next: "&amp;$Z307&amp;" due "&amp;TEXT($Y307,"dd-mmm")&amp;" ("&amp;(NETWORKDAYS(TODAY(),$Y307,Holidays)-1)&amp;" business day(s) left).")))))</f>
        <v/>
      </c>
      <c r="V307" s="17">
        <f>IF($W307="","",CHOOSE($W307,"Collection Email","1st Follow-up","2nd Follow-up","Local Office","CBE","Roxanne")&amp;IF($W307=6," - Final"," - Day "&amp;MAX(0,NETWORKDAYS($X307,TODAY(),Holidays)-1)&amp;" of "&amp;CHOOSE($W307,3,3,2,2,3))&amp;" | Total Day "&amp;MAX(0,NETWORKDAYS($L307,TODAY(),Holidays)-1))</f>
        <v/>
      </c>
      <c r="W307" s="17">
        <f>IF($L307="","",COUNT($L307:$Q307))</f>
        <v/>
      </c>
      <c r="X307" s="18">
        <f>IF($W307="","",INT(INDEX($L307:$Q307,$W307)))</f>
        <v/>
      </c>
      <c r="Y307" s="18">
        <f>IF(OR($W307="",$W307=6),"",WORKDAY($X307,CHOOSE($W307,3,3,2,2,3),Holidays))</f>
        <v/>
      </c>
      <c r="Z307" s="17">
        <f>IF(OR($W307="",$W307=6),"",CHOOSE($W307,"1st Email Follow-up","2nd Email Follow-up","Escalate Local Office","Escalate to CBE","Escalate to Roxanne"))</f>
        <v/>
      </c>
    </row>
    <row r="308" spans="18:26">
      <c r="R308" s="15"/>
      <c r="S308" s="16"/>
      <c r="T308" s="17">
        <f>IF(AND(COUNTA($A308:$K308)=0,$L308=""),"",IF($S308="Paid","PAID",IF($S308="Closed","CLOSED",IF($W308="","",IF($W308=6,"ESCALATED TO ROXANNE",IF(TODAY()&gt;$Y308,"OVERDUE",IF($Y308&lt;=WORKDAY(TODAY(),1,Holidays),"DUE TOMORROW",IF($W308=4,"ESCALATED TO LOCAL OFFICE",IF($W308=5,"ESCALATED TO CBE",IF($X308=TODAY(),"EMAIL SENT","MONITORING"))))))))))</f>
        <v/>
      </c>
      <c r="U308" s="17">
        <f>IF($T308="",IF(AND(COUNTA($A308:$K308)&gt;0,$L308=""),"Awaiting Collection Email time stamp.",""),IF(OR($T308="PAID",$T308="CLOSED"),IF($T308="PAID","Account paid. Action completed.","Account closed. No further action required."),CHOOSE($W308,"Collection Email","1st Email Follow-up","2nd Email Follow-up","Escalation to Local Office","Escalation to CBE","Escalation to Roxanne")&amp;" sent "&amp;TEXT($X308,"dd-mmm")&amp;". "&amp;IF($W308=6,"Final escalation completed.",IF($T308="OVERDUE","Next: "&amp;$Z308&amp;" was due "&amp;TEXT($Y308,"dd-mmm")&amp;" - "&amp;(NETWORKDAYS($Y308,TODAY(),Holidays)-1)&amp;" business day(s) late. Send now.",IF($T308="DUE TOMORROW","Next: "&amp;$Z308&amp;IF($Y308&lt;=TODAY()," is due TODAY ("," is due next business day (")&amp;TEXT($Y308,"dd-mmm")&amp;").","Next: "&amp;$Z308&amp;" due "&amp;TEXT($Y308,"dd-mmm")&amp;" ("&amp;(NETWORKDAYS(TODAY(),$Y308,Holidays)-1)&amp;" business day(s) left).")))))</f>
        <v/>
      </c>
      <c r="V308" s="17">
        <f>IF($W308="","",CHOOSE($W308,"Collection Email","1st Follow-up","2nd Follow-up","Local Office","CBE","Roxanne")&amp;IF($W308=6," - Final"," - Day "&amp;MAX(0,NETWORKDAYS($X308,TODAY(),Holidays)-1)&amp;" of "&amp;CHOOSE($W308,3,3,2,2,3))&amp;" | Total Day "&amp;MAX(0,NETWORKDAYS($L308,TODAY(),Holidays)-1))</f>
        <v/>
      </c>
      <c r="W308" s="17">
        <f>IF($L308="","",COUNT($L308:$Q308))</f>
        <v/>
      </c>
      <c r="X308" s="18">
        <f>IF($W308="","",INT(INDEX($L308:$Q308,$W308)))</f>
        <v/>
      </c>
      <c r="Y308" s="18">
        <f>IF(OR($W308="",$W308=6),"",WORKDAY($X308,CHOOSE($W308,3,3,2,2,3),Holidays))</f>
        <v/>
      </c>
      <c r="Z308" s="17">
        <f>IF(OR($W308="",$W308=6),"",CHOOSE($W308,"1st Email Follow-up","2nd Email Follow-up","Escalate Local Office","Escalate to CBE","Escalate to Roxanne"))</f>
        <v/>
      </c>
    </row>
    <row r="309" spans="18:26">
      <c r="R309" s="15"/>
      <c r="S309" s="16"/>
      <c r="T309" s="17">
        <f>IF(AND(COUNTA($A309:$K309)=0,$L309=""),"",IF($S309="Paid","PAID",IF($S309="Closed","CLOSED",IF($W309="","",IF($W309=6,"ESCALATED TO ROXANNE",IF(TODAY()&gt;$Y309,"OVERDUE",IF($Y309&lt;=WORKDAY(TODAY(),1,Holidays),"DUE TOMORROW",IF($W309=4,"ESCALATED TO LOCAL OFFICE",IF($W309=5,"ESCALATED TO CBE",IF($X309=TODAY(),"EMAIL SENT","MONITORING"))))))))))</f>
        <v/>
      </c>
      <c r="U309" s="17">
        <f>IF($T309="",IF(AND(COUNTA($A309:$K309)&gt;0,$L309=""),"Awaiting Collection Email time stamp.",""),IF(OR($T309="PAID",$T309="CLOSED"),IF($T309="PAID","Account paid. Action completed.","Account closed. No further action required."),CHOOSE($W309,"Collection Email","1st Email Follow-up","2nd Email Follow-up","Escalation to Local Office","Escalation to CBE","Escalation to Roxanne")&amp;" sent "&amp;TEXT($X309,"dd-mmm")&amp;". "&amp;IF($W309=6,"Final escalation completed.",IF($T309="OVERDUE","Next: "&amp;$Z309&amp;" was due "&amp;TEXT($Y309,"dd-mmm")&amp;" - "&amp;(NETWORKDAYS($Y309,TODAY(),Holidays)-1)&amp;" business day(s) late. Send now.",IF($T309="DUE TOMORROW","Next: "&amp;$Z309&amp;IF($Y309&lt;=TODAY()," is due TODAY ("," is due next business day (")&amp;TEXT($Y309,"dd-mmm")&amp;").","Next: "&amp;$Z309&amp;" due "&amp;TEXT($Y309,"dd-mmm")&amp;" ("&amp;(NETWORKDAYS(TODAY(),$Y309,Holidays)-1)&amp;" business day(s) left).")))))</f>
        <v/>
      </c>
      <c r="V309" s="17">
        <f>IF($W309="","",CHOOSE($W309,"Collection Email","1st Follow-up","2nd Follow-up","Local Office","CBE","Roxanne")&amp;IF($W309=6," - Final"," - Day "&amp;MAX(0,NETWORKDAYS($X309,TODAY(),Holidays)-1)&amp;" of "&amp;CHOOSE($W309,3,3,2,2,3))&amp;" | Total Day "&amp;MAX(0,NETWORKDAYS($L309,TODAY(),Holidays)-1))</f>
        <v/>
      </c>
      <c r="W309" s="17">
        <f>IF($L309="","",COUNT($L309:$Q309))</f>
        <v/>
      </c>
      <c r="X309" s="18">
        <f>IF($W309="","",INT(INDEX($L309:$Q309,$W309)))</f>
        <v/>
      </c>
      <c r="Y309" s="18">
        <f>IF(OR($W309="",$W309=6),"",WORKDAY($X309,CHOOSE($W309,3,3,2,2,3),Holidays))</f>
        <v/>
      </c>
      <c r="Z309" s="17">
        <f>IF(OR($W309="",$W309=6),"",CHOOSE($W309,"1st Email Follow-up","2nd Email Follow-up","Escalate Local Office","Escalate to CBE","Escalate to Roxanne"))</f>
        <v/>
      </c>
    </row>
    <row r="310" spans="18:26">
      <c r="R310" s="15"/>
      <c r="S310" s="16"/>
      <c r="T310" s="17">
        <f>IF(AND(COUNTA($A310:$K310)=0,$L310=""),"",IF($S310="Paid","PAID",IF($S310="Closed","CLOSED",IF($W310="","",IF($W310=6,"ESCALATED TO ROXANNE",IF(TODAY()&gt;$Y310,"OVERDUE",IF($Y310&lt;=WORKDAY(TODAY(),1,Holidays),"DUE TOMORROW",IF($W310=4,"ESCALATED TO LOCAL OFFICE",IF($W310=5,"ESCALATED TO CBE",IF($X310=TODAY(),"EMAIL SENT","MONITORING"))))))))))</f>
        <v/>
      </c>
      <c r="U310" s="17">
        <f>IF($T310="",IF(AND(COUNTA($A310:$K310)&gt;0,$L310=""),"Awaiting Collection Email time stamp.",""),IF(OR($T310="PAID",$T310="CLOSED"),IF($T310="PAID","Account paid. Action completed.","Account closed. No further action required."),CHOOSE($W310,"Collection Email","1st Email Follow-up","2nd Email Follow-up","Escalation to Local Office","Escalation to CBE","Escalation to Roxanne")&amp;" sent "&amp;TEXT($X310,"dd-mmm")&amp;". "&amp;IF($W310=6,"Final escalation completed.",IF($T310="OVERDUE","Next: "&amp;$Z310&amp;" was due "&amp;TEXT($Y310,"dd-mmm")&amp;" - "&amp;(NETWORKDAYS($Y310,TODAY(),Holidays)-1)&amp;" business day(s) late. Send now.",IF($T310="DUE TOMORROW","Next: "&amp;$Z310&amp;IF($Y310&lt;=TODAY()," is due TODAY ("," is due next business day (")&amp;TEXT($Y310,"dd-mmm")&amp;").","Next: "&amp;$Z310&amp;" due "&amp;TEXT($Y310,"dd-mmm")&amp;" ("&amp;(NETWORKDAYS(TODAY(),$Y310,Holidays)-1)&amp;" business day(s) left).")))))</f>
        <v/>
      </c>
      <c r="V310" s="17">
        <f>IF($W310="","",CHOOSE($W310,"Collection Email","1st Follow-up","2nd Follow-up","Local Office","CBE","Roxanne")&amp;IF($W310=6," - Final"," - Day "&amp;MAX(0,NETWORKDAYS($X310,TODAY(),Holidays)-1)&amp;" of "&amp;CHOOSE($W310,3,3,2,2,3))&amp;" | Total Day "&amp;MAX(0,NETWORKDAYS($L310,TODAY(),Holidays)-1))</f>
        <v/>
      </c>
      <c r="W310" s="17">
        <f>IF($L310="","",COUNT($L310:$Q310))</f>
        <v/>
      </c>
      <c r="X310" s="18">
        <f>IF($W310="","",INT(INDEX($L310:$Q310,$W310)))</f>
        <v/>
      </c>
      <c r="Y310" s="18">
        <f>IF(OR($W310="",$W310=6),"",WORKDAY($X310,CHOOSE($W310,3,3,2,2,3),Holidays))</f>
        <v/>
      </c>
      <c r="Z310" s="17">
        <f>IF(OR($W310="",$W310=6),"",CHOOSE($W310,"1st Email Follow-up","2nd Email Follow-up","Escalate Local Office","Escalate to CBE","Escalate to Roxanne"))</f>
        <v/>
      </c>
    </row>
    <row r="311" spans="18:26">
      <c r="R311" s="15"/>
      <c r="S311" s="16"/>
      <c r="T311" s="17">
        <f>IF(AND(COUNTA($A311:$K311)=0,$L311=""),"",IF($S311="Paid","PAID",IF($S311="Closed","CLOSED",IF($W311="","",IF($W311=6,"ESCALATED TO ROXANNE",IF(TODAY()&gt;$Y311,"OVERDUE",IF($Y311&lt;=WORKDAY(TODAY(),1,Holidays),"DUE TOMORROW",IF($W311=4,"ESCALATED TO LOCAL OFFICE",IF($W311=5,"ESCALATED TO CBE",IF($X311=TODAY(),"EMAIL SENT","MONITORING"))))))))))</f>
        <v/>
      </c>
      <c r="U311" s="17">
        <f>IF($T311="",IF(AND(COUNTA($A311:$K311)&gt;0,$L311=""),"Awaiting Collection Email time stamp.",""),IF(OR($T311="PAID",$T311="CLOSED"),IF($T311="PAID","Account paid. Action completed.","Account closed. No further action required."),CHOOSE($W311,"Collection Email","1st Email Follow-up","2nd Email Follow-up","Escalation to Local Office","Escalation to CBE","Escalation to Roxanne")&amp;" sent "&amp;TEXT($X311,"dd-mmm")&amp;". "&amp;IF($W311=6,"Final escalation completed.",IF($T311="OVERDUE","Next: "&amp;$Z311&amp;" was due "&amp;TEXT($Y311,"dd-mmm")&amp;" - "&amp;(NETWORKDAYS($Y311,TODAY(),Holidays)-1)&amp;" business day(s) late. Send now.",IF($T311="DUE TOMORROW","Next: "&amp;$Z311&amp;IF($Y311&lt;=TODAY()," is due TODAY ("," is due next business day (")&amp;TEXT($Y311,"dd-mmm")&amp;").","Next: "&amp;$Z311&amp;" due "&amp;TEXT($Y311,"dd-mmm")&amp;" ("&amp;(NETWORKDAYS(TODAY(),$Y311,Holidays)-1)&amp;" business day(s) left).")))))</f>
        <v/>
      </c>
      <c r="V311" s="17">
        <f>IF($W311="","",CHOOSE($W311,"Collection Email","1st Follow-up","2nd Follow-up","Local Office","CBE","Roxanne")&amp;IF($W311=6," - Final"," - Day "&amp;MAX(0,NETWORKDAYS($X311,TODAY(),Holidays)-1)&amp;" of "&amp;CHOOSE($W311,3,3,2,2,3))&amp;" | Total Day "&amp;MAX(0,NETWORKDAYS($L311,TODAY(),Holidays)-1))</f>
        <v/>
      </c>
      <c r="W311" s="17">
        <f>IF($L311="","",COUNT($L311:$Q311))</f>
        <v/>
      </c>
      <c r="X311" s="18">
        <f>IF($W311="","",INT(INDEX($L311:$Q311,$W311)))</f>
        <v/>
      </c>
      <c r="Y311" s="18">
        <f>IF(OR($W311="",$W311=6),"",WORKDAY($X311,CHOOSE($W311,3,3,2,2,3),Holidays))</f>
        <v/>
      </c>
      <c r="Z311" s="17">
        <f>IF(OR($W311="",$W311=6),"",CHOOSE($W311,"1st Email Follow-up","2nd Email Follow-up","Escalate Local Office","Escalate to CBE","Escalate to Roxanne"))</f>
        <v/>
      </c>
    </row>
    <row r="312" spans="18:26">
      <c r="R312" s="15"/>
      <c r="S312" s="16"/>
      <c r="T312" s="17">
        <f>IF(AND(COUNTA($A312:$K312)=0,$L312=""),"",IF($S312="Paid","PAID",IF($S312="Closed","CLOSED",IF($W312="","",IF($W312=6,"ESCALATED TO ROXANNE",IF(TODAY()&gt;$Y312,"OVERDUE",IF($Y312&lt;=WORKDAY(TODAY(),1,Holidays),"DUE TOMORROW",IF($W312=4,"ESCALATED TO LOCAL OFFICE",IF($W312=5,"ESCALATED TO CBE",IF($X312=TODAY(),"EMAIL SENT","MONITORING"))))))))))</f>
        <v/>
      </c>
      <c r="U312" s="17">
        <f>IF($T312="",IF(AND(COUNTA($A312:$K312)&gt;0,$L312=""),"Awaiting Collection Email time stamp.",""),IF(OR($T312="PAID",$T312="CLOSED"),IF($T312="PAID","Account paid. Action completed.","Account closed. No further action required."),CHOOSE($W312,"Collection Email","1st Email Follow-up","2nd Email Follow-up","Escalation to Local Office","Escalation to CBE","Escalation to Roxanne")&amp;" sent "&amp;TEXT($X312,"dd-mmm")&amp;". "&amp;IF($W312=6,"Final escalation completed.",IF($T312="OVERDUE","Next: "&amp;$Z312&amp;" was due "&amp;TEXT($Y312,"dd-mmm")&amp;" - "&amp;(NETWORKDAYS($Y312,TODAY(),Holidays)-1)&amp;" business day(s) late. Send now.",IF($T312="DUE TOMORROW","Next: "&amp;$Z312&amp;IF($Y312&lt;=TODAY()," is due TODAY ("," is due next business day (")&amp;TEXT($Y312,"dd-mmm")&amp;").","Next: "&amp;$Z312&amp;" due "&amp;TEXT($Y312,"dd-mmm")&amp;" ("&amp;(NETWORKDAYS(TODAY(),$Y312,Holidays)-1)&amp;" business day(s) left).")))))</f>
        <v/>
      </c>
      <c r="V312" s="17">
        <f>IF($W312="","",CHOOSE($W312,"Collection Email","1st Follow-up","2nd Follow-up","Local Office","CBE","Roxanne")&amp;IF($W312=6," - Final"," - Day "&amp;MAX(0,NETWORKDAYS($X312,TODAY(),Holidays)-1)&amp;" of "&amp;CHOOSE($W312,3,3,2,2,3))&amp;" | Total Day "&amp;MAX(0,NETWORKDAYS($L312,TODAY(),Holidays)-1))</f>
        <v/>
      </c>
      <c r="W312" s="17">
        <f>IF($L312="","",COUNT($L312:$Q312))</f>
        <v/>
      </c>
      <c r="X312" s="18">
        <f>IF($W312="","",INT(INDEX($L312:$Q312,$W312)))</f>
        <v/>
      </c>
      <c r="Y312" s="18">
        <f>IF(OR($W312="",$W312=6),"",WORKDAY($X312,CHOOSE($W312,3,3,2,2,3),Holidays))</f>
        <v/>
      </c>
      <c r="Z312" s="17">
        <f>IF(OR($W312="",$W312=6),"",CHOOSE($W312,"1st Email Follow-up","2nd Email Follow-up","Escalate Local Office","Escalate to CBE","Escalate to Roxanne"))</f>
        <v/>
      </c>
    </row>
    <row r="313" spans="18:26">
      <c r="R313" s="15"/>
      <c r="S313" s="16"/>
      <c r="T313" s="17">
        <f>IF(AND(COUNTA($A313:$K313)=0,$L313=""),"",IF($S313="Paid","PAID",IF($S313="Closed","CLOSED",IF($W313="","",IF($W313=6,"ESCALATED TO ROXANNE",IF(TODAY()&gt;$Y313,"OVERDUE",IF($Y313&lt;=WORKDAY(TODAY(),1,Holidays),"DUE TOMORROW",IF($W313=4,"ESCALATED TO LOCAL OFFICE",IF($W313=5,"ESCALATED TO CBE",IF($X313=TODAY(),"EMAIL SENT","MONITORING"))))))))))</f>
        <v/>
      </c>
      <c r="U313" s="17">
        <f>IF($T313="",IF(AND(COUNTA($A313:$K313)&gt;0,$L313=""),"Awaiting Collection Email time stamp.",""),IF(OR($T313="PAID",$T313="CLOSED"),IF($T313="PAID","Account paid. Action completed.","Account closed. No further action required."),CHOOSE($W313,"Collection Email","1st Email Follow-up","2nd Email Follow-up","Escalation to Local Office","Escalation to CBE","Escalation to Roxanne")&amp;" sent "&amp;TEXT($X313,"dd-mmm")&amp;". "&amp;IF($W313=6,"Final escalation completed.",IF($T313="OVERDUE","Next: "&amp;$Z313&amp;" was due "&amp;TEXT($Y313,"dd-mmm")&amp;" - "&amp;(NETWORKDAYS($Y313,TODAY(),Holidays)-1)&amp;" business day(s) late. Send now.",IF($T313="DUE TOMORROW","Next: "&amp;$Z313&amp;IF($Y313&lt;=TODAY()," is due TODAY ("," is due next business day (")&amp;TEXT($Y313,"dd-mmm")&amp;").","Next: "&amp;$Z313&amp;" due "&amp;TEXT($Y313,"dd-mmm")&amp;" ("&amp;(NETWORKDAYS(TODAY(),$Y313,Holidays)-1)&amp;" business day(s) left).")))))</f>
        <v/>
      </c>
      <c r="V313" s="17">
        <f>IF($W313="","",CHOOSE($W313,"Collection Email","1st Follow-up","2nd Follow-up","Local Office","CBE","Roxanne")&amp;IF($W313=6," - Final"," - Day "&amp;MAX(0,NETWORKDAYS($X313,TODAY(),Holidays)-1)&amp;" of "&amp;CHOOSE($W313,3,3,2,2,3))&amp;" | Total Day "&amp;MAX(0,NETWORKDAYS($L313,TODAY(),Holidays)-1))</f>
        <v/>
      </c>
      <c r="W313" s="17">
        <f>IF($L313="","",COUNT($L313:$Q313))</f>
        <v/>
      </c>
      <c r="X313" s="18">
        <f>IF($W313="","",INT(INDEX($L313:$Q313,$W313)))</f>
        <v/>
      </c>
      <c r="Y313" s="18">
        <f>IF(OR($W313="",$W313=6),"",WORKDAY($X313,CHOOSE($W313,3,3,2,2,3),Holidays))</f>
        <v/>
      </c>
      <c r="Z313" s="17">
        <f>IF(OR($W313="",$W313=6),"",CHOOSE($W313,"1st Email Follow-up","2nd Email Follow-up","Escalate Local Office","Escalate to CBE","Escalate to Roxanne"))</f>
        <v/>
      </c>
    </row>
    <row r="314" spans="18:26">
      <c r="R314" s="15"/>
      <c r="S314" s="16"/>
      <c r="T314" s="17">
        <f>IF(AND(COUNTA($A314:$K314)=0,$L314=""),"",IF($S314="Paid","PAID",IF($S314="Closed","CLOSED",IF($W314="","",IF($W314=6,"ESCALATED TO ROXANNE",IF(TODAY()&gt;$Y314,"OVERDUE",IF($Y314&lt;=WORKDAY(TODAY(),1,Holidays),"DUE TOMORROW",IF($W314=4,"ESCALATED TO LOCAL OFFICE",IF($W314=5,"ESCALATED TO CBE",IF($X314=TODAY(),"EMAIL SENT","MONITORING"))))))))))</f>
        <v/>
      </c>
      <c r="U314" s="17">
        <f>IF($T314="",IF(AND(COUNTA($A314:$K314)&gt;0,$L314=""),"Awaiting Collection Email time stamp.",""),IF(OR($T314="PAID",$T314="CLOSED"),IF($T314="PAID","Account paid. Action completed.","Account closed. No further action required."),CHOOSE($W314,"Collection Email","1st Email Follow-up","2nd Email Follow-up","Escalation to Local Office","Escalation to CBE","Escalation to Roxanne")&amp;" sent "&amp;TEXT($X314,"dd-mmm")&amp;". "&amp;IF($W314=6,"Final escalation completed.",IF($T314="OVERDUE","Next: "&amp;$Z314&amp;" was due "&amp;TEXT($Y314,"dd-mmm")&amp;" - "&amp;(NETWORKDAYS($Y314,TODAY(),Holidays)-1)&amp;" business day(s) late. Send now.",IF($T314="DUE TOMORROW","Next: "&amp;$Z314&amp;IF($Y314&lt;=TODAY()," is due TODAY ("," is due next business day (")&amp;TEXT($Y314,"dd-mmm")&amp;").","Next: "&amp;$Z314&amp;" due "&amp;TEXT($Y314,"dd-mmm")&amp;" ("&amp;(NETWORKDAYS(TODAY(),$Y314,Holidays)-1)&amp;" business day(s) left).")))))</f>
        <v/>
      </c>
      <c r="V314" s="17">
        <f>IF($W314="","",CHOOSE($W314,"Collection Email","1st Follow-up","2nd Follow-up","Local Office","CBE","Roxanne")&amp;IF($W314=6," - Final"," - Day "&amp;MAX(0,NETWORKDAYS($X314,TODAY(),Holidays)-1)&amp;" of "&amp;CHOOSE($W314,3,3,2,2,3))&amp;" | Total Day "&amp;MAX(0,NETWORKDAYS($L314,TODAY(),Holidays)-1))</f>
        <v/>
      </c>
      <c r="W314" s="17">
        <f>IF($L314="","",COUNT($L314:$Q314))</f>
        <v/>
      </c>
      <c r="X314" s="18">
        <f>IF($W314="","",INT(INDEX($L314:$Q314,$W314)))</f>
        <v/>
      </c>
      <c r="Y314" s="18">
        <f>IF(OR($W314="",$W314=6),"",WORKDAY($X314,CHOOSE($W314,3,3,2,2,3),Holidays))</f>
        <v/>
      </c>
      <c r="Z314" s="17">
        <f>IF(OR($W314="",$W314=6),"",CHOOSE($W314,"1st Email Follow-up","2nd Email Follow-up","Escalate Local Office","Escalate to CBE","Escalate to Roxanne"))</f>
        <v/>
      </c>
    </row>
    <row r="315" spans="18:26">
      <c r="R315" s="15"/>
      <c r="S315" s="16"/>
      <c r="T315" s="17">
        <f>IF(AND(COUNTA($A315:$K315)=0,$L315=""),"",IF($S315="Paid","PAID",IF($S315="Closed","CLOSED",IF($W315="","",IF($W315=6,"ESCALATED TO ROXANNE",IF(TODAY()&gt;$Y315,"OVERDUE",IF($Y315&lt;=WORKDAY(TODAY(),1,Holidays),"DUE TOMORROW",IF($W315=4,"ESCALATED TO LOCAL OFFICE",IF($W315=5,"ESCALATED TO CBE",IF($X315=TODAY(),"EMAIL SENT","MONITORING"))))))))))</f>
        <v/>
      </c>
      <c r="U315" s="17">
        <f>IF($T315="",IF(AND(COUNTA($A315:$K315)&gt;0,$L315=""),"Awaiting Collection Email time stamp.",""),IF(OR($T315="PAID",$T315="CLOSED"),IF($T315="PAID","Account paid. Action completed.","Account closed. No further action required."),CHOOSE($W315,"Collection Email","1st Email Follow-up","2nd Email Follow-up","Escalation to Local Office","Escalation to CBE","Escalation to Roxanne")&amp;" sent "&amp;TEXT($X315,"dd-mmm")&amp;". "&amp;IF($W315=6,"Final escalation completed.",IF($T315="OVERDUE","Next: "&amp;$Z315&amp;" was due "&amp;TEXT($Y315,"dd-mmm")&amp;" - "&amp;(NETWORKDAYS($Y315,TODAY(),Holidays)-1)&amp;" business day(s) late. Send now.",IF($T315="DUE TOMORROW","Next: "&amp;$Z315&amp;IF($Y315&lt;=TODAY()," is due TODAY ("," is due next business day (")&amp;TEXT($Y315,"dd-mmm")&amp;").","Next: "&amp;$Z315&amp;" due "&amp;TEXT($Y315,"dd-mmm")&amp;" ("&amp;(NETWORKDAYS(TODAY(),$Y315,Holidays)-1)&amp;" business day(s) left).")))))</f>
        <v/>
      </c>
      <c r="V315" s="17">
        <f>IF($W315="","",CHOOSE($W315,"Collection Email","1st Follow-up","2nd Follow-up","Local Office","CBE","Roxanne")&amp;IF($W315=6," - Final"," - Day "&amp;MAX(0,NETWORKDAYS($X315,TODAY(),Holidays)-1)&amp;" of "&amp;CHOOSE($W315,3,3,2,2,3))&amp;" | Total Day "&amp;MAX(0,NETWORKDAYS($L315,TODAY(),Holidays)-1))</f>
        <v/>
      </c>
      <c r="W315" s="17">
        <f>IF($L315="","",COUNT($L315:$Q315))</f>
        <v/>
      </c>
      <c r="X315" s="18">
        <f>IF($W315="","",INT(INDEX($L315:$Q315,$W315)))</f>
        <v/>
      </c>
      <c r="Y315" s="18">
        <f>IF(OR($W315="",$W315=6),"",WORKDAY($X315,CHOOSE($W315,3,3,2,2,3),Holidays))</f>
        <v/>
      </c>
      <c r="Z315" s="17">
        <f>IF(OR($W315="",$W315=6),"",CHOOSE($W315,"1st Email Follow-up","2nd Email Follow-up","Escalate Local Office","Escalate to CBE","Escalate to Roxanne"))</f>
        <v/>
      </c>
    </row>
    <row r="316" spans="18:26">
      <c r="R316" s="15"/>
      <c r="S316" s="16"/>
      <c r="T316" s="17">
        <f>IF(AND(COUNTA($A316:$K316)=0,$L316=""),"",IF($S316="Paid","PAID",IF($S316="Closed","CLOSED",IF($W316="","",IF($W316=6,"ESCALATED TO ROXANNE",IF(TODAY()&gt;$Y316,"OVERDUE",IF($Y316&lt;=WORKDAY(TODAY(),1,Holidays),"DUE TOMORROW",IF($W316=4,"ESCALATED TO LOCAL OFFICE",IF($W316=5,"ESCALATED TO CBE",IF($X316=TODAY(),"EMAIL SENT","MONITORING"))))))))))</f>
        <v/>
      </c>
      <c r="U316" s="17">
        <f>IF($T316="",IF(AND(COUNTA($A316:$K316)&gt;0,$L316=""),"Awaiting Collection Email time stamp.",""),IF(OR($T316="PAID",$T316="CLOSED"),IF($T316="PAID","Account paid. Action completed.","Account closed. No further action required."),CHOOSE($W316,"Collection Email","1st Email Follow-up","2nd Email Follow-up","Escalation to Local Office","Escalation to CBE","Escalation to Roxanne")&amp;" sent "&amp;TEXT($X316,"dd-mmm")&amp;". "&amp;IF($W316=6,"Final escalation completed.",IF($T316="OVERDUE","Next: "&amp;$Z316&amp;" was due "&amp;TEXT($Y316,"dd-mmm")&amp;" - "&amp;(NETWORKDAYS($Y316,TODAY(),Holidays)-1)&amp;" business day(s) late. Send now.",IF($T316="DUE TOMORROW","Next: "&amp;$Z316&amp;IF($Y316&lt;=TODAY()," is due TODAY ("," is due next business day (")&amp;TEXT($Y316,"dd-mmm")&amp;").","Next: "&amp;$Z316&amp;" due "&amp;TEXT($Y316,"dd-mmm")&amp;" ("&amp;(NETWORKDAYS(TODAY(),$Y316,Holidays)-1)&amp;" business day(s) left).")))))</f>
        <v/>
      </c>
      <c r="V316" s="17">
        <f>IF($W316="","",CHOOSE($W316,"Collection Email","1st Follow-up","2nd Follow-up","Local Office","CBE","Roxanne")&amp;IF($W316=6," - Final"," - Day "&amp;MAX(0,NETWORKDAYS($X316,TODAY(),Holidays)-1)&amp;" of "&amp;CHOOSE($W316,3,3,2,2,3))&amp;" | Total Day "&amp;MAX(0,NETWORKDAYS($L316,TODAY(),Holidays)-1))</f>
        <v/>
      </c>
      <c r="W316" s="17">
        <f>IF($L316="","",COUNT($L316:$Q316))</f>
        <v/>
      </c>
      <c r="X316" s="18">
        <f>IF($W316="","",INT(INDEX($L316:$Q316,$W316)))</f>
        <v/>
      </c>
      <c r="Y316" s="18">
        <f>IF(OR($W316="",$W316=6),"",WORKDAY($X316,CHOOSE($W316,3,3,2,2,3),Holidays))</f>
        <v/>
      </c>
      <c r="Z316" s="17">
        <f>IF(OR($W316="",$W316=6),"",CHOOSE($W316,"1st Email Follow-up","2nd Email Follow-up","Escalate Local Office","Escalate to CBE","Escalate to Roxanne"))</f>
        <v/>
      </c>
    </row>
    <row r="317" spans="18:26">
      <c r="R317" s="15"/>
      <c r="S317" s="16"/>
      <c r="T317" s="17">
        <f>IF(AND(COUNTA($A317:$K317)=0,$L317=""),"",IF($S317="Paid","PAID",IF($S317="Closed","CLOSED",IF($W317="","",IF($W317=6,"ESCALATED TO ROXANNE",IF(TODAY()&gt;$Y317,"OVERDUE",IF($Y317&lt;=WORKDAY(TODAY(),1,Holidays),"DUE TOMORROW",IF($W317=4,"ESCALATED TO LOCAL OFFICE",IF($W317=5,"ESCALATED TO CBE",IF($X317=TODAY(),"EMAIL SENT","MONITORING"))))))))))</f>
        <v/>
      </c>
      <c r="U317" s="17">
        <f>IF($T317="",IF(AND(COUNTA($A317:$K317)&gt;0,$L317=""),"Awaiting Collection Email time stamp.",""),IF(OR($T317="PAID",$T317="CLOSED"),IF($T317="PAID","Account paid. Action completed.","Account closed. No further action required."),CHOOSE($W317,"Collection Email","1st Email Follow-up","2nd Email Follow-up","Escalation to Local Office","Escalation to CBE","Escalation to Roxanne")&amp;" sent "&amp;TEXT($X317,"dd-mmm")&amp;". "&amp;IF($W317=6,"Final escalation completed.",IF($T317="OVERDUE","Next: "&amp;$Z317&amp;" was due "&amp;TEXT($Y317,"dd-mmm")&amp;" - "&amp;(NETWORKDAYS($Y317,TODAY(),Holidays)-1)&amp;" business day(s) late. Send now.",IF($T317="DUE TOMORROW","Next: "&amp;$Z317&amp;IF($Y317&lt;=TODAY()," is due TODAY ("," is due next business day (")&amp;TEXT($Y317,"dd-mmm")&amp;").","Next: "&amp;$Z317&amp;" due "&amp;TEXT($Y317,"dd-mmm")&amp;" ("&amp;(NETWORKDAYS(TODAY(),$Y317,Holidays)-1)&amp;" business day(s) left).")))))</f>
        <v/>
      </c>
      <c r="V317" s="17">
        <f>IF($W317="","",CHOOSE($W317,"Collection Email","1st Follow-up","2nd Follow-up","Local Office","CBE","Roxanne")&amp;IF($W317=6," - Final"," - Day "&amp;MAX(0,NETWORKDAYS($X317,TODAY(),Holidays)-1)&amp;" of "&amp;CHOOSE($W317,3,3,2,2,3))&amp;" | Total Day "&amp;MAX(0,NETWORKDAYS($L317,TODAY(),Holidays)-1))</f>
        <v/>
      </c>
      <c r="W317" s="17">
        <f>IF($L317="","",COUNT($L317:$Q317))</f>
        <v/>
      </c>
      <c r="X317" s="18">
        <f>IF($W317="","",INT(INDEX($L317:$Q317,$W317)))</f>
        <v/>
      </c>
      <c r="Y317" s="18">
        <f>IF(OR($W317="",$W317=6),"",WORKDAY($X317,CHOOSE($W317,3,3,2,2,3),Holidays))</f>
        <v/>
      </c>
      <c r="Z317" s="17">
        <f>IF(OR($W317="",$W317=6),"",CHOOSE($W317,"1st Email Follow-up","2nd Email Follow-up","Escalate Local Office","Escalate to CBE","Escalate to Roxanne"))</f>
        <v/>
      </c>
    </row>
    <row r="318" spans="18:26">
      <c r="R318" s="15"/>
      <c r="S318" s="16"/>
      <c r="T318" s="17">
        <f>IF(AND(COUNTA($A318:$K318)=0,$L318=""),"",IF($S318="Paid","PAID",IF($S318="Closed","CLOSED",IF($W318="","",IF($W318=6,"ESCALATED TO ROXANNE",IF(TODAY()&gt;$Y318,"OVERDUE",IF($Y318&lt;=WORKDAY(TODAY(),1,Holidays),"DUE TOMORROW",IF($W318=4,"ESCALATED TO LOCAL OFFICE",IF($W318=5,"ESCALATED TO CBE",IF($X318=TODAY(),"EMAIL SENT","MONITORING"))))))))))</f>
        <v/>
      </c>
      <c r="U318" s="17">
        <f>IF($T318="",IF(AND(COUNTA($A318:$K318)&gt;0,$L318=""),"Awaiting Collection Email time stamp.",""),IF(OR($T318="PAID",$T318="CLOSED"),IF($T318="PAID","Account paid. Action completed.","Account closed. No further action required."),CHOOSE($W318,"Collection Email","1st Email Follow-up","2nd Email Follow-up","Escalation to Local Office","Escalation to CBE","Escalation to Roxanne")&amp;" sent "&amp;TEXT($X318,"dd-mmm")&amp;". "&amp;IF($W318=6,"Final escalation completed.",IF($T318="OVERDUE","Next: "&amp;$Z318&amp;" was due "&amp;TEXT($Y318,"dd-mmm")&amp;" - "&amp;(NETWORKDAYS($Y318,TODAY(),Holidays)-1)&amp;" business day(s) late. Send now.",IF($T318="DUE TOMORROW","Next: "&amp;$Z318&amp;IF($Y318&lt;=TODAY()," is due TODAY ("," is due next business day (")&amp;TEXT($Y318,"dd-mmm")&amp;").","Next: "&amp;$Z318&amp;" due "&amp;TEXT($Y318,"dd-mmm")&amp;" ("&amp;(NETWORKDAYS(TODAY(),$Y318,Holidays)-1)&amp;" business day(s) left).")))))</f>
        <v/>
      </c>
      <c r="V318" s="17">
        <f>IF($W318="","",CHOOSE($W318,"Collection Email","1st Follow-up","2nd Follow-up","Local Office","CBE","Roxanne")&amp;IF($W318=6," - Final"," - Day "&amp;MAX(0,NETWORKDAYS($X318,TODAY(),Holidays)-1)&amp;" of "&amp;CHOOSE($W318,3,3,2,2,3))&amp;" | Total Day "&amp;MAX(0,NETWORKDAYS($L318,TODAY(),Holidays)-1))</f>
        <v/>
      </c>
      <c r="W318" s="17">
        <f>IF($L318="","",COUNT($L318:$Q318))</f>
        <v/>
      </c>
      <c r="X318" s="18">
        <f>IF($W318="","",INT(INDEX($L318:$Q318,$W318)))</f>
        <v/>
      </c>
      <c r="Y318" s="18">
        <f>IF(OR($W318="",$W318=6),"",WORKDAY($X318,CHOOSE($W318,3,3,2,2,3),Holidays))</f>
        <v/>
      </c>
      <c r="Z318" s="17">
        <f>IF(OR($W318="",$W318=6),"",CHOOSE($W318,"1st Email Follow-up","2nd Email Follow-up","Escalate Local Office","Escalate to CBE","Escalate to Roxanne"))</f>
        <v/>
      </c>
    </row>
    <row r="319" spans="18:26">
      <c r="R319" s="15"/>
      <c r="S319" s="16"/>
      <c r="T319" s="17">
        <f>IF(AND(COUNTA($A319:$K319)=0,$L319=""),"",IF($S319="Paid","PAID",IF($S319="Closed","CLOSED",IF($W319="","",IF($W319=6,"ESCALATED TO ROXANNE",IF(TODAY()&gt;$Y319,"OVERDUE",IF($Y319&lt;=WORKDAY(TODAY(),1,Holidays),"DUE TOMORROW",IF($W319=4,"ESCALATED TO LOCAL OFFICE",IF($W319=5,"ESCALATED TO CBE",IF($X319=TODAY(),"EMAIL SENT","MONITORING"))))))))))</f>
        <v/>
      </c>
      <c r="U319" s="17">
        <f>IF($T319="",IF(AND(COUNTA($A319:$K319)&gt;0,$L319=""),"Awaiting Collection Email time stamp.",""),IF(OR($T319="PAID",$T319="CLOSED"),IF($T319="PAID","Account paid. Action completed.","Account closed. No further action required."),CHOOSE($W319,"Collection Email","1st Email Follow-up","2nd Email Follow-up","Escalation to Local Office","Escalation to CBE","Escalation to Roxanne")&amp;" sent "&amp;TEXT($X319,"dd-mmm")&amp;". "&amp;IF($W319=6,"Final escalation completed.",IF($T319="OVERDUE","Next: "&amp;$Z319&amp;" was due "&amp;TEXT($Y319,"dd-mmm")&amp;" - "&amp;(NETWORKDAYS($Y319,TODAY(),Holidays)-1)&amp;" business day(s) late. Send now.",IF($T319="DUE TOMORROW","Next: "&amp;$Z319&amp;IF($Y319&lt;=TODAY()," is due TODAY ("," is due next business day (")&amp;TEXT($Y319,"dd-mmm")&amp;").","Next: "&amp;$Z319&amp;" due "&amp;TEXT($Y319,"dd-mmm")&amp;" ("&amp;(NETWORKDAYS(TODAY(),$Y319,Holidays)-1)&amp;" business day(s) left).")))))</f>
        <v/>
      </c>
      <c r="V319" s="17">
        <f>IF($W319="","",CHOOSE($W319,"Collection Email","1st Follow-up","2nd Follow-up","Local Office","CBE","Roxanne")&amp;IF($W319=6," - Final"," - Day "&amp;MAX(0,NETWORKDAYS($X319,TODAY(),Holidays)-1)&amp;" of "&amp;CHOOSE($W319,3,3,2,2,3))&amp;" | Total Day "&amp;MAX(0,NETWORKDAYS($L319,TODAY(),Holidays)-1))</f>
        <v/>
      </c>
      <c r="W319" s="17">
        <f>IF($L319="","",COUNT($L319:$Q319))</f>
        <v/>
      </c>
      <c r="X319" s="18">
        <f>IF($W319="","",INT(INDEX($L319:$Q319,$W319)))</f>
        <v/>
      </c>
      <c r="Y319" s="18">
        <f>IF(OR($W319="",$W319=6),"",WORKDAY($X319,CHOOSE($W319,3,3,2,2,3),Holidays))</f>
        <v/>
      </c>
      <c r="Z319" s="17">
        <f>IF(OR($W319="",$W319=6),"",CHOOSE($W319,"1st Email Follow-up","2nd Email Follow-up","Escalate Local Office","Escalate to CBE","Escalate to Roxanne"))</f>
        <v/>
      </c>
    </row>
    <row r="320" spans="18:26">
      <c r="R320" s="15"/>
      <c r="S320" s="16"/>
      <c r="T320" s="17">
        <f>IF(AND(COUNTA($A320:$K320)=0,$L320=""),"",IF($S320="Paid","PAID",IF($S320="Closed","CLOSED",IF($W320="","",IF($W320=6,"ESCALATED TO ROXANNE",IF(TODAY()&gt;$Y320,"OVERDUE",IF($Y320&lt;=WORKDAY(TODAY(),1,Holidays),"DUE TOMORROW",IF($W320=4,"ESCALATED TO LOCAL OFFICE",IF($W320=5,"ESCALATED TO CBE",IF($X320=TODAY(),"EMAIL SENT","MONITORING"))))))))))</f>
        <v/>
      </c>
      <c r="U320" s="17">
        <f>IF($T320="",IF(AND(COUNTA($A320:$K320)&gt;0,$L320=""),"Awaiting Collection Email time stamp.",""),IF(OR($T320="PAID",$T320="CLOSED"),IF($T320="PAID","Account paid. Action completed.","Account closed. No further action required."),CHOOSE($W320,"Collection Email","1st Email Follow-up","2nd Email Follow-up","Escalation to Local Office","Escalation to CBE","Escalation to Roxanne")&amp;" sent "&amp;TEXT($X320,"dd-mmm")&amp;". "&amp;IF($W320=6,"Final escalation completed.",IF($T320="OVERDUE","Next: "&amp;$Z320&amp;" was due "&amp;TEXT($Y320,"dd-mmm")&amp;" - "&amp;(NETWORKDAYS($Y320,TODAY(),Holidays)-1)&amp;" business day(s) late. Send now.",IF($T320="DUE TOMORROW","Next: "&amp;$Z320&amp;IF($Y320&lt;=TODAY()," is due TODAY ("," is due next business day (")&amp;TEXT($Y320,"dd-mmm")&amp;").","Next: "&amp;$Z320&amp;" due "&amp;TEXT($Y320,"dd-mmm")&amp;" ("&amp;(NETWORKDAYS(TODAY(),$Y320,Holidays)-1)&amp;" business day(s) left).")))))</f>
        <v/>
      </c>
      <c r="V320" s="17">
        <f>IF($W320="","",CHOOSE($W320,"Collection Email","1st Follow-up","2nd Follow-up","Local Office","CBE","Roxanne")&amp;IF($W320=6," - Final"," - Day "&amp;MAX(0,NETWORKDAYS($X320,TODAY(),Holidays)-1)&amp;" of "&amp;CHOOSE($W320,3,3,2,2,3))&amp;" | Total Day "&amp;MAX(0,NETWORKDAYS($L320,TODAY(),Holidays)-1))</f>
        <v/>
      </c>
      <c r="W320" s="17">
        <f>IF($L320="","",COUNT($L320:$Q320))</f>
        <v/>
      </c>
      <c r="X320" s="18">
        <f>IF($W320="","",INT(INDEX($L320:$Q320,$W320)))</f>
        <v/>
      </c>
      <c r="Y320" s="18">
        <f>IF(OR($W320="",$W320=6),"",WORKDAY($X320,CHOOSE($W320,3,3,2,2,3),Holidays))</f>
        <v/>
      </c>
      <c r="Z320" s="17">
        <f>IF(OR($W320="",$W320=6),"",CHOOSE($W320,"1st Email Follow-up","2nd Email Follow-up","Escalate Local Office","Escalate to CBE","Escalate to Roxanne"))</f>
        <v/>
      </c>
    </row>
    <row r="321" spans="18:26">
      <c r="R321" s="15"/>
      <c r="S321" s="16"/>
      <c r="T321" s="17">
        <f>IF(AND(COUNTA($A321:$K321)=0,$L321=""),"",IF($S321="Paid","PAID",IF($S321="Closed","CLOSED",IF($W321="","",IF($W321=6,"ESCALATED TO ROXANNE",IF(TODAY()&gt;$Y321,"OVERDUE",IF($Y321&lt;=WORKDAY(TODAY(),1,Holidays),"DUE TOMORROW",IF($W321=4,"ESCALATED TO LOCAL OFFICE",IF($W321=5,"ESCALATED TO CBE",IF($X321=TODAY(),"EMAIL SENT","MONITORING"))))))))))</f>
        <v/>
      </c>
      <c r="U321" s="17">
        <f>IF($T321="",IF(AND(COUNTA($A321:$K321)&gt;0,$L321=""),"Awaiting Collection Email time stamp.",""),IF(OR($T321="PAID",$T321="CLOSED"),IF($T321="PAID","Account paid. Action completed.","Account closed. No further action required."),CHOOSE($W321,"Collection Email","1st Email Follow-up","2nd Email Follow-up","Escalation to Local Office","Escalation to CBE","Escalation to Roxanne")&amp;" sent "&amp;TEXT($X321,"dd-mmm")&amp;". "&amp;IF($W321=6,"Final escalation completed.",IF($T321="OVERDUE","Next: "&amp;$Z321&amp;" was due "&amp;TEXT($Y321,"dd-mmm")&amp;" - "&amp;(NETWORKDAYS($Y321,TODAY(),Holidays)-1)&amp;" business day(s) late. Send now.",IF($T321="DUE TOMORROW","Next: "&amp;$Z321&amp;IF($Y321&lt;=TODAY()," is due TODAY ("," is due next business day (")&amp;TEXT($Y321,"dd-mmm")&amp;").","Next: "&amp;$Z321&amp;" due "&amp;TEXT($Y321,"dd-mmm")&amp;" ("&amp;(NETWORKDAYS(TODAY(),$Y321,Holidays)-1)&amp;" business day(s) left).")))))</f>
        <v/>
      </c>
      <c r="V321" s="17">
        <f>IF($W321="","",CHOOSE($W321,"Collection Email","1st Follow-up","2nd Follow-up","Local Office","CBE","Roxanne")&amp;IF($W321=6," - Final"," - Day "&amp;MAX(0,NETWORKDAYS($X321,TODAY(),Holidays)-1)&amp;" of "&amp;CHOOSE($W321,3,3,2,2,3))&amp;" | Total Day "&amp;MAX(0,NETWORKDAYS($L321,TODAY(),Holidays)-1))</f>
        <v/>
      </c>
      <c r="W321" s="17">
        <f>IF($L321="","",COUNT($L321:$Q321))</f>
        <v/>
      </c>
      <c r="X321" s="18">
        <f>IF($W321="","",INT(INDEX($L321:$Q321,$W321)))</f>
        <v/>
      </c>
      <c r="Y321" s="18">
        <f>IF(OR($W321="",$W321=6),"",WORKDAY($X321,CHOOSE($W321,3,3,2,2,3),Holidays))</f>
        <v/>
      </c>
      <c r="Z321" s="17">
        <f>IF(OR($W321="",$W321=6),"",CHOOSE($W321,"1st Email Follow-up","2nd Email Follow-up","Escalate Local Office","Escalate to CBE","Escalate to Roxanne"))</f>
        <v/>
      </c>
    </row>
    <row r="322" spans="18:26">
      <c r="R322" s="15"/>
      <c r="S322" s="16"/>
      <c r="T322" s="17">
        <f>IF(AND(COUNTA($A322:$K322)=0,$L322=""),"",IF($S322="Paid","PAID",IF($S322="Closed","CLOSED",IF($W322="","",IF($W322=6,"ESCALATED TO ROXANNE",IF(TODAY()&gt;$Y322,"OVERDUE",IF($Y322&lt;=WORKDAY(TODAY(),1,Holidays),"DUE TOMORROW",IF($W322=4,"ESCALATED TO LOCAL OFFICE",IF($W322=5,"ESCALATED TO CBE",IF($X322=TODAY(),"EMAIL SENT","MONITORING"))))))))))</f>
        <v/>
      </c>
      <c r="U322" s="17">
        <f>IF($T322="",IF(AND(COUNTA($A322:$K322)&gt;0,$L322=""),"Awaiting Collection Email time stamp.",""),IF(OR($T322="PAID",$T322="CLOSED"),IF($T322="PAID","Account paid. Action completed.","Account closed. No further action required."),CHOOSE($W322,"Collection Email","1st Email Follow-up","2nd Email Follow-up","Escalation to Local Office","Escalation to CBE","Escalation to Roxanne")&amp;" sent "&amp;TEXT($X322,"dd-mmm")&amp;". "&amp;IF($W322=6,"Final escalation completed.",IF($T322="OVERDUE","Next: "&amp;$Z322&amp;" was due "&amp;TEXT($Y322,"dd-mmm")&amp;" - "&amp;(NETWORKDAYS($Y322,TODAY(),Holidays)-1)&amp;" business day(s) late. Send now.",IF($T322="DUE TOMORROW","Next: "&amp;$Z322&amp;IF($Y322&lt;=TODAY()," is due TODAY ("," is due next business day (")&amp;TEXT($Y322,"dd-mmm")&amp;").","Next: "&amp;$Z322&amp;" due "&amp;TEXT($Y322,"dd-mmm")&amp;" ("&amp;(NETWORKDAYS(TODAY(),$Y322,Holidays)-1)&amp;" business day(s) left).")))))</f>
        <v/>
      </c>
      <c r="V322" s="17">
        <f>IF($W322="","",CHOOSE($W322,"Collection Email","1st Follow-up","2nd Follow-up","Local Office","CBE","Roxanne")&amp;IF($W322=6," - Final"," - Day "&amp;MAX(0,NETWORKDAYS($X322,TODAY(),Holidays)-1)&amp;" of "&amp;CHOOSE($W322,3,3,2,2,3))&amp;" | Total Day "&amp;MAX(0,NETWORKDAYS($L322,TODAY(),Holidays)-1))</f>
        <v/>
      </c>
      <c r="W322" s="17">
        <f>IF($L322="","",COUNT($L322:$Q322))</f>
        <v/>
      </c>
      <c r="X322" s="18">
        <f>IF($W322="","",INT(INDEX($L322:$Q322,$W322)))</f>
        <v/>
      </c>
      <c r="Y322" s="18">
        <f>IF(OR($W322="",$W322=6),"",WORKDAY($X322,CHOOSE($W322,3,3,2,2,3),Holidays))</f>
        <v/>
      </c>
      <c r="Z322" s="17">
        <f>IF(OR($W322="",$W322=6),"",CHOOSE($W322,"1st Email Follow-up","2nd Email Follow-up","Escalate Local Office","Escalate to CBE","Escalate to Roxanne"))</f>
        <v/>
      </c>
    </row>
    <row r="323" spans="18:26">
      <c r="R323" s="15"/>
      <c r="S323" s="16"/>
      <c r="T323" s="17">
        <f>IF(AND(COUNTA($A323:$K323)=0,$L323=""),"",IF($S323="Paid","PAID",IF($S323="Closed","CLOSED",IF($W323="","",IF($W323=6,"ESCALATED TO ROXANNE",IF(TODAY()&gt;$Y323,"OVERDUE",IF($Y323&lt;=WORKDAY(TODAY(),1,Holidays),"DUE TOMORROW",IF($W323=4,"ESCALATED TO LOCAL OFFICE",IF($W323=5,"ESCALATED TO CBE",IF($X323=TODAY(),"EMAIL SENT","MONITORING"))))))))))</f>
        <v/>
      </c>
      <c r="U323" s="17">
        <f>IF($T323="",IF(AND(COUNTA($A323:$K323)&gt;0,$L323=""),"Awaiting Collection Email time stamp.",""),IF(OR($T323="PAID",$T323="CLOSED"),IF($T323="PAID","Account paid. Action completed.","Account closed. No further action required."),CHOOSE($W323,"Collection Email","1st Email Follow-up","2nd Email Follow-up","Escalation to Local Office","Escalation to CBE","Escalation to Roxanne")&amp;" sent "&amp;TEXT($X323,"dd-mmm")&amp;". "&amp;IF($W323=6,"Final escalation completed.",IF($T323="OVERDUE","Next: "&amp;$Z323&amp;" was due "&amp;TEXT($Y323,"dd-mmm")&amp;" - "&amp;(NETWORKDAYS($Y323,TODAY(),Holidays)-1)&amp;" business day(s) late. Send now.",IF($T323="DUE TOMORROW","Next: "&amp;$Z323&amp;IF($Y323&lt;=TODAY()," is due TODAY ("," is due next business day (")&amp;TEXT($Y323,"dd-mmm")&amp;").","Next: "&amp;$Z323&amp;" due "&amp;TEXT($Y323,"dd-mmm")&amp;" ("&amp;(NETWORKDAYS(TODAY(),$Y323,Holidays)-1)&amp;" business day(s) left).")))))</f>
        <v/>
      </c>
      <c r="V323" s="17">
        <f>IF($W323="","",CHOOSE($W323,"Collection Email","1st Follow-up","2nd Follow-up","Local Office","CBE","Roxanne")&amp;IF($W323=6," - Final"," - Day "&amp;MAX(0,NETWORKDAYS($X323,TODAY(),Holidays)-1)&amp;" of "&amp;CHOOSE($W323,3,3,2,2,3))&amp;" | Total Day "&amp;MAX(0,NETWORKDAYS($L323,TODAY(),Holidays)-1))</f>
        <v/>
      </c>
      <c r="W323" s="17">
        <f>IF($L323="","",COUNT($L323:$Q323))</f>
        <v/>
      </c>
      <c r="X323" s="18">
        <f>IF($W323="","",INT(INDEX($L323:$Q323,$W323)))</f>
        <v/>
      </c>
      <c r="Y323" s="18">
        <f>IF(OR($W323="",$W323=6),"",WORKDAY($X323,CHOOSE($W323,3,3,2,2,3),Holidays))</f>
        <v/>
      </c>
      <c r="Z323" s="17">
        <f>IF(OR($W323="",$W323=6),"",CHOOSE($W323,"1st Email Follow-up","2nd Email Follow-up","Escalate Local Office","Escalate to CBE","Escalate to Roxanne"))</f>
        <v/>
      </c>
    </row>
    <row r="324" spans="18:26">
      <c r="R324" s="15"/>
      <c r="S324" s="16"/>
      <c r="T324" s="17">
        <f>IF(AND(COUNTA($A324:$K324)=0,$L324=""),"",IF($S324="Paid","PAID",IF($S324="Closed","CLOSED",IF($W324="","",IF($W324=6,"ESCALATED TO ROXANNE",IF(TODAY()&gt;$Y324,"OVERDUE",IF($Y324&lt;=WORKDAY(TODAY(),1,Holidays),"DUE TOMORROW",IF($W324=4,"ESCALATED TO LOCAL OFFICE",IF($W324=5,"ESCALATED TO CBE",IF($X324=TODAY(),"EMAIL SENT","MONITORING"))))))))))</f>
        <v/>
      </c>
      <c r="U324" s="17">
        <f>IF($T324="",IF(AND(COUNTA($A324:$K324)&gt;0,$L324=""),"Awaiting Collection Email time stamp.",""),IF(OR($T324="PAID",$T324="CLOSED"),IF($T324="PAID","Account paid. Action completed.","Account closed. No further action required."),CHOOSE($W324,"Collection Email","1st Email Follow-up","2nd Email Follow-up","Escalation to Local Office","Escalation to CBE","Escalation to Roxanne")&amp;" sent "&amp;TEXT($X324,"dd-mmm")&amp;". "&amp;IF($W324=6,"Final escalation completed.",IF($T324="OVERDUE","Next: "&amp;$Z324&amp;" was due "&amp;TEXT($Y324,"dd-mmm")&amp;" - "&amp;(NETWORKDAYS($Y324,TODAY(),Holidays)-1)&amp;" business day(s) late. Send now.",IF($T324="DUE TOMORROW","Next: "&amp;$Z324&amp;IF($Y324&lt;=TODAY()," is due TODAY ("," is due next business day (")&amp;TEXT($Y324,"dd-mmm")&amp;").","Next: "&amp;$Z324&amp;" due "&amp;TEXT($Y324,"dd-mmm")&amp;" ("&amp;(NETWORKDAYS(TODAY(),$Y324,Holidays)-1)&amp;" business day(s) left).")))))</f>
        <v/>
      </c>
      <c r="V324" s="17">
        <f>IF($W324="","",CHOOSE($W324,"Collection Email","1st Follow-up","2nd Follow-up","Local Office","CBE","Roxanne")&amp;IF($W324=6," - Final"," - Day "&amp;MAX(0,NETWORKDAYS($X324,TODAY(),Holidays)-1)&amp;" of "&amp;CHOOSE($W324,3,3,2,2,3))&amp;" | Total Day "&amp;MAX(0,NETWORKDAYS($L324,TODAY(),Holidays)-1))</f>
        <v/>
      </c>
      <c r="W324" s="17">
        <f>IF($L324="","",COUNT($L324:$Q324))</f>
        <v/>
      </c>
      <c r="X324" s="18">
        <f>IF($W324="","",INT(INDEX($L324:$Q324,$W324)))</f>
        <v/>
      </c>
      <c r="Y324" s="18">
        <f>IF(OR($W324="",$W324=6),"",WORKDAY($X324,CHOOSE($W324,3,3,2,2,3),Holidays))</f>
        <v/>
      </c>
      <c r="Z324" s="17">
        <f>IF(OR($W324="",$W324=6),"",CHOOSE($W324,"1st Email Follow-up","2nd Email Follow-up","Escalate Local Office","Escalate to CBE","Escalate to Roxanne"))</f>
        <v/>
      </c>
    </row>
    <row r="325" spans="18:26">
      <c r="R325" s="15"/>
      <c r="S325" s="16"/>
      <c r="T325" s="17">
        <f>IF(AND(COUNTA($A325:$K325)=0,$L325=""),"",IF($S325="Paid","PAID",IF($S325="Closed","CLOSED",IF($W325="","",IF($W325=6,"ESCALATED TO ROXANNE",IF(TODAY()&gt;$Y325,"OVERDUE",IF($Y325&lt;=WORKDAY(TODAY(),1,Holidays),"DUE TOMORROW",IF($W325=4,"ESCALATED TO LOCAL OFFICE",IF($W325=5,"ESCALATED TO CBE",IF($X325=TODAY(),"EMAIL SENT","MONITORING"))))))))))</f>
        <v/>
      </c>
      <c r="U325" s="17">
        <f>IF($T325="",IF(AND(COUNTA($A325:$K325)&gt;0,$L325=""),"Awaiting Collection Email time stamp.",""),IF(OR($T325="PAID",$T325="CLOSED"),IF($T325="PAID","Account paid. Action completed.","Account closed. No further action required."),CHOOSE($W325,"Collection Email","1st Email Follow-up","2nd Email Follow-up","Escalation to Local Office","Escalation to CBE","Escalation to Roxanne")&amp;" sent "&amp;TEXT($X325,"dd-mmm")&amp;". "&amp;IF($W325=6,"Final escalation completed.",IF($T325="OVERDUE","Next: "&amp;$Z325&amp;" was due "&amp;TEXT($Y325,"dd-mmm")&amp;" - "&amp;(NETWORKDAYS($Y325,TODAY(),Holidays)-1)&amp;" business day(s) late. Send now.",IF($T325="DUE TOMORROW","Next: "&amp;$Z325&amp;IF($Y325&lt;=TODAY()," is due TODAY ("," is due next business day (")&amp;TEXT($Y325,"dd-mmm")&amp;").","Next: "&amp;$Z325&amp;" due "&amp;TEXT($Y325,"dd-mmm")&amp;" ("&amp;(NETWORKDAYS(TODAY(),$Y325,Holidays)-1)&amp;" business day(s) left).")))))</f>
        <v/>
      </c>
      <c r="V325" s="17">
        <f>IF($W325="","",CHOOSE($W325,"Collection Email","1st Follow-up","2nd Follow-up","Local Office","CBE","Roxanne")&amp;IF($W325=6," - Final"," - Day "&amp;MAX(0,NETWORKDAYS($X325,TODAY(),Holidays)-1)&amp;" of "&amp;CHOOSE($W325,3,3,2,2,3))&amp;" | Total Day "&amp;MAX(0,NETWORKDAYS($L325,TODAY(),Holidays)-1))</f>
        <v/>
      </c>
      <c r="W325" s="17">
        <f>IF($L325="","",COUNT($L325:$Q325))</f>
        <v/>
      </c>
      <c r="X325" s="18">
        <f>IF($W325="","",INT(INDEX($L325:$Q325,$W325)))</f>
        <v/>
      </c>
      <c r="Y325" s="18">
        <f>IF(OR($W325="",$W325=6),"",WORKDAY($X325,CHOOSE($W325,3,3,2,2,3),Holidays))</f>
        <v/>
      </c>
      <c r="Z325" s="17">
        <f>IF(OR($W325="",$W325=6),"",CHOOSE($W325,"1st Email Follow-up","2nd Email Follow-up","Escalate Local Office","Escalate to CBE","Escalate to Roxanne"))</f>
        <v/>
      </c>
    </row>
    <row r="326" spans="18:26">
      <c r="R326" s="15"/>
      <c r="S326" s="16"/>
      <c r="T326" s="17">
        <f>IF(AND(COUNTA($A326:$K326)=0,$L326=""),"",IF($S326="Paid","PAID",IF($S326="Closed","CLOSED",IF($W326="","",IF($W326=6,"ESCALATED TO ROXANNE",IF(TODAY()&gt;$Y326,"OVERDUE",IF($Y326&lt;=WORKDAY(TODAY(),1,Holidays),"DUE TOMORROW",IF($W326=4,"ESCALATED TO LOCAL OFFICE",IF($W326=5,"ESCALATED TO CBE",IF($X326=TODAY(),"EMAIL SENT","MONITORING"))))))))))</f>
        <v/>
      </c>
      <c r="U326" s="17">
        <f>IF($T326="",IF(AND(COUNTA($A326:$K326)&gt;0,$L326=""),"Awaiting Collection Email time stamp.",""),IF(OR($T326="PAID",$T326="CLOSED"),IF($T326="PAID","Account paid. Action completed.","Account closed. No further action required."),CHOOSE($W326,"Collection Email","1st Email Follow-up","2nd Email Follow-up","Escalation to Local Office","Escalation to CBE","Escalation to Roxanne")&amp;" sent "&amp;TEXT($X326,"dd-mmm")&amp;". "&amp;IF($W326=6,"Final escalation completed.",IF($T326="OVERDUE","Next: "&amp;$Z326&amp;" was due "&amp;TEXT($Y326,"dd-mmm")&amp;" - "&amp;(NETWORKDAYS($Y326,TODAY(),Holidays)-1)&amp;" business day(s) late. Send now.",IF($T326="DUE TOMORROW","Next: "&amp;$Z326&amp;IF($Y326&lt;=TODAY()," is due TODAY ("," is due next business day (")&amp;TEXT($Y326,"dd-mmm")&amp;").","Next: "&amp;$Z326&amp;" due "&amp;TEXT($Y326,"dd-mmm")&amp;" ("&amp;(NETWORKDAYS(TODAY(),$Y326,Holidays)-1)&amp;" business day(s) left).")))))</f>
        <v/>
      </c>
      <c r="V326" s="17">
        <f>IF($W326="","",CHOOSE($W326,"Collection Email","1st Follow-up","2nd Follow-up","Local Office","CBE","Roxanne")&amp;IF($W326=6," - Final"," - Day "&amp;MAX(0,NETWORKDAYS($X326,TODAY(),Holidays)-1)&amp;" of "&amp;CHOOSE($W326,3,3,2,2,3))&amp;" | Total Day "&amp;MAX(0,NETWORKDAYS($L326,TODAY(),Holidays)-1))</f>
        <v/>
      </c>
      <c r="W326" s="17">
        <f>IF($L326="","",COUNT($L326:$Q326))</f>
        <v/>
      </c>
      <c r="X326" s="18">
        <f>IF($W326="","",INT(INDEX($L326:$Q326,$W326)))</f>
        <v/>
      </c>
      <c r="Y326" s="18">
        <f>IF(OR($W326="",$W326=6),"",WORKDAY($X326,CHOOSE($W326,3,3,2,2,3),Holidays))</f>
        <v/>
      </c>
      <c r="Z326" s="17">
        <f>IF(OR($W326="",$W326=6),"",CHOOSE($W326,"1st Email Follow-up","2nd Email Follow-up","Escalate Local Office","Escalate to CBE","Escalate to Roxanne"))</f>
        <v/>
      </c>
    </row>
    <row r="327" spans="18:26">
      <c r="R327" s="15"/>
      <c r="S327" s="16"/>
      <c r="T327" s="17">
        <f>IF(AND(COUNTA($A327:$K327)=0,$L327=""),"",IF($S327="Paid","PAID",IF($S327="Closed","CLOSED",IF($W327="","",IF($W327=6,"ESCALATED TO ROXANNE",IF(TODAY()&gt;$Y327,"OVERDUE",IF($Y327&lt;=WORKDAY(TODAY(),1,Holidays),"DUE TOMORROW",IF($W327=4,"ESCALATED TO LOCAL OFFICE",IF($W327=5,"ESCALATED TO CBE",IF($X327=TODAY(),"EMAIL SENT","MONITORING"))))))))))</f>
        <v/>
      </c>
      <c r="U327" s="17">
        <f>IF($T327="",IF(AND(COUNTA($A327:$K327)&gt;0,$L327=""),"Awaiting Collection Email time stamp.",""),IF(OR($T327="PAID",$T327="CLOSED"),IF($T327="PAID","Account paid. Action completed.","Account closed. No further action required."),CHOOSE($W327,"Collection Email","1st Email Follow-up","2nd Email Follow-up","Escalation to Local Office","Escalation to CBE","Escalation to Roxanne")&amp;" sent "&amp;TEXT($X327,"dd-mmm")&amp;". "&amp;IF($W327=6,"Final escalation completed.",IF($T327="OVERDUE","Next: "&amp;$Z327&amp;" was due "&amp;TEXT($Y327,"dd-mmm")&amp;" - "&amp;(NETWORKDAYS($Y327,TODAY(),Holidays)-1)&amp;" business day(s) late. Send now.",IF($T327="DUE TOMORROW","Next: "&amp;$Z327&amp;IF($Y327&lt;=TODAY()," is due TODAY ("," is due next business day (")&amp;TEXT($Y327,"dd-mmm")&amp;").","Next: "&amp;$Z327&amp;" due "&amp;TEXT($Y327,"dd-mmm")&amp;" ("&amp;(NETWORKDAYS(TODAY(),$Y327,Holidays)-1)&amp;" business day(s) left).")))))</f>
        <v/>
      </c>
      <c r="V327" s="17">
        <f>IF($W327="","",CHOOSE($W327,"Collection Email","1st Follow-up","2nd Follow-up","Local Office","CBE","Roxanne")&amp;IF($W327=6," - Final"," - Day "&amp;MAX(0,NETWORKDAYS($X327,TODAY(),Holidays)-1)&amp;" of "&amp;CHOOSE($W327,3,3,2,2,3))&amp;" | Total Day "&amp;MAX(0,NETWORKDAYS($L327,TODAY(),Holidays)-1))</f>
        <v/>
      </c>
      <c r="W327" s="17">
        <f>IF($L327="","",COUNT($L327:$Q327))</f>
        <v/>
      </c>
      <c r="X327" s="18">
        <f>IF($W327="","",INT(INDEX($L327:$Q327,$W327)))</f>
        <v/>
      </c>
      <c r="Y327" s="18">
        <f>IF(OR($W327="",$W327=6),"",WORKDAY($X327,CHOOSE($W327,3,3,2,2,3),Holidays))</f>
        <v/>
      </c>
      <c r="Z327" s="17">
        <f>IF(OR($W327="",$W327=6),"",CHOOSE($W327,"1st Email Follow-up","2nd Email Follow-up","Escalate Local Office","Escalate to CBE","Escalate to Roxanne"))</f>
        <v/>
      </c>
    </row>
    <row r="328" spans="18:26">
      <c r="R328" s="15"/>
      <c r="S328" s="16"/>
      <c r="T328" s="17">
        <f>IF(AND(COUNTA($A328:$K328)=0,$L328=""),"",IF($S328="Paid","PAID",IF($S328="Closed","CLOSED",IF($W328="","",IF($W328=6,"ESCALATED TO ROXANNE",IF(TODAY()&gt;$Y328,"OVERDUE",IF($Y328&lt;=WORKDAY(TODAY(),1,Holidays),"DUE TOMORROW",IF($W328=4,"ESCALATED TO LOCAL OFFICE",IF($W328=5,"ESCALATED TO CBE",IF($X328=TODAY(),"EMAIL SENT","MONITORING"))))))))))</f>
        <v/>
      </c>
      <c r="U328" s="17">
        <f>IF($T328="",IF(AND(COUNTA($A328:$K328)&gt;0,$L328=""),"Awaiting Collection Email time stamp.",""),IF(OR($T328="PAID",$T328="CLOSED"),IF($T328="PAID","Account paid. Action completed.","Account closed. No further action required."),CHOOSE($W328,"Collection Email","1st Email Follow-up","2nd Email Follow-up","Escalation to Local Office","Escalation to CBE","Escalation to Roxanne")&amp;" sent "&amp;TEXT($X328,"dd-mmm")&amp;". "&amp;IF($W328=6,"Final escalation completed.",IF($T328="OVERDUE","Next: "&amp;$Z328&amp;" was due "&amp;TEXT($Y328,"dd-mmm")&amp;" - "&amp;(NETWORKDAYS($Y328,TODAY(),Holidays)-1)&amp;" business day(s) late. Send now.",IF($T328="DUE TOMORROW","Next: "&amp;$Z328&amp;IF($Y328&lt;=TODAY()," is due TODAY ("," is due next business day (")&amp;TEXT($Y328,"dd-mmm")&amp;").","Next: "&amp;$Z328&amp;" due "&amp;TEXT($Y328,"dd-mmm")&amp;" ("&amp;(NETWORKDAYS(TODAY(),$Y328,Holidays)-1)&amp;" business day(s) left).")))))</f>
        <v/>
      </c>
      <c r="V328" s="17">
        <f>IF($W328="","",CHOOSE($W328,"Collection Email","1st Follow-up","2nd Follow-up","Local Office","CBE","Roxanne")&amp;IF($W328=6," - Final"," - Day "&amp;MAX(0,NETWORKDAYS($X328,TODAY(),Holidays)-1)&amp;" of "&amp;CHOOSE($W328,3,3,2,2,3))&amp;" | Total Day "&amp;MAX(0,NETWORKDAYS($L328,TODAY(),Holidays)-1))</f>
        <v/>
      </c>
      <c r="W328" s="17">
        <f>IF($L328="","",COUNT($L328:$Q328))</f>
        <v/>
      </c>
      <c r="X328" s="18">
        <f>IF($W328="","",INT(INDEX($L328:$Q328,$W328)))</f>
        <v/>
      </c>
      <c r="Y328" s="18">
        <f>IF(OR($W328="",$W328=6),"",WORKDAY($X328,CHOOSE($W328,3,3,2,2,3),Holidays))</f>
        <v/>
      </c>
      <c r="Z328" s="17">
        <f>IF(OR($W328="",$W328=6),"",CHOOSE($W328,"1st Email Follow-up","2nd Email Follow-up","Escalate Local Office","Escalate to CBE","Escalate to Roxanne"))</f>
        <v/>
      </c>
    </row>
    <row r="329" spans="18:26">
      <c r="R329" s="15"/>
      <c r="S329" s="16"/>
      <c r="T329" s="17">
        <f>IF(AND(COUNTA($A329:$K329)=0,$L329=""),"",IF($S329="Paid","PAID",IF($S329="Closed","CLOSED",IF($W329="","",IF($W329=6,"ESCALATED TO ROXANNE",IF(TODAY()&gt;$Y329,"OVERDUE",IF($Y329&lt;=WORKDAY(TODAY(),1,Holidays),"DUE TOMORROW",IF($W329=4,"ESCALATED TO LOCAL OFFICE",IF($W329=5,"ESCALATED TO CBE",IF($X329=TODAY(),"EMAIL SENT","MONITORING"))))))))))</f>
        <v/>
      </c>
      <c r="U329" s="17">
        <f>IF($T329="",IF(AND(COUNTA($A329:$K329)&gt;0,$L329=""),"Awaiting Collection Email time stamp.",""),IF(OR($T329="PAID",$T329="CLOSED"),IF($T329="PAID","Account paid. Action completed.","Account closed. No further action required."),CHOOSE($W329,"Collection Email","1st Email Follow-up","2nd Email Follow-up","Escalation to Local Office","Escalation to CBE","Escalation to Roxanne")&amp;" sent "&amp;TEXT($X329,"dd-mmm")&amp;". "&amp;IF($W329=6,"Final escalation completed.",IF($T329="OVERDUE","Next: "&amp;$Z329&amp;" was due "&amp;TEXT($Y329,"dd-mmm")&amp;" - "&amp;(NETWORKDAYS($Y329,TODAY(),Holidays)-1)&amp;" business day(s) late. Send now.",IF($T329="DUE TOMORROW","Next: "&amp;$Z329&amp;IF($Y329&lt;=TODAY()," is due TODAY ("," is due next business day (")&amp;TEXT($Y329,"dd-mmm")&amp;").","Next: "&amp;$Z329&amp;" due "&amp;TEXT($Y329,"dd-mmm")&amp;" ("&amp;(NETWORKDAYS(TODAY(),$Y329,Holidays)-1)&amp;" business day(s) left).")))))</f>
        <v/>
      </c>
      <c r="V329" s="17">
        <f>IF($W329="","",CHOOSE($W329,"Collection Email","1st Follow-up","2nd Follow-up","Local Office","CBE","Roxanne")&amp;IF($W329=6," - Final"," - Day "&amp;MAX(0,NETWORKDAYS($X329,TODAY(),Holidays)-1)&amp;" of "&amp;CHOOSE($W329,3,3,2,2,3))&amp;" | Total Day "&amp;MAX(0,NETWORKDAYS($L329,TODAY(),Holidays)-1))</f>
        <v/>
      </c>
      <c r="W329" s="17">
        <f>IF($L329="","",COUNT($L329:$Q329))</f>
        <v/>
      </c>
      <c r="X329" s="18">
        <f>IF($W329="","",INT(INDEX($L329:$Q329,$W329)))</f>
        <v/>
      </c>
      <c r="Y329" s="18">
        <f>IF(OR($W329="",$W329=6),"",WORKDAY($X329,CHOOSE($W329,3,3,2,2,3),Holidays))</f>
        <v/>
      </c>
      <c r="Z329" s="17">
        <f>IF(OR($W329="",$W329=6),"",CHOOSE($W329,"1st Email Follow-up","2nd Email Follow-up","Escalate Local Office","Escalate to CBE","Escalate to Roxanne"))</f>
        <v/>
      </c>
    </row>
    <row r="330" spans="18:26">
      <c r="R330" s="15"/>
      <c r="S330" s="16"/>
      <c r="T330" s="17">
        <f>IF(AND(COUNTA($A330:$K330)=0,$L330=""),"",IF($S330="Paid","PAID",IF($S330="Closed","CLOSED",IF($W330="","",IF($W330=6,"ESCALATED TO ROXANNE",IF(TODAY()&gt;$Y330,"OVERDUE",IF($Y330&lt;=WORKDAY(TODAY(),1,Holidays),"DUE TOMORROW",IF($W330=4,"ESCALATED TO LOCAL OFFICE",IF($W330=5,"ESCALATED TO CBE",IF($X330=TODAY(),"EMAIL SENT","MONITORING"))))))))))</f>
        <v/>
      </c>
      <c r="U330" s="17">
        <f>IF($T330="",IF(AND(COUNTA($A330:$K330)&gt;0,$L330=""),"Awaiting Collection Email time stamp.",""),IF(OR($T330="PAID",$T330="CLOSED"),IF($T330="PAID","Account paid. Action completed.","Account closed. No further action required."),CHOOSE($W330,"Collection Email","1st Email Follow-up","2nd Email Follow-up","Escalation to Local Office","Escalation to CBE","Escalation to Roxanne")&amp;" sent "&amp;TEXT($X330,"dd-mmm")&amp;". "&amp;IF($W330=6,"Final escalation completed.",IF($T330="OVERDUE","Next: "&amp;$Z330&amp;" was due "&amp;TEXT($Y330,"dd-mmm")&amp;" - "&amp;(NETWORKDAYS($Y330,TODAY(),Holidays)-1)&amp;" business day(s) late. Send now.",IF($T330="DUE TOMORROW","Next: "&amp;$Z330&amp;IF($Y330&lt;=TODAY()," is due TODAY ("," is due next business day (")&amp;TEXT($Y330,"dd-mmm")&amp;").","Next: "&amp;$Z330&amp;" due "&amp;TEXT($Y330,"dd-mmm")&amp;" ("&amp;(NETWORKDAYS(TODAY(),$Y330,Holidays)-1)&amp;" business day(s) left).")))))</f>
        <v/>
      </c>
      <c r="V330" s="17">
        <f>IF($W330="","",CHOOSE($W330,"Collection Email","1st Follow-up","2nd Follow-up","Local Office","CBE","Roxanne")&amp;IF($W330=6," - Final"," - Day "&amp;MAX(0,NETWORKDAYS($X330,TODAY(),Holidays)-1)&amp;" of "&amp;CHOOSE($W330,3,3,2,2,3))&amp;" | Total Day "&amp;MAX(0,NETWORKDAYS($L330,TODAY(),Holidays)-1))</f>
        <v/>
      </c>
      <c r="W330" s="17">
        <f>IF($L330="","",COUNT($L330:$Q330))</f>
        <v/>
      </c>
      <c r="X330" s="18">
        <f>IF($W330="","",INT(INDEX($L330:$Q330,$W330)))</f>
        <v/>
      </c>
      <c r="Y330" s="18">
        <f>IF(OR($W330="",$W330=6),"",WORKDAY($X330,CHOOSE($W330,3,3,2,2,3),Holidays))</f>
        <v/>
      </c>
      <c r="Z330" s="17">
        <f>IF(OR($W330="",$W330=6),"",CHOOSE($W330,"1st Email Follow-up","2nd Email Follow-up","Escalate Local Office","Escalate to CBE","Escalate to Roxanne"))</f>
        <v/>
      </c>
    </row>
    <row r="331" spans="18:26">
      <c r="R331" s="15"/>
      <c r="S331" s="16"/>
      <c r="T331" s="17">
        <f>IF(AND(COUNTA($A331:$K331)=0,$L331=""),"",IF($S331="Paid","PAID",IF($S331="Closed","CLOSED",IF($W331="","",IF($W331=6,"ESCALATED TO ROXANNE",IF(TODAY()&gt;$Y331,"OVERDUE",IF($Y331&lt;=WORKDAY(TODAY(),1,Holidays),"DUE TOMORROW",IF($W331=4,"ESCALATED TO LOCAL OFFICE",IF($W331=5,"ESCALATED TO CBE",IF($X331=TODAY(),"EMAIL SENT","MONITORING"))))))))))</f>
        <v/>
      </c>
      <c r="U331" s="17">
        <f>IF($T331="",IF(AND(COUNTA($A331:$K331)&gt;0,$L331=""),"Awaiting Collection Email time stamp.",""),IF(OR($T331="PAID",$T331="CLOSED"),IF($T331="PAID","Account paid. Action completed.","Account closed. No further action required."),CHOOSE($W331,"Collection Email","1st Email Follow-up","2nd Email Follow-up","Escalation to Local Office","Escalation to CBE","Escalation to Roxanne")&amp;" sent "&amp;TEXT($X331,"dd-mmm")&amp;". "&amp;IF($W331=6,"Final escalation completed.",IF($T331="OVERDUE","Next: "&amp;$Z331&amp;" was due "&amp;TEXT($Y331,"dd-mmm")&amp;" - "&amp;(NETWORKDAYS($Y331,TODAY(),Holidays)-1)&amp;" business day(s) late. Send now.",IF($T331="DUE TOMORROW","Next: "&amp;$Z331&amp;IF($Y331&lt;=TODAY()," is due TODAY ("," is due next business day (")&amp;TEXT($Y331,"dd-mmm")&amp;").","Next: "&amp;$Z331&amp;" due "&amp;TEXT($Y331,"dd-mmm")&amp;" ("&amp;(NETWORKDAYS(TODAY(),$Y331,Holidays)-1)&amp;" business day(s) left).")))))</f>
        <v/>
      </c>
      <c r="V331" s="17">
        <f>IF($W331="","",CHOOSE($W331,"Collection Email","1st Follow-up","2nd Follow-up","Local Office","CBE","Roxanne")&amp;IF($W331=6," - Final"," - Day "&amp;MAX(0,NETWORKDAYS($X331,TODAY(),Holidays)-1)&amp;" of "&amp;CHOOSE($W331,3,3,2,2,3))&amp;" | Total Day "&amp;MAX(0,NETWORKDAYS($L331,TODAY(),Holidays)-1))</f>
        <v/>
      </c>
      <c r="W331" s="17">
        <f>IF($L331="","",COUNT($L331:$Q331))</f>
        <v/>
      </c>
      <c r="X331" s="18">
        <f>IF($W331="","",INT(INDEX($L331:$Q331,$W331)))</f>
        <v/>
      </c>
      <c r="Y331" s="18">
        <f>IF(OR($W331="",$W331=6),"",WORKDAY($X331,CHOOSE($W331,3,3,2,2,3),Holidays))</f>
        <v/>
      </c>
      <c r="Z331" s="17">
        <f>IF(OR($W331="",$W331=6),"",CHOOSE($W331,"1st Email Follow-up","2nd Email Follow-up","Escalate Local Office","Escalate to CBE","Escalate to Roxanne"))</f>
        <v/>
      </c>
    </row>
    <row r="332" spans="18:26">
      <c r="R332" s="15"/>
      <c r="S332" s="16"/>
      <c r="T332" s="17">
        <f>IF(AND(COUNTA($A332:$K332)=0,$L332=""),"",IF($S332="Paid","PAID",IF($S332="Closed","CLOSED",IF($W332="","",IF($W332=6,"ESCALATED TO ROXANNE",IF(TODAY()&gt;$Y332,"OVERDUE",IF($Y332&lt;=WORKDAY(TODAY(),1,Holidays),"DUE TOMORROW",IF($W332=4,"ESCALATED TO LOCAL OFFICE",IF($W332=5,"ESCALATED TO CBE",IF($X332=TODAY(),"EMAIL SENT","MONITORING"))))))))))</f>
        <v/>
      </c>
      <c r="U332" s="17">
        <f>IF($T332="",IF(AND(COUNTA($A332:$K332)&gt;0,$L332=""),"Awaiting Collection Email time stamp.",""),IF(OR($T332="PAID",$T332="CLOSED"),IF($T332="PAID","Account paid. Action completed.","Account closed. No further action required."),CHOOSE($W332,"Collection Email","1st Email Follow-up","2nd Email Follow-up","Escalation to Local Office","Escalation to CBE","Escalation to Roxanne")&amp;" sent "&amp;TEXT($X332,"dd-mmm")&amp;". "&amp;IF($W332=6,"Final escalation completed.",IF($T332="OVERDUE","Next: "&amp;$Z332&amp;" was due "&amp;TEXT($Y332,"dd-mmm")&amp;" - "&amp;(NETWORKDAYS($Y332,TODAY(),Holidays)-1)&amp;" business day(s) late. Send now.",IF($T332="DUE TOMORROW","Next: "&amp;$Z332&amp;IF($Y332&lt;=TODAY()," is due TODAY ("," is due next business day (")&amp;TEXT($Y332,"dd-mmm")&amp;").","Next: "&amp;$Z332&amp;" due "&amp;TEXT($Y332,"dd-mmm")&amp;" ("&amp;(NETWORKDAYS(TODAY(),$Y332,Holidays)-1)&amp;" business day(s) left).")))))</f>
        <v/>
      </c>
      <c r="V332" s="17">
        <f>IF($W332="","",CHOOSE($W332,"Collection Email","1st Follow-up","2nd Follow-up","Local Office","CBE","Roxanne")&amp;IF($W332=6," - Final"," - Day "&amp;MAX(0,NETWORKDAYS($X332,TODAY(),Holidays)-1)&amp;" of "&amp;CHOOSE($W332,3,3,2,2,3))&amp;" | Total Day "&amp;MAX(0,NETWORKDAYS($L332,TODAY(),Holidays)-1))</f>
        <v/>
      </c>
      <c r="W332" s="17">
        <f>IF($L332="","",COUNT($L332:$Q332))</f>
        <v/>
      </c>
      <c r="X332" s="18">
        <f>IF($W332="","",INT(INDEX($L332:$Q332,$W332)))</f>
        <v/>
      </c>
      <c r="Y332" s="18">
        <f>IF(OR($W332="",$W332=6),"",WORKDAY($X332,CHOOSE($W332,3,3,2,2,3),Holidays))</f>
        <v/>
      </c>
      <c r="Z332" s="17">
        <f>IF(OR($W332="",$W332=6),"",CHOOSE($W332,"1st Email Follow-up","2nd Email Follow-up","Escalate Local Office","Escalate to CBE","Escalate to Roxanne"))</f>
        <v/>
      </c>
    </row>
    <row r="333" spans="18:26">
      <c r="R333" s="15"/>
      <c r="S333" s="16"/>
      <c r="T333" s="17">
        <f>IF(AND(COUNTA($A333:$K333)=0,$L333=""),"",IF($S333="Paid","PAID",IF($S333="Closed","CLOSED",IF($W333="","",IF($W333=6,"ESCALATED TO ROXANNE",IF(TODAY()&gt;$Y333,"OVERDUE",IF($Y333&lt;=WORKDAY(TODAY(),1,Holidays),"DUE TOMORROW",IF($W333=4,"ESCALATED TO LOCAL OFFICE",IF($W333=5,"ESCALATED TO CBE",IF($X333=TODAY(),"EMAIL SENT","MONITORING"))))))))))</f>
        <v/>
      </c>
      <c r="U333" s="17">
        <f>IF($T333="",IF(AND(COUNTA($A333:$K333)&gt;0,$L333=""),"Awaiting Collection Email time stamp.",""),IF(OR($T333="PAID",$T333="CLOSED"),IF($T333="PAID","Account paid. Action completed.","Account closed. No further action required."),CHOOSE($W333,"Collection Email","1st Email Follow-up","2nd Email Follow-up","Escalation to Local Office","Escalation to CBE","Escalation to Roxanne")&amp;" sent "&amp;TEXT($X333,"dd-mmm")&amp;". "&amp;IF($W333=6,"Final escalation completed.",IF($T333="OVERDUE","Next: "&amp;$Z333&amp;" was due "&amp;TEXT($Y333,"dd-mmm")&amp;" - "&amp;(NETWORKDAYS($Y333,TODAY(),Holidays)-1)&amp;" business day(s) late. Send now.",IF($T333="DUE TOMORROW","Next: "&amp;$Z333&amp;IF($Y333&lt;=TODAY()," is due TODAY ("," is due next business day (")&amp;TEXT($Y333,"dd-mmm")&amp;").","Next: "&amp;$Z333&amp;" due "&amp;TEXT($Y333,"dd-mmm")&amp;" ("&amp;(NETWORKDAYS(TODAY(),$Y333,Holidays)-1)&amp;" business day(s) left).")))))</f>
        <v/>
      </c>
      <c r="V333" s="17">
        <f>IF($W333="","",CHOOSE($W333,"Collection Email","1st Follow-up","2nd Follow-up","Local Office","CBE","Roxanne")&amp;IF($W333=6," - Final"," - Day "&amp;MAX(0,NETWORKDAYS($X333,TODAY(),Holidays)-1)&amp;" of "&amp;CHOOSE($W333,3,3,2,2,3))&amp;" | Total Day "&amp;MAX(0,NETWORKDAYS($L333,TODAY(),Holidays)-1))</f>
        <v/>
      </c>
      <c r="W333" s="17">
        <f>IF($L333="","",COUNT($L333:$Q333))</f>
        <v/>
      </c>
      <c r="X333" s="18">
        <f>IF($W333="","",INT(INDEX($L333:$Q333,$W333)))</f>
        <v/>
      </c>
      <c r="Y333" s="18">
        <f>IF(OR($W333="",$W333=6),"",WORKDAY($X333,CHOOSE($W333,3,3,2,2,3),Holidays))</f>
        <v/>
      </c>
      <c r="Z333" s="17">
        <f>IF(OR($W333="",$W333=6),"",CHOOSE($W333,"1st Email Follow-up","2nd Email Follow-up","Escalate Local Office","Escalate to CBE","Escalate to Roxanne"))</f>
        <v/>
      </c>
    </row>
    <row r="334" spans="18:26">
      <c r="R334" s="15"/>
      <c r="S334" s="16"/>
      <c r="T334" s="17">
        <f>IF(AND(COUNTA($A334:$K334)=0,$L334=""),"",IF($S334="Paid","PAID",IF($S334="Closed","CLOSED",IF($W334="","",IF($W334=6,"ESCALATED TO ROXANNE",IF(TODAY()&gt;$Y334,"OVERDUE",IF($Y334&lt;=WORKDAY(TODAY(),1,Holidays),"DUE TOMORROW",IF($W334=4,"ESCALATED TO LOCAL OFFICE",IF($W334=5,"ESCALATED TO CBE",IF($X334=TODAY(),"EMAIL SENT","MONITORING"))))))))))</f>
        <v/>
      </c>
      <c r="U334" s="17">
        <f>IF($T334="",IF(AND(COUNTA($A334:$K334)&gt;0,$L334=""),"Awaiting Collection Email time stamp.",""),IF(OR($T334="PAID",$T334="CLOSED"),IF($T334="PAID","Account paid. Action completed.","Account closed. No further action required."),CHOOSE($W334,"Collection Email","1st Email Follow-up","2nd Email Follow-up","Escalation to Local Office","Escalation to CBE","Escalation to Roxanne")&amp;" sent "&amp;TEXT($X334,"dd-mmm")&amp;". "&amp;IF($W334=6,"Final escalation completed.",IF($T334="OVERDUE","Next: "&amp;$Z334&amp;" was due "&amp;TEXT($Y334,"dd-mmm")&amp;" - "&amp;(NETWORKDAYS($Y334,TODAY(),Holidays)-1)&amp;" business day(s) late. Send now.",IF($T334="DUE TOMORROW","Next: "&amp;$Z334&amp;IF($Y334&lt;=TODAY()," is due TODAY ("," is due next business day (")&amp;TEXT($Y334,"dd-mmm")&amp;").","Next: "&amp;$Z334&amp;" due "&amp;TEXT($Y334,"dd-mmm")&amp;" ("&amp;(NETWORKDAYS(TODAY(),$Y334,Holidays)-1)&amp;" business day(s) left).")))))</f>
        <v/>
      </c>
      <c r="V334" s="17">
        <f>IF($W334="","",CHOOSE($W334,"Collection Email","1st Follow-up","2nd Follow-up","Local Office","CBE","Roxanne")&amp;IF($W334=6," - Final"," - Day "&amp;MAX(0,NETWORKDAYS($X334,TODAY(),Holidays)-1)&amp;" of "&amp;CHOOSE($W334,3,3,2,2,3))&amp;" | Total Day "&amp;MAX(0,NETWORKDAYS($L334,TODAY(),Holidays)-1))</f>
        <v/>
      </c>
      <c r="W334" s="17">
        <f>IF($L334="","",COUNT($L334:$Q334))</f>
        <v/>
      </c>
      <c r="X334" s="18">
        <f>IF($W334="","",INT(INDEX($L334:$Q334,$W334)))</f>
        <v/>
      </c>
      <c r="Y334" s="18">
        <f>IF(OR($W334="",$W334=6),"",WORKDAY($X334,CHOOSE($W334,3,3,2,2,3),Holidays))</f>
        <v/>
      </c>
      <c r="Z334" s="17">
        <f>IF(OR($W334="",$W334=6),"",CHOOSE($W334,"1st Email Follow-up","2nd Email Follow-up","Escalate Local Office","Escalate to CBE","Escalate to Roxanne"))</f>
        <v/>
      </c>
    </row>
    <row r="335" spans="18:26">
      <c r="R335" s="15"/>
      <c r="S335" s="16"/>
      <c r="T335" s="17">
        <f>IF(AND(COUNTA($A335:$K335)=0,$L335=""),"",IF($S335="Paid","PAID",IF($S335="Closed","CLOSED",IF($W335="","",IF($W335=6,"ESCALATED TO ROXANNE",IF(TODAY()&gt;$Y335,"OVERDUE",IF($Y335&lt;=WORKDAY(TODAY(),1,Holidays),"DUE TOMORROW",IF($W335=4,"ESCALATED TO LOCAL OFFICE",IF($W335=5,"ESCALATED TO CBE",IF($X335=TODAY(),"EMAIL SENT","MONITORING"))))))))))</f>
        <v/>
      </c>
      <c r="U335" s="17">
        <f>IF($T335="",IF(AND(COUNTA($A335:$K335)&gt;0,$L335=""),"Awaiting Collection Email time stamp.",""),IF(OR($T335="PAID",$T335="CLOSED"),IF($T335="PAID","Account paid. Action completed.","Account closed. No further action required."),CHOOSE($W335,"Collection Email","1st Email Follow-up","2nd Email Follow-up","Escalation to Local Office","Escalation to CBE","Escalation to Roxanne")&amp;" sent "&amp;TEXT($X335,"dd-mmm")&amp;". "&amp;IF($W335=6,"Final escalation completed.",IF($T335="OVERDUE","Next: "&amp;$Z335&amp;" was due "&amp;TEXT($Y335,"dd-mmm")&amp;" - "&amp;(NETWORKDAYS($Y335,TODAY(),Holidays)-1)&amp;" business day(s) late. Send now.",IF($T335="DUE TOMORROW","Next: "&amp;$Z335&amp;IF($Y335&lt;=TODAY()," is due TODAY ("," is due next business day (")&amp;TEXT($Y335,"dd-mmm")&amp;").","Next: "&amp;$Z335&amp;" due "&amp;TEXT($Y335,"dd-mmm")&amp;" ("&amp;(NETWORKDAYS(TODAY(),$Y335,Holidays)-1)&amp;" business day(s) left).")))))</f>
        <v/>
      </c>
      <c r="V335" s="17">
        <f>IF($W335="","",CHOOSE($W335,"Collection Email","1st Follow-up","2nd Follow-up","Local Office","CBE","Roxanne")&amp;IF($W335=6," - Final"," - Day "&amp;MAX(0,NETWORKDAYS($X335,TODAY(),Holidays)-1)&amp;" of "&amp;CHOOSE($W335,3,3,2,2,3))&amp;" | Total Day "&amp;MAX(0,NETWORKDAYS($L335,TODAY(),Holidays)-1))</f>
        <v/>
      </c>
      <c r="W335" s="17">
        <f>IF($L335="","",COUNT($L335:$Q335))</f>
        <v/>
      </c>
      <c r="X335" s="18">
        <f>IF($W335="","",INT(INDEX($L335:$Q335,$W335)))</f>
        <v/>
      </c>
      <c r="Y335" s="18">
        <f>IF(OR($W335="",$W335=6),"",WORKDAY($X335,CHOOSE($W335,3,3,2,2,3),Holidays))</f>
        <v/>
      </c>
      <c r="Z335" s="17">
        <f>IF(OR($W335="",$W335=6),"",CHOOSE($W335,"1st Email Follow-up","2nd Email Follow-up","Escalate Local Office","Escalate to CBE","Escalate to Roxanne"))</f>
        <v/>
      </c>
    </row>
    <row r="336" spans="18:26">
      <c r="R336" s="15"/>
      <c r="S336" s="16"/>
      <c r="T336" s="17">
        <f>IF(AND(COUNTA($A336:$K336)=0,$L336=""),"",IF($S336="Paid","PAID",IF($S336="Closed","CLOSED",IF($W336="","",IF($W336=6,"ESCALATED TO ROXANNE",IF(TODAY()&gt;$Y336,"OVERDUE",IF($Y336&lt;=WORKDAY(TODAY(),1,Holidays),"DUE TOMORROW",IF($W336=4,"ESCALATED TO LOCAL OFFICE",IF($W336=5,"ESCALATED TO CBE",IF($X336=TODAY(),"EMAIL SENT","MONITORING"))))))))))</f>
        <v/>
      </c>
      <c r="U336" s="17">
        <f>IF($T336="",IF(AND(COUNTA($A336:$K336)&gt;0,$L336=""),"Awaiting Collection Email time stamp.",""),IF(OR($T336="PAID",$T336="CLOSED"),IF($T336="PAID","Account paid. Action completed.","Account closed. No further action required."),CHOOSE($W336,"Collection Email","1st Email Follow-up","2nd Email Follow-up","Escalation to Local Office","Escalation to CBE","Escalation to Roxanne")&amp;" sent "&amp;TEXT($X336,"dd-mmm")&amp;". "&amp;IF($W336=6,"Final escalation completed.",IF($T336="OVERDUE","Next: "&amp;$Z336&amp;" was due "&amp;TEXT($Y336,"dd-mmm")&amp;" - "&amp;(NETWORKDAYS($Y336,TODAY(),Holidays)-1)&amp;" business day(s) late. Send now.",IF($T336="DUE TOMORROW","Next: "&amp;$Z336&amp;IF($Y336&lt;=TODAY()," is due TODAY ("," is due next business day (")&amp;TEXT($Y336,"dd-mmm")&amp;").","Next: "&amp;$Z336&amp;" due "&amp;TEXT($Y336,"dd-mmm")&amp;" ("&amp;(NETWORKDAYS(TODAY(),$Y336,Holidays)-1)&amp;" business day(s) left).")))))</f>
        <v/>
      </c>
      <c r="V336" s="17">
        <f>IF($W336="","",CHOOSE($W336,"Collection Email","1st Follow-up","2nd Follow-up","Local Office","CBE","Roxanne")&amp;IF($W336=6," - Final"," - Day "&amp;MAX(0,NETWORKDAYS($X336,TODAY(),Holidays)-1)&amp;" of "&amp;CHOOSE($W336,3,3,2,2,3))&amp;" | Total Day "&amp;MAX(0,NETWORKDAYS($L336,TODAY(),Holidays)-1))</f>
        <v/>
      </c>
      <c r="W336" s="17">
        <f>IF($L336="","",COUNT($L336:$Q336))</f>
        <v/>
      </c>
      <c r="X336" s="18">
        <f>IF($W336="","",INT(INDEX($L336:$Q336,$W336)))</f>
        <v/>
      </c>
      <c r="Y336" s="18">
        <f>IF(OR($W336="",$W336=6),"",WORKDAY($X336,CHOOSE($W336,3,3,2,2,3),Holidays))</f>
        <v/>
      </c>
      <c r="Z336" s="17">
        <f>IF(OR($W336="",$W336=6),"",CHOOSE($W336,"1st Email Follow-up","2nd Email Follow-up","Escalate Local Office","Escalate to CBE","Escalate to Roxanne"))</f>
        <v/>
      </c>
    </row>
    <row r="337" spans="18:26">
      <c r="R337" s="15"/>
      <c r="S337" s="16"/>
      <c r="T337" s="17">
        <f>IF(AND(COUNTA($A337:$K337)=0,$L337=""),"",IF($S337="Paid","PAID",IF($S337="Closed","CLOSED",IF($W337="","",IF($W337=6,"ESCALATED TO ROXANNE",IF(TODAY()&gt;$Y337,"OVERDUE",IF($Y337&lt;=WORKDAY(TODAY(),1,Holidays),"DUE TOMORROW",IF($W337=4,"ESCALATED TO LOCAL OFFICE",IF($W337=5,"ESCALATED TO CBE",IF($X337=TODAY(),"EMAIL SENT","MONITORING"))))))))))</f>
        <v/>
      </c>
      <c r="U337" s="17">
        <f>IF($T337="",IF(AND(COUNTA($A337:$K337)&gt;0,$L337=""),"Awaiting Collection Email time stamp.",""),IF(OR($T337="PAID",$T337="CLOSED"),IF($T337="PAID","Account paid. Action completed.","Account closed. No further action required."),CHOOSE($W337,"Collection Email","1st Email Follow-up","2nd Email Follow-up","Escalation to Local Office","Escalation to CBE","Escalation to Roxanne")&amp;" sent "&amp;TEXT($X337,"dd-mmm")&amp;". "&amp;IF($W337=6,"Final escalation completed.",IF($T337="OVERDUE","Next: "&amp;$Z337&amp;" was due "&amp;TEXT($Y337,"dd-mmm")&amp;" - "&amp;(NETWORKDAYS($Y337,TODAY(),Holidays)-1)&amp;" business day(s) late. Send now.",IF($T337="DUE TOMORROW","Next: "&amp;$Z337&amp;IF($Y337&lt;=TODAY()," is due TODAY ("," is due next business day (")&amp;TEXT($Y337,"dd-mmm")&amp;").","Next: "&amp;$Z337&amp;" due "&amp;TEXT($Y337,"dd-mmm")&amp;" ("&amp;(NETWORKDAYS(TODAY(),$Y337,Holidays)-1)&amp;" business day(s) left).")))))</f>
        <v/>
      </c>
      <c r="V337" s="17">
        <f>IF($W337="","",CHOOSE($W337,"Collection Email","1st Follow-up","2nd Follow-up","Local Office","CBE","Roxanne")&amp;IF($W337=6," - Final"," - Day "&amp;MAX(0,NETWORKDAYS($X337,TODAY(),Holidays)-1)&amp;" of "&amp;CHOOSE($W337,3,3,2,2,3))&amp;" | Total Day "&amp;MAX(0,NETWORKDAYS($L337,TODAY(),Holidays)-1))</f>
        <v/>
      </c>
      <c r="W337" s="17">
        <f>IF($L337="","",COUNT($L337:$Q337))</f>
        <v/>
      </c>
      <c r="X337" s="18">
        <f>IF($W337="","",INT(INDEX($L337:$Q337,$W337)))</f>
        <v/>
      </c>
      <c r="Y337" s="18">
        <f>IF(OR($W337="",$W337=6),"",WORKDAY($X337,CHOOSE($W337,3,3,2,2,3),Holidays))</f>
        <v/>
      </c>
      <c r="Z337" s="17">
        <f>IF(OR($W337="",$W337=6),"",CHOOSE($W337,"1st Email Follow-up","2nd Email Follow-up","Escalate Local Office","Escalate to CBE","Escalate to Roxanne"))</f>
        <v/>
      </c>
    </row>
    <row r="338" spans="18:26">
      <c r="R338" s="15"/>
      <c r="S338" s="16"/>
      <c r="T338" s="17">
        <f>IF(AND(COUNTA($A338:$K338)=0,$L338=""),"",IF($S338="Paid","PAID",IF($S338="Closed","CLOSED",IF($W338="","",IF($W338=6,"ESCALATED TO ROXANNE",IF(TODAY()&gt;$Y338,"OVERDUE",IF($Y338&lt;=WORKDAY(TODAY(),1,Holidays),"DUE TOMORROW",IF($W338=4,"ESCALATED TO LOCAL OFFICE",IF($W338=5,"ESCALATED TO CBE",IF($X338=TODAY(),"EMAIL SENT","MONITORING"))))))))))</f>
        <v/>
      </c>
      <c r="U338" s="17">
        <f>IF($T338="",IF(AND(COUNTA($A338:$K338)&gt;0,$L338=""),"Awaiting Collection Email time stamp.",""),IF(OR($T338="PAID",$T338="CLOSED"),IF($T338="PAID","Account paid. Action completed.","Account closed. No further action required."),CHOOSE($W338,"Collection Email","1st Email Follow-up","2nd Email Follow-up","Escalation to Local Office","Escalation to CBE","Escalation to Roxanne")&amp;" sent "&amp;TEXT($X338,"dd-mmm")&amp;". "&amp;IF($W338=6,"Final escalation completed.",IF($T338="OVERDUE","Next: "&amp;$Z338&amp;" was due "&amp;TEXT($Y338,"dd-mmm")&amp;" - "&amp;(NETWORKDAYS($Y338,TODAY(),Holidays)-1)&amp;" business day(s) late. Send now.",IF($T338="DUE TOMORROW","Next: "&amp;$Z338&amp;IF($Y338&lt;=TODAY()," is due TODAY ("," is due next business day (")&amp;TEXT($Y338,"dd-mmm")&amp;").","Next: "&amp;$Z338&amp;" due "&amp;TEXT($Y338,"dd-mmm")&amp;" ("&amp;(NETWORKDAYS(TODAY(),$Y338,Holidays)-1)&amp;" business day(s) left).")))))</f>
        <v/>
      </c>
      <c r="V338" s="17">
        <f>IF($W338="","",CHOOSE($W338,"Collection Email","1st Follow-up","2nd Follow-up","Local Office","CBE","Roxanne")&amp;IF($W338=6," - Final"," - Day "&amp;MAX(0,NETWORKDAYS($X338,TODAY(),Holidays)-1)&amp;" of "&amp;CHOOSE($W338,3,3,2,2,3))&amp;" | Total Day "&amp;MAX(0,NETWORKDAYS($L338,TODAY(),Holidays)-1))</f>
        <v/>
      </c>
      <c r="W338" s="17">
        <f>IF($L338="","",COUNT($L338:$Q338))</f>
        <v/>
      </c>
      <c r="X338" s="18">
        <f>IF($W338="","",INT(INDEX($L338:$Q338,$W338)))</f>
        <v/>
      </c>
      <c r="Y338" s="18">
        <f>IF(OR($W338="",$W338=6),"",WORKDAY($X338,CHOOSE($W338,3,3,2,2,3),Holidays))</f>
        <v/>
      </c>
      <c r="Z338" s="17">
        <f>IF(OR($W338="",$W338=6),"",CHOOSE($W338,"1st Email Follow-up","2nd Email Follow-up","Escalate Local Office","Escalate to CBE","Escalate to Roxanne"))</f>
        <v/>
      </c>
    </row>
    <row r="339" spans="18:26">
      <c r="R339" s="15"/>
      <c r="S339" s="16"/>
      <c r="T339" s="17">
        <f>IF(AND(COUNTA($A339:$K339)=0,$L339=""),"",IF($S339="Paid","PAID",IF($S339="Closed","CLOSED",IF($W339="","",IF($W339=6,"ESCALATED TO ROXANNE",IF(TODAY()&gt;$Y339,"OVERDUE",IF($Y339&lt;=WORKDAY(TODAY(),1,Holidays),"DUE TOMORROW",IF($W339=4,"ESCALATED TO LOCAL OFFICE",IF($W339=5,"ESCALATED TO CBE",IF($X339=TODAY(),"EMAIL SENT","MONITORING"))))))))))</f>
        <v/>
      </c>
      <c r="U339" s="17">
        <f>IF($T339="",IF(AND(COUNTA($A339:$K339)&gt;0,$L339=""),"Awaiting Collection Email time stamp.",""),IF(OR($T339="PAID",$T339="CLOSED"),IF($T339="PAID","Account paid. Action completed.","Account closed. No further action required."),CHOOSE($W339,"Collection Email","1st Email Follow-up","2nd Email Follow-up","Escalation to Local Office","Escalation to CBE","Escalation to Roxanne")&amp;" sent "&amp;TEXT($X339,"dd-mmm")&amp;". "&amp;IF($W339=6,"Final escalation completed.",IF($T339="OVERDUE","Next: "&amp;$Z339&amp;" was due "&amp;TEXT($Y339,"dd-mmm")&amp;" - "&amp;(NETWORKDAYS($Y339,TODAY(),Holidays)-1)&amp;" business day(s) late. Send now.",IF($T339="DUE TOMORROW","Next: "&amp;$Z339&amp;IF($Y339&lt;=TODAY()," is due TODAY ("," is due next business day (")&amp;TEXT($Y339,"dd-mmm")&amp;").","Next: "&amp;$Z339&amp;" due "&amp;TEXT($Y339,"dd-mmm")&amp;" ("&amp;(NETWORKDAYS(TODAY(),$Y339,Holidays)-1)&amp;" business day(s) left).")))))</f>
        <v/>
      </c>
      <c r="V339" s="17">
        <f>IF($W339="","",CHOOSE($W339,"Collection Email","1st Follow-up","2nd Follow-up","Local Office","CBE","Roxanne")&amp;IF($W339=6," - Final"," - Day "&amp;MAX(0,NETWORKDAYS($X339,TODAY(),Holidays)-1)&amp;" of "&amp;CHOOSE($W339,3,3,2,2,3))&amp;" | Total Day "&amp;MAX(0,NETWORKDAYS($L339,TODAY(),Holidays)-1))</f>
        <v/>
      </c>
      <c r="W339" s="17">
        <f>IF($L339="","",COUNT($L339:$Q339))</f>
        <v/>
      </c>
      <c r="X339" s="18">
        <f>IF($W339="","",INT(INDEX($L339:$Q339,$W339)))</f>
        <v/>
      </c>
      <c r="Y339" s="18">
        <f>IF(OR($W339="",$W339=6),"",WORKDAY($X339,CHOOSE($W339,3,3,2,2,3),Holidays))</f>
        <v/>
      </c>
      <c r="Z339" s="17">
        <f>IF(OR($W339="",$W339=6),"",CHOOSE($W339,"1st Email Follow-up","2nd Email Follow-up","Escalate Local Office","Escalate to CBE","Escalate to Roxanne"))</f>
        <v/>
      </c>
    </row>
    <row r="340" spans="18:26">
      <c r="R340" s="15"/>
      <c r="S340" s="16"/>
      <c r="T340" s="17">
        <f>IF(AND(COUNTA($A340:$K340)=0,$L340=""),"",IF($S340="Paid","PAID",IF($S340="Closed","CLOSED",IF($W340="","",IF($W340=6,"ESCALATED TO ROXANNE",IF(TODAY()&gt;$Y340,"OVERDUE",IF($Y340&lt;=WORKDAY(TODAY(),1,Holidays),"DUE TOMORROW",IF($W340=4,"ESCALATED TO LOCAL OFFICE",IF($W340=5,"ESCALATED TO CBE",IF($X340=TODAY(),"EMAIL SENT","MONITORING"))))))))))</f>
        <v/>
      </c>
      <c r="U340" s="17">
        <f>IF($T340="",IF(AND(COUNTA($A340:$K340)&gt;0,$L340=""),"Awaiting Collection Email time stamp.",""),IF(OR($T340="PAID",$T340="CLOSED"),IF($T340="PAID","Account paid. Action completed.","Account closed. No further action required."),CHOOSE($W340,"Collection Email","1st Email Follow-up","2nd Email Follow-up","Escalation to Local Office","Escalation to CBE","Escalation to Roxanne")&amp;" sent "&amp;TEXT($X340,"dd-mmm")&amp;". "&amp;IF($W340=6,"Final escalation completed.",IF($T340="OVERDUE","Next: "&amp;$Z340&amp;" was due "&amp;TEXT($Y340,"dd-mmm")&amp;" - "&amp;(NETWORKDAYS($Y340,TODAY(),Holidays)-1)&amp;" business day(s) late. Send now.",IF($T340="DUE TOMORROW","Next: "&amp;$Z340&amp;IF($Y340&lt;=TODAY()," is due TODAY ("," is due next business day (")&amp;TEXT($Y340,"dd-mmm")&amp;").","Next: "&amp;$Z340&amp;" due "&amp;TEXT($Y340,"dd-mmm")&amp;" ("&amp;(NETWORKDAYS(TODAY(),$Y340,Holidays)-1)&amp;" business day(s) left).")))))</f>
        <v/>
      </c>
      <c r="V340" s="17">
        <f>IF($W340="","",CHOOSE($W340,"Collection Email","1st Follow-up","2nd Follow-up","Local Office","CBE","Roxanne")&amp;IF($W340=6," - Final"," - Day "&amp;MAX(0,NETWORKDAYS($X340,TODAY(),Holidays)-1)&amp;" of "&amp;CHOOSE($W340,3,3,2,2,3))&amp;" | Total Day "&amp;MAX(0,NETWORKDAYS($L340,TODAY(),Holidays)-1))</f>
        <v/>
      </c>
      <c r="W340" s="17">
        <f>IF($L340="","",COUNT($L340:$Q340))</f>
        <v/>
      </c>
      <c r="X340" s="18">
        <f>IF($W340="","",INT(INDEX($L340:$Q340,$W340)))</f>
        <v/>
      </c>
      <c r="Y340" s="18">
        <f>IF(OR($W340="",$W340=6),"",WORKDAY($X340,CHOOSE($W340,3,3,2,2,3),Holidays))</f>
        <v/>
      </c>
      <c r="Z340" s="17">
        <f>IF(OR($W340="",$W340=6),"",CHOOSE($W340,"1st Email Follow-up","2nd Email Follow-up","Escalate Local Office","Escalate to CBE","Escalate to Roxanne"))</f>
        <v/>
      </c>
    </row>
    <row r="341" spans="18:26">
      <c r="R341" s="15"/>
      <c r="S341" s="16"/>
      <c r="T341" s="17">
        <f>IF(AND(COUNTA($A341:$K341)=0,$L341=""),"",IF($S341="Paid","PAID",IF($S341="Closed","CLOSED",IF($W341="","",IF($W341=6,"ESCALATED TO ROXANNE",IF(TODAY()&gt;$Y341,"OVERDUE",IF($Y341&lt;=WORKDAY(TODAY(),1,Holidays),"DUE TOMORROW",IF($W341=4,"ESCALATED TO LOCAL OFFICE",IF($W341=5,"ESCALATED TO CBE",IF($X341=TODAY(),"EMAIL SENT","MONITORING"))))))))))</f>
        <v/>
      </c>
      <c r="U341" s="17">
        <f>IF($T341="",IF(AND(COUNTA($A341:$K341)&gt;0,$L341=""),"Awaiting Collection Email time stamp.",""),IF(OR($T341="PAID",$T341="CLOSED"),IF($T341="PAID","Account paid. Action completed.","Account closed. No further action required."),CHOOSE($W341,"Collection Email","1st Email Follow-up","2nd Email Follow-up","Escalation to Local Office","Escalation to CBE","Escalation to Roxanne")&amp;" sent "&amp;TEXT($X341,"dd-mmm")&amp;". "&amp;IF($W341=6,"Final escalation completed.",IF($T341="OVERDUE","Next: "&amp;$Z341&amp;" was due "&amp;TEXT($Y341,"dd-mmm")&amp;" - "&amp;(NETWORKDAYS($Y341,TODAY(),Holidays)-1)&amp;" business day(s) late. Send now.",IF($T341="DUE TOMORROW","Next: "&amp;$Z341&amp;IF($Y341&lt;=TODAY()," is due TODAY ("," is due next business day (")&amp;TEXT($Y341,"dd-mmm")&amp;").","Next: "&amp;$Z341&amp;" due "&amp;TEXT($Y341,"dd-mmm")&amp;" ("&amp;(NETWORKDAYS(TODAY(),$Y341,Holidays)-1)&amp;" business day(s) left).")))))</f>
        <v/>
      </c>
      <c r="V341" s="17">
        <f>IF($W341="","",CHOOSE($W341,"Collection Email","1st Follow-up","2nd Follow-up","Local Office","CBE","Roxanne")&amp;IF($W341=6," - Final"," - Day "&amp;MAX(0,NETWORKDAYS($X341,TODAY(),Holidays)-1)&amp;" of "&amp;CHOOSE($W341,3,3,2,2,3))&amp;" | Total Day "&amp;MAX(0,NETWORKDAYS($L341,TODAY(),Holidays)-1))</f>
        <v/>
      </c>
      <c r="W341" s="17">
        <f>IF($L341="","",COUNT($L341:$Q341))</f>
        <v/>
      </c>
      <c r="X341" s="18">
        <f>IF($W341="","",INT(INDEX($L341:$Q341,$W341)))</f>
        <v/>
      </c>
      <c r="Y341" s="18">
        <f>IF(OR($W341="",$W341=6),"",WORKDAY($X341,CHOOSE($W341,3,3,2,2,3),Holidays))</f>
        <v/>
      </c>
      <c r="Z341" s="17">
        <f>IF(OR($W341="",$W341=6),"",CHOOSE($W341,"1st Email Follow-up","2nd Email Follow-up","Escalate Local Office","Escalate to CBE","Escalate to Roxanne"))</f>
        <v/>
      </c>
    </row>
    <row r="342" spans="18:26">
      <c r="R342" s="15"/>
      <c r="S342" s="16"/>
      <c r="T342" s="17">
        <f>IF(AND(COUNTA($A342:$K342)=0,$L342=""),"",IF($S342="Paid","PAID",IF($S342="Closed","CLOSED",IF($W342="","",IF($W342=6,"ESCALATED TO ROXANNE",IF(TODAY()&gt;$Y342,"OVERDUE",IF($Y342&lt;=WORKDAY(TODAY(),1,Holidays),"DUE TOMORROW",IF($W342=4,"ESCALATED TO LOCAL OFFICE",IF($W342=5,"ESCALATED TO CBE",IF($X342=TODAY(),"EMAIL SENT","MONITORING"))))))))))</f>
        <v/>
      </c>
      <c r="U342" s="17">
        <f>IF($T342="",IF(AND(COUNTA($A342:$K342)&gt;0,$L342=""),"Awaiting Collection Email time stamp.",""),IF(OR($T342="PAID",$T342="CLOSED"),IF($T342="PAID","Account paid. Action completed.","Account closed. No further action required."),CHOOSE($W342,"Collection Email","1st Email Follow-up","2nd Email Follow-up","Escalation to Local Office","Escalation to CBE","Escalation to Roxanne")&amp;" sent "&amp;TEXT($X342,"dd-mmm")&amp;". "&amp;IF($W342=6,"Final escalation completed.",IF($T342="OVERDUE","Next: "&amp;$Z342&amp;" was due "&amp;TEXT($Y342,"dd-mmm")&amp;" - "&amp;(NETWORKDAYS($Y342,TODAY(),Holidays)-1)&amp;" business day(s) late. Send now.",IF($T342="DUE TOMORROW","Next: "&amp;$Z342&amp;IF($Y342&lt;=TODAY()," is due TODAY ("," is due next business day (")&amp;TEXT($Y342,"dd-mmm")&amp;").","Next: "&amp;$Z342&amp;" due "&amp;TEXT($Y342,"dd-mmm")&amp;" ("&amp;(NETWORKDAYS(TODAY(),$Y342,Holidays)-1)&amp;" business day(s) left).")))))</f>
        <v/>
      </c>
      <c r="V342" s="17">
        <f>IF($W342="","",CHOOSE($W342,"Collection Email","1st Follow-up","2nd Follow-up","Local Office","CBE","Roxanne")&amp;IF($W342=6," - Final"," - Day "&amp;MAX(0,NETWORKDAYS($X342,TODAY(),Holidays)-1)&amp;" of "&amp;CHOOSE($W342,3,3,2,2,3))&amp;" | Total Day "&amp;MAX(0,NETWORKDAYS($L342,TODAY(),Holidays)-1))</f>
        <v/>
      </c>
      <c r="W342" s="17">
        <f>IF($L342="","",COUNT($L342:$Q342))</f>
        <v/>
      </c>
      <c r="X342" s="18">
        <f>IF($W342="","",INT(INDEX($L342:$Q342,$W342)))</f>
        <v/>
      </c>
      <c r="Y342" s="18">
        <f>IF(OR($W342="",$W342=6),"",WORKDAY($X342,CHOOSE($W342,3,3,2,2,3),Holidays))</f>
        <v/>
      </c>
      <c r="Z342" s="17">
        <f>IF(OR($W342="",$W342=6),"",CHOOSE($W342,"1st Email Follow-up","2nd Email Follow-up","Escalate Local Office","Escalate to CBE","Escalate to Roxanne"))</f>
        <v/>
      </c>
    </row>
    <row r="343" spans="18:26">
      <c r="R343" s="15"/>
      <c r="S343" s="16"/>
      <c r="T343" s="17">
        <f>IF(AND(COUNTA($A343:$K343)=0,$L343=""),"",IF($S343="Paid","PAID",IF($S343="Closed","CLOSED",IF($W343="","",IF($W343=6,"ESCALATED TO ROXANNE",IF(TODAY()&gt;$Y343,"OVERDUE",IF($Y343&lt;=WORKDAY(TODAY(),1,Holidays),"DUE TOMORROW",IF($W343=4,"ESCALATED TO LOCAL OFFICE",IF($W343=5,"ESCALATED TO CBE",IF($X343=TODAY(),"EMAIL SENT","MONITORING"))))))))))</f>
        <v/>
      </c>
      <c r="U343" s="17">
        <f>IF($T343="",IF(AND(COUNTA($A343:$K343)&gt;0,$L343=""),"Awaiting Collection Email time stamp.",""),IF(OR($T343="PAID",$T343="CLOSED"),IF($T343="PAID","Account paid. Action completed.","Account closed. No further action required."),CHOOSE($W343,"Collection Email","1st Email Follow-up","2nd Email Follow-up","Escalation to Local Office","Escalation to CBE","Escalation to Roxanne")&amp;" sent "&amp;TEXT($X343,"dd-mmm")&amp;". "&amp;IF($W343=6,"Final escalation completed.",IF($T343="OVERDUE","Next: "&amp;$Z343&amp;" was due "&amp;TEXT($Y343,"dd-mmm")&amp;" - "&amp;(NETWORKDAYS($Y343,TODAY(),Holidays)-1)&amp;" business day(s) late. Send now.",IF($T343="DUE TOMORROW","Next: "&amp;$Z343&amp;IF($Y343&lt;=TODAY()," is due TODAY ("," is due next business day (")&amp;TEXT($Y343,"dd-mmm")&amp;").","Next: "&amp;$Z343&amp;" due "&amp;TEXT($Y343,"dd-mmm")&amp;" ("&amp;(NETWORKDAYS(TODAY(),$Y343,Holidays)-1)&amp;" business day(s) left).")))))</f>
        <v/>
      </c>
      <c r="V343" s="17">
        <f>IF($W343="","",CHOOSE($W343,"Collection Email","1st Follow-up","2nd Follow-up","Local Office","CBE","Roxanne")&amp;IF($W343=6," - Final"," - Day "&amp;MAX(0,NETWORKDAYS($X343,TODAY(),Holidays)-1)&amp;" of "&amp;CHOOSE($W343,3,3,2,2,3))&amp;" | Total Day "&amp;MAX(0,NETWORKDAYS($L343,TODAY(),Holidays)-1))</f>
        <v/>
      </c>
      <c r="W343" s="17">
        <f>IF($L343="","",COUNT($L343:$Q343))</f>
        <v/>
      </c>
      <c r="X343" s="18">
        <f>IF($W343="","",INT(INDEX($L343:$Q343,$W343)))</f>
        <v/>
      </c>
      <c r="Y343" s="18">
        <f>IF(OR($W343="",$W343=6),"",WORKDAY($X343,CHOOSE($W343,3,3,2,2,3),Holidays))</f>
        <v/>
      </c>
      <c r="Z343" s="17">
        <f>IF(OR($W343="",$W343=6),"",CHOOSE($W343,"1st Email Follow-up","2nd Email Follow-up","Escalate Local Office","Escalate to CBE","Escalate to Roxanne"))</f>
        <v/>
      </c>
    </row>
    <row r="344" spans="18:26">
      <c r="R344" s="15"/>
      <c r="S344" s="16"/>
      <c r="T344" s="17">
        <f>IF(AND(COUNTA($A344:$K344)=0,$L344=""),"",IF($S344="Paid","PAID",IF($S344="Closed","CLOSED",IF($W344="","",IF($W344=6,"ESCALATED TO ROXANNE",IF(TODAY()&gt;$Y344,"OVERDUE",IF($Y344&lt;=WORKDAY(TODAY(),1,Holidays),"DUE TOMORROW",IF($W344=4,"ESCALATED TO LOCAL OFFICE",IF($W344=5,"ESCALATED TO CBE",IF($X344=TODAY(),"EMAIL SENT","MONITORING"))))))))))</f>
        <v/>
      </c>
      <c r="U344" s="17">
        <f>IF($T344="",IF(AND(COUNTA($A344:$K344)&gt;0,$L344=""),"Awaiting Collection Email time stamp.",""),IF(OR($T344="PAID",$T344="CLOSED"),IF($T344="PAID","Account paid. Action completed.","Account closed. No further action required."),CHOOSE($W344,"Collection Email","1st Email Follow-up","2nd Email Follow-up","Escalation to Local Office","Escalation to CBE","Escalation to Roxanne")&amp;" sent "&amp;TEXT($X344,"dd-mmm")&amp;". "&amp;IF($W344=6,"Final escalation completed.",IF($T344="OVERDUE","Next: "&amp;$Z344&amp;" was due "&amp;TEXT($Y344,"dd-mmm")&amp;" - "&amp;(NETWORKDAYS($Y344,TODAY(),Holidays)-1)&amp;" business day(s) late. Send now.",IF($T344="DUE TOMORROW","Next: "&amp;$Z344&amp;IF($Y344&lt;=TODAY()," is due TODAY ("," is due next business day (")&amp;TEXT($Y344,"dd-mmm")&amp;").","Next: "&amp;$Z344&amp;" due "&amp;TEXT($Y344,"dd-mmm")&amp;" ("&amp;(NETWORKDAYS(TODAY(),$Y344,Holidays)-1)&amp;" business day(s) left).")))))</f>
        <v/>
      </c>
      <c r="V344" s="17">
        <f>IF($W344="","",CHOOSE($W344,"Collection Email","1st Follow-up","2nd Follow-up","Local Office","CBE","Roxanne")&amp;IF($W344=6," - Final"," - Day "&amp;MAX(0,NETWORKDAYS($X344,TODAY(),Holidays)-1)&amp;" of "&amp;CHOOSE($W344,3,3,2,2,3))&amp;" | Total Day "&amp;MAX(0,NETWORKDAYS($L344,TODAY(),Holidays)-1))</f>
        <v/>
      </c>
      <c r="W344" s="17">
        <f>IF($L344="","",COUNT($L344:$Q344))</f>
        <v/>
      </c>
      <c r="X344" s="18">
        <f>IF($W344="","",INT(INDEX($L344:$Q344,$W344)))</f>
        <v/>
      </c>
      <c r="Y344" s="18">
        <f>IF(OR($W344="",$W344=6),"",WORKDAY($X344,CHOOSE($W344,3,3,2,2,3),Holidays))</f>
        <v/>
      </c>
      <c r="Z344" s="17">
        <f>IF(OR($W344="",$W344=6),"",CHOOSE($W344,"1st Email Follow-up","2nd Email Follow-up","Escalate Local Office","Escalate to CBE","Escalate to Roxanne"))</f>
        <v/>
      </c>
    </row>
    <row r="345" spans="18:26">
      <c r="R345" s="15"/>
      <c r="S345" s="16"/>
      <c r="T345" s="17">
        <f>IF(AND(COUNTA($A345:$K345)=0,$L345=""),"",IF($S345="Paid","PAID",IF($S345="Closed","CLOSED",IF($W345="","",IF($W345=6,"ESCALATED TO ROXANNE",IF(TODAY()&gt;$Y345,"OVERDUE",IF($Y345&lt;=WORKDAY(TODAY(),1,Holidays),"DUE TOMORROW",IF($W345=4,"ESCALATED TO LOCAL OFFICE",IF($W345=5,"ESCALATED TO CBE",IF($X345=TODAY(),"EMAIL SENT","MONITORING"))))))))))</f>
        <v/>
      </c>
      <c r="U345" s="17">
        <f>IF($T345="",IF(AND(COUNTA($A345:$K345)&gt;0,$L345=""),"Awaiting Collection Email time stamp.",""),IF(OR($T345="PAID",$T345="CLOSED"),IF($T345="PAID","Account paid. Action completed.","Account closed. No further action required."),CHOOSE($W345,"Collection Email","1st Email Follow-up","2nd Email Follow-up","Escalation to Local Office","Escalation to CBE","Escalation to Roxanne")&amp;" sent "&amp;TEXT($X345,"dd-mmm")&amp;". "&amp;IF($W345=6,"Final escalation completed.",IF($T345="OVERDUE","Next: "&amp;$Z345&amp;" was due "&amp;TEXT($Y345,"dd-mmm")&amp;" - "&amp;(NETWORKDAYS($Y345,TODAY(),Holidays)-1)&amp;" business day(s) late. Send now.",IF($T345="DUE TOMORROW","Next: "&amp;$Z345&amp;IF($Y345&lt;=TODAY()," is due TODAY ("," is due next business day (")&amp;TEXT($Y345,"dd-mmm")&amp;").","Next: "&amp;$Z345&amp;" due "&amp;TEXT($Y345,"dd-mmm")&amp;" ("&amp;(NETWORKDAYS(TODAY(),$Y345,Holidays)-1)&amp;" business day(s) left).")))))</f>
        <v/>
      </c>
      <c r="V345" s="17">
        <f>IF($W345="","",CHOOSE($W345,"Collection Email","1st Follow-up","2nd Follow-up","Local Office","CBE","Roxanne")&amp;IF($W345=6," - Final"," - Day "&amp;MAX(0,NETWORKDAYS($X345,TODAY(),Holidays)-1)&amp;" of "&amp;CHOOSE($W345,3,3,2,2,3))&amp;" | Total Day "&amp;MAX(0,NETWORKDAYS($L345,TODAY(),Holidays)-1))</f>
        <v/>
      </c>
      <c r="W345" s="17">
        <f>IF($L345="","",COUNT($L345:$Q345))</f>
        <v/>
      </c>
      <c r="X345" s="18">
        <f>IF($W345="","",INT(INDEX($L345:$Q345,$W345)))</f>
        <v/>
      </c>
      <c r="Y345" s="18">
        <f>IF(OR($W345="",$W345=6),"",WORKDAY($X345,CHOOSE($W345,3,3,2,2,3),Holidays))</f>
        <v/>
      </c>
      <c r="Z345" s="17">
        <f>IF(OR($W345="",$W345=6),"",CHOOSE($W345,"1st Email Follow-up","2nd Email Follow-up","Escalate Local Office","Escalate to CBE","Escalate to Roxanne"))</f>
        <v/>
      </c>
    </row>
    <row r="346" spans="18:26">
      <c r="R346" s="15"/>
      <c r="S346" s="16"/>
      <c r="T346" s="17">
        <f>IF(AND(COUNTA($A346:$K346)=0,$L346=""),"",IF($S346="Paid","PAID",IF($S346="Closed","CLOSED",IF($W346="","",IF($W346=6,"ESCALATED TO ROXANNE",IF(TODAY()&gt;$Y346,"OVERDUE",IF($Y346&lt;=WORKDAY(TODAY(),1,Holidays),"DUE TOMORROW",IF($W346=4,"ESCALATED TO LOCAL OFFICE",IF($W346=5,"ESCALATED TO CBE",IF($X346=TODAY(),"EMAIL SENT","MONITORING"))))))))))</f>
        <v/>
      </c>
      <c r="U346" s="17">
        <f>IF($T346="",IF(AND(COUNTA($A346:$K346)&gt;0,$L346=""),"Awaiting Collection Email time stamp.",""),IF(OR($T346="PAID",$T346="CLOSED"),IF($T346="PAID","Account paid. Action completed.","Account closed. No further action required."),CHOOSE($W346,"Collection Email","1st Email Follow-up","2nd Email Follow-up","Escalation to Local Office","Escalation to CBE","Escalation to Roxanne")&amp;" sent "&amp;TEXT($X346,"dd-mmm")&amp;". "&amp;IF($W346=6,"Final escalation completed.",IF($T346="OVERDUE","Next: "&amp;$Z346&amp;" was due "&amp;TEXT($Y346,"dd-mmm")&amp;" - "&amp;(NETWORKDAYS($Y346,TODAY(),Holidays)-1)&amp;" business day(s) late. Send now.",IF($T346="DUE TOMORROW","Next: "&amp;$Z346&amp;IF($Y346&lt;=TODAY()," is due TODAY ("," is due next business day (")&amp;TEXT($Y346,"dd-mmm")&amp;").","Next: "&amp;$Z346&amp;" due "&amp;TEXT($Y346,"dd-mmm")&amp;" ("&amp;(NETWORKDAYS(TODAY(),$Y346,Holidays)-1)&amp;" business day(s) left).")))))</f>
        <v/>
      </c>
      <c r="V346" s="17">
        <f>IF($W346="","",CHOOSE($W346,"Collection Email","1st Follow-up","2nd Follow-up","Local Office","CBE","Roxanne")&amp;IF($W346=6," - Final"," - Day "&amp;MAX(0,NETWORKDAYS($X346,TODAY(),Holidays)-1)&amp;" of "&amp;CHOOSE($W346,3,3,2,2,3))&amp;" | Total Day "&amp;MAX(0,NETWORKDAYS($L346,TODAY(),Holidays)-1))</f>
        <v/>
      </c>
      <c r="W346" s="17">
        <f>IF($L346="","",COUNT($L346:$Q346))</f>
        <v/>
      </c>
      <c r="X346" s="18">
        <f>IF($W346="","",INT(INDEX($L346:$Q346,$W346)))</f>
        <v/>
      </c>
      <c r="Y346" s="18">
        <f>IF(OR($W346="",$W346=6),"",WORKDAY($X346,CHOOSE($W346,3,3,2,2,3),Holidays))</f>
        <v/>
      </c>
      <c r="Z346" s="17">
        <f>IF(OR($W346="",$W346=6),"",CHOOSE($W346,"1st Email Follow-up","2nd Email Follow-up","Escalate Local Office","Escalate to CBE","Escalate to Roxanne"))</f>
        <v/>
      </c>
    </row>
    <row r="347" spans="18:26">
      <c r="R347" s="15"/>
      <c r="S347" s="16"/>
      <c r="T347" s="17">
        <f>IF(AND(COUNTA($A347:$K347)=0,$L347=""),"",IF($S347="Paid","PAID",IF($S347="Closed","CLOSED",IF($W347="","",IF($W347=6,"ESCALATED TO ROXANNE",IF(TODAY()&gt;$Y347,"OVERDUE",IF($Y347&lt;=WORKDAY(TODAY(),1,Holidays),"DUE TOMORROW",IF($W347=4,"ESCALATED TO LOCAL OFFICE",IF($W347=5,"ESCALATED TO CBE",IF($X347=TODAY(),"EMAIL SENT","MONITORING"))))))))))</f>
        <v/>
      </c>
      <c r="U347" s="17">
        <f>IF($T347="",IF(AND(COUNTA($A347:$K347)&gt;0,$L347=""),"Awaiting Collection Email time stamp.",""),IF(OR($T347="PAID",$T347="CLOSED"),IF($T347="PAID","Account paid. Action completed.","Account closed. No further action required."),CHOOSE($W347,"Collection Email","1st Email Follow-up","2nd Email Follow-up","Escalation to Local Office","Escalation to CBE","Escalation to Roxanne")&amp;" sent "&amp;TEXT($X347,"dd-mmm")&amp;". "&amp;IF($W347=6,"Final escalation completed.",IF($T347="OVERDUE","Next: "&amp;$Z347&amp;" was due "&amp;TEXT($Y347,"dd-mmm")&amp;" - "&amp;(NETWORKDAYS($Y347,TODAY(),Holidays)-1)&amp;" business day(s) late. Send now.",IF($T347="DUE TOMORROW","Next: "&amp;$Z347&amp;IF($Y347&lt;=TODAY()," is due TODAY ("," is due next business day (")&amp;TEXT($Y347,"dd-mmm")&amp;").","Next: "&amp;$Z347&amp;" due "&amp;TEXT($Y347,"dd-mmm")&amp;" ("&amp;(NETWORKDAYS(TODAY(),$Y347,Holidays)-1)&amp;" business day(s) left).")))))</f>
        <v/>
      </c>
      <c r="V347" s="17">
        <f>IF($W347="","",CHOOSE($W347,"Collection Email","1st Follow-up","2nd Follow-up","Local Office","CBE","Roxanne")&amp;IF($W347=6," - Final"," - Day "&amp;MAX(0,NETWORKDAYS($X347,TODAY(),Holidays)-1)&amp;" of "&amp;CHOOSE($W347,3,3,2,2,3))&amp;" | Total Day "&amp;MAX(0,NETWORKDAYS($L347,TODAY(),Holidays)-1))</f>
        <v/>
      </c>
      <c r="W347" s="17">
        <f>IF($L347="","",COUNT($L347:$Q347))</f>
        <v/>
      </c>
      <c r="X347" s="18">
        <f>IF($W347="","",INT(INDEX($L347:$Q347,$W347)))</f>
        <v/>
      </c>
      <c r="Y347" s="18">
        <f>IF(OR($W347="",$W347=6),"",WORKDAY($X347,CHOOSE($W347,3,3,2,2,3),Holidays))</f>
        <v/>
      </c>
      <c r="Z347" s="17">
        <f>IF(OR($W347="",$W347=6),"",CHOOSE($W347,"1st Email Follow-up","2nd Email Follow-up","Escalate Local Office","Escalate to CBE","Escalate to Roxanne"))</f>
        <v/>
      </c>
    </row>
    <row r="348" spans="18:26">
      <c r="R348" s="15"/>
      <c r="S348" s="16"/>
      <c r="T348" s="17">
        <f>IF(AND(COUNTA($A348:$K348)=0,$L348=""),"",IF($S348="Paid","PAID",IF($S348="Closed","CLOSED",IF($W348="","",IF($W348=6,"ESCALATED TO ROXANNE",IF(TODAY()&gt;$Y348,"OVERDUE",IF($Y348&lt;=WORKDAY(TODAY(),1,Holidays),"DUE TOMORROW",IF($W348=4,"ESCALATED TO LOCAL OFFICE",IF($W348=5,"ESCALATED TO CBE",IF($X348=TODAY(),"EMAIL SENT","MONITORING"))))))))))</f>
        <v/>
      </c>
      <c r="U348" s="17">
        <f>IF($T348="",IF(AND(COUNTA($A348:$K348)&gt;0,$L348=""),"Awaiting Collection Email time stamp.",""),IF(OR($T348="PAID",$T348="CLOSED"),IF($T348="PAID","Account paid. Action completed.","Account closed. No further action required."),CHOOSE($W348,"Collection Email","1st Email Follow-up","2nd Email Follow-up","Escalation to Local Office","Escalation to CBE","Escalation to Roxanne")&amp;" sent "&amp;TEXT($X348,"dd-mmm")&amp;". "&amp;IF($W348=6,"Final escalation completed.",IF($T348="OVERDUE","Next: "&amp;$Z348&amp;" was due "&amp;TEXT($Y348,"dd-mmm")&amp;" - "&amp;(NETWORKDAYS($Y348,TODAY(),Holidays)-1)&amp;" business day(s) late. Send now.",IF($T348="DUE TOMORROW","Next: "&amp;$Z348&amp;IF($Y348&lt;=TODAY()," is due TODAY ("," is due next business day (")&amp;TEXT($Y348,"dd-mmm")&amp;").","Next: "&amp;$Z348&amp;" due "&amp;TEXT($Y348,"dd-mmm")&amp;" ("&amp;(NETWORKDAYS(TODAY(),$Y348,Holidays)-1)&amp;" business day(s) left).")))))</f>
        <v/>
      </c>
      <c r="V348" s="17">
        <f>IF($W348="","",CHOOSE($W348,"Collection Email","1st Follow-up","2nd Follow-up","Local Office","CBE","Roxanne")&amp;IF($W348=6," - Final"," - Day "&amp;MAX(0,NETWORKDAYS($X348,TODAY(),Holidays)-1)&amp;" of "&amp;CHOOSE($W348,3,3,2,2,3))&amp;" | Total Day "&amp;MAX(0,NETWORKDAYS($L348,TODAY(),Holidays)-1))</f>
        <v/>
      </c>
      <c r="W348" s="17">
        <f>IF($L348="","",COUNT($L348:$Q348))</f>
        <v/>
      </c>
      <c r="X348" s="18">
        <f>IF($W348="","",INT(INDEX($L348:$Q348,$W348)))</f>
        <v/>
      </c>
      <c r="Y348" s="18">
        <f>IF(OR($W348="",$W348=6),"",WORKDAY($X348,CHOOSE($W348,3,3,2,2,3),Holidays))</f>
        <v/>
      </c>
      <c r="Z348" s="17">
        <f>IF(OR($W348="",$W348=6),"",CHOOSE($W348,"1st Email Follow-up","2nd Email Follow-up","Escalate Local Office","Escalate to CBE","Escalate to Roxanne"))</f>
        <v/>
      </c>
    </row>
    <row r="349" spans="18:26">
      <c r="R349" s="15"/>
      <c r="S349" s="16"/>
      <c r="T349" s="17">
        <f>IF(AND(COUNTA($A349:$K349)=0,$L349=""),"",IF($S349="Paid","PAID",IF($S349="Closed","CLOSED",IF($W349="","",IF($W349=6,"ESCALATED TO ROXANNE",IF(TODAY()&gt;$Y349,"OVERDUE",IF($Y349&lt;=WORKDAY(TODAY(),1,Holidays),"DUE TOMORROW",IF($W349=4,"ESCALATED TO LOCAL OFFICE",IF($W349=5,"ESCALATED TO CBE",IF($X349=TODAY(),"EMAIL SENT","MONITORING"))))))))))</f>
        <v/>
      </c>
      <c r="U349" s="17">
        <f>IF($T349="",IF(AND(COUNTA($A349:$K349)&gt;0,$L349=""),"Awaiting Collection Email time stamp.",""),IF(OR($T349="PAID",$T349="CLOSED"),IF($T349="PAID","Account paid. Action completed.","Account closed. No further action required."),CHOOSE($W349,"Collection Email","1st Email Follow-up","2nd Email Follow-up","Escalation to Local Office","Escalation to CBE","Escalation to Roxanne")&amp;" sent "&amp;TEXT($X349,"dd-mmm")&amp;". "&amp;IF($W349=6,"Final escalation completed.",IF($T349="OVERDUE","Next: "&amp;$Z349&amp;" was due "&amp;TEXT($Y349,"dd-mmm")&amp;" - "&amp;(NETWORKDAYS($Y349,TODAY(),Holidays)-1)&amp;" business day(s) late. Send now.",IF($T349="DUE TOMORROW","Next: "&amp;$Z349&amp;IF($Y349&lt;=TODAY()," is due TODAY ("," is due next business day (")&amp;TEXT($Y349,"dd-mmm")&amp;").","Next: "&amp;$Z349&amp;" due "&amp;TEXT($Y349,"dd-mmm")&amp;" ("&amp;(NETWORKDAYS(TODAY(),$Y349,Holidays)-1)&amp;" business day(s) left).")))))</f>
        <v/>
      </c>
      <c r="V349" s="17">
        <f>IF($W349="","",CHOOSE($W349,"Collection Email","1st Follow-up","2nd Follow-up","Local Office","CBE","Roxanne")&amp;IF($W349=6," - Final"," - Day "&amp;MAX(0,NETWORKDAYS($X349,TODAY(),Holidays)-1)&amp;" of "&amp;CHOOSE($W349,3,3,2,2,3))&amp;" | Total Day "&amp;MAX(0,NETWORKDAYS($L349,TODAY(),Holidays)-1))</f>
        <v/>
      </c>
      <c r="W349" s="17">
        <f>IF($L349="","",COUNT($L349:$Q349))</f>
        <v/>
      </c>
      <c r="X349" s="18">
        <f>IF($W349="","",INT(INDEX($L349:$Q349,$W349)))</f>
        <v/>
      </c>
      <c r="Y349" s="18">
        <f>IF(OR($W349="",$W349=6),"",WORKDAY($X349,CHOOSE($W349,3,3,2,2,3),Holidays))</f>
        <v/>
      </c>
      <c r="Z349" s="17">
        <f>IF(OR($W349="",$W349=6),"",CHOOSE($W349,"1st Email Follow-up","2nd Email Follow-up","Escalate Local Office","Escalate to CBE","Escalate to Roxanne"))</f>
        <v/>
      </c>
    </row>
    <row r="350" spans="18:26">
      <c r="R350" s="15"/>
      <c r="S350" s="16"/>
      <c r="T350" s="17">
        <f>IF(AND(COUNTA($A350:$K350)=0,$L350=""),"",IF($S350="Paid","PAID",IF($S350="Closed","CLOSED",IF($W350="","",IF($W350=6,"ESCALATED TO ROXANNE",IF(TODAY()&gt;$Y350,"OVERDUE",IF($Y350&lt;=WORKDAY(TODAY(),1,Holidays),"DUE TOMORROW",IF($W350=4,"ESCALATED TO LOCAL OFFICE",IF($W350=5,"ESCALATED TO CBE",IF($X350=TODAY(),"EMAIL SENT","MONITORING"))))))))))</f>
        <v/>
      </c>
      <c r="U350" s="17">
        <f>IF($T350="",IF(AND(COUNTA($A350:$K350)&gt;0,$L350=""),"Awaiting Collection Email time stamp.",""),IF(OR($T350="PAID",$T350="CLOSED"),IF($T350="PAID","Account paid. Action completed.","Account closed. No further action required."),CHOOSE($W350,"Collection Email","1st Email Follow-up","2nd Email Follow-up","Escalation to Local Office","Escalation to CBE","Escalation to Roxanne")&amp;" sent "&amp;TEXT($X350,"dd-mmm")&amp;". "&amp;IF($W350=6,"Final escalation completed.",IF($T350="OVERDUE","Next: "&amp;$Z350&amp;" was due "&amp;TEXT($Y350,"dd-mmm")&amp;" - "&amp;(NETWORKDAYS($Y350,TODAY(),Holidays)-1)&amp;" business day(s) late. Send now.",IF($T350="DUE TOMORROW","Next: "&amp;$Z350&amp;IF($Y350&lt;=TODAY()," is due TODAY ("," is due next business day (")&amp;TEXT($Y350,"dd-mmm")&amp;").","Next: "&amp;$Z350&amp;" due "&amp;TEXT($Y350,"dd-mmm")&amp;" ("&amp;(NETWORKDAYS(TODAY(),$Y350,Holidays)-1)&amp;" business day(s) left).")))))</f>
        <v/>
      </c>
      <c r="V350" s="17">
        <f>IF($W350="","",CHOOSE($W350,"Collection Email","1st Follow-up","2nd Follow-up","Local Office","CBE","Roxanne")&amp;IF($W350=6," - Final"," - Day "&amp;MAX(0,NETWORKDAYS($X350,TODAY(),Holidays)-1)&amp;" of "&amp;CHOOSE($W350,3,3,2,2,3))&amp;" | Total Day "&amp;MAX(0,NETWORKDAYS($L350,TODAY(),Holidays)-1))</f>
        <v/>
      </c>
      <c r="W350" s="17">
        <f>IF($L350="","",COUNT($L350:$Q350))</f>
        <v/>
      </c>
      <c r="X350" s="18">
        <f>IF($W350="","",INT(INDEX($L350:$Q350,$W350)))</f>
        <v/>
      </c>
      <c r="Y350" s="18">
        <f>IF(OR($W350="",$W350=6),"",WORKDAY($X350,CHOOSE($W350,3,3,2,2,3),Holidays))</f>
        <v/>
      </c>
      <c r="Z350" s="17">
        <f>IF(OR($W350="",$W350=6),"",CHOOSE($W350,"1st Email Follow-up","2nd Email Follow-up","Escalate Local Office","Escalate to CBE","Escalate to Roxanne"))</f>
        <v/>
      </c>
    </row>
    <row r="351" spans="18:26">
      <c r="R351" s="15"/>
      <c r="S351" s="16"/>
      <c r="T351" s="17">
        <f>IF(AND(COUNTA($A351:$K351)=0,$L351=""),"",IF($S351="Paid","PAID",IF($S351="Closed","CLOSED",IF($W351="","",IF($W351=6,"ESCALATED TO ROXANNE",IF(TODAY()&gt;$Y351,"OVERDUE",IF($Y351&lt;=WORKDAY(TODAY(),1,Holidays),"DUE TOMORROW",IF($W351=4,"ESCALATED TO LOCAL OFFICE",IF($W351=5,"ESCALATED TO CBE",IF($X351=TODAY(),"EMAIL SENT","MONITORING"))))))))))</f>
        <v/>
      </c>
      <c r="U351" s="17">
        <f>IF($T351="",IF(AND(COUNTA($A351:$K351)&gt;0,$L351=""),"Awaiting Collection Email time stamp.",""),IF(OR($T351="PAID",$T351="CLOSED"),IF($T351="PAID","Account paid. Action completed.","Account closed. No further action required."),CHOOSE($W351,"Collection Email","1st Email Follow-up","2nd Email Follow-up","Escalation to Local Office","Escalation to CBE","Escalation to Roxanne")&amp;" sent "&amp;TEXT($X351,"dd-mmm")&amp;". "&amp;IF($W351=6,"Final escalation completed.",IF($T351="OVERDUE","Next: "&amp;$Z351&amp;" was due "&amp;TEXT($Y351,"dd-mmm")&amp;" - "&amp;(NETWORKDAYS($Y351,TODAY(),Holidays)-1)&amp;" business day(s) late. Send now.",IF($T351="DUE TOMORROW","Next: "&amp;$Z351&amp;IF($Y351&lt;=TODAY()," is due TODAY ("," is due next business day (")&amp;TEXT($Y351,"dd-mmm")&amp;").","Next: "&amp;$Z351&amp;" due "&amp;TEXT($Y351,"dd-mmm")&amp;" ("&amp;(NETWORKDAYS(TODAY(),$Y351,Holidays)-1)&amp;" business day(s) left).")))))</f>
        <v/>
      </c>
      <c r="V351" s="17">
        <f>IF($W351="","",CHOOSE($W351,"Collection Email","1st Follow-up","2nd Follow-up","Local Office","CBE","Roxanne")&amp;IF($W351=6," - Final"," - Day "&amp;MAX(0,NETWORKDAYS($X351,TODAY(),Holidays)-1)&amp;" of "&amp;CHOOSE($W351,3,3,2,2,3))&amp;" | Total Day "&amp;MAX(0,NETWORKDAYS($L351,TODAY(),Holidays)-1))</f>
        <v/>
      </c>
      <c r="W351" s="17">
        <f>IF($L351="","",COUNT($L351:$Q351))</f>
        <v/>
      </c>
      <c r="X351" s="18">
        <f>IF($W351="","",INT(INDEX($L351:$Q351,$W351)))</f>
        <v/>
      </c>
      <c r="Y351" s="18">
        <f>IF(OR($W351="",$W351=6),"",WORKDAY($X351,CHOOSE($W351,3,3,2,2,3),Holidays))</f>
        <v/>
      </c>
      <c r="Z351" s="17">
        <f>IF(OR($W351="",$W351=6),"",CHOOSE($W351,"1st Email Follow-up","2nd Email Follow-up","Escalate Local Office","Escalate to CBE","Escalate to Roxanne"))</f>
        <v/>
      </c>
    </row>
    <row r="352" spans="18:26">
      <c r="R352" s="15"/>
      <c r="S352" s="16"/>
      <c r="T352" s="17">
        <f>IF(AND(COUNTA($A352:$K352)=0,$L352=""),"",IF($S352="Paid","PAID",IF($S352="Closed","CLOSED",IF($W352="","",IF($W352=6,"ESCALATED TO ROXANNE",IF(TODAY()&gt;$Y352,"OVERDUE",IF($Y352&lt;=WORKDAY(TODAY(),1,Holidays),"DUE TOMORROW",IF($W352=4,"ESCALATED TO LOCAL OFFICE",IF($W352=5,"ESCALATED TO CBE",IF($X352=TODAY(),"EMAIL SENT","MONITORING"))))))))))</f>
        <v/>
      </c>
      <c r="U352" s="17">
        <f>IF($T352="",IF(AND(COUNTA($A352:$K352)&gt;0,$L352=""),"Awaiting Collection Email time stamp.",""),IF(OR($T352="PAID",$T352="CLOSED"),IF($T352="PAID","Account paid. Action completed.","Account closed. No further action required."),CHOOSE($W352,"Collection Email","1st Email Follow-up","2nd Email Follow-up","Escalation to Local Office","Escalation to CBE","Escalation to Roxanne")&amp;" sent "&amp;TEXT($X352,"dd-mmm")&amp;". "&amp;IF($W352=6,"Final escalation completed.",IF($T352="OVERDUE","Next: "&amp;$Z352&amp;" was due "&amp;TEXT($Y352,"dd-mmm")&amp;" - "&amp;(NETWORKDAYS($Y352,TODAY(),Holidays)-1)&amp;" business day(s) late. Send now.",IF($T352="DUE TOMORROW","Next: "&amp;$Z352&amp;IF($Y352&lt;=TODAY()," is due TODAY ("," is due next business day (")&amp;TEXT($Y352,"dd-mmm")&amp;").","Next: "&amp;$Z352&amp;" due "&amp;TEXT($Y352,"dd-mmm")&amp;" ("&amp;(NETWORKDAYS(TODAY(),$Y352,Holidays)-1)&amp;" business day(s) left).")))))</f>
        <v/>
      </c>
      <c r="V352" s="17">
        <f>IF($W352="","",CHOOSE($W352,"Collection Email","1st Follow-up","2nd Follow-up","Local Office","CBE","Roxanne")&amp;IF($W352=6," - Final"," - Day "&amp;MAX(0,NETWORKDAYS($X352,TODAY(),Holidays)-1)&amp;" of "&amp;CHOOSE($W352,3,3,2,2,3))&amp;" | Total Day "&amp;MAX(0,NETWORKDAYS($L352,TODAY(),Holidays)-1))</f>
        <v/>
      </c>
      <c r="W352" s="17">
        <f>IF($L352="","",COUNT($L352:$Q352))</f>
        <v/>
      </c>
      <c r="X352" s="18">
        <f>IF($W352="","",INT(INDEX($L352:$Q352,$W352)))</f>
        <v/>
      </c>
      <c r="Y352" s="18">
        <f>IF(OR($W352="",$W352=6),"",WORKDAY($X352,CHOOSE($W352,3,3,2,2,3),Holidays))</f>
        <v/>
      </c>
      <c r="Z352" s="17">
        <f>IF(OR($W352="",$W352=6),"",CHOOSE($W352,"1st Email Follow-up","2nd Email Follow-up","Escalate Local Office","Escalate to CBE","Escalate to Roxanne"))</f>
        <v/>
      </c>
    </row>
    <row r="353" spans="18:26">
      <c r="R353" s="15"/>
      <c r="S353" s="16"/>
      <c r="T353" s="17">
        <f>IF(AND(COUNTA($A353:$K353)=0,$L353=""),"",IF($S353="Paid","PAID",IF($S353="Closed","CLOSED",IF($W353="","",IF($W353=6,"ESCALATED TO ROXANNE",IF(TODAY()&gt;$Y353,"OVERDUE",IF($Y353&lt;=WORKDAY(TODAY(),1,Holidays),"DUE TOMORROW",IF($W353=4,"ESCALATED TO LOCAL OFFICE",IF($W353=5,"ESCALATED TO CBE",IF($X353=TODAY(),"EMAIL SENT","MONITORING"))))))))))</f>
        <v/>
      </c>
      <c r="U353" s="17">
        <f>IF($T353="",IF(AND(COUNTA($A353:$K353)&gt;0,$L353=""),"Awaiting Collection Email time stamp.",""),IF(OR($T353="PAID",$T353="CLOSED"),IF($T353="PAID","Account paid. Action completed.","Account closed. No further action required."),CHOOSE($W353,"Collection Email","1st Email Follow-up","2nd Email Follow-up","Escalation to Local Office","Escalation to CBE","Escalation to Roxanne")&amp;" sent "&amp;TEXT($X353,"dd-mmm")&amp;". "&amp;IF($W353=6,"Final escalation completed.",IF($T353="OVERDUE","Next: "&amp;$Z353&amp;" was due "&amp;TEXT($Y353,"dd-mmm")&amp;" - "&amp;(NETWORKDAYS($Y353,TODAY(),Holidays)-1)&amp;" business day(s) late. Send now.",IF($T353="DUE TOMORROW","Next: "&amp;$Z353&amp;IF($Y353&lt;=TODAY()," is due TODAY ("," is due next business day (")&amp;TEXT($Y353,"dd-mmm")&amp;").","Next: "&amp;$Z353&amp;" due "&amp;TEXT($Y353,"dd-mmm")&amp;" ("&amp;(NETWORKDAYS(TODAY(),$Y353,Holidays)-1)&amp;" business day(s) left).")))))</f>
        <v/>
      </c>
      <c r="V353" s="17">
        <f>IF($W353="","",CHOOSE($W353,"Collection Email","1st Follow-up","2nd Follow-up","Local Office","CBE","Roxanne")&amp;IF($W353=6," - Final"," - Day "&amp;MAX(0,NETWORKDAYS($X353,TODAY(),Holidays)-1)&amp;" of "&amp;CHOOSE($W353,3,3,2,2,3))&amp;" | Total Day "&amp;MAX(0,NETWORKDAYS($L353,TODAY(),Holidays)-1))</f>
        <v/>
      </c>
      <c r="W353" s="17">
        <f>IF($L353="","",COUNT($L353:$Q353))</f>
        <v/>
      </c>
      <c r="X353" s="18">
        <f>IF($W353="","",INT(INDEX($L353:$Q353,$W353)))</f>
        <v/>
      </c>
      <c r="Y353" s="18">
        <f>IF(OR($W353="",$W353=6),"",WORKDAY($X353,CHOOSE($W353,3,3,2,2,3),Holidays))</f>
        <v/>
      </c>
      <c r="Z353" s="17">
        <f>IF(OR($W353="",$W353=6),"",CHOOSE($W353,"1st Email Follow-up","2nd Email Follow-up","Escalate Local Office","Escalate to CBE","Escalate to Roxanne"))</f>
        <v/>
      </c>
    </row>
    <row r="354" spans="18:26">
      <c r="R354" s="15"/>
      <c r="S354" s="16"/>
      <c r="T354" s="17">
        <f>IF(AND(COUNTA($A354:$K354)=0,$L354=""),"",IF($S354="Paid","PAID",IF($S354="Closed","CLOSED",IF($W354="","",IF($W354=6,"ESCALATED TO ROXANNE",IF(TODAY()&gt;$Y354,"OVERDUE",IF($Y354&lt;=WORKDAY(TODAY(),1,Holidays),"DUE TOMORROW",IF($W354=4,"ESCALATED TO LOCAL OFFICE",IF($W354=5,"ESCALATED TO CBE",IF($X354=TODAY(),"EMAIL SENT","MONITORING"))))))))))</f>
        <v/>
      </c>
      <c r="U354" s="17">
        <f>IF($T354="",IF(AND(COUNTA($A354:$K354)&gt;0,$L354=""),"Awaiting Collection Email time stamp.",""),IF(OR($T354="PAID",$T354="CLOSED"),IF($T354="PAID","Account paid. Action completed.","Account closed. No further action required."),CHOOSE($W354,"Collection Email","1st Email Follow-up","2nd Email Follow-up","Escalation to Local Office","Escalation to CBE","Escalation to Roxanne")&amp;" sent "&amp;TEXT($X354,"dd-mmm")&amp;". "&amp;IF($W354=6,"Final escalation completed.",IF($T354="OVERDUE","Next: "&amp;$Z354&amp;" was due "&amp;TEXT($Y354,"dd-mmm")&amp;" - "&amp;(NETWORKDAYS($Y354,TODAY(),Holidays)-1)&amp;" business day(s) late. Send now.",IF($T354="DUE TOMORROW","Next: "&amp;$Z354&amp;IF($Y354&lt;=TODAY()," is due TODAY ("," is due next business day (")&amp;TEXT($Y354,"dd-mmm")&amp;").","Next: "&amp;$Z354&amp;" due "&amp;TEXT($Y354,"dd-mmm")&amp;" ("&amp;(NETWORKDAYS(TODAY(),$Y354,Holidays)-1)&amp;" business day(s) left).")))))</f>
        <v/>
      </c>
      <c r="V354" s="17">
        <f>IF($W354="","",CHOOSE($W354,"Collection Email","1st Follow-up","2nd Follow-up","Local Office","CBE","Roxanne")&amp;IF($W354=6," - Final"," - Day "&amp;MAX(0,NETWORKDAYS($X354,TODAY(),Holidays)-1)&amp;" of "&amp;CHOOSE($W354,3,3,2,2,3))&amp;" | Total Day "&amp;MAX(0,NETWORKDAYS($L354,TODAY(),Holidays)-1))</f>
        <v/>
      </c>
      <c r="W354" s="17">
        <f>IF($L354="","",COUNT($L354:$Q354))</f>
        <v/>
      </c>
      <c r="X354" s="18">
        <f>IF($W354="","",INT(INDEX($L354:$Q354,$W354)))</f>
        <v/>
      </c>
      <c r="Y354" s="18">
        <f>IF(OR($W354="",$W354=6),"",WORKDAY($X354,CHOOSE($W354,3,3,2,2,3),Holidays))</f>
        <v/>
      </c>
      <c r="Z354" s="17">
        <f>IF(OR($W354="",$W354=6),"",CHOOSE($W354,"1st Email Follow-up","2nd Email Follow-up","Escalate Local Office","Escalate to CBE","Escalate to Roxanne"))</f>
        <v/>
      </c>
    </row>
    <row r="355" spans="18:26">
      <c r="R355" s="15"/>
      <c r="S355" s="16"/>
      <c r="T355" s="17">
        <f>IF(AND(COUNTA($A355:$K355)=0,$L355=""),"",IF($S355="Paid","PAID",IF($S355="Closed","CLOSED",IF($W355="","",IF($W355=6,"ESCALATED TO ROXANNE",IF(TODAY()&gt;$Y355,"OVERDUE",IF($Y355&lt;=WORKDAY(TODAY(),1,Holidays),"DUE TOMORROW",IF($W355=4,"ESCALATED TO LOCAL OFFICE",IF($W355=5,"ESCALATED TO CBE",IF($X355=TODAY(),"EMAIL SENT","MONITORING"))))))))))</f>
        <v/>
      </c>
      <c r="U355" s="17">
        <f>IF($T355="",IF(AND(COUNTA($A355:$K355)&gt;0,$L355=""),"Awaiting Collection Email time stamp.",""),IF(OR($T355="PAID",$T355="CLOSED"),IF($T355="PAID","Account paid. Action completed.","Account closed. No further action required."),CHOOSE($W355,"Collection Email","1st Email Follow-up","2nd Email Follow-up","Escalation to Local Office","Escalation to CBE","Escalation to Roxanne")&amp;" sent "&amp;TEXT($X355,"dd-mmm")&amp;". "&amp;IF($W355=6,"Final escalation completed.",IF($T355="OVERDUE","Next: "&amp;$Z355&amp;" was due "&amp;TEXT($Y355,"dd-mmm")&amp;" - "&amp;(NETWORKDAYS($Y355,TODAY(),Holidays)-1)&amp;" business day(s) late. Send now.",IF($T355="DUE TOMORROW","Next: "&amp;$Z355&amp;IF($Y355&lt;=TODAY()," is due TODAY ("," is due next business day (")&amp;TEXT($Y355,"dd-mmm")&amp;").","Next: "&amp;$Z355&amp;" due "&amp;TEXT($Y355,"dd-mmm")&amp;" ("&amp;(NETWORKDAYS(TODAY(),$Y355,Holidays)-1)&amp;" business day(s) left).")))))</f>
        <v/>
      </c>
      <c r="V355" s="17">
        <f>IF($W355="","",CHOOSE($W355,"Collection Email","1st Follow-up","2nd Follow-up","Local Office","CBE","Roxanne")&amp;IF($W355=6," - Final"," - Day "&amp;MAX(0,NETWORKDAYS($X355,TODAY(),Holidays)-1)&amp;" of "&amp;CHOOSE($W355,3,3,2,2,3))&amp;" | Total Day "&amp;MAX(0,NETWORKDAYS($L355,TODAY(),Holidays)-1))</f>
        <v/>
      </c>
      <c r="W355" s="17">
        <f>IF($L355="","",COUNT($L355:$Q355))</f>
        <v/>
      </c>
      <c r="X355" s="18">
        <f>IF($W355="","",INT(INDEX($L355:$Q355,$W355)))</f>
        <v/>
      </c>
      <c r="Y355" s="18">
        <f>IF(OR($W355="",$W355=6),"",WORKDAY($X355,CHOOSE($W355,3,3,2,2,3),Holidays))</f>
        <v/>
      </c>
      <c r="Z355" s="17">
        <f>IF(OR($W355="",$W355=6),"",CHOOSE($W355,"1st Email Follow-up","2nd Email Follow-up","Escalate Local Office","Escalate to CBE","Escalate to Roxanne"))</f>
        <v/>
      </c>
    </row>
    <row r="356" spans="18:26">
      <c r="R356" s="15"/>
      <c r="S356" s="16"/>
      <c r="T356" s="17">
        <f>IF(AND(COUNTA($A356:$K356)=0,$L356=""),"",IF($S356="Paid","PAID",IF($S356="Closed","CLOSED",IF($W356="","",IF($W356=6,"ESCALATED TO ROXANNE",IF(TODAY()&gt;$Y356,"OVERDUE",IF($Y356&lt;=WORKDAY(TODAY(),1,Holidays),"DUE TOMORROW",IF($W356=4,"ESCALATED TO LOCAL OFFICE",IF($W356=5,"ESCALATED TO CBE",IF($X356=TODAY(),"EMAIL SENT","MONITORING"))))))))))</f>
        <v/>
      </c>
      <c r="U356" s="17">
        <f>IF($T356="",IF(AND(COUNTA($A356:$K356)&gt;0,$L356=""),"Awaiting Collection Email time stamp.",""),IF(OR($T356="PAID",$T356="CLOSED"),IF($T356="PAID","Account paid. Action completed.","Account closed. No further action required."),CHOOSE($W356,"Collection Email","1st Email Follow-up","2nd Email Follow-up","Escalation to Local Office","Escalation to CBE","Escalation to Roxanne")&amp;" sent "&amp;TEXT($X356,"dd-mmm")&amp;". "&amp;IF($W356=6,"Final escalation completed.",IF($T356="OVERDUE","Next: "&amp;$Z356&amp;" was due "&amp;TEXT($Y356,"dd-mmm")&amp;" - "&amp;(NETWORKDAYS($Y356,TODAY(),Holidays)-1)&amp;" business day(s) late. Send now.",IF($T356="DUE TOMORROW","Next: "&amp;$Z356&amp;IF($Y356&lt;=TODAY()," is due TODAY ("," is due next business day (")&amp;TEXT($Y356,"dd-mmm")&amp;").","Next: "&amp;$Z356&amp;" due "&amp;TEXT($Y356,"dd-mmm")&amp;" ("&amp;(NETWORKDAYS(TODAY(),$Y356,Holidays)-1)&amp;" business day(s) left).")))))</f>
        <v/>
      </c>
      <c r="V356" s="17">
        <f>IF($W356="","",CHOOSE($W356,"Collection Email","1st Follow-up","2nd Follow-up","Local Office","CBE","Roxanne")&amp;IF($W356=6," - Final"," - Day "&amp;MAX(0,NETWORKDAYS($X356,TODAY(),Holidays)-1)&amp;" of "&amp;CHOOSE($W356,3,3,2,2,3))&amp;" | Total Day "&amp;MAX(0,NETWORKDAYS($L356,TODAY(),Holidays)-1))</f>
        <v/>
      </c>
      <c r="W356" s="17">
        <f>IF($L356="","",COUNT($L356:$Q356))</f>
        <v/>
      </c>
      <c r="X356" s="18">
        <f>IF($W356="","",INT(INDEX($L356:$Q356,$W356)))</f>
        <v/>
      </c>
      <c r="Y356" s="18">
        <f>IF(OR($W356="",$W356=6),"",WORKDAY($X356,CHOOSE($W356,3,3,2,2,3),Holidays))</f>
        <v/>
      </c>
      <c r="Z356" s="17">
        <f>IF(OR($W356="",$W356=6),"",CHOOSE($W356,"1st Email Follow-up","2nd Email Follow-up","Escalate Local Office","Escalate to CBE","Escalate to Roxanne"))</f>
        <v/>
      </c>
    </row>
    <row r="357" spans="18:26">
      <c r="R357" s="15"/>
      <c r="S357" s="16"/>
      <c r="T357" s="17">
        <f>IF(AND(COUNTA($A357:$K357)=0,$L357=""),"",IF($S357="Paid","PAID",IF($S357="Closed","CLOSED",IF($W357="","",IF($W357=6,"ESCALATED TO ROXANNE",IF(TODAY()&gt;$Y357,"OVERDUE",IF($Y357&lt;=WORKDAY(TODAY(),1,Holidays),"DUE TOMORROW",IF($W357=4,"ESCALATED TO LOCAL OFFICE",IF($W357=5,"ESCALATED TO CBE",IF($X357=TODAY(),"EMAIL SENT","MONITORING"))))))))))</f>
        <v/>
      </c>
      <c r="U357" s="17">
        <f>IF($T357="",IF(AND(COUNTA($A357:$K357)&gt;0,$L357=""),"Awaiting Collection Email time stamp.",""),IF(OR($T357="PAID",$T357="CLOSED"),IF($T357="PAID","Account paid. Action completed.","Account closed. No further action required."),CHOOSE($W357,"Collection Email","1st Email Follow-up","2nd Email Follow-up","Escalation to Local Office","Escalation to CBE","Escalation to Roxanne")&amp;" sent "&amp;TEXT($X357,"dd-mmm")&amp;". "&amp;IF($W357=6,"Final escalation completed.",IF($T357="OVERDUE","Next: "&amp;$Z357&amp;" was due "&amp;TEXT($Y357,"dd-mmm")&amp;" - "&amp;(NETWORKDAYS($Y357,TODAY(),Holidays)-1)&amp;" business day(s) late. Send now.",IF($T357="DUE TOMORROW","Next: "&amp;$Z357&amp;IF($Y357&lt;=TODAY()," is due TODAY ("," is due next business day (")&amp;TEXT($Y357,"dd-mmm")&amp;").","Next: "&amp;$Z357&amp;" due "&amp;TEXT($Y357,"dd-mmm")&amp;" ("&amp;(NETWORKDAYS(TODAY(),$Y357,Holidays)-1)&amp;" business day(s) left).")))))</f>
        <v/>
      </c>
      <c r="V357" s="17">
        <f>IF($W357="","",CHOOSE($W357,"Collection Email","1st Follow-up","2nd Follow-up","Local Office","CBE","Roxanne")&amp;IF($W357=6," - Final"," - Day "&amp;MAX(0,NETWORKDAYS($X357,TODAY(),Holidays)-1)&amp;" of "&amp;CHOOSE($W357,3,3,2,2,3))&amp;" | Total Day "&amp;MAX(0,NETWORKDAYS($L357,TODAY(),Holidays)-1))</f>
        <v/>
      </c>
      <c r="W357" s="17">
        <f>IF($L357="","",COUNT($L357:$Q357))</f>
        <v/>
      </c>
      <c r="X357" s="18">
        <f>IF($W357="","",INT(INDEX($L357:$Q357,$W357)))</f>
        <v/>
      </c>
      <c r="Y357" s="18">
        <f>IF(OR($W357="",$W357=6),"",WORKDAY($X357,CHOOSE($W357,3,3,2,2,3),Holidays))</f>
        <v/>
      </c>
      <c r="Z357" s="17">
        <f>IF(OR($W357="",$W357=6),"",CHOOSE($W357,"1st Email Follow-up","2nd Email Follow-up","Escalate Local Office","Escalate to CBE","Escalate to Roxanne"))</f>
        <v/>
      </c>
    </row>
    <row r="358" spans="18:26">
      <c r="R358" s="15"/>
      <c r="S358" s="16"/>
      <c r="T358" s="17">
        <f>IF(AND(COUNTA($A358:$K358)=0,$L358=""),"",IF($S358="Paid","PAID",IF($S358="Closed","CLOSED",IF($W358="","",IF($W358=6,"ESCALATED TO ROXANNE",IF(TODAY()&gt;$Y358,"OVERDUE",IF($Y358&lt;=WORKDAY(TODAY(),1,Holidays),"DUE TOMORROW",IF($W358=4,"ESCALATED TO LOCAL OFFICE",IF($W358=5,"ESCALATED TO CBE",IF($X358=TODAY(),"EMAIL SENT","MONITORING"))))))))))</f>
        <v/>
      </c>
      <c r="U358" s="17">
        <f>IF($T358="",IF(AND(COUNTA($A358:$K358)&gt;0,$L358=""),"Awaiting Collection Email time stamp.",""),IF(OR($T358="PAID",$T358="CLOSED"),IF($T358="PAID","Account paid. Action completed.","Account closed. No further action required."),CHOOSE($W358,"Collection Email","1st Email Follow-up","2nd Email Follow-up","Escalation to Local Office","Escalation to CBE","Escalation to Roxanne")&amp;" sent "&amp;TEXT($X358,"dd-mmm")&amp;". "&amp;IF($W358=6,"Final escalation completed.",IF($T358="OVERDUE","Next: "&amp;$Z358&amp;" was due "&amp;TEXT($Y358,"dd-mmm")&amp;" - "&amp;(NETWORKDAYS($Y358,TODAY(),Holidays)-1)&amp;" business day(s) late. Send now.",IF($T358="DUE TOMORROW","Next: "&amp;$Z358&amp;IF($Y358&lt;=TODAY()," is due TODAY ("," is due next business day (")&amp;TEXT($Y358,"dd-mmm")&amp;").","Next: "&amp;$Z358&amp;" due "&amp;TEXT($Y358,"dd-mmm")&amp;" ("&amp;(NETWORKDAYS(TODAY(),$Y358,Holidays)-1)&amp;" business day(s) left).")))))</f>
        <v/>
      </c>
      <c r="V358" s="17">
        <f>IF($W358="","",CHOOSE($W358,"Collection Email","1st Follow-up","2nd Follow-up","Local Office","CBE","Roxanne")&amp;IF($W358=6," - Final"," - Day "&amp;MAX(0,NETWORKDAYS($X358,TODAY(),Holidays)-1)&amp;" of "&amp;CHOOSE($W358,3,3,2,2,3))&amp;" | Total Day "&amp;MAX(0,NETWORKDAYS($L358,TODAY(),Holidays)-1))</f>
        <v/>
      </c>
      <c r="W358" s="17">
        <f>IF($L358="","",COUNT($L358:$Q358))</f>
        <v/>
      </c>
      <c r="X358" s="18">
        <f>IF($W358="","",INT(INDEX($L358:$Q358,$W358)))</f>
        <v/>
      </c>
      <c r="Y358" s="18">
        <f>IF(OR($W358="",$W358=6),"",WORKDAY($X358,CHOOSE($W358,3,3,2,2,3),Holidays))</f>
        <v/>
      </c>
      <c r="Z358" s="17">
        <f>IF(OR($W358="",$W358=6),"",CHOOSE($W358,"1st Email Follow-up","2nd Email Follow-up","Escalate Local Office","Escalate to CBE","Escalate to Roxanne"))</f>
        <v/>
      </c>
    </row>
    <row r="359" spans="18:26">
      <c r="R359" s="15"/>
      <c r="S359" s="16"/>
      <c r="T359" s="17">
        <f>IF(AND(COUNTA($A359:$K359)=0,$L359=""),"",IF($S359="Paid","PAID",IF($S359="Closed","CLOSED",IF($W359="","",IF($W359=6,"ESCALATED TO ROXANNE",IF(TODAY()&gt;$Y359,"OVERDUE",IF($Y359&lt;=WORKDAY(TODAY(),1,Holidays),"DUE TOMORROW",IF($W359=4,"ESCALATED TO LOCAL OFFICE",IF($W359=5,"ESCALATED TO CBE",IF($X359=TODAY(),"EMAIL SENT","MONITORING"))))))))))</f>
        <v/>
      </c>
      <c r="U359" s="17">
        <f>IF($T359="",IF(AND(COUNTA($A359:$K359)&gt;0,$L359=""),"Awaiting Collection Email time stamp.",""),IF(OR($T359="PAID",$T359="CLOSED"),IF($T359="PAID","Account paid. Action completed.","Account closed. No further action required."),CHOOSE($W359,"Collection Email","1st Email Follow-up","2nd Email Follow-up","Escalation to Local Office","Escalation to CBE","Escalation to Roxanne")&amp;" sent "&amp;TEXT($X359,"dd-mmm")&amp;". "&amp;IF($W359=6,"Final escalation completed.",IF($T359="OVERDUE","Next: "&amp;$Z359&amp;" was due "&amp;TEXT($Y359,"dd-mmm")&amp;" - "&amp;(NETWORKDAYS($Y359,TODAY(),Holidays)-1)&amp;" business day(s) late. Send now.",IF($T359="DUE TOMORROW","Next: "&amp;$Z359&amp;IF($Y359&lt;=TODAY()," is due TODAY ("," is due next business day (")&amp;TEXT($Y359,"dd-mmm")&amp;").","Next: "&amp;$Z359&amp;" due "&amp;TEXT($Y359,"dd-mmm")&amp;" ("&amp;(NETWORKDAYS(TODAY(),$Y359,Holidays)-1)&amp;" business day(s) left).")))))</f>
        <v/>
      </c>
      <c r="V359" s="17">
        <f>IF($W359="","",CHOOSE($W359,"Collection Email","1st Follow-up","2nd Follow-up","Local Office","CBE","Roxanne")&amp;IF($W359=6," - Final"," - Day "&amp;MAX(0,NETWORKDAYS($X359,TODAY(),Holidays)-1)&amp;" of "&amp;CHOOSE($W359,3,3,2,2,3))&amp;" | Total Day "&amp;MAX(0,NETWORKDAYS($L359,TODAY(),Holidays)-1))</f>
        <v/>
      </c>
      <c r="W359" s="17">
        <f>IF($L359="","",COUNT($L359:$Q359))</f>
        <v/>
      </c>
      <c r="X359" s="18">
        <f>IF($W359="","",INT(INDEX($L359:$Q359,$W359)))</f>
        <v/>
      </c>
      <c r="Y359" s="18">
        <f>IF(OR($W359="",$W359=6),"",WORKDAY($X359,CHOOSE($W359,3,3,2,2,3),Holidays))</f>
        <v/>
      </c>
      <c r="Z359" s="17">
        <f>IF(OR($W359="",$W359=6),"",CHOOSE($W359,"1st Email Follow-up","2nd Email Follow-up","Escalate Local Office","Escalate to CBE","Escalate to Roxanne"))</f>
        <v/>
      </c>
    </row>
    <row r="360" spans="18:26">
      <c r="R360" s="15"/>
      <c r="S360" s="16"/>
      <c r="T360" s="17">
        <f>IF(AND(COUNTA($A360:$K360)=0,$L360=""),"",IF($S360="Paid","PAID",IF($S360="Closed","CLOSED",IF($W360="","",IF($W360=6,"ESCALATED TO ROXANNE",IF(TODAY()&gt;$Y360,"OVERDUE",IF($Y360&lt;=WORKDAY(TODAY(),1,Holidays),"DUE TOMORROW",IF($W360=4,"ESCALATED TO LOCAL OFFICE",IF($W360=5,"ESCALATED TO CBE",IF($X360=TODAY(),"EMAIL SENT","MONITORING"))))))))))</f>
        <v/>
      </c>
      <c r="U360" s="17">
        <f>IF($T360="",IF(AND(COUNTA($A360:$K360)&gt;0,$L360=""),"Awaiting Collection Email time stamp.",""),IF(OR($T360="PAID",$T360="CLOSED"),IF($T360="PAID","Account paid. Action completed.","Account closed. No further action required."),CHOOSE($W360,"Collection Email","1st Email Follow-up","2nd Email Follow-up","Escalation to Local Office","Escalation to CBE","Escalation to Roxanne")&amp;" sent "&amp;TEXT($X360,"dd-mmm")&amp;". "&amp;IF($W360=6,"Final escalation completed.",IF($T360="OVERDUE","Next: "&amp;$Z360&amp;" was due "&amp;TEXT($Y360,"dd-mmm")&amp;" - "&amp;(NETWORKDAYS($Y360,TODAY(),Holidays)-1)&amp;" business day(s) late. Send now.",IF($T360="DUE TOMORROW","Next: "&amp;$Z360&amp;IF($Y360&lt;=TODAY()," is due TODAY ("," is due next business day (")&amp;TEXT($Y360,"dd-mmm")&amp;").","Next: "&amp;$Z360&amp;" due "&amp;TEXT($Y360,"dd-mmm")&amp;" ("&amp;(NETWORKDAYS(TODAY(),$Y360,Holidays)-1)&amp;" business day(s) left).")))))</f>
        <v/>
      </c>
      <c r="V360" s="17">
        <f>IF($W360="","",CHOOSE($W360,"Collection Email","1st Follow-up","2nd Follow-up","Local Office","CBE","Roxanne")&amp;IF($W360=6," - Final"," - Day "&amp;MAX(0,NETWORKDAYS($X360,TODAY(),Holidays)-1)&amp;" of "&amp;CHOOSE($W360,3,3,2,2,3))&amp;" | Total Day "&amp;MAX(0,NETWORKDAYS($L360,TODAY(),Holidays)-1))</f>
        <v/>
      </c>
      <c r="W360" s="17">
        <f>IF($L360="","",COUNT($L360:$Q360))</f>
        <v/>
      </c>
      <c r="X360" s="18">
        <f>IF($W360="","",INT(INDEX($L360:$Q360,$W360)))</f>
        <v/>
      </c>
      <c r="Y360" s="18">
        <f>IF(OR($W360="",$W360=6),"",WORKDAY($X360,CHOOSE($W360,3,3,2,2,3),Holidays))</f>
        <v/>
      </c>
      <c r="Z360" s="17">
        <f>IF(OR($W360="",$W360=6),"",CHOOSE($W360,"1st Email Follow-up","2nd Email Follow-up","Escalate Local Office","Escalate to CBE","Escalate to Roxanne"))</f>
        <v/>
      </c>
    </row>
    <row r="361" spans="18:26">
      <c r="R361" s="15"/>
      <c r="S361" s="16"/>
      <c r="T361" s="17">
        <f>IF(AND(COUNTA($A361:$K361)=0,$L361=""),"",IF($S361="Paid","PAID",IF($S361="Closed","CLOSED",IF($W361="","",IF($W361=6,"ESCALATED TO ROXANNE",IF(TODAY()&gt;$Y361,"OVERDUE",IF($Y361&lt;=WORKDAY(TODAY(),1,Holidays),"DUE TOMORROW",IF($W361=4,"ESCALATED TO LOCAL OFFICE",IF($W361=5,"ESCALATED TO CBE",IF($X361=TODAY(),"EMAIL SENT","MONITORING"))))))))))</f>
        <v/>
      </c>
      <c r="U361" s="17">
        <f>IF($T361="",IF(AND(COUNTA($A361:$K361)&gt;0,$L361=""),"Awaiting Collection Email time stamp.",""),IF(OR($T361="PAID",$T361="CLOSED"),IF($T361="PAID","Account paid. Action completed.","Account closed. No further action required."),CHOOSE($W361,"Collection Email","1st Email Follow-up","2nd Email Follow-up","Escalation to Local Office","Escalation to CBE","Escalation to Roxanne")&amp;" sent "&amp;TEXT($X361,"dd-mmm")&amp;". "&amp;IF($W361=6,"Final escalation completed.",IF($T361="OVERDUE","Next: "&amp;$Z361&amp;" was due "&amp;TEXT($Y361,"dd-mmm")&amp;" - "&amp;(NETWORKDAYS($Y361,TODAY(),Holidays)-1)&amp;" business day(s) late. Send now.",IF($T361="DUE TOMORROW","Next: "&amp;$Z361&amp;IF($Y361&lt;=TODAY()," is due TODAY ("," is due next business day (")&amp;TEXT($Y361,"dd-mmm")&amp;").","Next: "&amp;$Z361&amp;" due "&amp;TEXT($Y361,"dd-mmm")&amp;" ("&amp;(NETWORKDAYS(TODAY(),$Y361,Holidays)-1)&amp;" business day(s) left).")))))</f>
        <v/>
      </c>
      <c r="V361" s="17">
        <f>IF($W361="","",CHOOSE($W361,"Collection Email","1st Follow-up","2nd Follow-up","Local Office","CBE","Roxanne")&amp;IF($W361=6," - Final"," - Day "&amp;MAX(0,NETWORKDAYS($X361,TODAY(),Holidays)-1)&amp;" of "&amp;CHOOSE($W361,3,3,2,2,3))&amp;" | Total Day "&amp;MAX(0,NETWORKDAYS($L361,TODAY(),Holidays)-1))</f>
        <v/>
      </c>
      <c r="W361" s="17">
        <f>IF($L361="","",COUNT($L361:$Q361))</f>
        <v/>
      </c>
      <c r="X361" s="18">
        <f>IF($W361="","",INT(INDEX($L361:$Q361,$W361)))</f>
        <v/>
      </c>
      <c r="Y361" s="18">
        <f>IF(OR($W361="",$W361=6),"",WORKDAY($X361,CHOOSE($W361,3,3,2,2,3),Holidays))</f>
        <v/>
      </c>
      <c r="Z361" s="17">
        <f>IF(OR($W361="",$W361=6),"",CHOOSE($W361,"1st Email Follow-up","2nd Email Follow-up","Escalate Local Office","Escalate to CBE","Escalate to Roxanne"))</f>
        <v/>
      </c>
    </row>
    <row r="362" spans="18:26">
      <c r="R362" s="15"/>
      <c r="S362" s="16"/>
      <c r="T362" s="17">
        <f>IF(AND(COUNTA($A362:$K362)=0,$L362=""),"",IF($S362="Paid","PAID",IF($S362="Closed","CLOSED",IF($W362="","",IF($W362=6,"ESCALATED TO ROXANNE",IF(TODAY()&gt;$Y362,"OVERDUE",IF($Y362&lt;=WORKDAY(TODAY(),1,Holidays),"DUE TOMORROW",IF($W362=4,"ESCALATED TO LOCAL OFFICE",IF($W362=5,"ESCALATED TO CBE",IF($X362=TODAY(),"EMAIL SENT","MONITORING"))))))))))</f>
        <v/>
      </c>
      <c r="U362" s="17">
        <f>IF($T362="",IF(AND(COUNTA($A362:$K362)&gt;0,$L362=""),"Awaiting Collection Email time stamp.",""),IF(OR($T362="PAID",$T362="CLOSED"),IF($T362="PAID","Account paid. Action completed.","Account closed. No further action required."),CHOOSE($W362,"Collection Email","1st Email Follow-up","2nd Email Follow-up","Escalation to Local Office","Escalation to CBE","Escalation to Roxanne")&amp;" sent "&amp;TEXT($X362,"dd-mmm")&amp;". "&amp;IF($W362=6,"Final escalation completed.",IF($T362="OVERDUE","Next: "&amp;$Z362&amp;" was due "&amp;TEXT($Y362,"dd-mmm")&amp;" - "&amp;(NETWORKDAYS($Y362,TODAY(),Holidays)-1)&amp;" business day(s) late. Send now.",IF($T362="DUE TOMORROW","Next: "&amp;$Z362&amp;IF($Y362&lt;=TODAY()," is due TODAY ("," is due next business day (")&amp;TEXT($Y362,"dd-mmm")&amp;").","Next: "&amp;$Z362&amp;" due "&amp;TEXT($Y362,"dd-mmm")&amp;" ("&amp;(NETWORKDAYS(TODAY(),$Y362,Holidays)-1)&amp;" business day(s) left).")))))</f>
        <v/>
      </c>
      <c r="V362" s="17">
        <f>IF($W362="","",CHOOSE($W362,"Collection Email","1st Follow-up","2nd Follow-up","Local Office","CBE","Roxanne")&amp;IF($W362=6," - Final"," - Day "&amp;MAX(0,NETWORKDAYS($X362,TODAY(),Holidays)-1)&amp;" of "&amp;CHOOSE($W362,3,3,2,2,3))&amp;" | Total Day "&amp;MAX(0,NETWORKDAYS($L362,TODAY(),Holidays)-1))</f>
        <v/>
      </c>
      <c r="W362" s="17">
        <f>IF($L362="","",COUNT($L362:$Q362))</f>
        <v/>
      </c>
      <c r="X362" s="18">
        <f>IF($W362="","",INT(INDEX($L362:$Q362,$W362)))</f>
        <v/>
      </c>
      <c r="Y362" s="18">
        <f>IF(OR($W362="",$W362=6),"",WORKDAY($X362,CHOOSE($W362,3,3,2,2,3),Holidays))</f>
        <v/>
      </c>
      <c r="Z362" s="17">
        <f>IF(OR($W362="",$W362=6),"",CHOOSE($W362,"1st Email Follow-up","2nd Email Follow-up","Escalate Local Office","Escalate to CBE","Escalate to Roxanne"))</f>
        <v/>
      </c>
    </row>
    <row r="363" spans="18:26">
      <c r="R363" s="15"/>
      <c r="S363" s="16"/>
      <c r="T363" s="17">
        <f>IF(AND(COUNTA($A363:$K363)=0,$L363=""),"",IF($S363="Paid","PAID",IF($S363="Closed","CLOSED",IF($W363="","",IF($W363=6,"ESCALATED TO ROXANNE",IF(TODAY()&gt;$Y363,"OVERDUE",IF($Y363&lt;=WORKDAY(TODAY(),1,Holidays),"DUE TOMORROW",IF($W363=4,"ESCALATED TO LOCAL OFFICE",IF($W363=5,"ESCALATED TO CBE",IF($X363=TODAY(),"EMAIL SENT","MONITORING"))))))))))</f>
        <v/>
      </c>
      <c r="U363" s="17">
        <f>IF($T363="",IF(AND(COUNTA($A363:$K363)&gt;0,$L363=""),"Awaiting Collection Email time stamp.",""),IF(OR($T363="PAID",$T363="CLOSED"),IF($T363="PAID","Account paid. Action completed.","Account closed. No further action required."),CHOOSE($W363,"Collection Email","1st Email Follow-up","2nd Email Follow-up","Escalation to Local Office","Escalation to CBE","Escalation to Roxanne")&amp;" sent "&amp;TEXT($X363,"dd-mmm")&amp;". "&amp;IF($W363=6,"Final escalation completed.",IF($T363="OVERDUE","Next: "&amp;$Z363&amp;" was due "&amp;TEXT($Y363,"dd-mmm")&amp;" - "&amp;(NETWORKDAYS($Y363,TODAY(),Holidays)-1)&amp;" business day(s) late. Send now.",IF($T363="DUE TOMORROW","Next: "&amp;$Z363&amp;IF($Y363&lt;=TODAY()," is due TODAY ("," is due next business day (")&amp;TEXT($Y363,"dd-mmm")&amp;").","Next: "&amp;$Z363&amp;" due "&amp;TEXT($Y363,"dd-mmm")&amp;" ("&amp;(NETWORKDAYS(TODAY(),$Y363,Holidays)-1)&amp;" business day(s) left).")))))</f>
        <v/>
      </c>
      <c r="V363" s="17">
        <f>IF($W363="","",CHOOSE($W363,"Collection Email","1st Follow-up","2nd Follow-up","Local Office","CBE","Roxanne")&amp;IF($W363=6," - Final"," - Day "&amp;MAX(0,NETWORKDAYS($X363,TODAY(),Holidays)-1)&amp;" of "&amp;CHOOSE($W363,3,3,2,2,3))&amp;" | Total Day "&amp;MAX(0,NETWORKDAYS($L363,TODAY(),Holidays)-1))</f>
        <v/>
      </c>
      <c r="W363" s="17">
        <f>IF($L363="","",COUNT($L363:$Q363))</f>
        <v/>
      </c>
      <c r="X363" s="18">
        <f>IF($W363="","",INT(INDEX($L363:$Q363,$W363)))</f>
        <v/>
      </c>
      <c r="Y363" s="18">
        <f>IF(OR($W363="",$W363=6),"",WORKDAY($X363,CHOOSE($W363,3,3,2,2,3),Holidays))</f>
        <v/>
      </c>
      <c r="Z363" s="17">
        <f>IF(OR($W363="",$W363=6),"",CHOOSE($W363,"1st Email Follow-up","2nd Email Follow-up","Escalate Local Office","Escalate to CBE","Escalate to Roxanne"))</f>
        <v/>
      </c>
    </row>
    <row r="364" spans="18:26">
      <c r="R364" s="15"/>
      <c r="S364" s="16"/>
      <c r="T364" s="17">
        <f>IF(AND(COUNTA($A364:$K364)=0,$L364=""),"",IF($S364="Paid","PAID",IF($S364="Closed","CLOSED",IF($W364="","",IF($W364=6,"ESCALATED TO ROXANNE",IF(TODAY()&gt;$Y364,"OVERDUE",IF($Y364&lt;=WORKDAY(TODAY(),1,Holidays),"DUE TOMORROW",IF($W364=4,"ESCALATED TO LOCAL OFFICE",IF($W364=5,"ESCALATED TO CBE",IF($X364=TODAY(),"EMAIL SENT","MONITORING"))))))))))</f>
        <v/>
      </c>
      <c r="U364" s="17">
        <f>IF($T364="",IF(AND(COUNTA($A364:$K364)&gt;0,$L364=""),"Awaiting Collection Email time stamp.",""),IF(OR($T364="PAID",$T364="CLOSED"),IF($T364="PAID","Account paid. Action completed.","Account closed. No further action required."),CHOOSE($W364,"Collection Email","1st Email Follow-up","2nd Email Follow-up","Escalation to Local Office","Escalation to CBE","Escalation to Roxanne")&amp;" sent "&amp;TEXT($X364,"dd-mmm")&amp;". "&amp;IF($W364=6,"Final escalation completed.",IF($T364="OVERDUE","Next: "&amp;$Z364&amp;" was due "&amp;TEXT($Y364,"dd-mmm")&amp;" - "&amp;(NETWORKDAYS($Y364,TODAY(),Holidays)-1)&amp;" business day(s) late. Send now.",IF($T364="DUE TOMORROW","Next: "&amp;$Z364&amp;IF($Y364&lt;=TODAY()," is due TODAY ("," is due next business day (")&amp;TEXT($Y364,"dd-mmm")&amp;").","Next: "&amp;$Z364&amp;" due "&amp;TEXT($Y364,"dd-mmm")&amp;" ("&amp;(NETWORKDAYS(TODAY(),$Y364,Holidays)-1)&amp;" business day(s) left).")))))</f>
        <v/>
      </c>
      <c r="V364" s="17">
        <f>IF($W364="","",CHOOSE($W364,"Collection Email","1st Follow-up","2nd Follow-up","Local Office","CBE","Roxanne")&amp;IF($W364=6," - Final"," - Day "&amp;MAX(0,NETWORKDAYS($X364,TODAY(),Holidays)-1)&amp;" of "&amp;CHOOSE($W364,3,3,2,2,3))&amp;" | Total Day "&amp;MAX(0,NETWORKDAYS($L364,TODAY(),Holidays)-1))</f>
        <v/>
      </c>
      <c r="W364" s="17">
        <f>IF($L364="","",COUNT($L364:$Q364))</f>
        <v/>
      </c>
      <c r="X364" s="18">
        <f>IF($W364="","",INT(INDEX($L364:$Q364,$W364)))</f>
        <v/>
      </c>
      <c r="Y364" s="18">
        <f>IF(OR($W364="",$W364=6),"",WORKDAY($X364,CHOOSE($W364,3,3,2,2,3),Holidays))</f>
        <v/>
      </c>
      <c r="Z364" s="17">
        <f>IF(OR($W364="",$W364=6),"",CHOOSE($W364,"1st Email Follow-up","2nd Email Follow-up","Escalate Local Office","Escalate to CBE","Escalate to Roxanne"))</f>
        <v/>
      </c>
    </row>
    <row r="365" spans="18:26">
      <c r="R365" s="15"/>
      <c r="S365" s="16"/>
      <c r="T365" s="17">
        <f>IF(AND(COUNTA($A365:$K365)=0,$L365=""),"",IF($S365="Paid","PAID",IF($S365="Closed","CLOSED",IF($W365="","",IF($W365=6,"ESCALATED TO ROXANNE",IF(TODAY()&gt;$Y365,"OVERDUE",IF($Y365&lt;=WORKDAY(TODAY(),1,Holidays),"DUE TOMORROW",IF($W365=4,"ESCALATED TO LOCAL OFFICE",IF($W365=5,"ESCALATED TO CBE",IF($X365=TODAY(),"EMAIL SENT","MONITORING"))))))))))</f>
        <v/>
      </c>
      <c r="U365" s="17">
        <f>IF($T365="",IF(AND(COUNTA($A365:$K365)&gt;0,$L365=""),"Awaiting Collection Email time stamp.",""),IF(OR($T365="PAID",$T365="CLOSED"),IF($T365="PAID","Account paid. Action completed.","Account closed. No further action required."),CHOOSE($W365,"Collection Email","1st Email Follow-up","2nd Email Follow-up","Escalation to Local Office","Escalation to CBE","Escalation to Roxanne")&amp;" sent "&amp;TEXT($X365,"dd-mmm")&amp;". "&amp;IF($W365=6,"Final escalation completed.",IF($T365="OVERDUE","Next: "&amp;$Z365&amp;" was due "&amp;TEXT($Y365,"dd-mmm")&amp;" - "&amp;(NETWORKDAYS($Y365,TODAY(),Holidays)-1)&amp;" business day(s) late. Send now.",IF($T365="DUE TOMORROW","Next: "&amp;$Z365&amp;IF($Y365&lt;=TODAY()," is due TODAY ("," is due next business day (")&amp;TEXT($Y365,"dd-mmm")&amp;").","Next: "&amp;$Z365&amp;" due "&amp;TEXT($Y365,"dd-mmm")&amp;" ("&amp;(NETWORKDAYS(TODAY(),$Y365,Holidays)-1)&amp;" business day(s) left).")))))</f>
        <v/>
      </c>
      <c r="V365" s="17">
        <f>IF($W365="","",CHOOSE($W365,"Collection Email","1st Follow-up","2nd Follow-up","Local Office","CBE","Roxanne")&amp;IF($W365=6," - Final"," - Day "&amp;MAX(0,NETWORKDAYS($X365,TODAY(),Holidays)-1)&amp;" of "&amp;CHOOSE($W365,3,3,2,2,3))&amp;" | Total Day "&amp;MAX(0,NETWORKDAYS($L365,TODAY(),Holidays)-1))</f>
        <v/>
      </c>
      <c r="W365" s="17">
        <f>IF($L365="","",COUNT($L365:$Q365))</f>
        <v/>
      </c>
      <c r="X365" s="18">
        <f>IF($W365="","",INT(INDEX($L365:$Q365,$W365)))</f>
        <v/>
      </c>
      <c r="Y365" s="18">
        <f>IF(OR($W365="",$W365=6),"",WORKDAY($X365,CHOOSE($W365,3,3,2,2,3),Holidays))</f>
        <v/>
      </c>
      <c r="Z365" s="17">
        <f>IF(OR($W365="",$W365=6),"",CHOOSE($W365,"1st Email Follow-up","2nd Email Follow-up","Escalate Local Office","Escalate to CBE","Escalate to Roxanne"))</f>
        <v/>
      </c>
    </row>
    <row r="366" spans="18:26">
      <c r="R366" s="15"/>
      <c r="S366" s="16"/>
      <c r="T366" s="17">
        <f>IF(AND(COUNTA($A366:$K366)=0,$L366=""),"",IF($S366="Paid","PAID",IF($S366="Closed","CLOSED",IF($W366="","",IF($W366=6,"ESCALATED TO ROXANNE",IF(TODAY()&gt;$Y366,"OVERDUE",IF($Y366&lt;=WORKDAY(TODAY(),1,Holidays),"DUE TOMORROW",IF($W366=4,"ESCALATED TO LOCAL OFFICE",IF($W366=5,"ESCALATED TO CBE",IF($X366=TODAY(),"EMAIL SENT","MONITORING"))))))))))</f>
        <v/>
      </c>
      <c r="U366" s="17">
        <f>IF($T366="",IF(AND(COUNTA($A366:$K366)&gt;0,$L366=""),"Awaiting Collection Email time stamp.",""),IF(OR($T366="PAID",$T366="CLOSED"),IF($T366="PAID","Account paid. Action completed.","Account closed. No further action required."),CHOOSE($W366,"Collection Email","1st Email Follow-up","2nd Email Follow-up","Escalation to Local Office","Escalation to CBE","Escalation to Roxanne")&amp;" sent "&amp;TEXT($X366,"dd-mmm")&amp;". "&amp;IF($W366=6,"Final escalation completed.",IF($T366="OVERDUE","Next: "&amp;$Z366&amp;" was due "&amp;TEXT($Y366,"dd-mmm")&amp;" - "&amp;(NETWORKDAYS($Y366,TODAY(),Holidays)-1)&amp;" business day(s) late. Send now.",IF($T366="DUE TOMORROW","Next: "&amp;$Z366&amp;IF($Y366&lt;=TODAY()," is due TODAY ("," is due next business day (")&amp;TEXT($Y366,"dd-mmm")&amp;").","Next: "&amp;$Z366&amp;" due "&amp;TEXT($Y366,"dd-mmm")&amp;" ("&amp;(NETWORKDAYS(TODAY(),$Y366,Holidays)-1)&amp;" business day(s) left).")))))</f>
        <v/>
      </c>
      <c r="V366" s="17">
        <f>IF($W366="","",CHOOSE($W366,"Collection Email","1st Follow-up","2nd Follow-up","Local Office","CBE","Roxanne")&amp;IF($W366=6," - Final"," - Day "&amp;MAX(0,NETWORKDAYS($X366,TODAY(),Holidays)-1)&amp;" of "&amp;CHOOSE($W366,3,3,2,2,3))&amp;" | Total Day "&amp;MAX(0,NETWORKDAYS($L366,TODAY(),Holidays)-1))</f>
        <v/>
      </c>
      <c r="W366" s="17">
        <f>IF($L366="","",COUNT($L366:$Q366))</f>
        <v/>
      </c>
      <c r="X366" s="18">
        <f>IF($W366="","",INT(INDEX($L366:$Q366,$W366)))</f>
        <v/>
      </c>
      <c r="Y366" s="18">
        <f>IF(OR($W366="",$W366=6),"",WORKDAY($X366,CHOOSE($W366,3,3,2,2,3),Holidays))</f>
        <v/>
      </c>
      <c r="Z366" s="17">
        <f>IF(OR($W366="",$W366=6),"",CHOOSE($W366,"1st Email Follow-up","2nd Email Follow-up","Escalate Local Office","Escalate to CBE","Escalate to Roxanne"))</f>
        <v/>
      </c>
    </row>
    <row r="367" spans="18:26">
      <c r="R367" s="15"/>
      <c r="S367" s="16"/>
      <c r="T367" s="17">
        <f>IF(AND(COUNTA($A367:$K367)=0,$L367=""),"",IF($S367="Paid","PAID",IF($S367="Closed","CLOSED",IF($W367="","",IF($W367=6,"ESCALATED TO ROXANNE",IF(TODAY()&gt;$Y367,"OVERDUE",IF($Y367&lt;=WORKDAY(TODAY(),1,Holidays),"DUE TOMORROW",IF($W367=4,"ESCALATED TO LOCAL OFFICE",IF($W367=5,"ESCALATED TO CBE",IF($X367=TODAY(),"EMAIL SENT","MONITORING"))))))))))</f>
        <v/>
      </c>
      <c r="U367" s="17">
        <f>IF($T367="",IF(AND(COUNTA($A367:$K367)&gt;0,$L367=""),"Awaiting Collection Email time stamp.",""),IF(OR($T367="PAID",$T367="CLOSED"),IF($T367="PAID","Account paid. Action completed.","Account closed. No further action required."),CHOOSE($W367,"Collection Email","1st Email Follow-up","2nd Email Follow-up","Escalation to Local Office","Escalation to CBE","Escalation to Roxanne")&amp;" sent "&amp;TEXT($X367,"dd-mmm")&amp;". "&amp;IF($W367=6,"Final escalation completed.",IF($T367="OVERDUE","Next: "&amp;$Z367&amp;" was due "&amp;TEXT($Y367,"dd-mmm")&amp;" - "&amp;(NETWORKDAYS($Y367,TODAY(),Holidays)-1)&amp;" business day(s) late. Send now.",IF($T367="DUE TOMORROW","Next: "&amp;$Z367&amp;IF($Y367&lt;=TODAY()," is due TODAY ("," is due next business day (")&amp;TEXT($Y367,"dd-mmm")&amp;").","Next: "&amp;$Z367&amp;" due "&amp;TEXT($Y367,"dd-mmm")&amp;" ("&amp;(NETWORKDAYS(TODAY(),$Y367,Holidays)-1)&amp;" business day(s) left).")))))</f>
        <v/>
      </c>
      <c r="V367" s="17">
        <f>IF($W367="","",CHOOSE($W367,"Collection Email","1st Follow-up","2nd Follow-up","Local Office","CBE","Roxanne")&amp;IF($W367=6," - Final"," - Day "&amp;MAX(0,NETWORKDAYS($X367,TODAY(),Holidays)-1)&amp;" of "&amp;CHOOSE($W367,3,3,2,2,3))&amp;" | Total Day "&amp;MAX(0,NETWORKDAYS($L367,TODAY(),Holidays)-1))</f>
        <v/>
      </c>
      <c r="W367" s="17">
        <f>IF($L367="","",COUNT($L367:$Q367))</f>
        <v/>
      </c>
      <c r="X367" s="18">
        <f>IF($W367="","",INT(INDEX($L367:$Q367,$W367)))</f>
        <v/>
      </c>
      <c r="Y367" s="18">
        <f>IF(OR($W367="",$W367=6),"",WORKDAY($X367,CHOOSE($W367,3,3,2,2,3),Holidays))</f>
        <v/>
      </c>
      <c r="Z367" s="17">
        <f>IF(OR($W367="",$W367=6),"",CHOOSE($W367,"1st Email Follow-up","2nd Email Follow-up","Escalate Local Office","Escalate to CBE","Escalate to Roxanne"))</f>
        <v/>
      </c>
    </row>
    <row r="368" spans="18:26">
      <c r="R368" s="15"/>
      <c r="S368" s="16"/>
      <c r="T368" s="17">
        <f>IF(AND(COUNTA($A368:$K368)=0,$L368=""),"",IF($S368="Paid","PAID",IF($S368="Closed","CLOSED",IF($W368="","",IF($W368=6,"ESCALATED TO ROXANNE",IF(TODAY()&gt;$Y368,"OVERDUE",IF($Y368&lt;=WORKDAY(TODAY(),1,Holidays),"DUE TOMORROW",IF($W368=4,"ESCALATED TO LOCAL OFFICE",IF($W368=5,"ESCALATED TO CBE",IF($X368=TODAY(),"EMAIL SENT","MONITORING"))))))))))</f>
        <v/>
      </c>
      <c r="U368" s="17">
        <f>IF($T368="",IF(AND(COUNTA($A368:$K368)&gt;0,$L368=""),"Awaiting Collection Email time stamp.",""),IF(OR($T368="PAID",$T368="CLOSED"),IF($T368="PAID","Account paid. Action completed.","Account closed. No further action required."),CHOOSE($W368,"Collection Email","1st Email Follow-up","2nd Email Follow-up","Escalation to Local Office","Escalation to CBE","Escalation to Roxanne")&amp;" sent "&amp;TEXT($X368,"dd-mmm")&amp;". "&amp;IF($W368=6,"Final escalation completed.",IF($T368="OVERDUE","Next: "&amp;$Z368&amp;" was due "&amp;TEXT($Y368,"dd-mmm")&amp;" - "&amp;(NETWORKDAYS($Y368,TODAY(),Holidays)-1)&amp;" business day(s) late. Send now.",IF($T368="DUE TOMORROW","Next: "&amp;$Z368&amp;IF($Y368&lt;=TODAY()," is due TODAY ("," is due next business day (")&amp;TEXT($Y368,"dd-mmm")&amp;").","Next: "&amp;$Z368&amp;" due "&amp;TEXT($Y368,"dd-mmm")&amp;" ("&amp;(NETWORKDAYS(TODAY(),$Y368,Holidays)-1)&amp;" business day(s) left).")))))</f>
        <v/>
      </c>
      <c r="V368" s="17">
        <f>IF($W368="","",CHOOSE($W368,"Collection Email","1st Follow-up","2nd Follow-up","Local Office","CBE","Roxanne")&amp;IF($W368=6," - Final"," - Day "&amp;MAX(0,NETWORKDAYS($X368,TODAY(),Holidays)-1)&amp;" of "&amp;CHOOSE($W368,3,3,2,2,3))&amp;" | Total Day "&amp;MAX(0,NETWORKDAYS($L368,TODAY(),Holidays)-1))</f>
        <v/>
      </c>
      <c r="W368" s="17">
        <f>IF($L368="","",COUNT($L368:$Q368))</f>
        <v/>
      </c>
      <c r="X368" s="18">
        <f>IF($W368="","",INT(INDEX($L368:$Q368,$W368)))</f>
        <v/>
      </c>
      <c r="Y368" s="18">
        <f>IF(OR($W368="",$W368=6),"",WORKDAY($X368,CHOOSE($W368,3,3,2,2,3),Holidays))</f>
        <v/>
      </c>
      <c r="Z368" s="17">
        <f>IF(OR($W368="",$W368=6),"",CHOOSE($W368,"1st Email Follow-up","2nd Email Follow-up","Escalate Local Office","Escalate to CBE","Escalate to Roxanne"))</f>
        <v/>
      </c>
    </row>
    <row r="369" spans="18:26">
      <c r="R369" s="15"/>
      <c r="S369" s="16"/>
      <c r="T369" s="17">
        <f>IF(AND(COUNTA($A369:$K369)=0,$L369=""),"",IF($S369="Paid","PAID",IF($S369="Closed","CLOSED",IF($W369="","",IF($W369=6,"ESCALATED TO ROXANNE",IF(TODAY()&gt;$Y369,"OVERDUE",IF($Y369&lt;=WORKDAY(TODAY(),1,Holidays),"DUE TOMORROW",IF($W369=4,"ESCALATED TO LOCAL OFFICE",IF($W369=5,"ESCALATED TO CBE",IF($X369=TODAY(),"EMAIL SENT","MONITORING"))))))))))</f>
        <v/>
      </c>
      <c r="U369" s="17">
        <f>IF($T369="",IF(AND(COUNTA($A369:$K369)&gt;0,$L369=""),"Awaiting Collection Email time stamp.",""),IF(OR($T369="PAID",$T369="CLOSED"),IF($T369="PAID","Account paid. Action completed.","Account closed. No further action required."),CHOOSE($W369,"Collection Email","1st Email Follow-up","2nd Email Follow-up","Escalation to Local Office","Escalation to CBE","Escalation to Roxanne")&amp;" sent "&amp;TEXT($X369,"dd-mmm")&amp;". "&amp;IF($W369=6,"Final escalation completed.",IF($T369="OVERDUE","Next: "&amp;$Z369&amp;" was due "&amp;TEXT($Y369,"dd-mmm")&amp;" - "&amp;(NETWORKDAYS($Y369,TODAY(),Holidays)-1)&amp;" business day(s) late. Send now.",IF($T369="DUE TOMORROW","Next: "&amp;$Z369&amp;IF($Y369&lt;=TODAY()," is due TODAY ("," is due next business day (")&amp;TEXT($Y369,"dd-mmm")&amp;").","Next: "&amp;$Z369&amp;" due "&amp;TEXT($Y369,"dd-mmm")&amp;" ("&amp;(NETWORKDAYS(TODAY(),$Y369,Holidays)-1)&amp;" business day(s) left).")))))</f>
        <v/>
      </c>
      <c r="V369" s="17">
        <f>IF($W369="","",CHOOSE($W369,"Collection Email","1st Follow-up","2nd Follow-up","Local Office","CBE","Roxanne")&amp;IF($W369=6," - Final"," - Day "&amp;MAX(0,NETWORKDAYS($X369,TODAY(),Holidays)-1)&amp;" of "&amp;CHOOSE($W369,3,3,2,2,3))&amp;" | Total Day "&amp;MAX(0,NETWORKDAYS($L369,TODAY(),Holidays)-1))</f>
        <v/>
      </c>
      <c r="W369" s="17">
        <f>IF($L369="","",COUNT($L369:$Q369))</f>
        <v/>
      </c>
      <c r="X369" s="18">
        <f>IF($W369="","",INT(INDEX($L369:$Q369,$W369)))</f>
        <v/>
      </c>
      <c r="Y369" s="18">
        <f>IF(OR($W369="",$W369=6),"",WORKDAY($X369,CHOOSE($W369,3,3,2,2,3),Holidays))</f>
        <v/>
      </c>
      <c r="Z369" s="17">
        <f>IF(OR($W369="",$W369=6),"",CHOOSE($W369,"1st Email Follow-up","2nd Email Follow-up","Escalate Local Office","Escalate to CBE","Escalate to Roxanne"))</f>
        <v/>
      </c>
    </row>
    <row r="370" spans="18:26">
      <c r="R370" s="15"/>
      <c r="S370" s="16"/>
      <c r="T370" s="17">
        <f>IF(AND(COUNTA($A370:$K370)=0,$L370=""),"",IF($S370="Paid","PAID",IF($S370="Closed","CLOSED",IF($W370="","",IF($W370=6,"ESCALATED TO ROXANNE",IF(TODAY()&gt;$Y370,"OVERDUE",IF($Y370&lt;=WORKDAY(TODAY(),1,Holidays),"DUE TOMORROW",IF($W370=4,"ESCALATED TO LOCAL OFFICE",IF($W370=5,"ESCALATED TO CBE",IF($X370=TODAY(),"EMAIL SENT","MONITORING"))))))))))</f>
        <v/>
      </c>
      <c r="U370" s="17">
        <f>IF($T370="",IF(AND(COUNTA($A370:$K370)&gt;0,$L370=""),"Awaiting Collection Email time stamp.",""),IF(OR($T370="PAID",$T370="CLOSED"),IF($T370="PAID","Account paid. Action completed.","Account closed. No further action required."),CHOOSE($W370,"Collection Email","1st Email Follow-up","2nd Email Follow-up","Escalation to Local Office","Escalation to CBE","Escalation to Roxanne")&amp;" sent "&amp;TEXT($X370,"dd-mmm")&amp;". "&amp;IF($W370=6,"Final escalation completed.",IF($T370="OVERDUE","Next: "&amp;$Z370&amp;" was due "&amp;TEXT($Y370,"dd-mmm")&amp;" - "&amp;(NETWORKDAYS($Y370,TODAY(),Holidays)-1)&amp;" business day(s) late. Send now.",IF($T370="DUE TOMORROW","Next: "&amp;$Z370&amp;IF($Y370&lt;=TODAY()," is due TODAY ("," is due next business day (")&amp;TEXT($Y370,"dd-mmm")&amp;").","Next: "&amp;$Z370&amp;" due "&amp;TEXT($Y370,"dd-mmm")&amp;" ("&amp;(NETWORKDAYS(TODAY(),$Y370,Holidays)-1)&amp;" business day(s) left).")))))</f>
        <v/>
      </c>
      <c r="V370" s="17">
        <f>IF($W370="","",CHOOSE($W370,"Collection Email","1st Follow-up","2nd Follow-up","Local Office","CBE","Roxanne")&amp;IF($W370=6," - Final"," - Day "&amp;MAX(0,NETWORKDAYS($X370,TODAY(),Holidays)-1)&amp;" of "&amp;CHOOSE($W370,3,3,2,2,3))&amp;" | Total Day "&amp;MAX(0,NETWORKDAYS($L370,TODAY(),Holidays)-1))</f>
        <v/>
      </c>
      <c r="W370" s="17">
        <f>IF($L370="","",COUNT($L370:$Q370))</f>
        <v/>
      </c>
      <c r="X370" s="18">
        <f>IF($W370="","",INT(INDEX($L370:$Q370,$W370)))</f>
        <v/>
      </c>
      <c r="Y370" s="18">
        <f>IF(OR($W370="",$W370=6),"",WORKDAY($X370,CHOOSE($W370,3,3,2,2,3),Holidays))</f>
        <v/>
      </c>
      <c r="Z370" s="17">
        <f>IF(OR($W370="",$W370=6),"",CHOOSE($W370,"1st Email Follow-up","2nd Email Follow-up","Escalate Local Office","Escalate to CBE","Escalate to Roxanne"))</f>
        <v/>
      </c>
    </row>
    <row r="371" spans="18:26">
      <c r="R371" s="15"/>
      <c r="S371" s="16"/>
      <c r="T371" s="17">
        <f>IF(AND(COUNTA($A371:$K371)=0,$L371=""),"",IF($S371="Paid","PAID",IF($S371="Closed","CLOSED",IF($W371="","",IF($W371=6,"ESCALATED TO ROXANNE",IF(TODAY()&gt;$Y371,"OVERDUE",IF($Y371&lt;=WORKDAY(TODAY(),1,Holidays),"DUE TOMORROW",IF($W371=4,"ESCALATED TO LOCAL OFFICE",IF($W371=5,"ESCALATED TO CBE",IF($X371=TODAY(),"EMAIL SENT","MONITORING"))))))))))</f>
        <v/>
      </c>
      <c r="U371" s="17">
        <f>IF($T371="",IF(AND(COUNTA($A371:$K371)&gt;0,$L371=""),"Awaiting Collection Email time stamp.",""),IF(OR($T371="PAID",$T371="CLOSED"),IF($T371="PAID","Account paid. Action completed.","Account closed. No further action required."),CHOOSE($W371,"Collection Email","1st Email Follow-up","2nd Email Follow-up","Escalation to Local Office","Escalation to CBE","Escalation to Roxanne")&amp;" sent "&amp;TEXT($X371,"dd-mmm")&amp;". "&amp;IF($W371=6,"Final escalation completed.",IF($T371="OVERDUE","Next: "&amp;$Z371&amp;" was due "&amp;TEXT($Y371,"dd-mmm")&amp;" - "&amp;(NETWORKDAYS($Y371,TODAY(),Holidays)-1)&amp;" business day(s) late. Send now.",IF($T371="DUE TOMORROW","Next: "&amp;$Z371&amp;IF($Y371&lt;=TODAY()," is due TODAY ("," is due next business day (")&amp;TEXT($Y371,"dd-mmm")&amp;").","Next: "&amp;$Z371&amp;" due "&amp;TEXT($Y371,"dd-mmm")&amp;" ("&amp;(NETWORKDAYS(TODAY(),$Y371,Holidays)-1)&amp;" business day(s) left).")))))</f>
        <v/>
      </c>
      <c r="V371" s="17">
        <f>IF($W371="","",CHOOSE($W371,"Collection Email","1st Follow-up","2nd Follow-up","Local Office","CBE","Roxanne")&amp;IF($W371=6," - Final"," - Day "&amp;MAX(0,NETWORKDAYS($X371,TODAY(),Holidays)-1)&amp;" of "&amp;CHOOSE($W371,3,3,2,2,3))&amp;" | Total Day "&amp;MAX(0,NETWORKDAYS($L371,TODAY(),Holidays)-1))</f>
        <v/>
      </c>
      <c r="W371" s="17">
        <f>IF($L371="","",COUNT($L371:$Q371))</f>
        <v/>
      </c>
      <c r="X371" s="18">
        <f>IF($W371="","",INT(INDEX($L371:$Q371,$W371)))</f>
        <v/>
      </c>
      <c r="Y371" s="18">
        <f>IF(OR($W371="",$W371=6),"",WORKDAY($X371,CHOOSE($W371,3,3,2,2,3),Holidays))</f>
        <v/>
      </c>
      <c r="Z371" s="17">
        <f>IF(OR($W371="",$W371=6),"",CHOOSE($W371,"1st Email Follow-up","2nd Email Follow-up","Escalate Local Office","Escalate to CBE","Escalate to Roxanne"))</f>
        <v/>
      </c>
    </row>
    <row r="372" spans="18:26">
      <c r="R372" s="15"/>
      <c r="S372" s="16"/>
      <c r="T372" s="17">
        <f>IF(AND(COUNTA($A372:$K372)=0,$L372=""),"",IF($S372="Paid","PAID",IF($S372="Closed","CLOSED",IF($W372="","",IF($W372=6,"ESCALATED TO ROXANNE",IF(TODAY()&gt;$Y372,"OVERDUE",IF($Y372&lt;=WORKDAY(TODAY(),1,Holidays),"DUE TOMORROW",IF($W372=4,"ESCALATED TO LOCAL OFFICE",IF($W372=5,"ESCALATED TO CBE",IF($X372=TODAY(),"EMAIL SENT","MONITORING"))))))))))</f>
        <v/>
      </c>
      <c r="U372" s="17">
        <f>IF($T372="",IF(AND(COUNTA($A372:$K372)&gt;0,$L372=""),"Awaiting Collection Email time stamp.",""),IF(OR($T372="PAID",$T372="CLOSED"),IF($T372="PAID","Account paid. Action completed.","Account closed. No further action required."),CHOOSE($W372,"Collection Email","1st Email Follow-up","2nd Email Follow-up","Escalation to Local Office","Escalation to CBE","Escalation to Roxanne")&amp;" sent "&amp;TEXT($X372,"dd-mmm")&amp;". "&amp;IF($W372=6,"Final escalation completed.",IF($T372="OVERDUE","Next: "&amp;$Z372&amp;" was due "&amp;TEXT($Y372,"dd-mmm")&amp;" - "&amp;(NETWORKDAYS($Y372,TODAY(),Holidays)-1)&amp;" business day(s) late. Send now.",IF($T372="DUE TOMORROW","Next: "&amp;$Z372&amp;IF($Y372&lt;=TODAY()," is due TODAY ("," is due next business day (")&amp;TEXT($Y372,"dd-mmm")&amp;").","Next: "&amp;$Z372&amp;" due "&amp;TEXT($Y372,"dd-mmm")&amp;" ("&amp;(NETWORKDAYS(TODAY(),$Y372,Holidays)-1)&amp;" business day(s) left).")))))</f>
        <v/>
      </c>
      <c r="V372" s="17">
        <f>IF($W372="","",CHOOSE($W372,"Collection Email","1st Follow-up","2nd Follow-up","Local Office","CBE","Roxanne")&amp;IF($W372=6," - Final"," - Day "&amp;MAX(0,NETWORKDAYS($X372,TODAY(),Holidays)-1)&amp;" of "&amp;CHOOSE($W372,3,3,2,2,3))&amp;" | Total Day "&amp;MAX(0,NETWORKDAYS($L372,TODAY(),Holidays)-1))</f>
        <v/>
      </c>
      <c r="W372" s="17">
        <f>IF($L372="","",COUNT($L372:$Q372))</f>
        <v/>
      </c>
      <c r="X372" s="18">
        <f>IF($W372="","",INT(INDEX($L372:$Q372,$W372)))</f>
        <v/>
      </c>
      <c r="Y372" s="18">
        <f>IF(OR($W372="",$W372=6),"",WORKDAY($X372,CHOOSE($W372,3,3,2,2,3),Holidays))</f>
        <v/>
      </c>
      <c r="Z372" s="17">
        <f>IF(OR($W372="",$W372=6),"",CHOOSE($W372,"1st Email Follow-up","2nd Email Follow-up","Escalate Local Office","Escalate to CBE","Escalate to Roxanne"))</f>
        <v/>
      </c>
    </row>
    <row r="373" spans="18:26">
      <c r="R373" s="15"/>
      <c r="S373" s="16"/>
      <c r="T373" s="17">
        <f>IF(AND(COUNTA($A373:$K373)=0,$L373=""),"",IF($S373="Paid","PAID",IF($S373="Closed","CLOSED",IF($W373="","",IF($W373=6,"ESCALATED TO ROXANNE",IF(TODAY()&gt;$Y373,"OVERDUE",IF($Y373&lt;=WORKDAY(TODAY(),1,Holidays),"DUE TOMORROW",IF($W373=4,"ESCALATED TO LOCAL OFFICE",IF($W373=5,"ESCALATED TO CBE",IF($X373=TODAY(),"EMAIL SENT","MONITORING"))))))))))</f>
        <v/>
      </c>
      <c r="U373" s="17">
        <f>IF($T373="",IF(AND(COUNTA($A373:$K373)&gt;0,$L373=""),"Awaiting Collection Email time stamp.",""),IF(OR($T373="PAID",$T373="CLOSED"),IF($T373="PAID","Account paid. Action completed.","Account closed. No further action required."),CHOOSE($W373,"Collection Email","1st Email Follow-up","2nd Email Follow-up","Escalation to Local Office","Escalation to CBE","Escalation to Roxanne")&amp;" sent "&amp;TEXT($X373,"dd-mmm")&amp;". "&amp;IF($W373=6,"Final escalation completed.",IF($T373="OVERDUE","Next: "&amp;$Z373&amp;" was due "&amp;TEXT($Y373,"dd-mmm")&amp;" - "&amp;(NETWORKDAYS($Y373,TODAY(),Holidays)-1)&amp;" business day(s) late. Send now.",IF($T373="DUE TOMORROW","Next: "&amp;$Z373&amp;IF($Y373&lt;=TODAY()," is due TODAY ("," is due next business day (")&amp;TEXT($Y373,"dd-mmm")&amp;").","Next: "&amp;$Z373&amp;" due "&amp;TEXT($Y373,"dd-mmm")&amp;" ("&amp;(NETWORKDAYS(TODAY(),$Y373,Holidays)-1)&amp;" business day(s) left).")))))</f>
        <v/>
      </c>
      <c r="V373" s="17">
        <f>IF($W373="","",CHOOSE($W373,"Collection Email","1st Follow-up","2nd Follow-up","Local Office","CBE","Roxanne")&amp;IF($W373=6," - Final"," - Day "&amp;MAX(0,NETWORKDAYS($X373,TODAY(),Holidays)-1)&amp;" of "&amp;CHOOSE($W373,3,3,2,2,3))&amp;" | Total Day "&amp;MAX(0,NETWORKDAYS($L373,TODAY(),Holidays)-1))</f>
        <v/>
      </c>
      <c r="W373" s="17">
        <f>IF($L373="","",COUNT($L373:$Q373))</f>
        <v/>
      </c>
      <c r="X373" s="18">
        <f>IF($W373="","",INT(INDEX($L373:$Q373,$W373)))</f>
        <v/>
      </c>
      <c r="Y373" s="18">
        <f>IF(OR($W373="",$W373=6),"",WORKDAY($X373,CHOOSE($W373,3,3,2,2,3),Holidays))</f>
        <v/>
      </c>
      <c r="Z373" s="17">
        <f>IF(OR($W373="",$W373=6),"",CHOOSE($W373,"1st Email Follow-up","2nd Email Follow-up","Escalate Local Office","Escalate to CBE","Escalate to Roxanne"))</f>
        <v/>
      </c>
    </row>
    <row r="374" spans="18:26">
      <c r="R374" s="15"/>
      <c r="S374" s="16"/>
      <c r="T374" s="17">
        <f>IF(AND(COUNTA($A374:$K374)=0,$L374=""),"",IF($S374="Paid","PAID",IF($S374="Closed","CLOSED",IF($W374="","",IF($W374=6,"ESCALATED TO ROXANNE",IF(TODAY()&gt;$Y374,"OVERDUE",IF($Y374&lt;=WORKDAY(TODAY(),1,Holidays),"DUE TOMORROW",IF($W374=4,"ESCALATED TO LOCAL OFFICE",IF($W374=5,"ESCALATED TO CBE",IF($X374=TODAY(),"EMAIL SENT","MONITORING"))))))))))</f>
        <v/>
      </c>
      <c r="U374" s="17">
        <f>IF($T374="",IF(AND(COUNTA($A374:$K374)&gt;0,$L374=""),"Awaiting Collection Email time stamp.",""),IF(OR($T374="PAID",$T374="CLOSED"),IF($T374="PAID","Account paid. Action completed.","Account closed. No further action required."),CHOOSE($W374,"Collection Email","1st Email Follow-up","2nd Email Follow-up","Escalation to Local Office","Escalation to CBE","Escalation to Roxanne")&amp;" sent "&amp;TEXT($X374,"dd-mmm")&amp;". "&amp;IF($W374=6,"Final escalation completed.",IF($T374="OVERDUE","Next: "&amp;$Z374&amp;" was due "&amp;TEXT($Y374,"dd-mmm")&amp;" - "&amp;(NETWORKDAYS($Y374,TODAY(),Holidays)-1)&amp;" business day(s) late. Send now.",IF($T374="DUE TOMORROW","Next: "&amp;$Z374&amp;IF($Y374&lt;=TODAY()," is due TODAY ("," is due next business day (")&amp;TEXT($Y374,"dd-mmm")&amp;").","Next: "&amp;$Z374&amp;" due "&amp;TEXT($Y374,"dd-mmm")&amp;" ("&amp;(NETWORKDAYS(TODAY(),$Y374,Holidays)-1)&amp;" business day(s) left).")))))</f>
        <v/>
      </c>
      <c r="V374" s="17">
        <f>IF($W374="","",CHOOSE($W374,"Collection Email","1st Follow-up","2nd Follow-up","Local Office","CBE","Roxanne")&amp;IF($W374=6," - Final"," - Day "&amp;MAX(0,NETWORKDAYS($X374,TODAY(),Holidays)-1)&amp;" of "&amp;CHOOSE($W374,3,3,2,2,3))&amp;" | Total Day "&amp;MAX(0,NETWORKDAYS($L374,TODAY(),Holidays)-1))</f>
        <v/>
      </c>
      <c r="W374" s="17">
        <f>IF($L374="","",COUNT($L374:$Q374))</f>
        <v/>
      </c>
      <c r="X374" s="18">
        <f>IF($W374="","",INT(INDEX($L374:$Q374,$W374)))</f>
        <v/>
      </c>
      <c r="Y374" s="18">
        <f>IF(OR($W374="",$W374=6),"",WORKDAY($X374,CHOOSE($W374,3,3,2,2,3),Holidays))</f>
        <v/>
      </c>
      <c r="Z374" s="17">
        <f>IF(OR($W374="",$W374=6),"",CHOOSE($W374,"1st Email Follow-up","2nd Email Follow-up","Escalate Local Office","Escalate to CBE","Escalate to Roxanne"))</f>
        <v/>
      </c>
    </row>
    <row r="375" spans="18:26">
      <c r="R375" s="15"/>
      <c r="S375" s="16"/>
      <c r="T375" s="17">
        <f>IF(AND(COUNTA($A375:$K375)=0,$L375=""),"",IF($S375="Paid","PAID",IF($S375="Closed","CLOSED",IF($W375="","",IF($W375=6,"ESCALATED TO ROXANNE",IF(TODAY()&gt;$Y375,"OVERDUE",IF($Y375&lt;=WORKDAY(TODAY(),1,Holidays),"DUE TOMORROW",IF($W375=4,"ESCALATED TO LOCAL OFFICE",IF($W375=5,"ESCALATED TO CBE",IF($X375=TODAY(),"EMAIL SENT","MONITORING"))))))))))</f>
        <v/>
      </c>
      <c r="U375" s="17">
        <f>IF($T375="",IF(AND(COUNTA($A375:$K375)&gt;0,$L375=""),"Awaiting Collection Email time stamp.",""),IF(OR($T375="PAID",$T375="CLOSED"),IF($T375="PAID","Account paid. Action completed.","Account closed. No further action required."),CHOOSE($W375,"Collection Email","1st Email Follow-up","2nd Email Follow-up","Escalation to Local Office","Escalation to CBE","Escalation to Roxanne")&amp;" sent "&amp;TEXT($X375,"dd-mmm")&amp;". "&amp;IF($W375=6,"Final escalation completed.",IF($T375="OVERDUE","Next: "&amp;$Z375&amp;" was due "&amp;TEXT($Y375,"dd-mmm")&amp;" - "&amp;(NETWORKDAYS($Y375,TODAY(),Holidays)-1)&amp;" business day(s) late. Send now.",IF($T375="DUE TOMORROW","Next: "&amp;$Z375&amp;IF($Y375&lt;=TODAY()," is due TODAY ("," is due next business day (")&amp;TEXT($Y375,"dd-mmm")&amp;").","Next: "&amp;$Z375&amp;" due "&amp;TEXT($Y375,"dd-mmm")&amp;" ("&amp;(NETWORKDAYS(TODAY(),$Y375,Holidays)-1)&amp;" business day(s) left).")))))</f>
        <v/>
      </c>
      <c r="V375" s="17">
        <f>IF($W375="","",CHOOSE($W375,"Collection Email","1st Follow-up","2nd Follow-up","Local Office","CBE","Roxanne")&amp;IF($W375=6," - Final"," - Day "&amp;MAX(0,NETWORKDAYS($X375,TODAY(),Holidays)-1)&amp;" of "&amp;CHOOSE($W375,3,3,2,2,3))&amp;" | Total Day "&amp;MAX(0,NETWORKDAYS($L375,TODAY(),Holidays)-1))</f>
        <v/>
      </c>
      <c r="W375" s="17">
        <f>IF($L375="","",COUNT($L375:$Q375))</f>
        <v/>
      </c>
      <c r="X375" s="18">
        <f>IF($W375="","",INT(INDEX($L375:$Q375,$W375)))</f>
        <v/>
      </c>
      <c r="Y375" s="18">
        <f>IF(OR($W375="",$W375=6),"",WORKDAY($X375,CHOOSE($W375,3,3,2,2,3),Holidays))</f>
        <v/>
      </c>
      <c r="Z375" s="17">
        <f>IF(OR($W375="",$W375=6),"",CHOOSE($W375,"1st Email Follow-up","2nd Email Follow-up","Escalate Local Office","Escalate to CBE","Escalate to Roxanne"))</f>
        <v/>
      </c>
    </row>
    <row r="376" spans="18:26">
      <c r="R376" s="15"/>
      <c r="S376" s="16"/>
      <c r="T376" s="17">
        <f>IF(AND(COUNTA($A376:$K376)=0,$L376=""),"",IF($S376="Paid","PAID",IF($S376="Closed","CLOSED",IF($W376="","",IF($W376=6,"ESCALATED TO ROXANNE",IF(TODAY()&gt;$Y376,"OVERDUE",IF($Y376&lt;=WORKDAY(TODAY(),1,Holidays),"DUE TOMORROW",IF($W376=4,"ESCALATED TO LOCAL OFFICE",IF($W376=5,"ESCALATED TO CBE",IF($X376=TODAY(),"EMAIL SENT","MONITORING"))))))))))</f>
        <v/>
      </c>
      <c r="U376" s="17">
        <f>IF($T376="",IF(AND(COUNTA($A376:$K376)&gt;0,$L376=""),"Awaiting Collection Email time stamp.",""),IF(OR($T376="PAID",$T376="CLOSED"),IF($T376="PAID","Account paid. Action completed.","Account closed. No further action required."),CHOOSE($W376,"Collection Email","1st Email Follow-up","2nd Email Follow-up","Escalation to Local Office","Escalation to CBE","Escalation to Roxanne")&amp;" sent "&amp;TEXT($X376,"dd-mmm")&amp;". "&amp;IF($W376=6,"Final escalation completed.",IF($T376="OVERDUE","Next: "&amp;$Z376&amp;" was due "&amp;TEXT($Y376,"dd-mmm")&amp;" - "&amp;(NETWORKDAYS($Y376,TODAY(),Holidays)-1)&amp;" business day(s) late. Send now.",IF($T376="DUE TOMORROW","Next: "&amp;$Z376&amp;IF($Y376&lt;=TODAY()," is due TODAY ("," is due next business day (")&amp;TEXT($Y376,"dd-mmm")&amp;").","Next: "&amp;$Z376&amp;" due "&amp;TEXT($Y376,"dd-mmm")&amp;" ("&amp;(NETWORKDAYS(TODAY(),$Y376,Holidays)-1)&amp;" business day(s) left).")))))</f>
        <v/>
      </c>
      <c r="V376" s="17">
        <f>IF($W376="","",CHOOSE($W376,"Collection Email","1st Follow-up","2nd Follow-up","Local Office","CBE","Roxanne")&amp;IF($W376=6," - Final"," - Day "&amp;MAX(0,NETWORKDAYS($X376,TODAY(),Holidays)-1)&amp;" of "&amp;CHOOSE($W376,3,3,2,2,3))&amp;" | Total Day "&amp;MAX(0,NETWORKDAYS($L376,TODAY(),Holidays)-1))</f>
        <v/>
      </c>
      <c r="W376" s="17">
        <f>IF($L376="","",COUNT($L376:$Q376))</f>
        <v/>
      </c>
      <c r="X376" s="18">
        <f>IF($W376="","",INT(INDEX($L376:$Q376,$W376)))</f>
        <v/>
      </c>
      <c r="Y376" s="18">
        <f>IF(OR($W376="",$W376=6),"",WORKDAY($X376,CHOOSE($W376,3,3,2,2,3),Holidays))</f>
        <v/>
      </c>
      <c r="Z376" s="17">
        <f>IF(OR($W376="",$W376=6),"",CHOOSE($W376,"1st Email Follow-up","2nd Email Follow-up","Escalate Local Office","Escalate to CBE","Escalate to Roxanne"))</f>
        <v/>
      </c>
    </row>
    <row r="377" spans="18:26">
      <c r="R377" s="15"/>
      <c r="S377" s="16"/>
      <c r="T377" s="17">
        <f>IF(AND(COUNTA($A377:$K377)=0,$L377=""),"",IF($S377="Paid","PAID",IF($S377="Closed","CLOSED",IF($W377="","",IF($W377=6,"ESCALATED TO ROXANNE",IF(TODAY()&gt;$Y377,"OVERDUE",IF($Y377&lt;=WORKDAY(TODAY(),1,Holidays),"DUE TOMORROW",IF($W377=4,"ESCALATED TO LOCAL OFFICE",IF($W377=5,"ESCALATED TO CBE",IF($X377=TODAY(),"EMAIL SENT","MONITORING"))))))))))</f>
        <v/>
      </c>
      <c r="U377" s="17">
        <f>IF($T377="",IF(AND(COUNTA($A377:$K377)&gt;0,$L377=""),"Awaiting Collection Email time stamp.",""),IF(OR($T377="PAID",$T377="CLOSED"),IF($T377="PAID","Account paid. Action completed.","Account closed. No further action required."),CHOOSE($W377,"Collection Email","1st Email Follow-up","2nd Email Follow-up","Escalation to Local Office","Escalation to CBE","Escalation to Roxanne")&amp;" sent "&amp;TEXT($X377,"dd-mmm")&amp;". "&amp;IF($W377=6,"Final escalation completed.",IF($T377="OVERDUE","Next: "&amp;$Z377&amp;" was due "&amp;TEXT($Y377,"dd-mmm")&amp;" - "&amp;(NETWORKDAYS($Y377,TODAY(),Holidays)-1)&amp;" business day(s) late. Send now.",IF($T377="DUE TOMORROW","Next: "&amp;$Z377&amp;IF($Y377&lt;=TODAY()," is due TODAY ("," is due next business day (")&amp;TEXT($Y377,"dd-mmm")&amp;").","Next: "&amp;$Z377&amp;" due "&amp;TEXT($Y377,"dd-mmm")&amp;" ("&amp;(NETWORKDAYS(TODAY(),$Y377,Holidays)-1)&amp;" business day(s) left).")))))</f>
        <v/>
      </c>
      <c r="V377" s="17">
        <f>IF($W377="","",CHOOSE($W377,"Collection Email","1st Follow-up","2nd Follow-up","Local Office","CBE","Roxanne")&amp;IF($W377=6," - Final"," - Day "&amp;MAX(0,NETWORKDAYS($X377,TODAY(),Holidays)-1)&amp;" of "&amp;CHOOSE($W377,3,3,2,2,3))&amp;" | Total Day "&amp;MAX(0,NETWORKDAYS($L377,TODAY(),Holidays)-1))</f>
        <v/>
      </c>
      <c r="W377" s="17">
        <f>IF($L377="","",COUNT($L377:$Q377))</f>
        <v/>
      </c>
      <c r="X377" s="18">
        <f>IF($W377="","",INT(INDEX($L377:$Q377,$W377)))</f>
        <v/>
      </c>
      <c r="Y377" s="18">
        <f>IF(OR($W377="",$W377=6),"",WORKDAY($X377,CHOOSE($W377,3,3,2,2,3),Holidays))</f>
        <v/>
      </c>
      <c r="Z377" s="17">
        <f>IF(OR($W377="",$W377=6),"",CHOOSE($W377,"1st Email Follow-up","2nd Email Follow-up","Escalate Local Office","Escalate to CBE","Escalate to Roxanne"))</f>
        <v/>
      </c>
    </row>
    <row r="378" spans="18:26">
      <c r="R378" s="15"/>
      <c r="S378" s="16"/>
      <c r="T378" s="17">
        <f>IF(AND(COUNTA($A378:$K378)=0,$L378=""),"",IF($S378="Paid","PAID",IF($S378="Closed","CLOSED",IF($W378="","",IF($W378=6,"ESCALATED TO ROXANNE",IF(TODAY()&gt;$Y378,"OVERDUE",IF($Y378&lt;=WORKDAY(TODAY(),1,Holidays),"DUE TOMORROW",IF($W378=4,"ESCALATED TO LOCAL OFFICE",IF($W378=5,"ESCALATED TO CBE",IF($X378=TODAY(),"EMAIL SENT","MONITORING"))))))))))</f>
        <v/>
      </c>
      <c r="U378" s="17">
        <f>IF($T378="",IF(AND(COUNTA($A378:$K378)&gt;0,$L378=""),"Awaiting Collection Email time stamp.",""),IF(OR($T378="PAID",$T378="CLOSED"),IF($T378="PAID","Account paid. Action completed.","Account closed. No further action required."),CHOOSE($W378,"Collection Email","1st Email Follow-up","2nd Email Follow-up","Escalation to Local Office","Escalation to CBE","Escalation to Roxanne")&amp;" sent "&amp;TEXT($X378,"dd-mmm")&amp;". "&amp;IF($W378=6,"Final escalation completed.",IF($T378="OVERDUE","Next: "&amp;$Z378&amp;" was due "&amp;TEXT($Y378,"dd-mmm")&amp;" - "&amp;(NETWORKDAYS($Y378,TODAY(),Holidays)-1)&amp;" business day(s) late. Send now.",IF($T378="DUE TOMORROW","Next: "&amp;$Z378&amp;IF($Y378&lt;=TODAY()," is due TODAY ("," is due next business day (")&amp;TEXT($Y378,"dd-mmm")&amp;").","Next: "&amp;$Z378&amp;" due "&amp;TEXT($Y378,"dd-mmm")&amp;" ("&amp;(NETWORKDAYS(TODAY(),$Y378,Holidays)-1)&amp;" business day(s) left).")))))</f>
        <v/>
      </c>
      <c r="V378" s="17">
        <f>IF($W378="","",CHOOSE($W378,"Collection Email","1st Follow-up","2nd Follow-up","Local Office","CBE","Roxanne")&amp;IF($W378=6," - Final"," - Day "&amp;MAX(0,NETWORKDAYS($X378,TODAY(),Holidays)-1)&amp;" of "&amp;CHOOSE($W378,3,3,2,2,3))&amp;" | Total Day "&amp;MAX(0,NETWORKDAYS($L378,TODAY(),Holidays)-1))</f>
        <v/>
      </c>
      <c r="W378" s="17">
        <f>IF($L378="","",COUNT($L378:$Q378))</f>
        <v/>
      </c>
      <c r="X378" s="18">
        <f>IF($W378="","",INT(INDEX($L378:$Q378,$W378)))</f>
        <v/>
      </c>
      <c r="Y378" s="18">
        <f>IF(OR($W378="",$W378=6),"",WORKDAY($X378,CHOOSE($W378,3,3,2,2,3),Holidays))</f>
        <v/>
      </c>
      <c r="Z378" s="17">
        <f>IF(OR($W378="",$W378=6),"",CHOOSE($W378,"1st Email Follow-up","2nd Email Follow-up","Escalate Local Office","Escalate to CBE","Escalate to Roxanne"))</f>
        <v/>
      </c>
    </row>
    <row r="379" spans="18:26">
      <c r="R379" s="15"/>
      <c r="S379" s="16"/>
      <c r="T379" s="17">
        <f>IF(AND(COUNTA($A379:$K379)=0,$L379=""),"",IF($S379="Paid","PAID",IF($S379="Closed","CLOSED",IF($W379="","",IF($W379=6,"ESCALATED TO ROXANNE",IF(TODAY()&gt;$Y379,"OVERDUE",IF($Y379&lt;=WORKDAY(TODAY(),1,Holidays),"DUE TOMORROW",IF($W379=4,"ESCALATED TO LOCAL OFFICE",IF($W379=5,"ESCALATED TO CBE",IF($X379=TODAY(),"EMAIL SENT","MONITORING"))))))))))</f>
        <v/>
      </c>
      <c r="U379" s="17">
        <f>IF($T379="",IF(AND(COUNTA($A379:$K379)&gt;0,$L379=""),"Awaiting Collection Email time stamp.",""),IF(OR($T379="PAID",$T379="CLOSED"),IF($T379="PAID","Account paid. Action completed.","Account closed. No further action required."),CHOOSE($W379,"Collection Email","1st Email Follow-up","2nd Email Follow-up","Escalation to Local Office","Escalation to CBE","Escalation to Roxanne")&amp;" sent "&amp;TEXT($X379,"dd-mmm")&amp;". "&amp;IF($W379=6,"Final escalation completed.",IF($T379="OVERDUE","Next: "&amp;$Z379&amp;" was due "&amp;TEXT($Y379,"dd-mmm")&amp;" - "&amp;(NETWORKDAYS($Y379,TODAY(),Holidays)-1)&amp;" business day(s) late. Send now.",IF($T379="DUE TOMORROW","Next: "&amp;$Z379&amp;IF($Y379&lt;=TODAY()," is due TODAY ("," is due next business day (")&amp;TEXT($Y379,"dd-mmm")&amp;").","Next: "&amp;$Z379&amp;" due "&amp;TEXT($Y379,"dd-mmm")&amp;" ("&amp;(NETWORKDAYS(TODAY(),$Y379,Holidays)-1)&amp;" business day(s) left).")))))</f>
        <v/>
      </c>
      <c r="V379" s="17">
        <f>IF($W379="","",CHOOSE($W379,"Collection Email","1st Follow-up","2nd Follow-up","Local Office","CBE","Roxanne")&amp;IF($W379=6," - Final"," - Day "&amp;MAX(0,NETWORKDAYS($X379,TODAY(),Holidays)-1)&amp;" of "&amp;CHOOSE($W379,3,3,2,2,3))&amp;" | Total Day "&amp;MAX(0,NETWORKDAYS($L379,TODAY(),Holidays)-1))</f>
        <v/>
      </c>
      <c r="W379" s="17">
        <f>IF($L379="","",COUNT($L379:$Q379))</f>
        <v/>
      </c>
      <c r="X379" s="18">
        <f>IF($W379="","",INT(INDEX($L379:$Q379,$W379)))</f>
        <v/>
      </c>
      <c r="Y379" s="18">
        <f>IF(OR($W379="",$W379=6),"",WORKDAY($X379,CHOOSE($W379,3,3,2,2,3),Holidays))</f>
        <v/>
      </c>
      <c r="Z379" s="17">
        <f>IF(OR($W379="",$W379=6),"",CHOOSE($W379,"1st Email Follow-up","2nd Email Follow-up","Escalate Local Office","Escalate to CBE","Escalate to Roxanne"))</f>
        <v/>
      </c>
    </row>
    <row r="380" spans="18:26">
      <c r="R380" s="15"/>
      <c r="S380" s="16"/>
      <c r="T380" s="17">
        <f>IF(AND(COUNTA($A380:$K380)=0,$L380=""),"",IF($S380="Paid","PAID",IF($S380="Closed","CLOSED",IF($W380="","",IF($W380=6,"ESCALATED TO ROXANNE",IF(TODAY()&gt;$Y380,"OVERDUE",IF($Y380&lt;=WORKDAY(TODAY(),1,Holidays),"DUE TOMORROW",IF($W380=4,"ESCALATED TO LOCAL OFFICE",IF($W380=5,"ESCALATED TO CBE",IF($X380=TODAY(),"EMAIL SENT","MONITORING"))))))))))</f>
        <v/>
      </c>
      <c r="U380" s="17">
        <f>IF($T380="",IF(AND(COUNTA($A380:$K380)&gt;0,$L380=""),"Awaiting Collection Email time stamp.",""),IF(OR($T380="PAID",$T380="CLOSED"),IF($T380="PAID","Account paid. Action completed.","Account closed. No further action required."),CHOOSE($W380,"Collection Email","1st Email Follow-up","2nd Email Follow-up","Escalation to Local Office","Escalation to CBE","Escalation to Roxanne")&amp;" sent "&amp;TEXT($X380,"dd-mmm")&amp;". "&amp;IF($W380=6,"Final escalation completed.",IF($T380="OVERDUE","Next: "&amp;$Z380&amp;" was due "&amp;TEXT($Y380,"dd-mmm")&amp;" - "&amp;(NETWORKDAYS($Y380,TODAY(),Holidays)-1)&amp;" business day(s) late. Send now.",IF($T380="DUE TOMORROW","Next: "&amp;$Z380&amp;IF($Y380&lt;=TODAY()," is due TODAY ("," is due next business day (")&amp;TEXT($Y380,"dd-mmm")&amp;").","Next: "&amp;$Z380&amp;" due "&amp;TEXT($Y380,"dd-mmm")&amp;" ("&amp;(NETWORKDAYS(TODAY(),$Y380,Holidays)-1)&amp;" business day(s) left).")))))</f>
        <v/>
      </c>
      <c r="V380" s="17">
        <f>IF($W380="","",CHOOSE($W380,"Collection Email","1st Follow-up","2nd Follow-up","Local Office","CBE","Roxanne")&amp;IF($W380=6," - Final"," - Day "&amp;MAX(0,NETWORKDAYS($X380,TODAY(),Holidays)-1)&amp;" of "&amp;CHOOSE($W380,3,3,2,2,3))&amp;" | Total Day "&amp;MAX(0,NETWORKDAYS($L380,TODAY(),Holidays)-1))</f>
        <v/>
      </c>
      <c r="W380" s="17">
        <f>IF($L380="","",COUNT($L380:$Q380))</f>
        <v/>
      </c>
      <c r="X380" s="18">
        <f>IF($W380="","",INT(INDEX($L380:$Q380,$W380)))</f>
        <v/>
      </c>
      <c r="Y380" s="18">
        <f>IF(OR($W380="",$W380=6),"",WORKDAY($X380,CHOOSE($W380,3,3,2,2,3),Holidays))</f>
        <v/>
      </c>
      <c r="Z380" s="17">
        <f>IF(OR($W380="",$W380=6),"",CHOOSE($W380,"1st Email Follow-up","2nd Email Follow-up","Escalate Local Office","Escalate to CBE","Escalate to Roxanne"))</f>
        <v/>
      </c>
    </row>
    <row r="381" spans="18:26">
      <c r="R381" s="15"/>
      <c r="S381" s="16"/>
      <c r="T381" s="17">
        <f>IF(AND(COUNTA($A381:$K381)=0,$L381=""),"",IF($S381="Paid","PAID",IF($S381="Closed","CLOSED",IF($W381="","",IF($W381=6,"ESCALATED TO ROXANNE",IF(TODAY()&gt;$Y381,"OVERDUE",IF($Y381&lt;=WORKDAY(TODAY(),1,Holidays),"DUE TOMORROW",IF($W381=4,"ESCALATED TO LOCAL OFFICE",IF($W381=5,"ESCALATED TO CBE",IF($X381=TODAY(),"EMAIL SENT","MONITORING"))))))))))</f>
        <v/>
      </c>
      <c r="U381" s="17">
        <f>IF($T381="",IF(AND(COUNTA($A381:$K381)&gt;0,$L381=""),"Awaiting Collection Email time stamp.",""),IF(OR($T381="PAID",$T381="CLOSED"),IF($T381="PAID","Account paid. Action completed.","Account closed. No further action required."),CHOOSE($W381,"Collection Email","1st Email Follow-up","2nd Email Follow-up","Escalation to Local Office","Escalation to CBE","Escalation to Roxanne")&amp;" sent "&amp;TEXT($X381,"dd-mmm")&amp;". "&amp;IF($W381=6,"Final escalation completed.",IF($T381="OVERDUE","Next: "&amp;$Z381&amp;" was due "&amp;TEXT($Y381,"dd-mmm")&amp;" - "&amp;(NETWORKDAYS($Y381,TODAY(),Holidays)-1)&amp;" business day(s) late. Send now.",IF($T381="DUE TOMORROW","Next: "&amp;$Z381&amp;IF($Y381&lt;=TODAY()," is due TODAY ("," is due next business day (")&amp;TEXT($Y381,"dd-mmm")&amp;").","Next: "&amp;$Z381&amp;" due "&amp;TEXT($Y381,"dd-mmm")&amp;" ("&amp;(NETWORKDAYS(TODAY(),$Y381,Holidays)-1)&amp;" business day(s) left).")))))</f>
        <v/>
      </c>
      <c r="V381" s="17">
        <f>IF($W381="","",CHOOSE($W381,"Collection Email","1st Follow-up","2nd Follow-up","Local Office","CBE","Roxanne")&amp;IF($W381=6," - Final"," - Day "&amp;MAX(0,NETWORKDAYS($X381,TODAY(),Holidays)-1)&amp;" of "&amp;CHOOSE($W381,3,3,2,2,3))&amp;" | Total Day "&amp;MAX(0,NETWORKDAYS($L381,TODAY(),Holidays)-1))</f>
        <v/>
      </c>
      <c r="W381" s="17">
        <f>IF($L381="","",COUNT($L381:$Q381))</f>
        <v/>
      </c>
      <c r="X381" s="18">
        <f>IF($W381="","",INT(INDEX($L381:$Q381,$W381)))</f>
        <v/>
      </c>
      <c r="Y381" s="18">
        <f>IF(OR($W381="",$W381=6),"",WORKDAY($X381,CHOOSE($W381,3,3,2,2,3),Holidays))</f>
        <v/>
      </c>
      <c r="Z381" s="17">
        <f>IF(OR($W381="",$W381=6),"",CHOOSE($W381,"1st Email Follow-up","2nd Email Follow-up","Escalate Local Office","Escalate to CBE","Escalate to Roxanne"))</f>
        <v/>
      </c>
    </row>
    <row r="382" spans="18:26">
      <c r="R382" s="15"/>
      <c r="S382" s="16"/>
      <c r="T382" s="17">
        <f>IF(AND(COUNTA($A382:$K382)=0,$L382=""),"",IF($S382="Paid","PAID",IF($S382="Closed","CLOSED",IF($W382="","",IF($W382=6,"ESCALATED TO ROXANNE",IF(TODAY()&gt;$Y382,"OVERDUE",IF($Y382&lt;=WORKDAY(TODAY(),1,Holidays),"DUE TOMORROW",IF($W382=4,"ESCALATED TO LOCAL OFFICE",IF($W382=5,"ESCALATED TO CBE",IF($X382=TODAY(),"EMAIL SENT","MONITORING"))))))))))</f>
        <v/>
      </c>
      <c r="U382" s="17">
        <f>IF($T382="",IF(AND(COUNTA($A382:$K382)&gt;0,$L382=""),"Awaiting Collection Email time stamp.",""),IF(OR($T382="PAID",$T382="CLOSED"),IF($T382="PAID","Account paid. Action completed.","Account closed. No further action required."),CHOOSE($W382,"Collection Email","1st Email Follow-up","2nd Email Follow-up","Escalation to Local Office","Escalation to CBE","Escalation to Roxanne")&amp;" sent "&amp;TEXT($X382,"dd-mmm")&amp;". "&amp;IF($W382=6,"Final escalation completed.",IF($T382="OVERDUE","Next: "&amp;$Z382&amp;" was due "&amp;TEXT($Y382,"dd-mmm")&amp;" - "&amp;(NETWORKDAYS($Y382,TODAY(),Holidays)-1)&amp;" business day(s) late. Send now.",IF($T382="DUE TOMORROW","Next: "&amp;$Z382&amp;IF($Y382&lt;=TODAY()," is due TODAY ("," is due next business day (")&amp;TEXT($Y382,"dd-mmm")&amp;").","Next: "&amp;$Z382&amp;" due "&amp;TEXT($Y382,"dd-mmm")&amp;" ("&amp;(NETWORKDAYS(TODAY(),$Y382,Holidays)-1)&amp;" business day(s) left).")))))</f>
        <v/>
      </c>
      <c r="V382" s="17">
        <f>IF($W382="","",CHOOSE($W382,"Collection Email","1st Follow-up","2nd Follow-up","Local Office","CBE","Roxanne")&amp;IF($W382=6," - Final"," - Day "&amp;MAX(0,NETWORKDAYS($X382,TODAY(),Holidays)-1)&amp;" of "&amp;CHOOSE($W382,3,3,2,2,3))&amp;" | Total Day "&amp;MAX(0,NETWORKDAYS($L382,TODAY(),Holidays)-1))</f>
        <v/>
      </c>
      <c r="W382" s="17">
        <f>IF($L382="","",COUNT($L382:$Q382))</f>
        <v/>
      </c>
      <c r="X382" s="18">
        <f>IF($W382="","",INT(INDEX($L382:$Q382,$W382)))</f>
        <v/>
      </c>
      <c r="Y382" s="18">
        <f>IF(OR($W382="",$W382=6),"",WORKDAY($X382,CHOOSE($W382,3,3,2,2,3),Holidays))</f>
        <v/>
      </c>
      <c r="Z382" s="17">
        <f>IF(OR($W382="",$W382=6),"",CHOOSE($W382,"1st Email Follow-up","2nd Email Follow-up","Escalate Local Office","Escalate to CBE","Escalate to Roxanne"))</f>
        <v/>
      </c>
    </row>
    <row r="383" spans="18:26">
      <c r="R383" s="15"/>
      <c r="S383" s="16"/>
      <c r="T383" s="17">
        <f>IF(AND(COUNTA($A383:$K383)=0,$L383=""),"",IF($S383="Paid","PAID",IF($S383="Closed","CLOSED",IF($W383="","",IF($W383=6,"ESCALATED TO ROXANNE",IF(TODAY()&gt;$Y383,"OVERDUE",IF($Y383&lt;=WORKDAY(TODAY(),1,Holidays),"DUE TOMORROW",IF($W383=4,"ESCALATED TO LOCAL OFFICE",IF($W383=5,"ESCALATED TO CBE",IF($X383=TODAY(),"EMAIL SENT","MONITORING"))))))))))</f>
        <v/>
      </c>
      <c r="U383" s="17">
        <f>IF($T383="",IF(AND(COUNTA($A383:$K383)&gt;0,$L383=""),"Awaiting Collection Email time stamp.",""),IF(OR($T383="PAID",$T383="CLOSED"),IF($T383="PAID","Account paid. Action completed.","Account closed. No further action required."),CHOOSE($W383,"Collection Email","1st Email Follow-up","2nd Email Follow-up","Escalation to Local Office","Escalation to CBE","Escalation to Roxanne")&amp;" sent "&amp;TEXT($X383,"dd-mmm")&amp;". "&amp;IF($W383=6,"Final escalation completed.",IF($T383="OVERDUE","Next: "&amp;$Z383&amp;" was due "&amp;TEXT($Y383,"dd-mmm")&amp;" - "&amp;(NETWORKDAYS($Y383,TODAY(),Holidays)-1)&amp;" business day(s) late. Send now.",IF($T383="DUE TOMORROW","Next: "&amp;$Z383&amp;IF($Y383&lt;=TODAY()," is due TODAY ("," is due next business day (")&amp;TEXT($Y383,"dd-mmm")&amp;").","Next: "&amp;$Z383&amp;" due "&amp;TEXT($Y383,"dd-mmm")&amp;" ("&amp;(NETWORKDAYS(TODAY(),$Y383,Holidays)-1)&amp;" business day(s) left).")))))</f>
        <v/>
      </c>
      <c r="V383" s="17">
        <f>IF($W383="","",CHOOSE($W383,"Collection Email","1st Follow-up","2nd Follow-up","Local Office","CBE","Roxanne")&amp;IF($W383=6," - Final"," - Day "&amp;MAX(0,NETWORKDAYS($X383,TODAY(),Holidays)-1)&amp;" of "&amp;CHOOSE($W383,3,3,2,2,3))&amp;" | Total Day "&amp;MAX(0,NETWORKDAYS($L383,TODAY(),Holidays)-1))</f>
        <v/>
      </c>
      <c r="W383" s="17">
        <f>IF($L383="","",COUNT($L383:$Q383))</f>
        <v/>
      </c>
      <c r="X383" s="18">
        <f>IF($W383="","",INT(INDEX($L383:$Q383,$W383)))</f>
        <v/>
      </c>
      <c r="Y383" s="18">
        <f>IF(OR($W383="",$W383=6),"",WORKDAY($X383,CHOOSE($W383,3,3,2,2,3),Holidays))</f>
        <v/>
      </c>
      <c r="Z383" s="17">
        <f>IF(OR($W383="",$W383=6),"",CHOOSE($W383,"1st Email Follow-up","2nd Email Follow-up","Escalate Local Office","Escalate to CBE","Escalate to Roxanne"))</f>
        <v/>
      </c>
    </row>
    <row r="384" spans="18:26">
      <c r="R384" s="15"/>
      <c r="S384" s="16"/>
      <c r="T384" s="17">
        <f>IF(AND(COUNTA($A384:$K384)=0,$L384=""),"",IF($S384="Paid","PAID",IF($S384="Closed","CLOSED",IF($W384="","",IF($W384=6,"ESCALATED TO ROXANNE",IF(TODAY()&gt;$Y384,"OVERDUE",IF($Y384&lt;=WORKDAY(TODAY(),1,Holidays),"DUE TOMORROW",IF($W384=4,"ESCALATED TO LOCAL OFFICE",IF($W384=5,"ESCALATED TO CBE",IF($X384=TODAY(),"EMAIL SENT","MONITORING"))))))))))</f>
        <v/>
      </c>
      <c r="U384" s="17">
        <f>IF($T384="",IF(AND(COUNTA($A384:$K384)&gt;0,$L384=""),"Awaiting Collection Email time stamp.",""),IF(OR($T384="PAID",$T384="CLOSED"),IF($T384="PAID","Account paid. Action completed.","Account closed. No further action required."),CHOOSE($W384,"Collection Email","1st Email Follow-up","2nd Email Follow-up","Escalation to Local Office","Escalation to CBE","Escalation to Roxanne")&amp;" sent "&amp;TEXT($X384,"dd-mmm")&amp;". "&amp;IF($W384=6,"Final escalation completed.",IF($T384="OVERDUE","Next: "&amp;$Z384&amp;" was due "&amp;TEXT($Y384,"dd-mmm")&amp;" - "&amp;(NETWORKDAYS($Y384,TODAY(),Holidays)-1)&amp;" business day(s) late. Send now.",IF($T384="DUE TOMORROW","Next: "&amp;$Z384&amp;IF($Y384&lt;=TODAY()," is due TODAY ("," is due next business day (")&amp;TEXT($Y384,"dd-mmm")&amp;").","Next: "&amp;$Z384&amp;" due "&amp;TEXT($Y384,"dd-mmm")&amp;" ("&amp;(NETWORKDAYS(TODAY(),$Y384,Holidays)-1)&amp;" business day(s) left).")))))</f>
        <v/>
      </c>
      <c r="V384" s="17">
        <f>IF($W384="","",CHOOSE($W384,"Collection Email","1st Follow-up","2nd Follow-up","Local Office","CBE","Roxanne")&amp;IF($W384=6," - Final"," - Day "&amp;MAX(0,NETWORKDAYS($X384,TODAY(),Holidays)-1)&amp;" of "&amp;CHOOSE($W384,3,3,2,2,3))&amp;" | Total Day "&amp;MAX(0,NETWORKDAYS($L384,TODAY(),Holidays)-1))</f>
        <v/>
      </c>
      <c r="W384" s="17">
        <f>IF($L384="","",COUNT($L384:$Q384))</f>
        <v/>
      </c>
      <c r="X384" s="18">
        <f>IF($W384="","",INT(INDEX($L384:$Q384,$W384)))</f>
        <v/>
      </c>
      <c r="Y384" s="18">
        <f>IF(OR($W384="",$W384=6),"",WORKDAY($X384,CHOOSE($W384,3,3,2,2,3),Holidays))</f>
        <v/>
      </c>
      <c r="Z384" s="17">
        <f>IF(OR($W384="",$W384=6),"",CHOOSE($W384,"1st Email Follow-up","2nd Email Follow-up","Escalate Local Office","Escalate to CBE","Escalate to Roxanne"))</f>
        <v/>
      </c>
    </row>
    <row r="385" spans="18:26">
      <c r="R385" s="15"/>
      <c r="S385" s="16"/>
      <c r="T385" s="17">
        <f>IF(AND(COUNTA($A385:$K385)=0,$L385=""),"",IF($S385="Paid","PAID",IF($S385="Closed","CLOSED",IF($W385="","",IF($W385=6,"ESCALATED TO ROXANNE",IF(TODAY()&gt;$Y385,"OVERDUE",IF($Y385&lt;=WORKDAY(TODAY(),1,Holidays),"DUE TOMORROW",IF($W385=4,"ESCALATED TO LOCAL OFFICE",IF($W385=5,"ESCALATED TO CBE",IF($X385=TODAY(),"EMAIL SENT","MONITORING"))))))))))</f>
        <v/>
      </c>
      <c r="U385" s="17">
        <f>IF($T385="",IF(AND(COUNTA($A385:$K385)&gt;0,$L385=""),"Awaiting Collection Email time stamp.",""),IF(OR($T385="PAID",$T385="CLOSED"),IF($T385="PAID","Account paid. Action completed.","Account closed. No further action required."),CHOOSE($W385,"Collection Email","1st Email Follow-up","2nd Email Follow-up","Escalation to Local Office","Escalation to CBE","Escalation to Roxanne")&amp;" sent "&amp;TEXT($X385,"dd-mmm")&amp;". "&amp;IF($W385=6,"Final escalation completed.",IF($T385="OVERDUE","Next: "&amp;$Z385&amp;" was due "&amp;TEXT($Y385,"dd-mmm")&amp;" - "&amp;(NETWORKDAYS($Y385,TODAY(),Holidays)-1)&amp;" business day(s) late. Send now.",IF($T385="DUE TOMORROW","Next: "&amp;$Z385&amp;IF($Y385&lt;=TODAY()," is due TODAY ("," is due next business day (")&amp;TEXT($Y385,"dd-mmm")&amp;").","Next: "&amp;$Z385&amp;" due "&amp;TEXT($Y385,"dd-mmm")&amp;" ("&amp;(NETWORKDAYS(TODAY(),$Y385,Holidays)-1)&amp;" business day(s) left).")))))</f>
        <v/>
      </c>
      <c r="V385" s="17">
        <f>IF($W385="","",CHOOSE($W385,"Collection Email","1st Follow-up","2nd Follow-up","Local Office","CBE","Roxanne")&amp;IF($W385=6," - Final"," - Day "&amp;MAX(0,NETWORKDAYS($X385,TODAY(),Holidays)-1)&amp;" of "&amp;CHOOSE($W385,3,3,2,2,3))&amp;" | Total Day "&amp;MAX(0,NETWORKDAYS($L385,TODAY(),Holidays)-1))</f>
        <v/>
      </c>
      <c r="W385" s="17">
        <f>IF($L385="","",COUNT($L385:$Q385))</f>
        <v/>
      </c>
      <c r="X385" s="18">
        <f>IF($W385="","",INT(INDEX($L385:$Q385,$W385)))</f>
        <v/>
      </c>
      <c r="Y385" s="18">
        <f>IF(OR($W385="",$W385=6),"",WORKDAY($X385,CHOOSE($W385,3,3,2,2,3),Holidays))</f>
        <v/>
      </c>
      <c r="Z385" s="17">
        <f>IF(OR($W385="",$W385=6),"",CHOOSE($W385,"1st Email Follow-up","2nd Email Follow-up","Escalate Local Office","Escalate to CBE","Escalate to Roxanne"))</f>
        <v/>
      </c>
    </row>
    <row r="386" spans="18:26">
      <c r="R386" s="15"/>
      <c r="S386" s="16"/>
      <c r="T386" s="17">
        <f>IF(AND(COUNTA($A386:$K386)=0,$L386=""),"",IF($S386="Paid","PAID",IF($S386="Closed","CLOSED",IF($W386="","",IF($W386=6,"ESCALATED TO ROXANNE",IF(TODAY()&gt;$Y386,"OVERDUE",IF($Y386&lt;=WORKDAY(TODAY(),1,Holidays),"DUE TOMORROW",IF($W386=4,"ESCALATED TO LOCAL OFFICE",IF($W386=5,"ESCALATED TO CBE",IF($X386=TODAY(),"EMAIL SENT","MONITORING"))))))))))</f>
        <v/>
      </c>
      <c r="U386" s="17">
        <f>IF($T386="",IF(AND(COUNTA($A386:$K386)&gt;0,$L386=""),"Awaiting Collection Email time stamp.",""),IF(OR($T386="PAID",$T386="CLOSED"),IF($T386="PAID","Account paid. Action completed.","Account closed. No further action required."),CHOOSE($W386,"Collection Email","1st Email Follow-up","2nd Email Follow-up","Escalation to Local Office","Escalation to CBE","Escalation to Roxanne")&amp;" sent "&amp;TEXT($X386,"dd-mmm")&amp;". "&amp;IF($W386=6,"Final escalation completed.",IF($T386="OVERDUE","Next: "&amp;$Z386&amp;" was due "&amp;TEXT($Y386,"dd-mmm")&amp;" - "&amp;(NETWORKDAYS($Y386,TODAY(),Holidays)-1)&amp;" business day(s) late. Send now.",IF($T386="DUE TOMORROW","Next: "&amp;$Z386&amp;IF($Y386&lt;=TODAY()," is due TODAY ("," is due next business day (")&amp;TEXT($Y386,"dd-mmm")&amp;").","Next: "&amp;$Z386&amp;" due "&amp;TEXT($Y386,"dd-mmm")&amp;" ("&amp;(NETWORKDAYS(TODAY(),$Y386,Holidays)-1)&amp;" business day(s) left).")))))</f>
        <v/>
      </c>
      <c r="V386" s="17">
        <f>IF($W386="","",CHOOSE($W386,"Collection Email","1st Follow-up","2nd Follow-up","Local Office","CBE","Roxanne")&amp;IF($W386=6," - Final"," - Day "&amp;MAX(0,NETWORKDAYS($X386,TODAY(),Holidays)-1)&amp;" of "&amp;CHOOSE($W386,3,3,2,2,3))&amp;" | Total Day "&amp;MAX(0,NETWORKDAYS($L386,TODAY(),Holidays)-1))</f>
        <v/>
      </c>
      <c r="W386" s="17">
        <f>IF($L386="","",COUNT($L386:$Q386))</f>
        <v/>
      </c>
      <c r="X386" s="18">
        <f>IF($W386="","",INT(INDEX($L386:$Q386,$W386)))</f>
        <v/>
      </c>
      <c r="Y386" s="18">
        <f>IF(OR($W386="",$W386=6),"",WORKDAY($X386,CHOOSE($W386,3,3,2,2,3),Holidays))</f>
        <v/>
      </c>
      <c r="Z386" s="17">
        <f>IF(OR($W386="",$W386=6),"",CHOOSE($W386,"1st Email Follow-up","2nd Email Follow-up","Escalate Local Office","Escalate to CBE","Escalate to Roxanne"))</f>
        <v/>
      </c>
    </row>
    <row r="387" spans="18:26">
      <c r="R387" s="15"/>
      <c r="S387" s="16"/>
      <c r="T387" s="17">
        <f>IF(AND(COUNTA($A387:$K387)=0,$L387=""),"",IF($S387="Paid","PAID",IF($S387="Closed","CLOSED",IF($W387="","",IF($W387=6,"ESCALATED TO ROXANNE",IF(TODAY()&gt;$Y387,"OVERDUE",IF($Y387&lt;=WORKDAY(TODAY(),1,Holidays),"DUE TOMORROW",IF($W387=4,"ESCALATED TO LOCAL OFFICE",IF($W387=5,"ESCALATED TO CBE",IF($X387=TODAY(),"EMAIL SENT","MONITORING"))))))))))</f>
        <v/>
      </c>
      <c r="U387" s="17">
        <f>IF($T387="",IF(AND(COUNTA($A387:$K387)&gt;0,$L387=""),"Awaiting Collection Email time stamp.",""),IF(OR($T387="PAID",$T387="CLOSED"),IF($T387="PAID","Account paid. Action completed.","Account closed. No further action required."),CHOOSE($W387,"Collection Email","1st Email Follow-up","2nd Email Follow-up","Escalation to Local Office","Escalation to CBE","Escalation to Roxanne")&amp;" sent "&amp;TEXT($X387,"dd-mmm")&amp;". "&amp;IF($W387=6,"Final escalation completed.",IF($T387="OVERDUE","Next: "&amp;$Z387&amp;" was due "&amp;TEXT($Y387,"dd-mmm")&amp;" - "&amp;(NETWORKDAYS($Y387,TODAY(),Holidays)-1)&amp;" business day(s) late. Send now.",IF($T387="DUE TOMORROW","Next: "&amp;$Z387&amp;IF($Y387&lt;=TODAY()," is due TODAY ("," is due next business day (")&amp;TEXT($Y387,"dd-mmm")&amp;").","Next: "&amp;$Z387&amp;" due "&amp;TEXT($Y387,"dd-mmm")&amp;" ("&amp;(NETWORKDAYS(TODAY(),$Y387,Holidays)-1)&amp;" business day(s) left).")))))</f>
        <v/>
      </c>
      <c r="V387" s="17">
        <f>IF($W387="","",CHOOSE($W387,"Collection Email","1st Follow-up","2nd Follow-up","Local Office","CBE","Roxanne")&amp;IF($W387=6," - Final"," - Day "&amp;MAX(0,NETWORKDAYS($X387,TODAY(),Holidays)-1)&amp;" of "&amp;CHOOSE($W387,3,3,2,2,3))&amp;" | Total Day "&amp;MAX(0,NETWORKDAYS($L387,TODAY(),Holidays)-1))</f>
        <v/>
      </c>
      <c r="W387" s="17">
        <f>IF($L387="","",COUNT($L387:$Q387))</f>
        <v/>
      </c>
      <c r="X387" s="18">
        <f>IF($W387="","",INT(INDEX($L387:$Q387,$W387)))</f>
        <v/>
      </c>
      <c r="Y387" s="18">
        <f>IF(OR($W387="",$W387=6),"",WORKDAY($X387,CHOOSE($W387,3,3,2,2,3),Holidays))</f>
        <v/>
      </c>
      <c r="Z387" s="17">
        <f>IF(OR($W387="",$W387=6),"",CHOOSE($W387,"1st Email Follow-up","2nd Email Follow-up","Escalate Local Office","Escalate to CBE","Escalate to Roxanne"))</f>
        <v/>
      </c>
    </row>
    <row r="388" spans="18:26">
      <c r="R388" s="15"/>
      <c r="S388" s="16"/>
      <c r="T388" s="17">
        <f>IF(AND(COUNTA($A388:$K388)=0,$L388=""),"",IF($S388="Paid","PAID",IF($S388="Closed","CLOSED",IF($W388="","",IF($W388=6,"ESCALATED TO ROXANNE",IF(TODAY()&gt;$Y388,"OVERDUE",IF($Y388&lt;=WORKDAY(TODAY(),1,Holidays),"DUE TOMORROW",IF($W388=4,"ESCALATED TO LOCAL OFFICE",IF($W388=5,"ESCALATED TO CBE",IF($X388=TODAY(),"EMAIL SENT","MONITORING"))))))))))</f>
        <v/>
      </c>
      <c r="U388" s="17">
        <f>IF($T388="",IF(AND(COUNTA($A388:$K388)&gt;0,$L388=""),"Awaiting Collection Email time stamp.",""),IF(OR($T388="PAID",$T388="CLOSED"),IF($T388="PAID","Account paid. Action completed.","Account closed. No further action required."),CHOOSE($W388,"Collection Email","1st Email Follow-up","2nd Email Follow-up","Escalation to Local Office","Escalation to CBE","Escalation to Roxanne")&amp;" sent "&amp;TEXT($X388,"dd-mmm")&amp;". "&amp;IF($W388=6,"Final escalation completed.",IF($T388="OVERDUE","Next: "&amp;$Z388&amp;" was due "&amp;TEXT($Y388,"dd-mmm")&amp;" - "&amp;(NETWORKDAYS($Y388,TODAY(),Holidays)-1)&amp;" business day(s) late. Send now.",IF($T388="DUE TOMORROW","Next: "&amp;$Z388&amp;IF($Y388&lt;=TODAY()," is due TODAY ("," is due next business day (")&amp;TEXT($Y388,"dd-mmm")&amp;").","Next: "&amp;$Z388&amp;" due "&amp;TEXT($Y388,"dd-mmm")&amp;" ("&amp;(NETWORKDAYS(TODAY(),$Y388,Holidays)-1)&amp;" business day(s) left).")))))</f>
        <v/>
      </c>
      <c r="V388" s="17">
        <f>IF($W388="","",CHOOSE($W388,"Collection Email","1st Follow-up","2nd Follow-up","Local Office","CBE","Roxanne")&amp;IF($W388=6," - Final"," - Day "&amp;MAX(0,NETWORKDAYS($X388,TODAY(),Holidays)-1)&amp;" of "&amp;CHOOSE($W388,3,3,2,2,3))&amp;" | Total Day "&amp;MAX(0,NETWORKDAYS($L388,TODAY(),Holidays)-1))</f>
        <v/>
      </c>
      <c r="W388" s="17">
        <f>IF($L388="","",COUNT($L388:$Q388))</f>
        <v/>
      </c>
      <c r="X388" s="18">
        <f>IF($W388="","",INT(INDEX($L388:$Q388,$W388)))</f>
        <v/>
      </c>
      <c r="Y388" s="18">
        <f>IF(OR($W388="",$W388=6),"",WORKDAY($X388,CHOOSE($W388,3,3,2,2,3),Holidays))</f>
        <v/>
      </c>
      <c r="Z388" s="17">
        <f>IF(OR($W388="",$W388=6),"",CHOOSE($W388,"1st Email Follow-up","2nd Email Follow-up","Escalate Local Office","Escalate to CBE","Escalate to Roxanne"))</f>
        <v/>
      </c>
    </row>
    <row r="389" spans="18:26">
      <c r="R389" s="15"/>
      <c r="S389" s="16"/>
      <c r="T389" s="17">
        <f>IF(AND(COUNTA($A389:$K389)=0,$L389=""),"",IF($S389="Paid","PAID",IF($S389="Closed","CLOSED",IF($W389="","",IF($W389=6,"ESCALATED TO ROXANNE",IF(TODAY()&gt;$Y389,"OVERDUE",IF($Y389&lt;=WORKDAY(TODAY(),1,Holidays),"DUE TOMORROW",IF($W389=4,"ESCALATED TO LOCAL OFFICE",IF($W389=5,"ESCALATED TO CBE",IF($X389=TODAY(),"EMAIL SENT","MONITORING"))))))))))</f>
        <v/>
      </c>
      <c r="U389" s="17">
        <f>IF($T389="",IF(AND(COUNTA($A389:$K389)&gt;0,$L389=""),"Awaiting Collection Email time stamp.",""),IF(OR($T389="PAID",$T389="CLOSED"),IF($T389="PAID","Account paid. Action completed.","Account closed. No further action required."),CHOOSE($W389,"Collection Email","1st Email Follow-up","2nd Email Follow-up","Escalation to Local Office","Escalation to CBE","Escalation to Roxanne")&amp;" sent "&amp;TEXT($X389,"dd-mmm")&amp;". "&amp;IF($W389=6,"Final escalation completed.",IF($T389="OVERDUE","Next: "&amp;$Z389&amp;" was due "&amp;TEXT($Y389,"dd-mmm")&amp;" - "&amp;(NETWORKDAYS($Y389,TODAY(),Holidays)-1)&amp;" business day(s) late. Send now.",IF($T389="DUE TOMORROW","Next: "&amp;$Z389&amp;IF($Y389&lt;=TODAY()," is due TODAY ("," is due next business day (")&amp;TEXT($Y389,"dd-mmm")&amp;").","Next: "&amp;$Z389&amp;" due "&amp;TEXT($Y389,"dd-mmm")&amp;" ("&amp;(NETWORKDAYS(TODAY(),$Y389,Holidays)-1)&amp;" business day(s) left).")))))</f>
        <v/>
      </c>
      <c r="V389" s="17">
        <f>IF($W389="","",CHOOSE($W389,"Collection Email","1st Follow-up","2nd Follow-up","Local Office","CBE","Roxanne")&amp;IF($W389=6," - Final"," - Day "&amp;MAX(0,NETWORKDAYS($X389,TODAY(),Holidays)-1)&amp;" of "&amp;CHOOSE($W389,3,3,2,2,3))&amp;" | Total Day "&amp;MAX(0,NETWORKDAYS($L389,TODAY(),Holidays)-1))</f>
        <v/>
      </c>
      <c r="W389" s="17">
        <f>IF($L389="","",COUNT($L389:$Q389))</f>
        <v/>
      </c>
      <c r="X389" s="18">
        <f>IF($W389="","",INT(INDEX($L389:$Q389,$W389)))</f>
        <v/>
      </c>
      <c r="Y389" s="18">
        <f>IF(OR($W389="",$W389=6),"",WORKDAY($X389,CHOOSE($W389,3,3,2,2,3),Holidays))</f>
        <v/>
      </c>
      <c r="Z389" s="17">
        <f>IF(OR($W389="",$W389=6),"",CHOOSE($W389,"1st Email Follow-up","2nd Email Follow-up","Escalate Local Office","Escalate to CBE","Escalate to Roxanne"))</f>
        <v/>
      </c>
    </row>
    <row r="390" spans="18:26">
      <c r="R390" s="15"/>
      <c r="S390" s="16"/>
      <c r="T390" s="17">
        <f>IF(AND(COUNTA($A390:$K390)=0,$L390=""),"",IF($S390="Paid","PAID",IF($S390="Closed","CLOSED",IF($W390="","",IF($W390=6,"ESCALATED TO ROXANNE",IF(TODAY()&gt;$Y390,"OVERDUE",IF($Y390&lt;=WORKDAY(TODAY(),1,Holidays),"DUE TOMORROW",IF($W390=4,"ESCALATED TO LOCAL OFFICE",IF($W390=5,"ESCALATED TO CBE",IF($X390=TODAY(),"EMAIL SENT","MONITORING"))))))))))</f>
        <v/>
      </c>
      <c r="U390" s="17">
        <f>IF($T390="",IF(AND(COUNTA($A390:$K390)&gt;0,$L390=""),"Awaiting Collection Email time stamp.",""),IF(OR($T390="PAID",$T390="CLOSED"),IF($T390="PAID","Account paid. Action completed.","Account closed. No further action required."),CHOOSE($W390,"Collection Email","1st Email Follow-up","2nd Email Follow-up","Escalation to Local Office","Escalation to CBE","Escalation to Roxanne")&amp;" sent "&amp;TEXT($X390,"dd-mmm")&amp;". "&amp;IF($W390=6,"Final escalation completed.",IF($T390="OVERDUE","Next: "&amp;$Z390&amp;" was due "&amp;TEXT($Y390,"dd-mmm")&amp;" - "&amp;(NETWORKDAYS($Y390,TODAY(),Holidays)-1)&amp;" business day(s) late. Send now.",IF($T390="DUE TOMORROW","Next: "&amp;$Z390&amp;IF($Y390&lt;=TODAY()," is due TODAY ("," is due next business day (")&amp;TEXT($Y390,"dd-mmm")&amp;").","Next: "&amp;$Z390&amp;" due "&amp;TEXT($Y390,"dd-mmm")&amp;" ("&amp;(NETWORKDAYS(TODAY(),$Y390,Holidays)-1)&amp;" business day(s) left).")))))</f>
        <v/>
      </c>
      <c r="V390" s="17">
        <f>IF($W390="","",CHOOSE($W390,"Collection Email","1st Follow-up","2nd Follow-up","Local Office","CBE","Roxanne")&amp;IF($W390=6," - Final"," - Day "&amp;MAX(0,NETWORKDAYS($X390,TODAY(),Holidays)-1)&amp;" of "&amp;CHOOSE($W390,3,3,2,2,3))&amp;" | Total Day "&amp;MAX(0,NETWORKDAYS($L390,TODAY(),Holidays)-1))</f>
        <v/>
      </c>
      <c r="W390" s="17">
        <f>IF($L390="","",COUNT($L390:$Q390))</f>
        <v/>
      </c>
      <c r="X390" s="18">
        <f>IF($W390="","",INT(INDEX($L390:$Q390,$W390)))</f>
        <v/>
      </c>
      <c r="Y390" s="18">
        <f>IF(OR($W390="",$W390=6),"",WORKDAY($X390,CHOOSE($W390,3,3,2,2,3),Holidays))</f>
        <v/>
      </c>
      <c r="Z390" s="17">
        <f>IF(OR($W390="",$W390=6),"",CHOOSE($W390,"1st Email Follow-up","2nd Email Follow-up","Escalate Local Office","Escalate to CBE","Escalate to Roxanne"))</f>
        <v/>
      </c>
    </row>
    <row r="391" spans="18:26">
      <c r="R391" s="15"/>
      <c r="S391" s="16"/>
      <c r="T391" s="17">
        <f>IF(AND(COUNTA($A391:$K391)=0,$L391=""),"",IF($S391="Paid","PAID",IF($S391="Closed","CLOSED",IF($W391="","",IF($W391=6,"ESCALATED TO ROXANNE",IF(TODAY()&gt;$Y391,"OVERDUE",IF($Y391&lt;=WORKDAY(TODAY(),1,Holidays),"DUE TOMORROW",IF($W391=4,"ESCALATED TO LOCAL OFFICE",IF($W391=5,"ESCALATED TO CBE",IF($X391=TODAY(),"EMAIL SENT","MONITORING"))))))))))</f>
        <v/>
      </c>
      <c r="U391" s="17">
        <f>IF($T391="",IF(AND(COUNTA($A391:$K391)&gt;0,$L391=""),"Awaiting Collection Email time stamp.",""),IF(OR($T391="PAID",$T391="CLOSED"),IF($T391="PAID","Account paid. Action completed.","Account closed. No further action required."),CHOOSE($W391,"Collection Email","1st Email Follow-up","2nd Email Follow-up","Escalation to Local Office","Escalation to CBE","Escalation to Roxanne")&amp;" sent "&amp;TEXT($X391,"dd-mmm")&amp;". "&amp;IF($W391=6,"Final escalation completed.",IF($T391="OVERDUE","Next: "&amp;$Z391&amp;" was due "&amp;TEXT($Y391,"dd-mmm")&amp;" - "&amp;(NETWORKDAYS($Y391,TODAY(),Holidays)-1)&amp;" business day(s) late. Send now.",IF($T391="DUE TOMORROW","Next: "&amp;$Z391&amp;IF($Y391&lt;=TODAY()," is due TODAY ("," is due next business day (")&amp;TEXT($Y391,"dd-mmm")&amp;").","Next: "&amp;$Z391&amp;" due "&amp;TEXT($Y391,"dd-mmm")&amp;" ("&amp;(NETWORKDAYS(TODAY(),$Y391,Holidays)-1)&amp;" business day(s) left).")))))</f>
        <v/>
      </c>
      <c r="V391" s="17">
        <f>IF($W391="","",CHOOSE($W391,"Collection Email","1st Follow-up","2nd Follow-up","Local Office","CBE","Roxanne")&amp;IF($W391=6," - Final"," - Day "&amp;MAX(0,NETWORKDAYS($X391,TODAY(),Holidays)-1)&amp;" of "&amp;CHOOSE($W391,3,3,2,2,3))&amp;" | Total Day "&amp;MAX(0,NETWORKDAYS($L391,TODAY(),Holidays)-1))</f>
        <v/>
      </c>
      <c r="W391" s="17">
        <f>IF($L391="","",COUNT($L391:$Q391))</f>
        <v/>
      </c>
      <c r="X391" s="18">
        <f>IF($W391="","",INT(INDEX($L391:$Q391,$W391)))</f>
        <v/>
      </c>
      <c r="Y391" s="18">
        <f>IF(OR($W391="",$W391=6),"",WORKDAY($X391,CHOOSE($W391,3,3,2,2,3),Holidays))</f>
        <v/>
      </c>
      <c r="Z391" s="17">
        <f>IF(OR($W391="",$W391=6),"",CHOOSE($W391,"1st Email Follow-up","2nd Email Follow-up","Escalate Local Office","Escalate to CBE","Escalate to Roxanne"))</f>
        <v/>
      </c>
    </row>
    <row r="392" spans="18:26">
      <c r="R392" s="15"/>
      <c r="S392" s="16"/>
      <c r="T392" s="17">
        <f>IF(AND(COUNTA($A392:$K392)=0,$L392=""),"",IF($S392="Paid","PAID",IF($S392="Closed","CLOSED",IF($W392="","",IF($W392=6,"ESCALATED TO ROXANNE",IF(TODAY()&gt;$Y392,"OVERDUE",IF($Y392&lt;=WORKDAY(TODAY(),1,Holidays),"DUE TOMORROW",IF($W392=4,"ESCALATED TO LOCAL OFFICE",IF($W392=5,"ESCALATED TO CBE",IF($X392=TODAY(),"EMAIL SENT","MONITORING"))))))))))</f>
        <v/>
      </c>
      <c r="U392" s="17">
        <f>IF($T392="",IF(AND(COUNTA($A392:$K392)&gt;0,$L392=""),"Awaiting Collection Email time stamp.",""),IF(OR($T392="PAID",$T392="CLOSED"),IF($T392="PAID","Account paid. Action completed.","Account closed. No further action required."),CHOOSE($W392,"Collection Email","1st Email Follow-up","2nd Email Follow-up","Escalation to Local Office","Escalation to CBE","Escalation to Roxanne")&amp;" sent "&amp;TEXT($X392,"dd-mmm")&amp;". "&amp;IF($W392=6,"Final escalation completed.",IF($T392="OVERDUE","Next: "&amp;$Z392&amp;" was due "&amp;TEXT($Y392,"dd-mmm")&amp;" - "&amp;(NETWORKDAYS($Y392,TODAY(),Holidays)-1)&amp;" business day(s) late. Send now.",IF($T392="DUE TOMORROW","Next: "&amp;$Z392&amp;IF($Y392&lt;=TODAY()," is due TODAY ("," is due next business day (")&amp;TEXT($Y392,"dd-mmm")&amp;").","Next: "&amp;$Z392&amp;" due "&amp;TEXT($Y392,"dd-mmm")&amp;" ("&amp;(NETWORKDAYS(TODAY(),$Y392,Holidays)-1)&amp;" business day(s) left).")))))</f>
        <v/>
      </c>
      <c r="V392" s="17">
        <f>IF($W392="","",CHOOSE($W392,"Collection Email","1st Follow-up","2nd Follow-up","Local Office","CBE","Roxanne")&amp;IF($W392=6," - Final"," - Day "&amp;MAX(0,NETWORKDAYS($X392,TODAY(),Holidays)-1)&amp;" of "&amp;CHOOSE($W392,3,3,2,2,3))&amp;" | Total Day "&amp;MAX(0,NETWORKDAYS($L392,TODAY(),Holidays)-1))</f>
        <v/>
      </c>
      <c r="W392" s="17">
        <f>IF($L392="","",COUNT($L392:$Q392))</f>
        <v/>
      </c>
      <c r="X392" s="18">
        <f>IF($W392="","",INT(INDEX($L392:$Q392,$W392)))</f>
        <v/>
      </c>
      <c r="Y392" s="18">
        <f>IF(OR($W392="",$W392=6),"",WORKDAY($X392,CHOOSE($W392,3,3,2,2,3),Holidays))</f>
        <v/>
      </c>
      <c r="Z392" s="17">
        <f>IF(OR($W392="",$W392=6),"",CHOOSE($W392,"1st Email Follow-up","2nd Email Follow-up","Escalate Local Office","Escalate to CBE","Escalate to Roxanne"))</f>
        <v/>
      </c>
    </row>
    <row r="393" spans="18:26">
      <c r="R393" s="15"/>
      <c r="S393" s="16"/>
      <c r="T393" s="17">
        <f>IF(AND(COUNTA($A393:$K393)=0,$L393=""),"",IF($S393="Paid","PAID",IF($S393="Closed","CLOSED",IF($W393="","",IF($W393=6,"ESCALATED TO ROXANNE",IF(TODAY()&gt;$Y393,"OVERDUE",IF($Y393&lt;=WORKDAY(TODAY(),1,Holidays),"DUE TOMORROW",IF($W393=4,"ESCALATED TO LOCAL OFFICE",IF($W393=5,"ESCALATED TO CBE",IF($X393=TODAY(),"EMAIL SENT","MONITORING"))))))))))</f>
        <v/>
      </c>
      <c r="U393" s="17">
        <f>IF($T393="",IF(AND(COUNTA($A393:$K393)&gt;0,$L393=""),"Awaiting Collection Email time stamp.",""),IF(OR($T393="PAID",$T393="CLOSED"),IF($T393="PAID","Account paid. Action completed.","Account closed. No further action required."),CHOOSE($W393,"Collection Email","1st Email Follow-up","2nd Email Follow-up","Escalation to Local Office","Escalation to CBE","Escalation to Roxanne")&amp;" sent "&amp;TEXT($X393,"dd-mmm")&amp;". "&amp;IF($W393=6,"Final escalation completed.",IF($T393="OVERDUE","Next: "&amp;$Z393&amp;" was due "&amp;TEXT($Y393,"dd-mmm")&amp;" - "&amp;(NETWORKDAYS($Y393,TODAY(),Holidays)-1)&amp;" business day(s) late. Send now.",IF($T393="DUE TOMORROW","Next: "&amp;$Z393&amp;IF($Y393&lt;=TODAY()," is due TODAY ("," is due next business day (")&amp;TEXT($Y393,"dd-mmm")&amp;").","Next: "&amp;$Z393&amp;" due "&amp;TEXT($Y393,"dd-mmm")&amp;" ("&amp;(NETWORKDAYS(TODAY(),$Y393,Holidays)-1)&amp;" business day(s) left).")))))</f>
        <v/>
      </c>
      <c r="V393" s="17">
        <f>IF($W393="","",CHOOSE($W393,"Collection Email","1st Follow-up","2nd Follow-up","Local Office","CBE","Roxanne")&amp;IF($W393=6," - Final"," - Day "&amp;MAX(0,NETWORKDAYS($X393,TODAY(),Holidays)-1)&amp;" of "&amp;CHOOSE($W393,3,3,2,2,3))&amp;" | Total Day "&amp;MAX(0,NETWORKDAYS($L393,TODAY(),Holidays)-1))</f>
        <v/>
      </c>
      <c r="W393" s="17">
        <f>IF($L393="","",COUNT($L393:$Q393))</f>
        <v/>
      </c>
      <c r="X393" s="18">
        <f>IF($W393="","",INT(INDEX($L393:$Q393,$W393)))</f>
        <v/>
      </c>
      <c r="Y393" s="18">
        <f>IF(OR($W393="",$W393=6),"",WORKDAY($X393,CHOOSE($W393,3,3,2,2,3),Holidays))</f>
        <v/>
      </c>
      <c r="Z393" s="17">
        <f>IF(OR($W393="",$W393=6),"",CHOOSE($W393,"1st Email Follow-up","2nd Email Follow-up","Escalate Local Office","Escalate to CBE","Escalate to Roxanne"))</f>
        <v/>
      </c>
    </row>
    <row r="394" spans="18:26">
      <c r="R394" s="15"/>
      <c r="S394" s="16"/>
      <c r="T394" s="17">
        <f>IF(AND(COUNTA($A394:$K394)=0,$L394=""),"",IF($S394="Paid","PAID",IF($S394="Closed","CLOSED",IF($W394="","",IF($W394=6,"ESCALATED TO ROXANNE",IF(TODAY()&gt;$Y394,"OVERDUE",IF($Y394&lt;=WORKDAY(TODAY(),1,Holidays),"DUE TOMORROW",IF($W394=4,"ESCALATED TO LOCAL OFFICE",IF($W394=5,"ESCALATED TO CBE",IF($X394=TODAY(),"EMAIL SENT","MONITORING"))))))))))</f>
        <v/>
      </c>
      <c r="U394" s="17">
        <f>IF($T394="",IF(AND(COUNTA($A394:$K394)&gt;0,$L394=""),"Awaiting Collection Email time stamp.",""),IF(OR($T394="PAID",$T394="CLOSED"),IF($T394="PAID","Account paid. Action completed.","Account closed. No further action required."),CHOOSE($W394,"Collection Email","1st Email Follow-up","2nd Email Follow-up","Escalation to Local Office","Escalation to CBE","Escalation to Roxanne")&amp;" sent "&amp;TEXT($X394,"dd-mmm")&amp;". "&amp;IF($W394=6,"Final escalation completed.",IF($T394="OVERDUE","Next: "&amp;$Z394&amp;" was due "&amp;TEXT($Y394,"dd-mmm")&amp;" - "&amp;(NETWORKDAYS($Y394,TODAY(),Holidays)-1)&amp;" business day(s) late. Send now.",IF($T394="DUE TOMORROW","Next: "&amp;$Z394&amp;IF($Y394&lt;=TODAY()," is due TODAY ("," is due next business day (")&amp;TEXT($Y394,"dd-mmm")&amp;").","Next: "&amp;$Z394&amp;" due "&amp;TEXT($Y394,"dd-mmm")&amp;" ("&amp;(NETWORKDAYS(TODAY(),$Y394,Holidays)-1)&amp;" business day(s) left).")))))</f>
        <v/>
      </c>
      <c r="V394" s="17">
        <f>IF($W394="","",CHOOSE($W394,"Collection Email","1st Follow-up","2nd Follow-up","Local Office","CBE","Roxanne")&amp;IF($W394=6," - Final"," - Day "&amp;MAX(0,NETWORKDAYS($X394,TODAY(),Holidays)-1)&amp;" of "&amp;CHOOSE($W394,3,3,2,2,3))&amp;" | Total Day "&amp;MAX(0,NETWORKDAYS($L394,TODAY(),Holidays)-1))</f>
        <v/>
      </c>
      <c r="W394" s="17">
        <f>IF($L394="","",COUNT($L394:$Q394))</f>
        <v/>
      </c>
      <c r="X394" s="18">
        <f>IF($W394="","",INT(INDEX($L394:$Q394,$W394)))</f>
        <v/>
      </c>
      <c r="Y394" s="18">
        <f>IF(OR($W394="",$W394=6),"",WORKDAY($X394,CHOOSE($W394,3,3,2,2,3),Holidays))</f>
        <v/>
      </c>
      <c r="Z394" s="17">
        <f>IF(OR($W394="",$W394=6),"",CHOOSE($W394,"1st Email Follow-up","2nd Email Follow-up","Escalate Local Office","Escalate to CBE","Escalate to Roxanne"))</f>
        <v/>
      </c>
    </row>
    <row r="395" spans="18:26">
      <c r="R395" s="15"/>
      <c r="S395" s="16"/>
      <c r="T395" s="17">
        <f>IF(AND(COUNTA($A395:$K395)=0,$L395=""),"",IF($S395="Paid","PAID",IF($S395="Closed","CLOSED",IF($W395="","",IF($W395=6,"ESCALATED TO ROXANNE",IF(TODAY()&gt;$Y395,"OVERDUE",IF($Y395&lt;=WORKDAY(TODAY(),1,Holidays),"DUE TOMORROW",IF($W395=4,"ESCALATED TO LOCAL OFFICE",IF($W395=5,"ESCALATED TO CBE",IF($X395=TODAY(),"EMAIL SENT","MONITORING"))))))))))</f>
        <v/>
      </c>
      <c r="U395" s="17">
        <f>IF($T395="",IF(AND(COUNTA($A395:$K395)&gt;0,$L395=""),"Awaiting Collection Email time stamp.",""),IF(OR($T395="PAID",$T395="CLOSED"),IF($T395="PAID","Account paid. Action completed.","Account closed. No further action required."),CHOOSE($W395,"Collection Email","1st Email Follow-up","2nd Email Follow-up","Escalation to Local Office","Escalation to CBE","Escalation to Roxanne")&amp;" sent "&amp;TEXT($X395,"dd-mmm")&amp;". "&amp;IF($W395=6,"Final escalation completed.",IF($T395="OVERDUE","Next: "&amp;$Z395&amp;" was due "&amp;TEXT($Y395,"dd-mmm")&amp;" - "&amp;(NETWORKDAYS($Y395,TODAY(),Holidays)-1)&amp;" business day(s) late. Send now.",IF($T395="DUE TOMORROW","Next: "&amp;$Z395&amp;IF($Y395&lt;=TODAY()," is due TODAY ("," is due next business day (")&amp;TEXT($Y395,"dd-mmm")&amp;").","Next: "&amp;$Z395&amp;" due "&amp;TEXT($Y395,"dd-mmm")&amp;" ("&amp;(NETWORKDAYS(TODAY(),$Y395,Holidays)-1)&amp;" business day(s) left).")))))</f>
        <v/>
      </c>
      <c r="V395" s="17">
        <f>IF($W395="","",CHOOSE($W395,"Collection Email","1st Follow-up","2nd Follow-up","Local Office","CBE","Roxanne")&amp;IF($W395=6," - Final"," - Day "&amp;MAX(0,NETWORKDAYS($X395,TODAY(),Holidays)-1)&amp;" of "&amp;CHOOSE($W395,3,3,2,2,3))&amp;" | Total Day "&amp;MAX(0,NETWORKDAYS($L395,TODAY(),Holidays)-1))</f>
        <v/>
      </c>
      <c r="W395" s="17">
        <f>IF($L395="","",COUNT($L395:$Q395))</f>
        <v/>
      </c>
      <c r="X395" s="18">
        <f>IF($W395="","",INT(INDEX($L395:$Q395,$W395)))</f>
        <v/>
      </c>
      <c r="Y395" s="18">
        <f>IF(OR($W395="",$W395=6),"",WORKDAY($X395,CHOOSE($W395,3,3,2,2,3),Holidays))</f>
        <v/>
      </c>
      <c r="Z395" s="17">
        <f>IF(OR($W395="",$W395=6),"",CHOOSE($W395,"1st Email Follow-up","2nd Email Follow-up","Escalate Local Office","Escalate to CBE","Escalate to Roxanne"))</f>
        <v/>
      </c>
    </row>
    <row r="396" spans="18:26">
      <c r="R396" s="15"/>
      <c r="S396" s="16"/>
      <c r="T396" s="17">
        <f>IF(AND(COUNTA($A396:$K396)=0,$L396=""),"",IF($S396="Paid","PAID",IF($S396="Closed","CLOSED",IF($W396="","",IF($W396=6,"ESCALATED TO ROXANNE",IF(TODAY()&gt;$Y396,"OVERDUE",IF($Y396&lt;=WORKDAY(TODAY(),1,Holidays),"DUE TOMORROW",IF($W396=4,"ESCALATED TO LOCAL OFFICE",IF($W396=5,"ESCALATED TO CBE",IF($X396=TODAY(),"EMAIL SENT","MONITORING"))))))))))</f>
        <v/>
      </c>
      <c r="U396" s="17">
        <f>IF($T396="",IF(AND(COUNTA($A396:$K396)&gt;0,$L396=""),"Awaiting Collection Email time stamp.",""),IF(OR($T396="PAID",$T396="CLOSED"),IF($T396="PAID","Account paid. Action completed.","Account closed. No further action required."),CHOOSE($W396,"Collection Email","1st Email Follow-up","2nd Email Follow-up","Escalation to Local Office","Escalation to CBE","Escalation to Roxanne")&amp;" sent "&amp;TEXT($X396,"dd-mmm")&amp;". "&amp;IF($W396=6,"Final escalation completed.",IF($T396="OVERDUE","Next: "&amp;$Z396&amp;" was due "&amp;TEXT($Y396,"dd-mmm")&amp;" - "&amp;(NETWORKDAYS($Y396,TODAY(),Holidays)-1)&amp;" business day(s) late. Send now.",IF($T396="DUE TOMORROW","Next: "&amp;$Z396&amp;IF($Y396&lt;=TODAY()," is due TODAY ("," is due next business day (")&amp;TEXT($Y396,"dd-mmm")&amp;").","Next: "&amp;$Z396&amp;" due "&amp;TEXT($Y396,"dd-mmm")&amp;" ("&amp;(NETWORKDAYS(TODAY(),$Y396,Holidays)-1)&amp;" business day(s) left).")))))</f>
        <v/>
      </c>
      <c r="V396" s="17">
        <f>IF($W396="","",CHOOSE($W396,"Collection Email","1st Follow-up","2nd Follow-up","Local Office","CBE","Roxanne")&amp;IF($W396=6," - Final"," - Day "&amp;MAX(0,NETWORKDAYS($X396,TODAY(),Holidays)-1)&amp;" of "&amp;CHOOSE($W396,3,3,2,2,3))&amp;" | Total Day "&amp;MAX(0,NETWORKDAYS($L396,TODAY(),Holidays)-1))</f>
        <v/>
      </c>
      <c r="W396" s="17">
        <f>IF($L396="","",COUNT($L396:$Q396))</f>
        <v/>
      </c>
      <c r="X396" s="18">
        <f>IF($W396="","",INT(INDEX($L396:$Q396,$W396)))</f>
        <v/>
      </c>
      <c r="Y396" s="18">
        <f>IF(OR($W396="",$W396=6),"",WORKDAY($X396,CHOOSE($W396,3,3,2,2,3),Holidays))</f>
        <v/>
      </c>
      <c r="Z396" s="17">
        <f>IF(OR($W396="",$W396=6),"",CHOOSE($W396,"1st Email Follow-up","2nd Email Follow-up","Escalate Local Office","Escalate to CBE","Escalate to Roxanne"))</f>
        <v/>
      </c>
    </row>
    <row r="397" spans="18:26">
      <c r="R397" s="15"/>
      <c r="S397" s="16"/>
      <c r="T397" s="17">
        <f>IF(AND(COUNTA($A397:$K397)=0,$L397=""),"",IF($S397="Paid","PAID",IF($S397="Closed","CLOSED",IF($W397="","",IF($W397=6,"ESCALATED TO ROXANNE",IF(TODAY()&gt;$Y397,"OVERDUE",IF($Y397&lt;=WORKDAY(TODAY(),1,Holidays),"DUE TOMORROW",IF($W397=4,"ESCALATED TO LOCAL OFFICE",IF($W397=5,"ESCALATED TO CBE",IF($X397=TODAY(),"EMAIL SENT","MONITORING"))))))))))</f>
        <v/>
      </c>
      <c r="U397" s="17">
        <f>IF($T397="",IF(AND(COUNTA($A397:$K397)&gt;0,$L397=""),"Awaiting Collection Email time stamp.",""),IF(OR($T397="PAID",$T397="CLOSED"),IF($T397="PAID","Account paid. Action completed.","Account closed. No further action required."),CHOOSE($W397,"Collection Email","1st Email Follow-up","2nd Email Follow-up","Escalation to Local Office","Escalation to CBE","Escalation to Roxanne")&amp;" sent "&amp;TEXT($X397,"dd-mmm")&amp;". "&amp;IF($W397=6,"Final escalation completed.",IF($T397="OVERDUE","Next: "&amp;$Z397&amp;" was due "&amp;TEXT($Y397,"dd-mmm")&amp;" - "&amp;(NETWORKDAYS($Y397,TODAY(),Holidays)-1)&amp;" business day(s) late. Send now.",IF($T397="DUE TOMORROW","Next: "&amp;$Z397&amp;IF($Y397&lt;=TODAY()," is due TODAY ("," is due next business day (")&amp;TEXT($Y397,"dd-mmm")&amp;").","Next: "&amp;$Z397&amp;" due "&amp;TEXT($Y397,"dd-mmm")&amp;" ("&amp;(NETWORKDAYS(TODAY(),$Y397,Holidays)-1)&amp;" business day(s) left).")))))</f>
        <v/>
      </c>
      <c r="V397" s="17">
        <f>IF($W397="","",CHOOSE($W397,"Collection Email","1st Follow-up","2nd Follow-up","Local Office","CBE","Roxanne")&amp;IF($W397=6," - Final"," - Day "&amp;MAX(0,NETWORKDAYS($X397,TODAY(),Holidays)-1)&amp;" of "&amp;CHOOSE($W397,3,3,2,2,3))&amp;" | Total Day "&amp;MAX(0,NETWORKDAYS($L397,TODAY(),Holidays)-1))</f>
        <v/>
      </c>
      <c r="W397" s="17">
        <f>IF($L397="","",COUNT($L397:$Q397))</f>
        <v/>
      </c>
      <c r="X397" s="18">
        <f>IF($W397="","",INT(INDEX($L397:$Q397,$W397)))</f>
        <v/>
      </c>
      <c r="Y397" s="18">
        <f>IF(OR($W397="",$W397=6),"",WORKDAY($X397,CHOOSE($W397,3,3,2,2,3),Holidays))</f>
        <v/>
      </c>
      <c r="Z397" s="17">
        <f>IF(OR($W397="",$W397=6),"",CHOOSE($W397,"1st Email Follow-up","2nd Email Follow-up","Escalate Local Office","Escalate to CBE","Escalate to Roxanne"))</f>
        <v/>
      </c>
    </row>
    <row r="398" spans="18:26">
      <c r="R398" s="15"/>
      <c r="S398" s="16"/>
      <c r="T398" s="17">
        <f>IF(AND(COUNTA($A398:$K398)=0,$L398=""),"",IF($S398="Paid","PAID",IF($S398="Closed","CLOSED",IF($W398="","",IF($W398=6,"ESCALATED TO ROXANNE",IF(TODAY()&gt;$Y398,"OVERDUE",IF($Y398&lt;=WORKDAY(TODAY(),1,Holidays),"DUE TOMORROW",IF($W398=4,"ESCALATED TO LOCAL OFFICE",IF($W398=5,"ESCALATED TO CBE",IF($X398=TODAY(),"EMAIL SENT","MONITORING"))))))))))</f>
        <v/>
      </c>
      <c r="U398" s="17">
        <f>IF($T398="",IF(AND(COUNTA($A398:$K398)&gt;0,$L398=""),"Awaiting Collection Email time stamp.",""),IF(OR($T398="PAID",$T398="CLOSED"),IF($T398="PAID","Account paid. Action completed.","Account closed. No further action required."),CHOOSE($W398,"Collection Email","1st Email Follow-up","2nd Email Follow-up","Escalation to Local Office","Escalation to CBE","Escalation to Roxanne")&amp;" sent "&amp;TEXT($X398,"dd-mmm")&amp;". "&amp;IF($W398=6,"Final escalation completed.",IF($T398="OVERDUE","Next: "&amp;$Z398&amp;" was due "&amp;TEXT($Y398,"dd-mmm")&amp;" - "&amp;(NETWORKDAYS($Y398,TODAY(),Holidays)-1)&amp;" business day(s) late. Send now.",IF($T398="DUE TOMORROW","Next: "&amp;$Z398&amp;IF($Y398&lt;=TODAY()," is due TODAY ("," is due next business day (")&amp;TEXT($Y398,"dd-mmm")&amp;").","Next: "&amp;$Z398&amp;" due "&amp;TEXT($Y398,"dd-mmm")&amp;" ("&amp;(NETWORKDAYS(TODAY(),$Y398,Holidays)-1)&amp;" business day(s) left).")))))</f>
        <v/>
      </c>
      <c r="V398" s="17">
        <f>IF($W398="","",CHOOSE($W398,"Collection Email","1st Follow-up","2nd Follow-up","Local Office","CBE","Roxanne")&amp;IF($W398=6," - Final"," - Day "&amp;MAX(0,NETWORKDAYS($X398,TODAY(),Holidays)-1)&amp;" of "&amp;CHOOSE($W398,3,3,2,2,3))&amp;" | Total Day "&amp;MAX(0,NETWORKDAYS($L398,TODAY(),Holidays)-1))</f>
        <v/>
      </c>
      <c r="W398" s="17">
        <f>IF($L398="","",COUNT($L398:$Q398))</f>
        <v/>
      </c>
      <c r="X398" s="18">
        <f>IF($W398="","",INT(INDEX($L398:$Q398,$W398)))</f>
        <v/>
      </c>
      <c r="Y398" s="18">
        <f>IF(OR($W398="",$W398=6),"",WORKDAY($X398,CHOOSE($W398,3,3,2,2,3),Holidays))</f>
        <v/>
      </c>
      <c r="Z398" s="17">
        <f>IF(OR($W398="",$W398=6),"",CHOOSE($W398,"1st Email Follow-up","2nd Email Follow-up","Escalate Local Office","Escalate to CBE","Escalate to Roxanne"))</f>
        <v/>
      </c>
    </row>
    <row r="399" spans="18:26">
      <c r="R399" s="15"/>
      <c r="S399" s="16"/>
      <c r="T399" s="17">
        <f>IF(AND(COUNTA($A399:$K399)=0,$L399=""),"",IF($S399="Paid","PAID",IF($S399="Closed","CLOSED",IF($W399="","",IF($W399=6,"ESCALATED TO ROXANNE",IF(TODAY()&gt;$Y399,"OVERDUE",IF($Y399&lt;=WORKDAY(TODAY(),1,Holidays),"DUE TOMORROW",IF($W399=4,"ESCALATED TO LOCAL OFFICE",IF($W399=5,"ESCALATED TO CBE",IF($X399=TODAY(),"EMAIL SENT","MONITORING"))))))))))</f>
        <v/>
      </c>
      <c r="U399" s="17">
        <f>IF($T399="",IF(AND(COUNTA($A399:$K399)&gt;0,$L399=""),"Awaiting Collection Email time stamp.",""),IF(OR($T399="PAID",$T399="CLOSED"),IF($T399="PAID","Account paid. Action completed.","Account closed. No further action required."),CHOOSE($W399,"Collection Email","1st Email Follow-up","2nd Email Follow-up","Escalation to Local Office","Escalation to CBE","Escalation to Roxanne")&amp;" sent "&amp;TEXT($X399,"dd-mmm")&amp;". "&amp;IF($W399=6,"Final escalation completed.",IF($T399="OVERDUE","Next: "&amp;$Z399&amp;" was due "&amp;TEXT($Y399,"dd-mmm")&amp;" - "&amp;(NETWORKDAYS($Y399,TODAY(),Holidays)-1)&amp;" business day(s) late. Send now.",IF($T399="DUE TOMORROW","Next: "&amp;$Z399&amp;IF($Y399&lt;=TODAY()," is due TODAY ("," is due next business day (")&amp;TEXT($Y399,"dd-mmm")&amp;").","Next: "&amp;$Z399&amp;" due "&amp;TEXT($Y399,"dd-mmm")&amp;" ("&amp;(NETWORKDAYS(TODAY(),$Y399,Holidays)-1)&amp;" business day(s) left).")))))</f>
        <v/>
      </c>
      <c r="V399" s="17">
        <f>IF($W399="","",CHOOSE($W399,"Collection Email","1st Follow-up","2nd Follow-up","Local Office","CBE","Roxanne")&amp;IF($W399=6," - Final"," - Day "&amp;MAX(0,NETWORKDAYS($X399,TODAY(),Holidays)-1)&amp;" of "&amp;CHOOSE($W399,3,3,2,2,3))&amp;" | Total Day "&amp;MAX(0,NETWORKDAYS($L399,TODAY(),Holidays)-1))</f>
        <v/>
      </c>
      <c r="W399" s="17">
        <f>IF($L399="","",COUNT($L399:$Q399))</f>
        <v/>
      </c>
      <c r="X399" s="18">
        <f>IF($W399="","",INT(INDEX($L399:$Q399,$W399)))</f>
        <v/>
      </c>
      <c r="Y399" s="18">
        <f>IF(OR($W399="",$W399=6),"",WORKDAY($X399,CHOOSE($W399,3,3,2,2,3),Holidays))</f>
        <v/>
      </c>
      <c r="Z399" s="17">
        <f>IF(OR($W399="",$W399=6),"",CHOOSE($W399,"1st Email Follow-up","2nd Email Follow-up","Escalate Local Office","Escalate to CBE","Escalate to Roxanne"))</f>
        <v/>
      </c>
    </row>
    <row r="400" spans="18:26">
      <c r="R400" s="15"/>
      <c r="S400" s="16"/>
      <c r="T400" s="17">
        <f>IF(AND(COUNTA($A400:$K400)=0,$L400=""),"",IF($S400="Paid","PAID",IF($S400="Closed","CLOSED",IF($W400="","",IF($W400=6,"ESCALATED TO ROXANNE",IF(TODAY()&gt;$Y400,"OVERDUE",IF($Y400&lt;=WORKDAY(TODAY(),1,Holidays),"DUE TOMORROW",IF($W400=4,"ESCALATED TO LOCAL OFFICE",IF($W400=5,"ESCALATED TO CBE",IF($X400=TODAY(),"EMAIL SENT","MONITORING"))))))))))</f>
        <v/>
      </c>
      <c r="U400" s="17">
        <f>IF($T400="",IF(AND(COUNTA($A400:$K400)&gt;0,$L400=""),"Awaiting Collection Email time stamp.",""),IF(OR($T400="PAID",$T400="CLOSED"),IF($T400="PAID","Account paid. Action completed.","Account closed. No further action required."),CHOOSE($W400,"Collection Email","1st Email Follow-up","2nd Email Follow-up","Escalation to Local Office","Escalation to CBE","Escalation to Roxanne")&amp;" sent "&amp;TEXT($X400,"dd-mmm")&amp;". "&amp;IF($W400=6,"Final escalation completed.",IF($T400="OVERDUE","Next: "&amp;$Z400&amp;" was due "&amp;TEXT($Y400,"dd-mmm")&amp;" - "&amp;(NETWORKDAYS($Y400,TODAY(),Holidays)-1)&amp;" business day(s) late. Send now.",IF($T400="DUE TOMORROW","Next: "&amp;$Z400&amp;IF($Y400&lt;=TODAY()," is due TODAY ("," is due next business day (")&amp;TEXT($Y400,"dd-mmm")&amp;").","Next: "&amp;$Z400&amp;" due "&amp;TEXT($Y400,"dd-mmm")&amp;" ("&amp;(NETWORKDAYS(TODAY(),$Y400,Holidays)-1)&amp;" business day(s) left).")))))</f>
        <v/>
      </c>
      <c r="V400" s="17">
        <f>IF($W400="","",CHOOSE($W400,"Collection Email","1st Follow-up","2nd Follow-up","Local Office","CBE","Roxanne")&amp;IF($W400=6," - Final"," - Day "&amp;MAX(0,NETWORKDAYS($X400,TODAY(),Holidays)-1)&amp;" of "&amp;CHOOSE($W400,3,3,2,2,3))&amp;" | Total Day "&amp;MAX(0,NETWORKDAYS($L400,TODAY(),Holidays)-1))</f>
        <v/>
      </c>
      <c r="W400" s="17">
        <f>IF($L400="","",COUNT($L400:$Q400))</f>
        <v/>
      </c>
      <c r="X400" s="18">
        <f>IF($W400="","",INT(INDEX($L400:$Q400,$W400)))</f>
        <v/>
      </c>
      <c r="Y400" s="18">
        <f>IF(OR($W400="",$W400=6),"",WORKDAY($X400,CHOOSE($W400,3,3,2,2,3),Holidays))</f>
        <v/>
      </c>
      <c r="Z400" s="17">
        <f>IF(OR($W400="",$W400=6),"",CHOOSE($W400,"1st Email Follow-up","2nd Email Follow-up","Escalate Local Office","Escalate to CBE","Escalate to Roxanne"))</f>
        <v/>
      </c>
    </row>
    <row r="401" spans="18:26">
      <c r="R401" s="15"/>
      <c r="S401" s="16"/>
      <c r="T401" s="17">
        <f>IF(AND(COUNTA($A401:$K401)=0,$L401=""),"",IF($S401="Paid","PAID",IF($S401="Closed","CLOSED",IF($W401="","",IF($W401=6,"ESCALATED TO ROXANNE",IF(TODAY()&gt;$Y401,"OVERDUE",IF($Y401&lt;=WORKDAY(TODAY(),1,Holidays),"DUE TOMORROW",IF($W401=4,"ESCALATED TO LOCAL OFFICE",IF($W401=5,"ESCALATED TO CBE",IF($X401=TODAY(),"EMAIL SENT","MONITORING"))))))))))</f>
        <v/>
      </c>
      <c r="U401" s="17">
        <f>IF($T401="",IF(AND(COUNTA($A401:$K401)&gt;0,$L401=""),"Awaiting Collection Email time stamp.",""),IF(OR($T401="PAID",$T401="CLOSED"),IF($T401="PAID","Account paid. Action completed.","Account closed. No further action required."),CHOOSE($W401,"Collection Email","1st Email Follow-up","2nd Email Follow-up","Escalation to Local Office","Escalation to CBE","Escalation to Roxanne")&amp;" sent "&amp;TEXT($X401,"dd-mmm")&amp;". "&amp;IF($W401=6,"Final escalation completed.",IF($T401="OVERDUE","Next: "&amp;$Z401&amp;" was due "&amp;TEXT($Y401,"dd-mmm")&amp;" - "&amp;(NETWORKDAYS($Y401,TODAY(),Holidays)-1)&amp;" business day(s) late. Send now.",IF($T401="DUE TOMORROW","Next: "&amp;$Z401&amp;IF($Y401&lt;=TODAY()," is due TODAY ("," is due next business day (")&amp;TEXT($Y401,"dd-mmm")&amp;").","Next: "&amp;$Z401&amp;" due "&amp;TEXT($Y401,"dd-mmm")&amp;" ("&amp;(NETWORKDAYS(TODAY(),$Y401,Holidays)-1)&amp;" business day(s) left).")))))</f>
        <v/>
      </c>
      <c r="V401" s="17">
        <f>IF($W401="","",CHOOSE($W401,"Collection Email","1st Follow-up","2nd Follow-up","Local Office","CBE","Roxanne")&amp;IF($W401=6," - Final"," - Day "&amp;MAX(0,NETWORKDAYS($X401,TODAY(),Holidays)-1)&amp;" of "&amp;CHOOSE($W401,3,3,2,2,3))&amp;" | Total Day "&amp;MAX(0,NETWORKDAYS($L401,TODAY(),Holidays)-1))</f>
        <v/>
      </c>
      <c r="W401" s="17">
        <f>IF($L401="","",COUNT($L401:$Q401))</f>
        <v/>
      </c>
      <c r="X401" s="18">
        <f>IF($W401="","",INT(INDEX($L401:$Q401,$W401)))</f>
        <v/>
      </c>
      <c r="Y401" s="18">
        <f>IF(OR($W401="",$W401=6),"",WORKDAY($X401,CHOOSE($W401,3,3,2,2,3),Holidays))</f>
        <v/>
      </c>
      <c r="Z401" s="17">
        <f>IF(OR($W401="",$W401=6),"",CHOOSE($W401,"1st Email Follow-up","2nd Email Follow-up","Escalate Local Office","Escalate to CBE","Escalate to Roxanne"))</f>
        <v/>
      </c>
    </row>
    <row r="402" spans="18:26">
      <c r="R402" s="15"/>
      <c r="S402" s="16"/>
      <c r="T402" s="17">
        <f>IF(AND(COUNTA($A402:$K402)=0,$L402=""),"",IF($S402="Paid","PAID",IF($S402="Closed","CLOSED",IF($W402="","",IF($W402=6,"ESCALATED TO ROXANNE",IF(TODAY()&gt;$Y402,"OVERDUE",IF($Y402&lt;=WORKDAY(TODAY(),1,Holidays),"DUE TOMORROW",IF($W402=4,"ESCALATED TO LOCAL OFFICE",IF($W402=5,"ESCALATED TO CBE",IF($X402=TODAY(),"EMAIL SENT","MONITORING"))))))))))</f>
        <v/>
      </c>
      <c r="U402" s="17">
        <f>IF($T402="",IF(AND(COUNTA($A402:$K402)&gt;0,$L402=""),"Awaiting Collection Email time stamp.",""),IF(OR($T402="PAID",$T402="CLOSED"),IF($T402="PAID","Account paid. Action completed.","Account closed. No further action required."),CHOOSE($W402,"Collection Email","1st Email Follow-up","2nd Email Follow-up","Escalation to Local Office","Escalation to CBE","Escalation to Roxanne")&amp;" sent "&amp;TEXT($X402,"dd-mmm")&amp;". "&amp;IF($W402=6,"Final escalation completed.",IF($T402="OVERDUE","Next: "&amp;$Z402&amp;" was due "&amp;TEXT($Y402,"dd-mmm")&amp;" - "&amp;(NETWORKDAYS($Y402,TODAY(),Holidays)-1)&amp;" business day(s) late. Send now.",IF($T402="DUE TOMORROW","Next: "&amp;$Z402&amp;IF($Y402&lt;=TODAY()," is due TODAY ("," is due next business day (")&amp;TEXT($Y402,"dd-mmm")&amp;").","Next: "&amp;$Z402&amp;" due "&amp;TEXT($Y402,"dd-mmm")&amp;" ("&amp;(NETWORKDAYS(TODAY(),$Y402,Holidays)-1)&amp;" business day(s) left).")))))</f>
        <v/>
      </c>
      <c r="V402" s="17">
        <f>IF($W402="","",CHOOSE($W402,"Collection Email","1st Follow-up","2nd Follow-up","Local Office","CBE","Roxanne")&amp;IF($W402=6," - Final"," - Day "&amp;MAX(0,NETWORKDAYS($X402,TODAY(),Holidays)-1)&amp;" of "&amp;CHOOSE($W402,3,3,2,2,3))&amp;" | Total Day "&amp;MAX(0,NETWORKDAYS($L402,TODAY(),Holidays)-1))</f>
        <v/>
      </c>
      <c r="W402" s="17">
        <f>IF($L402="","",COUNT($L402:$Q402))</f>
        <v/>
      </c>
      <c r="X402" s="18">
        <f>IF($W402="","",INT(INDEX($L402:$Q402,$W402)))</f>
        <v/>
      </c>
      <c r="Y402" s="18">
        <f>IF(OR($W402="",$W402=6),"",WORKDAY($X402,CHOOSE($W402,3,3,2,2,3),Holidays))</f>
        <v/>
      </c>
      <c r="Z402" s="17">
        <f>IF(OR($W402="",$W402=6),"",CHOOSE($W402,"1st Email Follow-up","2nd Email Follow-up","Escalate Local Office","Escalate to CBE","Escalate to Roxanne"))</f>
        <v/>
      </c>
    </row>
    <row r="403" spans="18:26">
      <c r="R403" s="15"/>
      <c r="S403" s="16"/>
      <c r="T403" s="17">
        <f>IF(AND(COUNTA($A403:$K403)=0,$L403=""),"",IF($S403="Paid","PAID",IF($S403="Closed","CLOSED",IF($W403="","",IF($W403=6,"ESCALATED TO ROXANNE",IF(TODAY()&gt;$Y403,"OVERDUE",IF($Y403&lt;=WORKDAY(TODAY(),1,Holidays),"DUE TOMORROW",IF($W403=4,"ESCALATED TO LOCAL OFFICE",IF($W403=5,"ESCALATED TO CBE",IF($X403=TODAY(),"EMAIL SENT","MONITORING"))))))))))</f>
        <v/>
      </c>
      <c r="U403" s="17">
        <f>IF($T403="",IF(AND(COUNTA($A403:$K403)&gt;0,$L403=""),"Awaiting Collection Email time stamp.",""),IF(OR($T403="PAID",$T403="CLOSED"),IF($T403="PAID","Account paid. Action completed.","Account closed. No further action required."),CHOOSE($W403,"Collection Email","1st Email Follow-up","2nd Email Follow-up","Escalation to Local Office","Escalation to CBE","Escalation to Roxanne")&amp;" sent "&amp;TEXT($X403,"dd-mmm")&amp;". "&amp;IF($W403=6,"Final escalation completed.",IF($T403="OVERDUE","Next: "&amp;$Z403&amp;" was due "&amp;TEXT($Y403,"dd-mmm")&amp;" - "&amp;(NETWORKDAYS($Y403,TODAY(),Holidays)-1)&amp;" business day(s) late. Send now.",IF($T403="DUE TOMORROW","Next: "&amp;$Z403&amp;IF($Y403&lt;=TODAY()," is due TODAY ("," is due next business day (")&amp;TEXT($Y403,"dd-mmm")&amp;").","Next: "&amp;$Z403&amp;" due "&amp;TEXT($Y403,"dd-mmm")&amp;" ("&amp;(NETWORKDAYS(TODAY(),$Y403,Holidays)-1)&amp;" business day(s) left).")))))</f>
        <v/>
      </c>
      <c r="V403" s="17">
        <f>IF($W403="","",CHOOSE($W403,"Collection Email","1st Follow-up","2nd Follow-up","Local Office","CBE","Roxanne")&amp;IF($W403=6," - Final"," - Day "&amp;MAX(0,NETWORKDAYS($X403,TODAY(),Holidays)-1)&amp;" of "&amp;CHOOSE($W403,3,3,2,2,3))&amp;" | Total Day "&amp;MAX(0,NETWORKDAYS($L403,TODAY(),Holidays)-1))</f>
        <v/>
      </c>
      <c r="W403" s="17">
        <f>IF($L403="","",COUNT($L403:$Q403))</f>
        <v/>
      </c>
      <c r="X403" s="18">
        <f>IF($W403="","",INT(INDEX($L403:$Q403,$W403)))</f>
        <v/>
      </c>
      <c r="Y403" s="18">
        <f>IF(OR($W403="",$W403=6),"",WORKDAY($X403,CHOOSE($W403,3,3,2,2,3),Holidays))</f>
        <v/>
      </c>
      <c r="Z403" s="17">
        <f>IF(OR($W403="",$W403=6),"",CHOOSE($W403,"1st Email Follow-up","2nd Email Follow-up","Escalate Local Office","Escalate to CBE","Escalate to Roxanne"))</f>
        <v/>
      </c>
    </row>
    <row r="404" spans="18:26">
      <c r="R404" s="15"/>
      <c r="S404" s="16"/>
      <c r="T404" s="17">
        <f>IF(AND(COUNTA($A404:$K404)=0,$L404=""),"",IF($S404="Paid","PAID",IF($S404="Closed","CLOSED",IF($W404="","",IF($W404=6,"ESCALATED TO ROXANNE",IF(TODAY()&gt;$Y404,"OVERDUE",IF($Y404&lt;=WORKDAY(TODAY(),1,Holidays),"DUE TOMORROW",IF($W404=4,"ESCALATED TO LOCAL OFFICE",IF($W404=5,"ESCALATED TO CBE",IF($X404=TODAY(),"EMAIL SENT","MONITORING"))))))))))</f>
        <v/>
      </c>
      <c r="U404" s="17">
        <f>IF($T404="",IF(AND(COUNTA($A404:$K404)&gt;0,$L404=""),"Awaiting Collection Email time stamp.",""),IF(OR($T404="PAID",$T404="CLOSED"),IF($T404="PAID","Account paid. Action completed.","Account closed. No further action required."),CHOOSE($W404,"Collection Email","1st Email Follow-up","2nd Email Follow-up","Escalation to Local Office","Escalation to CBE","Escalation to Roxanne")&amp;" sent "&amp;TEXT($X404,"dd-mmm")&amp;". "&amp;IF($W404=6,"Final escalation completed.",IF($T404="OVERDUE","Next: "&amp;$Z404&amp;" was due "&amp;TEXT($Y404,"dd-mmm")&amp;" - "&amp;(NETWORKDAYS($Y404,TODAY(),Holidays)-1)&amp;" business day(s) late. Send now.",IF($T404="DUE TOMORROW","Next: "&amp;$Z404&amp;IF($Y404&lt;=TODAY()," is due TODAY ("," is due next business day (")&amp;TEXT($Y404,"dd-mmm")&amp;").","Next: "&amp;$Z404&amp;" due "&amp;TEXT($Y404,"dd-mmm")&amp;" ("&amp;(NETWORKDAYS(TODAY(),$Y404,Holidays)-1)&amp;" business day(s) left).")))))</f>
        <v/>
      </c>
      <c r="V404" s="17">
        <f>IF($W404="","",CHOOSE($W404,"Collection Email","1st Follow-up","2nd Follow-up","Local Office","CBE","Roxanne")&amp;IF($W404=6," - Final"," - Day "&amp;MAX(0,NETWORKDAYS($X404,TODAY(),Holidays)-1)&amp;" of "&amp;CHOOSE($W404,3,3,2,2,3))&amp;" | Total Day "&amp;MAX(0,NETWORKDAYS($L404,TODAY(),Holidays)-1))</f>
        <v/>
      </c>
      <c r="W404" s="17">
        <f>IF($L404="","",COUNT($L404:$Q404))</f>
        <v/>
      </c>
      <c r="X404" s="18">
        <f>IF($W404="","",INT(INDEX($L404:$Q404,$W404)))</f>
        <v/>
      </c>
      <c r="Y404" s="18">
        <f>IF(OR($W404="",$W404=6),"",WORKDAY($X404,CHOOSE($W404,3,3,2,2,3),Holidays))</f>
        <v/>
      </c>
      <c r="Z404" s="17">
        <f>IF(OR($W404="",$W404=6),"",CHOOSE($W404,"1st Email Follow-up","2nd Email Follow-up","Escalate Local Office","Escalate to CBE","Escalate to Roxanne"))</f>
        <v/>
      </c>
    </row>
    <row r="405" spans="18:26">
      <c r="R405" s="15"/>
      <c r="S405" s="16"/>
      <c r="T405" s="17">
        <f>IF(AND(COUNTA($A405:$K405)=0,$L405=""),"",IF($S405="Paid","PAID",IF($S405="Closed","CLOSED",IF($W405="","",IF($W405=6,"ESCALATED TO ROXANNE",IF(TODAY()&gt;$Y405,"OVERDUE",IF($Y405&lt;=WORKDAY(TODAY(),1,Holidays),"DUE TOMORROW",IF($W405=4,"ESCALATED TO LOCAL OFFICE",IF($W405=5,"ESCALATED TO CBE",IF($X405=TODAY(),"EMAIL SENT","MONITORING"))))))))))</f>
        <v/>
      </c>
      <c r="U405" s="17">
        <f>IF($T405="",IF(AND(COUNTA($A405:$K405)&gt;0,$L405=""),"Awaiting Collection Email time stamp.",""),IF(OR($T405="PAID",$T405="CLOSED"),IF($T405="PAID","Account paid. Action completed.","Account closed. No further action required."),CHOOSE($W405,"Collection Email","1st Email Follow-up","2nd Email Follow-up","Escalation to Local Office","Escalation to CBE","Escalation to Roxanne")&amp;" sent "&amp;TEXT($X405,"dd-mmm")&amp;". "&amp;IF($W405=6,"Final escalation completed.",IF($T405="OVERDUE","Next: "&amp;$Z405&amp;" was due "&amp;TEXT($Y405,"dd-mmm")&amp;" - "&amp;(NETWORKDAYS($Y405,TODAY(),Holidays)-1)&amp;" business day(s) late. Send now.",IF($T405="DUE TOMORROW","Next: "&amp;$Z405&amp;IF($Y405&lt;=TODAY()," is due TODAY ("," is due next business day (")&amp;TEXT($Y405,"dd-mmm")&amp;").","Next: "&amp;$Z405&amp;" due "&amp;TEXT($Y405,"dd-mmm")&amp;" ("&amp;(NETWORKDAYS(TODAY(),$Y405,Holidays)-1)&amp;" business day(s) left).")))))</f>
        <v/>
      </c>
      <c r="V405" s="17">
        <f>IF($W405="","",CHOOSE($W405,"Collection Email","1st Follow-up","2nd Follow-up","Local Office","CBE","Roxanne")&amp;IF($W405=6," - Final"," - Day "&amp;MAX(0,NETWORKDAYS($X405,TODAY(),Holidays)-1)&amp;" of "&amp;CHOOSE($W405,3,3,2,2,3))&amp;" | Total Day "&amp;MAX(0,NETWORKDAYS($L405,TODAY(),Holidays)-1))</f>
        <v/>
      </c>
      <c r="W405" s="17">
        <f>IF($L405="","",COUNT($L405:$Q405))</f>
        <v/>
      </c>
      <c r="X405" s="18">
        <f>IF($W405="","",INT(INDEX($L405:$Q405,$W405)))</f>
        <v/>
      </c>
      <c r="Y405" s="18">
        <f>IF(OR($W405="",$W405=6),"",WORKDAY($X405,CHOOSE($W405,3,3,2,2,3),Holidays))</f>
        <v/>
      </c>
      <c r="Z405" s="17">
        <f>IF(OR($W405="",$W405=6),"",CHOOSE($W405,"1st Email Follow-up","2nd Email Follow-up","Escalate Local Office","Escalate to CBE","Escalate to Roxanne"))</f>
        <v/>
      </c>
    </row>
    <row r="406" spans="18:26">
      <c r="R406" s="15"/>
      <c r="S406" s="16"/>
      <c r="T406" s="17">
        <f>IF(AND(COUNTA($A406:$K406)=0,$L406=""),"",IF($S406="Paid","PAID",IF($S406="Closed","CLOSED",IF($W406="","",IF($W406=6,"ESCALATED TO ROXANNE",IF(TODAY()&gt;$Y406,"OVERDUE",IF($Y406&lt;=WORKDAY(TODAY(),1,Holidays),"DUE TOMORROW",IF($W406=4,"ESCALATED TO LOCAL OFFICE",IF($W406=5,"ESCALATED TO CBE",IF($X406=TODAY(),"EMAIL SENT","MONITORING"))))))))))</f>
        <v/>
      </c>
      <c r="U406" s="17">
        <f>IF($T406="",IF(AND(COUNTA($A406:$K406)&gt;0,$L406=""),"Awaiting Collection Email time stamp.",""),IF(OR($T406="PAID",$T406="CLOSED"),IF($T406="PAID","Account paid. Action completed.","Account closed. No further action required."),CHOOSE($W406,"Collection Email","1st Email Follow-up","2nd Email Follow-up","Escalation to Local Office","Escalation to CBE","Escalation to Roxanne")&amp;" sent "&amp;TEXT($X406,"dd-mmm")&amp;". "&amp;IF($W406=6,"Final escalation completed.",IF($T406="OVERDUE","Next: "&amp;$Z406&amp;" was due "&amp;TEXT($Y406,"dd-mmm")&amp;" - "&amp;(NETWORKDAYS($Y406,TODAY(),Holidays)-1)&amp;" business day(s) late. Send now.",IF($T406="DUE TOMORROW","Next: "&amp;$Z406&amp;IF($Y406&lt;=TODAY()," is due TODAY ("," is due next business day (")&amp;TEXT($Y406,"dd-mmm")&amp;").","Next: "&amp;$Z406&amp;" due "&amp;TEXT($Y406,"dd-mmm")&amp;" ("&amp;(NETWORKDAYS(TODAY(),$Y406,Holidays)-1)&amp;" business day(s) left).")))))</f>
        <v/>
      </c>
      <c r="V406" s="17">
        <f>IF($W406="","",CHOOSE($W406,"Collection Email","1st Follow-up","2nd Follow-up","Local Office","CBE","Roxanne")&amp;IF($W406=6," - Final"," - Day "&amp;MAX(0,NETWORKDAYS($X406,TODAY(),Holidays)-1)&amp;" of "&amp;CHOOSE($W406,3,3,2,2,3))&amp;" | Total Day "&amp;MAX(0,NETWORKDAYS($L406,TODAY(),Holidays)-1))</f>
        <v/>
      </c>
      <c r="W406" s="17">
        <f>IF($L406="","",COUNT($L406:$Q406))</f>
        <v/>
      </c>
      <c r="X406" s="18">
        <f>IF($W406="","",INT(INDEX($L406:$Q406,$W406)))</f>
        <v/>
      </c>
      <c r="Y406" s="18">
        <f>IF(OR($W406="",$W406=6),"",WORKDAY($X406,CHOOSE($W406,3,3,2,2,3),Holidays))</f>
        <v/>
      </c>
      <c r="Z406" s="17">
        <f>IF(OR($W406="",$W406=6),"",CHOOSE($W406,"1st Email Follow-up","2nd Email Follow-up","Escalate Local Office","Escalate to CBE","Escalate to Roxanne"))</f>
        <v/>
      </c>
    </row>
    <row r="407" spans="18:26">
      <c r="R407" s="15"/>
      <c r="S407" s="16"/>
      <c r="T407" s="17">
        <f>IF(AND(COUNTA($A407:$K407)=0,$L407=""),"",IF($S407="Paid","PAID",IF($S407="Closed","CLOSED",IF($W407="","",IF($W407=6,"ESCALATED TO ROXANNE",IF(TODAY()&gt;$Y407,"OVERDUE",IF($Y407&lt;=WORKDAY(TODAY(),1,Holidays),"DUE TOMORROW",IF($W407=4,"ESCALATED TO LOCAL OFFICE",IF($W407=5,"ESCALATED TO CBE",IF($X407=TODAY(),"EMAIL SENT","MONITORING"))))))))))</f>
        <v/>
      </c>
      <c r="U407" s="17">
        <f>IF($T407="",IF(AND(COUNTA($A407:$K407)&gt;0,$L407=""),"Awaiting Collection Email time stamp.",""),IF(OR($T407="PAID",$T407="CLOSED"),IF($T407="PAID","Account paid. Action completed.","Account closed. No further action required."),CHOOSE($W407,"Collection Email","1st Email Follow-up","2nd Email Follow-up","Escalation to Local Office","Escalation to CBE","Escalation to Roxanne")&amp;" sent "&amp;TEXT($X407,"dd-mmm")&amp;". "&amp;IF($W407=6,"Final escalation completed.",IF($T407="OVERDUE","Next: "&amp;$Z407&amp;" was due "&amp;TEXT($Y407,"dd-mmm")&amp;" - "&amp;(NETWORKDAYS($Y407,TODAY(),Holidays)-1)&amp;" business day(s) late. Send now.",IF($T407="DUE TOMORROW","Next: "&amp;$Z407&amp;IF($Y407&lt;=TODAY()," is due TODAY ("," is due next business day (")&amp;TEXT($Y407,"dd-mmm")&amp;").","Next: "&amp;$Z407&amp;" due "&amp;TEXT($Y407,"dd-mmm")&amp;" ("&amp;(NETWORKDAYS(TODAY(),$Y407,Holidays)-1)&amp;" business day(s) left).")))))</f>
        <v/>
      </c>
      <c r="V407" s="17">
        <f>IF($W407="","",CHOOSE($W407,"Collection Email","1st Follow-up","2nd Follow-up","Local Office","CBE","Roxanne")&amp;IF($W407=6," - Final"," - Day "&amp;MAX(0,NETWORKDAYS($X407,TODAY(),Holidays)-1)&amp;" of "&amp;CHOOSE($W407,3,3,2,2,3))&amp;" | Total Day "&amp;MAX(0,NETWORKDAYS($L407,TODAY(),Holidays)-1))</f>
        <v/>
      </c>
      <c r="W407" s="17">
        <f>IF($L407="","",COUNT($L407:$Q407))</f>
        <v/>
      </c>
      <c r="X407" s="18">
        <f>IF($W407="","",INT(INDEX($L407:$Q407,$W407)))</f>
        <v/>
      </c>
      <c r="Y407" s="18">
        <f>IF(OR($W407="",$W407=6),"",WORKDAY($X407,CHOOSE($W407,3,3,2,2,3),Holidays))</f>
        <v/>
      </c>
      <c r="Z407" s="17">
        <f>IF(OR($W407="",$W407=6),"",CHOOSE($W407,"1st Email Follow-up","2nd Email Follow-up","Escalate Local Office","Escalate to CBE","Escalate to Roxanne"))</f>
        <v/>
      </c>
    </row>
    <row r="408" spans="18:26">
      <c r="R408" s="15"/>
      <c r="S408" s="16"/>
      <c r="T408" s="17">
        <f>IF(AND(COUNTA($A408:$K408)=0,$L408=""),"",IF($S408="Paid","PAID",IF($S408="Closed","CLOSED",IF($W408="","",IF($W408=6,"ESCALATED TO ROXANNE",IF(TODAY()&gt;$Y408,"OVERDUE",IF($Y408&lt;=WORKDAY(TODAY(),1,Holidays),"DUE TOMORROW",IF($W408=4,"ESCALATED TO LOCAL OFFICE",IF($W408=5,"ESCALATED TO CBE",IF($X408=TODAY(),"EMAIL SENT","MONITORING"))))))))))</f>
        <v/>
      </c>
      <c r="U408" s="17">
        <f>IF($T408="",IF(AND(COUNTA($A408:$K408)&gt;0,$L408=""),"Awaiting Collection Email time stamp.",""),IF(OR($T408="PAID",$T408="CLOSED"),IF($T408="PAID","Account paid. Action completed.","Account closed. No further action required."),CHOOSE($W408,"Collection Email","1st Email Follow-up","2nd Email Follow-up","Escalation to Local Office","Escalation to CBE","Escalation to Roxanne")&amp;" sent "&amp;TEXT($X408,"dd-mmm")&amp;". "&amp;IF($W408=6,"Final escalation completed.",IF($T408="OVERDUE","Next: "&amp;$Z408&amp;" was due "&amp;TEXT($Y408,"dd-mmm")&amp;" - "&amp;(NETWORKDAYS($Y408,TODAY(),Holidays)-1)&amp;" business day(s) late. Send now.",IF($T408="DUE TOMORROW","Next: "&amp;$Z408&amp;IF($Y408&lt;=TODAY()," is due TODAY ("," is due next business day (")&amp;TEXT($Y408,"dd-mmm")&amp;").","Next: "&amp;$Z408&amp;" due "&amp;TEXT($Y408,"dd-mmm")&amp;" ("&amp;(NETWORKDAYS(TODAY(),$Y408,Holidays)-1)&amp;" business day(s) left).")))))</f>
        <v/>
      </c>
      <c r="V408" s="17">
        <f>IF($W408="","",CHOOSE($W408,"Collection Email","1st Follow-up","2nd Follow-up","Local Office","CBE","Roxanne")&amp;IF($W408=6," - Final"," - Day "&amp;MAX(0,NETWORKDAYS($X408,TODAY(),Holidays)-1)&amp;" of "&amp;CHOOSE($W408,3,3,2,2,3))&amp;" | Total Day "&amp;MAX(0,NETWORKDAYS($L408,TODAY(),Holidays)-1))</f>
        <v/>
      </c>
      <c r="W408" s="17">
        <f>IF($L408="","",COUNT($L408:$Q408))</f>
        <v/>
      </c>
      <c r="X408" s="18">
        <f>IF($W408="","",INT(INDEX($L408:$Q408,$W408)))</f>
        <v/>
      </c>
      <c r="Y408" s="18">
        <f>IF(OR($W408="",$W408=6),"",WORKDAY($X408,CHOOSE($W408,3,3,2,2,3),Holidays))</f>
        <v/>
      </c>
      <c r="Z408" s="17">
        <f>IF(OR($W408="",$W408=6),"",CHOOSE($W408,"1st Email Follow-up","2nd Email Follow-up","Escalate Local Office","Escalate to CBE","Escalate to Roxanne"))</f>
        <v/>
      </c>
    </row>
    <row r="409" spans="18:26">
      <c r="R409" s="15"/>
      <c r="S409" s="16"/>
      <c r="T409" s="17">
        <f>IF(AND(COUNTA($A409:$K409)=0,$L409=""),"",IF($S409="Paid","PAID",IF($S409="Closed","CLOSED",IF($W409="","",IF($W409=6,"ESCALATED TO ROXANNE",IF(TODAY()&gt;$Y409,"OVERDUE",IF($Y409&lt;=WORKDAY(TODAY(),1,Holidays),"DUE TOMORROW",IF($W409=4,"ESCALATED TO LOCAL OFFICE",IF($W409=5,"ESCALATED TO CBE",IF($X409=TODAY(),"EMAIL SENT","MONITORING"))))))))))</f>
        <v/>
      </c>
      <c r="U409" s="17">
        <f>IF($T409="",IF(AND(COUNTA($A409:$K409)&gt;0,$L409=""),"Awaiting Collection Email time stamp.",""),IF(OR($T409="PAID",$T409="CLOSED"),IF($T409="PAID","Account paid. Action completed.","Account closed. No further action required."),CHOOSE($W409,"Collection Email","1st Email Follow-up","2nd Email Follow-up","Escalation to Local Office","Escalation to CBE","Escalation to Roxanne")&amp;" sent "&amp;TEXT($X409,"dd-mmm")&amp;". "&amp;IF($W409=6,"Final escalation completed.",IF($T409="OVERDUE","Next: "&amp;$Z409&amp;" was due "&amp;TEXT($Y409,"dd-mmm")&amp;" - "&amp;(NETWORKDAYS($Y409,TODAY(),Holidays)-1)&amp;" business day(s) late. Send now.",IF($T409="DUE TOMORROW","Next: "&amp;$Z409&amp;IF($Y409&lt;=TODAY()," is due TODAY ("," is due next business day (")&amp;TEXT($Y409,"dd-mmm")&amp;").","Next: "&amp;$Z409&amp;" due "&amp;TEXT($Y409,"dd-mmm")&amp;" ("&amp;(NETWORKDAYS(TODAY(),$Y409,Holidays)-1)&amp;" business day(s) left).")))))</f>
        <v/>
      </c>
      <c r="V409" s="17">
        <f>IF($W409="","",CHOOSE($W409,"Collection Email","1st Follow-up","2nd Follow-up","Local Office","CBE","Roxanne")&amp;IF($W409=6," - Final"," - Day "&amp;MAX(0,NETWORKDAYS($X409,TODAY(),Holidays)-1)&amp;" of "&amp;CHOOSE($W409,3,3,2,2,3))&amp;" | Total Day "&amp;MAX(0,NETWORKDAYS($L409,TODAY(),Holidays)-1))</f>
        <v/>
      </c>
      <c r="W409" s="17">
        <f>IF($L409="","",COUNT($L409:$Q409))</f>
        <v/>
      </c>
      <c r="X409" s="18">
        <f>IF($W409="","",INT(INDEX($L409:$Q409,$W409)))</f>
        <v/>
      </c>
      <c r="Y409" s="18">
        <f>IF(OR($W409="",$W409=6),"",WORKDAY($X409,CHOOSE($W409,3,3,2,2,3),Holidays))</f>
        <v/>
      </c>
      <c r="Z409" s="17">
        <f>IF(OR($W409="",$W409=6),"",CHOOSE($W409,"1st Email Follow-up","2nd Email Follow-up","Escalate Local Office","Escalate to CBE","Escalate to Roxanne"))</f>
        <v/>
      </c>
    </row>
    <row r="410" spans="18:26">
      <c r="R410" s="15"/>
      <c r="S410" s="16"/>
      <c r="T410" s="17">
        <f>IF(AND(COUNTA($A410:$K410)=0,$L410=""),"",IF($S410="Paid","PAID",IF($S410="Closed","CLOSED",IF($W410="","",IF($W410=6,"ESCALATED TO ROXANNE",IF(TODAY()&gt;$Y410,"OVERDUE",IF($Y410&lt;=WORKDAY(TODAY(),1,Holidays),"DUE TOMORROW",IF($W410=4,"ESCALATED TO LOCAL OFFICE",IF($W410=5,"ESCALATED TO CBE",IF($X410=TODAY(),"EMAIL SENT","MONITORING"))))))))))</f>
        <v/>
      </c>
      <c r="U410" s="17">
        <f>IF($T410="",IF(AND(COUNTA($A410:$K410)&gt;0,$L410=""),"Awaiting Collection Email time stamp.",""),IF(OR($T410="PAID",$T410="CLOSED"),IF($T410="PAID","Account paid. Action completed.","Account closed. No further action required."),CHOOSE($W410,"Collection Email","1st Email Follow-up","2nd Email Follow-up","Escalation to Local Office","Escalation to CBE","Escalation to Roxanne")&amp;" sent "&amp;TEXT($X410,"dd-mmm")&amp;". "&amp;IF($W410=6,"Final escalation completed.",IF($T410="OVERDUE","Next: "&amp;$Z410&amp;" was due "&amp;TEXT($Y410,"dd-mmm")&amp;" - "&amp;(NETWORKDAYS($Y410,TODAY(),Holidays)-1)&amp;" business day(s) late. Send now.",IF($T410="DUE TOMORROW","Next: "&amp;$Z410&amp;IF($Y410&lt;=TODAY()," is due TODAY ("," is due next business day (")&amp;TEXT($Y410,"dd-mmm")&amp;").","Next: "&amp;$Z410&amp;" due "&amp;TEXT($Y410,"dd-mmm")&amp;" ("&amp;(NETWORKDAYS(TODAY(),$Y410,Holidays)-1)&amp;" business day(s) left).")))))</f>
        <v/>
      </c>
      <c r="V410" s="17">
        <f>IF($W410="","",CHOOSE($W410,"Collection Email","1st Follow-up","2nd Follow-up","Local Office","CBE","Roxanne")&amp;IF($W410=6," - Final"," - Day "&amp;MAX(0,NETWORKDAYS($X410,TODAY(),Holidays)-1)&amp;" of "&amp;CHOOSE($W410,3,3,2,2,3))&amp;" | Total Day "&amp;MAX(0,NETWORKDAYS($L410,TODAY(),Holidays)-1))</f>
        <v/>
      </c>
      <c r="W410" s="17">
        <f>IF($L410="","",COUNT($L410:$Q410))</f>
        <v/>
      </c>
      <c r="X410" s="18">
        <f>IF($W410="","",INT(INDEX($L410:$Q410,$W410)))</f>
        <v/>
      </c>
      <c r="Y410" s="18">
        <f>IF(OR($W410="",$W410=6),"",WORKDAY($X410,CHOOSE($W410,3,3,2,2,3),Holidays))</f>
        <v/>
      </c>
      <c r="Z410" s="17">
        <f>IF(OR($W410="",$W410=6),"",CHOOSE($W410,"1st Email Follow-up","2nd Email Follow-up","Escalate Local Office","Escalate to CBE","Escalate to Roxanne"))</f>
        <v/>
      </c>
    </row>
    <row r="411" spans="18:26">
      <c r="R411" s="15"/>
      <c r="S411" s="16"/>
      <c r="T411" s="17">
        <f>IF(AND(COUNTA($A411:$K411)=0,$L411=""),"",IF($S411="Paid","PAID",IF($S411="Closed","CLOSED",IF($W411="","",IF($W411=6,"ESCALATED TO ROXANNE",IF(TODAY()&gt;$Y411,"OVERDUE",IF($Y411&lt;=WORKDAY(TODAY(),1,Holidays),"DUE TOMORROW",IF($W411=4,"ESCALATED TO LOCAL OFFICE",IF($W411=5,"ESCALATED TO CBE",IF($X411=TODAY(),"EMAIL SENT","MONITORING"))))))))))</f>
        <v/>
      </c>
      <c r="U411" s="17">
        <f>IF($T411="",IF(AND(COUNTA($A411:$K411)&gt;0,$L411=""),"Awaiting Collection Email time stamp.",""),IF(OR($T411="PAID",$T411="CLOSED"),IF($T411="PAID","Account paid. Action completed.","Account closed. No further action required."),CHOOSE($W411,"Collection Email","1st Email Follow-up","2nd Email Follow-up","Escalation to Local Office","Escalation to CBE","Escalation to Roxanne")&amp;" sent "&amp;TEXT($X411,"dd-mmm")&amp;". "&amp;IF($W411=6,"Final escalation completed.",IF($T411="OVERDUE","Next: "&amp;$Z411&amp;" was due "&amp;TEXT($Y411,"dd-mmm")&amp;" - "&amp;(NETWORKDAYS($Y411,TODAY(),Holidays)-1)&amp;" business day(s) late. Send now.",IF($T411="DUE TOMORROW","Next: "&amp;$Z411&amp;IF($Y411&lt;=TODAY()," is due TODAY ("," is due next business day (")&amp;TEXT($Y411,"dd-mmm")&amp;").","Next: "&amp;$Z411&amp;" due "&amp;TEXT($Y411,"dd-mmm")&amp;" ("&amp;(NETWORKDAYS(TODAY(),$Y411,Holidays)-1)&amp;" business day(s) left).")))))</f>
        <v/>
      </c>
      <c r="V411" s="17">
        <f>IF($W411="","",CHOOSE($W411,"Collection Email","1st Follow-up","2nd Follow-up","Local Office","CBE","Roxanne")&amp;IF($W411=6," - Final"," - Day "&amp;MAX(0,NETWORKDAYS($X411,TODAY(),Holidays)-1)&amp;" of "&amp;CHOOSE($W411,3,3,2,2,3))&amp;" | Total Day "&amp;MAX(0,NETWORKDAYS($L411,TODAY(),Holidays)-1))</f>
        <v/>
      </c>
      <c r="W411" s="17">
        <f>IF($L411="","",COUNT($L411:$Q411))</f>
        <v/>
      </c>
      <c r="X411" s="18">
        <f>IF($W411="","",INT(INDEX($L411:$Q411,$W411)))</f>
        <v/>
      </c>
      <c r="Y411" s="18">
        <f>IF(OR($W411="",$W411=6),"",WORKDAY($X411,CHOOSE($W411,3,3,2,2,3),Holidays))</f>
        <v/>
      </c>
      <c r="Z411" s="17">
        <f>IF(OR($W411="",$W411=6),"",CHOOSE($W411,"1st Email Follow-up","2nd Email Follow-up","Escalate Local Office","Escalate to CBE","Escalate to Roxanne"))</f>
        <v/>
      </c>
    </row>
    <row r="412" spans="18:26">
      <c r="R412" s="15"/>
      <c r="S412" s="16"/>
      <c r="T412" s="17">
        <f>IF(AND(COUNTA($A412:$K412)=0,$L412=""),"",IF($S412="Paid","PAID",IF($S412="Closed","CLOSED",IF($W412="","",IF($W412=6,"ESCALATED TO ROXANNE",IF(TODAY()&gt;$Y412,"OVERDUE",IF($Y412&lt;=WORKDAY(TODAY(),1,Holidays),"DUE TOMORROW",IF($W412=4,"ESCALATED TO LOCAL OFFICE",IF($W412=5,"ESCALATED TO CBE",IF($X412=TODAY(),"EMAIL SENT","MONITORING"))))))))))</f>
        <v/>
      </c>
      <c r="U412" s="17">
        <f>IF($T412="",IF(AND(COUNTA($A412:$K412)&gt;0,$L412=""),"Awaiting Collection Email time stamp.",""),IF(OR($T412="PAID",$T412="CLOSED"),IF($T412="PAID","Account paid. Action completed.","Account closed. No further action required."),CHOOSE($W412,"Collection Email","1st Email Follow-up","2nd Email Follow-up","Escalation to Local Office","Escalation to CBE","Escalation to Roxanne")&amp;" sent "&amp;TEXT($X412,"dd-mmm")&amp;". "&amp;IF($W412=6,"Final escalation completed.",IF($T412="OVERDUE","Next: "&amp;$Z412&amp;" was due "&amp;TEXT($Y412,"dd-mmm")&amp;" - "&amp;(NETWORKDAYS($Y412,TODAY(),Holidays)-1)&amp;" business day(s) late. Send now.",IF($T412="DUE TOMORROW","Next: "&amp;$Z412&amp;IF($Y412&lt;=TODAY()," is due TODAY ("," is due next business day (")&amp;TEXT($Y412,"dd-mmm")&amp;").","Next: "&amp;$Z412&amp;" due "&amp;TEXT($Y412,"dd-mmm")&amp;" ("&amp;(NETWORKDAYS(TODAY(),$Y412,Holidays)-1)&amp;" business day(s) left).")))))</f>
        <v/>
      </c>
      <c r="V412" s="17">
        <f>IF($W412="","",CHOOSE($W412,"Collection Email","1st Follow-up","2nd Follow-up","Local Office","CBE","Roxanne")&amp;IF($W412=6," - Final"," - Day "&amp;MAX(0,NETWORKDAYS($X412,TODAY(),Holidays)-1)&amp;" of "&amp;CHOOSE($W412,3,3,2,2,3))&amp;" | Total Day "&amp;MAX(0,NETWORKDAYS($L412,TODAY(),Holidays)-1))</f>
        <v/>
      </c>
      <c r="W412" s="17">
        <f>IF($L412="","",COUNT($L412:$Q412))</f>
        <v/>
      </c>
      <c r="X412" s="18">
        <f>IF($W412="","",INT(INDEX($L412:$Q412,$W412)))</f>
        <v/>
      </c>
      <c r="Y412" s="18">
        <f>IF(OR($W412="",$W412=6),"",WORKDAY($X412,CHOOSE($W412,3,3,2,2,3),Holidays))</f>
        <v/>
      </c>
      <c r="Z412" s="17">
        <f>IF(OR($W412="",$W412=6),"",CHOOSE($W412,"1st Email Follow-up","2nd Email Follow-up","Escalate Local Office","Escalate to CBE","Escalate to Roxanne"))</f>
        <v/>
      </c>
    </row>
    <row r="413" spans="18:26">
      <c r="R413" s="15"/>
      <c r="S413" s="16"/>
      <c r="T413" s="17">
        <f>IF(AND(COUNTA($A413:$K413)=0,$L413=""),"",IF($S413="Paid","PAID",IF($S413="Closed","CLOSED",IF($W413="","",IF($W413=6,"ESCALATED TO ROXANNE",IF(TODAY()&gt;$Y413,"OVERDUE",IF($Y413&lt;=WORKDAY(TODAY(),1,Holidays),"DUE TOMORROW",IF($W413=4,"ESCALATED TO LOCAL OFFICE",IF($W413=5,"ESCALATED TO CBE",IF($X413=TODAY(),"EMAIL SENT","MONITORING"))))))))))</f>
        <v/>
      </c>
      <c r="U413" s="17">
        <f>IF($T413="",IF(AND(COUNTA($A413:$K413)&gt;0,$L413=""),"Awaiting Collection Email time stamp.",""),IF(OR($T413="PAID",$T413="CLOSED"),IF($T413="PAID","Account paid. Action completed.","Account closed. No further action required."),CHOOSE($W413,"Collection Email","1st Email Follow-up","2nd Email Follow-up","Escalation to Local Office","Escalation to CBE","Escalation to Roxanne")&amp;" sent "&amp;TEXT($X413,"dd-mmm")&amp;". "&amp;IF($W413=6,"Final escalation completed.",IF($T413="OVERDUE","Next: "&amp;$Z413&amp;" was due "&amp;TEXT($Y413,"dd-mmm")&amp;" - "&amp;(NETWORKDAYS($Y413,TODAY(),Holidays)-1)&amp;" business day(s) late. Send now.",IF($T413="DUE TOMORROW","Next: "&amp;$Z413&amp;IF($Y413&lt;=TODAY()," is due TODAY ("," is due next business day (")&amp;TEXT($Y413,"dd-mmm")&amp;").","Next: "&amp;$Z413&amp;" due "&amp;TEXT($Y413,"dd-mmm")&amp;" ("&amp;(NETWORKDAYS(TODAY(),$Y413,Holidays)-1)&amp;" business day(s) left).")))))</f>
        <v/>
      </c>
      <c r="V413" s="17">
        <f>IF($W413="","",CHOOSE($W413,"Collection Email","1st Follow-up","2nd Follow-up","Local Office","CBE","Roxanne")&amp;IF($W413=6," - Final"," - Day "&amp;MAX(0,NETWORKDAYS($X413,TODAY(),Holidays)-1)&amp;" of "&amp;CHOOSE($W413,3,3,2,2,3))&amp;" | Total Day "&amp;MAX(0,NETWORKDAYS($L413,TODAY(),Holidays)-1))</f>
        <v/>
      </c>
      <c r="W413" s="17">
        <f>IF($L413="","",COUNT($L413:$Q413))</f>
        <v/>
      </c>
      <c r="X413" s="18">
        <f>IF($W413="","",INT(INDEX($L413:$Q413,$W413)))</f>
        <v/>
      </c>
      <c r="Y413" s="18">
        <f>IF(OR($W413="",$W413=6),"",WORKDAY($X413,CHOOSE($W413,3,3,2,2,3),Holidays))</f>
        <v/>
      </c>
      <c r="Z413" s="17">
        <f>IF(OR($W413="",$W413=6),"",CHOOSE($W413,"1st Email Follow-up","2nd Email Follow-up","Escalate Local Office","Escalate to CBE","Escalate to Roxanne"))</f>
        <v/>
      </c>
    </row>
    <row r="414" spans="18:26">
      <c r="R414" s="15"/>
      <c r="S414" s="16"/>
      <c r="T414" s="17">
        <f>IF(AND(COUNTA($A414:$K414)=0,$L414=""),"",IF($S414="Paid","PAID",IF($S414="Closed","CLOSED",IF($W414="","",IF($W414=6,"ESCALATED TO ROXANNE",IF(TODAY()&gt;$Y414,"OVERDUE",IF($Y414&lt;=WORKDAY(TODAY(),1,Holidays),"DUE TOMORROW",IF($W414=4,"ESCALATED TO LOCAL OFFICE",IF($W414=5,"ESCALATED TO CBE",IF($X414=TODAY(),"EMAIL SENT","MONITORING"))))))))))</f>
        <v/>
      </c>
      <c r="U414" s="17">
        <f>IF($T414="",IF(AND(COUNTA($A414:$K414)&gt;0,$L414=""),"Awaiting Collection Email time stamp.",""),IF(OR($T414="PAID",$T414="CLOSED"),IF($T414="PAID","Account paid. Action completed.","Account closed. No further action required."),CHOOSE($W414,"Collection Email","1st Email Follow-up","2nd Email Follow-up","Escalation to Local Office","Escalation to CBE","Escalation to Roxanne")&amp;" sent "&amp;TEXT($X414,"dd-mmm")&amp;". "&amp;IF($W414=6,"Final escalation completed.",IF($T414="OVERDUE","Next: "&amp;$Z414&amp;" was due "&amp;TEXT($Y414,"dd-mmm")&amp;" - "&amp;(NETWORKDAYS($Y414,TODAY(),Holidays)-1)&amp;" business day(s) late. Send now.",IF($T414="DUE TOMORROW","Next: "&amp;$Z414&amp;IF($Y414&lt;=TODAY()," is due TODAY ("," is due next business day (")&amp;TEXT($Y414,"dd-mmm")&amp;").","Next: "&amp;$Z414&amp;" due "&amp;TEXT($Y414,"dd-mmm")&amp;" ("&amp;(NETWORKDAYS(TODAY(),$Y414,Holidays)-1)&amp;" business day(s) left).")))))</f>
        <v/>
      </c>
      <c r="V414" s="17">
        <f>IF($W414="","",CHOOSE($W414,"Collection Email","1st Follow-up","2nd Follow-up","Local Office","CBE","Roxanne")&amp;IF($W414=6," - Final"," - Day "&amp;MAX(0,NETWORKDAYS($X414,TODAY(),Holidays)-1)&amp;" of "&amp;CHOOSE($W414,3,3,2,2,3))&amp;" | Total Day "&amp;MAX(0,NETWORKDAYS($L414,TODAY(),Holidays)-1))</f>
        <v/>
      </c>
      <c r="W414" s="17">
        <f>IF($L414="","",COUNT($L414:$Q414))</f>
        <v/>
      </c>
      <c r="X414" s="18">
        <f>IF($W414="","",INT(INDEX($L414:$Q414,$W414)))</f>
        <v/>
      </c>
      <c r="Y414" s="18">
        <f>IF(OR($W414="",$W414=6),"",WORKDAY($X414,CHOOSE($W414,3,3,2,2,3),Holidays))</f>
        <v/>
      </c>
      <c r="Z414" s="17">
        <f>IF(OR($W414="",$W414=6),"",CHOOSE($W414,"1st Email Follow-up","2nd Email Follow-up","Escalate Local Office","Escalate to CBE","Escalate to Roxanne"))</f>
        <v/>
      </c>
    </row>
    <row r="415" spans="18:26">
      <c r="R415" s="15"/>
      <c r="S415" s="16"/>
      <c r="T415" s="17">
        <f>IF(AND(COUNTA($A415:$K415)=0,$L415=""),"",IF($S415="Paid","PAID",IF($S415="Closed","CLOSED",IF($W415="","",IF($W415=6,"ESCALATED TO ROXANNE",IF(TODAY()&gt;$Y415,"OVERDUE",IF($Y415&lt;=WORKDAY(TODAY(),1,Holidays),"DUE TOMORROW",IF($W415=4,"ESCALATED TO LOCAL OFFICE",IF($W415=5,"ESCALATED TO CBE",IF($X415=TODAY(),"EMAIL SENT","MONITORING"))))))))))</f>
        <v/>
      </c>
      <c r="U415" s="17">
        <f>IF($T415="",IF(AND(COUNTA($A415:$K415)&gt;0,$L415=""),"Awaiting Collection Email time stamp.",""),IF(OR($T415="PAID",$T415="CLOSED"),IF($T415="PAID","Account paid. Action completed.","Account closed. No further action required."),CHOOSE($W415,"Collection Email","1st Email Follow-up","2nd Email Follow-up","Escalation to Local Office","Escalation to CBE","Escalation to Roxanne")&amp;" sent "&amp;TEXT($X415,"dd-mmm")&amp;". "&amp;IF($W415=6,"Final escalation completed.",IF($T415="OVERDUE","Next: "&amp;$Z415&amp;" was due "&amp;TEXT($Y415,"dd-mmm")&amp;" - "&amp;(NETWORKDAYS($Y415,TODAY(),Holidays)-1)&amp;" business day(s) late. Send now.",IF($T415="DUE TOMORROW","Next: "&amp;$Z415&amp;IF($Y415&lt;=TODAY()," is due TODAY ("," is due next business day (")&amp;TEXT($Y415,"dd-mmm")&amp;").","Next: "&amp;$Z415&amp;" due "&amp;TEXT($Y415,"dd-mmm")&amp;" ("&amp;(NETWORKDAYS(TODAY(),$Y415,Holidays)-1)&amp;" business day(s) left).")))))</f>
        <v/>
      </c>
      <c r="V415" s="17">
        <f>IF($W415="","",CHOOSE($W415,"Collection Email","1st Follow-up","2nd Follow-up","Local Office","CBE","Roxanne")&amp;IF($W415=6," - Final"," - Day "&amp;MAX(0,NETWORKDAYS($X415,TODAY(),Holidays)-1)&amp;" of "&amp;CHOOSE($W415,3,3,2,2,3))&amp;" | Total Day "&amp;MAX(0,NETWORKDAYS($L415,TODAY(),Holidays)-1))</f>
        <v/>
      </c>
      <c r="W415" s="17">
        <f>IF($L415="","",COUNT($L415:$Q415))</f>
        <v/>
      </c>
      <c r="X415" s="18">
        <f>IF($W415="","",INT(INDEX($L415:$Q415,$W415)))</f>
        <v/>
      </c>
      <c r="Y415" s="18">
        <f>IF(OR($W415="",$W415=6),"",WORKDAY($X415,CHOOSE($W415,3,3,2,2,3),Holidays))</f>
        <v/>
      </c>
      <c r="Z415" s="17">
        <f>IF(OR($W415="",$W415=6),"",CHOOSE($W415,"1st Email Follow-up","2nd Email Follow-up","Escalate Local Office","Escalate to CBE","Escalate to Roxanne"))</f>
        <v/>
      </c>
    </row>
    <row r="416" spans="18:26">
      <c r="R416" s="15"/>
      <c r="S416" s="16"/>
      <c r="T416" s="17">
        <f>IF(AND(COUNTA($A416:$K416)=0,$L416=""),"",IF($S416="Paid","PAID",IF($S416="Closed","CLOSED",IF($W416="","",IF($W416=6,"ESCALATED TO ROXANNE",IF(TODAY()&gt;$Y416,"OVERDUE",IF($Y416&lt;=WORKDAY(TODAY(),1,Holidays),"DUE TOMORROW",IF($W416=4,"ESCALATED TO LOCAL OFFICE",IF($W416=5,"ESCALATED TO CBE",IF($X416=TODAY(),"EMAIL SENT","MONITORING"))))))))))</f>
        <v/>
      </c>
      <c r="U416" s="17">
        <f>IF($T416="",IF(AND(COUNTA($A416:$K416)&gt;0,$L416=""),"Awaiting Collection Email time stamp.",""),IF(OR($T416="PAID",$T416="CLOSED"),IF($T416="PAID","Account paid. Action completed.","Account closed. No further action required."),CHOOSE($W416,"Collection Email","1st Email Follow-up","2nd Email Follow-up","Escalation to Local Office","Escalation to CBE","Escalation to Roxanne")&amp;" sent "&amp;TEXT($X416,"dd-mmm")&amp;". "&amp;IF($W416=6,"Final escalation completed.",IF($T416="OVERDUE","Next: "&amp;$Z416&amp;" was due "&amp;TEXT($Y416,"dd-mmm")&amp;" - "&amp;(NETWORKDAYS($Y416,TODAY(),Holidays)-1)&amp;" business day(s) late. Send now.",IF($T416="DUE TOMORROW","Next: "&amp;$Z416&amp;IF($Y416&lt;=TODAY()," is due TODAY ("," is due next business day (")&amp;TEXT($Y416,"dd-mmm")&amp;").","Next: "&amp;$Z416&amp;" due "&amp;TEXT($Y416,"dd-mmm")&amp;" ("&amp;(NETWORKDAYS(TODAY(),$Y416,Holidays)-1)&amp;" business day(s) left).")))))</f>
        <v/>
      </c>
      <c r="V416" s="17">
        <f>IF($W416="","",CHOOSE($W416,"Collection Email","1st Follow-up","2nd Follow-up","Local Office","CBE","Roxanne")&amp;IF($W416=6," - Final"," - Day "&amp;MAX(0,NETWORKDAYS($X416,TODAY(),Holidays)-1)&amp;" of "&amp;CHOOSE($W416,3,3,2,2,3))&amp;" | Total Day "&amp;MAX(0,NETWORKDAYS($L416,TODAY(),Holidays)-1))</f>
        <v/>
      </c>
      <c r="W416" s="17">
        <f>IF($L416="","",COUNT($L416:$Q416))</f>
        <v/>
      </c>
      <c r="X416" s="18">
        <f>IF($W416="","",INT(INDEX($L416:$Q416,$W416)))</f>
        <v/>
      </c>
      <c r="Y416" s="18">
        <f>IF(OR($W416="",$W416=6),"",WORKDAY($X416,CHOOSE($W416,3,3,2,2,3),Holidays))</f>
        <v/>
      </c>
      <c r="Z416" s="17">
        <f>IF(OR($W416="",$W416=6),"",CHOOSE($W416,"1st Email Follow-up","2nd Email Follow-up","Escalate Local Office","Escalate to CBE","Escalate to Roxanne"))</f>
        <v/>
      </c>
    </row>
    <row r="417" spans="18:26">
      <c r="R417" s="15"/>
      <c r="S417" s="16"/>
      <c r="T417" s="17">
        <f>IF(AND(COUNTA($A417:$K417)=0,$L417=""),"",IF($S417="Paid","PAID",IF($S417="Closed","CLOSED",IF($W417="","",IF($W417=6,"ESCALATED TO ROXANNE",IF(TODAY()&gt;$Y417,"OVERDUE",IF($Y417&lt;=WORKDAY(TODAY(),1,Holidays),"DUE TOMORROW",IF($W417=4,"ESCALATED TO LOCAL OFFICE",IF($W417=5,"ESCALATED TO CBE",IF($X417=TODAY(),"EMAIL SENT","MONITORING"))))))))))</f>
        <v/>
      </c>
      <c r="U417" s="17">
        <f>IF($T417="",IF(AND(COUNTA($A417:$K417)&gt;0,$L417=""),"Awaiting Collection Email time stamp.",""),IF(OR($T417="PAID",$T417="CLOSED"),IF($T417="PAID","Account paid. Action completed.","Account closed. No further action required."),CHOOSE($W417,"Collection Email","1st Email Follow-up","2nd Email Follow-up","Escalation to Local Office","Escalation to CBE","Escalation to Roxanne")&amp;" sent "&amp;TEXT($X417,"dd-mmm")&amp;". "&amp;IF($W417=6,"Final escalation completed.",IF($T417="OVERDUE","Next: "&amp;$Z417&amp;" was due "&amp;TEXT($Y417,"dd-mmm")&amp;" - "&amp;(NETWORKDAYS($Y417,TODAY(),Holidays)-1)&amp;" business day(s) late. Send now.",IF($T417="DUE TOMORROW","Next: "&amp;$Z417&amp;IF($Y417&lt;=TODAY()," is due TODAY ("," is due next business day (")&amp;TEXT($Y417,"dd-mmm")&amp;").","Next: "&amp;$Z417&amp;" due "&amp;TEXT($Y417,"dd-mmm")&amp;" ("&amp;(NETWORKDAYS(TODAY(),$Y417,Holidays)-1)&amp;" business day(s) left).")))))</f>
        <v/>
      </c>
      <c r="V417" s="17">
        <f>IF($W417="","",CHOOSE($W417,"Collection Email","1st Follow-up","2nd Follow-up","Local Office","CBE","Roxanne")&amp;IF($W417=6," - Final"," - Day "&amp;MAX(0,NETWORKDAYS($X417,TODAY(),Holidays)-1)&amp;" of "&amp;CHOOSE($W417,3,3,2,2,3))&amp;" | Total Day "&amp;MAX(0,NETWORKDAYS($L417,TODAY(),Holidays)-1))</f>
        <v/>
      </c>
      <c r="W417" s="17">
        <f>IF($L417="","",COUNT($L417:$Q417))</f>
        <v/>
      </c>
      <c r="X417" s="18">
        <f>IF($W417="","",INT(INDEX($L417:$Q417,$W417)))</f>
        <v/>
      </c>
      <c r="Y417" s="18">
        <f>IF(OR($W417="",$W417=6),"",WORKDAY($X417,CHOOSE($W417,3,3,2,2,3),Holidays))</f>
        <v/>
      </c>
      <c r="Z417" s="17">
        <f>IF(OR($W417="",$W417=6),"",CHOOSE($W417,"1st Email Follow-up","2nd Email Follow-up","Escalate Local Office","Escalate to CBE","Escalate to Roxanne"))</f>
        <v/>
      </c>
    </row>
    <row r="418" spans="18:26">
      <c r="R418" s="15"/>
      <c r="S418" s="16"/>
      <c r="T418" s="17">
        <f>IF(AND(COUNTA($A418:$K418)=0,$L418=""),"",IF($S418="Paid","PAID",IF($S418="Closed","CLOSED",IF($W418="","",IF($W418=6,"ESCALATED TO ROXANNE",IF(TODAY()&gt;$Y418,"OVERDUE",IF($Y418&lt;=WORKDAY(TODAY(),1,Holidays),"DUE TOMORROW",IF($W418=4,"ESCALATED TO LOCAL OFFICE",IF($W418=5,"ESCALATED TO CBE",IF($X418=TODAY(),"EMAIL SENT","MONITORING"))))))))))</f>
        <v/>
      </c>
      <c r="U418" s="17">
        <f>IF($T418="",IF(AND(COUNTA($A418:$K418)&gt;0,$L418=""),"Awaiting Collection Email time stamp.",""),IF(OR($T418="PAID",$T418="CLOSED"),IF($T418="PAID","Account paid. Action completed.","Account closed. No further action required."),CHOOSE($W418,"Collection Email","1st Email Follow-up","2nd Email Follow-up","Escalation to Local Office","Escalation to CBE","Escalation to Roxanne")&amp;" sent "&amp;TEXT($X418,"dd-mmm")&amp;". "&amp;IF($W418=6,"Final escalation completed.",IF($T418="OVERDUE","Next: "&amp;$Z418&amp;" was due "&amp;TEXT($Y418,"dd-mmm")&amp;" - "&amp;(NETWORKDAYS($Y418,TODAY(),Holidays)-1)&amp;" business day(s) late. Send now.",IF($T418="DUE TOMORROW","Next: "&amp;$Z418&amp;IF($Y418&lt;=TODAY()," is due TODAY ("," is due next business day (")&amp;TEXT($Y418,"dd-mmm")&amp;").","Next: "&amp;$Z418&amp;" due "&amp;TEXT($Y418,"dd-mmm")&amp;" ("&amp;(NETWORKDAYS(TODAY(),$Y418,Holidays)-1)&amp;" business day(s) left).")))))</f>
        <v/>
      </c>
      <c r="V418" s="17">
        <f>IF($W418="","",CHOOSE($W418,"Collection Email","1st Follow-up","2nd Follow-up","Local Office","CBE","Roxanne")&amp;IF($W418=6," - Final"," - Day "&amp;MAX(0,NETWORKDAYS($X418,TODAY(),Holidays)-1)&amp;" of "&amp;CHOOSE($W418,3,3,2,2,3))&amp;" | Total Day "&amp;MAX(0,NETWORKDAYS($L418,TODAY(),Holidays)-1))</f>
        <v/>
      </c>
      <c r="W418" s="17">
        <f>IF($L418="","",COUNT($L418:$Q418))</f>
        <v/>
      </c>
      <c r="X418" s="18">
        <f>IF($W418="","",INT(INDEX($L418:$Q418,$W418)))</f>
        <v/>
      </c>
      <c r="Y418" s="18">
        <f>IF(OR($W418="",$W418=6),"",WORKDAY($X418,CHOOSE($W418,3,3,2,2,3),Holidays))</f>
        <v/>
      </c>
      <c r="Z418" s="17">
        <f>IF(OR($W418="",$W418=6),"",CHOOSE($W418,"1st Email Follow-up","2nd Email Follow-up","Escalate Local Office","Escalate to CBE","Escalate to Roxanne"))</f>
        <v/>
      </c>
    </row>
    <row r="419" spans="18:26">
      <c r="R419" s="15"/>
      <c r="S419" s="16"/>
      <c r="T419" s="17">
        <f>IF(AND(COUNTA($A419:$K419)=0,$L419=""),"",IF($S419="Paid","PAID",IF($S419="Closed","CLOSED",IF($W419="","",IF($W419=6,"ESCALATED TO ROXANNE",IF(TODAY()&gt;$Y419,"OVERDUE",IF($Y419&lt;=WORKDAY(TODAY(),1,Holidays),"DUE TOMORROW",IF($W419=4,"ESCALATED TO LOCAL OFFICE",IF($W419=5,"ESCALATED TO CBE",IF($X419=TODAY(),"EMAIL SENT","MONITORING"))))))))))</f>
        <v/>
      </c>
      <c r="U419" s="17">
        <f>IF($T419="",IF(AND(COUNTA($A419:$K419)&gt;0,$L419=""),"Awaiting Collection Email time stamp.",""),IF(OR($T419="PAID",$T419="CLOSED"),IF($T419="PAID","Account paid. Action completed.","Account closed. No further action required."),CHOOSE($W419,"Collection Email","1st Email Follow-up","2nd Email Follow-up","Escalation to Local Office","Escalation to CBE","Escalation to Roxanne")&amp;" sent "&amp;TEXT($X419,"dd-mmm")&amp;". "&amp;IF($W419=6,"Final escalation completed.",IF($T419="OVERDUE","Next: "&amp;$Z419&amp;" was due "&amp;TEXT($Y419,"dd-mmm")&amp;" - "&amp;(NETWORKDAYS($Y419,TODAY(),Holidays)-1)&amp;" business day(s) late. Send now.",IF($T419="DUE TOMORROW","Next: "&amp;$Z419&amp;IF($Y419&lt;=TODAY()," is due TODAY ("," is due next business day (")&amp;TEXT($Y419,"dd-mmm")&amp;").","Next: "&amp;$Z419&amp;" due "&amp;TEXT($Y419,"dd-mmm")&amp;" ("&amp;(NETWORKDAYS(TODAY(),$Y419,Holidays)-1)&amp;" business day(s) left).")))))</f>
        <v/>
      </c>
      <c r="V419" s="17">
        <f>IF($W419="","",CHOOSE($W419,"Collection Email","1st Follow-up","2nd Follow-up","Local Office","CBE","Roxanne")&amp;IF($W419=6," - Final"," - Day "&amp;MAX(0,NETWORKDAYS($X419,TODAY(),Holidays)-1)&amp;" of "&amp;CHOOSE($W419,3,3,2,2,3))&amp;" | Total Day "&amp;MAX(0,NETWORKDAYS($L419,TODAY(),Holidays)-1))</f>
        <v/>
      </c>
      <c r="W419" s="17">
        <f>IF($L419="","",COUNT($L419:$Q419))</f>
        <v/>
      </c>
      <c r="X419" s="18">
        <f>IF($W419="","",INT(INDEX($L419:$Q419,$W419)))</f>
        <v/>
      </c>
      <c r="Y419" s="18">
        <f>IF(OR($W419="",$W419=6),"",WORKDAY($X419,CHOOSE($W419,3,3,2,2,3),Holidays))</f>
        <v/>
      </c>
      <c r="Z419" s="17">
        <f>IF(OR($W419="",$W419=6),"",CHOOSE($W419,"1st Email Follow-up","2nd Email Follow-up","Escalate Local Office","Escalate to CBE","Escalate to Roxanne"))</f>
        <v/>
      </c>
    </row>
    <row r="420" spans="18:26">
      <c r="R420" s="15"/>
      <c r="S420" s="16"/>
      <c r="T420" s="17">
        <f>IF(AND(COUNTA($A420:$K420)=0,$L420=""),"",IF($S420="Paid","PAID",IF($S420="Closed","CLOSED",IF($W420="","",IF($W420=6,"ESCALATED TO ROXANNE",IF(TODAY()&gt;$Y420,"OVERDUE",IF($Y420&lt;=WORKDAY(TODAY(),1,Holidays),"DUE TOMORROW",IF($W420=4,"ESCALATED TO LOCAL OFFICE",IF($W420=5,"ESCALATED TO CBE",IF($X420=TODAY(),"EMAIL SENT","MONITORING"))))))))))</f>
        <v/>
      </c>
      <c r="U420" s="17">
        <f>IF($T420="",IF(AND(COUNTA($A420:$K420)&gt;0,$L420=""),"Awaiting Collection Email time stamp.",""),IF(OR($T420="PAID",$T420="CLOSED"),IF($T420="PAID","Account paid. Action completed.","Account closed. No further action required."),CHOOSE($W420,"Collection Email","1st Email Follow-up","2nd Email Follow-up","Escalation to Local Office","Escalation to CBE","Escalation to Roxanne")&amp;" sent "&amp;TEXT($X420,"dd-mmm")&amp;". "&amp;IF($W420=6,"Final escalation completed.",IF($T420="OVERDUE","Next: "&amp;$Z420&amp;" was due "&amp;TEXT($Y420,"dd-mmm")&amp;" - "&amp;(NETWORKDAYS($Y420,TODAY(),Holidays)-1)&amp;" business day(s) late. Send now.",IF($T420="DUE TOMORROW","Next: "&amp;$Z420&amp;IF($Y420&lt;=TODAY()," is due TODAY ("," is due next business day (")&amp;TEXT($Y420,"dd-mmm")&amp;").","Next: "&amp;$Z420&amp;" due "&amp;TEXT($Y420,"dd-mmm")&amp;" ("&amp;(NETWORKDAYS(TODAY(),$Y420,Holidays)-1)&amp;" business day(s) left).")))))</f>
        <v/>
      </c>
      <c r="V420" s="17">
        <f>IF($W420="","",CHOOSE($W420,"Collection Email","1st Follow-up","2nd Follow-up","Local Office","CBE","Roxanne")&amp;IF($W420=6," - Final"," - Day "&amp;MAX(0,NETWORKDAYS($X420,TODAY(),Holidays)-1)&amp;" of "&amp;CHOOSE($W420,3,3,2,2,3))&amp;" | Total Day "&amp;MAX(0,NETWORKDAYS($L420,TODAY(),Holidays)-1))</f>
        <v/>
      </c>
      <c r="W420" s="17">
        <f>IF($L420="","",COUNT($L420:$Q420))</f>
        <v/>
      </c>
      <c r="X420" s="18">
        <f>IF($W420="","",INT(INDEX($L420:$Q420,$W420)))</f>
        <v/>
      </c>
      <c r="Y420" s="18">
        <f>IF(OR($W420="",$W420=6),"",WORKDAY($X420,CHOOSE($W420,3,3,2,2,3),Holidays))</f>
        <v/>
      </c>
      <c r="Z420" s="17">
        <f>IF(OR($W420="",$W420=6),"",CHOOSE($W420,"1st Email Follow-up","2nd Email Follow-up","Escalate Local Office","Escalate to CBE","Escalate to Roxanne"))</f>
        <v/>
      </c>
    </row>
    <row r="421" spans="18:26">
      <c r="R421" s="15"/>
      <c r="S421" s="16"/>
      <c r="T421" s="17">
        <f>IF(AND(COUNTA($A421:$K421)=0,$L421=""),"",IF($S421="Paid","PAID",IF($S421="Closed","CLOSED",IF($W421="","",IF($W421=6,"ESCALATED TO ROXANNE",IF(TODAY()&gt;$Y421,"OVERDUE",IF($Y421&lt;=WORKDAY(TODAY(),1,Holidays),"DUE TOMORROW",IF($W421=4,"ESCALATED TO LOCAL OFFICE",IF($W421=5,"ESCALATED TO CBE",IF($X421=TODAY(),"EMAIL SENT","MONITORING"))))))))))</f>
        <v/>
      </c>
      <c r="U421" s="17">
        <f>IF($T421="",IF(AND(COUNTA($A421:$K421)&gt;0,$L421=""),"Awaiting Collection Email time stamp.",""),IF(OR($T421="PAID",$T421="CLOSED"),IF($T421="PAID","Account paid. Action completed.","Account closed. No further action required."),CHOOSE($W421,"Collection Email","1st Email Follow-up","2nd Email Follow-up","Escalation to Local Office","Escalation to CBE","Escalation to Roxanne")&amp;" sent "&amp;TEXT($X421,"dd-mmm")&amp;". "&amp;IF($W421=6,"Final escalation completed.",IF($T421="OVERDUE","Next: "&amp;$Z421&amp;" was due "&amp;TEXT($Y421,"dd-mmm")&amp;" - "&amp;(NETWORKDAYS($Y421,TODAY(),Holidays)-1)&amp;" business day(s) late. Send now.",IF($T421="DUE TOMORROW","Next: "&amp;$Z421&amp;IF($Y421&lt;=TODAY()," is due TODAY ("," is due next business day (")&amp;TEXT($Y421,"dd-mmm")&amp;").","Next: "&amp;$Z421&amp;" due "&amp;TEXT($Y421,"dd-mmm")&amp;" ("&amp;(NETWORKDAYS(TODAY(),$Y421,Holidays)-1)&amp;" business day(s) left).")))))</f>
        <v/>
      </c>
      <c r="V421" s="17">
        <f>IF($W421="","",CHOOSE($W421,"Collection Email","1st Follow-up","2nd Follow-up","Local Office","CBE","Roxanne")&amp;IF($W421=6," - Final"," - Day "&amp;MAX(0,NETWORKDAYS($X421,TODAY(),Holidays)-1)&amp;" of "&amp;CHOOSE($W421,3,3,2,2,3))&amp;" | Total Day "&amp;MAX(0,NETWORKDAYS($L421,TODAY(),Holidays)-1))</f>
        <v/>
      </c>
      <c r="W421" s="17">
        <f>IF($L421="","",COUNT($L421:$Q421))</f>
        <v/>
      </c>
      <c r="X421" s="18">
        <f>IF($W421="","",INT(INDEX($L421:$Q421,$W421)))</f>
        <v/>
      </c>
      <c r="Y421" s="18">
        <f>IF(OR($W421="",$W421=6),"",WORKDAY($X421,CHOOSE($W421,3,3,2,2,3),Holidays))</f>
        <v/>
      </c>
      <c r="Z421" s="17">
        <f>IF(OR($W421="",$W421=6),"",CHOOSE($W421,"1st Email Follow-up","2nd Email Follow-up","Escalate Local Office","Escalate to CBE","Escalate to Roxanne"))</f>
        <v/>
      </c>
    </row>
    <row r="422" spans="18:26">
      <c r="R422" s="15"/>
      <c r="S422" s="16"/>
      <c r="T422" s="17">
        <f>IF(AND(COUNTA($A422:$K422)=0,$L422=""),"",IF($S422="Paid","PAID",IF($S422="Closed","CLOSED",IF($W422="","",IF($W422=6,"ESCALATED TO ROXANNE",IF(TODAY()&gt;$Y422,"OVERDUE",IF($Y422&lt;=WORKDAY(TODAY(),1,Holidays),"DUE TOMORROW",IF($W422=4,"ESCALATED TO LOCAL OFFICE",IF($W422=5,"ESCALATED TO CBE",IF($X422=TODAY(),"EMAIL SENT","MONITORING"))))))))))</f>
        <v/>
      </c>
      <c r="U422" s="17">
        <f>IF($T422="",IF(AND(COUNTA($A422:$K422)&gt;0,$L422=""),"Awaiting Collection Email time stamp.",""),IF(OR($T422="PAID",$T422="CLOSED"),IF($T422="PAID","Account paid. Action completed.","Account closed. No further action required."),CHOOSE($W422,"Collection Email","1st Email Follow-up","2nd Email Follow-up","Escalation to Local Office","Escalation to CBE","Escalation to Roxanne")&amp;" sent "&amp;TEXT($X422,"dd-mmm")&amp;". "&amp;IF($W422=6,"Final escalation completed.",IF($T422="OVERDUE","Next: "&amp;$Z422&amp;" was due "&amp;TEXT($Y422,"dd-mmm")&amp;" - "&amp;(NETWORKDAYS($Y422,TODAY(),Holidays)-1)&amp;" business day(s) late. Send now.",IF($T422="DUE TOMORROW","Next: "&amp;$Z422&amp;IF($Y422&lt;=TODAY()," is due TODAY ("," is due next business day (")&amp;TEXT($Y422,"dd-mmm")&amp;").","Next: "&amp;$Z422&amp;" due "&amp;TEXT($Y422,"dd-mmm")&amp;" ("&amp;(NETWORKDAYS(TODAY(),$Y422,Holidays)-1)&amp;" business day(s) left).")))))</f>
        <v/>
      </c>
      <c r="V422" s="17">
        <f>IF($W422="","",CHOOSE($W422,"Collection Email","1st Follow-up","2nd Follow-up","Local Office","CBE","Roxanne")&amp;IF($W422=6," - Final"," - Day "&amp;MAX(0,NETWORKDAYS($X422,TODAY(),Holidays)-1)&amp;" of "&amp;CHOOSE($W422,3,3,2,2,3))&amp;" | Total Day "&amp;MAX(0,NETWORKDAYS($L422,TODAY(),Holidays)-1))</f>
        <v/>
      </c>
      <c r="W422" s="17">
        <f>IF($L422="","",COUNT($L422:$Q422))</f>
        <v/>
      </c>
      <c r="X422" s="18">
        <f>IF($W422="","",INT(INDEX($L422:$Q422,$W422)))</f>
        <v/>
      </c>
      <c r="Y422" s="18">
        <f>IF(OR($W422="",$W422=6),"",WORKDAY($X422,CHOOSE($W422,3,3,2,2,3),Holidays))</f>
        <v/>
      </c>
      <c r="Z422" s="17">
        <f>IF(OR($W422="",$W422=6),"",CHOOSE($W422,"1st Email Follow-up","2nd Email Follow-up","Escalate Local Office","Escalate to CBE","Escalate to Roxanne"))</f>
        <v/>
      </c>
    </row>
    <row r="423" spans="18:26">
      <c r="R423" s="15"/>
      <c r="S423" s="16"/>
      <c r="T423" s="17">
        <f>IF(AND(COUNTA($A423:$K423)=0,$L423=""),"",IF($S423="Paid","PAID",IF($S423="Closed","CLOSED",IF($W423="","",IF($W423=6,"ESCALATED TO ROXANNE",IF(TODAY()&gt;$Y423,"OVERDUE",IF($Y423&lt;=WORKDAY(TODAY(),1,Holidays),"DUE TOMORROW",IF($W423=4,"ESCALATED TO LOCAL OFFICE",IF($W423=5,"ESCALATED TO CBE",IF($X423=TODAY(),"EMAIL SENT","MONITORING"))))))))))</f>
        <v/>
      </c>
      <c r="U423" s="17">
        <f>IF($T423="",IF(AND(COUNTA($A423:$K423)&gt;0,$L423=""),"Awaiting Collection Email time stamp.",""),IF(OR($T423="PAID",$T423="CLOSED"),IF($T423="PAID","Account paid. Action completed.","Account closed. No further action required."),CHOOSE($W423,"Collection Email","1st Email Follow-up","2nd Email Follow-up","Escalation to Local Office","Escalation to CBE","Escalation to Roxanne")&amp;" sent "&amp;TEXT($X423,"dd-mmm")&amp;". "&amp;IF($W423=6,"Final escalation completed.",IF($T423="OVERDUE","Next: "&amp;$Z423&amp;" was due "&amp;TEXT($Y423,"dd-mmm")&amp;" - "&amp;(NETWORKDAYS($Y423,TODAY(),Holidays)-1)&amp;" business day(s) late. Send now.",IF($T423="DUE TOMORROW","Next: "&amp;$Z423&amp;IF($Y423&lt;=TODAY()," is due TODAY ("," is due next business day (")&amp;TEXT($Y423,"dd-mmm")&amp;").","Next: "&amp;$Z423&amp;" due "&amp;TEXT($Y423,"dd-mmm")&amp;" ("&amp;(NETWORKDAYS(TODAY(),$Y423,Holidays)-1)&amp;" business day(s) left).")))))</f>
        <v/>
      </c>
      <c r="V423" s="17">
        <f>IF($W423="","",CHOOSE($W423,"Collection Email","1st Follow-up","2nd Follow-up","Local Office","CBE","Roxanne")&amp;IF($W423=6," - Final"," - Day "&amp;MAX(0,NETWORKDAYS($X423,TODAY(),Holidays)-1)&amp;" of "&amp;CHOOSE($W423,3,3,2,2,3))&amp;" | Total Day "&amp;MAX(0,NETWORKDAYS($L423,TODAY(),Holidays)-1))</f>
        <v/>
      </c>
      <c r="W423" s="17">
        <f>IF($L423="","",COUNT($L423:$Q423))</f>
        <v/>
      </c>
      <c r="X423" s="18">
        <f>IF($W423="","",INT(INDEX($L423:$Q423,$W423)))</f>
        <v/>
      </c>
      <c r="Y423" s="18">
        <f>IF(OR($W423="",$W423=6),"",WORKDAY($X423,CHOOSE($W423,3,3,2,2,3),Holidays))</f>
        <v/>
      </c>
      <c r="Z423" s="17">
        <f>IF(OR($W423="",$W423=6),"",CHOOSE($W423,"1st Email Follow-up","2nd Email Follow-up","Escalate Local Office","Escalate to CBE","Escalate to Roxanne"))</f>
        <v/>
      </c>
    </row>
    <row r="424" spans="18:26">
      <c r="R424" s="15"/>
      <c r="S424" s="16"/>
      <c r="T424" s="17">
        <f>IF(AND(COUNTA($A424:$K424)=0,$L424=""),"",IF($S424="Paid","PAID",IF($S424="Closed","CLOSED",IF($W424="","",IF($W424=6,"ESCALATED TO ROXANNE",IF(TODAY()&gt;$Y424,"OVERDUE",IF($Y424&lt;=WORKDAY(TODAY(),1,Holidays),"DUE TOMORROW",IF($W424=4,"ESCALATED TO LOCAL OFFICE",IF($W424=5,"ESCALATED TO CBE",IF($X424=TODAY(),"EMAIL SENT","MONITORING"))))))))))</f>
        <v/>
      </c>
      <c r="U424" s="17">
        <f>IF($T424="",IF(AND(COUNTA($A424:$K424)&gt;0,$L424=""),"Awaiting Collection Email time stamp.",""),IF(OR($T424="PAID",$T424="CLOSED"),IF($T424="PAID","Account paid. Action completed.","Account closed. No further action required."),CHOOSE($W424,"Collection Email","1st Email Follow-up","2nd Email Follow-up","Escalation to Local Office","Escalation to CBE","Escalation to Roxanne")&amp;" sent "&amp;TEXT($X424,"dd-mmm")&amp;". "&amp;IF($W424=6,"Final escalation completed.",IF($T424="OVERDUE","Next: "&amp;$Z424&amp;" was due "&amp;TEXT($Y424,"dd-mmm")&amp;" - "&amp;(NETWORKDAYS($Y424,TODAY(),Holidays)-1)&amp;" business day(s) late. Send now.",IF($T424="DUE TOMORROW","Next: "&amp;$Z424&amp;IF($Y424&lt;=TODAY()," is due TODAY ("," is due next business day (")&amp;TEXT($Y424,"dd-mmm")&amp;").","Next: "&amp;$Z424&amp;" due "&amp;TEXT($Y424,"dd-mmm")&amp;" ("&amp;(NETWORKDAYS(TODAY(),$Y424,Holidays)-1)&amp;" business day(s) left).")))))</f>
        <v/>
      </c>
      <c r="V424" s="17">
        <f>IF($W424="","",CHOOSE($W424,"Collection Email","1st Follow-up","2nd Follow-up","Local Office","CBE","Roxanne")&amp;IF($W424=6," - Final"," - Day "&amp;MAX(0,NETWORKDAYS($X424,TODAY(),Holidays)-1)&amp;" of "&amp;CHOOSE($W424,3,3,2,2,3))&amp;" | Total Day "&amp;MAX(0,NETWORKDAYS($L424,TODAY(),Holidays)-1))</f>
        <v/>
      </c>
      <c r="W424" s="17">
        <f>IF($L424="","",COUNT($L424:$Q424))</f>
        <v/>
      </c>
      <c r="X424" s="18">
        <f>IF($W424="","",INT(INDEX($L424:$Q424,$W424)))</f>
        <v/>
      </c>
      <c r="Y424" s="18">
        <f>IF(OR($W424="",$W424=6),"",WORKDAY($X424,CHOOSE($W424,3,3,2,2,3),Holidays))</f>
        <v/>
      </c>
      <c r="Z424" s="17">
        <f>IF(OR($W424="",$W424=6),"",CHOOSE($W424,"1st Email Follow-up","2nd Email Follow-up","Escalate Local Office","Escalate to CBE","Escalate to Roxanne"))</f>
        <v/>
      </c>
    </row>
    <row r="425" spans="18:26">
      <c r="R425" s="15"/>
      <c r="S425" s="16"/>
      <c r="T425" s="17">
        <f>IF(AND(COUNTA($A425:$K425)=0,$L425=""),"",IF($S425="Paid","PAID",IF($S425="Closed","CLOSED",IF($W425="","",IF($W425=6,"ESCALATED TO ROXANNE",IF(TODAY()&gt;$Y425,"OVERDUE",IF($Y425&lt;=WORKDAY(TODAY(),1,Holidays),"DUE TOMORROW",IF($W425=4,"ESCALATED TO LOCAL OFFICE",IF($W425=5,"ESCALATED TO CBE",IF($X425=TODAY(),"EMAIL SENT","MONITORING"))))))))))</f>
        <v/>
      </c>
      <c r="U425" s="17">
        <f>IF($T425="",IF(AND(COUNTA($A425:$K425)&gt;0,$L425=""),"Awaiting Collection Email time stamp.",""),IF(OR($T425="PAID",$T425="CLOSED"),IF($T425="PAID","Account paid. Action completed.","Account closed. No further action required."),CHOOSE($W425,"Collection Email","1st Email Follow-up","2nd Email Follow-up","Escalation to Local Office","Escalation to CBE","Escalation to Roxanne")&amp;" sent "&amp;TEXT($X425,"dd-mmm")&amp;". "&amp;IF($W425=6,"Final escalation completed.",IF($T425="OVERDUE","Next: "&amp;$Z425&amp;" was due "&amp;TEXT($Y425,"dd-mmm")&amp;" - "&amp;(NETWORKDAYS($Y425,TODAY(),Holidays)-1)&amp;" business day(s) late. Send now.",IF($T425="DUE TOMORROW","Next: "&amp;$Z425&amp;IF($Y425&lt;=TODAY()," is due TODAY ("," is due next business day (")&amp;TEXT($Y425,"dd-mmm")&amp;").","Next: "&amp;$Z425&amp;" due "&amp;TEXT($Y425,"dd-mmm")&amp;" ("&amp;(NETWORKDAYS(TODAY(),$Y425,Holidays)-1)&amp;" business day(s) left).")))))</f>
        <v/>
      </c>
      <c r="V425" s="17">
        <f>IF($W425="","",CHOOSE($W425,"Collection Email","1st Follow-up","2nd Follow-up","Local Office","CBE","Roxanne")&amp;IF($W425=6," - Final"," - Day "&amp;MAX(0,NETWORKDAYS($X425,TODAY(),Holidays)-1)&amp;" of "&amp;CHOOSE($W425,3,3,2,2,3))&amp;" | Total Day "&amp;MAX(0,NETWORKDAYS($L425,TODAY(),Holidays)-1))</f>
        <v/>
      </c>
      <c r="W425" s="17">
        <f>IF($L425="","",COUNT($L425:$Q425))</f>
        <v/>
      </c>
      <c r="X425" s="18">
        <f>IF($W425="","",INT(INDEX($L425:$Q425,$W425)))</f>
        <v/>
      </c>
      <c r="Y425" s="18">
        <f>IF(OR($W425="",$W425=6),"",WORKDAY($X425,CHOOSE($W425,3,3,2,2,3),Holidays))</f>
        <v/>
      </c>
      <c r="Z425" s="17">
        <f>IF(OR($W425="",$W425=6),"",CHOOSE($W425,"1st Email Follow-up","2nd Email Follow-up","Escalate Local Office","Escalate to CBE","Escalate to Roxanne"))</f>
        <v/>
      </c>
    </row>
    <row r="426" spans="18:26">
      <c r="R426" s="15"/>
      <c r="S426" s="16"/>
      <c r="T426" s="17">
        <f>IF(AND(COUNTA($A426:$K426)=0,$L426=""),"",IF($S426="Paid","PAID",IF($S426="Closed","CLOSED",IF($W426="","",IF($W426=6,"ESCALATED TO ROXANNE",IF(TODAY()&gt;$Y426,"OVERDUE",IF($Y426&lt;=WORKDAY(TODAY(),1,Holidays),"DUE TOMORROW",IF($W426=4,"ESCALATED TO LOCAL OFFICE",IF($W426=5,"ESCALATED TO CBE",IF($X426=TODAY(),"EMAIL SENT","MONITORING"))))))))))</f>
        <v/>
      </c>
      <c r="U426" s="17">
        <f>IF($T426="",IF(AND(COUNTA($A426:$K426)&gt;0,$L426=""),"Awaiting Collection Email time stamp.",""),IF(OR($T426="PAID",$T426="CLOSED"),IF($T426="PAID","Account paid. Action completed.","Account closed. No further action required."),CHOOSE($W426,"Collection Email","1st Email Follow-up","2nd Email Follow-up","Escalation to Local Office","Escalation to CBE","Escalation to Roxanne")&amp;" sent "&amp;TEXT($X426,"dd-mmm")&amp;". "&amp;IF($W426=6,"Final escalation completed.",IF($T426="OVERDUE","Next: "&amp;$Z426&amp;" was due "&amp;TEXT($Y426,"dd-mmm")&amp;" - "&amp;(NETWORKDAYS($Y426,TODAY(),Holidays)-1)&amp;" business day(s) late. Send now.",IF($T426="DUE TOMORROW","Next: "&amp;$Z426&amp;IF($Y426&lt;=TODAY()," is due TODAY ("," is due next business day (")&amp;TEXT($Y426,"dd-mmm")&amp;").","Next: "&amp;$Z426&amp;" due "&amp;TEXT($Y426,"dd-mmm")&amp;" ("&amp;(NETWORKDAYS(TODAY(),$Y426,Holidays)-1)&amp;" business day(s) left).")))))</f>
        <v/>
      </c>
      <c r="V426" s="17">
        <f>IF($W426="","",CHOOSE($W426,"Collection Email","1st Follow-up","2nd Follow-up","Local Office","CBE","Roxanne")&amp;IF($W426=6," - Final"," - Day "&amp;MAX(0,NETWORKDAYS($X426,TODAY(),Holidays)-1)&amp;" of "&amp;CHOOSE($W426,3,3,2,2,3))&amp;" | Total Day "&amp;MAX(0,NETWORKDAYS($L426,TODAY(),Holidays)-1))</f>
        <v/>
      </c>
      <c r="W426" s="17">
        <f>IF($L426="","",COUNT($L426:$Q426))</f>
        <v/>
      </c>
      <c r="X426" s="18">
        <f>IF($W426="","",INT(INDEX($L426:$Q426,$W426)))</f>
        <v/>
      </c>
      <c r="Y426" s="18">
        <f>IF(OR($W426="",$W426=6),"",WORKDAY($X426,CHOOSE($W426,3,3,2,2,3),Holidays))</f>
        <v/>
      </c>
      <c r="Z426" s="17">
        <f>IF(OR($W426="",$W426=6),"",CHOOSE($W426,"1st Email Follow-up","2nd Email Follow-up","Escalate Local Office","Escalate to CBE","Escalate to Roxanne"))</f>
        <v/>
      </c>
    </row>
    <row r="427" spans="18:26">
      <c r="R427" s="15"/>
      <c r="S427" s="16"/>
      <c r="T427" s="17">
        <f>IF(AND(COUNTA($A427:$K427)=0,$L427=""),"",IF($S427="Paid","PAID",IF($S427="Closed","CLOSED",IF($W427="","",IF($W427=6,"ESCALATED TO ROXANNE",IF(TODAY()&gt;$Y427,"OVERDUE",IF($Y427&lt;=WORKDAY(TODAY(),1,Holidays),"DUE TOMORROW",IF($W427=4,"ESCALATED TO LOCAL OFFICE",IF($W427=5,"ESCALATED TO CBE",IF($X427=TODAY(),"EMAIL SENT","MONITORING"))))))))))</f>
        <v/>
      </c>
      <c r="U427" s="17">
        <f>IF($T427="",IF(AND(COUNTA($A427:$K427)&gt;0,$L427=""),"Awaiting Collection Email time stamp.",""),IF(OR($T427="PAID",$T427="CLOSED"),IF($T427="PAID","Account paid. Action completed.","Account closed. No further action required."),CHOOSE($W427,"Collection Email","1st Email Follow-up","2nd Email Follow-up","Escalation to Local Office","Escalation to CBE","Escalation to Roxanne")&amp;" sent "&amp;TEXT($X427,"dd-mmm")&amp;". "&amp;IF($W427=6,"Final escalation completed.",IF($T427="OVERDUE","Next: "&amp;$Z427&amp;" was due "&amp;TEXT($Y427,"dd-mmm")&amp;" - "&amp;(NETWORKDAYS($Y427,TODAY(),Holidays)-1)&amp;" business day(s) late. Send now.",IF($T427="DUE TOMORROW","Next: "&amp;$Z427&amp;IF($Y427&lt;=TODAY()," is due TODAY ("," is due next business day (")&amp;TEXT($Y427,"dd-mmm")&amp;").","Next: "&amp;$Z427&amp;" due "&amp;TEXT($Y427,"dd-mmm")&amp;" ("&amp;(NETWORKDAYS(TODAY(),$Y427,Holidays)-1)&amp;" business day(s) left).")))))</f>
        <v/>
      </c>
      <c r="V427" s="17">
        <f>IF($W427="","",CHOOSE($W427,"Collection Email","1st Follow-up","2nd Follow-up","Local Office","CBE","Roxanne")&amp;IF($W427=6," - Final"," - Day "&amp;MAX(0,NETWORKDAYS($X427,TODAY(),Holidays)-1)&amp;" of "&amp;CHOOSE($W427,3,3,2,2,3))&amp;" | Total Day "&amp;MAX(0,NETWORKDAYS($L427,TODAY(),Holidays)-1))</f>
        <v/>
      </c>
      <c r="W427" s="17">
        <f>IF($L427="","",COUNT($L427:$Q427))</f>
        <v/>
      </c>
      <c r="X427" s="18">
        <f>IF($W427="","",INT(INDEX($L427:$Q427,$W427)))</f>
        <v/>
      </c>
      <c r="Y427" s="18">
        <f>IF(OR($W427="",$W427=6),"",WORKDAY($X427,CHOOSE($W427,3,3,2,2,3),Holidays))</f>
        <v/>
      </c>
      <c r="Z427" s="17">
        <f>IF(OR($W427="",$W427=6),"",CHOOSE($W427,"1st Email Follow-up","2nd Email Follow-up","Escalate Local Office","Escalate to CBE","Escalate to Roxanne"))</f>
        <v/>
      </c>
    </row>
    <row r="428" spans="18:26">
      <c r="R428" s="15"/>
      <c r="S428" s="16"/>
      <c r="T428" s="17">
        <f>IF(AND(COUNTA($A428:$K428)=0,$L428=""),"",IF($S428="Paid","PAID",IF($S428="Closed","CLOSED",IF($W428="","",IF($W428=6,"ESCALATED TO ROXANNE",IF(TODAY()&gt;$Y428,"OVERDUE",IF($Y428&lt;=WORKDAY(TODAY(),1,Holidays),"DUE TOMORROW",IF($W428=4,"ESCALATED TO LOCAL OFFICE",IF($W428=5,"ESCALATED TO CBE",IF($X428=TODAY(),"EMAIL SENT","MONITORING"))))))))))</f>
        <v/>
      </c>
      <c r="U428" s="17">
        <f>IF($T428="",IF(AND(COUNTA($A428:$K428)&gt;0,$L428=""),"Awaiting Collection Email time stamp.",""),IF(OR($T428="PAID",$T428="CLOSED"),IF($T428="PAID","Account paid. Action completed.","Account closed. No further action required."),CHOOSE($W428,"Collection Email","1st Email Follow-up","2nd Email Follow-up","Escalation to Local Office","Escalation to CBE","Escalation to Roxanne")&amp;" sent "&amp;TEXT($X428,"dd-mmm")&amp;". "&amp;IF($W428=6,"Final escalation completed.",IF($T428="OVERDUE","Next: "&amp;$Z428&amp;" was due "&amp;TEXT($Y428,"dd-mmm")&amp;" - "&amp;(NETWORKDAYS($Y428,TODAY(),Holidays)-1)&amp;" business day(s) late. Send now.",IF($T428="DUE TOMORROW","Next: "&amp;$Z428&amp;IF($Y428&lt;=TODAY()," is due TODAY ("," is due next business day (")&amp;TEXT($Y428,"dd-mmm")&amp;").","Next: "&amp;$Z428&amp;" due "&amp;TEXT($Y428,"dd-mmm")&amp;" ("&amp;(NETWORKDAYS(TODAY(),$Y428,Holidays)-1)&amp;" business day(s) left).")))))</f>
        <v/>
      </c>
      <c r="V428" s="17">
        <f>IF($W428="","",CHOOSE($W428,"Collection Email","1st Follow-up","2nd Follow-up","Local Office","CBE","Roxanne")&amp;IF($W428=6," - Final"," - Day "&amp;MAX(0,NETWORKDAYS($X428,TODAY(),Holidays)-1)&amp;" of "&amp;CHOOSE($W428,3,3,2,2,3))&amp;" | Total Day "&amp;MAX(0,NETWORKDAYS($L428,TODAY(),Holidays)-1))</f>
        <v/>
      </c>
      <c r="W428" s="17">
        <f>IF($L428="","",COUNT($L428:$Q428))</f>
        <v/>
      </c>
      <c r="X428" s="18">
        <f>IF($W428="","",INT(INDEX($L428:$Q428,$W428)))</f>
        <v/>
      </c>
      <c r="Y428" s="18">
        <f>IF(OR($W428="",$W428=6),"",WORKDAY($X428,CHOOSE($W428,3,3,2,2,3),Holidays))</f>
        <v/>
      </c>
      <c r="Z428" s="17">
        <f>IF(OR($W428="",$W428=6),"",CHOOSE($W428,"1st Email Follow-up","2nd Email Follow-up","Escalate Local Office","Escalate to CBE","Escalate to Roxanne"))</f>
        <v/>
      </c>
    </row>
    <row r="429" spans="18:26">
      <c r="R429" s="15"/>
      <c r="S429" s="16"/>
      <c r="T429" s="17">
        <f>IF(AND(COUNTA($A429:$K429)=0,$L429=""),"",IF($S429="Paid","PAID",IF($S429="Closed","CLOSED",IF($W429="","",IF($W429=6,"ESCALATED TO ROXANNE",IF(TODAY()&gt;$Y429,"OVERDUE",IF($Y429&lt;=WORKDAY(TODAY(),1,Holidays),"DUE TOMORROW",IF($W429=4,"ESCALATED TO LOCAL OFFICE",IF($W429=5,"ESCALATED TO CBE",IF($X429=TODAY(),"EMAIL SENT","MONITORING"))))))))))</f>
        <v/>
      </c>
      <c r="U429" s="17">
        <f>IF($T429="",IF(AND(COUNTA($A429:$K429)&gt;0,$L429=""),"Awaiting Collection Email time stamp.",""),IF(OR($T429="PAID",$T429="CLOSED"),IF($T429="PAID","Account paid. Action completed.","Account closed. No further action required."),CHOOSE($W429,"Collection Email","1st Email Follow-up","2nd Email Follow-up","Escalation to Local Office","Escalation to CBE","Escalation to Roxanne")&amp;" sent "&amp;TEXT($X429,"dd-mmm")&amp;". "&amp;IF($W429=6,"Final escalation completed.",IF($T429="OVERDUE","Next: "&amp;$Z429&amp;" was due "&amp;TEXT($Y429,"dd-mmm")&amp;" - "&amp;(NETWORKDAYS($Y429,TODAY(),Holidays)-1)&amp;" business day(s) late. Send now.",IF($T429="DUE TOMORROW","Next: "&amp;$Z429&amp;IF($Y429&lt;=TODAY()," is due TODAY ("," is due next business day (")&amp;TEXT($Y429,"dd-mmm")&amp;").","Next: "&amp;$Z429&amp;" due "&amp;TEXT($Y429,"dd-mmm")&amp;" ("&amp;(NETWORKDAYS(TODAY(),$Y429,Holidays)-1)&amp;" business day(s) left).")))))</f>
        <v/>
      </c>
      <c r="V429" s="17">
        <f>IF($W429="","",CHOOSE($W429,"Collection Email","1st Follow-up","2nd Follow-up","Local Office","CBE","Roxanne")&amp;IF($W429=6," - Final"," - Day "&amp;MAX(0,NETWORKDAYS($X429,TODAY(),Holidays)-1)&amp;" of "&amp;CHOOSE($W429,3,3,2,2,3))&amp;" | Total Day "&amp;MAX(0,NETWORKDAYS($L429,TODAY(),Holidays)-1))</f>
        <v/>
      </c>
      <c r="W429" s="17">
        <f>IF($L429="","",COUNT($L429:$Q429))</f>
        <v/>
      </c>
      <c r="X429" s="18">
        <f>IF($W429="","",INT(INDEX($L429:$Q429,$W429)))</f>
        <v/>
      </c>
      <c r="Y429" s="18">
        <f>IF(OR($W429="",$W429=6),"",WORKDAY($X429,CHOOSE($W429,3,3,2,2,3),Holidays))</f>
        <v/>
      </c>
      <c r="Z429" s="17">
        <f>IF(OR($W429="",$W429=6),"",CHOOSE($W429,"1st Email Follow-up","2nd Email Follow-up","Escalate Local Office","Escalate to CBE","Escalate to Roxanne"))</f>
        <v/>
      </c>
    </row>
    <row r="430" spans="18:26">
      <c r="R430" s="15"/>
      <c r="S430" s="16"/>
      <c r="T430" s="17">
        <f>IF(AND(COUNTA($A430:$K430)=0,$L430=""),"",IF($S430="Paid","PAID",IF($S430="Closed","CLOSED",IF($W430="","",IF($W430=6,"ESCALATED TO ROXANNE",IF(TODAY()&gt;$Y430,"OVERDUE",IF($Y430&lt;=WORKDAY(TODAY(),1,Holidays),"DUE TOMORROW",IF($W430=4,"ESCALATED TO LOCAL OFFICE",IF($W430=5,"ESCALATED TO CBE",IF($X430=TODAY(),"EMAIL SENT","MONITORING"))))))))))</f>
        <v/>
      </c>
      <c r="U430" s="17">
        <f>IF($T430="",IF(AND(COUNTA($A430:$K430)&gt;0,$L430=""),"Awaiting Collection Email time stamp.",""),IF(OR($T430="PAID",$T430="CLOSED"),IF($T430="PAID","Account paid. Action completed.","Account closed. No further action required."),CHOOSE($W430,"Collection Email","1st Email Follow-up","2nd Email Follow-up","Escalation to Local Office","Escalation to CBE","Escalation to Roxanne")&amp;" sent "&amp;TEXT($X430,"dd-mmm")&amp;". "&amp;IF($W430=6,"Final escalation completed.",IF($T430="OVERDUE","Next: "&amp;$Z430&amp;" was due "&amp;TEXT($Y430,"dd-mmm")&amp;" - "&amp;(NETWORKDAYS($Y430,TODAY(),Holidays)-1)&amp;" business day(s) late. Send now.",IF($T430="DUE TOMORROW","Next: "&amp;$Z430&amp;IF($Y430&lt;=TODAY()," is due TODAY ("," is due next business day (")&amp;TEXT($Y430,"dd-mmm")&amp;").","Next: "&amp;$Z430&amp;" due "&amp;TEXT($Y430,"dd-mmm")&amp;" ("&amp;(NETWORKDAYS(TODAY(),$Y430,Holidays)-1)&amp;" business day(s) left).")))))</f>
        <v/>
      </c>
      <c r="V430" s="17">
        <f>IF($W430="","",CHOOSE($W430,"Collection Email","1st Follow-up","2nd Follow-up","Local Office","CBE","Roxanne")&amp;IF($W430=6," - Final"," - Day "&amp;MAX(0,NETWORKDAYS($X430,TODAY(),Holidays)-1)&amp;" of "&amp;CHOOSE($W430,3,3,2,2,3))&amp;" | Total Day "&amp;MAX(0,NETWORKDAYS($L430,TODAY(),Holidays)-1))</f>
        <v/>
      </c>
      <c r="W430" s="17">
        <f>IF($L430="","",COUNT($L430:$Q430))</f>
        <v/>
      </c>
      <c r="X430" s="18">
        <f>IF($W430="","",INT(INDEX($L430:$Q430,$W430)))</f>
        <v/>
      </c>
      <c r="Y430" s="18">
        <f>IF(OR($W430="",$W430=6),"",WORKDAY($X430,CHOOSE($W430,3,3,2,2,3),Holidays))</f>
        <v/>
      </c>
      <c r="Z430" s="17">
        <f>IF(OR($W430="",$W430=6),"",CHOOSE($W430,"1st Email Follow-up","2nd Email Follow-up","Escalate Local Office","Escalate to CBE","Escalate to Roxanne"))</f>
        <v/>
      </c>
    </row>
    <row r="431" spans="18:26">
      <c r="R431" s="15"/>
      <c r="S431" s="16"/>
      <c r="T431" s="17">
        <f>IF(AND(COUNTA($A431:$K431)=0,$L431=""),"",IF($S431="Paid","PAID",IF($S431="Closed","CLOSED",IF($W431="","",IF($W431=6,"ESCALATED TO ROXANNE",IF(TODAY()&gt;$Y431,"OVERDUE",IF($Y431&lt;=WORKDAY(TODAY(),1,Holidays),"DUE TOMORROW",IF($W431=4,"ESCALATED TO LOCAL OFFICE",IF($W431=5,"ESCALATED TO CBE",IF($X431=TODAY(),"EMAIL SENT","MONITORING"))))))))))</f>
        <v/>
      </c>
      <c r="U431" s="17">
        <f>IF($T431="",IF(AND(COUNTA($A431:$K431)&gt;0,$L431=""),"Awaiting Collection Email time stamp.",""),IF(OR($T431="PAID",$T431="CLOSED"),IF($T431="PAID","Account paid. Action completed.","Account closed. No further action required."),CHOOSE($W431,"Collection Email","1st Email Follow-up","2nd Email Follow-up","Escalation to Local Office","Escalation to CBE","Escalation to Roxanne")&amp;" sent "&amp;TEXT($X431,"dd-mmm")&amp;". "&amp;IF($W431=6,"Final escalation completed.",IF($T431="OVERDUE","Next: "&amp;$Z431&amp;" was due "&amp;TEXT($Y431,"dd-mmm")&amp;" - "&amp;(NETWORKDAYS($Y431,TODAY(),Holidays)-1)&amp;" business day(s) late. Send now.",IF($T431="DUE TOMORROW","Next: "&amp;$Z431&amp;IF($Y431&lt;=TODAY()," is due TODAY ("," is due next business day (")&amp;TEXT($Y431,"dd-mmm")&amp;").","Next: "&amp;$Z431&amp;" due "&amp;TEXT($Y431,"dd-mmm")&amp;" ("&amp;(NETWORKDAYS(TODAY(),$Y431,Holidays)-1)&amp;" business day(s) left).")))))</f>
        <v/>
      </c>
      <c r="V431" s="17">
        <f>IF($W431="","",CHOOSE($W431,"Collection Email","1st Follow-up","2nd Follow-up","Local Office","CBE","Roxanne")&amp;IF($W431=6," - Final"," - Day "&amp;MAX(0,NETWORKDAYS($X431,TODAY(),Holidays)-1)&amp;" of "&amp;CHOOSE($W431,3,3,2,2,3))&amp;" | Total Day "&amp;MAX(0,NETWORKDAYS($L431,TODAY(),Holidays)-1))</f>
        <v/>
      </c>
      <c r="W431" s="17">
        <f>IF($L431="","",COUNT($L431:$Q431))</f>
        <v/>
      </c>
      <c r="X431" s="18">
        <f>IF($W431="","",INT(INDEX($L431:$Q431,$W431)))</f>
        <v/>
      </c>
      <c r="Y431" s="18">
        <f>IF(OR($W431="",$W431=6),"",WORKDAY($X431,CHOOSE($W431,3,3,2,2,3),Holidays))</f>
        <v/>
      </c>
      <c r="Z431" s="17">
        <f>IF(OR($W431="",$W431=6),"",CHOOSE($W431,"1st Email Follow-up","2nd Email Follow-up","Escalate Local Office","Escalate to CBE","Escalate to Roxanne"))</f>
        <v/>
      </c>
    </row>
    <row r="432" spans="18:26">
      <c r="R432" s="15"/>
      <c r="S432" s="16"/>
      <c r="T432" s="17">
        <f>IF(AND(COUNTA($A432:$K432)=0,$L432=""),"",IF($S432="Paid","PAID",IF($S432="Closed","CLOSED",IF($W432="","",IF($W432=6,"ESCALATED TO ROXANNE",IF(TODAY()&gt;$Y432,"OVERDUE",IF($Y432&lt;=WORKDAY(TODAY(),1,Holidays),"DUE TOMORROW",IF($W432=4,"ESCALATED TO LOCAL OFFICE",IF($W432=5,"ESCALATED TO CBE",IF($X432=TODAY(),"EMAIL SENT","MONITORING"))))))))))</f>
        <v/>
      </c>
      <c r="U432" s="17">
        <f>IF($T432="",IF(AND(COUNTA($A432:$K432)&gt;0,$L432=""),"Awaiting Collection Email time stamp.",""),IF(OR($T432="PAID",$T432="CLOSED"),IF($T432="PAID","Account paid. Action completed.","Account closed. No further action required."),CHOOSE($W432,"Collection Email","1st Email Follow-up","2nd Email Follow-up","Escalation to Local Office","Escalation to CBE","Escalation to Roxanne")&amp;" sent "&amp;TEXT($X432,"dd-mmm")&amp;". "&amp;IF($W432=6,"Final escalation completed.",IF($T432="OVERDUE","Next: "&amp;$Z432&amp;" was due "&amp;TEXT($Y432,"dd-mmm")&amp;" - "&amp;(NETWORKDAYS($Y432,TODAY(),Holidays)-1)&amp;" business day(s) late. Send now.",IF($T432="DUE TOMORROW","Next: "&amp;$Z432&amp;IF($Y432&lt;=TODAY()," is due TODAY ("," is due next business day (")&amp;TEXT($Y432,"dd-mmm")&amp;").","Next: "&amp;$Z432&amp;" due "&amp;TEXT($Y432,"dd-mmm")&amp;" ("&amp;(NETWORKDAYS(TODAY(),$Y432,Holidays)-1)&amp;" business day(s) left).")))))</f>
        <v/>
      </c>
      <c r="V432" s="17">
        <f>IF($W432="","",CHOOSE($W432,"Collection Email","1st Follow-up","2nd Follow-up","Local Office","CBE","Roxanne")&amp;IF($W432=6," - Final"," - Day "&amp;MAX(0,NETWORKDAYS($X432,TODAY(),Holidays)-1)&amp;" of "&amp;CHOOSE($W432,3,3,2,2,3))&amp;" | Total Day "&amp;MAX(0,NETWORKDAYS($L432,TODAY(),Holidays)-1))</f>
        <v/>
      </c>
      <c r="W432" s="17">
        <f>IF($L432="","",COUNT($L432:$Q432))</f>
        <v/>
      </c>
      <c r="X432" s="18">
        <f>IF($W432="","",INT(INDEX($L432:$Q432,$W432)))</f>
        <v/>
      </c>
      <c r="Y432" s="18">
        <f>IF(OR($W432="",$W432=6),"",WORKDAY($X432,CHOOSE($W432,3,3,2,2,3),Holidays))</f>
        <v/>
      </c>
      <c r="Z432" s="17">
        <f>IF(OR($W432="",$W432=6),"",CHOOSE($W432,"1st Email Follow-up","2nd Email Follow-up","Escalate Local Office","Escalate to CBE","Escalate to Roxanne"))</f>
        <v/>
      </c>
    </row>
    <row r="433" spans="18:26">
      <c r="R433" s="15"/>
      <c r="S433" s="16"/>
      <c r="T433" s="17">
        <f>IF(AND(COUNTA($A433:$K433)=0,$L433=""),"",IF($S433="Paid","PAID",IF($S433="Closed","CLOSED",IF($W433="","",IF($W433=6,"ESCALATED TO ROXANNE",IF(TODAY()&gt;$Y433,"OVERDUE",IF($Y433&lt;=WORKDAY(TODAY(),1,Holidays),"DUE TOMORROW",IF($W433=4,"ESCALATED TO LOCAL OFFICE",IF($W433=5,"ESCALATED TO CBE",IF($X433=TODAY(),"EMAIL SENT","MONITORING"))))))))))</f>
        <v/>
      </c>
      <c r="U433" s="17">
        <f>IF($T433="",IF(AND(COUNTA($A433:$K433)&gt;0,$L433=""),"Awaiting Collection Email time stamp.",""),IF(OR($T433="PAID",$T433="CLOSED"),IF($T433="PAID","Account paid. Action completed.","Account closed. No further action required."),CHOOSE($W433,"Collection Email","1st Email Follow-up","2nd Email Follow-up","Escalation to Local Office","Escalation to CBE","Escalation to Roxanne")&amp;" sent "&amp;TEXT($X433,"dd-mmm")&amp;". "&amp;IF($W433=6,"Final escalation completed.",IF($T433="OVERDUE","Next: "&amp;$Z433&amp;" was due "&amp;TEXT($Y433,"dd-mmm")&amp;" - "&amp;(NETWORKDAYS($Y433,TODAY(),Holidays)-1)&amp;" business day(s) late. Send now.",IF($T433="DUE TOMORROW","Next: "&amp;$Z433&amp;IF($Y433&lt;=TODAY()," is due TODAY ("," is due next business day (")&amp;TEXT($Y433,"dd-mmm")&amp;").","Next: "&amp;$Z433&amp;" due "&amp;TEXT($Y433,"dd-mmm")&amp;" ("&amp;(NETWORKDAYS(TODAY(),$Y433,Holidays)-1)&amp;" business day(s) left).")))))</f>
        <v/>
      </c>
      <c r="V433" s="17">
        <f>IF($W433="","",CHOOSE($W433,"Collection Email","1st Follow-up","2nd Follow-up","Local Office","CBE","Roxanne")&amp;IF($W433=6," - Final"," - Day "&amp;MAX(0,NETWORKDAYS($X433,TODAY(),Holidays)-1)&amp;" of "&amp;CHOOSE($W433,3,3,2,2,3))&amp;" | Total Day "&amp;MAX(0,NETWORKDAYS($L433,TODAY(),Holidays)-1))</f>
        <v/>
      </c>
      <c r="W433" s="17">
        <f>IF($L433="","",COUNT($L433:$Q433))</f>
        <v/>
      </c>
      <c r="X433" s="18">
        <f>IF($W433="","",INT(INDEX($L433:$Q433,$W433)))</f>
        <v/>
      </c>
      <c r="Y433" s="18">
        <f>IF(OR($W433="",$W433=6),"",WORKDAY($X433,CHOOSE($W433,3,3,2,2,3),Holidays))</f>
        <v/>
      </c>
      <c r="Z433" s="17">
        <f>IF(OR($W433="",$W433=6),"",CHOOSE($W433,"1st Email Follow-up","2nd Email Follow-up","Escalate Local Office","Escalate to CBE","Escalate to Roxanne"))</f>
        <v/>
      </c>
    </row>
    <row r="434" spans="18:26">
      <c r="R434" s="15"/>
      <c r="S434" s="16"/>
      <c r="T434" s="17">
        <f>IF(AND(COUNTA($A434:$K434)=0,$L434=""),"",IF($S434="Paid","PAID",IF($S434="Closed","CLOSED",IF($W434="","",IF($W434=6,"ESCALATED TO ROXANNE",IF(TODAY()&gt;$Y434,"OVERDUE",IF($Y434&lt;=WORKDAY(TODAY(),1,Holidays),"DUE TOMORROW",IF($W434=4,"ESCALATED TO LOCAL OFFICE",IF($W434=5,"ESCALATED TO CBE",IF($X434=TODAY(),"EMAIL SENT","MONITORING"))))))))))</f>
        <v/>
      </c>
      <c r="U434" s="17">
        <f>IF($T434="",IF(AND(COUNTA($A434:$K434)&gt;0,$L434=""),"Awaiting Collection Email time stamp.",""),IF(OR($T434="PAID",$T434="CLOSED"),IF($T434="PAID","Account paid. Action completed.","Account closed. No further action required."),CHOOSE($W434,"Collection Email","1st Email Follow-up","2nd Email Follow-up","Escalation to Local Office","Escalation to CBE","Escalation to Roxanne")&amp;" sent "&amp;TEXT($X434,"dd-mmm")&amp;". "&amp;IF($W434=6,"Final escalation completed.",IF($T434="OVERDUE","Next: "&amp;$Z434&amp;" was due "&amp;TEXT($Y434,"dd-mmm")&amp;" - "&amp;(NETWORKDAYS($Y434,TODAY(),Holidays)-1)&amp;" business day(s) late. Send now.",IF($T434="DUE TOMORROW","Next: "&amp;$Z434&amp;IF($Y434&lt;=TODAY()," is due TODAY ("," is due next business day (")&amp;TEXT($Y434,"dd-mmm")&amp;").","Next: "&amp;$Z434&amp;" due "&amp;TEXT($Y434,"dd-mmm")&amp;" ("&amp;(NETWORKDAYS(TODAY(),$Y434,Holidays)-1)&amp;" business day(s) left).")))))</f>
        <v/>
      </c>
      <c r="V434" s="17">
        <f>IF($W434="","",CHOOSE($W434,"Collection Email","1st Follow-up","2nd Follow-up","Local Office","CBE","Roxanne")&amp;IF($W434=6," - Final"," - Day "&amp;MAX(0,NETWORKDAYS($X434,TODAY(),Holidays)-1)&amp;" of "&amp;CHOOSE($W434,3,3,2,2,3))&amp;" | Total Day "&amp;MAX(0,NETWORKDAYS($L434,TODAY(),Holidays)-1))</f>
        <v/>
      </c>
      <c r="W434" s="17">
        <f>IF($L434="","",COUNT($L434:$Q434))</f>
        <v/>
      </c>
      <c r="X434" s="18">
        <f>IF($W434="","",INT(INDEX($L434:$Q434,$W434)))</f>
        <v/>
      </c>
      <c r="Y434" s="18">
        <f>IF(OR($W434="",$W434=6),"",WORKDAY($X434,CHOOSE($W434,3,3,2,2,3),Holidays))</f>
        <v/>
      </c>
      <c r="Z434" s="17">
        <f>IF(OR($W434="",$W434=6),"",CHOOSE($W434,"1st Email Follow-up","2nd Email Follow-up","Escalate Local Office","Escalate to CBE","Escalate to Roxanne"))</f>
        <v/>
      </c>
    </row>
    <row r="435" spans="18:26">
      <c r="R435" s="15"/>
      <c r="S435" s="16"/>
      <c r="T435" s="17">
        <f>IF(AND(COUNTA($A435:$K435)=0,$L435=""),"",IF($S435="Paid","PAID",IF($S435="Closed","CLOSED",IF($W435="","",IF($W435=6,"ESCALATED TO ROXANNE",IF(TODAY()&gt;$Y435,"OVERDUE",IF($Y435&lt;=WORKDAY(TODAY(),1,Holidays),"DUE TOMORROW",IF($W435=4,"ESCALATED TO LOCAL OFFICE",IF($W435=5,"ESCALATED TO CBE",IF($X435=TODAY(),"EMAIL SENT","MONITORING"))))))))))</f>
        <v/>
      </c>
      <c r="U435" s="17">
        <f>IF($T435="",IF(AND(COUNTA($A435:$K435)&gt;0,$L435=""),"Awaiting Collection Email time stamp.",""),IF(OR($T435="PAID",$T435="CLOSED"),IF($T435="PAID","Account paid. Action completed.","Account closed. No further action required."),CHOOSE($W435,"Collection Email","1st Email Follow-up","2nd Email Follow-up","Escalation to Local Office","Escalation to CBE","Escalation to Roxanne")&amp;" sent "&amp;TEXT($X435,"dd-mmm")&amp;". "&amp;IF($W435=6,"Final escalation completed.",IF($T435="OVERDUE","Next: "&amp;$Z435&amp;" was due "&amp;TEXT($Y435,"dd-mmm")&amp;" - "&amp;(NETWORKDAYS($Y435,TODAY(),Holidays)-1)&amp;" business day(s) late. Send now.",IF($T435="DUE TOMORROW","Next: "&amp;$Z435&amp;IF($Y435&lt;=TODAY()," is due TODAY ("," is due next business day (")&amp;TEXT($Y435,"dd-mmm")&amp;").","Next: "&amp;$Z435&amp;" due "&amp;TEXT($Y435,"dd-mmm")&amp;" ("&amp;(NETWORKDAYS(TODAY(),$Y435,Holidays)-1)&amp;" business day(s) left).")))))</f>
        <v/>
      </c>
      <c r="V435" s="17">
        <f>IF($W435="","",CHOOSE($W435,"Collection Email","1st Follow-up","2nd Follow-up","Local Office","CBE","Roxanne")&amp;IF($W435=6," - Final"," - Day "&amp;MAX(0,NETWORKDAYS($X435,TODAY(),Holidays)-1)&amp;" of "&amp;CHOOSE($W435,3,3,2,2,3))&amp;" | Total Day "&amp;MAX(0,NETWORKDAYS($L435,TODAY(),Holidays)-1))</f>
        <v/>
      </c>
      <c r="W435" s="17">
        <f>IF($L435="","",COUNT($L435:$Q435))</f>
        <v/>
      </c>
      <c r="X435" s="18">
        <f>IF($W435="","",INT(INDEX($L435:$Q435,$W435)))</f>
        <v/>
      </c>
      <c r="Y435" s="18">
        <f>IF(OR($W435="",$W435=6),"",WORKDAY($X435,CHOOSE($W435,3,3,2,2,3),Holidays))</f>
        <v/>
      </c>
      <c r="Z435" s="17">
        <f>IF(OR($W435="",$W435=6),"",CHOOSE($W435,"1st Email Follow-up","2nd Email Follow-up","Escalate Local Office","Escalate to CBE","Escalate to Roxanne"))</f>
        <v/>
      </c>
    </row>
    <row r="436" spans="18:26">
      <c r="R436" s="15"/>
      <c r="S436" s="16"/>
      <c r="T436" s="17">
        <f>IF(AND(COUNTA($A436:$K436)=0,$L436=""),"",IF($S436="Paid","PAID",IF($S436="Closed","CLOSED",IF($W436="","",IF($W436=6,"ESCALATED TO ROXANNE",IF(TODAY()&gt;$Y436,"OVERDUE",IF($Y436&lt;=WORKDAY(TODAY(),1,Holidays),"DUE TOMORROW",IF($W436=4,"ESCALATED TO LOCAL OFFICE",IF($W436=5,"ESCALATED TO CBE",IF($X436=TODAY(),"EMAIL SENT","MONITORING"))))))))))</f>
        <v/>
      </c>
      <c r="U436" s="17">
        <f>IF($T436="",IF(AND(COUNTA($A436:$K436)&gt;0,$L436=""),"Awaiting Collection Email time stamp.",""),IF(OR($T436="PAID",$T436="CLOSED"),IF($T436="PAID","Account paid. Action completed.","Account closed. No further action required."),CHOOSE($W436,"Collection Email","1st Email Follow-up","2nd Email Follow-up","Escalation to Local Office","Escalation to CBE","Escalation to Roxanne")&amp;" sent "&amp;TEXT($X436,"dd-mmm")&amp;". "&amp;IF($W436=6,"Final escalation completed.",IF($T436="OVERDUE","Next: "&amp;$Z436&amp;" was due "&amp;TEXT($Y436,"dd-mmm")&amp;" - "&amp;(NETWORKDAYS($Y436,TODAY(),Holidays)-1)&amp;" business day(s) late. Send now.",IF($T436="DUE TOMORROW","Next: "&amp;$Z436&amp;IF($Y436&lt;=TODAY()," is due TODAY ("," is due next business day (")&amp;TEXT($Y436,"dd-mmm")&amp;").","Next: "&amp;$Z436&amp;" due "&amp;TEXT($Y436,"dd-mmm")&amp;" ("&amp;(NETWORKDAYS(TODAY(),$Y436,Holidays)-1)&amp;" business day(s) left).")))))</f>
        <v/>
      </c>
      <c r="V436" s="17">
        <f>IF($W436="","",CHOOSE($W436,"Collection Email","1st Follow-up","2nd Follow-up","Local Office","CBE","Roxanne")&amp;IF($W436=6," - Final"," - Day "&amp;MAX(0,NETWORKDAYS($X436,TODAY(),Holidays)-1)&amp;" of "&amp;CHOOSE($W436,3,3,2,2,3))&amp;" | Total Day "&amp;MAX(0,NETWORKDAYS($L436,TODAY(),Holidays)-1))</f>
        <v/>
      </c>
      <c r="W436" s="17">
        <f>IF($L436="","",COUNT($L436:$Q436))</f>
        <v/>
      </c>
      <c r="X436" s="18">
        <f>IF($W436="","",INT(INDEX($L436:$Q436,$W436)))</f>
        <v/>
      </c>
      <c r="Y436" s="18">
        <f>IF(OR($W436="",$W436=6),"",WORKDAY($X436,CHOOSE($W436,3,3,2,2,3),Holidays))</f>
        <v/>
      </c>
      <c r="Z436" s="17">
        <f>IF(OR($W436="",$W436=6),"",CHOOSE($W436,"1st Email Follow-up","2nd Email Follow-up","Escalate Local Office","Escalate to CBE","Escalate to Roxanne"))</f>
        <v/>
      </c>
    </row>
    <row r="437" spans="18:26">
      <c r="R437" s="15"/>
      <c r="S437" s="16"/>
      <c r="T437" s="17">
        <f>IF(AND(COUNTA($A437:$K437)=0,$L437=""),"",IF($S437="Paid","PAID",IF($S437="Closed","CLOSED",IF($W437="","",IF($W437=6,"ESCALATED TO ROXANNE",IF(TODAY()&gt;$Y437,"OVERDUE",IF($Y437&lt;=WORKDAY(TODAY(),1,Holidays),"DUE TOMORROW",IF($W437=4,"ESCALATED TO LOCAL OFFICE",IF($W437=5,"ESCALATED TO CBE",IF($X437=TODAY(),"EMAIL SENT","MONITORING"))))))))))</f>
        <v/>
      </c>
      <c r="U437" s="17">
        <f>IF($T437="",IF(AND(COUNTA($A437:$K437)&gt;0,$L437=""),"Awaiting Collection Email time stamp.",""),IF(OR($T437="PAID",$T437="CLOSED"),IF($T437="PAID","Account paid. Action completed.","Account closed. No further action required."),CHOOSE($W437,"Collection Email","1st Email Follow-up","2nd Email Follow-up","Escalation to Local Office","Escalation to CBE","Escalation to Roxanne")&amp;" sent "&amp;TEXT($X437,"dd-mmm")&amp;". "&amp;IF($W437=6,"Final escalation completed.",IF($T437="OVERDUE","Next: "&amp;$Z437&amp;" was due "&amp;TEXT($Y437,"dd-mmm")&amp;" - "&amp;(NETWORKDAYS($Y437,TODAY(),Holidays)-1)&amp;" business day(s) late. Send now.",IF($T437="DUE TOMORROW","Next: "&amp;$Z437&amp;IF($Y437&lt;=TODAY()," is due TODAY ("," is due next business day (")&amp;TEXT($Y437,"dd-mmm")&amp;").","Next: "&amp;$Z437&amp;" due "&amp;TEXT($Y437,"dd-mmm")&amp;" ("&amp;(NETWORKDAYS(TODAY(),$Y437,Holidays)-1)&amp;" business day(s) left).")))))</f>
        <v/>
      </c>
      <c r="V437" s="17">
        <f>IF($W437="","",CHOOSE($W437,"Collection Email","1st Follow-up","2nd Follow-up","Local Office","CBE","Roxanne")&amp;IF($W437=6," - Final"," - Day "&amp;MAX(0,NETWORKDAYS($X437,TODAY(),Holidays)-1)&amp;" of "&amp;CHOOSE($W437,3,3,2,2,3))&amp;" | Total Day "&amp;MAX(0,NETWORKDAYS($L437,TODAY(),Holidays)-1))</f>
        <v/>
      </c>
      <c r="W437" s="17">
        <f>IF($L437="","",COUNT($L437:$Q437))</f>
        <v/>
      </c>
      <c r="X437" s="18">
        <f>IF($W437="","",INT(INDEX($L437:$Q437,$W437)))</f>
        <v/>
      </c>
      <c r="Y437" s="18">
        <f>IF(OR($W437="",$W437=6),"",WORKDAY($X437,CHOOSE($W437,3,3,2,2,3),Holidays))</f>
        <v/>
      </c>
      <c r="Z437" s="17">
        <f>IF(OR($W437="",$W437=6),"",CHOOSE($W437,"1st Email Follow-up","2nd Email Follow-up","Escalate Local Office","Escalate to CBE","Escalate to Roxanne"))</f>
        <v/>
      </c>
    </row>
    <row r="438" spans="18:26">
      <c r="R438" s="15"/>
      <c r="S438" s="16"/>
      <c r="T438" s="17">
        <f>IF(AND(COUNTA($A438:$K438)=0,$L438=""),"",IF($S438="Paid","PAID",IF($S438="Closed","CLOSED",IF($W438="","",IF($W438=6,"ESCALATED TO ROXANNE",IF(TODAY()&gt;$Y438,"OVERDUE",IF($Y438&lt;=WORKDAY(TODAY(),1,Holidays),"DUE TOMORROW",IF($W438=4,"ESCALATED TO LOCAL OFFICE",IF($W438=5,"ESCALATED TO CBE",IF($X438=TODAY(),"EMAIL SENT","MONITORING"))))))))))</f>
        <v/>
      </c>
      <c r="U438" s="17">
        <f>IF($T438="",IF(AND(COUNTA($A438:$K438)&gt;0,$L438=""),"Awaiting Collection Email time stamp.",""),IF(OR($T438="PAID",$T438="CLOSED"),IF($T438="PAID","Account paid. Action completed.","Account closed. No further action required."),CHOOSE($W438,"Collection Email","1st Email Follow-up","2nd Email Follow-up","Escalation to Local Office","Escalation to CBE","Escalation to Roxanne")&amp;" sent "&amp;TEXT($X438,"dd-mmm")&amp;". "&amp;IF($W438=6,"Final escalation completed.",IF($T438="OVERDUE","Next: "&amp;$Z438&amp;" was due "&amp;TEXT($Y438,"dd-mmm")&amp;" - "&amp;(NETWORKDAYS($Y438,TODAY(),Holidays)-1)&amp;" business day(s) late. Send now.",IF($T438="DUE TOMORROW","Next: "&amp;$Z438&amp;IF($Y438&lt;=TODAY()," is due TODAY ("," is due next business day (")&amp;TEXT($Y438,"dd-mmm")&amp;").","Next: "&amp;$Z438&amp;" due "&amp;TEXT($Y438,"dd-mmm")&amp;" ("&amp;(NETWORKDAYS(TODAY(),$Y438,Holidays)-1)&amp;" business day(s) left).")))))</f>
        <v/>
      </c>
      <c r="V438" s="17">
        <f>IF($W438="","",CHOOSE($W438,"Collection Email","1st Follow-up","2nd Follow-up","Local Office","CBE","Roxanne")&amp;IF($W438=6," - Final"," - Day "&amp;MAX(0,NETWORKDAYS($X438,TODAY(),Holidays)-1)&amp;" of "&amp;CHOOSE($W438,3,3,2,2,3))&amp;" | Total Day "&amp;MAX(0,NETWORKDAYS($L438,TODAY(),Holidays)-1))</f>
        <v/>
      </c>
      <c r="W438" s="17">
        <f>IF($L438="","",COUNT($L438:$Q438))</f>
        <v/>
      </c>
      <c r="X438" s="18">
        <f>IF($W438="","",INT(INDEX($L438:$Q438,$W438)))</f>
        <v/>
      </c>
      <c r="Y438" s="18">
        <f>IF(OR($W438="",$W438=6),"",WORKDAY($X438,CHOOSE($W438,3,3,2,2,3),Holidays))</f>
        <v/>
      </c>
      <c r="Z438" s="17">
        <f>IF(OR($W438="",$W438=6),"",CHOOSE($W438,"1st Email Follow-up","2nd Email Follow-up","Escalate Local Office","Escalate to CBE","Escalate to Roxanne"))</f>
        <v/>
      </c>
    </row>
    <row r="439" spans="18:26">
      <c r="R439" s="15"/>
      <c r="S439" s="16"/>
      <c r="T439" s="17">
        <f>IF(AND(COUNTA($A439:$K439)=0,$L439=""),"",IF($S439="Paid","PAID",IF($S439="Closed","CLOSED",IF($W439="","",IF($W439=6,"ESCALATED TO ROXANNE",IF(TODAY()&gt;$Y439,"OVERDUE",IF($Y439&lt;=WORKDAY(TODAY(),1,Holidays),"DUE TOMORROW",IF($W439=4,"ESCALATED TO LOCAL OFFICE",IF($W439=5,"ESCALATED TO CBE",IF($X439=TODAY(),"EMAIL SENT","MONITORING"))))))))))</f>
        <v/>
      </c>
      <c r="U439" s="17">
        <f>IF($T439="",IF(AND(COUNTA($A439:$K439)&gt;0,$L439=""),"Awaiting Collection Email time stamp.",""),IF(OR($T439="PAID",$T439="CLOSED"),IF($T439="PAID","Account paid. Action completed.","Account closed. No further action required."),CHOOSE($W439,"Collection Email","1st Email Follow-up","2nd Email Follow-up","Escalation to Local Office","Escalation to CBE","Escalation to Roxanne")&amp;" sent "&amp;TEXT($X439,"dd-mmm")&amp;". "&amp;IF($W439=6,"Final escalation completed.",IF($T439="OVERDUE","Next: "&amp;$Z439&amp;" was due "&amp;TEXT($Y439,"dd-mmm")&amp;" - "&amp;(NETWORKDAYS($Y439,TODAY(),Holidays)-1)&amp;" business day(s) late. Send now.",IF($T439="DUE TOMORROW","Next: "&amp;$Z439&amp;IF($Y439&lt;=TODAY()," is due TODAY ("," is due next business day (")&amp;TEXT($Y439,"dd-mmm")&amp;").","Next: "&amp;$Z439&amp;" due "&amp;TEXT($Y439,"dd-mmm")&amp;" ("&amp;(NETWORKDAYS(TODAY(),$Y439,Holidays)-1)&amp;" business day(s) left).")))))</f>
        <v/>
      </c>
      <c r="V439" s="17">
        <f>IF($W439="","",CHOOSE($W439,"Collection Email","1st Follow-up","2nd Follow-up","Local Office","CBE","Roxanne")&amp;IF($W439=6," - Final"," - Day "&amp;MAX(0,NETWORKDAYS($X439,TODAY(),Holidays)-1)&amp;" of "&amp;CHOOSE($W439,3,3,2,2,3))&amp;" | Total Day "&amp;MAX(0,NETWORKDAYS($L439,TODAY(),Holidays)-1))</f>
        <v/>
      </c>
      <c r="W439" s="17">
        <f>IF($L439="","",COUNT($L439:$Q439))</f>
        <v/>
      </c>
      <c r="X439" s="18">
        <f>IF($W439="","",INT(INDEX($L439:$Q439,$W439)))</f>
        <v/>
      </c>
      <c r="Y439" s="18">
        <f>IF(OR($W439="",$W439=6),"",WORKDAY($X439,CHOOSE($W439,3,3,2,2,3),Holidays))</f>
        <v/>
      </c>
      <c r="Z439" s="17">
        <f>IF(OR($W439="",$W439=6),"",CHOOSE($W439,"1st Email Follow-up","2nd Email Follow-up","Escalate Local Office","Escalate to CBE","Escalate to Roxanne"))</f>
        <v/>
      </c>
    </row>
    <row r="440" spans="18:26">
      <c r="R440" s="15"/>
      <c r="S440" s="16"/>
      <c r="T440" s="17">
        <f>IF(AND(COUNTA($A440:$K440)=0,$L440=""),"",IF($S440="Paid","PAID",IF($S440="Closed","CLOSED",IF($W440="","",IF($W440=6,"ESCALATED TO ROXANNE",IF(TODAY()&gt;$Y440,"OVERDUE",IF($Y440&lt;=WORKDAY(TODAY(),1,Holidays),"DUE TOMORROW",IF($W440=4,"ESCALATED TO LOCAL OFFICE",IF($W440=5,"ESCALATED TO CBE",IF($X440=TODAY(),"EMAIL SENT","MONITORING"))))))))))</f>
        <v/>
      </c>
      <c r="U440" s="17">
        <f>IF($T440="",IF(AND(COUNTA($A440:$K440)&gt;0,$L440=""),"Awaiting Collection Email time stamp.",""),IF(OR($T440="PAID",$T440="CLOSED"),IF($T440="PAID","Account paid. Action completed.","Account closed. No further action required."),CHOOSE($W440,"Collection Email","1st Email Follow-up","2nd Email Follow-up","Escalation to Local Office","Escalation to CBE","Escalation to Roxanne")&amp;" sent "&amp;TEXT($X440,"dd-mmm")&amp;". "&amp;IF($W440=6,"Final escalation completed.",IF($T440="OVERDUE","Next: "&amp;$Z440&amp;" was due "&amp;TEXT($Y440,"dd-mmm")&amp;" - "&amp;(NETWORKDAYS($Y440,TODAY(),Holidays)-1)&amp;" business day(s) late. Send now.",IF($T440="DUE TOMORROW","Next: "&amp;$Z440&amp;IF($Y440&lt;=TODAY()," is due TODAY ("," is due next business day (")&amp;TEXT($Y440,"dd-mmm")&amp;").","Next: "&amp;$Z440&amp;" due "&amp;TEXT($Y440,"dd-mmm")&amp;" ("&amp;(NETWORKDAYS(TODAY(),$Y440,Holidays)-1)&amp;" business day(s) left).")))))</f>
        <v/>
      </c>
      <c r="V440" s="17">
        <f>IF($W440="","",CHOOSE($W440,"Collection Email","1st Follow-up","2nd Follow-up","Local Office","CBE","Roxanne")&amp;IF($W440=6," - Final"," - Day "&amp;MAX(0,NETWORKDAYS($X440,TODAY(),Holidays)-1)&amp;" of "&amp;CHOOSE($W440,3,3,2,2,3))&amp;" | Total Day "&amp;MAX(0,NETWORKDAYS($L440,TODAY(),Holidays)-1))</f>
        <v/>
      </c>
      <c r="W440" s="17">
        <f>IF($L440="","",COUNT($L440:$Q440))</f>
        <v/>
      </c>
      <c r="X440" s="18">
        <f>IF($W440="","",INT(INDEX($L440:$Q440,$W440)))</f>
        <v/>
      </c>
      <c r="Y440" s="18">
        <f>IF(OR($W440="",$W440=6),"",WORKDAY($X440,CHOOSE($W440,3,3,2,2,3),Holidays))</f>
        <v/>
      </c>
      <c r="Z440" s="17">
        <f>IF(OR($W440="",$W440=6),"",CHOOSE($W440,"1st Email Follow-up","2nd Email Follow-up","Escalate Local Office","Escalate to CBE","Escalate to Roxanne"))</f>
        <v/>
      </c>
    </row>
    <row r="441" spans="18:26">
      <c r="R441" s="15"/>
      <c r="S441" s="16"/>
      <c r="T441" s="17">
        <f>IF(AND(COUNTA($A441:$K441)=0,$L441=""),"",IF($S441="Paid","PAID",IF($S441="Closed","CLOSED",IF($W441="","",IF($W441=6,"ESCALATED TO ROXANNE",IF(TODAY()&gt;$Y441,"OVERDUE",IF($Y441&lt;=WORKDAY(TODAY(),1,Holidays),"DUE TOMORROW",IF($W441=4,"ESCALATED TO LOCAL OFFICE",IF($W441=5,"ESCALATED TO CBE",IF($X441=TODAY(),"EMAIL SENT","MONITORING"))))))))))</f>
        <v/>
      </c>
      <c r="U441" s="17">
        <f>IF($T441="",IF(AND(COUNTA($A441:$K441)&gt;0,$L441=""),"Awaiting Collection Email time stamp.",""),IF(OR($T441="PAID",$T441="CLOSED"),IF($T441="PAID","Account paid. Action completed.","Account closed. No further action required."),CHOOSE($W441,"Collection Email","1st Email Follow-up","2nd Email Follow-up","Escalation to Local Office","Escalation to CBE","Escalation to Roxanne")&amp;" sent "&amp;TEXT($X441,"dd-mmm")&amp;". "&amp;IF($W441=6,"Final escalation completed.",IF($T441="OVERDUE","Next: "&amp;$Z441&amp;" was due "&amp;TEXT($Y441,"dd-mmm")&amp;" - "&amp;(NETWORKDAYS($Y441,TODAY(),Holidays)-1)&amp;" business day(s) late. Send now.",IF($T441="DUE TOMORROW","Next: "&amp;$Z441&amp;IF($Y441&lt;=TODAY()," is due TODAY ("," is due next business day (")&amp;TEXT($Y441,"dd-mmm")&amp;").","Next: "&amp;$Z441&amp;" due "&amp;TEXT($Y441,"dd-mmm")&amp;" ("&amp;(NETWORKDAYS(TODAY(),$Y441,Holidays)-1)&amp;" business day(s) left).")))))</f>
        <v/>
      </c>
      <c r="V441" s="17">
        <f>IF($W441="","",CHOOSE($W441,"Collection Email","1st Follow-up","2nd Follow-up","Local Office","CBE","Roxanne")&amp;IF($W441=6," - Final"," - Day "&amp;MAX(0,NETWORKDAYS($X441,TODAY(),Holidays)-1)&amp;" of "&amp;CHOOSE($W441,3,3,2,2,3))&amp;" | Total Day "&amp;MAX(0,NETWORKDAYS($L441,TODAY(),Holidays)-1))</f>
        <v/>
      </c>
      <c r="W441" s="17">
        <f>IF($L441="","",COUNT($L441:$Q441))</f>
        <v/>
      </c>
      <c r="X441" s="18">
        <f>IF($W441="","",INT(INDEX($L441:$Q441,$W441)))</f>
        <v/>
      </c>
      <c r="Y441" s="18">
        <f>IF(OR($W441="",$W441=6),"",WORKDAY($X441,CHOOSE($W441,3,3,2,2,3),Holidays))</f>
        <v/>
      </c>
      <c r="Z441" s="17">
        <f>IF(OR($W441="",$W441=6),"",CHOOSE($W441,"1st Email Follow-up","2nd Email Follow-up","Escalate Local Office","Escalate to CBE","Escalate to Roxanne"))</f>
        <v/>
      </c>
    </row>
    <row r="442" spans="18:26">
      <c r="R442" s="15"/>
      <c r="S442" s="16"/>
      <c r="T442" s="17">
        <f>IF(AND(COUNTA($A442:$K442)=0,$L442=""),"",IF($S442="Paid","PAID",IF($S442="Closed","CLOSED",IF($W442="","",IF($W442=6,"ESCALATED TO ROXANNE",IF(TODAY()&gt;$Y442,"OVERDUE",IF($Y442&lt;=WORKDAY(TODAY(),1,Holidays),"DUE TOMORROW",IF($W442=4,"ESCALATED TO LOCAL OFFICE",IF($W442=5,"ESCALATED TO CBE",IF($X442=TODAY(),"EMAIL SENT","MONITORING"))))))))))</f>
        <v/>
      </c>
      <c r="U442" s="17">
        <f>IF($T442="",IF(AND(COUNTA($A442:$K442)&gt;0,$L442=""),"Awaiting Collection Email time stamp.",""),IF(OR($T442="PAID",$T442="CLOSED"),IF($T442="PAID","Account paid. Action completed.","Account closed. No further action required."),CHOOSE($W442,"Collection Email","1st Email Follow-up","2nd Email Follow-up","Escalation to Local Office","Escalation to CBE","Escalation to Roxanne")&amp;" sent "&amp;TEXT($X442,"dd-mmm")&amp;". "&amp;IF($W442=6,"Final escalation completed.",IF($T442="OVERDUE","Next: "&amp;$Z442&amp;" was due "&amp;TEXT($Y442,"dd-mmm")&amp;" - "&amp;(NETWORKDAYS($Y442,TODAY(),Holidays)-1)&amp;" business day(s) late. Send now.",IF($T442="DUE TOMORROW","Next: "&amp;$Z442&amp;IF($Y442&lt;=TODAY()," is due TODAY ("," is due next business day (")&amp;TEXT($Y442,"dd-mmm")&amp;").","Next: "&amp;$Z442&amp;" due "&amp;TEXT($Y442,"dd-mmm")&amp;" ("&amp;(NETWORKDAYS(TODAY(),$Y442,Holidays)-1)&amp;" business day(s) left).")))))</f>
        <v/>
      </c>
      <c r="V442" s="17">
        <f>IF($W442="","",CHOOSE($W442,"Collection Email","1st Follow-up","2nd Follow-up","Local Office","CBE","Roxanne")&amp;IF($W442=6," - Final"," - Day "&amp;MAX(0,NETWORKDAYS($X442,TODAY(),Holidays)-1)&amp;" of "&amp;CHOOSE($W442,3,3,2,2,3))&amp;" | Total Day "&amp;MAX(0,NETWORKDAYS($L442,TODAY(),Holidays)-1))</f>
        <v/>
      </c>
      <c r="W442" s="17">
        <f>IF($L442="","",COUNT($L442:$Q442))</f>
        <v/>
      </c>
      <c r="X442" s="18">
        <f>IF($W442="","",INT(INDEX($L442:$Q442,$W442)))</f>
        <v/>
      </c>
      <c r="Y442" s="18">
        <f>IF(OR($W442="",$W442=6),"",WORKDAY($X442,CHOOSE($W442,3,3,2,2,3),Holidays))</f>
        <v/>
      </c>
      <c r="Z442" s="17">
        <f>IF(OR($W442="",$W442=6),"",CHOOSE($W442,"1st Email Follow-up","2nd Email Follow-up","Escalate Local Office","Escalate to CBE","Escalate to Roxanne"))</f>
        <v/>
      </c>
    </row>
    <row r="443" spans="18:26">
      <c r="R443" s="15"/>
      <c r="S443" s="16"/>
      <c r="T443" s="17">
        <f>IF(AND(COUNTA($A443:$K443)=0,$L443=""),"",IF($S443="Paid","PAID",IF($S443="Closed","CLOSED",IF($W443="","",IF($W443=6,"ESCALATED TO ROXANNE",IF(TODAY()&gt;$Y443,"OVERDUE",IF($Y443&lt;=WORKDAY(TODAY(),1,Holidays),"DUE TOMORROW",IF($W443=4,"ESCALATED TO LOCAL OFFICE",IF($W443=5,"ESCALATED TO CBE",IF($X443=TODAY(),"EMAIL SENT","MONITORING"))))))))))</f>
        <v/>
      </c>
      <c r="U443" s="17">
        <f>IF($T443="",IF(AND(COUNTA($A443:$K443)&gt;0,$L443=""),"Awaiting Collection Email time stamp.",""),IF(OR($T443="PAID",$T443="CLOSED"),IF($T443="PAID","Account paid. Action completed.","Account closed. No further action required."),CHOOSE($W443,"Collection Email","1st Email Follow-up","2nd Email Follow-up","Escalation to Local Office","Escalation to CBE","Escalation to Roxanne")&amp;" sent "&amp;TEXT($X443,"dd-mmm")&amp;". "&amp;IF($W443=6,"Final escalation completed.",IF($T443="OVERDUE","Next: "&amp;$Z443&amp;" was due "&amp;TEXT($Y443,"dd-mmm")&amp;" - "&amp;(NETWORKDAYS($Y443,TODAY(),Holidays)-1)&amp;" business day(s) late. Send now.",IF($T443="DUE TOMORROW","Next: "&amp;$Z443&amp;IF($Y443&lt;=TODAY()," is due TODAY ("," is due next business day (")&amp;TEXT($Y443,"dd-mmm")&amp;").","Next: "&amp;$Z443&amp;" due "&amp;TEXT($Y443,"dd-mmm")&amp;" ("&amp;(NETWORKDAYS(TODAY(),$Y443,Holidays)-1)&amp;" business day(s) left).")))))</f>
        <v/>
      </c>
      <c r="V443" s="17">
        <f>IF($W443="","",CHOOSE($W443,"Collection Email","1st Follow-up","2nd Follow-up","Local Office","CBE","Roxanne")&amp;IF($W443=6," - Final"," - Day "&amp;MAX(0,NETWORKDAYS($X443,TODAY(),Holidays)-1)&amp;" of "&amp;CHOOSE($W443,3,3,2,2,3))&amp;" | Total Day "&amp;MAX(0,NETWORKDAYS($L443,TODAY(),Holidays)-1))</f>
        <v/>
      </c>
      <c r="W443" s="17">
        <f>IF($L443="","",COUNT($L443:$Q443))</f>
        <v/>
      </c>
      <c r="X443" s="18">
        <f>IF($W443="","",INT(INDEX($L443:$Q443,$W443)))</f>
        <v/>
      </c>
      <c r="Y443" s="18">
        <f>IF(OR($W443="",$W443=6),"",WORKDAY($X443,CHOOSE($W443,3,3,2,2,3),Holidays))</f>
        <v/>
      </c>
      <c r="Z443" s="17">
        <f>IF(OR($W443="",$W443=6),"",CHOOSE($W443,"1st Email Follow-up","2nd Email Follow-up","Escalate Local Office","Escalate to CBE","Escalate to Roxanne"))</f>
        <v/>
      </c>
    </row>
    <row r="444" spans="18:26">
      <c r="R444" s="15"/>
      <c r="S444" s="16"/>
      <c r="T444" s="17">
        <f>IF(AND(COUNTA($A444:$K444)=0,$L444=""),"",IF($S444="Paid","PAID",IF($S444="Closed","CLOSED",IF($W444="","",IF($W444=6,"ESCALATED TO ROXANNE",IF(TODAY()&gt;$Y444,"OVERDUE",IF($Y444&lt;=WORKDAY(TODAY(),1,Holidays),"DUE TOMORROW",IF($W444=4,"ESCALATED TO LOCAL OFFICE",IF($W444=5,"ESCALATED TO CBE",IF($X444=TODAY(),"EMAIL SENT","MONITORING"))))))))))</f>
        <v/>
      </c>
      <c r="U444" s="17">
        <f>IF($T444="",IF(AND(COUNTA($A444:$K444)&gt;0,$L444=""),"Awaiting Collection Email time stamp.",""),IF(OR($T444="PAID",$T444="CLOSED"),IF($T444="PAID","Account paid. Action completed.","Account closed. No further action required."),CHOOSE($W444,"Collection Email","1st Email Follow-up","2nd Email Follow-up","Escalation to Local Office","Escalation to CBE","Escalation to Roxanne")&amp;" sent "&amp;TEXT($X444,"dd-mmm")&amp;". "&amp;IF($W444=6,"Final escalation completed.",IF($T444="OVERDUE","Next: "&amp;$Z444&amp;" was due "&amp;TEXT($Y444,"dd-mmm")&amp;" - "&amp;(NETWORKDAYS($Y444,TODAY(),Holidays)-1)&amp;" business day(s) late. Send now.",IF($T444="DUE TOMORROW","Next: "&amp;$Z444&amp;IF($Y444&lt;=TODAY()," is due TODAY ("," is due next business day (")&amp;TEXT($Y444,"dd-mmm")&amp;").","Next: "&amp;$Z444&amp;" due "&amp;TEXT($Y444,"dd-mmm")&amp;" ("&amp;(NETWORKDAYS(TODAY(),$Y444,Holidays)-1)&amp;" business day(s) left).")))))</f>
        <v/>
      </c>
      <c r="V444" s="17">
        <f>IF($W444="","",CHOOSE($W444,"Collection Email","1st Follow-up","2nd Follow-up","Local Office","CBE","Roxanne")&amp;IF($W444=6," - Final"," - Day "&amp;MAX(0,NETWORKDAYS($X444,TODAY(),Holidays)-1)&amp;" of "&amp;CHOOSE($W444,3,3,2,2,3))&amp;" | Total Day "&amp;MAX(0,NETWORKDAYS($L444,TODAY(),Holidays)-1))</f>
        <v/>
      </c>
      <c r="W444" s="17">
        <f>IF($L444="","",COUNT($L444:$Q444))</f>
        <v/>
      </c>
      <c r="X444" s="18">
        <f>IF($W444="","",INT(INDEX($L444:$Q444,$W444)))</f>
        <v/>
      </c>
      <c r="Y444" s="18">
        <f>IF(OR($W444="",$W444=6),"",WORKDAY($X444,CHOOSE($W444,3,3,2,2,3),Holidays))</f>
        <v/>
      </c>
      <c r="Z444" s="17">
        <f>IF(OR($W444="",$W444=6),"",CHOOSE($W444,"1st Email Follow-up","2nd Email Follow-up","Escalate Local Office","Escalate to CBE","Escalate to Roxanne"))</f>
        <v/>
      </c>
    </row>
    <row r="445" spans="18:26">
      <c r="R445" s="15"/>
      <c r="S445" s="16"/>
      <c r="T445" s="17">
        <f>IF(AND(COUNTA($A445:$K445)=0,$L445=""),"",IF($S445="Paid","PAID",IF($S445="Closed","CLOSED",IF($W445="","",IF($W445=6,"ESCALATED TO ROXANNE",IF(TODAY()&gt;$Y445,"OVERDUE",IF($Y445&lt;=WORKDAY(TODAY(),1,Holidays),"DUE TOMORROW",IF($W445=4,"ESCALATED TO LOCAL OFFICE",IF($W445=5,"ESCALATED TO CBE",IF($X445=TODAY(),"EMAIL SENT","MONITORING"))))))))))</f>
        <v/>
      </c>
      <c r="U445" s="17">
        <f>IF($T445="",IF(AND(COUNTA($A445:$K445)&gt;0,$L445=""),"Awaiting Collection Email time stamp.",""),IF(OR($T445="PAID",$T445="CLOSED"),IF($T445="PAID","Account paid. Action completed.","Account closed. No further action required."),CHOOSE($W445,"Collection Email","1st Email Follow-up","2nd Email Follow-up","Escalation to Local Office","Escalation to CBE","Escalation to Roxanne")&amp;" sent "&amp;TEXT($X445,"dd-mmm")&amp;". "&amp;IF($W445=6,"Final escalation completed.",IF($T445="OVERDUE","Next: "&amp;$Z445&amp;" was due "&amp;TEXT($Y445,"dd-mmm")&amp;" - "&amp;(NETWORKDAYS($Y445,TODAY(),Holidays)-1)&amp;" business day(s) late. Send now.",IF($T445="DUE TOMORROW","Next: "&amp;$Z445&amp;IF($Y445&lt;=TODAY()," is due TODAY ("," is due next business day (")&amp;TEXT($Y445,"dd-mmm")&amp;").","Next: "&amp;$Z445&amp;" due "&amp;TEXT($Y445,"dd-mmm")&amp;" ("&amp;(NETWORKDAYS(TODAY(),$Y445,Holidays)-1)&amp;" business day(s) left).")))))</f>
        <v/>
      </c>
      <c r="V445" s="17">
        <f>IF($W445="","",CHOOSE($W445,"Collection Email","1st Follow-up","2nd Follow-up","Local Office","CBE","Roxanne")&amp;IF($W445=6," - Final"," - Day "&amp;MAX(0,NETWORKDAYS($X445,TODAY(),Holidays)-1)&amp;" of "&amp;CHOOSE($W445,3,3,2,2,3))&amp;" | Total Day "&amp;MAX(0,NETWORKDAYS($L445,TODAY(),Holidays)-1))</f>
        <v/>
      </c>
      <c r="W445" s="17">
        <f>IF($L445="","",COUNT($L445:$Q445))</f>
        <v/>
      </c>
      <c r="X445" s="18">
        <f>IF($W445="","",INT(INDEX($L445:$Q445,$W445)))</f>
        <v/>
      </c>
      <c r="Y445" s="18">
        <f>IF(OR($W445="",$W445=6),"",WORKDAY($X445,CHOOSE($W445,3,3,2,2,3),Holidays))</f>
        <v/>
      </c>
      <c r="Z445" s="17">
        <f>IF(OR($W445="",$W445=6),"",CHOOSE($W445,"1st Email Follow-up","2nd Email Follow-up","Escalate Local Office","Escalate to CBE","Escalate to Roxanne"))</f>
        <v/>
      </c>
    </row>
    <row r="446" spans="18:26">
      <c r="R446" s="15"/>
      <c r="S446" s="16"/>
      <c r="T446" s="17">
        <f>IF(AND(COUNTA($A446:$K446)=0,$L446=""),"",IF($S446="Paid","PAID",IF($S446="Closed","CLOSED",IF($W446="","",IF($W446=6,"ESCALATED TO ROXANNE",IF(TODAY()&gt;$Y446,"OVERDUE",IF($Y446&lt;=WORKDAY(TODAY(),1,Holidays),"DUE TOMORROW",IF($W446=4,"ESCALATED TO LOCAL OFFICE",IF($W446=5,"ESCALATED TO CBE",IF($X446=TODAY(),"EMAIL SENT","MONITORING"))))))))))</f>
        <v/>
      </c>
      <c r="U446" s="17">
        <f>IF($T446="",IF(AND(COUNTA($A446:$K446)&gt;0,$L446=""),"Awaiting Collection Email time stamp.",""),IF(OR($T446="PAID",$T446="CLOSED"),IF($T446="PAID","Account paid. Action completed.","Account closed. No further action required."),CHOOSE($W446,"Collection Email","1st Email Follow-up","2nd Email Follow-up","Escalation to Local Office","Escalation to CBE","Escalation to Roxanne")&amp;" sent "&amp;TEXT($X446,"dd-mmm")&amp;". "&amp;IF($W446=6,"Final escalation completed.",IF($T446="OVERDUE","Next: "&amp;$Z446&amp;" was due "&amp;TEXT($Y446,"dd-mmm")&amp;" - "&amp;(NETWORKDAYS($Y446,TODAY(),Holidays)-1)&amp;" business day(s) late. Send now.",IF($T446="DUE TOMORROW","Next: "&amp;$Z446&amp;IF($Y446&lt;=TODAY()," is due TODAY ("," is due next business day (")&amp;TEXT($Y446,"dd-mmm")&amp;").","Next: "&amp;$Z446&amp;" due "&amp;TEXT($Y446,"dd-mmm")&amp;" ("&amp;(NETWORKDAYS(TODAY(),$Y446,Holidays)-1)&amp;" business day(s) left).")))))</f>
        <v/>
      </c>
      <c r="V446" s="17">
        <f>IF($W446="","",CHOOSE($W446,"Collection Email","1st Follow-up","2nd Follow-up","Local Office","CBE","Roxanne")&amp;IF($W446=6," - Final"," - Day "&amp;MAX(0,NETWORKDAYS($X446,TODAY(),Holidays)-1)&amp;" of "&amp;CHOOSE($W446,3,3,2,2,3))&amp;" | Total Day "&amp;MAX(0,NETWORKDAYS($L446,TODAY(),Holidays)-1))</f>
        <v/>
      </c>
      <c r="W446" s="17">
        <f>IF($L446="","",COUNT($L446:$Q446))</f>
        <v/>
      </c>
      <c r="X446" s="18">
        <f>IF($W446="","",INT(INDEX($L446:$Q446,$W446)))</f>
        <v/>
      </c>
      <c r="Y446" s="18">
        <f>IF(OR($W446="",$W446=6),"",WORKDAY($X446,CHOOSE($W446,3,3,2,2,3),Holidays))</f>
        <v/>
      </c>
      <c r="Z446" s="17">
        <f>IF(OR($W446="",$W446=6),"",CHOOSE($W446,"1st Email Follow-up","2nd Email Follow-up","Escalate Local Office","Escalate to CBE","Escalate to Roxanne"))</f>
        <v/>
      </c>
    </row>
    <row r="447" spans="18:26">
      <c r="R447" s="15"/>
      <c r="S447" s="16"/>
      <c r="T447" s="17">
        <f>IF(AND(COUNTA($A447:$K447)=0,$L447=""),"",IF($S447="Paid","PAID",IF($S447="Closed","CLOSED",IF($W447="","",IF($W447=6,"ESCALATED TO ROXANNE",IF(TODAY()&gt;$Y447,"OVERDUE",IF($Y447&lt;=WORKDAY(TODAY(),1,Holidays),"DUE TOMORROW",IF($W447=4,"ESCALATED TO LOCAL OFFICE",IF($W447=5,"ESCALATED TO CBE",IF($X447=TODAY(),"EMAIL SENT","MONITORING"))))))))))</f>
        <v/>
      </c>
      <c r="U447" s="17">
        <f>IF($T447="",IF(AND(COUNTA($A447:$K447)&gt;0,$L447=""),"Awaiting Collection Email time stamp.",""),IF(OR($T447="PAID",$T447="CLOSED"),IF($T447="PAID","Account paid. Action completed.","Account closed. No further action required."),CHOOSE($W447,"Collection Email","1st Email Follow-up","2nd Email Follow-up","Escalation to Local Office","Escalation to CBE","Escalation to Roxanne")&amp;" sent "&amp;TEXT($X447,"dd-mmm")&amp;". "&amp;IF($W447=6,"Final escalation completed.",IF($T447="OVERDUE","Next: "&amp;$Z447&amp;" was due "&amp;TEXT($Y447,"dd-mmm")&amp;" - "&amp;(NETWORKDAYS($Y447,TODAY(),Holidays)-1)&amp;" business day(s) late. Send now.",IF($T447="DUE TOMORROW","Next: "&amp;$Z447&amp;IF($Y447&lt;=TODAY()," is due TODAY ("," is due next business day (")&amp;TEXT($Y447,"dd-mmm")&amp;").","Next: "&amp;$Z447&amp;" due "&amp;TEXT($Y447,"dd-mmm")&amp;" ("&amp;(NETWORKDAYS(TODAY(),$Y447,Holidays)-1)&amp;" business day(s) left).")))))</f>
        <v/>
      </c>
      <c r="V447" s="17">
        <f>IF($W447="","",CHOOSE($W447,"Collection Email","1st Follow-up","2nd Follow-up","Local Office","CBE","Roxanne")&amp;IF($W447=6," - Final"," - Day "&amp;MAX(0,NETWORKDAYS($X447,TODAY(),Holidays)-1)&amp;" of "&amp;CHOOSE($W447,3,3,2,2,3))&amp;" | Total Day "&amp;MAX(0,NETWORKDAYS($L447,TODAY(),Holidays)-1))</f>
        <v/>
      </c>
      <c r="W447" s="17">
        <f>IF($L447="","",COUNT($L447:$Q447))</f>
        <v/>
      </c>
      <c r="X447" s="18">
        <f>IF($W447="","",INT(INDEX($L447:$Q447,$W447)))</f>
        <v/>
      </c>
      <c r="Y447" s="18">
        <f>IF(OR($W447="",$W447=6),"",WORKDAY($X447,CHOOSE($W447,3,3,2,2,3),Holidays))</f>
        <v/>
      </c>
      <c r="Z447" s="17">
        <f>IF(OR($W447="",$W447=6),"",CHOOSE($W447,"1st Email Follow-up","2nd Email Follow-up","Escalate Local Office","Escalate to CBE","Escalate to Roxanne"))</f>
        <v/>
      </c>
    </row>
    <row r="448" spans="18:26">
      <c r="R448" s="15"/>
      <c r="S448" s="16"/>
      <c r="T448" s="17">
        <f>IF(AND(COUNTA($A448:$K448)=0,$L448=""),"",IF($S448="Paid","PAID",IF($S448="Closed","CLOSED",IF($W448="","",IF($W448=6,"ESCALATED TO ROXANNE",IF(TODAY()&gt;$Y448,"OVERDUE",IF($Y448&lt;=WORKDAY(TODAY(),1,Holidays),"DUE TOMORROW",IF($W448=4,"ESCALATED TO LOCAL OFFICE",IF($W448=5,"ESCALATED TO CBE",IF($X448=TODAY(),"EMAIL SENT","MONITORING"))))))))))</f>
        <v/>
      </c>
      <c r="U448" s="17">
        <f>IF($T448="",IF(AND(COUNTA($A448:$K448)&gt;0,$L448=""),"Awaiting Collection Email time stamp.",""),IF(OR($T448="PAID",$T448="CLOSED"),IF($T448="PAID","Account paid. Action completed.","Account closed. No further action required."),CHOOSE($W448,"Collection Email","1st Email Follow-up","2nd Email Follow-up","Escalation to Local Office","Escalation to CBE","Escalation to Roxanne")&amp;" sent "&amp;TEXT($X448,"dd-mmm")&amp;". "&amp;IF($W448=6,"Final escalation completed.",IF($T448="OVERDUE","Next: "&amp;$Z448&amp;" was due "&amp;TEXT($Y448,"dd-mmm")&amp;" - "&amp;(NETWORKDAYS($Y448,TODAY(),Holidays)-1)&amp;" business day(s) late. Send now.",IF($T448="DUE TOMORROW","Next: "&amp;$Z448&amp;IF($Y448&lt;=TODAY()," is due TODAY ("," is due next business day (")&amp;TEXT($Y448,"dd-mmm")&amp;").","Next: "&amp;$Z448&amp;" due "&amp;TEXT($Y448,"dd-mmm")&amp;" ("&amp;(NETWORKDAYS(TODAY(),$Y448,Holidays)-1)&amp;" business day(s) left).")))))</f>
        <v/>
      </c>
      <c r="V448" s="17">
        <f>IF($W448="","",CHOOSE($W448,"Collection Email","1st Follow-up","2nd Follow-up","Local Office","CBE","Roxanne")&amp;IF($W448=6," - Final"," - Day "&amp;MAX(0,NETWORKDAYS($X448,TODAY(),Holidays)-1)&amp;" of "&amp;CHOOSE($W448,3,3,2,2,3))&amp;" | Total Day "&amp;MAX(0,NETWORKDAYS($L448,TODAY(),Holidays)-1))</f>
        <v/>
      </c>
      <c r="W448" s="17">
        <f>IF($L448="","",COUNT($L448:$Q448))</f>
        <v/>
      </c>
      <c r="X448" s="18">
        <f>IF($W448="","",INT(INDEX($L448:$Q448,$W448)))</f>
        <v/>
      </c>
      <c r="Y448" s="18">
        <f>IF(OR($W448="",$W448=6),"",WORKDAY($X448,CHOOSE($W448,3,3,2,2,3),Holidays))</f>
        <v/>
      </c>
      <c r="Z448" s="17">
        <f>IF(OR($W448="",$W448=6),"",CHOOSE($W448,"1st Email Follow-up","2nd Email Follow-up","Escalate Local Office","Escalate to CBE","Escalate to Roxanne"))</f>
        <v/>
      </c>
    </row>
    <row r="449" spans="18:26">
      <c r="R449" s="15"/>
      <c r="S449" s="16"/>
      <c r="T449" s="17">
        <f>IF(AND(COUNTA($A449:$K449)=0,$L449=""),"",IF($S449="Paid","PAID",IF($S449="Closed","CLOSED",IF($W449="","",IF($W449=6,"ESCALATED TO ROXANNE",IF(TODAY()&gt;$Y449,"OVERDUE",IF($Y449&lt;=WORKDAY(TODAY(),1,Holidays),"DUE TOMORROW",IF($W449=4,"ESCALATED TO LOCAL OFFICE",IF($W449=5,"ESCALATED TO CBE",IF($X449=TODAY(),"EMAIL SENT","MONITORING"))))))))))</f>
        <v/>
      </c>
      <c r="U449" s="17">
        <f>IF($T449="",IF(AND(COUNTA($A449:$K449)&gt;0,$L449=""),"Awaiting Collection Email time stamp.",""),IF(OR($T449="PAID",$T449="CLOSED"),IF($T449="PAID","Account paid. Action completed.","Account closed. No further action required."),CHOOSE($W449,"Collection Email","1st Email Follow-up","2nd Email Follow-up","Escalation to Local Office","Escalation to CBE","Escalation to Roxanne")&amp;" sent "&amp;TEXT($X449,"dd-mmm")&amp;". "&amp;IF($W449=6,"Final escalation completed.",IF($T449="OVERDUE","Next: "&amp;$Z449&amp;" was due "&amp;TEXT($Y449,"dd-mmm")&amp;" - "&amp;(NETWORKDAYS($Y449,TODAY(),Holidays)-1)&amp;" business day(s) late. Send now.",IF($T449="DUE TOMORROW","Next: "&amp;$Z449&amp;IF($Y449&lt;=TODAY()," is due TODAY ("," is due next business day (")&amp;TEXT($Y449,"dd-mmm")&amp;").","Next: "&amp;$Z449&amp;" due "&amp;TEXT($Y449,"dd-mmm")&amp;" ("&amp;(NETWORKDAYS(TODAY(),$Y449,Holidays)-1)&amp;" business day(s) left).")))))</f>
        <v/>
      </c>
      <c r="V449" s="17">
        <f>IF($W449="","",CHOOSE($W449,"Collection Email","1st Follow-up","2nd Follow-up","Local Office","CBE","Roxanne")&amp;IF($W449=6," - Final"," - Day "&amp;MAX(0,NETWORKDAYS($X449,TODAY(),Holidays)-1)&amp;" of "&amp;CHOOSE($W449,3,3,2,2,3))&amp;" | Total Day "&amp;MAX(0,NETWORKDAYS($L449,TODAY(),Holidays)-1))</f>
        <v/>
      </c>
      <c r="W449" s="17">
        <f>IF($L449="","",COUNT($L449:$Q449))</f>
        <v/>
      </c>
      <c r="X449" s="18">
        <f>IF($W449="","",INT(INDEX($L449:$Q449,$W449)))</f>
        <v/>
      </c>
      <c r="Y449" s="18">
        <f>IF(OR($W449="",$W449=6),"",WORKDAY($X449,CHOOSE($W449,3,3,2,2,3),Holidays))</f>
        <v/>
      </c>
      <c r="Z449" s="17">
        <f>IF(OR($W449="",$W449=6),"",CHOOSE($W449,"1st Email Follow-up","2nd Email Follow-up","Escalate Local Office","Escalate to CBE","Escalate to Roxanne"))</f>
        <v/>
      </c>
    </row>
    <row r="450" spans="18:26">
      <c r="R450" s="15"/>
      <c r="S450" s="16"/>
      <c r="T450" s="17">
        <f>IF(AND(COUNTA($A450:$K450)=0,$L450=""),"",IF($S450="Paid","PAID",IF($S450="Closed","CLOSED",IF($W450="","",IF($W450=6,"ESCALATED TO ROXANNE",IF(TODAY()&gt;$Y450,"OVERDUE",IF($Y450&lt;=WORKDAY(TODAY(),1,Holidays),"DUE TOMORROW",IF($W450=4,"ESCALATED TO LOCAL OFFICE",IF($W450=5,"ESCALATED TO CBE",IF($X450=TODAY(),"EMAIL SENT","MONITORING"))))))))))</f>
        <v/>
      </c>
      <c r="U450" s="17">
        <f>IF($T450="",IF(AND(COUNTA($A450:$K450)&gt;0,$L450=""),"Awaiting Collection Email time stamp.",""),IF(OR($T450="PAID",$T450="CLOSED"),IF($T450="PAID","Account paid. Action completed.","Account closed. No further action required."),CHOOSE($W450,"Collection Email","1st Email Follow-up","2nd Email Follow-up","Escalation to Local Office","Escalation to CBE","Escalation to Roxanne")&amp;" sent "&amp;TEXT($X450,"dd-mmm")&amp;". "&amp;IF($W450=6,"Final escalation completed.",IF($T450="OVERDUE","Next: "&amp;$Z450&amp;" was due "&amp;TEXT($Y450,"dd-mmm")&amp;" - "&amp;(NETWORKDAYS($Y450,TODAY(),Holidays)-1)&amp;" business day(s) late. Send now.",IF($T450="DUE TOMORROW","Next: "&amp;$Z450&amp;IF($Y450&lt;=TODAY()," is due TODAY ("," is due next business day (")&amp;TEXT($Y450,"dd-mmm")&amp;").","Next: "&amp;$Z450&amp;" due "&amp;TEXT($Y450,"dd-mmm")&amp;" ("&amp;(NETWORKDAYS(TODAY(),$Y450,Holidays)-1)&amp;" business day(s) left).")))))</f>
        <v/>
      </c>
      <c r="V450" s="17">
        <f>IF($W450="","",CHOOSE($W450,"Collection Email","1st Follow-up","2nd Follow-up","Local Office","CBE","Roxanne")&amp;IF($W450=6," - Final"," - Day "&amp;MAX(0,NETWORKDAYS($X450,TODAY(),Holidays)-1)&amp;" of "&amp;CHOOSE($W450,3,3,2,2,3))&amp;" | Total Day "&amp;MAX(0,NETWORKDAYS($L450,TODAY(),Holidays)-1))</f>
        <v/>
      </c>
      <c r="W450" s="17">
        <f>IF($L450="","",COUNT($L450:$Q450))</f>
        <v/>
      </c>
      <c r="X450" s="18">
        <f>IF($W450="","",INT(INDEX($L450:$Q450,$W450)))</f>
        <v/>
      </c>
      <c r="Y450" s="18">
        <f>IF(OR($W450="",$W450=6),"",WORKDAY($X450,CHOOSE($W450,3,3,2,2,3),Holidays))</f>
        <v/>
      </c>
      <c r="Z450" s="17">
        <f>IF(OR($W450="",$W450=6),"",CHOOSE($W450,"1st Email Follow-up","2nd Email Follow-up","Escalate Local Office","Escalate to CBE","Escalate to Roxanne"))</f>
        <v/>
      </c>
    </row>
    <row r="451" spans="18:26">
      <c r="R451" s="15"/>
      <c r="S451" s="16"/>
      <c r="T451" s="17">
        <f>IF(AND(COUNTA($A451:$K451)=0,$L451=""),"",IF($S451="Paid","PAID",IF($S451="Closed","CLOSED",IF($W451="","",IF($W451=6,"ESCALATED TO ROXANNE",IF(TODAY()&gt;$Y451,"OVERDUE",IF($Y451&lt;=WORKDAY(TODAY(),1,Holidays),"DUE TOMORROW",IF($W451=4,"ESCALATED TO LOCAL OFFICE",IF($W451=5,"ESCALATED TO CBE",IF($X451=TODAY(),"EMAIL SENT","MONITORING"))))))))))</f>
        <v/>
      </c>
      <c r="U451" s="17">
        <f>IF($T451="",IF(AND(COUNTA($A451:$K451)&gt;0,$L451=""),"Awaiting Collection Email time stamp.",""),IF(OR($T451="PAID",$T451="CLOSED"),IF($T451="PAID","Account paid. Action completed.","Account closed. No further action required."),CHOOSE($W451,"Collection Email","1st Email Follow-up","2nd Email Follow-up","Escalation to Local Office","Escalation to CBE","Escalation to Roxanne")&amp;" sent "&amp;TEXT($X451,"dd-mmm")&amp;". "&amp;IF($W451=6,"Final escalation completed.",IF($T451="OVERDUE","Next: "&amp;$Z451&amp;" was due "&amp;TEXT($Y451,"dd-mmm")&amp;" - "&amp;(NETWORKDAYS($Y451,TODAY(),Holidays)-1)&amp;" business day(s) late. Send now.",IF($T451="DUE TOMORROW","Next: "&amp;$Z451&amp;IF($Y451&lt;=TODAY()," is due TODAY ("," is due next business day (")&amp;TEXT($Y451,"dd-mmm")&amp;").","Next: "&amp;$Z451&amp;" due "&amp;TEXT($Y451,"dd-mmm")&amp;" ("&amp;(NETWORKDAYS(TODAY(),$Y451,Holidays)-1)&amp;" business day(s) left).")))))</f>
        <v/>
      </c>
      <c r="V451" s="17">
        <f>IF($W451="","",CHOOSE($W451,"Collection Email","1st Follow-up","2nd Follow-up","Local Office","CBE","Roxanne")&amp;IF($W451=6," - Final"," - Day "&amp;MAX(0,NETWORKDAYS($X451,TODAY(),Holidays)-1)&amp;" of "&amp;CHOOSE($W451,3,3,2,2,3))&amp;" | Total Day "&amp;MAX(0,NETWORKDAYS($L451,TODAY(),Holidays)-1))</f>
        <v/>
      </c>
      <c r="W451" s="17">
        <f>IF($L451="","",COUNT($L451:$Q451))</f>
        <v/>
      </c>
      <c r="X451" s="18">
        <f>IF($W451="","",INT(INDEX($L451:$Q451,$W451)))</f>
        <v/>
      </c>
      <c r="Y451" s="18">
        <f>IF(OR($W451="",$W451=6),"",WORKDAY($X451,CHOOSE($W451,3,3,2,2,3),Holidays))</f>
        <v/>
      </c>
      <c r="Z451" s="17">
        <f>IF(OR($W451="",$W451=6),"",CHOOSE($W451,"1st Email Follow-up","2nd Email Follow-up","Escalate Local Office","Escalate to CBE","Escalate to Roxanne"))</f>
        <v/>
      </c>
    </row>
    <row r="452" spans="18:26">
      <c r="R452" s="15"/>
      <c r="S452" s="16"/>
      <c r="T452" s="17">
        <f>IF(AND(COUNTA($A452:$K452)=0,$L452=""),"",IF($S452="Paid","PAID",IF($S452="Closed","CLOSED",IF($W452="","",IF($W452=6,"ESCALATED TO ROXANNE",IF(TODAY()&gt;$Y452,"OVERDUE",IF($Y452&lt;=WORKDAY(TODAY(),1,Holidays),"DUE TOMORROW",IF($W452=4,"ESCALATED TO LOCAL OFFICE",IF($W452=5,"ESCALATED TO CBE",IF($X452=TODAY(),"EMAIL SENT","MONITORING"))))))))))</f>
        <v/>
      </c>
      <c r="U452" s="17">
        <f>IF($T452="",IF(AND(COUNTA($A452:$K452)&gt;0,$L452=""),"Awaiting Collection Email time stamp.",""),IF(OR($T452="PAID",$T452="CLOSED"),IF($T452="PAID","Account paid. Action completed.","Account closed. No further action required."),CHOOSE($W452,"Collection Email","1st Email Follow-up","2nd Email Follow-up","Escalation to Local Office","Escalation to CBE","Escalation to Roxanne")&amp;" sent "&amp;TEXT($X452,"dd-mmm")&amp;". "&amp;IF($W452=6,"Final escalation completed.",IF($T452="OVERDUE","Next: "&amp;$Z452&amp;" was due "&amp;TEXT($Y452,"dd-mmm")&amp;" - "&amp;(NETWORKDAYS($Y452,TODAY(),Holidays)-1)&amp;" business day(s) late. Send now.",IF($T452="DUE TOMORROW","Next: "&amp;$Z452&amp;IF($Y452&lt;=TODAY()," is due TODAY ("," is due next business day (")&amp;TEXT($Y452,"dd-mmm")&amp;").","Next: "&amp;$Z452&amp;" due "&amp;TEXT($Y452,"dd-mmm")&amp;" ("&amp;(NETWORKDAYS(TODAY(),$Y452,Holidays)-1)&amp;" business day(s) left).")))))</f>
        <v/>
      </c>
      <c r="V452" s="17">
        <f>IF($W452="","",CHOOSE($W452,"Collection Email","1st Follow-up","2nd Follow-up","Local Office","CBE","Roxanne")&amp;IF($W452=6," - Final"," - Day "&amp;MAX(0,NETWORKDAYS($X452,TODAY(),Holidays)-1)&amp;" of "&amp;CHOOSE($W452,3,3,2,2,3))&amp;" | Total Day "&amp;MAX(0,NETWORKDAYS($L452,TODAY(),Holidays)-1))</f>
        <v/>
      </c>
      <c r="W452" s="17">
        <f>IF($L452="","",COUNT($L452:$Q452))</f>
        <v/>
      </c>
      <c r="X452" s="18">
        <f>IF($W452="","",INT(INDEX($L452:$Q452,$W452)))</f>
        <v/>
      </c>
      <c r="Y452" s="18">
        <f>IF(OR($W452="",$W452=6),"",WORKDAY($X452,CHOOSE($W452,3,3,2,2,3),Holidays))</f>
        <v/>
      </c>
      <c r="Z452" s="17">
        <f>IF(OR($W452="",$W452=6),"",CHOOSE($W452,"1st Email Follow-up","2nd Email Follow-up","Escalate Local Office","Escalate to CBE","Escalate to Roxanne"))</f>
        <v/>
      </c>
    </row>
    <row r="453" spans="18:26">
      <c r="R453" s="15"/>
      <c r="S453" s="16"/>
      <c r="T453" s="17">
        <f>IF(AND(COUNTA($A453:$K453)=0,$L453=""),"",IF($S453="Paid","PAID",IF($S453="Closed","CLOSED",IF($W453="","",IF($W453=6,"ESCALATED TO ROXANNE",IF(TODAY()&gt;$Y453,"OVERDUE",IF($Y453&lt;=WORKDAY(TODAY(),1,Holidays),"DUE TOMORROW",IF($W453=4,"ESCALATED TO LOCAL OFFICE",IF($W453=5,"ESCALATED TO CBE",IF($X453=TODAY(),"EMAIL SENT","MONITORING"))))))))))</f>
        <v/>
      </c>
      <c r="U453" s="17">
        <f>IF($T453="",IF(AND(COUNTA($A453:$K453)&gt;0,$L453=""),"Awaiting Collection Email time stamp.",""),IF(OR($T453="PAID",$T453="CLOSED"),IF($T453="PAID","Account paid. Action completed.","Account closed. No further action required."),CHOOSE($W453,"Collection Email","1st Email Follow-up","2nd Email Follow-up","Escalation to Local Office","Escalation to CBE","Escalation to Roxanne")&amp;" sent "&amp;TEXT($X453,"dd-mmm")&amp;". "&amp;IF($W453=6,"Final escalation completed.",IF($T453="OVERDUE","Next: "&amp;$Z453&amp;" was due "&amp;TEXT($Y453,"dd-mmm")&amp;" - "&amp;(NETWORKDAYS($Y453,TODAY(),Holidays)-1)&amp;" business day(s) late. Send now.",IF($T453="DUE TOMORROW","Next: "&amp;$Z453&amp;IF($Y453&lt;=TODAY()," is due TODAY ("," is due next business day (")&amp;TEXT($Y453,"dd-mmm")&amp;").","Next: "&amp;$Z453&amp;" due "&amp;TEXT($Y453,"dd-mmm")&amp;" ("&amp;(NETWORKDAYS(TODAY(),$Y453,Holidays)-1)&amp;" business day(s) left).")))))</f>
        <v/>
      </c>
      <c r="V453" s="17">
        <f>IF($W453="","",CHOOSE($W453,"Collection Email","1st Follow-up","2nd Follow-up","Local Office","CBE","Roxanne")&amp;IF($W453=6," - Final"," - Day "&amp;MAX(0,NETWORKDAYS($X453,TODAY(),Holidays)-1)&amp;" of "&amp;CHOOSE($W453,3,3,2,2,3))&amp;" | Total Day "&amp;MAX(0,NETWORKDAYS($L453,TODAY(),Holidays)-1))</f>
        <v/>
      </c>
      <c r="W453" s="17">
        <f>IF($L453="","",COUNT($L453:$Q453))</f>
        <v/>
      </c>
      <c r="X453" s="18">
        <f>IF($W453="","",INT(INDEX($L453:$Q453,$W453)))</f>
        <v/>
      </c>
      <c r="Y453" s="18">
        <f>IF(OR($W453="",$W453=6),"",WORKDAY($X453,CHOOSE($W453,3,3,2,2,3),Holidays))</f>
        <v/>
      </c>
      <c r="Z453" s="17">
        <f>IF(OR($W453="",$W453=6),"",CHOOSE($W453,"1st Email Follow-up","2nd Email Follow-up","Escalate Local Office","Escalate to CBE","Escalate to Roxanne"))</f>
        <v/>
      </c>
    </row>
    <row r="454" spans="18:26">
      <c r="R454" s="15"/>
      <c r="S454" s="16"/>
      <c r="T454" s="17">
        <f>IF(AND(COUNTA($A454:$K454)=0,$L454=""),"",IF($S454="Paid","PAID",IF($S454="Closed","CLOSED",IF($W454="","",IF($W454=6,"ESCALATED TO ROXANNE",IF(TODAY()&gt;$Y454,"OVERDUE",IF($Y454&lt;=WORKDAY(TODAY(),1,Holidays),"DUE TOMORROW",IF($W454=4,"ESCALATED TO LOCAL OFFICE",IF($W454=5,"ESCALATED TO CBE",IF($X454=TODAY(),"EMAIL SENT","MONITORING"))))))))))</f>
        <v/>
      </c>
      <c r="U454" s="17">
        <f>IF($T454="",IF(AND(COUNTA($A454:$K454)&gt;0,$L454=""),"Awaiting Collection Email time stamp.",""),IF(OR($T454="PAID",$T454="CLOSED"),IF($T454="PAID","Account paid. Action completed.","Account closed. No further action required."),CHOOSE($W454,"Collection Email","1st Email Follow-up","2nd Email Follow-up","Escalation to Local Office","Escalation to CBE","Escalation to Roxanne")&amp;" sent "&amp;TEXT($X454,"dd-mmm")&amp;". "&amp;IF($W454=6,"Final escalation completed.",IF($T454="OVERDUE","Next: "&amp;$Z454&amp;" was due "&amp;TEXT($Y454,"dd-mmm")&amp;" - "&amp;(NETWORKDAYS($Y454,TODAY(),Holidays)-1)&amp;" business day(s) late. Send now.",IF($T454="DUE TOMORROW","Next: "&amp;$Z454&amp;IF($Y454&lt;=TODAY()," is due TODAY ("," is due next business day (")&amp;TEXT($Y454,"dd-mmm")&amp;").","Next: "&amp;$Z454&amp;" due "&amp;TEXT($Y454,"dd-mmm")&amp;" ("&amp;(NETWORKDAYS(TODAY(),$Y454,Holidays)-1)&amp;" business day(s) left).")))))</f>
        <v/>
      </c>
      <c r="V454" s="17">
        <f>IF($W454="","",CHOOSE($W454,"Collection Email","1st Follow-up","2nd Follow-up","Local Office","CBE","Roxanne")&amp;IF($W454=6," - Final"," - Day "&amp;MAX(0,NETWORKDAYS($X454,TODAY(),Holidays)-1)&amp;" of "&amp;CHOOSE($W454,3,3,2,2,3))&amp;" | Total Day "&amp;MAX(0,NETWORKDAYS($L454,TODAY(),Holidays)-1))</f>
        <v/>
      </c>
      <c r="W454" s="17">
        <f>IF($L454="","",COUNT($L454:$Q454))</f>
        <v/>
      </c>
      <c r="X454" s="18">
        <f>IF($W454="","",INT(INDEX($L454:$Q454,$W454)))</f>
        <v/>
      </c>
      <c r="Y454" s="18">
        <f>IF(OR($W454="",$W454=6),"",WORKDAY($X454,CHOOSE($W454,3,3,2,2,3),Holidays))</f>
        <v/>
      </c>
      <c r="Z454" s="17">
        <f>IF(OR($W454="",$W454=6),"",CHOOSE($W454,"1st Email Follow-up","2nd Email Follow-up","Escalate Local Office","Escalate to CBE","Escalate to Roxanne"))</f>
        <v/>
      </c>
    </row>
    <row r="455" spans="18:26">
      <c r="R455" s="15"/>
      <c r="S455" s="16"/>
      <c r="T455" s="17">
        <f>IF(AND(COUNTA($A455:$K455)=0,$L455=""),"",IF($S455="Paid","PAID",IF($S455="Closed","CLOSED",IF($W455="","",IF($W455=6,"ESCALATED TO ROXANNE",IF(TODAY()&gt;$Y455,"OVERDUE",IF($Y455&lt;=WORKDAY(TODAY(),1,Holidays),"DUE TOMORROW",IF($W455=4,"ESCALATED TO LOCAL OFFICE",IF($W455=5,"ESCALATED TO CBE",IF($X455=TODAY(),"EMAIL SENT","MONITORING"))))))))))</f>
        <v/>
      </c>
      <c r="U455" s="17">
        <f>IF($T455="",IF(AND(COUNTA($A455:$K455)&gt;0,$L455=""),"Awaiting Collection Email time stamp.",""),IF(OR($T455="PAID",$T455="CLOSED"),IF($T455="PAID","Account paid. Action completed.","Account closed. No further action required."),CHOOSE($W455,"Collection Email","1st Email Follow-up","2nd Email Follow-up","Escalation to Local Office","Escalation to CBE","Escalation to Roxanne")&amp;" sent "&amp;TEXT($X455,"dd-mmm")&amp;". "&amp;IF($W455=6,"Final escalation completed.",IF($T455="OVERDUE","Next: "&amp;$Z455&amp;" was due "&amp;TEXT($Y455,"dd-mmm")&amp;" - "&amp;(NETWORKDAYS($Y455,TODAY(),Holidays)-1)&amp;" business day(s) late. Send now.",IF($T455="DUE TOMORROW","Next: "&amp;$Z455&amp;IF($Y455&lt;=TODAY()," is due TODAY ("," is due next business day (")&amp;TEXT($Y455,"dd-mmm")&amp;").","Next: "&amp;$Z455&amp;" due "&amp;TEXT($Y455,"dd-mmm")&amp;" ("&amp;(NETWORKDAYS(TODAY(),$Y455,Holidays)-1)&amp;" business day(s) left).")))))</f>
        <v/>
      </c>
      <c r="V455" s="17">
        <f>IF($W455="","",CHOOSE($W455,"Collection Email","1st Follow-up","2nd Follow-up","Local Office","CBE","Roxanne")&amp;IF($W455=6," - Final"," - Day "&amp;MAX(0,NETWORKDAYS($X455,TODAY(),Holidays)-1)&amp;" of "&amp;CHOOSE($W455,3,3,2,2,3))&amp;" | Total Day "&amp;MAX(0,NETWORKDAYS($L455,TODAY(),Holidays)-1))</f>
        <v/>
      </c>
      <c r="W455" s="17">
        <f>IF($L455="","",COUNT($L455:$Q455))</f>
        <v/>
      </c>
      <c r="X455" s="18">
        <f>IF($W455="","",INT(INDEX($L455:$Q455,$W455)))</f>
        <v/>
      </c>
      <c r="Y455" s="18">
        <f>IF(OR($W455="",$W455=6),"",WORKDAY($X455,CHOOSE($W455,3,3,2,2,3),Holidays))</f>
        <v/>
      </c>
      <c r="Z455" s="17">
        <f>IF(OR($W455="",$W455=6),"",CHOOSE($W455,"1st Email Follow-up","2nd Email Follow-up","Escalate Local Office","Escalate to CBE","Escalate to Roxanne"))</f>
        <v/>
      </c>
    </row>
    <row r="456" spans="18:26">
      <c r="R456" s="15"/>
      <c r="S456" s="16"/>
      <c r="T456" s="17">
        <f>IF(AND(COUNTA($A456:$K456)=0,$L456=""),"",IF($S456="Paid","PAID",IF($S456="Closed","CLOSED",IF($W456="","",IF($W456=6,"ESCALATED TO ROXANNE",IF(TODAY()&gt;$Y456,"OVERDUE",IF($Y456&lt;=WORKDAY(TODAY(),1,Holidays),"DUE TOMORROW",IF($W456=4,"ESCALATED TO LOCAL OFFICE",IF($W456=5,"ESCALATED TO CBE",IF($X456=TODAY(),"EMAIL SENT","MONITORING"))))))))))</f>
        <v/>
      </c>
      <c r="U456" s="17">
        <f>IF($T456="",IF(AND(COUNTA($A456:$K456)&gt;0,$L456=""),"Awaiting Collection Email time stamp.",""),IF(OR($T456="PAID",$T456="CLOSED"),IF($T456="PAID","Account paid. Action completed.","Account closed. No further action required."),CHOOSE($W456,"Collection Email","1st Email Follow-up","2nd Email Follow-up","Escalation to Local Office","Escalation to CBE","Escalation to Roxanne")&amp;" sent "&amp;TEXT($X456,"dd-mmm")&amp;". "&amp;IF($W456=6,"Final escalation completed.",IF($T456="OVERDUE","Next: "&amp;$Z456&amp;" was due "&amp;TEXT($Y456,"dd-mmm")&amp;" - "&amp;(NETWORKDAYS($Y456,TODAY(),Holidays)-1)&amp;" business day(s) late. Send now.",IF($T456="DUE TOMORROW","Next: "&amp;$Z456&amp;IF($Y456&lt;=TODAY()," is due TODAY ("," is due next business day (")&amp;TEXT($Y456,"dd-mmm")&amp;").","Next: "&amp;$Z456&amp;" due "&amp;TEXT($Y456,"dd-mmm")&amp;" ("&amp;(NETWORKDAYS(TODAY(),$Y456,Holidays)-1)&amp;" business day(s) left).")))))</f>
        <v/>
      </c>
      <c r="V456" s="17">
        <f>IF($W456="","",CHOOSE($W456,"Collection Email","1st Follow-up","2nd Follow-up","Local Office","CBE","Roxanne")&amp;IF($W456=6," - Final"," - Day "&amp;MAX(0,NETWORKDAYS($X456,TODAY(),Holidays)-1)&amp;" of "&amp;CHOOSE($W456,3,3,2,2,3))&amp;" | Total Day "&amp;MAX(0,NETWORKDAYS($L456,TODAY(),Holidays)-1))</f>
        <v/>
      </c>
      <c r="W456" s="17">
        <f>IF($L456="","",COUNT($L456:$Q456))</f>
        <v/>
      </c>
      <c r="X456" s="18">
        <f>IF($W456="","",INT(INDEX($L456:$Q456,$W456)))</f>
        <v/>
      </c>
      <c r="Y456" s="18">
        <f>IF(OR($W456="",$W456=6),"",WORKDAY($X456,CHOOSE($W456,3,3,2,2,3),Holidays))</f>
        <v/>
      </c>
      <c r="Z456" s="17">
        <f>IF(OR($W456="",$W456=6),"",CHOOSE($W456,"1st Email Follow-up","2nd Email Follow-up","Escalate Local Office","Escalate to CBE","Escalate to Roxanne"))</f>
        <v/>
      </c>
    </row>
    <row r="457" spans="18:26">
      <c r="R457" s="15"/>
      <c r="S457" s="16"/>
      <c r="T457" s="17">
        <f>IF(AND(COUNTA($A457:$K457)=0,$L457=""),"",IF($S457="Paid","PAID",IF($S457="Closed","CLOSED",IF($W457="","",IF($W457=6,"ESCALATED TO ROXANNE",IF(TODAY()&gt;$Y457,"OVERDUE",IF($Y457&lt;=WORKDAY(TODAY(),1,Holidays),"DUE TOMORROW",IF($W457=4,"ESCALATED TO LOCAL OFFICE",IF($W457=5,"ESCALATED TO CBE",IF($X457=TODAY(),"EMAIL SENT","MONITORING"))))))))))</f>
        <v/>
      </c>
      <c r="U457" s="17">
        <f>IF($T457="",IF(AND(COUNTA($A457:$K457)&gt;0,$L457=""),"Awaiting Collection Email time stamp.",""),IF(OR($T457="PAID",$T457="CLOSED"),IF($T457="PAID","Account paid. Action completed.","Account closed. No further action required."),CHOOSE($W457,"Collection Email","1st Email Follow-up","2nd Email Follow-up","Escalation to Local Office","Escalation to CBE","Escalation to Roxanne")&amp;" sent "&amp;TEXT($X457,"dd-mmm")&amp;". "&amp;IF($W457=6,"Final escalation completed.",IF($T457="OVERDUE","Next: "&amp;$Z457&amp;" was due "&amp;TEXT($Y457,"dd-mmm")&amp;" - "&amp;(NETWORKDAYS($Y457,TODAY(),Holidays)-1)&amp;" business day(s) late. Send now.",IF($T457="DUE TOMORROW","Next: "&amp;$Z457&amp;IF($Y457&lt;=TODAY()," is due TODAY ("," is due next business day (")&amp;TEXT($Y457,"dd-mmm")&amp;").","Next: "&amp;$Z457&amp;" due "&amp;TEXT($Y457,"dd-mmm")&amp;" ("&amp;(NETWORKDAYS(TODAY(),$Y457,Holidays)-1)&amp;" business day(s) left).")))))</f>
        <v/>
      </c>
      <c r="V457" s="17">
        <f>IF($W457="","",CHOOSE($W457,"Collection Email","1st Follow-up","2nd Follow-up","Local Office","CBE","Roxanne")&amp;IF($W457=6," - Final"," - Day "&amp;MAX(0,NETWORKDAYS($X457,TODAY(),Holidays)-1)&amp;" of "&amp;CHOOSE($W457,3,3,2,2,3))&amp;" | Total Day "&amp;MAX(0,NETWORKDAYS($L457,TODAY(),Holidays)-1))</f>
        <v/>
      </c>
      <c r="W457" s="17">
        <f>IF($L457="","",COUNT($L457:$Q457))</f>
        <v/>
      </c>
      <c r="X457" s="18">
        <f>IF($W457="","",INT(INDEX($L457:$Q457,$W457)))</f>
        <v/>
      </c>
      <c r="Y457" s="18">
        <f>IF(OR($W457="",$W457=6),"",WORKDAY($X457,CHOOSE($W457,3,3,2,2,3),Holidays))</f>
        <v/>
      </c>
      <c r="Z457" s="17">
        <f>IF(OR($W457="",$W457=6),"",CHOOSE($W457,"1st Email Follow-up","2nd Email Follow-up","Escalate Local Office","Escalate to CBE","Escalate to Roxanne"))</f>
        <v/>
      </c>
    </row>
    <row r="458" spans="18:26">
      <c r="R458" s="15"/>
      <c r="S458" s="16"/>
      <c r="T458" s="17">
        <f>IF(AND(COUNTA($A458:$K458)=0,$L458=""),"",IF($S458="Paid","PAID",IF($S458="Closed","CLOSED",IF($W458="","",IF($W458=6,"ESCALATED TO ROXANNE",IF(TODAY()&gt;$Y458,"OVERDUE",IF($Y458&lt;=WORKDAY(TODAY(),1,Holidays),"DUE TOMORROW",IF($W458=4,"ESCALATED TO LOCAL OFFICE",IF($W458=5,"ESCALATED TO CBE",IF($X458=TODAY(),"EMAIL SENT","MONITORING"))))))))))</f>
        <v/>
      </c>
      <c r="U458" s="17">
        <f>IF($T458="",IF(AND(COUNTA($A458:$K458)&gt;0,$L458=""),"Awaiting Collection Email time stamp.",""),IF(OR($T458="PAID",$T458="CLOSED"),IF($T458="PAID","Account paid. Action completed.","Account closed. No further action required."),CHOOSE($W458,"Collection Email","1st Email Follow-up","2nd Email Follow-up","Escalation to Local Office","Escalation to CBE","Escalation to Roxanne")&amp;" sent "&amp;TEXT($X458,"dd-mmm")&amp;". "&amp;IF($W458=6,"Final escalation completed.",IF($T458="OVERDUE","Next: "&amp;$Z458&amp;" was due "&amp;TEXT($Y458,"dd-mmm")&amp;" - "&amp;(NETWORKDAYS($Y458,TODAY(),Holidays)-1)&amp;" business day(s) late. Send now.",IF($T458="DUE TOMORROW","Next: "&amp;$Z458&amp;IF($Y458&lt;=TODAY()," is due TODAY ("," is due next business day (")&amp;TEXT($Y458,"dd-mmm")&amp;").","Next: "&amp;$Z458&amp;" due "&amp;TEXT($Y458,"dd-mmm")&amp;" ("&amp;(NETWORKDAYS(TODAY(),$Y458,Holidays)-1)&amp;" business day(s) left).")))))</f>
        <v/>
      </c>
      <c r="V458" s="17">
        <f>IF($W458="","",CHOOSE($W458,"Collection Email","1st Follow-up","2nd Follow-up","Local Office","CBE","Roxanne")&amp;IF($W458=6," - Final"," - Day "&amp;MAX(0,NETWORKDAYS($X458,TODAY(),Holidays)-1)&amp;" of "&amp;CHOOSE($W458,3,3,2,2,3))&amp;" | Total Day "&amp;MAX(0,NETWORKDAYS($L458,TODAY(),Holidays)-1))</f>
        <v/>
      </c>
      <c r="W458" s="17">
        <f>IF($L458="","",COUNT($L458:$Q458))</f>
        <v/>
      </c>
      <c r="X458" s="18">
        <f>IF($W458="","",INT(INDEX($L458:$Q458,$W458)))</f>
        <v/>
      </c>
      <c r="Y458" s="18">
        <f>IF(OR($W458="",$W458=6),"",WORKDAY($X458,CHOOSE($W458,3,3,2,2,3),Holidays))</f>
        <v/>
      </c>
      <c r="Z458" s="17">
        <f>IF(OR($W458="",$W458=6),"",CHOOSE($W458,"1st Email Follow-up","2nd Email Follow-up","Escalate Local Office","Escalate to CBE","Escalate to Roxanne"))</f>
        <v/>
      </c>
    </row>
    <row r="459" spans="18:26">
      <c r="R459" s="15"/>
      <c r="S459" s="16"/>
      <c r="T459" s="17">
        <f>IF(AND(COUNTA($A459:$K459)=0,$L459=""),"",IF($S459="Paid","PAID",IF($S459="Closed","CLOSED",IF($W459="","",IF($W459=6,"ESCALATED TO ROXANNE",IF(TODAY()&gt;$Y459,"OVERDUE",IF($Y459&lt;=WORKDAY(TODAY(),1,Holidays),"DUE TOMORROW",IF($W459=4,"ESCALATED TO LOCAL OFFICE",IF($W459=5,"ESCALATED TO CBE",IF($X459=TODAY(),"EMAIL SENT","MONITORING"))))))))))</f>
        <v/>
      </c>
      <c r="U459" s="17">
        <f>IF($T459="",IF(AND(COUNTA($A459:$K459)&gt;0,$L459=""),"Awaiting Collection Email time stamp.",""),IF(OR($T459="PAID",$T459="CLOSED"),IF($T459="PAID","Account paid. Action completed.","Account closed. No further action required."),CHOOSE($W459,"Collection Email","1st Email Follow-up","2nd Email Follow-up","Escalation to Local Office","Escalation to CBE","Escalation to Roxanne")&amp;" sent "&amp;TEXT($X459,"dd-mmm")&amp;". "&amp;IF($W459=6,"Final escalation completed.",IF($T459="OVERDUE","Next: "&amp;$Z459&amp;" was due "&amp;TEXT($Y459,"dd-mmm")&amp;" - "&amp;(NETWORKDAYS($Y459,TODAY(),Holidays)-1)&amp;" business day(s) late. Send now.",IF($T459="DUE TOMORROW","Next: "&amp;$Z459&amp;IF($Y459&lt;=TODAY()," is due TODAY ("," is due next business day (")&amp;TEXT($Y459,"dd-mmm")&amp;").","Next: "&amp;$Z459&amp;" due "&amp;TEXT($Y459,"dd-mmm")&amp;" ("&amp;(NETWORKDAYS(TODAY(),$Y459,Holidays)-1)&amp;" business day(s) left).")))))</f>
        <v/>
      </c>
      <c r="V459" s="17">
        <f>IF($W459="","",CHOOSE($W459,"Collection Email","1st Follow-up","2nd Follow-up","Local Office","CBE","Roxanne")&amp;IF($W459=6," - Final"," - Day "&amp;MAX(0,NETWORKDAYS($X459,TODAY(),Holidays)-1)&amp;" of "&amp;CHOOSE($W459,3,3,2,2,3))&amp;" | Total Day "&amp;MAX(0,NETWORKDAYS($L459,TODAY(),Holidays)-1))</f>
        <v/>
      </c>
      <c r="W459" s="17">
        <f>IF($L459="","",COUNT($L459:$Q459))</f>
        <v/>
      </c>
      <c r="X459" s="18">
        <f>IF($W459="","",INT(INDEX($L459:$Q459,$W459)))</f>
        <v/>
      </c>
      <c r="Y459" s="18">
        <f>IF(OR($W459="",$W459=6),"",WORKDAY($X459,CHOOSE($W459,3,3,2,2,3),Holidays))</f>
        <v/>
      </c>
      <c r="Z459" s="17">
        <f>IF(OR($W459="",$W459=6),"",CHOOSE($W459,"1st Email Follow-up","2nd Email Follow-up","Escalate Local Office","Escalate to CBE","Escalate to Roxanne"))</f>
        <v/>
      </c>
    </row>
    <row r="460" spans="18:26">
      <c r="R460" s="15"/>
      <c r="S460" s="16"/>
      <c r="T460" s="17">
        <f>IF(AND(COUNTA($A460:$K460)=0,$L460=""),"",IF($S460="Paid","PAID",IF($S460="Closed","CLOSED",IF($W460="","",IF($W460=6,"ESCALATED TO ROXANNE",IF(TODAY()&gt;$Y460,"OVERDUE",IF($Y460&lt;=WORKDAY(TODAY(),1,Holidays),"DUE TOMORROW",IF($W460=4,"ESCALATED TO LOCAL OFFICE",IF($W460=5,"ESCALATED TO CBE",IF($X460=TODAY(),"EMAIL SENT","MONITORING"))))))))))</f>
        <v/>
      </c>
      <c r="U460" s="17">
        <f>IF($T460="",IF(AND(COUNTA($A460:$K460)&gt;0,$L460=""),"Awaiting Collection Email time stamp.",""),IF(OR($T460="PAID",$T460="CLOSED"),IF($T460="PAID","Account paid. Action completed.","Account closed. No further action required."),CHOOSE($W460,"Collection Email","1st Email Follow-up","2nd Email Follow-up","Escalation to Local Office","Escalation to CBE","Escalation to Roxanne")&amp;" sent "&amp;TEXT($X460,"dd-mmm")&amp;". "&amp;IF($W460=6,"Final escalation completed.",IF($T460="OVERDUE","Next: "&amp;$Z460&amp;" was due "&amp;TEXT($Y460,"dd-mmm")&amp;" - "&amp;(NETWORKDAYS($Y460,TODAY(),Holidays)-1)&amp;" business day(s) late. Send now.",IF($T460="DUE TOMORROW","Next: "&amp;$Z460&amp;IF($Y460&lt;=TODAY()," is due TODAY ("," is due next business day (")&amp;TEXT($Y460,"dd-mmm")&amp;").","Next: "&amp;$Z460&amp;" due "&amp;TEXT($Y460,"dd-mmm")&amp;" ("&amp;(NETWORKDAYS(TODAY(),$Y460,Holidays)-1)&amp;" business day(s) left).")))))</f>
        <v/>
      </c>
      <c r="V460" s="17">
        <f>IF($W460="","",CHOOSE($W460,"Collection Email","1st Follow-up","2nd Follow-up","Local Office","CBE","Roxanne")&amp;IF($W460=6," - Final"," - Day "&amp;MAX(0,NETWORKDAYS($X460,TODAY(),Holidays)-1)&amp;" of "&amp;CHOOSE($W460,3,3,2,2,3))&amp;" | Total Day "&amp;MAX(0,NETWORKDAYS($L460,TODAY(),Holidays)-1))</f>
        <v/>
      </c>
      <c r="W460" s="17">
        <f>IF($L460="","",COUNT($L460:$Q460))</f>
        <v/>
      </c>
      <c r="X460" s="18">
        <f>IF($W460="","",INT(INDEX($L460:$Q460,$W460)))</f>
        <v/>
      </c>
      <c r="Y460" s="18">
        <f>IF(OR($W460="",$W460=6),"",WORKDAY($X460,CHOOSE($W460,3,3,2,2,3),Holidays))</f>
        <v/>
      </c>
      <c r="Z460" s="17">
        <f>IF(OR($W460="",$W460=6),"",CHOOSE($W460,"1st Email Follow-up","2nd Email Follow-up","Escalate Local Office","Escalate to CBE","Escalate to Roxanne"))</f>
        <v/>
      </c>
    </row>
    <row r="461" spans="18:26">
      <c r="R461" s="15"/>
      <c r="S461" s="16"/>
      <c r="T461" s="17">
        <f>IF(AND(COUNTA($A461:$K461)=0,$L461=""),"",IF($S461="Paid","PAID",IF($S461="Closed","CLOSED",IF($W461="","",IF($W461=6,"ESCALATED TO ROXANNE",IF(TODAY()&gt;$Y461,"OVERDUE",IF($Y461&lt;=WORKDAY(TODAY(),1,Holidays),"DUE TOMORROW",IF($W461=4,"ESCALATED TO LOCAL OFFICE",IF($W461=5,"ESCALATED TO CBE",IF($X461=TODAY(),"EMAIL SENT","MONITORING"))))))))))</f>
        <v/>
      </c>
      <c r="U461" s="17">
        <f>IF($T461="",IF(AND(COUNTA($A461:$K461)&gt;0,$L461=""),"Awaiting Collection Email time stamp.",""),IF(OR($T461="PAID",$T461="CLOSED"),IF($T461="PAID","Account paid. Action completed.","Account closed. No further action required."),CHOOSE($W461,"Collection Email","1st Email Follow-up","2nd Email Follow-up","Escalation to Local Office","Escalation to CBE","Escalation to Roxanne")&amp;" sent "&amp;TEXT($X461,"dd-mmm")&amp;". "&amp;IF($W461=6,"Final escalation completed.",IF($T461="OVERDUE","Next: "&amp;$Z461&amp;" was due "&amp;TEXT($Y461,"dd-mmm")&amp;" - "&amp;(NETWORKDAYS($Y461,TODAY(),Holidays)-1)&amp;" business day(s) late. Send now.",IF($T461="DUE TOMORROW","Next: "&amp;$Z461&amp;IF($Y461&lt;=TODAY()," is due TODAY ("," is due next business day (")&amp;TEXT($Y461,"dd-mmm")&amp;").","Next: "&amp;$Z461&amp;" due "&amp;TEXT($Y461,"dd-mmm")&amp;" ("&amp;(NETWORKDAYS(TODAY(),$Y461,Holidays)-1)&amp;" business day(s) left).")))))</f>
        <v/>
      </c>
      <c r="V461" s="17">
        <f>IF($W461="","",CHOOSE($W461,"Collection Email","1st Follow-up","2nd Follow-up","Local Office","CBE","Roxanne")&amp;IF($W461=6," - Final"," - Day "&amp;MAX(0,NETWORKDAYS($X461,TODAY(),Holidays)-1)&amp;" of "&amp;CHOOSE($W461,3,3,2,2,3))&amp;" | Total Day "&amp;MAX(0,NETWORKDAYS($L461,TODAY(),Holidays)-1))</f>
        <v/>
      </c>
      <c r="W461" s="17">
        <f>IF($L461="","",COUNT($L461:$Q461))</f>
        <v/>
      </c>
      <c r="X461" s="18">
        <f>IF($W461="","",INT(INDEX($L461:$Q461,$W461)))</f>
        <v/>
      </c>
      <c r="Y461" s="18">
        <f>IF(OR($W461="",$W461=6),"",WORKDAY($X461,CHOOSE($W461,3,3,2,2,3),Holidays))</f>
        <v/>
      </c>
      <c r="Z461" s="17">
        <f>IF(OR($W461="",$W461=6),"",CHOOSE($W461,"1st Email Follow-up","2nd Email Follow-up","Escalate Local Office","Escalate to CBE","Escalate to Roxanne"))</f>
        <v/>
      </c>
    </row>
    <row r="462" spans="18:26">
      <c r="R462" s="15"/>
      <c r="S462" s="16"/>
      <c r="T462" s="17">
        <f>IF(AND(COUNTA($A462:$K462)=0,$L462=""),"",IF($S462="Paid","PAID",IF($S462="Closed","CLOSED",IF($W462="","",IF($W462=6,"ESCALATED TO ROXANNE",IF(TODAY()&gt;$Y462,"OVERDUE",IF($Y462&lt;=WORKDAY(TODAY(),1,Holidays),"DUE TOMORROW",IF($W462=4,"ESCALATED TO LOCAL OFFICE",IF($W462=5,"ESCALATED TO CBE",IF($X462=TODAY(),"EMAIL SENT","MONITORING"))))))))))</f>
        <v/>
      </c>
      <c r="U462" s="17">
        <f>IF($T462="",IF(AND(COUNTA($A462:$K462)&gt;0,$L462=""),"Awaiting Collection Email time stamp.",""),IF(OR($T462="PAID",$T462="CLOSED"),IF($T462="PAID","Account paid. Action completed.","Account closed. No further action required."),CHOOSE($W462,"Collection Email","1st Email Follow-up","2nd Email Follow-up","Escalation to Local Office","Escalation to CBE","Escalation to Roxanne")&amp;" sent "&amp;TEXT($X462,"dd-mmm")&amp;". "&amp;IF($W462=6,"Final escalation completed.",IF($T462="OVERDUE","Next: "&amp;$Z462&amp;" was due "&amp;TEXT($Y462,"dd-mmm")&amp;" - "&amp;(NETWORKDAYS($Y462,TODAY(),Holidays)-1)&amp;" business day(s) late. Send now.",IF($T462="DUE TOMORROW","Next: "&amp;$Z462&amp;IF($Y462&lt;=TODAY()," is due TODAY ("," is due next business day (")&amp;TEXT($Y462,"dd-mmm")&amp;").","Next: "&amp;$Z462&amp;" due "&amp;TEXT($Y462,"dd-mmm")&amp;" ("&amp;(NETWORKDAYS(TODAY(),$Y462,Holidays)-1)&amp;" business day(s) left).")))))</f>
        <v/>
      </c>
      <c r="V462" s="17">
        <f>IF($W462="","",CHOOSE($W462,"Collection Email","1st Follow-up","2nd Follow-up","Local Office","CBE","Roxanne")&amp;IF($W462=6," - Final"," - Day "&amp;MAX(0,NETWORKDAYS($X462,TODAY(),Holidays)-1)&amp;" of "&amp;CHOOSE($W462,3,3,2,2,3))&amp;" | Total Day "&amp;MAX(0,NETWORKDAYS($L462,TODAY(),Holidays)-1))</f>
        <v/>
      </c>
      <c r="W462" s="17">
        <f>IF($L462="","",COUNT($L462:$Q462))</f>
        <v/>
      </c>
      <c r="X462" s="18">
        <f>IF($W462="","",INT(INDEX($L462:$Q462,$W462)))</f>
        <v/>
      </c>
      <c r="Y462" s="18">
        <f>IF(OR($W462="",$W462=6),"",WORKDAY($X462,CHOOSE($W462,3,3,2,2,3),Holidays))</f>
        <v/>
      </c>
      <c r="Z462" s="17">
        <f>IF(OR($W462="",$W462=6),"",CHOOSE($W462,"1st Email Follow-up","2nd Email Follow-up","Escalate Local Office","Escalate to CBE","Escalate to Roxanne"))</f>
        <v/>
      </c>
    </row>
    <row r="463" spans="18:26">
      <c r="R463" s="15"/>
      <c r="S463" s="16"/>
      <c r="T463" s="17">
        <f>IF(AND(COUNTA($A463:$K463)=0,$L463=""),"",IF($S463="Paid","PAID",IF($S463="Closed","CLOSED",IF($W463="","",IF($W463=6,"ESCALATED TO ROXANNE",IF(TODAY()&gt;$Y463,"OVERDUE",IF($Y463&lt;=WORKDAY(TODAY(),1,Holidays),"DUE TOMORROW",IF($W463=4,"ESCALATED TO LOCAL OFFICE",IF($W463=5,"ESCALATED TO CBE",IF($X463=TODAY(),"EMAIL SENT","MONITORING"))))))))))</f>
        <v/>
      </c>
      <c r="U463" s="17">
        <f>IF($T463="",IF(AND(COUNTA($A463:$K463)&gt;0,$L463=""),"Awaiting Collection Email time stamp.",""),IF(OR($T463="PAID",$T463="CLOSED"),IF($T463="PAID","Account paid. Action completed.","Account closed. No further action required."),CHOOSE($W463,"Collection Email","1st Email Follow-up","2nd Email Follow-up","Escalation to Local Office","Escalation to CBE","Escalation to Roxanne")&amp;" sent "&amp;TEXT($X463,"dd-mmm")&amp;". "&amp;IF($W463=6,"Final escalation completed.",IF($T463="OVERDUE","Next: "&amp;$Z463&amp;" was due "&amp;TEXT($Y463,"dd-mmm")&amp;" - "&amp;(NETWORKDAYS($Y463,TODAY(),Holidays)-1)&amp;" business day(s) late. Send now.",IF($T463="DUE TOMORROW","Next: "&amp;$Z463&amp;IF($Y463&lt;=TODAY()," is due TODAY ("," is due next business day (")&amp;TEXT($Y463,"dd-mmm")&amp;").","Next: "&amp;$Z463&amp;" due "&amp;TEXT($Y463,"dd-mmm")&amp;" ("&amp;(NETWORKDAYS(TODAY(),$Y463,Holidays)-1)&amp;" business day(s) left).")))))</f>
        <v/>
      </c>
      <c r="V463" s="17">
        <f>IF($W463="","",CHOOSE($W463,"Collection Email","1st Follow-up","2nd Follow-up","Local Office","CBE","Roxanne")&amp;IF($W463=6," - Final"," - Day "&amp;MAX(0,NETWORKDAYS($X463,TODAY(),Holidays)-1)&amp;" of "&amp;CHOOSE($W463,3,3,2,2,3))&amp;" | Total Day "&amp;MAX(0,NETWORKDAYS($L463,TODAY(),Holidays)-1))</f>
        <v/>
      </c>
      <c r="W463" s="17">
        <f>IF($L463="","",COUNT($L463:$Q463))</f>
        <v/>
      </c>
      <c r="X463" s="18">
        <f>IF($W463="","",INT(INDEX($L463:$Q463,$W463)))</f>
        <v/>
      </c>
      <c r="Y463" s="18">
        <f>IF(OR($W463="",$W463=6),"",WORKDAY($X463,CHOOSE($W463,3,3,2,2,3),Holidays))</f>
        <v/>
      </c>
      <c r="Z463" s="17">
        <f>IF(OR($W463="",$W463=6),"",CHOOSE($W463,"1st Email Follow-up","2nd Email Follow-up","Escalate Local Office","Escalate to CBE","Escalate to Roxanne"))</f>
        <v/>
      </c>
    </row>
    <row r="464" spans="18:26">
      <c r="R464" s="15"/>
      <c r="S464" s="16"/>
      <c r="T464" s="17">
        <f>IF(AND(COUNTA($A464:$K464)=0,$L464=""),"",IF($S464="Paid","PAID",IF($S464="Closed","CLOSED",IF($W464="","",IF($W464=6,"ESCALATED TO ROXANNE",IF(TODAY()&gt;$Y464,"OVERDUE",IF($Y464&lt;=WORKDAY(TODAY(),1,Holidays),"DUE TOMORROW",IF($W464=4,"ESCALATED TO LOCAL OFFICE",IF($W464=5,"ESCALATED TO CBE",IF($X464=TODAY(),"EMAIL SENT","MONITORING"))))))))))</f>
        <v/>
      </c>
      <c r="U464" s="17">
        <f>IF($T464="",IF(AND(COUNTA($A464:$K464)&gt;0,$L464=""),"Awaiting Collection Email time stamp.",""),IF(OR($T464="PAID",$T464="CLOSED"),IF($T464="PAID","Account paid. Action completed.","Account closed. No further action required."),CHOOSE($W464,"Collection Email","1st Email Follow-up","2nd Email Follow-up","Escalation to Local Office","Escalation to CBE","Escalation to Roxanne")&amp;" sent "&amp;TEXT($X464,"dd-mmm")&amp;". "&amp;IF($W464=6,"Final escalation completed.",IF($T464="OVERDUE","Next: "&amp;$Z464&amp;" was due "&amp;TEXT($Y464,"dd-mmm")&amp;" - "&amp;(NETWORKDAYS($Y464,TODAY(),Holidays)-1)&amp;" business day(s) late. Send now.",IF($T464="DUE TOMORROW","Next: "&amp;$Z464&amp;IF($Y464&lt;=TODAY()," is due TODAY ("," is due next business day (")&amp;TEXT($Y464,"dd-mmm")&amp;").","Next: "&amp;$Z464&amp;" due "&amp;TEXT($Y464,"dd-mmm")&amp;" ("&amp;(NETWORKDAYS(TODAY(),$Y464,Holidays)-1)&amp;" business day(s) left).")))))</f>
        <v/>
      </c>
      <c r="V464" s="17">
        <f>IF($W464="","",CHOOSE($W464,"Collection Email","1st Follow-up","2nd Follow-up","Local Office","CBE","Roxanne")&amp;IF($W464=6," - Final"," - Day "&amp;MAX(0,NETWORKDAYS($X464,TODAY(),Holidays)-1)&amp;" of "&amp;CHOOSE($W464,3,3,2,2,3))&amp;" | Total Day "&amp;MAX(0,NETWORKDAYS($L464,TODAY(),Holidays)-1))</f>
        <v/>
      </c>
      <c r="W464" s="17">
        <f>IF($L464="","",COUNT($L464:$Q464))</f>
        <v/>
      </c>
      <c r="X464" s="18">
        <f>IF($W464="","",INT(INDEX($L464:$Q464,$W464)))</f>
        <v/>
      </c>
      <c r="Y464" s="18">
        <f>IF(OR($W464="",$W464=6),"",WORKDAY($X464,CHOOSE($W464,3,3,2,2,3),Holidays))</f>
        <v/>
      </c>
      <c r="Z464" s="17">
        <f>IF(OR($W464="",$W464=6),"",CHOOSE($W464,"1st Email Follow-up","2nd Email Follow-up","Escalate Local Office","Escalate to CBE","Escalate to Roxanne"))</f>
        <v/>
      </c>
    </row>
    <row r="465" spans="18:26">
      <c r="R465" s="15"/>
      <c r="S465" s="16"/>
      <c r="T465" s="17">
        <f>IF(AND(COUNTA($A465:$K465)=0,$L465=""),"",IF($S465="Paid","PAID",IF($S465="Closed","CLOSED",IF($W465="","",IF($W465=6,"ESCALATED TO ROXANNE",IF(TODAY()&gt;$Y465,"OVERDUE",IF($Y465&lt;=WORKDAY(TODAY(),1,Holidays),"DUE TOMORROW",IF($W465=4,"ESCALATED TO LOCAL OFFICE",IF($W465=5,"ESCALATED TO CBE",IF($X465=TODAY(),"EMAIL SENT","MONITORING"))))))))))</f>
        <v/>
      </c>
      <c r="U465" s="17">
        <f>IF($T465="",IF(AND(COUNTA($A465:$K465)&gt;0,$L465=""),"Awaiting Collection Email time stamp.",""),IF(OR($T465="PAID",$T465="CLOSED"),IF($T465="PAID","Account paid. Action completed.","Account closed. No further action required."),CHOOSE($W465,"Collection Email","1st Email Follow-up","2nd Email Follow-up","Escalation to Local Office","Escalation to CBE","Escalation to Roxanne")&amp;" sent "&amp;TEXT($X465,"dd-mmm")&amp;". "&amp;IF($W465=6,"Final escalation completed.",IF($T465="OVERDUE","Next: "&amp;$Z465&amp;" was due "&amp;TEXT($Y465,"dd-mmm")&amp;" - "&amp;(NETWORKDAYS($Y465,TODAY(),Holidays)-1)&amp;" business day(s) late. Send now.",IF($T465="DUE TOMORROW","Next: "&amp;$Z465&amp;IF($Y465&lt;=TODAY()," is due TODAY ("," is due next business day (")&amp;TEXT($Y465,"dd-mmm")&amp;").","Next: "&amp;$Z465&amp;" due "&amp;TEXT($Y465,"dd-mmm")&amp;" ("&amp;(NETWORKDAYS(TODAY(),$Y465,Holidays)-1)&amp;" business day(s) left).")))))</f>
        <v/>
      </c>
      <c r="V465" s="17">
        <f>IF($W465="","",CHOOSE($W465,"Collection Email","1st Follow-up","2nd Follow-up","Local Office","CBE","Roxanne")&amp;IF($W465=6," - Final"," - Day "&amp;MAX(0,NETWORKDAYS($X465,TODAY(),Holidays)-1)&amp;" of "&amp;CHOOSE($W465,3,3,2,2,3))&amp;" | Total Day "&amp;MAX(0,NETWORKDAYS($L465,TODAY(),Holidays)-1))</f>
        <v/>
      </c>
      <c r="W465" s="17">
        <f>IF($L465="","",COUNT($L465:$Q465))</f>
        <v/>
      </c>
      <c r="X465" s="18">
        <f>IF($W465="","",INT(INDEX($L465:$Q465,$W465)))</f>
        <v/>
      </c>
      <c r="Y465" s="18">
        <f>IF(OR($W465="",$W465=6),"",WORKDAY($X465,CHOOSE($W465,3,3,2,2,3),Holidays))</f>
        <v/>
      </c>
      <c r="Z465" s="17">
        <f>IF(OR($W465="",$W465=6),"",CHOOSE($W465,"1st Email Follow-up","2nd Email Follow-up","Escalate Local Office","Escalate to CBE","Escalate to Roxanne"))</f>
        <v/>
      </c>
    </row>
    <row r="466" spans="18:26">
      <c r="R466" s="15"/>
      <c r="S466" s="16"/>
      <c r="T466" s="17">
        <f>IF(AND(COUNTA($A466:$K466)=0,$L466=""),"",IF($S466="Paid","PAID",IF($S466="Closed","CLOSED",IF($W466="","",IF($W466=6,"ESCALATED TO ROXANNE",IF(TODAY()&gt;$Y466,"OVERDUE",IF($Y466&lt;=WORKDAY(TODAY(),1,Holidays),"DUE TOMORROW",IF($W466=4,"ESCALATED TO LOCAL OFFICE",IF($W466=5,"ESCALATED TO CBE",IF($X466=TODAY(),"EMAIL SENT","MONITORING"))))))))))</f>
        <v/>
      </c>
      <c r="U466" s="17">
        <f>IF($T466="",IF(AND(COUNTA($A466:$K466)&gt;0,$L466=""),"Awaiting Collection Email time stamp.",""),IF(OR($T466="PAID",$T466="CLOSED"),IF($T466="PAID","Account paid. Action completed.","Account closed. No further action required."),CHOOSE($W466,"Collection Email","1st Email Follow-up","2nd Email Follow-up","Escalation to Local Office","Escalation to CBE","Escalation to Roxanne")&amp;" sent "&amp;TEXT($X466,"dd-mmm")&amp;". "&amp;IF($W466=6,"Final escalation completed.",IF($T466="OVERDUE","Next: "&amp;$Z466&amp;" was due "&amp;TEXT($Y466,"dd-mmm")&amp;" - "&amp;(NETWORKDAYS($Y466,TODAY(),Holidays)-1)&amp;" business day(s) late. Send now.",IF($T466="DUE TOMORROW","Next: "&amp;$Z466&amp;IF($Y466&lt;=TODAY()," is due TODAY ("," is due next business day (")&amp;TEXT($Y466,"dd-mmm")&amp;").","Next: "&amp;$Z466&amp;" due "&amp;TEXT($Y466,"dd-mmm")&amp;" ("&amp;(NETWORKDAYS(TODAY(),$Y466,Holidays)-1)&amp;" business day(s) left).")))))</f>
        <v/>
      </c>
      <c r="V466" s="17">
        <f>IF($W466="","",CHOOSE($W466,"Collection Email","1st Follow-up","2nd Follow-up","Local Office","CBE","Roxanne")&amp;IF($W466=6," - Final"," - Day "&amp;MAX(0,NETWORKDAYS($X466,TODAY(),Holidays)-1)&amp;" of "&amp;CHOOSE($W466,3,3,2,2,3))&amp;" | Total Day "&amp;MAX(0,NETWORKDAYS($L466,TODAY(),Holidays)-1))</f>
        <v/>
      </c>
      <c r="W466" s="17">
        <f>IF($L466="","",COUNT($L466:$Q466))</f>
        <v/>
      </c>
      <c r="X466" s="18">
        <f>IF($W466="","",INT(INDEX($L466:$Q466,$W466)))</f>
        <v/>
      </c>
      <c r="Y466" s="18">
        <f>IF(OR($W466="",$W466=6),"",WORKDAY($X466,CHOOSE($W466,3,3,2,2,3),Holidays))</f>
        <v/>
      </c>
      <c r="Z466" s="17">
        <f>IF(OR($W466="",$W466=6),"",CHOOSE($W466,"1st Email Follow-up","2nd Email Follow-up","Escalate Local Office","Escalate to CBE","Escalate to Roxanne"))</f>
        <v/>
      </c>
    </row>
    <row r="467" spans="18:26">
      <c r="R467" s="15"/>
      <c r="S467" s="16"/>
      <c r="T467" s="17">
        <f>IF(AND(COUNTA($A467:$K467)=0,$L467=""),"",IF($S467="Paid","PAID",IF($S467="Closed","CLOSED",IF($W467="","",IF($W467=6,"ESCALATED TO ROXANNE",IF(TODAY()&gt;$Y467,"OVERDUE",IF($Y467&lt;=WORKDAY(TODAY(),1,Holidays),"DUE TOMORROW",IF($W467=4,"ESCALATED TO LOCAL OFFICE",IF($W467=5,"ESCALATED TO CBE",IF($X467=TODAY(),"EMAIL SENT","MONITORING"))))))))))</f>
        <v/>
      </c>
      <c r="U467" s="17">
        <f>IF($T467="",IF(AND(COUNTA($A467:$K467)&gt;0,$L467=""),"Awaiting Collection Email time stamp.",""),IF(OR($T467="PAID",$T467="CLOSED"),IF($T467="PAID","Account paid. Action completed.","Account closed. No further action required."),CHOOSE($W467,"Collection Email","1st Email Follow-up","2nd Email Follow-up","Escalation to Local Office","Escalation to CBE","Escalation to Roxanne")&amp;" sent "&amp;TEXT($X467,"dd-mmm")&amp;". "&amp;IF($W467=6,"Final escalation completed.",IF($T467="OVERDUE","Next: "&amp;$Z467&amp;" was due "&amp;TEXT($Y467,"dd-mmm")&amp;" - "&amp;(NETWORKDAYS($Y467,TODAY(),Holidays)-1)&amp;" business day(s) late. Send now.",IF($T467="DUE TOMORROW","Next: "&amp;$Z467&amp;IF($Y467&lt;=TODAY()," is due TODAY ("," is due next business day (")&amp;TEXT($Y467,"dd-mmm")&amp;").","Next: "&amp;$Z467&amp;" due "&amp;TEXT($Y467,"dd-mmm")&amp;" ("&amp;(NETWORKDAYS(TODAY(),$Y467,Holidays)-1)&amp;" business day(s) left).")))))</f>
        <v/>
      </c>
      <c r="V467" s="17">
        <f>IF($W467="","",CHOOSE($W467,"Collection Email","1st Follow-up","2nd Follow-up","Local Office","CBE","Roxanne")&amp;IF($W467=6," - Final"," - Day "&amp;MAX(0,NETWORKDAYS($X467,TODAY(),Holidays)-1)&amp;" of "&amp;CHOOSE($W467,3,3,2,2,3))&amp;" | Total Day "&amp;MAX(0,NETWORKDAYS($L467,TODAY(),Holidays)-1))</f>
        <v/>
      </c>
      <c r="W467" s="17">
        <f>IF($L467="","",COUNT($L467:$Q467))</f>
        <v/>
      </c>
      <c r="X467" s="18">
        <f>IF($W467="","",INT(INDEX($L467:$Q467,$W467)))</f>
        <v/>
      </c>
      <c r="Y467" s="18">
        <f>IF(OR($W467="",$W467=6),"",WORKDAY($X467,CHOOSE($W467,3,3,2,2,3),Holidays))</f>
        <v/>
      </c>
      <c r="Z467" s="17">
        <f>IF(OR($W467="",$W467=6),"",CHOOSE($W467,"1st Email Follow-up","2nd Email Follow-up","Escalate Local Office","Escalate to CBE","Escalate to Roxanne"))</f>
        <v/>
      </c>
    </row>
    <row r="468" spans="18:26">
      <c r="R468" s="15"/>
      <c r="S468" s="16"/>
      <c r="T468" s="17">
        <f>IF(AND(COUNTA($A468:$K468)=0,$L468=""),"",IF($S468="Paid","PAID",IF($S468="Closed","CLOSED",IF($W468="","",IF($W468=6,"ESCALATED TO ROXANNE",IF(TODAY()&gt;$Y468,"OVERDUE",IF($Y468&lt;=WORKDAY(TODAY(),1,Holidays),"DUE TOMORROW",IF($W468=4,"ESCALATED TO LOCAL OFFICE",IF($W468=5,"ESCALATED TO CBE",IF($X468=TODAY(),"EMAIL SENT","MONITORING"))))))))))</f>
        <v/>
      </c>
      <c r="U468" s="17">
        <f>IF($T468="",IF(AND(COUNTA($A468:$K468)&gt;0,$L468=""),"Awaiting Collection Email time stamp.",""),IF(OR($T468="PAID",$T468="CLOSED"),IF($T468="PAID","Account paid. Action completed.","Account closed. No further action required."),CHOOSE($W468,"Collection Email","1st Email Follow-up","2nd Email Follow-up","Escalation to Local Office","Escalation to CBE","Escalation to Roxanne")&amp;" sent "&amp;TEXT($X468,"dd-mmm")&amp;". "&amp;IF($W468=6,"Final escalation completed.",IF($T468="OVERDUE","Next: "&amp;$Z468&amp;" was due "&amp;TEXT($Y468,"dd-mmm")&amp;" - "&amp;(NETWORKDAYS($Y468,TODAY(),Holidays)-1)&amp;" business day(s) late. Send now.",IF($T468="DUE TOMORROW","Next: "&amp;$Z468&amp;IF($Y468&lt;=TODAY()," is due TODAY ("," is due next business day (")&amp;TEXT($Y468,"dd-mmm")&amp;").","Next: "&amp;$Z468&amp;" due "&amp;TEXT($Y468,"dd-mmm")&amp;" ("&amp;(NETWORKDAYS(TODAY(),$Y468,Holidays)-1)&amp;" business day(s) left).")))))</f>
        <v/>
      </c>
      <c r="V468" s="17">
        <f>IF($W468="","",CHOOSE($W468,"Collection Email","1st Follow-up","2nd Follow-up","Local Office","CBE","Roxanne")&amp;IF($W468=6," - Final"," - Day "&amp;MAX(0,NETWORKDAYS($X468,TODAY(),Holidays)-1)&amp;" of "&amp;CHOOSE($W468,3,3,2,2,3))&amp;" | Total Day "&amp;MAX(0,NETWORKDAYS($L468,TODAY(),Holidays)-1))</f>
        <v/>
      </c>
      <c r="W468" s="17">
        <f>IF($L468="","",COUNT($L468:$Q468))</f>
        <v/>
      </c>
      <c r="X468" s="18">
        <f>IF($W468="","",INT(INDEX($L468:$Q468,$W468)))</f>
        <v/>
      </c>
      <c r="Y468" s="18">
        <f>IF(OR($W468="",$W468=6),"",WORKDAY($X468,CHOOSE($W468,3,3,2,2,3),Holidays))</f>
        <v/>
      </c>
      <c r="Z468" s="17">
        <f>IF(OR($W468="",$W468=6),"",CHOOSE($W468,"1st Email Follow-up","2nd Email Follow-up","Escalate Local Office","Escalate to CBE","Escalate to Roxanne"))</f>
        <v/>
      </c>
    </row>
    <row r="469" spans="18:26">
      <c r="R469" s="15"/>
      <c r="S469" s="16"/>
      <c r="T469" s="17">
        <f>IF(AND(COUNTA($A469:$K469)=0,$L469=""),"",IF($S469="Paid","PAID",IF($S469="Closed","CLOSED",IF($W469="","",IF($W469=6,"ESCALATED TO ROXANNE",IF(TODAY()&gt;$Y469,"OVERDUE",IF($Y469&lt;=WORKDAY(TODAY(),1,Holidays),"DUE TOMORROW",IF($W469=4,"ESCALATED TO LOCAL OFFICE",IF($W469=5,"ESCALATED TO CBE",IF($X469=TODAY(),"EMAIL SENT","MONITORING"))))))))))</f>
        <v/>
      </c>
      <c r="U469" s="17">
        <f>IF($T469="",IF(AND(COUNTA($A469:$K469)&gt;0,$L469=""),"Awaiting Collection Email time stamp.",""),IF(OR($T469="PAID",$T469="CLOSED"),IF($T469="PAID","Account paid. Action completed.","Account closed. No further action required."),CHOOSE($W469,"Collection Email","1st Email Follow-up","2nd Email Follow-up","Escalation to Local Office","Escalation to CBE","Escalation to Roxanne")&amp;" sent "&amp;TEXT($X469,"dd-mmm")&amp;". "&amp;IF($W469=6,"Final escalation completed.",IF($T469="OVERDUE","Next: "&amp;$Z469&amp;" was due "&amp;TEXT($Y469,"dd-mmm")&amp;" - "&amp;(NETWORKDAYS($Y469,TODAY(),Holidays)-1)&amp;" business day(s) late. Send now.",IF($T469="DUE TOMORROW","Next: "&amp;$Z469&amp;IF($Y469&lt;=TODAY()," is due TODAY ("," is due next business day (")&amp;TEXT($Y469,"dd-mmm")&amp;").","Next: "&amp;$Z469&amp;" due "&amp;TEXT($Y469,"dd-mmm")&amp;" ("&amp;(NETWORKDAYS(TODAY(),$Y469,Holidays)-1)&amp;" business day(s) left).")))))</f>
        <v/>
      </c>
      <c r="V469" s="17">
        <f>IF($W469="","",CHOOSE($W469,"Collection Email","1st Follow-up","2nd Follow-up","Local Office","CBE","Roxanne")&amp;IF($W469=6," - Final"," - Day "&amp;MAX(0,NETWORKDAYS($X469,TODAY(),Holidays)-1)&amp;" of "&amp;CHOOSE($W469,3,3,2,2,3))&amp;" | Total Day "&amp;MAX(0,NETWORKDAYS($L469,TODAY(),Holidays)-1))</f>
        <v/>
      </c>
      <c r="W469" s="17">
        <f>IF($L469="","",COUNT($L469:$Q469))</f>
        <v/>
      </c>
      <c r="X469" s="18">
        <f>IF($W469="","",INT(INDEX($L469:$Q469,$W469)))</f>
        <v/>
      </c>
      <c r="Y469" s="18">
        <f>IF(OR($W469="",$W469=6),"",WORKDAY($X469,CHOOSE($W469,3,3,2,2,3),Holidays))</f>
        <v/>
      </c>
      <c r="Z469" s="17">
        <f>IF(OR($W469="",$W469=6),"",CHOOSE($W469,"1st Email Follow-up","2nd Email Follow-up","Escalate Local Office","Escalate to CBE","Escalate to Roxanne"))</f>
        <v/>
      </c>
    </row>
    <row r="470" spans="18:26">
      <c r="R470" s="15"/>
      <c r="S470" s="16"/>
      <c r="T470" s="17">
        <f>IF(AND(COUNTA($A470:$K470)=0,$L470=""),"",IF($S470="Paid","PAID",IF($S470="Closed","CLOSED",IF($W470="","",IF($W470=6,"ESCALATED TO ROXANNE",IF(TODAY()&gt;$Y470,"OVERDUE",IF($Y470&lt;=WORKDAY(TODAY(),1,Holidays),"DUE TOMORROW",IF($W470=4,"ESCALATED TO LOCAL OFFICE",IF($W470=5,"ESCALATED TO CBE",IF($X470=TODAY(),"EMAIL SENT","MONITORING"))))))))))</f>
        <v/>
      </c>
      <c r="U470" s="17">
        <f>IF($T470="",IF(AND(COUNTA($A470:$K470)&gt;0,$L470=""),"Awaiting Collection Email time stamp.",""),IF(OR($T470="PAID",$T470="CLOSED"),IF($T470="PAID","Account paid. Action completed.","Account closed. No further action required."),CHOOSE($W470,"Collection Email","1st Email Follow-up","2nd Email Follow-up","Escalation to Local Office","Escalation to CBE","Escalation to Roxanne")&amp;" sent "&amp;TEXT($X470,"dd-mmm")&amp;". "&amp;IF($W470=6,"Final escalation completed.",IF($T470="OVERDUE","Next: "&amp;$Z470&amp;" was due "&amp;TEXT($Y470,"dd-mmm")&amp;" - "&amp;(NETWORKDAYS($Y470,TODAY(),Holidays)-1)&amp;" business day(s) late. Send now.",IF($T470="DUE TOMORROW","Next: "&amp;$Z470&amp;IF($Y470&lt;=TODAY()," is due TODAY ("," is due next business day (")&amp;TEXT($Y470,"dd-mmm")&amp;").","Next: "&amp;$Z470&amp;" due "&amp;TEXT($Y470,"dd-mmm")&amp;" ("&amp;(NETWORKDAYS(TODAY(),$Y470,Holidays)-1)&amp;" business day(s) left).")))))</f>
        <v/>
      </c>
      <c r="V470" s="17">
        <f>IF($W470="","",CHOOSE($W470,"Collection Email","1st Follow-up","2nd Follow-up","Local Office","CBE","Roxanne")&amp;IF($W470=6," - Final"," - Day "&amp;MAX(0,NETWORKDAYS($X470,TODAY(),Holidays)-1)&amp;" of "&amp;CHOOSE($W470,3,3,2,2,3))&amp;" | Total Day "&amp;MAX(0,NETWORKDAYS($L470,TODAY(),Holidays)-1))</f>
        <v/>
      </c>
      <c r="W470" s="17">
        <f>IF($L470="","",COUNT($L470:$Q470))</f>
        <v/>
      </c>
      <c r="X470" s="18">
        <f>IF($W470="","",INT(INDEX($L470:$Q470,$W470)))</f>
        <v/>
      </c>
      <c r="Y470" s="18">
        <f>IF(OR($W470="",$W470=6),"",WORKDAY($X470,CHOOSE($W470,3,3,2,2,3),Holidays))</f>
        <v/>
      </c>
      <c r="Z470" s="17">
        <f>IF(OR($W470="",$W470=6),"",CHOOSE($W470,"1st Email Follow-up","2nd Email Follow-up","Escalate Local Office","Escalate to CBE","Escalate to Roxanne"))</f>
        <v/>
      </c>
    </row>
    <row r="471" spans="18:26">
      <c r="R471" s="15"/>
      <c r="S471" s="16"/>
      <c r="T471" s="17">
        <f>IF(AND(COUNTA($A471:$K471)=0,$L471=""),"",IF($S471="Paid","PAID",IF($S471="Closed","CLOSED",IF($W471="","",IF($W471=6,"ESCALATED TO ROXANNE",IF(TODAY()&gt;$Y471,"OVERDUE",IF($Y471&lt;=WORKDAY(TODAY(),1,Holidays),"DUE TOMORROW",IF($W471=4,"ESCALATED TO LOCAL OFFICE",IF($W471=5,"ESCALATED TO CBE",IF($X471=TODAY(),"EMAIL SENT","MONITORING"))))))))))</f>
        <v/>
      </c>
      <c r="U471" s="17">
        <f>IF($T471="",IF(AND(COUNTA($A471:$K471)&gt;0,$L471=""),"Awaiting Collection Email time stamp.",""),IF(OR($T471="PAID",$T471="CLOSED"),IF($T471="PAID","Account paid. Action completed.","Account closed. No further action required."),CHOOSE($W471,"Collection Email","1st Email Follow-up","2nd Email Follow-up","Escalation to Local Office","Escalation to CBE","Escalation to Roxanne")&amp;" sent "&amp;TEXT($X471,"dd-mmm")&amp;". "&amp;IF($W471=6,"Final escalation completed.",IF($T471="OVERDUE","Next: "&amp;$Z471&amp;" was due "&amp;TEXT($Y471,"dd-mmm")&amp;" - "&amp;(NETWORKDAYS($Y471,TODAY(),Holidays)-1)&amp;" business day(s) late. Send now.",IF($T471="DUE TOMORROW","Next: "&amp;$Z471&amp;IF($Y471&lt;=TODAY()," is due TODAY ("," is due next business day (")&amp;TEXT($Y471,"dd-mmm")&amp;").","Next: "&amp;$Z471&amp;" due "&amp;TEXT($Y471,"dd-mmm")&amp;" ("&amp;(NETWORKDAYS(TODAY(),$Y471,Holidays)-1)&amp;" business day(s) left).")))))</f>
        <v/>
      </c>
      <c r="V471" s="17">
        <f>IF($W471="","",CHOOSE($W471,"Collection Email","1st Follow-up","2nd Follow-up","Local Office","CBE","Roxanne")&amp;IF($W471=6," - Final"," - Day "&amp;MAX(0,NETWORKDAYS($X471,TODAY(),Holidays)-1)&amp;" of "&amp;CHOOSE($W471,3,3,2,2,3))&amp;" | Total Day "&amp;MAX(0,NETWORKDAYS($L471,TODAY(),Holidays)-1))</f>
        <v/>
      </c>
      <c r="W471" s="17">
        <f>IF($L471="","",COUNT($L471:$Q471))</f>
        <v/>
      </c>
      <c r="X471" s="18">
        <f>IF($W471="","",INT(INDEX($L471:$Q471,$W471)))</f>
        <v/>
      </c>
      <c r="Y471" s="18">
        <f>IF(OR($W471="",$W471=6),"",WORKDAY($X471,CHOOSE($W471,3,3,2,2,3),Holidays))</f>
        <v/>
      </c>
      <c r="Z471" s="17">
        <f>IF(OR($W471="",$W471=6),"",CHOOSE($W471,"1st Email Follow-up","2nd Email Follow-up","Escalate Local Office","Escalate to CBE","Escalate to Roxanne"))</f>
        <v/>
      </c>
    </row>
    <row r="472" spans="18:26">
      <c r="R472" s="15"/>
      <c r="S472" s="16"/>
      <c r="T472" s="17">
        <f>IF(AND(COUNTA($A472:$K472)=0,$L472=""),"",IF($S472="Paid","PAID",IF($S472="Closed","CLOSED",IF($W472="","",IF($W472=6,"ESCALATED TO ROXANNE",IF(TODAY()&gt;$Y472,"OVERDUE",IF($Y472&lt;=WORKDAY(TODAY(),1,Holidays),"DUE TOMORROW",IF($W472=4,"ESCALATED TO LOCAL OFFICE",IF($W472=5,"ESCALATED TO CBE",IF($X472=TODAY(),"EMAIL SENT","MONITORING"))))))))))</f>
        <v/>
      </c>
      <c r="U472" s="17">
        <f>IF($T472="",IF(AND(COUNTA($A472:$K472)&gt;0,$L472=""),"Awaiting Collection Email time stamp.",""),IF(OR($T472="PAID",$T472="CLOSED"),IF($T472="PAID","Account paid. Action completed.","Account closed. No further action required."),CHOOSE($W472,"Collection Email","1st Email Follow-up","2nd Email Follow-up","Escalation to Local Office","Escalation to CBE","Escalation to Roxanne")&amp;" sent "&amp;TEXT($X472,"dd-mmm")&amp;". "&amp;IF($W472=6,"Final escalation completed.",IF($T472="OVERDUE","Next: "&amp;$Z472&amp;" was due "&amp;TEXT($Y472,"dd-mmm")&amp;" - "&amp;(NETWORKDAYS($Y472,TODAY(),Holidays)-1)&amp;" business day(s) late. Send now.",IF($T472="DUE TOMORROW","Next: "&amp;$Z472&amp;IF($Y472&lt;=TODAY()," is due TODAY ("," is due next business day (")&amp;TEXT($Y472,"dd-mmm")&amp;").","Next: "&amp;$Z472&amp;" due "&amp;TEXT($Y472,"dd-mmm")&amp;" ("&amp;(NETWORKDAYS(TODAY(),$Y472,Holidays)-1)&amp;" business day(s) left).")))))</f>
        <v/>
      </c>
      <c r="V472" s="17">
        <f>IF($W472="","",CHOOSE($W472,"Collection Email","1st Follow-up","2nd Follow-up","Local Office","CBE","Roxanne")&amp;IF($W472=6," - Final"," - Day "&amp;MAX(0,NETWORKDAYS($X472,TODAY(),Holidays)-1)&amp;" of "&amp;CHOOSE($W472,3,3,2,2,3))&amp;" | Total Day "&amp;MAX(0,NETWORKDAYS($L472,TODAY(),Holidays)-1))</f>
        <v/>
      </c>
      <c r="W472" s="17">
        <f>IF($L472="","",COUNT($L472:$Q472))</f>
        <v/>
      </c>
      <c r="X472" s="18">
        <f>IF($W472="","",INT(INDEX($L472:$Q472,$W472)))</f>
        <v/>
      </c>
      <c r="Y472" s="18">
        <f>IF(OR($W472="",$W472=6),"",WORKDAY($X472,CHOOSE($W472,3,3,2,2,3),Holidays))</f>
        <v/>
      </c>
      <c r="Z472" s="17">
        <f>IF(OR($W472="",$W472=6),"",CHOOSE($W472,"1st Email Follow-up","2nd Email Follow-up","Escalate Local Office","Escalate to CBE","Escalate to Roxanne"))</f>
        <v/>
      </c>
    </row>
    <row r="473" spans="18:26">
      <c r="R473" s="15"/>
      <c r="S473" s="16"/>
      <c r="T473" s="17">
        <f>IF(AND(COUNTA($A473:$K473)=0,$L473=""),"",IF($S473="Paid","PAID",IF($S473="Closed","CLOSED",IF($W473="","",IF($W473=6,"ESCALATED TO ROXANNE",IF(TODAY()&gt;$Y473,"OVERDUE",IF($Y473&lt;=WORKDAY(TODAY(),1,Holidays),"DUE TOMORROW",IF($W473=4,"ESCALATED TO LOCAL OFFICE",IF($W473=5,"ESCALATED TO CBE",IF($X473=TODAY(),"EMAIL SENT","MONITORING"))))))))))</f>
        <v/>
      </c>
      <c r="U473" s="17">
        <f>IF($T473="",IF(AND(COUNTA($A473:$K473)&gt;0,$L473=""),"Awaiting Collection Email time stamp.",""),IF(OR($T473="PAID",$T473="CLOSED"),IF($T473="PAID","Account paid. Action completed.","Account closed. No further action required."),CHOOSE($W473,"Collection Email","1st Email Follow-up","2nd Email Follow-up","Escalation to Local Office","Escalation to CBE","Escalation to Roxanne")&amp;" sent "&amp;TEXT($X473,"dd-mmm")&amp;". "&amp;IF($W473=6,"Final escalation completed.",IF($T473="OVERDUE","Next: "&amp;$Z473&amp;" was due "&amp;TEXT($Y473,"dd-mmm")&amp;" - "&amp;(NETWORKDAYS($Y473,TODAY(),Holidays)-1)&amp;" business day(s) late. Send now.",IF($T473="DUE TOMORROW","Next: "&amp;$Z473&amp;IF($Y473&lt;=TODAY()," is due TODAY ("," is due next business day (")&amp;TEXT($Y473,"dd-mmm")&amp;").","Next: "&amp;$Z473&amp;" due "&amp;TEXT($Y473,"dd-mmm")&amp;" ("&amp;(NETWORKDAYS(TODAY(),$Y473,Holidays)-1)&amp;" business day(s) left).")))))</f>
        <v/>
      </c>
      <c r="V473" s="17">
        <f>IF($W473="","",CHOOSE($W473,"Collection Email","1st Follow-up","2nd Follow-up","Local Office","CBE","Roxanne")&amp;IF($W473=6," - Final"," - Day "&amp;MAX(0,NETWORKDAYS($X473,TODAY(),Holidays)-1)&amp;" of "&amp;CHOOSE($W473,3,3,2,2,3))&amp;" | Total Day "&amp;MAX(0,NETWORKDAYS($L473,TODAY(),Holidays)-1))</f>
        <v/>
      </c>
      <c r="W473" s="17">
        <f>IF($L473="","",COUNT($L473:$Q473))</f>
        <v/>
      </c>
      <c r="X473" s="18">
        <f>IF($W473="","",INT(INDEX($L473:$Q473,$W473)))</f>
        <v/>
      </c>
      <c r="Y473" s="18">
        <f>IF(OR($W473="",$W473=6),"",WORKDAY($X473,CHOOSE($W473,3,3,2,2,3),Holidays))</f>
        <v/>
      </c>
      <c r="Z473" s="17">
        <f>IF(OR($W473="",$W473=6),"",CHOOSE($W473,"1st Email Follow-up","2nd Email Follow-up","Escalate Local Office","Escalate to CBE","Escalate to Roxanne"))</f>
        <v/>
      </c>
    </row>
    <row r="474" spans="18:26">
      <c r="R474" s="15"/>
      <c r="S474" s="16"/>
      <c r="T474" s="17">
        <f>IF(AND(COUNTA($A474:$K474)=0,$L474=""),"",IF($S474="Paid","PAID",IF($S474="Closed","CLOSED",IF($W474="","",IF($W474=6,"ESCALATED TO ROXANNE",IF(TODAY()&gt;$Y474,"OVERDUE",IF($Y474&lt;=WORKDAY(TODAY(),1,Holidays),"DUE TOMORROW",IF($W474=4,"ESCALATED TO LOCAL OFFICE",IF($W474=5,"ESCALATED TO CBE",IF($X474=TODAY(),"EMAIL SENT","MONITORING"))))))))))</f>
        <v/>
      </c>
      <c r="U474" s="17">
        <f>IF($T474="",IF(AND(COUNTA($A474:$K474)&gt;0,$L474=""),"Awaiting Collection Email time stamp.",""),IF(OR($T474="PAID",$T474="CLOSED"),IF($T474="PAID","Account paid. Action completed.","Account closed. No further action required."),CHOOSE($W474,"Collection Email","1st Email Follow-up","2nd Email Follow-up","Escalation to Local Office","Escalation to CBE","Escalation to Roxanne")&amp;" sent "&amp;TEXT($X474,"dd-mmm")&amp;". "&amp;IF($W474=6,"Final escalation completed.",IF($T474="OVERDUE","Next: "&amp;$Z474&amp;" was due "&amp;TEXT($Y474,"dd-mmm")&amp;" - "&amp;(NETWORKDAYS($Y474,TODAY(),Holidays)-1)&amp;" business day(s) late. Send now.",IF($T474="DUE TOMORROW","Next: "&amp;$Z474&amp;IF($Y474&lt;=TODAY()," is due TODAY ("," is due next business day (")&amp;TEXT($Y474,"dd-mmm")&amp;").","Next: "&amp;$Z474&amp;" due "&amp;TEXT($Y474,"dd-mmm")&amp;" ("&amp;(NETWORKDAYS(TODAY(),$Y474,Holidays)-1)&amp;" business day(s) left).")))))</f>
        <v/>
      </c>
      <c r="V474" s="17">
        <f>IF($W474="","",CHOOSE($W474,"Collection Email","1st Follow-up","2nd Follow-up","Local Office","CBE","Roxanne")&amp;IF($W474=6," - Final"," - Day "&amp;MAX(0,NETWORKDAYS($X474,TODAY(),Holidays)-1)&amp;" of "&amp;CHOOSE($W474,3,3,2,2,3))&amp;" | Total Day "&amp;MAX(0,NETWORKDAYS($L474,TODAY(),Holidays)-1))</f>
        <v/>
      </c>
      <c r="W474" s="17">
        <f>IF($L474="","",COUNT($L474:$Q474))</f>
        <v/>
      </c>
      <c r="X474" s="18">
        <f>IF($W474="","",INT(INDEX($L474:$Q474,$W474)))</f>
        <v/>
      </c>
      <c r="Y474" s="18">
        <f>IF(OR($W474="",$W474=6),"",WORKDAY($X474,CHOOSE($W474,3,3,2,2,3),Holidays))</f>
        <v/>
      </c>
      <c r="Z474" s="17">
        <f>IF(OR($W474="",$W474=6),"",CHOOSE($W474,"1st Email Follow-up","2nd Email Follow-up","Escalate Local Office","Escalate to CBE","Escalate to Roxanne"))</f>
        <v/>
      </c>
    </row>
    <row r="475" spans="18:26">
      <c r="R475" s="15"/>
      <c r="S475" s="16"/>
      <c r="T475" s="17">
        <f>IF(AND(COUNTA($A475:$K475)=0,$L475=""),"",IF($S475="Paid","PAID",IF($S475="Closed","CLOSED",IF($W475="","",IF($W475=6,"ESCALATED TO ROXANNE",IF(TODAY()&gt;$Y475,"OVERDUE",IF($Y475&lt;=WORKDAY(TODAY(),1,Holidays),"DUE TOMORROW",IF($W475=4,"ESCALATED TO LOCAL OFFICE",IF($W475=5,"ESCALATED TO CBE",IF($X475=TODAY(),"EMAIL SENT","MONITORING"))))))))))</f>
        <v/>
      </c>
      <c r="U475" s="17">
        <f>IF($T475="",IF(AND(COUNTA($A475:$K475)&gt;0,$L475=""),"Awaiting Collection Email time stamp.",""),IF(OR($T475="PAID",$T475="CLOSED"),IF($T475="PAID","Account paid. Action completed.","Account closed. No further action required."),CHOOSE($W475,"Collection Email","1st Email Follow-up","2nd Email Follow-up","Escalation to Local Office","Escalation to CBE","Escalation to Roxanne")&amp;" sent "&amp;TEXT($X475,"dd-mmm")&amp;". "&amp;IF($W475=6,"Final escalation completed.",IF($T475="OVERDUE","Next: "&amp;$Z475&amp;" was due "&amp;TEXT($Y475,"dd-mmm")&amp;" - "&amp;(NETWORKDAYS($Y475,TODAY(),Holidays)-1)&amp;" business day(s) late. Send now.",IF($T475="DUE TOMORROW","Next: "&amp;$Z475&amp;IF($Y475&lt;=TODAY()," is due TODAY ("," is due next business day (")&amp;TEXT($Y475,"dd-mmm")&amp;").","Next: "&amp;$Z475&amp;" due "&amp;TEXT($Y475,"dd-mmm")&amp;" ("&amp;(NETWORKDAYS(TODAY(),$Y475,Holidays)-1)&amp;" business day(s) left).")))))</f>
        <v/>
      </c>
      <c r="V475" s="17">
        <f>IF($W475="","",CHOOSE($W475,"Collection Email","1st Follow-up","2nd Follow-up","Local Office","CBE","Roxanne")&amp;IF($W475=6," - Final"," - Day "&amp;MAX(0,NETWORKDAYS($X475,TODAY(),Holidays)-1)&amp;" of "&amp;CHOOSE($W475,3,3,2,2,3))&amp;" | Total Day "&amp;MAX(0,NETWORKDAYS($L475,TODAY(),Holidays)-1))</f>
        <v/>
      </c>
      <c r="W475" s="17">
        <f>IF($L475="","",COUNT($L475:$Q475))</f>
        <v/>
      </c>
      <c r="X475" s="18">
        <f>IF($W475="","",INT(INDEX($L475:$Q475,$W475)))</f>
        <v/>
      </c>
      <c r="Y475" s="18">
        <f>IF(OR($W475="",$W475=6),"",WORKDAY($X475,CHOOSE($W475,3,3,2,2,3),Holidays))</f>
        <v/>
      </c>
      <c r="Z475" s="17">
        <f>IF(OR($W475="",$W475=6),"",CHOOSE($W475,"1st Email Follow-up","2nd Email Follow-up","Escalate Local Office","Escalate to CBE","Escalate to Roxanne"))</f>
        <v/>
      </c>
    </row>
    <row r="476" spans="18:26">
      <c r="R476" s="15"/>
      <c r="S476" s="16"/>
      <c r="T476" s="17">
        <f>IF(AND(COUNTA($A476:$K476)=0,$L476=""),"",IF($S476="Paid","PAID",IF($S476="Closed","CLOSED",IF($W476="","",IF($W476=6,"ESCALATED TO ROXANNE",IF(TODAY()&gt;$Y476,"OVERDUE",IF($Y476&lt;=WORKDAY(TODAY(),1,Holidays),"DUE TOMORROW",IF($W476=4,"ESCALATED TO LOCAL OFFICE",IF($W476=5,"ESCALATED TO CBE",IF($X476=TODAY(),"EMAIL SENT","MONITORING"))))))))))</f>
        <v/>
      </c>
      <c r="U476" s="17">
        <f>IF($T476="",IF(AND(COUNTA($A476:$K476)&gt;0,$L476=""),"Awaiting Collection Email time stamp.",""),IF(OR($T476="PAID",$T476="CLOSED"),IF($T476="PAID","Account paid. Action completed.","Account closed. No further action required."),CHOOSE($W476,"Collection Email","1st Email Follow-up","2nd Email Follow-up","Escalation to Local Office","Escalation to CBE","Escalation to Roxanne")&amp;" sent "&amp;TEXT($X476,"dd-mmm")&amp;". "&amp;IF($W476=6,"Final escalation completed.",IF($T476="OVERDUE","Next: "&amp;$Z476&amp;" was due "&amp;TEXT($Y476,"dd-mmm")&amp;" - "&amp;(NETWORKDAYS($Y476,TODAY(),Holidays)-1)&amp;" business day(s) late. Send now.",IF($T476="DUE TOMORROW","Next: "&amp;$Z476&amp;IF($Y476&lt;=TODAY()," is due TODAY ("," is due next business day (")&amp;TEXT($Y476,"dd-mmm")&amp;").","Next: "&amp;$Z476&amp;" due "&amp;TEXT($Y476,"dd-mmm")&amp;" ("&amp;(NETWORKDAYS(TODAY(),$Y476,Holidays)-1)&amp;" business day(s) left).")))))</f>
        <v/>
      </c>
      <c r="V476" s="17">
        <f>IF($W476="","",CHOOSE($W476,"Collection Email","1st Follow-up","2nd Follow-up","Local Office","CBE","Roxanne")&amp;IF($W476=6," - Final"," - Day "&amp;MAX(0,NETWORKDAYS($X476,TODAY(),Holidays)-1)&amp;" of "&amp;CHOOSE($W476,3,3,2,2,3))&amp;" | Total Day "&amp;MAX(0,NETWORKDAYS($L476,TODAY(),Holidays)-1))</f>
        <v/>
      </c>
      <c r="W476" s="17">
        <f>IF($L476="","",COUNT($L476:$Q476))</f>
        <v/>
      </c>
      <c r="X476" s="18">
        <f>IF($W476="","",INT(INDEX($L476:$Q476,$W476)))</f>
        <v/>
      </c>
      <c r="Y476" s="18">
        <f>IF(OR($W476="",$W476=6),"",WORKDAY($X476,CHOOSE($W476,3,3,2,2,3),Holidays))</f>
        <v/>
      </c>
      <c r="Z476" s="17">
        <f>IF(OR($W476="",$W476=6),"",CHOOSE($W476,"1st Email Follow-up","2nd Email Follow-up","Escalate Local Office","Escalate to CBE","Escalate to Roxanne"))</f>
        <v/>
      </c>
    </row>
    <row r="477" spans="18:26">
      <c r="R477" s="15"/>
      <c r="S477" s="16"/>
      <c r="T477" s="17">
        <f>IF(AND(COUNTA($A477:$K477)=0,$L477=""),"",IF($S477="Paid","PAID",IF($S477="Closed","CLOSED",IF($W477="","",IF($W477=6,"ESCALATED TO ROXANNE",IF(TODAY()&gt;$Y477,"OVERDUE",IF($Y477&lt;=WORKDAY(TODAY(),1,Holidays),"DUE TOMORROW",IF($W477=4,"ESCALATED TO LOCAL OFFICE",IF($W477=5,"ESCALATED TO CBE",IF($X477=TODAY(),"EMAIL SENT","MONITORING"))))))))))</f>
        <v/>
      </c>
      <c r="U477" s="17">
        <f>IF($T477="",IF(AND(COUNTA($A477:$K477)&gt;0,$L477=""),"Awaiting Collection Email time stamp.",""),IF(OR($T477="PAID",$T477="CLOSED"),IF($T477="PAID","Account paid. Action completed.","Account closed. No further action required."),CHOOSE($W477,"Collection Email","1st Email Follow-up","2nd Email Follow-up","Escalation to Local Office","Escalation to CBE","Escalation to Roxanne")&amp;" sent "&amp;TEXT($X477,"dd-mmm")&amp;". "&amp;IF($W477=6,"Final escalation completed.",IF($T477="OVERDUE","Next: "&amp;$Z477&amp;" was due "&amp;TEXT($Y477,"dd-mmm")&amp;" - "&amp;(NETWORKDAYS($Y477,TODAY(),Holidays)-1)&amp;" business day(s) late. Send now.",IF($T477="DUE TOMORROW","Next: "&amp;$Z477&amp;IF($Y477&lt;=TODAY()," is due TODAY ("," is due next business day (")&amp;TEXT($Y477,"dd-mmm")&amp;").","Next: "&amp;$Z477&amp;" due "&amp;TEXT($Y477,"dd-mmm")&amp;" ("&amp;(NETWORKDAYS(TODAY(),$Y477,Holidays)-1)&amp;" business day(s) left).")))))</f>
        <v/>
      </c>
      <c r="V477" s="17">
        <f>IF($W477="","",CHOOSE($W477,"Collection Email","1st Follow-up","2nd Follow-up","Local Office","CBE","Roxanne")&amp;IF($W477=6," - Final"," - Day "&amp;MAX(0,NETWORKDAYS($X477,TODAY(),Holidays)-1)&amp;" of "&amp;CHOOSE($W477,3,3,2,2,3))&amp;" | Total Day "&amp;MAX(0,NETWORKDAYS($L477,TODAY(),Holidays)-1))</f>
        <v/>
      </c>
      <c r="W477" s="17">
        <f>IF($L477="","",COUNT($L477:$Q477))</f>
        <v/>
      </c>
      <c r="X477" s="18">
        <f>IF($W477="","",INT(INDEX($L477:$Q477,$W477)))</f>
        <v/>
      </c>
      <c r="Y477" s="18">
        <f>IF(OR($W477="",$W477=6),"",WORKDAY($X477,CHOOSE($W477,3,3,2,2,3),Holidays))</f>
        <v/>
      </c>
      <c r="Z477" s="17">
        <f>IF(OR($W477="",$W477=6),"",CHOOSE($W477,"1st Email Follow-up","2nd Email Follow-up","Escalate Local Office","Escalate to CBE","Escalate to Roxanne"))</f>
        <v/>
      </c>
    </row>
    <row r="478" spans="18:26">
      <c r="R478" s="15"/>
      <c r="S478" s="16"/>
      <c r="T478" s="17">
        <f>IF(AND(COUNTA($A478:$K478)=0,$L478=""),"",IF($S478="Paid","PAID",IF($S478="Closed","CLOSED",IF($W478="","",IF($W478=6,"ESCALATED TO ROXANNE",IF(TODAY()&gt;$Y478,"OVERDUE",IF($Y478&lt;=WORKDAY(TODAY(),1,Holidays),"DUE TOMORROW",IF($W478=4,"ESCALATED TO LOCAL OFFICE",IF($W478=5,"ESCALATED TO CBE",IF($X478=TODAY(),"EMAIL SENT","MONITORING"))))))))))</f>
        <v/>
      </c>
      <c r="U478" s="17">
        <f>IF($T478="",IF(AND(COUNTA($A478:$K478)&gt;0,$L478=""),"Awaiting Collection Email time stamp.",""),IF(OR($T478="PAID",$T478="CLOSED"),IF($T478="PAID","Account paid. Action completed.","Account closed. No further action required."),CHOOSE($W478,"Collection Email","1st Email Follow-up","2nd Email Follow-up","Escalation to Local Office","Escalation to CBE","Escalation to Roxanne")&amp;" sent "&amp;TEXT($X478,"dd-mmm")&amp;". "&amp;IF($W478=6,"Final escalation completed.",IF($T478="OVERDUE","Next: "&amp;$Z478&amp;" was due "&amp;TEXT($Y478,"dd-mmm")&amp;" - "&amp;(NETWORKDAYS($Y478,TODAY(),Holidays)-1)&amp;" business day(s) late. Send now.",IF($T478="DUE TOMORROW","Next: "&amp;$Z478&amp;IF($Y478&lt;=TODAY()," is due TODAY ("," is due next business day (")&amp;TEXT($Y478,"dd-mmm")&amp;").","Next: "&amp;$Z478&amp;" due "&amp;TEXT($Y478,"dd-mmm")&amp;" ("&amp;(NETWORKDAYS(TODAY(),$Y478,Holidays)-1)&amp;" business day(s) left).")))))</f>
        <v/>
      </c>
      <c r="V478" s="17">
        <f>IF($W478="","",CHOOSE($W478,"Collection Email","1st Follow-up","2nd Follow-up","Local Office","CBE","Roxanne")&amp;IF($W478=6," - Final"," - Day "&amp;MAX(0,NETWORKDAYS($X478,TODAY(),Holidays)-1)&amp;" of "&amp;CHOOSE($W478,3,3,2,2,3))&amp;" | Total Day "&amp;MAX(0,NETWORKDAYS($L478,TODAY(),Holidays)-1))</f>
        <v/>
      </c>
      <c r="W478" s="17">
        <f>IF($L478="","",COUNT($L478:$Q478))</f>
        <v/>
      </c>
      <c r="X478" s="18">
        <f>IF($W478="","",INT(INDEX($L478:$Q478,$W478)))</f>
        <v/>
      </c>
      <c r="Y478" s="18">
        <f>IF(OR($W478="",$W478=6),"",WORKDAY($X478,CHOOSE($W478,3,3,2,2,3),Holidays))</f>
        <v/>
      </c>
      <c r="Z478" s="17">
        <f>IF(OR($W478="",$W478=6),"",CHOOSE($W478,"1st Email Follow-up","2nd Email Follow-up","Escalate Local Office","Escalate to CBE","Escalate to Roxanne"))</f>
        <v/>
      </c>
    </row>
    <row r="479" spans="18:26">
      <c r="R479" s="15"/>
      <c r="S479" s="16"/>
      <c r="T479" s="17">
        <f>IF(AND(COUNTA($A479:$K479)=0,$L479=""),"",IF($S479="Paid","PAID",IF($S479="Closed","CLOSED",IF($W479="","",IF($W479=6,"ESCALATED TO ROXANNE",IF(TODAY()&gt;$Y479,"OVERDUE",IF($Y479&lt;=WORKDAY(TODAY(),1,Holidays),"DUE TOMORROW",IF($W479=4,"ESCALATED TO LOCAL OFFICE",IF($W479=5,"ESCALATED TO CBE",IF($X479=TODAY(),"EMAIL SENT","MONITORING"))))))))))</f>
        <v/>
      </c>
      <c r="U479" s="17">
        <f>IF($T479="",IF(AND(COUNTA($A479:$K479)&gt;0,$L479=""),"Awaiting Collection Email time stamp.",""),IF(OR($T479="PAID",$T479="CLOSED"),IF($T479="PAID","Account paid. Action completed.","Account closed. No further action required."),CHOOSE($W479,"Collection Email","1st Email Follow-up","2nd Email Follow-up","Escalation to Local Office","Escalation to CBE","Escalation to Roxanne")&amp;" sent "&amp;TEXT($X479,"dd-mmm")&amp;". "&amp;IF($W479=6,"Final escalation completed.",IF($T479="OVERDUE","Next: "&amp;$Z479&amp;" was due "&amp;TEXT($Y479,"dd-mmm")&amp;" - "&amp;(NETWORKDAYS($Y479,TODAY(),Holidays)-1)&amp;" business day(s) late. Send now.",IF($T479="DUE TOMORROW","Next: "&amp;$Z479&amp;IF($Y479&lt;=TODAY()," is due TODAY ("," is due next business day (")&amp;TEXT($Y479,"dd-mmm")&amp;").","Next: "&amp;$Z479&amp;" due "&amp;TEXT($Y479,"dd-mmm")&amp;" ("&amp;(NETWORKDAYS(TODAY(),$Y479,Holidays)-1)&amp;" business day(s) left).")))))</f>
        <v/>
      </c>
      <c r="V479" s="17">
        <f>IF($W479="","",CHOOSE($W479,"Collection Email","1st Follow-up","2nd Follow-up","Local Office","CBE","Roxanne")&amp;IF($W479=6," - Final"," - Day "&amp;MAX(0,NETWORKDAYS($X479,TODAY(),Holidays)-1)&amp;" of "&amp;CHOOSE($W479,3,3,2,2,3))&amp;" | Total Day "&amp;MAX(0,NETWORKDAYS($L479,TODAY(),Holidays)-1))</f>
        <v/>
      </c>
      <c r="W479" s="17">
        <f>IF($L479="","",COUNT($L479:$Q479))</f>
        <v/>
      </c>
      <c r="X479" s="18">
        <f>IF($W479="","",INT(INDEX($L479:$Q479,$W479)))</f>
        <v/>
      </c>
      <c r="Y479" s="18">
        <f>IF(OR($W479="",$W479=6),"",WORKDAY($X479,CHOOSE($W479,3,3,2,2,3),Holidays))</f>
        <v/>
      </c>
      <c r="Z479" s="17">
        <f>IF(OR($W479="",$W479=6),"",CHOOSE($W479,"1st Email Follow-up","2nd Email Follow-up","Escalate Local Office","Escalate to CBE","Escalate to Roxanne"))</f>
        <v/>
      </c>
    </row>
    <row r="480" spans="18:26">
      <c r="R480" s="15"/>
      <c r="S480" s="16"/>
      <c r="T480" s="17">
        <f>IF(AND(COUNTA($A480:$K480)=0,$L480=""),"",IF($S480="Paid","PAID",IF($S480="Closed","CLOSED",IF($W480="","",IF($W480=6,"ESCALATED TO ROXANNE",IF(TODAY()&gt;$Y480,"OVERDUE",IF($Y480&lt;=WORKDAY(TODAY(),1,Holidays),"DUE TOMORROW",IF($W480=4,"ESCALATED TO LOCAL OFFICE",IF($W480=5,"ESCALATED TO CBE",IF($X480=TODAY(),"EMAIL SENT","MONITORING"))))))))))</f>
        <v/>
      </c>
      <c r="U480" s="17">
        <f>IF($T480="",IF(AND(COUNTA($A480:$K480)&gt;0,$L480=""),"Awaiting Collection Email time stamp.",""),IF(OR($T480="PAID",$T480="CLOSED"),IF($T480="PAID","Account paid. Action completed.","Account closed. No further action required."),CHOOSE($W480,"Collection Email","1st Email Follow-up","2nd Email Follow-up","Escalation to Local Office","Escalation to CBE","Escalation to Roxanne")&amp;" sent "&amp;TEXT($X480,"dd-mmm")&amp;". "&amp;IF($W480=6,"Final escalation completed.",IF($T480="OVERDUE","Next: "&amp;$Z480&amp;" was due "&amp;TEXT($Y480,"dd-mmm")&amp;" - "&amp;(NETWORKDAYS($Y480,TODAY(),Holidays)-1)&amp;" business day(s) late. Send now.",IF($T480="DUE TOMORROW","Next: "&amp;$Z480&amp;IF($Y480&lt;=TODAY()," is due TODAY ("," is due next business day (")&amp;TEXT($Y480,"dd-mmm")&amp;").","Next: "&amp;$Z480&amp;" due "&amp;TEXT($Y480,"dd-mmm")&amp;" ("&amp;(NETWORKDAYS(TODAY(),$Y480,Holidays)-1)&amp;" business day(s) left).")))))</f>
        <v/>
      </c>
      <c r="V480" s="17">
        <f>IF($W480="","",CHOOSE($W480,"Collection Email","1st Follow-up","2nd Follow-up","Local Office","CBE","Roxanne")&amp;IF($W480=6," - Final"," - Day "&amp;MAX(0,NETWORKDAYS($X480,TODAY(),Holidays)-1)&amp;" of "&amp;CHOOSE($W480,3,3,2,2,3))&amp;" | Total Day "&amp;MAX(0,NETWORKDAYS($L480,TODAY(),Holidays)-1))</f>
        <v/>
      </c>
      <c r="W480" s="17">
        <f>IF($L480="","",COUNT($L480:$Q480))</f>
        <v/>
      </c>
      <c r="X480" s="18">
        <f>IF($W480="","",INT(INDEX($L480:$Q480,$W480)))</f>
        <v/>
      </c>
      <c r="Y480" s="18">
        <f>IF(OR($W480="",$W480=6),"",WORKDAY($X480,CHOOSE($W480,3,3,2,2,3),Holidays))</f>
        <v/>
      </c>
      <c r="Z480" s="17">
        <f>IF(OR($W480="",$W480=6),"",CHOOSE($W480,"1st Email Follow-up","2nd Email Follow-up","Escalate Local Office","Escalate to CBE","Escalate to Roxanne"))</f>
        <v/>
      </c>
    </row>
    <row r="481" spans="18:26">
      <c r="R481" s="15"/>
      <c r="S481" s="16"/>
      <c r="T481" s="17">
        <f>IF(AND(COUNTA($A481:$K481)=0,$L481=""),"",IF($S481="Paid","PAID",IF($S481="Closed","CLOSED",IF($W481="","",IF($W481=6,"ESCALATED TO ROXANNE",IF(TODAY()&gt;$Y481,"OVERDUE",IF($Y481&lt;=WORKDAY(TODAY(),1,Holidays),"DUE TOMORROW",IF($W481=4,"ESCALATED TO LOCAL OFFICE",IF($W481=5,"ESCALATED TO CBE",IF($X481=TODAY(),"EMAIL SENT","MONITORING"))))))))))</f>
        <v/>
      </c>
      <c r="U481" s="17">
        <f>IF($T481="",IF(AND(COUNTA($A481:$K481)&gt;0,$L481=""),"Awaiting Collection Email time stamp.",""),IF(OR($T481="PAID",$T481="CLOSED"),IF($T481="PAID","Account paid. Action completed.","Account closed. No further action required."),CHOOSE($W481,"Collection Email","1st Email Follow-up","2nd Email Follow-up","Escalation to Local Office","Escalation to CBE","Escalation to Roxanne")&amp;" sent "&amp;TEXT($X481,"dd-mmm")&amp;". "&amp;IF($W481=6,"Final escalation completed.",IF($T481="OVERDUE","Next: "&amp;$Z481&amp;" was due "&amp;TEXT($Y481,"dd-mmm")&amp;" - "&amp;(NETWORKDAYS($Y481,TODAY(),Holidays)-1)&amp;" business day(s) late. Send now.",IF($T481="DUE TOMORROW","Next: "&amp;$Z481&amp;IF($Y481&lt;=TODAY()," is due TODAY ("," is due next business day (")&amp;TEXT($Y481,"dd-mmm")&amp;").","Next: "&amp;$Z481&amp;" due "&amp;TEXT($Y481,"dd-mmm")&amp;" ("&amp;(NETWORKDAYS(TODAY(),$Y481,Holidays)-1)&amp;" business day(s) left).")))))</f>
        <v/>
      </c>
      <c r="V481" s="17">
        <f>IF($W481="","",CHOOSE($W481,"Collection Email","1st Follow-up","2nd Follow-up","Local Office","CBE","Roxanne")&amp;IF($W481=6," - Final"," - Day "&amp;MAX(0,NETWORKDAYS($X481,TODAY(),Holidays)-1)&amp;" of "&amp;CHOOSE($W481,3,3,2,2,3))&amp;" | Total Day "&amp;MAX(0,NETWORKDAYS($L481,TODAY(),Holidays)-1))</f>
        <v/>
      </c>
      <c r="W481" s="17">
        <f>IF($L481="","",COUNT($L481:$Q481))</f>
        <v/>
      </c>
      <c r="X481" s="18">
        <f>IF($W481="","",INT(INDEX($L481:$Q481,$W481)))</f>
        <v/>
      </c>
      <c r="Y481" s="18">
        <f>IF(OR($W481="",$W481=6),"",WORKDAY($X481,CHOOSE($W481,3,3,2,2,3),Holidays))</f>
        <v/>
      </c>
      <c r="Z481" s="17">
        <f>IF(OR($W481="",$W481=6),"",CHOOSE($W481,"1st Email Follow-up","2nd Email Follow-up","Escalate Local Office","Escalate to CBE","Escalate to Roxanne"))</f>
        <v/>
      </c>
    </row>
    <row r="482" spans="18:26">
      <c r="R482" s="15"/>
      <c r="S482" s="16"/>
      <c r="T482" s="17">
        <f>IF(AND(COUNTA($A482:$K482)=0,$L482=""),"",IF($S482="Paid","PAID",IF($S482="Closed","CLOSED",IF($W482="","",IF($W482=6,"ESCALATED TO ROXANNE",IF(TODAY()&gt;$Y482,"OVERDUE",IF($Y482&lt;=WORKDAY(TODAY(),1,Holidays),"DUE TOMORROW",IF($W482=4,"ESCALATED TO LOCAL OFFICE",IF($W482=5,"ESCALATED TO CBE",IF($X482=TODAY(),"EMAIL SENT","MONITORING"))))))))))</f>
        <v/>
      </c>
      <c r="U482" s="17">
        <f>IF($T482="",IF(AND(COUNTA($A482:$K482)&gt;0,$L482=""),"Awaiting Collection Email time stamp.",""),IF(OR($T482="PAID",$T482="CLOSED"),IF($T482="PAID","Account paid. Action completed.","Account closed. No further action required."),CHOOSE($W482,"Collection Email","1st Email Follow-up","2nd Email Follow-up","Escalation to Local Office","Escalation to CBE","Escalation to Roxanne")&amp;" sent "&amp;TEXT($X482,"dd-mmm")&amp;". "&amp;IF($W482=6,"Final escalation completed.",IF($T482="OVERDUE","Next: "&amp;$Z482&amp;" was due "&amp;TEXT($Y482,"dd-mmm")&amp;" - "&amp;(NETWORKDAYS($Y482,TODAY(),Holidays)-1)&amp;" business day(s) late. Send now.",IF($T482="DUE TOMORROW","Next: "&amp;$Z482&amp;IF($Y482&lt;=TODAY()," is due TODAY ("," is due next business day (")&amp;TEXT($Y482,"dd-mmm")&amp;").","Next: "&amp;$Z482&amp;" due "&amp;TEXT($Y482,"dd-mmm")&amp;" ("&amp;(NETWORKDAYS(TODAY(),$Y482,Holidays)-1)&amp;" business day(s) left).")))))</f>
        <v/>
      </c>
      <c r="V482" s="17">
        <f>IF($W482="","",CHOOSE($W482,"Collection Email","1st Follow-up","2nd Follow-up","Local Office","CBE","Roxanne")&amp;IF($W482=6," - Final"," - Day "&amp;MAX(0,NETWORKDAYS($X482,TODAY(),Holidays)-1)&amp;" of "&amp;CHOOSE($W482,3,3,2,2,3))&amp;" | Total Day "&amp;MAX(0,NETWORKDAYS($L482,TODAY(),Holidays)-1))</f>
        <v/>
      </c>
      <c r="W482" s="17">
        <f>IF($L482="","",COUNT($L482:$Q482))</f>
        <v/>
      </c>
      <c r="X482" s="18">
        <f>IF($W482="","",INT(INDEX($L482:$Q482,$W482)))</f>
        <v/>
      </c>
      <c r="Y482" s="18">
        <f>IF(OR($W482="",$W482=6),"",WORKDAY($X482,CHOOSE($W482,3,3,2,2,3),Holidays))</f>
        <v/>
      </c>
      <c r="Z482" s="17">
        <f>IF(OR($W482="",$W482=6),"",CHOOSE($W482,"1st Email Follow-up","2nd Email Follow-up","Escalate Local Office","Escalate to CBE","Escalate to Roxanne"))</f>
        <v/>
      </c>
    </row>
    <row r="483" spans="18:26">
      <c r="R483" s="15"/>
      <c r="S483" s="16"/>
      <c r="T483" s="17">
        <f>IF(AND(COUNTA($A483:$K483)=0,$L483=""),"",IF($S483="Paid","PAID",IF($S483="Closed","CLOSED",IF($W483="","",IF($W483=6,"ESCALATED TO ROXANNE",IF(TODAY()&gt;$Y483,"OVERDUE",IF($Y483&lt;=WORKDAY(TODAY(),1,Holidays),"DUE TOMORROW",IF($W483=4,"ESCALATED TO LOCAL OFFICE",IF($W483=5,"ESCALATED TO CBE",IF($X483=TODAY(),"EMAIL SENT","MONITORING"))))))))))</f>
        <v/>
      </c>
      <c r="U483" s="17">
        <f>IF($T483="",IF(AND(COUNTA($A483:$K483)&gt;0,$L483=""),"Awaiting Collection Email time stamp.",""),IF(OR($T483="PAID",$T483="CLOSED"),IF($T483="PAID","Account paid. Action completed.","Account closed. No further action required."),CHOOSE($W483,"Collection Email","1st Email Follow-up","2nd Email Follow-up","Escalation to Local Office","Escalation to CBE","Escalation to Roxanne")&amp;" sent "&amp;TEXT($X483,"dd-mmm")&amp;". "&amp;IF($W483=6,"Final escalation completed.",IF($T483="OVERDUE","Next: "&amp;$Z483&amp;" was due "&amp;TEXT($Y483,"dd-mmm")&amp;" - "&amp;(NETWORKDAYS($Y483,TODAY(),Holidays)-1)&amp;" business day(s) late. Send now.",IF($T483="DUE TOMORROW","Next: "&amp;$Z483&amp;IF($Y483&lt;=TODAY()," is due TODAY ("," is due next business day (")&amp;TEXT($Y483,"dd-mmm")&amp;").","Next: "&amp;$Z483&amp;" due "&amp;TEXT($Y483,"dd-mmm")&amp;" ("&amp;(NETWORKDAYS(TODAY(),$Y483,Holidays)-1)&amp;" business day(s) left).")))))</f>
        <v/>
      </c>
      <c r="V483" s="17">
        <f>IF($W483="","",CHOOSE($W483,"Collection Email","1st Follow-up","2nd Follow-up","Local Office","CBE","Roxanne")&amp;IF($W483=6," - Final"," - Day "&amp;MAX(0,NETWORKDAYS($X483,TODAY(),Holidays)-1)&amp;" of "&amp;CHOOSE($W483,3,3,2,2,3))&amp;" | Total Day "&amp;MAX(0,NETWORKDAYS($L483,TODAY(),Holidays)-1))</f>
        <v/>
      </c>
      <c r="W483" s="17">
        <f>IF($L483="","",COUNT($L483:$Q483))</f>
        <v/>
      </c>
      <c r="X483" s="18">
        <f>IF($W483="","",INT(INDEX($L483:$Q483,$W483)))</f>
        <v/>
      </c>
      <c r="Y483" s="18">
        <f>IF(OR($W483="",$W483=6),"",WORKDAY($X483,CHOOSE($W483,3,3,2,2,3),Holidays))</f>
        <v/>
      </c>
      <c r="Z483" s="17">
        <f>IF(OR($W483="",$W483=6),"",CHOOSE($W483,"1st Email Follow-up","2nd Email Follow-up","Escalate Local Office","Escalate to CBE","Escalate to Roxanne"))</f>
        <v/>
      </c>
    </row>
    <row r="484" spans="18:26">
      <c r="R484" s="15"/>
      <c r="S484" s="16"/>
      <c r="T484" s="17">
        <f>IF(AND(COUNTA($A484:$K484)=0,$L484=""),"",IF($S484="Paid","PAID",IF($S484="Closed","CLOSED",IF($W484="","",IF($W484=6,"ESCALATED TO ROXANNE",IF(TODAY()&gt;$Y484,"OVERDUE",IF($Y484&lt;=WORKDAY(TODAY(),1,Holidays),"DUE TOMORROW",IF($W484=4,"ESCALATED TO LOCAL OFFICE",IF($W484=5,"ESCALATED TO CBE",IF($X484=TODAY(),"EMAIL SENT","MONITORING"))))))))))</f>
        <v/>
      </c>
      <c r="U484" s="17">
        <f>IF($T484="",IF(AND(COUNTA($A484:$K484)&gt;0,$L484=""),"Awaiting Collection Email time stamp.",""),IF(OR($T484="PAID",$T484="CLOSED"),IF($T484="PAID","Account paid. Action completed.","Account closed. No further action required."),CHOOSE($W484,"Collection Email","1st Email Follow-up","2nd Email Follow-up","Escalation to Local Office","Escalation to CBE","Escalation to Roxanne")&amp;" sent "&amp;TEXT($X484,"dd-mmm")&amp;". "&amp;IF($W484=6,"Final escalation completed.",IF($T484="OVERDUE","Next: "&amp;$Z484&amp;" was due "&amp;TEXT($Y484,"dd-mmm")&amp;" - "&amp;(NETWORKDAYS($Y484,TODAY(),Holidays)-1)&amp;" business day(s) late. Send now.",IF($T484="DUE TOMORROW","Next: "&amp;$Z484&amp;IF($Y484&lt;=TODAY()," is due TODAY ("," is due next business day (")&amp;TEXT($Y484,"dd-mmm")&amp;").","Next: "&amp;$Z484&amp;" due "&amp;TEXT($Y484,"dd-mmm")&amp;" ("&amp;(NETWORKDAYS(TODAY(),$Y484,Holidays)-1)&amp;" business day(s) left).")))))</f>
        <v/>
      </c>
      <c r="V484" s="17">
        <f>IF($W484="","",CHOOSE($W484,"Collection Email","1st Follow-up","2nd Follow-up","Local Office","CBE","Roxanne")&amp;IF($W484=6," - Final"," - Day "&amp;MAX(0,NETWORKDAYS($X484,TODAY(),Holidays)-1)&amp;" of "&amp;CHOOSE($W484,3,3,2,2,3))&amp;" | Total Day "&amp;MAX(0,NETWORKDAYS($L484,TODAY(),Holidays)-1))</f>
        <v/>
      </c>
      <c r="W484" s="17">
        <f>IF($L484="","",COUNT($L484:$Q484))</f>
        <v/>
      </c>
      <c r="X484" s="18">
        <f>IF($W484="","",INT(INDEX($L484:$Q484,$W484)))</f>
        <v/>
      </c>
      <c r="Y484" s="18">
        <f>IF(OR($W484="",$W484=6),"",WORKDAY($X484,CHOOSE($W484,3,3,2,2,3),Holidays))</f>
        <v/>
      </c>
      <c r="Z484" s="17">
        <f>IF(OR($W484="",$W484=6),"",CHOOSE($W484,"1st Email Follow-up","2nd Email Follow-up","Escalate Local Office","Escalate to CBE","Escalate to Roxanne"))</f>
        <v/>
      </c>
    </row>
    <row r="485" spans="18:26">
      <c r="R485" s="15"/>
      <c r="S485" s="16"/>
      <c r="T485" s="17">
        <f>IF(AND(COUNTA($A485:$K485)=0,$L485=""),"",IF($S485="Paid","PAID",IF($S485="Closed","CLOSED",IF($W485="","",IF($W485=6,"ESCALATED TO ROXANNE",IF(TODAY()&gt;$Y485,"OVERDUE",IF($Y485&lt;=WORKDAY(TODAY(),1,Holidays),"DUE TOMORROW",IF($W485=4,"ESCALATED TO LOCAL OFFICE",IF($W485=5,"ESCALATED TO CBE",IF($X485=TODAY(),"EMAIL SENT","MONITORING"))))))))))</f>
        <v/>
      </c>
      <c r="U485" s="17">
        <f>IF($T485="",IF(AND(COUNTA($A485:$K485)&gt;0,$L485=""),"Awaiting Collection Email time stamp.",""),IF(OR($T485="PAID",$T485="CLOSED"),IF($T485="PAID","Account paid. Action completed.","Account closed. No further action required."),CHOOSE($W485,"Collection Email","1st Email Follow-up","2nd Email Follow-up","Escalation to Local Office","Escalation to CBE","Escalation to Roxanne")&amp;" sent "&amp;TEXT($X485,"dd-mmm")&amp;". "&amp;IF($W485=6,"Final escalation completed.",IF($T485="OVERDUE","Next: "&amp;$Z485&amp;" was due "&amp;TEXT($Y485,"dd-mmm")&amp;" - "&amp;(NETWORKDAYS($Y485,TODAY(),Holidays)-1)&amp;" business day(s) late. Send now.",IF($T485="DUE TOMORROW","Next: "&amp;$Z485&amp;IF($Y485&lt;=TODAY()," is due TODAY ("," is due next business day (")&amp;TEXT($Y485,"dd-mmm")&amp;").","Next: "&amp;$Z485&amp;" due "&amp;TEXT($Y485,"dd-mmm")&amp;" ("&amp;(NETWORKDAYS(TODAY(),$Y485,Holidays)-1)&amp;" business day(s) left).")))))</f>
        <v/>
      </c>
      <c r="V485" s="17">
        <f>IF($W485="","",CHOOSE($W485,"Collection Email","1st Follow-up","2nd Follow-up","Local Office","CBE","Roxanne")&amp;IF($W485=6," - Final"," - Day "&amp;MAX(0,NETWORKDAYS($X485,TODAY(),Holidays)-1)&amp;" of "&amp;CHOOSE($W485,3,3,2,2,3))&amp;" | Total Day "&amp;MAX(0,NETWORKDAYS($L485,TODAY(),Holidays)-1))</f>
        <v/>
      </c>
      <c r="W485" s="17">
        <f>IF($L485="","",COUNT($L485:$Q485))</f>
        <v/>
      </c>
      <c r="X485" s="18">
        <f>IF($W485="","",INT(INDEX($L485:$Q485,$W485)))</f>
        <v/>
      </c>
      <c r="Y485" s="18">
        <f>IF(OR($W485="",$W485=6),"",WORKDAY($X485,CHOOSE($W485,3,3,2,2,3),Holidays))</f>
        <v/>
      </c>
      <c r="Z485" s="17">
        <f>IF(OR($W485="",$W485=6),"",CHOOSE($W485,"1st Email Follow-up","2nd Email Follow-up","Escalate Local Office","Escalate to CBE","Escalate to Roxanne"))</f>
        <v/>
      </c>
    </row>
    <row r="486" spans="18:26">
      <c r="R486" s="15"/>
      <c r="S486" s="16"/>
      <c r="T486" s="17">
        <f>IF(AND(COUNTA($A486:$K486)=0,$L486=""),"",IF($S486="Paid","PAID",IF($S486="Closed","CLOSED",IF($W486="","",IF($W486=6,"ESCALATED TO ROXANNE",IF(TODAY()&gt;$Y486,"OVERDUE",IF($Y486&lt;=WORKDAY(TODAY(),1,Holidays),"DUE TOMORROW",IF($W486=4,"ESCALATED TO LOCAL OFFICE",IF($W486=5,"ESCALATED TO CBE",IF($X486=TODAY(),"EMAIL SENT","MONITORING"))))))))))</f>
        <v/>
      </c>
      <c r="U486" s="17">
        <f>IF($T486="",IF(AND(COUNTA($A486:$K486)&gt;0,$L486=""),"Awaiting Collection Email time stamp.",""),IF(OR($T486="PAID",$T486="CLOSED"),IF($T486="PAID","Account paid. Action completed.","Account closed. No further action required."),CHOOSE($W486,"Collection Email","1st Email Follow-up","2nd Email Follow-up","Escalation to Local Office","Escalation to CBE","Escalation to Roxanne")&amp;" sent "&amp;TEXT($X486,"dd-mmm")&amp;". "&amp;IF($W486=6,"Final escalation completed.",IF($T486="OVERDUE","Next: "&amp;$Z486&amp;" was due "&amp;TEXT($Y486,"dd-mmm")&amp;" - "&amp;(NETWORKDAYS($Y486,TODAY(),Holidays)-1)&amp;" business day(s) late. Send now.",IF($T486="DUE TOMORROW","Next: "&amp;$Z486&amp;IF($Y486&lt;=TODAY()," is due TODAY ("," is due next business day (")&amp;TEXT($Y486,"dd-mmm")&amp;").","Next: "&amp;$Z486&amp;" due "&amp;TEXT($Y486,"dd-mmm")&amp;" ("&amp;(NETWORKDAYS(TODAY(),$Y486,Holidays)-1)&amp;" business day(s) left).")))))</f>
        <v/>
      </c>
      <c r="V486" s="17">
        <f>IF($W486="","",CHOOSE($W486,"Collection Email","1st Follow-up","2nd Follow-up","Local Office","CBE","Roxanne")&amp;IF($W486=6," - Final"," - Day "&amp;MAX(0,NETWORKDAYS($X486,TODAY(),Holidays)-1)&amp;" of "&amp;CHOOSE($W486,3,3,2,2,3))&amp;" | Total Day "&amp;MAX(0,NETWORKDAYS($L486,TODAY(),Holidays)-1))</f>
        <v/>
      </c>
      <c r="W486" s="17">
        <f>IF($L486="","",COUNT($L486:$Q486))</f>
        <v/>
      </c>
      <c r="X486" s="18">
        <f>IF($W486="","",INT(INDEX($L486:$Q486,$W486)))</f>
        <v/>
      </c>
      <c r="Y486" s="18">
        <f>IF(OR($W486="",$W486=6),"",WORKDAY($X486,CHOOSE($W486,3,3,2,2,3),Holidays))</f>
        <v/>
      </c>
      <c r="Z486" s="17">
        <f>IF(OR($W486="",$W486=6),"",CHOOSE($W486,"1st Email Follow-up","2nd Email Follow-up","Escalate Local Office","Escalate to CBE","Escalate to Roxanne"))</f>
        <v/>
      </c>
    </row>
    <row r="487" spans="18:26">
      <c r="R487" s="15"/>
      <c r="S487" s="16"/>
      <c r="T487" s="17">
        <f>IF(AND(COUNTA($A487:$K487)=0,$L487=""),"",IF($S487="Paid","PAID",IF($S487="Closed","CLOSED",IF($W487="","",IF($W487=6,"ESCALATED TO ROXANNE",IF(TODAY()&gt;$Y487,"OVERDUE",IF($Y487&lt;=WORKDAY(TODAY(),1,Holidays),"DUE TOMORROW",IF($W487=4,"ESCALATED TO LOCAL OFFICE",IF($W487=5,"ESCALATED TO CBE",IF($X487=TODAY(),"EMAIL SENT","MONITORING"))))))))))</f>
        <v/>
      </c>
      <c r="U487" s="17">
        <f>IF($T487="",IF(AND(COUNTA($A487:$K487)&gt;0,$L487=""),"Awaiting Collection Email time stamp.",""),IF(OR($T487="PAID",$T487="CLOSED"),IF($T487="PAID","Account paid. Action completed.","Account closed. No further action required."),CHOOSE($W487,"Collection Email","1st Email Follow-up","2nd Email Follow-up","Escalation to Local Office","Escalation to CBE","Escalation to Roxanne")&amp;" sent "&amp;TEXT($X487,"dd-mmm")&amp;". "&amp;IF($W487=6,"Final escalation completed.",IF($T487="OVERDUE","Next: "&amp;$Z487&amp;" was due "&amp;TEXT($Y487,"dd-mmm")&amp;" - "&amp;(NETWORKDAYS($Y487,TODAY(),Holidays)-1)&amp;" business day(s) late. Send now.",IF($T487="DUE TOMORROW","Next: "&amp;$Z487&amp;IF($Y487&lt;=TODAY()," is due TODAY ("," is due next business day (")&amp;TEXT($Y487,"dd-mmm")&amp;").","Next: "&amp;$Z487&amp;" due "&amp;TEXT($Y487,"dd-mmm")&amp;" ("&amp;(NETWORKDAYS(TODAY(),$Y487,Holidays)-1)&amp;" business day(s) left).")))))</f>
        <v/>
      </c>
      <c r="V487" s="17">
        <f>IF($W487="","",CHOOSE($W487,"Collection Email","1st Follow-up","2nd Follow-up","Local Office","CBE","Roxanne")&amp;IF($W487=6," - Final"," - Day "&amp;MAX(0,NETWORKDAYS($X487,TODAY(),Holidays)-1)&amp;" of "&amp;CHOOSE($W487,3,3,2,2,3))&amp;" | Total Day "&amp;MAX(0,NETWORKDAYS($L487,TODAY(),Holidays)-1))</f>
        <v/>
      </c>
      <c r="W487" s="17">
        <f>IF($L487="","",COUNT($L487:$Q487))</f>
        <v/>
      </c>
      <c r="X487" s="18">
        <f>IF($W487="","",INT(INDEX($L487:$Q487,$W487)))</f>
        <v/>
      </c>
      <c r="Y487" s="18">
        <f>IF(OR($W487="",$W487=6),"",WORKDAY($X487,CHOOSE($W487,3,3,2,2,3),Holidays))</f>
        <v/>
      </c>
      <c r="Z487" s="17">
        <f>IF(OR($W487="",$W487=6),"",CHOOSE($W487,"1st Email Follow-up","2nd Email Follow-up","Escalate Local Office","Escalate to CBE","Escalate to Roxanne"))</f>
        <v/>
      </c>
    </row>
    <row r="488" spans="18:26">
      <c r="R488" s="15"/>
      <c r="S488" s="16"/>
      <c r="T488" s="17">
        <f>IF(AND(COUNTA($A488:$K488)=0,$L488=""),"",IF($S488="Paid","PAID",IF($S488="Closed","CLOSED",IF($W488="","",IF($W488=6,"ESCALATED TO ROXANNE",IF(TODAY()&gt;$Y488,"OVERDUE",IF($Y488&lt;=WORKDAY(TODAY(),1,Holidays),"DUE TOMORROW",IF($W488=4,"ESCALATED TO LOCAL OFFICE",IF($W488=5,"ESCALATED TO CBE",IF($X488=TODAY(),"EMAIL SENT","MONITORING"))))))))))</f>
        <v/>
      </c>
      <c r="U488" s="17">
        <f>IF($T488="",IF(AND(COUNTA($A488:$K488)&gt;0,$L488=""),"Awaiting Collection Email time stamp.",""),IF(OR($T488="PAID",$T488="CLOSED"),IF($T488="PAID","Account paid. Action completed.","Account closed. No further action required."),CHOOSE($W488,"Collection Email","1st Email Follow-up","2nd Email Follow-up","Escalation to Local Office","Escalation to CBE","Escalation to Roxanne")&amp;" sent "&amp;TEXT($X488,"dd-mmm")&amp;". "&amp;IF($W488=6,"Final escalation completed.",IF($T488="OVERDUE","Next: "&amp;$Z488&amp;" was due "&amp;TEXT($Y488,"dd-mmm")&amp;" - "&amp;(NETWORKDAYS($Y488,TODAY(),Holidays)-1)&amp;" business day(s) late. Send now.",IF($T488="DUE TOMORROW","Next: "&amp;$Z488&amp;IF($Y488&lt;=TODAY()," is due TODAY ("," is due next business day (")&amp;TEXT($Y488,"dd-mmm")&amp;").","Next: "&amp;$Z488&amp;" due "&amp;TEXT($Y488,"dd-mmm")&amp;" ("&amp;(NETWORKDAYS(TODAY(),$Y488,Holidays)-1)&amp;" business day(s) left).")))))</f>
        <v/>
      </c>
      <c r="V488" s="17">
        <f>IF($W488="","",CHOOSE($W488,"Collection Email","1st Follow-up","2nd Follow-up","Local Office","CBE","Roxanne")&amp;IF($W488=6," - Final"," - Day "&amp;MAX(0,NETWORKDAYS($X488,TODAY(),Holidays)-1)&amp;" of "&amp;CHOOSE($W488,3,3,2,2,3))&amp;" | Total Day "&amp;MAX(0,NETWORKDAYS($L488,TODAY(),Holidays)-1))</f>
        <v/>
      </c>
      <c r="W488" s="17">
        <f>IF($L488="","",COUNT($L488:$Q488))</f>
        <v/>
      </c>
      <c r="X488" s="18">
        <f>IF($W488="","",INT(INDEX($L488:$Q488,$W488)))</f>
        <v/>
      </c>
      <c r="Y488" s="18">
        <f>IF(OR($W488="",$W488=6),"",WORKDAY($X488,CHOOSE($W488,3,3,2,2,3),Holidays))</f>
        <v/>
      </c>
      <c r="Z488" s="17">
        <f>IF(OR($W488="",$W488=6),"",CHOOSE($W488,"1st Email Follow-up","2nd Email Follow-up","Escalate Local Office","Escalate to CBE","Escalate to Roxanne"))</f>
        <v/>
      </c>
    </row>
    <row r="489" spans="18:26">
      <c r="R489" s="15"/>
      <c r="S489" s="16"/>
      <c r="T489" s="17">
        <f>IF(AND(COUNTA($A489:$K489)=0,$L489=""),"",IF($S489="Paid","PAID",IF($S489="Closed","CLOSED",IF($W489="","",IF($W489=6,"ESCALATED TO ROXANNE",IF(TODAY()&gt;$Y489,"OVERDUE",IF($Y489&lt;=WORKDAY(TODAY(),1,Holidays),"DUE TOMORROW",IF($W489=4,"ESCALATED TO LOCAL OFFICE",IF($W489=5,"ESCALATED TO CBE",IF($X489=TODAY(),"EMAIL SENT","MONITORING"))))))))))</f>
        <v/>
      </c>
      <c r="U489" s="17">
        <f>IF($T489="",IF(AND(COUNTA($A489:$K489)&gt;0,$L489=""),"Awaiting Collection Email time stamp.",""),IF(OR($T489="PAID",$T489="CLOSED"),IF($T489="PAID","Account paid. Action completed.","Account closed. No further action required."),CHOOSE($W489,"Collection Email","1st Email Follow-up","2nd Email Follow-up","Escalation to Local Office","Escalation to CBE","Escalation to Roxanne")&amp;" sent "&amp;TEXT($X489,"dd-mmm")&amp;". "&amp;IF($W489=6,"Final escalation completed.",IF($T489="OVERDUE","Next: "&amp;$Z489&amp;" was due "&amp;TEXT($Y489,"dd-mmm")&amp;" - "&amp;(NETWORKDAYS($Y489,TODAY(),Holidays)-1)&amp;" business day(s) late. Send now.",IF($T489="DUE TOMORROW","Next: "&amp;$Z489&amp;IF($Y489&lt;=TODAY()," is due TODAY ("," is due next business day (")&amp;TEXT($Y489,"dd-mmm")&amp;").","Next: "&amp;$Z489&amp;" due "&amp;TEXT($Y489,"dd-mmm")&amp;" ("&amp;(NETWORKDAYS(TODAY(),$Y489,Holidays)-1)&amp;" business day(s) left).")))))</f>
        <v/>
      </c>
      <c r="V489" s="17">
        <f>IF($W489="","",CHOOSE($W489,"Collection Email","1st Follow-up","2nd Follow-up","Local Office","CBE","Roxanne")&amp;IF($W489=6," - Final"," - Day "&amp;MAX(0,NETWORKDAYS($X489,TODAY(),Holidays)-1)&amp;" of "&amp;CHOOSE($W489,3,3,2,2,3))&amp;" | Total Day "&amp;MAX(0,NETWORKDAYS($L489,TODAY(),Holidays)-1))</f>
        <v/>
      </c>
      <c r="W489" s="17">
        <f>IF($L489="","",COUNT($L489:$Q489))</f>
        <v/>
      </c>
      <c r="X489" s="18">
        <f>IF($W489="","",INT(INDEX($L489:$Q489,$W489)))</f>
        <v/>
      </c>
      <c r="Y489" s="18">
        <f>IF(OR($W489="",$W489=6),"",WORKDAY($X489,CHOOSE($W489,3,3,2,2,3),Holidays))</f>
        <v/>
      </c>
      <c r="Z489" s="17">
        <f>IF(OR($W489="",$W489=6),"",CHOOSE($W489,"1st Email Follow-up","2nd Email Follow-up","Escalate Local Office","Escalate to CBE","Escalate to Roxanne"))</f>
        <v/>
      </c>
    </row>
    <row r="490" spans="18:26">
      <c r="R490" s="15"/>
      <c r="S490" s="16"/>
      <c r="T490" s="17">
        <f>IF(AND(COUNTA($A490:$K490)=0,$L490=""),"",IF($S490="Paid","PAID",IF($S490="Closed","CLOSED",IF($W490="","",IF($W490=6,"ESCALATED TO ROXANNE",IF(TODAY()&gt;$Y490,"OVERDUE",IF($Y490&lt;=WORKDAY(TODAY(),1,Holidays),"DUE TOMORROW",IF($W490=4,"ESCALATED TO LOCAL OFFICE",IF($W490=5,"ESCALATED TO CBE",IF($X490=TODAY(),"EMAIL SENT","MONITORING"))))))))))</f>
        <v/>
      </c>
      <c r="U490" s="17">
        <f>IF($T490="",IF(AND(COUNTA($A490:$K490)&gt;0,$L490=""),"Awaiting Collection Email time stamp.",""),IF(OR($T490="PAID",$T490="CLOSED"),IF($T490="PAID","Account paid. Action completed.","Account closed. No further action required."),CHOOSE($W490,"Collection Email","1st Email Follow-up","2nd Email Follow-up","Escalation to Local Office","Escalation to CBE","Escalation to Roxanne")&amp;" sent "&amp;TEXT($X490,"dd-mmm")&amp;". "&amp;IF($W490=6,"Final escalation completed.",IF($T490="OVERDUE","Next: "&amp;$Z490&amp;" was due "&amp;TEXT($Y490,"dd-mmm")&amp;" - "&amp;(NETWORKDAYS($Y490,TODAY(),Holidays)-1)&amp;" business day(s) late. Send now.",IF($T490="DUE TOMORROW","Next: "&amp;$Z490&amp;IF($Y490&lt;=TODAY()," is due TODAY ("," is due next business day (")&amp;TEXT($Y490,"dd-mmm")&amp;").","Next: "&amp;$Z490&amp;" due "&amp;TEXT($Y490,"dd-mmm")&amp;" ("&amp;(NETWORKDAYS(TODAY(),$Y490,Holidays)-1)&amp;" business day(s) left).")))))</f>
        <v/>
      </c>
      <c r="V490" s="17">
        <f>IF($W490="","",CHOOSE($W490,"Collection Email","1st Follow-up","2nd Follow-up","Local Office","CBE","Roxanne")&amp;IF($W490=6," - Final"," - Day "&amp;MAX(0,NETWORKDAYS($X490,TODAY(),Holidays)-1)&amp;" of "&amp;CHOOSE($W490,3,3,2,2,3))&amp;" | Total Day "&amp;MAX(0,NETWORKDAYS($L490,TODAY(),Holidays)-1))</f>
        <v/>
      </c>
      <c r="W490" s="17">
        <f>IF($L490="","",COUNT($L490:$Q490))</f>
        <v/>
      </c>
      <c r="X490" s="18">
        <f>IF($W490="","",INT(INDEX($L490:$Q490,$W490)))</f>
        <v/>
      </c>
      <c r="Y490" s="18">
        <f>IF(OR($W490="",$W490=6),"",WORKDAY($X490,CHOOSE($W490,3,3,2,2,3),Holidays))</f>
        <v/>
      </c>
      <c r="Z490" s="17">
        <f>IF(OR($W490="",$W490=6),"",CHOOSE($W490,"1st Email Follow-up","2nd Email Follow-up","Escalate Local Office","Escalate to CBE","Escalate to Roxanne"))</f>
        <v/>
      </c>
    </row>
    <row r="491" spans="18:26">
      <c r="R491" s="15"/>
      <c r="S491" s="16"/>
      <c r="T491" s="17">
        <f>IF(AND(COUNTA($A491:$K491)=0,$L491=""),"",IF($S491="Paid","PAID",IF($S491="Closed","CLOSED",IF($W491="","",IF($W491=6,"ESCALATED TO ROXANNE",IF(TODAY()&gt;$Y491,"OVERDUE",IF($Y491&lt;=WORKDAY(TODAY(),1,Holidays),"DUE TOMORROW",IF($W491=4,"ESCALATED TO LOCAL OFFICE",IF($W491=5,"ESCALATED TO CBE",IF($X491=TODAY(),"EMAIL SENT","MONITORING"))))))))))</f>
        <v/>
      </c>
      <c r="U491" s="17">
        <f>IF($T491="",IF(AND(COUNTA($A491:$K491)&gt;0,$L491=""),"Awaiting Collection Email time stamp.",""),IF(OR($T491="PAID",$T491="CLOSED"),IF($T491="PAID","Account paid. Action completed.","Account closed. No further action required."),CHOOSE($W491,"Collection Email","1st Email Follow-up","2nd Email Follow-up","Escalation to Local Office","Escalation to CBE","Escalation to Roxanne")&amp;" sent "&amp;TEXT($X491,"dd-mmm")&amp;". "&amp;IF($W491=6,"Final escalation completed.",IF($T491="OVERDUE","Next: "&amp;$Z491&amp;" was due "&amp;TEXT($Y491,"dd-mmm")&amp;" - "&amp;(NETWORKDAYS($Y491,TODAY(),Holidays)-1)&amp;" business day(s) late. Send now.",IF($T491="DUE TOMORROW","Next: "&amp;$Z491&amp;IF($Y491&lt;=TODAY()," is due TODAY ("," is due next business day (")&amp;TEXT($Y491,"dd-mmm")&amp;").","Next: "&amp;$Z491&amp;" due "&amp;TEXT($Y491,"dd-mmm")&amp;" ("&amp;(NETWORKDAYS(TODAY(),$Y491,Holidays)-1)&amp;" business day(s) left).")))))</f>
        <v/>
      </c>
      <c r="V491" s="17">
        <f>IF($W491="","",CHOOSE($W491,"Collection Email","1st Follow-up","2nd Follow-up","Local Office","CBE","Roxanne")&amp;IF($W491=6," - Final"," - Day "&amp;MAX(0,NETWORKDAYS($X491,TODAY(),Holidays)-1)&amp;" of "&amp;CHOOSE($W491,3,3,2,2,3))&amp;" | Total Day "&amp;MAX(0,NETWORKDAYS($L491,TODAY(),Holidays)-1))</f>
        <v/>
      </c>
      <c r="W491" s="17">
        <f>IF($L491="","",COUNT($L491:$Q491))</f>
        <v/>
      </c>
      <c r="X491" s="18">
        <f>IF($W491="","",INT(INDEX($L491:$Q491,$W491)))</f>
        <v/>
      </c>
      <c r="Y491" s="18">
        <f>IF(OR($W491="",$W491=6),"",WORKDAY($X491,CHOOSE($W491,3,3,2,2,3),Holidays))</f>
        <v/>
      </c>
      <c r="Z491" s="17">
        <f>IF(OR($W491="",$W491=6),"",CHOOSE($W491,"1st Email Follow-up","2nd Email Follow-up","Escalate Local Office","Escalate to CBE","Escalate to Roxanne"))</f>
        <v/>
      </c>
    </row>
    <row r="492" spans="18:26">
      <c r="R492" s="15"/>
      <c r="S492" s="16"/>
      <c r="T492" s="17">
        <f>IF(AND(COUNTA($A492:$K492)=0,$L492=""),"",IF($S492="Paid","PAID",IF($S492="Closed","CLOSED",IF($W492="","",IF($W492=6,"ESCALATED TO ROXANNE",IF(TODAY()&gt;$Y492,"OVERDUE",IF($Y492&lt;=WORKDAY(TODAY(),1,Holidays),"DUE TOMORROW",IF($W492=4,"ESCALATED TO LOCAL OFFICE",IF($W492=5,"ESCALATED TO CBE",IF($X492=TODAY(),"EMAIL SENT","MONITORING"))))))))))</f>
        <v/>
      </c>
      <c r="U492" s="17">
        <f>IF($T492="",IF(AND(COUNTA($A492:$K492)&gt;0,$L492=""),"Awaiting Collection Email time stamp.",""),IF(OR($T492="PAID",$T492="CLOSED"),IF($T492="PAID","Account paid. Action completed.","Account closed. No further action required."),CHOOSE($W492,"Collection Email","1st Email Follow-up","2nd Email Follow-up","Escalation to Local Office","Escalation to CBE","Escalation to Roxanne")&amp;" sent "&amp;TEXT($X492,"dd-mmm")&amp;". "&amp;IF($W492=6,"Final escalation completed.",IF($T492="OVERDUE","Next: "&amp;$Z492&amp;" was due "&amp;TEXT($Y492,"dd-mmm")&amp;" - "&amp;(NETWORKDAYS($Y492,TODAY(),Holidays)-1)&amp;" business day(s) late. Send now.",IF($T492="DUE TOMORROW","Next: "&amp;$Z492&amp;IF($Y492&lt;=TODAY()," is due TODAY ("," is due next business day (")&amp;TEXT($Y492,"dd-mmm")&amp;").","Next: "&amp;$Z492&amp;" due "&amp;TEXT($Y492,"dd-mmm")&amp;" ("&amp;(NETWORKDAYS(TODAY(),$Y492,Holidays)-1)&amp;" business day(s) left).")))))</f>
        <v/>
      </c>
      <c r="V492" s="17">
        <f>IF($W492="","",CHOOSE($W492,"Collection Email","1st Follow-up","2nd Follow-up","Local Office","CBE","Roxanne")&amp;IF($W492=6," - Final"," - Day "&amp;MAX(0,NETWORKDAYS($X492,TODAY(),Holidays)-1)&amp;" of "&amp;CHOOSE($W492,3,3,2,2,3))&amp;" | Total Day "&amp;MAX(0,NETWORKDAYS($L492,TODAY(),Holidays)-1))</f>
        <v/>
      </c>
      <c r="W492" s="17">
        <f>IF($L492="","",COUNT($L492:$Q492))</f>
        <v/>
      </c>
      <c r="X492" s="18">
        <f>IF($W492="","",INT(INDEX($L492:$Q492,$W492)))</f>
        <v/>
      </c>
      <c r="Y492" s="18">
        <f>IF(OR($W492="",$W492=6),"",WORKDAY($X492,CHOOSE($W492,3,3,2,2,3),Holidays))</f>
        <v/>
      </c>
      <c r="Z492" s="17">
        <f>IF(OR($W492="",$W492=6),"",CHOOSE($W492,"1st Email Follow-up","2nd Email Follow-up","Escalate Local Office","Escalate to CBE","Escalate to Roxanne"))</f>
        <v/>
      </c>
    </row>
    <row r="493" spans="18:26">
      <c r="R493" s="15"/>
      <c r="S493" s="16"/>
      <c r="T493" s="17">
        <f>IF(AND(COUNTA($A493:$K493)=0,$L493=""),"",IF($S493="Paid","PAID",IF($S493="Closed","CLOSED",IF($W493="","",IF($W493=6,"ESCALATED TO ROXANNE",IF(TODAY()&gt;$Y493,"OVERDUE",IF($Y493&lt;=WORKDAY(TODAY(),1,Holidays),"DUE TOMORROW",IF($W493=4,"ESCALATED TO LOCAL OFFICE",IF($W493=5,"ESCALATED TO CBE",IF($X493=TODAY(),"EMAIL SENT","MONITORING"))))))))))</f>
        <v/>
      </c>
      <c r="U493" s="17">
        <f>IF($T493="",IF(AND(COUNTA($A493:$K493)&gt;0,$L493=""),"Awaiting Collection Email time stamp.",""),IF(OR($T493="PAID",$T493="CLOSED"),IF($T493="PAID","Account paid. Action completed.","Account closed. No further action required."),CHOOSE($W493,"Collection Email","1st Email Follow-up","2nd Email Follow-up","Escalation to Local Office","Escalation to CBE","Escalation to Roxanne")&amp;" sent "&amp;TEXT($X493,"dd-mmm")&amp;". "&amp;IF($W493=6,"Final escalation completed.",IF($T493="OVERDUE","Next: "&amp;$Z493&amp;" was due "&amp;TEXT($Y493,"dd-mmm")&amp;" - "&amp;(NETWORKDAYS($Y493,TODAY(),Holidays)-1)&amp;" business day(s) late. Send now.",IF($T493="DUE TOMORROW","Next: "&amp;$Z493&amp;IF($Y493&lt;=TODAY()," is due TODAY ("," is due next business day (")&amp;TEXT($Y493,"dd-mmm")&amp;").","Next: "&amp;$Z493&amp;" due "&amp;TEXT($Y493,"dd-mmm")&amp;" ("&amp;(NETWORKDAYS(TODAY(),$Y493,Holidays)-1)&amp;" business day(s) left).")))))</f>
        <v/>
      </c>
      <c r="V493" s="17">
        <f>IF($W493="","",CHOOSE($W493,"Collection Email","1st Follow-up","2nd Follow-up","Local Office","CBE","Roxanne")&amp;IF($W493=6," - Final"," - Day "&amp;MAX(0,NETWORKDAYS($X493,TODAY(),Holidays)-1)&amp;" of "&amp;CHOOSE($W493,3,3,2,2,3))&amp;" | Total Day "&amp;MAX(0,NETWORKDAYS($L493,TODAY(),Holidays)-1))</f>
        <v/>
      </c>
      <c r="W493" s="17">
        <f>IF($L493="","",COUNT($L493:$Q493))</f>
        <v/>
      </c>
      <c r="X493" s="18">
        <f>IF($W493="","",INT(INDEX($L493:$Q493,$W493)))</f>
        <v/>
      </c>
      <c r="Y493" s="18">
        <f>IF(OR($W493="",$W493=6),"",WORKDAY($X493,CHOOSE($W493,3,3,2,2,3),Holidays))</f>
        <v/>
      </c>
      <c r="Z493" s="17">
        <f>IF(OR($W493="",$W493=6),"",CHOOSE($W493,"1st Email Follow-up","2nd Email Follow-up","Escalate Local Office","Escalate to CBE","Escalate to Roxanne"))</f>
        <v/>
      </c>
    </row>
    <row r="494" spans="18:26">
      <c r="R494" s="15"/>
      <c r="S494" s="16"/>
      <c r="T494" s="17">
        <f>IF(AND(COUNTA($A494:$K494)=0,$L494=""),"",IF($S494="Paid","PAID",IF($S494="Closed","CLOSED",IF($W494="","",IF($W494=6,"ESCALATED TO ROXANNE",IF(TODAY()&gt;$Y494,"OVERDUE",IF($Y494&lt;=WORKDAY(TODAY(),1,Holidays),"DUE TOMORROW",IF($W494=4,"ESCALATED TO LOCAL OFFICE",IF($W494=5,"ESCALATED TO CBE",IF($X494=TODAY(),"EMAIL SENT","MONITORING"))))))))))</f>
        <v/>
      </c>
      <c r="U494" s="17">
        <f>IF($T494="",IF(AND(COUNTA($A494:$K494)&gt;0,$L494=""),"Awaiting Collection Email time stamp.",""),IF(OR($T494="PAID",$T494="CLOSED"),IF($T494="PAID","Account paid. Action completed.","Account closed. No further action required."),CHOOSE($W494,"Collection Email","1st Email Follow-up","2nd Email Follow-up","Escalation to Local Office","Escalation to CBE","Escalation to Roxanne")&amp;" sent "&amp;TEXT($X494,"dd-mmm")&amp;". "&amp;IF($W494=6,"Final escalation completed.",IF($T494="OVERDUE","Next: "&amp;$Z494&amp;" was due "&amp;TEXT($Y494,"dd-mmm")&amp;" - "&amp;(NETWORKDAYS($Y494,TODAY(),Holidays)-1)&amp;" business day(s) late. Send now.",IF($T494="DUE TOMORROW","Next: "&amp;$Z494&amp;IF($Y494&lt;=TODAY()," is due TODAY ("," is due next business day (")&amp;TEXT($Y494,"dd-mmm")&amp;").","Next: "&amp;$Z494&amp;" due "&amp;TEXT($Y494,"dd-mmm")&amp;" ("&amp;(NETWORKDAYS(TODAY(),$Y494,Holidays)-1)&amp;" business day(s) left).")))))</f>
        <v/>
      </c>
      <c r="V494" s="17">
        <f>IF($W494="","",CHOOSE($W494,"Collection Email","1st Follow-up","2nd Follow-up","Local Office","CBE","Roxanne")&amp;IF($W494=6," - Final"," - Day "&amp;MAX(0,NETWORKDAYS($X494,TODAY(),Holidays)-1)&amp;" of "&amp;CHOOSE($W494,3,3,2,2,3))&amp;" | Total Day "&amp;MAX(0,NETWORKDAYS($L494,TODAY(),Holidays)-1))</f>
        <v/>
      </c>
      <c r="W494" s="17">
        <f>IF($L494="","",COUNT($L494:$Q494))</f>
        <v/>
      </c>
      <c r="X494" s="18">
        <f>IF($W494="","",INT(INDEX($L494:$Q494,$W494)))</f>
        <v/>
      </c>
      <c r="Y494" s="18">
        <f>IF(OR($W494="",$W494=6),"",WORKDAY($X494,CHOOSE($W494,3,3,2,2,3),Holidays))</f>
        <v/>
      </c>
      <c r="Z494" s="17">
        <f>IF(OR($W494="",$W494=6),"",CHOOSE($W494,"1st Email Follow-up","2nd Email Follow-up","Escalate Local Office","Escalate to CBE","Escalate to Roxanne"))</f>
        <v/>
      </c>
    </row>
    <row r="495" spans="18:26">
      <c r="R495" s="15"/>
      <c r="S495" s="16"/>
      <c r="T495" s="17">
        <f>IF(AND(COUNTA($A495:$K495)=0,$L495=""),"",IF($S495="Paid","PAID",IF($S495="Closed","CLOSED",IF($W495="","",IF($W495=6,"ESCALATED TO ROXANNE",IF(TODAY()&gt;$Y495,"OVERDUE",IF($Y495&lt;=WORKDAY(TODAY(),1,Holidays),"DUE TOMORROW",IF($W495=4,"ESCALATED TO LOCAL OFFICE",IF($W495=5,"ESCALATED TO CBE",IF($X495=TODAY(),"EMAIL SENT","MONITORING"))))))))))</f>
        <v/>
      </c>
      <c r="U495" s="17">
        <f>IF($T495="",IF(AND(COUNTA($A495:$K495)&gt;0,$L495=""),"Awaiting Collection Email time stamp.",""),IF(OR($T495="PAID",$T495="CLOSED"),IF($T495="PAID","Account paid. Action completed.","Account closed. No further action required."),CHOOSE($W495,"Collection Email","1st Email Follow-up","2nd Email Follow-up","Escalation to Local Office","Escalation to CBE","Escalation to Roxanne")&amp;" sent "&amp;TEXT($X495,"dd-mmm")&amp;". "&amp;IF($W495=6,"Final escalation completed.",IF($T495="OVERDUE","Next: "&amp;$Z495&amp;" was due "&amp;TEXT($Y495,"dd-mmm")&amp;" - "&amp;(NETWORKDAYS($Y495,TODAY(),Holidays)-1)&amp;" business day(s) late. Send now.",IF($T495="DUE TOMORROW","Next: "&amp;$Z495&amp;IF($Y495&lt;=TODAY()," is due TODAY ("," is due next business day (")&amp;TEXT($Y495,"dd-mmm")&amp;").","Next: "&amp;$Z495&amp;" due "&amp;TEXT($Y495,"dd-mmm")&amp;" ("&amp;(NETWORKDAYS(TODAY(),$Y495,Holidays)-1)&amp;" business day(s) left).")))))</f>
        <v/>
      </c>
      <c r="V495" s="17">
        <f>IF($W495="","",CHOOSE($W495,"Collection Email","1st Follow-up","2nd Follow-up","Local Office","CBE","Roxanne")&amp;IF($W495=6," - Final"," - Day "&amp;MAX(0,NETWORKDAYS($X495,TODAY(),Holidays)-1)&amp;" of "&amp;CHOOSE($W495,3,3,2,2,3))&amp;" | Total Day "&amp;MAX(0,NETWORKDAYS($L495,TODAY(),Holidays)-1))</f>
        <v/>
      </c>
      <c r="W495" s="17">
        <f>IF($L495="","",COUNT($L495:$Q495))</f>
        <v/>
      </c>
      <c r="X495" s="18">
        <f>IF($W495="","",INT(INDEX($L495:$Q495,$W495)))</f>
        <v/>
      </c>
      <c r="Y495" s="18">
        <f>IF(OR($W495="",$W495=6),"",WORKDAY($X495,CHOOSE($W495,3,3,2,2,3),Holidays))</f>
        <v/>
      </c>
      <c r="Z495" s="17">
        <f>IF(OR($W495="",$W495=6),"",CHOOSE($W495,"1st Email Follow-up","2nd Email Follow-up","Escalate Local Office","Escalate to CBE","Escalate to Roxanne"))</f>
        <v/>
      </c>
    </row>
    <row r="496" spans="18:26">
      <c r="R496" s="15"/>
      <c r="S496" s="16"/>
      <c r="T496" s="17">
        <f>IF(AND(COUNTA($A496:$K496)=0,$L496=""),"",IF($S496="Paid","PAID",IF($S496="Closed","CLOSED",IF($W496="","",IF($W496=6,"ESCALATED TO ROXANNE",IF(TODAY()&gt;$Y496,"OVERDUE",IF($Y496&lt;=WORKDAY(TODAY(),1,Holidays),"DUE TOMORROW",IF($W496=4,"ESCALATED TO LOCAL OFFICE",IF($W496=5,"ESCALATED TO CBE",IF($X496=TODAY(),"EMAIL SENT","MONITORING"))))))))))</f>
        <v/>
      </c>
      <c r="U496" s="17">
        <f>IF($T496="",IF(AND(COUNTA($A496:$K496)&gt;0,$L496=""),"Awaiting Collection Email time stamp.",""),IF(OR($T496="PAID",$T496="CLOSED"),IF($T496="PAID","Account paid. Action completed.","Account closed. No further action required."),CHOOSE($W496,"Collection Email","1st Email Follow-up","2nd Email Follow-up","Escalation to Local Office","Escalation to CBE","Escalation to Roxanne")&amp;" sent "&amp;TEXT($X496,"dd-mmm")&amp;". "&amp;IF($W496=6,"Final escalation completed.",IF($T496="OVERDUE","Next: "&amp;$Z496&amp;" was due "&amp;TEXT($Y496,"dd-mmm")&amp;" - "&amp;(NETWORKDAYS($Y496,TODAY(),Holidays)-1)&amp;" business day(s) late. Send now.",IF($T496="DUE TOMORROW","Next: "&amp;$Z496&amp;IF($Y496&lt;=TODAY()," is due TODAY ("," is due next business day (")&amp;TEXT($Y496,"dd-mmm")&amp;").","Next: "&amp;$Z496&amp;" due "&amp;TEXT($Y496,"dd-mmm")&amp;" ("&amp;(NETWORKDAYS(TODAY(),$Y496,Holidays)-1)&amp;" business day(s) left).")))))</f>
        <v/>
      </c>
      <c r="V496" s="17">
        <f>IF($W496="","",CHOOSE($W496,"Collection Email","1st Follow-up","2nd Follow-up","Local Office","CBE","Roxanne")&amp;IF($W496=6," - Final"," - Day "&amp;MAX(0,NETWORKDAYS($X496,TODAY(),Holidays)-1)&amp;" of "&amp;CHOOSE($W496,3,3,2,2,3))&amp;" | Total Day "&amp;MAX(0,NETWORKDAYS($L496,TODAY(),Holidays)-1))</f>
        <v/>
      </c>
      <c r="W496" s="17">
        <f>IF($L496="","",COUNT($L496:$Q496))</f>
        <v/>
      </c>
      <c r="X496" s="18">
        <f>IF($W496="","",INT(INDEX($L496:$Q496,$W496)))</f>
        <v/>
      </c>
      <c r="Y496" s="18">
        <f>IF(OR($W496="",$W496=6),"",WORKDAY($X496,CHOOSE($W496,3,3,2,2,3),Holidays))</f>
        <v/>
      </c>
      <c r="Z496" s="17">
        <f>IF(OR($W496="",$W496=6),"",CHOOSE($W496,"1st Email Follow-up","2nd Email Follow-up","Escalate Local Office","Escalate to CBE","Escalate to Roxanne"))</f>
        <v/>
      </c>
    </row>
    <row r="497" spans="18:26">
      <c r="R497" s="15"/>
      <c r="S497" s="16"/>
      <c r="T497" s="17">
        <f>IF(AND(COUNTA($A497:$K497)=0,$L497=""),"",IF($S497="Paid","PAID",IF($S497="Closed","CLOSED",IF($W497="","",IF($W497=6,"ESCALATED TO ROXANNE",IF(TODAY()&gt;$Y497,"OVERDUE",IF($Y497&lt;=WORKDAY(TODAY(),1,Holidays),"DUE TOMORROW",IF($W497=4,"ESCALATED TO LOCAL OFFICE",IF($W497=5,"ESCALATED TO CBE",IF($X497=TODAY(),"EMAIL SENT","MONITORING"))))))))))</f>
        <v/>
      </c>
      <c r="U497" s="17">
        <f>IF($T497="",IF(AND(COUNTA($A497:$K497)&gt;0,$L497=""),"Awaiting Collection Email time stamp.",""),IF(OR($T497="PAID",$T497="CLOSED"),IF($T497="PAID","Account paid. Action completed.","Account closed. No further action required."),CHOOSE($W497,"Collection Email","1st Email Follow-up","2nd Email Follow-up","Escalation to Local Office","Escalation to CBE","Escalation to Roxanne")&amp;" sent "&amp;TEXT($X497,"dd-mmm")&amp;". "&amp;IF($W497=6,"Final escalation completed.",IF($T497="OVERDUE","Next: "&amp;$Z497&amp;" was due "&amp;TEXT($Y497,"dd-mmm")&amp;" - "&amp;(NETWORKDAYS($Y497,TODAY(),Holidays)-1)&amp;" business day(s) late. Send now.",IF($T497="DUE TOMORROW","Next: "&amp;$Z497&amp;IF($Y497&lt;=TODAY()," is due TODAY ("," is due next business day (")&amp;TEXT($Y497,"dd-mmm")&amp;").","Next: "&amp;$Z497&amp;" due "&amp;TEXT($Y497,"dd-mmm")&amp;" ("&amp;(NETWORKDAYS(TODAY(),$Y497,Holidays)-1)&amp;" business day(s) left).")))))</f>
        <v/>
      </c>
      <c r="V497" s="17">
        <f>IF($W497="","",CHOOSE($W497,"Collection Email","1st Follow-up","2nd Follow-up","Local Office","CBE","Roxanne")&amp;IF($W497=6," - Final"," - Day "&amp;MAX(0,NETWORKDAYS($X497,TODAY(),Holidays)-1)&amp;" of "&amp;CHOOSE($W497,3,3,2,2,3))&amp;" | Total Day "&amp;MAX(0,NETWORKDAYS($L497,TODAY(),Holidays)-1))</f>
        <v/>
      </c>
      <c r="W497" s="17">
        <f>IF($L497="","",COUNT($L497:$Q497))</f>
        <v/>
      </c>
      <c r="X497" s="18">
        <f>IF($W497="","",INT(INDEX($L497:$Q497,$W497)))</f>
        <v/>
      </c>
      <c r="Y497" s="18">
        <f>IF(OR($W497="",$W497=6),"",WORKDAY($X497,CHOOSE($W497,3,3,2,2,3),Holidays))</f>
        <v/>
      </c>
      <c r="Z497" s="17">
        <f>IF(OR($W497="",$W497=6),"",CHOOSE($W497,"1st Email Follow-up","2nd Email Follow-up","Escalate Local Office","Escalate to CBE","Escalate to Roxanne"))</f>
        <v/>
      </c>
    </row>
    <row r="498" spans="18:26">
      <c r="R498" s="15"/>
      <c r="S498" s="16"/>
      <c r="T498" s="17">
        <f>IF(AND(COUNTA($A498:$K498)=0,$L498=""),"",IF($S498="Paid","PAID",IF($S498="Closed","CLOSED",IF($W498="","",IF($W498=6,"ESCALATED TO ROXANNE",IF(TODAY()&gt;$Y498,"OVERDUE",IF($Y498&lt;=WORKDAY(TODAY(),1,Holidays),"DUE TOMORROW",IF($W498=4,"ESCALATED TO LOCAL OFFICE",IF($W498=5,"ESCALATED TO CBE",IF($X498=TODAY(),"EMAIL SENT","MONITORING"))))))))))</f>
        <v/>
      </c>
      <c r="U498" s="17">
        <f>IF($T498="",IF(AND(COUNTA($A498:$K498)&gt;0,$L498=""),"Awaiting Collection Email time stamp.",""),IF(OR($T498="PAID",$T498="CLOSED"),IF($T498="PAID","Account paid. Action completed.","Account closed. No further action required."),CHOOSE($W498,"Collection Email","1st Email Follow-up","2nd Email Follow-up","Escalation to Local Office","Escalation to CBE","Escalation to Roxanne")&amp;" sent "&amp;TEXT($X498,"dd-mmm")&amp;". "&amp;IF($W498=6,"Final escalation completed.",IF($T498="OVERDUE","Next: "&amp;$Z498&amp;" was due "&amp;TEXT($Y498,"dd-mmm")&amp;" - "&amp;(NETWORKDAYS($Y498,TODAY(),Holidays)-1)&amp;" business day(s) late. Send now.",IF($T498="DUE TOMORROW","Next: "&amp;$Z498&amp;IF($Y498&lt;=TODAY()," is due TODAY ("," is due next business day (")&amp;TEXT($Y498,"dd-mmm")&amp;").","Next: "&amp;$Z498&amp;" due "&amp;TEXT($Y498,"dd-mmm")&amp;" ("&amp;(NETWORKDAYS(TODAY(),$Y498,Holidays)-1)&amp;" business day(s) left).")))))</f>
        <v/>
      </c>
      <c r="V498" s="17">
        <f>IF($W498="","",CHOOSE($W498,"Collection Email","1st Follow-up","2nd Follow-up","Local Office","CBE","Roxanne")&amp;IF($W498=6," - Final"," - Day "&amp;MAX(0,NETWORKDAYS($X498,TODAY(),Holidays)-1)&amp;" of "&amp;CHOOSE($W498,3,3,2,2,3))&amp;" | Total Day "&amp;MAX(0,NETWORKDAYS($L498,TODAY(),Holidays)-1))</f>
        <v/>
      </c>
      <c r="W498" s="17">
        <f>IF($L498="","",COUNT($L498:$Q498))</f>
        <v/>
      </c>
      <c r="X498" s="18">
        <f>IF($W498="","",INT(INDEX($L498:$Q498,$W498)))</f>
        <v/>
      </c>
      <c r="Y498" s="18">
        <f>IF(OR($W498="",$W498=6),"",WORKDAY($X498,CHOOSE($W498,3,3,2,2,3),Holidays))</f>
        <v/>
      </c>
      <c r="Z498" s="17">
        <f>IF(OR($W498="",$W498=6),"",CHOOSE($W498,"1st Email Follow-up","2nd Email Follow-up","Escalate Local Office","Escalate to CBE","Escalate to Roxanne"))</f>
        <v/>
      </c>
    </row>
    <row r="499" spans="18:26">
      <c r="R499" s="15"/>
      <c r="S499" s="16"/>
      <c r="T499" s="17">
        <f>IF(AND(COUNTA($A499:$K499)=0,$L499=""),"",IF($S499="Paid","PAID",IF($S499="Closed","CLOSED",IF($W499="","",IF($W499=6,"ESCALATED TO ROXANNE",IF(TODAY()&gt;$Y499,"OVERDUE",IF($Y499&lt;=WORKDAY(TODAY(),1,Holidays),"DUE TOMORROW",IF($W499=4,"ESCALATED TO LOCAL OFFICE",IF($W499=5,"ESCALATED TO CBE",IF($X499=TODAY(),"EMAIL SENT","MONITORING"))))))))))</f>
        <v/>
      </c>
      <c r="U499" s="17">
        <f>IF($T499="",IF(AND(COUNTA($A499:$K499)&gt;0,$L499=""),"Awaiting Collection Email time stamp.",""),IF(OR($T499="PAID",$T499="CLOSED"),IF($T499="PAID","Account paid. Action completed.","Account closed. No further action required."),CHOOSE($W499,"Collection Email","1st Email Follow-up","2nd Email Follow-up","Escalation to Local Office","Escalation to CBE","Escalation to Roxanne")&amp;" sent "&amp;TEXT($X499,"dd-mmm")&amp;". "&amp;IF($W499=6,"Final escalation completed.",IF($T499="OVERDUE","Next: "&amp;$Z499&amp;" was due "&amp;TEXT($Y499,"dd-mmm")&amp;" - "&amp;(NETWORKDAYS($Y499,TODAY(),Holidays)-1)&amp;" business day(s) late. Send now.",IF($T499="DUE TOMORROW","Next: "&amp;$Z499&amp;IF($Y499&lt;=TODAY()," is due TODAY ("," is due next business day (")&amp;TEXT($Y499,"dd-mmm")&amp;").","Next: "&amp;$Z499&amp;" due "&amp;TEXT($Y499,"dd-mmm")&amp;" ("&amp;(NETWORKDAYS(TODAY(),$Y499,Holidays)-1)&amp;" business day(s) left).")))))</f>
        <v/>
      </c>
      <c r="V499" s="17">
        <f>IF($W499="","",CHOOSE($W499,"Collection Email","1st Follow-up","2nd Follow-up","Local Office","CBE","Roxanne")&amp;IF($W499=6," - Final"," - Day "&amp;MAX(0,NETWORKDAYS($X499,TODAY(),Holidays)-1)&amp;" of "&amp;CHOOSE($W499,3,3,2,2,3))&amp;" | Total Day "&amp;MAX(0,NETWORKDAYS($L499,TODAY(),Holidays)-1))</f>
        <v/>
      </c>
      <c r="W499" s="17">
        <f>IF($L499="","",COUNT($L499:$Q499))</f>
        <v/>
      </c>
      <c r="X499" s="18">
        <f>IF($W499="","",INT(INDEX($L499:$Q499,$W499)))</f>
        <v/>
      </c>
      <c r="Y499" s="18">
        <f>IF(OR($W499="",$W499=6),"",WORKDAY($X499,CHOOSE($W499,3,3,2,2,3),Holidays))</f>
        <v/>
      </c>
      <c r="Z499" s="17">
        <f>IF(OR($W499="",$W499=6),"",CHOOSE($W499,"1st Email Follow-up","2nd Email Follow-up","Escalate Local Office","Escalate to CBE","Escalate to Roxanne"))</f>
        <v/>
      </c>
    </row>
    <row r="500" spans="18:26">
      <c r="R500" s="15"/>
      <c r="S500" s="16"/>
      <c r="T500" s="17">
        <f>IF(AND(COUNTA($A500:$K500)=0,$L500=""),"",IF($S500="Paid","PAID",IF($S500="Closed","CLOSED",IF($W500="","",IF($W500=6,"ESCALATED TO ROXANNE",IF(TODAY()&gt;$Y500,"OVERDUE",IF($Y500&lt;=WORKDAY(TODAY(),1,Holidays),"DUE TOMORROW",IF($W500=4,"ESCALATED TO LOCAL OFFICE",IF($W500=5,"ESCALATED TO CBE",IF($X500=TODAY(),"EMAIL SENT","MONITORING"))))))))))</f>
        <v/>
      </c>
      <c r="U500" s="17">
        <f>IF($T500="",IF(AND(COUNTA($A500:$K500)&gt;0,$L500=""),"Awaiting Collection Email time stamp.",""),IF(OR($T500="PAID",$T500="CLOSED"),IF($T500="PAID","Account paid. Action completed.","Account closed. No further action required."),CHOOSE($W500,"Collection Email","1st Email Follow-up","2nd Email Follow-up","Escalation to Local Office","Escalation to CBE","Escalation to Roxanne")&amp;" sent "&amp;TEXT($X500,"dd-mmm")&amp;". "&amp;IF($W500=6,"Final escalation completed.",IF($T500="OVERDUE","Next: "&amp;$Z500&amp;" was due "&amp;TEXT($Y500,"dd-mmm")&amp;" - "&amp;(NETWORKDAYS($Y500,TODAY(),Holidays)-1)&amp;" business day(s) late. Send now.",IF($T500="DUE TOMORROW","Next: "&amp;$Z500&amp;IF($Y500&lt;=TODAY()," is due TODAY ("," is due next business day (")&amp;TEXT($Y500,"dd-mmm")&amp;").","Next: "&amp;$Z500&amp;" due "&amp;TEXT($Y500,"dd-mmm")&amp;" ("&amp;(NETWORKDAYS(TODAY(),$Y500,Holidays)-1)&amp;" business day(s) left).")))))</f>
        <v/>
      </c>
      <c r="V500" s="17">
        <f>IF($W500="","",CHOOSE($W500,"Collection Email","1st Follow-up","2nd Follow-up","Local Office","CBE","Roxanne")&amp;IF($W500=6," - Final"," - Day "&amp;MAX(0,NETWORKDAYS($X500,TODAY(),Holidays)-1)&amp;" of "&amp;CHOOSE($W500,3,3,2,2,3))&amp;" | Total Day "&amp;MAX(0,NETWORKDAYS($L500,TODAY(),Holidays)-1))</f>
        <v/>
      </c>
      <c r="W500" s="17">
        <f>IF($L500="","",COUNT($L500:$Q500))</f>
        <v/>
      </c>
      <c r="X500" s="18">
        <f>IF($W500="","",INT(INDEX($L500:$Q500,$W500)))</f>
        <v/>
      </c>
      <c r="Y500" s="18">
        <f>IF(OR($W500="",$W500=6),"",WORKDAY($X500,CHOOSE($W500,3,3,2,2,3),Holidays))</f>
        <v/>
      </c>
      <c r="Z500" s="17">
        <f>IF(OR($W500="",$W500=6),"",CHOOSE($W500,"1st Email Follow-up","2nd Email Follow-up","Escalate Local Office","Escalate to CBE","Escalate to Roxanne"))</f>
        <v/>
      </c>
    </row>
    <row r="501" spans="18:26">
      <c r="R501" s="15"/>
      <c r="S501" s="16"/>
      <c r="T501" s="17">
        <f>IF(AND(COUNTA($A501:$K501)=0,$L501=""),"",IF($S501="Paid","PAID",IF($S501="Closed","CLOSED",IF($W501="","",IF($W501=6,"ESCALATED TO ROXANNE",IF(TODAY()&gt;$Y501,"OVERDUE",IF($Y501&lt;=WORKDAY(TODAY(),1,Holidays),"DUE TOMORROW",IF($W501=4,"ESCALATED TO LOCAL OFFICE",IF($W501=5,"ESCALATED TO CBE",IF($X501=TODAY(),"EMAIL SENT","MONITORING"))))))))))</f>
        <v/>
      </c>
      <c r="U501" s="17">
        <f>IF($T501="",IF(AND(COUNTA($A501:$K501)&gt;0,$L501=""),"Awaiting Collection Email time stamp.",""),IF(OR($T501="PAID",$T501="CLOSED"),IF($T501="PAID","Account paid. Action completed.","Account closed. No further action required."),CHOOSE($W501,"Collection Email","1st Email Follow-up","2nd Email Follow-up","Escalation to Local Office","Escalation to CBE","Escalation to Roxanne")&amp;" sent "&amp;TEXT($X501,"dd-mmm")&amp;". "&amp;IF($W501=6,"Final escalation completed.",IF($T501="OVERDUE","Next: "&amp;$Z501&amp;" was due "&amp;TEXT($Y501,"dd-mmm")&amp;" - "&amp;(NETWORKDAYS($Y501,TODAY(),Holidays)-1)&amp;" business day(s) late. Send now.",IF($T501="DUE TOMORROW","Next: "&amp;$Z501&amp;IF($Y501&lt;=TODAY()," is due TODAY ("," is due next business day (")&amp;TEXT($Y501,"dd-mmm")&amp;").","Next: "&amp;$Z501&amp;" due "&amp;TEXT($Y501,"dd-mmm")&amp;" ("&amp;(NETWORKDAYS(TODAY(),$Y501,Holidays)-1)&amp;" business day(s) left).")))))</f>
        <v/>
      </c>
      <c r="V501" s="17">
        <f>IF($W501="","",CHOOSE($W501,"Collection Email","1st Follow-up","2nd Follow-up","Local Office","CBE","Roxanne")&amp;IF($W501=6," - Final"," - Day "&amp;MAX(0,NETWORKDAYS($X501,TODAY(),Holidays)-1)&amp;" of "&amp;CHOOSE($W501,3,3,2,2,3))&amp;" | Total Day "&amp;MAX(0,NETWORKDAYS($L501,TODAY(),Holidays)-1))</f>
        <v/>
      </c>
      <c r="W501" s="17">
        <f>IF($L501="","",COUNT($L501:$Q501))</f>
        <v/>
      </c>
      <c r="X501" s="18">
        <f>IF($W501="","",INT(INDEX($L501:$Q501,$W501)))</f>
        <v/>
      </c>
      <c r="Y501" s="18">
        <f>IF(OR($W501="",$W501=6),"",WORKDAY($X501,CHOOSE($W501,3,3,2,2,3),Holidays))</f>
        <v/>
      </c>
      <c r="Z501" s="17">
        <f>IF(OR($W501="",$W501=6),"",CHOOSE($W501,"1st Email Follow-up","2nd Email Follow-up","Escalate Local Office","Escalate to CBE","Escalate to Roxanne"))</f>
        <v/>
      </c>
    </row>
    <row r="502" spans="18:26">
      <c r="R502" s="15"/>
      <c r="S502" s="16"/>
      <c r="T502" s="17">
        <f>IF(AND(COUNTA($A502:$K502)=0,$L502=""),"",IF($S502="Paid","PAID",IF($S502="Closed","CLOSED",IF($W502="","",IF($W502=6,"ESCALATED TO ROXANNE",IF(TODAY()&gt;$Y502,"OVERDUE",IF($Y502&lt;=WORKDAY(TODAY(),1,Holidays),"DUE TOMORROW",IF($W502=4,"ESCALATED TO LOCAL OFFICE",IF($W502=5,"ESCALATED TO CBE",IF($X502=TODAY(),"EMAIL SENT","MONITORING"))))))))))</f>
        <v/>
      </c>
      <c r="U502" s="17">
        <f>IF($T502="",IF(AND(COUNTA($A502:$K502)&gt;0,$L502=""),"Awaiting Collection Email time stamp.",""),IF(OR($T502="PAID",$T502="CLOSED"),IF($T502="PAID","Account paid. Action completed.","Account closed. No further action required."),CHOOSE($W502,"Collection Email","1st Email Follow-up","2nd Email Follow-up","Escalation to Local Office","Escalation to CBE","Escalation to Roxanne")&amp;" sent "&amp;TEXT($X502,"dd-mmm")&amp;". "&amp;IF($W502=6,"Final escalation completed.",IF($T502="OVERDUE","Next: "&amp;$Z502&amp;" was due "&amp;TEXT($Y502,"dd-mmm")&amp;" - "&amp;(NETWORKDAYS($Y502,TODAY(),Holidays)-1)&amp;" business day(s) late. Send now.",IF($T502="DUE TOMORROW","Next: "&amp;$Z502&amp;IF($Y502&lt;=TODAY()," is due TODAY ("," is due next business day (")&amp;TEXT($Y502,"dd-mmm")&amp;").","Next: "&amp;$Z502&amp;" due "&amp;TEXT($Y502,"dd-mmm")&amp;" ("&amp;(NETWORKDAYS(TODAY(),$Y502,Holidays)-1)&amp;" business day(s) left).")))))</f>
        <v/>
      </c>
      <c r="V502" s="17">
        <f>IF($W502="","",CHOOSE($W502,"Collection Email","1st Follow-up","2nd Follow-up","Local Office","CBE","Roxanne")&amp;IF($W502=6," - Final"," - Day "&amp;MAX(0,NETWORKDAYS($X502,TODAY(),Holidays)-1)&amp;" of "&amp;CHOOSE($W502,3,3,2,2,3))&amp;" | Total Day "&amp;MAX(0,NETWORKDAYS($L502,TODAY(),Holidays)-1))</f>
        <v/>
      </c>
      <c r="W502" s="17">
        <f>IF($L502="","",COUNT($L502:$Q502))</f>
        <v/>
      </c>
      <c r="X502" s="18">
        <f>IF($W502="","",INT(INDEX($L502:$Q502,$W502)))</f>
        <v/>
      </c>
      <c r="Y502" s="18">
        <f>IF(OR($W502="",$W502=6),"",WORKDAY($X502,CHOOSE($W502,3,3,2,2,3),Holidays))</f>
        <v/>
      </c>
      <c r="Z502" s="17">
        <f>IF(OR($W502="",$W502=6),"",CHOOSE($W502,"1st Email Follow-up","2nd Email Follow-up","Escalate Local Office","Escalate to CBE","Escalate to Roxanne"))</f>
        <v/>
      </c>
    </row>
    <row r="503" spans="18:26">
      <c r="R503" s="15"/>
      <c r="S503" s="16"/>
      <c r="T503" s="17">
        <f>IF(AND(COUNTA($A503:$K503)=0,$L503=""),"",IF($S503="Paid","PAID",IF($S503="Closed","CLOSED",IF($W503="","",IF($W503=6,"ESCALATED TO ROXANNE",IF(TODAY()&gt;$Y503,"OVERDUE",IF($Y503&lt;=WORKDAY(TODAY(),1,Holidays),"DUE TOMORROW",IF($W503=4,"ESCALATED TO LOCAL OFFICE",IF($W503=5,"ESCALATED TO CBE",IF($X503=TODAY(),"EMAIL SENT","MONITORING"))))))))))</f>
        <v/>
      </c>
      <c r="U503" s="17">
        <f>IF($T503="",IF(AND(COUNTA($A503:$K503)&gt;0,$L503=""),"Awaiting Collection Email time stamp.",""),IF(OR($T503="PAID",$T503="CLOSED"),IF($T503="PAID","Account paid. Action completed.","Account closed. No further action required."),CHOOSE($W503,"Collection Email","1st Email Follow-up","2nd Email Follow-up","Escalation to Local Office","Escalation to CBE","Escalation to Roxanne")&amp;" sent "&amp;TEXT($X503,"dd-mmm")&amp;". "&amp;IF($W503=6,"Final escalation completed.",IF($T503="OVERDUE","Next: "&amp;$Z503&amp;" was due "&amp;TEXT($Y503,"dd-mmm")&amp;" - "&amp;(NETWORKDAYS($Y503,TODAY(),Holidays)-1)&amp;" business day(s) late. Send now.",IF($T503="DUE TOMORROW","Next: "&amp;$Z503&amp;IF($Y503&lt;=TODAY()," is due TODAY ("," is due next business day (")&amp;TEXT($Y503,"dd-mmm")&amp;").","Next: "&amp;$Z503&amp;" due "&amp;TEXT($Y503,"dd-mmm")&amp;" ("&amp;(NETWORKDAYS(TODAY(),$Y503,Holidays)-1)&amp;" business day(s) left).")))))</f>
        <v/>
      </c>
      <c r="V503" s="17">
        <f>IF($W503="","",CHOOSE($W503,"Collection Email","1st Follow-up","2nd Follow-up","Local Office","CBE","Roxanne")&amp;IF($W503=6," - Final"," - Day "&amp;MAX(0,NETWORKDAYS($X503,TODAY(),Holidays)-1)&amp;" of "&amp;CHOOSE($W503,3,3,2,2,3))&amp;" | Total Day "&amp;MAX(0,NETWORKDAYS($L503,TODAY(),Holidays)-1))</f>
        <v/>
      </c>
      <c r="W503" s="17">
        <f>IF($L503="","",COUNT($L503:$Q503))</f>
        <v/>
      </c>
      <c r="X503" s="18">
        <f>IF($W503="","",INT(INDEX($L503:$Q503,$W503)))</f>
        <v/>
      </c>
      <c r="Y503" s="18">
        <f>IF(OR($W503="",$W503=6),"",WORKDAY($X503,CHOOSE($W503,3,3,2,2,3),Holidays))</f>
        <v/>
      </c>
      <c r="Z503" s="17">
        <f>IF(OR($W503="",$W503=6),"",CHOOSE($W503,"1st Email Follow-up","2nd Email Follow-up","Escalate Local Office","Escalate to CBE","Escalate to Roxanne"))</f>
        <v/>
      </c>
    </row>
    <row r="504" spans="18:26">
      <c r="R504" s="15"/>
      <c r="S504" s="16"/>
      <c r="T504" s="17">
        <f>IF(AND(COUNTA($A504:$K504)=0,$L504=""),"",IF($S504="Paid","PAID",IF($S504="Closed","CLOSED",IF($W504="","",IF($W504=6,"ESCALATED TO ROXANNE",IF(TODAY()&gt;$Y504,"OVERDUE",IF($Y504&lt;=WORKDAY(TODAY(),1,Holidays),"DUE TOMORROW",IF($W504=4,"ESCALATED TO LOCAL OFFICE",IF($W504=5,"ESCALATED TO CBE",IF($X504=TODAY(),"EMAIL SENT","MONITORING"))))))))))</f>
        <v/>
      </c>
      <c r="U504" s="17">
        <f>IF($T504="",IF(AND(COUNTA($A504:$K504)&gt;0,$L504=""),"Awaiting Collection Email time stamp.",""),IF(OR($T504="PAID",$T504="CLOSED"),IF($T504="PAID","Account paid. Action completed.","Account closed. No further action required."),CHOOSE($W504,"Collection Email","1st Email Follow-up","2nd Email Follow-up","Escalation to Local Office","Escalation to CBE","Escalation to Roxanne")&amp;" sent "&amp;TEXT($X504,"dd-mmm")&amp;". "&amp;IF($W504=6,"Final escalation completed.",IF($T504="OVERDUE","Next: "&amp;$Z504&amp;" was due "&amp;TEXT($Y504,"dd-mmm")&amp;" - "&amp;(NETWORKDAYS($Y504,TODAY(),Holidays)-1)&amp;" business day(s) late. Send now.",IF($T504="DUE TOMORROW","Next: "&amp;$Z504&amp;IF($Y504&lt;=TODAY()," is due TODAY ("," is due next business day (")&amp;TEXT($Y504,"dd-mmm")&amp;").","Next: "&amp;$Z504&amp;" due "&amp;TEXT($Y504,"dd-mmm")&amp;" ("&amp;(NETWORKDAYS(TODAY(),$Y504,Holidays)-1)&amp;" business day(s) left).")))))</f>
        <v/>
      </c>
      <c r="V504" s="17">
        <f>IF($W504="","",CHOOSE($W504,"Collection Email","1st Follow-up","2nd Follow-up","Local Office","CBE","Roxanne")&amp;IF($W504=6," - Final"," - Day "&amp;MAX(0,NETWORKDAYS($X504,TODAY(),Holidays)-1)&amp;" of "&amp;CHOOSE($W504,3,3,2,2,3))&amp;" | Total Day "&amp;MAX(0,NETWORKDAYS($L504,TODAY(),Holidays)-1))</f>
        <v/>
      </c>
      <c r="W504" s="17">
        <f>IF($L504="","",COUNT($L504:$Q504))</f>
        <v/>
      </c>
      <c r="X504" s="18">
        <f>IF($W504="","",INT(INDEX($L504:$Q504,$W504)))</f>
        <v/>
      </c>
      <c r="Y504" s="18">
        <f>IF(OR($W504="",$W504=6),"",WORKDAY($X504,CHOOSE($W504,3,3,2,2,3),Holidays))</f>
        <v/>
      </c>
      <c r="Z504" s="17">
        <f>IF(OR($W504="",$W504=6),"",CHOOSE($W504,"1st Email Follow-up","2nd Email Follow-up","Escalate Local Office","Escalate to CBE","Escalate to Roxanne"))</f>
        <v/>
      </c>
    </row>
    <row r="505" spans="18:26">
      <c r="R505" s="15"/>
      <c r="S505" s="16"/>
      <c r="T505" s="17">
        <f>IF(AND(COUNTA($A505:$K505)=0,$L505=""),"",IF($S505="Paid","PAID",IF($S505="Closed","CLOSED",IF($W505="","",IF($W505=6,"ESCALATED TO ROXANNE",IF(TODAY()&gt;$Y505,"OVERDUE",IF($Y505&lt;=WORKDAY(TODAY(),1,Holidays),"DUE TOMORROW",IF($W505=4,"ESCALATED TO LOCAL OFFICE",IF($W505=5,"ESCALATED TO CBE",IF($X505=TODAY(),"EMAIL SENT","MONITORING"))))))))))</f>
        <v/>
      </c>
      <c r="U505" s="17">
        <f>IF($T505="",IF(AND(COUNTA($A505:$K505)&gt;0,$L505=""),"Awaiting Collection Email time stamp.",""),IF(OR($T505="PAID",$T505="CLOSED"),IF($T505="PAID","Account paid. Action completed.","Account closed. No further action required."),CHOOSE($W505,"Collection Email","1st Email Follow-up","2nd Email Follow-up","Escalation to Local Office","Escalation to CBE","Escalation to Roxanne")&amp;" sent "&amp;TEXT($X505,"dd-mmm")&amp;". "&amp;IF($W505=6,"Final escalation completed.",IF($T505="OVERDUE","Next: "&amp;$Z505&amp;" was due "&amp;TEXT($Y505,"dd-mmm")&amp;" - "&amp;(NETWORKDAYS($Y505,TODAY(),Holidays)-1)&amp;" business day(s) late. Send now.",IF($T505="DUE TOMORROW","Next: "&amp;$Z505&amp;IF($Y505&lt;=TODAY()," is due TODAY ("," is due next business day (")&amp;TEXT($Y505,"dd-mmm")&amp;").","Next: "&amp;$Z505&amp;" due "&amp;TEXT($Y505,"dd-mmm")&amp;" ("&amp;(NETWORKDAYS(TODAY(),$Y505,Holidays)-1)&amp;" business day(s) left).")))))</f>
        <v/>
      </c>
      <c r="V505" s="17">
        <f>IF($W505="","",CHOOSE($W505,"Collection Email","1st Follow-up","2nd Follow-up","Local Office","CBE","Roxanne")&amp;IF($W505=6," - Final"," - Day "&amp;MAX(0,NETWORKDAYS($X505,TODAY(),Holidays)-1)&amp;" of "&amp;CHOOSE($W505,3,3,2,2,3))&amp;" | Total Day "&amp;MAX(0,NETWORKDAYS($L505,TODAY(),Holidays)-1))</f>
        <v/>
      </c>
      <c r="W505" s="17">
        <f>IF($L505="","",COUNT($L505:$Q505))</f>
        <v/>
      </c>
      <c r="X505" s="18">
        <f>IF($W505="","",INT(INDEX($L505:$Q505,$W505)))</f>
        <v/>
      </c>
      <c r="Y505" s="18">
        <f>IF(OR($W505="",$W505=6),"",WORKDAY($X505,CHOOSE($W505,3,3,2,2,3),Holidays))</f>
        <v/>
      </c>
      <c r="Z505" s="17">
        <f>IF(OR($W505="",$W505=6),"",CHOOSE($W505,"1st Email Follow-up","2nd Email Follow-up","Escalate Local Office","Escalate to CBE","Escalate to Roxanne"))</f>
        <v/>
      </c>
    </row>
    <row r="506" spans="18:26">
      <c r="R506" s="15"/>
      <c r="S506" s="16"/>
      <c r="T506" s="17">
        <f>IF(AND(COUNTA($A506:$K506)=0,$L506=""),"",IF($S506="Paid","PAID",IF($S506="Closed","CLOSED",IF($W506="","",IF($W506=6,"ESCALATED TO ROXANNE",IF(TODAY()&gt;$Y506,"OVERDUE",IF($Y506&lt;=WORKDAY(TODAY(),1,Holidays),"DUE TOMORROW",IF($W506=4,"ESCALATED TO LOCAL OFFICE",IF($W506=5,"ESCALATED TO CBE",IF($X506=TODAY(),"EMAIL SENT","MONITORING"))))))))))</f>
        <v/>
      </c>
      <c r="U506" s="17">
        <f>IF($T506="",IF(AND(COUNTA($A506:$K506)&gt;0,$L506=""),"Awaiting Collection Email time stamp.",""),IF(OR($T506="PAID",$T506="CLOSED"),IF($T506="PAID","Account paid. Action completed.","Account closed. No further action required."),CHOOSE($W506,"Collection Email","1st Email Follow-up","2nd Email Follow-up","Escalation to Local Office","Escalation to CBE","Escalation to Roxanne")&amp;" sent "&amp;TEXT($X506,"dd-mmm")&amp;". "&amp;IF($W506=6,"Final escalation completed.",IF($T506="OVERDUE","Next: "&amp;$Z506&amp;" was due "&amp;TEXT($Y506,"dd-mmm")&amp;" - "&amp;(NETWORKDAYS($Y506,TODAY(),Holidays)-1)&amp;" business day(s) late. Send now.",IF($T506="DUE TOMORROW","Next: "&amp;$Z506&amp;IF($Y506&lt;=TODAY()," is due TODAY ("," is due next business day (")&amp;TEXT($Y506,"dd-mmm")&amp;").","Next: "&amp;$Z506&amp;" due "&amp;TEXT($Y506,"dd-mmm")&amp;" ("&amp;(NETWORKDAYS(TODAY(),$Y506,Holidays)-1)&amp;" business day(s) left).")))))</f>
        <v/>
      </c>
      <c r="V506" s="17">
        <f>IF($W506="","",CHOOSE($W506,"Collection Email","1st Follow-up","2nd Follow-up","Local Office","CBE","Roxanne")&amp;IF($W506=6," - Final"," - Day "&amp;MAX(0,NETWORKDAYS($X506,TODAY(),Holidays)-1)&amp;" of "&amp;CHOOSE($W506,3,3,2,2,3))&amp;" | Total Day "&amp;MAX(0,NETWORKDAYS($L506,TODAY(),Holidays)-1))</f>
        <v/>
      </c>
      <c r="W506" s="17">
        <f>IF($L506="","",COUNT($L506:$Q506))</f>
        <v/>
      </c>
      <c r="X506" s="18">
        <f>IF($W506="","",INT(INDEX($L506:$Q506,$W506)))</f>
        <v/>
      </c>
      <c r="Y506" s="18">
        <f>IF(OR($W506="",$W506=6),"",WORKDAY($X506,CHOOSE($W506,3,3,2,2,3),Holidays))</f>
        <v/>
      </c>
      <c r="Z506" s="17">
        <f>IF(OR($W506="",$W506=6),"",CHOOSE($W506,"1st Email Follow-up","2nd Email Follow-up","Escalate Local Office","Escalate to CBE","Escalate to Roxanne"))</f>
        <v/>
      </c>
    </row>
    <row r="507" spans="18:26">
      <c r="R507" s="15"/>
      <c r="S507" s="16"/>
      <c r="T507" s="17">
        <f>IF(AND(COUNTA($A507:$K507)=0,$L507=""),"",IF($S507="Paid","PAID",IF($S507="Closed","CLOSED",IF($W507="","",IF($W507=6,"ESCALATED TO ROXANNE",IF(TODAY()&gt;$Y507,"OVERDUE",IF($Y507&lt;=WORKDAY(TODAY(),1,Holidays),"DUE TOMORROW",IF($W507=4,"ESCALATED TO LOCAL OFFICE",IF($W507=5,"ESCALATED TO CBE",IF($X507=TODAY(),"EMAIL SENT","MONITORING"))))))))))</f>
        <v/>
      </c>
      <c r="U507" s="17">
        <f>IF($T507="",IF(AND(COUNTA($A507:$K507)&gt;0,$L507=""),"Awaiting Collection Email time stamp.",""),IF(OR($T507="PAID",$T507="CLOSED"),IF($T507="PAID","Account paid. Action completed.","Account closed. No further action required."),CHOOSE($W507,"Collection Email","1st Email Follow-up","2nd Email Follow-up","Escalation to Local Office","Escalation to CBE","Escalation to Roxanne")&amp;" sent "&amp;TEXT($X507,"dd-mmm")&amp;". "&amp;IF($W507=6,"Final escalation completed.",IF($T507="OVERDUE","Next: "&amp;$Z507&amp;" was due "&amp;TEXT($Y507,"dd-mmm")&amp;" - "&amp;(NETWORKDAYS($Y507,TODAY(),Holidays)-1)&amp;" business day(s) late. Send now.",IF($T507="DUE TOMORROW","Next: "&amp;$Z507&amp;IF($Y507&lt;=TODAY()," is due TODAY ("," is due next business day (")&amp;TEXT($Y507,"dd-mmm")&amp;").","Next: "&amp;$Z507&amp;" due "&amp;TEXT($Y507,"dd-mmm")&amp;" ("&amp;(NETWORKDAYS(TODAY(),$Y507,Holidays)-1)&amp;" business day(s) left).")))))</f>
        <v/>
      </c>
      <c r="V507" s="17">
        <f>IF($W507="","",CHOOSE($W507,"Collection Email","1st Follow-up","2nd Follow-up","Local Office","CBE","Roxanne")&amp;IF($W507=6," - Final"," - Day "&amp;MAX(0,NETWORKDAYS($X507,TODAY(),Holidays)-1)&amp;" of "&amp;CHOOSE($W507,3,3,2,2,3))&amp;" | Total Day "&amp;MAX(0,NETWORKDAYS($L507,TODAY(),Holidays)-1))</f>
        <v/>
      </c>
      <c r="W507" s="17">
        <f>IF($L507="","",COUNT($L507:$Q507))</f>
        <v/>
      </c>
      <c r="X507" s="18">
        <f>IF($W507="","",INT(INDEX($L507:$Q507,$W507)))</f>
        <v/>
      </c>
      <c r="Y507" s="18">
        <f>IF(OR($W507="",$W507=6),"",WORKDAY($X507,CHOOSE($W507,3,3,2,2,3),Holidays))</f>
        <v/>
      </c>
      <c r="Z507" s="17">
        <f>IF(OR($W507="",$W507=6),"",CHOOSE($W507,"1st Email Follow-up","2nd Email Follow-up","Escalate Local Office","Escalate to CBE","Escalate to Roxanne"))</f>
        <v/>
      </c>
    </row>
    <row r="508" spans="18:26">
      <c r="R508" s="15"/>
      <c r="S508" s="16"/>
      <c r="T508" s="17">
        <f>IF(AND(COUNTA($A508:$K508)=0,$L508=""),"",IF($S508="Paid","PAID",IF($S508="Closed","CLOSED",IF($W508="","",IF($W508=6,"ESCALATED TO ROXANNE",IF(TODAY()&gt;$Y508,"OVERDUE",IF($Y508&lt;=WORKDAY(TODAY(),1,Holidays),"DUE TOMORROW",IF($W508=4,"ESCALATED TO LOCAL OFFICE",IF($W508=5,"ESCALATED TO CBE",IF($X508=TODAY(),"EMAIL SENT","MONITORING"))))))))))</f>
        <v/>
      </c>
      <c r="U508" s="17">
        <f>IF($T508="",IF(AND(COUNTA($A508:$K508)&gt;0,$L508=""),"Awaiting Collection Email time stamp.",""),IF(OR($T508="PAID",$T508="CLOSED"),IF($T508="PAID","Account paid. Action completed.","Account closed. No further action required."),CHOOSE($W508,"Collection Email","1st Email Follow-up","2nd Email Follow-up","Escalation to Local Office","Escalation to CBE","Escalation to Roxanne")&amp;" sent "&amp;TEXT($X508,"dd-mmm")&amp;". "&amp;IF($W508=6,"Final escalation completed.",IF($T508="OVERDUE","Next: "&amp;$Z508&amp;" was due "&amp;TEXT($Y508,"dd-mmm")&amp;" - "&amp;(NETWORKDAYS($Y508,TODAY(),Holidays)-1)&amp;" business day(s) late. Send now.",IF($T508="DUE TOMORROW","Next: "&amp;$Z508&amp;IF($Y508&lt;=TODAY()," is due TODAY ("," is due next business day (")&amp;TEXT($Y508,"dd-mmm")&amp;").","Next: "&amp;$Z508&amp;" due "&amp;TEXT($Y508,"dd-mmm")&amp;" ("&amp;(NETWORKDAYS(TODAY(),$Y508,Holidays)-1)&amp;" business day(s) left).")))))</f>
        <v/>
      </c>
      <c r="V508" s="17">
        <f>IF($W508="","",CHOOSE($W508,"Collection Email","1st Follow-up","2nd Follow-up","Local Office","CBE","Roxanne")&amp;IF($W508=6," - Final"," - Day "&amp;MAX(0,NETWORKDAYS($X508,TODAY(),Holidays)-1)&amp;" of "&amp;CHOOSE($W508,3,3,2,2,3))&amp;" | Total Day "&amp;MAX(0,NETWORKDAYS($L508,TODAY(),Holidays)-1))</f>
        <v/>
      </c>
      <c r="W508" s="17">
        <f>IF($L508="","",COUNT($L508:$Q508))</f>
        <v/>
      </c>
      <c r="X508" s="18">
        <f>IF($W508="","",INT(INDEX($L508:$Q508,$W508)))</f>
        <v/>
      </c>
      <c r="Y508" s="18">
        <f>IF(OR($W508="",$W508=6),"",WORKDAY($X508,CHOOSE($W508,3,3,2,2,3),Holidays))</f>
        <v/>
      </c>
      <c r="Z508" s="17">
        <f>IF(OR($W508="",$W508=6),"",CHOOSE($W508,"1st Email Follow-up","2nd Email Follow-up","Escalate Local Office","Escalate to CBE","Escalate to Roxanne"))</f>
        <v/>
      </c>
    </row>
    <row r="509" spans="18:26">
      <c r="R509" s="15"/>
      <c r="S509" s="16"/>
      <c r="T509" s="17">
        <f>IF(AND(COUNTA($A509:$K509)=0,$L509=""),"",IF($S509="Paid","PAID",IF($S509="Closed","CLOSED",IF($W509="","",IF($W509=6,"ESCALATED TO ROXANNE",IF(TODAY()&gt;$Y509,"OVERDUE",IF($Y509&lt;=WORKDAY(TODAY(),1,Holidays),"DUE TOMORROW",IF($W509=4,"ESCALATED TO LOCAL OFFICE",IF($W509=5,"ESCALATED TO CBE",IF($X509=TODAY(),"EMAIL SENT","MONITORING"))))))))))</f>
        <v/>
      </c>
      <c r="U509" s="17">
        <f>IF($T509="",IF(AND(COUNTA($A509:$K509)&gt;0,$L509=""),"Awaiting Collection Email time stamp.",""),IF(OR($T509="PAID",$T509="CLOSED"),IF($T509="PAID","Account paid. Action completed.","Account closed. No further action required."),CHOOSE($W509,"Collection Email","1st Email Follow-up","2nd Email Follow-up","Escalation to Local Office","Escalation to CBE","Escalation to Roxanne")&amp;" sent "&amp;TEXT($X509,"dd-mmm")&amp;". "&amp;IF($W509=6,"Final escalation completed.",IF($T509="OVERDUE","Next: "&amp;$Z509&amp;" was due "&amp;TEXT($Y509,"dd-mmm")&amp;" - "&amp;(NETWORKDAYS($Y509,TODAY(),Holidays)-1)&amp;" business day(s) late. Send now.",IF($T509="DUE TOMORROW","Next: "&amp;$Z509&amp;IF($Y509&lt;=TODAY()," is due TODAY ("," is due next business day (")&amp;TEXT($Y509,"dd-mmm")&amp;").","Next: "&amp;$Z509&amp;" due "&amp;TEXT($Y509,"dd-mmm")&amp;" ("&amp;(NETWORKDAYS(TODAY(),$Y509,Holidays)-1)&amp;" business day(s) left).")))))</f>
        <v/>
      </c>
      <c r="V509" s="17">
        <f>IF($W509="","",CHOOSE($W509,"Collection Email","1st Follow-up","2nd Follow-up","Local Office","CBE","Roxanne")&amp;IF($W509=6," - Final"," - Day "&amp;MAX(0,NETWORKDAYS($X509,TODAY(),Holidays)-1)&amp;" of "&amp;CHOOSE($W509,3,3,2,2,3))&amp;" | Total Day "&amp;MAX(0,NETWORKDAYS($L509,TODAY(),Holidays)-1))</f>
        <v/>
      </c>
      <c r="W509" s="17">
        <f>IF($L509="","",COUNT($L509:$Q509))</f>
        <v/>
      </c>
      <c r="X509" s="18">
        <f>IF($W509="","",INT(INDEX($L509:$Q509,$W509)))</f>
        <v/>
      </c>
      <c r="Y509" s="18">
        <f>IF(OR($W509="",$W509=6),"",WORKDAY($X509,CHOOSE($W509,3,3,2,2,3),Holidays))</f>
        <v/>
      </c>
      <c r="Z509" s="17">
        <f>IF(OR($W509="",$W509=6),"",CHOOSE($W509,"1st Email Follow-up","2nd Email Follow-up","Escalate Local Office","Escalate to CBE","Escalate to Roxanne"))</f>
        <v/>
      </c>
    </row>
    <row r="510" spans="18:26">
      <c r="R510" s="15"/>
      <c r="S510" s="16"/>
      <c r="T510" s="17">
        <f>IF(AND(COUNTA($A510:$K510)=0,$L510=""),"",IF($S510="Paid","PAID",IF($S510="Closed","CLOSED",IF($W510="","",IF($W510=6,"ESCALATED TO ROXANNE",IF(TODAY()&gt;$Y510,"OVERDUE",IF($Y510&lt;=WORKDAY(TODAY(),1,Holidays),"DUE TOMORROW",IF($W510=4,"ESCALATED TO LOCAL OFFICE",IF($W510=5,"ESCALATED TO CBE",IF($X510=TODAY(),"EMAIL SENT","MONITORING"))))))))))</f>
        <v/>
      </c>
      <c r="U510" s="17">
        <f>IF($T510="",IF(AND(COUNTA($A510:$K510)&gt;0,$L510=""),"Awaiting Collection Email time stamp.",""),IF(OR($T510="PAID",$T510="CLOSED"),IF($T510="PAID","Account paid. Action completed.","Account closed. No further action required."),CHOOSE($W510,"Collection Email","1st Email Follow-up","2nd Email Follow-up","Escalation to Local Office","Escalation to CBE","Escalation to Roxanne")&amp;" sent "&amp;TEXT($X510,"dd-mmm")&amp;". "&amp;IF($W510=6,"Final escalation completed.",IF($T510="OVERDUE","Next: "&amp;$Z510&amp;" was due "&amp;TEXT($Y510,"dd-mmm")&amp;" - "&amp;(NETWORKDAYS($Y510,TODAY(),Holidays)-1)&amp;" business day(s) late. Send now.",IF($T510="DUE TOMORROW","Next: "&amp;$Z510&amp;IF($Y510&lt;=TODAY()," is due TODAY ("," is due next business day (")&amp;TEXT($Y510,"dd-mmm")&amp;").","Next: "&amp;$Z510&amp;" due "&amp;TEXT($Y510,"dd-mmm")&amp;" ("&amp;(NETWORKDAYS(TODAY(),$Y510,Holidays)-1)&amp;" business day(s) left).")))))</f>
        <v/>
      </c>
      <c r="V510" s="17">
        <f>IF($W510="","",CHOOSE($W510,"Collection Email","1st Follow-up","2nd Follow-up","Local Office","CBE","Roxanne")&amp;IF($W510=6," - Final"," - Day "&amp;MAX(0,NETWORKDAYS($X510,TODAY(),Holidays)-1)&amp;" of "&amp;CHOOSE($W510,3,3,2,2,3))&amp;" | Total Day "&amp;MAX(0,NETWORKDAYS($L510,TODAY(),Holidays)-1))</f>
        <v/>
      </c>
      <c r="W510" s="17">
        <f>IF($L510="","",COUNT($L510:$Q510))</f>
        <v/>
      </c>
      <c r="X510" s="18">
        <f>IF($W510="","",INT(INDEX($L510:$Q510,$W510)))</f>
        <v/>
      </c>
      <c r="Y510" s="18">
        <f>IF(OR($W510="",$W510=6),"",WORKDAY($X510,CHOOSE($W510,3,3,2,2,3),Holidays))</f>
        <v/>
      </c>
      <c r="Z510" s="17">
        <f>IF(OR($W510="",$W510=6),"",CHOOSE($W510,"1st Email Follow-up","2nd Email Follow-up","Escalate Local Office","Escalate to CBE","Escalate to Roxanne"))</f>
        <v/>
      </c>
    </row>
    <row r="511" spans="18:26">
      <c r="R511" s="15"/>
      <c r="S511" s="16"/>
      <c r="T511" s="17">
        <f>IF(AND(COUNTA($A511:$K511)=0,$L511=""),"",IF($S511="Paid","PAID",IF($S511="Closed","CLOSED",IF($W511="","",IF($W511=6,"ESCALATED TO ROXANNE",IF(TODAY()&gt;$Y511,"OVERDUE",IF($Y511&lt;=WORKDAY(TODAY(),1,Holidays),"DUE TOMORROW",IF($W511=4,"ESCALATED TO LOCAL OFFICE",IF($W511=5,"ESCALATED TO CBE",IF($X511=TODAY(),"EMAIL SENT","MONITORING"))))))))))</f>
        <v/>
      </c>
      <c r="U511" s="17">
        <f>IF($T511="",IF(AND(COUNTA($A511:$K511)&gt;0,$L511=""),"Awaiting Collection Email time stamp.",""),IF(OR($T511="PAID",$T511="CLOSED"),IF($T511="PAID","Account paid. Action completed.","Account closed. No further action required."),CHOOSE($W511,"Collection Email","1st Email Follow-up","2nd Email Follow-up","Escalation to Local Office","Escalation to CBE","Escalation to Roxanne")&amp;" sent "&amp;TEXT($X511,"dd-mmm")&amp;". "&amp;IF($W511=6,"Final escalation completed.",IF($T511="OVERDUE","Next: "&amp;$Z511&amp;" was due "&amp;TEXT($Y511,"dd-mmm")&amp;" - "&amp;(NETWORKDAYS($Y511,TODAY(),Holidays)-1)&amp;" business day(s) late. Send now.",IF($T511="DUE TOMORROW","Next: "&amp;$Z511&amp;IF($Y511&lt;=TODAY()," is due TODAY ("," is due next business day (")&amp;TEXT($Y511,"dd-mmm")&amp;").","Next: "&amp;$Z511&amp;" due "&amp;TEXT($Y511,"dd-mmm")&amp;" ("&amp;(NETWORKDAYS(TODAY(),$Y511,Holidays)-1)&amp;" business day(s) left).")))))</f>
        <v/>
      </c>
      <c r="V511" s="17">
        <f>IF($W511="","",CHOOSE($W511,"Collection Email","1st Follow-up","2nd Follow-up","Local Office","CBE","Roxanne")&amp;IF($W511=6," - Final"," - Day "&amp;MAX(0,NETWORKDAYS($X511,TODAY(),Holidays)-1)&amp;" of "&amp;CHOOSE($W511,3,3,2,2,3))&amp;" | Total Day "&amp;MAX(0,NETWORKDAYS($L511,TODAY(),Holidays)-1))</f>
        <v/>
      </c>
      <c r="W511" s="17">
        <f>IF($L511="","",COUNT($L511:$Q511))</f>
        <v/>
      </c>
      <c r="X511" s="18">
        <f>IF($W511="","",INT(INDEX($L511:$Q511,$W511)))</f>
        <v/>
      </c>
      <c r="Y511" s="18">
        <f>IF(OR($W511="",$W511=6),"",WORKDAY($X511,CHOOSE($W511,3,3,2,2,3),Holidays))</f>
        <v/>
      </c>
      <c r="Z511" s="17">
        <f>IF(OR($W511="",$W511=6),"",CHOOSE($W511,"1st Email Follow-up","2nd Email Follow-up","Escalate Local Office","Escalate to CBE","Escalate to Roxanne"))</f>
        <v/>
      </c>
    </row>
    <row r="512" spans="18:26">
      <c r="R512" s="15"/>
      <c r="S512" s="16"/>
      <c r="T512" s="17">
        <f>IF(AND(COUNTA($A512:$K512)=0,$L512=""),"",IF($S512="Paid","PAID",IF($S512="Closed","CLOSED",IF($W512="","",IF($W512=6,"ESCALATED TO ROXANNE",IF(TODAY()&gt;$Y512,"OVERDUE",IF($Y512&lt;=WORKDAY(TODAY(),1,Holidays),"DUE TOMORROW",IF($W512=4,"ESCALATED TO LOCAL OFFICE",IF($W512=5,"ESCALATED TO CBE",IF($X512=TODAY(),"EMAIL SENT","MONITORING"))))))))))</f>
        <v/>
      </c>
      <c r="U512" s="17">
        <f>IF($T512="",IF(AND(COUNTA($A512:$K512)&gt;0,$L512=""),"Awaiting Collection Email time stamp.",""),IF(OR($T512="PAID",$T512="CLOSED"),IF($T512="PAID","Account paid. Action completed.","Account closed. No further action required."),CHOOSE($W512,"Collection Email","1st Email Follow-up","2nd Email Follow-up","Escalation to Local Office","Escalation to CBE","Escalation to Roxanne")&amp;" sent "&amp;TEXT($X512,"dd-mmm")&amp;". "&amp;IF($W512=6,"Final escalation completed.",IF($T512="OVERDUE","Next: "&amp;$Z512&amp;" was due "&amp;TEXT($Y512,"dd-mmm")&amp;" - "&amp;(NETWORKDAYS($Y512,TODAY(),Holidays)-1)&amp;" business day(s) late. Send now.",IF($T512="DUE TOMORROW","Next: "&amp;$Z512&amp;IF($Y512&lt;=TODAY()," is due TODAY ("," is due next business day (")&amp;TEXT($Y512,"dd-mmm")&amp;").","Next: "&amp;$Z512&amp;" due "&amp;TEXT($Y512,"dd-mmm")&amp;" ("&amp;(NETWORKDAYS(TODAY(),$Y512,Holidays)-1)&amp;" business day(s) left).")))))</f>
        <v/>
      </c>
      <c r="V512" s="17">
        <f>IF($W512="","",CHOOSE($W512,"Collection Email","1st Follow-up","2nd Follow-up","Local Office","CBE","Roxanne")&amp;IF($W512=6," - Final"," - Day "&amp;MAX(0,NETWORKDAYS($X512,TODAY(),Holidays)-1)&amp;" of "&amp;CHOOSE($W512,3,3,2,2,3))&amp;" | Total Day "&amp;MAX(0,NETWORKDAYS($L512,TODAY(),Holidays)-1))</f>
        <v/>
      </c>
      <c r="W512" s="17">
        <f>IF($L512="","",COUNT($L512:$Q512))</f>
        <v/>
      </c>
      <c r="X512" s="18">
        <f>IF($W512="","",INT(INDEX($L512:$Q512,$W512)))</f>
        <v/>
      </c>
      <c r="Y512" s="18">
        <f>IF(OR($W512="",$W512=6),"",WORKDAY($X512,CHOOSE($W512,3,3,2,2,3),Holidays))</f>
        <v/>
      </c>
      <c r="Z512" s="17">
        <f>IF(OR($W512="",$W512=6),"",CHOOSE($W512,"1st Email Follow-up","2nd Email Follow-up","Escalate Local Office","Escalate to CBE","Escalate to Roxanne"))</f>
        <v/>
      </c>
    </row>
    <row r="513" spans="18:26">
      <c r="R513" s="15"/>
      <c r="S513" s="16"/>
      <c r="T513" s="17">
        <f>IF(AND(COUNTA($A513:$K513)=0,$L513=""),"",IF($S513="Paid","PAID",IF($S513="Closed","CLOSED",IF($W513="","",IF($W513=6,"ESCALATED TO ROXANNE",IF(TODAY()&gt;$Y513,"OVERDUE",IF($Y513&lt;=WORKDAY(TODAY(),1,Holidays),"DUE TOMORROW",IF($W513=4,"ESCALATED TO LOCAL OFFICE",IF($W513=5,"ESCALATED TO CBE",IF($X513=TODAY(),"EMAIL SENT","MONITORING"))))))))))</f>
        <v/>
      </c>
      <c r="U513" s="17">
        <f>IF($T513="",IF(AND(COUNTA($A513:$K513)&gt;0,$L513=""),"Awaiting Collection Email time stamp.",""),IF(OR($T513="PAID",$T513="CLOSED"),IF($T513="PAID","Account paid. Action completed.","Account closed. No further action required."),CHOOSE($W513,"Collection Email","1st Email Follow-up","2nd Email Follow-up","Escalation to Local Office","Escalation to CBE","Escalation to Roxanne")&amp;" sent "&amp;TEXT($X513,"dd-mmm")&amp;". "&amp;IF($W513=6,"Final escalation completed.",IF($T513="OVERDUE","Next: "&amp;$Z513&amp;" was due "&amp;TEXT($Y513,"dd-mmm")&amp;" - "&amp;(NETWORKDAYS($Y513,TODAY(),Holidays)-1)&amp;" business day(s) late. Send now.",IF($T513="DUE TOMORROW","Next: "&amp;$Z513&amp;IF($Y513&lt;=TODAY()," is due TODAY ("," is due next business day (")&amp;TEXT($Y513,"dd-mmm")&amp;").","Next: "&amp;$Z513&amp;" due "&amp;TEXT($Y513,"dd-mmm")&amp;" ("&amp;(NETWORKDAYS(TODAY(),$Y513,Holidays)-1)&amp;" business day(s) left).")))))</f>
        <v/>
      </c>
      <c r="V513" s="17">
        <f>IF($W513="","",CHOOSE($W513,"Collection Email","1st Follow-up","2nd Follow-up","Local Office","CBE","Roxanne")&amp;IF($W513=6," - Final"," - Day "&amp;MAX(0,NETWORKDAYS($X513,TODAY(),Holidays)-1)&amp;" of "&amp;CHOOSE($W513,3,3,2,2,3))&amp;" | Total Day "&amp;MAX(0,NETWORKDAYS($L513,TODAY(),Holidays)-1))</f>
        <v/>
      </c>
      <c r="W513" s="17">
        <f>IF($L513="","",COUNT($L513:$Q513))</f>
        <v/>
      </c>
      <c r="X513" s="18">
        <f>IF($W513="","",INT(INDEX($L513:$Q513,$W513)))</f>
        <v/>
      </c>
      <c r="Y513" s="18">
        <f>IF(OR($W513="",$W513=6),"",WORKDAY($X513,CHOOSE($W513,3,3,2,2,3),Holidays))</f>
        <v/>
      </c>
      <c r="Z513" s="17">
        <f>IF(OR($W513="",$W513=6),"",CHOOSE($W513,"1st Email Follow-up","2nd Email Follow-up","Escalate Local Office","Escalate to CBE","Escalate to Roxanne"))</f>
        <v/>
      </c>
    </row>
    <row r="514" spans="18:26">
      <c r="R514" s="15"/>
      <c r="S514" s="16"/>
      <c r="T514" s="17">
        <f>IF(AND(COUNTA($A514:$K514)=0,$L514=""),"",IF($S514="Paid","PAID",IF($S514="Closed","CLOSED",IF($W514="","",IF($W514=6,"ESCALATED TO ROXANNE",IF(TODAY()&gt;$Y514,"OVERDUE",IF($Y514&lt;=WORKDAY(TODAY(),1,Holidays),"DUE TOMORROW",IF($W514=4,"ESCALATED TO LOCAL OFFICE",IF($W514=5,"ESCALATED TO CBE",IF($X514=TODAY(),"EMAIL SENT","MONITORING"))))))))))</f>
        <v/>
      </c>
      <c r="U514" s="17">
        <f>IF($T514="",IF(AND(COUNTA($A514:$K514)&gt;0,$L514=""),"Awaiting Collection Email time stamp.",""),IF(OR($T514="PAID",$T514="CLOSED"),IF($T514="PAID","Account paid. Action completed.","Account closed. No further action required."),CHOOSE($W514,"Collection Email","1st Email Follow-up","2nd Email Follow-up","Escalation to Local Office","Escalation to CBE","Escalation to Roxanne")&amp;" sent "&amp;TEXT($X514,"dd-mmm")&amp;". "&amp;IF($W514=6,"Final escalation completed.",IF($T514="OVERDUE","Next: "&amp;$Z514&amp;" was due "&amp;TEXT($Y514,"dd-mmm")&amp;" - "&amp;(NETWORKDAYS($Y514,TODAY(),Holidays)-1)&amp;" business day(s) late. Send now.",IF($T514="DUE TOMORROW","Next: "&amp;$Z514&amp;IF($Y514&lt;=TODAY()," is due TODAY ("," is due next business day (")&amp;TEXT($Y514,"dd-mmm")&amp;").","Next: "&amp;$Z514&amp;" due "&amp;TEXT($Y514,"dd-mmm")&amp;" ("&amp;(NETWORKDAYS(TODAY(),$Y514,Holidays)-1)&amp;" business day(s) left).")))))</f>
        <v/>
      </c>
      <c r="V514" s="17">
        <f>IF($W514="","",CHOOSE($W514,"Collection Email","1st Follow-up","2nd Follow-up","Local Office","CBE","Roxanne")&amp;IF($W514=6," - Final"," - Day "&amp;MAX(0,NETWORKDAYS($X514,TODAY(),Holidays)-1)&amp;" of "&amp;CHOOSE($W514,3,3,2,2,3))&amp;" | Total Day "&amp;MAX(0,NETWORKDAYS($L514,TODAY(),Holidays)-1))</f>
        <v/>
      </c>
      <c r="W514" s="17">
        <f>IF($L514="","",COUNT($L514:$Q514))</f>
        <v/>
      </c>
      <c r="X514" s="18">
        <f>IF($W514="","",INT(INDEX($L514:$Q514,$W514)))</f>
        <v/>
      </c>
      <c r="Y514" s="18">
        <f>IF(OR($W514="",$W514=6),"",WORKDAY($X514,CHOOSE($W514,3,3,2,2,3),Holidays))</f>
        <v/>
      </c>
      <c r="Z514" s="17">
        <f>IF(OR($W514="",$W514=6),"",CHOOSE($W514,"1st Email Follow-up","2nd Email Follow-up","Escalate Local Office","Escalate to CBE","Escalate to Roxanne"))</f>
        <v/>
      </c>
    </row>
    <row r="515" spans="18:26">
      <c r="R515" s="15"/>
      <c r="S515" s="16"/>
      <c r="T515" s="17">
        <f>IF(AND(COUNTA($A515:$K515)=0,$L515=""),"",IF($S515="Paid","PAID",IF($S515="Closed","CLOSED",IF($W515="","",IF($W515=6,"ESCALATED TO ROXANNE",IF(TODAY()&gt;$Y515,"OVERDUE",IF($Y515&lt;=WORKDAY(TODAY(),1,Holidays),"DUE TOMORROW",IF($W515=4,"ESCALATED TO LOCAL OFFICE",IF($W515=5,"ESCALATED TO CBE",IF($X515=TODAY(),"EMAIL SENT","MONITORING"))))))))))</f>
        <v/>
      </c>
      <c r="U515" s="17">
        <f>IF($T515="",IF(AND(COUNTA($A515:$K515)&gt;0,$L515=""),"Awaiting Collection Email time stamp.",""),IF(OR($T515="PAID",$T515="CLOSED"),IF($T515="PAID","Account paid. Action completed.","Account closed. No further action required."),CHOOSE($W515,"Collection Email","1st Email Follow-up","2nd Email Follow-up","Escalation to Local Office","Escalation to CBE","Escalation to Roxanne")&amp;" sent "&amp;TEXT($X515,"dd-mmm")&amp;". "&amp;IF($W515=6,"Final escalation completed.",IF($T515="OVERDUE","Next: "&amp;$Z515&amp;" was due "&amp;TEXT($Y515,"dd-mmm")&amp;" - "&amp;(NETWORKDAYS($Y515,TODAY(),Holidays)-1)&amp;" business day(s) late. Send now.",IF($T515="DUE TOMORROW","Next: "&amp;$Z515&amp;IF($Y515&lt;=TODAY()," is due TODAY ("," is due next business day (")&amp;TEXT($Y515,"dd-mmm")&amp;").","Next: "&amp;$Z515&amp;" due "&amp;TEXT($Y515,"dd-mmm")&amp;" ("&amp;(NETWORKDAYS(TODAY(),$Y515,Holidays)-1)&amp;" business day(s) left).")))))</f>
        <v/>
      </c>
      <c r="V515" s="17">
        <f>IF($W515="","",CHOOSE($W515,"Collection Email","1st Follow-up","2nd Follow-up","Local Office","CBE","Roxanne")&amp;IF($W515=6," - Final"," - Day "&amp;MAX(0,NETWORKDAYS($X515,TODAY(),Holidays)-1)&amp;" of "&amp;CHOOSE($W515,3,3,2,2,3))&amp;" | Total Day "&amp;MAX(0,NETWORKDAYS($L515,TODAY(),Holidays)-1))</f>
        <v/>
      </c>
      <c r="W515" s="17">
        <f>IF($L515="","",COUNT($L515:$Q515))</f>
        <v/>
      </c>
      <c r="X515" s="18">
        <f>IF($W515="","",INT(INDEX($L515:$Q515,$W515)))</f>
        <v/>
      </c>
      <c r="Y515" s="18">
        <f>IF(OR($W515="",$W515=6),"",WORKDAY($X515,CHOOSE($W515,3,3,2,2,3),Holidays))</f>
        <v/>
      </c>
      <c r="Z515" s="17">
        <f>IF(OR($W515="",$W515=6),"",CHOOSE($W515,"1st Email Follow-up","2nd Email Follow-up","Escalate Local Office","Escalate to CBE","Escalate to Roxanne"))</f>
        <v/>
      </c>
    </row>
    <row r="516" spans="18:26">
      <c r="R516" s="15"/>
      <c r="S516" s="16"/>
      <c r="T516" s="17">
        <f>IF(AND(COUNTA($A516:$K516)=0,$L516=""),"",IF($S516="Paid","PAID",IF($S516="Closed","CLOSED",IF($W516="","",IF($W516=6,"ESCALATED TO ROXANNE",IF(TODAY()&gt;$Y516,"OVERDUE",IF($Y516&lt;=WORKDAY(TODAY(),1,Holidays),"DUE TOMORROW",IF($W516=4,"ESCALATED TO LOCAL OFFICE",IF($W516=5,"ESCALATED TO CBE",IF($X516=TODAY(),"EMAIL SENT","MONITORING"))))))))))</f>
        <v/>
      </c>
      <c r="U516" s="17">
        <f>IF($T516="",IF(AND(COUNTA($A516:$K516)&gt;0,$L516=""),"Awaiting Collection Email time stamp.",""),IF(OR($T516="PAID",$T516="CLOSED"),IF($T516="PAID","Account paid. Action completed.","Account closed. No further action required."),CHOOSE($W516,"Collection Email","1st Email Follow-up","2nd Email Follow-up","Escalation to Local Office","Escalation to CBE","Escalation to Roxanne")&amp;" sent "&amp;TEXT($X516,"dd-mmm")&amp;". "&amp;IF($W516=6,"Final escalation completed.",IF($T516="OVERDUE","Next: "&amp;$Z516&amp;" was due "&amp;TEXT($Y516,"dd-mmm")&amp;" - "&amp;(NETWORKDAYS($Y516,TODAY(),Holidays)-1)&amp;" business day(s) late. Send now.",IF($T516="DUE TOMORROW","Next: "&amp;$Z516&amp;IF($Y516&lt;=TODAY()," is due TODAY ("," is due next business day (")&amp;TEXT($Y516,"dd-mmm")&amp;").","Next: "&amp;$Z516&amp;" due "&amp;TEXT($Y516,"dd-mmm")&amp;" ("&amp;(NETWORKDAYS(TODAY(),$Y516,Holidays)-1)&amp;" business day(s) left).")))))</f>
        <v/>
      </c>
      <c r="V516" s="17">
        <f>IF($W516="","",CHOOSE($W516,"Collection Email","1st Follow-up","2nd Follow-up","Local Office","CBE","Roxanne")&amp;IF($W516=6," - Final"," - Day "&amp;MAX(0,NETWORKDAYS($X516,TODAY(),Holidays)-1)&amp;" of "&amp;CHOOSE($W516,3,3,2,2,3))&amp;" | Total Day "&amp;MAX(0,NETWORKDAYS($L516,TODAY(),Holidays)-1))</f>
        <v/>
      </c>
      <c r="W516" s="17">
        <f>IF($L516="","",COUNT($L516:$Q516))</f>
        <v/>
      </c>
      <c r="X516" s="18">
        <f>IF($W516="","",INT(INDEX($L516:$Q516,$W516)))</f>
        <v/>
      </c>
      <c r="Y516" s="18">
        <f>IF(OR($W516="",$W516=6),"",WORKDAY($X516,CHOOSE($W516,3,3,2,2,3),Holidays))</f>
        <v/>
      </c>
      <c r="Z516" s="17">
        <f>IF(OR($W516="",$W516=6),"",CHOOSE($W516,"1st Email Follow-up","2nd Email Follow-up","Escalate Local Office","Escalate to CBE","Escalate to Roxanne"))</f>
        <v/>
      </c>
    </row>
    <row r="517" spans="18:26">
      <c r="R517" s="15"/>
      <c r="S517" s="16"/>
      <c r="T517" s="17">
        <f>IF(AND(COUNTA($A517:$K517)=0,$L517=""),"",IF($S517="Paid","PAID",IF($S517="Closed","CLOSED",IF($W517="","",IF($W517=6,"ESCALATED TO ROXANNE",IF(TODAY()&gt;$Y517,"OVERDUE",IF($Y517&lt;=WORKDAY(TODAY(),1,Holidays),"DUE TOMORROW",IF($W517=4,"ESCALATED TO LOCAL OFFICE",IF($W517=5,"ESCALATED TO CBE",IF($X517=TODAY(),"EMAIL SENT","MONITORING"))))))))))</f>
        <v/>
      </c>
      <c r="U517" s="17">
        <f>IF($T517="",IF(AND(COUNTA($A517:$K517)&gt;0,$L517=""),"Awaiting Collection Email time stamp.",""),IF(OR($T517="PAID",$T517="CLOSED"),IF($T517="PAID","Account paid. Action completed.","Account closed. No further action required."),CHOOSE($W517,"Collection Email","1st Email Follow-up","2nd Email Follow-up","Escalation to Local Office","Escalation to CBE","Escalation to Roxanne")&amp;" sent "&amp;TEXT($X517,"dd-mmm")&amp;". "&amp;IF($W517=6,"Final escalation completed.",IF($T517="OVERDUE","Next: "&amp;$Z517&amp;" was due "&amp;TEXT($Y517,"dd-mmm")&amp;" - "&amp;(NETWORKDAYS($Y517,TODAY(),Holidays)-1)&amp;" business day(s) late. Send now.",IF($T517="DUE TOMORROW","Next: "&amp;$Z517&amp;IF($Y517&lt;=TODAY()," is due TODAY ("," is due next business day (")&amp;TEXT($Y517,"dd-mmm")&amp;").","Next: "&amp;$Z517&amp;" due "&amp;TEXT($Y517,"dd-mmm")&amp;" ("&amp;(NETWORKDAYS(TODAY(),$Y517,Holidays)-1)&amp;" business day(s) left).")))))</f>
        <v/>
      </c>
      <c r="V517" s="17">
        <f>IF($W517="","",CHOOSE($W517,"Collection Email","1st Follow-up","2nd Follow-up","Local Office","CBE","Roxanne")&amp;IF($W517=6," - Final"," - Day "&amp;MAX(0,NETWORKDAYS($X517,TODAY(),Holidays)-1)&amp;" of "&amp;CHOOSE($W517,3,3,2,2,3))&amp;" | Total Day "&amp;MAX(0,NETWORKDAYS($L517,TODAY(),Holidays)-1))</f>
        <v/>
      </c>
      <c r="W517" s="17">
        <f>IF($L517="","",COUNT($L517:$Q517))</f>
        <v/>
      </c>
      <c r="X517" s="18">
        <f>IF($W517="","",INT(INDEX($L517:$Q517,$W517)))</f>
        <v/>
      </c>
      <c r="Y517" s="18">
        <f>IF(OR($W517="",$W517=6),"",WORKDAY($X517,CHOOSE($W517,3,3,2,2,3),Holidays))</f>
        <v/>
      </c>
      <c r="Z517" s="17">
        <f>IF(OR($W517="",$W517=6),"",CHOOSE($W517,"1st Email Follow-up","2nd Email Follow-up","Escalate Local Office","Escalate to CBE","Escalate to Roxanne"))</f>
        <v/>
      </c>
    </row>
    <row r="518" spans="18:26">
      <c r="R518" s="15"/>
      <c r="S518" s="16"/>
      <c r="T518" s="17">
        <f>IF(AND(COUNTA($A518:$K518)=0,$L518=""),"",IF($S518="Paid","PAID",IF($S518="Closed","CLOSED",IF($W518="","",IF($W518=6,"ESCALATED TO ROXANNE",IF(TODAY()&gt;$Y518,"OVERDUE",IF($Y518&lt;=WORKDAY(TODAY(),1,Holidays),"DUE TOMORROW",IF($W518=4,"ESCALATED TO LOCAL OFFICE",IF($W518=5,"ESCALATED TO CBE",IF($X518=TODAY(),"EMAIL SENT","MONITORING"))))))))))</f>
        <v/>
      </c>
      <c r="U518" s="17">
        <f>IF($T518="",IF(AND(COUNTA($A518:$K518)&gt;0,$L518=""),"Awaiting Collection Email time stamp.",""),IF(OR($T518="PAID",$T518="CLOSED"),IF($T518="PAID","Account paid. Action completed.","Account closed. No further action required."),CHOOSE($W518,"Collection Email","1st Email Follow-up","2nd Email Follow-up","Escalation to Local Office","Escalation to CBE","Escalation to Roxanne")&amp;" sent "&amp;TEXT($X518,"dd-mmm")&amp;". "&amp;IF($W518=6,"Final escalation completed.",IF($T518="OVERDUE","Next: "&amp;$Z518&amp;" was due "&amp;TEXT($Y518,"dd-mmm")&amp;" - "&amp;(NETWORKDAYS($Y518,TODAY(),Holidays)-1)&amp;" business day(s) late. Send now.",IF($T518="DUE TOMORROW","Next: "&amp;$Z518&amp;IF($Y518&lt;=TODAY()," is due TODAY ("," is due next business day (")&amp;TEXT($Y518,"dd-mmm")&amp;").","Next: "&amp;$Z518&amp;" due "&amp;TEXT($Y518,"dd-mmm")&amp;" ("&amp;(NETWORKDAYS(TODAY(),$Y518,Holidays)-1)&amp;" business day(s) left).")))))</f>
        <v/>
      </c>
      <c r="V518" s="17">
        <f>IF($W518="","",CHOOSE($W518,"Collection Email","1st Follow-up","2nd Follow-up","Local Office","CBE","Roxanne")&amp;IF($W518=6," - Final"," - Day "&amp;MAX(0,NETWORKDAYS($X518,TODAY(),Holidays)-1)&amp;" of "&amp;CHOOSE($W518,3,3,2,2,3))&amp;" | Total Day "&amp;MAX(0,NETWORKDAYS($L518,TODAY(),Holidays)-1))</f>
        <v/>
      </c>
      <c r="W518" s="17">
        <f>IF($L518="","",COUNT($L518:$Q518))</f>
        <v/>
      </c>
      <c r="X518" s="18">
        <f>IF($W518="","",INT(INDEX($L518:$Q518,$W518)))</f>
        <v/>
      </c>
      <c r="Y518" s="18">
        <f>IF(OR($W518="",$W518=6),"",WORKDAY($X518,CHOOSE($W518,3,3,2,2,3),Holidays))</f>
        <v/>
      </c>
      <c r="Z518" s="17">
        <f>IF(OR($W518="",$W518=6),"",CHOOSE($W518,"1st Email Follow-up","2nd Email Follow-up","Escalate Local Office","Escalate to CBE","Escalate to Roxanne"))</f>
        <v/>
      </c>
    </row>
    <row r="519" spans="18:26">
      <c r="R519" s="15"/>
      <c r="S519" s="16"/>
      <c r="T519" s="17">
        <f>IF(AND(COUNTA($A519:$K519)=0,$L519=""),"",IF($S519="Paid","PAID",IF($S519="Closed","CLOSED",IF($W519="","",IF($W519=6,"ESCALATED TO ROXANNE",IF(TODAY()&gt;$Y519,"OVERDUE",IF($Y519&lt;=WORKDAY(TODAY(),1,Holidays),"DUE TOMORROW",IF($W519=4,"ESCALATED TO LOCAL OFFICE",IF($W519=5,"ESCALATED TO CBE",IF($X519=TODAY(),"EMAIL SENT","MONITORING"))))))))))</f>
        <v/>
      </c>
      <c r="U519" s="17">
        <f>IF($T519="",IF(AND(COUNTA($A519:$K519)&gt;0,$L519=""),"Awaiting Collection Email time stamp.",""),IF(OR($T519="PAID",$T519="CLOSED"),IF($T519="PAID","Account paid. Action completed.","Account closed. No further action required."),CHOOSE($W519,"Collection Email","1st Email Follow-up","2nd Email Follow-up","Escalation to Local Office","Escalation to CBE","Escalation to Roxanne")&amp;" sent "&amp;TEXT($X519,"dd-mmm")&amp;". "&amp;IF($W519=6,"Final escalation completed.",IF($T519="OVERDUE","Next: "&amp;$Z519&amp;" was due "&amp;TEXT($Y519,"dd-mmm")&amp;" - "&amp;(NETWORKDAYS($Y519,TODAY(),Holidays)-1)&amp;" business day(s) late. Send now.",IF($T519="DUE TOMORROW","Next: "&amp;$Z519&amp;IF($Y519&lt;=TODAY()," is due TODAY ("," is due next business day (")&amp;TEXT($Y519,"dd-mmm")&amp;").","Next: "&amp;$Z519&amp;" due "&amp;TEXT($Y519,"dd-mmm")&amp;" ("&amp;(NETWORKDAYS(TODAY(),$Y519,Holidays)-1)&amp;" business day(s) left).")))))</f>
        <v/>
      </c>
      <c r="V519" s="17">
        <f>IF($W519="","",CHOOSE($W519,"Collection Email","1st Follow-up","2nd Follow-up","Local Office","CBE","Roxanne")&amp;IF($W519=6," - Final"," - Day "&amp;MAX(0,NETWORKDAYS($X519,TODAY(),Holidays)-1)&amp;" of "&amp;CHOOSE($W519,3,3,2,2,3))&amp;" | Total Day "&amp;MAX(0,NETWORKDAYS($L519,TODAY(),Holidays)-1))</f>
        <v/>
      </c>
      <c r="W519" s="17">
        <f>IF($L519="","",COUNT($L519:$Q519))</f>
        <v/>
      </c>
      <c r="X519" s="18">
        <f>IF($W519="","",INT(INDEX($L519:$Q519,$W519)))</f>
        <v/>
      </c>
      <c r="Y519" s="18">
        <f>IF(OR($W519="",$W519=6),"",WORKDAY($X519,CHOOSE($W519,3,3,2,2,3),Holidays))</f>
        <v/>
      </c>
      <c r="Z519" s="17">
        <f>IF(OR($W519="",$W519=6),"",CHOOSE($W519,"1st Email Follow-up","2nd Email Follow-up","Escalate Local Office","Escalate to CBE","Escalate to Roxanne"))</f>
        <v/>
      </c>
    </row>
    <row r="520" spans="18:26">
      <c r="R520" s="15"/>
      <c r="S520" s="16"/>
      <c r="T520" s="17">
        <f>IF(AND(COUNTA($A520:$K520)=0,$L520=""),"",IF($S520="Paid","PAID",IF($S520="Closed","CLOSED",IF($W520="","",IF($W520=6,"ESCALATED TO ROXANNE",IF(TODAY()&gt;$Y520,"OVERDUE",IF($Y520&lt;=WORKDAY(TODAY(),1,Holidays),"DUE TOMORROW",IF($W520=4,"ESCALATED TO LOCAL OFFICE",IF($W520=5,"ESCALATED TO CBE",IF($X520=TODAY(),"EMAIL SENT","MONITORING"))))))))))</f>
        <v/>
      </c>
      <c r="U520" s="17">
        <f>IF($T520="",IF(AND(COUNTA($A520:$K520)&gt;0,$L520=""),"Awaiting Collection Email time stamp.",""),IF(OR($T520="PAID",$T520="CLOSED"),IF($T520="PAID","Account paid. Action completed.","Account closed. No further action required."),CHOOSE($W520,"Collection Email","1st Email Follow-up","2nd Email Follow-up","Escalation to Local Office","Escalation to CBE","Escalation to Roxanne")&amp;" sent "&amp;TEXT($X520,"dd-mmm")&amp;". "&amp;IF($W520=6,"Final escalation completed.",IF($T520="OVERDUE","Next: "&amp;$Z520&amp;" was due "&amp;TEXT($Y520,"dd-mmm")&amp;" - "&amp;(NETWORKDAYS($Y520,TODAY(),Holidays)-1)&amp;" business day(s) late. Send now.",IF($T520="DUE TOMORROW","Next: "&amp;$Z520&amp;IF($Y520&lt;=TODAY()," is due TODAY ("," is due next business day (")&amp;TEXT($Y520,"dd-mmm")&amp;").","Next: "&amp;$Z520&amp;" due "&amp;TEXT($Y520,"dd-mmm")&amp;" ("&amp;(NETWORKDAYS(TODAY(),$Y520,Holidays)-1)&amp;" business day(s) left).")))))</f>
        <v/>
      </c>
      <c r="V520" s="17">
        <f>IF($W520="","",CHOOSE($W520,"Collection Email","1st Follow-up","2nd Follow-up","Local Office","CBE","Roxanne")&amp;IF($W520=6," - Final"," - Day "&amp;MAX(0,NETWORKDAYS($X520,TODAY(),Holidays)-1)&amp;" of "&amp;CHOOSE($W520,3,3,2,2,3))&amp;" | Total Day "&amp;MAX(0,NETWORKDAYS($L520,TODAY(),Holidays)-1))</f>
        <v/>
      </c>
      <c r="W520" s="17">
        <f>IF($L520="","",COUNT($L520:$Q520))</f>
        <v/>
      </c>
      <c r="X520" s="18">
        <f>IF($W520="","",INT(INDEX($L520:$Q520,$W520)))</f>
        <v/>
      </c>
      <c r="Y520" s="18">
        <f>IF(OR($W520="",$W520=6),"",WORKDAY($X520,CHOOSE($W520,3,3,2,2,3),Holidays))</f>
        <v/>
      </c>
      <c r="Z520" s="17">
        <f>IF(OR($W520="",$W520=6),"",CHOOSE($W520,"1st Email Follow-up","2nd Email Follow-up","Escalate Local Office","Escalate to CBE","Escalate to Roxanne"))</f>
        <v/>
      </c>
    </row>
    <row r="521" spans="18:26">
      <c r="R521" s="15"/>
      <c r="S521" s="16"/>
      <c r="T521" s="17">
        <f>IF(AND(COUNTA($A521:$K521)=0,$L521=""),"",IF($S521="Paid","PAID",IF($S521="Closed","CLOSED",IF($W521="","",IF($W521=6,"ESCALATED TO ROXANNE",IF(TODAY()&gt;$Y521,"OVERDUE",IF($Y521&lt;=WORKDAY(TODAY(),1,Holidays),"DUE TOMORROW",IF($W521=4,"ESCALATED TO LOCAL OFFICE",IF($W521=5,"ESCALATED TO CBE",IF($X521=TODAY(),"EMAIL SENT","MONITORING"))))))))))</f>
        <v/>
      </c>
      <c r="U521" s="17">
        <f>IF($T521="",IF(AND(COUNTA($A521:$K521)&gt;0,$L521=""),"Awaiting Collection Email time stamp.",""),IF(OR($T521="PAID",$T521="CLOSED"),IF($T521="PAID","Account paid. Action completed.","Account closed. No further action required."),CHOOSE($W521,"Collection Email","1st Email Follow-up","2nd Email Follow-up","Escalation to Local Office","Escalation to CBE","Escalation to Roxanne")&amp;" sent "&amp;TEXT($X521,"dd-mmm")&amp;". "&amp;IF($W521=6,"Final escalation completed.",IF($T521="OVERDUE","Next: "&amp;$Z521&amp;" was due "&amp;TEXT($Y521,"dd-mmm")&amp;" - "&amp;(NETWORKDAYS($Y521,TODAY(),Holidays)-1)&amp;" business day(s) late. Send now.",IF($T521="DUE TOMORROW","Next: "&amp;$Z521&amp;IF($Y521&lt;=TODAY()," is due TODAY ("," is due next business day (")&amp;TEXT($Y521,"dd-mmm")&amp;").","Next: "&amp;$Z521&amp;" due "&amp;TEXT($Y521,"dd-mmm")&amp;" ("&amp;(NETWORKDAYS(TODAY(),$Y521,Holidays)-1)&amp;" business day(s) left).")))))</f>
        <v/>
      </c>
      <c r="V521" s="17">
        <f>IF($W521="","",CHOOSE($W521,"Collection Email","1st Follow-up","2nd Follow-up","Local Office","CBE","Roxanne")&amp;IF($W521=6," - Final"," - Day "&amp;MAX(0,NETWORKDAYS($X521,TODAY(),Holidays)-1)&amp;" of "&amp;CHOOSE($W521,3,3,2,2,3))&amp;" | Total Day "&amp;MAX(0,NETWORKDAYS($L521,TODAY(),Holidays)-1))</f>
        <v/>
      </c>
      <c r="W521" s="17">
        <f>IF($L521="","",COUNT($L521:$Q521))</f>
        <v/>
      </c>
      <c r="X521" s="18">
        <f>IF($W521="","",INT(INDEX($L521:$Q521,$W521)))</f>
        <v/>
      </c>
      <c r="Y521" s="18">
        <f>IF(OR($W521="",$W521=6),"",WORKDAY($X521,CHOOSE($W521,3,3,2,2,3),Holidays))</f>
        <v/>
      </c>
      <c r="Z521" s="17">
        <f>IF(OR($W521="",$W521=6),"",CHOOSE($W521,"1st Email Follow-up","2nd Email Follow-up","Escalate Local Office","Escalate to CBE","Escalate to Roxanne"))</f>
        <v/>
      </c>
    </row>
    <row r="522" spans="18:26">
      <c r="R522" s="15"/>
      <c r="S522" s="16"/>
      <c r="T522" s="17">
        <f>IF(AND(COUNTA($A522:$K522)=0,$L522=""),"",IF($S522="Paid","PAID",IF($S522="Closed","CLOSED",IF($W522="","",IF($W522=6,"ESCALATED TO ROXANNE",IF(TODAY()&gt;$Y522,"OVERDUE",IF($Y522&lt;=WORKDAY(TODAY(),1,Holidays),"DUE TOMORROW",IF($W522=4,"ESCALATED TO LOCAL OFFICE",IF($W522=5,"ESCALATED TO CBE",IF($X522=TODAY(),"EMAIL SENT","MONITORING"))))))))))</f>
        <v/>
      </c>
      <c r="U522" s="17">
        <f>IF($T522="",IF(AND(COUNTA($A522:$K522)&gt;0,$L522=""),"Awaiting Collection Email time stamp.",""),IF(OR($T522="PAID",$T522="CLOSED"),IF($T522="PAID","Account paid. Action completed.","Account closed. No further action required."),CHOOSE($W522,"Collection Email","1st Email Follow-up","2nd Email Follow-up","Escalation to Local Office","Escalation to CBE","Escalation to Roxanne")&amp;" sent "&amp;TEXT($X522,"dd-mmm")&amp;". "&amp;IF($W522=6,"Final escalation completed.",IF($T522="OVERDUE","Next: "&amp;$Z522&amp;" was due "&amp;TEXT($Y522,"dd-mmm")&amp;" - "&amp;(NETWORKDAYS($Y522,TODAY(),Holidays)-1)&amp;" business day(s) late. Send now.",IF($T522="DUE TOMORROW","Next: "&amp;$Z522&amp;IF($Y522&lt;=TODAY()," is due TODAY ("," is due next business day (")&amp;TEXT($Y522,"dd-mmm")&amp;").","Next: "&amp;$Z522&amp;" due "&amp;TEXT($Y522,"dd-mmm")&amp;" ("&amp;(NETWORKDAYS(TODAY(),$Y522,Holidays)-1)&amp;" business day(s) left).")))))</f>
        <v/>
      </c>
      <c r="V522" s="17">
        <f>IF($W522="","",CHOOSE($W522,"Collection Email","1st Follow-up","2nd Follow-up","Local Office","CBE","Roxanne")&amp;IF($W522=6," - Final"," - Day "&amp;MAX(0,NETWORKDAYS($X522,TODAY(),Holidays)-1)&amp;" of "&amp;CHOOSE($W522,3,3,2,2,3))&amp;" | Total Day "&amp;MAX(0,NETWORKDAYS($L522,TODAY(),Holidays)-1))</f>
        <v/>
      </c>
      <c r="W522" s="17">
        <f>IF($L522="","",COUNT($L522:$Q522))</f>
        <v/>
      </c>
      <c r="X522" s="18">
        <f>IF($W522="","",INT(INDEX($L522:$Q522,$W522)))</f>
        <v/>
      </c>
      <c r="Y522" s="18">
        <f>IF(OR($W522="",$W522=6),"",WORKDAY($X522,CHOOSE($W522,3,3,2,2,3),Holidays))</f>
        <v/>
      </c>
      <c r="Z522" s="17">
        <f>IF(OR($W522="",$W522=6),"",CHOOSE($W522,"1st Email Follow-up","2nd Email Follow-up","Escalate Local Office","Escalate to CBE","Escalate to Roxanne"))</f>
        <v/>
      </c>
    </row>
    <row r="523" spans="18:26">
      <c r="R523" s="15"/>
      <c r="S523" s="16"/>
      <c r="T523" s="17">
        <f>IF(AND(COUNTA($A523:$K523)=0,$L523=""),"",IF($S523="Paid","PAID",IF($S523="Closed","CLOSED",IF($W523="","",IF($W523=6,"ESCALATED TO ROXANNE",IF(TODAY()&gt;$Y523,"OVERDUE",IF($Y523&lt;=WORKDAY(TODAY(),1,Holidays),"DUE TOMORROW",IF($W523=4,"ESCALATED TO LOCAL OFFICE",IF($W523=5,"ESCALATED TO CBE",IF($X523=TODAY(),"EMAIL SENT","MONITORING"))))))))))</f>
        <v/>
      </c>
      <c r="U523" s="17">
        <f>IF($T523="",IF(AND(COUNTA($A523:$K523)&gt;0,$L523=""),"Awaiting Collection Email time stamp.",""),IF(OR($T523="PAID",$T523="CLOSED"),IF($T523="PAID","Account paid. Action completed.","Account closed. No further action required."),CHOOSE($W523,"Collection Email","1st Email Follow-up","2nd Email Follow-up","Escalation to Local Office","Escalation to CBE","Escalation to Roxanne")&amp;" sent "&amp;TEXT($X523,"dd-mmm")&amp;". "&amp;IF($W523=6,"Final escalation completed.",IF($T523="OVERDUE","Next: "&amp;$Z523&amp;" was due "&amp;TEXT($Y523,"dd-mmm")&amp;" - "&amp;(NETWORKDAYS($Y523,TODAY(),Holidays)-1)&amp;" business day(s) late. Send now.",IF($T523="DUE TOMORROW","Next: "&amp;$Z523&amp;IF($Y523&lt;=TODAY()," is due TODAY ("," is due next business day (")&amp;TEXT($Y523,"dd-mmm")&amp;").","Next: "&amp;$Z523&amp;" due "&amp;TEXT($Y523,"dd-mmm")&amp;" ("&amp;(NETWORKDAYS(TODAY(),$Y523,Holidays)-1)&amp;" business day(s) left).")))))</f>
        <v/>
      </c>
      <c r="V523" s="17">
        <f>IF($W523="","",CHOOSE($W523,"Collection Email","1st Follow-up","2nd Follow-up","Local Office","CBE","Roxanne")&amp;IF($W523=6," - Final"," - Day "&amp;MAX(0,NETWORKDAYS($X523,TODAY(),Holidays)-1)&amp;" of "&amp;CHOOSE($W523,3,3,2,2,3))&amp;" | Total Day "&amp;MAX(0,NETWORKDAYS($L523,TODAY(),Holidays)-1))</f>
        <v/>
      </c>
      <c r="W523" s="17">
        <f>IF($L523="","",COUNT($L523:$Q523))</f>
        <v/>
      </c>
      <c r="X523" s="18">
        <f>IF($W523="","",INT(INDEX($L523:$Q523,$W523)))</f>
        <v/>
      </c>
      <c r="Y523" s="18">
        <f>IF(OR($W523="",$W523=6),"",WORKDAY($X523,CHOOSE($W523,3,3,2,2,3),Holidays))</f>
        <v/>
      </c>
      <c r="Z523" s="17">
        <f>IF(OR($W523="",$W523=6),"",CHOOSE($W523,"1st Email Follow-up","2nd Email Follow-up","Escalate Local Office","Escalate to CBE","Escalate to Roxanne"))</f>
        <v/>
      </c>
    </row>
    <row r="524" spans="18:26">
      <c r="R524" s="15"/>
      <c r="S524" s="16"/>
      <c r="T524" s="17">
        <f>IF(AND(COUNTA($A524:$K524)=0,$L524=""),"",IF($S524="Paid","PAID",IF($S524="Closed","CLOSED",IF($W524="","",IF($W524=6,"ESCALATED TO ROXANNE",IF(TODAY()&gt;$Y524,"OVERDUE",IF($Y524&lt;=WORKDAY(TODAY(),1,Holidays),"DUE TOMORROW",IF($W524=4,"ESCALATED TO LOCAL OFFICE",IF($W524=5,"ESCALATED TO CBE",IF($X524=TODAY(),"EMAIL SENT","MONITORING"))))))))))</f>
        <v/>
      </c>
      <c r="U524" s="17">
        <f>IF($T524="",IF(AND(COUNTA($A524:$K524)&gt;0,$L524=""),"Awaiting Collection Email time stamp.",""),IF(OR($T524="PAID",$T524="CLOSED"),IF($T524="PAID","Account paid. Action completed.","Account closed. No further action required."),CHOOSE($W524,"Collection Email","1st Email Follow-up","2nd Email Follow-up","Escalation to Local Office","Escalation to CBE","Escalation to Roxanne")&amp;" sent "&amp;TEXT($X524,"dd-mmm")&amp;". "&amp;IF($W524=6,"Final escalation completed.",IF($T524="OVERDUE","Next: "&amp;$Z524&amp;" was due "&amp;TEXT($Y524,"dd-mmm")&amp;" - "&amp;(NETWORKDAYS($Y524,TODAY(),Holidays)-1)&amp;" business day(s) late. Send now.",IF($T524="DUE TOMORROW","Next: "&amp;$Z524&amp;IF($Y524&lt;=TODAY()," is due TODAY ("," is due next business day (")&amp;TEXT($Y524,"dd-mmm")&amp;").","Next: "&amp;$Z524&amp;" due "&amp;TEXT($Y524,"dd-mmm")&amp;" ("&amp;(NETWORKDAYS(TODAY(),$Y524,Holidays)-1)&amp;" business day(s) left).")))))</f>
        <v/>
      </c>
      <c r="V524" s="17">
        <f>IF($W524="","",CHOOSE($W524,"Collection Email","1st Follow-up","2nd Follow-up","Local Office","CBE","Roxanne")&amp;IF($W524=6," - Final"," - Day "&amp;MAX(0,NETWORKDAYS($X524,TODAY(),Holidays)-1)&amp;" of "&amp;CHOOSE($W524,3,3,2,2,3))&amp;" | Total Day "&amp;MAX(0,NETWORKDAYS($L524,TODAY(),Holidays)-1))</f>
        <v/>
      </c>
      <c r="W524" s="17">
        <f>IF($L524="","",COUNT($L524:$Q524))</f>
        <v/>
      </c>
      <c r="X524" s="18">
        <f>IF($W524="","",INT(INDEX($L524:$Q524,$W524)))</f>
        <v/>
      </c>
      <c r="Y524" s="18">
        <f>IF(OR($W524="",$W524=6),"",WORKDAY($X524,CHOOSE($W524,3,3,2,2,3),Holidays))</f>
        <v/>
      </c>
      <c r="Z524" s="17">
        <f>IF(OR($W524="",$W524=6),"",CHOOSE($W524,"1st Email Follow-up","2nd Email Follow-up","Escalate Local Office","Escalate to CBE","Escalate to Roxanne"))</f>
        <v/>
      </c>
    </row>
    <row r="525" spans="18:26">
      <c r="R525" s="15"/>
      <c r="S525" s="16"/>
      <c r="T525" s="17">
        <f>IF(AND(COUNTA($A525:$K525)=0,$L525=""),"",IF($S525="Paid","PAID",IF($S525="Closed","CLOSED",IF($W525="","",IF($W525=6,"ESCALATED TO ROXANNE",IF(TODAY()&gt;$Y525,"OVERDUE",IF($Y525&lt;=WORKDAY(TODAY(),1,Holidays),"DUE TOMORROW",IF($W525=4,"ESCALATED TO LOCAL OFFICE",IF($W525=5,"ESCALATED TO CBE",IF($X525=TODAY(),"EMAIL SENT","MONITORING"))))))))))</f>
        <v/>
      </c>
      <c r="U525" s="17">
        <f>IF($T525="",IF(AND(COUNTA($A525:$K525)&gt;0,$L525=""),"Awaiting Collection Email time stamp.",""),IF(OR($T525="PAID",$T525="CLOSED"),IF($T525="PAID","Account paid. Action completed.","Account closed. No further action required."),CHOOSE($W525,"Collection Email","1st Email Follow-up","2nd Email Follow-up","Escalation to Local Office","Escalation to CBE","Escalation to Roxanne")&amp;" sent "&amp;TEXT($X525,"dd-mmm")&amp;". "&amp;IF($W525=6,"Final escalation completed.",IF($T525="OVERDUE","Next: "&amp;$Z525&amp;" was due "&amp;TEXT($Y525,"dd-mmm")&amp;" - "&amp;(NETWORKDAYS($Y525,TODAY(),Holidays)-1)&amp;" business day(s) late. Send now.",IF($T525="DUE TOMORROW","Next: "&amp;$Z525&amp;IF($Y525&lt;=TODAY()," is due TODAY ("," is due next business day (")&amp;TEXT($Y525,"dd-mmm")&amp;").","Next: "&amp;$Z525&amp;" due "&amp;TEXT($Y525,"dd-mmm")&amp;" ("&amp;(NETWORKDAYS(TODAY(),$Y525,Holidays)-1)&amp;" business day(s) left).")))))</f>
        <v/>
      </c>
      <c r="V525" s="17">
        <f>IF($W525="","",CHOOSE($W525,"Collection Email","1st Follow-up","2nd Follow-up","Local Office","CBE","Roxanne")&amp;IF($W525=6," - Final"," - Day "&amp;MAX(0,NETWORKDAYS($X525,TODAY(),Holidays)-1)&amp;" of "&amp;CHOOSE($W525,3,3,2,2,3))&amp;" | Total Day "&amp;MAX(0,NETWORKDAYS($L525,TODAY(),Holidays)-1))</f>
        <v/>
      </c>
      <c r="W525" s="17">
        <f>IF($L525="","",COUNT($L525:$Q525))</f>
        <v/>
      </c>
      <c r="X525" s="18">
        <f>IF($W525="","",INT(INDEX($L525:$Q525,$W525)))</f>
        <v/>
      </c>
      <c r="Y525" s="18">
        <f>IF(OR($W525="",$W525=6),"",WORKDAY($X525,CHOOSE($W525,3,3,2,2,3),Holidays))</f>
        <v/>
      </c>
      <c r="Z525" s="17">
        <f>IF(OR($W525="",$W525=6),"",CHOOSE($W525,"1st Email Follow-up","2nd Email Follow-up","Escalate Local Office","Escalate to CBE","Escalate to Roxanne"))</f>
        <v/>
      </c>
    </row>
    <row r="526" spans="18:26">
      <c r="R526" s="15"/>
      <c r="S526" s="16"/>
      <c r="T526" s="17">
        <f>IF(AND(COUNTA($A526:$K526)=0,$L526=""),"",IF($S526="Paid","PAID",IF($S526="Closed","CLOSED",IF($W526="","",IF($W526=6,"ESCALATED TO ROXANNE",IF(TODAY()&gt;$Y526,"OVERDUE",IF($Y526&lt;=WORKDAY(TODAY(),1,Holidays),"DUE TOMORROW",IF($W526=4,"ESCALATED TO LOCAL OFFICE",IF($W526=5,"ESCALATED TO CBE",IF($X526=TODAY(),"EMAIL SENT","MONITORING"))))))))))</f>
        <v/>
      </c>
      <c r="U526" s="17">
        <f>IF($T526="",IF(AND(COUNTA($A526:$K526)&gt;0,$L526=""),"Awaiting Collection Email time stamp.",""),IF(OR($T526="PAID",$T526="CLOSED"),IF($T526="PAID","Account paid. Action completed.","Account closed. No further action required."),CHOOSE($W526,"Collection Email","1st Email Follow-up","2nd Email Follow-up","Escalation to Local Office","Escalation to CBE","Escalation to Roxanne")&amp;" sent "&amp;TEXT($X526,"dd-mmm")&amp;". "&amp;IF($W526=6,"Final escalation completed.",IF($T526="OVERDUE","Next: "&amp;$Z526&amp;" was due "&amp;TEXT($Y526,"dd-mmm")&amp;" - "&amp;(NETWORKDAYS($Y526,TODAY(),Holidays)-1)&amp;" business day(s) late. Send now.",IF($T526="DUE TOMORROW","Next: "&amp;$Z526&amp;IF($Y526&lt;=TODAY()," is due TODAY ("," is due next business day (")&amp;TEXT($Y526,"dd-mmm")&amp;").","Next: "&amp;$Z526&amp;" due "&amp;TEXT($Y526,"dd-mmm")&amp;" ("&amp;(NETWORKDAYS(TODAY(),$Y526,Holidays)-1)&amp;" business day(s) left).")))))</f>
        <v/>
      </c>
      <c r="V526" s="17">
        <f>IF($W526="","",CHOOSE($W526,"Collection Email","1st Follow-up","2nd Follow-up","Local Office","CBE","Roxanne")&amp;IF($W526=6," - Final"," - Day "&amp;MAX(0,NETWORKDAYS($X526,TODAY(),Holidays)-1)&amp;" of "&amp;CHOOSE($W526,3,3,2,2,3))&amp;" | Total Day "&amp;MAX(0,NETWORKDAYS($L526,TODAY(),Holidays)-1))</f>
        <v/>
      </c>
      <c r="W526" s="17">
        <f>IF($L526="","",COUNT($L526:$Q526))</f>
        <v/>
      </c>
      <c r="X526" s="18">
        <f>IF($W526="","",INT(INDEX($L526:$Q526,$W526)))</f>
        <v/>
      </c>
      <c r="Y526" s="18">
        <f>IF(OR($W526="",$W526=6),"",WORKDAY($X526,CHOOSE($W526,3,3,2,2,3),Holidays))</f>
        <v/>
      </c>
      <c r="Z526" s="17">
        <f>IF(OR($W526="",$W526=6),"",CHOOSE($W526,"1st Email Follow-up","2nd Email Follow-up","Escalate Local Office","Escalate to CBE","Escalate to Roxanne"))</f>
        <v/>
      </c>
    </row>
    <row r="527" spans="18:26">
      <c r="R527" s="15"/>
      <c r="S527" s="16"/>
      <c r="T527" s="17">
        <f>IF(AND(COUNTA($A527:$K527)=0,$L527=""),"",IF($S527="Paid","PAID",IF($S527="Closed","CLOSED",IF($W527="","",IF($W527=6,"ESCALATED TO ROXANNE",IF(TODAY()&gt;$Y527,"OVERDUE",IF($Y527&lt;=WORKDAY(TODAY(),1,Holidays),"DUE TOMORROW",IF($W527=4,"ESCALATED TO LOCAL OFFICE",IF($W527=5,"ESCALATED TO CBE",IF($X527=TODAY(),"EMAIL SENT","MONITORING"))))))))))</f>
        <v/>
      </c>
      <c r="U527" s="17">
        <f>IF($T527="",IF(AND(COUNTA($A527:$K527)&gt;0,$L527=""),"Awaiting Collection Email time stamp.",""),IF(OR($T527="PAID",$T527="CLOSED"),IF($T527="PAID","Account paid. Action completed.","Account closed. No further action required."),CHOOSE($W527,"Collection Email","1st Email Follow-up","2nd Email Follow-up","Escalation to Local Office","Escalation to CBE","Escalation to Roxanne")&amp;" sent "&amp;TEXT($X527,"dd-mmm")&amp;". "&amp;IF($W527=6,"Final escalation completed.",IF($T527="OVERDUE","Next: "&amp;$Z527&amp;" was due "&amp;TEXT($Y527,"dd-mmm")&amp;" - "&amp;(NETWORKDAYS($Y527,TODAY(),Holidays)-1)&amp;" business day(s) late. Send now.",IF($T527="DUE TOMORROW","Next: "&amp;$Z527&amp;IF($Y527&lt;=TODAY()," is due TODAY ("," is due next business day (")&amp;TEXT($Y527,"dd-mmm")&amp;").","Next: "&amp;$Z527&amp;" due "&amp;TEXT($Y527,"dd-mmm")&amp;" ("&amp;(NETWORKDAYS(TODAY(),$Y527,Holidays)-1)&amp;" business day(s) left).")))))</f>
        <v/>
      </c>
      <c r="V527" s="17">
        <f>IF($W527="","",CHOOSE($W527,"Collection Email","1st Follow-up","2nd Follow-up","Local Office","CBE","Roxanne")&amp;IF($W527=6," - Final"," - Day "&amp;MAX(0,NETWORKDAYS($X527,TODAY(),Holidays)-1)&amp;" of "&amp;CHOOSE($W527,3,3,2,2,3))&amp;" | Total Day "&amp;MAX(0,NETWORKDAYS($L527,TODAY(),Holidays)-1))</f>
        <v/>
      </c>
      <c r="W527" s="17">
        <f>IF($L527="","",COUNT($L527:$Q527))</f>
        <v/>
      </c>
      <c r="X527" s="18">
        <f>IF($W527="","",INT(INDEX($L527:$Q527,$W527)))</f>
        <v/>
      </c>
      <c r="Y527" s="18">
        <f>IF(OR($W527="",$W527=6),"",WORKDAY($X527,CHOOSE($W527,3,3,2,2,3),Holidays))</f>
        <v/>
      </c>
      <c r="Z527" s="17">
        <f>IF(OR($W527="",$W527=6),"",CHOOSE($W527,"1st Email Follow-up","2nd Email Follow-up","Escalate Local Office","Escalate to CBE","Escalate to Roxanne"))</f>
        <v/>
      </c>
    </row>
    <row r="528" spans="18:26">
      <c r="R528" s="15"/>
      <c r="S528" s="16"/>
      <c r="T528" s="17">
        <f>IF(AND(COUNTA($A528:$K528)=0,$L528=""),"",IF($S528="Paid","PAID",IF($S528="Closed","CLOSED",IF($W528="","",IF($W528=6,"ESCALATED TO ROXANNE",IF(TODAY()&gt;$Y528,"OVERDUE",IF($Y528&lt;=WORKDAY(TODAY(),1,Holidays),"DUE TOMORROW",IF($W528=4,"ESCALATED TO LOCAL OFFICE",IF($W528=5,"ESCALATED TO CBE",IF($X528=TODAY(),"EMAIL SENT","MONITORING"))))))))))</f>
        <v/>
      </c>
      <c r="U528" s="17">
        <f>IF($T528="",IF(AND(COUNTA($A528:$K528)&gt;0,$L528=""),"Awaiting Collection Email time stamp.",""),IF(OR($T528="PAID",$T528="CLOSED"),IF($T528="PAID","Account paid. Action completed.","Account closed. No further action required."),CHOOSE($W528,"Collection Email","1st Email Follow-up","2nd Email Follow-up","Escalation to Local Office","Escalation to CBE","Escalation to Roxanne")&amp;" sent "&amp;TEXT($X528,"dd-mmm")&amp;". "&amp;IF($W528=6,"Final escalation completed.",IF($T528="OVERDUE","Next: "&amp;$Z528&amp;" was due "&amp;TEXT($Y528,"dd-mmm")&amp;" - "&amp;(NETWORKDAYS($Y528,TODAY(),Holidays)-1)&amp;" business day(s) late. Send now.",IF($T528="DUE TOMORROW","Next: "&amp;$Z528&amp;IF($Y528&lt;=TODAY()," is due TODAY ("," is due next business day (")&amp;TEXT($Y528,"dd-mmm")&amp;").","Next: "&amp;$Z528&amp;" due "&amp;TEXT($Y528,"dd-mmm")&amp;" ("&amp;(NETWORKDAYS(TODAY(),$Y528,Holidays)-1)&amp;" business day(s) left).")))))</f>
        <v/>
      </c>
      <c r="V528" s="17">
        <f>IF($W528="","",CHOOSE($W528,"Collection Email","1st Follow-up","2nd Follow-up","Local Office","CBE","Roxanne")&amp;IF($W528=6," - Final"," - Day "&amp;MAX(0,NETWORKDAYS($X528,TODAY(),Holidays)-1)&amp;" of "&amp;CHOOSE($W528,3,3,2,2,3))&amp;" | Total Day "&amp;MAX(0,NETWORKDAYS($L528,TODAY(),Holidays)-1))</f>
        <v/>
      </c>
      <c r="W528" s="17">
        <f>IF($L528="","",COUNT($L528:$Q528))</f>
        <v/>
      </c>
      <c r="X528" s="18">
        <f>IF($W528="","",INT(INDEX($L528:$Q528,$W528)))</f>
        <v/>
      </c>
      <c r="Y528" s="18">
        <f>IF(OR($W528="",$W528=6),"",WORKDAY($X528,CHOOSE($W528,3,3,2,2,3),Holidays))</f>
        <v/>
      </c>
      <c r="Z528" s="17">
        <f>IF(OR($W528="",$W528=6),"",CHOOSE($W528,"1st Email Follow-up","2nd Email Follow-up","Escalate Local Office","Escalate to CBE","Escalate to Roxanne"))</f>
        <v/>
      </c>
    </row>
    <row r="529" spans="18:26">
      <c r="R529" s="15"/>
      <c r="S529" s="16"/>
      <c r="T529" s="17">
        <f>IF(AND(COUNTA($A529:$K529)=0,$L529=""),"",IF($S529="Paid","PAID",IF($S529="Closed","CLOSED",IF($W529="","",IF($W529=6,"ESCALATED TO ROXANNE",IF(TODAY()&gt;$Y529,"OVERDUE",IF($Y529&lt;=WORKDAY(TODAY(),1,Holidays),"DUE TOMORROW",IF($W529=4,"ESCALATED TO LOCAL OFFICE",IF($W529=5,"ESCALATED TO CBE",IF($X529=TODAY(),"EMAIL SENT","MONITORING"))))))))))</f>
        <v/>
      </c>
      <c r="U529" s="17">
        <f>IF($T529="",IF(AND(COUNTA($A529:$K529)&gt;0,$L529=""),"Awaiting Collection Email time stamp.",""),IF(OR($T529="PAID",$T529="CLOSED"),IF($T529="PAID","Account paid. Action completed.","Account closed. No further action required."),CHOOSE($W529,"Collection Email","1st Email Follow-up","2nd Email Follow-up","Escalation to Local Office","Escalation to CBE","Escalation to Roxanne")&amp;" sent "&amp;TEXT($X529,"dd-mmm")&amp;". "&amp;IF($W529=6,"Final escalation completed.",IF($T529="OVERDUE","Next: "&amp;$Z529&amp;" was due "&amp;TEXT($Y529,"dd-mmm")&amp;" - "&amp;(NETWORKDAYS($Y529,TODAY(),Holidays)-1)&amp;" business day(s) late. Send now.",IF($T529="DUE TOMORROW","Next: "&amp;$Z529&amp;IF($Y529&lt;=TODAY()," is due TODAY ("," is due next business day (")&amp;TEXT($Y529,"dd-mmm")&amp;").","Next: "&amp;$Z529&amp;" due "&amp;TEXT($Y529,"dd-mmm")&amp;" ("&amp;(NETWORKDAYS(TODAY(),$Y529,Holidays)-1)&amp;" business day(s) left).")))))</f>
        <v/>
      </c>
      <c r="V529" s="17">
        <f>IF($W529="","",CHOOSE($W529,"Collection Email","1st Follow-up","2nd Follow-up","Local Office","CBE","Roxanne")&amp;IF($W529=6," - Final"," - Day "&amp;MAX(0,NETWORKDAYS($X529,TODAY(),Holidays)-1)&amp;" of "&amp;CHOOSE($W529,3,3,2,2,3))&amp;" | Total Day "&amp;MAX(0,NETWORKDAYS($L529,TODAY(),Holidays)-1))</f>
        <v/>
      </c>
      <c r="W529" s="17">
        <f>IF($L529="","",COUNT($L529:$Q529))</f>
        <v/>
      </c>
      <c r="X529" s="18">
        <f>IF($W529="","",INT(INDEX($L529:$Q529,$W529)))</f>
        <v/>
      </c>
      <c r="Y529" s="18">
        <f>IF(OR($W529="",$W529=6),"",WORKDAY($X529,CHOOSE($W529,3,3,2,2,3),Holidays))</f>
        <v/>
      </c>
      <c r="Z529" s="17">
        <f>IF(OR($W529="",$W529=6),"",CHOOSE($W529,"1st Email Follow-up","2nd Email Follow-up","Escalate Local Office","Escalate to CBE","Escalate to Roxanne"))</f>
        <v/>
      </c>
    </row>
    <row r="530" spans="18:26">
      <c r="R530" s="15"/>
      <c r="S530" s="16"/>
      <c r="T530" s="17">
        <f>IF(AND(COUNTA($A530:$K530)=0,$L530=""),"",IF($S530="Paid","PAID",IF($S530="Closed","CLOSED",IF($W530="","",IF($W530=6,"ESCALATED TO ROXANNE",IF(TODAY()&gt;$Y530,"OVERDUE",IF($Y530&lt;=WORKDAY(TODAY(),1,Holidays),"DUE TOMORROW",IF($W530=4,"ESCALATED TO LOCAL OFFICE",IF($W530=5,"ESCALATED TO CBE",IF($X530=TODAY(),"EMAIL SENT","MONITORING"))))))))))</f>
        <v/>
      </c>
      <c r="U530" s="17">
        <f>IF($T530="",IF(AND(COUNTA($A530:$K530)&gt;0,$L530=""),"Awaiting Collection Email time stamp.",""),IF(OR($T530="PAID",$T530="CLOSED"),IF($T530="PAID","Account paid. Action completed.","Account closed. No further action required."),CHOOSE($W530,"Collection Email","1st Email Follow-up","2nd Email Follow-up","Escalation to Local Office","Escalation to CBE","Escalation to Roxanne")&amp;" sent "&amp;TEXT($X530,"dd-mmm")&amp;". "&amp;IF($W530=6,"Final escalation completed.",IF($T530="OVERDUE","Next: "&amp;$Z530&amp;" was due "&amp;TEXT($Y530,"dd-mmm")&amp;" - "&amp;(NETWORKDAYS($Y530,TODAY(),Holidays)-1)&amp;" business day(s) late. Send now.",IF($T530="DUE TOMORROW","Next: "&amp;$Z530&amp;IF($Y530&lt;=TODAY()," is due TODAY ("," is due next business day (")&amp;TEXT($Y530,"dd-mmm")&amp;").","Next: "&amp;$Z530&amp;" due "&amp;TEXT($Y530,"dd-mmm")&amp;" ("&amp;(NETWORKDAYS(TODAY(),$Y530,Holidays)-1)&amp;" business day(s) left).")))))</f>
        <v/>
      </c>
      <c r="V530" s="17">
        <f>IF($W530="","",CHOOSE($W530,"Collection Email","1st Follow-up","2nd Follow-up","Local Office","CBE","Roxanne")&amp;IF($W530=6," - Final"," - Day "&amp;MAX(0,NETWORKDAYS($X530,TODAY(),Holidays)-1)&amp;" of "&amp;CHOOSE($W530,3,3,2,2,3))&amp;" | Total Day "&amp;MAX(0,NETWORKDAYS($L530,TODAY(),Holidays)-1))</f>
        <v/>
      </c>
      <c r="W530" s="17">
        <f>IF($L530="","",COUNT($L530:$Q530))</f>
        <v/>
      </c>
      <c r="X530" s="18">
        <f>IF($W530="","",INT(INDEX($L530:$Q530,$W530)))</f>
        <v/>
      </c>
      <c r="Y530" s="18">
        <f>IF(OR($W530="",$W530=6),"",WORKDAY($X530,CHOOSE($W530,3,3,2,2,3),Holidays))</f>
        <v/>
      </c>
      <c r="Z530" s="17">
        <f>IF(OR($W530="",$W530=6),"",CHOOSE($W530,"1st Email Follow-up","2nd Email Follow-up","Escalate Local Office","Escalate to CBE","Escalate to Roxanne"))</f>
        <v/>
      </c>
    </row>
    <row r="531" spans="18:26">
      <c r="R531" s="15"/>
      <c r="S531" s="16"/>
      <c r="T531" s="17">
        <f>IF(AND(COUNTA($A531:$K531)=0,$L531=""),"",IF($S531="Paid","PAID",IF($S531="Closed","CLOSED",IF($W531="","",IF($W531=6,"ESCALATED TO ROXANNE",IF(TODAY()&gt;$Y531,"OVERDUE",IF($Y531&lt;=WORKDAY(TODAY(),1,Holidays),"DUE TOMORROW",IF($W531=4,"ESCALATED TO LOCAL OFFICE",IF($W531=5,"ESCALATED TO CBE",IF($X531=TODAY(),"EMAIL SENT","MONITORING"))))))))))</f>
        <v/>
      </c>
      <c r="U531" s="17">
        <f>IF($T531="",IF(AND(COUNTA($A531:$K531)&gt;0,$L531=""),"Awaiting Collection Email time stamp.",""),IF(OR($T531="PAID",$T531="CLOSED"),IF($T531="PAID","Account paid. Action completed.","Account closed. No further action required."),CHOOSE($W531,"Collection Email","1st Email Follow-up","2nd Email Follow-up","Escalation to Local Office","Escalation to CBE","Escalation to Roxanne")&amp;" sent "&amp;TEXT($X531,"dd-mmm")&amp;". "&amp;IF($W531=6,"Final escalation completed.",IF($T531="OVERDUE","Next: "&amp;$Z531&amp;" was due "&amp;TEXT($Y531,"dd-mmm")&amp;" - "&amp;(NETWORKDAYS($Y531,TODAY(),Holidays)-1)&amp;" business day(s) late. Send now.",IF($T531="DUE TOMORROW","Next: "&amp;$Z531&amp;IF($Y531&lt;=TODAY()," is due TODAY ("," is due next business day (")&amp;TEXT($Y531,"dd-mmm")&amp;").","Next: "&amp;$Z531&amp;" due "&amp;TEXT($Y531,"dd-mmm")&amp;" ("&amp;(NETWORKDAYS(TODAY(),$Y531,Holidays)-1)&amp;" business day(s) left).")))))</f>
        <v/>
      </c>
      <c r="V531" s="17">
        <f>IF($W531="","",CHOOSE($W531,"Collection Email","1st Follow-up","2nd Follow-up","Local Office","CBE","Roxanne")&amp;IF($W531=6," - Final"," - Day "&amp;MAX(0,NETWORKDAYS($X531,TODAY(),Holidays)-1)&amp;" of "&amp;CHOOSE($W531,3,3,2,2,3))&amp;" | Total Day "&amp;MAX(0,NETWORKDAYS($L531,TODAY(),Holidays)-1))</f>
        <v/>
      </c>
      <c r="W531" s="17">
        <f>IF($L531="","",COUNT($L531:$Q531))</f>
        <v/>
      </c>
      <c r="X531" s="18">
        <f>IF($W531="","",INT(INDEX($L531:$Q531,$W531)))</f>
        <v/>
      </c>
      <c r="Y531" s="18">
        <f>IF(OR($W531="",$W531=6),"",WORKDAY($X531,CHOOSE($W531,3,3,2,2,3),Holidays))</f>
        <v/>
      </c>
      <c r="Z531" s="17">
        <f>IF(OR($W531="",$W531=6),"",CHOOSE($W531,"1st Email Follow-up","2nd Email Follow-up","Escalate Local Office","Escalate to CBE","Escalate to Roxanne"))</f>
        <v/>
      </c>
    </row>
    <row r="532" spans="18:26">
      <c r="R532" s="15"/>
      <c r="S532" s="16"/>
      <c r="T532" s="17">
        <f>IF(AND(COUNTA($A532:$K532)=0,$L532=""),"",IF($S532="Paid","PAID",IF($S532="Closed","CLOSED",IF($W532="","",IF($W532=6,"ESCALATED TO ROXANNE",IF(TODAY()&gt;$Y532,"OVERDUE",IF($Y532&lt;=WORKDAY(TODAY(),1,Holidays),"DUE TOMORROW",IF($W532=4,"ESCALATED TO LOCAL OFFICE",IF($W532=5,"ESCALATED TO CBE",IF($X532=TODAY(),"EMAIL SENT","MONITORING"))))))))))</f>
        <v/>
      </c>
      <c r="U532" s="17">
        <f>IF($T532="",IF(AND(COUNTA($A532:$K532)&gt;0,$L532=""),"Awaiting Collection Email time stamp.",""),IF(OR($T532="PAID",$T532="CLOSED"),IF($T532="PAID","Account paid. Action completed.","Account closed. No further action required."),CHOOSE($W532,"Collection Email","1st Email Follow-up","2nd Email Follow-up","Escalation to Local Office","Escalation to CBE","Escalation to Roxanne")&amp;" sent "&amp;TEXT($X532,"dd-mmm")&amp;". "&amp;IF($W532=6,"Final escalation completed.",IF($T532="OVERDUE","Next: "&amp;$Z532&amp;" was due "&amp;TEXT($Y532,"dd-mmm")&amp;" - "&amp;(NETWORKDAYS($Y532,TODAY(),Holidays)-1)&amp;" business day(s) late. Send now.",IF($T532="DUE TOMORROW","Next: "&amp;$Z532&amp;IF($Y532&lt;=TODAY()," is due TODAY ("," is due next business day (")&amp;TEXT($Y532,"dd-mmm")&amp;").","Next: "&amp;$Z532&amp;" due "&amp;TEXT($Y532,"dd-mmm")&amp;" ("&amp;(NETWORKDAYS(TODAY(),$Y532,Holidays)-1)&amp;" business day(s) left).")))))</f>
        <v/>
      </c>
      <c r="V532" s="17">
        <f>IF($W532="","",CHOOSE($W532,"Collection Email","1st Follow-up","2nd Follow-up","Local Office","CBE","Roxanne")&amp;IF($W532=6," - Final"," - Day "&amp;MAX(0,NETWORKDAYS($X532,TODAY(),Holidays)-1)&amp;" of "&amp;CHOOSE($W532,3,3,2,2,3))&amp;" | Total Day "&amp;MAX(0,NETWORKDAYS($L532,TODAY(),Holidays)-1))</f>
        <v/>
      </c>
      <c r="W532" s="17">
        <f>IF($L532="","",COUNT($L532:$Q532))</f>
        <v/>
      </c>
      <c r="X532" s="18">
        <f>IF($W532="","",INT(INDEX($L532:$Q532,$W532)))</f>
        <v/>
      </c>
      <c r="Y532" s="18">
        <f>IF(OR($W532="",$W532=6),"",WORKDAY($X532,CHOOSE($W532,3,3,2,2,3),Holidays))</f>
        <v/>
      </c>
      <c r="Z532" s="17">
        <f>IF(OR($W532="",$W532=6),"",CHOOSE($W532,"1st Email Follow-up","2nd Email Follow-up","Escalate Local Office","Escalate to CBE","Escalate to Roxanne"))</f>
        <v/>
      </c>
    </row>
    <row r="533" spans="18:26">
      <c r="R533" s="15"/>
      <c r="S533" s="16"/>
      <c r="T533" s="17">
        <f>IF(AND(COUNTA($A533:$K533)=0,$L533=""),"",IF($S533="Paid","PAID",IF($S533="Closed","CLOSED",IF($W533="","",IF($W533=6,"ESCALATED TO ROXANNE",IF(TODAY()&gt;$Y533,"OVERDUE",IF($Y533&lt;=WORKDAY(TODAY(),1,Holidays),"DUE TOMORROW",IF($W533=4,"ESCALATED TO LOCAL OFFICE",IF($W533=5,"ESCALATED TO CBE",IF($X533=TODAY(),"EMAIL SENT","MONITORING"))))))))))</f>
        <v/>
      </c>
      <c r="U533" s="17">
        <f>IF($T533="",IF(AND(COUNTA($A533:$K533)&gt;0,$L533=""),"Awaiting Collection Email time stamp.",""),IF(OR($T533="PAID",$T533="CLOSED"),IF($T533="PAID","Account paid. Action completed.","Account closed. No further action required."),CHOOSE($W533,"Collection Email","1st Email Follow-up","2nd Email Follow-up","Escalation to Local Office","Escalation to CBE","Escalation to Roxanne")&amp;" sent "&amp;TEXT($X533,"dd-mmm")&amp;". "&amp;IF($W533=6,"Final escalation completed.",IF($T533="OVERDUE","Next: "&amp;$Z533&amp;" was due "&amp;TEXT($Y533,"dd-mmm")&amp;" - "&amp;(NETWORKDAYS($Y533,TODAY(),Holidays)-1)&amp;" business day(s) late. Send now.",IF($T533="DUE TOMORROW","Next: "&amp;$Z533&amp;IF($Y533&lt;=TODAY()," is due TODAY ("," is due next business day (")&amp;TEXT($Y533,"dd-mmm")&amp;").","Next: "&amp;$Z533&amp;" due "&amp;TEXT($Y533,"dd-mmm")&amp;" ("&amp;(NETWORKDAYS(TODAY(),$Y533,Holidays)-1)&amp;" business day(s) left).")))))</f>
        <v/>
      </c>
      <c r="V533" s="17">
        <f>IF($W533="","",CHOOSE($W533,"Collection Email","1st Follow-up","2nd Follow-up","Local Office","CBE","Roxanne")&amp;IF($W533=6," - Final"," - Day "&amp;MAX(0,NETWORKDAYS($X533,TODAY(),Holidays)-1)&amp;" of "&amp;CHOOSE($W533,3,3,2,2,3))&amp;" | Total Day "&amp;MAX(0,NETWORKDAYS($L533,TODAY(),Holidays)-1))</f>
        <v/>
      </c>
      <c r="W533" s="17">
        <f>IF($L533="","",COUNT($L533:$Q533))</f>
        <v/>
      </c>
      <c r="X533" s="18">
        <f>IF($W533="","",INT(INDEX($L533:$Q533,$W533)))</f>
        <v/>
      </c>
      <c r="Y533" s="18">
        <f>IF(OR($W533="",$W533=6),"",WORKDAY($X533,CHOOSE($W533,3,3,2,2,3),Holidays))</f>
        <v/>
      </c>
      <c r="Z533" s="17">
        <f>IF(OR($W533="",$W533=6),"",CHOOSE($W533,"1st Email Follow-up","2nd Email Follow-up","Escalate Local Office","Escalate to CBE","Escalate to Roxanne"))</f>
        <v/>
      </c>
    </row>
    <row r="534" spans="18:26">
      <c r="R534" s="15"/>
      <c r="S534" s="16"/>
      <c r="T534" s="17">
        <f>IF(AND(COUNTA($A534:$K534)=0,$L534=""),"",IF($S534="Paid","PAID",IF($S534="Closed","CLOSED",IF($W534="","",IF($W534=6,"ESCALATED TO ROXANNE",IF(TODAY()&gt;$Y534,"OVERDUE",IF($Y534&lt;=WORKDAY(TODAY(),1,Holidays),"DUE TOMORROW",IF($W534=4,"ESCALATED TO LOCAL OFFICE",IF($W534=5,"ESCALATED TO CBE",IF($X534=TODAY(),"EMAIL SENT","MONITORING"))))))))))</f>
        <v/>
      </c>
      <c r="U534" s="17">
        <f>IF($T534="",IF(AND(COUNTA($A534:$K534)&gt;0,$L534=""),"Awaiting Collection Email time stamp.",""),IF(OR($T534="PAID",$T534="CLOSED"),IF($T534="PAID","Account paid. Action completed.","Account closed. No further action required."),CHOOSE($W534,"Collection Email","1st Email Follow-up","2nd Email Follow-up","Escalation to Local Office","Escalation to CBE","Escalation to Roxanne")&amp;" sent "&amp;TEXT($X534,"dd-mmm")&amp;". "&amp;IF($W534=6,"Final escalation completed.",IF($T534="OVERDUE","Next: "&amp;$Z534&amp;" was due "&amp;TEXT($Y534,"dd-mmm")&amp;" - "&amp;(NETWORKDAYS($Y534,TODAY(),Holidays)-1)&amp;" business day(s) late. Send now.",IF($T534="DUE TOMORROW","Next: "&amp;$Z534&amp;IF($Y534&lt;=TODAY()," is due TODAY ("," is due next business day (")&amp;TEXT($Y534,"dd-mmm")&amp;").","Next: "&amp;$Z534&amp;" due "&amp;TEXT($Y534,"dd-mmm")&amp;" ("&amp;(NETWORKDAYS(TODAY(),$Y534,Holidays)-1)&amp;" business day(s) left).")))))</f>
        <v/>
      </c>
      <c r="V534" s="17">
        <f>IF($W534="","",CHOOSE($W534,"Collection Email","1st Follow-up","2nd Follow-up","Local Office","CBE","Roxanne")&amp;IF($W534=6," - Final"," - Day "&amp;MAX(0,NETWORKDAYS($X534,TODAY(),Holidays)-1)&amp;" of "&amp;CHOOSE($W534,3,3,2,2,3))&amp;" | Total Day "&amp;MAX(0,NETWORKDAYS($L534,TODAY(),Holidays)-1))</f>
        <v/>
      </c>
      <c r="W534" s="17">
        <f>IF($L534="","",COUNT($L534:$Q534))</f>
        <v/>
      </c>
      <c r="X534" s="18">
        <f>IF($W534="","",INT(INDEX($L534:$Q534,$W534)))</f>
        <v/>
      </c>
      <c r="Y534" s="18">
        <f>IF(OR($W534="",$W534=6),"",WORKDAY($X534,CHOOSE($W534,3,3,2,2,3),Holidays))</f>
        <v/>
      </c>
      <c r="Z534" s="17">
        <f>IF(OR($W534="",$W534=6),"",CHOOSE($W534,"1st Email Follow-up","2nd Email Follow-up","Escalate Local Office","Escalate to CBE","Escalate to Roxanne"))</f>
        <v/>
      </c>
    </row>
    <row r="535" spans="18:26">
      <c r="R535" s="15"/>
      <c r="S535" s="16"/>
      <c r="T535" s="17">
        <f>IF(AND(COUNTA($A535:$K535)=0,$L535=""),"",IF($S535="Paid","PAID",IF($S535="Closed","CLOSED",IF($W535="","",IF($W535=6,"ESCALATED TO ROXANNE",IF(TODAY()&gt;$Y535,"OVERDUE",IF($Y535&lt;=WORKDAY(TODAY(),1,Holidays),"DUE TOMORROW",IF($W535=4,"ESCALATED TO LOCAL OFFICE",IF($W535=5,"ESCALATED TO CBE",IF($X535=TODAY(),"EMAIL SENT","MONITORING"))))))))))</f>
        <v/>
      </c>
      <c r="U535" s="17">
        <f>IF($T535="",IF(AND(COUNTA($A535:$K535)&gt;0,$L535=""),"Awaiting Collection Email time stamp.",""),IF(OR($T535="PAID",$T535="CLOSED"),IF($T535="PAID","Account paid. Action completed.","Account closed. No further action required."),CHOOSE($W535,"Collection Email","1st Email Follow-up","2nd Email Follow-up","Escalation to Local Office","Escalation to CBE","Escalation to Roxanne")&amp;" sent "&amp;TEXT($X535,"dd-mmm")&amp;". "&amp;IF($W535=6,"Final escalation completed.",IF($T535="OVERDUE","Next: "&amp;$Z535&amp;" was due "&amp;TEXT($Y535,"dd-mmm")&amp;" - "&amp;(NETWORKDAYS($Y535,TODAY(),Holidays)-1)&amp;" business day(s) late. Send now.",IF($T535="DUE TOMORROW","Next: "&amp;$Z535&amp;IF($Y535&lt;=TODAY()," is due TODAY ("," is due next business day (")&amp;TEXT($Y535,"dd-mmm")&amp;").","Next: "&amp;$Z535&amp;" due "&amp;TEXT($Y535,"dd-mmm")&amp;" ("&amp;(NETWORKDAYS(TODAY(),$Y535,Holidays)-1)&amp;" business day(s) left).")))))</f>
        <v/>
      </c>
      <c r="V535" s="17">
        <f>IF($W535="","",CHOOSE($W535,"Collection Email","1st Follow-up","2nd Follow-up","Local Office","CBE","Roxanne")&amp;IF($W535=6," - Final"," - Day "&amp;MAX(0,NETWORKDAYS($X535,TODAY(),Holidays)-1)&amp;" of "&amp;CHOOSE($W535,3,3,2,2,3))&amp;" | Total Day "&amp;MAX(0,NETWORKDAYS($L535,TODAY(),Holidays)-1))</f>
        <v/>
      </c>
      <c r="W535" s="17">
        <f>IF($L535="","",COUNT($L535:$Q535))</f>
        <v/>
      </c>
      <c r="X535" s="18">
        <f>IF($W535="","",INT(INDEX($L535:$Q535,$W535)))</f>
        <v/>
      </c>
      <c r="Y535" s="18">
        <f>IF(OR($W535="",$W535=6),"",WORKDAY($X535,CHOOSE($W535,3,3,2,2,3),Holidays))</f>
        <v/>
      </c>
      <c r="Z535" s="17">
        <f>IF(OR($W535="",$W535=6),"",CHOOSE($W535,"1st Email Follow-up","2nd Email Follow-up","Escalate Local Office","Escalate to CBE","Escalate to Roxanne"))</f>
        <v/>
      </c>
    </row>
    <row r="536" spans="18:26">
      <c r="R536" s="15"/>
      <c r="S536" s="16"/>
      <c r="T536" s="17">
        <f>IF(AND(COUNTA($A536:$K536)=0,$L536=""),"",IF($S536="Paid","PAID",IF($S536="Closed","CLOSED",IF($W536="","",IF($W536=6,"ESCALATED TO ROXANNE",IF(TODAY()&gt;$Y536,"OVERDUE",IF($Y536&lt;=WORKDAY(TODAY(),1,Holidays),"DUE TOMORROW",IF($W536=4,"ESCALATED TO LOCAL OFFICE",IF($W536=5,"ESCALATED TO CBE",IF($X536=TODAY(),"EMAIL SENT","MONITORING"))))))))))</f>
        <v/>
      </c>
      <c r="U536" s="17">
        <f>IF($T536="",IF(AND(COUNTA($A536:$K536)&gt;0,$L536=""),"Awaiting Collection Email time stamp.",""),IF(OR($T536="PAID",$T536="CLOSED"),IF($T536="PAID","Account paid. Action completed.","Account closed. No further action required."),CHOOSE($W536,"Collection Email","1st Email Follow-up","2nd Email Follow-up","Escalation to Local Office","Escalation to CBE","Escalation to Roxanne")&amp;" sent "&amp;TEXT($X536,"dd-mmm")&amp;". "&amp;IF($W536=6,"Final escalation completed.",IF($T536="OVERDUE","Next: "&amp;$Z536&amp;" was due "&amp;TEXT($Y536,"dd-mmm")&amp;" - "&amp;(NETWORKDAYS($Y536,TODAY(),Holidays)-1)&amp;" business day(s) late. Send now.",IF($T536="DUE TOMORROW","Next: "&amp;$Z536&amp;IF($Y536&lt;=TODAY()," is due TODAY ("," is due next business day (")&amp;TEXT($Y536,"dd-mmm")&amp;").","Next: "&amp;$Z536&amp;" due "&amp;TEXT($Y536,"dd-mmm")&amp;" ("&amp;(NETWORKDAYS(TODAY(),$Y536,Holidays)-1)&amp;" business day(s) left).")))))</f>
        <v/>
      </c>
      <c r="V536" s="17">
        <f>IF($W536="","",CHOOSE($W536,"Collection Email","1st Follow-up","2nd Follow-up","Local Office","CBE","Roxanne")&amp;IF($W536=6," - Final"," - Day "&amp;MAX(0,NETWORKDAYS($X536,TODAY(),Holidays)-1)&amp;" of "&amp;CHOOSE($W536,3,3,2,2,3))&amp;" | Total Day "&amp;MAX(0,NETWORKDAYS($L536,TODAY(),Holidays)-1))</f>
        <v/>
      </c>
      <c r="W536" s="17">
        <f>IF($L536="","",COUNT($L536:$Q536))</f>
        <v/>
      </c>
      <c r="X536" s="18">
        <f>IF($W536="","",INT(INDEX($L536:$Q536,$W536)))</f>
        <v/>
      </c>
      <c r="Y536" s="18">
        <f>IF(OR($W536="",$W536=6),"",WORKDAY($X536,CHOOSE($W536,3,3,2,2,3),Holidays))</f>
        <v/>
      </c>
      <c r="Z536" s="17">
        <f>IF(OR($W536="",$W536=6),"",CHOOSE($W536,"1st Email Follow-up","2nd Email Follow-up","Escalate Local Office","Escalate to CBE","Escalate to Roxanne"))</f>
        <v/>
      </c>
    </row>
    <row r="537" spans="18:26">
      <c r="R537" s="15"/>
      <c r="S537" s="16"/>
      <c r="T537" s="17">
        <f>IF(AND(COUNTA($A537:$K537)=0,$L537=""),"",IF($S537="Paid","PAID",IF($S537="Closed","CLOSED",IF($W537="","",IF($W537=6,"ESCALATED TO ROXANNE",IF(TODAY()&gt;$Y537,"OVERDUE",IF($Y537&lt;=WORKDAY(TODAY(),1,Holidays),"DUE TOMORROW",IF($W537=4,"ESCALATED TO LOCAL OFFICE",IF($W537=5,"ESCALATED TO CBE",IF($X537=TODAY(),"EMAIL SENT","MONITORING"))))))))))</f>
        <v/>
      </c>
      <c r="U537" s="17">
        <f>IF($T537="",IF(AND(COUNTA($A537:$K537)&gt;0,$L537=""),"Awaiting Collection Email time stamp.",""),IF(OR($T537="PAID",$T537="CLOSED"),IF($T537="PAID","Account paid. Action completed.","Account closed. No further action required."),CHOOSE($W537,"Collection Email","1st Email Follow-up","2nd Email Follow-up","Escalation to Local Office","Escalation to CBE","Escalation to Roxanne")&amp;" sent "&amp;TEXT($X537,"dd-mmm")&amp;". "&amp;IF($W537=6,"Final escalation completed.",IF($T537="OVERDUE","Next: "&amp;$Z537&amp;" was due "&amp;TEXT($Y537,"dd-mmm")&amp;" - "&amp;(NETWORKDAYS($Y537,TODAY(),Holidays)-1)&amp;" business day(s) late. Send now.",IF($T537="DUE TOMORROW","Next: "&amp;$Z537&amp;IF($Y537&lt;=TODAY()," is due TODAY ("," is due next business day (")&amp;TEXT($Y537,"dd-mmm")&amp;").","Next: "&amp;$Z537&amp;" due "&amp;TEXT($Y537,"dd-mmm")&amp;" ("&amp;(NETWORKDAYS(TODAY(),$Y537,Holidays)-1)&amp;" business day(s) left).")))))</f>
        <v/>
      </c>
      <c r="V537" s="17">
        <f>IF($W537="","",CHOOSE($W537,"Collection Email","1st Follow-up","2nd Follow-up","Local Office","CBE","Roxanne")&amp;IF($W537=6," - Final"," - Day "&amp;MAX(0,NETWORKDAYS($X537,TODAY(),Holidays)-1)&amp;" of "&amp;CHOOSE($W537,3,3,2,2,3))&amp;" | Total Day "&amp;MAX(0,NETWORKDAYS($L537,TODAY(),Holidays)-1))</f>
        <v/>
      </c>
      <c r="W537" s="17">
        <f>IF($L537="","",COUNT($L537:$Q537))</f>
        <v/>
      </c>
      <c r="X537" s="18">
        <f>IF($W537="","",INT(INDEX($L537:$Q537,$W537)))</f>
        <v/>
      </c>
      <c r="Y537" s="18">
        <f>IF(OR($W537="",$W537=6),"",WORKDAY($X537,CHOOSE($W537,3,3,2,2,3),Holidays))</f>
        <v/>
      </c>
      <c r="Z537" s="17">
        <f>IF(OR($W537="",$W537=6),"",CHOOSE($W537,"1st Email Follow-up","2nd Email Follow-up","Escalate Local Office","Escalate to CBE","Escalate to Roxanne"))</f>
        <v/>
      </c>
    </row>
    <row r="538" spans="18:26">
      <c r="R538" s="15"/>
      <c r="S538" s="16"/>
      <c r="T538" s="17">
        <f>IF(AND(COUNTA($A538:$K538)=0,$L538=""),"",IF($S538="Paid","PAID",IF($S538="Closed","CLOSED",IF($W538="","",IF($W538=6,"ESCALATED TO ROXANNE",IF(TODAY()&gt;$Y538,"OVERDUE",IF($Y538&lt;=WORKDAY(TODAY(),1,Holidays),"DUE TOMORROW",IF($W538=4,"ESCALATED TO LOCAL OFFICE",IF($W538=5,"ESCALATED TO CBE",IF($X538=TODAY(),"EMAIL SENT","MONITORING"))))))))))</f>
        <v/>
      </c>
      <c r="U538" s="17">
        <f>IF($T538="",IF(AND(COUNTA($A538:$K538)&gt;0,$L538=""),"Awaiting Collection Email time stamp.",""),IF(OR($T538="PAID",$T538="CLOSED"),IF($T538="PAID","Account paid. Action completed.","Account closed. No further action required."),CHOOSE($W538,"Collection Email","1st Email Follow-up","2nd Email Follow-up","Escalation to Local Office","Escalation to CBE","Escalation to Roxanne")&amp;" sent "&amp;TEXT($X538,"dd-mmm")&amp;". "&amp;IF($W538=6,"Final escalation completed.",IF($T538="OVERDUE","Next: "&amp;$Z538&amp;" was due "&amp;TEXT($Y538,"dd-mmm")&amp;" - "&amp;(NETWORKDAYS($Y538,TODAY(),Holidays)-1)&amp;" business day(s) late. Send now.",IF($T538="DUE TOMORROW","Next: "&amp;$Z538&amp;IF($Y538&lt;=TODAY()," is due TODAY ("," is due next business day (")&amp;TEXT($Y538,"dd-mmm")&amp;").","Next: "&amp;$Z538&amp;" due "&amp;TEXT($Y538,"dd-mmm")&amp;" ("&amp;(NETWORKDAYS(TODAY(),$Y538,Holidays)-1)&amp;" business day(s) left).")))))</f>
        <v/>
      </c>
      <c r="V538" s="17">
        <f>IF($W538="","",CHOOSE($W538,"Collection Email","1st Follow-up","2nd Follow-up","Local Office","CBE","Roxanne")&amp;IF($W538=6," - Final"," - Day "&amp;MAX(0,NETWORKDAYS($X538,TODAY(),Holidays)-1)&amp;" of "&amp;CHOOSE($W538,3,3,2,2,3))&amp;" | Total Day "&amp;MAX(0,NETWORKDAYS($L538,TODAY(),Holidays)-1))</f>
        <v/>
      </c>
      <c r="W538" s="17">
        <f>IF($L538="","",COUNT($L538:$Q538))</f>
        <v/>
      </c>
      <c r="X538" s="18">
        <f>IF($W538="","",INT(INDEX($L538:$Q538,$W538)))</f>
        <v/>
      </c>
      <c r="Y538" s="18">
        <f>IF(OR($W538="",$W538=6),"",WORKDAY($X538,CHOOSE($W538,3,3,2,2,3),Holidays))</f>
        <v/>
      </c>
      <c r="Z538" s="17">
        <f>IF(OR($W538="",$W538=6),"",CHOOSE($W538,"1st Email Follow-up","2nd Email Follow-up","Escalate Local Office","Escalate to CBE","Escalate to Roxanne"))</f>
        <v/>
      </c>
    </row>
    <row r="539" spans="18:26">
      <c r="R539" s="15"/>
      <c r="S539" s="16"/>
      <c r="T539" s="17">
        <f>IF(AND(COUNTA($A539:$K539)=0,$L539=""),"",IF($S539="Paid","PAID",IF($S539="Closed","CLOSED",IF($W539="","",IF($W539=6,"ESCALATED TO ROXANNE",IF(TODAY()&gt;$Y539,"OVERDUE",IF($Y539&lt;=WORKDAY(TODAY(),1,Holidays),"DUE TOMORROW",IF($W539=4,"ESCALATED TO LOCAL OFFICE",IF($W539=5,"ESCALATED TO CBE",IF($X539=TODAY(),"EMAIL SENT","MONITORING"))))))))))</f>
        <v/>
      </c>
      <c r="U539" s="17">
        <f>IF($T539="",IF(AND(COUNTA($A539:$K539)&gt;0,$L539=""),"Awaiting Collection Email time stamp.",""),IF(OR($T539="PAID",$T539="CLOSED"),IF($T539="PAID","Account paid. Action completed.","Account closed. No further action required."),CHOOSE($W539,"Collection Email","1st Email Follow-up","2nd Email Follow-up","Escalation to Local Office","Escalation to CBE","Escalation to Roxanne")&amp;" sent "&amp;TEXT($X539,"dd-mmm")&amp;". "&amp;IF($W539=6,"Final escalation completed.",IF($T539="OVERDUE","Next: "&amp;$Z539&amp;" was due "&amp;TEXT($Y539,"dd-mmm")&amp;" - "&amp;(NETWORKDAYS($Y539,TODAY(),Holidays)-1)&amp;" business day(s) late. Send now.",IF($T539="DUE TOMORROW","Next: "&amp;$Z539&amp;IF($Y539&lt;=TODAY()," is due TODAY ("," is due next business day (")&amp;TEXT($Y539,"dd-mmm")&amp;").","Next: "&amp;$Z539&amp;" due "&amp;TEXT($Y539,"dd-mmm")&amp;" ("&amp;(NETWORKDAYS(TODAY(),$Y539,Holidays)-1)&amp;" business day(s) left).")))))</f>
        <v/>
      </c>
      <c r="V539" s="17">
        <f>IF($W539="","",CHOOSE($W539,"Collection Email","1st Follow-up","2nd Follow-up","Local Office","CBE","Roxanne")&amp;IF($W539=6," - Final"," - Day "&amp;MAX(0,NETWORKDAYS($X539,TODAY(),Holidays)-1)&amp;" of "&amp;CHOOSE($W539,3,3,2,2,3))&amp;" | Total Day "&amp;MAX(0,NETWORKDAYS($L539,TODAY(),Holidays)-1))</f>
        <v/>
      </c>
      <c r="W539" s="17">
        <f>IF($L539="","",COUNT($L539:$Q539))</f>
        <v/>
      </c>
      <c r="X539" s="18">
        <f>IF($W539="","",INT(INDEX($L539:$Q539,$W539)))</f>
        <v/>
      </c>
      <c r="Y539" s="18">
        <f>IF(OR($W539="",$W539=6),"",WORKDAY($X539,CHOOSE($W539,3,3,2,2,3),Holidays))</f>
        <v/>
      </c>
      <c r="Z539" s="17">
        <f>IF(OR($W539="",$W539=6),"",CHOOSE($W539,"1st Email Follow-up","2nd Email Follow-up","Escalate Local Office","Escalate to CBE","Escalate to Roxanne"))</f>
        <v/>
      </c>
    </row>
    <row r="540" spans="18:26">
      <c r="R540" s="15"/>
      <c r="S540" s="16"/>
      <c r="T540" s="17">
        <f>IF(AND(COUNTA($A540:$K540)=0,$L540=""),"",IF($S540="Paid","PAID",IF($S540="Closed","CLOSED",IF($W540="","",IF($W540=6,"ESCALATED TO ROXANNE",IF(TODAY()&gt;$Y540,"OVERDUE",IF($Y540&lt;=WORKDAY(TODAY(),1,Holidays),"DUE TOMORROW",IF($W540=4,"ESCALATED TO LOCAL OFFICE",IF($W540=5,"ESCALATED TO CBE",IF($X540=TODAY(),"EMAIL SENT","MONITORING"))))))))))</f>
        <v/>
      </c>
      <c r="U540" s="17">
        <f>IF($T540="",IF(AND(COUNTA($A540:$K540)&gt;0,$L540=""),"Awaiting Collection Email time stamp.",""),IF(OR($T540="PAID",$T540="CLOSED"),IF($T540="PAID","Account paid. Action completed.","Account closed. No further action required."),CHOOSE($W540,"Collection Email","1st Email Follow-up","2nd Email Follow-up","Escalation to Local Office","Escalation to CBE","Escalation to Roxanne")&amp;" sent "&amp;TEXT($X540,"dd-mmm")&amp;". "&amp;IF($W540=6,"Final escalation completed.",IF($T540="OVERDUE","Next: "&amp;$Z540&amp;" was due "&amp;TEXT($Y540,"dd-mmm")&amp;" - "&amp;(NETWORKDAYS($Y540,TODAY(),Holidays)-1)&amp;" business day(s) late. Send now.",IF($T540="DUE TOMORROW","Next: "&amp;$Z540&amp;IF($Y540&lt;=TODAY()," is due TODAY ("," is due next business day (")&amp;TEXT($Y540,"dd-mmm")&amp;").","Next: "&amp;$Z540&amp;" due "&amp;TEXT($Y540,"dd-mmm")&amp;" ("&amp;(NETWORKDAYS(TODAY(),$Y540,Holidays)-1)&amp;" business day(s) left).")))))</f>
        <v/>
      </c>
      <c r="V540" s="17">
        <f>IF($W540="","",CHOOSE($W540,"Collection Email","1st Follow-up","2nd Follow-up","Local Office","CBE","Roxanne")&amp;IF($W540=6," - Final"," - Day "&amp;MAX(0,NETWORKDAYS($X540,TODAY(),Holidays)-1)&amp;" of "&amp;CHOOSE($W540,3,3,2,2,3))&amp;" | Total Day "&amp;MAX(0,NETWORKDAYS($L540,TODAY(),Holidays)-1))</f>
        <v/>
      </c>
      <c r="W540" s="17">
        <f>IF($L540="","",COUNT($L540:$Q540))</f>
        <v/>
      </c>
      <c r="X540" s="18">
        <f>IF($W540="","",INT(INDEX($L540:$Q540,$W540)))</f>
        <v/>
      </c>
      <c r="Y540" s="18">
        <f>IF(OR($W540="",$W540=6),"",WORKDAY($X540,CHOOSE($W540,3,3,2,2,3),Holidays))</f>
        <v/>
      </c>
      <c r="Z540" s="17">
        <f>IF(OR($W540="",$W540=6),"",CHOOSE($W540,"1st Email Follow-up","2nd Email Follow-up","Escalate Local Office","Escalate to CBE","Escalate to Roxanne"))</f>
        <v/>
      </c>
    </row>
    <row r="541" spans="18:26">
      <c r="R541" s="15"/>
      <c r="S541" s="16"/>
      <c r="T541" s="17">
        <f>IF(AND(COUNTA($A541:$K541)=0,$L541=""),"",IF($S541="Paid","PAID",IF($S541="Closed","CLOSED",IF($W541="","",IF($W541=6,"ESCALATED TO ROXANNE",IF(TODAY()&gt;$Y541,"OVERDUE",IF($Y541&lt;=WORKDAY(TODAY(),1,Holidays),"DUE TOMORROW",IF($W541=4,"ESCALATED TO LOCAL OFFICE",IF($W541=5,"ESCALATED TO CBE",IF($X541=TODAY(),"EMAIL SENT","MONITORING"))))))))))</f>
        <v/>
      </c>
      <c r="U541" s="17">
        <f>IF($T541="",IF(AND(COUNTA($A541:$K541)&gt;0,$L541=""),"Awaiting Collection Email time stamp.",""),IF(OR($T541="PAID",$T541="CLOSED"),IF($T541="PAID","Account paid. Action completed.","Account closed. No further action required."),CHOOSE($W541,"Collection Email","1st Email Follow-up","2nd Email Follow-up","Escalation to Local Office","Escalation to CBE","Escalation to Roxanne")&amp;" sent "&amp;TEXT($X541,"dd-mmm")&amp;". "&amp;IF($W541=6,"Final escalation completed.",IF($T541="OVERDUE","Next: "&amp;$Z541&amp;" was due "&amp;TEXT($Y541,"dd-mmm")&amp;" - "&amp;(NETWORKDAYS($Y541,TODAY(),Holidays)-1)&amp;" business day(s) late. Send now.",IF($T541="DUE TOMORROW","Next: "&amp;$Z541&amp;IF($Y541&lt;=TODAY()," is due TODAY ("," is due next business day (")&amp;TEXT($Y541,"dd-mmm")&amp;").","Next: "&amp;$Z541&amp;" due "&amp;TEXT($Y541,"dd-mmm")&amp;" ("&amp;(NETWORKDAYS(TODAY(),$Y541,Holidays)-1)&amp;" business day(s) left).")))))</f>
        <v/>
      </c>
      <c r="V541" s="17">
        <f>IF($W541="","",CHOOSE($W541,"Collection Email","1st Follow-up","2nd Follow-up","Local Office","CBE","Roxanne")&amp;IF($W541=6," - Final"," - Day "&amp;MAX(0,NETWORKDAYS($X541,TODAY(),Holidays)-1)&amp;" of "&amp;CHOOSE($W541,3,3,2,2,3))&amp;" | Total Day "&amp;MAX(0,NETWORKDAYS($L541,TODAY(),Holidays)-1))</f>
        <v/>
      </c>
      <c r="W541" s="17">
        <f>IF($L541="","",COUNT($L541:$Q541))</f>
        <v/>
      </c>
      <c r="X541" s="18">
        <f>IF($W541="","",INT(INDEX($L541:$Q541,$W541)))</f>
        <v/>
      </c>
      <c r="Y541" s="18">
        <f>IF(OR($W541="",$W541=6),"",WORKDAY($X541,CHOOSE($W541,3,3,2,2,3),Holidays))</f>
        <v/>
      </c>
      <c r="Z541" s="17">
        <f>IF(OR($W541="",$W541=6),"",CHOOSE($W541,"1st Email Follow-up","2nd Email Follow-up","Escalate Local Office","Escalate to CBE","Escalate to Roxanne"))</f>
        <v/>
      </c>
    </row>
    <row r="542" spans="18:26">
      <c r="R542" s="15"/>
      <c r="S542" s="16"/>
      <c r="T542" s="17">
        <f>IF(AND(COUNTA($A542:$K542)=0,$L542=""),"",IF($S542="Paid","PAID",IF($S542="Closed","CLOSED",IF($W542="","",IF($W542=6,"ESCALATED TO ROXANNE",IF(TODAY()&gt;$Y542,"OVERDUE",IF($Y542&lt;=WORKDAY(TODAY(),1,Holidays),"DUE TOMORROW",IF($W542=4,"ESCALATED TO LOCAL OFFICE",IF($W542=5,"ESCALATED TO CBE",IF($X542=TODAY(),"EMAIL SENT","MONITORING"))))))))))</f>
        <v/>
      </c>
      <c r="U542" s="17">
        <f>IF($T542="",IF(AND(COUNTA($A542:$K542)&gt;0,$L542=""),"Awaiting Collection Email time stamp.",""),IF(OR($T542="PAID",$T542="CLOSED"),IF($T542="PAID","Account paid. Action completed.","Account closed. No further action required."),CHOOSE($W542,"Collection Email","1st Email Follow-up","2nd Email Follow-up","Escalation to Local Office","Escalation to CBE","Escalation to Roxanne")&amp;" sent "&amp;TEXT($X542,"dd-mmm")&amp;". "&amp;IF($W542=6,"Final escalation completed.",IF($T542="OVERDUE","Next: "&amp;$Z542&amp;" was due "&amp;TEXT($Y542,"dd-mmm")&amp;" - "&amp;(NETWORKDAYS($Y542,TODAY(),Holidays)-1)&amp;" business day(s) late. Send now.",IF($T542="DUE TOMORROW","Next: "&amp;$Z542&amp;IF($Y542&lt;=TODAY()," is due TODAY ("," is due next business day (")&amp;TEXT($Y542,"dd-mmm")&amp;").","Next: "&amp;$Z542&amp;" due "&amp;TEXT($Y542,"dd-mmm")&amp;" ("&amp;(NETWORKDAYS(TODAY(),$Y542,Holidays)-1)&amp;" business day(s) left).")))))</f>
        <v/>
      </c>
      <c r="V542" s="17">
        <f>IF($W542="","",CHOOSE($W542,"Collection Email","1st Follow-up","2nd Follow-up","Local Office","CBE","Roxanne")&amp;IF($W542=6," - Final"," - Day "&amp;MAX(0,NETWORKDAYS($X542,TODAY(),Holidays)-1)&amp;" of "&amp;CHOOSE($W542,3,3,2,2,3))&amp;" | Total Day "&amp;MAX(0,NETWORKDAYS($L542,TODAY(),Holidays)-1))</f>
        <v/>
      </c>
      <c r="W542" s="17">
        <f>IF($L542="","",COUNT($L542:$Q542))</f>
        <v/>
      </c>
      <c r="X542" s="18">
        <f>IF($W542="","",INT(INDEX($L542:$Q542,$W542)))</f>
        <v/>
      </c>
      <c r="Y542" s="18">
        <f>IF(OR($W542="",$W542=6),"",WORKDAY($X542,CHOOSE($W542,3,3,2,2,3),Holidays))</f>
        <v/>
      </c>
      <c r="Z542" s="17">
        <f>IF(OR($W542="",$W542=6),"",CHOOSE($W542,"1st Email Follow-up","2nd Email Follow-up","Escalate Local Office","Escalate to CBE","Escalate to Roxanne"))</f>
        <v/>
      </c>
    </row>
    <row r="543" spans="18:26">
      <c r="R543" s="15"/>
      <c r="S543" s="16"/>
      <c r="T543" s="17">
        <f>IF(AND(COUNTA($A543:$K543)=0,$L543=""),"",IF($S543="Paid","PAID",IF($S543="Closed","CLOSED",IF($W543="","",IF($W543=6,"ESCALATED TO ROXANNE",IF(TODAY()&gt;$Y543,"OVERDUE",IF($Y543&lt;=WORKDAY(TODAY(),1,Holidays),"DUE TOMORROW",IF($W543=4,"ESCALATED TO LOCAL OFFICE",IF($W543=5,"ESCALATED TO CBE",IF($X543=TODAY(),"EMAIL SENT","MONITORING"))))))))))</f>
        <v/>
      </c>
      <c r="U543" s="17">
        <f>IF($T543="",IF(AND(COUNTA($A543:$K543)&gt;0,$L543=""),"Awaiting Collection Email time stamp.",""),IF(OR($T543="PAID",$T543="CLOSED"),IF($T543="PAID","Account paid. Action completed.","Account closed. No further action required."),CHOOSE($W543,"Collection Email","1st Email Follow-up","2nd Email Follow-up","Escalation to Local Office","Escalation to CBE","Escalation to Roxanne")&amp;" sent "&amp;TEXT($X543,"dd-mmm")&amp;". "&amp;IF($W543=6,"Final escalation completed.",IF($T543="OVERDUE","Next: "&amp;$Z543&amp;" was due "&amp;TEXT($Y543,"dd-mmm")&amp;" - "&amp;(NETWORKDAYS($Y543,TODAY(),Holidays)-1)&amp;" business day(s) late. Send now.",IF($T543="DUE TOMORROW","Next: "&amp;$Z543&amp;IF($Y543&lt;=TODAY()," is due TODAY ("," is due next business day (")&amp;TEXT($Y543,"dd-mmm")&amp;").","Next: "&amp;$Z543&amp;" due "&amp;TEXT($Y543,"dd-mmm")&amp;" ("&amp;(NETWORKDAYS(TODAY(),$Y543,Holidays)-1)&amp;" business day(s) left).")))))</f>
        <v/>
      </c>
      <c r="V543" s="17">
        <f>IF($W543="","",CHOOSE($W543,"Collection Email","1st Follow-up","2nd Follow-up","Local Office","CBE","Roxanne")&amp;IF($W543=6," - Final"," - Day "&amp;MAX(0,NETWORKDAYS($X543,TODAY(),Holidays)-1)&amp;" of "&amp;CHOOSE($W543,3,3,2,2,3))&amp;" | Total Day "&amp;MAX(0,NETWORKDAYS($L543,TODAY(),Holidays)-1))</f>
        <v/>
      </c>
      <c r="W543" s="17">
        <f>IF($L543="","",COUNT($L543:$Q543))</f>
        <v/>
      </c>
      <c r="X543" s="18">
        <f>IF($W543="","",INT(INDEX($L543:$Q543,$W543)))</f>
        <v/>
      </c>
      <c r="Y543" s="18">
        <f>IF(OR($W543="",$W543=6),"",WORKDAY($X543,CHOOSE($W543,3,3,2,2,3),Holidays))</f>
        <v/>
      </c>
      <c r="Z543" s="17">
        <f>IF(OR($W543="",$W543=6),"",CHOOSE($W543,"1st Email Follow-up","2nd Email Follow-up","Escalate Local Office","Escalate to CBE","Escalate to Roxanne"))</f>
        <v/>
      </c>
    </row>
    <row r="544" spans="18:26">
      <c r="R544" s="15"/>
      <c r="S544" s="16"/>
      <c r="T544" s="17">
        <f>IF(AND(COUNTA($A544:$K544)=0,$L544=""),"",IF($S544="Paid","PAID",IF($S544="Closed","CLOSED",IF($W544="","",IF($W544=6,"ESCALATED TO ROXANNE",IF(TODAY()&gt;$Y544,"OVERDUE",IF($Y544&lt;=WORKDAY(TODAY(),1,Holidays),"DUE TOMORROW",IF($W544=4,"ESCALATED TO LOCAL OFFICE",IF($W544=5,"ESCALATED TO CBE",IF($X544=TODAY(),"EMAIL SENT","MONITORING"))))))))))</f>
        <v/>
      </c>
      <c r="U544" s="17">
        <f>IF($T544="",IF(AND(COUNTA($A544:$K544)&gt;0,$L544=""),"Awaiting Collection Email time stamp.",""),IF(OR($T544="PAID",$T544="CLOSED"),IF($T544="PAID","Account paid. Action completed.","Account closed. No further action required."),CHOOSE($W544,"Collection Email","1st Email Follow-up","2nd Email Follow-up","Escalation to Local Office","Escalation to CBE","Escalation to Roxanne")&amp;" sent "&amp;TEXT($X544,"dd-mmm")&amp;". "&amp;IF($W544=6,"Final escalation completed.",IF($T544="OVERDUE","Next: "&amp;$Z544&amp;" was due "&amp;TEXT($Y544,"dd-mmm")&amp;" - "&amp;(NETWORKDAYS($Y544,TODAY(),Holidays)-1)&amp;" business day(s) late. Send now.",IF($T544="DUE TOMORROW","Next: "&amp;$Z544&amp;IF($Y544&lt;=TODAY()," is due TODAY ("," is due next business day (")&amp;TEXT($Y544,"dd-mmm")&amp;").","Next: "&amp;$Z544&amp;" due "&amp;TEXT($Y544,"dd-mmm")&amp;" ("&amp;(NETWORKDAYS(TODAY(),$Y544,Holidays)-1)&amp;" business day(s) left).")))))</f>
        <v/>
      </c>
      <c r="V544" s="17">
        <f>IF($W544="","",CHOOSE($W544,"Collection Email","1st Follow-up","2nd Follow-up","Local Office","CBE","Roxanne")&amp;IF($W544=6," - Final"," - Day "&amp;MAX(0,NETWORKDAYS($X544,TODAY(),Holidays)-1)&amp;" of "&amp;CHOOSE($W544,3,3,2,2,3))&amp;" | Total Day "&amp;MAX(0,NETWORKDAYS($L544,TODAY(),Holidays)-1))</f>
        <v/>
      </c>
      <c r="W544" s="17">
        <f>IF($L544="","",COUNT($L544:$Q544))</f>
        <v/>
      </c>
      <c r="X544" s="18">
        <f>IF($W544="","",INT(INDEX($L544:$Q544,$W544)))</f>
        <v/>
      </c>
      <c r="Y544" s="18">
        <f>IF(OR($W544="",$W544=6),"",WORKDAY($X544,CHOOSE($W544,3,3,2,2,3),Holidays))</f>
        <v/>
      </c>
      <c r="Z544" s="17">
        <f>IF(OR($W544="",$W544=6),"",CHOOSE($W544,"1st Email Follow-up","2nd Email Follow-up","Escalate Local Office","Escalate to CBE","Escalate to Roxanne"))</f>
        <v/>
      </c>
    </row>
    <row r="545" spans="18:26">
      <c r="R545" s="15"/>
      <c r="S545" s="16"/>
      <c r="T545" s="17">
        <f>IF(AND(COUNTA($A545:$K545)=0,$L545=""),"",IF($S545="Paid","PAID",IF($S545="Closed","CLOSED",IF($W545="","",IF($W545=6,"ESCALATED TO ROXANNE",IF(TODAY()&gt;$Y545,"OVERDUE",IF($Y545&lt;=WORKDAY(TODAY(),1,Holidays),"DUE TOMORROW",IF($W545=4,"ESCALATED TO LOCAL OFFICE",IF($W545=5,"ESCALATED TO CBE",IF($X545=TODAY(),"EMAIL SENT","MONITORING"))))))))))</f>
        <v/>
      </c>
      <c r="U545" s="17">
        <f>IF($T545="",IF(AND(COUNTA($A545:$K545)&gt;0,$L545=""),"Awaiting Collection Email time stamp.",""),IF(OR($T545="PAID",$T545="CLOSED"),IF($T545="PAID","Account paid. Action completed.","Account closed. No further action required."),CHOOSE($W545,"Collection Email","1st Email Follow-up","2nd Email Follow-up","Escalation to Local Office","Escalation to CBE","Escalation to Roxanne")&amp;" sent "&amp;TEXT($X545,"dd-mmm")&amp;". "&amp;IF($W545=6,"Final escalation completed.",IF($T545="OVERDUE","Next: "&amp;$Z545&amp;" was due "&amp;TEXT($Y545,"dd-mmm")&amp;" - "&amp;(NETWORKDAYS($Y545,TODAY(),Holidays)-1)&amp;" business day(s) late. Send now.",IF($T545="DUE TOMORROW","Next: "&amp;$Z545&amp;IF($Y545&lt;=TODAY()," is due TODAY ("," is due next business day (")&amp;TEXT($Y545,"dd-mmm")&amp;").","Next: "&amp;$Z545&amp;" due "&amp;TEXT($Y545,"dd-mmm")&amp;" ("&amp;(NETWORKDAYS(TODAY(),$Y545,Holidays)-1)&amp;" business day(s) left).")))))</f>
        <v/>
      </c>
      <c r="V545" s="17">
        <f>IF($W545="","",CHOOSE($W545,"Collection Email","1st Follow-up","2nd Follow-up","Local Office","CBE","Roxanne")&amp;IF($W545=6," - Final"," - Day "&amp;MAX(0,NETWORKDAYS($X545,TODAY(),Holidays)-1)&amp;" of "&amp;CHOOSE($W545,3,3,2,2,3))&amp;" | Total Day "&amp;MAX(0,NETWORKDAYS($L545,TODAY(),Holidays)-1))</f>
        <v/>
      </c>
      <c r="W545" s="17">
        <f>IF($L545="","",COUNT($L545:$Q545))</f>
        <v/>
      </c>
      <c r="X545" s="18">
        <f>IF($W545="","",INT(INDEX($L545:$Q545,$W545)))</f>
        <v/>
      </c>
      <c r="Y545" s="18">
        <f>IF(OR($W545="",$W545=6),"",WORKDAY($X545,CHOOSE($W545,3,3,2,2,3),Holidays))</f>
        <v/>
      </c>
      <c r="Z545" s="17">
        <f>IF(OR($W545="",$W545=6),"",CHOOSE($W545,"1st Email Follow-up","2nd Email Follow-up","Escalate Local Office","Escalate to CBE","Escalate to Roxanne"))</f>
        <v/>
      </c>
    </row>
    <row r="546" spans="18:26">
      <c r="R546" s="15"/>
      <c r="S546" s="16"/>
      <c r="T546" s="17">
        <f>IF(AND(COUNTA($A546:$K546)=0,$L546=""),"",IF($S546="Paid","PAID",IF($S546="Closed","CLOSED",IF($W546="","",IF($W546=6,"ESCALATED TO ROXANNE",IF(TODAY()&gt;$Y546,"OVERDUE",IF($Y546&lt;=WORKDAY(TODAY(),1,Holidays),"DUE TOMORROW",IF($W546=4,"ESCALATED TO LOCAL OFFICE",IF($W546=5,"ESCALATED TO CBE",IF($X546=TODAY(),"EMAIL SENT","MONITORING"))))))))))</f>
        <v/>
      </c>
      <c r="U546" s="17">
        <f>IF($T546="",IF(AND(COUNTA($A546:$K546)&gt;0,$L546=""),"Awaiting Collection Email time stamp.",""),IF(OR($T546="PAID",$T546="CLOSED"),IF($T546="PAID","Account paid. Action completed.","Account closed. No further action required."),CHOOSE($W546,"Collection Email","1st Email Follow-up","2nd Email Follow-up","Escalation to Local Office","Escalation to CBE","Escalation to Roxanne")&amp;" sent "&amp;TEXT($X546,"dd-mmm")&amp;". "&amp;IF($W546=6,"Final escalation completed.",IF($T546="OVERDUE","Next: "&amp;$Z546&amp;" was due "&amp;TEXT($Y546,"dd-mmm")&amp;" - "&amp;(NETWORKDAYS($Y546,TODAY(),Holidays)-1)&amp;" business day(s) late. Send now.",IF($T546="DUE TOMORROW","Next: "&amp;$Z546&amp;IF($Y546&lt;=TODAY()," is due TODAY ("," is due next business day (")&amp;TEXT($Y546,"dd-mmm")&amp;").","Next: "&amp;$Z546&amp;" due "&amp;TEXT($Y546,"dd-mmm")&amp;" ("&amp;(NETWORKDAYS(TODAY(),$Y546,Holidays)-1)&amp;" business day(s) left).")))))</f>
        <v/>
      </c>
      <c r="V546" s="17">
        <f>IF($W546="","",CHOOSE($W546,"Collection Email","1st Follow-up","2nd Follow-up","Local Office","CBE","Roxanne")&amp;IF($W546=6," - Final"," - Day "&amp;MAX(0,NETWORKDAYS($X546,TODAY(),Holidays)-1)&amp;" of "&amp;CHOOSE($W546,3,3,2,2,3))&amp;" | Total Day "&amp;MAX(0,NETWORKDAYS($L546,TODAY(),Holidays)-1))</f>
        <v/>
      </c>
      <c r="W546" s="17">
        <f>IF($L546="","",COUNT($L546:$Q546))</f>
        <v/>
      </c>
      <c r="X546" s="18">
        <f>IF($W546="","",INT(INDEX($L546:$Q546,$W546)))</f>
        <v/>
      </c>
      <c r="Y546" s="18">
        <f>IF(OR($W546="",$W546=6),"",WORKDAY($X546,CHOOSE($W546,3,3,2,2,3),Holidays))</f>
        <v/>
      </c>
      <c r="Z546" s="17">
        <f>IF(OR($W546="",$W546=6),"",CHOOSE($W546,"1st Email Follow-up","2nd Email Follow-up","Escalate Local Office","Escalate to CBE","Escalate to Roxanne"))</f>
        <v/>
      </c>
    </row>
    <row r="547" spans="18:26">
      <c r="R547" s="15"/>
      <c r="S547" s="16"/>
      <c r="T547" s="17">
        <f>IF(AND(COUNTA($A547:$K547)=0,$L547=""),"",IF($S547="Paid","PAID",IF($S547="Closed","CLOSED",IF($W547="","",IF($W547=6,"ESCALATED TO ROXANNE",IF(TODAY()&gt;$Y547,"OVERDUE",IF($Y547&lt;=WORKDAY(TODAY(),1,Holidays),"DUE TOMORROW",IF($W547=4,"ESCALATED TO LOCAL OFFICE",IF($W547=5,"ESCALATED TO CBE",IF($X547=TODAY(),"EMAIL SENT","MONITORING"))))))))))</f>
        <v/>
      </c>
      <c r="U547" s="17">
        <f>IF($T547="",IF(AND(COUNTA($A547:$K547)&gt;0,$L547=""),"Awaiting Collection Email time stamp.",""),IF(OR($T547="PAID",$T547="CLOSED"),IF($T547="PAID","Account paid. Action completed.","Account closed. No further action required."),CHOOSE($W547,"Collection Email","1st Email Follow-up","2nd Email Follow-up","Escalation to Local Office","Escalation to CBE","Escalation to Roxanne")&amp;" sent "&amp;TEXT($X547,"dd-mmm")&amp;". "&amp;IF($W547=6,"Final escalation completed.",IF($T547="OVERDUE","Next: "&amp;$Z547&amp;" was due "&amp;TEXT($Y547,"dd-mmm")&amp;" - "&amp;(NETWORKDAYS($Y547,TODAY(),Holidays)-1)&amp;" business day(s) late. Send now.",IF($T547="DUE TOMORROW","Next: "&amp;$Z547&amp;IF($Y547&lt;=TODAY()," is due TODAY ("," is due next business day (")&amp;TEXT($Y547,"dd-mmm")&amp;").","Next: "&amp;$Z547&amp;" due "&amp;TEXT($Y547,"dd-mmm")&amp;" ("&amp;(NETWORKDAYS(TODAY(),$Y547,Holidays)-1)&amp;" business day(s) left).")))))</f>
        <v/>
      </c>
      <c r="V547" s="17">
        <f>IF($W547="","",CHOOSE($W547,"Collection Email","1st Follow-up","2nd Follow-up","Local Office","CBE","Roxanne")&amp;IF($W547=6," - Final"," - Day "&amp;MAX(0,NETWORKDAYS($X547,TODAY(),Holidays)-1)&amp;" of "&amp;CHOOSE($W547,3,3,2,2,3))&amp;" | Total Day "&amp;MAX(0,NETWORKDAYS($L547,TODAY(),Holidays)-1))</f>
        <v/>
      </c>
      <c r="W547" s="17">
        <f>IF($L547="","",COUNT($L547:$Q547))</f>
        <v/>
      </c>
      <c r="X547" s="18">
        <f>IF($W547="","",INT(INDEX($L547:$Q547,$W547)))</f>
        <v/>
      </c>
      <c r="Y547" s="18">
        <f>IF(OR($W547="",$W547=6),"",WORKDAY($X547,CHOOSE($W547,3,3,2,2,3),Holidays))</f>
        <v/>
      </c>
      <c r="Z547" s="17">
        <f>IF(OR($W547="",$W547=6),"",CHOOSE($W547,"1st Email Follow-up","2nd Email Follow-up","Escalate Local Office","Escalate to CBE","Escalate to Roxanne"))</f>
        <v/>
      </c>
    </row>
    <row r="548" spans="18:26">
      <c r="R548" s="15"/>
      <c r="S548" s="16"/>
      <c r="T548" s="17">
        <f>IF(AND(COUNTA($A548:$K548)=0,$L548=""),"",IF($S548="Paid","PAID",IF($S548="Closed","CLOSED",IF($W548="","",IF($W548=6,"ESCALATED TO ROXANNE",IF(TODAY()&gt;$Y548,"OVERDUE",IF($Y548&lt;=WORKDAY(TODAY(),1,Holidays),"DUE TOMORROW",IF($W548=4,"ESCALATED TO LOCAL OFFICE",IF($W548=5,"ESCALATED TO CBE",IF($X548=TODAY(),"EMAIL SENT","MONITORING"))))))))))</f>
        <v/>
      </c>
      <c r="U548" s="17">
        <f>IF($T548="",IF(AND(COUNTA($A548:$K548)&gt;0,$L548=""),"Awaiting Collection Email time stamp.",""),IF(OR($T548="PAID",$T548="CLOSED"),IF($T548="PAID","Account paid. Action completed.","Account closed. No further action required."),CHOOSE($W548,"Collection Email","1st Email Follow-up","2nd Email Follow-up","Escalation to Local Office","Escalation to CBE","Escalation to Roxanne")&amp;" sent "&amp;TEXT($X548,"dd-mmm")&amp;". "&amp;IF($W548=6,"Final escalation completed.",IF($T548="OVERDUE","Next: "&amp;$Z548&amp;" was due "&amp;TEXT($Y548,"dd-mmm")&amp;" - "&amp;(NETWORKDAYS($Y548,TODAY(),Holidays)-1)&amp;" business day(s) late. Send now.",IF($T548="DUE TOMORROW","Next: "&amp;$Z548&amp;IF($Y548&lt;=TODAY()," is due TODAY ("," is due next business day (")&amp;TEXT($Y548,"dd-mmm")&amp;").","Next: "&amp;$Z548&amp;" due "&amp;TEXT($Y548,"dd-mmm")&amp;" ("&amp;(NETWORKDAYS(TODAY(),$Y548,Holidays)-1)&amp;" business day(s) left).")))))</f>
        <v/>
      </c>
      <c r="V548" s="17">
        <f>IF($W548="","",CHOOSE($W548,"Collection Email","1st Follow-up","2nd Follow-up","Local Office","CBE","Roxanne")&amp;IF($W548=6," - Final"," - Day "&amp;MAX(0,NETWORKDAYS($X548,TODAY(),Holidays)-1)&amp;" of "&amp;CHOOSE($W548,3,3,2,2,3))&amp;" | Total Day "&amp;MAX(0,NETWORKDAYS($L548,TODAY(),Holidays)-1))</f>
        <v/>
      </c>
      <c r="W548" s="17">
        <f>IF($L548="","",COUNT($L548:$Q548))</f>
        <v/>
      </c>
      <c r="X548" s="18">
        <f>IF($W548="","",INT(INDEX($L548:$Q548,$W548)))</f>
        <v/>
      </c>
      <c r="Y548" s="18">
        <f>IF(OR($W548="",$W548=6),"",WORKDAY($X548,CHOOSE($W548,3,3,2,2,3),Holidays))</f>
        <v/>
      </c>
      <c r="Z548" s="17">
        <f>IF(OR($W548="",$W548=6),"",CHOOSE($W548,"1st Email Follow-up","2nd Email Follow-up","Escalate Local Office","Escalate to CBE","Escalate to Roxanne"))</f>
        <v/>
      </c>
    </row>
    <row r="549" spans="18:26">
      <c r="R549" s="15"/>
      <c r="S549" s="16"/>
      <c r="T549" s="17">
        <f>IF(AND(COUNTA($A549:$K549)=0,$L549=""),"",IF($S549="Paid","PAID",IF($S549="Closed","CLOSED",IF($W549="","",IF($W549=6,"ESCALATED TO ROXANNE",IF(TODAY()&gt;$Y549,"OVERDUE",IF($Y549&lt;=WORKDAY(TODAY(),1,Holidays),"DUE TOMORROW",IF($W549=4,"ESCALATED TO LOCAL OFFICE",IF($W549=5,"ESCALATED TO CBE",IF($X549=TODAY(),"EMAIL SENT","MONITORING"))))))))))</f>
        <v/>
      </c>
      <c r="U549" s="17">
        <f>IF($T549="",IF(AND(COUNTA($A549:$K549)&gt;0,$L549=""),"Awaiting Collection Email time stamp.",""),IF(OR($T549="PAID",$T549="CLOSED"),IF($T549="PAID","Account paid. Action completed.","Account closed. No further action required."),CHOOSE($W549,"Collection Email","1st Email Follow-up","2nd Email Follow-up","Escalation to Local Office","Escalation to CBE","Escalation to Roxanne")&amp;" sent "&amp;TEXT($X549,"dd-mmm")&amp;". "&amp;IF($W549=6,"Final escalation completed.",IF($T549="OVERDUE","Next: "&amp;$Z549&amp;" was due "&amp;TEXT($Y549,"dd-mmm")&amp;" - "&amp;(NETWORKDAYS($Y549,TODAY(),Holidays)-1)&amp;" business day(s) late. Send now.",IF($T549="DUE TOMORROW","Next: "&amp;$Z549&amp;IF($Y549&lt;=TODAY()," is due TODAY ("," is due next business day (")&amp;TEXT($Y549,"dd-mmm")&amp;").","Next: "&amp;$Z549&amp;" due "&amp;TEXT($Y549,"dd-mmm")&amp;" ("&amp;(NETWORKDAYS(TODAY(),$Y549,Holidays)-1)&amp;" business day(s) left).")))))</f>
        <v/>
      </c>
      <c r="V549" s="17">
        <f>IF($W549="","",CHOOSE($W549,"Collection Email","1st Follow-up","2nd Follow-up","Local Office","CBE","Roxanne")&amp;IF($W549=6," - Final"," - Day "&amp;MAX(0,NETWORKDAYS($X549,TODAY(),Holidays)-1)&amp;" of "&amp;CHOOSE($W549,3,3,2,2,3))&amp;" | Total Day "&amp;MAX(0,NETWORKDAYS($L549,TODAY(),Holidays)-1))</f>
        <v/>
      </c>
      <c r="W549" s="17">
        <f>IF($L549="","",COUNT($L549:$Q549))</f>
        <v/>
      </c>
      <c r="X549" s="18">
        <f>IF($W549="","",INT(INDEX($L549:$Q549,$W549)))</f>
        <v/>
      </c>
      <c r="Y549" s="18">
        <f>IF(OR($W549="",$W549=6),"",WORKDAY($X549,CHOOSE($W549,3,3,2,2,3),Holidays))</f>
        <v/>
      </c>
      <c r="Z549" s="17">
        <f>IF(OR($W549="",$W549=6),"",CHOOSE($W549,"1st Email Follow-up","2nd Email Follow-up","Escalate Local Office","Escalate to CBE","Escalate to Roxanne"))</f>
        <v/>
      </c>
    </row>
    <row r="550" spans="18:26">
      <c r="R550" s="15"/>
      <c r="S550" s="16"/>
      <c r="T550" s="17">
        <f>IF(AND(COUNTA($A550:$K550)=0,$L550=""),"",IF($S550="Paid","PAID",IF($S550="Closed","CLOSED",IF($W550="","",IF($W550=6,"ESCALATED TO ROXANNE",IF(TODAY()&gt;$Y550,"OVERDUE",IF($Y550&lt;=WORKDAY(TODAY(),1,Holidays),"DUE TOMORROW",IF($W550=4,"ESCALATED TO LOCAL OFFICE",IF($W550=5,"ESCALATED TO CBE",IF($X550=TODAY(),"EMAIL SENT","MONITORING"))))))))))</f>
        <v/>
      </c>
      <c r="U550" s="17">
        <f>IF($T550="",IF(AND(COUNTA($A550:$K550)&gt;0,$L550=""),"Awaiting Collection Email time stamp.",""),IF(OR($T550="PAID",$T550="CLOSED"),IF($T550="PAID","Account paid. Action completed.","Account closed. No further action required."),CHOOSE($W550,"Collection Email","1st Email Follow-up","2nd Email Follow-up","Escalation to Local Office","Escalation to CBE","Escalation to Roxanne")&amp;" sent "&amp;TEXT($X550,"dd-mmm")&amp;". "&amp;IF($W550=6,"Final escalation completed.",IF($T550="OVERDUE","Next: "&amp;$Z550&amp;" was due "&amp;TEXT($Y550,"dd-mmm")&amp;" - "&amp;(NETWORKDAYS($Y550,TODAY(),Holidays)-1)&amp;" business day(s) late. Send now.",IF($T550="DUE TOMORROW","Next: "&amp;$Z550&amp;IF($Y550&lt;=TODAY()," is due TODAY ("," is due next business day (")&amp;TEXT($Y550,"dd-mmm")&amp;").","Next: "&amp;$Z550&amp;" due "&amp;TEXT($Y550,"dd-mmm")&amp;" ("&amp;(NETWORKDAYS(TODAY(),$Y550,Holidays)-1)&amp;" business day(s) left).")))))</f>
        <v/>
      </c>
      <c r="V550" s="17">
        <f>IF($W550="","",CHOOSE($W550,"Collection Email","1st Follow-up","2nd Follow-up","Local Office","CBE","Roxanne")&amp;IF($W550=6," - Final"," - Day "&amp;MAX(0,NETWORKDAYS($X550,TODAY(),Holidays)-1)&amp;" of "&amp;CHOOSE($W550,3,3,2,2,3))&amp;" | Total Day "&amp;MAX(0,NETWORKDAYS($L550,TODAY(),Holidays)-1))</f>
        <v/>
      </c>
      <c r="W550" s="17">
        <f>IF($L550="","",COUNT($L550:$Q550))</f>
        <v/>
      </c>
      <c r="X550" s="18">
        <f>IF($W550="","",INT(INDEX($L550:$Q550,$W550)))</f>
        <v/>
      </c>
      <c r="Y550" s="18">
        <f>IF(OR($W550="",$W550=6),"",WORKDAY($X550,CHOOSE($W550,3,3,2,2,3),Holidays))</f>
        <v/>
      </c>
      <c r="Z550" s="17">
        <f>IF(OR($W550="",$W550=6),"",CHOOSE($W550,"1st Email Follow-up","2nd Email Follow-up","Escalate Local Office","Escalate to CBE","Escalate to Roxanne"))</f>
        <v/>
      </c>
    </row>
    <row r="551" spans="18:26">
      <c r="R551" s="15"/>
      <c r="S551" s="16"/>
      <c r="T551" s="17">
        <f>IF(AND(COUNTA($A551:$K551)=0,$L551=""),"",IF($S551="Paid","PAID",IF($S551="Closed","CLOSED",IF($W551="","",IF($W551=6,"ESCALATED TO ROXANNE",IF(TODAY()&gt;$Y551,"OVERDUE",IF($Y551&lt;=WORKDAY(TODAY(),1,Holidays),"DUE TOMORROW",IF($W551=4,"ESCALATED TO LOCAL OFFICE",IF($W551=5,"ESCALATED TO CBE",IF($X551=TODAY(),"EMAIL SENT","MONITORING"))))))))))</f>
        <v/>
      </c>
      <c r="U551" s="17">
        <f>IF($T551="",IF(AND(COUNTA($A551:$K551)&gt;0,$L551=""),"Awaiting Collection Email time stamp.",""),IF(OR($T551="PAID",$T551="CLOSED"),IF($T551="PAID","Account paid. Action completed.","Account closed. No further action required."),CHOOSE($W551,"Collection Email","1st Email Follow-up","2nd Email Follow-up","Escalation to Local Office","Escalation to CBE","Escalation to Roxanne")&amp;" sent "&amp;TEXT($X551,"dd-mmm")&amp;". "&amp;IF($W551=6,"Final escalation completed.",IF($T551="OVERDUE","Next: "&amp;$Z551&amp;" was due "&amp;TEXT($Y551,"dd-mmm")&amp;" - "&amp;(NETWORKDAYS($Y551,TODAY(),Holidays)-1)&amp;" business day(s) late. Send now.",IF($T551="DUE TOMORROW","Next: "&amp;$Z551&amp;IF($Y551&lt;=TODAY()," is due TODAY ("," is due next business day (")&amp;TEXT($Y551,"dd-mmm")&amp;").","Next: "&amp;$Z551&amp;" due "&amp;TEXT($Y551,"dd-mmm")&amp;" ("&amp;(NETWORKDAYS(TODAY(),$Y551,Holidays)-1)&amp;" business day(s) left).")))))</f>
        <v/>
      </c>
      <c r="V551" s="17">
        <f>IF($W551="","",CHOOSE($W551,"Collection Email","1st Follow-up","2nd Follow-up","Local Office","CBE","Roxanne")&amp;IF($W551=6," - Final"," - Day "&amp;MAX(0,NETWORKDAYS($X551,TODAY(),Holidays)-1)&amp;" of "&amp;CHOOSE($W551,3,3,2,2,3))&amp;" | Total Day "&amp;MAX(0,NETWORKDAYS($L551,TODAY(),Holidays)-1))</f>
        <v/>
      </c>
      <c r="W551" s="17">
        <f>IF($L551="","",COUNT($L551:$Q551))</f>
        <v/>
      </c>
      <c r="X551" s="18">
        <f>IF($W551="","",INT(INDEX($L551:$Q551,$W551)))</f>
        <v/>
      </c>
      <c r="Y551" s="18">
        <f>IF(OR($W551="",$W551=6),"",WORKDAY($X551,CHOOSE($W551,3,3,2,2,3),Holidays))</f>
        <v/>
      </c>
      <c r="Z551" s="17">
        <f>IF(OR($W551="",$W551=6),"",CHOOSE($W551,"1st Email Follow-up","2nd Email Follow-up","Escalate Local Office","Escalate to CBE","Escalate to Roxanne"))</f>
        <v/>
      </c>
    </row>
    <row r="552" spans="18:26">
      <c r="R552" s="15"/>
      <c r="S552" s="16"/>
      <c r="T552" s="17">
        <f>IF(AND(COUNTA($A552:$K552)=0,$L552=""),"",IF($S552="Paid","PAID",IF($S552="Closed","CLOSED",IF($W552="","",IF($W552=6,"ESCALATED TO ROXANNE",IF(TODAY()&gt;$Y552,"OVERDUE",IF($Y552&lt;=WORKDAY(TODAY(),1,Holidays),"DUE TOMORROW",IF($W552=4,"ESCALATED TO LOCAL OFFICE",IF($W552=5,"ESCALATED TO CBE",IF($X552=TODAY(),"EMAIL SENT","MONITORING"))))))))))</f>
        <v/>
      </c>
      <c r="U552" s="17">
        <f>IF($T552="",IF(AND(COUNTA($A552:$K552)&gt;0,$L552=""),"Awaiting Collection Email time stamp.",""),IF(OR($T552="PAID",$T552="CLOSED"),IF($T552="PAID","Account paid. Action completed.","Account closed. No further action required."),CHOOSE($W552,"Collection Email","1st Email Follow-up","2nd Email Follow-up","Escalation to Local Office","Escalation to CBE","Escalation to Roxanne")&amp;" sent "&amp;TEXT($X552,"dd-mmm")&amp;". "&amp;IF($W552=6,"Final escalation completed.",IF($T552="OVERDUE","Next: "&amp;$Z552&amp;" was due "&amp;TEXT($Y552,"dd-mmm")&amp;" - "&amp;(NETWORKDAYS($Y552,TODAY(),Holidays)-1)&amp;" business day(s) late. Send now.",IF($T552="DUE TOMORROW","Next: "&amp;$Z552&amp;IF($Y552&lt;=TODAY()," is due TODAY ("," is due next business day (")&amp;TEXT($Y552,"dd-mmm")&amp;").","Next: "&amp;$Z552&amp;" due "&amp;TEXT($Y552,"dd-mmm")&amp;" ("&amp;(NETWORKDAYS(TODAY(),$Y552,Holidays)-1)&amp;" business day(s) left).")))))</f>
        <v/>
      </c>
      <c r="V552" s="17">
        <f>IF($W552="","",CHOOSE($W552,"Collection Email","1st Follow-up","2nd Follow-up","Local Office","CBE","Roxanne")&amp;IF($W552=6," - Final"," - Day "&amp;MAX(0,NETWORKDAYS($X552,TODAY(),Holidays)-1)&amp;" of "&amp;CHOOSE($W552,3,3,2,2,3))&amp;" | Total Day "&amp;MAX(0,NETWORKDAYS($L552,TODAY(),Holidays)-1))</f>
        <v/>
      </c>
      <c r="W552" s="17">
        <f>IF($L552="","",COUNT($L552:$Q552))</f>
        <v/>
      </c>
      <c r="X552" s="18">
        <f>IF($W552="","",INT(INDEX($L552:$Q552,$W552)))</f>
        <v/>
      </c>
      <c r="Y552" s="18">
        <f>IF(OR($W552="",$W552=6),"",WORKDAY($X552,CHOOSE($W552,3,3,2,2,3),Holidays))</f>
        <v/>
      </c>
      <c r="Z552" s="17">
        <f>IF(OR($W552="",$W552=6),"",CHOOSE($W552,"1st Email Follow-up","2nd Email Follow-up","Escalate Local Office","Escalate to CBE","Escalate to Roxanne"))</f>
        <v/>
      </c>
    </row>
    <row r="553" spans="18:26">
      <c r="R553" s="15"/>
      <c r="S553" s="16"/>
      <c r="T553" s="17">
        <f>IF(AND(COUNTA($A553:$K553)=0,$L553=""),"",IF($S553="Paid","PAID",IF($S553="Closed","CLOSED",IF($W553="","",IF($W553=6,"ESCALATED TO ROXANNE",IF(TODAY()&gt;$Y553,"OVERDUE",IF($Y553&lt;=WORKDAY(TODAY(),1,Holidays),"DUE TOMORROW",IF($W553=4,"ESCALATED TO LOCAL OFFICE",IF($W553=5,"ESCALATED TO CBE",IF($X553=TODAY(),"EMAIL SENT","MONITORING"))))))))))</f>
        <v/>
      </c>
      <c r="U553" s="17">
        <f>IF($T553="",IF(AND(COUNTA($A553:$K553)&gt;0,$L553=""),"Awaiting Collection Email time stamp.",""),IF(OR($T553="PAID",$T553="CLOSED"),IF($T553="PAID","Account paid. Action completed.","Account closed. No further action required."),CHOOSE($W553,"Collection Email","1st Email Follow-up","2nd Email Follow-up","Escalation to Local Office","Escalation to CBE","Escalation to Roxanne")&amp;" sent "&amp;TEXT($X553,"dd-mmm")&amp;". "&amp;IF($W553=6,"Final escalation completed.",IF($T553="OVERDUE","Next: "&amp;$Z553&amp;" was due "&amp;TEXT($Y553,"dd-mmm")&amp;" - "&amp;(NETWORKDAYS($Y553,TODAY(),Holidays)-1)&amp;" business day(s) late. Send now.",IF($T553="DUE TOMORROW","Next: "&amp;$Z553&amp;IF($Y553&lt;=TODAY()," is due TODAY ("," is due next business day (")&amp;TEXT($Y553,"dd-mmm")&amp;").","Next: "&amp;$Z553&amp;" due "&amp;TEXT($Y553,"dd-mmm")&amp;" ("&amp;(NETWORKDAYS(TODAY(),$Y553,Holidays)-1)&amp;" business day(s) left).")))))</f>
        <v/>
      </c>
      <c r="V553" s="17">
        <f>IF($W553="","",CHOOSE($W553,"Collection Email","1st Follow-up","2nd Follow-up","Local Office","CBE","Roxanne")&amp;IF($W553=6," - Final"," - Day "&amp;MAX(0,NETWORKDAYS($X553,TODAY(),Holidays)-1)&amp;" of "&amp;CHOOSE($W553,3,3,2,2,3))&amp;" | Total Day "&amp;MAX(0,NETWORKDAYS($L553,TODAY(),Holidays)-1))</f>
        <v/>
      </c>
      <c r="W553" s="17">
        <f>IF($L553="","",COUNT($L553:$Q553))</f>
        <v/>
      </c>
      <c r="X553" s="18">
        <f>IF($W553="","",INT(INDEX($L553:$Q553,$W553)))</f>
        <v/>
      </c>
      <c r="Y553" s="18">
        <f>IF(OR($W553="",$W553=6),"",WORKDAY($X553,CHOOSE($W553,3,3,2,2,3),Holidays))</f>
        <v/>
      </c>
      <c r="Z553" s="17">
        <f>IF(OR($W553="",$W553=6),"",CHOOSE($W553,"1st Email Follow-up","2nd Email Follow-up","Escalate Local Office","Escalate to CBE","Escalate to Roxanne"))</f>
        <v/>
      </c>
    </row>
    <row r="554" spans="18:26">
      <c r="R554" s="15"/>
      <c r="S554" s="16"/>
      <c r="T554" s="17">
        <f>IF(AND(COUNTA($A554:$K554)=0,$L554=""),"",IF($S554="Paid","PAID",IF($S554="Closed","CLOSED",IF($W554="","",IF($W554=6,"ESCALATED TO ROXANNE",IF(TODAY()&gt;$Y554,"OVERDUE",IF($Y554&lt;=WORKDAY(TODAY(),1,Holidays),"DUE TOMORROW",IF($W554=4,"ESCALATED TO LOCAL OFFICE",IF($W554=5,"ESCALATED TO CBE",IF($X554=TODAY(),"EMAIL SENT","MONITORING"))))))))))</f>
        <v/>
      </c>
      <c r="U554" s="17">
        <f>IF($T554="",IF(AND(COUNTA($A554:$K554)&gt;0,$L554=""),"Awaiting Collection Email time stamp.",""),IF(OR($T554="PAID",$T554="CLOSED"),IF($T554="PAID","Account paid. Action completed.","Account closed. No further action required."),CHOOSE($W554,"Collection Email","1st Email Follow-up","2nd Email Follow-up","Escalation to Local Office","Escalation to CBE","Escalation to Roxanne")&amp;" sent "&amp;TEXT($X554,"dd-mmm")&amp;". "&amp;IF($W554=6,"Final escalation completed.",IF($T554="OVERDUE","Next: "&amp;$Z554&amp;" was due "&amp;TEXT($Y554,"dd-mmm")&amp;" - "&amp;(NETWORKDAYS($Y554,TODAY(),Holidays)-1)&amp;" business day(s) late. Send now.",IF($T554="DUE TOMORROW","Next: "&amp;$Z554&amp;IF($Y554&lt;=TODAY()," is due TODAY ("," is due next business day (")&amp;TEXT($Y554,"dd-mmm")&amp;").","Next: "&amp;$Z554&amp;" due "&amp;TEXT($Y554,"dd-mmm")&amp;" ("&amp;(NETWORKDAYS(TODAY(),$Y554,Holidays)-1)&amp;" business day(s) left).")))))</f>
        <v/>
      </c>
      <c r="V554" s="17">
        <f>IF($W554="","",CHOOSE($W554,"Collection Email","1st Follow-up","2nd Follow-up","Local Office","CBE","Roxanne")&amp;IF($W554=6," - Final"," - Day "&amp;MAX(0,NETWORKDAYS($X554,TODAY(),Holidays)-1)&amp;" of "&amp;CHOOSE($W554,3,3,2,2,3))&amp;" | Total Day "&amp;MAX(0,NETWORKDAYS($L554,TODAY(),Holidays)-1))</f>
        <v/>
      </c>
      <c r="W554" s="17">
        <f>IF($L554="","",COUNT($L554:$Q554))</f>
        <v/>
      </c>
      <c r="X554" s="18">
        <f>IF($W554="","",INT(INDEX($L554:$Q554,$W554)))</f>
        <v/>
      </c>
      <c r="Y554" s="18">
        <f>IF(OR($W554="",$W554=6),"",WORKDAY($X554,CHOOSE($W554,3,3,2,2,3),Holidays))</f>
        <v/>
      </c>
      <c r="Z554" s="17">
        <f>IF(OR($W554="",$W554=6),"",CHOOSE($W554,"1st Email Follow-up","2nd Email Follow-up","Escalate Local Office","Escalate to CBE","Escalate to Roxanne"))</f>
        <v/>
      </c>
    </row>
    <row r="555" spans="18:26">
      <c r="R555" s="15"/>
      <c r="S555" s="16"/>
      <c r="T555" s="17">
        <f>IF(AND(COUNTA($A555:$K555)=0,$L555=""),"",IF($S555="Paid","PAID",IF($S555="Closed","CLOSED",IF($W555="","",IF($W555=6,"ESCALATED TO ROXANNE",IF(TODAY()&gt;$Y555,"OVERDUE",IF($Y555&lt;=WORKDAY(TODAY(),1,Holidays),"DUE TOMORROW",IF($W555=4,"ESCALATED TO LOCAL OFFICE",IF($W555=5,"ESCALATED TO CBE",IF($X555=TODAY(),"EMAIL SENT","MONITORING"))))))))))</f>
        <v/>
      </c>
      <c r="U555" s="17">
        <f>IF($T555="",IF(AND(COUNTA($A555:$K555)&gt;0,$L555=""),"Awaiting Collection Email time stamp.",""),IF(OR($T555="PAID",$T555="CLOSED"),IF($T555="PAID","Account paid. Action completed.","Account closed. No further action required."),CHOOSE($W555,"Collection Email","1st Email Follow-up","2nd Email Follow-up","Escalation to Local Office","Escalation to CBE","Escalation to Roxanne")&amp;" sent "&amp;TEXT($X555,"dd-mmm")&amp;". "&amp;IF($W555=6,"Final escalation completed.",IF($T555="OVERDUE","Next: "&amp;$Z555&amp;" was due "&amp;TEXT($Y555,"dd-mmm")&amp;" - "&amp;(NETWORKDAYS($Y555,TODAY(),Holidays)-1)&amp;" business day(s) late. Send now.",IF($T555="DUE TOMORROW","Next: "&amp;$Z555&amp;IF($Y555&lt;=TODAY()," is due TODAY ("," is due next business day (")&amp;TEXT($Y555,"dd-mmm")&amp;").","Next: "&amp;$Z555&amp;" due "&amp;TEXT($Y555,"dd-mmm")&amp;" ("&amp;(NETWORKDAYS(TODAY(),$Y555,Holidays)-1)&amp;" business day(s) left).")))))</f>
        <v/>
      </c>
      <c r="V555" s="17">
        <f>IF($W555="","",CHOOSE($W555,"Collection Email","1st Follow-up","2nd Follow-up","Local Office","CBE","Roxanne")&amp;IF($W555=6," - Final"," - Day "&amp;MAX(0,NETWORKDAYS($X555,TODAY(),Holidays)-1)&amp;" of "&amp;CHOOSE($W555,3,3,2,2,3))&amp;" | Total Day "&amp;MAX(0,NETWORKDAYS($L555,TODAY(),Holidays)-1))</f>
        <v/>
      </c>
      <c r="W555" s="17">
        <f>IF($L555="","",COUNT($L555:$Q555))</f>
        <v/>
      </c>
      <c r="X555" s="18">
        <f>IF($W555="","",INT(INDEX($L555:$Q555,$W555)))</f>
        <v/>
      </c>
      <c r="Y555" s="18">
        <f>IF(OR($W555="",$W555=6),"",WORKDAY($X555,CHOOSE($W555,3,3,2,2,3),Holidays))</f>
        <v/>
      </c>
      <c r="Z555" s="17">
        <f>IF(OR($W555="",$W555=6),"",CHOOSE($W555,"1st Email Follow-up","2nd Email Follow-up","Escalate Local Office","Escalate to CBE","Escalate to Roxanne"))</f>
        <v/>
      </c>
    </row>
    <row r="556" spans="18:26">
      <c r="R556" s="15"/>
      <c r="S556" s="16"/>
      <c r="T556" s="17">
        <f>IF(AND(COUNTA($A556:$K556)=0,$L556=""),"",IF($S556="Paid","PAID",IF($S556="Closed","CLOSED",IF($W556="","",IF($W556=6,"ESCALATED TO ROXANNE",IF(TODAY()&gt;$Y556,"OVERDUE",IF($Y556&lt;=WORKDAY(TODAY(),1,Holidays),"DUE TOMORROW",IF($W556=4,"ESCALATED TO LOCAL OFFICE",IF($W556=5,"ESCALATED TO CBE",IF($X556=TODAY(),"EMAIL SENT","MONITORING"))))))))))</f>
        <v/>
      </c>
      <c r="U556" s="17">
        <f>IF($T556="",IF(AND(COUNTA($A556:$K556)&gt;0,$L556=""),"Awaiting Collection Email time stamp.",""),IF(OR($T556="PAID",$T556="CLOSED"),IF($T556="PAID","Account paid. Action completed.","Account closed. No further action required."),CHOOSE($W556,"Collection Email","1st Email Follow-up","2nd Email Follow-up","Escalation to Local Office","Escalation to CBE","Escalation to Roxanne")&amp;" sent "&amp;TEXT($X556,"dd-mmm")&amp;". "&amp;IF($W556=6,"Final escalation completed.",IF($T556="OVERDUE","Next: "&amp;$Z556&amp;" was due "&amp;TEXT($Y556,"dd-mmm")&amp;" - "&amp;(NETWORKDAYS($Y556,TODAY(),Holidays)-1)&amp;" business day(s) late. Send now.",IF($T556="DUE TOMORROW","Next: "&amp;$Z556&amp;IF($Y556&lt;=TODAY()," is due TODAY ("," is due next business day (")&amp;TEXT($Y556,"dd-mmm")&amp;").","Next: "&amp;$Z556&amp;" due "&amp;TEXT($Y556,"dd-mmm")&amp;" ("&amp;(NETWORKDAYS(TODAY(),$Y556,Holidays)-1)&amp;" business day(s) left).")))))</f>
        <v/>
      </c>
      <c r="V556" s="17">
        <f>IF($W556="","",CHOOSE($W556,"Collection Email","1st Follow-up","2nd Follow-up","Local Office","CBE","Roxanne")&amp;IF($W556=6," - Final"," - Day "&amp;MAX(0,NETWORKDAYS($X556,TODAY(),Holidays)-1)&amp;" of "&amp;CHOOSE($W556,3,3,2,2,3))&amp;" | Total Day "&amp;MAX(0,NETWORKDAYS($L556,TODAY(),Holidays)-1))</f>
        <v/>
      </c>
      <c r="W556" s="17">
        <f>IF($L556="","",COUNT($L556:$Q556))</f>
        <v/>
      </c>
      <c r="X556" s="18">
        <f>IF($W556="","",INT(INDEX($L556:$Q556,$W556)))</f>
        <v/>
      </c>
      <c r="Y556" s="18">
        <f>IF(OR($W556="",$W556=6),"",WORKDAY($X556,CHOOSE($W556,3,3,2,2,3),Holidays))</f>
        <v/>
      </c>
      <c r="Z556" s="17">
        <f>IF(OR($W556="",$W556=6),"",CHOOSE($W556,"1st Email Follow-up","2nd Email Follow-up","Escalate Local Office","Escalate to CBE","Escalate to Roxanne"))</f>
        <v/>
      </c>
    </row>
    <row r="557" spans="18:26">
      <c r="R557" s="15"/>
      <c r="S557" s="16"/>
      <c r="T557" s="17">
        <f>IF(AND(COUNTA($A557:$K557)=0,$L557=""),"",IF($S557="Paid","PAID",IF($S557="Closed","CLOSED",IF($W557="","",IF($W557=6,"ESCALATED TO ROXANNE",IF(TODAY()&gt;$Y557,"OVERDUE",IF($Y557&lt;=WORKDAY(TODAY(),1,Holidays),"DUE TOMORROW",IF($W557=4,"ESCALATED TO LOCAL OFFICE",IF($W557=5,"ESCALATED TO CBE",IF($X557=TODAY(),"EMAIL SENT","MONITORING"))))))))))</f>
        <v/>
      </c>
      <c r="U557" s="17">
        <f>IF($T557="",IF(AND(COUNTA($A557:$K557)&gt;0,$L557=""),"Awaiting Collection Email time stamp.",""),IF(OR($T557="PAID",$T557="CLOSED"),IF($T557="PAID","Account paid. Action completed.","Account closed. No further action required."),CHOOSE($W557,"Collection Email","1st Email Follow-up","2nd Email Follow-up","Escalation to Local Office","Escalation to CBE","Escalation to Roxanne")&amp;" sent "&amp;TEXT($X557,"dd-mmm")&amp;". "&amp;IF($W557=6,"Final escalation completed.",IF($T557="OVERDUE","Next: "&amp;$Z557&amp;" was due "&amp;TEXT($Y557,"dd-mmm")&amp;" - "&amp;(NETWORKDAYS($Y557,TODAY(),Holidays)-1)&amp;" business day(s) late. Send now.",IF($T557="DUE TOMORROW","Next: "&amp;$Z557&amp;IF($Y557&lt;=TODAY()," is due TODAY ("," is due next business day (")&amp;TEXT($Y557,"dd-mmm")&amp;").","Next: "&amp;$Z557&amp;" due "&amp;TEXT($Y557,"dd-mmm")&amp;" ("&amp;(NETWORKDAYS(TODAY(),$Y557,Holidays)-1)&amp;" business day(s) left).")))))</f>
        <v/>
      </c>
      <c r="V557" s="17">
        <f>IF($W557="","",CHOOSE($W557,"Collection Email","1st Follow-up","2nd Follow-up","Local Office","CBE","Roxanne")&amp;IF($W557=6," - Final"," - Day "&amp;MAX(0,NETWORKDAYS($X557,TODAY(),Holidays)-1)&amp;" of "&amp;CHOOSE($W557,3,3,2,2,3))&amp;" | Total Day "&amp;MAX(0,NETWORKDAYS($L557,TODAY(),Holidays)-1))</f>
        <v/>
      </c>
      <c r="W557" s="17">
        <f>IF($L557="","",COUNT($L557:$Q557))</f>
        <v/>
      </c>
      <c r="X557" s="18">
        <f>IF($W557="","",INT(INDEX($L557:$Q557,$W557)))</f>
        <v/>
      </c>
      <c r="Y557" s="18">
        <f>IF(OR($W557="",$W557=6),"",WORKDAY($X557,CHOOSE($W557,3,3,2,2,3),Holidays))</f>
        <v/>
      </c>
      <c r="Z557" s="17">
        <f>IF(OR($W557="",$W557=6),"",CHOOSE($W557,"1st Email Follow-up","2nd Email Follow-up","Escalate Local Office","Escalate to CBE","Escalate to Roxanne"))</f>
        <v/>
      </c>
    </row>
    <row r="558" spans="18:26">
      <c r="R558" s="15"/>
      <c r="S558" s="16"/>
      <c r="T558" s="17">
        <f>IF(AND(COUNTA($A558:$K558)=0,$L558=""),"",IF($S558="Paid","PAID",IF($S558="Closed","CLOSED",IF($W558="","",IF($W558=6,"ESCALATED TO ROXANNE",IF(TODAY()&gt;$Y558,"OVERDUE",IF($Y558&lt;=WORKDAY(TODAY(),1,Holidays),"DUE TOMORROW",IF($W558=4,"ESCALATED TO LOCAL OFFICE",IF($W558=5,"ESCALATED TO CBE",IF($X558=TODAY(),"EMAIL SENT","MONITORING"))))))))))</f>
        <v/>
      </c>
      <c r="U558" s="17">
        <f>IF($T558="",IF(AND(COUNTA($A558:$K558)&gt;0,$L558=""),"Awaiting Collection Email time stamp.",""),IF(OR($T558="PAID",$T558="CLOSED"),IF($T558="PAID","Account paid. Action completed.","Account closed. No further action required."),CHOOSE($W558,"Collection Email","1st Email Follow-up","2nd Email Follow-up","Escalation to Local Office","Escalation to CBE","Escalation to Roxanne")&amp;" sent "&amp;TEXT($X558,"dd-mmm")&amp;". "&amp;IF($W558=6,"Final escalation completed.",IF($T558="OVERDUE","Next: "&amp;$Z558&amp;" was due "&amp;TEXT($Y558,"dd-mmm")&amp;" - "&amp;(NETWORKDAYS($Y558,TODAY(),Holidays)-1)&amp;" business day(s) late. Send now.",IF($T558="DUE TOMORROW","Next: "&amp;$Z558&amp;IF($Y558&lt;=TODAY()," is due TODAY ("," is due next business day (")&amp;TEXT($Y558,"dd-mmm")&amp;").","Next: "&amp;$Z558&amp;" due "&amp;TEXT($Y558,"dd-mmm")&amp;" ("&amp;(NETWORKDAYS(TODAY(),$Y558,Holidays)-1)&amp;" business day(s) left).")))))</f>
        <v/>
      </c>
      <c r="V558" s="17">
        <f>IF($W558="","",CHOOSE($W558,"Collection Email","1st Follow-up","2nd Follow-up","Local Office","CBE","Roxanne")&amp;IF($W558=6," - Final"," - Day "&amp;MAX(0,NETWORKDAYS($X558,TODAY(),Holidays)-1)&amp;" of "&amp;CHOOSE($W558,3,3,2,2,3))&amp;" | Total Day "&amp;MAX(0,NETWORKDAYS($L558,TODAY(),Holidays)-1))</f>
        <v/>
      </c>
      <c r="W558" s="17">
        <f>IF($L558="","",COUNT($L558:$Q558))</f>
        <v/>
      </c>
      <c r="X558" s="18">
        <f>IF($W558="","",INT(INDEX($L558:$Q558,$W558)))</f>
        <v/>
      </c>
      <c r="Y558" s="18">
        <f>IF(OR($W558="",$W558=6),"",WORKDAY($X558,CHOOSE($W558,3,3,2,2,3),Holidays))</f>
        <v/>
      </c>
      <c r="Z558" s="17">
        <f>IF(OR($W558="",$W558=6),"",CHOOSE($W558,"1st Email Follow-up","2nd Email Follow-up","Escalate Local Office","Escalate to CBE","Escalate to Roxanne"))</f>
        <v/>
      </c>
    </row>
    <row r="559" spans="18:26">
      <c r="R559" s="15"/>
      <c r="S559" s="16"/>
      <c r="T559" s="17">
        <f>IF(AND(COUNTA($A559:$K559)=0,$L559=""),"",IF($S559="Paid","PAID",IF($S559="Closed","CLOSED",IF($W559="","",IF($W559=6,"ESCALATED TO ROXANNE",IF(TODAY()&gt;$Y559,"OVERDUE",IF($Y559&lt;=WORKDAY(TODAY(),1,Holidays),"DUE TOMORROW",IF($W559=4,"ESCALATED TO LOCAL OFFICE",IF($W559=5,"ESCALATED TO CBE",IF($X559=TODAY(),"EMAIL SENT","MONITORING"))))))))))</f>
        <v/>
      </c>
      <c r="U559" s="17">
        <f>IF($T559="",IF(AND(COUNTA($A559:$K559)&gt;0,$L559=""),"Awaiting Collection Email time stamp.",""),IF(OR($T559="PAID",$T559="CLOSED"),IF($T559="PAID","Account paid. Action completed.","Account closed. No further action required."),CHOOSE($W559,"Collection Email","1st Email Follow-up","2nd Email Follow-up","Escalation to Local Office","Escalation to CBE","Escalation to Roxanne")&amp;" sent "&amp;TEXT($X559,"dd-mmm")&amp;". "&amp;IF($W559=6,"Final escalation completed.",IF($T559="OVERDUE","Next: "&amp;$Z559&amp;" was due "&amp;TEXT($Y559,"dd-mmm")&amp;" - "&amp;(NETWORKDAYS($Y559,TODAY(),Holidays)-1)&amp;" business day(s) late. Send now.",IF($T559="DUE TOMORROW","Next: "&amp;$Z559&amp;IF($Y559&lt;=TODAY()," is due TODAY ("," is due next business day (")&amp;TEXT($Y559,"dd-mmm")&amp;").","Next: "&amp;$Z559&amp;" due "&amp;TEXT($Y559,"dd-mmm")&amp;" ("&amp;(NETWORKDAYS(TODAY(),$Y559,Holidays)-1)&amp;" business day(s) left).")))))</f>
        <v/>
      </c>
      <c r="V559" s="17">
        <f>IF($W559="","",CHOOSE($W559,"Collection Email","1st Follow-up","2nd Follow-up","Local Office","CBE","Roxanne")&amp;IF($W559=6," - Final"," - Day "&amp;MAX(0,NETWORKDAYS($X559,TODAY(),Holidays)-1)&amp;" of "&amp;CHOOSE($W559,3,3,2,2,3))&amp;" | Total Day "&amp;MAX(0,NETWORKDAYS($L559,TODAY(),Holidays)-1))</f>
        <v/>
      </c>
      <c r="W559" s="17">
        <f>IF($L559="","",COUNT($L559:$Q559))</f>
        <v/>
      </c>
      <c r="X559" s="18">
        <f>IF($W559="","",INT(INDEX($L559:$Q559,$W559)))</f>
        <v/>
      </c>
      <c r="Y559" s="18">
        <f>IF(OR($W559="",$W559=6),"",WORKDAY($X559,CHOOSE($W559,3,3,2,2,3),Holidays))</f>
        <v/>
      </c>
      <c r="Z559" s="17">
        <f>IF(OR($W559="",$W559=6),"",CHOOSE($W559,"1st Email Follow-up","2nd Email Follow-up","Escalate Local Office","Escalate to CBE","Escalate to Roxanne"))</f>
        <v/>
      </c>
    </row>
    <row r="560" spans="18:26">
      <c r="R560" s="15"/>
      <c r="S560" s="16"/>
      <c r="T560" s="17">
        <f>IF(AND(COUNTA($A560:$K560)=0,$L560=""),"",IF($S560="Paid","PAID",IF($S560="Closed","CLOSED",IF($W560="","",IF($W560=6,"ESCALATED TO ROXANNE",IF(TODAY()&gt;$Y560,"OVERDUE",IF($Y560&lt;=WORKDAY(TODAY(),1,Holidays),"DUE TOMORROW",IF($W560=4,"ESCALATED TO LOCAL OFFICE",IF($W560=5,"ESCALATED TO CBE",IF($X560=TODAY(),"EMAIL SENT","MONITORING"))))))))))</f>
        <v/>
      </c>
      <c r="U560" s="17">
        <f>IF($T560="",IF(AND(COUNTA($A560:$K560)&gt;0,$L560=""),"Awaiting Collection Email time stamp.",""),IF(OR($T560="PAID",$T560="CLOSED"),IF($T560="PAID","Account paid. Action completed.","Account closed. No further action required."),CHOOSE($W560,"Collection Email","1st Email Follow-up","2nd Email Follow-up","Escalation to Local Office","Escalation to CBE","Escalation to Roxanne")&amp;" sent "&amp;TEXT($X560,"dd-mmm")&amp;". "&amp;IF($W560=6,"Final escalation completed.",IF($T560="OVERDUE","Next: "&amp;$Z560&amp;" was due "&amp;TEXT($Y560,"dd-mmm")&amp;" - "&amp;(NETWORKDAYS($Y560,TODAY(),Holidays)-1)&amp;" business day(s) late. Send now.",IF($T560="DUE TOMORROW","Next: "&amp;$Z560&amp;IF($Y560&lt;=TODAY()," is due TODAY ("," is due next business day (")&amp;TEXT($Y560,"dd-mmm")&amp;").","Next: "&amp;$Z560&amp;" due "&amp;TEXT($Y560,"dd-mmm")&amp;" ("&amp;(NETWORKDAYS(TODAY(),$Y560,Holidays)-1)&amp;" business day(s) left).")))))</f>
        <v/>
      </c>
      <c r="V560" s="17">
        <f>IF($W560="","",CHOOSE($W560,"Collection Email","1st Follow-up","2nd Follow-up","Local Office","CBE","Roxanne")&amp;IF($W560=6," - Final"," - Day "&amp;MAX(0,NETWORKDAYS($X560,TODAY(),Holidays)-1)&amp;" of "&amp;CHOOSE($W560,3,3,2,2,3))&amp;" | Total Day "&amp;MAX(0,NETWORKDAYS($L560,TODAY(),Holidays)-1))</f>
        <v/>
      </c>
      <c r="W560" s="17">
        <f>IF($L560="","",COUNT($L560:$Q560))</f>
        <v/>
      </c>
      <c r="X560" s="18">
        <f>IF($W560="","",INT(INDEX($L560:$Q560,$W560)))</f>
        <v/>
      </c>
      <c r="Y560" s="18">
        <f>IF(OR($W560="",$W560=6),"",WORKDAY($X560,CHOOSE($W560,3,3,2,2,3),Holidays))</f>
        <v/>
      </c>
      <c r="Z560" s="17">
        <f>IF(OR($W560="",$W560=6),"",CHOOSE($W560,"1st Email Follow-up","2nd Email Follow-up","Escalate Local Office","Escalate to CBE","Escalate to Roxanne"))</f>
        <v/>
      </c>
    </row>
    <row r="561" spans="18:26">
      <c r="R561" s="15"/>
      <c r="S561" s="16"/>
      <c r="T561" s="17">
        <f>IF(AND(COUNTA($A561:$K561)=0,$L561=""),"",IF($S561="Paid","PAID",IF($S561="Closed","CLOSED",IF($W561="","",IF($W561=6,"ESCALATED TO ROXANNE",IF(TODAY()&gt;$Y561,"OVERDUE",IF($Y561&lt;=WORKDAY(TODAY(),1,Holidays),"DUE TOMORROW",IF($W561=4,"ESCALATED TO LOCAL OFFICE",IF($W561=5,"ESCALATED TO CBE",IF($X561=TODAY(),"EMAIL SENT","MONITORING"))))))))))</f>
        <v/>
      </c>
      <c r="U561" s="17">
        <f>IF($T561="",IF(AND(COUNTA($A561:$K561)&gt;0,$L561=""),"Awaiting Collection Email time stamp.",""),IF(OR($T561="PAID",$T561="CLOSED"),IF($T561="PAID","Account paid. Action completed.","Account closed. No further action required."),CHOOSE($W561,"Collection Email","1st Email Follow-up","2nd Email Follow-up","Escalation to Local Office","Escalation to CBE","Escalation to Roxanne")&amp;" sent "&amp;TEXT($X561,"dd-mmm")&amp;". "&amp;IF($W561=6,"Final escalation completed.",IF($T561="OVERDUE","Next: "&amp;$Z561&amp;" was due "&amp;TEXT($Y561,"dd-mmm")&amp;" - "&amp;(NETWORKDAYS($Y561,TODAY(),Holidays)-1)&amp;" business day(s) late. Send now.",IF($T561="DUE TOMORROW","Next: "&amp;$Z561&amp;IF($Y561&lt;=TODAY()," is due TODAY ("," is due next business day (")&amp;TEXT($Y561,"dd-mmm")&amp;").","Next: "&amp;$Z561&amp;" due "&amp;TEXT($Y561,"dd-mmm")&amp;" ("&amp;(NETWORKDAYS(TODAY(),$Y561,Holidays)-1)&amp;" business day(s) left).")))))</f>
        <v/>
      </c>
      <c r="V561" s="17">
        <f>IF($W561="","",CHOOSE($W561,"Collection Email","1st Follow-up","2nd Follow-up","Local Office","CBE","Roxanne")&amp;IF($W561=6," - Final"," - Day "&amp;MAX(0,NETWORKDAYS($X561,TODAY(),Holidays)-1)&amp;" of "&amp;CHOOSE($W561,3,3,2,2,3))&amp;" | Total Day "&amp;MAX(0,NETWORKDAYS($L561,TODAY(),Holidays)-1))</f>
        <v/>
      </c>
      <c r="W561" s="17">
        <f>IF($L561="","",COUNT($L561:$Q561))</f>
        <v/>
      </c>
      <c r="X561" s="18">
        <f>IF($W561="","",INT(INDEX($L561:$Q561,$W561)))</f>
        <v/>
      </c>
      <c r="Y561" s="18">
        <f>IF(OR($W561="",$W561=6),"",WORKDAY($X561,CHOOSE($W561,3,3,2,2,3),Holidays))</f>
        <v/>
      </c>
      <c r="Z561" s="17">
        <f>IF(OR($W561="",$W561=6),"",CHOOSE($W561,"1st Email Follow-up","2nd Email Follow-up","Escalate Local Office","Escalate to CBE","Escalate to Roxanne"))</f>
        <v/>
      </c>
    </row>
    <row r="562" spans="18:26">
      <c r="R562" s="15"/>
      <c r="S562" s="16"/>
      <c r="T562" s="17">
        <f>IF(AND(COUNTA($A562:$K562)=0,$L562=""),"",IF($S562="Paid","PAID",IF($S562="Closed","CLOSED",IF($W562="","",IF($W562=6,"ESCALATED TO ROXANNE",IF(TODAY()&gt;$Y562,"OVERDUE",IF($Y562&lt;=WORKDAY(TODAY(),1,Holidays),"DUE TOMORROW",IF($W562=4,"ESCALATED TO LOCAL OFFICE",IF($W562=5,"ESCALATED TO CBE",IF($X562=TODAY(),"EMAIL SENT","MONITORING"))))))))))</f>
        <v/>
      </c>
      <c r="U562" s="17">
        <f>IF($T562="",IF(AND(COUNTA($A562:$K562)&gt;0,$L562=""),"Awaiting Collection Email time stamp.",""),IF(OR($T562="PAID",$T562="CLOSED"),IF($T562="PAID","Account paid. Action completed.","Account closed. No further action required."),CHOOSE($W562,"Collection Email","1st Email Follow-up","2nd Email Follow-up","Escalation to Local Office","Escalation to CBE","Escalation to Roxanne")&amp;" sent "&amp;TEXT($X562,"dd-mmm")&amp;". "&amp;IF($W562=6,"Final escalation completed.",IF($T562="OVERDUE","Next: "&amp;$Z562&amp;" was due "&amp;TEXT($Y562,"dd-mmm")&amp;" - "&amp;(NETWORKDAYS($Y562,TODAY(),Holidays)-1)&amp;" business day(s) late. Send now.",IF($T562="DUE TOMORROW","Next: "&amp;$Z562&amp;IF($Y562&lt;=TODAY()," is due TODAY ("," is due next business day (")&amp;TEXT($Y562,"dd-mmm")&amp;").","Next: "&amp;$Z562&amp;" due "&amp;TEXT($Y562,"dd-mmm")&amp;" ("&amp;(NETWORKDAYS(TODAY(),$Y562,Holidays)-1)&amp;" business day(s) left).")))))</f>
        <v/>
      </c>
      <c r="V562" s="17">
        <f>IF($W562="","",CHOOSE($W562,"Collection Email","1st Follow-up","2nd Follow-up","Local Office","CBE","Roxanne")&amp;IF($W562=6," - Final"," - Day "&amp;MAX(0,NETWORKDAYS($X562,TODAY(),Holidays)-1)&amp;" of "&amp;CHOOSE($W562,3,3,2,2,3))&amp;" | Total Day "&amp;MAX(0,NETWORKDAYS($L562,TODAY(),Holidays)-1))</f>
        <v/>
      </c>
      <c r="W562" s="17">
        <f>IF($L562="","",COUNT($L562:$Q562))</f>
        <v/>
      </c>
      <c r="X562" s="18">
        <f>IF($W562="","",INT(INDEX($L562:$Q562,$W562)))</f>
        <v/>
      </c>
      <c r="Y562" s="18">
        <f>IF(OR($W562="",$W562=6),"",WORKDAY($X562,CHOOSE($W562,3,3,2,2,3),Holidays))</f>
        <v/>
      </c>
      <c r="Z562" s="17">
        <f>IF(OR($W562="",$W562=6),"",CHOOSE($W562,"1st Email Follow-up","2nd Email Follow-up","Escalate Local Office","Escalate to CBE","Escalate to Roxanne"))</f>
        <v/>
      </c>
    </row>
    <row r="563" spans="18:26">
      <c r="R563" s="15"/>
      <c r="S563" s="16"/>
      <c r="T563" s="17">
        <f>IF(AND(COUNTA($A563:$K563)=0,$L563=""),"",IF($S563="Paid","PAID",IF($S563="Closed","CLOSED",IF($W563="","",IF($W563=6,"ESCALATED TO ROXANNE",IF(TODAY()&gt;$Y563,"OVERDUE",IF($Y563&lt;=WORKDAY(TODAY(),1,Holidays),"DUE TOMORROW",IF($W563=4,"ESCALATED TO LOCAL OFFICE",IF($W563=5,"ESCALATED TO CBE",IF($X563=TODAY(),"EMAIL SENT","MONITORING"))))))))))</f>
        <v/>
      </c>
      <c r="U563" s="17">
        <f>IF($T563="",IF(AND(COUNTA($A563:$K563)&gt;0,$L563=""),"Awaiting Collection Email time stamp.",""),IF(OR($T563="PAID",$T563="CLOSED"),IF($T563="PAID","Account paid. Action completed.","Account closed. No further action required."),CHOOSE($W563,"Collection Email","1st Email Follow-up","2nd Email Follow-up","Escalation to Local Office","Escalation to CBE","Escalation to Roxanne")&amp;" sent "&amp;TEXT($X563,"dd-mmm")&amp;". "&amp;IF($W563=6,"Final escalation completed.",IF($T563="OVERDUE","Next: "&amp;$Z563&amp;" was due "&amp;TEXT($Y563,"dd-mmm")&amp;" - "&amp;(NETWORKDAYS($Y563,TODAY(),Holidays)-1)&amp;" business day(s) late. Send now.",IF($T563="DUE TOMORROW","Next: "&amp;$Z563&amp;IF($Y563&lt;=TODAY()," is due TODAY ("," is due next business day (")&amp;TEXT($Y563,"dd-mmm")&amp;").","Next: "&amp;$Z563&amp;" due "&amp;TEXT($Y563,"dd-mmm")&amp;" ("&amp;(NETWORKDAYS(TODAY(),$Y563,Holidays)-1)&amp;" business day(s) left).")))))</f>
        <v/>
      </c>
      <c r="V563" s="17">
        <f>IF($W563="","",CHOOSE($W563,"Collection Email","1st Follow-up","2nd Follow-up","Local Office","CBE","Roxanne")&amp;IF($W563=6," - Final"," - Day "&amp;MAX(0,NETWORKDAYS($X563,TODAY(),Holidays)-1)&amp;" of "&amp;CHOOSE($W563,3,3,2,2,3))&amp;" | Total Day "&amp;MAX(0,NETWORKDAYS($L563,TODAY(),Holidays)-1))</f>
        <v/>
      </c>
      <c r="W563" s="17">
        <f>IF($L563="","",COUNT($L563:$Q563))</f>
        <v/>
      </c>
      <c r="X563" s="18">
        <f>IF($W563="","",INT(INDEX($L563:$Q563,$W563)))</f>
        <v/>
      </c>
      <c r="Y563" s="18">
        <f>IF(OR($W563="",$W563=6),"",WORKDAY($X563,CHOOSE($W563,3,3,2,2,3),Holidays))</f>
        <v/>
      </c>
      <c r="Z563" s="17">
        <f>IF(OR($W563="",$W563=6),"",CHOOSE($W563,"1st Email Follow-up","2nd Email Follow-up","Escalate Local Office","Escalate to CBE","Escalate to Roxanne"))</f>
        <v/>
      </c>
    </row>
    <row r="564" spans="18:26">
      <c r="R564" s="15"/>
      <c r="S564" s="16"/>
      <c r="T564" s="17">
        <f>IF(AND(COUNTA($A564:$K564)=0,$L564=""),"",IF($S564="Paid","PAID",IF($S564="Closed","CLOSED",IF($W564="","",IF($W564=6,"ESCALATED TO ROXANNE",IF(TODAY()&gt;$Y564,"OVERDUE",IF($Y564&lt;=WORKDAY(TODAY(),1,Holidays),"DUE TOMORROW",IF($W564=4,"ESCALATED TO LOCAL OFFICE",IF($W564=5,"ESCALATED TO CBE",IF($X564=TODAY(),"EMAIL SENT","MONITORING"))))))))))</f>
        <v/>
      </c>
      <c r="U564" s="17">
        <f>IF($T564="",IF(AND(COUNTA($A564:$K564)&gt;0,$L564=""),"Awaiting Collection Email time stamp.",""),IF(OR($T564="PAID",$T564="CLOSED"),IF($T564="PAID","Account paid. Action completed.","Account closed. No further action required."),CHOOSE($W564,"Collection Email","1st Email Follow-up","2nd Email Follow-up","Escalation to Local Office","Escalation to CBE","Escalation to Roxanne")&amp;" sent "&amp;TEXT($X564,"dd-mmm")&amp;". "&amp;IF($W564=6,"Final escalation completed.",IF($T564="OVERDUE","Next: "&amp;$Z564&amp;" was due "&amp;TEXT($Y564,"dd-mmm")&amp;" - "&amp;(NETWORKDAYS($Y564,TODAY(),Holidays)-1)&amp;" business day(s) late. Send now.",IF($T564="DUE TOMORROW","Next: "&amp;$Z564&amp;IF($Y564&lt;=TODAY()," is due TODAY ("," is due next business day (")&amp;TEXT($Y564,"dd-mmm")&amp;").","Next: "&amp;$Z564&amp;" due "&amp;TEXT($Y564,"dd-mmm")&amp;" ("&amp;(NETWORKDAYS(TODAY(),$Y564,Holidays)-1)&amp;" business day(s) left).")))))</f>
        <v/>
      </c>
      <c r="V564" s="17">
        <f>IF($W564="","",CHOOSE($W564,"Collection Email","1st Follow-up","2nd Follow-up","Local Office","CBE","Roxanne")&amp;IF($W564=6," - Final"," - Day "&amp;MAX(0,NETWORKDAYS($X564,TODAY(),Holidays)-1)&amp;" of "&amp;CHOOSE($W564,3,3,2,2,3))&amp;" | Total Day "&amp;MAX(0,NETWORKDAYS($L564,TODAY(),Holidays)-1))</f>
        <v/>
      </c>
      <c r="W564" s="17">
        <f>IF($L564="","",COUNT($L564:$Q564))</f>
        <v/>
      </c>
      <c r="X564" s="18">
        <f>IF($W564="","",INT(INDEX($L564:$Q564,$W564)))</f>
        <v/>
      </c>
      <c r="Y564" s="18">
        <f>IF(OR($W564="",$W564=6),"",WORKDAY($X564,CHOOSE($W564,3,3,2,2,3),Holidays))</f>
        <v/>
      </c>
      <c r="Z564" s="17">
        <f>IF(OR($W564="",$W564=6),"",CHOOSE($W564,"1st Email Follow-up","2nd Email Follow-up","Escalate Local Office","Escalate to CBE","Escalate to Roxanne"))</f>
        <v/>
      </c>
    </row>
    <row r="565" spans="18:26">
      <c r="R565" s="15"/>
      <c r="S565" s="16"/>
      <c r="T565" s="17">
        <f>IF(AND(COUNTA($A565:$K565)=0,$L565=""),"",IF($S565="Paid","PAID",IF($S565="Closed","CLOSED",IF($W565="","",IF($W565=6,"ESCALATED TO ROXANNE",IF(TODAY()&gt;$Y565,"OVERDUE",IF($Y565&lt;=WORKDAY(TODAY(),1,Holidays),"DUE TOMORROW",IF($W565=4,"ESCALATED TO LOCAL OFFICE",IF($W565=5,"ESCALATED TO CBE",IF($X565=TODAY(),"EMAIL SENT","MONITORING"))))))))))</f>
        <v/>
      </c>
      <c r="U565" s="17">
        <f>IF($T565="",IF(AND(COUNTA($A565:$K565)&gt;0,$L565=""),"Awaiting Collection Email time stamp.",""),IF(OR($T565="PAID",$T565="CLOSED"),IF($T565="PAID","Account paid. Action completed.","Account closed. No further action required."),CHOOSE($W565,"Collection Email","1st Email Follow-up","2nd Email Follow-up","Escalation to Local Office","Escalation to CBE","Escalation to Roxanne")&amp;" sent "&amp;TEXT($X565,"dd-mmm")&amp;". "&amp;IF($W565=6,"Final escalation completed.",IF($T565="OVERDUE","Next: "&amp;$Z565&amp;" was due "&amp;TEXT($Y565,"dd-mmm")&amp;" - "&amp;(NETWORKDAYS($Y565,TODAY(),Holidays)-1)&amp;" business day(s) late. Send now.",IF($T565="DUE TOMORROW","Next: "&amp;$Z565&amp;IF($Y565&lt;=TODAY()," is due TODAY ("," is due next business day (")&amp;TEXT($Y565,"dd-mmm")&amp;").","Next: "&amp;$Z565&amp;" due "&amp;TEXT($Y565,"dd-mmm")&amp;" ("&amp;(NETWORKDAYS(TODAY(),$Y565,Holidays)-1)&amp;" business day(s) left).")))))</f>
        <v/>
      </c>
      <c r="V565" s="17">
        <f>IF($W565="","",CHOOSE($W565,"Collection Email","1st Follow-up","2nd Follow-up","Local Office","CBE","Roxanne")&amp;IF($W565=6," - Final"," - Day "&amp;MAX(0,NETWORKDAYS($X565,TODAY(),Holidays)-1)&amp;" of "&amp;CHOOSE($W565,3,3,2,2,3))&amp;" | Total Day "&amp;MAX(0,NETWORKDAYS($L565,TODAY(),Holidays)-1))</f>
        <v/>
      </c>
      <c r="W565" s="17">
        <f>IF($L565="","",COUNT($L565:$Q565))</f>
        <v/>
      </c>
      <c r="X565" s="18">
        <f>IF($W565="","",INT(INDEX($L565:$Q565,$W565)))</f>
        <v/>
      </c>
      <c r="Y565" s="18">
        <f>IF(OR($W565="",$W565=6),"",WORKDAY($X565,CHOOSE($W565,3,3,2,2,3),Holidays))</f>
        <v/>
      </c>
      <c r="Z565" s="17">
        <f>IF(OR($W565="",$W565=6),"",CHOOSE($W565,"1st Email Follow-up","2nd Email Follow-up","Escalate Local Office","Escalate to CBE","Escalate to Roxanne"))</f>
        <v/>
      </c>
    </row>
    <row r="566" spans="18:26">
      <c r="R566" s="15"/>
      <c r="S566" s="16"/>
      <c r="T566" s="17">
        <f>IF(AND(COUNTA($A566:$K566)=0,$L566=""),"",IF($S566="Paid","PAID",IF($S566="Closed","CLOSED",IF($W566="","",IF($W566=6,"ESCALATED TO ROXANNE",IF(TODAY()&gt;$Y566,"OVERDUE",IF($Y566&lt;=WORKDAY(TODAY(),1,Holidays),"DUE TOMORROW",IF($W566=4,"ESCALATED TO LOCAL OFFICE",IF($W566=5,"ESCALATED TO CBE",IF($X566=TODAY(),"EMAIL SENT","MONITORING"))))))))))</f>
        <v/>
      </c>
      <c r="U566" s="17">
        <f>IF($T566="",IF(AND(COUNTA($A566:$K566)&gt;0,$L566=""),"Awaiting Collection Email time stamp.",""),IF(OR($T566="PAID",$T566="CLOSED"),IF($T566="PAID","Account paid. Action completed.","Account closed. No further action required."),CHOOSE($W566,"Collection Email","1st Email Follow-up","2nd Email Follow-up","Escalation to Local Office","Escalation to CBE","Escalation to Roxanne")&amp;" sent "&amp;TEXT($X566,"dd-mmm")&amp;". "&amp;IF($W566=6,"Final escalation completed.",IF($T566="OVERDUE","Next: "&amp;$Z566&amp;" was due "&amp;TEXT($Y566,"dd-mmm")&amp;" - "&amp;(NETWORKDAYS($Y566,TODAY(),Holidays)-1)&amp;" business day(s) late. Send now.",IF($T566="DUE TOMORROW","Next: "&amp;$Z566&amp;IF($Y566&lt;=TODAY()," is due TODAY ("," is due next business day (")&amp;TEXT($Y566,"dd-mmm")&amp;").","Next: "&amp;$Z566&amp;" due "&amp;TEXT($Y566,"dd-mmm")&amp;" ("&amp;(NETWORKDAYS(TODAY(),$Y566,Holidays)-1)&amp;" business day(s) left).")))))</f>
        <v/>
      </c>
      <c r="V566" s="17">
        <f>IF($W566="","",CHOOSE($W566,"Collection Email","1st Follow-up","2nd Follow-up","Local Office","CBE","Roxanne")&amp;IF($W566=6," - Final"," - Day "&amp;MAX(0,NETWORKDAYS($X566,TODAY(),Holidays)-1)&amp;" of "&amp;CHOOSE($W566,3,3,2,2,3))&amp;" | Total Day "&amp;MAX(0,NETWORKDAYS($L566,TODAY(),Holidays)-1))</f>
        <v/>
      </c>
      <c r="W566" s="17">
        <f>IF($L566="","",COUNT($L566:$Q566))</f>
        <v/>
      </c>
      <c r="X566" s="18">
        <f>IF($W566="","",INT(INDEX($L566:$Q566,$W566)))</f>
        <v/>
      </c>
      <c r="Y566" s="18">
        <f>IF(OR($W566="",$W566=6),"",WORKDAY($X566,CHOOSE($W566,3,3,2,2,3),Holidays))</f>
        <v/>
      </c>
      <c r="Z566" s="17">
        <f>IF(OR($W566="",$W566=6),"",CHOOSE($W566,"1st Email Follow-up","2nd Email Follow-up","Escalate Local Office","Escalate to CBE","Escalate to Roxanne"))</f>
        <v/>
      </c>
    </row>
    <row r="567" spans="18:26">
      <c r="R567" s="15"/>
      <c r="S567" s="16"/>
      <c r="T567" s="17">
        <f>IF(AND(COUNTA($A567:$K567)=0,$L567=""),"",IF($S567="Paid","PAID",IF($S567="Closed","CLOSED",IF($W567="","",IF($W567=6,"ESCALATED TO ROXANNE",IF(TODAY()&gt;$Y567,"OVERDUE",IF($Y567&lt;=WORKDAY(TODAY(),1,Holidays),"DUE TOMORROW",IF($W567=4,"ESCALATED TO LOCAL OFFICE",IF($W567=5,"ESCALATED TO CBE",IF($X567=TODAY(),"EMAIL SENT","MONITORING"))))))))))</f>
        <v/>
      </c>
      <c r="U567" s="17">
        <f>IF($T567="",IF(AND(COUNTA($A567:$K567)&gt;0,$L567=""),"Awaiting Collection Email time stamp.",""),IF(OR($T567="PAID",$T567="CLOSED"),IF($T567="PAID","Account paid. Action completed.","Account closed. No further action required."),CHOOSE($W567,"Collection Email","1st Email Follow-up","2nd Email Follow-up","Escalation to Local Office","Escalation to CBE","Escalation to Roxanne")&amp;" sent "&amp;TEXT($X567,"dd-mmm")&amp;". "&amp;IF($W567=6,"Final escalation completed.",IF($T567="OVERDUE","Next: "&amp;$Z567&amp;" was due "&amp;TEXT($Y567,"dd-mmm")&amp;" - "&amp;(NETWORKDAYS($Y567,TODAY(),Holidays)-1)&amp;" business day(s) late. Send now.",IF($T567="DUE TOMORROW","Next: "&amp;$Z567&amp;IF($Y567&lt;=TODAY()," is due TODAY ("," is due next business day (")&amp;TEXT($Y567,"dd-mmm")&amp;").","Next: "&amp;$Z567&amp;" due "&amp;TEXT($Y567,"dd-mmm")&amp;" ("&amp;(NETWORKDAYS(TODAY(),$Y567,Holidays)-1)&amp;" business day(s) left).")))))</f>
        <v/>
      </c>
      <c r="V567" s="17">
        <f>IF($W567="","",CHOOSE($W567,"Collection Email","1st Follow-up","2nd Follow-up","Local Office","CBE","Roxanne")&amp;IF($W567=6," - Final"," - Day "&amp;MAX(0,NETWORKDAYS($X567,TODAY(),Holidays)-1)&amp;" of "&amp;CHOOSE($W567,3,3,2,2,3))&amp;" | Total Day "&amp;MAX(0,NETWORKDAYS($L567,TODAY(),Holidays)-1))</f>
        <v/>
      </c>
      <c r="W567" s="17">
        <f>IF($L567="","",COUNT($L567:$Q567))</f>
        <v/>
      </c>
      <c r="X567" s="18">
        <f>IF($W567="","",INT(INDEX($L567:$Q567,$W567)))</f>
        <v/>
      </c>
      <c r="Y567" s="18">
        <f>IF(OR($W567="",$W567=6),"",WORKDAY($X567,CHOOSE($W567,3,3,2,2,3),Holidays))</f>
        <v/>
      </c>
      <c r="Z567" s="17">
        <f>IF(OR($W567="",$W567=6),"",CHOOSE($W567,"1st Email Follow-up","2nd Email Follow-up","Escalate Local Office","Escalate to CBE","Escalate to Roxanne"))</f>
        <v/>
      </c>
    </row>
    <row r="568" spans="18:26">
      <c r="R568" s="15"/>
      <c r="S568" s="16"/>
      <c r="T568" s="17">
        <f>IF(AND(COUNTA($A568:$K568)=0,$L568=""),"",IF($S568="Paid","PAID",IF($S568="Closed","CLOSED",IF($W568="","",IF($W568=6,"ESCALATED TO ROXANNE",IF(TODAY()&gt;$Y568,"OVERDUE",IF($Y568&lt;=WORKDAY(TODAY(),1,Holidays),"DUE TOMORROW",IF($W568=4,"ESCALATED TO LOCAL OFFICE",IF($W568=5,"ESCALATED TO CBE",IF($X568=TODAY(),"EMAIL SENT","MONITORING"))))))))))</f>
        <v/>
      </c>
      <c r="U568" s="17">
        <f>IF($T568="",IF(AND(COUNTA($A568:$K568)&gt;0,$L568=""),"Awaiting Collection Email time stamp.",""),IF(OR($T568="PAID",$T568="CLOSED"),IF($T568="PAID","Account paid. Action completed.","Account closed. No further action required."),CHOOSE($W568,"Collection Email","1st Email Follow-up","2nd Email Follow-up","Escalation to Local Office","Escalation to CBE","Escalation to Roxanne")&amp;" sent "&amp;TEXT($X568,"dd-mmm")&amp;". "&amp;IF($W568=6,"Final escalation completed.",IF($T568="OVERDUE","Next: "&amp;$Z568&amp;" was due "&amp;TEXT($Y568,"dd-mmm")&amp;" - "&amp;(NETWORKDAYS($Y568,TODAY(),Holidays)-1)&amp;" business day(s) late. Send now.",IF($T568="DUE TOMORROW","Next: "&amp;$Z568&amp;IF($Y568&lt;=TODAY()," is due TODAY ("," is due next business day (")&amp;TEXT($Y568,"dd-mmm")&amp;").","Next: "&amp;$Z568&amp;" due "&amp;TEXT($Y568,"dd-mmm")&amp;" ("&amp;(NETWORKDAYS(TODAY(),$Y568,Holidays)-1)&amp;" business day(s) left).")))))</f>
        <v/>
      </c>
      <c r="V568" s="17">
        <f>IF($W568="","",CHOOSE($W568,"Collection Email","1st Follow-up","2nd Follow-up","Local Office","CBE","Roxanne")&amp;IF($W568=6," - Final"," - Day "&amp;MAX(0,NETWORKDAYS($X568,TODAY(),Holidays)-1)&amp;" of "&amp;CHOOSE($W568,3,3,2,2,3))&amp;" | Total Day "&amp;MAX(0,NETWORKDAYS($L568,TODAY(),Holidays)-1))</f>
        <v/>
      </c>
      <c r="W568" s="17">
        <f>IF($L568="","",COUNT($L568:$Q568))</f>
        <v/>
      </c>
      <c r="X568" s="18">
        <f>IF($W568="","",INT(INDEX($L568:$Q568,$W568)))</f>
        <v/>
      </c>
      <c r="Y568" s="18">
        <f>IF(OR($W568="",$W568=6),"",WORKDAY($X568,CHOOSE($W568,3,3,2,2,3),Holidays))</f>
        <v/>
      </c>
      <c r="Z568" s="17">
        <f>IF(OR($W568="",$W568=6),"",CHOOSE($W568,"1st Email Follow-up","2nd Email Follow-up","Escalate Local Office","Escalate to CBE","Escalate to Roxanne"))</f>
        <v/>
      </c>
    </row>
    <row r="569" spans="18:26">
      <c r="R569" s="15"/>
      <c r="S569" s="16"/>
      <c r="T569" s="17">
        <f>IF(AND(COUNTA($A569:$K569)=0,$L569=""),"",IF($S569="Paid","PAID",IF($S569="Closed","CLOSED",IF($W569="","",IF($W569=6,"ESCALATED TO ROXANNE",IF(TODAY()&gt;$Y569,"OVERDUE",IF($Y569&lt;=WORKDAY(TODAY(),1,Holidays),"DUE TOMORROW",IF($W569=4,"ESCALATED TO LOCAL OFFICE",IF($W569=5,"ESCALATED TO CBE",IF($X569=TODAY(),"EMAIL SENT","MONITORING"))))))))))</f>
        <v/>
      </c>
      <c r="U569" s="17">
        <f>IF($T569="",IF(AND(COUNTA($A569:$K569)&gt;0,$L569=""),"Awaiting Collection Email time stamp.",""),IF(OR($T569="PAID",$T569="CLOSED"),IF($T569="PAID","Account paid. Action completed.","Account closed. No further action required."),CHOOSE($W569,"Collection Email","1st Email Follow-up","2nd Email Follow-up","Escalation to Local Office","Escalation to CBE","Escalation to Roxanne")&amp;" sent "&amp;TEXT($X569,"dd-mmm")&amp;". "&amp;IF($W569=6,"Final escalation completed.",IF($T569="OVERDUE","Next: "&amp;$Z569&amp;" was due "&amp;TEXT($Y569,"dd-mmm")&amp;" - "&amp;(NETWORKDAYS($Y569,TODAY(),Holidays)-1)&amp;" business day(s) late. Send now.",IF($T569="DUE TOMORROW","Next: "&amp;$Z569&amp;IF($Y569&lt;=TODAY()," is due TODAY ("," is due next business day (")&amp;TEXT($Y569,"dd-mmm")&amp;").","Next: "&amp;$Z569&amp;" due "&amp;TEXT($Y569,"dd-mmm")&amp;" ("&amp;(NETWORKDAYS(TODAY(),$Y569,Holidays)-1)&amp;" business day(s) left).")))))</f>
        <v/>
      </c>
      <c r="V569" s="17">
        <f>IF($W569="","",CHOOSE($W569,"Collection Email","1st Follow-up","2nd Follow-up","Local Office","CBE","Roxanne")&amp;IF($W569=6," - Final"," - Day "&amp;MAX(0,NETWORKDAYS($X569,TODAY(),Holidays)-1)&amp;" of "&amp;CHOOSE($W569,3,3,2,2,3))&amp;" | Total Day "&amp;MAX(0,NETWORKDAYS($L569,TODAY(),Holidays)-1))</f>
        <v/>
      </c>
      <c r="W569" s="17">
        <f>IF($L569="","",COUNT($L569:$Q569))</f>
        <v/>
      </c>
      <c r="X569" s="18">
        <f>IF($W569="","",INT(INDEX($L569:$Q569,$W569)))</f>
        <v/>
      </c>
      <c r="Y569" s="18">
        <f>IF(OR($W569="",$W569=6),"",WORKDAY($X569,CHOOSE($W569,3,3,2,2,3),Holidays))</f>
        <v/>
      </c>
      <c r="Z569" s="17">
        <f>IF(OR($W569="",$W569=6),"",CHOOSE($W569,"1st Email Follow-up","2nd Email Follow-up","Escalate Local Office","Escalate to CBE","Escalate to Roxanne"))</f>
        <v/>
      </c>
    </row>
    <row r="570" spans="18:26">
      <c r="R570" s="15"/>
      <c r="S570" s="16"/>
      <c r="T570" s="17">
        <f>IF(AND(COUNTA($A570:$K570)=0,$L570=""),"",IF($S570="Paid","PAID",IF($S570="Closed","CLOSED",IF($W570="","",IF($W570=6,"ESCALATED TO ROXANNE",IF(TODAY()&gt;$Y570,"OVERDUE",IF($Y570&lt;=WORKDAY(TODAY(),1,Holidays),"DUE TOMORROW",IF($W570=4,"ESCALATED TO LOCAL OFFICE",IF($W570=5,"ESCALATED TO CBE",IF($X570=TODAY(),"EMAIL SENT","MONITORING"))))))))))</f>
        <v/>
      </c>
      <c r="U570" s="17">
        <f>IF($T570="",IF(AND(COUNTA($A570:$K570)&gt;0,$L570=""),"Awaiting Collection Email time stamp.",""),IF(OR($T570="PAID",$T570="CLOSED"),IF($T570="PAID","Account paid. Action completed.","Account closed. No further action required."),CHOOSE($W570,"Collection Email","1st Email Follow-up","2nd Email Follow-up","Escalation to Local Office","Escalation to CBE","Escalation to Roxanne")&amp;" sent "&amp;TEXT($X570,"dd-mmm")&amp;". "&amp;IF($W570=6,"Final escalation completed.",IF($T570="OVERDUE","Next: "&amp;$Z570&amp;" was due "&amp;TEXT($Y570,"dd-mmm")&amp;" - "&amp;(NETWORKDAYS($Y570,TODAY(),Holidays)-1)&amp;" business day(s) late. Send now.",IF($T570="DUE TOMORROW","Next: "&amp;$Z570&amp;IF($Y570&lt;=TODAY()," is due TODAY ("," is due next business day (")&amp;TEXT($Y570,"dd-mmm")&amp;").","Next: "&amp;$Z570&amp;" due "&amp;TEXT($Y570,"dd-mmm")&amp;" ("&amp;(NETWORKDAYS(TODAY(),$Y570,Holidays)-1)&amp;" business day(s) left).")))))</f>
        <v/>
      </c>
      <c r="V570" s="17">
        <f>IF($W570="","",CHOOSE($W570,"Collection Email","1st Follow-up","2nd Follow-up","Local Office","CBE","Roxanne")&amp;IF($W570=6," - Final"," - Day "&amp;MAX(0,NETWORKDAYS($X570,TODAY(),Holidays)-1)&amp;" of "&amp;CHOOSE($W570,3,3,2,2,3))&amp;" | Total Day "&amp;MAX(0,NETWORKDAYS($L570,TODAY(),Holidays)-1))</f>
        <v/>
      </c>
      <c r="W570" s="17">
        <f>IF($L570="","",COUNT($L570:$Q570))</f>
        <v/>
      </c>
      <c r="X570" s="18">
        <f>IF($W570="","",INT(INDEX($L570:$Q570,$W570)))</f>
        <v/>
      </c>
      <c r="Y570" s="18">
        <f>IF(OR($W570="",$W570=6),"",WORKDAY($X570,CHOOSE($W570,3,3,2,2,3),Holidays))</f>
        <v/>
      </c>
      <c r="Z570" s="17">
        <f>IF(OR($W570="",$W570=6),"",CHOOSE($W570,"1st Email Follow-up","2nd Email Follow-up","Escalate Local Office","Escalate to CBE","Escalate to Roxanne"))</f>
        <v/>
      </c>
    </row>
    <row r="571" spans="18:26">
      <c r="R571" s="15"/>
      <c r="S571" s="16"/>
      <c r="T571" s="17">
        <f>IF(AND(COUNTA($A571:$K571)=0,$L571=""),"",IF($S571="Paid","PAID",IF($S571="Closed","CLOSED",IF($W571="","",IF($W571=6,"ESCALATED TO ROXANNE",IF(TODAY()&gt;$Y571,"OVERDUE",IF($Y571&lt;=WORKDAY(TODAY(),1,Holidays),"DUE TOMORROW",IF($W571=4,"ESCALATED TO LOCAL OFFICE",IF($W571=5,"ESCALATED TO CBE",IF($X571=TODAY(),"EMAIL SENT","MONITORING"))))))))))</f>
        <v/>
      </c>
      <c r="U571" s="17">
        <f>IF($T571="",IF(AND(COUNTA($A571:$K571)&gt;0,$L571=""),"Awaiting Collection Email time stamp.",""),IF(OR($T571="PAID",$T571="CLOSED"),IF($T571="PAID","Account paid. Action completed.","Account closed. No further action required."),CHOOSE($W571,"Collection Email","1st Email Follow-up","2nd Email Follow-up","Escalation to Local Office","Escalation to CBE","Escalation to Roxanne")&amp;" sent "&amp;TEXT($X571,"dd-mmm")&amp;". "&amp;IF($W571=6,"Final escalation completed.",IF($T571="OVERDUE","Next: "&amp;$Z571&amp;" was due "&amp;TEXT($Y571,"dd-mmm")&amp;" - "&amp;(NETWORKDAYS($Y571,TODAY(),Holidays)-1)&amp;" business day(s) late. Send now.",IF($T571="DUE TOMORROW","Next: "&amp;$Z571&amp;IF($Y571&lt;=TODAY()," is due TODAY ("," is due next business day (")&amp;TEXT($Y571,"dd-mmm")&amp;").","Next: "&amp;$Z571&amp;" due "&amp;TEXT($Y571,"dd-mmm")&amp;" ("&amp;(NETWORKDAYS(TODAY(),$Y571,Holidays)-1)&amp;" business day(s) left).")))))</f>
        <v/>
      </c>
      <c r="V571" s="17">
        <f>IF($W571="","",CHOOSE($W571,"Collection Email","1st Follow-up","2nd Follow-up","Local Office","CBE","Roxanne")&amp;IF($W571=6," - Final"," - Day "&amp;MAX(0,NETWORKDAYS($X571,TODAY(),Holidays)-1)&amp;" of "&amp;CHOOSE($W571,3,3,2,2,3))&amp;" | Total Day "&amp;MAX(0,NETWORKDAYS($L571,TODAY(),Holidays)-1))</f>
        <v/>
      </c>
      <c r="W571" s="17">
        <f>IF($L571="","",COUNT($L571:$Q571))</f>
        <v/>
      </c>
      <c r="X571" s="18">
        <f>IF($W571="","",INT(INDEX($L571:$Q571,$W571)))</f>
        <v/>
      </c>
      <c r="Y571" s="18">
        <f>IF(OR($W571="",$W571=6),"",WORKDAY($X571,CHOOSE($W571,3,3,2,2,3),Holidays))</f>
        <v/>
      </c>
      <c r="Z571" s="17">
        <f>IF(OR($W571="",$W571=6),"",CHOOSE($W571,"1st Email Follow-up","2nd Email Follow-up","Escalate Local Office","Escalate to CBE","Escalate to Roxanne"))</f>
        <v/>
      </c>
    </row>
    <row r="572" spans="18:26">
      <c r="R572" s="15"/>
      <c r="S572" s="16"/>
      <c r="T572" s="17">
        <f>IF(AND(COUNTA($A572:$K572)=0,$L572=""),"",IF($S572="Paid","PAID",IF($S572="Closed","CLOSED",IF($W572="","",IF($W572=6,"ESCALATED TO ROXANNE",IF(TODAY()&gt;$Y572,"OVERDUE",IF($Y572&lt;=WORKDAY(TODAY(),1,Holidays),"DUE TOMORROW",IF($W572=4,"ESCALATED TO LOCAL OFFICE",IF($W572=5,"ESCALATED TO CBE",IF($X572=TODAY(),"EMAIL SENT","MONITORING"))))))))))</f>
        <v/>
      </c>
      <c r="U572" s="17">
        <f>IF($T572="",IF(AND(COUNTA($A572:$K572)&gt;0,$L572=""),"Awaiting Collection Email time stamp.",""),IF(OR($T572="PAID",$T572="CLOSED"),IF($T572="PAID","Account paid. Action completed.","Account closed. No further action required."),CHOOSE($W572,"Collection Email","1st Email Follow-up","2nd Email Follow-up","Escalation to Local Office","Escalation to CBE","Escalation to Roxanne")&amp;" sent "&amp;TEXT($X572,"dd-mmm")&amp;". "&amp;IF($W572=6,"Final escalation completed.",IF($T572="OVERDUE","Next: "&amp;$Z572&amp;" was due "&amp;TEXT($Y572,"dd-mmm")&amp;" - "&amp;(NETWORKDAYS($Y572,TODAY(),Holidays)-1)&amp;" business day(s) late. Send now.",IF($T572="DUE TOMORROW","Next: "&amp;$Z572&amp;IF($Y572&lt;=TODAY()," is due TODAY ("," is due next business day (")&amp;TEXT($Y572,"dd-mmm")&amp;").","Next: "&amp;$Z572&amp;" due "&amp;TEXT($Y572,"dd-mmm")&amp;" ("&amp;(NETWORKDAYS(TODAY(),$Y572,Holidays)-1)&amp;" business day(s) left).")))))</f>
        <v/>
      </c>
      <c r="V572" s="17">
        <f>IF($W572="","",CHOOSE($W572,"Collection Email","1st Follow-up","2nd Follow-up","Local Office","CBE","Roxanne")&amp;IF($W572=6," - Final"," - Day "&amp;MAX(0,NETWORKDAYS($X572,TODAY(),Holidays)-1)&amp;" of "&amp;CHOOSE($W572,3,3,2,2,3))&amp;" | Total Day "&amp;MAX(0,NETWORKDAYS($L572,TODAY(),Holidays)-1))</f>
        <v/>
      </c>
      <c r="W572" s="17">
        <f>IF($L572="","",COUNT($L572:$Q572))</f>
        <v/>
      </c>
      <c r="X572" s="18">
        <f>IF($W572="","",INT(INDEX($L572:$Q572,$W572)))</f>
        <v/>
      </c>
      <c r="Y572" s="18">
        <f>IF(OR($W572="",$W572=6),"",WORKDAY($X572,CHOOSE($W572,3,3,2,2,3),Holidays))</f>
        <v/>
      </c>
      <c r="Z572" s="17">
        <f>IF(OR($W572="",$W572=6),"",CHOOSE($W572,"1st Email Follow-up","2nd Email Follow-up","Escalate Local Office","Escalate to CBE","Escalate to Roxanne"))</f>
        <v/>
      </c>
    </row>
    <row r="573" spans="18:26">
      <c r="R573" s="15"/>
      <c r="S573" s="16"/>
      <c r="T573" s="17">
        <f>IF(AND(COUNTA($A573:$K573)=0,$L573=""),"",IF($S573="Paid","PAID",IF($S573="Closed","CLOSED",IF($W573="","",IF($W573=6,"ESCALATED TO ROXANNE",IF(TODAY()&gt;$Y573,"OVERDUE",IF($Y573&lt;=WORKDAY(TODAY(),1,Holidays),"DUE TOMORROW",IF($W573=4,"ESCALATED TO LOCAL OFFICE",IF($W573=5,"ESCALATED TO CBE",IF($X573=TODAY(),"EMAIL SENT","MONITORING"))))))))))</f>
        <v/>
      </c>
      <c r="U573" s="17">
        <f>IF($T573="",IF(AND(COUNTA($A573:$K573)&gt;0,$L573=""),"Awaiting Collection Email time stamp.",""),IF(OR($T573="PAID",$T573="CLOSED"),IF($T573="PAID","Account paid. Action completed.","Account closed. No further action required."),CHOOSE($W573,"Collection Email","1st Email Follow-up","2nd Email Follow-up","Escalation to Local Office","Escalation to CBE","Escalation to Roxanne")&amp;" sent "&amp;TEXT($X573,"dd-mmm")&amp;". "&amp;IF($W573=6,"Final escalation completed.",IF($T573="OVERDUE","Next: "&amp;$Z573&amp;" was due "&amp;TEXT($Y573,"dd-mmm")&amp;" - "&amp;(NETWORKDAYS($Y573,TODAY(),Holidays)-1)&amp;" business day(s) late. Send now.",IF($T573="DUE TOMORROW","Next: "&amp;$Z573&amp;IF($Y573&lt;=TODAY()," is due TODAY ("," is due next business day (")&amp;TEXT($Y573,"dd-mmm")&amp;").","Next: "&amp;$Z573&amp;" due "&amp;TEXT($Y573,"dd-mmm")&amp;" ("&amp;(NETWORKDAYS(TODAY(),$Y573,Holidays)-1)&amp;" business day(s) left).")))))</f>
        <v/>
      </c>
      <c r="V573" s="17">
        <f>IF($W573="","",CHOOSE($W573,"Collection Email","1st Follow-up","2nd Follow-up","Local Office","CBE","Roxanne")&amp;IF($W573=6," - Final"," - Day "&amp;MAX(0,NETWORKDAYS($X573,TODAY(),Holidays)-1)&amp;" of "&amp;CHOOSE($W573,3,3,2,2,3))&amp;" | Total Day "&amp;MAX(0,NETWORKDAYS($L573,TODAY(),Holidays)-1))</f>
        <v/>
      </c>
      <c r="W573" s="17">
        <f>IF($L573="","",COUNT($L573:$Q573))</f>
        <v/>
      </c>
      <c r="X573" s="18">
        <f>IF($W573="","",INT(INDEX($L573:$Q573,$W573)))</f>
        <v/>
      </c>
      <c r="Y573" s="18">
        <f>IF(OR($W573="",$W573=6),"",WORKDAY($X573,CHOOSE($W573,3,3,2,2,3),Holidays))</f>
        <v/>
      </c>
      <c r="Z573" s="17">
        <f>IF(OR($W573="",$W573=6),"",CHOOSE($W573,"1st Email Follow-up","2nd Email Follow-up","Escalate Local Office","Escalate to CBE","Escalate to Roxanne"))</f>
        <v/>
      </c>
    </row>
    <row r="574" spans="18:26">
      <c r="R574" s="15"/>
      <c r="S574" s="16"/>
      <c r="T574" s="17">
        <f>IF(AND(COUNTA($A574:$K574)=0,$L574=""),"",IF($S574="Paid","PAID",IF($S574="Closed","CLOSED",IF($W574="","",IF($W574=6,"ESCALATED TO ROXANNE",IF(TODAY()&gt;$Y574,"OVERDUE",IF($Y574&lt;=WORKDAY(TODAY(),1,Holidays),"DUE TOMORROW",IF($W574=4,"ESCALATED TO LOCAL OFFICE",IF($W574=5,"ESCALATED TO CBE",IF($X574=TODAY(),"EMAIL SENT","MONITORING"))))))))))</f>
        <v/>
      </c>
      <c r="U574" s="17">
        <f>IF($T574="",IF(AND(COUNTA($A574:$K574)&gt;0,$L574=""),"Awaiting Collection Email time stamp.",""),IF(OR($T574="PAID",$T574="CLOSED"),IF($T574="PAID","Account paid. Action completed.","Account closed. No further action required."),CHOOSE($W574,"Collection Email","1st Email Follow-up","2nd Email Follow-up","Escalation to Local Office","Escalation to CBE","Escalation to Roxanne")&amp;" sent "&amp;TEXT($X574,"dd-mmm")&amp;". "&amp;IF($W574=6,"Final escalation completed.",IF($T574="OVERDUE","Next: "&amp;$Z574&amp;" was due "&amp;TEXT($Y574,"dd-mmm")&amp;" - "&amp;(NETWORKDAYS($Y574,TODAY(),Holidays)-1)&amp;" business day(s) late. Send now.",IF($T574="DUE TOMORROW","Next: "&amp;$Z574&amp;IF($Y574&lt;=TODAY()," is due TODAY ("," is due next business day (")&amp;TEXT($Y574,"dd-mmm")&amp;").","Next: "&amp;$Z574&amp;" due "&amp;TEXT($Y574,"dd-mmm")&amp;" ("&amp;(NETWORKDAYS(TODAY(),$Y574,Holidays)-1)&amp;" business day(s) left).")))))</f>
        <v/>
      </c>
      <c r="V574" s="17">
        <f>IF($W574="","",CHOOSE($W574,"Collection Email","1st Follow-up","2nd Follow-up","Local Office","CBE","Roxanne")&amp;IF($W574=6," - Final"," - Day "&amp;MAX(0,NETWORKDAYS($X574,TODAY(),Holidays)-1)&amp;" of "&amp;CHOOSE($W574,3,3,2,2,3))&amp;" | Total Day "&amp;MAX(0,NETWORKDAYS($L574,TODAY(),Holidays)-1))</f>
        <v/>
      </c>
      <c r="W574" s="17">
        <f>IF($L574="","",COUNT($L574:$Q574))</f>
        <v/>
      </c>
      <c r="X574" s="18">
        <f>IF($W574="","",INT(INDEX($L574:$Q574,$W574)))</f>
        <v/>
      </c>
      <c r="Y574" s="18">
        <f>IF(OR($W574="",$W574=6),"",WORKDAY($X574,CHOOSE($W574,3,3,2,2,3),Holidays))</f>
        <v/>
      </c>
      <c r="Z574" s="17">
        <f>IF(OR($W574="",$W574=6),"",CHOOSE($W574,"1st Email Follow-up","2nd Email Follow-up","Escalate Local Office","Escalate to CBE","Escalate to Roxanne"))</f>
        <v/>
      </c>
    </row>
    <row r="575" spans="18:26">
      <c r="R575" s="15"/>
      <c r="S575" s="16"/>
      <c r="T575" s="17">
        <f>IF(AND(COUNTA($A575:$K575)=0,$L575=""),"",IF($S575="Paid","PAID",IF($S575="Closed","CLOSED",IF($W575="","",IF($W575=6,"ESCALATED TO ROXANNE",IF(TODAY()&gt;$Y575,"OVERDUE",IF($Y575&lt;=WORKDAY(TODAY(),1,Holidays),"DUE TOMORROW",IF($W575=4,"ESCALATED TO LOCAL OFFICE",IF($W575=5,"ESCALATED TO CBE",IF($X575=TODAY(),"EMAIL SENT","MONITORING"))))))))))</f>
        <v/>
      </c>
      <c r="U575" s="17">
        <f>IF($T575="",IF(AND(COUNTA($A575:$K575)&gt;0,$L575=""),"Awaiting Collection Email time stamp.",""),IF(OR($T575="PAID",$T575="CLOSED"),IF($T575="PAID","Account paid. Action completed.","Account closed. No further action required."),CHOOSE($W575,"Collection Email","1st Email Follow-up","2nd Email Follow-up","Escalation to Local Office","Escalation to CBE","Escalation to Roxanne")&amp;" sent "&amp;TEXT($X575,"dd-mmm")&amp;". "&amp;IF($W575=6,"Final escalation completed.",IF($T575="OVERDUE","Next: "&amp;$Z575&amp;" was due "&amp;TEXT($Y575,"dd-mmm")&amp;" - "&amp;(NETWORKDAYS($Y575,TODAY(),Holidays)-1)&amp;" business day(s) late. Send now.",IF($T575="DUE TOMORROW","Next: "&amp;$Z575&amp;IF($Y575&lt;=TODAY()," is due TODAY ("," is due next business day (")&amp;TEXT($Y575,"dd-mmm")&amp;").","Next: "&amp;$Z575&amp;" due "&amp;TEXT($Y575,"dd-mmm")&amp;" ("&amp;(NETWORKDAYS(TODAY(),$Y575,Holidays)-1)&amp;" business day(s) left).")))))</f>
        <v/>
      </c>
      <c r="V575" s="17">
        <f>IF($W575="","",CHOOSE($W575,"Collection Email","1st Follow-up","2nd Follow-up","Local Office","CBE","Roxanne")&amp;IF($W575=6," - Final"," - Day "&amp;MAX(0,NETWORKDAYS($X575,TODAY(),Holidays)-1)&amp;" of "&amp;CHOOSE($W575,3,3,2,2,3))&amp;" | Total Day "&amp;MAX(0,NETWORKDAYS($L575,TODAY(),Holidays)-1))</f>
        <v/>
      </c>
      <c r="W575" s="17">
        <f>IF($L575="","",COUNT($L575:$Q575))</f>
        <v/>
      </c>
      <c r="X575" s="18">
        <f>IF($W575="","",INT(INDEX($L575:$Q575,$W575)))</f>
        <v/>
      </c>
      <c r="Y575" s="18">
        <f>IF(OR($W575="",$W575=6),"",WORKDAY($X575,CHOOSE($W575,3,3,2,2,3),Holidays))</f>
        <v/>
      </c>
      <c r="Z575" s="17">
        <f>IF(OR($W575="",$W575=6),"",CHOOSE($W575,"1st Email Follow-up","2nd Email Follow-up","Escalate Local Office","Escalate to CBE","Escalate to Roxanne"))</f>
        <v/>
      </c>
    </row>
    <row r="576" spans="18:26">
      <c r="R576" s="15"/>
      <c r="S576" s="16"/>
      <c r="T576" s="17">
        <f>IF(AND(COUNTA($A576:$K576)=0,$L576=""),"",IF($S576="Paid","PAID",IF($S576="Closed","CLOSED",IF($W576="","",IF($W576=6,"ESCALATED TO ROXANNE",IF(TODAY()&gt;$Y576,"OVERDUE",IF($Y576&lt;=WORKDAY(TODAY(),1,Holidays),"DUE TOMORROW",IF($W576=4,"ESCALATED TO LOCAL OFFICE",IF($W576=5,"ESCALATED TO CBE",IF($X576=TODAY(),"EMAIL SENT","MONITORING"))))))))))</f>
        <v/>
      </c>
      <c r="U576" s="17">
        <f>IF($T576="",IF(AND(COUNTA($A576:$K576)&gt;0,$L576=""),"Awaiting Collection Email time stamp.",""),IF(OR($T576="PAID",$T576="CLOSED"),IF($T576="PAID","Account paid. Action completed.","Account closed. No further action required."),CHOOSE($W576,"Collection Email","1st Email Follow-up","2nd Email Follow-up","Escalation to Local Office","Escalation to CBE","Escalation to Roxanne")&amp;" sent "&amp;TEXT($X576,"dd-mmm")&amp;". "&amp;IF($W576=6,"Final escalation completed.",IF($T576="OVERDUE","Next: "&amp;$Z576&amp;" was due "&amp;TEXT($Y576,"dd-mmm")&amp;" - "&amp;(NETWORKDAYS($Y576,TODAY(),Holidays)-1)&amp;" business day(s) late. Send now.",IF($T576="DUE TOMORROW","Next: "&amp;$Z576&amp;IF($Y576&lt;=TODAY()," is due TODAY ("," is due next business day (")&amp;TEXT($Y576,"dd-mmm")&amp;").","Next: "&amp;$Z576&amp;" due "&amp;TEXT($Y576,"dd-mmm")&amp;" ("&amp;(NETWORKDAYS(TODAY(),$Y576,Holidays)-1)&amp;" business day(s) left).")))))</f>
        <v/>
      </c>
      <c r="V576" s="17">
        <f>IF($W576="","",CHOOSE($W576,"Collection Email","1st Follow-up","2nd Follow-up","Local Office","CBE","Roxanne")&amp;IF($W576=6," - Final"," - Day "&amp;MAX(0,NETWORKDAYS($X576,TODAY(),Holidays)-1)&amp;" of "&amp;CHOOSE($W576,3,3,2,2,3))&amp;" | Total Day "&amp;MAX(0,NETWORKDAYS($L576,TODAY(),Holidays)-1))</f>
        <v/>
      </c>
      <c r="W576" s="17">
        <f>IF($L576="","",COUNT($L576:$Q576))</f>
        <v/>
      </c>
      <c r="X576" s="18">
        <f>IF($W576="","",INT(INDEX($L576:$Q576,$W576)))</f>
        <v/>
      </c>
      <c r="Y576" s="18">
        <f>IF(OR($W576="",$W576=6),"",WORKDAY($X576,CHOOSE($W576,3,3,2,2,3),Holidays))</f>
        <v/>
      </c>
      <c r="Z576" s="17">
        <f>IF(OR($W576="",$W576=6),"",CHOOSE($W576,"1st Email Follow-up","2nd Email Follow-up","Escalate Local Office","Escalate to CBE","Escalate to Roxanne"))</f>
        <v/>
      </c>
    </row>
    <row r="577" spans="18:26">
      <c r="R577" s="15"/>
      <c r="S577" s="16"/>
      <c r="T577" s="17">
        <f>IF(AND(COUNTA($A577:$K577)=0,$L577=""),"",IF($S577="Paid","PAID",IF($S577="Closed","CLOSED",IF($W577="","",IF($W577=6,"ESCALATED TO ROXANNE",IF(TODAY()&gt;$Y577,"OVERDUE",IF($Y577&lt;=WORKDAY(TODAY(),1,Holidays),"DUE TOMORROW",IF($W577=4,"ESCALATED TO LOCAL OFFICE",IF($W577=5,"ESCALATED TO CBE",IF($X577=TODAY(),"EMAIL SENT","MONITORING"))))))))))</f>
        <v/>
      </c>
      <c r="U577" s="17">
        <f>IF($T577="",IF(AND(COUNTA($A577:$K577)&gt;0,$L577=""),"Awaiting Collection Email time stamp.",""),IF(OR($T577="PAID",$T577="CLOSED"),IF($T577="PAID","Account paid. Action completed.","Account closed. No further action required."),CHOOSE($W577,"Collection Email","1st Email Follow-up","2nd Email Follow-up","Escalation to Local Office","Escalation to CBE","Escalation to Roxanne")&amp;" sent "&amp;TEXT($X577,"dd-mmm")&amp;". "&amp;IF($W577=6,"Final escalation completed.",IF($T577="OVERDUE","Next: "&amp;$Z577&amp;" was due "&amp;TEXT($Y577,"dd-mmm")&amp;" - "&amp;(NETWORKDAYS($Y577,TODAY(),Holidays)-1)&amp;" business day(s) late. Send now.",IF($T577="DUE TOMORROW","Next: "&amp;$Z577&amp;IF($Y577&lt;=TODAY()," is due TODAY ("," is due next business day (")&amp;TEXT($Y577,"dd-mmm")&amp;").","Next: "&amp;$Z577&amp;" due "&amp;TEXT($Y577,"dd-mmm")&amp;" ("&amp;(NETWORKDAYS(TODAY(),$Y577,Holidays)-1)&amp;" business day(s) left).")))))</f>
        <v/>
      </c>
      <c r="V577" s="17">
        <f>IF($W577="","",CHOOSE($W577,"Collection Email","1st Follow-up","2nd Follow-up","Local Office","CBE","Roxanne")&amp;IF($W577=6," - Final"," - Day "&amp;MAX(0,NETWORKDAYS($X577,TODAY(),Holidays)-1)&amp;" of "&amp;CHOOSE($W577,3,3,2,2,3))&amp;" | Total Day "&amp;MAX(0,NETWORKDAYS($L577,TODAY(),Holidays)-1))</f>
        <v/>
      </c>
      <c r="W577" s="17">
        <f>IF($L577="","",COUNT($L577:$Q577))</f>
        <v/>
      </c>
      <c r="X577" s="18">
        <f>IF($W577="","",INT(INDEX($L577:$Q577,$W577)))</f>
        <v/>
      </c>
      <c r="Y577" s="18">
        <f>IF(OR($W577="",$W577=6),"",WORKDAY($X577,CHOOSE($W577,3,3,2,2,3),Holidays))</f>
        <v/>
      </c>
      <c r="Z577" s="17">
        <f>IF(OR($W577="",$W577=6),"",CHOOSE($W577,"1st Email Follow-up","2nd Email Follow-up","Escalate Local Office","Escalate to CBE","Escalate to Roxanne"))</f>
        <v/>
      </c>
    </row>
    <row r="578" spans="18:26">
      <c r="R578" s="15"/>
      <c r="S578" s="16"/>
      <c r="T578" s="17">
        <f>IF(AND(COUNTA($A578:$K578)=0,$L578=""),"",IF($S578="Paid","PAID",IF($S578="Closed","CLOSED",IF($W578="","",IF($W578=6,"ESCALATED TO ROXANNE",IF(TODAY()&gt;$Y578,"OVERDUE",IF($Y578&lt;=WORKDAY(TODAY(),1,Holidays),"DUE TOMORROW",IF($W578=4,"ESCALATED TO LOCAL OFFICE",IF($W578=5,"ESCALATED TO CBE",IF($X578=TODAY(),"EMAIL SENT","MONITORING"))))))))))</f>
        <v/>
      </c>
      <c r="U578" s="17">
        <f>IF($T578="",IF(AND(COUNTA($A578:$K578)&gt;0,$L578=""),"Awaiting Collection Email time stamp.",""),IF(OR($T578="PAID",$T578="CLOSED"),IF($T578="PAID","Account paid. Action completed.","Account closed. No further action required."),CHOOSE($W578,"Collection Email","1st Email Follow-up","2nd Email Follow-up","Escalation to Local Office","Escalation to CBE","Escalation to Roxanne")&amp;" sent "&amp;TEXT($X578,"dd-mmm")&amp;". "&amp;IF($W578=6,"Final escalation completed.",IF($T578="OVERDUE","Next: "&amp;$Z578&amp;" was due "&amp;TEXT($Y578,"dd-mmm")&amp;" - "&amp;(NETWORKDAYS($Y578,TODAY(),Holidays)-1)&amp;" business day(s) late. Send now.",IF($T578="DUE TOMORROW","Next: "&amp;$Z578&amp;IF($Y578&lt;=TODAY()," is due TODAY ("," is due next business day (")&amp;TEXT($Y578,"dd-mmm")&amp;").","Next: "&amp;$Z578&amp;" due "&amp;TEXT($Y578,"dd-mmm")&amp;" ("&amp;(NETWORKDAYS(TODAY(),$Y578,Holidays)-1)&amp;" business day(s) left).")))))</f>
        <v/>
      </c>
      <c r="V578" s="17">
        <f>IF($W578="","",CHOOSE($W578,"Collection Email","1st Follow-up","2nd Follow-up","Local Office","CBE","Roxanne")&amp;IF($W578=6," - Final"," - Day "&amp;MAX(0,NETWORKDAYS($X578,TODAY(),Holidays)-1)&amp;" of "&amp;CHOOSE($W578,3,3,2,2,3))&amp;" | Total Day "&amp;MAX(0,NETWORKDAYS($L578,TODAY(),Holidays)-1))</f>
        <v/>
      </c>
      <c r="W578" s="17">
        <f>IF($L578="","",COUNT($L578:$Q578))</f>
        <v/>
      </c>
      <c r="X578" s="18">
        <f>IF($W578="","",INT(INDEX($L578:$Q578,$W578)))</f>
        <v/>
      </c>
      <c r="Y578" s="18">
        <f>IF(OR($W578="",$W578=6),"",WORKDAY($X578,CHOOSE($W578,3,3,2,2,3),Holidays))</f>
        <v/>
      </c>
      <c r="Z578" s="17">
        <f>IF(OR($W578="",$W578=6),"",CHOOSE($W578,"1st Email Follow-up","2nd Email Follow-up","Escalate Local Office","Escalate to CBE","Escalate to Roxanne"))</f>
        <v/>
      </c>
    </row>
    <row r="579" spans="18:26">
      <c r="R579" s="15"/>
      <c r="S579" s="16"/>
      <c r="T579" s="17">
        <f>IF(AND(COUNTA($A579:$K579)=0,$L579=""),"",IF($S579="Paid","PAID",IF($S579="Closed","CLOSED",IF($W579="","",IF($W579=6,"ESCALATED TO ROXANNE",IF(TODAY()&gt;$Y579,"OVERDUE",IF($Y579&lt;=WORKDAY(TODAY(),1,Holidays),"DUE TOMORROW",IF($W579=4,"ESCALATED TO LOCAL OFFICE",IF($W579=5,"ESCALATED TO CBE",IF($X579=TODAY(),"EMAIL SENT","MONITORING"))))))))))</f>
        <v/>
      </c>
      <c r="U579" s="17">
        <f>IF($T579="",IF(AND(COUNTA($A579:$K579)&gt;0,$L579=""),"Awaiting Collection Email time stamp.",""),IF(OR($T579="PAID",$T579="CLOSED"),IF($T579="PAID","Account paid. Action completed.","Account closed. No further action required."),CHOOSE($W579,"Collection Email","1st Email Follow-up","2nd Email Follow-up","Escalation to Local Office","Escalation to CBE","Escalation to Roxanne")&amp;" sent "&amp;TEXT($X579,"dd-mmm")&amp;". "&amp;IF($W579=6,"Final escalation completed.",IF($T579="OVERDUE","Next: "&amp;$Z579&amp;" was due "&amp;TEXT($Y579,"dd-mmm")&amp;" - "&amp;(NETWORKDAYS($Y579,TODAY(),Holidays)-1)&amp;" business day(s) late. Send now.",IF($T579="DUE TOMORROW","Next: "&amp;$Z579&amp;IF($Y579&lt;=TODAY()," is due TODAY ("," is due next business day (")&amp;TEXT($Y579,"dd-mmm")&amp;").","Next: "&amp;$Z579&amp;" due "&amp;TEXT($Y579,"dd-mmm")&amp;" ("&amp;(NETWORKDAYS(TODAY(),$Y579,Holidays)-1)&amp;" business day(s) left).")))))</f>
        <v/>
      </c>
      <c r="V579" s="17">
        <f>IF($W579="","",CHOOSE($W579,"Collection Email","1st Follow-up","2nd Follow-up","Local Office","CBE","Roxanne")&amp;IF($W579=6," - Final"," - Day "&amp;MAX(0,NETWORKDAYS($X579,TODAY(),Holidays)-1)&amp;" of "&amp;CHOOSE($W579,3,3,2,2,3))&amp;" | Total Day "&amp;MAX(0,NETWORKDAYS($L579,TODAY(),Holidays)-1))</f>
        <v/>
      </c>
      <c r="W579" s="17">
        <f>IF($L579="","",COUNT($L579:$Q579))</f>
        <v/>
      </c>
      <c r="X579" s="18">
        <f>IF($W579="","",INT(INDEX($L579:$Q579,$W579)))</f>
        <v/>
      </c>
      <c r="Y579" s="18">
        <f>IF(OR($W579="",$W579=6),"",WORKDAY($X579,CHOOSE($W579,3,3,2,2,3),Holidays))</f>
        <v/>
      </c>
      <c r="Z579" s="17">
        <f>IF(OR($W579="",$W579=6),"",CHOOSE($W579,"1st Email Follow-up","2nd Email Follow-up","Escalate Local Office","Escalate to CBE","Escalate to Roxanne"))</f>
        <v/>
      </c>
    </row>
    <row r="580" spans="18:26">
      <c r="R580" s="15"/>
      <c r="S580" s="16"/>
      <c r="T580" s="17">
        <f>IF(AND(COUNTA($A580:$K580)=0,$L580=""),"",IF($S580="Paid","PAID",IF($S580="Closed","CLOSED",IF($W580="","",IF($W580=6,"ESCALATED TO ROXANNE",IF(TODAY()&gt;$Y580,"OVERDUE",IF($Y580&lt;=WORKDAY(TODAY(),1,Holidays),"DUE TOMORROW",IF($W580=4,"ESCALATED TO LOCAL OFFICE",IF($W580=5,"ESCALATED TO CBE",IF($X580=TODAY(),"EMAIL SENT","MONITORING"))))))))))</f>
        <v/>
      </c>
      <c r="U580" s="17">
        <f>IF($T580="",IF(AND(COUNTA($A580:$K580)&gt;0,$L580=""),"Awaiting Collection Email time stamp.",""),IF(OR($T580="PAID",$T580="CLOSED"),IF($T580="PAID","Account paid. Action completed.","Account closed. No further action required."),CHOOSE($W580,"Collection Email","1st Email Follow-up","2nd Email Follow-up","Escalation to Local Office","Escalation to CBE","Escalation to Roxanne")&amp;" sent "&amp;TEXT($X580,"dd-mmm")&amp;". "&amp;IF($W580=6,"Final escalation completed.",IF($T580="OVERDUE","Next: "&amp;$Z580&amp;" was due "&amp;TEXT($Y580,"dd-mmm")&amp;" - "&amp;(NETWORKDAYS($Y580,TODAY(),Holidays)-1)&amp;" business day(s) late. Send now.",IF($T580="DUE TOMORROW","Next: "&amp;$Z580&amp;IF($Y580&lt;=TODAY()," is due TODAY ("," is due next business day (")&amp;TEXT($Y580,"dd-mmm")&amp;").","Next: "&amp;$Z580&amp;" due "&amp;TEXT($Y580,"dd-mmm")&amp;" ("&amp;(NETWORKDAYS(TODAY(),$Y580,Holidays)-1)&amp;" business day(s) left).")))))</f>
        <v/>
      </c>
      <c r="V580" s="17">
        <f>IF($W580="","",CHOOSE($W580,"Collection Email","1st Follow-up","2nd Follow-up","Local Office","CBE","Roxanne")&amp;IF($W580=6," - Final"," - Day "&amp;MAX(0,NETWORKDAYS($X580,TODAY(),Holidays)-1)&amp;" of "&amp;CHOOSE($W580,3,3,2,2,3))&amp;" | Total Day "&amp;MAX(0,NETWORKDAYS($L580,TODAY(),Holidays)-1))</f>
        <v/>
      </c>
      <c r="W580" s="17">
        <f>IF($L580="","",COUNT($L580:$Q580))</f>
        <v/>
      </c>
      <c r="X580" s="18">
        <f>IF($W580="","",INT(INDEX($L580:$Q580,$W580)))</f>
        <v/>
      </c>
      <c r="Y580" s="18">
        <f>IF(OR($W580="",$W580=6),"",WORKDAY($X580,CHOOSE($W580,3,3,2,2,3),Holidays))</f>
        <v/>
      </c>
      <c r="Z580" s="17">
        <f>IF(OR($W580="",$W580=6),"",CHOOSE($W580,"1st Email Follow-up","2nd Email Follow-up","Escalate Local Office","Escalate to CBE","Escalate to Roxanne"))</f>
        <v/>
      </c>
    </row>
    <row r="581" spans="18:26">
      <c r="R581" s="15"/>
      <c r="S581" s="16"/>
      <c r="T581" s="17">
        <f>IF(AND(COUNTA($A581:$K581)=0,$L581=""),"",IF($S581="Paid","PAID",IF($S581="Closed","CLOSED",IF($W581="","",IF($W581=6,"ESCALATED TO ROXANNE",IF(TODAY()&gt;$Y581,"OVERDUE",IF($Y581&lt;=WORKDAY(TODAY(),1,Holidays),"DUE TOMORROW",IF($W581=4,"ESCALATED TO LOCAL OFFICE",IF($W581=5,"ESCALATED TO CBE",IF($X581=TODAY(),"EMAIL SENT","MONITORING"))))))))))</f>
        <v/>
      </c>
      <c r="U581" s="17">
        <f>IF($T581="",IF(AND(COUNTA($A581:$K581)&gt;0,$L581=""),"Awaiting Collection Email time stamp.",""),IF(OR($T581="PAID",$T581="CLOSED"),IF($T581="PAID","Account paid. Action completed.","Account closed. No further action required."),CHOOSE($W581,"Collection Email","1st Email Follow-up","2nd Email Follow-up","Escalation to Local Office","Escalation to CBE","Escalation to Roxanne")&amp;" sent "&amp;TEXT($X581,"dd-mmm")&amp;". "&amp;IF($W581=6,"Final escalation completed.",IF($T581="OVERDUE","Next: "&amp;$Z581&amp;" was due "&amp;TEXT($Y581,"dd-mmm")&amp;" - "&amp;(NETWORKDAYS($Y581,TODAY(),Holidays)-1)&amp;" business day(s) late. Send now.",IF($T581="DUE TOMORROW","Next: "&amp;$Z581&amp;IF($Y581&lt;=TODAY()," is due TODAY ("," is due next business day (")&amp;TEXT($Y581,"dd-mmm")&amp;").","Next: "&amp;$Z581&amp;" due "&amp;TEXT($Y581,"dd-mmm")&amp;" ("&amp;(NETWORKDAYS(TODAY(),$Y581,Holidays)-1)&amp;" business day(s) left).")))))</f>
        <v/>
      </c>
      <c r="V581" s="17">
        <f>IF($W581="","",CHOOSE($W581,"Collection Email","1st Follow-up","2nd Follow-up","Local Office","CBE","Roxanne")&amp;IF($W581=6," - Final"," - Day "&amp;MAX(0,NETWORKDAYS($X581,TODAY(),Holidays)-1)&amp;" of "&amp;CHOOSE($W581,3,3,2,2,3))&amp;" | Total Day "&amp;MAX(0,NETWORKDAYS($L581,TODAY(),Holidays)-1))</f>
        <v/>
      </c>
      <c r="W581" s="17">
        <f>IF($L581="","",COUNT($L581:$Q581))</f>
        <v/>
      </c>
      <c r="X581" s="18">
        <f>IF($W581="","",INT(INDEX($L581:$Q581,$W581)))</f>
        <v/>
      </c>
      <c r="Y581" s="18">
        <f>IF(OR($W581="",$W581=6),"",WORKDAY($X581,CHOOSE($W581,3,3,2,2,3),Holidays))</f>
        <v/>
      </c>
      <c r="Z581" s="17">
        <f>IF(OR($W581="",$W581=6),"",CHOOSE($W581,"1st Email Follow-up","2nd Email Follow-up","Escalate Local Office","Escalate to CBE","Escalate to Roxanne"))</f>
        <v/>
      </c>
    </row>
    <row r="582" spans="18:26">
      <c r="R582" s="15"/>
      <c r="S582" s="16"/>
      <c r="T582" s="17">
        <f>IF(AND(COUNTA($A582:$K582)=0,$L582=""),"",IF($S582="Paid","PAID",IF($S582="Closed","CLOSED",IF($W582="","",IF($W582=6,"ESCALATED TO ROXANNE",IF(TODAY()&gt;$Y582,"OVERDUE",IF($Y582&lt;=WORKDAY(TODAY(),1,Holidays),"DUE TOMORROW",IF($W582=4,"ESCALATED TO LOCAL OFFICE",IF($W582=5,"ESCALATED TO CBE",IF($X582=TODAY(),"EMAIL SENT","MONITORING"))))))))))</f>
        <v/>
      </c>
      <c r="U582" s="17">
        <f>IF($T582="",IF(AND(COUNTA($A582:$K582)&gt;0,$L582=""),"Awaiting Collection Email time stamp.",""),IF(OR($T582="PAID",$T582="CLOSED"),IF($T582="PAID","Account paid. Action completed.","Account closed. No further action required."),CHOOSE($W582,"Collection Email","1st Email Follow-up","2nd Email Follow-up","Escalation to Local Office","Escalation to CBE","Escalation to Roxanne")&amp;" sent "&amp;TEXT($X582,"dd-mmm")&amp;". "&amp;IF($W582=6,"Final escalation completed.",IF($T582="OVERDUE","Next: "&amp;$Z582&amp;" was due "&amp;TEXT($Y582,"dd-mmm")&amp;" - "&amp;(NETWORKDAYS($Y582,TODAY(),Holidays)-1)&amp;" business day(s) late. Send now.",IF($T582="DUE TOMORROW","Next: "&amp;$Z582&amp;IF($Y582&lt;=TODAY()," is due TODAY ("," is due next business day (")&amp;TEXT($Y582,"dd-mmm")&amp;").","Next: "&amp;$Z582&amp;" due "&amp;TEXT($Y582,"dd-mmm")&amp;" ("&amp;(NETWORKDAYS(TODAY(),$Y582,Holidays)-1)&amp;" business day(s) left).")))))</f>
        <v/>
      </c>
      <c r="V582" s="17">
        <f>IF($W582="","",CHOOSE($W582,"Collection Email","1st Follow-up","2nd Follow-up","Local Office","CBE","Roxanne")&amp;IF($W582=6," - Final"," - Day "&amp;MAX(0,NETWORKDAYS($X582,TODAY(),Holidays)-1)&amp;" of "&amp;CHOOSE($W582,3,3,2,2,3))&amp;" | Total Day "&amp;MAX(0,NETWORKDAYS($L582,TODAY(),Holidays)-1))</f>
        <v/>
      </c>
      <c r="W582" s="17">
        <f>IF($L582="","",COUNT($L582:$Q582))</f>
        <v/>
      </c>
      <c r="X582" s="18">
        <f>IF($W582="","",INT(INDEX($L582:$Q582,$W582)))</f>
        <v/>
      </c>
      <c r="Y582" s="18">
        <f>IF(OR($W582="",$W582=6),"",WORKDAY($X582,CHOOSE($W582,3,3,2,2,3),Holidays))</f>
        <v/>
      </c>
      <c r="Z582" s="17">
        <f>IF(OR($W582="",$W582=6),"",CHOOSE($W582,"1st Email Follow-up","2nd Email Follow-up","Escalate Local Office","Escalate to CBE","Escalate to Roxanne"))</f>
        <v/>
      </c>
    </row>
    <row r="583" spans="18:26">
      <c r="R583" s="15"/>
      <c r="S583" s="16"/>
      <c r="T583" s="17">
        <f>IF(AND(COUNTA($A583:$K583)=0,$L583=""),"",IF($S583="Paid","PAID",IF($S583="Closed","CLOSED",IF($W583="","",IF($W583=6,"ESCALATED TO ROXANNE",IF(TODAY()&gt;$Y583,"OVERDUE",IF($Y583&lt;=WORKDAY(TODAY(),1,Holidays),"DUE TOMORROW",IF($W583=4,"ESCALATED TO LOCAL OFFICE",IF($W583=5,"ESCALATED TO CBE",IF($X583=TODAY(),"EMAIL SENT","MONITORING"))))))))))</f>
        <v/>
      </c>
      <c r="U583" s="17">
        <f>IF($T583="",IF(AND(COUNTA($A583:$K583)&gt;0,$L583=""),"Awaiting Collection Email time stamp.",""),IF(OR($T583="PAID",$T583="CLOSED"),IF($T583="PAID","Account paid. Action completed.","Account closed. No further action required."),CHOOSE($W583,"Collection Email","1st Email Follow-up","2nd Email Follow-up","Escalation to Local Office","Escalation to CBE","Escalation to Roxanne")&amp;" sent "&amp;TEXT($X583,"dd-mmm")&amp;". "&amp;IF($W583=6,"Final escalation completed.",IF($T583="OVERDUE","Next: "&amp;$Z583&amp;" was due "&amp;TEXT($Y583,"dd-mmm")&amp;" - "&amp;(NETWORKDAYS($Y583,TODAY(),Holidays)-1)&amp;" business day(s) late. Send now.",IF($T583="DUE TOMORROW","Next: "&amp;$Z583&amp;IF($Y583&lt;=TODAY()," is due TODAY ("," is due next business day (")&amp;TEXT($Y583,"dd-mmm")&amp;").","Next: "&amp;$Z583&amp;" due "&amp;TEXT($Y583,"dd-mmm")&amp;" ("&amp;(NETWORKDAYS(TODAY(),$Y583,Holidays)-1)&amp;" business day(s) left).")))))</f>
        <v/>
      </c>
      <c r="V583" s="17">
        <f>IF($W583="","",CHOOSE($W583,"Collection Email","1st Follow-up","2nd Follow-up","Local Office","CBE","Roxanne")&amp;IF($W583=6," - Final"," - Day "&amp;MAX(0,NETWORKDAYS($X583,TODAY(),Holidays)-1)&amp;" of "&amp;CHOOSE($W583,3,3,2,2,3))&amp;" | Total Day "&amp;MAX(0,NETWORKDAYS($L583,TODAY(),Holidays)-1))</f>
        <v/>
      </c>
      <c r="W583" s="17">
        <f>IF($L583="","",COUNT($L583:$Q583))</f>
        <v/>
      </c>
      <c r="X583" s="18">
        <f>IF($W583="","",INT(INDEX($L583:$Q583,$W583)))</f>
        <v/>
      </c>
      <c r="Y583" s="18">
        <f>IF(OR($W583="",$W583=6),"",WORKDAY($X583,CHOOSE($W583,3,3,2,2,3),Holidays))</f>
        <v/>
      </c>
      <c r="Z583" s="17">
        <f>IF(OR($W583="",$W583=6),"",CHOOSE($W583,"1st Email Follow-up","2nd Email Follow-up","Escalate Local Office","Escalate to CBE","Escalate to Roxanne"))</f>
        <v/>
      </c>
    </row>
    <row r="584" spans="18:26">
      <c r="R584" s="15"/>
      <c r="S584" s="16"/>
      <c r="T584" s="17">
        <f>IF(AND(COUNTA($A584:$K584)=0,$L584=""),"",IF($S584="Paid","PAID",IF($S584="Closed","CLOSED",IF($W584="","",IF($W584=6,"ESCALATED TO ROXANNE",IF(TODAY()&gt;$Y584,"OVERDUE",IF($Y584&lt;=WORKDAY(TODAY(),1,Holidays),"DUE TOMORROW",IF($W584=4,"ESCALATED TO LOCAL OFFICE",IF($W584=5,"ESCALATED TO CBE",IF($X584=TODAY(),"EMAIL SENT","MONITORING"))))))))))</f>
        <v/>
      </c>
      <c r="U584" s="17">
        <f>IF($T584="",IF(AND(COUNTA($A584:$K584)&gt;0,$L584=""),"Awaiting Collection Email time stamp.",""),IF(OR($T584="PAID",$T584="CLOSED"),IF($T584="PAID","Account paid. Action completed.","Account closed. No further action required."),CHOOSE($W584,"Collection Email","1st Email Follow-up","2nd Email Follow-up","Escalation to Local Office","Escalation to CBE","Escalation to Roxanne")&amp;" sent "&amp;TEXT($X584,"dd-mmm")&amp;". "&amp;IF($W584=6,"Final escalation completed.",IF($T584="OVERDUE","Next: "&amp;$Z584&amp;" was due "&amp;TEXT($Y584,"dd-mmm")&amp;" - "&amp;(NETWORKDAYS($Y584,TODAY(),Holidays)-1)&amp;" business day(s) late. Send now.",IF($T584="DUE TOMORROW","Next: "&amp;$Z584&amp;IF($Y584&lt;=TODAY()," is due TODAY ("," is due next business day (")&amp;TEXT($Y584,"dd-mmm")&amp;").","Next: "&amp;$Z584&amp;" due "&amp;TEXT($Y584,"dd-mmm")&amp;" ("&amp;(NETWORKDAYS(TODAY(),$Y584,Holidays)-1)&amp;" business day(s) left).")))))</f>
        <v/>
      </c>
      <c r="V584" s="17">
        <f>IF($W584="","",CHOOSE($W584,"Collection Email","1st Follow-up","2nd Follow-up","Local Office","CBE","Roxanne")&amp;IF($W584=6," - Final"," - Day "&amp;MAX(0,NETWORKDAYS($X584,TODAY(),Holidays)-1)&amp;" of "&amp;CHOOSE($W584,3,3,2,2,3))&amp;" | Total Day "&amp;MAX(0,NETWORKDAYS($L584,TODAY(),Holidays)-1))</f>
        <v/>
      </c>
      <c r="W584" s="17">
        <f>IF($L584="","",COUNT($L584:$Q584))</f>
        <v/>
      </c>
      <c r="X584" s="18">
        <f>IF($W584="","",INT(INDEX($L584:$Q584,$W584)))</f>
        <v/>
      </c>
      <c r="Y584" s="18">
        <f>IF(OR($W584="",$W584=6),"",WORKDAY($X584,CHOOSE($W584,3,3,2,2,3),Holidays))</f>
        <v/>
      </c>
      <c r="Z584" s="17">
        <f>IF(OR($W584="",$W584=6),"",CHOOSE($W584,"1st Email Follow-up","2nd Email Follow-up","Escalate Local Office","Escalate to CBE","Escalate to Roxanne"))</f>
        <v/>
      </c>
    </row>
    <row r="585" spans="18:26">
      <c r="R585" s="15"/>
      <c r="S585" s="16"/>
      <c r="T585" s="17">
        <f>IF(AND(COUNTA($A585:$K585)=0,$L585=""),"",IF($S585="Paid","PAID",IF($S585="Closed","CLOSED",IF($W585="","",IF($W585=6,"ESCALATED TO ROXANNE",IF(TODAY()&gt;$Y585,"OVERDUE",IF($Y585&lt;=WORKDAY(TODAY(),1,Holidays),"DUE TOMORROW",IF($W585=4,"ESCALATED TO LOCAL OFFICE",IF($W585=5,"ESCALATED TO CBE",IF($X585=TODAY(),"EMAIL SENT","MONITORING"))))))))))</f>
        <v/>
      </c>
      <c r="U585" s="17">
        <f>IF($T585="",IF(AND(COUNTA($A585:$K585)&gt;0,$L585=""),"Awaiting Collection Email time stamp.",""),IF(OR($T585="PAID",$T585="CLOSED"),IF($T585="PAID","Account paid. Action completed.","Account closed. No further action required."),CHOOSE($W585,"Collection Email","1st Email Follow-up","2nd Email Follow-up","Escalation to Local Office","Escalation to CBE","Escalation to Roxanne")&amp;" sent "&amp;TEXT($X585,"dd-mmm")&amp;". "&amp;IF($W585=6,"Final escalation completed.",IF($T585="OVERDUE","Next: "&amp;$Z585&amp;" was due "&amp;TEXT($Y585,"dd-mmm")&amp;" - "&amp;(NETWORKDAYS($Y585,TODAY(),Holidays)-1)&amp;" business day(s) late. Send now.",IF($T585="DUE TOMORROW","Next: "&amp;$Z585&amp;IF($Y585&lt;=TODAY()," is due TODAY ("," is due next business day (")&amp;TEXT($Y585,"dd-mmm")&amp;").","Next: "&amp;$Z585&amp;" due "&amp;TEXT($Y585,"dd-mmm")&amp;" ("&amp;(NETWORKDAYS(TODAY(),$Y585,Holidays)-1)&amp;" business day(s) left).")))))</f>
        <v/>
      </c>
      <c r="V585" s="17">
        <f>IF($W585="","",CHOOSE($W585,"Collection Email","1st Follow-up","2nd Follow-up","Local Office","CBE","Roxanne")&amp;IF($W585=6," - Final"," - Day "&amp;MAX(0,NETWORKDAYS($X585,TODAY(),Holidays)-1)&amp;" of "&amp;CHOOSE($W585,3,3,2,2,3))&amp;" | Total Day "&amp;MAX(0,NETWORKDAYS($L585,TODAY(),Holidays)-1))</f>
        <v/>
      </c>
      <c r="W585" s="17">
        <f>IF($L585="","",COUNT($L585:$Q585))</f>
        <v/>
      </c>
      <c r="X585" s="18">
        <f>IF($W585="","",INT(INDEX($L585:$Q585,$W585)))</f>
        <v/>
      </c>
      <c r="Y585" s="18">
        <f>IF(OR($W585="",$W585=6),"",WORKDAY($X585,CHOOSE($W585,3,3,2,2,3),Holidays))</f>
        <v/>
      </c>
      <c r="Z585" s="17">
        <f>IF(OR($W585="",$W585=6),"",CHOOSE($W585,"1st Email Follow-up","2nd Email Follow-up","Escalate Local Office","Escalate to CBE","Escalate to Roxanne"))</f>
        <v/>
      </c>
    </row>
    <row r="586" spans="18:26">
      <c r="R586" s="15"/>
      <c r="S586" s="16"/>
      <c r="T586" s="17">
        <f>IF(AND(COUNTA($A586:$K586)=0,$L586=""),"",IF($S586="Paid","PAID",IF($S586="Closed","CLOSED",IF($W586="","",IF($W586=6,"ESCALATED TO ROXANNE",IF(TODAY()&gt;$Y586,"OVERDUE",IF($Y586&lt;=WORKDAY(TODAY(),1,Holidays),"DUE TOMORROW",IF($W586=4,"ESCALATED TO LOCAL OFFICE",IF($W586=5,"ESCALATED TO CBE",IF($X586=TODAY(),"EMAIL SENT","MONITORING"))))))))))</f>
        <v/>
      </c>
      <c r="U586" s="17">
        <f>IF($T586="",IF(AND(COUNTA($A586:$K586)&gt;0,$L586=""),"Awaiting Collection Email time stamp.",""),IF(OR($T586="PAID",$T586="CLOSED"),IF($T586="PAID","Account paid. Action completed.","Account closed. No further action required."),CHOOSE($W586,"Collection Email","1st Email Follow-up","2nd Email Follow-up","Escalation to Local Office","Escalation to CBE","Escalation to Roxanne")&amp;" sent "&amp;TEXT($X586,"dd-mmm")&amp;". "&amp;IF($W586=6,"Final escalation completed.",IF($T586="OVERDUE","Next: "&amp;$Z586&amp;" was due "&amp;TEXT($Y586,"dd-mmm")&amp;" - "&amp;(NETWORKDAYS($Y586,TODAY(),Holidays)-1)&amp;" business day(s) late. Send now.",IF($T586="DUE TOMORROW","Next: "&amp;$Z586&amp;IF($Y586&lt;=TODAY()," is due TODAY ("," is due next business day (")&amp;TEXT($Y586,"dd-mmm")&amp;").","Next: "&amp;$Z586&amp;" due "&amp;TEXT($Y586,"dd-mmm")&amp;" ("&amp;(NETWORKDAYS(TODAY(),$Y586,Holidays)-1)&amp;" business day(s) left).")))))</f>
        <v/>
      </c>
      <c r="V586" s="17">
        <f>IF($W586="","",CHOOSE($W586,"Collection Email","1st Follow-up","2nd Follow-up","Local Office","CBE","Roxanne")&amp;IF($W586=6," - Final"," - Day "&amp;MAX(0,NETWORKDAYS($X586,TODAY(),Holidays)-1)&amp;" of "&amp;CHOOSE($W586,3,3,2,2,3))&amp;" | Total Day "&amp;MAX(0,NETWORKDAYS($L586,TODAY(),Holidays)-1))</f>
        <v/>
      </c>
      <c r="W586" s="17">
        <f>IF($L586="","",COUNT($L586:$Q586))</f>
        <v/>
      </c>
      <c r="X586" s="18">
        <f>IF($W586="","",INT(INDEX($L586:$Q586,$W586)))</f>
        <v/>
      </c>
      <c r="Y586" s="18">
        <f>IF(OR($W586="",$W586=6),"",WORKDAY($X586,CHOOSE($W586,3,3,2,2,3),Holidays))</f>
        <v/>
      </c>
      <c r="Z586" s="17">
        <f>IF(OR($W586="",$W586=6),"",CHOOSE($W586,"1st Email Follow-up","2nd Email Follow-up","Escalate Local Office","Escalate to CBE","Escalate to Roxanne"))</f>
        <v/>
      </c>
    </row>
    <row r="587" spans="18:26">
      <c r="R587" s="15"/>
      <c r="S587" s="16"/>
      <c r="T587" s="17">
        <f>IF(AND(COUNTA($A587:$K587)=0,$L587=""),"",IF($S587="Paid","PAID",IF($S587="Closed","CLOSED",IF($W587="","",IF($W587=6,"ESCALATED TO ROXANNE",IF(TODAY()&gt;$Y587,"OVERDUE",IF($Y587&lt;=WORKDAY(TODAY(),1,Holidays),"DUE TOMORROW",IF($W587=4,"ESCALATED TO LOCAL OFFICE",IF($W587=5,"ESCALATED TO CBE",IF($X587=TODAY(),"EMAIL SENT","MONITORING"))))))))))</f>
        <v/>
      </c>
      <c r="U587" s="17">
        <f>IF($T587="",IF(AND(COUNTA($A587:$K587)&gt;0,$L587=""),"Awaiting Collection Email time stamp.",""),IF(OR($T587="PAID",$T587="CLOSED"),IF($T587="PAID","Account paid. Action completed.","Account closed. No further action required."),CHOOSE($W587,"Collection Email","1st Email Follow-up","2nd Email Follow-up","Escalation to Local Office","Escalation to CBE","Escalation to Roxanne")&amp;" sent "&amp;TEXT($X587,"dd-mmm")&amp;". "&amp;IF($W587=6,"Final escalation completed.",IF($T587="OVERDUE","Next: "&amp;$Z587&amp;" was due "&amp;TEXT($Y587,"dd-mmm")&amp;" - "&amp;(NETWORKDAYS($Y587,TODAY(),Holidays)-1)&amp;" business day(s) late. Send now.",IF($T587="DUE TOMORROW","Next: "&amp;$Z587&amp;IF($Y587&lt;=TODAY()," is due TODAY ("," is due next business day (")&amp;TEXT($Y587,"dd-mmm")&amp;").","Next: "&amp;$Z587&amp;" due "&amp;TEXT($Y587,"dd-mmm")&amp;" ("&amp;(NETWORKDAYS(TODAY(),$Y587,Holidays)-1)&amp;" business day(s) left).")))))</f>
        <v/>
      </c>
      <c r="V587" s="17">
        <f>IF($W587="","",CHOOSE($W587,"Collection Email","1st Follow-up","2nd Follow-up","Local Office","CBE","Roxanne")&amp;IF($W587=6," - Final"," - Day "&amp;MAX(0,NETWORKDAYS($X587,TODAY(),Holidays)-1)&amp;" of "&amp;CHOOSE($W587,3,3,2,2,3))&amp;" | Total Day "&amp;MAX(0,NETWORKDAYS($L587,TODAY(),Holidays)-1))</f>
        <v/>
      </c>
      <c r="W587" s="17">
        <f>IF($L587="","",COUNT($L587:$Q587))</f>
        <v/>
      </c>
      <c r="X587" s="18">
        <f>IF($W587="","",INT(INDEX($L587:$Q587,$W587)))</f>
        <v/>
      </c>
      <c r="Y587" s="18">
        <f>IF(OR($W587="",$W587=6),"",WORKDAY($X587,CHOOSE($W587,3,3,2,2,3),Holidays))</f>
        <v/>
      </c>
      <c r="Z587" s="17">
        <f>IF(OR($W587="",$W587=6),"",CHOOSE($W587,"1st Email Follow-up","2nd Email Follow-up","Escalate Local Office","Escalate to CBE","Escalate to Roxanne"))</f>
        <v/>
      </c>
    </row>
    <row r="588" spans="18:26">
      <c r="R588" s="15"/>
      <c r="S588" s="16"/>
      <c r="T588" s="17">
        <f>IF(AND(COUNTA($A588:$K588)=0,$L588=""),"",IF($S588="Paid","PAID",IF($S588="Closed","CLOSED",IF($W588="","",IF($W588=6,"ESCALATED TO ROXANNE",IF(TODAY()&gt;$Y588,"OVERDUE",IF($Y588&lt;=WORKDAY(TODAY(),1,Holidays),"DUE TOMORROW",IF($W588=4,"ESCALATED TO LOCAL OFFICE",IF($W588=5,"ESCALATED TO CBE",IF($X588=TODAY(),"EMAIL SENT","MONITORING"))))))))))</f>
        <v/>
      </c>
      <c r="U588" s="17">
        <f>IF($T588="",IF(AND(COUNTA($A588:$K588)&gt;0,$L588=""),"Awaiting Collection Email time stamp.",""),IF(OR($T588="PAID",$T588="CLOSED"),IF($T588="PAID","Account paid. Action completed.","Account closed. No further action required."),CHOOSE($W588,"Collection Email","1st Email Follow-up","2nd Email Follow-up","Escalation to Local Office","Escalation to CBE","Escalation to Roxanne")&amp;" sent "&amp;TEXT($X588,"dd-mmm")&amp;". "&amp;IF($W588=6,"Final escalation completed.",IF($T588="OVERDUE","Next: "&amp;$Z588&amp;" was due "&amp;TEXT($Y588,"dd-mmm")&amp;" - "&amp;(NETWORKDAYS($Y588,TODAY(),Holidays)-1)&amp;" business day(s) late. Send now.",IF($T588="DUE TOMORROW","Next: "&amp;$Z588&amp;IF($Y588&lt;=TODAY()," is due TODAY ("," is due next business day (")&amp;TEXT($Y588,"dd-mmm")&amp;").","Next: "&amp;$Z588&amp;" due "&amp;TEXT($Y588,"dd-mmm")&amp;" ("&amp;(NETWORKDAYS(TODAY(),$Y588,Holidays)-1)&amp;" business day(s) left).")))))</f>
        <v/>
      </c>
      <c r="V588" s="17">
        <f>IF($W588="","",CHOOSE($W588,"Collection Email","1st Follow-up","2nd Follow-up","Local Office","CBE","Roxanne")&amp;IF($W588=6," - Final"," - Day "&amp;MAX(0,NETWORKDAYS($X588,TODAY(),Holidays)-1)&amp;" of "&amp;CHOOSE($W588,3,3,2,2,3))&amp;" | Total Day "&amp;MAX(0,NETWORKDAYS($L588,TODAY(),Holidays)-1))</f>
        <v/>
      </c>
      <c r="W588" s="17">
        <f>IF($L588="","",COUNT($L588:$Q588))</f>
        <v/>
      </c>
      <c r="X588" s="18">
        <f>IF($W588="","",INT(INDEX($L588:$Q588,$W588)))</f>
        <v/>
      </c>
      <c r="Y588" s="18">
        <f>IF(OR($W588="",$W588=6),"",WORKDAY($X588,CHOOSE($W588,3,3,2,2,3),Holidays))</f>
        <v/>
      </c>
      <c r="Z588" s="17">
        <f>IF(OR($W588="",$W588=6),"",CHOOSE($W588,"1st Email Follow-up","2nd Email Follow-up","Escalate Local Office","Escalate to CBE","Escalate to Roxanne"))</f>
        <v/>
      </c>
    </row>
    <row r="589" spans="18:26">
      <c r="R589" s="15"/>
      <c r="S589" s="16"/>
      <c r="T589" s="17">
        <f>IF(AND(COUNTA($A589:$K589)=0,$L589=""),"",IF($S589="Paid","PAID",IF($S589="Closed","CLOSED",IF($W589="","",IF($W589=6,"ESCALATED TO ROXANNE",IF(TODAY()&gt;$Y589,"OVERDUE",IF($Y589&lt;=WORKDAY(TODAY(),1,Holidays),"DUE TOMORROW",IF($W589=4,"ESCALATED TO LOCAL OFFICE",IF($W589=5,"ESCALATED TO CBE",IF($X589=TODAY(),"EMAIL SENT","MONITORING"))))))))))</f>
        <v/>
      </c>
      <c r="U589" s="17">
        <f>IF($T589="",IF(AND(COUNTA($A589:$K589)&gt;0,$L589=""),"Awaiting Collection Email time stamp.",""),IF(OR($T589="PAID",$T589="CLOSED"),IF($T589="PAID","Account paid. Action completed.","Account closed. No further action required."),CHOOSE($W589,"Collection Email","1st Email Follow-up","2nd Email Follow-up","Escalation to Local Office","Escalation to CBE","Escalation to Roxanne")&amp;" sent "&amp;TEXT($X589,"dd-mmm")&amp;". "&amp;IF($W589=6,"Final escalation completed.",IF($T589="OVERDUE","Next: "&amp;$Z589&amp;" was due "&amp;TEXT($Y589,"dd-mmm")&amp;" - "&amp;(NETWORKDAYS($Y589,TODAY(),Holidays)-1)&amp;" business day(s) late. Send now.",IF($T589="DUE TOMORROW","Next: "&amp;$Z589&amp;IF($Y589&lt;=TODAY()," is due TODAY ("," is due next business day (")&amp;TEXT($Y589,"dd-mmm")&amp;").","Next: "&amp;$Z589&amp;" due "&amp;TEXT($Y589,"dd-mmm")&amp;" ("&amp;(NETWORKDAYS(TODAY(),$Y589,Holidays)-1)&amp;" business day(s) left).")))))</f>
        <v/>
      </c>
      <c r="V589" s="17">
        <f>IF($W589="","",CHOOSE($W589,"Collection Email","1st Follow-up","2nd Follow-up","Local Office","CBE","Roxanne")&amp;IF($W589=6," - Final"," - Day "&amp;MAX(0,NETWORKDAYS($X589,TODAY(),Holidays)-1)&amp;" of "&amp;CHOOSE($W589,3,3,2,2,3))&amp;" | Total Day "&amp;MAX(0,NETWORKDAYS($L589,TODAY(),Holidays)-1))</f>
        <v/>
      </c>
      <c r="W589" s="17">
        <f>IF($L589="","",COUNT($L589:$Q589))</f>
        <v/>
      </c>
      <c r="X589" s="18">
        <f>IF($W589="","",INT(INDEX($L589:$Q589,$W589)))</f>
        <v/>
      </c>
      <c r="Y589" s="18">
        <f>IF(OR($W589="",$W589=6),"",WORKDAY($X589,CHOOSE($W589,3,3,2,2,3),Holidays))</f>
        <v/>
      </c>
      <c r="Z589" s="17">
        <f>IF(OR($W589="",$W589=6),"",CHOOSE($W589,"1st Email Follow-up","2nd Email Follow-up","Escalate Local Office","Escalate to CBE","Escalate to Roxanne"))</f>
        <v/>
      </c>
    </row>
    <row r="590" spans="18:26">
      <c r="R590" s="15"/>
      <c r="S590" s="16"/>
      <c r="T590" s="17">
        <f>IF(AND(COUNTA($A590:$K590)=0,$L590=""),"",IF($S590="Paid","PAID",IF($S590="Closed","CLOSED",IF($W590="","",IF($W590=6,"ESCALATED TO ROXANNE",IF(TODAY()&gt;$Y590,"OVERDUE",IF($Y590&lt;=WORKDAY(TODAY(),1,Holidays),"DUE TOMORROW",IF($W590=4,"ESCALATED TO LOCAL OFFICE",IF($W590=5,"ESCALATED TO CBE",IF($X590=TODAY(),"EMAIL SENT","MONITORING"))))))))))</f>
        <v/>
      </c>
      <c r="U590" s="17">
        <f>IF($T590="",IF(AND(COUNTA($A590:$K590)&gt;0,$L590=""),"Awaiting Collection Email time stamp.",""),IF(OR($T590="PAID",$T590="CLOSED"),IF($T590="PAID","Account paid. Action completed.","Account closed. No further action required."),CHOOSE($W590,"Collection Email","1st Email Follow-up","2nd Email Follow-up","Escalation to Local Office","Escalation to CBE","Escalation to Roxanne")&amp;" sent "&amp;TEXT($X590,"dd-mmm")&amp;". "&amp;IF($W590=6,"Final escalation completed.",IF($T590="OVERDUE","Next: "&amp;$Z590&amp;" was due "&amp;TEXT($Y590,"dd-mmm")&amp;" - "&amp;(NETWORKDAYS($Y590,TODAY(),Holidays)-1)&amp;" business day(s) late. Send now.",IF($T590="DUE TOMORROW","Next: "&amp;$Z590&amp;IF($Y590&lt;=TODAY()," is due TODAY ("," is due next business day (")&amp;TEXT($Y590,"dd-mmm")&amp;").","Next: "&amp;$Z590&amp;" due "&amp;TEXT($Y590,"dd-mmm")&amp;" ("&amp;(NETWORKDAYS(TODAY(),$Y590,Holidays)-1)&amp;" business day(s) left).")))))</f>
        <v/>
      </c>
      <c r="V590" s="17">
        <f>IF($W590="","",CHOOSE($W590,"Collection Email","1st Follow-up","2nd Follow-up","Local Office","CBE","Roxanne")&amp;IF($W590=6," - Final"," - Day "&amp;MAX(0,NETWORKDAYS($X590,TODAY(),Holidays)-1)&amp;" of "&amp;CHOOSE($W590,3,3,2,2,3))&amp;" | Total Day "&amp;MAX(0,NETWORKDAYS($L590,TODAY(),Holidays)-1))</f>
        <v/>
      </c>
      <c r="W590" s="17">
        <f>IF($L590="","",COUNT($L590:$Q590))</f>
        <v/>
      </c>
      <c r="X590" s="18">
        <f>IF($W590="","",INT(INDEX($L590:$Q590,$W590)))</f>
        <v/>
      </c>
      <c r="Y590" s="18">
        <f>IF(OR($W590="",$W590=6),"",WORKDAY($X590,CHOOSE($W590,3,3,2,2,3),Holidays))</f>
        <v/>
      </c>
      <c r="Z590" s="17">
        <f>IF(OR($W590="",$W590=6),"",CHOOSE($W590,"1st Email Follow-up","2nd Email Follow-up","Escalate Local Office","Escalate to CBE","Escalate to Roxanne"))</f>
        <v/>
      </c>
    </row>
    <row r="591" spans="18:26">
      <c r="R591" s="15"/>
      <c r="S591" s="16"/>
      <c r="T591" s="17">
        <f>IF(AND(COUNTA($A591:$K591)=0,$L591=""),"",IF($S591="Paid","PAID",IF($S591="Closed","CLOSED",IF($W591="","",IF($W591=6,"ESCALATED TO ROXANNE",IF(TODAY()&gt;$Y591,"OVERDUE",IF($Y591&lt;=WORKDAY(TODAY(),1,Holidays),"DUE TOMORROW",IF($W591=4,"ESCALATED TO LOCAL OFFICE",IF($W591=5,"ESCALATED TO CBE",IF($X591=TODAY(),"EMAIL SENT","MONITORING"))))))))))</f>
        <v/>
      </c>
      <c r="U591" s="17">
        <f>IF($T591="",IF(AND(COUNTA($A591:$K591)&gt;0,$L591=""),"Awaiting Collection Email time stamp.",""),IF(OR($T591="PAID",$T591="CLOSED"),IF($T591="PAID","Account paid. Action completed.","Account closed. No further action required."),CHOOSE($W591,"Collection Email","1st Email Follow-up","2nd Email Follow-up","Escalation to Local Office","Escalation to CBE","Escalation to Roxanne")&amp;" sent "&amp;TEXT($X591,"dd-mmm")&amp;". "&amp;IF($W591=6,"Final escalation completed.",IF($T591="OVERDUE","Next: "&amp;$Z591&amp;" was due "&amp;TEXT($Y591,"dd-mmm")&amp;" - "&amp;(NETWORKDAYS($Y591,TODAY(),Holidays)-1)&amp;" business day(s) late. Send now.",IF($T591="DUE TOMORROW","Next: "&amp;$Z591&amp;IF($Y591&lt;=TODAY()," is due TODAY ("," is due next business day (")&amp;TEXT($Y591,"dd-mmm")&amp;").","Next: "&amp;$Z591&amp;" due "&amp;TEXT($Y591,"dd-mmm")&amp;" ("&amp;(NETWORKDAYS(TODAY(),$Y591,Holidays)-1)&amp;" business day(s) left).")))))</f>
        <v/>
      </c>
      <c r="V591" s="17">
        <f>IF($W591="","",CHOOSE($W591,"Collection Email","1st Follow-up","2nd Follow-up","Local Office","CBE","Roxanne")&amp;IF($W591=6," - Final"," - Day "&amp;MAX(0,NETWORKDAYS($X591,TODAY(),Holidays)-1)&amp;" of "&amp;CHOOSE($W591,3,3,2,2,3))&amp;" | Total Day "&amp;MAX(0,NETWORKDAYS($L591,TODAY(),Holidays)-1))</f>
        <v/>
      </c>
      <c r="W591" s="17">
        <f>IF($L591="","",COUNT($L591:$Q591))</f>
        <v/>
      </c>
      <c r="X591" s="18">
        <f>IF($W591="","",INT(INDEX($L591:$Q591,$W591)))</f>
        <v/>
      </c>
      <c r="Y591" s="18">
        <f>IF(OR($W591="",$W591=6),"",WORKDAY($X591,CHOOSE($W591,3,3,2,2,3),Holidays))</f>
        <v/>
      </c>
      <c r="Z591" s="17">
        <f>IF(OR($W591="",$W591=6),"",CHOOSE($W591,"1st Email Follow-up","2nd Email Follow-up","Escalate Local Office","Escalate to CBE","Escalate to Roxanne"))</f>
        <v/>
      </c>
    </row>
    <row r="592" spans="18:26">
      <c r="R592" s="15"/>
      <c r="S592" s="16"/>
      <c r="T592" s="17">
        <f>IF(AND(COUNTA($A592:$K592)=0,$L592=""),"",IF($S592="Paid","PAID",IF($S592="Closed","CLOSED",IF($W592="","",IF($W592=6,"ESCALATED TO ROXANNE",IF(TODAY()&gt;$Y592,"OVERDUE",IF($Y592&lt;=WORKDAY(TODAY(),1,Holidays),"DUE TOMORROW",IF($W592=4,"ESCALATED TO LOCAL OFFICE",IF($W592=5,"ESCALATED TO CBE",IF($X592=TODAY(),"EMAIL SENT","MONITORING"))))))))))</f>
        <v/>
      </c>
      <c r="U592" s="17">
        <f>IF($T592="",IF(AND(COUNTA($A592:$K592)&gt;0,$L592=""),"Awaiting Collection Email time stamp.",""),IF(OR($T592="PAID",$T592="CLOSED"),IF($T592="PAID","Account paid. Action completed.","Account closed. No further action required."),CHOOSE($W592,"Collection Email","1st Email Follow-up","2nd Email Follow-up","Escalation to Local Office","Escalation to CBE","Escalation to Roxanne")&amp;" sent "&amp;TEXT($X592,"dd-mmm")&amp;". "&amp;IF($W592=6,"Final escalation completed.",IF($T592="OVERDUE","Next: "&amp;$Z592&amp;" was due "&amp;TEXT($Y592,"dd-mmm")&amp;" - "&amp;(NETWORKDAYS($Y592,TODAY(),Holidays)-1)&amp;" business day(s) late. Send now.",IF($T592="DUE TOMORROW","Next: "&amp;$Z592&amp;IF($Y592&lt;=TODAY()," is due TODAY ("," is due next business day (")&amp;TEXT($Y592,"dd-mmm")&amp;").","Next: "&amp;$Z592&amp;" due "&amp;TEXT($Y592,"dd-mmm")&amp;" ("&amp;(NETWORKDAYS(TODAY(),$Y592,Holidays)-1)&amp;" business day(s) left).")))))</f>
        <v/>
      </c>
      <c r="V592" s="17">
        <f>IF($W592="","",CHOOSE($W592,"Collection Email","1st Follow-up","2nd Follow-up","Local Office","CBE","Roxanne")&amp;IF($W592=6," - Final"," - Day "&amp;MAX(0,NETWORKDAYS($X592,TODAY(),Holidays)-1)&amp;" of "&amp;CHOOSE($W592,3,3,2,2,3))&amp;" | Total Day "&amp;MAX(0,NETWORKDAYS($L592,TODAY(),Holidays)-1))</f>
        <v/>
      </c>
      <c r="W592" s="17">
        <f>IF($L592="","",COUNT($L592:$Q592))</f>
        <v/>
      </c>
      <c r="X592" s="18">
        <f>IF($W592="","",INT(INDEX($L592:$Q592,$W592)))</f>
        <v/>
      </c>
      <c r="Y592" s="18">
        <f>IF(OR($W592="",$W592=6),"",WORKDAY($X592,CHOOSE($W592,3,3,2,2,3),Holidays))</f>
        <v/>
      </c>
      <c r="Z592" s="17">
        <f>IF(OR($W592="",$W592=6),"",CHOOSE($W592,"1st Email Follow-up","2nd Email Follow-up","Escalate Local Office","Escalate to CBE","Escalate to Roxanne"))</f>
        <v/>
      </c>
    </row>
    <row r="593" spans="18:26">
      <c r="R593" s="15"/>
      <c r="S593" s="16"/>
      <c r="T593" s="17">
        <f>IF(AND(COUNTA($A593:$K593)=0,$L593=""),"",IF($S593="Paid","PAID",IF($S593="Closed","CLOSED",IF($W593="","",IF($W593=6,"ESCALATED TO ROXANNE",IF(TODAY()&gt;$Y593,"OVERDUE",IF($Y593&lt;=WORKDAY(TODAY(),1,Holidays),"DUE TOMORROW",IF($W593=4,"ESCALATED TO LOCAL OFFICE",IF($W593=5,"ESCALATED TO CBE",IF($X593=TODAY(),"EMAIL SENT","MONITORING"))))))))))</f>
        <v/>
      </c>
      <c r="U593" s="17">
        <f>IF($T593="",IF(AND(COUNTA($A593:$K593)&gt;0,$L593=""),"Awaiting Collection Email time stamp.",""),IF(OR($T593="PAID",$T593="CLOSED"),IF($T593="PAID","Account paid. Action completed.","Account closed. No further action required."),CHOOSE($W593,"Collection Email","1st Email Follow-up","2nd Email Follow-up","Escalation to Local Office","Escalation to CBE","Escalation to Roxanne")&amp;" sent "&amp;TEXT($X593,"dd-mmm")&amp;". "&amp;IF($W593=6,"Final escalation completed.",IF($T593="OVERDUE","Next: "&amp;$Z593&amp;" was due "&amp;TEXT($Y593,"dd-mmm")&amp;" - "&amp;(NETWORKDAYS($Y593,TODAY(),Holidays)-1)&amp;" business day(s) late. Send now.",IF($T593="DUE TOMORROW","Next: "&amp;$Z593&amp;IF($Y593&lt;=TODAY()," is due TODAY ("," is due next business day (")&amp;TEXT($Y593,"dd-mmm")&amp;").","Next: "&amp;$Z593&amp;" due "&amp;TEXT($Y593,"dd-mmm")&amp;" ("&amp;(NETWORKDAYS(TODAY(),$Y593,Holidays)-1)&amp;" business day(s) left).")))))</f>
        <v/>
      </c>
      <c r="V593" s="17">
        <f>IF($W593="","",CHOOSE($W593,"Collection Email","1st Follow-up","2nd Follow-up","Local Office","CBE","Roxanne")&amp;IF($W593=6," - Final"," - Day "&amp;MAX(0,NETWORKDAYS($X593,TODAY(),Holidays)-1)&amp;" of "&amp;CHOOSE($W593,3,3,2,2,3))&amp;" | Total Day "&amp;MAX(0,NETWORKDAYS($L593,TODAY(),Holidays)-1))</f>
        <v/>
      </c>
      <c r="W593" s="17">
        <f>IF($L593="","",COUNT($L593:$Q593))</f>
        <v/>
      </c>
      <c r="X593" s="18">
        <f>IF($W593="","",INT(INDEX($L593:$Q593,$W593)))</f>
        <v/>
      </c>
      <c r="Y593" s="18">
        <f>IF(OR($W593="",$W593=6),"",WORKDAY($X593,CHOOSE($W593,3,3,2,2,3),Holidays))</f>
        <v/>
      </c>
      <c r="Z593" s="17">
        <f>IF(OR($W593="",$W593=6),"",CHOOSE($W593,"1st Email Follow-up","2nd Email Follow-up","Escalate Local Office","Escalate to CBE","Escalate to Roxanne"))</f>
        <v/>
      </c>
    </row>
    <row r="594" spans="18:26">
      <c r="R594" s="15"/>
      <c r="S594" s="16"/>
      <c r="T594" s="17">
        <f>IF(AND(COUNTA($A594:$K594)=0,$L594=""),"",IF($S594="Paid","PAID",IF($S594="Closed","CLOSED",IF($W594="","",IF($W594=6,"ESCALATED TO ROXANNE",IF(TODAY()&gt;$Y594,"OVERDUE",IF($Y594&lt;=WORKDAY(TODAY(),1,Holidays),"DUE TOMORROW",IF($W594=4,"ESCALATED TO LOCAL OFFICE",IF($W594=5,"ESCALATED TO CBE",IF($X594=TODAY(),"EMAIL SENT","MONITORING"))))))))))</f>
        <v/>
      </c>
      <c r="U594" s="17">
        <f>IF($T594="",IF(AND(COUNTA($A594:$K594)&gt;0,$L594=""),"Awaiting Collection Email time stamp.",""),IF(OR($T594="PAID",$T594="CLOSED"),IF($T594="PAID","Account paid. Action completed.","Account closed. No further action required."),CHOOSE($W594,"Collection Email","1st Email Follow-up","2nd Email Follow-up","Escalation to Local Office","Escalation to CBE","Escalation to Roxanne")&amp;" sent "&amp;TEXT($X594,"dd-mmm")&amp;". "&amp;IF($W594=6,"Final escalation completed.",IF($T594="OVERDUE","Next: "&amp;$Z594&amp;" was due "&amp;TEXT($Y594,"dd-mmm")&amp;" - "&amp;(NETWORKDAYS($Y594,TODAY(),Holidays)-1)&amp;" business day(s) late. Send now.",IF($T594="DUE TOMORROW","Next: "&amp;$Z594&amp;IF($Y594&lt;=TODAY()," is due TODAY ("," is due next business day (")&amp;TEXT($Y594,"dd-mmm")&amp;").","Next: "&amp;$Z594&amp;" due "&amp;TEXT($Y594,"dd-mmm")&amp;" ("&amp;(NETWORKDAYS(TODAY(),$Y594,Holidays)-1)&amp;" business day(s) left).")))))</f>
        <v/>
      </c>
      <c r="V594" s="17">
        <f>IF($W594="","",CHOOSE($W594,"Collection Email","1st Follow-up","2nd Follow-up","Local Office","CBE","Roxanne")&amp;IF($W594=6," - Final"," - Day "&amp;MAX(0,NETWORKDAYS($X594,TODAY(),Holidays)-1)&amp;" of "&amp;CHOOSE($W594,3,3,2,2,3))&amp;" | Total Day "&amp;MAX(0,NETWORKDAYS($L594,TODAY(),Holidays)-1))</f>
        <v/>
      </c>
      <c r="W594" s="17">
        <f>IF($L594="","",COUNT($L594:$Q594))</f>
        <v/>
      </c>
      <c r="X594" s="18">
        <f>IF($W594="","",INT(INDEX($L594:$Q594,$W594)))</f>
        <v/>
      </c>
      <c r="Y594" s="18">
        <f>IF(OR($W594="",$W594=6),"",WORKDAY($X594,CHOOSE($W594,3,3,2,2,3),Holidays))</f>
        <v/>
      </c>
      <c r="Z594" s="17">
        <f>IF(OR($W594="",$W594=6),"",CHOOSE($W594,"1st Email Follow-up","2nd Email Follow-up","Escalate Local Office","Escalate to CBE","Escalate to Roxanne"))</f>
        <v/>
      </c>
    </row>
    <row r="595" spans="18:26">
      <c r="R595" s="15"/>
      <c r="S595" s="16"/>
      <c r="T595" s="17">
        <f>IF(AND(COUNTA($A595:$K595)=0,$L595=""),"",IF($S595="Paid","PAID",IF($S595="Closed","CLOSED",IF($W595="","",IF($W595=6,"ESCALATED TO ROXANNE",IF(TODAY()&gt;$Y595,"OVERDUE",IF($Y595&lt;=WORKDAY(TODAY(),1,Holidays),"DUE TOMORROW",IF($W595=4,"ESCALATED TO LOCAL OFFICE",IF($W595=5,"ESCALATED TO CBE",IF($X595=TODAY(),"EMAIL SENT","MONITORING"))))))))))</f>
        <v/>
      </c>
      <c r="U595" s="17">
        <f>IF($T595="",IF(AND(COUNTA($A595:$K595)&gt;0,$L595=""),"Awaiting Collection Email time stamp.",""),IF(OR($T595="PAID",$T595="CLOSED"),IF($T595="PAID","Account paid. Action completed.","Account closed. No further action required."),CHOOSE($W595,"Collection Email","1st Email Follow-up","2nd Email Follow-up","Escalation to Local Office","Escalation to CBE","Escalation to Roxanne")&amp;" sent "&amp;TEXT($X595,"dd-mmm")&amp;". "&amp;IF($W595=6,"Final escalation completed.",IF($T595="OVERDUE","Next: "&amp;$Z595&amp;" was due "&amp;TEXT($Y595,"dd-mmm")&amp;" - "&amp;(NETWORKDAYS($Y595,TODAY(),Holidays)-1)&amp;" business day(s) late. Send now.",IF($T595="DUE TOMORROW","Next: "&amp;$Z595&amp;IF($Y595&lt;=TODAY()," is due TODAY ("," is due next business day (")&amp;TEXT($Y595,"dd-mmm")&amp;").","Next: "&amp;$Z595&amp;" due "&amp;TEXT($Y595,"dd-mmm")&amp;" ("&amp;(NETWORKDAYS(TODAY(),$Y595,Holidays)-1)&amp;" business day(s) left).")))))</f>
        <v/>
      </c>
      <c r="V595" s="17">
        <f>IF($W595="","",CHOOSE($W595,"Collection Email","1st Follow-up","2nd Follow-up","Local Office","CBE","Roxanne")&amp;IF($W595=6," - Final"," - Day "&amp;MAX(0,NETWORKDAYS($X595,TODAY(),Holidays)-1)&amp;" of "&amp;CHOOSE($W595,3,3,2,2,3))&amp;" | Total Day "&amp;MAX(0,NETWORKDAYS($L595,TODAY(),Holidays)-1))</f>
        <v/>
      </c>
      <c r="W595" s="17">
        <f>IF($L595="","",COUNT($L595:$Q595))</f>
        <v/>
      </c>
      <c r="X595" s="18">
        <f>IF($W595="","",INT(INDEX($L595:$Q595,$W595)))</f>
        <v/>
      </c>
      <c r="Y595" s="18">
        <f>IF(OR($W595="",$W595=6),"",WORKDAY($X595,CHOOSE($W595,3,3,2,2,3),Holidays))</f>
        <v/>
      </c>
      <c r="Z595" s="17">
        <f>IF(OR($W595="",$W595=6),"",CHOOSE($W595,"1st Email Follow-up","2nd Email Follow-up","Escalate Local Office","Escalate to CBE","Escalate to Roxanne"))</f>
        <v/>
      </c>
    </row>
    <row r="596" spans="18:26">
      <c r="R596" s="15"/>
      <c r="S596" s="16"/>
      <c r="T596" s="17">
        <f>IF(AND(COUNTA($A596:$K596)=0,$L596=""),"",IF($S596="Paid","PAID",IF($S596="Closed","CLOSED",IF($W596="","",IF($W596=6,"ESCALATED TO ROXANNE",IF(TODAY()&gt;$Y596,"OVERDUE",IF($Y596&lt;=WORKDAY(TODAY(),1,Holidays),"DUE TOMORROW",IF($W596=4,"ESCALATED TO LOCAL OFFICE",IF($W596=5,"ESCALATED TO CBE",IF($X596=TODAY(),"EMAIL SENT","MONITORING"))))))))))</f>
        <v/>
      </c>
      <c r="U596" s="17">
        <f>IF($T596="",IF(AND(COUNTA($A596:$K596)&gt;0,$L596=""),"Awaiting Collection Email time stamp.",""),IF(OR($T596="PAID",$T596="CLOSED"),IF($T596="PAID","Account paid. Action completed.","Account closed. No further action required."),CHOOSE($W596,"Collection Email","1st Email Follow-up","2nd Email Follow-up","Escalation to Local Office","Escalation to CBE","Escalation to Roxanne")&amp;" sent "&amp;TEXT($X596,"dd-mmm")&amp;". "&amp;IF($W596=6,"Final escalation completed.",IF($T596="OVERDUE","Next: "&amp;$Z596&amp;" was due "&amp;TEXT($Y596,"dd-mmm")&amp;" - "&amp;(NETWORKDAYS($Y596,TODAY(),Holidays)-1)&amp;" business day(s) late. Send now.",IF($T596="DUE TOMORROW","Next: "&amp;$Z596&amp;IF($Y596&lt;=TODAY()," is due TODAY ("," is due next business day (")&amp;TEXT($Y596,"dd-mmm")&amp;").","Next: "&amp;$Z596&amp;" due "&amp;TEXT($Y596,"dd-mmm")&amp;" ("&amp;(NETWORKDAYS(TODAY(),$Y596,Holidays)-1)&amp;" business day(s) left).")))))</f>
        <v/>
      </c>
      <c r="V596" s="17">
        <f>IF($W596="","",CHOOSE($W596,"Collection Email","1st Follow-up","2nd Follow-up","Local Office","CBE","Roxanne")&amp;IF($W596=6," - Final"," - Day "&amp;MAX(0,NETWORKDAYS($X596,TODAY(),Holidays)-1)&amp;" of "&amp;CHOOSE($W596,3,3,2,2,3))&amp;" | Total Day "&amp;MAX(0,NETWORKDAYS($L596,TODAY(),Holidays)-1))</f>
        <v/>
      </c>
      <c r="W596" s="17">
        <f>IF($L596="","",COUNT($L596:$Q596))</f>
        <v/>
      </c>
      <c r="X596" s="18">
        <f>IF($W596="","",INT(INDEX($L596:$Q596,$W596)))</f>
        <v/>
      </c>
      <c r="Y596" s="18">
        <f>IF(OR($W596="",$W596=6),"",WORKDAY($X596,CHOOSE($W596,3,3,2,2,3),Holidays))</f>
        <v/>
      </c>
      <c r="Z596" s="17">
        <f>IF(OR($W596="",$W596=6),"",CHOOSE($W596,"1st Email Follow-up","2nd Email Follow-up","Escalate Local Office","Escalate to CBE","Escalate to Roxanne"))</f>
        <v/>
      </c>
    </row>
    <row r="597" spans="18:26">
      <c r="R597" s="15"/>
      <c r="S597" s="16"/>
      <c r="T597" s="17">
        <f>IF(AND(COUNTA($A597:$K597)=0,$L597=""),"",IF($S597="Paid","PAID",IF($S597="Closed","CLOSED",IF($W597="","",IF($W597=6,"ESCALATED TO ROXANNE",IF(TODAY()&gt;$Y597,"OVERDUE",IF($Y597&lt;=WORKDAY(TODAY(),1,Holidays),"DUE TOMORROW",IF($W597=4,"ESCALATED TO LOCAL OFFICE",IF($W597=5,"ESCALATED TO CBE",IF($X597=TODAY(),"EMAIL SENT","MONITORING"))))))))))</f>
        <v/>
      </c>
      <c r="U597" s="17">
        <f>IF($T597="",IF(AND(COUNTA($A597:$K597)&gt;0,$L597=""),"Awaiting Collection Email time stamp.",""),IF(OR($T597="PAID",$T597="CLOSED"),IF($T597="PAID","Account paid. Action completed.","Account closed. No further action required."),CHOOSE($W597,"Collection Email","1st Email Follow-up","2nd Email Follow-up","Escalation to Local Office","Escalation to CBE","Escalation to Roxanne")&amp;" sent "&amp;TEXT($X597,"dd-mmm")&amp;". "&amp;IF($W597=6,"Final escalation completed.",IF($T597="OVERDUE","Next: "&amp;$Z597&amp;" was due "&amp;TEXT($Y597,"dd-mmm")&amp;" - "&amp;(NETWORKDAYS($Y597,TODAY(),Holidays)-1)&amp;" business day(s) late. Send now.",IF($T597="DUE TOMORROW","Next: "&amp;$Z597&amp;IF($Y597&lt;=TODAY()," is due TODAY ("," is due next business day (")&amp;TEXT($Y597,"dd-mmm")&amp;").","Next: "&amp;$Z597&amp;" due "&amp;TEXT($Y597,"dd-mmm")&amp;" ("&amp;(NETWORKDAYS(TODAY(),$Y597,Holidays)-1)&amp;" business day(s) left).")))))</f>
        <v/>
      </c>
      <c r="V597" s="17">
        <f>IF($W597="","",CHOOSE($W597,"Collection Email","1st Follow-up","2nd Follow-up","Local Office","CBE","Roxanne")&amp;IF($W597=6," - Final"," - Day "&amp;MAX(0,NETWORKDAYS($X597,TODAY(),Holidays)-1)&amp;" of "&amp;CHOOSE($W597,3,3,2,2,3))&amp;" | Total Day "&amp;MAX(0,NETWORKDAYS($L597,TODAY(),Holidays)-1))</f>
        <v/>
      </c>
      <c r="W597" s="17">
        <f>IF($L597="","",COUNT($L597:$Q597))</f>
        <v/>
      </c>
      <c r="X597" s="18">
        <f>IF($W597="","",INT(INDEX($L597:$Q597,$W597)))</f>
        <v/>
      </c>
      <c r="Y597" s="18">
        <f>IF(OR($W597="",$W597=6),"",WORKDAY($X597,CHOOSE($W597,3,3,2,2,3),Holidays))</f>
        <v/>
      </c>
      <c r="Z597" s="17">
        <f>IF(OR($W597="",$W597=6),"",CHOOSE($W597,"1st Email Follow-up","2nd Email Follow-up","Escalate Local Office","Escalate to CBE","Escalate to Roxanne"))</f>
        <v/>
      </c>
    </row>
    <row r="598" spans="18:26">
      <c r="R598" s="15"/>
      <c r="S598" s="16"/>
      <c r="T598" s="17">
        <f>IF(AND(COUNTA($A598:$K598)=0,$L598=""),"",IF($S598="Paid","PAID",IF($S598="Closed","CLOSED",IF($W598="","",IF($W598=6,"ESCALATED TO ROXANNE",IF(TODAY()&gt;$Y598,"OVERDUE",IF($Y598&lt;=WORKDAY(TODAY(),1,Holidays),"DUE TOMORROW",IF($W598=4,"ESCALATED TO LOCAL OFFICE",IF($W598=5,"ESCALATED TO CBE",IF($X598=TODAY(),"EMAIL SENT","MONITORING"))))))))))</f>
        <v/>
      </c>
      <c r="U598" s="17">
        <f>IF($T598="",IF(AND(COUNTA($A598:$K598)&gt;0,$L598=""),"Awaiting Collection Email time stamp.",""),IF(OR($T598="PAID",$T598="CLOSED"),IF($T598="PAID","Account paid. Action completed.","Account closed. No further action required."),CHOOSE($W598,"Collection Email","1st Email Follow-up","2nd Email Follow-up","Escalation to Local Office","Escalation to CBE","Escalation to Roxanne")&amp;" sent "&amp;TEXT($X598,"dd-mmm")&amp;". "&amp;IF($W598=6,"Final escalation completed.",IF($T598="OVERDUE","Next: "&amp;$Z598&amp;" was due "&amp;TEXT($Y598,"dd-mmm")&amp;" - "&amp;(NETWORKDAYS($Y598,TODAY(),Holidays)-1)&amp;" business day(s) late. Send now.",IF($T598="DUE TOMORROW","Next: "&amp;$Z598&amp;IF($Y598&lt;=TODAY()," is due TODAY ("," is due next business day (")&amp;TEXT($Y598,"dd-mmm")&amp;").","Next: "&amp;$Z598&amp;" due "&amp;TEXT($Y598,"dd-mmm")&amp;" ("&amp;(NETWORKDAYS(TODAY(),$Y598,Holidays)-1)&amp;" business day(s) left).")))))</f>
        <v/>
      </c>
      <c r="V598" s="17">
        <f>IF($W598="","",CHOOSE($W598,"Collection Email","1st Follow-up","2nd Follow-up","Local Office","CBE","Roxanne")&amp;IF($W598=6," - Final"," - Day "&amp;MAX(0,NETWORKDAYS($X598,TODAY(),Holidays)-1)&amp;" of "&amp;CHOOSE($W598,3,3,2,2,3))&amp;" | Total Day "&amp;MAX(0,NETWORKDAYS($L598,TODAY(),Holidays)-1))</f>
        <v/>
      </c>
      <c r="W598" s="17">
        <f>IF($L598="","",COUNT($L598:$Q598))</f>
        <v/>
      </c>
      <c r="X598" s="18">
        <f>IF($W598="","",INT(INDEX($L598:$Q598,$W598)))</f>
        <v/>
      </c>
      <c r="Y598" s="18">
        <f>IF(OR($W598="",$W598=6),"",WORKDAY($X598,CHOOSE($W598,3,3,2,2,3),Holidays))</f>
        <v/>
      </c>
      <c r="Z598" s="17">
        <f>IF(OR($W598="",$W598=6),"",CHOOSE($W598,"1st Email Follow-up","2nd Email Follow-up","Escalate Local Office","Escalate to CBE","Escalate to Roxanne"))</f>
        <v/>
      </c>
    </row>
    <row r="599" spans="18:26">
      <c r="R599" s="15"/>
      <c r="S599" s="16"/>
      <c r="T599" s="17">
        <f>IF(AND(COUNTA($A599:$K599)=0,$L599=""),"",IF($S599="Paid","PAID",IF($S599="Closed","CLOSED",IF($W599="","",IF($W599=6,"ESCALATED TO ROXANNE",IF(TODAY()&gt;$Y599,"OVERDUE",IF($Y599&lt;=WORKDAY(TODAY(),1,Holidays),"DUE TOMORROW",IF($W599=4,"ESCALATED TO LOCAL OFFICE",IF($W599=5,"ESCALATED TO CBE",IF($X599=TODAY(),"EMAIL SENT","MONITORING"))))))))))</f>
        <v/>
      </c>
      <c r="U599" s="17">
        <f>IF($T599="",IF(AND(COUNTA($A599:$K599)&gt;0,$L599=""),"Awaiting Collection Email time stamp.",""),IF(OR($T599="PAID",$T599="CLOSED"),IF($T599="PAID","Account paid. Action completed.","Account closed. No further action required."),CHOOSE($W599,"Collection Email","1st Email Follow-up","2nd Email Follow-up","Escalation to Local Office","Escalation to CBE","Escalation to Roxanne")&amp;" sent "&amp;TEXT($X599,"dd-mmm")&amp;". "&amp;IF($W599=6,"Final escalation completed.",IF($T599="OVERDUE","Next: "&amp;$Z599&amp;" was due "&amp;TEXT($Y599,"dd-mmm")&amp;" - "&amp;(NETWORKDAYS($Y599,TODAY(),Holidays)-1)&amp;" business day(s) late. Send now.",IF($T599="DUE TOMORROW","Next: "&amp;$Z599&amp;IF($Y599&lt;=TODAY()," is due TODAY ("," is due next business day (")&amp;TEXT($Y599,"dd-mmm")&amp;").","Next: "&amp;$Z599&amp;" due "&amp;TEXT($Y599,"dd-mmm")&amp;" ("&amp;(NETWORKDAYS(TODAY(),$Y599,Holidays)-1)&amp;" business day(s) left).")))))</f>
        <v/>
      </c>
      <c r="V599" s="17">
        <f>IF($W599="","",CHOOSE($W599,"Collection Email","1st Follow-up","2nd Follow-up","Local Office","CBE","Roxanne")&amp;IF($W599=6," - Final"," - Day "&amp;MAX(0,NETWORKDAYS($X599,TODAY(),Holidays)-1)&amp;" of "&amp;CHOOSE($W599,3,3,2,2,3))&amp;" | Total Day "&amp;MAX(0,NETWORKDAYS($L599,TODAY(),Holidays)-1))</f>
        <v/>
      </c>
      <c r="W599" s="17">
        <f>IF($L599="","",COUNT($L599:$Q599))</f>
        <v/>
      </c>
      <c r="X599" s="18">
        <f>IF($W599="","",INT(INDEX($L599:$Q599,$W599)))</f>
        <v/>
      </c>
      <c r="Y599" s="18">
        <f>IF(OR($W599="",$W599=6),"",WORKDAY($X599,CHOOSE($W599,3,3,2,2,3),Holidays))</f>
        <v/>
      </c>
      <c r="Z599" s="17">
        <f>IF(OR($W599="",$W599=6),"",CHOOSE($W599,"1st Email Follow-up","2nd Email Follow-up","Escalate Local Office","Escalate to CBE","Escalate to Roxanne"))</f>
        <v/>
      </c>
    </row>
    <row r="600" spans="18:26">
      <c r="R600" s="15"/>
      <c r="S600" s="16"/>
      <c r="T600" s="17">
        <f>IF(AND(COUNTA($A600:$K600)=0,$L600=""),"",IF($S600="Paid","PAID",IF($S600="Closed","CLOSED",IF($W600="","",IF($W600=6,"ESCALATED TO ROXANNE",IF(TODAY()&gt;$Y600,"OVERDUE",IF($Y600&lt;=WORKDAY(TODAY(),1,Holidays),"DUE TOMORROW",IF($W600=4,"ESCALATED TO LOCAL OFFICE",IF($W600=5,"ESCALATED TO CBE",IF($X600=TODAY(),"EMAIL SENT","MONITORING"))))))))))</f>
        <v/>
      </c>
      <c r="U600" s="17">
        <f>IF($T600="",IF(AND(COUNTA($A600:$K600)&gt;0,$L600=""),"Awaiting Collection Email time stamp.",""),IF(OR($T600="PAID",$T600="CLOSED"),IF($T600="PAID","Account paid. Action completed.","Account closed. No further action required."),CHOOSE($W600,"Collection Email","1st Email Follow-up","2nd Email Follow-up","Escalation to Local Office","Escalation to CBE","Escalation to Roxanne")&amp;" sent "&amp;TEXT($X600,"dd-mmm")&amp;". "&amp;IF($W600=6,"Final escalation completed.",IF($T600="OVERDUE","Next: "&amp;$Z600&amp;" was due "&amp;TEXT($Y600,"dd-mmm")&amp;" - "&amp;(NETWORKDAYS($Y600,TODAY(),Holidays)-1)&amp;" business day(s) late. Send now.",IF($T600="DUE TOMORROW","Next: "&amp;$Z600&amp;IF($Y600&lt;=TODAY()," is due TODAY ("," is due next business day (")&amp;TEXT($Y600,"dd-mmm")&amp;").","Next: "&amp;$Z600&amp;" due "&amp;TEXT($Y600,"dd-mmm")&amp;" ("&amp;(NETWORKDAYS(TODAY(),$Y600,Holidays)-1)&amp;" business day(s) left).")))))</f>
        <v/>
      </c>
      <c r="V600" s="17">
        <f>IF($W600="","",CHOOSE($W600,"Collection Email","1st Follow-up","2nd Follow-up","Local Office","CBE","Roxanne")&amp;IF($W600=6," - Final"," - Day "&amp;MAX(0,NETWORKDAYS($X600,TODAY(),Holidays)-1)&amp;" of "&amp;CHOOSE($W600,3,3,2,2,3))&amp;" | Total Day "&amp;MAX(0,NETWORKDAYS($L600,TODAY(),Holidays)-1))</f>
        <v/>
      </c>
      <c r="W600" s="17">
        <f>IF($L600="","",COUNT($L600:$Q600))</f>
        <v/>
      </c>
      <c r="X600" s="18">
        <f>IF($W600="","",INT(INDEX($L600:$Q600,$W600)))</f>
        <v/>
      </c>
      <c r="Y600" s="18">
        <f>IF(OR($W600="",$W600=6),"",WORKDAY($X600,CHOOSE($W600,3,3,2,2,3),Holidays))</f>
        <v/>
      </c>
      <c r="Z600" s="17">
        <f>IF(OR($W600="",$W600=6),"",CHOOSE($W600,"1st Email Follow-up","2nd Email Follow-up","Escalate Local Office","Escalate to CBE","Escalate to Roxanne"))</f>
        <v/>
      </c>
    </row>
    <row r="601" spans="18:26">
      <c r="R601" s="15"/>
      <c r="S601" s="16"/>
      <c r="T601" s="17">
        <f>IF(AND(COUNTA($A601:$K601)=0,$L601=""),"",IF($S601="Paid","PAID",IF($S601="Closed","CLOSED",IF($W601="","",IF($W601=6,"ESCALATED TO ROXANNE",IF(TODAY()&gt;$Y601,"OVERDUE",IF($Y601&lt;=WORKDAY(TODAY(),1,Holidays),"DUE TOMORROW",IF($W601=4,"ESCALATED TO LOCAL OFFICE",IF($W601=5,"ESCALATED TO CBE",IF($X601=TODAY(),"EMAIL SENT","MONITORING"))))))))))</f>
        <v/>
      </c>
      <c r="U601" s="17">
        <f>IF($T601="",IF(AND(COUNTA($A601:$K601)&gt;0,$L601=""),"Awaiting Collection Email time stamp.",""),IF(OR($T601="PAID",$T601="CLOSED"),IF($T601="PAID","Account paid. Action completed.","Account closed. No further action required."),CHOOSE($W601,"Collection Email","1st Email Follow-up","2nd Email Follow-up","Escalation to Local Office","Escalation to CBE","Escalation to Roxanne")&amp;" sent "&amp;TEXT($X601,"dd-mmm")&amp;". "&amp;IF($W601=6,"Final escalation completed.",IF($T601="OVERDUE","Next: "&amp;$Z601&amp;" was due "&amp;TEXT($Y601,"dd-mmm")&amp;" - "&amp;(NETWORKDAYS($Y601,TODAY(),Holidays)-1)&amp;" business day(s) late. Send now.",IF($T601="DUE TOMORROW","Next: "&amp;$Z601&amp;IF($Y601&lt;=TODAY()," is due TODAY ("," is due next business day (")&amp;TEXT($Y601,"dd-mmm")&amp;").","Next: "&amp;$Z601&amp;" due "&amp;TEXT($Y601,"dd-mmm")&amp;" ("&amp;(NETWORKDAYS(TODAY(),$Y601,Holidays)-1)&amp;" business day(s) left).")))))</f>
        <v/>
      </c>
      <c r="V601" s="17">
        <f>IF($W601="","",CHOOSE($W601,"Collection Email","1st Follow-up","2nd Follow-up","Local Office","CBE","Roxanne")&amp;IF($W601=6," - Final"," - Day "&amp;MAX(0,NETWORKDAYS($X601,TODAY(),Holidays)-1)&amp;" of "&amp;CHOOSE($W601,3,3,2,2,3))&amp;" | Total Day "&amp;MAX(0,NETWORKDAYS($L601,TODAY(),Holidays)-1))</f>
        <v/>
      </c>
      <c r="W601" s="17">
        <f>IF($L601="","",COUNT($L601:$Q601))</f>
        <v/>
      </c>
      <c r="X601" s="18">
        <f>IF($W601="","",INT(INDEX($L601:$Q601,$W601)))</f>
        <v/>
      </c>
      <c r="Y601" s="18">
        <f>IF(OR($W601="",$W601=6),"",WORKDAY($X601,CHOOSE($W601,3,3,2,2,3),Holidays))</f>
        <v/>
      </c>
      <c r="Z601" s="17">
        <f>IF(OR($W601="",$W601=6),"",CHOOSE($W601,"1st Email Follow-up","2nd Email Follow-up","Escalate Local Office","Escalate to CBE","Escalate to Roxanne"))</f>
        <v/>
      </c>
    </row>
    <row r="602" spans="18:26">
      <c r="R602" s="15"/>
      <c r="S602" s="16"/>
      <c r="T602" s="17">
        <f>IF(AND(COUNTA($A602:$K602)=0,$L602=""),"",IF($S602="Paid","PAID",IF($S602="Closed","CLOSED",IF($W602="","",IF($W602=6,"ESCALATED TO ROXANNE",IF(TODAY()&gt;$Y602,"OVERDUE",IF($Y602&lt;=WORKDAY(TODAY(),1,Holidays),"DUE TOMORROW",IF($W602=4,"ESCALATED TO LOCAL OFFICE",IF($W602=5,"ESCALATED TO CBE",IF($X602=TODAY(),"EMAIL SENT","MONITORING"))))))))))</f>
        <v/>
      </c>
      <c r="U602" s="17">
        <f>IF($T602="",IF(AND(COUNTA($A602:$K602)&gt;0,$L602=""),"Awaiting Collection Email time stamp.",""),IF(OR($T602="PAID",$T602="CLOSED"),IF($T602="PAID","Account paid. Action completed.","Account closed. No further action required."),CHOOSE($W602,"Collection Email","1st Email Follow-up","2nd Email Follow-up","Escalation to Local Office","Escalation to CBE","Escalation to Roxanne")&amp;" sent "&amp;TEXT($X602,"dd-mmm")&amp;". "&amp;IF($W602=6,"Final escalation completed.",IF($T602="OVERDUE","Next: "&amp;$Z602&amp;" was due "&amp;TEXT($Y602,"dd-mmm")&amp;" - "&amp;(NETWORKDAYS($Y602,TODAY(),Holidays)-1)&amp;" business day(s) late. Send now.",IF($T602="DUE TOMORROW","Next: "&amp;$Z602&amp;IF($Y602&lt;=TODAY()," is due TODAY ("," is due next business day (")&amp;TEXT($Y602,"dd-mmm")&amp;").","Next: "&amp;$Z602&amp;" due "&amp;TEXT($Y602,"dd-mmm")&amp;" ("&amp;(NETWORKDAYS(TODAY(),$Y602,Holidays)-1)&amp;" business day(s) left).")))))</f>
        <v/>
      </c>
      <c r="V602" s="17">
        <f>IF($W602="","",CHOOSE($W602,"Collection Email","1st Follow-up","2nd Follow-up","Local Office","CBE","Roxanne")&amp;IF($W602=6," - Final"," - Day "&amp;MAX(0,NETWORKDAYS($X602,TODAY(),Holidays)-1)&amp;" of "&amp;CHOOSE($W602,3,3,2,2,3))&amp;" | Total Day "&amp;MAX(0,NETWORKDAYS($L602,TODAY(),Holidays)-1))</f>
        <v/>
      </c>
      <c r="W602" s="17">
        <f>IF($L602="","",COUNT($L602:$Q602))</f>
        <v/>
      </c>
      <c r="X602" s="18">
        <f>IF($W602="","",INT(INDEX($L602:$Q602,$W602)))</f>
        <v/>
      </c>
      <c r="Y602" s="18">
        <f>IF(OR($W602="",$W602=6),"",WORKDAY($X602,CHOOSE($W602,3,3,2,2,3),Holidays))</f>
        <v/>
      </c>
      <c r="Z602" s="17">
        <f>IF(OR($W602="",$W602=6),"",CHOOSE($W602,"1st Email Follow-up","2nd Email Follow-up","Escalate Local Office","Escalate to CBE","Escalate to Roxanne"))</f>
        <v/>
      </c>
    </row>
    <row r="603" spans="18:26">
      <c r="R603" s="15"/>
      <c r="S603" s="16"/>
      <c r="T603" s="17">
        <f>IF(AND(COUNTA($A603:$K603)=0,$L603=""),"",IF($S603="Paid","PAID",IF($S603="Closed","CLOSED",IF($W603="","",IF($W603=6,"ESCALATED TO ROXANNE",IF(TODAY()&gt;$Y603,"OVERDUE",IF($Y603&lt;=WORKDAY(TODAY(),1,Holidays),"DUE TOMORROW",IF($W603=4,"ESCALATED TO LOCAL OFFICE",IF($W603=5,"ESCALATED TO CBE",IF($X603=TODAY(),"EMAIL SENT","MONITORING"))))))))))</f>
        <v/>
      </c>
      <c r="U603" s="17">
        <f>IF($T603="",IF(AND(COUNTA($A603:$K603)&gt;0,$L603=""),"Awaiting Collection Email time stamp.",""),IF(OR($T603="PAID",$T603="CLOSED"),IF($T603="PAID","Account paid. Action completed.","Account closed. No further action required."),CHOOSE($W603,"Collection Email","1st Email Follow-up","2nd Email Follow-up","Escalation to Local Office","Escalation to CBE","Escalation to Roxanne")&amp;" sent "&amp;TEXT($X603,"dd-mmm")&amp;". "&amp;IF($W603=6,"Final escalation completed.",IF($T603="OVERDUE","Next: "&amp;$Z603&amp;" was due "&amp;TEXT($Y603,"dd-mmm")&amp;" - "&amp;(NETWORKDAYS($Y603,TODAY(),Holidays)-1)&amp;" business day(s) late. Send now.",IF($T603="DUE TOMORROW","Next: "&amp;$Z603&amp;IF($Y603&lt;=TODAY()," is due TODAY ("," is due next business day (")&amp;TEXT($Y603,"dd-mmm")&amp;").","Next: "&amp;$Z603&amp;" due "&amp;TEXT($Y603,"dd-mmm")&amp;" ("&amp;(NETWORKDAYS(TODAY(),$Y603,Holidays)-1)&amp;" business day(s) left).")))))</f>
        <v/>
      </c>
      <c r="V603" s="17">
        <f>IF($W603="","",CHOOSE($W603,"Collection Email","1st Follow-up","2nd Follow-up","Local Office","CBE","Roxanne")&amp;IF($W603=6," - Final"," - Day "&amp;MAX(0,NETWORKDAYS($X603,TODAY(),Holidays)-1)&amp;" of "&amp;CHOOSE($W603,3,3,2,2,3))&amp;" | Total Day "&amp;MAX(0,NETWORKDAYS($L603,TODAY(),Holidays)-1))</f>
        <v/>
      </c>
      <c r="W603" s="17">
        <f>IF($L603="","",COUNT($L603:$Q603))</f>
        <v/>
      </c>
      <c r="X603" s="18">
        <f>IF($W603="","",INT(INDEX($L603:$Q603,$W603)))</f>
        <v/>
      </c>
      <c r="Y603" s="18">
        <f>IF(OR($W603="",$W603=6),"",WORKDAY($X603,CHOOSE($W603,3,3,2,2,3),Holidays))</f>
        <v/>
      </c>
      <c r="Z603" s="17">
        <f>IF(OR($W603="",$W603=6),"",CHOOSE($W603,"1st Email Follow-up","2nd Email Follow-up","Escalate Local Office","Escalate to CBE","Escalate to Roxanne"))</f>
        <v/>
      </c>
    </row>
    <row r="604" spans="18:26">
      <c r="R604" s="15"/>
      <c r="S604" s="16"/>
      <c r="T604" s="17">
        <f>IF(AND(COUNTA($A604:$K604)=0,$L604=""),"",IF($S604="Paid","PAID",IF($S604="Closed","CLOSED",IF($W604="","",IF($W604=6,"ESCALATED TO ROXANNE",IF(TODAY()&gt;$Y604,"OVERDUE",IF($Y604&lt;=WORKDAY(TODAY(),1,Holidays),"DUE TOMORROW",IF($W604=4,"ESCALATED TO LOCAL OFFICE",IF($W604=5,"ESCALATED TO CBE",IF($X604=TODAY(),"EMAIL SENT","MONITORING"))))))))))</f>
        <v/>
      </c>
      <c r="U604" s="17">
        <f>IF($T604="",IF(AND(COUNTA($A604:$K604)&gt;0,$L604=""),"Awaiting Collection Email time stamp.",""),IF(OR($T604="PAID",$T604="CLOSED"),IF($T604="PAID","Account paid. Action completed.","Account closed. No further action required."),CHOOSE($W604,"Collection Email","1st Email Follow-up","2nd Email Follow-up","Escalation to Local Office","Escalation to CBE","Escalation to Roxanne")&amp;" sent "&amp;TEXT($X604,"dd-mmm")&amp;". "&amp;IF($W604=6,"Final escalation completed.",IF($T604="OVERDUE","Next: "&amp;$Z604&amp;" was due "&amp;TEXT($Y604,"dd-mmm")&amp;" - "&amp;(NETWORKDAYS($Y604,TODAY(),Holidays)-1)&amp;" business day(s) late. Send now.",IF($T604="DUE TOMORROW","Next: "&amp;$Z604&amp;IF($Y604&lt;=TODAY()," is due TODAY ("," is due next business day (")&amp;TEXT($Y604,"dd-mmm")&amp;").","Next: "&amp;$Z604&amp;" due "&amp;TEXT($Y604,"dd-mmm")&amp;" ("&amp;(NETWORKDAYS(TODAY(),$Y604,Holidays)-1)&amp;" business day(s) left).")))))</f>
        <v/>
      </c>
      <c r="V604" s="17">
        <f>IF($W604="","",CHOOSE($W604,"Collection Email","1st Follow-up","2nd Follow-up","Local Office","CBE","Roxanne")&amp;IF($W604=6," - Final"," - Day "&amp;MAX(0,NETWORKDAYS($X604,TODAY(),Holidays)-1)&amp;" of "&amp;CHOOSE($W604,3,3,2,2,3))&amp;" | Total Day "&amp;MAX(0,NETWORKDAYS($L604,TODAY(),Holidays)-1))</f>
        <v/>
      </c>
      <c r="W604" s="17">
        <f>IF($L604="","",COUNT($L604:$Q604))</f>
        <v/>
      </c>
      <c r="X604" s="18">
        <f>IF($W604="","",INT(INDEX($L604:$Q604,$W604)))</f>
        <v/>
      </c>
      <c r="Y604" s="18">
        <f>IF(OR($W604="",$W604=6),"",WORKDAY($X604,CHOOSE($W604,3,3,2,2,3),Holidays))</f>
        <v/>
      </c>
      <c r="Z604" s="17">
        <f>IF(OR($W604="",$W604=6),"",CHOOSE($W604,"1st Email Follow-up","2nd Email Follow-up","Escalate Local Office","Escalate to CBE","Escalate to Roxanne"))</f>
        <v/>
      </c>
    </row>
    <row r="605" spans="18:26">
      <c r="R605" s="15"/>
      <c r="S605" s="16"/>
      <c r="T605" s="17">
        <f>IF(AND(COUNTA($A605:$K605)=0,$L605=""),"",IF($S605="Paid","PAID",IF($S605="Closed","CLOSED",IF($W605="","",IF($W605=6,"ESCALATED TO ROXANNE",IF(TODAY()&gt;$Y605,"OVERDUE",IF($Y605&lt;=WORKDAY(TODAY(),1,Holidays),"DUE TOMORROW",IF($W605=4,"ESCALATED TO LOCAL OFFICE",IF($W605=5,"ESCALATED TO CBE",IF($X605=TODAY(),"EMAIL SENT","MONITORING"))))))))))</f>
        <v/>
      </c>
      <c r="U605" s="17">
        <f>IF($T605="",IF(AND(COUNTA($A605:$K605)&gt;0,$L605=""),"Awaiting Collection Email time stamp.",""),IF(OR($T605="PAID",$T605="CLOSED"),IF($T605="PAID","Account paid. Action completed.","Account closed. No further action required."),CHOOSE($W605,"Collection Email","1st Email Follow-up","2nd Email Follow-up","Escalation to Local Office","Escalation to CBE","Escalation to Roxanne")&amp;" sent "&amp;TEXT($X605,"dd-mmm")&amp;". "&amp;IF($W605=6,"Final escalation completed.",IF($T605="OVERDUE","Next: "&amp;$Z605&amp;" was due "&amp;TEXT($Y605,"dd-mmm")&amp;" - "&amp;(NETWORKDAYS($Y605,TODAY(),Holidays)-1)&amp;" business day(s) late. Send now.",IF($T605="DUE TOMORROW","Next: "&amp;$Z605&amp;IF($Y605&lt;=TODAY()," is due TODAY ("," is due next business day (")&amp;TEXT($Y605,"dd-mmm")&amp;").","Next: "&amp;$Z605&amp;" due "&amp;TEXT($Y605,"dd-mmm")&amp;" ("&amp;(NETWORKDAYS(TODAY(),$Y605,Holidays)-1)&amp;" business day(s) left).")))))</f>
        <v/>
      </c>
      <c r="V605" s="17">
        <f>IF($W605="","",CHOOSE($W605,"Collection Email","1st Follow-up","2nd Follow-up","Local Office","CBE","Roxanne")&amp;IF($W605=6," - Final"," - Day "&amp;MAX(0,NETWORKDAYS($X605,TODAY(),Holidays)-1)&amp;" of "&amp;CHOOSE($W605,3,3,2,2,3))&amp;" | Total Day "&amp;MAX(0,NETWORKDAYS($L605,TODAY(),Holidays)-1))</f>
        <v/>
      </c>
      <c r="W605" s="17">
        <f>IF($L605="","",COUNT($L605:$Q605))</f>
        <v/>
      </c>
      <c r="X605" s="18">
        <f>IF($W605="","",INT(INDEX($L605:$Q605,$W605)))</f>
        <v/>
      </c>
      <c r="Y605" s="18">
        <f>IF(OR($W605="",$W605=6),"",WORKDAY($X605,CHOOSE($W605,3,3,2,2,3),Holidays))</f>
        <v/>
      </c>
      <c r="Z605" s="17">
        <f>IF(OR($W605="",$W605=6),"",CHOOSE($W605,"1st Email Follow-up","2nd Email Follow-up","Escalate Local Office","Escalate to CBE","Escalate to Roxanne"))</f>
        <v/>
      </c>
    </row>
    <row r="606" spans="18:26">
      <c r="R606" s="15"/>
      <c r="S606" s="16"/>
      <c r="T606" s="17">
        <f>IF(AND(COUNTA($A606:$K606)=0,$L606=""),"",IF($S606="Paid","PAID",IF($S606="Closed","CLOSED",IF($W606="","",IF($W606=6,"ESCALATED TO ROXANNE",IF(TODAY()&gt;$Y606,"OVERDUE",IF($Y606&lt;=WORKDAY(TODAY(),1,Holidays),"DUE TOMORROW",IF($W606=4,"ESCALATED TO LOCAL OFFICE",IF($W606=5,"ESCALATED TO CBE",IF($X606=TODAY(),"EMAIL SENT","MONITORING"))))))))))</f>
        <v/>
      </c>
      <c r="U606" s="17">
        <f>IF($T606="",IF(AND(COUNTA($A606:$K606)&gt;0,$L606=""),"Awaiting Collection Email time stamp.",""),IF(OR($T606="PAID",$T606="CLOSED"),IF($T606="PAID","Account paid. Action completed.","Account closed. No further action required."),CHOOSE($W606,"Collection Email","1st Email Follow-up","2nd Email Follow-up","Escalation to Local Office","Escalation to CBE","Escalation to Roxanne")&amp;" sent "&amp;TEXT($X606,"dd-mmm")&amp;". "&amp;IF($W606=6,"Final escalation completed.",IF($T606="OVERDUE","Next: "&amp;$Z606&amp;" was due "&amp;TEXT($Y606,"dd-mmm")&amp;" - "&amp;(NETWORKDAYS($Y606,TODAY(),Holidays)-1)&amp;" business day(s) late. Send now.",IF($T606="DUE TOMORROW","Next: "&amp;$Z606&amp;IF($Y606&lt;=TODAY()," is due TODAY ("," is due next business day (")&amp;TEXT($Y606,"dd-mmm")&amp;").","Next: "&amp;$Z606&amp;" due "&amp;TEXT($Y606,"dd-mmm")&amp;" ("&amp;(NETWORKDAYS(TODAY(),$Y606,Holidays)-1)&amp;" business day(s) left).")))))</f>
        <v/>
      </c>
      <c r="V606" s="17">
        <f>IF($W606="","",CHOOSE($W606,"Collection Email","1st Follow-up","2nd Follow-up","Local Office","CBE","Roxanne")&amp;IF($W606=6," - Final"," - Day "&amp;MAX(0,NETWORKDAYS($X606,TODAY(),Holidays)-1)&amp;" of "&amp;CHOOSE($W606,3,3,2,2,3))&amp;" | Total Day "&amp;MAX(0,NETWORKDAYS($L606,TODAY(),Holidays)-1))</f>
        <v/>
      </c>
      <c r="W606" s="17">
        <f>IF($L606="","",COUNT($L606:$Q606))</f>
        <v/>
      </c>
      <c r="X606" s="18">
        <f>IF($W606="","",INT(INDEX($L606:$Q606,$W606)))</f>
        <v/>
      </c>
      <c r="Y606" s="18">
        <f>IF(OR($W606="",$W606=6),"",WORKDAY($X606,CHOOSE($W606,3,3,2,2,3),Holidays))</f>
        <v/>
      </c>
      <c r="Z606" s="17">
        <f>IF(OR($W606="",$W606=6),"",CHOOSE($W606,"1st Email Follow-up","2nd Email Follow-up","Escalate Local Office","Escalate to CBE","Escalate to Roxanne"))</f>
        <v/>
      </c>
    </row>
    <row r="607" spans="18:26">
      <c r="R607" s="15"/>
      <c r="S607" s="16"/>
      <c r="T607" s="17">
        <f>IF(AND(COUNTA($A607:$K607)=0,$L607=""),"",IF($S607="Paid","PAID",IF($S607="Closed","CLOSED",IF($W607="","",IF($W607=6,"ESCALATED TO ROXANNE",IF(TODAY()&gt;$Y607,"OVERDUE",IF($Y607&lt;=WORKDAY(TODAY(),1,Holidays),"DUE TOMORROW",IF($W607=4,"ESCALATED TO LOCAL OFFICE",IF($W607=5,"ESCALATED TO CBE",IF($X607=TODAY(),"EMAIL SENT","MONITORING"))))))))))</f>
        <v/>
      </c>
      <c r="U607" s="17">
        <f>IF($T607="",IF(AND(COUNTA($A607:$K607)&gt;0,$L607=""),"Awaiting Collection Email time stamp.",""),IF(OR($T607="PAID",$T607="CLOSED"),IF($T607="PAID","Account paid. Action completed.","Account closed. No further action required."),CHOOSE($W607,"Collection Email","1st Email Follow-up","2nd Email Follow-up","Escalation to Local Office","Escalation to CBE","Escalation to Roxanne")&amp;" sent "&amp;TEXT($X607,"dd-mmm")&amp;". "&amp;IF($W607=6,"Final escalation completed.",IF($T607="OVERDUE","Next: "&amp;$Z607&amp;" was due "&amp;TEXT($Y607,"dd-mmm")&amp;" - "&amp;(NETWORKDAYS($Y607,TODAY(),Holidays)-1)&amp;" business day(s) late. Send now.",IF($T607="DUE TOMORROW","Next: "&amp;$Z607&amp;IF($Y607&lt;=TODAY()," is due TODAY ("," is due next business day (")&amp;TEXT($Y607,"dd-mmm")&amp;").","Next: "&amp;$Z607&amp;" due "&amp;TEXT($Y607,"dd-mmm")&amp;" ("&amp;(NETWORKDAYS(TODAY(),$Y607,Holidays)-1)&amp;" business day(s) left).")))))</f>
        <v/>
      </c>
      <c r="V607" s="17">
        <f>IF($W607="","",CHOOSE($W607,"Collection Email","1st Follow-up","2nd Follow-up","Local Office","CBE","Roxanne")&amp;IF($W607=6," - Final"," - Day "&amp;MAX(0,NETWORKDAYS($X607,TODAY(),Holidays)-1)&amp;" of "&amp;CHOOSE($W607,3,3,2,2,3))&amp;" | Total Day "&amp;MAX(0,NETWORKDAYS($L607,TODAY(),Holidays)-1))</f>
        <v/>
      </c>
      <c r="W607" s="17">
        <f>IF($L607="","",COUNT($L607:$Q607))</f>
        <v/>
      </c>
      <c r="X607" s="18">
        <f>IF($W607="","",INT(INDEX($L607:$Q607,$W607)))</f>
        <v/>
      </c>
      <c r="Y607" s="18">
        <f>IF(OR($W607="",$W607=6),"",WORKDAY($X607,CHOOSE($W607,3,3,2,2,3),Holidays))</f>
        <v/>
      </c>
      <c r="Z607" s="17">
        <f>IF(OR($W607="",$W607=6),"",CHOOSE($W607,"1st Email Follow-up","2nd Email Follow-up","Escalate Local Office","Escalate to CBE","Escalate to Roxanne"))</f>
        <v/>
      </c>
    </row>
    <row r="608" spans="18:26">
      <c r="R608" s="15"/>
      <c r="S608" s="16"/>
      <c r="T608" s="17">
        <f>IF(AND(COUNTA($A608:$K608)=0,$L608=""),"",IF($S608="Paid","PAID",IF($S608="Closed","CLOSED",IF($W608="","",IF($W608=6,"ESCALATED TO ROXANNE",IF(TODAY()&gt;$Y608,"OVERDUE",IF($Y608&lt;=WORKDAY(TODAY(),1,Holidays),"DUE TOMORROW",IF($W608=4,"ESCALATED TO LOCAL OFFICE",IF($W608=5,"ESCALATED TO CBE",IF($X608=TODAY(),"EMAIL SENT","MONITORING"))))))))))</f>
        <v/>
      </c>
      <c r="U608" s="17">
        <f>IF($T608="",IF(AND(COUNTA($A608:$K608)&gt;0,$L608=""),"Awaiting Collection Email time stamp.",""),IF(OR($T608="PAID",$T608="CLOSED"),IF($T608="PAID","Account paid. Action completed.","Account closed. No further action required."),CHOOSE($W608,"Collection Email","1st Email Follow-up","2nd Email Follow-up","Escalation to Local Office","Escalation to CBE","Escalation to Roxanne")&amp;" sent "&amp;TEXT($X608,"dd-mmm")&amp;". "&amp;IF($W608=6,"Final escalation completed.",IF($T608="OVERDUE","Next: "&amp;$Z608&amp;" was due "&amp;TEXT($Y608,"dd-mmm")&amp;" - "&amp;(NETWORKDAYS($Y608,TODAY(),Holidays)-1)&amp;" business day(s) late. Send now.",IF($T608="DUE TOMORROW","Next: "&amp;$Z608&amp;IF($Y608&lt;=TODAY()," is due TODAY ("," is due next business day (")&amp;TEXT($Y608,"dd-mmm")&amp;").","Next: "&amp;$Z608&amp;" due "&amp;TEXT($Y608,"dd-mmm")&amp;" ("&amp;(NETWORKDAYS(TODAY(),$Y608,Holidays)-1)&amp;" business day(s) left).")))))</f>
        <v/>
      </c>
      <c r="V608" s="17">
        <f>IF($W608="","",CHOOSE($W608,"Collection Email","1st Follow-up","2nd Follow-up","Local Office","CBE","Roxanne")&amp;IF($W608=6," - Final"," - Day "&amp;MAX(0,NETWORKDAYS($X608,TODAY(),Holidays)-1)&amp;" of "&amp;CHOOSE($W608,3,3,2,2,3))&amp;" | Total Day "&amp;MAX(0,NETWORKDAYS($L608,TODAY(),Holidays)-1))</f>
        <v/>
      </c>
      <c r="W608" s="17">
        <f>IF($L608="","",COUNT($L608:$Q608))</f>
        <v/>
      </c>
      <c r="X608" s="18">
        <f>IF($W608="","",INT(INDEX($L608:$Q608,$W608)))</f>
        <v/>
      </c>
      <c r="Y608" s="18">
        <f>IF(OR($W608="",$W608=6),"",WORKDAY($X608,CHOOSE($W608,3,3,2,2,3),Holidays))</f>
        <v/>
      </c>
      <c r="Z608" s="17">
        <f>IF(OR($W608="",$W608=6),"",CHOOSE($W608,"1st Email Follow-up","2nd Email Follow-up","Escalate Local Office","Escalate to CBE","Escalate to Roxanne"))</f>
        <v/>
      </c>
    </row>
    <row r="609" spans="18:26">
      <c r="R609" s="15"/>
      <c r="S609" s="16"/>
      <c r="T609" s="17">
        <f>IF(AND(COUNTA($A609:$K609)=0,$L609=""),"",IF($S609="Paid","PAID",IF($S609="Closed","CLOSED",IF($W609="","",IF($W609=6,"ESCALATED TO ROXANNE",IF(TODAY()&gt;$Y609,"OVERDUE",IF($Y609&lt;=WORKDAY(TODAY(),1,Holidays),"DUE TOMORROW",IF($W609=4,"ESCALATED TO LOCAL OFFICE",IF($W609=5,"ESCALATED TO CBE",IF($X609=TODAY(),"EMAIL SENT","MONITORING"))))))))))</f>
        <v/>
      </c>
      <c r="U609" s="17">
        <f>IF($T609="",IF(AND(COUNTA($A609:$K609)&gt;0,$L609=""),"Awaiting Collection Email time stamp.",""),IF(OR($T609="PAID",$T609="CLOSED"),IF($T609="PAID","Account paid. Action completed.","Account closed. No further action required."),CHOOSE($W609,"Collection Email","1st Email Follow-up","2nd Email Follow-up","Escalation to Local Office","Escalation to CBE","Escalation to Roxanne")&amp;" sent "&amp;TEXT($X609,"dd-mmm")&amp;". "&amp;IF($W609=6,"Final escalation completed.",IF($T609="OVERDUE","Next: "&amp;$Z609&amp;" was due "&amp;TEXT($Y609,"dd-mmm")&amp;" - "&amp;(NETWORKDAYS($Y609,TODAY(),Holidays)-1)&amp;" business day(s) late. Send now.",IF($T609="DUE TOMORROW","Next: "&amp;$Z609&amp;IF($Y609&lt;=TODAY()," is due TODAY ("," is due next business day (")&amp;TEXT($Y609,"dd-mmm")&amp;").","Next: "&amp;$Z609&amp;" due "&amp;TEXT($Y609,"dd-mmm")&amp;" ("&amp;(NETWORKDAYS(TODAY(),$Y609,Holidays)-1)&amp;" business day(s) left).")))))</f>
        <v/>
      </c>
      <c r="V609" s="17">
        <f>IF($W609="","",CHOOSE($W609,"Collection Email","1st Follow-up","2nd Follow-up","Local Office","CBE","Roxanne")&amp;IF($W609=6," - Final"," - Day "&amp;MAX(0,NETWORKDAYS($X609,TODAY(),Holidays)-1)&amp;" of "&amp;CHOOSE($W609,3,3,2,2,3))&amp;" | Total Day "&amp;MAX(0,NETWORKDAYS($L609,TODAY(),Holidays)-1))</f>
        <v/>
      </c>
      <c r="W609" s="17">
        <f>IF($L609="","",COUNT($L609:$Q609))</f>
        <v/>
      </c>
      <c r="X609" s="18">
        <f>IF($W609="","",INT(INDEX($L609:$Q609,$W609)))</f>
        <v/>
      </c>
      <c r="Y609" s="18">
        <f>IF(OR($W609="",$W609=6),"",WORKDAY($X609,CHOOSE($W609,3,3,2,2,3),Holidays))</f>
        <v/>
      </c>
      <c r="Z609" s="17">
        <f>IF(OR($W609="",$W609=6),"",CHOOSE($W609,"1st Email Follow-up","2nd Email Follow-up","Escalate Local Office","Escalate to CBE","Escalate to Roxanne"))</f>
        <v/>
      </c>
    </row>
    <row r="610" spans="18:26">
      <c r="R610" s="15"/>
      <c r="S610" s="16"/>
      <c r="T610" s="17">
        <f>IF(AND(COUNTA($A610:$K610)=0,$L610=""),"",IF($S610="Paid","PAID",IF($S610="Closed","CLOSED",IF($W610="","",IF($W610=6,"ESCALATED TO ROXANNE",IF(TODAY()&gt;$Y610,"OVERDUE",IF($Y610&lt;=WORKDAY(TODAY(),1,Holidays),"DUE TOMORROW",IF($W610=4,"ESCALATED TO LOCAL OFFICE",IF($W610=5,"ESCALATED TO CBE",IF($X610=TODAY(),"EMAIL SENT","MONITORING"))))))))))</f>
        <v/>
      </c>
      <c r="U610" s="17">
        <f>IF($T610="",IF(AND(COUNTA($A610:$K610)&gt;0,$L610=""),"Awaiting Collection Email time stamp.",""),IF(OR($T610="PAID",$T610="CLOSED"),IF($T610="PAID","Account paid. Action completed.","Account closed. No further action required."),CHOOSE($W610,"Collection Email","1st Email Follow-up","2nd Email Follow-up","Escalation to Local Office","Escalation to CBE","Escalation to Roxanne")&amp;" sent "&amp;TEXT($X610,"dd-mmm")&amp;". "&amp;IF($W610=6,"Final escalation completed.",IF($T610="OVERDUE","Next: "&amp;$Z610&amp;" was due "&amp;TEXT($Y610,"dd-mmm")&amp;" - "&amp;(NETWORKDAYS($Y610,TODAY(),Holidays)-1)&amp;" business day(s) late. Send now.",IF($T610="DUE TOMORROW","Next: "&amp;$Z610&amp;IF($Y610&lt;=TODAY()," is due TODAY ("," is due next business day (")&amp;TEXT($Y610,"dd-mmm")&amp;").","Next: "&amp;$Z610&amp;" due "&amp;TEXT($Y610,"dd-mmm")&amp;" ("&amp;(NETWORKDAYS(TODAY(),$Y610,Holidays)-1)&amp;" business day(s) left).")))))</f>
        <v/>
      </c>
      <c r="V610" s="17">
        <f>IF($W610="","",CHOOSE($W610,"Collection Email","1st Follow-up","2nd Follow-up","Local Office","CBE","Roxanne")&amp;IF($W610=6," - Final"," - Day "&amp;MAX(0,NETWORKDAYS($X610,TODAY(),Holidays)-1)&amp;" of "&amp;CHOOSE($W610,3,3,2,2,3))&amp;" | Total Day "&amp;MAX(0,NETWORKDAYS($L610,TODAY(),Holidays)-1))</f>
        <v/>
      </c>
      <c r="W610" s="17">
        <f>IF($L610="","",COUNT($L610:$Q610))</f>
        <v/>
      </c>
      <c r="X610" s="18">
        <f>IF($W610="","",INT(INDEX($L610:$Q610,$W610)))</f>
        <v/>
      </c>
      <c r="Y610" s="18">
        <f>IF(OR($W610="",$W610=6),"",WORKDAY($X610,CHOOSE($W610,3,3,2,2,3),Holidays))</f>
        <v/>
      </c>
      <c r="Z610" s="17">
        <f>IF(OR($W610="",$W610=6),"",CHOOSE($W610,"1st Email Follow-up","2nd Email Follow-up","Escalate Local Office","Escalate to CBE","Escalate to Roxanne"))</f>
        <v/>
      </c>
    </row>
    <row r="611" spans="18:26">
      <c r="R611" s="15"/>
      <c r="S611" s="16"/>
      <c r="T611" s="17">
        <f>IF(AND(COUNTA($A611:$K611)=0,$L611=""),"",IF($S611="Paid","PAID",IF($S611="Closed","CLOSED",IF($W611="","",IF($W611=6,"ESCALATED TO ROXANNE",IF(TODAY()&gt;$Y611,"OVERDUE",IF($Y611&lt;=WORKDAY(TODAY(),1,Holidays),"DUE TOMORROW",IF($W611=4,"ESCALATED TO LOCAL OFFICE",IF($W611=5,"ESCALATED TO CBE",IF($X611=TODAY(),"EMAIL SENT","MONITORING"))))))))))</f>
        <v/>
      </c>
      <c r="U611" s="17">
        <f>IF($T611="",IF(AND(COUNTA($A611:$K611)&gt;0,$L611=""),"Awaiting Collection Email time stamp.",""),IF(OR($T611="PAID",$T611="CLOSED"),IF($T611="PAID","Account paid. Action completed.","Account closed. No further action required."),CHOOSE($W611,"Collection Email","1st Email Follow-up","2nd Email Follow-up","Escalation to Local Office","Escalation to CBE","Escalation to Roxanne")&amp;" sent "&amp;TEXT($X611,"dd-mmm")&amp;". "&amp;IF($W611=6,"Final escalation completed.",IF($T611="OVERDUE","Next: "&amp;$Z611&amp;" was due "&amp;TEXT($Y611,"dd-mmm")&amp;" - "&amp;(NETWORKDAYS($Y611,TODAY(),Holidays)-1)&amp;" business day(s) late. Send now.",IF($T611="DUE TOMORROW","Next: "&amp;$Z611&amp;IF($Y611&lt;=TODAY()," is due TODAY ("," is due next business day (")&amp;TEXT($Y611,"dd-mmm")&amp;").","Next: "&amp;$Z611&amp;" due "&amp;TEXT($Y611,"dd-mmm")&amp;" ("&amp;(NETWORKDAYS(TODAY(),$Y611,Holidays)-1)&amp;" business day(s) left).")))))</f>
        <v/>
      </c>
      <c r="V611" s="17">
        <f>IF($W611="","",CHOOSE($W611,"Collection Email","1st Follow-up","2nd Follow-up","Local Office","CBE","Roxanne")&amp;IF($W611=6," - Final"," - Day "&amp;MAX(0,NETWORKDAYS($X611,TODAY(),Holidays)-1)&amp;" of "&amp;CHOOSE($W611,3,3,2,2,3))&amp;" | Total Day "&amp;MAX(0,NETWORKDAYS($L611,TODAY(),Holidays)-1))</f>
        <v/>
      </c>
      <c r="W611" s="17">
        <f>IF($L611="","",COUNT($L611:$Q611))</f>
        <v/>
      </c>
      <c r="X611" s="18">
        <f>IF($W611="","",INT(INDEX($L611:$Q611,$W611)))</f>
        <v/>
      </c>
      <c r="Y611" s="18">
        <f>IF(OR($W611="",$W611=6),"",WORKDAY($X611,CHOOSE($W611,3,3,2,2,3),Holidays))</f>
        <v/>
      </c>
      <c r="Z611" s="17">
        <f>IF(OR($W611="",$W611=6),"",CHOOSE($W611,"1st Email Follow-up","2nd Email Follow-up","Escalate Local Office","Escalate to CBE","Escalate to Roxanne"))</f>
        <v/>
      </c>
    </row>
    <row r="612" spans="18:26">
      <c r="R612" s="15"/>
      <c r="S612" s="16"/>
      <c r="T612" s="17">
        <f>IF(AND(COUNTA($A612:$K612)=0,$L612=""),"",IF($S612="Paid","PAID",IF($S612="Closed","CLOSED",IF($W612="","",IF($W612=6,"ESCALATED TO ROXANNE",IF(TODAY()&gt;$Y612,"OVERDUE",IF($Y612&lt;=WORKDAY(TODAY(),1,Holidays),"DUE TOMORROW",IF($W612=4,"ESCALATED TO LOCAL OFFICE",IF($W612=5,"ESCALATED TO CBE",IF($X612=TODAY(),"EMAIL SENT","MONITORING"))))))))))</f>
        <v/>
      </c>
      <c r="U612" s="17">
        <f>IF($T612="",IF(AND(COUNTA($A612:$K612)&gt;0,$L612=""),"Awaiting Collection Email time stamp.",""),IF(OR($T612="PAID",$T612="CLOSED"),IF($T612="PAID","Account paid. Action completed.","Account closed. No further action required."),CHOOSE($W612,"Collection Email","1st Email Follow-up","2nd Email Follow-up","Escalation to Local Office","Escalation to CBE","Escalation to Roxanne")&amp;" sent "&amp;TEXT($X612,"dd-mmm")&amp;". "&amp;IF($W612=6,"Final escalation completed.",IF($T612="OVERDUE","Next: "&amp;$Z612&amp;" was due "&amp;TEXT($Y612,"dd-mmm")&amp;" - "&amp;(NETWORKDAYS($Y612,TODAY(),Holidays)-1)&amp;" business day(s) late. Send now.",IF($T612="DUE TOMORROW","Next: "&amp;$Z612&amp;IF($Y612&lt;=TODAY()," is due TODAY ("," is due next business day (")&amp;TEXT($Y612,"dd-mmm")&amp;").","Next: "&amp;$Z612&amp;" due "&amp;TEXT($Y612,"dd-mmm")&amp;" ("&amp;(NETWORKDAYS(TODAY(),$Y612,Holidays)-1)&amp;" business day(s) left).")))))</f>
        <v/>
      </c>
      <c r="V612" s="17">
        <f>IF($W612="","",CHOOSE($W612,"Collection Email","1st Follow-up","2nd Follow-up","Local Office","CBE","Roxanne")&amp;IF($W612=6," - Final"," - Day "&amp;MAX(0,NETWORKDAYS($X612,TODAY(),Holidays)-1)&amp;" of "&amp;CHOOSE($W612,3,3,2,2,3))&amp;" | Total Day "&amp;MAX(0,NETWORKDAYS($L612,TODAY(),Holidays)-1))</f>
        <v/>
      </c>
      <c r="W612" s="17">
        <f>IF($L612="","",COUNT($L612:$Q612))</f>
        <v/>
      </c>
      <c r="X612" s="18">
        <f>IF($W612="","",INT(INDEX($L612:$Q612,$W612)))</f>
        <v/>
      </c>
      <c r="Y612" s="18">
        <f>IF(OR($W612="",$W612=6),"",WORKDAY($X612,CHOOSE($W612,3,3,2,2,3),Holidays))</f>
        <v/>
      </c>
      <c r="Z612" s="17">
        <f>IF(OR($W612="",$W612=6),"",CHOOSE($W612,"1st Email Follow-up","2nd Email Follow-up","Escalate Local Office","Escalate to CBE","Escalate to Roxanne"))</f>
        <v/>
      </c>
    </row>
    <row r="613" spans="18:26">
      <c r="R613" s="15"/>
      <c r="S613" s="16"/>
      <c r="T613" s="17">
        <f>IF(AND(COUNTA($A613:$K613)=0,$L613=""),"",IF($S613="Paid","PAID",IF($S613="Closed","CLOSED",IF($W613="","",IF($W613=6,"ESCALATED TO ROXANNE",IF(TODAY()&gt;$Y613,"OVERDUE",IF($Y613&lt;=WORKDAY(TODAY(),1,Holidays),"DUE TOMORROW",IF($W613=4,"ESCALATED TO LOCAL OFFICE",IF($W613=5,"ESCALATED TO CBE",IF($X613=TODAY(),"EMAIL SENT","MONITORING"))))))))))</f>
        <v/>
      </c>
      <c r="U613" s="17">
        <f>IF($T613="",IF(AND(COUNTA($A613:$K613)&gt;0,$L613=""),"Awaiting Collection Email time stamp.",""),IF(OR($T613="PAID",$T613="CLOSED"),IF($T613="PAID","Account paid. Action completed.","Account closed. No further action required."),CHOOSE($W613,"Collection Email","1st Email Follow-up","2nd Email Follow-up","Escalation to Local Office","Escalation to CBE","Escalation to Roxanne")&amp;" sent "&amp;TEXT($X613,"dd-mmm")&amp;". "&amp;IF($W613=6,"Final escalation completed.",IF($T613="OVERDUE","Next: "&amp;$Z613&amp;" was due "&amp;TEXT($Y613,"dd-mmm")&amp;" - "&amp;(NETWORKDAYS($Y613,TODAY(),Holidays)-1)&amp;" business day(s) late. Send now.",IF($T613="DUE TOMORROW","Next: "&amp;$Z613&amp;IF($Y613&lt;=TODAY()," is due TODAY ("," is due next business day (")&amp;TEXT($Y613,"dd-mmm")&amp;").","Next: "&amp;$Z613&amp;" due "&amp;TEXT($Y613,"dd-mmm")&amp;" ("&amp;(NETWORKDAYS(TODAY(),$Y613,Holidays)-1)&amp;" business day(s) left).")))))</f>
        <v/>
      </c>
      <c r="V613" s="17">
        <f>IF($W613="","",CHOOSE($W613,"Collection Email","1st Follow-up","2nd Follow-up","Local Office","CBE","Roxanne")&amp;IF($W613=6," - Final"," - Day "&amp;MAX(0,NETWORKDAYS($X613,TODAY(),Holidays)-1)&amp;" of "&amp;CHOOSE($W613,3,3,2,2,3))&amp;" | Total Day "&amp;MAX(0,NETWORKDAYS($L613,TODAY(),Holidays)-1))</f>
        <v/>
      </c>
      <c r="W613" s="17">
        <f>IF($L613="","",COUNT($L613:$Q613))</f>
        <v/>
      </c>
      <c r="X613" s="18">
        <f>IF($W613="","",INT(INDEX($L613:$Q613,$W613)))</f>
        <v/>
      </c>
      <c r="Y613" s="18">
        <f>IF(OR($W613="",$W613=6),"",WORKDAY($X613,CHOOSE($W613,3,3,2,2,3),Holidays))</f>
        <v/>
      </c>
      <c r="Z613" s="17">
        <f>IF(OR($W613="",$W613=6),"",CHOOSE($W613,"1st Email Follow-up","2nd Email Follow-up","Escalate Local Office","Escalate to CBE","Escalate to Roxanne"))</f>
        <v/>
      </c>
    </row>
    <row r="614" spans="18:26">
      <c r="R614" s="15"/>
      <c r="S614" s="16"/>
      <c r="T614" s="17">
        <f>IF(AND(COUNTA($A614:$K614)=0,$L614=""),"",IF($S614="Paid","PAID",IF($S614="Closed","CLOSED",IF($W614="","",IF($W614=6,"ESCALATED TO ROXANNE",IF(TODAY()&gt;$Y614,"OVERDUE",IF($Y614&lt;=WORKDAY(TODAY(),1,Holidays),"DUE TOMORROW",IF($W614=4,"ESCALATED TO LOCAL OFFICE",IF($W614=5,"ESCALATED TO CBE",IF($X614=TODAY(),"EMAIL SENT","MONITORING"))))))))))</f>
        <v/>
      </c>
      <c r="U614" s="17">
        <f>IF($T614="",IF(AND(COUNTA($A614:$K614)&gt;0,$L614=""),"Awaiting Collection Email time stamp.",""),IF(OR($T614="PAID",$T614="CLOSED"),IF($T614="PAID","Account paid. Action completed.","Account closed. No further action required."),CHOOSE($W614,"Collection Email","1st Email Follow-up","2nd Email Follow-up","Escalation to Local Office","Escalation to CBE","Escalation to Roxanne")&amp;" sent "&amp;TEXT($X614,"dd-mmm")&amp;". "&amp;IF($W614=6,"Final escalation completed.",IF($T614="OVERDUE","Next: "&amp;$Z614&amp;" was due "&amp;TEXT($Y614,"dd-mmm")&amp;" - "&amp;(NETWORKDAYS($Y614,TODAY(),Holidays)-1)&amp;" business day(s) late. Send now.",IF($T614="DUE TOMORROW","Next: "&amp;$Z614&amp;IF($Y614&lt;=TODAY()," is due TODAY ("," is due next business day (")&amp;TEXT($Y614,"dd-mmm")&amp;").","Next: "&amp;$Z614&amp;" due "&amp;TEXT($Y614,"dd-mmm")&amp;" ("&amp;(NETWORKDAYS(TODAY(),$Y614,Holidays)-1)&amp;" business day(s) left).")))))</f>
        <v/>
      </c>
      <c r="V614" s="17">
        <f>IF($W614="","",CHOOSE($W614,"Collection Email","1st Follow-up","2nd Follow-up","Local Office","CBE","Roxanne")&amp;IF($W614=6," - Final"," - Day "&amp;MAX(0,NETWORKDAYS($X614,TODAY(),Holidays)-1)&amp;" of "&amp;CHOOSE($W614,3,3,2,2,3))&amp;" | Total Day "&amp;MAX(0,NETWORKDAYS($L614,TODAY(),Holidays)-1))</f>
        <v/>
      </c>
      <c r="W614" s="17">
        <f>IF($L614="","",COUNT($L614:$Q614))</f>
        <v/>
      </c>
      <c r="X614" s="18">
        <f>IF($W614="","",INT(INDEX($L614:$Q614,$W614)))</f>
        <v/>
      </c>
      <c r="Y614" s="18">
        <f>IF(OR($W614="",$W614=6),"",WORKDAY($X614,CHOOSE($W614,3,3,2,2,3),Holidays))</f>
        <v/>
      </c>
      <c r="Z614" s="17">
        <f>IF(OR($W614="",$W614=6),"",CHOOSE($W614,"1st Email Follow-up","2nd Email Follow-up","Escalate Local Office","Escalate to CBE","Escalate to Roxanne"))</f>
        <v/>
      </c>
    </row>
    <row r="615" spans="18:26">
      <c r="R615" s="15"/>
      <c r="S615" s="16"/>
      <c r="T615" s="17">
        <f>IF(AND(COUNTA($A615:$K615)=0,$L615=""),"",IF($S615="Paid","PAID",IF($S615="Closed","CLOSED",IF($W615="","",IF($W615=6,"ESCALATED TO ROXANNE",IF(TODAY()&gt;$Y615,"OVERDUE",IF($Y615&lt;=WORKDAY(TODAY(),1,Holidays),"DUE TOMORROW",IF($W615=4,"ESCALATED TO LOCAL OFFICE",IF($W615=5,"ESCALATED TO CBE",IF($X615=TODAY(),"EMAIL SENT","MONITORING"))))))))))</f>
        <v/>
      </c>
      <c r="U615" s="17">
        <f>IF($T615="",IF(AND(COUNTA($A615:$K615)&gt;0,$L615=""),"Awaiting Collection Email time stamp.",""),IF(OR($T615="PAID",$T615="CLOSED"),IF($T615="PAID","Account paid. Action completed.","Account closed. No further action required."),CHOOSE($W615,"Collection Email","1st Email Follow-up","2nd Email Follow-up","Escalation to Local Office","Escalation to CBE","Escalation to Roxanne")&amp;" sent "&amp;TEXT($X615,"dd-mmm")&amp;". "&amp;IF($W615=6,"Final escalation completed.",IF($T615="OVERDUE","Next: "&amp;$Z615&amp;" was due "&amp;TEXT($Y615,"dd-mmm")&amp;" - "&amp;(NETWORKDAYS($Y615,TODAY(),Holidays)-1)&amp;" business day(s) late. Send now.",IF($T615="DUE TOMORROW","Next: "&amp;$Z615&amp;IF($Y615&lt;=TODAY()," is due TODAY ("," is due next business day (")&amp;TEXT($Y615,"dd-mmm")&amp;").","Next: "&amp;$Z615&amp;" due "&amp;TEXT($Y615,"dd-mmm")&amp;" ("&amp;(NETWORKDAYS(TODAY(),$Y615,Holidays)-1)&amp;" business day(s) left).")))))</f>
        <v/>
      </c>
      <c r="V615" s="17">
        <f>IF($W615="","",CHOOSE($W615,"Collection Email","1st Follow-up","2nd Follow-up","Local Office","CBE","Roxanne")&amp;IF($W615=6," - Final"," - Day "&amp;MAX(0,NETWORKDAYS($X615,TODAY(),Holidays)-1)&amp;" of "&amp;CHOOSE($W615,3,3,2,2,3))&amp;" | Total Day "&amp;MAX(0,NETWORKDAYS($L615,TODAY(),Holidays)-1))</f>
        <v/>
      </c>
      <c r="W615" s="17">
        <f>IF($L615="","",COUNT($L615:$Q615))</f>
        <v/>
      </c>
      <c r="X615" s="18">
        <f>IF($W615="","",INT(INDEX($L615:$Q615,$W615)))</f>
        <v/>
      </c>
      <c r="Y615" s="18">
        <f>IF(OR($W615="",$W615=6),"",WORKDAY($X615,CHOOSE($W615,3,3,2,2,3),Holidays))</f>
        <v/>
      </c>
      <c r="Z615" s="17">
        <f>IF(OR($W615="",$W615=6),"",CHOOSE($W615,"1st Email Follow-up","2nd Email Follow-up","Escalate Local Office","Escalate to CBE","Escalate to Roxanne"))</f>
        <v/>
      </c>
    </row>
    <row r="616" spans="18:26">
      <c r="R616" s="15"/>
      <c r="S616" s="16"/>
      <c r="T616" s="17">
        <f>IF(AND(COUNTA($A616:$K616)=0,$L616=""),"",IF($S616="Paid","PAID",IF($S616="Closed","CLOSED",IF($W616="","",IF($W616=6,"ESCALATED TO ROXANNE",IF(TODAY()&gt;$Y616,"OVERDUE",IF($Y616&lt;=WORKDAY(TODAY(),1,Holidays),"DUE TOMORROW",IF($W616=4,"ESCALATED TO LOCAL OFFICE",IF($W616=5,"ESCALATED TO CBE",IF($X616=TODAY(),"EMAIL SENT","MONITORING"))))))))))</f>
        <v/>
      </c>
      <c r="U616" s="17">
        <f>IF($T616="",IF(AND(COUNTA($A616:$K616)&gt;0,$L616=""),"Awaiting Collection Email time stamp.",""),IF(OR($T616="PAID",$T616="CLOSED"),IF($T616="PAID","Account paid. Action completed.","Account closed. No further action required."),CHOOSE($W616,"Collection Email","1st Email Follow-up","2nd Email Follow-up","Escalation to Local Office","Escalation to CBE","Escalation to Roxanne")&amp;" sent "&amp;TEXT($X616,"dd-mmm")&amp;". "&amp;IF($W616=6,"Final escalation completed.",IF($T616="OVERDUE","Next: "&amp;$Z616&amp;" was due "&amp;TEXT($Y616,"dd-mmm")&amp;" - "&amp;(NETWORKDAYS($Y616,TODAY(),Holidays)-1)&amp;" business day(s) late. Send now.",IF($T616="DUE TOMORROW","Next: "&amp;$Z616&amp;IF($Y616&lt;=TODAY()," is due TODAY ("," is due next business day (")&amp;TEXT($Y616,"dd-mmm")&amp;").","Next: "&amp;$Z616&amp;" due "&amp;TEXT($Y616,"dd-mmm")&amp;" ("&amp;(NETWORKDAYS(TODAY(),$Y616,Holidays)-1)&amp;" business day(s) left).")))))</f>
        <v/>
      </c>
      <c r="V616" s="17">
        <f>IF($W616="","",CHOOSE($W616,"Collection Email","1st Follow-up","2nd Follow-up","Local Office","CBE","Roxanne")&amp;IF($W616=6," - Final"," - Day "&amp;MAX(0,NETWORKDAYS($X616,TODAY(),Holidays)-1)&amp;" of "&amp;CHOOSE($W616,3,3,2,2,3))&amp;" | Total Day "&amp;MAX(0,NETWORKDAYS($L616,TODAY(),Holidays)-1))</f>
        <v/>
      </c>
      <c r="W616" s="17">
        <f>IF($L616="","",COUNT($L616:$Q616))</f>
        <v/>
      </c>
      <c r="X616" s="18">
        <f>IF($W616="","",INT(INDEX($L616:$Q616,$W616)))</f>
        <v/>
      </c>
      <c r="Y616" s="18">
        <f>IF(OR($W616="",$W616=6),"",WORKDAY($X616,CHOOSE($W616,3,3,2,2,3),Holidays))</f>
        <v/>
      </c>
      <c r="Z616" s="17">
        <f>IF(OR($W616="",$W616=6),"",CHOOSE($W616,"1st Email Follow-up","2nd Email Follow-up","Escalate Local Office","Escalate to CBE","Escalate to Roxanne"))</f>
        <v/>
      </c>
    </row>
    <row r="617" spans="18:26">
      <c r="R617" s="15"/>
      <c r="S617" s="16"/>
      <c r="T617" s="17">
        <f>IF(AND(COUNTA($A617:$K617)=0,$L617=""),"",IF($S617="Paid","PAID",IF($S617="Closed","CLOSED",IF($W617="","",IF($W617=6,"ESCALATED TO ROXANNE",IF(TODAY()&gt;$Y617,"OVERDUE",IF($Y617&lt;=WORKDAY(TODAY(),1,Holidays),"DUE TOMORROW",IF($W617=4,"ESCALATED TO LOCAL OFFICE",IF($W617=5,"ESCALATED TO CBE",IF($X617=TODAY(),"EMAIL SENT","MONITORING"))))))))))</f>
        <v/>
      </c>
      <c r="U617" s="17">
        <f>IF($T617="",IF(AND(COUNTA($A617:$K617)&gt;0,$L617=""),"Awaiting Collection Email time stamp.",""),IF(OR($T617="PAID",$T617="CLOSED"),IF($T617="PAID","Account paid. Action completed.","Account closed. No further action required."),CHOOSE($W617,"Collection Email","1st Email Follow-up","2nd Email Follow-up","Escalation to Local Office","Escalation to CBE","Escalation to Roxanne")&amp;" sent "&amp;TEXT($X617,"dd-mmm")&amp;". "&amp;IF($W617=6,"Final escalation completed.",IF($T617="OVERDUE","Next: "&amp;$Z617&amp;" was due "&amp;TEXT($Y617,"dd-mmm")&amp;" - "&amp;(NETWORKDAYS($Y617,TODAY(),Holidays)-1)&amp;" business day(s) late. Send now.",IF($T617="DUE TOMORROW","Next: "&amp;$Z617&amp;IF($Y617&lt;=TODAY()," is due TODAY ("," is due next business day (")&amp;TEXT($Y617,"dd-mmm")&amp;").","Next: "&amp;$Z617&amp;" due "&amp;TEXT($Y617,"dd-mmm")&amp;" ("&amp;(NETWORKDAYS(TODAY(),$Y617,Holidays)-1)&amp;" business day(s) left).")))))</f>
        <v/>
      </c>
      <c r="V617" s="17">
        <f>IF($W617="","",CHOOSE($W617,"Collection Email","1st Follow-up","2nd Follow-up","Local Office","CBE","Roxanne")&amp;IF($W617=6," - Final"," - Day "&amp;MAX(0,NETWORKDAYS($X617,TODAY(),Holidays)-1)&amp;" of "&amp;CHOOSE($W617,3,3,2,2,3))&amp;" | Total Day "&amp;MAX(0,NETWORKDAYS($L617,TODAY(),Holidays)-1))</f>
        <v/>
      </c>
      <c r="W617" s="17">
        <f>IF($L617="","",COUNT($L617:$Q617))</f>
        <v/>
      </c>
      <c r="X617" s="18">
        <f>IF($W617="","",INT(INDEX($L617:$Q617,$W617)))</f>
        <v/>
      </c>
      <c r="Y617" s="18">
        <f>IF(OR($W617="",$W617=6),"",WORKDAY($X617,CHOOSE($W617,3,3,2,2,3),Holidays))</f>
        <v/>
      </c>
      <c r="Z617" s="17">
        <f>IF(OR($W617="",$W617=6),"",CHOOSE($W617,"1st Email Follow-up","2nd Email Follow-up","Escalate Local Office","Escalate to CBE","Escalate to Roxanne"))</f>
        <v/>
      </c>
    </row>
    <row r="618" spans="18:26">
      <c r="R618" s="15"/>
      <c r="S618" s="16"/>
      <c r="T618" s="17">
        <f>IF(AND(COUNTA($A618:$K618)=0,$L618=""),"",IF($S618="Paid","PAID",IF($S618="Closed","CLOSED",IF($W618="","",IF($W618=6,"ESCALATED TO ROXANNE",IF(TODAY()&gt;$Y618,"OVERDUE",IF($Y618&lt;=WORKDAY(TODAY(),1,Holidays),"DUE TOMORROW",IF($W618=4,"ESCALATED TO LOCAL OFFICE",IF($W618=5,"ESCALATED TO CBE",IF($X618=TODAY(),"EMAIL SENT","MONITORING"))))))))))</f>
        <v/>
      </c>
      <c r="U618" s="17">
        <f>IF($T618="",IF(AND(COUNTA($A618:$K618)&gt;0,$L618=""),"Awaiting Collection Email time stamp.",""),IF(OR($T618="PAID",$T618="CLOSED"),IF($T618="PAID","Account paid. Action completed.","Account closed. No further action required."),CHOOSE($W618,"Collection Email","1st Email Follow-up","2nd Email Follow-up","Escalation to Local Office","Escalation to CBE","Escalation to Roxanne")&amp;" sent "&amp;TEXT($X618,"dd-mmm")&amp;". "&amp;IF($W618=6,"Final escalation completed.",IF($T618="OVERDUE","Next: "&amp;$Z618&amp;" was due "&amp;TEXT($Y618,"dd-mmm")&amp;" - "&amp;(NETWORKDAYS($Y618,TODAY(),Holidays)-1)&amp;" business day(s) late. Send now.",IF($T618="DUE TOMORROW","Next: "&amp;$Z618&amp;IF($Y618&lt;=TODAY()," is due TODAY ("," is due next business day (")&amp;TEXT($Y618,"dd-mmm")&amp;").","Next: "&amp;$Z618&amp;" due "&amp;TEXT($Y618,"dd-mmm")&amp;" ("&amp;(NETWORKDAYS(TODAY(),$Y618,Holidays)-1)&amp;" business day(s) left).")))))</f>
        <v/>
      </c>
      <c r="V618" s="17">
        <f>IF($W618="","",CHOOSE($W618,"Collection Email","1st Follow-up","2nd Follow-up","Local Office","CBE","Roxanne")&amp;IF($W618=6," - Final"," - Day "&amp;MAX(0,NETWORKDAYS($X618,TODAY(),Holidays)-1)&amp;" of "&amp;CHOOSE($W618,3,3,2,2,3))&amp;" | Total Day "&amp;MAX(0,NETWORKDAYS($L618,TODAY(),Holidays)-1))</f>
        <v/>
      </c>
      <c r="W618" s="17">
        <f>IF($L618="","",COUNT($L618:$Q618))</f>
        <v/>
      </c>
      <c r="X618" s="18">
        <f>IF($W618="","",INT(INDEX($L618:$Q618,$W618)))</f>
        <v/>
      </c>
      <c r="Y618" s="18">
        <f>IF(OR($W618="",$W618=6),"",WORKDAY($X618,CHOOSE($W618,3,3,2,2,3),Holidays))</f>
        <v/>
      </c>
      <c r="Z618" s="17">
        <f>IF(OR($W618="",$W618=6),"",CHOOSE($W618,"1st Email Follow-up","2nd Email Follow-up","Escalate Local Office","Escalate to CBE","Escalate to Roxanne"))</f>
        <v/>
      </c>
    </row>
    <row r="619" spans="18:26">
      <c r="R619" s="15"/>
      <c r="S619" s="16"/>
      <c r="T619" s="17">
        <f>IF(AND(COUNTA($A619:$K619)=0,$L619=""),"",IF($S619="Paid","PAID",IF($S619="Closed","CLOSED",IF($W619="","",IF($W619=6,"ESCALATED TO ROXANNE",IF(TODAY()&gt;$Y619,"OVERDUE",IF($Y619&lt;=WORKDAY(TODAY(),1,Holidays),"DUE TOMORROW",IF($W619=4,"ESCALATED TO LOCAL OFFICE",IF($W619=5,"ESCALATED TO CBE",IF($X619=TODAY(),"EMAIL SENT","MONITORING"))))))))))</f>
        <v/>
      </c>
      <c r="U619" s="17">
        <f>IF($T619="",IF(AND(COUNTA($A619:$K619)&gt;0,$L619=""),"Awaiting Collection Email time stamp.",""),IF(OR($T619="PAID",$T619="CLOSED"),IF($T619="PAID","Account paid. Action completed.","Account closed. No further action required."),CHOOSE($W619,"Collection Email","1st Email Follow-up","2nd Email Follow-up","Escalation to Local Office","Escalation to CBE","Escalation to Roxanne")&amp;" sent "&amp;TEXT($X619,"dd-mmm")&amp;". "&amp;IF($W619=6,"Final escalation completed.",IF($T619="OVERDUE","Next: "&amp;$Z619&amp;" was due "&amp;TEXT($Y619,"dd-mmm")&amp;" - "&amp;(NETWORKDAYS($Y619,TODAY(),Holidays)-1)&amp;" business day(s) late. Send now.",IF($T619="DUE TOMORROW","Next: "&amp;$Z619&amp;IF($Y619&lt;=TODAY()," is due TODAY ("," is due next business day (")&amp;TEXT($Y619,"dd-mmm")&amp;").","Next: "&amp;$Z619&amp;" due "&amp;TEXT($Y619,"dd-mmm")&amp;" ("&amp;(NETWORKDAYS(TODAY(),$Y619,Holidays)-1)&amp;" business day(s) left).")))))</f>
        <v/>
      </c>
      <c r="V619" s="17">
        <f>IF($W619="","",CHOOSE($W619,"Collection Email","1st Follow-up","2nd Follow-up","Local Office","CBE","Roxanne")&amp;IF($W619=6," - Final"," - Day "&amp;MAX(0,NETWORKDAYS($X619,TODAY(),Holidays)-1)&amp;" of "&amp;CHOOSE($W619,3,3,2,2,3))&amp;" | Total Day "&amp;MAX(0,NETWORKDAYS($L619,TODAY(),Holidays)-1))</f>
        <v/>
      </c>
      <c r="W619" s="17">
        <f>IF($L619="","",COUNT($L619:$Q619))</f>
        <v/>
      </c>
      <c r="X619" s="18">
        <f>IF($W619="","",INT(INDEX($L619:$Q619,$W619)))</f>
        <v/>
      </c>
      <c r="Y619" s="18">
        <f>IF(OR($W619="",$W619=6),"",WORKDAY($X619,CHOOSE($W619,3,3,2,2,3),Holidays))</f>
        <v/>
      </c>
      <c r="Z619" s="17">
        <f>IF(OR($W619="",$W619=6),"",CHOOSE($W619,"1st Email Follow-up","2nd Email Follow-up","Escalate Local Office","Escalate to CBE","Escalate to Roxanne"))</f>
        <v/>
      </c>
    </row>
    <row r="620" spans="18:26">
      <c r="R620" s="15"/>
      <c r="S620" s="16"/>
      <c r="T620" s="17">
        <f>IF(AND(COUNTA($A620:$K620)=0,$L620=""),"",IF($S620="Paid","PAID",IF($S620="Closed","CLOSED",IF($W620="","",IF($W620=6,"ESCALATED TO ROXANNE",IF(TODAY()&gt;$Y620,"OVERDUE",IF($Y620&lt;=WORKDAY(TODAY(),1,Holidays),"DUE TOMORROW",IF($W620=4,"ESCALATED TO LOCAL OFFICE",IF($W620=5,"ESCALATED TO CBE",IF($X620=TODAY(),"EMAIL SENT","MONITORING"))))))))))</f>
        <v/>
      </c>
      <c r="U620" s="17">
        <f>IF($T620="",IF(AND(COUNTA($A620:$K620)&gt;0,$L620=""),"Awaiting Collection Email time stamp.",""),IF(OR($T620="PAID",$T620="CLOSED"),IF($T620="PAID","Account paid. Action completed.","Account closed. No further action required."),CHOOSE($W620,"Collection Email","1st Email Follow-up","2nd Email Follow-up","Escalation to Local Office","Escalation to CBE","Escalation to Roxanne")&amp;" sent "&amp;TEXT($X620,"dd-mmm")&amp;". "&amp;IF($W620=6,"Final escalation completed.",IF($T620="OVERDUE","Next: "&amp;$Z620&amp;" was due "&amp;TEXT($Y620,"dd-mmm")&amp;" - "&amp;(NETWORKDAYS($Y620,TODAY(),Holidays)-1)&amp;" business day(s) late. Send now.",IF($T620="DUE TOMORROW","Next: "&amp;$Z620&amp;IF($Y620&lt;=TODAY()," is due TODAY ("," is due next business day (")&amp;TEXT($Y620,"dd-mmm")&amp;").","Next: "&amp;$Z620&amp;" due "&amp;TEXT($Y620,"dd-mmm")&amp;" ("&amp;(NETWORKDAYS(TODAY(),$Y620,Holidays)-1)&amp;" business day(s) left).")))))</f>
        <v/>
      </c>
      <c r="V620" s="17">
        <f>IF($W620="","",CHOOSE($W620,"Collection Email","1st Follow-up","2nd Follow-up","Local Office","CBE","Roxanne")&amp;IF($W620=6," - Final"," - Day "&amp;MAX(0,NETWORKDAYS($X620,TODAY(),Holidays)-1)&amp;" of "&amp;CHOOSE($W620,3,3,2,2,3))&amp;" | Total Day "&amp;MAX(0,NETWORKDAYS($L620,TODAY(),Holidays)-1))</f>
        <v/>
      </c>
      <c r="W620" s="17">
        <f>IF($L620="","",COUNT($L620:$Q620))</f>
        <v/>
      </c>
      <c r="X620" s="18">
        <f>IF($W620="","",INT(INDEX($L620:$Q620,$W620)))</f>
        <v/>
      </c>
      <c r="Y620" s="18">
        <f>IF(OR($W620="",$W620=6),"",WORKDAY($X620,CHOOSE($W620,3,3,2,2,3),Holidays))</f>
        <v/>
      </c>
      <c r="Z620" s="17">
        <f>IF(OR($W620="",$W620=6),"",CHOOSE($W620,"1st Email Follow-up","2nd Email Follow-up","Escalate Local Office","Escalate to CBE","Escalate to Roxanne"))</f>
        <v/>
      </c>
    </row>
    <row r="621" spans="18:26">
      <c r="R621" s="15"/>
      <c r="S621" s="16"/>
      <c r="T621" s="17">
        <f>IF(AND(COUNTA($A621:$K621)=0,$L621=""),"",IF($S621="Paid","PAID",IF($S621="Closed","CLOSED",IF($W621="","",IF($W621=6,"ESCALATED TO ROXANNE",IF(TODAY()&gt;$Y621,"OVERDUE",IF($Y621&lt;=WORKDAY(TODAY(),1,Holidays),"DUE TOMORROW",IF($W621=4,"ESCALATED TO LOCAL OFFICE",IF($W621=5,"ESCALATED TO CBE",IF($X621=TODAY(),"EMAIL SENT","MONITORING"))))))))))</f>
        <v/>
      </c>
      <c r="U621" s="17">
        <f>IF($T621="",IF(AND(COUNTA($A621:$K621)&gt;0,$L621=""),"Awaiting Collection Email time stamp.",""),IF(OR($T621="PAID",$T621="CLOSED"),IF($T621="PAID","Account paid. Action completed.","Account closed. No further action required."),CHOOSE($W621,"Collection Email","1st Email Follow-up","2nd Email Follow-up","Escalation to Local Office","Escalation to CBE","Escalation to Roxanne")&amp;" sent "&amp;TEXT($X621,"dd-mmm")&amp;". "&amp;IF($W621=6,"Final escalation completed.",IF($T621="OVERDUE","Next: "&amp;$Z621&amp;" was due "&amp;TEXT($Y621,"dd-mmm")&amp;" - "&amp;(NETWORKDAYS($Y621,TODAY(),Holidays)-1)&amp;" business day(s) late. Send now.",IF($T621="DUE TOMORROW","Next: "&amp;$Z621&amp;IF($Y621&lt;=TODAY()," is due TODAY ("," is due next business day (")&amp;TEXT($Y621,"dd-mmm")&amp;").","Next: "&amp;$Z621&amp;" due "&amp;TEXT($Y621,"dd-mmm")&amp;" ("&amp;(NETWORKDAYS(TODAY(),$Y621,Holidays)-1)&amp;" business day(s) left).")))))</f>
        <v/>
      </c>
      <c r="V621" s="17">
        <f>IF($W621="","",CHOOSE($W621,"Collection Email","1st Follow-up","2nd Follow-up","Local Office","CBE","Roxanne")&amp;IF($W621=6," - Final"," - Day "&amp;MAX(0,NETWORKDAYS($X621,TODAY(),Holidays)-1)&amp;" of "&amp;CHOOSE($W621,3,3,2,2,3))&amp;" | Total Day "&amp;MAX(0,NETWORKDAYS($L621,TODAY(),Holidays)-1))</f>
        <v/>
      </c>
      <c r="W621" s="17">
        <f>IF($L621="","",COUNT($L621:$Q621))</f>
        <v/>
      </c>
      <c r="X621" s="18">
        <f>IF($W621="","",INT(INDEX($L621:$Q621,$W621)))</f>
        <v/>
      </c>
      <c r="Y621" s="18">
        <f>IF(OR($W621="",$W621=6),"",WORKDAY($X621,CHOOSE($W621,3,3,2,2,3),Holidays))</f>
        <v/>
      </c>
      <c r="Z621" s="17">
        <f>IF(OR($W621="",$W621=6),"",CHOOSE($W621,"1st Email Follow-up","2nd Email Follow-up","Escalate Local Office","Escalate to CBE","Escalate to Roxanne"))</f>
        <v/>
      </c>
    </row>
    <row r="622" spans="18:26">
      <c r="R622" s="15"/>
      <c r="S622" s="16"/>
      <c r="T622" s="17">
        <f>IF(AND(COUNTA($A622:$K622)=0,$L622=""),"",IF($S622="Paid","PAID",IF($S622="Closed","CLOSED",IF($W622="","",IF($W622=6,"ESCALATED TO ROXANNE",IF(TODAY()&gt;$Y622,"OVERDUE",IF($Y622&lt;=WORKDAY(TODAY(),1,Holidays),"DUE TOMORROW",IF($W622=4,"ESCALATED TO LOCAL OFFICE",IF($W622=5,"ESCALATED TO CBE",IF($X622=TODAY(),"EMAIL SENT","MONITORING"))))))))))</f>
        <v/>
      </c>
      <c r="U622" s="17">
        <f>IF($T622="",IF(AND(COUNTA($A622:$K622)&gt;0,$L622=""),"Awaiting Collection Email time stamp.",""),IF(OR($T622="PAID",$T622="CLOSED"),IF($T622="PAID","Account paid. Action completed.","Account closed. No further action required."),CHOOSE($W622,"Collection Email","1st Email Follow-up","2nd Email Follow-up","Escalation to Local Office","Escalation to CBE","Escalation to Roxanne")&amp;" sent "&amp;TEXT($X622,"dd-mmm")&amp;". "&amp;IF($W622=6,"Final escalation completed.",IF($T622="OVERDUE","Next: "&amp;$Z622&amp;" was due "&amp;TEXT($Y622,"dd-mmm")&amp;" - "&amp;(NETWORKDAYS($Y622,TODAY(),Holidays)-1)&amp;" business day(s) late. Send now.",IF($T622="DUE TOMORROW","Next: "&amp;$Z622&amp;IF($Y622&lt;=TODAY()," is due TODAY ("," is due next business day (")&amp;TEXT($Y622,"dd-mmm")&amp;").","Next: "&amp;$Z622&amp;" due "&amp;TEXT($Y622,"dd-mmm")&amp;" ("&amp;(NETWORKDAYS(TODAY(),$Y622,Holidays)-1)&amp;" business day(s) left).")))))</f>
        <v/>
      </c>
      <c r="V622" s="17">
        <f>IF($W622="","",CHOOSE($W622,"Collection Email","1st Follow-up","2nd Follow-up","Local Office","CBE","Roxanne")&amp;IF($W622=6," - Final"," - Day "&amp;MAX(0,NETWORKDAYS($X622,TODAY(),Holidays)-1)&amp;" of "&amp;CHOOSE($W622,3,3,2,2,3))&amp;" | Total Day "&amp;MAX(0,NETWORKDAYS($L622,TODAY(),Holidays)-1))</f>
        <v/>
      </c>
      <c r="W622" s="17">
        <f>IF($L622="","",COUNT($L622:$Q622))</f>
        <v/>
      </c>
      <c r="X622" s="18">
        <f>IF($W622="","",INT(INDEX($L622:$Q622,$W622)))</f>
        <v/>
      </c>
      <c r="Y622" s="18">
        <f>IF(OR($W622="",$W622=6),"",WORKDAY($X622,CHOOSE($W622,3,3,2,2,3),Holidays))</f>
        <v/>
      </c>
      <c r="Z622" s="17">
        <f>IF(OR($W622="",$W622=6),"",CHOOSE($W622,"1st Email Follow-up","2nd Email Follow-up","Escalate Local Office","Escalate to CBE","Escalate to Roxanne"))</f>
        <v/>
      </c>
    </row>
    <row r="623" spans="18:26">
      <c r="R623" s="15"/>
      <c r="S623" s="16"/>
      <c r="T623" s="17">
        <f>IF(AND(COUNTA($A623:$K623)=0,$L623=""),"",IF($S623="Paid","PAID",IF($S623="Closed","CLOSED",IF($W623="","",IF($W623=6,"ESCALATED TO ROXANNE",IF(TODAY()&gt;$Y623,"OVERDUE",IF($Y623&lt;=WORKDAY(TODAY(),1,Holidays),"DUE TOMORROW",IF($W623=4,"ESCALATED TO LOCAL OFFICE",IF($W623=5,"ESCALATED TO CBE",IF($X623=TODAY(),"EMAIL SENT","MONITORING"))))))))))</f>
        <v/>
      </c>
      <c r="U623" s="17">
        <f>IF($T623="",IF(AND(COUNTA($A623:$K623)&gt;0,$L623=""),"Awaiting Collection Email time stamp.",""),IF(OR($T623="PAID",$T623="CLOSED"),IF($T623="PAID","Account paid. Action completed.","Account closed. No further action required."),CHOOSE($W623,"Collection Email","1st Email Follow-up","2nd Email Follow-up","Escalation to Local Office","Escalation to CBE","Escalation to Roxanne")&amp;" sent "&amp;TEXT($X623,"dd-mmm")&amp;". "&amp;IF($W623=6,"Final escalation completed.",IF($T623="OVERDUE","Next: "&amp;$Z623&amp;" was due "&amp;TEXT($Y623,"dd-mmm")&amp;" - "&amp;(NETWORKDAYS($Y623,TODAY(),Holidays)-1)&amp;" business day(s) late. Send now.",IF($T623="DUE TOMORROW","Next: "&amp;$Z623&amp;IF($Y623&lt;=TODAY()," is due TODAY ("," is due next business day (")&amp;TEXT($Y623,"dd-mmm")&amp;").","Next: "&amp;$Z623&amp;" due "&amp;TEXT($Y623,"dd-mmm")&amp;" ("&amp;(NETWORKDAYS(TODAY(),$Y623,Holidays)-1)&amp;" business day(s) left).")))))</f>
        <v/>
      </c>
      <c r="V623" s="17">
        <f>IF($W623="","",CHOOSE($W623,"Collection Email","1st Follow-up","2nd Follow-up","Local Office","CBE","Roxanne")&amp;IF($W623=6," - Final"," - Day "&amp;MAX(0,NETWORKDAYS($X623,TODAY(),Holidays)-1)&amp;" of "&amp;CHOOSE($W623,3,3,2,2,3))&amp;" | Total Day "&amp;MAX(0,NETWORKDAYS($L623,TODAY(),Holidays)-1))</f>
        <v/>
      </c>
      <c r="W623" s="17">
        <f>IF($L623="","",COUNT($L623:$Q623))</f>
        <v/>
      </c>
      <c r="X623" s="18">
        <f>IF($W623="","",INT(INDEX($L623:$Q623,$W623)))</f>
        <v/>
      </c>
      <c r="Y623" s="18">
        <f>IF(OR($W623="",$W623=6),"",WORKDAY($X623,CHOOSE($W623,3,3,2,2,3),Holidays))</f>
        <v/>
      </c>
      <c r="Z623" s="17">
        <f>IF(OR($W623="",$W623=6),"",CHOOSE($W623,"1st Email Follow-up","2nd Email Follow-up","Escalate Local Office","Escalate to CBE","Escalate to Roxanne"))</f>
        <v/>
      </c>
    </row>
    <row r="624" spans="18:26">
      <c r="R624" s="15"/>
      <c r="S624" s="16"/>
      <c r="T624" s="17">
        <f>IF(AND(COUNTA($A624:$K624)=0,$L624=""),"",IF($S624="Paid","PAID",IF($S624="Closed","CLOSED",IF($W624="","",IF($W624=6,"ESCALATED TO ROXANNE",IF(TODAY()&gt;$Y624,"OVERDUE",IF($Y624&lt;=WORKDAY(TODAY(),1,Holidays),"DUE TOMORROW",IF($W624=4,"ESCALATED TO LOCAL OFFICE",IF($W624=5,"ESCALATED TO CBE",IF($X624=TODAY(),"EMAIL SENT","MONITORING"))))))))))</f>
        <v/>
      </c>
      <c r="U624" s="17">
        <f>IF($T624="",IF(AND(COUNTA($A624:$K624)&gt;0,$L624=""),"Awaiting Collection Email time stamp.",""),IF(OR($T624="PAID",$T624="CLOSED"),IF($T624="PAID","Account paid. Action completed.","Account closed. No further action required."),CHOOSE($W624,"Collection Email","1st Email Follow-up","2nd Email Follow-up","Escalation to Local Office","Escalation to CBE","Escalation to Roxanne")&amp;" sent "&amp;TEXT($X624,"dd-mmm")&amp;". "&amp;IF($W624=6,"Final escalation completed.",IF($T624="OVERDUE","Next: "&amp;$Z624&amp;" was due "&amp;TEXT($Y624,"dd-mmm")&amp;" - "&amp;(NETWORKDAYS($Y624,TODAY(),Holidays)-1)&amp;" business day(s) late. Send now.",IF($T624="DUE TOMORROW","Next: "&amp;$Z624&amp;IF($Y624&lt;=TODAY()," is due TODAY ("," is due next business day (")&amp;TEXT($Y624,"dd-mmm")&amp;").","Next: "&amp;$Z624&amp;" due "&amp;TEXT($Y624,"dd-mmm")&amp;" ("&amp;(NETWORKDAYS(TODAY(),$Y624,Holidays)-1)&amp;" business day(s) left).")))))</f>
        <v/>
      </c>
      <c r="V624" s="17">
        <f>IF($W624="","",CHOOSE($W624,"Collection Email","1st Follow-up","2nd Follow-up","Local Office","CBE","Roxanne")&amp;IF($W624=6," - Final"," - Day "&amp;MAX(0,NETWORKDAYS($X624,TODAY(),Holidays)-1)&amp;" of "&amp;CHOOSE($W624,3,3,2,2,3))&amp;" | Total Day "&amp;MAX(0,NETWORKDAYS($L624,TODAY(),Holidays)-1))</f>
        <v/>
      </c>
      <c r="W624" s="17">
        <f>IF($L624="","",COUNT($L624:$Q624))</f>
        <v/>
      </c>
      <c r="X624" s="18">
        <f>IF($W624="","",INT(INDEX($L624:$Q624,$W624)))</f>
        <v/>
      </c>
      <c r="Y624" s="18">
        <f>IF(OR($W624="",$W624=6),"",WORKDAY($X624,CHOOSE($W624,3,3,2,2,3),Holidays))</f>
        <v/>
      </c>
      <c r="Z624" s="17">
        <f>IF(OR($W624="",$W624=6),"",CHOOSE($W624,"1st Email Follow-up","2nd Email Follow-up","Escalate Local Office","Escalate to CBE","Escalate to Roxanne"))</f>
        <v/>
      </c>
    </row>
    <row r="625" spans="18:26">
      <c r="R625" s="15"/>
      <c r="S625" s="16"/>
      <c r="T625" s="17">
        <f>IF(AND(COUNTA($A625:$K625)=0,$L625=""),"",IF($S625="Paid","PAID",IF($S625="Closed","CLOSED",IF($W625="","",IF($W625=6,"ESCALATED TO ROXANNE",IF(TODAY()&gt;$Y625,"OVERDUE",IF($Y625&lt;=WORKDAY(TODAY(),1,Holidays),"DUE TOMORROW",IF($W625=4,"ESCALATED TO LOCAL OFFICE",IF($W625=5,"ESCALATED TO CBE",IF($X625=TODAY(),"EMAIL SENT","MONITORING"))))))))))</f>
        <v/>
      </c>
      <c r="U625" s="17">
        <f>IF($T625="",IF(AND(COUNTA($A625:$K625)&gt;0,$L625=""),"Awaiting Collection Email time stamp.",""),IF(OR($T625="PAID",$T625="CLOSED"),IF($T625="PAID","Account paid. Action completed.","Account closed. No further action required."),CHOOSE($W625,"Collection Email","1st Email Follow-up","2nd Email Follow-up","Escalation to Local Office","Escalation to CBE","Escalation to Roxanne")&amp;" sent "&amp;TEXT($X625,"dd-mmm")&amp;". "&amp;IF($W625=6,"Final escalation completed.",IF($T625="OVERDUE","Next: "&amp;$Z625&amp;" was due "&amp;TEXT($Y625,"dd-mmm")&amp;" - "&amp;(NETWORKDAYS($Y625,TODAY(),Holidays)-1)&amp;" business day(s) late. Send now.",IF($T625="DUE TOMORROW","Next: "&amp;$Z625&amp;IF($Y625&lt;=TODAY()," is due TODAY ("," is due next business day (")&amp;TEXT($Y625,"dd-mmm")&amp;").","Next: "&amp;$Z625&amp;" due "&amp;TEXT($Y625,"dd-mmm")&amp;" ("&amp;(NETWORKDAYS(TODAY(),$Y625,Holidays)-1)&amp;" business day(s) left).")))))</f>
        <v/>
      </c>
      <c r="V625" s="17">
        <f>IF($W625="","",CHOOSE($W625,"Collection Email","1st Follow-up","2nd Follow-up","Local Office","CBE","Roxanne")&amp;IF($W625=6," - Final"," - Day "&amp;MAX(0,NETWORKDAYS($X625,TODAY(),Holidays)-1)&amp;" of "&amp;CHOOSE($W625,3,3,2,2,3))&amp;" | Total Day "&amp;MAX(0,NETWORKDAYS($L625,TODAY(),Holidays)-1))</f>
        <v/>
      </c>
      <c r="W625" s="17">
        <f>IF($L625="","",COUNT($L625:$Q625))</f>
        <v/>
      </c>
      <c r="X625" s="18">
        <f>IF($W625="","",INT(INDEX($L625:$Q625,$W625)))</f>
        <v/>
      </c>
      <c r="Y625" s="18">
        <f>IF(OR($W625="",$W625=6),"",WORKDAY($X625,CHOOSE($W625,3,3,2,2,3),Holidays))</f>
        <v/>
      </c>
      <c r="Z625" s="17">
        <f>IF(OR($W625="",$W625=6),"",CHOOSE($W625,"1st Email Follow-up","2nd Email Follow-up","Escalate Local Office","Escalate to CBE","Escalate to Roxanne"))</f>
        <v/>
      </c>
    </row>
    <row r="626" spans="18:26">
      <c r="R626" s="15"/>
      <c r="S626" s="16"/>
      <c r="T626" s="17">
        <f>IF(AND(COUNTA($A626:$K626)=0,$L626=""),"",IF($S626="Paid","PAID",IF($S626="Closed","CLOSED",IF($W626="","",IF($W626=6,"ESCALATED TO ROXANNE",IF(TODAY()&gt;$Y626,"OVERDUE",IF($Y626&lt;=WORKDAY(TODAY(),1,Holidays),"DUE TOMORROW",IF($W626=4,"ESCALATED TO LOCAL OFFICE",IF($W626=5,"ESCALATED TO CBE",IF($X626=TODAY(),"EMAIL SENT","MONITORING"))))))))))</f>
        <v/>
      </c>
      <c r="U626" s="17">
        <f>IF($T626="",IF(AND(COUNTA($A626:$K626)&gt;0,$L626=""),"Awaiting Collection Email time stamp.",""),IF(OR($T626="PAID",$T626="CLOSED"),IF($T626="PAID","Account paid. Action completed.","Account closed. No further action required."),CHOOSE($W626,"Collection Email","1st Email Follow-up","2nd Email Follow-up","Escalation to Local Office","Escalation to CBE","Escalation to Roxanne")&amp;" sent "&amp;TEXT($X626,"dd-mmm")&amp;". "&amp;IF($W626=6,"Final escalation completed.",IF($T626="OVERDUE","Next: "&amp;$Z626&amp;" was due "&amp;TEXT($Y626,"dd-mmm")&amp;" - "&amp;(NETWORKDAYS($Y626,TODAY(),Holidays)-1)&amp;" business day(s) late. Send now.",IF($T626="DUE TOMORROW","Next: "&amp;$Z626&amp;IF($Y626&lt;=TODAY()," is due TODAY ("," is due next business day (")&amp;TEXT($Y626,"dd-mmm")&amp;").","Next: "&amp;$Z626&amp;" due "&amp;TEXT($Y626,"dd-mmm")&amp;" ("&amp;(NETWORKDAYS(TODAY(),$Y626,Holidays)-1)&amp;" business day(s) left).")))))</f>
        <v/>
      </c>
      <c r="V626" s="17">
        <f>IF($W626="","",CHOOSE($W626,"Collection Email","1st Follow-up","2nd Follow-up","Local Office","CBE","Roxanne")&amp;IF($W626=6," - Final"," - Day "&amp;MAX(0,NETWORKDAYS($X626,TODAY(),Holidays)-1)&amp;" of "&amp;CHOOSE($W626,3,3,2,2,3))&amp;" | Total Day "&amp;MAX(0,NETWORKDAYS($L626,TODAY(),Holidays)-1))</f>
        <v/>
      </c>
      <c r="W626" s="17">
        <f>IF($L626="","",COUNT($L626:$Q626))</f>
        <v/>
      </c>
      <c r="X626" s="18">
        <f>IF($W626="","",INT(INDEX($L626:$Q626,$W626)))</f>
        <v/>
      </c>
      <c r="Y626" s="18">
        <f>IF(OR($W626="",$W626=6),"",WORKDAY($X626,CHOOSE($W626,3,3,2,2,3),Holidays))</f>
        <v/>
      </c>
      <c r="Z626" s="17">
        <f>IF(OR($W626="",$W626=6),"",CHOOSE($W626,"1st Email Follow-up","2nd Email Follow-up","Escalate Local Office","Escalate to CBE","Escalate to Roxanne"))</f>
        <v/>
      </c>
    </row>
    <row r="627" spans="18:26">
      <c r="R627" s="15"/>
      <c r="S627" s="16"/>
      <c r="T627" s="17">
        <f>IF(AND(COUNTA($A627:$K627)=0,$L627=""),"",IF($S627="Paid","PAID",IF($S627="Closed","CLOSED",IF($W627="","",IF($W627=6,"ESCALATED TO ROXANNE",IF(TODAY()&gt;$Y627,"OVERDUE",IF($Y627&lt;=WORKDAY(TODAY(),1,Holidays),"DUE TOMORROW",IF($W627=4,"ESCALATED TO LOCAL OFFICE",IF($W627=5,"ESCALATED TO CBE",IF($X627=TODAY(),"EMAIL SENT","MONITORING"))))))))))</f>
        <v/>
      </c>
      <c r="U627" s="17">
        <f>IF($T627="",IF(AND(COUNTA($A627:$K627)&gt;0,$L627=""),"Awaiting Collection Email time stamp.",""),IF(OR($T627="PAID",$T627="CLOSED"),IF($T627="PAID","Account paid. Action completed.","Account closed. No further action required."),CHOOSE($W627,"Collection Email","1st Email Follow-up","2nd Email Follow-up","Escalation to Local Office","Escalation to CBE","Escalation to Roxanne")&amp;" sent "&amp;TEXT($X627,"dd-mmm")&amp;". "&amp;IF($W627=6,"Final escalation completed.",IF($T627="OVERDUE","Next: "&amp;$Z627&amp;" was due "&amp;TEXT($Y627,"dd-mmm")&amp;" - "&amp;(NETWORKDAYS($Y627,TODAY(),Holidays)-1)&amp;" business day(s) late. Send now.",IF($T627="DUE TOMORROW","Next: "&amp;$Z627&amp;IF($Y627&lt;=TODAY()," is due TODAY ("," is due next business day (")&amp;TEXT($Y627,"dd-mmm")&amp;").","Next: "&amp;$Z627&amp;" due "&amp;TEXT($Y627,"dd-mmm")&amp;" ("&amp;(NETWORKDAYS(TODAY(),$Y627,Holidays)-1)&amp;" business day(s) left).")))))</f>
        <v/>
      </c>
      <c r="V627" s="17">
        <f>IF($W627="","",CHOOSE($W627,"Collection Email","1st Follow-up","2nd Follow-up","Local Office","CBE","Roxanne")&amp;IF($W627=6," - Final"," - Day "&amp;MAX(0,NETWORKDAYS($X627,TODAY(),Holidays)-1)&amp;" of "&amp;CHOOSE($W627,3,3,2,2,3))&amp;" | Total Day "&amp;MAX(0,NETWORKDAYS($L627,TODAY(),Holidays)-1))</f>
        <v/>
      </c>
      <c r="W627" s="17">
        <f>IF($L627="","",COUNT($L627:$Q627))</f>
        <v/>
      </c>
      <c r="X627" s="18">
        <f>IF($W627="","",INT(INDEX($L627:$Q627,$W627)))</f>
        <v/>
      </c>
      <c r="Y627" s="18">
        <f>IF(OR($W627="",$W627=6),"",WORKDAY($X627,CHOOSE($W627,3,3,2,2,3),Holidays))</f>
        <v/>
      </c>
      <c r="Z627" s="17">
        <f>IF(OR($W627="",$W627=6),"",CHOOSE($W627,"1st Email Follow-up","2nd Email Follow-up","Escalate Local Office","Escalate to CBE","Escalate to Roxanne"))</f>
        <v/>
      </c>
    </row>
    <row r="628" spans="18:26">
      <c r="R628" s="15"/>
      <c r="S628" s="16"/>
      <c r="T628" s="17">
        <f>IF(AND(COUNTA($A628:$K628)=0,$L628=""),"",IF($S628="Paid","PAID",IF($S628="Closed","CLOSED",IF($W628="","",IF($W628=6,"ESCALATED TO ROXANNE",IF(TODAY()&gt;$Y628,"OVERDUE",IF($Y628&lt;=WORKDAY(TODAY(),1,Holidays),"DUE TOMORROW",IF($W628=4,"ESCALATED TO LOCAL OFFICE",IF($W628=5,"ESCALATED TO CBE",IF($X628=TODAY(),"EMAIL SENT","MONITORING"))))))))))</f>
        <v/>
      </c>
      <c r="U628" s="17">
        <f>IF($T628="",IF(AND(COUNTA($A628:$K628)&gt;0,$L628=""),"Awaiting Collection Email time stamp.",""),IF(OR($T628="PAID",$T628="CLOSED"),IF($T628="PAID","Account paid. Action completed.","Account closed. No further action required."),CHOOSE($W628,"Collection Email","1st Email Follow-up","2nd Email Follow-up","Escalation to Local Office","Escalation to CBE","Escalation to Roxanne")&amp;" sent "&amp;TEXT($X628,"dd-mmm")&amp;". "&amp;IF($W628=6,"Final escalation completed.",IF($T628="OVERDUE","Next: "&amp;$Z628&amp;" was due "&amp;TEXT($Y628,"dd-mmm")&amp;" - "&amp;(NETWORKDAYS($Y628,TODAY(),Holidays)-1)&amp;" business day(s) late. Send now.",IF($T628="DUE TOMORROW","Next: "&amp;$Z628&amp;IF($Y628&lt;=TODAY()," is due TODAY ("," is due next business day (")&amp;TEXT($Y628,"dd-mmm")&amp;").","Next: "&amp;$Z628&amp;" due "&amp;TEXT($Y628,"dd-mmm")&amp;" ("&amp;(NETWORKDAYS(TODAY(),$Y628,Holidays)-1)&amp;" business day(s) left).")))))</f>
        <v/>
      </c>
      <c r="V628" s="17">
        <f>IF($W628="","",CHOOSE($W628,"Collection Email","1st Follow-up","2nd Follow-up","Local Office","CBE","Roxanne")&amp;IF($W628=6," - Final"," - Day "&amp;MAX(0,NETWORKDAYS($X628,TODAY(),Holidays)-1)&amp;" of "&amp;CHOOSE($W628,3,3,2,2,3))&amp;" | Total Day "&amp;MAX(0,NETWORKDAYS($L628,TODAY(),Holidays)-1))</f>
        <v/>
      </c>
      <c r="W628" s="17">
        <f>IF($L628="","",COUNT($L628:$Q628))</f>
        <v/>
      </c>
      <c r="X628" s="18">
        <f>IF($W628="","",INT(INDEX($L628:$Q628,$W628)))</f>
        <v/>
      </c>
      <c r="Y628" s="18">
        <f>IF(OR($W628="",$W628=6),"",WORKDAY($X628,CHOOSE($W628,3,3,2,2,3),Holidays))</f>
        <v/>
      </c>
      <c r="Z628" s="17">
        <f>IF(OR($W628="",$W628=6),"",CHOOSE($W628,"1st Email Follow-up","2nd Email Follow-up","Escalate Local Office","Escalate to CBE","Escalate to Roxanne"))</f>
        <v/>
      </c>
    </row>
    <row r="629" spans="18:26">
      <c r="R629" s="15"/>
      <c r="S629" s="16"/>
      <c r="T629" s="17">
        <f>IF(AND(COUNTA($A629:$K629)=0,$L629=""),"",IF($S629="Paid","PAID",IF($S629="Closed","CLOSED",IF($W629="","",IF($W629=6,"ESCALATED TO ROXANNE",IF(TODAY()&gt;$Y629,"OVERDUE",IF($Y629&lt;=WORKDAY(TODAY(),1,Holidays),"DUE TOMORROW",IF($W629=4,"ESCALATED TO LOCAL OFFICE",IF($W629=5,"ESCALATED TO CBE",IF($X629=TODAY(),"EMAIL SENT","MONITORING"))))))))))</f>
        <v/>
      </c>
      <c r="U629" s="17">
        <f>IF($T629="",IF(AND(COUNTA($A629:$K629)&gt;0,$L629=""),"Awaiting Collection Email time stamp.",""),IF(OR($T629="PAID",$T629="CLOSED"),IF($T629="PAID","Account paid. Action completed.","Account closed. No further action required."),CHOOSE($W629,"Collection Email","1st Email Follow-up","2nd Email Follow-up","Escalation to Local Office","Escalation to CBE","Escalation to Roxanne")&amp;" sent "&amp;TEXT($X629,"dd-mmm")&amp;". "&amp;IF($W629=6,"Final escalation completed.",IF($T629="OVERDUE","Next: "&amp;$Z629&amp;" was due "&amp;TEXT($Y629,"dd-mmm")&amp;" - "&amp;(NETWORKDAYS($Y629,TODAY(),Holidays)-1)&amp;" business day(s) late. Send now.",IF($T629="DUE TOMORROW","Next: "&amp;$Z629&amp;IF($Y629&lt;=TODAY()," is due TODAY ("," is due next business day (")&amp;TEXT($Y629,"dd-mmm")&amp;").","Next: "&amp;$Z629&amp;" due "&amp;TEXT($Y629,"dd-mmm")&amp;" ("&amp;(NETWORKDAYS(TODAY(),$Y629,Holidays)-1)&amp;" business day(s) left).")))))</f>
        <v/>
      </c>
      <c r="V629" s="17">
        <f>IF($W629="","",CHOOSE($W629,"Collection Email","1st Follow-up","2nd Follow-up","Local Office","CBE","Roxanne")&amp;IF($W629=6," - Final"," - Day "&amp;MAX(0,NETWORKDAYS($X629,TODAY(),Holidays)-1)&amp;" of "&amp;CHOOSE($W629,3,3,2,2,3))&amp;" | Total Day "&amp;MAX(0,NETWORKDAYS($L629,TODAY(),Holidays)-1))</f>
        <v/>
      </c>
      <c r="W629" s="17">
        <f>IF($L629="","",COUNT($L629:$Q629))</f>
        <v/>
      </c>
      <c r="X629" s="18">
        <f>IF($W629="","",INT(INDEX($L629:$Q629,$W629)))</f>
        <v/>
      </c>
      <c r="Y629" s="18">
        <f>IF(OR($W629="",$W629=6),"",WORKDAY($X629,CHOOSE($W629,3,3,2,2,3),Holidays))</f>
        <v/>
      </c>
      <c r="Z629" s="17">
        <f>IF(OR($W629="",$W629=6),"",CHOOSE($W629,"1st Email Follow-up","2nd Email Follow-up","Escalate Local Office","Escalate to CBE","Escalate to Roxanne"))</f>
        <v/>
      </c>
    </row>
    <row r="630" spans="18:26">
      <c r="R630" s="15"/>
      <c r="S630" s="16"/>
      <c r="T630" s="17">
        <f>IF(AND(COUNTA($A630:$K630)=0,$L630=""),"",IF($S630="Paid","PAID",IF($S630="Closed","CLOSED",IF($W630="","",IF($W630=6,"ESCALATED TO ROXANNE",IF(TODAY()&gt;$Y630,"OVERDUE",IF($Y630&lt;=WORKDAY(TODAY(),1,Holidays),"DUE TOMORROW",IF($W630=4,"ESCALATED TO LOCAL OFFICE",IF($W630=5,"ESCALATED TO CBE",IF($X630=TODAY(),"EMAIL SENT","MONITORING"))))))))))</f>
        <v/>
      </c>
      <c r="U630" s="17">
        <f>IF($T630="",IF(AND(COUNTA($A630:$K630)&gt;0,$L630=""),"Awaiting Collection Email time stamp.",""),IF(OR($T630="PAID",$T630="CLOSED"),IF($T630="PAID","Account paid. Action completed.","Account closed. No further action required."),CHOOSE($W630,"Collection Email","1st Email Follow-up","2nd Email Follow-up","Escalation to Local Office","Escalation to CBE","Escalation to Roxanne")&amp;" sent "&amp;TEXT($X630,"dd-mmm")&amp;". "&amp;IF($W630=6,"Final escalation completed.",IF($T630="OVERDUE","Next: "&amp;$Z630&amp;" was due "&amp;TEXT($Y630,"dd-mmm")&amp;" - "&amp;(NETWORKDAYS($Y630,TODAY(),Holidays)-1)&amp;" business day(s) late. Send now.",IF($T630="DUE TOMORROW","Next: "&amp;$Z630&amp;IF($Y630&lt;=TODAY()," is due TODAY ("," is due next business day (")&amp;TEXT($Y630,"dd-mmm")&amp;").","Next: "&amp;$Z630&amp;" due "&amp;TEXT($Y630,"dd-mmm")&amp;" ("&amp;(NETWORKDAYS(TODAY(),$Y630,Holidays)-1)&amp;" business day(s) left).")))))</f>
        <v/>
      </c>
      <c r="V630" s="17">
        <f>IF($W630="","",CHOOSE($W630,"Collection Email","1st Follow-up","2nd Follow-up","Local Office","CBE","Roxanne")&amp;IF($W630=6," - Final"," - Day "&amp;MAX(0,NETWORKDAYS($X630,TODAY(),Holidays)-1)&amp;" of "&amp;CHOOSE($W630,3,3,2,2,3))&amp;" | Total Day "&amp;MAX(0,NETWORKDAYS($L630,TODAY(),Holidays)-1))</f>
        <v/>
      </c>
      <c r="W630" s="17">
        <f>IF($L630="","",COUNT($L630:$Q630))</f>
        <v/>
      </c>
      <c r="X630" s="18">
        <f>IF($W630="","",INT(INDEX($L630:$Q630,$W630)))</f>
        <v/>
      </c>
      <c r="Y630" s="18">
        <f>IF(OR($W630="",$W630=6),"",WORKDAY($X630,CHOOSE($W630,3,3,2,2,3),Holidays))</f>
        <v/>
      </c>
      <c r="Z630" s="17">
        <f>IF(OR($W630="",$W630=6),"",CHOOSE($W630,"1st Email Follow-up","2nd Email Follow-up","Escalate Local Office","Escalate to CBE","Escalate to Roxanne"))</f>
        <v/>
      </c>
    </row>
    <row r="631" spans="18:26">
      <c r="R631" s="15"/>
      <c r="S631" s="16"/>
      <c r="T631" s="17">
        <f>IF(AND(COUNTA($A631:$K631)=0,$L631=""),"",IF($S631="Paid","PAID",IF($S631="Closed","CLOSED",IF($W631="","",IF($W631=6,"ESCALATED TO ROXANNE",IF(TODAY()&gt;$Y631,"OVERDUE",IF($Y631&lt;=WORKDAY(TODAY(),1,Holidays),"DUE TOMORROW",IF($W631=4,"ESCALATED TO LOCAL OFFICE",IF($W631=5,"ESCALATED TO CBE",IF($X631=TODAY(),"EMAIL SENT","MONITORING"))))))))))</f>
        <v/>
      </c>
      <c r="U631" s="17">
        <f>IF($T631="",IF(AND(COUNTA($A631:$K631)&gt;0,$L631=""),"Awaiting Collection Email time stamp.",""),IF(OR($T631="PAID",$T631="CLOSED"),IF($T631="PAID","Account paid. Action completed.","Account closed. No further action required."),CHOOSE($W631,"Collection Email","1st Email Follow-up","2nd Email Follow-up","Escalation to Local Office","Escalation to CBE","Escalation to Roxanne")&amp;" sent "&amp;TEXT($X631,"dd-mmm")&amp;". "&amp;IF($W631=6,"Final escalation completed.",IF($T631="OVERDUE","Next: "&amp;$Z631&amp;" was due "&amp;TEXT($Y631,"dd-mmm")&amp;" - "&amp;(NETWORKDAYS($Y631,TODAY(),Holidays)-1)&amp;" business day(s) late. Send now.",IF($T631="DUE TOMORROW","Next: "&amp;$Z631&amp;IF($Y631&lt;=TODAY()," is due TODAY ("," is due next business day (")&amp;TEXT($Y631,"dd-mmm")&amp;").","Next: "&amp;$Z631&amp;" due "&amp;TEXT($Y631,"dd-mmm")&amp;" ("&amp;(NETWORKDAYS(TODAY(),$Y631,Holidays)-1)&amp;" business day(s) left).")))))</f>
        <v/>
      </c>
      <c r="V631" s="17">
        <f>IF($W631="","",CHOOSE($W631,"Collection Email","1st Follow-up","2nd Follow-up","Local Office","CBE","Roxanne")&amp;IF($W631=6," - Final"," - Day "&amp;MAX(0,NETWORKDAYS($X631,TODAY(),Holidays)-1)&amp;" of "&amp;CHOOSE($W631,3,3,2,2,3))&amp;" | Total Day "&amp;MAX(0,NETWORKDAYS($L631,TODAY(),Holidays)-1))</f>
        <v/>
      </c>
      <c r="W631" s="17">
        <f>IF($L631="","",COUNT($L631:$Q631))</f>
        <v/>
      </c>
      <c r="X631" s="18">
        <f>IF($W631="","",INT(INDEX($L631:$Q631,$W631)))</f>
        <v/>
      </c>
      <c r="Y631" s="18">
        <f>IF(OR($W631="",$W631=6),"",WORKDAY($X631,CHOOSE($W631,3,3,2,2,3),Holidays))</f>
        <v/>
      </c>
      <c r="Z631" s="17">
        <f>IF(OR($W631="",$W631=6),"",CHOOSE($W631,"1st Email Follow-up","2nd Email Follow-up","Escalate Local Office","Escalate to CBE","Escalate to Roxanne"))</f>
        <v/>
      </c>
    </row>
    <row r="632" spans="18:26">
      <c r="R632" s="15"/>
      <c r="S632" s="16"/>
      <c r="T632" s="17">
        <f>IF(AND(COUNTA($A632:$K632)=0,$L632=""),"",IF($S632="Paid","PAID",IF($S632="Closed","CLOSED",IF($W632="","",IF($W632=6,"ESCALATED TO ROXANNE",IF(TODAY()&gt;$Y632,"OVERDUE",IF($Y632&lt;=WORKDAY(TODAY(),1,Holidays),"DUE TOMORROW",IF($W632=4,"ESCALATED TO LOCAL OFFICE",IF($W632=5,"ESCALATED TO CBE",IF($X632=TODAY(),"EMAIL SENT","MONITORING"))))))))))</f>
        <v/>
      </c>
      <c r="U632" s="17">
        <f>IF($T632="",IF(AND(COUNTA($A632:$K632)&gt;0,$L632=""),"Awaiting Collection Email time stamp.",""),IF(OR($T632="PAID",$T632="CLOSED"),IF($T632="PAID","Account paid. Action completed.","Account closed. No further action required."),CHOOSE($W632,"Collection Email","1st Email Follow-up","2nd Email Follow-up","Escalation to Local Office","Escalation to CBE","Escalation to Roxanne")&amp;" sent "&amp;TEXT($X632,"dd-mmm")&amp;". "&amp;IF($W632=6,"Final escalation completed.",IF($T632="OVERDUE","Next: "&amp;$Z632&amp;" was due "&amp;TEXT($Y632,"dd-mmm")&amp;" - "&amp;(NETWORKDAYS($Y632,TODAY(),Holidays)-1)&amp;" business day(s) late. Send now.",IF($T632="DUE TOMORROW","Next: "&amp;$Z632&amp;IF($Y632&lt;=TODAY()," is due TODAY ("," is due next business day (")&amp;TEXT($Y632,"dd-mmm")&amp;").","Next: "&amp;$Z632&amp;" due "&amp;TEXT($Y632,"dd-mmm")&amp;" ("&amp;(NETWORKDAYS(TODAY(),$Y632,Holidays)-1)&amp;" business day(s) left).")))))</f>
        <v/>
      </c>
      <c r="V632" s="17">
        <f>IF($W632="","",CHOOSE($W632,"Collection Email","1st Follow-up","2nd Follow-up","Local Office","CBE","Roxanne")&amp;IF($W632=6," - Final"," - Day "&amp;MAX(0,NETWORKDAYS($X632,TODAY(),Holidays)-1)&amp;" of "&amp;CHOOSE($W632,3,3,2,2,3))&amp;" | Total Day "&amp;MAX(0,NETWORKDAYS($L632,TODAY(),Holidays)-1))</f>
        <v/>
      </c>
      <c r="W632" s="17">
        <f>IF($L632="","",COUNT($L632:$Q632))</f>
        <v/>
      </c>
      <c r="X632" s="18">
        <f>IF($W632="","",INT(INDEX($L632:$Q632,$W632)))</f>
        <v/>
      </c>
      <c r="Y632" s="18">
        <f>IF(OR($W632="",$W632=6),"",WORKDAY($X632,CHOOSE($W632,3,3,2,2,3),Holidays))</f>
        <v/>
      </c>
      <c r="Z632" s="17">
        <f>IF(OR($W632="",$W632=6),"",CHOOSE($W632,"1st Email Follow-up","2nd Email Follow-up","Escalate Local Office","Escalate to CBE","Escalate to Roxanne"))</f>
        <v/>
      </c>
    </row>
    <row r="633" spans="18:26">
      <c r="R633" s="15"/>
      <c r="S633" s="16"/>
      <c r="T633" s="17">
        <f>IF(AND(COUNTA($A633:$K633)=0,$L633=""),"",IF($S633="Paid","PAID",IF($S633="Closed","CLOSED",IF($W633="","",IF($W633=6,"ESCALATED TO ROXANNE",IF(TODAY()&gt;$Y633,"OVERDUE",IF($Y633&lt;=WORKDAY(TODAY(),1,Holidays),"DUE TOMORROW",IF($W633=4,"ESCALATED TO LOCAL OFFICE",IF($W633=5,"ESCALATED TO CBE",IF($X633=TODAY(),"EMAIL SENT","MONITORING"))))))))))</f>
        <v/>
      </c>
      <c r="U633" s="17">
        <f>IF($T633="",IF(AND(COUNTA($A633:$K633)&gt;0,$L633=""),"Awaiting Collection Email time stamp.",""),IF(OR($T633="PAID",$T633="CLOSED"),IF($T633="PAID","Account paid. Action completed.","Account closed. No further action required."),CHOOSE($W633,"Collection Email","1st Email Follow-up","2nd Email Follow-up","Escalation to Local Office","Escalation to CBE","Escalation to Roxanne")&amp;" sent "&amp;TEXT($X633,"dd-mmm")&amp;". "&amp;IF($W633=6,"Final escalation completed.",IF($T633="OVERDUE","Next: "&amp;$Z633&amp;" was due "&amp;TEXT($Y633,"dd-mmm")&amp;" - "&amp;(NETWORKDAYS($Y633,TODAY(),Holidays)-1)&amp;" business day(s) late. Send now.",IF($T633="DUE TOMORROW","Next: "&amp;$Z633&amp;IF($Y633&lt;=TODAY()," is due TODAY ("," is due next business day (")&amp;TEXT($Y633,"dd-mmm")&amp;").","Next: "&amp;$Z633&amp;" due "&amp;TEXT($Y633,"dd-mmm")&amp;" ("&amp;(NETWORKDAYS(TODAY(),$Y633,Holidays)-1)&amp;" business day(s) left).")))))</f>
        <v/>
      </c>
      <c r="V633" s="17">
        <f>IF($W633="","",CHOOSE($W633,"Collection Email","1st Follow-up","2nd Follow-up","Local Office","CBE","Roxanne")&amp;IF($W633=6," - Final"," - Day "&amp;MAX(0,NETWORKDAYS($X633,TODAY(),Holidays)-1)&amp;" of "&amp;CHOOSE($W633,3,3,2,2,3))&amp;" | Total Day "&amp;MAX(0,NETWORKDAYS($L633,TODAY(),Holidays)-1))</f>
        <v/>
      </c>
      <c r="W633" s="17">
        <f>IF($L633="","",COUNT($L633:$Q633))</f>
        <v/>
      </c>
      <c r="X633" s="18">
        <f>IF($W633="","",INT(INDEX($L633:$Q633,$W633)))</f>
        <v/>
      </c>
      <c r="Y633" s="18">
        <f>IF(OR($W633="",$W633=6),"",WORKDAY($X633,CHOOSE($W633,3,3,2,2,3),Holidays))</f>
        <v/>
      </c>
      <c r="Z633" s="17">
        <f>IF(OR($W633="",$W633=6),"",CHOOSE($W633,"1st Email Follow-up","2nd Email Follow-up","Escalate Local Office","Escalate to CBE","Escalate to Roxanne"))</f>
        <v/>
      </c>
    </row>
    <row r="634" spans="18:26">
      <c r="R634" s="15"/>
      <c r="S634" s="16"/>
      <c r="T634" s="17">
        <f>IF(AND(COUNTA($A634:$K634)=0,$L634=""),"",IF($S634="Paid","PAID",IF($S634="Closed","CLOSED",IF($W634="","",IF($W634=6,"ESCALATED TO ROXANNE",IF(TODAY()&gt;$Y634,"OVERDUE",IF($Y634&lt;=WORKDAY(TODAY(),1,Holidays),"DUE TOMORROW",IF($W634=4,"ESCALATED TO LOCAL OFFICE",IF($W634=5,"ESCALATED TO CBE",IF($X634=TODAY(),"EMAIL SENT","MONITORING"))))))))))</f>
        <v/>
      </c>
      <c r="U634" s="17">
        <f>IF($T634="",IF(AND(COUNTA($A634:$K634)&gt;0,$L634=""),"Awaiting Collection Email time stamp.",""),IF(OR($T634="PAID",$T634="CLOSED"),IF($T634="PAID","Account paid. Action completed.","Account closed. No further action required."),CHOOSE($W634,"Collection Email","1st Email Follow-up","2nd Email Follow-up","Escalation to Local Office","Escalation to CBE","Escalation to Roxanne")&amp;" sent "&amp;TEXT($X634,"dd-mmm")&amp;". "&amp;IF($W634=6,"Final escalation completed.",IF($T634="OVERDUE","Next: "&amp;$Z634&amp;" was due "&amp;TEXT($Y634,"dd-mmm")&amp;" - "&amp;(NETWORKDAYS($Y634,TODAY(),Holidays)-1)&amp;" business day(s) late. Send now.",IF($T634="DUE TOMORROW","Next: "&amp;$Z634&amp;IF($Y634&lt;=TODAY()," is due TODAY ("," is due next business day (")&amp;TEXT($Y634,"dd-mmm")&amp;").","Next: "&amp;$Z634&amp;" due "&amp;TEXT($Y634,"dd-mmm")&amp;" ("&amp;(NETWORKDAYS(TODAY(),$Y634,Holidays)-1)&amp;" business day(s) left).")))))</f>
        <v/>
      </c>
      <c r="V634" s="17">
        <f>IF($W634="","",CHOOSE($W634,"Collection Email","1st Follow-up","2nd Follow-up","Local Office","CBE","Roxanne")&amp;IF($W634=6," - Final"," - Day "&amp;MAX(0,NETWORKDAYS($X634,TODAY(),Holidays)-1)&amp;" of "&amp;CHOOSE($W634,3,3,2,2,3))&amp;" | Total Day "&amp;MAX(0,NETWORKDAYS($L634,TODAY(),Holidays)-1))</f>
        <v/>
      </c>
      <c r="W634" s="17">
        <f>IF($L634="","",COUNT($L634:$Q634))</f>
        <v/>
      </c>
      <c r="X634" s="18">
        <f>IF($W634="","",INT(INDEX($L634:$Q634,$W634)))</f>
        <v/>
      </c>
      <c r="Y634" s="18">
        <f>IF(OR($W634="",$W634=6),"",WORKDAY($X634,CHOOSE($W634,3,3,2,2,3),Holidays))</f>
        <v/>
      </c>
      <c r="Z634" s="17">
        <f>IF(OR($W634="",$W634=6),"",CHOOSE($W634,"1st Email Follow-up","2nd Email Follow-up","Escalate Local Office","Escalate to CBE","Escalate to Roxanne"))</f>
        <v/>
      </c>
    </row>
    <row r="635" spans="18:26">
      <c r="R635" s="15"/>
      <c r="S635" s="16"/>
      <c r="T635" s="17">
        <f>IF(AND(COUNTA($A635:$K635)=0,$L635=""),"",IF($S635="Paid","PAID",IF($S635="Closed","CLOSED",IF($W635="","",IF($W635=6,"ESCALATED TO ROXANNE",IF(TODAY()&gt;$Y635,"OVERDUE",IF($Y635&lt;=WORKDAY(TODAY(),1,Holidays),"DUE TOMORROW",IF($W635=4,"ESCALATED TO LOCAL OFFICE",IF($W635=5,"ESCALATED TO CBE",IF($X635=TODAY(),"EMAIL SENT","MONITORING"))))))))))</f>
        <v/>
      </c>
      <c r="U635" s="17">
        <f>IF($T635="",IF(AND(COUNTA($A635:$K635)&gt;0,$L635=""),"Awaiting Collection Email time stamp.",""),IF(OR($T635="PAID",$T635="CLOSED"),IF($T635="PAID","Account paid. Action completed.","Account closed. No further action required."),CHOOSE($W635,"Collection Email","1st Email Follow-up","2nd Email Follow-up","Escalation to Local Office","Escalation to CBE","Escalation to Roxanne")&amp;" sent "&amp;TEXT($X635,"dd-mmm")&amp;". "&amp;IF($W635=6,"Final escalation completed.",IF($T635="OVERDUE","Next: "&amp;$Z635&amp;" was due "&amp;TEXT($Y635,"dd-mmm")&amp;" - "&amp;(NETWORKDAYS($Y635,TODAY(),Holidays)-1)&amp;" business day(s) late. Send now.",IF($T635="DUE TOMORROW","Next: "&amp;$Z635&amp;IF($Y635&lt;=TODAY()," is due TODAY ("," is due next business day (")&amp;TEXT($Y635,"dd-mmm")&amp;").","Next: "&amp;$Z635&amp;" due "&amp;TEXT($Y635,"dd-mmm")&amp;" ("&amp;(NETWORKDAYS(TODAY(),$Y635,Holidays)-1)&amp;" business day(s) left).")))))</f>
        <v/>
      </c>
      <c r="V635" s="17">
        <f>IF($W635="","",CHOOSE($W635,"Collection Email","1st Follow-up","2nd Follow-up","Local Office","CBE","Roxanne")&amp;IF($W635=6," - Final"," - Day "&amp;MAX(0,NETWORKDAYS($X635,TODAY(),Holidays)-1)&amp;" of "&amp;CHOOSE($W635,3,3,2,2,3))&amp;" | Total Day "&amp;MAX(0,NETWORKDAYS($L635,TODAY(),Holidays)-1))</f>
        <v/>
      </c>
      <c r="W635" s="17">
        <f>IF($L635="","",COUNT($L635:$Q635))</f>
        <v/>
      </c>
      <c r="X635" s="18">
        <f>IF($W635="","",INT(INDEX($L635:$Q635,$W635)))</f>
        <v/>
      </c>
      <c r="Y635" s="18">
        <f>IF(OR($W635="",$W635=6),"",WORKDAY($X635,CHOOSE($W635,3,3,2,2,3),Holidays))</f>
        <v/>
      </c>
      <c r="Z635" s="17">
        <f>IF(OR($W635="",$W635=6),"",CHOOSE($W635,"1st Email Follow-up","2nd Email Follow-up","Escalate Local Office","Escalate to CBE","Escalate to Roxanne"))</f>
        <v/>
      </c>
    </row>
    <row r="636" spans="18:26">
      <c r="R636" s="15"/>
      <c r="S636" s="16"/>
      <c r="T636" s="17">
        <f>IF(AND(COUNTA($A636:$K636)=0,$L636=""),"",IF($S636="Paid","PAID",IF($S636="Closed","CLOSED",IF($W636="","",IF($W636=6,"ESCALATED TO ROXANNE",IF(TODAY()&gt;$Y636,"OVERDUE",IF($Y636&lt;=WORKDAY(TODAY(),1,Holidays),"DUE TOMORROW",IF($W636=4,"ESCALATED TO LOCAL OFFICE",IF($W636=5,"ESCALATED TO CBE",IF($X636=TODAY(),"EMAIL SENT","MONITORING"))))))))))</f>
        <v/>
      </c>
      <c r="U636" s="17">
        <f>IF($T636="",IF(AND(COUNTA($A636:$K636)&gt;0,$L636=""),"Awaiting Collection Email time stamp.",""),IF(OR($T636="PAID",$T636="CLOSED"),IF($T636="PAID","Account paid. Action completed.","Account closed. No further action required."),CHOOSE($W636,"Collection Email","1st Email Follow-up","2nd Email Follow-up","Escalation to Local Office","Escalation to CBE","Escalation to Roxanne")&amp;" sent "&amp;TEXT($X636,"dd-mmm")&amp;". "&amp;IF($W636=6,"Final escalation completed.",IF($T636="OVERDUE","Next: "&amp;$Z636&amp;" was due "&amp;TEXT($Y636,"dd-mmm")&amp;" - "&amp;(NETWORKDAYS($Y636,TODAY(),Holidays)-1)&amp;" business day(s) late. Send now.",IF($T636="DUE TOMORROW","Next: "&amp;$Z636&amp;IF($Y636&lt;=TODAY()," is due TODAY ("," is due next business day (")&amp;TEXT($Y636,"dd-mmm")&amp;").","Next: "&amp;$Z636&amp;" due "&amp;TEXT($Y636,"dd-mmm")&amp;" ("&amp;(NETWORKDAYS(TODAY(),$Y636,Holidays)-1)&amp;" business day(s) left).")))))</f>
        <v/>
      </c>
      <c r="V636" s="17">
        <f>IF($W636="","",CHOOSE($W636,"Collection Email","1st Follow-up","2nd Follow-up","Local Office","CBE","Roxanne")&amp;IF($W636=6," - Final"," - Day "&amp;MAX(0,NETWORKDAYS($X636,TODAY(),Holidays)-1)&amp;" of "&amp;CHOOSE($W636,3,3,2,2,3))&amp;" | Total Day "&amp;MAX(0,NETWORKDAYS($L636,TODAY(),Holidays)-1))</f>
        <v/>
      </c>
      <c r="W636" s="17">
        <f>IF($L636="","",COUNT($L636:$Q636))</f>
        <v/>
      </c>
      <c r="X636" s="18">
        <f>IF($W636="","",INT(INDEX($L636:$Q636,$W636)))</f>
        <v/>
      </c>
      <c r="Y636" s="18">
        <f>IF(OR($W636="",$W636=6),"",WORKDAY($X636,CHOOSE($W636,3,3,2,2,3),Holidays))</f>
        <v/>
      </c>
      <c r="Z636" s="17">
        <f>IF(OR($W636="",$W636=6),"",CHOOSE($W636,"1st Email Follow-up","2nd Email Follow-up","Escalate Local Office","Escalate to CBE","Escalate to Roxanne"))</f>
        <v/>
      </c>
    </row>
    <row r="637" spans="18:26">
      <c r="R637" s="15"/>
      <c r="S637" s="16"/>
      <c r="T637" s="17">
        <f>IF(AND(COUNTA($A637:$K637)=0,$L637=""),"",IF($S637="Paid","PAID",IF($S637="Closed","CLOSED",IF($W637="","",IF($W637=6,"ESCALATED TO ROXANNE",IF(TODAY()&gt;$Y637,"OVERDUE",IF($Y637&lt;=WORKDAY(TODAY(),1,Holidays),"DUE TOMORROW",IF($W637=4,"ESCALATED TO LOCAL OFFICE",IF($W637=5,"ESCALATED TO CBE",IF($X637=TODAY(),"EMAIL SENT","MONITORING"))))))))))</f>
        <v/>
      </c>
      <c r="U637" s="17">
        <f>IF($T637="",IF(AND(COUNTA($A637:$K637)&gt;0,$L637=""),"Awaiting Collection Email time stamp.",""),IF(OR($T637="PAID",$T637="CLOSED"),IF($T637="PAID","Account paid. Action completed.","Account closed. No further action required."),CHOOSE($W637,"Collection Email","1st Email Follow-up","2nd Email Follow-up","Escalation to Local Office","Escalation to CBE","Escalation to Roxanne")&amp;" sent "&amp;TEXT($X637,"dd-mmm")&amp;". "&amp;IF($W637=6,"Final escalation completed.",IF($T637="OVERDUE","Next: "&amp;$Z637&amp;" was due "&amp;TEXT($Y637,"dd-mmm")&amp;" - "&amp;(NETWORKDAYS($Y637,TODAY(),Holidays)-1)&amp;" business day(s) late. Send now.",IF($T637="DUE TOMORROW","Next: "&amp;$Z637&amp;IF($Y637&lt;=TODAY()," is due TODAY ("," is due next business day (")&amp;TEXT($Y637,"dd-mmm")&amp;").","Next: "&amp;$Z637&amp;" due "&amp;TEXT($Y637,"dd-mmm")&amp;" ("&amp;(NETWORKDAYS(TODAY(),$Y637,Holidays)-1)&amp;" business day(s) left).")))))</f>
        <v/>
      </c>
      <c r="V637" s="17">
        <f>IF($W637="","",CHOOSE($W637,"Collection Email","1st Follow-up","2nd Follow-up","Local Office","CBE","Roxanne")&amp;IF($W637=6," - Final"," - Day "&amp;MAX(0,NETWORKDAYS($X637,TODAY(),Holidays)-1)&amp;" of "&amp;CHOOSE($W637,3,3,2,2,3))&amp;" | Total Day "&amp;MAX(0,NETWORKDAYS($L637,TODAY(),Holidays)-1))</f>
        <v/>
      </c>
      <c r="W637" s="17">
        <f>IF($L637="","",COUNT($L637:$Q637))</f>
        <v/>
      </c>
      <c r="X637" s="18">
        <f>IF($W637="","",INT(INDEX($L637:$Q637,$W637)))</f>
        <v/>
      </c>
      <c r="Y637" s="18">
        <f>IF(OR($W637="",$W637=6),"",WORKDAY($X637,CHOOSE($W637,3,3,2,2,3),Holidays))</f>
        <v/>
      </c>
      <c r="Z637" s="17">
        <f>IF(OR($W637="",$W637=6),"",CHOOSE($W637,"1st Email Follow-up","2nd Email Follow-up","Escalate Local Office","Escalate to CBE","Escalate to Roxanne"))</f>
        <v/>
      </c>
    </row>
    <row r="638" spans="18:26">
      <c r="R638" s="15"/>
      <c r="S638" s="16"/>
      <c r="T638" s="17">
        <f>IF(AND(COUNTA($A638:$K638)=0,$L638=""),"",IF($S638="Paid","PAID",IF($S638="Closed","CLOSED",IF($W638="","",IF($W638=6,"ESCALATED TO ROXANNE",IF(TODAY()&gt;$Y638,"OVERDUE",IF($Y638&lt;=WORKDAY(TODAY(),1,Holidays),"DUE TOMORROW",IF($W638=4,"ESCALATED TO LOCAL OFFICE",IF($W638=5,"ESCALATED TO CBE",IF($X638=TODAY(),"EMAIL SENT","MONITORING"))))))))))</f>
        <v/>
      </c>
      <c r="U638" s="17">
        <f>IF($T638="",IF(AND(COUNTA($A638:$K638)&gt;0,$L638=""),"Awaiting Collection Email time stamp.",""),IF(OR($T638="PAID",$T638="CLOSED"),IF($T638="PAID","Account paid. Action completed.","Account closed. No further action required."),CHOOSE($W638,"Collection Email","1st Email Follow-up","2nd Email Follow-up","Escalation to Local Office","Escalation to CBE","Escalation to Roxanne")&amp;" sent "&amp;TEXT($X638,"dd-mmm")&amp;". "&amp;IF($W638=6,"Final escalation completed.",IF($T638="OVERDUE","Next: "&amp;$Z638&amp;" was due "&amp;TEXT($Y638,"dd-mmm")&amp;" - "&amp;(NETWORKDAYS($Y638,TODAY(),Holidays)-1)&amp;" business day(s) late. Send now.",IF($T638="DUE TOMORROW","Next: "&amp;$Z638&amp;IF($Y638&lt;=TODAY()," is due TODAY ("," is due next business day (")&amp;TEXT($Y638,"dd-mmm")&amp;").","Next: "&amp;$Z638&amp;" due "&amp;TEXT($Y638,"dd-mmm")&amp;" ("&amp;(NETWORKDAYS(TODAY(),$Y638,Holidays)-1)&amp;" business day(s) left).")))))</f>
        <v/>
      </c>
      <c r="V638" s="17">
        <f>IF($W638="","",CHOOSE($W638,"Collection Email","1st Follow-up","2nd Follow-up","Local Office","CBE","Roxanne")&amp;IF($W638=6," - Final"," - Day "&amp;MAX(0,NETWORKDAYS($X638,TODAY(),Holidays)-1)&amp;" of "&amp;CHOOSE($W638,3,3,2,2,3))&amp;" | Total Day "&amp;MAX(0,NETWORKDAYS($L638,TODAY(),Holidays)-1))</f>
        <v/>
      </c>
      <c r="W638" s="17">
        <f>IF($L638="","",COUNT($L638:$Q638))</f>
        <v/>
      </c>
      <c r="X638" s="18">
        <f>IF($W638="","",INT(INDEX($L638:$Q638,$W638)))</f>
        <v/>
      </c>
      <c r="Y638" s="18">
        <f>IF(OR($W638="",$W638=6),"",WORKDAY($X638,CHOOSE($W638,3,3,2,2,3),Holidays))</f>
        <v/>
      </c>
      <c r="Z638" s="17">
        <f>IF(OR($W638="",$W638=6),"",CHOOSE($W638,"1st Email Follow-up","2nd Email Follow-up","Escalate Local Office","Escalate to CBE","Escalate to Roxanne"))</f>
        <v/>
      </c>
    </row>
    <row r="639" spans="18:26">
      <c r="R639" s="15"/>
      <c r="S639" s="16"/>
      <c r="T639" s="17">
        <f>IF(AND(COUNTA($A639:$K639)=0,$L639=""),"",IF($S639="Paid","PAID",IF($S639="Closed","CLOSED",IF($W639="","",IF($W639=6,"ESCALATED TO ROXANNE",IF(TODAY()&gt;$Y639,"OVERDUE",IF($Y639&lt;=WORKDAY(TODAY(),1,Holidays),"DUE TOMORROW",IF($W639=4,"ESCALATED TO LOCAL OFFICE",IF($W639=5,"ESCALATED TO CBE",IF($X639=TODAY(),"EMAIL SENT","MONITORING"))))))))))</f>
        <v/>
      </c>
      <c r="U639" s="17">
        <f>IF($T639="",IF(AND(COUNTA($A639:$K639)&gt;0,$L639=""),"Awaiting Collection Email time stamp.",""),IF(OR($T639="PAID",$T639="CLOSED"),IF($T639="PAID","Account paid. Action completed.","Account closed. No further action required."),CHOOSE($W639,"Collection Email","1st Email Follow-up","2nd Email Follow-up","Escalation to Local Office","Escalation to CBE","Escalation to Roxanne")&amp;" sent "&amp;TEXT($X639,"dd-mmm")&amp;". "&amp;IF($W639=6,"Final escalation completed.",IF($T639="OVERDUE","Next: "&amp;$Z639&amp;" was due "&amp;TEXT($Y639,"dd-mmm")&amp;" - "&amp;(NETWORKDAYS($Y639,TODAY(),Holidays)-1)&amp;" business day(s) late. Send now.",IF($T639="DUE TOMORROW","Next: "&amp;$Z639&amp;IF($Y639&lt;=TODAY()," is due TODAY ("," is due next business day (")&amp;TEXT($Y639,"dd-mmm")&amp;").","Next: "&amp;$Z639&amp;" due "&amp;TEXT($Y639,"dd-mmm")&amp;" ("&amp;(NETWORKDAYS(TODAY(),$Y639,Holidays)-1)&amp;" business day(s) left).")))))</f>
        <v/>
      </c>
      <c r="V639" s="17">
        <f>IF($W639="","",CHOOSE($W639,"Collection Email","1st Follow-up","2nd Follow-up","Local Office","CBE","Roxanne")&amp;IF($W639=6," - Final"," - Day "&amp;MAX(0,NETWORKDAYS($X639,TODAY(),Holidays)-1)&amp;" of "&amp;CHOOSE($W639,3,3,2,2,3))&amp;" | Total Day "&amp;MAX(0,NETWORKDAYS($L639,TODAY(),Holidays)-1))</f>
        <v/>
      </c>
      <c r="W639" s="17">
        <f>IF($L639="","",COUNT($L639:$Q639))</f>
        <v/>
      </c>
      <c r="X639" s="18">
        <f>IF($W639="","",INT(INDEX($L639:$Q639,$W639)))</f>
        <v/>
      </c>
      <c r="Y639" s="18">
        <f>IF(OR($W639="",$W639=6),"",WORKDAY($X639,CHOOSE($W639,3,3,2,2,3),Holidays))</f>
        <v/>
      </c>
      <c r="Z639" s="17">
        <f>IF(OR($W639="",$W639=6),"",CHOOSE($W639,"1st Email Follow-up","2nd Email Follow-up","Escalate Local Office","Escalate to CBE","Escalate to Roxanne"))</f>
        <v/>
      </c>
    </row>
    <row r="640" spans="18:26">
      <c r="R640" s="15"/>
      <c r="S640" s="16"/>
      <c r="T640" s="17">
        <f>IF(AND(COUNTA($A640:$K640)=0,$L640=""),"",IF($S640="Paid","PAID",IF($S640="Closed","CLOSED",IF($W640="","",IF($W640=6,"ESCALATED TO ROXANNE",IF(TODAY()&gt;$Y640,"OVERDUE",IF($Y640&lt;=WORKDAY(TODAY(),1,Holidays),"DUE TOMORROW",IF($W640=4,"ESCALATED TO LOCAL OFFICE",IF($W640=5,"ESCALATED TO CBE",IF($X640=TODAY(),"EMAIL SENT","MONITORING"))))))))))</f>
        <v/>
      </c>
      <c r="U640" s="17">
        <f>IF($T640="",IF(AND(COUNTA($A640:$K640)&gt;0,$L640=""),"Awaiting Collection Email time stamp.",""),IF(OR($T640="PAID",$T640="CLOSED"),IF($T640="PAID","Account paid. Action completed.","Account closed. No further action required."),CHOOSE($W640,"Collection Email","1st Email Follow-up","2nd Email Follow-up","Escalation to Local Office","Escalation to CBE","Escalation to Roxanne")&amp;" sent "&amp;TEXT($X640,"dd-mmm")&amp;". "&amp;IF($W640=6,"Final escalation completed.",IF($T640="OVERDUE","Next: "&amp;$Z640&amp;" was due "&amp;TEXT($Y640,"dd-mmm")&amp;" - "&amp;(NETWORKDAYS($Y640,TODAY(),Holidays)-1)&amp;" business day(s) late. Send now.",IF($T640="DUE TOMORROW","Next: "&amp;$Z640&amp;IF($Y640&lt;=TODAY()," is due TODAY ("," is due next business day (")&amp;TEXT($Y640,"dd-mmm")&amp;").","Next: "&amp;$Z640&amp;" due "&amp;TEXT($Y640,"dd-mmm")&amp;" ("&amp;(NETWORKDAYS(TODAY(),$Y640,Holidays)-1)&amp;" business day(s) left).")))))</f>
        <v/>
      </c>
      <c r="V640" s="17">
        <f>IF($W640="","",CHOOSE($W640,"Collection Email","1st Follow-up","2nd Follow-up","Local Office","CBE","Roxanne")&amp;IF($W640=6," - Final"," - Day "&amp;MAX(0,NETWORKDAYS($X640,TODAY(),Holidays)-1)&amp;" of "&amp;CHOOSE($W640,3,3,2,2,3))&amp;" | Total Day "&amp;MAX(0,NETWORKDAYS($L640,TODAY(),Holidays)-1))</f>
        <v/>
      </c>
      <c r="W640" s="17">
        <f>IF($L640="","",COUNT($L640:$Q640))</f>
        <v/>
      </c>
      <c r="X640" s="18">
        <f>IF($W640="","",INT(INDEX($L640:$Q640,$W640)))</f>
        <v/>
      </c>
      <c r="Y640" s="18">
        <f>IF(OR($W640="",$W640=6),"",WORKDAY($X640,CHOOSE($W640,3,3,2,2,3),Holidays))</f>
        <v/>
      </c>
      <c r="Z640" s="17">
        <f>IF(OR($W640="",$W640=6),"",CHOOSE($W640,"1st Email Follow-up","2nd Email Follow-up","Escalate Local Office","Escalate to CBE","Escalate to Roxanne"))</f>
        <v/>
      </c>
    </row>
    <row r="641" spans="18:26">
      <c r="R641" s="15"/>
      <c r="S641" s="16"/>
      <c r="T641" s="17">
        <f>IF(AND(COUNTA($A641:$K641)=0,$L641=""),"",IF($S641="Paid","PAID",IF($S641="Closed","CLOSED",IF($W641="","",IF($W641=6,"ESCALATED TO ROXANNE",IF(TODAY()&gt;$Y641,"OVERDUE",IF($Y641&lt;=WORKDAY(TODAY(),1,Holidays),"DUE TOMORROW",IF($W641=4,"ESCALATED TO LOCAL OFFICE",IF($W641=5,"ESCALATED TO CBE",IF($X641=TODAY(),"EMAIL SENT","MONITORING"))))))))))</f>
        <v/>
      </c>
      <c r="U641" s="17">
        <f>IF($T641="",IF(AND(COUNTA($A641:$K641)&gt;0,$L641=""),"Awaiting Collection Email time stamp.",""),IF(OR($T641="PAID",$T641="CLOSED"),IF($T641="PAID","Account paid. Action completed.","Account closed. No further action required."),CHOOSE($W641,"Collection Email","1st Email Follow-up","2nd Email Follow-up","Escalation to Local Office","Escalation to CBE","Escalation to Roxanne")&amp;" sent "&amp;TEXT($X641,"dd-mmm")&amp;". "&amp;IF($W641=6,"Final escalation completed.",IF($T641="OVERDUE","Next: "&amp;$Z641&amp;" was due "&amp;TEXT($Y641,"dd-mmm")&amp;" - "&amp;(NETWORKDAYS($Y641,TODAY(),Holidays)-1)&amp;" business day(s) late. Send now.",IF($T641="DUE TOMORROW","Next: "&amp;$Z641&amp;IF($Y641&lt;=TODAY()," is due TODAY ("," is due next business day (")&amp;TEXT($Y641,"dd-mmm")&amp;").","Next: "&amp;$Z641&amp;" due "&amp;TEXT($Y641,"dd-mmm")&amp;" ("&amp;(NETWORKDAYS(TODAY(),$Y641,Holidays)-1)&amp;" business day(s) left).")))))</f>
        <v/>
      </c>
      <c r="V641" s="17">
        <f>IF($W641="","",CHOOSE($W641,"Collection Email","1st Follow-up","2nd Follow-up","Local Office","CBE","Roxanne")&amp;IF($W641=6," - Final"," - Day "&amp;MAX(0,NETWORKDAYS($X641,TODAY(),Holidays)-1)&amp;" of "&amp;CHOOSE($W641,3,3,2,2,3))&amp;" | Total Day "&amp;MAX(0,NETWORKDAYS($L641,TODAY(),Holidays)-1))</f>
        <v/>
      </c>
      <c r="W641" s="17">
        <f>IF($L641="","",COUNT($L641:$Q641))</f>
        <v/>
      </c>
      <c r="X641" s="18">
        <f>IF($W641="","",INT(INDEX($L641:$Q641,$W641)))</f>
        <v/>
      </c>
      <c r="Y641" s="18">
        <f>IF(OR($W641="",$W641=6),"",WORKDAY($X641,CHOOSE($W641,3,3,2,2,3),Holidays))</f>
        <v/>
      </c>
      <c r="Z641" s="17">
        <f>IF(OR($W641="",$W641=6),"",CHOOSE($W641,"1st Email Follow-up","2nd Email Follow-up","Escalate Local Office","Escalate to CBE","Escalate to Roxanne"))</f>
        <v/>
      </c>
    </row>
    <row r="642" spans="18:26">
      <c r="R642" s="15"/>
      <c r="S642" s="16"/>
      <c r="T642" s="17">
        <f>IF(AND(COUNTA($A642:$K642)=0,$L642=""),"",IF($S642="Paid","PAID",IF($S642="Closed","CLOSED",IF($W642="","",IF($W642=6,"ESCALATED TO ROXANNE",IF(TODAY()&gt;$Y642,"OVERDUE",IF($Y642&lt;=WORKDAY(TODAY(),1,Holidays),"DUE TOMORROW",IF($W642=4,"ESCALATED TO LOCAL OFFICE",IF($W642=5,"ESCALATED TO CBE",IF($X642=TODAY(),"EMAIL SENT","MONITORING"))))))))))</f>
        <v/>
      </c>
      <c r="U642" s="17">
        <f>IF($T642="",IF(AND(COUNTA($A642:$K642)&gt;0,$L642=""),"Awaiting Collection Email time stamp.",""),IF(OR($T642="PAID",$T642="CLOSED"),IF($T642="PAID","Account paid. Action completed.","Account closed. No further action required."),CHOOSE($W642,"Collection Email","1st Email Follow-up","2nd Email Follow-up","Escalation to Local Office","Escalation to CBE","Escalation to Roxanne")&amp;" sent "&amp;TEXT($X642,"dd-mmm")&amp;". "&amp;IF($W642=6,"Final escalation completed.",IF($T642="OVERDUE","Next: "&amp;$Z642&amp;" was due "&amp;TEXT($Y642,"dd-mmm")&amp;" - "&amp;(NETWORKDAYS($Y642,TODAY(),Holidays)-1)&amp;" business day(s) late. Send now.",IF($T642="DUE TOMORROW","Next: "&amp;$Z642&amp;IF($Y642&lt;=TODAY()," is due TODAY ("," is due next business day (")&amp;TEXT($Y642,"dd-mmm")&amp;").","Next: "&amp;$Z642&amp;" due "&amp;TEXT($Y642,"dd-mmm")&amp;" ("&amp;(NETWORKDAYS(TODAY(),$Y642,Holidays)-1)&amp;" business day(s) left).")))))</f>
        <v/>
      </c>
      <c r="V642" s="17">
        <f>IF($W642="","",CHOOSE($W642,"Collection Email","1st Follow-up","2nd Follow-up","Local Office","CBE","Roxanne")&amp;IF($W642=6," - Final"," - Day "&amp;MAX(0,NETWORKDAYS($X642,TODAY(),Holidays)-1)&amp;" of "&amp;CHOOSE($W642,3,3,2,2,3))&amp;" | Total Day "&amp;MAX(0,NETWORKDAYS($L642,TODAY(),Holidays)-1))</f>
        <v/>
      </c>
      <c r="W642" s="17">
        <f>IF($L642="","",COUNT($L642:$Q642))</f>
        <v/>
      </c>
      <c r="X642" s="18">
        <f>IF($W642="","",INT(INDEX($L642:$Q642,$W642)))</f>
        <v/>
      </c>
      <c r="Y642" s="18">
        <f>IF(OR($W642="",$W642=6),"",WORKDAY($X642,CHOOSE($W642,3,3,2,2,3),Holidays))</f>
        <v/>
      </c>
      <c r="Z642" s="17">
        <f>IF(OR($W642="",$W642=6),"",CHOOSE($W642,"1st Email Follow-up","2nd Email Follow-up","Escalate Local Office","Escalate to CBE","Escalate to Roxanne"))</f>
        <v/>
      </c>
    </row>
    <row r="643" spans="18:26">
      <c r="R643" s="15"/>
      <c r="S643" s="16"/>
      <c r="T643" s="17">
        <f>IF(AND(COUNTA($A643:$K643)=0,$L643=""),"",IF($S643="Paid","PAID",IF($S643="Closed","CLOSED",IF($W643="","",IF($W643=6,"ESCALATED TO ROXANNE",IF(TODAY()&gt;$Y643,"OVERDUE",IF($Y643&lt;=WORKDAY(TODAY(),1,Holidays),"DUE TOMORROW",IF($W643=4,"ESCALATED TO LOCAL OFFICE",IF($W643=5,"ESCALATED TO CBE",IF($X643=TODAY(),"EMAIL SENT","MONITORING"))))))))))</f>
        <v/>
      </c>
      <c r="U643" s="17">
        <f>IF($T643="",IF(AND(COUNTA($A643:$K643)&gt;0,$L643=""),"Awaiting Collection Email time stamp.",""),IF(OR($T643="PAID",$T643="CLOSED"),IF($T643="PAID","Account paid. Action completed.","Account closed. No further action required."),CHOOSE($W643,"Collection Email","1st Email Follow-up","2nd Email Follow-up","Escalation to Local Office","Escalation to CBE","Escalation to Roxanne")&amp;" sent "&amp;TEXT($X643,"dd-mmm")&amp;". "&amp;IF($W643=6,"Final escalation completed.",IF($T643="OVERDUE","Next: "&amp;$Z643&amp;" was due "&amp;TEXT($Y643,"dd-mmm")&amp;" - "&amp;(NETWORKDAYS($Y643,TODAY(),Holidays)-1)&amp;" business day(s) late. Send now.",IF($T643="DUE TOMORROW","Next: "&amp;$Z643&amp;IF($Y643&lt;=TODAY()," is due TODAY ("," is due next business day (")&amp;TEXT($Y643,"dd-mmm")&amp;").","Next: "&amp;$Z643&amp;" due "&amp;TEXT($Y643,"dd-mmm")&amp;" ("&amp;(NETWORKDAYS(TODAY(),$Y643,Holidays)-1)&amp;" business day(s) left).")))))</f>
        <v/>
      </c>
      <c r="V643" s="17">
        <f>IF($W643="","",CHOOSE($W643,"Collection Email","1st Follow-up","2nd Follow-up","Local Office","CBE","Roxanne")&amp;IF($W643=6," - Final"," - Day "&amp;MAX(0,NETWORKDAYS($X643,TODAY(),Holidays)-1)&amp;" of "&amp;CHOOSE($W643,3,3,2,2,3))&amp;" | Total Day "&amp;MAX(0,NETWORKDAYS($L643,TODAY(),Holidays)-1))</f>
        <v/>
      </c>
      <c r="W643" s="17">
        <f>IF($L643="","",COUNT($L643:$Q643))</f>
        <v/>
      </c>
      <c r="X643" s="18">
        <f>IF($W643="","",INT(INDEX($L643:$Q643,$W643)))</f>
        <v/>
      </c>
      <c r="Y643" s="18">
        <f>IF(OR($W643="",$W643=6),"",WORKDAY($X643,CHOOSE($W643,3,3,2,2,3),Holidays))</f>
        <v/>
      </c>
      <c r="Z643" s="17">
        <f>IF(OR($W643="",$W643=6),"",CHOOSE($W643,"1st Email Follow-up","2nd Email Follow-up","Escalate Local Office","Escalate to CBE","Escalate to Roxanne"))</f>
        <v/>
      </c>
    </row>
    <row r="644" spans="18:26">
      <c r="R644" s="15"/>
      <c r="S644" s="16"/>
      <c r="T644" s="17">
        <f>IF(AND(COUNTA($A644:$K644)=0,$L644=""),"",IF($S644="Paid","PAID",IF($S644="Closed","CLOSED",IF($W644="","",IF($W644=6,"ESCALATED TO ROXANNE",IF(TODAY()&gt;$Y644,"OVERDUE",IF($Y644&lt;=WORKDAY(TODAY(),1,Holidays),"DUE TOMORROW",IF($W644=4,"ESCALATED TO LOCAL OFFICE",IF($W644=5,"ESCALATED TO CBE",IF($X644=TODAY(),"EMAIL SENT","MONITORING"))))))))))</f>
        <v/>
      </c>
      <c r="U644" s="17">
        <f>IF($T644="",IF(AND(COUNTA($A644:$K644)&gt;0,$L644=""),"Awaiting Collection Email time stamp.",""),IF(OR($T644="PAID",$T644="CLOSED"),IF($T644="PAID","Account paid. Action completed.","Account closed. No further action required."),CHOOSE($W644,"Collection Email","1st Email Follow-up","2nd Email Follow-up","Escalation to Local Office","Escalation to CBE","Escalation to Roxanne")&amp;" sent "&amp;TEXT($X644,"dd-mmm")&amp;". "&amp;IF($W644=6,"Final escalation completed.",IF($T644="OVERDUE","Next: "&amp;$Z644&amp;" was due "&amp;TEXT($Y644,"dd-mmm")&amp;" - "&amp;(NETWORKDAYS($Y644,TODAY(),Holidays)-1)&amp;" business day(s) late. Send now.",IF($T644="DUE TOMORROW","Next: "&amp;$Z644&amp;IF($Y644&lt;=TODAY()," is due TODAY ("," is due next business day (")&amp;TEXT($Y644,"dd-mmm")&amp;").","Next: "&amp;$Z644&amp;" due "&amp;TEXT($Y644,"dd-mmm")&amp;" ("&amp;(NETWORKDAYS(TODAY(),$Y644,Holidays)-1)&amp;" business day(s) left).")))))</f>
        <v/>
      </c>
      <c r="V644" s="17">
        <f>IF($W644="","",CHOOSE($W644,"Collection Email","1st Follow-up","2nd Follow-up","Local Office","CBE","Roxanne")&amp;IF($W644=6," - Final"," - Day "&amp;MAX(0,NETWORKDAYS($X644,TODAY(),Holidays)-1)&amp;" of "&amp;CHOOSE($W644,3,3,2,2,3))&amp;" | Total Day "&amp;MAX(0,NETWORKDAYS($L644,TODAY(),Holidays)-1))</f>
        <v/>
      </c>
      <c r="W644" s="17">
        <f>IF($L644="","",COUNT($L644:$Q644))</f>
        <v/>
      </c>
      <c r="X644" s="18">
        <f>IF($W644="","",INT(INDEX($L644:$Q644,$W644)))</f>
        <v/>
      </c>
      <c r="Y644" s="18">
        <f>IF(OR($W644="",$W644=6),"",WORKDAY($X644,CHOOSE($W644,3,3,2,2,3),Holidays))</f>
        <v/>
      </c>
      <c r="Z644" s="17">
        <f>IF(OR($W644="",$W644=6),"",CHOOSE($W644,"1st Email Follow-up","2nd Email Follow-up","Escalate Local Office","Escalate to CBE","Escalate to Roxanne"))</f>
        <v/>
      </c>
    </row>
    <row r="645" spans="18:26">
      <c r="R645" s="15"/>
      <c r="S645" s="16"/>
      <c r="T645" s="17">
        <f>IF(AND(COUNTA($A645:$K645)=0,$L645=""),"",IF($S645="Paid","PAID",IF($S645="Closed","CLOSED",IF($W645="","",IF($W645=6,"ESCALATED TO ROXANNE",IF(TODAY()&gt;$Y645,"OVERDUE",IF($Y645&lt;=WORKDAY(TODAY(),1,Holidays),"DUE TOMORROW",IF($W645=4,"ESCALATED TO LOCAL OFFICE",IF($W645=5,"ESCALATED TO CBE",IF($X645=TODAY(),"EMAIL SENT","MONITORING"))))))))))</f>
        <v/>
      </c>
      <c r="U645" s="17">
        <f>IF($T645="",IF(AND(COUNTA($A645:$K645)&gt;0,$L645=""),"Awaiting Collection Email time stamp.",""),IF(OR($T645="PAID",$T645="CLOSED"),IF($T645="PAID","Account paid. Action completed.","Account closed. No further action required."),CHOOSE($W645,"Collection Email","1st Email Follow-up","2nd Email Follow-up","Escalation to Local Office","Escalation to CBE","Escalation to Roxanne")&amp;" sent "&amp;TEXT($X645,"dd-mmm")&amp;". "&amp;IF($W645=6,"Final escalation completed.",IF($T645="OVERDUE","Next: "&amp;$Z645&amp;" was due "&amp;TEXT($Y645,"dd-mmm")&amp;" - "&amp;(NETWORKDAYS($Y645,TODAY(),Holidays)-1)&amp;" business day(s) late. Send now.",IF($T645="DUE TOMORROW","Next: "&amp;$Z645&amp;IF($Y645&lt;=TODAY()," is due TODAY ("," is due next business day (")&amp;TEXT($Y645,"dd-mmm")&amp;").","Next: "&amp;$Z645&amp;" due "&amp;TEXT($Y645,"dd-mmm")&amp;" ("&amp;(NETWORKDAYS(TODAY(),$Y645,Holidays)-1)&amp;" business day(s) left).")))))</f>
        <v/>
      </c>
      <c r="V645" s="17">
        <f>IF($W645="","",CHOOSE($W645,"Collection Email","1st Follow-up","2nd Follow-up","Local Office","CBE","Roxanne")&amp;IF($W645=6," - Final"," - Day "&amp;MAX(0,NETWORKDAYS($X645,TODAY(),Holidays)-1)&amp;" of "&amp;CHOOSE($W645,3,3,2,2,3))&amp;" | Total Day "&amp;MAX(0,NETWORKDAYS($L645,TODAY(),Holidays)-1))</f>
        <v/>
      </c>
      <c r="W645" s="17">
        <f>IF($L645="","",COUNT($L645:$Q645))</f>
        <v/>
      </c>
      <c r="X645" s="18">
        <f>IF($W645="","",INT(INDEX($L645:$Q645,$W645)))</f>
        <v/>
      </c>
      <c r="Y645" s="18">
        <f>IF(OR($W645="",$W645=6),"",WORKDAY($X645,CHOOSE($W645,3,3,2,2,3),Holidays))</f>
        <v/>
      </c>
      <c r="Z645" s="17">
        <f>IF(OR($W645="",$W645=6),"",CHOOSE($W645,"1st Email Follow-up","2nd Email Follow-up","Escalate Local Office","Escalate to CBE","Escalate to Roxanne"))</f>
        <v/>
      </c>
    </row>
    <row r="646" spans="18:26">
      <c r="R646" s="15"/>
      <c r="S646" s="16"/>
      <c r="T646" s="17">
        <f>IF(AND(COUNTA($A646:$K646)=0,$L646=""),"",IF($S646="Paid","PAID",IF($S646="Closed","CLOSED",IF($W646="","",IF($W646=6,"ESCALATED TO ROXANNE",IF(TODAY()&gt;$Y646,"OVERDUE",IF($Y646&lt;=WORKDAY(TODAY(),1,Holidays),"DUE TOMORROW",IF($W646=4,"ESCALATED TO LOCAL OFFICE",IF($W646=5,"ESCALATED TO CBE",IF($X646=TODAY(),"EMAIL SENT","MONITORING"))))))))))</f>
        <v/>
      </c>
      <c r="U646" s="17">
        <f>IF($T646="",IF(AND(COUNTA($A646:$K646)&gt;0,$L646=""),"Awaiting Collection Email time stamp.",""),IF(OR($T646="PAID",$T646="CLOSED"),IF($T646="PAID","Account paid. Action completed.","Account closed. No further action required."),CHOOSE($W646,"Collection Email","1st Email Follow-up","2nd Email Follow-up","Escalation to Local Office","Escalation to CBE","Escalation to Roxanne")&amp;" sent "&amp;TEXT($X646,"dd-mmm")&amp;". "&amp;IF($W646=6,"Final escalation completed.",IF($T646="OVERDUE","Next: "&amp;$Z646&amp;" was due "&amp;TEXT($Y646,"dd-mmm")&amp;" - "&amp;(NETWORKDAYS($Y646,TODAY(),Holidays)-1)&amp;" business day(s) late. Send now.",IF($T646="DUE TOMORROW","Next: "&amp;$Z646&amp;IF($Y646&lt;=TODAY()," is due TODAY ("," is due next business day (")&amp;TEXT($Y646,"dd-mmm")&amp;").","Next: "&amp;$Z646&amp;" due "&amp;TEXT($Y646,"dd-mmm")&amp;" ("&amp;(NETWORKDAYS(TODAY(),$Y646,Holidays)-1)&amp;" business day(s) left).")))))</f>
        <v/>
      </c>
      <c r="V646" s="17">
        <f>IF($W646="","",CHOOSE($W646,"Collection Email","1st Follow-up","2nd Follow-up","Local Office","CBE","Roxanne")&amp;IF($W646=6," - Final"," - Day "&amp;MAX(0,NETWORKDAYS($X646,TODAY(),Holidays)-1)&amp;" of "&amp;CHOOSE($W646,3,3,2,2,3))&amp;" | Total Day "&amp;MAX(0,NETWORKDAYS($L646,TODAY(),Holidays)-1))</f>
        <v/>
      </c>
      <c r="W646" s="17">
        <f>IF($L646="","",COUNT($L646:$Q646))</f>
        <v/>
      </c>
      <c r="X646" s="18">
        <f>IF($W646="","",INT(INDEX($L646:$Q646,$W646)))</f>
        <v/>
      </c>
      <c r="Y646" s="18">
        <f>IF(OR($W646="",$W646=6),"",WORKDAY($X646,CHOOSE($W646,3,3,2,2,3),Holidays))</f>
        <v/>
      </c>
      <c r="Z646" s="17">
        <f>IF(OR($W646="",$W646=6),"",CHOOSE($W646,"1st Email Follow-up","2nd Email Follow-up","Escalate Local Office","Escalate to CBE","Escalate to Roxanne"))</f>
        <v/>
      </c>
    </row>
    <row r="647" spans="18:26">
      <c r="R647" s="15"/>
      <c r="S647" s="16"/>
      <c r="T647" s="17">
        <f>IF(AND(COUNTA($A647:$K647)=0,$L647=""),"",IF($S647="Paid","PAID",IF($S647="Closed","CLOSED",IF($W647="","",IF($W647=6,"ESCALATED TO ROXANNE",IF(TODAY()&gt;$Y647,"OVERDUE",IF($Y647&lt;=WORKDAY(TODAY(),1,Holidays),"DUE TOMORROW",IF($W647=4,"ESCALATED TO LOCAL OFFICE",IF($W647=5,"ESCALATED TO CBE",IF($X647=TODAY(),"EMAIL SENT","MONITORING"))))))))))</f>
        <v/>
      </c>
      <c r="U647" s="17">
        <f>IF($T647="",IF(AND(COUNTA($A647:$K647)&gt;0,$L647=""),"Awaiting Collection Email time stamp.",""),IF(OR($T647="PAID",$T647="CLOSED"),IF($T647="PAID","Account paid. Action completed.","Account closed. No further action required."),CHOOSE($W647,"Collection Email","1st Email Follow-up","2nd Email Follow-up","Escalation to Local Office","Escalation to CBE","Escalation to Roxanne")&amp;" sent "&amp;TEXT($X647,"dd-mmm")&amp;". "&amp;IF($W647=6,"Final escalation completed.",IF($T647="OVERDUE","Next: "&amp;$Z647&amp;" was due "&amp;TEXT($Y647,"dd-mmm")&amp;" - "&amp;(NETWORKDAYS($Y647,TODAY(),Holidays)-1)&amp;" business day(s) late. Send now.",IF($T647="DUE TOMORROW","Next: "&amp;$Z647&amp;IF($Y647&lt;=TODAY()," is due TODAY ("," is due next business day (")&amp;TEXT($Y647,"dd-mmm")&amp;").","Next: "&amp;$Z647&amp;" due "&amp;TEXT($Y647,"dd-mmm")&amp;" ("&amp;(NETWORKDAYS(TODAY(),$Y647,Holidays)-1)&amp;" business day(s) left).")))))</f>
        <v/>
      </c>
      <c r="V647" s="17">
        <f>IF($W647="","",CHOOSE($W647,"Collection Email","1st Follow-up","2nd Follow-up","Local Office","CBE","Roxanne")&amp;IF($W647=6," - Final"," - Day "&amp;MAX(0,NETWORKDAYS($X647,TODAY(),Holidays)-1)&amp;" of "&amp;CHOOSE($W647,3,3,2,2,3))&amp;" | Total Day "&amp;MAX(0,NETWORKDAYS($L647,TODAY(),Holidays)-1))</f>
        <v/>
      </c>
      <c r="W647" s="17">
        <f>IF($L647="","",COUNT($L647:$Q647))</f>
        <v/>
      </c>
      <c r="X647" s="18">
        <f>IF($W647="","",INT(INDEX($L647:$Q647,$W647)))</f>
        <v/>
      </c>
      <c r="Y647" s="18">
        <f>IF(OR($W647="",$W647=6),"",WORKDAY($X647,CHOOSE($W647,3,3,2,2,3),Holidays))</f>
        <v/>
      </c>
      <c r="Z647" s="17">
        <f>IF(OR($W647="",$W647=6),"",CHOOSE($W647,"1st Email Follow-up","2nd Email Follow-up","Escalate Local Office","Escalate to CBE","Escalate to Roxanne"))</f>
        <v/>
      </c>
    </row>
    <row r="648" spans="18:26">
      <c r="R648" s="15"/>
      <c r="S648" s="16"/>
      <c r="T648" s="17">
        <f>IF(AND(COUNTA($A648:$K648)=0,$L648=""),"",IF($S648="Paid","PAID",IF($S648="Closed","CLOSED",IF($W648="","",IF($W648=6,"ESCALATED TO ROXANNE",IF(TODAY()&gt;$Y648,"OVERDUE",IF($Y648&lt;=WORKDAY(TODAY(),1,Holidays),"DUE TOMORROW",IF($W648=4,"ESCALATED TO LOCAL OFFICE",IF($W648=5,"ESCALATED TO CBE",IF($X648=TODAY(),"EMAIL SENT","MONITORING"))))))))))</f>
        <v/>
      </c>
      <c r="U648" s="17">
        <f>IF($T648="",IF(AND(COUNTA($A648:$K648)&gt;0,$L648=""),"Awaiting Collection Email time stamp.",""),IF(OR($T648="PAID",$T648="CLOSED"),IF($T648="PAID","Account paid. Action completed.","Account closed. No further action required."),CHOOSE($W648,"Collection Email","1st Email Follow-up","2nd Email Follow-up","Escalation to Local Office","Escalation to CBE","Escalation to Roxanne")&amp;" sent "&amp;TEXT($X648,"dd-mmm")&amp;". "&amp;IF($W648=6,"Final escalation completed.",IF($T648="OVERDUE","Next: "&amp;$Z648&amp;" was due "&amp;TEXT($Y648,"dd-mmm")&amp;" - "&amp;(NETWORKDAYS($Y648,TODAY(),Holidays)-1)&amp;" business day(s) late. Send now.",IF($T648="DUE TOMORROW","Next: "&amp;$Z648&amp;IF($Y648&lt;=TODAY()," is due TODAY ("," is due next business day (")&amp;TEXT($Y648,"dd-mmm")&amp;").","Next: "&amp;$Z648&amp;" due "&amp;TEXT($Y648,"dd-mmm")&amp;" ("&amp;(NETWORKDAYS(TODAY(),$Y648,Holidays)-1)&amp;" business day(s) left).")))))</f>
        <v/>
      </c>
      <c r="V648" s="17">
        <f>IF($W648="","",CHOOSE($W648,"Collection Email","1st Follow-up","2nd Follow-up","Local Office","CBE","Roxanne")&amp;IF($W648=6," - Final"," - Day "&amp;MAX(0,NETWORKDAYS($X648,TODAY(),Holidays)-1)&amp;" of "&amp;CHOOSE($W648,3,3,2,2,3))&amp;" | Total Day "&amp;MAX(0,NETWORKDAYS($L648,TODAY(),Holidays)-1))</f>
        <v/>
      </c>
      <c r="W648" s="17">
        <f>IF($L648="","",COUNT($L648:$Q648))</f>
        <v/>
      </c>
      <c r="X648" s="18">
        <f>IF($W648="","",INT(INDEX($L648:$Q648,$W648)))</f>
        <v/>
      </c>
      <c r="Y648" s="18">
        <f>IF(OR($W648="",$W648=6),"",WORKDAY($X648,CHOOSE($W648,3,3,2,2,3),Holidays))</f>
        <v/>
      </c>
      <c r="Z648" s="17">
        <f>IF(OR($W648="",$W648=6),"",CHOOSE($W648,"1st Email Follow-up","2nd Email Follow-up","Escalate Local Office","Escalate to CBE","Escalate to Roxanne"))</f>
        <v/>
      </c>
    </row>
    <row r="649" spans="18:26">
      <c r="R649" s="15"/>
      <c r="S649" s="16"/>
      <c r="T649" s="17">
        <f>IF(AND(COUNTA($A649:$K649)=0,$L649=""),"",IF($S649="Paid","PAID",IF($S649="Closed","CLOSED",IF($W649="","",IF($W649=6,"ESCALATED TO ROXANNE",IF(TODAY()&gt;$Y649,"OVERDUE",IF($Y649&lt;=WORKDAY(TODAY(),1,Holidays),"DUE TOMORROW",IF($W649=4,"ESCALATED TO LOCAL OFFICE",IF($W649=5,"ESCALATED TO CBE",IF($X649=TODAY(),"EMAIL SENT","MONITORING"))))))))))</f>
        <v/>
      </c>
      <c r="U649" s="17">
        <f>IF($T649="",IF(AND(COUNTA($A649:$K649)&gt;0,$L649=""),"Awaiting Collection Email time stamp.",""),IF(OR($T649="PAID",$T649="CLOSED"),IF($T649="PAID","Account paid. Action completed.","Account closed. No further action required."),CHOOSE($W649,"Collection Email","1st Email Follow-up","2nd Email Follow-up","Escalation to Local Office","Escalation to CBE","Escalation to Roxanne")&amp;" sent "&amp;TEXT($X649,"dd-mmm")&amp;". "&amp;IF($W649=6,"Final escalation completed.",IF($T649="OVERDUE","Next: "&amp;$Z649&amp;" was due "&amp;TEXT($Y649,"dd-mmm")&amp;" - "&amp;(NETWORKDAYS($Y649,TODAY(),Holidays)-1)&amp;" business day(s) late. Send now.",IF($T649="DUE TOMORROW","Next: "&amp;$Z649&amp;IF($Y649&lt;=TODAY()," is due TODAY ("," is due next business day (")&amp;TEXT($Y649,"dd-mmm")&amp;").","Next: "&amp;$Z649&amp;" due "&amp;TEXT($Y649,"dd-mmm")&amp;" ("&amp;(NETWORKDAYS(TODAY(),$Y649,Holidays)-1)&amp;" business day(s) left).")))))</f>
        <v/>
      </c>
      <c r="V649" s="17">
        <f>IF($W649="","",CHOOSE($W649,"Collection Email","1st Follow-up","2nd Follow-up","Local Office","CBE","Roxanne")&amp;IF($W649=6," - Final"," - Day "&amp;MAX(0,NETWORKDAYS($X649,TODAY(),Holidays)-1)&amp;" of "&amp;CHOOSE($W649,3,3,2,2,3))&amp;" | Total Day "&amp;MAX(0,NETWORKDAYS($L649,TODAY(),Holidays)-1))</f>
        <v/>
      </c>
      <c r="W649" s="17">
        <f>IF($L649="","",COUNT($L649:$Q649))</f>
        <v/>
      </c>
      <c r="X649" s="18">
        <f>IF($W649="","",INT(INDEX($L649:$Q649,$W649)))</f>
        <v/>
      </c>
      <c r="Y649" s="18">
        <f>IF(OR($W649="",$W649=6),"",WORKDAY($X649,CHOOSE($W649,3,3,2,2,3),Holidays))</f>
        <v/>
      </c>
      <c r="Z649" s="17">
        <f>IF(OR($W649="",$W649=6),"",CHOOSE($W649,"1st Email Follow-up","2nd Email Follow-up","Escalate Local Office","Escalate to CBE","Escalate to Roxanne"))</f>
        <v/>
      </c>
    </row>
    <row r="650" spans="18:26">
      <c r="R650" s="15"/>
      <c r="S650" s="16"/>
      <c r="T650" s="17">
        <f>IF(AND(COUNTA($A650:$K650)=0,$L650=""),"",IF($S650="Paid","PAID",IF($S650="Closed","CLOSED",IF($W650="","",IF($W650=6,"ESCALATED TO ROXANNE",IF(TODAY()&gt;$Y650,"OVERDUE",IF($Y650&lt;=WORKDAY(TODAY(),1,Holidays),"DUE TOMORROW",IF($W650=4,"ESCALATED TO LOCAL OFFICE",IF($W650=5,"ESCALATED TO CBE",IF($X650=TODAY(),"EMAIL SENT","MONITORING"))))))))))</f>
        <v/>
      </c>
      <c r="U650" s="17">
        <f>IF($T650="",IF(AND(COUNTA($A650:$K650)&gt;0,$L650=""),"Awaiting Collection Email time stamp.",""),IF(OR($T650="PAID",$T650="CLOSED"),IF($T650="PAID","Account paid. Action completed.","Account closed. No further action required."),CHOOSE($W650,"Collection Email","1st Email Follow-up","2nd Email Follow-up","Escalation to Local Office","Escalation to CBE","Escalation to Roxanne")&amp;" sent "&amp;TEXT($X650,"dd-mmm")&amp;". "&amp;IF($W650=6,"Final escalation completed.",IF($T650="OVERDUE","Next: "&amp;$Z650&amp;" was due "&amp;TEXT($Y650,"dd-mmm")&amp;" - "&amp;(NETWORKDAYS($Y650,TODAY(),Holidays)-1)&amp;" business day(s) late. Send now.",IF($T650="DUE TOMORROW","Next: "&amp;$Z650&amp;IF($Y650&lt;=TODAY()," is due TODAY ("," is due next business day (")&amp;TEXT($Y650,"dd-mmm")&amp;").","Next: "&amp;$Z650&amp;" due "&amp;TEXT($Y650,"dd-mmm")&amp;" ("&amp;(NETWORKDAYS(TODAY(),$Y650,Holidays)-1)&amp;" business day(s) left).")))))</f>
        <v/>
      </c>
      <c r="V650" s="17">
        <f>IF($W650="","",CHOOSE($W650,"Collection Email","1st Follow-up","2nd Follow-up","Local Office","CBE","Roxanne")&amp;IF($W650=6," - Final"," - Day "&amp;MAX(0,NETWORKDAYS($X650,TODAY(),Holidays)-1)&amp;" of "&amp;CHOOSE($W650,3,3,2,2,3))&amp;" | Total Day "&amp;MAX(0,NETWORKDAYS($L650,TODAY(),Holidays)-1))</f>
        <v/>
      </c>
      <c r="W650" s="17">
        <f>IF($L650="","",COUNT($L650:$Q650))</f>
        <v/>
      </c>
      <c r="X650" s="18">
        <f>IF($W650="","",INT(INDEX($L650:$Q650,$W650)))</f>
        <v/>
      </c>
      <c r="Y650" s="18">
        <f>IF(OR($W650="",$W650=6),"",WORKDAY($X650,CHOOSE($W650,3,3,2,2,3),Holidays))</f>
        <v/>
      </c>
      <c r="Z650" s="17">
        <f>IF(OR($W650="",$W650=6),"",CHOOSE($W650,"1st Email Follow-up","2nd Email Follow-up","Escalate Local Office","Escalate to CBE","Escalate to Roxanne"))</f>
        <v/>
      </c>
    </row>
    <row r="651" spans="18:26">
      <c r="R651" s="15"/>
      <c r="S651" s="16"/>
      <c r="T651" s="17">
        <f>IF(AND(COUNTA($A651:$K651)=0,$L651=""),"",IF($S651="Paid","PAID",IF($S651="Closed","CLOSED",IF($W651="","",IF($W651=6,"ESCALATED TO ROXANNE",IF(TODAY()&gt;$Y651,"OVERDUE",IF($Y651&lt;=WORKDAY(TODAY(),1,Holidays),"DUE TOMORROW",IF($W651=4,"ESCALATED TO LOCAL OFFICE",IF($W651=5,"ESCALATED TO CBE",IF($X651=TODAY(),"EMAIL SENT","MONITORING"))))))))))</f>
        <v/>
      </c>
      <c r="U651" s="17">
        <f>IF($T651="",IF(AND(COUNTA($A651:$K651)&gt;0,$L651=""),"Awaiting Collection Email time stamp.",""),IF(OR($T651="PAID",$T651="CLOSED"),IF($T651="PAID","Account paid. Action completed.","Account closed. No further action required."),CHOOSE($W651,"Collection Email","1st Email Follow-up","2nd Email Follow-up","Escalation to Local Office","Escalation to CBE","Escalation to Roxanne")&amp;" sent "&amp;TEXT($X651,"dd-mmm")&amp;". "&amp;IF($W651=6,"Final escalation completed.",IF($T651="OVERDUE","Next: "&amp;$Z651&amp;" was due "&amp;TEXT($Y651,"dd-mmm")&amp;" - "&amp;(NETWORKDAYS($Y651,TODAY(),Holidays)-1)&amp;" business day(s) late. Send now.",IF($T651="DUE TOMORROW","Next: "&amp;$Z651&amp;IF($Y651&lt;=TODAY()," is due TODAY ("," is due next business day (")&amp;TEXT($Y651,"dd-mmm")&amp;").","Next: "&amp;$Z651&amp;" due "&amp;TEXT($Y651,"dd-mmm")&amp;" ("&amp;(NETWORKDAYS(TODAY(),$Y651,Holidays)-1)&amp;" business day(s) left).")))))</f>
        <v/>
      </c>
      <c r="V651" s="17">
        <f>IF($W651="","",CHOOSE($W651,"Collection Email","1st Follow-up","2nd Follow-up","Local Office","CBE","Roxanne")&amp;IF($W651=6," - Final"," - Day "&amp;MAX(0,NETWORKDAYS($X651,TODAY(),Holidays)-1)&amp;" of "&amp;CHOOSE($W651,3,3,2,2,3))&amp;" | Total Day "&amp;MAX(0,NETWORKDAYS($L651,TODAY(),Holidays)-1))</f>
        <v/>
      </c>
      <c r="W651" s="17">
        <f>IF($L651="","",COUNT($L651:$Q651))</f>
        <v/>
      </c>
      <c r="X651" s="18">
        <f>IF($W651="","",INT(INDEX($L651:$Q651,$W651)))</f>
        <v/>
      </c>
      <c r="Y651" s="18">
        <f>IF(OR($W651="",$W651=6),"",WORKDAY($X651,CHOOSE($W651,3,3,2,2,3),Holidays))</f>
        <v/>
      </c>
      <c r="Z651" s="17">
        <f>IF(OR($W651="",$W651=6),"",CHOOSE($W651,"1st Email Follow-up","2nd Email Follow-up","Escalate Local Office","Escalate to CBE","Escalate to Roxanne"))</f>
        <v/>
      </c>
    </row>
    <row r="652" spans="18:26">
      <c r="R652" s="15"/>
      <c r="S652" s="16"/>
      <c r="T652" s="17">
        <f>IF(AND(COUNTA($A652:$K652)=0,$L652=""),"",IF($S652="Paid","PAID",IF($S652="Closed","CLOSED",IF($W652="","",IF($W652=6,"ESCALATED TO ROXANNE",IF(TODAY()&gt;$Y652,"OVERDUE",IF($Y652&lt;=WORKDAY(TODAY(),1,Holidays),"DUE TOMORROW",IF($W652=4,"ESCALATED TO LOCAL OFFICE",IF($W652=5,"ESCALATED TO CBE",IF($X652=TODAY(),"EMAIL SENT","MONITORING"))))))))))</f>
        <v/>
      </c>
      <c r="U652" s="17">
        <f>IF($T652="",IF(AND(COUNTA($A652:$K652)&gt;0,$L652=""),"Awaiting Collection Email time stamp.",""),IF(OR($T652="PAID",$T652="CLOSED"),IF($T652="PAID","Account paid. Action completed.","Account closed. No further action required."),CHOOSE($W652,"Collection Email","1st Email Follow-up","2nd Email Follow-up","Escalation to Local Office","Escalation to CBE","Escalation to Roxanne")&amp;" sent "&amp;TEXT($X652,"dd-mmm")&amp;". "&amp;IF($W652=6,"Final escalation completed.",IF($T652="OVERDUE","Next: "&amp;$Z652&amp;" was due "&amp;TEXT($Y652,"dd-mmm")&amp;" - "&amp;(NETWORKDAYS($Y652,TODAY(),Holidays)-1)&amp;" business day(s) late. Send now.",IF($T652="DUE TOMORROW","Next: "&amp;$Z652&amp;IF($Y652&lt;=TODAY()," is due TODAY ("," is due next business day (")&amp;TEXT($Y652,"dd-mmm")&amp;").","Next: "&amp;$Z652&amp;" due "&amp;TEXT($Y652,"dd-mmm")&amp;" ("&amp;(NETWORKDAYS(TODAY(),$Y652,Holidays)-1)&amp;" business day(s) left).")))))</f>
        <v/>
      </c>
      <c r="V652" s="17">
        <f>IF($W652="","",CHOOSE($W652,"Collection Email","1st Follow-up","2nd Follow-up","Local Office","CBE","Roxanne")&amp;IF($W652=6," - Final"," - Day "&amp;MAX(0,NETWORKDAYS($X652,TODAY(),Holidays)-1)&amp;" of "&amp;CHOOSE($W652,3,3,2,2,3))&amp;" | Total Day "&amp;MAX(0,NETWORKDAYS($L652,TODAY(),Holidays)-1))</f>
        <v/>
      </c>
      <c r="W652" s="17">
        <f>IF($L652="","",COUNT($L652:$Q652))</f>
        <v/>
      </c>
      <c r="X652" s="18">
        <f>IF($W652="","",INT(INDEX($L652:$Q652,$W652)))</f>
        <v/>
      </c>
      <c r="Y652" s="18">
        <f>IF(OR($W652="",$W652=6),"",WORKDAY($X652,CHOOSE($W652,3,3,2,2,3),Holidays))</f>
        <v/>
      </c>
      <c r="Z652" s="17">
        <f>IF(OR($W652="",$W652=6),"",CHOOSE($W652,"1st Email Follow-up","2nd Email Follow-up","Escalate Local Office","Escalate to CBE","Escalate to Roxanne"))</f>
        <v/>
      </c>
    </row>
    <row r="653" spans="18:26">
      <c r="R653" s="15"/>
      <c r="S653" s="16"/>
      <c r="T653" s="17">
        <f>IF(AND(COUNTA($A653:$K653)=0,$L653=""),"",IF($S653="Paid","PAID",IF($S653="Closed","CLOSED",IF($W653="","",IF($W653=6,"ESCALATED TO ROXANNE",IF(TODAY()&gt;$Y653,"OVERDUE",IF($Y653&lt;=WORKDAY(TODAY(),1,Holidays),"DUE TOMORROW",IF($W653=4,"ESCALATED TO LOCAL OFFICE",IF($W653=5,"ESCALATED TO CBE",IF($X653=TODAY(),"EMAIL SENT","MONITORING"))))))))))</f>
        <v/>
      </c>
      <c r="U653" s="17">
        <f>IF($T653="",IF(AND(COUNTA($A653:$K653)&gt;0,$L653=""),"Awaiting Collection Email time stamp.",""),IF(OR($T653="PAID",$T653="CLOSED"),IF($T653="PAID","Account paid. Action completed.","Account closed. No further action required."),CHOOSE($W653,"Collection Email","1st Email Follow-up","2nd Email Follow-up","Escalation to Local Office","Escalation to CBE","Escalation to Roxanne")&amp;" sent "&amp;TEXT($X653,"dd-mmm")&amp;". "&amp;IF($W653=6,"Final escalation completed.",IF($T653="OVERDUE","Next: "&amp;$Z653&amp;" was due "&amp;TEXT($Y653,"dd-mmm")&amp;" - "&amp;(NETWORKDAYS($Y653,TODAY(),Holidays)-1)&amp;" business day(s) late. Send now.",IF($T653="DUE TOMORROW","Next: "&amp;$Z653&amp;IF($Y653&lt;=TODAY()," is due TODAY ("," is due next business day (")&amp;TEXT($Y653,"dd-mmm")&amp;").","Next: "&amp;$Z653&amp;" due "&amp;TEXT($Y653,"dd-mmm")&amp;" ("&amp;(NETWORKDAYS(TODAY(),$Y653,Holidays)-1)&amp;" business day(s) left).")))))</f>
        <v/>
      </c>
      <c r="V653" s="17">
        <f>IF($W653="","",CHOOSE($W653,"Collection Email","1st Follow-up","2nd Follow-up","Local Office","CBE","Roxanne")&amp;IF($W653=6," - Final"," - Day "&amp;MAX(0,NETWORKDAYS($X653,TODAY(),Holidays)-1)&amp;" of "&amp;CHOOSE($W653,3,3,2,2,3))&amp;" | Total Day "&amp;MAX(0,NETWORKDAYS($L653,TODAY(),Holidays)-1))</f>
        <v/>
      </c>
      <c r="W653" s="17">
        <f>IF($L653="","",COUNT($L653:$Q653))</f>
        <v/>
      </c>
      <c r="X653" s="18">
        <f>IF($W653="","",INT(INDEX($L653:$Q653,$W653)))</f>
        <v/>
      </c>
      <c r="Y653" s="18">
        <f>IF(OR($W653="",$W653=6),"",WORKDAY($X653,CHOOSE($W653,3,3,2,2,3),Holidays))</f>
        <v/>
      </c>
      <c r="Z653" s="17">
        <f>IF(OR($W653="",$W653=6),"",CHOOSE($W653,"1st Email Follow-up","2nd Email Follow-up","Escalate Local Office","Escalate to CBE","Escalate to Roxanne"))</f>
        <v/>
      </c>
    </row>
    <row r="654" spans="18:26">
      <c r="R654" s="15"/>
      <c r="S654" s="16"/>
      <c r="T654" s="17">
        <f>IF(AND(COUNTA($A654:$K654)=0,$L654=""),"",IF($S654="Paid","PAID",IF($S654="Closed","CLOSED",IF($W654="","",IF($W654=6,"ESCALATED TO ROXANNE",IF(TODAY()&gt;$Y654,"OVERDUE",IF($Y654&lt;=WORKDAY(TODAY(),1,Holidays),"DUE TOMORROW",IF($W654=4,"ESCALATED TO LOCAL OFFICE",IF($W654=5,"ESCALATED TO CBE",IF($X654=TODAY(),"EMAIL SENT","MONITORING"))))))))))</f>
        <v/>
      </c>
      <c r="U654" s="17">
        <f>IF($T654="",IF(AND(COUNTA($A654:$K654)&gt;0,$L654=""),"Awaiting Collection Email time stamp.",""),IF(OR($T654="PAID",$T654="CLOSED"),IF($T654="PAID","Account paid. Action completed.","Account closed. No further action required."),CHOOSE($W654,"Collection Email","1st Email Follow-up","2nd Email Follow-up","Escalation to Local Office","Escalation to CBE","Escalation to Roxanne")&amp;" sent "&amp;TEXT($X654,"dd-mmm")&amp;". "&amp;IF($W654=6,"Final escalation completed.",IF($T654="OVERDUE","Next: "&amp;$Z654&amp;" was due "&amp;TEXT($Y654,"dd-mmm")&amp;" - "&amp;(NETWORKDAYS($Y654,TODAY(),Holidays)-1)&amp;" business day(s) late. Send now.",IF($T654="DUE TOMORROW","Next: "&amp;$Z654&amp;IF($Y654&lt;=TODAY()," is due TODAY ("," is due next business day (")&amp;TEXT($Y654,"dd-mmm")&amp;").","Next: "&amp;$Z654&amp;" due "&amp;TEXT($Y654,"dd-mmm")&amp;" ("&amp;(NETWORKDAYS(TODAY(),$Y654,Holidays)-1)&amp;" business day(s) left).")))))</f>
        <v/>
      </c>
      <c r="V654" s="17">
        <f>IF($W654="","",CHOOSE($W654,"Collection Email","1st Follow-up","2nd Follow-up","Local Office","CBE","Roxanne")&amp;IF($W654=6," - Final"," - Day "&amp;MAX(0,NETWORKDAYS($X654,TODAY(),Holidays)-1)&amp;" of "&amp;CHOOSE($W654,3,3,2,2,3))&amp;" | Total Day "&amp;MAX(0,NETWORKDAYS($L654,TODAY(),Holidays)-1))</f>
        <v/>
      </c>
      <c r="W654" s="17">
        <f>IF($L654="","",COUNT($L654:$Q654))</f>
        <v/>
      </c>
      <c r="X654" s="18">
        <f>IF($W654="","",INT(INDEX($L654:$Q654,$W654)))</f>
        <v/>
      </c>
      <c r="Y654" s="18">
        <f>IF(OR($W654="",$W654=6),"",WORKDAY($X654,CHOOSE($W654,3,3,2,2,3),Holidays))</f>
        <v/>
      </c>
      <c r="Z654" s="17">
        <f>IF(OR($W654="",$W654=6),"",CHOOSE($W654,"1st Email Follow-up","2nd Email Follow-up","Escalate Local Office","Escalate to CBE","Escalate to Roxanne"))</f>
        <v/>
      </c>
    </row>
    <row r="655" spans="18:26">
      <c r="R655" s="15"/>
      <c r="S655" s="16"/>
      <c r="T655" s="17">
        <f>IF(AND(COUNTA($A655:$K655)=0,$L655=""),"",IF($S655="Paid","PAID",IF($S655="Closed","CLOSED",IF($W655="","",IF($W655=6,"ESCALATED TO ROXANNE",IF(TODAY()&gt;$Y655,"OVERDUE",IF($Y655&lt;=WORKDAY(TODAY(),1,Holidays),"DUE TOMORROW",IF($W655=4,"ESCALATED TO LOCAL OFFICE",IF($W655=5,"ESCALATED TO CBE",IF($X655=TODAY(),"EMAIL SENT","MONITORING"))))))))))</f>
        <v/>
      </c>
      <c r="U655" s="17">
        <f>IF($T655="",IF(AND(COUNTA($A655:$K655)&gt;0,$L655=""),"Awaiting Collection Email time stamp.",""),IF(OR($T655="PAID",$T655="CLOSED"),IF($T655="PAID","Account paid. Action completed.","Account closed. No further action required."),CHOOSE($W655,"Collection Email","1st Email Follow-up","2nd Email Follow-up","Escalation to Local Office","Escalation to CBE","Escalation to Roxanne")&amp;" sent "&amp;TEXT($X655,"dd-mmm")&amp;". "&amp;IF($W655=6,"Final escalation completed.",IF($T655="OVERDUE","Next: "&amp;$Z655&amp;" was due "&amp;TEXT($Y655,"dd-mmm")&amp;" - "&amp;(NETWORKDAYS($Y655,TODAY(),Holidays)-1)&amp;" business day(s) late. Send now.",IF($T655="DUE TOMORROW","Next: "&amp;$Z655&amp;IF($Y655&lt;=TODAY()," is due TODAY ("," is due next business day (")&amp;TEXT($Y655,"dd-mmm")&amp;").","Next: "&amp;$Z655&amp;" due "&amp;TEXT($Y655,"dd-mmm")&amp;" ("&amp;(NETWORKDAYS(TODAY(),$Y655,Holidays)-1)&amp;" business day(s) left).")))))</f>
        <v/>
      </c>
      <c r="V655" s="17">
        <f>IF($W655="","",CHOOSE($W655,"Collection Email","1st Follow-up","2nd Follow-up","Local Office","CBE","Roxanne")&amp;IF($W655=6," - Final"," - Day "&amp;MAX(0,NETWORKDAYS($X655,TODAY(),Holidays)-1)&amp;" of "&amp;CHOOSE($W655,3,3,2,2,3))&amp;" | Total Day "&amp;MAX(0,NETWORKDAYS($L655,TODAY(),Holidays)-1))</f>
        <v/>
      </c>
      <c r="W655" s="17">
        <f>IF($L655="","",COUNT($L655:$Q655))</f>
        <v/>
      </c>
      <c r="X655" s="18">
        <f>IF($W655="","",INT(INDEX($L655:$Q655,$W655)))</f>
        <v/>
      </c>
      <c r="Y655" s="18">
        <f>IF(OR($W655="",$W655=6),"",WORKDAY($X655,CHOOSE($W655,3,3,2,2,3),Holidays))</f>
        <v/>
      </c>
      <c r="Z655" s="17">
        <f>IF(OR($W655="",$W655=6),"",CHOOSE($W655,"1st Email Follow-up","2nd Email Follow-up","Escalate Local Office","Escalate to CBE","Escalate to Roxanne"))</f>
        <v/>
      </c>
    </row>
    <row r="656" spans="18:26">
      <c r="R656" s="15"/>
      <c r="S656" s="16"/>
      <c r="T656" s="17">
        <f>IF(AND(COUNTA($A656:$K656)=0,$L656=""),"",IF($S656="Paid","PAID",IF($S656="Closed","CLOSED",IF($W656="","",IF($W656=6,"ESCALATED TO ROXANNE",IF(TODAY()&gt;$Y656,"OVERDUE",IF($Y656&lt;=WORKDAY(TODAY(),1,Holidays),"DUE TOMORROW",IF($W656=4,"ESCALATED TO LOCAL OFFICE",IF($W656=5,"ESCALATED TO CBE",IF($X656=TODAY(),"EMAIL SENT","MONITORING"))))))))))</f>
        <v/>
      </c>
      <c r="U656" s="17">
        <f>IF($T656="",IF(AND(COUNTA($A656:$K656)&gt;0,$L656=""),"Awaiting Collection Email time stamp.",""),IF(OR($T656="PAID",$T656="CLOSED"),IF($T656="PAID","Account paid. Action completed.","Account closed. No further action required."),CHOOSE($W656,"Collection Email","1st Email Follow-up","2nd Email Follow-up","Escalation to Local Office","Escalation to CBE","Escalation to Roxanne")&amp;" sent "&amp;TEXT($X656,"dd-mmm")&amp;". "&amp;IF($W656=6,"Final escalation completed.",IF($T656="OVERDUE","Next: "&amp;$Z656&amp;" was due "&amp;TEXT($Y656,"dd-mmm")&amp;" - "&amp;(NETWORKDAYS($Y656,TODAY(),Holidays)-1)&amp;" business day(s) late. Send now.",IF($T656="DUE TOMORROW","Next: "&amp;$Z656&amp;IF($Y656&lt;=TODAY()," is due TODAY ("," is due next business day (")&amp;TEXT($Y656,"dd-mmm")&amp;").","Next: "&amp;$Z656&amp;" due "&amp;TEXT($Y656,"dd-mmm")&amp;" ("&amp;(NETWORKDAYS(TODAY(),$Y656,Holidays)-1)&amp;" business day(s) left).")))))</f>
        <v/>
      </c>
      <c r="V656" s="17">
        <f>IF($W656="","",CHOOSE($W656,"Collection Email","1st Follow-up","2nd Follow-up","Local Office","CBE","Roxanne")&amp;IF($W656=6," - Final"," - Day "&amp;MAX(0,NETWORKDAYS($X656,TODAY(),Holidays)-1)&amp;" of "&amp;CHOOSE($W656,3,3,2,2,3))&amp;" | Total Day "&amp;MAX(0,NETWORKDAYS($L656,TODAY(),Holidays)-1))</f>
        <v/>
      </c>
      <c r="W656" s="17">
        <f>IF($L656="","",COUNT($L656:$Q656))</f>
        <v/>
      </c>
      <c r="X656" s="18">
        <f>IF($W656="","",INT(INDEX($L656:$Q656,$W656)))</f>
        <v/>
      </c>
      <c r="Y656" s="18">
        <f>IF(OR($W656="",$W656=6),"",WORKDAY($X656,CHOOSE($W656,3,3,2,2,3),Holidays))</f>
        <v/>
      </c>
      <c r="Z656" s="17">
        <f>IF(OR($W656="",$W656=6),"",CHOOSE($W656,"1st Email Follow-up","2nd Email Follow-up","Escalate Local Office","Escalate to CBE","Escalate to Roxanne"))</f>
        <v/>
      </c>
    </row>
    <row r="657" spans="18:26">
      <c r="R657" s="15"/>
      <c r="S657" s="16"/>
      <c r="T657" s="17">
        <f>IF(AND(COUNTA($A657:$K657)=0,$L657=""),"",IF($S657="Paid","PAID",IF($S657="Closed","CLOSED",IF($W657="","",IF($W657=6,"ESCALATED TO ROXANNE",IF(TODAY()&gt;$Y657,"OVERDUE",IF($Y657&lt;=WORKDAY(TODAY(),1,Holidays),"DUE TOMORROW",IF($W657=4,"ESCALATED TO LOCAL OFFICE",IF($W657=5,"ESCALATED TO CBE",IF($X657=TODAY(),"EMAIL SENT","MONITORING"))))))))))</f>
        <v/>
      </c>
      <c r="U657" s="17">
        <f>IF($T657="",IF(AND(COUNTA($A657:$K657)&gt;0,$L657=""),"Awaiting Collection Email time stamp.",""),IF(OR($T657="PAID",$T657="CLOSED"),IF($T657="PAID","Account paid. Action completed.","Account closed. No further action required."),CHOOSE($W657,"Collection Email","1st Email Follow-up","2nd Email Follow-up","Escalation to Local Office","Escalation to CBE","Escalation to Roxanne")&amp;" sent "&amp;TEXT($X657,"dd-mmm")&amp;". "&amp;IF($W657=6,"Final escalation completed.",IF($T657="OVERDUE","Next: "&amp;$Z657&amp;" was due "&amp;TEXT($Y657,"dd-mmm")&amp;" - "&amp;(NETWORKDAYS($Y657,TODAY(),Holidays)-1)&amp;" business day(s) late. Send now.",IF($T657="DUE TOMORROW","Next: "&amp;$Z657&amp;IF($Y657&lt;=TODAY()," is due TODAY ("," is due next business day (")&amp;TEXT($Y657,"dd-mmm")&amp;").","Next: "&amp;$Z657&amp;" due "&amp;TEXT($Y657,"dd-mmm")&amp;" ("&amp;(NETWORKDAYS(TODAY(),$Y657,Holidays)-1)&amp;" business day(s) left).")))))</f>
        <v/>
      </c>
      <c r="V657" s="17">
        <f>IF($W657="","",CHOOSE($W657,"Collection Email","1st Follow-up","2nd Follow-up","Local Office","CBE","Roxanne")&amp;IF($W657=6," - Final"," - Day "&amp;MAX(0,NETWORKDAYS($X657,TODAY(),Holidays)-1)&amp;" of "&amp;CHOOSE($W657,3,3,2,2,3))&amp;" | Total Day "&amp;MAX(0,NETWORKDAYS($L657,TODAY(),Holidays)-1))</f>
        <v/>
      </c>
      <c r="W657" s="17">
        <f>IF($L657="","",COUNT($L657:$Q657))</f>
        <v/>
      </c>
      <c r="X657" s="18">
        <f>IF($W657="","",INT(INDEX($L657:$Q657,$W657)))</f>
        <v/>
      </c>
      <c r="Y657" s="18">
        <f>IF(OR($W657="",$W657=6),"",WORKDAY($X657,CHOOSE($W657,3,3,2,2,3),Holidays))</f>
        <v/>
      </c>
      <c r="Z657" s="17">
        <f>IF(OR($W657="",$W657=6),"",CHOOSE($W657,"1st Email Follow-up","2nd Email Follow-up","Escalate Local Office","Escalate to CBE","Escalate to Roxanne"))</f>
        <v/>
      </c>
    </row>
    <row r="658" spans="18:26">
      <c r="R658" s="15"/>
      <c r="S658" s="16"/>
      <c r="T658" s="17">
        <f>IF(AND(COUNTA($A658:$K658)=0,$L658=""),"",IF($S658="Paid","PAID",IF($S658="Closed","CLOSED",IF($W658="","",IF($W658=6,"ESCALATED TO ROXANNE",IF(TODAY()&gt;$Y658,"OVERDUE",IF($Y658&lt;=WORKDAY(TODAY(),1,Holidays),"DUE TOMORROW",IF($W658=4,"ESCALATED TO LOCAL OFFICE",IF($W658=5,"ESCALATED TO CBE",IF($X658=TODAY(),"EMAIL SENT","MONITORING"))))))))))</f>
        <v/>
      </c>
      <c r="U658" s="17">
        <f>IF($T658="",IF(AND(COUNTA($A658:$K658)&gt;0,$L658=""),"Awaiting Collection Email time stamp.",""),IF(OR($T658="PAID",$T658="CLOSED"),IF($T658="PAID","Account paid. Action completed.","Account closed. No further action required."),CHOOSE($W658,"Collection Email","1st Email Follow-up","2nd Email Follow-up","Escalation to Local Office","Escalation to CBE","Escalation to Roxanne")&amp;" sent "&amp;TEXT($X658,"dd-mmm")&amp;". "&amp;IF($W658=6,"Final escalation completed.",IF($T658="OVERDUE","Next: "&amp;$Z658&amp;" was due "&amp;TEXT($Y658,"dd-mmm")&amp;" - "&amp;(NETWORKDAYS($Y658,TODAY(),Holidays)-1)&amp;" business day(s) late. Send now.",IF($T658="DUE TOMORROW","Next: "&amp;$Z658&amp;IF($Y658&lt;=TODAY()," is due TODAY ("," is due next business day (")&amp;TEXT($Y658,"dd-mmm")&amp;").","Next: "&amp;$Z658&amp;" due "&amp;TEXT($Y658,"dd-mmm")&amp;" ("&amp;(NETWORKDAYS(TODAY(),$Y658,Holidays)-1)&amp;" business day(s) left).")))))</f>
        <v/>
      </c>
      <c r="V658" s="17">
        <f>IF($W658="","",CHOOSE($W658,"Collection Email","1st Follow-up","2nd Follow-up","Local Office","CBE","Roxanne")&amp;IF($W658=6," - Final"," - Day "&amp;MAX(0,NETWORKDAYS($X658,TODAY(),Holidays)-1)&amp;" of "&amp;CHOOSE($W658,3,3,2,2,3))&amp;" | Total Day "&amp;MAX(0,NETWORKDAYS($L658,TODAY(),Holidays)-1))</f>
        <v/>
      </c>
      <c r="W658" s="17">
        <f>IF($L658="","",COUNT($L658:$Q658))</f>
        <v/>
      </c>
      <c r="X658" s="18">
        <f>IF($W658="","",INT(INDEX($L658:$Q658,$W658)))</f>
        <v/>
      </c>
      <c r="Y658" s="18">
        <f>IF(OR($W658="",$W658=6),"",WORKDAY($X658,CHOOSE($W658,3,3,2,2,3),Holidays))</f>
        <v/>
      </c>
      <c r="Z658" s="17">
        <f>IF(OR($W658="",$W658=6),"",CHOOSE($W658,"1st Email Follow-up","2nd Email Follow-up","Escalate Local Office","Escalate to CBE","Escalate to Roxanne"))</f>
        <v/>
      </c>
    </row>
    <row r="659" spans="18:26">
      <c r="R659" s="15"/>
      <c r="S659" s="16"/>
      <c r="T659" s="17">
        <f>IF(AND(COUNTA($A659:$K659)=0,$L659=""),"",IF($S659="Paid","PAID",IF($S659="Closed","CLOSED",IF($W659="","",IF($W659=6,"ESCALATED TO ROXANNE",IF(TODAY()&gt;$Y659,"OVERDUE",IF($Y659&lt;=WORKDAY(TODAY(),1,Holidays),"DUE TOMORROW",IF($W659=4,"ESCALATED TO LOCAL OFFICE",IF($W659=5,"ESCALATED TO CBE",IF($X659=TODAY(),"EMAIL SENT","MONITORING"))))))))))</f>
        <v/>
      </c>
      <c r="U659" s="17">
        <f>IF($T659="",IF(AND(COUNTA($A659:$K659)&gt;0,$L659=""),"Awaiting Collection Email time stamp.",""),IF(OR($T659="PAID",$T659="CLOSED"),IF($T659="PAID","Account paid. Action completed.","Account closed. No further action required."),CHOOSE($W659,"Collection Email","1st Email Follow-up","2nd Email Follow-up","Escalation to Local Office","Escalation to CBE","Escalation to Roxanne")&amp;" sent "&amp;TEXT($X659,"dd-mmm")&amp;". "&amp;IF($W659=6,"Final escalation completed.",IF($T659="OVERDUE","Next: "&amp;$Z659&amp;" was due "&amp;TEXT($Y659,"dd-mmm")&amp;" - "&amp;(NETWORKDAYS($Y659,TODAY(),Holidays)-1)&amp;" business day(s) late. Send now.",IF($T659="DUE TOMORROW","Next: "&amp;$Z659&amp;IF($Y659&lt;=TODAY()," is due TODAY ("," is due next business day (")&amp;TEXT($Y659,"dd-mmm")&amp;").","Next: "&amp;$Z659&amp;" due "&amp;TEXT($Y659,"dd-mmm")&amp;" ("&amp;(NETWORKDAYS(TODAY(),$Y659,Holidays)-1)&amp;" business day(s) left).")))))</f>
        <v/>
      </c>
      <c r="V659" s="17">
        <f>IF($W659="","",CHOOSE($W659,"Collection Email","1st Follow-up","2nd Follow-up","Local Office","CBE","Roxanne")&amp;IF($W659=6," - Final"," - Day "&amp;MAX(0,NETWORKDAYS($X659,TODAY(),Holidays)-1)&amp;" of "&amp;CHOOSE($W659,3,3,2,2,3))&amp;" | Total Day "&amp;MAX(0,NETWORKDAYS($L659,TODAY(),Holidays)-1))</f>
        <v/>
      </c>
      <c r="W659" s="17">
        <f>IF($L659="","",COUNT($L659:$Q659))</f>
        <v/>
      </c>
      <c r="X659" s="18">
        <f>IF($W659="","",INT(INDEX($L659:$Q659,$W659)))</f>
        <v/>
      </c>
      <c r="Y659" s="18">
        <f>IF(OR($W659="",$W659=6),"",WORKDAY($X659,CHOOSE($W659,3,3,2,2,3),Holidays))</f>
        <v/>
      </c>
      <c r="Z659" s="17">
        <f>IF(OR($W659="",$W659=6),"",CHOOSE($W659,"1st Email Follow-up","2nd Email Follow-up","Escalate Local Office","Escalate to CBE","Escalate to Roxanne"))</f>
        <v/>
      </c>
    </row>
    <row r="660" spans="18:26">
      <c r="R660" s="15"/>
      <c r="S660" s="16"/>
      <c r="T660" s="17">
        <f>IF(AND(COUNTA($A660:$K660)=0,$L660=""),"",IF($S660="Paid","PAID",IF($S660="Closed","CLOSED",IF($W660="","",IF($W660=6,"ESCALATED TO ROXANNE",IF(TODAY()&gt;$Y660,"OVERDUE",IF($Y660&lt;=WORKDAY(TODAY(),1,Holidays),"DUE TOMORROW",IF($W660=4,"ESCALATED TO LOCAL OFFICE",IF($W660=5,"ESCALATED TO CBE",IF($X660=TODAY(),"EMAIL SENT","MONITORING"))))))))))</f>
        <v/>
      </c>
      <c r="U660" s="17">
        <f>IF($T660="",IF(AND(COUNTA($A660:$K660)&gt;0,$L660=""),"Awaiting Collection Email time stamp.",""),IF(OR($T660="PAID",$T660="CLOSED"),IF($T660="PAID","Account paid. Action completed.","Account closed. No further action required."),CHOOSE($W660,"Collection Email","1st Email Follow-up","2nd Email Follow-up","Escalation to Local Office","Escalation to CBE","Escalation to Roxanne")&amp;" sent "&amp;TEXT($X660,"dd-mmm")&amp;". "&amp;IF($W660=6,"Final escalation completed.",IF($T660="OVERDUE","Next: "&amp;$Z660&amp;" was due "&amp;TEXT($Y660,"dd-mmm")&amp;" - "&amp;(NETWORKDAYS($Y660,TODAY(),Holidays)-1)&amp;" business day(s) late. Send now.",IF($T660="DUE TOMORROW","Next: "&amp;$Z660&amp;IF($Y660&lt;=TODAY()," is due TODAY ("," is due next business day (")&amp;TEXT($Y660,"dd-mmm")&amp;").","Next: "&amp;$Z660&amp;" due "&amp;TEXT($Y660,"dd-mmm")&amp;" ("&amp;(NETWORKDAYS(TODAY(),$Y660,Holidays)-1)&amp;" business day(s) left).")))))</f>
        <v/>
      </c>
      <c r="V660" s="17">
        <f>IF($W660="","",CHOOSE($W660,"Collection Email","1st Follow-up","2nd Follow-up","Local Office","CBE","Roxanne")&amp;IF($W660=6," - Final"," - Day "&amp;MAX(0,NETWORKDAYS($X660,TODAY(),Holidays)-1)&amp;" of "&amp;CHOOSE($W660,3,3,2,2,3))&amp;" | Total Day "&amp;MAX(0,NETWORKDAYS($L660,TODAY(),Holidays)-1))</f>
        <v/>
      </c>
      <c r="W660" s="17">
        <f>IF($L660="","",COUNT($L660:$Q660))</f>
        <v/>
      </c>
      <c r="X660" s="18">
        <f>IF($W660="","",INT(INDEX($L660:$Q660,$W660)))</f>
        <v/>
      </c>
      <c r="Y660" s="18">
        <f>IF(OR($W660="",$W660=6),"",WORKDAY($X660,CHOOSE($W660,3,3,2,2,3),Holidays))</f>
        <v/>
      </c>
      <c r="Z660" s="17">
        <f>IF(OR($W660="",$W660=6),"",CHOOSE($W660,"1st Email Follow-up","2nd Email Follow-up","Escalate Local Office","Escalate to CBE","Escalate to Roxanne"))</f>
        <v/>
      </c>
    </row>
    <row r="661" spans="18:26">
      <c r="R661" s="15"/>
      <c r="S661" s="16"/>
      <c r="T661" s="17">
        <f>IF(AND(COUNTA($A661:$K661)=0,$L661=""),"",IF($S661="Paid","PAID",IF($S661="Closed","CLOSED",IF($W661="","",IF($W661=6,"ESCALATED TO ROXANNE",IF(TODAY()&gt;$Y661,"OVERDUE",IF($Y661&lt;=WORKDAY(TODAY(),1,Holidays),"DUE TOMORROW",IF($W661=4,"ESCALATED TO LOCAL OFFICE",IF($W661=5,"ESCALATED TO CBE",IF($X661=TODAY(),"EMAIL SENT","MONITORING"))))))))))</f>
        <v/>
      </c>
      <c r="U661" s="17">
        <f>IF($T661="",IF(AND(COUNTA($A661:$K661)&gt;0,$L661=""),"Awaiting Collection Email time stamp.",""),IF(OR($T661="PAID",$T661="CLOSED"),IF($T661="PAID","Account paid. Action completed.","Account closed. No further action required."),CHOOSE($W661,"Collection Email","1st Email Follow-up","2nd Email Follow-up","Escalation to Local Office","Escalation to CBE","Escalation to Roxanne")&amp;" sent "&amp;TEXT($X661,"dd-mmm")&amp;". "&amp;IF($W661=6,"Final escalation completed.",IF($T661="OVERDUE","Next: "&amp;$Z661&amp;" was due "&amp;TEXT($Y661,"dd-mmm")&amp;" - "&amp;(NETWORKDAYS($Y661,TODAY(),Holidays)-1)&amp;" business day(s) late. Send now.",IF($T661="DUE TOMORROW","Next: "&amp;$Z661&amp;IF($Y661&lt;=TODAY()," is due TODAY ("," is due next business day (")&amp;TEXT($Y661,"dd-mmm")&amp;").","Next: "&amp;$Z661&amp;" due "&amp;TEXT($Y661,"dd-mmm")&amp;" ("&amp;(NETWORKDAYS(TODAY(),$Y661,Holidays)-1)&amp;" business day(s) left).")))))</f>
        <v/>
      </c>
      <c r="V661" s="17">
        <f>IF($W661="","",CHOOSE($W661,"Collection Email","1st Follow-up","2nd Follow-up","Local Office","CBE","Roxanne")&amp;IF($W661=6," - Final"," - Day "&amp;MAX(0,NETWORKDAYS($X661,TODAY(),Holidays)-1)&amp;" of "&amp;CHOOSE($W661,3,3,2,2,3))&amp;" | Total Day "&amp;MAX(0,NETWORKDAYS($L661,TODAY(),Holidays)-1))</f>
        <v/>
      </c>
      <c r="W661" s="17">
        <f>IF($L661="","",COUNT($L661:$Q661))</f>
        <v/>
      </c>
      <c r="X661" s="18">
        <f>IF($W661="","",INT(INDEX($L661:$Q661,$W661)))</f>
        <v/>
      </c>
      <c r="Y661" s="18">
        <f>IF(OR($W661="",$W661=6),"",WORKDAY($X661,CHOOSE($W661,3,3,2,2,3),Holidays))</f>
        <v/>
      </c>
      <c r="Z661" s="17">
        <f>IF(OR($W661="",$W661=6),"",CHOOSE($W661,"1st Email Follow-up","2nd Email Follow-up","Escalate Local Office","Escalate to CBE","Escalate to Roxanne"))</f>
        <v/>
      </c>
    </row>
    <row r="662" spans="18:26">
      <c r="R662" s="15"/>
      <c r="S662" s="16"/>
      <c r="T662" s="17">
        <f>IF(AND(COUNTA($A662:$K662)=0,$L662=""),"",IF($S662="Paid","PAID",IF($S662="Closed","CLOSED",IF($W662="","",IF($W662=6,"ESCALATED TO ROXANNE",IF(TODAY()&gt;$Y662,"OVERDUE",IF($Y662&lt;=WORKDAY(TODAY(),1,Holidays),"DUE TOMORROW",IF($W662=4,"ESCALATED TO LOCAL OFFICE",IF($W662=5,"ESCALATED TO CBE",IF($X662=TODAY(),"EMAIL SENT","MONITORING"))))))))))</f>
        <v/>
      </c>
      <c r="U662" s="17">
        <f>IF($T662="",IF(AND(COUNTA($A662:$K662)&gt;0,$L662=""),"Awaiting Collection Email time stamp.",""),IF(OR($T662="PAID",$T662="CLOSED"),IF($T662="PAID","Account paid. Action completed.","Account closed. No further action required."),CHOOSE($W662,"Collection Email","1st Email Follow-up","2nd Email Follow-up","Escalation to Local Office","Escalation to CBE","Escalation to Roxanne")&amp;" sent "&amp;TEXT($X662,"dd-mmm")&amp;". "&amp;IF($W662=6,"Final escalation completed.",IF($T662="OVERDUE","Next: "&amp;$Z662&amp;" was due "&amp;TEXT($Y662,"dd-mmm")&amp;" - "&amp;(NETWORKDAYS($Y662,TODAY(),Holidays)-1)&amp;" business day(s) late. Send now.",IF($T662="DUE TOMORROW","Next: "&amp;$Z662&amp;IF($Y662&lt;=TODAY()," is due TODAY ("," is due next business day (")&amp;TEXT($Y662,"dd-mmm")&amp;").","Next: "&amp;$Z662&amp;" due "&amp;TEXT($Y662,"dd-mmm")&amp;" ("&amp;(NETWORKDAYS(TODAY(),$Y662,Holidays)-1)&amp;" business day(s) left).")))))</f>
        <v/>
      </c>
      <c r="V662" s="17">
        <f>IF($W662="","",CHOOSE($W662,"Collection Email","1st Follow-up","2nd Follow-up","Local Office","CBE","Roxanne")&amp;IF($W662=6," - Final"," - Day "&amp;MAX(0,NETWORKDAYS($X662,TODAY(),Holidays)-1)&amp;" of "&amp;CHOOSE($W662,3,3,2,2,3))&amp;" | Total Day "&amp;MAX(0,NETWORKDAYS($L662,TODAY(),Holidays)-1))</f>
        <v/>
      </c>
      <c r="W662" s="17">
        <f>IF($L662="","",COUNT($L662:$Q662))</f>
        <v/>
      </c>
      <c r="X662" s="18">
        <f>IF($W662="","",INT(INDEX($L662:$Q662,$W662)))</f>
        <v/>
      </c>
      <c r="Y662" s="18">
        <f>IF(OR($W662="",$W662=6),"",WORKDAY($X662,CHOOSE($W662,3,3,2,2,3),Holidays))</f>
        <v/>
      </c>
      <c r="Z662" s="17">
        <f>IF(OR($W662="",$W662=6),"",CHOOSE($W662,"1st Email Follow-up","2nd Email Follow-up","Escalate Local Office","Escalate to CBE","Escalate to Roxanne"))</f>
        <v/>
      </c>
    </row>
    <row r="663" spans="18:26">
      <c r="R663" s="15"/>
      <c r="S663" s="16"/>
      <c r="T663" s="17">
        <f>IF(AND(COUNTA($A663:$K663)=0,$L663=""),"",IF($S663="Paid","PAID",IF($S663="Closed","CLOSED",IF($W663="","",IF($W663=6,"ESCALATED TO ROXANNE",IF(TODAY()&gt;$Y663,"OVERDUE",IF($Y663&lt;=WORKDAY(TODAY(),1,Holidays),"DUE TOMORROW",IF($W663=4,"ESCALATED TO LOCAL OFFICE",IF($W663=5,"ESCALATED TO CBE",IF($X663=TODAY(),"EMAIL SENT","MONITORING"))))))))))</f>
        <v/>
      </c>
      <c r="U663" s="17">
        <f>IF($T663="",IF(AND(COUNTA($A663:$K663)&gt;0,$L663=""),"Awaiting Collection Email time stamp.",""),IF(OR($T663="PAID",$T663="CLOSED"),IF($T663="PAID","Account paid. Action completed.","Account closed. No further action required."),CHOOSE($W663,"Collection Email","1st Email Follow-up","2nd Email Follow-up","Escalation to Local Office","Escalation to CBE","Escalation to Roxanne")&amp;" sent "&amp;TEXT($X663,"dd-mmm")&amp;". "&amp;IF($W663=6,"Final escalation completed.",IF($T663="OVERDUE","Next: "&amp;$Z663&amp;" was due "&amp;TEXT($Y663,"dd-mmm")&amp;" - "&amp;(NETWORKDAYS($Y663,TODAY(),Holidays)-1)&amp;" business day(s) late. Send now.",IF($T663="DUE TOMORROW","Next: "&amp;$Z663&amp;IF($Y663&lt;=TODAY()," is due TODAY ("," is due next business day (")&amp;TEXT($Y663,"dd-mmm")&amp;").","Next: "&amp;$Z663&amp;" due "&amp;TEXT($Y663,"dd-mmm")&amp;" ("&amp;(NETWORKDAYS(TODAY(),$Y663,Holidays)-1)&amp;" business day(s) left).")))))</f>
        <v/>
      </c>
      <c r="V663" s="17">
        <f>IF($W663="","",CHOOSE($W663,"Collection Email","1st Follow-up","2nd Follow-up","Local Office","CBE","Roxanne")&amp;IF($W663=6," - Final"," - Day "&amp;MAX(0,NETWORKDAYS($X663,TODAY(),Holidays)-1)&amp;" of "&amp;CHOOSE($W663,3,3,2,2,3))&amp;" | Total Day "&amp;MAX(0,NETWORKDAYS($L663,TODAY(),Holidays)-1))</f>
        <v/>
      </c>
      <c r="W663" s="17">
        <f>IF($L663="","",COUNT($L663:$Q663))</f>
        <v/>
      </c>
      <c r="X663" s="18">
        <f>IF($W663="","",INT(INDEX($L663:$Q663,$W663)))</f>
        <v/>
      </c>
      <c r="Y663" s="18">
        <f>IF(OR($W663="",$W663=6),"",WORKDAY($X663,CHOOSE($W663,3,3,2,2,3),Holidays))</f>
        <v/>
      </c>
      <c r="Z663" s="17">
        <f>IF(OR($W663="",$W663=6),"",CHOOSE($W663,"1st Email Follow-up","2nd Email Follow-up","Escalate Local Office","Escalate to CBE","Escalate to Roxanne"))</f>
        <v/>
      </c>
    </row>
    <row r="664" spans="18:26">
      <c r="R664" s="15"/>
      <c r="S664" s="16"/>
      <c r="T664" s="17">
        <f>IF(AND(COUNTA($A664:$K664)=0,$L664=""),"",IF($S664="Paid","PAID",IF($S664="Closed","CLOSED",IF($W664="","",IF($W664=6,"ESCALATED TO ROXANNE",IF(TODAY()&gt;$Y664,"OVERDUE",IF($Y664&lt;=WORKDAY(TODAY(),1,Holidays),"DUE TOMORROW",IF($W664=4,"ESCALATED TO LOCAL OFFICE",IF($W664=5,"ESCALATED TO CBE",IF($X664=TODAY(),"EMAIL SENT","MONITORING"))))))))))</f>
        <v/>
      </c>
      <c r="U664" s="17">
        <f>IF($T664="",IF(AND(COUNTA($A664:$K664)&gt;0,$L664=""),"Awaiting Collection Email time stamp.",""),IF(OR($T664="PAID",$T664="CLOSED"),IF($T664="PAID","Account paid. Action completed.","Account closed. No further action required."),CHOOSE($W664,"Collection Email","1st Email Follow-up","2nd Email Follow-up","Escalation to Local Office","Escalation to CBE","Escalation to Roxanne")&amp;" sent "&amp;TEXT($X664,"dd-mmm")&amp;". "&amp;IF($W664=6,"Final escalation completed.",IF($T664="OVERDUE","Next: "&amp;$Z664&amp;" was due "&amp;TEXT($Y664,"dd-mmm")&amp;" - "&amp;(NETWORKDAYS($Y664,TODAY(),Holidays)-1)&amp;" business day(s) late. Send now.",IF($T664="DUE TOMORROW","Next: "&amp;$Z664&amp;IF($Y664&lt;=TODAY()," is due TODAY ("," is due next business day (")&amp;TEXT($Y664,"dd-mmm")&amp;").","Next: "&amp;$Z664&amp;" due "&amp;TEXT($Y664,"dd-mmm")&amp;" ("&amp;(NETWORKDAYS(TODAY(),$Y664,Holidays)-1)&amp;" business day(s) left).")))))</f>
        <v/>
      </c>
      <c r="V664" s="17">
        <f>IF($W664="","",CHOOSE($W664,"Collection Email","1st Follow-up","2nd Follow-up","Local Office","CBE","Roxanne")&amp;IF($W664=6," - Final"," - Day "&amp;MAX(0,NETWORKDAYS($X664,TODAY(),Holidays)-1)&amp;" of "&amp;CHOOSE($W664,3,3,2,2,3))&amp;" | Total Day "&amp;MAX(0,NETWORKDAYS($L664,TODAY(),Holidays)-1))</f>
        <v/>
      </c>
      <c r="W664" s="17">
        <f>IF($L664="","",COUNT($L664:$Q664))</f>
        <v/>
      </c>
      <c r="X664" s="18">
        <f>IF($W664="","",INT(INDEX($L664:$Q664,$W664)))</f>
        <v/>
      </c>
      <c r="Y664" s="18">
        <f>IF(OR($W664="",$W664=6),"",WORKDAY($X664,CHOOSE($W664,3,3,2,2,3),Holidays))</f>
        <v/>
      </c>
      <c r="Z664" s="17">
        <f>IF(OR($W664="",$W664=6),"",CHOOSE($W664,"1st Email Follow-up","2nd Email Follow-up","Escalate Local Office","Escalate to CBE","Escalate to Roxanne"))</f>
        <v/>
      </c>
    </row>
    <row r="665" spans="18:26">
      <c r="R665" s="15"/>
      <c r="S665" s="16"/>
      <c r="T665" s="17">
        <f>IF(AND(COUNTA($A665:$K665)=0,$L665=""),"",IF($S665="Paid","PAID",IF($S665="Closed","CLOSED",IF($W665="","",IF($W665=6,"ESCALATED TO ROXANNE",IF(TODAY()&gt;$Y665,"OVERDUE",IF($Y665&lt;=WORKDAY(TODAY(),1,Holidays),"DUE TOMORROW",IF($W665=4,"ESCALATED TO LOCAL OFFICE",IF($W665=5,"ESCALATED TO CBE",IF($X665=TODAY(),"EMAIL SENT","MONITORING"))))))))))</f>
        <v/>
      </c>
      <c r="U665" s="17">
        <f>IF($T665="",IF(AND(COUNTA($A665:$K665)&gt;0,$L665=""),"Awaiting Collection Email time stamp.",""),IF(OR($T665="PAID",$T665="CLOSED"),IF($T665="PAID","Account paid. Action completed.","Account closed. No further action required."),CHOOSE($W665,"Collection Email","1st Email Follow-up","2nd Email Follow-up","Escalation to Local Office","Escalation to CBE","Escalation to Roxanne")&amp;" sent "&amp;TEXT($X665,"dd-mmm")&amp;". "&amp;IF($W665=6,"Final escalation completed.",IF($T665="OVERDUE","Next: "&amp;$Z665&amp;" was due "&amp;TEXT($Y665,"dd-mmm")&amp;" - "&amp;(NETWORKDAYS($Y665,TODAY(),Holidays)-1)&amp;" business day(s) late. Send now.",IF($T665="DUE TOMORROW","Next: "&amp;$Z665&amp;IF($Y665&lt;=TODAY()," is due TODAY ("," is due next business day (")&amp;TEXT($Y665,"dd-mmm")&amp;").","Next: "&amp;$Z665&amp;" due "&amp;TEXT($Y665,"dd-mmm")&amp;" ("&amp;(NETWORKDAYS(TODAY(),$Y665,Holidays)-1)&amp;" business day(s) left).")))))</f>
        <v/>
      </c>
      <c r="V665" s="17">
        <f>IF($W665="","",CHOOSE($W665,"Collection Email","1st Follow-up","2nd Follow-up","Local Office","CBE","Roxanne")&amp;IF($W665=6," - Final"," - Day "&amp;MAX(0,NETWORKDAYS($X665,TODAY(),Holidays)-1)&amp;" of "&amp;CHOOSE($W665,3,3,2,2,3))&amp;" | Total Day "&amp;MAX(0,NETWORKDAYS($L665,TODAY(),Holidays)-1))</f>
        <v/>
      </c>
      <c r="W665" s="17">
        <f>IF($L665="","",COUNT($L665:$Q665))</f>
        <v/>
      </c>
      <c r="X665" s="18">
        <f>IF($W665="","",INT(INDEX($L665:$Q665,$W665)))</f>
        <v/>
      </c>
      <c r="Y665" s="18">
        <f>IF(OR($W665="",$W665=6),"",WORKDAY($X665,CHOOSE($W665,3,3,2,2,3),Holidays))</f>
        <v/>
      </c>
      <c r="Z665" s="17">
        <f>IF(OR($W665="",$W665=6),"",CHOOSE($W665,"1st Email Follow-up","2nd Email Follow-up","Escalate Local Office","Escalate to CBE","Escalate to Roxanne"))</f>
        <v/>
      </c>
    </row>
    <row r="666" spans="18:26">
      <c r="R666" s="15"/>
      <c r="S666" s="16"/>
      <c r="T666" s="17">
        <f>IF(AND(COUNTA($A666:$K666)=0,$L666=""),"",IF($S666="Paid","PAID",IF($S666="Closed","CLOSED",IF($W666="","",IF($W666=6,"ESCALATED TO ROXANNE",IF(TODAY()&gt;$Y666,"OVERDUE",IF($Y666&lt;=WORKDAY(TODAY(),1,Holidays),"DUE TOMORROW",IF($W666=4,"ESCALATED TO LOCAL OFFICE",IF($W666=5,"ESCALATED TO CBE",IF($X666=TODAY(),"EMAIL SENT","MONITORING"))))))))))</f>
        <v/>
      </c>
      <c r="U666" s="17">
        <f>IF($T666="",IF(AND(COUNTA($A666:$K666)&gt;0,$L666=""),"Awaiting Collection Email time stamp.",""),IF(OR($T666="PAID",$T666="CLOSED"),IF($T666="PAID","Account paid. Action completed.","Account closed. No further action required."),CHOOSE($W666,"Collection Email","1st Email Follow-up","2nd Email Follow-up","Escalation to Local Office","Escalation to CBE","Escalation to Roxanne")&amp;" sent "&amp;TEXT($X666,"dd-mmm")&amp;". "&amp;IF($W666=6,"Final escalation completed.",IF($T666="OVERDUE","Next: "&amp;$Z666&amp;" was due "&amp;TEXT($Y666,"dd-mmm")&amp;" - "&amp;(NETWORKDAYS($Y666,TODAY(),Holidays)-1)&amp;" business day(s) late. Send now.",IF($T666="DUE TOMORROW","Next: "&amp;$Z666&amp;IF($Y666&lt;=TODAY()," is due TODAY ("," is due next business day (")&amp;TEXT($Y666,"dd-mmm")&amp;").","Next: "&amp;$Z666&amp;" due "&amp;TEXT($Y666,"dd-mmm")&amp;" ("&amp;(NETWORKDAYS(TODAY(),$Y666,Holidays)-1)&amp;" business day(s) left).")))))</f>
        <v/>
      </c>
      <c r="V666" s="17">
        <f>IF($W666="","",CHOOSE($W666,"Collection Email","1st Follow-up","2nd Follow-up","Local Office","CBE","Roxanne")&amp;IF($W666=6," - Final"," - Day "&amp;MAX(0,NETWORKDAYS($X666,TODAY(),Holidays)-1)&amp;" of "&amp;CHOOSE($W666,3,3,2,2,3))&amp;" | Total Day "&amp;MAX(0,NETWORKDAYS($L666,TODAY(),Holidays)-1))</f>
        <v/>
      </c>
      <c r="W666" s="17">
        <f>IF($L666="","",COUNT($L666:$Q666))</f>
        <v/>
      </c>
      <c r="X666" s="18">
        <f>IF($W666="","",INT(INDEX($L666:$Q666,$W666)))</f>
        <v/>
      </c>
      <c r="Y666" s="18">
        <f>IF(OR($W666="",$W666=6),"",WORKDAY($X666,CHOOSE($W666,3,3,2,2,3),Holidays))</f>
        <v/>
      </c>
      <c r="Z666" s="17">
        <f>IF(OR($W666="",$W666=6),"",CHOOSE($W666,"1st Email Follow-up","2nd Email Follow-up","Escalate Local Office","Escalate to CBE","Escalate to Roxanne"))</f>
        <v/>
      </c>
    </row>
    <row r="667" spans="18:26">
      <c r="R667" s="15"/>
      <c r="S667" s="16"/>
      <c r="T667" s="17">
        <f>IF(AND(COUNTA($A667:$K667)=0,$L667=""),"",IF($S667="Paid","PAID",IF($S667="Closed","CLOSED",IF($W667="","",IF($W667=6,"ESCALATED TO ROXANNE",IF(TODAY()&gt;$Y667,"OVERDUE",IF($Y667&lt;=WORKDAY(TODAY(),1,Holidays),"DUE TOMORROW",IF($W667=4,"ESCALATED TO LOCAL OFFICE",IF($W667=5,"ESCALATED TO CBE",IF($X667=TODAY(),"EMAIL SENT","MONITORING"))))))))))</f>
        <v/>
      </c>
      <c r="U667" s="17">
        <f>IF($T667="",IF(AND(COUNTA($A667:$K667)&gt;0,$L667=""),"Awaiting Collection Email time stamp.",""),IF(OR($T667="PAID",$T667="CLOSED"),IF($T667="PAID","Account paid. Action completed.","Account closed. No further action required."),CHOOSE($W667,"Collection Email","1st Email Follow-up","2nd Email Follow-up","Escalation to Local Office","Escalation to CBE","Escalation to Roxanne")&amp;" sent "&amp;TEXT($X667,"dd-mmm")&amp;". "&amp;IF($W667=6,"Final escalation completed.",IF($T667="OVERDUE","Next: "&amp;$Z667&amp;" was due "&amp;TEXT($Y667,"dd-mmm")&amp;" - "&amp;(NETWORKDAYS($Y667,TODAY(),Holidays)-1)&amp;" business day(s) late. Send now.",IF($T667="DUE TOMORROW","Next: "&amp;$Z667&amp;IF($Y667&lt;=TODAY()," is due TODAY ("," is due next business day (")&amp;TEXT($Y667,"dd-mmm")&amp;").","Next: "&amp;$Z667&amp;" due "&amp;TEXT($Y667,"dd-mmm")&amp;" ("&amp;(NETWORKDAYS(TODAY(),$Y667,Holidays)-1)&amp;" business day(s) left).")))))</f>
        <v/>
      </c>
      <c r="V667" s="17">
        <f>IF($W667="","",CHOOSE($W667,"Collection Email","1st Follow-up","2nd Follow-up","Local Office","CBE","Roxanne")&amp;IF($W667=6," - Final"," - Day "&amp;MAX(0,NETWORKDAYS($X667,TODAY(),Holidays)-1)&amp;" of "&amp;CHOOSE($W667,3,3,2,2,3))&amp;" | Total Day "&amp;MAX(0,NETWORKDAYS($L667,TODAY(),Holidays)-1))</f>
        <v/>
      </c>
      <c r="W667" s="17">
        <f>IF($L667="","",COUNT($L667:$Q667))</f>
        <v/>
      </c>
      <c r="X667" s="18">
        <f>IF($W667="","",INT(INDEX($L667:$Q667,$W667)))</f>
        <v/>
      </c>
      <c r="Y667" s="18">
        <f>IF(OR($W667="",$W667=6),"",WORKDAY($X667,CHOOSE($W667,3,3,2,2,3),Holidays))</f>
        <v/>
      </c>
      <c r="Z667" s="17">
        <f>IF(OR($W667="",$W667=6),"",CHOOSE($W667,"1st Email Follow-up","2nd Email Follow-up","Escalate Local Office","Escalate to CBE","Escalate to Roxanne"))</f>
        <v/>
      </c>
    </row>
    <row r="668" spans="18:26">
      <c r="R668" s="15"/>
      <c r="S668" s="16"/>
      <c r="T668" s="17">
        <f>IF(AND(COUNTA($A668:$K668)=0,$L668=""),"",IF($S668="Paid","PAID",IF($S668="Closed","CLOSED",IF($W668="","",IF($W668=6,"ESCALATED TO ROXANNE",IF(TODAY()&gt;$Y668,"OVERDUE",IF($Y668&lt;=WORKDAY(TODAY(),1,Holidays),"DUE TOMORROW",IF($W668=4,"ESCALATED TO LOCAL OFFICE",IF($W668=5,"ESCALATED TO CBE",IF($X668=TODAY(),"EMAIL SENT","MONITORING"))))))))))</f>
        <v/>
      </c>
      <c r="U668" s="17">
        <f>IF($T668="",IF(AND(COUNTA($A668:$K668)&gt;0,$L668=""),"Awaiting Collection Email time stamp.",""),IF(OR($T668="PAID",$T668="CLOSED"),IF($T668="PAID","Account paid. Action completed.","Account closed. No further action required."),CHOOSE($W668,"Collection Email","1st Email Follow-up","2nd Email Follow-up","Escalation to Local Office","Escalation to CBE","Escalation to Roxanne")&amp;" sent "&amp;TEXT($X668,"dd-mmm")&amp;". "&amp;IF($W668=6,"Final escalation completed.",IF($T668="OVERDUE","Next: "&amp;$Z668&amp;" was due "&amp;TEXT($Y668,"dd-mmm")&amp;" - "&amp;(NETWORKDAYS($Y668,TODAY(),Holidays)-1)&amp;" business day(s) late. Send now.",IF($T668="DUE TOMORROW","Next: "&amp;$Z668&amp;IF($Y668&lt;=TODAY()," is due TODAY ("," is due next business day (")&amp;TEXT($Y668,"dd-mmm")&amp;").","Next: "&amp;$Z668&amp;" due "&amp;TEXT($Y668,"dd-mmm")&amp;" ("&amp;(NETWORKDAYS(TODAY(),$Y668,Holidays)-1)&amp;" business day(s) left).")))))</f>
        <v/>
      </c>
      <c r="V668" s="17">
        <f>IF($W668="","",CHOOSE($W668,"Collection Email","1st Follow-up","2nd Follow-up","Local Office","CBE","Roxanne")&amp;IF($W668=6," - Final"," - Day "&amp;MAX(0,NETWORKDAYS($X668,TODAY(),Holidays)-1)&amp;" of "&amp;CHOOSE($W668,3,3,2,2,3))&amp;" | Total Day "&amp;MAX(0,NETWORKDAYS($L668,TODAY(),Holidays)-1))</f>
        <v/>
      </c>
      <c r="W668" s="17">
        <f>IF($L668="","",COUNT($L668:$Q668))</f>
        <v/>
      </c>
      <c r="X668" s="18">
        <f>IF($W668="","",INT(INDEX($L668:$Q668,$W668)))</f>
        <v/>
      </c>
      <c r="Y668" s="18">
        <f>IF(OR($W668="",$W668=6),"",WORKDAY($X668,CHOOSE($W668,3,3,2,2,3),Holidays))</f>
        <v/>
      </c>
      <c r="Z668" s="17">
        <f>IF(OR($W668="",$W668=6),"",CHOOSE($W668,"1st Email Follow-up","2nd Email Follow-up","Escalate Local Office","Escalate to CBE","Escalate to Roxanne"))</f>
        <v/>
      </c>
    </row>
    <row r="669" spans="18:26">
      <c r="R669" s="15"/>
      <c r="S669" s="16"/>
      <c r="T669" s="17">
        <f>IF(AND(COUNTA($A669:$K669)=0,$L669=""),"",IF($S669="Paid","PAID",IF($S669="Closed","CLOSED",IF($W669="","",IF($W669=6,"ESCALATED TO ROXANNE",IF(TODAY()&gt;$Y669,"OVERDUE",IF($Y669&lt;=WORKDAY(TODAY(),1,Holidays),"DUE TOMORROW",IF($W669=4,"ESCALATED TO LOCAL OFFICE",IF($W669=5,"ESCALATED TO CBE",IF($X669=TODAY(),"EMAIL SENT","MONITORING"))))))))))</f>
        <v/>
      </c>
      <c r="U669" s="17">
        <f>IF($T669="",IF(AND(COUNTA($A669:$K669)&gt;0,$L669=""),"Awaiting Collection Email time stamp.",""),IF(OR($T669="PAID",$T669="CLOSED"),IF($T669="PAID","Account paid. Action completed.","Account closed. No further action required."),CHOOSE($W669,"Collection Email","1st Email Follow-up","2nd Email Follow-up","Escalation to Local Office","Escalation to CBE","Escalation to Roxanne")&amp;" sent "&amp;TEXT($X669,"dd-mmm")&amp;". "&amp;IF($W669=6,"Final escalation completed.",IF($T669="OVERDUE","Next: "&amp;$Z669&amp;" was due "&amp;TEXT($Y669,"dd-mmm")&amp;" - "&amp;(NETWORKDAYS($Y669,TODAY(),Holidays)-1)&amp;" business day(s) late. Send now.",IF($T669="DUE TOMORROW","Next: "&amp;$Z669&amp;IF($Y669&lt;=TODAY()," is due TODAY ("," is due next business day (")&amp;TEXT($Y669,"dd-mmm")&amp;").","Next: "&amp;$Z669&amp;" due "&amp;TEXT($Y669,"dd-mmm")&amp;" ("&amp;(NETWORKDAYS(TODAY(),$Y669,Holidays)-1)&amp;" business day(s) left).")))))</f>
        <v/>
      </c>
      <c r="V669" s="17">
        <f>IF($W669="","",CHOOSE($W669,"Collection Email","1st Follow-up","2nd Follow-up","Local Office","CBE","Roxanne")&amp;IF($W669=6," - Final"," - Day "&amp;MAX(0,NETWORKDAYS($X669,TODAY(),Holidays)-1)&amp;" of "&amp;CHOOSE($W669,3,3,2,2,3))&amp;" | Total Day "&amp;MAX(0,NETWORKDAYS($L669,TODAY(),Holidays)-1))</f>
        <v/>
      </c>
      <c r="W669" s="17">
        <f>IF($L669="","",COUNT($L669:$Q669))</f>
        <v/>
      </c>
      <c r="X669" s="18">
        <f>IF($W669="","",INT(INDEX($L669:$Q669,$W669)))</f>
        <v/>
      </c>
      <c r="Y669" s="18">
        <f>IF(OR($W669="",$W669=6),"",WORKDAY($X669,CHOOSE($W669,3,3,2,2,3),Holidays))</f>
        <v/>
      </c>
      <c r="Z669" s="17">
        <f>IF(OR($W669="",$W669=6),"",CHOOSE($W669,"1st Email Follow-up","2nd Email Follow-up","Escalate Local Office","Escalate to CBE","Escalate to Roxanne"))</f>
        <v/>
      </c>
    </row>
    <row r="670" spans="18:26">
      <c r="R670" s="15"/>
      <c r="S670" s="16"/>
      <c r="T670" s="17">
        <f>IF(AND(COUNTA($A670:$K670)=0,$L670=""),"",IF($S670="Paid","PAID",IF($S670="Closed","CLOSED",IF($W670="","",IF($W670=6,"ESCALATED TO ROXANNE",IF(TODAY()&gt;$Y670,"OVERDUE",IF($Y670&lt;=WORKDAY(TODAY(),1,Holidays),"DUE TOMORROW",IF($W670=4,"ESCALATED TO LOCAL OFFICE",IF($W670=5,"ESCALATED TO CBE",IF($X670=TODAY(),"EMAIL SENT","MONITORING"))))))))))</f>
        <v/>
      </c>
      <c r="U670" s="17">
        <f>IF($T670="",IF(AND(COUNTA($A670:$K670)&gt;0,$L670=""),"Awaiting Collection Email time stamp.",""),IF(OR($T670="PAID",$T670="CLOSED"),IF($T670="PAID","Account paid. Action completed.","Account closed. No further action required."),CHOOSE($W670,"Collection Email","1st Email Follow-up","2nd Email Follow-up","Escalation to Local Office","Escalation to CBE","Escalation to Roxanne")&amp;" sent "&amp;TEXT($X670,"dd-mmm")&amp;". "&amp;IF($W670=6,"Final escalation completed.",IF($T670="OVERDUE","Next: "&amp;$Z670&amp;" was due "&amp;TEXT($Y670,"dd-mmm")&amp;" - "&amp;(NETWORKDAYS($Y670,TODAY(),Holidays)-1)&amp;" business day(s) late. Send now.",IF($T670="DUE TOMORROW","Next: "&amp;$Z670&amp;IF($Y670&lt;=TODAY()," is due TODAY ("," is due next business day (")&amp;TEXT($Y670,"dd-mmm")&amp;").","Next: "&amp;$Z670&amp;" due "&amp;TEXT($Y670,"dd-mmm")&amp;" ("&amp;(NETWORKDAYS(TODAY(),$Y670,Holidays)-1)&amp;" business day(s) left).")))))</f>
        <v/>
      </c>
      <c r="V670" s="17">
        <f>IF($W670="","",CHOOSE($W670,"Collection Email","1st Follow-up","2nd Follow-up","Local Office","CBE","Roxanne")&amp;IF($W670=6," - Final"," - Day "&amp;MAX(0,NETWORKDAYS($X670,TODAY(),Holidays)-1)&amp;" of "&amp;CHOOSE($W670,3,3,2,2,3))&amp;" | Total Day "&amp;MAX(0,NETWORKDAYS($L670,TODAY(),Holidays)-1))</f>
        <v/>
      </c>
      <c r="W670" s="17">
        <f>IF($L670="","",COUNT($L670:$Q670))</f>
        <v/>
      </c>
      <c r="X670" s="18">
        <f>IF($W670="","",INT(INDEX($L670:$Q670,$W670)))</f>
        <v/>
      </c>
      <c r="Y670" s="18">
        <f>IF(OR($W670="",$W670=6),"",WORKDAY($X670,CHOOSE($W670,3,3,2,2,3),Holidays))</f>
        <v/>
      </c>
      <c r="Z670" s="17">
        <f>IF(OR($W670="",$W670=6),"",CHOOSE($W670,"1st Email Follow-up","2nd Email Follow-up","Escalate Local Office","Escalate to CBE","Escalate to Roxanne"))</f>
        <v/>
      </c>
    </row>
    <row r="671" spans="18:26">
      <c r="R671" s="15"/>
      <c r="S671" s="16"/>
      <c r="T671" s="17">
        <f>IF(AND(COUNTA($A671:$K671)=0,$L671=""),"",IF($S671="Paid","PAID",IF($S671="Closed","CLOSED",IF($W671="","",IF($W671=6,"ESCALATED TO ROXANNE",IF(TODAY()&gt;$Y671,"OVERDUE",IF($Y671&lt;=WORKDAY(TODAY(),1,Holidays),"DUE TOMORROW",IF($W671=4,"ESCALATED TO LOCAL OFFICE",IF($W671=5,"ESCALATED TO CBE",IF($X671=TODAY(),"EMAIL SENT","MONITORING"))))))))))</f>
        <v/>
      </c>
      <c r="U671" s="17">
        <f>IF($T671="",IF(AND(COUNTA($A671:$K671)&gt;0,$L671=""),"Awaiting Collection Email time stamp.",""),IF(OR($T671="PAID",$T671="CLOSED"),IF($T671="PAID","Account paid. Action completed.","Account closed. No further action required."),CHOOSE($W671,"Collection Email","1st Email Follow-up","2nd Email Follow-up","Escalation to Local Office","Escalation to CBE","Escalation to Roxanne")&amp;" sent "&amp;TEXT($X671,"dd-mmm")&amp;". "&amp;IF($W671=6,"Final escalation completed.",IF($T671="OVERDUE","Next: "&amp;$Z671&amp;" was due "&amp;TEXT($Y671,"dd-mmm")&amp;" - "&amp;(NETWORKDAYS($Y671,TODAY(),Holidays)-1)&amp;" business day(s) late. Send now.",IF($T671="DUE TOMORROW","Next: "&amp;$Z671&amp;IF($Y671&lt;=TODAY()," is due TODAY ("," is due next business day (")&amp;TEXT($Y671,"dd-mmm")&amp;").","Next: "&amp;$Z671&amp;" due "&amp;TEXT($Y671,"dd-mmm")&amp;" ("&amp;(NETWORKDAYS(TODAY(),$Y671,Holidays)-1)&amp;" business day(s) left).")))))</f>
        <v/>
      </c>
      <c r="V671" s="17">
        <f>IF($W671="","",CHOOSE($W671,"Collection Email","1st Follow-up","2nd Follow-up","Local Office","CBE","Roxanne")&amp;IF($W671=6," - Final"," - Day "&amp;MAX(0,NETWORKDAYS($X671,TODAY(),Holidays)-1)&amp;" of "&amp;CHOOSE($W671,3,3,2,2,3))&amp;" | Total Day "&amp;MAX(0,NETWORKDAYS($L671,TODAY(),Holidays)-1))</f>
        <v/>
      </c>
      <c r="W671" s="17">
        <f>IF($L671="","",COUNT($L671:$Q671))</f>
        <v/>
      </c>
      <c r="X671" s="18">
        <f>IF($W671="","",INT(INDEX($L671:$Q671,$W671)))</f>
        <v/>
      </c>
      <c r="Y671" s="18">
        <f>IF(OR($W671="",$W671=6),"",WORKDAY($X671,CHOOSE($W671,3,3,2,2,3),Holidays))</f>
        <v/>
      </c>
      <c r="Z671" s="17">
        <f>IF(OR($W671="",$W671=6),"",CHOOSE($W671,"1st Email Follow-up","2nd Email Follow-up","Escalate Local Office","Escalate to CBE","Escalate to Roxanne"))</f>
        <v/>
      </c>
    </row>
    <row r="672" spans="18:26">
      <c r="R672" s="15"/>
      <c r="S672" s="16"/>
      <c r="T672" s="17">
        <f>IF(AND(COUNTA($A672:$K672)=0,$L672=""),"",IF($S672="Paid","PAID",IF($S672="Closed","CLOSED",IF($W672="","",IF($W672=6,"ESCALATED TO ROXANNE",IF(TODAY()&gt;$Y672,"OVERDUE",IF($Y672&lt;=WORKDAY(TODAY(),1,Holidays),"DUE TOMORROW",IF($W672=4,"ESCALATED TO LOCAL OFFICE",IF($W672=5,"ESCALATED TO CBE",IF($X672=TODAY(),"EMAIL SENT","MONITORING"))))))))))</f>
        <v/>
      </c>
      <c r="U672" s="17">
        <f>IF($T672="",IF(AND(COUNTA($A672:$K672)&gt;0,$L672=""),"Awaiting Collection Email time stamp.",""),IF(OR($T672="PAID",$T672="CLOSED"),IF($T672="PAID","Account paid. Action completed.","Account closed. No further action required."),CHOOSE($W672,"Collection Email","1st Email Follow-up","2nd Email Follow-up","Escalation to Local Office","Escalation to CBE","Escalation to Roxanne")&amp;" sent "&amp;TEXT($X672,"dd-mmm")&amp;". "&amp;IF($W672=6,"Final escalation completed.",IF($T672="OVERDUE","Next: "&amp;$Z672&amp;" was due "&amp;TEXT($Y672,"dd-mmm")&amp;" - "&amp;(NETWORKDAYS($Y672,TODAY(),Holidays)-1)&amp;" business day(s) late. Send now.",IF($T672="DUE TOMORROW","Next: "&amp;$Z672&amp;IF($Y672&lt;=TODAY()," is due TODAY ("," is due next business day (")&amp;TEXT($Y672,"dd-mmm")&amp;").","Next: "&amp;$Z672&amp;" due "&amp;TEXT($Y672,"dd-mmm")&amp;" ("&amp;(NETWORKDAYS(TODAY(),$Y672,Holidays)-1)&amp;" business day(s) left).")))))</f>
        <v/>
      </c>
      <c r="V672" s="17">
        <f>IF($W672="","",CHOOSE($W672,"Collection Email","1st Follow-up","2nd Follow-up","Local Office","CBE","Roxanne")&amp;IF($W672=6," - Final"," - Day "&amp;MAX(0,NETWORKDAYS($X672,TODAY(),Holidays)-1)&amp;" of "&amp;CHOOSE($W672,3,3,2,2,3))&amp;" | Total Day "&amp;MAX(0,NETWORKDAYS($L672,TODAY(),Holidays)-1))</f>
        <v/>
      </c>
      <c r="W672" s="17">
        <f>IF($L672="","",COUNT($L672:$Q672))</f>
        <v/>
      </c>
      <c r="X672" s="18">
        <f>IF($W672="","",INT(INDEX($L672:$Q672,$W672)))</f>
        <v/>
      </c>
      <c r="Y672" s="18">
        <f>IF(OR($W672="",$W672=6),"",WORKDAY($X672,CHOOSE($W672,3,3,2,2,3),Holidays))</f>
        <v/>
      </c>
      <c r="Z672" s="17">
        <f>IF(OR($W672="",$W672=6),"",CHOOSE($W672,"1st Email Follow-up","2nd Email Follow-up","Escalate Local Office","Escalate to CBE","Escalate to Roxanne"))</f>
        <v/>
      </c>
    </row>
    <row r="673" spans="18:26">
      <c r="R673" s="15"/>
      <c r="S673" s="16"/>
      <c r="T673" s="17">
        <f>IF(AND(COUNTA($A673:$K673)=0,$L673=""),"",IF($S673="Paid","PAID",IF($S673="Closed","CLOSED",IF($W673="","",IF($W673=6,"ESCALATED TO ROXANNE",IF(TODAY()&gt;$Y673,"OVERDUE",IF($Y673&lt;=WORKDAY(TODAY(),1,Holidays),"DUE TOMORROW",IF($W673=4,"ESCALATED TO LOCAL OFFICE",IF($W673=5,"ESCALATED TO CBE",IF($X673=TODAY(),"EMAIL SENT","MONITORING"))))))))))</f>
        <v/>
      </c>
      <c r="U673" s="17">
        <f>IF($T673="",IF(AND(COUNTA($A673:$K673)&gt;0,$L673=""),"Awaiting Collection Email time stamp.",""),IF(OR($T673="PAID",$T673="CLOSED"),IF($T673="PAID","Account paid. Action completed.","Account closed. No further action required."),CHOOSE($W673,"Collection Email","1st Email Follow-up","2nd Email Follow-up","Escalation to Local Office","Escalation to CBE","Escalation to Roxanne")&amp;" sent "&amp;TEXT($X673,"dd-mmm")&amp;". "&amp;IF($W673=6,"Final escalation completed.",IF($T673="OVERDUE","Next: "&amp;$Z673&amp;" was due "&amp;TEXT($Y673,"dd-mmm")&amp;" - "&amp;(NETWORKDAYS($Y673,TODAY(),Holidays)-1)&amp;" business day(s) late. Send now.",IF($T673="DUE TOMORROW","Next: "&amp;$Z673&amp;IF($Y673&lt;=TODAY()," is due TODAY ("," is due next business day (")&amp;TEXT($Y673,"dd-mmm")&amp;").","Next: "&amp;$Z673&amp;" due "&amp;TEXT($Y673,"dd-mmm")&amp;" ("&amp;(NETWORKDAYS(TODAY(),$Y673,Holidays)-1)&amp;" business day(s) left).")))))</f>
        <v/>
      </c>
      <c r="V673" s="17">
        <f>IF($W673="","",CHOOSE($W673,"Collection Email","1st Follow-up","2nd Follow-up","Local Office","CBE","Roxanne")&amp;IF($W673=6," - Final"," - Day "&amp;MAX(0,NETWORKDAYS($X673,TODAY(),Holidays)-1)&amp;" of "&amp;CHOOSE($W673,3,3,2,2,3))&amp;" | Total Day "&amp;MAX(0,NETWORKDAYS($L673,TODAY(),Holidays)-1))</f>
        <v/>
      </c>
      <c r="W673" s="17">
        <f>IF($L673="","",COUNT($L673:$Q673))</f>
        <v/>
      </c>
      <c r="X673" s="18">
        <f>IF($W673="","",INT(INDEX($L673:$Q673,$W673)))</f>
        <v/>
      </c>
      <c r="Y673" s="18">
        <f>IF(OR($W673="",$W673=6),"",WORKDAY($X673,CHOOSE($W673,3,3,2,2,3),Holidays))</f>
        <v/>
      </c>
      <c r="Z673" s="17">
        <f>IF(OR($W673="",$W673=6),"",CHOOSE($W673,"1st Email Follow-up","2nd Email Follow-up","Escalate Local Office","Escalate to CBE","Escalate to Roxanne"))</f>
        <v/>
      </c>
    </row>
    <row r="674" spans="18:26">
      <c r="R674" s="15"/>
      <c r="S674" s="16"/>
      <c r="T674" s="17">
        <f>IF(AND(COUNTA($A674:$K674)=0,$L674=""),"",IF($S674="Paid","PAID",IF($S674="Closed","CLOSED",IF($W674="","",IF($W674=6,"ESCALATED TO ROXANNE",IF(TODAY()&gt;$Y674,"OVERDUE",IF($Y674&lt;=WORKDAY(TODAY(),1,Holidays),"DUE TOMORROW",IF($W674=4,"ESCALATED TO LOCAL OFFICE",IF($W674=5,"ESCALATED TO CBE",IF($X674=TODAY(),"EMAIL SENT","MONITORING"))))))))))</f>
        <v/>
      </c>
      <c r="U674" s="17">
        <f>IF($T674="",IF(AND(COUNTA($A674:$K674)&gt;0,$L674=""),"Awaiting Collection Email time stamp.",""),IF(OR($T674="PAID",$T674="CLOSED"),IF($T674="PAID","Account paid. Action completed.","Account closed. No further action required."),CHOOSE($W674,"Collection Email","1st Email Follow-up","2nd Email Follow-up","Escalation to Local Office","Escalation to CBE","Escalation to Roxanne")&amp;" sent "&amp;TEXT($X674,"dd-mmm")&amp;". "&amp;IF($W674=6,"Final escalation completed.",IF($T674="OVERDUE","Next: "&amp;$Z674&amp;" was due "&amp;TEXT($Y674,"dd-mmm")&amp;" - "&amp;(NETWORKDAYS($Y674,TODAY(),Holidays)-1)&amp;" business day(s) late. Send now.",IF($T674="DUE TOMORROW","Next: "&amp;$Z674&amp;IF($Y674&lt;=TODAY()," is due TODAY ("," is due next business day (")&amp;TEXT($Y674,"dd-mmm")&amp;").","Next: "&amp;$Z674&amp;" due "&amp;TEXT($Y674,"dd-mmm")&amp;" ("&amp;(NETWORKDAYS(TODAY(),$Y674,Holidays)-1)&amp;" business day(s) left).")))))</f>
        <v/>
      </c>
      <c r="V674" s="17">
        <f>IF($W674="","",CHOOSE($W674,"Collection Email","1st Follow-up","2nd Follow-up","Local Office","CBE","Roxanne")&amp;IF($W674=6," - Final"," - Day "&amp;MAX(0,NETWORKDAYS($X674,TODAY(),Holidays)-1)&amp;" of "&amp;CHOOSE($W674,3,3,2,2,3))&amp;" | Total Day "&amp;MAX(0,NETWORKDAYS($L674,TODAY(),Holidays)-1))</f>
        <v/>
      </c>
      <c r="W674" s="17">
        <f>IF($L674="","",COUNT($L674:$Q674))</f>
        <v/>
      </c>
      <c r="X674" s="18">
        <f>IF($W674="","",INT(INDEX($L674:$Q674,$W674)))</f>
        <v/>
      </c>
      <c r="Y674" s="18">
        <f>IF(OR($W674="",$W674=6),"",WORKDAY($X674,CHOOSE($W674,3,3,2,2,3),Holidays))</f>
        <v/>
      </c>
      <c r="Z674" s="17">
        <f>IF(OR($W674="",$W674=6),"",CHOOSE($W674,"1st Email Follow-up","2nd Email Follow-up","Escalate Local Office","Escalate to CBE","Escalate to Roxanne"))</f>
        <v/>
      </c>
    </row>
    <row r="675" spans="18:26">
      <c r="R675" s="15"/>
      <c r="S675" s="16"/>
      <c r="T675" s="17">
        <f>IF(AND(COUNTA($A675:$K675)=0,$L675=""),"",IF($S675="Paid","PAID",IF($S675="Closed","CLOSED",IF($W675="","",IF($W675=6,"ESCALATED TO ROXANNE",IF(TODAY()&gt;$Y675,"OVERDUE",IF($Y675&lt;=WORKDAY(TODAY(),1,Holidays),"DUE TOMORROW",IF($W675=4,"ESCALATED TO LOCAL OFFICE",IF($W675=5,"ESCALATED TO CBE",IF($X675=TODAY(),"EMAIL SENT","MONITORING"))))))))))</f>
        <v/>
      </c>
      <c r="U675" s="17">
        <f>IF($T675="",IF(AND(COUNTA($A675:$K675)&gt;0,$L675=""),"Awaiting Collection Email time stamp.",""),IF(OR($T675="PAID",$T675="CLOSED"),IF($T675="PAID","Account paid. Action completed.","Account closed. No further action required."),CHOOSE($W675,"Collection Email","1st Email Follow-up","2nd Email Follow-up","Escalation to Local Office","Escalation to CBE","Escalation to Roxanne")&amp;" sent "&amp;TEXT($X675,"dd-mmm")&amp;". "&amp;IF($W675=6,"Final escalation completed.",IF($T675="OVERDUE","Next: "&amp;$Z675&amp;" was due "&amp;TEXT($Y675,"dd-mmm")&amp;" - "&amp;(NETWORKDAYS($Y675,TODAY(),Holidays)-1)&amp;" business day(s) late. Send now.",IF($T675="DUE TOMORROW","Next: "&amp;$Z675&amp;IF($Y675&lt;=TODAY()," is due TODAY ("," is due next business day (")&amp;TEXT($Y675,"dd-mmm")&amp;").","Next: "&amp;$Z675&amp;" due "&amp;TEXT($Y675,"dd-mmm")&amp;" ("&amp;(NETWORKDAYS(TODAY(),$Y675,Holidays)-1)&amp;" business day(s) left).")))))</f>
        <v/>
      </c>
      <c r="V675" s="17">
        <f>IF($W675="","",CHOOSE($W675,"Collection Email","1st Follow-up","2nd Follow-up","Local Office","CBE","Roxanne")&amp;IF($W675=6," - Final"," - Day "&amp;MAX(0,NETWORKDAYS($X675,TODAY(),Holidays)-1)&amp;" of "&amp;CHOOSE($W675,3,3,2,2,3))&amp;" | Total Day "&amp;MAX(0,NETWORKDAYS($L675,TODAY(),Holidays)-1))</f>
        <v/>
      </c>
      <c r="W675" s="17">
        <f>IF($L675="","",COUNT($L675:$Q675))</f>
        <v/>
      </c>
      <c r="X675" s="18">
        <f>IF($W675="","",INT(INDEX($L675:$Q675,$W675)))</f>
        <v/>
      </c>
      <c r="Y675" s="18">
        <f>IF(OR($W675="",$W675=6),"",WORKDAY($X675,CHOOSE($W675,3,3,2,2,3),Holidays))</f>
        <v/>
      </c>
      <c r="Z675" s="17">
        <f>IF(OR($W675="",$W675=6),"",CHOOSE($W675,"1st Email Follow-up","2nd Email Follow-up","Escalate Local Office","Escalate to CBE","Escalate to Roxanne"))</f>
        <v/>
      </c>
    </row>
    <row r="676" spans="18:26">
      <c r="R676" s="15"/>
      <c r="S676" s="16"/>
      <c r="T676" s="17">
        <f>IF(AND(COUNTA($A676:$K676)=0,$L676=""),"",IF($S676="Paid","PAID",IF($S676="Closed","CLOSED",IF($W676="","",IF($W676=6,"ESCALATED TO ROXANNE",IF(TODAY()&gt;$Y676,"OVERDUE",IF($Y676&lt;=WORKDAY(TODAY(),1,Holidays),"DUE TOMORROW",IF($W676=4,"ESCALATED TO LOCAL OFFICE",IF($W676=5,"ESCALATED TO CBE",IF($X676=TODAY(),"EMAIL SENT","MONITORING"))))))))))</f>
        <v/>
      </c>
      <c r="U676" s="17">
        <f>IF($T676="",IF(AND(COUNTA($A676:$K676)&gt;0,$L676=""),"Awaiting Collection Email time stamp.",""),IF(OR($T676="PAID",$T676="CLOSED"),IF($T676="PAID","Account paid. Action completed.","Account closed. No further action required."),CHOOSE($W676,"Collection Email","1st Email Follow-up","2nd Email Follow-up","Escalation to Local Office","Escalation to CBE","Escalation to Roxanne")&amp;" sent "&amp;TEXT($X676,"dd-mmm")&amp;". "&amp;IF($W676=6,"Final escalation completed.",IF($T676="OVERDUE","Next: "&amp;$Z676&amp;" was due "&amp;TEXT($Y676,"dd-mmm")&amp;" - "&amp;(NETWORKDAYS($Y676,TODAY(),Holidays)-1)&amp;" business day(s) late. Send now.",IF($T676="DUE TOMORROW","Next: "&amp;$Z676&amp;IF($Y676&lt;=TODAY()," is due TODAY ("," is due next business day (")&amp;TEXT($Y676,"dd-mmm")&amp;").","Next: "&amp;$Z676&amp;" due "&amp;TEXT($Y676,"dd-mmm")&amp;" ("&amp;(NETWORKDAYS(TODAY(),$Y676,Holidays)-1)&amp;" business day(s) left).")))))</f>
        <v/>
      </c>
      <c r="V676" s="17">
        <f>IF($W676="","",CHOOSE($W676,"Collection Email","1st Follow-up","2nd Follow-up","Local Office","CBE","Roxanne")&amp;IF($W676=6," - Final"," - Day "&amp;MAX(0,NETWORKDAYS($X676,TODAY(),Holidays)-1)&amp;" of "&amp;CHOOSE($W676,3,3,2,2,3))&amp;" | Total Day "&amp;MAX(0,NETWORKDAYS($L676,TODAY(),Holidays)-1))</f>
        <v/>
      </c>
      <c r="W676" s="17">
        <f>IF($L676="","",COUNT($L676:$Q676))</f>
        <v/>
      </c>
      <c r="X676" s="18">
        <f>IF($W676="","",INT(INDEX($L676:$Q676,$W676)))</f>
        <v/>
      </c>
      <c r="Y676" s="18">
        <f>IF(OR($W676="",$W676=6),"",WORKDAY($X676,CHOOSE($W676,3,3,2,2,3),Holidays))</f>
        <v/>
      </c>
      <c r="Z676" s="17">
        <f>IF(OR($W676="",$W676=6),"",CHOOSE($W676,"1st Email Follow-up","2nd Email Follow-up","Escalate Local Office","Escalate to CBE","Escalate to Roxanne"))</f>
        <v/>
      </c>
    </row>
    <row r="677" spans="18:26">
      <c r="R677" s="15"/>
      <c r="S677" s="16"/>
      <c r="T677" s="17">
        <f>IF(AND(COUNTA($A677:$K677)=0,$L677=""),"",IF($S677="Paid","PAID",IF($S677="Closed","CLOSED",IF($W677="","",IF($W677=6,"ESCALATED TO ROXANNE",IF(TODAY()&gt;$Y677,"OVERDUE",IF($Y677&lt;=WORKDAY(TODAY(),1,Holidays),"DUE TOMORROW",IF($W677=4,"ESCALATED TO LOCAL OFFICE",IF($W677=5,"ESCALATED TO CBE",IF($X677=TODAY(),"EMAIL SENT","MONITORING"))))))))))</f>
        <v/>
      </c>
      <c r="U677" s="17">
        <f>IF($T677="",IF(AND(COUNTA($A677:$K677)&gt;0,$L677=""),"Awaiting Collection Email time stamp.",""),IF(OR($T677="PAID",$T677="CLOSED"),IF($T677="PAID","Account paid. Action completed.","Account closed. No further action required."),CHOOSE($W677,"Collection Email","1st Email Follow-up","2nd Email Follow-up","Escalation to Local Office","Escalation to CBE","Escalation to Roxanne")&amp;" sent "&amp;TEXT($X677,"dd-mmm")&amp;". "&amp;IF($W677=6,"Final escalation completed.",IF($T677="OVERDUE","Next: "&amp;$Z677&amp;" was due "&amp;TEXT($Y677,"dd-mmm")&amp;" - "&amp;(NETWORKDAYS($Y677,TODAY(),Holidays)-1)&amp;" business day(s) late. Send now.",IF($T677="DUE TOMORROW","Next: "&amp;$Z677&amp;IF($Y677&lt;=TODAY()," is due TODAY ("," is due next business day (")&amp;TEXT($Y677,"dd-mmm")&amp;").","Next: "&amp;$Z677&amp;" due "&amp;TEXT($Y677,"dd-mmm")&amp;" ("&amp;(NETWORKDAYS(TODAY(),$Y677,Holidays)-1)&amp;" business day(s) left).")))))</f>
        <v/>
      </c>
      <c r="V677" s="17">
        <f>IF($W677="","",CHOOSE($W677,"Collection Email","1st Follow-up","2nd Follow-up","Local Office","CBE","Roxanne")&amp;IF($W677=6," - Final"," - Day "&amp;MAX(0,NETWORKDAYS($X677,TODAY(),Holidays)-1)&amp;" of "&amp;CHOOSE($W677,3,3,2,2,3))&amp;" | Total Day "&amp;MAX(0,NETWORKDAYS($L677,TODAY(),Holidays)-1))</f>
        <v/>
      </c>
      <c r="W677" s="17">
        <f>IF($L677="","",COUNT($L677:$Q677))</f>
        <v/>
      </c>
      <c r="X677" s="18">
        <f>IF($W677="","",INT(INDEX($L677:$Q677,$W677)))</f>
        <v/>
      </c>
      <c r="Y677" s="18">
        <f>IF(OR($W677="",$W677=6),"",WORKDAY($X677,CHOOSE($W677,3,3,2,2,3),Holidays))</f>
        <v/>
      </c>
      <c r="Z677" s="17">
        <f>IF(OR($W677="",$W677=6),"",CHOOSE($W677,"1st Email Follow-up","2nd Email Follow-up","Escalate Local Office","Escalate to CBE","Escalate to Roxanne"))</f>
        <v/>
      </c>
    </row>
    <row r="678" spans="18:26">
      <c r="R678" s="15"/>
      <c r="S678" s="16"/>
      <c r="T678" s="17">
        <f>IF(AND(COUNTA($A678:$K678)=0,$L678=""),"",IF($S678="Paid","PAID",IF($S678="Closed","CLOSED",IF($W678="","",IF($W678=6,"ESCALATED TO ROXANNE",IF(TODAY()&gt;$Y678,"OVERDUE",IF($Y678&lt;=WORKDAY(TODAY(),1,Holidays),"DUE TOMORROW",IF($W678=4,"ESCALATED TO LOCAL OFFICE",IF($W678=5,"ESCALATED TO CBE",IF($X678=TODAY(),"EMAIL SENT","MONITORING"))))))))))</f>
        <v/>
      </c>
      <c r="U678" s="17">
        <f>IF($T678="",IF(AND(COUNTA($A678:$K678)&gt;0,$L678=""),"Awaiting Collection Email time stamp.",""),IF(OR($T678="PAID",$T678="CLOSED"),IF($T678="PAID","Account paid. Action completed.","Account closed. No further action required."),CHOOSE($W678,"Collection Email","1st Email Follow-up","2nd Email Follow-up","Escalation to Local Office","Escalation to CBE","Escalation to Roxanne")&amp;" sent "&amp;TEXT($X678,"dd-mmm")&amp;". "&amp;IF($W678=6,"Final escalation completed.",IF($T678="OVERDUE","Next: "&amp;$Z678&amp;" was due "&amp;TEXT($Y678,"dd-mmm")&amp;" - "&amp;(NETWORKDAYS($Y678,TODAY(),Holidays)-1)&amp;" business day(s) late. Send now.",IF($T678="DUE TOMORROW","Next: "&amp;$Z678&amp;IF($Y678&lt;=TODAY()," is due TODAY ("," is due next business day (")&amp;TEXT($Y678,"dd-mmm")&amp;").","Next: "&amp;$Z678&amp;" due "&amp;TEXT($Y678,"dd-mmm")&amp;" ("&amp;(NETWORKDAYS(TODAY(),$Y678,Holidays)-1)&amp;" business day(s) left).")))))</f>
        <v/>
      </c>
      <c r="V678" s="17">
        <f>IF($W678="","",CHOOSE($W678,"Collection Email","1st Follow-up","2nd Follow-up","Local Office","CBE","Roxanne")&amp;IF($W678=6," - Final"," - Day "&amp;MAX(0,NETWORKDAYS($X678,TODAY(),Holidays)-1)&amp;" of "&amp;CHOOSE($W678,3,3,2,2,3))&amp;" | Total Day "&amp;MAX(0,NETWORKDAYS($L678,TODAY(),Holidays)-1))</f>
        <v/>
      </c>
      <c r="W678" s="17">
        <f>IF($L678="","",COUNT($L678:$Q678))</f>
        <v/>
      </c>
      <c r="X678" s="18">
        <f>IF($W678="","",INT(INDEX($L678:$Q678,$W678)))</f>
        <v/>
      </c>
      <c r="Y678" s="18">
        <f>IF(OR($W678="",$W678=6),"",WORKDAY($X678,CHOOSE($W678,3,3,2,2,3),Holidays))</f>
        <v/>
      </c>
      <c r="Z678" s="17">
        <f>IF(OR($W678="",$W678=6),"",CHOOSE($W678,"1st Email Follow-up","2nd Email Follow-up","Escalate Local Office","Escalate to CBE","Escalate to Roxanne"))</f>
        <v/>
      </c>
    </row>
    <row r="679" spans="18:26">
      <c r="R679" s="15"/>
      <c r="S679" s="16"/>
      <c r="T679" s="17">
        <f>IF(AND(COUNTA($A679:$K679)=0,$L679=""),"",IF($S679="Paid","PAID",IF($S679="Closed","CLOSED",IF($W679="","",IF($W679=6,"ESCALATED TO ROXANNE",IF(TODAY()&gt;$Y679,"OVERDUE",IF($Y679&lt;=WORKDAY(TODAY(),1,Holidays),"DUE TOMORROW",IF($W679=4,"ESCALATED TO LOCAL OFFICE",IF($W679=5,"ESCALATED TO CBE",IF($X679=TODAY(),"EMAIL SENT","MONITORING"))))))))))</f>
        <v/>
      </c>
      <c r="U679" s="17">
        <f>IF($T679="",IF(AND(COUNTA($A679:$K679)&gt;0,$L679=""),"Awaiting Collection Email time stamp.",""),IF(OR($T679="PAID",$T679="CLOSED"),IF($T679="PAID","Account paid. Action completed.","Account closed. No further action required."),CHOOSE($W679,"Collection Email","1st Email Follow-up","2nd Email Follow-up","Escalation to Local Office","Escalation to CBE","Escalation to Roxanne")&amp;" sent "&amp;TEXT($X679,"dd-mmm")&amp;". "&amp;IF($W679=6,"Final escalation completed.",IF($T679="OVERDUE","Next: "&amp;$Z679&amp;" was due "&amp;TEXT($Y679,"dd-mmm")&amp;" - "&amp;(NETWORKDAYS($Y679,TODAY(),Holidays)-1)&amp;" business day(s) late. Send now.",IF($T679="DUE TOMORROW","Next: "&amp;$Z679&amp;IF($Y679&lt;=TODAY()," is due TODAY ("," is due next business day (")&amp;TEXT($Y679,"dd-mmm")&amp;").","Next: "&amp;$Z679&amp;" due "&amp;TEXT($Y679,"dd-mmm")&amp;" ("&amp;(NETWORKDAYS(TODAY(),$Y679,Holidays)-1)&amp;" business day(s) left).")))))</f>
        <v/>
      </c>
      <c r="V679" s="17">
        <f>IF($W679="","",CHOOSE($W679,"Collection Email","1st Follow-up","2nd Follow-up","Local Office","CBE","Roxanne")&amp;IF($W679=6," - Final"," - Day "&amp;MAX(0,NETWORKDAYS($X679,TODAY(),Holidays)-1)&amp;" of "&amp;CHOOSE($W679,3,3,2,2,3))&amp;" | Total Day "&amp;MAX(0,NETWORKDAYS($L679,TODAY(),Holidays)-1))</f>
        <v/>
      </c>
      <c r="W679" s="17">
        <f>IF($L679="","",COUNT($L679:$Q679))</f>
        <v/>
      </c>
      <c r="X679" s="18">
        <f>IF($W679="","",INT(INDEX($L679:$Q679,$W679)))</f>
        <v/>
      </c>
      <c r="Y679" s="18">
        <f>IF(OR($W679="",$W679=6),"",WORKDAY($X679,CHOOSE($W679,3,3,2,2,3),Holidays))</f>
        <v/>
      </c>
      <c r="Z679" s="17">
        <f>IF(OR($W679="",$W679=6),"",CHOOSE($W679,"1st Email Follow-up","2nd Email Follow-up","Escalate Local Office","Escalate to CBE","Escalate to Roxanne"))</f>
        <v/>
      </c>
    </row>
    <row r="680" spans="18:26">
      <c r="R680" s="15"/>
      <c r="S680" s="16"/>
      <c r="T680" s="17">
        <f>IF(AND(COUNTA($A680:$K680)=0,$L680=""),"",IF($S680="Paid","PAID",IF($S680="Closed","CLOSED",IF($W680="","",IF($W680=6,"ESCALATED TO ROXANNE",IF(TODAY()&gt;$Y680,"OVERDUE",IF($Y680&lt;=WORKDAY(TODAY(),1,Holidays),"DUE TOMORROW",IF($W680=4,"ESCALATED TO LOCAL OFFICE",IF($W680=5,"ESCALATED TO CBE",IF($X680=TODAY(),"EMAIL SENT","MONITORING"))))))))))</f>
        <v/>
      </c>
      <c r="U680" s="17">
        <f>IF($T680="",IF(AND(COUNTA($A680:$K680)&gt;0,$L680=""),"Awaiting Collection Email time stamp.",""),IF(OR($T680="PAID",$T680="CLOSED"),IF($T680="PAID","Account paid. Action completed.","Account closed. No further action required."),CHOOSE($W680,"Collection Email","1st Email Follow-up","2nd Email Follow-up","Escalation to Local Office","Escalation to CBE","Escalation to Roxanne")&amp;" sent "&amp;TEXT($X680,"dd-mmm")&amp;". "&amp;IF($W680=6,"Final escalation completed.",IF($T680="OVERDUE","Next: "&amp;$Z680&amp;" was due "&amp;TEXT($Y680,"dd-mmm")&amp;" - "&amp;(NETWORKDAYS($Y680,TODAY(),Holidays)-1)&amp;" business day(s) late. Send now.",IF($T680="DUE TOMORROW","Next: "&amp;$Z680&amp;IF($Y680&lt;=TODAY()," is due TODAY ("," is due next business day (")&amp;TEXT($Y680,"dd-mmm")&amp;").","Next: "&amp;$Z680&amp;" due "&amp;TEXT($Y680,"dd-mmm")&amp;" ("&amp;(NETWORKDAYS(TODAY(),$Y680,Holidays)-1)&amp;" business day(s) left).")))))</f>
        <v/>
      </c>
      <c r="V680" s="17">
        <f>IF($W680="","",CHOOSE($W680,"Collection Email","1st Follow-up","2nd Follow-up","Local Office","CBE","Roxanne")&amp;IF($W680=6," - Final"," - Day "&amp;MAX(0,NETWORKDAYS($X680,TODAY(),Holidays)-1)&amp;" of "&amp;CHOOSE($W680,3,3,2,2,3))&amp;" | Total Day "&amp;MAX(0,NETWORKDAYS($L680,TODAY(),Holidays)-1))</f>
        <v/>
      </c>
      <c r="W680" s="17">
        <f>IF($L680="","",COUNT($L680:$Q680))</f>
        <v/>
      </c>
      <c r="X680" s="18">
        <f>IF($W680="","",INT(INDEX($L680:$Q680,$W680)))</f>
        <v/>
      </c>
      <c r="Y680" s="18">
        <f>IF(OR($W680="",$W680=6),"",WORKDAY($X680,CHOOSE($W680,3,3,2,2,3),Holidays))</f>
        <v/>
      </c>
      <c r="Z680" s="17">
        <f>IF(OR($W680="",$W680=6),"",CHOOSE($W680,"1st Email Follow-up","2nd Email Follow-up","Escalate Local Office","Escalate to CBE","Escalate to Roxanne"))</f>
        <v/>
      </c>
    </row>
    <row r="681" spans="18:26">
      <c r="R681" s="15"/>
      <c r="S681" s="16"/>
      <c r="T681" s="17">
        <f>IF(AND(COUNTA($A681:$K681)=0,$L681=""),"",IF($S681="Paid","PAID",IF($S681="Closed","CLOSED",IF($W681="","",IF($W681=6,"ESCALATED TO ROXANNE",IF(TODAY()&gt;$Y681,"OVERDUE",IF($Y681&lt;=WORKDAY(TODAY(),1,Holidays),"DUE TOMORROW",IF($W681=4,"ESCALATED TO LOCAL OFFICE",IF($W681=5,"ESCALATED TO CBE",IF($X681=TODAY(),"EMAIL SENT","MONITORING"))))))))))</f>
        <v/>
      </c>
      <c r="U681" s="17">
        <f>IF($T681="",IF(AND(COUNTA($A681:$K681)&gt;0,$L681=""),"Awaiting Collection Email time stamp.",""),IF(OR($T681="PAID",$T681="CLOSED"),IF($T681="PAID","Account paid. Action completed.","Account closed. No further action required."),CHOOSE($W681,"Collection Email","1st Email Follow-up","2nd Email Follow-up","Escalation to Local Office","Escalation to CBE","Escalation to Roxanne")&amp;" sent "&amp;TEXT($X681,"dd-mmm")&amp;". "&amp;IF($W681=6,"Final escalation completed.",IF($T681="OVERDUE","Next: "&amp;$Z681&amp;" was due "&amp;TEXT($Y681,"dd-mmm")&amp;" - "&amp;(NETWORKDAYS($Y681,TODAY(),Holidays)-1)&amp;" business day(s) late. Send now.",IF($T681="DUE TOMORROW","Next: "&amp;$Z681&amp;IF($Y681&lt;=TODAY()," is due TODAY ("," is due next business day (")&amp;TEXT($Y681,"dd-mmm")&amp;").","Next: "&amp;$Z681&amp;" due "&amp;TEXT($Y681,"dd-mmm")&amp;" ("&amp;(NETWORKDAYS(TODAY(),$Y681,Holidays)-1)&amp;" business day(s) left).")))))</f>
        <v/>
      </c>
      <c r="V681" s="17">
        <f>IF($W681="","",CHOOSE($W681,"Collection Email","1st Follow-up","2nd Follow-up","Local Office","CBE","Roxanne")&amp;IF($W681=6," - Final"," - Day "&amp;MAX(0,NETWORKDAYS($X681,TODAY(),Holidays)-1)&amp;" of "&amp;CHOOSE($W681,3,3,2,2,3))&amp;" | Total Day "&amp;MAX(0,NETWORKDAYS($L681,TODAY(),Holidays)-1))</f>
        <v/>
      </c>
      <c r="W681" s="17">
        <f>IF($L681="","",COUNT($L681:$Q681))</f>
        <v/>
      </c>
      <c r="X681" s="18">
        <f>IF($W681="","",INT(INDEX($L681:$Q681,$W681)))</f>
        <v/>
      </c>
      <c r="Y681" s="18">
        <f>IF(OR($W681="",$W681=6),"",WORKDAY($X681,CHOOSE($W681,3,3,2,2,3),Holidays))</f>
        <v/>
      </c>
      <c r="Z681" s="17">
        <f>IF(OR($W681="",$W681=6),"",CHOOSE($W681,"1st Email Follow-up","2nd Email Follow-up","Escalate Local Office","Escalate to CBE","Escalate to Roxanne"))</f>
        <v/>
      </c>
    </row>
    <row r="682" spans="18:26">
      <c r="R682" s="15"/>
      <c r="S682" s="16"/>
      <c r="T682" s="17">
        <f>IF(AND(COUNTA($A682:$K682)=0,$L682=""),"",IF($S682="Paid","PAID",IF($S682="Closed","CLOSED",IF($W682="","",IF($W682=6,"ESCALATED TO ROXANNE",IF(TODAY()&gt;$Y682,"OVERDUE",IF($Y682&lt;=WORKDAY(TODAY(),1,Holidays),"DUE TOMORROW",IF($W682=4,"ESCALATED TO LOCAL OFFICE",IF($W682=5,"ESCALATED TO CBE",IF($X682=TODAY(),"EMAIL SENT","MONITORING"))))))))))</f>
        <v/>
      </c>
      <c r="U682" s="17">
        <f>IF($T682="",IF(AND(COUNTA($A682:$K682)&gt;0,$L682=""),"Awaiting Collection Email time stamp.",""),IF(OR($T682="PAID",$T682="CLOSED"),IF($T682="PAID","Account paid. Action completed.","Account closed. No further action required."),CHOOSE($W682,"Collection Email","1st Email Follow-up","2nd Email Follow-up","Escalation to Local Office","Escalation to CBE","Escalation to Roxanne")&amp;" sent "&amp;TEXT($X682,"dd-mmm")&amp;". "&amp;IF($W682=6,"Final escalation completed.",IF($T682="OVERDUE","Next: "&amp;$Z682&amp;" was due "&amp;TEXT($Y682,"dd-mmm")&amp;" - "&amp;(NETWORKDAYS($Y682,TODAY(),Holidays)-1)&amp;" business day(s) late. Send now.",IF($T682="DUE TOMORROW","Next: "&amp;$Z682&amp;IF($Y682&lt;=TODAY()," is due TODAY ("," is due next business day (")&amp;TEXT($Y682,"dd-mmm")&amp;").","Next: "&amp;$Z682&amp;" due "&amp;TEXT($Y682,"dd-mmm")&amp;" ("&amp;(NETWORKDAYS(TODAY(),$Y682,Holidays)-1)&amp;" business day(s) left).")))))</f>
        <v/>
      </c>
      <c r="V682" s="17">
        <f>IF($W682="","",CHOOSE($W682,"Collection Email","1st Follow-up","2nd Follow-up","Local Office","CBE","Roxanne")&amp;IF($W682=6," - Final"," - Day "&amp;MAX(0,NETWORKDAYS($X682,TODAY(),Holidays)-1)&amp;" of "&amp;CHOOSE($W682,3,3,2,2,3))&amp;" | Total Day "&amp;MAX(0,NETWORKDAYS($L682,TODAY(),Holidays)-1))</f>
        <v/>
      </c>
      <c r="W682" s="17">
        <f>IF($L682="","",COUNT($L682:$Q682))</f>
        <v/>
      </c>
      <c r="X682" s="18">
        <f>IF($W682="","",INT(INDEX($L682:$Q682,$W682)))</f>
        <v/>
      </c>
      <c r="Y682" s="18">
        <f>IF(OR($W682="",$W682=6),"",WORKDAY($X682,CHOOSE($W682,3,3,2,2,3),Holidays))</f>
        <v/>
      </c>
      <c r="Z682" s="17">
        <f>IF(OR($W682="",$W682=6),"",CHOOSE($W682,"1st Email Follow-up","2nd Email Follow-up","Escalate Local Office","Escalate to CBE","Escalate to Roxanne"))</f>
        <v/>
      </c>
    </row>
    <row r="683" spans="18:26">
      <c r="R683" s="15"/>
      <c r="S683" s="16"/>
      <c r="T683" s="17">
        <f>IF(AND(COUNTA($A683:$K683)=0,$L683=""),"",IF($S683="Paid","PAID",IF($S683="Closed","CLOSED",IF($W683="","",IF($W683=6,"ESCALATED TO ROXANNE",IF(TODAY()&gt;$Y683,"OVERDUE",IF($Y683&lt;=WORKDAY(TODAY(),1,Holidays),"DUE TOMORROW",IF($W683=4,"ESCALATED TO LOCAL OFFICE",IF($W683=5,"ESCALATED TO CBE",IF($X683=TODAY(),"EMAIL SENT","MONITORING"))))))))))</f>
        <v/>
      </c>
      <c r="U683" s="17">
        <f>IF($T683="",IF(AND(COUNTA($A683:$K683)&gt;0,$L683=""),"Awaiting Collection Email time stamp.",""),IF(OR($T683="PAID",$T683="CLOSED"),IF($T683="PAID","Account paid. Action completed.","Account closed. No further action required."),CHOOSE($W683,"Collection Email","1st Email Follow-up","2nd Email Follow-up","Escalation to Local Office","Escalation to CBE","Escalation to Roxanne")&amp;" sent "&amp;TEXT($X683,"dd-mmm")&amp;". "&amp;IF($W683=6,"Final escalation completed.",IF($T683="OVERDUE","Next: "&amp;$Z683&amp;" was due "&amp;TEXT($Y683,"dd-mmm")&amp;" - "&amp;(NETWORKDAYS($Y683,TODAY(),Holidays)-1)&amp;" business day(s) late. Send now.",IF($T683="DUE TOMORROW","Next: "&amp;$Z683&amp;IF($Y683&lt;=TODAY()," is due TODAY ("," is due next business day (")&amp;TEXT($Y683,"dd-mmm")&amp;").","Next: "&amp;$Z683&amp;" due "&amp;TEXT($Y683,"dd-mmm")&amp;" ("&amp;(NETWORKDAYS(TODAY(),$Y683,Holidays)-1)&amp;" business day(s) left).")))))</f>
        <v/>
      </c>
      <c r="V683" s="17">
        <f>IF($W683="","",CHOOSE($W683,"Collection Email","1st Follow-up","2nd Follow-up","Local Office","CBE","Roxanne")&amp;IF($W683=6," - Final"," - Day "&amp;MAX(0,NETWORKDAYS($X683,TODAY(),Holidays)-1)&amp;" of "&amp;CHOOSE($W683,3,3,2,2,3))&amp;" | Total Day "&amp;MAX(0,NETWORKDAYS($L683,TODAY(),Holidays)-1))</f>
        <v/>
      </c>
      <c r="W683" s="17">
        <f>IF($L683="","",COUNT($L683:$Q683))</f>
        <v/>
      </c>
      <c r="X683" s="18">
        <f>IF($W683="","",INT(INDEX($L683:$Q683,$W683)))</f>
        <v/>
      </c>
      <c r="Y683" s="18">
        <f>IF(OR($W683="",$W683=6),"",WORKDAY($X683,CHOOSE($W683,3,3,2,2,3),Holidays))</f>
        <v/>
      </c>
      <c r="Z683" s="17">
        <f>IF(OR($W683="",$W683=6),"",CHOOSE($W683,"1st Email Follow-up","2nd Email Follow-up","Escalate Local Office","Escalate to CBE","Escalate to Roxanne"))</f>
        <v/>
      </c>
    </row>
    <row r="684" spans="18:26">
      <c r="R684" s="15"/>
      <c r="S684" s="16"/>
      <c r="T684" s="17">
        <f>IF(AND(COUNTA($A684:$K684)=0,$L684=""),"",IF($S684="Paid","PAID",IF($S684="Closed","CLOSED",IF($W684="","",IF($W684=6,"ESCALATED TO ROXANNE",IF(TODAY()&gt;$Y684,"OVERDUE",IF($Y684&lt;=WORKDAY(TODAY(),1,Holidays),"DUE TOMORROW",IF($W684=4,"ESCALATED TO LOCAL OFFICE",IF($W684=5,"ESCALATED TO CBE",IF($X684=TODAY(),"EMAIL SENT","MONITORING"))))))))))</f>
        <v/>
      </c>
      <c r="U684" s="17">
        <f>IF($T684="",IF(AND(COUNTA($A684:$K684)&gt;0,$L684=""),"Awaiting Collection Email time stamp.",""),IF(OR($T684="PAID",$T684="CLOSED"),IF($T684="PAID","Account paid. Action completed.","Account closed. No further action required."),CHOOSE($W684,"Collection Email","1st Email Follow-up","2nd Email Follow-up","Escalation to Local Office","Escalation to CBE","Escalation to Roxanne")&amp;" sent "&amp;TEXT($X684,"dd-mmm")&amp;". "&amp;IF($W684=6,"Final escalation completed.",IF($T684="OVERDUE","Next: "&amp;$Z684&amp;" was due "&amp;TEXT($Y684,"dd-mmm")&amp;" - "&amp;(NETWORKDAYS($Y684,TODAY(),Holidays)-1)&amp;" business day(s) late. Send now.",IF($T684="DUE TOMORROW","Next: "&amp;$Z684&amp;IF($Y684&lt;=TODAY()," is due TODAY ("," is due next business day (")&amp;TEXT($Y684,"dd-mmm")&amp;").","Next: "&amp;$Z684&amp;" due "&amp;TEXT($Y684,"dd-mmm")&amp;" ("&amp;(NETWORKDAYS(TODAY(),$Y684,Holidays)-1)&amp;" business day(s) left).")))))</f>
        <v/>
      </c>
      <c r="V684" s="17">
        <f>IF($W684="","",CHOOSE($W684,"Collection Email","1st Follow-up","2nd Follow-up","Local Office","CBE","Roxanne")&amp;IF($W684=6," - Final"," - Day "&amp;MAX(0,NETWORKDAYS($X684,TODAY(),Holidays)-1)&amp;" of "&amp;CHOOSE($W684,3,3,2,2,3))&amp;" | Total Day "&amp;MAX(0,NETWORKDAYS($L684,TODAY(),Holidays)-1))</f>
        <v/>
      </c>
      <c r="W684" s="17">
        <f>IF($L684="","",COUNT($L684:$Q684))</f>
        <v/>
      </c>
      <c r="X684" s="18">
        <f>IF($W684="","",INT(INDEX($L684:$Q684,$W684)))</f>
        <v/>
      </c>
      <c r="Y684" s="18">
        <f>IF(OR($W684="",$W684=6),"",WORKDAY($X684,CHOOSE($W684,3,3,2,2,3),Holidays))</f>
        <v/>
      </c>
      <c r="Z684" s="17">
        <f>IF(OR($W684="",$W684=6),"",CHOOSE($W684,"1st Email Follow-up","2nd Email Follow-up","Escalate Local Office","Escalate to CBE","Escalate to Roxanne"))</f>
        <v/>
      </c>
    </row>
    <row r="685" spans="18:26">
      <c r="R685" s="15"/>
      <c r="S685" s="16"/>
      <c r="T685" s="17">
        <f>IF(AND(COUNTA($A685:$K685)=0,$L685=""),"",IF($S685="Paid","PAID",IF($S685="Closed","CLOSED",IF($W685="","",IF($W685=6,"ESCALATED TO ROXANNE",IF(TODAY()&gt;$Y685,"OVERDUE",IF($Y685&lt;=WORKDAY(TODAY(),1,Holidays),"DUE TOMORROW",IF($W685=4,"ESCALATED TO LOCAL OFFICE",IF($W685=5,"ESCALATED TO CBE",IF($X685=TODAY(),"EMAIL SENT","MONITORING"))))))))))</f>
        <v/>
      </c>
      <c r="U685" s="17">
        <f>IF($T685="",IF(AND(COUNTA($A685:$K685)&gt;0,$L685=""),"Awaiting Collection Email time stamp.",""),IF(OR($T685="PAID",$T685="CLOSED"),IF($T685="PAID","Account paid. Action completed.","Account closed. No further action required."),CHOOSE($W685,"Collection Email","1st Email Follow-up","2nd Email Follow-up","Escalation to Local Office","Escalation to CBE","Escalation to Roxanne")&amp;" sent "&amp;TEXT($X685,"dd-mmm")&amp;". "&amp;IF($W685=6,"Final escalation completed.",IF($T685="OVERDUE","Next: "&amp;$Z685&amp;" was due "&amp;TEXT($Y685,"dd-mmm")&amp;" - "&amp;(NETWORKDAYS($Y685,TODAY(),Holidays)-1)&amp;" business day(s) late. Send now.",IF($T685="DUE TOMORROW","Next: "&amp;$Z685&amp;IF($Y685&lt;=TODAY()," is due TODAY ("," is due next business day (")&amp;TEXT($Y685,"dd-mmm")&amp;").","Next: "&amp;$Z685&amp;" due "&amp;TEXT($Y685,"dd-mmm")&amp;" ("&amp;(NETWORKDAYS(TODAY(),$Y685,Holidays)-1)&amp;" business day(s) left).")))))</f>
        <v/>
      </c>
      <c r="V685" s="17">
        <f>IF($W685="","",CHOOSE($W685,"Collection Email","1st Follow-up","2nd Follow-up","Local Office","CBE","Roxanne")&amp;IF($W685=6," - Final"," - Day "&amp;MAX(0,NETWORKDAYS($X685,TODAY(),Holidays)-1)&amp;" of "&amp;CHOOSE($W685,3,3,2,2,3))&amp;" | Total Day "&amp;MAX(0,NETWORKDAYS($L685,TODAY(),Holidays)-1))</f>
        <v/>
      </c>
      <c r="W685" s="17">
        <f>IF($L685="","",COUNT($L685:$Q685))</f>
        <v/>
      </c>
      <c r="X685" s="18">
        <f>IF($W685="","",INT(INDEX($L685:$Q685,$W685)))</f>
        <v/>
      </c>
      <c r="Y685" s="18">
        <f>IF(OR($W685="",$W685=6),"",WORKDAY($X685,CHOOSE($W685,3,3,2,2,3),Holidays))</f>
        <v/>
      </c>
      <c r="Z685" s="17">
        <f>IF(OR($W685="",$W685=6),"",CHOOSE($W685,"1st Email Follow-up","2nd Email Follow-up","Escalate Local Office","Escalate to CBE","Escalate to Roxanne"))</f>
        <v/>
      </c>
    </row>
    <row r="686" spans="18:26">
      <c r="R686" s="15"/>
      <c r="S686" s="16"/>
      <c r="T686" s="17">
        <f>IF(AND(COUNTA($A686:$K686)=0,$L686=""),"",IF($S686="Paid","PAID",IF($S686="Closed","CLOSED",IF($W686="","",IF($W686=6,"ESCALATED TO ROXANNE",IF(TODAY()&gt;$Y686,"OVERDUE",IF($Y686&lt;=WORKDAY(TODAY(),1,Holidays),"DUE TOMORROW",IF($W686=4,"ESCALATED TO LOCAL OFFICE",IF($W686=5,"ESCALATED TO CBE",IF($X686=TODAY(),"EMAIL SENT","MONITORING"))))))))))</f>
        <v/>
      </c>
      <c r="U686" s="17">
        <f>IF($T686="",IF(AND(COUNTA($A686:$K686)&gt;0,$L686=""),"Awaiting Collection Email time stamp.",""),IF(OR($T686="PAID",$T686="CLOSED"),IF($T686="PAID","Account paid. Action completed.","Account closed. No further action required."),CHOOSE($W686,"Collection Email","1st Email Follow-up","2nd Email Follow-up","Escalation to Local Office","Escalation to CBE","Escalation to Roxanne")&amp;" sent "&amp;TEXT($X686,"dd-mmm")&amp;". "&amp;IF($W686=6,"Final escalation completed.",IF($T686="OVERDUE","Next: "&amp;$Z686&amp;" was due "&amp;TEXT($Y686,"dd-mmm")&amp;" - "&amp;(NETWORKDAYS($Y686,TODAY(),Holidays)-1)&amp;" business day(s) late. Send now.",IF($T686="DUE TOMORROW","Next: "&amp;$Z686&amp;IF($Y686&lt;=TODAY()," is due TODAY ("," is due next business day (")&amp;TEXT($Y686,"dd-mmm")&amp;").","Next: "&amp;$Z686&amp;" due "&amp;TEXT($Y686,"dd-mmm")&amp;" ("&amp;(NETWORKDAYS(TODAY(),$Y686,Holidays)-1)&amp;" business day(s) left).")))))</f>
        <v/>
      </c>
      <c r="V686" s="17">
        <f>IF($W686="","",CHOOSE($W686,"Collection Email","1st Follow-up","2nd Follow-up","Local Office","CBE","Roxanne")&amp;IF($W686=6," - Final"," - Day "&amp;MAX(0,NETWORKDAYS($X686,TODAY(),Holidays)-1)&amp;" of "&amp;CHOOSE($W686,3,3,2,2,3))&amp;" | Total Day "&amp;MAX(0,NETWORKDAYS($L686,TODAY(),Holidays)-1))</f>
        <v/>
      </c>
      <c r="W686" s="17">
        <f>IF($L686="","",COUNT($L686:$Q686))</f>
        <v/>
      </c>
      <c r="X686" s="18">
        <f>IF($W686="","",INT(INDEX($L686:$Q686,$W686)))</f>
        <v/>
      </c>
      <c r="Y686" s="18">
        <f>IF(OR($W686="",$W686=6),"",WORKDAY($X686,CHOOSE($W686,3,3,2,2,3),Holidays))</f>
        <v/>
      </c>
      <c r="Z686" s="17">
        <f>IF(OR($W686="",$W686=6),"",CHOOSE($W686,"1st Email Follow-up","2nd Email Follow-up","Escalate Local Office","Escalate to CBE","Escalate to Roxanne"))</f>
        <v/>
      </c>
    </row>
    <row r="687" spans="18:26">
      <c r="R687" s="15"/>
      <c r="S687" s="16"/>
      <c r="T687" s="17">
        <f>IF(AND(COUNTA($A687:$K687)=0,$L687=""),"",IF($S687="Paid","PAID",IF($S687="Closed","CLOSED",IF($W687="","",IF($W687=6,"ESCALATED TO ROXANNE",IF(TODAY()&gt;$Y687,"OVERDUE",IF($Y687&lt;=WORKDAY(TODAY(),1,Holidays),"DUE TOMORROW",IF($W687=4,"ESCALATED TO LOCAL OFFICE",IF($W687=5,"ESCALATED TO CBE",IF($X687=TODAY(),"EMAIL SENT","MONITORING"))))))))))</f>
        <v/>
      </c>
      <c r="U687" s="17">
        <f>IF($T687="",IF(AND(COUNTA($A687:$K687)&gt;0,$L687=""),"Awaiting Collection Email time stamp.",""),IF(OR($T687="PAID",$T687="CLOSED"),IF($T687="PAID","Account paid. Action completed.","Account closed. No further action required."),CHOOSE($W687,"Collection Email","1st Email Follow-up","2nd Email Follow-up","Escalation to Local Office","Escalation to CBE","Escalation to Roxanne")&amp;" sent "&amp;TEXT($X687,"dd-mmm")&amp;". "&amp;IF($W687=6,"Final escalation completed.",IF($T687="OVERDUE","Next: "&amp;$Z687&amp;" was due "&amp;TEXT($Y687,"dd-mmm")&amp;" - "&amp;(NETWORKDAYS($Y687,TODAY(),Holidays)-1)&amp;" business day(s) late. Send now.",IF($T687="DUE TOMORROW","Next: "&amp;$Z687&amp;IF($Y687&lt;=TODAY()," is due TODAY ("," is due next business day (")&amp;TEXT($Y687,"dd-mmm")&amp;").","Next: "&amp;$Z687&amp;" due "&amp;TEXT($Y687,"dd-mmm")&amp;" ("&amp;(NETWORKDAYS(TODAY(),$Y687,Holidays)-1)&amp;" business day(s) left).")))))</f>
        <v/>
      </c>
      <c r="V687" s="17">
        <f>IF($W687="","",CHOOSE($W687,"Collection Email","1st Follow-up","2nd Follow-up","Local Office","CBE","Roxanne")&amp;IF($W687=6," - Final"," - Day "&amp;MAX(0,NETWORKDAYS($X687,TODAY(),Holidays)-1)&amp;" of "&amp;CHOOSE($W687,3,3,2,2,3))&amp;" | Total Day "&amp;MAX(0,NETWORKDAYS($L687,TODAY(),Holidays)-1))</f>
        <v/>
      </c>
      <c r="W687" s="17">
        <f>IF($L687="","",COUNT($L687:$Q687))</f>
        <v/>
      </c>
      <c r="X687" s="18">
        <f>IF($W687="","",INT(INDEX($L687:$Q687,$W687)))</f>
        <v/>
      </c>
      <c r="Y687" s="18">
        <f>IF(OR($W687="",$W687=6),"",WORKDAY($X687,CHOOSE($W687,3,3,2,2,3),Holidays))</f>
        <v/>
      </c>
      <c r="Z687" s="17">
        <f>IF(OR($W687="",$W687=6),"",CHOOSE($W687,"1st Email Follow-up","2nd Email Follow-up","Escalate Local Office","Escalate to CBE","Escalate to Roxanne"))</f>
        <v/>
      </c>
    </row>
    <row r="688" spans="18:26">
      <c r="R688" s="15"/>
      <c r="S688" s="16"/>
      <c r="T688" s="17">
        <f>IF(AND(COUNTA($A688:$K688)=0,$L688=""),"",IF($S688="Paid","PAID",IF($S688="Closed","CLOSED",IF($W688="","",IF($W688=6,"ESCALATED TO ROXANNE",IF(TODAY()&gt;$Y688,"OVERDUE",IF($Y688&lt;=WORKDAY(TODAY(),1,Holidays),"DUE TOMORROW",IF($W688=4,"ESCALATED TO LOCAL OFFICE",IF($W688=5,"ESCALATED TO CBE",IF($X688=TODAY(),"EMAIL SENT","MONITORING"))))))))))</f>
        <v/>
      </c>
      <c r="U688" s="17">
        <f>IF($T688="",IF(AND(COUNTA($A688:$K688)&gt;0,$L688=""),"Awaiting Collection Email time stamp.",""),IF(OR($T688="PAID",$T688="CLOSED"),IF($T688="PAID","Account paid. Action completed.","Account closed. No further action required."),CHOOSE($W688,"Collection Email","1st Email Follow-up","2nd Email Follow-up","Escalation to Local Office","Escalation to CBE","Escalation to Roxanne")&amp;" sent "&amp;TEXT($X688,"dd-mmm")&amp;". "&amp;IF($W688=6,"Final escalation completed.",IF($T688="OVERDUE","Next: "&amp;$Z688&amp;" was due "&amp;TEXT($Y688,"dd-mmm")&amp;" - "&amp;(NETWORKDAYS($Y688,TODAY(),Holidays)-1)&amp;" business day(s) late. Send now.",IF($T688="DUE TOMORROW","Next: "&amp;$Z688&amp;IF($Y688&lt;=TODAY()," is due TODAY ("," is due next business day (")&amp;TEXT($Y688,"dd-mmm")&amp;").","Next: "&amp;$Z688&amp;" due "&amp;TEXT($Y688,"dd-mmm")&amp;" ("&amp;(NETWORKDAYS(TODAY(),$Y688,Holidays)-1)&amp;" business day(s) left).")))))</f>
        <v/>
      </c>
      <c r="V688" s="17">
        <f>IF($W688="","",CHOOSE($W688,"Collection Email","1st Follow-up","2nd Follow-up","Local Office","CBE","Roxanne")&amp;IF($W688=6," - Final"," - Day "&amp;MAX(0,NETWORKDAYS($X688,TODAY(),Holidays)-1)&amp;" of "&amp;CHOOSE($W688,3,3,2,2,3))&amp;" | Total Day "&amp;MAX(0,NETWORKDAYS($L688,TODAY(),Holidays)-1))</f>
        <v/>
      </c>
      <c r="W688" s="17">
        <f>IF($L688="","",COUNT($L688:$Q688))</f>
        <v/>
      </c>
      <c r="X688" s="18">
        <f>IF($W688="","",INT(INDEX($L688:$Q688,$W688)))</f>
        <v/>
      </c>
      <c r="Y688" s="18">
        <f>IF(OR($W688="",$W688=6),"",WORKDAY($X688,CHOOSE($W688,3,3,2,2,3),Holidays))</f>
        <v/>
      </c>
      <c r="Z688" s="17">
        <f>IF(OR($W688="",$W688=6),"",CHOOSE($W688,"1st Email Follow-up","2nd Email Follow-up","Escalate Local Office","Escalate to CBE","Escalate to Roxanne"))</f>
        <v/>
      </c>
    </row>
    <row r="689" spans="18:26">
      <c r="R689" s="15"/>
      <c r="S689" s="16"/>
      <c r="T689" s="17">
        <f>IF(AND(COUNTA($A689:$K689)=0,$L689=""),"",IF($S689="Paid","PAID",IF($S689="Closed","CLOSED",IF($W689="","",IF($W689=6,"ESCALATED TO ROXANNE",IF(TODAY()&gt;$Y689,"OVERDUE",IF($Y689&lt;=WORKDAY(TODAY(),1,Holidays),"DUE TOMORROW",IF($W689=4,"ESCALATED TO LOCAL OFFICE",IF($W689=5,"ESCALATED TO CBE",IF($X689=TODAY(),"EMAIL SENT","MONITORING"))))))))))</f>
        <v/>
      </c>
      <c r="U689" s="17">
        <f>IF($T689="",IF(AND(COUNTA($A689:$K689)&gt;0,$L689=""),"Awaiting Collection Email time stamp.",""),IF(OR($T689="PAID",$T689="CLOSED"),IF($T689="PAID","Account paid. Action completed.","Account closed. No further action required."),CHOOSE($W689,"Collection Email","1st Email Follow-up","2nd Email Follow-up","Escalation to Local Office","Escalation to CBE","Escalation to Roxanne")&amp;" sent "&amp;TEXT($X689,"dd-mmm")&amp;". "&amp;IF($W689=6,"Final escalation completed.",IF($T689="OVERDUE","Next: "&amp;$Z689&amp;" was due "&amp;TEXT($Y689,"dd-mmm")&amp;" - "&amp;(NETWORKDAYS($Y689,TODAY(),Holidays)-1)&amp;" business day(s) late. Send now.",IF($T689="DUE TOMORROW","Next: "&amp;$Z689&amp;IF($Y689&lt;=TODAY()," is due TODAY ("," is due next business day (")&amp;TEXT($Y689,"dd-mmm")&amp;").","Next: "&amp;$Z689&amp;" due "&amp;TEXT($Y689,"dd-mmm")&amp;" ("&amp;(NETWORKDAYS(TODAY(),$Y689,Holidays)-1)&amp;" business day(s) left).")))))</f>
        <v/>
      </c>
      <c r="V689" s="17">
        <f>IF($W689="","",CHOOSE($W689,"Collection Email","1st Follow-up","2nd Follow-up","Local Office","CBE","Roxanne")&amp;IF($W689=6," - Final"," - Day "&amp;MAX(0,NETWORKDAYS($X689,TODAY(),Holidays)-1)&amp;" of "&amp;CHOOSE($W689,3,3,2,2,3))&amp;" | Total Day "&amp;MAX(0,NETWORKDAYS($L689,TODAY(),Holidays)-1))</f>
        <v/>
      </c>
      <c r="W689" s="17">
        <f>IF($L689="","",COUNT($L689:$Q689))</f>
        <v/>
      </c>
      <c r="X689" s="18">
        <f>IF($W689="","",INT(INDEX($L689:$Q689,$W689)))</f>
        <v/>
      </c>
      <c r="Y689" s="18">
        <f>IF(OR($W689="",$W689=6),"",WORKDAY($X689,CHOOSE($W689,3,3,2,2,3),Holidays))</f>
        <v/>
      </c>
      <c r="Z689" s="17">
        <f>IF(OR($W689="",$W689=6),"",CHOOSE($W689,"1st Email Follow-up","2nd Email Follow-up","Escalate Local Office","Escalate to CBE","Escalate to Roxanne"))</f>
        <v/>
      </c>
    </row>
    <row r="690" spans="18:26">
      <c r="R690" s="15"/>
      <c r="S690" s="16"/>
      <c r="T690" s="17">
        <f>IF(AND(COUNTA($A690:$K690)=0,$L690=""),"",IF($S690="Paid","PAID",IF($S690="Closed","CLOSED",IF($W690="","",IF($W690=6,"ESCALATED TO ROXANNE",IF(TODAY()&gt;$Y690,"OVERDUE",IF($Y690&lt;=WORKDAY(TODAY(),1,Holidays),"DUE TOMORROW",IF($W690=4,"ESCALATED TO LOCAL OFFICE",IF($W690=5,"ESCALATED TO CBE",IF($X690=TODAY(),"EMAIL SENT","MONITORING"))))))))))</f>
        <v/>
      </c>
      <c r="U690" s="17">
        <f>IF($T690="",IF(AND(COUNTA($A690:$K690)&gt;0,$L690=""),"Awaiting Collection Email time stamp.",""),IF(OR($T690="PAID",$T690="CLOSED"),IF($T690="PAID","Account paid. Action completed.","Account closed. No further action required."),CHOOSE($W690,"Collection Email","1st Email Follow-up","2nd Email Follow-up","Escalation to Local Office","Escalation to CBE","Escalation to Roxanne")&amp;" sent "&amp;TEXT($X690,"dd-mmm")&amp;". "&amp;IF($W690=6,"Final escalation completed.",IF($T690="OVERDUE","Next: "&amp;$Z690&amp;" was due "&amp;TEXT($Y690,"dd-mmm")&amp;" - "&amp;(NETWORKDAYS($Y690,TODAY(),Holidays)-1)&amp;" business day(s) late. Send now.",IF($T690="DUE TOMORROW","Next: "&amp;$Z690&amp;IF($Y690&lt;=TODAY()," is due TODAY ("," is due next business day (")&amp;TEXT($Y690,"dd-mmm")&amp;").","Next: "&amp;$Z690&amp;" due "&amp;TEXT($Y690,"dd-mmm")&amp;" ("&amp;(NETWORKDAYS(TODAY(),$Y690,Holidays)-1)&amp;" business day(s) left).")))))</f>
        <v/>
      </c>
      <c r="V690" s="17">
        <f>IF($W690="","",CHOOSE($W690,"Collection Email","1st Follow-up","2nd Follow-up","Local Office","CBE","Roxanne")&amp;IF($W690=6," - Final"," - Day "&amp;MAX(0,NETWORKDAYS($X690,TODAY(),Holidays)-1)&amp;" of "&amp;CHOOSE($W690,3,3,2,2,3))&amp;" | Total Day "&amp;MAX(0,NETWORKDAYS($L690,TODAY(),Holidays)-1))</f>
        <v/>
      </c>
      <c r="W690" s="17">
        <f>IF($L690="","",COUNT($L690:$Q690))</f>
        <v/>
      </c>
      <c r="X690" s="18">
        <f>IF($W690="","",INT(INDEX($L690:$Q690,$W690)))</f>
        <v/>
      </c>
      <c r="Y690" s="18">
        <f>IF(OR($W690="",$W690=6),"",WORKDAY($X690,CHOOSE($W690,3,3,2,2,3),Holidays))</f>
        <v/>
      </c>
      <c r="Z690" s="17">
        <f>IF(OR($W690="",$W690=6),"",CHOOSE($W690,"1st Email Follow-up","2nd Email Follow-up","Escalate Local Office","Escalate to CBE","Escalate to Roxanne"))</f>
        <v/>
      </c>
    </row>
    <row r="691" spans="18:26">
      <c r="R691" s="15"/>
      <c r="S691" s="16"/>
      <c r="T691" s="17">
        <f>IF(AND(COUNTA($A691:$K691)=0,$L691=""),"",IF($S691="Paid","PAID",IF($S691="Closed","CLOSED",IF($W691="","",IF($W691=6,"ESCALATED TO ROXANNE",IF(TODAY()&gt;$Y691,"OVERDUE",IF($Y691&lt;=WORKDAY(TODAY(),1,Holidays),"DUE TOMORROW",IF($W691=4,"ESCALATED TO LOCAL OFFICE",IF($W691=5,"ESCALATED TO CBE",IF($X691=TODAY(),"EMAIL SENT","MONITORING"))))))))))</f>
        <v/>
      </c>
      <c r="U691" s="17">
        <f>IF($T691="",IF(AND(COUNTA($A691:$K691)&gt;0,$L691=""),"Awaiting Collection Email time stamp.",""),IF(OR($T691="PAID",$T691="CLOSED"),IF($T691="PAID","Account paid. Action completed.","Account closed. No further action required."),CHOOSE($W691,"Collection Email","1st Email Follow-up","2nd Email Follow-up","Escalation to Local Office","Escalation to CBE","Escalation to Roxanne")&amp;" sent "&amp;TEXT($X691,"dd-mmm")&amp;". "&amp;IF($W691=6,"Final escalation completed.",IF($T691="OVERDUE","Next: "&amp;$Z691&amp;" was due "&amp;TEXT($Y691,"dd-mmm")&amp;" - "&amp;(NETWORKDAYS($Y691,TODAY(),Holidays)-1)&amp;" business day(s) late. Send now.",IF($T691="DUE TOMORROW","Next: "&amp;$Z691&amp;IF($Y691&lt;=TODAY()," is due TODAY ("," is due next business day (")&amp;TEXT($Y691,"dd-mmm")&amp;").","Next: "&amp;$Z691&amp;" due "&amp;TEXT($Y691,"dd-mmm")&amp;" ("&amp;(NETWORKDAYS(TODAY(),$Y691,Holidays)-1)&amp;" business day(s) left).")))))</f>
        <v/>
      </c>
      <c r="V691" s="17">
        <f>IF($W691="","",CHOOSE($W691,"Collection Email","1st Follow-up","2nd Follow-up","Local Office","CBE","Roxanne")&amp;IF($W691=6," - Final"," - Day "&amp;MAX(0,NETWORKDAYS($X691,TODAY(),Holidays)-1)&amp;" of "&amp;CHOOSE($W691,3,3,2,2,3))&amp;" | Total Day "&amp;MAX(0,NETWORKDAYS($L691,TODAY(),Holidays)-1))</f>
        <v/>
      </c>
      <c r="W691" s="17">
        <f>IF($L691="","",COUNT($L691:$Q691))</f>
        <v/>
      </c>
      <c r="X691" s="18">
        <f>IF($W691="","",INT(INDEX($L691:$Q691,$W691)))</f>
        <v/>
      </c>
      <c r="Y691" s="18">
        <f>IF(OR($W691="",$W691=6),"",WORKDAY($X691,CHOOSE($W691,3,3,2,2,3),Holidays))</f>
        <v/>
      </c>
      <c r="Z691" s="17">
        <f>IF(OR($W691="",$W691=6),"",CHOOSE($W691,"1st Email Follow-up","2nd Email Follow-up","Escalate Local Office","Escalate to CBE","Escalate to Roxanne"))</f>
        <v/>
      </c>
    </row>
    <row r="692" spans="18:26">
      <c r="R692" s="15"/>
      <c r="S692" s="16"/>
      <c r="T692" s="17">
        <f>IF(AND(COUNTA($A692:$K692)=0,$L692=""),"",IF($S692="Paid","PAID",IF($S692="Closed","CLOSED",IF($W692="","",IF($W692=6,"ESCALATED TO ROXANNE",IF(TODAY()&gt;$Y692,"OVERDUE",IF($Y692&lt;=WORKDAY(TODAY(),1,Holidays),"DUE TOMORROW",IF($W692=4,"ESCALATED TO LOCAL OFFICE",IF($W692=5,"ESCALATED TO CBE",IF($X692=TODAY(),"EMAIL SENT","MONITORING"))))))))))</f>
        <v/>
      </c>
      <c r="U692" s="17">
        <f>IF($T692="",IF(AND(COUNTA($A692:$K692)&gt;0,$L692=""),"Awaiting Collection Email time stamp.",""),IF(OR($T692="PAID",$T692="CLOSED"),IF($T692="PAID","Account paid. Action completed.","Account closed. No further action required."),CHOOSE($W692,"Collection Email","1st Email Follow-up","2nd Email Follow-up","Escalation to Local Office","Escalation to CBE","Escalation to Roxanne")&amp;" sent "&amp;TEXT($X692,"dd-mmm")&amp;". "&amp;IF($W692=6,"Final escalation completed.",IF($T692="OVERDUE","Next: "&amp;$Z692&amp;" was due "&amp;TEXT($Y692,"dd-mmm")&amp;" - "&amp;(NETWORKDAYS($Y692,TODAY(),Holidays)-1)&amp;" business day(s) late. Send now.",IF($T692="DUE TOMORROW","Next: "&amp;$Z692&amp;IF($Y692&lt;=TODAY()," is due TODAY ("," is due next business day (")&amp;TEXT($Y692,"dd-mmm")&amp;").","Next: "&amp;$Z692&amp;" due "&amp;TEXT($Y692,"dd-mmm")&amp;" ("&amp;(NETWORKDAYS(TODAY(),$Y692,Holidays)-1)&amp;" business day(s) left).")))))</f>
        <v/>
      </c>
      <c r="V692" s="17">
        <f>IF($W692="","",CHOOSE($W692,"Collection Email","1st Follow-up","2nd Follow-up","Local Office","CBE","Roxanne")&amp;IF($W692=6," - Final"," - Day "&amp;MAX(0,NETWORKDAYS($X692,TODAY(),Holidays)-1)&amp;" of "&amp;CHOOSE($W692,3,3,2,2,3))&amp;" | Total Day "&amp;MAX(0,NETWORKDAYS($L692,TODAY(),Holidays)-1))</f>
        <v/>
      </c>
      <c r="W692" s="17">
        <f>IF($L692="","",COUNT($L692:$Q692))</f>
        <v/>
      </c>
      <c r="X692" s="18">
        <f>IF($W692="","",INT(INDEX($L692:$Q692,$W692)))</f>
        <v/>
      </c>
      <c r="Y692" s="18">
        <f>IF(OR($W692="",$W692=6),"",WORKDAY($X692,CHOOSE($W692,3,3,2,2,3),Holidays))</f>
        <v/>
      </c>
      <c r="Z692" s="17">
        <f>IF(OR($W692="",$W692=6),"",CHOOSE($W692,"1st Email Follow-up","2nd Email Follow-up","Escalate Local Office","Escalate to CBE","Escalate to Roxanne"))</f>
        <v/>
      </c>
    </row>
    <row r="693" spans="18:26">
      <c r="R693" s="15"/>
      <c r="S693" s="16"/>
      <c r="T693" s="17">
        <f>IF(AND(COUNTA($A693:$K693)=0,$L693=""),"",IF($S693="Paid","PAID",IF($S693="Closed","CLOSED",IF($W693="","",IF($W693=6,"ESCALATED TO ROXANNE",IF(TODAY()&gt;$Y693,"OVERDUE",IF($Y693&lt;=WORKDAY(TODAY(),1,Holidays),"DUE TOMORROW",IF($W693=4,"ESCALATED TO LOCAL OFFICE",IF($W693=5,"ESCALATED TO CBE",IF($X693=TODAY(),"EMAIL SENT","MONITORING"))))))))))</f>
        <v/>
      </c>
      <c r="U693" s="17">
        <f>IF($T693="",IF(AND(COUNTA($A693:$K693)&gt;0,$L693=""),"Awaiting Collection Email time stamp.",""),IF(OR($T693="PAID",$T693="CLOSED"),IF($T693="PAID","Account paid. Action completed.","Account closed. No further action required."),CHOOSE($W693,"Collection Email","1st Email Follow-up","2nd Email Follow-up","Escalation to Local Office","Escalation to CBE","Escalation to Roxanne")&amp;" sent "&amp;TEXT($X693,"dd-mmm")&amp;". "&amp;IF($W693=6,"Final escalation completed.",IF($T693="OVERDUE","Next: "&amp;$Z693&amp;" was due "&amp;TEXT($Y693,"dd-mmm")&amp;" - "&amp;(NETWORKDAYS($Y693,TODAY(),Holidays)-1)&amp;" business day(s) late. Send now.",IF($T693="DUE TOMORROW","Next: "&amp;$Z693&amp;IF($Y693&lt;=TODAY()," is due TODAY ("," is due next business day (")&amp;TEXT($Y693,"dd-mmm")&amp;").","Next: "&amp;$Z693&amp;" due "&amp;TEXT($Y693,"dd-mmm")&amp;" ("&amp;(NETWORKDAYS(TODAY(),$Y693,Holidays)-1)&amp;" business day(s) left).")))))</f>
        <v/>
      </c>
      <c r="V693" s="17">
        <f>IF($W693="","",CHOOSE($W693,"Collection Email","1st Follow-up","2nd Follow-up","Local Office","CBE","Roxanne")&amp;IF($W693=6," - Final"," - Day "&amp;MAX(0,NETWORKDAYS($X693,TODAY(),Holidays)-1)&amp;" of "&amp;CHOOSE($W693,3,3,2,2,3))&amp;" | Total Day "&amp;MAX(0,NETWORKDAYS($L693,TODAY(),Holidays)-1))</f>
        <v/>
      </c>
      <c r="W693" s="17">
        <f>IF($L693="","",COUNT($L693:$Q693))</f>
        <v/>
      </c>
      <c r="X693" s="18">
        <f>IF($W693="","",INT(INDEX($L693:$Q693,$W693)))</f>
        <v/>
      </c>
      <c r="Y693" s="18">
        <f>IF(OR($W693="",$W693=6),"",WORKDAY($X693,CHOOSE($W693,3,3,2,2,3),Holidays))</f>
        <v/>
      </c>
      <c r="Z693" s="17">
        <f>IF(OR($W693="",$W693=6),"",CHOOSE($W693,"1st Email Follow-up","2nd Email Follow-up","Escalate Local Office","Escalate to CBE","Escalate to Roxanne"))</f>
        <v/>
      </c>
    </row>
    <row r="694" spans="18:26">
      <c r="R694" s="15"/>
      <c r="S694" s="16"/>
      <c r="T694" s="17">
        <f>IF(AND(COUNTA($A694:$K694)=0,$L694=""),"",IF($S694="Paid","PAID",IF($S694="Closed","CLOSED",IF($W694="","",IF($W694=6,"ESCALATED TO ROXANNE",IF(TODAY()&gt;$Y694,"OVERDUE",IF($Y694&lt;=WORKDAY(TODAY(),1,Holidays),"DUE TOMORROW",IF($W694=4,"ESCALATED TO LOCAL OFFICE",IF($W694=5,"ESCALATED TO CBE",IF($X694=TODAY(),"EMAIL SENT","MONITORING"))))))))))</f>
        <v/>
      </c>
      <c r="U694" s="17">
        <f>IF($T694="",IF(AND(COUNTA($A694:$K694)&gt;0,$L694=""),"Awaiting Collection Email time stamp.",""),IF(OR($T694="PAID",$T694="CLOSED"),IF($T694="PAID","Account paid. Action completed.","Account closed. No further action required."),CHOOSE($W694,"Collection Email","1st Email Follow-up","2nd Email Follow-up","Escalation to Local Office","Escalation to CBE","Escalation to Roxanne")&amp;" sent "&amp;TEXT($X694,"dd-mmm")&amp;". "&amp;IF($W694=6,"Final escalation completed.",IF($T694="OVERDUE","Next: "&amp;$Z694&amp;" was due "&amp;TEXT($Y694,"dd-mmm")&amp;" - "&amp;(NETWORKDAYS($Y694,TODAY(),Holidays)-1)&amp;" business day(s) late. Send now.",IF($T694="DUE TOMORROW","Next: "&amp;$Z694&amp;IF($Y694&lt;=TODAY()," is due TODAY ("," is due next business day (")&amp;TEXT($Y694,"dd-mmm")&amp;").","Next: "&amp;$Z694&amp;" due "&amp;TEXT($Y694,"dd-mmm")&amp;" ("&amp;(NETWORKDAYS(TODAY(),$Y694,Holidays)-1)&amp;" business day(s) left).")))))</f>
        <v/>
      </c>
      <c r="V694" s="17">
        <f>IF($W694="","",CHOOSE($W694,"Collection Email","1st Follow-up","2nd Follow-up","Local Office","CBE","Roxanne")&amp;IF($W694=6," - Final"," - Day "&amp;MAX(0,NETWORKDAYS($X694,TODAY(),Holidays)-1)&amp;" of "&amp;CHOOSE($W694,3,3,2,2,3))&amp;" | Total Day "&amp;MAX(0,NETWORKDAYS($L694,TODAY(),Holidays)-1))</f>
        <v/>
      </c>
      <c r="W694" s="17">
        <f>IF($L694="","",COUNT($L694:$Q694))</f>
        <v/>
      </c>
      <c r="X694" s="18">
        <f>IF($W694="","",INT(INDEX($L694:$Q694,$W694)))</f>
        <v/>
      </c>
      <c r="Y694" s="18">
        <f>IF(OR($W694="",$W694=6),"",WORKDAY($X694,CHOOSE($W694,3,3,2,2,3),Holidays))</f>
        <v/>
      </c>
      <c r="Z694" s="17">
        <f>IF(OR($W694="",$W694=6),"",CHOOSE($W694,"1st Email Follow-up","2nd Email Follow-up","Escalate Local Office","Escalate to CBE","Escalate to Roxanne"))</f>
        <v/>
      </c>
    </row>
    <row r="695" spans="18:26">
      <c r="R695" s="15"/>
      <c r="S695" s="16"/>
      <c r="T695" s="17">
        <f>IF(AND(COUNTA($A695:$K695)=0,$L695=""),"",IF($S695="Paid","PAID",IF($S695="Closed","CLOSED",IF($W695="","",IF($W695=6,"ESCALATED TO ROXANNE",IF(TODAY()&gt;$Y695,"OVERDUE",IF($Y695&lt;=WORKDAY(TODAY(),1,Holidays),"DUE TOMORROW",IF($W695=4,"ESCALATED TO LOCAL OFFICE",IF($W695=5,"ESCALATED TO CBE",IF($X695=TODAY(),"EMAIL SENT","MONITORING"))))))))))</f>
        <v/>
      </c>
      <c r="U695" s="17">
        <f>IF($T695="",IF(AND(COUNTA($A695:$K695)&gt;0,$L695=""),"Awaiting Collection Email time stamp.",""),IF(OR($T695="PAID",$T695="CLOSED"),IF($T695="PAID","Account paid. Action completed.","Account closed. No further action required."),CHOOSE($W695,"Collection Email","1st Email Follow-up","2nd Email Follow-up","Escalation to Local Office","Escalation to CBE","Escalation to Roxanne")&amp;" sent "&amp;TEXT($X695,"dd-mmm")&amp;". "&amp;IF($W695=6,"Final escalation completed.",IF($T695="OVERDUE","Next: "&amp;$Z695&amp;" was due "&amp;TEXT($Y695,"dd-mmm")&amp;" - "&amp;(NETWORKDAYS($Y695,TODAY(),Holidays)-1)&amp;" business day(s) late. Send now.",IF($T695="DUE TOMORROW","Next: "&amp;$Z695&amp;IF($Y695&lt;=TODAY()," is due TODAY ("," is due next business day (")&amp;TEXT($Y695,"dd-mmm")&amp;").","Next: "&amp;$Z695&amp;" due "&amp;TEXT($Y695,"dd-mmm")&amp;" ("&amp;(NETWORKDAYS(TODAY(),$Y695,Holidays)-1)&amp;" business day(s) left).")))))</f>
        <v/>
      </c>
      <c r="V695" s="17">
        <f>IF($W695="","",CHOOSE($W695,"Collection Email","1st Follow-up","2nd Follow-up","Local Office","CBE","Roxanne")&amp;IF($W695=6," - Final"," - Day "&amp;MAX(0,NETWORKDAYS($X695,TODAY(),Holidays)-1)&amp;" of "&amp;CHOOSE($W695,3,3,2,2,3))&amp;" | Total Day "&amp;MAX(0,NETWORKDAYS($L695,TODAY(),Holidays)-1))</f>
        <v/>
      </c>
      <c r="W695" s="17">
        <f>IF($L695="","",COUNT($L695:$Q695))</f>
        <v/>
      </c>
      <c r="X695" s="18">
        <f>IF($W695="","",INT(INDEX($L695:$Q695,$W695)))</f>
        <v/>
      </c>
      <c r="Y695" s="18">
        <f>IF(OR($W695="",$W695=6),"",WORKDAY($X695,CHOOSE($W695,3,3,2,2,3),Holidays))</f>
        <v/>
      </c>
      <c r="Z695" s="17">
        <f>IF(OR($W695="",$W695=6),"",CHOOSE($W695,"1st Email Follow-up","2nd Email Follow-up","Escalate Local Office","Escalate to CBE","Escalate to Roxanne"))</f>
        <v/>
      </c>
    </row>
    <row r="696" spans="18:26">
      <c r="R696" s="15"/>
      <c r="S696" s="16"/>
      <c r="T696" s="17">
        <f>IF(AND(COUNTA($A696:$K696)=0,$L696=""),"",IF($S696="Paid","PAID",IF($S696="Closed","CLOSED",IF($W696="","",IF($W696=6,"ESCALATED TO ROXANNE",IF(TODAY()&gt;$Y696,"OVERDUE",IF($Y696&lt;=WORKDAY(TODAY(),1,Holidays),"DUE TOMORROW",IF($W696=4,"ESCALATED TO LOCAL OFFICE",IF($W696=5,"ESCALATED TO CBE",IF($X696=TODAY(),"EMAIL SENT","MONITORING"))))))))))</f>
        <v/>
      </c>
      <c r="U696" s="17">
        <f>IF($T696="",IF(AND(COUNTA($A696:$K696)&gt;0,$L696=""),"Awaiting Collection Email time stamp.",""),IF(OR($T696="PAID",$T696="CLOSED"),IF($T696="PAID","Account paid. Action completed.","Account closed. No further action required."),CHOOSE($W696,"Collection Email","1st Email Follow-up","2nd Email Follow-up","Escalation to Local Office","Escalation to CBE","Escalation to Roxanne")&amp;" sent "&amp;TEXT($X696,"dd-mmm")&amp;". "&amp;IF($W696=6,"Final escalation completed.",IF($T696="OVERDUE","Next: "&amp;$Z696&amp;" was due "&amp;TEXT($Y696,"dd-mmm")&amp;" - "&amp;(NETWORKDAYS($Y696,TODAY(),Holidays)-1)&amp;" business day(s) late. Send now.",IF($T696="DUE TOMORROW","Next: "&amp;$Z696&amp;IF($Y696&lt;=TODAY()," is due TODAY ("," is due next business day (")&amp;TEXT($Y696,"dd-mmm")&amp;").","Next: "&amp;$Z696&amp;" due "&amp;TEXT($Y696,"dd-mmm")&amp;" ("&amp;(NETWORKDAYS(TODAY(),$Y696,Holidays)-1)&amp;" business day(s) left).")))))</f>
        <v/>
      </c>
      <c r="V696" s="17">
        <f>IF($W696="","",CHOOSE($W696,"Collection Email","1st Follow-up","2nd Follow-up","Local Office","CBE","Roxanne")&amp;IF($W696=6," - Final"," - Day "&amp;MAX(0,NETWORKDAYS($X696,TODAY(),Holidays)-1)&amp;" of "&amp;CHOOSE($W696,3,3,2,2,3))&amp;" | Total Day "&amp;MAX(0,NETWORKDAYS($L696,TODAY(),Holidays)-1))</f>
        <v/>
      </c>
      <c r="W696" s="17">
        <f>IF($L696="","",COUNT($L696:$Q696))</f>
        <v/>
      </c>
      <c r="X696" s="18">
        <f>IF($W696="","",INT(INDEX($L696:$Q696,$W696)))</f>
        <v/>
      </c>
      <c r="Y696" s="18">
        <f>IF(OR($W696="",$W696=6),"",WORKDAY($X696,CHOOSE($W696,3,3,2,2,3),Holidays))</f>
        <v/>
      </c>
      <c r="Z696" s="17">
        <f>IF(OR($W696="",$W696=6),"",CHOOSE($W696,"1st Email Follow-up","2nd Email Follow-up","Escalate Local Office","Escalate to CBE","Escalate to Roxanne"))</f>
        <v/>
      </c>
    </row>
    <row r="697" spans="18:26">
      <c r="R697" s="15"/>
      <c r="S697" s="16"/>
      <c r="T697" s="17">
        <f>IF(AND(COUNTA($A697:$K697)=0,$L697=""),"",IF($S697="Paid","PAID",IF($S697="Closed","CLOSED",IF($W697="","",IF($W697=6,"ESCALATED TO ROXANNE",IF(TODAY()&gt;$Y697,"OVERDUE",IF($Y697&lt;=WORKDAY(TODAY(),1,Holidays),"DUE TOMORROW",IF($W697=4,"ESCALATED TO LOCAL OFFICE",IF($W697=5,"ESCALATED TO CBE",IF($X697=TODAY(),"EMAIL SENT","MONITORING"))))))))))</f>
        <v/>
      </c>
      <c r="U697" s="17">
        <f>IF($T697="",IF(AND(COUNTA($A697:$K697)&gt;0,$L697=""),"Awaiting Collection Email time stamp.",""),IF(OR($T697="PAID",$T697="CLOSED"),IF($T697="PAID","Account paid. Action completed.","Account closed. No further action required."),CHOOSE($W697,"Collection Email","1st Email Follow-up","2nd Email Follow-up","Escalation to Local Office","Escalation to CBE","Escalation to Roxanne")&amp;" sent "&amp;TEXT($X697,"dd-mmm")&amp;". "&amp;IF($W697=6,"Final escalation completed.",IF($T697="OVERDUE","Next: "&amp;$Z697&amp;" was due "&amp;TEXT($Y697,"dd-mmm")&amp;" - "&amp;(NETWORKDAYS($Y697,TODAY(),Holidays)-1)&amp;" business day(s) late. Send now.",IF($T697="DUE TOMORROW","Next: "&amp;$Z697&amp;IF($Y697&lt;=TODAY()," is due TODAY ("," is due next business day (")&amp;TEXT($Y697,"dd-mmm")&amp;").","Next: "&amp;$Z697&amp;" due "&amp;TEXT($Y697,"dd-mmm")&amp;" ("&amp;(NETWORKDAYS(TODAY(),$Y697,Holidays)-1)&amp;" business day(s) left).")))))</f>
        <v/>
      </c>
      <c r="V697" s="17">
        <f>IF($W697="","",CHOOSE($W697,"Collection Email","1st Follow-up","2nd Follow-up","Local Office","CBE","Roxanne")&amp;IF($W697=6," - Final"," - Day "&amp;MAX(0,NETWORKDAYS($X697,TODAY(),Holidays)-1)&amp;" of "&amp;CHOOSE($W697,3,3,2,2,3))&amp;" | Total Day "&amp;MAX(0,NETWORKDAYS($L697,TODAY(),Holidays)-1))</f>
        <v/>
      </c>
      <c r="W697" s="17">
        <f>IF($L697="","",COUNT($L697:$Q697))</f>
        <v/>
      </c>
      <c r="X697" s="18">
        <f>IF($W697="","",INT(INDEX($L697:$Q697,$W697)))</f>
        <v/>
      </c>
      <c r="Y697" s="18">
        <f>IF(OR($W697="",$W697=6),"",WORKDAY($X697,CHOOSE($W697,3,3,2,2,3),Holidays))</f>
        <v/>
      </c>
      <c r="Z697" s="17">
        <f>IF(OR($W697="",$W697=6),"",CHOOSE($W697,"1st Email Follow-up","2nd Email Follow-up","Escalate Local Office","Escalate to CBE","Escalate to Roxanne"))</f>
        <v/>
      </c>
    </row>
    <row r="698" spans="18:26">
      <c r="R698" s="15"/>
      <c r="S698" s="16"/>
      <c r="T698" s="17">
        <f>IF(AND(COUNTA($A698:$K698)=0,$L698=""),"",IF($S698="Paid","PAID",IF($S698="Closed","CLOSED",IF($W698="","",IF($W698=6,"ESCALATED TO ROXANNE",IF(TODAY()&gt;$Y698,"OVERDUE",IF($Y698&lt;=WORKDAY(TODAY(),1,Holidays),"DUE TOMORROW",IF($W698=4,"ESCALATED TO LOCAL OFFICE",IF($W698=5,"ESCALATED TO CBE",IF($X698=TODAY(),"EMAIL SENT","MONITORING"))))))))))</f>
        <v/>
      </c>
      <c r="U698" s="17">
        <f>IF($T698="",IF(AND(COUNTA($A698:$K698)&gt;0,$L698=""),"Awaiting Collection Email time stamp.",""),IF(OR($T698="PAID",$T698="CLOSED"),IF($T698="PAID","Account paid. Action completed.","Account closed. No further action required."),CHOOSE($W698,"Collection Email","1st Email Follow-up","2nd Email Follow-up","Escalation to Local Office","Escalation to CBE","Escalation to Roxanne")&amp;" sent "&amp;TEXT($X698,"dd-mmm")&amp;". "&amp;IF($W698=6,"Final escalation completed.",IF($T698="OVERDUE","Next: "&amp;$Z698&amp;" was due "&amp;TEXT($Y698,"dd-mmm")&amp;" - "&amp;(NETWORKDAYS($Y698,TODAY(),Holidays)-1)&amp;" business day(s) late. Send now.",IF($T698="DUE TOMORROW","Next: "&amp;$Z698&amp;IF($Y698&lt;=TODAY()," is due TODAY ("," is due next business day (")&amp;TEXT($Y698,"dd-mmm")&amp;").","Next: "&amp;$Z698&amp;" due "&amp;TEXT($Y698,"dd-mmm")&amp;" ("&amp;(NETWORKDAYS(TODAY(),$Y698,Holidays)-1)&amp;" business day(s) left).")))))</f>
        <v/>
      </c>
      <c r="V698" s="17">
        <f>IF($W698="","",CHOOSE($W698,"Collection Email","1st Follow-up","2nd Follow-up","Local Office","CBE","Roxanne")&amp;IF($W698=6," - Final"," - Day "&amp;MAX(0,NETWORKDAYS($X698,TODAY(),Holidays)-1)&amp;" of "&amp;CHOOSE($W698,3,3,2,2,3))&amp;" | Total Day "&amp;MAX(0,NETWORKDAYS($L698,TODAY(),Holidays)-1))</f>
        <v/>
      </c>
      <c r="W698" s="17">
        <f>IF($L698="","",COUNT($L698:$Q698))</f>
        <v/>
      </c>
      <c r="X698" s="18">
        <f>IF($W698="","",INT(INDEX($L698:$Q698,$W698)))</f>
        <v/>
      </c>
      <c r="Y698" s="18">
        <f>IF(OR($W698="",$W698=6),"",WORKDAY($X698,CHOOSE($W698,3,3,2,2,3),Holidays))</f>
        <v/>
      </c>
      <c r="Z698" s="17">
        <f>IF(OR($W698="",$W698=6),"",CHOOSE($W698,"1st Email Follow-up","2nd Email Follow-up","Escalate Local Office","Escalate to CBE","Escalate to Roxanne"))</f>
        <v/>
      </c>
    </row>
    <row r="699" spans="18:26">
      <c r="R699" s="15"/>
      <c r="S699" s="16"/>
      <c r="T699" s="17">
        <f>IF(AND(COUNTA($A699:$K699)=0,$L699=""),"",IF($S699="Paid","PAID",IF($S699="Closed","CLOSED",IF($W699="","",IF($W699=6,"ESCALATED TO ROXANNE",IF(TODAY()&gt;$Y699,"OVERDUE",IF($Y699&lt;=WORKDAY(TODAY(),1,Holidays),"DUE TOMORROW",IF($W699=4,"ESCALATED TO LOCAL OFFICE",IF($W699=5,"ESCALATED TO CBE",IF($X699=TODAY(),"EMAIL SENT","MONITORING"))))))))))</f>
        <v/>
      </c>
      <c r="U699" s="17">
        <f>IF($T699="",IF(AND(COUNTA($A699:$K699)&gt;0,$L699=""),"Awaiting Collection Email time stamp.",""),IF(OR($T699="PAID",$T699="CLOSED"),IF($T699="PAID","Account paid. Action completed.","Account closed. No further action required."),CHOOSE($W699,"Collection Email","1st Email Follow-up","2nd Email Follow-up","Escalation to Local Office","Escalation to CBE","Escalation to Roxanne")&amp;" sent "&amp;TEXT($X699,"dd-mmm")&amp;". "&amp;IF($W699=6,"Final escalation completed.",IF($T699="OVERDUE","Next: "&amp;$Z699&amp;" was due "&amp;TEXT($Y699,"dd-mmm")&amp;" - "&amp;(NETWORKDAYS($Y699,TODAY(),Holidays)-1)&amp;" business day(s) late. Send now.",IF($T699="DUE TOMORROW","Next: "&amp;$Z699&amp;IF($Y699&lt;=TODAY()," is due TODAY ("," is due next business day (")&amp;TEXT($Y699,"dd-mmm")&amp;").","Next: "&amp;$Z699&amp;" due "&amp;TEXT($Y699,"dd-mmm")&amp;" ("&amp;(NETWORKDAYS(TODAY(),$Y699,Holidays)-1)&amp;" business day(s) left).")))))</f>
        <v/>
      </c>
      <c r="V699" s="17">
        <f>IF($W699="","",CHOOSE($W699,"Collection Email","1st Follow-up","2nd Follow-up","Local Office","CBE","Roxanne")&amp;IF($W699=6," - Final"," - Day "&amp;MAX(0,NETWORKDAYS($X699,TODAY(),Holidays)-1)&amp;" of "&amp;CHOOSE($W699,3,3,2,2,3))&amp;" | Total Day "&amp;MAX(0,NETWORKDAYS($L699,TODAY(),Holidays)-1))</f>
        <v/>
      </c>
      <c r="W699" s="17">
        <f>IF($L699="","",COUNT($L699:$Q699))</f>
        <v/>
      </c>
      <c r="X699" s="18">
        <f>IF($W699="","",INT(INDEX($L699:$Q699,$W699)))</f>
        <v/>
      </c>
      <c r="Y699" s="18">
        <f>IF(OR($W699="",$W699=6),"",WORKDAY($X699,CHOOSE($W699,3,3,2,2,3),Holidays))</f>
        <v/>
      </c>
      <c r="Z699" s="17">
        <f>IF(OR($W699="",$W699=6),"",CHOOSE($W699,"1st Email Follow-up","2nd Email Follow-up","Escalate Local Office","Escalate to CBE","Escalate to Roxanne"))</f>
        <v/>
      </c>
    </row>
    <row r="700" spans="18:26">
      <c r="R700" s="15"/>
      <c r="S700" s="16"/>
      <c r="T700" s="17">
        <f>IF(AND(COUNTA($A700:$K700)=0,$L700=""),"",IF($S700="Paid","PAID",IF($S700="Closed","CLOSED",IF($W700="","",IF($W700=6,"ESCALATED TO ROXANNE",IF(TODAY()&gt;$Y700,"OVERDUE",IF($Y700&lt;=WORKDAY(TODAY(),1,Holidays),"DUE TOMORROW",IF($W700=4,"ESCALATED TO LOCAL OFFICE",IF($W700=5,"ESCALATED TO CBE",IF($X700=TODAY(),"EMAIL SENT","MONITORING"))))))))))</f>
        <v/>
      </c>
      <c r="U700" s="17">
        <f>IF($T700="",IF(AND(COUNTA($A700:$K700)&gt;0,$L700=""),"Awaiting Collection Email time stamp.",""),IF(OR($T700="PAID",$T700="CLOSED"),IF($T700="PAID","Account paid. Action completed.","Account closed. No further action required."),CHOOSE($W700,"Collection Email","1st Email Follow-up","2nd Email Follow-up","Escalation to Local Office","Escalation to CBE","Escalation to Roxanne")&amp;" sent "&amp;TEXT($X700,"dd-mmm")&amp;". "&amp;IF($W700=6,"Final escalation completed.",IF($T700="OVERDUE","Next: "&amp;$Z700&amp;" was due "&amp;TEXT($Y700,"dd-mmm")&amp;" - "&amp;(NETWORKDAYS($Y700,TODAY(),Holidays)-1)&amp;" business day(s) late. Send now.",IF($T700="DUE TOMORROW","Next: "&amp;$Z700&amp;IF($Y700&lt;=TODAY()," is due TODAY ("," is due next business day (")&amp;TEXT($Y700,"dd-mmm")&amp;").","Next: "&amp;$Z700&amp;" due "&amp;TEXT($Y700,"dd-mmm")&amp;" ("&amp;(NETWORKDAYS(TODAY(),$Y700,Holidays)-1)&amp;" business day(s) left).")))))</f>
        <v/>
      </c>
      <c r="V700" s="17">
        <f>IF($W700="","",CHOOSE($W700,"Collection Email","1st Follow-up","2nd Follow-up","Local Office","CBE","Roxanne")&amp;IF($W700=6," - Final"," - Day "&amp;MAX(0,NETWORKDAYS($X700,TODAY(),Holidays)-1)&amp;" of "&amp;CHOOSE($W700,3,3,2,2,3))&amp;" | Total Day "&amp;MAX(0,NETWORKDAYS($L700,TODAY(),Holidays)-1))</f>
        <v/>
      </c>
      <c r="W700" s="17">
        <f>IF($L700="","",COUNT($L700:$Q700))</f>
        <v/>
      </c>
      <c r="X700" s="18">
        <f>IF($W700="","",INT(INDEX($L700:$Q700,$W700)))</f>
        <v/>
      </c>
      <c r="Y700" s="18">
        <f>IF(OR($W700="",$W700=6),"",WORKDAY($X700,CHOOSE($W700,3,3,2,2,3),Holidays))</f>
        <v/>
      </c>
      <c r="Z700" s="17">
        <f>IF(OR($W700="",$W700=6),"",CHOOSE($W700,"1st Email Follow-up","2nd Email Follow-up","Escalate Local Office","Escalate to CBE","Escalate to Roxanne"))</f>
        <v/>
      </c>
    </row>
    <row r="701" spans="18:26">
      <c r="R701" s="15"/>
      <c r="S701" s="16"/>
      <c r="T701" s="17">
        <f>IF(AND(COUNTA($A701:$K701)=0,$L701=""),"",IF($S701="Paid","PAID",IF($S701="Closed","CLOSED",IF($W701="","",IF($W701=6,"ESCALATED TO ROXANNE",IF(TODAY()&gt;$Y701,"OVERDUE",IF($Y701&lt;=WORKDAY(TODAY(),1,Holidays),"DUE TOMORROW",IF($W701=4,"ESCALATED TO LOCAL OFFICE",IF($W701=5,"ESCALATED TO CBE",IF($X701=TODAY(),"EMAIL SENT","MONITORING"))))))))))</f>
        <v/>
      </c>
      <c r="U701" s="17">
        <f>IF($T701="",IF(AND(COUNTA($A701:$K701)&gt;0,$L701=""),"Awaiting Collection Email time stamp.",""),IF(OR($T701="PAID",$T701="CLOSED"),IF($T701="PAID","Account paid. Action completed.","Account closed. No further action required."),CHOOSE($W701,"Collection Email","1st Email Follow-up","2nd Email Follow-up","Escalation to Local Office","Escalation to CBE","Escalation to Roxanne")&amp;" sent "&amp;TEXT($X701,"dd-mmm")&amp;". "&amp;IF($W701=6,"Final escalation completed.",IF($T701="OVERDUE","Next: "&amp;$Z701&amp;" was due "&amp;TEXT($Y701,"dd-mmm")&amp;" - "&amp;(NETWORKDAYS($Y701,TODAY(),Holidays)-1)&amp;" business day(s) late. Send now.",IF($T701="DUE TOMORROW","Next: "&amp;$Z701&amp;IF($Y701&lt;=TODAY()," is due TODAY ("," is due next business day (")&amp;TEXT($Y701,"dd-mmm")&amp;").","Next: "&amp;$Z701&amp;" due "&amp;TEXT($Y701,"dd-mmm")&amp;" ("&amp;(NETWORKDAYS(TODAY(),$Y701,Holidays)-1)&amp;" business day(s) left).")))))</f>
        <v/>
      </c>
      <c r="V701" s="17">
        <f>IF($W701="","",CHOOSE($W701,"Collection Email","1st Follow-up","2nd Follow-up","Local Office","CBE","Roxanne")&amp;IF($W701=6," - Final"," - Day "&amp;MAX(0,NETWORKDAYS($X701,TODAY(),Holidays)-1)&amp;" of "&amp;CHOOSE($W701,3,3,2,2,3))&amp;" | Total Day "&amp;MAX(0,NETWORKDAYS($L701,TODAY(),Holidays)-1))</f>
        <v/>
      </c>
      <c r="W701" s="17">
        <f>IF($L701="","",COUNT($L701:$Q701))</f>
        <v/>
      </c>
      <c r="X701" s="18">
        <f>IF($W701="","",INT(INDEX($L701:$Q701,$W701)))</f>
        <v/>
      </c>
      <c r="Y701" s="18">
        <f>IF(OR($W701="",$W701=6),"",WORKDAY($X701,CHOOSE($W701,3,3,2,2,3),Holidays))</f>
        <v/>
      </c>
      <c r="Z701" s="17">
        <f>IF(OR($W701="",$W701=6),"",CHOOSE($W701,"1st Email Follow-up","2nd Email Follow-up","Escalate Local Office","Escalate to CBE","Escalate to Roxanne"))</f>
        <v/>
      </c>
    </row>
    <row r="702" spans="18:26">
      <c r="R702" s="15"/>
      <c r="S702" s="16"/>
      <c r="T702" s="17">
        <f>IF(AND(COUNTA($A702:$K702)=0,$L702=""),"",IF($S702="Paid","PAID",IF($S702="Closed","CLOSED",IF($W702="","",IF($W702=6,"ESCALATED TO ROXANNE",IF(TODAY()&gt;$Y702,"OVERDUE",IF($Y702&lt;=WORKDAY(TODAY(),1,Holidays),"DUE TOMORROW",IF($W702=4,"ESCALATED TO LOCAL OFFICE",IF($W702=5,"ESCALATED TO CBE",IF($X702=TODAY(),"EMAIL SENT","MONITORING"))))))))))</f>
        <v/>
      </c>
      <c r="U702" s="17">
        <f>IF($T702="",IF(AND(COUNTA($A702:$K702)&gt;0,$L702=""),"Awaiting Collection Email time stamp.",""),IF(OR($T702="PAID",$T702="CLOSED"),IF($T702="PAID","Account paid. Action completed.","Account closed. No further action required."),CHOOSE($W702,"Collection Email","1st Email Follow-up","2nd Email Follow-up","Escalation to Local Office","Escalation to CBE","Escalation to Roxanne")&amp;" sent "&amp;TEXT($X702,"dd-mmm")&amp;". "&amp;IF($W702=6,"Final escalation completed.",IF($T702="OVERDUE","Next: "&amp;$Z702&amp;" was due "&amp;TEXT($Y702,"dd-mmm")&amp;" - "&amp;(NETWORKDAYS($Y702,TODAY(),Holidays)-1)&amp;" business day(s) late. Send now.",IF($T702="DUE TOMORROW","Next: "&amp;$Z702&amp;IF($Y702&lt;=TODAY()," is due TODAY ("," is due next business day (")&amp;TEXT($Y702,"dd-mmm")&amp;").","Next: "&amp;$Z702&amp;" due "&amp;TEXT($Y702,"dd-mmm")&amp;" ("&amp;(NETWORKDAYS(TODAY(),$Y702,Holidays)-1)&amp;" business day(s) left).")))))</f>
        <v/>
      </c>
      <c r="V702" s="17">
        <f>IF($W702="","",CHOOSE($W702,"Collection Email","1st Follow-up","2nd Follow-up","Local Office","CBE","Roxanne")&amp;IF($W702=6," - Final"," - Day "&amp;MAX(0,NETWORKDAYS($X702,TODAY(),Holidays)-1)&amp;" of "&amp;CHOOSE($W702,3,3,2,2,3))&amp;" | Total Day "&amp;MAX(0,NETWORKDAYS($L702,TODAY(),Holidays)-1))</f>
        <v/>
      </c>
      <c r="W702" s="17">
        <f>IF($L702="","",COUNT($L702:$Q702))</f>
        <v/>
      </c>
      <c r="X702" s="18">
        <f>IF($W702="","",INT(INDEX($L702:$Q702,$W702)))</f>
        <v/>
      </c>
      <c r="Y702" s="18">
        <f>IF(OR($W702="",$W702=6),"",WORKDAY($X702,CHOOSE($W702,3,3,2,2,3),Holidays))</f>
        <v/>
      </c>
      <c r="Z702" s="17">
        <f>IF(OR($W702="",$W702=6),"",CHOOSE($W702,"1st Email Follow-up","2nd Email Follow-up","Escalate Local Office","Escalate to CBE","Escalate to Roxanne"))</f>
        <v/>
      </c>
    </row>
    <row r="703" spans="18:26">
      <c r="R703" s="15"/>
      <c r="S703" s="16"/>
      <c r="T703" s="17">
        <f>IF(AND(COUNTA($A703:$K703)=0,$L703=""),"",IF($S703="Paid","PAID",IF($S703="Closed","CLOSED",IF($W703="","",IF($W703=6,"ESCALATED TO ROXANNE",IF(TODAY()&gt;$Y703,"OVERDUE",IF($Y703&lt;=WORKDAY(TODAY(),1,Holidays),"DUE TOMORROW",IF($W703=4,"ESCALATED TO LOCAL OFFICE",IF($W703=5,"ESCALATED TO CBE",IF($X703=TODAY(),"EMAIL SENT","MONITORING"))))))))))</f>
        <v/>
      </c>
      <c r="U703" s="17">
        <f>IF($T703="",IF(AND(COUNTA($A703:$K703)&gt;0,$L703=""),"Awaiting Collection Email time stamp.",""),IF(OR($T703="PAID",$T703="CLOSED"),IF($T703="PAID","Account paid. Action completed.","Account closed. No further action required."),CHOOSE($W703,"Collection Email","1st Email Follow-up","2nd Email Follow-up","Escalation to Local Office","Escalation to CBE","Escalation to Roxanne")&amp;" sent "&amp;TEXT($X703,"dd-mmm")&amp;". "&amp;IF($W703=6,"Final escalation completed.",IF($T703="OVERDUE","Next: "&amp;$Z703&amp;" was due "&amp;TEXT($Y703,"dd-mmm")&amp;" - "&amp;(NETWORKDAYS($Y703,TODAY(),Holidays)-1)&amp;" business day(s) late. Send now.",IF($T703="DUE TOMORROW","Next: "&amp;$Z703&amp;IF($Y703&lt;=TODAY()," is due TODAY ("," is due next business day (")&amp;TEXT($Y703,"dd-mmm")&amp;").","Next: "&amp;$Z703&amp;" due "&amp;TEXT($Y703,"dd-mmm")&amp;" ("&amp;(NETWORKDAYS(TODAY(),$Y703,Holidays)-1)&amp;" business day(s) left).")))))</f>
        <v/>
      </c>
      <c r="V703" s="17">
        <f>IF($W703="","",CHOOSE($W703,"Collection Email","1st Follow-up","2nd Follow-up","Local Office","CBE","Roxanne")&amp;IF($W703=6," - Final"," - Day "&amp;MAX(0,NETWORKDAYS($X703,TODAY(),Holidays)-1)&amp;" of "&amp;CHOOSE($W703,3,3,2,2,3))&amp;" | Total Day "&amp;MAX(0,NETWORKDAYS($L703,TODAY(),Holidays)-1))</f>
        <v/>
      </c>
      <c r="W703" s="17">
        <f>IF($L703="","",COUNT($L703:$Q703))</f>
        <v/>
      </c>
      <c r="X703" s="18">
        <f>IF($W703="","",INT(INDEX($L703:$Q703,$W703)))</f>
        <v/>
      </c>
      <c r="Y703" s="18">
        <f>IF(OR($W703="",$W703=6),"",WORKDAY($X703,CHOOSE($W703,3,3,2,2,3),Holidays))</f>
        <v/>
      </c>
      <c r="Z703" s="17">
        <f>IF(OR($W703="",$W703=6),"",CHOOSE($W703,"1st Email Follow-up","2nd Email Follow-up","Escalate Local Office","Escalate to CBE","Escalate to Roxanne"))</f>
        <v/>
      </c>
    </row>
    <row r="704" spans="18:26">
      <c r="R704" s="15"/>
      <c r="S704" s="16"/>
      <c r="T704" s="17">
        <f>IF(AND(COUNTA($A704:$K704)=0,$L704=""),"",IF($S704="Paid","PAID",IF($S704="Closed","CLOSED",IF($W704="","",IF($W704=6,"ESCALATED TO ROXANNE",IF(TODAY()&gt;$Y704,"OVERDUE",IF($Y704&lt;=WORKDAY(TODAY(),1,Holidays),"DUE TOMORROW",IF($W704=4,"ESCALATED TO LOCAL OFFICE",IF($W704=5,"ESCALATED TO CBE",IF($X704=TODAY(),"EMAIL SENT","MONITORING"))))))))))</f>
        <v/>
      </c>
      <c r="U704" s="17">
        <f>IF($T704="",IF(AND(COUNTA($A704:$K704)&gt;0,$L704=""),"Awaiting Collection Email time stamp.",""),IF(OR($T704="PAID",$T704="CLOSED"),IF($T704="PAID","Account paid. Action completed.","Account closed. No further action required."),CHOOSE($W704,"Collection Email","1st Email Follow-up","2nd Email Follow-up","Escalation to Local Office","Escalation to CBE","Escalation to Roxanne")&amp;" sent "&amp;TEXT($X704,"dd-mmm")&amp;". "&amp;IF($W704=6,"Final escalation completed.",IF($T704="OVERDUE","Next: "&amp;$Z704&amp;" was due "&amp;TEXT($Y704,"dd-mmm")&amp;" - "&amp;(NETWORKDAYS($Y704,TODAY(),Holidays)-1)&amp;" business day(s) late. Send now.",IF($T704="DUE TOMORROW","Next: "&amp;$Z704&amp;IF($Y704&lt;=TODAY()," is due TODAY ("," is due next business day (")&amp;TEXT($Y704,"dd-mmm")&amp;").","Next: "&amp;$Z704&amp;" due "&amp;TEXT($Y704,"dd-mmm")&amp;" ("&amp;(NETWORKDAYS(TODAY(),$Y704,Holidays)-1)&amp;" business day(s) left).")))))</f>
        <v/>
      </c>
      <c r="V704" s="17">
        <f>IF($W704="","",CHOOSE($W704,"Collection Email","1st Follow-up","2nd Follow-up","Local Office","CBE","Roxanne")&amp;IF($W704=6," - Final"," - Day "&amp;MAX(0,NETWORKDAYS($X704,TODAY(),Holidays)-1)&amp;" of "&amp;CHOOSE($W704,3,3,2,2,3))&amp;" | Total Day "&amp;MAX(0,NETWORKDAYS($L704,TODAY(),Holidays)-1))</f>
        <v/>
      </c>
      <c r="W704" s="17">
        <f>IF($L704="","",COUNT($L704:$Q704))</f>
        <v/>
      </c>
      <c r="X704" s="18">
        <f>IF($W704="","",INT(INDEX($L704:$Q704,$W704)))</f>
        <v/>
      </c>
      <c r="Y704" s="18">
        <f>IF(OR($W704="",$W704=6),"",WORKDAY($X704,CHOOSE($W704,3,3,2,2,3),Holidays))</f>
        <v/>
      </c>
      <c r="Z704" s="17">
        <f>IF(OR($W704="",$W704=6),"",CHOOSE($W704,"1st Email Follow-up","2nd Email Follow-up","Escalate Local Office","Escalate to CBE","Escalate to Roxanne"))</f>
        <v/>
      </c>
    </row>
    <row r="705" spans="18:26">
      <c r="R705" s="15"/>
      <c r="S705" s="16"/>
      <c r="T705" s="17">
        <f>IF(AND(COUNTA($A705:$K705)=0,$L705=""),"",IF($S705="Paid","PAID",IF($S705="Closed","CLOSED",IF($W705="","",IF($W705=6,"ESCALATED TO ROXANNE",IF(TODAY()&gt;$Y705,"OVERDUE",IF($Y705&lt;=WORKDAY(TODAY(),1,Holidays),"DUE TOMORROW",IF($W705=4,"ESCALATED TO LOCAL OFFICE",IF($W705=5,"ESCALATED TO CBE",IF($X705=TODAY(),"EMAIL SENT","MONITORING"))))))))))</f>
        <v/>
      </c>
      <c r="U705" s="17">
        <f>IF($T705="",IF(AND(COUNTA($A705:$K705)&gt;0,$L705=""),"Awaiting Collection Email time stamp.",""),IF(OR($T705="PAID",$T705="CLOSED"),IF($T705="PAID","Account paid. Action completed.","Account closed. No further action required."),CHOOSE($W705,"Collection Email","1st Email Follow-up","2nd Email Follow-up","Escalation to Local Office","Escalation to CBE","Escalation to Roxanne")&amp;" sent "&amp;TEXT($X705,"dd-mmm")&amp;". "&amp;IF($W705=6,"Final escalation completed.",IF($T705="OVERDUE","Next: "&amp;$Z705&amp;" was due "&amp;TEXT($Y705,"dd-mmm")&amp;" - "&amp;(NETWORKDAYS($Y705,TODAY(),Holidays)-1)&amp;" business day(s) late. Send now.",IF($T705="DUE TOMORROW","Next: "&amp;$Z705&amp;IF($Y705&lt;=TODAY()," is due TODAY ("," is due next business day (")&amp;TEXT($Y705,"dd-mmm")&amp;").","Next: "&amp;$Z705&amp;" due "&amp;TEXT($Y705,"dd-mmm")&amp;" ("&amp;(NETWORKDAYS(TODAY(),$Y705,Holidays)-1)&amp;" business day(s) left).")))))</f>
        <v/>
      </c>
      <c r="V705" s="17">
        <f>IF($W705="","",CHOOSE($W705,"Collection Email","1st Follow-up","2nd Follow-up","Local Office","CBE","Roxanne")&amp;IF($W705=6," - Final"," - Day "&amp;MAX(0,NETWORKDAYS($X705,TODAY(),Holidays)-1)&amp;" of "&amp;CHOOSE($W705,3,3,2,2,3))&amp;" | Total Day "&amp;MAX(0,NETWORKDAYS($L705,TODAY(),Holidays)-1))</f>
        <v/>
      </c>
      <c r="W705" s="17">
        <f>IF($L705="","",COUNT($L705:$Q705))</f>
        <v/>
      </c>
      <c r="X705" s="18">
        <f>IF($W705="","",INT(INDEX($L705:$Q705,$W705)))</f>
        <v/>
      </c>
      <c r="Y705" s="18">
        <f>IF(OR($W705="",$W705=6),"",WORKDAY($X705,CHOOSE($W705,3,3,2,2,3),Holidays))</f>
        <v/>
      </c>
      <c r="Z705" s="17">
        <f>IF(OR($W705="",$W705=6),"",CHOOSE($W705,"1st Email Follow-up","2nd Email Follow-up","Escalate Local Office","Escalate to CBE","Escalate to Roxanne"))</f>
        <v/>
      </c>
    </row>
    <row r="706" spans="18:26">
      <c r="R706" s="15"/>
      <c r="S706" s="16"/>
      <c r="T706" s="17">
        <f>IF(AND(COUNTA($A706:$K706)=0,$L706=""),"",IF($S706="Paid","PAID",IF($S706="Closed","CLOSED",IF($W706="","",IF($W706=6,"ESCALATED TO ROXANNE",IF(TODAY()&gt;$Y706,"OVERDUE",IF($Y706&lt;=WORKDAY(TODAY(),1,Holidays),"DUE TOMORROW",IF($W706=4,"ESCALATED TO LOCAL OFFICE",IF($W706=5,"ESCALATED TO CBE",IF($X706=TODAY(),"EMAIL SENT","MONITORING"))))))))))</f>
        <v/>
      </c>
      <c r="U706" s="17">
        <f>IF($T706="",IF(AND(COUNTA($A706:$K706)&gt;0,$L706=""),"Awaiting Collection Email time stamp.",""),IF(OR($T706="PAID",$T706="CLOSED"),IF($T706="PAID","Account paid. Action completed.","Account closed. No further action required."),CHOOSE($W706,"Collection Email","1st Email Follow-up","2nd Email Follow-up","Escalation to Local Office","Escalation to CBE","Escalation to Roxanne")&amp;" sent "&amp;TEXT($X706,"dd-mmm")&amp;". "&amp;IF($W706=6,"Final escalation completed.",IF($T706="OVERDUE","Next: "&amp;$Z706&amp;" was due "&amp;TEXT($Y706,"dd-mmm")&amp;" - "&amp;(NETWORKDAYS($Y706,TODAY(),Holidays)-1)&amp;" business day(s) late. Send now.",IF($T706="DUE TOMORROW","Next: "&amp;$Z706&amp;IF($Y706&lt;=TODAY()," is due TODAY ("," is due next business day (")&amp;TEXT($Y706,"dd-mmm")&amp;").","Next: "&amp;$Z706&amp;" due "&amp;TEXT($Y706,"dd-mmm")&amp;" ("&amp;(NETWORKDAYS(TODAY(),$Y706,Holidays)-1)&amp;" business day(s) left).")))))</f>
        <v/>
      </c>
      <c r="V706" s="17">
        <f>IF($W706="","",CHOOSE($W706,"Collection Email","1st Follow-up","2nd Follow-up","Local Office","CBE","Roxanne")&amp;IF($W706=6," - Final"," - Day "&amp;MAX(0,NETWORKDAYS($X706,TODAY(),Holidays)-1)&amp;" of "&amp;CHOOSE($W706,3,3,2,2,3))&amp;" | Total Day "&amp;MAX(0,NETWORKDAYS($L706,TODAY(),Holidays)-1))</f>
        <v/>
      </c>
      <c r="W706" s="17">
        <f>IF($L706="","",COUNT($L706:$Q706))</f>
        <v/>
      </c>
      <c r="X706" s="18">
        <f>IF($W706="","",INT(INDEX($L706:$Q706,$W706)))</f>
        <v/>
      </c>
      <c r="Y706" s="18">
        <f>IF(OR($W706="",$W706=6),"",WORKDAY($X706,CHOOSE($W706,3,3,2,2,3),Holidays))</f>
        <v/>
      </c>
      <c r="Z706" s="17">
        <f>IF(OR($W706="",$W706=6),"",CHOOSE($W706,"1st Email Follow-up","2nd Email Follow-up","Escalate Local Office","Escalate to CBE","Escalate to Roxanne"))</f>
        <v/>
      </c>
    </row>
    <row r="707" spans="18:26">
      <c r="R707" s="15"/>
      <c r="S707" s="16"/>
      <c r="T707" s="17">
        <f>IF(AND(COUNTA($A707:$K707)=0,$L707=""),"",IF($S707="Paid","PAID",IF($S707="Closed","CLOSED",IF($W707="","",IF($W707=6,"ESCALATED TO ROXANNE",IF(TODAY()&gt;$Y707,"OVERDUE",IF($Y707&lt;=WORKDAY(TODAY(),1,Holidays),"DUE TOMORROW",IF($W707=4,"ESCALATED TO LOCAL OFFICE",IF($W707=5,"ESCALATED TO CBE",IF($X707=TODAY(),"EMAIL SENT","MONITORING"))))))))))</f>
        <v/>
      </c>
      <c r="U707" s="17">
        <f>IF($T707="",IF(AND(COUNTA($A707:$K707)&gt;0,$L707=""),"Awaiting Collection Email time stamp.",""),IF(OR($T707="PAID",$T707="CLOSED"),IF($T707="PAID","Account paid. Action completed.","Account closed. No further action required."),CHOOSE($W707,"Collection Email","1st Email Follow-up","2nd Email Follow-up","Escalation to Local Office","Escalation to CBE","Escalation to Roxanne")&amp;" sent "&amp;TEXT($X707,"dd-mmm")&amp;". "&amp;IF($W707=6,"Final escalation completed.",IF($T707="OVERDUE","Next: "&amp;$Z707&amp;" was due "&amp;TEXT($Y707,"dd-mmm")&amp;" - "&amp;(NETWORKDAYS($Y707,TODAY(),Holidays)-1)&amp;" business day(s) late. Send now.",IF($T707="DUE TOMORROW","Next: "&amp;$Z707&amp;IF($Y707&lt;=TODAY()," is due TODAY ("," is due next business day (")&amp;TEXT($Y707,"dd-mmm")&amp;").","Next: "&amp;$Z707&amp;" due "&amp;TEXT($Y707,"dd-mmm")&amp;" ("&amp;(NETWORKDAYS(TODAY(),$Y707,Holidays)-1)&amp;" business day(s) left).")))))</f>
        <v/>
      </c>
      <c r="V707" s="17">
        <f>IF($W707="","",CHOOSE($W707,"Collection Email","1st Follow-up","2nd Follow-up","Local Office","CBE","Roxanne")&amp;IF($W707=6," - Final"," - Day "&amp;MAX(0,NETWORKDAYS($X707,TODAY(),Holidays)-1)&amp;" of "&amp;CHOOSE($W707,3,3,2,2,3))&amp;" | Total Day "&amp;MAX(0,NETWORKDAYS($L707,TODAY(),Holidays)-1))</f>
        <v/>
      </c>
      <c r="W707" s="17">
        <f>IF($L707="","",COUNT($L707:$Q707))</f>
        <v/>
      </c>
      <c r="X707" s="18">
        <f>IF($W707="","",INT(INDEX($L707:$Q707,$W707)))</f>
        <v/>
      </c>
      <c r="Y707" s="18">
        <f>IF(OR($W707="",$W707=6),"",WORKDAY($X707,CHOOSE($W707,3,3,2,2,3),Holidays))</f>
        <v/>
      </c>
      <c r="Z707" s="17">
        <f>IF(OR($W707="",$W707=6),"",CHOOSE($W707,"1st Email Follow-up","2nd Email Follow-up","Escalate Local Office","Escalate to CBE","Escalate to Roxanne"))</f>
        <v/>
      </c>
    </row>
    <row r="708" spans="18:26">
      <c r="R708" s="15"/>
      <c r="S708" s="16"/>
      <c r="T708" s="17">
        <f>IF(AND(COUNTA($A708:$K708)=0,$L708=""),"",IF($S708="Paid","PAID",IF($S708="Closed","CLOSED",IF($W708="","",IF($W708=6,"ESCALATED TO ROXANNE",IF(TODAY()&gt;$Y708,"OVERDUE",IF($Y708&lt;=WORKDAY(TODAY(),1,Holidays),"DUE TOMORROW",IF($W708=4,"ESCALATED TO LOCAL OFFICE",IF($W708=5,"ESCALATED TO CBE",IF($X708=TODAY(),"EMAIL SENT","MONITORING"))))))))))</f>
        <v/>
      </c>
      <c r="U708" s="17">
        <f>IF($T708="",IF(AND(COUNTA($A708:$K708)&gt;0,$L708=""),"Awaiting Collection Email time stamp.",""),IF(OR($T708="PAID",$T708="CLOSED"),IF($T708="PAID","Account paid. Action completed.","Account closed. No further action required."),CHOOSE($W708,"Collection Email","1st Email Follow-up","2nd Email Follow-up","Escalation to Local Office","Escalation to CBE","Escalation to Roxanne")&amp;" sent "&amp;TEXT($X708,"dd-mmm")&amp;". "&amp;IF($W708=6,"Final escalation completed.",IF($T708="OVERDUE","Next: "&amp;$Z708&amp;" was due "&amp;TEXT($Y708,"dd-mmm")&amp;" - "&amp;(NETWORKDAYS($Y708,TODAY(),Holidays)-1)&amp;" business day(s) late. Send now.",IF($T708="DUE TOMORROW","Next: "&amp;$Z708&amp;IF($Y708&lt;=TODAY()," is due TODAY ("," is due next business day (")&amp;TEXT($Y708,"dd-mmm")&amp;").","Next: "&amp;$Z708&amp;" due "&amp;TEXT($Y708,"dd-mmm")&amp;" ("&amp;(NETWORKDAYS(TODAY(),$Y708,Holidays)-1)&amp;" business day(s) left).")))))</f>
        <v/>
      </c>
      <c r="V708" s="17">
        <f>IF($W708="","",CHOOSE($W708,"Collection Email","1st Follow-up","2nd Follow-up","Local Office","CBE","Roxanne")&amp;IF($W708=6," - Final"," - Day "&amp;MAX(0,NETWORKDAYS($X708,TODAY(),Holidays)-1)&amp;" of "&amp;CHOOSE($W708,3,3,2,2,3))&amp;" | Total Day "&amp;MAX(0,NETWORKDAYS($L708,TODAY(),Holidays)-1))</f>
        <v/>
      </c>
      <c r="W708" s="17">
        <f>IF($L708="","",COUNT($L708:$Q708))</f>
        <v/>
      </c>
      <c r="X708" s="18">
        <f>IF($W708="","",INT(INDEX($L708:$Q708,$W708)))</f>
        <v/>
      </c>
      <c r="Y708" s="18">
        <f>IF(OR($W708="",$W708=6),"",WORKDAY($X708,CHOOSE($W708,3,3,2,2,3),Holidays))</f>
        <v/>
      </c>
      <c r="Z708" s="17">
        <f>IF(OR($W708="",$W708=6),"",CHOOSE($W708,"1st Email Follow-up","2nd Email Follow-up","Escalate Local Office","Escalate to CBE","Escalate to Roxanne"))</f>
        <v/>
      </c>
    </row>
    <row r="709" spans="18:26">
      <c r="R709" s="15"/>
      <c r="S709" s="16"/>
      <c r="T709" s="17">
        <f>IF(AND(COUNTA($A709:$K709)=0,$L709=""),"",IF($S709="Paid","PAID",IF($S709="Closed","CLOSED",IF($W709="","",IF($W709=6,"ESCALATED TO ROXANNE",IF(TODAY()&gt;$Y709,"OVERDUE",IF($Y709&lt;=WORKDAY(TODAY(),1,Holidays),"DUE TOMORROW",IF($W709=4,"ESCALATED TO LOCAL OFFICE",IF($W709=5,"ESCALATED TO CBE",IF($X709=TODAY(),"EMAIL SENT","MONITORING"))))))))))</f>
        <v/>
      </c>
      <c r="U709" s="17">
        <f>IF($T709="",IF(AND(COUNTA($A709:$K709)&gt;0,$L709=""),"Awaiting Collection Email time stamp.",""),IF(OR($T709="PAID",$T709="CLOSED"),IF($T709="PAID","Account paid. Action completed.","Account closed. No further action required."),CHOOSE($W709,"Collection Email","1st Email Follow-up","2nd Email Follow-up","Escalation to Local Office","Escalation to CBE","Escalation to Roxanne")&amp;" sent "&amp;TEXT($X709,"dd-mmm")&amp;". "&amp;IF($W709=6,"Final escalation completed.",IF($T709="OVERDUE","Next: "&amp;$Z709&amp;" was due "&amp;TEXT($Y709,"dd-mmm")&amp;" - "&amp;(NETWORKDAYS($Y709,TODAY(),Holidays)-1)&amp;" business day(s) late. Send now.",IF($T709="DUE TOMORROW","Next: "&amp;$Z709&amp;IF($Y709&lt;=TODAY()," is due TODAY ("," is due next business day (")&amp;TEXT($Y709,"dd-mmm")&amp;").","Next: "&amp;$Z709&amp;" due "&amp;TEXT($Y709,"dd-mmm")&amp;" ("&amp;(NETWORKDAYS(TODAY(),$Y709,Holidays)-1)&amp;" business day(s) left).")))))</f>
        <v/>
      </c>
      <c r="V709" s="17">
        <f>IF($W709="","",CHOOSE($W709,"Collection Email","1st Follow-up","2nd Follow-up","Local Office","CBE","Roxanne")&amp;IF($W709=6," - Final"," - Day "&amp;MAX(0,NETWORKDAYS($X709,TODAY(),Holidays)-1)&amp;" of "&amp;CHOOSE($W709,3,3,2,2,3))&amp;" | Total Day "&amp;MAX(0,NETWORKDAYS($L709,TODAY(),Holidays)-1))</f>
        <v/>
      </c>
      <c r="W709" s="17">
        <f>IF($L709="","",COUNT($L709:$Q709))</f>
        <v/>
      </c>
      <c r="X709" s="18">
        <f>IF($W709="","",INT(INDEX($L709:$Q709,$W709)))</f>
        <v/>
      </c>
      <c r="Y709" s="18">
        <f>IF(OR($W709="",$W709=6),"",WORKDAY($X709,CHOOSE($W709,3,3,2,2,3),Holidays))</f>
        <v/>
      </c>
      <c r="Z709" s="17">
        <f>IF(OR($W709="",$W709=6),"",CHOOSE($W709,"1st Email Follow-up","2nd Email Follow-up","Escalate Local Office","Escalate to CBE","Escalate to Roxanne"))</f>
        <v/>
      </c>
    </row>
    <row r="710" spans="18:26">
      <c r="R710" s="15"/>
      <c r="S710" s="16"/>
      <c r="T710" s="17">
        <f>IF(AND(COUNTA($A710:$K710)=0,$L710=""),"",IF($S710="Paid","PAID",IF($S710="Closed","CLOSED",IF($W710="","",IF($W710=6,"ESCALATED TO ROXANNE",IF(TODAY()&gt;$Y710,"OVERDUE",IF($Y710&lt;=WORKDAY(TODAY(),1,Holidays),"DUE TOMORROW",IF($W710=4,"ESCALATED TO LOCAL OFFICE",IF($W710=5,"ESCALATED TO CBE",IF($X710=TODAY(),"EMAIL SENT","MONITORING"))))))))))</f>
        <v/>
      </c>
      <c r="U710" s="17">
        <f>IF($T710="",IF(AND(COUNTA($A710:$K710)&gt;0,$L710=""),"Awaiting Collection Email time stamp.",""),IF(OR($T710="PAID",$T710="CLOSED"),IF($T710="PAID","Account paid. Action completed.","Account closed. No further action required."),CHOOSE($W710,"Collection Email","1st Email Follow-up","2nd Email Follow-up","Escalation to Local Office","Escalation to CBE","Escalation to Roxanne")&amp;" sent "&amp;TEXT($X710,"dd-mmm")&amp;". "&amp;IF($W710=6,"Final escalation completed.",IF($T710="OVERDUE","Next: "&amp;$Z710&amp;" was due "&amp;TEXT($Y710,"dd-mmm")&amp;" - "&amp;(NETWORKDAYS($Y710,TODAY(),Holidays)-1)&amp;" business day(s) late. Send now.",IF($T710="DUE TOMORROW","Next: "&amp;$Z710&amp;IF($Y710&lt;=TODAY()," is due TODAY ("," is due next business day (")&amp;TEXT($Y710,"dd-mmm")&amp;").","Next: "&amp;$Z710&amp;" due "&amp;TEXT($Y710,"dd-mmm")&amp;" ("&amp;(NETWORKDAYS(TODAY(),$Y710,Holidays)-1)&amp;" business day(s) left).")))))</f>
        <v/>
      </c>
      <c r="V710" s="17">
        <f>IF($W710="","",CHOOSE($W710,"Collection Email","1st Follow-up","2nd Follow-up","Local Office","CBE","Roxanne")&amp;IF($W710=6," - Final"," - Day "&amp;MAX(0,NETWORKDAYS($X710,TODAY(),Holidays)-1)&amp;" of "&amp;CHOOSE($W710,3,3,2,2,3))&amp;" | Total Day "&amp;MAX(0,NETWORKDAYS($L710,TODAY(),Holidays)-1))</f>
        <v/>
      </c>
      <c r="W710" s="17">
        <f>IF($L710="","",COUNT($L710:$Q710))</f>
        <v/>
      </c>
      <c r="X710" s="18">
        <f>IF($W710="","",INT(INDEX($L710:$Q710,$W710)))</f>
        <v/>
      </c>
      <c r="Y710" s="18">
        <f>IF(OR($W710="",$W710=6),"",WORKDAY($X710,CHOOSE($W710,3,3,2,2,3),Holidays))</f>
        <v/>
      </c>
      <c r="Z710" s="17">
        <f>IF(OR($W710="",$W710=6),"",CHOOSE($W710,"1st Email Follow-up","2nd Email Follow-up","Escalate Local Office","Escalate to CBE","Escalate to Roxanne"))</f>
        <v/>
      </c>
    </row>
    <row r="711" spans="18:26">
      <c r="R711" s="15"/>
      <c r="S711" s="16"/>
      <c r="T711" s="17">
        <f>IF(AND(COUNTA($A711:$K711)=0,$L711=""),"",IF($S711="Paid","PAID",IF($S711="Closed","CLOSED",IF($W711="","",IF($W711=6,"ESCALATED TO ROXANNE",IF(TODAY()&gt;$Y711,"OVERDUE",IF($Y711&lt;=WORKDAY(TODAY(),1,Holidays),"DUE TOMORROW",IF($W711=4,"ESCALATED TO LOCAL OFFICE",IF($W711=5,"ESCALATED TO CBE",IF($X711=TODAY(),"EMAIL SENT","MONITORING"))))))))))</f>
        <v/>
      </c>
      <c r="U711" s="17">
        <f>IF($T711="",IF(AND(COUNTA($A711:$K711)&gt;0,$L711=""),"Awaiting Collection Email time stamp.",""),IF(OR($T711="PAID",$T711="CLOSED"),IF($T711="PAID","Account paid. Action completed.","Account closed. No further action required."),CHOOSE($W711,"Collection Email","1st Email Follow-up","2nd Email Follow-up","Escalation to Local Office","Escalation to CBE","Escalation to Roxanne")&amp;" sent "&amp;TEXT($X711,"dd-mmm")&amp;". "&amp;IF($W711=6,"Final escalation completed.",IF($T711="OVERDUE","Next: "&amp;$Z711&amp;" was due "&amp;TEXT($Y711,"dd-mmm")&amp;" - "&amp;(NETWORKDAYS($Y711,TODAY(),Holidays)-1)&amp;" business day(s) late. Send now.",IF($T711="DUE TOMORROW","Next: "&amp;$Z711&amp;IF($Y711&lt;=TODAY()," is due TODAY ("," is due next business day (")&amp;TEXT($Y711,"dd-mmm")&amp;").","Next: "&amp;$Z711&amp;" due "&amp;TEXT($Y711,"dd-mmm")&amp;" ("&amp;(NETWORKDAYS(TODAY(),$Y711,Holidays)-1)&amp;" business day(s) left).")))))</f>
        <v/>
      </c>
      <c r="V711" s="17">
        <f>IF($W711="","",CHOOSE($W711,"Collection Email","1st Follow-up","2nd Follow-up","Local Office","CBE","Roxanne")&amp;IF($W711=6," - Final"," - Day "&amp;MAX(0,NETWORKDAYS($X711,TODAY(),Holidays)-1)&amp;" of "&amp;CHOOSE($W711,3,3,2,2,3))&amp;" | Total Day "&amp;MAX(0,NETWORKDAYS($L711,TODAY(),Holidays)-1))</f>
        <v/>
      </c>
      <c r="W711" s="17">
        <f>IF($L711="","",COUNT($L711:$Q711))</f>
        <v/>
      </c>
      <c r="X711" s="18">
        <f>IF($W711="","",INT(INDEX($L711:$Q711,$W711)))</f>
        <v/>
      </c>
      <c r="Y711" s="18">
        <f>IF(OR($W711="",$W711=6),"",WORKDAY($X711,CHOOSE($W711,3,3,2,2,3),Holidays))</f>
        <v/>
      </c>
      <c r="Z711" s="17">
        <f>IF(OR($W711="",$W711=6),"",CHOOSE($W711,"1st Email Follow-up","2nd Email Follow-up","Escalate Local Office","Escalate to CBE","Escalate to Roxanne"))</f>
        <v/>
      </c>
    </row>
    <row r="712" spans="18:26">
      <c r="R712" s="15"/>
      <c r="S712" s="16"/>
      <c r="T712" s="17">
        <f>IF(AND(COUNTA($A712:$K712)=0,$L712=""),"",IF($S712="Paid","PAID",IF($S712="Closed","CLOSED",IF($W712="","",IF($W712=6,"ESCALATED TO ROXANNE",IF(TODAY()&gt;$Y712,"OVERDUE",IF($Y712&lt;=WORKDAY(TODAY(),1,Holidays),"DUE TOMORROW",IF($W712=4,"ESCALATED TO LOCAL OFFICE",IF($W712=5,"ESCALATED TO CBE",IF($X712=TODAY(),"EMAIL SENT","MONITORING"))))))))))</f>
        <v/>
      </c>
      <c r="U712" s="17">
        <f>IF($T712="",IF(AND(COUNTA($A712:$K712)&gt;0,$L712=""),"Awaiting Collection Email time stamp.",""),IF(OR($T712="PAID",$T712="CLOSED"),IF($T712="PAID","Account paid. Action completed.","Account closed. No further action required."),CHOOSE($W712,"Collection Email","1st Email Follow-up","2nd Email Follow-up","Escalation to Local Office","Escalation to CBE","Escalation to Roxanne")&amp;" sent "&amp;TEXT($X712,"dd-mmm")&amp;". "&amp;IF($W712=6,"Final escalation completed.",IF($T712="OVERDUE","Next: "&amp;$Z712&amp;" was due "&amp;TEXT($Y712,"dd-mmm")&amp;" - "&amp;(NETWORKDAYS($Y712,TODAY(),Holidays)-1)&amp;" business day(s) late. Send now.",IF($T712="DUE TOMORROW","Next: "&amp;$Z712&amp;IF($Y712&lt;=TODAY()," is due TODAY ("," is due next business day (")&amp;TEXT($Y712,"dd-mmm")&amp;").","Next: "&amp;$Z712&amp;" due "&amp;TEXT($Y712,"dd-mmm")&amp;" ("&amp;(NETWORKDAYS(TODAY(),$Y712,Holidays)-1)&amp;" business day(s) left).")))))</f>
        <v/>
      </c>
      <c r="V712" s="17">
        <f>IF($W712="","",CHOOSE($W712,"Collection Email","1st Follow-up","2nd Follow-up","Local Office","CBE","Roxanne")&amp;IF($W712=6," - Final"," - Day "&amp;MAX(0,NETWORKDAYS($X712,TODAY(),Holidays)-1)&amp;" of "&amp;CHOOSE($W712,3,3,2,2,3))&amp;" | Total Day "&amp;MAX(0,NETWORKDAYS($L712,TODAY(),Holidays)-1))</f>
        <v/>
      </c>
      <c r="W712" s="17">
        <f>IF($L712="","",COUNT($L712:$Q712))</f>
        <v/>
      </c>
      <c r="X712" s="18">
        <f>IF($W712="","",INT(INDEX($L712:$Q712,$W712)))</f>
        <v/>
      </c>
      <c r="Y712" s="18">
        <f>IF(OR($W712="",$W712=6),"",WORKDAY($X712,CHOOSE($W712,3,3,2,2,3),Holidays))</f>
        <v/>
      </c>
      <c r="Z712" s="17">
        <f>IF(OR($W712="",$W712=6),"",CHOOSE($W712,"1st Email Follow-up","2nd Email Follow-up","Escalate Local Office","Escalate to CBE","Escalate to Roxanne"))</f>
        <v/>
      </c>
    </row>
    <row r="713" spans="18:26">
      <c r="R713" s="15"/>
      <c r="S713" s="16"/>
      <c r="T713" s="17">
        <f>IF(AND(COUNTA($A713:$K713)=0,$L713=""),"",IF($S713="Paid","PAID",IF($S713="Closed","CLOSED",IF($W713="","",IF($W713=6,"ESCALATED TO ROXANNE",IF(TODAY()&gt;$Y713,"OVERDUE",IF($Y713&lt;=WORKDAY(TODAY(),1,Holidays),"DUE TOMORROW",IF($W713=4,"ESCALATED TO LOCAL OFFICE",IF($W713=5,"ESCALATED TO CBE",IF($X713=TODAY(),"EMAIL SENT","MONITORING"))))))))))</f>
        <v/>
      </c>
      <c r="U713" s="17">
        <f>IF($T713="",IF(AND(COUNTA($A713:$K713)&gt;0,$L713=""),"Awaiting Collection Email time stamp.",""),IF(OR($T713="PAID",$T713="CLOSED"),IF($T713="PAID","Account paid. Action completed.","Account closed. No further action required."),CHOOSE($W713,"Collection Email","1st Email Follow-up","2nd Email Follow-up","Escalation to Local Office","Escalation to CBE","Escalation to Roxanne")&amp;" sent "&amp;TEXT($X713,"dd-mmm")&amp;". "&amp;IF($W713=6,"Final escalation completed.",IF($T713="OVERDUE","Next: "&amp;$Z713&amp;" was due "&amp;TEXT($Y713,"dd-mmm")&amp;" - "&amp;(NETWORKDAYS($Y713,TODAY(),Holidays)-1)&amp;" business day(s) late. Send now.",IF($T713="DUE TOMORROW","Next: "&amp;$Z713&amp;IF($Y713&lt;=TODAY()," is due TODAY ("," is due next business day (")&amp;TEXT($Y713,"dd-mmm")&amp;").","Next: "&amp;$Z713&amp;" due "&amp;TEXT($Y713,"dd-mmm")&amp;" ("&amp;(NETWORKDAYS(TODAY(),$Y713,Holidays)-1)&amp;" business day(s) left).")))))</f>
        <v/>
      </c>
      <c r="V713" s="17">
        <f>IF($W713="","",CHOOSE($W713,"Collection Email","1st Follow-up","2nd Follow-up","Local Office","CBE","Roxanne")&amp;IF($W713=6," - Final"," - Day "&amp;MAX(0,NETWORKDAYS($X713,TODAY(),Holidays)-1)&amp;" of "&amp;CHOOSE($W713,3,3,2,2,3))&amp;" | Total Day "&amp;MAX(0,NETWORKDAYS($L713,TODAY(),Holidays)-1))</f>
        <v/>
      </c>
      <c r="W713" s="17">
        <f>IF($L713="","",COUNT($L713:$Q713))</f>
        <v/>
      </c>
      <c r="X713" s="18">
        <f>IF($W713="","",INT(INDEX($L713:$Q713,$W713)))</f>
        <v/>
      </c>
      <c r="Y713" s="18">
        <f>IF(OR($W713="",$W713=6),"",WORKDAY($X713,CHOOSE($W713,3,3,2,2,3),Holidays))</f>
        <v/>
      </c>
      <c r="Z713" s="17">
        <f>IF(OR($W713="",$W713=6),"",CHOOSE($W713,"1st Email Follow-up","2nd Email Follow-up","Escalate Local Office","Escalate to CBE","Escalate to Roxanne"))</f>
        <v/>
      </c>
    </row>
    <row r="714" spans="18:26">
      <c r="R714" s="15"/>
      <c r="S714" s="16"/>
      <c r="T714" s="17">
        <f>IF(AND(COUNTA($A714:$K714)=0,$L714=""),"",IF($S714="Paid","PAID",IF($S714="Closed","CLOSED",IF($W714="","",IF($W714=6,"ESCALATED TO ROXANNE",IF(TODAY()&gt;$Y714,"OVERDUE",IF($Y714&lt;=WORKDAY(TODAY(),1,Holidays),"DUE TOMORROW",IF($W714=4,"ESCALATED TO LOCAL OFFICE",IF($W714=5,"ESCALATED TO CBE",IF($X714=TODAY(),"EMAIL SENT","MONITORING"))))))))))</f>
        <v/>
      </c>
      <c r="U714" s="17">
        <f>IF($T714="",IF(AND(COUNTA($A714:$K714)&gt;0,$L714=""),"Awaiting Collection Email time stamp.",""),IF(OR($T714="PAID",$T714="CLOSED"),IF($T714="PAID","Account paid. Action completed.","Account closed. No further action required."),CHOOSE($W714,"Collection Email","1st Email Follow-up","2nd Email Follow-up","Escalation to Local Office","Escalation to CBE","Escalation to Roxanne")&amp;" sent "&amp;TEXT($X714,"dd-mmm")&amp;". "&amp;IF($W714=6,"Final escalation completed.",IF($T714="OVERDUE","Next: "&amp;$Z714&amp;" was due "&amp;TEXT($Y714,"dd-mmm")&amp;" - "&amp;(NETWORKDAYS($Y714,TODAY(),Holidays)-1)&amp;" business day(s) late. Send now.",IF($T714="DUE TOMORROW","Next: "&amp;$Z714&amp;IF($Y714&lt;=TODAY()," is due TODAY ("," is due next business day (")&amp;TEXT($Y714,"dd-mmm")&amp;").","Next: "&amp;$Z714&amp;" due "&amp;TEXT($Y714,"dd-mmm")&amp;" ("&amp;(NETWORKDAYS(TODAY(),$Y714,Holidays)-1)&amp;" business day(s) left).")))))</f>
        <v/>
      </c>
      <c r="V714" s="17">
        <f>IF($W714="","",CHOOSE($W714,"Collection Email","1st Follow-up","2nd Follow-up","Local Office","CBE","Roxanne")&amp;IF($W714=6," - Final"," - Day "&amp;MAX(0,NETWORKDAYS($X714,TODAY(),Holidays)-1)&amp;" of "&amp;CHOOSE($W714,3,3,2,2,3))&amp;" | Total Day "&amp;MAX(0,NETWORKDAYS($L714,TODAY(),Holidays)-1))</f>
        <v/>
      </c>
      <c r="W714" s="17">
        <f>IF($L714="","",COUNT($L714:$Q714))</f>
        <v/>
      </c>
      <c r="X714" s="18">
        <f>IF($W714="","",INT(INDEX($L714:$Q714,$W714)))</f>
        <v/>
      </c>
      <c r="Y714" s="18">
        <f>IF(OR($W714="",$W714=6),"",WORKDAY($X714,CHOOSE($W714,3,3,2,2,3),Holidays))</f>
        <v/>
      </c>
      <c r="Z714" s="17">
        <f>IF(OR($W714="",$W714=6),"",CHOOSE($W714,"1st Email Follow-up","2nd Email Follow-up","Escalate Local Office","Escalate to CBE","Escalate to Roxanne"))</f>
        <v/>
      </c>
    </row>
    <row r="715" spans="18:26">
      <c r="R715" s="15"/>
      <c r="S715" s="16"/>
      <c r="T715" s="17">
        <f>IF(AND(COUNTA($A715:$K715)=0,$L715=""),"",IF($S715="Paid","PAID",IF($S715="Closed","CLOSED",IF($W715="","",IF($W715=6,"ESCALATED TO ROXANNE",IF(TODAY()&gt;$Y715,"OVERDUE",IF($Y715&lt;=WORKDAY(TODAY(),1,Holidays),"DUE TOMORROW",IF($W715=4,"ESCALATED TO LOCAL OFFICE",IF($W715=5,"ESCALATED TO CBE",IF($X715=TODAY(),"EMAIL SENT","MONITORING"))))))))))</f>
        <v/>
      </c>
      <c r="U715" s="17">
        <f>IF($T715="",IF(AND(COUNTA($A715:$K715)&gt;0,$L715=""),"Awaiting Collection Email time stamp.",""),IF(OR($T715="PAID",$T715="CLOSED"),IF($T715="PAID","Account paid. Action completed.","Account closed. No further action required."),CHOOSE($W715,"Collection Email","1st Email Follow-up","2nd Email Follow-up","Escalation to Local Office","Escalation to CBE","Escalation to Roxanne")&amp;" sent "&amp;TEXT($X715,"dd-mmm")&amp;". "&amp;IF($W715=6,"Final escalation completed.",IF($T715="OVERDUE","Next: "&amp;$Z715&amp;" was due "&amp;TEXT($Y715,"dd-mmm")&amp;" - "&amp;(NETWORKDAYS($Y715,TODAY(),Holidays)-1)&amp;" business day(s) late. Send now.",IF($T715="DUE TOMORROW","Next: "&amp;$Z715&amp;IF($Y715&lt;=TODAY()," is due TODAY ("," is due next business day (")&amp;TEXT($Y715,"dd-mmm")&amp;").","Next: "&amp;$Z715&amp;" due "&amp;TEXT($Y715,"dd-mmm")&amp;" ("&amp;(NETWORKDAYS(TODAY(),$Y715,Holidays)-1)&amp;" business day(s) left).")))))</f>
        <v/>
      </c>
      <c r="V715" s="17">
        <f>IF($W715="","",CHOOSE($W715,"Collection Email","1st Follow-up","2nd Follow-up","Local Office","CBE","Roxanne")&amp;IF($W715=6," - Final"," - Day "&amp;MAX(0,NETWORKDAYS($X715,TODAY(),Holidays)-1)&amp;" of "&amp;CHOOSE($W715,3,3,2,2,3))&amp;" | Total Day "&amp;MAX(0,NETWORKDAYS($L715,TODAY(),Holidays)-1))</f>
        <v/>
      </c>
      <c r="W715" s="17">
        <f>IF($L715="","",COUNT($L715:$Q715))</f>
        <v/>
      </c>
      <c r="X715" s="18">
        <f>IF($W715="","",INT(INDEX($L715:$Q715,$W715)))</f>
        <v/>
      </c>
      <c r="Y715" s="18">
        <f>IF(OR($W715="",$W715=6),"",WORKDAY($X715,CHOOSE($W715,3,3,2,2,3),Holidays))</f>
        <v/>
      </c>
      <c r="Z715" s="17">
        <f>IF(OR($W715="",$W715=6),"",CHOOSE($W715,"1st Email Follow-up","2nd Email Follow-up","Escalate Local Office","Escalate to CBE","Escalate to Roxanne"))</f>
        <v/>
      </c>
    </row>
    <row r="716" spans="18:26">
      <c r="R716" s="15"/>
      <c r="S716" s="16"/>
      <c r="T716" s="17">
        <f>IF(AND(COUNTA($A716:$K716)=0,$L716=""),"",IF($S716="Paid","PAID",IF($S716="Closed","CLOSED",IF($W716="","",IF($W716=6,"ESCALATED TO ROXANNE",IF(TODAY()&gt;$Y716,"OVERDUE",IF($Y716&lt;=WORKDAY(TODAY(),1,Holidays),"DUE TOMORROW",IF($W716=4,"ESCALATED TO LOCAL OFFICE",IF($W716=5,"ESCALATED TO CBE",IF($X716=TODAY(),"EMAIL SENT","MONITORING"))))))))))</f>
        <v/>
      </c>
      <c r="U716" s="17">
        <f>IF($T716="",IF(AND(COUNTA($A716:$K716)&gt;0,$L716=""),"Awaiting Collection Email time stamp.",""),IF(OR($T716="PAID",$T716="CLOSED"),IF($T716="PAID","Account paid. Action completed.","Account closed. No further action required."),CHOOSE($W716,"Collection Email","1st Email Follow-up","2nd Email Follow-up","Escalation to Local Office","Escalation to CBE","Escalation to Roxanne")&amp;" sent "&amp;TEXT($X716,"dd-mmm")&amp;". "&amp;IF($W716=6,"Final escalation completed.",IF($T716="OVERDUE","Next: "&amp;$Z716&amp;" was due "&amp;TEXT($Y716,"dd-mmm")&amp;" - "&amp;(NETWORKDAYS($Y716,TODAY(),Holidays)-1)&amp;" business day(s) late. Send now.",IF($T716="DUE TOMORROW","Next: "&amp;$Z716&amp;IF($Y716&lt;=TODAY()," is due TODAY ("," is due next business day (")&amp;TEXT($Y716,"dd-mmm")&amp;").","Next: "&amp;$Z716&amp;" due "&amp;TEXT($Y716,"dd-mmm")&amp;" ("&amp;(NETWORKDAYS(TODAY(),$Y716,Holidays)-1)&amp;" business day(s) left).")))))</f>
        <v/>
      </c>
      <c r="V716" s="17">
        <f>IF($W716="","",CHOOSE($W716,"Collection Email","1st Follow-up","2nd Follow-up","Local Office","CBE","Roxanne")&amp;IF($W716=6," - Final"," - Day "&amp;MAX(0,NETWORKDAYS($X716,TODAY(),Holidays)-1)&amp;" of "&amp;CHOOSE($W716,3,3,2,2,3))&amp;" | Total Day "&amp;MAX(0,NETWORKDAYS($L716,TODAY(),Holidays)-1))</f>
        <v/>
      </c>
      <c r="W716" s="17">
        <f>IF($L716="","",COUNT($L716:$Q716))</f>
        <v/>
      </c>
      <c r="X716" s="18">
        <f>IF($W716="","",INT(INDEX($L716:$Q716,$W716)))</f>
        <v/>
      </c>
      <c r="Y716" s="18">
        <f>IF(OR($W716="",$W716=6),"",WORKDAY($X716,CHOOSE($W716,3,3,2,2,3),Holidays))</f>
        <v/>
      </c>
      <c r="Z716" s="17">
        <f>IF(OR($W716="",$W716=6),"",CHOOSE($W716,"1st Email Follow-up","2nd Email Follow-up","Escalate Local Office","Escalate to CBE","Escalate to Roxanne"))</f>
        <v/>
      </c>
    </row>
    <row r="717" spans="18:26">
      <c r="R717" s="15"/>
      <c r="S717" s="16"/>
      <c r="T717" s="17">
        <f>IF(AND(COUNTA($A717:$K717)=0,$L717=""),"",IF($S717="Paid","PAID",IF($S717="Closed","CLOSED",IF($W717="","",IF($W717=6,"ESCALATED TO ROXANNE",IF(TODAY()&gt;$Y717,"OVERDUE",IF($Y717&lt;=WORKDAY(TODAY(),1,Holidays),"DUE TOMORROW",IF($W717=4,"ESCALATED TO LOCAL OFFICE",IF($W717=5,"ESCALATED TO CBE",IF($X717=TODAY(),"EMAIL SENT","MONITORING"))))))))))</f>
        <v/>
      </c>
      <c r="U717" s="17">
        <f>IF($T717="",IF(AND(COUNTA($A717:$K717)&gt;0,$L717=""),"Awaiting Collection Email time stamp.",""),IF(OR($T717="PAID",$T717="CLOSED"),IF($T717="PAID","Account paid. Action completed.","Account closed. No further action required."),CHOOSE($W717,"Collection Email","1st Email Follow-up","2nd Email Follow-up","Escalation to Local Office","Escalation to CBE","Escalation to Roxanne")&amp;" sent "&amp;TEXT($X717,"dd-mmm")&amp;". "&amp;IF($W717=6,"Final escalation completed.",IF($T717="OVERDUE","Next: "&amp;$Z717&amp;" was due "&amp;TEXT($Y717,"dd-mmm")&amp;" - "&amp;(NETWORKDAYS($Y717,TODAY(),Holidays)-1)&amp;" business day(s) late. Send now.",IF($T717="DUE TOMORROW","Next: "&amp;$Z717&amp;IF($Y717&lt;=TODAY()," is due TODAY ("," is due next business day (")&amp;TEXT($Y717,"dd-mmm")&amp;").","Next: "&amp;$Z717&amp;" due "&amp;TEXT($Y717,"dd-mmm")&amp;" ("&amp;(NETWORKDAYS(TODAY(),$Y717,Holidays)-1)&amp;" business day(s) left).")))))</f>
        <v/>
      </c>
      <c r="V717" s="17">
        <f>IF($W717="","",CHOOSE($W717,"Collection Email","1st Follow-up","2nd Follow-up","Local Office","CBE","Roxanne")&amp;IF($W717=6," - Final"," - Day "&amp;MAX(0,NETWORKDAYS($X717,TODAY(),Holidays)-1)&amp;" of "&amp;CHOOSE($W717,3,3,2,2,3))&amp;" | Total Day "&amp;MAX(0,NETWORKDAYS($L717,TODAY(),Holidays)-1))</f>
        <v/>
      </c>
      <c r="W717" s="17">
        <f>IF($L717="","",COUNT($L717:$Q717))</f>
        <v/>
      </c>
      <c r="X717" s="18">
        <f>IF($W717="","",INT(INDEX($L717:$Q717,$W717)))</f>
        <v/>
      </c>
      <c r="Y717" s="18">
        <f>IF(OR($W717="",$W717=6),"",WORKDAY($X717,CHOOSE($W717,3,3,2,2,3),Holidays))</f>
        <v/>
      </c>
      <c r="Z717" s="17">
        <f>IF(OR($W717="",$W717=6),"",CHOOSE($W717,"1st Email Follow-up","2nd Email Follow-up","Escalate Local Office","Escalate to CBE","Escalate to Roxanne"))</f>
        <v/>
      </c>
    </row>
    <row r="718" spans="18:26">
      <c r="R718" s="15"/>
      <c r="S718" s="16"/>
      <c r="T718" s="17">
        <f>IF(AND(COUNTA($A718:$K718)=0,$L718=""),"",IF($S718="Paid","PAID",IF($S718="Closed","CLOSED",IF($W718="","",IF($W718=6,"ESCALATED TO ROXANNE",IF(TODAY()&gt;$Y718,"OVERDUE",IF($Y718&lt;=WORKDAY(TODAY(),1,Holidays),"DUE TOMORROW",IF($W718=4,"ESCALATED TO LOCAL OFFICE",IF($W718=5,"ESCALATED TO CBE",IF($X718=TODAY(),"EMAIL SENT","MONITORING"))))))))))</f>
        <v/>
      </c>
      <c r="U718" s="17">
        <f>IF($T718="",IF(AND(COUNTA($A718:$K718)&gt;0,$L718=""),"Awaiting Collection Email time stamp.",""),IF(OR($T718="PAID",$T718="CLOSED"),IF($T718="PAID","Account paid. Action completed.","Account closed. No further action required."),CHOOSE($W718,"Collection Email","1st Email Follow-up","2nd Email Follow-up","Escalation to Local Office","Escalation to CBE","Escalation to Roxanne")&amp;" sent "&amp;TEXT($X718,"dd-mmm")&amp;". "&amp;IF($W718=6,"Final escalation completed.",IF($T718="OVERDUE","Next: "&amp;$Z718&amp;" was due "&amp;TEXT($Y718,"dd-mmm")&amp;" - "&amp;(NETWORKDAYS($Y718,TODAY(),Holidays)-1)&amp;" business day(s) late. Send now.",IF($T718="DUE TOMORROW","Next: "&amp;$Z718&amp;IF($Y718&lt;=TODAY()," is due TODAY ("," is due next business day (")&amp;TEXT($Y718,"dd-mmm")&amp;").","Next: "&amp;$Z718&amp;" due "&amp;TEXT($Y718,"dd-mmm")&amp;" ("&amp;(NETWORKDAYS(TODAY(),$Y718,Holidays)-1)&amp;" business day(s) left).")))))</f>
        <v/>
      </c>
      <c r="V718" s="17">
        <f>IF($W718="","",CHOOSE($W718,"Collection Email","1st Follow-up","2nd Follow-up","Local Office","CBE","Roxanne")&amp;IF($W718=6," - Final"," - Day "&amp;MAX(0,NETWORKDAYS($X718,TODAY(),Holidays)-1)&amp;" of "&amp;CHOOSE($W718,3,3,2,2,3))&amp;" | Total Day "&amp;MAX(0,NETWORKDAYS($L718,TODAY(),Holidays)-1))</f>
        <v/>
      </c>
      <c r="W718" s="17">
        <f>IF($L718="","",COUNT($L718:$Q718))</f>
        <v/>
      </c>
      <c r="X718" s="18">
        <f>IF($W718="","",INT(INDEX($L718:$Q718,$W718)))</f>
        <v/>
      </c>
      <c r="Y718" s="18">
        <f>IF(OR($W718="",$W718=6),"",WORKDAY($X718,CHOOSE($W718,3,3,2,2,3),Holidays))</f>
        <v/>
      </c>
      <c r="Z718" s="17">
        <f>IF(OR($W718="",$W718=6),"",CHOOSE($W718,"1st Email Follow-up","2nd Email Follow-up","Escalate Local Office","Escalate to CBE","Escalate to Roxanne"))</f>
        <v/>
      </c>
    </row>
    <row r="719" spans="18:26">
      <c r="R719" s="15"/>
      <c r="S719" s="16"/>
      <c r="T719" s="17">
        <f>IF(AND(COUNTA($A719:$K719)=0,$L719=""),"",IF($S719="Paid","PAID",IF($S719="Closed","CLOSED",IF($W719="","",IF($W719=6,"ESCALATED TO ROXANNE",IF(TODAY()&gt;$Y719,"OVERDUE",IF($Y719&lt;=WORKDAY(TODAY(),1,Holidays),"DUE TOMORROW",IF($W719=4,"ESCALATED TO LOCAL OFFICE",IF($W719=5,"ESCALATED TO CBE",IF($X719=TODAY(),"EMAIL SENT","MONITORING"))))))))))</f>
        <v/>
      </c>
      <c r="U719" s="17">
        <f>IF($T719="",IF(AND(COUNTA($A719:$K719)&gt;0,$L719=""),"Awaiting Collection Email time stamp.",""),IF(OR($T719="PAID",$T719="CLOSED"),IF($T719="PAID","Account paid. Action completed.","Account closed. No further action required."),CHOOSE($W719,"Collection Email","1st Email Follow-up","2nd Email Follow-up","Escalation to Local Office","Escalation to CBE","Escalation to Roxanne")&amp;" sent "&amp;TEXT($X719,"dd-mmm")&amp;". "&amp;IF($W719=6,"Final escalation completed.",IF($T719="OVERDUE","Next: "&amp;$Z719&amp;" was due "&amp;TEXT($Y719,"dd-mmm")&amp;" - "&amp;(NETWORKDAYS($Y719,TODAY(),Holidays)-1)&amp;" business day(s) late. Send now.",IF($T719="DUE TOMORROW","Next: "&amp;$Z719&amp;IF($Y719&lt;=TODAY()," is due TODAY ("," is due next business day (")&amp;TEXT($Y719,"dd-mmm")&amp;").","Next: "&amp;$Z719&amp;" due "&amp;TEXT($Y719,"dd-mmm")&amp;" ("&amp;(NETWORKDAYS(TODAY(),$Y719,Holidays)-1)&amp;" business day(s) left).")))))</f>
        <v/>
      </c>
      <c r="V719" s="17">
        <f>IF($W719="","",CHOOSE($W719,"Collection Email","1st Follow-up","2nd Follow-up","Local Office","CBE","Roxanne")&amp;IF($W719=6," - Final"," - Day "&amp;MAX(0,NETWORKDAYS($X719,TODAY(),Holidays)-1)&amp;" of "&amp;CHOOSE($W719,3,3,2,2,3))&amp;" | Total Day "&amp;MAX(0,NETWORKDAYS($L719,TODAY(),Holidays)-1))</f>
        <v/>
      </c>
      <c r="W719" s="17">
        <f>IF($L719="","",COUNT($L719:$Q719))</f>
        <v/>
      </c>
      <c r="X719" s="18">
        <f>IF($W719="","",INT(INDEX($L719:$Q719,$W719)))</f>
        <v/>
      </c>
      <c r="Y719" s="18">
        <f>IF(OR($W719="",$W719=6),"",WORKDAY($X719,CHOOSE($W719,3,3,2,2,3),Holidays))</f>
        <v/>
      </c>
      <c r="Z719" s="17">
        <f>IF(OR($W719="",$W719=6),"",CHOOSE($W719,"1st Email Follow-up","2nd Email Follow-up","Escalate Local Office","Escalate to CBE","Escalate to Roxanne"))</f>
        <v/>
      </c>
    </row>
    <row r="720" spans="18:26">
      <c r="R720" s="15"/>
      <c r="S720" s="16"/>
      <c r="T720" s="17">
        <f>IF(AND(COUNTA($A720:$K720)=0,$L720=""),"",IF($S720="Paid","PAID",IF($S720="Closed","CLOSED",IF($W720="","",IF($W720=6,"ESCALATED TO ROXANNE",IF(TODAY()&gt;$Y720,"OVERDUE",IF($Y720&lt;=WORKDAY(TODAY(),1,Holidays),"DUE TOMORROW",IF($W720=4,"ESCALATED TO LOCAL OFFICE",IF($W720=5,"ESCALATED TO CBE",IF($X720=TODAY(),"EMAIL SENT","MONITORING"))))))))))</f>
        <v/>
      </c>
      <c r="U720" s="17">
        <f>IF($T720="",IF(AND(COUNTA($A720:$K720)&gt;0,$L720=""),"Awaiting Collection Email time stamp.",""),IF(OR($T720="PAID",$T720="CLOSED"),IF($T720="PAID","Account paid. Action completed.","Account closed. No further action required."),CHOOSE($W720,"Collection Email","1st Email Follow-up","2nd Email Follow-up","Escalation to Local Office","Escalation to CBE","Escalation to Roxanne")&amp;" sent "&amp;TEXT($X720,"dd-mmm")&amp;". "&amp;IF($W720=6,"Final escalation completed.",IF($T720="OVERDUE","Next: "&amp;$Z720&amp;" was due "&amp;TEXT($Y720,"dd-mmm")&amp;" - "&amp;(NETWORKDAYS($Y720,TODAY(),Holidays)-1)&amp;" business day(s) late. Send now.",IF($T720="DUE TOMORROW","Next: "&amp;$Z720&amp;IF($Y720&lt;=TODAY()," is due TODAY ("," is due next business day (")&amp;TEXT($Y720,"dd-mmm")&amp;").","Next: "&amp;$Z720&amp;" due "&amp;TEXT($Y720,"dd-mmm")&amp;" ("&amp;(NETWORKDAYS(TODAY(),$Y720,Holidays)-1)&amp;" business day(s) left).")))))</f>
        <v/>
      </c>
      <c r="V720" s="17">
        <f>IF($W720="","",CHOOSE($W720,"Collection Email","1st Follow-up","2nd Follow-up","Local Office","CBE","Roxanne")&amp;IF($W720=6," - Final"," - Day "&amp;MAX(0,NETWORKDAYS($X720,TODAY(),Holidays)-1)&amp;" of "&amp;CHOOSE($W720,3,3,2,2,3))&amp;" | Total Day "&amp;MAX(0,NETWORKDAYS($L720,TODAY(),Holidays)-1))</f>
        <v/>
      </c>
      <c r="W720" s="17">
        <f>IF($L720="","",COUNT($L720:$Q720))</f>
        <v/>
      </c>
      <c r="X720" s="18">
        <f>IF($W720="","",INT(INDEX($L720:$Q720,$W720)))</f>
        <v/>
      </c>
      <c r="Y720" s="18">
        <f>IF(OR($W720="",$W720=6),"",WORKDAY($X720,CHOOSE($W720,3,3,2,2,3),Holidays))</f>
        <v/>
      </c>
      <c r="Z720" s="17">
        <f>IF(OR($W720="",$W720=6),"",CHOOSE($W720,"1st Email Follow-up","2nd Email Follow-up","Escalate Local Office","Escalate to CBE","Escalate to Roxanne"))</f>
        <v/>
      </c>
    </row>
    <row r="721" spans="18:26">
      <c r="R721" s="15"/>
      <c r="S721" s="16"/>
      <c r="T721" s="17">
        <f>IF(AND(COUNTA($A721:$K721)=0,$L721=""),"",IF($S721="Paid","PAID",IF($S721="Closed","CLOSED",IF($W721="","",IF($W721=6,"ESCALATED TO ROXANNE",IF(TODAY()&gt;$Y721,"OVERDUE",IF($Y721&lt;=WORKDAY(TODAY(),1,Holidays),"DUE TOMORROW",IF($W721=4,"ESCALATED TO LOCAL OFFICE",IF($W721=5,"ESCALATED TO CBE",IF($X721=TODAY(),"EMAIL SENT","MONITORING"))))))))))</f>
        <v/>
      </c>
      <c r="U721" s="17">
        <f>IF($T721="",IF(AND(COUNTA($A721:$K721)&gt;0,$L721=""),"Awaiting Collection Email time stamp.",""),IF(OR($T721="PAID",$T721="CLOSED"),IF($T721="PAID","Account paid. Action completed.","Account closed. No further action required."),CHOOSE($W721,"Collection Email","1st Email Follow-up","2nd Email Follow-up","Escalation to Local Office","Escalation to CBE","Escalation to Roxanne")&amp;" sent "&amp;TEXT($X721,"dd-mmm")&amp;". "&amp;IF($W721=6,"Final escalation completed.",IF($T721="OVERDUE","Next: "&amp;$Z721&amp;" was due "&amp;TEXT($Y721,"dd-mmm")&amp;" - "&amp;(NETWORKDAYS($Y721,TODAY(),Holidays)-1)&amp;" business day(s) late. Send now.",IF($T721="DUE TOMORROW","Next: "&amp;$Z721&amp;IF($Y721&lt;=TODAY()," is due TODAY ("," is due next business day (")&amp;TEXT($Y721,"dd-mmm")&amp;").","Next: "&amp;$Z721&amp;" due "&amp;TEXT($Y721,"dd-mmm")&amp;" ("&amp;(NETWORKDAYS(TODAY(),$Y721,Holidays)-1)&amp;" business day(s) left).")))))</f>
        <v/>
      </c>
      <c r="V721" s="17">
        <f>IF($W721="","",CHOOSE($W721,"Collection Email","1st Follow-up","2nd Follow-up","Local Office","CBE","Roxanne")&amp;IF($W721=6," - Final"," - Day "&amp;MAX(0,NETWORKDAYS($X721,TODAY(),Holidays)-1)&amp;" of "&amp;CHOOSE($W721,3,3,2,2,3))&amp;" | Total Day "&amp;MAX(0,NETWORKDAYS($L721,TODAY(),Holidays)-1))</f>
        <v/>
      </c>
      <c r="W721" s="17">
        <f>IF($L721="","",COUNT($L721:$Q721))</f>
        <v/>
      </c>
      <c r="X721" s="18">
        <f>IF($W721="","",INT(INDEX($L721:$Q721,$W721)))</f>
        <v/>
      </c>
      <c r="Y721" s="18">
        <f>IF(OR($W721="",$W721=6),"",WORKDAY($X721,CHOOSE($W721,3,3,2,2,3),Holidays))</f>
        <v/>
      </c>
      <c r="Z721" s="17">
        <f>IF(OR($W721="",$W721=6),"",CHOOSE($W721,"1st Email Follow-up","2nd Email Follow-up","Escalate Local Office","Escalate to CBE","Escalate to Roxanne"))</f>
        <v/>
      </c>
    </row>
    <row r="722" spans="18:26">
      <c r="R722" s="15"/>
      <c r="S722" s="16"/>
      <c r="T722" s="17">
        <f>IF(AND(COUNTA($A722:$K722)=0,$L722=""),"",IF($S722="Paid","PAID",IF($S722="Closed","CLOSED",IF($W722="","",IF($W722=6,"ESCALATED TO ROXANNE",IF(TODAY()&gt;$Y722,"OVERDUE",IF($Y722&lt;=WORKDAY(TODAY(),1,Holidays),"DUE TOMORROW",IF($W722=4,"ESCALATED TO LOCAL OFFICE",IF($W722=5,"ESCALATED TO CBE",IF($X722=TODAY(),"EMAIL SENT","MONITORING"))))))))))</f>
        <v/>
      </c>
      <c r="U722" s="17">
        <f>IF($T722="",IF(AND(COUNTA($A722:$K722)&gt;0,$L722=""),"Awaiting Collection Email time stamp.",""),IF(OR($T722="PAID",$T722="CLOSED"),IF($T722="PAID","Account paid. Action completed.","Account closed. No further action required."),CHOOSE($W722,"Collection Email","1st Email Follow-up","2nd Email Follow-up","Escalation to Local Office","Escalation to CBE","Escalation to Roxanne")&amp;" sent "&amp;TEXT($X722,"dd-mmm")&amp;". "&amp;IF($W722=6,"Final escalation completed.",IF($T722="OVERDUE","Next: "&amp;$Z722&amp;" was due "&amp;TEXT($Y722,"dd-mmm")&amp;" - "&amp;(NETWORKDAYS($Y722,TODAY(),Holidays)-1)&amp;" business day(s) late. Send now.",IF($T722="DUE TOMORROW","Next: "&amp;$Z722&amp;IF($Y722&lt;=TODAY()," is due TODAY ("," is due next business day (")&amp;TEXT($Y722,"dd-mmm")&amp;").","Next: "&amp;$Z722&amp;" due "&amp;TEXT($Y722,"dd-mmm")&amp;" ("&amp;(NETWORKDAYS(TODAY(),$Y722,Holidays)-1)&amp;" business day(s) left).")))))</f>
        <v/>
      </c>
      <c r="V722" s="17">
        <f>IF($W722="","",CHOOSE($W722,"Collection Email","1st Follow-up","2nd Follow-up","Local Office","CBE","Roxanne")&amp;IF($W722=6," - Final"," - Day "&amp;MAX(0,NETWORKDAYS($X722,TODAY(),Holidays)-1)&amp;" of "&amp;CHOOSE($W722,3,3,2,2,3))&amp;" | Total Day "&amp;MAX(0,NETWORKDAYS($L722,TODAY(),Holidays)-1))</f>
        <v/>
      </c>
      <c r="W722" s="17">
        <f>IF($L722="","",COUNT($L722:$Q722))</f>
        <v/>
      </c>
      <c r="X722" s="18">
        <f>IF($W722="","",INT(INDEX($L722:$Q722,$W722)))</f>
        <v/>
      </c>
      <c r="Y722" s="18">
        <f>IF(OR($W722="",$W722=6),"",WORKDAY($X722,CHOOSE($W722,3,3,2,2,3),Holidays))</f>
        <v/>
      </c>
      <c r="Z722" s="17">
        <f>IF(OR($W722="",$W722=6),"",CHOOSE($W722,"1st Email Follow-up","2nd Email Follow-up","Escalate Local Office","Escalate to CBE","Escalate to Roxanne"))</f>
        <v/>
      </c>
    </row>
    <row r="723" spans="18:26">
      <c r="R723" s="15"/>
      <c r="S723" s="16"/>
      <c r="T723" s="17">
        <f>IF(AND(COUNTA($A723:$K723)=0,$L723=""),"",IF($S723="Paid","PAID",IF($S723="Closed","CLOSED",IF($W723="","",IF($W723=6,"ESCALATED TO ROXANNE",IF(TODAY()&gt;$Y723,"OVERDUE",IF($Y723&lt;=WORKDAY(TODAY(),1,Holidays),"DUE TOMORROW",IF($W723=4,"ESCALATED TO LOCAL OFFICE",IF($W723=5,"ESCALATED TO CBE",IF($X723=TODAY(),"EMAIL SENT","MONITORING"))))))))))</f>
        <v/>
      </c>
      <c r="U723" s="17">
        <f>IF($T723="",IF(AND(COUNTA($A723:$K723)&gt;0,$L723=""),"Awaiting Collection Email time stamp.",""),IF(OR($T723="PAID",$T723="CLOSED"),IF($T723="PAID","Account paid. Action completed.","Account closed. No further action required."),CHOOSE($W723,"Collection Email","1st Email Follow-up","2nd Email Follow-up","Escalation to Local Office","Escalation to CBE","Escalation to Roxanne")&amp;" sent "&amp;TEXT($X723,"dd-mmm")&amp;". "&amp;IF($W723=6,"Final escalation completed.",IF($T723="OVERDUE","Next: "&amp;$Z723&amp;" was due "&amp;TEXT($Y723,"dd-mmm")&amp;" - "&amp;(NETWORKDAYS($Y723,TODAY(),Holidays)-1)&amp;" business day(s) late. Send now.",IF($T723="DUE TOMORROW","Next: "&amp;$Z723&amp;IF($Y723&lt;=TODAY()," is due TODAY ("," is due next business day (")&amp;TEXT($Y723,"dd-mmm")&amp;").","Next: "&amp;$Z723&amp;" due "&amp;TEXT($Y723,"dd-mmm")&amp;" ("&amp;(NETWORKDAYS(TODAY(),$Y723,Holidays)-1)&amp;" business day(s) left).")))))</f>
        <v/>
      </c>
      <c r="V723" s="17">
        <f>IF($W723="","",CHOOSE($W723,"Collection Email","1st Follow-up","2nd Follow-up","Local Office","CBE","Roxanne")&amp;IF($W723=6," - Final"," - Day "&amp;MAX(0,NETWORKDAYS($X723,TODAY(),Holidays)-1)&amp;" of "&amp;CHOOSE($W723,3,3,2,2,3))&amp;" | Total Day "&amp;MAX(0,NETWORKDAYS($L723,TODAY(),Holidays)-1))</f>
        <v/>
      </c>
      <c r="W723" s="17">
        <f>IF($L723="","",COUNT($L723:$Q723))</f>
        <v/>
      </c>
      <c r="X723" s="18">
        <f>IF($W723="","",INT(INDEX($L723:$Q723,$W723)))</f>
        <v/>
      </c>
      <c r="Y723" s="18">
        <f>IF(OR($W723="",$W723=6),"",WORKDAY($X723,CHOOSE($W723,3,3,2,2,3),Holidays))</f>
        <v/>
      </c>
      <c r="Z723" s="17">
        <f>IF(OR($W723="",$W723=6),"",CHOOSE($W723,"1st Email Follow-up","2nd Email Follow-up","Escalate Local Office","Escalate to CBE","Escalate to Roxanne"))</f>
        <v/>
      </c>
    </row>
    <row r="724" spans="18:26">
      <c r="R724" s="15"/>
      <c r="S724" s="16"/>
      <c r="T724" s="17">
        <f>IF(AND(COUNTA($A724:$K724)=0,$L724=""),"",IF($S724="Paid","PAID",IF($S724="Closed","CLOSED",IF($W724="","",IF($W724=6,"ESCALATED TO ROXANNE",IF(TODAY()&gt;$Y724,"OVERDUE",IF($Y724&lt;=WORKDAY(TODAY(),1,Holidays),"DUE TOMORROW",IF($W724=4,"ESCALATED TO LOCAL OFFICE",IF($W724=5,"ESCALATED TO CBE",IF($X724=TODAY(),"EMAIL SENT","MONITORING"))))))))))</f>
        <v/>
      </c>
      <c r="U724" s="17">
        <f>IF($T724="",IF(AND(COUNTA($A724:$K724)&gt;0,$L724=""),"Awaiting Collection Email time stamp.",""),IF(OR($T724="PAID",$T724="CLOSED"),IF($T724="PAID","Account paid. Action completed.","Account closed. No further action required."),CHOOSE($W724,"Collection Email","1st Email Follow-up","2nd Email Follow-up","Escalation to Local Office","Escalation to CBE","Escalation to Roxanne")&amp;" sent "&amp;TEXT($X724,"dd-mmm")&amp;". "&amp;IF($W724=6,"Final escalation completed.",IF($T724="OVERDUE","Next: "&amp;$Z724&amp;" was due "&amp;TEXT($Y724,"dd-mmm")&amp;" - "&amp;(NETWORKDAYS($Y724,TODAY(),Holidays)-1)&amp;" business day(s) late. Send now.",IF($T724="DUE TOMORROW","Next: "&amp;$Z724&amp;IF($Y724&lt;=TODAY()," is due TODAY ("," is due next business day (")&amp;TEXT($Y724,"dd-mmm")&amp;").","Next: "&amp;$Z724&amp;" due "&amp;TEXT($Y724,"dd-mmm")&amp;" ("&amp;(NETWORKDAYS(TODAY(),$Y724,Holidays)-1)&amp;" business day(s) left).")))))</f>
        <v/>
      </c>
      <c r="V724" s="17">
        <f>IF($W724="","",CHOOSE($W724,"Collection Email","1st Follow-up","2nd Follow-up","Local Office","CBE","Roxanne")&amp;IF($W724=6," - Final"," - Day "&amp;MAX(0,NETWORKDAYS($X724,TODAY(),Holidays)-1)&amp;" of "&amp;CHOOSE($W724,3,3,2,2,3))&amp;" | Total Day "&amp;MAX(0,NETWORKDAYS($L724,TODAY(),Holidays)-1))</f>
        <v/>
      </c>
      <c r="W724" s="17">
        <f>IF($L724="","",COUNT($L724:$Q724))</f>
        <v/>
      </c>
      <c r="X724" s="18">
        <f>IF($W724="","",INT(INDEX($L724:$Q724,$W724)))</f>
        <v/>
      </c>
      <c r="Y724" s="18">
        <f>IF(OR($W724="",$W724=6),"",WORKDAY($X724,CHOOSE($W724,3,3,2,2,3),Holidays))</f>
        <v/>
      </c>
      <c r="Z724" s="17">
        <f>IF(OR($W724="",$W724=6),"",CHOOSE($W724,"1st Email Follow-up","2nd Email Follow-up","Escalate Local Office","Escalate to CBE","Escalate to Roxanne"))</f>
        <v/>
      </c>
    </row>
    <row r="725" spans="18:26">
      <c r="R725" s="15"/>
      <c r="S725" s="16"/>
      <c r="T725" s="17">
        <f>IF(AND(COUNTA($A725:$K725)=0,$L725=""),"",IF($S725="Paid","PAID",IF($S725="Closed","CLOSED",IF($W725="","",IF($W725=6,"ESCALATED TO ROXANNE",IF(TODAY()&gt;$Y725,"OVERDUE",IF($Y725&lt;=WORKDAY(TODAY(),1,Holidays),"DUE TOMORROW",IF($W725=4,"ESCALATED TO LOCAL OFFICE",IF($W725=5,"ESCALATED TO CBE",IF($X725=TODAY(),"EMAIL SENT","MONITORING"))))))))))</f>
        <v/>
      </c>
      <c r="U725" s="17">
        <f>IF($T725="",IF(AND(COUNTA($A725:$K725)&gt;0,$L725=""),"Awaiting Collection Email time stamp.",""),IF(OR($T725="PAID",$T725="CLOSED"),IF($T725="PAID","Account paid. Action completed.","Account closed. No further action required."),CHOOSE($W725,"Collection Email","1st Email Follow-up","2nd Email Follow-up","Escalation to Local Office","Escalation to CBE","Escalation to Roxanne")&amp;" sent "&amp;TEXT($X725,"dd-mmm")&amp;". "&amp;IF($W725=6,"Final escalation completed.",IF($T725="OVERDUE","Next: "&amp;$Z725&amp;" was due "&amp;TEXT($Y725,"dd-mmm")&amp;" - "&amp;(NETWORKDAYS($Y725,TODAY(),Holidays)-1)&amp;" business day(s) late. Send now.",IF($T725="DUE TOMORROW","Next: "&amp;$Z725&amp;IF($Y725&lt;=TODAY()," is due TODAY ("," is due next business day (")&amp;TEXT($Y725,"dd-mmm")&amp;").","Next: "&amp;$Z725&amp;" due "&amp;TEXT($Y725,"dd-mmm")&amp;" ("&amp;(NETWORKDAYS(TODAY(),$Y725,Holidays)-1)&amp;" business day(s) left).")))))</f>
        <v/>
      </c>
      <c r="V725" s="17">
        <f>IF($W725="","",CHOOSE($W725,"Collection Email","1st Follow-up","2nd Follow-up","Local Office","CBE","Roxanne")&amp;IF($W725=6," - Final"," - Day "&amp;MAX(0,NETWORKDAYS($X725,TODAY(),Holidays)-1)&amp;" of "&amp;CHOOSE($W725,3,3,2,2,3))&amp;" | Total Day "&amp;MAX(0,NETWORKDAYS($L725,TODAY(),Holidays)-1))</f>
        <v/>
      </c>
      <c r="W725" s="17">
        <f>IF($L725="","",COUNT($L725:$Q725))</f>
        <v/>
      </c>
      <c r="X725" s="18">
        <f>IF($W725="","",INT(INDEX($L725:$Q725,$W725)))</f>
        <v/>
      </c>
      <c r="Y725" s="18">
        <f>IF(OR($W725="",$W725=6),"",WORKDAY($X725,CHOOSE($W725,3,3,2,2,3),Holidays))</f>
        <v/>
      </c>
      <c r="Z725" s="17">
        <f>IF(OR($W725="",$W725=6),"",CHOOSE($W725,"1st Email Follow-up","2nd Email Follow-up","Escalate Local Office","Escalate to CBE","Escalate to Roxanne"))</f>
        <v/>
      </c>
    </row>
    <row r="726" spans="18:26">
      <c r="R726" s="15"/>
      <c r="S726" s="16"/>
      <c r="T726" s="17">
        <f>IF(AND(COUNTA($A726:$K726)=0,$L726=""),"",IF($S726="Paid","PAID",IF($S726="Closed","CLOSED",IF($W726="","",IF($W726=6,"ESCALATED TO ROXANNE",IF(TODAY()&gt;$Y726,"OVERDUE",IF($Y726&lt;=WORKDAY(TODAY(),1,Holidays),"DUE TOMORROW",IF($W726=4,"ESCALATED TO LOCAL OFFICE",IF($W726=5,"ESCALATED TO CBE",IF($X726=TODAY(),"EMAIL SENT","MONITORING"))))))))))</f>
        <v/>
      </c>
      <c r="U726" s="17">
        <f>IF($T726="",IF(AND(COUNTA($A726:$K726)&gt;0,$L726=""),"Awaiting Collection Email time stamp.",""),IF(OR($T726="PAID",$T726="CLOSED"),IF($T726="PAID","Account paid. Action completed.","Account closed. No further action required."),CHOOSE($W726,"Collection Email","1st Email Follow-up","2nd Email Follow-up","Escalation to Local Office","Escalation to CBE","Escalation to Roxanne")&amp;" sent "&amp;TEXT($X726,"dd-mmm")&amp;". "&amp;IF($W726=6,"Final escalation completed.",IF($T726="OVERDUE","Next: "&amp;$Z726&amp;" was due "&amp;TEXT($Y726,"dd-mmm")&amp;" - "&amp;(NETWORKDAYS($Y726,TODAY(),Holidays)-1)&amp;" business day(s) late. Send now.",IF($T726="DUE TOMORROW","Next: "&amp;$Z726&amp;IF($Y726&lt;=TODAY()," is due TODAY ("," is due next business day (")&amp;TEXT($Y726,"dd-mmm")&amp;").","Next: "&amp;$Z726&amp;" due "&amp;TEXT($Y726,"dd-mmm")&amp;" ("&amp;(NETWORKDAYS(TODAY(),$Y726,Holidays)-1)&amp;" business day(s) left).")))))</f>
        <v/>
      </c>
      <c r="V726" s="17">
        <f>IF($W726="","",CHOOSE($W726,"Collection Email","1st Follow-up","2nd Follow-up","Local Office","CBE","Roxanne")&amp;IF($W726=6," - Final"," - Day "&amp;MAX(0,NETWORKDAYS($X726,TODAY(),Holidays)-1)&amp;" of "&amp;CHOOSE($W726,3,3,2,2,3))&amp;" | Total Day "&amp;MAX(0,NETWORKDAYS($L726,TODAY(),Holidays)-1))</f>
        <v/>
      </c>
      <c r="W726" s="17">
        <f>IF($L726="","",COUNT($L726:$Q726))</f>
        <v/>
      </c>
      <c r="X726" s="18">
        <f>IF($W726="","",INT(INDEX($L726:$Q726,$W726)))</f>
        <v/>
      </c>
      <c r="Y726" s="18">
        <f>IF(OR($W726="",$W726=6),"",WORKDAY($X726,CHOOSE($W726,3,3,2,2,3),Holidays))</f>
        <v/>
      </c>
      <c r="Z726" s="17">
        <f>IF(OR($W726="",$W726=6),"",CHOOSE($W726,"1st Email Follow-up","2nd Email Follow-up","Escalate Local Office","Escalate to CBE","Escalate to Roxanne"))</f>
        <v/>
      </c>
    </row>
    <row r="727" spans="18:26">
      <c r="R727" s="15"/>
      <c r="S727" s="16"/>
      <c r="T727" s="17">
        <f>IF(AND(COUNTA($A727:$K727)=0,$L727=""),"",IF($S727="Paid","PAID",IF($S727="Closed","CLOSED",IF($W727="","",IF($W727=6,"ESCALATED TO ROXANNE",IF(TODAY()&gt;$Y727,"OVERDUE",IF($Y727&lt;=WORKDAY(TODAY(),1,Holidays),"DUE TOMORROW",IF($W727=4,"ESCALATED TO LOCAL OFFICE",IF($W727=5,"ESCALATED TO CBE",IF($X727=TODAY(),"EMAIL SENT","MONITORING"))))))))))</f>
        <v/>
      </c>
      <c r="U727" s="17">
        <f>IF($T727="",IF(AND(COUNTA($A727:$K727)&gt;0,$L727=""),"Awaiting Collection Email time stamp.",""),IF(OR($T727="PAID",$T727="CLOSED"),IF($T727="PAID","Account paid. Action completed.","Account closed. No further action required."),CHOOSE($W727,"Collection Email","1st Email Follow-up","2nd Email Follow-up","Escalation to Local Office","Escalation to CBE","Escalation to Roxanne")&amp;" sent "&amp;TEXT($X727,"dd-mmm")&amp;". "&amp;IF($W727=6,"Final escalation completed.",IF($T727="OVERDUE","Next: "&amp;$Z727&amp;" was due "&amp;TEXT($Y727,"dd-mmm")&amp;" - "&amp;(NETWORKDAYS($Y727,TODAY(),Holidays)-1)&amp;" business day(s) late. Send now.",IF($T727="DUE TOMORROW","Next: "&amp;$Z727&amp;IF($Y727&lt;=TODAY()," is due TODAY ("," is due next business day (")&amp;TEXT($Y727,"dd-mmm")&amp;").","Next: "&amp;$Z727&amp;" due "&amp;TEXT($Y727,"dd-mmm")&amp;" ("&amp;(NETWORKDAYS(TODAY(),$Y727,Holidays)-1)&amp;" business day(s) left).")))))</f>
        <v/>
      </c>
      <c r="V727" s="17">
        <f>IF($W727="","",CHOOSE($W727,"Collection Email","1st Follow-up","2nd Follow-up","Local Office","CBE","Roxanne")&amp;IF($W727=6," - Final"," - Day "&amp;MAX(0,NETWORKDAYS($X727,TODAY(),Holidays)-1)&amp;" of "&amp;CHOOSE($W727,3,3,2,2,3))&amp;" | Total Day "&amp;MAX(0,NETWORKDAYS($L727,TODAY(),Holidays)-1))</f>
        <v/>
      </c>
      <c r="W727" s="17">
        <f>IF($L727="","",COUNT($L727:$Q727))</f>
        <v/>
      </c>
      <c r="X727" s="18">
        <f>IF($W727="","",INT(INDEX($L727:$Q727,$W727)))</f>
        <v/>
      </c>
      <c r="Y727" s="18">
        <f>IF(OR($W727="",$W727=6),"",WORKDAY($X727,CHOOSE($W727,3,3,2,2,3),Holidays))</f>
        <v/>
      </c>
      <c r="Z727" s="17">
        <f>IF(OR($W727="",$W727=6),"",CHOOSE($W727,"1st Email Follow-up","2nd Email Follow-up","Escalate Local Office","Escalate to CBE","Escalate to Roxanne"))</f>
        <v/>
      </c>
    </row>
    <row r="728" spans="18:26">
      <c r="R728" s="15"/>
      <c r="S728" s="16"/>
      <c r="T728" s="17">
        <f>IF(AND(COUNTA($A728:$K728)=0,$L728=""),"",IF($S728="Paid","PAID",IF($S728="Closed","CLOSED",IF($W728="","",IF($W728=6,"ESCALATED TO ROXANNE",IF(TODAY()&gt;$Y728,"OVERDUE",IF($Y728&lt;=WORKDAY(TODAY(),1,Holidays),"DUE TOMORROW",IF($W728=4,"ESCALATED TO LOCAL OFFICE",IF($W728=5,"ESCALATED TO CBE",IF($X728=TODAY(),"EMAIL SENT","MONITORING"))))))))))</f>
        <v/>
      </c>
      <c r="U728" s="17">
        <f>IF($T728="",IF(AND(COUNTA($A728:$K728)&gt;0,$L728=""),"Awaiting Collection Email time stamp.",""),IF(OR($T728="PAID",$T728="CLOSED"),IF($T728="PAID","Account paid. Action completed.","Account closed. No further action required."),CHOOSE($W728,"Collection Email","1st Email Follow-up","2nd Email Follow-up","Escalation to Local Office","Escalation to CBE","Escalation to Roxanne")&amp;" sent "&amp;TEXT($X728,"dd-mmm")&amp;". "&amp;IF($W728=6,"Final escalation completed.",IF($T728="OVERDUE","Next: "&amp;$Z728&amp;" was due "&amp;TEXT($Y728,"dd-mmm")&amp;" - "&amp;(NETWORKDAYS($Y728,TODAY(),Holidays)-1)&amp;" business day(s) late. Send now.",IF($T728="DUE TOMORROW","Next: "&amp;$Z728&amp;IF($Y728&lt;=TODAY()," is due TODAY ("," is due next business day (")&amp;TEXT($Y728,"dd-mmm")&amp;").","Next: "&amp;$Z728&amp;" due "&amp;TEXT($Y728,"dd-mmm")&amp;" ("&amp;(NETWORKDAYS(TODAY(),$Y728,Holidays)-1)&amp;" business day(s) left).")))))</f>
        <v/>
      </c>
      <c r="V728" s="17">
        <f>IF($W728="","",CHOOSE($W728,"Collection Email","1st Follow-up","2nd Follow-up","Local Office","CBE","Roxanne")&amp;IF($W728=6," - Final"," - Day "&amp;MAX(0,NETWORKDAYS($X728,TODAY(),Holidays)-1)&amp;" of "&amp;CHOOSE($W728,3,3,2,2,3))&amp;" | Total Day "&amp;MAX(0,NETWORKDAYS($L728,TODAY(),Holidays)-1))</f>
        <v/>
      </c>
      <c r="W728" s="17">
        <f>IF($L728="","",COUNT($L728:$Q728))</f>
        <v/>
      </c>
      <c r="X728" s="18">
        <f>IF($W728="","",INT(INDEX($L728:$Q728,$W728)))</f>
        <v/>
      </c>
      <c r="Y728" s="18">
        <f>IF(OR($W728="",$W728=6),"",WORKDAY($X728,CHOOSE($W728,3,3,2,2,3),Holidays))</f>
        <v/>
      </c>
      <c r="Z728" s="17">
        <f>IF(OR($W728="",$W728=6),"",CHOOSE($W728,"1st Email Follow-up","2nd Email Follow-up","Escalate Local Office","Escalate to CBE","Escalate to Roxanne"))</f>
        <v/>
      </c>
    </row>
    <row r="729" spans="18:26">
      <c r="R729" s="15"/>
      <c r="S729" s="16"/>
      <c r="T729" s="17">
        <f>IF(AND(COUNTA($A729:$K729)=0,$L729=""),"",IF($S729="Paid","PAID",IF($S729="Closed","CLOSED",IF($W729="","",IF($W729=6,"ESCALATED TO ROXANNE",IF(TODAY()&gt;$Y729,"OVERDUE",IF($Y729&lt;=WORKDAY(TODAY(),1,Holidays),"DUE TOMORROW",IF($W729=4,"ESCALATED TO LOCAL OFFICE",IF($W729=5,"ESCALATED TO CBE",IF($X729=TODAY(),"EMAIL SENT","MONITORING"))))))))))</f>
        <v/>
      </c>
      <c r="U729" s="17">
        <f>IF($T729="",IF(AND(COUNTA($A729:$K729)&gt;0,$L729=""),"Awaiting Collection Email time stamp.",""),IF(OR($T729="PAID",$T729="CLOSED"),IF($T729="PAID","Account paid. Action completed.","Account closed. No further action required."),CHOOSE($W729,"Collection Email","1st Email Follow-up","2nd Email Follow-up","Escalation to Local Office","Escalation to CBE","Escalation to Roxanne")&amp;" sent "&amp;TEXT($X729,"dd-mmm")&amp;". "&amp;IF($W729=6,"Final escalation completed.",IF($T729="OVERDUE","Next: "&amp;$Z729&amp;" was due "&amp;TEXT($Y729,"dd-mmm")&amp;" - "&amp;(NETWORKDAYS($Y729,TODAY(),Holidays)-1)&amp;" business day(s) late. Send now.",IF($T729="DUE TOMORROW","Next: "&amp;$Z729&amp;IF($Y729&lt;=TODAY()," is due TODAY ("," is due next business day (")&amp;TEXT($Y729,"dd-mmm")&amp;").","Next: "&amp;$Z729&amp;" due "&amp;TEXT($Y729,"dd-mmm")&amp;" ("&amp;(NETWORKDAYS(TODAY(),$Y729,Holidays)-1)&amp;" business day(s) left).")))))</f>
        <v/>
      </c>
      <c r="V729" s="17">
        <f>IF($W729="","",CHOOSE($W729,"Collection Email","1st Follow-up","2nd Follow-up","Local Office","CBE","Roxanne")&amp;IF($W729=6," - Final"," - Day "&amp;MAX(0,NETWORKDAYS($X729,TODAY(),Holidays)-1)&amp;" of "&amp;CHOOSE($W729,3,3,2,2,3))&amp;" | Total Day "&amp;MAX(0,NETWORKDAYS($L729,TODAY(),Holidays)-1))</f>
        <v/>
      </c>
      <c r="W729" s="17">
        <f>IF($L729="","",COUNT($L729:$Q729))</f>
        <v/>
      </c>
      <c r="X729" s="18">
        <f>IF($W729="","",INT(INDEX($L729:$Q729,$W729)))</f>
        <v/>
      </c>
      <c r="Y729" s="18">
        <f>IF(OR($W729="",$W729=6),"",WORKDAY($X729,CHOOSE($W729,3,3,2,2,3),Holidays))</f>
        <v/>
      </c>
      <c r="Z729" s="17">
        <f>IF(OR($W729="",$W729=6),"",CHOOSE($W729,"1st Email Follow-up","2nd Email Follow-up","Escalate Local Office","Escalate to CBE","Escalate to Roxanne"))</f>
        <v/>
      </c>
    </row>
    <row r="730" spans="18:26">
      <c r="R730" s="15"/>
      <c r="S730" s="16"/>
      <c r="T730" s="17">
        <f>IF(AND(COUNTA($A730:$K730)=0,$L730=""),"",IF($S730="Paid","PAID",IF($S730="Closed","CLOSED",IF($W730="","",IF($W730=6,"ESCALATED TO ROXANNE",IF(TODAY()&gt;$Y730,"OVERDUE",IF($Y730&lt;=WORKDAY(TODAY(),1,Holidays),"DUE TOMORROW",IF($W730=4,"ESCALATED TO LOCAL OFFICE",IF($W730=5,"ESCALATED TO CBE",IF($X730=TODAY(),"EMAIL SENT","MONITORING"))))))))))</f>
        <v/>
      </c>
      <c r="U730" s="17">
        <f>IF($T730="",IF(AND(COUNTA($A730:$K730)&gt;0,$L730=""),"Awaiting Collection Email time stamp.",""),IF(OR($T730="PAID",$T730="CLOSED"),IF($T730="PAID","Account paid. Action completed.","Account closed. No further action required."),CHOOSE($W730,"Collection Email","1st Email Follow-up","2nd Email Follow-up","Escalation to Local Office","Escalation to CBE","Escalation to Roxanne")&amp;" sent "&amp;TEXT($X730,"dd-mmm")&amp;". "&amp;IF($W730=6,"Final escalation completed.",IF($T730="OVERDUE","Next: "&amp;$Z730&amp;" was due "&amp;TEXT($Y730,"dd-mmm")&amp;" - "&amp;(NETWORKDAYS($Y730,TODAY(),Holidays)-1)&amp;" business day(s) late. Send now.",IF($T730="DUE TOMORROW","Next: "&amp;$Z730&amp;IF($Y730&lt;=TODAY()," is due TODAY ("," is due next business day (")&amp;TEXT($Y730,"dd-mmm")&amp;").","Next: "&amp;$Z730&amp;" due "&amp;TEXT($Y730,"dd-mmm")&amp;" ("&amp;(NETWORKDAYS(TODAY(),$Y730,Holidays)-1)&amp;" business day(s) left).")))))</f>
        <v/>
      </c>
      <c r="V730" s="17">
        <f>IF($W730="","",CHOOSE($W730,"Collection Email","1st Follow-up","2nd Follow-up","Local Office","CBE","Roxanne")&amp;IF($W730=6," - Final"," - Day "&amp;MAX(0,NETWORKDAYS($X730,TODAY(),Holidays)-1)&amp;" of "&amp;CHOOSE($W730,3,3,2,2,3))&amp;" | Total Day "&amp;MAX(0,NETWORKDAYS($L730,TODAY(),Holidays)-1))</f>
        <v/>
      </c>
      <c r="W730" s="17">
        <f>IF($L730="","",COUNT($L730:$Q730))</f>
        <v/>
      </c>
      <c r="X730" s="18">
        <f>IF($W730="","",INT(INDEX($L730:$Q730,$W730)))</f>
        <v/>
      </c>
      <c r="Y730" s="18">
        <f>IF(OR($W730="",$W730=6),"",WORKDAY($X730,CHOOSE($W730,3,3,2,2,3),Holidays))</f>
        <v/>
      </c>
      <c r="Z730" s="17">
        <f>IF(OR($W730="",$W730=6),"",CHOOSE($W730,"1st Email Follow-up","2nd Email Follow-up","Escalate Local Office","Escalate to CBE","Escalate to Roxanne"))</f>
        <v/>
      </c>
    </row>
    <row r="731" spans="18:26">
      <c r="R731" s="15"/>
      <c r="S731" s="16"/>
      <c r="T731" s="17">
        <f>IF(AND(COUNTA($A731:$K731)=0,$L731=""),"",IF($S731="Paid","PAID",IF($S731="Closed","CLOSED",IF($W731="","",IF($W731=6,"ESCALATED TO ROXANNE",IF(TODAY()&gt;$Y731,"OVERDUE",IF($Y731&lt;=WORKDAY(TODAY(),1,Holidays),"DUE TOMORROW",IF($W731=4,"ESCALATED TO LOCAL OFFICE",IF($W731=5,"ESCALATED TO CBE",IF($X731=TODAY(),"EMAIL SENT","MONITORING"))))))))))</f>
        <v/>
      </c>
      <c r="U731" s="17">
        <f>IF($T731="",IF(AND(COUNTA($A731:$K731)&gt;0,$L731=""),"Awaiting Collection Email time stamp.",""),IF(OR($T731="PAID",$T731="CLOSED"),IF($T731="PAID","Account paid. Action completed.","Account closed. No further action required."),CHOOSE($W731,"Collection Email","1st Email Follow-up","2nd Email Follow-up","Escalation to Local Office","Escalation to CBE","Escalation to Roxanne")&amp;" sent "&amp;TEXT($X731,"dd-mmm")&amp;". "&amp;IF($W731=6,"Final escalation completed.",IF($T731="OVERDUE","Next: "&amp;$Z731&amp;" was due "&amp;TEXT($Y731,"dd-mmm")&amp;" - "&amp;(NETWORKDAYS($Y731,TODAY(),Holidays)-1)&amp;" business day(s) late. Send now.",IF($T731="DUE TOMORROW","Next: "&amp;$Z731&amp;IF($Y731&lt;=TODAY()," is due TODAY ("," is due next business day (")&amp;TEXT($Y731,"dd-mmm")&amp;").","Next: "&amp;$Z731&amp;" due "&amp;TEXT($Y731,"dd-mmm")&amp;" ("&amp;(NETWORKDAYS(TODAY(),$Y731,Holidays)-1)&amp;" business day(s) left).")))))</f>
        <v/>
      </c>
      <c r="V731" s="17">
        <f>IF($W731="","",CHOOSE($W731,"Collection Email","1st Follow-up","2nd Follow-up","Local Office","CBE","Roxanne")&amp;IF($W731=6," - Final"," - Day "&amp;MAX(0,NETWORKDAYS($X731,TODAY(),Holidays)-1)&amp;" of "&amp;CHOOSE($W731,3,3,2,2,3))&amp;" | Total Day "&amp;MAX(0,NETWORKDAYS($L731,TODAY(),Holidays)-1))</f>
        <v/>
      </c>
      <c r="W731" s="17">
        <f>IF($L731="","",COUNT($L731:$Q731))</f>
        <v/>
      </c>
      <c r="X731" s="18">
        <f>IF($W731="","",INT(INDEX($L731:$Q731,$W731)))</f>
        <v/>
      </c>
      <c r="Y731" s="18">
        <f>IF(OR($W731="",$W731=6),"",WORKDAY($X731,CHOOSE($W731,3,3,2,2,3),Holidays))</f>
        <v/>
      </c>
      <c r="Z731" s="17">
        <f>IF(OR($W731="",$W731=6),"",CHOOSE($W731,"1st Email Follow-up","2nd Email Follow-up","Escalate Local Office","Escalate to CBE","Escalate to Roxanne"))</f>
        <v/>
      </c>
    </row>
    <row r="732" spans="18:26">
      <c r="R732" s="15"/>
      <c r="S732" s="16"/>
      <c r="T732" s="17">
        <f>IF(AND(COUNTA($A732:$K732)=0,$L732=""),"",IF($S732="Paid","PAID",IF($S732="Closed","CLOSED",IF($W732="","",IF($W732=6,"ESCALATED TO ROXANNE",IF(TODAY()&gt;$Y732,"OVERDUE",IF($Y732&lt;=WORKDAY(TODAY(),1,Holidays),"DUE TOMORROW",IF($W732=4,"ESCALATED TO LOCAL OFFICE",IF($W732=5,"ESCALATED TO CBE",IF($X732=TODAY(),"EMAIL SENT","MONITORING"))))))))))</f>
        <v/>
      </c>
      <c r="U732" s="17">
        <f>IF($T732="",IF(AND(COUNTA($A732:$K732)&gt;0,$L732=""),"Awaiting Collection Email time stamp.",""),IF(OR($T732="PAID",$T732="CLOSED"),IF($T732="PAID","Account paid. Action completed.","Account closed. No further action required."),CHOOSE($W732,"Collection Email","1st Email Follow-up","2nd Email Follow-up","Escalation to Local Office","Escalation to CBE","Escalation to Roxanne")&amp;" sent "&amp;TEXT($X732,"dd-mmm")&amp;". "&amp;IF($W732=6,"Final escalation completed.",IF($T732="OVERDUE","Next: "&amp;$Z732&amp;" was due "&amp;TEXT($Y732,"dd-mmm")&amp;" - "&amp;(NETWORKDAYS($Y732,TODAY(),Holidays)-1)&amp;" business day(s) late. Send now.",IF($T732="DUE TOMORROW","Next: "&amp;$Z732&amp;IF($Y732&lt;=TODAY()," is due TODAY ("," is due next business day (")&amp;TEXT($Y732,"dd-mmm")&amp;").","Next: "&amp;$Z732&amp;" due "&amp;TEXT($Y732,"dd-mmm")&amp;" ("&amp;(NETWORKDAYS(TODAY(),$Y732,Holidays)-1)&amp;" business day(s) left).")))))</f>
        <v/>
      </c>
      <c r="V732" s="17">
        <f>IF($W732="","",CHOOSE($W732,"Collection Email","1st Follow-up","2nd Follow-up","Local Office","CBE","Roxanne")&amp;IF($W732=6," - Final"," - Day "&amp;MAX(0,NETWORKDAYS($X732,TODAY(),Holidays)-1)&amp;" of "&amp;CHOOSE($W732,3,3,2,2,3))&amp;" | Total Day "&amp;MAX(0,NETWORKDAYS($L732,TODAY(),Holidays)-1))</f>
        <v/>
      </c>
      <c r="W732" s="17">
        <f>IF($L732="","",COUNT($L732:$Q732))</f>
        <v/>
      </c>
      <c r="X732" s="18">
        <f>IF($W732="","",INT(INDEX($L732:$Q732,$W732)))</f>
        <v/>
      </c>
      <c r="Y732" s="18">
        <f>IF(OR($W732="",$W732=6),"",WORKDAY($X732,CHOOSE($W732,3,3,2,2,3),Holidays))</f>
        <v/>
      </c>
      <c r="Z732" s="17">
        <f>IF(OR($W732="",$W732=6),"",CHOOSE($W732,"1st Email Follow-up","2nd Email Follow-up","Escalate Local Office","Escalate to CBE","Escalate to Roxanne"))</f>
        <v/>
      </c>
    </row>
    <row r="733" spans="18:26">
      <c r="R733" s="15"/>
      <c r="S733" s="16"/>
      <c r="T733" s="17">
        <f>IF(AND(COUNTA($A733:$K733)=0,$L733=""),"",IF($S733="Paid","PAID",IF($S733="Closed","CLOSED",IF($W733="","",IF($W733=6,"ESCALATED TO ROXANNE",IF(TODAY()&gt;$Y733,"OVERDUE",IF($Y733&lt;=WORKDAY(TODAY(),1,Holidays),"DUE TOMORROW",IF($W733=4,"ESCALATED TO LOCAL OFFICE",IF($W733=5,"ESCALATED TO CBE",IF($X733=TODAY(),"EMAIL SENT","MONITORING"))))))))))</f>
        <v/>
      </c>
      <c r="U733" s="17">
        <f>IF($T733="",IF(AND(COUNTA($A733:$K733)&gt;0,$L733=""),"Awaiting Collection Email time stamp.",""),IF(OR($T733="PAID",$T733="CLOSED"),IF($T733="PAID","Account paid. Action completed.","Account closed. No further action required."),CHOOSE($W733,"Collection Email","1st Email Follow-up","2nd Email Follow-up","Escalation to Local Office","Escalation to CBE","Escalation to Roxanne")&amp;" sent "&amp;TEXT($X733,"dd-mmm")&amp;". "&amp;IF($W733=6,"Final escalation completed.",IF($T733="OVERDUE","Next: "&amp;$Z733&amp;" was due "&amp;TEXT($Y733,"dd-mmm")&amp;" - "&amp;(NETWORKDAYS($Y733,TODAY(),Holidays)-1)&amp;" business day(s) late. Send now.",IF($T733="DUE TOMORROW","Next: "&amp;$Z733&amp;IF($Y733&lt;=TODAY()," is due TODAY ("," is due next business day (")&amp;TEXT($Y733,"dd-mmm")&amp;").","Next: "&amp;$Z733&amp;" due "&amp;TEXT($Y733,"dd-mmm")&amp;" ("&amp;(NETWORKDAYS(TODAY(),$Y733,Holidays)-1)&amp;" business day(s) left).")))))</f>
        <v/>
      </c>
      <c r="V733" s="17">
        <f>IF($W733="","",CHOOSE($W733,"Collection Email","1st Follow-up","2nd Follow-up","Local Office","CBE","Roxanne")&amp;IF($W733=6," - Final"," - Day "&amp;MAX(0,NETWORKDAYS($X733,TODAY(),Holidays)-1)&amp;" of "&amp;CHOOSE($W733,3,3,2,2,3))&amp;" | Total Day "&amp;MAX(0,NETWORKDAYS($L733,TODAY(),Holidays)-1))</f>
        <v/>
      </c>
      <c r="W733" s="17">
        <f>IF($L733="","",COUNT($L733:$Q733))</f>
        <v/>
      </c>
      <c r="X733" s="18">
        <f>IF($W733="","",INT(INDEX($L733:$Q733,$W733)))</f>
        <v/>
      </c>
      <c r="Y733" s="18">
        <f>IF(OR($W733="",$W733=6),"",WORKDAY($X733,CHOOSE($W733,3,3,2,2,3),Holidays))</f>
        <v/>
      </c>
      <c r="Z733" s="17">
        <f>IF(OR($W733="",$W733=6),"",CHOOSE($W733,"1st Email Follow-up","2nd Email Follow-up","Escalate Local Office","Escalate to CBE","Escalate to Roxanne"))</f>
        <v/>
      </c>
    </row>
    <row r="734" spans="18:26">
      <c r="R734" s="15"/>
      <c r="S734" s="16"/>
      <c r="T734" s="17">
        <f>IF(AND(COUNTA($A734:$K734)=0,$L734=""),"",IF($S734="Paid","PAID",IF($S734="Closed","CLOSED",IF($W734="","",IF($W734=6,"ESCALATED TO ROXANNE",IF(TODAY()&gt;$Y734,"OVERDUE",IF($Y734&lt;=WORKDAY(TODAY(),1,Holidays),"DUE TOMORROW",IF($W734=4,"ESCALATED TO LOCAL OFFICE",IF($W734=5,"ESCALATED TO CBE",IF($X734=TODAY(),"EMAIL SENT","MONITORING"))))))))))</f>
        <v/>
      </c>
      <c r="U734" s="17">
        <f>IF($T734="",IF(AND(COUNTA($A734:$K734)&gt;0,$L734=""),"Awaiting Collection Email time stamp.",""),IF(OR($T734="PAID",$T734="CLOSED"),IF($T734="PAID","Account paid. Action completed.","Account closed. No further action required."),CHOOSE($W734,"Collection Email","1st Email Follow-up","2nd Email Follow-up","Escalation to Local Office","Escalation to CBE","Escalation to Roxanne")&amp;" sent "&amp;TEXT($X734,"dd-mmm")&amp;". "&amp;IF($W734=6,"Final escalation completed.",IF($T734="OVERDUE","Next: "&amp;$Z734&amp;" was due "&amp;TEXT($Y734,"dd-mmm")&amp;" - "&amp;(NETWORKDAYS($Y734,TODAY(),Holidays)-1)&amp;" business day(s) late. Send now.",IF($T734="DUE TOMORROW","Next: "&amp;$Z734&amp;IF($Y734&lt;=TODAY()," is due TODAY ("," is due next business day (")&amp;TEXT($Y734,"dd-mmm")&amp;").","Next: "&amp;$Z734&amp;" due "&amp;TEXT($Y734,"dd-mmm")&amp;" ("&amp;(NETWORKDAYS(TODAY(),$Y734,Holidays)-1)&amp;" business day(s) left).")))))</f>
        <v/>
      </c>
      <c r="V734" s="17">
        <f>IF($W734="","",CHOOSE($W734,"Collection Email","1st Follow-up","2nd Follow-up","Local Office","CBE","Roxanne")&amp;IF($W734=6," - Final"," - Day "&amp;MAX(0,NETWORKDAYS($X734,TODAY(),Holidays)-1)&amp;" of "&amp;CHOOSE($W734,3,3,2,2,3))&amp;" | Total Day "&amp;MAX(0,NETWORKDAYS($L734,TODAY(),Holidays)-1))</f>
        <v/>
      </c>
      <c r="W734" s="17">
        <f>IF($L734="","",COUNT($L734:$Q734))</f>
        <v/>
      </c>
      <c r="X734" s="18">
        <f>IF($W734="","",INT(INDEX($L734:$Q734,$W734)))</f>
        <v/>
      </c>
      <c r="Y734" s="18">
        <f>IF(OR($W734="",$W734=6),"",WORKDAY($X734,CHOOSE($W734,3,3,2,2,3),Holidays))</f>
        <v/>
      </c>
      <c r="Z734" s="17">
        <f>IF(OR($W734="",$W734=6),"",CHOOSE($W734,"1st Email Follow-up","2nd Email Follow-up","Escalate Local Office","Escalate to CBE","Escalate to Roxanne"))</f>
        <v/>
      </c>
    </row>
    <row r="735" spans="18:26">
      <c r="R735" s="15"/>
      <c r="S735" s="16"/>
      <c r="T735" s="17">
        <f>IF(AND(COUNTA($A735:$K735)=0,$L735=""),"",IF($S735="Paid","PAID",IF($S735="Closed","CLOSED",IF($W735="","",IF($W735=6,"ESCALATED TO ROXANNE",IF(TODAY()&gt;$Y735,"OVERDUE",IF($Y735&lt;=WORKDAY(TODAY(),1,Holidays),"DUE TOMORROW",IF($W735=4,"ESCALATED TO LOCAL OFFICE",IF($W735=5,"ESCALATED TO CBE",IF($X735=TODAY(),"EMAIL SENT","MONITORING"))))))))))</f>
        <v/>
      </c>
      <c r="U735" s="17">
        <f>IF($T735="",IF(AND(COUNTA($A735:$K735)&gt;0,$L735=""),"Awaiting Collection Email time stamp.",""),IF(OR($T735="PAID",$T735="CLOSED"),IF($T735="PAID","Account paid. Action completed.","Account closed. No further action required."),CHOOSE($W735,"Collection Email","1st Email Follow-up","2nd Email Follow-up","Escalation to Local Office","Escalation to CBE","Escalation to Roxanne")&amp;" sent "&amp;TEXT($X735,"dd-mmm")&amp;". "&amp;IF($W735=6,"Final escalation completed.",IF($T735="OVERDUE","Next: "&amp;$Z735&amp;" was due "&amp;TEXT($Y735,"dd-mmm")&amp;" - "&amp;(NETWORKDAYS($Y735,TODAY(),Holidays)-1)&amp;" business day(s) late. Send now.",IF($T735="DUE TOMORROW","Next: "&amp;$Z735&amp;IF($Y735&lt;=TODAY()," is due TODAY ("," is due next business day (")&amp;TEXT($Y735,"dd-mmm")&amp;").","Next: "&amp;$Z735&amp;" due "&amp;TEXT($Y735,"dd-mmm")&amp;" ("&amp;(NETWORKDAYS(TODAY(),$Y735,Holidays)-1)&amp;" business day(s) left).")))))</f>
        <v/>
      </c>
      <c r="V735" s="17">
        <f>IF($W735="","",CHOOSE($W735,"Collection Email","1st Follow-up","2nd Follow-up","Local Office","CBE","Roxanne")&amp;IF($W735=6," - Final"," - Day "&amp;MAX(0,NETWORKDAYS($X735,TODAY(),Holidays)-1)&amp;" of "&amp;CHOOSE($W735,3,3,2,2,3))&amp;" | Total Day "&amp;MAX(0,NETWORKDAYS($L735,TODAY(),Holidays)-1))</f>
        <v/>
      </c>
      <c r="W735" s="17">
        <f>IF($L735="","",COUNT($L735:$Q735))</f>
        <v/>
      </c>
      <c r="X735" s="18">
        <f>IF($W735="","",INT(INDEX($L735:$Q735,$W735)))</f>
        <v/>
      </c>
      <c r="Y735" s="18">
        <f>IF(OR($W735="",$W735=6),"",WORKDAY($X735,CHOOSE($W735,3,3,2,2,3),Holidays))</f>
        <v/>
      </c>
      <c r="Z735" s="17">
        <f>IF(OR($W735="",$W735=6),"",CHOOSE($W735,"1st Email Follow-up","2nd Email Follow-up","Escalate Local Office","Escalate to CBE","Escalate to Roxanne"))</f>
        <v/>
      </c>
    </row>
    <row r="736" spans="18:26">
      <c r="R736" s="15"/>
      <c r="S736" s="16"/>
      <c r="T736" s="17">
        <f>IF(AND(COUNTA($A736:$K736)=0,$L736=""),"",IF($S736="Paid","PAID",IF($S736="Closed","CLOSED",IF($W736="","",IF($W736=6,"ESCALATED TO ROXANNE",IF(TODAY()&gt;$Y736,"OVERDUE",IF($Y736&lt;=WORKDAY(TODAY(),1,Holidays),"DUE TOMORROW",IF($W736=4,"ESCALATED TO LOCAL OFFICE",IF($W736=5,"ESCALATED TO CBE",IF($X736=TODAY(),"EMAIL SENT","MONITORING"))))))))))</f>
        <v/>
      </c>
      <c r="U736" s="17">
        <f>IF($T736="",IF(AND(COUNTA($A736:$K736)&gt;0,$L736=""),"Awaiting Collection Email time stamp.",""),IF(OR($T736="PAID",$T736="CLOSED"),IF($T736="PAID","Account paid. Action completed.","Account closed. No further action required."),CHOOSE($W736,"Collection Email","1st Email Follow-up","2nd Email Follow-up","Escalation to Local Office","Escalation to CBE","Escalation to Roxanne")&amp;" sent "&amp;TEXT($X736,"dd-mmm")&amp;". "&amp;IF($W736=6,"Final escalation completed.",IF($T736="OVERDUE","Next: "&amp;$Z736&amp;" was due "&amp;TEXT($Y736,"dd-mmm")&amp;" - "&amp;(NETWORKDAYS($Y736,TODAY(),Holidays)-1)&amp;" business day(s) late. Send now.",IF($T736="DUE TOMORROW","Next: "&amp;$Z736&amp;IF($Y736&lt;=TODAY()," is due TODAY ("," is due next business day (")&amp;TEXT($Y736,"dd-mmm")&amp;").","Next: "&amp;$Z736&amp;" due "&amp;TEXT($Y736,"dd-mmm")&amp;" ("&amp;(NETWORKDAYS(TODAY(),$Y736,Holidays)-1)&amp;" business day(s) left).")))))</f>
        <v/>
      </c>
      <c r="V736" s="17">
        <f>IF($W736="","",CHOOSE($W736,"Collection Email","1st Follow-up","2nd Follow-up","Local Office","CBE","Roxanne")&amp;IF($W736=6," - Final"," - Day "&amp;MAX(0,NETWORKDAYS($X736,TODAY(),Holidays)-1)&amp;" of "&amp;CHOOSE($W736,3,3,2,2,3))&amp;" | Total Day "&amp;MAX(0,NETWORKDAYS($L736,TODAY(),Holidays)-1))</f>
        <v/>
      </c>
      <c r="W736" s="17">
        <f>IF($L736="","",COUNT($L736:$Q736))</f>
        <v/>
      </c>
      <c r="X736" s="18">
        <f>IF($W736="","",INT(INDEX($L736:$Q736,$W736)))</f>
        <v/>
      </c>
      <c r="Y736" s="18">
        <f>IF(OR($W736="",$W736=6),"",WORKDAY($X736,CHOOSE($W736,3,3,2,2,3),Holidays))</f>
        <v/>
      </c>
      <c r="Z736" s="17">
        <f>IF(OR($W736="",$W736=6),"",CHOOSE($W736,"1st Email Follow-up","2nd Email Follow-up","Escalate Local Office","Escalate to CBE","Escalate to Roxanne"))</f>
        <v/>
      </c>
    </row>
    <row r="737" spans="18:26">
      <c r="R737" s="15"/>
      <c r="S737" s="16"/>
      <c r="T737" s="17">
        <f>IF(AND(COUNTA($A737:$K737)=0,$L737=""),"",IF($S737="Paid","PAID",IF($S737="Closed","CLOSED",IF($W737="","",IF($W737=6,"ESCALATED TO ROXANNE",IF(TODAY()&gt;$Y737,"OVERDUE",IF($Y737&lt;=WORKDAY(TODAY(),1,Holidays),"DUE TOMORROW",IF($W737=4,"ESCALATED TO LOCAL OFFICE",IF($W737=5,"ESCALATED TO CBE",IF($X737=TODAY(),"EMAIL SENT","MONITORING"))))))))))</f>
        <v/>
      </c>
      <c r="U737" s="17">
        <f>IF($T737="",IF(AND(COUNTA($A737:$K737)&gt;0,$L737=""),"Awaiting Collection Email time stamp.",""),IF(OR($T737="PAID",$T737="CLOSED"),IF($T737="PAID","Account paid. Action completed.","Account closed. No further action required."),CHOOSE($W737,"Collection Email","1st Email Follow-up","2nd Email Follow-up","Escalation to Local Office","Escalation to CBE","Escalation to Roxanne")&amp;" sent "&amp;TEXT($X737,"dd-mmm")&amp;". "&amp;IF($W737=6,"Final escalation completed.",IF($T737="OVERDUE","Next: "&amp;$Z737&amp;" was due "&amp;TEXT($Y737,"dd-mmm")&amp;" - "&amp;(NETWORKDAYS($Y737,TODAY(),Holidays)-1)&amp;" business day(s) late. Send now.",IF($T737="DUE TOMORROW","Next: "&amp;$Z737&amp;IF($Y737&lt;=TODAY()," is due TODAY ("," is due next business day (")&amp;TEXT($Y737,"dd-mmm")&amp;").","Next: "&amp;$Z737&amp;" due "&amp;TEXT($Y737,"dd-mmm")&amp;" ("&amp;(NETWORKDAYS(TODAY(),$Y737,Holidays)-1)&amp;" business day(s) left).")))))</f>
        <v/>
      </c>
      <c r="V737" s="17">
        <f>IF($W737="","",CHOOSE($W737,"Collection Email","1st Follow-up","2nd Follow-up","Local Office","CBE","Roxanne")&amp;IF($W737=6," - Final"," - Day "&amp;MAX(0,NETWORKDAYS($X737,TODAY(),Holidays)-1)&amp;" of "&amp;CHOOSE($W737,3,3,2,2,3))&amp;" | Total Day "&amp;MAX(0,NETWORKDAYS($L737,TODAY(),Holidays)-1))</f>
        <v/>
      </c>
      <c r="W737" s="17">
        <f>IF($L737="","",COUNT($L737:$Q737))</f>
        <v/>
      </c>
      <c r="X737" s="18">
        <f>IF($W737="","",INT(INDEX($L737:$Q737,$W737)))</f>
        <v/>
      </c>
      <c r="Y737" s="18">
        <f>IF(OR($W737="",$W737=6),"",WORKDAY($X737,CHOOSE($W737,3,3,2,2,3),Holidays))</f>
        <v/>
      </c>
      <c r="Z737" s="17">
        <f>IF(OR($W737="",$W737=6),"",CHOOSE($W737,"1st Email Follow-up","2nd Email Follow-up","Escalate Local Office","Escalate to CBE","Escalate to Roxanne"))</f>
        <v/>
      </c>
    </row>
    <row r="738" spans="18:26">
      <c r="R738" s="15"/>
      <c r="S738" s="16"/>
      <c r="T738" s="17">
        <f>IF(AND(COUNTA($A738:$K738)=0,$L738=""),"",IF($S738="Paid","PAID",IF($S738="Closed","CLOSED",IF($W738="","",IF($W738=6,"ESCALATED TO ROXANNE",IF(TODAY()&gt;$Y738,"OVERDUE",IF($Y738&lt;=WORKDAY(TODAY(),1,Holidays),"DUE TOMORROW",IF($W738=4,"ESCALATED TO LOCAL OFFICE",IF($W738=5,"ESCALATED TO CBE",IF($X738=TODAY(),"EMAIL SENT","MONITORING"))))))))))</f>
        <v/>
      </c>
      <c r="U738" s="17">
        <f>IF($T738="",IF(AND(COUNTA($A738:$K738)&gt;0,$L738=""),"Awaiting Collection Email time stamp.",""),IF(OR($T738="PAID",$T738="CLOSED"),IF($T738="PAID","Account paid. Action completed.","Account closed. No further action required."),CHOOSE($W738,"Collection Email","1st Email Follow-up","2nd Email Follow-up","Escalation to Local Office","Escalation to CBE","Escalation to Roxanne")&amp;" sent "&amp;TEXT($X738,"dd-mmm")&amp;". "&amp;IF($W738=6,"Final escalation completed.",IF($T738="OVERDUE","Next: "&amp;$Z738&amp;" was due "&amp;TEXT($Y738,"dd-mmm")&amp;" - "&amp;(NETWORKDAYS($Y738,TODAY(),Holidays)-1)&amp;" business day(s) late. Send now.",IF($T738="DUE TOMORROW","Next: "&amp;$Z738&amp;IF($Y738&lt;=TODAY()," is due TODAY ("," is due next business day (")&amp;TEXT($Y738,"dd-mmm")&amp;").","Next: "&amp;$Z738&amp;" due "&amp;TEXT($Y738,"dd-mmm")&amp;" ("&amp;(NETWORKDAYS(TODAY(),$Y738,Holidays)-1)&amp;" business day(s) left).")))))</f>
        <v/>
      </c>
      <c r="V738" s="17">
        <f>IF($W738="","",CHOOSE($W738,"Collection Email","1st Follow-up","2nd Follow-up","Local Office","CBE","Roxanne")&amp;IF($W738=6," - Final"," - Day "&amp;MAX(0,NETWORKDAYS($X738,TODAY(),Holidays)-1)&amp;" of "&amp;CHOOSE($W738,3,3,2,2,3))&amp;" | Total Day "&amp;MAX(0,NETWORKDAYS($L738,TODAY(),Holidays)-1))</f>
        <v/>
      </c>
      <c r="W738" s="17">
        <f>IF($L738="","",COUNT($L738:$Q738))</f>
        <v/>
      </c>
      <c r="X738" s="18">
        <f>IF($W738="","",INT(INDEX($L738:$Q738,$W738)))</f>
        <v/>
      </c>
      <c r="Y738" s="18">
        <f>IF(OR($W738="",$W738=6),"",WORKDAY($X738,CHOOSE($W738,3,3,2,2,3),Holidays))</f>
        <v/>
      </c>
      <c r="Z738" s="17">
        <f>IF(OR($W738="",$W738=6),"",CHOOSE($W738,"1st Email Follow-up","2nd Email Follow-up","Escalate Local Office","Escalate to CBE","Escalate to Roxanne"))</f>
        <v/>
      </c>
    </row>
    <row r="739" spans="18:26">
      <c r="R739" s="15"/>
      <c r="S739" s="16"/>
      <c r="T739" s="17">
        <f>IF(AND(COUNTA($A739:$K739)=0,$L739=""),"",IF($S739="Paid","PAID",IF($S739="Closed","CLOSED",IF($W739="","",IF($W739=6,"ESCALATED TO ROXANNE",IF(TODAY()&gt;$Y739,"OVERDUE",IF($Y739&lt;=WORKDAY(TODAY(),1,Holidays),"DUE TOMORROW",IF($W739=4,"ESCALATED TO LOCAL OFFICE",IF($W739=5,"ESCALATED TO CBE",IF($X739=TODAY(),"EMAIL SENT","MONITORING"))))))))))</f>
        <v/>
      </c>
      <c r="U739" s="17">
        <f>IF($T739="",IF(AND(COUNTA($A739:$K739)&gt;0,$L739=""),"Awaiting Collection Email time stamp.",""),IF(OR($T739="PAID",$T739="CLOSED"),IF($T739="PAID","Account paid. Action completed.","Account closed. No further action required."),CHOOSE($W739,"Collection Email","1st Email Follow-up","2nd Email Follow-up","Escalation to Local Office","Escalation to CBE","Escalation to Roxanne")&amp;" sent "&amp;TEXT($X739,"dd-mmm")&amp;". "&amp;IF($W739=6,"Final escalation completed.",IF($T739="OVERDUE","Next: "&amp;$Z739&amp;" was due "&amp;TEXT($Y739,"dd-mmm")&amp;" - "&amp;(NETWORKDAYS($Y739,TODAY(),Holidays)-1)&amp;" business day(s) late. Send now.",IF($T739="DUE TOMORROW","Next: "&amp;$Z739&amp;IF($Y739&lt;=TODAY()," is due TODAY ("," is due next business day (")&amp;TEXT($Y739,"dd-mmm")&amp;").","Next: "&amp;$Z739&amp;" due "&amp;TEXT($Y739,"dd-mmm")&amp;" ("&amp;(NETWORKDAYS(TODAY(),$Y739,Holidays)-1)&amp;" business day(s) left).")))))</f>
        <v/>
      </c>
      <c r="V739" s="17">
        <f>IF($W739="","",CHOOSE($W739,"Collection Email","1st Follow-up","2nd Follow-up","Local Office","CBE","Roxanne")&amp;IF($W739=6," - Final"," - Day "&amp;MAX(0,NETWORKDAYS($X739,TODAY(),Holidays)-1)&amp;" of "&amp;CHOOSE($W739,3,3,2,2,3))&amp;" | Total Day "&amp;MAX(0,NETWORKDAYS($L739,TODAY(),Holidays)-1))</f>
        <v/>
      </c>
      <c r="W739" s="17">
        <f>IF($L739="","",COUNT($L739:$Q739))</f>
        <v/>
      </c>
      <c r="X739" s="18">
        <f>IF($W739="","",INT(INDEX($L739:$Q739,$W739)))</f>
        <v/>
      </c>
      <c r="Y739" s="18">
        <f>IF(OR($W739="",$W739=6),"",WORKDAY($X739,CHOOSE($W739,3,3,2,2,3),Holidays))</f>
        <v/>
      </c>
      <c r="Z739" s="17">
        <f>IF(OR($W739="",$W739=6),"",CHOOSE($W739,"1st Email Follow-up","2nd Email Follow-up","Escalate Local Office","Escalate to CBE","Escalate to Roxanne"))</f>
        <v/>
      </c>
    </row>
    <row r="740" spans="18:26">
      <c r="R740" s="15"/>
      <c r="S740" s="16"/>
      <c r="T740" s="17">
        <f>IF(AND(COUNTA($A740:$K740)=0,$L740=""),"",IF($S740="Paid","PAID",IF($S740="Closed","CLOSED",IF($W740="","",IF($W740=6,"ESCALATED TO ROXANNE",IF(TODAY()&gt;$Y740,"OVERDUE",IF($Y740&lt;=WORKDAY(TODAY(),1,Holidays),"DUE TOMORROW",IF($W740=4,"ESCALATED TO LOCAL OFFICE",IF($W740=5,"ESCALATED TO CBE",IF($X740=TODAY(),"EMAIL SENT","MONITORING"))))))))))</f>
        <v/>
      </c>
      <c r="U740" s="17">
        <f>IF($T740="",IF(AND(COUNTA($A740:$K740)&gt;0,$L740=""),"Awaiting Collection Email time stamp.",""),IF(OR($T740="PAID",$T740="CLOSED"),IF($T740="PAID","Account paid. Action completed.","Account closed. No further action required."),CHOOSE($W740,"Collection Email","1st Email Follow-up","2nd Email Follow-up","Escalation to Local Office","Escalation to CBE","Escalation to Roxanne")&amp;" sent "&amp;TEXT($X740,"dd-mmm")&amp;". "&amp;IF($W740=6,"Final escalation completed.",IF($T740="OVERDUE","Next: "&amp;$Z740&amp;" was due "&amp;TEXT($Y740,"dd-mmm")&amp;" - "&amp;(NETWORKDAYS($Y740,TODAY(),Holidays)-1)&amp;" business day(s) late. Send now.",IF($T740="DUE TOMORROW","Next: "&amp;$Z740&amp;IF($Y740&lt;=TODAY()," is due TODAY ("," is due next business day (")&amp;TEXT($Y740,"dd-mmm")&amp;").","Next: "&amp;$Z740&amp;" due "&amp;TEXT($Y740,"dd-mmm")&amp;" ("&amp;(NETWORKDAYS(TODAY(),$Y740,Holidays)-1)&amp;" business day(s) left).")))))</f>
        <v/>
      </c>
      <c r="V740" s="17">
        <f>IF($W740="","",CHOOSE($W740,"Collection Email","1st Follow-up","2nd Follow-up","Local Office","CBE","Roxanne")&amp;IF($W740=6," - Final"," - Day "&amp;MAX(0,NETWORKDAYS($X740,TODAY(),Holidays)-1)&amp;" of "&amp;CHOOSE($W740,3,3,2,2,3))&amp;" | Total Day "&amp;MAX(0,NETWORKDAYS($L740,TODAY(),Holidays)-1))</f>
        <v/>
      </c>
      <c r="W740" s="17">
        <f>IF($L740="","",COUNT($L740:$Q740))</f>
        <v/>
      </c>
      <c r="X740" s="18">
        <f>IF($W740="","",INT(INDEX($L740:$Q740,$W740)))</f>
        <v/>
      </c>
      <c r="Y740" s="18">
        <f>IF(OR($W740="",$W740=6),"",WORKDAY($X740,CHOOSE($W740,3,3,2,2,3),Holidays))</f>
        <v/>
      </c>
      <c r="Z740" s="17">
        <f>IF(OR($W740="",$W740=6),"",CHOOSE($W740,"1st Email Follow-up","2nd Email Follow-up","Escalate Local Office","Escalate to CBE","Escalate to Roxanne"))</f>
        <v/>
      </c>
    </row>
    <row r="741" spans="18:26">
      <c r="R741" s="15"/>
      <c r="S741" s="16"/>
      <c r="T741" s="17">
        <f>IF(AND(COUNTA($A741:$K741)=0,$L741=""),"",IF($S741="Paid","PAID",IF($S741="Closed","CLOSED",IF($W741="","",IF($W741=6,"ESCALATED TO ROXANNE",IF(TODAY()&gt;$Y741,"OVERDUE",IF($Y741&lt;=WORKDAY(TODAY(),1,Holidays),"DUE TOMORROW",IF($W741=4,"ESCALATED TO LOCAL OFFICE",IF($W741=5,"ESCALATED TO CBE",IF($X741=TODAY(),"EMAIL SENT","MONITORING"))))))))))</f>
        <v/>
      </c>
      <c r="U741" s="17">
        <f>IF($T741="",IF(AND(COUNTA($A741:$K741)&gt;0,$L741=""),"Awaiting Collection Email time stamp.",""),IF(OR($T741="PAID",$T741="CLOSED"),IF($T741="PAID","Account paid. Action completed.","Account closed. No further action required."),CHOOSE($W741,"Collection Email","1st Email Follow-up","2nd Email Follow-up","Escalation to Local Office","Escalation to CBE","Escalation to Roxanne")&amp;" sent "&amp;TEXT($X741,"dd-mmm")&amp;". "&amp;IF($W741=6,"Final escalation completed.",IF($T741="OVERDUE","Next: "&amp;$Z741&amp;" was due "&amp;TEXT($Y741,"dd-mmm")&amp;" - "&amp;(NETWORKDAYS($Y741,TODAY(),Holidays)-1)&amp;" business day(s) late. Send now.",IF($T741="DUE TOMORROW","Next: "&amp;$Z741&amp;IF($Y741&lt;=TODAY()," is due TODAY ("," is due next business day (")&amp;TEXT($Y741,"dd-mmm")&amp;").","Next: "&amp;$Z741&amp;" due "&amp;TEXT($Y741,"dd-mmm")&amp;" ("&amp;(NETWORKDAYS(TODAY(),$Y741,Holidays)-1)&amp;" business day(s) left).")))))</f>
        <v/>
      </c>
      <c r="V741" s="17">
        <f>IF($W741="","",CHOOSE($W741,"Collection Email","1st Follow-up","2nd Follow-up","Local Office","CBE","Roxanne")&amp;IF($W741=6," - Final"," - Day "&amp;MAX(0,NETWORKDAYS($X741,TODAY(),Holidays)-1)&amp;" of "&amp;CHOOSE($W741,3,3,2,2,3))&amp;" | Total Day "&amp;MAX(0,NETWORKDAYS($L741,TODAY(),Holidays)-1))</f>
        <v/>
      </c>
      <c r="W741" s="17">
        <f>IF($L741="","",COUNT($L741:$Q741))</f>
        <v/>
      </c>
      <c r="X741" s="18">
        <f>IF($W741="","",INT(INDEX($L741:$Q741,$W741)))</f>
        <v/>
      </c>
      <c r="Y741" s="18">
        <f>IF(OR($W741="",$W741=6),"",WORKDAY($X741,CHOOSE($W741,3,3,2,2,3),Holidays))</f>
        <v/>
      </c>
      <c r="Z741" s="17">
        <f>IF(OR($W741="",$W741=6),"",CHOOSE($W741,"1st Email Follow-up","2nd Email Follow-up","Escalate Local Office","Escalate to CBE","Escalate to Roxanne"))</f>
        <v/>
      </c>
    </row>
    <row r="742" spans="18:26">
      <c r="R742" s="15"/>
      <c r="S742" s="16"/>
      <c r="T742" s="17">
        <f>IF(AND(COUNTA($A742:$K742)=0,$L742=""),"",IF($S742="Paid","PAID",IF($S742="Closed","CLOSED",IF($W742="","",IF($W742=6,"ESCALATED TO ROXANNE",IF(TODAY()&gt;$Y742,"OVERDUE",IF($Y742&lt;=WORKDAY(TODAY(),1,Holidays),"DUE TOMORROW",IF($W742=4,"ESCALATED TO LOCAL OFFICE",IF($W742=5,"ESCALATED TO CBE",IF($X742=TODAY(),"EMAIL SENT","MONITORING"))))))))))</f>
        <v/>
      </c>
      <c r="U742" s="17">
        <f>IF($T742="",IF(AND(COUNTA($A742:$K742)&gt;0,$L742=""),"Awaiting Collection Email time stamp.",""),IF(OR($T742="PAID",$T742="CLOSED"),IF($T742="PAID","Account paid. Action completed.","Account closed. No further action required."),CHOOSE($W742,"Collection Email","1st Email Follow-up","2nd Email Follow-up","Escalation to Local Office","Escalation to CBE","Escalation to Roxanne")&amp;" sent "&amp;TEXT($X742,"dd-mmm")&amp;". "&amp;IF($W742=6,"Final escalation completed.",IF($T742="OVERDUE","Next: "&amp;$Z742&amp;" was due "&amp;TEXT($Y742,"dd-mmm")&amp;" - "&amp;(NETWORKDAYS($Y742,TODAY(),Holidays)-1)&amp;" business day(s) late. Send now.",IF($T742="DUE TOMORROW","Next: "&amp;$Z742&amp;IF($Y742&lt;=TODAY()," is due TODAY ("," is due next business day (")&amp;TEXT($Y742,"dd-mmm")&amp;").","Next: "&amp;$Z742&amp;" due "&amp;TEXT($Y742,"dd-mmm")&amp;" ("&amp;(NETWORKDAYS(TODAY(),$Y742,Holidays)-1)&amp;" business day(s) left).")))))</f>
        <v/>
      </c>
      <c r="V742" s="17">
        <f>IF($W742="","",CHOOSE($W742,"Collection Email","1st Follow-up","2nd Follow-up","Local Office","CBE","Roxanne")&amp;IF($W742=6," - Final"," - Day "&amp;MAX(0,NETWORKDAYS($X742,TODAY(),Holidays)-1)&amp;" of "&amp;CHOOSE($W742,3,3,2,2,3))&amp;" | Total Day "&amp;MAX(0,NETWORKDAYS($L742,TODAY(),Holidays)-1))</f>
        <v/>
      </c>
      <c r="W742" s="17">
        <f>IF($L742="","",COUNT($L742:$Q742))</f>
        <v/>
      </c>
      <c r="X742" s="18">
        <f>IF($W742="","",INT(INDEX($L742:$Q742,$W742)))</f>
        <v/>
      </c>
      <c r="Y742" s="18">
        <f>IF(OR($W742="",$W742=6),"",WORKDAY($X742,CHOOSE($W742,3,3,2,2,3),Holidays))</f>
        <v/>
      </c>
      <c r="Z742" s="17">
        <f>IF(OR($W742="",$W742=6),"",CHOOSE($W742,"1st Email Follow-up","2nd Email Follow-up","Escalate Local Office","Escalate to CBE","Escalate to Roxanne"))</f>
        <v/>
      </c>
    </row>
    <row r="743" spans="18:26">
      <c r="R743" s="15"/>
      <c r="S743" s="16"/>
      <c r="T743" s="17">
        <f>IF(AND(COUNTA($A743:$K743)=0,$L743=""),"",IF($S743="Paid","PAID",IF($S743="Closed","CLOSED",IF($W743="","",IF($W743=6,"ESCALATED TO ROXANNE",IF(TODAY()&gt;$Y743,"OVERDUE",IF($Y743&lt;=WORKDAY(TODAY(),1,Holidays),"DUE TOMORROW",IF($W743=4,"ESCALATED TO LOCAL OFFICE",IF($W743=5,"ESCALATED TO CBE",IF($X743=TODAY(),"EMAIL SENT","MONITORING"))))))))))</f>
        <v/>
      </c>
      <c r="U743" s="17">
        <f>IF($T743="",IF(AND(COUNTA($A743:$K743)&gt;0,$L743=""),"Awaiting Collection Email time stamp.",""),IF(OR($T743="PAID",$T743="CLOSED"),IF($T743="PAID","Account paid. Action completed.","Account closed. No further action required."),CHOOSE($W743,"Collection Email","1st Email Follow-up","2nd Email Follow-up","Escalation to Local Office","Escalation to CBE","Escalation to Roxanne")&amp;" sent "&amp;TEXT($X743,"dd-mmm")&amp;". "&amp;IF($W743=6,"Final escalation completed.",IF($T743="OVERDUE","Next: "&amp;$Z743&amp;" was due "&amp;TEXT($Y743,"dd-mmm")&amp;" - "&amp;(NETWORKDAYS($Y743,TODAY(),Holidays)-1)&amp;" business day(s) late. Send now.",IF($T743="DUE TOMORROW","Next: "&amp;$Z743&amp;IF($Y743&lt;=TODAY()," is due TODAY ("," is due next business day (")&amp;TEXT($Y743,"dd-mmm")&amp;").","Next: "&amp;$Z743&amp;" due "&amp;TEXT($Y743,"dd-mmm")&amp;" ("&amp;(NETWORKDAYS(TODAY(),$Y743,Holidays)-1)&amp;" business day(s) left).")))))</f>
        <v/>
      </c>
      <c r="V743" s="17">
        <f>IF($W743="","",CHOOSE($W743,"Collection Email","1st Follow-up","2nd Follow-up","Local Office","CBE","Roxanne")&amp;IF($W743=6," - Final"," - Day "&amp;MAX(0,NETWORKDAYS($X743,TODAY(),Holidays)-1)&amp;" of "&amp;CHOOSE($W743,3,3,2,2,3))&amp;" | Total Day "&amp;MAX(0,NETWORKDAYS($L743,TODAY(),Holidays)-1))</f>
        <v/>
      </c>
      <c r="W743" s="17">
        <f>IF($L743="","",COUNT($L743:$Q743))</f>
        <v/>
      </c>
      <c r="X743" s="18">
        <f>IF($W743="","",INT(INDEX($L743:$Q743,$W743)))</f>
        <v/>
      </c>
      <c r="Y743" s="18">
        <f>IF(OR($W743="",$W743=6),"",WORKDAY($X743,CHOOSE($W743,3,3,2,2,3),Holidays))</f>
        <v/>
      </c>
      <c r="Z743" s="17">
        <f>IF(OR($W743="",$W743=6),"",CHOOSE($W743,"1st Email Follow-up","2nd Email Follow-up","Escalate Local Office","Escalate to CBE","Escalate to Roxanne"))</f>
        <v/>
      </c>
    </row>
    <row r="744" spans="18:26">
      <c r="R744" s="15"/>
      <c r="S744" s="16"/>
      <c r="T744" s="17">
        <f>IF(AND(COUNTA($A744:$K744)=0,$L744=""),"",IF($S744="Paid","PAID",IF($S744="Closed","CLOSED",IF($W744="","",IF($W744=6,"ESCALATED TO ROXANNE",IF(TODAY()&gt;$Y744,"OVERDUE",IF($Y744&lt;=WORKDAY(TODAY(),1,Holidays),"DUE TOMORROW",IF($W744=4,"ESCALATED TO LOCAL OFFICE",IF($W744=5,"ESCALATED TO CBE",IF($X744=TODAY(),"EMAIL SENT","MONITORING"))))))))))</f>
        <v/>
      </c>
      <c r="U744" s="17">
        <f>IF($T744="",IF(AND(COUNTA($A744:$K744)&gt;0,$L744=""),"Awaiting Collection Email time stamp.",""),IF(OR($T744="PAID",$T744="CLOSED"),IF($T744="PAID","Account paid. Action completed.","Account closed. No further action required."),CHOOSE($W744,"Collection Email","1st Email Follow-up","2nd Email Follow-up","Escalation to Local Office","Escalation to CBE","Escalation to Roxanne")&amp;" sent "&amp;TEXT($X744,"dd-mmm")&amp;". "&amp;IF($W744=6,"Final escalation completed.",IF($T744="OVERDUE","Next: "&amp;$Z744&amp;" was due "&amp;TEXT($Y744,"dd-mmm")&amp;" - "&amp;(NETWORKDAYS($Y744,TODAY(),Holidays)-1)&amp;" business day(s) late. Send now.",IF($T744="DUE TOMORROW","Next: "&amp;$Z744&amp;IF($Y744&lt;=TODAY()," is due TODAY ("," is due next business day (")&amp;TEXT($Y744,"dd-mmm")&amp;").","Next: "&amp;$Z744&amp;" due "&amp;TEXT($Y744,"dd-mmm")&amp;" ("&amp;(NETWORKDAYS(TODAY(),$Y744,Holidays)-1)&amp;" business day(s) left).")))))</f>
        <v/>
      </c>
      <c r="V744" s="17">
        <f>IF($W744="","",CHOOSE($W744,"Collection Email","1st Follow-up","2nd Follow-up","Local Office","CBE","Roxanne")&amp;IF($W744=6," - Final"," - Day "&amp;MAX(0,NETWORKDAYS($X744,TODAY(),Holidays)-1)&amp;" of "&amp;CHOOSE($W744,3,3,2,2,3))&amp;" | Total Day "&amp;MAX(0,NETWORKDAYS($L744,TODAY(),Holidays)-1))</f>
        <v/>
      </c>
      <c r="W744" s="17">
        <f>IF($L744="","",COUNT($L744:$Q744))</f>
        <v/>
      </c>
      <c r="X744" s="18">
        <f>IF($W744="","",INT(INDEX($L744:$Q744,$W744)))</f>
        <v/>
      </c>
      <c r="Y744" s="18">
        <f>IF(OR($W744="",$W744=6),"",WORKDAY($X744,CHOOSE($W744,3,3,2,2,3),Holidays))</f>
        <v/>
      </c>
      <c r="Z744" s="17">
        <f>IF(OR($W744="",$W744=6),"",CHOOSE($W744,"1st Email Follow-up","2nd Email Follow-up","Escalate Local Office","Escalate to CBE","Escalate to Roxanne"))</f>
        <v/>
      </c>
    </row>
    <row r="745" spans="18:26">
      <c r="R745" s="15"/>
      <c r="S745" s="16"/>
      <c r="T745" s="17">
        <f>IF(AND(COUNTA($A745:$K745)=0,$L745=""),"",IF($S745="Paid","PAID",IF($S745="Closed","CLOSED",IF($W745="","",IF($W745=6,"ESCALATED TO ROXANNE",IF(TODAY()&gt;$Y745,"OVERDUE",IF($Y745&lt;=WORKDAY(TODAY(),1,Holidays),"DUE TOMORROW",IF($W745=4,"ESCALATED TO LOCAL OFFICE",IF($W745=5,"ESCALATED TO CBE",IF($X745=TODAY(),"EMAIL SENT","MONITORING"))))))))))</f>
        <v/>
      </c>
      <c r="U745" s="17">
        <f>IF($T745="",IF(AND(COUNTA($A745:$K745)&gt;0,$L745=""),"Awaiting Collection Email time stamp.",""),IF(OR($T745="PAID",$T745="CLOSED"),IF($T745="PAID","Account paid. Action completed.","Account closed. No further action required."),CHOOSE($W745,"Collection Email","1st Email Follow-up","2nd Email Follow-up","Escalation to Local Office","Escalation to CBE","Escalation to Roxanne")&amp;" sent "&amp;TEXT($X745,"dd-mmm")&amp;". "&amp;IF($W745=6,"Final escalation completed.",IF($T745="OVERDUE","Next: "&amp;$Z745&amp;" was due "&amp;TEXT($Y745,"dd-mmm")&amp;" - "&amp;(NETWORKDAYS($Y745,TODAY(),Holidays)-1)&amp;" business day(s) late. Send now.",IF($T745="DUE TOMORROW","Next: "&amp;$Z745&amp;IF($Y745&lt;=TODAY()," is due TODAY ("," is due next business day (")&amp;TEXT($Y745,"dd-mmm")&amp;").","Next: "&amp;$Z745&amp;" due "&amp;TEXT($Y745,"dd-mmm")&amp;" ("&amp;(NETWORKDAYS(TODAY(),$Y745,Holidays)-1)&amp;" business day(s) left).")))))</f>
        <v/>
      </c>
      <c r="V745" s="17">
        <f>IF($W745="","",CHOOSE($W745,"Collection Email","1st Follow-up","2nd Follow-up","Local Office","CBE","Roxanne")&amp;IF($W745=6," - Final"," - Day "&amp;MAX(0,NETWORKDAYS($X745,TODAY(),Holidays)-1)&amp;" of "&amp;CHOOSE($W745,3,3,2,2,3))&amp;" | Total Day "&amp;MAX(0,NETWORKDAYS($L745,TODAY(),Holidays)-1))</f>
        <v/>
      </c>
      <c r="W745" s="17">
        <f>IF($L745="","",COUNT($L745:$Q745))</f>
        <v/>
      </c>
      <c r="X745" s="18">
        <f>IF($W745="","",INT(INDEX($L745:$Q745,$W745)))</f>
        <v/>
      </c>
      <c r="Y745" s="18">
        <f>IF(OR($W745="",$W745=6),"",WORKDAY($X745,CHOOSE($W745,3,3,2,2,3),Holidays))</f>
        <v/>
      </c>
      <c r="Z745" s="17">
        <f>IF(OR($W745="",$W745=6),"",CHOOSE($W745,"1st Email Follow-up","2nd Email Follow-up","Escalate Local Office","Escalate to CBE","Escalate to Roxanne"))</f>
        <v/>
      </c>
    </row>
    <row r="746" spans="18:26">
      <c r="R746" s="15"/>
      <c r="S746" s="16"/>
      <c r="T746" s="17">
        <f>IF(AND(COUNTA($A746:$K746)=0,$L746=""),"",IF($S746="Paid","PAID",IF($S746="Closed","CLOSED",IF($W746="","",IF($W746=6,"ESCALATED TO ROXANNE",IF(TODAY()&gt;$Y746,"OVERDUE",IF($Y746&lt;=WORKDAY(TODAY(),1,Holidays),"DUE TOMORROW",IF($W746=4,"ESCALATED TO LOCAL OFFICE",IF($W746=5,"ESCALATED TO CBE",IF($X746=TODAY(),"EMAIL SENT","MONITORING"))))))))))</f>
        <v/>
      </c>
      <c r="U746" s="17">
        <f>IF($T746="",IF(AND(COUNTA($A746:$K746)&gt;0,$L746=""),"Awaiting Collection Email time stamp.",""),IF(OR($T746="PAID",$T746="CLOSED"),IF($T746="PAID","Account paid. Action completed.","Account closed. No further action required."),CHOOSE($W746,"Collection Email","1st Email Follow-up","2nd Email Follow-up","Escalation to Local Office","Escalation to CBE","Escalation to Roxanne")&amp;" sent "&amp;TEXT($X746,"dd-mmm")&amp;". "&amp;IF($W746=6,"Final escalation completed.",IF($T746="OVERDUE","Next: "&amp;$Z746&amp;" was due "&amp;TEXT($Y746,"dd-mmm")&amp;" - "&amp;(NETWORKDAYS($Y746,TODAY(),Holidays)-1)&amp;" business day(s) late. Send now.",IF($T746="DUE TOMORROW","Next: "&amp;$Z746&amp;IF($Y746&lt;=TODAY()," is due TODAY ("," is due next business day (")&amp;TEXT($Y746,"dd-mmm")&amp;").","Next: "&amp;$Z746&amp;" due "&amp;TEXT($Y746,"dd-mmm")&amp;" ("&amp;(NETWORKDAYS(TODAY(),$Y746,Holidays)-1)&amp;" business day(s) left).")))))</f>
        <v/>
      </c>
      <c r="V746" s="17">
        <f>IF($W746="","",CHOOSE($W746,"Collection Email","1st Follow-up","2nd Follow-up","Local Office","CBE","Roxanne")&amp;IF($W746=6," - Final"," - Day "&amp;MAX(0,NETWORKDAYS($X746,TODAY(),Holidays)-1)&amp;" of "&amp;CHOOSE($W746,3,3,2,2,3))&amp;" | Total Day "&amp;MAX(0,NETWORKDAYS($L746,TODAY(),Holidays)-1))</f>
        <v/>
      </c>
      <c r="W746" s="17">
        <f>IF($L746="","",COUNT($L746:$Q746))</f>
        <v/>
      </c>
      <c r="X746" s="18">
        <f>IF($W746="","",INT(INDEX($L746:$Q746,$W746)))</f>
        <v/>
      </c>
      <c r="Y746" s="18">
        <f>IF(OR($W746="",$W746=6),"",WORKDAY($X746,CHOOSE($W746,3,3,2,2,3),Holidays))</f>
        <v/>
      </c>
      <c r="Z746" s="17">
        <f>IF(OR($W746="",$W746=6),"",CHOOSE($W746,"1st Email Follow-up","2nd Email Follow-up","Escalate Local Office","Escalate to CBE","Escalate to Roxanne"))</f>
        <v/>
      </c>
    </row>
    <row r="747" spans="18:26">
      <c r="R747" s="15"/>
      <c r="S747" s="16"/>
      <c r="T747" s="17">
        <f>IF(AND(COUNTA($A747:$K747)=0,$L747=""),"",IF($S747="Paid","PAID",IF($S747="Closed","CLOSED",IF($W747="","",IF($W747=6,"ESCALATED TO ROXANNE",IF(TODAY()&gt;$Y747,"OVERDUE",IF($Y747&lt;=WORKDAY(TODAY(),1,Holidays),"DUE TOMORROW",IF($W747=4,"ESCALATED TO LOCAL OFFICE",IF($W747=5,"ESCALATED TO CBE",IF($X747=TODAY(),"EMAIL SENT","MONITORING"))))))))))</f>
        <v/>
      </c>
      <c r="U747" s="17">
        <f>IF($T747="",IF(AND(COUNTA($A747:$K747)&gt;0,$L747=""),"Awaiting Collection Email time stamp.",""),IF(OR($T747="PAID",$T747="CLOSED"),IF($T747="PAID","Account paid. Action completed.","Account closed. No further action required."),CHOOSE($W747,"Collection Email","1st Email Follow-up","2nd Email Follow-up","Escalation to Local Office","Escalation to CBE","Escalation to Roxanne")&amp;" sent "&amp;TEXT($X747,"dd-mmm")&amp;". "&amp;IF($W747=6,"Final escalation completed.",IF($T747="OVERDUE","Next: "&amp;$Z747&amp;" was due "&amp;TEXT($Y747,"dd-mmm")&amp;" - "&amp;(NETWORKDAYS($Y747,TODAY(),Holidays)-1)&amp;" business day(s) late. Send now.",IF($T747="DUE TOMORROW","Next: "&amp;$Z747&amp;IF($Y747&lt;=TODAY()," is due TODAY ("," is due next business day (")&amp;TEXT($Y747,"dd-mmm")&amp;").","Next: "&amp;$Z747&amp;" due "&amp;TEXT($Y747,"dd-mmm")&amp;" ("&amp;(NETWORKDAYS(TODAY(),$Y747,Holidays)-1)&amp;" business day(s) left).")))))</f>
        <v/>
      </c>
      <c r="V747" s="17">
        <f>IF($W747="","",CHOOSE($W747,"Collection Email","1st Follow-up","2nd Follow-up","Local Office","CBE","Roxanne")&amp;IF($W747=6," - Final"," - Day "&amp;MAX(0,NETWORKDAYS($X747,TODAY(),Holidays)-1)&amp;" of "&amp;CHOOSE($W747,3,3,2,2,3))&amp;" | Total Day "&amp;MAX(0,NETWORKDAYS($L747,TODAY(),Holidays)-1))</f>
        <v/>
      </c>
      <c r="W747" s="17">
        <f>IF($L747="","",COUNT($L747:$Q747))</f>
        <v/>
      </c>
      <c r="X747" s="18">
        <f>IF($W747="","",INT(INDEX($L747:$Q747,$W747)))</f>
        <v/>
      </c>
      <c r="Y747" s="18">
        <f>IF(OR($W747="",$W747=6),"",WORKDAY($X747,CHOOSE($W747,3,3,2,2,3),Holidays))</f>
        <v/>
      </c>
      <c r="Z747" s="17">
        <f>IF(OR($W747="",$W747=6),"",CHOOSE($W747,"1st Email Follow-up","2nd Email Follow-up","Escalate Local Office","Escalate to CBE","Escalate to Roxanne"))</f>
        <v/>
      </c>
    </row>
    <row r="748" spans="18:26">
      <c r="R748" s="15"/>
      <c r="S748" s="16"/>
      <c r="T748" s="17">
        <f>IF(AND(COUNTA($A748:$K748)=0,$L748=""),"",IF($S748="Paid","PAID",IF($S748="Closed","CLOSED",IF($W748="","",IF($W748=6,"ESCALATED TO ROXANNE",IF(TODAY()&gt;$Y748,"OVERDUE",IF($Y748&lt;=WORKDAY(TODAY(),1,Holidays),"DUE TOMORROW",IF($W748=4,"ESCALATED TO LOCAL OFFICE",IF($W748=5,"ESCALATED TO CBE",IF($X748=TODAY(),"EMAIL SENT","MONITORING"))))))))))</f>
        <v/>
      </c>
      <c r="U748" s="17">
        <f>IF($T748="",IF(AND(COUNTA($A748:$K748)&gt;0,$L748=""),"Awaiting Collection Email time stamp.",""),IF(OR($T748="PAID",$T748="CLOSED"),IF($T748="PAID","Account paid. Action completed.","Account closed. No further action required."),CHOOSE($W748,"Collection Email","1st Email Follow-up","2nd Email Follow-up","Escalation to Local Office","Escalation to CBE","Escalation to Roxanne")&amp;" sent "&amp;TEXT($X748,"dd-mmm")&amp;". "&amp;IF($W748=6,"Final escalation completed.",IF($T748="OVERDUE","Next: "&amp;$Z748&amp;" was due "&amp;TEXT($Y748,"dd-mmm")&amp;" - "&amp;(NETWORKDAYS($Y748,TODAY(),Holidays)-1)&amp;" business day(s) late. Send now.",IF($T748="DUE TOMORROW","Next: "&amp;$Z748&amp;IF($Y748&lt;=TODAY()," is due TODAY ("," is due next business day (")&amp;TEXT($Y748,"dd-mmm")&amp;").","Next: "&amp;$Z748&amp;" due "&amp;TEXT($Y748,"dd-mmm")&amp;" ("&amp;(NETWORKDAYS(TODAY(),$Y748,Holidays)-1)&amp;" business day(s) left).")))))</f>
        <v/>
      </c>
      <c r="V748" s="17">
        <f>IF($W748="","",CHOOSE($W748,"Collection Email","1st Follow-up","2nd Follow-up","Local Office","CBE","Roxanne")&amp;IF($W748=6," - Final"," - Day "&amp;MAX(0,NETWORKDAYS($X748,TODAY(),Holidays)-1)&amp;" of "&amp;CHOOSE($W748,3,3,2,2,3))&amp;" | Total Day "&amp;MAX(0,NETWORKDAYS($L748,TODAY(),Holidays)-1))</f>
        <v/>
      </c>
      <c r="W748" s="17">
        <f>IF($L748="","",COUNT($L748:$Q748))</f>
        <v/>
      </c>
      <c r="X748" s="18">
        <f>IF($W748="","",INT(INDEX($L748:$Q748,$W748)))</f>
        <v/>
      </c>
      <c r="Y748" s="18">
        <f>IF(OR($W748="",$W748=6),"",WORKDAY($X748,CHOOSE($W748,3,3,2,2,3),Holidays))</f>
        <v/>
      </c>
      <c r="Z748" s="17">
        <f>IF(OR($W748="",$W748=6),"",CHOOSE($W748,"1st Email Follow-up","2nd Email Follow-up","Escalate Local Office","Escalate to CBE","Escalate to Roxanne"))</f>
        <v/>
      </c>
    </row>
    <row r="749" spans="18:26">
      <c r="R749" s="15"/>
      <c r="S749" s="16"/>
      <c r="T749" s="17">
        <f>IF(AND(COUNTA($A749:$K749)=0,$L749=""),"",IF($S749="Paid","PAID",IF($S749="Closed","CLOSED",IF($W749="","",IF($W749=6,"ESCALATED TO ROXANNE",IF(TODAY()&gt;$Y749,"OVERDUE",IF($Y749&lt;=WORKDAY(TODAY(),1,Holidays),"DUE TOMORROW",IF($W749=4,"ESCALATED TO LOCAL OFFICE",IF($W749=5,"ESCALATED TO CBE",IF($X749=TODAY(),"EMAIL SENT","MONITORING"))))))))))</f>
        <v/>
      </c>
      <c r="U749" s="17">
        <f>IF($T749="",IF(AND(COUNTA($A749:$K749)&gt;0,$L749=""),"Awaiting Collection Email time stamp.",""),IF(OR($T749="PAID",$T749="CLOSED"),IF($T749="PAID","Account paid. Action completed.","Account closed. No further action required."),CHOOSE($W749,"Collection Email","1st Email Follow-up","2nd Email Follow-up","Escalation to Local Office","Escalation to CBE","Escalation to Roxanne")&amp;" sent "&amp;TEXT($X749,"dd-mmm")&amp;". "&amp;IF($W749=6,"Final escalation completed.",IF($T749="OVERDUE","Next: "&amp;$Z749&amp;" was due "&amp;TEXT($Y749,"dd-mmm")&amp;" - "&amp;(NETWORKDAYS($Y749,TODAY(),Holidays)-1)&amp;" business day(s) late. Send now.",IF($T749="DUE TOMORROW","Next: "&amp;$Z749&amp;IF($Y749&lt;=TODAY()," is due TODAY ("," is due next business day (")&amp;TEXT($Y749,"dd-mmm")&amp;").","Next: "&amp;$Z749&amp;" due "&amp;TEXT($Y749,"dd-mmm")&amp;" ("&amp;(NETWORKDAYS(TODAY(),$Y749,Holidays)-1)&amp;" business day(s) left).")))))</f>
        <v/>
      </c>
      <c r="V749" s="17">
        <f>IF($W749="","",CHOOSE($W749,"Collection Email","1st Follow-up","2nd Follow-up","Local Office","CBE","Roxanne")&amp;IF($W749=6," - Final"," - Day "&amp;MAX(0,NETWORKDAYS($X749,TODAY(),Holidays)-1)&amp;" of "&amp;CHOOSE($W749,3,3,2,2,3))&amp;" | Total Day "&amp;MAX(0,NETWORKDAYS($L749,TODAY(),Holidays)-1))</f>
        <v/>
      </c>
      <c r="W749" s="17">
        <f>IF($L749="","",COUNT($L749:$Q749))</f>
        <v/>
      </c>
      <c r="X749" s="18">
        <f>IF($W749="","",INT(INDEX($L749:$Q749,$W749)))</f>
        <v/>
      </c>
      <c r="Y749" s="18">
        <f>IF(OR($W749="",$W749=6),"",WORKDAY($X749,CHOOSE($W749,3,3,2,2,3),Holidays))</f>
        <v/>
      </c>
      <c r="Z749" s="17">
        <f>IF(OR($W749="",$W749=6),"",CHOOSE($W749,"1st Email Follow-up","2nd Email Follow-up","Escalate Local Office","Escalate to CBE","Escalate to Roxanne"))</f>
        <v/>
      </c>
    </row>
    <row r="750" spans="18:26">
      <c r="R750" s="15"/>
      <c r="S750" s="16"/>
      <c r="T750" s="17">
        <f>IF(AND(COUNTA($A750:$K750)=0,$L750=""),"",IF($S750="Paid","PAID",IF($S750="Closed","CLOSED",IF($W750="","",IF($W750=6,"ESCALATED TO ROXANNE",IF(TODAY()&gt;$Y750,"OVERDUE",IF($Y750&lt;=WORKDAY(TODAY(),1,Holidays),"DUE TOMORROW",IF($W750=4,"ESCALATED TO LOCAL OFFICE",IF($W750=5,"ESCALATED TO CBE",IF($X750=TODAY(),"EMAIL SENT","MONITORING"))))))))))</f>
        <v/>
      </c>
      <c r="U750" s="17">
        <f>IF($T750="",IF(AND(COUNTA($A750:$K750)&gt;0,$L750=""),"Awaiting Collection Email time stamp.",""),IF(OR($T750="PAID",$T750="CLOSED"),IF($T750="PAID","Account paid. Action completed.","Account closed. No further action required."),CHOOSE($W750,"Collection Email","1st Email Follow-up","2nd Email Follow-up","Escalation to Local Office","Escalation to CBE","Escalation to Roxanne")&amp;" sent "&amp;TEXT($X750,"dd-mmm")&amp;". "&amp;IF($W750=6,"Final escalation completed.",IF($T750="OVERDUE","Next: "&amp;$Z750&amp;" was due "&amp;TEXT($Y750,"dd-mmm")&amp;" - "&amp;(NETWORKDAYS($Y750,TODAY(),Holidays)-1)&amp;" business day(s) late. Send now.",IF($T750="DUE TOMORROW","Next: "&amp;$Z750&amp;IF($Y750&lt;=TODAY()," is due TODAY ("," is due next business day (")&amp;TEXT($Y750,"dd-mmm")&amp;").","Next: "&amp;$Z750&amp;" due "&amp;TEXT($Y750,"dd-mmm")&amp;" ("&amp;(NETWORKDAYS(TODAY(),$Y750,Holidays)-1)&amp;" business day(s) left).")))))</f>
        <v/>
      </c>
      <c r="V750" s="17">
        <f>IF($W750="","",CHOOSE($W750,"Collection Email","1st Follow-up","2nd Follow-up","Local Office","CBE","Roxanne")&amp;IF($W750=6," - Final"," - Day "&amp;MAX(0,NETWORKDAYS($X750,TODAY(),Holidays)-1)&amp;" of "&amp;CHOOSE($W750,3,3,2,2,3))&amp;" | Total Day "&amp;MAX(0,NETWORKDAYS($L750,TODAY(),Holidays)-1))</f>
        <v/>
      </c>
      <c r="W750" s="17">
        <f>IF($L750="","",COUNT($L750:$Q750))</f>
        <v/>
      </c>
      <c r="X750" s="18">
        <f>IF($W750="","",INT(INDEX($L750:$Q750,$W750)))</f>
        <v/>
      </c>
      <c r="Y750" s="18">
        <f>IF(OR($W750="",$W750=6),"",WORKDAY($X750,CHOOSE($W750,3,3,2,2,3),Holidays))</f>
        <v/>
      </c>
      <c r="Z750" s="17">
        <f>IF(OR($W750="",$W750=6),"",CHOOSE($W750,"1st Email Follow-up","2nd Email Follow-up","Escalate Local Office","Escalate to CBE","Escalate to Roxanne"))</f>
        <v/>
      </c>
    </row>
    <row r="751" spans="18:26">
      <c r="R751" s="15"/>
      <c r="S751" s="16"/>
      <c r="T751" s="17">
        <f>IF(AND(COUNTA($A751:$K751)=0,$L751=""),"",IF($S751="Paid","PAID",IF($S751="Closed","CLOSED",IF($W751="","",IF($W751=6,"ESCALATED TO ROXANNE",IF(TODAY()&gt;$Y751,"OVERDUE",IF($Y751&lt;=WORKDAY(TODAY(),1,Holidays),"DUE TOMORROW",IF($W751=4,"ESCALATED TO LOCAL OFFICE",IF($W751=5,"ESCALATED TO CBE",IF($X751=TODAY(),"EMAIL SENT","MONITORING"))))))))))</f>
        <v/>
      </c>
      <c r="U751" s="17">
        <f>IF($T751="",IF(AND(COUNTA($A751:$K751)&gt;0,$L751=""),"Awaiting Collection Email time stamp.",""),IF(OR($T751="PAID",$T751="CLOSED"),IF($T751="PAID","Account paid. Action completed.","Account closed. No further action required."),CHOOSE($W751,"Collection Email","1st Email Follow-up","2nd Email Follow-up","Escalation to Local Office","Escalation to CBE","Escalation to Roxanne")&amp;" sent "&amp;TEXT($X751,"dd-mmm")&amp;". "&amp;IF($W751=6,"Final escalation completed.",IF($T751="OVERDUE","Next: "&amp;$Z751&amp;" was due "&amp;TEXT($Y751,"dd-mmm")&amp;" - "&amp;(NETWORKDAYS($Y751,TODAY(),Holidays)-1)&amp;" business day(s) late. Send now.",IF($T751="DUE TOMORROW","Next: "&amp;$Z751&amp;IF($Y751&lt;=TODAY()," is due TODAY ("," is due next business day (")&amp;TEXT($Y751,"dd-mmm")&amp;").","Next: "&amp;$Z751&amp;" due "&amp;TEXT($Y751,"dd-mmm")&amp;" ("&amp;(NETWORKDAYS(TODAY(),$Y751,Holidays)-1)&amp;" business day(s) left).")))))</f>
        <v/>
      </c>
      <c r="V751" s="17">
        <f>IF($W751="","",CHOOSE($W751,"Collection Email","1st Follow-up","2nd Follow-up","Local Office","CBE","Roxanne")&amp;IF($W751=6," - Final"," - Day "&amp;MAX(0,NETWORKDAYS($X751,TODAY(),Holidays)-1)&amp;" of "&amp;CHOOSE($W751,3,3,2,2,3))&amp;" | Total Day "&amp;MAX(0,NETWORKDAYS($L751,TODAY(),Holidays)-1))</f>
        <v/>
      </c>
      <c r="W751" s="17">
        <f>IF($L751="","",COUNT($L751:$Q751))</f>
        <v/>
      </c>
      <c r="X751" s="18">
        <f>IF($W751="","",INT(INDEX($L751:$Q751,$W751)))</f>
        <v/>
      </c>
      <c r="Y751" s="18">
        <f>IF(OR($W751="",$W751=6),"",WORKDAY($X751,CHOOSE($W751,3,3,2,2,3),Holidays))</f>
        <v/>
      </c>
      <c r="Z751" s="17">
        <f>IF(OR($W751="",$W751=6),"",CHOOSE($W751,"1st Email Follow-up","2nd Email Follow-up","Escalate Local Office","Escalate to CBE","Escalate to Roxanne"))</f>
        <v/>
      </c>
    </row>
    <row r="752" spans="18:26">
      <c r="R752" s="15"/>
      <c r="S752" s="16"/>
      <c r="T752" s="17">
        <f>IF(AND(COUNTA($A752:$K752)=0,$L752=""),"",IF($S752="Paid","PAID",IF($S752="Closed","CLOSED",IF($W752="","",IF($W752=6,"ESCALATED TO ROXANNE",IF(TODAY()&gt;$Y752,"OVERDUE",IF($Y752&lt;=WORKDAY(TODAY(),1,Holidays),"DUE TOMORROW",IF($W752=4,"ESCALATED TO LOCAL OFFICE",IF($W752=5,"ESCALATED TO CBE",IF($X752=TODAY(),"EMAIL SENT","MONITORING"))))))))))</f>
        <v/>
      </c>
      <c r="U752" s="17">
        <f>IF($T752="",IF(AND(COUNTA($A752:$K752)&gt;0,$L752=""),"Awaiting Collection Email time stamp.",""),IF(OR($T752="PAID",$T752="CLOSED"),IF($T752="PAID","Account paid. Action completed.","Account closed. No further action required."),CHOOSE($W752,"Collection Email","1st Email Follow-up","2nd Email Follow-up","Escalation to Local Office","Escalation to CBE","Escalation to Roxanne")&amp;" sent "&amp;TEXT($X752,"dd-mmm")&amp;". "&amp;IF($W752=6,"Final escalation completed.",IF($T752="OVERDUE","Next: "&amp;$Z752&amp;" was due "&amp;TEXT($Y752,"dd-mmm")&amp;" - "&amp;(NETWORKDAYS($Y752,TODAY(),Holidays)-1)&amp;" business day(s) late. Send now.",IF($T752="DUE TOMORROW","Next: "&amp;$Z752&amp;IF($Y752&lt;=TODAY()," is due TODAY ("," is due next business day (")&amp;TEXT($Y752,"dd-mmm")&amp;").","Next: "&amp;$Z752&amp;" due "&amp;TEXT($Y752,"dd-mmm")&amp;" ("&amp;(NETWORKDAYS(TODAY(),$Y752,Holidays)-1)&amp;" business day(s) left).")))))</f>
        <v/>
      </c>
      <c r="V752" s="17">
        <f>IF($W752="","",CHOOSE($W752,"Collection Email","1st Follow-up","2nd Follow-up","Local Office","CBE","Roxanne")&amp;IF($W752=6," - Final"," - Day "&amp;MAX(0,NETWORKDAYS($X752,TODAY(),Holidays)-1)&amp;" of "&amp;CHOOSE($W752,3,3,2,2,3))&amp;" | Total Day "&amp;MAX(0,NETWORKDAYS($L752,TODAY(),Holidays)-1))</f>
        <v/>
      </c>
      <c r="W752" s="17">
        <f>IF($L752="","",COUNT($L752:$Q752))</f>
        <v/>
      </c>
      <c r="X752" s="18">
        <f>IF($W752="","",INT(INDEX($L752:$Q752,$W752)))</f>
        <v/>
      </c>
      <c r="Y752" s="18">
        <f>IF(OR($W752="",$W752=6),"",WORKDAY($X752,CHOOSE($W752,3,3,2,2,3),Holidays))</f>
        <v/>
      </c>
      <c r="Z752" s="17">
        <f>IF(OR($W752="",$W752=6),"",CHOOSE($W752,"1st Email Follow-up","2nd Email Follow-up","Escalate Local Office","Escalate to CBE","Escalate to Roxanne"))</f>
        <v/>
      </c>
    </row>
    <row r="753" spans="18:26">
      <c r="R753" s="15"/>
      <c r="S753" s="16"/>
      <c r="T753" s="17">
        <f>IF(AND(COUNTA($A753:$K753)=0,$L753=""),"",IF($S753="Paid","PAID",IF($S753="Closed","CLOSED",IF($W753="","",IF($W753=6,"ESCALATED TO ROXANNE",IF(TODAY()&gt;$Y753,"OVERDUE",IF($Y753&lt;=WORKDAY(TODAY(),1,Holidays),"DUE TOMORROW",IF($W753=4,"ESCALATED TO LOCAL OFFICE",IF($W753=5,"ESCALATED TO CBE",IF($X753=TODAY(),"EMAIL SENT","MONITORING"))))))))))</f>
        <v/>
      </c>
      <c r="U753" s="17">
        <f>IF($T753="",IF(AND(COUNTA($A753:$K753)&gt;0,$L753=""),"Awaiting Collection Email time stamp.",""),IF(OR($T753="PAID",$T753="CLOSED"),IF($T753="PAID","Account paid. Action completed.","Account closed. No further action required."),CHOOSE($W753,"Collection Email","1st Email Follow-up","2nd Email Follow-up","Escalation to Local Office","Escalation to CBE","Escalation to Roxanne")&amp;" sent "&amp;TEXT($X753,"dd-mmm")&amp;". "&amp;IF($W753=6,"Final escalation completed.",IF($T753="OVERDUE","Next: "&amp;$Z753&amp;" was due "&amp;TEXT($Y753,"dd-mmm")&amp;" - "&amp;(NETWORKDAYS($Y753,TODAY(),Holidays)-1)&amp;" business day(s) late. Send now.",IF($T753="DUE TOMORROW","Next: "&amp;$Z753&amp;IF($Y753&lt;=TODAY()," is due TODAY ("," is due next business day (")&amp;TEXT($Y753,"dd-mmm")&amp;").","Next: "&amp;$Z753&amp;" due "&amp;TEXT($Y753,"dd-mmm")&amp;" ("&amp;(NETWORKDAYS(TODAY(),$Y753,Holidays)-1)&amp;" business day(s) left).")))))</f>
        <v/>
      </c>
      <c r="V753" s="17">
        <f>IF($W753="","",CHOOSE($W753,"Collection Email","1st Follow-up","2nd Follow-up","Local Office","CBE","Roxanne")&amp;IF($W753=6," - Final"," - Day "&amp;MAX(0,NETWORKDAYS($X753,TODAY(),Holidays)-1)&amp;" of "&amp;CHOOSE($W753,3,3,2,2,3))&amp;" | Total Day "&amp;MAX(0,NETWORKDAYS($L753,TODAY(),Holidays)-1))</f>
        <v/>
      </c>
      <c r="W753" s="17">
        <f>IF($L753="","",COUNT($L753:$Q753))</f>
        <v/>
      </c>
      <c r="X753" s="18">
        <f>IF($W753="","",INT(INDEX($L753:$Q753,$W753)))</f>
        <v/>
      </c>
      <c r="Y753" s="18">
        <f>IF(OR($W753="",$W753=6),"",WORKDAY($X753,CHOOSE($W753,3,3,2,2,3),Holidays))</f>
        <v/>
      </c>
      <c r="Z753" s="17">
        <f>IF(OR($W753="",$W753=6),"",CHOOSE($W753,"1st Email Follow-up","2nd Email Follow-up","Escalate Local Office","Escalate to CBE","Escalate to Roxanne"))</f>
        <v/>
      </c>
    </row>
    <row r="754" spans="18:26">
      <c r="R754" s="15"/>
      <c r="S754" s="16"/>
      <c r="T754" s="17">
        <f>IF(AND(COUNTA($A754:$K754)=0,$L754=""),"",IF($S754="Paid","PAID",IF($S754="Closed","CLOSED",IF($W754="","",IF($W754=6,"ESCALATED TO ROXANNE",IF(TODAY()&gt;$Y754,"OVERDUE",IF($Y754&lt;=WORKDAY(TODAY(),1,Holidays),"DUE TOMORROW",IF($W754=4,"ESCALATED TO LOCAL OFFICE",IF($W754=5,"ESCALATED TO CBE",IF($X754=TODAY(),"EMAIL SENT","MONITORING"))))))))))</f>
        <v/>
      </c>
      <c r="U754" s="17">
        <f>IF($T754="",IF(AND(COUNTA($A754:$K754)&gt;0,$L754=""),"Awaiting Collection Email time stamp.",""),IF(OR($T754="PAID",$T754="CLOSED"),IF($T754="PAID","Account paid. Action completed.","Account closed. No further action required."),CHOOSE($W754,"Collection Email","1st Email Follow-up","2nd Email Follow-up","Escalation to Local Office","Escalation to CBE","Escalation to Roxanne")&amp;" sent "&amp;TEXT($X754,"dd-mmm")&amp;". "&amp;IF($W754=6,"Final escalation completed.",IF($T754="OVERDUE","Next: "&amp;$Z754&amp;" was due "&amp;TEXT($Y754,"dd-mmm")&amp;" - "&amp;(NETWORKDAYS($Y754,TODAY(),Holidays)-1)&amp;" business day(s) late. Send now.",IF($T754="DUE TOMORROW","Next: "&amp;$Z754&amp;IF($Y754&lt;=TODAY()," is due TODAY ("," is due next business day (")&amp;TEXT($Y754,"dd-mmm")&amp;").","Next: "&amp;$Z754&amp;" due "&amp;TEXT($Y754,"dd-mmm")&amp;" ("&amp;(NETWORKDAYS(TODAY(),$Y754,Holidays)-1)&amp;" business day(s) left).")))))</f>
        <v/>
      </c>
      <c r="V754" s="17">
        <f>IF($W754="","",CHOOSE($W754,"Collection Email","1st Follow-up","2nd Follow-up","Local Office","CBE","Roxanne")&amp;IF($W754=6," - Final"," - Day "&amp;MAX(0,NETWORKDAYS($X754,TODAY(),Holidays)-1)&amp;" of "&amp;CHOOSE($W754,3,3,2,2,3))&amp;" | Total Day "&amp;MAX(0,NETWORKDAYS($L754,TODAY(),Holidays)-1))</f>
        <v/>
      </c>
      <c r="W754" s="17">
        <f>IF($L754="","",COUNT($L754:$Q754))</f>
        <v/>
      </c>
      <c r="X754" s="18">
        <f>IF($W754="","",INT(INDEX($L754:$Q754,$W754)))</f>
        <v/>
      </c>
      <c r="Y754" s="18">
        <f>IF(OR($W754="",$W754=6),"",WORKDAY($X754,CHOOSE($W754,3,3,2,2,3),Holidays))</f>
        <v/>
      </c>
      <c r="Z754" s="17">
        <f>IF(OR($W754="",$W754=6),"",CHOOSE($W754,"1st Email Follow-up","2nd Email Follow-up","Escalate Local Office","Escalate to CBE","Escalate to Roxanne"))</f>
        <v/>
      </c>
    </row>
    <row r="755" spans="18:26">
      <c r="R755" s="15"/>
      <c r="S755" s="16"/>
      <c r="T755" s="17">
        <f>IF(AND(COUNTA($A755:$K755)=0,$L755=""),"",IF($S755="Paid","PAID",IF($S755="Closed","CLOSED",IF($W755="","",IF($W755=6,"ESCALATED TO ROXANNE",IF(TODAY()&gt;$Y755,"OVERDUE",IF($Y755&lt;=WORKDAY(TODAY(),1,Holidays),"DUE TOMORROW",IF($W755=4,"ESCALATED TO LOCAL OFFICE",IF($W755=5,"ESCALATED TO CBE",IF($X755=TODAY(),"EMAIL SENT","MONITORING"))))))))))</f>
        <v/>
      </c>
      <c r="U755" s="17">
        <f>IF($T755="",IF(AND(COUNTA($A755:$K755)&gt;0,$L755=""),"Awaiting Collection Email time stamp.",""),IF(OR($T755="PAID",$T755="CLOSED"),IF($T755="PAID","Account paid. Action completed.","Account closed. No further action required."),CHOOSE($W755,"Collection Email","1st Email Follow-up","2nd Email Follow-up","Escalation to Local Office","Escalation to CBE","Escalation to Roxanne")&amp;" sent "&amp;TEXT($X755,"dd-mmm")&amp;". "&amp;IF($W755=6,"Final escalation completed.",IF($T755="OVERDUE","Next: "&amp;$Z755&amp;" was due "&amp;TEXT($Y755,"dd-mmm")&amp;" - "&amp;(NETWORKDAYS($Y755,TODAY(),Holidays)-1)&amp;" business day(s) late. Send now.",IF($T755="DUE TOMORROW","Next: "&amp;$Z755&amp;IF($Y755&lt;=TODAY()," is due TODAY ("," is due next business day (")&amp;TEXT($Y755,"dd-mmm")&amp;").","Next: "&amp;$Z755&amp;" due "&amp;TEXT($Y755,"dd-mmm")&amp;" ("&amp;(NETWORKDAYS(TODAY(),$Y755,Holidays)-1)&amp;" business day(s) left).")))))</f>
        <v/>
      </c>
      <c r="V755" s="17">
        <f>IF($W755="","",CHOOSE($W755,"Collection Email","1st Follow-up","2nd Follow-up","Local Office","CBE","Roxanne")&amp;IF($W755=6," - Final"," - Day "&amp;MAX(0,NETWORKDAYS($X755,TODAY(),Holidays)-1)&amp;" of "&amp;CHOOSE($W755,3,3,2,2,3))&amp;" | Total Day "&amp;MAX(0,NETWORKDAYS($L755,TODAY(),Holidays)-1))</f>
        <v/>
      </c>
      <c r="W755" s="17">
        <f>IF($L755="","",COUNT($L755:$Q755))</f>
        <v/>
      </c>
      <c r="X755" s="18">
        <f>IF($W755="","",INT(INDEX($L755:$Q755,$W755)))</f>
        <v/>
      </c>
      <c r="Y755" s="18">
        <f>IF(OR($W755="",$W755=6),"",WORKDAY($X755,CHOOSE($W755,3,3,2,2,3),Holidays))</f>
        <v/>
      </c>
      <c r="Z755" s="17">
        <f>IF(OR($W755="",$W755=6),"",CHOOSE($W755,"1st Email Follow-up","2nd Email Follow-up","Escalate Local Office","Escalate to CBE","Escalate to Roxanne"))</f>
        <v/>
      </c>
    </row>
    <row r="756" spans="18:26">
      <c r="R756" s="15"/>
      <c r="S756" s="16"/>
      <c r="T756" s="17">
        <f>IF(AND(COUNTA($A756:$K756)=0,$L756=""),"",IF($S756="Paid","PAID",IF($S756="Closed","CLOSED",IF($W756="","",IF($W756=6,"ESCALATED TO ROXANNE",IF(TODAY()&gt;$Y756,"OVERDUE",IF($Y756&lt;=WORKDAY(TODAY(),1,Holidays),"DUE TOMORROW",IF($W756=4,"ESCALATED TO LOCAL OFFICE",IF($W756=5,"ESCALATED TO CBE",IF($X756=TODAY(),"EMAIL SENT","MONITORING"))))))))))</f>
        <v/>
      </c>
      <c r="U756" s="17">
        <f>IF($T756="",IF(AND(COUNTA($A756:$K756)&gt;0,$L756=""),"Awaiting Collection Email time stamp.",""),IF(OR($T756="PAID",$T756="CLOSED"),IF($T756="PAID","Account paid. Action completed.","Account closed. No further action required."),CHOOSE($W756,"Collection Email","1st Email Follow-up","2nd Email Follow-up","Escalation to Local Office","Escalation to CBE","Escalation to Roxanne")&amp;" sent "&amp;TEXT($X756,"dd-mmm")&amp;". "&amp;IF($W756=6,"Final escalation completed.",IF($T756="OVERDUE","Next: "&amp;$Z756&amp;" was due "&amp;TEXT($Y756,"dd-mmm")&amp;" - "&amp;(NETWORKDAYS($Y756,TODAY(),Holidays)-1)&amp;" business day(s) late. Send now.",IF($T756="DUE TOMORROW","Next: "&amp;$Z756&amp;IF($Y756&lt;=TODAY()," is due TODAY ("," is due next business day (")&amp;TEXT($Y756,"dd-mmm")&amp;").","Next: "&amp;$Z756&amp;" due "&amp;TEXT($Y756,"dd-mmm")&amp;" ("&amp;(NETWORKDAYS(TODAY(),$Y756,Holidays)-1)&amp;" business day(s) left).")))))</f>
        <v/>
      </c>
      <c r="V756" s="17">
        <f>IF($W756="","",CHOOSE($W756,"Collection Email","1st Follow-up","2nd Follow-up","Local Office","CBE","Roxanne")&amp;IF($W756=6," - Final"," - Day "&amp;MAX(0,NETWORKDAYS($X756,TODAY(),Holidays)-1)&amp;" of "&amp;CHOOSE($W756,3,3,2,2,3))&amp;" | Total Day "&amp;MAX(0,NETWORKDAYS($L756,TODAY(),Holidays)-1))</f>
        <v/>
      </c>
      <c r="W756" s="17">
        <f>IF($L756="","",COUNT($L756:$Q756))</f>
        <v/>
      </c>
      <c r="X756" s="18">
        <f>IF($W756="","",INT(INDEX($L756:$Q756,$W756)))</f>
        <v/>
      </c>
      <c r="Y756" s="18">
        <f>IF(OR($W756="",$W756=6),"",WORKDAY($X756,CHOOSE($W756,3,3,2,2,3),Holidays))</f>
        <v/>
      </c>
      <c r="Z756" s="17">
        <f>IF(OR($W756="",$W756=6),"",CHOOSE($W756,"1st Email Follow-up","2nd Email Follow-up","Escalate Local Office","Escalate to CBE","Escalate to Roxanne"))</f>
        <v/>
      </c>
    </row>
    <row r="757" spans="18:26">
      <c r="R757" s="15"/>
      <c r="S757" s="16"/>
      <c r="T757" s="17">
        <f>IF(AND(COUNTA($A757:$K757)=0,$L757=""),"",IF($S757="Paid","PAID",IF($S757="Closed","CLOSED",IF($W757="","",IF($W757=6,"ESCALATED TO ROXANNE",IF(TODAY()&gt;$Y757,"OVERDUE",IF($Y757&lt;=WORKDAY(TODAY(),1,Holidays),"DUE TOMORROW",IF($W757=4,"ESCALATED TO LOCAL OFFICE",IF($W757=5,"ESCALATED TO CBE",IF($X757=TODAY(),"EMAIL SENT","MONITORING"))))))))))</f>
        <v/>
      </c>
      <c r="U757" s="17">
        <f>IF($T757="",IF(AND(COUNTA($A757:$K757)&gt;0,$L757=""),"Awaiting Collection Email time stamp.",""),IF(OR($T757="PAID",$T757="CLOSED"),IF($T757="PAID","Account paid. Action completed.","Account closed. No further action required."),CHOOSE($W757,"Collection Email","1st Email Follow-up","2nd Email Follow-up","Escalation to Local Office","Escalation to CBE","Escalation to Roxanne")&amp;" sent "&amp;TEXT($X757,"dd-mmm")&amp;". "&amp;IF($W757=6,"Final escalation completed.",IF($T757="OVERDUE","Next: "&amp;$Z757&amp;" was due "&amp;TEXT($Y757,"dd-mmm")&amp;" - "&amp;(NETWORKDAYS($Y757,TODAY(),Holidays)-1)&amp;" business day(s) late. Send now.",IF($T757="DUE TOMORROW","Next: "&amp;$Z757&amp;IF($Y757&lt;=TODAY()," is due TODAY ("," is due next business day (")&amp;TEXT($Y757,"dd-mmm")&amp;").","Next: "&amp;$Z757&amp;" due "&amp;TEXT($Y757,"dd-mmm")&amp;" ("&amp;(NETWORKDAYS(TODAY(),$Y757,Holidays)-1)&amp;" business day(s) left).")))))</f>
        <v/>
      </c>
      <c r="V757" s="17">
        <f>IF($W757="","",CHOOSE($W757,"Collection Email","1st Follow-up","2nd Follow-up","Local Office","CBE","Roxanne")&amp;IF($W757=6," - Final"," - Day "&amp;MAX(0,NETWORKDAYS($X757,TODAY(),Holidays)-1)&amp;" of "&amp;CHOOSE($W757,3,3,2,2,3))&amp;" | Total Day "&amp;MAX(0,NETWORKDAYS($L757,TODAY(),Holidays)-1))</f>
        <v/>
      </c>
      <c r="W757" s="17">
        <f>IF($L757="","",COUNT($L757:$Q757))</f>
        <v/>
      </c>
      <c r="X757" s="18">
        <f>IF($W757="","",INT(INDEX($L757:$Q757,$W757)))</f>
        <v/>
      </c>
      <c r="Y757" s="18">
        <f>IF(OR($W757="",$W757=6),"",WORKDAY($X757,CHOOSE($W757,3,3,2,2,3),Holidays))</f>
        <v/>
      </c>
      <c r="Z757" s="17">
        <f>IF(OR($W757="",$W757=6),"",CHOOSE($W757,"1st Email Follow-up","2nd Email Follow-up","Escalate Local Office","Escalate to CBE","Escalate to Roxanne"))</f>
        <v/>
      </c>
    </row>
    <row r="758" spans="18:26">
      <c r="R758" s="15"/>
      <c r="S758" s="16"/>
      <c r="T758" s="17">
        <f>IF(AND(COUNTA($A758:$K758)=0,$L758=""),"",IF($S758="Paid","PAID",IF($S758="Closed","CLOSED",IF($W758="","",IF($W758=6,"ESCALATED TO ROXANNE",IF(TODAY()&gt;$Y758,"OVERDUE",IF($Y758&lt;=WORKDAY(TODAY(),1,Holidays),"DUE TOMORROW",IF($W758=4,"ESCALATED TO LOCAL OFFICE",IF($W758=5,"ESCALATED TO CBE",IF($X758=TODAY(),"EMAIL SENT","MONITORING"))))))))))</f>
        <v/>
      </c>
      <c r="U758" s="17">
        <f>IF($T758="",IF(AND(COUNTA($A758:$K758)&gt;0,$L758=""),"Awaiting Collection Email time stamp.",""),IF(OR($T758="PAID",$T758="CLOSED"),IF($T758="PAID","Account paid. Action completed.","Account closed. No further action required."),CHOOSE($W758,"Collection Email","1st Email Follow-up","2nd Email Follow-up","Escalation to Local Office","Escalation to CBE","Escalation to Roxanne")&amp;" sent "&amp;TEXT($X758,"dd-mmm")&amp;". "&amp;IF($W758=6,"Final escalation completed.",IF($T758="OVERDUE","Next: "&amp;$Z758&amp;" was due "&amp;TEXT($Y758,"dd-mmm")&amp;" - "&amp;(NETWORKDAYS($Y758,TODAY(),Holidays)-1)&amp;" business day(s) late. Send now.",IF($T758="DUE TOMORROW","Next: "&amp;$Z758&amp;IF($Y758&lt;=TODAY()," is due TODAY ("," is due next business day (")&amp;TEXT($Y758,"dd-mmm")&amp;").","Next: "&amp;$Z758&amp;" due "&amp;TEXT($Y758,"dd-mmm")&amp;" ("&amp;(NETWORKDAYS(TODAY(),$Y758,Holidays)-1)&amp;" business day(s) left).")))))</f>
        <v/>
      </c>
      <c r="V758" s="17">
        <f>IF($W758="","",CHOOSE($W758,"Collection Email","1st Follow-up","2nd Follow-up","Local Office","CBE","Roxanne")&amp;IF($W758=6," - Final"," - Day "&amp;MAX(0,NETWORKDAYS($X758,TODAY(),Holidays)-1)&amp;" of "&amp;CHOOSE($W758,3,3,2,2,3))&amp;" | Total Day "&amp;MAX(0,NETWORKDAYS($L758,TODAY(),Holidays)-1))</f>
        <v/>
      </c>
      <c r="W758" s="17">
        <f>IF($L758="","",COUNT($L758:$Q758))</f>
        <v/>
      </c>
      <c r="X758" s="18">
        <f>IF($W758="","",INT(INDEX($L758:$Q758,$W758)))</f>
        <v/>
      </c>
      <c r="Y758" s="18">
        <f>IF(OR($W758="",$W758=6),"",WORKDAY($X758,CHOOSE($W758,3,3,2,2,3),Holidays))</f>
        <v/>
      </c>
      <c r="Z758" s="17">
        <f>IF(OR($W758="",$W758=6),"",CHOOSE($W758,"1st Email Follow-up","2nd Email Follow-up","Escalate Local Office","Escalate to CBE","Escalate to Roxanne"))</f>
        <v/>
      </c>
    </row>
    <row r="759" spans="18:26">
      <c r="R759" s="15"/>
      <c r="S759" s="16"/>
      <c r="T759" s="17">
        <f>IF(AND(COUNTA($A759:$K759)=0,$L759=""),"",IF($S759="Paid","PAID",IF($S759="Closed","CLOSED",IF($W759="","",IF($W759=6,"ESCALATED TO ROXANNE",IF(TODAY()&gt;$Y759,"OVERDUE",IF($Y759&lt;=WORKDAY(TODAY(),1,Holidays),"DUE TOMORROW",IF($W759=4,"ESCALATED TO LOCAL OFFICE",IF($W759=5,"ESCALATED TO CBE",IF($X759=TODAY(),"EMAIL SENT","MONITORING"))))))))))</f>
        <v/>
      </c>
      <c r="U759" s="17">
        <f>IF($T759="",IF(AND(COUNTA($A759:$K759)&gt;0,$L759=""),"Awaiting Collection Email time stamp.",""),IF(OR($T759="PAID",$T759="CLOSED"),IF($T759="PAID","Account paid. Action completed.","Account closed. No further action required."),CHOOSE($W759,"Collection Email","1st Email Follow-up","2nd Email Follow-up","Escalation to Local Office","Escalation to CBE","Escalation to Roxanne")&amp;" sent "&amp;TEXT($X759,"dd-mmm")&amp;". "&amp;IF($W759=6,"Final escalation completed.",IF($T759="OVERDUE","Next: "&amp;$Z759&amp;" was due "&amp;TEXT($Y759,"dd-mmm")&amp;" - "&amp;(NETWORKDAYS($Y759,TODAY(),Holidays)-1)&amp;" business day(s) late. Send now.",IF($T759="DUE TOMORROW","Next: "&amp;$Z759&amp;IF($Y759&lt;=TODAY()," is due TODAY ("," is due next business day (")&amp;TEXT($Y759,"dd-mmm")&amp;").","Next: "&amp;$Z759&amp;" due "&amp;TEXT($Y759,"dd-mmm")&amp;" ("&amp;(NETWORKDAYS(TODAY(),$Y759,Holidays)-1)&amp;" business day(s) left).")))))</f>
        <v/>
      </c>
      <c r="V759" s="17">
        <f>IF($W759="","",CHOOSE($W759,"Collection Email","1st Follow-up","2nd Follow-up","Local Office","CBE","Roxanne")&amp;IF($W759=6," - Final"," - Day "&amp;MAX(0,NETWORKDAYS($X759,TODAY(),Holidays)-1)&amp;" of "&amp;CHOOSE($W759,3,3,2,2,3))&amp;" | Total Day "&amp;MAX(0,NETWORKDAYS($L759,TODAY(),Holidays)-1))</f>
        <v/>
      </c>
      <c r="W759" s="17">
        <f>IF($L759="","",COUNT($L759:$Q759))</f>
        <v/>
      </c>
      <c r="X759" s="18">
        <f>IF($W759="","",INT(INDEX($L759:$Q759,$W759)))</f>
        <v/>
      </c>
      <c r="Y759" s="18">
        <f>IF(OR($W759="",$W759=6),"",WORKDAY($X759,CHOOSE($W759,3,3,2,2,3),Holidays))</f>
        <v/>
      </c>
      <c r="Z759" s="17">
        <f>IF(OR($W759="",$W759=6),"",CHOOSE($W759,"1st Email Follow-up","2nd Email Follow-up","Escalate Local Office","Escalate to CBE","Escalate to Roxanne"))</f>
        <v/>
      </c>
    </row>
    <row r="760" spans="18:26">
      <c r="R760" s="15"/>
      <c r="S760" s="16"/>
      <c r="T760" s="17">
        <f>IF(AND(COUNTA($A760:$K760)=0,$L760=""),"",IF($S760="Paid","PAID",IF($S760="Closed","CLOSED",IF($W760="","",IF($W760=6,"ESCALATED TO ROXANNE",IF(TODAY()&gt;$Y760,"OVERDUE",IF($Y760&lt;=WORKDAY(TODAY(),1,Holidays),"DUE TOMORROW",IF($W760=4,"ESCALATED TO LOCAL OFFICE",IF($W760=5,"ESCALATED TO CBE",IF($X760=TODAY(),"EMAIL SENT","MONITORING"))))))))))</f>
        <v/>
      </c>
      <c r="U760" s="17">
        <f>IF($T760="",IF(AND(COUNTA($A760:$K760)&gt;0,$L760=""),"Awaiting Collection Email time stamp.",""),IF(OR($T760="PAID",$T760="CLOSED"),IF($T760="PAID","Account paid. Action completed.","Account closed. No further action required."),CHOOSE($W760,"Collection Email","1st Email Follow-up","2nd Email Follow-up","Escalation to Local Office","Escalation to CBE","Escalation to Roxanne")&amp;" sent "&amp;TEXT($X760,"dd-mmm")&amp;". "&amp;IF($W760=6,"Final escalation completed.",IF($T760="OVERDUE","Next: "&amp;$Z760&amp;" was due "&amp;TEXT($Y760,"dd-mmm")&amp;" - "&amp;(NETWORKDAYS($Y760,TODAY(),Holidays)-1)&amp;" business day(s) late. Send now.",IF($T760="DUE TOMORROW","Next: "&amp;$Z760&amp;IF($Y760&lt;=TODAY()," is due TODAY ("," is due next business day (")&amp;TEXT($Y760,"dd-mmm")&amp;").","Next: "&amp;$Z760&amp;" due "&amp;TEXT($Y760,"dd-mmm")&amp;" ("&amp;(NETWORKDAYS(TODAY(),$Y760,Holidays)-1)&amp;" business day(s) left).")))))</f>
        <v/>
      </c>
      <c r="V760" s="17">
        <f>IF($W760="","",CHOOSE($W760,"Collection Email","1st Follow-up","2nd Follow-up","Local Office","CBE","Roxanne")&amp;IF($W760=6," - Final"," - Day "&amp;MAX(0,NETWORKDAYS($X760,TODAY(),Holidays)-1)&amp;" of "&amp;CHOOSE($W760,3,3,2,2,3))&amp;" | Total Day "&amp;MAX(0,NETWORKDAYS($L760,TODAY(),Holidays)-1))</f>
        <v/>
      </c>
      <c r="W760" s="17">
        <f>IF($L760="","",COUNT($L760:$Q760))</f>
        <v/>
      </c>
      <c r="X760" s="18">
        <f>IF($W760="","",INT(INDEX($L760:$Q760,$W760)))</f>
        <v/>
      </c>
      <c r="Y760" s="18">
        <f>IF(OR($W760="",$W760=6),"",WORKDAY($X760,CHOOSE($W760,3,3,2,2,3),Holidays))</f>
        <v/>
      </c>
      <c r="Z760" s="17">
        <f>IF(OR($W760="",$W760=6),"",CHOOSE($W760,"1st Email Follow-up","2nd Email Follow-up","Escalate Local Office","Escalate to CBE","Escalate to Roxanne"))</f>
        <v/>
      </c>
    </row>
    <row r="761" spans="18:26">
      <c r="R761" s="15"/>
      <c r="S761" s="16"/>
      <c r="T761" s="17">
        <f>IF(AND(COUNTA($A761:$K761)=0,$L761=""),"",IF($S761="Paid","PAID",IF($S761="Closed","CLOSED",IF($W761="","",IF($W761=6,"ESCALATED TO ROXANNE",IF(TODAY()&gt;$Y761,"OVERDUE",IF($Y761&lt;=WORKDAY(TODAY(),1,Holidays),"DUE TOMORROW",IF($W761=4,"ESCALATED TO LOCAL OFFICE",IF($W761=5,"ESCALATED TO CBE",IF($X761=TODAY(),"EMAIL SENT","MONITORING"))))))))))</f>
        <v/>
      </c>
      <c r="U761" s="17">
        <f>IF($T761="",IF(AND(COUNTA($A761:$K761)&gt;0,$L761=""),"Awaiting Collection Email time stamp.",""),IF(OR($T761="PAID",$T761="CLOSED"),IF($T761="PAID","Account paid. Action completed.","Account closed. No further action required."),CHOOSE($W761,"Collection Email","1st Email Follow-up","2nd Email Follow-up","Escalation to Local Office","Escalation to CBE","Escalation to Roxanne")&amp;" sent "&amp;TEXT($X761,"dd-mmm")&amp;". "&amp;IF($W761=6,"Final escalation completed.",IF($T761="OVERDUE","Next: "&amp;$Z761&amp;" was due "&amp;TEXT($Y761,"dd-mmm")&amp;" - "&amp;(NETWORKDAYS($Y761,TODAY(),Holidays)-1)&amp;" business day(s) late. Send now.",IF($T761="DUE TOMORROW","Next: "&amp;$Z761&amp;IF($Y761&lt;=TODAY()," is due TODAY ("," is due next business day (")&amp;TEXT($Y761,"dd-mmm")&amp;").","Next: "&amp;$Z761&amp;" due "&amp;TEXT($Y761,"dd-mmm")&amp;" ("&amp;(NETWORKDAYS(TODAY(),$Y761,Holidays)-1)&amp;" business day(s) left).")))))</f>
        <v/>
      </c>
      <c r="V761" s="17">
        <f>IF($W761="","",CHOOSE($W761,"Collection Email","1st Follow-up","2nd Follow-up","Local Office","CBE","Roxanne")&amp;IF($W761=6," - Final"," - Day "&amp;MAX(0,NETWORKDAYS($X761,TODAY(),Holidays)-1)&amp;" of "&amp;CHOOSE($W761,3,3,2,2,3))&amp;" | Total Day "&amp;MAX(0,NETWORKDAYS($L761,TODAY(),Holidays)-1))</f>
        <v/>
      </c>
      <c r="W761" s="17">
        <f>IF($L761="","",COUNT($L761:$Q761))</f>
        <v/>
      </c>
      <c r="X761" s="18">
        <f>IF($W761="","",INT(INDEX($L761:$Q761,$W761)))</f>
        <v/>
      </c>
      <c r="Y761" s="18">
        <f>IF(OR($W761="",$W761=6),"",WORKDAY($X761,CHOOSE($W761,3,3,2,2,3),Holidays))</f>
        <v/>
      </c>
      <c r="Z761" s="17">
        <f>IF(OR($W761="",$W761=6),"",CHOOSE($W761,"1st Email Follow-up","2nd Email Follow-up","Escalate Local Office","Escalate to CBE","Escalate to Roxanne"))</f>
        <v/>
      </c>
    </row>
    <row r="762" spans="18:26">
      <c r="R762" s="15"/>
      <c r="S762" s="16"/>
      <c r="T762" s="17">
        <f>IF(AND(COUNTA($A762:$K762)=0,$L762=""),"",IF($S762="Paid","PAID",IF($S762="Closed","CLOSED",IF($W762="","",IF($W762=6,"ESCALATED TO ROXANNE",IF(TODAY()&gt;$Y762,"OVERDUE",IF($Y762&lt;=WORKDAY(TODAY(),1,Holidays),"DUE TOMORROW",IF($W762=4,"ESCALATED TO LOCAL OFFICE",IF($W762=5,"ESCALATED TO CBE",IF($X762=TODAY(),"EMAIL SENT","MONITORING"))))))))))</f>
        <v/>
      </c>
      <c r="U762" s="17">
        <f>IF($T762="",IF(AND(COUNTA($A762:$K762)&gt;0,$L762=""),"Awaiting Collection Email time stamp.",""),IF(OR($T762="PAID",$T762="CLOSED"),IF($T762="PAID","Account paid. Action completed.","Account closed. No further action required."),CHOOSE($W762,"Collection Email","1st Email Follow-up","2nd Email Follow-up","Escalation to Local Office","Escalation to CBE","Escalation to Roxanne")&amp;" sent "&amp;TEXT($X762,"dd-mmm")&amp;". "&amp;IF($W762=6,"Final escalation completed.",IF($T762="OVERDUE","Next: "&amp;$Z762&amp;" was due "&amp;TEXT($Y762,"dd-mmm")&amp;" - "&amp;(NETWORKDAYS($Y762,TODAY(),Holidays)-1)&amp;" business day(s) late. Send now.",IF($T762="DUE TOMORROW","Next: "&amp;$Z762&amp;IF($Y762&lt;=TODAY()," is due TODAY ("," is due next business day (")&amp;TEXT($Y762,"dd-mmm")&amp;").","Next: "&amp;$Z762&amp;" due "&amp;TEXT($Y762,"dd-mmm")&amp;" ("&amp;(NETWORKDAYS(TODAY(),$Y762,Holidays)-1)&amp;" business day(s) left).")))))</f>
        <v/>
      </c>
      <c r="V762" s="17">
        <f>IF($W762="","",CHOOSE($W762,"Collection Email","1st Follow-up","2nd Follow-up","Local Office","CBE","Roxanne")&amp;IF($W762=6," - Final"," - Day "&amp;MAX(0,NETWORKDAYS($X762,TODAY(),Holidays)-1)&amp;" of "&amp;CHOOSE($W762,3,3,2,2,3))&amp;" | Total Day "&amp;MAX(0,NETWORKDAYS($L762,TODAY(),Holidays)-1))</f>
        <v/>
      </c>
      <c r="W762" s="17">
        <f>IF($L762="","",COUNT($L762:$Q762))</f>
        <v/>
      </c>
      <c r="X762" s="18">
        <f>IF($W762="","",INT(INDEX($L762:$Q762,$W762)))</f>
        <v/>
      </c>
      <c r="Y762" s="18">
        <f>IF(OR($W762="",$W762=6),"",WORKDAY($X762,CHOOSE($W762,3,3,2,2,3),Holidays))</f>
        <v/>
      </c>
      <c r="Z762" s="17">
        <f>IF(OR($W762="",$W762=6),"",CHOOSE($W762,"1st Email Follow-up","2nd Email Follow-up","Escalate Local Office","Escalate to CBE","Escalate to Roxanne"))</f>
        <v/>
      </c>
    </row>
    <row r="763" spans="18:26">
      <c r="R763" s="15"/>
      <c r="S763" s="16"/>
      <c r="T763" s="17">
        <f>IF(AND(COUNTA($A763:$K763)=0,$L763=""),"",IF($S763="Paid","PAID",IF($S763="Closed","CLOSED",IF($W763="","",IF($W763=6,"ESCALATED TO ROXANNE",IF(TODAY()&gt;$Y763,"OVERDUE",IF($Y763&lt;=WORKDAY(TODAY(),1,Holidays),"DUE TOMORROW",IF($W763=4,"ESCALATED TO LOCAL OFFICE",IF($W763=5,"ESCALATED TO CBE",IF($X763=TODAY(),"EMAIL SENT","MONITORING"))))))))))</f>
        <v/>
      </c>
      <c r="U763" s="17">
        <f>IF($T763="",IF(AND(COUNTA($A763:$K763)&gt;0,$L763=""),"Awaiting Collection Email time stamp.",""),IF(OR($T763="PAID",$T763="CLOSED"),IF($T763="PAID","Account paid. Action completed.","Account closed. No further action required."),CHOOSE($W763,"Collection Email","1st Email Follow-up","2nd Email Follow-up","Escalation to Local Office","Escalation to CBE","Escalation to Roxanne")&amp;" sent "&amp;TEXT($X763,"dd-mmm")&amp;". "&amp;IF($W763=6,"Final escalation completed.",IF($T763="OVERDUE","Next: "&amp;$Z763&amp;" was due "&amp;TEXT($Y763,"dd-mmm")&amp;" - "&amp;(NETWORKDAYS($Y763,TODAY(),Holidays)-1)&amp;" business day(s) late. Send now.",IF($T763="DUE TOMORROW","Next: "&amp;$Z763&amp;IF($Y763&lt;=TODAY()," is due TODAY ("," is due next business day (")&amp;TEXT($Y763,"dd-mmm")&amp;").","Next: "&amp;$Z763&amp;" due "&amp;TEXT($Y763,"dd-mmm")&amp;" ("&amp;(NETWORKDAYS(TODAY(),$Y763,Holidays)-1)&amp;" business day(s) left).")))))</f>
        <v/>
      </c>
      <c r="V763" s="17">
        <f>IF($W763="","",CHOOSE($W763,"Collection Email","1st Follow-up","2nd Follow-up","Local Office","CBE","Roxanne")&amp;IF($W763=6," - Final"," - Day "&amp;MAX(0,NETWORKDAYS($X763,TODAY(),Holidays)-1)&amp;" of "&amp;CHOOSE($W763,3,3,2,2,3))&amp;" | Total Day "&amp;MAX(0,NETWORKDAYS($L763,TODAY(),Holidays)-1))</f>
        <v/>
      </c>
      <c r="W763" s="17">
        <f>IF($L763="","",COUNT($L763:$Q763))</f>
        <v/>
      </c>
      <c r="X763" s="18">
        <f>IF($W763="","",INT(INDEX($L763:$Q763,$W763)))</f>
        <v/>
      </c>
      <c r="Y763" s="18">
        <f>IF(OR($W763="",$W763=6),"",WORKDAY($X763,CHOOSE($W763,3,3,2,2,3),Holidays))</f>
        <v/>
      </c>
      <c r="Z763" s="17">
        <f>IF(OR($W763="",$W763=6),"",CHOOSE($W763,"1st Email Follow-up","2nd Email Follow-up","Escalate Local Office","Escalate to CBE","Escalate to Roxanne"))</f>
        <v/>
      </c>
    </row>
    <row r="764" spans="18:26">
      <c r="R764" s="15"/>
      <c r="S764" s="16"/>
      <c r="T764" s="17">
        <f>IF(AND(COUNTA($A764:$K764)=0,$L764=""),"",IF($S764="Paid","PAID",IF($S764="Closed","CLOSED",IF($W764="","",IF($W764=6,"ESCALATED TO ROXANNE",IF(TODAY()&gt;$Y764,"OVERDUE",IF($Y764&lt;=WORKDAY(TODAY(),1,Holidays),"DUE TOMORROW",IF($W764=4,"ESCALATED TO LOCAL OFFICE",IF($W764=5,"ESCALATED TO CBE",IF($X764=TODAY(),"EMAIL SENT","MONITORING"))))))))))</f>
        <v/>
      </c>
      <c r="U764" s="17">
        <f>IF($T764="",IF(AND(COUNTA($A764:$K764)&gt;0,$L764=""),"Awaiting Collection Email time stamp.",""),IF(OR($T764="PAID",$T764="CLOSED"),IF($T764="PAID","Account paid. Action completed.","Account closed. No further action required."),CHOOSE($W764,"Collection Email","1st Email Follow-up","2nd Email Follow-up","Escalation to Local Office","Escalation to CBE","Escalation to Roxanne")&amp;" sent "&amp;TEXT($X764,"dd-mmm")&amp;". "&amp;IF($W764=6,"Final escalation completed.",IF($T764="OVERDUE","Next: "&amp;$Z764&amp;" was due "&amp;TEXT($Y764,"dd-mmm")&amp;" - "&amp;(NETWORKDAYS($Y764,TODAY(),Holidays)-1)&amp;" business day(s) late. Send now.",IF($T764="DUE TOMORROW","Next: "&amp;$Z764&amp;IF($Y764&lt;=TODAY()," is due TODAY ("," is due next business day (")&amp;TEXT($Y764,"dd-mmm")&amp;").","Next: "&amp;$Z764&amp;" due "&amp;TEXT($Y764,"dd-mmm")&amp;" ("&amp;(NETWORKDAYS(TODAY(),$Y764,Holidays)-1)&amp;" business day(s) left).")))))</f>
        <v/>
      </c>
      <c r="V764" s="17">
        <f>IF($W764="","",CHOOSE($W764,"Collection Email","1st Follow-up","2nd Follow-up","Local Office","CBE","Roxanne")&amp;IF($W764=6," - Final"," - Day "&amp;MAX(0,NETWORKDAYS($X764,TODAY(),Holidays)-1)&amp;" of "&amp;CHOOSE($W764,3,3,2,2,3))&amp;" | Total Day "&amp;MAX(0,NETWORKDAYS($L764,TODAY(),Holidays)-1))</f>
        <v/>
      </c>
      <c r="W764" s="17">
        <f>IF($L764="","",COUNT($L764:$Q764))</f>
        <v/>
      </c>
      <c r="X764" s="18">
        <f>IF($W764="","",INT(INDEX($L764:$Q764,$W764)))</f>
        <v/>
      </c>
      <c r="Y764" s="18">
        <f>IF(OR($W764="",$W764=6),"",WORKDAY($X764,CHOOSE($W764,3,3,2,2,3),Holidays))</f>
        <v/>
      </c>
      <c r="Z764" s="17">
        <f>IF(OR($W764="",$W764=6),"",CHOOSE($W764,"1st Email Follow-up","2nd Email Follow-up","Escalate Local Office","Escalate to CBE","Escalate to Roxanne"))</f>
        <v/>
      </c>
    </row>
    <row r="765" spans="18:26">
      <c r="R765" s="15"/>
      <c r="S765" s="16"/>
      <c r="T765" s="17">
        <f>IF(AND(COUNTA($A765:$K765)=0,$L765=""),"",IF($S765="Paid","PAID",IF($S765="Closed","CLOSED",IF($W765="","",IF($W765=6,"ESCALATED TO ROXANNE",IF(TODAY()&gt;$Y765,"OVERDUE",IF($Y765&lt;=WORKDAY(TODAY(),1,Holidays),"DUE TOMORROW",IF($W765=4,"ESCALATED TO LOCAL OFFICE",IF($W765=5,"ESCALATED TO CBE",IF($X765=TODAY(),"EMAIL SENT","MONITORING"))))))))))</f>
        <v/>
      </c>
      <c r="U765" s="17">
        <f>IF($T765="",IF(AND(COUNTA($A765:$K765)&gt;0,$L765=""),"Awaiting Collection Email time stamp.",""),IF(OR($T765="PAID",$T765="CLOSED"),IF($T765="PAID","Account paid. Action completed.","Account closed. No further action required."),CHOOSE($W765,"Collection Email","1st Email Follow-up","2nd Email Follow-up","Escalation to Local Office","Escalation to CBE","Escalation to Roxanne")&amp;" sent "&amp;TEXT($X765,"dd-mmm")&amp;". "&amp;IF($W765=6,"Final escalation completed.",IF($T765="OVERDUE","Next: "&amp;$Z765&amp;" was due "&amp;TEXT($Y765,"dd-mmm")&amp;" - "&amp;(NETWORKDAYS($Y765,TODAY(),Holidays)-1)&amp;" business day(s) late. Send now.",IF($T765="DUE TOMORROW","Next: "&amp;$Z765&amp;IF($Y765&lt;=TODAY()," is due TODAY ("," is due next business day (")&amp;TEXT($Y765,"dd-mmm")&amp;").","Next: "&amp;$Z765&amp;" due "&amp;TEXT($Y765,"dd-mmm")&amp;" ("&amp;(NETWORKDAYS(TODAY(),$Y765,Holidays)-1)&amp;" business day(s) left).")))))</f>
        <v/>
      </c>
      <c r="V765" s="17">
        <f>IF($W765="","",CHOOSE($W765,"Collection Email","1st Follow-up","2nd Follow-up","Local Office","CBE","Roxanne")&amp;IF($W765=6," - Final"," - Day "&amp;MAX(0,NETWORKDAYS($X765,TODAY(),Holidays)-1)&amp;" of "&amp;CHOOSE($W765,3,3,2,2,3))&amp;" | Total Day "&amp;MAX(0,NETWORKDAYS($L765,TODAY(),Holidays)-1))</f>
        <v/>
      </c>
      <c r="W765" s="17">
        <f>IF($L765="","",COUNT($L765:$Q765))</f>
        <v/>
      </c>
      <c r="X765" s="18">
        <f>IF($W765="","",INT(INDEX($L765:$Q765,$W765)))</f>
        <v/>
      </c>
      <c r="Y765" s="18">
        <f>IF(OR($W765="",$W765=6),"",WORKDAY($X765,CHOOSE($W765,3,3,2,2,3),Holidays))</f>
        <v/>
      </c>
      <c r="Z765" s="17">
        <f>IF(OR($W765="",$W765=6),"",CHOOSE($W765,"1st Email Follow-up","2nd Email Follow-up","Escalate Local Office","Escalate to CBE","Escalate to Roxanne"))</f>
        <v/>
      </c>
    </row>
    <row r="766" spans="18:26">
      <c r="R766" s="15"/>
      <c r="S766" s="16"/>
      <c r="T766" s="17">
        <f>IF(AND(COUNTA($A766:$K766)=0,$L766=""),"",IF($S766="Paid","PAID",IF($S766="Closed","CLOSED",IF($W766="","",IF($W766=6,"ESCALATED TO ROXANNE",IF(TODAY()&gt;$Y766,"OVERDUE",IF($Y766&lt;=WORKDAY(TODAY(),1,Holidays),"DUE TOMORROW",IF($W766=4,"ESCALATED TO LOCAL OFFICE",IF($W766=5,"ESCALATED TO CBE",IF($X766=TODAY(),"EMAIL SENT","MONITORING"))))))))))</f>
        <v/>
      </c>
      <c r="U766" s="17">
        <f>IF($T766="",IF(AND(COUNTA($A766:$K766)&gt;0,$L766=""),"Awaiting Collection Email time stamp.",""),IF(OR($T766="PAID",$T766="CLOSED"),IF($T766="PAID","Account paid. Action completed.","Account closed. No further action required."),CHOOSE($W766,"Collection Email","1st Email Follow-up","2nd Email Follow-up","Escalation to Local Office","Escalation to CBE","Escalation to Roxanne")&amp;" sent "&amp;TEXT($X766,"dd-mmm")&amp;". "&amp;IF($W766=6,"Final escalation completed.",IF($T766="OVERDUE","Next: "&amp;$Z766&amp;" was due "&amp;TEXT($Y766,"dd-mmm")&amp;" - "&amp;(NETWORKDAYS($Y766,TODAY(),Holidays)-1)&amp;" business day(s) late. Send now.",IF($T766="DUE TOMORROW","Next: "&amp;$Z766&amp;IF($Y766&lt;=TODAY()," is due TODAY ("," is due next business day (")&amp;TEXT($Y766,"dd-mmm")&amp;").","Next: "&amp;$Z766&amp;" due "&amp;TEXT($Y766,"dd-mmm")&amp;" ("&amp;(NETWORKDAYS(TODAY(),$Y766,Holidays)-1)&amp;" business day(s) left).")))))</f>
        <v/>
      </c>
      <c r="V766" s="17">
        <f>IF($W766="","",CHOOSE($W766,"Collection Email","1st Follow-up","2nd Follow-up","Local Office","CBE","Roxanne")&amp;IF($W766=6," - Final"," - Day "&amp;MAX(0,NETWORKDAYS($X766,TODAY(),Holidays)-1)&amp;" of "&amp;CHOOSE($W766,3,3,2,2,3))&amp;" | Total Day "&amp;MAX(0,NETWORKDAYS($L766,TODAY(),Holidays)-1))</f>
        <v/>
      </c>
      <c r="W766" s="17">
        <f>IF($L766="","",COUNT($L766:$Q766))</f>
        <v/>
      </c>
      <c r="X766" s="18">
        <f>IF($W766="","",INT(INDEX($L766:$Q766,$W766)))</f>
        <v/>
      </c>
      <c r="Y766" s="18">
        <f>IF(OR($W766="",$W766=6),"",WORKDAY($X766,CHOOSE($W766,3,3,2,2,3),Holidays))</f>
        <v/>
      </c>
      <c r="Z766" s="17">
        <f>IF(OR($W766="",$W766=6),"",CHOOSE($W766,"1st Email Follow-up","2nd Email Follow-up","Escalate Local Office","Escalate to CBE","Escalate to Roxanne"))</f>
        <v/>
      </c>
    </row>
    <row r="767" spans="18:26">
      <c r="R767" s="15"/>
      <c r="S767" s="16"/>
      <c r="T767" s="17">
        <f>IF(AND(COUNTA($A767:$K767)=0,$L767=""),"",IF($S767="Paid","PAID",IF($S767="Closed","CLOSED",IF($W767="","",IF($W767=6,"ESCALATED TO ROXANNE",IF(TODAY()&gt;$Y767,"OVERDUE",IF($Y767&lt;=WORKDAY(TODAY(),1,Holidays),"DUE TOMORROW",IF($W767=4,"ESCALATED TO LOCAL OFFICE",IF($W767=5,"ESCALATED TO CBE",IF($X767=TODAY(),"EMAIL SENT","MONITORING"))))))))))</f>
        <v/>
      </c>
      <c r="U767" s="17">
        <f>IF($T767="",IF(AND(COUNTA($A767:$K767)&gt;0,$L767=""),"Awaiting Collection Email time stamp.",""),IF(OR($T767="PAID",$T767="CLOSED"),IF($T767="PAID","Account paid. Action completed.","Account closed. No further action required."),CHOOSE($W767,"Collection Email","1st Email Follow-up","2nd Email Follow-up","Escalation to Local Office","Escalation to CBE","Escalation to Roxanne")&amp;" sent "&amp;TEXT($X767,"dd-mmm")&amp;". "&amp;IF($W767=6,"Final escalation completed.",IF($T767="OVERDUE","Next: "&amp;$Z767&amp;" was due "&amp;TEXT($Y767,"dd-mmm")&amp;" - "&amp;(NETWORKDAYS($Y767,TODAY(),Holidays)-1)&amp;" business day(s) late. Send now.",IF($T767="DUE TOMORROW","Next: "&amp;$Z767&amp;IF($Y767&lt;=TODAY()," is due TODAY ("," is due next business day (")&amp;TEXT($Y767,"dd-mmm")&amp;").","Next: "&amp;$Z767&amp;" due "&amp;TEXT($Y767,"dd-mmm")&amp;" ("&amp;(NETWORKDAYS(TODAY(),$Y767,Holidays)-1)&amp;" business day(s) left).")))))</f>
        <v/>
      </c>
      <c r="V767" s="17">
        <f>IF($W767="","",CHOOSE($W767,"Collection Email","1st Follow-up","2nd Follow-up","Local Office","CBE","Roxanne")&amp;IF($W767=6," - Final"," - Day "&amp;MAX(0,NETWORKDAYS($X767,TODAY(),Holidays)-1)&amp;" of "&amp;CHOOSE($W767,3,3,2,2,3))&amp;" | Total Day "&amp;MAX(0,NETWORKDAYS($L767,TODAY(),Holidays)-1))</f>
        <v/>
      </c>
      <c r="W767" s="17">
        <f>IF($L767="","",COUNT($L767:$Q767))</f>
        <v/>
      </c>
      <c r="X767" s="18">
        <f>IF($W767="","",INT(INDEX($L767:$Q767,$W767)))</f>
        <v/>
      </c>
      <c r="Y767" s="18">
        <f>IF(OR($W767="",$W767=6),"",WORKDAY($X767,CHOOSE($W767,3,3,2,2,3),Holidays))</f>
        <v/>
      </c>
      <c r="Z767" s="17">
        <f>IF(OR($W767="",$W767=6),"",CHOOSE($W767,"1st Email Follow-up","2nd Email Follow-up","Escalate Local Office","Escalate to CBE","Escalate to Roxanne"))</f>
        <v/>
      </c>
    </row>
    <row r="768" spans="18:26">
      <c r="R768" s="15"/>
      <c r="S768" s="16"/>
      <c r="T768" s="17">
        <f>IF(AND(COUNTA($A768:$K768)=0,$L768=""),"",IF($S768="Paid","PAID",IF($S768="Closed","CLOSED",IF($W768="","",IF($W768=6,"ESCALATED TO ROXANNE",IF(TODAY()&gt;$Y768,"OVERDUE",IF($Y768&lt;=WORKDAY(TODAY(),1,Holidays),"DUE TOMORROW",IF($W768=4,"ESCALATED TO LOCAL OFFICE",IF($W768=5,"ESCALATED TO CBE",IF($X768=TODAY(),"EMAIL SENT","MONITORING"))))))))))</f>
        <v/>
      </c>
      <c r="U768" s="17">
        <f>IF($T768="",IF(AND(COUNTA($A768:$K768)&gt;0,$L768=""),"Awaiting Collection Email time stamp.",""),IF(OR($T768="PAID",$T768="CLOSED"),IF($T768="PAID","Account paid. Action completed.","Account closed. No further action required."),CHOOSE($W768,"Collection Email","1st Email Follow-up","2nd Email Follow-up","Escalation to Local Office","Escalation to CBE","Escalation to Roxanne")&amp;" sent "&amp;TEXT($X768,"dd-mmm")&amp;". "&amp;IF($W768=6,"Final escalation completed.",IF($T768="OVERDUE","Next: "&amp;$Z768&amp;" was due "&amp;TEXT($Y768,"dd-mmm")&amp;" - "&amp;(NETWORKDAYS($Y768,TODAY(),Holidays)-1)&amp;" business day(s) late. Send now.",IF($T768="DUE TOMORROW","Next: "&amp;$Z768&amp;IF($Y768&lt;=TODAY()," is due TODAY ("," is due next business day (")&amp;TEXT($Y768,"dd-mmm")&amp;").","Next: "&amp;$Z768&amp;" due "&amp;TEXT($Y768,"dd-mmm")&amp;" ("&amp;(NETWORKDAYS(TODAY(),$Y768,Holidays)-1)&amp;" business day(s) left).")))))</f>
        <v/>
      </c>
      <c r="V768" s="17">
        <f>IF($W768="","",CHOOSE($W768,"Collection Email","1st Follow-up","2nd Follow-up","Local Office","CBE","Roxanne")&amp;IF($W768=6," - Final"," - Day "&amp;MAX(0,NETWORKDAYS($X768,TODAY(),Holidays)-1)&amp;" of "&amp;CHOOSE($W768,3,3,2,2,3))&amp;" | Total Day "&amp;MAX(0,NETWORKDAYS($L768,TODAY(),Holidays)-1))</f>
        <v/>
      </c>
      <c r="W768" s="17">
        <f>IF($L768="","",COUNT($L768:$Q768))</f>
        <v/>
      </c>
      <c r="X768" s="18">
        <f>IF($W768="","",INT(INDEX($L768:$Q768,$W768)))</f>
        <v/>
      </c>
      <c r="Y768" s="18">
        <f>IF(OR($W768="",$W768=6),"",WORKDAY($X768,CHOOSE($W768,3,3,2,2,3),Holidays))</f>
        <v/>
      </c>
      <c r="Z768" s="17">
        <f>IF(OR($W768="",$W768=6),"",CHOOSE($W768,"1st Email Follow-up","2nd Email Follow-up","Escalate Local Office","Escalate to CBE","Escalate to Roxanne"))</f>
        <v/>
      </c>
    </row>
    <row r="769" spans="18:26">
      <c r="R769" s="15"/>
      <c r="S769" s="16"/>
      <c r="T769" s="17">
        <f>IF(AND(COUNTA($A769:$K769)=0,$L769=""),"",IF($S769="Paid","PAID",IF($S769="Closed","CLOSED",IF($W769="","",IF($W769=6,"ESCALATED TO ROXANNE",IF(TODAY()&gt;$Y769,"OVERDUE",IF($Y769&lt;=WORKDAY(TODAY(),1,Holidays),"DUE TOMORROW",IF($W769=4,"ESCALATED TO LOCAL OFFICE",IF($W769=5,"ESCALATED TO CBE",IF($X769=TODAY(),"EMAIL SENT","MONITORING"))))))))))</f>
        <v/>
      </c>
      <c r="U769" s="17">
        <f>IF($T769="",IF(AND(COUNTA($A769:$K769)&gt;0,$L769=""),"Awaiting Collection Email time stamp.",""),IF(OR($T769="PAID",$T769="CLOSED"),IF($T769="PAID","Account paid. Action completed.","Account closed. No further action required."),CHOOSE($W769,"Collection Email","1st Email Follow-up","2nd Email Follow-up","Escalation to Local Office","Escalation to CBE","Escalation to Roxanne")&amp;" sent "&amp;TEXT($X769,"dd-mmm")&amp;". "&amp;IF($W769=6,"Final escalation completed.",IF($T769="OVERDUE","Next: "&amp;$Z769&amp;" was due "&amp;TEXT($Y769,"dd-mmm")&amp;" - "&amp;(NETWORKDAYS($Y769,TODAY(),Holidays)-1)&amp;" business day(s) late. Send now.",IF($T769="DUE TOMORROW","Next: "&amp;$Z769&amp;IF($Y769&lt;=TODAY()," is due TODAY ("," is due next business day (")&amp;TEXT($Y769,"dd-mmm")&amp;").","Next: "&amp;$Z769&amp;" due "&amp;TEXT($Y769,"dd-mmm")&amp;" ("&amp;(NETWORKDAYS(TODAY(),$Y769,Holidays)-1)&amp;" business day(s) left).")))))</f>
        <v/>
      </c>
      <c r="V769" s="17">
        <f>IF($W769="","",CHOOSE($W769,"Collection Email","1st Follow-up","2nd Follow-up","Local Office","CBE","Roxanne")&amp;IF($W769=6," - Final"," - Day "&amp;MAX(0,NETWORKDAYS($X769,TODAY(),Holidays)-1)&amp;" of "&amp;CHOOSE($W769,3,3,2,2,3))&amp;" | Total Day "&amp;MAX(0,NETWORKDAYS($L769,TODAY(),Holidays)-1))</f>
        <v/>
      </c>
      <c r="W769" s="17">
        <f>IF($L769="","",COUNT($L769:$Q769))</f>
        <v/>
      </c>
      <c r="X769" s="18">
        <f>IF($W769="","",INT(INDEX($L769:$Q769,$W769)))</f>
        <v/>
      </c>
      <c r="Y769" s="18">
        <f>IF(OR($W769="",$W769=6),"",WORKDAY($X769,CHOOSE($W769,3,3,2,2,3),Holidays))</f>
        <v/>
      </c>
      <c r="Z769" s="17">
        <f>IF(OR($W769="",$W769=6),"",CHOOSE($W769,"1st Email Follow-up","2nd Email Follow-up","Escalate Local Office","Escalate to CBE","Escalate to Roxanne"))</f>
        <v/>
      </c>
    </row>
    <row r="770" spans="18:26">
      <c r="R770" s="15"/>
      <c r="S770" s="16"/>
      <c r="T770" s="17">
        <f>IF(AND(COUNTA($A770:$K770)=0,$L770=""),"",IF($S770="Paid","PAID",IF($S770="Closed","CLOSED",IF($W770="","",IF($W770=6,"ESCALATED TO ROXANNE",IF(TODAY()&gt;$Y770,"OVERDUE",IF($Y770&lt;=WORKDAY(TODAY(),1,Holidays),"DUE TOMORROW",IF($W770=4,"ESCALATED TO LOCAL OFFICE",IF($W770=5,"ESCALATED TO CBE",IF($X770=TODAY(),"EMAIL SENT","MONITORING"))))))))))</f>
        <v/>
      </c>
      <c r="U770" s="17">
        <f>IF($T770="",IF(AND(COUNTA($A770:$K770)&gt;0,$L770=""),"Awaiting Collection Email time stamp.",""),IF(OR($T770="PAID",$T770="CLOSED"),IF($T770="PAID","Account paid. Action completed.","Account closed. No further action required."),CHOOSE($W770,"Collection Email","1st Email Follow-up","2nd Email Follow-up","Escalation to Local Office","Escalation to CBE","Escalation to Roxanne")&amp;" sent "&amp;TEXT($X770,"dd-mmm")&amp;". "&amp;IF($W770=6,"Final escalation completed.",IF($T770="OVERDUE","Next: "&amp;$Z770&amp;" was due "&amp;TEXT($Y770,"dd-mmm")&amp;" - "&amp;(NETWORKDAYS($Y770,TODAY(),Holidays)-1)&amp;" business day(s) late. Send now.",IF($T770="DUE TOMORROW","Next: "&amp;$Z770&amp;IF($Y770&lt;=TODAY()," is due TODAY ("," is due next business day (")&amp;TEXT($Y770,"dd-mmm")&amp;").","Next: "&amp;$Z770&amp;" due "&amp;TEXT($Y770,"dd-mmm")&amp;" ("&amp;(NETWORKDAYS(TODAY(),$Y770,Holidays)-1)&amp;" business day(s) left).")))))</f>
        <v/>
      </c>
      <c r="V770" s="17">
        <f>IF($W770="","",CHOOSE($W770,"Collection Email","1st Follow-up","2nd Follow-up","Local Office","CBE","Roxanne")&amp;IF($W770=6," - Final"," - Day "&amp;MAX(0,NETWORKDAYS($X770,TODAY(),Holidays)-1)&amp;" of "&amp;CHOOSE($W770,3,3,2,2,3))&amp;" | Total Day "&amp;MAX(0,NETWORKDAYS($L770,TODAY(),Holidays)-1))</f>
        <v/>
      </c>
      <c r="W770" s="17">
        <f>IF($L770="","",COUNT($L770:$Q770))</f>
        <v/>
      </c>
      <c r="X770" s="18">
        <f>IF($W770="","",INT(INDEX($L770:$Q770,$W770)))</f>
        <v/>
      </c>
      <c r="Y770" s="18">
        <f>IF(OR($W770="",$W770=6),"",WORKDAY($X770,CHOOSE($W770,3,3,2,2,3),Holidays))</f>
        <v/>
      </c>
      <c r="Z770" s="17">
        <f>IF(OR($W770="",$W770=6),"",CHOOSE($W770,"1st Email Follow-up","2nd Email Follow-up","Escalate Local Office","Escalate to CBE","Escalate to Roxanne"))</f>
        <v/>
      </c>
    </row>
    <row r="771" spans="18:26">
      <c r="R771" s="15"/>
      <c r="S771" s="16"/>
      <c r="T771" s="17">
        <f>IF(AND(COUNTA($A771:$K771)=0,$L771=""),"",IF($S771="Paid","PAID",IF($S771="Closed","CLOSED",IF($W771="","",IF($W771=6,"ESCALATED TO ROXANNE",IF(TODAY()&gt;$Y771,"OVERDUE",IF($Y771&lt;=WORKDAY(TODAY(),1,Holidays),"DUE TOMORROW",IF($W771=4,"ESCALATED TO LOCAL OFFICE",IF($W771=5,"ESCALATED TO CBE",IF($X771=TODAY(),"EMAIL SENT","MONITORING"))))))))))</f>
        <v/>
      </c>
      <c r="U771" s="17">
        <f>IF($T771="",IF(AND(COUNTA($A771:$K771)&gt;0,$L771=""),"Awaiting Collection Email time stamp.",""),IF(OR($T771="PAID",$T771="CLOSED"),IF($T771="PAID","Account paid. Action completed.","Account closed. No further action required."),CHOOSE($W771,"Collection Email","1st Email Follow-up","2nd Email Follow-up","Escalation to Local Office","Escalation to CBE","Escalation to Roxanne")&amp;" sent "&amp;TEXT($X771,"dd-mmm")&amp;". "&amp;IF($W771=6,"Final escalation completed.",IF($T771="OVERDUE","Next: "&amp;$Z771&amp;" was due "&amp;TEXT($Y771,"dd-mmm")&amp;" - "&amp;(NETWORKDAYS($Y771,TODAY(),Holidays)-1)&amp;" business day(s) late. Send now.",IF($T771="DUE TOMORROW","Next: "&amp;$Z771&amp;IF($Y771&lt;=TODAY()," is due TODAY ("," is due next business day (")&amp;TEXT($Y771,"dd-mmm")&amp;").","Next: "&amp;$Z771&amp;" due "&amp;TEXT($Y771,"dd-mmm")&amp;" ("&amp;(NETWORKDAYS(TODAY(),$Y771,Holidays)-1)&amp;" business day(s) left).")))))</f>
        <v/>
      </c>
      <c r="V771" s="17">
        <f>IF($W771="","",CHOOSE($W771,"Collection Email","1st Follow-up","2nd Follow-up","Local Office","CBE","Roxanne")&amp;IF($W771=6," - Final"," - Day "&amp;MAX(0,NETWORKDAYS($X771,TODAY(),Holidays)-1)&amp;" of "&amp;CHOOSE($W771,3,3,2,2,3))&amp;" | Total Day "&amp;MAX(0,NETWORKDAYS($L771,TODAY(),Holidays)-1))</f>
        <v/>
      </c>
      <c r="W771" s="17">
        <f>IF($L771="","",COUNT($L771:$Q771))</f>
        <v/>
      </c>
      <c r="X771" s="18">
        <f>IF($W771="","",INT(INDEX($L771:$Q771,$W771)))</f>
        <v/>
      </c>
      <c r="Y771" s="18">
        <f>IF(OR($W771="",$W771=6),"",WORKDAY($X771,CHOOSE($W771,3,3,2,2,3),Holidays))</f>
        <v/>
      </c>
      <c r="Z771" s="17">
        <f>IF(OR($W771="",$W771=6),"",CHOOSE($W771,"1st Email Follow-up","2nd Email Follow-up","Escalate Local Office","Escalate to CBE","Escalate to Roxanne"))</f>
        <v/>
      </c>
    </row>
    <row r="772" spans="18:26">
      <c r="R772" s="15"/>
      <c r="S772" s="16"/>
      <c r="T772" s="17">
        <f>IF(AND(COUNTA($A772:$K772)=0,$L772=""),"",IF($S772="Paid","PAID",IF($S772="Closed","CLOSED",IF($W772="","",IF($W772=6,"ESCALATED TO ROXANNE",IF(TODAY()&gt;$Y772,"OVERDUE",IF($Y772&lt;=WORKDAY(TODAY(),1,Holidays),"DUE TOMORROW",IF($W772=4,"ESCALATED TO LOCAL OFFICE",IF($W772=5,"ESCALATED TO CBE",IF($X772=TODAY(),"EMAIL SENT","MONITORING"))))))))))</f>
        <v/>
      </c>
      <c r="U772" s="17">
        <f>IF($T772="",IF(AND(COUNTA($A772:$K772)&gt;0,$L772=""),"Awaiting Collection Email time stamp.",""),IF(OR($T772="PAID",$T772="CLOSED"),IF($T772="PAID","Account paid. Action completed.","Account closed. No further action required."),CHOOSE($W772,"Collection Email","1st Email Follow-up","2nd Email Follow-up","Escalation to Local Office","Escalation to CBE","Escalation to Roxanne")&amp;" sent "&amp;TEXT($X772,"dd-mmm")&amp;". "&amp;IF($W772=6,"Final escalation completed.",IF($T772="OVERDUE","Next: "&amp;$Z772&amp;" was due "&amp;TEXT($Y772,"dd-mmm")&amp;" - "&amp;(NETWORKDAYS($Y772,TODAY(),Holidays)-1)&amp;" business day(s) late. Send now.",IF($T772="DUE TOMORROW","Next: "&amp;$Z772&amp;IF($Y772&lt;=TODAY()," is due TODAY ("," is due next business day (")&amp;TEXT($Y772,"dd-mmm")&amp;").","Next: "&amp;$Z772&amp;" due "&amp;TEXT($Y772,"dd-mmm")&amp;" ("&amp;(NETWORKDAYS(TODAY(),$Y772,Holidays)-1)&amp;" business day(s) left).")))))</f>
        <v/>
      </c>
      <c r="V772" s="17">
        <f>IF($W772="","",CHOOSE($W772,"Collection Email","1st Follow-up","2nd Follow-up","Local Office","CBE","Roxanne")&amp;IF($W772=6," - Final"," - Day "&amp;MAX(0,NETWORKDAYS($X772,TODAY(),Holidays)-1)&amp;" of "&amp;CHOOSE($W772,3,3,2,2,3))&amp;" | Total Day "&amp;MAX(0,NETWORKDAYS($L772,TODAY(),Holidays)-1))</f>
        <v/>
      </c>
      <c r="W772" s="17">
        <f>IF($L772="","",COUNT($L772:$Q772))</f>
        <v/>
      </c>
      <c r="X772" s="18">
        <f>IF($W772="","",INT(INDEX($L772:$Q772,$W772)))</f>
        <v/>
      </c>
      <c r="Y772" s="18">
        <f>IF(OR($W772="",$W772=6),"",WORKDAY($X772,CHOOSE($W772,3,3,2,2,3),Holidays))</f>
        <v/>
      </c>
      <c r="Z772" s="17">
        <f>IF(OR($W772="",$W772=6),"",CHOOSE($W772,"1st Email Follow-up","2nd Email Follow-up","Escalate Local Office","Escalate to CBE","Escalate to Roxanne"))</f>
        <v/>
      </c>
    </row>
    <row r="773" spans="18:26">
      <c r="R773" s="15"/>
      <c r="S773" s="16"/>
      <c r="T773" s="17">
        <f>IF(AND(COUNTA($A773:$K773)=0,$L773=""),"",IF($S773="Paid","PAID",IF($S773="Closed","CLOSED",IF($W773="","",IF($W773=6,"ESCALATED TO ROXANNE",IF(TODAY()&gt;$Y773,"OVERDUE",IF($Y773&lt;=WORKDAY(TODAY(),1,Holidays),"DUE TOMORROW",IF($W773=4,"ESCALATED TO LOCAL OFFICE",IF($W773=5,"ESCALATED TO CBE",IF($X773=TODAY(),"EMAIL SENT","MONITORING"))))))))))</f>
        <v/>
      </c>
      <c r="U773" s="17">
        <f>IF($T773="",IF(AND(COUNTA($A773:$K773)&gt;0,$L773=""),"Awaiting Collection Email time stamp.",""),IF(OR($T773="PAID",$T773="CLOSED"),IF($T773="PAID","Account paid. Action completed.","Account closed. No further action required."),CHOOSE($W773,"Collection Email","1st Email Follow-up","2nd Email Follow-up","Escalation to Local Office","Escalation to CBE","Escalation to Roxanne")&amp;" sent "&amp;TEXT($X773,"dd-mmm")&amp;". "&amp;IF($W773=6,"Final escalation completed.",IF($T773="OVERDUE","Next: "&amp;$Z773&amp;" was due "&amp;TEXT($Y773,"dd-mmm")&amp;" - "&amp;(NETWORKDAYS($Y773,TODAY(),Holidays)-1)&amp;" business day(s) late. Send now.",IF($T773="DUE TOMORROW","Next: "&amp;$Z773&amp;IF($Y773&lt;=TODAY()," is due TODAY ("," is due next business day (")&amp;TEXT($Y773,"dd-mmm")&amp;").","Next: "&amp;$Z773&amp;" due "&amp;TEXT($Y773,"dd-mmm")&amp;" ("&amp;(NETWORKDAYS(TODAY(),$Y773,Holidays)-1)&amp;" business day(s) left).")))))</f>
        <v/>
      </c>
      <c r="V773" s="17">
        <f>IF($W773="","",CHOOSE($W773,"Collection Email","1st Follow-up","2nd Follow-up","Local Office","CBE","Roxanne")&amp;IF($W773=6," - Final"," - Day "&amp;MAX(0,NETWORKDAYS($X773,TODAY(),Holidays)-1)&amp;" of "&amp;CHOOSE($W773,3,3,2,2,3))&amp;" | Total Day "&amp;MAX(0,NETWORKDAYS($L773,TODAY(),Holidays)-1))</f>
        <v/>
      </c>
      <c r="W773" s="17">
        <f>IF($L773="","",COUNT($L773:$Q773))</f>
        <v/>
      </c>
      <c r="X773" s="18">
        <f>IF($W773="","",INT(INDEX($L773:$Q773,$W773)))</f>
        <v/>
      </c>
      <c r="Y773" s="18">
        <f>IF(OR($W773="",$W773=6),"",WORKDAY($X773,CHOOSE($W773,3,3,2,2,3),Holidays))</f>
        <v/>
      </c>
      <c r="Z773" s="17">
        <f>IF(OR($W773="",$W773=6),"",CHOOSE($W773,"1st Email Follow-up","2nd Email Follow-up","Escalate Local Office","Escalate to CBE","Escalate to Roxanne"))</f>
        <v/>
      </c>
    </row>
    <row r="774" spans="18:26">
      <c r="R774" s="15"/>
      <c r="S774" s="16"/>
      <c r="T774" s="17">
        <f>IF(AND(COUNTA($A774:$K774)=0,$L774=""),"",IF($S774="Paid","PAID",IF($S774="Closed","CLOSED",IF($W774="","",IF($W774=6,"ESCALATED TO ROXANNE",IF(TODAY()&gt;$Y774,"OVERDUE",IF($Y774&lt;=WORKDAY(TODAY(),1,Holidays),"DUE TOMORROW",IF($W774=4,"ESCALATED TO LOCAL OFFICE",IF($W774=5,"ESCALATED TO CBE",IF($X774=TODAY(),"EMAIL SENT","MONITORING"))))))))))</f>
        <v/>
      </c>
      <c r="U774" s="17">
        <f>IF($T774="",IF(AND(COUNTA($A774:$K774)&gt;0,$L774=""),"Awaiting Collection Email time stamp.",""),IF(OR($T774="PAID",$T774="CLOSED"),IF($T774="PAID","Account paid. Action completed.","Account closed. No further action required."),CHOOSE($W774,"Collection Email","1st Email Follow-up","2nd Email Follow-up","Escalation to Local Office","Escalation to CBE","Escalation to Roxanne")&amp;" sent "&amp;TEXT($X774,"dd-mmm")&amp;". "&amp;IF($W774=6,"Final escalation completed.",IF($T774="OVERDUE","Next: "&amp;$Z774&amp;" was due "&amp;TEXT($Y774,"dd-mmm")&amp;" - "&amp;(NETWORKDAYS($Y774,TODAY(),Holidays)-1)&amp;" business day(s) late. Send now.",IF($T774="DUE TOMORROW","Next: "&amp;$Z774&amp;IF($Y774&lt;=TODAY()," is due TODAY ("," is due next business day (")&amp;TEXT($Y774,"dd-mmm")&amp;").","Next: "&amp;$Z774&amp;" due "&amp;TEXT($Y774,"dd-mmm")&amp;" ("&amp;(NETWORKDAYS(TODAY(),$Y774,Holidays)-1)&amp;" business day(s) left).")))))</f>
        <v/>
      </c>
      <c r="V774" s="17">
        <f>IF($W774="","",CHOOSE($W774,"Collection Email","1st Follow-up","2nd Follow-up","Local Office","CBE","Roxanne")&amp;IF($W774=6," - Final"," - Day "&amp;MAX(0,NETWORKDAYS($X774,TODAY(),Holidays)-1)&amp;" of "&amp;CHOOSE($W774,3,3,2,2,3))&amp;" | Total Day "&amp;MAX(0,NETWORKDAYS($L774,TODAY(),Holidays)-1))</f>
        <v/>
      </c>
      <c r="W774" s="17">
        <f>IF($L774="","",COUNT($L774:$Q774))</f>
        <v/>
      </c>
      <c r="X774" s="18">
        <f>IF($W774="","",INT(INDEX($L774:$Q774,$W774)))</f>
        <v/>
      </c>
      <c r="Y774" s="18">
        <f>IF(OR($W774="",$W774=6),"",WORKDAY($X774,CHOOSE($W774,3,3,2,2,3),Holidays))</f>
        <v/>
      </c>
      <c r="Z774" s="17">
        <f>IF(OR($W774="",$W774=6),"",CHOOSE($W774,"1st Email Follow-up","2nd Email Follow-up","Escalate Local Office","Escalate to CBE","Escalate to Roxanne"))</f>
        <v/>
      </c>
    </row>
    <row r="775" spans="18:26">
      <c r="R775" s="15"/>
      <c r="S775" s="16"/>
      <c r="T775" s="17">
        <f>IF(AND(COUNTA($A775:$K775)=0,$L775=""),"",IF($S775="Paid","PAID",IF($S775="Closed","CLOSED",IF($W775="","",IF($W775=6,"ESCALATED TO ROXANNE",IF(TODAY()&gt;$Y775,"OVERDUE",IF($Y775&lt;=WORKDAY(TODAY(),1,Holidays),"DUE TOMORROW",IF($W775=4,"ESCALATED TO LOCAL OFFICE",IF($W775=5,"ESCALATED TO CBE",IF($X775=TODAY(),"EMAIL SENT","MONITORING"))))))))))</f>
        <v/>
      </c>
      <c r="U775" s="17">
        <f>IF($T775="",IF(AND(COUNTA($A775:$K775)&gt;0,$L775=""),"Awaiting Collection Email time stamp.",""),IF(OR($T775="PAID",$T775="CLOSED"),IF($T775="PAID","Account paid. Action completed.","Account closed. No further action required."),CHOOSE($W775,"Collection Email","1st Email Follow-up","2nd Email Follow-up","Escalation to Local Office","Escalation to CBE","Escalation to Roxanne")&amp;" sent "&amp;TEXT($X775,"dd-mmm")&amp;". "&amp;IF($W775=6,"Final escalation completed.",IF($T775="OVERDUE","Next: "&amp;$Z775&amp;" was due "&amp;TEXT($Y775,"dd-mmm")&amp;" - "&amp;(NETWORKDAYS($Y775,TODAY(),Holidays)-1)&amp;" business day(s) late. Send now.",IF($T775="DUE TOMORROW","Next: "&amp;$Z775&amp;IF($Y775&lt;=TODAY()," is due TODAY ("," is due next business day (")&amp;TEXT($Y775,"dd-mmm")&amp;").","Next: "&amp;$Z775&amp;" due "&amp;TEXT($Y775,"dd-mmm")&amp;" ("&amp;(NETWORKDAYS(TODAY(),$Y775,Holidays)-1)&amp;" business day(s) left).")))))</f>
        <v/>
      </c>
      <c r="V775" s="17">
        <f>IF($W775="","",CHOOSE($W775,"Collection Email","1st Follow-up","2nd Follow-up","Local Office","CBE","Roxanne")&amp;IF($W775=6," - Final"," - Day "&amp;MAX(0,NETWORKDAYS($X775,TODAY(),Holidays)-1)&amp;" of "&amp;CHOOSE($W775,3,3,2,2,3))&amp;" | Total Day "&amp;MAX(0,NETWORKDAYS($L775,TODAY(),Holidays)-1))</f>
        <v/>
      </c>
      <c r="W775" s="17">
        <f>IF($L775="","",COUNT($L775:$Q775))</f>
        <v/>
      </c>
      <c r="X775" s="18">
        <f>IF($W775="","",INT(INDEX($L775:$Q775,$W775)))</f>
        <v/>
      </c>
      <c r="Y775" s="18">
        <f>IF(OR($W775="",$W775=6),"",WORKDAY($X775,CHOOSE($W775,3,3,2,2,3),Holidays))</f>
        <v/>
      </c>
      <c r="Z775" s="17">
        <f>IF(OR($W775="",$W775=6),"",CHOOSE($W775,"1st Email Follow-up","2nd Email Follow-up","Escalate Local Office","Escalate to CBE","Escalate to Roxanne"))</f>
        <v/>
      </c>
    </row>
    <row r="776" spans="18:26">
      <c r="R776" s="15"/>
      <c r="S776" s="16"/>
      <c r="T776" s="17">
        <f>IF(AND(COUNTA($A776:$K776)=0,$L776=""),"",IF($S776="Paid","PAID",IF($S776="Closed","CLOSED",IF($W776="","",IF($W776=6,"ESCALATED TO ROXANNE",IF(TODAY()&gt;$Y776,"OVERDUE",IF($Y776&lt;=WORKDAY(TODAY(),1,Holidays),"DUE TOMORROW",IF($W776=4,"ESCALATED TO LOCAL OFFICE",IF($W776=5,"ESCALATED TO CBE",IF($X776=TODAY(),"EMAIL SENT","MONITORING"))))))))))</f>
        <v/>
      </c>
      <c r="U776" s="17">
        <f>IF($T776="",IF(AND(COUNTA($A776:$K776)&gt;0,$L776=""),"Awaiting Collection Email time stamp.",""),IF(OR($T776="PAID",$T776="CLOSED"),IF($T776="PAID","Account paid. Action completed.","Account closed. No further action required."),CHOOSE($W776,"Collection Email","1st Email Follow-up","2nd Email Follow-up","Escalation to Local Office","Escalation to CBE","Escalation to Roxanne")&amp;" sent "&amp;TEXT($X776,"dd-mmm")&amp;". "&amp;IF($W776=6,"Final escalation completed.",IF($T776="OVERDUE","Next: "&amp;$Z776&amp;" was due "&amp;TEXT($Y776,"dd-mmm")&amp;" - "&amp;(NETWORKDAYS($Y776,TODAY(),Holidays)-1)&amp;" business day(s) late. Send now.",IF($T776="DUE TOMORROW","Next: "&amp;$Z776&amp;IF($Y776&lt;=TODAY()," is due TODAY ("," is due next business day (")&amp;TEXT($Y776,"dd-mmm")&amp;").","Next: "&amp;$Z776&amp;" due "&amp;TEXT($Y776,"dd-mmm")&amp;" ("&amp;(NETWORKDAYS(TODAY(),$Y776,Holidays)-1)&amp;" business day(s) left).")))))</f>
        <v/>
      </c>
      <c r="V776" s="17">
        <f>IF($W776="","",CHOOSE($W776,"Collection Email","1st Follow-up","2nd Follow-up","Local Office","CBE","Roxanne")&amp;IF($W776=6," - Final"," - Day "&amp;MAX(0,NETWORKDAYS($X776,TODAY(),Holidays)-1)&amp;" of "&amp;CHOOSE($W776,3,3,2,2,3))&amp;" | Total Day "&amp;MAX(0,NETWORKDAYS($L776,TODAY(),Holidays)-1))</f>
        <v/>
      </c>
      <c r="W776" s="17">
        <f>IF($L776="","",COUNT($L776:$Q776))</f>
        <v/>
      </c>
      <c r="X776" s="18">
        <f>IF($W776="","",INT(INDEX($L776:$Q776,$W776)))</f>
        <v/>
      </c>
      <c r="Y776" s="18">
        <f>IF(OR($W776="",$W776=6),"",WORKDAY($X776,CHOOSE($W776,3,3,2,2,3),Holidays))</f>
        <v/>
      </c>
      <c r="Z776" s="17">
        <f>IF(OR($W776="",$W776=6),"",CHOOSE($W776,"1st Email Follow-up","2nd Email Follow-up","Escalate Local Office","Escalate to CBE","Escalate to Roxanne"))</f>
        <v/>
      </c>
    </row>
    <row r="777" spans="18:26">
      <c r="R777" s="15"/>
      <c r="S777" s="16"/>
      <c r="T777" s="17">
        <f>IF(AND(COUNTA($A777:$K777)=0,$L777=""),"",IF($S777="Paid","PAID",IF($S777="Closed","CLOSED",IF($W777="","",IF($W777=6,"ESCALATED TO ROXANNE",IF(TODAY()&gt;$Y777,"OVERDUE",IF($Y777&lt;=WORKDAY(TODAY(),1,Holidays),"DUE TOMORROW",IF($W777=4,"ESCALATED TO LOCAL OFFICE",IF($W777=5,"ESCALATED TO CBE",IF($X777=TODAY(),"EMAIL SENT","MONITORING"))))))))))</f>
        <v/>
      </c>
      <c r="U777" s="17">
        <f>IF($T777="",IF(AND(COUNTA($A777:$K777)&gt;0,$L777=""),"Awaiting Collection Email time stamp.",""),IF(OR($T777="PAID",$T777="CLOSED"),IF($T777="PAID","Account paid. Action completed.","Account closed. No further action required."),CHOOSE($W777,"Collection Email","1st Email Follow-up","2nd Email Follow-up","Escalation to Local Office","Escalation to CBE","Escalation to Roxanne")&amp;" sent "&amp;TEXT($X777,"dd-mmm")&amp;". "&amp;IF($W777=6,"Final escalation completed.",IF($T777="OVERDUE","Next: "&amp;$Z777&amp;" was due "&amp;TEXT($Y777,"dd-mmm")&amp;" - "&amp;(NETWORKDAYS($Y777,TODAY(),Holidays)-1)&amp;" business day(s) late. Send now.",IF($T777="DUE TOMORROW","Next: "&amp;$Z777&amp;IF($Y777&lt;=TODAY()," is due TODAY ("," is due next business day (")&amp;TEXT($Y777,"dd-mmm")&amp;").","Next: "&amp;$Z777&amp;" due "&amp;TEXT($Y777,"dd-mmm")&amp;" ("&amp;(NETWORKDAYS(TODAY(),$Y777,Holidays)-1)&amp;" business day(s) left).")))))</f>
        <v/>
      </c>
      <c r="V777" s="17">
        <f>IF($W777="","",CHOOSE($W777,"Collection Email","1st Follow-up","2nd Follow-up","Local Office","CBE","Roxanne")&amp;IF($W777=6," - Final"," - Day "&amp;MAX(0,NETWORKDAYS($X777,TODAY(),Holidays)-1)&amp;" of "&amp;CHOOSE($W777,3,3,2,2,3))&amp;" | Total Day "&amp;MAX(0,NETWORKDAYS($L777,TODAY(),Holidays)-1))</f>
        <v/>
      </c>
      <c r="W777" s="17">
        <f>IF($L777="","",COUNT($L777:$Q777))</f>
        <v/>
      </c>
      <c r="X777" s="18">
        <f>IF($W777="","",INT(INDEX($L777:$Q777,$W777)))</f>
        <v/>
      </c>
      <c r="Y777" s="18">
        <f>IF(OR($W777="",$W777=6),"",WORKDAY($X777,CHOOSE($W777,3,3,2,2,3),Holidays))</f>
        <v/>
      </c>
      <c r="Z777" s="17">
        <f>IF(OR($W777="",$W777=6),"",CHOOSE($W777,"1st Email Follow-up","2nd Email Follow-up","Escalate Local Office","Escalate to CBE","Escalate to Roxanne"))</f>
        <v/>
      </c>
    </row>
    <row r="778" spans="18:26">
      <c r="R778" s="15"/>
      <c r="S778" s="16"/>
      <c r="T778" s="17">
        <f>IF(AND(COUNTA($A778:$K778)=0,$L778=""),"",IF($S778="Paid","PAID",IF($S778="Closed","CLOSED",IF($W778="","",IF($W778=6,"ESCALATED TO ROXANNE",IF(TODAY()&gt;$Y778,"OVERDUE",IF($Y778&lt;=WORKDAY(TODAY(),1,Holidays),"DUE TOMORROW",IF($W778=4,"ESCALATED TO LOCAL OFFICE",IF($W778=5,"ESCALATED TO CBE",IF($X778=TODAY(),"EMAIL SENT","MONITORING"))))))))))</f>
        <v/>
      </c>
      <c r="U778" s="17">
        <f>IF($T778="",IF(AND(COUNTA($A778:$K778)&gt;0,$L778=""),"Awaiting Collection Email time stamp.",""),IF(OR($T778="PAID",$T778="CLOSED"),IF($T778="PAID","Account paid. Action completed.","Account closed. No further action required."),CHOOSE($W778,"Collection Email","1st Email Follow-up","2nd Email Follow-up","Escalation to Local Office","Escalation to CBE","Escalation to Roxanne")&amp;" sent "&amp;TEXT($X778,"dd-mmm")&amp;". "&amp;IF($W778=6,"Final escalation completed.",IF($T778="OVERDUE","Next: "&amp;$Z778&amp;" was due "&amp;TEXT($Y778,"dd-mmm")&amp;" - "&amp;(NETWORKDAYS($Y778,TODAY(),Holidays)-1)&amp;" business day(s) late. Send now.",IF($T778="DUE TOMORROW","Next: "&amp;$Z778&amp;IF($Y778&lt;=TODAY()," is due TODAY ("," is due next business day (")&amp;TEXT($Y778,"dd-mmm")&amp;").","Next: "&amp;$Z778&amp;" due "&amp;TEXT($Y778,"dd-mmm")&amp;" ("&amp;(NETWORKDAYS(TODAY(),$Y778,Holidays)-1)&amp;" business day(s) left).")))))</f>
        <v/>
      </c>
      <c r="V778" s="17">
        <f>IF($W778="","",CHOOSE($W778,"Collection Email","1st Follow-up","2nd Follow-up","Local Office","CBE","Roxanne")&amp;IF($W778=6," - Final"," - Day "&amp;MAX(0,NETWORKDAYS($X778,TODAY(),Holidays)-1)&amp;" of "&amp;CHOOSE($W778,3,3,2,2,3))&amp;" | Total Day "&amp;MAX(0,NETWORKDAYS($L778,TODAY(),Holidays)-1))</f>
        <v/>
      </c>
      <c r="W778" s="17">
        <f>IF($L778="","",COUNT($L778:$Q778))</f>
        <v/>
      </c>
      <c r="X778" s="18">
        <f>IF($W778="","",INT(INDEX($L778:$Q778,$W778)))</f>
        <v/>
      </c>
      <c r="Y778" s="18">
        <f>IF(OR($W778="",$W778=6),"",WORKDAY($X778,CHOOSE($W778,3,3,2,2,3),Holidays))</f>
        <v/>
      </c>
      <c r="Z778" s="17">
        <f>IF(OR($W778="",$W778=6),"",CHOOSE($W778,"1st Email Follow-up","2nd Email Follow-up","Escalate Local Office","Escalate to CBE","Escalate to Roxanne"))</f>
        <v/>
      </c>
    </row>
    <row r="779" spans="18:26">
      <c r="R779" s="15"/>
      <c r="S779" s="16"/>
      <c r="T779" s="17">
        <f>IF(AND(COUNTA($A779:$K779)=0,$L779=""),"",IF($S779="Paid","PAID",IF($S779="Closed","CLOSED",IF($W779="","",IF($W779=6,"ESCALATED TO ROXANNE",IF(TODAY()&gt;$Y779,"OVERDUE",IF($Y779&lt;=WORKDAY(TODAY(),1,Holidays),"DUE TOMORROW",IF($W779=4,"ESCALATED TO LOCAL OFFICE",IF($W779=5,"ESCALATED TO CBE",IF($X779=TODAY(),"EMAIL SENT","MONITORING"))))))))))</f>
        <v/>
      </c>
      <c r="U779" s="17">
        <f>IF($T779="",IF(AND(COUNTA($A779:$K779)&gt;0,$L779=""),"Awaiting Collection Email time stamp.",""),IF(OR($T779="PAID",$T779="CLOSED"),IF($T779="PAID","Account paid. Action completed.","Account closed. No further action required."),CHOOSE($W779,"Collection Email","1st Email Follow-up","2nd Email Follow-up","Escalation to Local Office","Escalation to CBE","Escalation to Roxanne")&amp;" sent "&amp;TEXT($X779,"dd-mmm")&amp;". "&amp;IF($W779=6,"Final escalation completed.",IF($T779="OVERDUE","Next: "&amp;$Z779&amp;" was due "&amp;TEXT($Y779,"dd-mmm")&amp;" - "&amp;(NETWORKDAYS($Y779,TODAY(),Holidays)-1)&amp;" business day(s) late. Send now.",IF($T779="DUE TOMORROW","Next: "&amp;$Z779&amp;IF($Y779&lt;=TODAY()," is due TODAY ("," is due next business day (")&amp;TEXT($Y779,"dd-mmm")&amp;").","Next: "&amp;$Z779&amp;" due "&amp;TEXT($Y779,"dd-mmm")&amp;" ("&amp;(NETWORKDAYS(TODAY(),$Y779,Holidays)-1)&amp;" business day(s) left).")))))</f>
        <v/>
      </c>
      <c r="V779" s="17">
        <f>IF($W779="","",CHOOSE($W779,"Collection Email","1st Follow-up","2nd Follow-up","Local Office","CBE","Roxanne")&amp;IF($W779=6," - Final"," - Day "&amp;MAX(0,NETWORKDAYS($X779,TODAY(),Holidays)-1)&amp;" of "&amp;CHOOSE($W779,3,3,2,2,3))&amp;" | Total Day "&amp;MAX(0,NETWORKDAYS($L779,TODAY(),Holidays)-1))</f>
        <v/>
      </c>
      <c r="W779" s="17">
        <f>IF($L779="","",COUNT($L779:$Q779))</f>
        <v/>
      </c>
      <c r="X779" s="18">
        <f>IF($W779="","",INT(INDEX($L779:$Q779,$W779)))</f>
        <v/>
      </c>
      <c r="Y779" s="18">
        <f>IF(OR($W779="",$W779=6),"",WORKDAY($X779,CHOOSE($W779,3,3,2,2,3),Holidays))</f>
        <v/>
      </c>
      <c r="Z779" s="17">
        <f>IF(OR($W779="",$W779=6),"",CHOOSE($W779,"1st Email Follow-up","2nd Email Follow-up","Escalate Local Office","Escalate to CBE","Escalate to Roxanne"))</f>
        <v/>
      </c>
    </row>
    <row r="780" spans="18:26">
      <c r="R780" s="15"/>
      <c r="S780" s="16"/>
      <c r="T780" s="17">
        <f>IF(AND(COUNTA($A780:$K780)=0,$L780=""),"",IF($S780="Paid","PAID",IF($S780="Closed","CLOSED",IF($W780="","",IF($W780=6,"ESCALATED TO ROXANNE",IF(TODAY()&gt;$Y780,"OVERDUE",IF($Y780&lt;=WORKDAY(TODAY(),1,Holidays),"DUE TOMORROW",IF($W780=4,"ESCALATED TO LOCAL OFFICE",IF($W780=5,"ESCALATED TO CBE",IF($X780=TODAY(),"EMAIL SENT","MONITORING"))))))))))</f>
        <v/>
      </c>
      <c r="U780" s="17">
        <f>IF($T780="",IF(AND(COUNTA($A780:$K780)&gt;0,$L780=""),"Awaiting Collection Email time stamp.",""),IF(OR($T780="PAID",$T780="CLOSED"),IF($T780="PAID","Account paid. Action completed.","Account closed. No further action required."),CHOOSE($W780,"Collection Email","1st Email Follow-up","2nd Email Follow-up","Escalation to Local Office","Escalation to CBE","Escalation to Roxanne")&amp;" sent "&amp;TEXT($X780,"dd-mmm")&amp;". "&amp;IF($W780=6,"Final escalation completed.",IF($T780="OVERDUE","Next: "&amp;$Z780&amp;" was due "&amp;TEXT($Y780,"dd-mmm")&amp;" - "&amp;(NETWORKDAYS($Y780,TODAY(),Holidays)-1)&amp;" business day(s) late. Send now.",IF($T780="DUE TOMORROW","Next: "&amp;$Z780&amp;IF($Y780&lt;=TODAY()," is due TODAY ("," is due next business day (")&amp;TEXT($Y780,"dd-mmm")&amp;").","Next: "&amp;$Z780&amp;" due "&amp;TEXT($Y780,"dd-mmm")&amp;" ("&amp;(NETWORKDAYS(TODAY(),$Y780,Holidays)-1)&amp;" business day(s) left).")))))</f>
        <v/>
      </c>
      <c r="V780" s="17">
        <f>IF($W780="","",CHOOSE($W780,"Collection Email","1st Follow-up","2nd Follow-up","Local Office","CBE","Roxanne")&amp;IF($W780=6," - Final"," - Day "&amp;MAX(0,NETWORKDAYS($X780,TODAY(),Holidays)-1)&amp;" of "&amp;CHOOSE($W780,3,3,2,2,3))&amp;" | Total Day "&amp;MAX(0,NETWORKDAYS($L780,TODAY(),Holidays)-1))</f>
        <v/>
      </c>
      <c r="W780" s="17">
        <f>IF($L780="","",COUNT($L780:$Q780))</f>
        <v/>
      </c>
      <c r="X780" s="18">
        <f>IF($W780="","",INT(INDEX($L780:$Q780,$W780)))</f>
        <v/>
      </c>
      <c r="Y780" s="18">
        <f>IF(OR($W780="",$W780=6),"",WORKDAY($X780,CHOOSE($W780,3,3,2,2,3),Holidays))</f>
        <v/>
      </c>
      <c r="Z780" s="17">
        <f>IF(OR($W780="",$W780=6),"",CHOOSE($W780,"1st Email Follow-up","2nd Email Follow-up","Escalate Local Office","Escalate to CBE","Escalate to Roxanne"))</f>
        <v/>
      </c>
    </row>
    <row r="781" spans="18:26">
      <c r="R781" s="15"/>
      <c r="S781" s="16"/>
      <c r="T781" s="17">
        <f>IF(AND(COUNTA($A781:$K781)=0,$L781=""),"",IF($S781="Paid","PAID",IF($S781="Closed","CLOSED",IF($W781="","",IF($W781=6,"ESCALATED TO ROXANNE",IF(TODAY()&gt;$Y781,"OVERDUE",IF($Y781&lt;=WORKDAY(TODAY(),1,Holidays),"DUE TOMORROW",IF($W781=4,"ESCALATED TO LOCAL OFFICE",IF($W781=5,"ESCALATED TO CBE",IF($X781=TODAY(),"EMAIL SENT","MONITORING"))))))))))</f>
        <v/>
      </c>
      <c r="U781" s="17">
        <f>IF($T781="",IF(AND(COUNTA($A781:$K781)&gt;0,$L781=""),"Awaiting Collection Email time stamp.",""),IF(OR($T781="PAID",$T781="CLOSED"),IF($T781="PAID","Account paid. Action completed.","Account closed. No further action required."),CHOOSE($W781,"Collection Email","1st Email Follow-up","2nd Email Follow-up","Escalation to Local Office","Escalation to CBE","Escalation to Roxanne")&amp;" sent "&amp;TEXT($X781,"dd-mmm")&amp;". "&amp;IF($W781=6,"Final escalation completed.",IF($T781="OVERDUE","Next: "&amp;$Z781&amp;" was due "&amp;TEXT($Y781,"dd-mmm")&amp;" - "&amp;(NETWORKDAYS($Y781,TODAY(),Holidays)-1)&amp;" business day(s) late. Send now.",IF($T781="DUE TOMORROW","Next: "&amp;$Z781&amp;IF($Y781&lt;=TODAY()," is due TODAY ("," is due next business day (")&amp;TEXT($Y781,"dd-mmm")&amp;").","Next: "&amp;$Z781&amp;" due "&amp;TEXT($Y781,"dd-mmm")&amp;" ("&amp;(NETWORKDAYS(TODAY(),$Y781,Holidays)-1)&amp;" business day(s) left).")))))</f>
        <v/>
      </c>
      <c r="V781" s="17">
        <f>IF($W781="","",CHOOSE($W781,"Collection Email","1st Follow-up","2nd Follow-up","Local Office","CBE","Roxanne")&amp;IF($W781=6," - Final"," - Day "&amp;MAX(0,NETWORKDAYS($X781,TODAY(),Holidays)-1)&amp;" of "&amp;CHOOSE($W781,3,3,2,2,3))&amp;" | Total Day "&amp;MAX(0,NETWORKDAYS($L781,TODAY(),Holidays)-1))</f>
        <v/>
      </c>
      <c r="W781" s="17">
        <f>IF($L781="","",COUNT($L781:$Q781))</f>
        <v/>
      </c>
      <c r="X781" s="18">
        <f>IF($W781="","",INT(INDEX($L781:$Q781,$W781)))</f>
        <v/>
      </c>
      <c r="Y781" s="18">
        <f>IF(OR($W781="",$W781=6),"",WORKDAY($X781,CHOOSE($W781,3,3,2,2,3),Holidays))</f>
        <v/>
      </c>
      <c r="Z781" s="17">
        <f>IF(OR($W781="",$W781=6),"",CHOOSE($W781,"1st Email Follow-up","2nd Email Follow-up","Escalate Local Office","Escalate to CBE","Escalate to Roxanne"))</f>
        <v/>
      </c>
    </row>
    <row r="782" spans="18:26">
      <c r="R782" s="15"/>
      <c r="S782" s="16"/>
      <c r="T782" s="17">
        <f>IF(AND(COUNTA($A782:$K782)=0,$L782=""),"",IF($S782="Paid","PAID",IF($S782="Closed","CLOSED",IF($W782="","",IF($W782=6,"ESCALATED TO ROXANNE",IF(TODAY()&gt;$Y782,"OVERDUE",IF($Y782&lt;=WORKDAY(TODAY(),1,Holidays),"DUE TOMORROW",IF($W782=4,"ESCALATED TO LOCAL OFFICE",IF($W782=5,"ESCALATED TO CBE",IF($X782=TODAY(),"EMAIL SENT","MONITORING"))))))))))</f>
        <v/>
      </c>
      <c r="U782" s="17">
        <f>IF($T782="",IF(AND(COUNTA($A782:$K782)&gt;0,$L782=""),"Awaiting Collection Email time stamp.",""),IF(OR($T782="PAID",$T782="CLOSED"),IF($T782="PAID","Account paid. Action completed.","Account closed. No further action required."),CHOOSE($W782,"Collection Email","1st Email Follow-up","2nd Email Follow-up","Escalation to Local Office","Escalation to CBE","Escalation to Roxanne")&amp;" sent "&amp;TEXT($X782,"dd-mmm")&amp;". "&amp;IF($W782=6,"Final escalation completed.",IF($T782="OVERDUE","Next: "&amp;$Z782&amp;" was due "&amp;TEXT($Y782,"dd-mmm")&amp;" - "&amp;(NETWORKDAYS($Y782,TODAY(),Holidays)-1)&amp;" business day(s) late. Send now.",IF($T782="DUE TOMORROW","Next: "&amp;$Z782&amp;IF($Y782&lt;=TODAY()," is due TODAY ("," is due next business day (")&amp;TEXT($Y782,"dd-mmm")&amp;").","Next: "&amp;$Z782&amp;" due "&amp;TEXT($Y782,"dd-mmm")&amp;" ("&amp;(NETWORKDAYS(TODAY(),$Y782,Holidays)-1)&amp;" business day(s) left).")))))</f>
        <v/>
      </c>
      <c r="V782" s="17">
        <f>IF($W782="","",CHOOSE($W782,"Collection Email","1st Follow-up","2nd Follow-up","Local Office","CBE","Roxanne")&amp;IF($W782=6," - Final"," - Day "&amp;MAX(0,NETWORKDAYS($X782,TODAY(),Holidays)-1)&amp;" of "&amp;CHOOSE($W782,3,3,2,2,3))&amp;" | Total Day "&amp;MAX(0,NETWORKDAYS($L782,TODAY(),Holidays)-1))</f>
        <v/>
      </c>
      <c r="W782" s="17">
        <f>IF($L782="","",COUNT($L782:$Q782))</f>
        <v/>
      </c>
      <c r="X782" s="18">
        <f>IF($W782="","",INT(INDEX($L782:$Q782,$W782)))</f>
        <v/>
      </c>
      <c r="Y782" s="18">
        <f>IF(OR($W782="",$W782=6),"",WORKDAY($X782,CHOOSE($W782,3,3,2,2,3),Holidays))</f>
        <v/>
      </c>
      <c r="Z782" s="17">
        <f>IF(OR($W782="",$W782=6),"",CHOOSE($W782,"1st Email Follow-up","2nd Email Follow-up","Escalate Local Office","Escalate to CBE","Escalate to Roxanne"))</f>
        <v/>
      </c>
    </row>
    <row r="783" spans="18:26">
      <c r="R783" s="15"/>
      <c r="S783" s="16"/>
      <c r="T783" s="17">
        <f>IF(AND(COUNTA($A783:$K783)=0,$L783=""),"",IF($S783="Paid","PAID",IF($S783="Closed","CLOSED",IF($W783="","",IF($W783=6,"ESCALATED TO ROXANNE",IF(TODAY()&gt;$Y783,"OVERDUE",IF($Y783&lt;=WORKDAY(TODAY(),1,Holidays),"DUE TOMORROW",IF($W783=4,"ESCALATED TO LOCAL OFFICE",IF($W783=5,"ESCALATED TO CBE",IF($X783=TODAY(),"EMAIL SENT","MONITORING"))))))))))</f>
        <v/>
      </c>
      <c r="U783" s="17">
        <f>IF($T783="",IF(AND(COUNTA($A783:$K783)&gt;0,$L783=""),"Awaiting Collection Email time stamp.",""),IF(OR($T783="PAID",$T783="CLOSED"),IF($T783="PAID","Account paid. Action completed.","Account closed. No further action required."),CHOOSE($W783,"Collection Email","1st Email Follow-up","2nd Email Follow-up","Escalation to Local Office","Escalation to CBE","Escalation to Roxanne")&amp;" sent "&amp;TEXT($X783,"dd-mmm")&amp;". "&amp;IF($W783=6,"Final escalation completed.",IF($T783="OVERDUE","Next: "&amp;$Z783&amp;" was due "&amp;TEXT($Y783,"dd-mmm")&amp;" - "&amp;(NETWORKDAYS($Y783,TODAY(),Holidays)-1)&amp;" business day(s) late. Send now.",IF($T783="DUE TOMORROW","Next: "&amp;$Z783&amp;IF($Y783&lt;=TODAY()," is due TODAY ("," is due next business day (")&amp;TEXT($Y783,"dd-mmm")&amp;").","Next: "&amp;$Z783&amp;" due "&amp;TEXT($Y783,"dd-mmm")&amp;" ("&amp;(NETWORKDAYS(TODAY(),$Y783,Holidays)-1)&amp;" business day(s) left).")))))</f>
        <v/>
      </c>
      <c r="V783" s="17">
        <f>IF($W783="","",CHOOSE($W783,"Collection Email","1st Follow-up","2nd Follow-up","Local Office","CBE","Roxanne")&amp;IF($W783=6," - Final"," - Day "&amp;MAX(0,NETWORKDAYS($X783,TODAY(),Holidays)-1)&amp;" of "&amp;CHOOSE($W783,3,3,2,2,3))&amp;" | Total Day "&amp;MAX(0,NETWORKDAYS($L783,TODAY(),Holidays)-1))</f>
        <v/>
      </c>
      <c r="W783" s="17">
        <f>IF($L783="","",COUNT($L783:$Q783))</f>
        <v/>
      </c>
      <c r="X783" s="18">
        <f>IF($W783="","",INT(INDEX($L783:$Q783,$W783)))</f>
        <v/>
      </c>
      <c r="Y783" s="18">
        <f>IF(OR($W783="",$W783=6),"",WORKDAY($X783,CHOOSE($W783,3,3,2,2,3),Holidays))</f>
        <v/>
      </c>
      <c r="Z783" s="17">
        <f>IF(OR($W783="",$W783=6),"",CHOOSE($W783,"1st Email Follow-up","2nd Email Follow-up","Escalate Local Office","Escalate to CBE","Escalate to Roxanne"))</f>
        <v/>
      </c>
    </row>
    <row r="784" spans="18:26">
      <c r="R784" s="15"/>
      <c r="S784" s="16"/>
      <c r="T784" s="17">
        <f>IF(AND(COUNTA($A784:$K784)=0,$L784=""),"",IF($S784="Paid","PAID",IF($S784="Closed","CLOSED",IF($W784="","",IF($W784=6,"ESCALATED TO ROXANNE",IF(TODAY()&gt;$Y784,"OVERDUE",IF($Y784&lt;=WORKDAY(TODAY(),1,Holidays),"DUE TOMORROW",IF($W784=4,"ESCALATED TO LOCAL OFFICE",IF($W784=5,"ESCALATED TO CBE",IF($X784=TODAY(),"EMAIL SENT","MONITORING"))))))))))</f>
        <v/>
      </c>
      <c r="U784" s="17">
        <f>IF($T784="",IF(AND(COUNTA($A784:$K784)&gt;0,$L784=""),"Awaiting Collection Email time stamp.",""),IF(OR($T784="PAID",$T784="CLOSED"),IF($T784="PAID","Account paid. Action completed.","Account closed. No further action required."),CHOOSE($W784,"Collection Email","1st Email Follow-up","2nd Email Follow-up","Escalation to Local Office","Escalation to CBE","Escalation to Roxanne")&amp;" sent "&amp;TEXT($X784,"dd-mmm")&amp;". "&amp;IF($W784=6,"Final escalation completed.",IF($T784="OVERDUE","Next: "&amp;$Z784&amp;" was due "&amp;TEXT($Y784,"dd-mmm")&amp;" - "&amp;(NETWORKDAYS($Y784,TODAY(),Holidays)-1)&amp;" business day(s) late. Send now.",IF($T784="DUE TOMORROW","Next: "&amp;$Z784&amp;IF($Y784&lt;=TODAY()," is due TODAY ("," is due next business day (")&amp;TEXT($Y784,"dd-mmm")&amp;").","Next: "&amp;$Z784&amp;" due "&amp;TEXT($Y784,"dd-mmm")&amp;" ("&amp;(NETWORKDAYS(TODAY(),$Y784,Holidays)-1)&amp;" business day(s) left).")))))</f>
        <v/>
      </c>
      <c r="V784" s="17">
        <f>IF($W784="","",CHOOSE($W784,"Collection Email","1st Follow-up","2nd Follow-up","Local Office","CBE","Roxanne")&amp;IF($W784=6," - Final"," - Day "&amp;MAX(0,NETWORKDAYS($X784,TODAY(),Holidays)-1)&amp;" of "&amp;CHOOSE($W784,3,3,2,2,3))&amp;" | Total Day "&amp;MAX(0,NETWORKDAYS($L784,TODAY(),Holidays)-1))</f>
        <v/>
      </c>
      <c r="W784" s="17">
        <f>IF($L784="","",COUNT($L784:$Q784))</f>
        <v/>
      </c>
      <c r="X784" s="18">
        <f>IF($W784="","",INT(INDEX($L784:$Q784,$W784)))</f>
        <v/>
      </c>
      <c r="Y784" s="18">
        <f>IF(OR($W784="",$W784=6),"",WORKDAY($X784,CHOOSE($W784,3,3,2,2,3),Holidays))</f>
        <v/>
      </c>
      <c r="Z784" s="17">
        <f>IF(OR($W784="",$W784=6),"",CHOOSE($W784,"1st Email Follow-up","2nd Email Follow-up","Escalate Local Office","Escalate to CBE","Escalate to Roxanne"))</f>
        <v/>
      </c>
    </row>
    <row r="785" spans="18:26">
      <c r="R785" s="15"/>
      <c r="S785" s="16"/>
      <c r="T785" s="17">
        <f>IF(AND(COUNTA($A785:$K785)=0,$L785=""),"",IF($S785="Paid","PAID",IF($S785="Closed","CLOSED",IF($W785="","",IF($W785=6,"ESCALATED TO ROXANNE",IF(TODAY()&gt;$Y785,"OVERDUE",IF($Y785&lt;=WORKDAY(TODAY(),1,Holidays),"DUE TOMORROW",IF($W785=4,"ESCALATED TO LOCAL OFFICE",IF($W785=5,"ESCALATED TO CBE",IF($X785=TODAY(),"EMAIL SENT","MONITORING"))))))))))</f>
        <v/>
      </c>
      <c r="U785" s="17">
        <f>IF($T785="",IF(AND(COUNTA($A785:$K785)&gt;0,$L785=""),"Awaiting Collection Email time stamp.",""),IF(OR($T785="PAID",$T785="CLOSED"),IF($T785="PAID","Account paid. Action completed.","Account closed. No further action required."),CHOOSE($W785,"Collection Email","1st Email Follow-up","2nd Email Follow-up","Escalation to Local Office","Escalation to CBE","Escalation to Roxanne")&amp;" sent "&amp;TEXT($X785,"dd-mmm")&amp;". "&amp;IF($W785=6,"Final escalation completed.",IF($T785="OVERDUE","Next: "&amp;$Z785&amp;" was due "&amp;TEXT($Y785,"dd-mmm")&amp;" - "&amp;(NETWORKDAYS($Y785,TODAY(),Holidays)-1)&amp;" business day(s) late. Send now.",IF($T785="DUE TOMORROW","Next: "&amp;$Z785&amp;IF($Y785&lt;=TODAY()," is due TODAY ("," is due next business day (")&amp;TEXT($Y785,"dd-mmm")&amp;").","Next: "&amp;$Z785&amp;" due "&amp;TEXT($Y785,"dd-mmm")&amp;" ("&amp;(NETWORKDAYS(TODAY(),$Y785,Holidays)-1)&amp;" business day(s) left).")))))</f>
        <v/>
      </c>
      <c r="V785" s="17">
        <f>IF($W785="","",CHOOSE($W785,"Collection Email","1st Follow-up","2nd Follow-up","Local Office","CBE","Roxanne")&amp;IF($W785=6," - Final"," - Day "&amp;MAX(0,NETWORKDAYS($X785,TODAY(),Holidays)-1)&amp;" of "&amp;CHOOSE($W785,3,3,2,2,3))&amp;" | Total Day "&amp;MAX(0,NETWORKDAYS($L785,TODAY(),Holidays)-1))</f>
        <v/>
      </c>
      <c r="W785" s="17">
        <f>IF($L785="","",COUNT($L785:$Q785))</f>
        <v/>
      </c>
      <c r="X785" s="18">
        <f>IF($W785="","",INT(INDEX($L785:$Q785,$W785)))</f>
        <v/>
      </c>
      <c r="Y785" s="18">
        <f>IF(OR($W785="",$W785=6),"",WORKDAY($X785,CHOOSE($W785,3,3,2,2,3),Holidays))</f>
        <v/>
      </c>
      <c r="Z785" s="17">
        <f>IF(OR($W785="",$W785=6),"",CHOOSE($W785,"1st Email Follow-up","2nd Email Follow-up","Escalate Local Office","Escalate to CBE","Escalate to Roxanne"))</f>
        <v/>
      </c>
    </row>
    <row r="786" spans="18:26">
      <c r="R786" s="15"/>
      <c r="S786" s="16"/>
      <c r="T786" s="17">
        <f>IF(AND(COUNTA($A786:$K786)=0,$L786=""),"",IF($S786="Paid","PAID",IF($S786="Closed","CLOSED",IF($W786="","",IF($W786=6,"ESCALATED TO ROXANNE",IF(TODAY()&gt;$Y786,"OVERDUE",IF($Y786&lt;=WORKDAY(TODAY(),1,Holidays),"DUE TOMORROW",IF($W786=4,"ESCALATED TO LOCAL OFFICE",IF($W786=5,"ESCALATED TO CBE",IF($X786=TODAY(),"EMAIL SENT","MONITORING"))))))))))</f>
        <v/>
      </c>
      <c r="U786" s="17">
        <f>IF($T786="",IF(AND(COUNTA($A786:$K786)&gt;0,$L786=""),"Awaiting Collection Email time stamp.",""),IF(OR($T786="PAID",$T786="CLOSED"),IF($T786="PAID","Account paid. Action completed.","Account closed. No further action required."),CHOOSE($W786,"Collection Email","1st Email Follow-up","2nd Email Follow-up","Escalation to Local Office","Escalation to CBE","Escalation to Roxanne")&amp;" sent "&amp;TEXT($X786,"dd-mmm")&amp;". "&amp;IF($W786=6,"Final escalation completed.",IF($T786="OVERDUE","Next: "&amp;$Z786&amp;" was due "&amp;TEXT($Y786,"dd-mmm")&amp;" - "&amp;(NETWORKDAYS($Y786,TODAY(),Holidays)-1)&amp;" business day(s) late. Send now.",IF($T786="DUE TOMORROW","Next: "&amp;$Z786&amp;IF($Y786&lt;=TODAY()," is due TODAY ("," is due next business day (")&amp;TEXT($Y786,"dd-mmm")&amp;").","Next: "&amp;$Z786&amp;" due "&amp;TEXT($Y786,"dd-mmm")&amp;" ("&amp;(NETWORKDAYS(TODAY(),$Y786,Holidays)-1)&amp;" business day(s) left).")))))</f>
        <v/>
      </c>
      <c r="V786" s="17">
        <f>IF($W786="","",CHOOSE($W786,"Collection Email","1st Follow-up","2nd Follow-up","Local Office","CBE","Roxanne")&amp;IF($W786=6," - Final"," - Day "&amp;MAX(0,NETWORKDAYS($X786,TODAY(),Holidays)-1)&amp;" of "&amp;CHOOSE($W786,3,3,2,2,3))&amp;" | Total Day "&amp;MAX(0,NETWORKDAYS($L786,TODAY(),Holidays)-1))</f>
        <v/>
      </c>
      <c r="W786" s="17">
        <f>IF($L786="","",COUNT($L786:$Q786))</f>
        <v/>
      </c>
      <c r="X786" s="18">
        <f>IF($W786="","",INT(INDEX($L786:$Q786,$W786)))</f>
        <v/>
      </c>
      <c r="Y786" s="18">
        <f>IF(OR($W786="",$W786=6),"",WORKDAY($X786,CHOOSE($W786,3,3,2,2,3),Holidays))</f>
        <v/>
      </c>
      <c r="Z786" s="17">
        <f>IF(OR($W786="",$W786=6),"",CHOOSE($W786,"1st Email Follow-up","2nd Email Follow-up","Escalate Local Office","Escalate to CBE","Escalate to Roxanne"))</f>
        <v/>
      </c>
    </row>
    <row r="787" spans="18:26">
      <c r="R787" s="15"/>
      <c r="S787" s="16"/>
      <c r="T787" s="17">
        <f>IF(AND(COUNTA($A787:$K787)=0,$L787=""),"",IF($S787="Paid","PAID",IF($S787="Closed","CLOSED",IF($W787="","",IF($W787=6,"ESCALATED TO ROXANNE",IF(TODAY()&gt;$Y787,"OVERDUE",IF($Y787&lt;=WORKDAY(TODAY(),1,Holidays),"DUE TOMORROW",IF($W787=4,"ESCALATED TO LOCAL OFFICE",IF($W787=5,"ESCALATED TO CBE",IF($X787=TODAY(),"EMAIL SENT","MONITORING"))))))))))</f>
        <v/>
      </c>
      <c r="U787" s="17">
        <f>IF($T787="",IF(AND(COUNTA($A787:$K787)&gt;0,$L787=""),"Awaiting Collection Email time stamp.",""),IF(OR($T787="PAID",$T787="CLOSED"),IF($T787="PAID","Account paid. Action completed.","Account closed. No further action required."),CHOOSE($W787,"Collection Email","1st Email Follow-up","2nd Email Follow-up","Escalation to Local Office","Escalation to CBE","Escalation to Roxanne")&amp;" sent "&amp;TEXT($X787,"dd-mmm")&amp;". "&amp;IF($W787=6,"Final escalation completed.",IF($T787="OVERDUE","Next: "&amp;$Z787&amp;" was due "&amp;TEXT($Y787,"dd-mmm")&amp;" - "&amp;(NETWORKDAYS($Y787,TODAY(),Holidays)-1)&amp;" business day(s) late. Send now.",IF($T787="DUE TOMORROW","Next: "&amp;$Z787&amp;IF($Y787&lt;=TODAY()," is due TODAY ("," is due next business day (")&amp;TEXT($Y787,"dd-mmm")&amp;").","Next: "&amp;$Z787&amp;" due "&amp;TEXT($Y787,"dd-mmm")&amp;" ("&amp;(NETWORKDAYS(TODAY(),$Y787,Holidays)-1)&amp;" business day(s) left).")))))</f>
        <v/>
      </c>
      <c r="V787" s="17">
        <f>IF($W787="","",CHOOSE($W787,"Collection Email","1st Follow-up","2nd Follow-up","Local Office","CBE","Roxanne")&amp;IF($W787=6," - Final"," - Day "&amp;MAX(0,NETWORKDAYS($X787,TODAY(),Holidays)-1)&amp;" of "&amp;CHOOSE($W787,3,3,2,2,3))&amp;" | Total Day "&amp;MAX(0,NETWORKDAYS($L787,TODAY(),Holidays)-1))</f>
        <v/>
      </c>
      <c r="W787" s="17">
        <f>IF($L787="","",COUNT($L787:$Q787))</f>
        <v/>
      </c>
      <c r="X787" s="18">
        <f>IF($W787="","",INT(INDEX($L787:$Q787,$W787)))</f>
        <v/>
      </c>
      <c r="Y787" s="18">
        <f>IF(OR($W787="",$W787=6),"",WORKDAY($X787,CHOOSE($W787,3,3,2,2,3),Holidays))</f>
        <v/>
      </c>
      <c r="Z787" s="17">
        <f>IF(OR($W787="",$W787=6),"",CHOOSE($W787,"1st Email Follow-up","2nd Email Follow-up","Escalate Local Office","Escalate to CBE","Escalate to Roxanne"))</f>
        <v/>
      </c>
    </row>
    <row r="788" spans="18:26">
      <c r="R788" s="15"/>
      <c r="S788" s="16"/>
      <c r="T788" s="17">
        <f>IF(AND(COUNTA($A788:$K788)=0,$L788=""),"",IF($S788="Paid","PAID",IF($S788="Closed","CLOSED",IF($W788="","",IF($W788=6,"ESCALATED TO ROXANNE",IF(TODAY()&gt;$Y788,"OVERDUE",IF($Y788&lt;=WORKDAY(TODAY(),1,Holidays),"DUE TOMORROW",IF($W788=4,"ESCALATED TO LOCAL OFFICE",IF($W788=5,"ESCALATED TO CBE",IF($X788=TODAY(),"EMAIL SENT","MONITORING"))))))))))</f>
        <v/>
      </c>
      <c r="U788" s="17">
        <f>IF($T788="",IF(AND(COUNTA($A788:$K788)&gt;0,$L788=""),"Awaiting Collection Email time stamp.",""),IF(OR($T788="PAID",$T788="CLOSED"),IF($T788="PAID","Account paid. Action completed.","Account closed. No further action required."),CHOOSE($W788,"Collection Email","1st Email Follow-up","2nd Email Follow-up","Escalation to Local Office","Escalation to CBE","Escalation to Roxanne")&amp;" sent "&amp;TEXT($X788,"dd-mmm")&amp;". "&amp;IF($W788=6,"Final escalation completed.",IF($T788="OVERDUE","Next: "&amp;$Z788&amp;" was due "&amp;TEXT($Y788,"dd-mmm")&amp;" - "&amp;(NETWORKDAYS($Y788,TODAY(),Holidays)-1)&amp;" business day(s) late. Send now.",IF($T788="DUE TOMORROW","Next: "&amp;$Z788&amp;IF($Y788&lt;=TODAY()," is due TODAY ("," is due next business day (")&amp;TEXT($Y788,"dd-mmm")&amp;").","Next: "&amp;$Z788&amp;" due "&amp;TEXT($Y788,"dd-mmm")&amp;" ("&amp;(NETWORKDAYS(TODAY(),$Y788,Holidays)-1)&amp;" business day(s) left).")))))</f>
        <v/>
      </c>
      <c r="V788" s="17">
        <f>IF($W788="","",CHOOSE($W788,"Collection Email","1st Follow-up","2nd Follow-up","Local Office","CBE","Roxanne")&amp;IF($W788=6," - Final"," - Day "&amp;MAX(0,NETWORKDAYS($X788,TODAY(),Holidays)-1)&amp;" of "&amp;CHOOSE($W788,3,3,2,2,3))&amp;" | Total Day "&amp;MAX(0,NETWORKDAYS($L788,TODAY(),Holidays)-1))</f>
        <v/>
      </c>
      <c r="W788" s="17">
        <f>IF($L788="","",COUNT($L788:$Q788))</f>
        <v/>
      </c>
      <c r="X788" s="18">
        <f>IF($W788="","",INT(INDEX($L788:$Q788,$W788)))</f>
        <v/>
      </c>
      <c r="Y788" s="18">
        <f>IF(OR($W788="",$W788=6),"",WORKDAY($X788,CHOOSE($W788,3,3,2,2,3),Holidays))</f>
        <v/>
      </c>
      <c r="Z788" s="17">
        <f>IF(OR($W788="",$W788=6),"",CHOOSE($W788,"1st Email Follow-up","2nd Email Follow-up","Escalate Local Office","Escalate to CBE","Escalate to Roxanne"))</f>
        <v/>
      </c>
    </row>
    <row r="789" spans="18:26">
      <c r="R789" s="15"/>
      <c r="S789" s="16"/>
      <c r="T789" s="17">
        <f>IF(AND(COUNTA($A789:$K789)=0,$L789=""),"",IF($S789="Paid","PAID",IF($S789="Closed","CLOSED",IF($W789="","",IF($W789=6,"ESCALATED TO ROXANNE",IF(TODAY()&gt;$Y789,"OVERDUE",IF($Y789&lt;=WORKDAY(TODAY(),1,Holidays),"DUE TOMORROW",IF($W789=4,"ESCALATED TO LOCAL OFFICE",IF($W789=5,"ESCALATED TO CBE",IF($X789=TODAY(),"EMAIL SENT","MONITORING"))))))))))</f>
        <v/>
      </c>
      <c r="U789" s="17">
        <f>IF($T789="",IF(AND(COUNTA($A789:$K789)&gt;0,$L789=""),"Awaiting Collection Email time stamp.",""),IF(OR($T789="PAID",$T789="CLOSED"),IF($T789="PAID","Account paid. Action completed.","Account closed. No further action required."),CHOOSE($W789,"Collection Email","1st Email Follow-up","2nd Email Follow-up","Escalation to Local Office","Escalation to CBE","Escalation to Roxanne")&amp;" sent "&amp;TEXT($X789,"dd-mmm")&amp;". "&amp;IF($W789=6,"Final escalation completed.",IF($T789="OVERDUE","Next: "&amp;$Z789&amp;" was due "&amp;TEXT($Y789,"dd-mmm")&amp;" - "&amp;(NETWORKDAYS($Y789,TODAY(),Holidays)-1)&amp;" business day(s) late. Send now.",IF($T789="DUE TOMORROW","Next: "&amp;$Z789&amp;IF($Y789&lt;=TODAY()," is due TODAY ("," is due next business day (")&amp;TEXT($Y789,"dd-mmm")&amp;").","Next: "&amp;$Z789&amp;" due "&amp;TEXT($Y789,"dd-mmm")&amp;" ("&amp;(NETWORKDAYS(TODAY(),$Y789,Holidays)-1)&amp;" business day(s) left).")))))</f>
        <v/>
      </c>
      <c r="V789" s="17">
        <f>IF($W789="","",CHOOSE($W789,"Collection Email","1st Follow-up","2nd Follow-up","Local Office","CBE","Roxanne")&amp;IF($W789=6," - Final"," - Day "&amp;MAX(0,NETWORKDAYS($X789,TODAY(),Holidays)-1)&amp;" of "&amp;CHOOSE($W789,3,3,2,2,3))&amp;" | Total Day "&amp;MAX(0,NETWORKDAYS($L789,TODAY(),Holidays)-1))</f>
        <v/>
      </c>
      <c r="W789" s="17">
        <f>IF($L789="","",COUNT($L789:$Q789))</f>
        <v/>
      </c>
      <c r="X789" s="18">
        <f>IF($W789="","",INT(INDEX($L789:$Q789,$W789)))</f>
        <v/>
      </c>
      <c r="Y789" s="18">
        <f>IF(OR($W789="",$W789=6),"",WORKDAY($X789,CHOOSE($W789,3,3,2,2,3),Holidays))</f>
        <v/>
      </c>
      <c r="Z789" s="17">
        <f>IF(OR($W789="",$W789=6),"",CHOOSE($W789,"1st Email Follow-up","2nd Email Follow-up","Escalate Local Office","Escalate to CBE","Escalate to Roxanne"))</f>
        <v/>
      </c>
    </row>
    <row r="790" spans="18:26">
      <c r="R790" s="15"/>
      <c r="S790" s="16"/>
      <c r="T790" s="17">
        <f>IF(AND(COUNTA($A790:$K790)=0,$L790=""),"",IF($S790="Paid","PAID",IF($S790="Closed","CLOSED",IF($W790="","",IF($W790=6,"ESCALATED TO ROXANNE",IF(TODAY()&gt;$Y790,"OVERDUE",IF($Y790&lt;=WORKDAY(TODAY(),1,Holidays),"DUE TOMORROW",IF($W790=4,"ESCALATED TO LOCAL OFFICE",IF($W790=5,"ESCALATED TO CBE",IF($X790=TODAY(),"EMAIL SENT","MONITORING"))))))))))</f>
        <v/>
      </c>
      <c r="U790" s="17">
        <f>IF($T790="",IF(AND(COUNTA($A790:$K790)&gt;0,$L790=""),"Awaiting Collection Email time stamp.",""),IF(OR($T790="PAID",$T790="CLOSED"),IF($T790="PAID","Account paid. Action completed.","Account closed. No further action required."),CHOOSE($W790,"Collection Email","1st Email Follow-up","2nd Email Follow-up","Escalation to Local Office","Escalation to CBE","Escalation to Roxanne")&amp;" sent "&amp;TEXT($X790,"dd-mmm")&amp;". "&amp;IF($W790=6,"Final escalation completed.",IF($T790="OVERDUE","Next: "&amp;$Z790&amp;" was due "&amp;TEXT($Y790,"dd-mmm")&amp;" - "&amp;(NETWORKDAYS($Y790,TODAY(),Holidays)-1)&amp;" business day(s) late. Send now.",IF($T790="DUE TOMORROW","Next: "&amp;$Z790&amp;IF($Y790&lt;=TODAY()," is due TODAY ("," is due next business day (")&amp;TEXT($Y790,"dd-mmm")&amp;").","Next: "&amp;$Z790&amp;" due "&amp;TEXT($Y790,"dd-mmm")&amp;" ("&amp;(NETWORKDAYS(TODAY(),$Y790,Holidays)-1)&amp;" business day(s) left).")))))</f>
        <v/>
      </c>
      <c r="V790" s="17">
        <f>IF($W790="","",CHOOSE($W790,"Collection Email","1st Follow-up","2nd Follow-up","Local Office","CBE","Roxanne")&amp;IF($W790=6," - Final"," - Day "&amp;MAX(0,NETWORKDAYS($X790,TODAY(),Holidays)-1)&amp;" of "&amp;CHOOSE($W790,3,3,2,2,3))&amp;" | Total Day "&amp;MAX(0,NETWORKDAYS($L790,TODAY(),Holidays)-1))</f>
        <v/>
      </c>
      <c r="W790" s="17">
        <f>IF($L790="","",COUNT($L790:$Q790))</f>
        <v/>
      </c>
      <c r="X790" s="18">
        <f>IF($W790="","",INT(INDEX($L790:$Q790,$W790)))</f>
        <v/>
      </c>
      <c r="Y790" s="18">
        <f>IF(OR($W790="",$W790=6),"",WORKDAY($X790,CHOOSE($W790,3,3,2,2,3),Holidays))</f>
        <v/>
      </c>
      <c r="Z790" s="17">
        <f>IF(OR($W790="",$W790=6),"",CHOOSE($W790,"1st Email Follow-up","2nd Email Follow-up","Escalate Local Office","Escalate to CBE","Escalate to Roxanne"))</f>
        <v/>
      </c>
    </row>
    <row r="791" spans="18:26">
      <c r="R791" s="15"/>
      <c r="S791" s="16"/>
      <c r="T791" s="17">
        <f>IF(AND(COUNTA($A791:$K791)=0,$L791=""),"",IF($S791="Paid","PAID",IF($S791="Closed","CLOSED",IF($W791="","",IF($W791=6,"ESCALATED TO ROXANNE",IF(TODAY()&gt;$Y791,"OVERDUE",IF($Y791&lt;=WORKDAY(TODAY(),1,Holidays),"DUE TOMORROW",IF($W791=4,"ESCALATED TO LOCAL OFFICE",IF($W791=5,"ESCALATED TO CBE",IF($X791=TODAY(),"EMAIL SENT","MONITORING"))))))))))</f>
        <v/>
      </c>
      <c r="U791" s="17">
        <f>IF($T791="",IF(AND(COUNTA($A791:$K791)&gt;0,$L791=""),"Awaiting Collection Email time stamp.",""),IF(OR($T791="PAID",$T791="CLOSED"),IF($T791="PAID","Account paid. Action completed.","Account closed. No further action required."),CHOOSE($W791,"Collection Email","1st Email Follow-up","2nd Email Follow-up","Escalation to Local Office","Escalation to CBE","Escalation to Roxanne")&amp;" sent "&amp;TEXT($X791,"dd-mmm")&amp;". "&amp;IF($W791=6,"Final escalation completed.",IF($T791="OVERDUE","Next: "&amp;$Z791&amp;" was due "&amp;TEXT($Y791,"dd-mmm")&amp;" - "&amp;(NETWORKDAYS($Y791,TODAY(),Holidays)-1)&amp;" business day(s) late. Send now.",IF($T791="DUE TOMORROW","Next: "&amp;$Z791&amp;IF($Y791&lt;=TODAY()," is due TODAY ("," is due next business day (")&amp;TEXT($Y791,"dd-mmm")&amp;").","Next: "&amp;$Z791&amp;" due "&amp;TEXT($Y791,"dd-mmm")&amp;" ("&amp;(NETWORKDAYS(TODAY(),$Y791,Holidays)-1)&amp;" business day(s) left).")))))</f>
        <v/>
      </c>
      <c r="V791" s="17">
        <f>IF($W791="","",CHOOSE($W791,"Collection Email","1st Follow-up","2nd Follow-up","Local Office","CBE","Roxanne")&amp;IF($W791=6," - Final"," - Day "&amp;MAX(0,NETWORKDAYS($X791,TODAY(),Holidays)-1)&amp;" of "&amp;CHOOSE($W791,3,3,2,2,3))&amp;" | Total Day "&amp;MAX(0,NETWORKDAYS($L791,TODAY(),Holidays)-1))</f>
        <v/>
      </c>
      <c r="W791" s="17">
        <f>IF($L791="","",COUNT($L791:$Q791))</f>
        <v/>
      </c>
      <c r="X791" s="18">
        <f>IF($W791="","",INT(INDEX($L791:$Q791,$W791)))</f>
        <v/>
      </c>
      <c r="Y791" s="18">
        <f>IF(OR($W791="",$W791=6),"",WORKDAY($X791,CHOOSE($W791,3,3,2,2,3),Holidays))</f>
        <v/>
      </c>
      <c r="Z791" s="17">
        <f>IF(OR($W791="",$W791=6),"",CHOOSE($W791,"1st Email Follow-up","2nd Email Follow-up","Escalate Local Office","Escalate to CBE","Escalate to Roxanne"))</f>
        <v/>
      </c>
    </row>
    <row r="792" spans="18:26">
      <c r="R792" s="15"/>
      <c r="S792" s="16"/>
      <c r="T792" s="17">
        <f>IF(AND(COUNTA($A792:$K792)=0,$L792=""),"",IF($S792="Paid","PAID",IF($S792="Closed","CLOSED",IF($W792="","",IF($W792=6,"ESCALATED TO ROXANNE",IF(TODAY()&gt;$Y792,"OVERDUE",IF($Y792&lt;=WORKDAY(TODAY(),1,Holidays),"DUE TOMORROW",IF($W792=4,"ESCALATED TO LOCAL OFFICE",IF($W792=5,"ESCALATED TO CBE",IF($X792=TODAY(),"EMAIL SENT","MONITORING"))))))))))</f>
        <v/>
      </c>
      <c r="U792" s="17">
        <f>IF($T792="",IF(AND(COUNTA($A792:$K792)&gt;0,$L792=""),"Awaiting Collection Email time stamp.",""),IF(OR($T792="PAID",$T792="CLOSED"),IF($T792="PAID","Account paid. Action completed.","Account closed. No further action required."),CHOOSE($W792,"Collection Email","1st Email Follow-up","2nd Email Follow-up","Escalation to Local Office","Escalation to CBE","Escalation to Roxanne")&amp;" sent "&amp;TEXT($X792,"dd-mmm")&amp;". "&amp;IF($W792=6,"Final escalation completed.",IF($T792="OVERDUE","Next: "&amp;$Z792&amp;" was due "&amp;TEXT($Y792,"dd-mmm")&amp;" - "&amp;(NETWORKDAYS($Y792,TODAY(),Holidays)-1)&amp;" business day(s) late. Send now.",IF($T792="DUE TOMORROW","Next: "&amp;$Z792&amp;IF($Y792&lt;=TODAY()," is due TODAY ("," is due next business day (")&amp;TEXT($Y792,"dd-mmm")&amp;").","Next: "&amp;$Z792&amp;" due "&amp;TEXT($Y792,"dd-mmm")&amp;" ("&amp;(NETWORKDAYS(TODAY(),$Y792,Holidays)-1)&amp;" business day(s) left).")))))</f>
        <v/>
      </c>
      <c r="V792" s="17">
        <f>IF($W792="","",CHOOSE($W792,"Collection Email","1st Follow-up","2nd Follow-up","Local Office","CBE","Roxanne")&amp;IF($W792=6," - Final"," - Day "&amp;MAX(0,NETWORKDAYS($X792,TODAY(),Holidays)-1)&amp;" of "&amp;CHOOSE($W792,3,3,2,2,3))&amp;" | Total Day "&amp;MAX(0,NETWORKDAYS($L792,TODAY(),Holidays)-1))</f>
        <v/>
      </c>
      <c r="W792" s="17">
        <f>IF($L792="","",COUNT($L792:$Q792))</f>
        <v/>
      </c>
      <c r="X792" s="18">
        <f>IF($W792="","",INT(INDEX($L792:$Q792,$W792)))</f>
        <v/>
      </c>
      <c r="Y792" s="18">
        <f>IF(OR($W792="",$W792=6),"",WORKDAY($X792,CHOOSE($W792,3,3,2,2,3),Holidays))</f>
        <v/>
      </c>
      <c r="Z792" s="17">
        <f>IF(OR($W792="",$W792=6),"",CHOOSE($W792,"1st Email Follow-up","2nd Email Follow-up","Escalate Local Office","Escalate to CBE","Escalate to Roxanne"))</f>
        <v/>
      </c>
    </row>
    <row r="793" spans="18:26">
      <c r="R793" s="15"/>
      <c r="S793" s="16"/>
      <c r="T793" s="17">
        <f>IF(AND(COUNTA($A793:$K793)=0,$L793=""),"",IF($S793="Paid","PAID",IF($S793="Closed","CLOSED",IF($W793="","",IF($W793=6,"ESCALATED TO ROXANNE",IF(TODAY()&gt;$Y793,"OVERDUE",IF($Y793&lt;=WORKDAY(TODAY(),1,Holidays),"DUE TOMORROW",IF($W793=4,"ESCALATED TO LOCAL OFFICE",IF($W793=5,"ESCALATED TO CBE",IF($X793=TODAY(),"EMAIL SENT","MONITORING"))))))))))</f>
        <v/>
      </c>
      <c r="U793" s="17">
        <f>IF($T793="",IF(AND(COUNTA($A793:$K793)&gt;0,$L793=""),"Awaiting Collection Email time stamp.",""),IF(OR($T793="PAID",$T793="CLOSED"),IF($T793="PAID","Account paid. Action completed.","Account closed. No further action required."),CHOOSE($W793,"Collection Email","1st Email Follow-up","2nd Email Follow-up","Escalation to Local Office","Escalation to CBE","Escalation to Roxanne")&amp;" sent "&amp;TEXT($X793,"dd-mmm")&amp;". "&amp;IF($W793=6,"Final escalation completed.",IF($T793="OVERDUE","Next: "&amp;$Z793&amp;" was due "&amp;TEXT($Y793,"dd-mmm")&amp;" - "&amp;(NETWORKDAYS($Y793,TODAY(),Holidays)-1)&amp;" business day(s) late. Send now.",IF($T793="DUE TOMORROW","Next: "&amp;$Z793&amp;IF($Y793&lt;=TODAY()," is due TODAY ("," is due next business day (")&amp;TEXT($Y793,"dd-mmm")&amp;").","Next: "&amp;$Z793&amp;" due "&amp;TEXT($Y793,"dd-mmm")&amp;" ("&amp;(NETWORKDAYS(TODAY(),$Y793,Holidays)-1)&amp;" business day(s) left).")))))</f>
        <v/>
      </c>
      <c r="V793" s="17">
        <f>IF($W793="","",CHOOSE($W793,"Collection Email","1st Follow-up","2nd Follow-up","Local Office","CBE","Roxanne")&amp;IF($W793=6," - Final"," - Day "&amp;MAX(0,NETWORKDAYS($X793,TODAY(),Holidays)-1)&amp;" of "&amp;CHOOSE($W793,3,3,2,2,3))&amp;" | Total Day "&amp;MAX(0,NETWORKDAYS($L793,TODAY(),Holidays)-1))</f>
        <v/>
      </c>
      <c r="W793" s="17">
        <f>IF($L793="","",COUNT($L793:$Q793))</f>
        <v/>
      </c>
      <c r="X793" s="18">
        <f>IF($W793="","",INT(INDEX($L793:$Q793,$W793)))</f>
        <v/>
      </c>
      <c r="Y793" s="18">
        <f>IF(OR($W793="",$W793=6),"",WORKDAY($X793,CHOOSE($W793,3,3,2,2,3),Holidays))</f>
        <v/>
      </c>
      <c r="Z793" s="17">
        <f>IF(OR($W793="",$W793=6),"",CHOOSE($W793,"1st Email Follow-up","2nd Email Follow-up","Escalate Local Office","Escalate to CBE","Escalate to Roxanne"))</f>
        <v/>
      </c>
    </row>
    <row r="794" spans="18:26">
      <c r="R794" s="15"/>
      <c r="S794" s="16"/>
      <c r="T794" s="17">
        <f>IF(AND(COUNTA($A794:$K794)=0,$L794=""),"",IF($S794="Paid","PAID",IF($S794="Closed","CLOSED",IF($W794="","",IF($W794=6,"ESCALATED TO ROXANNE",IF(TODAY()&gt;$Y794,"OVERDUE",IF($Y794&lt;=WORKDAY(TODAY(),1,Holidays),"DUE TOMORROW",IF($W794=4,"ESCALATED TO LOCAL OFFICE",IF($W794=5,"ESCALATED TO CBE",IF($X794=TODAY(),"EMAIL SENT","MONITORING"))))))))))</f>
        <v/>
      </c>
      <c r="U794" s="17">
        <f>IF($T794="",IF(AND(COUNTA($A794:$K794)&gt;0,$L794=""),"Awaiting Collection Email time stamp.",""),IF(OR($T794="PAID",$T794="CLOSED"),IF($T794="PAID","Account paid. Action completed.","Account closed. No further action required."),CHOOSE($W794,"Collection Email","1st Email Follow-up","2nd Email Follow-up","Escalation to Local Office","Escalation to CBE","Escalation to Roxanne")&amp;" sent "&amp;TEXT($X794,"dd-mmm")&amp;". "&amp;IF($W794=6,"Final escalation completed.",IF($T794="OVERDUE","Next: "&amp;$Z794&amp;" was due "&amp;TEXT($Y794,"dd-mmm")&amp;" - "&amp;(NETWORKDAYS($Y794,TODAY(),Holidays)-1)&amp;" business day(s) late. Send now.",IF($T794="DUE TOMORROW","Next: "&amp;$Z794&amp;IF($Y794&lt;=TODAY()," is due TODAY ("," is due next business day (")&amp;TEXT($Y794,"dd-mmm")&amp;").","Next: "&amp;$Z794&amp;" due "&amp;TEXT($Y794,"dd-mmm")&amp;" ("&amp;(NETWORKDAYS(TODAY(),$Y794,Holidays)-1)&amp;" business day(s) left).")))))</f>
        <v/>
      </c>
      <c r="V794" s="17">
        <f>IF($W794="","",CHOOSE($W794,"Collection Email","1st Follow-up","2nd Follow-up","Local Office","CBE","Roxanne")&amp;IF($W794=6," - Final"," - Day "&amp;MAX(0,NETWORKDAYS($X794,TODAY(),Holidays)-1)&amp;" of "&amp;CHOOSE($W794,3,3,2,2,3))&amp;" | Total Day "&amp;MAX(0,NETWORKDAYS($L794,TODAY(),Holidays)-1))</f>
        <v/>
      </c>
      <c r="W794" s="17">
        <f>IF($L794="","",COUNT($L794:$Q794))</f>
        <v/>
      </c>
      <c r="X794" s="18">
        <f>IF($W794="","",INT(INDEX($L794:$Q794,$W794)))</f>
        <v/>
      </c>
      <c r="Y794" s="18">
        <f>IF(OR($W794="",$W794=6),"",WORKDAY($X794,CHOOSE($W794,3,3,2,2,3),Holidays))</f>
        <v/>
      </c>
      <c r="Z794" s="17">
        <f>IF(OR($W794="",$W794=6),"",CHOOSE($W794,"1st Email Follow-up","2nd Email Follow-up","Escalate Local Office","Escalate to CBE","Escalate to Roxanne"))</f>
        <v/>
      </c>
    </row>
    <row r="795" spans="18:26">
      <c r="R795" s="15"/>
      <c r="S795" s="16"/>
      <c r="T795" s="17">
        <f>IF(AND(COUNTA($A795:$K795)=0,$L795=""),"",IF($S795="Paid","PAID",IF($S795="Closed","CLOSED",IF($W795="","",IF($W795=6,"ESCALATED TO ROXANNE",IF(TODAY()&gt;$Y795,"OVERDUE",IF($Y795&lt;=WORKDAY(TODAY(),1,Holidays),"DUE TOMORROW",IF($W795=4,"ESCALATED TO LOCAL OFFICE",IF($W795=5,"ESCALATED TO CBE",IF($X795=TODAY(),"EMAIL SENT","MONITORING"))))))))))</f>
        <v/>
      </c>
      <c r="U795" s="17">
        <f>IF($T795="",IF(AND(COUNTA($A795:$K795)&gt;0,$L795=""),"Awaiting Collection Email time stamp.",""),IF(OR($T795="PAID",$T795="CLOSED"),IF($T795="PAID","Account paid. Action completed.","Account closed. No further action required."),CHOOSE($W795,"Collection Email","1st Email Follow-up","2nd Email Follow-up","Escalation to Local Office","Escalation to CBE","Escalation to Roxanne")&amp;" sent "&amp;TEXT($X795,"dd-mmm")&amp;". "&amp;IF($W795=6,"Final escalation completed.",IF($T795="OVERDUE","Next: "&amp;$Z795&amp;" was due "&amp;TEXT($Y795,"dd-mmm")&amp;" - "&amp;(NETWORKDAYS($Y795,TODAY(),Holidays)-1)&amp;" business day(s) late. Send now.",IF($T795="DUE TOMORROW","Next: "&amp;$Z795&amp;IF($Y795&lt;=TODAY()," is due TODAY ("," is due next business day (")&amp;TEXT($Y795,"dd-mmm")&amp;").","Next: "&amp;$Z795&amp;" due "&amp;TEXT($Y795,"dd-mmm")&amp;" ("&amp;(NETWORKDAYS(TODAY(),$Y795,Holidays)-1)&amp;" business day(s) left).")))))</f>
        <v/>
      </c>
      <c r="V795" s="17">
        <f>IF($W795="","",CHOOSE($W795,"Collection Email","1st Follow-up","2nd Follow-up","Local Office","CBE","Roxanne")&amp;IF($W795=6," - Final"," - Day "&amp;MAX(0,NETWORKDAYS($X795,TODAY(),Holidays)-1)&amp;" of "&amp;CHOOSE($W795,3,3,2,2,3))&amp;" | Total Day "&amp;MAX(0,NETWORKDAYS($L795,TODAY(),Holidays)-1))</f>
        <v/>
      </c>
      <c r="W795" s="17">
        <f>IF($L795="","",COUNT($L795:$Q795))</f>
        <v/>
      </c>
      <c r="X795" s="18">
        <f>IF($W795="","",INT(INDEX($L795:$Q795,$W795)))</f>
        <v/>
      </c>
      <c r="Y795" s="18">
        <f>IF(OR($W795="",$W795=6),"",WORKDAY($X795,CHOOSE($W795,3,3,2,2,3),Holidays))</f>
        <v/>
      </c>
      <c r="Z795" s="17">
        <f>IF(OR($W795="",$W795=6),"",CHOOSE($W795,"1st Email Follow-up","2nd Email Follow-up","Escalate Local Office","Escalate to CBE","Escalate to Roxanne"))</f>
        <v/>
      </c>
    </row>
    <row r="796" spans="18:26">
      <c r="R796" s="15"/>
      <c r="S796" s="16"/>
      <c r="T796" s="17">
        <f>IF(AND(COUNTA($A796:$K796)=0,$L796=""),"",IF($S796="Paid","PAID",IF($S796="Closed","CLOSED",IF($W796="","",IF($W796=6,"ESCALATED TO ROXANNE",IF(TODAY()&gt;$Y796,"OVERDUE",IF($Y796&lt;=WORKDAY(TODAY(),1,Holidays),"DUE TOMORROW",IF($W796=4,"ESCALATED TO LOCAL OFFICE",IF($W796=5,"ESCALATED TO CBE",IF($X796=TODAY(),"EMAIL SENT","MONITORING"))))))))))</f>
        <v/>
      </c>
      <c r="U796" s="17">
        <f>IF($T796="",IF(AND(COUNTA($A796:$K796)&gt;0,$L796=""),"Awaiting Collection Email time stamp.",""),IF(OR($T796="PAID",$T796="CLOSED"),IF($T796="PAID","Account paid. Action completed.","Account closed. No further action required."),CHOOSE($W796,"Collection Email","1st Email Follow-up","2nd Email Follow-up","Escalation to Local Office","Escalation to CBE","Escalation to Roxanne")&amp;" sent "&amp;TEXT($X796,"dd-mmm")&amp;". "&amp;IF($W796=6,"Final escalation completed.",IF($T796="OVERDUE","Next: "&amp;$Z796&amp;" was due "&amp;TEXT($Y796,"dd-mmm")&amp;" - "&amp;(NETWORKDAYS($Y796,TODAY(),Holidays)-1)&amp;" business day(s) late. Send now.",IF($T796="DUE TOMORROW","Next: "&amp;$Z796&amp;IF($Y796&lt;=TODAY()," is due TODAY ("," is due next business day (")&amp;TEXT($Y796,"dd-mmm")&amp;").","Next: "&amp;$Z796&amp;" due "&amp;TEXT($Y796,"dd-mmm")&amp;" ("&amp;(NETWORKDAYS(TODAY(),$Y796,Holidays)-1)&amp;" business day(s) left).")))))</f>
        <v/>
      </c>
      <c r="V796" s="17">
        <f>IF($W796="","",CHOOSE($W796,"Collection Email","1st Follow-up","2nd Follow-up","Local Office","CBE","Roxanne")&amp;IF($W796=6," - Final"," - Day "&amp;MAX(0,NETWORKDAYS($X796,TODAY(),Holidays)-1)&amp;" of "&amp;CHOOSE($W796,3,3,2,2,3))&amp;" | Total Day "&amp;MAX(0,NETWORKDAYS($L796,TODAY(),Holidays)-1))</f>
        <v/>
      </c>
      <c r="W796" s="17">
        <f>IF($L796="","",COUNT($L796:$Q796))</f>
        <v/>
      </c>
      <c r="X796" s="18">
        <f>IF($W796="","",INT(INDEX($L796:$Q796,$W796)))</f>
        <v/>
      </c>
      <c r="Y796" s="18">
        <f>IF(OR($W796="",$W796=6),"",WORKDAY($X796,CHOOSE($W796,3,3,2,2,3),Holidays))</f>
        <v/>
      </c>
      <c r="Z796" s="17">
        <f>IF(OR($W796="",$W796=6),"",CHOOSE($W796,"1st Email Follow-up","2nd Email Follow-up","Escalate Local Office","Escalate to CBE","Escalate to Roxanne"))</f>
        <v/>
      </c>
    </row>
    <row r="797" spans="18:26">
      <c r="R797" s="15"/>
      <c r="S797" s="16"/>
      <c r="T797" s="17">
        <f>IF(AND(COUNTA($A797:$K797)=0,$L797=""),"",IF($S797="Paid","PAID",IF($S797="Closed","CLOSED",IF($W797="","",IF($W797=6,"ESCALATED TO ROXANNE",IF(TODAY()&gt;$Y797,"OVERDUE",IF($Y797&lt;=WORKDAY(TODAY(),1,Holidays),"DUE TOMORROW",IF($W797=4,"ESCALATED TO LOCAL OFFICE",IF($W797=5,"ESCALATED TO CBE",IF($X797=TODAY(),"EMAIL SENT","MONITORING"))))))))))</f>
        <v/>
      </c>
      <c r="U797" s="17">
        <f>IF($T797="",IF(AND(COUNTA($A797:$K797)&gt;0,$L797=""),"Awaiting Collection Email time stamp.",""),IF(OR($T797="PAID",$T797="CLOSED"),IF($T797="PAID","Account paid. Action completed.","Account closed. No further action required."),CHOOSE($W797,"Collection Email","1st Email Follow-up","2nd Email Follow-up","Escalation to Local Office","Escalation to CBE","Escalation to Roxanne")&amp;" sent "&amp;TEXT($X797,"dd-mmm")&amp;". "&amp;IF($W797=6,"Final escalation completed.",IF($T797="OVERDUE","Next: "&amp;$Z797&amp;" was due "&amp;TEXT($Y797,"dd-mmm")&amp;" - "&amp;(NETWORKDAYS($Y797,TODAY(),Holidays)-1)&amp;" business day(s) late. Send now.",IF($T797="DUE TOMORROW","Next: "&amp;$Z797&amp;IF($Y797&lt;=TODAY()," is due TODAY ("," is due next business day (")&amp;TEXT($Y797,"dd-mmm")&amp;").","Next: "&amp;$Z797&amp;" due "&amp;TEXT($Y797,"dd-mmm")&amp;" ("&amp;(NETWORKDAYS(TODAY(),$Y797,Holidays)-1)&amp;" business day(s) left).")))))</f>
        <v/>
      </c>
      <c r="V797" s="17">
        <f>IF($W797="","",CHOOSE($W797,"Collection Email","1st Follow-up","2nd Follow-up","Local Office","CBE","Roxanne")&amp;IF($W797=6," - Final"," - Day "&amp;MAX(0,NETWORKDAYS($X797,TODAY(),Holidays)-1)&amp;" of "&amp;CHOOSE($W797,3,3,2,2,3))&amp;" | Total Day "&amp;MAX(0,NETWORKDAYS($L797,TODAY(),Holidays)-1))</f>
        <v/>
      </c>
      <c r="W797" s="17">
        <f>IF($L797="","",COUNT($L797:$Q797))</f>
        <v/>
      </c>
      <c r="X797" s="18">
        <f>IF($W797="","",INT(INDEX($L797:$Q797,$W797)))</f>
        <v/>
      </c>
      <c r="Y797" s="18">
        <f>IF(OR($W797="",$W797=6),"",WORKDAY($X797,CHOOSE($W797,3,3,2,2,3),Holidays))</f>
        <v/>
      </c>
      <c r="Z797" s="17">
        <f>IF(OR($W797="",$W797=6),"",CHOOSE($W797,"1st Email Follow-up","2nd Email Follow-up","Escalate Local Office","Escalate to CBE","Escalate to Roxanne"))</f>
        <v/>
      </c>
    </row>
    <row r="798" spans="18:26">
      <c r="R798" s="15"/>
      <c r="S798" s="16"/>
      <c r="T798" s="17">
        <f>IF(AND(COUNTA($A798:$K798)=0,$L798=""),"",IF($S798="Paid","PAID",IF($S798="Closed","CLOSED",IF($W798="","",IF($W798=6,"ESCALATED TO ROXANNE",IF(TODAY()&gt;$Y798,"OVERDUE",IF($Y798&lt;=WORKDAY(TODAY(),1,Holidays),"DUE TOMORROW",IF($W798=4,"ESCALATED TO LOCAL OFFICE",IF($W798=5,"ESCALATED TO CBE",IF($X798=TODAY(),"EMAIL SENT","MONITORING"))))))))))</f>
        <v/>
      </c>
      <c r="U798" s="17">
        <f>IF($T798="",IF(AND(COUNTA($A798:$K798)&gt;0,$L798=""),"Awaiting Collection Email time stamp.",""),IF(OR($T798="PAID",$T798="CLOSED"),IF($T798="PAID","Account paid. Action completed.","Account closed. No further action required."),CHOOSE($W798,"Collection Email","1st Email Follow-up","2nd Email Follow-up","Escalation to Local Office","Escalation to CBE","Escalation to Roxanne")&amp;" sent "&amp;TEXT($X798,"dd-mmm")&amp;". "&amp;IF($W798=6,"Final escalation completed.",IF($T798="OVERDUE","Next: "&amp;$Z798&amp;" was due "&amp;TEXT($Y798,"dd-mmm")&amp;" - "&amp;(NETWORKDAYS($Y798,TODAY(),Holidays)-1)&amp;" business day(s) late. Send now.",IF($T798="DUE TOMORROW","Next: "&amp;$Z798&amp;IF($Y798&lt;=TODAY()," is due TODAY ("," is due next business day (")&amp;TEXT($Y798,"dd-mmm")&amp;").","Next: "&amp;$Z798&amp;" due "&amp;TEXT($Y798,"dd-mmm")&amp;" ("&amp;(NETWORKDAYS(TODAY(),$Y798,Holidays)-1)&amp;" business day(s) left).")))))</f>
        <v/>
      </c>
      <c r="V798" s="17">
        <f>IF($W798="","",CHOOSE($W798,"Collection Email","1st Follow-up","2nd Follow-up","Local Office","CBE","Roxanne")&amp;IF($W798=6," - Final"," - Day "&amp;MAX(0,NETWORKDAYS($X798,TODAY(),Holidays)-1)&amp;" of "&amp;CHOOSE($W798,3,3,2,2,3))&amp;" | Total Day "&amp;MAX(0,NETWORKDAYS($L798,TODAY(),Holidays)-1))</f>
        <v/>
      </c>
      <c r="W798" s="17">
        <f>IF($L798="","",COUNT($L798:$Q798))</f>
        <v/>
      </c>
      <c r="X798" s="18">
        <f>IF($W798="","",INT(INDEX($L798:$Q798,$W798)))</f>
        <v/>
      </c>
      <c r="Y798" s="18">
        <f>IF(OR($W798="",$W798=6),"",WORKDAY($X798,CHOOSE($W798,3,3,2,2,3),Holidays))</f>
        <v/>
      </c>
      <c r="Z798" s="17">
        <f>IF(OR($W798="",$W798=6),"",CHOOSE($W798,"1st Email Follow-up","2nd Email Follow-up","Escalate Local Office","Escalate to CBE","Escalate to Roxanne"))</f>
        <v/>
      </c>
    </row>
    <row r="799" spans="18:26">
      <c r="R799" s="15"/>
      <c r="S799" s="16"/>
      <c r="T799" s="17">
        <f>IF(AND(COUNTA($A799:$K799)=0,$L799=""),"",IF($S799="Paid","PAID",IF($S799="Closed","CLOSED",IF($W799="","",IF($W799=6,"ESCALATED TO ROXANNE",IF(TODAY()&gt;$Y799,"OVERDUE",IF($Y799&lt;=WORKDAY(TODAY(),1,Holidays),"DUE TOMORROW",IF($W799=4,"ESCALATED TO LOCAL OFFICE",IF($W799=5,"ESCALATED TO CBE",IF($X799=TODAY(),"EMAIL SENT","MONITORING"))))))))))</f>
        <v/>
      </c>
      <c r="U799" s="17">
        <f>IF($T799="",IF(AND(COUNTA($A799:$K799)&gt;0,$L799=""),"Awaiting Collection Email time stamp.",""),IF(OR($T799="PAID",$T799="CLOSED"),IF($T799="PAID","Account paid. Action completed.","Account closed. No further action required."),CHOOSE($W799,"Collection Email","1st Email Follow-up","2nd Email Follow-up","Escalation to Local Office","Escalation to CBE","Escalation to Roxanne")&amp;" sent "&amp;TEXT($X799,"dd-mmm")&amp;". "&amp;IF($W799=6,"Final escalation completed.",IF($T799="OVERDUE","Next: "&amp;$Z799&amp;" was due "&amp;TEXT($Y799,"dd-mmm")&amp;" - "&amp;(NETWORKDAYS($Y799,TODAY(),Holidays)-1)&amp;" business day(s) late. Send now.",IF($T799="DUE TOMORROW","Next: "&amp;$Z799&amp;IF($Y799&lt;=TODAY()," is due TODAY ("," is due next business day (")&amp;TEXT($Y799,"dd-mmm")&amp;").","Next: "&amp;$Z799&amp;" due "&amp;TEXT($Y799,"dd-mmm")&amp;" ("&amp;(NETWORKDAYS(TODAY(),$Y799,Holidays)-1)&amp;" business day(s) left).")))))</f>
        <v/>
      </c>
      <c r="V799" s="17">
        <f>IF($W799="","",CHOOSE($W799,"Collection Email","1st Follow-up","2nd Follow-up","Local Office","CBE","Roxanne")&amp;IF($W799=6," - Final"," - Day "&amp;MAX(0,NETWORKDAYS($X799,TODAY(),Holidays)-1)&amp;" of "&amp;CHOOSE($W799,3,3,2,2,3))&amp;" | Total Day "&amp;MAX(0,NETWORKDAYS($L799,TODAY(),Holidays)-1))</f>
        <v/>
      </c>
      <c r="W799" s="17">
        <f>IF($L799="","",COUNT($L799:$Q799))</f>
        <v/>
      </c>
      <c r="X799" s="18">
        <f>IF($W799="","",INT(INDEX($L799:$Q799,$W799)))</f>
        <v/>
      </c>
      <c r="Y799" s="18">
        <f>IF(OR($W799="",$W799=6),"",WORKDAY($X799,CHOOSE($W799,3,3,2,2,3),Holidays))</f>
        <v/>
      </c>
      <c r="Z799" s="17">
        <f>IF(OR($W799="",$W799=6),"",CHOOSE($W799,"1st Email Follow-up","2nd Email Follow-up","Escalate Local Office","Escalate to CBE","Escalate to Roxanne"))</f>
        <v/>
      </c>
    </row>
    <row r="800" spans="18:26">
      <c r="R800" s="15"/>
      <c r="S800" s="16"/>
      <c r="T800" s="17">
        <f>IF(AND(COUNTA($A800:$K800)=0,$L800=""),"",IF($S800="Paid","PAID",IF($S800="Closed","CLOSED",IF($W800="","",IF($W800=6,"ESCALATED TO ROXANNE",IF(TODAY()&gt;$Y800,"OVERDUE",IF($Y800&lt;=WORKDAY(TODAY(),1,Holidays),"DUE TOMORROW",IF($W800=4,"ESCALATED TO LOCAL OFFICE",IF($W800=5,"ESCALATED TO CBE",IF($X800=TODAY(),"EMAIL SENT","MONITORING"))))))))))</f>
        <v/>
      </c>
      <c r="U800" s="17">
        <f>IF($T800="",IF(AND(COUNTA($A800:$K800)&gt;0,$L800=""),"Awaiting Collection Email time stamp.",""),IF(OR($T800="PAID",$T800="CLOSED"),IF($T800="PAID","Account paid. Action completed.","Account closed. No further action required."),CHOOSE($W800,"Collection Email","1st Email Follow-up","2nd Email Follow-up","Escalation to Local Office","Escalation to CBE","Escalation to Roxanne")&amp;" sent "&amp;TEXT($X800,"dd-mmm")&amp;". "&amp;IF($W800=6,"Final escalation completed.",IF($T800="OVERDUE","Next: "&amp;$Z800&amp;" was due "&amp;TEXT($Y800,"dd-mmm")&amp;" - "&amp;(NETWORKDAYS($Y800,TODAY(),Holidays)-1)&amp;" business day(s) late. Send now.",IF($T800="DUE TOMORROW","Next: "&amp;$Z800&amp;IF($Y800&lt;=TODAY()," is due TODAY ("," is due next business day (")&amp;TEXT($Y800,"dd-mmm")&amp;").","Next: "&amp;$Z800&amp;" due "&amp;TEXT($Y800,"dd-mmm")&amp;" ("&amp;(NETWORKDAYS(TODAY(),$Y800,Holidays)-1)&amp;" business day(s) left).")))))</f>
        <v/>
      </c>
      <c r="V800" s="17">
        <f>IF($W800="","",CHOOSE($W800,"Collection Email","1st Follow-up","2nd Follow-up","Local Office","CBE","Roxanne")&amp;IF($W800=6," - Final"," - Day "&amp;MAX(0,NETWORKDAYS($X800,TODAY(),Holidays)-1)&amp;" of "&amp;CHOOSE($W800,3,3,2,2,3))&amp;" | Total Day "&amp;MAX(0,NETWORKDAYS($L800,TODAY(),Holidays)-1))</f>
        <v/>
      </c>
      <c r="W800" s="17">
        <f>IF($L800="","",COUNT($L800:$Q800))</f>
        <v/>
      </c>
      <c r="X800" s="18">
        <f>IF($W800="","",INT(INDEX($L800:$Q800,$W800)))</f>
        <v/>
      </c>
      <c r="Y800" s="18">
        <f>IF(OR($W800="",$W800=6),"",WORKDAY($X800,CHOOSE($W800,3,3,2,2,3),Holidays))</f>
        <v/>
      </c>
      <c r="Z800" s="17">
        <f>IF(OR($W800="",$W800=6),"",CHOOSE($W800,"1st Email Follow-up","2nd Email Follow-up","Escalate Local Office","Escalate to CBE","Escalate to Roxanne"))</f>
        <v/>
      </c>
    </row>
    <row r="801" spans="18:26">
      <c r="R801" s="15"/>
      <c r="S801" s="16"/>
      <c r="T801" s="17">
        <f>IF(AND(COUNTA($A801:$K801)=0,$L801=""),"",IF($S801="Paid","PAID",IF($S801="Closed","CLOSED",IF($W801="","",IF($W801=6,"ESCALATED TO ROXANNE",IF(TODAY()&gt;$Y801,"OVERDUE",IF($Y801&lt;=WORKDAY(TODAY(),1,Holidays),"DUE TOMORROW",IF($W801=4,"ESCALATED TO LOCAL OFFICE",IF($W801=5,"ESCALATED TO CBE",IF($X801=TODAY(),"EMAIL SENT","MONITORING"))))))))))</f>
        <v/>
      </c>
      <c r="U801" s="17">
        <f>IF($T801="",IF(AND(COUNTA($A801:$K801)&gt;0,$L801=""),"Awaiting Collection Email time stamp.",""),IF(OR($T801="PAID",$T801="CLOSED"),IF($T801="PAID","Account paid. Action completed.","Account closed. No further action required."),CHOOSE($W801,"Collection Email","1st Email Follow-up","2nd Email Follow-up","Escalation to Local Office","Escalation to CBE","Escalation to Roxanne")&amp;" sent "&amp;TEXT($X801,"dd-mmm")&amp;". "&amp;IF($W801=6,"Final escalation completed.",IF($T801="OVERDUE","Next: "&amp;$Z801&amp;" was due "&amp;TEXT($Y801,"dd-mmm")&amp;" - "&amp;(NETWORKDAYS($Y801,TODAY(),Holidays)-1)&amp;" business day(s) late. Send now.",IF($T801="DUE TOMORROW","Next: "&amp;$Z801&amp;IF($Y801&lt;=TODAY()," is due TODAY ("," is due next business day (")&amp;TEXT($Y801,"dd-mmm")&amp;").","Next: "&amp;$Z801&amp;" due "&amp;TEXT($Y801,"dd-mmm")&amp;" ("&amp;(NETWORKDAYS(TODAY(),$Y801,Holidays)-1)&amp;" business day(s) left).")))))</f>
        <v/>
      </c>
      <c r="V801" s="17">
        <f>IF($W801="","",CHOOSE($W801,"Collection Email","1st Follow-up","2nd Follow-up","Local Office","CBE","Roxanne")&amp;IF($W801=6," - Final"," - Day "&amp;MAX(0,NETWORKDAYS($X801,TODAY(),Holidays)-1)&amp;" of "&amp;CHOOSE($W801,3,3,2,2,3))&amp;" | Total Day "&amp;MAX(0,NETWORKDAYS($L801,TODAY(),Holidays)-1))</f>
        <v/>
      </c>
      <c r="W801" s="17">
        <f>IF($L801="","",COUNT($L801:$Q801))</f>
        <v/>
      </c>
      <c r="X801" s="18">
        <f>IF($W801="","",INT(INDEX($L801:$Q801,$W801)))</f>
        <v/>
      </c>
      <c r="Y801" s="18">
        <f>IF(OR($W801="",$W801=6),"",WORKDAY($X801,CHOOSE($W801,3,3,2,2,3),Holidays))</f>
        <v/>
      </c>
      <c r="Z801" s="17">
        <f>IF(OR($W801="",$W801=6),"",CHOOSE($W801,"1st Email Follow-up","2nd Email Follow-up","Escalate Local Office","Escalate to CBE","Escalate to Roxanne"))</f>
        <v/>
      </c>
    </row>
    <row r="802" spans="18:26">
      <c r="R802" s="15"/>
      <c r="S802" s="16"/>
      <c r="T802" s="17">
        <f>IF(AND(COUNTA($A802:$K802)=0,$L802=""),"",IF($S802="Paid","PAID",IF($S802="Closed","CLOSED",IF($W802="","",IF($W802=6,"ESCALATED TO ROXANNE",IF(TODAY()&gt;$Y802,"OVERDUE",IF($Y802&lt;=WORKDAY(TODAY(),1,Holidays),"DUE TOMORROW",IF($W802=4,"ESCALATED TO LOCAL OFFICE",IF($W802=5,"ESCALATED TO CBE",IF($X802=TODAY(),"EMAIL SENT","MONITORING"))))))))))</f>
        <v/>
      </c>
      <c r="U802" s="17">
        <f>IF($T802="",IF(AND(COUNTA($A802:$K802)&gt;0,$L802=""),"Awaiting Collection Email time stamp.",""),IF(OR($T802="PAID",$T802="CLOSED"),IF($T802="PAID","Account paid. Action completed.","Account closed. No further action required."),CHOOSE($W802,"Collection Email","1st Email Follow-up","2nd Email Follow-up","Escalation to Local Office","Escalation to CBE","Escalation to Roxanne")&amp;" sent "&amp;TEXT($X802,"dd-mmm")&amp;". "&amp;IF($W802=6,"Final escalation completed.",IF($T802="OVERDUE","Next: "&amp;$Z802&amp;" was due "&amp;TEXT($Y802,"dd-mmm")&amp;" - "&amp;(NETWORKDAYS($Y802,TODAY(),Holidays)-1)&amp;" business day(s) late. Send now.",IF($T802="DUE TOMORROW","Next: "&amp;$Z802&amp;IF($Y802&lt;=TODAY()," is due TODAY ("," is due next business day (")&amp;TEXT($Y802,"dd-mmm")&amp;").","Next: "&amp;$Z802&amp;" due "&amp;TEXT($Y802,"dd-mmm")&amp;" ("&amp;(NETWORKDAYS(TODAY(),$Y802,Holidays)-1)&amp;" business day(s) left).")))))</f>
        <v/>
      </c>
      <c r="V802" s="17">
        <f>IF($W802="","",CHOOSE($W802,"Collection Email","1st Follow-up","2nd Follow-up","Local Office","CBE","Roxanne")&amp;IF($W802=6," - Final"," - Day "&amp;MAX(0,NETWORKDAYS($X802,TODAY(),Holidays)-1)&amp;" of "&amp;CHOOSE($W802,3,3,2,2,3))&amp;" | Total Day "&amp;MAX(0,NETWORKDAYS($L802,TODAY(),Holidays)-1))</f>
        <v/>
      </c>
      <c r="W802" s="17">
        <f>IF($L802="","",COUNT($L802:$Q802))</f>
        <v/>
      </c>
      <c r="X802" s="18">
        <f>IF($W802="","",INT(INDEX($L802:$Q802,$W802)))</f>
        <v/>
      </c>
      <c r="Y802" s="18">
        <f>IF(OR($W802="",$W802=6),"",WORKDAY($X802,CHOOSE($W802,3,3,2,2,3),Holidays))</f>
        <v/>
      </c>
      <c r="Z802" s="17">
        <f>IF(OR($W802="",$W802=6),"",CHOOSE($W802,"1st Email Follow-up","2nd Email Follow-up","Escalate Local Office","Escalate to CBE","Escalate to Roxanne"))</f>
        <v/>
      </c>
    </row>
    <row r="803" spans="18:26">
      <c r="R803" s="15"/>
      <c r="S803" s="16"/>
      <c r="T803" s="17">
        <f>IF(AND(COUNTA($A803:$K803)=0,$L803=""),"",IF($S803="Paid","PAID",IF($S803="Closed","CLOSED",IF($W803="","",IF($W803=6,"ESCALATED TO ROXANNE",IF(TODAY()&gt;$Y803,"OVERDUE",IF($Y803&lt;=WORKDAY(TODAY(),1,Holidays),"DUE TOMORROW",IF($W803=4,"ESCALATED TO LOCAL OFFICE",IF($W803=5,"ESCALATED TO CBE",IF($X803=TODAY(),"EMAIL SENT","MONITORING"))))))))))</f>
        <v/>
      </c>
      <c r="U803" s="17">
        <f>IF($T803="",IF(AND(COUNTA($A803:$K803)&gt;0,$L803=""),"Awaiting Collection Email time stamp.",""),IF(OR($T803="PAID",$T803="CLOSED"),IF($T803="PAID","Account paid. Action completed.","Account closed. No further action required."),CHOOSE($W803,"Collection Email","1st Email Follow-up","2nd Email Follow-up","Escalation to Local Office","Escalation to CBE","Escalation to Roxanne")&amp;" sent "&amp;TEXT($X803,"dd-mmm")&amp;". "&amp;IF($W803=6,"Final escalation completed.",IF($T803="OVERDUE","Next: "&amp;$Z803&amp;" was due "&amp;TEXT($Y803,"dd-mmm")&amp;" - "&amp;(NETWORKDAYS($Y803,TODAY(),Holidays)-1)&amp;" business day(s) late. Send now.",IF($T803="DUE TOMORROW","Next: "&amp;$Z803&amp;IF($Y803&lt;=TODAY()," is due TODAY ("," is due next business day (")&amp;TEXT($Y803,"dd-mmm")&amp;").","Next: "&amp;$Z803&amp;" due "&amp;TEXT($Y803,"dd-mmm")&amp;" ("&amp;(NETWORKDAYS(TODAY(),$Y803,Holidays)-1)&amp;" business day(s) left).")))))</f>
        <v/>
      </c>
      <c r="V803" s="17">
        <f>IF($W803="","",CHOOSE($W803,"Collection Email","1st Follow-up","2nd Follow-up","Local Office","CBE","Roxanne")&amp;IF($W803=6," - Final"," - Day "&amp;MAX(0,NETWORKDAYS($X803,TODAY(),Holidays)-1)&amp;" of "&amp;CHOOSE($W803,3,3,2,2,3))&amp;" | Total Day "&amp;MAX(0,NETWORKDAYS($L803,TODAY(),Holidays)-1))</f>
        <v/>
      </c>
      <c r="W803" s="17">
        <f>IF($L803="","",COUNT($L803:$Q803))</f>
        <v/>
      </c>
      <c r="X803" s="18">
        <f>IF($W803="","",INT(INDEX($L803:$Q803,$W803)))</f>
        <v/>
      </c>
      <c r="Y803" s="18">
        <f>IF(OR($W803="",$W803=6),"",WORKDAY($X803,CHOOSE($W803,3,3,2,2,3),Holidays))</f>
        <v/>
      </c>
      <c r="Z803" s="17">
        <f>IF(OR($W803="",$W803=6),"",CHOOSE($W803,"1st Email Follow-up","2nd Email Follow-up","Escalate Local Office","Escalate to CBE","Escalate to Roxanne"))</f>
        <v/>
      </c>
    </row>
    <row r="804" spans="18:26">
      <c r="R804" s="15"/>
      <c r="S804" s="16"/>
      <c r="T804" s="17">
        <f>IF(AND(COUNTA($A804:$K804)=0,$L804=""),"",IF($S804="Paid","PAID",IF($S804="Closed","CLOSED",IF($W804="","",IF($W804=6,"ESCALATED TO ROXANNE",IF(TODAY()&gt;$Y804,"OVERDUE",IF($Y804&lt;=WORKDAY(TODAY(),1,Holidays),"DUE TOMORROW",IF($W804=4,"ESCALATED TO LOCAL OFFICE",IF($W804=5,"ESCALATED TO CBE",IF($X804=TODAY(),"EMAIL SENT","MONITORING"))))))))))</f>
        <v/>
      </c>
      <c r="U804" s="17">
        <f>IF($T804="",IF(AND(COUNTA($A804:$K804)&gt;0,$L804=""),"Awaiting Collection Email time stamp.",""),IF(OR($T804="PAID",$T804="CLOSED"),IF($T804="PAID","Account paid. Action completed.","Account closed. No further action required."),CHOOSE($W804,"Collection Email","1st Email Follow-up","2nd Email Follow-up","Escalation to Local Office","Escalation to CBE","Escalation to Roxanne")&amp;" sent "&amp;TEXT($X804,"dd-mmm")&amp;". "&amp;IF($W804=6,"Final escalation completed.",IF($T804="OVERDUE","Next: "&amp;$Z804&amp;" was due "&amp;TEXT($Y804,"dd-mmm")&amp;" - "&amp;(NETWORKDAYS($Y804,TODAY(),Holidays)-1)&amp;" business day(s) late. Send now.",IF($T804="DUE TOMORROW","Next: "&amp;$Z804&amp;IF($Y804&lt;=TODAY()," is due TODAY ("," is due next business day (")&amp;TEXT($Y804,"dd-mmm")&amp;").","Next: "&amp;$Z804&amp;" due "&amp;TEXT($Y804,"dd-mmm")&amp;" ("&amp;(NETWORKDAYS(TODAY(),$Y804,Holidays)-1)&amp;" business day(s) left).")))))</f>
        <v/>
      </c>
      <c r="V804" s="17">
        <f>IF($W804="","",CHOOSE($W804,"Collection Email","1st Follow-up","2nd Follow-up","Local Office","CBE","Roxanne")&amp;IF($W804=6," - Final"," - Day "&amp;MAX(0,NETWORKDAYS($X804,TODAY(),Holidays)-1)&amp;" of "&amp;CHOOSE($W804,3,3,2,2,3))&amp;" | Total Day "&amp;MAX(0,NETWORKDAYS($L804,TODAY(),Holidays)-1))</f>
        <v/>
      </c>
      <c r="W804" s="17">
        <f>IF($L804="","",COUNT($L804:$Q804))</f>
        <v/>
      </c>
      <c r="X804" s="18">
        <f>IF($W804="","",INT(INDEX($L804:$Q804,$W804)))</f>
        <v/>
      </c>
      <c r="Y804" s="18">
        <f>IF(OR($W804="",$W804=6),"",WORKDAY($X804,CHOOSE($W804,3,3,2,2,3),Holidays))</f>
        <v/>
      </c>
      <c r="Z804" s="17">
        <f>IF(OR($W804="",$W804=6),"",CHOOSE($W804,"1st Email Follow-up","2nd Email Follow-up","Escalate Local Office","Escalate to CBE","Escalate to Roxanne"))</f>
        <v/>
      </c>
    </row>
    <row r="805" spans="18:26">
      <c r="R805" s="15"/>
      <c r="S805" s="16"/>
      <c r="T805" s="17">
        <f>IF(AND(COUNTA($A805:$K805)=0,$L805=""),"",IF($S805="Paid","PAID",IF($S805="Closed","CLOSED",IF($W805="","",IF($W805=6,"ESCALATED TO ROXANNE",IF(TODAY()&gt;$Y805,"OVERDUE",IF($Y805&lt;=WORKDAY(TODAY(),1,Holidays),"DUE TOMORROW",IF($W805=4,"ESCALATED TO LOCAL OFFICE",IF($W805=5,"ESCALATED TO CBE",IF($X805=TODAY(),"EMAIL SENT","MONITORING"))))))))))</f>
        <v/>
      </c>
      <c r="U805" s="17">
        <f>IF($T805="",IF(AND(COUNTA($A805:$K805)&gt;0,$L805=""),"Awaiting Collection Email time stamp.",""),IF(OR($T805="PAID",$T805="CLOSED"),IF($T805="PAID","Account paid. Action completed.","Account closed. No further action required."),CHOOSE($W805,"Collection Email","1st Email Follow-up","2nd Email Follow-up","Escalation to Local Office","Escalation to CBE","Escalation to Roxanne")&amp;" sent "&amp;TEXT($X805,"dd-mmm")&amp;". "&amp;IF($W805=6,"Final escalation completed.",IF($T805="OVERDUE","Next: "&amp;$Z805&amp;" was due "&amp;TEXT($Y805,"dd-mmm")&amp;" - "&amp;(NETWORKDAYS($Y805,TODAY(),Holidays)-1)&amp;" business day(s) late. Send now.",IF($T805="DUE TOMORROW","Next: "&amp;$Z805&amp;IF($Y805&lt;=TODAY()," is due TODAY ("," is due next business day (")&amp;TEXT($Y805,"dd-mmm")&amp;").","Next: "&amp;$Z805&amp;" due "&amp;TEXT($Y805,"dd-mmm")&amp;" ("&amp;(NETWORKDAYS(TODAY(),$Y805,Holidays)-1)&amp;" business day(s) left).")))))</f>
        <v/>
      </c>
      <c r="V805" s="17">
        <f>IF($W805="","",CHOOSE($W805,"Collection Email","1st Follow-up","2nd Follow-up","Local Office","CBE","Roxanne")&amp;IF($W805=6," - Final"," - Day "&amp;MAX(0,NETWORKDAYS($X805,TODAY(),Holidays)-1)&amp;" of "&amp;CHOOSE($W805,3,3,2,2,3))&amp;" | Total Day "&amp;MAX(0,NETWORKDAYS($L805,TODAY(),Holidays)-1))</f>
        <v/>
      </c>
      <c r="W805" s="17">
        <f>IF($L805="","",COUNT($L805:$Q805))</f>
        <v/>
      </c>
      <c r="X805" s="18">
        <f>IF($W805="","",INT(INDEX($L805:$Q805,$W805)))</f>
        <v/>
      </c>
      <c r="Y805" s="18">
        <f>IF(OR($W805="",$W805=6),"",WORKDAY($X805,CHOOSE($W805,3,3,2,2,3),Holidays))</f>
        <v/>
      </c>
      <c r="Z805" s="17">
        <f>IF(OR($W805="",$W805=6),"",CHOOSE($W805,"1st Email Follow-up","2nd Email Follow-up","Escalate Local Office","Escalate to CBE","Escalate to Roxanne"))</f>
        <v/>
      </c>
    </row>
    <row r="806" spans="18:26">
      <c r="R806" s="15"/>
      <c r="S806" s="16"/>
      <c r="T806" s="17">
        <f>IF(AND(COUNTA($A806:$K806)=0,$L806=""),"",IF($S806="Paid","PAID",IF($S806="Closed","CLOSED",IF($W806="","",IF($W806=6,"ESCALATED TO ROXANNE",IF(TODAY()&gt;$Y806,"OVERDUE",IF($Y806&lt;=WORKDAY(TODAY(),1,Holidays),"DUE TOMORROW",IF($W806=4,"ESCALATED TO LOCAL OFFICE",IF($W806=5,"ESCALATED TO CBE",IF($X806=TODAY(),"EMAIL SENT","MONITORING"))))))))))</f>
        <v/>
      </c>
      <c r="U806" s="17">
        <f>IF($T806="",IF(AND(COUNTA($A806:$K806)&gt;0,$L806=""),"Awaiting Collection Email time stamp.",""),IF(OR($T806="PAID",$T806="CLOSED"),IF($T806="PAID","Account paid. Action completed.","Account closed. No further action required."),CHOOSE($W806,"Collection Email","1st Email Follow-up","2nd Email Follow-up","Escalation to Local Office","Escalation to CBE","Escalation to Roxanne")&amp;" sent "&amp;TEXT($X806,"dd-mmm")&amp;". "&amp;IF($W806=6,"Final escalation completed.",IF($T806="OVERDUE","Next: "&amp;$Z806&amp;" was due "&amp;TEXT($Y806,"dd-mmm")&amp;" - "&amp;(NETWORKDAYS($Y806,TODAY(),Holidays)-1)&amp;" business day(s) late. Send now.",IF($T806="DUE TOMORROW","Next: "&amp;$Z806&amp;IF($Y806&lt;=TODAY()," is due TODAY ("," is due next business day (")&amp;TEXT($Y806,"dd-mmm")&amp;").","Next: "&amp;$Z806&amp;" due "&amp;TEXT($Y806,"dd-mmm")&amp;" ("&amp;(NETWORKDAYS(TODAY(),$Y806,Holidays)-1)&amp;" business day(s) left).")))))</f>
        <v/>
      </c>
      <c r="V806" s="17">
        <f>IF($W806="","",CHOOSE($W806,"Collection Email","1st Follow-up","2nd Follow-up","Local Office","CBE","Roxanne")&amp;IF($W806=6," - Final"," - Day "&amp;MAX(0,NETWORKDAYS($X806,TODAY(),Holidays)-1)&amp;" of "&amp;CHOOSE($W806,3,3,2,2,3))&amp;" | Total Day "&amp;MAX(0,NETWORKDAYS($L806,TODAY(),Holidays)-1))</f>
        <v/>
      </c>
      <c r="W806" s="17">
        <f>IF($L806="","",COUNT($L806:$Q806))</f>
        <v/>
      </c>
      <c r="X806" s="18">
        <f>IF($W806="","",INT(INDEX($L806:$Q806,$W806)))</f>
        <v/>
      </c>
      <c r="Y806" s="18">
        <f>IF(OR($W806="",$W806=6),"",WORKDAY($X806,CHOOSE($W806,3,3,2,2,3),Holidays))</f>
        <v/>
      </c>
      <c r="Z806" s="17">
        <f>IF(OR($W806="",$W806=6),"",CHOOSE($W806,"1st Email Follow-up","2nd Email Follow-up","Escalate Local Office","Escalate to CBE","Escalate to Roxanne"))</f>
        <v/>
      </c>
    </row>
    <row r="807" spans="18:26">
      <c r="R807" s="15"/>
      <c r="S807" s="16"/>
      <c r="T807" s="17">
        <f>IF(AND(COUNTA($A807:$K807)=0,$L807=""),"",IF($S807="Paid","PAID",IF($S807="Closed","CLOSED",IF($W807="","",IF($W807=6,"ESCALATED TO ROXANNE",IF(TODAY()&gt;$Y807,"OVERDUE",IF($Y807&lt;=WORKDAY(TODAY(),1,Holidays),"DUE TOMORROW",IF($W807=4,"ESCALATED TO LOCAL OFFICE",IF($W807=5,"ESCALATED TO CBE",IF($X807=TODAY(),"EMAIL SENT","MONITORING"))))))))))</f>
        <v/>
      </c>
      <c r="U807" s="17">
        <f>IF($T807="",IF(AND(COUNTA($A807:$K807)&gt;0,$L807=""),"Awaiting Collection Email time stamp.",""),IF(OR($T807="PAID",$T807="CLOSED"),IF($T807="PAID","Account paid. Action completed.","Account closed. No further action required."),CHOOSE($W807,"Collection Email","1st Email Follow-up","2nd Email Follow-up","Escalation to Local Office","Escalation to CBE","Escalation to Roxanne")&amp;" sent "&amp;TEXT($X807,"dd-mmm")&amp;". "&amp;IF($W807=6,"Final escalation completed.",IF($T807="OVERDUE","Next: "&amp;$Z807&amp;" was due "&amp;TEXT($Y807,"dd-mmm")&amp;" - "&amp;(NETWORKDAYS($Y807,TODAY(),Holidays)-1)&amp;" business day(s) late. Send now.",IF($T807="DUE TOMORROW","Next: "&amp;$Z807&amp;IF($Y807&lt;=TODAY()," is due TODAY ("," is due next business day (")&amp;TEXT($Y807,"dd-mmm")&amp;").","Next: "&amp;$Z807&amp;" due "&amp;TEXT($Y807,"dd-mmm")&amp;" ("&amp;(NETWORKDAYS(TODAY(),$Y807,Holidays)-1)&amp;" business day(s) left).")))))</f>
        <v/>
      </c>
      <c r="V807" s="17">
        <f>IF($W807="","",CHOOSE($W807,"Collection Email","1st Follow-up","2nd Follow-up","Local Office","CBE","Roxanne")&amp;IF($W807=6," - Final"," - Day "&amp;MAX(0,NETWORKDAYS($X807,TODAY(),Holidays)-1)&amp;" of "&amp;CHOOSE($W807,3,3,2,2,3))&amp;" | Total Day "&amp;MAX(0,NETWORKDAYS($L807,TODAY(),Holidays)-1))</f>
        <v/>
      </c>
      <c r="W807" s="17">
        <f>IF($L807="","",COUNT($L807:$Q807))</f>
        <v/>
      </c>
      <c r="X807" s="18">
        <f>IF($W807="","",INT(INDEX($L807:$Q807,$W807)))</f>
        <v/>
      </c>
      <c r="Y807" s="18">
        <f>IF(OR($W807="",$W807=6),"",WORKDAY($X807,CHOOSE($W807,3,3,2,2,3),Holidays))</f>
        <v/>
      </c>
      <c r="Z807" s="17">
        <f>IF(OR($W807="",$W807=6),"",CHOOSE($W807,"1st Email Follow-up","2nd Email Follow-up","Escalate Local Office","Escalate to CBE","Escalate to Roxanne"))</f>
        <v/>
      </c>
    </row>
    <row r="808" spans="18:26">
      <c r="R808" s="15"/>
      <c r="S808" s="16"/>
      <c r="T808" s="17">
        <f>IF(AND(COUNTA($A808:$K808)=0,$L808=""),"",IF($S808="Paid","PAID",IF($S808="Closed","CLOSED",IF($W808="","",IF($W808=6,"ESCALATED TO ROXANNE",IF(TODAY()&gt;$Y808,"OVERDUE",IF($Y808&lt;=WORKDAY(TODAY(),1,Holidays),"DUE TOMORROW",IF($W808=4,"ESCALATED TO LOCAL OFFICE",IF($W808=5,"ESCALATED TO CBE",IF($X808=TODAY(),"EMAIL SENT","MONITORING"))))))))))</f>
        <v/>
      </c>
      <c r="U808" s="17">
        <f>IF($T808="",IF(AND(COUNTA($A808:$K808)&gt;0,$L808=""),"Awaiting Collection Email time stamp.",""),IF(OR($T808="PAID",$T808="CLOSED"),IF($T808="PAID","Account paid. Action completed.","Account closed. No further action required."),CHOOSE($W808,"Collection Email","1st Email Follow-up","2nd Email Follow-up","Escalation to Local Office","Escalation to CBE","Escalation to Roxanne")&amp;" sent "&amp;TEXT($X808,"dd-mmm")&amp;". "&amp;IF($W808=6,"Final escalation completed.",IF($T808="OVERDUE","Next: "&amp;$Z808&amp;" was due "&amp;TEXT($Y808,"dd-mmm")&amp;" - "&amp;(NETWORKDAYS($Y808,TODAY(),Holidays)-1)&amp;" business day(s) late. Send now.",IF($T808="DUE TOMORROW","Next: "&amp;$Z808&amp;IF($Y808&lt;=TODAY()," is due TODAY ("," is due next business day (")&amp;TEXT($Y808,"dd-mmm")&amp;").","Next: "&amp;$Z808&amp;" due "&amp;TEXT($Y808,"dd-mmm")&amp;" ("&amp;(NETWORKDAYS(TODAY(),$Y808,Holidays)-1)&amp;" business day(s) left).")))))</f>
        <v/>
      </c>
      <c r="V808" s="17">
        <f>IF($W808="","",CHOOSE($W808,"Collection Email","1st Follow-up","2nd Follow-up","Local Office","CBE","Roxanne")&amp;IF($W808=6," - Final"," - Day "&amp;MAX(0,NETWORKDAYS($X808,TODAY(),Holidays)-1)&amp;" of "&amp;CHOOSE($W808,3,3,2,2,3))&amp;" | Total Day "&amp;MAX(0,NETWORKDAYS($L808,TODAY(),Holidays)-1))</f>
        <v/>
      </c>
      <c r="W808" s="17">
        <f>IF($L808="","",COUNT($L808:$Q808))</f>
        <v/>
      </c>
      <c r="X808" s="18">
        <f>IF($W808="","",INT(INDEX($L808:$Q808,$W808)))</f>
        <v/>
      </c>
      <c r="Y808" s="18">
        <f>IF(OR($W808="",$W808=6),"",WORKDAY($X808,CHOOSE($W808,3,3,2,2,3),Holidays))</f>
        <v/>
      </c>
      <c r="Z808" s="17">
        <f>IF(OR($W808="",$W808=6),"",CHOOSE($W808,"1st Email Follow-up","2nd Email Follow-up","Escalate Local Office","Escalate to CBE","Escalate to Roxanne"))</f>
        <v/>
      </c>
    </row>
    <row r="809" spans="18:26">
      <c r="R809" s="15"/>
      <c r="S809" s="16"/>
      <c r="T809" s="17">
        <f>IF(AND(COUNTA($A809:$K809)=0,$L809=""),"",IF($S809="Paid","PAID",IF($S809="Closed","CLOSED",IF($W809="","",IF($W809=6,"ESCALATED TO ROXANNE",IF(TODAY()&gt;$Y809,"OVERDUE",IF($Y809&lt;=WORKDAY(TODAY(),1,Holidays),"DUE TOMORROW",IF($W809=4,"ESCALATED TO LOCAL OFFICE",IF($W809=5,"ESCALATED TO CBE",IF($X809=TODAY(),"EMAIL SENT","MONITORING"))))))))))</f>
        <v/>
      </c>
      <c r="U809" s="17">
        <f>IF($T809="",IF(AND(COUNTA($A809:$K809)&gt;0,$L809=""),"Awaiting Collection Email time stamp.",""),IF(OR($T809="PAID",$T809="CLOSED"),IF($T809="PAID","Account paid. Action completed.","Account closed. No further action required."),CHOOSE($W809,"Collection Email","1st Email Follow-up","2nd Email Follow-up","Escalation to Local Office","Escalation to CBE","Escalation to Roxanne")&amp;" sent "&amp;TEXT($X809,"dd-mmm")&amp;". "&amp;IF($W809=6,"Final escalation completed.",IF($T809="OVERDUE","Next: "&amp;$Z809&amp;" was due "&amp;TEXT($Y809,"dd-mmm")&amp;" - "&amp;(NETWORKDAYS($Y809,TODAY(),Holidays)-1)&amp;" business day(s) late. Send now.",IF($T809="DUE TOMORROW","Next: "&amp;$Z809&amp;IF($Y809&lt;=TODAY()," is due TODAY ("," is due next business day (")&amp;TEXT($Y809,"dd-mmm")&amp;").","Next: "&amp;$Z809&amp;" due "&amp;TEXT($Y809,"dd-mmm")&amp;" ("&amp;(NETWORKDAYS(TODAY(),$Y809,Holidays)-1)&amp;" business day(s) left).")))))</f>
        <v/>
      </c>
      <c r="V809" s="17">
        <f>IF($W809="","",CHOOSE($W809,"Collection Email","1st Follow-up","2nd Follow-up","Local Office","CBE","Roxanne")&amp;IF($W809=6," - Final"," - Day "&amp;MAX(0,NETWORKDAYS($X809,TODAY(),Holidays)-1)&amp;" of "&amp;CHOOSE($W809,3,3,2,2,3))&amp;" | Total Day "&amp;MAX(0,NETWORKDAYS($L809,TODAY(),Holidays)-1))</f>
        <v/>
      </c>
      <c r="W809" s="17">
        <f>IF($L809="","",COUNT($L809:$Q809))</f>
        <v/>
      </c>
      <c r="X809" s="18">
        <f>IF($W809="","",INT(INDEX($L809:$Q809,$W809)))</f>
        <v/>
      </c>
      <c r="Y809" s="18">
        <f>IF(OR($W809="",$W809=6),"",WORKDAY($X809,CHOOSE($W809,3,3,2,2,3),Holidays))</f>
        <v/>
      </c>
      <c r="Z809" s="17">
        <f>IF(OR($W809="",$W809=6),"",CHOOSE($W809,"1st Email Follow-up","2nd Email Follow-up","Escalate Local Office","Escalate to CBE","Escalate to Roxanne"))</f>
        <v/>
      </c>
    </row>
    <row r="810" spans="18:26">
      <c r="R810" s="15"/>
      <c r="S810" s="16"/>
      <c r="T810" s="17">
        <f>IF(AND(COUNTA($A810:$K810)=0,$L810=""),"",IF($S810="Paid","PAID",IF($S810="Closed","CLOSED",IF($W810="","",IF($W810=6,"ESCALATED TO ROXANNE",IF(TODAY()&gt;$Y810,"OVERDUE",IF($Y810&lt;=WORKDAY(TODAY(),1,Holidays),"DUE TOMORROW",IF($W810=4,"ESCALATED TO LOCAL OFFICE",IF($W810=5,"ESCALATED TO CBE",IF($X810=TODAY(),"EMAIL SENT","MONITORING"))))))))))</f>
        <v/>
      </c>
      <c r="U810" s="17">
        <f>IF($T810="",IF(AND(COUNTA($A810:$K810)&gt;0,$L810=""),"Awaiting Collection Email time stamp.",""),IF(OR($T810="PAID",$T810="CLOSED"),IF($T810="PAID","Account paid. Action completed.","Account closed. No further action required."),CHOOSE($W810,"Collection Email","1st Email Follow-up","2nd Email Follow-up","Escalation to Local Office","Escalation to CBE","Escalation to Roxanne")&amp;" sent "&amp;TEXT($X810,"dd-mmm")&amp;". "&amp;IF($W810=6,"Final escalation completed.",IF($T810="OVERDUE","Next: "&amp;$Z810&amp;" was due "&amp;TEXT($Y810,"dd-mmm")&amp;" - "&amp;(NETWORKDAYS($Y810,TODAY(),Holidays)-1)&amp;" business day(s) late. Send now.",IF($T810="DUE TOMORROW","Next: "&amp;$Z810&amp;IF($Y810&lt;=TODAY()," is due TODAY ("," is due next business day (")&amp;TEXT($Y810,"dd-mmm")&amp;").","Next: "&amp;$Z810&amp;" due "&amp;TEXT($Y810,"dd-mmm")&amp;" ("&amp;(NETWORKDAYS(TODAY(),$Y810,Holidays)-1)&amp;" business day(s) left).")))))</f>
        <v/>
      </c>
      <c r="V810" s="17">
        <f>IF($W810="","",CHOOSE($W810,"Collection Email","1st Follow-up","2nd Follow-up","Local Office","CBE","Roxanne")&amp;IF($W810=6," - Final"," - Day "&amp;MAX(0,NETWORKDAYS($X810,TODAY(),Holidays)-1)&amp;" of "&amp;CHOOSE($W810,3,3,2,2,3))&amp;" | Total Day "&amp;MAX(0,NETWORKDAYS($L810,TODAY(),Holidays)-1))</f>
        <v/>
      </c>
      <c r="W810" s="17">
        <f>IF($L810="","",COUNT($L810:$Q810))</f>
        <v/>
      </c>
      <c r="X810" s="18">
        <f>IF($W810="","",INT(INDEX($L810:$Q810,$W810)))</f>
        <v/>
      </c>
      <c r="Y810" s="18">
        <f>IF(OR($W810="",$W810=6),"",WORKDAY($X810,CHOOSE($W810,3,3,2,2,3),Holidays))</f>
        <v/>
      </c>
      <c r="Z810" s="17">
        <f>IF(OR($W810="",$W810=6),"",CHOOSE($W810,"1st Email Follow-up","2nd Email Follow-up","Escalate Local Office","Escalate to CBE","Escalate to Roxanne"))</f>
        <v/>
      </c>
    </row>
    <row r="811" spans="18:26">
      <c r="R811" s="15"/>
      <c r="S811" s="16"/>
      <c r="T811" s="17">
        <f>IF(AND(COUNTA($A811:$K811)=0,$L811=""),"",IF($S811="Paid","PAID",IF($S811="Closed","CLOSED",IF($W811="","",IF($W811=6,"ESCALATED TO ROXANNE",IF(TODAY()&gt;$Y811,"OVERDUE",IF($Y811&lt;=WORKDAY(TODAY(),1,Holidays),"DUE TOMORROW",IF($W811=4,"ESCALATED TO LOCAL OFFICE",IF($W811=5,"ESCALATED TO CBE",IF($X811=TODAY(),"EMAIL SENT","MONITORING"))))))))))</f>
        <v/>
      </c>
      <c r="U811" s="17">
        <f>IF($T811="",IF(AND(COUNTA($A811:$K811)&gt;0,$L811=""),"Awaiting Collection Email time stamp.",""),IF(OR($T811="PAID",$T811="CLOSED"),IF($T811="PAID","Account paid. Action completed.","Account closed. No further action required."),CHOOSE($W811,"Collection Email","1st Email Follow-up","2nd Email Follow-up","Escalation to Local Office","Escalation to CBE","Escalation to Roxanne")&amp;" sent "&amp;TEXT($X811,"dd-mmm")&amp;". "&amp;IF($W811=6,"Final escalation completed.",IF($T811="OVERDUE","Next: "&amp;$Z811&amp;" was due "&amp;TEXT($Y811,"dd-mmm")&amp;" - "&amp;(NETWORKDAYS($Y811,TODAY(),Holidays)-1)&amp;" business day(s) late. Send now.",IF($T811="DUE TOMORROW","Next: "&amp;$Z811&amp;IF($Y811&lt;=TODAY()," is due TODAY ("," is due next business day (")&amp;TEXT($Y811,"dd-mmm")&amp;").","Next: "&amp;$Z811&amp;" due "&amp;TEXT($Y811,"dd-mmm")&amp;" ("&amp;(NETWORKDAYS(TODAY(),$Y811,Holidays)-1)&amp;" business day(s) left).")))))</f>
        <v/>
      </c>
      <c r="V811" s="17">
        <f>IF($W811="","",CHOOSE($W811,"Collection Email","1st Follow-up","2nd Follow-up","Local Office","CBE","Roxanne")&amp;IF($W811=6," - Final"," - Day "&amp;MAX(0,NETWORKDAYS($X811,TODAY(),Holidays)-1)&amp;" of "&amp;CHOOSE($W811,3,3,2,2,3))&amp;" | Total Day "&amp;MAX(0,NETWORKDAYS($L811,TODAY(),Holidays)-1))</f>
        <v/>
      </c>
      <c r="W811" s="17">
        <f>IF($L811="","",COUNT($L811:$Q811))</f>
        <v/>
      </c>
      <c r="X811" s="18">
        <f>IF($W811="","",INT(INDEX($L811:$Q811,$W811)))</f>
        <v/>
      </c>
      <c r="Y811" s="18">
        <f>IF(OR($W811="",$W811=6),"",WORKDAY($X811,CHOOSE($W811,3,3,2,2,3),Holidays))</f>
        <v/>
      </c>
      <c r="Z811" s="17">
        <f>IF(OR($W811="",$W811=6),"",CHOOSE($W811,"1st Email Follow-up","2nd Email Follow-up","Escalate Local Office","Escalate to CBE","Escalate to Roxanne"))</f>
        <v/>
      </c>
    </row>
    <row r="812" spans="18:26">
      <c r="R812" s="15"/>
      <c r="S812" s="16"/>
      <c r="T812" s="17">
        <f>IF(AND(COUNTA($A812:$K812)=0,$L812=""),"",IF($S812="Paid","PAID",IF($S812="Closed","CLOSED",IF($W812="","",IF($W812=6,"ESCALATED TO ROXANNE",IF(TODAY()&gt;$Y812,"OVERDUE",IF($Y812&lt;=WORKDAY(TODAY(),1,Holidays),"DUE TOMORROW",IF($W812=4,"ESCALATED TO LOCAL OFFICE",IF($W812=5,"ESCALATED TO CBE",IF($X812=TODAY(),"EMAIL SENT","MONITORING"))))))))))</f>
        <v/>
      </c>
      <c r="U812" s="17">
        <f>IF($T812="",IF(AND(COUNTA($A812:$K812)&gt;0,$L812=""),"Awaiting Collection Email time stamp.",""),IF(OR($T812="PAID",$T812="CLOSED"),IF($T812="PAID","Account paid. Action completed.","Account closed. No further action required."),CHOOSE($W812,"Collection Email","1st Email Follow-up","2nd Email Follow-up","Escalation to Local Office","Escalation to CBE","Escalation to Roxanne")&amp;" sent "&amp;TEXT($X812,"dd-mmm")&amp;". "&amp;IF($W812=6,"Final escalation completed.",IF($T812="OVERDUE","Next: "&amp;$Z812&amp;" was due "&amp;TEXT($Y812,"dd-mmm")&amp;" - "&amp;(NETWORKDAYS($Y812,TODAY(),Holidays)-1)&amp;" business day(s) late. Send now.",IF($T812="DUE TOMORROW","Next: "&amp;$Z812&amp;IF($Y812&lt;=TODAY()," is due TODAY ("," is due next business day (")&amp;TEXT($Y812,"dd-mmm")&amp;").","Next: "&amp;$Z812&amp;" due "&amp;TEXT($Y812,"dd-mmm")&amp;" ("&amp;(NETWORKDAYS(TODAY(),$Y812,Holidays)-1)&amp;" business day(s) left).")))))</f>
        <v/>
      </c>
      <c r="V812" s="17">
        <f>IF($W812="","",CHOOSE($W812,"Collection Email","1st Follow-up","2nd Follow-up","Local Office","CBE","Roxanne")&amp;IF($W812=6," - Final"," - Day "&amp;MAX(0,NETWORKDAYS($X812,TODAY(),Holidays)-1)&amp;" of "&amp;CHOOSE($W812,3,3,2,2,3))&amp;" | Total Day "&amp;MAX(0,NETWORKDAYS($L812,TODAY(),Holidays)-1))</f>
        <v/>
      </c>
      <c r="W812" s="17">
        <f>IF($L812="","",COUNT($L812:$Q812))</f>
        <v/>
      </c>
      <c r="X812" s="18">
        <f>IF($W812="","",INT(INDEX($L812:$Q812,$W812)))</f>
        <v/>
      </c>
      <c r="Y812" s="18">
        <f>IF(OR($W812="",$W812=6),"",WORKDAY($X812,CHOOSE($W812,3,3,2,2,3),Holidays))</f>
        <v/>
      </c>
      <c r="Z812" s="17">
        <f>IF(OR($W812="",$W812=6),"",CHOOSE($W812,"1st Email Follow-up","2nd Email Follow-up","Escalate Local Office","Escalate to CBE","Escalate to Roxanne"))</f>
        <v/>
      </c>
    </row>
    <row r="813" spans="18:26">
      <c r="R813" s="15"/>
      <c r="S813" s="16"/>
      <c r="T813" s="17">
        <f>IF(AND(COUNTA($A813:$K813)=0,$L813=""),"",IF($S813="Paid","PAID",IF($S813="Closed","CLOSED",IF($W813="","",IF($W813=6,"ESCALATED TO ROXANNE",IF(TODAY()&gt;$Y813,"OVERDUE",IF($Y813&lt;=WORKDAY(TODAY(),1,Holidays),"DUE TOMORROW",IF($W813=4,"ESCALATED TO LOCAL OFFICE",IF($W813=5,"ESCALATED TO CBE",IF($X813=TODAY(),"EMAIL SENT","MONITORING"))))))))))</f>
        <v/>
      </c>
      <c r="U813" s="17">
        <f>IF($T813="",IF(AND(COUNTA($A813:$K813)&gt;0,$L813=""),"Awaiting Collection Email time stamp.",""),IF(OR($T813="PAID",$T813="CLOSED"),IF($T813="PAID","Account paid. Action completed.","Account closed. No further action required."),CHOOSE($W813,"Collection Email","1st Email Follow-up","2nd Email Follow-up","Escalation to Local Office","Escalation to CBE","Escalation to Roxanne")&amp;" sent "&amp;TEXT($X813,"dd-mmm")&amp;". "&amp;IF($W813=6,"Final escalation completed.",IF($T813="OVERDUE","Next: "&amp;$Z813&amp;" was due "&amp;TEXT($Y813,"dd-mmm")&amp;" - "&amp;(NETWORKDAYS($Y813,TODAY(),Holidays)-1)&amp;" business day(s) late. Send now.",IF($T813="DUE TOMORROW","Next: "&amp;$Z813&amp;IF($Y813&lt;=TODAY()," is due TODAY ("," is due next business day (")&amp;TEXT($Y813,"dd-mmm")&amp;").","Next: "&amp;$Z813&amp;" due "&amp;TEXT($Y813,"dd-mmm")&amp;" ("&amp;(NETWORKDAYS(TODAY(),$Y813,Holidays)-1)&amp;" business day(s) left).")))))</f>
        <v/>
      </c>
      <c r="V813" s="17">
        <f>IF($W813="","",CHOOSE($W813,"Collection Email","1st Follow-up","2nd Follow-up","Local Office","CBE","Roxanne")&amp;IF($W813=6," - Final"," - Day "&amp;MAX(0,NETWORKDAYS($X813,TODAY(),Holidays)-1)&amp;" of "&amp;CHOOSE($W813,3,3,2,2,3))&amp;" | Total Day "&amp;MAX(0,NETWORKDAYS($L813,TODAY(),Holidays)-1))</f>
        <v/>
      </c>
      <c r="W813" s="17">
        <f>IF($L813="","",COUNT($L813:$Q813))</f>
        <v/>
      </c>
      <c r="X813" s="18">
        <f>IF($W813="","",INT(INDEX($L813:$Q813,$W813)))</f>
        <v/>
      </c>
      <c r="Y813" s="18">
        <f>IF(OR($W813="",$W813=6),"",WORKDAY($X813,CHOOSE($W813,3,3,2,2,3),Holidays))</f>
        <v/>
      </c>
      <c r="Z813" s="17">
        <f>IF(OR($W813="",$W813=6),"",CHOOSE($W813,"1st Email Follow-up","2nd Email Follow-up","Escalate Local Office","Escalate to CBE","Escalate to Roxanne"))</f>
        <v/>
      </c>
    </row>
    <row r="814" spans="18:26">
      <c r="R814" s="15"/>
      <c r="S814" s="16"/>
      <c r="T814" s="17">
        <f>IF(AND(COUNTA($A814:$K814)=0,$L814=""),"",IF($S814="Paid","PAID",IF($S814="Closed","CLOSED",IF($W814="","",IF($W814=6,"ESCALATED TO ROXANNE",IF(TODAY()&gt;$Y814,"OVERDUE",IF($Y814&lt;=WORKDAY(TODAY(),1,Holidays),"DUE TOMORROW",IF($W814=4,"ESCALATED TO LOCAL OFFICE",IF($W814=5,"ESCALATED TO CBE",IF($X814=TODAY(),"EMAIL SENT","MONITORING"))))))))))</f>
        <v/>
      </c>
      <c r="U814" s="17">
        <f>IF($T814="",IF(AND(COUNTA($A814:$K814)&gt;0,$L814=""),"Awaiting Collection Email time stamp.",""),IF(OR($T814="PAID",$T814="CLOSED"),IF($T814="PAID","Account paid. Action completed.","Account closed. No further action required."),CHOOSE($W814,"Collection Email","1st Email Follow-up","2nd Email Follow-up","Escalation to Local Office","Escalation to CBE","Escalation to Roxanne")&amp;" sent "&amp;TEXT($X814,"dd-mmm")&amp;". "&amp;IF($W814=6,"Final escalation completed.",IF($T814="OVERDUE","Next: "&amp;$Z814&amp;" was due "&amp;TEXT($Y814,"dd-mmm")&amp;" - "&amp;(NETWORKDAYS($Y814,TODAY(),Holidays)-1)&amp;" business day(s) late. Send now.",IF($T814="DUE TOMORROW","Next: "&amp;$Z814&amp;IF($Y814&lt;=TODAY()," is due TODAY ("," is due next business day (")&amp;TEXT($Y814,"dd-mmm")&amp;").","Next: "&amp;$Z814&amp;" due "&amp;TEXT($Y814,"dd-mmm")&amp;" ("&amp;(NETWORKDAYS(TODAY(),$Y814,Holidays)-1)&amp;" business day(s) left).")))))</f>
        <v/>
      </c>
      <c r="V814" s="17">
        <f>IF($W814="","",CHOOSE($W814,"Collection Email","1st Follow-up","2nd Follow-up","Local Office","CBE","Roxanne")&amp;IF($W814=6," - Final"," - Day "&amp;MAX(0,NETWORKDAYS($X814,TODAY(),Holidays)-1)&amp;" of "&amp;CHOOSE($W814,3,3,2,2,3))&amp;" | Total Day "&amp;MAX(0,NETWORKDAYS($L814,TODAY(),Holidays)-1))</f>
        <v/>
      </c>
      <c r="W814" s="17">
        <f>IF($L814="","",COUNT($L814:$Q814))</f>
        <v/>
      </c>
      <c r="X814" s="18">
        <f>IF($W814="","",INT(INDEX($L814:$Q814,$W814)))</f>
        <v/>
      </c>
      <c r="Y814" s="18">
        <f>IF(OR($W814="",$W814=6),"",WORKDAY($X814,CHOOSE($W814,3,3,2,2,3),Holidays))</f>
        <v/>
      </c>
      <c r="Z814" s="17">
        <f>IF(OR($W814="",$W814=6),"",CHOOSE($W814,"1st Email Follow-up","2nd Email Follow-up","Escalate Local Office","Escalate to CBE","Escalate to Roxanne"))</f>
        <v/>
      </c>
    </row>
    <row r="815" spans="18:26">
      <c r="R815" s="15"/>
      <c r="S815" s="16"/>
      <c r="T815" s="17">
        <f>IF(AND(COUNTA($A815:$K815)=0,$L815=""),"",IF($S815="Paid","PAID",IF($S815="Closed","CLOSED",IF($W815="","",IF($W815=6,"ESCALATED TO ROXANNE",IF(TODAY()&gt;$Y815,"OVERDUE",IF($Y815&lt;=WORKDAY(TODAY(),1,Holidays),"DUE TOMORROW",IF($W815=4,"ESCALATED TO LOCAL OFFICE",IF($W815=5,"ESCALATED TO CBE",IF($X815=TODAY(),"EMAIL SENT","MONITORING"))))))))))</f>
        <v/>
      </c>
      <c r="U815" s="17">
        <f>IF($T815="",IF(AND(COUNTA($A815:$K815)&gt;0,$L815=""),"Awaiting Collection Email time stamp.",""),IF(OR($T815="PAID",$T815="CLOSED"),IF($T815="PAID","Account paid. Action completed.","Account closed. No further action required."),CHOOSE($W815,"Collection Email","1st Email Follow-up","2nd Email Follow-up","Escalation to Local Office","Escalation to CBE","Escalation to Roxanne")&amp;" sent "&amp;TEXT($X815,"dd-mmm")&amp;". "&amp;IF($W815=6,"Final escalation completed.",IF($T815="OVERDUE","Next: "&amp;$Z815&amp;" was due "&amp;TEXT($Y815,"dd-mmm")&amp;" - "&amp;(NETWORKDAYS($Y815,TODAY(),Holidays)-1)&amp;" business day(s) late. Send now.",IF($T815="DUE TOMORROW","Next: "&amp;$Z815&amp;IF($Y815&lt;=TODAY()," is due TODAY ("," is due next business day (")&amp;TEXT($Y815,"dd-mmm")&amp;").","Next: "&amp;$Z815&amp;" due "&amp;TEXT($Y815,"dd-mmm")&amp;" ("&amp;(NETWORKDAYS(TODAY(),$Y815,Holidays)-1)&amp;" business day(s) left).")))))</f>
        <v/>
      </c>
      <c r="V815" s="17">
        <f>IF($W815="","",CHOOSE($W815,"Collection Email","1st Follow-up","2nd Follow-up","Local Office","CBE","Roxanne")&amp;IF($W815=6," - Final"," - Day "&amp;MAX(0,NETWORKDAYS($X815,TODAY(),Holidays)-1)&amp;" of "&amp;CHOOSE($W815,3,3,2,2,3))&amp;" | Total Day "&amp;MAX(0,NETWORKDAYS($L815,TODAY(),Holidays)-1))</f>
        <v/>
      </c>
      <c r="W815" s="17">
        <f>IF($L815="","",COUNT($L815:$Q815))</f>
        <v/>
      </c>
      <c r="X815" s="18">
        <f>IF($W815="","",INT(INDEX($L815:$Q815,$W815)))</f>
        <v/>
      </c>
      <c r="Y815" s="18">
        <f>IF(OR($W815="",$W815=6),"",WORKDAY($X815,CHOOSE($W815,3,3,2,2,3),Holidays))</f>
        <v/>
      </c>
      <c r="Z815" s="17">
        <f>IF(OR($W815="",$W815=6),"",CHOOSE($W815,"1st Email Follow-up","2nd Email Follow-up","Escalate Local Office","Escalate to CBE","Escalate to Roxanne"))</f>
        <v/>
      </c>
    </row>
    <row r="816" spans="18:26">
      <c r="R816" s="15"/>
      <c r="S816" s="16"/>
      <c r="T816" s="17">
        <f>IF(AND(COUNTA($A816:$K816)=0,$L816=""),"",IF($S816="Paid","PAID",IF($S816="Closed","CLOSED",IF($W816="","",IF($W816=6,"ESCALATED TO ROXANNE",IF(TODAY()&gt;$Y816,"OVERDUE",IF($Y816&lt;=WORKDAY(TODAY(),1,Holidays),"DUE TOMORROW",IF($W816=4,"ESCALATED TO LOCAL OFFICE",IF($W816=5,"ESCALATED TO CBE",IF($X816=TODAY(),"EMAIL SENT","MONITORING"))))))))))</f>
        <v/>
      </c>
      <c r="U816" s="17">
        <f>IF($T816="",IF(AND(COUNTA($A816:$K816)&gt;0,$L816=""),"Awaiting Collection Email time stamp.",""),IF(OR($T816="PAID",$T816="CLOSED"),IF($T816="PAID","Account paid. Action completed.","Account closed. No further action required."),CHOOSE($W816,"Collection Email","1st Email Follow-up","2nd Email Follow-up","Escalation to Local Office","Escalation to CBE","Escalation to Roxanne")&amp;" sent "&amp;TEXT($X816,"dd-mmm")&amp;". "&amp;IF($W816=6,"Final escalation completed.",IF($T816="OVERDUE","Next: "&amp;$Z816&amp;" was due "&amp;TEXT($Y816,"dd-mmm")&amp;" - "&amp;(NETWORKDAYS($Y816,TODAY(),Holidays)-1)&amp;" business day(s) late. Send now.",IF($T816="DUE TOMORROW","Next: "&amp;$Z816&amp;IF($Y816&lt;=TODAY()," is due TODAY ("," is due next business day (")&amp;TEXT($Y816,"dd-mmm")&amp;").","Next: "&amp;$Z816&amp;" due "&amp;TEXT($Y816,"dd-mmm")&amp;" ("&amp;(NETWORKDAYS(TODAY(),$Y816,Holidays)-1)&amp;" business day(s) left).")))))</f>
        <v/>
      </c>
      <c r="V816" s="17">
        <f>IF($W816="","",CHOOSE($W816,"Collection Email","1st Follow-up","2nd Follow-up","Local Office","CBE","Roxanne")&amp;IF($W816=6," - Final"," - Day "&amp;MAX(0,NETWORKDAYS($X816,TODAY(),Holidays)-1)&amp;" of "&amp;CHOOSE($W816,3,3,2,2,3))&amp;" | Total Day "&amp;MAX(0,NETWORKDAYS($L816,TODAY(),Holidays)-1))</f>
        <v/>
      </c>
      <c r="W816" s="17">
        <f>IF($L816="","",COUNT($L816:$Q816))</f>
        <v/>
      </c>
      <c r="X816" s="18">
        <f>IF($W816="","",INT(INDEX($L816:$Q816,$W816)))</f>
        <v/>
      </c>
      <c r="Y816" s="18">
        <f>IF(OR($W816="",$W816=6),"",WORKDAY($X816,CHOOSE($W816,3,3,2,2,3),Holidays))</f>
        <v/>
      </c>
      <c r="Z816" s="17">
        <f>IF(OR($W816="",$W816=6),"",CHOOSE($W816,"1st Email Follow-up","2nd Email Follow-up","Escalate Local Office","Escalate to CBE","Escalate to Roxanne"))</f>
        <v/>
      </c>
    </row>
    <row r="817" spans="18:26">
      <c r="R817" s="15"/>
      <c r="S817" s="16"/>
      <c r="T817" s="17">
        <f>IF(AND(COUNTA($A817:$K817)=0,$L817=""),"",IF($S817="Paid","PAID",IF($S817="Closed","CLOSED",IF($W817="","",IF($W817=6,"ESCALATED TO ROXANNE",IF(TODAY()&gt;$Y817,"OVERDUE",IF($Y817&lt;=WORKDAY(TODAY(),1,Holidays),"DUE TOMORROW",IF($W817=4,"ESCALATED TO LOCAL OFFICE",IF($W817=5,"ESCALATED TO CBE",IF($X817=TODAY(),"EMAIL SENT","MONITORING"))))))))))</f>
        <v/>
      </c>
      <c r="U817" s="17">
        <f>IF($T817="",IF(AND(COUNTA($A817:$K817)&gt;0,$L817=""),"Awaiting Collection Email time stamp.",""),IF(OR($T817="PAID",$T817="CLOSED"),IF($T817="PAID","Account paid. Action completed.","Account closed. No further action required."),CHOOSE($W817,"Collection Email","1st Email Follow-up","2nd Email Follow-up","Escalation to Local Office","Escalation to CBE","Escalation to Roxanne")&amp;" sent "&amp;TEXT($X817,"dd-mmm")&amp;". "&amp;IF($W817=6,"Final escalation completed.",IF($T817="OVERDUE","Next: "&amp;$Z817&amp;" was due "&amp;TEXT($Y817,"dd-mmm")&amp;" - "&amp;(NETWORKDAYS($Y817,TODAY(),Holidays)-1)&amp;" business day(s) late. Send now.",IF($T817="DUE TOMORROW","Next: "&amp;$Z817&amp;IF($Y817&lt;=TODAY()," is due TODAY ("," is due next business day (")&amp;TEXT($Y817,"dd-mmm")&amp;").","Next: "&amp;$Z817&amp;" due "&amp;TEXT($Y817,"dd-mmm")&amp;" ("&amp;(NETWORKDAYS(TODAY(),$Y817,Holidays)-1)&amp;" business day(s) left).")))))</f>
        <v/>
      </c>
      <c r="V817" s="17">
        <f>IF($W817="","",CHOOSE($W817,"Collection Email","1st Follow-up","2nd Follow-up","Local Office","CBE","Roxanne")&amp;IF($W817=6," - Final"," - Day "&amp;MAX(0,NETWORKDAYS($X817,TODAY(),Holidays)-1)&amp;" of "&amp;CHOOSE($W817,3,3,2,2,3))&amp;" | Total Day "&amp;MAX(0,NETWORKDAYS($L817,TODAY(),Holidays)-1))</f>
        <v/>
      </c>
      <c r="W817" s="17">
        <f>IF($L817="","",COUNT($L817:$Q817))</f>
        <v/>
      </c>
      <c r="X817" s="18">
        <f>IF($W817="","",INT(INDEX($L817:$Q817,$W817)))</f>
        <v/>
      </c>
      <c r="Y817" s="18">
        <f>IF(OR($W817="",$W817=6),"",WORKDAY($X817,CHOOSE($W817,3,3,2,2,3),Holidays))</f>
        <v/>
      </c>
      <c r="Z817" s="17">
        <f>IF(OR($W817="",$W817=6),"",CHOOSE($W817,"1st Email Follow-up","2nd Email Follow-up","Escalate Local Office","Escalate to CBE","Escalate to Roxanne"))</f>
        <v/>
      </c>
    </row>
    <row r="818" spans="18:26">
      <c r="R818" s="15"/>
      <c r="S818" s="16"/>
      <c r="T818" s="17">
        <f>IF(AND(COUNTA($A818:$K818)=0,$L818=""),"",IF($S818="Paid","PAID",IF($S818="Closed","CLOSED",IF($W818="","",IF($W818=6,"ESCALATED TO ROXANNE",IF(TODAY()&gt;$Y818,"OVERDUE",IF($Y818&lt;=WORKDAY(TODAY(),1,Holidays),"DUE TOMORROW",IF($W818=4,"ESCALATED TO LOCAL OFFICE",IF($W818=5,"ESCALATED TO CBE",IF($X818=TODAY(),"EMAIL SENT","MONITORING"))))))))))</f>
        <v/>
      </c>
      <c r="U818" s="17">
        <f>IF($T818="",IF(AND(COUNTA($A818:$K818)&gt;0,$L818=""),"Awaiting Collection Email time stamp.",""),IF(OR($T818="PAID",$T818="CLOSED"),IF($T818="PAID","Account paid. Action completed.","Account closed. No further action required."),CHOOSE($W818,"Collection Email","1st Email Follow-up","2nd Email Follow-up","Escalation to Local Office","Escalation to CBE","Escalation to Roxanne")&amp;" sent "&amp;TEXT($X818,"dd-mmm")&amp;". "&amp;IF($W818=6,"Final escalation completed.",IF($T818="OVERDUE","Next: "&amp;$Z818&amp;" was due "&amp;TEXT($Y818,"dd-mmm")&amp;" - "&amp;(NETWORKDAYS($Y818,TODAY(),Holidays)-1)&amp;" business day(s) late. Send now.",IF($T818="DUE TOMORROW","Next: "&amp;$Z818&amp;IF($Y818&lt;=TODAY()," is due TODAY ("," is due next business day (")&amp;TEXT($Y818,"dd-mmm")&amp;").","Next: "&amp;$Z818&amp;" due "&amp;TEXT($Y818,"dd-mmm")&amp;" ("&amp;(NETWORKDAYS(TODAY(),$Y818,Holidays)-1)&amp;" business day(s) left).")))))</f>
        <v/>
      </c>
      <c r="V818" s="17">
        <f>IF($W818="","",CHOOSE($W818,"Collection Email","1st Follow-up","2nd Follow-up","Local Office","CBE","Roxanne")&amp;IF($W818=6," - Final"," - Day "&amp;MAX(0,NETWORKDAYS($X818,TODAY(),Holidays)-1)&amp;" of "&amp;CHOOSE($W818,3,3,2,2,3))&amp;" | Total Day "&amp;MAX(0,NETWORKDAYS($L818,TODAY(),Holidays)-1))</f>
        <v/>
      </c>
      <c r="W818" s="17">
        <f>IF($L818="","",COUNT($L818:$Q818))</f>
        <v/>
      </c>
      <c r="X818" s="18">
        <f>IF($W818="","",INT(INDEX($L818:$Q818,$W818)))</f>
        <v/>
      </c>
      <c r="Y818" s="18">
        <f>IF(OR($W818="",$W818=6),"",WORKDAY($X818,CHOOSE($W818,3,3,2,2,3),Holidays))</f>
        <v/>
      </c>
      <c r="Z818" s="17">
        <f>IF(OR($W818="",$W818=6),"",CHOOSE($W818,"1st Email Follow-up","2nd Email Follow-up","Escalate Local Office","Escalate to CBE","Escalate to Roxanne"))</f>
        <v/>
      </c>
    </row>
    <row r="819" spans="18:26">
      <c r="R819" s="15"/>
      <c r="S819" s="16"/>
      <c r="T819" s="17">
        <f>IF(AND(COUNTA($A819:$K819)=0,$L819=""),"",IF($S819="Paid","PAID",IF($S819="Closed","CLOSED",IF($W819="","",IF($W819=6,"ESCALATED TO ROXANNE",IF(TODAY()&gt;$Y819,"OVERDUE",IF($Y819&lt;=WORKDAY(TODAY(),1,Holidays),"DUE TOMORROW",IF($W819=4,"ESCALATED TO LOCAL OFFICE",IF($W819=5,"ESCALATED TO CBE",IF($X819=TODAY(),"EMAIL SENT","MONITORING"))))))))))</f>
        <v/>
      </c>
      <c r="U819" s="17">
        <f>IF($T819="",IF(AND(COUNTA($A819:$K819)&gt;0,$L819=""),"Awaiting Collection Email time stamp.",""),IF(OR($T819="PAID",$T819="CLOSED"),IF($T819="PAID","Account paid. Action completed.","Account closed. No further action required."),CHOOSE($W819,"Collection Email","1st Email Follow-up","2nd Email Follow-up","Escalation to Local Office","Escalation to CBE","Escalation to Roxanne")&amp;" sent "&amp;TEXT($X819,"dd-mmm")&amp;". "&amp;IF($W819=6,"Final escalation completed.",IF($T819="OVERDUE","Next: "&amp;$Z819&amp;" was due "&amp;TEXT($Y819,"dd-mmm")&amp;" - "&amp;(NETWORKDAYS($Y819,TODAY(),Holidays)-1)&amp;" business day(s) late. Send now.",IF($T819="DUE TOMORROW","Next: "&amp;$Z819&amp;IF($Y819&lt;=TODAY()," is due TODAY ("," is due next business day (")&amp;TEXT($Y819,"dd-mmm")&amp;").","Next: "&amp;$Z819&amp;" due "&amp;TEXT($Y819,"dd-mmm")&amp;" ("&amp;(NETWORKDAYS(TODAY(),$Y819,Holidays)-1)&amp;" business day(s) left).")))))</f>
        <v/>
      </c>
      <c r="V819" s="17">
        <f>IF($W819="","",CHOOSE($W819,"Collection Email","1st Follow-up","2nd Follow-up","Local Office","CBE","Roxanne")&amp;IF($W819=6," - Final"," - Day "&amp;MAX(0,NETWORKDAYS($X819,TODAY(),Holidays)-1)&amp;" of "&amp;CHOOSE($W819,3,3,2,2,3))&amp;" | Total Day "&amp;MAX(0,NETWORKDAYS($L819,TODAY(),Holidays)-1))</f>
        <v/>
      </c>
      <c r="W819" s="17">
        <f>IF($L819="","",COUNT($L819:$Q819))</f>
        <v/>
      </c>
      <c r="X819" s="18">
        <f>IF($W819="","",INT(INDEX($L819:$Q819,$W819)))</f>
        <v/>
      </c>
      <c r="Y819" s="18">
        <f>IF(OR($W819="",$W819=6),"",WORKDAY($X819,CHOOSE($W819,3,3,2,2,3),Holidays))</f>
        <v/>
      </c>
      <c r="Z819" s="17">
        <f>IF(OR($W819="",$W819=6),"",CHOOSE($W819,"1st Email Follow-up","2nd Email Follow-up","Escalate Local Office","Escalate to CBE","Escalate to Roxanne"))</f>
        <v/>
      </c>
    </row>
    <row r="820" spans="18:26">
      <c r="R820" s="15"/>
      <c r="S820" s="16"/>
      <c r="T820" s="17">
        <f>IF(AND(COUNTA($A820:$K820)=0,$L820=""),"",IF($S820="Paid","PAID",IF($S820="Closed","CLOSED",IF($W820="","",IF($W820=6,"ESCALATED TO ROXANNE",IF(TODAY()&gt;$Y820,"OVERDUE",IF($Y820&lt;=WORKDAY(TODAY(),1,Holidays),"DUE TOMORROW",IF($W820=4,"ESCALATED TO LOCAL OFFICE",IF($W820=5,"ESCALATED TO CBE",IF($X820=TODAY(),"EMAIL SENT","MONITORING"))))))))))</f>
        <v/>
      </c>
      <c r="U820" s="17">
        <f>IF($T820="",IF(AND(COUNTA($A820:$K820)&gt;0,$L820=""),"Awaiting Collection Email time stamp.",""),IF(OR($T820="PAID",$T820="CLOSED"),IF($T820="PAID","Account paid. Action completed.","Account closed. No further action required."),CHOOSE($W820,"Collection Email","1st Email Follow-up","2nd Email Follow-up","Escalation to Local Office","Escalation to CBE","Escalation to Roxanne")&amp;" sent "&amp;TEXT($X820,"dd-mmm")&amp;". "&amp;IF($W820=6,"Final escalation completed.",IF($T820="OVERDUE","Next: "&amp;$Z820&amp;" was due "&amp;TEXT($Y820,"dd-mmm")&amp;" - "&amp;(NETWORKDAYS($Y820,TODAY(),Holidays)-1)&amp;" business day(s) late. Send now.",IF($T820="DUE TOMORROW","Next: "&amp;$Z820&amp;IF($Y820&lt;=TODAY()," is due TODAY ("," is due next business day (")&amp;TEXT($Y820,"dd-mmm")&amp;").","Next: "&amp;$Z820&amp;" due "&amp;TEXT($Y820,"dd-mmm")&amp;" ("&amp;(NETWORKDAYS(TODAY(),$Y820,Holidays)-1)&amp;" business day(s) left).")))))</f>
        <v/>
      </c>
      <c r="V820" s="17">
        <f>IF($W820="","",CHOOSE($W820,"Collection Email","1st Follow-up","2nd Follow-up","Local Office","CBE","Roxanne")&amp;IF($W820=6," - Final"," - Day "&amp;MAX(0,NETWORKDAYS($X820,TODAY(),Holidays)-1)&amp;" of "&amp;CHOOSE($W820,3,3,2,2,3))&amp;" | Total Day "&amp;MAX(0,NETWORKDAYS($L820,TODAY(),Holidays)-1))</f>
        <v/>
      </c>
      <c r="W820" s="17">
        <f>IF($L820="","",COUNT($L820:$Q820))</f>
        <v/>
      </c>
      <c r="X820" s="18">
        <f>IF($W820="","",INT(INDEX($L820:$Q820,$W820)))</f>
        <v/>
      </c>
      <c r="Y820" s="18">
        <f>IF(OR($W820="",$W820=6),"",WORKDAY($X820,CHOOSE($W820,3,3,2,2,3),Holidays))</f>
        <v/>
      </c>
      <c r="Z820" s="17">
        <f>IF(OR($W820="",$W820=6),"",CHOOSE($W820,"1st Email Follow-up","2nd Email Follow-up","Escalate Local Office","Escalate to CBE","Escalate to Roxanne"))</f>
        <v/>
      </c>
    </row>
    <row r="821" spans="18:26">
      <c r="R821" s="15"/>
      <c r="S821" s="16"/>
      <c r="T821" s="17">
        <f>IF(AND(COUNTA($A821:$K821)=0,$L821=""),"",IF($S821="Paid","PAID",IF($S821="Closed","CLOSED",IF($W821="","",IF($W821=6,"ESCALATED TO ROXANNE",IF(TODAY()&gt;$Y821,"OVERDUE",IF($Y821&lt;=WORKDAY(TODAY(),1,Holidays),"DUE TOMORROW",IF($W821=4,"ESCALATED TO LOCAL OFFICE",IF($W821=5,"ESCALATED TO CBE",IF($X821=TODAY(),"EMAIL SENT","MONITORING"))))))))))</f>
        <v/>
      </c>
      <c r="U821" s="17">
        <f>IF($T821="",IF(AND(COUNTA($A821:$K821)&gt;0,$L821=""),"Awaiting Collection Email time stamp.",""),IF(OR($T821="PAID",$T821="CLOSED"),IF($T821="PAID","Account paid. Action completed.","Account closed. No further action required."),CHOOSE($W821,"Collection Email","1st Email Follow-up","2nd Email Follow-up","Escalation to Local Office","Escalation to CBE","Escalation to Roxanne")&amp;" sent "&amp;TEXT($X821,"dd-mmm")&amp;". "&amp;IF($W821=6,"Final escalation completed.",IF($T821="OVERDUE","Next: "&amp;$Z821&amp;" was due "&amp;TEXT($Y821,"dd-mmm")&amp;" - "&amp;(NETWORKDAYS($Y821,TODAY(),Holidays)-1)&amp;" business day(s) late. Send now.",IF($T821="DUE TOMORROW","Next: "&amp;$Z821&amp;IF($Y821&lt;=TODAY()," is due TODAY ("," is due next business day (")&amp;TEXT($Y821,"dd-mmm")&amp;").","Next: "&amp;$Z821&amp;" due "&amp;TEXT($Y821,"dd-mmm")&amp;" ("&amp;(NETWORKDAYS(TODAY(),$Y821,Holidays)-1)&amp;" business day(s) left).")))))</f>
        <v/>
      </c>
      <c r="V821" s="17">
        <f>IF($W821="","",CHOOSE($W821,"Collection Email","1st Follow-up","2nd Follow-up","Local Office","CBE","Roxanne")&amp;IF($W821=6," - Final"," - Day "&amp;MAX(0,NETWORKDAYS($X821,TODAY(),Holidays)-1)&amp;" of "&amp;CHOOSE($W821,3,3,2,2,3))&amp;" | Total Day "&amp;MAX(0,NETWORKDAYS($L821,TODAY(),Holidays)-1))</f>
        <v/>
      </c>
      <c r="W821" s="17">
        <f>IF($L821="","",COUNT($L821:$Q821))</f>
        <v/>
      </c>
      <c r="X821" s="18">
        <f>IF($W821="","",INT(INDEX($L821:$Q821,$W821)))</f>
        <v/>
      </c>
      <c r="Y821" s="18">
        <f>IF(OR($W821="",$W821=6),"",WORKDAY($X821,CHOOSE($W821,3,3,2,2,3),Holidays))</f>
        <v/>
      </c>
      <c r="Z821" s="17">
        <f>IF(OR($W821="",$W821=6),"",CHOOSE($W821,"1st Email Follow-up","2nd Email Follow-up","Escalate Local Office","Escalate to CBE","Escalate to Roxanne"))</f>
        <v/>
      </c>
    </row>
    <row r="822" spans="18:26">
      <c r="R822" s="15"/>
      <c r="S822" s="16"/>
      <c r="T822" s="17">
        <f>IF(AND(COUNTA($A822:$K822)=0,$L822=""),"",IF($S822="Paid","PAID",IF($S822="Closed","CLOSED",IF($W822="","",IF($W822=6,"ESCALATED TO ROXANNE",IF(TODAY()&gt;$Y822,"OVERDUE",IF($Y822&lt;=WORKDAY(TODAY(),1,Holidays),"DUE TOMORROW",IF($W822=4,"ESCALATED TO LOCAL OFFICE",IF($W822=5,"ESCALATED TO CBE",IF($X822=TODAY(),"EMAIL SENT","MONITORING"))))))))))</f>
        <v/>
      </c>
      <c r="U822" s="17">
        <f>IF($T822="",IF(AND(COUNTA($A822:$K822)&gt;0,$L822=""),"Awaiting Collection Email time stamp.",""),IF(OR($T822="PAID",$T822="CLOSED"),IF($T822="PAID","Account paid. Action completed.","Account closed. No further action required."),CHOOSE($W822,"Collection Email","1st Email Follow-up","2nd Email Follow-up","Escalation to Local Office","Escalation to CBE","Escalation to Roxanne")&amp;" sent "&amp;TEXT($X822,"dd-mmm")&amp;". "&amp;IF($W822=6,"Final escalation completed.",IF($T822="OVERDUE","Next: "&amp;$Z822&amp;" was due "&amp;TEXT($Y822,"dd-mmm")&amp;" - "&amp;(NETWORKDAYS($Y822,TODAY(),Holidays)-1)&amp;" business day(s) late. Send now.",IF($T822="DUE TOMORROW","Next: "&amp;$Z822&amp;IF($Y822&lt;=TODAY()," is due TODAY ("," is due next business day (")&amp;TEXT($Y822,"dd-mmm")&amp;").","Next: "&amp;$Z822&amp;" due "&amp;TEXT($Y822,"dd-mmm")&amp;" ("&amp;(NETWORKDAYS(TODAY(),$Y822,Holidays)-1)&amp;" business day(s) left).")))))</f>
        <v/>
      </c>
      <c r="V822" s="17">
        <f>IF($W822="","",CHOOSE($W822,"Collection Email","1st Follow-up","2nd Follow-up","Local Office","CBE","Roxanne")&amp;IF($W822=6," - Final"," - Day "&amp;MAX(0,NETWORKDAYS($X822,TODAY(),Holidays)-1)&amp;" of "&amp;CHOOSE($W822,3,3,2,2,3))&amp;" | Total Day "&amp;MAX(0,NETWORKDAYS($L822,TODAY(),Holidays)-1))</f>
        <v/>
      </c>
      <c r="W822" s="17">
        <f>IF($L822="","",COUNT($L822:$Q822))</f>
        <v/>
      </c>
      <c r="X822" s="18">
        <f>IF($W822="","",INT(INDEX($L822:$Q822,$W822)))</f>
        <v/>
      </c>
      <c r="Y822" s="18">
        <f>IF(OR($W822="",$W822=6),"",WORKDAY($X822,CHOOSE($W822,3,3,2,2,3),Holidays))</f>
        <v/>
      </c>
      <c r="Z822" s="17">
        <f>IF(OR($W822="",$W822=6),"",CHOOSE($W822,"1st Email Follow-up","2nd Email Follow-up","Escalate Local Office","Escalate to CBE","Escalate to Roxanne"))</f>
        <v/>
      </c>
    </row>
    <row r="823" spans="18:26">
      <c r="R823" s="15"/>
      <c r="S823" s="16"/>
      <c r="T823" s="17">
        <f>IF(AND(COUNTA($A823:$K823)=0,$L823=""),"",IF($S823="Paid","PAID",IF($S823="Closed","CLOSED",IF($W823="","",IF($W823=6,"ESCALATED TO ROXANNE",IF(TODAY()&gt;$Y823,"OVERDUE",IF($Y823&lt;=WORKDAY(TODAY(),1,Holidays),"DUE TOMORROW",IF($W823=4,"ESCALATED TO LOCAL OFFICE",IF($W823=5,"ESCALATED TO CBE",IF($X823=TODAY(),"EMAIL SENT","MONITORING"))))))))))</f>
        <v/>
      </c>
      <c r="U823" s="17">
        <f>IF($T823="",IF(AND(COUNTA($A823:$K823)&gt;0,$L823=""),"Awaiting Collection Email time stamp.",""),IF(OR($T823="PAID",$T823="CLOSED"),IF($T823="PAID","Account paid. Action completed.","Account closed. No further action required."),CHOOSE($W823,"Collection Email","1st Email Follow-up","2nd Email Follow-up","Escalation to Local Office","Escalation to CBE","Escalation to Roxanne")&amp;" sent "&amp;TEXT($X823,"dd-mmm")&amp;". "&amp;IF($W823=6,"Final escalation completed.",IF($T823="OVERDUE","Next: "&amp;$Z823&amp;" was due "&amp;TEXT($Y823,"dd-mmm")&amp;" - "&amp;(NETWORKDAYS($Y823,TODAY(),Holidays)-1)&amp;" business day(s) late. Send now.",IF($T823="DUE TOMORROW","Next: "&amp;$Z823&amp;IF($Y823&lt;=TODAY()," is due TODAY ("," is due next business day (")&amp;TEXT($Y823,"dd-mmm")&amp;").","Next: "&amp;$Z823&amp;" due "&amp;TEXT($Y823,"dd-mmm")&amp;" ("&amp;(NETWORKDAYS(TODAY(),$Y823,Holidays)-1)&amp;" business day(s) left).")))))</f>
        <v/>
      </c>
      <c r="V823" s="17">
        <f>IF($W823="","",CHOOSE($W823,"Collection Email","1st Follow-up","2nd Follow-up","Local Office","CBE","Roxanne")&amp;IF($W823=6," - Final"," - Day "&amp;MAX(0,NETWORKDAYS($X823,TODAY(),Holidays)-1)&amp;" of "&amp;CHOOSE($W823,3,3,2,2,3))&amp;" | Total Day "&amp;MAX(0,NETWORKDAYS($L823,TODAY(),Holidays)-1))</f>
        <v/>
      </c>
      <c r="W823" s="17">
        <f>IF($L823="","",COUNT($L823:$Q823))</f>
        <v/>
      </c>
      <c r="X823" s="18">
        <f>IF($W823="","",INT(INDEX($L823:$Q823,$W823)))</f>
        <v/>
      </c>
      <c r="Y823" s="18">
        <f>IF(OR($W823="",$W823=6),"",WORKDAY($X823,CHOOSE($W823,3,3,2,2,3),Holidays))</f>
        <v/>
      </c>
      <c r="Z823" s="17">
        <f>IF(OR($W823="",$W823=6),"",CHOOSE($W823,"1st Email Follow-up","2nd Email Follow-up","Escalate Local Office","Escalate to CBE","Escalate to Roxanne"))</f>
        <v/>
      </c>
    </row>
    <row r="824" spans="18:26">
      <c r="R824" s="15"/>
      <c r="S824" s="16"/>
      <c r="T824" s="17">
        <f>IF(AND(COUNTA($A824:$K824)=0,$L824=""),"",IF($S824="Paid","PAID",IF($S824="Closed","CLOSED",IF($W824="","",IF($W824=6,"ESCALATED TO ROXANNE",IF(TODAY()&gt;$Y824,"OVERDUE",IF($Y824&lt;=WORKDAY(TODAY(),1,Holidays),"DUE TOMORROW",IF($W824=4,"ESCALATED TO LOCAL OFFICE",IF($W824=5,"ESCALATED TO CBE",IF($X824=TODAY(),"EMAIL SENT","MONITORING"))))))))))</f>
        <v/>
      </c>
      <c r="U824" s="17">
        <f>IF($T824="",IF(AND(COUNTA($A824:$K824)&gt;0,$L824=""),"Awaiting Collection Email time stamp.",""),IF(OR($T824="PAID",$T824="CLOSED"),IF($T824="PAID","Account paid. Action completed.","Account closed. No further action required."),CHOOSE($W824,"Collection Email","1st Email Follow-up","2nd Email Follow-up","Escalation to Local Office","Escalation to CBE","Escalation to Roxanne")&amp;" sent "&amp;TEXT($X824,"dd-mmm")&amp;". "&amp;IF($W824=6,"Final escalation completed.",IF($T824="OVERDUE","Next: "&amp;$Z824&amp;" was due "&amp;TEXT($Y824,"dd-mmm")&amp;" - "&amp;(NETWORKDAYS($Y824,TODAY(),Holidays)-1)&amp;" business day(s) late. Send now.",IF($T824="DUE TOMORROW","Next: "&amp;$Z824&amp;IF($Y824&lt;=TODAY()," is due TODAY ("," is due next business day (")&amp;TEXT($Y824,"dd-mmm")&amp;").","Next: "&amp;$Z824&amp;" due "&amp;TEXT($Y824,"dd-mmm")&amp;" ("&amp;(NETWORKDAYS(TODAY(),$Y824,Holidays)-1)&amp;" business day(s) left).")))))</f>
        <v/>
      </c>
      <c r="V824" s="17">
        <f>IF($W824="","",CHOOSE($W824,"Collection Email","1st Follow-up","2nd Follow-up","Local Office","CBE","Roxanne")&amp;IF($W824=6," - Final"," - Day "&amp;MAX(0,NETWORKDAYS($X824,TODAY(),Holidays)-1)&amp;" of "&amp;CHOOSE($W824,3,3,2,2,3))&amp;" | Total Day "&amp;MAX(0,NETWORKDAYS($L824,TODAY(),Holidays)-1))</f>
        <v/>
      </c>
      <c r="W824" s="17">
        <f>IF($L824="","",COUNT($L824:$Q824))</f>
        <v/>
      </c>
      <c r="X824" s="18">
        <f>IF($W824="","",INT(INDEX($L824:$Q824,$W824)))</f>
        <v/>
      </c>
      <c r="Y824" s="18">
        <f>IF(OR($W824="",$W824=6),"",WORKDAY($X824,CHOOSE($W824,3,3,2,2,3),Holidays))</f>
        <v/>
      </c>
      <c r="Z824" s="17">
        <f>IF(OR($W824="",$W824=6),"",CHOOSE($W824,"1st Email Follow-up","2nd Email Follow-up","Escalate Local Office","Escalate to CBE","Escalate to Roxanne"))</f>
        <v/>
      </c>
    </row>
    <row r="825" spans="18:26">
      <c r="R825" s="15"/>
      <c r="S825" s="16"/>
      <c r="T825" s="17">
        <f>IF(AND(COUNTA($A825:$K825)=0,$L825=""),"",IF($S825="Paid","PAID",IF($S825="Closed","CLOSED",IF($W825="","",IF($W825=6,"ESCALATED TO ROXANNE",IF(TODAY()&gt;$Y825,"OVERDUE",IF($Y825&lt;=WORKDAY(TODAY(),1,Holidays),"DUE TOMORROW",IF($W825=4,"ESCALATED TO LOCAL OFFICE",IF($W825=5,"ESCALATED TO CBE",IF($X825=TODAY(),"EMAIL SENT","MONITORING"))))))))))</f>
        <v/>
      </c>
      <c r="U825" s="17">
        <f>IF($T825="",IF(AND(COUNTA($A825:$K825)&gt;0,$L825=""),"Awaiting Collection Email time stamp.",""),IF(OR($T825="PAID",$T825="CLOSED"),IF($T825="PAID","Account paid. Action completed.","Account closed. No further action required."),CHOOSE($W825,"Collection Email","1st Email Follow-up","2nd Email Follow-up","Escalation to Local Office","Escalation to CBE","Escalation to Roxanne")&amp;" sent "&amp;TEXT($X825,"dd-mmm")&amp;". "&amp;IF($W825=6,"Final escalation completed.",IF($T825="OVERDUE","Next: "&amp;$Z825&amp;" was due "&amp;TEXT($Y825,"dd-mmm")&amp;" - "&amp;(NETWORKDAYS($Y825,TODAY(),Holidays)-1)&amp;" business day(s) late. Send now.",IF($T825="DUE TOMORROW","Next: "&amp;$Z825&amp;IF($Y825&lt;=TODAY()," is due TODAY ("," is due next business day (")&amp;TEXT($Y825,"dd-mmm")&amp;").","Next: "&amp;$Z825&amp;" due "&amp;TEXT($Y825,"dd-mmm")&amp;" ("&amp;(NETWORKDAYS(TODAY(),$Y825,Holidays)-1)&amp;" business day(s) left).")))))</f>
        <v/>
      </c>
      <c r="V825" s="17">
        <f>IF($W825="","",CHOOSE($W825,"Collection Email","1st Follow-up","2nd Follow-up","Local Office","CBE","Roxanne")&amp;IF($W825=6," - Final"," - Day "&amp;MAX(0,NETWORKDAYS($X825,TODAY(),Holidays)-1)&amp;" of "&amp;CHOOSE($W825,3,3,2,2,3))&amp;" | Total Day "&amp;MAX(0,NETWORKDAYS($L825,TODAY(),Holidays)-1))</f>
        <v/>
      </c>
      <c r="W825" s="17">
        <f>IF($L825="","",COUNT($L825:$Q825))</f>
        <v/>
      </c>
      <c r="X825" s="18">
        <f>IF($W825="","",INT(INDEX($L825:$Q825,$W825)))</f>
        <v/>
      </c>
      <c r="Y825" s="18">
        <f>IF(OR($W825="",$W825=6),"",WORKDAY($X825,CHOOSE($W825,3,3,2,2,3),Holidays))</f>
        <v/>
      </c>
      <c r="Z825" s="17">
        <f>IF(OR($W825="",$W825=6),"",CHOOSE($W825,"1st Email Follow-up","2nd Email Follow-up","Escalate Local Office","Escalate to CBE","Escalate to Roxanne"))</f>
        <v/>
      </c>
    </row>
    <row r="826" spans="18:26">
      <c r="R826" s="15"/>
      <c r="S826" s="16"/>
      <c r="T826" s="17">
        <f>IF(AND(COUNTA($A826:$K826)=0,$L826=""),"",IF($S826="Paid","PAID",IF($S826="Closed","CLOSED",IF($W826="","",IF($W826=6,"ESCALATED TO ROXANNE",IF(TODAY()&gt;$Y826,"OVERDUE",IF($Y826&lt;=WORKDAY(TODAY(),1,Holidays),"DUE TOMORROW",IF($W826=4,"ESCALATED TO LOCAL OFFICE",IF($W826=5,"ESCALATED TO CBE",IF($X826=TODAY(),"EMAIL SENT","MONITORING"))))))))))</f>
        <v/>
      </c>
      <c r="U826" s="17">
        <f>IF($T826="",IF(AND(COUNTA($A826:$K826)&gt;0,$L826=""),"Awaiting Collection Email time stamp.",""),IF(OR($T826="PAID",$T826="CLOSED"),IF($T826="PAID","Account paid. Action completed.","Account closed. No further action required."),CHOOSE($W826,"Collection Email","1st Email Follow-up","2nd Email Follow-up","Escalation to Local Office","Escalation to CBE","Escalation to Roxanne")&amp;" sent "&amp;TEXT($X826,"dd-mmm")&amp;". "&amp;IF($W826=6,"Final escalation completed.",IF($T826="OVERDUE","Next: "&amp;$Z826&amp;" was due "&amp;TEXT($Y826,"dd-mmm")&amp;" - "&amp;(NETWORKDAYS($Y826,TODAY(),Holidays)-1)&amp;" business day(s) late. Send now.",IF($T826="DUE TOMORROW","Next: "&amp;$Z826&amp;IF($Y826&lt;=TODAY()," is due TODAY ("," is due next business day (")&amp;TEXT($Y826,"dd-mmm")&amp;").","Next: "&amp;$Z826&amp;" due "&amp;TEXT($Y826,"dd-mmm")&amp;" ("&amp;(NETWORKDAYS(TODAY(),$Y826,Holidays)-1)&amp;" business day(s) left).")))))</f>
        <v/>
      </c>
      <c r="V826" s="17">
        <f>IF($W826="","",CHOOSE($W826,"Collection Email","1st Follow-up","2nd Follow-up","Local Office","CBE","Roxanne")&amp;IF($W826=6," - Final"," - Day "&amp;MAX(0,NETWORKDAYS($X826,TODAY(),Holidays)-1)&amp;" of "&amp;CHOOSE($W826,3,3,2,2,3))&amp;" | Total Day "&amp;MAX(0,NETWORKDAYS($L826,TODAY(),Holidays)-1))</f>
        <v/>
      </c>
      <c r="W826" s="17">
        <f>IF($L826="","",COUNT($L826:$Q826))</f>
        <v/>
      </c>
      <c r="X826" s="18">
        <f>IF($W826="","",INT(INDEX($L826:$Q826,$W826)))</f>
        <v/>
      </c>
      <c r="Y826" s="18">
        <f>IF(OR($W826="",$W826=6),"",WORKDAY($X826,CHOOSE($W826,3,3,2,2,3),Holidays))</f>
        <v/>
      </c>
      <c r="Z826" s="17">
        <f>IF(OR($W826="",$W826=6),"",CHOOSE($W826,"1st Email Follow-up","2nd Email Follow-up","Escalate Local Office","Escalate to CBE","Escalate to Roxanne"))</f>
        <v/>
      </c>
    </row>
    <row r="827" spans="18:26">
      <c r="R827" s="15"/>
      <c r="S827" s="16"/>
      <c r="T827" s="17">
        <f>IF(AND(COUNTA($A827:$K827)=0,$L827=""),"",IF($S827="Paid","PAID",IF($S827="Closed","CLOSED",IF($W827="","",IF($W827=6,"ESCALATED TO ROXANNE",IF(TODAY()&gt;$Y827,"OVERDUE",IF($Y827&lt;=WORKDAY(TODAY(),1,Holidays),"DUE TOMORROW",IF($W827=4,"ESCALATED TO LOCAL OFFICE",IF($W827=5,"ESCALATED TO CBE",IF($X827=TODAY(),"EMAIL SENT","MONITORING"))))))))))</f>
        <v/>
      </c>
      <c r="U827" s="17">
        <f>IF($T827="",IF(AND(COUNTA($A827:$K827)&gt;0,$L827=""),"Awaiting Collection Email time stamp.",""),IF(OR($T827="PAID",$T827="CLOSED"),IF($T827="PAID","Account paid. Action completed.","Account closed. No further action required."),CHOOSE($W827,"Collection Email","1st Email Follow-up","2nd Email Follow-up","Escalation to Local Office","Escalation to CBE","Escalation to Roxanne")&amp;" sent "&amp;TEXT($X827,"dd-mmm")&amp;". "&amp;IF($W827=6,"Final escalation completed.",IF($T827="OVERDUE","Next: "&amp;$Z827&amp;" was due "&amp;TEXT($Y827,"dd-mmm")&amp;" - "&amp;(NETWORKDAYS($Y827,TODAY(),Holidays)-1)&amp;" business day(s) late. Send now.",IF($T827="DUE TOMORROW","Next: "&amp;$Z827&amp;IF($Y827&lt;=TODAY()," is due TODAY ("," is due next business day (")&amp;TEXT($Y827,"dd-mmm")&amp;").","Next: "&amp;$Z827&amp;" due "&amp;TEXT($Y827,"dd-mmm")&amp;" ("&amp;(NETWORKDAYS(TODAY(),$Y827,Holidays)-1)&amp;" business day(s) left).")))))</f>
        <v/>
      </c>
      <c r="V827" s="17">
        <f>IF($W827="","",CHOOSE($W827,"Collection Email","1st Follow-up","2nd Follow-up","Local Office","CBE","Roxanne")&amp;IF($W827=6," - Final"," - Day "&amp;MAX(0,NETWORKDAYS($X827,TODAY(),Holidays)-1)&amp;" of "&amp;CHOOSE($W827,3,3,2,2,3))&amp;" | Total Day "&amp;MAX(0,NETWORKDAYS($L827,TODAY(),Holidays)-1))</f>
        <v/>
      </c>
      <c r="W827" s="17">
        <f>IF($L827="","",COUNT($L827:$Q827))</f>
        <v/>
      </c>
      <c r="X827" s="18">
        <f>IF($W827="","",INT(INDEX($L827:$Q827,$W827)))</f>
        <v/>
      </c>
      <c r="Y827" s="18">
        <f>IF(OR($W827="",$W827=6),"",WORKDAY($X827,CHOOSE($W827,3,3,2,2,3),Holidays))</f>
        <v/>
      </c>
      <c r="Z827" s="17">
        <f>IF(OR($W827="",$W827=6),"",CHOOSE($W827,"1st Email Follow-up","2nd Email Follow-up","Escalate Local Office","Escalate to CBE","Escalate to Roxanne"))</f>
        <v/>
      </c>
    </row>
    <row r="828" spans="18:26">
      <c r="R828" s="15"/>
      <c r="S828" s="16"/>
      <c r="T828" s="17">
        <f>IF(AND(COUNTA($A828:$K828)=0,$L828=""),"",IF($S828="Paid","PAID",IF($S828="Closed","CLOSED",IF($W828="","",IF($W828=6,"ESCALATED TO ROXANNE",IF(TODAY()&gt;$Y828,"OVERDUE",IF($Y828&lt;=WORKDAY(TODAY(),1,Holidays),"DUE TOMORROW",IF($W828=4,"ESCALATED TO LOCAL OFFICE",IF($W828=5,"ESCALATED TO CBE",IF($X828=TODAY(),"EMAIL SENT","MONITORING"))))))))))</f>
        <v/>
      </c>
      <c r="U828" s="17">
        <f>IF($T828="",IF(AND(COUNTA($A828:$K828)&gt;0,$L828=""),"Awaiting Collection Email time stamp.",""),IF(OR($T828="PAID",$T828="CLOSED"),IF($T828="PAID","Account paid. Action completed.","Account closed. No further action required."),CHOOSE($W828,"Collection Email","1st Email Follow-up","2nd Email Follow-up","Escalation to Local Office","Escalation to CBE","Escalation to Roxanne")&amp;" sent "&amp;TEXT($X828,"dd-mmm")&amp;". "&amp;IF($W828=6,"Final escalation completed.",IF($T828="OVERDUE","Next: "&amp;$Z828&amp;" was due "&amp;TEXT($Y828,"dd-mmm")&amp;" - "&amp;(NETWORKDAYS($Y828,TODAY(),Holidays)-1)&amp;" business day(s) late. Send now.",IF($T828="DUE TOMORROW","Next: "&amp;$Z828&amp;IF($Y828&lt;=TODAY()," is due TODAY ("," is due next business day (")&amp;TEXT($Y828,"dd-mmm")&amp;").","Next: "&amp;$Z828&amp;" due "&amp;TEXT($Y828,"dd-mmm")&amp;" ("&amp;(NETWORKDAYS(TODAY(),$Y828,Holidays)-1)&amp;" business day(s) left).")))))</f>
        <v/>
      </c>
      <c r="V828" s="17">
        <f>IF($W828="","",CHOOSE($W828,"Collection Email","1st Follow-up","2nd Follow-up","Local Office","CBE","Roxanne")&amp;IF($W828=6," - Final"," - Day "&amp;MAX(0,NETWORKDAYS($X828,TODAY(),Holidays)-1)&amp;" of "&amp;CHOOSE($W828,3,3,2,2,3))&amp;" | Total Day "&amp;MAX(0,NETWORKDAYS($L828,TODAY(),Holidays)-1))</f>
        <v/>
      </c>
      <c r="W828" s="17">
        <f>IF($L828="","",COUNT($L828:$Q828))</f>
        <v/>
      </c>
      <c r="X828" s="18">
        <f>IF($W828="","",INT(INDEX($L828:$Q828,$W828)))</f>
        <v/>
      </c>
      <c r="Y828" s="18">
        <f>IF(OR($W828="",$W828=6),"",WORKDAY($X828,CHOOSE($W828,3,3,2,2,3),Holidays))</f>
        <v/>
      </c>
      <c r="Z828" s="17">
        <f>IF(OR($W828="",$W828=6),"",CHOOSE($W828,"1st Email Follow-up","2nd Email Follow-up","Escalate Local Office","Escalate to CBE","Escalate to Roxanne"))</f>
        <v/>
      </c>
    </row>
    <row r="829" spans="18:26">
      <c r="R829" s="15"/>
      <c r="S829" s="16"/>
      <c r="T829" s="17">
        <f>IF(AND(COUNTA($A829:$K829)=0,$L829=""),"",IF($S829="Paid","PAID",IF($S829="Closed","CLOSED",IF($W829="","",IF($W829=6,"ESCALATED TO ROXANNE",IF(TODAY()&gt;$Y829,"OVERDUE",IF($Y829&lt;=WORKDAY(TODAY(),1,Holidays),"DUE TOMORROW",IF($W829=4,"ESCALATED TO LOCAL OFFICE",IF($W829=5,"ESCALATED TO CBE",IF($X829=TODAY(),"EMAIL SENT","MONITORING"))))))))))</f>
        <v/>
      </c>
      <c r="U829" s="17">
        <f>IF($T829="",IF(AND(COUNTA($A829:$K829)&gt;0,$L829=""),"Awaiting Collection Email time stamp.",""),IF(OR($T829="PAID",$T829="CLOSED"),IF($T829="PAID","Account paid. Action completed.","Account closed. No further action required."),CHOOSE($W829,"Collection Email","1st Email Follow-up","2nd Email Follow-up","Escalation to Local Office","Escalation to CBE","Escalation to Roxanne")&amp;" sent "&amp;TEXT($X829,"dd-mmm")&amp;". "&amp;IF($W829=6,"Final escalation completed.",IF($T829="OVERDUE","Next: "&amp;$Z829&amp;" was due "&amp;TEXT($Y829,"dd-mmm")&amp;" - "&amp;(NETWORKDAYS($Y829,TODAY(),Holidays)-1)&amp;" business day(s) late. Send now.",IF($T829="DUE TOMORROW","Next: "&amp;$Z829&amp;IF($Y829&lt;=TODAY()," is due TODAY ("," is due next business day (")&amp;TEXT($Y829,"dd-mmm")&amp;").","Next: "&amp;$Z829&amp;" due "&amp;TEXT($Y829,"dd-mmm")&amp;" ("&amp;(NETWORKDAYS(TODAY(),$Y829,Holidays)-1)&amp;" business day(s) left).")))))</f>
        <v/>
      </c>
      <c r="V829" s="17">
        <f>IF($W829="","",CHOOSE($W829,"Collection Email","1st Follow-up","2nd Follow-up","Local Office","CBE","Roxanne")&amp;IF($W829=6," - Final"," - Day "&amp;MAX(0,NETWORKDAYS($X829,TODAY(),Holidays)-1)&amp;" of "&amp;CHOOSE($W829,3,3,2,2,3))&amp;" | Total Day "&amp;MAX(0,NETWORKDAYS($L829,TODAY(),Holidays)-1))</f>
        <v/>
      </c>
      <c r="W829" s="17">
        <f>IF($L829="","",COUNT($L829:$Q829))</f>
        <v/>
      </c>
      <c r="X829" s="18">
        <f>IF($W829="","",INT(INDEX($L829:$Q829,$W829)))</f>
        <v/>
      </c>
      <c r="Y829" s="18">
        <f>IF(OR($W829="",$W829=6),"",WORKDAY($X829,CHOOSE($W829,3,3,2,2,3),Holidays))</f>
        <v/>
      </c>
      <c r="Z829" s="17">
        <f>IF(OR($W829="",$W829=6),"",CHOOSE($W829,"1st Email Follow-up","2nd Email Follow-up","Escalate Local Office","Escalate to CBE","Escalate to Roxanne"))</f>
        <v/>
      </c>
    </row>
    <row r="830" spans="18:26">
      <c r="R830" s="15"/>
      <c r="S830" s="16"/>
      <c r="T830" s="17">
        <f>IF(AND(COUNTA($A830:$K830)=0,$L830=""),"",IF($S830="Paid","PAID",IF($S830="Closed","CLOSED",IF($W830="","",IF($W830=6,"ESCALATED TO ROXANNE",IF(TODAY()&gt;$Y830,"OVERDUE",IF($Y830&lt;=WORKDAY(TODAY(),1,Holidays),"DUE TOMORROW",IF($W830=4,"ESCALATED TO LOCAL OFFICE",IF($W830=5,"ESCALATED TO CBE",IF($X830=TODAY(),"EMAIL SENT","MONITORING"))))))))))</f>
        <v/>
      </c>
      <c r="U830" s="17">
        <f>IF($T830="",IF(AND(COUNTA($A830:$K830)&gt;0,$L830=""),"Awaiting Collection Email time stamp.",""),IF(OR($T830="PAID",$T830="CLOSED"),IF($T830="PAID","Account paid. Action completed.","Account closed. No further action required."),CHOOSE($W830,"Collection Email","1st Email Follow-up","2nd Email Follow-up","Escalation to Local Office","Escalation to CBE","Escalation to Roxanne")&amp;" sent "&amp;TEXT($X830,"dd-mmm")&amp;". "&amp;IF($W830=6,"Final escalation completed.",IF($T830="OVERDUE","Next: "&amp;$Z830&amp;" was due "&amp;TEXT($Y830,"dd-mmm")&amp;" - "&amp;(NETWORKDAYS($Y830,TODAY(),Holidays)-1)&amp;" business day(s) late. Send now.",IF($T830="DUE TOMORROW","Next: "&amp;$Z830&amp;IF($Y830&lt;=TODAY()," is due TODAY ("," is due next business day (")&amp;TEXT($Y830,"dd-mmm")&amp;").","Next: "&amp;$Z830&amp;" due "&amp;TEXT($Y830,"dd-mmm")&amp;" ("&amp;(NETWORKDAYS(TODAY(),$Y830,Holidays)-1)&amp;" business day(s) left).")))))</f>
        <v/>
      </c>
      <c r="V830" s="17">
        <f>IF($W830="","",CHOOSE($W830,"Collection Email","1st Follow-up","2nd Follow-up","Local Office","CBE","Roxanne")&amp;IF($W830=6," - Final"," - Day "&amp;MAX(0,NETWORKDAYS($X830,TODAY(),Holidays)-1)&amp;" of "&amp;CHOOSE($W830,3,3,2,2,3))&amp;" | Total Day "&amp;MAX(0,NETWORKDAYS($L830,TODAY(),Holidays)-1))</f>
        <v/>
      </c>
      <c r="W830" s="17">
        <f>IF($L830="","",COUNT($L830:$Q830))</f>
        <v/>
      </c>
      <c r="X830" s="18">
        <f>IF($W830="","",INT(INDEX($L830:$Q830,$W830)))</f>
        <v/>
      </c>
      <c r="Y830" s="18">
        <f>IF(OR($W830="",$W830=6),"",WORKDAY($X830,CHOOSE($W830,3,3,2,2,3),Holidays))</f>
        <v/>
      </c>
      <c r="Z830" s="17">
        <f>IF(OR($W830="",$W830=6),"",CHOOSE($W830,"1st Email Follow-up","2nd Email Follow-up","Escalate Local Office","Escalate to CBE","Escalate to Roxanne"))</f>
        <v/>
      </c>
    </row>
    <row r="831" spans="18:26">
      <c r="R831" s="15"/>
      <c r="S831" s="16"/>
      <c r="T831" s="17">
        <f>IF(AND(COUNTA($A831:$K831)=0,$L831=""),"",IF($S831="Paid","PAID",IF($S831="Closed","CLOSED",IF($W831="","",IF($W831=6,"ESCALATED TO ROXANNE",IF(TODAY()&gt;$Y831,"OVERDUE",IF($Y831&lt;=WORKDAY(TODAY(),1,Holidays),"DUE TOMORROW",IF($W831=4,"ESCALATED TO LOCAL OFFICE",IF($W831=5,"ESCALATED TO CBE",IF($X831=TODAY(),"EMAIL SENT","MONITORING"))))))))))</f>
        <v/>
      </c>
      <c r="U831" s="17">
        <f>IF($T831="",IF(AND(COUNTA($A831:$K831)&gt;0,$L831=""),"Awaiting Collection Email time stamp.",""),IF(OR($T831="PAID",$T831="CLOSED"),IF($T831="PAID","Account paid. Action completed.","Account closed. No further action required."),CHOOSE($W831,"Collection Email","1st Email Follow-up","2nd Email Follow-up","Escalation to Local Office","Escalation to CBE","Escalation to Roxanne")&amp;" sent "&amp;TEXT($X831,"dd-mmm")&amp;". "&amp;IF($W831=6,"Final escalation completed.",IF($T831="OVERDUE","Next: "&amp;$Z831&amp;" was due "&amp;TEXT($Y831,"dd-mmm")&amp;" - "&amp;(NETWORKDAYS($Y831,TODAY(),Holidays)-1)&amp;" business day(s) late. Send now.",IF($T831="DUE TOMORROW","Next: "&amp;$Z831&amp;IF($Y831&lt;=TODAY()," is due TODAY ("," is due next business day (")&amp;TEXT($Y831,"dd-mmm")&amp;").","Next: "&amp;$Z831&amp;" due "&amp;TEXT($Y831,"dd-mmm")&amp;" ("&amp;(NETWORKDAYS(TODAY(),$Y831,Holidays)-1)&amp;" business day(s) left).")))))</f>
        <v/>
      </c>
      <c r="V831" s="17">
        <f>IF($W831="","",CHOOSE($W831,"Collection Email","1st Follow-up","2nd Follow-up","Local Office","CBE","Roxanne")&amp;IF($W831=6," - Final"," - Day "&amp;MAX(0,NETWORKDAYS($X831,TODAY(),Holidays)-1)&amp;" of "&amp;CHOOSE($W831,3,3,2,2,3))&amp;" | Total Day "&amp;MAX(0,NETWORKDAYS($L831,TODAY(),Holidays)-1))</f>
        <v/>
      </c>
      <c r="W831" s="17">
        <f>IF($L831="","",COUNT($L831:$Q831))</f>
        <v/>
      </c>
      <c r="X831" s="18">
        <f>IF($W831="","",INT(INDEX($L831:$Q831,$W831)))</f>
        <v/>
      </c>
      <c r="Y831" s="18">
        <f>IF(OR($W831="",$W831=6),"",WORKDAY($X831,CHOOSE($W831,3,3,2,2,3),Holidays))</f>
        <v/>
      </c>
      <c r="Z831" s="17">
        <f>IF(OR($W831="",$W831=6),"",CHOOSE($W831,"1st Email Follow-up","2nd Email Follow-up","Escalate Local Office","Escalate to CBE","Escalate to Roxanne"))</f>
        <v/>
      </c>
    </row>
    <row r="832" spans="18:26">
      <c r="R832" s="15"/>
      <c r="S832" s="16"/>
      <c r="T832" s="17">
        <f>IF(AND(COUNTA($A832:$K832)=0,$L832=""),"",IF($S832="Paid","PAID",IF($S832="Closed","CLOSED",IF($W832="","",IF($W832=6,"ESCALATED TO ROXANNE",IF(TODAY()&gt;$Y832,"OVERDUE",IF($Y832&lt;=WORKDAY(TODAY(),1,Holidays),"DUE TOMORROW",IF($W832=4,"ESCALATED TO LOCAL OFFICE",IF($W832=5,"ESCALATED TO CBE",IF($X832=TODAY(),"EMAIL SENT","MONITORING"))))))))))</f>
        <v/>
      </c>
      <c r="U832" s="17">
        <f>IF($T832="",IF(AND(COUNTA($A832:$K832)&gt;0,$L832=""),"Awaiting Collection Email time stamp.",""),IF(OR($T832="PAID",$T832="CLOSED"),IF($T832="PAID","Account paid. Action completed.","Account closed. No further action required."),CHOOSE($W832,"Collection Email","1st Email Follow-up","2nd Email Follow-up","Escalation to Local Office","Escalation to CBE","Escalation to Roxanne")&amp;" sent "&amp;TEXT($X832,"dd-mmm")&amp;". "&amp;IF($W832=6,"Final escalation completed.",IF($T832="OVERDUE","Next: "&amp;$Z832&amp;" was due "&amp;TEXT($Y832,"dd-mmm")&amp;" - "&amp;(NETWORKDAYS($Y832,TODAY(),Holidays)-1)&amp;" business day(s) late. Send now.",IF($T832="DUE TOMORROW","Next: "&amp;$Z832&amp;IF($Y832&lt;=TODAY()," is due TODAY ("," is due next business day (")&amp;TEXT($Y832,"dd-mmm")&amp;").","Next: "&amp;$Z832&amp;" due "&amp;TEXT($Y832,"dd-mmm")&amp;" ("&amp;(NETWORKDAYS(TODAY(),$Y832,Holidays)-1)&amp;" business day(s) left).")))))</f>
        <v/>
      </c>
      <c r="V832" s="17">
        <f>IF($W832="","",CHOOSE($W832,"Collection Email","1st Follow-up","2nd Follow-up","Local Office","CBE","Roxanne")&amp;IF($W832=6," - Final"," - Day "&amp;MAX(0,NETWORKDAYS($X832,TODAY(),Holidays)-1)&amp;" of "&amp;CHOOSE($W832,3,3,2,2,3))&amp;" | Total Day "&amp;MAX(0,NETWORKDAYS($L832,TODAY(),Holidays)-1))</f>
        <v/>
      </c>
      <c r="W832" s="17">
        <f>IF($L832="","",COUNT($L832:$Q832))</f>
        <v/>
      </c>
      <c r="X832" s="18">
        <f>IF($W832="","",INT(INDEX($L832:$Q832,$W832)))</f>
        <v/>
      </c>
      <c r="Y832" s="18">
        <f>IF(OR($W832="",$W832=6),"",WORKDAY($X832,CHOOSE($W832,3,3,2,2,3),Holidays))</f>
        <v/>
      </c>
      <c r="Z832" s="17">
        <f>IF(OR($W832="",$W832=6),"",CHOOSE($W832,"1st Email Follow-up","2nd Email Follow-up","Escalate Local Office","Escalate to CBE","Escalate to Roxanne"))</f>
        <v/>
      </c>
    </row>
    <row r="833" spans="18:26">
      <c r="R833" s="15"/>
      <c r="S833" s="16"/>
      <c r="T833" s="17">
        <f>IF(AND(COUNTA($A833:$K833)=0,$L833=""),"",IF($S833="Paid","PAID",IF($S833="Closed","CLOSED",IF($W833="","",IF($W833=6,"ESCALATED TO ROXANNE",IF(TODAY()&gt;$Y833,"OVERDUE",IF($Y833&lt;=WORKDAY(TODAY(),1,Holidays),"DUE TOMORROW",IF($W833=4,"ESCALATED TO LOCAL OFFICE",IF($W833=5,"ESCALATED TO CBE",IF($X833=TODAY(),"EMAIL SENT","MONITORING"))))))))))</f>
        <v/>
      </c>
      <c r="U833" s="17">
        <f>IF($T833="",IF(AND(COUNTA($A833:$K833)&gt;0,$L833=""),"Awaiting Collection Email time stamp.",""),IF(OR($T833="PAID",$T833="CLOSED"),IF($T833="PAID","Account paid. Action completed.","Account closed. No further action required."),CHOOSE($W833,"Collection Email","1st Email Follow-up","2nd Email Follow-up","Escalation to Local Office","Escalation to CBE","Escalation to Roxanne")&amp;" sent "&amp;TEXT($X833,"dd-mmm")&amp;". "&amp;IF($W833=6,"Final escalation completed.",IF($T833="OVERDUE","Next: "&amp;$Z833&amp;" was due "&amp;TEXT($Y833,"dd-mmm")&amp;" - "&amp;(NETWORKDAYS($Y833,TODAY(),Holidays)-1)&amp;" business day(s) late. Send now.",IF($T833="DUE TOMORROW","Next: "&amp;$Z833&amp;IF($Y833&lt;=TODAY()," is due TODAY ("," is due next business day (")&amp;TEXT($Y833,"dd-mmm")&amp;").","Next: "&amp;$Z833&amp;" due "&amp;TEXT($Y833,"dd-mmm")&amp;" ("&amp;(NETWORKDAYS(TODAY(),$Y833,Holidays)-1)&amp;" business day(s) left).")))))</f>
        <v/>
      </c>
      <c r="V833" s="17">
        <f>IF($W833="","",CHOOSE($W833,"Collection Email","1st Follow-up","2nd Follow-up","Local Office","CBE","Roxanne")&amp;IF($W833=6," - Final"," - Day "&amp;MAX(0,NETWORKDAYS($X833,TODAY(),Holidays)-1)&amp;" of "&amp;CHOOSE($W833,3,3,2,2,3))&amp;" | Total Day "&amp;MAX(0,NETWORKDAYS($L833,TODAY(),Holidays)-1))</f>
        <v/>
      </c>
      <c r="W833" s="17">
        <f>IF($L833="","",COUNT($L833:$Q833))</f>
        <v/>
      </c>
      <c r="X833" s="18">
        <f>IF($W833="","",INT(INDEX($L833:$Q833,$W833)))</f>
        <v/>
      </c>
      <c r="Y833" s="18">
        <f>IF(OR($W833="",$W833=6),"",WORKDAY($X833,CHOOSE($W833,3,3,2,2,3),Holidays))</f>
        <v/>
      </c>
      <c r="Z833" s="17">
        <f>IF(OR($W833="",$W833=6),"",CHOOSE($W833,"1st Email Follow-up","2nd Email Follow-up","Escalate Local Office","Escalate to CBE","Escalate to Roxanne"))</f>
        <v/>
      </c>
    </row>
    <row r="834" spans="18:26">
      <c r="R834" s="15"/>
      <c r="S834" s="16"/>
      <c r="T834" s="17">
        <f>IF(AND(COUNTA($A834:$K834)=0,$L834=""),"",IF($S834="Paid","PAID",IF($S834="Closed","CLOSED",IF($W834="","",IF($W834=6,"ESCALATED TO ROXANNE",IF(TODAY()&gt;$Y834,"OVERDUE",IF($Y834&lt;=WORKDAY(TODAY(),1,Holidays),"DUE TOMORROW",IF($W834=4,"ESCALATED TO LOCAL OFFICE",IF($W834=5,"ESCALATED TO CBE",IF($X834=TODAY(),"EMAIL SENT","MONITORING"))))))))))</f>
        <v/>
      </c>
      <c r="U834" s="17">
        <f>IF($T834="",IF(AND(COUNTA($A834:$K834)&gt;0,$L834=""),"Awaiting Collection Email time stamp.",""),IF(OR($T834="PAID",$T834="CLOSED"),IF($T834="PAID","Account paid. Action completed.","Account closed. No further action required."),CHOOSE($W834,"Collection Email","1st Email Follow-up","2nd Email Follow-up","Escalation to Local Office","Escalation to CBE","Escalation to Roxanne")&amp;" sent "&amp;TEXT($X834,"dd-mmm")&amp;". "&amp;IF($W834=6,"Final escalation completed.",IF($T834="OVERDUE","Next: "&amp;$Z834&amp;" was due "&amp;TEXT($Y834,"dd-mmm")&amp;" - "&amp;(NETWORKDAYS($Y834,TODAY(),Holidays)-1)&amp;" business day(s) late. Send now.",IF($T834="DUE TOMORROW","Next: "&amp;$Z834&amp;IF($Y834&lt;=TODAY()," is due TODAY ("," is due next business day (")&amp;TEXT($Y834,"dd-mmm")&amp;").","Next: "&amp;$Z834&amp;" due "&amp;TEXT($Y834,"dd-mmm")&amp;" ("&amp;(NETWORKDAYS(TODAY(),$Y834,Holidays)-1)&amp;" business day(s) left).")))))</f>
        <v/>
      </c>
      <c r="V834" s="17">
        <f>IF($W834="","",CHOOSE($W834,"Collection Email","1st Follow-up","2nd Follow-up","Local Office","CBE","Roxanne")&amp;IF($W834=6," - Final"," - Day "&amp;MAX(0,NETWORKDAYS($X834,TODAY(),Holidays)-1)&amp;" of "&amp;CHOOSE($W834,3,3,2,2,3))&amp;" | Total Day "&amp;MAX(0,NETWORKDAYS($L834,TODAY(),Holidays)-1))</f>
        <v/>
      </c>
      <c r="W834" s="17">
        <f>IF($L834="","",COUNT($L834:$Q834))</f>
        <v/>
      </c>
      <c r="X834" s="18">
        <f>IF($W834="","",INT(INDEX($L834:$Q834,$W834)))</f>
        <v/>
      </c>
      <c r="Y834" s="18">
        <f>IF(OR($W834="",$W834=6),"",WORKDAY($X834,CHOOSE($W834,3,3,2,2,3),Holidays))</f>
        <v/>
      </c>
      <c r="Z834" s="17">
        <f>IF(OR($W834="",$W834=6),"",CHOOSE($W834,"1st Email Follow-up","2nd Email Follow-up","Escalate Local Office","Escalate to CBE","Escalate to Roxanne"))</f>
        <v/>
      </c>
    </row>
    <row r="835" spans="18:26">
      <c r="R835" s="15"/>
      <c r="S835" s="16"/>
      <c r="T835" s="17">
        <f>IF(AND(COUNTA($A835:$K835)=0,$L835=""),"",IF($S835="Paid","PAID",IF($S835="Closed","CLOSED",IF($W835="","",IF($W835=6,"ESCALATED TO ROXANNE",IF(TODAY()&gt;$Y835,"OVERDUE",IF($Y835&lt;=WORKDAY(TODAY(),1,Holidays),"DUE TOMORROW",IF($W835=4,"ESCALATED TO LOCAL OFFICE",IF($W835=5,"ESCALATED TO CBE",IF($X835=TODAY(),"EMAIL SENT","MONITORING"))))))))))</f>
        <v/>
      </c>
      <c r="U835" s="17">
        <f>IF($T835="",IF(AND(COUNTA($A835:$K835)&gt;0,$L835=""),"Awaiting Collection Email time stamp.",""),IF(OR($T835="PAID",$T835="CLOSED"),IF($T835="PAID","Account paid. Action completed.","Account closed. No further action required."),CHOOSE($W835,"Collection Email","1st Email Follow-up","2nd Email Follow-up","Escalation to Local Office","Escalation to CBE","Escalation to Roxanne")&amp;" sent "&amp;TEXT($X835,"dd-mmm")&amp;". "&amp;IF($W835=6,"Final escalation completed.",IF($T835="OVERDUE","Next: "&amp;$Z835&amp;" was due "&amp;TEXT($Y835,"dd-mmm")&amp;" - "&amp;(NETWORKDAYS($Y835,TODAY(),Holidays)-1)&amp;" business day(s) late. Send now.",IF($T835="DUE TOMORROW","Next: "&amp;$Z835&amp;IF($Y835&lt;=TODAY()," is due TODAY ("," is due next business day (")&amp;TEXT($Y835,"dd-mmm")&amp;").","Next: "&amp;$Z835&amp;" due "&amp;TEXT($Y835,"dd-mmm")&amp;" ("&amp;(NETWORKDAYS(TODAY(),$Y835,Holidays)-1)&amp;" business day(s) left).")))))</f>
        <v/>
      </c>
      <c r="V835" s="17">
        <f>IF($W835="","",CHOOSE($W835,"Collection Email","1st Follow-up","2nd Follow-up","Local Office","CBE","Roxanne")&amp;IF($W835=6," - Final"," - Day "&amp;MAX(0,NETWORKDAYS($X835,TODAY(),Holidays)-1)&amp;" of "&amp;CHOOSE($W835,3,3,2,2,3))&amp;" | Total Day "&amp;MAX(0,NETWORKDAYS($L835,TODAY(),Holidays)-1))</f>
        <v/>
      </c>
      <c r="W835" s="17">
        <f>IF($L835="","",COUNT($L835:$Q835))</f>
        <v/>
      </c>
      <c r="X835" s="18">
        <f>IF($W835="","",INT(INDEX($L835:$Q835,$W835)))</f>
        <v/>
      </c>
      <c r="Y835" s="18">
        <f>IF(OR($W835="",$W835=6),"",WORKDAY($X835,CHOOSE($W835,3,3,2,2,3),Holidays))</f>
        <v/>
      </c>
      <c r="Z835" s="17">
        <f>IF(OR($W835="",$W835=6),"",CHOOSE($W835,"1st Email Follow-up","2nd Email Follow-up","Escalate Local Office","Escalate to CBE","Escalate to Roxanne"))</f>
        <v/>
      </c>
    </row>
    <row r="836" spans="18:26">
      <c r="R836" s="15"/>
      <c r="S836" s="16"/>
      <c r="T836" s="17">
        <f>IF(AND(COUNTA($A836:$K836)=0,$L836=""),"",IF($S836="Paid","PAID",IF($S836="Closed","CLOSED",IF($W836="","",IF($W836=6,"ESCALATED TO ROXANNE",IF(TODAY()&gt;$Y836,"OVERDUE",IF($Y836&lt;=WORKDAY(TODAY(),1,Holidays),"DUE TOMORROW",IF($W836=4,"ESCALATED TO LOCAL OFFICE",IF($W836=5,"ESCALATED TO CBE",IF($X836=TODAY(),"EMAIL SENT","MONITORING"))))))))))</f>
        <v/>
      </c>
      <c r="U836" s="17">
        <f>IF($T836="",IF(AND(COUNTA($A836:$K836)&gt;0,$L836=""),"Awaiting Collection Email time stamp.",""),IF(OR($T836="PAID",$T836="CLOSED"),IF($T836="PAID","Account paid. Action completed.","Account closed. No further action required."),CHOOSE($W836,"Collection Email","1st Email Follow-up","2nd Email Follow-up","Escalation to Local Office","Escalation to CBE","Escalation to Roxanne")&amp;" sent "&amp;TEXT($X836,"dd-mmm")&amp;". "&amp;IF($W836=6,"Final escalation completed.",IF($T836="OVERDUE","Next: "&amp;$Z836&amp;" was due "&amp;TEXT($Y836,"dd-mmm")&amp;" - "&amp;(NETWORKDAYS($Y836,TODAY(),Holidays)-1)&amp;" business day(s) late. Send now.",IF($T836="DUE TOMORROW","Next: "&amp;$Z836&amp;IF($Y836&lt;=TODAY()," is due TODAY ("," is due next business day (")&amp;TEXT($Y836,"dd-mmm")&amp;").","Next: "&amp;$Z836&amp;" due "&amp;TEXT($Y836,"dd-mmm")&amp;" ("&amp;(NETWORKDAYS(TODAY(),$Y836,Holidays)-1)&amp;" business day(s) left).")))))</f>
        <v/>
      </c>
      <c r="V836" s="17">
        <f>IF($W836="","",CHOOSE($W836,"Collection Email","1st Follow-up","2nd Follow-up","Local Office","CBE","Roxanne")&amp;IF($W836=6," - Final"," - Day "&amp;MAX(0,NETWORKDAYS($X836,TODAY(),Holidays)-1)&amp;" of "&amp;CHOOSE($W836,3,3,2,2,3))&amp;" | Total Day "&amp;MAX(0,NETWORKDAYS($L836,TODAY(),Holidays)-1))</f>
        <v/>
      </c>
      <c r="W836" s="17">
        <f>IF($L836="","",COUNT($L836:$Q836))</f>
        <v/>
      </c>
      <c r="X836" s="18">
        <f>IF($W836="","",INT(INDEX($L836:$Q836,$W836)))</f>
        <v/>
      </c>
      <c r="Y836" s="18">
        <f>IF(OR($W836="",$W836=6),"",WORKDAY($X836,CHOOSE($W836,3,3,2,2,3),Holidays))</f>
        <v/>
      </c>
      <c r="Z836" s="17">
        <f>IF(OR($W836="",$W836=6),"",CHOOSE($W836,"1st Email Follow-up","2nd Email Follow-up","Escalate Local Office","Escalate to CBE","Escalate to Roxanne"))</f>
        <v/>
      </c>
    </row>
    <row r="837" spans="18:26">
      <c r="R837" s="15"/>
      <c r="S837" s="16"/>
      <c r="T837" s="17">
        <f>IF(AND(COUNTA($A837:$K837)=0,$L837=""),"",IF($S837="Paid","PAID",IF($S837="Closed","CLOSED",IF($W837="","",IF($W837=6,"ESCALATED TO ROXANNE",IF(TODAY()&gt;$Y837,"OVERDUE",IF($Y837&lt;=WORKDAY(TODAY(),1,Holidays),"DUE TOMORROW",IF($W837=4,"ESCALATED TO LOCAL OFFICE",IF($W837=5,"ESCALATED TO CBE",IF($X837=TODAY(),"EMAIL SENT","MONITORING"))))))))))</f>
        <v/>
      </c>
      <c r="U837" s="17">
        <f>IF($T837="",IF(AND(COUNTA($A837:$K837)&gt;0,$L837=""),"Awaiting Collection Email time stamp.",""),IF(OR($T837="PAID",$T837="CLOSED"),IF($T837="PAID","Account paid. Action completed.","Account closed. No further action required."),CHOOSE($W837,"Collection Email","1st Email Follow-up","2nd Email Follow-up","Escalation to Local Office","Escalation to CBE","Escalation to Roxanne")&amp;" sent "&amp;TEXT($X837,"dd-mmm")&amp;". "&amp;IF($W837=6,"Final escalation completed.",IF($T837="OVERDUE","Next: "&amp;$Z837&amp;" was due "&amp;TEXT($Y837,"dd-mmm")&amp;" - "&amp;(NETWORKDAYS($Y837,TODAY(),Holidays)-1)&amp;" business day(s) late. Send now.",IF($T837="DUE TOMORROW","Next: "&amp;$Z837&amp;IF($Y837&lt;=TODAY()," is due TODAY ("," is due next business day (")&amp;TEXT($Y837,"dd-mmm")&amp;").","Next: "&amp;$Z837&amp;" due "&amp;TEXT($Y837,"dd-mmm")&amp;" ("&amp;(NETWORKDAYS(TODAY(),$Y837,Holidays)-1)&amp;" business day(s) left).")))))</f>
        <v/>
      </c>
      <c r="V837" s="17">
        <f>IF($W837="","",CHOOSE($W837,"Collection Email","1st Follow-up","2nd Follow-up","Local Office","CBE","Roxanne")&amp;IF($W837=6," - Final"," - Day "&amp;MAX(0,NETWORKDAYS($X837,TODAY(),Holidays)-1)&amp;" of "&amp;CHOOSE($W837,3,3,2,2,3))&amp;" | Total Day "&amp;MAX(0,NETWORKDAYS($L837,TODAY(),Holidays)-1))</f>
        <v/>
      </c>
      <c r="W837" s="17">
        <f>IF($L837="","",COUNT($L837:$Q837))</f>
        <v/>
      </c>
      <c r="X837" s="18">
        <f>IF($W837="","",INT(INDEX($L837:$Q837,$W837)))</f>
        <v/>
      </c>
      <c r="Y837" s="18">
        <f>IF(OR($W837="",$W837=6),"",WORKDAY($X837,CHOOSE($W837,3,3,2,2,3),Holidays))</f>
        <v/>
      </c>
      <c r="Z837" s="17">
        <f>IF(OR($W837="",$W837=6),"",CHOOSE($W837,"1st Email Follow-up","2nd Email Follow-up","Escalate Local Office","Escalate to CBE","Escalate to Roxanne"))</f>
        <v/>
      </c>
    </row>
    <row r="838" spans="18:26">
      <c r="R838" s="15"/>
      <c r="S838" s="16"/>
      <c r="T838" s="17">
        <f>IF(AND(COUNTA($A838:$K838)=0,$L838=""),"",IF($S838="Paid","PAID",IF($S838="Closed","CLOSED",IF($W838="","",IF($W838=6,"ESCALATED TO ROXANNE",IF(TODAY()&gt;$Y838,"OVERDUE",IF($Y838&lt;=WORKDAY(TODAY(),1,Holidays),"DUE TOMORROW",IF($W838=4,"ESCALATED TO LOCAL OFFICE",IF($W838=5,"ESCALATED TO CBE",IF($X838=TODAY(),"EMAIL SENT","MONITORING"))))))))))</f>
        <v/>
      </c>
      <c r="U838" s="17">
        <f>IF($T838="",IF(AND(COUNTA($A838:$K838)&gt;0,$L838=""),"Awaiting Collection Email time stamp.",""),IF(OR($T838="PAID",$T838="CLOSED"),IF($T838="PAID","Account paid. Action completed.","Account closed. No further action required."),CHOOSE($W838,"Collection Email","1st Email Follow-up","2nd Email Follow-up","Escalation to Local Office","Escalation to CBE","Escalation to Roxanne")&amp;" sent "&amp;TEXT($X838,"dd-mmm")&amp;". "&amp;IF($W838=6,"Final escalation completed.",IF($T838="OVERDUE","Next: "&amp;$Z838&amp;" was due "&amp;TEXT($Y838,"dd-mmm")&amp;" - "&amp;(NETWORKDAYS($Y838,TODAY(),Holidays)-1)&amp;" business day(s) late. Send now.",IF($T838="DUE TOMORROW","Next: "&amp;$Z838&amp;IF($Y838&lt;=TODAY()," is due TODAY ("," is due next business day (")&amp;TEXT($Y838,"dd-mmm")&amp;").","Next: "&amp;$Z838&amp;" due "&amp;TEXT($Y838,"dd-mmm")&amp;" ("&amp;(NETWORKDAYS(TODAY(),$Y838,Holidays)-1)&amp;" business day(s) left).")))))</f>
        <v/>
      </c>
      <c r="V838" s="17">
        <f>IF($W838="","",CHOOSE($W838,"Collection Email","1st Follow-up","2nd Follow-up","Local Office","CBE","Roxanne")&amp;IF($W838=6," - Final"," - Day "&amp;MAX(0,NETWORKDAYS($X838,TODAY(),Holidays)-1)&amp;" of "&amp;CHOOSE($W838,3,3,2,2,3))&amp;" | Total Day "&amp;MAX(0,NETWORKDAYS($L838,TODAY(),Holidays)-1))</f>
        <v/>
      </c>
      <c r="W838" s="17">
        <f>IF($L838="","",COUNT($L838:$Q838))</f>
        <v/>
      </c>
      <c r="X838" s="18">
        <f>IF($W838="","",INT(INDEX($L838:$Q838,$W838)))</f>
        <v/>
      </c>
      <c r="Y838" s="18">
        <f>IF(OR($W838="",$W838=6),"",WORKDAY($X838,CHOOSE($W838,3,3,2,2,3),Holidays))</f>
        <v/>
      </c>
      <c r="Z838" s="17">
        <f>IF(OR($W838="",$W838=6),"",CHOOSE($W838,"1st Email Follow-up","2nd Email Follow-up","Escalate Local Office","Escalate to CBE","Escalate to Roxanne"))</f>
        <v/>
      </c>
    </row>
    <row r="839" spans="18:26">
      <c r="R839" s="15"/>
      <c r="S839" s="16"/>
      <c r="T839" s="17">
        <f>IF(AND(COUNTA($A839:$K839)=0,$L839=""),"",IF($S839="Paid","PAID",IF($S839="Closed","CLOSED",IF($W839="","",IF($W839=6,"ESCALATED TO ROXANNE",IF(TODAY()&gt;$Y839,"OVERDUE",IF($Y839&lt;=WORKDAY(TODAY(),1,Holidays),"DUE TOMORROW",IF($W839=4,"ESCALATED TO LOCAL OFFICE",IF($W839=5,"ESCALATED TO CBE",IF($X839=TODAY(),"EMAIL SENT","MONITORING"))))))))))</f>
        <v/>
      </c>
      <c r="U839" s="17">
        <f>IF($T839="",IF(AND(COUNTA($A839:$K839)&gt;0,$L839=""),"Awaiting Collection Email time stamp.",""),IF(OR($T839="PAID",$T839="CLOSED"),IF($T839="PAID","Account paid. Action completed.","Account closed. No further action required."),CHOOSE($W839,"Collection Email","1st Email Follow-up","2nd Email Follow-up","Escalation to Local Office","Escalation to CBE","Escalation to Roxanne")&amp;" sent "&amp;TEXT($X839,"dd-mmm")&amp;". "&amp;IF($W839=6,"Final escalation completed.",IF($T839="OVERDUE","Next: "&amp;$Z839&amp;" was due "&amp;TEXT($Y839,"dd-mmm")&amp;" - "&amp;(NETWORKDAYS($Y839,TODAY(),Holidays)-1)&amp;" business day(s) late. Send now.",IF($T839="DUE TOMORROW","Next: "&amp;$Z839&amp;IF($Y839&lt;=TODAY()," is due TODAY ("," is due next business day (")&amp;TEXT($Y839,"dd-mmm")&amp;").","Next: "&amp;$Z839&amp;" due "&amp;TEXT($Y839,"dd-mmm")&amp;" ("&amp;(NETWORKDAYS(TODAY(),$Y839,Holidays)-1)&amp;" business day(s) left).")))))</f>
        <v/>
      </c>
      <c r="V839" s="17">
        <f>IF($W839="","",CHOOSE($W839,"Collection Email","1st Follow-up","2nd Follow-up","Local Office","CBE","Roxanne")&amp;IF($W839=6," - Final"," - Day "&amp;MAX(0,NETWORKDAYS($X839,TODAY(),Holidays)-1)&amp;" of "&amp;CHOOSE($W839,3,3,2,2,3))&amp;" | Total Day "&amp;MAX(0,NETWORKDAYS($L839,TODAY(),Holidays)-1))</f>
        <v/>
      </c>
      <c r="W839" s="17">
        <f>IF($L839="","",COUNT($L839:$Q839))</f>
        <v/>
      </c>
      <c r="X839" s="18">
        <f>IF($W839="","",INT(INDEX($L839:$Q839,$W839)))</f>
        <v/>
      </c>
      <c r="Y839" s="18">
        <f>IF(OR($W839="",$W839=6),"",WORKDAY($X839,CHOOSE($W839,3,3,2,2,3),Holidays))</f>
        <v/>
      </c>
      <c r="Z839" s="17">
        <f>IF(OR($W839="",$W839=6),"",CHOOSE($W839,"1st Email Follow-up","2nd Email Follow-up","Escalate Local Office","Escalate to CBE","Escalate to Roxanne"))</f>
        <v/>
      </c>
    </row>
    <row r="840" spans="18:26">
      <c r="R840" s="15"/>
      <c r="S840" s="16"/>
      <c r="T840" s="17">
        <f>IF(AND(COUNTA($A840:$K840)=0,$L840=""),"",IF($S840="Paid","PAID",IF($S840="Closed","CLOSED",IF($W840="","",IF($W840=6,"ESCALATED TO ROXANNE",IF(TODAY()&gt;$Y840,"OVERDUE",IF($Y840&lt;=WORKDAY(TODAY(),1,Holidays),"DUE TOMORROW",IF($W840=4,"ESCALATED TO LOCAL OFFICE",IF($W840=5,"ESCALATED TO CBE",IF($X840=TODAY(),"EMAIL SENT","MONITORING"))))))))))</f>
        <v/>
      </c>
      <c r="U840" s="17">
        <f>IF($T840="",IF(AND(COUNTA($A840:$K840)&gt;0,$L840=""),"Awaiting Collection Email time stamp.",""),IF(OR($T840="PAID",$T840="CLOSED"),IF($T840="PAID","Account paid. Action completed.","Account closed. No further action required."),CHOOSE($W840,"Collection Email","1st Email Follow-up","2nd Email Follow-up","Escalation to Local Office","Escalation to CBE","Escalation to Roxanne")&amp;" sent "&amp;TEXT($X840,"dd-mmm")&amp;". "&amp;IF($W840=6,"Final escalation completed.",IF($T840="OVERDUE","Next: "&amp;$Z840&amp;" was due "&amp;TEXT($Y840,"dd-mmm")&amp;" - "&amp;(NETWORKDAYS($Y840,TODAY(),Holidays)-1)&amp;" business day(s) late. Send now.",IF($T840="DUE TOMORROW","Next: "&amp;$Z840&amp;IF($Y840&lt;=TODAY()," is due TODAY ("," is due next business day (")&amp;TEXT($Y840,"dd-mmm")&amp;").","Next: "&amp;$Z840&amp;" due "&amp;TEXT($Y840,"dd-mmm")&amp;" ("&amp;(NETWORKDAYS(TODAY(),$Y840,Holidays)-1)&amp;" business day(s) left).")))))</f>
        <v/>
      </c>
      <c r="V840" s="17">
        <f>IF($W840="","",CHOOSE($W840,"Collection Email","1st Follow-up","2nd Follow-up","Local Office","CBE","Roxanne")&amp;IF($W840=6," - Final"," - Day "&amp;MAX(0,NETWORKDAYS($X840,TODAY(),Holidays)-1)&amp;" of "&amp;CHOOSE($W840,3,3,2,2,3))&amp;" | Total Day "&amp;MAX(0,NETWORKDAYS($L840,TODAY(),Holidays)-1))</f>
        <v/>
      </c>
      <c r="W840" s="17">
        <f>IF($L840="","",COUNT($L840:$Q840))</f>
        <v/>
      </c>
      <c r="X840" s="18">
        <f>IF($W840="","",INT(INDEX($L840:$Q840,$W840)))</f>
        <v/>
      </c>
      <c r="Y840" s="18">
        <f>IF(OR($W840="",$W840=6),"",WORKDAY($X840,CHOOSE($W840,3,3,2,2,3),Holidays))</f>
        <v/>
      </c>
      <c r="Z840" s="17">
        <f>IF(OR($W840="",$W840=6),"",CHOOSE($W840,"1st Email Follow-up","2nd Email Follow-up","Escalate Local Office","Escalate to CBE","Escalate to Roxanne"))</f>
        <v/>
      </c>
    </row>
    <row r="841" spans="18:26">
      <c r="R841" s="15"/>
      <c r="S841" s="16"/>
      <c r="T841" s="17">
        <f>IF(AND(COUNTA($A841:$K841)=0,$L841=""),"",IF($S841="Paid","PAID",IF($S841="Closed","CLOSED",IF($W841="","",IF($W841=6,"ESCALATED TO ROXANNE",IF(TODAY()&gt;$Y841,"OVERDUE",IF($Y841&lt;=WORKDAY(TODAY(),1,Holidays),"DUE TOMORROW",IF($W841=4,"ESCALATED TO LOCAL OFFICE",IF($W841=5,"ESCALATED TO CBE",IF($X841=TODAY(),"EMAIL SENT","MONITORING"))))))))))</f>
        <v/>
      </c>
      <c r="U841" s="17">
        <f>IF($T841="",IF(AND(COUNTA($A841:$K841)&gt;0,$L841=""),"Awaiting Collection Email time stamp.",""),IF(OR($T841="PAID",$T841="CLOSED"),IF($T841="PAID","Account paid. Action completed.","Account closed. No further action required."),CHOOSE($W841,"Collection Email","1st Email Follow-up","2nd Email Follow-up","Escalation to Local Office","Escalation to CBE","Escalation to Roxanne")&amp;" sent "&amp;TEXT($X841,"dd-mmm")&amp;". "&amp;IF($W841=6,"Final escalation completed.",IF($T841="OVERDUE","Next: "&amp;$Z841&amp;" was due "&amp;TEXT($Y841,"dd-mmm")&amp;" - "&amp;(NETWORKDAYS($Y841,TODAY(),Holidays)-1)&amp;" business day(s) late. Send now.",IF($T841="DUE TOMORROW","Next: "&amp;$Z841&amp;IF($Y841&lt;=TODAY()," is due TODAY ("," is due next business day (")&amp;TEXT($Y841,"dd-mmm")&amp;").","Next: "&amp;$Z841&amp;" due "&amp;TEXT($Y841,"dd-mmm")&amp;" ("&amp;(NETWORKDAYS(TODAY(),$Y841,Holidays)-1)&amp;" business day(s) left).")))))</f>
        <v/>
      </c>
      <c r="V841" s="17">
        <f>IF($W841="","",CHOOSE($W841,"Collection Email","1st Follow-up","2nd Follow-up","Local Office","CBE","Roxanne")&amp;IF($W841=6," - Final"," - Day "&amp;MAX(0,NETWORKDAYS($X841,TODAY(),Holidays)-1)&amp;" of "&amp;CHOOSE($W841,3,3,2,2,3))&amp;" | Total Day "&amp;MAX(0,NETWORKDAYS($L841,TODAY(),Holidays)-1))</f>
        <v/>
      </c>
      <c r="W841" s="17">
        <f>IF($L841="","",COUNT($L841:$Q841))</f>
        <v/>
      </c>
      <c r="X841" s="18">
        <f>IF($W841="","",INT(INDEX($L841:$Q841,$W841)))</f>
        <v/>
      </c>
      <c r="Y841" s="18">
        <f>IF(OR($W841="",$W841=6),"",WORKDAY($X841,CHOOSE($W841,3,3,2,2,3),Holidays))</f>
        <v/>
      </c>
      <c r="Z841" s="17">
        <f>IF(OR($W841="",$W841=6),"",CHOOSE($W841,"1st Email Follow-up","2nd Email Follow-up","Escalate Local Office","Escalate to CBE","Escalate to Roxanne"))</f>
        <v/>
      </c>
    </row>
    <row r="842" spans="18:26">
      <c r="R842" s="15"/>
      <c r="S842" s="16"/>
      <c r="T842" s="17">
        <f>IF(AND(COUNTA($A842:$K842)=0,$L842=""),"",IF($S842="Paid","PAID",IF($S842="Closed","CLOSED",IF($W842="","",IF($W842=6,"ESCALATED TO ROXANNE",IF(TODAY()&gt;$Y842,"OVERDUE",IF($Y842&lt;=WORKDAY(TODAY(),1,Holidays),"DUE TOMORROW",IF($W842=4,"ESCALATED TO LOCAL OFFICE",IF($W842=5,"ESCALATED TO CBE",IF($X842=TODAY(),"EMAIL SENT","MONITORING"))))))))))</f>
        <v/>
      </c>
      <c r="U842" s="17">
        <f>IF($T842="",IF(AND(COUNTA($A842:$K842)&gt;0,$L842=""),"Awaiting Collection Email time stamp.",""),IF(OR($T842="PAID",$T842="CLOSED"),IF($T842="PAID","Account paid. Action completed.","Account closed. No further action required."),CHOOSE($W842,"Collection Email","1st Email Follow-up","2nd Email Follow-up","Escalation to Local Office","Escalation to CBE","Escalation to Roxanne")&amp;" sent "&amp;TEXT($X842,"dd-mmm")&amp;". "&amp;IF($W842=6,"Final escalation completed.",IF($T842="OVERDUE","Next: "&amp;$Z842&amp;" was due "&amp;TEXT($Y842,"dd-mmm")&amp;" - "&amp;(NETWORKDAYS($Y842,TODAY(),Holidays)-1)&amp;" business day(s) late. Send now.",IF($T842="DUE TOMORROW","Next: "&amp;$Z842&amp;IF($Y842&lt;=TODAY()," is due TODAY ("," is due next business day (")&amp;TEXT($Y842,"dd-mmm")&amp;").","Next: "&amp;$Z842&amp;" due "&amp;TEXT($Y842,"dd-mmm")&amp;" ("&amp;(NETWORKDAYS(TODAY(),$Y842,Holidays)-1)&amp;" business day(s) left).")))))</f>
        <v/>
      </c>
      <c r="V842" s="17">
        <f>IF($W842="","",CHOOSE($W842,"Collection Email","1st Follow-up","2nd Follow-up","Local Office","CBE","Roxanne")&amp;IF($W842=6," - Final"," - Day "&amp;MAX(0,NETWORKDAYS($X842,TODAY(),Holidays)-1)&amp;" of "&amp;CHOOSE($W842,3,3,2,2,3))&amp;" | Total Day "&amp;MAX(0,NETWORKDAYS($L842,TODAY(),Holidays)-1))</f>
        <v/>
      </c>
      <c r="W842" s="17">
        <f>IF($L842="","",COUNT($L842:$Q842))</f>
        <v/>
      </c>
      <c r="X842" s="18">
        <f>IF($W842="","",INT(INDEX($L842:$Q842,$W842)))</f>
        <v/>
      </c>
      <c r="Y842" s="18">
        <f>IF(OR($W842="",$W842=6),"",WORKDAY($X842,CHOOSE($W842,3,3,2,2,3),Holidays))</f>
        <v/>
      </c>
      <c r="Z842" s="17">
        <f>IF(OR($W842="",$W842=6),"",CHOOSE($W842,"1st Email Follow-up","2nd Email Follow-up","Escalate Local Office","Escalate to CBE","Escalate to Roxanne"))</f>
        <v/>
      </c>
    </row>
    <row r="843" spans="18:26">
      <c r="R843" s="15"/>
      <c r="S843" s="16"/>
      <c r="T843" s="17">
        <f>IF(AND(COUNTA($A843:$K843)=0,$L843=""),"",IF($S843="Paid","PAID",IF($S843="Closed","CLOSED",IF($W843="","",IF($W843=6,"ESCALATED TO ROXANNE",IF(TODAY()&gt;$Y843,"OVERDUE",IF($Y843&lt;=WORKDAY(TODAY(),1,Holidays),"DUE TOMORROW",IF($W843=4,"ESCALATED TO LOCAL OFFICE",IF($W843=5,"ESCALATED TO CBE",IF($X843=TODAY(),"EMAIL SENT","MONITORING"))))))))))</f>
        <v/>
      </c>
      <c r="U843" s="17">
        <f>IF($T843="",IF(AND(COUNTA($A843:$K843)&gt;0,$L843=""),"Awaiting Collection Email time stamp.",""),IF(OR($T843="PAID",$T843="CLOSED"),IF($T843="PAID","Account paid. Action completed.","Account closed. No further action required."),CHOOSE($W843,"Collection Email","1st Email Follow-up","2nd Email Follow-up","Escalation to Local Office","Escalation to CBE","Escalation to Roxanne")&amp;" sent "&amp;TEXT($X843,"dd-mmm")&amp;". "&amp;IF($W843=6,"Final escalation completed.",IF($T843="OVERDUE","Next: "&amp;$Z843&amp;" was due "&amp;TEXT($Y843,"dd-mmm")&amp;" - "&amp;(NETWORKDAYS($Y843,TODAY(),Holidays)-1)&amp;" business day(s) late. Send now.",IF($T843="DUE TOMORROW","Next: "&amp;$Z843&amp;IF($Y843&lt;=TODAY()," is due TODAY ("," is due next business day (")&amp;TEXT($Y843,"dd-mmm")&amp;").","Next: "&amp;$Z843&amp;" due "&amp;TEXT($Y843,"dd-mmm")&amp;" ("&amp;(NETWORKDAYS(TODAY(),$Y843,Holidays)-1)&amp;" business day(s) left).")))))</f>
        <v/>
      </c>
      <c r="V843" s="17">
        <f>IF($W843="","",CHOOSE($W843,"Collection Email","1st Follow-up","2nd Follow-up","Local Office","CBE","Roxanne")&amp;IF($W843=6," - Final"," - Day "&amp;MAX(0,NETWORKDAYS($X843,TODAY(),Holidays)-1)&amp;" of "&amp;CHOOSE($W843,3,3,2,2,3))&amp;" | Total Day "&amp;MAX(0,NETWORKDAYS($L843,TODAY(),Holidays)-1))</f>
        <v/>
      </c>
      <c r="W843" s="17">
        <f>IF($L843="","",COUNT($L843:$Q843))</f>
        <v/>
      </c>
      <c r="X843" s="18">
        <f>IF($W843="","",INT(INDEX($L843:$Q843,$W843)))</f>
        <v/>
      </c>
      <c r="Y843" s="18">
        <f>IF(OR($W843="",$W843=6),"",WORKDAY($X843,CHOOSE($W843,3,3,2,2,3),Holidays))</f>
        <v/>
      </c>
      <c r="Z843" s="17">
        <f>IF(OR($W843="",$W843=6),"",CHOOSE($W843,"1st Email Follow-up","2nd Email Follow-up","Escalate Local Office","Escalate to CBE","Escalate to Roxanne"))</f>
        <v/>
      </c>
    </row>
    <row r="844" spans="18:26">
      <c r="R844" s="15"/>
      <c r="S844" s="16"/>
      <c r="T844" s="17">
        <f>IF(AND(COUNTA($A844:$K844)=0,$L844=""),"",IF($S844="Paid","PAID",IF($S844="Closed","CLOSED",IF($W844="","",IF($W844=6,"ESCALATED TO ROXANNE",IF(TODAY()&gt;$Y844,"OVERDUE",IF($Y844&lt;=WORKDAY(TODAY(),1,Holidays),"DUE TOMORROW",IF($W844=4,"ESCALATED TO LOCAL OFFICE",IF($W844=5,"ESCALATED TO CBE",IF($X844=TODAY(),"EMAIL SENT","MONITORING"))))))))))</f>
        <v/>
      </c>
      <c r="U844" s="17">
        <f>IF($T844="",IF(AND(COUNTA($A844:$K844)&gt;0,$L844=""),"Awaiting Collection Email time stamp.",""),IF(OR($T844="PAID",$T844="CLOSED"),IF($T844="PAID","Account paid. Action completed.","Account closed. No further action required."),CHOOSE($W844,"Collection Email","1st Email Follow-up","2nd Email Follow-up","Escalation to Local Office","Escalation to CBE","Escalation to Roxanne")&amp;" sent "&amp;TEXT($X844,"dd-mmm")&amp;". "&amp;IF($W844=6,"Final escalation completed.",IF($T844="OVERDUE","Next: "&amp;$Z844&amp;" was due "&amp;TEXT($Y844,"dd-mmm")&amp;" - "&amp;(NETWORKDAYS($Y844,TODAY(),Holidays)-1)&amp;" business day(s) late. Send now.",IF($T844="DUE TOMORROW","Next: "&amp;$Z844&amp;IF($Y844&lt;=TODAY()," is due TODAY ("," is due next business day (")&amp;TEXT($Y844,"dd-mmm")&amp;").","Next: "&amp;$Z844&amp;" due "&amp;TEXT($Y844,"dd-mmm")&amp;" ("&amp;(NETWORKDAYS(TODAY(),$Y844,Holidays)-1)&amp;" business day(s) left).")))))</f>
        <v/>
      </c>
      <c r="V844" s="17">
        <f>IF($W844="","",CHOOSE($W844,"Collection Email","1st Follow-up","2nd Follow-up","Local Office","CBE","Roxanne")&amp;IF($W844=6," - Final"," - Day "&amp;MAX(0,NETWORKDAYS($X844,TODAY(),Holidays)-1)&amp;" of "&amp;CHOOSE($W844,3,3,2,2,3))&amp;" | Total Day "&amp;MAX(0,NETWORKDAYS($L844,TODAY(),Holidays)-1))</f>
        <v/>
      </c>
      <c r="W844" s="17">
        <f>IF($L844="","",COUNT($L844:$Q844))</f>
        <v/>
      </c>
      <c r="X844" s="18">
        <f>IF($W844="","",INT(INDEX($L844:$Q844,$W844)))</f>
        <v/>
      </c>
      <c r="Y844" s="18">
        <f>IF(OR($W844="",$W844=6),"",WORKDAY($X844,CHOOSE($W844,3,3,2,2,3),Holidays))</f>
        <v/>
      </c>
      <c r="Z844" s="17">
        <f>IF(OR($W844="",$W844=6),"",CHOOSE($W844,"1st Email Follow-up","2nd Email Follow-up","Escalate Local Office","Escalate to CBE","Escalate to Roxanne"))</f>
        <v/>
      </c>
    </row>
    <row r="845" spans="18:26">
      <c r="R845" s="15"/>
      <c r="S845" s="16"/>
      <c r="T845" s="17">
        <f>IF(AND(COUNTA($A845:$K845)=0,$L845=""),"",IF($S845="Paid","PAID",IF($S845="Closed","CLOSED",IF($W845="","",IF($W845=6,"ESCALATED TO ROXANNE",IF(TODAY()&gt;$Y845,"OVERDUE",IF($Y845&lt;=WORKDAY(TODAY(),1,Holidays),"DUE TOMORROW",IF($W845=4,"ESCALATED TO LOCAL OFFICE",IF($W845=5,"ESCALATED TO CBE",IF($X845=TODAY(),"EMAIL SENT","MONITORING"))))))))))</f>
        <v/>
      </c>
      <c r="U845" s="17">
        <f>IF($T845="",IF(AND(COUNTA($A845:$K845)&gt;0,$L845=""),"Awaiting Collection Email time stamp.",""),IF(OR($T845="PAID",$T845="CLOSED"),IF($T845="PAID","Account paid. Action completed.","Account closed. No further action required."),CHOOSE($W845,"Collection Email","1st Email Follow-up","2nd Email Follow-up","Escalation to Local Office","Escalation to CBE","Escalation to Roxanne")&amp;" sent "&amp;TEXT($X845,"dd-mmm")&amp;". "&amp;IF($W845=6,"Final escalation completed.",IF($T845="OVERDUE","Next: "&amp;$Z845&amp;" was due "&amp;TEXT($Y845,"dd-mmm")&amp;" - "&amp;(NETWORKDAYS($Y845,TODAY(),Holidays)-1)&amp;" business day(s) late. Send now.",IF($T845="DUE TOMORROW","Next: "&amp;$Z845&amp;IF($Y845&lt;=TODAY()," is due TODAY ("," is due next business day (")&amp;TEXT($Y845,"dd-mmm")&amp;").","Next: "&amp;$Z845&amp;" due "&amp;TEXT($Y845,"dd-mmm")&amp;" ("&amp;(NETWORKDAYS(TODAY(),$Y845,Holidays)-1)&amp;" business day(s) left).")))))</f>
        <v/>
      </c>
      <c r="V845" s="17">
        <f>IF($W845="","",CHOOSE($W845,"Collection Email","1st Follow-up","2nd Follow-up","Local Office","CBE","Roxanne")&amp;IF($W845=6," - Final"," - Day "&amp;MAX(0,NETWORKDAYS($X845,TODAY(),Holidays)-1)&amp;" of "&amp;CHOOSE($W845,3,3,2,2,3))&amp;" | Total Day "&amp;MAX(0,NETWORKDAYS($L845,TODAY(),Holidays)-1))</f>
        <v/>
      </c>
      <c r="W845" s="17">
        <f>IF($L845="","",COUNT($L845:$Q845))</f>
        <v/>
      </c>
      <c r="X845" s="18">
        <f>IF($W845="","",INT(INDEX($L845:$Q845,$W845)))</f>
        <v/>
      </c>
      <c r="Y845" s="18">
        <f>IF(OR($W845="",$W845=6),"",WORKDAY($X845,CHOOSE($W845,3,3,2,2,3),Holidays))</f>
        <v/>
      </c>
      <c r="Z845" s="17">
        <f>IF(OR($W845="",$W845=6),"",CHOOSE($W845,"1st Email Follow-up","2nd Email Follow-up","Escalate Local Office","Escalate to CBE","Escalate to Roxanne"))</f>
        <v/>
      </c>
    </row>
    <row r="846" spans="18:26">
      <c r="R846" s="15"/>
      <c r="S846" s="16"/>
      <c r="T846" s="17">
        <f>IF(AND(COUNTA($A846:$K846)=0,$L846=""),"",IF($S846="Paid","PAID",IF($S846="Closed","CLOSED",IF($W846="","",IF($W846=6,"ESCALATED TO ROXANNE",IF(TODAY()&gt;$Y846,"OVERDUE",IF($Y846&lt;=WORKDAY(TODAY(),1,Holidays),"DUE TOMORROW",IF($W846=4,"ESCALATED TO LOCAL OFFICE",IF($W846=5,"ESCALATED TO CBE",IF($X846=TODAY(),"EMAIL SENT","MONITORING"))))))))))</f>
        <v/>
      </c>
      <c r="U846" s="17">
        <f>IF($T846="",IF(AND(COUNTA($A846:$K846)&gt;0,$L846=""),"Awaiting Collection Email time stamp.",""),IF(OR($T846="PAID",$T846="CLOSED"),IF($T846="PAID","Account paid. Action completed.","Account closed. No further action required."),CHOOSE($W846,"Collection Email","1st Email Follow-up","2nd Email Follow-up","Escalation to Local Office","Escalation to CBE","Escalation to Roxanne")&amp;" sent "&amp;TEXT($X846,"dd-mmm")&amp;". "&amp;IF($W846=6,"Final escalation completed.",IF($T846="OVERDUE","Next: "&amp;$Z846&amp;" was due "&amp;TEXT($Y846,"dd-mmm")&amp;" - "&amp;(NETWORKDAYS($Y846,TODAY(),Holidays)-1)&amp;" business day(s) late. Send now.",IF($T846="DUE TOMORROW","Next: "&amp;$Z846&amp;IF($Y846&lt;=TODAY()," is due TODAY ("," is due next business day (")&amp;TEXT($Y846,"dd-mmm")&amp;").","Next: "&amp;$Z846&amp;" due "&amp;TEXT($Y846,"dd-mmm")&amp;" ("&amp;(NETWORKDAYS(TODAY(),$Y846,Holidays)-1)&amp;" business day(s) left).")))))</f>
        <v/>
      </c>
      <c r="V846" s="17">
        <f>IF($W846="","",CHOOSE($W846,"Collection Email","1st Follow-up","2nd Follow-up","Local Office","CBE","Roxanne")&amp;IF($W846=6," - Final"," - Day "&amp;MAX(0,NETWORKDAYS($X846,TODAY(),Holidays)-1)&amp;" of "&amp;CHOOSE($W846,3,3,2,2,3))&amp;" | Total Day "&amp;MAX(0,NETWORKDAYS($L846,TODAY(),Holidays)-1))</f>
        <v/>
      </c>
      <c r="W846" s="17">
        <f>IF($L846="","",COUNT($L846:$Q846))</f>
        <v/>
      </c>
      <c r="X846" s="18">
        <f>IF($W846="","",INT(INDEX($L846:$Q846,$W846)))</f>
        <v/>
      </c>
      <c r="Y846" s="18">
        <f>IF(OR($W846="",$W846=6),"",WORKDAY($X846,CHOOSE($W846,3,3,2,2,3),Holidays))</f>
        <v/>
      </c>
      <c r="Z846" s="17">
        <f>IF(OR($W846="",$W846=6),"",CHOOSE($W846,"1st Email Follow-up","2nd Email Follow-up","Escalate Local Office","Escalate to CBE","Escalate to Roxanne"))</f>
        <v/>
      </c>
    </row>
    <row r="847" spans="18:26">
      <c r="R847" s="15"/>
      <c r="S847" s="16"/>
      <c r="T847" s="17">
        <f>IF(AND(COUNTA($A847:$K847)=0,$L847=""),"",IF($S847="Paid","PAID",IF($S847="Closed","CLOSED",IF($W847="","",IF($W847=6,"ESCALATED TO ROXANNE",IF(TODAY()&gt;$Y847,"OVERDUE",IF($Y847&lt;=WORKDAY(TODAY(),1,Holidays),"DUE TOMORROW",IF($W847=4,"ESCALATED TO LOCAL OFFICE",IF($W847=5,"ESCALATED TO CBE",IF($X847=TODAY(),"EMAIL SENT","MONITORING"))))))))))</f>
        <v/>
      </c>
      <c r="U847" s="17">
        <f>IF($T847="",IF(AND(COUNTA($A847:$K847)&gt;0,$L847=""),"Awaiting Collection Email time stamp.",""),IF(OR($T847="PAID",$T847="CLOSED"),IF($T847="PAID","Account paid. Action completed.","Account closed. No further action required."),CHOOSE($W847,"Collection Email","1st Email Follow-up","2nd Email Follow-up","Escalation to Local Office","Escalation to CBE","Escalation to Roxanne")&amp;" sent "&amp;TEXT($X847,"dd-mmm")&amp;". "&amp;IF($W847=6,"Final escalation completed.",IF($T847="OVERDUE","Next: "&amp;$Z847&amp;" was due "&amp;TEXT($Y847,"dd-mmm")&amp;" - "&amp;(NETWORKDAYS($Y847,TODAY(),Holidays)-1)&amp;" business day(s) late. Send now.",IF($T847="DUE TOMORROW","Next: "&amp;$Z847&amp;IF($Y847&lt;=TODAY()," is due TODAY ("," is due next business day (")&amp;TEXT($Y847,"dd-mmm")&amp;").","Next: "&amp;$Z847&amp;" due "&amp;TEXT($Y847,"dd-mmm")&amp;" ("&amp;(NETWORKDAYS(TODAY(),$Y847,Holidays)-1)&amp;" business day(s) left).")))))</f>
        <v/>
      </c>
      <c r="V847" s="17">
        <f>IF($W847="","",CHOOSE($W847,"Collection Email","1st Follow-up","2nd Follow-up","Local Office","CBE","Roxanne")&amp;IF($W847=6," - Final"," - Day "&amp;MAX(0,NETWORKDAYS($X847,TODAY(),Holidays)-1)&amp;" of "&amp;CHOOSE($W847,3,3,2,2,3))&amp;" | Total Day "&amp;MAX(0,NETWORKDAYS($L847,TODAY(),Holidays)-1))</f>
        <v/>
      </c>
      <c r="W847" s="17">
        <f>IF($L847="","",COUNT($L847:$Q847))</f>
        <v/>
      </c>
      <c r="X847" s="18">
        <f>IF($W847="","",INT(INDEX($L847:$Q847,$W847)))</f>
        <v/>
      </c>
      <c r="Y847" s="18">
        <f>IF(OR($W847="",$W847=6),"",WORKDAY($X847,CHOOSE($W847,3,3,2,2,3),Holidays))</f>
        <v/>
      </c>
      <c r="Z847" s="17">
        <f>IF(OR($W847="",$W847=6),"",CHOOSE($W847,"1st Email Follow-up","2nd Email Follow-up","Escalate Local Office","Escalate to CBE","Escalate to Roxanne"))</f>
        <v/>
      </c>
    </row>
    <row r="848" spans="18:26">
      <c r="R848" s="15"/>
      <c r="S848" s="16"/>
      <c r="T848" s="17">
        <f>IF(AND(COUNTA($A848:$K848)=0,$L848=""),"",IF($S848="Paid","PAID",IF($S848="Closed","CLOSED",IF($W848="","",IF($W848=6,"ESCALATED TO ROXANNE",IF(TODAY()&gt;$Y848,"OVERDUE",IF($Y848&lt;=WORKDAY(TODAY(),1,Holidays),"DUE TOMORROW",IF($W848=4,"ESCALATED TO LOCAL OFFICE",IF($W848=5,"ESCALATED TO CBE",IF($X848=TODAY(),"EMAIL SENT","MONITORING"))))))))))</f>
        <v/>
      </c>
      <c r="U848" s="17">
        <f>IF($T848="",IF(AND(COUNTA($A848:$K848)&gt;0,$L848=""),"Awaiting Collection Email time stamp.",""),IF(OR($T848="PAID",$T848="CLOSED"),IF($T848="PAID","Account paid. Action completed.","Account closed. No further action required."),CHOOSE($W848,"Collection Email","1st Email Follow-up","2nd Email Follow-up","Escalation to Local Office","Escalation to CBE","Escalation to Roxanne")&amp;" sent "&amp;TEXT($X848,"dd-mmm")&amp;". "&amp;IF($W848=6,"Final escalation completed.",IF($T848="OVERDUE","Next: "&amp;$Z848&amp;" was due "&amp;TEXT($Y848,"dd-mmm")&amp;" - "&amp;(NETWORKDAYS($Y848,TODAY(),Holidays)-1)&amp;" business day(s) late. Send now.",IF($T848="DUE TOMORROW","Next: "&amp;$Z848&amp;IF($Y848&lt;=TODAY()," is due TODAY ("," is due next business day (")&amp;TEXT($Y848,"dd-mmm")&amp;").","Next: "&amp;$Z848&amp;" due "&amp;TEXT($Y848,"dd-mmm")&amp;" ("&amp;(NETWORKDAYS(TODAY(),$Y848,Holidays)-1)&amp;" business day(s) left).")))))</f>
        <v/>
      </c>
      <c r="V848" s="17">
        <f>IF($W848="","",CHOOSE($W848,"Collection Email","1st Follow-up","2nd Follow-up","Local Office","CBE","Roxanne")&amp;IF($W848=6," - Final"," - Day "&amp;MAX(0,NETWORKDAYS($X848,TODAY(),Holidays)-1)&amp;" of "&amp;CHOOSE($W848,3,3,2,2,3))&amp;" | Total Day "&amp;MAX(0,NETWORKDAYS($L848,TODAY(),Holidays)-1))</f>
        <v/>
      </c>
      <c r="W848" s="17">
        <f>IF($L848="","",COUNT($L848:$Q848))</f>
        <v/>
      </c>
      <c r="X848" s="18">
        <f>IF($W848="","",INT(INDEX($L848:$Q848,$W848)))</f>
        <v/>
      </c>
      <c r="Y848" s="18">
        <f>IF(OR($W848="",$W848=6),"",WORKDAY($X848,CHOOSE($W848,3,3,2,2,3),Holidays))</f>
        <v/>
      </c>
      <c r="Z848" s="17">
        <f>IF(OR($W848="",$W848=6),"",CHOOSE($W848,"1st Email Follow-up","2nd Email Follow-up","Escalate Local Office","Escalate to CBE","Escalate to Roxanne"))</f>
        <v/>
      </c>
    </row>
    <row r="849" spans="18:26">
      <c r="R849" s="15"/>
      <c r="S849" s="16"/>
      <c r="T849" s="17">
        <f>IF(AND(COUNTA($A849:$K849)=0,$L849=""),"",IF($S849="Paid","PAID",IF($S849="Closed","CLOSED",IF($W849="","",IF($W849=6,"ESCALATED TO ROXANNE",IF(TODAY()&gt;$Y849,"OVERDUE",IF($Y849&lt;=WORKDAY(TODAY(),1,Holidays),"DUE TOMORROW",IF($W849=4,"ESCALATED TO LOCAL OFFICE",IF($W849=5,"ESCALATED TO CBE",IF($X849=TODAY(),"EMAIL SENT","MONITORING"))))))))))</f>
        <v/>
      </c>
      <c r="U849" s="17">
        <f>IF($T849="",IF(AND(COUNTA($A849:$K849)&gt;0,$L849=""),"Awaiting Collection Email time stamp.",""),IF(OR($T849="PAID",$T849="CLOSED"),IF($T849="PAID","Account paid. Action completed.","Account closed. No further action required."),CHOOSE($W849,"Collection Email","1st Email Follow-up","2nd Email Follow-up","Escalation to Local Office","Escalation to CBE","Escalation to Roxanne")&amp;" sent "&amp;TEXT($X849,"dd-mmm")&amp;". "&amp;IF($W849=6,"Final escalation completed.",IF($T849="OVERDUE","Next: "&amp;$Z849&amp;" was due "&amp;TEXT($Y849,"dd-mmm")&amp;" - "&amp;(NETWORKDAYS($Y849,TODAY(),Holidays)-1)&amp;" business day(s) late. Send now.",IF($T849="DUE TOMORROW","Next: "&amp;$Z849&amp;IF($Y849&lt;=TODAY()," is due TODAY ("," is due next business day (")&amp;TEXT($Y849,"dd-mmm")&amp;").","Next: "&amp;$Z849&amp;" due "&amp;TEXT($Y849,"dd-mmm")&amp;" ("&amp;(NETWORKDAYS(TODAY(),$Y849,Holidays)-1)&amp;" business day(s) left).")))))</f>
        <v/>
      </c>
      <c r="V849" s="17">
        <f>IF($W849="","",CHOOSE($W849,"Collection Email","1st Follow-up","2nd Follow-up","Local Office","CBE","Roxanne")&amp;IF($W849=6," - Final"," - Day "&amp;MAX(0,NETWORKDAYS($X849,TODAY(),Holidays)-1)&amp;" of "&amp;CHOOSE($W849,3,3,2,2,3))&amp;" | Total Day "&amp;MAX(0,NETWORKDAYS($L849,TODAY(),Holidays)-1))</f>
        <v/>
      </c>
      <c r="W849" s="17">
        <f>IF($L849="","",COUNT($L849:$Q849))</f>
        <v/>
      </c>
      <c r="X849" s="18">
        <f>IF($W849="","",INT(INDEX($L849:$Q849,$W849)))</f>
        <v/>
      </c>
      <c r="Y849" s="18">
        <f>IF(OR($W849="",$W849=6),"",WORKDAY($X849,CHOOSE($W849,3,3,2,2,3),Holidays))</f>
        <v/>
      </c>
      <c r="Z849" s="17">
        <f>IF(OR($W849="",$W849=6),"",CHOOSE($W849,"1st Email Follow-up","2nd Email Follow-up","Escalate Local Office","Escalate to CBE","Escalate to Roxanne"))</f>
        <v/>
      </c>
    </row>
    <row r="850" spans="18:26">
      <c r="R850" s="15"/>
      <c r="S850" s="16"/>
      <c r="T850" s="17">
        <f>IF(AND(COUNTA($A850:$K850)=0,$L850=""),"",IF($S850="Paid","PAID",IF($S850="Closed","CLOSED",IF($W850="","",IF($W850=6,"ESCALATED TO ROXANNE",IF(TODAY()&gt;$Y850,"OVERDUE",IF($Y850&lt;=WORKDAY(TODAY(),1,Holidays),"DUE TOMORROW",IF($W850=4,"ESCALATED TO LOCAL OFFICE",IF($W850=5,"ESCALATED TO CBE",IF($X850=TODAY(),"EMAIL SENT","MONITORING"))))))))))</f>
        <v/>
      </c>
      <c r="U850" s="17">
        <f>IF($T850="",IF(AND(COUNTA($A850:$K850)&gt;0,$L850=""),"Awaiting Collection Email time stamp.",""),IF(OR($T850="PAID",$T850="CLOSED"),IF($T850="PAID","Account paid. Action completed.","Account closed. No further action required."),CHOOSE($W850,"Collection Email","1st Email Follow-up","2nd Email Follow-up","Escalation to Local Office","Escalation to CBE","Escalation to Roxanne")&amp;" sent "&amp;TEXT($X850,"dd-mmm")&amp;". "&amp;IF($W850=6,"Final escalation completed.",IF($T850="OVERDUE","Next: "&amp;$Z850&amp;" was due "&amp;TEXT($Y850,"dd-mmm")&amp;" - "&amp;(NETWORKDAYS($Y850,TODAY(),Holidays)-1)&amp;" business day(s) late. Send now.",IF($T850="DUE TOMORROW","Next: "&amp;$Z850&amp;IF($Y850&lt;=TODAY()," is due TODAY ("," is due next business day (")&amp;TEXT($Y850,"dd-mmm")&amp;").","Next: "&amp;$Z850&amp;" due "&amp;TEXT($Y850,"dd-mmm")&amp;" ("&amp;(NETWORKDAYS(TODAY(),$Y850,Holidays)-1)&amp;" business day(s) left).")))))</f>
        <v/>
      </c>
      <c r="V850" s="17">
        <f>IF($W850="","",CHOOSE($W850,"Collection Email","1st Follow-up","2nd Follow-up","Local Office","CBE","Roxanne")&amp;IF($W850=6," - Final"," - Day "&amp;MAX(0,NETWORKDAYS($X850,TODAY(),Holidays)-1)&amp;" of "&amp;CHOOSE($W850,3,3,2,2,3))&amp;" | Total Day "&amp;MAX(0,NETWORKDAYS($L850,TODAY(),Holidays)-1))</f>
        <v/>
      </c>
      <c r="W850" s="17">
        <f>IF($L850="","",COUNT($L850:$Q850))</f>
        <v/>
      </c>
      <c r="X850" s="18">
        <f>IF($W850="","",INT(INDEX($L850:$Q850,$W850)))</f>
        <v/>
      </c>
      <c r="Y850" s="18">
        <f>IF(OR($W850="",$W850=6),"",WORKDAY($X850,CHOOSE($W850,3,3,2,2,3),Holidays))</f>
        <v/>
      </c>
      <c r="Z850" s="17">
        <f>IF(OR($W850="",$W850=6),"",CHOOSE($W850,"1st Email Follow-up","2nd Email Follow-up","Escalate Local Office","Escalate to CBE","Escalate to Roxanne"))</f>
        <v/>
      </c>
    </row>
    <row r="851" spans="18:26">
      <c r="R851" s="15"/>
      <c r="S851" s="16"/>
      <c r="T851" s="17">
        <f>IF(AND(COUNTA($A851:$K851)=0,$L851=""),"",IF($S851="Paid","PAID",IF($S851="Closed","CLOSED",IF($W851="","",IF($W851=6,"ESCALATED TO ROXANNE",IF(TODAY()&gt;$Y851,"OVERDUE",IF($Y851&lt;=WORKDAY(TODAY(),1,Holidays),"DUE TOMORROW",IF($W851=4,"ESCALATED TO LOCAL OFFICE",IF($W851=5,"ESCALATED TO CBE",IF($X851=TODAY(),"EMAIL SENT","MONITORING"))))))))))</f>
        <v/>
      </c>
      <c r="U851" s="17">
        <f>IF($T851="",IF(AND(COUNTA($A851:$K851)&gt;0,$L851=""),"Awaiting Collection Email time stamp.",""),IF(OR($T851="PAID",$T851="CLOSED"),IF($T851="PAID","Account paid. Action completed.","Account closed. No further action required."),CHOOSE($W851,"Collection Email","1st Email Follow-up","2nd Email Follow-up","Escalation to Local Office","Escalation to CBE","Escalation to Roxanne")&amp;" sent "&amp;TEXT($X851,"dd-mmm")&amp;". "&amp;IF($W851=6,"Final escalation completed.",IF($T851="OVERDUE","Next: "&amp;$Z851&amp;" was due "&amp;TEXT($Y851,"dd-mmm")&amp;" - "&amp;(NETWORKDAYS($Y851,TODAY(),Holidays)-1)&amp;" business day(s) late. Send now.",IF($T851="DUE TOMORROW","Next: "&amp;$Z851&amp;IF($Y851&lt;=TODAY()," is due TODAY ("," is due next business day (")&amp;TEXT($Y851,"dd-mmm")&amp;").","Next: "&amp;$Z851&amp;" due "&amp;TEXT($Y851,"dd-mmm")&amp;" ("&amp;(NETWORKDAYS(TODAY(),$Y851,Holidays)-1)&amp;" business day(s) left).")))))</f>
        <v/>
      </c>
      <c r="V851" s="17">
        <f>IF($W851="","",CHOOSE($W851,"Collection Email","1st Follow-up","2nd Follow-up","Local Office","CBE","Roxanne")&amp;IF($W851=6," - Final"," - Day "&amp;MAX(0,NETWORKDAYS($X851,TODAY(),Holidays)-1)&amp;" of "&amp;CHOOSE($W851,3,3,2,2,3))&amp;" | Total Day "&amp;MAX(0,NETWORKDAYS($L851,TODAY(),Holidays)-1))</f>
        <v/>
      </c>
      <c r="W851" s="17">
        <f>IF($L851="","",COUNT($L851:$Q851))</f>
        <v/>
      </c>
      <c r="X851" s="18">
        <f>IF($W851="","",INT(INDEX($L851:$Q851,$W851)))</f>
        <v/>
      </c>
      <c r="Y851" s="18">
        <f>IF(OR($W851="",$W851=6),"",WORKDAY($X851,CHOOSE($W851,3,3,2,2,3),Holidays))</f>
        <v/>
      </c>
      <c r="Z851" s="17">
        <f>IF(OR($W851="",$W851=6),"",CHOOSE($W851,"1st Email Follow-up","2nd Email Follow-up","Escalate Local Office","Escalate to CBE","Escalate to Roxanne"))</f>
        <v/>
      </c>
    </row>
    <row r="852" spans="18:26">
      <c r="R852" s="15"/>
      <c r="S852" s="16"/>
      <c r="T852" s="17">
        <f>IF(AND(COUNTA($A852:$K852)=0,$L852=""),"",IF($S852="Paid","PAID",IF($S852="Closed","CLOSED",IF($W852="","",IF($W852=6,"ESCALATED TO ROXANNE",IF(TODAY()&gt;$Y852,"OVERDUE",IF($Y852&lt;=WORKDAY(TODAY(),1,Holidays),"DUE TOMORROW",IF($W852=4,"ESCALATED TO LOCAL OFFICE",IF($W852=5,"ESCALATED TO CBE",IF($X852=TODAY(),"EMAIL SENT","MONITORING"))))))))))</f>
        <v/>
      </c>
      <c r="U852" s="17">
        <f>IF($T852="",IF(AND(COUNTA($A852:$K852)&gt;0,$L852=""),"Awaiting Collection Email time stamp.",""),IF(OR($T852="PAID",$T852="CLOSED"),IF($T852="PAID","Account paid. Action completed.","Account closed. No further action required."),CHOOSE($W852,"Collection Email","1st Email Follow-up","2nd Email Follow-up","Escalation to Local Office","Escalation to CBE","Escalation to Roxanne")&amp;" sent "&amp;TEXT($X852,"dd-mmm")&amp;". "&amp;IF($W852=6,"Final escalation completed.",IF($T852="OVERDUE","Next: "&amp;$Z852&amp;" was due "&amp;TEXT($Y852,"dd-mmm")&amp;" - "&amp;(NETWORKDAYS($Y852,TODAY(),Holidays)-1)&amp;" business day(s) late. Send now.",IF($T852="DUE TOMORROW","Next: "&amp;$Z852&amp;IF($Y852&lt;=TODAY()," is due TODAY ("," is due next business day (")&amp;TEXT($Y852,"dd-mmm")&amp;").","Next: "&amp;$Z852&amp;" due "&amp;TEXT($Y852,"dd-mmm")&amp;" ("&amp;(NETWORKDAYS(TODAY(),$Y852,Holidays)-1)&amp;" business day(s) left).")))))</f>
        <v/>
      </c>
      <c r="V852" s="17">
        <f>IF($W852="","",CHOOSE($W852,"Collection Email","1st Follow-up","2nd Follow-up","Local Office","CBE","Roxanne")&amp;IF($W852=6," - Final"," - Day "&amp;MAX(0,NETWORKDAYS($X852,TODAY(),Holidays)-1)&amp;" of "&amp;CHOOSE($W852,3,3,2,2,3))&amp;" | Total Day "&amp;MAX(0,NETWORKDAYS($L852,TODAY(),Holidays)-1))</f>
        <v/>
      </c>
      <c r="W852" s="17">
        <f>IF($L852="","",COUNT($L852:$Q852))</f>
        <v/>
      </c>
      <c r="X852" s="18">
        <f>IF($W852="","",INT(INDEX($L852:$Q852,$W852)))</f>
        <v/>
      </c>
      <c r="Y852" s="18">
        <f>IF(OR($W852="",$W852=6),"",WORKDAY($X852,CHOOSE($W852,3,3,2,2,3),Holidays))</f>
        <v/>
      </c>
      <c r="Z852" s="17">
        <f>IF(OR($W852="",$W852=6),"",CHOOSE($W852,"1st Email Follow-up","2nd Email Follow-up","Escalate Local Office","Escalate to CBE","Escalate to Roxanne"))</f>
        <v/>
      </c>
    </row>
    <row r="853" spans="18:26">
      <c r="R853" s="15"/>
      <c r="S853" s="16"/>
      <c r="T853" s="17">
        <f>IF(AND(COUNTA($A853:$K853)=0,$L853=""),"",IF($S853="Paid","PAID",IF($S853="Closed","CLOSED",IF($W853="","",IF($W853=6,"ESCALATED TO ROXANNE",IF(TODAY()&gt;$Y853,"OVERDUE",IF($Y853&lt;=WORKDAY(TODAY(),1,Holidays),"DUE TOMORROW",IF($W853=4,"ESCALATED TO LOCAL OFFICE",IF($W853=5,"ESCALATED TO CBE",IF($X853=TODAY(),"EMAIL SENT","MONITORING"))))))))))</f>
        <v/>
      </c>
      <c r="U853" s="17">
        <f>IF($T853="",IF(AND(COUNTA($A853:$K853)&gt;0,$L853=""),"Awaiting Collection Email time stamp.",""),IF(OR($T853="PAID",$T853="CLOSED"),IF($T853="PAID","Account paid. Action completed.","Account closed. No further action required."),CHOOSE($W853,"Collection Email","1st Email Follow-up","2nd Email Follow-up","Escalation to Local Office","Escalation to CBE","Escalation to Roxanne")&amp;" sent "&amp;TEXT($X853,"dd-mmm")&amp;". "&amp;IF($W853=6,"Final escalation completed.",IF($T853="OVERDUE","Next: "&amp;$Z853&amp;" was due "&amp;TEXT($Y853,"dd-mmm")&amp;" - "&amp;(NETWORKDAYS($Y853,TODAY(),Holidays)-1)&amp;" business day(s) late. Send now.",IF($T853="DUE TOMORROW","Next: "&amp;$Z853&amp;IF($Y853&lt;=TODAY()," is due TODAY ("," is due next business day (")&amp;TEXT($Y853,"dd-mmm")&amp;").","Next: "&amp;$Z853&amp;" due "&amp;TEXT($Y853,"dd-mmm")&amp;" ("&amp;(NETWORKDAYS(TODAY(),$Y853,Holidays)-1)&amp;" business day(s) left).")))))</f>
        <v/>
      </c>
      <c r="V853" s="17">
        <f>IF($W853="","",CHOOSE($W853,"Collection Email","1st Follow-up","2nd Follow-up","Local Office","CBE","Roxanne")&amp;IF($W853=6," - Final"," - Day "&amp;MAX(0,NETWORKDAYS($X853,TODAY(),Holidays)-1)&amp;" of "&amp;CHOOSE($W853,3,3,2,2,3))&amp;" | Total Day "&amp;MAX(0,NETWORKDAYS($L853,TODAY(),Holidays)-1))</f>
        <v/>
      </c>
      <c r="W853" s="17">
        <f>IF($L853="","",COUNT($L853:$Q853))</f>
        <v/>
      </c>
      <c r="X853" s="18">
        <f>IF($W853="","",INT(INDEX($L853:$Q853,$W853)))</f>
        <v/>
      </c>
      <c r="Y853" s="18">
        <f>IF(OR($W853="",$W853=6),"",WORKDAY($X853,CHOOSE($W853,3,3,2,2,3),Holidays))</f>
        <v/>
      </c>
      <c r="Z853" s="17">
        <f>IF(OR($W853="",$W853=6),"",CHOOSE($W853,"1st Email Follow-up","2nd Email Follow-up","Escalate Local Office","Escalate to CBE","Escalate to Roxanne"))</f>
        <v/>
      </c>
    </row>
    <row r="854" spans="18:26">
      <c r="R854" s="15"/>
      <c r="S854" s="16"/>
      <c r="T854" s="17">
        <f>IF(AND(COUNTA($A854:$K854)=0,$L854=""),"",IF($S854="Paid","PAID",IF($S854="Closed","CLOSED",IF($W854="","",IF($W854=6,"ESCALATED TO ROXANNE",IF(TODAY()&gt;$Y854,"OVERDUE",IF($Y854&lt;=WORKDAY(TODAY(),1,Holidays),"DUE TOMORROW",IF($W854=4,"ESCALATED TO LOCAL OFFICE",IF($W854=5,"ESCALATED TO CBE",IF($X854=TODAY(),"EMAIL SENT","MONITORING"))))))))))</f>
        <v/>
      </c>
      <c r="U854" s="17">
        <f>IF($T854="",IF(AND(COUNTA($A854:$K854)&gt;0,$L854=""),"Awaiting Collection Email time stamp.",""),IF(OR($T854="PAID",$T854="CLOSED"),IF($T854="PAID","Account paid. Action completed.","Account closed. No further action required."),CHOOSE($W854,"Collection Email","1st Email Follow-up","2nd Email Follow-up","Escalation to Local Office","Escalation to CBE","Escalation to Roxanne")&amp;" sent "&amp;TEXT($X854,"dd-mmm")&amp;". "&amp;IF($W854=6,"Final escalation completed.",IF($T854="OVERDUE","Next: "&amp;$Z854&amp;" was due "&amp;TEXT($Y854,"dd-mmm")&amp;" - "&amp;(NETWORKDAYS($Y854,TODAY(),Holidays)-1)&amp;" business day(s) late. Send now.",IF($T854="DUE TOMORROW","Next: "&amp;$Z854&amp;IF($Y854&lt;=TODAY()," is due TODAY ("," is due next business day (")&amp;TEXT($Y854,"dd-mmm")&amp;").","Next: "&amp;$Z854&amp;" due "&amp;TEXT($Y854,"dd-mmm")&amp;" ("&amp;(NETWORKDAYS(TODAY(),$Y854,Holidays)-1)&amp;" business day(s) left).")))))</f>
        <v/>
      </c>
      <c r="V854" s="17">
        <f>IF($W854="","",CHOOSE($W854,"Collection Email","1st Follow-up","2nd Follow-up","Local Office","CBE","Roxanne")&amp;IF($W854=6," - Final"," - Day "&amp;MAX(0,NETWORKDAYS($X854,TODAY(),Holidays)-1)&amp;" of "&amp;CHOOSE($W854,3,3,2,2,3))&amp;" | Total Day "&amp;MAX(0,NETWORKDAYS($L854,TODAY(),Holidays)-1))</f>
        <v/>
      </c>
      <c r="W854" s="17">
        <f>IF($L854="","",COUNT($L854:$Q854))</f>
        <v/>
      </c>
      <c r="X854" s="18">
        <f>IF($W854="","",INT(INDEX($L854:$Q854,$W854)))</f>
        <v/>
      </c>
      <c r="Y854" s="18">
        <f>IF(OR($W854="",$W854=6),"",WORKDAY($X854,CHOOSE($W854,3,3,2,2,3),Holidays))</f>
        <v/>
      </c>
      <c r="Z854" s="17">
        <f>IF(OR($W854="",$W854=6),"",CHOOSE($W854,"1st Email Follow-up","2nd Email Follow-up","Escalate Local Office","Escalate to CBE","Escalate to Roxanne"))</f>
        <v/>
      </c>
    </row>
    <row r="855" spans="18:26">
      <c r="R855" s="15"/>
      <c r="S855" s="16"/>
      <c r="T855" s="17">
        <f>IF(AND(COUNTA($A855:$K855)=0,$L855=""),"",IF($S855="Paid","PAID",IF($S855="Closed","CLOSED",IF($W855="","",IF($W855=6,"ESCALATED TO ROXANNE",IF(TODAY()&gt;$Y855,"OVERDUE",IF($Y855&lt;=WORKDAY(TODAY(),1,Holidays),"DUE TOMORROW",IF($W855=4,"ESCALATED TO LOCAL OFFICE",IF($W855=5,"ESCALATED TO CBE",IF($X855=TODAY(),"EMAIL SENT","MONITORING"))))))))))</f>
        <v/>
      </c>
      <c r="U855" s="17">
        <f>IF($T855="",IF(AND(COUNTA($A855:$K855)&gt;0,$L855=""),"Awaiting Collection Email time stamp.",""),IF(OR($T855="PAID",$T855="CLOSED"),IF($T855="PAID","Account paid. Action completed.","Account closed. No further action required."),CHOOSE($W855,"Collection Email","1st Email Follow-up","2nd Email Follow-up","Escalation to Local Office","Escalation to CBE","Escalation to Roxanne")&amp;" sent "&amp;TEXT($X855,"dd-mmm")&amp;". "&amp;IF($W855=6,"Final escalation completed.",IF($T855="OVERDUE","Next: "&amp;$Z855&amp;" was due "&amp;TEXT($Y855,"dd-mmm")&amp;" - "&amp;(NETWORKDAYS($Y855,TODAY(),Holidays)-1)&amp;" business day(s) late. Send now.",IF($T855="DUE TOMORROW","Next: "&amp;$Z855&amp;IF($Y855&lt;=TODAY()," is due TODAY ("," is due next business day (")&amp;TEXT($Y855,"dd-mmm")&amp;").","Next: "&amp;$Z855&amp;" due "&amp;TEXT($Y855,"dd-mmm")&amp;" ("&amp;(NETWORKDAYS(TODAY(),$Y855,Holidays)-1)&amp;" business day(s) left).")))))</f>
        <v/>
      </c>
      <c r="V855" s="17">
        <f>IF($W855="","",CHOOSE($W855,"Collection Email","1st Follow-up","2nd Follow-up","Local Office","CBE","Roxanne")&amp;IF($W855=6," - Final"," - Day "&amp;MAX(0,NETWORKDAYS($X855,TODAY(),Holidays)-1)&amp;" of "&amp;CHOOSE($W855,3,3,2,2,3))&amp;" | Total Day "&amp;MAX(0,NETWORKDAYS($L855,TODAY(),Holidays)-1))</f>
        <v/>
      </c>
      <c r="W855" s="17">
        <f>IF($L855="","",COUNT($L855:$Q855))</f>
        <v/>
      </c>
      <c r="X855" s="18">
        <f>IF($W855="","",INT(INDEX($L855:$Q855,$W855)))</f>
        <v/>
      </c>
      <c r="Y855" s="18">
        <f>IF(OR($W855="",$W855=6),"",WORKDAY($X855,CHOOSE($W855,3,3,2,2,3),Holidays))</f>
        <v/>
      </c>
      <c r="Z855" s="17">
        <f>IF(OR($W855="",$W855=6),"",CHOOSE($W855,"1st Email Follow-up","2nd Email Follow-up","Escalate Local Office","Escalate to CBE","Escalate to Roxanne"))</f>
        <v/>
      </c>
    </row>
    <row r="856" spans="18:26">
      <c r="R856" s="15"/>
      <c r="S856" s="16"/>
      <c r="T856" s="17">
        <f>IF(AND(COUNTA($A856:$K856)=0,$L856=""),"",IF($S856="Paid","PAID",IF($S856="Closed","CLOSED",IF($W856="","",IF($W856=6,"ESCALATED TO ROXANNE",IF(TODAY()&gt;$Y856,"OVERDUE",IF($Y856&lt;=WORKDAY(TODAY(),1,Holidays),"DUE TOMORROW",IF($W856=4,"ESCALATED TO LOCAL OFFICE",IF($W856=5,"ESCALATED TO CBE",IF($X856=TODAY(),"EMAIL SENT","MONITORING"))))))))))</f>
        <v/>
      </c>
      <c r="U856" s="17">
        <f>IF($T856="",IF(AND(COUNTA($A856:$K856)&gt;0,$L856=""),"Awaiting Collection Email time stamp.",""),IF(OR($T856="PAID",$T856="CLOSED"),IF($T856="PAID","Account paid. Action completed.","Account closed. No further action required."),CHOOSE($W856,"Collection Email","1st Email Follow-up","2nd Email Follow-up","Escalation to Local Office","Escalation to CBE","Escalation to Roxanne")&amp;" sent "&amp;TEXT($X856,"dd-mmm")&amp;". "&amp;IF($W856=6,"Final escalation completed.",IF($T856="OVERDUE","Next: "&amp;$Z856&amp;" was due "&amp;TEXT($Y856,"dd-mmm")&amp;" - "&amp;(NETWORKDAYS($Y856,TODAY(),Holidays)-1)&amp;" business day(s) late. Send now.",IF($T856="DUE TOMORROW","Next: "&amp;$Z856&amp;IF($Y856&lt;=TODAY()," is due TODAY ("," is due next business day (")&amp;TEXT($Y856,"dd-mmm")&amp;").","Next: "&amp;$Z856&amp;" due "&amp;TEXT($Y856,"dd-mmm")&amp;" ("&amp;(NETWORKDAYS(TODAY(),$Y856,Holidays)-1)&amp;" business day(s) left).")))))</f>
        <v/>
      </c>
      <c r="V856" s="17">
        <f>IF($W856="","",CHOOSE($W856,"Collection Email","1st Follow-up","2nd Follow-up","Local Office","CBE","Roxanne")&amp;IF($W856=6," - Final"," - Day "&amp;MAX(0,NETWORKDAYS($X856,TODAY(),Holidays)-1)&amp;" of "&amp;CHOOSE($W856,3,3,2,2,3))&amp;" | Total Day "&amp;MAX(0,NETWORKDAYS($L856,TODAY(),Holidays)-1))</f>
        <v/>
      </c>
      <c r="W856" s="17">
        <f>IF($L856="","",COUNT($L856:$Q856))</f>
        <v/>
      </c>
      <c r="X856" s="18">
        <f>IF($W856="","",INT(INDEX($L856:$Q856,$W856)))</f>
        <v/>
      </c>
      <c r="Y856" s="18">
        <f>IF(OR($W856="",$W856=6),"",WORKDAY($X856,CHOOSE($W856,3,3,2,2,3),Holidays))</f>
        <v/>
      </c>
      <c r="Z856" s="17">
        <f>IF(OR($W856="",$W856=6),"",CHOOSE($W856,"1st Email Follow-up","2nd Email Follow-up","Escalate Local Office","Escalate to CBE","Escalate to Roxanne"))</f>
        <v/>
      </c>
    </row>
    <row r="857" spans="18:26">
      <c r="R857" s="15"/>
      <c r="S857" s="16"/>
      <c r="T857" s="17">
        <f>IF(AND(COUNTA($A857:$K857)=0,$L857=""),"",IF($S857="Paid","PAID",IF($S857="Closed","CLOSED",IF($W857="","",IF($W857=6,"ESCALATED TO ROXANNE",IF(TODAY()&gt;$Y857,"OVERDUE",IF($Y857&lt;=WORKDAY(TODAY(),1,Holidays),"DUE TOMORROW",IF($W857=4,"ESCALATED TO LOCAL OFFICE",IF($W857=5,"ESCALATED TO CBE",IF($X857=TODAY(),"EMAIL SENT","MONITORING"))))))))))</f>
        <v/>
      </c>
      <c r="U857" s="17">
        <f>IF($T857="",IF(AND(COUNTA($A857:$K857)&gt;0,$L857=""),"Awaiting Collection Email time stamp.",""),IF(OR($T857="PAID",$T857="CLOSED"),IF($T857="PAID","Account paid. Action completed.","Account closed. No further action required."),CHOOSE($W857,"Collection Email","1st Email Follow-up","2nd Email Follow-up","Escalation to Local Office","Escalation to CBE","Escalation to Roxanne")&amp;" sent "&amp;TEXT($X857,"dd-mmm")&amp;". "&amp;IF($W857=6,"Final escalation completed.",IF($T857="OVERDUE","Next: "&amp;$Z857&amp;" was due "&amp;TEXT($Y857,"dd-mmm")&amp;" - "&amp;(NETWORKDAYS($Y857,TODAY(),Holidays)-1)&amp;" business day(s) late. Send now.",IF($T857="DUE TOMORROW","Next: "&amp;$Z857&amp;IF($Y857&lt;=TODAY()," is due TODAY ("," is due next business day (")&amp;TEXT($Y857,"dd-mmm")&amp;").","Next: "&amp;$Z857&amp;" due "&amp;TEXT($Y857,"dd-mmm")&amp;" ("&amp;(NETWORKDAYS(TODAY(),$Y857,Holidays)-1)&amp;" business day(s) left).")))))</f>
        <v/>
      </c>
      <c r="V857" s="17">
        <f>IF($W857="","",CHOOSE($W857,"Collection Email","1st Follow-up","2nd Follow-up","Local Office","CBE","Roxanne")&amp;IF($W857=6," - Final"," - Day "&amp;MAX(0,NETWORKDAYS($X857,TODAY(),Holidays)-1)&amp;" of "&amp;CHOOSE($W857,3,3,2,2,3))&amp;" | Total Day "&amp;MAX(0,NETWORKDAYS($L857,TODAY(),Holidays)-1))</f>
        <v/>
      </c>
      <c r="W857" s="17">
        <f>IF($L857="","",COUNT($L857:$Q857))</f>
        <v/>
      </c>
      <c r="X857" s="18">
        <f>IF($W857="","",INT(INDEX($L857:$Q857,$W857)))</f>
        <v/>
      </c>
      <c r="Y857" s="18">
        <f>IF(OR($W857="",$W857=6),"",WORKDAY($X857,CHOOSE($W857,3,3,2,2,3),Holidays))</f>
        <v/>
      </c>
      <c r="Z857" s="17">
        <f>IF(OR($W857="",$W857=6),"",CHOOSE($W857,"1st Email Follow-up","2nd Email Follow-up","Escalate Local Office","Escalate to CBE","Escalate to Roxanne"))</f>
        <v/>
      </c>
    </row>
    <row r="858" spans="18:26">
      <c r="R858" s="15"/>
      <c r="S858" s="16"/>
      <c r="T858" s="17">
        <f>IF(AND(COUNTA($A858:$K858)=0,$L858=""),"",IF($S858="Paid","PAID",IF($S858="Closed","CLOSED",IF($W858="","",IF($W858=6,"ESCALATED TO ROXANNE",IF(TODAY()&gt;$Y858,"OVERDUE",IF($Y858&lt;=WORKDAY(TODAY(),1,Holidays),"DUE TOMORROW",IF($W858=4,"ESCALATED TO LOCAL OFFICE",IF($W858=5,"ESCALATED TO CBE",IF($X858=TODAY(),"EMAIL SENT","MONITORING"))))))))))</f>
        <v/>
      </c>
      <c r="U858" s="17">
        <f>IF($T858="",IF(AND(COUNTA($A858:$K858)&gt;0,$L858=""),"Awaiting Collection Email time stamp.",""),IF(OR($T858="PAID",$T858="CLOSED"),IF($T858="PAID","Account paid. Action completed.","Account closed. No further action required."),CHOOSE($W858,"Collection Email","1st Email Follow-up","2nd Email Follow-up","Escalation to Local Office","Escalation to CBE","Escalation to Roxanne")&amp;" sent "&amp;TEXT($X858,"dd-mmm")&amp;". "&amp;IF($W858=6,"Final escalation completed.",IF($T858="OVERDUE","Next: "&amp;$Z858&amp;" was due "&amp;TEXT($Y858,"dd-mmm")&amp;" - "&amp;(NETWORKDAYS($Y858,TODAY(),Holidays)-1)&amp;" business day(s) late. Send now.",IF($T858="DUE TOMORROW","Next: "&amp;$Z858&amp;IF($Y858&lt;=TODAY()," is due TODAY ("," is due next business day (")&amp;TEXT($Y858,"dd-mmm")&amp;").","Next: "&amp;$Z858&amp;" due "&amp;TEXT($Y858,"dd-mmm")&amp;" ("&amp;(NETWORKDAYS(TODAY(),$Y858,Holidays)-1)&amp;" business day(s) left).")))))</f>
        <v/>
      </c>
      <c r="V858" s="17">
        <f>IF($W858="","",CHOOSE($W858,"Collection Email","1st Follow-up","2nd Follow-up","Local Office","CBE","Roxanne")&amp;IF($W858=6," - Final"," - Day "&amp;MAX(0,NETWORKDAYS($X858,TODAY(),Holidays)-1)&amp;" of "&amp;CHOOSE($W858,3,3,2,2,3))&amp;" | Total Day "&amp;MAX(0,NETWORKDAYS($L858,TODAY(),Holidays)-1))</f>
        <v/>
      </c>
      <c r="W858" s="17">
        <f>IF($L858="","",COUNT($L858:$Q858))</f>
        <v/>
      </c>
      <c r="X858" s="18">
        <f>IF($W858="","",INT(INDEX($L858:$Q858,$W858)))</f>
        <v/>
      </c>
      <c r="Y858" s="18">
        <f>IF(OR($W858="",$W858=6),"",WORKDAY($X858,CHOOSE($W858,3,3,2,2,3),Holidays))</f>
        <v/>
      </c>
      <c r="Z858" s="17">
        <f>IF(OR($W858="",$W858=6),"",CHOOSE($W858,"1st Email Follow-up","2nd Email Follow-up","Escalate Local Office","Escalate to CBE","Escalate to Roxanne"))</f>
        <v/>
      </c>
    </row>
    <row r="859" spans="18:26">
      <c r="R859" s="15"/>
      <c r="S859" s="16"/>
      <c r="T859" s="17">
        <f>IF(AND(COUNTA($A859:$K859)=0,$L859=""),"",IF($S859="Paid","PAID",IF($S859="Closed","CLOSED",IF($W859="","",IF($W859=6,"ESCALATED TO ROXANNE",IF(TODAY()&gt;$Y859,"OVERDUE",IF($Y859&lt;=WORKDAY(TODAY(),1,Holidays),"DUE TOMORROW",IF($W859=4,"ESCALATED TO LOCAL OFFICE",IF($W859=5,"ESCALATED TO CBE",IF($X859=TODAY(),"EMAIL SENT","MONITORING"))))))))))</f>
        <v/>
      </c>
      <c r="U859" s="17">
        <f>IF($T859="",IF(AND(COUNTA($A859:$K859)&gt;0,$L859=""),"Awaiting Collection Email time stamp.",""),IF(OR($T859="PAID",$T859="CLOSED"),IF($T859="PAID","Account paid. Action completed.","Account closed. No further action required."),CHOOSE($W859,"Collection Email","1st Email Follow-up","2nd Email Follow-up","Escalation to Local Office","Escalation to CBE","Escalation to Roxanne")&amp;" sent "&amp;TEXT($X859,"dd-mmm")&amp;". "&amp;IF($W859=6,"Final escalation completed.",IF($T859="OVERDUE","Next: "&amp;$Z859&amp;" was due "&amp;TEXT($Y859,"dd-mmm")&amp;" - "&amp;(NETWORKDAYS($Y859,TODAY(),Holidays)-1)&amp;" business day(s) late. Send now.",IF($T859="DUE TOMORROW","Next: "&amp;$Z859&amp;IF($Y859&lt;=TODAY()," is due TODAY ("," is due next business day (")&amp;TEXT($Y859,"dd-mmm")&amp;").","Next: "&amp;$Z859&amp;" due "&amp;TEXT($Y859,"dd-mmm")&amp;" ("&amp;(NETWORKDAYS(TODAY(),$Y859,Holidays)-1)&amp;" business day(s) left).")))))</f>
        <v/>
      </c>
      <c r="V859" s="17">
        <f>IF($W859="","",CHOOSE($W859,"Collection Email","1st Follow-up","2nd Follow-up","Local Office","CBE","Roxanne")&amp;IF($W859=6," - Final"," - Day "&amp;MAX(0,NETWORKDAYS($X859,TODAY(),Holidays)-1)&amp;" of "&amp;CHOOSE($W859,3,3,2,2,3))&amp;" | Total Day "&amp;MAX(0,NETWORKDAYS($L859,TODAY(),Holidays)-1))</f>
        <v/>
      </c>
      <c r="W859" s="17">
        <f>IF($L859="","",COUNT($L859:$Q859))</f>
        <v/>
      </c>
      <c r="X859" s="18">
        <f>IF($W859="","",INT(INDEX($L859:$Q859,$W859)))</f>
        <v/>
      </c>
      <c r="Y859" s="18">
        <f>IF(OR($W859="",$W859=6),"",WORKDAY($X859,CHOOSE($W859,3,3,2,2,3),Holidays))</f>
        <v/>
      </c>
      <c r="Z859" s="17">
        <f>IF(OR($W859="",$W859=6),"",CHOOSE($W859,"1st Email Follow-up","2nd Email Follow-up","Escalate Local Office","Escalate to CBE","Escalate to Roxanne"))</f>
        <v/>
      </c>
    </row>
    <row r="860" spans="18:26">
      <c r="R860" s="15"/>
      <c r="S860" s="16"/>
      <c r="T860" s="17">
        <f>IF(AND(COUNTA($A860:$K860)=0,$L860=""),"",IF($S860="Paid","PAID",IF($S860="Closed","CLOSED",IF($W860="","",IF($W860=6,"ESCALATED TO ROXANNE",IF(TODAY()&gt;$Y860,"OVERDUE",IF($Y860&lt;=WORKDAY(TODAY(),1,Holidays),"DUE TOMORROW",IF($W860=4,"ESCALATED TO LOCAL OFFICE",IF($W860=5,"ESCALATED TO CBE",IF($X860=TODAY(),"EMAIL SENT","MONITORING"))))))))))</f>
        <v/>
      </c>
      <c r="U860" s="17">
        <f>IF($T860="",IF(AND(COUNTA($A860:$K860)&gt;0,$L860=""),"Awaiting Collection Email time stamp.",""),IF(OR($T860="PAID",$T860="CLOSED"),IF($T860="PAID","Account paid. Action completed.","Account closed. No further action required."),CHOOSE($W860,"Collection Email","1st Email Follow-up","2nd Email Follow-up","Escalation to Local Office","Escalation to CBE","Escalation to Roxanne")&amp;" sent "&amp;TEXT($X860,"dd-mmm")&amp;". "&amp;IF($W860=6,"Final escalation completed.",IF($T860="OVERDUE","Next: "&amp;$Z860&amp;" was due "&amp;TEXT($Y860,"dd-mmm")&amp;" - "&amp;(NETWORKDAYS($Y860,TODAY(),Holidays)-1)&amp;" business day(s) late. Send now.",IF($T860="DUE TOMORROW","Next: "&amp;$Z860&amp;IF($Y860&lt;=TODAY()," is due TODAY ("," is due next business day (")&amp;TEXT($Y860,"dd-mmm")&amp;").","Next: "&amp;$Z860&amp;" due "&amp;TEXT($Y860,"dd-mmm")&amp;" ("&amp;(NETWORKDAYS(TODAY(),$Y860,Holidays)-1)&amp;" business day(s) left).")))))</f>
        <v/>
      </c>
      <c r="V860" s="17">
        <f>IF($W860="","",CHOOSE($W860,"Collection Email","1st Follow-up","2nd Follow-up","Local Office","CBE","Roxanne")&amp;IF($W860=6," - Final"," - Day "&amp;MAX(0,NETWORKDAYS($X860,TODAY(),Holidays)-1)&amp;" of "&amp;CHOOSE($W860,3,3,2,2,3))&amp;" | Total Day "&amp;MAX(0,NETWORKDAYS($L860,TODAY(),Holidays)-1))</f>
        <v/>
      </c>
      <c r="W860" s="17">
        <f>IF($L860="","",COUNT($L860:$Q860))</f>
        <v/>
      </c>
      <c r="X860" s="18">
        <f>IF($W860="","",INT(INDEX($L860:$Q860,$W860)))</f>
        <v/>
      </c>
      <c r="Y860" s="18">
        <f>IF(OR($W860="",$W860=6),"",WORKDAY($X860,CHOOSE($W860,3,3,2,2,3),Holidays))</f>
        <v/>
      </c>
      <c r="Z860" s="17">
        <f>IF(OR($W860="",$W860=6),"",CHOOSE($W860,"1st Email Follow-up","2nd Email Follow-up","Escalate Local Office","Escalate to CBE","Escalate to Roxanne"))</f>
        <v/>
      </c>
    </row>
    <row r="861" spans="18:26">
      <c r="R861" s="15"/>
      <c r="S861" s="16"/>
      <c r="T861" s="17">
        <f>IF(AND(COUNTA($A861:$K861)=0,$L861=""),"",IF($S861="Paid","PAID",IF($S861="Closed","CLOSED",IF($W861="","",IF($W861=6,"ESCALATED TO ROXANNE",IF(TODAY()&gt;$Y861,"OVERDUE",IF($Y861&lt;=WORKDAY(TODAY(),1,Holidays),"DUE TOMORROW",IF($W861=4,"ESCALATED TO LOCAL OFFICE",IF($W861=5,"ESCALATED TO CBE",IF($X861=TODAY(),"EMAIL SENT","MONITORING"))))))))))</f>
        <v/>
      </c>
      <c r="U861" s="17">
        <f>IF($T861="",IF(AND(COUNTA($A861:$K861)&gt;0,$L861=""),"Awaiting Collection Email time stamp.",""),IF(OR($T861="PAID",$T861="CLOSED"),IF($T861="PAID","Account paid. Action completed.","Account closed. No further action required."),CHOOSE($W861,"Collection Email","1st Email Follow-up","2nd Email Follow-up","Escalation to Local Office","Escalation to CBE","Escalation to Roxanne")&amp;" sent "&amp;TEXT($X861,"dd-mmm")&amp;". "&amp;IF($W861=6,"Final escalation completed.",IF($T861="OVERDUE","Next: "&amp;$Z861&amp;" was due "&amp;TEXT($Y861,"dd-mmm")&amp;" - "&amp;(NETWORKDAYS($Y861,TODAY(),Holidays)-1)&amp;" business day(s) late. Send now.",IF($T861="DUE TOMORROW","Next: "&amp;$Z861&amp;IF($Y861&lt;=TODAY()," is due TODAY ("," is due next business day (")&amp;TEXT($Y861,"dd-mmm")&amp;").","Next: "&amp;$Z861&amp;" due "&amp;TEXT($Y861,"dd-mmm")&amp;" ("&amp;(NETWORKDAYS(TODAY(),$Y861,Holidays)-1)&amp;" business day(s) left).")))))</f>
        <v/>
      </c>
      <c r="V861" s="17">
        <f>IF($W861="","",CHOOSE($W861,"Collection Email","1st Follow-up","2nd Follow-up","Local Office","CBE","Roxanne")&amp;IF($W861=6," - Final"," - Day "&amp;MAX(0,NETWORKDAYS($X861,TODAY(),Holidays)-1)&amp;" of "&amp;CHOOSE($W861,3,3,2,2,3))&amp;" | Total Day "&amp;MAX(0,NETWORKDAYS($L861,TODAY(),Holidays)-1))</f>
        <v/>
      </c>
      <c r="W861" s="17">
        <f>IF($L861="","",COUNT($L861:$Q861))</f>
        <v/>
      </c>
      <c r="X861" s="18">
        <f>IF($W861="","",INT(INDEX($L861:$Q861,$W861)))</f>
        <v/>
      </c>
      <c r="Y861" s="18">
        <f>IF(OR($W861="",$W861=6),"",WORKDAY($X861,CHOOSE($W861,3,3,2,2,3),Holidays))</f>
        <v/>
      </c>
      <c r="Z861" s="17">
        <f>IF(OR($W861="",$W861=6),"",CHOOSE($W861,"1st Email Follow-up","2nd Email Follow-up","Escalate Local Office","Escalate to CBE","Escalate to Roxanne"))</f>
        <v/>
      </c>
    </row>
    <row r="862" spans="18:26">
      <c r="R862" s="15"/>
      <c r="S862" s="16"/>
      <c r="T862" s="17">
        <f>IF(AND(COUNTA($A862:$K862)=0,$L862=""),"",IF($S862="Paid","PAID",IF($S862="Closed","CLOSED",IF($W862="","",IF($W862=6,"ESCALATED TO ROXANNE",IF(TODAY()&gt;$Y862,"OVERDUE",IF($Y862&lt;=WORKDAY(TODAY(),1,Holidays),"DUE TOMORROW",IF($W862=4,"ESCALATED TO LOCAL OFFICE",IF($W862=5,"ESCALATED TO CBE",IF($X862=TODAY(),"EMAIL SENT","MONITORING"))))))))))</f>
        <v/>
      </c>
      <c r="U862" s="17">
        <f>IF($T862="",IF(AND(COUNTA($A862:$K862)&gt;0,$L862=""),"Awaiting Collection Email time stamp.",""),IF(OR($T862="PAID",$T862="CLOSED"),IF($T862="PAID","Account paid. Action completed.","Account closed. No further action required."),CHOOSE($W862,"Collection Email","1st Email Follow-up","2nd Email Follow-up","Escalation to Local Office","Escalation to CBE","Escalation to Roxanne")&amp;" sent "&amp;TEXT($X862,"dd-mmm")&amp;". "&amp;IF($W862=6,"Final escalation completed.",IF($T862="OVERDUE","Next: "&amp;$Z862&amp;" was due "&amp;TEXT($Y862,"dd-mmm")&amp;" - "&amp;(NETWORKDAYS($Y862,TODAY(),Holidays)-1)&amp;" business day(s) late. Send now.",IF($T862="DUE TOMORROW","Next: "&amp;$Z862&amp;IF($Y862&lt;=TODAY()," is due TODAY ("," is due next business day (")&amp;TEXT($Y862,"dd-mmm")&amp;").","Next: "&amp;$Z862&amp;" due "&amp;TEXT($Y862,"dd-mmm")&amp;" ("&amp;(NETWORKDAYS(TODAY(),$Y862,Holidays)-1)&amp;" business day(s) left).")))))</f>
        <v/>
      </c>
      <c r="V862" s="17">
        <f>IF($W862="","",CHOOSE($W862,"Collection Email","1st Follow-up","2nd Follow-up","Local Office","CBE","Roxanne")&amp;IF($W862=6," - Final"," - Day "&amp;MAX(0,NETWORKDAYS($X862,TODAY(),Holidays)-1)&amp;" of "&amp;CHOOSE($W862,3,3,2,2,3))&amp;" | Total Day "&amp;MAX(0,NETWORKDAYS($L862,TODAY(),Holidays)-1))</f>
        <v/>
      </c>
      <c r="W862" s="17">
        <f>IF($L862="","",COUNT($L862:$Q862))</f>
        <v/>
      </c>
      <c r="X862" s="18">
        <f>IF($W862="","",INT(INDEX($L862:$Q862,$W862)))</f>
        <v/>
      </c>
      <c r="Y862" s="18">
        <f>IF(OR($W862="",$W862=6),"",WORKDAY($X862,CHOOSE($W862,3,3,2,2,3),Holidays))</f>
        <v/>
      </c>
      <c r="Z862" s="17">
        <f>IF(OR($W862="",$W862=6),"",CHOOSE($W862,"1st Email Follow-up","2nd Email Follow-up","Escalate Local Office","Escalate to CBE","Escalate to Roxanne"))</f>
        <v/>
      </c>
    </row>
    <row r="863" spans="18:26">
      <c r="R863" s="15"/>
      <c r="S863" s="16"/>
      <c r="T863" s="17">
        <f>IF(AND(COUNTA($A863:$K863)=0,$L863=""),"",IF($S863="Paid","PAID",IF($S863="Closed","CLOSED",IF($W863="","",IF($W863=6,"ESCALATED TO ROXANNE",IF(TODAY()&gt;$Y863,"OVERDUE",IF($Y863&lt;=WORKDAY(TODAY(),1,Holidays),"DUE TOMORROW",IF($W863=4,"ESCALATED TO LOCAL OFFICE",IF($W863=5,"ESCALATED TO CBE",IF($X863=TODAY(),"EMAIL SENT","MONITORING"))))))))))</f>
        <v/>
      </c>
      <c r="U863" s="17">
        <f>IF($T863="",IF(AND(COUNTA($A863:$K863)&gt;0,$L863=""),"Awaiting Collection Email time stamp.",""),IF(OR($T863="PAID",$T863="CLOSED"),IF($T863="PAID","Account paid. Action completed.","Account closed. No further action required."),CHOOSE($W863,"Collection Email","1st Email Follow-up","2nd Email Follow-up","Escalation to Local Office","Escalation to CBE","Escalation to Roxanne")&amp;" sent "&amp;TEXT($X863,"dd-mmm")&amp;". "&amp;IF($W863=6,"Final escalation completed.",IF($T863="OVERDUE","Next: "&amp;$Z863&amp;" was due "&amp;TEXT($Y863,"dd-mmm")&amp;" - "&amp;(NETWORKDAYS($Y863,TODAY(),Holidays)-1)&amp;" business day(s) late. Send now.",IF($T863="DUE TOMORROW","Next: "&amp;$Z863&amp;IF($Y863&lt;=TODAY()," is due TODAY ("," is due next business day (")&amp;TEXT($Y863,"dd-mmm")&amp;").","Next: "&amp;$Z863&amp;" due "&amp;TEXT($Y863,"dd-mmm")&amp;" ("&amp;(NETWORKDAYS(TODAY(),$Y863,Holidays)-1)&amp;" business day(s) left).")))))</f>
        <v/>
      </c>
      <c r="V863" s="17">
        <f>IF($W863="","",CHOOSE($W863,"Collection Email","1st Follow-up","2nd Follow-up","Local Office","CBE","Roxanne")&amp;IF($W863=6," - Final"," - Day "&amp;MAX(0,NETWORKDAYS($X863,TODAY(),Holidays)-1)&amp;" of "&amp;CHOOSE($W863,3,3,2,2,3))&amp;" | Total Day "&amp;MAX(0,NETWORKDAYS($L863,TODAY(),Holidays)-1))</f>
        <v/>
      </c>
      <c r="W863" s="17">
        <f>IF($L863="","",COUNT($L863:$Q863))</f>
        <v/>
      </c>
      <c r="X863" s="18">
        <f>IF($W863="","",INT(INDEX($L863:$Q863,$W863)))</f>
        <v/>
      </c>
      <c r="Y863" s="18">
        <f>IF(OR($W863="",$W863=6),"",WORKDAY($X863,CHOOSE($W863,3,3,2,2,3),Holidays))</f>
        <v/>
      </c>
      <c r="Z863" s="17">
        <f>IF(OR($W863="",$W863=6),"",CHOOSE($W863,"1st Email Follow-up","2nd Email Follow-up","Escalate Local Office","Escalate to CBE","Escalate to Roxanne"))</f>
        <v/>
      </c>
    </row>
    <row r="864" spans="18:26">
      <c r="R864" s="15"/>
      <c r="S864" s="16"/>
      <c r="T864" s="17">
        <f>IF(AND(COUNTA($A864:$K864)=0,$L864=""),"",IF($S864="Paid","PAID",IF($S864="Closed","CLOSED",IF($W864="","",IF($W864=6,"ESCALATED TO ROXANNE",IF(TODAY()&gt;$Y864,"OVERDUE",IF($Y864&lt;=WORKDAY(TODAY(),1,Holidays),"DUE TOMORROW",IF($W864=4,"ESCALATED TO LOCAL OFFICE",IF($W864=5,"ESCALATED TO CBE",IF($X864=TODAY(),"EMAIL SENT","MONITORING"))))))))))</f>
        <v/>
      </c>
      <c r="U864" s="17">
        <f>IF($T864="",IF(AND(COUNTA($A864:$K864)&gt;0,$L864=""),"Awaiting Collection Email time stamp.",""),IF(OR($T864="PAID",$T864="CLOSED"),IF($T864="PAID","Account paid. Action completed.","Account closed. No further action required."),CHOOSE($W864,"Collection Email","1st Email Follow-up","2nd Email Follow-up","Escalation to Local Office","Escalation to CBE","Escalation to Roxanne")&amp;" sent "&amp;TEXT($X864,"dd-mmm")&amp;". "&amp;IF($W864=6,"Final escalation completed.",IF($T864="OVERDUE","Next: "&amp;$Z864&amp;" was due "&amp;TEXT($Y864,"dd-mmm")&amp;" - "&amp;(NETWORKDAYS($Y864,TODAY(),Holidays)-1)&amp;" business day(s) late. Send now.",IF($T864="DUE TOMORROW","Next: "&amp;$Z864&amp;IF($Y864&lt;=TODAY()," is due TODAY ("," is due next business day (")&amp;TEXT($Y864,"dd-mmm")&amp;").","Next: "&amp;$Z864&amp;" due "&amp;TEXT($Y864,"dd-mmm")&amp;" ("&amp;(NETWORKDAYS(TODAY(),$Y864,Holidays)-1)&amp;" business day(s) left).")))))</f>
        <v/>
      </c>
      <c r="V864" s="17">
        <f>IF($W864="","",CHOOSE($W864,"Collection Email","1st Follow-up","2nd Follow-up","Local Office","CBE","Roxanne")&amp;IF($W864=6," - Final"," - Day "&amp;MAX(0,NETWORKDAYS($X864,TODAY(),Holidays)-1)&amp;" of "&amp;CHOOSE($W864,3,3,2,2,3))&amp;" | Total Day "&amp;MAX(0,NETWORKDAYS($L864,TODAY(),Holidays)-1))</f>
        <v/>
      </c>
      <c r="W864" s="17">
        <f>IF($L864="","",COUNT($L864:$Q864))</f>
        <v/>
      </c>
      <c r="X864" s="18">
        <f>IF($W864="","",INT(INDEX($L864:$Q864,$W864)))</f>
        <v/>
      </c>
      <c r="Y864" s="18">
        <f>IF(OR($W864="",$W864=6),"",WORKDAY($X864,CHOOSE($W864,3,3,2,2,3),Holidays))</f>
        <v/>
      </c>
      <c r="Z864" s="17">
        <f>IF(OR($W864="",$W864=6),"",CHOOSE($W864,"1st Email Follow-up","2nd Email Follow-up","Escalate Local Office","Escalate to CBE","Escalate to Roxanne"))</f>
        <v/>
      </c>
    </row>
    <row r="865" spans="18:26">
      <c r="R865" s="15"/>
      <c r="S865" s="16"/>
      <c r="T865" s="17">
        <f>IF(AND(COUNTA($A865:$K865)=0,$L865=""),"",IF($S865="Paid","PAID",IF($S865="Closed","CLOSED",IF($W865="","",IF($W865=6,"ESCALATED TO ROXANNE",IF(TODAY()&gt;$Y865,"OVERDUE",IF($Y865&lt;=WORKDAY(TODAY(),1,Holidays),"DUE TOMORROW",IF($W865=4,"ESCALATED TO LOCAL OFFICE",IF($W865=5,"ESCALATED TO CBE",IF($X865=TODAY(),"EMAIL SENT","MONITORING"))))))))))</f>
        <v/>
      </c>
      <c r="U865" s="17">
        <f>IF($T865="",IF(AND(COUNTA($A865:$K865)&gt;0,$L865=""),"Awaiting Collection Email time stamp.",""),IF(OR($T865="PAID",$T865="CLOSED"),IF($T865="PAID","Account paid. Action completed.","Account closed. No further action required."),CHOOSE($W865,"Collection Email","1st Email Follow-up","2nd Email Follow-up","Escalation to Local Office","Escalation to CBE","Escalation to Roxanne")&amp;" sent "&amp;TEXT($X865,"dd-mmm")&amp;". "&amp;IF($W865=6,"Final escalation completed.",IF($T865="OVERDUE","Next: "&amp;$Z865&amp;" was due "&amp;TEXT($Y865,"dd-mmm")&amp;" - "&amp;(NETWORKDAYS($Y865,TODAY(),Holidays)-1)&amp;" business day(s) late. Send now.",IF($T865="DUE TOMORROW","Next: "&amp;$Z865&amp;IF($Y865&lt;=TODAY()," is due TODAY ("," is due next business day (")&amp;TEXT($Y865,"dd-mmm")&amp;").","Next: "&amp;$Z865&amp;" due "&amp;TEXT($Y865,"dd-mmm")&amp;" ("&amp;(NETWORKDAYS(TODAY(),$Y865,Holidays)-1)&amp;" business day(s) left).")))))</f>
        <v/>
      </c>
      <c r="V865" s="17">
        <f>IF($W865="","",CHOOSE($W865,"Collection Email","1st Follow-up","2nd Follow-up","Local Office","CBE","Roxanne")&amp;IF($W865=6," - Final"," - Day "&amp;MAX(0,NETWORKDAYS($X865,TODAY(),Holidays)-1)&amp;" of "&amp;CHOOSE($W865,3,3,2,2,3))&amp;" | Total Day "&amp;MAX(0,NETWORKDAYS($L865,TODAY(),Holidays)-1))</f>
        <v/>
      </c>
      <c r="W865" s="17">
        <f>IF($L865="","",COUNT($L865:$Q865))</f>
        <v/>
      </c>
      <c r="X865" s="18">
        <f>IF($W865="","",INT(INDEX($L865:$Q865,$W865)))</f>
        <v/>
      </c>
      <c r="Y865" s="18">
        <f>IF(OR($W865="",$W865=6),"",WORKDAY($X865,CHOOSE($W865,3,3,2,2,3),Holidays))</f>
        <v/>
      </c>
      <c r="Z865" s="17">
        <f>IF(OR($W865="",$W865=6),"",CHOOSE($W865,"1st Email Follow-up","2nd Email Follow-up","Escalate Local Office","Escalate to CBE","Escalate to Roxanne"))</f>
        <v/>
      </c>
    </row>
    <row r="866" spans="18:26">
      <c r="R866" s="15"/>
      <c r="S866" s="16"/>
      <c r="T866" s="17">
        <f>IF(AND(COUNTA($A866:$K866)=0,$L866=""),"",IF($S866="Paid","PAID",IF($S866="Closed","CLOSED",IF($W866="","",IF($W866=6,"ESCALATED TO ROXANNE",IF(TODAY()&gt;$Y866,"OVERDUE",IF($Y866&lt;=WORKDAY(TODAY(),1,Holidays),"DUE TOMORROW",IF($W866=4,"ESCALATED TO LOCAL OFFICE",IF($W866=5,"ESCALATED TO CBE",IF($X866=TODAY(),"EMAIL SENT","MONITORING"))))))))))</f>
        <v/>
      </c>
      <c r="U866" s="17">
        <f>IF($T866="",IF(AND(COUNTA($A866:$K866)&gt;0,$L866=""),"Awaiting Collection Email time stamp.",""),IF(OR($T866="PAID",$T866="CLOSED"),IF($T866="PAID","Account paid. Action completed.","Account closed. No further action required."),CHOOSE($W866,"Collection Email","1st Email Follow-up","2nd Email Follow-up","Escalation to Local Office","Escalation to CBE","Escalation to Roxanne")&amp;" sent "&amp;TEXT($X866,"dd-mmm")&amp;". "&amp;IF($W866=6,"Final escalation completed.",IF($T866="OVERDUE","Next: "&amp;$Z866&amp;" was due "&amp;TEXT($Y866,"dd-mmm")&amp;" - "&amp;(NETWORKDAYS($Y866,TODAY(),Holidays)-1)&amp;" business day(s) late. Send now.",IF($T866="DUE TOMORROW","Next: "&amp;$Z866&amp;IF($Y866&lt;=TODAY()," is due TODAY ("," is due next business day (")&amp;TEXT($Y866,"dd-mmm")&amp;").","Next: "&amp;$Z866&amp;" due "&amp;TEXT($Y866,"dd-mmm")&amp;" ("&amp;(NETWORKDAYS(TODAY(),$Y866,Holidays)-1)&amp;" business day(s) left).")))))</f>
        <v/>
      </c>
      <c r="V866" s="17">
        <f>IF($W866="","",CHOOSE($W866,"Collection Email","1st Follow-up","2nd Follow-up","Local Office","CBE","Roxanne")&amp;IF($W866=6," - Final"," - Day "&amp;MAX(0,NETWORKDAYS($X866,TODAY(),Holidays)-1)&amp;" of "&amp;CHOOSE($W866,3,3,2,2,3))&amp;" | Total Day "&amp;MAX(0,NETWORKDAYS($L866,TODAY(),Holidays)-1))</f>
        <v/>
      </c>
      <c r="W866" s="17">
        <f>IF($L866="","",COUNT($L866:$Q866))</f>
        <v/>
      </c>
      <c r="X866" s="18">
        <f>IF($W866="","",INT(INDEX($L866:$Q866,$W866)))</f>
        <v/>
      </c>
      <c r="Y866" s="18">
        <f>IF(OR($W866="",$W866=6),"",WORKDAY($X866,CHOOSE($W866,3,3,2,2,3),Holidays))</f>
        <v/>
      </c>
      <c r="Z866" s="17">
        <f>IF(OR($W866="",$W866=6),"",CHOOSE($W866,"1st Email Follow-up","2nd Email Follow-up","Escalate Local Office","Escalate to CBE","Escalate to Roxanne"))</f>
        <v/>
      </c>
    </row>
    <row r="867" spans="18:26">
      <c r="R867" s="15"/>
      <c r="S867" s="16"/>
      <c r="T867" s="17">
        <f>IF(AND(COUNTA($A867:$K867)=0,$L867=""),"",IF($S867="Paid","PAID",IF($S867="Closed","CLOSED",IF($W867="","",IF($W867=6,"ESCALATED TO ROXANNE",IF(TODAY()&gt;$Y867,"OVERDUE",IF($Y867&lt;=WORKDAY(TODAY(),1,Holidays),"DUE TOMORROW",IF($W867=4,"ESCALATED TO LOCAL OFFICE",IF($W867=5,"ESCALATED TO CBE",IF($X867=TODAY(),"EMAIL SENT","MONITORING"))))))))))</f>
        <v/>
      </c>
      <c r="U867" s="17">
        <f>IF($T867="",IF(AND(COUNTA($A867:$K867)&gt;0,$L867=""),"Awaiting Collection Email time stamp.",""),IF(OR($T867="PAID",$T867="CLOSED"),IF($T867="PAID","Account paid. Action completed.","Account closed. No further action required."),CHOOSE($W867,"Collection Email","1st Email Follow-up","2nd Email Follow-up","Escalation to Local Office","Escalation to CBE","Escalation to Roxanne")&amp;" sent "&amp;TEXT($X867,"dd-mmm")&amp;". "&amp;IF($W867=6,"Final escalation completed.",IF($T867="OVERDUE","Next: "&amp;$Z867&amp;" was due "&amp;TEXT($Y867,"dd-mmm")&amp;" - "&amp;(NETWORKDAYS($Y867,TODAY(),Holidays)-1)&amp;" business day(s) late. Send now.",IF($T867="DUE TOMORROW","Next: "&amp;$Z867&amp;IF($Y867&lt;=TODAY()," is due TODAY ("," is due next business day (")&amp;TEXT($Y867,"dd-mmm")&amp;").","Next: "&amp;$Z867&amp;" due "&amp;TEXT($Y867,"dd-mmm")&amp;" ("&amp;(NETWORKDAYS(TODAY(),$Y867,Holidays)-1)&amp;" business day(s) left).")))))</f>
        <v/>
      </c>
      <c r="V867" s="17">
        <f>IF($W867="","",CHOOSE($W867,"Collection Email","1st Follow-up","2nd Follow-up","Local Office","CBE","Roxanne")&amp;IF($W867=6," - Final"," - Day "&amp;MAX(0,NETWORKDAYS($X867,TODAY(),Holidays)-1)&amp;" of "&amp;CHOOSE($W867,3,3,2,2,3))&amp;" | Total Day "&amp;MAX(0,NETWORKDAYS($L867,TODAY(),Holidays)-1))</f>
        <v/>
      </c>
      <c r="W867" s="17">
        <f>IF($L867="","",COUNT($L867:$Q867))</f>
        <v/>
      </c>
      <c r="X867" s="18">
        <f>IF($W867="","",INT(INDEX($L867:$Q867,$W867)))</f>
        <v/>
      </c>
      <c r="Y867" s="18">
        <f>IF(OR($W867="",$W867=6),"",WORKDAY($X867,CHOOSE($W867,3,3,2,2,3),Holidays))</f>
        <v/>
      </c>
      <c r="Z867" s="17">
        <f>IF(OR($W867="",$W867=6),"",CHOOSE($W867,"1st Email Follow-up","2nd Email Follow-up","Escalate Local Office","Escalate to CBE","Escalate to Roxanne"))</f>
        <v/>
      </c>
    </row>
    <row r="868" spans="18:26">
      <c r="R868" s="15"/>
      <c r="S868" s="16"/>
      <c r="T868" s="17">
        <f>IF(AND(COUNTA($A868:$K868)=0,$L868=""),"",IF($S868="Paid","PAID",IF($S868="Closed","CLOSED",IF($W868="","",IF($W868=6,"ESCALATED TO ROXANNE",IF(TODAY()&gt;$Y868,"OVERDUE",IF($Y868&lt;=WORKDAY(TODAY(),1,Holidays),"DUE TOMORROW",IF($W868=4,"ESCALATED TO LOCAL OFFICE",IF($W868=5,"ESCALATED TO CBE",IF($X868=TODAY(),"EMAIL SENT","MONITORING"))))))))))</f>
        <v/>
      </c>
      <c r="U868" s="17">
        <f>IF($T868="",IF(AND(COUNTA($A868:$K868)&gt;0,$L868=""),"Awaiting Collection Email time stamp.",""),IF(OR($T868="PAID",$T868="CLOSED"),IF($T868="PAID","Account paid. Action completed.","Account closed. No further action required."),CHOOSE($W868,"Collection Email","1st Email Follow-up","2nd Email Follow-up","Escalation to Local Office","Escalation to CBE","Escalation to Roxanne")&amp;" sent "&amp;TEXT($X868,"dd-mmm")&amp;". "&amp;IF($W868=6,"Final escalation completed.",IF($T868="OVERDUE","Next: "&amp;$Z868&amp;" was due "&amp;TEXT($Y868,"dd-mmm")&amp;" - "&amp;(NETWORKDAYS($Y868,TODAY(),Holidays)-1)&amp;" business day(s) late. Send now.",IF($T868="DUE TOMORROW","Next: "&amp;$Z868&amp;IF($Y868&lt;=TODAY()," is due TODAY ("," is due next business day (")&amp;TEXT($Y868,"dd-mmm")&amp;").","Next: "&amp;$Z868&amp;" due "&amp;TEXT($Y868,"dd-mmm")&amp;" ("&amp;(NETWORKDAYS(TODAY(),$Y868,Holidays)-1)&amp;" business day(s) left).")))))</f>
        <v/>
      </c>
      <c r="V868" s="17">
        <f>IF($W868="","",CHOOSE($W868,"Collection Email","1st Follow-up","2nd Follow-up","Local Office","CBE","Roxanne")&amp;IF($W868=6," - Final"," - Day "&amp;MAX(0,NETWORKDAYS($X868,TODAY(),Holidays)-1)&amp;" of "&amp;CHOOSE($W868,3,3,2,2,3))&amp;" | Total Day "&amp;MAX(0,NETWORKDAYS($L868,TODAY(),Holidays)-1))</f>
        <v/>
      </c>
      <c r="W868" s="17">
        <f>IF($L868="","",COUNT($L868:$Q868))</f>
        <v/>
      </c>
      <c r="X868" s="18">
        <f>IF($W868="","",INT(INDEX($L868:$Q868,$W868)))</f>
        <v/>
      </c>
      <c r="Y868" s="18">
        <f>IF(OR($W868="",$W868=6),"",WORKDAY($X868,CHOOSE($W868,3,3,2,2,3),Holidays))</f>
        <v/>
      </c>
      <c r="Z868" s="17">
        <f>IF(OR($W868="",$W868=6),"",CHOOSE($W868,"1st Email Follow-up","2nd Email Follow-up","Escalate Local Office","Escalate to CBE","Escalate to Roxanne"))</f>
        <v/>
      </c>
    </row>
    <row r="869" spans="18:26">
      <c r="R869" s="15"/>
      <c r="S869" s="16"/>
      <c r="T869" s="17">
        <f>IF(AND(COUNTA($A869:$K869)=0,$L869=""),"",IF($S869="Paid","PAID",IF($S869="Closed","CLOSED",IF($W869="","",IF($W869=6,"ESCALATED TO ROXANNE",IF(TODAY()&gt;$Y869,"OVERDUE",IF($Y869&lt;=WORKDAY(TODAY(),1,Holidays),"DUE TOMORROW",IF($W869=4,"ESCALATED TO LOCAL OFFICE",IF($W869=5,"ESCALATED TO CBE",IF($X869=TODAY(),"EMAIL SENT","MONITORING"))))))))))</f>
        <v/>
      </c>
      <c r="U869" s="17">
        <f>IF($T869="",IF(AND(COUNTA($A869:$K869)&gt;0,$L869=""),"Awaiting Collection Email time stamp.",""),IF(OR($T869="PAID",$T869="CLOSED"),IF($T869="PAID","Account paid. Action completed.","Account closed. No further action required."),CHOOSE($W869,"Collection Email","1st Email Follow-up","2nd Email Follow-up","Escalation to Local Office","Escalation to CBE","Escalation to Roxanne")&amp;" sent "&amp;TEXT($X869,"dd-mmm")&amp;". "&amp;IF($W869=6,"Final escalation completed.",IF($T869="OVERDUE","Next: "&amp;$Z869&amp;" was due "&amp;TEXT($Y869,"dd-mmm")&amp;" - "&amp;(NETWORKDAYS($Y869,TODAY(),Holidays)-1)&amp;" business day(s) late. Send now.",IF($T869="DUE TOMORROW","Next: "&amp;$Z869&amp;IF($Y869&lt;=TODAY()," is due TODAY ("," is due next business day (")&amp;TEXT($Y869,"dd-mmm")&amp;").","Next: "&amp;$Z869&amp;" due "&amp;TEXT($Y869,"dd-mmm")&amp;" ("&amp;(NETWORKDAYS(TODAY(),$Y869,Holidays)-1)&amp;" business day(s) left).")))))</f>
        <v/>
      </c>
      <c r="V869" s="17">
        <f>IF($W869="","",CHOOSE($W869,"Collection Email","1st Follow-up","2nd Follow-up","Local Office","CBE","Roxanne")&amp;IF($W869=6," - Final"," - Day "&amp;MAX(0,NETWORKDAYS($X869,TODAY(),Holidays)-1)&amp;" of "&amp;CHOOSE($W869,3,3,2,2,3))&amp;" | Total Day "&amp;MAX(0,NETWORKDAYS($L869,TODAY(),Holidays)-1))</f>
        <v/>
      </c>
      <c r="W869" s="17">
        <f>IF($L869="","",COUNT($L869:$Q869))</f>
        <v/>
      </c>
      <c r="X869" s="18">
        <f>IF($W869="","",INT(INDEX($L869:$Q869,$W869)))</f>
        <v/>
      </c>
      <c r="Y869" s="18">
        <f>IF(OR($W869="",$W869=6),"",WORKDAY($X869,CHOOSE($W869,3,3,2,2,3),Holidays))</f>
        <v/>
      </c>
      <c r="Z869" s="17">
        <f>IF(OR($W869="",$W869=6),"",CHOOSE($W869,"1st Email Follow-up","2nd Email Follow-up","Escalate Local Office","Escalate to CBE","Escalate to Roxanne"))</f>
        <v/>
      </c>
    </row>
    <row r="870" spans="18:26">
      <c r="R870" s="15"/>
      <c r="S870" s="16"/>
      <c r="T870" s="17">
        <f>IF(AND(COUNTA($A870:$K870)=0,$L870=""),"",IF($S870="Paid","PAID",IF($S870="Closed","CLOSED",IF($W870="","",IF($W870=6,"ESCALATED TO ROXANNE",IF(TODAY()&gt;$Y870,"OVERDUE",IF($Y870&lt;=WORKDAY(TODAY(),1,Holidays),"DUE TOMORROW",IF($W870=4,"ESCALATED TO LOCAL OFFICE",IF($W870=5,"ESCALATED TO CBE",IF($X870=TODAY(),"EMAIL SENT","MONITORING"))))))))))</f>
        <v/>
      </c>
      <c r="U870" s="17">
        <f>IF($T870="",IF(AND(COUNTA($A870:$K870)&gt;0,$L870=""),"Awaiting Collection Email time stamp.",""),IF(OR($T870="PAID",$T870="CLOSED"),IF($T870="PAID","Account paid. Action completed.","Account closed. No further action required."),CHOOSE($W870,"Collection Email","1st Email Follow-up","2nd Email Follow-up","Escalation to Local Office","Escalation to CBE","Escalation to Roxanne")&amp;" sent "&amp;TEXT($X870,"dd-mmm")&amp;". "&amp;IF($W870=6,"Final escalation completed.",IF($T870="OVERDUE","Next: "&amp;$Z870&amp;" was due "&amp;TEXT($Y870,"dd-mmm")&amp;" - "&amp;(NETWORKDAYS($Y870,TODAY(),Holidays)-1)&amp;" business day(s) late. Send now.",IF($T870="DUE TOMORROW","Next: "&amp;$Z870&amp;IF($Y870&lt;=TODAY()," is due TODAY ("," is due next business day (")&amp;TEXT($Y870,"dd-mmm")&amp;").","Next: "&amp;$Z870&amp;" due "&amp;TEXT($Y870,"dd-mmm")&amp;" ("&amp;(NETWORKDAYS(TODAY(),$Y870,Holidays)-1)&amp;" business day(s) left).")))))</f>
        <v/>
      </c>
      <c r="V870" s="17">
        <f>IF($W870="","",CHOOSE($W870,"Collection Email","1st Follow-up","2nd Follow-up","Local Office","CBE","Roxanne")&amp;IF($W870=6," - Final"," - Day "&amp;MAX(0,NETWORKDAYS($X870,TODAY(),Holidays)-1)&amp;" of "&amp;CHOOSE($W870,3,3,2,2,3))&amp;" | Total Day "&amp;MAX(0,NETWORKDAYS($L870,TODAY(),Holidays)-1))</f>
        <v/>
      </c>
      <c r="W870" s="17">
        <f>IF($L870="","",COUNT($L870:$Q870))</f>
        <v/>
      </c>
      <c r="X870" s="18">
        <f>IF($W870="","",INT(INDEX($L870:$Q870,$W870)))</f>
        <v/>
      </c>
      <c r="Y870" s="18">
        <f>IF(OR($W870="",$W870=6),"",WORKDAY($X870,CHOOSE($W870,3,3,2,2,3),Holidays))</f>
        <v/>
      </c>
      <c r="Z870" s="17">
        <f>IF(OR($W870="",$W870=6),"",CHOOSE($W870,"1st Email Follow-up","2nd Email Follow-up","Escalate Local Office","Escalate to CBE","Escalate to Roxanne"))</f>
        <v/>
      </c>
    </row>
    <row r="871" spans="18:26">
      <c r="R871" s="15"/>
      <c r="S871" s="16"/>
      <c r="T871" s="17">
        <f>IF(AND(COUNTA($A871:$K871)=0,$L871=""),"",IF($S871="Paid","PAID",IF($S871="Closed","CLOSED",IF($W871="","",IF($W871=6,"ESCALATED TO ROXANNE",IF(TODAY()&gt;$Y871,"OVERDUE",IF($Y871&lt;=WORKDAY(TODAY(),1,Holidays),"DUE TOMORROW",IF($W871=4,"ESCALATED TO LOCAL OFFICE",IF($W871=5,"ESCALATED TO CBE",IF($X871=TODAY(),"EMAIL SENT","MONITORING"))))))))))</f>
        <v/>
      </c>
      <c r="U871" s="17">
        <f>IF($T871="",IF(AND(COUNTA($A871:$K871)&gt;0,$L871=""),"Awaiting Collection Email time stamp.",""),IF(OR($T871="PAID",$T871="CLOSED"),IF($T871="PAID","Account paid. Action completed.","Account closed. No further action required."),CHOOSE($W871,"Collection Email","1st Email Follow-up","2nd Email Follow-up","Escalation to Local Office","Escalation to CBE","Escalation to Roxanne")&amp;" sent "&amp;TEXT($X871,"dd-mmm")&amp;". "&amp;IF($W871=6,"Final escalation completed.",IF($T871="OVERDUE","Next: "&amp;$Z871&amp;" was due "&amp;TEXT($Y871,"dd-mmm")&amp;" - "&amp;(NETWORKDAYS($Y871,TODAY(),Holidays)-1)&amp;" business day(s) late. Send now.",IF($T871="DUE TOMORROW","Next: "&amp;$Z871&amp;IF($Y871&lt;=TODAY()," is due TODAY ("," is due next business day (")&amp;TEXT($Y871,"dd-mmm")&amp;").","Next: "&amp;$Z871&amp;" due "&amp;TEXT($Y871,"dd-mmm")&amp;" ("&amp;(NETWORKDAYS(TODAY(),$Y871,Holidays)-1)&amp;" business day(s) left).")))))</f>
        <v/>
      </c>
      <c r="V871" s="17">
        <f>IF($W871="","",CHOOSE($W871,"Collection Email","1st Follow-up","2nd Follow-up","Local Office","CBE","Roxanne")&amp;IF($W871=6," - Final"," - Day "&amp;MAX(0,NETWORKDAYS($X871,TODAY(),Holidays)-1)&amp;" of "&amp;CHOOSE($W871,3,3,2,2,3))&amp;" | Total Day "&amp;MAX(0,NETWORKDAYS($L871,TODAY(),Holidays)-1))</f>
        <v/>
      </c>
      <c r="W871" s="17">
        <f>IF($L871="","",COUNT($L871:$Q871))</f>
        <v/>
      </c>
      <c r="X871" s="18">
        <f>IF($W871="","",INT(INDEX($L871:$Q871,$W871)))</f>
        <v/>
      </c>
      <c r="Y871" s="18">
        <f>IF(OR($W871="",$W871=6),"",WORKDAY($X871,CHOOSE($W871,3,3,2,2,3),Holidays))</f>
        <v/>
      </c>
      <c r="Z871" s="17">
        <f>IF(OR($W871="",$W871=6),"",CHOOSE($W871,"1st Email Follow-up","2nd Email Follow-up","Escalate Local Office","Escalate to CBE","Escalate to Roxanne"))</f>
        <v/>
      </c>
    </row>
    <row r="872" spans="18:26">
      <c r="R872" s="15"/>
      <c r="S872" s="16"/>
      <c r="T872" s="17">
        <f>IF(AND(COUNTA($A872:$K872)=0,$L872=""),"",IF($S872="Paid","PAID",IF($S872="Closed","CLOSED",IF($W872="","",IF($W872=6,"ESCALATED TO ROXANNE",IF(TODAY()&gt;$Y872,"OVERDUE",IF($Y872&lt;=WORKDAY(TODAY(),1,Holidays),"DUE TOMORROW",IF($W872=4,"ESCALATED TO LOCAL OFFICE",IF($W872=5,"ESCALATED TO CBE",IF($X872=TODAY(),"EMAIL SENT","MONITORING"))))))))))</f>
        <v/>
      </c>
      <c r="U872" s="17">
        <f>IF($T872="",IF(AND(COUNTA($A872:$K872)&gt;0,$L872=""),"Awaiting Collection Email time stamp.",""),IF(OR($T872="PAID",$T872="CLOSED"),IF($T872="PAID","Account paid. Action completed.","Account closed. No further action required."),CHOOSE($W872,"Collection Email","1st Email Follow-up","2nd Email Follow-up","Escalation to Local Office","Escalation to CBE","Escalation to Roxanne")&amp;" sent "&amp;TEXT($X872,"dd-mmm")&amp;". "&amp;IF($W872=6,"Final escalation completed.",IF($T872="OVERDUE","Next: "&amp;$Z872&amp;" was due "&amp;TEXT($Y872,"dd-mmm")&amp;" - "&amp;(NETWORKDAYS($Y872,TODAY(),Holidays)-1)&amp;" business day(s) late. Send now.",IF($T872="DUE TOMORROW","Next: "&amp;$Z872&amp;IF($Y872&lt;=TODAY()," is due TODAY ("," is due next business day (")&amp;TEXT($Y872,"dd-mmm")&amp;").","Next: "&amp;$Z872&amp;" due "&amp;TEXT($Y872,"dd-mmm")&amp;" ("&amp;(NETWORKDAYS(TODAY(),$Y872,Holidays)-1)&amp;" business day(s) left).")))))</f>
        <v/>
      </c>
      <c r="V872" s="17">
        <f>IF($W872="","",CHOOSE($W872,"Collection Email","1st Follow-up","2nd Follow-up","Local Office","CBE","Roxanne")&amp;IF($W872=6," - Final"," - Day "&amp;MAX(0,NETWORKDAYS($X872,TODAY(),Holidays)-1)&amp;" of "&amp;CHOOSE($W872,3,3,2,2,3))&amp;" | Total Day "&amp;MAX(0,NETWORKDAYS($L872,TODAY(),Holidays)-1))</f>
        <v/>
      </c>
      <c r="W872" s="17">
        <f>IF($L872="","",COUNT($L872:$Q872))</f>
        <v/>
      </c>
      <c r="X872" s="18">
        <f>IF($W872="","",INT(INDEX($L872:$Q872,$W872)))</f>
        <v/>
      </c>
      <c r="Y872" s="18">
        <f>IF(OR($W872="",$W872=6),"",WORKDAY($X872,CHOOSE($W872,3,3,2,2,3),Holidays))</f>
        <v/>
      </c>
      <c r="Z872" s="17">
        <f>IF(OR($W872="",$W872=6),"",CHOOSE($W872,"1st Email Follow-up","2nd Email Follow-up","Escalate Local Office","Escalate to CBE","Escalate to Roxanne"))</f>
        <v/>
      </c>
    </row>
    <row r="873" spans="18:26">
      <c r="R873" s="15"/>
      <c r="S873" s="16"/>
      <c r="T873" s="17">
        <f>IF(AND(COUNTA($A873:$K873)=0,$L873=""),"",IF($S873="Paid","PAID",IF($S873="Closed","CLOSED",IF($W873="","",IF($W873=6,"ESCALATED TO ROXANNE",IF(TODAY()&gt;$Y873,"OVERDUE",IF($Y873&lt;=WORKDAY(TODAY(),1,Holidays),"DUE TOMORROW",IF($W873=4,"ESCALATED TO LOCAL OFFICE",IF($W873=5,"ESCALATED TO CBE",IF($X873=TODAY(),"EMAIL SENT","MONITORING"))))))))))</f>
        <v/>
      </c>
      <c r="U873" s="17">
        <f>IF($T873="",IF(AND(COUNTA($A873:$K873)&gt;0,$L873=""),"Awaiting Collection Email time stamp.",""),IF(OR($T873="PAID",$T873="CLOSED"),IF($T873="PAID","Account paid. Action completed.","Account closed. No further action required."),CHOOSE($W873,"Collection Email","1st Email Follow-up","2nd Email Follow-up","Escalation to Local Office","Escalation to CBE","Escalation to Roxanne")&amp;" sent "&amp;TEXT($X873,"dd-mmm")&amp;". "&amp;IF($W873=6,"Final escalation completed.",IF($T873="OVERDUE","Next: "&amp;$Z873&amp;" was due "&amp;TEXT($Y873,"dd-mmm")&amp;" - "&amp;(NETWORKDAYS($Y873,TODAY(),Holidays)-1)&amp;" business day(s) late. Send now.",IF($T873="DUE TOMORROW","Next: "&amp;$Z873&amp;IF($Y873&lt;=TODAY()," is due TODAY ("," is due next business day (")&amp;TEXT($Y873,"dd-mmm")&amp;").","Next: "&amp;$Z873&amp;" due "&amp;TEXT($Y873,"dd-mmm")&amp;" ("&amp;(NETWORKDAYS(TODAY(),$Y873,Holidays)-1)&amp;" business day(s) left).")))))</f>
        <v/>
      </c>
      <c r="V873" s="17">
        <f>IF($W873="","",CHOOSE($W873,"Collection Email","1st Follow-up","2nd Follow-up","Local Office","CBE","Roxanne")&amp;IF($W873=6," - Final"," - Day "&amp;MAX(0,NETWORKDAYS($X873,TODAY(),Holidays)-1)&amp;" of "&amp;CHOOSE($W873,3,3,2,2,3))&amp;" | Total Day "&amp;MAX(0,NETWORKDAYS($L873,TODAY(),Holidays)-1))</f>
        <v/>
      </c>
      <c r="W873" s="17">
        <f>IF($L873="","",COUNT($L873:$Q873))</f>
        <v/>
      </c>
      <c r="X873" s="18">
        <f>IF($W873="","",INT(INDEX($L873:$Q873,$W873)))</f>
        <v/>
      </c>
      <c r="Y873" s="18">
        <f>IF(OR($W873="",$W873=6),"",WORKDAY($X873,CHOOSE($W873,3,3,2,2,3),Holidays))</f>
        <v/>
      </c>
      <c r="Z873" s="17">
        <f>IF(OR($W873="",$W873=6),"",CHOOSE($W873,"1st Email Follow-up","2nd Email Follow-up","Escalate Local Office","Escalate to CBE","Escalate to Roxanne"))</f>
        <v/>
      </c>
    </row>
    <row r="874" spans="18:26">
      <c r="R874" s="15"/>
      <c r="S874" s="16"/>
      <c r="T874" s="17">
        <f>IF(AND(COUNTA($A874:$K874)=0,$L874=""),"",IF($S874="Paid","PAID",IF($S874="Closed","CLOSED",IF($W874="","",IF($W874=6,"ESCALATED TO ROXANNE",IF(TODAY()&gt;$Y874,"OVERDUE",IF($Y874&lt;=WORKDAY(TODAY(),1,Holidays),"DUE TOMORROW",IF($W874=4,"ESCALATED TO LOCAL OFFICE",IF($W874=5,"ESCALATED TO CBE",IF($X874=TODAY(),"EMAIL SENT","MONITORING"))))))))))</f>
        <v/>
      </c>
      <c r="U874" s="17">
        <f>IF($T874="",IF(AND(COUNTA($A874:$K874)&gt;0,$L874=""),"Awaiting Collection Email time stamp.",""),IF(OR($T874="PAID",$T874="CLOSED"),IF($T874="PAID","Account paid. Action completed.","Account closed. No further action required."),CHOOSE($W874,"Collection Email","1st Email Follow-up","2nd Email Follow-up","Escalation to Local Office","Escalation to CBE","Escalation to Roxanne")&amp;" sent "&amp;TEXT($X874,"dd-mmm")&amp;". "&amp;IF($W874=6,"Final escalation completed.",IF($T874="OVERDUE","Next: "&amp;$Z874&amp;" was due "&amp;TEXT($Y874,"dd-mmm")&amp;" - "&amp;(NETWORKDAYS($Y874,TODAY(),Holidays)-1)&amp;" business day(s) late. Send now.",IF($T874="DUE TOMORROW","Next: "&amp;$Z874&amp;IF($Y874&lt;=TODAY()," is due TODAY ("," is due next business day (")&amp;TEXT($Y874,"dd-mmm")&amp;").","Next: "&amp;$Z874&amp;" due "&amp;TEXT($Y874,"dd-mmm")&amp;" ("&amp;(NETWORKDAYS(TODAY(),$Y874,Holidays)-1)&amp;" business day(s) left).")))))</f>
        <v/>
      </c>
      <c r="V874" s="17">
        <f>IF($W874="","",CHOOSE($W874,"Collection Email","1st Follow-up","2nd Follow-up","Local Office","CBE","Roxanne")&amp;IF($W874=6," - Final"," - Day "&amp;MAX(0,NETWORKDAYS($X874,TODAY(),Holidays)-1)&amp;" of "&amp;CHOOSE($W874,3,3,2,2,3))&amp;" | Total Day "&amp;MAX(0,NETWORKDAYS($L874,TODAY(),Holidays)-1))</f>
        <v/>
      </c>
      <c r="W874" s="17">
        <f>IF($L874="","",COUNT($L874:$Q874))</f>
        <v/>
      </c>
      <c r="X874" s="18">
        <f>IF($W874="","",INT(INDEX($L874:$Q874,$W874)))</f>
        <v/>
      </c>
      <c r="Y874" s="18">
        <f>IF(OR($W874="",$W874=6),"",WORKDAY($X874,CHOOSE($W874,3,3,2,2,3),Holidays))</f>
        <v/>
      </c>
      <c r="Z874" s="17">
        <f>IF(OR($W874="",$W874=6),"",CHOOSE($W874,"1st Email Follow-up","2nd Email Follow-up","Escalate Local Office","Escalate to CBE","Escalate to Roxanne"))</f>
        <v/>
      </c>
    </row>
    <row r="875" spans="18:26">
      <c r="R875" s="15"/>
      <c r="S875" s="16"/>
      <c r="T875" s="17">
        <f>IF(AND(COUNTA($A875:$K875)=0,$L875=""),"",IF($S875="Paid","PAID",IF($S875="Closed","CLOSED",IF($W875="","",IF($W875=6,"ESCALATED TO ROXANNE",IF(TODAY()&gt;$Y875,"OVERDUE",IF($Y875&lt;=WORKDAY(TODAY(),1,Holidays),"DUE TOMORROW",IF($W875=4,"ESCALATED TO LOCAL OFFICE",IF($W875=5,"ESCALATED TO CBE",IF($X875=TODAY(),"EMAIL SENT","MONITORING"))))))))))</f>
        <v/>
      </c>
      <c r="U875" s="17">
        <f>IF($T875="",IF(AND(COUNTA($A875:$K875)&gt;0,$L875=""),"Awaiting Collection Email time stamp.",""),IF(OR($T875="PAID",$T875="CLOSED"),IF($T875="PAID","Account paid. Action completed.","Account closed. No further action required."),CHOOSE($W875,"Collection Email","1st Email Follow-up","2nd Email Follow-up","Escalation to Local Office","Escalation to CBE","Escalation to Roxanne")&amp;" sent "&amp;TEXT($X875,"dd-mmm")&amp;". "&amp;IF($W875=6,"Final escalation completed.",IF($T875="OVERDUE","Next: "&amp;$Z875&amp;" was due "&amp;TEXT($Y875,"dd-mmm")&amp;" - "&amp;(NETWORKDAYS($Y875,TODAY(),Holidays)-1)&amp;" business day(s) late. Send now.",IF($T875="DUE TOMORROW","Next: "&amp;$Z875&amp;IF($Y875&lt;=TODAY()," is due TODAY ("," is due next business day (")&amp;TEXT($Y875,"dd-mmm")&amp;").","Next: "&amp;$Z875&amp;" due "&amp;TEXT($Y875,"dd-mmm")&amp;" ("&amp;(NETWORKDAYS(TODAY(),$Y875,Holidays)-1)&amp;" business day(s) left).")))))</f>
        <v/>
      </c>
      <c r="V875" s="17">
        <f>IF($W875="","",CHOOSE($W875,"Collection Email","1st Follow-up","2nd Follow-up","Local Office","CBE","Roxanne")&amp;IF($W875=6," - Final"," - Day "&amp;MAX(0,NETWORKDAYS($X875,TODAY(),Holidays)-1)&amp;" of "&amp;CHOOSE($W875,3,3,2,2,3))&amp;" | Total Day "&amp;MAX(0,NETWORKDAYS($L875,TODAY(),Holidays)-1))</f>
        <v/>
      </c>
      <c r="W875" s="17">
        <f>IF($L875="","",COUNT($L875:$Q875))</f>
        <v/>
      </c>
      <c r="X875" s="18">
        <f>IF($W875="","",INT(INDEX($L875:$Q875,$W875)))</f>
        <v/>
      </c>
      <c r="Y875" s="18">
        <f>IF(OR($W875="",$W875=6),"",WORKDAY($X875,CHOOSE($W875,3,3,2,2,3),Holidays))</f>
        <v/>
      </c>
      <c r="Z875" s="17">
        <f>IF(OR($W875="",$W875=6),"",CHOOSE($W875,"1st Email Follow-up","2nd Email Follow-up","Escalate Local Office","Escalate to CBE","Escalate to Roxanne"))</f>
        <v/>
      </c>
    </row>
    <row r="876" spans="18:26">
      <c r="R876" s="15"/>
      <c r="S876" s="16"/>
      <c r="T876" s="17">
        <f>IF(AND(COUNTA($A876:$K876)=0,$L876=""),"",IF($S876="Paid","PAID",IF($S876="Closed","CLOSED",IF($W876="","",IF($W876=6,"ESCALATED TO ROXANNE",IF(TODAY()&gt;$Y876,"OVERDUE",IF($Y876&lt;=WORKDAY(TODAY(),1,Holidays),"DUE TOMORROW",IF($W876=4,"ESCALATED TO LOCAL OFFICE",IF($W876=5,"ESCALATED TO CBE",IF($X876=TODAY(),"EMAIL SENT","MONITORING"))))))))))</f>
        <v/>
      </c>
      <c r="U876" s="17">
        <f>IF($T876="",IF(AND(COUNTA($A876:$K876)&gt;0,$L876=""),"Awaiting Collection Email time stamp.",""),IF(OR($T876="PAID",$T876="CLOSED"),IF($T876="PAID","Account paid. Action completed.","Account closed. No further action required."),CHOOSE($W876,"Collection Email","1st Email Follow-up","2nd Email Follow-up","Escalation to Local Office","Escalation to CBE","Escalation to Roxanne")&amp;" sent "&amp;TEXT($X876,"dd-mmm")&amp;". "&amp;IF($W876=6,"Final escalation completed.",IF($T876="OVERDUE","Next: "&amp;$Z876&amp;" was due "&amp;TEXT($Y876,"dd-mmm")&amp;" - "&amp;(NETWORKDAYS($Y876,TODAY(),Holidays)-1)&amp;" business day(s) late. Send now.",IF($T876="DUE TOMORROW","Next: "&amp;$Z876&amp;IF($Y876&lt;=TODAY()," is due TODAY ("," is due next business day (")&amp;TEXT($Y876,"dd-mmm")&amp;").","Next: "&amp;$Z876&amp;" due "&amp;TEXT($Y876,"dd-mmm")&amp;" ("&amp;(NETWORKDAYS(TODAY(),$Y876,Holidays)-1)&amp;" business day(s) left).")))))</f>
        <v/>
      </c>
      <c r="V876" s="17">
        <f>IF($W876="","",CHOOSE($W876,"Collection Email","1st Follow-up","2nd Follow-up","Local Office","CBE","Roxanne")&amp;IF($W876=6," - Final"," - Day "&amp;MAX(0,NETWORKDAYS($X876,TODAY(),Holidays)-1)&amp;" of "&amp;CHOOSE($W876,3,3,2,2,3))&amp;" | Total Day "&amp;MAX(0,NETWORKDAYS($L876,TODAY(),Holidays)-1))</f>
        <v/>
      </c>
      <c r="W876" s="17">
        <f>IF($L876="","",COUNT($L876:$Q876))</f>
        <v/>
      </c>
      <c r="X876" s="18">
        <f>IF($W876="","",INT(INDEX($L876:$Q876,$W876)))</f>
        <v/>
      </c>
      <c r="Y876" s="18">
        <f>IF(OR($W876="",$W876=6),"",WORKDAY($X876,CHOOSE($W876,3,3,2,2,3),Holidays))</f>
        <v/>
      </c>
      <c r="Z876" s="17">
        <f>IF(OR($W876="",$W876=6),"",CHOOSE($W876,"1st Email Follow-up","2nd Email Follow-up","Escalate Local Office","Escalate to CBE","Escalate to Roxanne"))</f>
        <v/>
      </c>
    </row>
    <row r="877" spans="18:26">
      <c r="R877" s="15"/>
      <c r="S877" s="16"/>
      <c r="T877" s="17">
        <f>IF(AND(COUNTA($A877:$K877)=0,$L877=""),"",IF($S877="Paid","PAID",IF($S877="Closed","CLOSED",IF($W877="","",IF($W877=6,"ESCALATED TO ROXANNE",IF(TODAY()&gt;$Y877,"OVERDUE",IF($Y877&lt;=WORKDAY(TODAY(),1,Holidays),"DUE TOMORROW",IF($W877=4,"ESCALATED TO LOCAL OFFICE",IF($W877=5,"ESCALATED TO CBE",IF($X877=TODAY(),"EMAIL SENT","MONITORING"))))))))))</f>
        <v/>
      </c>
      <c r="U877" s="17">
        <f>IF($T877="",IF(AND(COUNTA($A877:$K877)&gt;0,$L877=""),"Awaiting Collection Email time stamp.",""),IF(OR($T877="PAID",$T877="CLOSED"),IF($T877="PAID","Account paid. Action completed.","Account closed. No further action required."),CHOOSE($W877,"Collection Email","1st Email Follow-up","2nd Email Follow-up","Escalation to Local Office","Escalation to CBE","Escalation to Roxanne")&amp;" sent "&amp;TEXT($X877,"dd-mmm")&amp;". "&amp;IF($W877=6,"Final escalation completed.",IF($T877="OVERDUE","Next: "&amp;$Z877&amp;" was due "&amp;TEXT($Y877,"dd-mmm")&amp;" - "&amp;(NETWORKDAYS($Y877,TODAY(),Holidays)-1)&amp;" business day(s) late. Send now.",IF($T877="DUE TOMORROW","Next: "&amp;$Z877&amp;IF($Y877&lt;=TODAY()," is due TODAY ("," is due next business day (")&amp;TEXT($Y877,"dd-mmm")&amp;").","Next: "&amp;$Z877&amp;" due "&amp;TEXT($Y877,"dd-mmm")&amp;" ("&amp;(NETWORKDAYS(TODAY(),$Y877,Holidays)-1)&amp;" business day(s) left).")))))</f>
        <v/>
      </c>
      <c r="V877" s="17">
        <f>IF($W877="","",CHOOSE($W877,"Collection Email","1st Follow-up","2nd Follow-up","Local Office","CBE","Roxanne")&amp;IF($W877=6," - Final"," - Day "&amp;MAX(0,NETWORKDAYS($X877,TODAY(),Holidays)-1)&amp;" of "&amp;CHOOSE($W877,3,3,2,2,3))&amp;" | Total Day "&amp;MAX(0,NETWORKDAYS($L877,TODAY(),Holidays)-1))</f>
        <v/>
      </c>
      <c r="W877" s="17">
        <f>IF($L877="","",COUNT($L877:$Q877))</f>
        <v/>
      </c>
      <c r="X877" s="18">
        <f>IF($W877="","",INT(INDEX($L877:$Q877,$W877)))</f>
        <v/>
      </c>
      <c r="Y877" s="18">
        <f>IF(OR($W877="",$W877=6),"",WORKDAY($X877,CHOOSE($W877,3,3,2,2,3),Holidays))</f>
        <v/>
      </c>
      <c r="Z877" s="17">
        <f>IF(OR($W877="",$W877=6),"",CHOOSE($W877,"1st Email Follow-up","2nd Email Follow-up","Escalate Local Office","Escalate to CBE","Escalate to Roxanne"))</f>
        <v/>
      </c>
    </row>
    <row r="878" spans="18:26">
      <c r="R878" s="15"/>
      <c r="S878" s="16"/>
      <c r="T878" s="17">
        <f>IF(AND(COUNTA($A878:$K878)=0,$L878=""),"",IF($S878="Paid","PAID",IF($S878="Closed","CLOSED",IF($W878="","",IF($W878=6,"ESCALATED TO ROXANNE",IF(TODAY()&gt;$Y878,"OVERDUE",IF($Y878&lt;=WORKDAY(TODAY(),1,Holidays),"DUE TOMORROW",IF($W878=4,"ESCALATED TO LOCAL OFFICE",IF($W878=5,"ESCALATED TO CBE",IF($X878=TODAY(),"EMAIL SENT","MONITORING"))))))))))</f>
        <v/>
      </c>
      <c r="U878" s="17">
        <f>IF($T878="",IF(AND(COUNTA($A878:$K878)&gt;0,$L878=""),"Awaiting Collection Email time stamp.",""),IF(OR($T878="PAID",$T878="CLOSED"),IF($T878="PAID","Account paid. Action completed.","Account closed. No further action required."),CHOOSE($W878,"Collection Email","1st Email Follow-up","2nd Email Follow-up","Escalation to Local Office","Escalation to CBE","Escalation to Roxanne")&amp;" sent "&amp;TEXT($X878,"dd-mmm")&amp;". "&amp;IF($W878=6,"Final escalation completed.",IF($T878="OVERDUE","Next: "&amp;$Z878&amp;" was due "&amp;TEXT($Y878,"dd-mmm")&amp;" - "&amp;(NETWORKDAYS($Y878,TODAY(),Holidays)-1)&amp;" business day(s) late. Send now.",IF($T878="DUE TOMORROW","Next: "&amp;$Z878&amp;IF($Y878&lt;=TODAY()," is due TODAY ("," is due next business day (")&amp;TEXT($Y878,"dd-mmm")&amp;").","Next: "&amp;$Z878&amp;" due "&amp;TEXT($Y878,"dd-mmm")&amp;" ("&amp;(NETWORKDAYS(TODAY(),$Y878,Holidays)-1)&amp;" business day(s) left).")))))</f>
        <v/>
      </c>
      <c r="V878" s="17">
        <f>IF($W878="","",CHOOSE($W878,"Collection Email","1st Follow-up","2nd Follow-up","Local Office","CBE","Roxanne")&amp;IF($W878=6," - Final"," - Day "&amp;MAX(0,NETWORKDAYS($X878,TODAY(),Holidays)-1)&amp;" of "&amp;CHOOSE($W878,3,3,2,2,3))&amp;" | Total Day "&amp;MAX(0,NETWORKDAYS($L878,TODAY(),Holidays)-1))</f>
        <v/>
      </c>
      <c r="W878" s="17">
        <f>IF($L878="","",COUNT($L878:$Q878))</f>
        <v/>
      </c>
      <c r="X878" s="18">
        <f>IF($W878="","",INT(INDEX($L878:$Q878,$W878)))</f>
        <v/>
      </c>
      <c r="Y878" s="18">
        <f>IF(OR($W878="",$W878=6),"",WORKDAY($X878,CHOOSE($W878,3,3,2,2,3),Holidays))</f>
        <v/>
      </c>
      <c r="Z878" s="17">
        <f>IF(OR($W878="",$W878=6),"",CHOOSE($W878,"1st Email Follow-up","2nd Email Follow-up","Escalate Local Office","Escalate to CBE","Escalate to Roxanne"))</f>
        <v/>
      </c>
    </row>
    <row r="879" spans="18:26">
      <c r="R879" s="15"/>
      <c r="S879" s="16"/>
      <c r="T879" s="17">
        <f>IF(AND(COUNTA($A879:$K879)=0,$L879=""),"",IF($S879="Paid","PAID",IF($S879="Closed","CLOSED",IF($W879="","",IF($W879=6,"ESCALATED TO ROXANNE",IF(TODAY()&gt;$Y879,"OVERDUE",IF($Y879&lt;=WORKDAY(TODAY(),1,Holidays),"DUE TOMORROW",IF($W879=4,"ESCALATED TO LOCAL OFFICE",IF($W879=5,"ESCALATED TO CBE",IF($X879=TODAY(),"EMAIL SENT","MONITORING"))))))))))</f>
        <v/>
      </c>
      <c r="U879" s="17">
        <f>IF($T879="",IF(AND(COUNTA($A879:$K879)&gt;0,$L879=""),"Awaiting Collection Email time stamp.",""),IF(OR($T879="PAID",$T879="CLOSED"),IF($T879="PAID","Account paid. Action completed.","Account closed. No further action required."),CHOOSE($W879,"Collection Email","1st Email Follow-up","2nd Email Follow-up","Escalation to Local Office","Escalation to CBE","Escalation to Roxanne")&amp;" sent "&amp;TEXT($X879,"dd-mmm")&amp;". "&amp;IF($W879=6,"Final escalation completed.",IF($T879="OVERDUE","Next: "&amp;$Z879&amp;" was due "&amp;TEXT($Y879,"dd-mmm")&amp;" - "&amp;(NETWORKDAYS($Y879,TODAY(),Holidays)-1)&amp;" business day(s) late. Send now.",IF($T879="DUE TOMORROW","Next: "&amp;$Z879&amp;IF($Y879&lt;=TODAY()," is due TODAY ("," is due next business day (")&amp;TEXT($Y879,"dd-mmm")&amp;").","Next: "&amp;$Z879&amp;" due "&amp;TEXT($Y879,"dd-mmm")&amp;" ("&amp;(NETWORKDAYS(TODAY(),$Y879,Holidays)-1)&amp;" business day(s) left).")))))</f>
        <v/>
      </c>
      <c r="V879" s="17">
        <f>IF($W879="","",CHOOSE($W879,"Collection Email","1st Follow-up","2nd Follow-up","Local Office","CBE","Roxanne")&amp;IF($W879=6," - Final"," - Day "&amp;MAX(0,NETWORKDAYS($X879,TODAY(),Holidays)-1)&amp;" of "&amp;CHOOSE($W879,3,3,2,2,3))&amp;" | Total Day "&amp;MAX(0,NETWORKDAYS($L879,TODAY(),Holidays)-1))</f>
        <v/>
      </c>
      <c r="W879" s="17">
        <f>IF($L879="","",COUNT($L879:$Q879))</f>
        <v/>
      </c>
      <c r="X879" s="18">
        <f>IF($W879="","",INT(INDEX($L879:$Q879,$W879)))</f>
        <v/>
      </c>
      <c r="Y879" s="18">
        <f>IF(OR($W879="",$W879=6),"",WORKDAY($X879,CHOOSE($W879,3,3,2,2,3),Holidays))</f>
        <v/>
      </c>
      <c r="Z879" s="17">
        <f>IF(OR($W879="",$W879=6),"",CHOOSE($W879,"1st Email Follow-up","2nd Email Follow-up","Escalate Local Office","Escalate to CBE","Escalate to Roxanne"))</f>
        <v/>
      </c>
    </row>
    <row r="880" spans="18:26">
      <c r="R880" s="15"/>
      <c r="S880" s="16"/>
      <c r="T880" s="17">
        <f>IF(AND(COUNTA($A880:$K880)=0,$L880=""),"",IF($S880="Paid","PAID",IF($S880="Closed","CLOSED",IF($W880="","",IF($W880=6,"ESCALATED TO ROXANNE",IF(TODAY()&gt;$Y880,"OVERDUE",IF($Y880&lt;=WORKDAY(TODAY(),1,Holidays),"DUE TOMORROW",IF($W880=4,"ESCALATED TO LOCAL OFFICE",IF($W880=5,"ESCALATED TO CBE",IF($X880=TODAY(),"EMAIL SENT","MONITORING"))))))))))</f>
        <v/>
      </c>
      <c r="U880" s="17">
        <f>IF($T880="",IF(AND(COUNTA($A880:$K880)&gt;0,$L880=""),"Awaiting Collection Email time stamp.",""),IF(OR($T880="PAID",$T880="CLOSED"),IF($T880="PAID","Account paid. Action completed.","Account closed. No further action required."),CHOOSE($W880,"Collection Email","1st Email Follow-up","2nd Email Follow-up","Escalation to Local Office","Escalation to CBE","Escalation to Roxanne")&amp;" sent "&amp;TEXT($X880,"dd-mmm")&amp;". "&amp;IF($W880=6,"Final escalation completed.",IF($T880="OVERDUE","Next: "&amp;$Z880&amp;" was due "&amp;TEXT($Y880,"dd-mmm")&amp;" - "&amp;(NETWORKDAYS($Y880,TODAY(),Holidays)-1)&amp;" business day(s) late. Send now.",IF($T880="DUE TOMORROW","Next: "&amp;$Z880&amp;IF($Y880&lt;=TODAY()," is due TODAY ("," is due next business day (")&amp;TEXT($Y880,"dd-mmm")&amp;").","Next: "&amp;$Z880&amp;" due "&amp;TEXT($Y880,"dd-mmm")&amp;" ("&amp;(NETWORKDAYS(TODAY(),$Y880,Holidays)-1)&amp;" business day(s) left).")))))</f>
        <v/>
      </c>
      <c r="V880" s="17">
        <f>IF($W880="","",CHOOSE($W880,"Collection Email","1st Follow-up","2nd Follow-up","Local Office","CBE","Roxanne")&amp;IF($W880=6," - Final"," - Day "&amp;MAX(0,NETWORKDAYS($X880,TODAY(),Holidays)-1)&amp;" of "&amp;CHOOSE($W880,3,3,2,2,3))&amp;" | Total Day "&amp;MAX(0,NETWORKDAYS($L880,TODAY(),Holidays)-1))</f>
        <v/>
      </c>
      <c r="W880" s="17">
        <f>IF($L880="","",COUNT($L880:$Q880))</f>
        <v/>
      </c>
      <c r="X880" s="18">
        <f>IF($W880="","",INT(INDEX($L880:$Q880,$W880)))</f>
        <v/>
      </c>
      <c r="Y880" s="18">
        <f>IF(OR($W880="",$W880=6),"",WORKDAY($X880,CHOOSE($W880,3,3,2,2,3),Holidays))</f>
        <v/>
      </c>
      <c r="Z880" s="17">
        <f>IF(OR($W880="",$W880=6),"",CHOOSE($W880,"1st Email Follow-up","2nd Email Follow-up","Escalate Local Office","Escalate to CBE","Escalate to Roxanne"))</f>
        <v/>
      </c>
    </row>
    <row r="881" spans="18:26">
      <c r="R881" s="15"/>
      <c r="S881" s="16"/>
      <c r="T881" s="17">
        <f>IF(AND(COUNTA($A881:$K881)=0,$L881=""),"",IF($S881="Paid","PAID",IF($S881="Closed","CLOSED",IF($W881="","",IF($W881=6,"ESCALATED TO ROXANNE",IF(TODAY()&gt;$Y881,"OVERDUE",IF($Y881&lt;=WORKDAY(TODAY(),1,Holidays),"DUE TOMORROW",IF($W881=4,"ESCALATED TO LOCAL OFFICE",IF($W881=5,"ESCALATED TO CBE",IF($X881=TODAY(),"EMAIL SENT","MONITORING"))))))))))</f>
        <v/>
      </c>
      <c r="U881" s="17">
        <f>IF($T881="",IF(AND(COUNTA($A881:$K881)&gt;0,$L881=""),"Awaiting Collection Email time stamp.",""),IF(OR($T881="PAID",$T881="CLOSED"),IF($T881="PAID","Account paid. Action completed.","Account closed. No further action required."),CHOOSE($W881,"Collection Email","1st Email Follow-up","2nd Email Follow-up","Escalation to Local Office","Escalation to CBE","Escalation to Roxanne")&amp;" sent "&amp;TEXT($X881,"dd-mmm")&amp;". "&amp;IF($W881=6,"Final escalation completed.",IF($T881="OVERDUE","Next: "&amp;$Z881&amp;" was due "&amp;TEXT($Y881,"dd-mmm")&amp;" - "&amp;(NETWORKDAYS($Y881,TODAY(),Holidays)-1)&amp;" business day(s) late. Send now.",IF($T881="DUE TOMORROW","Next: "&amp;$Z881&amp;IF($Y881&lt;=TODAY()," is due TODAY ("," is due next business day (")&amp;TEXT($Y881,"dd-mmm")&amp;").","Next: "&amp;$Z881&amp;" due "&amp;TEXT($Y881,"dd-mmm")&amp;" ("&amp;(NETWORKDAYS(TODAY(),$Y881,Holidays)-1)&amp;" business day(s) left).")))))</f>
        <v/>
      </c>
      <c r="V881" s="17">
        <f>IF($W881="","",CHOOSE($W881,"Collection Email","1st Follow-up","2nd Follow-up","Local Office","CBE","Roxanne")&amp;IF($W881=6," - Final"," - Day "&amp;MAX(0,NETWORKDAYS($X881,TODAY(),Holidays)-1)&amp;" of "&amp;CHOOSE($W881,3,3,2,2,3))&amp;" | Total Day "&amp;MAX(0,NETWORKDAYS($L881,TODAY(),Holidays)-1))</f>
        <v/>
      </c>
      <c r="W881" s="17">
        <f>IF($L881="","",COUNT($L881:$Q881))</f>
        <v/>
      </c>
      <c r="X881" s="18">
        <f>IF($W881="","",INT(INDEX($L881:$Q881,$W881)))</f>
        <v/>
      </c>
      <c r="Y881" s="18">
        <f>IF(OR($W881="",$W881=6),"",WORKDAY($X881,CHOOSE($W881,3,3,2,2,3),Holidays))</f>
        <v/>
      </c>
      <c r="Z881" s="17">
        <f>IF(OR($W881="",$W881=6),"",CHOOSE($W881,"1st Email Follow-up","2nd Email Follow-up","Escalate Local Office","Escalate to CBE","Escalate to Roxanne"))</f>
        <v/>
      </c>
    </row>
    <row r="882" spans="18:26">
      <c r="R882" s="15"/>
      <c r="S882" s="16"/>
      <c r="T882" s="17">
        <f>IF(AND(COUNTA($A882:$K882)=0,$L882=""),"",IF($S882="Paid","PAID",IF($S882="Closed","CLOSED",IF($W882="","",IF($W882=6,"ESCALATED TO ROXANNE",IF(TODAY()&gt;$Y882,"OVERDUE",IF($Y882&lt;=WORKDAY(TODAY(),1,Holidays),"DUE TOMORROW",IF($W882=4,"ESCALATED TO LOCAL OFFICE",IF($W882=5,"ESCALATED TO CBE",IF($X882=TODAY(),"EMAIL SENT","MONITORING"))))))))))</f>
        <v/>
      </c>
      <c r="U882" s="17">
        <f>IF($T882="",IF(AND(COUNTA($A882:$K882)&gt;0,$L882=""),"Awaiting Collection Email time stamp.",""),IF(OR($T882="PAID",$T882="CLOSED"),IF($T882="PAID","Account paid. Action completed.","Account closed. No further action required."),CHOOSE($W882,"Collection Email","1st Email Follow-up","2nd Email Follow-up","Escalation to Local Office","Escalation to CBE","Escalation to Roxanne")&amp;" sent "&amp;TEXT($X882,"dd-mmm")&amp;". "&amp;IF($W882=6,"Final escalation completed.",IF($T882="OVERDUE","Next: "&amp;$Z882&amp;" was due "&amp;TEXT($Y882,"dd-mmm")&amp;" - "&amp;(NETWORKDAYS($Y882,TODAY(),Holidays)-1)&amp;" business day(s) late. Send now.",IF($T882="DUE TOMORROW","Next: "&amp;$Z882&amp;IF($Y882&lt;=TODAY()," is due TODAY ("," is due next business day (")&amp;TEXT($Y882,"dd-mmm")&amp;").","Next: "&amp;$Z882&amp;" due "&amp;TEXT($Y882,"dd-mmm")&amp;" ("&amp;(NETWORKDAYS(TODAY(),$Y882,Holidays)-1)&amp;" business day(s) left).")))))</f>
        <v/>
      </c>
      <c r="V882" s="17">
        <f>IF($W882="","",CHOOSE($W882,"Collection Email","1st Follow-up","2nd Follow-up","Local Office","CBE","Roxanne")&amp;IF($W882=6," - Final"," - Day "&amp;MAX(0,NETWORKDAYS($X882,TODAY(),Holidays)-1)&amp;" of "&amp;CHOOSE($W882,3,3,2,2,3))&amp;" | Total Day "&amp;MAX(0,NETWORKDAYS($L882,TODAY(),Holidays)-1))</f>
        <v/>
      </c>
      <c r="W882" s="17">
        <f>IF($L882="","",COUNT($L882:$Q882))</f>
        <v/>
      </c>
      <c r="X882" s="18">
        <f>IF($W882="","",INT(INDEX($L882:$Q882,$W882)))</f>
        <v/>
      </c>
      <c r="Y882" s="18">
        <f>IF(OR($W882="",$W882=6),"",WORKDAY($X882,CHOOSE($W882,3,3,2,2,3),Holidays))</f>
        <v/>
      </c>
      <c r="Z882" s="17">
        <f>IF(OR($W882="",$W882=6),"",CHOOSE($W882,"1st Email Follow-up","2nd Email Follow-up","Escalate Local Office","Escalate to CBE","Escalate to Roxanne"))</f>
        <v/>
      </c>
    </row>
    <row r="883" spans="18:26">
      <c r="R883" s="15"/>
      <c r="S883" s="16"/>
      <c r="T883" s="17">
        <f>IF(AND(COUNTA($A883:$K883)=0,$L883=""),"",IF($S883="Paid","PAID",IF($S883="Closed","CLOSED",IF($W883="","",IF($W883=6,"ESCALATED TO ROXANNE",IF(TODAY()&gt;$Y883,"OVERDUE",IF($Y883&lt;=WORKDAY(TODAY(),1,Holidays),"DUE TOMORROW",IF($W883=4,"ESCALATED TO LOCAL OFFICE",IF($W883=5,"ESCALATED TO CBE",IF($X883=TODAY(),"EMAIL SENT","MONITORING"))))))))))</f>
        <v/>
      </c>
      <c r="U883" s="17">
        <f>IF($T883="",IF(AND(COUNTA($A883:$K883)&gt;0,$L883=""),"Awaiting Collection Email time stamp.",""),IF(OR($T883="PAID",$T883="CLOSED"),IF($T883="PAID","Account paid. Action completed.","Account closed. No further action required."),CHOOSE($W883,"Collection Email","1st Email Follow-up","2nd Email Follow-up","Escalation to Local Office","Escalation to CBE","Escalation to Roxanne")&amp;" sent "&amp;TEXT($X883,"dd-mmm")&amp;". "&amp;IF($W883=6,"Final escalation completed.",IF($T883="OVERDUE","Next: "&amp;$Z883&amp;" was due "&amp;TEXT($Y883,"dd-mmm")&amp;" - "&amp;(NETWORKDAYS($Y883,TODAY(),Holidays)-1)&amp;" business day(s) late. Send now.",IF($T883="DUE TOMORROW","Next: "&amp;$Z883&amp;IF($Y883&lt;=TODAY()," is due TODAY ("," is due next business day (")&amp;TEXT($Y883,"dd-mmm")&amp;").","Next: "&amp;$Z883&amp;" due "&amp;TEXT($Y883,"dd-mmm")&amp;" ("&amp;(NETWORKDAYS(TODAY(),$Y883,Holidays)-1)&amp;" business day(s) left).")))))</f>
        <v/>
      </c>
      <c r="V883" s="17">
        <f>IF($W883="","",CHOOSE($W883,"Collection Email","1st Follow-up","2nd Follow-up","Local Office","CBE","Roxanne")&amp;IF($W883=6," - Final"," - Day "&amp;MAX(0,NETWORKDAYS($X883,TODAY(),Holidays)-1)&amp;" of "&amp;CHOOSE($W883,3,3,2,2,3))&amp;" | Total Day "&amp;MAX(0,NETWORKDAYS($L883,TODAY(),Holidays)-1))</f>
        <v/>
      </c>
      <c r="W883" s="17">
        <f>IF($L883="","",COUNT($L883:$Q883))</f>
        <v/>
      </c>
      <c r="X883" s="18">
        <f>IF($W883="","",INT(INDEX($L883:$Q883,$W883)))</f>
        <v/>
      </c>
      <c r="Y883" s="18">
        <f>IF(OR($W883="",$W883=6),"",WORKDAY($X883,CHOOSE($W883,3,3,2,2,3),Holidays))</f>
        <v/>
      </c>
      <c r="Z883" s="17">
        <f>IF(OR($W883="",$W883=6),"",CHOOSE($W883,"1st Email Follow-up","2nd Email Follow-up","Escalate Local Office","Escalate to CBE","Escalate to Roxanne"))</f>
        <v/>
      </c>
    </row>
    <row r="884" spans="18:26">
      <c r="R884" s="15"/>
      <c r="S884" s="16"/>
      <c r="T884" s="17">
        <f>IF(AND(COUNTA($A884:$K884)=0,$L884=""),"",IF($S884="Paid","PAID",IF($S884="Closed","CLOSED",IF($W884="","",IF($W884=6,"ESCALATED TO ROXANNE",IF(TODAY()&gt;$Y884,"OVERDUE",IF($Y884&lt;=WORKDAY(TODAY(),1,Holidays),"DUE TOMORROW",IF($W884=4,"ESCALATED TO LOCAL OFFICE",IF($W884=5,"ESCALATED TO CBE",IF($X884=TODAY(),"EMAIL SENT","MONITORING"))))))))))</f>
        <v/>
      </c>
      <c r="U884" s="17">
        <f>IF($T884="",IF(AND(COUNTA($A884:$K884)&gt;0,$L884=""),"Awaiting Collection Email time stamp.",""),IF(OR($T884="PAID",$T884="CLOSED"),IF($T884="PAID","Account paid. Action completed.","Account closed. No further action required."),CHOOSE($W884,"Collection Email","1st Email Follow-up","2nd Email Follow-up","Escalation to Local Office","Escalation to CBE","Escalation to Roxanne")&amp;" sent "&amp;TEXT($X884,"dd-mmm")&amp;". "&amp;IF($W884=6,"Final escalation completed.",IF($T884="OVERDUE","Next: "&amp;$Z884&amp;" was due "&amp;TEXT($Y884,"dd-mmm")&amp;" - "&amp;(NETWORKDAYS($Y884,TODAY(),Holidays)-1)&amp;" business day(s) late. Send now.",IF($T884="DUE TOMORROW","Next: "&amp;$Z884&amp;IF($Y884&lt;=TODAY()," is due TODAY ("," is due next business day (")&amp;TEXT($Y884,"dd-mmm")&amp;").","Next: "&amp;$Z884&amp;" due "&amp;TEXT($Y884,"dd-mmm")&amp;" ("&amp;(NETWORKDAYS(TODAY(),$Y884,Holidays)-1)&amp;" business day(s) left).")))))</f>
        <v/>
      </c>
      <c r="V884" s="17">
        <f>IF($W884="","",CHOOSE($W884,"Collection Email","1st Follow-up","2nd Follow-up","Local Office","CBE","Roxanne")&amp;IF($W884=6," - Final"," - Day "&amp;MAX(0,NETWORKDAYS($X884,TODAY(),Holidays)-1)&amp;" of "&amp;CHOOSE($W884,3,3,2,2,3))&amp;" | Total Day "&amp;MAX(0,NETWORKDAYS($L884,TODAY(),Holidays)-1))</f>
        <v/>
      </c>
      <c r="W884" s="17">
        <f>IF($L884="","",COUNT($L884:$Q884))</f>
        <v/>
      </c>
      <c r="X884" s="18">
        <f>IF($W884="","",INT(INDEX($L884:$Q884,$W884)))</f>
        <v/>
      </c>
      <c r="Y884" s="18">
        <f>IF(OR($W884="",$W884=6),"",WORKDAY($X884,CHOOSE($W884,3,3,2,2,3),Holidays))</f>
        <v/>
      </c>
      <c r="Z884" s="17">
        <f>IF(OR($W884="",$W884=6),"",CHOOSE($W884,"1st Email Follow-up","2nd Email Follow-up","Escalate Local Office","Escalate to CBE","Escalate to Roxanne"))</f>
        <v/>
      </c>
    </row>
    <row r="885" spans="18:26">
      <c r="R885" s="15"/>
      <c r="S885" s="16"/>
      <c r="T885" s="17">
        <f>IF(AND(COUNTA($A885:$K885)=0,$L885=""),"",IF($S885="Paid","PAID",IF($S885="Closed","CLOSED",IF($W885="","",IF($W885=6,"ESCALATED TO ROXANNE",IF(TODAY()&gt;$Y885,"OVERDUE",IF($Y885&lt;=WORKDAY(TODAY(),1,Holidays),"DUE TOMORROW",IF($W885=4,"ESCALATED TO LOCAL OFFICE",IF($W885=5,"ESCALATED TO CBE",IF($X885=TODAY(),"EMAIL SENT","MONITORING"))))))))))</f>
        <v/>
      </c>
      <c r="U885" s="17">
        <f>IF($T885="",IF(AND(COUNTA($A885:$K885)&gt;0,$L885=""),"Awaiting Collection Email time stamp.",""),IF(OR($T885="PAID",$T885="CLOSED"),IF($T885="PAID","Account paid. Action completed.","Account closed. No further action required."),CHOOSE($W885,"Collection Email","1st Email Follow-up","2nd Email Follow-up","Escalation to Local Office","Escalation to CBE","Escalation to Roxanne")&amp;" sent "&amp;TEXT($X885,"dd-mmm")&amp;". "&amp;IF($W885=6,"Final escalation completed.",IF($T885="OVERDUE","Next: "&amp;$Z885&amp;" was due "&amp;TEXT($Y885,"dd-mmm")&amp;" - "&amp;(NETWORKDAYS($Y885,TODAY(),Holidays)-1)&amp;" business day(s) late. Send now.",IF($T885="DUE TOMORROW","Next: "&amp;$Z885&amp;IF($Y885&lt;=TODAY()," is due TODAY ("," is due next business day (")&amp;TEXT($Y885,"dd-mmm")&amp;").","Next: "&amp;$Z885&amp;" due "&amp;TEXT($Y885,"dd-mmm")&amp;" ("&amp;(NETWORKDAYS(TODAY(),$Y885,Holidays)-1)&amp;" business day(s) left).")))))</f>
        <v/>
      </c>
      <c r="V885" s="17">
        <f>IF($W885="","",CHOOSE($W885,"Collection Email","1st Follow-up","2nd Follow-up","Local Office","CBE","Roxanne")&amp;IF($W885=6," - Final"," - Day "&amp;MAX(0,NETWORKDAYS($X885,TODAY(),Holidays)-1)&amp;" of "&amp;CHOOSE($W885,3,3,2,2,3))&amp;" | Total Day "&amp;MAX(0,NETWORKDAYS($L885,TODAY(),Holidays)-1))</f>
        <v/>
      </c>
      <c r="W885" s="17">
        <f>IF($L885="","",COUNT($L885:$Q885))</f>
        <v/>
      </c>
      <c r="X885" s="18">
        <f>IF($W885="","",INT(INDEX($L885:$Q885,$W885)))</f>
        <v/>
      </c>
      <c r="Y885" s="18">
        <f>IF(OR($W885="",$W885=6),"",WORKDAY($X885,CHOOSE($W885,3,3,2,2,3),Holidays))</f>
        <v/>
      </c>
      <c r="Z885" s="17">
        <f>IF(OR($W885="",$W885=6),"",CHOOSE($W885,"1st Email Follow-up","2nd Email Follow-up","Escalate Local Office","Escalate to CBE","Escalate to Roxanne"))</f>
        <v/>
      </c>
    </row>
    <row r="886" spans="18:26">
      <c r="R886" s="15"/>
      <c r="S886" s="16"/>
      <c r="T886" s="17">
        <f>IF(AND(COUNTA($A886:$K886)=0,$L886=""),"",IF($S886="Paid","PAID",IF($S886="Closed","CLOSED",IF($W886="","",IF($W886=6,"ESCALATED TO ROXANNE",IF(TODAY()&gt;$Y886,"OVERDUE",IF($Y886&lt;=WORKDAY(TODAY(),1,Holidays),"DUE TOMORROW",IF($W886=4,"ESCALATED TO LOCAL OFFICE",IF($W886=5,"ESCALATED TO CBE",IF($X886=TODAY(),"EMAIL SENT","MONITORING"))))))))))</f>
        <v/>
      </c>
      <c r="U886" s="17">
        <f>IF($T886="",IF(AND(COUNTA($A886:$K886)&gt;0,$L886=""),"Awaiting Collection Email time stamp.",""),IF(OR($T886="PAID",$T886="CLOSED"),IF($T886="PAID","Account paid. Action completed.","Account closed. No further action required."),CHOOSE($W886,"Collection Email","1st Email Follow-up","2nd Email Follow-up","Escalation to Local Office","Escalation to CBE","Escalation to Roxanne")&amp;" sent "&amp;TEXT($X886,"dd-mmm")&amp;". "&amp;IF($W886=6,"Final escalation completed.",IF($T886="OVERDUE","Next: "&amp;$Z886&amp;" was due "&amp;TEXT($Y886,"dd-mmm")&amp;" - "&amp;(NETWORKDAYS($Y886,TODAY(),Holidays)-1)&amp;" business day(s) late. Send now.",IF($T886="DUE TOMORROW","Next: "&amp;$Z886&amp;IF($Y886&lt;=TODAY()," is due TODAY ("," is due next business day (")&amp;TEXT($Y886,"dd-mmm")&amp;").","Next: "&amp;$Z886&amp;" due "&amp;TEXT($Y886,"dd-mmm")&amp;" ("&amp;(NETWORKDAYS(TODAY(),$Y886,Holidays)-1)&amp;" business day(s) left).")))))</f>
        <v/>
      </c>
      <c r="V886" s="17">
        <f>IF($W886="","",CHOOSE($W886,"Collection Email","1st Follow-up","2nd Follow-up","Local Office","CBE","Roxanne")&amp;IF($W886=6," - Final"," - Day "&amp;MAX(0,NETWORKDAYS($X886,TODAY(),Holidays)-1)&amp;" of "&amp;CHOOSE($W886,3,3,2,2,3))&amp;" | Total Day "&amp;MAX(0,NETWORKDAYS($L886,TODAY(),Holidays)-1))</f>
        <v/>
      </c>
      <c r="W886" s="17">
        <f>IF($L886="","",COUNT($L886:$Q886))</f>
        <v/>
      </c>
      <c r="X886" s="18">
        <f>IF($W886="","",INT(INDEX($L886:$Q886,$W886)))</f>
        <v/>
      </c>
      <c r="Y886" s="18">
        <f>IF(OR($W886="",$W886=6),"",WORKDAY($X886,CHOOSE($W886,3,3,2,2,3),Holidays))</f>
        <v/>
      </c>
      <c r="Z886" s="17">
        <f>IF(OR($W886="",$W886=6),"",CHOOSE($W886,"1st Email Follow-up","2nd Email Follow-up","Escalate Local Office","Escalate to CBE","Escalate to Roxanne"))</f>
        <v/>
      </c>
    </row>
    <row r="887" spans="18:26">
      <c r="R887" s="15"/>
      <c r="S887" s="16"/>
      <c r="T887" s="17">
        <f>IF(AND(COUNTA($A887:$K887)=0,$L887=""),"",IF($S887="Paid","PAID",IF($S887="Closed","CLOSED",IF($W887="","",IF($W887=6,"ESCALATED TO ROXANNE",IF(TODAY()&gt;$Y887,"OVERDUE",IF($Y887&lt;=WORKDAY(TODAY(),1,Holidays),"DUE TOMORROW",IF($W887=4,"ESCALATED TO LOCAL OFFICE",IF($W887=5,"ESCALATED TO CBE",IF($X887=TODAY(),"EMAIL SENT","MONITORING"))))))))))</f>
        <v/>
      </c>
      <c r="U887" s="17">
        <f>IF($T887="",IF(AND(COUNTA($A887:$K887)&gt;0,$L887=""),"Awaiting Collection Email time stamp.",""),IF(OR($T887="PAID",$T887="CLOSED"),IF($T887="PAID","Account paid. Action completed.","Account closed. No further action required."),CHOOSE($W887,"Collection Email","1st Email Follow-up","2nd Email Follow-up","Escalation to Local Office","Escalation to CBE","Escalation to Roxanne")&amp;" sent "&amp;TEXT($X887,"dd-mmm")&amp;". "&amp;IF($W887=6,"Final escalation completed.",IF($T887="OVERDUE","Next: "&amp;$Z887&amp;" was due "&amp;TEXT($Y887,"dd-mmm")&amp;" - "&amp;(NETWORKDAYS($Y887,TODAY(),Holidays)-1)&amp;" business day(s) late. Send now.",IF($T887="DUE TOMORROW","Next: "&amp;$Z887&amp;IF($Y887&lt;=TODAY()," is due TODAY ("," is due next business day (")&amp;TEXT($Y887,"dd-mmm")&amp;").","Next: "&amp;$Z887&amp;" due "&amp;TEXT($Y887,"dd-mmm")&amp;" ("&amp;(NETWORKDAYS(TODAY(),$Y887,Holidays)-1)&amp;" business day(s) left).")))))</f>
        <v/>
      </c>
      <c r="V887" s="17">
        <f>IF($W887="","",CHOOSE($W887,"Collection Email","1st Follow-up","2nd Follow-up","Local Office","CBE","Roxanne")&amp;IF($W887=6," - Final"," - Day "&amp;MAX(0,NETWORKDAYS($X887,TODAY(),Holidays)-1)&amp;" of "&amp;CHOOSE($W887,3,3,2,2,3))&amp;" | Total Day "&amp;MAX(0,NETWORKDAYS($L887,TODAY(),Holidays)-1))</f>
        <v/>
      </c>
      <c r="W887" s="17">
        <f>IF($L887="","",COUNT($L887:$Q887))</f>
        <v/>
      </c>
      <c r="X887" s="18">
        <f>IF($W887="","",INT(INDEX($L887:$Q887,$W887)))</f>
        <v/>
      </c>
      <c r="Y887" s="18">
        <f>IF(OR($W887="",$W887=6),"",WORKDAY($X887,CHOOSE($W887,3,3,2,2,3),Holidays))</f>
        <v/>
      </c>
      <c r="Z887" s="17">
        <f>IF(OR($W887="",$W887=6),"",CHOOSE($W887,"1st Email Follow-up","2nd Email Follow-up","Escalate Local Office","Escalate to CBE","Escalate to Roxanne"))</f>
        <v/>
      </c>
    </row>
    <row r="888" spans="18:26">
      <c r="R888" s="15"/>
      <c r="S888" s="16"/>
      <c r="T888" s="17">
        <f>IF(AND(COUNTA($A888:$K888)=0,$L888=""),"",IF($S888="Paid","PAID",IF($S888="Closed","CLOSED",IF($W888="","",IF($W888=6,"ESCALATED TO ROXANNE",IF(TODAY()&gt;$Y888,"OVERDUE",IF($Y888&lt;=WORKDAY(TODAY(),1,Holidays),"DUE TOMORROW",IF($W888=4,"ESCALATED TO LOCAL OFFICE",IF($W888=5,"ESCALATED TO CBE",IF($X888=TODAY(),"EMAIL SENT","MONITORING"))))))))))</f>
        <v/>
      </c>
      <c r="U888" s="17">
        <f>IF($T888="",IF(AND(COUNTA($A888:$K888)&gt;0,$L888=""),"Awaiting Collection Email time stamp.",""),IF(OR($T888="PAID",$T888="CLOSED"),IF($T888="PAID","Account paid. Action completed.","Account closed. No further action required."),CHOOSE($W888,"Collection Email","1st Email Follow-up","2nd Email Follow-up","Escalation to Local Office","Escalation to CBE","Escalation to Roxanne")&amp;" sent "&amp;TEXT($X888,"dd-mmm")&amp;". "&amp;IF($W888=6,"Final escalation completed.",IF($T888="OVERDUE","Next: "&amp;$Z888&amp;" was due "&amp;TEXT($Y888,"dd-mmm")&amp;" - "&amp;(NETWORKDAYS($Y888,TODAY(),Holidays)-1)&amp;" business day(s) late. Send now.",IF($T888="DUE TOMORROW","Next: "&amp;$Z888&amp;IF($Y888&lt;=TODAY()," is due TODAY ("," is due next business day (")&amp;TEXT($Y888,"dd-mmm")&amp;").","Next: "&amp;$Z888&amp;" due "&amp;TEXT($Y888,"dd-mmm")&amp;" ("&amp;(NETWORKDAYS(TODAY(),$Y888,Holidays)-1)&amp;" business day(s) left).")))))</f>
        <v/>
      </c>
      <c r="V888" s="17">
        <f>IF($W888="","",CHOOSE($W888,"Collection Email","1st Follow-up","2nd Follow-up","Local Office","CBE","Roxanne")&amp;IF($W888=6," - Final"," - Day "&amp;MAX(0,NETWORKDAYS($X888,TODAY(),Holidays)-1)&amp;" of "&amp;CHOOSE($W888,3,3,2,2,3))&amp;" | Total Day "&amp;MAX(0,NETWORKDAYS($L888,TODAY(),Holidays)-1))</f>
        <v/>
      </c>
      <c r="W888" s="17">
        <f>IF($L888="","",COUNT($L888:$Q888))</f>
        <v/>
      </c>
      <c r="X888" s="18">
        <f>IF($W888="","",INT(INDEX($L888:$Q888,$W888)))</f>
        <v/>
      </c>
      <c r="Y888" s="18">
        <f>IF(OR($W888="",$W888=6),"",WORKDAY($X888,CHOOSE($W888,3,3,2,2,3),Holidays))</f>
        <v/>
      </c>
      <c r="Z888" s="17">
        <f>IF(OR($W888="",$W888=6),"",CHOOSE($W888,"1st Email Follow-up","2nd Email Follow-up","Escalate Local Office","Escalate to CBE","Escalate to Roxanne"))</f>
        <v/>
      </c>
    </row>
    <row r="889" spans="18:26">
      <c r="R889" s="15"/>
      <c r="S889" s="16"/>
      <c r="T889" s="17">
        <f>IF(AND(COUNTA($A889:$K889)=0,$L889=""),"",IF($S889="Paid","PAID",IF($S889="Closed","CLOSED",IF($W889="","",IF($W889=6,"ESCALATED TO ROXANNE",IF(TODAY()&gt;$Y889,"OVERDUE",IF($Y889&lt;=WORKDAY(TODAY(),1,Holidays),"DUE TOMORROW",IF($W889=4,"ESCALATED TO LOCAL OFFICE",IF($W889=5,"ESCALATED TO CBE",IF($X889=TODAY(),"EMAIL SENT","MONITORING"))))))))))</f>
        <v/>
      </c>
      <c r="U889" s="17">
        <f>IF($T889="",IF(AND(COUNTA($A889:$K889)&gt;0,$L889=""),"Awaiting Collection Email time stamp.",""),IF(OR($T889="PAID",$T889="CLOSED"),IF($T889="PAID","Account paid. Action completed.","Account closed. No further action required."),CHOOSE($W889,"Collection Email","1st Email Follow-up","2nd Email Follow-up","Escalation to Local Office","Escalation to CBE","Escalation to Roxanne")&amp;" sent "&amp;TEXT($X889,"dd-mmm")&amp;". "&amp;IF($W889=6,"Final escalation completed.",IF($T889="OVERDUE","Next: "&amp;$Z889&amp;" was due "&amp;TEXT($Y889,"dd-mmm")&amp;" - "&amp;(NETWORKDAYS($Y889,TODAY(),Holidays)-1)&amp;" business day(s) late. Send now.",IF($T889="DUE TOMORROW","Next: "&amp;$Z889&amp;IF($Y889&lt;=TODAY()," is due TODAY ("," is due next business day (")&amp;TEXT($Y889,"dd-mmm")&amp;").","Next: "&amp;$Z889&amp;" due "&amp;TEXT($Y889,"dd-mmm")&amp;" ("&amp;(NETWORKDAYS(TODAY(),$Y889,Holidays)-1)&amp;" business day(s) left).")))))</f>
        <v/>
      </c>
      <c r="V889" s="17">
        <f>IF($W889="","",CHOOSE($W889,"Collection Email","1st Follow-up","2nd Follow-up","Local Office","CBE","Roxanne")&amp;IF($W889=6," - Final"," - Day "&amp;MAX(0,NETWORKDAYS($X889,TODAY(),Holidays)-1)&amp;" of "&amp;CHOOSE($W889,3,3,2,2,3))&amp;" | Total Day "&amp;MAX(0,NETWORKDAYS($L889,TODAY(),Holidays)-1))</f>
        <v/>
      </c>
      <c r="W889" s="17">
        <f>IF($L889="","",COUNT($L889:$Q889))</f>
        <v/>
      </c>
      <c r="X889" s="18">
        <f>IF($W889="","",INT(INDEX($L889:$Q889,$W889)))</f>
        <v/>
      </c>
      <c r="Y889" s="18">
        <f>IF(OR($W889="",$W889=6),"",WORKDAY($X889,CHOOSE($W889,3,3,2,2,3),Holidays))</f>
        <v/>
      </c>
      <c r="Z889" s="17">
        <f>IF(OR($W889="",$W889=6),"",CHOOSE($W889,"1st Email Follow-up","2nd Email Follow-up","Escalate Local Office","Escalate to CBE","Escalate to Roxanne"))</f>
        <v/>
      </c>
    </row>
    <row r="890" spans="18:26">
      <c r="R890" s="15"/>
      <c r="S890" s="16"/>
      <c r="T890" s="17">
        <f>IF(AND(COUNTA($A890:$K890)=0,$L890=""),"",IF($S890="Paid","PAID",IF($S890="Closed","CLOSED",IF($W890="","",IF($W890=6,"ESCALATED TO ROXANNE",IF(TODAY()&gt;$Y890,"OVERDUE",IF($Y890&lt;=WORKDAY(TODAY(),1,Holidays),"DUE TOMORROW",IF($W890=4,"ESCALATED TO LOCAL OFFICE",IF($W890=5,"ESCALATED TO CBE",IF($X890=TODAY(),"EMAIL SENT","MONITORING"))))))))))</f>
        <v/>
      </c>
      <c r="U890" s="17">
        <f>IF($T890="",IF(AND(COUNTA($A890:$K890)&gt;0,$L890=""),"Awaiting Collection Email time stamp.",""),IF(OR($T890="PAID",$T890="CLOSED"),IF($T890="PAID","Account paid. Action completed.","Account closed. No further action required."),CHOOSE($W890,"Collection Email","1st Email Follow-up","2nd Email Follow-up","Escalation to Local Office","Escalation to CBE","Escalation to Roxanne")&amp;" sent "&amp;TEXT($X890,"dd-mmm")&amp;". "&amp;IF($W890=6,"Final escalation completed.",IF($T890="OVERDUE","Next: "&amp;$Z890&amp;" was due "&amp;TEXT($Y890,"dd-mmm")&amp;" - "&amp;(NETWORKDAYS($Y890,TODAY(),Holidays)-1)&amp;" business day(s) late. Send now.",IF($T890="DUE TOMORROW","Next: "&amp;$Z890&amp;IF($Y890&lt;=TODAY()," is due TODAY ("," is due next business day (")&amp;TEXT($Y890,"dd-mmm")&amp;").","Next: "&amp;$Z890&amp;" due "&amp;TEXT($Y890,"dd-mmm")&amp;" ("&amp;(NETWORKDAYS(TODAY(),$Y890,Holidays)-1)&amp;" business day(s) left).")))))</f>
        <v/>
      </c>
      <c r="V890" s="17">
        <f>IF($W890="","",CHOOSE($W890,"Collection Email","1st Follow-up","2nd Follow-up","Local Office","CBE","Roxanne")&amp;IF($W890=6," - Final"," - Day "&amp;MAX(0,NETWORKDAYS($X890,TODAY(),Holidays)-1)&amp;" of "&amp;CHOOSE($W890,3,3,2,2,3))&amp;" | Total Day "&amp;MAX(0,NETWORKDAYS($L890,TODAY(),Holidays)-1))</f>
        <v/>
      </c>
      <c r="W890" s="17">
        <f>IF($L890="","",COUNT($L890:$Q890))</f>
        <v/>
      </c>
      <c r="X890" s="18">
        <f>IF($W890="","",INT(INDEX($L890:$Q890,$W890)))</f>
        <v/>
      </c>
      <c r="Y890" s="18">
        <f>IF(OR($W890="",$W890=6),"",WORKDAY($X890,CHOOSE($W890,3,3,2,2,3),Holidays))</f>
        <v/>
      </c>
      <c r="Z890" s="17">
        <f>IF(OR($W890="",$W890=6),"",CHOOSE($W890,"1st Email Follow-up","2nd Email Follow-up","Escalate Local Office","Escalate to CBE","Escalate to Roxanne"))</f>
        <v/>
      </c>
    </row>
    <row r="891" spans="18:26">
      <c r="R891" s="15"/>
      <c r="S891" s="16"/>
      <c r="T891" s="17">
        <f>IF(AND(COUNTA($A891:$K891)=0,$L891=""),"",IF($S891="Paid","PAID",IF($S891="Closed","CLOSED",IF($W891="","",IF($W891=6,"ESCALATED TO ROXANNE",IF(TODAY()&gt;$Y891,"OVERDUE",IF($Y891&lt;=WORKDAY(TODAY(),1,Holidays),"DUE TOMORROW",IF($W891=4,"ESCALATED TO LOCAL OFFICE",IF($W891=5,"ESCALATED TO CBE",IF($X891=TODAY(),"EMAIL SENT","MONITORING"))))))))))</f>
        <v/>
      </c>
      <c r="U891" s="17">
        <f>IF($T891="",IF(AND(COUNTA($A891:$K891)&gt;0,$L891=""),"Awaiting Collection Email time stamp.",""),IF(OR($T891="PAID",$T891="CLOSED"),IF($T891="PAID","Account paid. Action completed.","Account closed. No further action required."),CHOOSE($W891,"Collection Email","1st Email Follow-up","2nd Email Follow-up","Escalation to Local Office","Escalation to CBE","Escalation to Roxanne")&amp;" sent "&amp;TEXT($X891,"dd-mmm")&amp;". "&amp;IF($W891=6,"Final escalation completed.",IF($T891="OVERDUE","Next: "&amp;$Z891&amp;" was due "&amp;TEXT($Y891,"dd-mmm")&amp;" - "&amp;(NETWORKDAYS($Y891,TODAY(),Holidays)-1)&amp;" business day(s) late. Send now.",IF($T891="DUE TOMORROW","Next: "&amp;$Z891&amp;IF($Y891&lt;=TODAY()," is due TODAY ("," is due next business day (")&amp;TEXT($Y891,"dd-mmm")&amp;").","Next: "&amp;$Z891&amp;" due "&amp;TEXT($Y891,"dd-mmm")&amp;" ("&amp;(NETWORKDAYS(TODAY(),$Y891,Holidays)-1)&amp;" business day(s) left).")))))</f>
        <v/>
      </c>
      <c r="V891" s="17">
        <f>IF($W891="","",CHOOSE($W891,"Collection Email","1st Follow-up","2nd Follow-up","Local Office","CBE","Roxanne")&amp;IF($W891=6," - Final"," - Day "&amp;MAX(0,NETWORKDAYS($X891,TODAY(),Holidays)-1)&amp;" of "&amp;CHOOSE($W891,3,3,2,2,3))&amp;" | Total Day "&amp;MAX(0,NETWORKDAYS($L891,TODAY(),Holidays)-1))</f>
        <v/>
      </c>
      <c r="W891" s="17">
        <f>IF($L891="","",COUNT($L891:$Q891))</f>
        <v/>
      </c>
      <c r="X891" s="18">
        <f>IF($W891="","",INT(INDEX($L891:$Q891,$W891)))</f>
        <v/>
      </c>
      <c r="Y891" s="18">
        <f>IF(OR($W891="",$W891=6),"",WORKDAY($X891,CHOOSE($W891,3,3,2,2,3),Holidays))</f>
        <v/>
      </c>
      <c r="Z891" s="17">
        <f>IF(OR($W891="",$W891=6),"",CHOOSE($W891,"1st Email Follow-up","2nd Email Follow-up","Escalate Local Office","Escalate to CBE","Escalate to Roxanne"))</f>
        <v/>
      </c>
    </row>
    <row r="892" spans="18:26">
      <c r="R892" s="15"/>
      <c r="S892" s="16"/>
      <c r="T892" s="17">
        <f>IF(AND(COUNTA($A892:$K892)=0,$L892=""),"",IF($S892="Paid","PAID",IF($S892="Closed","CLOSED",IF($W892="","",IF($W892=6,"ESCALATED TO ROXANNE",IF(TODAY()&gt;$Y892,"OVERDUE",IF($Y892&lt;=WORKDAY(TODAY(),1,Holidays),"DUE TOMORROW",IF($W892=4,"ESCALATED TO LOCAL OFFICE",IF($W892=5,"ESCALATED TO CBE",IF($X892=TODAY(),"EMAIL SENT","MONITORING"))))))))))</f>
        <v/>
      </c>
      <c r="U892" s="17">
        <f>IF($T892="",IF(AND(COUNTA($A892:$K892)&gt;0,$L892=""),"Awaiting Collection Email time stamp.",""),IF(OR($T892="PAID",$T892="CLOSED"),IF($T892="PAID","Account paid. Action completed.","Account closed. No further action required."),CHOOSE($W892,"Collection Email","1st Email Follow-up","2nd Email Follow-up","Escalation to Local Office","Escalation to CBE","Escalation to Roxanne")&amp;" sent "&amp;TEXT($X892,"dd-mmm")&amp;". "&amp;IF($W892=6,"Final escalation completed.",IF($T892="OVERDUE","Next: "&amp;$Z892&amp;" was due "&amp;TEXT($Y892,"dd-mmm")&amp;" - "&amp;(NETWORKDAYS($Y892,TODAY(),Holidays)-1)&amp;" business day(s) late. Send now.",IF($T892="DUE TOMORROW","Next: "&amp;$Z892&amp;IF($Y892&lt;=TODAY()," is due TODAY ("," is due next business day (")&amp;TEXT($Y892,"dd-mmm")&amp;").","Next: "&amp;$Z892&amp;" due "&amp;TEXT($Y892,"dd-mmm")&amp;" ("&amp;(NETWORKDAYS(TODAY(),$Y892,Holidays)-1)&amp;" business day(s) left).")))))</f>
        <v/>
      </c>
      <c r="V892" s="17">
        <f>IF($W892="","",CHOOSE($W892,"Collection Email","1st Follow-up","2nd Follow-up","Local Office","CBE","Roxanne")&amp;IF($W892=6," - Final"," - Day "&amp;MAX(0,NETWORKDAYS($X892,TODAY(),Holidays)-1)&amp;" of "&amp;CHOOSE($W892,3,3,2,2,3))&amp;" | Total Day "&amp;MAX(0,NETWORKDAYS($L892,TODAY(),Holidays)-1))</f>
        <v/>
      </c>
      <c r="W892" s="17">
        <f>IF($L892="","",COUNT($L892:$Q892))</f>
        <v/>
      </c>
      <c r="X892" s="18">
        <f>IF($W892="","",INT(INDEX($L892:$Q892,$W892)))</f>
        <v/>
      </c>
      <c r="Y892" s="18">
        <f>IF(OR($W892="",$W892=6),"",WORKDAY($X892,CHOOSE($W892,3,3,2,2,3),Holidays))</f>
        <v/>
      </c>
      <c r="Z892" s="17">
        <f>IF(OR($W892="",$W892=6),"",CHOOSE($W892,"1st Email Follow-up","2nd Email Follow-up","Escalate Local Office","Escalate to CBE","Escalate to Roxanne"))</f>
        <v/>
      </c>
    </row>
    <row r="893" spans="18:26">
      <c r="R893" s="15"/>
      <c r="S893" s="16"/>
      <c r="T893" s="17">
        <f>IF(AND(COUNTA($A893:$K893)=0,$L893=""),"",IF($S893="Paid","PAID",IF($S893="Closed","CLOSED",IF($W893="","",IF($W893=6,"ESCALATED TO ROXANNE",IF(TODAY()&gt;$Y893,"OVERDUE",IF($Y893&lt;=WORKDAY(TODAY(),1,Holidays),"DUE TOMORROW",IF($W893=4,"ESCALATED TO LOCAL OFFICE",IF($W893=5,"ESCALATED TO CBE",IF($X893=TODAY(),"EMAIL SENT","MONITORING"))))))))))</f>
        <v/>
      </c>
      <c r="U893" s="17">
        <f>IF($T893="",IF(AND(COUNTA($A893:$K893)&gt;0,$L893=""),"Awaiting Collection Email time stamp.",""),IF(OR($T893="PAID",$T893="CLOSED"),IF($T893="PAID","Account paid. Action completed.","Account closed. No further action required."),CHOOSE($W893,"Collection Email","1st Email Follow-up","2nd Email Follow-up","Escalation to Local Office","Escalation to CBE","Escalation to Roxanne")&amp;" sent "&amp;TEXT($X893,"dd-mmm")&amp;". "&amp;IF($W893=6,"Final escalation completed.",IF($T893="OVERDUE","Next: "&amp;$Z893&amp;" was due "&amp;TEXT($Y893,"dd-mmm")&amp;" - "&amp;(NETWORKDAYS($Y893,TODAY(),Holidays)-1)&amp;" business day(s) late. Send now.",IF($T893="DUE TOMORROW","Next: "&amp;$Z893&amp;IF($Y893&lt;=TODAY()," is due TODAY ("," is due next business day (")&amp;TEXT($Y893,"dd-mmm")&amp;").","Next: "&amp;$Z893&amp;" due "&amp;TEXT($Y893,"dd-mmm")&amp;" ("&amp;(NETWORKDAYS(TODAY(),$Y893,Holidays)-1)&amp;" business day(s) left).")))))</f>
        <v/>
      </c>
      <c r="V893" s="17">
        <f>IF($W893="","",CHOOSE($W893,"Collection Email","1st Follow-up","2nd Follow-up","Local Office","CBE","Roxanne")&amp;IF($W893=6," - Final"," - Day "&amp;MAX(0,NETWORKDAYS($X893,TODAY(),Holidays)-1)&amp;" of "&amp;CHOOSE($W893,3,3,2,2,3))&amp;" | Total Day "&amp;MAX(0,NETWORKDAYS($L893,TODAY(),Holidays)-1))</f>
        <v/>
      </c>
      <c r="W893" s="17">
        <f>IF($L893="","",COUNT($L893:$Q893))</f>
        <v/>
      </c>
      <c r="X893" s="18">
        <f>IF($W893="","",INT(INDEX($L893:$Q893,$W893)))</f>
        <v/>
      </c>
      <c r="Y893" s="18">
        <f>IF(OR($W893="",$W893=6),"",WORKDAY($X893,CHOOSE($W893,3,3,2,2,3),Holidays))</f>
        <v/>
      </c>
      <c r="Z893" s="17">
        <f>IF(OR($W893="",$W893=6),"",CHOOSE($W893,"1st Email Follow-up","2nd Email Follow-up","Escalate Local Office","Escalate to CBE","Escalate to Roxanne"))</f>
        <v/>
      </c>
    </row>
    <row r="894" spans="18:26">
      <c r="R894" s="15"/>
      <c r="S894" s="16"/>
      <c r="T894" s="17">
        <f>IF(AND(COUNTA($A894:$K894)=0,$L894=""),"",IF($S894="Paid","PAID",IF($S894="Closed","CLOSED",IF($W894="","",IF($W894=6,"ESCALATED TO ROXANNE",IF(TODAY()&gt;$Y894,"OVERDUE",IF($Y894&lt;=WORKDAY(TODAY(),1,Holidays),"DUE TOMORROW",IF($W894=4,"ESCALATED TO LOCAL OFFICE",IF($W894=5,"ESCALATED TO CBE",IF($X894=TODAY(),"EMAIL SENT","MONITORING"))))))))))</f>
        <v/>
      </c>
      <c r="U894" s="17">
        <f>IF($T894="",IF(AND(COUNTA($A894:$K894)&gt;0,$L894=""),"Awaiting Collection Email time stamp.",""),IF(OR($T894="PAID",$T894="CLOSED"),IF($T894="PAID","Account paid. Action completed.","Account closed. No further action required."),CHOOSE($W894,"Collection Email","1st Email Follow-up","2nd Email Follow-up","Escalation to Local Office","Escalation to CBE","Escalation to Roxanne")&amp;" sent "&amp;TEXT($X894,"dd-mmm")&amp;". "&amp;IF($W894=6,"Final escalation completed.",IF($T894="OVERDUE","Next: "&amp;$Z894&amp;" was due "&amp;TEXT($Y894,"dd-mmm")&amp;" - "&amp;(NETWORKDAYS($Y894,TODAY(),Holidays)-1)&amp;" business day(s) late. Send now.",IF($T894="DUE TOMORROW","Next: "&amp;$Z894&amp;IF($Y894&lt;=TODAY()," is due TODAY ("," is due next business day (")&amp;TEXT($Y894,"dd-mmm")&amp;").","Next: "&amp;$Z894&amp;" due "&amp;TEXT($Y894,"dd-mmm")&amp;" ("&amp;(NETWORKDAYS(TODAY(),$Y894,Holidays)-1)&amp;" business day(s) left).")))))</f>
        <v/>
      </c>
      <c r="V894" s="17">
        <f>IF($W894="","",CHOOSE($W894,"Collection Email","1st Follow-up","2nd Follow-up","Local Office","CBE","Roxanne")&amp;IF($W894=6," - Final"," - Day "&amp;MAX(0,NETWORKDAYS($X894,TODAY(),Holidays)-1)&amp;" of "&amp;CHOOSE($W894,3,3,2,2,3))&amp;" | Total Day "&amp;MAX(0,NETWORKDAYS($L894,TODAY(),Holidays)-1))</f>
        <v/>
      </c>
      <c r="W894" s="17">
        <f>IF($L894="","",COUNT($L894:$Q894))</f>
        <v/>
      </c>
      <c r="X894" s="18">
        <f>IF($W894="","",INT(INDEX($L894:$Q894,$W894)))</f>
        <v/>
      </c>
      <c r="Y894" s="18">
        <f>IF(OR($W894="",$W894=6),"",WORKDAY($X894,CHOOSE($W894,3,3,2,2,3),Holidays))</f>
        <v/>
      </c>
      <c r="Z894" s="17">
        <f>IF(OR($W894="",$W894=6),"",CHOOSE($W894,"1st Email Follow-up","2nd Email Follow-up","Escalate Local Office","Escalate to CBE","Escalate to Roxanne"))</f>
        <v/>
      </c>
    </row>
    <row r="895" spans="18:26">
      <c r="R895" s="15"/>
      <c r="S895" s="16"/>
      <c r="T895" s="17">
        <f>IF(AND(COUNTA($A895:$K895)=0,$L895=""),"",IF($S895="Paid","PAID",IF($S895="Closed","CLOSED",IF($W895="","",IF($W895=6,"ESCALATED TO ROXANNE",IF(TODAY()&gt;$Y895,"OVERDUE",IF($Y895&lt;=WORKDAY(TODAY(),1,Holidays),"DUE TOMORROW",IF($W895=4,"ESCALATED TO LOCAL OFFICE",IF($W895=5,"ESCALATED TO CBE",IF($X895=TODAY(),"EMAIL SENT","MONITORING"))))))))))</f>
        <v/>
      </c>
      <c r="U895" s="17">
        <f>IF($T895="",IF(AND(COUNTA($A895:$K895)&gt;0,$L895=""),"Awaiting Collection Email time stamp.",""),IF(OR($T895="PAID",$T895="CLOSED"),IF($T895="PAID","Account paid. Action completed.","Account closed. No further action required."),CHOOSE($W895,"Collection Email","1st Email Follow-up","2nd Email Follow-up","Escalation to Local Office","Escalation to CBE","Escalation to Roxanne")&amp;" sent "&amp;TEXT($X895,"dd-mmm")&amp;". "&amp;IF($W895=6,"Final escalation completed.",IF($T895="OVERDUE","Next: "&amp;$Z895&amp;" was due "&amp;TEXT($Y895,"dd-mmm")&amp;" - "&amp;(NETWORKDAYS($Y895,TODAY(),Holidays)-1)&amp;" business day(s) late. Send now.",IF($T895="DUE TOMORROW","Next: "&amp;$Z895&amp;IF($Y895&lt;=TODAY()," is due TODAY ("," is due next business day (")&amp;TEXT($Y895,"dd-mmm")&amp;").","Next: "&amp;$Z895&amp;" due "&amp;TEXT($Y895,"dd-mmm")&amp;" ("&amp;(NETWORKDAYS(TODAY(),$Y895,Holidays)-1)&amp;" business day(s) left).")))))</f>
        <v/>
      </c>
      <c r="V895" s="17">
        <f>IF($W895="","",CHOOSE($W895,"Collection Email","1st Follow-up","2nd Follow-up","Local Office","CBE","Roxanne")&amp;IF($W895=6," - Final"," - Day "&amp;MAX(0,NETWORKDAYS($X895,TODAY(),Holidays)-1)&amp;" of "&amp;CHOOSE($W895,3,3,2,2,3))&amp;" | Total Day "&amp;MAX(0,NETWORKDAYS($L895,TODAY(),Holidays)-1))</f>
        <v/>
      </c>
      <c r="W895" s="17">
        <f>IF($L895="","",COUNT($L895:$Q895))</f>
        <v/>
      </c>
      <c r="X895" s="18">
        <f>IF($W895="","",INT(INDEX($L895:$Q895,$W895)))</f>
        <v/>
      </c>
      <c r="Y895" s="18">
        <f>IF(OR($W895="",$W895=6),"",WORKDAY($X895,CHOOSE($W895,3,3,2,2,3),Holidays))</f>
        <v/>
      </c>
      <c r="Z895" s="17">
        <f>IF(OR($W895="",$W895=6),"",CHOOSE($W895,"1st Email Follow-up","2nd Email Follow-up","Escalate Local Office","Escalate to CBE","Escalate to Roxanne"))</f>
        <v/>
      </c>
    </row>
    <row r="896" spans="18:26">
      <c r="R896" s="15"/>
      <c r="S896" s="16"/>
      <c r="T896" s="17">
        <f>IF(AND(COUNTA($A896:$K896)=0,$L896=""),"",IF($S896="Paid","PAID",IF($S896="Closed","CLOSED",IF($W896="","",IF($W896=6,"ESCALATED TO ROXANNE",IF(TODAY()&gt;$Y896,"OVERDUE",IF($Y896&lt;=WORKDAY(TODAY(),1,Holidays),"DUE TOMORROW",IF($W896=4,"ESCALATED TO LOCAL OFFICE",IF($W896=5,"ESCALATED TO CBE",IF($X896=TODAY(),"EMAIL SENT","MONITORING"))))))))))</f>
        <v/>
      </c>
      <c r="U896" s="17">
        <f>IF($T896="",IF(AND(COUNTA($A896:$K896)&gt;0,$L896=""),"Awaiting Collection Email time stamp.",""),IF(OR($T896="PAID",$T896="CLOSED"),IF($T896="PAID","Account paid. Action completed.","Account closed. No further action required."),CHOOSE($W896,"Collection Email","1st Email Follow-up","2nd Email Follow-up","Escalation to Local Office","Escalation to CBE","Escalation to Roxanne")&amp;" sent "&amp;TEXT($X896,"dd-mmm")&amp;". "&amp;IF($W896=6,"Final escalation completed.",IF($T896="OVERDUE","Next: "&amp;$Z896&amp;" was due "&amp;TEXT($Y896,"dd-mmm")&amp;" - "&amp;(NETWORKDAYS($Y896,TODAY(),Holidays)-1)&amp;" business day(s) late. Send now.",IF($T896="DUE TOMORROW","Next: "&amp;$Z896&amp;IF($Y896&lt;=TODAY()," is due TODAY ("," is due next business day (")&amp;TEXT($Y896,"dd-mmm")&amp;").","Next: "&amp;$Z896&amp;" due "&amp;TEXT($Y896,"dd-mmm")&amp;" ("&amp;(NETWORKDAYS(TODAY(),$Y896,Holidays)-1)&amp;" business day(s) left).")))))</f>
        <v/>
      </c>
      <c r="V896" s="17">
        <f>IF($W896="","",CHOOSE($W896,"Collection Email","1st Follow-up","2nd Follow-up","Local Office","CBE","Roxanne")&amp;IF($W896=6," - Final"," - Day "&amp;MAX(0,NETWORKDAYS($X896,TODAY(),Holidays)-1)&amp;" of "&amp;CHOOSE($W896,3,3,2,2,3))&amp;" | Total Day "&amp;MAX(0,NETWORKDAYS($L896,TODAY(),Holidays)-1))</f>
        <v/>
      </c>
      <c r="W896" s="17">
        <f>IF($L896="","",COUNT($L896:$Q896))</f>
        <v/>
      </c>
      <c r="X896" s="18">
        <f>IF($W896="","",INT(INDEX($L896:$Q896,$W896)))</f>
        <v/>
      </c>
      <c r="Y896" s="18">
        <f>IF(OR($W896="",$W896=6),"",WORKDAY($X896,CHOOSE($W896,3,3,2,2,3),Holidays))</f>
        <v/>
      </c>
      <c r="Z896" s="17">
        <f>IF(OR($W896="",$W896=6),"",CHOOSE($W896,"1st Email Follow-up","2nd Email Follow-up","Escalate Local Office","Escalate to CBE","Escalate to Roxanne"))</f>
        <v/>
      </c>
    </row>
    <row r="897" spans="18:26">
      <c r="R897" s="15"/>
      <c r="S897" s="16"/>
      <c r="T897" s="17">
        <f>IF(AND(COUNTA($A897:$K897)=0,$L897=""),"",IF($S897="Paid","PAID",IF($S897="Closed","CLOSED",IF($W897="","",IF($W897=6,"ESCALATED TO ROXANNE",IF(TODAY()&gt;$Y897,"OVERDUE",IF($Y897&lt;=WORKDAY(TODAY(),1,Holidays),"DUE TOMORROW",IF($W897=4,"ESCALATED TO LOCAL OFFICE",IF($W897=5,"ESCALATED TO CBE",IF($X897=TODAY(),"EMAIL SENT","MONITORING"))))))))))</f>
        <v/>
      </c>
      <c r="U897" s="17">
        <f>IF($T897="",IF(AND(COUNTA($A897:$K897)&gt;0,$L897=""),"Awaiting Collection Email time stamp.",""),IF(OR($T897="PAID",$T897="CLOSED"),IF($T897="PAID","Account paid. Action completed.","Account closed. No further action required."),CHOOSE($W897,"Collection Email","1st Email Follow-up","2nd Email Follow-up","Escalation to Local Office","Escalation to CBE","Escalation to Roxanne")&amp;" sent "&amp;TEXT($X897,"dd-mmm")&amp;". "&amp;IF($W897=6,"Final escalation completed.",IF($T897="OVERDUE","Next: "&amp;$Z897&amp;" was due "&amp;TEXT($Y897,"dd-mmm")&amp;" - "&amp;(NETWORKDAYS($Y897,TODAY(),Holidays)-1)&amp;" business day(s) late. Send now.",IF($T897="DUE TOMORROW","Next: "&amp;$Z897&amp;IF($Y897&lt;=TODAY()," is due TODAY ("," is due next business day (")&amp;TEXT($Y897,"dd-mmm")&amp;").","Next: "&amp;$Z897&amp;" due "&amp;TEXT($Y897,"dd-mmm")&amp;" ("&amp;(NETWORKDAYS(TODAY(),$Y897,Holidays)-1)&amp;" business day(s) left).")))))</f>
        <v/>
      </c>
      <c r="V897" s="17">
        <f>IF($W897="","",CHOOSE($W897,"Collection Email","1st Follow-up","2nd Follow-up","Local Office","CBE","Roxanne")&amp;IF($W897=6," - Final"," - Day "&amp;MAX(0,NETWORKDAYS($X897,TODAY(),Holidays)-1)&amp;" of "&amp;CHOOSE($W897,3,3,2,2,3))&amp;" | Total Day "&amp;MAX(0,NETWORKDAYS($L897,TODAY(),Holidays)-1))</f>
        <v/>
      </c>
      <c r="W897" s="17">
        <f>IF($L897="","",COUNT($L897:$Q897))</f>
        <v/>
      </c>
      <c r="X897" s="18">
        <f>IF($W897="","",INT(INDEX($L897:$Q897,$W897)))</f>
        <v/>
      </c>
      <c r="Y897" s="18">
        <f>IF(OR($W897="",$W897=6),"",WORKDAY($X897,CHOOSE($W897,3,3,2,2,3),Holidays))</f>
        <v/>
      </c>
      <c r="Z897" s="17">
        <f>IF(OR($W897="",$W897=6),"",CHOOSE($W897,"1st Email Follow-up","2nd Email Follow-up","Escalate Local Office","Escalate to CBE","Escalate to Roxanne"))</f>
        <v/>
      </c>
    </row>
    <row r="898" spans="18:26">
      <c r="R898" s="15"/>
      <c r="S898" s="16"/>
      <c r="T898" s="17">
        <f>IF(AND(COUNTA($A898:$K898)=0,$L898=""),"",IF($S898="Paid","PAID",IF($S898="Closed","CLOSED",IF($W898="","",IF($W898=6,"ESCALATED TO ROXANNE",IF(TODAY()&gt;$Y898,"OVERDUE",IF($Y898&lt;=WORKDAY(TODAY(),1,Holidays),"DUE TOMORROW",IF($W898=4,"ESCALATED TO LOCAL OFFICE",IF($W898=5,"ESCALATED TO CBE",IF($X898=TODAY(),"EMAIL SENT","MONITORING"))))))))))</f>
        <v/>
      </c>
      <c r="U898" s="17">
        <f>IF($T898="",IF(AND(COUNTA($A898:$K898)&gt;0,$L898=""),"Awaiting Collection Email time stamp.",""),IF(OR($T898="PAID",$T898="CLOSED"),IF($T898="PAID","Account paid. Action completed.","Account closed. No further action required."),CHOOSE($W898,"Collection Email","1st Email Follow-up","2nd Email Follow-up","Escalation to Local Office","Escalation to CBE","Escalation to Roxanne")&amp;" sent "&amp;TEXT($X898,"dd-mmm")&amp;". "&amp;IF($W898=6,"Final escalation completed.",IF($T898="OVERDUE","Next: "&amp;$Z898&amp;" was due "&amp;TEXT($Y898,"dd-mmm")&amp;" - "&amp;(NETWORKDAYS($Y898,TODAY(),Holidays)-1)&amp;" business day(s) late. Send now.",IF($T898="DUE TOMORROW","Next: "&amp;$Z898&amp;IF($Y898&lt;=TODAY()," is due TODAY ("," is due next business day (")&amp;TEXT($Y898,"dd-mmm")&amp;").","Next: "&amp;$Z898&amp;" due "&amp;TEXT($Y898,"dd-mmm")&amp;" ("&amp;(NETWORKDAYS(TODAY(),$Y898,Holidays)-1)&amp;" business day(s) left).")))))</f>
        <v/>
      </c>
      <c r="V898" s="17">
        <f>IF($W898="","",CHOOSE($W898,"Collection Email","1st Follow-up","2nd Follow-up","Local Office","CBE","Roxanne")&amp;IF($W898=6," - Final"," - Day "&amp;MAX(0,NETWORKDAYS($X898,TODAY(),Holidays)-1)&amp;" of "&amp;CHOOSE($W898,3,3,2,2,3))&amp;" | Total Day "&amp;MAX(0,NETWORKDAYS($L898,TODAY(),Holidays)-1))</f>
        <v/>
      </c>
      <c r="W898" s="17">
        <f>IF($L898="","",COUNT($L898:$Q898))</f>
        <v/>
      </c>
      <c r="X898" s="18">
        <f>IF($W898="","",INT(INDEX($L898:$Q898,$W898)))</f>
        <v/>
      </c>
      <c r="Y898" s="18">
        <f>IF(OR($W898="",$W898=6),"",WORKDAY($X898,CHOOSE($W898,3,3,2,2,3),Holidays))</f>
        <v/>
      </c>
      <c r="Z898" s="17">
        <f>IF(OR($W898="",$W898=6),"",CHOOSE($W898,"1st Email Follow-up","2nd Email Follow-up","Escalate Local Office","Escalate to CBE","Escalate to Roxanne"))</f>
        <v/>
      </c>
    </row>
    <row r="899" spans="18:26">
      <c r="R899" s="15"/>
      <c r="S899" s="16"/>
      <c r="T899" s="17">
        <f>IF(AND(COUNTA($A899:$K899)=0,$L899=""),"",IF($S899="Paid","PAID",IF($S899="Closed","CLOSED",IF($W899="","",IF($W899=6,"ESCALATED TO ROXANNE",IF(TODAY()&gt;$Y899,"OVERDUE",IF($Y899&lt;=WORKDAY(TODAY(),1,Holidays),"DUE TOMORROW",IF($W899=4,"ESCALATED TO LOCAL OFFICE",IF($W899=5,"ESCALATED TO CBE",IF($X899=TODAY(),"EMAIL SENT","MONITORING"))))))))))</f>
        <v/>
      </c>
      <c r="U899" s="17">
        <f>IF($T899="",IF(AND(COUNTA($A899:$K899)&gt;0,$L899=""),"Awaiting Collection Email time stamp.",""),IF(OR($T899="PAID",$T899="CLOSED"),IF($T899="PAID","Account paid. Action completed.","Account closed. No further action required."),CHOOSE($W899,"Collection Email","1st Email Follow-up","2nd Email Follow-up","Escalation to Local Office","Escalation to CBE","Escalation to Roxanne")&amp;" sent "&amp;TEXT($X899,"dd-mmm")&amp;". "&amp;IF($W899=6,"Final escalation completed.",IF($T899="OVERDUE","Next: "&amp;$Z899&amp;" was due "&amp;TEXT($Y899,"dd-mmm")&amp;" - "&amp;(NETWORKDAYS($Y899,TODAY(),Holidays)-1)&amp;" business day(s) late. Send now.",IF($T899="DUE TOMORROW","Next: "&amp;$Z899&amp;IF($Y899&lt;=TODAY()," is due TODAY ("," is due next business day (")&amp;TEXT($Y899,"dd-mmm")&amp;").","Next: "&amp;$Z899&amp;" due "&amp;TEXT($Y899,"dd-mmm")&amp;" ("&amp;(NETWORKDAYS(TODAY(),$Y899,Holidays)-1)&amp;" business day(s) left).")))))</f>
        <v/>
      </c>
      <c r="V899" s="17">
        <f>IF($W899="","",CHOOSE($W899,"Collection Email","1st Follow-up","2nd Follow-up","Local Office","CBE","Roxanne")&amp;IF($W899=6," - Final"," - Day "&amp;MAX(0,NETWORKDAYS($X899,TODAY(),Holidays)-1)&amp;" of "&amp;CHOOSE($W899,3,3,2,2,3))&amp;" | Total Day "&amp;MAX(0,NETWORKDAYS($L899,TODAY(),Holidays)-1))</f>
        <v/>
      </c>
      <c r="W899" s="17">
        <f>IF($L899="","",COUNT($L899:$Q899))</f>
        <v/>
      </c>
      <c r="X899" s="18">
        <f>IF($W899="","",INT(INDEX($L899:$Q899,$W899)))</f>
        <v/>
      </c>
      <c r="Y899" s="18">
        <f>IF(OR($W899="",$W899=6),"",WORKDAY($X899,CHOOSE($W899,3,3,2,2,3),Holidays))</f>
        <v/>
      </c>
      <c r="Z899" s="17">
        <f>IF(OR($W899="",$W899=6),"",CHOOSE($W899,"1st Email Follow-up","2nd Email Follow-up","Escalate Local Office","Escalate to CBE","Escalate to Roxanne"))</f>
        <v/>
      </c>
    </row>
    <row r="900" spans="18:26">
      <c r="R900" s="15"/>
      <c r="S900" s="16"/>
      <c r="T900" s="17">
        <f>IF(AND(COUNTA($A900:$K900)=0,$L900=""),"",IF($S900="Paid","PAID",IF($S900="Closed","CLOSED",IF($W900="","",IF($W900=6,"ESCALATED TO ROXANNE",IF(TODAY()&gt;$Y900,"OVERDUE",IF($Y900&lt;=WORKDAY(TODAY(),1,Holidays),"DUE TOMORROW",IF($W900=4,"ESCALATED TO LOCAL OFFICE",IF($W900=5,"ESCALATED TO CBE",IF($X900=TODAY(),"EMAIL SENT","MONITORING"))))))))))</f>
        <v/>
      </c>
      <c r="U900" s="17">
        <f>IF($T900="",IF(AND(COUNTA($A900:$K900)&gt;0,$L900=""),"Awaiting Collection Email time stamp.",""),IF(OR($T900="PAID",$T900="CLOSED"),IF($T900="PAID","Account paid. Action completed.","Account closed. No further action required."),CHOOSE($W900,"Collection Email","1st Email Follow-up","2nd Email Follow-up","Escalation to Local Office","Escalation to CBE","Escalation to Roxanne")&amp;" sent "&amp;TEXT($X900,"dd-mmm")&amp;". "&amp;IF($W900=6,"Final escalation completed.",IF($T900="OVERDUE","Next: "&amp;$Z900&amp;" was due "&amp;TEXT($Y900,"dd-mmm")&amp;" - "&amp;(NETWORKDAYS($Y900,TODAY(),Holidays)-1)&amp;" business day(s) late. Send now.",IF($T900="DUE TOMORROW","Next: "&amp;$Z900&amp;IF($Y900&lt;=TODAY()," is due TODAY ("," is due next business day (")&amp;TEXT($Y900,"dd-mmm")&amp;").","Next: "&amp;$Z900&amp;" due "&amp;TEXT($Y900,"dd-mmm")&amp;" ("&amp;(NETWORKDAYS(TODAY(),$Y900,Holidays)-1)&amp;" business day(s) left).")))))</f>
        <v/>
      </c>
      <c r="V900" s="17">
        <f>IF($W900="","",CHOOSE($W900,"Collection Email","1st Follow-up","2nd Follow-up","Local Office","CBE","Roxanne")&amp;IF($W900=6," - Final"," - Day "&amp;MAX(0,NETWORKDAYS($X900,TODAY(),Holidays)-1)&amp;" of "&amp;CHOOSE($W900,3,3,2,2,3))&amp;" | Total Day "&amp;MAX(0,NETWORKDAYS($L900,TODAY(),Holidays)-1))</f>
        <v/>
      </c>
      <c r="W900" s="17">
        <f>IF($L900="","",COUNT($L900:$Q900))</f>
        <v/>
      </c>
      <c r="X900" s="18">
        <f>IF($W900="","",INT(INDEX($L900:$Q900,$W900)))</f>
        <v/>
      </c>
      <c r="Y900" s="18">
        <f>IF(OR($W900="",$W900=6),"",WORKDAY($X900,CHOOSE($W900,3,3,2,2,3),Holidays))</f>
        <v/>
      </c>
      <c r="Z900" s="17">
        <f>IF(OR($W900="",$W900=6),"",CHOOSE($W900,"1st Email Follow-up","2nd Email Follow-up","Escalate Local Office","Escalate to CBE","Escalate to Roxanne"))</f>
        <v/>
      </c>
    </row>
    <row r="901" spans="18:26">
      <c r="R901" s="15"/>
      <c r="S901" s="16"/>
      <c r="T901" s="17">
        <f>IF(AND(COUNTA($A901:$K901)=0,$L901=""),"",IF($S901="Paid","PAID",IF($S901="Closed","CLOSED",IF($W901="","",IF($W901=6,"ESCALATED TO ROXANNE",IF(TODAY()&gt;$Y901,"OVERDUE",IF($Y901&lt;=WORKDAY(TODAY(),1,Holidays),"DUE TOMORROW",IF($W901=4,"ESCALATED TO LOCAL OFFICE",IF($W901=5,"ESCALATED TO CBE",IF($X901=TODAY(),"EMAIL SENT","MONITORING"))))))))))</f>
        <v/>
      </c>
      <c r="U901" s="17">
        <f>IF($T901="",IF(AND(COUNTA($A901:$K901)&gt;0,$L901=""),"Awaiting Collection Email time stamp.",""),IF(OR($T901="PAID",$T901="CLOSED"),IF($T901="PAID","Account paid. Action completed.","Account closed. No further action required."),CHOOSE($W901,"Collection Email","1st Email Follow-up","2nd Email Follow-up","Escalation to Local Office","Escalation to CBE","Escalation to Roxanne")&amp;" sent "&amp;TEXT($X901,"dd-mmm")&amp;". "&amp;IF($W901=6,"Final escalation completed.",IF($T901="OVERDUE","Next: "&amp;$Z901&amp;" was due "&amp;TEXT($Y901,"dd-mmm")&amp;" - "&amp;(NETWORKDAYS($Y901,TODAY(),Holidays)-1)&amp;" business day(s) late. Send now.",IF($T901="DUE TOMORROW","Next: "&amp;$Z901&amp;IF($Y901&lt;=TODAY()," is due TODAY ("," is due next business day (")&amp;TEXT($Y901,"dd-mmm")&amp;").","Next: "&amp;$Z901&amp;" due "&amp;TEXT($Y901,"dd-mmm")&amp;" ("&amp;(NETWORKDAYS(TODAY(),$Y901,Holidays)-1)&amp;" business day(s) left).")))))</f>
        <v/>
      </c>
      <c r="V901" s="17">
        <f>IF($W901="","",CHOOSE($W901,"Collection Email","1st Follow-up","2nd Follow-up","Local Office","CBE","Roxanne")&amp;IF($W901=6," - Final"," - Day "&amp;MAX(0,NETWORKDAYS($X901,TODAY(),Holidays)-1)&amp;" of "&amp;CHOOSE($W901,3,3,2,2,3))&amp;" | Total Day "&amp;MAX(0,NETWORKDAYS($L901,TODAY(),Holidays)-1))</f>
        <v/>
      </c>
      <c r="W901" s="17">
        <f>IF($L901="","",COUNT($L901:$Q901))</f>
        <v/>
      </c>
      <c r="X901" s="18">
        <f>IF($W901="","",INT(INDEX($L901:$Q901,$W901)))</f>
        <v/>
      </c>
      <c r="Y901" s="18">
        <f>IF(OR($W901="",$W901=6),"",WORKDAY($X901,CHOOSE($W901,3,3,2,2,3),Holidays))</f>
        <v/>
      </c>
      <c r="Z901" s="17">
        <f>IF(OR($W901="",$W901=6),"",CHOOSE($W901,"1st Email Follow-up","2nd Email Follow-up","Escalate Local Office","Escalate to CBE","Escalate to Roxanne"))</f>
        <v/>
      </c>
    </row>
    <row r="902" spans="18:26">
      <c r="R902" s="15"/>
      <c r="S902" s="16"/>
      <c r="T902" s="17">
        <f>IF(AND(COUNTA($A902:$K902)=0,$L902=""),"",IF($S902="Paid","PAID",IF($S902="Closed","CLOSED",IF($W902="","",IF($W902=6,"ESCALATED TO ROXANNE",IF(TODAY()&gt;$Y902,"OVERDUE",IF($Y902&lt;=WORKDAY(TODAY(),1,Holidays),"DUE TOMORROW",IF($W902=4,"ESCALATED TO LOCAL OFFICE",IF($W902=5,"ESCALATED TO CBE",IF($X902=TODAY(),"EMAIL SENT","MONITORING"))))))))))</f>
        <v/>
      </c>
      <c r="U902" s="17">
        <f>IF($T902="",IF(AND(COUNTA($A902:$K902)&gt;0,$L902=""),"Awaiting Collection Email time stamp.",""),IF(OR($T902="PAID",$T902="CLOSED"),IF($T902="PAID","Account paid. Action completed.","Account closed. No further action required."),CHOOSE($W902,"Collection Email","1st Email Follow-up","2nd Email Follow-up","Escalation to Local Office","Escalation to CBE","Escalation to Roxanne")&amp;" sent "&amp;TEXT($X902,"dd-mmm")&amp;". "&amp;IF($W902=6,"Final escalation completed.",IF($T902="OVERDUE","Next: "&amp;$Z902&amp;" was due "&amp;TEXT($Y902,"dd-mmm")&amp;" - "&amp;(NETWORKDAYS($Y902,TODAY(),Holidays)-1)&amp;" business day(s) late. Send now.",IF($T902="DUE TOMORROW","Next: "&amp;$Z902&amp;IF($Y902&lt;=TODAY()," is due TODAY ("," is due next business day (")&amp;TEXT($Y902,"dd-mmm")&amp;").","Next: "&amp;$Z902&amp;" due "&amp;TEXT($Y902,"dd-mmm")&amp;" ("&amp;(NETWORKDAYS(TODAY(),$Y902,Holidays)-1)&amp;" business day(s) left).")))))</f>
        <v/>
      </c>
      <c r="V902" s="17">
        <f>IF($W902="","",CHOOSE($W902,"Collection Email","1st Follow-up","2nd Follow-up","Local Office","CBE","Roxanne")&amp;IF($W902=6," - Final"," - Day "&amp;MAX(0,NETWORKDAYS($X902,TODAY(),Holidays)-1)&amp;" of "&amp;CHOOSE($W902,3,3,2,2,3))&amp;" | Total Day "&amp;MAX(0,NETWORKDAYS($L902,TODAY(),Holidays)-1))</f>
        <v/>
      </c>
      <c r="W902" s="17">
        <f>IF($L902="","",COUNT($L902:$Q902))</f>
        <v/>
      </c>
      <c r="X902" s="18">
        <f>IF($W902="","",INT(INDEX($L902:$Q902,$W902)))</f>
        <v/>
      </c>
      <c r="Y902" s="18">
        <f>IF(OR($W902="",$W902=6),"",WORKDAY($X902,CHOOSE($W902,3,3,2,2,3),Holidays))</f>
        <v/>
      </c>
      <c r="Z902" s="17">
        <f>IF(OR($W902="",$W902=6),"",CHOOSE($W902,"1st Email Follow-up","2nd Email Follow-up","Escalate Local Office","Escalate to CBE","Escalate to Roxanne"))</f>
        <v/>
      </c>
    </row>
    <row r="903" spans="18:26">
      <c r="R903" s="15"/>
      <c r="S903" s="16"/>
      <c r="T903" s="17">
        <f>IF(AND(COUNTA($A903:$K903)=0,$L903=""),"",IF($S903="Paid","PAID",IF($S903="Closed","CLOSED",IF($W903="","",IF($W903=6,"ESCALATED TO ROXANNE",IF(TODAY()&gt;$Y903,"OVERDUE",IF($Y903&lt;=WORKDAY(TODAY(),1,Holidays),"DUE TOMORROW",IF($W903=4,"ESCALATED TO LOCAL OFFICE",IF($W903=5,"ESCALATED TO CBE",IF($X903=TODAY(),"EMAIL SENT","MONITORING"))))))))))</f>
        <v/>
      </c>
      <c r="U903" s="17">
        <f>IF($T903="",IF(AND(COUNTA($A903:$K903)&gt;0,$L903=""),"Awaiting Collection Email time stamp.",""),IF(OR($T903="PAID",$T903="CLOSED"),IF($T903="PAID","Account paid. Action completed.","Account closed. No further action required."),CHOOSE($W903,"Collection Email","1st Email Follow-up","2nd Email Follow-up","Escalation to Local Office","Escalation to CBE","Escalation to Roxanne")&amp;" sent "&amp;TEXT($X903,"dd-mmm")&amp;". "&amp;IF($W903=6,"Final escalation completed.",IF($T903="OVERDUE","Next: "&amp;$Z903&amp;" was due "&amp;TEXT($Y903,"dd-mmm")&amp;" - "&amp;(NETWORKDAYS($Y903,TODAY(),Holidays)-1)&amp;" business day(s) late. Send now.",IF($T903="DUE TOMORROW","Next: "&amp;$Z903&amp;IF($Y903&lt;=TODAY()," is due TODAY ("," is due next business day (")&amp;TEXT($Y903,"dd-mmm")&amp;").","Next: "&amp;$Z903&amp;" due "&amp;TEXT($Y903,"dd-mmm")&amp;" ("&amp;(NETWORKDAYS(TODAY(),$Y903,Holidays)-1)&amp;" business day(s) left).")))))</f>
        <v/>
      </c>
      <c r="V903" s="17">
        <f>IF($W903="","",CHOOSE($W903,"Collection Email","1st Follow-up","2nd Follow-up","Local Office","CBE","Roxanne")&amp;IF($W903=6," - Final"," - Day "&amp;MAX(0,NETWORKDAYS($X903,TODAY(),Holidays)-1)&amp;" of "&amp;CHOOSE($W903,3,3,2,2,3))&amp;" | Total Day "&amp;MAX(0,NETWORKDAYS($L903,TODAY(),Holidays)-1))</f>
        <v/>
      </c>
      <c r="W903" s="17">
        <f>IF($L903="","",COUNT($L903:$Q903))</f>
        <v/>
      </c>
      <c r="X903" s="18">
        <f>IF($W903="","",INT(INDEX($L903:$Q903,$W903)))</f>
        <v/>
      </c>
      <c r="Y903" s="18">
        <f>IF(OR($W903="",$W903=6),"",WORKDAY($X903,CHOOSE($W903,3,3,2,2,3),Holidays))</f>
        <v/>
      </c>
      <c r="Z903" s="17">
        <f>IF(OR($W903="",$W903=6),"",CHOOSE($W903,"1st Email Follow-up","2nd Email Follow-up","Escalate Local Office","Escalate to CBE","Escalate to Roxanne"))</f>
        <v/>
      </c>
    </row>
    <row r="904" spans="18:26">
      <c r="R904" s="15"/>
      <c r="S904" s="16"/>
      <c r="T904" s="17">
        <f>IF(AND(COUNTA($A904:$K904)=0,$L904=""),"",IF($S904="Paid","PAID",IF($S904="Closed","CLOSED",IF($W904="","",IF($W904=6,"ESCALATED TO ROXANNE",IF(TODAY()&gt;$Y904,"OVERDUE",IF($Y904&lt;=WORKDAY(TODAY(),1,Holidays),"DUE TOMORROW",IF($W904=4,"ESCALATED TO LOCAL OFFICE",IF($W904=5,"ESCALATED TO CBE",IF($X904=TODAY(),"EMAIL SENT","MONITORING"))))))))))</f>
        <v/>
      </c>
      <c r="U904" s="17">
        <f>IF($T904="",IF(AND(COUNTA($A904:$K904)&gt;0,$L904=""),"Awaiting Collection Email time stamp.",""),IF(OR($T904="PAID",$T904="CLOSED"),IF($T904="PAID","Account paid. Action completed.","Account closed. No further action required."),CHOOSE($W904,"Collection Email","1st Email Follow-up","2nd Email Follow-up","Escalation to Local Office","Escalation to CBE","Escalation to Roxanne")&amp;" sent "&amp;TEXT($X904,"dd-mmm")&amp;". "&amp;IF($W904=6,"Final escalation completed.",IF($T904="OVERDUE","Next: "&amp;$Z904&amp;" was due "&amp;TEXT($Y904,"dd-mmm")&amp;" - "&amp;(NETWORKDAYS($Y904,TODAY(),Holidays)-1)&amp;" business day(s) late. Send now.",IF($T904="DUE TOMORROW","Next: "&amp;$Z904&amp;IF($Y904&lt;=TODAY()," is due TODAY ("," is due next business day (")&amp;TEXT($Y904,"dd-mmm")&amp;").","Next: "&amp;$Z904&amp;" due "&amp;TEXT($Y904,"dd-mmm")&amp;" ("&amp;(NETWORKDAYS(TODAY(),$Y904,Holidays)-1)&amp;" business day(s) left).")))))</f>
        <v/>
      </c>
      <c r="V904" s="17">
        <f>IF($W904="","",CHOOSE($W904,"Collection Email","1st Follow-up","2nd Follow-up","Local Office","CBE","Roxanne")&amp;IF($W904=6," - Final"," - Day "&amp;MAX(0,NETWORKDAYS($X904,TODAY(),Holidays)-1)&amp;" of "&amp;CHOOSE($W904,3,3,2,2,3))&amp;" | Total Day "&amp;MAX(0,NETWORKDAYS($L904,TODAY(),Holidays)-1))</f>
        <v/>
      </c>
      <c r="W904" s="17">
        <f>IF($L904="","",COUNT($L904:$Q904))</f>
        <v/>
      </c>
      <c r="X904" s="18">
        <f>IF($W904="","",INT(INDEX($L904:$Q904,$W904)))</f>
        <v/>
      </c>
      <c r="Y904" s="18">
        <f>IF(OR($W904="",$W904=6),"",WORKDAY($X904,CHOOSE($W904,3,3,2,2,3),Holidays))</f>
        <v/>
      </c>
      <c r="Z904" s="17">
        <f>IF(OR($W904="",$W904=6),"",CHOOSE($W904,"1st Email Follow-up","2nd Email Follow-up","Escalate Local Office","Escalate to CBE","Escalate to Roxanne"))</f>
        <v/>
      </c>
    </row>
    <row r="905" spans="18:26">
      <c r="R905" s="15"/>
      <c r="S905" s="16"/>
      <c r="T905" s="17">
        <f>IF(AND(COUNTA($A905:$K905)=0,$L905=""),"",IF($S905="Paid","PAID",IF($S905="Closed","CLOSED",IF($W905="","",IF($W905=6,"ESCALATED TO ROXANNE",IF(TODAY()&gt;$Y905,"OVERDUE",IF($Y905&lt;=WORKDAY(TODAY(),1,Holidays),"DUE TOMORROW",IF($W905=4,"ESCALATED TO LOCAL OFFICE",IF($W905=5,"ESCALATED TO CBE",IF($X905=TODAY(),"EMAIL SENT","MONITORING"))))))))))</f>
        <v/>
      </c>
      <c r="U905" s="17">
        <f>IF($T905="",IF(AND(COUNTA($A905:$K905)&gt;0,$L905=""),"Awaiting Collection Email time stamp.",""),IF(OR($T905="PAID",$T905="CLOSED"),IF($T905="PAID","Account paid. Action completed.","Account closed. No further action required."),CHOOSE($W905,"Collection Email","1st Email Follow-up","2nd Email Follow-up","Escalation to Local Office","Escalation to CBE","Escalation to Roxanne")&amp;" sent "&amp;TEXT($X905,"dd-mmm")&amp;". "&amp;IF($W905=6,"Final escalation completed.",IF($T905="OVERDUE","Next: "&amp;$Z905&amp;" was due "&amp;TEXT($Y905,"dd-mmm")&amp;" - "&amp;(NETWORKDAYS($Y905,TODAY(),Holidays)-1)&amp;" business day(s) late. Send now.",IF($T905="DUE TOMORROW","Next: "&amp;$Z905&amp;IF($Y905&lt;=TODAY()," is due TODAY ("," is due next business day (")&amp;TEXT($Y905,"dd-mmm")&amp;").","Next: "&amp;$Z905&amp;" due "&amp;TEXT($Y905,"dd-mmm")&amp;" ("&amp;(NETWORKDAYS(TODAY(),$Y905,Holidays)-1)&amp;" business day(s) left).")))))</f>
        <v/>
      </c>
      <c r="V905" s="17">
        <f>IF($W905="","",CHOOSE($W905,"Collection Email","1st Follow-up","2nd Follow-up","Local Office","CBE","Roxanne")&amp;IF($W905=6," - Final"," - Day "&amp;MAX(0,NETWORKDAYS($X905,TODAY(),Holidays)-1)&amp;" of "&amp;CHOOSE($W905,3,3,2,2,3))&amp;" | Total Day "&amp;MAX(0,NETWORKDAYS($L905,TODAY(),Holidays)-1))</f>
        <v/>
      </c>
      <c r="W905" s="17">
        <f>IF($L905="","",COUNT($L905:$Q905))</f>
        <v/>
      </c>
      <c r="X905" s="18">
        <f>IF($W905="","",INT(INDEX($L905:$Q905,$W905)))</f>
        <v/>
      </c>
      <c r="Y905" s="18">
        <f>IF(OR($W905="",$W905=6),"",WORKDAY($X905,CHOOSE($W905,3,3,2,2,3),Holidays))</f>
        <v/>
      </c>
      <c r="Z905" s="17">
        <f>IF(OR($W905="",$W905=6),"",CHOOSE($W905,"1st Email Follow-up","2nd Email Follow-up","Escalate Local Office","Escalate to CBE","Escalate to Roxanne"))</f>
        <v/>
      </c>
    </row>
    <row r="906" spans="18:26">
      <c r="R906" s="15"/>
      <c r="S906" s="16"/>
      <c r="T906" s="17">
        <f>IF(AND(COUNTA($A906:$K906)=0,$L906=""),"",IF($S906="Paid","PAID",IF($S906="Closed","CLOSED",IF($W906="","",IF($W906=6,"ESCALATED TO ROXANNE",IF(TODAY()&gt;$Y906,"OVERDUE",IF($Y906&lt;=WORKDAY(TODAY(),1,Holidays),"DUE TOMORROW",IF($W906=4,"ESCALATED TO LOCAL OFFICE",IF($W906=5,"ESCALATED TO CBE",IF($X906=TODAY(),"EMAIL SENT","MONITORING"))))))))))</f>
        <v/>
      </c>
      <c r="U906" s="17">
        <f>IF($T906="",IF(AND(COUNTA($A906:$K906)&gt;0,$L906=""),"Awaiting Collection Email time stamp.",""),IF(OR($T906="PAID",$T906="CLOSED"),IF($T906="PAID","Account paid. Action completed.","Account closed. No further action required."),CHOOSE($W906,"Collection Email","1st Email Follow-up","2nd Email Follow-up","Escalation to Local Office","Escalation to CBE","Escalation to Roxanne")&amp;" sent "&amp;TEXT($X906,"dd-mmm")&amp;". "&amp;IF($W906=6,"Final escalation completed.",IF($T906="OVERDUE","Next: "&amp;$Z906&amp;" was due "&amp;TEXT($Y906,"dd-mmm")&amp;" - "&amp;(NETWORKDAYS($Y906,TODAY(),Holidays)-1)&amp;" business day(s) late. Send now.",IF($T906="DUE TOMORROW","Next: "&amp;$Z906&amp;IF($Y906&lt;=TODAY()," is due TODAY ("," is due next business day (")&amp;TEXT($Y906,"dd-mmm")&amp;").","Next: "&amp;$Z906&amp;" due "&amp;TEXT($Y906,"dd-mmm")&amp;" ("&amp;(NETWORKDAYS(TODAY(),$Y906,Holidays)-1)&amp;" business day(s) left).")))))</f>
        <v/>
      </c>
      <c r="V906" s="17">
        <f>IF($W906="","",CHOOSE($W906,"Collection Email","1st Follow-up","2nd Follow-up","Local Office","CBE","Roxanne")&amp;IF($W906=6," - Final"," - Day "&amp;MAX(0,NETWORKDAYS($X906,TODAY(),Holidays)-1)&amp;" of "&amp;CHOOSE($W906,3,3,2,2,3))&amp;" | Total Day "&amp;MAX(0,NETWORKDAYS($L906,TODAY(),Holidays)-1))</f>
        <v/>
      </c>
      <c r="W906" s="17">
        <f>IF($L906="","",COUNT($L906:$Q906))</f>
        <v/>
      </c>
      <c r="X906" s="18">
        <f>IF($W906="","",INT(INDEX($L906:$Q906,$W906)))</f>
        <v/>
      </c>
      <c r="Y906" s="18">
        <f>IF(OR($W906="",$W906=6),"",WORKDAY($X906,CHOOSE($W906,3,3,2,2,3),Holidays))</f>
        <v/>
      </c>
      <c r="Z906" s="17">
        <f>IF(OR($W906="",$W906=6),"",CHOOSE($W906,"1st Email Follow-up","2nd Email Follow-up","Escalate Local Office","Escalate to CBE","Escalate to Roxanne"))</f>
        <v/>
      </c>
    </row>
    <row r="907" spans="18:26">
      <c r="R907" s="15"/>
      <c r="S907" s="16"/>
      <c r="T907" s="17">
        <f>IF(AND(COUNTA($A907:$K907)=0,$L907=""),"",IF($S907="Paid","PAID",IF($S907="Closed","CLOSED",IF($W907="","",IF($W907=6,"ESCALATED TO ROXANNE",IF(TODAY()&gt;$Y907,"OVERDUE",IF($Y907&lt;=WORKDAY(TODAY(),1,Holidays),"DUE TOMORROW",IF($W907=4,"ESCALATED TO LOCAL OFFICE",IF($W907=5,"ESCALATED TO CBE",IF($X907=TODAY(),"EMAIL SENT","MONITORING"))))))))))</f>
        <v/>
      </c>
      <c r="U907" s="17">
        <f>IF($T907="",IF(AND(COUNTA($A907:$K907)&gt;0,$L907=""),"Awaiting Collection Email time stamp.",""),IF(OR($T907="PAID",$T907="CLOSED"),IF($T907="PAID","Account paid. Action completed.","Account closed. No further action required."),CHOOSE($W907,"Collection Email","1st Email Follow-up","2nd Email Follow-up","Escalation to Local Office","Escalation to CBE","Escalation to Roxanne")&amp;" sent "&amp;TEXT($X907,"dd-mmm")&amp;". "&amp;IF($W907=6,"Final escalation completed.",IF($T907="OVERDUE","Next: "&amp;$Z907&amp;" was due "&amp;TEXT($Y907,"dd-mmm")&amp;" - "&amp;(NETWORKDAYS($Y907,TODAY(),Holidays)-1)&amp;" business day(s) late. Send now.",IF($T907="DUE TOMORROW","Next: "&amp;$Z907&amp;IF($Y907&lt;=TODAY()," is due TODAY ("," is due next business day (")&amp;TEXT($Y907,"dd-mmm")&amp;").","Next: "&amp;$Z907&amp;" due "&amp;TEXT($Y907,"dd-mmm")&amp;" ("&amp;(NETWORKDAYS(TODAY(),$Y907,Holidays)-1)&amp;" business day(s) left).")))))</f>
        <v/>
      </c>
      <c r="V907" s="17">
        <f>IF($W907="","",CHOOSE($W907,"Collection Email","1st Follow-up","2nd Follow-up","Local Office","CBE","Roxanne")&amp;IF($W907=6," - Final"," - Day "&amp;MAX(0,NETWORKDAYS($X907,TODAY(),Holidays)-1)&amp;" of "&amp;CHOOSE($W907,3,3,2,2,3))&amp;" | Total Day "&amp;MAX(0,NETWORKDAYS($L907,TODAY(),Holidays)-1))</f>
        <v/>
      </c>
      <c r="W907" s="17">
        <f>IF($L907="","",COUNT($L907:$Q907))</f>
        <v/>
      </c>
      <c r="X907" s="18">
        <f>IF($W907="","",INT(INDEX($L907:$Q907,$W907)))</f>
        <v/>
      </c>
      <c r="Y907" s="18">
        <f>IF(OR($W907="",$W907=6),"",WORKDAY($X907,CHOOSE($W907,3,3,2,2,3),Holidays))</f>
        <v/>
      </c>
      <c r="Z907" s="17">
        <f>IF(OR($W907="",$W907=6),"",CHOOSE($W907,"1st Email Follow-up","2nd Email Follow-up","Escalate Local Office","Escalate to CBE","Escalate to Roxanne"))</f>
        <v/>
      </c>
    </row>
    <row r="908" spans="18:26">
      <c r="R908" s="15"/>
      <c r="S908" s="16"/>
      <c r="T908" s="17">
        <f>IF(AND(COUNTA($A908:$K908)=0,$L908=""),"",IF($S908="Paid","PAID",IF($S908="Closed","CLOSED",IF($W908="","",IF($W908=6,"ESCALATED TO ROXANNE",IF(TODAY()&gt;$Y908,"OVERDUE",IF($Y908&lt;=WORKDAY(TODAY(),1,Holidays),"DUE TOMORROW",IF($W908=4,"ESCALATED TO LOCAL OFFICE",IF($W908=5,"ESCALATED TO CBE",IF($X908=TODAY(),"EMAIL SENT","MONITORING"))))))))))</f>
        <v/>
      </c>
      <c r="U908" s="17">
        <f>IF($T908="",IF(AND(COUNTA($A908:$K908)&gt;0,$L908=""),"Awaiting Collection Email time stamp.",""),IF(OR($T908="PAID",$T908="CLOSED"),IF($T908="PAID","Account paid. Action completed.","Account closed. No further action required."),CHOOSE($W908,"Collection Email","1st Email Follow-up","2nd Email Follow-up","Escalation to Local Office","Escalation to CBE","Escalation to Roxanne")&amp;" sent "&amp;TEXT($X908,"dd-mmm")&amp;". "&amp;IF($W908=6,"Final escalation completed.",IF($T908="OVERDUE","Next: "&amp;$Z908&amp;" was due "&amp;TEXT($Y908,"dd-mmm")&amp;" - "&amp;(NETWORKDAYS($Y908,TODAY(),Holidays)-1)&amp;" business day(s) late. Send now.",IF($T908="DUE TOMORROW","Next: "&amp;$Z908&amp;IF($Y908&lt;=TODAY()," is due TODAY ("," is due next business day (")&amp;TEXT($Y908,"dd-mmm")&amp;").","Next: "&amp;$Z908&amp;" due "&amp;TEXT($Y908,"dd-mmm")&amp;" ("&amp;(NETWORKDAYS(TODAY(),$Y908,Holidays)-1)&amp;" business day(s) left).")))))</f>
        <v/>
      </c>
      <c r="V908" s="17">
        <f>IF($W908="","",CHOOSE($W908,"Collection Email","1st Follow-up","2nd Follow-up","Local Office","CBE","Roxanne")&amp;IF($W908=6," - Final"," - Day "&amp;MAX(0,NETWORKDAYS($X908,TODAY(),Holidays)-1)&amp;" of "&amp;CHOOSE($W908,3,3,2,2,3))&amp;" | Total Day "&amp;MAX(0,NETWORKDAYS($L908,TODAY(),Holidays)-1))</f>
        <v/>
      </c>
      <c r="W908" s="17">
        <f>IF($L908="","",COUNT($L908:$Q908))</f>
        <v/>
      </c>
      <c r="X908" s="18">
        <f>IF($W908="","",INT(INDEX($L908:$Q908,$W908)))</f>
        <v/>
      </c>
      <c r="Y908" s="18">
        <f>IF(OR($W908="",$W908=6),"",WORKDAY($X908,CHOOSE($W908,3,3,2,2,3),Holidays))</f>
        <v/>
      </c>
      <c r="Z908" s="17">
        <f>IF(OR($W908="",$W908=6),"",CHOOSE($W908,"1st Email Follow-up","2nd Email Follow-up","Escalate Local Office","Escalate to CBE","Escalate to Roxanne"))</f>
        <v/>
      </c>
    </row>
    <row r="909" spans="18:26">
      <c r="R909" s="15"/>
      <c r="S909" s="16"/>
      <c r="T909" s="17">
        <f>IF(AND(COUNTA($A909:$K909)=0,$L909=""),"",IF($S909="Paid","PAID",IF($S909="Closed","CLOSED",IF($W909="","",IF($W909=6,"ESCALATED TO ROXANNE",IF(TODAY()&gt;$Y909,"OVERDUE",IF($Y909&lt;=WORKDAY(TODAY(),1,Holidays),"DUE TOMORROW",IF($W909=4,"ESCALATED TO LOCAL OFFICE",IF($W909=5,"ESCALATED TO CBE",IF($X909=TODAY(),"EMAIL SENT","MONITORING"))))))))))</f>
        <v/>
      </c>
      <c r="U909" s="17">
        <f>IF($T909="",IF(AND(COUNTA($A909:$K909)&gt;0,$L909=""),"Awaiting Collection Email time stamp.",""),IF(OR($T909="PAID",$T909="CLOSED"),IF($T909="PAID","Account paid. Action completed.","Account closed. No further action required."),CHOOSE($W909,"Collection Email","1st Email Follow-up","2nd Email Follow-up","Escalation to Local Office","Escalation to CBE","Escalation to Roxanne")&amp;" sent "&amp;TEXT($X909,"dd-mmm")&amp;". "&amp;IF($W909=6,"Final escalation completed.",IF($T909="OVERDUE","Next: "&amp;$Z909&amp;" was due "&amp;TEXT($Y909,"dd-mmm")&amp;" - "&amp;(NETWORKDAYS($Y909,TODAY(),Holidays)-1)&amp;" business day(s) late. Send now.",IF($T909="DUE TOMORROW","Next: "&amp;$Z909&amp;IF($Y909&lt;=TODAY()," is due TODAY ("," is due next business day (")&amp;TEXT($Y909,"dd-mmm")&amp;").","Next: "&amp;$Z909&amp;" due "&amp;TEXT($Y909,"dd-mmm")&amp;" ("&amp;(NETWORKDAYS(TODAY(),$Y909,Holidays)-1)&amp;" business day(s) left).")))))</f>
        <v/>
      </c>
      <c r="V909" s="17">
        <f>IF($W909="","",CHOOSE($W909,"Collection Email","1st Follow-up","2nd Follow-up","Local Office","CBE","Roxanne")&amp;IF($W909=6," - Final"," - Day "&amp;MAX(0,NETWORKDAYS($X909,TODAY(),Holidays)-1)&amp;" of "&amp;CHOOSE($W909,3,3,2,2,3))&amp;" | Total Day "&amp;MAX(0,NETWORKDAYS($L909,TODAY(),Holidays)-1))</f>
        <v/>
      </c>
      <c r="W909" s="17">
        <f>IF($L909="","",COUNT($L909:$Q909))</f>
        <v/>
      </c>
      <c r="X909" s="18">
        <f>IF($W909="","",INT(INDEX($L909:$Q909,$W909)))</f>
        <v/>
      </c>
      <c r="Y909" s="18">
        <f>IF(OR($W909="",$W909=6),"",WORKDAY($X909,CHOOSE($W909,3,3,2,2,3),Holidays))</f>
        <v/>
      </c>
      <c r="Z909" s="17">
        <f>IF(OR($W909="",$W909=6),"",CHOOSE($W909,"1st Email Follow-up","2nd Email Follow-up","Escalate Local Office","Escalate to CBE","Escalate to Roxanne"))</f>
        <v/>
      </c>
    </row>
    <row r="910" spans="18:26">
      <c r="R910" s="15"/>
      <c r="S910" s="16"/>
      <c r="T910" s="17">
        <f>IF(AND(COUNTA($A910:$K910)=0,$L910=""),"",IF($S910="Paid","PAID",IF($S910="Closed","CLOSED",IF($W910="","",IF($W910=6,"ESCALATED TO ROXANNE",IF(TODAY()&gt;$Y910,"OVERDUE",IF($Y910&lt;=WORKDAY(TODAY(),1,Holidays),"DUE TOMORROW",IF($W910=4,"ESCALATED TO LOCAL OFFICE",IF($W910=5,"ESCALATED TO CBE",IF($X910=TODAY(),"EMAIL SENT","MONITORING"))))))))))</f>
        <v/>
      </c>
      <c r="U910" s="17">
        <f>IF($T910="",IF(AND(COUNTA($A910:$K910)&gt;0,$L910=""),"Awaiting Collection Email time stamp.",""),IF(OR($T910="PAID",$T910="CLOSED"),IF($T910="PAID","Account paid. Action completed.","Account closed. No further action required."),CHOOSE($W910,"Collection Email","1st Email Follow-up","2nd Email Follow-up","Escalation to Local Office","Escalation to CBE","Escalation to Roxanne")&amp;" sent "&amp;TEXT($X910,"dd-mmm")&amp;". "&amp;IF($W910=6,"Final escalation completed.",IF($T910="OVERDUE","Next: "&amp;$Z910&amp;" was due "&amp;TEXT($Y910,"dd-mmm")&amp;" - "&amp;(NETWORKDAYS($Y910,TODAY(),Holidays)-1)&amp;" business day(s) late. Send now.",IF($T910="DUE TOMORROW","Next: "&amp;$Z910&amp;IF($Y910&lt;=TODAY()," is due TODAY ("," is due next business day (")&amp;TEXT($Y910,"dd-mmm")&amp;").","Next: "&amp;$Z910&amp;" due "&amp;TEXT($Y910,"dd-mmm")&amp;" ("&amp;(NETWORKDAYS(TODAY(),$Y910,Holidays)-1)&amp;" business day(s) left).")))))</f>
        <v/>
      </c>
      <c r="V910" s="17">
        <f>IF($W910="","",CHOOSE($W910,"Collection Email","1st Follow-up","2nd Follow-up","Local Office","CBE","Roxanne")&amp;IF($W910=6," - Final"," - Day "&amp;MAX(0,NETWORKDAYS($X910,TODAY(),Holidays)-1)&amp;" of "&amp;CHOOSE($W910,3,3,2,2,3))&amp;" | Total Day "&amp;MAX(0,NETWORKDAYS($L910,TODAY(),Holidays)-1))</f>
        <v/>
      </c>
      <c r="W910" s="17">
        <f>IF($L910="","",COUNT($L910:$Q910))</f>
        <v/>
      </c>
      <c r="X910" s="18">
        <f>IF($W910="","",INT(INDEX($L910:$Q910,$W910)))</f>
        <v/>
      </c>
      <c r="Y910" s="18">
        <f>IF(OR($W910="",$W910=6),"",WORKDAY($X910,CHOOSE($W910,3,3,2,2,3),Holidays))</f>
        <v/>
      </c>
      <c r="Z910" s="17">
        <f>IF(OR($W910="",$W910=6),"",CHOOSE($W910,"1st Email Follow-up","2nd Email Follow-up","Escalate Local Office","Escalate to CBE","Escalate to Roxanne"))</f>
        <v/>
      </c>
    </row>
    <row r="911" spans="18:26">
      <c r="R911" s="15"/>
      <c r="S911" s="16"/>
      <c r="T911" s="17">
        <f>IF(AND(COUNTA($A911:$K911)=0,$L911=""),"",IF($S911="Paid","PAID",IF($S911="Closed","CLOSED",IF($W911="","",IF($W911=6,"ESCALATED TO ROXANNE",IF(TODAY()&gt;$Y911,"OVERDUE",IF($Y911&lt;=WORKDAY(TODAY(),1,Holidays),"DUE TOMORROW",IF($W911=4,"ESCALATED TO LOCAL OFFICE",IF($W911=5,"ESCALATED TO CBE",IF($X911=TODAY(),"EMAIL SENT","MONITORING"))))))))))</f>
        <v/>
      </c>
      <c r="U911" s="17">
        <f>IF($T911="",IF(AND(COUNTA($A911:$K911)&gt;0,$L911=""),"Awaiting Collection Email time stamp.",""),IF(OR($T911="PAID",$T911="CLOSED"),IF($T911="PAID","Account paid. Action completed.","Account closed. No further action required."),CHOOSE($W911,"Collection Email","1st Email Follow-up","2nd Email Follow-up","Escalation to Local Office","Escalation to CBE","Escalation to Roxanne")&amp;" sent "&amp;TEXT($X911,"dd-mmm")&amp;". "&amp;IF($W911=6,"Final escalation completed.",IF($T911="OVERDUE","Next: "&amp;$Z911&amp;" was due "&amp;TEXT($Y911,"dd-mmm")&amp;" - "&amp;(NETWORKDAYS($Y911,TODAY(),Holidays)-1)&amp;" business day(s) late. Send now.",IF($T911="DUE TOMORROW","Next: "&amp;$Z911&amp;IF($Y911&lt;=TODAY()," is due TODAY ("," is due next business day (")&amp;TEXT($Y911,"dd-mmm")&amp;").","Next: "&amp;$Z911&amp;" due "&amp;TEXT($Y911,"dd-mmm")&amp;" ("&amp;(NETWORKDAYS(TODAY(),$Y911,Holidays)-1)&amp;" business day(s) left).")))))</f>
        <v/>
      </c>
      <c r="V911" s="17">
        <f>IF($W911="","",CHOOSE($W911,"Collection Email","1st Follow-up","2nd Follow-up","Local Office","CBE","Roxanne")&amp;IF($W911=6," - Final"," - Day "&amp;MAX(0,NETWORKDAYS($X911,TODAY(),Holidays)-1)&amp;" of "&amp;CHOOSE($W911,3,3,2,2,3))&amp;" | Total Day "&amp;MAX(0,NETWORKDAYS($L911,TODAY(),Holidays)-1))</f>
        <v/>
      </c>
      <c r="W911" s="17">
        <f>IF($L911="","",COUNT($L911:$Q911))</f>
        <v/>
      </c>
      <c r="X911" s="18">
        <f>IF($W911="","",INT(INDEX($L911:$Q911,$W911)))</f>
        <v/>
      </c>
      <c r="Y911" s="18">
        <f>IF(OR($W911="",$W911=6),"",WORKDAY($X911,CHOOSE($W911,3,3,2,2,3),Holidays))</f>
        <v/>
      </c>
      <c r="Z911" s="17">
        <f>IF(OR($W911="",$W911=6),"",CHOOSE($W911,"1st Email Follow-up","2nd Email Follow-up","Escalate Local Office","Escalate to CBE","Escalate to Roxanne"))</f>
        <v/>
      </c>
    </row>
    <row r="912" spans="18:26">
      <c r="R912" s="15"/>
      <c r="S912" s="16"/>
      <c r="T912" s="17">
        <f>IF(AND(COUNTA($A912:$K912)=0,$L912=""),"",IF($S912="Paid","PAID",IF($S912="Closed","CLOSED",IF($W912="","",IF($W912=6,"ESCALATED TO ROXANNE",IF(TODAY()&gt;$Y912,"OVERDUE",IF($Y912&lt;=WORKDAY(TODAY(),1,Holidays),"DUE TOMORROW",IF($W912=4,"ESCALATED TO LOCAL OFFICE",IF($W912=5,"ESCALATED TO CBE",IF($X912=TODAY(),"EMAIL SENT","MONITORING"))))))))))</f>
        <v/>
      </c>
      <c r="U912" s="17">
        <f>IF($T912="",IF(AND(COUNTA($A912:$K912)&gt;0,$L912=""),"Awaiting Collection Email time stamp.",""),IF(OR($T912="PAID",$T912="CLOSED"),IF($T912="PAID","Account paid. Action completed.","Account closed. No further action required."),CHOOSE($W912,"Collection Email","1st Email Follow-up","2nd Email Follow-up","Escalation to Local Office","Escalation to CBE","Escalation to Roxanne")&amp;" sent "&amp;TEXT($X912,"dd-mmm")&amp;". "&amp;IF($W912=6,"Final escalation completed.",IF($T912="OVERDUE","Next: "&amp;$Z912&amp;" was due "&amp;TEXT($Y912,"dd-mmm")&amp;" - "&amp;(NETWORKDAYS($Y912,TODAY(),Holidays)-1)&amp;" business day(s) late. Send now.",IF($T912="DUE TOMORROW","Next: "&amp;$Z912&amp;IF($Y912&lt;=TODAY()," is due TODAY ("," is due next business day (")&amp;TEXT($Y912,"dd-mmm")&amp;").","Next: "&amp;$Z912&amp;" due "&amp;TEXT($Y912,"dd-mmm")&amp;" ("&amp;(NETWORKDAYS(TODAY(),$Y912,Holidays)-1)&amp;" business day(s) left).")))))</f>
        <v/>
      </c>
      <c r="V912" s="17">
        <f>IF($W912="","",CHOOSE($W912,"Collection Email","1st Follow-up","2nd Follow-up","Local Office","CBE","Roxanne")&amp;IF($W912=6," - Final"," - Day "&amp;MAX(0,NETWORKDAYS($X912,TODAY(),Holidays)-1)&amp;" of "&amp;CHOOSE($W912,3,3,2,2,3))&amp;" | Total Day "&amp;MAX(0,NETWORKDAYS($L912,TODAY(),Holidays)-1))</f>
        <v/>
      </c>
      <c r="W912" s="17">
        <f>IF($L912="","",COUNT($L912:$Q912))</f>
        <v/>
      </c>
      <c r="X912" s="18">
        <f>IF($W912="","",INT(INDEX($L912:$Q912,$W912)))</f>
        <v/>
      </c>
      <c r="Y912" s="18">
        <f>IF(OR($W912="",$W912=6),"",WORKDAY($X912,CHOOSE($W912,3,3,2,2,3),Holidays))</f>
        <v/>
      </c>
      <c r="Z912" s="17">
        <f>IF(OR($W912="",$W912=6),"",CHOOSE($W912,"1st Email Follow-up","2nd Email Follow-up","Escalate Local Office","Escalate to CBE","Escalate to Roxanne"))</f>
        <v/>
      </c>
    </row>
    <row r="913" spans="18:26">
      <c r="R913" s="15"/>
      <c r="S913" s="16"/>
      <c r="T913" s="17">
        <f>IF(AND(COUNTA($A913:$K913)=0,$L913=""),"",IF($S913="Paid","PAID",IF($S913="Closed","CLOSED",IF($W913="","",IF($W913=6,"ESCALATED TO ROXANNE",IF(TODAY()&gt;$Y913,"OVERDUE",IF($Y913&lt;=WORKDAY(TODAY(),1,Holidays),"DUE TOMORROW",IF($W913=4,"ESCALATED TO LOCAL OFFICE",IF($W913=5,"ESCALATED TO CBE",IF($X913=TODAY(),"EMAIL SENT","MONITORING"))))))))))</f>
        <v/>
      </c>
      <c r="U913" s="17">
        <f>IF($T913="",IF(AND(COUNTA($A913:$K913)&gt;0,$L913=""),"Awaiting Collection Email time stamp.",""),IF(OR($T913="PAID",$T913="CLOSED"),IF($T913="PAID","Account paid. Action completed.","Account closed. No further action required."),CHOOSE($W913,"Collection Email","1st Email Follow-up","2nd Email Follow-up","Escalation to Local Office","Escalation to CBE","Escalation to Roxanne")&amp;" sent "&amp;TEXT($X913,"dd-mmm")&amp;". "&amp;IF($W913=6,"Final escalation completed.",IF($T913="OVERDUE","Next: "&amp;$Z913&amp;" was due "&amp;TEXT($Y913,"dd-mmm")&amp;" - "&amp;(NETWORKDAYS($Y913,TODAY(),Holidays)-1)&amp;" business day(s) late. Send now.",IF($T913="DUE TOMORROW","Next: "&amp;$Z913&amp;IF($Y913&lt;=TODAY()," is due TODAY ("," is due next business day (")&amp;TEXT($Y913,"dd-mmm")&amp;").","Next: "&amp;$Z913&amp;" due "&amp;TEXT($Y913,"dd-mmm")&amp;" ("&amp;(NETWORKDAYS(TODAY(),$Y913,Holidays)-1)&amp;" business day(s) left).")))))</f>
        <v/>
      </c>
      <c r="V913" s="17">
        <f>IF($W913="","",CHOOSE($W913,"Collection Email","1st Follow-up","2nd Follow-up","Local Office","CBE","Roxanne")&amp;IF($W913=6," - Final"," - Day "&amp;MAX(0,NETWORKDAYS($X913,TODAY(),Holidays)-1)&amp;" of "&amp;CHOOSE($W913,3,3,2,2,3))&amp;" | Total Day "&amp;MAX(0,NETWORKDAYS($L913,TODAY(),Holidays)-1))</f>
        <v/>
      </c>
      <c r="W913" s="17">
        <f>IF($L913="","",COUNT($L913:$Q913))</f>
        <v/>
      </c>
      <c r="X913" s="18">
        <f>IF($W913="","",INT(INDEX($L913:$Q913,$W913)))</f>
        <v/>
      </c>
      <c r="Y913" s="18">
        <f>IF(OR($W913="",$W913=6),"",WORKDAY($X913,CHOOSE($W913,3,3,2,2,3),Holidays))</f>
        <v/>
      </c>
      <c r="Z913" s="17">
        <f>IF(OR($W913="",$W913=6),"",CHOOSE($W913,"1st Email Follow-up","2nd Email Follow-up","Escalate Local Office","Escalate to CBE","Escalate to Roxanne"))</f>
        <v/>
      </c>
    </row>
    <row r="914" spans="18:26">
      <c r="R914" s="15"/>
      <c r="S914" s="16"/>
      <c r="T914" s="17">
        <f>IF(AND(COUNTA($A914:$K914)=0,$L914=""),"",IF($S914="Paid","PAID",IF($S914="Closed","CLOSED",IF($W914="","",IF($W914=6,"ESCALATED TO ROXANNE",IF(TODAY()&gt;$Y914,"OVERDUE",IF($Y914&lt;=WORKDAY(TODAY(),1,Holidays),"DUE TOMORROW",IF($W914=4,"ESCALATED TO LOCAL OFFICE",IF($W914=5,"ESCALATED TO CBE",IF($X914=TODAY(),"EMAIL SENT","MONITORING"))))))))))</f>
        <v/>
      </c>
      <c r="U914" s="17">
        <f>IF($T914="",IF(AND(COUNTA($A914:$K914)&gt;0,$L914=""),"Awaiting Collection Email time stamp.",""),IF(OR($T914="PAID",$T914="CLOSED"),IF($T914="PAID","Account paid. Action completed.","Account closed. No further action required."),CHOOSE($W914,"Collection Email","1st Email Follow-up","2nd Email Follow-up","Escalation to Local Office","Escalation to CBE","Escalation to Roxanne")&amp;" sent "&amp;TEXT($X914,"dd-mmm")&amp;". "&amp;IF($W914=6,"Final escalation completed.",IF($T914="OVERDUE","Next: "&amp;$Z914&amp;" was due "&amp;TEXT($Y914,"dd-mmm")&amp;" - "&amp;(NETWORKDAYS($Y914,TODAY(),Holidays)-1)&amp;" business day(s) late. Send now.",IF($T914="DUE TOMORROW","Next: "&amp;$Z914&amp;IF($Y914&lt;=TODAY()," is due TODAY ("," is due next business day (")&amp;TEXT($Y914,"dd-mmm")&amp;").","Next: "&amp;$Z914&amp;" due "&amp;TEXT($Y914,"dd-mmm")&amp;" ("&amp;(NETWORKDAYS(TODAY(),$Y914,Holidays)-1)&amp;" business day(s) left).")))))</f>
        <v/>
      </c>
      <c r="V914" s="17">
        <f>IF($W914="","",CHOOSE($W914,"Collection Email","1st Follow-up","2nd Follow-up","Local Office","CBE","Roxanne")&amp;IF($W914=6," - Final"," - Day "&amp;MAX(0,NETWORKDAYS($X914,TODAY(),Holidays)-1)&amp;" of "&amp;CHOOSE($W914,3,3,2,2,3))&amp;" | Total Day "&amp;MAX(0,NETWORKDAYS($L914,TODAY(),Holidays)-1))</f>
        <v/>
      </c>
      <c r="W914" s="17">
        <f>IF($L914="","",COUNT($L914:$Q914))</f>
        <v/>
      </c>
      <c r="X914" s="18">
        <f>IF($W914="","",INT(INDEX($L914:$Q914,$W914)))</f>
        <v/>
      </c>
      <c r="Y914" s="18">
        <f>IF(OR($W914="",$W914=6),"",WORKDAY($X914,CHOOSE($W914,3,3,2,2,3),Holidays))</f>
        <v/>
      </c>
      <c r="Z914" s="17">
        <f>IF(OR($W914="",$W914=6),"",CHOOSE($W914,"1st Email Follow-up","2nd Email Follow-up","Escalate Local Office","Escalate to CBE","Escalate to Roxanne"))</f>
        <v/>
      </c>
    </row>
    <row r="915" spans="18:26">
      <c r="R915" s="15"/>
      <c r="S915" s="16"/>
      <c r="T915" s="17">
        <f>IF(AND(COUNTA($A915:$K915)=0,$L915=""),"",IF($S915="Paid","PAID",IF($S915="Closed","CLOSED",IF($W915="","",IF($W915=6,"ESCALATED TO ROXANNE",IF(TODAY()&gt;$Y915,"OVERDUE",IF($Y915&lt;=WORKDAY(TODAY(),1,Holidays),"DUE TOMORROW",IF($W915=4,"ESCALATED TO LOCAL OFFICE",IF($W915=5,"ESCALATED TO CBE",IF($X915=TODAY(),"EMAIL SENT","MONITORING"))))))))))</f>
        <v/>
      </c>
      <c r="U915" s="17">
        <f>IF($T915="",IF(AND(COUNTA($A915:$K915)&gt;0,$L915=""),"Awaiting Collection Email time stamp.",""),IF(OR($T915="PAID",$T915="CLOSED"),IF($T915="PAID","Account paid. Action completed.","Account closed. No further action required."),CHOOSE($W915,"Collection Email","1st Email Follow-up","2nd Email Follow-up","Escalation to Local Office","Escalation to CBE","Escalation to Roxanne")&amp;" sent "&amp;TEXT($X915,"dd-mmm")&amp;". "&amp;IF($W915=6,"Final escalation completed.",IF($T915="OVERDUE","Next: "&amp;$Z915&amp;" was due "&amp;TEXT($Y915,"dd-mmm")&amp;" - "&amp;(NETWORKDAYS($Y915,TODAY(),Holidays)-1)&amp;" business day(s) late. Send now.",IF($T915="DUE TOMORROW","Next: "&amp;$Z915&amp;IF($Y915&lt;=TODAY()," is due TODAY ("," is due next business day (")&amp;TEXT($Y915,"dd-mmm")&amp;").","Next: "&amp;$Z915&amp;" due "&amp;TEXT($Y915,"dd-mmm")&amp;" ("&amp;(NETWORKDAYS(TODAY(),$Y915,Holidays)-1)&amp;" business day(s) left).")))))</f>
        <v/>
      </c>
      <c r="V915" s="17">
        <f>IF($W915="","",CHOOSE($W915,"Collection Email","1st Follow-up","2nd Follow-up","Local Office","CBE","Roxanne")&amp;IF($W915=6," - Final"," - Day "&amp;MAX(0,NETWORKDAYS($X915,TODAY(),Holidays)-1)&amp;" of "&amp;CHOOSE($W915,3,3,2,2,3))&amp;" | Total Day "&amp;MAX(0,NETWORKDAYS($L915,TODAY(),Holidays)-1))</f>
        <v/>
      </c>
      <c r="W915" s="17">
        <f>IF($L915="","",COUNT($L915:$Q915))</f>
        <v/>
      </c>
      <c r="X915" s="18">
        <f>IF($W915="","",INT(INDEX($L915:$Q915,$W915)))</f>
        <v/>
      </c>
      <c r="Y915" s="18">
        <f>IF(OR($W915="",$W915=6),"",WORKDAY($X915,CHOOSE($W915,3,3,2,2,3),Holidays))</f>
        <v/>
      </c>
      <c r="Z915" s="17">
        <f>IF(OR($W915="",$W915=6),"",CHOOSE($W915,"1st Email Follow-up","2nd Email Follow-up","Escalate Local Office","Escalate to CBE","Escalate to Roxanne"))</f>
        <v/>
      </c>
    </row>
    <row r="916" spans="18:26">
      <c r="R916" s="15"/>
      <c r="S916" s="16"/>
      <c r="T916" s="17">
        <f>IF(AND(COUNTA($A916:$K916)=0,$L916=""),"",IF($S916="Paid","PAID",IF($S916="Closed","CLOSED",IF($W916="","",IF($W916=6,"ESCALATED TO ROXANNE",IF(TODAY()&gt;$Y916,"OVERDUE",IF($Y916&lt;=WORKDAY(TODAY(),1,Holidays),"DUE TOMORROW",IF($W916=4,"ESCALATED TO LOCAL OFFICE",IF($W916=5,"ESCALATED TO CBE",IF($X916=TODAY(),"EMAIL SENT","MONITORING"))))))))))</f>
        <v/>
      </c>
      <c r="U916" s="17">
        <f>IF($T916="",IF(AND(COUNTA($A916:$K916)&gt;0,$L916=""),"Awaiting Collection Email time stamp.",""),IF(OR($T916="PAID",$T916="CLOSED"),IF($T916="PAID","Account paid. Action completed.","Account closed. No further action required."),CHOOSE($W916,"Collection Email","1st Email Follow-up","2nd Email Follow-up","Escalation to Local Office","Escalation to CBE","Escalation to Roxanne")&amp;" sent "&amp;TEXT($X916,"dd-mmm")&amp;". "&amp;IF($W916=6,"Final escalation completed.",IF($T916="OVERDUE","Next: "&amp;$Z916&amp;" was due "&amp;TEXT($Y916,"dd-mmm")&amp;" - "&amp;(NETWORKDAYS($Y916,TODAY(),Holidays)-1)&amp;" business day(s) late. Send now.",IF($T916="DUE TOMORROW","Next: "&amp;$Z916&amp;IF($Y916&lt;=TODAY()," is due TODAY ("," is due next business day (")&amp;TEXT($Y916,"dd-mmm")&amp;").","Next: "&amp;$Z916&amp;" due "&amp;TEXT($Y916,"dd-mmm")&amp;" ("&amp;(NETWORKDAYS(TODAY(),$Y916,Holidays)-1)&amp;" business day(s) left).")))))</f>
        <v/>
      </c>
      <c r="V916" s="17">
        <f>IF($W916="","",CHOOSE($W916,"Collection Email","1st Follow-up","2nd Follow-up","Local Office","CBE","Roxanne")&amp;IF($W916=6," - Final"," - Day "&amp;MAX(0,NETWORKDAYS($X916,TODAY(),Holidays)-1)&amp;" of "&amp;CHOOSE($W916,3,3,2,2,3))&amp;" | Total Day "&amp;MAX(0,NETWORKDAYS($L916,TODAY(),Holidays)-1))</f>
        <v/>
      </c>
      <c r="W916" s="17">
        <f>IF($L916="","",COUNT($L916:$Q916))</f>
        <v/>
      </c>
      <c r="X916" s="18">
        <f>IF($W916="","",INT(INDEX($L916:$Q916,$W916)))</f>
        <v/>
      </c>
      <c r="Y916" s="18">
        <f>IF(OR($W916="",$W916=6),"",WORKDAY($X916,CHOOSE($W916,3,3,2,2,3),Holidays))</f>
        <v/>
      </c>
      <c r="Z916" s="17">
        <f>IF(OR($W916="",$W916=6),"",CHOOSE($W916,"1st Email Follow-up","2nd Email Follow-up","Escalate Local Office","Escalate to CBE","Escalate to Roxanne"))</f>
        <v/>
      </c>
    </row>
    <row r="917" spans="18:26">
      <c r="R917" s="15"/>
      <c r="S917" s="16"/>
      <c r="T917" s="17">
        <f>IF(AND(COUNTA($A917:$K917)=0,$L917=""),"",IF($S917="Paid","PAID",IF($S917="Closed","CLOSED",IF($W917="","",IF($W917=6,"ESCALATED TO ROXANNE",IF(TODAY()&gt;$Y917,"OVERDUE",IF($Y917&lt;=WORKDAY(TODAY(),1,Holidays),"DUE TOMORROW",IF($W917=4,"ESCALATED TO LOCAL OFFICE",IF($W917=5,"ESCALATED TO CBE",IF($X917=TODAY(),"EMAIL SENT","MONITORING"))))))))))</f>
        <v/>
      </c>
      <c r="U917" s="17">
        <f>IF($T917="",IF(AND(COUNTA($A917:$K917)&gt;0,$L917=""),"Awaiting Collection Email time stamp.",""),IF(OR($T917="PAID",$T917="CLOSED"),IF($T917="PAID","Account paid. Action completed.","Account closed. No further action required."),CHOOSE($W917,"Collection Email","1st Email Follow-up","2nd Email Follow-up","Escalation to Local Office","Escalation to CBE","Escalation to Roxanne")&amp;" sent "&amp;TEXT($X917,"dd-mmm")&amp;". "&amp;IF($W917=6,"Final escalation completed.",IF($T917="OVERDUE","Next: "&amp;$Z917&amp;" was due "&amp;TEXT($Y917,"dd-mmm")&amp;" - "&amp;(NETWORKDAYS($Y917,TODAY(),Holidays)-1)&amp;" business day(s) late. Send now.",IF($T917="DUE TOMORROW","Next: "&amp;$Z917&amp;IF($Y917&lt;=TODAY()," is due TODAY ("," is due next business day (")&amp;TEXT($Y917,"dd-mmm")&amp;").","Next: "&amp;$Z917&amp;" due "&amp;TEXT($Y917,"dd-mmm")&amp;" ("&amp;(NETWORKDAYS(TODAY(),$Y917,Holidays)-1)&amp;" business day(s) left).")))))</f>
        <v/>
      </c>
      <c r="V917" s="17">
        <f>IF($W917="","",CHOOSE($W917,"Collection Email","1st Follow-up","2nd Follow-up","Local Office","CBE","Roxanne")&amp;IF($W917=6," - Final"," - Day "&amp;MAX(0,NETWORKDAYS($X917,TODAY(),Holidays)-1)&amp;" of "&amp;CHOOSE($W917,3,3,2,2,3))&amp;" | Total Day "&amp;MAX(0,NETWORKDAYS($L917,TODAY(),Holidays)-1))</f>
        <v/>
      </c>
      <c r="W917" s="17">
        <f>IF($L917="","",COUNT($L917:$Q917))</f>
        <v/>
      </c>
      <c r="X917" s="18">
        <f>IF($W917="","",INT(INDEX($L917:$Q917,$W917)))</f>
        <v/>
      </c>
      <c r="Y917" s="18">
        <f>IF(OR($W917="",$W917=6),"",WORKDAY($X917,CHOOSE($W917,3,3,2,2,3),Holidays))</f>
        <v/>
      </c>
      <c r="Z917" s="17">
        <f>IF(OR($W917="",$W917=6),"",CHOOSE($W917,"1st Email Follow-up","2nd Email Follow-up","Escalate Local Office","Escalate to CBE","Escalate to Roxanne"))</f>
        <v/>
      </c>
    </row>
    <row r="918" spans="18:26">
      <c r="R918" s="15"/>
      <c r="S918" s="16"/>
      <c r="T918" s="17">
        <f>IF(AND(COUNTA($A918:$K918)=0,$L918=""),"",IF($S918="Paid","PAID",IF($S918="Closed","CLOSED",IF($W918="","",IF($W918=6,"ESCALATED TO ROXANNE",IF(TODAY()&gt;$Y918,"OVERDUE",IF($Y918&lt;=WORKDAY(TODAY(),1,Holidays),"DUE TOMORROW",IF($W918=4,"ESCALATED TO LOCAL OFFICE",IF($W918=5,"ESCALATED TO CBE",IF($X918=TODAY(),"EMAIL SENT","MONITORING"))))))))))</f>
        <v/>
      </c>
      <c r="U918" s="17">
        <f>IF($T918="",IF(AND(COUNTA($A918:$K918)&gt;0,$L918=""),"Awaiting Collection Email time stamp.",""),IF(OR($T918="PAID",$T918="CLOSED"),IF($T918="PAID","Account paid. Action completed.","Account closed. No further action required."),CHOOSE($W918,"Collection Email","1st Email Follow-up","2nd Email Follow-up","Escalation to Local Office","Escalation to CBE","Escalation to Roxanne")&amp;" sent "&amp;TEXT($X918,"dd-mmm")&amp;". "&amp;IF($W918=6,"Final escalation completed.",IF($T918="OVERDUE","Next: "&amp;$Z918&amp;" was due "&amp;TEXT($Y918,"dd-mmm")&amp;" - "&amp;(NETWORKDAYS($Y918,TODAY(),Holidays)-1)&amp;" business day(s) late. Send now.",IF($T918="DUE TOMORROW","Next: "&amp;$Z918&amp;IF($Y918&lt;=TODAY()," is due TODAY ("," is due next business day (")&amp;TEXT($Y918,"dd-mmm")&amp;").","Next: "&amp;$Z918&amp;" due "&amp;TEXT($Y918,"dd-mmm")&amp;" ("&amp;(NETWORKDAYS(TODAY(),$Y918,Holidays)-1)&amp;" business day(s) left).")))))</f>
        <v/>
      </c>
      <c r="V918" s="17">
        <f>IF($W918="","",CHOOSE($W918,"Collection Email","1st Follow-up","2nd Follow-up","Local Office","CBE","Roxanne")&amp;IF($W918=6," - Final"," - Day "&amp;MAX(0,NETWORKDAYS($X918,TODAY(),Holidays)-1)&amp;" of "&amp;CHOOSE($W918,3,3,2,2,3))&amp;" | Total Day "&amp;MAX(0,NETWORKDAYS($L918,TODAY(),Holidays)-1))</f>
        <v/>
      </c>
      <c r="W918" s="17">
        <f>IF($L918="","",COUNT($L918:$Q918))</f>
        <v/>
      </c>
      <c r="X918" s="18">
        <f>IF($W918="","",INT(INDEX($L918:$Q918,$W918)))</f>
        <v/>
      </c>
      <c r="Y918" s="18">
        <f>IF(OR($W918="",$W918=6),"",WORKDAY($X918,CHOOSE($W918,3,3,2,2,3),Holidays))</f>
        <v/>
      </c>
      <c r="Z918" s="17">
        <f>IF(OR($W918="",$W918=6),"",CHOOSE($W918,"1st Email Follow-up","2nd Email Follow-up","Escalate Local Office","Escalate to CBE","Escalate to Roxanne"))</f>
        <v/>
      </c>
    </row>
    <row r="919" spans="18:26">
      <c r="R919" s="15"/>
      <c r="S919" s="16"/>
      <c r="T919" s="17">
        <f>IF(AND(COUNTA($A919:$K919)=0,$L919=""),"",IF($S919="Paid","PAID",IF($S919="Closed","CLOSED",IF($W919="","",IF($W919=6,"ESCALATED TO ROXANNE",IF(TODAY()&gt;$Y919,"OVERDUE",IF($Y919&lt;=WORKDAY(TODAY(),1,Holidays),"DUE TOMORROW",IF($W919=4,"ESCALATED TO LOCAL OFFICE",IF($W919=5,"ESCALATED TO CBE",IF($X919=TODAY(),"EMAIL SENT","MONITORING"))))))))))</f>
        <v/>
      </c>
      <c r="U919" s="17">
        <f>IF($T919="",IF(AND(COUNTA($A919:$K919)&gt;0,$L919=""),"Awaiting Collection Email time stamp.",""),IF(OR($T919="PAID",$T919="CLOSED"),IF($T919="PAID","Account paid. Action completed.","Account closed. No further action required."),CHOOSE($W919,"Collection Email","1st Email Follow-up","2nd Email Follow-up","Escalation to Local Office","Escalation to CBE","Escalation to Roxanne")&amp;" sent "&amp;TEXT($X919,"dd-mmm")&amp;". "&amp;IF($W919=6,"Final escalation completed.",IF($T919="OVERDUE","Next: "&amp;$Z919&amp;" was due "&amp;TEXT($Y919,"dd-mmm")&amp;" - "&amp;(NETWORKDAYS($Y919,TODAY(),Holidays)-1)&amp;" business day(s) late. Send now.",IF($T919="DUE TOMORROW","Next: "&amp;$Z919&amp;IF($Y919&lt;=TODAY()," is due TODAY ("," is due next business day (")&amp;TEXT($Y919,"dd-mmm")&amp;").","Next: "&amp;$Z919&amp;" due "&amp;TEXT($Y919,"dd-mmm")&amp;" ("&amp;(NETWORKDAYS(TODAY(),$Y919,Holidays)-1)&amp;" business day(s) left).")))))</f>
        <v/>
      </c>
      <c r="V919" s="17">
        <f>IF($W919="","",CHOOSE($W919,"Collection Email","1st Follow-up","2nd Follow-up","Local Office","CBE","Roxanne")&amp;IF($W919=6," - Final"," - Day "&amp;MAX(0,NETWORKDAYS($X919,TODAY(),Holidays)-1)&amp;" of "&amp;CHOOSE($W919,3,3,2,2,3))&amp;" | Total Day "&amp;MAX(0,NETWORKDAYS($L919,TODAY(),Holidays)-1))</f>
        <v/>
      </c>
      <c r="W919" s="17">
        <f>IF($L919="","",COUNT($L919:$Q919))</f>
        <v/>
      </c>
      <c r="X919" s="18">
        <f>IF($W919="","",INT(INDEX($L919:$Q919,$W919)))</f>
        <v/>
      </c>
      <c r="Y919" s="18">
        <f>IF(OR($W919="",$W919=6),"",WORKDAY($X919,CHOOSE($W919,3,3,2,2,3),Holidays))</f>
        <v/>
      </c>
      <c r="Z919" s="17">
        <f>IF(OR($W919="",$W919=6),"",CHOOSE($W919,"1st Email Follow-up","2nd Email Follow-up","Escalate Local Office","Escalate to CBE","Escalate to Roxanne"))</f>
        <v/>
      </c>
    </row>
    <row r="920" spans="18:26">
      <c r="R920" s="15"/>
      <c r="S920" s="16"/>
      <c r="T920" s="17">
        <f>IF(AND(COUNTA($A920:$K920)=0,$L920=""),"",IF($S920="Paid","PAID",IF($S920="Closed","CLOSED",IF($W920="","",IF($W920=6,"ESCALATED TO ROXANNE",IF(TODAY()&gt;$Y920,"OVERDUE",IF($Y920&lt;=WORKDAY(TODAY(),1,Holidays),"DUE TOMORROW",IF($W920=4,"ESCALATED TO LOCAL OFFICE",IF($W920=5,"ESCALATED TO CBE",IF($X920=TODAY(),"EMAIL SENT","MONITORING"))))))))))</f>
        <v/>
      </c>
      <c r="U920" s="17">
        <f>IF($T920="",IF(AND(COUNTA($A920:$K920)&gt;0,$L920=""),"Awaiting Collection Email time stamp.",""),IF(OR($T920="PAID",$T920="CLOSED"),IF($T920="PAID","Account paid. Action completed.","Account closed. No further action required."),CHOOSE($W920,"Collection Email","1st Email Follow-up","2nd Email Follow-up","Escalation to Local Office","Escalation to CBE","Escalation to Roxanne")&amp;" sent "&amp;TEXT($X920,"dd-mmm")&amp;". "&amp;IF($W920=6,"Final escalation completed.",IF($T920="OVERDUE","Next: "&amp;$Z920&amp;" was due "&amp;TEXT($Y920,"dd-mmm")&amp;" - "&amp;(NETWORKDAYS($Y920,TODAY(),Holidays)-1)&amp;" business day(s) late. Send now.",IF($T920="DUE TOMORROW","Next: "&amp;$Z920&amp;IF($Y920&lt;=TODAY()," is due TODAY ("," is due next business day (")&amp;TEXT($Y920,"dd-mmm")&amp;").","Next: "&amp;$Z920&amp;" due "&amp;TEXT($Y920,"dd-mmm")&amp;" ("&amp;(NETWORKDAYS(TODAY(),$Y920,Holidays)-1)&amp;" business day(s) left).")))))</f>
        <v/>
      </c>
      <c r="V920" s="17">
        <f>IF($W920="","",CHOOSE($W920,"Collection Email","1st Follow-up","2nd Follow-up","Local Office","CBE","Roxanne")&amp;IF($W920=6," - Final"," - Day "&amp;MAX(0,NETWORKDAYS($X920,TODAY(),Holidays)-1)&amp;" of "&amp;CHOOSE($W920,3,3,2,2,3))&amp;" | Total Day "&amp;MAX(0,NETWORKDAYS($L920,TODAY(),Holidays)-1))</f>
        <v/>
      </c>
      <c r="W920" s="17">
        <f>IF($L920="","",COUNT($L920:$Q920))</f>
        <v/>
      </c>
      <c r="X920" s="18">
        <f>IF($W920="","",INT(INDEX($L920:$Q920,$W920)))</f>
        <v/>
      </c>
      <c r="Y920" s="18">
        <f>IF(OR($W920="",$W920=6),"",WORKDAY($X920,CHOOSE($W920,3,3,2,2,3),Holidays))</f>
        <v/>
      </c>
      <c r="Z920" s="17">
        <f>IF(OR($W920="",$W920=6),"",CHOOSE($W920,"1st Email Follow-up","2nd Email Follow-up","Escalate Local Office","Escalate to CBE","Escalate to Roxanne"))</f>
        <v/>
      </c>
    </row>
    <row r="921" spans="18:26">
      <c r="R921" s="15"/>
      <c r="S921" s="16"/>
      <c r="T921" s="17">
        <f>IF(AND(COUNTA($A921:$K921)=0,$L921=""),"",IF($S921="Paid","PAID",IF($S921="Closed","CLOSED",IF($W921="","",IF($W921=6,"ESCALATED TO ROXANNE",IF(TODAY()&gt;$Y921,"OVERDUE",IF($Y921&lt;=WORKDAY(TODAY(),1,Holidays),"DUE TOMORROW",IF($W921=4,"ESCALATED TO LOCAL OFFICE",IF($W921=5,"ESCALATED TO CBE",IF($X921=TODAY(),"EMAIL SENT","MONITORING"))))))))))</f>
        <v/>
      </c>
      <c r="U921" s="17">
        <f>IF($T921="",IF(AND(COUNTA($A921:$K921)&gt;0,$L921=""),"Awaiting Collection Email time stamp.",""),IF(OR($T921="PAID",$T921="CLOSED"),IF($T921="PAID","Account paid. Action completed.","Account closed. No further action required."),CHOOSE($W921,"Collection Email","1st Email Follow-up","2nd Email Follow-up","Escalation to Local Office","Escalation to CBE","Escalation to Roxanne")&amp;" sent "&amp;TEXT($X921,"dd-mmm")&amp;". "&amp;IF($W921=6,"Final escalation completed.",IF($T921="OVERDUE","Next: "&amp;$Z921&amp;" was due "&amp;TEXT($Y921,"dd-mmm")&amp;" - "&amp;(NETWORKDAYS($Y921,TODAY(),Holidays)-1)&amp;" business day(s) late. Send now.",IF($T921="DUE TOMORROW","Next: "&amp;$Z921&amp;IF($Y921&lt;=TODAY()," is due TODAY ("," is due next business day (")&amp;TEXT($Y921,"dd-mmm")&amp;").","Next: "&amp;$Z921&amp;" due "&amp;TEXT($Y921,"dd-mmm")&amp;" ("&amp;(NETWORKDAYS(TODAY(),$Y921,Holidays)-1)&amp;" business day(s) left).")))))</f>
        <v/>
      </c>
      <c r="V921" s="17">
        <f>IF($W921="","",CHOOSE($W921,"Collection Email","1st Follow-up","2nd Follow-up","Local Office","CBE","Roxanne")&amp;IF($W921=6," - Final"," - Day "&amp;MAX(0,NETWORKDAYS($X921,TODAY(),Holidays)-1)&amp;" of "&amp;CHOOSE($W921,3,3,2,2,3))&amp;" | Total Day "&amp;MAX(0,NETWORKDAYS($L921,TODAY(),Holidays)-1))</f>
        <v/>
      </c>
      <c r="W921" s="17">
        <f>IF($L921="","",COUNT($L921:$Q921))</f>
        <v/>
      </c>
      <c r="X921" s="18">
        <f>IF($W921="","",INT(INDEX($L921:$Q921,$W921)))</f>
        <v/>
      </c>
      <c r="Y921" s="18">
        <f>IF(OR($W921="",$W921=6),"",WORKDAY($X921,CHOOSE($W921,3,3,2,2,3),Holidays))</f>
        <v/>
      </c>
      <c r="Z921" s="17">
        <f>IF(OR($W921="",$W921=6),"",CHOOSE($W921,"1st Email Follow-up","2nd Email Follow-up","Escalate Local Office","Escalate to CBE","Escalate to Roxanne"))</f>
        <v/>
      </c>
    </row>
    <row r="922" spans="18:26">
      <c r="R922" s="15"/>
      <c r="S922" s="16"/>
      <c r="T922" s="17">
        <f>IF(AND(COUNTA($A922:$K922)=0,$L922=""),"",IF($S922="Paid","PAID",IF($S922="Closed","CLOSED",IF($W922="","",IF($W922=6,"ESCALATED TO ROXANNE",IF(TODAY()&gt;$Y922,"OVERDUE",IF($Y922&lt;=WORKDAY(TODAY(),1,Holidays),"DUE TOMORROW",IF($W922=4,"ESCALATED TO LOCAL OFFICE",IF($W922=5,"ESCALATED TO CBE",IF($X922=TODAY(),"EMAIL SENT","MONITORING"))))))))))</f>
        <v/>
      </c>
      <c r="U922" s="17">
        <f>IF($T922="",IF(AND(COUNTA($A922:$K922)&gt;0,$L922=""),"Awaiting Collection Email time stamp.",""),IF(OR($T922="PAID",$T922="CLOSED"),IF($T922="PAID","Account paid. Action completed.","Account closed. No further action required."),CHOOSE($W922,"Collection Email","1st Email Follow-up","2nd Email Follow-up","Escalation to Local Office","Escalation to CBE","Escalation to Roxanne")&amp;" sent "&amp;TEXT($X922,"dd-mmm")&amp;". "&amp;IF($W922=6,"Final escalation completed.",IF($T922="OVERDUE","Next: "&amp;$Z922&amp;" was due "&amp;TEXT($Y922,"dd-mmm")&amp;" - "&amp;(NETWORKDAYS($Y922,TODAY(),Holidays)-1)&amp;" business day(s) late. Send now.",IF($T922="DUE TOMORROW","Next: "&amp;$Z922&amp;IF($Y922&lt;=TODAY()," is due TODAY ("," is due next business day (")&amp;TEXT($Y922,"dd-mmm")&amp;").","Next: "&amp;$Z922&amp;" due "&amp;TEXT($Y922,"dd-mmm")&amp;" ("&amp;(NETWORKDAYS(TODAY(),$Y922,Holidays)-1)&amp;" business day(s) left).")))))</f>
        <v/>
      </c>
      <c r="V922" s="17">
        <f>IF($W922="","",CHOOSE($W922,"Collection Email","1st Follow-up","2nd Follow-up","Local Office","CBE","Roxanne")&amp;IF($W922=6," - Final"," - Day "&amp;MAX(0,NETWORKDAYS($X922,TODAY(),Holidays)-1)&amp;" of "&amp;CHOOSE($W922,3,3,2,2,3))&amp;" | Total Day "&amp;MAX(0,NETWORKDAYS($L922,TODAY(),Holidays)-1))</f>
        <v/>
      </c>
      <c r="W922" s="17">
        <f>IF($L922="","",COUNT($L922:$Q922))</f>
        <v/>
      </c>
      <c r="X922" s="18">
        <f>IF($W922="","",INT(INDEX($L922:$Q922,$W922)))</f>
        <v/>
      </c>
      <c r="Y922" s="18">
        <f>IF(OR($W922="",$W922=6),"",WORKDAY($X922,CHOOSE($W922,3,3,2,2,3),Holidays))</f>
        <v/>
      </c>
      <c r="Z922" s="17">
        <f>IF(OR($W922="",$W922=6),"",CHOOSE($W922,"1st Email Follow-up","2nd Email Follow-up","Escalate Local Office","Escalate to CBE","Escalate to Roxanne"))</f>
        <v/>
      </c>
    </row>
    <row r="923" spans="18:26">
      <c r="R923" s="15"/>
      <c r="S923" s="16"/>
      <c r="T923" s="17">
        <f>IF(AND(COUNTA($A923:$K923)=0,$L923=""),"",IF($S923="Paid","PAID",IF($S923="Closed","CLOSED",IF($W923="","",IF($W923=6,"ESCALATED TO ROXANNE",IF(TODAY()&gt;$Y923,"OVERDUE",IF($Y923&lt;=WORKDAY(TODAY(),1,Holidays),"DUE TOMORROW",IF($W923=4,"ESCALATED TO LOCAL OFFICE",IF($W923=5,"ESCALATED TO CBE",IF($X923=TODAY(),"EMAIL SENT","MONITORING"))))))))))</f>
        <v/>
      </c>
      <c r="U923" s="17">
        <f>IF($T923="",IF(AND(COUNTA($A923:$K923)&gt;0,$L923=""),"Awaiting Collection Email time stamp.",""),IF(OR($T923="PAID",$T923="CLOSED"),IF($T923="PAID","Account paid. Action completed.","Account closed. No further action required."),CHOOSE($W923,"Collection Email","1st Email Follow-up","2nd Email Follow-up","Escalation to Local Office","Escalation to CBE","Escalation to Roxanne")&amp;" sent "&amp;TEXT($X923,"dd-mmm")&amp;". "&amp;IF($W923=6,"Final escalation completed.",IF($T923="OVERDUE","Next: "&amp;$Z923&amp;" was due "&amp;TEXT($Y923,"dd-mmm")&amp;" - "&amp;(NETWORKDAYS($Y923,TODAY(),Holidays)-1)&amp;" business day(s) late. Send now.",IF($T923="DUE TOMORROW","Next: "&amp;$Z923&amp;IF($Y923&lt;=TODAY()," is due TODAY ("," is due next business day (")&amp;TEXT($Y923,"dd-mmm")&amp;").","Next: "&amp;$Z923&amp;" due "&amp;TEXT($Y923,"dd-mmm")&amp;" ("&amp;(NETWORKDAYS(TODAY(),$Y923,Holidays)-1)&amp;" business day(s) left).")))))</f>
        <v/>
      </c>
      <c r="V923" s="17">
        <f>IF($W923="","",CHOOSE($W923,"Collection Email","1st Follow-up","2nd Follow-up","Local Office","CBE","Roxanne")&amp;IF($W923=6," - Final"," - Day "&amp;MAX(0,NETWORKDAYS($X923,TODAY(),Holidays)-1)&amp;" of "&amp;CHOOSE($W923,3,3,2,2,3))&amp;" | Total Day "&amp;MAX(0,NETWORKDAYS($L923,TODAY(),Holidays)-1))</f>
        <v/>
      </c>
      <c r="W923" s="17">
        <f>IF($L923="","",COUNT($L923:$Q923))</f>
        <v/>
      </c>
      <c r="X923" s="18">
        <f>IF($W923="","",INT(INDEX($L923:$Q923,$W923)))</f>
        <v/>
      </c>
      <c r="Y923" s="18">
        <f>IF(OR($W923="",$W923=6),"",WORKDAY($X923,CHOOSE($W923,3,3,2,2,3),Holidays))</f>
        <v/>
      </c>
      <c r="Z923" s="17">
        <f>IF(OR($W923="",$W923=6),"",CHOOSE($W923,"1st Email Follow-up","2nd Email Follow-up","Escalate Local Office","Escalate to CBE","Escalate to Roxanne"))</f>
        <v/>
      </c>
    </row>
    <row r="924" spans="18:26">
      <c r="R924" s="15"/>
      <c r="S924" s="16"/>
      <c r="T924" s="17">
        <f>IF(AND(COUNTA($A924:$K924)=0,$L924=""),"",IF($S924="Paid","PAID",IF($S924="Closed","CLOSED",IF($W924="","",IF($W924=6,"ESCALATED TO ROXANNE",IF(TODAY()&gt;$Y924,"OVERDUE",IF($Y924&lt;=WORKDAY(TODAY(),1,Holidays),"DUE TOMORROW",IF($W924=4,"ESCALATED TO LOCAL OFFICE",IF($W924=5,"ESCALATED TO CBE",IF($X924=TODAY(),"EMAIL SENT","MONITORING"))))))))))</f>
        <v/>
      </c>
      <c r="U924" s="17">
        <f>IF($T924="",IF(AND(COUNTA($A924:$K924)&gt;0,$L924=""),"Awaiting Collection Email time stamp.",""),IF(OR($T924="PAID",$T924="CLOSED"),IF($T924="PAID","Account paid. Action completed.","Account closed. No further action required."),CHOOSE($W924,"Collection Email","1st Email Follow-up","2nd Email Follow-up","Escalation to Local Office","Escalation to CBE","Escalation to Roxanne")&amp;" sent "&amp;TEXT($X924,"dd-mmm")&amp;". "&amp;IF($W924=6,"Final escalation completed.",IF($T924="OVERDUE","Next: "&amp;$Z924&amp;" was due "&amp;TEXT($Y924,"dd-mmm")&amp;" - "&amp;(NETWORKDAYS($Y924,TODAY(),Holidays)-1)&amp;" business day(s) late. Send now.",IF($T924="DUE TOMORROW","Next: "&amp;$Z924&amp;IF($Y924&lt;=TODAY()," is due TODAY ("," is due next business day (")&amp;TEXT($Y924,"dd-mmm")&amp;").","Next: "&amp;$Z924&amp;" due "&amp;TEXT($Y924,"dd-mmm")&amp;" ("&amp;(NETWORKDAYS(TODAY(),$Y924,Holidays)-1)&amp;" business day(s) left).")))))</f>
        <v/>
      </c>
      <c r="V924" s="17">
        <f>IF($W924="","",CHOOSE($W924,"Collection Email","1st Follow-up","2nd Follow-up","Local Office","CBE","Roxanne")&amp;IF($W924=6," - Final"," - Day "&amp;MAX(0,NETWORKDAYS($X924,TODAY(),Holidays)-1)&amp;" of "&amp;CHOOSE($W924,3,3,2,2,3))&amp;" | Total Day "&amp;MAX(0,NETWORKDAYS($L924,TODAY(),Holidays)-1))</f>
        <v/>
      </c>
      <c r="W924" s="17">
        <f>IF($L924="","",COUNT($L924:$Q924))</f>
        <v/>
      </c>
      <c r="X924" s="18">
        <f>IF($W924="","",INT(INDEX($L924:$Q924,$W924)))</f>
        <v/>
      </c>
      <c r="Y924" s="18">
        <f>IF(OR($W924="",$W924=6),"",WORKDAY($X924,CHOOSE($W924,3,3,2,2,3),Holidays))</f>
        <v/>
      </c>
      <c r="Z924" s="17">
        <f>IF(OR($W924="",$W924=6),"",CHOOSE($W924,"1st Email Follow-up","2nd Email Follow-up","Escalate Local Office","Escalate to CBE","Escalate to Roxanne"))</f>
        <v/>
      </c>
    </row>
    <row r="925" spans="18:26">
      <c r="R925" s="15"/>
      <c r="S925" s="16"/>
      <c r="T925" s="17">
        <f>IF(AND(COUNTA($A925:$K925)=0,$L925=""),"",IF($S925="Paid","PAID",IF($S925="Closed","CLOSED",IF($W925="","",IF($W925=6,"ESCALATED TO ROXANNE",IF(TODAY()&gt;$Y925,"OVERDUE",IF($Y925&lt;=WORKDAY(TODAY(),1,Holidays),"DUE TOMORROW",IF($W925=4,"ESCALATED TO LOCAL OFFICE",IF($W925=5,"ESCALATED TO CBE",IF($X925=TODAY(),"EMAIL SENT","MONITORING"))))))))))</f>
        <v/>
      </c>
      <c r="U925" s="17">
        <f>IF($T925="",IF(AND(COUNTA($A925:$K925)&gt;0,$L925=""),"Awaiting Collection Email time stamp.",""),IF(OR($T925="PAID",$T925="CLOSED"),IF($T925="PAID","Account paid. Action completed.","Account closed. No further action required."),CHOOSE($W925,"Collection Email","1st Email Follow-up","2nd Email Follow-up","Escalation to Local Office","Escalation to CBE","Escalation to Roxanne")&amp;" sent "&amp;TEXT($X925,"dd-mmm")&amp;". "&amp;IF($W925=6,"Final escalation completed.",IF($T925="OVERDUE","Next: "&amp;$Z925&amp;" was due "&amp;TEXT($Y925,"dd-mmm")&amp;" - "&amp;(NETWORKDAYS($Y925,TODAY(),Holidays)-1)&amp;" business day(s) late. Send now.",IF($T925="DUE TOMORROW","Next: "&amp;$Z925&amp;IF($Y925&lt;=TODAY()," is due TODAY ("," is due next business day (")&amp;TEXT($Y925,"dd-mmm")&amp;").","Next: "&amp;$Z925&amp;" due "&amp;TEXT($Y925,"dd-mmm")&amp;" ("&amp;(NETWORKDAYS(TODAY(),$Y925,Holidays)-1)&amp;" business day(s) left).")))))</f>
        <v/>
      </c>
      <c r="V925" s="17">
        <f>IF($W925="","",CHOOSE($W925,"Collection Email","1st Follow-up","2nd Follow-up","Local Office","CBE","Roxanne")&amp;IF($W925=6," - Final"," - Day "&amp;MAX(0,NETWORKDAYS($X925,TODAY(),Holidays)-1)&amp;" of "&amp;CHOOSE($W925,3,3,2,2,3))&amp;" | Total Day "&amp;MAX(0,NETWORKDAYS($L925,TODAY(),Holidays)-1))</f>
        <v/>
      </c>
      <c r="W925" s="17">
        <f>IF($L925="","",COUNT($L925:$Q925))</f>
        <v/>
      </c>
      <c r="X925" s="18">
        <f>IF($W925="","",INT(INDEX($L925:$Q925,$W925)))</f>
        <v/>
      </c>
      <c r="Y925" s="18">
        <f>IF(OR($W925="",$W925=6),"",WORKDAY($X925,CHOOSE($W925,3,3,2,2,3),Holidays))</f>
        <v/>
      </c>
      <c r="Z925" s="17">
        <f>IF(OR($W925="",$W925=6),"",CHOOSE($W925,"1st Email Follow-up","2nd Email Follow-up","Escalate Local Office","Escalate to CBE","Escalate to Roxanne"))</f>
        <v/>
      </c>
    </row>
    <row r="926" spans="18:26">
      <c r="R926" s="15"/>
      <c r="S926" s="16"/>
      <c r="T926" s="17">
        <f>IF(AND(COUNTA($A926:$K926)=0,$L926=""),"",IF($S926="Paid","PAID",IF($S926="Closed","CLOSED",IF($W926="","",IF($W926=6,"ESCALATED TO ROXANNE",IF(TODAY()&gt;$Y926,"OVERDUE",IF($Y926&lt;=WORKDAY(TODAY(),1,Holidays),"DUE TOMORROW",IF($W926=4,"ESCALATED TO LOCAL OFFICE",IF($W926=5,"ESCALATED TO CBE",IF($X926=TODAY(),"EMAIL SENT","MONITORING"))))))))))</f>
        <v/>
      </c>
      <c r="U926" s="17">
        <f>IF($T926="",IF(AND(COUNTA($A926:$K926)&gt;0,$L926=""),"Awaiting Collection Email time stamp.",""),IF(OR($T926="PAID",$T926="CLOSED"),IF($T926="PAID","Account paid. Action completed.","Account closed. No further action required."),CHOOSE($W926,"Collection Email","1st Email Follow-up","2nd Email Follow-up","Escalation to Local Office","Escalation to CBE","Escalation to Roxanne")&amp;" sent "&amp;TEXT($X926,"dd-mmm")&amp;". "&amp;IF($W926=6,"Final escalation completed.",IF($T926="OVERDUE","Next: "&amp;$Z926&amp;" was due "&amp;TEXT($Y926,"dd-mmm")&amp;" - "&amp;(NETWORKDAYS($Y926,TODAY(),Holidays)-1)&amp;" business day(s) late. Send now.",IF($T926="DUE TOMORROW","Next: "&amp;$Z926&amp;IF($Y926&lt;=TODAY()," is due TODAY ("," is due next business day (")&amp;TEXT($Y926,"dd-mmm")&amp;").","Next: "&amp;$Z926&amp;" due "&amp;TEXT($Y926,"dd-mmm")&amp;" ("&amp;(NETWORKDAYS(TODAY(),$Y926,Holidays)-1)&amp;" business day(s) left).")))))</f>
        <v/>
      </c>
      <c r="V926" s="17">
        <f>IF($W926="","",CHOOSE($W926,"Collection Email","1st Follow-up","2nd Follow-up","Local Office","CBE","Roxanne")&amp;IF($W926=6," - Final"," - Day "&amp;MAX(0,NETWORKDAYS($X926,TODAY(),Holidays)-1)&amp;" of "&amp;CHOOSE($W926,3,3,2,2,3))&amp;" | Total Day "&amp;MAX(0,NETWORKDAYS($L926,TODAY(),Holidays)-1))</f>
        <v/>
      </c>
      <c r="W926" s="17">
        <f>IF($L926="","",COUNT($L926:$Q926))</f>
        <v/>
      </c>
      <c r="X926" s="18">
        <f>IF($W926="","",INT(INDEX($L926:$Q926,$W926)))</f>
        <v/>
      </c>
      <c r="Y926" s="18">
        <f>IF(OR($W926="",$W926=6),"",WORKDAY($X926,CHOOSE($W926,3,3,2,2,3),Holidays))</f>
        <v/>
      </c>
      <c r="Z926" s="17">
        <f>IF(OR($W926="",$W926=6),"",CHOOSE($W926,"1st Email Follow-up","2nd Email Follow-up","Escalate Local Office","Escalate to CBE","Escalate to Roxanne"))</f>
        <v/>
      </c>
    </row>
    <row r="927" spans="18:26">
      <c r="R927" s="15"/>
      <c r="S927" s="16"/>
      <c r="T927" s="17">
        <f>IF(AND(COUNTA($A927:$K927)=0,$L927=""),"",IF($S927="Paid","PAID",IF($S927="Closed","CLOSED",IF($W927="","",IF($W927=6,"ESCALATED TO ROXANNE",IF(TODAY()&gt;$Y927,"OVERDUE",IF($Y927&lt;=WORKDAY(TODAY(),1,Holidays),"DUE TOMORROW",IF($W927=4,"ESCALATED TO LOCAL OFFICE",IF($W927=5,"ESCALATED TO CBE",IF($X927=TODAY(),"EMAIL SENT","MONITORING"))))))))))</f>
        <v/>
      </c>
      <c r="U927" s="17">
        <f>IF($T927="",IF(AND(COUNTA($A927:$K927)&gt;0,$L927=""),"Awaiting Collection Email time stamp.",""),IF(OR($T927="PAID",$T927="CLOSED"),IF($T927="PAID","Account paid. Action completed.","Account closed. No further action required."),CHOOSE($W927,"Collection Email","1st Email Follow-up","2nd Email Follow-up","Escalation to Local Office","Escalation to CBE","Escalation to Roxanne")&amp;" sent "&amp;TEXT($X927,"dd-mmm")&amp;". "&amp;IF($W927=6,"Final escalation completed.",IF($T927="OVERDUE","Next: "&amp;$Z927&amp;" was due "&amp;TEXT($Y927,"dd-mmm")&amp;" - "&amp;(NETWORKDAYS($Y927,TODAY(),Holidays)-1)&amp;" business day(s) late. Send now.",IF($T927="DUE TOMORROW","Next: "&amp;$Z927&amp;IF($Y927&lt;=TODAY()," is due TODAY ("," is due next business day (")&amp;TEXT($Y927,"dd-mmm")&amp;").","Next: "&amp;$Z927&amp;" due "&amp;TEXT($Y927,"dd-mmm")&amp;" ("&amp;(NETWORKDAYS(TODAY(),$Y927,Holidays)-1)&amp;" business day(s) left).")))))</f>
        <v/>
      </c>
      <c r="V927" s="17">
        <f>IF($W927="","",CHOOSE($W927,"Collection Email","1st Follow-up","2nd Follow-up","Local Office","CBE","Roxanne")&amp;IF($W927=6," - Final"," - Day "&amp;MAX(0,NETWORKDAYS($X927,TODAY(),Holidays)-1)&amp;" of "&amp;CHOOSE($W927,3,3,2,2,3))&amp;" | Total Day "&amp;MAX(0,NETWORKDAYS($L927,TODAY(),Holidays)-1))</f>
        <v/>
      </c>
      <c r="W927" s="17">
        <f>IF($L927="","",COUNT($L927:$Q927))</f>
        <v/>
      </c>
      <c r="X927" s="18">
        <f>IF($W927="","",INT(INDEX($L927:$Q927,$W927)))</f>
        <v/>
      </c>
      <c r="Y927" s="18">
        <f>IF(OR($W927="",$W927=6),"",WORKDAY($X927,CHOOSE($W927,3,3,2,2,3),Holidays))</f>
        <v/>
      </c>
      <c r="Z927" s="17">
        <f>IF(OR($W927="",$W927=6),"",CHOOSE($W927,"1st Email Follow-up","2nd Email Follow-up","Escalate Local Office","Escalate to CBE","Escalate to Roxanne"))</f>
        <v/>
      </c>
    </row>
    <row r="928" spans="18:26">
      <c r="R928" s="15"/>
      <c r="S928" s="16"/>
      <c r="T928" s="17">
        <f>IF(AND(COUNTA($A928:$K928)=0,$L928=""),"",IF($S928="Paid","PAID",IF($S928="Closed","CLOSED",IF($W928="","",IF($W928=6,"ESCALATED TO ROXANNE",IF(TODAY()&gt;$Y928,"OVERDUE",IF($Y928&lt;=WORKDAY(TODAY(),1,Holidays),"DUE TOMORROW",IF($W928=4,"ESCALATED TO LOCAL OFFICE",IF($W928=5,"ESCALATED TO CBE",IF($X928=TODAY(),"EMAIL SENT","MONITORING"))))))))))</f>
        <v/>
      </c>
      <c r="U928" s="17">
        <f>IF($T928="",IF(AND(COUNTA($A928:$K928)&gt;0,$L928=""),"Awaiting Collection Email time stamp.",""),IF(OR($T928="PAID",$T928="CLOSED"),IF($T928="PAID","Account paid. Action completed.","Account closed. No further action required."),CHOOSE($W928,"Collection Email","1st Email Follow-up","2nd Email Follow-up","Escalation to Local Office","Escalation to CBE","Escalation to Roxanne")&amp;" sent "&amp;TEXT($X928,"dd-mmm")&amp;". "&amp;IF($W928=6,"Final escalation completed.",IF($T928="OVERDUE","Next: "&amp;$Z928&amp;" was due "&amp;TEXT($Y928,"dd-mmm")&amp;" - "&amp;(NETWORKDAYS($Y928,TODAY(),Holidays)-1)&amp;" business day(s) late. Send now.",IF($T928="DUE TOMORROW","Next: "&amp;$Z928&amp;IF($Y928&lt;=TODAY()," is due TODAY ("," is due next business day (")&amp;TEXT($Y928,"dd-mmm")&amp;").","Next: "&amp;$Z928&amp;" due "&amp;TEXT($Y928,"dd-mmm")&amp;" ("&amp;(NETWORKDAYS(TODAY(),$Y928,Holidays)-1)&amp;" business day(s) left).")))))</f>
        <v/>
      </c>
      <c r="V928" s="17">
        <f>IF($W928="","",CHOOSE($W928,"Collection Email","1st Follow-up","2nd Follow-up","Local Office","CBE","Roxanne")&amp;IF($W928=6," - Final"," - Day "&amp;MAX(0,NETWORKDAYS($X928,TODAY(),Holidays)-1)&amp;" of "&amp;CHOOSE($W928,3,3,2,2,3))&amp;" | Total Day "&amp;MAX(0,NETWORKDAYS($L928,TODAY(),Holidays)-1))</f>
        <v/>
      </c>
      <c r="W928" s="17">
        <f>IF($L928="","",COUNT($L928:$Q928))</f>
        <v/>
      </c>
      <c r="X928" s="18">
        <f>IF($W928="","",INT(INDEX($L928:$Q928,$W928)))</f>
        <v/>
      </c>
      <c r="Y928" s="18">
        <f>IF(OR($W928="",$W928=6),"",WORKDAY($X928,CHOOSE($W928,3,3,2,2,3),Holidays))</f>
        <v/>
      </c>
      <c r="Z928" s="17">
        <f>IF(OR($W928="",$W928=6),"",CHOOSE($W928,"1st Email Follow-up","2nd Email Follow-up","Escalate Local Office","Escalate to CBE","Escalate to Roxanne"))</f>
        <v/>
      </c>
    </row>
    <row r="929" spans="18:26">
      <c r="R929" s="15"/>
      <c r="S929" s="16"/>
      <c r="T929" s="17">
        <f>IF(AND(COUNTA($A929:$K929)=0,$L929=""),"",IF($S929="Paid","PAID",IF($S929="Closed","CLOSED",IF($W929="","",IF($W929=6,"ESCALATED TO ROXANNE",IF(TODAY()&gt;$Y929,"OVERDUE",IF($Y929&lt;=WORKDAY(TODAY(),1,Holidays),"DUE TOMORROW",IF($W929=4,"ESCALATED TO LOCAL OFFICE",IF($W929=5,"ESCALATED TO CBE",IF($X929=TODAY(),"EMAIL SENT","MONITORING"))))))))))</f>
        <v/>
      </c>
      <c r="U929" s="17">
        <f>IF($T929="",IF(AND(COUNTA($A929:$K929)&gt;0,$L929=""),"Awaiting Collection Email time stamp.",""),IF(OR($T929="PAID",$T929="CLOSED"),IF($T929="PAID","Account paid. Action completed.","Account closed. No further action required."),CHOOSE($W929,"Collection Email","1st Email Follow-up","2nd Email Follow-up","Escalation to Local Office","Escalation to CBE","Escalation to Roxanne")&amp;" sent "&amp;TEXT($X929,"dd-mmm")&amp;". "&amp;IF($W929=6,"Final escalation completed.",IF($T929="OVERDUE","Next: "&amp;$Z929&amp;" was due "&amp;TEXT($Y929,"dd-mmm")&amp;" - "&amp;(NETWORKDAYS($Y929,TODAY(),Holidays)-1)&amp;" business day(s) late. Send now.",IF($T929="DUE TOMORROW","Next: "&amp;$Z929&amp;IF($Y929&lt;=TODAY()," is due TODAY ("," is due next business day (")&amp;TEXT($Y929,"dd-mmm")&amp;").","Next: "&amp;$Z929&amp;" due "&amp;TEXT($Y929,"dd-mmm")&amp;" ("&amp;(NETWORKDAYS(TODAY(),$Y929,Holidays)-1)&amp;" business day(s) left).")))))</f>
        <v/>
      </c>
      <c r="V929" s="17">
        <f>IF($W929="","",CHOOSE($W929,"Collection Email","1st Follow-up","2nd Follow-up","Local Office","CBE","Roxanne")&amp;IF($W929=6," - Final"," - Day "&amp;MAX(0,NETWORKDAYS($X929,TODAY(),Holidays)-1)&amp;" of "&amp;CHOOSE($W929,3,3,2,2,3))&amp;" | Total Day "&amp;MAX(0,NETWORKDAYS($L929,TODAY(),Holidays)-1))</f>
        <v/>
      </c>
      <c r="W929" s="17">
        <f>IF($L929="","",COUNT($L929:$Q929))</f>
        <v/>
      </c>
      <c r="X929" s="18">
        <f>IF($W929="","",INT(INDEX($L929:$Q929,$W929)))</f>
        <v/>
      </c>
      <c r="Y929" s="18">
        <f>IF(OR($W929="",$W929=6),"",WORKDAY($X929,CHOOSE($W929,3,3,2,2,3),Holidays))</f>
        <v/>
      </c>
      <c r="Z929" s="17">
        <f>IF(OR($W929="",$W929=6),"",CHOOSE($W929,"1st Email Follow-up","2nd Email Follow-up","Escalate Local Office","Escalate to CBE","Escalate to Roxanne"))</f>
        <v/>
      </c>
    </row>
    <row r="930" spans="18:26">
      <c r="R930" s="15"/>
      <c r="S930" s="16"/>
      <c r="T930" s="17">
        <f>IF(AND(COUNTA($A930:$K930)=0,$L930=""),"",IF($S930="Paid","PAID",IF($S930="Closed","CLOSED",IF($W930="","",IF($W930=6,"ESCALATED TO ROXANNE",IF(TODAY()&gt;$Y930,"OVERDUE",IF($Y930&lt;=WORKDAY(TODAY(),1,Holidays),"DUE TOMORROW",IF($W930=4,"ESCALATED TO LOCAL OFFICE",IF($W930=5,"ESCALATED TO CBE",IF($X930=TODAY(),"EMAIL SENT","MONITORING"))))))))))</f>
        <v/>
      </c>
      <c r="U930" s="17">
        <f>IF($T930="",IF(AND(COUNTA($A930:$K930)&gt;0,$L930=""),"Awaiting Collection Email time stamp.",""),IF(OR($T930="PAID",$T930="CLOSED"),IF($T930="PAID","Account paid. Action completed.","Account closed. No further action required."),CHOOSE($W930,"Collection Email","1st Email Follow-up","2nd Email Follow-up","Escalation to Local Office","Escalation to CBE","Escalation to Roxanne")&amp;" sent "&amp;TEXT($X930,"dd-mmm")&amp;". "&amp;IF($W930=6,"Final escalation completed.",IF($T930="OVERDUE","Next: "&amp;$Z930&amp;" was due "&amp;TEXT($Y930,"dd-mmm")&amp;" - "&amp;(NETWORKDAYS($Y930,TODAY(),Holidays)-1)&amp;" business day(s) late. Send now.",IF($T930="DUE TOMORROW","Next: "&amp;$Z930&amp;IF($Y930&lt;=TODAY()," is due TODAY ("," is due next business day (")&amp;TEXT($Y930,"dd-mmm")&amp;").","Next: "&amp;$Z930&amp;" due "&amp;TEXT($Y930,"dd-mmm")&amp;" ("&amp;(NETWORKDAYS(TODAY(),$Y930,Holidays)-1)&amp;" business day(s) left).")))))</f>
        <v/>
      </c>
      <c r="V930" s="17">
        <f>IF($W930="","",CHOOSE($W930,"Collection Email","1st Follow-up","2nd Follow-up","Local Office","CBE","Roxanne")&amp;IF($W930=6," - Final"," - Day "&amp;MAX(0,NETWORKDAYS($X930,TODAY(),Holidays)-1)&amp;" of "&amp;CHOOSE($W930,3,3,2,2,3))&amp;" | Total Day "&amp;MAX(0,NETWORKDAYS($L930,TODAY(),Holidays)-1))</f>
        <v/>
      </c>
      <c r="W930" s="17">
        <f>IF($L930="","",COUNT($L930:$Q930))</f>
        <v/>
      </c>
      <c r="X930" s="18">
        <f>IF($W930="","",INT(INDEX($L930:$Q930,$W930)))</f>
        <v/>
      </c>
      <c r="Y930" s="18">
        <f>IF(OR($W930="",$W930=6),"",WORKDAY($X930,CHOOSE($W930,3,3,2,2,3),Holidays))</f>
        <v/>
      </c>
      <c r="Z930" s="17">
        <f>IF(OR($W930="",$W930=6),"",CHOOSE($W930,"1st Email Follow-up","2nd Email Follow-up","Escalate Local Office","Escalate to CBE","Escalate to Roxanne"))</f>
        <v/>
      </c>
    </row>
    <row r="931" spans="18:26">
      <c r="R931" s="15"/>
      <c r="S931" s="16"/>
      <c r="T931" s="17">
        <f>IF(AND(COUNTA($A931:$K931)=0,$L931=""),"",IF($S931="Paid","PAID",IF($S931="Closed","CLOSED",IF($W931="","",IF($W931=6,"ESCALATED TO ROXANNE",IF(TODAY()&gt;$Y931,"OVERDUE",IF($Y931&lt;=WORKDAY(TODAY(),1,Holidays),"DUE TOMORROW",IF($W931=4,"ESCALATED TO LOCAL OFFICE",IF($W931=5,"ESCALATED TO CBE",IF($X931=TODAY(),"EMAIL SENT","MONITORING"))))))))))</f>
        <v/>
      </c>
      <c r="U931" s="17">
        <f>IF($T931="",IF(AND(COUNTA($A931:$K931)&gt;0,$L931=""),"Awaiting Collection Email time stamp.",""),IF(OR($T931="PAID",$T931="CLOSED"),IF($T931="PAID","Account paid. Action completed.","Account closed. No further action required."),CHOOSE($W931,"Collection Email","1st Email Follow-up","2nd Email Follow-up","Escalation to Local Office","Escalation to CBE","Escalation to Roxanne")&amp;" sent "&amp;TEXT($X931,"dd-mmm")&amp;". "&amp;IF($W931=6,"Final escalation completed.",IF($T931="OVERDUE","Next: "&amp;$Z931&amp;" was due "&amp;TEXT($Y931,"dd-mmm")&amp;" - "&amp;(NETWORKDAYS($Y931,TODAY(),Holidays)-1)&amp;" business day(s) late. Send now.",IF($T931="DUE TOMORROW","Next: "&amp;$Z931&amp;IF($Y931&lt;=TODAY()," is due TODAY ("," is due next business day (")&amp;TEXT($Y931,"dd-mmm")&amp;").","Next: "&amp;$Z931&amp;" due "&amp;TEXT($Y931,"dd-mmm")&amp;" ("&amp;(NETWORKDAYS(TODAY(),$Y931,Holidays)-1)&amp;" business day(s) left).")))))</f>
        <v/>
      </c>
      <c r="V931" s="17">
        <f>IF($W931="","",CHOOSE($W931,"Collection Email","1st Follow-up","2nd Follow-up","Local Office","CBE","Roxanne")&amp;IF($W931=6," - Final"," - Day "&amp;MAX(0,NETWORKDAYS($X931,TODAY(),Holidays)-1)&amp;" of "&amp;CHOOSE($W931,3,3,2,2,3))&amp;" | Total Day "&amp;MAX(0,NETWORKDAYS($L931,TODAY(),Holidays)-1))</f>
        <v/>
      </c>
      <c r="W931" s="17">
        <f>IF($L931="","",COUNT($L931:$Q931))</f>
        <v/>
      </c>
      <c r="X931" s="18">
        <f>IF($W931="","",INT(INDEX($L931:$Q931,$W931)))</f>
        <v/>
      </c>
      <c r="Y931" s="18">
        <f>IF(OR($W931="",$W931=6),"",WORKDAY($X931,CHOOSE($W931,3,3,2,2,3),Holidays))</f>
        <v/>
      </c>
      <c r="Z931" s="17">
        <f>IF(OR($W931="",$W931=6),"",CHOOSE($W931,"1st Email Follow-up","2nd Email Follow-up","Escalate Local Office","Escalate to CBE","Escalate to Roxanne"))</f>
        <v/>
      </c>
    </row>
    <row r="932" spans="18:26">
      <c r="R932" s="15"/>
      <c r="S932" s="16"/>
      <c r="T932" s="17">
        <f>IF(AND(COUNTA($A932:$K932)=0,$L932=""),"",IF($S932="Paid","PAID",IF($S932="Closed","CLOSED",IF($W932="","",IF($W932=6,"ESCALATED TO ROXANNE",IF(TODAY()&gt;$Y932,"OVERDUE",IF($Y932&lt;=WORKDAY(TODAY(),1,Holidays),"DUE TOMORROW",IF($W932=4,"ESCALATED TO LOCAL OFFICE",IF($W932=5,"ESCALATED TO CBE",IF($X932=TODAY(),"EMAIL SENT","MONITORING"))))))))))</f>
        <v/>
      </c>
      <c r="U932" s="17">
        <f>IF($T932="",IF(AND(COUNTA($A932:$K932)&gt;0,$L932=""),"Awaiting Collection Email time stamp.",""),IF(OR($T932="PAID",$T932="CLOSED"),IF($T932="PAID","Account paid. Action completed.","Account closed. No further action required."),CHOOSE($W932,"Collection Email","1st Email Follow-up","2nd Email Follow-up","Escalation to Local Office","Escalation to CBE","Escalation to Roxanne")&amp;" sent "&amp;TEXT($X932,"dd-mmm")&amp;". "&amp;IF($W932=6,"Final escalation completed.",IF($T932="OVERDUE","Next: "&amp;$Z932&amp;" was due "&amp;TEXT($Y932,"dd-mmm")&amp;" - "&amp;(NETWORKDAYS($Y932,TODAY(),Holidays)-1)&amp;" business day(s) late. Send now.",IF($T932="DUE TOMORROW","Next: "&amp;$Z932&amp;IF($Y932&lt;=TODAY()," is due TODAY ("," is due next business day (")&amp;TEXT($Y932,"dd-mmm")&amp;").","Next: "&amp;$Z932&amp;" due "&amp;TEXT($Y932,"dd-mmm")&amp;" ("&amp;(NETWORKDAYS(TODAY(),$Y932,Holidays)-1)&amp;" business day(s) left).")))))</f>
        <v/>
      </c>
      <c r="V932" s="17">
        <f>IF($W932="","",CHOOSE($W932,"Collection Email","1st Follow-up","2nd Follow-up","Local Office","CBE","Roxanne")&amp;IF($W932=6," - Final"," - Day "&amp;MAX(0,NETWORKDAYS($X932,TODAY(),Holidays)-1)&amp;" of "&amp;CHOOSE($W932,3,3,2,2,3))&amp;" | Total Day "&amp;MAX(0,NETWORKDAYS($L932,TODAY(),Holidays)-1))</f>
        <v/>
      </c>
      <c r="W932" s="17">
        <f>IF($L932="","",COUNT($L932:$Q932))</f>
        <v/>
      </c>
      <c r="X932" s="18">
        <f>IF($W932="","",INT(INDEX($L932:$Q932,$W932)))</f>
        <v/>
      </c>
      <c r="Y932" s="18">
        <f>IF(OR($W932="",$W932=6),"",WORKDAY($X932,CHOOSE($W932,3,3,2,2,3),Holidays))</f>
        <v/>
      </c>
      <c r="Z932" s="17">
        <f>IF(OR($W932="",$W932=6),"",CHOOSE($W932,"1st Email Follow-up","2nd Email Follow-up","Escalate Local Office","Escalate to CBE","Escalate to Roxanne"))</f>
        <v/>
      </c>
    </row>
    <row r="933" spans="18:26">
      <c r="R933" s="15"/>
      <c r="S933" s="16"/>
      <c r="T933" s="17">
        <f>IF(AND(COUNTA($A933:$K933)=0,$L933=""),"",IF($S933="Paid","PAID",IF($S933="Closed","CLOSED",IF($W933="","",IF($W933=6,"ESCALATED TO ROXANNE",IF(TODAY()&gt;$Y933,"OVERDUE",IF($Y933&lt;=WORKDAY(TODAY(),1,Holidays),"DUE TOMORROW",IF($W933=4,"ESCALATED TO LOCAL OFFICE",IF($W933=5,"ESCALATED TO CBE",IF($X933=TODAY(),"EMAIL SENT","MONITORING"))))))))))</f>
        <v/>
      </c>
      <c r="U933" s="17">
        <f>IF($T933="",IF(AND(COUNTA($A933:$K933)&gt;0,$L933=""),"Awaiting Collection Email time stamp.",""),IF(OR($T933="PAID",$T933="CLOSED"),IF($T933="PAID","Account paid. Action completed.","Account closed. No further action required."),CHOOSE($W933,"Collection Email","1st Email Follow-up","2nd Email Follow-up","Escalation to Local Office","Escalation to CBE","Escalation to Roxanne")&amp;" sent "&amp;TEXT($X933,"dd-mmm")&amp;". "&amp;IF($W933=6,"Final escalation completed.",IF($T933="OVERDUE","Next: "&amp;$Z933&amp;" was due "&amp;TEXT($Y933,"dd-mmm")&amp;" - "&amp;(NETWORKDAYS($Y933,TODAY(),Holidays)-1)&amp;" business day(s) late. Send now.",IF($T933="DUE TOMORROW","Next: "&amp;$Z933&amp;IF($Y933&lt;=TODAY()," is due TODAY ("," is due next business day (")&amp;TEXT($Y933,"dd-mmm")&amp;").","Next: "&amp;$Z933&amp;" due "&amp;TEXT($Y933,"dd-mmm")&amp;" ("&amp;(NETWORKDAYS(TODAY(),$Y933,Holidays)-1)&amp;" business day(s) left).")))))</f>
        <v/>
      </c>
      <c r="V933" s="17">
        <f>IF($W933="","",CHOOSE($W933,"Collection Email","1st Follow-up","2nd Follow-up","Local Office","CBE","Roxanne")&amp;IF($W933=6," - Final"," - Day "&amp;MAX(0,NETWORKDAYS($X933,TODAY(),Holidays)-1)&amp;" of "&amp;CHOOSE($W933,3,3,2,2,3))&amp;" | Total Day "&amp;MAX(0,NETWORKDAYS($L933,TODAY(),Holidays)-1))</f>
        <v/>
      </c>
      <c r="W933" s="17">
        <f>IF($L933="","",COUNT($L933:$Q933))</f>
        <v/>
      </c>
      <c r="X933" s="18">
        <f>IF($W933="","",INT(INDEX($L933:$Q933,$W933)))</f>
        <v/>
      </c>
      <c r="Y933" s="18">
        <f>IF(OR($W933="",$W933=6),"",WORKDAY($X933,CHOOSE($W933,3,3,2,2,3),Holidays))</f>
        <v/>
      </c>
      <c r="Z933" s="17">
        <f>IF(OR($W933="",$W933=6),"",CHOOSE($W933,"1st Email Follow-up","2nd Email Follow-up","Escalate Local Office","Escalate to CBE","Escalate to Roxanne"))</f>
        <v/>
      </c>
    </row>
    <row r="934" spans="18:26">
      <c r="R934" s="15"/>
      <c r="S934" s="16"/>
      <c r="T934" s="17">
        <f>IF(AND(COUNTA($A934:$K934)=0,$L934=""),"",IF($S934="Paid","PAID",IF($S934="Closed","CLOSED",IF($W934="","",IF($W934=6,"ESCALATED TO ROXANNE",IF(TODAY()&gt;$Y934,"OVERDUE",IF($Y934&lt;=WORKDAY(TODAY(),1,Holidays),"DUE TOMORROW",IF($W934=4,"ESCALATED TO LOCAL OFFICE",IF($W934=5,"ESCALATED TO CBE",IF($X934=TODAY(),"EMAIL SENT","MONITORING"))))))))))</f>
        <v/>
      </c>
      <c r="U934" s="17">
        <f>IF($T934="",IF(AND(COUNTA($A934:$K934)&gt;0,$L934=""),"Awaiting Collection Email time stamp.",""),IF(OR($T934="PAID",$T934="CLOSED"),IF($T934="PAID","Account paid. Action completed.","Account closed. No further action required."),CHOOSE($W934,"Collection Email","1st Email Follow-up","2nd Email Follow-up","Escalation to Local Office","Escalation to CBE","Escalation to Roxanne")&amp;" sent "&amp;TEXT($X934,"dd-mmm")&amp;". "&amp;IF($W934=6,"Final escalation completed.",IF($T934="OVERDUE","Next: "&amp;$Z934&amp;" was due "&amp;TEXT($Y934,"dd-mmm")&amp;" - "&amp;(NETWORKDAYS($Y934,TODAY(),Holidays)-1)&amp;" business day(s) late. Send now.",IF($T934="DUE TOMORROW","Next: "&amp;$Z934&amp;IF($Y934&lt;=TODAY()," is due TODAY ("," is due next business day (")&amp;TEXT($Y934,"dd-mmm")&amp;").","Next: "&amp;$Z934&amp;" due "&amp;TEXT($Y934,"dd-mmm")&amp;" ("&amp;(NETWORKDAYS(TODAY(),$Y934,Holidays)-1)&amp;" business day(s) left).")))))</f>
        <v/>
      </c>
      <c r="V934" s="17">
        <f>IF($W934="","",CHOOSE($W934,"Collection Email","1st Follow-up","2nd Follow-up","Local Office","CBE","Roxanne")&amp;IF($W934=6," - Final"," - Day "&amp;MAX(0,NETWORKDAYS($X934,TODAY(),Holidays)-1)&amp;" of "&amp;CHOOSE($W934,3,3,2,2,3))&amp;" | Total Day "&amp;MAX(0,NETWORKDAYS($L934,TODAY(),Holidays)-1))</f>
        <v/>
      </c>
      <c r="W934" s="17">
        <f>IF($L934="","",COUNT($L934:$Q934))</f>
        <v/>
      </c>
      <c r="X934" s="18">
        <f>IF($W934="","",INT(INDEX($L934:$Q934,$W934)))</f>
        <v/>
      </c>
      <c r="Y934" s="18">
        <f>IF(OR($W934="",$W934=6),"",WORKDAY($X934,CHOOSE($W934,3,3,2,2,3),Holidays))</f>
        <v/>
      </c>
      <c r="Z934" s="17">
        <f>IF(OR($W934="",$W934=6),"",CHOOSE($W934,"1st Email Follow-up","2nd Email Follow-up","Escalate Local Office","Escalate to CBE","Escalate to Roxanne"))</f>
        <v/>
      </c>
    </row>
    <row r="935" spans="18:26">
      <c r="R935" s="15"/>
      <c r="S935" s="16"/>
      <c r="T935" s="17">
        <f>IF(AND(COUNTA($A935:$K935)=0,$L935=""),"",IF($S935="Paid","PAID",IF($S935="Closed","CLOSED",IF($W935="","",IF($W935=6,"ESCALATED TO ROXANNE",IF(TODAY()&gt;$Y935,"OVERDUE",IF($Y935&lt;=WORKDAY(TODAY(),1,Holidays),"DUE TOMORROW",IF($W935=4,"ESCALATED TO LOCAL OFFICE",IF($W935=5,"ESCALATED TO CBE",IF($X935=TODAY(),"EMAIL SENT","MONITORING"))))))))))</f>
        <v/>
      </c>
      <c r="U935" s="17">
        <f>IF($T935="",IF(AND(COUNTA($A935:$K935)&gt;0,$L935=""),"Awaiting Collection Email time stamp.",""),IF(OR($T935="PAID",$T935="CLOSED"),IF($T935="PAID","Account paid. Action completed.","Account closed. No further action required."),CHOOSE($W935,"Collection Email","1st Email Follow-up","2nd Email Follow-up","Escalation to Local Office","Escalation to CBE","Escalation to Roxanne")&amp;" sent "&amp;TEXT($X935,"dd-mmm")&amp;". "&amp;IF($W935=6,"Final escalation completed.",IF($T935="OVERDUE","Next: "&amp;$Z935&amp;" was due "&amp;TEXT($Y935,"dd-mmm")&amp;" - "&amp;(NETWORKDAYS($Y935,TODAY(),Holidays)-1)&amp;" business day(s) late. Send now.",IF($T935="DUE TOMORROW","Next: "&amp;$Z935&amp;IF($Y935&lt;=TODAY()," is due TODAY ("," is due next business day (")&amp;TEXT($Y935,"dd-mmm")&amp;").","Next: "&amp;$Z935&amp;" due "&amp;TEXT($Y935,"dd-mmm")&amp;" ("&amp;(NETWORKDAYS(TODAY(),$Y935,Holidays)-1)&amp;" business day(s) left).")))))</f>
        <v/>
      </c>
      <c r="V935" s="17">
        <f>IF($W935="","",CHOOSE($W935,"Collection Email","1st Follow-up","2nd Follow-up","Local Office","CBE","Roxanne")&amp;IF($W935=6," - Final"," - Day "&amp;MAX(0,NETWORKDAYS($X935,TODAY(),Holidays)-1)&amp;" of "&amp;CHOOSE($W935,3,3,2,2,3))&amp;" | Total Day "&amp;MAX(0,NETWORKDAYS($L935,TODAY(),Holidays)-1))</f>
        <v/>
      </c>
      <c r="W935" s="17">
        <f>IF($L935="","",COUNT($L935:$Q935))</f>
        <v/>
      </c>
      <c r="X935" s="18">
        <f>IF($W935="","",INT(INDEX($L935:$Q935,$W935)))</f>
        <v/>
      </c>
      <c r="Y935" s="18">
        <f>IF(OR($W935="",$W935=6),"",WORKDAY($X935,CHOOSE($W935,3,3,2,2,3),Holidays))</f>
        <v/>
      </c>
      <c r="Z935" s="17">
        <f>IF(OR($W935="",$W935=6),"",CHOOSE($W935,"1st Email Follow-up","2nd Email Follow-up","Escalate Local Office","Escalate to CBE","Escalate to Roxanne"))</f>
        <v/>
      </c>
    </row>
    <row r="936" spans="18:26">
      <c r="R936" s="15"/>
      <c r="S936" s="16"/>
      <c r="T936" s="17">
        <f>IF(AND(COUNTA($A936:$K936)=0,$L936=""),"",IF($S936="Paid","PAID",IF($S936="Closed","CLOSED",IF($W936="","",IF($W936=6,"ESCALATED TO ROXANNE",IF(TODAY()&gt;$Y936,"OVERDUE",IF($Y936&lt;=WORKDAY(TODAY(),1,Holidays),"DUE TOMORROW",IF($W936=4,"ESCALATED TO LOCAL OFFICE",IF($W936=5,"ESCALATED TO CBE",IF($X936=TODAY(),"EMAIL SENT","MONITORING"))))))))))</f>
        <v/>
      </c>
      <c r="U936" s="17">
        <f>IF($T936="",IF(AND(COUNTA($A936:$K936)&gt;0,$L936=""),"Awaiting Collection Email time stamp.",""),IF(OR($T936="PAID",$T936="CLOSED"),IF($T936="PAID","Account paid. Action completed.","Account closed. No further action required."),CHOOSE($W936,"Collection Email","1st Email Follow-up","2nd Email Follow-up","Escalation to Local Office","Escalation to CBE","Escalation to Roxanne")&amp;" sent "&amp;TEXT($X936,"dd-mmm")&amp;". "&amp;IF($W936=6,"Final escalation completed.",IF($T936="OVERDUE","Next: "&amp;$Z936&amp;" was due "&amp;TEXT($Y936,"dd-mmm")&amp;" - "&amp;(NETWORKDAYS($Y936,TODAY(),Holidays)-1)&amp;" business day(s) late. Send now.",IF($T936="DUE TOMORROW","Next: "&amp;$Z936&amp;IF($Y936&lt;=TODAY()," is due TODAY ("," is due next business day (")&amp;TEXT($Y936,"dd-mmm")&amp;").","Next: "&amp;$Z936&amp;" due "&amp;TEXT($Y936,"dd-mmm")&amp;" ("&amp;(NETWORKDAYS(TODAY(),$Y936,Holidays)-1)&amp;" business day(s) left).")))))</f>
        <v/>
      </c>
      <c r="V936" s="17">
        <f>IF($W936="","",CHOOSE($W936,"Collection Email","1st Follow-up","2nd Follow-up","Local Office","CBE","Roxanne")&amp;IF($W936=6," - Final"," - Day "&amp;MAX(0,NETWORKDAYS($X936,TODAY(),Holidays)-1)&amp;" of "&amp;CHOOSE($W936,3,3,2,2,3))&amp;" | Total Day "&amp;MAX(0,NETWORKDAYS($L936,TODAY(),Holidays)-1))</f>
        <v/>
      </c>
      <c r="W936" s="17">
        <f>IF($L936="","",COUNT($L936:$Q936))</f>
        <v/>
      </c>
      <c r="X936" s="18">
        <f>IF($W936="","",INT(INDEX($L936:$Q936,$W936)))</f>
        <v/>
      </c>
      <c r="Y936" s="18">
        <f>IF(OR($W936="",$W936=6),"",WORKDAY($X936,CHOOSE($W936,3,3,2,2,3),Holidays))</f>
        <v/>
      </c>
      <c r="Z936" s="17">
        <f>IF(OR($W936="",$W936=6),"",CHOOSE($W936,"1st Email Follow-up","2nd Email Follow-up","Escalate Local Office","Escalate to CBE","Escalate to Roxanne"))</f>
        <v/>
      </c>
    </row>
    <row r="937" spans="18:26">
      <c r="R937" s="15"/>
      <c r="S937" s="16"/>
      <c r="T937" s="17">
        <f>IF(AND(COUNTA($A937:$K937)=0,$L937=""),"",IF($S937="Paid","PAID",IF($S937="Closed","CLOSED",IF($W937="","",IF($W937=6,"ESCALATED TO ROXANNE",IF(TODAY()&gt;$Y937,"OVERDUE",IF($Y937&lt;=WORKDAY(TODAY(),1,Holidays),"DUE TOMORROW",IF($W937=4,"ESCALATED TO LOCAL OFFICE",IF($W937=5,"ESCALATED TO CBE",IF($X937=TODAY(),"EMAIL SENT","MONITORING"))))))))))</f>
        <v/>
      </c>
      <c r="U937" s="17">
        <f>IF($T937="",IF(AND(COUNTA($A937:$K937)&gt;0,$L937=""),"Awaiting Collection Email time stamp.",""),IF(OR($T937="PAID",$T937="CLOSED"),IF($T937="PAID","Account paid. Action completed.","Account closed. No further action required."),CHOOSE($W937,"Collection Email","1st Email Follow-up","2nd Email Follow-up","Escalation to Local Office","Escalation to CBE","Escalation to Roxanne")&amp;" sent "&amp;TEXT($X937,"dd-mmm")&amp;". "&amp;IF($W937=6,"Final escalation completed.",IF($T937="OVERDUE","Next: "&amp;$Z937&amp;" was due "&amp;TEXT($Y937,"dd-mmm")&amp;" - "&amp;(NETWORKDAYS($Y937,TODAY(),Holidays)-1)&amp;" business day(s) late. Send now.",IF($T937="DUE TOMORROW","Next: "&amp;$Z937&amp;IF($Y937&lt;=TODAY()," is due TODAY ("," is due next business day (")&amp;TEXT($Y937,"dd-mmm")&amp;").","Next: "&amp;$Z937&amp;" due "&amp;TEXT($Y937,"dd-mmm")&amp;" ("&amp;(NETWORKDAYS(TODAY(),$Y937,Holidays)-1)&amp;" business day(s) left).")))))</f>
        <v/>
      </c>
      <c r="V937" s="17">
        <f>IF($W937="","",CHOOSE($W937,"Collection Email","1st Follow-up","2nd Follow-up","Local Office","CBE","Roxanne")&amp;IF($W937=6," - Final"," - Day "&amp;MAX(0,NETWORKDAYS($X937,TODAY(),Holidays)-1)&amp;" of "&amp;CHOOSE($W937,3,3,2,2,3))&amp;" | Total Day "&amp;MAX(0,NETWORKDAYS($L937,TODAY(),Holidays)-1))</f>
        <v/>
      </c>
      <c r="W937" s="17">
        <f>IF($L937="","",COUNT($L937:$Q937))</f>
        <v/>
      </c>
      <c r="X937" s="18">
        <f>IF($W937="","",INT(INDEX($L937:$Q937,$W937)))</f>
        <v/>
      </c>
      <c r="Y937" s="18">
        <f>IF(OR($W937="",$W937=6),"",WORKDAY($X937,CHOOSE($W937,3,3,2,2,3),Holidays))</f>
        <v/>
      </c>
      <c r="Z937" s="17">
        <f>IF(OR($W937="",$W937=6),"",CHOOSE($W937,"1st Email Follow-up","2nd Email Follow-up","Escalate Local Office","Escalate to CBE","Escalate to Roxanne"))</f>
        <v/>
      </c>
    </row>
    <row r="938" spans="18:26">
      <c r="R938" s="15"/>
      <c r="S938" s="16"/>
      <c r="T938" s="17">
        <f>IF(AND(COUNTA($A938:$K938)=0,$L938=""),"",IF($S938="Paid","PAID",IF($S938="Closed","CLOSED",IF($W938="","",IF($W938=6,"ESCALATED TO ROXANNE",IF(TODAY()&gt;$Y938,"OVERDUE",IF($Y938&lt;=WORKDAY(TODAY(),1,Holidays),"DUE TOMORROW",IF($W938=4,"ESCALATED TO LOCAL OFFICE",IF($W938=5,"ESCALATED TO CBE",IF($X938=TODAY(),"EMAIL SENT","MONITORING"))))))))))</f>
        <v/>
      </c>
      <c r="U938" s="17">
        <f>IF($T938="",IF(AND(COUNTA($A938:$K938)&gt;0,$L938=""),"Awaiting Collection Email time stamp.",""),IF(OR($T938="PAID",$T938="CLOSED"),IF($T938="PAID","Account paid. Action completed.","Account closed. No further action required."),CHOOSE($W938,"Collection Email","1st Email Follow-up","2nd Email Follow-up","Escalation to Local Office","Escalation to CBE","Escalation to Roxanne")&amp;" sent "&amp;TEXT($X938,"dd-mmm")&amp;". "&amp;IF($W938=6,"Final escalation completed.",IF($T938="OVERDUE","Next: "&amp;$Z938&amp;" was due "&amp;TEXT($Y938,"dd-mmm")&amp;" - "&amp;(NETWORKDAYS($Y938,TODAY(),Holidays)-1)&amp;" business day(s) late. Send now.",IF($T938="DUE TOMORROW","Next: "&amp;$Z938&amp;IF($Y938&lt;=TODAY()," is due TODAY ("," is due next business day (")&amp;TEXT($Y938,"dd-mmm")&amp;").","Next: "&amp;$Z938&amp;" due "&amp;TEXT($Y938,"dd-mmm")&amp;" ("&amp;(NETWORKDAYS(TODAY(),$Y938,Holidays)-1)&amp;" business day(s) left).")))))</f>
        <v/>
      </c>
      <c r="V938" s="17">
        <f>IF($W938="","",CHOOSE($W938,"Collection Email","1st Follow-up","2nd Follow-up","Local Office","CBE","Roxanne")&amp;IF($W938=6," - Final"," - Day "&amp;MAX(0,NETWORKDAYS($X938,TODAY(),Holidays)-1)&amp;" of "&amp;CHOOSE($W938,3,3,2,2,3))&amp;" | Total Day "&amp;MAX(0,NETWORKDAYS($L938,TODAY(),Holidays)-1))</f>
        <v/>
      </c>
      <c r="W938" s="17">
        <f>IF($L938="","",COUNT($L938:$Q938))</f>
        <v/>
      </c>
      <c r="X938" s="18">
        <f>IF($W938="","",INT(INDEX($L938:$Q938,$W938)))</f>
        <v/>
      </c>
      <c r="Y938" s="18">
        <f>IF(OR($W938="",$W938=6),"",WORKDAY($X938,CHOOSE($W938,3,3,2,2,3),Holidays))</f>
        <v/>
      </c>
      <c r="Z938" s="17">
        <f>IF(OR($W938="",$W938=6),"",CHOOSE($W938,"1st Email Follow-up","2nd Email Follow-up","Escalate Local Office","Escalate to CBE","Escalate to Roxanne"))</f>
        <v/>
      </c>
    </row>
    <row r="939" spans="18:26">
      <c r="R939" s="15"/>
      <c r="S939" s="16"/>
      <c r="T939" s="17">
        <f>IF(AND(COUNTA($A939:$K939)=0,$L939=""),"",IF($S939="Paid","PAID",IF($S939="Closed","CLOSED",IF($W939="","",IF($W939=6,"ESCALATED TO ROXANNE",IF(TODAY()&gt;$Y939,"OVERDUE",IF($Y939&lt;=WORKDAY(TODAY(),1,Holidays),"DUE TOMORROW",IF($W939=4,"ESCALATED TO LOCAL OFFICE",IF($W939=5,"ESCALATED TO CBE",IF($X939=TODAY(),"EMAIL SENT","MONITORING"))))))))))</f>
        <v/>
      </c>
      <c r="U939" s="17">
        <f>IF($T939="",IF(AND(COUNTA($A939:$K939)&gt;0,$L939=""),"Awaiting Collection Email time stamp.",""),IF(OR($T939="PAID",$T939="CLOSED"),IF($T939="PAID","Account paid. Action completed.","Account closed. No further action required."),CHOOSE($W939,"Collection Email","1st Email Follow-up","2nd Email Follow-up","Escalation to Local Office","Escalation to CBE","Escalation to Roxanne")&amp;" sent "&amp;TEXT($X939,"dd-mmm")&amp;". "&amp;IF($W939=6,"Final escalation completed.",IF($T939="OVERDUE","Next: "&amp;$Z939&amp;" was due "&amp;TEXT($Y939,"dd-mmm")&amp;" - "&amp;(NETWORKDAYS($Y939,TODAY(),Holidays)-1)&amp;" business day(s) late. Send now.",IF($T939="DUE TOMORROW","Next: "&amp;$Z939&amp;IF($Y939&lt;=TODAY()," is due TODAY ("," is due next business day (")&amp;TEXT($Y939,"dd-mmm")&amp;").","Next: "&amp;$Z939&amp;" due "&amp;TEXT($Y939,"dd-mmm")&amp;" ("&amp;(NETWORKDAYS(TODAY(),$Y939,Holidays)-1)&amp;" business day(s) left).")))))</f>
        <v/>
      </c>
      <c r="V939" s="17">
        <f>IF($W939="","",CHOOSE($W939,"Collection Email","1st Follow-up","2nd Follow-up","Local Office","CBE","Roxanne")&amp;IF($W939=6," - Final"," - Day "&amp;MAX(0,NETWORKDAYS($X939,TODAY(),Holidays)-1)&amp;" of "&amp;CHOOSE($W939,3,3,2,2,3))&amp;" | Total Day "&amp;MAX(0,NETWORKDAYS($L939,TODAY(),Holidays)-1))</f>
        <v/>
      </c>
      <c r="W939" s="17">
        <f>IF($L939="","",COUNT($L939:$Q939))</f>
        <v/>
      </c>
      <c r="X939" s="18">
        <f>IF($W939="","",INT(INDEX($L939:$Q939,$W939)))</f>
        <v/>
      </c>
      <c r="Y939" s="18">
        <f>IF(OR($W939="",$W939=6),"",WORKDAY($X939,CHOOSE($W939,3,3,2,2,3),Holidays))</f>
        <v/>
      </c>
      <c r="Z939" s="17">
        <f>IF(OR($W939="",$W939=6),"",CHOOSE($W939,"1st Email Follow-up","2nd Email Follow-up","Escalate Local Office","Escalate to CBE","Escalate to Roxanne"))</f>
        <v/>
      </c>
    </row>
    <row r="940" spans="18:26">
      <c r="R940" s="15"/>
      <c r="S940" s="16"/>
      <c r="T940" s="17">
        <f>IF(AND(COUNTA($A940:$K940)=0,$L940=""),"",IF($S940="Paid","PAID",IF($S940="Closed","CLOSED",IF($W940="","",IF($W940=6,"ESCALATED TO ROXANNE",IF(TODAY()&gt;$Y940,"OVERDUE",IF($Y940&lt;=WORKDAY(TODAY(),1,Holidays),"DUE TOMORROW",IF($W940=4,"ESCALATED TO LOCAL OFFICE",IF($W940=5,"ESCALATED TO CBE",IF($X940=TODAY(),"EMAIL SENT","MONITORING"))))))))))</f>
        <v/>
      </c>
      <c r="U940" s="17">
        <f>IF($T940="",IF(AND(COUNTA($A940:$K940)&gt;0,$L940=""),"Awaiting Collection Email time stamp.",""),IF(OR($T940="PAID",$T940="CLOSED"),IF($T940="PAID","Account paid. Action completed.","Account closed. No further action required."),CHOOSE($W940,"Collection Email","1st Email Follow-up","2nd Email Follow-up","Escalation to Local Office","Escalation to CBE","Escalation to Roxanne")&amp;" sent "&amp;TEXT($X940,"dd-mmm")&amp;". "&amp;IF($W940=6,"Final escalation completed.",IF($T940="OVERDUE","Next: "&amp;$Z940&amp;" was due "&amp;TEXT($Y940,"dd-mmm")&amp;" - "&amp;(NETWORKDAYS($Y940,TODAY(),Holidays)-1)&amp;" business day(s) late. Send now.",IF($T940="DUE TOMORROW","Next: "&amp;$Z940&amp;IF($Y940&lt;=TODAY()," is due TODAY ("," is due next business day (")&amp;TEXT($Y940,"dd-mmm")&amp;").","Next: "&amp;$Z940&amp;" due "&amp;TEXT($Y940,"dd-mmm")&amp;" ("&amp;(NETWORKDAYS(TODAY(),$Y940,Holidays)-1)&amp;" business day(s) left).")))))</f>
        <v/>
      </c>
      <c r="V940" s="17">
        <f>IF($W940="","",CHOOSE($W940,"Collection Email","1st Follow-up","2nd Follow-up","Local Office","CBE","Roxanne")&amp;IF($W940=6," - Final"," - Day "&amp;MAX(0,NETWORKDAYS($X940,TODAY(),Holidays)-1)&amp;" of "&amp;CHOOSE($W940,3,3,2,2,3))&amp;" | Total Day "&amp;MAX(0,NETWORKDAYS($L940,TODAY(),Holidays)-1))</f>
        <v/>
      </c>
      <c r="W940" s="17">
        <f>IF($L940="","",COUNT($L940:$Q940))</f>
        <v/>
      </c>
      <c r="X940" s="18">
        <f>IF($W940="","",INT(INDEX($L940:$Q940,$W940)))</f>
        <v/>
      </c>
      <c r="Y940" s="18">
        <f>IF(OR($W940="",$W940=6),"",WORKDAY($X940,CHOOSE($W940,3,3,2,2,3),Holidays))</f>
        <v/>
      </c>
      <c r="Z940" s="17">
        <f>IF(OR($W940="",$W940=6),"",CHOOSE($W940,"1st Email Follow-up","2nd Email Follow-up","Escalate Local Office","Escalate to CBE","Escalate to Roxanne"))</f>
        <v/>
      </c>
    </row>
    <row r="941" spans="18:26">
      <c r="R941" s="15"/>
      <c r="S941" s="16"/>
      <c r="T941" s="17">
        <f>IF(AND(COUNTA($A941:$K941)=0,$L941=""),"",IF($S941="Paid","PAID",IF($S941="Closed","CLOSED",IF($W941="","",IF($W941=6,"ESCALATED TO ROXANNE",IF(TODAY()&gt;$Y941,"OVERDUE",IF($Y941&lt;=WORKDAY(TODAY(),1,Holidays),"DUE TOMORROW",IF($W941=4,"ESCALATED TO LOCAL OFFICE",IF($W941=5,"ESCALATED TO CBE",IF($X941=TODAY(),"EMAIL SENT","MONITORING"))))))))))</f>
        <v/>
      </c>
      <c r="U941" s="17">
        <f>IF($T941="",IF(AND(COUNTA($A941:$K941)&gt;0,$L941=""),"Awaiting Collection Email time stamp.",""),IF(OR($T941="PAID",$T941="CLOSED"),IF($T941="PAID","Account paid. Action completed.","Account closed. No further action required."),CHOOSE($W941,"Collection Email","1st Email Follow-up","2nd Email Follow-up","Escalation to Local Office","Escalation to CBE","Escalation to Roxanne")&amp;" sent "&amp;TEXT($X941,"dd-mmm")&amp;". "&amp;IF($W941=6,"Final escalation completed.",IF($T941="OVERDUE","Next: "&amp;$Z941&amp;" was due "&amp;TEXT($Y941,"dd-mmm")&amp;" - "&amp;(NETWORKDAYS($Y941,TODAY(),Holidays)-1)&amp;" business day(s) late. Send now.",IF($T941="DUE TOMORROW","Next: "&amp;$Z941&amp;IF($Y941&lt;=TODAY()," is due TODAY ("," is due next business day (")&amp;TEXT($Y941,"dd-mmm")&amp;").","Next: "&amp;$Z941&amp;" due "&amp;TEXT($Y941,"dd-mmm")&amp;" ("&amp;(NETWORKDAYS(TODAY(),$Y941,Holidays)-1)&amp;" business day(s) left).")))))</f>
        <v/>
      </c>
      <c r="V941" s="17">
        <f>IF($W941="","",CHOOSE($W941,"Collection Email","1st Follow-up","2nd Follow-up","Local Office","CBE","Roxanne")&amp;IF($W941=6," - Final"," - Day "&amp;MAX(0,NETWORKDAYS($X941,TODAY(),Holidays)-1)&amp;" of "&amp;CHOOSE($W941,3,3,2,2,3))&amp;" | Total Day "&amp;MAX(0,NETWORKDAYS($L941,TODAY(),Holidays)-1))</f>
        <v/>
      </c>
      <c r="W941" s="17">
        <f>IF($L941="","",COUNT($L941:$Q941))</f>
        <v/>
      </c>
      <c r="X941" s="18">
        <f>IF($W941="","",INT(INDEX($L941:$Q941,$W941)))</f>
        <v/>
      </c>
      <c r="Y941" s="18">
        <f>IF(OR($W941="",$W941=6),"",WORKDAY($X941,CHOOSE($W941,3,3,2,2,3),Holidays))</f>
        <v/>
      </c>
      <c r="Z941" s="17">
        <f>IF(OR($W941="",$W941=6),"",CHOOSE($W941,"1st Email Follow-up","2nd Email Follow-up","Escalate Local Office","Escalate to CBE","Escalate to Roxanne"))</f>
        <v/>
      </c>
    </row>
    <row r="942" spans="18:26">
      <c r="R942" s="15"/>
      <c r="S942" s="16"/>
      <c r="T942" s="17">
        <f>IF(AND(COUNTA($A942:$K942)=0,$L942=""),"",IF($S942="Paid","PAID",IF($S942="Closed","CLOSED",IF($W942="","",IF($W942=6,"ESCALATED TO ROXANNE",IF(TODAY()&gt;$Y942,"OVERDUE",IF($Y942&lt;=WORKDAY(TODAY(),1,Holidays),"DUE TOMORROW",IF($W942=4,"ESCALATED TO LOCAL OFFICE",IF($W942=5,"ESCALATED TO CBE",IF($X942=TODAY(),"EMAIL SENT","MONITORING"))))))))))</f>
        <v/>
      </c>
      <c r="U942" s="17">
        <f>IF($T942="",IF(AND(COUNTA($A942:$K942)&gt;0,$L942=""),"Awaiting Collection Email time stamp.",""),IF(OR($T942="PAID",$T942="CLOSED"),IF($T942="PAID","Account paid. Action completed.","Account closed. No further action required."),CHOOSE($W942,"Collection Email","1st Email Follow-up","2nd Email Follow-up","Escalation to Local Office","Escalation to CBE","Escalation to Roxanne")&amp;" sent "&amp;TEXT($X942,"dd-mmm")&amp;". "&amp;IF($W942=6,"Final escalation completed.",IF($T942="OVERDUE","Next: "&amp;$Z942&amp;" was due "&amp;TEXT($Y942,"dd-mmm")&amp;" - "&amp;(NETWORKDAYS($Y942,TODAY(),Holidays)-1)&amp;" business day(s) late. Send now.",IF($T942="DUE TOMORROW","Next: "&amp;$Z942&amp;IF($Y942&lt;=TODAY()," is due TODAY ("," is due next business day (")&amp;TEXT($Y942,"dd-mmm")&amp;").","Next: "&amp;$Z942&amp;" due "&amp;TEXT($Y942,"dd-mmm")&amp;" ("&amp;(NETWORKDAYS(TODAY(),$Y942,Holidays)-1)&amp;" business day(s) left).")))))</f>
        <v/>
      </c>
      <c r="V942" s="17">
        <f>IF($W942="","",CHOOSE($W942,"Collection Email","1st Follow-up","2nd Follow-up","Local Office","CBE","Roxanne")&amp;IF($W942=6," - Final"," - Day "&amp;MAX(0,NETWORKDAYS($X942,TODAY(),Holidays)-1)&amp;" of "&amp;CHOOSE($W942,3,3,2,2,3))&amp;" | Total Day "&amp;MAX(0,NETWORKDAYS($L942,TODAY(),Holidays)-1))</f>
        <v/>
      </c>
      <c r="W942" s="17">
        <f>IF($L942="","",COUNT($L942:$Q942))</f>
        <v/>
      </c>
      <c r="X942" s="18">
        <f>IF($W942="","",INT(INDEX($L942:$Q942,$W942)))</f>
        <v/>
      </c>
      <c r="Y942" s="18">
        <f>IF(OR($W942="",$W942=6),"",WORKDAY($X942,CHOOSE($W942,3,3,2,2,3),Holidays))</f>
        <v/>
      </c>
      <c r="Z942" s="17">
        <f>IF(OR($W942="",$W942=6),"",CHOOSE($W942,"1st Email Follow-up","2nd Email Follow-up","Escalate Local Office","Escalate to CBE","Escalate to Roxanne"))</f>
        <v/>
      </c>
    </row>
    <row r="943" spans="18:26">
      <c r="R943" s="15"/>
      <c r="S943" s="16"/>
      <c r="T943" s="17">
        <f>IF(AND(COUNTA($A943:$K943)=0,$L943=""),"",IF($S943="Paid","PAID",IF($S943="Closed","CLOSED",IF($W943="","",IF($W943=6,"ESCALATED TO ROXANNE",IF(TODAY()&gt;$Y943,"OVERDUE",IF($Y943&lt;=WORKDAY(TODAY(),1,Holidays),"DUE TOMORROW",IF($W943=4,"ESCALATED TO LOCAL OFFICE",IF($W943=5,"ESCALATED TO CBE",IF($X943=TODAY(),"EMAIL SENT","MONITORING"))))))))))</f>
        <v/>
      </c>
      <c r="U943" s="17">
        <f>IF($T943="",IF(AND(COUNTA($A943:$K943)&gt;0,$L943=""),"Awaiting Collection Email time stamp.",""),IF(OR($T943="PAID",$T943="CLOSED"),IF($T943="PAID","Account paid. Action completed.","Account closed. No further action required."),CHOOSE($W943,"Collection Email","1st Email Follow-up","2nd Email Follow-up","Escalation to Local Office","Escalation to CBE","Escalation to Roxanne")&amp;" sent "&amp;TEXT($X943,"dd-mmm")&amp;". "&amp;IF($W943=6,"Final escalation completed.",IF($T943="OVERDUE","Next: "&amp;$Z943&amp;" was due "&amp;TEXT($Y943,"dd-mmm")&amp;" - "&amp;(NETWORKDAYS($Y943,TODAY(),Holidays)-1)&amp;" business day(s) late. Send now.",IF($T943="DUE TOMORROW","Next: "&amp;$Z943&amp;IF($Y943&lt;=TODAY()," is due TODAY ("," is due next business day (")&amp;TEXT($Y943,"dd-mmm")&amp;").","Next: "&amp;$Z943&amp;" due "&amp;TEXT($Y943,"dd-mmm")&amp;" ("&amp;(NETWORKDAYS(TODAY(),$Y943,Holidays)-1)&amp;" business day(s) left).")))))</f>
        <v/>
      </c>
      <c r="V943" s="17">
        <f>IF($W943="","",CHOOSE($W943,"Collection Email","1st Follow-up","2nd Follow-up","Local Office","CBE","Roxanne")&amp;IF($W943=6," - Final"," - Day "&amp;MAX(0,NETWORKDAYS($X943,TODAY(),Holidays)-1)&amp;" of "&amp;CHOOSE($W943,3,3,2,2,3))&amp;" | Total Day "&amp;MAX(0,NETWORKDAYS($L943,TODAY(),Holidays)-1))</f>
        <v/>
      </c>
      <c r="W943" s="17">
        <f>IF($L943="","",COUNT($L943:$Q943))</f>
        <v/>
      </c>
      <c r="X943" s="18">
        <f>IF($W943="","",INT(INDEX($L943:$Q943,$W943)))</f>
        <v/>
      </c>
      <c r="Y943" s="18">
        <f>IF(OR($W943="",$W943=6),"",WORKDAY($X943,CHOOSE($W943,3,3,2,2,3),Holidays))</f>
        <v/>
      </c>
      <c r="Z943" s="17">
        <f>IF(OR($W943="",$W943=6),"",CHOOSE($W943,"1st Email Follow-up","2nd Email Follow-up","Escalate Local Office","Escalate to CBE","Escalate to Roxanne"))</f>
        <v/>
      </c>
    </row>
    <row r="944" spans="18:26">
      <c r="R944" s="15"/>
      <c r="S944" s="16"/>
      <c r="T944" s="17">
        <f>IF(AND(COUNTA($A944:$K944)=0,$L944=""),"",IF($S944="Paid","PAID",IF($S944="Closed","CLOSED",IF($W944="","",IF($W944=6,"ESCALATED TO ROXANNE",IF(TODAY()&gt;$Y944,"OVERDUE",IF($Y944&lt;=WORKDAY(TODAY(),1,Holidays),"DUE TOMORROW",IF($W944=4,"ESCALATED TO LOCAL OFFICE",IF($W944=5,"ESCALATED TO CBE",IF($X944=TODAY(),"EMAIL SENT","MONITORING"))))))))))</f>
        <v/>
      </c>
      <c r="U944" s="17">
        <f>IF($T944="",IF(AND(COUNTA($A944:$K944)&gt;0,$L944=""),"Awaiting Collection Email time stamp.",""),IF(OR($T944="PAID",$T944="CLOSED"),IF($T944="PAID","Account paid. Action completed.","Account closed. No further action required."),CHOOSE($W944,"Collection Email","1st Email Follow-up","2nd Email Follow-up","Escalation to Local Office","Escalation to CBE","Escalation to Roxanne")&amp;" sent "&amp;TEXT($X944,"dd-mmm")&amp;". "&amp;IF($W944=6,"Final escalation completed.",IF($T944="OVERDUE","Next: "&amp;$Z944&amp;" was due "&amp;TEXT($Y944,"dd-mmm")&amp;" - "&amp;(NETWORKDAYS($Y944,TODAY(),Holidays)-1)&amp;" business day(s) late. Send now.",IF($T944="DUE TOMORROW","Next: "&amp;$Z944&amp;IF($Y944&lt;=TODAY()," is due TODAY ("," is due next business day (")&amp;TEXT($Y944,"dd-mmm")&amp;").","Next: "&amp;$Z944&amp;" due "&amp;TEXT($Y944,"dd-mmm")&amp;" ("&amp;(NETWORKDAYS(TODAY(),$Y944,Holidays)-1)&amp;" business day(s) left).")))))</f>
        <v/>
      </c>
      <c r="V944" s="17">
        <f>IF($W944="","",CHOOSE($W944,"Collection Email","1st Follow-up","2nd Follow-up","Local Office","CBE","Roxanne")&amp;IF($W944=6," - Final"," - Day "&amp;MAX(0,NETWORKDAYS($X944,TODAY(),Holidays)-1)&amp;" of "&amp;CHOOSE($W944,3,3,2,2,3))&amp;" | Total Day "&amp;MAX(0,NETWORKDAYS($L944,TODAY(),Holidays)-1))</f>
        <v/>
      </c>
      <c r="W944" s="17">
        <f>IF($L944="","",COUNT($L944:$Q944))</f>
        <v/>
      </c>
      <c r="X944" s="18">
        <f>IF($W944="","",INT(INDEX($L944:$Q944,$W944)))</f>
        <v/>
      </c>
      <c r="Y944" s="18">
        <f>IF(OR($W944="",$W944=6),"",WORKDAY($X944,CHOOSE($W944,3,3,2,2,3),Holidays))</f>
        <v/>
      </c>
      <c r="Z944" s="17">
        <f>IF(OR($W944="",$W944=6),"",CHOOSE($W944,"1st Email Follow-up","2nd Email Follow-up","Escalate Local Office","Escalate to CBE","Escalate to Roxanne"))</f>
        <v/>
      </c>
    </row>
    <row r="945" spans="18:26">
      <c r="R945" s="15"/>
      <c r="S945" s="16"/>
      <c r="T945" s="17">
        <f>IF(AND(COUNTA($A945:$K945)=0,$L945=""),"",IF($S945="Paid","PAID",IF($S945="Closed","CLOSED",IF($W945="","",IF($W945=6,"ESCALATED TO ROXANNE",IF(TODAY()&gt;$Y945,"OVERDUE",IF($Y945&lt;=WORKDAY(TODAY(),1,Holidays),"DUE TOMORROW",IF($W945=4,"ESCALATED TO LOCAL OFFICE",IF($W945=5,"ESCALATED TO CBE",IF($X945=TODAY(),"EMAIL SENT","MONITORING"))))))))))</f>
        <v/>
      </c>
      <c r="U945" s="17">
        <f>IF($T945="",IF(AND(COUNTA($A945:$K945)&gt;0,$L945=""),"Awaiting Collection Email time stamp.",""),IF(OR($T945="PAID",$T945="CLOSED"),IF($T945="PAID","Account paid. Action completed.","Account closed. No further action required."),CHOOSE($W945,"Collection Email","1st Email Follow-up","2nd Email Follow-up","Escalation to Local Office","Escalation to CBE","Escalation to Roxanne")&amp;" sent "&amp;TEXT($X945,"dd-mmm")&amp;". "&amp;IF($W945=6,"Final escalation completed.",IF($T945="OVERDUE","Next: "&amp;$Z945&amp;" was due "&amp;TEXT($Y945,"dd-mmm")&amp;" - "&amp;(NETWORKDAYS($Y945,TODAY(),Holidays)-1)&amp;" business day(s) late. Send now.",IF($T945="DUE TOMORROW","Next: "&amp;$Z945&amp;IF($Y945&lt;=TODAY()," is due TODAY ("," is due next business day (")&amp;TEXT($Y945,"dd-mmm")&amp;").","Next: "&amp;$Z945&amp;" due "&amp;TEXT($Y945,"dd-mmm")&amp;" ("&amp;(NETWORKDAYS(TODAY(),$Y945,Holidays)-1)&amp;" business day(s) left).")))))</f>
        <v/>
      </c>
      <c r="V945" s="17">
        <f>IF($W945="","",CHOOSE($W945,"Collection Email","1st Follow-up","2nd Follow-up","Local Office","CBE","Roxanne")&amp;IF($W945=6," - Final"," - Day "&amp;MAX(0,NETWORKDAYS($X945,TODAY(),Holidays)-1)&amp;" of "&amp;CHOOSE($W945,3,3,2,2,3))&amp;" | Total Day "&amp;MAX(0,NETWORKDAYS($L945,TODAY(),Holidays)-1))</f>
        <v/>
      </c>
      <c r="W945" s="17">
        <f>IF($L945="","",COUNT($L945:$Q945))</f>
        <v/>
      </c>
      <c r="X945" s="18">
        <f>IF($W945="","",INT(INDEX($L945:$Q945,$W945)))</f>
        <v/>
      </c>
      <c r="Y945" s="18">
        <f>IF(OR($W945="",$W945=6),"",WORKDAY($X945,CHOOSE($W945,3,3,2,2,3),Holidays))</f>
        <v/>
      </c>
      <c r="Z945" s="17">
        <f>IF(OR($W945="",$W945=6),"",CHOOSE($W945,"1st Email Follow-up","2nd Email Follow-up","Escalate Local Office","Escalate to CBE","Escalate to Roxanne"))</f>
        <v/>
      </c>
    </row>
    <row r="946" spans="18:26">
      <c r="R946" s="15"/>
      <c r="S946" s="16"/>
      <c r="T946" s="17">
        <f>IF(AND(COUNTA($A946:$K946)=0,$L946=""),"",IF($S946="Paid","PAID",IF($S946="Closed","CLOSED",IF($W946="","",IF($W946=6,"ESCALATED TO ROXANNE",IF(TODAY()&gt;$Y946,"OVERDUE",IF($Y946&lt;=WORKDAY(TODAY(),1,Holidays),"DUE TOMORROW",IF($W946=4,"ESCALATED TO LOCAL OFFICE",IF($W946=5,"ESCALATED TO CBE",IF($X946=TODAY(),"EMAIL SENT","MONITORING"))))))))))</f>
        <v/>
      </c>
      <c r="U946" s="17">
        <f>IF($T946="",IF(AND(COUNTA($A946:$K946)&gt;0,$L946=""),"Awaiting Collection Email time stamp.",""),IF(OR($T946="PAID",$T946="CLOSED"),IF($T946="PAID","Account paid. Action completed.","Account closed. No further action required."),CHOOSE($W946,"Collection Email","1st Email Follow-up","2nd Email Follow-up","Escalation to Local Office","Escalation to CBE","Escalation to Roxanne")&amp;" sent "&amp;TEXT($X946,"dd-mmm")&amp;". "&amp;IF($W946=6,"Final escalation completed.",IF($T946="OVERDUE","Next: "&amp;$Z946&amp;" was due "&amp;TEXT($Y946,"dd-mmm")&amp;" - "&amp;(NETWORKDAYS($Y946,TODAY(),Holidays)-1)&amp;" business day(s) late. Send now.",IF($T946="DUE TOMORROW","Next: "&amp;$Z946&amp;IF($Y946&lt;=TODAY()," is due TODAY ("," is due next business day (")&amp;TEXT($Y946,"dd-mmm")&amp;").","Next: "&amp;$Z946&amp;" due "&amp;TEXT($Y946,"dd-mmm")&amp;" ("&amp;(NETWORKDAYS(TODAY(),$Y946,Holidays)-1)&amp;" business day(s) left).")))))</f>
        <v/>
      </c>
      <c r="V946" s="17">
        <f>IF($W946="","",CHOOSE($W946,"Collection Email","1st Follow-up","2nd Follow-up","Local Office","CBE","Roxanne")&amp;IF($W946=6," - Final"," - Day "&amp;MAX(0,NETWORKDAYS($X946,TODAY(),Holidays)-1)&amp;" of "&amp;CHOOSE($W946,3,3,2,2,3))&amp;" | Total Day "&amp;MAX(0,NETWORKDAYS($L946,TODAY(),Holidays)-1))</f>
        <v/>
      </c>
      <c r="W946" s="17">
        <f>IF($L946="","",COUNT($L946:$Q946))</f>
        <v/>
      </c>
      <c r="X946" s="18">
        <f>IF($W946="","",INT(INDEX($L946:$Q946,$W946)))</f>
        <v/>
      </c>
      <c r="Y946" s="18">
        <f>IF(OR($W946="",$W946=6),"",WORKDAY($X946,CHOOSE($W946,3,3,2,2,3),Holidays))</f>
        <v/>
      </c>
      <c r="Z946" s="17">
        <f>IF(OR($W946="",$W946=6),"",CHOOSE($W946,"1st Email Follow-up","2nd Email Follow-up","Escalate Local Office","Escalate to CBE","Escalate to Roxanne"))</f>
        <v/>
      </c>
    </row>
    <row r="947" spans="18:26">
      <c r="R947" s="15"/>
      <c r="S947" s="16"/>
      <c r="T947" s="17">
        <f>IF(AND(COUNTA($A947:$K947)=0,$L947=""),"",IF($S947="Paid","PAID",IF($S947="Closed","CLOSED",IF($W947="","",IF($W947=6,"ESCALATED TO ROXANNE",IF(TODAY()&gt;$Y947,"OVERDUE",IF($Y947&lt;=WORKDAY(TODAY(),1,Holidays),"DUE TOMORROW",IF($W947=4,"ESCALATED TO LOCAL OFFICE",IF($W947=5,"ESCALATED TO CBE",IF($X947=TODAY(),"EMAIL SENT","MONITORING"))))))))))</f>
        <v/>
      </c>
      <c r="U947" s="17">
        <f>IF($T947="",IF(AND(COUNTA($A947:$K947)&gt;0,$L947=""),"Awaiting Collection Email time stamp.",""),IF(OR($T947="PAID",$T947="CLOSED"),IF($T947="PAID","Account paid. Action completed.","Account closed. No further action required."),CHOOSE($W947,"Collection Email","1st Email Follow-up","2nd Email Follow-up","Escalation to Local Office","Escalation to CBE","Escalation to Roxanne")&amp;" sent "&amp;TEXT($X947,"dd-mmm")&amp;". "&amp;IF($W947=6,"Final escalation completed.",IF($T947="OVERDUE","Next: "&amp;$Z947&amp;" was due "&amp;TEXT($Y947,"dd-mmm")&amp;" - "&amp;(NETWORKDAYS($Y947,TODAY(),Holidays)-1)&amp;" business day(s) late. Send now.",IF($T947="DUE TOMORROW","Next: "&amp;$Z947&amp;IF($Y947&lt;=TODAY()," is due TODAY ("," is due next business day (")&amp;TEXT($Y947,"dd-mmm")&amp;").","Next: "&amp;$Z947&amp;" due "&amp;TEXT($Y947,"dd-mmm")&amp;" ("&amp;(NETWORKDAYS(TODAY(),$Y947,Holidays)-1)&amp;" business day(s) left).")))))</f>
        <v/>
      </c>
      <c r="V947" s="17">
        <f>IF($W947="","",CHOOSE($W947,"Collection Email","1st Follow-up","2nd Follow-up","Local Office","CBE","Roxanne")&amp;IF($W947=6," - Final"," - Day "&amp;MAX(0,NETWORKDAYS($X947,TODAY(),Holidays)-1)&amp;" of "&amp;CHOOSE($W947,3,3,2,2,3))&amp;" | Total Day "&amp;MAX(0,NETWORKDAYS($L947,TODAY(),Holidays)-1))</f>
        <v/>
      </c>
      <c r="W947" s="17">
        <f>IF($L947="","",COUNT($L947:$Q947))</f>
        <v/>
      </c>
      <c r="X947" s="18">
        <f>IF($W947="","",INT(INDEX($L947:$Q947,$W947)))</f>
        <v/>
      </c>
      <c r="Y947" s="18">
        <f>IF(OR($W947="",$W947=6),"",WORKDAY($X947,CHOOSE($W947,3,3,2,2,3),Holidays))</f>
        <v/>
      </c>
      <c r="Z947" s="17">
        <f>IF(OR($W947="",$W947=6),"",CHOOSE($W947,"1st Email Follow-up","2nd Email Follow-up","Escalate Local Office","Escalate to CBE","Escalate to Roxanne"))</f>
        <v/>
      </c>
    </row>
    <row r="948" spans="18:26">
      <c r="R948" s="15"/>
      <c r="S948" s="16"/>
      <c r="T948" s="17">
        <f>IF(AND(COUNTA($A948:$K948)=0,$L948=""),"",IF($S948="Paid","PAID",IF($S948="Closed","CLOSED",IF($W948="","",IF($W948=6,"ESCALATED TO ROXANNE",IF(TODAY()&gt;$Y948,"OVERDUE",IF($Y948&lt;=WORKDAY(TODAY(),1,Holidays),"DUE TOMORROW",IF($W948=4,"ESCALATED TO LOCAL OFFICE",IF($W948=5,"ESCALATED TO CBE",IF($X948=TODAY(),"EMAIL SENT","MONITORING"))))))))))</f>
        <v/>
      </c>
      <c r="U948" s="17">
        <f>IF($T948="",IF(AND(COUNTA($A948:$K948)&gt;0,$L948=""),"Awaiting Collection Email time stamp.",""),IF(OR($T948="PAID",$T948="CLOSED"),IF($T948="PAID","Account paid. Action completed.","Account closed. No further action required."),CHOOSE($W948,"Collection Email","1st Email Follow-up","2nd Email Follow-up","Escalation to Local Office","Escalation to CBE","Escalation to Roxanne")&amp;" sent "&amp;TEXT($X948,"dd-mmm")&amp;". "&amp;IF($W948=6,"Final escalation completed.",IF($T948="OVERDUE","Next: "&amp;$Z948&amp;" was due "&amp;TEXT($Y948,"dd-mmm")&amp;" - "&amp;(NETWORKDAYS($Y948,TODAY(),Holidays)-1)&amp;" business day(s) late. Send now.",IF($T948="DUE TOMORROW","Next: "&amp;$Z948&amp;IF($Y948&lt;=TODAY()," is due TODAY ("," is due next business day (")&amp;TEXT($Y948,"dd-mmm")&amp;").","Next: "&amp;$Z948&amp;" due "&amp;TEXT($Y948,"dd-mmm")&amp;" ("&amp;(NETWORKDAYS(TODAY(),$Y948,Holidays)-1)&amp;" business day(s) left).")))))</f>
        <v/>
      </c>
      <c r="V948" s="17">
        <f>IF($W948="","",CHOOSE($W948,"Collection Email","1st Follow-up","2nd Follow-up","Local Office","CBE","Roxanne")&amp;IF($W948=6," - Final"," - Day "&amp;MAX(0,NETWORKDAYS($X948,TODAY(),Holidays)-1)&amp;" of "&amp;CHOOSE($W948,3,3,2,2,3))&amp;" | Total Day "&amp;MAX(0,NETWORKDAYS($L948,TODAY(),Holidays)-1))</f>
        <v/>
      </c>
      <c r="W948" s="17">
        <f>IF($L948="","",COUNT($L948:$Q948))</f>
        <v/>
      </c>
      <c r="X948" s="18">
        <f>IF($W948="","",INT(INDEX($L948:$Q948,$W948)))</f>
        <v/>
      </c>
      <c r="Y948" s="18">
        <f>IF(OR($W948="",$W948=6),"",WORKDAY($X948,CHOOSE($W948,3,3,2,2,3),Holidays))</f>
        <v/>
      </c>
      <c r="Z948" s="17">
        <f>IF(OR($W948="",$W948=6),"",CHOOSE($W948,"1st Email Follow-up","2nd Email Follow-up","Escalate Local Office","Escalate to CBE","Escalate to Roxanne"))</f>
        <v/>
      </c>
    </row>
    <row r="949" spans="18:26">
      <c r="R949" s="15"/>
      <c r="S949" s="16"/>
      <c r="T949" s="17">
        <f>IF(AND(COUNTA($A949:$K949)=0,$L949=""),"",IF($S949="Paid","PAID",IF($S949="Closed","CLOSED",IF($W949="","",IF($W949=6,"ESCALATED TO ROXANNE",IF(TODAY()&gt;$Y949,"OVERDUE",IF($Y949&lt;=WORKDAY(TODAY(),1,Holidays),"DUE TOMORROW",IF($W949=4,"ESCALATED TO LOCAL OFFICE",IF($W949=5,"ESCALATED TO CBE",IF($X949=TODAY(),"EMAIL SENT","MONITORING"))))))))))</f>
        <v/>
      </c>
      <c r="U949" s="17">
        <f>IF($T949="",IF(AND(COUNTA($A949:$K949)&gt;0,$L949=""),"Awaiting Collection Email time stamp.",""),IF(OR($T949="PAID",$T949="CLOSED"),IF($T949="PAID","Account paid. Action completed.","Account closed. No further action required."),CHOOSE($W949,"Collection Email","1st Email Follow-up","2nd Email Follow-up","Escalation to Local Office","Escalation to CBE","Escalation to Roxanne")&amp;" sent "&amp;TEXT($X949,"dd-mmm")&amp;". "&amp;IF($W949=6,"Final escalation completed.",IF($T949="OVERDUE","Next: "&amp;$Z949&amp;" was due "&amp;TEXT($Y949,"dd-mmm")&amp;" - "&amp;(NETWORKDAYS($Y949,TODAY(),Holidays)-1)&amp;" business day(s) late. Send now.",IF($T949="DUE TOMORROW","Next: "&amp;$Z949&amp;IF($Y949&lt;=TODAY()," is due TODAY ("," is due next business day (")&amp;TEXT($Y949,"dd-mmm")&amp;").","Next: "&amp;$Z949&amp;" due "&amp;TEXT($Y949,"dd-mmm")&amp;" ("&amp;(NETWORKDAYS(TODAY(),$Y949,Holidays)-1)&amp;" business day(s) left).")))))</f>
        <v/>
      </c>
      <c r="V949" s="17">
        <f>IF($W949="","",CHOOSE($W949,"Collection Email","1st Follow-up","2nd Follow-up","Local Office","CBE","Roxanne")&amp;IF($W949=6," - Final"," - Day "&amp;MAX(0,NETWORKDAYS($X949,TODAY(),Holidays)-1)&amp;" of "&amp;CHOOSE($W949,3,3,2,2,3))&amp;" | Total Day "&amp;MAX(0,NETWORKDAYS($L949,TODAY(),Holidays)-1))</f>
        <v/>
      </c>
      <c r="W949" s="17">
        <f>IF($L949="","",COUNT($L949:$Q949))</f>
        <v/>
      </c>
      <c r="X949" s="18">
        <f>IF($W949="","",INT(INDEX($L949:$Q949,$W949)))</f>
        <v/>
      </c>
      <c r="Y949" s="18">
        <f>IF(OR($W949="",$W949=6),"",WORKDAY($X949,CHOOSE($W949,3,3,2,2,3),Holidays))</f>
        <v/>
      </c>
      <c r="Z949" s="17">
        <f>IF(OR($W949="",$W949=6),"",CHOOSE($W949,"1st Email Follow-up","2nd Email Follow-up","Escalate Local Office","Escalate to CBE","Escalate to Roxanne"))</f>
        <v/>
      </c>
    </row>
    <row r="950" spans="18:26">
      <c r="R950" s="15"/>
      <c r="S950" s="16"/>
      <c r="T950" s="17">
        <f>IF(AND(COUNTA($A950:$K950)=0,$L950=""),"",IF($S950="Paid","PAID",IF($S950="Closed","CLOSED",IF($W950="","",IF($W950=6,"ESCALATED TO ROXANNE",IF(TODAY()&gt;$Y950,"OVERDUE",IF($Y950&lt;=WORKDAY(TODAY(),1,Holidays),"DUE TOMORROW",IF($W950=4,"ESCALATED TO LOCAL OFFICE",IF($W950=5,"ESCALATED TO CBE",IF($X950=TODAY(),"EMAIL SENT","MONITORING"))))))))))</f>
        <v/>
      </c>
      <c r="U950" s="17">
        <f>IF($T950="",IF(AND(COUNTA($A950:$K950)&gt;0,$L950=""),"Awaiting Collection Email time stamp.",""),IF(OR($T950="PAID",$T950="CLOSED"),IF($T950="PAID","Account paid. Action completed.","Account closed. No further action required."),CHOOSE($W950,"Collection Email","1st Email Follow-up","2nd Email Follow-up","Escalation to Local Office","Escalation to CBE","Escalation to Roxanne")&amp;" sent "&amp;TEXT($X950,"dd-mmm")&amp;". "&amp;IF($W950=6,"Final escalation completed.",IF($T950="OVERDUE","Next: "&amp;$Z950&amp;" was due "&amp;TEXT($Y950,"dd-mmm")&amp;" - "&amp;(NETWORKDAYS($Y950,TODAY(),Holidays)-1)&amp;" business day(s) late. Send now.",IF($T950="DUE TOMORROW","Next: "&amp;$Z950&amp;IF($Y950&lt;=TODAY()," is due TODAY ("," is due next business day (")&amp;TEXT($Y950,"dd-mmm")&amp;").","Next: "&amp;$Z950&amp;" due "&amp;TEXT($Y950,"dd-mmm")&amp;" ("&amp;(NETWORKDAYS(TODAY(),$Y950,Holidays)-1)&amp;" business day(s) left).")))))</f>
        <v/>
      </c>
      <c r="V950" s="17">
        <f>IF($W950="","",CHOOSE($W950,"Collection Email","1st Follow-up","2nd Follow-up","Local Office","CBE","Roxanne")&amp;IF($W950=6," - Final"," - Day "&amp;MAX(0,NETWORKDAYS($X950,TODAY(),Holidays)-1)&amp;" of "&amp;CHOOSE($W950,3,3,2,2,3))&amp;" | Total Day "&amp;MAX(0,NETWORKDAYS($L950,TODAY(),Holidays)-1))</f>
        <v/>
      </c>
      <c r="W950" s="17">
        <f>IF($L950="","",COUNT($L950:$Q950))</f>
        <v/>
      </c>
      <c r="X950" s="18">
        <f>IF($W950="","",INT(INDEX($L950:$Q950,$W950)))</f>
        <v/>
      </c>
      <c r="Y950" s="18">
        <f>IF(OR($W950="",$W950=6),"",WORKDAY($X950,CHOOSE($W950,3,3,2,2,3),Holidays))</f>
        <v/>
      </c>
      <c r="Z950" s="17">
        <f>IF(OR($W950="",$W950=6),"",CHOOSE($W950,"1st Email Follow-up","2nd Email Follow-up","Escalate Local Office","Escalate to CBE","Escalate to Roxanne"))</f>
        <v/>
      </c>
    </row>
    <row r="951" spans="18:26">
      <c r="R951" s="15"/>
      <c r="S951" s="16"/>
      <c r="T951" s="17">
        <f>IF(AND(COUNTA($A951:$K951)=0,$L951=""),"",IF($S951="Paid","PAID",IF($S951="Closed","CLOSED",IF($W951="","",IF($W951=6,"ESCALATED TO ROXANNE",IF(TODAY()&gt;$Y951,"OVERDUE",IF($Y951&lt;=WORKDAY(TODAY(),1,Holidays),"DUE TOMORROW",IF($W951=4,"ESCALATED TO LOCAL OFFICE",IF($W951=5,"ESCALATED TO CBE",IF($X951=TODAY(),"EMAIL SENT","MONITORING"))))))))))</f>
        <v/>
      </c>
      <c r="U951" s="17">
        <f>IF($T951="",IF(AND(COUNTA($A951:$K951)&gt;0,$L951=""),"Awaiting Collection Email time stamp.",""),IF(OR($T951="PAID",$T951="CLOSED"),IF($T951="PAID","Account paid. Action completed.","Account closed. No further action required."),CHOOSE($W951,"Collection Email","1st Email Follow-up","2nd Email Follow-up","Escalation to Local Office","Escalation to CBE","Escalation to Roxanne")&amp;" sent "&amp;TEXT($X951,"dd-mmm")&amp;". "&amp;IF($W951=6,"Final escalation completed.",IF($T951="OVERDUE","Next: "&amp;$Z951&amp;" was due "&amp;TEXT($Y951,"dd-mmm")&amp;" - "&amp;(NETWORKDAYS($Y951,TODAY(),Holidays)-1)&amp;" business day(s) late. Send now.",IF($T951="DUE TOMORROW","Next: "&amp;$Z951&amp;IF($Y951&lt;=TODAY()," is due TODAY ("," is due next business day (")&amp;TEXT($Y951,"dd-mmm")&amp;").","Next: "&amp;$Z951&amp;" due "&amp;TEXT($Y951,"dd-mmm")&amp;" ("&amp;(NETWORKDAYS(TODAY(),$Y951,Holidays)-1)&amp;" business day(s) left).")))))</f>
        <v/>
      </c>
      <c r="V951" s="17">
        <f>IF($W951="","",CHOOSE($W951,"Collection Email","1st Follow-up","2nd Follow-up","Local Office","CBE","Roxanne")&amp;IF($W951=6," - Final"," - Day "&amp;MAX(0,NETWORKDAYS($X951,TODAY(),Holidays)-1)&amp;" of "&amp;CHOOSE($W951,3,3,2,2,3))&amp;" | Total Day "&amp;MAX(0,NETWORKDAYS($L951,TODAY(),Holidays)-1))</f>
        <v/>
      </c>
      <c r="W951" s="17">
        <f>IF($L951="","",COUNT($L951:$Q951))</f>
        <v/>
      </c>
      <c r="X951" s="18">
        <f>IF($W951="","",INT(INDEX($L951:$Q951,$W951)))</f>
        <v/>
      </c>
      <c r="Y951" s="18">
        <f>IF(OR($W951="",$W951=6),"",WORKDAY($X951,CHOOSE($W951,3,3,2,2,3),Holidays))</f>
        <v/>
      </c>
      <c r="Z951" s="17">
        <f>IF(OR($W951="",$W951=6),"",CHOOSE($W951,"1st Email Follow-up","2nd Email Follow-up","Escalate Local Office","Escalate to CBE","Escalate to Roxanne"))</f>
        <v/>
      </c>
    </row>
    <row r="952" spans="18:26">
      <c r="R952" s="15"/>
      <c r="S952" s="16"/>
      <c r="T952" s="17">
        <f>IF(AND(COUNTA($A952:$K952)=0,$L952=""),"",IF($S952="Paid","PAID",IF($S952="Closed","CLOSED",IF($W952="","",IF($W952=6,"ESCALATED TO ROXANNE",IF(TODAY()&gt;$Y952,"OVERDUE",IF($Y952&lt;=WORKDAY(TODAY(),1,Holidays),"DUE TOMORROW",IF($W952=4,"ESCALATED TO LOCAL OFFICE",IF($W952=5,"ESCALATED TO CBE",IF($X952=TODAY(),"EMAIL SENT","MONITORING"))))))))))</f>
        <v/>
      </c>
      <c r="U952" s="17">
        <f>IF($T952="",IF(AND(COUNTA($A952:$K952)&gt;0,$L952=""),"Awaiting Collection Email time stamp.",""),IF(OR($T952="PAID",$T952="CLOSED"),IF($T952="PAID","Account paid. Action completed.","Account closed. No further action required."),CHOOSE($W952,"Collection Email","1st Email Follow-up","2nd Email Follow-up","Escalation to Local Office","Escalation to CBE","Escalation to Roxanne")&amp;" sent "&amp;TEXT($X952,"dd-mmm")&amp;". "&amp;IF($W952=6,"Final escalation completed.",IF($T952="OVERDUE","Next: "&amp;$Z952&amp;" was due "&amp;TEXT($Y952,"dd-mmm")&amp;" - "&amp;(NETWORKDAYS($Y952,TODAY(),Holidays)-1)&amp;" business day(s) late. Send now.",IF($T952="DUE TOMORROW","Next: "&amp;$Z952&amp;IF($Y952&lt;=TODAY()," is due TODAY ("," is due next business day (")&amp;TEXT($Y952,"dd-mmm")&amp;").","Next: "&amp;$Z952&amp;" due "&amp;TEXT($Y952,"dd-mmm")&amp;" ("&amp;(NETWORKDAYS(TODAY(),$Y952,Holidays)-1)&amp;" business day(s) left).")))))</f>
        <v/>
      </c>
      <c r="V952" s="17">
        <f>IF($W952="","",CHOOSE($W952,"Collection Email","1st Follow-up","2nd Follow-up","Local Office","CBE","Roxanne")&amp;IF($W952=6," - Final"," - Day "&amp;MAX(0,NETWORKDAYS($X952,TODAY(),Holidays)-1)&amp;" of "&amp;CHOOSE($W952,3,3,2,2,3))&amp;" | Total Day "&amp;MAX(0,NETWORKDAYS($L952,TODAY(),Holidays)-1))</f>
        <v/>
      </c>
      <c r="W952" s="17">
        <f>IF($L952="","",COUNT($L952:$Q952))</f>
        <v/>
      </c>
      <c r="X952" s="18">
        <f>IF($W952="","",INT(INDEX($L952:$Q952,$W952)))</f>
        <v/>
      </c>
      <c r="Y952" s="18">
        <f>IF(OR($W952="",$W952=6),"",WORKDAY($X952,CHOOSE($W952,3,3,2,2,3),Holidays))</f>
        <v/>
      </c>
      <c r="Z952" s="17">
        <f>IF(OR($W952="",$W952=6),"",CHOOSE($W952,"1st Email Follow-up","2nd Email Follow-up","Escalate Local Office","Escalate to CBE","Escalate to Roxanne"))</f>
        <v/>
      </c>
    </row>
    <row r="953" spans="18:26">
      <c r="R953" s="15"/>
      <c r="S953" s="16"/>
      <c r="T953" s="17">
        <f>IF(AND(COUNTA($A953:$K953)=0,$L953=""),"",IF($S953="Paid","PAID",IF($S953="Closed","CLOSED",IF($W953="","",IF($W953=6,"ESCALATED TO ROXANNE",IF(TODAY()&gt;$Y953,"OVERDUE",IF($Y953&lt;=WORKDAY(TODAY(),1,Holidays),"DUE TOMORROW",IF($W953=4,"ESCALATED TO LOCAL OFFICE",IF($W953=5,"ESCALATED TO CBE",IF($X953=TODAY(),"EMAIL SENT","MONITORING"))))))))))</f>
        <v/>
      </c>
      <c r="U953" s="17">
        <f>IF($T953="",IF(AND(COUNTA($A953:$K953)&gt;0,$L953=""),"Awaiting Collection Email time stamp.",""),IF(OR($T953="PAID",$T953="CLOSED"),IF($T953="PAID","Account paid. Action completed.","Account closed. No further action required."),CHOOSE($W953,"Collection Email","1st Email Follow-up","2nd Email Follow-up","Escalation to Local Office","Escalation to CBE","Escalation to Roxanne")&amp;" sent "&amp;TEXT($X953,"dd-mmm")&amp;". "&amp;IF($W953=6,"Final escalation completed.",IF($T953="OVERDUE","Next: "&amp;$Z953&amp;" was due "&amp;TEXT($Y953,"dd-mmm")&amp;" - "&amp;(NETWORKDAYS($Y953,TODAY(),Holidays)-1)&amp;" business day(s) late. Send now.",IF($T953="DUE TOMORROW","Next: "&amp;$Z953&amp;IF($Y953&lt;=TODAY()," is due TODAY ("," is due next business day (")&amp;TEXT($Y953,"dd-mmm")&amp;").","Next: "&amp;$Z953&amp;" due "&amp;TEXT($Y953,"dd-mmm")&amp;" ("&amp;(NETWORKDAYS(TODAY(),$Y953,Holidays)-1)&amp;" business day(s) left).")))))</f>
        <v/>
      </c>
      <c r="V953" s="17">
        <f>IF($W953="","",CHOOSE($W953,"Collection Email","1st Follow-up","2nd Follow-up","Local Office","CBE","Roxanne")&amp;IF($W953=6," - Final"," - Day "&amp;MAX(0,NETWORKDAYS($X953,TODAY(),Holidays)-1)&amp;" of "&amp;CHOOSE($W953,3,3,2,2,3))&amp;" | Total Day "&amp;MAX(0,NETWORKDAYS($L953,TODAY(),Holidays)-1))</f>
        <v/>
      </c>
      <c r="W953" s="17">
        <f>IF($L953="","",COUNT($L953:$Q953))</f>
        <v/>
      </c>
      <c r="X953" s="18">
        <f>IF($W953="","",INT(INDEX($L953:$Q953,$W953)))</f>
        <v/>
      </c>
      <c r="Y953" s="18">
        <f>IF(OR($W953="",$W953=6),"",WORKDAY($X953,CHOOSE($W953,3,3,2,2,3),Holidays))</f>
        <v/>
      </c>
      <c r="Z953" s="17">
        <f>IF(OR($W953="",$W953=6),"",CHOOSE($W953,"1st Email Follow-up","2nd Email Follow-up","Escalate Local Office","Escalate to CBE","Escalate to Roxanne"))</f>
        <v/>
      </c>
    </row>
    <row r="954" spans="18:26">
      <c r="R954" s="15"/>
      <c r="S954" s="16"/>
      <c r="T954" s="17">
        <f>IF(AND(COUNTA($A954:$K954)=0,$L954=""),"",IF($S954="Paid","PAID",IF($S954="Closed","CLOSED",IF($W954="","",IF($W954=6,"ESCALATED TO ROXANNE",IF(TODAY()&gt;$Y954,"OVERDUE",IF($Y954&lt;=WORKDAY(TODAY(),1,Holidays),"DUE TOMORROW",IF($W954=4,"ESCALATED TO LOCAL OFFICE",IF($W954=5,"ESCALATED TO CBE",IF($X954=TODAY(),"EMAIL SENT","MONITORING"))))))))))</f>
        <v/>
      </c>
      <c r="U954" s="17">
        <f>IF($T954="",IF(AND(COUNTA($A954:$K954)&gt;0,$L954=""),"Awaiting Collection Email time stamp.",""),IF(OR($T954="PAID",$T954="CLOSED"),IF($T954="PAID","Account paid. Action completed.","Account closed. No further action required."),CHOOSE($W954,"Collection Email","1st Email Follow-up","2nd Email Follow-up","Escalation to Local Office","Escalation to CBE","Escalation to Roxanne")&amp;" sent "&amp;TEXT($X954,"dd-mmm")&amp;". "&amp;IF($W954=6,"Final escalation completed.",IF($T954="OVERDUE","Next: "&amp;$Z954&amp;" was due "&amp;TEXT($Y954,"dd-mmm")&amp;" - "&amp;(NETWORKDAYS($Y954,TODAY(),Holidays)-1)&amp;" business day(s) late. Send now.",IF($T954="DUE TOMORROW","Next: "&amp;$Z954&amp;IF($Y954&lt;=TODAY()," is due TODAY ("," is due next business day (")&amp;TEXT($Y954,"dd-mmm")&amp;").","Next: "&amp;$Z954&amp;" due "&amp;TEXT($Y954,"dd-mmm")&amp;" ("&amp;(NETWORKDAYS(TODAY(),$Y954,Holidays)-1)&amp;" business day(s) left).")))))</f>
        <v/>
      </c>
      <c r="V954" s="17">
        <f>IF($W954="","",CHOOSE($W954,"Collection Email","1st Follow-up","2nd Follow-up","Local Office","CBE","Roxanne")&amp;IF($W954=6," - Final"," - Day "&amp;MAX(0,NETWORKDAYS($X954,TODAY(),Holidays)-1)&amp;" of "&amp;CHOOSE($W954,3,3,2,2,3))&amp;" | Total Day "&amp;MAX(0,NETWORKDAYS($L954,TODAY(),Holidays)-1))</f>
        <v/>
      </c>
      <c r="W954" s="17">
        <f>IF($L954="","",COUNT($L954:$Q954))</f>
        <v/>
      </c>
      <c r="X954" s="18">
        <f>IF($W954="","",INT(INDEX($L954:$Q954,$W954)))</f>
        <v/>
      </c>
      <c r="Y954" s="18">
        <f>IF(OR($W954="",$W954=6),"",WORKDAY($X954,CHOOSE($W954,3,3,2,2,3),Holidays))</f>
        <v/>
      </c>
      <c r="Z954" s="17">
        <f>IF(OR($W954="",$W954=6),"",CHOOSE($W954,"1st Email Follow-up","2nd Email Follow-up","Escalate Local Office","Escalate to CBE","Escalate to Roxanne"))</f>
        <v/>
      </c>
    </row>
    <row r="955" spans="18:26">
      <c r="R955" s="15"/>
      <c r="S955" s="16"/>
      <c r="T955" s="17">
        <f>IF(AND(COUNTA($A955:$K955)=0,$L955=""),"",IF($S955="Paid","PAID",IF($S955="Closed","CLOSED",IF($W955="","",IF($W955=6,"ESCALATED TO ROXANNE",IF(TODAY()&gt;$Y955,"OVERDUE",IF($Y955&lt;=WORKDAY(TODAY(),1,Holidays),"DUE TOMORROW",IF($W955=4,"ESCALATED TO LOCAL OFFICE",IF($W955=5,"ESCALATED TO CBE",IF($X955=TODAY(),"EMAIL SENT","MONITORING"))))))))))</f>
        <v/>
      </c>
      <c r="U955" s="17">
        <f>IF($T955="",IF(AND(COUNTA($A955:$K955)&gt;0,$L955=""),"Awaiting Collection Email time stamp.",""),IF(OR($T955="PAID",$T955="CLOSED"),IF($T955="PAID","Account paid. Action completed.","Account closed. No further action required."),CHOOSE($W955,"Collection Email","1st Email Follow-up","2nd Email Follow-up","Escalation to Local Office","Escalation to CBE","Escalation to Roxanne")&amp;" sent "&amp;TEXT($X955,"dd-mmm")&amp;". "&amp;IF($W955=6,"Final escalation completed.",IF($T955="OVERDUE","Next: "&amp;$Z955&amp;" was due "&amp;TEXT($Y955,"dd-mmm")&amp;" - "&amp;(NETWORKDAYS($Y955,TODAY(),Holidays)-1)&amp;" business day(s) late. Send now.",IF($T955="DUE TOMORROW","Next: "&amp;$Z955&amp;IF($Y955&lt;=TODAY()," is due TODAY ("," is due next business day (")&amp;TEXT($Y955,"dd-mmm")&amp;").","Next: "&amp;$Z955&amp;" due "&amp;TEXT($Y955,"dd-mmm")&amp;" ("&amp;(NETWORKDAYS(TODAY(),$Y955,Holidays)-1)&amp;" business day(s) left).")))))</f>
        <v/>
      </c>
      <c r="V955" s="17">
        <f>IF($W955="","",CHOOSE($W955,"Collection Email","1st Follow-up","2nd Follow-up","Local Office","CBE","Roxanne")&amp;IF($W955=6," - Final"," - Day "&amp;MAX(0,NETWORKDAYS($X955,TODAY(),Holidays)-1)&amp;" of "&amp;CHOOSE($W955,3,3,2,2,3))&amp;" | Total Day "&amp;MAX(0,NETWORKDAYS($L955,TODAY(),Holidays)-1))</f>
        <v/>
      </c>
      <c r="W955" s="17">
        <f>IF($L955="","",COUNT($L955:$Q955))</f>
        <v/>
      </c>
      <c r="X955" s="18">
        <f>IF($W955="","",INT(INDEX($L955:$Q955,$W955)))</f>
        <v/>
      </c>
      <c r="Y955" s="18">
        <f>IF(OR($W955="",$W955=6),"",WORKDAY($X955,CHOOSE($W955,3,3,2,2,3),Holidays))</f>
        <v/>
      </c>
      <c r="Z955" s="17">
        <f>IF(OR($W955="",$W955=6),"",CHOOSE($W955,"1st Email Follow-up","2nd Email Follow-up","Escalate Local Office","Escalate to CBE","Escalate to Roxanne"))</f>
        <v/>
      </c>
    </row>
    <row r="956" spans="18:26">
      <c r="R956" s="15"/>
      <c r="S956" s="16"/>
      <c r="T956" s="17">
        <f>IF(AND(COUNTA($A956:$K956)=0,$L956=""),"",IF($S956="Paid","PAID",IF($S956="Closed","CLOSED",IF($W956="","",IF($W956=6,"ESCALATED TO ROXANNE",IF(TODAY()&gt;$Y956,"OVERDUE",IF($Y956&lt;=WORKDAY(TODAY(),1,Holidays),"DUE TOMORROW",IF($W956=4,"ESCALATED TO LOCAL OFFICE",IF($W956=5,"ESCALATED TO CBE",IF($X956=TODAY(),"EMAIL SENT","MONITORING"))))))))))</f>
        <v/>
      </c>
      <c r="U956" s="17">
        <f>IF($T956="",IF(AND(COUNTA($A956:$K956)&gt;0,$L956=""),"Awaiting Collection Email time stamp.",""),IF(OR($T956="PAID",$T956="CLOSED"),IF($T956="PAID","Account paid. Action completed.","Account closed. No further action required."),CHOOSE($W956,"Collection Email","1st Email Follow-up","2nd Email Follow-up","Escalation to Local Office","Escalation to CBE","Escalation to Roxanne")&amp;" sent "&amp;TEXT($X956,"dd-mmm")&amp;". "&amp;IF($W956=6,"Final escalation completed.",IF($T956="OVERDUE","Next: "&amp;$Z956&amp;" was due "&amp;TEXT($Y956,"dd-mmm")&amp;" - "&amp;(NETWORKDAYS($Y956,TODAY(),Holidays)-1)&amp;" business day(s) late. Send now.",IF($T956="DUE TOMORROW","Next: "&amp;$Z956&amp;IF($Y956&lt;=TODAY()," is due TODAY ("," is due next business day (")&amp;TEXT($Y956,"dd-mmm")&amp;").","Next: "&amp;$Z956&amp;" due "&amp;TEXT($Y956,"dd-mmm")&amp;" ("&amp;(NETWORKDAYS(TODAY(),$Y956,Holidays)-1)&amp;" business day(s) left).")))))</f>
        <v/>
      </c>
      <c r="V956" s="17">
        <f>IF($W956="","",CHOOSE($W956,"Collection Email","1st Follow-up","2nd Follow-up","Local Office","CBE","Roxanne")&amp;IF($W956=6," - Final"," - Day "&amp;MAX(0,NETWORKDAYS($X956,TODAY(),Holidays)-1)&amp;" of "&amp;CHOOSE($W956,3,3,2,2,3))&amp;" | Total Day "&amp;MAX(0,NETWORKDAYS($L956,TODAY(),Holidays)-1))</f>
        <v/>
      </c>
      <c r="W956" s="17">
        <f>IF($L956="","",COUNT($L956:$Q956))</f>
        <v/>
      </c>
      <c r="X956" s="18">
        <f>IF($W956="","",INT(INDEX($L956:$Q956,$W956)))</f>
        <v/>
      </c>
      <c r="Y956" s="18">
        <f>IF(OR($W956="",$W956=6),"",WORKDAY($X956,CHOOSE($W956,3,3,2,2,3),Holidays))</f>
        <v/>
      </c>
      <c r="Z956" s="17">
        <f>IF(OR($W956="",$W956=6),"",CHOOSE($W956,"1st Email Follow-up","2nd Email Follow-up","Escalate Local Office","Escalate to CBE","Escalate to Roxanne"))</f>
        <v/>
      </c>
    </row>
    <row r="957" spans="18:26">
      <c r="R957" s="15"/>
      <c r="S957" s="16"/>
      <c r="T957" s="17">
        <f>IF(AND(COUNTA($A957:$K957)=0,$L957=""),"",IF($S957="Paid","PAID",IF($S957="Closed","CLOSED",IF($W957="","",IF($W957=6,"ESCALATED TO ROXANNE",IF(TODAY()&gt;$Y957,"OVERDUE",IF($Y957&lt;=WORKDAY(TODAY(),1,Holidays),"DUE TOMORROW",IF($W957=4,"ESCALATED TO LOCAL OFFICE",IF($W957=5,"ESCALATED TO CBE",IF($X957=TODAY(),"EMAIL SENT","MONITORING"))))))))))</f>
        <v/>
      </c>
      <c r="U957" s="17">
        <f>IF($T957="",IF(AND(COUNTA($A957:$K957)&gt;0,$L957=""),"Awaiting Collection Email time stamp.",""),IF(OR($T957="PAID",$T957="CLOSED"),IF($T957="PAID","Account paid. Action completed.","Account closed. No further action required."),CHOOSE($W957,"Collection Email","1st Email Follow-up","2nd Email Follow-up","Escalation to Local Office","Escalation to CBE","Escalation to Roxanne")&amp;" sent "&amp;TEXT($X957,"dd-mmm")&amp;". "&amp;IF($W957=6,"Final escalation completed.",IF($T957="OVERDUE","Next: "&amp;$Z957&amp;" was due "&amp;TEXT($Y957,"dd-mmm")&amp;" - "&amp;(NETWORKDAYS($Y957,TODAY(),Holidays)-1)&amp;" business day(s) late. Send now.",IF($T957="DUE TOMORROW","Next: "&amp;$Z957&amp;IF($Y957&lt;=TODAY()," is due TODAY ("," is due next business day (")&amp;TEXT($Y957,"dd-mmm")&amp;").","Next: "&amp;$Z957&amp;" due "&amp;TEXT($Y957,"dd-mmm")&amp;" ("&amp;(NETWORKDAYS(TODAY(),$Y957,Holidays)-1)&amp;" business day(s) left).")))))</f>
        <v/>
      </c>
      <c r="V957" s="17">
        <f>IF($W957="","",CHOOSE($W957,"Collection Email","1st Follow-up","2nd Follow-up","Local Office","CBE","Roxanne")&amp;IF($W957=6," - Final"," - Day "&amp;MAX(0,NETWORKDAYS($X957,TODAY(),Holidays)-1)&amp;" of "&amp;CHOOSE($W957,3,3,2,2,3))&amp;" | Total Day "&amp;MAX(0,NETWORKDAYS($L957,TODAY(),Holidays)-1))</f>
        <v/>
      </c>
      <c r="W957" s="17">
        <f>IF($L957="","",COUNT($L957:$Q957))</f>
        <v/>
      </c>
      <c r="X957" s="18">
        <f>IF($W957="","",INT(INDEX($L957:$Q957,$W957)))</f>
        <v/>
      </c>
      <c r="Y957" s="18">
        <f>IF(OR($W957="",$W957=6),"",WORKDAY($X957,CHOOSE($W957,3,3,2,2,3),Holidays))</f>
        <v/>
      </c>
      <c r="Z957" s="17">
        <f>IF(OR($W957="",$W957=6),"",CHOOSE($W957,"1st Email Follow-up","2nd Email Follow-up","Escalate Local Office","Escalate to CBE","Escalate to Roxanne"))</f>
        <v/>
      </c>
    </row>
    <row r="958" spans="18:26">
      <c r="R958" s="15"/>
      <c r="S958" s="16"/>
      <c r="T958" s="17">
        <f>IF(AND(COUNTA($A958:$K958)=0,$L958=""),"",IF($S958="Paid","PAID",IF($S958="Closed","CLOSED",IF($W958="","",IF($W958=6,"ESCALATED TO ROXANNE",IF(TODAY()&gt;$Y958,"OVERDUE",IF($Y958&lt;=WORKDAY(TODAY(),1,Holidays),"DUE TOMORROW",IF($W958=4,"ESCALATED TO LOCAL OFFICE",IF($W958=5,"ESCALATED TO CBE",IF($X958=TODAY(),"EMAIL SENT","MONITORING"))))))))))</f>
        <v/>
      </c>
      <c r="U958" s="17">
        <f>IF($T958="",IF(AND(COUNTA($A958:$K958)&gt;0,$L958=""),"Awaiting Collection Email time stamp.",""),IF(OR($T958="PAID",$T958="CLOSED"),IF($T958="PAID","Account paid. Action completed.","Account closed. No further action required."),CHOOSE($W958,"Collection Email","1st Email Follow-up","2nd Email Follow-up","Escalation to Local Office","Escalation to CBE","Escalation to Roxanne")&amp;" sent "&amp;TEXT($X958,"dd-mmm")&amp;". "&amp;IF($W958=6,"Final escalation completed.",IF($T958="OVERDUE","Next: "&amp;$Z958&amp;" was due "&amp;TEXT($Y958,"dd-mmm")&amp;" - "&amp;(NETWORKDAYS($Y958,TODAY(),Holidays)-1)&amp;" business day(s) late. Send now.",IF($T958="DUE TOMORROW","Next: "&amp;$Z958&amp;IF($Y958&lt;=TODAY()," is due TODAY ("," is due next business day (")&amp;TEXT($Y958,"dd-mmm")&amp;").","Next: "&amp;$Z958&amp;" due "&amp;TEXT($Y958,"dd-mmm")&amp;" ("&amp;(NETWORKDAYS(TODAY(),$Y958,Holidays)-1)&amp;" business day(s) left).")))))</f>
        <v/>
      </c>
      <c r="V958" s="17">
        <f>IF($W958="","",CHOOSE($W958,"Collection Email","1st Follow-up","2nd Follow-up","Local Office","CBE","Roxanne")&amp;IF($W958=6," - Final"," - Day "&amp;MAX(0,NETWORKDAYS($X958,TODAY(),Holidays)-1)&amp;" of "&amp;CHOOSE($W958,3,3,2,2,3))&amp;" | Total Day "&amp;MAX(0,NETWORKDAYS($L958,TODAY(),Holidays)-1))</f>
        <v/>
      </c>
      <c r="W958" s="17">
        <f>IF($L958="","",COUNT($L958:$Q958))</f>
        <v/>
      </c>
      <c r="X958" s="18">
        <f>IF($W958="","",INT(INDEX($L958:$Q958,$W958)))</f>
        <v/>
      </c>
      <c r="Y958" s="18">
        <f>IF(OR($W958="",$W958=6),"",WORKDAY($X958,CHOOSE($W958,3,3,2,2,3),Holidays))</f>
        <v/>
      </c>
      <c r="Z958" s="17">
        <f>IF(OR($W958="",$W958=6),"",CHOOSE($W958,"1st Email Follow-up","2nd Email Follow-up","Escalate Local Office","Escalate to CBE","Escalate to Roxanne"))</f>
        <v/>
      </c>
    </row>
    <row r="959" spans="18:26">
      <c r="R959" s="15"/>
      <c r="S959" s="16"/>
      <c r="T959" s="17">
        <f>IF(AND(COUNTA($A959:$K959)=0,$L959=""),"",IF($S959="Paid","PAID",IF($S959="Closed","CLOSED",IF($W959="","",IF($W959=6,"ESCALATED TO ROXANNE",IF(TODAY()&gt;$Y959,"OVERDUE",IF($Y959&lt;=WORKDAY(TODAY(),1,Holidays),"DUE TOMORROW",IF($W959=4,"ESCALATED TO LOCAL OFFICE",IF($W959=5,"ESCALATED TO CBE",IF($X959=TODAY(),"EMAIL SENT","MONITORING"))))))))))</f>
        <v/>
      </c>
      <c r="U959" s="17">
        <f>IF($T959="",IF(AND(COUNTA($A959:$K959)&gt;0,$L959=""),"Awaiting Collection Email time stamp.",""),IF(OR($T959="PAID",$T959="CLOSED"),IF($T959="PAID","Account paid. Action completed.","Account closed. No further action required."),CHOOSE($W959,"Collection Email","1st Email Follow-up","2nd Email Follow-up","Escalation to Local Office","Escalation to CBE","Escalation to Roxanne")&amp;" sent "&amp;TEXT($X959,"dd-mmm")&amp;". "&amp;IF($W959=6,"Final escalation completed.",IF($T959="OVERDUE","Next: "&amp;$Z959&amp;" was due "&amp;TEXT($Y959,"dd-mmm")&amp;" - "&amp;(NETWORKDAYS($Y959,TODAY(),Holidays)-1)&amp;" business day(s) late. Send now.",IF($T959="DUE TOMORROW","Next: "&amp;$Z959&amp;IF($Y959&lt;=TODAY()," is due TODAY ("," is due next business day (")&amp;TEXT($Y959,"dd-mmm")&amp;").","Next: "&amp;$Z959&amp;" due "&amp;TEXT($Y959,"dd-mmm")&amp;" ("&amp;(NETWORKDAYS(TODAY(),$Y959,Holidays)-1)&amp;" business day(s) left).")))))</f>
        <v/>
      </c>
      <c r="V959" s="17">
        <f>IF($W959="","",CHOOSE($W959,"Collection Email","1st Follow-up","2nd Follow-up","Local Office","CBE","Roxanne")&amp;IF($W959=6," - Final"," - Day "&amp;MAX(0,NETWORKDAYS($X959,TODAY(),Holidays)-1)&amp;" of "&amp;CHOOSE($W959,3,3,2,2,3))&amp;" | Total Day "&amp;MAX(0,NETWORKDAYS($L959,TODAY(),Holidays)-1))</f>
        <v/>
      </c>
      <c r="W959" s="17">
        <f>IF($L959="","",COUNT($L959:$Q959))</f>
        <v/>
      </c>
      <c r="X959" s="18">
        <f>IF($W959="","",INT(INDEX($L959:$Q959,$W959)))</f>
        <v/>
      </c>
      <c r="Y959" s="18">
        <f>IF(OR($W959="",$W959=6),"",WORKDAY($X959,CHOOSE($W959,3,3,2,2,3),Holidays))</f>
        <v/>
      </c>
      <c r="Z959" s="17">
        <f>IF(OR($W959="",$W959=6),"",CHOOSE($W959,"1st Email Follow-up","2nd Email Follow-up","Escalate Local Office","Escalate to CBE","Escalate to Roxanne"))</f>
        <v/>
      </c>
    </row>
    <row r="960" spans="18:26">
      <c r="R960" s="15"/>
      <c r="S960" s="16"/>
      <c r="T960" s="17">
        <f>IF(AND(COUNTA($A960:$K960)=0,$L960=""),"",IF($S960="Paid","PAID",IF($S960="Closed","CLOSED",IF($W960="","",IF($W960=6,"ESCALATED TO ROXANNE",IF(TODAY()&gt;$Y960,"OVERDUE",IF($Y960&lt;=WORKDAY(TODAY(),1,Holidays),"DUE TOMORROW",IF($W960=4,"ESCALATED TO LOCAL OFFICE",IF($W960=5,"ESCALATED TO CBE",IF($X960=TODAY(),"EMAIL SENT","MONITORING"))))))))))</f>
        <v/>
      </c>
      <c r="U960" s="17">
        <f>IF($T960="",IF(AND(COUNTA($A960:$K960)&gt;0,$L960=""),"Awaiting Collection Email time stamp.",""),IF(OR($T960="PAID",$T960="CLOSED"),IF($T960="PAID","Account paid. Action completed.","Account closed. No further action required."),CHOOSE($W960,"Collection Email","1st Email Follow-up","2nd Email Follow-up","Escalation to Local Office","Escalation to CBE","Escalation to Roxanne")&amp;" sent "&amp;TEXT($X960,"dd-mmm")&amp;". "&amp;IF($W960=6,"Final escalation completed.",IF($T960="OVERDUE","Next: "&amp;$Z960&amp;" was due "&amp;TEXT($Y960,"dd-mmm")&amp;" - "&amp;(NETWORKDAYS($Y960,TODAY(),Holidays)-1)&amp;" business day(s) late. Send now.",IF($T960="DUE TOMORROW","Next: "&amp;$Z960&amp;IF($Y960&lt;=TODAY()," is due TODAY ("," is due next business day (")&amp;TEXT($Y960,"dd-mmm")&amp;").","Next: "&amp;$Z960&amp;" due "&amp;TEXT($Y960,"dd-mmm")&amp;" ("&amp;(NETWORKDAYS(TODAY(),$Y960,Holidays)-1)&amp;" business day(s) left).")))))</f>
        <v/>
      </c>
      <c r="V960" s="17">
        <f>IF($W960="","",CHOOSE($W960,"Collection Email","1st Follow-up","2nd Follow-up","Local Office","CBE","Roxanne")&amp;IF($W960=6," - Final"," - Day "&amp;MAX(0,NETWORKDAYS($X960,TODAY(),Holidays)-1)&amp;" of "&amp;CHOOSE($W960,3,3,2,2,3))&amp;" | Total Day "&amp;MAX(0,NETWORKDAYS($L960,TODAY(),Holidays)-1))</f>
        <v/>
      </c>
      <c r="W960" s="17">
        <f>IF($L960="","",COUNT($L960:$Q960))</f>
        <v/>
      </c>
      <c r="X960" s="18">
        <f>IF($W960="","",INT(INDEX($L960:$Q960,$W960)))</f>
        <v/>
      </c>
      <c r="Y960" s="18">
        <f>IF(OR($W960="",$W960=6),"",WORKDAY($X960,CHOOSE($W960,3,3,2,2,3),Holidays))</f>
        <v/>
      </c>
      <c r="Z960" s="17">
        <f>IF(OR($W960="",$W960=6),"",CHOOSE($W960,"1st Email Follow-up","2nd Email Follow-up","Escalate Local Office","Escalate to CBE","Escalate to Roxanne"))</f>
        <v/>
      </c>
    </row>
    <row r="961" spans="18:26">
      <c r="R961" s="15"/>
      <c r="S961" s="16"/>
      <c r="T961" s="17">
        <f>IF(AND(COUNTA($A961:$K961)=0,$L961=""),"",IF($S961="Paid","PAID",IF($S961="Closed","CLOSED",IF($W961="","",IF($W961=6,"ESCALATED TO ROXANNE",IF(TODAY()&gt;$Y961,"OVERDUE",IF($Y961&lt;=WORKDAY(TODAY(),1,Holidays),"DUE TOMORROW",IF($W961=4,"ESCALATED TO LOCAL OFFICE",IF($W961=5,"ESCALATED TO CBE",IF($X961=TODAY(),"EMAIL SENT","MONITORING"))))))))))</f>
        <v/>
      </c>
      <c r="U961" s="17">
        <f>IF($T961="",IF(AND(COUNTA($A961:$K961)&gt;0,$L961=""),"Awaiting Collection Email time stamp.",""),IF(OR($T961="PAID",$T961="CLOSED"),IF($T961="PAID","Account paid. Action completed.","Account closed. No further action required."),CHOOSE($W961,"Collection Email","1st Email Follow-up","2nd Email Follow-up","Escalation to Local Office","Escalation to CBE","Escalation to Roxanne")&amp;" sent "&amp;TEXT($X961,"dd-mmm")&amp;". "&amp;IF($W961=6,"Final escalation completed.",IF($T961="OVERDUE","Next: "&amp;$Z961&amp;" was due "&amp;TEXT($Y961,"dd-mmm")&amp;" - "&amp;(NETWORKDAYS($Y961,TODAY(),Holidays)-1)&amp;" business day(s) late. Send now.",IF($T961="DUE TOMORROW","Next: "&amp;$Z961&amp;IF($Y961&lt;=TODAY()," is due TODAY ("," is due next business day (")&amp;TEXT($Y961,"dd-mmm")&amp;").","Next: "&amp;$Z961&amp;" due "&amp;TEXT($Y961,"dd-mmm")&amp;" ("&amp;(NETWORKDAYS(TODAY(),$Y961,Holidays)-1)&amp;" business day(s) left).")))))</f>
        <v/>
      </c>
      <c r="V961" s="17">
        <f>IF($W961="","",CHOOSE($W961,"Collection Email","1st Follow-up","2nd Follow-up","Local Office","CBE","Roxanne")&amp;IF($W961=6," - Final"," - Day "&amp;MAX(0,NETWORKDAYS($X961,TODAY(),Holidays)-1)&amp;" of "&amp;CHOOSE($W961,3,3,2,2,3))&amp;" | Total Day "&amp;MAX(0,NETWORKDAYS($L961,TODAY(),Holidays)-1))</f>
        <v/>
      </c>
      <c r="W961" s="17">
        <f>IF($L961="","",COUNT($L961:$Q961))</f>
        <v/>
      </c>
      <c r="X961" s="18">
        <f>IF($W961="","",INT(INDEX($L961:$Q961,$W961)))</f>
        <v/>
      </c>
      <c r="Y961" s="18">
        <f>IF(OR($W961="",$W961=6),"",WORKDAY($X961,CHOOSE($W961,3,3,2,2,3),Holidays))</f>
        <v/>
      </c>
      <c r="Z961" s="17">
        <f>IF(OR($W961="",$W961=6),"",CHOOSE($W961,"1st Email Follow-up","2nd Email Follow-up","Escalate Local Office","Escalate to CBE","Escalate to Roxanne"))</f>
        <v/>
      </c>
    </row>
    <row r="962" spans="18:26">
      <c r="R962" s="15"/>
      <c r="S962" s="16"/>
      <c r="T962" s="17">
        <f>IF(AND(COUNTA($A962:$K962)=0,$L962=""),"",IF($S962="Paid","PAID",IF($S962="Closed","CLOSED",IF($W962="","",IF($W962=6,"ESCALATED TO ROXANNE",IF(TODAY()&gt;$Y962,"OVERDUE",IF($Y962&lt;=WORKDAY(TODAY(),1,Holidays),"DUE TOMORROW",IF($W962=4,"ESCALATED TO LOCAL OFFICE",IF($W962=5,"ESCALATED TO CBE",IF($X962=TODAY(),"EMAIL SENT","MONITORING"))))))))))</f>
        <v/>
      </c>
      <c r="U962" s="17">
        <f>IF($T962="",IF(AND(COUNTA($A962:$K962)&gt;0,$L962=""),"Awaiting Collection Email time stamp.",""),IF(OR($T962="PAID",$T962="CLOSED"),IF($T962="PAID","Account paid. Action completed.","Account closed. No further action required."),CHOOSE($W962,"Collection Email","1st Email Follow-up","2nd Email Follow-up","Escalation to Local Office","Escalation to CBE","Escalation to Roxanne")&amp;" sent "&amp;TEXT($X962,"dd-mmm")&amp;". "&amp;IF($W962=6,"Final escalation completed.",IF($T962="OVERDUE","Next: "&amp;$Z962&amp;" was due "&amp;TEXT($Y962,"dd-mmm")&amp;" - "&amp;(NETWORKDAYS($Y962,TODAY(),Holidays)-1)&amp;" business day(s) late. Send now.",IF($T962="DUE TOMORROW","Next: "&amp;$Z962&amp;IF($Y962&lt;=TODAY()," is due TODAY ("," is due next business day (")&amp;TEXT($Y962,"dd-mmm")&amp;").","Next: "&amp;$Z962&amp;" due "&amp;TEXT($Y962,"dd-mmm")&amp;" ("&amp;(NETWORKDAYS(TODAY(),$Y962,Holidays)-1)&amp;" business day(s) left).")))))</f>
        <v/>
      </c>
      <c r="V962" s="17">
        <f>IF($W962="","",CHOOSE($W962,"Collection Email","1st Follow-up","2nd Follow-up","Local Office","CBE","Roxanne")&amp;IF($W962=6," - Final"," - Day "&amp;MAX(0,NETWORKDAYS($X962,TODAY(),Holidays)-1)&amp;" of "&amp;CHOOSE($W962,3,3,2,2,3))&amp;" | Total Day "&amp;MAX(0,NETWORKDAYS($L962,TODAY(),Holidays)-1))</f>
        <v/>
      </c>
      <c r="W962" s="17">
        <f>IF($L962="","",COUNT($L962:$Q962))</f>
        <v/>
      </c>
      <c r="X962" s="18">
        <f>IF($W962="","",INT(INDEX($L962:$Q962,$W962)))</f>
        <v/>
      </c>
      <c r="Y962" s="18">
        <f>IF(OR($W962="",$W962=6),"",WORKDAY($X962,CHOOSE($W962,3,3,2,2,3),Holidays))</f>
        <v/>
      </c>
      <c r="Z962" s="17">
        <f>IF(OR($W962="",$W962=6),"",CHOOSE($W962,"1st Email Follow-up","2nd Email Follow-up","Escalate Local Office","Escalate to CBE","Escalate to Roxanne"))</f>
        <v/>
      </c>
    </row>
    <row r="963" spans="18:26">
      <c r="R963" s="15"/>
      <c r="S963" s="16"/>
      <c r="T963" s="17">
        <f>IF(AND(COUNTA($A963:$K963)=0,$L963=""),"",IF($S963="Paid","PAID",IF($S963="Closed","CLOSED",IF($W963="","",IF($W963=6,"ESCALATED TO ROXANNE",IF(TODAY()&gt;$Y963,"OVERDUE",IF($Y963&lt;=WORKDAY(TODAY(),1,Holidays),"DUE TOMORROW",IF($W963=4,"ESCALATED TO LOCAL OFFICE",IF($W963=5,"ESCALATED TO CBE",IF($X963=TODAY(),"EMAIL SENT","MONITORING"))))))))))</f>
        <v/>
      </c>
      <c r="U963" s="17">
        <f>IF($T963="",IF(AND(COUNTA($A963:$K963)&gt;0,$L963=""),"Awaiting Collection Email time stamp.",""),IF(OR($T963="PAID",$T963="CLOSED"),IF($T963="PAID","Account paid. Action completed.","Account closed. No further action required."),CHOOSE($W963,"Collection Email","1st Email Follow-up","2nd Email Follow-up","Escalation to Local Office","Escalation to CBE","Escalation to Roxanne")&amp;" sent "&amp;TEXT($X963,"dd-mmm")&amp;". "&amp;IF($W963=6,"Final escalation completed.",IF($T963="OVERDUE","Next: "&amp;$Z963&amp;" was due "&amp;TEXT($Y963,"dd-mmm")&amp;" - "&amp;(NETWORKDAYS($Y963,TODAY(),Holidays)-1)&amp;" business day(s) late. Send now.",IF($T963="DUE TOMORROW","Next: "&amp;$Z963&amp;IF($Y963&lt;=TODAY()," is due TODAY ("," is due next business day (")&amp;TEXT($Y963,"dd-mmm")&amp;").","Next: "&amp;$Z963&amp;" due "&amp;TEXT($Y963,"dd-mmm")&amp;" ("&amp;(NETWORKDAYS(TODAY(),$Y963,Holidays)-1)&amp;" business day(s) left).")))))</f>
        <v/>
      </c>
      <c r="V963" s="17">
        <f>IF($W963="","",CHOOSE($W963,"Collection Email","1st Follow-up","2nd Follow-up","Local Office","CBE","Roxanne")&amp;IF($W963=6," - Final"," - Day "&amp;MAX(0,NETWORKDAYS($X963,TODAY(),Holidays)-1)&amp;" of "&amp;CHOOSE($W963,3,3,2,2,3))&amp;" | Total Day "&amp;MAX(0,NETWORKDAYS($L963,TODAY(),Holidays)-1))</f>
        <v/>
      </c>
      <c r="W963" s="17">
        <f>IF($L963="","",COUNT($L963:$Q963))</f>
        <v/>
      </c>
      <c r="X963" s="18">
        <f>IF($W963="","",INT(INDEX($L963:$Q963,$W963)))</f>
        <v/>
      </c>
      <c r="Y963" s="18">
        <f>IF(OR($W963="",$W963=6),"",WORKDAY($X963,CHOOSE($W963,3,3,2,2,3),Holidays))</f>
        <v/>
      </c>
      <c r="Z963" s="17">
        <f>IF(OR($W963="",$W963=6),"",CHOOSE($W963,"1st Email Follow-up","2nd Email Follow-up","Escalate Local Office","Escalate to CBE","Escalate to Roxanne"))</f>
        <v/>
      </c>
    </row>
    <row r="964" spans="18:26">
      <c r="R964" s="15"/>
      <c r="S964" s="16"/>
      <c r="T964" s="17">
        <f>IF(AND(COUNTA($A964:$K964)=0,$L964=""),"",IF($S964="Paid","PAID",IF($S964="Closed","CLOSED",IF($W964="","",IF($W964=6,"ESCALATED TO ROXANNE",IF(TODAY()&gt;$Y964,"OVERDUE",IF($Y964&lt;=WORKDAY(TODAY(),1,Holidays),"DUE TOMORROW",IF($W964=4,"ESCALATED TO LOCAL OFFICE",IF($W964=5,"ESCALATED TO CBE",IF($X964=TODAY(),"EMAIL SENT","MONITORING"))))))))))</f>
        <v/>
      </c>
      <c r="U964" s="17">
        <f>IF($T964="",IF(AND(COUNTA($A964:$K964)&gt;0,$L964=""),"Awaiting Collection Email time stamp.",""),IF(OR($T964="PAID",$T964="CLOSED"),IF($T964="PAID","Account paid. Action completed.","Account closed. No further action required."),CHOOSE($W964,"Collection Email","1st Email Follow-up","2nd Email Follow-up","Escalation to Local Office","Escalation to CBE","Escalation to Roxanne")&amp;" sent "&amp;TEXT($X964,"dd-mmm")&amp;". "&amp;IF($W964=6,"Final escalation completed.",IF($T964="OVERDUE","Next: "&amp;$Z964&amp;" was due "&amp;TEXT($Y964,"dd-mmm")&amp;" - "&amp;(NETWORKDAYS($Y964,TODAY(),Holidays)-1)&amp;" business day(s) late. Send now.",IF($T964="DUE TOMORROW","Next: "&amp;$Z964&amp;IF($Y964&lt;=TODAY()," is due TODAY ("," is due next business day (")&amp;TEXT($Y964,"dd-mmm")&amp;").","Next: "&amp;$Z964&amp;" due "&amp;TEXT($Y964,"dd-mmm")&amp;" ("&amp;(NETWORKDAYS(TODAY(),$Y964,Holidays)-1)&amp;" business day(s) left).")))))</f>
        <v/>
      </c>
      <c r="V964" s="17">
        <f>IF($W964="","",CHOOSE($W964,"Collection Email","1st Follow-up","2nd Follow-up","Local Office","CBE","Roxanne")&amp;IF($W964=6," - Final"," - Day "&amp;MAX(0,NETWORKDAYS($X964,TODAY(),Holidays)-1)&amp;" of "&amp;CHOOSE($W964,3,3,2,2,3))&amp;" | Total Day "&amp;MAX(0,NETWORKDAYS($L964,TODAY(),Holidays)-1))</f>
        <v/>
      </c>
      <c r="W964" s="17">
        <f>IF($L964="","",COUNT($L964:$Q964))</f>
        <v/>
      </c>
      <c r="X964" s="18">
        <f>IF($W964="","",INT(INDEX($L964:$Q964,$W964)))</f>
        <v/>
      </c>
      <c r="Y964" s="18">
        <f>IF(OR($W964="",$W964=6),"",WORKDAY($X964,CHOOSE($W964,3,3,2,2,3),Holidays))</f>
        <v/>
      </c>
      <c r="Z964" s="17">
        <f>IF(OR($W964="",$W964=6),"",CHOOSE($W964,"1st Email Follow-up","2nd Email Follow-up","Escalate Local Office","Escalate to CBE","Escalate to Roxanne"))</f>
        <v/>
      </c>
    </row>
    <row r="965" spans="18:26">
      <c r="R965" s="15"/>
      <c r="S965" s="16"/>
      <c r="T965" s="17">
        <f>IF(AND(COUNTA($A965:$K965)=0,$L965=""),"",IF($S965="Paid","PAID",IF($S965="Closed","CLOSED",IF($W965="","",IF($W965=6,"ESCALATED TO ROXANNE",IF(TODAY()&gt;$Y965,"OVERDUE",IF($Y965&lt;=WORKDAY(TODAY(),1,Holidays),"DUE TOMORROW",IF($W965=4,"ESCALATED TO LOCAL OFFICE",IF($W965=5,"ESCALATED TO CBE",IF($X965=TODAY(),"EMAIL SENT","MONITORING"))))))))))</f>
        <v/>
      </c>
      <c r="U965" s="17">
        <f>IF($T965="",IF(AND(COUNTA($A965:$K965)&gt;0,$L965=""),"Awaiting Collection Email time stamp.",""),IF(OR($T965="PAID",$T965="CLOSED"),IF($T965="PAID","Account paid. Action completed.","Account closed. No further action required."),CHOOSE($W965,"Collection Email","1st Email Follow-up","2nd Email Follow-up","Escalation to Local Office","Escalation to CBE","Escalation to Roxanne")&amp;" sent "&amp;TEXT($X965,"dd-mmm")&amp;". "&amp;IF($W965=6,"Final escalation completed.",IF($T965="OVERDUE","Next: "&amp;$Z965&amp;" was due "&amp;TEXT($Y965,"dd-mmm")&amp;" - "&amp;(NETWORKDAYS($Y965,TODAY(),Holidays)-1)&amp;" business day(s) late. Send now.",IF($T965="DUE TOMORROW","Next: "&amp;$Z965&amp;IF($Y965&lt;=TODAY()," is due TODAY ("," is due next business day (")&amp;TEXT($Y965,"dd-mmm")&amp;").","Next: "&amp;$Z965&amp;" due "&amp;TEXT($Y965,"dd-mmm")&amp;" ("&amp;(NETWORKDAYS(TODAY(),$Y965,Holidays)-1)&amp;" business day(s) left).")))))</f>
        <v/>
      </c>
      <c r="V965" s="17">
        <f>IF($W965="","",CHOOSE($W965,"Collection Email","1st Follow-up","2nd Follow-up","Local Office","CBE","Roxanne")&amp;IF($W965=6," - Final"," - Day "&amp;MAX(0,NETWORKDAYS($X965,TODAY(),Holidays)-1)&amp;" of "&amp;CHOOSE($W965,3,3,2,2,3))&amp;" | Total Day "&amp;MAX(0,NETWORKDAYS($L965,TODAY(),Holidays)-1))</f>
        <v/>
      </c>
      <c r="W965" s="17">
        <f>IF($L965="","",COUNT($L965:$Q965))</f>
        <v/>
      </c>
      <c r="X965" s="18">
        <f>IF($W965="","",INT(INDEX($L965:$Q965,$W965)))</f>
        <v/>
      </c>
      <c r="Y965" s="18">
        <f>IF(OR($W965="",$W965=6),"",WORKDAY($X965,CHOOSE($W965,3,3,2,2,3),Holidays))</f>
        <v/>
      </c>
      <c r="Z965" s="17">
        <f>IF(OR($W965="",$W965=6),"",CHOOSE($W965,"1st Email Follow-up","2nd Email Follow-up","Escalate Local Office","Escalate to CBE","Escalate to Roxanne"))</f>
        <v/>
      </c>
    </row>
    <row r="966" spans="18:26">
      <c r="R966" s="15"/>
      <c r="S966" s="16"/>
      <c r="T966" s="17">
        <f>IF(AND(COUNTA($A966:$K966)=0,$L966=""),"",IF($S966="Paid","PAID",IF($S966="Closed","CLOSED",IF($W966="","",IF($W966=6,"ESCALATED TO ROXANNE",IF(TODAY()&gt;$Y966,"OVERDUE",IF($Y966&lt;=WORKDAY(TODAY(),1,Holidays),"DUE TOMORROW",IF($W966=4,"ESCALATED TO LOCAL OFFICE",IF($W966=5,"ESCALATED TO CBE",IF($X966=TODAY(),"EMAIL SENT","MONITORING"))))))))))</f>
        <v/>
      </c>
      <c r="U966" s="17">
        <f>IF($T966="",IF(AND(COUNTA($A966:$K966)&gt;0,$L966=""),"Awaiting Collection Email time stamp.",""),IF(OR($T966="PAID",$T966="CLOSED"),IF($T966="PAID","Account paid. Action completed.","Account closed. No further action required."),CHOOSE($W966,"Collection Email","1st Email Follow-up","2nd Email Follow-up","Escalation to Local Office","Escalation to CBE","Escalation to Roxanne")&amp;" sent "&amp;TEXT($X966,"dd-mmm")&amp;". "&amp;IF($W966=6,"Final escalation completed.",IF($T966="OVERDUE","Next: "&amp;$Z966&amp;" was due "&amp;TEXT($Y966,"dd-mmm")&amp;" - "&amp;(NETWORKDAYS($Y966,TODAY(),Holidays)-1)&amp;" business day(s) late. Send now.",IF($T966="DUE TOMORROW","Next: "&amp;$Z966&amp;IF($Y966&lt;=TODAY()," is due TODAY ("," is due next business day (")&amp;TEXT($Y966,"dd-mmm")&amp;").","Next: "&amp;$Z966&amp;" due "&amp;TEXT($Y966,"dd-mmm")&amp;" ("&amp;(NETWORKDAYS(TODAY(),$Y966,Holidays)-1)&amp;" business day(s) left).")))))</f>
        <v/>
      </c>
      <c r="V966" s="17">
        <f>IF($W966="","",CHOOSE($W966,"Collection Email","1st Follow-up","2nd Follow-up","Local Office","CBE","Roxanne")&amp;IF($W966=6," - Final"," - Day "&amp;MAX(0,NETWORKDAYS($X966,TODAY(),Holidays)-1)&amp;" of "&amp;CHOOSE($W966,3,3,2,2,3))&amp;" | Total Day "&amp;MAX(0,NETWORKDAYS($L966,TODAY(),Holidays)-1))</f>
        <v/>
      </c>
      <c r="W966" s="17">
        <f>IF($L966="","",COUNT($L966:$Q966))</f>
        <v/>
      </c>
      <c r="X966" s="18">
        <f>IF($W966="","",INT(INDEX($L966:$Q966,$W966)))</f>
        <v/>
      </c>
      <c r="Y966" s="18">
        <f>IF(OR($W966="",$W966=6),"",WORKDAY($X966,CHOOSE($W966,3,3,2,2,3),Holidays))</f>
        <v/>
      </c>
      <c r="Z966" s="17">
        <f>IF(OR($W966="",$W966=6),"",CHOOSE($W966,"1st Email Follow-up","2nd Email Follow-up","Escalate Local Office","Escalate to CBE","Escalate to Roxanne"))</f>
        <v/>
      </c>
    </row>
    <row r="967" spans="18:26">
      <c r="R967" s="15"/>
      <c r="S967" s="16"/>
      <c r="T967" s="17">
        <f>IF(AND(COUNTA($A967:$K967)=0,$L967=""),"",IF($S967="Paid","PAID",IF($S967="Closed","CLOSED",IF($W967="","",IF($W967=6,"ESCALATED TO ROXANNE",IF(TODAY()&gt;$Y967,"OVERDUE",IF($Y967&lt;=WORKDAY(TODAY(),1,Holidays),"DUE TOMORROW",IF($W967=4,"ESCALATED TO LOCAL OFFICE",IF($W967=5,"ESCALATED TO CBE",IF($X967=TODAY(),"EMAIL SENT","MONITORING"))))))))))</f>
        <v/>
      </c>
      <c r="U967" s="17">
        <f>IF($T967="",IF(AND(COUNTA($A967:$K967)&gt;0,$L967=""),"Awaiting Collection Email time stamp.",""),IF(OR($T967="PAID",$T967="CLOSED"),IF($T967="PAID","Account paid. Action completed.","Account closed. No further action required."),CHOOSE($W967,"Collection Email","1st Email Follow-up","2nd Email Follow-up","Escalation to Local Office","Escalation to CBE","Escalation to Roxanne")&amp;" sent "&amp;TEXT($X967,"dd-mmm")&amp;". "&amp;IF($W967=6,"Final escalation completed.",IF($T967="OVERDUE","Next: "&amp;$Z967&amp;" was due "&amp;TEXT($Y967,"dd-mmm")&amp;" - "&amp;(NETWORKDAYS($Y967,TODAY(),Holidays)-1)&amp;" business day(s) late. Send now.",IF($T967="DUE TOMORROW","Next: "&amp;$Z967&amp;IF($Y967&lt;=TODAY()," is due TODAY ("," is due next business day (")&amp;TEXT($Y967,"dd-mmm")&amp;").","Next: "&amp;$Z967&amp;" due "&amp;TEXT($Y967,"dd-mmm")&amp;" ("&amp;(NETWORKDAYS(TODAY(),$Y967,Holidays)-1)&amp;" business day(s) left).")))))</f>
        <v/>
      </c>
      <c r="V967" s="17">
        <f>IF($W967="","",CHOOSE($W967,"Collection Email","1st Follow-up","2nd Follow-up","Local Office","CBE","Roxanne")&amp;IF($W967=6," - Final"," - Day "&amp;MAX(0,NETWORKDAYS($X967,TODAY(),Holidays)-1)&amp;" of "&amp;CHOOSE($W967,3,3,2,2,3))&amp;" | Total Day "&amp;MAX(0,NETWORKDAYS($L967,TODAY(),Holidays)-1))</f>
        <v/>
      </c>
      <c r="W967" s="17">
        <f>IF($L967="","",COUNT($L967:$Q967))</f>
        <v/>
      </c>
      <c r="X967" s="18">
        <f>IF($W967="","",INT(INDEX($L967:$Q967,$W967)))</f>
        <v/>
      </c>
      <c r="Y967" s="18">
        <f>IF(OR($W967="",$W967=6),"",WORKDAY($X967,CHOOSE($W967,3,3,2,2,3),Holidays))</f>
        <v/>
      </c>
      <c r="Z967" s="17">
        <f>IF(OR($W967="",$W967=6),"",CHOOSE($W967,"1st Email Follow-up","2nd Email Follow-up","Escalate Local Office","Escalate to CBE","Escalate to Roxanne"))</f>
        <v/>
      </c>
    </row>
    <row r="968" spans="18:26">
      <c r="R968" s="15"/>
      <c r="S968" s="16"/>
      <c r="T968" s="17">
        <f>IF(AND(COUNTA($A968:$K968)=0,$L968=""),"",IF($S968="Paid","PAID",IF($S968="Closed","CLOSED",IF($W968="","",IF($W968=6,"ESCALATED TO ROXANNE",IF(TODAY()&gt;$Y968,"OVERDUE",IF($Y968&lt;=WORKDAY(TODAY(),1,Holidays),"DUE TOMORROW",IF($W968=4,"ESCALATED TO LOCAL OFFICE",IF($W968=5,"ESCALATED TO CBE",IF($X968=TODAY(),"EMAIL SENT","MONITORING"))))))))))</f>
        <v/>
      </c>
      <c r="U968" s="17">
        <f>IF($T968="",IF(AND(COUNTA($A968:$K968)&gt;0,$L968=""),"Awaiting Collection Email time stamp.",""),IF(OR($T968="PAID",$T968="CLOSED"),IF($T968="PAID","Account paid. Action completed.","Account closed. No further action required."),CHOOSE($W968,"Collection Email","1st Email Follow-up","2nd Email Follow-up","Escalation to Local Office","Escalation to CBE","Escalation to Roxanne")&amp;" sent "&amp;TEXT($X968,"dd-mmm")&amp;". "&amp;IF($W968=6,"Final escalation completed.",IF($T968="OVERDUE","Next: "&amp;$Z968&amp;" was due "&amp;TEXT($Y968,"dd-mmm")&amp;" - "&amp;(NETWORKDAYS($Y968,TODAY(),Holidays)-1)&amp;" business day(s) late. Send now.",IF($T968="DUE TOMORROW","Next: "&amp;$Z968&amp;IF($Y968&lt;=TODAY()," is due TODAY ("," is due next business day (")&amp;TEXT($Y968,"dd-mmm")&amp;").","Next: "&amp;$Z968&amp;" due "&amp;TEXT($Y968,"dd-mmm")&amp;" ("&amp;(NETWORKDAYS(TODAY(),$Y968,Holidays)-1)&amp;" business day(s) left).")))))</f>
        <v/>
      </c>
      <c r="V968" s="17">
        <f>IF($W968="","",CHOOSE($W968,"Collection Email","1st Follow-up","2nd Follow-up","Local Office","CBE","Roxanne")&amp;IF($W968=6," - Final"," - Day "&amp;MAX(0,NETWORKDAYS($X968,TODAY(),Holidays)-1)&amp;" of "&amp;CHOOSE($W968,3,3,2,2,3))&amp;" | Total Day "&amp;MAX(0,NETWORKDAYS($L968,TODAY(),Holidays)-1))</f>
        <v/>
      </c>
      <c r="W968" s="17">
        <f>IF($L968="","",COUNT($L968:$Q968))</f>
        <v/>
      </c>
      <c r="X968" s="18">
        <f>IF($W968="","",INT(INDEX($L968:$Q968,$W968)))</f>
        <v/>
      </c>
      <c r="Y968" s="18">
        <f>IF(OR($W968="",$W968=6),"",WORKDAY($X968,CHOOSE($W968,3,3,2,2,3),Holidays))</f>
        <v/>
      </c>
      <c r="Z968" s="17">
        <f>IF(OR($W968="",$W968=6),"",CHOOSE($W968,"1st Email Follow-up","2nd Email Follow-up","Escalate Local Office","Escalate to CBE","Escalate to Roxanne"))</f>
        <v/>
      </c>
    </row>
    <row r="969" spans="18:26">
      <c r="R969" s="15"/>
      <c r="S969" s="16"/>
      <c r="T969" s="17">
        <f>IF(AND(COUNTA($A969:$K969)=0,$L969=""),"",IF($S969="Paid","PAID",IF($S969="Closed","CLOSED",IF($W969="","",IF($W969=6,"ESCALATED TO ROXANNE",IF(TODAY()&gt;$Y969,"OVERDUE",IF($Y969&lt;=WORKDAY(TODAY(),1,Holidays),"DUE TOMORROW",IF($W969=4,"ESCALATED TO LOCAL OFFICE",IF($W969=5,"ESCALATED TO CBE",IF($X969=TODAY(),"EMAIL SENT","MONITORING"))))))))))</f>
        <v/>
      </c>
      <c r="U969" s="17">
        <f>IF($T969="",IF(AND(COUNTA($A969:$K969)&gt;0,$L969=""),"Awaiting Collection Email time stamp.",""),IF(OR($T969="PAID",$T969="CLOSED"),IF($T969="PAID","Account paid. Action completed.","Account closed. No further action required."),CHOOSE($W969,"Collection Email","1st Email Follow-up","2nd Email Follow-up","Escalation to Local Office","Escalation to CBE","Escalation to Roxanne")&amp;" sent "&amp;TEXT($X969,"dd-mmm")&amp;". "&amp;IF($W969=6,"Final escalation completed.",IF($T969="OVERDUE","Next: "&amp;$Z969&amp;" was due "&amp;TEXT($Y969,"dd-mmm")&amp;" - "&amp;(NETWORKDAYS($Y969,TODAY(),Holidays)-1)&amp;" business day(s) late. Send now.",IF($T969="DUE TOMORROW","Next: "&amp;$Z969&amp;IF($Y969&lt;=TODAY()," is due TODAY ("," is due next business day (")&amp;TEXT($Y969,"dd-mmm")&amp;").","Next: "&amp;$Z969&amp;" due "&amp;TEXT($Y969,"dd-mmm")&amp;" ("&amp;(NETWORKDAYS(TODAY(),$Y969,Holidays)-1)&amp;" business day(s) left).")))))</f>
        <v/>
      </c>
      <c r="V969" s="17">
        <f>IF($W969="","",CHOOSE($W969,"Collection Email","1st Follow-up","2nd Follow-up","Local Office","CBE","Roxanne")&amp;IF($W969=6," - Final"," - Day "&amp;MAX(0,NETWORKDAYS($X969,TODAY(),Holidays)-1)&amp;" of "&amp;CHOOSE($W969,3,3,2,2,3))&amp;" | Total Day "&amp;MAX(0,NETWORKDAYS($L969,TODAY(),Holidays)-1))</f>
        <v/>
      </c>
      <c r="W969" s="17">
        <f>IF($L969="","",COUNT($L969:$Q969))</f>
        <v/>
      </c>
      <c r="X969" s="18">
        <f>IF($W969="","",INT(INDEX($L969:$Q969,$W969)))</f>
        <v/>
      </c>
      <c r="Y969" s="18">
        <f>IF(OR($W969="",$W969=6),"",WORKDAY($X969,CHOOSE($W969,3,3,2,2,3),Holidays))</f>
        <v/>
      </c>
      <c r="Z969" s="17">
        <f>IF(OR($W969="",$W969=6),"",CHOOSE($W969,"1st Email Follow-up","2nd Email Follow-up","Escalate Local Office","Escalate to CBE","Escalate to Roxanne"))</f>
        <v/>
      </c>
    </row>
    <row r="970" spans="18:26">
      <c r="R970" s="15"/>
      <c r="S970" s="16"/>
      <c r="T970" s="17">
        <f>IF(AND(COUNTA($A970:$K970)=0,$L970=""),"",IF($S970="Paid","PAID",IF($S970="Closed","CLOSED",IF($W970="","",IF($W970=6,"ESCALATED TO ROXANNE",IF(TODAY()&gt;$Y970,"OVERDUE",IF($Y970&lt;=WORKDAY(TODAY(),1,Holidays),"DUE TOMORROW",IF($W970=4,"ESCALATED TO LOCAL OFFICE",IF($W970=5,"ESCALATED TO CBE",IF($X970=TODAY(),"EMAIL SENT","MONITORING"))))))))))</f>
        <v/>
      </c>
      <c r="U970" s="17">
        <f>IF($T970="",IF(AND(COUNTA($A970:$K970)&gt;0,$L970=""),"Awaiting Collection Email time stamp.",""),IF(OR($T970="PAID",$T970="CLOSED"),IF($T970="PAID","Account paid. Action completed.","Account closed. No further action required."),CHOOSE($W970,"Collection Email","1st Email Follow-up","2nd Email Follow-up","Escalation to Local Office","Escalation to CBE","Escalation to Roxanne")&amp;" sent "&amp;TEXT($X970,"dd-mmm")&amp;". "&amp;IF($W970=6,"Final escalation completed.",IF($T970="OVERDUE","Next: "&amp;$Z970&amp;" was due "&amp;TEXT($Y970,"dd-mmm")&amp;" - "&amp;(NETWORKDAYS($Y970,TODAY(),Holidays)-1)&amp;" business day(s) late. Send now.",IF($T970="DUE TOMORROW","Next: "&amp;$Z970&amp;IF($Y970&lt;=TODAY()," is due TODAY ("," is due next business day (")&amp;TEXT($Y970,"dd-mmm")&amp;").","Next: "&amp;$Z970&amp;" due "&amp;TEXT($Y970,"dd-mmm")&amp;" ("&amp;(NETWORKDAYS(TODAY(),$Y970,Holidays)-1)&amp;" business day(s) left).")))))</f>
        <v/>
      </c>
      <c r="V970" s="17">
        <f>IF($W970="","",CHOOSE($W970,"Collection Email","1st Follow-up","2nd Follow-up","Local Office","CBE","Roxanne")&amp;IF($W970=6," - Final"," - Day "&amp;MAX(0,NETWORKDAYS($X970,TODAY(),Holidays)-1)&amp;" of "&amp;CHOOSE($W970,3,3,2,2,3))&amp;" | Total Day "&amp;MAX(0,NETWORKDAYS($L970,TODAY(),Holidays)-1))</f>
        <v/>
      </c>
      <c r="W970" s="17">
        <f>IF($L970="","",COUNT($L970:$Q970))</f>
        <v/>
      </c>
      <c r="X970" s="18">
        <f>IF($W970="","",INT(INDEX($L970:$Q970,$W970)))</f>
        <v/>
      </c>
      <c r="Y970" s="18">
        <f>IF(OR($W970="",$W970=6),"",WORKDAY($X970,CHOOSE($W970,3,3,2,2,3),Holidays))</f>
        <v/>
      </c>
      <c r="Z970" s="17">
        <f>IF(OR($W970="",$W970=6),"",CHOOSE($W970,"1st Email Follow-up","2nd Email Follow-up","Escalate Local Office","Escalate to CBE","Escalate to Roxanne"))</f>
        <v/>
      </c>
    </row>
    <row r="971" spans="18:26">
      <c r="R971" s="15"/>
      <c r="S971" s="16"/>
      <c r="T971" s="17">
        <f>IF(AND(COUNTA($A971:$K971)=0,$L971=""),"",IF($S971="Paid","PAID",IF($S971="Closed","CLOSED",IF($W971="","",IF($W971=6,"ESCALATED TO ROXANNE",IF(TODAY()&gt;$Y971,"OVERDUE",IF($Y971&lt;=WORKDAY(TODAY(),1,Holidays),"DUE TOMORROW",IF($W971=4,"ESCALATED TO LOCAL OFFICE",IF($W971=5,"ESCALATED TO CBE",IF($X971=TODAY(),"EMAIL SENT","MONITORING"))))))))))</f>
        <v/>
      </c>
      <c r="U971" s="17">
        <f>IF($T971="",IF(AND(COUNTA($A971:$K971)&gt;0,$L971=""),"Awaiting Collection Email time stamp.",""),IF(OR($T971="PAID",$T971="CLOSED"),IF($T971="PAID","Account paid. Action completed.","Account closed. No further action required."),CHOOSE($W971,"Collection Email","1st Email Follow-up","2nd Email Follow-up","Escalation to Local Office","Escalation to CBE","Escalation to Roxanne")&amp;" sent "&amp;TEXT($X971,"dd-mmm")&amp;". "&amp;IF($W971=6,"Final escalation completed.",IF($T971="OVERDUE","Next: "&amp;$Z971&amp;" was due "&amp;TEXT($Y971,"dd-mmm")&amp;" - "&amp;(NETWORKDAYS($Y971,TODAY(),Holidays)-1)&amp;" business day(s) late. Send now.",IF($T971="DUE TOMORROW","Next: "&amp;$Z971&amp;IF($Y971&lt;=TODAY()," is due TODAY ("," is due next business day (")&amp;TEXT($Y971,"dd-mmm")&amp;").","Next: "&amp;$Z971&amp;" due "&amp;TEXT($Y971,"dd-mmm")&amp;" ("&amp;(NETWORKDAYS(TODAY(),$Y971,Holidays)-1)&amp;" business day(s) left).")))))</f>
        <v/>
      </c>
      <c r="V971" s="17">
        <f>IF($W971="","",CHOOSE($W971,"Collection Email","1st Follow-up","2nd Follow-up","Local Office","CBE","Roxanne")&amp;IF($W971=6," - Final"," - Day "&amp;MAX(0,NETWORKDAYS($X971,TODAY(),Holidays)-1)&amp;" of "&amp;CHOOSE($W971,3,3,2,2,3))&amp;" | Total Day "&amp;MAX(0,NETWORKDAYS($L971,TODAY(),Holidays)-1))</f>
        <v/>
      </c>
      <c r="W971" s="17">
        <f>IF($L971="","",COUNT($L971:$Q971))</f>
        <v/>
      </c>
      <c r="X971" s="18">
        <f>IF($W971="","",INT(INDEX($L971:$Q971,$W971)))</f>
        <v/>
      </c>
      <c r="Y971" s="18">
        <f>IF(OR($W971="",$W971=6),"",WORKDAY($X971,CHOOSE($W971,3,3,2,2,3),Holidays))</f>
        <v/>
      </c>
      <c r="Z971" s="17">
        <f>IF(OR($W971="",$W971=6),"",CHOOSE($W971,"1st Email Follow-up","2nd Email Follow-up","Escalate Local Office","Escalate to CBE","Escalate to Roxanne"))</f>
        <v/>
      </c>
    </row>
    <row r="972" spans="18:26">
      <c r="R972" s="15"/>
      <c r="S972" s="16"/>
      <c r="T972" s="17">
        <f>IF(AND(COUNTA($A972:$K972)=0,$L972=""),"",IF($S972="Paid","PAID",IF($S972="Closed","CLOSED",IF($W972="","",IF($W972=6,"ESCALATED TO ROXANNE",IF(TODAY()&gt;$Y972,"OVERDUE",IF($Y972&lt;=WORKDAY(TODAY(),1,Holidays),"DUE TOMORROW",IF($W972=4,"ESCALATED TO LOCAL OFFICE",IF($W972=5,"ESCALATED TO CBE",IF($X972=TODAY(),"EMAIL SENT","MONITORING"))))))))))</f>
        <v/>
      </c>
      <c r="U972" s="17">
        <f>IF($T972="",IF(AND(COUNTA($A972:$K972)&gt;0,$L972=""),"Awaiting Collection Email time stamp.",""),IF(OR($T972="PAID",$T972="CLOSED"),IF($T972="PAID","Account paid. Action completed.","Account closed. No further action required."),CHOOSE($W972,"Collection Email","1st Email Follow-up","2nd Email Follow-up","Escalation to Local Office","Escalation to CBE","Escalation to Roxanne")&amp;" sent "&amp;TEXT($X972,"dd-mmm")&amp;". "&amp;IF($W972=6,"Final escalation completed.",IF($T972="OVERDUE","Next: "&amp;$Z972&amp;" was due "&amp;TEXT($Y972,"dd-mmm")&amp;" - "&amp;(NETWORKDAYS($Y972,TODAY(),Holidays)-1)&amp;" business day(s) late. Send now.",IF($T972="DUE TOMORROW","Next: "&amp;$Z972&amp;IF($Y972&lt;=TODAY()," is due TODAY ("," is due next business day (")&amp;TEXT($Y972,"dd-mmm")&amp;").","Next: "&amp;$Z972&amp;" due "&amp;TEXT($Y972,"dd-mmm")&amp;" ("&amp;(NETWORKDAYS(TODAY(),$Y972,Holidays)-1)&amp;" business day(s) left).")))))</f>
        <v/>
      </c>
      <c r="V972" s="17">
        <f>IF($W972="","",CHOOSE($W972,"Collection Email","1st Follow-up","2nd Follow-up","Local Office","CBE","Roxanne")&amp;IF($W972=6," - Final"," - Day "&amp;MAX(0,NETWORKDAYS($X972,TODAY(),Holidays)-1)&amp;" of "&amp;CHOOSE($W972,3,3,2,2,3))&amp;" | Total Day "&amp;MAX(0,NETWORKDAYS($L972,TODAY(),Holidays)-1))</f>
        <v/>
      </c>
      <c r="W972" s="17">
        <f>IF($L972="","",COUNT($L972:$Q972))</f>
        <v/>
      </c>
      <c r="X972" s="18">
        <f>IF($W972="","",INT(INDEX($L972:$Q972,$W972)))</f>
        <v/>
      </c>
      <c r="Y972" s="18">
        <f>IF(OR($W972="",$W972=6),"",WORKDAY($X972,CHOOSE($W972,3,3,2,2,3),Holidays))</f>
        <v/>
      </c>
      <c r="Z972" s="17">
        <f>IF(OR($W972="",$W972=6),"",CHOOSE($W972,"1st Email Follow-up","2nd Email Follow-up","Escalate Local Office","Escalate to CBE","Escalate to Roxanne"))</f>
        <v/>
      </c>
    </row>
    <row r="973" spans="18:26">
      <c r="R973" s="15"/>
      <c r="S973" s="16"/>
      <c r="T973" s="17">
        <f>IF(AND(COUNTA($A973:$K973)=0,$L973=""),"",IF($S973="Paid","PAID",IF($S973="Closed","CLOSED",IF($W973="","",IF($W973=6,"ESCALATED TO ROXANNE",IF(TODAY()&gt;$Y973,"OVERDUE",IF($Y973&lt;=WORKDAY(TODAY(),1,Holidays),"DUE TOMORROW",IF($W973=4,"ESCALATED TO LOCAL OFFICE",IF($W973=5,"ESCALATED TO CBE",IF($X973=TODAY(),"EMAIL SENT","MONITORING"))))))))))</f>
        <v/>
      </c>
      <c r="U973" s="17">
        <f>IF($T973="",IF(AND(COUNTA($A973:$K973)&gt;0,$L973=""),"Awaiting Collection Email time stamp.",""),IF(OR($T973="PAID",$T973="CLOSED"),IF($T973="PAID","Account paid. Action completed.","Account closed. No further action required."),CHOOSE($W973,"Collection Email","1st Email Follow-up","2nd Email Follow-up","Escalation to Local Office","Escalation to CBE","Escalation to Roxanne")&amp;" sent "&amp;TEXT($X973,"dd-mmm")&amp;". "&amp;IF($W973=6,"Final escalation completed.",IF($T973="OVERDUE","Next: "&amp;$Z973&amp;" was due "&amp;TEXT($Y973,"dd-mmm")&amp;" - "&amp;(NETWORKDAYS($Y973,TODAY(),Holidays)-1)&amp;" business day(s) late. Send now.",IF($T973="DUE TOMORROW","Next: "&amp;$Z973&amp;IF($Y973&lt;=TODAY()," is due TODAY ("," is due next business day (")&amp;TEXT($Y973,"dd-mmm")&amp;").","Next: "&amp;$Z973&amp;" due "&amp;TEXT($Y973,"dd-mmm")&amp;" ("&amp;(NETWORKDAYS(TODAY(),$Y973,Holidays)-1)&amp;" business day(s) left).")))))</f>
        <v/>
      </c>
      <c r="V973" s="17">
        <f>IF($W973="","",CHOOSE($W973,"Collection Email","1st Follow-up","2nd Follow-up","Local Office","CBE","Roxanne")&amp;IF($W973=6," - Final"," - Day "&amp;MAX(0,NETWORKDAYS($X973,TODAY(),Holidays)-1)&amp;" of "&amp;CHOOSE($W973,3,3,2,2,3))&amp;" | Total Day "&amp;MAX(0,NETWORKDAYS($L973,TODAY(),Holidays)-1))</f>
        <v/>
      </c>
      <c r="W973" s="17">
        <f>IF($L973="","",COUNT($L973:$Q973))</f>
        <v/>
      </c>
      <c r="X973" s="18">
        <f>IF($W973="","",INT(INDEX($L973:$Q973,$W973)))</f>
        <v/>
      </c>
      <c r="Y973" s="18">
        <f>IF(OR($W973="",$W973=6),"",WORKDAY($X973,CHOOSE($W973,3,3,2,2,3),Holidays))</f>
        <v/>
      </c>
      <c r="Z973" s="17">
        <f>IF(OR($W973="",$W973=6),"",CHOOSE($W973,"1st Email Follow-up","2nd Email Follow-up","Escalate Local Office","Escalate to CBE","Escalate to Roxanne"))</f>
        <v/>
      </c>
    </row>
    <row r="974" spans="18:26">
      <c r="R974" s="15"/>
      <c r="S974" s="16"/>
      <c r="T974" s="17">
        <f>IF(AND(COUNTA($A974:$K974)=0,$L974=""),"",IF($S974="Paid","PAID",IF($S974="Closed","CLOSED",IF($W974="","",IF($W974=6,"ESCALATED TO ROXANNE",IF(TODAY()&gt;$Y974,"OVERDUE",IF($Y974&lt;=WORKDAY(TODAY(),1,Holidays),"DUE TOMORROW",IF($W974=4,"ESCALATED TO LOCAL OFFICE",IF($W974=5,"ESCALATED TO CBE",IF($X974=TODAY(),"EMAIL SENT","MONITORING"))))))))))</f>
        <v/>
      </c>
      <c r="U974" s="17">
        <f>IF($T974="",IF(AND(COUNTA($A974:$K974)&gt;0,$L974=""),"Awaiting Collection Email time stamp.",""),IF(OR($T974="PAID",$T974="CLOSED"),IF($T974="PAID","Account paid. Action completed.","Account closed. No further action required."),CHOOSE($W974,"Collection Email","1st Email Follow-up","2nd Email Follow-up","Escalation to Local Office","Escalation to CBE","Escalation to Roxanne")&amp;" sent "&amp;TEXT($X974,"dd-mmm")&amp;". "&amp;IF($W974=6,"Final escalation completed.",IF($T974="OVERDUE","Next: "&amp;$Z974&amp;" was due "&amp;TEXT($Y974,"dd-mmm")&amp;" - "&amp;(NETWORKDAYS($Y974,TODAY(),Holidays)-1)&amp;" business day(s) late. Send now.",IF($T974="DUE TOMORROW","Next: "&amp;$Z974&amp;IF($Y974&lt;=TODAY()," is due TODAY ("," is due next business day (")&amp;TEXT($Y974,"dd-mmm")&amp;").","Next: "&amp;$Z974&amp;" due "&amp;TEXT($Y974,"dd-mmm")&amp;" ("&amp;(NETWORKDAYS(TODAY(),$Y974,Holidays)-1)&amp;" business day(s) left).")))))</f>
        <v/>
      </c>
      <c r="V974" s="17">
        <f>IF($W974="","",CHOOSE($W974,"Collection Email","1st Follow-up","2nd Follow-up","Local Office","CBE","Roxanne")&amp;IF($W974=6," - Final"," - Day "&amp;MAX(0,NETWORKDAYS($X974,TODAY(),Holidays)-1)&amp;" of "&amp;CHOOSE($W974,3,3,2,2,3))&amp;" | Total Day "&amp;MAX(0,NETWORKDAYS($L974,TODAY(),Holidays)-1))</f>
        <v/>
      </c>
      <c r="W974" s="17">
        <f>IF($L974="","",COUNT($L974:$Q974))</f>
        <v/>
      </c>
      <c r="X974" s="18">
        <f>IF($W974="","",INT(INDEX($L974:$Q974,$W974)))</f>
        <v/>
      </c>
      <c r="Y974" s="18">
        <f>IF(OR($W974="",$W974=6),"",WORKDAY($X974,CHOOSE($W974,3,3,2,2,3),Holidays))</f>
        <v/>
      </c>
      <c r="Z974" s="17">
        <f>IF(OR($W974="",$W974=6),"",CHOOSE($W974,"1st Email Follow-up","2nd Email Follow-up","Escalate Local Office","Escalate to CBE","Escalate to Roxanne"))</f>
        <v/>
      </c>
    </row>
    <row r="975" spans="18:26">
      <c r="R975" s="15"/>
      <c r="S975" s="16"/>
      <c r="T975" s="17">
        <f>IF(AND(COUNTA($A975:$K975)=0,$L975=""),"",IF($S975="Paid","PAID",IF($S975="Closed","CLOSED",IF($W975="","",IF($W975=6,"ESCALATED TO ROXANNE",IF(TODAY()&gt;$Y975,"OVERDUE",IF($Y975&lt;=WORKDAY(TODAY(),1,Holidays),"DUE TOMORROW",IF($W975=4,"ESCALATED TO LOCAL OFFICE",IF($W975=5,"ESCALATED TO CBE",IF($X975=TODAY(),"EMAIL SENT","MONITORING"))))))))))</f>
        <v/>
      </c>
      <c r="U975" s="17">
        <f>IF($T975="",IF(AND(COUNTA($A975:$K975)&gt;0,$L975=""),"Awaiting Collection Email time stamp.",""),IF(OR($T975="PAID",$T975="CLOSED"),IF($T975="PAID","Account paid. Action completed.","Account closed. No further action required."),CHOOSE($W975,"Collection Email","1st Email Follow-up","2nd Email Follow-up","Escalation to Local Office","Escalation to CBE","Escalation to Roxanne")&amp;" sent "&amp;TEXT($X975,"dd-mmm")&amp;". "&amp;IF($W975=6,"Final escalation completed.",IF($T975="OVERDUE","Next: "&amp;$Z975&amp;" was due "&amp;TEXT($Y975,"dd-mmm")&amp;" - "&amp;(NETWORKDAYS($Y975,TODAY(),Holidays)-1)&amp;" business day(s) late. Send now.",IF($T975="DUE TOMORROW","Next: "&amp;$Z975&amp;IF($Y975&lt;=TODAY()," is due TODAY ("," is due next business day (")&amp;TEXT($Y975,"dd-mmm")&amp;").","Next: "&amp;$Z975&amp;" due "&amp;TEXT($Y975,"dd-mmm")&amp;" ("&amp;(NETWORKDAYS(TODAY(),$Y975,Holidays)-1)&amp;" business day(s) left).")))))</f>
        <v/>
      </c>
      <c r="V975" s="17">
        <f>IF($W975="","",CHOOSE($W975,"Collection Email","1st Follow-up","2nd Follow-up","Local Office","CBE","Roxanne")&amp;IF($W975=6," - Final"," - Day "&amp;MAX(0,NETWORKDAYS($X975,TODAY(),Holidays)-1)&amp;" of "&amp;CHOOSE($W975,3,3,2,2,3))&amp;" | Total Day "&amp;MAX(0,NETWORKDAYS($L975,TODAY(),Holidays)-1))</f>
        <v/>
      </c>
      <c r="W975" s="17">
        <f>IF($L975="","",COUNT($L975:$Q975))</f>
        <v/>
      </c>
      <c r="X975" s="18">
        <f>IF($W975="","",INT(INDEX($L975:$Q975,$W975)))</f>
        <v/>
      </c>
      <c r="Y975" s="18">
        <f>IF(OR($W975="",$W975=6),"",WORKDAY($X975,CHOOSE($W975,3,3,2,2,3),Holidays))</f>
        <v/>
      </c>
      <c r="Z975" s="17">
        <f>IF(OR($W975="",$W975=6),"",CHOOSE($W975,"1st Email Follow-up","2nd Email Follow-up","Escalate Local Office","Escalate to CBE","Escalate to Roxanne"))</f>
        <v/>
      </c>
    </row>
    <row r="976" spans="18:26">
      <c r="R976" s="15"/>
      <c r="S976" s="16"/>
      <c r="T976" s="17">
        <f>IF(AND(COUNTA($A976:$K976)=0,$L976=""),"",IF($S976="Paid","PAID",IF($S976="Closed","CLOSED",IF($W976="","",IF($W976=6,"ESCALATED TO ROXANNE",IF(TODAY()&gt;$Y976,"OVERDUE",IF($Y976&lt;=WORKDAY(TODAY(),1,Holidays),"DUE TOMORROW",IF($W976=4,"ESCALATED TO LOCAL OFFICE",IF($W976=5,"ESCALATED TO CBE",IF($X976=TODAY(),"EMAIL SENT","MONITORING"))))))))))</f>
        <v/>
      </c>
      <c r="U976" s="17">
        <f>IF($T976="",IF(AND(COUNTA($A976:$K976)&gt;0,$L976=""),"Awaiting Collection Email time stamp.",""),IF(OR($T976="PAID",$T976="CLOSED"),IF($T976="PAID","Account paid. Action completed.","Account closed. No further action required."),CHOOSE($W976,"Collection Email","1st Email Follow-up","2nd Email Follow-up","Escalation to Local Office","Escalation to CBE","Escalation to Roxanne")&amp;" sent "&amp;TEXT($X976,"dd-mmm")&amp;". "&amp;IF($W976=6,"Final escalation completed.",IF($T976="OVERDUE","Next: "&amp;$Z976&amp;" was due "&amp;TEXT($Y976,"dd-mmm")&amp;" - "&amp;(NETWORKDAYS($Y976,TODAY(),Holidays)-1)&amp;" business day(s) late. Send now.",IF($T976="DUE TOMORROW","Next: "&amp;$Z976&amp;IF($Y976&lt;=TODAY()," is due TODAY ("," is due next business day (")&amp;TEXT($Y976,"dd-mmm")&amp;").","Next: "&amp;$Z976&amp;" due "&amp;TEXT($Y976,"dd-mmm")&amp;" ("&amp;(NETWORKDAYS(TODAY(),$Y976,Holidays)-1)&amp;" business day(s) left).")))))</f>
        <v/>
      </c>
      <c r="V976" s="17">
        <f>IF($W976="","",CHOOSE($W976,"Collection Email","1st Follow-up","2nd Follow-up","Local Office","CBE","Roxanne")&amp;IF($W976=6," - Final"," - Day "&amp;MAX(0,NETWORKDAYS($X976,TODAY(),Holidays)-1)&amp;" of "&amp;CHOOSE($W976,3,3,2,2,3))&amp;" | Total Day "&amp;MAX(0,NETWORKDAYS($L976,TODAY(),Holidays)-1))</f>
        <v/>
      </c>
      <c r="W976" s="17">
        <f>IF($L976="","",COUNT($L976:$Q976))</f>
        <v/>
      </c>
      <c r="X976" s="18">
        <f>IF($W976="","",INT(INDEX($L976:$Q976,$W976)))</f>
        <v/>
      </c>
      <c r="Y976" s="18">
        <f>IF(OR($W976="",$W976=6),"",WORKDAY($X976,CHOOSE($W976,3,3,2,2,3),Holidays))</f>
        <v/>
      </c>
      <c r="Z976" s="17">
        <f>IF(OR($W976="",$W976=6),"",CHOOSE($W976,"1st Email Follow-up","2nd Email Follow-up","Escalate Local Office","Escalate to CBE","Escalate to Roxanne"))</f>
        <v/>
      </c>
    </row>
    <row r="977" spans="18:26">
      <c r="R977" s="15"/>
      <c r="S977" s="16"/>
      <c r="T977" s="17">
        <f>IF(AND(COUNTA($A977:$K977)=0,$L977=""),"",IF($S977="Paid","PAID",IF($S977="Closed","CLOSED",IF($W977="","",IF($W977=6,"ESCALATED TO ROXANNE",IF(TODAY()&gt;$Y977,"OVERDUE",IF($Y977&lt;=WORKDAY(TODAY(),1,Holidays),"DUE TOMORROW",IF($W977=4,"ESCALATED TO LOCAL OFFICE",IF($W977=5,"ESCALATED TO CBE",IF($X977=TODAY(),"EMAIL SENT","MONITORING"))))))))))</f>
        <v/>
      </c>
      <c r="U977" s="17">
        <f>IF($T977="",IF(AND(COUNTA($A977:$K977)&gt;0,$L977=""),"Awaiting Collection Email time stamp.",""),IF(OR($T977="PAID",$T977="CLOSED"),IF($T977="PAID","Account paid. Action completed.","Account closed. No further action required."),CHOOSE($W977,"Collection Email","1st Email Follow-up","2nd Email Follow-up","Escalation to Local Office","Escalation to CBE","Escalation to Roxanne")&amp;" sent "&amp;TEXT($X977,"dd-mmm")&amp;". "&amp;IF($W977=6,"Final escalation completed.",IF($T977="OVERDUE","Next: "&amp;$Z977&amp;" was due "&amp;TEXT($Y977,"dd-mmm")&amp;" - "&amp;(NETWORKDAYS($Y977,TODAY(),Holidays)-1)&amp;" business day(s) late. Send now.",IF($T977="DUE TOMORROW","Next: "&amp;$Z977&amp;IF($Y977&lt;=TODAY()," is due TODAY ("," is due next business day (")&amp;TEXT($Y977,"dd-mmm")&amp;").","Next: "&amp;$Z977&amp;" due "&amp;TEXT($Y977,"dd-mmm")&amp;" ("&amp;(NETWORKDAYS(TODAY(),$Y977,Holidays)-1)&amp;" business day(s) left).")))))</f>
        <v/>
      </c>
      <c r="V977" s="17">
        <f>IF($W977="","",CHOOSE($W977,"Collection Email","1st Follow-up","2nd Follow-up","Local Office","CBE","Roxanne")&amp;IF($W977=6," - Final"," - Day "&amp;MAX(0,NETWORKDAYS($X977,TODAY(),Holidays)-1)&amp;" of "&amp;CHOOSE($W977,3,3,2,2,3))&amp;" | Total Day "&amp;MAX(0,NETWORKDAYS($L977,TODAY(),Holidays)-1))</f>
        <v/>
      </c>
      <c r="W977" s="17">
        <f>IF($L977="","",COUNT($L977:$Q977))</f>
        <v/>
      </c>
      <c r="X977" s="18">
        <f>IF($W977="","",INT(INDEX($L977:$Q977,$W977)))</f>
        <v/>
      </c>
      <c r="Y977" s="18">
        <f>IF(OR($W977="",$W977=6),"",WORKDAY($X977,CHOOSE($W977,3,3,2,2,3),Holidays))</f>
        <v/>
      </c>
      <c r="Z977" s="17">
        <f>IF(OR($W977="",$W977=6),"",CHOOSE($W977,"1st Email Follow-up","2nd Email Follow-up","Escalate Local Office","Escalate to CBE","Escalate to Roxanne"))</f>
        <v/>
      </c>
    </row>
    <row r="978" spans="18:26">
      <c r="R978" s="15"/>
      <c r="S978" s="16"/>
      <c r="T978" s="17">
        <f>IF(AND(COUNTA($A978:$K978)=0,$L978=""),"",IF($S978="Paid","PAID",IF($S978="Closed","CLOSED",IF($W978="","",IF($W978=6,"ESCALATED TO ROXANNE",IF(TODAY()&gt;$Y978,"OVERDUE",IF($Y978&lt;=WORKDAY(TODAY(),1,Holidays),"DUE TOMORROW",IF($W978=4,"ESCALATED TO LOCAL OFFICE",IF($W978=5,"ESCALATED TO CBE",IF($X978=TODAY(),"EMAIL SENT","MONITORING"))))))))))</f>
        <v/>
      </c>
      <c r="U978" s="17">
        <f>IF($T978="",IF(AND(COUNTA($A978:$K978)&gt;0,$L978=""),"Awaiting Collection Email time stamp.",""),IF(OR($T978="PAID",$T978="CLOSED"),IF($T978="PAID","Account paid. Action completed.","Account closed. No further action required."),CHOOSE($W978,"Collection Email","1st Email Follow-up","2nd Email Follow-up","Escalation to Local Office","Escalation to CBE","Escalation to Roxanne")&amp;" sent "&amp;TEXT($X978,"dd-mmm")&amp;". "&amp;IF($W978=6,"Final escalation completed.",IF($T978="OVERDUE","Next: "&amp;$Z978&amp;" was due "&amp;TEXT($Y978,"dd-mmm")&amp;" - "&amp;(NETWORKDAYS($Y978,TODAY(),Holidays)-1)&amp;" business day(s) late. Send now.",IF($T978="DUE TOMORROW","Next: "&amp;$Z978&amp;IF($Y978&lt;=TODAY()," is due TODAY ("," is due next business day (")&amp;TEXT($Y978,"dd-mmm")&amp;").","Next: "&amp;$Z978&amp;" due "&amp;TEXT($Y978,"dd-mmm")&amp;" ("&amp;(NETWORKDAYS(TODAY(),$Y978,Holidays)-1)&amp;" business day(s) left).")))))</f>
        <v/>
      </c>
      <c r="V978" s="17">
        <f>IF($W978="","",CHOOSE($W978,"Collection Email","1st Follow-up","2nd Follow-up","Local Office","CBE","Roxanne")&amp;IF($W978=6," - Final"," - Day "&amp;MAX(0,NETWORKDAYS($X978,TODAY(),Holidays)-1)&amp;" of "&amp;CHOOSE($W978,3,3,2,2,3))&amp;" | Total Day "&amp;MAX(0,NETWORKDAYS($L978,TODAY(),Holidays)-1))</f>
        <v/>
      </c>
      <c r="W978" s="17">
        <f>IF($L978="","",COUNT($L978:$Q978))</f>
        <v/>
      </c>
      <c r="X978" s="18">
        <f>IF($W978="","",INT(INDEX($L978:$Q978,$W978)))</f>
        <v/>
      </c>
      <c r="Y978" s="18">
        <f>IF(OR($W978="",$W978=6),"",WORKDAY($X978,CHOOSE($W978,3,3,2,2,3),Holidays))</f>
        <v/>
      </c>
      <c r="Z978" s="17">
        <f>IF(OR($W978="",$W978=6),"",CHOOSE($W978,"1st Email Follow-up","2nd Email Follow-up","Escalate Local Office","Escalate to CBE","Escalate to Roxanne"))</f>
        <v/>
      </c>
    </row>
    <row r="979" spans="18:26">
      <c r="R979" s="15"/>
      <c r="S979" s="16"/>
      <c r="T979" s="17">
        <f>IF(AND(COUNTA($A979:$K979)=0,$L979=""),"",IF($S979="Paid","PAID",IF($S979="Closed","CLOSED",IF($W979="","",IF($W979=6,"ESCALATED TO ROXANNE",IF(TODAY()&gt;$Y979,"OVERDUE",IF($Y979&lt;=WORKDAY(TODAY(),1,Holidays),"DUE TOMORROW",IF($W979=4,"ESCALATED TO LOCAL OFFICE",IF($W979=5,"ESCALATED TO CBE",IF($X979=TODAY(),"EMAIL SENT","MONITORING"))))))))))</f>
        <v/>
      </c>
      <c r="U979" s="17">
        <f>IF($T979="",IF(AND(COUNTA($A979:$K979)&gt;0,$L979=""),"Awaiting Collection Email time stamp.",""),IF(OR($T979="PAID",$T979="CLOSED"),IF($T979="PAID","Account paid. Action completed.","Account closed. No further action required."),CHOOSE($W979,"Collection Email","1st Email Follow-up","2nd Email Follow-up","Escalation to Local Office","Escalation to CBE","Escalation to Roxanne")&amp;" sent "&amp;TEXT($X979,"dd-mmm")&amp;". "&amp;IF($W979=6,"Final escalation completed.",IF($T979="OVERDUE","Next: "&amp;$Z979&amp;" was due "&amp;TEXT($Y979,"dd-mmm")&amp;" - "&amp;(NETWORKDAYS($Y979,TODAY(),Holidays)-1)&amp;" business day(s) late. Send now.",IF($T979="DUE TOMORROW","Next: "&amp;$Z979&amp;IF($Y979&lt;=TODAY()," is due TODAY ("," is due next business day (")&amp;TEXT($Y979,"dd-mmm")&amp;").","Next: "&amp;$Z979&amp;" due "&amp;TEXT($Y979,"dd-mmm")&amp;" ("&amp;(NETWORKDAYS(TODAY(),$Y979,Holidays)-1)&amp;" business day(s) left).")))))</f>
        <v/>
      </c>
      <c r="V979" s="17">
        <f>IF($W979="","",CHOOSE($W979,"Collection Email","1st Follow-up","2nd Follow-up","Local Office","CBE","Roxanne")&amp;IF($W979=6," - Final"," - Day "&amp;MAX(0,NETWORKDAYS($X979,TODAY(),Holidays)-1)&amp;" of "&amp;CHOOSE($W979,3,3,2,2,3))&amp;" | Total Day "&amp;MAX(0,NETWORKDAYS($L979,TODAY(),Holidays)-1))</f>
        <v/>
      </c>
      <c r="W979" s="17">
        <f>IF($L979="","",COUNT($L979:$Q979))</f>
        <v/>
      </c>
      <c r="X979" s="18">
        <f>IF($W979="","",INT(INDEX($L979:$Q979,$W979)))</f>
        <v/>
      </c>
      <c r="Y979" s="18">
        <f>IF(OR($W979="",$W979=6),"",WORKDAY($X979,CHOOSE($W979,3,3,2,2,3),Holidays))</f>
        <v/>
      </c>
      <c r="Z979" s="17">
        <f>IF(OR($W979="",$W979=6),"",CHOOSE($W979,"1st Email Follow-up","2nd Email Follow-up","Escalate Local Office","Escalate to CBE","Escalate to Roxanne"))</f>
        <v/>
      </c>
    </row>
    <row r="980" spans="18:26">
      <c r="R980" s="15"/>
      <c r="S980" s="16"/>
      <c r="T980" s="17">
        <f>IF(AND(COUNTA($A980:$K980)=0,$L980=""),"",IF($S980="Paid","PAID",IF($S980="Closed","CLOSED",IF($W980="","",IF($W980=6,"ESCALATED TO ROXANNE",IF(TODAY()&gt;$Y980,"OVERDUE",IF($Y980&lt;=WORKDAY(TODAY(),1,Holidays),"DUE TOMORROW",IF($W980=4,"ESCALATED TO LOCAL OFFICE",IF($W980=5,"ESCALATED TO CBE",IF($X980=TODAY(),"EMAIL SENT","MONITORING"))))))))))</f>
        <v/>
      </c>
      <c r="U980" s="17">
        <f>IF($T980="",IF(AND(COUNTA($A980:$K980)&gt;0,$L980=""),"Awaiting Collection Email time stamp.",""),IF(OR($T980="PAID",$T980="CLOSED"),IF($T980="PAID","Account paid. Action completed.","Account closed. No further action required."),CHOOSE($W980,"Collection Email","1st Email Follow-up","2nd Email Follow-up","Escalation to Local Office","Escalation to CBE","Escalation to Roxanne")&amp;" sent "&amp;TEXT($X980,"dd-mmm")&amp;". "&amp;IF($W980=6,"Final escalation completed.",IF($T980="OVERDUE","Next: "&amp;$Z980&amp;" was due "&amp;TEXT($Y980,"dd-mmm")&amp;" - "&amp;(NETWORKDAYS($Y980,TODAY(),Holidays)-1)&amp;" business day(s) late. Send now.",IF($T980="DUE TOMORROW","Next: "&amp;$Z980&amp;IF($Y980&lt;=TODAY()," is due TODAY ("," is due next business day (")&amp;TEXT($Y980,"dd-mmm")&amp;").","Next: "&amp;$Z980&amp;" due "&amp;TEXT($Y980,"dd-mmm")&amp;" ("&amp;(NETWORKDAYS(TODAY(),$Y980,Holidays)-1)&amp;" business day(s) left).")))))</f>
        <v/>
      </c>
      <c r="V980" s="17">
        <f>IF($W980="","",CHOOSE($W980,"Collection Email","1st Follow-up","2nd Follow-up","Local Office","CBE","Roxanne")&amp;IF($W980=6," - Final"," - Day "&amp;MAX(0,NETWORKDAYS($X980,TODAY(),Holidays)-1)&amp;" of "&amp;CHOOSE($W980,3,3,2,2,3))&amp;" | Total Day "&amp;MAX(0,NETWORKDAYS($L980,TODAY(),Holidays)-1))</f>
        <v/>
      </c>
      <c r="W980" s="17">
        <f>IF($L980="","",COUNT($L980:$Q980))</f>
        <v/>
      </c>
      <c r="X980" s="18">
        <f>IF($W980="","",INT(INDEX($L980:$Q980,$W980)))</f>
        <v/>
      </c>
      <c r="Y980" s="18">
        <f>IF(OR($W980="",$W980=6),"",WORKDAY($X980,CHOOSE($W980,3,3,2,2,3),Holidays))</f>
        <v/>
      </c>
      <c r="Z980" s="17">
        <f>IF(OR($W980="",$W980=6),"",CHOOSE($W980,"1st Email Follow-up","2nd Email Follow-up","Escalate Local Office","Escalate to CBE","Escalate to Roxanne"))</f>
        <v/>
      </c>
    </row>
    <row r="981" spans="18:26">
      <c r="R981" s="15"/>
      <c r="S981" s="16"/>
      <c r="T981" s="17">
        <f>IF(AND(COUNTA($A981:$K981)=0,$L981=""),"",IF($S981="Paid","PAID",IF($S981="Closed","CLOSED",IF($W981="","",IF($W981=6,"ESCALATED TO ROXANNE",IF(TODAY()&gt;$Y981,"OVERDUE",IF($Y981&lt;=WORKDAY(TODAY(),1,Holidays),"DUE TOMORROW",IF($W981=4,"ESCALATED TO LOCAL OFFICE",IF($W981=5,"ESCALATED TO CBE",IF($X981=TODAY(),"EMAIL SENT","MONITORING"))))))))))</f>
        <v/>
      </c>
      <c r="U981" s="17">
        <f>IF($T981="",IF(AND(COUNTA($A981:$K981)&gt;0,$L981=""),"Awaiting Collection Email time stamp.",""),IF(OR($T981="PAID",$T981="CLOSED"),IF($T981="PAID","Account paid. Action completed.","Account closed. No further action required."),CHOOSE($W981,"Collection Email","1st Email Follow-up","2nd Email Follow-up","Escalation to Local Office","Escalation to CBE","Escalation to Roxanne")&amp;" sent "&amp;TEXT($X981,"dd-mmm")&amp;". "&amp;IF($W981=6,"Final escalation completed.",IF($T981="OVERDUE","Next: "&amp;$Z981&amp;" was due "&amp;TEXT($Y981,"dd-mmm")&amp;" - "&amp;(NETWORKDAYS($Y981,TODAY(),Holidays)-1)&amp;" business day(s) late. Send now.",IF($T981="DUE TOMORROW","Next: "&amp;$Z981&amp;IF($Y981&lt;=TODAY()," is due TODAY ("," is due next business day (")&amp;TEXT($Y981,"dd-mmm")&amp;").","Next: "&amp;$Z981&amp;" due "&amp;TEXT($Y981,"dd-mmm")&amp;" ("&amp;(NETWORKDAYS(TODAY(),$Y981,Holidays)-1)&amp;" business day(s) left).")))))</f>
        <v/>
      </c>
      <c r="V981" s="17">
        <f>IF($W981="","",CHOOSE($W981,"Collection Email","1st Follow-up","2nd Follow-up","Local Office","CBE","Roxanne")&amp;IF($W981=6," - Final"," - Day "&amp;MAX(0,NETWORKDAYS($X981,TODAY(),Holidays)-1)&amp;" of "&amp;CHOOSE($W981,3,3,2,2,3))&amp;" | Total Day "&amp;MAX(0,NETWORKDAYS($L981,TODAY(),Holidays)-1))</f>
        <v/>
      </c>
      <c r="W981" s="17">
        <f>IF($L981="","",COUNT($L981:$Q981))</f>
        <v/>
      </c>
      <c r="X981" s="18">
        <f>IF($W981="","",INT(INDEX($L981:$Q981,$W981)))</f>
        <v/>
      </c>
      <c r="Y981" s="18">
        <f>IF(OR($W981="",$W981=6),"",WORKDAY($X981,CHOOSE($W981,3,3,2,2,3),Holidays))</f>
        <v/>
      </c>
      <c r="Z981" s="17">
        <f>IF(OR($W981="",$W981=6),"",CHOOSE($W981,"1st Email Follow-up","2nd Email Follow-up","Escalate Local Office","Escalate to CBE","Escalate to Roxanne"))</f>
        <v/>
      </c>
    </row>
    <row r="982" spans="18:26">
      <c r="R982" s="15"/>
      <c r="S982" s="16"/>
      <c r="T982" s="17">
        <f>IF(AND(COUNTA($A982:$K982)=0,$L982=""),"",IF($S982="Paid","PAID",IF($S982="Closed","CLOSED",IF($W982="","",IF($W982=6,"ESCALATED TO ROXANNE",IF(TODAY()&gt;$Y982,"OVERDUE",IF($Y982&lt;=WORKDAY(TODAY(),1,Holidays),"DUE TOMORROW",IF($W982=4,"ESCALATED TO LOCAL OFFICE",IF($W982=5,"ESCALATED TO CBE",IF($X982=TODAY(),"EMAIL SENT","MONITORING"))))))))))</f>
        <v/>
      </c>
      <c r="U982" s="17">
        <f>IF($T982="",IF(AND(COUNTA($A982:$K982)&gt;0,$L982=""),"Awaiting Collection Email time stamp.",""),IF(OR($T982="PAID",$T982="CLOSED"),IF($T982="PAID","Account paid. Action completed.","Account closed. No further action required."),CHOOSE($W982,"Collection Email","1st Email Follow-up","2nd Email Follow-up","Escalation to Local Office","Escalation to CBE","Escalation to Roxanne")&amp;" sent "&amp;TEXT($X982,"dd-mmm")&amp;". "&amp;IF($W982=6,"Final escalation completed.",IF($T982="OVERDUE","Next: "&amp;$Z982&amp;" was due "&amp;TEXT($Y982,"dd-mmm")&amp;" - "&amp;(NETWORKDAYS($Y982,TODAY(),Holidays)-1)&amp;" business day(s) late. Send now.",IF($T982="DUE TOMORROW","Next: "&amp;$Z982&amp;IF($Y982&lt;=TODAY()," is due TODAY ("," is due next business day (")&amp;TEXT($Y982,"dd-mmm")&amp;").","Next: "&amp;$Z982&amp;" due "&amp;TEXT($Y982,"dd-mmm")&amp;" ("&amp;(NETWORKDAYS(TODAY(),$Y982,Holidays)-1)&amp;" business day(s) left).")))))</f>
        <v/>
      </c>
      <c r="V982" s="17">
        <f>IF($W982="","",CHOOSE($W982,"Collection Email","1st Follow-up","2nd Follow-up","Local Office","CBE","Roxanne")&amp;IF($W982=6," - Final"," - Day "&amp;MAX(0,NETWORKDAYS($X982,TODAY(),Holidays)-1)&amp;" of "&amp;CHOOSE($W982,3,3,2,2,3))&amp;" | Total Day "&amp;MAX(0,NETWORKDAYS($L982,TODAY(),Holidays)-1))</f>
        <v/>
      </c>
      <c r="W982" s="17">
        <f>IF($L982="","",COUNT($L982:$Q982))</f>
        <v/>
      </c>
      <c r="X982" s="18">
        <f>IF($W982="","",INT(INDEX($L982:$Q982,$W982)))</f>
        <v/>
      </c>
      <c r="Y982" s="18">
        <f>IF(OR($W982="",$W982=6),"",WORKDAY($X982,CHOOSE($W982,3,3,2,2,3),Holidays))</f>
        <v/>
      </c>
      <c r="Z982" s="17">
        <f>IF(OR($W982="",$W982=6),"",CHOOSE($W982,"1st Email Follow-up","2nd Email Follow-up","Escalate Local Office","Escalate to CBE","Escalate to Roxanne"))</f>
        <v/>
      </c>
    </row>
    <row r="983" spans="18:26">
      <c r="R983" s="15"/>
      <c r="S983" s="16"/>
      <c r="T983" s="17">
        <f>IF(AND(COUNTA($A983:$K983)=0,$L983=""),"",IF($S983="Paid","PAID",IF($S983="Closed","CLOSED",IF($W983="","",IF($W983=6,"ESCALATED TO ROXANNE",IF(TODAY()&gt;$Y983,"OVERDUE",IF($Y983&lt;=WORKDAY(TODAY(),1,Holidays),"DUE TOMORROW",IF($W983=4,"ESCALATED TO LOCAL OFFICE",IF($W983=5,"ESCALATED TO CBE",IF($X983=TODAY(),"EMAIL SENT","MONITORING"))))))))))</f>
        <v/>
      </c>
      <c r="U983" s="17">
        <f>IF($T983="",IF(AND(COUNTA($A983:$K983)&gt;0,$L983=""),"Awaiting Collection Email time stamp.",""),IF(OR($T983="PAID",$T983="CLOSED"),IF($T983="PAID","Account paid. Action completed.","Account closed. No further action required."),CHOOSE($W983,"Collection Email","1st Email Follow-up","2nd Email Follow-up","Escalation to Local Office","Escalation to CBE","Escalation to Roxanne")&amp;" sent "&amp;TEXT($X983,"dd-mmm")&amp;". "&amp;IF($W983=6,"Final escalation completed.",IF($T983="OVERDUE","Next: "&amp;$Z983&amp;" was due "&amp;TEXT($Y983,"dd-mmm")&amp;" - "&amp;(NETWORKDAYS($Y983,TODAY(),Holidays)-1)&amp;" business day(s) late. Send now.",IF($T983="DUE TOMORROW","Next: "&amp;$Z983&amp;IF($Y983&lt;=TODAY()," is due TODAY ("," is due next business day (")&amp;TEXT($Y983,"dd-mmm")&amp;").","Next: "&amp;$Z983&amp;" due "&amp;TEXT($Y983,"dd-mmm")&amp;" ("&amp;(NETWORKDAYS(TODAY(),$Y983,Holidays)-1)&amp;" business day(s) left).")))))</f>
        <v/>
      </c>
      <c r="V983" s="17">
        <f>IF($W983="","",CHOOSE($W983,"Collection Email","1st Follow-up","2nd Follow-up","Local Office","CBE","Roxanne")&amp;IF($W983=6," - Final"," - Day "&amp;MAX(0,NETWORKDAYS($X983,TODAY(),Holidays)-1)&amp;" of "&amp;CHOOSE($W983,3,3,2,2,3))&amp;" | Total Day "&amp;MAX(0,NETWORKDAYS($L983,TODAY(),Holidays)-1))</f>
        <v/>
      </c>
      <c r="W983" s="17">
        <f>IF($L983="","",COUNT($L983:$Q983))</f>
        <v/>
      </c>
      <c r="X983" s="18">
        <f>IF($W983="","",INT(INDEX($L983:$Q983,$W983)))</f>
        <v/>
      </c>
      <c r="Y983" s="18">
        <f>IF(OR($W983="",$W983=6),"",WORKDAY($X983,CHOOSE($W983,3,3,2,2,3),Holidays))</f>
        <v/>
      </c>
      <c r="Z983" s="17">
        <f>IF(OR($W983="",$W983=6),"",CHOOSE($W983,"1st Email Follow-up","2nd Email Follow-up","Escalate Local Office","Escalate to CBE","Escalate to Roxanne"))</f>
        <v/>
      </c>
    </row>
    <row r="984" spans="18:26">
      <c r="R984" s="15"/>
      <c r="S984" s="16"/>
      <c r="T984" s="17">
        <f>IF(AND(COUNTA($A984:$K984)=0,$L984=""),"",IF($S984="Paid","PAID",IF($S984="Closed","CLOSED",IF($W984="","",IF($W984=6,"ESCALATED TO ROXANNE",IF(TODAY()&gt;$Y984,"OVERDUE",IF($Y984&lt;=WORKDAY(TODAY(),1,Holidays),"DUE TOMORROW",IF($W984=4,"ESCALATED TO LOCAL OFFICE",IF($W984=5,"ESCALATED TO CBE",IF($X984=TODAY(),"EMAIL SENT","MONITORING"))))))))))</f>
        <v/>
      </c>
      <c r="U984" s="17">
        <f>IF($T984="",IF(AND(COUNTA($A984:$K984)&gt;0,$L984=""),"Awaiting Collection Email time stamp.",""),IF(OR($T984="PAID",$T984="CLOSED"),IF($T984="PAID","Account paid. Action completed.","Account closed. No further action required."),CHOOSE($W984,"Collection Email","1st Email Follow-up","2nd Email Follow-up","Escalation to Local Office","Escalation to CBE","Escalation to Roxanne")&amp;" sent "&amp;TEXT($X984,"dd-mmm")&amp;". "&amp;IF($W984=6,"Final escalation completed.",IF($T984="OVERDUE","Next: "&amp;$Z984&amp;" was due "&amp;TEXT($Y984,"dd-mmm")&amp;" - "&amp;(NETWORKDAYS($Y984,TODAY(),Holidays)-1)&amp;" business day(s) late. Send now.",IF($T984="DUE TOMORROW","Next: "&amp;$Z984&amp;IF($Y984&lt;=TODAY()," is due TODAY ("," is due next business day (")&amp;TEXT($Y984,"dd-mmm")&amp;").","Next: "&amp;$Z984&amp;" due "&amp;TEXT($Y984,"dd-mmm")&amp;" ("&amp;(NETWORKDAYS(TODAY(),$Y984,Holidays)-1)&amp;" business day(s) left).")))))</f>
        <v/>
      </c>
      <c r="V984" s="17">
        <f>IF($W984="","",CHOOSE($W984,"Collection Email","1st Follow-up","2nd Follow-up","Local Office","CBE","Roxanne")&amp;IF($W984=6," - Final"," - Day "&amp;MAX(0,NETWORKDAYS($X984,TODAY(),Holidays)-1)&amp;" of "&amp;CHOOSE($W984,3,3,2,2,3))&amp;" | Total Day "&amp;MAX(0,NETWORKDAYS($L984,TODAY(),Holidays)-1))</f>
        <v/>
      </c>
      <c r="W984" s="17">
        <f>IF($L984="","",COUNT($L984:$Q984))</f>
        <v/>
      </c>
      <c r="X984" s="18">
        <f>IF($W984="","",INT(INDEX($L984:$Q984,$W984)))</f>
        <v/>
      </c>
      <c r="Y984" s="18">
        <f>IF(OR($W984="",$W984=6),"",WORKDAY($X984,CHOOSE($W984,3,3,2,2,3),Holidays))</f>
        <v/>
      </c>
      <c r="Z984" s="17">
        <f>IF(OR($W984="",$W984=6),"",CHOOSE($W984,"1st Email Follow-up","2nd Email Follow-up","Escalate Local Office","Escalate to CBE","Escalate to Roxanne"))</f>
        <v/>
      </c>
    </row>
    <row r="985" spans="18:26">
      <c r="R985" s="15"/>
      <c r="S985" s="16"/>
      <c r="T985" s="17">
        <f>IF(AND(COUNTA($A985:$K985)=0,$L985=""),"",IF($S985="Paid","PAID",IF($S985="Closed","CLOSED",IF($W985="","",IF($W985=6,"ESCALATED TO ROXANNE",IF(TODAY()&gt;$Y985,"OVERDUE",IF($Y985&lt;=WORKDAY(TODAY(),1,Holidays),"DUE TOMORROW",IF($W985=4,"ESCALATED TO LOCAL OFFICE",IF($W985=5,"ESCALATED TO CBE",IF($X985=TODAY(),"EMAIL SENT","MONITORING"))))))))))</f>
        <v/>
      </c>
      <c r="U985" s="17">
        <f>IF($T985="",IF(AND(COUNTA($A985:$K985)&gt;0,$L985=""),"Awaiting Collection Email time stamp.",""),IF(OR($T985="PAID",$T985="CLOSED"),IF($T985="PAID","Account paid. Action completed.","Account closed. No further action required."),CHOOSE($W985,"Collection Email","1st Email Follow-up","2nd Email Follow-up","Escalation to Local Office","Escalation to CBE","Escalation to Roxanne")&amp;" sent "&amp;TEXT($X985,"dd-mmm")&amp;". "&amp;IF($W985=6,"Final escalation completed.",IF($T985="OVERDUE","Next: "&amp;$Z985&amp;" was due "&amp;TEXT($Y985,"dd-mmm")&amp;" - "&amp;(NETWORKDAYS($Y985,TODAY(),Holidays)-1)&amp;" business day(s) late. Send now.",IF($T985="DUE TOMORROW","Next: "&amp;$Z985&amp;IF($Y985&lt;=TODAY()," is due TODAY ("," is due next business day (")&amp;TEXT($Y985,"dd-mmm")&amp;").","Next: "&amp;$Z985&amp;" due "&amp;TEXT($Y985,"dd-mmm")&amp;" ("&amp;(NETWORKDAYS(TODAY(),$Y985,Holidays)-1)&amp;" business day(s) left).")))))</f>
        <v/>
      </c>
      <c r="V985" s="17">
        <f>IF($W985="","",CHOOSE($W985,"Collection Email","1st Follow-up","2nd Follow-up","Local Office","CBE","Roxanne")&amp;IF($W985=6," - Final"," - Day "&amp;MAX(0,NETWORKDAYS($X985,TODAY(),Holidays)-1)&amp;" of "&amp;CHOOSE($W985,3,3,2,2,3))&amp;" | Total Day "&amp;MAX(0,NETWORKDAYS($L985,TODAY(),Holidays)-1))</f>
        <v/>
      </c>
      <c r="W985" s="17">
        <f>IF($L985="","",COUNT($L985:$Q985))</f>
        <v/>
      </c>
      <c r="X985" s="18">
        <f>IF($W985="","",INT(INDEX($L985:$Q985,$W985)))</f>
        <v/>
      </c>
      <c r="Y985" s="18">
        <f>IF(OR($W985="",$W985=6),"",WORKDAY($X985,CHOOSE($W985,3,3,2,2,3),Holidays))</f>
        <v/>
      </c>
      <c r="Z985" s="17">
        <f>IF(OR($W985="",$W985=6),"",CHOOSE($W985,"1st Email Follow-up","2nd Email Follow-up","Escalate Local Office","Escalate to CBE","Escalate to Roxanne"))</f>
        <v/>
      </c>
    </row>
    <row r="986" spans="18:26">
      <c r="R986" s="15"/>
      <c r="S986" s="16"/>
      <c r="T986" s="17">
        <f>IF(AND(COUNTA($A986:$K986)=0,$L986=""),"",IF($S986="Paid","PAID",IF($S986="Closed","CLOSED",IF($W986="","",IF($W986=6,"ESCALATED TO ROXANNE",IF(TODAY()&gt;$Y986,"OVERDUE",IF($Y986&lt;=WORKDAY(TODAY(),1,Holidays),"DUE TOMORROW",IF($W986=4,"ESCALATED TO LOCAL OFFICE",IF($W986=5,"ESCALATED TO CBE",IF($X986=TODAY(),"EMAIL SENT","MONITORING"))))))))))</f>
        <v/>
      </c>
      <c r="U986" s="17">
        <f>IF($T986="",IF(AND(COUNTA($A986:$K986)&gt;0,$L986=""),"Awaiting Collection Email time stamp.",""),IF(OR($T986="PAID",$T986="CLOSED"),IF($T986="PAID","Account paid. Action completed.","Account closed. No further action required."),CHOOSE($W986,"Collection Email","1st Email Follow-up","2nd Email Follow-up","Escalation to Local Office","Escalation to CBE","Escalation to Roxanne")&amp;" sent "&amp;TEXT($X986,"dd-mmm")&amp;". "&amp;IF($W986=6,"Final escalation completed.",IF($T986="OVERDUE","Next: "&amp;$Z986&amp;" was due "&amp;TEXT($Y986,"dd-mmm")&amp;" - "&amp;(NETWORKDAYS($Y986,TODAY(),Holidays)-1)&amp;" business day(s) late. Send now.",IF($T986="DUE TOMORROW","Next: "&amp;$Z986&amp;IF($Y986&lt;=TODAY()," is due TODAY ("," is due next business day (")&amp;TEXT($Y986,"dd-mmm")&amp;").","Next: "&amp;$Z986&amp;" due "&amp;TEXT($Y986,"dd-mmm")&amp;" ("&amp;(NETWORKDAYS(TODAY(),$Y986,Holidays)-1)&amp;" business day(s) left).")))))</f>
        <v/>
      </c>
      <c r="V986" s="17">
        <f>IF($W986="","",CHOOSE($W986,"Collection Email","1st Follow-up","2nd Follow-up","Local Office","CBE","Roxanne")&amp;IF($W986=6," - Final"," - Day "&amp;MAX(0,NETWORKDAYS($X986,TODAY(),Holidays)-1)&amp;" of "&amp;CHOOSE($W986,3,3,2,2,3))&amp;" | Total Day "&amp;MAX(0,NETWORKDAYS($L986,TODAY(),Holidays)-1))</f>
        <v/>
      </c>
      <c r="W986" s="17">
        <f>IF($L986="","",COUNT($L986:$Q986))</f>
        <v/>
      </c>
      <c r="X986" s="18">
        <f>IF($W986="","",INT(INDEX($L986:$Q986,$W986)))</f>
        <v/>
      </c>
      <c r="Y986" s="18">
        <f>IF(OR($W986="",$W986=6),"",WORKDAY($X986,CHOOSE($W986,3,3,2,2,3),Holidays))</f>
        <v/>
      </c>
      <c r="Z986" s="17">
        <f>IF(OR($W986="",$W986=6),"",CHOOSE($W986,"1st Email Follow-up","2nd Email Follow-up","Escalate Local Office","Escalate to CBE","Escalate to Roxanne"))</f>
        <v/>
      </c>
    </row>
    <row r="987" spans="18:26">
      <c r="R987" s="15"/>
      <c r="S987" s="16"/>
      <c r="T987" s="17">
        <f>IF(AND(COUNTA($A987:$K987)=0,$L987=""),"",IF($S987="Paid","PAID",IF($S987="Closed","CLOSED",IF($W987="","",IF($W987=6,"ESCALATED TO ROXANNE",IF(TODAY()&gt;$Y987,"OVERDUE",IF($Y987&lt;=WORKDAY(TODAY(),1,Holidays),"DUE TOMORROW",IF($W987=4,"ESCALATED TO LOCAL OFFICE",IF($W987=5,"ESCALATED TO CBE",IF($X987=TODAY(),"EMAIL SENT","MONITORING"))))))))))</f>
        <v/>
      </c>
      <c r="U987" s="17">
        <f>IF($T987="",IF(AND(COUNTA($A987:$K987)&gt;0,$L987=""),"Awaiting Collection Email time stamp.",""),IF(OR($T987="PAID",$T987="CLOSED"),IF($T987="PAID","Account paid. Action completed.","Account closed. No further action required."),CHOOSE($W987,"Collection Email","1st Email Follow-up","2nd Email Follow-up","Escalation to Local Office","Escalation to CBE","Escalation to Roxanne")&amp;" sent "&amp;TEXT($X987,"dd-mmm")&amp;". "&amp;IF($W987=6,"Final escalation completed.",IF($T987="OVERDUE","Next: "&amp;$Z987&amp;" was due "&amp;TEXT($Y987,"dd-mmm")&amp;" - "&amp;(NETWORKDAYS($Y987,TODAY(),Holidays)-1)&amp;" business day(s) late. Send now.",IF($T987="DUE TOMORROW","Next: "&amp;$Z987&amp;IF($Y987&lt;=TODAY()," is due TODAY ("," is due next business day (")&amp;TEXT($Y987,"dd-mmm")&amp;").","Next: "&amp;$Z987&amp;" due "&amp;TEXT($Y987,"dd-mmm")&amp;" ("&amp;(NETWORKDAYS(TODAY(),$Y987,Holidays)-1)&amp;" business day(s) left).")))))</f>
        <v/>
      </c>
      <c r="V987" s="17">
        <f>IF($W987="","",CHOOSE($W987,"Collection Email","1st Follow-up","2nd Follow-up","Local Office","CBE","Roxanne")&amp;IF($W987=6," - Final"," - Day "&amp;MAX(0,NETWORKDAYS($X987,TODAY(),Holidays)-1)&amp;" of "&amp;CHOOSE($W987,3,3,2,2,3))&amp;" | Total Day "&amp;MAX(0,NETWORKDAYS($L987,TODAY(),Holidays)-1))</f>
        <v/>
      </c>
      <c r="W987" s="17">
        <f>IF($L987="","",COUNT($L987:$Q987))</f>
        <v/>
      </c>
      <c r="X987" s="18">
        <f>IF($W987="","",INT(INDEX($L987:$Q987,$W987)))</f>
        <v/>
      </c>
      <c r="Y987" s="18">
        <f>IF(OR($W987="",$W987=6),"",WORKDAY($X987,CHOOSE($W987,3,3,2,2,3),Holidays))</f>
        <v/>
      </c>
      <c r="Z987" s="17">
        <f>IF(OR($W987="",$W987=6),"",CHOOSE($W987,"1st Email Follow-up","2nd Email Follow-up","Escalate Local Office","Escalate to CBE","Escalate to Roxanne"))</f>
        <v/>
      </c>
    </row>
    <row r="988" spans="18:26">
      <c r="R988" s="15"/>
      <c r="S988" s="16"/>
      <c r="T988" s="17">
        <f>IF(AND(COUNTA($A988:$K988)=0,$L988=""),"",IF($S988="Paid","PAID",IF($S988="Closed","CLOSED",IF($W988="","",IF($W988=6,"ESCALATED TO ROXANNE",IF(TODAY()&gt;$Y988,"OVERDUE",IF($Y988&lt;=WORKDAY(TODAY(),1,Holidays),"DUE TOMORROW",IF($W988=4,"ESCALATED TO LOCAL OFFICE",IF($W988=5,"ESCALATED TO CBE",IF($X988=TODAY(),"EMAIL SENT","MONITORING"))))))))))</f>
        <v/>
      </c>
      <c r="U988" s="17">
        <f>IF($T988="",IF(AND(COUNTA($A988:$K988)&gt;0,$L988=""),"Awaiting Collection Email time stamp.",""),IF(OR($T988="PAID",$T988="CLOSED"),IF($T988="PAID","Account paid. Action completed.","Account closed. No further action required."),CHOOSE($W988,"Collection Email","1st Email Follow-up","2nd Email Follow-up","Escalation to Local Office","Escalation to CBE","Escalation to Roxanne")&amp;" sent "&amp;TEXT($X988,"dd-mmm")&amp;". "&amp;IF($W988=6,"Final escalation completed.",IF($T988="OVERDUE","Next: "&amp;$Z988&amp;" was due "&amp;TEXT($Y988,"dd-mmm")&amp;" - "&amp;(NETWORKDAYS($Y988,TODAY(),Holidays)-1)&amp;" business day(s) late. Send now.",IF($T988="DUE TOMORROW","Next: "&amp;$Z988&amp;IF($Y988&lt;=TODAY()," is due TODAY ("," is due next business day (")&amp;TEXT($Y988,"dd-mmm")&amp;").","Next: "&amp;$Z988&amp;" due "&amp;TEXT($Y988,"dd-mmm")&amp;" ("&amp;(NETWORKDAYS(TODAY(),$Y988,Holidays)-1)&amp;" business day(s) left).")))))</f>
        <v/>
      </c>
      <c r="V988" s="17">
        <f>IF($W988="","",CHOOSE($W988,"Collection Email","1st Follow-up","2nd Follow-up","Local Office","CBE","Roxanne")&amp;IF($W988=6," - Final"," - Day "&amp;MAX(0,NETWORKDAYS($X988,TODAY(),Holidays)-1)&amp;" of "&amp;CHOOSE($W988,3,3,2,2,3))&amp;" | Total Day "&amp;MAX(0,NETWORKDAYS($L988,TODAY(),Holidays)-1))</f>
        <v/>
      </c>
      <c r="W988" s="17">
        <f>IF($L988="","",COUNT($L988:$Q988))</f>
        <v/>
      </c>
      <c r="X988" s="18">
        <f>IF($W988="","",INT(INDEX($L988:$Q988,$W988)))</f>
        <v/>
      </c>
      <c r="Y988" s="18">
        <f>IF(OR($W988="",$W988=6),"",WORKDAY($X988,CHOOSE($W988,3,3,2,2,3),Holidays))</f>
        <v/>
      </c>
      <c r="Z988" s="17">
        <f>IF(OR($W988="",$W988=6),"",CHOOSE($W988,"1st Email Follow-up","2nd Email Follow-up","Escalate Local Office","Escalate to CBE","Escalate to Roxanne"))</f>
        <v/>
      </c>
    </row>
    <row r="989" spans="18:26">
      <c r="R989" s="15"/>
      <c r="S989" s="16"/>
      <c r="T989" s="17">
        <f>IF(AND(COUNTA($A989:$K989)=0,$L989=""),"",IF($S989="Paid","PAID",IF($S989="Closed","CLOSED",IF($W989="","",IF($W989=6,"ESCALATED TO ROXANNE",IF(TODAY()&gt;$Y989,"OVERDUE",IF($Y989&lt;=WORKDAY(TODAY(),1,Holidays),"DUE TOMORROW",IF($W989=4,"ESCALATED TO LOCAL OFFICE",IF($W989=5,"ESCALATED TO CBE",IF($X989=TODAY(),"EMAIL SENT","MONITORING"))))))))))</f>
        <v/>
      </c>
      <c r="U989" s="17">
        <f>IF($T989="",IF(AND(COUNTA($A989:$K989)&gt;0,$L989=""),"Awaiting Collection Email time stamp.",""),IF(OR($T989="PAID",$T989="CLOSED"),IF($T989="PAID","Account paid. Action completed.","Account closed. No further action required."),CHOOSE($W989,"Collection Email","1st Email Follow-up","2nd Email Follow-up","Escalation to Local Office","Escalation to CBE","Escalation to Roxanne")&amp;" sent "&amp;TEXT($X989,"dd-mmm")&amp;". "&amp;IF($W989=6,"Final escalation completed.",IF($T989="OVERDUE","Next: "&amp;$Z989&amp;" was due "&amp;TEXT($Y989,"dd-mmm")&amp;" - "&amp;(NETWORKDAYS($Y989,TODAY(),Holidays)-1)&amp;" business day(s) late. Send now.",IF($T989="DUE TOMORROW","Next: "&amp;$Z989&amp;IF($Y989&lt;=TODAY()," is due TODAY ("," is due next business day (")&amp;TEXT($Y989,"dd-mmm")&amp;").","Next: "&amp;$Z989&amp;" due "&amp;TEXT($Y989,"dd-mmm")&amp;" ("&amp;(NETWORKDAYS(TODAY(),$Y989,Holidays)-1)&amp;" business day(s) left).")))))</f>
        <v/>
      </c>
      <c r="V989" s="17">
        <f>IF($W989="","",CHOOSE($W989,"Collection Email","1st Follow-up","2nd Follow-up","Local Office","CBE","Roxanne")&amp;IF($W989=6," - Final"," - Day "&amp;MAX(0,NETWORKDAYS($X989,TODAY(),Holidays)-1)&amp;" of "&amp;CHOOSE($W989,3,3,2,2,3))&amp;" | Total Day "&amp;MAX(0,NETWORKDAYS($L989,TODAY(),Holidays)-1))</f>
        <v/>
      </c>
      <c r="W989" s="17">
        <f>IF($L989="","",COUNT($L989:$Q989))</f>
        <v/>
      </c>
      <c r="X989" s="18">
        <f>IF($W989="","",INT(INDEX($L989:$Q989,$W989)))</f>
        <v/>
      </c>
      <c r="Y989" s="18">
        <f>IF(OR($W989="",$W989=6),"",WORKDAY($X989,CHOOSE($W989,3,3,2,2,3),Holidays))</f>
        <v/>
      </c>
      <c r="Z989" s="17">
        <f>IF(OR($W989="",$W989=6),"",CHOOSE($W989,"1st Email Follow-up","2nd Email Follow-up","Escalate Local Office","Escalate to CBE","Escalate to Roxanne"))</f>
        <v/>
      </c>
    </row>
    <row r="990" spans="18:26">
      <c r="R990" s="15"/>
      <c r="S990" s="16"/>
      <c r="T990" s="17">
        <f>IF(AND(COUNTA($A990:$K990)=0,$L990=""),"",IF($S990="Paid","PAID",IF($S990="Closed","CLOSED",IF($W990="","",IF($W990=6,"ESCALATED TO ROXANNE",IF(TODAY()&gt;$Y990,"OVERDUE",IF($Y990&lt;=WORKDAY(TODAY(),1,Holidays),"DUE TOMORROW",IF($W990=4,"ESCALATED TO LOCAL OFFICE",IF($W990=5,"ESCALATED TO CBE",IF($X990=TODAY(),"EMAIL SENT","MONITORING"))))))))))</f>
        <v/>
      </c>
      <c r="U990" s="17">
        <f>IF($T990="",IF(AND(COUNTA($A990:$K990)&gt;0,$L990=""),"Awaiting Collection Email time stamp.",""),IF(OR($T990="PAID",$T990="CLOSED"),IF($T990="PAID","Account paid. Action completed.","Account closed. No further action required."),CHOOSE($W990,"Collection Email","1st Email Follow-up","2nd Email Follow-up","Escalation to Local Office","Escalation to CBE","Escalation to Roxanne")&amp;" sent "&amp;TEXT($X990,"dd-mmm")&amp;". "&amp;IF($W990=6,"Final escalation completed.",IF($T990="OVERDUE","Next: "&amp;$Z990&amp;" was due "&amp;TEXT($Y990,"dd-mmm")&amp;" - "&amp;(NETWORKDAYS($Y990,TODAY(),Holidays)-1)&amp;" business day(s) late. Send now.",IF($T990="DUE TOMORROW","Next: "&amp;$Z990&amp;IF($Y990&lt;=TODAY()," is due TODAY ("," is due next business day (")&amp;TEXT($Y990,"dd-mmm")&amp;").","Next: "&amp;$Z990&amp;" due "&amp;TEXT($Y990,"dd-mmm")&amp;" ("&amp;(NETWORKDAYS(TODAY(),$Y990,Holidays)-1)&amp;" business day(s) left).")))))</f>
        <v/>
      </c>
      <c r="V990" s="17">
        <f>IF($W990="","",CHOOSE($W990,"Collection Email","1st Follow-up","2nd Follow-up","Local Office","CBE","Roxanne")&amp;IF($W990=6," - Final"," - Day "&amp;MAX(0,NETWORKDAYS($X990,TODAY(),Holidays)-1)&amp;" of "&amp;CHOOSE($W990,3,3,2,2,3))&amp;" | Total Day "&amp;MAX(0,NETWORKDAYS($L990,TODAY(),Holidays)-1))</f>
        <v/>
      </c>
      <c r="W990" s="17">
        <f>IF($L990="","",COUNT($L990:$Q990))</f>
        <v/>
      </c>
      <c r="X990" s="18">
        <f>IF($W990="","",INT(INDEX($L990:$Q990,$W990)))</f>
        <v/>
      </c>
      <c r="Y990" s="18">
        <f>IF(OR($W990="",$W990=6),"",WORKDAY($X990,CHOOSE($W990,3,3,2,2,3),Holidays))</f>
        <v/>
      </c>
      <c r="Z990" s="17">
        <f>IF(OR($W990="",$W990=6),"",CHOOSE($W990,"1st Email Follow-up","2nd Email Follow-up","Escalate Local Office","Escalate to CBE","Escalate to Roxanne"))</f>
        <v/>
      </c>
    </row>
    <row r="991" spans="18:26">
      <c r="R991" s="15"/>
      <c r="S991" s="16"/>
      <c r="T991" s="17">
        <f>IF(AND(COUNTA($A991:$K991)=0,$L991=""),"",IF($S991="Paid","PAID",IF($S991="Closed","CLOSED",IF($W991="","",IF($W991=6,"ESCALATED TO ROXANNE",IF(TODAY()&gt;$Y991,"OVERDUE",IF($Y991&lt;=WORKDAY(TODAY(),1,Holidays),"DUE TOMORROW",IF($W991=4,"ESCALATED TO LOCAL OFFICE",IF($W991=5,"ESCALATED TO CBE",IF($X991=TODAY(),"EMAIL SENT","MONITORING"))))))))))</f>
        <v/>
      </c>
      <c r="U991" s="17">
        <f>IF($T991="",IF(AND(COUNTA($A991:$K991)&gt;0,$L991=""),"Awaiting Collection Email time stamp.",""),IF(OR($T991="PAID",$T991="CLOSED"),IF($T991="PAID","Account paid. Action completed.","Account closed. No further action required."),CHOOSE($W991,"Collection Email","1st Email Follow-up","2nd Email Follow-up","Escalation to Local Office","Escalation to CBE","Escalation to Roxanne")&amp;" sent "&amp;TEXT($X991,"dd-mmm")&amp;". "&amp;IF($W991=6,"Final escalation completed.",IF($T991="OVERDUE","Next: "&amp;$Z991&amp;" was due "&amp;TEXT($Y991,"dd-mmm")&amp;" - "&amp;(NETWORKDAYS($Y991,TODAY(),Holidays)-1)&amp;" business day(s) late. Send now.",IF($T991="DUE TOMORROW","Next: "&amp;$Z991&amp;IF($Y991&lt;=TODAY()," is due TODAY ("," is due next business day (")&amp;TEXT($Y991,"dd-mmm")&amp;").","Next: "&amp;$Z991&amp;" due "&amp;TEXT($Y991,"dd-mmm")&amp;" ("&amp;(NETWORKDAYS(TODAY(),$Y991,Holidays)-1)&amp;" business day(s) left).")))))</f>
        <v/>
      </c>
      <c r="V991" s="17">
        <f>IF($W991="","",CHOOSE($W991,"Collection Email","1st Follow-up","2nd Follow-up","Local Office","CBE","Roxanne")&amp;IF($W991=6," - Final"," - Day "&amp;MAX(0,NETWORKDAYS($X991,TODAY(),Holidays)-1)&amp;" of "&amp;CHOOSE($W991,3,3,2,2,3))&amp;" | Total Day "&amp;MAX(0,NETWORKDAYS($L991,TODAY(),Holidays)-1))</f>
        <v/>
      </c>
      <c r="W991" s="17">
        <f>IF($L991="","",COUNT($L991:$Q991))</f>
        <v/>
      </c>
      <c r="X991" s="18">
        <f>IF($W991="","",INT(INDEX($L991:$Q991,$W991)))</f>
        <v/>
      </c>
      <c r="Y991" s="18">
        <f>IF(OR($W991="",$W991=6),"",WORKDAY($X991,CHOOSE($W991,3,3,2,2,3),Holidays))</f>
        <v/>
      </c>
      <c r="Z991" s="17">
        <f>IF(OR($W991="",$W991=6),"",CHOOSE($W991,"1st Email Follow-up","2nd Email Follow-up","Escalate Local Office","Escalate to CBE","Escalate to Roxanne"))</f>
        <v/>
      </c>
    </row>
    <row r="992" spans="18:26">
      <c r="R992" s="15"/>
      <c r="S992" s="16"/>
      <c r="T992" s="17">
        <f>IF(AND(COUNTA($A992:$K992)=0,$L992=""),"",IF($S992="Paid","PAID",IF($S992="Closed","CLOSED",IF($W992="","",IF($W992=6,"ESCALATED TO ROXANNE",IF(TODAY()&gt;$Y992,"OVERDUE",IF($Y992&lt;=WORKDAY(TODAY(),1,Holidays),"DUE TOMORROW",IF($W992=4,"ESCALATED TO LOCAL OFFICE",IF($W992=5,"ESCALATED TO CBE",IF($X992=TODAY(),"EMAIL SENT","MONITORING"))))))))))</f>
        <v/>
      </c>
      <c r="U992" s="17">
        <f>IF($T992="",IF(AND(COUNTA($A992:$K992)&gt;0,$L992=""),"Awaiting Collection Email time stamp.",""),IF(OR($T992="PAID",$T992="CLOSED"),IF($T992="PAID","Account paid. Action completed.","Account closed. No further action required."),CHOOSE($W992,"Collection Email","1st Email Follow-up","2nd Email Follow-up","Escalation to Local Office","Escalation to CBE","Escalation to Roxanne")&amp;" sent "&amp;TEXT($X992,"dd-mmm")&amp;". "&amp;IF($W992=6,"Final escalation completed.",IF($T992="OVERDUE","Next: "&amp;$Z992&amp;" was due "&amp;TEXT($Y992,"dd-mmm")&amp;" - "&amp;(NETWORKDAYS($Y992,TODAY(),Holidays)-1)&amp;" business day(s) late. Send now.",IF($T992="DUE TOMORROW","Next: "&amp;$Z992&amp;IF($Y992&lt;=TODAY()," is due TODAY ("," is due next business day (")&amp;TEXT($Y992,"dd-mmm")&amp;").","Next: "&amp;$Z992&amp;" due "&amp;TEXT($Y992,"dd-mmm")&amp;" ("&amp;(NETWORKDAYS(TODAY(),$Y992,Holidays)-1)&amp;" business day(s) left).")))))</f>
        <v/>
      </c>
      <c r="V992" s="17">
        <f>IF($W992="","",CHOOSE($W992,"Collection Email","1st Follow-up","2nd Follow-up","Local Office","CBE","Roxanne")&amp;IF($W992=6," - Final"," - Day "&amp;MAX(0,NETWORKDAYS($X992,TODAY(),Holidays)-1)&amp;" of "&amp;CHOOSE($W992,3,3,2,2,3))&amp;" | Total Day "&amp;MAX(0,NETWORKDAYS($L992,TODAY(),Holidays)-1))</f>
        <v/>
      </c>
      <c r="W992" s="17">
        <f>IF($L992="","",COUNT($L992:$Q992))</f>
        <v/>
      </c>
      <c r="X992" s="18">
        <f>IF($W992="","",INT(INDEX($L992:$Q992,$W992)))</f>
        <v/>
      </c>
      <c r="Y992" s="18">
        <f>IF(OR($W992="",$W992=6),"",WORKDAY($X992,CHOOSE($W992,3,3,2,2,3),Holidays))</f>
        <v/>
      </c>
      <c r="Z992" s="17">
        <f>IF(OR($W992="",$W992=6),"",CHOOSE($W992,"1st Email Follow-up","2nd Email Follow-up","Escalate Local Office","Escalate to CBE","Escalate to Roxanne"))</f>
        <v/>
      </c>
    </row>
    <row r="993" spans="18:26">
      <c r="R993" s="15"/>
      <c r="S993" s="16"/>
      <c r="T993" s="17">
        <f>IF(AND(COUNTA($A993:$K993)=0,$L993=""),"",IF($S993="Paid","PAID",IF($S993="Closed","CLOSED",IF($W993="","",IF($W993=6,"ESCALATED TO ROXANNE",IF(TODAY()&gt;$Y993,"OVERDUE",IF($Y993&lt;=WORKDAY(TODAY(),1,Holidays),"DUE TOMORROW",IF($W993=4,"ESCALATED TO LOCAL OFFICE",IF($W993=5,"ESCALATED TO CBE",IF($X993=TODAY(),"EMAIL SENT","MONITORING"))))))))))</f>
        <v/>
      </c>
      <c r="U993" s="17">
        <f>IF($T993="",IF(AND(COUNTA($A993:$K993)&gt;0,$L993=""),"Awaiting Collection Email time stamp.",""),IF(OR($T993="PAID",$T993="CLOSED"),IF($T993="PAID","Account paid. Action completed.","Account closed. No further action required."),CHOOSE($W993,"Collection Email","1st Email Follow-up","2nd Email Follow-up","Escalation to Local Office","Escalation to CBE","Escalation to Roxanne")&amp;" sent "&amp;TEXT($X993,"dd-mmm")&amp;". "&amp;IF($W993=6,"Final escalation completed.",IF($T993="OVERDUE","Next: "&amp;$Z993&amp;" was due "&amp;TEXT($Y993,"dd-mmm")&amp;" - "&amp;(NETWORKDAYS($Y993,TODAY(),Holidays)-1)&amp;" business day(s) late. Send now.",IF($T993="DUE TOMORROW","Next: "&amp;$Z993&amp;IF($Y993&lt;=TODAY()," is due TODAY ("," is due next business day (")&amp;TEXT($Y993,"dd-mmm")&amp;").","Next: "&amp;$Z993&amp;" due "&amp;TEXT($Y993,"dd-mmm")&amp;" ("&amp;(NETWORKDAYS(TODAY(),$Y993,Holidays)-1)&amp;" business day(s) left).")))))</f>
        <v/>
      </c>
      <c r="V993" s="17">
        <f>IF($W993="","",CHOOSE($W993,"Collection Email","1st Follow-up","2nd Follow-up","Local Office","CBE","Roxanne")&amp;IF($W993=6," - Final"," - Day "&amp;MAX(0,NETWORKDAYS($X993,TODAY(),Holidays)-1)&amp;" of "&amp;CHOOSE($W993,3,3,2,2,3))&amp;" | Total Day "&amp;MAX(0,NETWORKDAYS($L993,TODAY(),Holidays)-1))</f>
        <v/>
      </c>
      <c r="W993" s="17">
        <f>IF($L993="","",COUNT($L993:$Q993))</f>
        <v/>
      </c>
      <c r="X993" s="18">
        <f>IF($W993="","",INT(INDEX($L993:$Q993,$W993)))</f>
        <v/>
      </c>
      <c r="Y993" s="18">
        <f>IF(OR($W993="",$W993=6),"",WORKDAY($X993,CHOOSE($W993,3,3,2,2,3),Holidays))</f>
        <v/>
      </c>
      <c r="Z993" s="17">
        <f>IF(OR($W993="",$W993=6),"",CHOOSE($W993,"1st Email Follow-up","2nd Email Follow-up","Escalate Local Office","Escalate to CBE","Escalate to Roxanne"))</f>
        <v/>
      </c>
    </row>
    <row r="994" spans="18:26">
      <c r="R994" s="15"/>
      <c r="S994" s="16"/>
      <c r="T994" s="17">
        <f>IF(AND(COUNTA($A994:$K994)=0,$L994=""),"",IF($S994="Paid","PAID",IF($S994="Closed","CLOSED",IF($W994="","",IF($W994=6,"ESCALATED TO ROXANNE",IF(TODAY()&gt;$Y994,"OVERDUE",IF($Y994&lt;=WORKDAY(TODAY(),1,Holidays),"DUE TOMORROW",IF($W994=4,"ESCALATED TO LOCAL OFFICE",IF($W994=5,"ESCALATED TO CBE",IF($X994=TODAY(),"EMAIL SENT","MONITORING"))))))))))</f>
        <v/>
      </c>
      <c r="U994" s="17">
        <f>IF($T994="",IF(AND(COUNTA($A994:$K994)&gt;0,$L994=""),"Awaiting Collection Email time stamp.",""),IF(OR($T994="PAID",$T994="CLOSED"),IF($T994="PAID","Account paid. Action completed.","Account closed. No further action required."),CHOOSE($W994,"Collection Email","1st Email Follow-up","2nd Email Follow-up","Escalation to Local Office","Escalation to CBE","Escalation to Roxanne")&amp;" sent "&amp;TEXT($X994,"dd-mmm")&amp;". "&amp;IF($W994=6,"Final escalation completed.",IF($T994="OVERDUE","Next: "&amp;$Z994&amp;" was due "&amp;TEXT($Y994,"dd-mmm")&amp;" - "&amp;(NETWORKDAYS($Y994,TODAY(),Holidays)-1)&amp;" business day(s) late. Send now.",IF($T994="DUE TOMORROW","Next: "&amp;$Z994&amp;IF($Y994&lt;=TODAY()," is due TODAY ("," is due next business day (")&amp;TEXT($Y994,"dd-mmm")&amp;").","Next: "&amp;$Z994&amp;" due "&amp;TEXT($Y994,"dd-mmm")&amp;" ("&amp;(NETWORKDAYS(TODAY(),$Y994,Holidays)-1)&amp;" business day(s) left).")))))</f>
        <v/>
      </c>
      <c r="V994" s="17">
        <f>IF($W994="","",CHOOSE($W994,"Collection Email","1st Follow-up","2nd Follow-up","Local Office","CBE","Roxanne")&amp;IF($W994=6," - Final"," - Day "&amp;MAX(0,NETWORKDAYS($X994,TODAY(),Holidays)-1)&amp;" of "&amp;CHOOSE($W994,3,3,2,2,3))&amp;" | Total Day "&amp;MAX(0,NETWORKDAYS($L994,TODAY(),Holidays)-1))</f>
        <v/>
      </c>
      <c r="W994" s="17">
        <f>IF($L994="","",COUNT($L994:$Q994))</f>
        <v/>
      </c>
      <c r="X994" s="18">
        <f>IF($W994="","",INT(INDEX($L994:$Q994,$W994)))</f>
        <v/>
      </c>
      <c r="Y994" s="18">
        <f>IF(OR($W994="",$W994=6),"",WORKDAY($X994,CHOOSE($W994,3,3,2,2,3),Holidays))</f>
        <v/>
      </c>
      <c r="Z994" s="17">
        <f>IF(OR($W994="",$W994=6),"",CHOOSE($W994,"1st Email Follow-up","2nd Email Follow-up","Escalate Local Office","Escalate to CBE","Escalate to Roxanne"))</f>
        <v/>
      </c>
    </row>
    <row r="995" spans="18:26">
      <c r="R995" s="15"/>
      <c r="S995" s="16"/>
      <c r="T995" s="17">
        <f>IF(AND(COUNTA($A995:$K995)=0,$L995=""),"",IF($S995="Paid","PAID",IF($S995="Closed","CLOSED",IF($W995="","",IF($W995=6,"ESCALATED TO ROXANNE",IF(TODAY()&gt;$Y995,"OVERDUE",IF($Y995&lt;=WORKDAY(TODAY(),1,Holidays),"DUE TOMORROW",IF($W995=4,"ESCALATED TO LOCAL OFFICE",IF($W995=5,"ESCALATED TO CBE",IF($X995=TODAY(),"EMAIL SENT","MONITORING"))))))))))</f>
        <v/>
      </c>
      <c r="U995" s="17">
        <f>IF($T995="",IF(AND(COUNTA($A995:$K995)&gt;0,$L995=""),"Awaiting Collection Email time stamp.",""),IF(OR($T995="PAID",$T995="CLOSED"),IF($T995="PAID","Account paid. Action completed.","Account closed. No further action required."),CHOOSE($W995,"Collection Email","1st Email Follow-up","2nd Email Follow-up","Escalation to Local Office","Escalation to CBE","Escalation to Roxanne")&amp;" sent "&amp;TEXT($X995,"dd-mmm")&amp;". "&amp;IF($W995=6,"Final escalation completed.",IF($T995="OVERDUE","Next: "&amp;$Z995&amp;" was due "&amp;TEXT($Y995,"dd-mmm")&amp;" - "&amp;(NETWORKDAYS($Y995,TODAY(),Holidays)-1)&amp;" business day(s) late. Send now.",IF($T995="DUE TOMORROW","Next: "&amp;$Z995&amp;IF($Y995&lt;=TODAY()," is due TODAY ("," is due next business day (")&amp;TEXT($Y995,"dd-mmm")&amp;").","Next: "&amp;$Z995&amp;" due "&amp;TEXT($Y995,"dd-mmm")&amp;" ("&amp;(NETWORKDAYS(TODAY(),$Y995,Holidays)-1)&amp;" business day(s) left).")))))</f>
        <v/>
      </c>
      <c r="V995" s="17">
        <f>IF($W995="","",CHOOSE($W995,"Collection Email","1st Follow-up","2nd Follow-up","Local Office","CBE","Roxanne")&amp;IF($W995=6," - Final"," - Day "&amp;MAX(0,NETWORKDAYS($X995,TODAY(),Holidays)-1)&amp;" of "&amp;CHOOSE($W995,3,3,2,2,3))&amp;" | Total Day "&amp;MAX(0,NETWORKDAYS($L995,TODAY(),Holidays)-1))</f>
        <v/>
      </c>
      <c r="W995" s="17">
        <f>IF($L995="","",COUNT($L995:$Q995))</f>
        <v/>
      </c>
      <c r="X995" s="18">
        <f>IF($W995="","",INT(INDEX($L995:$Q995,$W995)))</f>
        <v/>
      </c>
      <c r="Y995" s="18">
        <f>IF(OR($W995="",$W995=6),"",WORKDAY($X995,CHOOSE($W995,3,3,2,2,3),Holidays))</f>
        <v/>
      </c>
      <c r="Z995" s="17">
        <f>IF(OR($W995="",$W995=6),"",CHOOSE($W995,"1st Email Follow-up","2nd Email Follow-up","Escalate Local Office","Escalate to CBE","Escalate to Roxanne"))</f>
        <v/>
      </c>
    </row>
    <row r="996" spans="18:26">
      <c r="R996" s="15"/>
      <c r="S996" s="16"/>
      <c r="T996" s="17">
        <f>IF(AND(COUNTA($A996:$K996)=0,$L996=""),"",IF($S996="Paid","PAID",IF($S996="Closed","CLOSED",IF($W996="","",IF($W996=6,"ESCALATED TO ROXANNE",IF(TODAY()&gt;$Y996,"OVERDUE",IF($Y996&lt;=WORKDAY(TODAY(),1,Holidays),"DUE TOMORROW",IF($W996=4,"ESCALATED TO LOCAL OFFICE",IF($W996=5,"ESCALATED TO CBE",IF($X996=TODAY(),"EMAIL SENT","MONITORING"))))))))))</f>
        <v/>
      </c>
      <c r="U996" s="17">
        <f>IF($T996="",IF(AND(COUNTA($A996:$K996)&gt;0,$L996=""),"Awaiting Collection Email time stamp.",""),IF(OR($T996="PAID",$T996="CLOSED"),IF($T996="PAID","Account paid. Action completed.","Account closed. No further action required."),CHOOSE($W996,"Collection Email","1st Email Follow-up","2nd Email Follow-up","Escalation to Local Office","Escalation to CBE","Escalation to Roxanne")&amp;" sent "&amp;TEXT($X996,"dd-mmm")&amp;". "&amp;IF($W996=6,"Final escalation completed.",IF($T996="OVERDUE","Next: "&amp;$Z996&amp;" was due "&amp;TEXT($Y996,"dd-mmm")&amp;" - "&amp;(NETWORKDAYS($Y996,TODAY(),Holidays)-1)&amp;" business day(s) late. Send now.",IF($T996="DUE TOMORROW","Next: "&amp;$Z996&amp;IF($Y996&lt;=TODAY()," is due TODAY ("," is due next business day (")&amp;TEXT($Y996,"dd-mmm")&amp;").","Next: "&amp;$Z996&amp;" due "&amp;TEXT($Y996,"dd-mmm")&amp;" ("&amp;(NETWORKDAYS(TODAY(),$Y996,Holidays)-1)&amp;" business day(s) left).")))))</f>
        <v/>
      </c>
      <c r="V996" s="17">
        <f>IF($W996="","",CHOOSE($W996,"Collection Email","1st Follow-up","2nd Follow-up","Local Office","CBE","Roxanne")&amp;IF($W996=6," - Final"," - Day "&amp;MAX(0,NETWORKDAYS($X996,TODAY(),Holidays)-1)&amp;" of "&amp;CHOOSE($W996,3,3,2,2,3))&amp;" | Total Day "&amp;MAX(0,NETWORKDAYS($L996,TODAY(),Holidays)-1))</f>
        <v/>
      </c>
      <c r="W996" s="17">
        <f>IF($L996="","",COUNT($L996:$Q996))</f>
        <v/>
      </c>
      <c r="X996" s="18">
        <f>IF($W996="","",INT(INDEX($L996:$Q996,$W996)))</f>
        <v/>
      </c>
      <c r="Y996" s="18">
        <f>IF(OR($W996="",$W996=6),"",WORKDAY($X996,CHOOSE($W996,3,3,2,2,3),Holidays))</f>
        <v/>
      </c>
      <c r="Z996" s="17">
        <f>IF(OR($W996="",$W996=6),"",CHOOSE($W996,"1st Email Follow-up","2nd Email Follow-up","Escalate Local Office","Escalate to CBE","Escalate to Roxanne"))</f>
        <v/>
      </c>
    </row>
    <row r="997" spans="18:26">
      <c r="R997" s="15"/>
      <c r="S997" s="16"/>
      <c r="T997" s="17">
        <f>IF(AND(COUNTA($A997:$K997)=0,$L997=""),"",IF($S997="Paid","PAID",IF($S997="Closed","CLOSED",IF($W997="","",IF($W997=6,"ESCALATED TO ROXANNE",IF(TODAY()&gt;$Y997,"OVERDUE",IF($Y997&lt;=WORKDAY(TODAY(),1,Holidays),"DUE TOMORROW",IF($W997=4,"ESCALATED TO LOCAL OFFICE",IF($W997=5,"ESCALATED TO CBE",IF($X997=TODAY(),"EMAIL SENT","MONITORING"))))))))))</f>
        <v/>
      </c>
      <c r="U997" s="17">
        <f>IF($T997="",IF(AND(COUNTA($A997:$K997)&gt;0,$L997=""),"Awaiting Collection Email time stamp.",""),IF(OR($T997="PAID",$T997="CLOSED"),IF($T997="PAID","Account paid. Action completed.","Account closed. No further action required."),CHOOSE($W997,"Collection Email","1st Email Follow-up","2nd Email Follow-up","Escalation to Local Office","Escalation to CBE","Escalation to Roxanne")&amp;" sent "&amp;TEXT($X997,"dd-mmm")&amp;". "&amp;IF($W997=6,"Final escalation completed.",IF($T997="OVERDUE","Next: "&amp;$Z997&amp;" was due "&amp;TEXT($Y997,"dd-mmm")&amp;" - "&amp;(NETWORKDAYS($Y997,TODAY(),Holidays)-1)&amp;" business day(s) late. Send now.",IF($T997="DUE TOMORROW","Next: "&amp;$Z997&amp;IF($Y997&lt;=TODAY()," is due TODAY ("," is due next business day (")&amp;TEXT($Y997,"dd-mmm")&amp;").","Next: "&amp;$Z997&amp;" due "&amp;TEXT($Y997,"dd-mmm")&amp;" ("&amp;(NETWORKDAYS(TODAY(),$Y997,Holidays)-1)&amp;" business day(s) left).")))))</f>
        <v/>
      </c>
      <c r="V997" s="17">
        <f>IF($W997="","",CHOOSE($W997,"Collection Email","1st Follow-up","2nd Follow-up","Local Office","CBE","Roxanne")&amp;IF($W997=6," - Final"," - Day "&amp;MAX(0,NETWORKDAYS($X997,TODAY(),Holidays)-1)&amp;" of "&amp;CHOOSE($W997,3,3,2,2,3))&amp;" | Total Day "&amp;MAX(0,NETWORKDAYS($L997,TODAY(),Holidays)-1))</f>
        <v/>
      </c>
      <c r="W997" s="17">
        <f>IF($L997="","",COUNT($L997:$Q997))</f>
        <v/>
      </c>
      <c r="X997" s="18">
        <f>IF($W997="","",INT(INDEX($L997:$Q997,$W997)))</f>
        <v/>
      </c>
      <c r="Y997" s="18">
        <f>IF(OR($W997="",$W997=6),"",WORKDAY($X997,CHOOSE($W997,3,3,2,2,3),Holidays))</f>
        <v/>
      </c>
      <c r="Z997" s="17">
        <f>IF(OR($W997="",$W997=6),"",CHOOSE($W997,"1st Email Follow-up","2nd Email Follow-up","Escalate Local Office","Escalate to CBE","Escalate to Roxanne"))</f>
        <v/>
      </c>
    </row>
    <row r="998" spans="18:26">
      <c r="R998" s="15"/>
      <c r="S998" s="16"/>
      <c r="T998" s="17">
        <f>IF(AND(COUNTA($A998:$K998)=0,$L998=""),"",IF($S998="Paid","PAID",IF($S998="Closed","CLOSED",IF($W998="","",IF($W998=6,"ESCALATED TO ROXANNE",IF(TODAY()&gt;$Y998,"OVERDUE",IF($Y998&lt;=WORKDAY(TODAY(),1,Holidays),"DUE TOMORROW",IF($W998=4,"ESCALATED TO LOCAL OFFICE",IF($W998=5,"ESCALATED TO CBE",IF($X998=TODAY(),"EMAIL SENT","MONITORING"))))))))))</f>
        <v/>
      </c>
      <c r="U998" s="17">
        <f>IF($T998="",IF(AND(COUNTA($A998:$K998)&gt;0,$L998=""),"Awaiting Collection Email time stamp.",""),IF(OR($T998="PAID",$T998="CLOSED"),IF($T998="PAID","Account paid. Action completed.","Account closed. No further action required."),CHOOSE($W998,"Collection Email","1st Email Follow-up","2nd Email Follow-up","Escalation to Local Office","Escalation to CBE","Escalation to Roxanne")&amp;" sent "&amp;TEXT($X998,"dd-mmm")&amp;". "&amp;IF($W998=6,"Final escalation completed.",IF($T998="OVERDUE","Next: "&amp;$Z998&amp;" was due "&amp;TEXT($Y998,"dd-mmm")&amp;" - "&amp;(NETWORKDAYS($Y998,TODAY(),Holidays)-1)&amp;" business day(s) late. Send now.",IF($T998="DUE TOMORROW","Next: "&amp;$Z998&amp;IF($Y998&lt;=TODAY()," is due TODAY ("," is due next business day (")&amp;TEXT($Y998,"dd-mmm")&amp;").","Next: "&amp;$Z998&amp;" due "&amp;TEXT($Y998,"dd-mmm")&amp;" ("&amp;(NETWORKDAYS(TODAY(),$Y998,Holidays)-1)&amp;" business day(s) left).")))))</f>
        <v/>
      </c>
      <c r="V998" s="17">
        <f>IF($W998="","",CHOOSE($W998,"Collection Email","1st Follow-up","2nd Follow-up","Local Office","CBE","Roxanne")&amp;IF($W998=6," - Final"," - Day "&amp;MAX(0,NETWORKDAYS($X998,TODAY(),Holidays)-1)&amp;" of "&amp;CHOOSE($W998,3,3,2,2,3))&amp;" | Total Day "&amp;MAX(0,NETWORKDAYS($L998,TODAY(),Holidays)-1))</f>
        <v/>
      </c>
      <c r="W998" s="17">
        <f>IF($L998="","",COUNT($L998:$Q998))</f>
        <v/>
      </c>
      <c r="X998" s="18">
        <f>IF($W998="","",INT(INDEX($L998:$Q998,$W998)))</f>
        <v/>
      </c>
      <c r="Y998" s="18">
        <f>IF(OR($W998="",$W998=6),"",WORKDAY($X998,CHOOSE($W998,3,3,2,2,3),Holidays))</f>
        <v/>
      </c>
      <c r="Z998" s="17">
        <f>IF(OR($W998="",$W998=6),"",CHOOSE($W998,"1st Email Follow-up","2nd Email Follow-up","Escalate Local Office","Escalate to CBE","Escalate to Roxanne"))</f>
        <v/>
      </c>
    </row>
    <row r="999" spans="18:26">
      <c r="R999" s="15"/>
      <c r="S999" s="16"/>
      <c r="T999" s="17">
        <f>IF(AND(COUNTA($A999:$K999)=0,$L999=""),"",IF($S999="Paid","PAID",IF($S999="Closed","CLOSED",IF($W999="","",IF($W999=6,"ESCALATED TO ROXANNE",IF(TODAY()&gt;$Y999,"OVERDUE",IF($Y999&lt;=WORKDAY(TODAY(),1,Holidays),"DUE TOMORROW",IF($W999=4,"ESCALATED TO LOCAL OFFICE",IF($W999=5,"ESCALATED TO CBE",IF($X999=TODAY(),"EMAIL SENT","MONITORING"))))))))))</f>
        <v/>
      </c>
      <c r="U999" s="17">
        <f>IF($T999="",IF(AND(COUNTA($A999:$K999)&gt;0,$L999=""),"Awaiting Collection Email time stamp.",""),IF(OR($T999="PAID",$T999="CLOSED"),IF($T999="PAID","Account paid. Action completed.","Account closed. No further action required."),CHOOSE($W999,"Collection Email","1st Email Follow-up","2nd Email Follow-up","Escalation to Local Office","Escalation to CBE","Escalation to Roxanne")&amp;" sent "&amp;TEXT($X999,"dd-mmm")&amp;". "&amp;IF($W999=6,"Final escalation completed.",IF($T999="OVERDUE","Next: "&amp;$Z999&amp;" was due "&amp;TEXT($Y999,"dd-mmm")&amp;" - "&amp;(NETWORKDAYS($Y999,TODAY(),Holidays)-1)&amp;" business day(s) late. Send now.",IF($T999="DUE TOMORROW","Next: "&amp;$Z999&amp;IF($Y999&lt;=TODAY()," is due TODAY ("," is due next business day (")&amp;TEXT($Y999,"dd-mmm")&amp;").","Next: "&amp;$Z999&amp;" due "&amp;TEXT($Y999,"dd-mmm")&amp;" ("&amp;(NETWORKDAYS(TODAY(),$Y999,Holidays)-1)&amp;" business day(s) left).")))))</f>
        <v/>
      </c>
      <c r="V999" s="17">
        <f>IF($W999="","",CHOOSE($W999,"Collection Email","1st Follow-up","2nd Follow-up","Local Office","CBE","Roxanne")&amp;IF($W999=6," - Final"," - Day "&amp;MAX(0,NETWORKDAYS($X999,TODAY(),Holidays)-1)&amp;" of "&amp;CHOOSE($W999,3,3,2,2,3))&amp;" | Total Day "&amp;MAX(0,NETWORKDAYS($L999,TODAY(),Holidays)-1))</f>
        <v/>
      </c>
      <c r="W999" s="17">
        <f>IF($L999="","",COUNT($L999:$Q999))</f>
        <v/>
      </c>
      <c r="X999" s="18">
        <f>IF($W999="","",INT(INDEX($L999:$Q999,$W999)))</f>
        <v/>
      </c>
      <c r="Y999" s="18">
        <f>IF(OR($W999="",$W999=6),"",WORKDAY($X999,CHOOSE($W999,3,3,2,2,3),Holidays))</f>
        <v/>
      </c>
      <c r="Z999" s="17">
        <f>IF(OR($W999="",$W999=6),"",CHOOSE($W999,"1st Email Follow-up","2nd Email Follow-up","Escalate Local Office","Escalate to CBE","Escalate to Roxanne"))</f>
        <v/>
      </c>
    </row>
    <row r="1000" spans="18:26">
      <c r="R1000" s="15"/>
      <c r="S1000" s="16"/>
      <c r="T1000" s="17">
        <f>IF(AND(COUNTA($A1000:$K1000)=0,$L1000=""),"",IF($S1000="Paid","PAID",IF($S1000="Closed","CLOSED",IF($W1000="","",IF($W1000=6,"ESCALATED TO ROXANNE",IF(TODAY()&gt;$Y1000,"OVERDUE",IF($Y1000&lt;=WORKDAY(TODAY(),1,Holidays),"DUE TOMORROW",IF($W1000=4,"ESCALATED TO LOCAL OFFICE",IF($W1000=5,"ESCALATED TO CBE",IF($X1000=TODAY(),"EMAIL SENT","MONITORING"))))))))))</f>
        <v/>
      </c>
      <c r="U1000" s="17">
        <f>IF($T1000="",IF(AND(COUNTA($A1000:$K1000)&gt;0,$L1000=""),"Awaiting Collection Email time stamp.",""),IF(OR($T1000="PAID",$T1000="CLOSED"),IF($T1000="PAID","Account paid. Action completed.","Account closed. No further action required."),CHOOSE($W1000,"Collection Email","1st Email Follow-up","2nd Email Follow-up","Escalation to Local Office","Escalation to CBE","Escalation to Roxanne")&amp;" sent "&amp;TEXT($X1000,"dd-mmm")&amp;". "&amp;IF($W1000=6,"Final escalation completed.",IF($T1000="OVERDUE","Next: "&amp;$Z1000&amp;" was due "&amp;TEXT($Y1000,"dd-mmm")&amp;" - "&amp;(NETWORKDAYS($Y1000,TODAY(),Holidays)-1)&amp;" business day(s) late. Send now.",IF($T1000="DUE TOMORROW","Next: "&amp;$Z1000&amp;IF($Y1000&lt;=TODAY()," is due TODAY ("," is due next business day (")&amp;TEXT($Y1000,"dd-mmm")&amp;").","Next: "&amp;$Z1000&amp;" due "&amp;TEXT($Y1000,"dd-mmm")&amp;" ("&amp;(NETWORKDAYS(TODAY(),$Y1000,Holidays)-1)&amp;" business day(s) left).")))))</f>
        <v/>
      </c>
      <c r="V1000" s="17">
        <f>IF($W1000="","",CHOOSE($W1000,"Collection Email","1st Follow-up","2nd Follow-up","Local Office","CBE","Roxanne")&amp;IF($W1000=6," - Final"," - Day "&amp;MAX(0,NETWORKDAYS($X1000,TODAY(),Holidays)-1)&amp;" of "&amp;CHOOSE($W1000,3,3,2,2,3))&amp;" | Total Day "&amp;MAX(0,NETWORKDAYS($L1000,TODAY(),Holidays)-1))</f>
        <v/>
      </c>
      <c r="W1000" s="17">
        <f>IF($L1000="","",COUNT($L1000:$Q1000))</f>
        <v/>
      </c>
      <c r="X1000" s="18">
        <f>IF($W1000="","",INT(INDEX($L1000:$Q1000,$W1000)))</f>
        <v/>
      </c>
      <c r="Y1000" s="18">
        <f>IF(OR($W1000="",$W1000=6),"",WORKDAY($X1000,CHOOSE($W1000,3,3,2,2,3),Holidays))</f>
        <v/>
      </c>
      <c r="Z1000" s="17">
        <f>IF(OR($W1000="",$W1000=6),"",CHOOSE($W1000,"1st Email Follow-up","2nd Email Follow-up","Escalate Local Office","Escalate to CBE","Escalate to Roxanne"))</f>
        <v/>
      </c>
    </row>
    <row r="1001" spans="18:26">
      <c r="R1001" s="15"/>
      <c r="S1001" s="16"/>
      <c r="T1001" s="17">
        <f>IF(AND(COUNTA($A1001:$K1001)=0,$L1001=""),"",IF($S1001="Paid","PAID",IF($S1001="Closed","CLOSED",IF($W1001="","",IF($W1001=6,"ESCALATED TO ROXANNE",IF(TODAY()&gt;$Y1001,"OVERDUE",IF($Y1001&lt;=WORKDAY(TODAY(),1,Holidays),"DUE TOMORROW",IF($W1001=4,"ESCALATED TO LOCAL OFFICE",IF($W1001=5,"ESCALATED TO CBE",IF($X1001=TODAY(),"EMAIL SENT","MONITORING"))))))))))</f>
        <v/>
      </c>
      <c r="U1001" s="17">
        <f>IF($T1001="",IF(AND(COUNTA($A1001:$K1001)&gt;0,$L1001=""),"Awaiting Collection Email time stamp.",""),IF(OR($T1001="PAID",$T1001="CLOSED"),IF($T1001="PAID","Account paid. Action completed.","Account closed. No further action required."),CHOOSE($W1001,"Collection Email","1st Email Follow-up","2nd Email Follow-up","Escalation to Local Office","Escalation to CBE","Escalation to Roxanne")&amp;" sent "&amp;TEXT($X1001,"dd-mmm")&amp;". "&amp;IF($W1001=6,"Final escalation completed.",IF($T1001="OVERDUE","Next: "&amp;$Z1001&amp;" was due "&amp;TEXT($Y1001,"dd-mmm")&amp;" - "&amp;(NETWORKDAYS($Y1001,TODAY(),Holidays)-1)&amp;" business day(s) late. Send now.",IF($T1001="DUE TOMORROW","Next: "&amp;$Z1001&amp;IF($Y1001&lt;=TODAY()," is due TODAY ("," is due next business day (")&amp;TEXT($Y1001,"dd-mmm")&amp;").","Next: "&amp;$Z1001&amp;" due "&amp;TEXT($Y1001,"dd-mmm")&amp;" ("&amp;(NETWORKDAYS(TODAY(),$Y1001,Holidays)-1)&amp;" business day(s) left).")))))</f>
        <v/>
      </c>
      <c r="V1001" s="17">
        <f>IF($W1001="","",CHOOSE($W1001,"Collection Email","1st Follow-up","2nd Follow-up","Local Office","CBE","Roxanne")&amp;IF($W1001=6," - Final"," - Day "&amp;MAX(0,NETWORKDAYS($X1001,TODAY(),Holidays)-1)&amp;" of "&amp;CHOOSE($W1001,3,3,2,2,3))&amp;" | Total Day "&amp;MAX(0,NETWORKDAYS($L1001,TODAY(),Holidays)-1))</f>
        <v/>
      </c>
      <c r="W1001" s="17">
        <f>IF($L1001="","",COUNT($L1001:$Q1001))</f>
        <v/>
      </c>
      <c r="X1001" s="18">
        <f>IF($W1001="","",INT(INDEX($L1001:$Q1001,$W1001)))</f>
        <v/>
      </c>
      <c r="Y1001" s="18">
        <f>IF(OR($W1001="",$W1001=6),"",WORKDAY($X1001,CHOOSE($W1001,3,3,2,2,3),Holidays))</f>
        <v/>
      </c>
      <c r="Z1001" s="17">
        <f>IF(OR($W1001="",$W1001=6),"",CHOOSE($W1001,"1st Email Follow-up","2nd Email Follow-up","Escalate Local Office","Escalate to CBE","Escalate to Roxanne"))</f>
        <v/>
      </c>
    </row>
    <row r="1002" spans="18:26">
      <c r="R1002" s="15"/>
      <c r="S1002" s="16"/>
      <c r="T1002" s="17">
        <f>IF(AND(COUNTA($A1002:$K1002)=0,$L1002=""),"",IF($S1002="Paid","PAID",IF($S1002="Closed","CLOSED",IF($W1002="","",IF($W1002=6,"ESCALATED TO ROXANNE",IF(TODAY()&gt;$Y1002,"OVERDUE",IF($Y1002&lt;=WORKDAY(TODAY(),1,Holidays),"DUE TOMORROW",IF($W1002=4,"ESCALATED TO LOCAL OFFICE",IF($W1002=5,"ESCALATED TO CBE",IF($X1002=TODAY(),"EMAIL SENT","MONITORING"))))))))))</f>
        <v/>
      </c>
      <c r="U1002" s="17">
        <f>IF($T1002="",IF(AND(COUNTA($A1002:$K1002)&gt;0,$L1002=""),"Awaiting Collection Email time stamp.",""),IF(OR($T1002="PAID",$T1002="CLOSED"),IF($T1002="PAID","Account paid. Action completed.","Account closed. No further action required."),CHOOSE($W1002,"Collection Email","1st Email Follow-up","2nd Email Follow-up","Escalation to Local Office","Escalation to CBE","Escalation to Roxanne")&amp;" sent "&amp;TEXT($X1002,"dd-mmm")&amp;". "&amp;IF($W1002=6,"Final escalation completed.",IF($T1002="OVERDUE","Next: "&amp;$Z1002&amp;" was due "&amp;TEXT($Y1002,"dd-mmm")&amp;" - "&amp;(NETWORKDAYS($Y1002,TODAY(),Holidays)-1)&amp;" business day(s) late. Send now.",IF($T1002="DUE TOMORROW","Next: "&amp;$Z1002&amp;IF($Y1002&lt;=TODAY()," is due TODAY ("," is due next business day (")&amp;TEXT($Y1002,"dd-mmm")&amp;").","Next: "&amp;$Z1002&amp;" due "&amp;TEXT($Y1002,"dd-mmm")&amp;" ("&amp;(NETWORKDAYS(TODAY(),$Y1002,Holidays)-1)&amp;" business day(s) left).")))))</f>
        <v/>
      </c>
      <c r="V1002" s="17">
        <f>IF($W1002="","",CHOOSE($W1002,"Collection Email","1st Follow-up","2nd Follow-up","Local Office","CBE","Roxanne")&amp;IF($W1002=6," - Final"," - Day "&amp;MAX(0,NETWORKDAYS($X1002,TODAY(),Holidays)-1)&amp;" of "&amp;CHOOSE($W1002,3,3,2,2,3))&amp;" | Total Day "&amp;MAX(0,NETWORKDAYS($L1002,TODAY(),Holidays)-1))</f>
        <v/>
      </c>
      <c r="W1002" s="17">
        <f>IF($L1002="","",COUNT($L1002:$Q1002))</f>
        <v/>
      </c>
      <c r="X1002" s="18">
        <f>IF($W1002="","",INT(INDEX($L1002:$Q1002,$W1002)))</f>
        <v/>
      </c>
      <c r="Y1002" s="18">
        <f>IF(OR($W1002="",$W1002=6),"",WORKDAY($X1002,CHOOSE($W1002,3,3,2,2,3),Holidays))</f>
        <v/>
      </c>
      <c r="Z1002" s="17">
        <f>IF(OR($W1002="",$W1002=6),"",CHOOSE($W1002,"1st Email Follow-up","2nd Email Follow-up","Escalate Local Office","Escalate to CBE","Escalate to Roxanne"))</f>
        <v/>
      </c>
    </row>
    <row r="1003" spans="18:26">
      <c r="R1003" s="15"/>
      <c r="S1003" s="16"/>
      <c r="T1003" s="17">
        <f>IF(AND(COUNTA($A1003:$K1003)=0,$L1003=""),"",IF($S1003="Paid","PAID",IF($S1003="Closed","CLOSED",IF($W1003="","",IF($W1003=6,"ESCALATED TO ROXANNE",IF(TODAY()&gt;$Y1003,"OVERDUE",IF($Y1003&lt;=WORKDAY(TODAY(),1,Holidays),"DUE TOMORROW",IF($W1003=4,"ESCALATED TO LOCAL OFFICE",IF($W1003=5,"ESCALATED TO CBE",IF($X1003=TODAY(),"EMAIL SENT","MONITORING"))))))))))</f>
        <v/>
      </c>
      <c r="U1003" s="17">
        <f>IF($T1003="",IF(AND(COUNTA($A1003:$K1003)&gt;0,$L1003=""),"Awaiting Collection Email time stamp.",""),IF(OR($T1003="PAID",$T1003="CLOSED"),IF($T1003="PAID","Account paid. Action completed.","Account closed. No further action required."),CHOOSE($W1003,"Collection Email","1st Email Follow-up","2nd Email Follow-up","Escalation to Local Office","Escalation to CBE","Escalation to Roxanne")&amp;" sent "&amp;TEXT($X1003,"dd-mmm")&amp;". "&amp;IF($W1003=6,"Final escalation completed.",IF($T1003="OVERDUE","Next: "&amp;$Z1003&amp;" was due "&amp;TEXT($Y1003,"dd-mmm")&amp;" - "&amp;(NETWORKDAYS($Y1003,TODAY(),Holidays)-1)&amp;" business day(s) late. Send now.",IF($T1003="DUE TOMORROW","Next: "&amp;$Z1003&amp;IF($Y1003&lt;=TODAY()," is due TODAY ("," is due next business day (")&amp;TEXT($Y1003,"dd-mmm")&amp;").","Next: "&amp;$Z1003&amp;" due "&amp;TEXT($Y1003,"dd-mmm")&amp;" ("&amp;(NETWORKDAYS(TODAY(),$Y1003,Holidays)-1)&amp;" business day(s) left).")))))</f>
        <v/>
      </c>
      <c r="V1003" s="17">
        <f>IF($W1003="","",CHOOSE($W1003,"Collection Email","1st Follow-up","2nd Follow-up","Local Office","CBE","Roxanne")&amp;IF($W1003=6," - Final"," - Day "&amp;MAX(0,NETWORKDAYS($X1003,TODAY(),Holidays)-1)&amp;" of "&amp;CHOOSE($W1003,3,3,2,2,3))&amp;" | Total Day "&amp;MAX(0,NETWORKDAYS($L1003,TODAY(),Holidays)-1))</f>
        <v/>
      </c>
      <c r="W1003" s="17">
        <f>IF($L1003="","",COUNT($L1003:$Q1003))</f>
        <v/>
      </c>
      <c r="X1003" s="18">
        <f>IF($W1003="","",INT(INDEX($L1003:$Q1003,$W1003)))</f>
        <v/>
      </c>
      <c r="Y1003" s="18">
        <f>IF(OR($W1003="",$W1003=6),"",WORKDAY($X1003,CHOOSE($W1003,3,3,2,2,3),Holidays))</f>
        <v/>
      </c>
      <c r="Z1003" s="17">
        <f>IF(OR($W1003="",$W1003=6),"",CHOOSE($W1003,"1st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T4:U1003">
    <cfRule type="expression" dxfId="0" priority="1" stopIfTrue="1">
      <formula>$T4="PAID"</formula>
    </cfRule>
    <cfRule type="expression" dxfId="0" priority="2" stopIfTrue="1">
      <formula>$T4="CLOSED"</formula>
    </cfRule>
    <cfRule type="expression" dxfId="0" priority="3" stopIfTrue="1">
      <formula>$T4="EMAIL SENT"</formula>
    </cfRule>
    <cfRule type="expression" dxfId="1" priority="4" stopIfTrue="1">
      <formula>$T4="DUE TOMORROW"</formula>
    </cfRule>
    <cfRule type="expression" dxfId="2" priority="5" stopIfTrue="1">
      <formula>$T4="OVERDUE"</formula>
    </cfRule>
    <cfRule type="expression" dxfId="3" priority="6" stopIfTrue="1">
      <formula>$T4="ESCALATED TO LOCAL OFFICE"</formula>
    </cfRule>
    <cfRule type="expression" dxfId="3" priority="7" stopIfTrue="1">
      <formula>$T4="ESCALATED TO CBE"</formula>
    </cfRule>
    <cfRule type="expression" dxfId="4" priority="8" stopIfTrue="1">
      <formula>$T4="ESCALATED TO ROXANNE"</formula>
    </cfRule>
    <cfRule type="expression" dxfId="5" priority="9" stopIfTrue="1">
      <formula>$T4="MONITORING"</formula>
    </cfRule>
  </conditionalFormatting>
  <dataValidations count="1">
    <dataValidation type="list" allowBlank="1" showInputMessage="1" showErrorMessage="1" errorTitle="Resolution" error="Choose Paid or Closed from the list, or leave blank." sqref="S4:S1003">
      <formula1>"Paid,Closed"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Z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11" customWidth="1"/>
    <col min="2" max="2" width="14.7109375" style="11" customWidth="1"/>
    <col min="3" max="3" width="34.7109375" style="11" customWidth="1"/>
    <col min="4" max="4" width="18.7109375" style="11" customWidth="1"/>
    <col min="5" max="6" width="11.7109375" style="12" customWidth="1"/>
    <col min="7" max="7" width="7.7109375" style="11" customWidth="1"/>
    <col min="8" max="8" width="34.7109375" style="11" customWidth="1"/>
    <col min="9" max="9" width="6.7109375" style="11" customWidth="1"/>
    <col min="10" max="10" width="14.7109375" style="13" customWidth="1"/>
    <col min="11" max="11" width="16.7109375" style="11" customWidth="1"/>
    <col min="12" max="12" width="15.7109375" style="14" customWidth="1"/>
    <col min="13" max="14" width="16.7109375" style="14" customWidth="1"/>
    <col min="15" max="16" width="18.7109375" style="14" customWidth="1"/>
    <col min="17" max="17" width="20.7109375" style="14" customWidth="1"/>
    <col min="18" max="18" width="40.7109375" style="15" customWidth="1"/>
    <col min="19" max="19" width="14.7109375" style="16" customWidth="1"/>
    <col min="20" max="20" width="26.7109375" style="17" customWidth="1"/>
    <col min="21" max="21" width="60.7109375" style="17" customWidth="1"/>
    <col min="22" max="22" width="22.7109375" style="17" customWidth="1"/>
    <col min="23" max="23" width="8.7109375" style="17" hidden="1" customWidth="1"/>
    <col min="24" max="25" width="12.7109375" style="18" hidden="1" customWidth="1"/>
    <col min="26" max="26" width="22.7109375" style="17" hidden="1" customWidth="1"/>
  </cols>
  <sheetData>
    <row r="1" spans="1:26" ht="30" customHeight="1"/>
    <row r="2" spans="1:26">
      <c r="M2" s="19" t="s">
        <v>0</v>
      </c>
      <c r="N2" s="19" t="s">
        <v>0</v>
      </c>
      <c r="O2" s="19" t="s">
        <v>1</v>
      </c>
      <c r="P2" s="19" t="s">
        <v>1</v>
      </c>
      <c r="Q2" s="19" t="s">
        <v>0</v>
      </c>
    </row>
    <row r="3" spans="1:26" ht="32" customHeight="1">
      <c r="A3" s="20" t="s">
        <v>2</v>
      </c>
      <c r="B3" s="20" t="s">
        <v>3</v>
      </c>
      <c r="C3" s="20" t="s">
        <v>4</v>
      </c>
      <c r="D3" s="20" t="s">
        <v>5</v>
      </c>
      <c r="E3" s="20" t="s">
        <v>6</v>
      </c>
      <c r="F3" s="20" t="s">
        <v>7</v>
      </c>
      <c r="G3" s="20" t="s">
        <v>8</v>
      </c>
      <c r="H3" s="20" t="s">
        <v>9</v>
      </c>
      <c r="I3" s="20" t="s">
        <v>10</v>
      </c>
      <c r="J3" s="20" t="s">
        <v>11</v>
      </c>
      <c r="K3" s="20" t="s">
        <v>12</v>
      </c>
      <c r="L3" s="21" t="s">
        <v>13</v>
      </c>
      <c r="M3" s="21" t="s">
        <v>14</v>
      </c>
      <c r="N3" s="21" t="s">
        <v>15</v>
      </c>
      <c r="O3" s="21" t="s">
        <v>16</v>
      </c>
      <c r="P3" s="21" t="s">
        <v>17</v>
      </c>
      <c r="Q3" s="21" t="s">
        <v>18</v>
      </c>
      <c r="R3" s="22" t="s">
        <v>19</v>
      </c>
      <c r="S3" s="22" t="s">
        <v>20</v>
      </c>
      <c r="T3" s="20" t="s">
        <v>21</v>
      </c>
      <c r="U3" s="20" t="s">
        <v>22</v>
      </c>
      <c r="V3" s="20" t="s">
        <v>23</v>
      </c>
      <c r="W3" s="20" t="s">
        <v>24</v>
      </c>
      <c r="X3" s="20" t="s">
        <v>25</v>
      </c>
      <c r="Y3" s="20" t="s">
        <v>26</v>
      </c>
      <c r="Z3" s="20" t="s">
        <v>27</v>
      </c>
    </row>
    <row r="4" spans="1:26">
      <c r="R4" s="15"/>
      <c r="S4" s="16"/>
      <c r="T4" s="17">
        <f>IF(AND(COUNTA($A4:$K4)=0,$L4=""),"",IF($S4="Paid","PAID",IF($S4="Closed","CLOSED",IF($W4="","",IF($W4=6,"ESCALATED TO ROXANNE",IF(TODAY()&gt;$Y4,"OVERDUE",IF($Y4&lt;=WORKDAY(TODAY(),1,Holidays),"DUE TOMORROW",IF($W4=4,"ESCALATED TO LOCAL OFFICE",IF($W4=5,"ESCALATED TO CBE",IF($X4=TODAY(),"EMAIL SENT","MONITORING"))))))))))</f>
        <v/>
      </c>
      <c r="U4" s="17">
        <f>IF($T4="",IF(AND(COUNTA($A4:$K4)&gt;0,$L4=""),"Awaiting Collection Email time stamp.",""),IF(OR($T4="PAID",$T4="CLOSED"),IF($T4="PAID","Account paid. Action completed.","Account closed. No further action required."),CHOOSE($W4,"Collection Email","1st Email Follow-up","2nd Email Follow-up","Escalation to Local Office","Escalation to CBE","Escalation to Roxanne")&amp;" sent "&amp;TEXT($X4,"dd-mmm")&amp;". "&amp;IF($W4=6,"Final escalation completed.",IF($T4="OVERDUE","Next: "&amp;$Z4&amp;" was due "&amp;TEXT($Y4,"dd-mmm")&amp;" - "&amp;(NETWORKDAYS($Y4,TODAY(),Holidays)-1)&amp;" business day(s) late. Send now.",IF($T4="DUE TOMORROW","Next: "&amp;$Z4&amp;IF($Y4&lt;=TODAY()," is due TODAY ("," is due next business day (")&amp;TEXT($Y4,"dd-mmm")&amp;").","Next: "&amp;$Z4&amp;" due "&amp;TEXT($Y4,"dd-mmm")&amp;" ("&amp;(NETWORKDAYS(TODAY(),$Y4,Holidays)-1)&amp;" business day(s) left).")))))</f>
        <v/>
      </c>
      <c r="V4" s="17">
        <f>IF($W4="","",CHOOSE($W4,"Collection Email","1st Follow-up","2nd Follow-up","Local Office","CBE","Roxanne")&amp;IF($W4=6," - Final"," - Day "&amp;MAX(0,NETWORKDAYS($X4,TODAY(),Holidays)-1)&amp;" of "&amp;CHOOSE($W4,3,3,2,2,3))&amp;" | Total Day "&amp;MAX(0,NETWORKDAYS($L4,TODAY(),Holidays)-1))</f>
        <v/>
      </c>
      <c r="W4" s="17">
        <f>IF($L4="","",COUNT($L4:$Q4))</f>
        <v/>
      </c>
      <c r="X4" s="18">
        <f>IF($W4="","",INT(INDEX($L4:$Q4,$W4)))</f>
        <v/>
      </c>
      <c r="Y4" s="18">
        <f>IF(OR($W4="",$W4=6),"",WORKDAY($X4,CHOOSE($W4,3,3,2,2,3),Holidays))</f>
        <v/>
      </c>
      <c r="Z4" s="17">
        <f>IF(OR($W4="",$W4=6),"",CHOOSE($W4,"1st Email Follow-up","2nd Email Follow-up","Escalate Local Office","Escalate to CBE","Escalate to Roxanne"))</f>
        <v/>
      </c>
    </row>
    <row r="5" spans="1:26">
      <c r="R5" s="15"/>
      <c r="S5" s="16"/>
      <c r="T5" s="17">
        <f>IF(AND(COUNTA($A5:$K5)=0,$L5=""),"",IF($S5="Paid","PAID",IF($S5="Closed","CLOSED",IF($W5="","",IF($W5=6,"ESCALATED TO ROXANNE",IF(TODAY()&gt;$Y5,"OVERDUE",IF($Y5&lt;=WORKDAY(TODAY(),1,Holidays),"DUE TOMORROW",IF($W5=4,"ESCALATED TO LOCAL OFFICE",IF($W5=5,"ESCALATED TO CBE",IF($X5=TODAY(),"EMAIL SENT","MONITORING"))))))))))</f>
        <v/>
      </c>
      <c r="U5" s="17">
        <f>IF($T5="",IF(AND(COUNTA($A5:$K5)&gt;0,$L5=""),"Awaiting Collection Email time stamp.",""),IF(OR($T5="PAID",$T5="CLOSED"),IF($T5="PAID","Account paid. Action completed.","Account closed. No further action required."),CHOOSE($W5,"Collection Email","1st Email Follow-up","2nd Email Follow-up","Escalation to Local Office","Escalation to CBE","Escalation to Roxanne")&amp;" sent "&amp;TEXT($X5,"dd-mmm")&amp;". "&amp;IF($W5=6,"Final escalation completed.",IF($T5="OVERDUE","Next: "&amp;$Z5&amp;" was due "&amp;TEXT($Y5,"dd-mmm")&amp;" - "&amp;(NETWORKDAYS($Y5,TODAY(),Holidays)-1)&amp;" business day(s) late. Send now.",IF($T5="DUE TOMORROW","Next: "&amp;$Z5&amp;IF($Y5&lt;=TODAY()," is due TODAY ("," is due next business day (")&amp;TEXT($Y5,"dd-mmm")&amp;").","Next: "&amp;$Z5&amp;" due "&amp;TEXT($Y5,"dd-mmm")&amp;" ("&amp;(NETWORKDAYS(TODAY(),$Y5,Holidays)-1)&amp;" business day(s) left).")))))</f>
        <v/>
      </c>
      <c r="V5" s="17">
        <f>IF($W5="","",CHOOSE($W5,"Collection Email","1st Follow-up","2nd Follow-up","Local Office","CBE","Roxanne")&amp;IF($W5=6," - Final"," - Day "&amp;MAX(0,NETWORKDAYS($X5,TODAY(),Holidays)-1)&amp;" of "&amp;CHOOSE($W5,3,3,2,2,3))&amp;" | Total Day "&amp;MAX(0,NETWORKDAYS($L5,TODAY(),Holidays)-1))</f>
        <v/>
      </c>
      <c r="W5" s="17">
        <f>IF($L5="","",COUNT($L5:$Q5))</f>
        <v/>
      </c>
      <c r="X5" s="18">
        <f>IF($W5="","",INT(INDEX($L5:$Q5,$W5)))</f>
        <v/>
      </c>
      <c r="Y5" s="18">
        <f>IF(OR($W5="",$W5=6),"",WORKDAY($X5,CHOOSE($W5,3,3,2,2,3),Holidays))</f>
        <v/>
      </c>
      <c r="Z5" s="17">
        <f>IF(OR($W5="",$W5=6),"",CHOOSE($W5,"1st Email Follow-up","2nd Email Follow-up","Escalate Local Office","Escalate to CBE","Escalate to Roxanne"))</f>
        <v/>
      </c>
    </row>
    <row r="6" spans="1:26">
      <c r="R6" s="15"/>
      <c r="S6" s="16"/>
      <c r="T6" s="17">
        <f>IF(AND(COUNTA($A6:$K6)=0,$L6=""),"",IF($S6="Paid","PAID",IF($S6="Closed","CLOSED",IF($W6="","",IF($W6=6,"ESCALATED TO ROXANNE",IF(TODAY()&gt;$Y6,"OVERDUE",IF($Y6&lt;=WORKDAY(TODAY(),1,Holidays),"DUE TOMORROW",IF($W6=4,"ESCALATED TO LOCAL OFFICE",IF($W6=5,"ESCALATED TO CBE",IF($X6=TODAY(),"EMAIL SENT","MONITORING"))))))))))</f>
        <v/>
      </c>
      <c r="U6" s="17">
        <f>IF($T6="",IF(AND(COUNTA($A6:$K6)&gt;0,$L6=""),"Awaiting Collection Email time stamp.",""),IF(OR($T6="PAID",$T6="CLOSED"),IF($T6="PAID","Account paid. Action completed.","Account closed. No further action required."),CHOOSE($W6,"Collection Email","1st Email Follow-up","2nd Email Follow-up","Escalation to Local Office","Escalation to CBE","Escalation to Roxanne")&amp;" sent "&amp;TEXT($X6,"dd-mmm")&amp;". "&amp;IF($W6=6,"Final escalation completed.",IF($T6="OVERDUE","Next: "&amp;$Z6&amp;" was due "&amp;TEXT($Y6,"dd-mmm")&amp;" - "&amp;(NETWORKDAYS($Y6,TODAY(),Holidays)-1)&amp;" business day(s) late. Send now.",IF($T6="DUE TOMORROW","Next: "&amp;$Z6&amp;IF($Y6&lt;=TODAY()," is due TODAY ("," is due next business day (")&amp;TEXT($Y6,"dd-mmm")&amp;").","Next: "&amp;$Z6&amp;" due "&amp;TEXT($Y6,"dd-mmm")&amp;" ("&amp;(NETWORKDAYS(TODAY(),$Y6,Holidays)-1)&amp;" business day(s) left).")))))</f>
        <v/>
      </c>
      <c r="V6" s="17">
        <f>IF($W6="","",CHOOSE($W6,"Collection Email","1st Follow-up","2nd Follow-up","Local Office","CBE","Roxanne")&amp;IF($W6=6," - Final"," - Day "&amp;MAX(0,NETWORKDAYS($X6,TODAY(),Holidays)-1)&amp;" of "&amp;CHOOSE($W6,3,3,2,2,3))&amp;" | Total Day "&amp;MAX(0,NETWORKDAYS($L6,TODAY(),Holidays)-1))</f>
        <v/>
      </c>
      <c r="W6" s="17">
        <f>IF($L6="","",COUNT($L6:$Q6))</f>
        <v/>
      </c>
      <c r="X6" s="18">
        <f>IF($W6="","",INT(INDEX($L6:$Q6,$W6)))</f>
        <v/>
      </c>
      <c r="Y6" s="18">
        <f>IF(OR($W6="",$W6=6),"",WORKDAY($X6,CHOOSE($W6,3,3,2,2,3),Holidays))</f>
        <v/>
      </c>
      <c r="Z6" s="17">
        <f>IF(OR($W6="",$W6=6),"",CHOOSE($W6,"1st Email Follow-up","2nd Email Follow-up","Escalate Local Office","Escalate to CBE","Escalate to Roxanne"))</f>
        <v/>
      </c>
    </row>
    <row r="7" spans="1:26">
      <c r="R7" s="15"/>
      <c r="S7" s="16"/>
      <c r="T7" s="17">
        <f>IF(AND(COUNTA($A7:$K7)=0,$L7=""),"",IF($S7="Paid","PAID",IF($S7="Closed","CLOSED",IF($W7="","",IF($W7=6,"ESCALATED TO ROXANNE",IF(TODAY()&gt;$Y7,"OVERDUE",IF($Y7&lt;=WORKDAY(TODAY(),1,Holidays),"DUE TOMORROW",IF($W7=4,"ESCALATED TO LOCAL OFFICE",IF($W7=5,"ESCALATED TO CBE",IF($X7=TODAY(),"EMAIL SENT","MONITORING"))))))))))</f>
        <v/>
      </c>
      <c r="U7" s="17">
        <f>IF($T7="",IF(AND(COUNTA($A7:$K7)&gt;0,$L7=""),"Awaiting Collection Email time stamp.",""),IF(OR($T7="PAID",$T7="CLOSED"),IF($T7="PAID","Account paid. Action completed.","Account closed. No further action required."),CHOOSE($W7,"Collection Email","1st Email Follow-up","2nd Email Follow-up","Escalation to Local Office","Escalation to CBE","Escalation to Roxanne")&amp;" sent "&amp;TEXT($X7,"dd-mmm")&amp;". "&amp;IF($W7=6,"Final escalation completed.",IF($T7="OVERDUE","Next: "&amp;$Z7&amp;" was due "&amp;TEXT($Y7,"dd-mmm")&amp;" - "&amp;(NETWORKDAYS($Y7,TODAY(),Holidays)-1)&amp;" business day(s) late. Send now.",IF($T7="DUE TOMORROW","Next: "&amp;$Z7&amp;IF($Y7&lt;=TODAY()," is due TODAY ("," is due next business day (")&amp;TEXT($Y7,"dd-mmm")&amp;").","Next: "&amp;$Z7&amp;" due "&amp;TEXT($Y7,"dd-mmm")&amp;" ("&amp;(NETWORKDAYS(TODAY(),$Y7,Holidays)-1)&amp;" business day(s) left).")))))</f>
        <v/>
      </c>
      <c r="V7" s="17">
        <f>IF($W7="","",CHOOSE($W7,"Collection Email","1st Follow-up","2nd Follow-up","Local Office","CBE","Roxanne")&amp;IF($W7=6," - Final"," - Day "&amp;MAX(0,NETWORKDAYS($X7,TODAY(),Holidays)-1)&amp;" of "&amp;CHOOSE($W7,3,3,2,2,3))&amp;" | Total Day "&amp;MAX(0,NETWORKDAYS($L7,TODAY(),Holidays)-1))</f>
        <v/>
      </c>
      <c r="W7" s="17">
        <f>IF($L7="","",COUNT($L7:$Q7))</f>
        <v/>
      </c>
      <c r="X7" s="18">
        <f>IF($W7="","",INT(INDEX($L7:$Q7,$W7)))</f>
        <v/>
      </c>
      <c r="Y7" s="18">
        <f>IF(OR($W7="",$W7=6),"",WORKDAY($X7,CHOOSE($W7,3,3,2,2,3),Holidays))</f>
        <v/>
      </c>
      <c r="Z7" s="17">
        <f>IF(OR($W7="",$W7=6),"",CHOOSE($W7,"1st Email Follow-up","2nd Email Follow-up","Escalate Local Office","Escalate to CBE","Escalate to Roxanne"))</f>
        <v/>
      </c>
    </row>
    <row r="8" spans="1:26">
      <c r="R8" s="15"/>
      <c r="S8" s="16"/>
      <c r="T8" s="17">
        <f>IF(AND(COUNTA($A8:$K8)=0,$L8=""),"",IF($S8="Paid","PAID",IF($S8="Closed","CLOSED",IF($W8="","",IF($W8=6,"ESCALATED TO ROXANNE",IF(TODAY()&gt;$Y8,"OVERDUE",IF($Y8&lt;=WORKDAY(TODAY(),1,Holidays),"DUE TOMORROW",IF($W8=4,"ESCALATED TO LOCAL OFFICE",IF($W8=5,"ESCALATED TO CBE",IF($X8=TODAY(),"EMAIL SENT","MONITORING"))))))))))</f>
        <v/>
      </c>
      <c r="U8" s="17">
        <f>IF($T8="",IF(AND(COUNTA($A8:$K8)&gt;0,$L8=""),"Awaiting Collection Email time stamp.",""),IF(OR($T8="PAID",$T8="CLOSED"),IF($T8="PAID","Account paid. Action completed.","Account closed. No further action required."),CHOOSE($W8,"Collection Email","1st Email Follow-up","2nd Email Follow-up","Escalation to Local Office","Escalation to CBE","Escalation to Roxanne")&amp;" sent "&amp;TEXT($X8,"dd-mmm")&amp;". "&amp;IF($W8=6,"Final escalation completed.",IF($T8="OVERDUE","Next: "&amp;$Z8&amp;" was due "&amp;TEXT($Y8,"dd-mmm")&amp;" - "&amp;(NETWORKDAYS($Y8,TODAY(),Holidays)-1)&amp;" business day(s) late. Send now.",IF($T8="DUE TOMORROW","Next: "&amp;$Z8&amp;IF($Y8&lt;=TODAY()," is due TODAY ("," is due next business day (")&amp;TEXT($Y8,"dd-mmm")&amp;").","Next: "&amp;$Z8&amp;" due "&amp;TEXT($Y8,"dd-mmm")&amp;" ("&amp;(NETWORKDAYS(TODAY(),$Y8,Holidays)-1)&amp;" business day(s) left).")))))</f>
        <v/>
      </c>
      <c r="V8" s="17">
        <f>IF($W8="","",CHOOSE($W8,"Collection Email","1st Follow-up","2nd Follow-up","Local Office","CBE","Roxanne")&amp;IF($W8=6," - Final"," - Day "&amp;MAX(0,NETWORKDAYS($X8,TODAY(),Holidays)-1)&amp;" of "&amp;CHOOSE($W8,3,3,2,2,3))&amp;" | Total Day "&amp;MAX(0,NETWORKDAYS($L8,TODAY(),Holidays)-1))</f>
        <v/>
      </c>
      <c r="W8" s="17">
        <f>IF($L8="","",COUNT($L8:$Q8))</f>
        <v/>
      </c>
      <c r="X8" s="18">
        <f>IF($W8="","",INT(INDEX($L8:$Q8,$W8)))</f>
        <v/>
      </c>
      <c r="Y8" s="18">
        <f>IF(OR($W8="",$W8=6),"",WORKDAY($X8,CHOOSE($W8,3,3,2,2,3),Holidays))</f>
        <v/>
      </c>
      <c r="Z8" s="17">
        <f>IF(OR($W8="",$W8=6),"",CHOOSE($W8,"1st Email Follow-up","2nd Email Follow-up","Escalate Local Office","Escalate to CBE","Escalate to Roxanne"))</f>
        <v/>
      </c>
    </row>
    <row r="9" spans="1:26">
      <c r="R9" s="15"/>
      <c r="S9" s="16"/>
      <c r="T9" s="17">
        <f>IF(AND(COUNTA($A9:$K9)=0,$L9=""),"",IF($S9="Paid","PAID",IF($S9="Closed","CLOSED",IF($W9="","",IF($W9=6,"ESCALATED TO ROXANNE",IF(TODAY()&gt;$Y9,"OVERDUE",IF($Y9&lt;=WORKDAY(TODAY(),1,Holidays),"DUE TOMORROW",IF($W9=4,"ESCALATED TO LOCAL OFFICE",IF($W9=5,"ESCALATED TO CBE",IF($X9=TODAY(),"EMAIL SENT","MONITORING"))))))))))</f>
        <v/>
      </c>
      <c r="U9" s="17">
        <f>IF($T9="",IF(AND(COUNTA($A9:$K9)&gt;0,$L9=""),"Awaiting Collection Email time stamp.",""),IF(OR($T9="PAID",$T9="CLOSED"),IF($T9="PAID","Account paid. Action completed.","Account closed. No further action required."),CHOOSE($W9,"Collection Email","1st Email Follow-up","2nd Email Follow-up","Escalation to Local Office","Escalation to CBE","Escalation to Roxanne")&amp;" sent "&amp;TEXT($X9,"dd-mmm")&amp;". "&amp;IF($W9=6,"Final escalation completed.",IF($T9="OVERDUE","Next: "&amp;$Z9&amp;" was due "&amp;TEXT($Y9,"dd-mmm")&amp;" - "&amp;(NETWORKDAYS($Y9,TODAY(),Holidays)-1)&amp;" business day(s) late. Send now.",IF($T9="DUE TOMORROW","Next: "&amp;$Z9&amp;IF($Y9&lt;=TODAY()," is due TODAY ("," is due next business day (")&amp;TEXT($Y9,"dd-mmm")&amp;").","Next: "&amp;$Z9&amp;" due "&amp;TEXT($Y9,"dd-mmm")&amp;" ("&amp;(NETWORKDAYS(TODAY(),$Y9,Holidays)-1)&amp;" business day(s) left).")))))</f>
        <v/>
      </c>
      <c r="V9" s="17">
        <f>IF($W9="","",CHOOSE($W9,"Collection Email","1st Follow-up","2nd Follow-up","Local Office","CBE","Roxanne")&amp;IF($W9=6," - Final"," - Day "&amp;MAX(0,NETWORKDAYS($X9,TODAY(),Holidays)-1)&amp;" of "&amp;CHOOSE($W9,3,3,2,2,3))&amp;" | Total Day "&amp;MAX(0,NETWORKDAYS($L9,TODAY(),Holidays)-1))</f>
        <v/>
      </c>
      <c r="W9" s="17">
        <f>IF($L9="","",COUNT($L9:$Q9))</f>
        <v/>
      </c>
      <c r="X9" s="18">
        <f>IF($W9="","",INT(INDEX($L9:$Q9,$W9)))</f>
        <v/>
      </c>
      <c r="Y9" s="18">
        <f>IF(OR($W9="",$W9=6),"",WORKDAY($X9,CHOOSE($W9,3,3,2,2,3),Holidays))</f>
        <v/>
      </c>
      <c r="Z9" s="17">
        <f>IF(OR($W9="",$W9=6),"",CHOOSE($W9,"1st Email Follow-up","2nd Email Follow-up","Escalate Local Office","Escalate to CBE","Escalate to Roxanne"))</f>
        <v/>
      </c>
    </row>
    <row r="10" spans="1:26">
      <c r="R10" s="15"/>
      <c r="S10" s="16"/>
      <c r="T10" s="17">
        <f>IF(AND(COUNTA($A10:$K10)=0,$L10=""),"",IF($S10="Paid","PAID",IF($S10="Closed","CLOSED",IF($W10="","",IF($W10=6,"ESCALATED TO ROXANNE",IF(TODAY()&gt;$Y10,"OVERDUE",IF($Y10&lt;=WORKDAY(TODAY(),1,Holidays),"DUE TOMORROW",IF($W10=4,"ESCALATED TO LOCAL OFFICE",IF($W10=5,"ESCALATED TO CBE",IF($X10=TODAY(),"EMAIL SENT","MONITORING"))))))))))</f>
        <v/>
      </c>
      <c r="U10" s="17">
        <f>IF($T10="",IF(AND(COUNTA($A10:$K10)&gt;0,$L10=""),"Awaiting Collection Email time stamp.",""),IF(OR($T10="PAID",$T10="CLOSED"),IF($T10="PAID","Account paid. Action completed.","Account closed. No further action required."),CHOOSE($W10,"Collection Email","1st Email Follow-up","2nd Email Follow-up","Escalation to Local Office","Escalation to CBE","Escalation to Roxanne")&amp;" sent "&amp;TEXT($X10,"dd-mmm")&amp;". "&amp;IF($W10=6,"Final escalation completed.",IF($T10="OVERDUE","Next: "&amp;$Z10&amp;" was due "&amp;TEXT($Y10,"dd-mmm")&amp;" - "&amp;(NETWORKDAYS($Y10,TODAY(),Holidays)-1)&amp;" business day(s) late. Send now.",IF($T10="DUE TOMORROW","Next: "&amp;$Z10&amp;IF($Y10&lt;=TODAY()," is due TODAY ("," is due next business day (")&amp;TEXT($Y10,"dd-mmm")&amp;").","Next: "&amp;$Z10&amp;" due "&amp;TEXT($Y10,"dd-mmm")&amp;" ("&amp;(NETWORKDAYS(TODAY(),$Y10,Holidays)-1)&amp;" business day(s) left).")))))</f>
        <v/>
      </c>
      <c r="V10" s="17">
        <f>IF($W10="","",CHOOSE($W10,"Collection Email","1st Follow-up","2nd Follow-up","Local Office","CBE","Roxanne")&amp;IF($W10=6," - Final"," - Day "&amp;MAX(0,NETWORKDAYS($X10,TODAY(),Holidays)-1)&amp;" of "&amp;CHOOSE($W10,3,3,2,2,3))&amp;" | Total Day "&amp;MAX(0,NETWORKDAYS($L10,TODAY(),Holidays)-1))</f>
        <v/>
      </c>
      <c r="W10" s="17">
        <f>IF($L10="","",COUNT($L10:$Q10))</f>
        <v/>
      </c>
      <c r="X10" s="18">
        <f>IF($W10="","",INT(INDEX($L10:$Q10,$W10)))</f>
        <v/>
      </c>
      <c r="Y10" s="18">
        <f>IF(OR($W10="",$W10=6),"",WORKDAY($X10,CHOOSE($W10,3,3,2,2,3),Holidays))</f>
        <v/>
      </c>
      <c r="Z10" s="17">
        <f>IF(OR($W10="",$W10=6),"",CHOOSE($W10,"1st Email Follow-up","2nd Email Follow-up","Escalate Local Office","Escalate to CBE","Escalate to Roxanne"))</f>
        <v/>
      </c>
    </row>
    <row r="11" spans="1:26">
      <c r="R11" s="15"/>
      <c r="S11" s="16"/>
      <c r="T11" s="17">
        <f>IF(AND(COUNTA($A11:$K11)=0,$L11=""),"",IF($S11="Paid","PAID",IF($S11="Closed","CLOSED",IF($W11="","",IF($W11=6,"ESCALATED TO ROXANNE",IF(TODAY()&gt;$Y11,"OVERDUE",IF($Y11&lt;=WORKDAY(TODAY(),1,Holidays),"DUE TOMORROW",IF($W11=4,"ESCALATED TO LOCAL OFFICE",IF($W11=5,"ESCALATED TO CBE",IF($X11=TODAY(),"EMAIL SENT","MONITORING"))))))))))</f>
        <v/>
      </c>
      <c r="U11" s="17">
        <f>IF($T11="",IF(AND(COUNTA($A11:$K11)&gt;0,$L11=""),"Awaiting Collection Email time stamp.",""),IF(OR($T11="PAID",$T11="CLOSED"),IF($T11="PAID","Account paid. Action completed.","Account closed. No further action required."),CHOOSE($W11,"Collection Email","1st Email Follow-up","2nd Email Follow-up","Escalation to Local Office","Escalation to CBE","Escalation to Roxanne")&amp;" sent "&amp;TEXT($X11,"dd-mmm")&amp;". "&amp;IF($W11=6,"Final escalation completed.",IF($T11="OVERDUE","Next: "&amp;$Z11&amp;" was due "&amp;TEXT($Y11,"dd-mmm")&amp;" - "&amp;(NETWORKDAYS($Y11,TODAY(),Holidays)-1)&amp;" business day(s) late. Send now.",IF($T11="DUE TOMORROW","Next: "&amp;$Z11&amp;IF($Y11&lt;=TODAY()," is due TODAY ("," is due next business day (")&amp;TEXT($Y11,"dd-mmm")&amp;").","Next: "&amp;$Z11&amp;" due "&amp;TEXT($Y11,"dd-mmm")&amp;" ("&amp;(NETWORKDAYS(TODAY(),$Y11,Holidays)-1)&amp;" business day(s) left).")))))</f>
        <v/>
      </c>
      <c r="V11" s="17">
        <f>IF($W11="","",CHOOSE($W11,"Collection Email","1st Follow-up","2nd Follow-up","Local Office","CBE","Roxanne")&amp;IF($W11=6," - Final"," - Day "&amp;MAX(0,NETWORKDAYS($X11,TODAY(),Holidays)-1)&amp;" of "&amp;CHOOSE($W11,3,3,2,2,3))&amp;" | Total Day "&amp;MAX(0,NETWORKDAYS($L11,TODAY(),Holidays)-1))</f>
        <v/>
      </c>
      <c r="W11" s="17">
        <f>IF($L11="","",COUNT($L11:$Q11))</f>
        <v/>
      </c>
      <c r="X11" s="18">
        <f>IF($W11="","",INT(INDEX($L11:$Q11,$W11)))</f>
        <v/>
      </c>
      <c r="Y11" s="18">
        <f>IF(OR($W11="",$W11=6),"",WORKDAY($X11,CHOOSE($W11,3,3,2,2,3),Holidays))</f>
        <v/>
      </c>
      <c r="Z11" s="17">
        <f>IF(OR($W11="",$W11=6),"",CHOOSE($W11,"1st Email Follow-up","2nd Email Follow-up","Escalate Local Office","Escalate to CBE","Escalate to Roxanne"))</f>
        <v/>
      </c>
    </row>
    <row r="12" spans="1:26">
      <c r="R12" s="15"/>
      <c r="S12" s="16"/>
      <c r="T12" s="17">
        <f>IF(AND(COUNTA($A12:$K12)=0,$L12=""),"",IF($S12="Paid","PAID",IF($S12="Closed","CLOSED",IF($W12="","",IF($W12=6,"ESCALATED TO ROXANNE",IF(TODAY()&gt;$Y12,"OVERDUE",IF($Y12&lt;=WORKDAY(TODAY(),1,Holidays),"DUE TOMORROW",IF($W12=4,"ESCALATED TO LOCAL OFFICE",IF($W12=5,"ESCALATED TO CBE",IF($X12=TODAY(),"EMAIL SENT","MONITORING"))))))))))</f>
        <v/>
      </c>
      <c r="U12" s="17">
        <f>IF($T12="",IF(AND(COUNTA($A12:$K12)&gt;0,$L12=""),"Awaiting Collection Email time stamp.",""),IF(OR($T12="PAID",$T12="CLOSED"),IF($T12="PAID","Account paid. Action completed.","Account closed. No further action required."),CHOOSE($W12,"Collection Email","1st Email Follow-up","2nd Email Follow-up","Escalation to Local Office","Escalation to CBE","Escalation to Roxanne")&amp;" sent "&amp;TEXT($X12,"dd-mmm")&amp;". "&amp;IF($W12=6,"Final escalation completed.",IF($T12="OVERDUE","Next: "&amp;$Z12&amp;" was due "&amp;TEXT($Y12,"dd-mmm")&amp;" - "&amp;(NETWORKDAYS($Y12,TODAY(),Holidays)-1)&amp;" business day(s) late. Send now.",IF($T12="DUE TOMORROW","Next: "&amp;$Z12&amp;IF($Y12&lt;=TODAY()," is due TODAY ("," is due next business day (")&amp;TEXT($Y12,"dd-mmm")&amp;").","Next: "&amp;$Z12&amp;" due "&amp;TEXT($Y12,"dd-mmm")&amp;" ("&amp;(NETWORKDAYS(TODAY(),$Y12,Holidays)-1)&amp;" business day(s) left).")))))</f>
        <v/>
      </c>
      <c r="V12" s="17">
        <f>IF($W12="","",CHOOSE($W12,"Collection Email","1st Follow-up","2nd Follow-up","Local Office","CBE","Roxanne")&amp;IF($W12=6," - Final"," - Day "&amp;MAX(0,NETWORKDAYS($X12,TODAY(),Holidays)-1)&amp;" of "&amp;CHOOSE($W12,3,3,2,2,3))&amp;" | Total Day "&amp;MAX(0,NETWORKDAYS($L12,TODAY(),Holidays)-1))</f>
        <v/>
      </c>
      <c r="W12" s="17">
        <f>IF($L12="","",COUNT($L12:$Q12))</f>
        <v/>
      </c>
      <c r="X12" s="18">
        <f>IF($W12="","",INT(INDEX($L12:$Q12,$W12)))</f>
        <v/>
      </c>
      <c r="Y12" s="18">
        <f>IF(OR($W12="",$W12=6),"",WORKDAY($X12,CHOOSE($W12,3,3,2,2,3),Holidays))</f>
        <v/>
      </c>
      <c r="Z12" s="17">
        <f>IF(OR($W12="",$W12=6),"",CHOOSE($W12,"1st Email Follow-up","2nd Email Follow-up","Escalate Local Office","Escalate to CBE","Escalate to Roxanne"))</f>
        <v/>
      </c>
    </row>
    <row r="13" spans="1:26">
      <c r="R13" s="15"/>
      <c r="S13" s="16"/>
      <c r="T13" s="17">
        <f>IF(AND(COUNTA($A13:$K13)=0,$L13=""),"",IF($S13="Paid","PAID",IF($S13="Closed","CLOSED",IF($W13="","",IF($W13=6,"ESCALATED TO ROXANNE",IF(TODAY()&gt;$Y13,"OVERDUE",IF($Y13&lt;=WORKDAY(TODAY(),1,Holidays),"DUE TOMORROW",IF($W13=4,"ESCALATED TO LOCAL OFFICE",IF($W13=5,"ESCALATED TO CBE",IF($X13=TODAY(),"EMAIL SENT","MONITORING"))))))))))</f>
        <v/>
      </c>
      <c r="U13" s="17">
        <f>IF($T13="",IF(AND(COUNTA($A13:$K13)&gt;0,$L13=""),"Awaiting Collection Email time stamp.",""),IF(OR($T13="PAID",$T13="CLOSED"),IF($T13="PAID","Account paid. Action completed.","Account closed. No further action required."),CHOOSE($W13,"Collection Email","1st Email Follow-up","2nd Email Follow-up","Escalation to Local Office","Escalation to CBE","Escalation to Roxanne")&amp;" sent "&amp;TEXT($X13,"dd-mmm")&amp;". "&amp;IF($W13=6,"Final escalation completed.",IF($T13="OVERDUE","Next: "&amp;$Z13&amp;" was due "&amp;TEXT($Y13,"dd-mmm")&amp;" - "&amp;(NETWORKDAYS($Y13,TODAY(),Holidays)-1)&amp;" business day(s) late. Send now.",IF($T13="DUE TOMORROW","Next: "&amp;$Z13&amp;IF($Y13&lt;=TODAY()," is due TODAY ("," is due next business day (")&amp;TEXT($Y13,"dd-mmm")&amp;").","Next: "&amp;$Z13&amp;" due "&amp;TEXT($Y13,"dd-mmm")&amp;" ("&amp;(NETWORKDAYS(TODAY(),$Y13,Holidays)-1)&amp;" business day(s) left).")))))</f>
        <v/>
      </c>
      <c r="V13" s="17">
        <f>IF($W13="","",CHOOSE($W13,"Collection Email","1st Follow-up","2nd Follow-up","Local Office","CBE","Roxanne")&amp;IF($W13=6," - Final"," - Day "&amp;MAX(0,NETWORKDAYS($X13,TODAY(),Holidays)-1)&amp;" of "&amp;CHOOSE($W13,3,3,2,2,3))&amp;" | Total Day "&amp;MAX(0,NETWORKDAYS($L13,TODAY(),Holidays)-1))</f>
        <v/>
      </c>
      <c r="W13" s="17">
        <f>IF($L13="","",COUNT($L13:$Q13))</f>
        <v/>
      </c>
      <c r="X13" s="18">
        <f>IF($W13="","",INT(INDEX($L13:$Q13,$W13)))</f>
        <v/>
      </c>
      <c r="Y13" s="18">
        <f>IF(OR($W13="",$W13=6),"",WORKDAY($X13,CHOOSE($W13,3,3,2,2,3),Holidays))</f>
        <v/>
      </c>
      <c r="Z13" s="17">
        <f>IF(OR($W13="",$W13=6),"",CHOOSE($W13,"1st Email Follow-up","2nd Email Follow-up","Escalate Local Office","Escalate to CBE","Escalate to Roxanne"))</f>
        <v/>
      </c>
    </row>
    <row r="14" spans="1:26">
      <c r="R14" s="15"/>
      <c r="S14" s="16"/>
      <c r="T14" s="17">
        <f>IF(AND(COUNTA($A14:$K14)=0,$L14=""),"",IF($S14="Paid","PAID",IF($S14="Closed","CLOSED",IF($W14="","",IF($W14=6,"ESCALATED TO ROXANNE",IF(TODAY()&gt;$Y14,"OVERDUE",IF($Y14&lt;=WORKDAY(TODAY(),1,Holidays),"DUE TOMORROW",IF($W14=4,"ESCALATED TO LOCAL OFFICE",IF($W14=5,"ESCALATED TO CBE",IF($X14=TODAY(),"EMAIL SENT","MONITORING"))))))))))</f>
        <v/>
      </c>
      <c r="U14" s="17">
        <f>IF($T14="",IF(AND(COUNTA($A14:$K14)&gt;0,$L14=""),"Awaiting Collection Email time stamp.",""),IF(OR($T14="PAID",$T14="CLOSED"),IF($T14="PAID","Account paid. Action completed.","Account closed. No further action required."),CHOOSE($W14,"Collection Email","1st Email Follow-up","2nd Email Follow-up","Escalation to Local Office","Escalation to CBE","Escalation to Roxanne")&amp;" sent "&amp;TEXT($X14,"dd-mmm")&amp;". "&amp;IF($W14=6,"Final escalation completed.",IF($T14="OVERDUE","Next: "&amp;$Z14&amp;" was due "&amp;TEXT($Y14,"dd-mmm")&amp;" - "&amp;(NETWORKDAYS($Y14,TODAY(),Holidays)-1)&amp;" business day(s) late. Send now.",IF($T14="DUE TOMORROW","Next: "&amp;$Z14&amp;IF($Y14&lt;=TODAY()," is due TODAY ("," is due next business day (")&amp;TEXT($Y14,"dd-mmm")&amp;").","Next: "&amp;$Z14&amp;" due "&amp;TEXT($Y14,"dd-mmm")&amp;" ("&amp;(NETWORKDAYS(TODAY(),$Y14,Holidays)-1)&amp;" business day(s) left).")))))</f>
        <v/>
      </c>
      <c r="V14" s="17">
        <f>IF($W14="","",CHOOSE($W14,"Collection Email","1st Follow-up","2nd Follow-up","Local Office","CBE","Roxanne")&amp;IF($W14=6," - Final"," - Day "&amp;MAX(0,NETWORKDAYS($X14,TODAY(),Holidays)-1)&amp;" of "&amp;CHOOSE($W14,3,3,2,2,3))&amp;" | Total Day "&amp;MAX(0,NETWORKDAYS($L14,TODAY(),Holidays)-1))</f>
        <v/>
      </c>
      <c r="W14" s="17">
        <f>IF($L14="","",COUNT($L14:$Q14))</f>
        <v/>
      </c>
      <c r="X14" s="18">
        <f>IF($W14="","",INT(INDEX($L14:$Q14,$W14)))</f>
        <v/>
      </c>
      <c r="Y14" s="18">
        <f>IF(OR($W14="",$W14=6),"",WORKDAY($X14,CHOOSE($W14,3,3,2,2,3),Holidays))</f>
        <v/>
      </c>
      <c r="Z14" s="17">
        <f>IF(OR($W14="",$W14=6),"",CHOOSE($W14,"1st Email Follow-up","2nd Email Follow-up","Escalate Local Office","Escalate to CBE","Escalate to Roxanne"))</f>
        <v/>
      </c>
    </row>
    <row r="15" spans="1:26">
      <c r="R15" s="15"/>
      <c r="S15" s="16"/>
      <c r="T15" s="17">
        <f>IF(AND(COUNTA($A15:$K15)=0,$L15=""),"",IF($S15="Paid","PAID",IF($S15="Closed","CLOSED",IF($W15="","",IF($W15=6,"ESCALATED TO ROXANNE",IF(TODAY()&gt;$Y15,"OVERDUE",IF($Y15&lt;=WORKDAY(TODAY(),1,Holidays),"DUE TOMORROW",IF($W15=4,"ESCALATED TO LOCAL OFFICE",IF($W15=5,"ESCALATED TO CBE",IF($X15=TODAY(),"EMAIL SENT","MONITORING"))))))))))</f>
        <v/>
      </c>
      <c r="U15" s="17">
        <f>IF($T15="",IF(AND(COUNTA($A15:$K15)&gt;0,$L15=""),"Awaiting Collection Email time stamp.",""),IF(OR($T15="PAID",$T15="CLOSED"),IF($T15="PAID","Account paid. Action completed.","Account closed. No further action required."),CHOOSE($W15,"Collection Email","1st Email Follow-up","2nd Email Follow-up","Escalation to Local Office","Escalation to CBE","Escalation to Roxanne")&amp;" sent "&amp;TEXT($X15,"dd-mmm")&amp;". "&amp;IF($W15=6,"Final escalation completed.",IF($T15="OVERDUE","Next: "&amp;$Z15&amp;" was due "&amp;TEXT($Y15,"dd-mmm")&amp;" - "&amp;(NETWORKDAYS($Y15,TODAY(),Holidays)-1)&amp;" business day(s) late. Send now.",IF($T15="DUE TOMORROW","Next: "&amp;$Z15&amp;IF($Y15&lt;=TODAY()," is due TODAY ("," is due next business day (")&amp;TEXT($Y15,"dd-mmm")&amp;").","Next: "&amp;$Z15&amp;" due "&amp;TEXT($Y15,"dd-mmm")&amp;" ("&amp;(NETWORKDAYS(TODAY(),$Y15,Holidays)-1)&amp;" business day(s) left).")))))</f>
        <v/>
      </c>
      <c r="V15" s="17">
        <f>IF($W15="","",CHOOSE($W15,"Collection Email","1st Follow-up","2nd Follow-up","Local Office","CBE","Roxanne")&amp;IF($W15=6," - Final"," - Day "&amp;MAX(0,NETWORKDAYS($X15,TODAY(),Holidays)-1)&amp;" of "&amp;CHOOSE($W15,3,3,2,2,3))&amp;" | Total Day "&amp;MAX(0,NETWORKDAYS($L15,TODAY(),Holidays)-1))</f>
        <v/>
      </c>
      <c r="W15" s="17">
        <f>IF($L15="","",COUNT($L15:$Q15))</f>
        <v/>
      </c>
      <c r="X15" s="18">
        <f>IF($W15="","",INT(INDEX($L15:$Q15,$W15)))</f>
        <v/>
      </c>
      <c r="Y15" s="18">
        <f>IF(OR($W15="",$W15=6),"",WORKDAY($X15,CHOOSE($W15,3,3,2,2,3),Holidays))</f>
        <v/>
      </c>
      <c r="Z15" s="17">
        <f>IF(OR($W15="",$W15=6),"",CHOOSE($W15,"1st Email Follow-up","2nd Email Follow-up","Escalate Local Office","Escalate to CBE","Escalate to Roxanne"))</f>
        <v/>
      </c>
    </row>
    <row r="16" spans="1:26">
      <c r="R16" s="15"/>
      <c r="S16" s="16"/>
      <c r="T16" s="17">
        <f>IF(AND(COUNTA($A16:$K16)=0,$L16=""),"",IF($S16="Paid","PAID",IF($S16="Closed","CLOSED",IF($W16="","",IF($W16=6,"ESCALATED TO ROXANNE",IF(TODAY()&gt;$Y16,"OVERDUE",IF($Y16&lt;=WORKDAY(TODAY(),1,Holidays),"DUE TOMORROW",IF($W16=4,"ESCALATED TO LOCAL OFFICE",IF($W16=5,"ESCALATED TO CBE",IF($X16=TODAY(),"EMAIL SENT","MONITORING"))))))))))</f>
        <v/>
      </c>
      <c r="U16" s="17">
        <f>IF($T16="",IF(AND(COUNTA($A16:$K16)&gt;0,$L16=""),"Awaiting Collection Email time stamp.",""),IF(OR($T16="PAID",$T16="CLOSED"),IF($T16="PAID","Account paid. Action completed.","Account closed. No further action required."),CHOOSE($W16,"Collection Email","1st Email Follow-up","2nd Email Follow-up","Escalation to Local Office","Escalation to CBE","Escalation to Roxanne")&amp;" sent "&amp;TEXT($X16,"dd-mmm")&amp;". "&amp;IF($W16=6,"Final escalation completed.",IF($T16="OVERDUE","Next: "&amp;$Z16&amp;" was due "&amp;TEXT($Y16,"dd-mmm")&amp;" - "&amp;(NETWORKDAYS($Y16,TODAY(),Holidays)-1)&amp;" business day(s) late. Send now.",IF($T16="DUE TOMORROW","Next: "&amp;$Z16&amp;IF($Y16&lt;=TODAY()," is due TODAY ("," is due next business day (")&amp;TEXT($Y16,"dd-mmm")&amp;").","Next: "&amp;$Z16&amp;" due "&amp;TEXT($Y16,"dd-mmm")&amp;" ("&amp;(NETWORKDAYS(TODAY(),$Y16,Holidays)-1)&amp;" business day(s) left).")))))</f>
        <v/>
      </c>
      <c r="V16" s="17">
        <f>IF($W16="","",CHOOSE($W16,"Collection Email","1st Follow-up","2nd Follow-up","Local Office","CBE","Roxanne")&amp;IF($W16=6," - Final"," - Day "&amp;MAX(0,NETWORKDAYS($X16,TODAY(),Holidays)-1)&amp;" of "&amp;CHOOSE($W16,3,3,2,2,3))&amp;" | Total Day "&amp;MAX(0,NETWORKDAYS($L16,TODAY(),Holidays)-1))</f>
        <v/>
      </c>
      <c r="W16" s="17">
        <f>IF($L16="","",COUNT($L16:$Q16))</f>
        <v/>
      </c>
      <c r="X16" s="18">
        <f>IF($W16="","",INT(INDEX($L16:$Q16,$W16)))</f>
        <v/>
      </c>
      <c r="Y16" s="18">
        <f>IF(OR($W16="",$W16=6),"",WORKDAY($X16,CHOOSE($W16,3,3,2,2,3),Holidays))</f>
        <v/>
      </c>
      <c r="Z16" s="17">
        <f>IF(OR($W16="",$W16=6),"",CHOOSE($W16,"1st Email Follow-up","2nd Email Follow-up","Escalate Local Office","Escalate to CBE","Escalate to Roxanne"))</f>
        <v/>
      </c>
    </row>
    <row r="17" spans="18:26">
      <c r="R17" s="15"/>
      <c r="S17" s="16"/>
      <c r="T17" s="17">
        <f>IF(AND(COUNTA($A17:$K17)=0,$L17=""),"",IF($S17="Paid","PAID",IF($S17="Closed","CLOSED",IF($W17="","",IF($W17=6,"ESCALATED TO ROXANNE",IF(TODAY()&gt;$Y17,"OVERDUE",IF($Y17&lt;=WORKDAY(TODAY(),1,Holidays),"DUE TOMORROW",IF($W17=4,"ESCALATED TO LOCAL OFFICE",IF($W17=5,"ESCALATED TO CBE",IF($X17=TODAY(),"EMAIL SENT","MONITORING"))))))))))</f>
        <v/>
      </c>
      <c r="U17" s="17">
        <f>IF($T17="",IF(AND(COUNTA($A17:$K17)&gt;0,$L17=""),"Awaiting Collection Email time stamp.",""),IF(OR($T17="PAID",$T17="CLOSED"),IF($T17="PAID","Account paid. Action completed.","Account closed. No further action required."),CHOOSE($W17,"Collection Email","1st Email Follow-up","2nd Email Follow-up","Escalation to Local Office","Escalation to CBE","Escalation to Roxanne")&amp;" sent "&amp;TEXT($X17,"dd-mmm")&amp;". "&amp;IF($W17=6,"Final escalation completed.",IF($T17="OVERDUE","Next: "&amp;$Z17&amp;" was due "&amp;TEXT($Y17,"dd-mmm")&amp;" - "&amp;(NETWORKDAYS($Y17,TODAY(),Holidays)-1)&amp;" business day(s) late. Send now.",IF($T17="DUE TOMORROW","Next: "&amp;$Z17&amp;IF($Y17&lt;=TODAY()," is due TODAY ("," is due next business day (")&amp;TEXT($Y17,"dd-mmm")&amp;").","Next: "&amp;$Z17&amp;" due "&amp;TEXT($Y17,"dd-mmm")&amp;" ("&amp;(NETWORKDAYS(TODAY(),$Y17,Holidays)-1)&amp;" business day(s) left).")))))</f>
        <v/>
      </c>
      <c r="V17" s="17">
        <f>IF($W17="","",CHOOSE($W17,"Collection Email","1st Follow-up","2nd Follow-up","Local Office","CBE","Roxanne")&amp;IF($W17=6," - Final"," - Day "&amp;MAX(0,NETWORKDAYS($X17,TODAY(),Holidays)-1)&amp;" of "&amp;CHOOSE($W17,3,3,2,2,3))&amp;" | Total Day "&amp;MAX(0,NETWORKDAYS($L17,TODAY(),Holidays)-1))</f>
        <v/>
      </c>
      <c r="W17" s="17">
        <f>IF($L17="","",COUNT($L17:$Q17))</f>
        <v/>
      </c>
      <c r="X17" s="18">
        <f>IF($W17="","",INT(INDEX($L17:$Q17,$W17)))</f>
        <v/>
      </c>
      <c r="Y17" s="18">
        <f>IF(OR($W17="",$W17=6),"",WORKDAY($X17,CHOOSE($W17,3,3,2,2,3),Holidays))</f>
        <v/>
      </c>
      <c r="Z17" s="17">
        <f>IF(OR($W17="",$W17=6),"",CHOOSE($W17,"1st Email Follow-up","2nd Email Follow-up","Escalate Local Office","Escalate to CBE","Escalate to Roxanne"))</f>
        <v/>
      </c>
    </row>
    <row r="18" spans="18:26">
      <c r="R18" s="15"/>
      <c r="S18" s="16"/>
      <c r="T18" s="17">
        <f>IF(AND(COUNTA($A18:$K18)=0,$L18=""),"",IF($S18="Paid","PAID",IF($S18="Closed","CLOSED",IF($W18="","",IF($W18=6,"ESCALATED TO ROXANNE",IF(TODAY()&gt;$Y18,"OVERDUE",IF($Y18&lt;=WORKDAY(TODAY(),1,Holidays),"DUE TOMORROW",IF($W18=4,"ESCALATED TO LOCAL OFFICE",IF($W18=5,"ESCALATED TO CBE",IF($X18=TODAY(),"EMAIL SENT","MONITORING"))))))))))</f>
        <v/>
      </c>
      <c r="U18" s="17">
        <f>IF($T18="",IF(AND(COUNTA($A18:$K18)&gt;0,$L18=""),"Awaiting Collection Email time stamp.",""),IF(OR($T18="PAID",$T18="CLOSED"),IF($T18="PAID","Account paid. Action completed.","Account closed. No further action required."),CHOOSE($W18,"Collection Email","1st Email Follow-up","2nd Email Follow-up","Escalation to Local Office","Escalation to CBE","Escalation to Roxanne")&amp;" sent "&amp;TEXT($X18,"dd-mmm")&amp;". "&amp;IF($W18=6,"Final escalation completed.",IF($T18="OVERDUE","Next: "&amp;$Z18&amp;" was due "&amp;TEXT($Y18,"dd-mmm")&amp;" - "&amp;(NETWORKDAYS($Y18,TODAY(),Holidays)-1)&amp;" business day(s) late. Send now.",IF($T18="DUE TOMORROW","Next: "&amp;$Z18&amp;IF($Y18&lt;=TODAY()," is due TODAY ("," is due next business day (")&amp;TEXT($Y18,"dd-mmm")&amp;").","Next: "&amp;$Z18&amp;" due "&amp;TEXT($Y18,"dd-mmm")&amp;" ("&amp;(NETWORKDAYS(TODAY(),$Y18,Holidays)-1)&amp;" business day(s) left).")))))</f>
        <v/>
      </c>
      <c r="V18" s="17">
        <f>IF($W18="","",CHOOSE($W18,"Collection Email","1st Follow-up","2nd Follow-up","Local Office","CBE","Roxanne")&amp;IF($W18=6," - Final"," - Day "&amp;MAX(0,NETWORKDAYS($X18,TODAY(),Holidays)-1)&amp;" of "&amp;CHOOSE($W18,3,3,2,2,3))&amp;" | Total Day "&amp;MAX(0,NETWORKDAYS($L18,TODAY(),Holidays)-1))</f>
        <v/>
      </c>
      <c r="W18" s="17">
        <f>IF($L18="","",COUNT($L18:$Q18))</f>
        <v/>
      </c>
      <c r="X18" s="18">
        <f>IF($W18="","",INT(INDEX($L18:$Q18,$W18)))</f>
        <v/>
      </c>
      <c r="Y18" s="18">
        <f>IF(OR($W18="",$W18=6),"",WORKDAY($X18,CHOOSE($W18,3,3,2,2,3),Holidays))</f>
        <v/>
      </c>
      <c r="Z18" s="17">
        <f>IF(OR($W18="",$W18=6),"",CHOOSE($W18,"1st Email Follow-up","2nd Email Follow-up","Escalate Local Office","Escalate to CBE","Escalate to Roxanne"))</f>
        <v/>
      </c>
    </row>
    <row r="19" spans="18:26">
      <c r="R19" s="15"/>
      <c r="S19" s="16"/>
      <c r="T19" s="17">
        <f>IF(AND(COUNTA($A19:$K19)=0,$L19=""),"",IF($S19="Paid","PAID",IF($S19="Closed","CLOSED",IF($W19="","",IF($W19=6,"ESCALATED TO ROXANNE",IF(TODAY()&gt;$Y19,"OVERDUE",IF($Y19&lt;=WORKDAY(TODAY(),1,Holidays),"DUE TOMORROW",IF($W19=4,"ESCALATED TO LOCAL OFFICE",IF($W19=5,"ESCALATED TO CBE",IF($X19=TODAY(),"EMAIL SENT","MONITORING"))))))))))</f>
        <v/>
      </c>
      <c r="U19" s="17">
        <f>IF($T19="",IF(AND(COUNTA($A19:$K19)&gt;0,$L19=""),"Awaiting Collection Email time stamp.",""),IF(OR($T19="PAID",$T19="CLOSED"),IF($T19="PAID","Account paid. Action completed.","Account closed. No further action required."),CHOOSE($W19,"Collection Email","1st Email Follow-up","2nd Email Follow-up","Escalation to Local Office","Escalation to CBE","Escalation to Roxanne")&amp;" sent "&amp;TEXT($X19,"dd-mmm")&amp;". "&amp;IF($W19=6,"Final escalation completed.",IF($T19="OVERDUE","Next: "&amp;$Z19&amp;" was due "&amp;TEXT($Y19,"dd-mmm")&amp;" - "&amp;(NETWORKDAYS($Y19,TODAY(),Holidays)-1)&amp;" business day(s) late. Send now.",IF($T19="DUE TOMORROW","Next: "&amp;$Z19&amp;IF($Y19&lt;=TODAY()," is due TODAY ("," is due next business day (")&amp;TEXT($Y19,"dd-mmm")&amp;").","Next: "&amp;$Z19&amp;" due "&amp;TEXT($Y19,"dd-mmm")&amp;" ("&amp;(NETWORKDAYS(TODAY(),$Y19,Holidays)-1)&amp;" business day(s) left).")))))</f>
        <v/>
      </c>
      <c r="V19" s="17">
        <f>IF($W19="","",CHOOSE($W19,"Collection Email","1st Follow-up","2nd Follow-up","Local Office","CBE","Roxanne")&amp;IF($W19=6," - Final"," - Day "&amp;MAX(0,NETWORKDAYS($X19,TODAY(),Holidays)-1)&amp;" of "&amp;CHOOSE($W19,3,3,2,2,3))&amp;" | Total Day "&amp;MAX(0,NETWORKDAYS($L19,TODAY(),Holidays)-1))</f>
        <v/>
      </c>
      <c r="W19" s="17">
        <f>IF($L19="","",COUNT($L19:$Q19))</f>
        <v/>
      </c>
      <c r="X19" s="18">
        <f>IF($W19="","",INT(INDEX($L19:$Q19,$W19)))</f>
        <v/>
      </c>
      <c r="Y19" s="18">
        <f>IF(OR($W19="",$W19=6),"",WORKDAY($X19,CHOOSE($W19,3,3,2,2,3),Holidays))</f>
        <v/>
      </c>
      <c r="Z19" s="17">
        <f>IF(OR($W19="",$W19=6),"",CHOOSE($W19,"1st Email Follow-up","2nd Email Follow-up","Escalate Local Office","Escalate to CBE","Escalate to Roxanne"))</f>
        <v/>
      </c>
    </row>
    <row r="20" spans="18:26">
      <c r="R20" s="15"/>
      <c r="S20" s="16"/>
      <c r="T20" s="17">
        <f>IF(AND(COUNTA($A20:$K20)=0,$L20=""),"",IF($S20="Paid","PAID",IF($S20="Closed","CLOSED",IF($W20="","",IF($W20=6,"ESCALATED TO ROXANNE",IF(TODAY()&gt;$Y20,"OVERDUE",IF($Y20&lt;=WORKDAY(TODAY(),1,Holidays),"DUE TOMORROW",IF($W20=4,"ESCALATED TO LOCAL OFFICE",IF($W20=5,"ESCALATED TO CBE",IF($X20=TODAY(),"EMAIL SENT","MONITORING"))))))))))</f>
        <v/>
      </c>
      <c r="U20" s="17">
        <f>IF($T20="",IF(AND(COUNTA($A20:$K20)&gt;0,$L20=""),"Awaiting Collection Email time stamp.",""),IF(OR($T20="PAID",$T20="CLOSED"),IF($T20="PAID","Account paid. Action completed.","Account closed. No further action required."),CHOOSE($W20,"Collection Email","1st Email Follow-up","2nd Email Follow-up","Escalation to Local Office","Escalation to CBE","Escalation to Roxanne")&amp;" sent "&amp;TEXT($X20,"dd-mmm")&amp;". "&amp;IF($W20=6,"Final escalation completed.",IF($T20="OVERDUE","Next: "&amp;$Z20&amp;" was due "&amp;TEXT($Y20,"dd-mmm")&amp;" - "&amp;(NETWORKDAYS($Y20,TODAY(),Holidays)-1)&amp;" business day(s) late. Send now.",IF($T20="DUE TOMORROW","Next: "&amp;$Z20&amp;IF($Y20&lt;=TODAY()," is due TODAY ("," is due next business day (")&amp;TEXT($Y20,"dd-mmm")&amp;").","Next: "&amp;$Z20&amp;" due "&amp;TEXT($Y20,"dd-mmm")&amp;" ("&amp;(NETWORKDAYS(TODAY(),$Y20,Holidays)-1)&amp;" business day(s) left).")))))</f>
        <v/>
      </c>
      <c r="V20" s="17">
        <f>IF($W20="","",CHOOSE($W20,"Collection Email","1st Follow-up","2nd Follow-up","Local Office","CBE","Roxanne")&amp;IF($W20=6," - Final"," - Day "&amp;MAX(0,NETWORKDAYS($X20,TODAY(),Holidays)-1)&amp;" of "&amp;CHOOSE($W20,3,3,2,2,3))&amp;" | Total Day "&amp;MAX(0,NETWORKDAYS($L20,TODAY(),Holidays)-1))</f>
        <v/>
      </c>
      <c r="W20" s="17">
        <f>IF($L20="","",COUNT($L20:$Q20))</f>
        <v/>
      </c>
      <c r="X20" s="18">
        <f>IF($W20="","",INT(INDEX($L20:$Q20,$W20)))</f>
        <v/>
      </c>
      <c r="Y20" s="18">
        <f>IF(OR($W20="",$W20=6),"",WORKDAY($X20,CHOOSE($W20,3,3,2,2,3),Holidays))</f>
        <v/>
      </c>
      <c r="Z20" s="17">
        <f>IF(OR($W20="",$W20=6),"",CHOOSE($W20,"1st Email Follow-up","2nd Email Follow-up","Escalate Local Office","Escalate to CBE","Escalate to Roxanne"))</f>
        <v/>
      </c>
    </row>
    <row r="21" spans="18:26">
      <c r="R21" s="15"/>
      <c r="S21" s="16"/>
      <c r="T21" s="17">
        <f>IF(AND(COUNTA($A21:$K21)=0,$L21=""),"",IF($S21="Paid","PAID",IF($S21="Closed","CLOSED",IF($W21="","",IF($W21=6,"ESCALATED TO ROXANNE",IF(TODAY()&gt;$Y21,"OVERDUE",IF($Y21&lt;=WORKDAY(TODAY(),1,Holidays),"DUE TOMORROW",IF($W21=4,"ESCALATED TO LOCAL OFFICE",IF($W21=5,"ESCALATED TO CBE",IF($X21=TODAY(),"EMAIL SENT","MONITORING"))))))))))</f>
        <v/>
      </c>
      <c r="U21" s="17">
        <f>IF($T21="",IF(AND(COUNTA($A21:$K21)&gt;0,$L21=""),"Awaiting Collection Email time stamp.",""),IF(OR($T21="PAID",$T21="CLOSED"),IF($T21="PAID","Account paid. Action completed.","Account closed. No further action required."),CHOOSE($W21,"Collection Email","1st Email Follow-up","2nd Email Follow-up","Escalation to Local Office","Escalation to CBE","Escalation to Roxanne")&amp;" sent "&amp;TEXT($X21,"dd-mmm")&amp;". "&amp;IF($W21=6,"Final escalation completed.",IF($T21="OVERDUE","Next: "&amp;$Z21&amp;" was due "&amp;TEXT($Y21,"dd-mmm")&amp;" - "&amp;(NETWORKDAYS($Y21,TODAY(),Holidays)-1)&amp;" business day(s) late. Send now.",IF($T21="DUE TOMORROW","Next: "&amp;$Z21&amp;IF($Y21&lt;=TODAY()," is due TODAY ("," is due next business day (")&amp;TEXT($Y21,"dd-mmm")&amp;").","Next: "&amp;$Z21&amp;" due "&amp;TEXT($Y21,"dd-mmm")&amp;" ("&amp;(NETWORKDAYS(TODAY(),$Y21,Holidays)-1)&amp;" business day(s) left).")))))</f>
        <v/>
      </c>
      <c r="V21" s="17">
        <f>IF($W21="","",CHOOSE($W21,"Collection Email","1st Follow-up","2nd Follow-up","Local Office","CBE","Roxanne")&amp;IF($W21=6," - Final"," - Day "&amp;MAX(0,NETWORKDAYS($X21,TODAY(),Holidays)-1)&amp;" of "&amp;CHOOSE($W21,3,3,2,2,3))&amp;" | Total Day "&amp;MAX(0,NETWORKDAYS($L21,TODAY(),Holidays)-1))</f>
        <v/>
      </c>
      <c r="W21" s="17">
        <f>IF($L21="","",COUNT($L21:$Q21))</f>
        <v/>
      </c>
      <c r="X21" s="18">
        <f>IF($W21="","",INT(INDEX($L21:$Q21,$W21)))</f>
        <v/>
      </c>
      <c r="Y21" s="18">
        <f>IF(OR($W21="",$W21=6),"",WORKDAY($X21,CHOOSE($W21,3,3,2,2,3),Holidays))</f>
        <v/>
      </c>
      <c r="Z21" s="17">
        <f>IF(OR($W21="",$W21=6),"",CHOOSE($W21,"1st Email Follow-up","2nd Email Follow-up","Escalate Local Office","Escalate to CBE","Escalate to Roxanne"))</f>
        <v/>
      </c>
    </row>
    <row r="22" spans="18:26">
      <c r="R22" s="15"/>
      <c r="S22" s="16"/>
      <c r="T22" s="17">
        <f>IF(AND(COUNTA($A22:$K22)=0,$L22=""),"",IF($S22="Paid","PAID",IF($S22="Closed","CLOSED",IF($W22="","",IF($W22=6,"ESCALATED TO ROXANNE",IF(TODAY()&gt;$Y22,"OVERDUE",IF($Y22&lt;=WORKDAY(TODAY(),1,Holidays),"DUE TOMORROW",IF($W22=4,"ESCALATED TO LOCAL OFFICE",IF($W22=5,"ESCALATED TO CBE",IF($X22=TODAY(),"EMAIL SENT","MONITORING"))))))))))</f>
        <v/>
      </c>
      <c r="U22" s="17">
        <f>IF($T22="",IF(AND(COUNTA($A22:$K22)&gt;0,$L22=""),"Awaiting Collection Email time stamp.",""),IF(OR($T22="PAID",$T22="CLOSED"),IF($T22="PAID","Account paid. Action completed.","Account closed. No further action required."),CHOOSE($W22,"Collection Email","1st Email Follow-up","2nd Email Follow-up","Escalation to Local Office","Escalation to CBE","Escalation to Roxanne")&amp;" sent "&amp;TEXT($X22,"dd-mmm")&amp;". "&amp;IF($W22=6,"Final escalation completed.",IF($T22="OVERDUE","Next: "&amp;$Z22&amp;" was due "&amp;TEXT($Y22,"dd-mmm")&amp;" - "&amp;(NETWORKDAYS($Y22,TODAY(),Holidays)-1)&amp;" business day(s) late. Send now.",IF($T22="DUE TOMORROW","Next: "&amp;$Z22&amp;IF($Y22&lt;=TODAY()," is due TODAY ("," is due next business day (")&amp;TEXT($Y22,"dd-mmm")&amp;").","Next: "&amp;$Z22&amp;" due "&amp;TEXT($Y22,"dd-mmm")&amp;" ("&amp;(NETWORKDAYS(TODAY(),$Y22,Holidays)-1)&amp;" business day(s) left).")))))</f>
        <v/>
      </c>
      <c r="V22" s="17">
        <f>IF($W22="","",CHOOSE($W22,"Collection Email","1st Follow-up","2nd Follow-up","Local Office","CBE","Roxanne")&amp;IF($W22=6," - Final"," - Day "&amp;MAX(0,NETWORKDAYS($X22,TODAY(),Holidays)-1)&amp;" of "&amp;CHOOSE($W22,3,3,2,2,3))&amp;" | Total Day "&amp;MAX(0,NETWORKDAYS($L22,TODAY(),Holidays)-1))</f>
        <v/>
      </c>
      <c r="W22" s="17">
        <f>IF($L22="","",COUNT($L22:$Q22))</f>
        <v/>
      </c>
      <c r="X22" s="18">
        <f>IF($W22="","",INT(INDEX($L22:$Q22,$W22)))</f>
        <v/>
      </c>
      <c r="Y22" s="18">
        <f>IF(OR($W22="",$W22=6),"",WORKDAY($X22,CHOOSE($W22,3,3,2,2,3),Holidays))</f>
        <v/>
      </c>
      <c r="Z22" s="17">
        <f>IF(OR($W22="",$W22=6),"",CHOOSE($W22,"1st Email Follow-up","2nd Email Follow-up","Escalate Local Office","Escalate to CBE","Escalate to Roxanne"))</f>
        <v/>
      </c>
    </row>
    <row r="23" spans="18:26">
      <c r="R23" s="15"/>
      <c r="S23" s="16"/>
      <c r="T23" s="17">
        <f>IF(AND(COUNTA($A23:$K23)=0,$L23=""),"",IF($S23="Paid","PAID",IF($S23="Closed","CLOSED",IF($W23="","",IF($W23=6,"ESCALATED TO ROXANNE",IF(TODAY()&gt;$Y23,"OVERDUE",IF($Y23&lt;=WORKDAY(TODAY(),1,Holidays),"DUE TOMORROW",IF($W23=4,"ESCALATED TO LOCAL OFFICE",IF($W23=5,"ESCALATED TO CBE",IF($X23=TODAY(),"EMAIL SENT","MONITORING"))))))))))</f>
        <v/>
      </c>
      <c r="U23" s="17">
        <f>IF($T23="",IF(AND(COUNTA($A23:$K23)&gt;0,$L23=""),"Awaiting Collection Email time stamp.",""),IF(OR($T23="PAID",$T23="CLOSED"),IF($T23="PAID","Account paid. Action completed.","Account closed. No further action required."),CHOOSE($W23,"Collection Email","1st Email Follow-up","2nd Email Follow-up","Escalation to Local Office","Escalation to CBE","Escalation to Roxanne")&amp;" sent "&amp;TEXT($X23,"dd-mmm")&amp;". "&amp;IF($W23=6,"Final escalation completed.",IF($T23="OVERDUE","Next: "&amp;$Z23&amp;" was due "&amp;TEXT($Y23,"dd-mmm")&amp;" - "&amp;(NETWORKDAYS($Y23,TODAY(),Holidays)-1)&amp;" business day(s) late. Send now.",IF($T23="DUE TOMORROW","Next: "&amp;$Z23&amp;IF($Y23&lt;=TODAY()," is due TODAY ("," is due next business day (")&amp;TEXT($Y23,"dd-mmm")&amp;").","Next: "&amp;$Z23&amp;" due "&amp;TEXT($Y23,"dd-mmm")&amp;" ("&amp;(NETWORKDAYS(TODAY(),$Y23,Holidays)-1)&amp;" business day(s) left).")))))</f>
        <v/>
      </c>
      <c r="V23" s="17">
        <f>IF($W23="","",CHOOSE($W23,"Collection Email","1st Follow-up","2nd Follow-up","Local Office","CBE","Roxanne")&amp;IF($W23=6," - Final"," - Day "&amp;MAX(0,NETWORKDAYS($X23,TODAY(),Holidays)-1)&amp;" of "&amp;CHOOSE($W23,3,3,2,2,3))&amp;" | Total Day "&amp;MAX(0,NETWORKDAYS($L23,TODAY(),Holidays)-1))</f>
        <v/>
      </c>
      <c r="W23" s="17">
        <f>IF($L23="","",COUNT($L23:$Q23))</f>
        <v/>
      </c>
      <c r="X23" s="18">
        <f>IF($W23="","",INT(INDEX($L23:$Q23,$W23)))</f>
        <v/>
      </c>
      <c r="Y23" s="18">
        <f>IF(OR($W23="",$W23=6),"",WORKDAY($X23,CHOOSE($W23,3,3,2,2,3),Holidays))</f>
        <v/>
      </c>
      <c r="Z23" s="17">
        <f>IF(OR($W23="",$W23=6),"",CHOOSE($W23,"1st Email Follow-up","2nd Email Follow-up","Escalate Local Office","Escalate to CBE","Escalate to Roxanne"))</f>
        <v/>
      </c>
    </row>
    <row r="24" spans="18:26">
      <c r="R24" s="15"/>
      <c r="S24" s="16"/>
      <c r="T24" s="17">
        <f>IF(AND(COUNTA($A24:$K24)=0,$L24=""),"",IF($S24="Paid","PAID",IF($S24="Closed","CLOSED",IF($W24="","",IF($W24=6,"ESCALATED TO ROXANNE",IF(TODAY()&gt;$Y24,"OVERDUE",IF($Y24&lt;=WORKDAY(TODAY(),1,Holidays),"DUE TOMORROW",IF($W24=4,"ESCALATED TO LOCAL OFFICE",IF($W24=5,"ESCALATED TO CBE",IF($X24=TODAY(),"EMAIL SENT","MONITORING"))))))))))</f>
        <v/>
      </c>
      <c r="U24" s="17">
        <f>IF($T24="",IF(AND(COUNTA($A24:$K24)&gt;0,$L24=""),"Awaiting Collection Email time stamp.",""),IF(OR($T24="PAID",$T24="CLOSED"),IF($T24="PAID","Account paid. Action completed.","Account closed. No further action required."),CHOOSE($W24,"Collection Email","1st Email Follow-up","2nd Email Follow-up","Escalation to Local Office","Escalation to CBE","Escalation to Roxanne")&amp;" sent "&amp;TEXT($X24,"dd-mmm")&amp;". "&amp;IF($W24=6,"Final escalation completed.",IF($T24="OVERDUE","Next: "&amp;$Z24&amp;" was due "&amp;TEXT($Y24,"dd-mmm")&amp;" - "&amp;(NETWORKDAYS($Y24,TODAY(),Holidays)-1)&amp;" business day(s) late. Send now.",IF($T24="DUE TOMORROW","Next: "&amp;$Z24&amp;IF($Y24&lt;=TODAY()," is due TODAY ("," is due next business day (")&amp;TEXT($Y24,"dd-mmm")&amp;").","Next: "&amp;$Z24&amp;" due "&amp;TEXT($Y24,"dd-mmm")&amp;" ("&amp;(NETWORKDAYS(TODAY(),$Y24,Holidays)-1)&amp;" business day(s) left).")))))</f>
        <v/>
      </c>
      <c r="V24" s="17">
        <f>IF($W24="","",CHOOSE($W24,"Collection Email","1st Follow-up","2nd Follow-up","Local Office","CBE","Roxanne")&amp;IF($W24=6," - Final"," - Day "&amp;MAX(0,NETWORKDAYS($X24,TODAY(),Holidays)-1)&amp;" of "&amp;CHOOSE($W24,3,3,2,2,3))&amp;" | Total Day "&amp;MAX(0,NETWORKDAYS($L24,TODAY(),Holidays)-1))</f>
        <v/>
      </c>
      <c r="W24" s="17">
        <f>IF($L24="","",COUNT($L24:$Q24))</f>
        <v/>
      </c>
      <c r="X24" s="18">
        <f>IF($W24="","",INT(INDEX($L24:$Q24,$W24)))</f>
        <v/>
      </c>
      <c r="Y24" s="18">
        <f>IF(OR($W24="",$W24=6),"",WORKDAY($X24,CHOOSE($W24,3,3,2,2,3),Holidays))</f>
        <v/>
      </c>
      <c r="Z24" s="17">
        <f>IF(OR($W24="",$W24=6),"",CHOOSE($W24,"1st Email Follow-up","2nd Email Follow-up","Escalate Local Office","Escalate to CBE","Escalate to Roxanne"))</f>
        <v/>
      </c>
    </row>
    <row r="25" spans="18:26">
      <c r="R25" s="15"/>
      <c r="S25" s="16"/>
      <c r="T25" s="17">
        <f>IF(AND(COUNTA($A25:$K25)=0,$L25=""),"",IF($S25="Paid","PAID",IF($S25="Closed","CLOSED",IF($W25="","",IF($W25=6,"ESCALATED TO ROXANNE",IF(TODAY()&gt;$Y25,"OVERDUE",IF($Y25&lt;=WORKDAY(TODAY(),1,Holidays),"DUE TOMORROW",IF($W25=4,"ESCALATED TO LOCAL OFFICE",IF($W25=5,"ESCALATED TO CBE",IF($X25=TODAY(),"EMAIL SENT","MONITORING"))))))))))</f>
        <v/>
      </c>
      <c r="U25" s="17">
        <f>IF($T25="",IF(AND(COUNTA($A25:$K25)&gt;0,$L25=""),"Awaiting Collection Email time stamp.",""),IF(OR($T25="PAID",$T25="CLOSED"),IF($T25="PAID","Account paid. Action completed.","Account closed. No further action required."),CHOOSE($W25,"Collection Email","1st Email Follow-up","2nd Email Follow-up","Escalation to Local Office","Escalation to CBE","Escalation to Roxanne")&amp;" sent "&amp;TEXT($X25,"dd-mmm")&amp;". "&amp;IF($W25=6,"Final escalation completed.",IF($T25="OVERDUE","Next: "&amp;$Z25&amp;" was due "&amp;TEXT($Y25,"dd-mmm")&amp;" - "&amp;(NETWORKDAYS($Y25,TODAY(),Holidays)-1)&amp;" business day(s) late. Send now.",IF($T25="DUE TOMORROW","Next: "&amp;$Z25&amp;IF($Y25&lt;=TODAY()," is due TODAY ("," is due next business day (")&amp;TEXT($Y25,"dd-mmm")&amp;").","Next: "&amp;$Z25&amp;" due "&amp;TEXT($Y25,"dd-mmm")&amp;" ("&amp;(NETWORKDAYS(TODAY(),$Y25,Holidays)-1)&amp;" business day(s) left).")))))</f>
        <v/>
      </c>
      <c r="V25" s="17">
        <f>IF($W25="","",CHOOSE($W25,"Collection Email","1st Follow-up","2nd Follow-up","Local Office","CBE","Roxanne")&amp;IF($W25=6," - Final"," - Day "&amp;MAX(0,NETWORKDAYS($X25,TODAY(),Holidays)-1)&amp;" of "&amp;CHOOSE($W25,3,3,2,2,3))&amp;" | Total Day "&amp;MAX(0,NETWORKDAYS($L25,TODAY(),Holidays)-1))</f>
        <v/>
      </c>
      <c r="W25" s="17">
        <f>IF($L25="","",COUNT($L25:$Q25))</f>
        <v/>
      </c>
      <c r="X25" s="18">
        <f>IF($W25="","",INT(INDEX($L25:$Q25,$W25)))</f>
        <v/>
      </c>
      <c r="Y25" s="18">
        <f>IF(OR($W25="",$W25=6),"",WORKDAY($X25,CHOOSE($W25,3,3,2,2,3),Holidays))</f>
        <v/>
      </c>
      <c r="Z25" s="17">
        <f>IF(OR($W25="",$W25=6),"",CHOOSE($W25,"1st Email Follow-up","2nd Email Follow-up","Escalate Local Office","Escalate to CBE","Escalate to Roxanne"))</f>
        <v/>
      </c>
    </row>
    <row r="26" spans="18:26">
      <c r="R26" s="15"/>
      <c r="S26" s="16"/>
      <c r="T26" s="17">
        <f>IF(AND(COUNTA($A26:$K26)=0,$L26=""),"",IF($S26="Paid","PAID",IF($S26="Closed","CLOSED",IF($W26="","",IF($W26=6,"ESCALATED TO ROXANNE",IF(TODAY()&gt;$Y26,"OVERDUE",IF($Y26&lt;=WORKDAY(TODAY(),1,Holidays),"DUE TOMORROW",IF($W26=4,"ESCALATED TO LOCAL OFFICE",IF($W26=5,"ESCALATED TO CBE",IF($X26=TODAY(),"EMAIL SENT","MONITORING"))))))))))</f>
        <v/>
      </c>
      <c r="U26" s="17">
        <f>IF($T26="",IF(AND(COUNTA($A26:$K26)&gt;0,$L26=""),"Awaiting Collection Email time stamp.",""),IF(OR($T26="PAID",$T26="CLOSED"),IF($T26="PAID","Account paid. Action completed.","Account closed. No further action required."),CHOOSE($W26,"Collection Email","1st Email Follow-up","2nd Email Follow-up","Escalation to Local Office","Escalation to CBE","Escalation to Roxanne")&amp;" sent "&amp;TEXT($X26,"dd-mmm")&amp;". "&amp;IF($W26=6,"Final escalation completed.",IF($T26="OVERDUE","Next: "&amp;$Z26&amp;" was due "&amp;TEXT($Y26,"dd-mmm")&amp;" - "&amp;(NETWORKDAYS($Y26,TODAY(),Holidays)-1)&amp;" business day(s) late. Send now.",IF($T26="DUE TOMORROW","Next: "&amp;$Z26&amp;IF($Y26&lt;=TODAY()," is due TODAY ("," is due next business day (")&amp;TEXT($Y26,"dd-mmm")&amp;").","Next: "&amp;$Z26&amp;" due "&amp;TEXT($Y26,"dd-mmm")&amp;" ("&amp;(NETWORKDAYS(TODAY(),$Y26,Holidays)-1)&amp;" business day(s) left).")))))</f>
        <v/>
      </c>
      <c r="V26" s="17">
        <f>IF($W26="","",CHOOSE($W26,"Collection Email","1st Follow-up","2nd Follow-up","Local Office","CBE","Roxanne")&amp;IF($W26=6," - Final"," - Day "&amp;MAX(0,NETWORKDAYS($X26,TODAY(),Holidays)-1)&amp;" of "&amp;CHOOSE($W26,3,3,2,2,3))&amp;" | Total Day "&amp;MAX(0,NETWORKDAYS($L26,TODAY(),Holidays)-1))</f>
        <v/>
      </c>
      <c r="W26" s="17">
        <f>IF($L26="","",COUNT($L26:$Q26))</f>
        <v/>
      </c>
      <c r="X26" s="18">
        <f>IF($W26="","",INT(INDEX($L26:$Q26,$W26)))</f>
        <v/>
      </c>
      <c r="Y26" s="18">
        <f>IF(OR($W26="",$W26=6),"",WORKDAY($X26,CHOOSE($W26,3,3,2,2,3),Holidays))</f>
        <v/>
      </c>
      <c r="Z26" s="17">
        <f>IF(OR($W26="",$W26=6),"",CHOOSE($W26,"1st Email Follow-up","2nd Email Follow-up","Escalate Local Office","Escalate to CBE","Escalate to Roxanne"))</f>
        <v/>
      </c>
    </row>
    <row r="27" spans="18:26">
      <c r="R27" s="15"/>
      <c r="S27" s="16"/>
      <c r="T27" s="17">
        <f>IF(AND(COUNTA($A27:$K27)=0,$L27=""),"",IF($S27="Paid","PAID",IF($S27="Closed","CLOSED",IF($W27="","",IF($W27=6,"ESCALATED TO ROXANNE",IF(TODAY()&gt;$Y27,"OVERDUE",IF($Y27&lt;=WORKDAY(TODAY(),1,Holidays),"DUE TOMORROW",IF($W27=4,"ESCALATED TO LOCAL OFFICE",IF($W27=5,"ESCALATED TO CBE",IF($X27=TODAY(),"EMAIL SENT","MONITORING"))))))))))</f>
        <v/>
      </c>
      <c r="U27" s="17">
        <f>IF($T27="",IF(AND(COUNTA($A27:$K27)&gt;0,$L27=""),"Awaiting Collection Email time stamp.",""),IF(OR($T27="PAID",$T27="CLOSED"),IF($T27="PAID","Account paid. Action completed.","Account closed. No further action required."),CHOOSE($W27,"Collection Email","1st Email Follow-up","2nd Email Follow-up","Escalation to Local Office","Escalation to CBE","Escalation to Roxanne")&amp;" sent "&amp;TEXT($X27,"dd-mmm")&amp;". "&amp;IF($W27=6,"Final escalation completed.",IF($T27="OVERDUE","Next: "&amp;$Z27&amp;" was due "&amp;TEXT($Y27,"dd-mmm")&amp;" - "&amp;(NETWORKDAYS($Y27,TODAY(),Holidays)-1)&amp;" business day(s) late. Send now.",IF($T27="DUE TOMORROW","Next: "&amp;$Z27&amp;IF($Y27&lt;=TODAY()," is due TODAY ("," is due next business day (")&amp;TEXT($Y27,"dd-mmm")&amp;").","Next: "&amp;$Z27&amp;" due "&amp;TEXT($Y27,"dd-mmm")&amp;" ("&amp;(NETWORKDAYS(TODAY(),$Y27,Holidays)-1)&amp;" business day(s) left).")))))</f>
        <v/>
      </c>
      <c r="V27" s="17">
        <f>IF($W27="","",CHOOSE($W27,"Collection Email","1st Follow-up","2nd Follow-up","Local Office","CBE","Roxanne")&amp;IF($W27=6," - Final"," - Day "&amp;MAX(0,NETWORKDAYS($X27,TODAY(),Holidays)-1)&amp;" of "&amp;CHOOSE($W27,3,3,2,2,3))&amp;" | Total Day "&amp;MAX(0,NETWORKDAYS($L27,TODAY(),Holidays)-1))</f>
        <v/>
      </c>
      <c r="W27" s="17">
        <f>IF($L27="","",COUNT($L27:$Q27))</f>
        <v/>
      </c>
      <c r="X27" s="18">
        <f>IF($W27="","",INT(INDEX($L27:$Q27,$W27)))</f>
        <v/>
      </c>
      <c r="Y27" s="18">
        <f>IF(OR($W27="",$W27=6),"",WORKDAY($X27,CHOOSE($W27,3,3,2,2,3),Holidays))</f>
        <v/>
      </c>
      <c r="Z27" s="17">
        <f>IF(OR($W27="",$W27=6),"",CHOOSE($W27,"1st Email Follow-up","2nd Email Follow-up","Escalate Local Office","Escalate to CBE","Escalate to Roxanne"))</f>
        <v/>
      </c>
    </row>
    <row r="28" spans="18:26">
      <c r="R28" s="15"/>
      <c r="S28" s="16"/>
      <c r="T28" s="17">
        <f>IF(AND(COUNTA($A28:$K28)=0,$L28=""),"",IF($S28="Paid","PAID",IF($S28="Closed","CLOSED",IF($W28="","",IF($W28=6,"ESCALATED TO ROXANNE",IF(TODAY()&gt;$Y28,"OVERDUE",IF($Y28&lt;=WORKDAY(TODAY(),1,Holidays),"DUE TOMORROW",IF($W28=4,"ESCALATED TO LOCAL OFFICE",IF($W28=5,"ESCALATED TO CBE",IF($X28=TODAY(),"EMAIL SENT","MONITORING"))))))))))</f>
        <v/>
      </c>
      <c r="U28" s="17">
        <f>IF($T28="",IF(AND(COUNTA($A28:$K28)&gt;0,$L28=""),"Awaiting Collection Email time stamp.",""),IF(OR($T28="PAID",$T28="CLOSED"),IF($T28="PAID","Account paid. Action completed.","Account closed. No further action required."),CHOOSE($W28,"Collection Email","1st Email Follow-up","2nd Email Follow-up","Escalation to Local Office","Escalation to CBE","Escalation to Roxanne")&amp;" sent "&amp;TEXT($X28,"dd-mmm")&amp;". "&amp;IF($W28=6,"Final escalation completed.",IF($T28="OVERDUE","Next: "&amp;$Z28&amp;" was due "&amp;TEXT($Y28,"dd-mmm")&amp;" - "&amp;(NETWORKDAYS($Y28,TODAY(),Holidays)-1)&amp;" business day(s) late. Send now.",IF($T28="DUE TOMORROW","Next: "&amp;$Z28&amp;IF($Y28&lt;=TODAY()," is due TODAY ("," is due next business day (")&amp;TEXT($Y28,"dd-mmm")&amp;").","Next: "&amp;$Z28&amp;" due "&amp;TEXT($Y28,"dd-mmm")&amp;" ("&amp;(NETWORKDAYS(TODAY(),$Y28,Holidays)-1)&amp;" business day(s) left).")))))</f>
        <v/>
      </c>
      <c r="V28" s="17">
        <f>IF($W28="","",CHOOSE($W28,"Collection Email","1st Follow-up","2nd Follow-up","Local Office","CBE","Roxanne")&amp;IF($W28=6," - Final"," - Day "&amp;MAX(0,NETWORKDAYS($X28,TODAY(),Holidays)-1)&amp;" of "&amp;CHOOSE($W28,3,3,2,2,3))&amp;" | Total Day "&amp;MAX(0,NETWORKDAYS($L28,TODAY(),Holidays)-1))</f>
        <v/>
      </c>
      <c r="W28" s="17">
        <f>IF($L28="","",COUNT($L28:$Q28))</f>
        <v/>
      </c>
      <c r="X28" s="18">
        <f>IF($W28="","",INT(INDEX($L28:$Q28,$W28)))</f>
        <v/>
      </c>
      <c r="Y28" s="18">
        <f>IF(OR($W28="",$W28=6),"",WORKDAY($X28,CHOOSE($W28,3,3,2,2,3),Holidays))</f>
        <v/>
      </c>
      <c r="Z28" s="17">
        <f>IF(OR($W28="",$W28=6),"",CHOOSE($W28,"1st Email Follow-up","2nd Email Follow-up","Escalate Local Office","Escalate to CBE","Escalate to Roxanne"))</f>
        <v/>
      </c>
    </row>
    <row r="29" spans="18:26">
      <c r="R29" s="15"/>
      <c r="S29" s="16"/>
      <c r="T29" s="17">
        <f>IF(AND(COUNTA($A29:$K29)=0,$L29=""),"",IF($S29="Paid","PAID",IF($S29="Closed","CLOSED",IF($W29="","",IF($W29=6,"ESCALATED TO ROXANNE",IF(TODAY()&gt;$Y29,"OVERDUE",IF($Y29&lt;=WORKDAY(TODAY(),1,Holidays),"DUE TOMORROW",IF($W29=4,"ESCALATED TO LOCAL OFFICE",IF($W29=5,"ESCALATED TO CBE",IF($X29=TODAY(),"EMAIL SENT","MONITORING"))))))))))</f>
        <v/>
      </c>
      <c r="U29" s="17">
        <f>IF($T29="",IF(AND(COUNTA($A29:$K29)&gt;0,$L29=""),"Awaiting Collection Email time stamp.",""),IF(OR($T29="PAID",$T29="CLOSED"),IF($T29="PAID","Account paid. Action completed.","Account closed. No further action required."),CHOOSE($W29,"Collection Email","1st Email Follow-up","2nd Email Follow-up","Escalation to Local Office","Escalation to CBE","Escalation to Roxanne")&amp;" sent "&amp;TEXT($X29,"dd-mmm")&amp;". "&amp;IF($W29=6,"Final escalation completed.",IF($T29="OVERDUE","Next: "&amp;$Z29&amp;" was due "&amp;TEXT($Y29,"dd-mmm")&amp;" - "&amp;(NETWORKDAYS($Y29,TODAY(),Holidays)-1)&amp;" business day(s) late. Send now.",IF($T29="DUE TOMORROW","Next: "&amp;$Z29&amp;IF($Y29&lt;=TODAY()," is due TODAY ("," is due next business day (")&amp;TEXT($Y29,"dd-mmm")&amp;").","Next: "&amp;$Z29&amp;" due "&amp;TEXT($Y29,"dd-mmm")&amp;" ("&amp;(NETWORKDAYS(TODAY(),$Y29,Holidays)-1)&amp;" business day(s) left).")))))</f>
        <v/>
      </c>
      <c r="V29" s="17">
        <f>IF($W29="","",CHOOSE($W29,"Collection Email","1st Follow-up","2nd Follow-up","Local Office","CBE","Roxanne")&amp;IF($W29=6," - Final"," - Day "&amp;MAX(0,NETWORKDAYS($X29,TODAY(),Holidays)-1)&amp;" of "&amp;CHOOSE($W29,3,3,2,2,3))&amp;" | Total Day "&amp;MAX(0,NETWORKDAYS($L29,TODAY(),Holidays)-1))</f>
        <v/>
      </c>
      <c r="W29" s="17">
        <f>IF($L29="","",COUNT($L29:$Q29))</f>
        <v/>
      </c>
      <c r="X29" s="18">
        <f>IF($W29="","",INT(INDEX($L29:$Q29,$W29)))</f>
        <v/>
      </c>
      <c r="Y29" s="18">
        <f>IF(OR($W29="",$W29=6),"",WORKDAY($X29,CHOOSE($W29,3,3,2,2,3),Holidays))</f>
        <v/>
      </c>
      <c r="Z29" s="17">
        <f>IF(OR($W29="",$W29=6),"",CHOOSE($W29,"1st Email Follow-up","2nd Email Follow-up","Escalate Local Office","Escalate to CBE","Escalate to Roxanne"))</f>
        <v/>
      </c>
    </row>
    <row r="30" spans="18:26">
      <c r="R30" s="15"/>
      <c r="S30" s="16"/>
      <c r="T30" s="17">
        <f>IF(AND(COUNTA($A30:$K30)=0,$L30=""),"",IF($S30="Paid","PAID",IF($S30="Closed","CLOSED",IF($W30="","",IF($W30=6,"ESCALATED TO ROXANNE",IF(TODAY()&gt;$Y30,"OVERDUE",IF($Y30&lt;=WORKDAY(TODAY(),1,Holidays),"DUE TOMORROW",IF($W30=4,"ESCALATED TO LOCAL OFFICE",IF($W30=5,"ESCALATED TO CBE",IF($X30=TODAY(),"EMAIL SENT","MONITORING"))))))))))</f>
        <v/>
      </c>
      <c r="U30" s="17">
        <f>IF($T30="",IF(AND(COUNTA($A30:$K30)&gt;0,$L30=""),"Awaiting Collection Email time stamp.",""),IF(OR($T30="PAID",$T30="CLOSED"),IF($T30="PAID","Account paid. Action completed.","Account closed. No further action required."),CHOOSE($W30,"Collection Email","1st Email Follow-up","2nd Email Follow-up","Escalation to Local Office","Escalation to CBE","Escalation to Roxanne")&amp;" sent "&amp;TEXT($X30,"dd-mmm")&amp;". "&amp;IF($W30=6,"Final escalation completed.",IF($T30="OVERDUE","Next: "&amp;$Z30&amp;" was due "&amp;TEXT($Y30,"dd-mmm")&amp;" - "&amp;(NETWORKDAYS($Y30,TODAY(),Holidays)-1)&amp;" business day(s) late. Send now.",IF($T30="DUE TOMORROW","Next: "&amp;$Z30&amp;IF($Y30&lt;=TODAY()," is due TODAY ("," is due next business day (")&amp;TEXT($Y30,"dd-mmm")&amp;").","Next: "&amp;$Z30&amp;" due "&amp;TEXT($Y30,"dd-mmm")&amp;" ("&amp;(NETWORKDAYS(TODAY(),$Y30,Holidays)-1)&amp;" business day(s) left).")))))</f>
        <v/>
      </c>
      <c r="V30" s="17">
        <f>IF($W30="","",CHOOSE($W30,"Collection Email","1st Follow-up","2nd Follow-up","Local Office","CBE","Roxanne")&amp;IF($W30=6," - Final"," - Day "&amp;MAX(0,NETWORKDAYS($X30,TODAY(),Holidays)-1)&amp;" of "&amp;CHOOSE($W30,3,3,2,2,3))&amp;" | Total Day "&amp;MAX(0,NETWORKDAYS($L30,TODAY(),Holidays)-1))</f>
        <v/>
      </c>
      <c r="W30" s="17">
        <f>IF($L30="","",COUNT($L30:$Q30))</f>
        <v/>
      </c>
      <c r="X30" s="18">
        <f>IF($W30="","",INT(INDEX($L30:$Q30,$W30)))</f>
        <v/>
      </c>
      <c r="Y30" s="18">
        <f>IF(OR($W30="",$W30=6),"",WORKDAY($X30,CHOOSE($W30,3,3,2,2,3),Holidays))</f>
        <v/>
      </c>
      <c r="Z30" s="17">
        <f>IF(OR($W30="",$W30=6),"",CHOOSE($W30,"1st Email Follow-up","2nd Email Follow-up","Escalate Local Office","Escalate to CBE","Escalate to Roxanne"))</f>
        <v/>
      </c>
    </row>
    <row r="31" spans="18:26">
      <c r="R31" s="15"/>
      <c r="S31" s="16"/>
      <c r="T31" s="17">
        <f>IF(AND(COUNTA($A31:$K31)=0,$L31=""),"",IF($S31="Paid","PAID",IF($S31="Closed","CLOSED",IF($W31="","",IF($W31=6,"ESCALATED TO ROXANNE",IF(TODAY()&gt;$Y31,"OVERDUE",IF($Y31&lt;=WORKDAY(TODAY(),1,Holidays),"DUE TOMORROW",IF($W31=4,"ESCALATED TO LOCAL OFFICE",IF($W31=5,"ESCALATED TO CBE",IF($X31=TODAY(),"EMAIL SENT","MONITORING"))))))))))</f>
        <v/>
      </c>
      <c r="U31" s="17">
        <f>IF($T31="",IF(AND(COUNTA($A31:$K31)&gt;0,$L31=""),"Awaiting Collection Email time stamp.",""),IF(OR($T31="PAID",$T31="CLOSED"),IF($T31="PAID","Account paid. Action completed.","Account closed. No further action required."),CHOOSE($W31,"Collection Email","1st Email Follow-up","2nd Email Follow-up","Escalation to Local Office","Escalation to CBE","Escalation to Roxanne")&amp;" sent "&amp;TEXT($X31,"dd-mmm")&amp;". "&amp;IF($W31=6,"Final escalation completed.",IF($T31="OVERDUE","Next: "&amp;$Z31&amp;" was due "&amp;TEXT($Y31,"dd-mmm")&amp;" - "&amp;(NETWORKDAYS($Y31,TODAY(),Holidays)-1)&amp;" business day(s) late. Send now.",IF($T31="DUE TOMORROW","Next: "&amp;$Z31&amp;IF($Y31&lt;=TODAY()," is due TODAY ("," is due next business day (")&amp;TEXT($Y31,"dd-mmm")&amp;").","Next: "&amp;$Z31&amp;" due "&amp;TEXT($Y31,"dd-mmm")&amp;" ("&amp;(NETWORKDAYS(TODAY(),$Y31,Holidays)-1)&amp;" business day(s) left).")))))</f>
        <v/>
      </c>
      <c r="V31" s="17">
        <f>IF($W31="","",CHOOSE($W31,"Collection Email","1st Follow-up","2nd Follow-up","Local Office","CBE","Roxanne")&amp;IF($W31=6," - Final"," - Day "&amp;MAX(0,NETWORKDAYS($X31,TODAY(),Holidays)-1)&amp;" of "&amp;CHOOSE($W31,3,3,2,2,3))&amp;" | Total Day "&amp;MAX(0,NETWORKDAYS($L31,TODAY(),Holidays)-1))</f>
        <v/>
      </c>
      <c r="W31" s="17">
        <f>IF($L31="","",COUNT($L31:$Q31))</f>
        <v/>
      </c>
      <c r="X31" s="18">
        <f>IF($W31="","",INT(INDEX($L31:$Q31,$W31)))</f>
        <v/>
      </c>
      <c r="Y31" s="18">
        <f>IF(OR($W31="",$W31=6),"",WORKDAY($X31,CHOOSE($W31,3,3,2,2,3),Holidays))</f>
        <v/>
      </c>
      <c r="Z31" s="17">
        <f>IF(OR($W31="",$W31=6),"",CHOOSE($W31,"1st Email Follow-up","2nd Email Follow-up","Escalate Local Office","Escalate to CBE","Escalate to Roxanne"))</f>
        <v/>
      </c>
    </row>
    <row r="32" spans="18:26">
      <c r="R32" s="15"/>
      <c r="S32" s="16"/>
      <c r="T32" s="17">
        <f>IF(AND(COUNTA($A32:$K32)=0,$L32=""),"",IF($S32="Paid","PAID",IF($S32="Closed","CLOSED",IF($W32="","",IF($W32=6,"ESCALATED TO ROXANNE",IF(TODAY()&gt;$Y32,"OVERDUE",IF($Y32&lt;=WORKDAY(TODAY(),1,Holidays),"DUE TOMORROW",IF($W32=4,"ESCALATED TO LOCAL OFFICE",IF($W32=5,"ESCALATED TO CBE",IF($X32=TODAY(),"EMAIL SENT","MONITORING"))))))))))</f>
        <v/>
      </c>
      <c r="U32" s="17">
        <f>IF($T32="",IF(AND(COUNTA($A32:$K32)&gt;0,$L32=""),"Awaiting Collection Email time stamp.",""),IF(OR($T32="PAID",$T32="CLOSED"),IF($T32="PAID","Account paid. Action completed.","Account closed. No further action required."),CHOOSE($W32,"Collection Email","1st Email Follow-up","2nd Email Follow-up","Escalation to Local Office","Escalation to CBE","Escalation to Roxanne")&amp;" sent "&amp;TEXT($X32,"dd-mmm")&amp;". "&amp;IF($W32=6,"Final escalation completed.",IF($T32="OVERDUE","Next: "&amp;$Z32&amp;" was due "&amp;TEXT($Y32,"dd-mmm")&amp;" - "&amp;(NETWORKDAYS($Y32,TODAY(),Holidays)-1)&amp;" business day(s) late. Send now.",IF($T32="DUE TOMORROW","Next: "&amp;$Z32&amp;IF($Y32&lt;=TODAY()," is due TODAY ("," is due next business day (")&amp;TEXT($Y32,"dd-mmm")&amp;").","Next: "&amp;$Z32&amp;" due "&amp;TEXT($Y32,"dd-mmm")&amp;" ("&amp;(NETWORKDAYS(TODAY(),$Y32,Holidays)-1)&amp;" business day(s) left).")))))</f>
        <v/>
      </c>
      <c r="V32" s="17">
        <f>IF($W32="","",CHOOSE($W32,"Collection Email","1st Follow-up","2nd Follow-up","Local Office","CBE","Roxanne")&amp;IF($W32=6," - Final"," - Day "&amp;MAX(0,NETWORKDAYS($X32,TODAY(),Holidays)-1)&amp;" of "&amp;CHOOSE($W32,3,3,2,2,3))&amp;" | Total Day "&amp;MAX(0,NETWORKDAYS($L32,TODAY(),Holidays)-1))</f>
        <v/>
      </c>
      <c r="W32" s="17">
        <f>IF($L32="","",COUNT($L32:$Q32))</f>
        <v/>
      </c>
      <c r="X32" s="18">
        <f>IF($W32="","",INT(INDEX($L32:$Q32,$W32)))</f>
        <v/>
      </c>
      <c r="Y32" s="18">
        <f>IF(OR($W32="",$W32=6),"",WORKDAY($X32,CHOOSE($W32,3,3,2,2,3),Holidays))</f>
        <v/>
      </c>
      <c r="Z32" s="17">
        <f>IF(OR($W32="",$W32=6),"",CHOOSE($W32,"1st Email Follow-up","2nd Email Follow-up","Escalate Local Office","Escalate to CBE","Escalate to Roxanne"))</f>
        <v/>
      </c>
    </row>
    <row r="33" spans="18:26">
      <c r="R33" s="15"/>
      <c r="S33" s="16"/>
      <c r="T33" s="17">
        <f>IF(AND(COUNTA($A33:$K33)=0,$L33=""),"",IF($S33="Paid","PAID",IF($S33="Closed","CLOSED",IF($W33="","",IF($W33=6,"ESCALATED TO ROXANNE",IF(TODAY()&gt;$Y33,"OVERDUE",IF($Y33&lt;=WORKDAY(TODAY(),1,Holidays),"DUE TOMORROW",IF($W33=4,"ESCALATED TO LOCAL OFFICE",IF($W33=5,"ESCALATED TO CBE",IF($X33=TODAY(),"EMAIL SENT","MONITORING"))))))))))</f>
        <v/>
      </c>
      <c r="U33" s="17">
        <f>IF($T33="",IF(AND(COUNTA($A33:$K33)&gt;0,$L33=""),"Awaiting Collection Email time stamp.",""),IF(OR($T33="PAID",$T33="CLOSED"),IF($T33="PAID","Account paid. Action completed.","Account closed. No further action required."),CHOOSE($W33,"Collection Email","1st Email Follow-up","2nd Email Follow-up","Escalation to Local Office","Escalation to CBE","Escalation to Roxanne")&amp;" sent "&amp;TEXT($X33,"dd-mmm")&amp;". "&amp;IF($W33=6,"Final escalation completed.",IF($T33="OVERDUE","Next: "&amp;$Z33&amp;" was due "&amp;TEXT($Y33,"dd-mmm")&amp;" - "&amp;(NETWORKDAYS($Y33,TODAY(),Holidays)-1)&amp;" business day(s) late. Send now.",IF($T33="DUE TOMORROW","Next: "&amp;$Z33&amp;IF($Y33&lt;=TODAY()," is due TODAY ("," is due next business day (")&amp;TEXT($Y33,"dd-mmm")&amp;").","Next: "&amp;$Z33&amp;" due "&amp;TEXT($Y33,"dd-mmm")&amp;" ("&amp;(NETWORKDAYS(TODAY(),$Y33,Holidays)-1)&amp;" business day(s) left).")))))</f>
        <v/>
      </c>
      <c r="V33" s="17">
        <f>IF($W33="","",CHOOSE($W33,"Collection Email","1st Follow-up","2nd Follow-up","Local Office","CBE","Roxanne")&amp;IF($W33=6," - Final"," - Day "&amp;MAX(0,NETWORKDAYS($X33,TODAY(),Holidays)-1)&amp;" of "&amp;CHOOSE($W33,3,3,2,2,3))&amp;" | Total Day "&amp;MAX(0,NETWORKDAYS($L33,TODAY(),Holidays)-1))</f>
        <v/>
      </c>
      <c r="W33" s="17">
        <f>IF($L33="","",COUNT($L33:$Q33))</f>
        <v/>
      </c>
      <c r="X33" s="18">
        <f>IF($W33="","",INT(INDEX($L33:$Q33,$W33)))</f>
        <v/>
      </c>
      <c r="Y33" s="18">
        <f>IF(OR($W33="",$W33=6),"",WORKDAY($X33,CHOOSE($W33,3,3,2,2,3),Holidays))</f>
        <v/>
      </c>
      <c r="Z33" s="17">
        <f>IF(OR($W33="",$W33=6),"",CHOOSE($W33,"1st Email Follow-up","2nd Email Follow-up","Escalate Local Office","Escalate to CBE","Escalate to Roxanne"))</f>
        <v/>
      </c>
    </row>
    <row r="34" spans="18:26">
      <c r="R34" s="15"/>
      <c r="S34" s="16"/>
      <c r="T34" s="17">
        <f>IF(AND(COUNTA($A34:$K34)=0,$L34=""),"",IF($S34="Paid","PAID",IF($S34="Closed","CLOSED",IF($W34="","",IF($W34=6,"ESCALATED TO ROXANNE",IF(TODAY()&gt;$Y34,"OVERDUE",IF($Y34&lt;=WORKDAY(TODAY(),1,Holidays),"DUE TOMORROW",IF($W34=4,"ESCALATED TO LOCAL OFFICE",IF($W34=5,"ESCALATED TO CBE",IF($X34=TODAY(),"EMAIL SENT","MONITORING"))))))))))</f>
        <v/>
      </c>
      <c r="U34" s="17">
        <f>IF($T34="",IF(AND(COUNTA($A34:$K34)&gt;0,$L34=""),"Awaiting Collection Email time stamp.",""),IF(OR($T34="PAID",$T34="CLOSED"),IF($T34="PAID","Account paid. Action completed.","Account closed. No further action required."),CHOOSE($W34,"Collection Email","1st Email Follow-up","2nd Email Follow-up","Escalation to Local Office","Escalation to CBE","Escalation to Roxanne")&amp;" sent "&amp;TEXT($X34,"dd-mmm")&amp;". "&amp;IF($W34=6,"Final escalation completed.",IF($T34="OVERDUE","Next: "&amp;$Z34&amp;" was due "&amp;TEXT($Y34,"dd-mmm")&amp;" - "&amp;(NETWORKDAYS($Y34,TODAY(),Holidays)-1)&amp;" business day(s) late. Send now.",IF($T34="DUE TOMORROW","Next: "&amp;$Z34&amp;IF($Y34&lt;=TODAY()," is due TODAY ("," is due next business day (")&amp;TEXT($Y34,"dd-mmm")&amp;").","Next: "&amp;$Z34&amp;" due "&amp;TEXT($Y34,"dd-mmm")&amp;" ("&amp;(NETWORKDAYS(TODAY(),$Y34,Holidays)-1)&amp;" business day(s) left).")))))</f>
        <v/>
      </c>
      <c r="V34" s="17">
        <f>IF($W34="","",CHOOSE($W34,"Collection Email","1st Follow-up","2nd Follow-up","Local Office","CBE","Roxanne")&amp;IF($W34=6," - Final"," - Day "&amp;MAX(0,NETWORKDAYS($X34,TODAY(),Holidays)-1)&amp;" of "&amp;CHOOSE($W34,3,3,2,2,3))&amp;" | Total Day "&amp;MAX(0,NETWORKDAYS($L34,TODAY(),Holidays)-1))</f>
        <v/>
      </c>
      <c r="W34" s="17">
        <f>IF($L34="","",COUNT($L34:$Q34))</f>
        <v/>
      </c>
      <c r="X34" s="18">
        <f>IF($W34="","",INT(INDEX($L34:$Q34,$W34)))</f>
        <v/>
      </c>
      <c r="Y34" s="18">
        <f>IF(OR($W34="",$W34=6),"",WORKDAY($X34,CHOOSE($W34,3,3,2,2,3),Holidays))</f>
        <v/>
      </c>
      <c r="Z34" s="17">
        <f>IF(OR($W34="",$W34=6),"",CHOOSE($W34,"1st Email Follow-up","2nd Email Follow-up","Escalate Local Office","Escalate to CBE","Escalate to Roxanne"))</f>
        <v/>
      </c>
    </row>
    <row r="35" spans="18:26">
      <c r="R35" s="15"/>
      <c r="S35" s="16"/>
      <c r="T35" s="17">
        <f>IF(AND(COUNTA($A35:$K35)=0,$L35=""),"",IF($S35="Paid","PAID",IF($S35="Closed","CLOSED",IF($W35="","",IF($W35=6,"ESCALATED TO ROXANNE",IF(TODAY()&gt;$Y35,"OVERDUE",IF($Y35&lt;=WORKDAY(TODAY(),1,Holidays),"DUE TOMORROW",IF($W35=4,"ESCALATED TO LOCAL OFFICE",IF($W35=5,"ESCALATED TO CBE",IF($X35=TODAY(),"EMAIL SENT","MONITORING"))))))))))</f>
        <v/>
      </c>
      <c r="U35" s="17">
        <f>IF($T35="",IF(AND(COUNTA($A35:$K35)&gt;0,$L35=""),"Awaiting Collection Email time stamp.",""),IF(OR($T35="PAID",$T35="CLOSED"),IF($T35="PAID","Account paid. Action completed.","Account closed. No further action required."),CHOOSE($W35,"Collection Email","1st Email Follow-up","2nd Email Follow-up","Escalation to Local Office","Escalation to CBE","Escalation to Roxanne")&amp;" sent "&amp;TEXT($X35,"dd-mmm")&amp;". "&amp;IF($W35=6,"Final escalation completed.",IF($T35="OVERDUE","Next: "&amp;$Z35&amp;" was due "&amp;TEXT($Y35,"dd-mmm")&amp;" - "&amp;(NETWORKDAYS($Y35,TODAY(),Holidays)-1)&amp;" business day(s) late. Send now.",IF($T35="DUE TOMORROW","Next: "&amp;$Z35&amp;IF($Y35&lt;=TODAY()," is due TODAY ("," is due next business day (")&amp;TEXT($Y35,"dd-mmm")&amp;").","Next: "&amp;$Z35&amp;" due "&amp;TEXT($Y35,"dd-mmm")&amp;" ("&amp;(NETWORKDAYS(TODAY(),$Y35,Holidays)-1)&amp;" business day(s) left).")))))</f>
        <v/>
      </c>
      <c r="V35" s="17">
        <f>IF($W35="","",CHOOSE($W35,"Collection Email","1st Follow-up","2nd Follow-up","Local Office","CBE","Roxanne")&amp;IF($W35=6," - Final"," - Day "&amp;MAX(0,NETWORKDAYS($X35,TODAY(),Holidays)-1)&amp;" of "&amp;CHOOSE($W35,3,3,2,2,3))&amp;" | Total Day "&amp;MAX(0,NETWORKDAYS($L35,TODAY(),Holidays)-1))</f>
        <v/>
      </c>
      <c r="W35" s="17">
        <f>IF($L35="","",COUNT($L35:$Q35))</f>
        <v/>
      </c>
      <c r="X35" s="18">
        <f>IF($W35="","",INT(INDEX($L35:$Q35,$W35)))</f>
        <v/>
      </c>
      <c r="Y35" s="18">
        <f>IF(OR($W35="",$W35=6),"",WORKDAY($X35,CHOOSE($W35,3,3,2,2,3),Holidays))</f>
        <v/>
      </c>
      <c r="Z35" s="17">
        <f>IF(OR($W35="",$W35=6),"",CHOOSE($W35,"1st Email Follow-up","2nd Email Follow-up","Escalate Local Office","Escalate to CBE","Escalate to Roxanne"))</f>
        <v/>
      </c>
    </row>
    <row r="36" spans="18:26">
      <c r="R36" s="15"/>
      <c r="S36" s="16"/>
      <c r="T36" s="17">
        <f>IF(AND(COUNTA($A36:$K36)=0,$L36=""),"",IF($S36="Paid","PAID",IF($S36="Closed","CLOSED",IF($W36="","",IF($W36=6,"ESCALATED TO ROXANNE",IF(TODAY()&gt;$Y36,"OVERDUE",IF($Y36&lt;=WORKDAY(TODAY(),1,Holidays),"DUE TOMORROW",IF($W36=4,"ESCALATED TO LOCAL OFFICE",IF($W36=5,"ESCALATED TO CBE",IF($X36=TODAY(),"EMAIL SENT","MONITORING"))))))))))</f>
        <v/>
      </c>
      <c r="U36" s="17">
        <f>IF($T36="",IF(AND(COUNTA($A36:$K36)&gt;0,$L36=""),"Awaiting Collection Email time stamp.",""),IF(OR($T36="PAID",$T36="CLOSED"),IF($T36="PAID","Account paid. Action completed.","Account closed. No further action required."),CHOOSE($W36,"Collection Email","1st Email Follow-up","2nd Email Follow-up","Escalation to Local Office","Escalation to CBE","Escalation to Roxanne")&amp;" sent "&amp;TEXT($X36,"dd-mmm")&amp;". "&amp;IF($W36=6,"Final escalation completed.",IF($T36="OVERDUE","Next: "&amp;$Z36&amp;" was due "&amp;TEXT($Y36,"dd-mmm")&amp;" - "&amp;(NETWORKDAYS($Y36,TODAY(),Holidays)-1)&amp;" business day(s) late. Send now.",IF($T36="DUE TOMORROW","Next: "&amp;$Z36&amp;IF($Y36&lt;=TODAY()," is due TODAY ("," is due next business day (")&amp;TEXT($Y36,"dd-mmm")&amp;").","Next: "&amp;$Z36&amp;" due "&amp;TEXT($Y36,"dd-mmm")&amp;" ("&amp;(NETWORKDAYS(TODAY(),$Y36,Holidays)-1)&amp;" business day(s) left).")))))</f>
        <v/>
      </c>
      <c r="V36" s="17">
        <f>IF($W36="","",CHOOSE($W36,"Collection Email","1st Follow-up","2nd Follow-up","Local Office","CBE","Roxanne")&amp;IF($W36=6," - Final"," - Day "&amp;MAX(0,NETWORKDAYS($X36,TODAY(),Holidays)-1)&amp;" of "&amp;CHOOSE($W36,3,3,2,2,3))&amp;" | Total Day "&amp;MAX(0,NETWORKDAYS($L36,TODAY(),Holidays)-1))</f>
        <v/>
      </c>
      <c r="W36" s="17">
        <f>IF($L36="","",COUNT($L36:$Q36))</f>
        <v/>
      </c>
      <c r="X36" s="18">
        <f>IF($W36="","",INT(INDEX($L36:$Q36,$W36)))</f>
        <v/>
      </c>
      <c r="Y36" s="18">
        <f>IF(OR($W36="",$W36=6),"",WORKDAY($X36,CHOOSE($W36,3,3,2,2,3),Holidays))</f>
        <v/>
      </c>
      <c r="Z36" s="17">
        <f>IF(OR($W36="",$W36=6),"",CHOOSE($W36,"1st Email Follow-up","2nd Email Follow-up","Escalate Local Office","Escalate to CBE","Escalate to Roxanne"))</f>
        <v/>
      </c>
    </row>
    <row r="37" spans="18:26">
      <c r="R37" s="15"/>
      <c r="S37" s="16"/>
      <c r="T37" s="17">
        <f>IF(AND(COUNTA($A37:$K37)=0,$L37=""),"",IF($S37="Paid","PAID",IF($S37="Closed","CLOSED",IF($W37="","",IF($W37=6,"ESCALATED TO ROXANNE",IF(TODAY()&gt;$Y37,"OVERDUE",IF($Y37&lt;=WORKDAY(TODAY(),1,Holidays),"DUE TOMORROW",IF($W37=4,"ESCALATED TO LOCAL OFFICE",IF($W37=5,"ESCALATED TO CBE",IF($X37=TODAY(),"EMAIL SENT","MONITORING"))))))))))</f>
        <v/>
      </c>
      <c r="U37" s="17">
        <f>IF($T37="",IF(AND(COUNTA($A37:$K37)&gt;0,$L37=""),"Awaiting Collection Email time stamp.",""),IF(OR($T37="PAID",$T37="CLOSED"),IF($T37="PAID","Account paid. Action completed.","Account closed. No further action required."),CHOOSE($W37,"Collection Email","1st Email Follow-up","2nd Email Follow-up","Escalation to Local Office","Escalation to CBE","Escalation to Roxanne")&amp;" sent "&amp;TEXT($X37,"dd-mmm")&amp;". "&amp;IF($W37=6,"Final escalation completed.",IF($T37="OVERDUE","Next: "&amp;$Z37&amp;" was due "&amp;TEXT($Y37,"dd-mmm")&amp;" - "&amp;(NETWORKDAYS($Y37,TODAY(),Holidays)-1)&amp;" business day(s) late. Send now.",IF($T37="DUE TOMORROW","Next: "&amp;$Z37&amp;IF($Y37&lt;=TODAY()," is due TODAY ("," is due next business day (")&amp;TEXT($Y37,"dd-mmm")&amp;").","Next: "&amp;$Z37&amp;" due "&amp;TEXT($Y37,"dd-mmm")&amp;" ("&amp;(NETWORKDAYS(TODAY(),$Y37,Holidays)-1)&amp;" business day(s) left).")))))</f>
        <v/>
      </c>
      <c r="V37" s="17">
        <f>IF($W37="","",CHOOSE($W37,"Collection Email","1st Follow-up","2nd Follow-up","Local Office","CBE","Roxanne")&amp;IF($W37=6," - Final"," - Day "&amp;MAX(0,NETWORKDAYS($X37,TODAY(),Holidays)-1)&amp;" of "&amp;CHOOSE($W37,3,3,2,2,3))&amp;" | Total Day "&amp;MAX(0,NETWORKDAYS($L37,TODAY(),Holidays)-1))</f>
        <v/>
      </c>
      <c r="W37" s="17">
        <f>IF($L37="","",COUNT($L37:$Q37))</f>
        <v/>
      </c>
      <c r="X37" s="18">
        <f>IF($W37="","",INT(INDEX($L37:$Q37,$W37)))</f>
        <v/>
      </c>
      <c r="Y37" s="18">
        <f>IF(OR($W37="",$W37=6),"",WORKDAY($X37,CHOOSE($W37,3,3,2,2,3),Holidays))</f>
        <v/>
      </c>
      <c r="Z37" s="17">
        <f>IF(OR($W37="",$W37=6),"",CHOOSE($W37,"1st Email Follow-up","2nd Email Follow-up","Escalate Local Office","Escalate to CBE","Escalate to Roxanne"))</f>
        <v/>
      </c>
    </row>
    <row r="38" spans="18:26">
      <c r="R38" s="15"/>
      <c r="S38" s="16"/>
      <c r="T38" s="17">
        <f>IF(AND(COUNTA($A38:$K38)=0,$L38=""),"",IF($S38="Paid","PAID",IF($S38="Closed","CLOSED",IF($W38="","",IF($W38=6,"ESCALATED TO ROXANNE",IF(TODAY()&gt;$Y38,"OVERDUE",IF($Y38&lt;=WORKDAY(TODAY(),1,Holidays),"DUE TOMORROW",IF($W38=4,"ESCALATED TO LOCAL OFFICE",IF($W38=5,"ESCALATED TO CBE",IF($X38=TODAY(),"EMAIL SENT","MONITORING"))))))))))</f>
        <v/>
      </c>
      <c r="U38" s="17">
        <f>IF($T38="",IF(AND(COUNTA($A38:$K38)&gt;0,$L38=""),"Awaiting Collection Email time stamp.",""),IF(OR($T38="PAID",$T38="CLOSED"),IF($T38="PAID","Account paid. Action completed.","Account closed. No further action required."),CHOOSE($W38,"Collection Email","1st Email Follow-up","2nd Email Follow-up","Escalation to Local Office","Escalation to CBE","Escalation to Roxanne")&amp;" sent "&amp;TEXT($X38,"dd-mmm")&amp;". "&amp;IF($W38=6,"Final escalation completed.",IF($T38="OVERDUE","Next: "&amp;$Z38&amp;" was due "&amp;TEXT($Y38,"dd-mmm")&amp;" - "&amp;(NETWORKDAYS($Y38,TODAY(),Holidays)-1)&amp;" business day(s) late. Send now.",IF($T38="DUE TOMORROW","Next: "&amp;$Z38&amp;IF($Y38&lt;=TODAY()," is due TODAY ("," is due next business day (")&amp;TEXT($Y38,"dd-mmm")&amp;").","Next: "&amp;$Z38&amp;" due "&amp;TEXT($Y38,"dd-mmm")&amp;" ("&amp;(NETWORKDAYS(TODAY(),$Y38,Holidays)-1)&amp;" business day(s) left).")))))</f>
        <v/>
      </c>
      <c r="V38" s="17">
        <f>IF($W38="","",CHOOSE($W38,"Collection Email","1st Follow-up","2nd Follow-up","Local Office","CBE","Roxanne")&amp;IF($W38=6," - Final"," - Day "&amp;MAX(0,NETWORKDAYS($X38,TODAY(),Holidays)-1)&amp;" of "&amp;CHOOSE($W38,3,3,2,2,3))&amp;" | Total Day "&amp;MAX(0,NETWORKDAYS($L38,TODAY(),Holidays)-1))</f>
        <v/>
      </c>
      <c r="W38" s="17">
        <f>IF($L38="","",COUNT($L38:$Q38))</f>
        <v/>
      </c>
      <c r="X38" s="18">
        <f>IF($W38="","",INT(INDEX($L38:$Q38,$W38)))</f>
        <v/>
      </c>
      <c r="Y38" s="18">
        <f>IF(OR($W38="",$W38=6),"",WORKDAY($X38,CHOOSE($W38,3,3,2,2,3),Holidays))</f>
        <v/>
      </c>
      <c r="Z38" s="17">
        <f>IF(OR($W38="",$W38=6),"",CHOOSE($W38,"1st Email Follow-up","2nd Email Follow-up","Escalate Local Office","Escalate to CBE","Escalate to Roxanne"))</f>
        <v/>
      </c>
    </row>
    <row r="39" spans="18:26">
      <c r="R39" s="15"/>
      <c r="S39" s="16"/>
      <c r="T39" s="17">
        <f>IF(AND(COUNTA($A39:$K39)=0,$L39=""),"",IF($S39="Paid","PAID",IF($S39="Closed","CLOSED",IF($W39="","",IF($W39=6,"ESCALATED TO ROXANNE",IF(TODAY()&gt;$Y39,"OVERDUE",IF($Y39&lt;=WORKDAY(TODAY(),1,Holidays),"DUE TOMORROW",IF($W39=4,"ESCALATED TO LOCAL OFFICE",IF($W39=5,"ESCALATED TO CBE",IF($X39=TODAY(),"EMAIL SENT","MONITORING"))))))))))</f>
        <v/>
      </c>
      <c r="U39" s="17">
        <f>IF($T39="",IF(AND(COUNTA($A39:$K39)&gt;0,$L39=""),"Awaiting Collection Email time stamp.",""),IF(OR($T39="PAID",$T39="CLOSED"),IF($T39="PAID","Account paid. Action completed.","Account closed. No further action required."),CHOOSE($W39,"Collection Email","1st Email Follow-up","2nd Email Follow-up","Escalation to Local Office","Escalation to CBE","Escalation to Roxanne")&amp;" sent "&amp;TEXT($X39,"dd-mmm")&amp;". "&amp;IF($W39=6,"Final escalation completed.",IF($T39="OVERDUE","Next: "&amp;$Z39&amp;" was due "&amp;TEXT($Y39,"dd-mmm")&amp;" - "&amp;(NETWORKDAYS($Y39,TODAY(),Holidays)-1)&amp;" business day(s) late. Send now.",IF($T39="DUE TOMORROW","Next: "&amp;$Z39&amp;IF($Y39&lt;=TODAY()," is due TODAY ("," is due next business day (")&amp;TEXT($Y39,"dd-mmm")&amp;").","Next: "&amp;$Z39&amp;" due "&amp;TEXT($Y39,"dd-mmm")&amp;" ("&amp;(NETWORKDAYS(TODAY(),$Y39,Holidays)-1)&amp;" business day(s) left).")))))</f>
        <v/>
      </c>
      <c r="V39" s="17">
        <f>IF($W39="","",CHOOSE($W39,"Collection Email","1st Follow-up","2nd Follow-up","Local Office","CBE","Roxanne")&amp;IF($W39=6," - Final"," - Day "&amp;MAX(0,NETWORKDAYS($X39,TODAY(),Holidays)-1)&amp;" of "&amp;CHOOSE($W39,3,3,2,2,3))&amp;" | Total Day "&amp;MAX(0,NETWORKDAYS($L39,TODAY(),Holidays)-1))</f>
        <v/>
      </c>
      <c r="W39" s="17">
        <f>IF($L39="","",COUNT($L39:$Q39))</f>
        <v/>
      </c>
      <c r="X39" s="18">
        <f>IF($W39="","",INT(INDEX($L39:$Q39,$W39)))</f>
        <v/>
      </c>
      <c r="Y39" s="18">
        <f>IF(OR($W39="",$W39=6),"",WORKDAY($X39,CHOOSE($W39,3,3,2,2,3),Holidays))</f>
        <v/>
      </c>
      <c r="Z39" s="17">
        <f>IF(OR($W39="",$W39=6),"",CHOOSE($W39,"1st Email Follow-up","2nd Email Follow-up","Escalate Local Office","Escalate to CBE","Escalate to Roxanne"))</f>
        <v/>
      </c>
    </row>
    <row r="40" spans="18:26">
      <c r="R40" s="15"/>
      <c r="S40" s="16"/>
      <c r="T40" s="17">
        <f>IF(AND(COUNTA($A40:$K40)=0,$L40=""),"",IF($S40="Paid","PAID",IF($S40="Closed","CLOSED",IF($W40="","",IF($W40=6,"ESCALATED TO ROXANNE",IF(TODAY()&gt;$Y40,"OVERDUE",IF($Y40&lt;=WORKDAY(TODAY(),1,Holidays),"DUE TOMORROW",IF($W40=4,"ESCALATED TO LOCAL OFFICE",IF($W40=5,"ESCALATED TO CBE",IF($X40=TODAY(),"EMAIL SENT","MONITORING"))))))))))</f>
        <v/>
      </c>
      <c r="U40" s="17">
        <f>IF($T40="",IF(AND(COUNTA($A40:$K40)&gt;0,$L40=""),"Awaiting Collection Email time stamp.",""),IF(OR($T40="PAID",$T40="CLOSED"),IF($T40="PAID","Account paid. Action completed.","Account closed. No further action required."),CHOOSE($W40,"Collection Email","1st Email Follow-up","2nd Email Follow-up","Escalation to Local Office","Escalation to CBE","Escalation to Roxanne")&amp;" sent "&amp;TEXT($X40,"dd-mmm")&amp;". "&amp;IF($W40=6,"Final escalation completed.",IF($T40="OVERDUE","Next: "&amp;$Z40&amp;" was due "&amp;TEXT($Y40,"dd-mmm")&amp;" - "&amp;(NETWORKDAYS($Y40,TODAY(),Holidays)-1)&amp;" business day(s) late. Send now.",IF($T40="DUE TOMORROW","Next: "&amp;$Z40&amp;IF($Y40&lt;=TODAY()," is due TODAY ("," is due next business day (")&amp;TEXT($Y40,"dd-mmm")&amp;").","Next: "&amp;$Z40&amp;" due "&amp;TEXT($Y40,"dd-mmm")&amp;" ("&amp;(NETWORKDAYS(TODAY(),$Y40,Holidays)-1)&amp;" business day(s) left).")))))</f>
        <v/>
      </c>
      <c r="V40" s="17">
        <f>IF($W40="","",CHOOSE($W40,"Collection Email","1st Follow-up","2nd Follow-up","Local Office","CBE","Roxanne")&amp;IF($W40=6," - Final"," - Day "&amp;MAX(0,NETWORKDAYS($X40,TODAY(),Holidays)-1)&amp;" of "&amp;CHOOSE($W40,3,3,2,2,3))&amp;" | Total Day "&amp;MAX(0,NETWORKDAYS($L40,TODAY(),Holidays)-1))</f>
        <v/>
      </c>
      <c r="W40" s="17">
        <f>IF($L40="","",COUNT($L40:$Q40))</f>
        <v/>
      </c>
      <c r="X40" s="18">
        <f>IF($W40="","",INT(INDEX($L40:$Q40,$W40)))</f>
        <v/>
      </c>
      <c r="Y40" s="18">
        <f>IF(OR($W40="",$W40=6),"",WORKDAY($X40,CHOOSE($W40,3,3,2,2,3),Holidays))</f>
        <v/>
      </c>
      <c r="Z40" s="17">
        <f>IF(OR($W40="",$W40=6),"",CHOOSE($W40,"1st Email Follow-up","2nd Email Follow-up","Escalate Local Office","Escalate to CBE","Escalate to Roxanne"))</f>
        <v/>
      </c>
    </row>
    <row r="41" spans="18:26">
      <c r="R41" s="15"/>
      <c r="S41" s="16"/>
      <c r="T41" s="17">
        <f>IF(AND(COUNTA($A41:$K41)=0,$L41=""),"",IF($S41="Paid","PAID",IF($S41="Closed","CLOSED",IF($W41="","",IF($W41=6,"ESCALATED TO ROXANNE",IF(TODAY()&gt;$Y41,"OVERDUE",IF($Y41&lt;=WORKDAY(TODAY(),1,Holidays),"DUE TOMORROW",IF($W41=4,"ESCALATED TO LOCAL OFFICE",IF($W41=5,"ESCALATED TO CBE",IF($X41=TODAY(),"EMAIL SENT","MONITORING"))))))))))</f>
        <v/>
      </c>
      <c r="U41" s="17">
        <f>IF($T41="",IF(AND(COUNTA($A41:$K41)&gt;0,$L41=""),"Awaiting Collection Email time stamp.",""),IF(OR($T41="PAID",$T41="CLOSED"),IF($T41="PAID","Account paid. Action completed.","Account closed. No further action required."),CHOOSE($W41,"Collection Email","1st Email Follow-up","2nd Email Follow-up","Escalation to Local Office","Escalation to CBE","Escalation to Roxanne")&amp;" sent "&amp;TEXT($X41,"dd-mmm")&amp;". "&amp;IF($W41=6,"Final escalation completed.",IF($T41="OVERDUE","Next: "&amp;$Z41&amp;" was due "&amp;TEXT($Y41,"dd-mmm")&amp;" - "&amp;(NETWORKDAYS($Y41,TODAY(),Holidays)-1)&amp;" business day(s) late. Send now.",IF($T41="DUE TOMORROW","Next: "&amp;$Z41&amp;IF($Y41&lt;=TODAY()," is due TODAY ("," is due next business day (")&amp;TEXT($Y41,"dd-mmm")&amp;").","Next: "&amp;$Z41&amp;" due "&amp;TEXT($Y41,"dd-mmm")&amp;" ("&amp;(NETWORKDAYS(TODAY(),$Y41,Holidays)-1)&amp;" business day(s) left).")))))</f>
        <v/>
      </c>
      <c r="V41" s="17">
        <f>IF($W41="","",CHOOSE($W41,"Collection Email","1st Follow-up","2nd Follow-up","Local Office","CBE","Roxanne")&amp;IF($W41=6," - Final"," - Day "&amp;MAX(0,NETWORKDAYS($X41,TODAY(),Holidays)-1)&amp;" of "&amp;CHOOSE($W41,3,3,2,2,3))&amp;" | Total Day "&amp;MAX(0,NETWORKDAYS($L41,TODAY(),Holidays)-1))</f>
        <v/>
      </c>
      <c r="W41" s="17">
        <f>IF($L41="","",COUNT($L41:$Q41))</f>
        <v/>
      </c>
      <c r="X41" s="18">
        <f>IF($W41="","",INT(INDEX($L41:$Q41,$W41)))</f>
        <v/>
      </c>
      <c r="Y41" s="18">
        <f>IF(OR($W41="",$W41=6),"",WORKDAY($X41,CHOOSE($W41,3,3,2,2,3),Holidays))</f>
        <v/>
      </c>
      <c r="Z41" s="17">
        <f>IF(OR($W41="",$W41=6),"",CHOOSE($W41,"1st Email Follow-up","2nd Email Follow-up","Escalate Local Office","Escalate to CBE","Escalate to Roxanne"))</f>
        <v/>
      </c>
    </row>
    <row r="42" spans="18:26">
      <c r="R42" s="15"/>
      <c r="S42" s="16"/>
      <c r="T42" s="17">
        <f>IF(AND(COUNTA($A42:$K42)=0,$L42=""),"",IF($S42="Paid","PAID",IF($S42="Closed","CLOSED",IF($W42="","",IF($W42=6,"ESCALATED TO ROXANNE",IF(TODAY()&gt;$Y42,"OVERDUE",IF($Y42&lt;=WORKDAY(TODAY(),1,Holidays),"DUE TOMORROW",IF($W42=4,"ESCALATED TO LOCAL OFFICE",IF($W42=5,"ESCALATED TO CBE",IF($X42=TODAY(),"EMAIL SENT","MONITORING"))))))))))</f>
        <v/>
      </c>
      <c r="U42" s="17">
        <f>IF($T42="",IF(AND(COUNTA($A42:$K42)&gt;0,$L42=""),"Awaiting Collection Email time stamp.",""),IF(OR($T42="PAID",$T42="CLOSED"),IF($T42="PAID","Account paid. Action completed.","Account closed. No further action required."),CHOOSE($W42,"Collection Email","1st Email Follow-up","2nd Email Follow-up","Escalation to Local Office","Escalation to CBE","Escalation to Roxanne")&amp;" sent "&amp;TEXT($X42,"dd-mmm")&amp;". "&amp;IF($W42=6,"Final escalation completed.",IF($T42="OVERDUE","Next: "&amp;$Z42&amp;" was due "&amp;TEXT($Y42,"dd-mmm")&amp;" - "&amp;(NETWORKDAYS($Y42,TODAY(),Holidays)-1)&amp;" business day(s) late. Send now.",IF($T42="DUE TOMORROW","Next: "&amp;$Z42&amp;IF($Y42&lt;=TODAY()," is due TODAY ("," is due next business day (")&amp;TEXT($Y42,"dd-mmm")&amp;").","Next: "&amp;$Z42&amp;" due "&amp;TEXT($Y42,"dd-mmm")&amp;" ("&amp;(NETWORKDAYS(TODAY(),$Y42,Holidays)-1)&amp;" business day(s) left).")))))</f>
        <v/>
      </c>
      <c r="V42" s="17">
        <f>IF($W42="","",CHOOSE($W42,"Collection Email","1st Follow-up","2nd Follow-up","Local Office","CBE","Roxanne")&amp;IF($W42=6," - Final"," - Day "&amp;MAX(0,NETWORKDAYS($X42,TODAY(),Holidays)-1)&amp;" of "&amp;CHOOSE($W42,3,3,2,2,3))&amp;" | Total Day "&amp;MAX(0,NETWORKDAYS($L42,TODAY(),Holidays)-1))</f>
        <v/>
      </c>
      <c r="W42" s="17">
        <f>IF($L42="","",COUNT($L42:$Q42))</f>
        <v/>
      </c>
      <c r="X42" s="18">
        <f>IF($W42="","",INT(INDEX($L42:$Q42,$W42)))</f>
        <v/>
      </c>
      <c r="Y42" s="18">
        <f>IF(OR($W42="",$W42=6),"",WORKDAY($X42,CHOOSE($W42,3,3,2,2,3),Holidays))</f>
        <v/>
      </c>
      <c r="Z42" s="17">
        <f>IF(OR($W42="",$W42=6),"",CHOOSE($W42,"1st Email Follow-up","2nd Email Follow-up","Escalate Local Office","Escalate to CBE","Escalate to Roxanne"))</f>
        <v/>
      </c>
    </row>
    <row r="43" spans="18:26">
      <c r="R43" s="15"/>
      <c r="S43" s="16"/>
      <c r="T43" s="17">
        <f>IF(AND(COUNTA($A43:$K43)=0,$L43=""),"",IF($S43="Paid","PAID",IF($S43="Closed","CLOSED",IF($W43="","",IF($W43=6,"ESCALATED TO ROXANNE",IF(TODAY()&gt;$Y43,"OVERDUE",IF($Y43&lt;=WORKDAY(TODAY(),1,Holidays),"DUE TOMORROW",IF($W43=4,"ESCALATED TO LOCAL OFFICE",IF($W43=5,"ESCALATED TO CBE",IF($X43=TODAY(),"EMAIL SENT","MONITORING"))))))))))</f>
        <v/>
      </c>
      <c r="U43" s="17">
        <f>IF($T43="",IF(AND(COUNTA($A43:$K43)&gt;0,$L43=""),"Awaiting Collection Email time stamp.",""),IF(OR($T43="PAID",$T43="CLOSED"),IF($T43="PAID","Account paid. Action completed.","Account closed. No further action required."),CHOOSE($W43,"Collection Email","1st Email Follow-up","2nd Email Follow-up","Escalation to Local Office","Escalation to CBE","Escalation to Roxanne")&amp;" sent "&amp;TEXT($X43,"dd-mmm")&amp;". "&amp;IF($W43=6,"Final escalation completed.",IF($T43="OVERDUE","Next: "&amp;$Z43&amp;" was due "&amp;TEXT($Y43,"dd-mmm")&amp;" - "&amp;(NETWORKDAYS($Y43,TODAY(),Holidays)-1)&amp;" business day(s) late. Send now.",IF($T43="DUE TOMORROW","Next: "&amp;$Z43&amp;IF($Y43&lt;=TODAY()," is due TODAY ("," is due next business day (")&amp;TEXT($Y43,"dd-mmm")&amp;").","Next: "&amp;$Z43&amp;" due "&amp;TEXT($Y43,"dd-mmm")&amp;" ("&amp;(NETWORKDAYS(TODAY(),$Y43,Holidays)-1)&amp;" business day(s) left).")))))</f>
        <v/>
      </c>
      <c r="V43" s="17">
        <f>IF($W43="","",CHOOSE($W43,"Collection Email","1st Follow-up","2nd Follow-up","Local Office","CBE","Roxanne")&amp;IF($W43=6," - Final"," - Day "&amp;MAX(0,NETWORKDAYS($X43,TODAY(),Holidays)-1)&amp;" of "&amp;CHOOSE($W43,3,3,2,2,3))&amp;" | Total Day "&amp;MAX(0,NETWORKDAYS($L43,TODAY(),Holidays)-1))</f>
        <v/>
      </c>
      <c r="W43" s="17">
        <f>IF($L43="","",COUNT($L43:$Q43))</f>
        <v/>
      </c>
      <c r="X43" s="18">
        <f>IF($W43="","",INT(INDEX($L43:$Q43,$W43)))</f>
        <v/>
      </c>
      <c r="Y43" s="18">
        <f>IF(OR($W43="",$W43=6),"",WORKDAY($X43,CHOOSE($W43,3,3,2,2,3),Holidays))</f>
        <v/>
      </c>
      <c r="Z43" s="17">
        <f>IF(OR($W43="",$W43=6),"",CHOOSE($W43,"1st Email Follow-up","2nd Email Follow-up","Escalate Local Office","Escalate to CBE","Escalate to Roxanne"))</f>
        <v/>
      </c>
    </row>
    <row r="44" spans="18:26">
      <c r="R44" s="15"/>
      <c r="S44" s="16"/>
      <c r="T44" s="17">
        <f>IF(AND(COUNTA($A44:$K44)=0,$L44=""),"",IF($S44="Paid","PAID",IF($S44="Closed","CLOSED",IF($W44="","",IF($W44=6,"ESCALATED TO ROXANNE",IF(TODAY()&gt;$Y44,"OVERDUE",IF($Y44&lt;=WORKDAY(TODAY(),1,Holidays),"DUE TOMORROW",IF($W44=4,"ESCALATED TO LOCAL OFFICE",IF($W44=5,"ESCALATED TO CBE",IF($X44=TODAY(),"EMAIL SENT","MONITORING"))))))))))</f>
        <v/>
      </c>
      <c r="U44" s="17">
        <f>IF($T44="",IF(AND(COUNTA($A44:$K44)&gt;0,$L44=""),"Awaiting Collection Email time stamp.",""),IF(OR($T44="PAID",$T44="CLOSED"),IF($T44="PAID","Account paid. Action completed.","Account closed. No further action required."),CHOOSE($W44,"Collection Email","1st Email Follow-up","2nd Email Follow-up","Escalation to Local Office","Escalation to CBE","Escalation to Roxanne")&amp;" sent "&amp;TEXT($X44,"dd-mmm")&amp;". "&amp;IF($W44=6,"Final escalation completed.",IF($T44="OVERDUE","Next: "&amp;$Z44&amp;" was due "&amp;TEXT($Y44,"dd-mmm")&amp;" - "&amp;(NETWORKDAYS($Y44,TODAY(),Holidays)-1)&amp;" business day(s) late. Send now.",IF($T44="DUE TOMORROW","Next: "&amp;$Z44&amp;IF($Y44&lt;=TODAY()," is due TODAY ("," is due next business day (")&amp;TEXT($Y44,"dd-mmm")&amp;").","Next: "&amp;$Z44&amp;" due "&amp;TEXT($Y44,"dd-mmm")&amp;" ("&amp;(NETWORKDAYS(TODAY(),$Y44,Holidays)-1)&amp;" business day(s) left).")))))</f>
        <v/>
      </c>
      <c r="V44" s="17">
        <f>IF($W44="","",CHOOSE($W44,"Collection Email","1st Follow-up","2nd Follow-up","Local Office","CBE","Roxanne")&amp;IF($W44=6," - Final"," - Day "&amp;MAX(0,NETWORKDAYS($X44,TODAY(),Holidays)-1)&amp;" of "&amp;CHOOSE($W44,3,3,2,2,3))&amp;" | Total Day "&amp;MAX(0,NETWORKDAYS($L44,TODAY(),Holidays)-1))</f>
        <v/>
      </c>
      <c r="W44" s="17">
        <f>IF($L44="","",COUNT($L44:$Q44))</f>
        <v/>
      </c>
      <c r="X44" s="18">
        <f>IF($W44="","",INT(INDEX($L44:$Q44,$W44)))</f>
        <v/>
      </c>
      <c r="Y44" s="18">
        <f>IF(OR($W44="",$W44=6),"",WORKDAY($X44,CHOOSE($W44,3,3,2,2,3),Holidays))</f>
        <v/>
      </c>
      <c r="Z44" s="17">
        <f>IF(OR($W44="",$W44=6),"",CHOOSE($W44,"1st Email Follow-up","2nd Email Follow-up","Escalate Local Office","Escalate to CBE","Escalate to Roxanne"))</f>
        <v/>
      </c>
    </row>
    <row r="45" spans="18:26">
      <c r="R45" s="15"/>
      <c r="S45" s="16"/>
      <c r="T45" s="17">
        <f>IF(AND(COUNTA($A45:$K45)=0,$L45=""),"",IF($S45="Paid","PAID",IF($S45="Closed","CLOSED",IF($W45="","",IF($W45=6,"ESCALATED TO ROXANNE",IF(TODAY()&gt;$Y45,"OVERDUE",IF($Y45&lt;=WORKDAY(TODAY(),1,Holidays),"DUE TOMORROW",IF($W45=4,"ESCALATED TO LOCAL OFFICE",IF($W45=5,"ESCALATED TO CBE",IF($X45=TODAY(),"EMAIL SENT","MONITORING"))))))))))</f>
        <v/>
      </c>
      <c r="U45" s="17">
        <f>IF($T45="",IF(AND(COUNTA($A45:$K45)&gt;0,$L45=""),"Awaiting Collection Email time stamp.",""),IF(OR($T45="PAID",$T45="CLOSED"),IF($T45="PAID","Account paid. Action completed.","Account closed. No further action required."),CHOOSE($W45,"Collection Email","1st Email Follow-up","2nd Email Follow-up","Escalation to Local Office","Escalation to CBE","Escalation to Roxanne")&amp;" sent "&amp;TEXT($X45,"dd-mmm")&amp;". "&amp;IF($W45=6,"Final escalation completed.",IF($T45="OVERDUE","Next: "&amp;$Z45&amp;" was due "&amp;TEXT($Y45,"dd-mmm")&amp;" - "&amp;(NETWORKDAYS($Y45,TODAY(),Holidays)-1)&amp;" business day(s) late. Send now.",IF($T45="DUE TOMORROW","Next: "&amp;$Z45&amp;IF($Y45&lt;=TODAY()," is due TODAY ("," is due next business day (")&amp;TEXT($Y45,"dd-mmm")&amp;").","Next: "&amp;$Z45&amp;" due "&amp;TEXT($Y45,"dd-mmm")&amp;" ("&amp;(NETWORKDAYS(TODAY(),$Y45,Holidays)-1)&amp;" business day(s) left).")))))</f>
        <v/>
      </c>
      <c r="V45" s="17">
        <f>IF($W45="","",CHOOSE($W45,"Collection Email","1st Follow-up","2nd Follow-up","Local Office","CBE","Roxanne")&amp;IF($W45=6," - Final"," - Day "&amp;MAX(0,NETWORKDAYS($X45,TODAY(),Holidays)-1)&amp;" of "&amp;CHOOSE($W45,3,3,2,2,3))&amp;" | Total Day "&amp;MAX(0,NETWORKDAYS($L45,TODAY(),Holidays)-1))</f>
        <v/>
      </c>
      <c r="W45" s="17">
        <f>IF($L45="","",COUNT($L45:$Q45))</f>
        <v/>
      </c>
      <c r="X45" s="18">
        <f>IF($W45="","",INT(INDEX($L45:$Q45,$W45)))</f>
        <v/>
      </c>
      <c r="Y45" s="18">
        <f>IF(OR($W45="",$W45=6),"",WORKDAY($X45,CHOOSE($W45,3,3,2,2,3),Holidays))</f>
        <v/>
      </c>
      <c r="Z45" s="17">
        <f>IF(OR($W45="",$W45=6),"",CHOOSE($W45,"1st Email Follow-up","2nd Email Follow-up","Escalate Local Office","Escalate to CBE","Escalate to Roxanne"))</f>
        <v/>
      </c>
    </row>
    <row r="46" spans="18:26">
      <c r="R46" s="15"/>
      <c r="S46" s="16"/>
      <c r="T46" s="17">
        <f>IF(AND(COUNTA($A46:$K46)=0,$L46=""),"",IF($S46="Paid","PAID",IF($S46="Closed","CLOSED",IF($W46="","",IF($W46=6,"ESCALATED TO ROXANNE",IF(TODAY()&gt;$Y46,"OVERDUE",IF($Y46&lt;=WORKDAY(TODAY(),1,Holidays),"DUE TOMORROW",IF($W46=4,"ESCALATED TO LOCAL OFFICE",IF($W46=5,"ESCALATED TO CBE",IF($X46=TODAY(),"EMAIL SENT","MONITORING"))))))))))</f>
        <v/>
      </c>
      <c r="U46" s="17">
        <f>IF($T46="",IF(AND(COUNTA($A46:$K46)&gt;0,$L46=""),"Awaiting Collection Email time stamp.",""),IF(OR($T46="PAID",$T46="CLOSED"),IF($T46="PAID","Account paid. Action completed.","Account closed. No further action required."),CHOOSE($W46,"Collection Email","1st Email Follow-up","2nd Email Follow-up","Escalation to Local Office","Escalation to CBE","Escalation to Roxanne")&amp;" sent "&amp;TEXT($X46,"dd-mmm")&amp;". "&amp;IF($W46=6,"Final escalation completed.",IF($T46="OVERDUE","Next: "&amp;$Z46&amp;" was due "&amp;TEXT($Y46,"dd-mmm")&amp;" - "&amp;(NETWORKDAYS($Y46,TODAY(),Holidays)-1)&amp;" business day(s) late. Send now.",IF($T46="DUE TOMORROW","Next: "&amp;$Z46&amp;IF($Y46&lt;=TODAY()," is due TODAY ("," is due next business day (")&amp;TEXT($Y46,"dd-mmm")&amp;").","Next: "&amp;$Z46&amp;" due "&amp;TEXT($Y46,"dd-mmm")&amp;" ("&amp;(NETWORKDAYS(TODAY(),$Y46,Holidays)-1)&amp;" business day(s) left).")))))</f>
        <v/>
      </c>
      <c r="V46" s="17">
        <f>IF($W46="","",CHOOSE($W46,"Collection Email","1st Follow-up","2nd Follow-up","Local Office","CBE","Roxanne")&amp;IF($W46=6," - Final"," - Day "&amp;MAX(0,NETWORKDAYS($X46,TODAY(),Holidays)-1)&amp;" of "&amp;CHOOSE($W46,3,3,2,2,3))&amp;" | Total Day "&amp;MAX(0,NETWORKDAYS($L46,TODAY(),Holidays)-1))</f>
        <v/>
      </c>
      <c r="W46" s="17">
        <f>IF($L46="","",COUNT($L46:$Q46))</f>
        <v/>
      </c>
      <c r="X46" s="18">
        <f>IF($W46="","",INT(INDEX($L46:$Q46,$W46)))</f>
        <v/>
      </c>
      <c r="Y46" s="18">
        <f>IF(OR($W46="",$W46=6),"",WORKDAY($X46,CHOOSE($W46,3,3,2,2,3),Holidays))</f>
        <v/>
      </c>
      <c r="Z46" s="17">
        <f>IF(OR($W46="",$W46=6),"",CHOOSE($W46,"1st Email Follow-up","2nd Email Follow-up","Escalate Local Office","Escalate to CBE","Escalate to Roxanne"))</f>
        <v/>
      </c>
    </row>
    <row r="47" spans="18:26">
      <c r="R47" s="15"/>
      <c r="S47" s="16"/>
      <c r="T47" s="17">
        <f>IF(AND(COUNTA($A47:$K47)=0,$L47=""),"",IF($S47="Paid","PAID",IF($S47="Closed","CLOSED",IF($W47="","",IF($W47=6,"ESCALATED TO ROXANNE",IF(TODAY()&gt;$Y47,"OVERDUE",IF($Y47&lt;=WORKDAY(TODAY(),1,Holidays),"DUE TOMORROW",IF($W47=4,"ESCALATED TO LOCAL OFFICE",IF($W47=5,"ESCALATED TO CBE",IF($X47=TODAY(),"EMAIL SENT","MONITORING"))))))))))</f>
        <v/>
      </c>
      <c r="U47" s="17">
        <f>IF($T47="",IF(AND(COUNTA($A47:$K47)&gt;0,$L47=""),"Awaiting Collection Email time stamp.",""),IF(OR($T47="PAID",$T47="CLOSED"),IF($T47="PAID","Account paid. Action completed.","Account closed. No further action required."),CHOOSE($W47,"Collection Email","1st Email Follow-up","2nd Email Follow-up","Escalation to Local Office","Escalation to CBE","Escalation to Roxanne")&amp;" sent "&amp;TEXT($X47,"dd-mmm")&amp;". "&amp;IF($W47=6,"Final escalation completed.",IF($T47="OVERDUE","Next: "&amp;$Z47&amp;" was due "&amp;TEXT($Y47,"dd-mmm")&amp;" - "&amp;(NETWORKDAYS($Y47,TODAY(),Holidays)-1)&amp;" business day(s) late. Send now.",IF($T47="DUE TOMORROW","Next: "&amp;$Z47&amp;IF($Y47&lt;=TODAY()," is due TODAY ("," is due next business day (")&amp;TEXT($Y47,"dd-mmm")&amp;").","Next: "&amp;$Z47&amp;" due "&amp;TEXT($Y47,"dd-mmm")&amp;" ("&amp;(NETWORKDAYS(TODAY(),$Y47,Holidays)-1)&amp;" business day(s) left).")))))</f>
        <v/>
      </c>
      <c r="V47" s="17">
        <f>IF($W47="","",CHOOSE($W47,"Collection Email","1st Follow-up","2nd Follow-up","Local Office","CBE","Roxanne")&amp;IF($W47=6," - Final"," - Day "&amp;MAX(0,NETWORKDAYS($X47,TODAY(),Holidays)-1)&amp;" of "&amp;CHOOSE($W47,3,3,2,2,3))&amp;" | Total Day "&amp;MAX(0,NETWORKDAYS($L47,TODAY(),Holidays)-1))</f>
        <v/>
      </c>
      <c r="W47" s="17">
        <f>IF($L47="","",COUNT($L47:$Q47))</f>
        <v/>
      </c>
      <c r="X47" s="18">
        <f>IF($W47="","",INT(INDEX($L47:$Q47,$W47)))</f>
        <v/>
      </c>
      <c r="Y47" s="18">
        <f>IF(OR($W47="",$W47=6),"",WORKDAY($X47,CHOOSE($W47,3,3,2,2,3),Holidays))</f>
        <v/>
      </c>
      <c r="Z47" s="17">
        <f>IF(OR($W47="",$W47=6),"",CHOOSE($W47,"1st Email Follow-up","2nd Email Follow-up","Escalate Local Office","Escalate to CBE","Escalate to Roxanne"))</f>
        <v/>
      </c>
    </row>
    <row r="48" spans="18:26">
      <c r="R48" s="15"/>
      <c r="S48" s="16"/>
      <c r="T48" s="17">
        <f>IF(AND(COUNTA($A48:$K48)=0,$L48=""),"",IF($S48="Paid","PAID",IF($S48="Closed","CLOSED",IF($W48="","",IF($W48=6,"ESCALATED TO ROXANNE",IF(TODAY()&gt;$Y48,"OVERDUE",IF($Y48&lt;=WORKDAY(TODAY(),1,Holidays),"DUE TOMORROW",IF($W48=4,"ESCALATED TO LOCAL OFFICE",IF($W48=5,"ESCALATED TO CBE",IF($X48=TODAY(),"EMAIL SENT","MONITORING"))))))))))</f>
        <v/>
      </c>
      <c r="U48" s="17">
        <f>IF($T48="",IF(AND(COUNTA($A48:$K48)&gt;0,$L48=""),"Awaiting Collection Email time stamp.",""),IF(OR($T48="PAID",$T48="CLOSED"),IF($T48="PAID","Account paid. Action completed.","Account closed. No further action required."),CHOOSE($W48,"Collection Email","1st Email Follow-up","2nd Email Follow-up","Escalation to Local Office","Escalation to CBE","Escalation to Roxanne")&amp;" sent "&amp;TEXT($X48,"dd-mmm")&amp;". "&amp;IF($W48=6,"Final escalation completed.",IF($T48="OVERDUE","Next: "&amp;$Z48&amp;" was due "&amp;TEXT($Y48,"dd-mmm")&amp;" - "&amp;(NETWORKDAYS($Y48,TODAY(),Holidays)-1)&amp;" business day(s) late. Send now.",IF($T48="DUE TOMORROW","Next: "&amp;$Z48&amp;IF($Y48&lt;=TODAY()," is due TODAY ("," is due next business day (")&amp;TEXT($Y48,"dd-mmm")&amp;").","Next: "&amp;$Z48&amp;" due "&amp;TEXT($Y48,"dd-mmm")&amp;" ("&amp;(NETWORKDAYS(TODAY(),$Y48,Holidays)-1)&amp;" business day(s) left).")))))</f>
        <v/>
      </c>
      <c r="V48" s="17">
        <f>IF($W48="","",CHOOSE($W48,"Collection Email","1st Follow-up","2nd Follow-up","Local Office","CBE","Roxanne")&amp;IF($W48=6," - Final"," - Day "&amp;MAX(0,NETWORKDAYS($X48,TODAY(),Holidays)-1)&amp;" of "&amp;CHOOSE($W48,3,3,2,2,3))&amp;" | Total Day "&amp;MAX(0,NETWORKDAYS($L48,TODAY(),Holidays)-1))</f>
        <v/>
      </c>
      <c r="W48" s="17">
        <f>IF($L48="","",COUNT($L48:$Q48))</f>
        <v/>
      </c>
      <c r="X48" s="18">
        <f>IF($W48="","",INT(INDEX($L48:$Q48,$W48)))</f>
        <v/>
      </c>
      <c r="Y48" s="18">
        <f>IF(OR($W48="",$W48=6),"",WORKDAY($X48,CHOOSE($W48,3,3,2,2,3),Holidays))</f>
        <v/>
      </c>
      <c r="Z48" s="17">
        <f>IF(OR($W48="",$W48=6),"",CHOOSE($W48,"1st Email Follow-up","2nd Email Follow-up","Escalate Local Office","Escalate to CBE","Escalate to Roxanne"))</f>
        <v/>
      </c>
    </row>
    <row r="49" spans="18:26">
      <c r="R49" s="15"/>
      <c r="S49" s="16"/>
      <c r="T49" s="17">
        <f>IF(AND(COUNTA($A49:$K49)=0,$L49=""),"",IF($S49="Paid","PAID",IF($S49="Closed","CLOSED",IF($W49="","",IF($W49=6,"ESCALATED TO ROXANNE",IF(TODAY()&gt;$Y49,"OVERDUE",IF($Y49&lt;=WORKDAY(TODAY(),1,Holidays),"DUE TOMORROW",IF($W49=4,"ESCALATED TO LOCAL OFFICE",IF($W49=5,"ESCALATED TO CBE",IF($X49=TODAY(),"EMAIL SENT","MONITORING"))))))))))</f>
        <v/>
      </c>
      <c r="U49" s="17">
        <f>IF($T49="",IF(AND(COUNTA($A49:$K49)&gt;0,$L49=""),"Awaiting Collection Email time stamp.",""),IF(OR($T49="PAID",$T49="CLOSED"),IF($T49="PAID","Account paid. Action completed.","Account closed. No further action required."),CHOOSE($W49,"Collection Email","1st Email Follow-up","2nd Email Follow-up","Escalation to Local Office","Escalation to CBE","Escalation to Roxanne")&amp;" sent "&amp;TEXT($X49,"dd-mmm")&amp;". "&amp;IF($W49=6,"Final escalation completed.",IF($T49="OVERDUE","Next: "&amp;$Z49&amp;" was due "&amp;TEXT($Y49,"dd-mmm")&amp;" - "&amp;(NETWORKDAYS($Y49,TODAY(),Holidays)-1)&amp;" business day(s) late. Send now.",IF($T49="DUE TOMORROW","Next: "&amp;$Z49&amp;IF($Y49&lt;=TODAY()," is due TODAY ("," is due next business day (")&amp;TEXT($Y49,"dd-mmm")&amp;").","Next: "&amp;$Z49&amp;" due "&amp;TEXT($Y49,"dd-mmm")&amp;" ("&amp;(NETWORKDAYS(TODAY(),$Y49,Holidays)-1)&amp;" business day(s) left).")))))</f>
        <v/>
      </c>
      <c r="V49" s="17">
        <f>IF($W49="","",CHOOSE($W49,"Collection Email","1st Follow-up","2nd Follow-up","Local Office","CBE","Roxanne")&amp;IF($W49=6," - Final"," - Day "&amp;MAX(0,NETWORKDAYS($X49,TODAY(),Holidays)-1)&amp;" of "&amp;CHOOSE($W49,3,3,2,2,3))&amp;" | Total Day "&amp;MAX(0,NETWORKDAYS($L49,TODAY(),Holidays)-1))</f>
        <v/>
      </c>
      <c r="W49" s="17">
        <f>IF($L49="","",COUNT($L49:$Q49))</f>
        <v/>
      </c>
      <c r="X49" s="18">
        <f>IF($W49="","",INT(INDEX($L49:$Q49,$W49)))</f>
        <v/>
      </c>
      <c r="Y49" s="18">
        <f>IF(OR($W49="",$W49=6),"",WORKDAY($X49,CHOOSE($W49,3,3,2,2,3),Holidays))</f>
        <v/>
      </c>
      <c r="Z49" s="17">
        <f>IF(OR($W49="",$W49=6),"",CHOOSE($W49,"1st Email Follow-up","2nd Email Follow-up","Escalate Local Office","Escalate to CBE","Escalate to Roxanne"))</f>
        <v/>
      </c>
    </row>
    <row r="50" spans="18:26">
      <c r="R50" s="15"/>
      <c r="S50" s="16"/>
      <c r="T50" s="17">
        <f>IF(AND(COUNTA($A50:$K50)=0,$L50=""),"",IF($S50="Paid","PAID",IF($S50="Closed","CLOSED",IF($W50="","",IF($W50=6,"ESCALATED TO ROXANNE",IF(TODAY()&gt;$Y50,"OVERDUE",IF($Y50&lt;=WORKDAY(TODAY(),1,Holidays),"DUE TOMORROW",IF($W50=4,"ESCALATED TO LOCAL OFFICE",IF($W50=5,"ESCALATED TO CBE",IF($X50=TODAY(),"EMAIL SENT","MONITORING"))))))))))</f>
        <v/>
      </c>
      <c r="U50" s="17">
        <f>IF($T50="",IF(AND(COUNTA($A50:$K50)&gt;0,$L50=""),"Awaiting Collection Email time stamp.",""),IF(OR($T50="PAID",$T50="CLOSED"),IF($T50="PAID","Account paid. Action completed.","Account closed. No further action required."),CHOOSE($W50,"Collection Email","1st Email Follow-up","2nd Email Follow-up","Escalation to Local Office","Escalation to CBE","Escalation to Roxanne")&amp;" sent "&amp;TEXT($X50,"dd-mmm")&amp;". "&amp;IF($W50=6,"Final escalation completed.",IF($T50="OVERDUE","Next: "&amp;$Z50&amp;" was due "&amp;TEXT($Y50,"dd-mmm")&amp;" - "&amp;(NETWORKDAYS($Y50,TODAY(),Holidays)-1)&amp;" business day(s) late. Send now.",IF($T50="DUE TOMORROW","Next: "&amp;$Z50&amp;IF($Y50&lt;=TODAY()," is due TODAY ("," is due next business day (")&amp;TEXT($Y50,"dd-mmm")&amp;").","Next: "&amp;$Z50&amp;" due "&amp;TEXT($Y50,"dd-mmm")&amp;" ("&amp;(NETWORKDAYS(TODAY(),$Y50,Holidays)-1)&amp;" business day(s) left).")))))</f>
        <v/>
      </c>
      <c r="V50" s="17">
        <f>IF($W50="","",CHOOSE($W50,"Collection Email","1st Follow-up","2nd Follow-up","Local Office","CBE","Roxanne")&amp;IF($W50=6," - Final"," - Day "&amp;MAX(0,NETWORKDAYS($X50,TODAY(),Holidays)-1)&amp;" of "&amp;CHOOSE($W50,3,3,2,2,3))&amp;" | Total Day "&amp;MAX(0,NETWORKDAYS($L50,TODAY(),Holidays)-1))</f>
        <v/>
      </c>
      <c r="W50" s="17">
        <f>IF($L50="","",COUNT($L50:$Q50))</f>
        <v/>
      </c>
      <c r="X50" s="18">
        <f>IF($W50="","",INT(INDEX($L50:$Q50,$W50)))</f>
        <v/>
      </c>
      <c r="Y50" s="18">
        <f>IF(OR($W50="",$W50=6),"",WORKDAY($X50,CHOOSE($W50,3,3,2,2,3),Holidays))</f>
        <v/>
      </c>
      <c r="Z50" s="17">
        <f>IF(OR($W50="",$W50=6),"",CHOOSE($W50,"1st Email Follow-up","2nd Email Follow-up","Escalate Local Office","Escalate to CBE","Escalate to Roxanne"))</f>
        <v/>
      </c>
    </row>
    <row r="51" spans="18:26">
      <c r="R51" s="15"/>
      <c r="S51" s="16"/>
      <c r="T51" s="17">
        <f>IF(AND(COUNTA($A51:$K51)=0,$L51=""),"",IF($S51="Paid","PAID",IF($S51="Closed","CLOSED",IF($W51="","",IF($W51=6,"ESCALATED TO ROXANNE",IF(TODAY()&gt;$Y51,"OVERDUE",IF($Y51&lt;=WORKDAY(TODAY(),1,Holidays),"DUE TOMORROW",IF($W51=4,"ESCALATED TO LOCAL OFFICE",IF($W51=5,"ESCALATED TO CBE",IF($X51=TODAY(),"EMAIL SENT","MONITORING"))))))))))</f>
        <v/>
      </c>
      <c r="U51" s="17">
        <f>IF($T51="",IF(AND(COUNTA($A51:$K51)&gt;0,$L51=""),"Awaiting Collection Email time stamp.",""),IF(OR($T51="PAID",$T51="CLOSED"),IF($T51="PAID","Account paid. Action completed.","Account closed. No further action required."),CHOOSE($W51,"Collection Email","1st Email Follow-up","2nd Email Follow-up","Escalation to Local Office","Escalation to CBE","Escalation to Roxanne")&amp;" sent "&amp;TEXT($X51,"dd-mmm")&amp;". "&amp;IF($W51=6,"Final escalation completed.",IF($T51="OVERDUE","Next: "&amp;$Z51&amp;" was due "&amp;TEXT($Y51,"dd-mmm")&amp;" - "&amp;(NETWORKDAYS($Y51,TODAY(),Holidays)-1)&amp;" business day(s) late. Send now.",IF($T51="DUE TOMORROW","Next: "&amp;$Z51&amp;IF($Y51&lt;=TODAY()," is due TODAY ("," is due next business day (")&amp;TEXT($Y51,"dd-mmm")&amp;").","Next: "&amp;$Z51&amp;" due "&amp;TEXT($Y51,"dd-mmm")&amp;" ("&amp;(NETWORKDAYS(TODAY(),$Y51,Holidays)-1)&amp;" business day(s) left).")))))</f>
        <v/>
      </c>
      <c r="V51" s="17">
        <f>IF($W51="","",CHOOSE($W51,"Collection Email","1st Follow-up","2nd Follow-up","Local Office","CBE","Roxanne")&amp;IF($W51=6," - Final"," - Day "&amp;MAX(0,NETWORKDAYS($X51,TODAY(),Holidays)-1)&amp;" of "&amp;CHOOSE($W51,3,3,2,2,3))&amp;" | Total Day "&amp;MAX(0,NETWORKDAYS($L51,TODAY(),Holidays)-1))</f>
        <v/>
      </c>
      <c r="W51" s="17">
        <f>IF($L51="","",COUNT($L51:$Q51))</f>
        <v/>
      </c>
      <c r="X51" s="18">
        <f>IF($W51="","",INT(INDEX($L51:$Q51,$W51)))</f>
        <v/>
      </c>
      <c r="Y51" s="18">
        <f>IF(OR($W51="",$W51=6),"",WORKDAY($X51,CHOOSE($W51,3,3,2,2,3),Holidays))</f>
        <v/>
      </c>
      <c r="Z51" s="17">
        <f>IF(OR($W51="",$W51=6),"",CHOOSE($W51,"1st Email Follow-up","2nd Email Follow-up","Escalate Local Office","Escalate to CBE","Escalate to Roxanne"))</f>
        <v/>
      </c>
    </row>
    <row r="52" spans="18:26">
      <c r="R52" s="15"/>
      <c r="S52" s="16"/>
      <c r="T52" s="17">
        <f>IF(AND(COUNTA($A52:$K52)=0,$L52=""),"",IF($S52="Paid","PAID",IF($S52="Closed","CLOSED",IF($W52="","",IF($W52=6,"ESCALATED TO ROXANNE",IF(TODAY()&gt;$Y52,"OVERDUE",IF($Y52&lt;=WORKDAY(TODAY(),1,Holidays),"DUE TOMORROW",IF($W52=4,"ESCALATED TO LOCAL OFFICE",IF($W52=5,"ESCALATED TO CBE",IF($X52=TODAY(),"EMAIL SENT","MONITORING"))))))))))</f>
        <v/>
      </c>
      <c r="U52" s="17">
        <f>IF($T52="",IF(AND(COUNTA($A52:$K52)&gt;0,$L52=""),"Awaiting Collection Email time stamp.",""),IF(OR($T52="PAID",$T52="CLOSED"),IF($T52="PAID","Account paid. Action completed.","Account closed. No further action required."),CHOOSE($W52,"Collection Email","1st Email Follow-up","2nd Email Follow-up","Escalation to Local Office","Escalation to CBE","Escalation to Roxanne")&amp;" sent "&amp;TEXT($X52,"dd-mmm")&amp;". "&amp;IF($W52=6,"Final escalation completed.",IF($T52="OVERDUE","Next: "&amp;$Z52&amp;" was due "&amp;TEXT($Y52,"dd-mmm")&amp;" - "&amp;(NETWORKDAYS($Y52,TODAY(),Holidays)-1)&amp;" business day(s) late. Send now.",IF($T52="DUE TOMORROW","Next: "&amp;$Z52&amp;IF($Y52&lt;=TODAY()," is due TODAY ("," is due next business day (")&amp;TEXT($Y52,"dd-mmm")&amp;").","Next: "&amp;$Z52&amp;" due "&amp;TEXT($Y52,"dd-mmm")&amp;" ("&amp;(NETWORKDAYS(TODAY(),$Y52,Holidays)-1)&amp;" business day(s) left).")))))</f>
        <v/>
      </c>
      <c r="V52" s="17">
        <f>IF($W52="","",CHOOSE($W52,"Collection Email","1st Follow-up","2nd Follow-up","Local Office","CBE","Roxanne")&amp;IF($W52=6," - Final"," - Day "&amp;MAX(0,NETWORKDAYS($X52,TODAY(),Holidays)-1)&amp;" of "&amp;CHOOSE($W52,3,3,2,2,3))&amp;" | Total Day "&amp;MAX(0,NETWORKDAYS($L52,TODAY(),Holidays)-1))</f>
        <v/>
      </c>
      <c r="W52" s="17">
        <f>IF($L52="","",COUNT($L52:$Q52))</f>
        <v/>
      </c>
      <c r="X52" s="18">
        <f>IF($W52="","",INT(INDEX($L52:$Q52,$W52)))</f>
        <v/>
      </c>
      <c r="Y52" s="18">
        <f>IF(OR($W52="",$W52=6),"",WORKDAY($X52,CHOOSE($W52,3,3,2,2,3),Holidays))</f>
        <v/>
      </c>
      <c r="Z52" s="17">
        <f>IF(OR($W52="",$W52=6),"",CHOOSE($W52,"1st Email Follow-up","2nd Email Follow-up","Escalate Local Office","Escalate to CBE","Escalate to Roxanne"))</f>
        <v/>
      </c>
    </row>
    <row r="53" spans="18:26">
      <c r="R53" s="15"/>
      <c r="S53" s="16"/>
      <c r="T53" s="17">
        <f>IF(AND(COUNTA($A53:$K53)=0,$L53=""),"",IF($S53="Paid","PAID",IF($S53="Closed","CLOSED",IF($W53="","",IF($W53=6,"ESCALATED TO ROXANNE",IF(TODAY()&gt;$Y53,"OVERDUE",IF($Y53&lt;=WORKDAY(TODAY(),1,Holidays),"DUE TOMORROW",IF($W53=4,"ESCALATED TO LOCAL OFFICE",IF($W53=5,"ESCALATED TO CBE",IF($X53=TODAY(),"EMAIL SENT","MONITORING"))))))))))</f>
        <v/>
      </c>
      <c r="U53" s="17">
        <f>IF($T53="",IF(AND(COUNTA($A53:$K53)&gt;0,$L53=""),"Awaiting Collection Email time stamp.",""),IF(OR($T53="PAID",$T53="CLOSED"),IF($T53="PAID","Account paid. Action completed.","Account closed. No further action required."),CHOOSE($W53,"Collection Email","1st Email Follow-up","2nd Email Follow-up","Escalation to Local Office","Escalation to CBE","Escalation to Roxanne")&amp;" sent "&amp;TEXT($X53,"dd-mmm")&amp;". "&amp;IF($W53=6,"Final escalation completed.",IF($T53="OVERDUE","Next: "&amp;$Z53&amp;" was due "&amp;TEXT($Y53,"dd-mmm")&amp;" - "&amp;(NETWORKDAYS($Y53,TODAY(),Holidays)-1)&amp;" business day(s) late. Send now.",IF($T53="DUE TOMORROW","Next: "&amp;$Z53&amp;IF($Y53&lt;=TODAY()," is due TODAY ("," is due next business day (")&amp;TEXT($Y53,"dd-mmm")&amp;").","Next: "&amp;$Z53&amp;" due "&amp;TEXT($Y53,"dd-mmm")&amp;" ("&amp;(NETWORKDAYS(TODAY(),$Y53,Holidays)-1)&amp;" business day(s) left).")))))</f>
        <v/>
      </c>
      <c r="V53" s="17">
        <f>IF($W53="","",CHOOSE($W53,"Collection Email","1st Follow-up","2nd Follow-up","Local Office","CBE","Roxanne")&amp;IF($W53=6," - Final"," - Day "&amp;MAX(0,NETWORKDAYS($X53,TODAY(),Holidays)-1)&amp;" of "&amp;CHOOSE($W53,3,3,2,2,3))&amp;" | Total Day "&amp;MAX(0,NETWORKDAYS($L53,TODAY(),Holidays)-1))</f>
        <v/>
      </c>
      <c r="W53" s="17">
        <f>IF($L53="","",COUNT($L53:$Q53))</f>
        <v/>
      </c>
      <c r="X53" s="18">
        <f>IF($W53="","",INT(INDEX($L53:$Q53,$W53)))</f>
        <v/>
      </c>
      <c r="Y53" s="18">
        <f>IF(OR($W53="",$W53=6),"",WORKDAY($X53,CHOOSE($W53,3,3,2,2,3),Holidays))</f>
        <v/>
      </c>
      <c r="Z53" s="17">
        <f>IF(OR($W53="",$W53=6),"",CHOOSE($W53,"1st Email Follow-up","2nd Email Follow-up","Escalate Local Office","Escalate to CBE","Escalate to Roxanne"))</f>
        <v/>
      </c>
    </row>
    <row r="54" spans="18:26">
      <c r="R54" s="15"/>
      <c r="S54" s="16"/>
      <c r="T54" s="17">
        <f>IF(AND(COUNTA($A54:$K54)=0,$L54=""),"",IF($S54="Paid","PAID",IF($S54="Closed","CLOSED",IF($W54="","",IF($W54=6,"ESCALATED TO ROXANNE",IF(TODAY()&gt;$Y54,"OVERDUE",IF($Y54&lt;=WORKDAY(TODAY(),1,Holidays),"DUE TOMORROW",IF($W54=4,"ESCALATED TO LOCAL OFFICE",IF($W54=5,"ESCALATED TO CBE",IF($X54=TODAY(),"EMAIL SENT","MONITORING"))))))))))</f>
        <v/>
      </c>
      <c r="U54" s="17">
        <f>IF($T54="",IF(AND(COUNTA($A54:$K54)&gt;0,$L54=""),"Awaiting Collection Email time stamp.",""),IF(OR($T54="PAID",$T54="CLOSED"),IF($T54="PAID","Account paid. Action completed.","Account closed. No further action required."),CHOOSE($W54,"Collection Email","1st Email Follow-up","2nd Email Follow-up","Escalation to Local Office","Escalation to CBE","Escalation to Roxanne")&amp;" sent "&amp;TEXT($X54,"dd-mmm")&amp;". "&amp;IF($W54=6,"Final escalation completed.",IF($T54="OVERDUE","Next: "&amp;$Z54&amp;" was due "&amp;TEXT($Y54,"dd-mmm")&amp;" - "&amp;(NETWORKDAYS($Y54,TODAY(),Holidays)-1)&amp;" business day(s) late. Send now.",IF($T54="DUE TOMORROW","Next: "&amp;$Z54&amp;IF($Y54&lt;=TODAY()," is due TODAY ("," is due next business day (")&amp;TEXT($Y54,"dd-mmm")&amp;").","Next: "&amp;$Z54&amp;" due "&amp;TEXT($Y54,"dd-mmm")&amp;" ("&amp;(NETWORKDAYS(TODAY(),$Y54,Holidays)-1)&amp;" business day(s) left).")))))</f>
        <v/>
      </c>
      <c r="V54" s="17">
        <f>IF($W54="","",CHOOSE($W54,"Collection Email","1st Follow-up","2nd Follow-up","Local Office","CBE","Roxanne")&amp;IF($W54=6," - Final"," - Day "&amp;MAX(0,NETWORKDAYS($X54,TODAY(),Holidays)-1)&amp;" of "&amp;CHOOSE($W54,3,3,2,2,3))&amp;" | Total Day "&amp;MAX(0,NETWORKDAYS($L54,TODAY(),Holidays)-1))</f>
        <v/>
      </c>
      <c r="W54" s="17">
        <f>IF($L54="","",COUNT($L54:$Q54))</f>
        <v/>
      </c>
      <c r="X54" s="18">
        <f>IF($W54="","",INT(INDEX($L54:$Q54,$W54)))</f>
        <v/>
      </c>
      <c r="Y54" s="18">
        <f>IF(OR($W54="",$W54=6),"",WORKDAY($X54,CHOOSE($W54,3,3,2,2,3),Holidays))</f>
        <v/>
      </c>
      <c r="Z54" s="17">
        <f>IF(OR($W54="",$W54=6),"",CHOOSE($W54,"1st Email Follow-up","2nd Email Follow-up","Escalate Local Office","Escalate to CBE","Escalate to Roxanne"))</f>
        <v/>
      </c>
    </row>
    <row r="55" spans="18:26">
      <c r="R55" s="15"/>
      <c r="S55" s="16"/>
      <c r="T55" s="17">
        <f>IF(AND(COUNTA($A55:$K55)=0,$L55=""),"",IF($S55="Paid","PAID",IF($S55="Closed","CLOSED",IF($W55="","",IF($W55=6,"ESCALATED TO ROXANNE",IF(TODAY()&gt;$Y55,"OVERDUE",IF($Y55&lt;=WORKDAY(TODAY(),1,Holidays),"DUE TOMORROW",IF($W55=4,"ESCALATED TO LOCAL OFFICE",IF($W55=5,"ESCALATED TO CBE",IF($X55=TODAY(),"EMAIL SENT","MONITORING"))))))))))</f>
        <v/>
      </c>
      <c r="U55" s="17">
        <f>IF($T55="",IF(AND(COUNTA($A55:$K55)&gt;0,$L55=""),"Awaiting Collection Email time stamp.",""),IF(OR($T55="PAID",$T55="CLOSED"),IF($T55="PAID","Account paid. Action completed.","Account closed. No further action required."),CHOOSE($W55,"Collection Email","1st Email Follow-up","2nd Email Follow-up","Escalation to Local Office","Escalation to CBE","Escalation to Roxanne")&amp;" sent "&amp;TEXT($X55,"dd-mmm")&amp;". "&amp;IF($W55=6,"Final escalation completed.",IF($T55="OVERDUE","Next: "&amp;$Z55&amp;" was due "&amp;TEXT($Y55,"dd-mmm")&amp;" - "&amp;(NETWORKDAYS($Y55,TODAY(),Holidays)-1)&amp;" business day(s) late. Send now.",IF($T55="DUE TOMORROW","Next: "&amp;$Z55&amp;IF($Y55&lt;=TODAY()," is due TODAY ("," is due next business day (")&amp;TEXT($Y55,"dd-mmm")&amp;").","Next: "&amp;$Z55&amp;" due "&amp;TEXT($Y55,"dd-mmm")&amp;" ("&amp;(NETWORKDAYS(TODAY(),$Y55,Holidays)-1)&amp;" business day(s) left).")))))</f>
        <v/>
      </c>
      <c r="V55" s="17">
        <f>IF($W55="","",CHOOSE($W55,"Collection Email","1st Follow-up","2nd Follow-up","Local Office","CBE","Roxanne")&amp;IF($W55=6," - Final"," - Day "&amp;MAX(0,NETWORKDAYS($X55,TODAY(),Holidays)-1)&amp;" of "&amp;CHOOSE($W55,3,3,2,2,3))&amp;" | Total Day "&amp;MAX(0,NETWORKDAYS($L55,TODAY(),Holidays)-1))</f>
        <v/>
      </c>
      <c r="W55" s="17">
        <f>IF($L55="","",COUNT($L55:$Q55))</f>
        <v/>
      </c>
      <c r="X55" s="18">
        <f>IF($W55="","",INT(INDEX($L55:$Q55,$W55)))</f>
        <v/>
      </c>
      <c r="Y55" s="18">
        <f>IF(OR($W55="",$W55=6),"",WORKDAY($X55,CHOOSE($W55,3,3,2,2,3),Holidays))</f>
        <v/>
      </c>
      <c r="Z55" s="17">
        <f>IF(OR($W55="",$W55=6),"",CHOOSE($W55,"1st Email Follow-up","2nd Email Follow-up","Escalate Local Office","Escalate to CBE","Escalate to Roxanne"))</f>
        <v/>
      </c>
    </row>
    <row r="56" spans="18:26">
      <c r="R56" s="15"/>
      <c r="S56" s="16"/>
      <c r="T56" s="17">
        <f>IF(AND(COUNTA($A56:$K56)=0,$L56=""),"",IF($S56="Paid","PAID",IF($S56="Closed","CLOSED",IF($W56="","",IF($W56=6,"ESCALATED TO ROXANNE",IF(TODAY()&gt;$Y56,"OVERDUE",IF($Y56&lt;=WORKDAY(TODAY(),1,Holidays),"DUE TOMORROW",IF($W56=4,"ESCALATED TO LOCAL OFFICE",IF($W56=5,"ESCALATED TO CBE",IF($X56=TODAY(),"EMAIL SENT","MONITORING"))))))))))</f>
        <v/>
      </c>
      <c r="U56" s="17">
        <f>IF($T56="",IF(AND(COUNTA($A56:$K56)&gt;0,$L56=""),"Awaiting Collection Email time stamp.",""),IF(OR($T56="PAID",$T56="CLOSED"),IF($T56="PAID","Account paid. Action completed.","Account closed. No further action required."),CHOOSE($W56,"Collection Email","1st Email Follow-up","2nd Email Follow-up","Escalation to Local Office","Escalation to CBE","Escalation to Roxanne")&amp;" sent "&amp;TEXT($X56,"dd-mmm")&amp;". "&amp;IF($W56=6,"Final escalation completed.",IF($T56="OVERDUE","Next: "&amp;$Z56&amp;" was due "&amp;TEXT($Y56,"dd-mmm")&amp;" - "&amp;(NETWORKDAYS($Y56,TODAY(),Holidays)-1)&amp;" business day(s) late. Send now.",IF($T56="DUE TOMORROW","Next: "&amp;$Z56&amp;IF($Y56&lt;=TODAY()," is due TODAY ("," is due next business day (")&amp;TEXT($Y56,"dd-mmm")&amp;").","Next: "&amp;$Z56&amp;" due "&amp;TEXT($Y56,"dd-mmm")&amp;" ("&amp;(NETWORKDAYS(TODAY(),$Y56,Holidays)-1)&amp;" business day(s) left).")))))</f>
        <v/>
      </c>
      <c r="V56" s="17">
        <f>IF($W56="","",CHOOSE($W56,"Collection Email","1st Follow-up","2nd Follow-up","Local Office","CBE","Roxanne")&amp;IF($W56=6," - Final"," - Day "&amp;MAX(0,NETWORKDAYS($X56,TODAY(),Holidays)-1)&amp;" of "&amp;CHOOSE($W56,3,3,2,2,3))&amp;" | Total Day "&amp;MAX(0,NETWORKDAYS($L56,TODAY(),Holidays)-1))</f>
        <v/>
      </c>
      <c r="W56" s="17">
        <f>IF($L56="","",COUNT($L56:$Q56))</f>
        <v/>
      </c>
      <c r="X56" s="18">
        <f>IF($W56="","",INT(INDEX($L56:$Q56,$W56)))</f>
        <v/>
      </c>
      <c r="Y56" s="18">
        <f>IF(OR($W56="",$W56=6),"",WORKDAY($X56,CHOOSE($W56,3,3,2,2,3),Holidays))</f>
        <v/>
      </c>
      <c r="Z56" s="17">
        <f>IF(OR($W56="",$W56=6),"",CHOOSE($W56,"1st Email Follow-up","2nd Email Follow-up","Escalate Local Office","Escalate to CBE","Escalate to Roxanne"))</f>
        <v/>
      </c>
    </row>
    <row r="57" spans="18:26">
      <c r="R57" s="15"/>
      <c r="S57" s="16"/>
      <c r="T57" s="17">
        <f>IF(AND(COUNTA($A57:$K57)=0,$L57=""),"",IF($S57="Paid","PAID",IF($S57="Closed","CLOSED",IF($W57="","",IF($W57=6,"ESCALATED TO ROXANNE",IF(TODAY()&gt;$Y57,"OVERDUE",IF($Y57&lt;=WORKDAY(TODAY(),1,Holidays),"DUE TOMORROW",IF($W57=4,"ESCALATED TO LOCAL OFFICE",IF($W57=5,"ESCALATED TO CBE",IF($X57=TODAY(),"EMAIL SENT","MONITORING"))))))))))</f>
        <v/>
      </c>
      <c r="U57" s="17">
        <f>IF($T57="",IF(AND(COUNTA($A57:$K57)&gt;0,$L57=""),"Awaiting Collection Email time stamp.",""),IF(OR($T57="PAID",$T57="CLOSED"),IF($T57="PAID","Account paid. Action completed.","Account closed. No further action required."),CHOOSE($W57,"Collection Email","1st Email Follow-up","2nd Email Follow-up","Escalation to Local Office","Escalation to CBE","Escalation to Roxanne")&amp;" sent "&amp;TEXT($X57,"dd-mmm")&amp;". "&amp;IF($W57=6,"Final escalation completed.",IF($T57="OVERDUE","Next: "&amp;$Z57&amp;" was due "&amp;TEXT($Y57,"dd-mmm")&amp;" - "&amp;(NETWORKDAYS($Y57,TODAY(),Holidays)-1)&amp;" business day(s) late. Send now.",IF($T57="DUE TOMORROW","Next: "&amp;$Z57&amp;IF($Y57&lt;=TODAY()," is due TODAY ("," is due next business day (")&amp;TEXT($Y57,"dd-mmm")&amp;").","Next: "&amp;$Z57&amp;" due "&amp;TEXT($Y57,"dd-mmm")&amp;" ("&amp;(NETWORKDAYS(TODAY(),$Y57,Holidays)-1)&amp;" business day(s) left).")))))</f>
        <v/>
      </c>
      <c r="V57" s="17">
        <f>IF($W57="","",CHOOSE($W57,"Collection Email","1st Follow-up","2nd Follow-up","Local Office","CBE","Roxanne")&amp;IF($W57=6," - Final"," - Day "&amp;MAX(0,NETWORKDAYS($X57,TODAY(),Holidays)-1)&amp;" of "&amp;CHOOSE($W57,3,3,2,2,3))&amp;" | Total Day "&amp;MAX(0,NETWORKDAYS($L57,TODAY(),Holidays)-1))</f>
        <v/>
      </c>
      <c r="W57" s="17">
        <f>IF($L57="","",COUNT($L57:$Q57))</f>
        <v/>
      </c>
      <c r="X57" s="18">
        <f>IF($W57="","",INT(INDEX($L57:$Q57,$W57)))</f>
        <v/>
      </c>
      <c r="Y57" s="18">
        <f>IF(OR($W57="",$W57=6),"",WORKDAY($X57,CHOOSE($W57,3,3,2,2,3),Holidays))</f>
        <v/>
      </c>
      <c r="Z57" s="17">
        <f>IF(OR($W57="",$W57=6),"",CHOOSE($W57,"1st Email Follow-up","2nd Email Follow-up","Escalate Local Office","Escalate to CBE","Escalate to Roxanne"))</f>
        <v/>
      </c>
    </row>
    <row r="58" spans="18:26">
      <c r="R58" s="15"/>
      <c r="S58" s="16"/>
      <c r="T58" s="17">
        <f>IF(AND(COUNTA($A58:$K58)=0,$L58=""),"",IF($S58="Paid","PAID",IF($S58="Closed","CLOSED",IF($W58="","",IF($W58=6,"ESCALATED TO ROXANNE",IF(TODAY()&gt;$Y58,"OVERDUE",IF($Y58&lt;=WORKDAY(TODAY(),1,Holidays),"DUE TOMORROW",IF($W58=4,"ESCALATED TO LOCAL OFFICE",IF($W58=5,"ESCALATED TO CBE",IF($X58=TODAY(),"EMAIL SENT","MONITORING"))))))))))</f>
        <v/>
      </c>
      <c r="U58" s="17">
        <f>IF($T58="",IF(AND(COUNTA($A58:$K58)&gt;0,$L58=""),"Awaiting Collection Email time stamp.",""),IF(OR($T58="PAID",$T58="CLOSED"),IF($T58="PAID","Account paid. Action completed.","Account closed. No further action required."),CHOOSE($W58,"Collection Email","1st Email Follow-up","2nd Email Follow-up","Escalation to Local Office","Escalation to CBE","Escalation to Roxanne")&amp;" sent "&amp;TEXT($X58,"dd-mmm")&amp;". "&amp;IF($W58=6,"Final escalation completed.",IF($T58="OVERDUE","Next: "&amp;$Z58&amp;" was due "&amp;TEXT($Y58,"dd-mmm")&amp;" - "&amp;(NETWORKDAYS($Y58,TODAY(),Holidays)-1)&amp;" business day(s) late. Send now.",IF($T58="DUE TOMORROW","Next: "&amp;$Z58&amp;IF($Y58&lt;=TODAY()," is due TODAY ("," is due next business day (")&amp;TEXT($Y58,"dd-mmm")&amp;").","Next: "&amp;$Z58&amp;" due "&amp;TEXT($Y58,"dd-mmm")&amp;" ("&amp;(NETWORKDAYS(TODAY(),$Y58,Holidays)-1)&amp;" business day(s) left).")))))</f>
        <v/>
      </c>
      <c r="V58" s="17">
        <f>IF($W58="","",CHOOSE($W58,"Collection Email","1st Follow-up","2nd Follow-up","Local Office","CBE","Roxanne")&amp;IF($W58=6," - Final"," - Day "&amp;MAX(0,NETWORKDAYS($X58,TODAY(),Holidays)-1)&amp;" of "&amp;CHOOSE($W58,3,3,2,2,3))&amp;" | Total Day "&amp;MAX(0,NETWORKDAYS($L58,TODAY(),Holidays)-1))</f>
        <v/>
      </c>
      <c r="W58" s="17">
        <f>IF($L58="","",COUNT($L58:$Q58))</f>
        <v/>
      </c>
      <c r="X58" s="18">
        <f>IF($W58="","",INT(INDEX($L58:$Q58,$W58)))</f>
        <v/>
      </c>
      <c r="Y58" s="18">
        <f>IF(OR($W58="",$W58=6),"",WORKDAY($X58,CHOOSE($W58,3,3,2,2,3),Holidays))</f>
        <v/>
      </c>
      <c r="Z58" s="17">
        <f>IF(OR($W58="",$W58=6),"",CHOOSE($W58,"1st Email Follow-up","2nd Email Follow-up","Escalate Local Office","Escalate to CBE","Escalate to Roxanne"))</f>
        <v/>
      </c>
    </row>
    <row r="59" spans="18:26">
      <c r="R59" s="15"/>
      <c r="S59" s="16"/>
      <c r="T59" s="17">
        <f>IF(AND(COUNTA($A59:$K59)=0,$L59=""),"",IF($S59="Paid","PAID",IF($S59="Closed","CLOSED",IF($W59="","",IF($W59=6,"ESCALATED TO ROXANNE",IF(TODAY()&gt;$Y59,"OVERDUE",IF($Y59&lt;=WORKDAY(TODAY(),1,Holidays),"DUE TOMORROW",IF($W59=4,"ESCALATED TO LOCAL OFFICE",IF($W59=5,"ESCALATED TO CBE",IF($X59=TODAY(),"EMAIL SENT","MONITORING"))))))))))</f>
        <v/>
      </c>
      <c r="U59" s="17">
        <f>IF($T59="",IF(AND(COUNTA($A59:$K59)&gt;0,$L59=""),"Awaiting Collection Email time stamp.",""),IF(OR($T59="PAID",$T59="CLOSED"),IF($T59="PAID","Account paid. Action completed.","Account closed. No further action required."),CHOOSE($W59,"Collection Email","1st Email Follow-up","2nd Email Follow-up","Escalation to Local Office","Escalation to CBE","Escalation to Roxanne")&amp;" sent "&amp;TEXT($X59,"dd-mmm")&amp;". "&amp;IF($W59=6,"Final escalation completed.",IF($T59="OVERDUE","Next: "&amp;$Z59&amp;" was due "&amp;TEXT($Y59,"dd-mmm")&amp;" - "&amp;(NETWORKDAYS($Y59,TODAY(),Holidays)-1)&amp;" business day(s) late. Send now.",IF($T59="DUE TOMORROW","Next: "&amp;$Z59&amp;IF($Y59&lt;=TODAY()," is due TODAY ("," is due next business day (")&amp;TEXT($Y59,"dd-mmm")&amp;").","Next: "&amp;$Z59&amp;" due "&amp;TEXT($Y59,"dd-mmm")&amp;" ("&amp;(NETWORKDAYS(TODAY(),$Y59,Holidays)-1)&amp;" business day(s) left).")))))</f>
        <v/>
      </c>
      <c r="V59" s="17">
        <f>IF($W59="","",CHOOSE($W59,"Collection Email","1st Follow-up","2nd Follow-up","Local Office","CBE","Roxanne")&amp;IF($W59=6," - Final"," - Day "&amp;MAX(0,NETWORKDAYS($X59,TODAY(),Holidays)-1)&amp;" of "&amp;CHOOSE($W59,3,3,2,2,3))&amp;" | Total Day "&amp;MAX(0,NETWORKDAYS($L59,TODAY(),Holidays)-1))</f>
        <v/>
      </c>
      <c r="W59" s="17">
        <f>IF($L59="","",COUNT($L59:$Q59))</f>
        <v/>
      </c>
      <c r="X59" s="18">
        <f>IF($W59="","",INT(INDEX($L59:$Q59,$W59)))</f>
        <v/>
      </c>
      <c r="Y59" s="18">
        <f>IF(OR($W59="",$W59=6),"",WORKDAY($X59,CHOOSE($W59,3,3,2,2,3),Holidays))</f>
        <v/>
      </c>
      <c r="Z59" s="17">
        <f>IF(OR($W59="",$W59=6),"",CHOOSE($W59,"1st Email Follow-up","2nd Email Follow-up","Escalate Local Office","Escalate to CBE","Escalate to Roxanne"))</f>
        <v/>
      </c>
    </row>
    <row r="60" spans="18:26">
      <c r="R60" s="15"/>
      <c r="S60" s="16"/>
      <c r="T60" s="17">
        <f>IF(AND(COUNTA($A60:$K60)=0,$L60=""),"",IF($S60="Paid","PAID",IF($S60="Closed","CLOSED",IF($W60="","",IF($W60=6,"ESCALATED TO ROXANNE",IF(TODAY()&gt;$Y60,"OVERDUE",IF($Y60&lt;=WORKDAY(TODAY(),1,Holidays),"DUE TOMORROW",IF($W60=4,"ESCALATED TO LOCAL OFFICE",IF($W60=5,"ESCALATED TO CBE",IF($X60=TODAY(),"EMAIL SENT","MONITORING"))))))))))</f>
        <v/>
      </c>
      <c r="U60" s="17">
        <f>IF($T60="",IF(AND(COUNTA($A60:$K60)&gt;0,$L60=""),"Awaiting Collection Email time stamp.",""),IF(OR($T60="PAID",$T60="CLOSED"),IF($T60="PAID","Account paid. Action completed.","Account closed. No further action required."),CHOOSE($W60,"Collection Email","1st Email Follow-up","2nd Email Follow-up","Escalation to Local Office","Escalation to CBE","Escalation to Roxanne")&amp;" sent "&amp;TEXT($X60,"dd-mmm")&amp;". "&amp;IF($W60=6,"Final escalation completed.",IF($T60="OVERDUE","Next: "&amp;$Z60&amp;" was due "&amp;TEXT($Y60,"dd-mmm")&amp;" - "&amp;(NETWORKDAYS($Y60,TODAY(),Holidays)-1)&amp;" business day(s) late. Send now.",IF($T60="DUE TOMORROW","Next: "&amp;$Z60&amp;IF($Y60&lt;=TODAY()," is due TODAY ("," is due next business day (")&amp;TEXT($Y60,"dd-mmm")&amp;").","Next: "&amp;$Z60&amp;" due "&amp;TEXT($Y60,"dd-mmm")&amp;" ("&amp;(NETWORKDAYS(TODAY(),$Y60,Holidays)-1)&amp;" business day(s) left).")))))</f>
        <v/>
      </c>
      <c r="V60" s="17">
        <f>IF($W60="","",CHOOSE($W60,"Collection Email","1st Follow-up","2nd Follow-up","Local Office","CBE","Roxanne")&amp;IF($W60=6," - Final"," - Day "&amp;MAX(0,NETWORKDAYS($X60,TODAY(),Holidays)-1)&amp;" of "&amp;CHOOSE($W60,3,3,2,2,3))&amp;" | Total Day "&amp;MAX(0,NETWORKDAYS($L60,TODAY(),Holidays)-1))</f>
        <v/>
      </c>
      <c r="W60" s="17">
        <f>IF($L60="","",COUNT($L60:$Q60))</f>
        <v/>
      </c>
      <c r="X60" s="18">
        <f>IF($W60="","",INT(INDEX($L60:$Q60,$W60)))</f>
        <v/>
      </c>
      <c r="Y60" s="18">
        <f>IF(OR($W60="",$W60=6),"",WORKDAY($X60,CHOOSE($W60,3,3,2,2,3),Holidays))</f>
        <v/>
      </c>
      <c r="Z60" s="17">
        <f>IF(OR($W60="",$W60=6),"",CHOOSE($W60,"1st Email Follow-up","2nd Email Follow-up","Escalate Local Office","Escalate to CBE","Escalate to Roxanne"))</f>
        <v/>
      </c>
    </row>
    <row r="61" spans="18:26">
      <c r="R61" s="15"/>
      <c r="S61" s="16"/>
      <c r="T61" s="17">
        <f>IF(AND(COUNTA($A61:$K61)=0,$L61=""),"",IF($S61="Paid","PAID",IF($S61="Closed","CLOSED",IF($W61="","",IF($W61=6,"ESCALATED TO ROXANNE",IF(TODAY()&gt;$Y61,"OVERDUE",IF($Y61&lt;=WORKDAY(TODAY(),1,Holidays),"DUE TOMORROW",IF($W61=4,"ESCALATED TO LOCAL OFFICE",IF($W61=5,"ESCALATED TO CBE",IF($X61=TODAY(),"EMAIL SENT","MONITORING"))))))))))</f>
        <v/>
      </c>
      <c r="U61" s="17">
        <f>IF($T61="",IF(AND(COUNTA($A61:$K61)&gt;0,$L61=""),"Awaiting Collection Email time stamp.",""),IF(OR($T61="PAID",$T61="CLOSED"),IF($T61="PAID","Account paid. Action completed.","Account closed. No further action required."),CHOOSE($W61,"Collection Email","1st Email Follow-up","2nd Email Follow-up","Escalation to Local Office","Escalation to CBE","Escalation to Roxanne")&amp;" sent "&amp;TEXT($X61,"dd-mmm")&amp;". "&amp;IF($W61=6,"Final escalation completed.",IF($T61="OVERDUE","Next: "&amp;$Z61&amp;" was due "&amp;TEXT($Y61,"dd-mmm")&amp;" - "&amp;(NETWORKDAYS($Y61,TODAY(),Holidays)-1)&amp;" business day(s) late. Send now.",IF($T61="DUE TOMORROW","Next: "&amp;$Z61&amp;IF($Y61&lt;=TODAY()," is due TODAY ("," is due next business day (")&amp;TEXT($Y61,"dd-mmm")&amp;").","Next: "&amp;$Z61&amp;" due "&amp;TEXT($Y61,"dd-mmm")&amp;" ("&amp;(NETWORKDAYS(TODAY(),$Y61,Holidays)-1)&amp;" business day(s) left).")))))</f>
        <v/>
      </c>
      <c r="V61" s="17">
        <f>IF($W61="","",CHOOSE($W61,"Collection Email","1st Follow-up","2nd Follow-up","Local Office","CBE","Roxanne")&amp;IF($W61=6," - Final"," - Day "&amp;MAX(0,NETWORKDAYS($X61,TODAY(),Holidays)-1)&amp;" of "&amp;CHOOSE($W61,3,3,2,2,3))&amp;" | Total Day "&amp;MAX(0,NETWORKDAYS($L61,TODAY(),Holidays)-1))</f>
        <v/>
      </c>
      <c r="W61" s="17">
        <f>IF($L61="","",COUNT($L61:$Q61))</f>
        <v/>
      </c>
      <c r="X61" s="18">
        <f>IF($W61="","",INT(INDEX($L61:$Q61,$W61)))</f>
        <v/>
      </c>
      <c r="Y61" s="18">
        <f>IF(OR($W61="",$W61=6),"",WORKDAY($X61,CHOOSE($W61,3,3,2,2,3),Holidays))</f>
        <v/>
      </c>
      <c r="Z61" s="17">
        <f>IF(OR($W61="",$W61=6),"",CHOOSE($W61,"1st Email Follow-up","2nd Email Follow-up","Escalate Local Office","Escalate to CBE","Escalate to Roxanne"))</f>
        <v/>
      </c>
    </row>
    <row r="62" spans="18:26">
      <c r="R62" s="15"/>
      <c r="S62" s="16"/>
      <c r="T62" s="17">
        <f>IF(AND(COUNTA($A62:$K62)=0,$L62=""),"",IF($S62="Paid","PAID",IF($S62="Closed","CLOSED",IF($W62="","",IF($W62=6,"ESCALATED TO ROXANNE",IF(TODAY()&gt;$Y62,"OVERDUE",IF($Y62&lt;=WORKDAY(TODAY(),1,Holidays),"DUE TOMORROW",IF($W62=4,"ESCALATED TO LOCAL OFFICE",IF($W62=5,"ESCALATED TO CBE",IF($X62=TODAY(),"EMAIL SENT","MONITORING"))))))))))</f>
        <v/>
      </c>
      <c r="U62" s="17">
        <f>IF($T62="",IF(AND(COUNTA($A62:$K62)&gt;0,$L62=""),"Awaiting Collection Email time stamp.",""),IF(OR($T62="PAID",$T62="CLOSED"),IF($T62="PAID","Account paid. Action completed.","Account closed. No further action required."),CHOOSE($W62,"Collection Email","1st Email Follow-up","2nd Email Follow-up","Escalation to Local Office","Escalation to CBE","Escalation to Roxanne")&amp;" sent "&amp;TEXT($X62,"dd-mmm")&amp;". "&amp;IF($W62=6,"Final escalation completed.",IF($T62="OVERDUE","Next: "&amp;$Z62&amp;" was due "&amp;TEXT($Y62,"dd-mmm")&amp;" - "&amp;(NETWORKDAYS($Y62,TODAY(),Holidays)-1)&amp;" business day(s) late. Send now.",IF($T62="DUE TOMORROW","Next: "&amp;$Z62&amp;IF($Y62&lt;=TODAY()," is due TODAY ("," is due next business day (")&amp;TEXT($Y62,"dd-mmm")&amp;").","Next: "&amp;$Z62&amp;" due "&amp;TEXT($Y62,"dd-mmm")&amp;" ("&amp;(NETWORKDAYS(TODAY(),$Y62,Holidays)-1)&amp;" business day(s) left).")))))</f>
        <v/>
      </c>
      <c r="V62" s="17">
        <f>IF($W62="","",CHOOSE($W62,"Collection Email","1st Follow-up","2nd Follow-up","Local Office","CBE","Roxanne")&amp;IF($W62=6," - Final"," - Day "&amp;MAX(0,NETWORKDAYS($X62,TODAY(),Holidays)-1)&amp;" of "&amp;CHOOSE($W62,3,3,2,2,3))&amp;" | Total Day "&amp;MAX(0,NETWORKDAYS($L62,TODAY(),Holidays)-1))</f>
        <v/>
      </c>
      <c r="W62" s="17">
        <f>IF($L62="","",COUNT($L62:$Q62))</f>
        <v/>
      </c>
      <c r="X62" s="18">
        <f>IF($W62="","",INT(INDEX($L62:$Q62,$W62)))</f>
        <v/>
      </c>
      <c r="Y62" s="18">
        <f>IF(OR($W62="",$W62=6),"",WORKDAY($X62,CHOOSE($W62,3,3,2,2,3),Holidays))</f>
        <v/>
      </c>
      <c r="Z62" s="17">
        <f>IF(OR($W62="",$W62=6),"",CHOOSE($W62,"1st Email Follow-up","2nd Email Follow-up","Escalate Local Office","Escalate to CBE","Escalate to Roxanne"))</f>
        <v/>
      </c>
    </row>
    <row r="63" spans="18:26">
      <c r="R63" s="15"/>
      <c r="S63" s="16"/>
      <c r="T63" s="17">
        <f>IF(AND(COUNTA($A63:$K63)=0,$L63=""),"",IF($S63="Paid","PAID",IF($S63="Closed","CLOSED",IF($W63="","",IF($W63=6,"ESCALATED TO ROXANNE",IF(TODAY()&gt;$Y63,"OVERDUE",IF($Y63&lt;=WORKDAY(TODAY(),1,Holidays),"DUE TOMORROW",IF($W63=4,"ESCALATED TO LOCAL OFFICE",IF($W63=5,"ESCALATED TO CBE",IF($X63=TODAY(),"EMAIL SENT","MONITORING"))))))))))</f>
        <v/>
      </c>
      <c r="U63" s="17">
        <f>IF($T63="",IF(AND(COUNTA($A63:$K63)&gt;0,$L63=""),"Awaiting Collection Email time stamp.",""),IF(OR($T63="PAID",$T63="CLOSED"),IF($T63="PAID","Account paid. Action completed.","Account closed. No further action required."),CHOOSE($W63,"Collection Email","1st Email Follow-up","2nd Email Follow-up","Escalation to Local Office","Escalation to CBE","Escalation to Roxanne")&amp;" sent "&amp;TEXT($X63,"dd-mmm")&amp;". "&amp;IF($W63=6,"Final escalation completed.",IF($T63="OVERDUE","Next: "&amp;$Z63&amp;" was due "&amp;TEXT($Y63,"dd-mmm")&amp;" - "&amp;(NETWORKDAYS($Y63,TODAY(),Holidays)-1)&amp;" business day(s) late. Send now.",IF($T63="DUE TOMORROW","Next: "&amp;$Z63&amp;IF($Y63&lt;=TODAY()," is due TODAY ("," is due next business day (")&amp;TEXT($Y63,"dd-mmm")&amp;").","Next: "&amp;$Z63&amp;" due "&amp;TEXT($Y63,"dd-mmm")&amp;" ("&amp;(NETWORKDAYS(TODAY(),$Y63,Holidays)-1)&amp;" business day(s) left).")))))</f>
        <v/>
      </c>
      <c r="V63" s="17">
        <f>IF($W63="","",CHOOSE($W63,"Collection Email","1st Follow-up","2nd Follow-up","Local Office","CBE","Roxanne")&amp;IF($W63=6," - Final"," - Day "&amp;MAX(0,NETWORKDAYS($X63,TODAY(),Holidays)-1)&amp;" of "&amp;CHOOSE($W63,3,3,2,2,3))&amp;" | Total Day "&amp;MAX(0,NETWORKDAYS($L63,TODAY(),Holidays)-1))</f>
        <v/>
      </c>
      <c r="W63" s="17">
        <f>IF($L63="","",COUNT($L63:$Q63))</f>
        <v/>
      </c>
      <c r="X63" s="18">
        <f>IF($W63="","",INT(INDEX($L63:$Q63,$W63)))</f>
        <v/>
      </c>
      <c r="Y63" s="18">
        <f>IF(OR($W63="",$W63=6),"",WORKDAY($X63,CHOOSE($W63,3,3,2,2,3),Holidays))</f>
        <v/>
      </c>
      <c r="Z63" s="17">
        <f>IF(OR($W63="",$W63=6),"",CHOOSE($W63,"1st Email Follow-up","2nd Email Follow-up","Escalate Local Office","Escalate to CBE","Escalate to Roxanne"))</f>
        <v/>
      </c>
    </row>
    <row r="64" spans="18:26">
      <c r="R64" s="15"/>
      <c r="S64" s="16"/>
      <c r="T64" s="17">
        <f>IF(AND(COUNTA($A64:$K64)=0,$L64=""),"",IF($S64="Paid","PAID",IF($S64="Closed","CLOSED",IF($W64="","",IF($W64=6,"ESCALATED TO ROXANNE",IF(TODAY()&gt;$Y64,"OVERDUE",IF($Y64&lt;=WORKDAY(TODAY(),1,Holidays),"DUE TOMORROW",IF($W64=4,"ESCALATED TO LOCAL OFFICE",IF($W64=5,"ESCALATED TO CBE",IF($X64=TODAY(),"EMAIL SENT","MONITORING"))))))))))</f>
        <v/>
      </c>
      <c r="U64" s="17">
        <f>IF($T64="",IF(AND(COUNTA($A64:$K64)&gt;0,$L64=""),"Awaiting Collection Email time stamp.",""),IF(OR($T64="PAID",$T64="CLOSED"),IF($T64="PAID","Account paid. Action completed.","Account closed. No further action required."),CHOOSE($W64,"Collection Email","1st Email Follow-up","2nd Email Follow-up","Escalation to Local Office","Escalation to CBE","Escalation to Roxanne")&amp;" sent "&amp;TEXT($X64,"dd-mmm")&amp;". "&amp;IF($W64=6,"Final escalation completed.",IF($T64="OVERDUE","Next: "&amp;$Z64&amp;" was due "&amp;TEXT($Y64,"dd-mmm")&amp;" - "&amp;(NETWORKDAYS($Y64,TODAY(),Holidays)-1)&amp;" business day(s) late. Send now.",IF($T64="DUE TOMORROW","Next: "&amp;$Z64&amp;IF($Y64&lt;=TODAY()," is due TODAY ("," is due next business day (")&amp;TEXT($Y64,"dd-mmm")&amp;").","Next: "&amp;$Z64&amp;" due "&amp;TEXT($Y64,"dd-mmm")&amp;" ("&amp;(NETWORKDAYS(TODAY(),$Y64,Holidays)-1)&amp;" business day(s) left).")))))</f>
        <v/>
      </c>
      <c r="V64" s="17">
        <f>IF($W64="","",CHOOSE($W64,"Collection Email","1st Follow-up","2nd Follow-up","Local Office","CBE","Roxanne")&amp;IF($W64=6," - Final"," - Day "&amp;MAX(0,NETWORKDAYS($X64,TODAY(),Holidays)-1)&amp;" of "&amp;CHOOSE($W64,3,3,2,2,3))&amp;" | Total Day "&amp;MAX(0,NETWORKDAYS($L64,TODAY(),Holidays)-1))</f>
        <v/>
      </c>
      <c r="W64" s="17">
        <f>IF($L64="","",COUNT($L64:$Q64))</f>
        <v/>
      </c>
      <c r="X64" s="18">
        <f>IF($W64="","",INT(INDEX($L64:$Q64,$W64)))</f>
        <v/>
      </c>
      <c r="Y64" s="18">
        <f>IF(OR($W64="",$W64=6),"",WORKDAY($X64,CHOOSE($W64,3,3,2,2,3),Holidays))</f>
        <v/>
      </c>
      <c r="Z64" s="17">
        <f>IF(OR($W64="",$W64=6),"",CHOOSE($W64,"1st Email Follow-up","2nd Email Follow-up","Escalate Local Office","Escalate to CBE","Escalate to Roxanne"))</f>
        <v/>
      </c>
    </row>
    <row r="65" spans="18:26">
      <c r="R65" s="15"/>
      <c r="S65" s="16"/>
      <c r="T65" s="17">
        <f>IF(AND(COUNTA($A65:$K65)=0,$L65=""),"",IF($S65="Paid","PAID",IF($S65="Closed","CLOSED",IF($W65="","",IF($W65=6,"ESCALATED TO ROXANNE",IF(TODAY()&gt;$Y65,"OVERDUE",IF($Y65&lt;=WORKDAY(TODAY(),1,Holidays),"DUE TOMORROW",IF($W65=4,"ESCALATED TO LOCAL OFFICE",IF($W65=5,"ESCALATED TO CBE",IF($X65=TODAY(),"EMAIL SENT","MONITORING"))))))))))</f>
        <v/>
      </c>
      <c r="U65" s="17">
        <f>IF($T65="",IF(AND(COUNTA($A65:$K65)&gt;0,$L65=""),"Awaiting Collection Email time stamp.",""),IF(OR($T65="PAID",$T65="CLOSED"),IF($T65="PAID","Account paid. Action completed.","Account closed. No further action required."),CHOOSE($W65,"Collection Email","1st Email Follow-up","2nd Email Follow-up","Escalation to Local Office","Escalation to CBE","Escalation to Roxanne")&amp;" sent "&amp;TEXT($X65,"dd-mmm")&amp;". "&amp;IF($W65=6,"Final escalation completed.",IF($T65="OVERDUE","Next: "&amp;$Z65&amp;" was due "&amp;TEXT($Y65,"dd-mmm")&amp;" - "&amp;(NETWORKDAYS($Y65,TODAY(),Holidays)-1)&amp;" business day(s) late. Send now.",IF($T65="DUE TOMORROW","Next: "&amp;$Z65&amp;IF($Y65&lt;=TODAY()," is due TODAY ("," is due next business day (")&amp;TEXT($Y65,"dd-mmm")&amp;").","Next: "&amp;$Z65&amp;" due "&amp;TEXT($Y65,"dd-mmm")&amp;" ("&amp;(NETWORKDAYS(TODAY(),$Y65,Holidays)-1)&amp;" business day(s) left).")))))</f>
        <v/>
      </c>
      <c r="V65" s="17">
        <f>IF($W65="","",CHOOSE($W65,"Collection Email","1st Follow-up","2nd Follow-up","Local Office","CBE","Roxanne")&amp;IF($W65=6," - Final"," - Day "&amp;MAX(0,NETWORKDAYS($X65,TODAY(),Holidays)-1)&amp;" of "&amp;CHOOSE($W65,3,3,2,2,3))&amp;" | Total Day "&amp;MAX(0,NETWORKDAYS($L65,TODAY(),Holidays)-1))</f>
        <v/>
      </c>
      <c r="W65" s="17">
        <f>IF($L65="","",COUNT($L65:$Q65))</f>
        <v/>
      </c>
      <c r="X65" s="18">
        <f>IF($W65="","",INT(INDEX($L65:$Q65,$W65)))</f>
        <v/>
      </c>
      <c r="Y65" s="18">
        <f>IF(OR($W65="",$W65=6),"",WORKDAY($X65,CHOOSE($W65,3,3,2,2,3),Holidays))</f>
        <v/>
      </c>
      <c r="Z65" s="17">
        <f>IF(OR($W65="",$W65=6),"",CHOOSE($W65,"1st Email Follow-up","2nd Email Follow-up","Escalate Local Office","Escalate to CBE","Escalate to Roxanne"))</f>
        <v/>
      </c>
    </row>
    <row r="66" spans="18:26">
      <c r="R66" s="15"/>
      <c r="S66" s="16"/>
      <c r="T66" s="17">
        <f>IF(AND(COUNTA($A66:$K66)=0,$L66=""),"",IF($S66="Paid","PAID",IF($S66="Closed","CLOSED",IF($W66="","",IF($W66=6,"ESCALATED TO ROXANNE",IF(TODAY()&gt;$Y66,"OVERDUE",IF($Y66&lt;=WORKDAY(TODAY(),1,Holidays),"DUE TOMORROW",IF($W66=4,"ESCALATED TO LOCAL OFFICE",IF($W66=5,"ESCALATED TO CBE",IF($X66=TODAY(),"EMAIL SENT","MONITORING"))))))))))</f>
        <v/>
      </c>
      <c r="U66" s="17">
        <f>IF($T66="",IF(AND(COUNTA($A66:$K66)&gt;0,$L66=""),"Awaiting Collection Email time stamp.",""),IF(OR($T66="PAID",$T66="CLOSED"),IF($T66="PAID","Account paid. Action completed.","Account closed. No further action required."),CHOOSE($W66,"Collection Email","1st Email Follow-up","2nd Email Follow-up","Escalation to Local Office","Escalation to CBE","Escalation to Roxanne")&amp;" sent "&amp;TEXT($X66,"dd-mmm")&amp;". "&amp;IF($W66=6,"Final escalation completed.",IF($T66="OVERDUE","Next: "&amp;$Z66&amp;" was due "&amp;TEXT($Y66,"dd-mmm")&amp;" - "&amp;(NETWORKDAYS($Y66,TODAY(),Holidays)-1)&amp;" business day(s) late. Send now.",IF($T66="DUE TOMORROW","Next: "&amp;$Z66&amp;IF($Y66&lt;=TODAY()," is due TODAY ("," is due next business day (")&amp;TEXT($Y66,"dd-mmm")&amp;").","Next: "&amp;$Z66&amp;" due "&amp;TEXT($Y66,"dd-mmm")&amp;" ("&amp;(NETWORKDAYS(TODAY(),$Y66,Holidays)-1)&amp;" business day(s) left).")))))</f>
        <v/>
      </c>
      <c r="V66" s="17">
        <f>IF($W66="","",CHOOSE($W66,"Collection Email","1st Follow-up","2nd Follow-up","Local Office","CBE","Roxanne")&amp;IF($W66=6," - Final"," - Day "&amp;MAX(0,NETWORKDAYS($X66,TODAY(),Holidays)-1)&amp;" of "&amp;CHOOSE($W66,3,3,2,2,3))&amp;" | Total Day "&amp;MAX(0,NETWORKDAYS($L66,TODAY(),Holidays)-1))</f>
        <v/>
      </c>
      <c r="W66" s="17">
        <f>IF($L66="","",COUNT($L66:$Q66))</f>
        <v/>
      </c>
      <c r="X66" s="18">
        <f>IF($W66="","",INT(INDEX($L66:$Q66,$W66)))</f>
        <v/>
      </c>
      <c r="Y66" s="18">
        <f>IF(OR($W66="",$W66=6),"",WORKDAY($X66,CHOOSE($W66,3,3,2,2,3),Holidays))</f>
        <v/>
      </c>
      <c r="Z66" s="17">
        <f>IF(OR($W66="",$W66=6),"",CHOOSE($W66,"1st Email Follow-up","2nd Email Follow-up","Escalate Local Office","Escalate to CBE","Escalate to Roxanne"))</f>
        <v/>
      </c>
    </row>
    <row r="67" spans="18:26">
      <c r="R67" s="15"/>
      <c r="S67" s="16"/>
      <c r="T67" s="17">
        <f>IF(AND(COUNTA($A67:$K67)=0,$L67=""),"",IF($S67="Paid","PAID",IF($S67="Closed","CLOSED",IF($W67="","",IF($W67=6,"ESCALATED TO ROXANNE",IF(TODAY()&gt;$Y67,"OVERDUE",IF($Y67&lt;=WORKDAY(TODAY(),1,Holidays),"DUE TOMORROW",IF($W67=4,"ESCALATED TO LOCAL OFFICE",IF($W67=5,"ESCALATED TO CBE",IF($X67=TODAY(),"EMAIL SENT","MONITORING"))))))))))</f>
        <v/>
      </c>
      <c r="U67" s="17">
        <f>IF($T67="",IF(AND(COUNTA($A67:$K67)&gt;0,$L67=""),"Awaiting Collection Email time stamp.",""),IF(OR($T67="PAID",$T67="CLOSED"),IF($T67="PAID","Account paid. Action completed.","Account closed. No further action required."),CHOOSE($W67,"Collection Email","1st Email Follow-up","2nd Email Follow-up","Escalation to Local Office","Escalation to CBE","Escalation to Roxanne")&amp;" sent "&amp;TEXT($X67,"dd-mmm")&amp;". "&amp;IF($W67=6,"Final escalation completed.",IF($T67="OVERDUE","Next: "&amp;$Z67&amp;" was due "&amp;TEXT($Y67,"dd-mmm")&amp;" - "&amp;(NETWORKDAYS($Y67,TODAY(),Holidays)-1)&amp;" business day(s) late. Send now.",IF($T67="DUE TOMORROW","Next: "&amp;$Z67&amp;IF($Y67&lt;=TODAY()," is due TODAY ("," is due next business day (")&amp;TEXT($Y67,"dd-mmm")&amp;").","Next: "&amp;$Z67&amp;" due "&amp;TEXT($Y67,"dd-mmm")&amp;" ("&amp;(NETWORKDAYS(TODAY(),$Y67,Holidays)-1)&amp;" business day(s) left).")))))</f>
        <v/>
      </c>
      <c r="V67" s="17">
        <f>IF($W67="","",CHOOSE($W67,"Collection Email","1st Follow-up","2nd Follow-up","Local Office","CBE","Roxanne")&amp;IF($W67=6," - Final"," - Day "&amp;MAX(0,NETWORKDAYS($X67,TODAY(),Holidays)-1)&amp;" of "&amp;CHOOSE($W67,3,3,2,2,3))&amp;" | Total Day "&amp;MAX(0,NETWORKDAYS($L67,TODAY(),Holidays)-1))</f>
        <v/>
      </c>
      <c r="W67" s="17">
        <f>IF($L67="","",COUNT($L67:$Q67))</f>
        <v/>
      </c>
      <c r="X67" s="18">
        <f>IF($W67="","",INT(INDEX($L67:$Q67,$W67)))</f>
        <v/>
      </c>
      <c r="Y67" s="18">
        <f>IF(OR($W67="",$W67=6),"",WORKDAY($X67,CHOOSE($W67,3,3,2,2,3),Holidays))</f>
        <v/>
      </c>
      <c r="Z67" s="17">
        <f>IF(OR($W67="",$W67=6),"",CHOOSE($W67,"1st Email Follow-up","2nd Email Follow-up","Escalate Local Office","Escalate to CBE","Escalate to Roxanne"))</f>
        <v/>
      </c>
    </row>
    <row r="68" spans="18:26">
      <c r="R68" s="15"/>
      <c r="S68" s="16"/>
      <c r="T68" s="17">
        <f>IF(AND(COUNTA($A68:$K68)=0,$L68=""),"",IF($S68="Paid","PAID",IF($S68="Closed","CLOSED",IF($W68="","",IF($W68=6,"ESCALATED TO ROXANNE",IF(TODAY()&gt;$Y68,"OVERDUE",IF($Y68&lt;=WORKDAY(TODAY(),1,Holidays),"DUE TOMORROW",IF($W68=4,"ESCALATED TO LOCAL OFFICE",IF($W68=5,"ESCALATED TO CBE",IF($X68=TODAY(),"EMAIL SENT","MONITORING"))))))))))</f>
        <v/>
      </c>
      <c r="U68" s="17">
        <f>IF($T68="",IF(AND(COUNTA($A68:$K68)&gt;0,$L68=""),"Awaiting Collection Email time stamp.",""),IF(OR($T68="PAID",$T68="CLOSED"),IF($T68="PAID","Account paid. Action completed.","Account closed. No further action required."),CHOOSE($W68,"Collection Email","1st Email Follow-up","2nd Email Follow-up","Escalation to Local Office","Escalation to CBE","Escalation to Roxanne")&amp;" sent "&amp;TEXT($X68,"dd-mmm")&amp;". "&amp;IF($W68=6,"Final escalation completed.",IF($T68="OVERDUE","Next: "&amp;$Z68&amp;" was due "&amp;TEXT($Y68,"dd-mmm")&amp;" - "&amp;(NETWORKDAYS($Y68,TODAY(),Holidays)-1)&amp;" business day(s) late. Send now.",IF($T68="DUE TOMORROW","Next: "&amp;$Z68&amp;IF($Y68&lt;=TODAY()," is due TODAY ("," is due next business day (")&amp;TEXT($Y68,"dd-mmm")&amp;").","Next: "&amp;$Z68&amp;" due "&amp;TEXT($Y68,"dd-mmm")&amp;" ("&amp;(NETWORKDAYS(TODAY(),$Y68,Holidays)-1)&amp;" business day(s) left).")))))</f>
        <v/>
      </c>
      <c r="V68" s="17">
        <f>IF($W68="","",CHOOSE($W68,"Collection Email","1st Follow-up","2nd Follow-up","Local Office","CBE","Roxanne")&amp;IF($W68=6," - Final"," - Day "&amp;MAX(0,NETWORKDAYS($X68,TODAY(),Holidays)-1)&amp;" of "&amp;CHOOSE($W68,3,3,2,2,3))&amp;" | Total Day "&amp;MAX(0,NETWORKDAYS($L68,TODAY(),Holidays)-1))</f>
        <v/>
      </c>
      <c r="W68" s="17">
        <f>IF($L68="","",COUNT($L68:$Q68))</f>
        <v/>
      </c>
      <c r="X68" s="18">
        <f>IF($W68="","",INT(INDEX($L68:$Q68,$W68)))</f>
        <v/>
      </c>
      <c r="Y68" s="18">
        <f>IF(OR($W68="",$W68=6),"",WORKDAY($X68,CHOOSE($W68,3,3,2,2,3),Holidays))</f>
        <v/>
      </c>
      <c r="Z68" s="17">
        <f>IF(OR($W68="",$W68=6),"",CHOOSE($W68,"1st Email Follow-up","2nd Email Follow-up","Escalate Local Office","Escalate to CBE","Escalate to Roxanne"))</f>
        <v/>
      </c>
    </row>
    <row r="69" spans="18:26">
      <c r="R69" s="15"/>
      <c r="S69" s="16"/>
      <c r="T69" s="17">
        <f>IF(AND(COUNTA($A69:$K69)=0,$L69=""),"",IF($S69="Paid","PAID",IF($S69="Closed","CLOSED",IF($W69="","",IF($W69=6,"ESCALATED TO ROXANNE",IF(TODAY()&gt;$Y69,"OVERDUE",IF($Y69&lt;=WORKDAY(TODAY(),1,Holidays),"DUE TOMORROW",IF($W69=4,"ESCALATED TO LOCAL OFFICE",IF($W69=5,"ESCALATED TO CBE",IF($X69=TODAY(),"EMAIL SENT","MONITORING"))))))))))</f>
        <v/>
      </c>
      <c r="U69" s="17">
        <f>IF($T69="",IF(AND(COUNTA($A69:$K69)&gt;0,$L69=""),"Awaiting Collection Email time stamp.",""),IF(OR($T69="PAID",$T69="CLOSED"),IF($T69="PAID","Account paid. Action completed.","Account closed. No further action required."),CHOOSE($W69,"Collection Email","1st Email Follow-up","2nd Email Follow-up","Escalation to Local Office","Escalation to CBE","Escalation to Roxanne")&amp;" sent "&amp;TEXT($X69,"dd-mmm")&amp;". "&amp;IF($W69=6,"Final escalation completed.",IF($T69="OVERDUE","Next: "&amp;$Z69&amp;" was due "&amp;TEXT($Y69,"dd-mmm")&amp;" - "&amp;(NETWORKDAYS($Y69,TODAY(),Holidays)-1)&amp;" business day(s) late. Send now.",IF($T69="DUE TOMORROW","Next: "&amp;$Z69&amp;IF($Y69&lt;=TODAY()," is due TODAY ("," is due next business day (")&amp;TEXT($Y69,"dd-mmm")&amp;").","Next: "&amp;$Z69&amp;" due "&amp;TEXT($Y69,"dd-mmm")&amp;" ("&amp;(NETWORKDAYS(TODAY(),$Y69,Holidays)-1)&amp;" business day(s) left).")))))</f>
        <v/>
      </c>
      <c r="V69" s="17">
        <f>IF($W69="","",CHOOSE($W69,"Collection Email","1st Follow-up","2nd Follow-up","Local Office","CBE","Roxanne")&amp;IF($W69=6," - Final"," - Day "&amp;MAX(0,NETWORKDAYS($X69,TODAY(),Holidays)-1)&amp;" of "&amp;CHOOSE($W69,3,3,2,2,3))&amp;" | Total Day "&amp;MAX(0,NETWORKDAYS($L69,TODAY(),Holidays)-1))</f>
        <v/>
      </c>
      <c r="W69" s="17">
        <f>IF($L69="","",COUNT($L69:$Q69))</f>
        <v/>
      </c>
      <c r="X69" s="18">
        <f>IF($W69="","",INT(INDEX($L69:$Q69,$W69)))</f>
        <v/>
      </c>
      <c r="Y69" s="18">
        <f>IF(OR($W69="",$W69=6),"",WORKDAY($X69,CHOOSE($W69,3,3,2,2,3),Holidays))</f>
        <v/>
      </c>
      <c r="Z69" s="17">
        <f>IF(OR($W69="",$W69=6),"",CHOOSE($W69,"1st Email Follow-up","2nd Email Follow-up","Escalate Local Office","Escalate to CBE","Escalate to Roxanne"))</f>
        <v/>
      </c>
    </row>
    <row r="70" spans="18:26">
      <c r="R70" s="15"/>
      <c r="S70" s="16"/>
      <c r="T70" s="17">
        <f>IF(AND(COUNTA($A70:$K70)=0,$L70=""),"",IF($S70="Paid","PAID",IF($S70="Closed","CLOSED",IF($W70="","",IF($W70=6,"ESCALATED TO ROXANNE",IF(TODAY()&gt;$Y70,"OVERDUE",IF($Y70&lt;=WORKDAY(TODAY(),1,Holidays),"DUE TOMORROW",IF($W70=4,"ESCALATED TO LOCAL OFFICE",IF($W70=5,"ESCALATED TO CBE",IF($X70=TODAY(),"EMAIL SENT","MONITORING"))))))))))</f>
        <v/>
      </c>
      <c r="U70" s="17">
        <f>IF($T70="",IF(AND(COUNTA($A70:$K70)&gt;0,$L70=""),"Awaiting Collection Email time stamp.",""),IF(OR($T70="PAID",$T70="CLOSED"),IF($T70="PAID","Account paid. Action completed.","Account closed. No further action required."),CHOOSE($W70,"Collection Email","1st Email Follow-up","2nd Email Follow-up","Escalation to Local Office","Escalation to CBE","Escalation to Roxanne")&amp;" sent "&amp;TEXT($X70,"dd-mmm")&amp;". "&amp;IF($W70=6,"Final escalation completed.",IF($T70="OVERDUE","Next: "&amp;$Z70&amp;" was due "&amp;TEXT($Y70,"dd-mmm")&amp;" - "&amp;(NETWORKDAYS($Y70,TODAY(),Holidays)-1)&amp;" business day(s) late. Send now.",IF($T70="DUE TOMORROW","Next: "&amp;$Z70&amp;IF($Y70&lt;=TODAY()," is due TODAY ("," is due next business day (")&amp;TEXT($Y70,"dd-mmm")&amp;").","Next: "&amp;$Z70&amp;" due "&amp;TEXT($Y70,"dd-mmm")&amp;" ("&amp;(NETWORKDAYS(TODAY(),$Y70,Holidays)-1)&amp;" business day(s) left).")))))</f>
        <v/>
      </c>
      <c r="V70" s="17">
        <f>IF($W70="","",CHOOSE($W70,"Collection Email","1st Follow-up","2nd Follow-up","Local Office","CBE","Roxanne")&amp;IF($W70=6," - Final"," - Day "&amp;MAX(0,NETWORKDAYS($X70,TODAY(),Holidays)-1)&amp;" of "&amp;CHOOSE($W70,3,3,2,2,3))&amp;" | Total Day "&amp;MAX(0,NETWORKDAYS($L70,TODAY(),Holidays)-1))</f>
        <v/>
      </c>
      <c r="W70" s="17">
        <f>IF($L70="","",COUNT($L70:$Q70))</f>
        <v/>
      </c>
      <c r="X70" s="18">
        <f>IF($W70="","",INT(INDEX($L70:$Q70,$W70)))</f>
        <v/>
      </c>
      <c r="Y70" s="18">
        <f>IF(OR($W70="",$W70=6),"",WORKDAY($X70,CHOOSE($W70,3,3,2,2,3),Holidays))</f>
        <v/>
      </c>
      <c r="Z70" s="17">
        <f>IF(OR($W70="",$W70=6),"",CHOOSE($W70,"1st Email Follow-up","2nd Email Follow-up","Escalate Local Office","Escalate to CBE","Escalate to Roxanne"))</f>
        <v/>
      </c>
    </row>
    <row r="71" spans="18:26">
      <c r="R71" s="15"/>
      <c r="S71" s="16"/>
      <c r="T71" s="17">
        <f>IF(AND(COUNTA($A71:$K71)=0,$L71=""),"",IF($S71="Paid","PAID",IF($S71="Closed","CLOSED",IF($W71="","",IF($W71=6,"ESCALATED TO ROXANNE",IF(TODAY()&gt;$Y71,"OVERDUE",IF($Y71&lt;=WORKDAY(TODAY(),1,Holidays),"DUE TOMORROW",IF($W71=4,"ESCALATED TO LOCAL OFFICE",IF($W71=5,"ESCALATED TO CBE",IF($X71=TODAY(),"EMAIL SENT","MONITORING"))))))))))</f>
        <v/>
      </c>
      <c r="U71" s="17">
        <f>IF($T71="",IF(AND(COUNTA($A71:$K71)&gt;0,$L71=""),"Awaiting Collection Email time stamp.",""),IF(OR($T71="PAID",$T71="CLOSED"),IF($T71="PAID","Account paid. Action completed.","Account closed. No further action required."),CHOOSE($W71,"Collection Email","1st Email Follow-up","2nd Email Follow-up","Escalation to Local Office","Escalation to CBE","Escalation to Roxanne")&amp;" sent "&amp;TEXT($X71,"dd-mmm")&amp;". "&amp;IF($W71=6,"Final escalation completed.",IF($T71="OVERDUE","Next: "&amp;$Z71&amp;" was due "&amp;TEXT($Y71,"dd-mmm")&amp;" - "&amp;(NETWORKDAYS($Y71,TODAY(),Holidays)-1)&amp;" business day(s) late. Send now.",IF($T71="DUE TOMORROW","Next: "&amp;$Z71&amp;IF($Y71&lt;=TODAY()," is due TODAY ("," is due next business day (")&amp;TEXT($Y71,"dd-mmm")&amp;").","Next: "&amp;$Z71&amp;" due "&amp;TEXT($Y71,"dd-mmm")&amp;" ("&amp;(NETWORKDAYS(TODAY(),$Y71,Holidays)-1)&amp;" business day(s) left).")))))</f>
        <v/>
      </c>
      <c r="V71" s="17">
        <f>IF($W71="","",CHOOSE($W71,"Collection Email","1st Follow-up","2nd Follow-up","Local Office","CBE","Roxanne")&amp;IF($W71=6," - Final"," - Day "&amp;MAX(0,NETWORKDAYS($X71,TODAY(),Holidays)-1)&amp;" of "&amp;CHOOSE($W71,3,3,2,2,3))&amp;" | Total Day "&amp;MAX(0,NETWORKDAYS($L71,TODAY(),Holidays)-1))</f>
        <v/>
      </c>
      <c r="W71" s="17">
        <f>IF($L71="","",COUNT($L71:$Q71))</f>
        <v/>
      </c>
      <c r="X71" s="18">
        <f>IF($W71="","",INT(INDEX($L71:$Q71,$W71)))</f>
        <v/>
      </c>
      <c r="Y71" s="18">
        <f>IF(OR($W71="",$W71=6),"",WORKDAY($X71,CHOOSE($W71,3,3,2,2,3),Holidays))</f>
        <v/>
      </c>
      <c r="Z71" s="17">
        <f>IF(OR($W71="",$W71=6),"",CHOOSE($W71,"1st Email Follow-up","2nd Email Follow-up","Escalate Local Office","Escalate to CBE","Escalate to Roxanne"))</f>
        <v/>
      </c>
    </row>
    <row r="72" spans="18:26">
      <c r="R72" s="15"/>
      <c r="S72" s="16"/>
      <c r="T72" s="17">
        <f>IF(AND(COUNTA($A72:$K72)=0,$L72=""),"",IF($S72="Paid","PAID",IF($S72="Closed","CLOSED",IF($W72="","",IF($W72=6,"ESCALATED TO ROXANNE",IF(TODAY()&gt;$Y72,"OVERDUE",IF($Y72&lt;=WORKDAY(TODAY(),1,Holidays),"DUE TOMORROW",IF($W72=4,"ESCALATED TO LOCAL OFFICE",IF($W72=5,"ESCALATED TO CBE",IF($X72=TODAY(),"EMAIL SENT","MONITORING"))))))))))</f>
        <v/>
      </c>
      <c r="U72" s="17">
        <f>IF($T72="",IF(AND(COUNTA($A72:$K72)&gt;0,$L72=""),"Awaiting Collection Email time stamp.",""),IF(OR($T72="PAID",$T72="CLOSED"),IF($T72="PAID","Account paid. Action completed.","Account closed. No further action required."),CHOOSE($W72,"Collection Email","1st Email Follow-up","2nd Email Follow-up","Escalation to Local Office","Escalation to CBE","Escalation to Roxanne")&amp;" sent "&amp;TEXT($X72,"dd-mmm")&amp;". "&amp;IF($W72=6,"Final escalation completed.",IF($T72="OVERDUE","Next: "&amp;$Z72&amp;" was due "&amp;TEXT($Y72,"dd-mmm")&amp;" - "&amp;(NETWORKDAYS($Y72,TODAY(),Holidays)-1)&amp;" business day(s) late. Send now.",IF($T72="DUE TOMORROW","Next: "&amp;$Z72&amp;IF($Y72&lt;=TODAY()," is due TODAY ("," is due next business day (")&amp;TEXT($Y72,"dd-mmm")&amp;").","Next: "&amp;$Z72&amp;" due "&amp;TEXT($Y72,"dd-mmm")&amp;" ("&amp;(NETWORKDAYS(TODAY(),$Y72,Holidays)-1)&amp;" business day(s) left).")))))</f>
        <v/>
      </c>
      <c r="V72" s="17">
        <f>IF($W72="","",CHOOSE($W72,"Collection Email","1st Follow-up","2nd Follow-up","Local Office","CBE","Roxanne")&amp;IF($W72=6," - Final"," - Day "&amp;MAX(0,NETWORKDAYS($X72,TODAY(),Holidays)-1)&amp;" of "&amp;CHOOSE($W72,3,3,2,2,3))&amp;" | Total Day "&amp;MAX(0,NETWORKDAYS($L72,TODAY(),Holidays)-1))</f>
        <v/>
      </c>
      <c r="W72" s="17">
        <f>IF($L72="","",COUNT($L72:$Q72))</f>
        <v/>
      </c>
      <c r="X72" s="18">
        <f>IF($W72="","",INT(INDEX($L72:$Q72,$W72)))</f>
        <v/>
      </c>
      <c r="Y72" s="18">
        <f>IF(OR($W72="",$W72=6),"",WORKDAY($X72,CHOOSE($W72,3,3,2,2,3),Holidays))</f>
        <v/>
      </c>
      <c r="Z72" s="17">
        <f>IF(OR($W72="",$W72=6),"",CHOOSE($W72,"1st Email Follow-up","2nd Email Follow-up","Escalate Local Office","Escalate to CBE","Escalate to Roxanne"))</f>
        <v/>
      </c>
    </row>
    <row r="73" spans="18:26">
      <c r="R73" s="15"/>
      <c r="S73" s="16"/>
      <c r="T73" s="17">
        <f>IF(AND(COUNTA($A73:$K73)=0,$L73=""),"",IF($S73="Paid","PAID",IF($S73="Closed","CLOSED",IF($W73="","",IF($W73=6,"ESCALATED TO ROXANNE",IF(TODAY()&gt;$Y73,"OVERDUE",IF($Y73&lt;=WORKDAY(TODAY(),1,Holidays),"DUE TOMORROW",IF($W73=4,"ESCALATED TO LOCAL OFFICE",IF($W73=5,"ESCALATED TO CBE",IF($X73=TODAY(),"EMAIL SENT","MONITORING"))))))))))</f>
        <v/>
      </c>
      <c r="U73" s="17">
        <f>IF($T73="",IF(AND(COUNTA($A73:$K73)&gt;0,$L73=""),"Awaiting Collection Email time stamp.",""),IF(OR($T73="PAID",$T73="CLOSED"),IF($T73="PAID","Account paid. Action completed.","Account closed. No further action required."),CHOOSE($W73,"Collection Email","1st Email Follow-up","2nd Email Follow-up","Escalation to Local Office","Escalation to CBE","Escalation to Roxanne")&amp;" sent "&amp;TEXT($X73,"dd-mmm")&amp;". "&amp;IF($W73=6,"Final escalation completed.",IF($T73="OVERDUE","Next: "&amp;$Z73&amp;" was due "&amp;TEXT($Y73,"dd-mmm")&amp;" - "&amp;(NETWORKDAYS($Y73,TODAY(),Holidays)-1)&amp;" business day(s) late. Send now.",IF($T73="DUE TOMORROW","Next: "&amp;$Z73&amp;IF($Y73&lt;=TODAY()," is due TODAY ("," is due next business day (")&amp;TEXT($Y73,"dd-mmm")&amp;").","Next: "&amp;$Z73&amp;" due "&amp;TEXT($Y73,"dd-mmm")&amp;" ("&amp;(NETWORKDAYS(TODAY(),$Y73,Holidays)-1)&amp;" business day(s) left).")))))</f>
        <v/>
      </c>
      <c r="V73" s="17">
        <f>IF($W73="","",CHOOSE($W73,"Collection Email","1st Follow-up","2nd Follow-up","Local Office","CBE","Roxanne")&amp;IF($W73=6," - Final"," - Day "&amp;MAX(0,NETWORKDAYS($X73,TODAY(),Holidays)-1)&amp;" of "&amp;CHOOSE($W73,3,3,2,2,3))&amp;" | Total Day "&amp;MAX(0,NETWORKDAYS($L73,TODAY(),Holidays)-1))</f>
        <v/>
      </c>
      <c r="W73" s="17">
        <f>IF($L73="","",COUNT($L73:$Q73))</f>
        <v/>
      </c>
      <c r="X73" s="18">
        <f>IF($W73="","",INT(INDEX($L73:$Q73,$W73)))</f>
        <v/>
      </c>
      <c r="Y73" s="18">
        <f>IF(OR($W73="",$W73=6),"",WORKDAY($X73,CHOOSE($W73,3,3,2,2,3),Holidays))</f>
        <v/>
      </c>
      <c r="Z73" s="17">
        <f>IF(OR($W73="",$W73=6),"",CHOOSE($W73,"1st Email Follow-up","2nd Email Follow-up","Escalate Local Office","Escalate to CBE","Escalate to Roxanne"))</f>
        <v/>
      </c>
    </row>
    <row r="74" spans="18:26">
      <c r="R74" s="15"/>
      <c r="S74" s="16"/>
      <c r="T74" s="17">
        <f>IF(AND(COUNTA($A74:$K74)=0,$L74=""),"",IF($S74="Paid","PAID",IF($S74="Closed","CLOSED",IF($W74="","",IF($W74=6,"ESCALATED TO ROXANNE",IF(TODAY()&gt;$Y74,"OVERDUE",IF($Y74&lt;=WORKDAY(TODAY(),1,Holidays),"DUE TOMORROW",IF($W74=4,"ESCALATED TO LOCAL OFFICE",IF($W74=5,"ESCALATED TO CBE",IF($X74=TODAY(),"EMAIL SENT","MONITORING"))))))))))</f>
        <v/>
      </c>
      <c r="U74" s="17">
        <f>IF($T74="",IF(AND(COUNTA($A74:$K74)&gt;0,$L74=""),"Awaiting Collection Email time stamp.",""),IF(OR($T74="PAID",$T74="CLOSED"),IF($T74="PAID","Account paid. Action completed.","Account closed. No further action required."),CHOOSE($W74,"Collection Email","1st Email Follow-up","2nd Email Follow-up","Escalation to Local Office","Escalation to CBE","Escalation to Roxanne")&amp;" sent "&amp;TEXT($X74,"dd-mmm")&amp;". "&amp;IF($W74=6,"Final escalation completed.",IF($T74="OVERDUE","Next: "&amp;$Z74&amp;" was due "&amp;TEXT($Y74,"dd-mmm")&amp;" - "&amp;(NETWORKDAYS($Y74,TODAY(),Holidays)-1)&amp;" business day(s) late. Send now.",IF($T74="DUE TOMORROW","Next: "&amp;$Z74&amp;IF($Y74&lt;=TODAY()," is due TODAY ("," is due next business day (")&amp;TEXT($Y74,"dd-mmm")&amp;").","Next: "&amp;$Z74&amp;" due "&amp;TEXT($Y74,"dd-mmm")&amp;" ("&amp;(NETWORKDAYS(TODAY(),$Y74,Holidays)-1)&amp;" business day(s) left).")))))</f>
        <v/>
      </c>
      <c r="V74" s="17">
        <f>IF($W74="","",CHOOSE($W74,"Collection Email","1st Follow-up","2nd Follow-up","Local Office","CBE","Roxanne")&amp;IF($W74=6," - Final"," - Day "&amp;MAX(0,NETWORKDAYS($X74,TODAY(),Holidays)-1)&amp;" of "&amp;CHOOSE($W74,3,3,2,2,3))&amp;" | Total Day "&amp;MAX(0,NETWORKDAYS($L74,TODAY(),Holidays)-1))</f>
        <v/>
      </c>
      <c r="W74" s="17">
        <f>IF($L74="","",COUNT($L74:$Q74))</f>
        <v/>
      </c>
      <c r="X74" s="18">
        <f>IF($W74="","",INT(INDEX($L74:$Q74,$W74)))</f>
        <v/>
      </c>
      <c r="Y74" s="18">
        <f>IF(OR($W74="",$W74=6),"",WORKDAY($X74,CHOOSE($W74,3,3,2,2,3),Holidays))</f>
        <v/>
      </c>
      <c r="Z74" s="17">
        <f>IF(OR($W74="",$W74=6),"",CHOOSE($W74,"1st Email Follow-up","2nd Email Follow-up","Escalate Local Office","Escalate to CBE","Escalate to Roxanne"))</f>
        <v/>
      </c>
    </row>
    <row r="75" spans="18:26">
      <c r="R75" s="15"/>
      <c r="S75" s="16"/>
      <c r="T75" s="17">
        <f>IF(AND(COUNTA($A75:$K75)=0,$L75=""),"",IF($S75="Paid","PAID",IF($S75="Closed","CLOSED",IF($W75="","",IF($W75=6,"ESCALATED TO ROXANNE",IF(TODAY()&gt;$Y75,"OVERDUE",IF($Y75&lt;=WORKDAY(TODAY(),1,Holidays),"DUE TOMORROW",IF($W75=4,"ESCALATED TO LOCAL OFFICE",IF($W75=5,"ESCALATED TO CBE",IF($X75=TODAY(),"EMAIL SENT","MONITORING"))))))))))</f>
        <v/>
      </c>
      <c r="U75" s="17">
        <f>IF($T75="",IF(AND(COUNTA($A75:$K75)&gt;0,$L75=""),"Awaiting Collection Email time stamp.",""),IF(OR($T75="PAID",$T75="CLOSED"),IF($T75="PAID","Account paid. Action completed.","Account closed. No further action required."),CHOOSE($W75,"Collection Email","1st Email Follow-up","2nd Email Follow-up","Escalation to Local Office","Escalation to CBE","Escalation to Roxanne")&amp;" sent "&amp;TEXT($X75,"dd-mmm")&amp;". "&amp;IF($W75=6,"Final escalation completed.",IF($T75="OVERDUE","Next: "&amp;$Z75&amp;" was due "&amp;TEXT($Y75,"dd-mmm")&amp;" - "&amp;(NETWORKDAYS($Y75,TODAY(),Holidays)-1)&amp;" business day(s) late. Send now.",IF($T75="DUE TOMORROW","Next: "&amp;$Z75&amp;IF($Y75&lt;=TODAY()," is due TODAY ("," is due next business day (")&amp;TEXT($Y75,"dd-mmm")&amp;").","Next: "&amp;$Z75&amp;" due "&amp;TEXT($Y75,"dd-mmm")&amp;" ("&amp;(NETWORKDAYS(TODAY(),$Y75,Holidays)-1)&amp;" business day(s) left).")))))</f>
        <v/>
      </c>
      <c r="V75" s="17">
        <f>IF($W75="","",CHOOSE($W75,"Collection Email","1st Follow-up","2nd Follow-up","Local Office","CBE","Roxanne")&amp;IF($W75=6," - Final"," - Day "&amp;MAX(0,NETWORKDAYS($X75,TODAY(),Holidays)-1)&amp;" of "&amp;CHOOSE($W75,3,3,2,2,3))&amp;" | Total Day "&amp;MAX(0,NETWORKDAYS($L75,TODAY(),Holidays)-1))</f>
        <v/>
      </c>
      <c r="W75" s="17">
        <f>IF($L75="","",COUNT($L75:$Q75))</f>
        <v/>
      </c>
      <c r="X75" s="18">
        <f>IF($W75="","",INT(INDEX($L75:$Q75,$W75)))</f>
        <v/>
      </c>
      <c r="Y75" s="18">
        <f>IF(OR($W75="",$W75=6),"",WORKDAY($X75,CHOOSE($W75,3,3,2,2,3),Holidays))</f>
        <v/>
      </c>
      <c r="Z75" s="17">
        <f>IF(OR($W75="",$W75=6),"",CHOOSE($W75,"1st Email Follow-up","2nd Email Follow-up","Escalate Local Office","Escalate to CBE","Escalate to Roxanne"))</f>
        <v/>
      </c>
    </row>
    <row r="76" spans="18:26">
      <c r="R76" s="15"/>
      <c r="S76" s="16"/>
      <c r="T76" s="17">
        <f>IF(AND(COUNTA($A76:$K76)=0,$L76=""),"",IF($S76="Paid","PAID",IF($S76="Closed","CLOSED",IF($W76="","",IF($W76=6,"ESCALATED TO ROXANNE",IF(TODAY()&gt;$Y76,"OVERDUE",IF($Y76&lt;=WORKDAY(TODAY(),1,Holidays),"DUE TOMORROW",IF($W76=4,"ESCALATED TO LOCAL OFFICE",IF($W76=5,"ESCALATED TO CBE",IF($X76=TODAY(),"EMAIL SENT","MONITORING"))))))))))</f>
        <v/>
      </c>
      <c r="U76" s="17">
        <f>IF($T76="",IF(AND(COUNTA($A76:$K76)&gt;0,$L76=""),"Awaiting Collection Email time stamp.",""),IF(OR($T76="PAID",$T76="CLOSED"),IF($T76="PAID","Account paid. Action completed.","Account closed. No further action required."),CHOOSE($W76,"Collection Email","1st Email Follow-up","2nd Email Follow-up","Escalation to Local Office","Escalation to CBE","Escalation to Roxanne")&amp;" sent "&amp;TEXT($X76,"dd-mmm")&amp;". "&amp;IF($W76=6,"Final escalation completed.",IF($T76="OVERDUE","Next: "&amp;$Z76&amp;" was due "&amp;TEXT($Y76,"dd-mmm")&amp;" - "&amp;(NETWORKDAYS($Y76,TODAY(),Holidays)-1)&amp;" business day(s) late. Send now.",IF($T76="DUE TOMORROW","Next: "&amp;$Z76&amp;IF($Y76&lt;=TODAY()," is due TODAY ("," is due next business day (")&amp;TEXT($Y76,"dd-mmm")&amp;").","Next: "&amp;$Z76&amp;" due "&amp;TEXT($Y76,"dd-mmm")&amp;" ("&amp;(NETWORKDAYS(TODAY(),$Y76,Holidays)-1)&amp;" business day(s) left).")))))</f>
        <v/>
      </c>
      <c r="V76" s="17">
        <f>IF($W76="","",CHOOSE($W76,"Collection Email","1st Follow-up","2nd Follow-up","Local Office","CBE","Roxanne")&amp;IF($W76=6," - Final"," - Day "&amp;MAX(0,NETWORKDAYS($X76,TODAY(),Holidays)-1)&amp;" of "&amp;CHOOSE($W76,3,3,2,2,3))&amp;" | Total Day "&amp;MAX(0,NETWORKDAYS($L76,TODAY(),Holidays)-1))</f>
        <v/>
      </c>
      <c r="W76" s="17">
        <f>IF($L76="","",COUNT($L76:$Q76))</f>
        <v/>
      </c>
      <c r="X76" s="18">
        <f>IF($W76="","",INT(INDEX($L76:$Q76,$W76)))</f>
        <v/>
      </c>
      <c r="Y76" s="18">
        <f>IF(OR($W76="",$W76=6),"",WORKDAY($X76,CHOOSE($W76,3,3,2,2,3),Holidays))</f>
        <v/>
      </c>
      <c r="Z76" s="17">
        <f>IF(OR($W76="",$W76=6),"",CHOOSE($W76,"1st Email Follow-up","2nd Email Follow-up","Escalate Local Office","Escalate to CBE","Escalate to Roxanne"))</f>
        <v/>
      </c>
    </row>
    <row r="77" spans="18:26">
      <c r="R77" s="15"/>
      <c r="S77" s="16"/>
      <c r="T77" s="17">
        <f>IF(AND(COUNTA($A77:$K77)=0,$L77=""),"",IF($S77="Paid","PAID",IF($S77="Closed","CLOSED",IF($W77="","",IF($W77=6,"ESCALATED TO ROXANNE",IF(TODAY()&gt;$Y77,"OVERDUE",IF($Y77&lt;=WORKDAY(TODAY(),1,Holidays),"DUE TOMORROW",IF($W77=4,"ESCALATED TO LOCAL OFFICE",IF($W77=5,"ESCALATED TO CBE",IF($X77=TODAY(),"EMAIL SENT","MONITORING"))))))))))</f>
        <v/>
      </c>
      <c r="U77" s="17">
        <f>IF($T77="",IF(AND(COUNTA($A77:$K77)&gt;0,$L77=""),"Awaiting Collection Email time stamp.",""),IF(OR($T77="PAID",$T77="CLOSED"),IF($T77="PAID","Account paid. Action completed.","Account closed. No further action required."),CHOOSE($W77,"Collection Email","1st Email Follow-up","2nd Email Follow-up","Escalation to Local Office","Escalation to CBE","Escalation to Roxanne")&amp;" sent "&amp;TEXT($X77,"dd-mmm")&amp;". "&amp;IF($W77=6,"Final escalation completed.",IF($T77="OVERDUE","Next: "&amp;$Z77&amp;" was due "&amp;TEXT($Y77,"dd-mmm")&amp;" - "&amp;(NETWORKDAYS($Y77,TODAY(),Holidays)-1)&amp;" business day(s) late. Send now.",IF($T77="DUE TOMORROW","Next: "&amp;$Z77&amp;IF($Y77&lt;=TODAY()," is due TODAY ("," is due next business day (")&amp;TEXT($Y77,"dd-mmm")&amp;").","Next: "&amp;$Z77&amp;" due "&amp;TEXT($Y77,"dd-mmm")&amp;" ("&amp;(NETWORKDAYS(TODAY(),$Y77,Holidays)-1)&amp;" business day(s) left).")))))</f>
        <v/>
      </c>
      <c r="V77" s="17">
        <f>IF($W77="","",CHOOSE($W77,"Collection Email","1st Follow-up","2nd Follow-up","Local Office","CBE","Roxanne")&amp;IF($W77=6," - Final"," - Day "&amp;MAX(0,NETWORKDAYS($X77,TODAY(),Holidays)-1)&amp;" of "&amp;CHOOSE($W77,3,3,2,2,3))&amp;" | Total Day "&amp;MAX(0,NETWORKDAYS($L77,TODAY(),Holidays)-1))</f>
        <v/>
      </c>
      <c r="W77" s="17">
        <f>IF($L77="","",COUNT($L77:$Q77))</f>
        <v/>
      </c>
      <c r="X77" s="18">
        <f>IF($W77="","",INT(INDEX($L77:$Q77,$W77)))</f>
        <v/>
      </c>
      <c r="Y77" s="18">
        <f>IF(OR($W77="",$W77=6),"",WORKDAY($X77,CHOOSE($W77,3,3,2,2,3),Holidays))</f>
        <v/>
      </c>
      <c r="Z77" s="17">
        <f>IF(OR($W77="",$W77=6),"",CHOOSE($W77,"1st Email Follow-up","2nd Email Follow-up","Escalate Local Office","Escalate to CBE","Escalate to Roxanne"))</f>
        <v/>
      </c>
    </row>
    <row r="78" spans="18:26">
      <c r="R78" s="15"/>
      <c r="S78" s="16"/>
      <c r="T78" s="17">
        <f>IF(AND(COUNTA($A78:$K78)=0,$L78=""),"",IF($S78="Paid","PAID",IF($S78="Closed","CLOSED",IF($W78="","",IF($W78=6,"ESCALATED TO ROXANNE",IF(TODAY()&gt;$Y78,"OVERDUE",IF($Y78&lt;=WORKDAY(TODAY(),1,Holidays),"DUE TOMORROW",IF($W78=4,"ESCALATED TO LOCAL OFFICE",IF($W78=5,"ESCALATED TO CBE",IF($X78=TODAY(),"EMAIL SENT","MONITORING"))))))))))</f>
        <v/>
      </c>
      <c r="U78" s="17">
        <f>IF($T78="",IF(AND(COUNTA($A78:$K78)&gt;0,$L78=""),"Awaiting Collection Email time stamp.",""),IF(OR($T78="PAID",$T78="CLOSED"),IF($T78="PAID","Account paid. Action completed.","Account closed. No further action required."),CHOOSE($W78,"Collection Email","1st Email Follow-up","2nd Email Follow-up","Escalation to Local Office","Escalation to CBE","Escalation to Roxanne")&amp;" sent "&amp;TEXT($X78,"dd-mmm")&amp;". "&amp;IF($W78=6,"Final escalation completed.",IF($T78="OVERDUE","Next: "&amp;$Z78&amp;" was due "&amp;TEXT($Y78,"dd-mmm")&amp;" - "&amp;(NETWORKDAYS($Y78,TODAY(),Holidays)-1)&amp;" business day(s) late. Send now.",IF($T78="DUE TOMORROW","Next: "&amp;$Z78&amp;IF($Y78&lt;=TODAY()," is due TODAY ("," is due next business day (")&amp;TEXT($Y78,"dd-mmm")&amp;").","Next: "&amp;$Z78&amp;" due "&amp;TEXT($Y78,"dd-mmm")&amp;" ("&amp;(NETWORKDAYS(TODAY(),$Y78,Holidays)-1)&amp;" business day(s) left).")))))</f>
        <v/>
      </c>
      <c r="V78" s="17">
        <f>IF($W78="","",CHOOSE($W78,"Collection Email","1st Follow-up","2nd Follow-up","Local Office","CBE","Roxanne")&amp;IF($W78=6," - Final"," - Day "&amp;MAX(0,NETWORKDAYS($X78,TODAY(),Holidays)-1)&amp;" of "&amp;CHOOSE($W78,3,3,2,2,3))&amp;" | Total Day "&amp;MAX(0,NETWORKDAYS($L78,TODAY(),Holidays)-1))</f>
        <v/>
      </c>
      <c r="W78" s="17">
        <f>IF($L78="","",COUNT($L78:$Q78))</f>
        <v/>
      </c>
      <c r="X78" s="18">
        <f>IF($W78="","",INT(INDEX($L78:$Q78,$W78)))</f>
        <v/>
      </c>
      <c r="Y78" s="18">
        <f>IF(OR($W78="",$W78=6),"",WORKDAY($X78,CHOOSE($W78,3,3,2,2,3),Holidays))</f>
        <v/>
      </c>
      <c r="Z78" s="17">
        <f>IF(OR($W78="",$W78=6),"",CHOOSE($W78,"1st Email Follow-up","2nd Email Follow-up","Escalate Local Office","Escalate to CBE","Escalate to Roxanne"))</f>
        <v/>
      </c>
    </row>
    <row r="79" spans="18:26">
      <c r="R79" s="15"/>
      <c r="S79" s="16"/>
      <c r="T79" s="17">
        <f>IF(AND(COUNTA($A79:$K79)=0,$L79=""),"",IF($S79="Paid","PAID",IF($S79="Closed","CLOSED",IF($W79="","",IF($W79=6,"ESCALATED TO ROXANNE",IF(TODAY()&gt;$Y79,"OVERDUE",IF($Y79&lt;=WORKDAY(TODAY(),1,Holidays),"DUE TOMORROW",IF($W79=4,"ESCALATED TO LOCAL OFFICE",IF($W79=5,"ESCALATED TO CBE",IF($X79=TODAY(),"EMAIL SENT","MONITORING"))))))))))</f>
        <v/>
      </c>
      <c r="U79" s="17">
        <f>IF($T79="",IF(AND(COUNTA($A79:$K79)&gt;0,$L79=""),"Awaiting Collection Email time stamp.",""),IF(OR($T79="PAID",$T79="CLOSED"),IF($T79="PAID","Account paid. Action completed.","Account closed. No further action required."),CHOOSE($W79,"Collection Email","1st Email Follow-up","2nd Email Follow-up","Escalation to Local Office","Escalation to CBE","Escalation to Roxanne")&amp;" sent "&amp;TEXT($X79,"dd-mmm")&amp;". "&amp;IF($W79=6,"Final escalation completed.",IF($T79="OVERDUE","Next: "&amp;$Z79&amp;" was due "&amp;TEXT($Y79,"dd-mmm")&amp;" - "&amp;(NETWORKDAYS($Y79,TODAY(),Holidays)-1)&amp;" business day(s) late. Send now.",IF($T79="DUE TOMORROW","Next: "&amp;$Z79&amp;IF($Y79&lt;=TODAY()," is due TODAY ("," is due next business day (")&amp;TEXT($Y79,"dd-mmm")&amp;").","Next: "&amp;$Z79&amp;" due "&amp;TEXT($Y79,"dd-mmm")&amp;" ("&amp;(NETWORKDAYS(TODAY(),$Y79,Holidays)-1)&amp;" business day(s) left).")))))</f>
        <v/>
      </c>
      <c r="V79" s="17">
        <f>IF($W79="","",CHOOSE($W79,"Collection Email","1st Follow-up","2nd Follow-up","Local Office","CBE","Roxanne")&amp;IF($W79=6," - Final"," - Day "&amp;MAX(0,NETWORKDAYS($X79,TODAY(),Holidays)-1)&amp;" of "&amp;CHOOSE($W79,3,3,2,2,3))&amp;" | Total Day "&amp;MAX(0,NETWORKDAYS($L79,TODAY(),Holidays)-1))</f>
        <v/>
      </c>
      <c r="W79" s="17">
        <f>IF($L79="","",COUNT($L79:$Q79))</f>
        <v/>
      </c>
      <c r="X79" s="18">
        <f>IF($W79="","",INT(INDEX($L79:$Q79,$W79)))</f>
        <v/>
      </c>
      <c r="Y79" s="18">
        <f>IF(OR($W79="",$W79=6),"",WORKDAY($X79,CHOOSE($W79,3,3,2,2,3),Holidays))</f>
        <v/>
      </c>
      <c r="Z79" s="17">
        <f>IF(OR($W79="",$W79=6),"",CHOOSE($W79,"1st Email Follow-up","2nd Email Follow-up","Escalate Local Office","Escalate to CBE","Escalate to Roxanne"))</f>
        <v/>
      </c>
    </row>
    <row r="80" spans="18:26">
      <c r="R80" s="15"/>
      <c r="S80" s="16"/>
      <c r="T80" s="17">
        <f>IF(AND(COUNTA($A80:$K80)=0,$L80=""),"",IF($S80="Paid","PAID",IF($S80="Closed","CLOSED",IF($W80="","",IF($W80=6,"ESCALATED TO ROXANNE",IF(TODAY()&gt;$Y80,"OVERDUE",IF($Y80&lt;=WORKDAY(TODAY(),1,Holidays),"DUE TOMORROW",IF($W80=4,"ESCALATED TO LOCAL OFFICE",IF($W80=5,"ESCALATED TO CBE",IF($X80=TODAY(),"EMAIL SENT","MONITORING"))))))))))</f>
        <v/>
      </c>
      <c r="U80" s="17">
        <f>IF($T80="",IF(AND(COUNTA($A80:$K80)&gt;0,$L80=""),"Awaiting Collection Email time stamp.",""),IF(OR($T80="PAID",$T80="CLOSED"),IF($T80="PAID","Account paid. Action completed.","Account closed. No further action required."),CHOOSE($W80,"Collection Email","1st Email Follow-up","2nd Email Follow-up","Escalation to Local Office","Escalation to CBE","Escalation to Roxanne")&amp;" sent "&amp;TEXT($X80,"dd-mmm")&amp;". "&amp;IF($W80=6,"Final escalation completed.",IF($T80="OVERDUE","Next: "&amp;$Z80&amp;" was due "&amp;TEXT($Y80,"dd-mmm")&amp;" - "&amp;(NETWORKDAYS($Y80,TODAY(),Holidays)-1)&amp;" business day(s) late. Send now.",IF($T80="DUE TOMORROW","Next: "&amp;$Z80&amp;IF($Y80&lt;=TODAY()," is due TODAY ("," is due next business day (")&amp;TEXT($Y80,"dd-mmm")&amp;").","Next: "&amp;$Z80&amp;" due "&amp;TEXT($Y80,"dd-mmm")&amp;" ("&amp;(NETWORKDAYS(TODAY(),$Y80,Holidays)-1)&amp;" business day(s) left).")))))</f>
        <v/>
      </c>
      <c r="V80" s="17">
        <f>IF($W80="","",CHOOSE($W80,"Collection Email","1st Follow-up","2nd Follow-up","Local Office","CBE","Roxanne")&amp;IF($W80=6," - Final"," - Day "&amp;MAX(0,NETWORKDAYS($X80,TODAY(),Holidays)-1)&amp;" of "&amp;CHOOSE($W80,3,3,2,2,3))&amp;" | Total Day "&amp;MAX(0,NETWORKDAYS($L80,TODAY(),Holidays)-1))</f>
        <v/>
      </c>
      <c r="W80" s="17">
        <f>IF($L80="","",COUNT($L80:$Q80))</f>
        <v/>
      </c>
      <c r="X80" s="18">
        <f>IF($W80="","",INT(INDEX($L80:$Q80,$W80)))</f>
        <v/>
      </c>
      <c r="Y80" s="18">
        <f>IF(OR($W80="",$W80=6),"",WORKDAY($X80,CHOOSE($W80,3,3,2,2,3),Holidays))</f>
        <v/>
      </c>
      <c r="Z80" s="17">
        <f>IF(OR($W80="",$W80=6),"",CHOOSE($W80,"1st Email Follow-up","2nd Email Follow-up","Escalate Local Office","Escalate to CBE","Escalate to Roxanne"))</f>
        <v/>
      </c>
    </row>
    <row r="81" spans="18:26">
      <c r="R81" s="15"/>
      <c r="S81" s="16"/>
      <c r="T81" s="17">
        <f>IF(AND(COUNTA($A81:$K81)=0,$L81=""),"",IF($S81="Paid","PAID",IF($S81="Closed","CLOSED",IF($W81="","",IF($W81=6,"ESCALATED TO ROXANNE",IF(TODAY()&gt;$Y81,"OVERDUE",IF($Y81&lt;=WORKDAY(TODAY(),1,Holidays),"DUE TOMORROW",IF($W81=4,"ESCALATED TO LOCAL OFFICE",IF($W81=5,"ESCALATED TO CBE",IF($X81=TODAY(),"EMAIL SENT","MONITORING"))))))))))</f>
        <v/>
      </c>
      <c r="U81" s="17">
        <f>IF($T81="",IF(AND(COUNTA($A81:$K81)&gt;0,$L81=""),"Awaiting Collection Email time stamp.",""),IF(OR($T81="PAID",$T81="CLOSED"),IF($T81="PAID","Account paid. Action completed.","Account closed. No further action required."),CHOOSE($W81,"Collection Email","1st Email Follow-up","2nd Email Follow-up","Escalation to Local Office","Escalation to CBE","Escalation to Roxanne")&amp;" sent "&amp;TEXT($X81,"dd-mmm")&amp;". "&amp;IF($W81=6,"Final escalation completed.",IF($T81="OVERDUE","Next: "&amp;$Z81&amp;" was due "&amp;TEXT($Y81,"dd-mmm")&amp;" - "&amp;(NETWORKDAYS($Y81,TODAY(),Holidays)-1)&amp;" business day(s) late. Send now.",IF($T81="DUE TOMORROW","Next: "&amp;$Z81&amp;IF($Y81&lt;=TODAY()," is due TODAY ("," is due next business day (")&amp;TEXT($Y81,"dd-mmm")&amp;").","Next: "&amp;$Z81&amp;" due "&amp;TEXT($Y81,"dd-mmm")&amp;" ("&amp;(NETWORKDAYS(TODAY(),$Y81,Holidays)-1)&amp;" business day(s) left).")))))</f>
        <v/>
      </c>
      <c r="V81" s="17">
        <f>IF($W81="","",CHOOSE($W81,"Collection Email","1st Follow-up","2nd Follow-up","Local Office","CBE","Roxanne")&amp;IF($W81=6," - Final"," - Day "&amp;MAX(0,NETWORKDAYS($X81,TODAY(),Holidays)-1)&amp;" of "&amp;CHOOSE($W81,3,3,2,2,3))&amp;" | Total Day "&amp;MAX(0,NETWORKDAYS($L81,TODAY(),Holidays)-1))</f>
        <v/>
      </c>
      <c r="W81" s="17">
        <f>IF($L81="","",COUNT($L81:$Q81))</f>
        <v/>
      </c>
      <c r="X81" s="18">
        <f>IF($W81="","",INT(INDEX($L81:$Q81,$W81)))</f>
        <v/>
      </c>
      <c r="Y81" s="18">
        <f>IF(OR($W81="",$W81=6),"",WORKDAY($X81,CHOOSE($W81,3,3,2,2,3),Holidays))</f>
        <v/>
      </c>
      <c r="Z81" s="17">
        <f>IF(OR($W81="",$W81=6),"",CHOOSE($W81,"1st Email Follow-up","2nd Email Follow-up","Escalate Local Office","Escalate to CBE","Escalate to Roxanne"))</f>
        <v/>
      </c>
    </row>
    <row r="82" spans="18:26">
      <c r="R82" s="15"/>
      <c r="S82" s="16"/>
      <c r="T82" s="17">
        <f>IF(AND(COUNTA($A82:$K82)=0,$L82=""),"",IF($S82="Paid","PAID",IF($S82="Closed","CLOSED",IF($W82="","",IF($W82=6,"ESCALATED TO ROXANNE",IF(TODAY()&gt;$Y82,"OVERDUE",IF($Y82&lt;=WORKDAY(TODAY(),1,Holidays),"DUE TOMORROW",IF($W82=4,"ESCALATED TO LOCAL OFFICE",IF($W82=5,"ESCALATED TO CBE",IF($X82=TODAY(),"EMAIL SENT","MONITORING"))))))))))</f>
        <v/>
      </c>
      <c r="U82" s="17">
        <f>IF($T82="",IF(AND(COUNTA($A82:$K82)&gt;0,$L82=""),"Awaiting Collection Email time stamp.",""),IF(OR($T82="PAID",$T82="CLOSED"),IF($T82="PAID","Account paid. Action completed.","Account closed. No further action required."),CHOOSE($W82,"Collection Email","1st Email Follow-up","2nd Email Follow-up","Escalation to Local Office","Escalation to CBE","Escalation to Roxanne")&amp;" sent "&amp;TEXT($X82,"dd-mmm")&amp;". "&amp;IF($W82=6,"Final escalation completed.",IF($T82="OVERDUE","Next: "&amp;$Z82&amp;" was due "&amp;TEXT($Y82,"dd-mmm")&amp;" - "&amp;(NETWORKDAYS($Y82,TODAY(),Holidays)-1)&amp;" business day(s) late. Send now.",IF($T82="DUE TOMORROW","Next: "&amp;$Z82&amp;IF($Y82&lt;=TODAY()," is due TODAY ("," is due next business day (")&amp;TEXT($Y82,"dd-mmm")&amp;").","Next: "&amp;$Z82&amp;" due "&amp;TEXT($Y82,"dd-mmm")&amp;" ("&amp;(NETWORKDAYS(TODAY(),$Y82,Holidays)-1)&amp;" business day(s) left).")))))</f>
        <v/>
      </c>
      <c r="V82" s="17">
        <f>IF($W82="","",CHOOSE($W82,"Collection Email","1st Follow-up","2nd Follow-up","Local Office","CBE","Roxanne")&amp;IF($W82=6," - Final"," - Day "&amp;MAX(0,NETWORKDAYS($X82,TODAY(),Holidays)-1)&amp;" of "&amp;CHOOSE($W82,3,3,2,2,3))&amp;" | Total Day "&amp;MAX(0,NETWORKDAYS($L82,TODAY(),Holidays)-1))</f>
        <v/>
      </c>
      <c r="W82" s="17">
        <f>IF($L82="","",COUNT($L82:$Q82))</f>
        <v/>
      </c>
      <c r="X82" s="18">
        <f>IF($W82="","",INT(INDEX($L82:$Q82,$W82)))</f>
        <v/>
      </c>
      <c r="Y82" s="18">
        <f>IF(OR($W82="",$W82=6),"",WORKDAY($X82,CHOOSE($W82,3,3,2,2,3),Holidays))</f>
        <v/>
      </c>
      <c r="Z82" s="17">
        <f>IF(OR($W82="",$W82=6),"",CHOOSE($W82,"1st Email Follow-up","2nd Email Follow-up","Escalate Local Office","Escalate to CBE","Escalate to Roxanne"))</f>
        <v/>
      </c>
    </row>
    <row r="83" spans="18:26">
      <c r="R83" s="15"/>
      <c r="S83" s="16"/>
      <c r="T83" s="17">
        <f>IF(AND(COUNTA($A83:$K83)=0,$L83=""),"",IF($S83="Paid","PAID",IF($S83="Closed","CLOSED",IF($W83="","",IF($W83=6,"ESCALATED TO ROXANNE",IF(TODAY()&gt;$Y83,"OVERDUE",IF($Y83&lt;=WORKDAY(TODAY(),1,Holidays),"DUE TOMORROW",IF($W83=4,"ESCALATED TO LOCAL OFFICE",IF($W83=5,"ESCALATED TO CBE",IF($X83=TODAY(),"EMAIL SENT","MONITORING"))))))))))</f>
        <v/>
      </c>
      <c r="U83" s="17">
        <f>IF($T83="",IF(AND(COUNTA($A83:$K83)&gt;0,$L83=""),"Awaiting Collection Email time stamp.",""),IF(OR($T83="PAID",$T83="CLOSED"),IF($T83="PAID","Account paid. Action completed.","Account closed. No further action required."),CHOOSE($W83,"Collection Email","1st Email Follow-up","2nd Email Follow-up","Escalation to Local Office","Escalation to CBE","Escalation to Roxanne")&amp;" sent "&amp;TEXT($X83,"dd-mmm")&amp;". "&amp;IF($W83=6,"Final escalation completed.",IF($T83="OVERDUE","Next: "&amp;$Z83&amp;" was due "&amp;TEXT($Y83,"dd-mmm")&amp;" - "&amp;(NETWORKDAYS($Y83,TODAY(),Holidays)-1)&amp;" business day(s) late. Send now.",IF($T83="DUE TOMORROW","Next: "&amp;$Z83&amp;IF($Y83&lt;=TODAY()," is due TODAY ("," is due next business day (")&amp;TEXT($Y83,"dd-mmm")&amp;").","Next: "&amp;$Z83&amp;" due "&amp;TEXT($Y83,"dd-mmm")&amp;" ("&amp;(NETWORKDAYS(TODAY(),$Y83,Holidays)-1)&amp;" business day(s) left).")))))</f>
        <v/>
      </c>
      <c r="V83" s="17">
        <f>IF($W83="","",CHOOSE($W83,"Collection Email","1st Follow-up","2nd Follow-up","Local Office","CBE","Roxanne")&amp;IF($W83=6," - Final"," - Day "&amp;MAX(0,NETWORKDAYS($X83,TODAY(),Holidays)-1)&amp;" of "&amp;CHOOSE($W83,3,3,2,2,3))&amp;" | Total Day "&amp;MAX(0,NETWORKDAYS($L83,TODAY(),Holidays)-1))</f>
        <v/>
      </c>
      <c r="W83" s="17">
        <f>IF($L83="","",COUNT($L83:$Q83))</f>
        <v/>
      </c>
      <c r="X83" s="18">
        <f>IF($W83="","",INT(INDEX($L83:$Q83,$W83)))</f>
        <v/>
      </c>
      <c r="Y83" s="18">
        <f>IF(OR($W83="",$W83=6),"",WORKDAY($X83,CHOOSE($W83,3,3,2,2,3),Holidays))</f>
        <v/>
      </c>
      <c r="Z83" s="17">
        <f>IF(OR($W83="",$W83=6),"",CHOOSE($W83,"1st Email Follow-up","2nd Email Follow-up","Escalate Local Office","Escalate to CBE","Escalate to Roxanne"))</f>
        <v/>
      </c>
    </row>
    <row r="84" spans="18:26">
      <c r="R84" s="15"/>
      <c r="S84" s="16"/>
      <c r="T84" s="17">
        <f>IF(AND(COUNTA($A84:$K84)=0,$L84=""),"",IF($S84="Paid","PAID",IF($S84="Closed","CLOSED",IF($W84="","",IF($W84=6,"ESCALATED TO ROXANNE",IF(TODAY()&gt;$Y84,"OVERDUE",IF($Y84&lt;=WORKDAY(TODAY(),1,Holidays),"DUE TOMORROW",IF($W84=4,"ESCALATED TO LOCAL OFFICE",IF($W84=5,"ESCALATED TO CBE",IF($X84=TODAY(),"EMAIL SENT","MONITORING"))))))))))</f>
        <v/>
      </c>
      <c r="U84" s="17">
        <f>IF($T84="",IF(AND(COUNTA($A84:$K84)&gt;0,$L84=""),"Awaiting Collection Email time stamp.",""),IF(OR($T84="PAID",$T84="CLOSED"),IF($T84="PAID","Account paid. Action completed.","Account closed. No further action required."),CHOOSE($W84,"Collection Email","1st Email Follow-up","2nd Email Follow-up","Escalation to Local Office","Escalation to CBE","Escalation to Roxanne")&amp;" sent "&amp;TEXT($X84,"dd-mmm")&amp;". "&amp;IF($W84=6,"Final escalation completed.",IF($T84="OVERDUE","Next: "&amp;$Z84&amp;" was due "&amp;TEXT($Y84,"dd-mmm")&amp;" - "&amp;(NETWORKDAYS($Y84,TODAY(),Holidays)-1)&amp;" business day(s) late. Send now.",IF($T84="DUE TOMORROW","Next: "&amp;$Z84&amp;IF($Y84&lt;=TODAY()," is due TODAY ("," is due next business day (")&amp;TEXT($Y84,"dd-mmm")&amp;").","Next: "&amp;$Z84&amp;" due "&amp;TEXT($Y84,"dd-mmm")&amp;" ("&amp;(NETWORKDAYS(TODAY(),$Y84,Holidays)-1)&amp;" business day(s) left).")))))</f>
        <v/>
      </c>
      <c r="V84" s="17">
        <f>IF($W84="","",CHOOSE($W84,"Collection Email","1st Follow-up","2nd Follow-up","Local Office","CBE","Roxanne")&amp;IF($W84=6," - Final"," - Day "&amp;MAX(0,NETWORKDAYS($X84,TODAY(),Holidays)-1)&amp;" of "&amp;CHOOSE($W84,3,3,2,2,3))&amp;" | Total Day "&amp;MAX(0,NETWORKDAYS($L84,TODAY(),Holidays)-1))</f>
        <v/>
      </c>
      <c r="W84" s="17">
        <f>IF($L84="","",COUNT($L84:$Q84))</f>
        <v/>
      </c>
      <c r="X84" s="18">
        <f>IF($W84="","",INT(INDEX($L84:$Q84,$W84)))</f>
        <v/>
      </c>
      <c r="Y84" s="18">
        <f>IF(OR($W84="",$W84=6),"",WORKDAY($X84,CHOOSE($W84,3,3,2,2,3),Holidays))</f>
        <v/>
      </c>
      <c r="Z84" s="17">
        <f>IF(OR($W84="",$W84=6),"",CHOOSE($W84,"1st Email Follow-up","2nd Email Follow-up","Escalate Local Office","Escalate to CBE","Escalate to Roxanne"))</f>
        <v/>
      </c>
    </row>
    <row r="85" spans="18:26">
      <c r="R85" s="15"/>
      <c r="S85" s="16"/>
      <c r="T85" s="17">
        <f>IF(AND(COUNTA($A85:$K85)=0,$L85=""),"",IF($S85="Paid","PAID",IF($S85="Closed","CLOSED",IF($W85="","",IF($W85=6,"ESCALATED TO ROXANNE",IF(TODAY()&gt;$Y85,"OVERDUE",IF($Y85&lt;=WORKDAY(TODAY(),1,Holidays),"DUE TOMORROW",IF($W85=4,"ESCALATED TO LOCAL OFFICE",IF($W85=5,"ESCALATED TO CBE",IF($X85=TODAY(),"EMAIL SENT","MONITORING"))))))))))</f>
        <v/>
      </c>
      <c r="U85" s="17">
        <f>IF($T85="",IF(AND(COUNTA($A85:$K85)&gt;0,$L85=""),"Awaiting Collection Email time stamp.",""),IF(OR($T85="PAID",$T85="CLOSED"),IF($T85="PAID","Account paid. Action completed.","Account closed. No further action required."),CHOOSE($W85,"Collection Email","1st Email Follow-up","2nd Email Follow-up","Escalation to Local Office","Escalation to CBE","Escalation to Roxanne")&amp;" sent "&amp;TEXT($X85,"dd-mmm")&amp;". "&amp;IF($W85=6,"Final escalation completed.",IF($T85="OVERDUE","Next: "&amp;$Z85&amp;" was due "&amp;TEXT($Y85,"dd-mmm")&amp;" - "&amp;(NETWORKDAYS($Y85,TODAY(),Holidays)-1)&amp;" business day(s) late. Send now.",IF($T85="DUE TOMORROW","Next: "&amp;$Z85&amp;IF($Y85&lt;=TODAY()," is due TODAY ("," is due next business day (")&amp;TEXT($Y85,"dd-mmm")&amp;").","Next: "&amp;$Z85&amp;" due "&amp;TEXT($Y85,"dd-mmm")&amp;" ("&amp;(NETWORKDAYS(TODAY(),$Y85,Holidays)-1)&amp;" business day(s) left).")))))</f>
        <v/>
      </c>
      <c r="V85" s="17">
        <f>IF($W85="","",CHOOSE($W85,"Collection Email","1st Follow-up","2nd Follow-up","Local Office","CBE","Roxanne")&amp;IF($W85=6," - Final"," - Day "&amp;MAX(0,NETWORKDAYS($X85,TODAY(),Holidays)-1)&amp;" of "&amp;CHOOSE($W85,3,3,2,2,3))&amp;" | Total Day "&amp;MAX(0,NETWORKDAYS($L85,TODAY(),Holidays)-1))</f>
        <v/>
      </c>
      <c r="W85" s="17">
        <f>IF($L85="","",COUNT($L85:$Q85))</f>
        <v/>
      </c>
      <c r="X85" s="18">
        <f>IF($W85="","",INT(INDEX($L85:$Q85,$W85)))</f>
        <v/>
      </c>
      <c r="Y85" s="18">
        <f>IF(OR($W85="",$W85=6),"",WORKDAY($X85,CHOOSE($W85,3,3,2,2,3),Holidays))</f>
        <v/>
      </c>
      <c r="Z85" s="17">
        <f>IF(OR($W85="",$W85=6),"",CHOOSE($W85,"1st Email Follow-up","2nd Email Follow-up","Escalate Local Office","Escalate to CBE","Escalate to Roxanne"))</f>
        <v/>
      </c>
    </row>
    <row r="86" spans="18:26">
      <c r="R86" s="15"/>
      <c r="S86" s="16"/>
      <c r="T86" s="17">
        <f>IF(AND(COUNTA($A86:$K86)=0,$L86=""),"",IF($S86="Paid","PAID",IF($S86="Closed","CLOSED",IF($W86="","",IF($W86=6,"ESCALATED TO ROXANNE",IF(TODAY()&gt;$Y86,"OVERDUE",IF($Y86&lt;=WORKDAY(TODAY(),1,Holidays),"DUE TOMORROW",IF($W86=4,"ESCALATED TO LOCAL OFFICE",IF($W86=5,"ESCALATED TO CBE",IF($X86=TODAY(),"EMAIL SENT","MONITORING"))))))))))</f>
        <v/>
      </c>
      <c r="U86" s="17">
        <f>IF($T86="",IF(AND(COUNTA($A86:$K86)&gt;0,$L86=""),"Awaiting Collection Email time stamp.",""),IF(OR($T86="PAID",$T86="CLOSED"),IF($T86="PAID","Account paid. Action completed.","Account closed. No further action required."),CHOOSE($W86,"Collection Email","1st Email Follow-up","2nd Email Follow-up","Escalation to Local Office","Escalation to CBE","Escalation to Roxanne")&amp;" sent "&amp;TEXT($X86,"dd-mmm")&amp;". "&amp;IF($W86=6,"Final escalation completed.",IF($T86="OVERDUE","Next: "&amp;$Z86&amp;" was due "&amp;TEXT($Y86,"dd-mmm")&amp;" - "&amp;(NETWORKDAYS($Y86,TODAY(),Holidays)-1)&amp;" business day(s) late. Send now.",IF($T86="DUE TOMORROW","Next: "&amp;$Z86&amp;IF($Y86&lt;=TODAY()," is due TODAY ("," is due next business day (")&amp;TEXT($Y86,"dd-mmm")&amp;").","Next: "&amp;$Z86&amp;" due "&amp;TEXT($Y86,"dd-mmm")&amp;" ("&amp;(NETWORKDAYS(TODAY(),$Y86,Holidays)-1)&amp;" business day(s) left).")))))</f>
        <v/>
      </c>
      <c r="V86" s="17">
        <f>IF($W86="","",CHOOSE($W86,"Collection Email","1st Follow-up","2nd Follow-up","Local Office","CBE","Roxanne")&amp;IF($W86=6," - Final"," - Day "&amp;MAX(0,NETWORKDAYS($X86,TODAY(),Holidays)-1)&amp;" of "&amp;CHOOSE($W86,3,3,2,2,3))&amp;" | Total Day "&amp;MAX(0,NETWORKDAYS($L86,TODAY(),Holidays)-1))</f>
        <v/>
      </c>
      <c r="W86" s="17">
        <f>IF($L86="","",COUNT($L86:$Q86))</f>
        <v/>
      </c>
      <c r="X86" s="18">
        <f>IF($W86="","",INT(INDEX($L86:$Q86,$W86)))</f>
        <v/>
      </c>
      <c r="Y86" s="18">
        <f>IF(OR($W86="",$W86=6),"",WORKDAY($X86,CHOOSE($W86,3,3,2,2,3),Holidays))</f>
        <v/>
      </c>
      <c r="Z86" s="17">
        <f>IF(OR($W86="",$W86=6),"",CHOOSE($W86,"1st Email Follow-up","2nd Email Follow-up","Escalate Local Office","Escalate to CBE","Escalate to Roxanne"))</f>
        <v/>
      </c>
    </row>
    <row r="87" spans="18:26">
      <c r="R87" s="15"/>
      <c r="S87" s="16"/>
      <c r="T87" s="17">
        <f>IF(AND(COUNTA($A87:$K87)=0,$L87=""),"",IF($S87="Paid","PAID",IF($S87="Closed","CLOSED",IF($W87="","",IF($W87=6,"ESCALATED TO ROXANNE",IF(TODAY()&gt;$Y87,"OVERDUE",IF($Y87&lt;=WORKDAY(TODAY(),1,Holidays),"DUE TOMORROW",IF($W87=4,"ESCALATED TO LOCAL OFFICE",IF($W87=5,"ESCALATED TO CBE",IF($X87=TODAY(),"EMAIL SENT","MONITORING"))))))))))</f>
        <v/>
      </c>
      <c r="U87" s="17">
        <f>IF($T87="",IF(AND(COUNTA($A87:$K87)&gt;0,$L87=""),"Awaiting Collection Email time stamp.",""),IF(OR($T87="PAID",$T87="CLOSED"),IF($T87="PAID","Account paid. Action completed.","Account closed. No further action required."),CHOOSE($W87,"Collection Email","1st Email Follow-up","2nd Email Follow-up","Escalation to Local Office","Escalation to CBE","Escalation to Roxanne")&amp;" sent "&amp;TEXT($X87,"dd-mmm")&amp;". "&amp;IF($W87=6,"Final escalation completed.",IF($T87="OVERDUE","Next: "&amp;$Z87&amp;" was due "&amp;TEXT($Y87,"dd-mmm")&amp;" - "&amp;(NETWORKDAYS($Y87,TODAY(),Holidays)-1)&amp;" business day(s) late. Send now.",IF($T87="DUE TOMORROW","Next: "&amp;$Z87&amp;IF($Y87&lt;=TODAY()," is due TODAY ("," is due next business day (")&amp;TEXT($Y87,"dd-mmm")&amp;").","Next: "&amp;$Z87&amp;" due "&amp;TEXT($Y87,"dd-mmm")&amp;" ("&amp;(NETWORKDAYS(TODAY(),$Y87,Holidays)-1)&amp;" business day(s) left).")))))</f>
        <v/>
      </c>
      <c r="V87" s="17">
        <f>IF($W87="","",CHOOSE($W87,"Collection Email","1st Follow-up","2nd Follow-up","Local Office","CBE","Roxanne")&amp;IF($W87=6," - Final"," - Day "&amp;MAX(0,NETWORKDAYS($X87,TODAY(),Holidays)-1)&amp;" of "&amp;CHOOSE($W87,3,3,2,2,3))&amp;" | Total Day "&amp;MAX(0,NETWORKDAYS($L87,TODAY(),Holidays)-1))</f>
        <v/>
      </c>
      <c r="W87" s="17">
        <f>IF($L87="","",COUNT($L87:$Q87))</f>
        <v/>
      </c>
      <c r="X87" s="18">
        <f>IF($W87="","",INT(INDEX($L87:$Q87,$W87)))</f>
        <v/>
      </c>
      <c r="Y87" s="18">
        <f>IF(OR($W87="",$W87=6),"",WORKDAY($X87,CHOOSE($W87,3,3,2,2,3),Holidays))</f>
        <v/>
      </c>
      <c r="Z87" s="17">
        <f>IF(OR($W87="",$W87=6),"",CHOOSE($W87,"1st Email Follow-up","2nd Email Follow-up","Escalate Local Office","Escalate to CBE","Escalate to Roxanne"))</f>
        <v/>
      </c>
    </row>
    <row r="88" spans="18:26">
      <c r="R88" s="15"/>
      <c r="S88" s="16"/>
      <c r="T88" s="17">
        <f>IF(AND(COUNTA($A88:$K88)=0,$L88=""),"",IF($S88="Paid","PAID",IF($S88="Closed","CLOSED",IF($W88="","",IF($W88=6,"ESCALATED TO ROXANNE",IF(TODAY()&gt;$Y88,"OVERDUE",IF($Y88&lt;=WORKDAY(TODAY(),1,Holidays),"DUE TOMORROW",IF($W88=4,"ESCALATED TO LOCAL OFFICE",IF($W88=5,"ESCALATED TO CBE",IF($X88=TODAY(),"EMAIL SENT","MONITORING"))))))))))</f>
        <v/>
      </c>
      <c r="U88" s="17">
        <f>IF($T88="",IF(AND(COUNTA($A88:$K88)&gt;0,$L88=""),"Awaiting Collection Email time stamp.",""),IF(OR($T88="PAID",$T88="CLOSED"),IF($T88="PAID","Account paid. Action completed.","Account closed. No further action required."),CHOOSE($W88,"Collection Email","1st Email Follow-up","2nd Email Follow-up","Escalation to Local Office","Escalation to CBE","Escalation to Roxanne")&amp;" sent "&amp;TEXT($X88,"dd-mmm")&amp;". "&amp;IF($W88=6,"Final escalation completed.",IF($T88="OVERDUE","Next: "&amp;$Z88&amp;" was due "&amp;TEXT($Y88,"dd-mmm")&amp;" - "&amp;(NETWORKDAYS($Y88,TODAY(),Holidays)-1)&amp;" business day(s) late. Send now.",IF($T88="DUE TOMORROW","Next: "&amp;$Z88&amp;IF($Y88&lt;=TODAY()," is due TODAY ("," is due next business day (")&amp;TEXT($Y88,"dd-mmm")&amp;").","Next: "&amp;$Z88&amp;" due "&amp;TEXT($Y88,"dd-mmm")&amp;" ("&amp;(NETWORKDAYS(TODAY(),$Y88,Holidays)-1)&amp;" business day(s) left).")))))</f>
        <v/>
      </c>
      <c r="V88" s="17">
        <f>IF($W88="","",CHOOSE($W88,"Collection Email","1st Follow-up","2nd Follow-up","Local Office","CBE","Roxanne")&amp;IF($W88=6," - Final"," - Day "&amp;MAX(0,NETWORKDAYS($X88,TODAY(),Holidays)-1)&amp;" of "&amp;CHOOSE($W88,3,3,2,2,3))&amp;" | Total Day "&amp;MAX(0,NETWORKDAYS($L88,TODAY(),Holidays)-1))</f>
        <v/>
      </c>
      <c r="W88" s="17">
        <f>IF($L88="","",COUNT($L88:$Q88))</f>
        <v/>
      </c>
      <c r="X88" s="18">
        <f>IF($W88="","",INT(INDEX($L88:$Q88,$W88)))</f>
        <v/>
      </c>
      <c r="Y88" s="18">
        <f>IF(OR($W88="",$W88=6),"",WORKDAY($X88,CHOOSE($W88,3,3,2,2,3),Holidays))</f>
        <v/>
      </c>
      <c r="Z88" s="17">
        <f>IF(OR($W88="",$W88=6),"",CHOOSE($W88,"1st Email Follow-up","2nd Email Follow-up","Escalate Local Office","Escalate to CBE","Escalate to Roxanne"))</f>
        <v/>
      </c>
    </row>
    <row r="89" spans="18:26">
      <c r="R89" s="15"/>
      <c r="S89" s="16"/>
      <c r="T89" s="17">
        <f>IF(AND(COUNTA($A89:$K89)=0,$L89=""),"",IF($S89="Paid","PAID",IF($S89="Closed","CLOSED",IF($W89="","",IF($W89=6,"ESCALATED TO ROXANNE",IF(TODAY()&gt;$Y89,"OVERDUE",IF($Y89&lt;=WORKDAY(TODAY(),1,Holidays),"DUE TOMORROW",IF($W89=4,"ESCALATED TO LOCAL OFFICE",IF($W89=5,"ESCALATED TO CBE",IF($X89=TODAY(),"EMAIL SENT","MONITORING"))))))))))</f>
        <v/>
      </c>
      <c r="U89" s="17">
        <f>IF($T89="",IF(AND(COUNTA($A89:$K89)&gt;0,$L89=""),"Awaiting Collection Email time stamp.",""),IF(OR($T89="PAID",$T89="CLOSED"),IF($T89="PAID","Account paid. Action completed.","Account closed. No further action required."),CHOOSE($W89,"Collection Email","1st Email Follow-up","2nd Email Follow-up","Escalation to Local Office","Escalation to CBE","Escalation to Roxanne")&amp;" sent "&amp;TEXT($X89,"dd-mmm")&amp;". "&amp;IF($W89=6,"Final escalation completed.",IF($T89="OVERDUE","Next: "&amp;$Z89&amp;" was due "&amp;TEXT($Y89,"dd-mmm")&amp;" - "&amp;(NETWORKDAYS($Y89,TODAY(),Holidays)-1)&amp;" business day(s) late. Send now.",IF($T89="DUE TOMORROW","Next: "&amp;$Z89&amp;IF($Y89&lt;=TODAY()," is due TODAY ("," is due next business day (")&amp;TEXT($Y89,"dd-mmm")&amp;").","Next: "&amp;$Z89&amp;" due "&amp;TEXT($Y89,"dd-mmm")&amp;" ("&amp;(NETWORKDAYS(TODAY(),$Y89,Holidays)-1)&amp;" business day(s) left).")))))</f>
        <v/>
      </c>
      <c r="V89" s="17">
        <f>IF($W89="","",CHOOSE($W89,"Collection Email","1st Follow-up","2nd Follow-up","Local Office","CBE","Roxanne")&amp;IF($W89=6," - Final"," - Day "&amp;MAX(0,NETWORKDAYS($X89,TODAY(),Holidays)-1)&amp;" of "&amp;CHOOSE($W89,3,3,2,2,3))&amp;" | Total Day "&amp;MAX(0,NETWORKDAYS($L89,TODAY(),Holidays)-1))</f>
        <v/>
      </c>
      <c r="W89" s="17">
        <f>IF($L89="","",COUNT($L89:$Q89))</f>
        <v/>
      </c>
      <c r="X89" s="18">
        <f>IF($W89="","",INT(INDEX($L89:$Q89,$W89)))</f>
        <v/>
      </c>
      <c r="Y89" s="18">
        <f>IF(OR($W89="",$W89=6),"",WORKDAY($X89,CHOOSE($W89,3,3,2,2,3),Holidays))</f>
        <v/>
      </c>
      <c r="Z89" s="17">
        <f>IF(OR($W89="",$W89=6),"",CHOOSE($W89,"1st Email Follow-up","2nd Email Follow-up","Escalate Local Office","Escalate to CBE","Escalate to Roxanne"))</f>
        <v/>
      </c>
    </row>
    <row r="90" spans="18:26">
      <c r="R90" s="15"/>
      <c r="S90" s="16"/>
      <c r="T90" s="17">
        <f>IF(AND(COUNTA($A90:$K90)=0,$L90=""),"",IF($S90="Paid","PAID",IF($S90="Closed","CLOSED",IF($W90="","",IF($W90=6,"ESCALATED TO ROXANNE",IF(TODAY()&gt;$Y90,"OVERDUE",IF($Y90&lt;=WORKDAY(TODAY(),1,Holidays),"DUE TOMORROW",IF($W90=4,"ESCALATED TO LOCAL OFFICE",IF($W90=5,"ESCALATED TO CBE",IF($X90=TODAY(),"EMAIL SENT","MONITORING"))))))))))</f>
        <v/>
      </c>
      <c r="U90" s="17">
        <f>IF($T90="",IF(AND(COUNTA($A90:$K90)&gt;0,$L90=""),"Awaiting Collection Email time stamp.",""),IF(OR($T90="PAID",$T90="CLOSED"),IF($T90="PAID","Account paid. Action completed.","Account closed. No further action required."),CHOOSE($W90,"Collection Email","1st Email Follow-up","2nd Email Follow-up","Escalation to Local Office","Escalation to CBE","Escalation to Roxanne")&amp;" sent "&amp;TEXT($X90,"dd-mmm")&amp;". "&amp;IF($W90=6,"Final escalation completed.",IF($T90="OVERDUE","Next: "&amp;$Z90&amp;" was due "&amp;TEXT($Y90,"dd-mmm")&amp;" - "&amp;(NETWORKDAYS($Y90,TODAY(),Holidays)-1)&amp;" business day(s) late. Send now.",IF($T90="DUE TOMORROW","Next: "&amp;$Z90&amp;IF($Y90&lt;=TODAY()," is due TODAY ("," is due next business day (")&amp;TEXT($Y90,"dd-mmm")&amp;").","Next: "&amp;$Z90&amp;" due "&amp;TEXT($Y90,"dd-mmm")&amp;" ("&amp;(NETWORKDAYS(TODAY(),$Y90,Holidays)-1)&amp;" business day(s) left).")))))</f>
        <v/>
      </c>
      <c r="V90" s="17">
        <f>IF($W90="","",CHOOSE($W90,"Collection Email","1st Follow-up","2nd Follow-up","Local Office","CBE","Roxanne")&amp;IF($W90=6," - Final"," - Day "&amp;MAX(0,NETWORKDAYS($X90,TODAY(),Holidays)-1)&amp;" of "&amp;CHOOSE($W90,3,3,2,2,3))&amp;" | Total Day "&amp;MAX(0,NETWORKDAYS($L90,TODAY(),Holidays)-1))</f>
        <v/>
      </c>
      <c r="W90" s="17">
        <f>IF($L90="","",COUNT($L90:$Q90))</f>
        <v/>
      </c>
      <c r="X90" s="18">
        <f>IF($W90="","",INT(INDEX($L90:$Q90,$W90)))</f>
        <v/>
      </c>
      <c r="Y90" s="18">
        <f>IF(OR($W90="",$W90=6),"",WORKDAY($X90,CHOOSE($W90,3,3,2,2,3),Holidays))</f>
        <v/>
      </c>
      <c r="Z90" s="17">
        <f>IF(OR($W90="",$W90=6),"",CHOOSE($W90,"1st Email Follow-up","2nd Email Follow-up","Escalate Local Office","Escalate to CBE","Escalate to Roxanne"))</f>
        <v/>
      </c>
    </row>
    <row r="91" spans="18:26">
      <c r="R91" s="15"/>
      <c r="S91" s="16"/>
      <c r="T91" s="17">
        <f>IF(AND(COUNTA($A91:$K91)=0,$L91=""),"",IF($S91="Paid","PAID",IF($S91="Closed","CLOSED",IF($W91="","",IF($W91=6,"ESCALATED TO ROXANNE",IF(TODAY()&gt;$Y91,"OVERDUE",IF($Y91&lt;=WORKDAY(TODAY(),1,Holidays),"DUE TOMORROW",IF($W91=4,"ESCALATED TO LOCAL OFFICE",IF($W91=5,"ESCALATED TO CBE",IF($X91=TODAY(),"EMAIL SENT","MONITORING"))))))))))</f>
        <v/>
      </c>
      <c r="U91" s="17">
        <f>IF($T91="",IF(AND(COUNTA($A91:$K91)&gt;0,$L91=""),"Awaiting Collection Email time stamp.",""),IF(OR($T91="PAID",$T91="CLOSED"),IF($T91="PAID","Account paid. Action completed.","Account closed. No further action required."),CHOOSE($W91,"Collection Email","1st Email Follow-up","2nd Email Follow-up","Escalation to Local Office","Escalation to CBE","Escalation to Roxanne")&amp;" sent "&amp;TEXT($X91,"dd-mmm")&amp;". "&amp;IF($W91=6,"Final escalation completed.",IF($T91="OVERDUE","Next: "&amp;$Z91&amp;" was due "&amp;TEXT($Y91,"dd-mmm")&amp;" - "&amp;(NETWORKDAYS($Y91,TODAY(),Holidays)-1)&amp;" business day(s) late. Send now.",IF($T91="DUE TOMORROW","Next: "&amp;$Z91&amp;IF($Y91&lt;=TODAY()," is due TODAY ("," is due next business day (")&amp;TEXT($Y91,"dd-mmm")&amp;").","Next: "&amp;$Z91&amp;" due "&amp;TEXT($Y91,"dd-mmm")&amp;" ("&amp;(NETWORKDAYS(TODAY(),$Y91,Holidays)-1)&amp;" business day(s) left).")))))</f>
        <v/>
      </c>
      <c r="V91" s="17">
        <f>IF($W91="","",CHOOSE($W91,"Collection Email","1st Follow-up","2nd Follow-up","Local Office","CBE","Roxanne")&amp;IF($W91=6," - Final"," - Day "&amp;MAX(0,NETWORKDAYS($X91,TODAY(),Holidays)-1)&amp;" of "&amp;CHOOSE($W91,3,3,2,2,3))&amp;" | Total Day "&amp;MAX(0,NETWORKDAYS($L91,TODAY(),Holidays)-1))</f>
        <v/>
      </c>
      <c r="W91" s="17">
        <f>IF($L91="","",COUNT($L91:$Q91))</f>
        <v/>
      </c>
      <c r="X91" s="18">
        <f>IF($W91="","",INT(INDEX($L91:$Q91,$W91)))</f>
        <v/>
      </c>
      <c r="Y91" s="18">
        <f>IF(OR($W91="",$W91=6),"",WORKDAY($X91,CHOOSE($W91,3,3,2,2,3),Holidays))</f>
        <v/>
      </c>
      <c r="Z91" s="17">
        <f>IF(OR($W91="",$W91=6),"",CHOOSE($W91,"1st Email Follow-up","2nd Email Follow-up","Escalate Local Office","Escalate to CBE","Escalate to Roxanne"))</f>
        <v/>
      </c>
    </row>
    <row r="92" spans="18:26">
      <c r="R92" s="15"/>
      <c r="S92" s="16"/>
      <c r="T92" s="17">
        <f>IF(AND(COUNTA($A92:$K92)=0,$L92=""),"",IF($S92="Paid","PAID",IF($S92="Closed","CLOSED",IF($W92="","",IF($W92=6,"ESCALATED TO ROXANNE",IF(TODAY()&gt;$Y92,"OVERDUE",IF($Y92&lt;=WORKDAY(TODAY(),1,Holidays),"DUE TOMORROW",IF($W92=4,"ESCALATED TO LOCAL OFFICE",IF($W92=5,"ESCALATED TO CBE",IF($X92=TODAY(),"EMAIL SENT","MONITORING"))))))))))</f>
        <v/>
      </c>
      <c r="U92" s="17">
        <f>IF($T92="",IF(AND(COUNTA($A92:$K92)&gt;0,$L92=""),"Awaiting Collection Email time stamp.",""),IF(OR($T92="PAID",$T92="CLOSED"),IF($T92="PAID","Account paid. Action completed.","Account closed. No further action required."),CHOOSE($W92,"Collection Email","1st Email Follow-up","2nd Email Follow-up","Escalation to Local Office","Escalation to CBE","Escalation to Roxanne")&amp;" sent "&amp;TEXT($X92,"dd-mmm")&amp;". "&amp;IF($W92=6,"Final escalation completed.",IF($T92="OVERDUE","Next: "&amp;$Z92&amp;" was due "&amp;TEXT($Y92,"dd-mmm")&amp;" - "&amp;(NETWORKDAYS($Y92,TODAY(),Holidays)-1)&amp;" business day(s) late. Send now.",IF($T92="DUE TOMORROW","Next: "&amp;$Z92&amp;IF($Y92&lt;=TODAY()," is due TODAY ("," is due next business day (")&amp;TEXT($Y92,"dd-mmm")&amp;").","Next: "&amp;$Z92&amp;" due "&amp;TEXT($Y92,"dd-mmm")&amp;" ("&amp;(NETWORKDAYS(TODAY(),$Y92,Holidays)-1)&amp;" business day(s) left).")))))</f>
        <v/>
      </c>
      <c r="V92" s="17">
        <f>IF($W92="","",CHOOSE($W92,"Collection Email","1st Follow-up","2nd Follow-up","Local Office","CBE","Roxanne")&amp;IF($W92=6," - Final"," - Day "&amp;MAX(0,NETWORKDAYS($X92,TODAY(),Holidays)-1)&amp;" of "&amp;CHOOSE($W92,3,3,2,2,3))&amp;" | Total Day "&amp;MAX(0,NETWORKDAYS($L92,TODAY(),Holidays)-1))</f>
        <v/>
      </c>
      <c r="W92" s="17">
        <f>IF($L92="","",COUNT($L92:$Q92))</f>
        <v/>
      </c>
      <c r="X92" s="18">
        <f>IF($W92="","",INT(INDEX($L92:$Q92,$W92)))</f>
        <v/>
      </c>
      <c r="Y92" s="18">
        <f>IF(OR($W92="",$W92=6),"",WORKDAY($X92,CHOOSE($W92,3,3,2,2,3),Holidays))</f>
        <v/>
      </c>
      <c r="Z92" s="17">
        <f>IF(OR($W92="",$W92=6),"",CHOOSE($W92,"1st Email Follow-up","2nd Email Follow-up","Escalate Local Office","Escalate to CBE","Escalate to Roxanne"))</f>
        <v/>
      </c>
    </row>
    <row r="93" spans="18:26">
      <c r="R93" s="15"/>
      <c r="S93" s="16"/>
      <c r="T93" s="17">
        <f>IF(AND(COUNTA($A93:$K93)=0,$L93=""),"",IF($S93="Paid","PAID",IF($S93="Closed","CLOSED",IF($W93="","",IF($W93=6,"ESCALATED TO ROXANNE",IF(TODAY()&gt;$Y93,"OVERDUE",IF($Y93&lt;=WORKDAY(TODAY(),1,Holidays),"DUE TOMORROW",IF($W93=4,"ESCALATED TO LOCAL OFFICE",IF($W93=5,"ESCALATED TO CBE",IF($X93=TODAY(),"EMAIL SENT","MONITORING"))))))))))</f>
        <v/>
      </c>
      <c r="U93" s="17">
        <f>IF($T93="",IF(AND(COUNTA($A93:$K93)&gt;0,$L93=""),"Awaiting Collection Email time stamp.",""),IF(OR($T93="PAID",$T93="CLOSED"),IF($T93="PAID","Account paid. Action completed.","Account closed. No further action required."),CHOOSE($W93,"Collection Email","1st Email Follow-up","2nd Email Follow-up","Escalation to Local Office","Escalation to CBE","Escalation to Roxanne")&amp;" sent "&amp;TEXT($X93,"dd-mmm")&amp;". "&amp;IF($W93=6,"Final escalation completed.",IF($T93="OVERDUE","Next: "&amp;$Z93&amp;" was due "&amp;TEXT($Y93,"dd-mmm")&amp;" - "&amp;(NETWORKDAYS($Y93,TODAY(),Holidays)-1)&amp;" business day(s) late. Send now.",IF($T93="DUE TOMORROW","Next: "&amp;$Z93&amp;IF($Y93&lt;=TODAY()," is due TODAY ("," is due next business day (")&amp;TEXT($Y93,"dd-mmm")&amp;").","Next: "&amp;$Z93&amp;" due "&amp;TEXT($Y93,"dd-mmm")&amp;" ("&amp;(NETWORKDAYS(TODAY(),$Y93,Holidays)-1)&amp;" business day(s) left).")))))</f>
        <v/>
      </c>
      <c r="V93" s="17">
        <f>IF($W93="","",CHOOSE($W93,"Collection Email","1st Follow-up","2nd Follow-up","Local Office","CBE","Roxanne")&amp;IF($W93=6," - Final"," - Day "&amp;MAX(0,NETWORKDAYS($X93,TODAY(),Holidays)-1)&amp;" of "&amp;CHOOSE($W93,3,3,2,2,3))&amp;" | Total Day "&amp;MAX(0,NETWORKDAYS($L93,TODAY(),Holidays)-1))</f>
        <v/>
      </c>
      <c r="W93" s="17">
        <f>IF($L93="","",COUNT($L93:$Q93))</f>
        <v/>
      </c>
      <c r="X93" s="18">
        <f>IF($W93="","",INT(INDEX($L93:$Q93,$W93)))</f>
        <v/>
      </c>
      <c r="Y93" s="18">
        <f>IF(OR($W93="",$W93=6),"",WORKDAY($X93,CHOOSE($W93,3,3,2,2,3),Holidays))</f>
        <v/>
      </c>
      <c r="Z93" s="17">
        <f>IF(OR($W93="",$W93=6),"",CHOOSE($W93,"1st Email Follow-up","2nd Email Follow-up","Escalate Local Office","Escalate to CBE","Escalate to Roxanne"))</f>
        <v/>
      </c>
    </row>
    <row r="94" spans="18:26">
      <c r="R94" s="15"/>
      <c r="S94" s="16"/>
      <c r="T94" s="17">
        <f>IF(AND(COUNTA($A94:$K94)=0,$L94=""),"",IF($S94="Paid","PAID",IF($S94="Closed","CLOSED",IF($W94="","",IF($W94=6,"ESCALATED TO ROXANNE",IF(TODAY()&gt;$Y94,"OVERDUE",IF($Y94&lt;=WORKDAY(TODAY(),1,Holidays),"DUE TOMORROW",IF($W94=4,"ESCALATED TO LOCAL OFFICE",IF($W94=5,"ESCALATED TO CBE",IF($X94=TODAY(),"EMAIL SENT","MONITORING"))))))))))</f>
        <v/>
      </c>
      <c r="U94" s="17">
        <f>IF($T94="",IF(AND(COUNTA($A94:$K94)&gt;0,$L94=""),"Awaiting Collection Email time stamp.",""),IF(OR($T94="PAID",$T94="CLOSED"),IF($T94="PAID","Account paid. Action completed.","Account closed. No further action required."),CHOOSE($W94,"Collection Email","1st Email Follow-up","2nd Email Follow-up","Escalation to Local Office","Escalation to CBE","Escalation to Roxanne")&amp;" sent "&amp;TEXT($X94,"dd-mmm")&amp;". "&amp;IF($W94=6,"Final escalation completed.",IF($T94="OVERDUE","Next: "&amp;$Z94&amp;" was due "&amp;TEXT($Y94,"dd-mmm")&amp;" - "&amp;(NETWORKDAYS($Y94,TODAY(),Holidays)-1)&amp;" business day(s) late. Send now.",IF($T94="DUE TOMORROW","Next: "&amp;$Z94&amp;IF($Y94&lt;=TODAY()," is due TODAY ("," is due next business day (")&amp;TEXT($Y94,"dd-mmm")&amp;").","Next: "&amp;$Z94&amp;" due "&amp;TEXT($Y94,"dd-mmm")&amp;" ("&amp;(NETWORKDAYS(TODAY(),$Y94,Holidays)-1)&amp;" business day(s) left).")))))</f>
        <v/>
      </c>
      <c r="V94" s="17">
        <f>IF($W94="","",CHOOSE($W94,"Collection Email","1st Follow-up","2nd Follow-up","Local Office","CBE","Roxanne")&amp;IF($W94=6," - Final"," - Day "&amp;MAX(0,NETWORKDAYS($X94,TODAY(),Holidays)-1)&amp;" of "&amp;CHOOSE($W94,3,3,2,2,3))&amp;" | Total Day "&amp;MAX(0,NETWORKDAYS($L94,TODAY(),Holidays)-1))</f>
        <v/>
      </c>
      <c r="W94" s="17">
        <f>IF($L94="","",COUNT($L94:$Q94))</f>
        <v/>
      </c>
      <c r="X94" s="18">
        <f>IF($W94="","",INT(INDEX($L94:$Q94,$W94)))</f>
        <v/>
      </c>
      <c r="Y94" s="18">
        <f>IF(OR($W94="",$W94=6),"",WORKDAY($X94,CHOOSE($W94,3,3,2,2,3),Holidays))</f>
        <v/>
      </c>
      <c r="Z94" s="17">
        <f>IF(OR($W94="",$W94=6),"",CHOOSE($W94,"1st Email Follow-up","2nd Email Follow-up","Escalate Local Office","Escalate to CBE","Escalate to Roxanne"))</f>
        <v/>
      </c>
    </row>
    <row r="95" spans="18:26">
      <c r="R95" s="15"/>
      <c r="S95" s="16"/>
      <c r="T95" s="17">
        <f>IF(AND(COUNTA($A95:$K95)=0,$L95=""),"",IF($S95="Paid","PAID",IF($S95="Closed","CLOSED",IF($W95="","",IF($W95=6,"ESCALATED TO ROXANNE",IF(TODAY()&gt;$Y95,"OVERDUE",IF($Y95&lt;=WORKDAY(TODAY(),1,Holidays),"DUE TOMORROW",IF($W95=4,"ESCALATED TO LOCAL OFFICE",IF($W95=5,"ESCALATED TO CBE",IF($X95=TODAY(),"EMAIL SENT","MONITORING"))))))))))</f>
        <v/>
      </c>
      <c r="U95" s="17">
        <f>IF($T95="",IF(AND(COUNTA($A95:$K95)&gt;0,$L95=""),"Awaiting Collection Email time stamp.",""),IF(OR($T95="PAID",$T95="CLOSED"),IF($T95="PAID","Account paid. Action completed.","Account closed. No further action required."),CHOOSE($W95,"Collection Email","1st Email Follow-up","2nd Email Follow-up","Escalation to Local Office","Escalation to CBE","Escalation to Roxanne")&amp;" sent "&amp;TEXT($X95,"dd-mmm")&amp;". "&amp;IF($W95=6,"Final escalation completed.",IF($T95="OVERDUE","Next: "&amp;$Z95&amp;" was due "&amp;TEXT($Y95,"dd-mmm")&amp;" - "&amp;(NETWORKDAYS($Y95,TODAY(),Holidays)-1)&amp;" business day(s) late. Send now.",IF($T95="DUE TOMORROW","Next: "&amp;$Z95&amp;IF($Y95&lt;=TODAY()," is due TODAY ("," is due next business day (")&amp;TEXT($Y95,"dd-mmm")&amp;").","Next: "&amp;$Z95&amp;" due "&amp;TEXT($Y95,"dd-mmm")&amp;" ("&amp;(NETWORKDAYS(TODAY(),$Y95,Holidays)-1)&amp;" business day(s) left).")))))</f>
        <v/>
      </c>
      <c r="V95" s="17">
        <f>IF($W95="","",CHOOSE($W95,"Collection Email","1st Follow-up","2nd Follow-up","Local Office","CBE","Roxanne")&amp;IF($W95=6," - Final"," - Day "&amp;MAX(0,NETWORKDAYS($X95,TODAY(),Holidays)-1)&amp;" of "&amp;CHOOSE($W95,3,3,2,2,3))&amp;" | Total Day "&amp;MAX(0,NETWORKDAYS($L95,TODAY(),Holidays)-1))</f>
        <v/>
      </c>
      <c r="W95" s="17">
        <f>IF($L95="","",COUNT($L95:$Q95))</f>
        <v/>
      </c>
      <c r="X95" s="18">
        <f>IF($W95="","",INT(INDEX($L95:$Q95,$W95)))</f>
        <v/>
      </c>
      <c r="Y95" s="18">
        <f>IF(OR($W95="",$W95=6),"",WORKDAY($X95,CHOOSE($W95,3,3,2,2,3),Holidays))</f>
        <v/>
      </c>
      <c r="Z95" s="17">
        <f>IF(OR($W95="",$W95=6),"",CHOOSE($W95,"1st Email Follow-up","2nd Email Follow-up","Escalate Local Office","Escalate to CBE","Escalate to Roxanne"))</f>
        <v/>
      </c>
    </row>
    <row r="96" spans="18:26">
      <c r="R96" s="15"/>
      <c r="S96" s="16"/>
      <c r="T96" s="17">
        <f>IF(AND(COUNTA($A96:$K96)=0,$L96=""),"",IF($S96="Paid","PAID",IF($S96="Closed","CLOSED",IF($W96="","",IF($W96=6,"ESCALATED TO ROXANNE",IF(TODAY()&gt;$Y96,"OVERDUE",IF($Y96&lt;=WORKDAY(TODAY(),1,Holidays),"DUE TOMORROW",IF($W96=4,"ESCALATED TO LOCAL OFFICE",IF($W96=5,"ESCALATED TO CBE",IF($X96=TODAY(),"EMAIL SENT","MONITORING"))))))))))</f>
        <v/>
      </c>
      <c r="U96" s="17">
        <f>IF($T96="",IF(AND(COUNTA($A96:$K96)&gt;0,$L96=""),"Awaiting Collection Email time stamp.",""),IF(OR($T96="PAID",$T96="CLOSED"),IF($T96="PAID","Account paid. Action completed.","Account closed. No further action required."),CHOOSE($W96,"Collection Email","1st Email Follow-up","2nd Email Follow-up","Escalation to Local Office","Escalation to CBE","Escalation to Roxanne")&amp;" sent "&amp;TEXT($X96,"dd-mmm")&amp;". "&amp;IF($W96=6,"Final escalation completed.",IF($T96="OVERDUE","Next: "&amp;$Z96&amp;" was due "&amp;TEXT($Y96,"dd-mmm")&amp;" - "&amp;(NETWORKDAYS($Y96,TODAY(),Holidays)-1)&amp;" business day(s) late. Send now.",IF($T96="DUE TOMORROW","Next: "&amp;$Z96&amp;IF($Y96&lt;=TODAY()," is due TODAY ("," is due next business day (")&amp;TEXT($Y96,"dd-mmm")&amp;").","Next: "&amp;$Z96&amp;" due "&amp;TEXT($Y96,"dd-mmm")&amp;" ("&amp;(NETWORKDAYS(TODAY(),$Y96,Holidays)-1)&amp;" business day(s) left).")))))</f>
        <v/>
      </c>
      <c r="V96" s="17">
        <f>IF($W96="","",CHOOSE($W96,"Collection Email","1st Follow-up","2nd Follow-up","Local Office","CBE","Roxanne")&amp;IF($W96=6," - Final"," - Day "&amp;MAX(0,NETWORKDAYS($X96,TODAY(),Holidays)-1)&amp;" of "&amp;CHOOSE($W96,3,3,2,2,3))&amp;" | Total Day "&amp;MAX(0,NETWORKDAYS($L96,TODAY(),Holidays)-1))</f>
        <v/>
      </c>
      <c r="W96" s="17">
        <f>IF($L96="","",COUNT($L96:$Q96))</f>
        <v/>
      </c>
      <c r="X96" s="18">
        <f>IF($W96="","",INT(INDEX($L96:$Q96,$W96)))</f>
        <v/>
      </c>
      <c r="Y96" s="18">
        <f>IF(OR($W96="",$W96=6),"",WORKDAY($X96,CHOOSE($W96,3,3,2,2,3),Holidays))</f>
        <v/>
      </c>
      <c r="Z96" s="17">
        <f>IF(OR($W96="",$W96=6),"",CHOOSE($W96,"1st Email Follow-up","2nd Email Follow-up","Escalate Local Office","Escalate to CBE","Escalate to Roxanne"))</f>
        <v/>
      </c>
    </row>
    <row r="97" spans="18:26">
      <c r="R97" s="15"/>
      <c r="S97" s="16"/>
      <c r="T97" s="17">
        <f>IF(AND(COUNTA($A97:$K97)=0,$L97=""),"",IF($S97="Paid","PAID",IF($S97="Closed","CLOSED",IF($W97="","",IF($W97=6,"ESCALATED TO ROXANNE",IF(TODAY()&gt;$Y97,"OVERDUE",IF($Y97&lt;=WORKDAY(TODAY(),1,Holidays),"DUE TOMORROW",IF($W97=4,"ESCALATED TO LOCAL OFFICE",IF($W97=5,"ESCALATED TO CBE",IF($X97=TODAY(),"EMAIL SENT","MONITORING"))))))))))</f>
        <v/>
      </c>
      <c r="U97" s="17">
        <f>IF($T97="",IF(AND(COUNTA($A97:$K97)&gt;0,$L97=""),"Awaiting Collection Email time stamp.",""),IF(OR($T97="PAID",$T97="CLOSED"),IF($T97="PAID","Account paid. Action completed.","Account closed. No further action required."),CHOOSE($W97,"Collection Email","1st Email Follow-up","2nd Email Follow-up","Escalation to Local Office","Escalation to CBE","Escalation to Roxanne")&amp;" sent "&amp;TEXT($X97,"dd-mmm")&amp;". "&amp;IF($W97=6,"Final escalation completed.",IF($T97="OVERDUE","Next: "&amp;$Z97&amp;" was due "&amp;TEXT($Y97,"dd-mmm")&amp;" - "&amp;(NETWORKDAYS($Y97,TODAY(),Holidays)-1)&amp;" business day(s) late. Send now.",IF($T97="DUE TOMORROW","Next: "&amp;$Z97&amp;IF($Y97&lt;=TODAY()," is due TODAY ("," is due next business day (")&amp;TEXT($Y97,"dd-mmm")&amp;").","Next: "&amp;$Z97&amp;" due "&amp;TEXT($Y97,"dd-mmm")&amp;" ("&amp;(NETWORKDAYS(TODAY(),$Y97,Holidays)-1)&amp;" business day(s) left).")))))</f>
        <v/>
      </c>
      <c r="V97" s="17">
        <f>IF($W97="","",CHOOSE($W97,"Collection Email","1st Follow-up","2nd Follow-up","Local Office","CBE","Roxanne")&amp;IF($W97=6," - Final"," - Day "&amp;MAX(0,NETWORKDAYS($X97,TODAY(),Holidays)-1)&amp;" of "&amp;CHOOSE($W97,3,3,2,2,3))&amp;" | Total Day "&amp;MAX(0,NETWORKDAYS($L97,TODAY(),Holidays)-1))</f>
        <v/>
      </c>
      <c r="W97" s="17">
        <f>IF($L97="","",COUNT($L97:$Q97))</f>
        <v/>
      </c>
      <c r="X97" s="18">
        <f>IF($W97="","",INT(INDEX($L97:$Q97,$W97)))</f>
        <v/>
      </c>
      <c r="Y97" s="18">
        <f>IF(OR($W97="",$W97=6),"",WORKDAY($X97,CHOOSE($W97,3,3,2,2,3),Holidays))</f>
        <v/>
      </c>
      <c r="Z97" s="17">
        <f>IF(OR($W97="",$W97=6),"",CHOOSE($W97,"1st Email Follow-up","2nd Email Follow-up","Escalate Local Office","Escalate to CBE","Escalate to Roxanne"))</f>
        <v/>
      </c>
    </row>
    <row r="98" spans="18:26">
      <c r="R98" s="15"/>
      <c r="S98" s="16"/>
      <c r="T98" s="17">
        <f>IF(AND(COUNTA($A98:$K98)=0,$L98=""),"",IF($S98="Paid","PAID",IF($S98="Closed","CLOSED",IF($W98="","",IF($W98=6,"ESCALATED TO ROXANNE",IF(TODAY()&gt;$Y98,"OVERDUE",IF($Y98&lt;=WORKDAY(TODAY(),1,Holidays),"DUE TOMORROW",IF($W98=4,"ESCALATED TO LOCAL OFFICE",IF($W98=5,"ESCALATED TO CBE",IF($X98=TODAY(),"EMAIL SENT","MONITORING"))))))))))</f>
        <v/>
      </c>
      <c r="U98" s="17">
        <f>IF($T98="",IF(AND(COUNTA($A98:$K98)&gt;0,$L98=""),"Awaiting Collection Email time stamp.",""),IF(OR($T98="PAID",$T98="CLOSED"),IF($T98="PAID","Account paid. Action completed.","Account closed. No further action required."),CHOOSE($W98,"Collection Email","1st Email Follow-up","2nd Email Follow-up","Escalation to Local Office","Escalation to CBE","Escalation to Roxanne")&amp;" sent "&amp;TEXT($X98,"dd-mmm")&amp;". "&amp;IF($W98=6,"Final escalation completed.",IF($T98="OVERDUE","Next: "&amp;$Z98&amp;" was due "&amp;TEXT($Y98,"dd-mmm")&amp;" - "&amp;(NETWORKDAYS($Y98,TODAY(),Holidays)-1)&amp;" business day(s) late. Send now.",IF($T98="DUE TOMORROW","Next: "&amp;$Z98&amp;IF($Y98&lt;=TODAY()," is due TODAY ("," is due next business day (")&amp;TEXT($Y98,"dd-mmm")&amp;").","Next: "&amp;$Z98&amp;" due "&amp;TEXT($Y98,"dd-mmm")&amp;" ("&amp;(NETWORKDAYS(TODAY(),$Y98,Holidays)-1)&amp;" business day(s) left).")))))</f>
        <v/>
      </c>
      <c r="V98" s="17">
        <f>IF($W98="","",CHOOSE($W98,"Collection Email","1st Follow-up","2nd Follow-up","Local Office","CBE","Roxanne")&amp;IF($W98=6," - Final"," - Day "&amp;MAX(0,NETWORKDAYS($X98,TODAY(),Holidays)-1)&amp;" of "&amp;CHOOSE($W98,3,3,2,2,3))&amp;" | Total Day "&amp;MAX(0,NETWORKDAYS($L98,TODAY(),Holidays)-1))</f>
        <v/>
      </c>
      <c r="W98" s="17">
        <f>IF($L98="","",COUNT($L98:$Q98))</f>
        <v/>
      </c>
      <c r="X98" s="18">
        <f>IF($W98="","",INT(INDEX($L98:$Q98,$W98)))</f>
        <v/>
      </c>
      <c r="Y98" s="18">
        <f>IF(OR($W98="",$W98=6),"",WORKDAY($X98,CHOOSE($W98,3,3,2,2,3),Holidays))</f>
        <v/>
      </c>
      <c r="Z98" s="17">
        <f>IF(OR($W98="",$W98=6),"",CHOOSE($W98,"1st Email Follow-up","2nd Email Follow-up","Escalate Local Office","Escalate to CBE","Escalate to Roxanne"))</f>
        <v/>
      </c>
    </row>
    <row r="99" spans="18:26">
      <c r="R99" s="15"/>
      <c r="S99" s="16"/>
      <c r="T99" s="17">
        <f>IF(AND(COUNTA($A99:$K99)=0,$L99=""),"",IF($S99="Paid","PAID",IF($S99="Closed","CLOSED",IF($W99="","",IF($W99=6,"ESCALATED TO ROXANNE",IF(TODAY()&gt;$Y99,"OVERDUE",IF($Y99&lt;=WORKDAY(TODAY(),1,Holidays),"DUE TOMORROW",IF($W99=4,"ESCALATED TO LOCAL OFFICE",IF($W99=5,"ESCALATED TO CBE",IF($X99=TODAY(),"EMAIL SENT","MONITORING"))))))))))</f>
        <v/>
      </c>
      <c r="U99" s="17">
        <f>IF($T99="",IF(AND(COUNTA($A99:$K99)&gt;0,$L99=""),"Awaiting Collection Email time stamp.",""),IF(OR($T99="PAID",$T99="CLOSED"),IF($T99="PAID","Account paid. Action completed.","Account closed. No further action required."),CHOOSE($W99,"Collection Email","1st Email Follow-up","2nd Email Follow-up","Escalation to Local Office","Escalation to CBE","Escalation to Roxanne")&amp;" sent "&amp;TEXT($X99,"dd-mmm")&amp;". "&amp;IF($W99=6,"Final escalation completed.",IF($T99="OVERDUE","Next: "&amp;$Z99&amp;" was due "&amp;TEXT($Y99,"dd-mmm")&amp;" - "&amp;(NETWORKDAYS($Y99,TODAY(),Holidays)-1)&amp;" business day(s) late. Send now.",IF($T99="DUE TOMORROW","Next: "&amp;$Z99&amp;IF($Y99&lt;=TODAY()," is due TODAY ("," is due next business day (")&amp;TEXT($Y99,"dd-mmm")&amp;").","Next: "&amp;$Z99&amp;" due "&amp;TEXT($Y99,"dd-mmm")&amp;" ("&amp;(NETWORKDAYS(TODAY(),$Y99,Holidays)-1)&amp;" business day(s) left).")))))</f>
        <v/>
      </c>
      <c r="V99" s="17">
        <f>IF($W99="","",CHOOSE($W99,"Collection Email","1st Follow-up","2nd Follow-up","Local Office","CBE","Roxanne")&amp;IF($W99=6," - Final"," - Day "&amp;MAX(0,NETWORKDAYS($X99,TODAY(),Holidays)-1)&amp;" of "&amp;CHOOSE($W99,3,3,2,2,3))&amp;" | Total Day "&amp;MAX(0,NETWORKDAYS($L99,TODAY(),Holidays)-1))</f>
        <v/>
      </c>
      <c r="W99" s="17">
        <f>IF($L99="","",COUNT($L99:$Q99))</f>
        <v/>
      </c>
      <c r="X99" s="18">
        <f>IF($W99="","",INT(INDEX($L99:$Q99,$W99)))</f>
        <v/>
      </c>
      <c r="Y99" s="18">
        <f>IF(OR($W99="",$W99=6),"",WORKDAY($X99,CHOOSE($W99,3,3,2,2,3),Holidays))</f>
        <v/>
      </c>
      <c r="Z99" s="17">
        <f>IF(OR($W99="",$W99=6),"",CHOOSE($W99,"1st Email Follow-up","2nd Email Follow-up","Escalate Local Office","Escalate to CBE","Escalate to Roxanne"))</f>
        <v/>
      </c>
    </row>
    <row r="100" spans="18:26">
      <c r="R100" s="15"/>
      <c r="S100" s="16"/>
      <c r="T100" s="17">
        <f>IF(AND(COUNTA($A100:$K100)=0,$L100=""),"",IF($S100="Paid","PAID",IF($S100="Closed","CLOSED",IF($W100="","",IF($W100=6,"ESCALATED TO ROXANNE",IF(TODAY()&gt;$Y100,"OVERDUE",IF($Y100&lt;=WORKDAY(TODAY(),1,Holidays),"DUE TOMORROW",IF($W100=4,"ESCALATED TO LOCAL OFFICE",IF($W100=5,"ESCALATED TO CBE",IF($X100=TODAY(),"EMAIL SENT","MONITORING"))))))))))</f>
        <v/>
      </c>
      <c r="U100" s="17">
        <f>IF($T100="",IF(AND(COUNTA($A100:$K100)&gt;0,$L100=""),"Awaiting Collection Email time stamp.",""),IF(OR($T100="PAID",$T100="CLOSED"),IF($T100="PAID","Account paid. Action completed.","Account closed. No further action required."),CHOOSE($W100,"Collection Email","1st Email Follow-up","2nd Email Follow-up","Escalation to Local Office","Escalation to CBE","Escalation to Roxanne")&amp;" sent "&amp;TEXT($X100,"dd-mmm")&amp;". "&amp;IF($W100=6,"Final escalation completed.",IF($T100="OVERDUE","Next: "&amp;$Z100&amp;" was due "&amp;TEXT($Y100,"dd-mmm")&amp;" - "&amp;(NETWORKDAYS($Y100,TODAY(),Holidays)-1)&amp;" business day(s) late. Send now.",IF($T100="DUE TOMORROW","Next: "&amp;$Z100&amp;IF($Y100&lt;=TODAY()," is due TODAY ("," is due next business day (")&amp;TEXT($Y100,"dd-mmm")&amp;").","Next: "&amp;$Z100&amp;" due "&amp;TEXT($Y100,"dd-mmm")&amp;" ("&amp;(NETWORKDAYS(TODAY(),$Y100,Holidays)-1)&amp;" business day(s) left).")))))</f>
        <v/>
      </c>
      <c r="V100" s="17">
        <f>IF($W100="","",CHOOSE($W100,"Collection Email","1st Follow-up","2nd Follow-up","Local Office","CBE","Roxanne")&amp;IF($W100=6," - Final"," - Day "&amp;MAX(0,NETWORKDAYS($X100,TODAY(),Holidays)-1)&amp;" of "&amp;CHOOSE($W100,3,3,2,2,3))&amp;" | Total Day "&amp;MAX(0,NETWORKDAYS($L100,TODAY(),Holidays)-1))</f>
        <v/>
      </c>
      <c r="W100" s="17">
        <f>IF($L100="","",COUNT($L100:$Q100))</f>
        <v/>
      </c>
      <c r="X100" s="18">
        <f>IF($W100="","",INT(INDEX($L100:$Q100,$W100)))</f>
        <v/>
      </c>
      <c r="Y100" s="18">
        <f>IF(OR($W100="",$W100=6),"",WORKDAY($X100,CHOOSE($W100,3,3,2,2,3),Holidays))</f>
        <v/>
      </c>
      <c r="Z100" s="17">
        <f>IF(OR($W100="",$W100=6),"",CHOOSE($W100,"1st Email Follow-up","2nd Email Follow-up","Escalate Local Office","Escalate to CBE","Escalate to Roxanne"))</f>
        <v/>
      </c>
    </row>
    <row r="101" spans="18:26">
      <c r="R101" s="15"/>
      <c r="S101" s="16"/>
      <c r="T101" s="17">
        <f>IF(AND(COUNTA($A101:$K101)=0,$L101=""),"",IF($S101="Paid","PAID",IF($S101="Closed","CLOSED",IF($W101="","",IF($W101=6,"ESCALATED TO ROXANNE",IF(TODAY()&gt;$Y101,"OVERDUE",IF($Y101&lt;=WORKDAY(TODAY(),1,Holidays),"DUE TOMORROW",IF($W101=4,"ESCALATED TO LOCAL OFFICE",IF($W101=5,"ESCALATED TO CBE",IF($X101=TODAY(),"EMAIL SENT","MONITORING"))))))))))</f>
        <v/>
      </c>
      <c r="U101" s="17">
        <f>IF($T101="",IF(AND(COUNTA($A101:$K101)&gt;0,$L101=""),"Awaiting Collection Email time stamp.",""),IF(OR($T101="PAID",$T101="CLOSED"),IF($T101="PAID","Account paid. Action completed.","Account closed. No further action required."),CHOOSE($W101,"Collection Email","1st Email Follow-up","2nd Email Follow-up","Escalation to Local Office","Escalation to CBE","Escalation to Roxanne")&amp;" sent "&amp;TEXT($X101,"dd-mmm")&amp;". "&amp;IF($W101=6,"Final escalation completed.",IF($T101="OVERDUE","Next: "&amp;$Z101&amp;" was due "&amp;TEXT($Y101,"dd-mmm")&amp;" - "&amp;(NETWORKDAYS($Y101,TODAY(),Holidays)-1)&amp;" business day(s) late. Send now.",IF($T101="DUE TOMORROW","Next: "&amp;$Z101&amp;IF($Y101&lt;=TODAY()," is due TODAY ("," is due next business day (")&amp;TEXT($Y101,"dd-mmm")&amp;").","Next: "&amp;$Z101&amp;" due "&amp;TEXT($Y101,"dd-mmm")&amp;" ("&amp;(NETWORKDAYS(TODAY(),$Y101,Holidays)-1)&amp;" business day(s) left).")))))</f>
        <v/>
      </c>
      <c r="V101" s="17">
        <f>IF($W101="","",CHOOSE($W101,"Collection Email","1st Follow-up","2nd Follow-up","Local Office","CBE","Roxanne")&amp;IF($W101=6," - Final"," - Day "&amp;MAX(0,NETWORKDAYS($X101,TODAY(),Holidays)-1)&amp;" of "&amp;CHOOSE($W101,3,3,2,2,3))&amp;" | Total Day "&amp;MAX(0,NETWORKDAYS($L101,TODAY(),Holidays)-1))</f>
        <v/>
      </c>
      <c r="W101" s="17">
        <f>IF($L101="","",COUNT($L101:$Q101))</f>
        <v/>
      </c>
      <c r="X101" s="18">
        <f>IF($W101="","",INT(INDEX($L101:$Q101,$W101)))</f>
        <v/>
      </c>
      <c r="Y101" s="18">
        <f>IF(OR($W101="",$W101=6),"",WORKDAY($X101,CHOOSE($W101,3,3,2,2,3),Holidays))</f>
        <v/>
      </c>
      <c r="Z101" s="17">
        <f>IF(OR($W101="",$W101=6),"",CHOOSE($W101,"1st Email Follow-up","2nd Email Follow-up","Escalate Local Office","Escalate to CBE","Escalate to Roxanne"))</f>
        <v/>
      </c>
    </row>
    <row r="102" spans="18:26">
      <c r="R102" s="15"/>
      <c r="S102" s="16"/>
      <c r="T102" s="17">
        <f>IF(AND(COUNTA($A102:$K102)=0,$L102=""),"",IF($S102="Paid","PAID",IF($S102="Closed","CLOSED",IF($W102="","",IF($W102=6,"ESCALATED TO ROXANNE",IF(TODAY()&gt;$Y102,"OVERDUE",IF($Y102&lt;=WORKDAY(TODAY(),1,Holidays),"DUE TOMORROW",IF($W102=4,"ESCALATED TO LOCAL OFFICE",IF($W102=5,"ESCALATED TO CBE",IF($X102=TODAY(),"EMAIL SENT","MONITORING"))))))))))</f>
        <v/>
      </c>
      <c r="U102" s="17">
        <f>IF($T102="",IF(AND(COUNTA($A102:$K102)&gt;0,$L102=""),"Awaiting Collection Email time stamp.",""),IF(OR($T102="PAID",$T102="CLOSED"),IF($T102="PAID","Account paid. Action completed.","Account closed. No further action required."),CHOOSE($W102,"Collection Email","1st Email Follow-up","2nd Email Follow-up","Escalation to Local Office","Escalation to CBE","Escalation to Roxanne")&amp;" sent "&amp;TEXT($X102,"dd-mmm")&amp;". "&amp;IF($W102=6,"Final escalation completed.",IF($T102="OVERDUE","Next: "&amp;$Z102&amp;" was due "&amp;TEXT($Y102,"dd-mmm")&amp;" - "&amp;(NETWORKDAYS($Y102,TODAY(),Holidays)-1)&amp;" business day(s) late. Send now.",IF($T102="DUE TOMORROW","Next: "&amp;$Z102&amp;IF($Y102&lt;=TODAY()," is due TODAY ("," is due next business day (")&amp;TEXT($Y102,"dd-mmm")&amp;").","Next: "&amp;$Z102&amp;" due "&amp;TEXT($Y102,"dd-mmm")&amp;" ("&amp;(NETWORKDAYS(TODAY(),$Y102,Holidays)-1)&amp;" business day(s) left).")))))</f>
        <v/>
      </c>
      <c r="V102" s="17">
        <f>IF($W102="","",CHOOSE($W102,"Collection Email","1st Follow-up","2nd Follow-up","Local Office","CBE","Roxanne")&amp;IF($W102=6," - Final"," - Day "&amp;MAX(0,NETWORKDAYS($X102,TODAY(),Holidays)-1)&amp;" of "&amp;CHOOSE($W102,3,3,2,2,3))&amp;" | Total Day "&amp;MAX(0,NETWORKDAYS($L102,TODAY(),Holidays)-1))</f>
        <v/>
      </c>
      <c r="W102" s="17">
        <f>IF($L102="","",COUNT($L102:$Q102))</f>
        <v/>
      </c>
      <c r="X102" s="18">
        <f>IF($W102="","",INT(INDEX($L102:$Q102,$W102)))</f>
        <v/>
      </c>
      <c r="Y102" s="18">
        <f>IF(OR($W102="",$W102=6),"",WORKDAY($X102,CHOOSE($W102,3,3,2,2,3),Holidays))</f>
        <v/>
      </c>
      <c r="Z102" s="17">
        <f>IF(OR($W102="",$W102=6),"",CHOOSE($W102,"1st Email Follow-up","2nd Email Follow-up","Escalate Local Office","Escalate to CBE","Escalate to Roxanne"))</f>
        <v/>
      </c>
    </row>
    <row r="103" spans="18:26">
      <c r="R103" s="15"/>
      <c r="S103" s="16"/>
      <c r="T103" s="17">
        <f>IF(AND(COUNTA($A103:$K103)=0,$L103=""),"",IF($S103="Paid","PAID",IF($S103="Closed","CLOSED",IF($W103="","",IF($W103=6,"ESCALATED TO ROXANNE",IF(TODAY()&gt;$Y103,"OVERDUE",IF($Y103&lt;=WORKDAY(TODAY(),1,Holidays),"DUE TOMORROW",IF($W103=4,"ESCALATED TO LOCAL OFFICE",IF($W103=5,"ESCALATED TO CBE",IF($X103=TODAY(),"EMAIL SENT","MONITORING"))))))))))</f>
        <v/>
      </c>
      <c r="U103" s="17">
        <f>IF($T103="",IF(AND(COUNTA($A103:$K103)&gt;0,$L103=""),"Awaiting Collection Email time stamp.",""),IF(OR($T103="PAID",$T103="CLOSED"),IF($T103="PAID","Account paid. Action completed.","Account closed. No further action required."),CHOOSE($W103,"Collection Email","1st Email Follow-up","2nd Email Follow-up","Escalation to Local Office","Escalation to CBE","Escalation to Roxanne")&amp;" sent "&amp;TEXT($X103,"dd-mmm")&amp;". "&amp;IF($W103=6,"Final escalation completed.",IF($T103="OVERDUE","Next: "&amp;$Z103&amp;" was due "&amp;TEXT($Y103,"dd-mmm")&amp;" - "&amp;(NETWORKDAYS($Y103,TODAY(),Holidays)-1)&amp;" business day(s) late. Send now.",IF($T103="DUE TOMORROW","Next: "&amp;$Z103&amp;IF($Y103&lt;=TODAY()," is due TODAY ("," is due next business day (")&amp;TEXT($Y103,"dd-mmm")&amp;").","Next: "&amp;$Z103&amp;" due "&amp;TEXT($Y103,"dd-mmm")&amp;" ("&amp;(NETWORKDAYS(TODAY(),$Y103,Holidays)-1)&amp;" business day(s) left).")))))</f>
        <v/>
      </c>
      <c r="V103" s="17">
        <f>IF($W103="","",CHOOSE($W103,"Collection Email","1st Follow-up","2nd Follow-up","Local Office","CBE","Roxanne")&amp;IF($W103=6," - Final"," - Day "&amp;MAX(0,NETWORKDAYS($X103,TODAY(),Holidays)-1)&amp;" of "&amp;CHOOSE($W103,3,3,2,2,3))&amp;" | Total Day "&amp;MAX(0,NETWORKDAYS($L103,TODAY(),Holidays)-1))</f>
        <v/>
      </c>
      <c r="W103" s="17">
        <f>IF($L103="","",COUNT($L103:$Q103))</f>
        <v/>
      </c>
      <c r="X103" s="18">
        <f>IF($W103="","",INT(INDEX($L103:$Q103,$W103)))</f>
        <v/>
      </c>
      <c r="Y103" s="18">
        <f>IF(OR($W103="",$W103=6),"",WORKDAY($X103,CHOOSE($W103,3,3,2,2,3),Holidays))</f>
        <v/>
      </c>
      <c r="Z103" s="17">
        <f>IF(OR($W103="",$W103=6),"",CHOOSE($W103,"1st Email Follow-up","2nd Email Follow-up","Escalate Local Office","Escalate to CBE","Escalate to Roxanne"))</f>
        <v/>
      </c>
    </row>
    <row r="104" spans="18:26">
      <c r="R104" s="15"/>
      <c r="S104" s="16"/>
      <c r="T104" s="17">
        <f>IF(AND(COUNTA($A104:$K104)=0,$L104=""),"",IF($S104="Paid","PAID",IF($S104="Closed","CLOSED",IF($W104="","",IF($W104=6,"ESCALATED TO ROXANNE",IF(TODAY()&gt;$Y104,"OVERDUE",IF($Y104&lt;=WORKDAY(TODAY(),1,Holidays),"DUE TOMORROW",IF($W104=4,"ESCALATED TO LOCAL OFFICE",IF($W104=5,"ESCALATED TO CBE",IF($X104=TODAY(),"EMAIL SENT","MONITORING"))))))))))</f>
        <v/>
      </c>
      <c r="U104" s="17">
        <f>IF($T104="",IF(AND(COUNTA($A104:$K104)&gt;0,$L104=""),"Awaiting Collection Email time stamp.",""),IF(OR($T104="PAID",$T104="CLOSED"),IF($T104="PAID","Account paid. Action completed.","Account closed. No further action required."),CHOOSE($W104,"Collection Email","1st Email Follow-up","2nd Email Follow-up","Escalation to Local Office","Escalation to CBE","Escalation to Roxanne")&amp;" sent "&amp;TEXT($X104,"dd-mmm")&amp;". "&amp;IF($W104=6,"Final escalation completed.",IF($T104="OVERDUE","Next: "&amp;$Z104&amp;" was due "&amp;TEXT($Y104,"dd-mmm")&amp;" - "&amp;(NETWORKDAYS($Y104,TODAY(),Holidays)-1)&amp;" business day(s) late. Send now.",IF($T104="DUE TOMORROW","Next: "&amp;$Z104&amp;IF($Y104&lt;=TODAY()," is due TODAY ("," is due next business day (")&amp;TEXT($Y104,"dd-mmm")&amp;").","Next: "&amp;$Z104&amp;" due "&amp;TEXT($Y104,"dd-mmm")&amp;" ("&amp;(NETWORKDAYS(TODAY(),$Y104,Holidays)-1)&amp;" business day(s) left).")))))</f>
        <v/>
      </c>
      <c r="V104" s="17">
        <f>IF($W104="","",CHOOSE($W104,"Collection Email","1st Follow-up","2nd Follow-up","Local Office","CBE","Roxanne")&amp;IF($W104=6," - Final"," - Day "&amp;MAX(0,NETWORKDAYS($X104,TODAY(),Holidays)-1)&amp;" of "&amp;CHOOSE($W104,3,3,2,2,3))&amp;" | Total Day "&amp;MAX(0,NETWORKDAYS($L104,TODAY(),Holidays)-1))</f>
        <v/>
      </c>
      <c r="W104" s="17">
        <f>IF($L104="","",COUNT($L104:$Q104))</f>
        <v/>
      </c>
      <c r="X104" s="18">
        <f>IF($W104="","",INT(INDEX($L104:$Q104,$W104)))</f>
        <v/>
      </c>
      <c r="Y104" s="18">
        <f>IF(OR($W104="",$W104=6),"",WORKDAY($X104,CHOOSE($W104,3,3,2,2,3),Holidays))</f>
        <v/>
      </c>
      <c r="Z104" s="17">
        <f>IF(OR($W104="",$W104=6),"",CHOOSE($W104,"1st Email Follow-up","2nd Email Follow-up","Escalate Local Office","Escalate to CBE","Escalate to Roxanne"))</f>
        <v/>
      </c>
    </row>
    <row r="105" spans="18:26">
      <c r="R105" s="15"/>
      <c r="S105" s="16"/>
      <c r="T105" s="17">
        <f>IF(AND(COUNTA($A105:$K105)=0,$L105=""),"",IF($S105="Paid","PAID",IF($S105="Closed","CLOSED",IF($W105="","",IF($W105=6,"ESCALATED TO ROXANNE",IF(TODAY()&gt;$Y105,"OVERDUE",IF($Y105&lt;=WORKDAY(TODAY(),1,Holidays),"DUE TOMORROW",IF($W105=4,"ESCALATED TO LOCAL OFFICE",IF($W105=5,"ESCALATED TO CBE",IF($X105=TODAY(),"EMAIL SENT","MONITORING"))))))))))</f>
        <v/>
      </c>
      <c r="U105" s="17">
        <f>IF($T105="",IF(AND(COUNTA($A105:$K105)&gt;0,$L105=""),"Awaiting Collection Email time stamp.",""),IF(OR($T105="PAID",$T105="CLOSED"),IF($T105="PAID","Account paid. Action completed.","Account closed. No further action required."),CHOOSE($W105,"Collection Email","1st Email Follow-up","2nd Email Follow-up","Escalation to Local Office","Escalation to CBE","Escalation to Roxanne")&amp;" sent "&amp;TEXT($X105,"dd-mmm")&amp;". "&amp;IF($W105=6,"Final escalation completed.",IF($T105="OVERDUE","Next: "&amp;$Z105&amp;" was due "&amp;TEXT($Y105,"dd-mmm")&amp;" - "&amp;(NETWORKDAYS($Y105,TODAY(),Holidays)-1)&amp;" business day(s) late. Send now.",IF($T105="DUE TOMORROW","Next: "&amp;$Z105&amp;IF($Y105&lt;=TODAY()," is due TODAY ("," is due next business day (")&amp;TEXT($Y105,"dd-mmm")&amp;").","Next: "&amp;$Z105&amp;" due "&amp;TEXT($Y105,"dd-mmm")&amp;" ("&amp;(NETWORKDAYS(TODAY(),$Y105,Holidays)-1)&amp;" business day(s) left).")))))</f>
        <v/>
      </c>
      <c r="V105" s="17">
        <f>IF($W105="","",CHOOSE($W105,"Collection Email","1st Follow-up","2nd Follow-up","Local Office","CBE","Roxanne")&amp;IF($W105=6," - Final"," - Day "&amp;MAX(0,NETWORKDAYS($X105,TODAY(),Holidays)-1)&amp;" of "&amp;CHOOSE($W105,3,3,2,2,3))&amp;" | Total Day "&amp;MAX(0,NETWORKDAYS($L105,TODAY(),Holidays)-1))</f>
        <v/>
      </c>
      <c r="W105" s="17">
        <f>IF($L105="","",COUNT($L105:$Q105))</f>
        <v/>
      </c>
      <c r="X105" s="18">
        <f>IF($W105="","",INT(INDEX($L105:$Q105,$W105)))</f>
        <v/>
      </c>
      <c r="Y105" s="18">
        <f>IF(OR($W105="",$W105=6),"",WORKDAY($X105,CHOOSE($W105,3,3,2,2,3),Holidays))</f>
        <v/>
      </c>
      <c r="Z105" s="17">
        <f>IF(OR($W105="",$W105=6),"",CHOOSE($W105,"1st Email Follow-up","2nd Email Follow-up","Escalate Local Office","Escalate to CBE","Escalate to Roxanne"))</f>
        <v/>
      </c>
    </row>
    <row r="106" spans="18:26">
      <c r="R106" s="15"/>
      <c r="S106" s="16"/>
      <c r="T106" s="17">
        <f>IF(AND(COUNTA($A106:$K106)=0,$L106=""),"",IF($S106="Paid","PAID",IF($S106="Closed","CLOSED",IF($W106="","",IF($W106=6,"ESCALATED TO ROXANNE",IF(TODAY()&gt;$Y106,"OVERDUE",IF($Y106&lt;=WORKDAY(TODAY(),1,Holidays),"DUE TOMORROW",IF($W106=4,"ESCALATED TO LOCAL OFFICE",IF($W106=5,"ESCALATED TO CBE",IF($X106=TODAY(),"EMAIL SENT","MONITORING"))))))))))</f>
        <v/>
      </c>
      <c r="U106" s="17">
        <f>IF($T106="",IF(AND(COUNTA($A106:$K106)&gt;0,$L106=""),"Awaiting Collection Email time stamp.",""),IF(OR($T106="PAID",$T106="CLOSED"),IF($T106="PAID","Account paid. Action completed.","Account closed. No further action required."),CHOOSE($W106,"Collection Email","1st Email Follow-up","2nd Email Follow-up","Escalation to Local Office","Escalation to CBE","Escalation to Roxanne")&amp;" sent "&amp;TEXT($X106,"dd-mmm")&amp;". "&amp;IF($W106=6,"Final escalation completed.",IF($T106="OVERDUE","Next: "&amp;$Z106&amp;" was due "&amp;TEXT($Y106,"dd-mmm")&amp;" - "&amp;(NETWORKDAYS($Y106,TODAY(),Holidays)-1)&amp;" business day(s) late. Send now.",IF($T106="DUE TOMORROW","Next: "&amp;$Z106&amp;IF($Y106&lt;=TODAY()," is due TODAY ("," is due next business day (")&amp;TEXT($Y106,"dd-mmm")&amp;").","Next: "&amp;$Z106&amp;" due "&amp;TEXT($Y106,"dd-mmm")&amp;" ("&amp;(NETWORKDAYS(TODAY(),$Y106,Holidays)-1)&amp;" business day(s) left).")))))</f>
        <v/>
      </c>
      <c r="V106" s="17">
        <f>IF($W106="","",CHOOSE($W106,"Collection Email","1st Follow-up","2nd Follow-up","Local Office","CBE","Roxanne")&amp;IF($W106=6," - Final"," - Day "&amp;MAX(0,NETWORKDAYS($X106,TODAY(),Holidays)-1)&amp;" of "&amp;CHOOSE($W106,3,3,2,2,3))&amp;" | Total Day "&amp;MAX(0,NETWORKDAYS($L106,TODAY(),Holidays)-1))</f>
        <v/>
      </c>
      <c r="W106" s="17">
        <f>IF($L106="","",COUNT($L106:$Q106))</f>
        <v/>
      </c>
      <c r="X106" s="18">
        <f>IF($W106="","",INT(INDEX($L106:$Q106,$W106)))</f>
        <v/>
      </c>
      <c r="Y106" s="18">
        <f>IF(OR($W106="",$W106=6),"",WORKDAY($X106,CHOOSE($W106,3,3,2,2,3),Holidays))</f>
        <v/>
      </c>
      <c r="Z106" s="17">
        <f>IF(OR($W106="",$W106=6),"",CHOOSE($W106,"1st Email Follow-up","2nd Email Follow-up","Escalate Local Office","Escalate to CBE","Escalate to Roxanne"))</f>
        <v/>
      </c>
    </row>
    <row r="107" spans="18:26">
      <c r="R107" s="15"/>
      <c r="S107" s="16"/>
      <c r="T107" s="17">
        <f>IF(AND(COUNTA($A107:$K107)=0,$L107=""),"",IF($S107="Paid","PAID",IF($S107="Closed","CLOSED",IF($W107="","",IF($W107=6,"ESCALATED TO ROXANNE",IF(TODAY()&gt;$Y107,"OVERDUE",IF($Y107&lt;=WORKDAY(TODAY(),1,Holidays),"DUE TOMORROW",IF($W107=4,"ESCALATED TO LOCAL OFFICE",IF($W107=5,"ESCALATED TO CBE",IF($X107=TODAY(),"EMAIL SENT","MONITORING"))))))))))</f>
        <v/>
      </c>
      <c r="U107" s="17">
        <f>IF($T107="",IF(AND(COUNTA($A107:$K107)&gt;0,$L107=""),"Awaiting Collection Email time stamp.",""),IF(OR($T107="PAID",$T107="CLOSED"),IF($T107="PAID","Account paid. Action completed.","Account closed. No further action required."),CHOOSE($W107,"Collection Email","1st Email Follow-up","2nd Email Follow-up","Escalation to Local Office","Escalation to CBE","Escalation to Roxanne")&amp;" sent "&amp;TEXT($X107,"dd-mmm")&amp;". "&amp;IF($W107=6,"Final escalation completed.",IF($T107="OVERDUE","Next: "&amp;$Z107&amp;" was due "&amp;TEXT($Y107,"dd-mmm")&amp;" - "&amp;(NETWORKDAYS($Y107,TODAY(),Holidays)-1)&amp;" business day(s) late. Send now.",IF($T107="DUE TOMORROW","Next: "&amp;$Z107&amp;IF($Y107&lt;=TODAY()," is due TODAY ("," is due next business day (")&amp;TEXT($Y107,"dd-mmm")&amp;").","Next: "&amp;$Z107&amp;" due "&amp;TEXT($Y107,"dd-mmm")&amp;" ("&amp;(NETWORKDAYS(TODAY(),$Y107,Holidays)-1)&amp;" business day(s) left).")))))</f>
        <v/>
      </c>
      <c r="V107" s="17">
        <f>IF($W107="","",CHOOSE($W107,"Collection Email","1st Follow-up","2nd Follow-up","Local Office","CBE","Roxanne")&amp;IF($W107=6," - Final"," - Day "&amp;MAX(0,NETWORKDAYS($X107,TODAY(),Holidays)-1)&amp;" of "&amp;CHOOSE($W107,3,3,2,2,3))&amp;" | Total Day "&amp;MAX(0,NETWORKDAYS($L107,TODAY(),Holidays)-1))</f>
        <v/>
      </c>
      <c r="W107" s="17">
        <f>IF($L107="","",COUNT($L107:$Q107))</f>
        <v/>
      </c>
      <c r="X107" s="18">
        <f>IF($W107="","",INT(INDEX($L107:$Q107,$W107)))</f>
        <v/>
      </c>
      <c r="Y107" s="18">
        <f>IF(OR($W107="",$W107=6),"",WORKDAY($X107,CHOOSE($W107,3,3,2,2,3),Holidays))</f>
        <v/>
      </c>
      <c r="Z107" s="17">
        <f>IF(OR($W107="",$W107=6),"",CHOOSE($W107,"1st Email Follow-up","2nd Email Follow-up","Escalate Local Office","Escalate to CBE","Escalate to Roxanne"))</f>
        <v/>
      </c>
    </row>
    <row r="108" spans="18:26">
      <c r="R108" s="15"/>
      <c r="S108" s="16"/>
      <c r="T108" s="17">
        <f>IF(AND(COUNTA($A108:$K108)=0,$L108=""),"",IF($S108="Paid","PAID",IF($S108="Closed","CLOSED",IF($W108="","",IF($W108=6,"ESCALATED TO ROXANNE",IF(TODAY()&gt;$Y108,"OVERDUE",IF($Y108&lt;=WORKDAY(TODAY(),1,Holidays),"DUE TOMORROW",IF($W108=4,"ESCALATED TO LOCAL OFFICE",IF($W108=5,"ESCALATED TO CBE",IF($X108=TODAY(),"EMAIL SENT","MONITORING"))))))))))</f>
        <v/>
      </c>
      <c r="U108" s="17">
        <f>IF($T108="",IF(AND(COUNTA($A108:$K108)&gt;0,$L108=""),"Awaiting Collection Email time stamp.",""),IF(OR($T108="PAID",$T108="CLOSED"),IF($T108="PAID","Account paid. Action completed.","Account closed. No further action required."),CHOOSE($W108,"Collection Email","1st Email Follow-up","2nd Email Follow-up","Escalation to Local Office","Escalation to CBE","Escalation to Roxanne")&amp;" sent "&amp;TEXT($X108,"dd-mmm")&amp;". "&amp;IF($W108=6,"Final escalation completed.",IF($T108="OVERDUE","Next: "&amp;$Z108&amp;" was due "&amp;TEXT($Y108,"dd-mmm")&amp;" - "&amp;(NETWORKDAYS($Y108,TODAY(),Holidays)-1)&amp;" business day(s) late. Send now.",IF($T108="DUE TOMORROW","Next: "&amp;$Z108&amp;IF($Y108&lt;=TODAY()," is due TODAY ("," is due next business day (")&amp;TEXT($Y108,"dd-mmm")&amp;").","Next: "&amp;$Z108&amp;" due "&amp;TEXT($Y108,"dd-mmm")&amp;" ("&amp;(NETWORKDAYS(TODAY(),$Y108,Holidays)-1)&amp;" business day(s) left).")))))</f>
        <v/>
      </c>
      <c r="V108" s="17">
        <f>IF($W108="","",CHOOSE($W108,"Collection Email","1st Follow-up","2nd Follow-up","Local Office","CBE","Roxanne")&amp;IF($W108=6," - Final"," - Day "&amp;MAX(0,NETWORKDAYS($X108,TODAY(),Holidays)-1)&amp;" of "&amp;CHOOSE($W108,3,3,2,2,3))&amp;" | Total Day "&amp;MAX(0,NETWORKDAYS($L108,TODAY(),Holidays)-1))</f>
        <v/>
      </c>
      <c r="W108" s="17">
        <f>IF($L108="","",COUNT($L108:$Q108))</f>
        <v/>
      </c>
      <c r="X108" s="18">
        <f>IF($W108="","",INT(INDEX($L108:$Q108,$W108)))</f>
        <v/>
      </c>
      <c r="Y108" s="18">
        <f>IF(OR($W108="",$W108=6),"",WORKDAY($X108,CHOOSE($W108,3,3,2,2,3),Holidays))</f>
        <v/>
      </c>
      <c r="Z108" s="17">
        <f>IF(OR($W108="",$W108=6),"",CHOOSE($W108,"1st Email Follow-up","2nd Email Follow-up","Escalate Local Office","Escalate to CBE","Escalate to Roxanne"))</f>
        <v/>
      </c>
    </row>
    <row r="109" spans="18:26">
      <c r="R109" s="15"/>
      <c r="S109" s="16"/>
      <c r="T109" s="17">
        <f>IF(AND(COUNTA($A109:$K109)=0,$L109=""),"",IF($S109="Paid","PAID",IF($S109="Closed","CLOSED",IF($W109="","",IF($W109=6,"ESCALATED TO ROXANNE",IF(TODAY()&gt;$Y109,"OVERDUE",IF($Y109&lt;=WORKDAY(TODAY(),1,Holidays),"DUE TOMORROW",IF($W109=4,"ESCALATED TO LOCAL OFFICE",IF($W109=5,"ESCALATED TO CBE",IF($X109=TODAY(),"EMAIL SENT","MONITORING"))))))))))</f>
        <v/>
      </c>
      <c r="U109" s="17">
        <f>IF($T109="",IF(AND(COUNTA($A109:$K109)&gt;0,$L109=""),"Awaiting Collection Email time stamp.",""),IF(OR($T109="PAID",$T109="CLOSED"),IF($T109="PAID","Account paid. Action completed.","Account closed. No further action required."),CHOOSE($W109,"Collection Email","1st Email Follow-up","2nd Email Follow-up","Escalation to Local Office","Escalation to CBE","Escalation to Roxanne")&amp;" sent "&amp;TEXT($X109,"dd-mmm")&amp;". "&amp;IF($W109=6,"Final escalation completed.",IF($T109="OVERDUE","Next: "&amp;$Z109&amp;" was due "&amp;TEXT($Y109,"dd-mmm")&amp;" - "&amp;(NETWORKDAYS($Y109,TODAY(),Holidays)-1)&amp;" business day(s) late. Send now.",IF($T109="DUE TOMORROW","Next: "&amp;$Z109&amp;IF($Y109&lt;=TODAY()," is due TODAY ("," is due next business day (")&amp;TEXT($Y109,"dd-mmm")&amp;").","Next: "&amp;$Z109&amp;" due "&amp;TEXT($Y109,"dd-mmm")&amp;" ("&amp;(NETWORKDAYS(TODAY(),$Y109,Holidays)-1)&amp;" business day(s) left).")))))</f>
        <v/>
      </c>
      <c r="V109" s="17">
        <f>IF($W109="","",CHOOSE($W109,"Collection Email","1st Follow-up","2nd Follow-up","Local Office","CBE","Roxanne")&amp;IF($W109=6," - Final"," - Day "&amp;MAX(0,NETWORKDAYS($X109,TODAY(),Holidays)-1)&amp;" of "&amp;CHOOSE($W109,3,3,2,2,3))&amp;" | Total Day "&amp;MAX(0,NETWORKDAYS($L109,TODAY(),Holidays)-1))</f>
        <v/>
      </c>
      <c r="W109" s="17">
        <f>IF($L109="","",COUNT($L109:$Q109))</f>
        <v/>
      </c>
      <c r="X109" s="18">
        <f>IF($W109="","",INT(INDEX($L109:$Q109,$W109)))</f>
        <v/>
      </c>
      <c r="Y109" s="18">
        <f>IF(OR($W109="",$W109=6),"",WORKDAY($X109,CHOOSE($W109,3,3,2,2,3),Holidays))</f>
        <v/>
      </c>
      <c r="Z109" s="17">
        <f>IF(OR($W109="",$W109=6),"",CHOOSE($W109,"1st Email Follow-up","2nd Email Follow-up","Escalate Local Office","Escalate to CBE","Escalate to Roxanne"))</f>
        <v/>
      </c>
    </row>
    <row r="110" spans="18:26">
      <c r="R110" s="15"/>
      <c r="S110" s="16"/>
      <c r="T110" s="17">
        <f>IF(AND(COUNTA($A110:$K110)=0,$L110=""),"",IF($S110="Paid","PAID",IF($S110="Closed","CLOSED",IF($W110="","",IF($W110=6,"ESCALATED TO ROXANNE",IF(TODAY()&gt;$Y110,"OVERDUE",IF($Y110&lt;=WORKDAY(TODAY(),1,Holidays),"DUE TOMORROW",IF($W110=4,"ESCALATED TO LOCAL OFFICE",IF($W110=5,"ESCALATED TO CBE",IF($X110=TODAY(),"EMAIL SENT","MONITORING"))))))))))</f>
        <v/>
      </c>
      <c r="U110" s="17">
        <f>IF($T110="",IF(AND(COUNTA($A110:$K110)&gt;0,$L110=""),"Awaiting Collection Email time stamp.",""),IF(OR($T110="PAID",$T110="CLOSED"),IF($T110="PAID","Account paid. Action completed.","Account closed. No further action required."),CHOOSE($W110,"Collection Email","1st Email Follow-up","2nd Email Follow-up","Escalation to Local Office","Escalation to CBE","Escalation to Roxanne")&amp;" sent "&amp;TEXT($X110,"dd-mmm")&amp;". "&amp;IF($W110=6,"Final escalation completed.",IF($T110="OVERDUE","Next: "&amp;$Z110&amp;" was due "&amp;TEXT($Y110,"dd-mmm")&amp;" - "&amp;(NETWORKDAYS($Y110,TODAY(),Holidays)-1)&amp;" business day(s) late. Send now.",IF($T110="DUE TOMORROW","Next: "&amp;$Z110&amp;IF($Y110&lt;=TODAY()," is due TODAY ("," is due next business day (")&amp;TEXT($Y110,"dd-mmm")&amp;").","Next: "&amp;$Z110&amp;" due "&amp;TEXT($Y110,"dd-mmm")&amp;" ("&amp;(NETWORKDAYS(TODAY(),$Y110,Holidays)-1)&amp;" business day(s) left).")))))</f>
        <v/>
      </c>
      <c r="V110" s="17">
        <f>IF($W110="","",CHOOSE($W110,"Collection Email","1st Follow-up","2nd Follow-up","Local Office","CBE","Roxanne")&amp;IF($W110=6," - Final"," - Day "&amp;MAX(0,NETWORKDAYS($X110,TODAY(),Holidays)-1)&amp;" of "&amp;CHOOSE($W110,3,3,2,2,3))&amp;" | Total Day "&amp;MAX(0,NETWORKDAYS($L110,TODAY(),Holidays)-1))</f>
        <v/>
      </c>
      <c r="W110" s="17">
        <f>IF($L110="","",COUNT($L110:$Q110))</f>
        <v/>
      </c>
      <c r="X110" s="18">
        <f>IF($W110="","",INT(INDEX($L110:$Q110,$W110)))</f>
        <v/>
      </c>
      <c r="Y110" s="18">
        <f>IF(OR($W110="",$W110=6),"",WORKDAY($X110,CHOOSE($W110,3,3,2,2,3),Holidays))</f>
        <v/>
      </c>
      <c r="Z110" s="17">
        <f>IF(OR($W110="",$W110=6),"",CHOOSE($W110,"1st Email Follow-up","2nd Email Follow-up","Escalate Local Office","Escalate to CBE","Escalate to Roxanne"))</f>
        <v/>
      </c>
    </row>
    <row r="111" spans="18:26">
      <c r="R111" s="15"/>
      <c r="S111" s="16"/>
      <c r="T111" s="17">
        <f>IF(AND(COUNTA($A111:$K111)=0,$L111=""),"",IF($S111="Paid","PAID",IF($S111="Closed","CLOSED",IF($W111="","",IF($W111=6,"ESCALATED TO ROXANNE",IF(TODAY()&gt;$Y111,"OVERDUE",IF($Y111&lt;=WORKDAY(TODAY(),1,Holidays),"DUE TOMORROW",IF($W111=4,"ESCALATED TO LOCAL OFFICE",IF($W111=5,"ESCALATED TO CBE",IF($X111=TODAY(),"EMAIL SENT","MONITORING"))))))))))</f>
        <v/>
      </c>
      <c r="U111" s="17">
        <f>IF($T111="",IF(AND(COUNTA($A111:$K111)&gt;0,$L111=""),"Awaiting Collection Email time stamp.",""),IF(OR($T111="PAID",$T111="CLOSED"),IF($T111="PAID","Account paid. Action completed.","Account closed. No further action required."),CHOOSE($W111,"Collection Email","1st Email Follow-up","2nd Email Follow-up","Escalation to Local Office","Escalation to CBE","Escalation to Roxanne")&amp;" sent "&amp;TEXT($X111,"dd-mmm")&amp;". "&amp;IF($W111=6,"Final escalation completed.",IF($T111="OVERDUE","Next: "&amp;$Z111&amp;" was due "&amp;TEXT($Y111,"dd-mmm")&amp;" - "&amp;(NETWORKDAYS($Y111,TODAY(),Holidays)-1)&amp;" business day(s) late. Send now.",IF($T111="DUE TOMORROW","Next: "&amp;$Z111&amp;IF($Y111&lt;=TODAY()," is due TODAY ("," is due next business day (")&amp;TEXT($Y111,"dd-mmm")&amp;").","Next: "&amp;$Z111&amp;" due "&amp;TEXT($Y111,"dd-mmm")&amp;" ("&amp;(NETWORKDAYS(TODAY(),$Y111,Holidays)-1)&amp;" business day(s) left).")))))</f>
        <v/>
      </c>
      <c r="V111" s="17">
        <f>IF($W111="","",CHOOSE($W111,"Collection Email","1st Follow-up","2nd Follow-up","Local Office","CBE","Roxanne")&amp;IF($W111=6," - Final"," - Day "&amp;MAX(0,NETWORKDAYS($X111,TODAY(),Holidays)-1)&amp;" of "&amp;CHOOSE($W111,3,3,2,2,3))&amp;" | Total Day "&amp;MAX(0,NETWORKDAYS($L111,TODAY(),Holidays)-1))</f>
        <v/>
      </c>
      <c r="W111" s="17">
        <f>IF($L111="","",COUNT($L111:$Q111))</f>
        <v/>
      </c>
      <c r="X111" s="18">
        <f>IF($W111="","",INT(INDEX($L111:$Q111,$W111)))</f>
        <v/>
      </c>
      <c r="Y111" s="18">
        <f>IF(OR($W111="",$W111=6),"",WORKDAY($X111,CHOOSE($W111,3,3,2,2,3),Holidays))</f>
        <v/>
      </c>
      <c r="Z111" s="17">
        <f>IF(OR($W111="",$W111=6),"",CHOOSE($W111,"1st Email Follow-up","2nd Email Follow-up","Escalate Local Office","Escalate to CBE","Escalate to Roxanne"))</f>
        <v/>
      </c>
    </row>
    <row r="112" spans="18:26">
      <c r="R112" s="15"/>
      <c r="S112" s="16"/>
      <c r="T112" s="17">
        <f>IF(AND(COUNTA($A112:$K112)=0,$L112=""),"",IF($S112="Paid","PAID",IF($S112="Closed","CLOSED",IF($W112="","",IF($W112=6,"ESCALATED TO ROXANNE",IF(TODAY()&gt;$Y112,"OVERDUE",IF($Y112&lt;=WORKDAY(TODAY(),1,Holidays),"DUE TOMORROW",IF($W112=4,"ESCALATED TO LOCAL OFFICE",IF($W112=5,"ESCALATED TO CBE",IF($X112=TODAY(),"EMAIL SENT","MONITORING"))))))))))</f>
        <v/>
      </c>
      <c r="U112" s="17">
        <f>IF($T112="",IF(AND(COUNTA($A112:$K112)&gt;0,$L112=""),"Awaiting Collection Email time stamp.",""),IF(OR($T112="PAID",$T112="CLOSED"),IF($T112="PAID","Account paid. Action completed.","Account closed. No further action required."),CHOOSE($W112,"Collection Email","1st Email Follow-up","2nd Email Follow-up","Escalation to Local Office","Escalation to CBE","Escalation to Roxanne")&amp;" sent "&amp;TEXT($X112,"dd-mmm")&amp;". "&amp;IF($W112=6,"Final escalation completed.",IF($T112="OVERDUE","Next: "&amp;$Z112&amp;" was due "&amp;TEXT($Y112,"dd-mmm")&amp;" - "&amp;(NETWORKDAYS($Y112,TODAY(),Holidays)-1)&amp;" business day(s) late. Send now.",IF($T112="DUE TOMORROW","Next: "&amp;$Z112&amp;IF($Y112&lt;=TODAY()," is due TODAY ("," is due next business day (")&amp;TEXT($Y112,"dd-mmm")&amp;").","Next: "&amp;$Z112&amp;" due "&amp;TEXT($Y112,"dd-mmm")&amp;" ("&amp;(NETWORKDAYS(TODAY(),$Y112,Holidays)-1)&amp;" business day(s) left).")))))</f>
        <v/>
      </c>
      <c r="V112" s="17">
        <f>IF($W112="","",CHOOSE($W112,"Collection Email","1st Follow-up","2nd Follow-up","Local Office","CBE","Roxanne")&amp;IF($W112=6," - Final"," - Day "&amp;MAX(0,NETWORKDAYS($X112,TODAY(),Holidays)-1)&amp;" of "&amp;CHOOSE($W112,3,3,2,2,3))&amp;" | Total Day "&amp;MAX(0,NETWORKDAYS($L112,TODAY(),Holidays)-1))</f>
        <v/>
      </c>
      <c r="W112" s="17">
        <f>IF($L112="","",COUNT($L112:$Q112))</f>
        <v/>
      </c>
      <c r="X112" s="18">
        <f>IF($W112="","",INT(INDEX($L112:$Q112,$W112)))</f>
        <v/>
      </c>
      <c r="Y112" s="18">
        <f>IF(OR($W112="",$W112=6),"",WORKDAY($X112,CHOOSE($W112,3,3,2,2,3),Holidays))</f>
        <v/>
      </c>
      <c r="Z112" s="17">
        <f>IF(OR($W112="",$W112=6),"",CHOOSE($W112,"1st Email Follow-up","2nd Email Follow-up","Escalate Local Office","Escalate to CBE","Escalate to Roxanne"))</f>
        <v/>
      </c>
    </row>
    <row r="113" spans="18:26">
      <c r="R113" s="15"/>
      <c r="S113" s="16"/>
      <c r="T113" s="17">
        <f>IF(AND(COUNTA($A113:$K113)=0,$L113=""),"",IF($S113="Paid","PAID",IF($S113="Closed","CLOSED",IF($W113="","",IF($W113=6,"ESCALATED TO ROXANNE",IF(TODAY()&gt;$Y113,"OVERDUE",IF($Y113&lt;=WORKDAY(TODAY(),1,Holidays),"DUE TOMORROW",IF($W113=4,"ESCALATED TO LOCAL OFFICE",IF($W113=5,"ESCALATED TO CBE",IF($X113=TODAY(),"EMAIL SENT","MONITORING"))))))))))</f>
        <v/>
      </c>
      <c r="U113" s="17">
        <f>IF($T113="",IF(AND(COUNTA($A113:$K113)&gt;0,$L113=""),"Awaiting Collection Email time stamp.",""),IF(OR($T113="PAID",$T113="CLOSED"),IF($T113="PAID","Account paid. Action completed.","Account closed. No further action required."),CHOOSE($W113,"Collection Email","1st Email Follow-up","2nd Email Follow-up","Escalation to Local Office","Escalation to CBE","Escalation to Roxanne")&amp;" sent "&amp;TEXT($X113,"dd-mmm")&amp;". "&amp;IF($W113=6,"Final escalation completed.",IF($T113="OVERDUE","Next: "&amp;$Z113&amp;" was due "&amp;TEXT($Y113,"dd-mmm")&amp;" - "&amp;(NETWORKDAYS($Y113,TODAY(),Holidays)-1)&amp;" business day(s) late. Send now.",IF($T113="DUE TOMORROW","Next: "&amp;$Z113&amp;IF($Y113&lt;=TODAY()," is due TODAY ("," is due next business day (")&amp;TEXT($Y113,"dd-mmm")&amp;").","Next: "&amp;$Z113&amp;" due "&amp;TEXT($Y113,"dd-mmm")&amp;" ("&amp;(NETWORKDAYS(TODAY(),$Y113,Holidays)-1)&amp;" business day(s) left).")))))</f>
        <v/>
      </c>
      <c r="V113" s="17">
        <f>IF($W113="","",CHOOSE($W113,"Collection Email","1st Follow-up","2nd Follow-up","Local Office","CBE","Roxanne")&amp;IF($W113=6," - Final"," - Day "&amp;MAX(0,NETWORKDAYS($X113,TODAY(),Holidays)-1)&amp;" of "&amp;CHOOSE($W113,3,3,2,2,3))&amp;" | Total Day "&amp;MAX(0,NETWORKDAYS($L113,TODAY(),Holidays)-1))</f>
        <v/>
      </c>
      <c r="W113" s="17">
        <f>IF($L113="","",COUNT($L113:$Q113))</f>
        <v/>
      </c>
      <c r="X113" s="18">
        <f>IF($W113="","",INT(INDEX($L113:$Q113,$W113)))</f>
        <v/>
      </c>
      <c r="Y113" s="18">
        <f>IF(OR($W113="",$W113=6),"",WORKDAY($X113,CHOOSE($W113,3,3,2,2,3),Holidays))</f>
        <v/>
      </c>
      <c r="Z113" s="17">
        <f>IF(OR($W113="",$W113=6),"",CHOOSE($W113,"1st Email Follow-up","2nd Email Follow-up","Escalate Local Office","Escalate to CBE","Escalate to Roxanne"))</f>
        <v/>
      </c>
    </row>
    <row r="114" spans="18:26">
      <c r="R114" s="15"/>
      <c r="S114" s="16"/>
      <c r="T114" s="17">
        <f>IF(AND(COUNTA($A114:$K114)=0,$L114=""),"",IF($S114="Paid","PAID",IF($S114="Closed","CLOSED",IF($W114="","",IF($W114=6,"ESCALATED TO ROXANNE",IF(TODAY()&gt;$Y114,"OVERDUE",IF($Y114&lt;=WORKDAY(TODAY(),1,Holidays),"DUE TOMORROW",IF($W114=4,"ESCALATED TO LOCAL OFFICE",IF($W114=5,"ESCALATED TO CBE",IF($X114=TODAY(),"EMAIL SENT","MONITORING"))))))))))</f>
        <v/>
      </c>
      <c r="U114" s="17">
        <f>IF($T114="",IF(AND(COUNTA($A114:$K114)&gt;0,$L114=""),"Awaiting Collection Email time stamp.",""),IF(OR($T114="PAID",$T114="CLOSED"),IF($T114="PAID","Account paid. Action completed.","Account closed. No further action required."),CHOOSE($W114,"Collection Email","1st Email Follow-up","2nd Email Follow-up","Escalation to Local Office","Escalation to CBE","Escalation to Roxanne")&amp;" sent "&amp;TEXT($X114,"dd-mmm")&amp;". "&amp;IF($W114=6,"Final escalation completed.",IF($T114="OVERDUE","Next: "&amp;$Z114&amp;" was due "&amp;TEXT($Y114,"dd-mmm")&amp;" - "&amp;(NETWORKDAYS($Y114,TODAY(),Holidays)-1)&amp;" business day(s) late. Send now.",IF($T114="DUE TOMORROW","Next: "&amp;$Z114&amp;IF($Y114&lt;=TODAY()," is due TODAY ("," is due next business day (")&amp;TEXT($Y114,"dd-mmm")&amp;").","Next: "&amp;$Z114&amp;" due "&amp;TEXT($Y114,"dd-mmm")&amp;" ("&amp;(NETWORKDAYS(TODAY(),$Y114,Holidays)-1)&amp;" business day(s) left).")))))</f>
        <v/>
      </c>
      <c r="V114" s="17">
        <f>IF($W114="","",CHOOSE($W114,"Collection Email","1st Follow-up","2nd Follow-up","Local Office","CBE","Roxanne")&amp;IF($W114=6," - Final"," - Day "&amp;MAX(0,NETWORKDAYS($X114,TODAY(),Holidays)-1)&amp;" of "&amp;CHOOSE($W114,3,3,2,2,3))&amp;" | Total Day "&amp;MAX(0,NETWORKDAYS($L114,TODAY(),Holidays)-1))</f>
        <v/>
      </c>
      <c r="W114" s="17">
        <f>IF($L114="","",COUNT($L114:$Q114))</f>
        <v/>
      </c>
      <c r="X114" s="18">
        <f>IF($W114="","",INT(INDEX($L114:$Q114,$W114)))</f>
        <v/>
      </c>
      <c r="Y114" s="18">
        <f>IF(OR($W114="",$W114=6),"",WORKDAY($X114,CHOOSE($W114,3,3,2,2,3),Holidays))</f>
        <v/>
      </c>
      <c r="Z114" s="17">
        <f>IF(OR($W114="",$W114=6),"",CHOOSE($W114,"1st Email Follow-up","2nd Email Follow-up","Escalate Local Office","Escalate to CBE","Escalate to Roxanne"))</f>
        <v/>
      </c>
    </row>
    <row r="115" spans="18:26">
      <c r="R115" s="15"/>
      <c r="S115" s="16"/>
      <c r="T115" s="17">
        <f>IF(AND(COUNTA($A115:$K115)=0,$L115=""),"",IF($S115="Paid","PAID",IF($S115="Closed","CLOSED",IF($W115="","",IF($W115=6,"ESCALATED TO ROXANNE",IF(TODAY()&gt;$Y115,"OVERDUE",IF($Y115&lt;=WORKDAY(TODAY(),1,Holidays),"DUE TOMORROW",IF($W115=4,"ESCALATED TO LOCAL OFFICE",IF($W115=5,"ESCALATED TO CBE",IF($X115=TODAY(),"EMAIL SENT","MONITORING"))))))))))</f>
        <v/>
      </c>
      <c r="U115" s="17">
        <f>IF($T115="",IF(AND(COUNTA($A115:$K115)&gt;0,$L115=""),"Awaiting Collection Email time stamp.",""),IF(OR($T115="PAID",$T115="CLOSED"),IF($T115="PAID","Account paid. Action completed.","Account closed. No further action required."),CHOOSE($W115,"Collection Email","1st Email Follow-up","2nd Email Follow-up","Escalation to Local Office","Escalation to CBE","Escalation to Roxanne")&amp;" sent "&amp;TEXT($X115,"dd-mmm")&amp;". "&amp;IF($W115=6,"Final escalation completed.",IF($T115="OVERDUE","Next: "&amp;$Z115&amp;" was due "&amp;TEXT($Y115,"dd-mmm")&amp;" - "&amp;(NETWORKDAYS($Y115,TODAY(),Holidays)-1)&amp;" business day(s) late. Send now.",IF($T115="DUE TOMORROW","Next: "&amp;$Z115&amp;IF($Y115&lt;=TODAY()," is due TODAY ("," is due next business day (")&amp;TEXT($Y115,"dd-mmm")&amp;").","Next: "&amp;$Z115&amp;" due "&amp;TEXT($Y115,"dd-mmm")&amp;" ("&amp;(NETWORKDAYS(TODAY(),$Y115,Holidays)-1)&amp;" business day(s) left).")))))</f>
        <v/>
      </c>
      <c r="V115" s="17">
        <f>IF($W115="","",CHOOSE($W115,"Collection Email","1st Follow-up","2nd Follow-up","Local Office","CBE","Roxanne")&amp;IF($W115=6," - Final"," - Day "&amp;MAX(0,NETWORKDAYS($X115,TODAY(),Holidays)-1)&amp;" of "&amp;CHOOSE($W115,3,3,2,2,3))&amp;" | Total Day "&amp;MAX(0,NETWORKDAYS($L115,TODAY(),Holidays)-1))</f>
        <v/>
      </c>
      <c r="W115" s="17">
        <f>IF($L115="","",COUNT($L115:$Q115))</f>
        <v/>
      </c>
      <c r="X115" s="18">
        <f>IF($W115="","",INT(INDEX($L115:$Q115,$W115)))</f>
        <v/>
      </c>
      <c r="Y115" s="18">
        <f>IF(OR($W115="",$W115=6),"",WORKDAY($X115,CHOOSE($W115,3,3,2,2,3),Holidays))</f>
        <v/>
      </c>
      <c r="Z115" s="17">
        <f>IF(OR($W115="",$W115=6),"",CHOOSE($W115,"1st Email Follow-up","2nd Email Follow-up","Escalate Local Office","Escalate to CBE","Escalate to Roxanne"))</f>
        <v/>
      </c>
    </row>
    <row r="116" spans="18:26">
      <c r="R116" s="15"/>
      <c r="S116" s="16"/>
      <c r="T116" s="17">
        <f>IF(AND(COUNTA($A116:$K116)=0,$L116=""),"",IF($S116="Paid","PAID",IF($S116="Closed","CLOSED",IF($W116="","",IF($W116=6,"ESCALATED TO ROXANNE",IF(TODAY()&gt;$Y116,"OVERDUE",IF($Y116&lt;=WORKDAY(TODAY(),1,Holidays),"DUE TOMORROW",IF($W116=4,"ESCALATED TO LOCAL OFFICE",IF($W116=5,"ESCALATED TO CBE",IF($X116=TODAY(),"EMAIL SENT","MONITORING"))))))))))</f>
        <v/>
      </c>
      <c r="U116" s="17">
        <f>IF($T116="",IF(AND(COUNTA($A116:$K116)&gt;0,$L116=""),"Awaiting Collection Email time stamp.",""),IF(OR($T116="PAID",$T116="CLOSED"),IF($T116="PAID","Account paid. Action completed.","Account closed. No further action required."),CHOOSE($W116,"Collection Email","1st Email Follow-up","2nd Email Follow-up","Escalation to Local Office","Escalation to CBE","Escalation to Roxanne")&amp;" sent "&amp;TEXT($X116,"dd-mmm")&amp;". "&amp;IF($W116=6,"Final escalation completed.",IF($T116="OVERDUE","Next: "&amp;$Z116&amp;" was due "&amp;TEXT($Y116,"dd-mmm")&amp;" - "&amp;(NETWORKDAYS($Y116,TODAY(),Holidays)-1)&amp;" business day(s) late. Send now.",IF($T116="DUE TOMORROW","Next: "&amp;$Z116&amp;IF($Y116&lt;=TODAY()," is due TODAY ("," is due next business day (")&amp;TEXT($Y116,"dd-mmm")&amp;").","Next: "&amp;$Z116&amp;" due "&amp;TEXT($Y116,"dd-mmm")&amp;" ("&amp;(NETWORKDAYS(TODAY(),$Y116,Holidays)-1)&amp;" business day(s) left).")))))</f>
        <v/>
      </c>
      <c r="V116" s="17">
        <f>IF($W116="","",CHOOSE($W116,"Collection Email","1st Follow-up","2nd Follow-up","Local Office","CBE","Roxanne")&amp;IF($W116=6," - Final"," - Day "&amp;MAX(0,NETWORKDAYS($X116,TODAY(),Holidays)-1)&amp;" of "&amp;CHOOSE($W116,3,3,2,2,3))&amp;" | Total Day "&amp;MAX(0,NETWORKDAYS($L116,TODAY(),Holidays)-1))</f>
        <v/>
      </c>
      <c r="W116" s="17">
        <f>IF($L116="","",COUNT($L116:$Q116))</f>
        <v/>
      </c>
      <c r="X116" s="18">
        <f>IF($W116="","",INT(INDEX($L116:$Q116,$W116)))</f>
        <v/>
      </c>
      <c r="Y116" s="18">
        <f>IF(OR($W116="",$W116=6),"",WORKDAY($X116,CHOOSE($W116,3,3,2,2,3),Holidays))</f>
        <v/>
      </c>
      <c r="Z116" s="17">
        <f>IF(OR($W116="",$W116=6),"",CHOOSE($W116,"1st Email Follow-up","2nd Email Follow-up","Escalate Local Office","Escalate to CBE","Escalate to Roxanne"))</f>
        <v/>
      </c>
    </row>
    <row r="117" spans="18:26">
      <c r="R117" s="15"/>
      <c r="S117" s="16"/>
      <c r="T117" s="17">
        <f>IF(AND(COUNTA($A117:$K117)=0,$L117=""),"",IF($S117="Paid","PAID",IF($S117="Closed","CLOSED",IF($W117="","",IF($W117=6,"ESCALATED TO ROXANNE",IF(TODAY()&gt;$Y117,"OVERDUE",IF($Y117&lt;=WORKDAY(TODAY(),1,Holidays),"DUE TOMORROW",IF($W117=4,"ESCALATED TO LOCAL OFFICE",IF($W117=5,"ESCALATED TO CBE",IF($X117=TODAY(),"EMAIL SENT","MONITORING"))))))))))</f>
        <v/>
      </c>
      <c r="U117" s="17">
        <f>IF($T117="",IF(AND(COUNTA($A117:$K117)&gt;0,$L117=""),"Awaiting Collection Email time stamp.",""),IF(OR($T117="PAID",$T117="CLOSED"),IF($T117="PAID","Account paid. Action completed.","Account closed. No further action required."),CHOOSE($W117,"Collection Email","1st Email Follow-up","2nd Email Follow-up","Escalation to Local Office","Escalation to CBE","Escalation to Roxanne")&amp;" sent "&amp;TEXT($X117,"dd-mmm")&amp;". "&amp;IF($W117=6,"Final escalation completed.",IF($T117="OVERDUE","Next: "&amp;$Z117&amp;" was due "&amp;TEXT($Y117,"dd-mmm")&amp;" - "&amp;(NETWORKDAYS($Y117,TODAY(),Holidays)-1)&amp;" business day(s) late. Send now.",IF($T117="DUE TOMORROW","Next: "&amp;$Z117&amp;IF($Y117&lt;=TODAY()," is due TODAY ("," is due next business day (")&amp;TEXT($Y117,"dd-mmm")&amp;").","Next: "&amp;$Z117&amp;" due "&amp;TEXT($Y117,"dd-mmm")&amp;" ("&amp;(NETWORKDAYS(TODAY(),$Y117,Holidays)-1)&amp;" business day(s) left).")))))</f>
        <v/>
      </c>
      <c r="V117" s="17">
        <f>IF($W117="","",CHOOSE($W117,"Collection Email","1st Follow-up","2nd Follow-up","Local Office","CBE","Roxanne")&amp;IF($W117=6," - Final"," - Day "&amp;MAX(0,NETWORKDAYS($X117,TODAY(),Holidays)-1)&amp;" of "&amp;CHOOSE($W117,3,3,2,2,3))&amp;" | Total Day "&amp;MAX(0,NETWORKDAYS($L117,TODAY(),Holidays)-1))</f>
        <v/>
      </c>
      <c r="W117" s="17">
        <f>IF($L117="","",COUNT($L117:$Q117))</f>
        <v/>
      </c>
      <c r="X117" s="18">
        <f>IF($W117="","",INT(INDEX($L117:$Q117,$W117)))</f>
        <v/>
      </c>
      <c r="Y117" s="18">
        <f>IF(OR($W117="",$W117=6),"",WORKDAY($X117,CHOOSE($W117,3,3,2,2,3),Holidays))</f>
        <v/>
      </c>
      <c r="Z117" s="17">
        <f>IF(OR($W117="",$W117=6),"",CHOOSE($W117,"1st Email Follow-up","2nd Email Follow-up","Escalate Local Office","Escalate to CBE","Escalate to Roxanne"))</f>
        <v/>
      </c>
    </row>
    <row r="118" spans="18:26">
      <c r="R118" s="15"/>
      <c r="S118" s="16"/>
      <c r="T118" s="17">
        <f>IF(AND(COUNTA($A118:$K118)=0,$L118=""),"",IF($S118="Paid","PAID",IF($S118="Closed","CLOSED",IF($W118="","",IF($W118=6,"ESCALATED TO ROXANNE",IF(TODAY()&gt;$Y118,"OVERDUE",IF($Y118&lt;=WORKDAY(TODAY(),1,Holidays),"DUE TOMORROW",IF($W118=4,"ESCALATED TO LOCAL OFFICE",IF($W118=5,"ESCALATED TO CBE",IF($X118=TODAY(),"EMAIL SENT","MONITORING"))))))))))</f>
        <v/>
      </c>
      <c r="U118" s="17">
        <f>IF($T118="",IF(AND(COUNTA($A118:$K118)&gt;0,$L118=""),"Awaiting Collection Email time stamp.",""),IF(OR($T118="PAID",$T118="CLOSED"),IF($T118="PAID","Account paid. Action completed.","Account closed. No further action required."),CHOOSE($W118,"Collection Email","1st Email Follow-up","2nd Email Follow-up","Escalation to Local Office","Escalation to CBE","Escalation to Roxanne")&amp;" sent "&amp;TEXT($X118,"dd-mmm")&amp;". "&amp;IF($W118=6,"Final escalation completed.",IF($T118="OVERDUE","Next: "&amp;$Z118&amp;" was due "&amp;TEXT($Y118,"dd-mmm")&amp;" - "&amp;(NETWORKDAYS($Y118,TODAY(),Holidays)-1)&amp;" business day(s) late. Send now.",IF($T118="DUE TOMORROW","Next: "&amp;$Z118&amp;IF($Y118&lt;=TODAY()," is due TODAY ("," is due next business day (")&amp;TEXT($Y118,"dd-mmm")&amp;").","Next: "&amp;$Z118&amp;" due "&amp;TEXT($Y118,"dd-mmm")&amp;" ("&amp;(NETWORKDAYS(TODAY(),$Y118,Holidays)-1)&amp;" business day(s) left).")))))</f>
        <v/>
      </c>
      <c r="V118" s="17">
        <f>IF($W118="","",CHOOSE($W118,"Collection Email","1st Follow-up","2nd Follow-up","Local Office","CBE","Roxanne")&amp;IF($W118=6," - Final"," - Day "&amp;MAX(0,NETWORKDAYS($X118,TODAY(),Holidays)-1)&amp;" of "&amp;CHOOSE($W118,3,3,2,2,3))&amp;" | Total Day "&amp;MAX(0,NETWORKDAYS($L118,TODAY(),Holidays)-1))</f>
        <v/>
      </c>
      <c r="W118" s="17">
        <f>IF($L118="","",COUNT($L118:$Q118))</f>
        <v/>
      </c>
      <c r="X118" s="18">
        <f>IF($W118="","",INT(INDEX($L118:$Q118,$W118)))</f>
        <v/>
      </c>
      <c r="Y118" s="18">
        <f>IF(OR($W118="",$W118=6),"",WORKDAY($X118,CHOOSE($W118,3,3,2,2,3),Holidays))</f>
        <v/>
      </c>
      <c r="Z118" s="17">
        <f>IF(OR($W118="",$W118=6),"",CHOOSE($W118,"1st Email Follow-up","2nd Email Follow-up","Escalate Local Office","Escalate to CBE","Escalate to Roxanne"))</f>
        <v/>
      </c>
    </row>
    <row r="119" spans="18:26">
      <c r="R119" s="15"/>
      <c r="S119" s="16"/>
      <c r="T119" s="17">
        <f>IF(AND(COUNTA($A119:$K119)=0,$L119=""),"",IF($S119="Paid","PAID",IF($S119="Closed","CLOSED",IF($W119="","",IF($W119=6,"ESCALATED TO ROXANNE",IF(TODAY()&gt;$Y119,"OVERDUE",IF($Y119&lt;=WORKDAY(TODAY(),1,Holidays),"DUE TOMORROW",IF($W119=4,"ESCALATED TO LOCAL OFFICE",IF($W119=5,"ESCALATED TO CBE",IF($X119=TODAY(),"EMAIL SENT","MONITORING"))))))))))</f>
        <v/>
      </c>
      <c r="U119" s="17">
        <f>IF($T119="",IF(AND(COUNTA($A119:$K119)&gt;0,$L119=""),"Awaiting Collection Email time stamp.",""),IF(OR($T119="PAID",$T119="CLOSED"),IF($T119="PAID","Account paid. Action completed.","Account closed. No further action required."),CHOOSE($W119,"Collection Email","1st Email Follow-up","2nd Email Follow-up","Escalation to Local Office","Escalation to CBE","Escalation to Roxanne")&amp;" sent "&amp;TEXT($X119,"dd-mmm")&amp;". "&amp;IF($W119=6,"Final escalation completed.",IF($T119="OVERDUE","Next: "&amp;$Z119&amp;" was due "&amp;TEXT($Y119,"dd-mmm")&amp;" - "&amp;(NETWORKDAYS($Y119,TODAY(),Holidays)-1)&amp;" business day(s) late. Send now.",IF($T119="DUE TOMORROW","Next: "&amp;$Z119&amp;IF($Y119&lt;=TODAY()," is due TODAY ("," is due next business day (")&amp;TEXT($Y119,"dd-mmm")&amp;").","Next: "&amp;$Z119&amp;" due "&amp;TEXT($Y119,"dd-mmm")&amp;" ("&amp;(NETWORKDAYS(TODAY(),$Y119,Holidays)-1)&amp;" business day(s) left).")))))</f>
        <v/>
      </c>
      <c r="V119" s="17">
        <f>IF($W119="","",CHOOSE($W119,"Collection Email","1st Follow-up","2nd Follow-up","Local Office","CBE","Roxanne")&amp;IF($W119=6," - Final"," - Day "&amp;MAX(0,NETWORKDAYS($X119,TODAY(),Holidays)-1)&amp;" of "&amp;CHOOSE($W119,3,3,2,2,3))&amp;" | Total Day "&amp;MAX(0,NETWORKDAYS($L119,TODAY(),Holidays)-1))</f>
        <v/>
      </c>
      <c r="W119" s="17">
        <f>IF($L119="","",COUNT($L119:$Q119))</f>
        <v/>
      </c>
      <c r="X119" s="18">
        <f>IF($W119="","",INT(INDEX($L119:$Q119,$W119)))</f>
        <v/>
      </c>
      <c r="Y119" s="18">
        <f>IF(OR($W119="",$W119=6),"",WORKDAY($X119,CHOOSE($W119,3,3,2,2,3),Holidays))</f>
        <v/>
      </c>
      <c r="Z119" s="17">
        <f>IF(OR($W119="",$W119=6),"",CHOOSE($W119,"1st Email Follow-up","2nd Email Follow-up","Escalate Local Office","Escalate to CBE","Escalate to Roxanne"))</f>
        <v/>
      </c>
    </row>
    <row r="120" spans="18:26">
      <c r="R120" s="15"/>
      <c r="S120" s="16"/>
      <c r="T120" s="17">
        <f>IF(AND(COUNTA($A120:$K120)=0,$L120=""),"",IF($S120="Paid","PAID",IF($S120="Closed","CLOSED",IF($W120="","",IF($W120=6,"ESCALATED TO ROXANNE",IF(TODAY()&gt;$Y120,"OVERDUE",IF($Y120&lt;=WORKDAY(TODAY(),1,Holidays),"DUE TOMORROW",IF($W120=4,"ESCALATED TO LOCAL OFFICE",IF($W120=5,"ESCALATED TO CBE",IF($X120=TODAY(),"EMAIL SENT","MONITORING"))))))))))</f>
        <v/>
      </c>
      <c r="U120" s="17">
        <f>IF($T120="",IF(AND(COUNTA($A120:$K120)&gt;0,$L120=""),"Awaiting Collection Email time stamp.",""),IF(OR($T120="PAID",$T120="CLOSED"),IF($T120="PAID","Account paid. Action completed.","Account closed. No further action required."),CHOOSE($W120,"Collection Email","1st Email Follow-up","2nd Email Follow-up","Escalation to Local Office","Escalation to CBE","Escalation to Roxanne")&amp;" sent "&amp;TEXT($X120,"dd-mmm")&amp;". "&amp;IF($W120=6,"Final escalation completed.",IF($T120="OVERDUE","Next: "&amp;$Z120&amp;" was due "&amp;TEXT($Y120,"dd-mmm")&amp;" - "&amp;(NETWORKDAYS($Y120,TODAY(),Holidays)-1)&amp;" business day(s) late. Send now.",IF($T120="DUE TOMORROW","Next: "&amp;$Z120&amp;IF($Y120&lt;=TODAY()," is due TODAY ("," is due next business day (")&amp;TEXT($Y120,"dd-mmm")&amp;").","Next: "&amp;$Z120&amp;" due "&amp;TEXT($Y120,"dd-mmm")&amp;" ("&amp;(NETWORKDAYS(TODAY(),$Y120,Holidays)-1)&amp;" business day(s) left).")))))</f>
        <v/>
      </c>
      <c r="V120" s="17">
        <f>IF($W120="","",CHOOSE($W120,"Collection Email","1st Follow-up","2nd Follow-up","Local Office","CBE","Roxanne")&amp;IF($W120=6," - Final"," - Day "&amp;MAX(0,NETWORKDAYS($X120,TODAY(),Holidays)-1)&amp;" of "&amp;CHOOSE($W120,3,3,2,2,3))&amp;" | Total Day "&amp;MAX(0,NETWORKDAYS($L120,TODAY(),Holidays)-1))</f>
        <v/>
      </c>
      <c r="W120" s="17">
        <f>IF($L120="","",COUNT($L120:$Q120))</f>
        <v/>
      </c>
      <c r="X120" s="18">
        <f>IF($W120="","",INT(INDEX($L120:$Q120,$W120)))</f>
        <v/>
      </c>
      <c r="Y120" s="18">
        <f>IF(OR($W120="",$W120=6),"",WORKDAY($X120,CHOOSE($W120,3,3,2,2,3),Holidays))</f>
        <v/>
      </c>
      <c r="Z120" s="17">
        <f>IF(OR($W120="",$W120=6),"",CHOOSE($W120,"1st Email Follow-up","2nd Email Follow-up","Escalate Local Office","Escalate to CBE","Escalate to Roxanne"))</f>
        <v/>
      </c>
    </row>
    <row r="121" spans="18:26">
      <c r="R121" s="15"/>
      <c r="S121" s="16"/>
      <c r="T121" s="17">
        <f>IF(AND(COUNTA($A121:$K121)=0,$L121=""),"",IF($S121="Paid","PAID",IF($S121="Closed","CLOSED",IF($W121="","",IF($W121=6,"ESCALATED TO ROXANNE",IF(TODAY()&gt;$Y121,"OVERDUE",IF($Y121&lt;=WORKDAY(TODAY(),1,Holidays),"DUE TOMORROW",IF($W121=4,"ESCALATED TO LOCAL OFFICE",IF($W121=5,"ESCALATED TO CBE",IF($X121=TODAY(),"EMAIL SENT","MONITORING"))))))))))</f>
        <v/>
      </c>
      <c r="U121" s="17">
        <f>IF($T121="",IF(AND(COUNTA($A121:$K121)&gt;0,$L121=""),"Awaiting Collection Email time stamp.",""),IF(OR($T121="PAID",$T121="CLOSED"),IF($T121="PAID","Account paid. Action completed.","Account closed. No further action required."),CHOOSE($W121,"Collection Email","1st Email Follow-up","2nd Email Follow-up","Escalation to Local Office","Escalation to CBE","Escalation to Roxanne")&amp;" sent "&amp;TEXT($X121,"dd-mmm")&amp;". "&amp;IF($W121=6,"Final escalation completed.",IF($T121="OVERDUE","Next: "&amp;$Z121&amp;" was due "&amp;TEXT($Y121,"dd-mmm")&amp;" - "&amp;(NETWORKDAYS($Y121,TODAY(),Holidays)-1)&amp;" business day(s) late. Send now.",IF($T121="DUE TOMORROW","Next: "&amp;$Z121&amp;IF($Y121&lt;=TODAY()," is due TODAY ("," is due next business day (")&amp;TEXT($Y121,"dd-mmm")&amp;").","Next: "&amp;$Z121&amp;" due "&amp;TEXT($Y121,"dd-mmm")&amp;" ("&amp;(NETWORKDAYS(TODAY(),$Y121,Holidays)-1)&amp;" business day(s) left).")))))</f>
        <v/>
      </c>
      <c r="V121" s="17">
        <f>IF($W121="","",CHOOSE($W121,"Collection Email","1st Follow-up","2nd Follow-up","Local Office","CBE","Roxanne")&amp;IF($W121=6," - Final"," - Day "&amp;MAX(0,NETWORKDAYS($X121,TODAY(),Holidays)-1)&amp;" of "&amp;CHOOSE($W121,3,3,2,2,3))&amp;" | Total Day "&amp;MAX(0,NETWORKDAYS($L121,TODAY(),Holidays)-1))</f>
        <v/>
      </c>
      <c r="W121" s="17">
        <f>IF($L121="","",COUNT($L121:$Q121))</f>
        <v/>
      </c>
      <c r="X121" s="18">
        <f>IF($W121="","",INT(INDEX($L121:$Q121,$W121)))</f>
        <v/>
      </c>
      <c r="Y121" s="18">
        <f>IF(OR($W121="",$W121=6),"",WORKDAY($X121,CHOOSE($W121,3,3,2,2,3),Holidays))</f>
        <v/>
      </c>
      <c r="Z121" s="17">
        <f>IF(OR($W121="",$W121=6),"",CHOOSE($W121,"1st Email Follow-up","2nd Email Follow-up","Escalate Local Office","Escalate to CBE","Escalate to Roxanne"))</f>
        <v/>
      </c>
    </row>
    <row r="122" spans="18:26">
      <c r="R122" s="15"/>
      <c r="S122" s="16"/>
      <c r="T122" s="17">
        <f>IF(AND(COUNTA($A122:$K122)=0,$L122=""),"",IF($S122="Paid","PAID",IF($S122="Closed","CLOSED",IF($W122="","",IF($W122=6,"ESCALATED TO ROXANNE",IF(TODAY()&gt;$Y122,"OVERDUE",IF($Y122&lt;=WORKDAY(TODAY(),1,Holidays),"DUE TOMORROW",IF($W122=4,"ESCALATED TO LOCAL OFFICE",IF($W122=5,"ESCALATED TO CBE",IF($X122=TODAY(),"EMAIL SENT","MONITORING"))))))))))</f>
        <v/>
      </c>
      <c r="U122" s="17">
        <f>IF($T122="",IF(AND(COUNTA($A122:$K122)&gt;0,$L122=""),"Awaiting Collection Email time stamp.",""),IF(OR($T122="PAID",$T122="CLOSED"),IF($T122="PAID","Account paid. Action completed.","Account closed. No further action required."),CHOOSE($W122,"Collection Email","1st Email Follow-up","2nd Email Follow-up","Escalation to Local Office","Escalation to CBE","Escalation to Roxanne")&amp;" sent "&amp;TEXT($X122,"dd-mmm")&amp;". "&amp;IF($W122=6,"Final escalation completed.",IF($T122="OVERDUE","Next: "&amp;$Z122&amp;" was due "&amp;TEXT($Y122,"dd-mmm")&amp;" - "&amp;(NETWORKDAYS($Y122,TODAY(),Holidays)-1)&amp;" business day(s) late. Send now.",IF($T122="DUE TOMORROW","Next: "&amp;$Z122&amp;IF($Y122&lt;=TODAY()," is due TODAY ("," is due next business day (")&amp;TEXT($Y122,"dd-mmm")&amp;").","Next: "&amp;$Z122&amp;" due "&amp;TEXT($Y122,"dd-mmm")&amp;" ("&amp;(NETWORKDAYS(TODAY(),$Y122,Holidays)-1)&amp;" business day(s) left).")))))</f>
        <v/>
      </c>
      <c r="V122" s="17">
        <f>IF($W122="","",CHOOSE($W122,"Collection Email","1st Follow-up","2nd Follow-up","Local Office","CBE","Roxanne")&amp;IF($W122=6," - Final"," - Day "&amp;MAX(0,NETWORKDAYS($X122,TODAY(),Holidays)-1)&amp;" of "&amp;CHOOSE($W122,3,3,2,2,3))&amp;" | Total Day "&amp;MAX(0,NETWORKDAYS($L122,TODAY(),Holidays)-1))</f>
        <v/>
      </c>
      <c r="W122" s="17">
        <f>IF($L122="","",COUNT($L122:$Q122))</f>
        <v/>
      </c>
      <c r="X122" s="18">
        <f>IF($W122="","",INT(INDEX($L122:$Q122,$W122)))</f>
        <v/>
      </c>
      <c r="Y122" s="18">
        <f>IF(OR($W122="",$W122=6),"",WORKDAY($X122,CHOOSE($W122,3,3,2,2,3),Holidays))</f>
        <v/>
      </c>
      <c r="Z122" s="17">
        <f>IF(OR($W122="",$W122=6),"",CHOOSE($W122,"1st Email Follow-up","2nd Email Follow-up","Escalate Local Office","Escalate to CBE","Escalate to Roxanne"))</f>
        <v/>
      </c>
    </row>
    <row r="123" spans="18:26">
      <c r="R123" s="15"/>
      <c r="S123" s="16"/>
      <c r="T123" s="17">
        <f>IF(AND(COUNTA($A123:$K123)=0,$L123=""),"",IF($S123="Paid","PAID",IF($S123="Closed","CLOSED",IF($W123="","",IF($W123=6,"ESCALATED TO ROXANNE",IF(TODAY()&gt;$Y123,"OVERDUE",IF($Y123&lt;=WORKDAY(TODAY(),1,Holidays),"DUE TOMORROW",IF($W123=4,"ESCALATED TO LOCAL OFFICE",IF($W123=5,"ESCALATED TO CBE",IF($X123=TODAY(),"EMAIL SENT","MONITORING"))))))))))</f>
        <v/>
      </c>
      <c r="U123" s="17">
        <f>IF($T123="",IF(AND(COUNTA($A123:$K123)&gt;0,$L123=""),"Awaiting Collection Email time stamp.",""),IF(OR($T123="PAID",$T123="CLOSED"),IF($T123="PAID","Account paid. Action completed.","Account closed. No further action required."),CHOOSE($W123,"Collection Email","1st Email Follow-up","2nd Email Follow-up","Escalation to Local Office","Escalation to CBE","Escalation to Roxanne")&amp;" sent "&amp;TEXT($X123,"dd-mmm")&amp;". "&amp;IF($W123=6,"Final escalation completed.",IF($T123="OVERDUE","Next: "&amp;$Z123&amp;" was due "&amp;TEXT($Y123,"dd-mmm")&amp;" - "&amp;(NETWORKDAYS($Y123,TODAY(),Holidays)-1)&amp;" business day(s) late. Send now.",IF($T123="DUE TOMORROW","Next: "&amp;$Z123&amp;IF($Y123&lt;=TODAY()," is due TODAY ("," is due next business day (")&amp;TEXT($Y123,"dd-mmm")&amp;").","Next: "&amp;$Z123&amp;" due "&amp;TEXT($Y123,"dd-mmm")&amp;" ("&amp;(NETWORKDAYS(TODAY(),$Y123,Holidays)-1)&amp;" business day(s) left).")))))</f>
        <v/>
      </c>
      <c r="V123" s="17">
        <f>IF($W123="","",CHOOSE($W123,"Collection Email","1st Follow-up","2nd Follow-up","Local Office","CBE","Roxanne")&amp;IF($W123=6," - Final"," - Day "&amp;MAX(0,NETWORKDAYS($X123,TODAY(),Holidays)-1)&amp;" of "&amp;CHOOSE($W123,3,3,2,2,3))&amp;" | Total Day "&amp;MAX(0,NETWORKDAYS($L123,TODAY(),Holidays)-1))</f>
        <v/>
      </c>
      <c r="W123" s="17">
        <f>IF($L123="","",COUNT($L123:$Q123))</f>
        <v/>
      </c>
      <c r="X123" s="18">
        <f>IF($W123="","",INT(INDEX($L123:$Q123,$W123)))</f>
        <v/>
      </c>
      <c r="Y123" s="18">
        <f>IF(OR($W123="",$W123=6),"",WORKDAY($X123,CHOOSE($W123,3,3,2,2,3),Holidays))</f>
        <v/>
      </c>
      <c r="Z123" s="17">
        <f>IF(OR($W123="",$W123=6),"",CHOOSE($W123,"1st Email Follow-up","2nd Email Follow-up","Escalate Local Office","Escalate to CBE","Escalate to Roxanne"))</f>
        <v/>
      </c>
    </row>
    <row r="124" spans="18:26">
      <c r="R124" s="15"/>
      <c r="S124" s="16"/>
      <c r="T124" s="17">
        <f>IF(AND(COUNTA($A124:$K124)=0,$L124=""),"",IF($S124="Paid","PAID",IF($S124="Closed","CLOSED",IF($W124="","",IF($W124=6,"ESCALATED TO ROXANNE",IF(TODAY()&gt;$Y124,"OVERDUE",IF($Y124&lt;=WORKDAY(TODAY(),1,Holidays),"DUE TOMORROW",IF($W124=4,"ESCALATED TO LOCAL OFFICE",IF($W124=5,"ESCALATED TO CBE",IF($X124=TODAY(),"EMAIL SENT","MONITORING"))))))))))</f>
        <v/>
      </c>
      <c r="U124" s="17">
        <f>IF($T124="",IF(AND(COUNTA($A124:$K124)&gt;0,$L124=""),"Awaiting Collection Email time stamp.",""),IF(OR($T124="PAID",$T124="CLOSED"),IF($T124="PAID","Account paid. Action completed.","Account closed. No further action required."),CHOOSE($W124,"Collection Email","1st Email Follow-up","2nd Email Follow-up","Escalation to Local Office","Escalation to CBE","Escalation to Roxanne")&amp;" sent "&amp;TEXT($X124,"dd-mmm")&amp;". "&amp;IF($W124=6,"Final escalation completed.",IF($T124="OVERDUE","Next: "&amp;$Z124&amp;" was due "&amp;TEXT($Y124,"dd-mmm")&amp;" - "&amp;(NETWORKDAYS($Y124,TODAY(),Holidays)-1)&amp;" business day(s) late. Send now.",IF($T124="DUE TOMORROW","Next: "&amp;$Z124&amp;IF($Y124&lt;=TODAY()," is due TODAY ("," is due next business day (")&amp;TEXT($Y124,"dd-mmm")&amp;").","Next: "&amp;$Z124&amp;" due "&amp;TEXT($Y124,"dd-mmm")&amp;" ("&amp;(NETWORKDAYS(TODAY(),$Y124,Holidays)-1)&amp;" business day(s) left).")))))</f>
        <v/>
      </c>
      <c r="V124" s="17">
        <f>IF($W124="","",CHOOSE($W124,"Collection Email","1st Follow-up","2nd Follow-up","Local Office","CBE","Roxanne")&amp;IF($W124=6," - Final"," - Day "&amp;MAX(0,NETWORKDAYS($X124,TODAY(),Holidays)-1)&amp;" of "&amp;CHOOSE($W124,3,3,2,2,3))&amp;" | Total Day "&amp;MAX(0,NETWORKDAYS($L124,TODAY(),Holidays)-1))</f>
        <v/>
      </c>
      <c r="W124" s="17">
        <f>IF($L124="","",COUNT($L124:$Q124))</f>
        <v/>
      </c>
      <c r="X124" s="18">
        <f>IF($W124="","",INT(INDEX($L124:$Q124,$W124)))</f>
        <v/>
      </c>
      <c r="Y124" s="18">
        <f>IF(OR($W124="",$W124=6),"",WORKDAY($X124,CHOOSE($W124,3,3,2,2,3),Holidays))</f>
        <v/>
      </c>
      <c r="Z124" s="17">
        <f>IF(OR($W124="",$W124=6),"",CHOOSE($W124,"1st Email Follow-up","2nd Email Follow-up","Escalate Local Office","Escalate to CBE","Escalate to Roxanne"))</f>
        <v/>
      </c>
    </row>
    <row r="125" spans="18:26">
      <c r="R125" s="15"/>
      <c r="S125" s="16"/>
      <c r="T125" s="17">
        <f>IF(AND(COUNTA($A125:$K125)=0,$L125=""),"",IF($S125="Paid","PAID",IF($S125="Closed","CLOSED",IF($W125="","",IF($W125=6,"ESCALATED TO ROXANNE",IF(TODAY()&gt;$Y125,"OVERDUE",IF($Y125&lt;=WORKDAY(TODAY(),1,Holidays),"DUE TOMORROW",IF($W125=4,"ESCALATED TO LOCAL OFFICE",IF($W125=5,"ESCALATED TO CBE",IF($X125=TODAY(),"EMAIL SENT","MONITORING"))))))))))</f>
        <v/>
      </c>
      <c r="U125" s="17">
        <f>IF($T125="",IF(AND(COUNTA($A125:$K125)&gt;0,$L125=""),"Awaiting Collection Email time stamp.",""),IF(OR($T125="PAID",$T125="CLOSED"),IF($T125="PAID","Account paid. Action completed.","Account closed. No further action required."),CHOOSE($W125,"Collection Email","1st Email Follow-up","2nd Email Follow-up","Escalation to Local Office","Escalation to CBE","Escalation to Roxanne")&amp;" sent "&amp;TEXT($X125,"dd-mmm")&amp;". "&amp;IF($W125=6,"Final escalation completed.",IF($T125="OVERDUE","Next: "&amp;$Z125&amp;" was due "&amp;TEXT($Y125,"dd-mmm")&amp;" - "&amp;(NETWORKDAYS($Y125,TODAY(),Holidays)-1)&amp;" business day(s) late. Send now.",IF($T125="DUE TOMORROW","Next: "&amp;$Z125&amp;IF($Y125&lt;=TODAY()," is due TODAY ("," is due next business day (")&amp;TEXT($Y125,"dd-mmm")&amp;").","Next: "&amp;$Z125&amp;" due "&amp;TEXT($Y125,"dd-mmm")&amp;" ("&amp;(NETWORKDAYS(TODAY(),$Y125,Holidays)-1)&amp;" business day(s) left).")))))</f>
        <v/>
      </c>
      <c r="V125" s="17">
        <f>IF($W125="","",CHOOSE($W125,"Collection Email","1st Follow-up","2nd Follow-up","Local Office","CBE","Roxanne")&amp;IF($W125=6," - Final"," - Day "&amp;MAX(0,NETWORKDAYS($X125,TODAY(),Holidays)-1)&amp;" of "&amp;CHOOSE($W125,3,3,2,2,3))&amp;" | Total Day "&amp;MAX(0,NETWORKDAYS($L125,TODAY(),Holidays)-1))</f>
        <v/>
      </c>
      <c r="W125" s="17">
        <f>IF($L125="","",COUNT($L125:$Q125))</f>
        <v/>
      </c>
      <c r="X125" s="18">
        <f>IF($W125="","",INT(INDEX($L125:$Q125,$W125)))</f>
        <v/>
      </c>
      <c r="Y125" s="18">
        <f>IF(OR($W125="",$W125=6),"",WORKDAY($X125,CHOOSE($W125,3,3,2,2,3),Holidays))</f>
        <v/>
      </c>
      <c r="Z125" s="17">
        <f>IF(OR($W125="",$W125=6),"",CHOOSE($W125,"1st Email Follow-up","2nd Email Follow-up","Escalate Local Office","Escalate to CBE","Escalate to Roxanne"))</f>
        <v/>
      </c>
    </row>
    <row r="126" spans="18:26">
      <c r="R126" s="15"/>
      <c r="S126" s="16"/>
      <c r="T126" s="17">
        <f>IF(AND(COUNTA($A126:$K126)=0,$L126=""),"",IF($S126="Paid","PAID",IF($S126="Closed","CLOSED",IF($W126="","",IF($W126=6,"ESCALATED TO ROXANNE",IF(TODAY()&gt;$Y126,"OVERDUE",IF($Y126&lt;=WORKDAY(TODAY(),1,Holidays),"DUE TOMORROW",IF($W126=4,"ESCALATED TO LOCAL OFFICE",IF($W126=5,"ESCALATED TO CBE",IF($X126=TODAY(),"EMAIL SENT","MONITORING"))))))))))</f>
        <v/>
      </c>
      <c r="U126" s="17">
        <f>IF($T126="",IF(AND(COUNTA($A126:$K126)&gt;0,$L126=""),"Awaiting Collection Email time stamp.",""),IF(OR($T126="PAID",$T126="CLOSED"),IF($T126="PAID","Account paid. Action completed.","Account closed. No further action required."),CHOOSE($W126,"Collection Email","1st Email Follow-up","2nd Email Follow-up","Escalation to Local Office","Escalation to CBE","Escalation to Roxanne")&amp;" sent "&amp;TEXT($X126,"dd-mmm")&amp;". "&amp;IF($W126=6,"Final escalation completed.",IF($T126="OVERDUE","Next: "&amp;$Z126&amp;" was due "&amp;TEXT($Y126,"dd-mmm")&amp;" - "&amp;(NETWORKDAYS($Y126,TODAY(),Holidays)-1)&amp;" business day(s) late. Send now.",IF($T126="DUE TOMORROW","Next: "&amp;$Z126&amp;IF($Y126&lt;=TODAY()," is due TODAY ("," is due next business day (")&amp;TEXT($Y126,"dd-mmm")&amp;").","Next: "&amp;$Z126&amp;" due "&amp;TEXT($Y126,"dd-mmm")&amp;" ("&amp;(NETWORKDAYS(TODAY(),$Y126,Holidays)-1)&amp;" business day(s) left).")))))</f>
        <v/>
      </c>
      <c r="V126" s="17">
        <f>IF($W126="","",CHOOSE($W126,"Collection Email","1st Follow-up","2nd Follow-up","Local Office","CBE","Roxanne")&amp;IF($W126=6," - Final"," - Day "&amp;MAX(0,NETWORKDAYS($X126,TODAY(),Holidays)-1)&amp;" of "&amp;CHOOSE($W126,3,3,2,2,3))&amp;" | Total Day "&amp;MAX(0,NETWORKDAYS($L126,TODAY(),Holidays)-1))</f>
        <v/>
      </c>
      <c r="W126" s="17">
        <f>IF($L126="","",COUNT($L126:$Q126))</f>
        <v/>
      </c>
      <c r="X126" s="18">
        <f>IF($W126="","",INT(INDEX($L126:$Q126,$W126)))</f>
        <v/>
      </c>
      <c r="Y126" s="18">
        <f>IF(OR($W126="",$W126=6),"",WORKDAY($X126,CHOOSE($W126,3,3,2,2,3),Holidays))</f>
        <v/>
      </c>
      <c r="Z126" s="17">
        <f>IF(OR($W126="",$W126=6),"",CHOOSE($W126,"1st Email Follow-up","2nd Email Follow-up","Escalate Local Office","Escalate to CBE","Escalate to Roxanne"))</f>
        <v/>
      </c>
    </row>
    <row r="127" spans="18:26">
      <c r="R127" s="15"/>
      <c r="S127" s="16"/>
      <c r="T127" s="17">
        <f>IF(AND(COUNTA($A127:$K127)=0,$L127=""),"",IF($S127="Paid","PAID",IF($S127="Closed","CLOSED",IF($W127="","",IF($W127=6,"ESCALATED TO ROXANNE",IF(TODAY()&gt;$Y127,"OVERDUE",IF($Y127&lt;=WORKDAY(TODAY(),1,Holidays),"DUE TOMORROW",IF($W127=4,"ESCALATED TO LOCAL OFFICE",IF($W127=5,"ESCALATED TO CBE",IF($X127=TODAY(),"EMAIL SENT","MONITORING"))))))))))</f>
        <v/>
      </c>
      <c r="U127" s="17">
        <f>IF($T127="",IF(AND(COUNTA($A127:$K127)&gt;0,$L127=""),"Awaiting Collection Email time stamp.",""),IF(OR($T127="PAID",$T127="CLOSED"),IF($T127="PAID","Account paid. Action completed.","Account closed. No further action required."),CHOOSE($W127,"Collection Email","1st Email Follow-up","2nd Email Follow-up","Escalation to Local Office","Escalation to CBE","Escalation to Roxanne")&amp;" sent "&amp;TEXT($X127,"dd-mmm")&amp;". "&amp;IF($W127=6,"Final escalation completed.",IF($T127="OVERDUE","Next: "&amp;$Z127&amp;" was due "&amp;TEXT($Y127,"dd-mmm")&amp;" - "&amp;(NETWORKDAYS($Y127,TODAY(),Holidays)-1)&amp;" business day(s) late. Send now.",IF($T127="DUE TOMORROW","Next: "&amp;$Z127&amp;IF($Y127&lt;=TODAY()," is due TODAY ("," is due next business day (")&amp;TEXT($Y127,"dd-mmm")&amp;").","Next: "&amp;$Z127&amp;" due "&amp;TEXT($Y127,"dd-mmm")&amp;" ("&amp;(NETWORKDAYS(TODAY(),$Y127,Holidays)-1)&amp;" business day(s) left).")))))</f>
        <v/>
      </c>
      <c r="V127" s="17">
        <f>IF($W127="","",CHOOSE($W127,"Collection Email","1st Follow-up","2nd Follow-up","Local Office","CBE","Roxanne")&amp;IF($W127=6," - Final"," - Day "&amp;MAX(0,NETWORKDAYS($X127,TODAY(),Holidays)-1)&amp;" of "&amp;CHOOSE($W127,3,3,2,2,3))&amp;" | Total Day "&amp;MAX(0,NETWORKDAYS($L127,TODAY(),Holidays)-1))</f>
        <v/>
      </c>
      <c r="W127" s="17">
        <f>IF($L127="","",COUNT($L127:$Q127))</f>
        <v/>
      </c>
      <c r="X127" s="18">
        <f>IF($W127="","",INT(INDEX($L127:$Q127,$W127)))</f>
        <v/>
      </c>
      <c r="Y127" s="18">
        <f>IF(OR($W127="",$W127=6),"",WORKDAY($X127,CHOOSE($W127,3,3,2,2,3),Holidays))</f>
        <v/>
      </c>
      <c r="Z127" s="17">
        <f>IF(OR($W127="",$W127=6),"",CHOOSE($W127,"1st Email Follow-up","2nd Email Follow-up","Escalate Local Office","Escalate to CBE","Escalate to Roxanne"))</f>
        <v/>
      </c>
    </row>
    <row r="128" spans="18:26">
      <c r="R128" s="15"/>
      <c r="S128" s="16"/>
      <c r="T128" s="17">
        <f>IF(AND(COUNTA($A128:$K128)=0,$L128=""),"",IF($S128="Paid","PAID",IF($S128="Closed","CLOSED",IF($W128="","",IF($W128=6,"ESCALATED TO ROXANNE",IF(TODAY()&gt;$Y128,"OVERDUE",IF($Y128&lt;=WORKDAY(TODAY(),1,Holidays),"DUE TOMORROW",IF($W128=4,"ESCALATED TO LOCAL OFFICE",IF($W128=5,"ESCALATED TO CBE",IF($X128=TODAY(),"EMAIL SENT","MONITORING"))))))))))</f>
        <v/>
      </c>
      <c r="U128" s="17">
        <f>IF($T128="",IF(AND(COUNTA($A128:$K128)&gt;0,$L128=""),"Awaiting Collection Email time stamp.",""),IF(OR($T128="PAID",$T128="CLOSED"),IF($T128="PAID","Account paid. Action completed.","Account closed. No further action required."),CHOOSE($W128,"Collection Email","1st Email Follow-up","2nd Email Follow-up","Escalation to Local Office","Escalation to CBE","Escalation to Roxanne")&amp;" sent "&amp;TEXT($X128,"dd-mmm")&amp;". "&amp;IF($W128=6,"Final escalation completed.",IF($T128="OVERDUE","Next: "&amp;$Z128&amp;" was due "&amp;TEXT($Y128,"dd-mmm")&amp;" - "&amp;(NETWORKDAYS($Y128,TODAY(),Holidays)-1)&amp;" business day(s) late. Send now.",IF($T128="DUE TOMORROW","Next: "&amp;$Z128&amp;IF($Y128&lt;=TODAY()," is due TODAY ("," is due next business day (")&amp;TEXT($Y128,"dd-mmm")&amp;").","Next: "&amp;$Z128&amp;" due "&amp;TEXT($Y128,"dd-mmm")&amp;" ("&amp;(NETWORKDAYS(TODAY(),$Y128,Holidays)-1)&amp;" business day(s) left).")))))</f>
        <v/>
      </c>
      <c r="V128" s="17">
        <f>IF($W128="","",CHOOSE($W128,"Collection Email","1st Follow-up","2nd Follow-up","Local Office","CBE","Roxanne")&amp;IF($W128=6," - Final"," - Day "&amp;MAX(0,NETWORKDAYS($X128,TODAY(),Holidays)-1)&amp;" of "&amp;CHOOSE($W128,3,3,2,2,3))&amp;" | Total Day "&amp;MAX(0,NETWORKDAYS($L128,TODAY(),Holidays)-1))</f>
        <v/>
      </c>
      <c r="W128" s="17">
        <f>IF($L128="","",COUNT($L128:$Q128))</f>
        <v/>
      </c>
      <c r="X128" s="18">
        <f>IF($W128="","",INT(INDEX($L128:$Q128,$W128)))</f>
        <v/>
      </c>
      <c r="Y128" s="18">
        <f>IF(OR($W128="",$W128=6),"",WORKDAY($X128,CHOOSE($W128,3,3,2,2,3),Holidays))</f>
        <v/>
      </c>
      <c r="Z128" s="17">
        <f>IF(OR($W128="",$W128=6),"",CHOOSE($W128,"1st Email Follow-up","2nd Email Follow-up","Escalate Local Office","Escalate to CBE","Escalate to Roxanne"))</f>
        <v/>
      </c>
    </row>
    <row r="129" spans="18:26">
      <c r="R129" s="15"/>
      <c r="S129" s="16"/>
      <c r="T129" s="17">
        <f>IF(AND(COUNTA($A129:$K129)=0,$L129=""),"",IF($S129="Paid","PAID",IF($S129="Closed","CLOSED",IF($W129="","",IF($W129=6,"ESCALATED TO ROXANNE",IF(TODAY()&gt;$Y129,"OVERDUE",IF($Y129&lt;=WORKDAY(TODAY(),1,Holidays),"DUE TOMORROW",IF($W129=4,"ESCALATED TO LOCAL OFFICE",IF($W129=5,"ESCALATED TO CBE",IF($X129=TODAY(),"EMAIL SENT","MONITORING"))))))))))</f>
        <v/>
      </c>
      <c r="U129" s="17">
        <f>IF($T129="",IF(AND(COUNTA($A129:$K129)&gt;0,$L129=""),"Awaiting Collection Email time stamp.",""),IF(OR($T129="PAID",$T129="CLOSED"),IF($T129="PAID","Account paid. Action completed.","Account closed. No further action required."),CHOOSE($W129,"Collection Email","1st Email Follow-up","2nd Email Follow-up","Escalation to Local Office","Escalation to CBE","Escalation to Roxanne")&amp;" sent "&amp;TEXT($X129,"dd-mmm")&amp;". "&amp;IF($W129=6,"Final escalation completed.",IF($T129="OVERDUE","Next: "&amp;$Z129&amp;" was due "&amp;TEXT($Y129,"dd-mmm")&amp;" - "&amp;(NETWORKDAYS($Y129,TODAY(),Holidays)-1)&amp;" business day(s) late. Send now.",IF($T129="DUE TOMORROW","Next: "&amp;$Z129&amp;IF($Y129&lt;=TODAY()," is due TODAY ("," is due next business day (")&amp;TEXT($Y129,"dd-mmm")&amp;").","Next: "&amp;$Z129&amp;" due "&amp;TEXT($Y129,"dd-mmm")&amp;" ("&amp;(NETWORKDAYS(TODAY(),$Y129,Holidays)-1)&amp;" business day(s) left).")))))</f>
        <v/>
      </c>
      <c r="V129" s="17">
        <f>IF($W129="","",CHOOSE($W129,"Collection Email","1st Follow-up","2nd Follow-up","Local Office","CBE","Roxanne")&amp;IF($W129=6," - Final"," - Day "&amp;MAX(0,NETWORKDAYS($X129,TODAY(),Holidays)-1)&amp;" of "&amp;CHOOSE($W129,3,3,2,2,3))&amp;" | Total Day "&amp;MAX(0,NETWORKDAYS($L129,TODAY(),Holidays)-1))</f>
        <v/>
      </c>
      <c r="W129" s="17">
        <f>IF($L129="","",COUNT($L129:$Q129))</f>
        <v/>
      </c>
      <c r="X129" s="18">
        <f>IF($W129="","",INT(INDEX($L129:$Q129,$W129)))</f>
        <v/>
      </c>
      <c r="Y129" s="18">
        <f>IF(OR($W129="",$W129=6),"",WORKDAY($X129,CHOOSE($W129,3,3,2,2,3),Holidays))</f>
        <v/>
      </c>
      <c r="Z129" s="17">
        <f>IF(OR($W129="",$W129=6),"",CHOOSE($W129,"1st Email Follow-up","2nd Email Follow-up","Escalate Local Office","Escalate to CBE","Escalate to Roxanne"))</f>
        <v/>
      </c>
    </row>
    <row r="130" spans="18:26">
      <c r="R130" s="15"/>
      <c r="S130" s="16"/>
      <c r="T130" s="17">
        <f>IF(AND(COUNTA($A130:$K130)=0,$L130=""),"",IF($S130="Paid","PAID",IF($S130="Closed","CLOSED",IF($W130="","",IF($W130=6,"ESCALATED TO ROXANNE",IF(TODAY()&gt;$Y130,"OVERDUE",IF($Y130&lt;=WORKDAY(TODAY(),1,Holidays),"DUE TOMORROW",IF($W130=4,"ESCALATED TO LOCAL OFFICE",IF($W130=5,"ESCALATED TO CBE",IF($X130=TODAY(),"EMAIL SENT","MONITORING"))))))))))</f>
        <v/>
      </c>
      <c r="U130" s="17">
        <f>IF($T130="",IF(AND(COUNTA($A130:$K130)&gt;0,$L130=""),"Awaiting Collection Email time stamp.",""),IF(OR($T130="PAID",$T130="CLOSED"),IF($T130="PAID","Account paid. Action completed.","Account closed. No further action required."),CHOOSE($W130,"Collection Email","1st Email Follow-up","2nd Email Follow-up","Escalation to Local Office","Escalation to CBE","Escalation to Roxanne")&amp;" sent "&amp;TEXT($X130,"dd-mmm")&amp;". "&amp;IF($W130=6,"Final escalation completed.",IF($T130="OVERDUE","Next: "&amp;$Z130&amp;" was due "&amp;TEXT($Y130,"dd-mmm")&amp;" - "&amp;(NETWORKDAYS($Y130,TODAY(),Holidays)-1)&amp;" business day(s) late. Send now.",IF($T130="DUE TOMORROW","Next: "&amp;$Z130&amp;IF($Y130&lt;=TODAY()," is due TODAY ("," is due next business day (")&amp;TEXT($Y130,"dd-mmm")&amp;").","Next: "&amp;$Z130&amp;" due "&amp;TEXT($Y130,"dd-mmm")&amp;" ("&amp;(NETWORKDAYS(TODAY(),$Y130,Holidays)-1)&amp;" business day(s) left).")))))</f>
        <v/>
      </c>
      <c r="V130" s="17">
        <f>IF($W130="","",CHOOSE($W130,"Collection Email","1st Follow-up","2nd Follow-up","Local Office","CBE","Roxanne")&amp;IF($W130=6," - Final"," - Day "&amp;MAX(0,NETWORKDAYS($X130,TODAY(),Holidays)-1)&amp;" of "&amp;CHOOSE($W130,3,3,2,2,3))&amp;" | Total Day "&amp;MAX(0,NETWORKDAYS($L130,TODAY(),Holidays)-1))</f>
        <v/>
      </c>
      <c r="W130" s="17">
        <f>IF($L130="","",COUNT($L130:$Q130))</f>
        <v/>
      </c>
      <c r="X130" s="18">
        <f>IF($W130="","",INT(INDEX($L130:$Q130,$W130)))</f>
        <v/>
      </c>
      <c r="Y130" s="18">
        <f>IF(OR($W130="",$W130=6),"",WORKDAY($X130,CHOOSE($W130,3,3,2,2,3),Holidays))</f>
        <v/>
      </c>
      <c r="Z130" s="17">
        <f>IF(OR($W130="",$W130=6),"",CHOOSE($W130,"1st Email Follow-up","2nd Email Follow-up","Escalate Local Office","Escalate to CBE","Escalate to Roxanne"))</f>
        <v/>
      </c>
    </row>
    <row r="131" spans="18:26">
      <c r="R131" s="15"/>
      <c r="S131" s="16"/>
      <c r="T131" s="17">
        <f>IF(AND(COUNTA($A131:$K131)=0,$L131=""),"",IF($S131="Paid","PAID",IF($S131="Closed","CLOSED",IF($W131="","",IF($W131=6,"ESCALATED TO ROXANNE",IF(TODAY()&gt;$Y131,"OVERDUE",IF($Y131&lt;=WORKDAY(TODAY(),1,Holidays),"DUE TOMORROW",IF($W131=4,"ESCALATED TO LOCAL OFFICE",IF($W131=5,"ESCALATED TO CBE",IF($X131=TODAY(),"EMAIL SENT","MONITORING"))))))))))</f>
        <v/>
      </c>
      <c r="U131" s="17">
        <f>IF($T131="",IF(AND(COUNTA($A131:$K131)&gt;0,$L131=""),"Awaiting Collection Email time stamp.",""),IF(OR($T131="PAID",$T131="CLOSED"),IF($T131="PAID","Account paid. Action completed.","Account closed. No further action required."),CHOOSE($W131,"Collection Email","1st Email Follow-up","2nd Email Follow-up","Escalation to Local Office","Escalation to CBE","Escalation to Roxanne")&amp;" sent "&amp;TEXT($X131,"dd-mmm")&amp;". "&amp;IF($W131=6,"Final escalation completed.",IF($T131="OVERDUE","Next: "&amp;$Z131&amp;" was due "&amp;TEXT($Y131,"dd-mmm")&amp;" - "&amp;(NETWORKDAYS($Y131,TODAY(),Holidays)-1)&amp;" business day(s) late. Send now.",IF($T131="DUE TOMORROW","Next: "&amp;$Z131&amp;IF($Y131&lt;=TODAY()," is due TODAY ("," is due next business day (")&amp;TEXT($Y131,"dd-mmm")&amp;").","Next: "&amp;$Z131&amp;" due "&amp;TEXT($Y131,"dd-mmm")&amp;" ("&amp;(NETWORKDAYS(TODAY(),$Y131,Holidays)-1)&amp;" business day(s) left).")))))</f>
        <v/>
      </c>
      <c r="V131" s="17">
        <f>IF($W131="","",CHOOSE($W131,"Collection Email","1st Follow-up","2nd Follow-up","Local Office","CBE","Roxanne")&amp;IF($W131=6," - Final"," - Day "&amp;MAX(0,NETWORKDAYS($X131,TODAY(),Holidays)-1)&amp;" of "&amp;CHOOSE($W131,3,3,2,2,3))&amp;" | Total Day "&amp;MAX(0,NETWORKDAYS($L131,TODAY(),Holidays)-1))</f>
        <v/>
      </c>
      <c r="W131" s="17">
        <f>IF($L131="","",COUNT($L131:$Q131))</f>
        <v/>
      </c>
      <c r="X131" s="18">
        <f>IF($W131="","",INT(INDEX($L131:$Q131,$W131)))</f>
        <v/>
      </c>
      <c r="Y131" s="18">
        <f>IF(OR($W131="",$W131=6),"",WORKDAY($X131,CHOOSE($W131,3,3,2,2,3),Holidays))</f>
        <v/>
      </c>
      <c r="Z131" s="17">
        <f>IF(OR($W131="",$W131=6),"",CHOOSE($W131,"1st Email Follow-up","2nd Email Follow-up","Escalate Local Office","Escalate to CBE","Escalate to Roxanne"))</f>
        <v/>
      </c>
    </row>
    <row r="132" spans="18:26">
      <c r="R132" s="15"/>
      <c r="S132" s="16"/>
      <c r="T132" s="17">
        <f>IF(AND(COUNTA($A132:$K132)=0,$L132=""),"",IF($S132="Paid","PAID",IF($S132="Closed","CLOSED",IF($W132="","",IF($W132=6,"ESCALATED TO ROXANNE",IF(TODAY()&gt;$Y132,"OVERDUE",IF($Y132&lt;=WORKDAY(TODAY(),1,Holidays),"DUE TOMORROW",IF($W132=4,"ESCALATED TO LOCAL OFFICE",IF($W132=5,"ESCALATED TO CBE",IF($X132=TODAY(),"EMAIL SENT","MONITORING"))))))))))</f>
        <v/>
      </c>
      <c r="U132" s="17">
        <f>IF($T132="",IF(AND(COUNTA($A132:$K132)&gt;0,$L132=""),"Awaiting Collection Email time stamp.",""),IF(OR($T132="PAID",$T132="CLOSED"),IF($T132="PAID","Account paid. Action completed.","Account closed. No further action required."),CHOOSE($W132,"Collection Email","1st Email Follow-up","2nd Email Follow-up","Escalation to Local Office","Escalation to CBE","Escalation to Roxanne")&amp;" sent "&amp;TEXT($X132,"dd-mmm")&amp;". "&amp;IF($W132=6,"Final escalation completed.",IF($T132="OVERDUE","Next: "&amp;$Z132&amp;" was due "&amp;TEXT($Y132,"dd-mmm")&amp;" - "&amp;(NETWORKDAYS($Y132,TODAY(),Holidays)-1)&amp;" business day(s) late. Send now.",IF($T132="DUE TOMORROW","Next: "&amp;$Z132&amp;IF($Y132&lt;=TODAY()," is due TODAY ("," is due next business day (")&amp;TEXT($Y132,"dd-mmm")&amp;").","Next: "&amp;$Z132&amp;" due "&amp;TEXT($Y132,"dd-mmm")&amp;" ("&amp;(NETWORKDAYS(TODAY(),$Y132,Holidays)-1)&amp;" business day(s) left).")))))</f>
        <v/>
      </c>
      <c r="V132" s="17">
        <f>IF($W132="","",CHOOSE($W132,"Collection Email","1st Follow-up","2nd Follow-up","Local Office","CBE","Roxanne")&amp;IF($W132=6," - Final"," - Day "&amp;MAX(0,NETWORKDAYS($X132,TODAY(),Holidays)-1)&amp;" of "&amp;CHOOSE($W132,3,3,2,2,3))&amp;" | Total Day "&amp;MAX(0,NETWORKDAYS($L132,TODAY(),Holidays)-1))</f>
        <v/>
      </c>
      <c r="W132" s="17">
        <f>IF($L132="","",COUNT($L132:$Q132))</f>
        <v/>
      </c>
      <c r="X132" s="18">
        <f>IF($W132="","",INT(INDEX($L132:$Q132,$W132)))</f>
        <v/>
      </c>
      <c r="Y132" s="18">
        <f>IF(OR($W132="",$W132=6),"",WORKDAY($X132,CHOOSE($W132,3,3,2,2,3),Holidays))</f>
        <v/>
      </c>
      <c r="Z132" s="17">
        <f>IF(OR($W132="",$W132=6),"",CHOOSE($W132,"1st Email Follow-up","2nd Email Follow-up","Escalate Local Office","Escalate to CBE","Escalate to Roxanne"))</f>
        <v/>
      </c>
    </row>
    <row r="133" spans="18:26">
      <c r="R133" s="15"/>
      <c r="S133" s="16"/>
      <c r="T133" s="17">
        <f>IF(AND(COUNTA($A133:$K133)=0,$L133=""),"",IF($S133="Paid","PAID",IF($S133="Closed","CLOSED",IF($W133="","",IF($W133=6,"ESCALATED TO ROXANNE",IF(TODAY()&gt;$Y133,"OVERDUE",IF($Y133&lt;=WORKDAY(TODAY(),1,Holidays),"DUE TOMORROW",IF($W133=4,"ESCALATED TO LOCAL OFFICE",IF($W133=5,"ESCALATED TO CBE",IF($X133=TODAY(),"EMAIL SENT","MONITORING"))))))))))</f>
        <v/>
      </c>
      <c r="U133" s="17">
        <f>IF($T133="",IF(AND(COUNTA($A133:$K133)&gt;0,$L133=""),"Awaiting Collection Email time stamp.",""),IF(OR($T133="PAID",$T133="CLOSED"),IF($T133="PAID","Account paid. Action completed.","Account closed. No further action required."),CHOOSE($W133,"Collection Email","1st Email Follow-up","2nd Email Follow-up","Escalation to Local Office","Escalation to CBE","Escalation to Roxanne")&amp;" sent "&amp;TEXT($X133,"dd-mmm")&amp;". "&amp;IF($W133=6,"Final escalation completed.",IF($T133="OVERDUE","Next: "&amp;$Z133&amp;" was due "&amp;TEXT($Y133,"dd-mmm")&amp;" - "&amp;(NETWORKDAYS($Y133,TODAY(),Holidays)-1)&amp;" business day(s) late. Send now.",IF($T133="DUE TOMORROW","Next: "&amp;$Z133&amp;IF($Y133&lt;=TODAY()," is due TODAY ("," is due next business day (")&amp;TEXT($Y133,"dd-mmm")&amp;").","Next: "&amp;$Z133&amp;" due "&amp;TEXT($Y133,"dd-mmm")&amp;" ("&amp;(NETWORKDAYS(TODAY(),$Y133,Holidays)-1)&amp;" business day(s) left).")))))</f>
        <v/>
      </c>
      <c r="V133" s="17">
        <f>IF($W133="","",CHOOSE($W133,"Collection Email","1st Follow-up","2nd Follow-up","Local Office","CBE","Roxanne")&amp;IF($W133=6," - Final"," - Day "&amp;MAX(0,NETWORKDAYS($X133,TODAY(),Holidays)-1)&amp;" of "&amp;CHOOSE($W133,3,3,2,2,3))&amp;" | Total Day "&amp;MAX(0,NETWORKDAYS($L133,TODAY(),Holidays)-1))</f>
        <v/>
      </c>
      <c r="W133" s="17">
        <f>IF($L133="","",COUNT($L133:$Q133))</f>
        <v/>
      </c>
      <c r="X133" s="18">
        <f>IF($W133="","",INT(INDEX($L133:$Q133,$W133)))</f>
        <v/>
      </c>
      <c r="Y133" s="18">
        <f>IF(OR($W133="",$W133=6),"",WORKDAY($X133,CHOOSE($W133,3,3,2,2,3),Holidays))</f>
        <v/>
      </c>
      <c r="Z133" s="17">
        <f>IF(OR($W133="",$W133=6),"",CHOOSE($W133,"1st Email Follow-up","2nd Email Follow-up","Escalate Local Office","Escalate to CBE","Escalate to Roxanne"))</f>
        <v/>
      </c>
    </row>
    <row r="134" spans="18:26">
      <c r="R134" s="15"/>
      <c r="S134" s="16"/>
      <c r="T134" s="17">
        <f>IF(AND(COUNTA($A134:$K134)=0,$L134=""),"",IF($S134="Paid","PAID",IF($S134="Closed","CLOSED",IF($W134="","",IF($W134=6,"ESCALATED TO ROXANNE",IF(TODAY()&gt;$Y134,"OVERDUE",IF($Y134&lt;=WORKDAY(TODAY(),1,Holidays),"DUE TOMORROW",IF($W134=4,"ESCALATED TO LOCAL OFFICE",IF($W134=5,"ESCALATED TO CBE",IF($X134=TODAY(),"EMAIL SENT","MONITORING"))))))))))</f>
        <v/>
      </c>
      <c r="U134" s="17">
        <f>IF($T134="",IF(AND(COUNTA($A134:$K134)&gt;0,$L134=""),"Awaiting Collection Email time stamp.",""),IF(OR($T134="PAID",$T134="CLOSED"),IF($T134="PAID","Account paid. Action completed.","Account closed. No further action required."),CHOOSE($W134,"Collection Email","1st Email Follow-up","2nd Email Follow-up","Escalation to Local Office","Escalation to CBE","Escalation to Roxanne")&amp;" sent "&amp;TEXT($X134,"dd-mmm")&amp;". "&amp;IF($W134=6,"Final escalation completed.",IF($T134="OVERDUE","Next: "&amp;$Z134&amp;" was due "&amp;TEXT($Y134,"dd-mmm")&amp;" - "&amp;(NETWORKDAYS($Y134,TODAY(),Holidays)-1)&amp;" business day(s) late. Send now.",IF($T134="DUE TOMORROW","Next: "&amp;$Z134&amp;IF($Y134&lt;=TODAY()," is due TODAY ("," is due next business day (")&amp;TEXT($Y134,"dd-mmm")&amp;").","Next: "&amp;$Z134&amp;" due "&amp;TEXT($Y134,"dd-mmm")&amp;" ("&amp;(NETWORKDAYS(TODAY(),$Y134,Holidays)-1)&amp;" business day(s) left).")))))</f>
        <v/>
      </c>
      <c r="V134" s="17">
        <f>IF($W134="","",CHOOSE($W134,"Collection Email","1st Follow-up","2nd Follow-up","Local Office","CBE","Roxanne")&amp;IF($W134=6," - Final"," - Day "&amp;MAX(0,NETWORKDAYS($X134,TODAY(),Holidays)-1)&amp;" of "&amp;CHOOSE($W134,3,3,2,2,3))&amp;" | Total Day "&amp;MAX(0,NETWORKDAYS($L134,TODAY(),Holidays)-1))</f>
        <v/>
      </c>
      <c r="W134" s="17">
        <f>IF($L134="","",COUNT($L134:$Q134))</f>
        <v/>
      </c>
      <c r="X134" s="18">
        <f>IF($W134="","",INT(INDEX($L134:$Q134,$W134)))</f>
        <v/>
      </c>
      <c r="Y134" s="18">
        <f>IF(OR($W134="",$W134=6),"",WORKDAY($X134,CHOOSE($W134,3,3,2,2,3),Holidays))</f>
        <v/>
      </c>
      <c r="Z134" s="17">
        <f>IF(OR($W134="",$W134=6),"",CHOOSE($W134,"1st Email Follow-up","2nd Email Follow-up","Escalate Local Office","Escalate to CBE","Escalate to Roxanne"))</f>
        <v/>
      </c>
    </row>
    <row r="135" spans="18:26">
      <c r="R135" s="15"/>
      <c r="S135" s="16"/>
      <c r="T135" s="17">
        <f>IF(AND(COUNTA($A135:$K135)=0,$L135=""),"",IF($S135="Paid","PAID",IF($S135="Closed","CLOSED",IF($W135="","",IF($W135=6,"ESCALATED TO ROXANNE",IF(TODAY()&gt;$Y135,"OVERDUE",IF($Y135&lt;=WORKDAY(TODAY(),1,Holidays),"DUE TOMORROW",IF($W135=4,"ESCALATED TO LOCAL OFFICE",IF($W135=5,"ESCALATED TO CBE",IF($X135=TODAY(),"EMAIL SENT","MONITORING"))))))))))</f>
        <v/>
      </c>
      <c r="U135" s="17">
        <f>IF($T135="",IF(AND(COUNTA($A135:$K135)&gt;0,$L135=""),"Awaiting Collection Email time stamp.",""),IF(OR($T135="PAID",$T135="CLOSED"),IF($T135="PAID","Account paid. Action completed.","Account closed. No further action required."),CHOOSE($W135,"Collection Email","1st Email Follow-up","2nd Email Follow-up","Escalation to Local Office","Escalation to CBE","Escalation to Roxanne")&amp;" sent "&amp;TEXT($X135,"dd-mmm")&amp;". "&amp;IF($W135=6,"Final escalation completed.",IF($T135="OVERDUE","Next: "&amp;$Z135&amp;" was due "&amp;TEXT($Y135,"dd-mmm")&amp;" - "&amp;(NETWORKDAYS($Y135,TODAY(),Holidays)-1)&amp;" business day(s) late. Send now.",IF($T135="DUE TOMORROW","Next: "&amp;$Z135&amp;IF($Y135&lt;=TODAY()," is due TODAY ("," is due next business day (")&amp;TEXT($Y135,"dd-mmm")&amp;").","Next: "&amp;$Z135&amp;" due "&amp;TEXT($Y135,"dd-mmm")&amp;" ("&amp;(NETWORKDAYS(TODAY(),$Y135,Holidays)-1)&amp;" business day(s) left).")))))</f>
        <v/>
      </c>
      <c r="V135" s="17">
        <f>IF($W135="","",CHOOSE($W135,"Collection Email","1st Follow-up","2nd Follow-up","Local Office","CBE","Roxanne")&amp;IF($W135=6," - Final"," - Day "&amp;MAX(0,NETWORKDAYS($X135,TODAY(),Holidays)-1)&amp;" of "&amp;CHOOSE($W135,3,3,2,2,3))&amp;" | Total Day "&amp;MAX(0,NETWORKDAYS($L135,TODAY(),Holidays)-1))</f>
        <v/>
      </c>
      <c r="W135" s="17">
        <f>IF($L135="","",COUNT($L135:$Q135))</f>
        <v/>
      </c>
      <c r="X135" s="18">
        <f>IF($W135="","",INT(INDEX($L135:$Q135,$W135)))</f>
        <v/>
      </c>
      <c r="Y135" s="18">
        <f>IF(OR($W135="",$W135=6),"",WORKDAY($X135,CHOOSE($W135,3,3,2,2,3),Holidays))</f>
        <v/>
      </c>
      <c r="Z135" s="17">
        <f>IF(OR($W135="",$W135=6),"",CHOOSE($W135,"1st Email Follow-up","2nd Email Follow-up","Escalate Local Office","Escalate to CBE","Escalate to Roxanne"))</f>
        <v/>
      </c>
    </row>
    <row r="136" spans="18:26">
      <c r="R136" s="15"/>
      <c r="S136" s="16"/>
      <c r="T136" s="17">
        <f>IF(AND(COUNTA($A136:$K136)=0,$L136=""),"",IF($S136="Paid","PAID",IF($S136="Closed","CLOSED",IF($W136="","",IF($W136=6,"ESCALATED TO ROXANNE",IF(TODAY()&gt;$Y136,"OVERDUE",IF($Y136&lt;=WORKDAY(TODAY(),1,Holidays),"DUE TOMORROW",IF($W136=4,"ESCALATED TO LOCAL OFFICE",IF($W136=5,"ESCALATED TO CBE",IF($X136=TODAY(),"EMAIL SENT","MONITORING"))))))))))</f>
        <v/>
      </c>
      <c r="U136" s="17">
        <f>IF($T136="",IF(AND(COUNTA($A136:$K136)&gt;0,$L136=""),"Awaiting Collection Email time stamp.",""),IF(OR($T136="PAID",$T136="CLOSED"),IF($T136="PAID","Account paid. Action completed.","Account closed. No further action required."),CHOOSE($W136,"Collection Email","1st Email Follow-up","2nd Email Follow-up","Escalation to Local Office","Escalation to CBE","Escalation to Roxanne")&amp;" sent "&amp;TEXT($X136,"dd-mmm")&amp;". "&amp;IF($W136=6,"Final escalation completed.",IF($T136="OVERDUE","Next: "&amp;$Z136&amp;" was due "&amp;TEXT($Y136,"dd-mmm")&amp;" - "&amp;(NETWORKDAYS($Y136,TODAY(),Holidays)-1)&amp;" business day(s) late. Send now.",IF($T136="DUE TOMORROW","Next: "&amp;$Z136&amp;IF($Y136&lt;=TODAY()," is due TODAY ("," is due next business day (")&amp;TEXT($Y136,"dd-mmm")&amp;").","Next: "&amp;$Z136&amp;" due "&amp;TEXT($Y136,"dd-mmm")&amp;" ("&amp;(NETWORKDAYS(TODAY(),$Y136,Holidays)-1)&amp;" business day(s) left).")))))</f>
        <v/>
      </c>
      <c r="V136" s="17">
        <f>IF($W136="","",CHOOSE($W136,"Collection Email","1st Follow-up","2nd Follow-up","Local Office","CBE","Roxanne")&amp;IF($W136=6," - Final"," - Day "&amp;MAX(0,NETWORKDAYS($X136,TODAY(),Holidays)-1)&amp;" of "&amp;CHOOSE($W136,3,3,2,2,3))&amp;" | Total Day "&amp;MAX(0,NETWORKDAYS($L136,TODAY(),Holidays)-1))</f>
        <v/>
      </c>
      <c r="W136" s="17">
        <f>IF($L136="","",COUNT($L136:$Q136))</f>
        <v/>
      </c>
      <c r="X136" s="18">
        <f>IF($W136="","",INT(INDEX($L136:$Q136,$W136)))</f>
        <v/>
      </c>
      <c r="Y136" s="18">
        <f>IF(OR($W136="",$W136=6),"",WORKDAY($X136,CHOOSE($W136,3,3,2,2,3),Holidays))</f>
        <v/>
      </c>
      <c r="Z136" s="17">
        <f>IF(OR($W136="",$W136=6),"",CHOOSE($W136,"1st Email Follow-up","2nd Email Follow-up","Escalate Local Office","Escalate to CBE","Escalate to Roxanne"))</f>
        <v/>
      </c>
    </row>
    <row r="137" spans="18:26">
      <c r="R137" s="15"/>
      <c r="S137" s="16"/>
      <c r="T137" s="17">
        <f>IF(AND(COUNTA($A137:$K137)=0,$L137=""),"",IF($S137="Paid","PAID",IF($S137="Closed","CLOSED",IF($W137="","",IF($W137=6,"ESCALATED TO ROXANNE",IF(TODAY()&gt;$Y137,"OVERDUE",IF($Y137&lt;=WORKDAY(TODAY(),1,Holidays),"DUE TOMORROW",IF($W137=4,"ESCALATED TO LOCAL OFFICE",IF($W137=5,"ESCALATED TO CBE",IF($X137=TODAY(),"EMAIL SENT","MONITORING"))))))))))</f>
        <v/>
      </c>
      <c r="U137" s="17">
        <f>IF($T137="",IF(AND(COUNTA($A137:$K137)&gt;0,$L137=""),"Awaiting Collection Email time stamp.",""),IF(OR($T137="PAID",$T137="CLOSED"),IF($T137="PAID","Account paid. Action completed.","Account closed. No further action required."),CHOOSE($W137,"Collection Email","1st Email Follow-up","2nd Email Follow-up","Escalation to Local Office","Escalation to CBE","Escalation to Roxanne")&amp;" sent "&amp;TEXT($X137,"dd-mmm")&amp;". "&amp;IF($W137=6,"Final escalation completed.",IF($T137="OVERDUE","Next: "&amp;$Z137&amp;" was due "&amp;TEXT($Y137,"dd-mmm")&amp;" - "&amp;(NETWORKDAYS($Y137,TODAY(),Holidays)-1)&amp;" business day(s) late. Send now.",IF($T137="DUE TOMORROW","Next: "&amp;$Z137&amp;IF($Y137&lt;=TODAY()," is due TODAY ("," is due next business day (")&amp;TEXT($Y137,"dd-mmm")&amp;").","Next: "&amp;$Z137&amp;" due "&amp;TEXT($Y137,"dd-mmm")&amp;" ("&amp;(NETWORKDAYS(TODAY(),$Y137,Holidays)-1)&amp;" business day(s) left).")))))</f>
        <v/>
      </c>
      <c r="V137" s="17">
        <f>IF($W137="","",CHOOSE($W137,"Collection Email","1st Follow-up","2nd Follow-up","Local Office","CBE","Roxanne")&amp;IF($W137=6," - Final"," - Day "&amp;MAX(0,NETWORKDAYS($X137,TODAY(),Holidays)-1)&amp;" of "&amp;CHOOSE($W137,3,3,2,2,3))&amp;" | Total Day "&amp;MAX(0,NETWORKDAYS($L137,TODAY(),Holidays)-1))</f>
        <v/>
      </c>
      <c r="W137" s="17">
        <f>IF($L137="","",COUNT($L137:$Q137))</f>
        <v/>
      </c>
      <c r="X137" s="18">
        <f>IF($W137="","",INT(INDEX($L137:$Q137,$W137)))</f>
        <v/>
      </c>
      <c r="Y137" s="18">
        <f>IF(OR($W137="",$W137=6),"",WORKDAY($X137,CHOOSE($W137,3,3,2,2,3),Holidays))</f>
        <v/>
      </c>
      <c r="Z137" s="17">
        <f>IF(OR($W137="",$W137=6),"",CHOOSE($W137,"1st Email Follow-up","2nd Email Follow-up","Escalate Local Office","Escalate to CBE","Escalate to Roxanne"))</f>
        <v/>
      </c>
    </row>
    <row r="138" spans="18:26">
      <c r="R138" s="15"/>
      <c r="S138" s="16"/>
      <c r="T138" s="17">
        <f>IF(AND(COUNTA($A138:$K138)=0,$L138=""),"",IF($S138="Paid","PAID",IF($S138="Closed","CLOSED",IF($W138="","",IF($W138=6,"ESCALATED TO ROXANNE",IF(TODAY()&gt;$Y138,"OVERDUE",IF($Y138&lt;=WORKDAY(TODAY(),1,Holidays),"DUE TOMORROW",IF($W138=4,"ESCALATED TO LOCAL OFFICE",IF($W138=5,"ESCALATED TO CBE",IF($X138=TODAY(),"EMAIL SENT","MONITORING"))))))))))</f>
        <v/>
      </c>
      <c r="U138" s="17">
        <f>IF($T138="",IF(AND(COUNTA($A138:$K138)&gt;0,$L138=""),"Awaiting Collection Email time stamp.",""),IF(OR($T138="PAID",$T138="CLOSED"),IF($T138="PAID","Account paid. Action completed.","Account closed. No further action required."),CHOOSE($W138,"Collection Email","1st Email Follow-up","2nd Email Follow-up","Escalation to Local Office","Escalation to CBE","Escalation to Roxanne")&amp;" sent "&amp;TEXT($X138,"dd-mmm")&amp;". "&amp;IF($W138=6,"Final escalation completed.",IF($T138="OVERDUE","Next: "&amp;$Z138&amp;" was due "&amp;TEXT($Y138,"dd-mmm")&amp;" - "&amp;(NETWORKDAYS($Y138,TODAY(),Holidays)-1)&amp;" business day(s) late. Send now.",IF($T138="DUE TOMORROW","Next: "&amp;$Z138&amp;IF($Y138&lt;=TODAY()," is due TODAY ("," is due next business day (")&amp;TEXT($Y138,"dd-mmm")&amp;").","Next: "&amp;$Z138&amp;" due "&amp;TEXT($Y138,"dd-mmm")&amp;" ("&amp;(NETWORKDAYS(TODAY(),$Y138,Holidays)-1)&amp;" business day(s) left).")))))</f>
        <v/>
      </c>
      <c r="V138" s="17">
        <f>IF($W138="","",CHOOSE($W138,"Collection Email","1st Follow-up","2nd Follow-up","Local Office","CBE","Roxanne")&amp;IF($W138=6," - Final"," - Day "&amp;MAX(0,NETWORKDAYS($X138,TODAY(),Holidays)-1)&amp;" of "&amp;CHOOSE($W138,3,3,2,2,3))&amp;" | Total Day "&amp;MAX(0,NETWORKDAYS($L138,TODAY(),Holidays)-1))</f>
        <v/>
      </c>
      <c r="W138" s="17">
        <f>IF($L138="","",COUNT($L138:$Q138))</f>
        <v/>
      </c>
      <c r="X138" s="18">
        <f>IF($W138="","",INT(INDEX($L138:$Q138,$W138)))</f>
        <v/>
      </c>
      <c r="Y138" s="18">
        <f>IF(OR($W138="",$W138=6),"",WORKDAY($X138,CHOOSE($W138,3,3,2,2,3),Holidays))</f>
        <v/>
      </c>
      <c r="Z138" s="17">
        <f>IF(OR($W138="",$W138=6),"",CHOOSE($W138,"1st Email Follow-up","2nd Email Follow-up","Escalate Local Office","Escalate to CBE","Escalate to Roxanne"))</f>
        <v/>
      </c>
    </row>
    <row r="139" spans="18:26">
      <c r="R139" s="15"/>
      <c r="S139" s="16"/>
      <c r="T139" s="17">
        <f>IF(AND(COUNTA($A139:$K139)=0,$L139=""),"",IF($S139="Paid","PAID",IF($S139="Closed","CLOSED",IF($W139="","",IF($W139=6,"ESCALATED TO ROXANNE",IF(TODAY()&gt;$Y139,"OVERDUE",IF($Y139&lt;=WORKDAY(TODAY(),1,Holidays),"DUE TOMORROW",IF($W139=4,"ESCALATED TO LOCAL OFFICE",IF($W139=5,"ESCALATED TO CBE",IF($X139=TODAY(),"EMAIL SENT","MONITORING"))))))))))</f>
        <v/>
      </c>
      <c r="U139" s="17">
        <f>IF($T139="",IF(AND(COUNTA($A139:$K139)&gt;0,$L139=""),"Awaiting Collection Email time stamp.",""),IF(OR($T139="PAID",$T139="CLOSED"),IF($T139="PAID","Account paid. Action completed.","Account closed. No further action required."),CHOOSE($W139,"Collection Email","1st Email Follow-up","2nd Email Follow-up","Escalation to Local Office","Escalation to CBE","Escalation to Roxanne")&amp;" sent "&amp;TEXT($X139,"dd-mmm")&amp;". "&amp;IF($W139=6,"Final escalation completed.",IF($T139="OVERDUE","Next: "&amp;$Z139&amp;" was due "&amp;TEXT($Y139,"dd-mmm")&amp;" - "&amp;(NETWORKDAYS($Y139,TODAY(),Holidays)-1)&amp;" business day(s) late. Send now.",IF($T139="DUE TOMORROW","Next: "&amp;$Z139&amp;IF($Y139&lt;=TODAY()," is due TODAY ("," is due next business day (")&amp;TEXT($Y139,"dd-mmm")&amp;").","Next: "&amp;$Z139&amp;" due "&amp;TEXT($Y139,"dd-mmm")&amp;" ("&amp;(NETWORKDAYS(TODAY(),$Y139,Holidays)-1)&amp;" business day(s) left).")))))</f>
        <v/>
      </c>
      <c r="V139" s="17">
        <f>IF($W139="","",CHOOSE($W139,"Collection Email","1st Follow-up","2nd Follow-up","Local Office","CBE","Roxanne")&amp;IF($W139=6," - Final"," - Day "&amp;MAX(0,NETWORKDAYS($X139,TODAY(),Holidays)-1)&amp;" of "&amp;CHOOSE($W139,3,3,2,2,3))&amp;" | Total Day "&amp;MAX(0,NETWORKDAYS($L139,TODAY(),Holidays)-1))</f>
        <v/>
      </c>
      <c r="W139" s="17">
        <f>IF($L139="","",COUNT($L139:$Q139))</f>
        <v/>
      </c>
      <c r="X139" s="18">
        <f>IF($W139="","",INT(INDEX($L139:$Q139,$W139)))</f>
        <v/>
      </c>
      <c r="Y139" s="18">
        <f>IF(OR($W139="",$W139=6),"",WORKDAY($X139,CHOOSE($W139,3,3,2,2,3),Holidays))</f>
        <v/>
      </c>
      <c r="Z139" s="17">
        <f>IF(OR($W139="",$W139=6),"",CHOOSE($W139,"1st Email Follow-up","2nd Email Follow-up","Escalate Local Office","Escalate to CBE","Escalate to Roxanne"))</f>
        <v/>
      </c>
    </row>
    <row r="140" spans="18:26">
      <c r="R140" s="15"/>
      <c r="S140" s="16"/>
      <c r="T140" s="17">
        <f>IF(AND(COUNTA($A140:$K140)=0,$L140=""),"",IF($S140="Paid","PAID",IF($S140="Closed","CLOSED",IF($W140="","",IF($W140=6,"ESCALATED TO ROXANNE",IF(TODAY()&gt;$Y140,"OVERDUE",IF($Y140&lt;=WORKDAY(TODAY(),1,Holidays),"DUE TOMORROW",IF($W140=4,"ESCALATED TO LOCAL OFFICE",IF($W140=5,"ESCALATED TO CBE",IF($X140=TODAY(),"EMAIL SENT","MONITORING"))))))))))</f>
        <v/>
      </c>
      <c r="U140" s="17">
        <f>IF($T140="",IF(AND(COUNTA($A140:$K140)&gt;0,$L140=""),"Awaiting Collection Email time stamp.",""),IF(OR($T140="PAID",$T140="CLOSED"),IF($T140="PAID","Account paid. Action completed.","Account closed. No further action required."),CHOOSE($W140,"Collection Email","1st Email Follow-up","2nd Email Follow-up","Escalation to Local Office","Escalation to CBE","Escalation to Roxanne")&amp;" sent "&amp;TEXT($X140,"dd-mmm")&amp;". "&amp;IF($W140=6,"Final escalation completed.",IF($T140="OVERDUE","Next: "&amp;$Z140&amp;" was due "&amp;TEXT($Y140,"dd-mmm")&amp;" - "&amp;(NETWORKDAYS($Y140,TODAY(),Holidays)-1)&amp;" business day(s) late. Send now.",IF($T140="DUE TOMORROW","Next: "&amp;$Z140&amp;IF($Y140&lt;=TODAY()," is due TODAY ("," is due next business day (")&amp;TEXT($Y140,"dd-mmm")&amp;").","Next: "&amp;$Z140&amp;" due "&amp;TEXT($Y140,"dd-mmm")&amp;" ("&amp;(NETWORKDAYS(TODAY(),$Y140,Holidays)-1)&amp;" business day(s) left).")))))</f>
        <v/>
      </c>
      <c r="V140" s="17">
        <f>IF($W140="","",CHOOSE($W140,"Collection Email","1st Follow-up","2nd Follow-up","Local Office","CBE","Roxanne")&amp;IF($W140=6," - Final"," - Day "&amp;MAX(0,NETWORKDAYS($X140,TODAY(),Holidays)-1)&amp;" of "&amp;CHOOSE($W140,3,3,2,2,3))&amp;" | Total Day "&amp;MAX(0,NETWORKDAYS($L140,TODAY(),Holidays)-1))</f>
        <v/>
      </c>
      <c r="W140" s="17">
        <f>IF($L140="","",COUNT($L140:$Q140))</f>
        <v/>
      </c>
      <c r="X140" s="18">
        <f>IF($W140="","",INT(INDEX($L140:$Q140,$W140)))</f>
        <v/>
      </c>
      <c r="Y140" s="18">
        <f>IF(OR($W140="",$W140=6),"",WORKDAY($X140,CHOOSE($W140,3,3,2,2,3),Holidays))</f>
        <v/>
      </c>
      <c r="Z140" s="17">
        <f>IF(OR($W140="",$W140=6),"",CHOOSE($W140,"1st Email Follow-up","2nd Email Follow-up","Escalate Local Office","Escalate to CBE","Escalate to Roxanne"))</f>
        <v/>
      </c>
    </row>
    <row r="141" spans="18:26">
      <c r="R141" s="15"/>
      <c r="S141" s="16"/>
      <c r="T141" s="17">
        <f>IF(AND(COUNTA($A141:$K141)=0,$L141=""),"",IF($S141="Paid","PAID",IF($S141="Closed","CLOSED",IF($W141="","",IF($W141=6,"ESCALATED TO ROXANNE",IF(TODAY()&gt;$Y141,"OVERDUE",IF($Y141&lt;=WORKDAY(TODAY(),1,Holidays),"DUE TOMORROW",IF($W141=4,"ESCALATED TO LOCAL OFFICE",IF($W141=5,"ESCALATED TO CBE",IF($X141=TODAY(),"EMAIL SENT","MONITORING"))))))))))</f>
        <v/>
      </c>
      <c r="U141" s="17">
        <f>IF($T141="",IF(AND(COUNTA($A141:$K141)&gt;0,$L141=""),"Awaiting Collection Email time stamp.",""),IF(OR($T141="PAID",$T141="CLOSED"),IF($T141="PAID","Account paid. Action completed.","Account closed. No further action required."),CHOOSE($W141,"Collection Email","1st Email Follow-up","2nd Email Follow-up","Escalation to Local Office","Escalation to CBE","Escalation to Roxanne")&amp;" sent "&amp;TEXT($X141,"dd-mmm")&amp;". "&amp;IF($W141=6,"Final escalation completed.",IF($T141="OVERDUE","Next: "&amp;$Z141&amp;" was due "&amp;TEXT($Y141,"dd-mmm")&amp;" - "&amp;(NETWORKDAYS($Y141,TODAY(),Holidays)-1)&amp;" business day(s) late. Send now.",IF($T141="DUE TOMORROW","Next: "&amp;$Z141&amp;IF($Y141&lt;=TODAY()," is due TODAY ("," is due next business day (")&amp;TEXT($Y141,"dd-mmm")&amp;").","Next: "&amp;$Z141&amp;" due "&amp;TEXT($Y141,"dd-mmm")&amp;" ("&amp;(NETWORKDAYS(TODAY(),$Y141,Holidays)-1)&amp;" business day(s) left).")))))</f>
        <v/>
      </c>
      <c r="V141" s="17">
        <f>IF($W141="","",CHOOSE($W141,"Collection Email","1st Follow-up","2nd Follow-up","Local Office","CBE","Roxanne")&amp;IF($W141=6," - Final"," - Day "&amp;MAX(0,NETWORKDAYS($X141,TODAY(),Holidays)-1)&amp;" of "&amp;CHOOSE($W141,3,3,2,2,3))&amp;" | Total Day "&amp;MAX(0,NETWORKDAYS($L141,TODAY(),Holidays)-1))</f>
        <v/>
      </c>
      <c r="W141" s="17">
        <f>IF($L141="","",COUNT($L141:$Q141))</f>
        <v/>
      </c>
      <c r="X141" s="18">
        <f>IF($W141="","",INT(INDEX($L141:$Q141,$W141)))</f>
        <v/>
      </c>
      <c r="Y141" s="18">
        <f>IF(OR($W141="",$W141=6),"",WORKDAY($X141,CHOOSE($W141,3,3,2,2,3),Holidays))</f>
        <v/>
      </c>
      <c r="Z141" s="17">
        <f>IF(OR($W141="",$W141=6),"",CHOOSE($W141,"1st Email Follow-up","2nd Email Follow-up","Escalate Local Office","Escalate to CBE","Escalate to Roxanne"))</f>
        <v/>
      </c>
    </row>
    <row r="142" spans="18:26">
      <c r="R142" s="15"/>
      <c r="S142" s="16"/>
      <c r="T142" s="17">
        <f>IF(AND(COUNTA($A142:$K142)=0,$L142=""),"",IF($S142="Paid","PAID",IF($S142="Closed","CLOSED",IF($W142="","",IF($W142=6,"ESCALATED TO ROXANNE",IF(TODAY()&gt;$Y142,"OVERDUE",IF($Y142&lt;=WORKDAY(TODAY(),1,Holidays),"DUE TOMORROW",IF($W142=4,"ESCALATED TO LOCAL OFFICE",IF($W142=5,"ESCALATED TO CBE",IF($X142=TODAY(),"EMAIL SENT","MONITORING"))))))))))</f>
        <v/>
      </c>
      <c r="U142" s="17">
        <f>IF($T142="",IF(AND(COUNTA($A142:$K142)&gt;0,$L142=""),"Awaiting Collection Email time stamp.",""),IF(OR($T142="PAID",$T142="CLOSED"),IF($T142="PAID","Account paid. Action completed.","Account closed. No further action required."),CHOOSE($W142,"Collection Email","1st Email Follow-up","2nd Email Follow-up","Escalation to Local Office","Escalation to CBE","Escalation to Roxanne")&amp;" sent "&amp;TEXT($X142,"dd-mmm")&amp;". "&amp;IF($W142=6,"Final escalation completed.",IF($T142="OVERDUE","Next: "&amp;$Z142&amp;" was due "&amp;TEXT($Y142,"dd-mmm")&amp;" - "&amp;(NETWORKDAYS($Y142,TODAY(),Holidays)-1)&amp;" business day(s) late. Send now.",IF($T142="DUE TOMORROW","Next: "&amp;$Z142&amp;IF($Y142&lt;=TODAY()," is due TODAY ("," is due next business day (")&amp;TEXT($Y142,"dd-mmm")&amp;").","Next: "&amp;$Z142&amp;" due "&amp;TEXT($Y142,"dd-mmm")&amp;" ("&amp;(NETWORKDAYS(TODAY(),$Y142,Holidays)-1)&amp;" business day(s) left).")))))</f>
        <v/>
      </c>
      <c r="V142" s="17">
        <f>IF($W142="","",CHOOSE($W142,"Collection Email","1st Follow-up","2nd Follow-up","Local Office","CBE","Roxanne")&amp;IF($W142=6," - Final"," - Day "&amp;MAX(0,NETWORKDAYS($X142,TODAY(),Holidays)-1)&amp;" of "&amp;CHOOSE($W142,3,3,2,2,3))&amp;" | Total Day "&amp;MAX(0,NETWORKDAYS($L142,TODAY(),Holidays)-1))</f>
        <v/>
      </c>
      <c r="W142" s="17">
        <f>IF($L142="","",COUNT($L142:$Q142))</f>
        <v/>
      </c>
      <c r="X142" s="18">
        <f>IF($W142="","",INT(INDEX($L142:$Q142,$W142)))</f>
        <v/>
      </c>
      <c r="Y142" s="18">
        <f>IF(OR($W142="",$W142=6),"",WORKDAY($X142,CHOOSE($W142,3,3,2,2,3),Holidays))</f>
        <v/>
      </c>
      <c r="Z142" s="17">
        <f>IF(OR($W142="",$W142=6),"",CHOOSE($W142,"1st Email Follow-up","2nd Email Follow-up","Escalate Local Office","Escalate to CBE","Escalate to Roxanne"))</f>
        <v/>
      </c>
    </row>
    <row r="143" spans="18:26">
      <c r="R143" s="15"/>
      <c r="S143" s="16"/>
      <c r="T143" s="17">
        <f>IF(AND(COUNTA($A143:$K143)=0,$L143=""),"",IF($S143="Paid","PAID",IF($S143="Closed","CLOSED",IF($W143="","",IF($W143=6,"ESCALATED TO ROXANNE",IF(TODAY()&gt;$Y143,"OVERDUE",IF($Y143&lt;=WORKDAY(TODAY(),1,Holidays),"DUE TOMORROW",IF($W143=4,"ESCALATED TO LOCAL OFFICE",IF($W143=5,"ESCALATED TO CBE",IF($X143=TODAY(),"EMAIL SENT","MONITORING"))))))))))</f>
        <v/>
      </c>
      <c r="U143" s="17">
        <f>IF($T143="",IF(AND(COUNTA($A143:$K143)&gt;0,$L143=""),"Awaiting Collection Email time stamp.",""),IF(OR($T143="PAID",$T143="CLOSED"),IF($T143="PAID","Account paid. Action completed.","Account closed. No further action required."),CHOOSE($W143,"Collection Email","1st Email Follow-up","2nd Email Follow-up","Escalation to Local Office","Escalation to CBE","Escalation to Roxanne")&amp;" sent "&amp;TEXT($X143,"dd-mmm")&amp;". "&amp;IF($W143=6,"Final escalation completed.",IF($T143="OVERDUE","Next: "&amp;$Z143&amp;" was due "&amp;TEXT($Y143,"dd-mmm")&amp;" - "&amp;(NETWORKDAYS($Y143,TODAY(),Holidays)-1)&amp;" business day(s) late. Send now.",IF($T143="DUE TOMORROW","Next: "&amp;$Z143&amp;IF($Y143&lt;=TODAY()," is due TODAY ("," is due next business day (")&amp;TEXT($Y143,"dd-mmm")&amp;").","Next: "&amp;$Z143&amp;" due "&amp;TEXT($Y143,"dd-mmm")&amp;" ("&amp;(NETWORKDAYS(TODAY(),$Y143,Holidays)-1)&amp;" business day(s) left).")))))</f>
        <v/>
      </c>
      <c r="V143" s="17">
        <f>IF($W143="","",CHOOSE($W143,"Collection Email","1st Follow-up","2nd Follow-up","Local Office","CBE","Roxanne")&amp;IF($W143=6," - Final"," - Day "&amp;MAX(0,NETWORKDAYS($X143,TODAY(),Holidays)-1)&amp;" of "&amp;CHOOSE($W143,3,3,2,2,3))&amp;" | Total Day "&amp;MAX(0,NETWORKDAYS($L143,TODAY(),Holidays)-1))</f>
        <v/>
      </c>
      <c r="W143" s="17">
        <f>IF($L143="","",COUNT($L143:$Q143))</f>
        <v/>
      </c>
      <c r="X143" s="18">
        <f>IF($W143="","",INT(INDEX($L143:$Q143,$W143)))</f>
        <v/>
      </c>
      <c r="Y143" s="18">
        <f>IF(OR($W143="",$W143=6),"",WORKDAY($X143,CHOOSE($W143,3,3,2,2,3),Holidays))</f>
        <v/>
      </c>
      <c r="Z143" s="17">
        <f>IF(OR($W143="",$W143=6),"",CHOOSE($W143,"1st Email Follow-up","2nd Email Follow-up","Escalate Local Office","Escalate to CBE","Escalate to Roxanne"))</f>
        <v/>
      </c>
    </row>
    <row r="144" spans="18:26">
      <c r="R144" s="15"/>
      <c r="S144" s="16"/>
      <c r="T144" s="17">
        <f>IF(AND(COUNTA($A144:$K144)=0,$L144=""),"",IF($S144="Paid","PAID",IF($S144="Closed","CLOSED",IF($W144="","",IF($W144=6,"ESCALATED TO ROXANNE",IF(TODAY()&gt;$Y144,"OVERDUE",IF($Y144&lt;=WORKDAY(TODAY(),1,Holidays),"DUE TOMORROW",IF($W144=4,"ESCALATED TO LOCAL OFFICE",IF($W144=5,"ESCALATED TO CBE",IF($X144=TODAY(),"EMAIL SENT","MONITORING"))))))))))</f>
        <v/>
      </c>
      <c r="U144" s="17">
        <f>IF($T144="",IF(AND(COUNTA($A144:$K144)&gt;0,$L144=""),"Awaiting Collection Email time stamp.",""),IF(OR($T144="PAID",$T144="CLOSED"),IF($T144="PAID","Account paid. Action completed.","Account closed. No further action required."),CHOOSE($W144,"Collection Email","1st Email Follow-up","2nd Email Follow-up","Escalation to Local Office","Escalation to CBE","Escalation to Roxanne")&amp;" sent "&amp;TEXT($X144,"dd-mmm")&amp;". "&amp;IF($W144=6,"Final escalation completed.",IF($T144="OVERDUE","Next: "&amp;$Z144&amp;" was due "&amp;TEXT($Y144,"dd-mmm")&amp;" - "&amp;(NETWORKDAYS($Y144,TODAY(),Holidays)-1)&amp;" business day(s) late. Send now.",IF($T144="DUE TOMORROW","Next: "&amp;$Z144&amp;IF($Y144&lt;=TODAY()," is due TODAY ("," is due next business day (")&amp;TEXT($Y144,"dd-mmm")&amp;").","Next: "&amp;$Z144&amp;" due "&amp;TEXT($Y144,"dd-mmm")&amp;" ("&amp;(NETWORKDAYS(TODAY(),$Y144,Holidays)-1)&amp;" business day(s) left).")))))</f>
        <v/>
      </c>
      <c r="V144" s="17">
        <f>IF($W144="","",CHOOSE($W144,"Collection Email","1st Follow-up","2nd Follow-up","Local Office","CBE","Roxanne")&amp;IF($W144=6," - Final"," - Day "&amp;MAX(0,NETWORKDAYS($X144,TODAY(),Holidays)-1)&amp;" of "&amp;CHOOSE($W144,3,3,2,2,3))&amp;" | Total Day "&amp;MAX(0,NETWORKDAYS($L144,TODAY(),Holidays)-1))</f>
        <v/>
      </c>
      <c r="W144" s="17">
        <f>IF($L144="","",COUNT($L144:$Q144))</f>
        <v/>
      </c>
      <c r="X144" s="18">
        <f>IF($W144="","",INT(INDEX($L144:$Q144,$W144)))</f>
        <v/>
      </c>
      <c r="Y144" s="18">
        <f>IF(OR($W144="",$W144=6),"",WORKDAY($X144,CHOOSE($W144,3,3,2,2,3),Holidays))</f>
        <v/>
      </c>
      <c r="Z144" s="17">
        <f>IF(OR($W144="",$W144=6),"",CHOOSE($W144,"1st Email Follow-up","2nd Email Follow-up","Escalate Local Office","Escalate to CBE","Escalate to Roxanne"))</f>
        <v/>
      </c>
    </row>
    <row r="145" spans="18:26">
      <c r="R145" s="15"/>
      <c r="S145" s="16"/>
      <c r="T145" s="17">
        <f>IF(AND(COUNTA($A145:$K145)=0,$L145=""),"",IF($S145="Paid","PAID",IF($S145="Closed","CLOSED",IF($W145="","",IF($W145=6,"ESCALATED TO ROXANNE",IF(TODAY()&gt;$Y145,"OVERDUE",IF($Y145&lt;=WORKDAY(TODAY(),1,Holidays),"DUE TOMORROW",IF($W145=4,"ESCALATED TO LOCAL OFFICE",IF($W145=5,"ESCALATED TO CBE",IF($X145=TODAY(),"EMAIL SENT","MONITORING"))))))))))</f>
        <v/>
      </c>
      <c r="U145" s="17">
        <f>IF($T145="",IF(AND(COUNTA($A145:$K145)&gt;0,$L145=""),"Awaiting Collection Email time stamp.",""),IF(OR($T145="PAID",$T145="CLOSED"),IF($T145="PAID","Account paid. Action completed.","Account closed. No further action required."),CHOOSE($W145,"Collection Email","1st Email Follow-up","2nd Email Follow-up","Escalation to Local Office","Escalation to CBE","Escalation to Roxanne")&amp;" sent "&amp;TEXT($X145,"dd-mmm")&amp;". "&amp;IF($W145=6,"Final escalation completed.",IF($T145="OVERDUE","Next: "&amp;$Z145&amp;" was due "&amp;TEXT($Y145,"dd-mmm")&amp;" - "&amp;(NETWORKDAYS($Y145,TODAY(),Holidays)-1)&amp;" business day(s) late. Send now.",IF($T145="DUE TOMORROW","Next: "&amp;$Z145&amp;IF($Y145&lt;=TODAY()," is due TODAY ("," is due next business day (")&amp;TEXT($Y145,"dd-mmm")&amp;").","Next: "&amp;$Z145&amp;" due "&amp;TEXT($Y145,"dd-mmm")&amp;" ("&amp;(NETWORKDAYS(TODAY(),$Y145,Holidays)-1)&amp;" business day(s) left).")))))</f>
        <v/>
      </c>
      <c r="V145" s="17">
        <f>IF($W145="","",CHOOSE($W145,"Collection Email","1st Follow-up","2nd Follow-up","Local Office","CBE","Roxanne")&amp;IF($W145=6," - Final"," - Day "&amp;MAX(0,NETWORKDAYS($X145,TODAY(),Holidays)-1)&amp;" of "&amp;CHOOSE($W145,3,3,2,2,3))&amp;" | Total Day "&amp;MAX(0,NETWORKDAYS($L145,TODAY(),Holidays)-1))</f>
        <v/>
      </c>
      <c r="W145" s="17">
        <f>IF($L145="","",COUNT($L145:$Q145))</f>
        <v/>
      </c>
      <c r="X145" s="18">
        <f>IF($W145="","",INT(INDEX($L145:$Q145,$W145)))</f>
        <v/>
      </c>
      <c r="Y145" s="18">
        <f>IF(OR($W145="",$W145=6),"",WORKDAY($X145,CHOOSE($W145,3,3,2,2,3),Holidays))</f>
        <v/>
      </c>
      <c r="Z145" s="17">
        <f>IF(OR($W145="",$W145=6),"",CHOOSE($W145,"1st Email Follow-up","2nd Email Follow-up","Escalate Local Office","Escalate to CBE","Escalate to Roxanne"))</f>
        <v/>
      </c>
    </row>
    <row r="146" spans="18:26">
      <c r="R146" s="15"/>
      <c r="S146" s="16"/>
      <c r="T146" s="17">
        <f>IF(AND(COUNTA($A146:$K146)=0,$L146=""),"",IF($S146="Paid","PAID",IF($S146="Closed","CLOSED",IF($W146="","",IF($W146=6,"ESCALATED TO ROXANNE",IF(TODAY()&gt;$Y146,"OVERDUE",IF($Y146&lt;=WORKDAY(TODAY(),1,Holidays),"DUE TOMORROW",IF($W146=4,"ESCALATED TO LOCAL OFFICE",IF($W146=5,"ESCALATED TO CBE",IF($X146=TODAY(),"EMAIL SENT","MONITORING"))))))))))</f>
        <v/>
      </c>
      <c r="U146" s="17">
        <f>IF($T146="",IF(AND(COUNTA($A146:$K146)&gt;0,$L146=""),"Awaiting Collection Email time stamp.",""),IF(OR($T146="PAID",$T146="CLOSED"),IF($T146="PAID","Account paid. Action completed.","Account closed. No further action required."),CHOOSE($W146,"Collection Email","1st Email Follow-up","2nd Email Follow-up","Escalation to Local Office","Escalation to CBE","Escalation to Roxanne")&amp;" sent "&amp;TEXT($X146,"dd-mmm")&amp;". "&amp;IF($W146=6,"Final escalation completed.",IF($T146="OVERDUE","Next: "&amp;$Z146&amp;" was due "&amp;TEXT($Y146,"dd-mmm")&amp;" - "&amp;(NETWORKDAYS($Y146,TODAY(),Holidays)-1)&amp;" business day(s) late. Send now.",IF($T146="DUE TOMORROW","Next: "&amp;$Z146&amp;IF($Y146&lt;=TODAY()," is due TODAY ("," is due next business day (")&amp;TEXT($Y146,"dd-mmm")&amp;").","Next: "&amp;$Z146&amp;" due "&amp;TEXT($Y146,"dd-mmm")&amp;" ("&amp;(NETWORKDAYS(TODAY(),$Y146,Holidays)-1)&amp;" business day(s) left).")))))</f>
        <v/>
      </c>
      <c r="V146" s="17">
        <f>IF($W146="","",CHOOSE($W146,"Collection Email","1st Follow-up","2nd Follow-up","Local Office","CBE","Roxanne")&amp;IF($W146=6," - Final"," - Day "&amp;MAX(0,NETWORKDAYS($X146,TODAY(),Holidays)-1)&amp;" of "&amp;CHOOSE($W146,3,3,2,2,3))&amp;" | Total Day "&amp;MAX(0,NETWORKDAYS($L146,TODAY(),Holidays)-1))</f>
        <v/>
      </c>
      <c r="W146" s="17">
        <f>IF($L146="","",COUNT($L146:$Q146))</f>
        <v/>
      </c>
      <c r="X146" s="18">
        <f>IF($W146="","",INT(INDEX($L146:$Q146,$W146)))</f>
        <v/>
      </c>
      <c r="Y146" s="18">
        <f>IF(OR($W146="",$W146=6),"",WORKDAY($X146,CHOOSE($W146,3,3,2,2,3),Holidays))</f>
        <v/>
      </c>
      <c r="Z146" s="17">
        <f>IF(OR($W146="",$W146=6),"",CHOOSE($W146,"1st Email Follow-up","2nd Email Follow-up","Escalate Local Office","Escalate to CBE","Escalate to Roxanne"))</f>
        <v/>
      </c>
    </row>
    <row r="147" spans="18:26">
      <c r="R147" s="15"/>
      <c r="S147" s="16"/>
      <c r="T147" s="17">
        <f>IF(AND(COUNTA($A147:$K147)=0,$L147=""),"",IF($S147="Paid","PAID",IF($S147="Closed","CLOSED",IF($W147="","",IF($W147=6,"ESCALATED TO ROXANNE",IF(TODAY()&gt;$Y147,"OVERDUE",IF($Y147&lt;=WORKDAY(TODAY(),1,Holidays),"DUE TOMORROW",IF($W147=4,"ESCALATED TO LOCAL OFFICE",IF($W147=5,"ESCALATED TO CBE",IF($X147=TODAY(),"EMAIL SENT","MONITORING"))))))))))</f>
        <v/>
      </c>
      <c r="U147" s="17">
        <f>IF($T147="",IF(AND(COUNTA($A147:$K147)&gt;0,$L147=""),"Awaiting Collection Email time stamp.",""),IF(OR($T147="PAID",$T147="CLOSED"),IF($T147="PAID","Account paid. Action completed.","Account closed. No further action required."),CHOOSE($W147,"Collection Email","1st Email Follow-up","2nd Email Follow-up","Escalation to Local Office","Escalation to CBE","Escalation to Roxanne")&amp;" sent "&amp;TEXT($X147,"dd-mmm")&amp;". "&amp;IF($W147=6,"Final escalation completed.",IF($T147="OVERDUE","Next: "&amp;$Z147&amp;" was due "&amp;TEXT($Y147,"dd-mmm")&amp;" - "&amp;(NETWORKDAYS($Y147,TODAY(),Holidays)-1)&amp;" business day(s) late. Send now.",IF($T147="DUE TOMORROW","Next: "&amp;$Z147&amp;IF($Y147&lt;=TODAY()," is due TODAY ("," is due next business day (")&amp;TEXT($Y147,"dd-mmm")&amp;").","Next: "&amp;$Z147&amp;" due "&amp;TEXT($Y147,"dd-mmm")&amp;" ("&amp;(NETWORKDAYS(TODAY(),$Y147,Holidays)-1)&amp;" business day(s) left).")))))</f>
        <v/>
      </c>
      <c r="V147" s="17">
        <f>IF($W147="","",CHOOSE($W147,"Collection Email","1st Follow-up","2nd Follow-up","Local Office","CBE","Roxanne")&amp;IF($W147=6," - Final"," - Day "&amp;MAX(0,NETWORKDAYS($X147,TODAY(),Holidays)-1)&amp;" of "&amp;CHOOSE($W147,3,3,2,2,3))&amp;" | Total Day "&amp;MAX(0,NETWORKDAYS($L147,TODAY(),Holidays)-1))</f>
        <v/>
      </c>
      <c r="W147" s="17">
        <f>IF($L147="","",COUNT($L147:$Q147))</f>
        <v/>
      </c>
      <c r="X147" s="18">
        <f>IF($W147="","",INT(INDEX($L147:$Q147,$W147)))</f>
        <v/>
      </c>
      <c r="Y147" s="18">
        <f>IF(OR($W147="",$W147=6),"",WORKDAY($X147,CHOOSE($W147,3,3,2,2,3),Holidays))</f>
        <v/>
      </c>
      <c r="Z147" s="17">
        <f>IF(OR($W147="",$W147=6),"",CHOOSE($W147,"1st Email Follow-up","2nd Email Follow-up","Escalate Local Office","Escalate to CBE","Escalate to Roxanne"))</f>
        <v/>
      </c>
    </row>
    <row r="148" spans="18:26">
      <c r="R148" s="15"/>
      <c r="S148" s="16"/>
      <c r="T148" s="17">
        <f>IF(AND(COUNTA($A148:$K148)=0,$L148=""),"",IF($S148="Paid","PAID",IF($S148="Closed","CLOSED",IF($W148="","",IF($W148=6,"ESCALATED TO ROXANNE",IF(TODAY()&gt;$Y148,"OVERDUE",IF($Y148&lt;=WORKDAY(TODAY(),1,Holidays),"DUE TOMORROW",IF($W148=4,"ESCALATED TO LOCAL OFFICE",IF($W148=5,"ESCALATED TO CBE",IF($X148=TODAY(),"EMAIL SENT","MONITORING"))))))))))</f>
        <v/>
      </c>
      <c r="U148" s="17">
        <f>IF($T148="",IF(AND(COUNTA($A148:$K148)&gt;0,$L148=""),"Awaiting Collection Email time stamp.",""),IF(OR($T148="PAID",$T148="CLOSED"),IF($T148="PAID","Account paid. Action completed.","Account closed. No further action required."),CHOOSE($W148,"Collection Email","1st Email Follow-up","2nd Email Follow-up","Escalation to Local Office","Escalation to CBE","Escalation to Roxanne")&amp;" sent "&amp;TEXT($X148,"dd-mmm")&amp;". "&amp;IF($W148=6,"Final escalation completed.",IF($T148="OVERDUE","Next: "&amp;$Z148&amp;" was due "&amp;TEXT($Y148,"dd-mmm")&amp;" - "&amp;(NETWORKDAYS($Y148,TODAY(),Holidays)-1)&amp;" business day(s) late. Send now.",IF($T148="DUE TOMORROW","Next: "&amp;$Z148&amp;IF($Y148&lt;=TODAY()," is due TODAY ("," is due next business day (")&amp;TEXT($Y148,"dd-mmm")&amp;").","Next: "&amp;$Z148&amp;" due "&amp;TEXT($Y148,"dd-mmm")&amp;" ("&amp;(NETWORKDAYS(TODAY(),$Y148,Holidays)-1)&amp;" business day(s) left).")))))</f>
        <v/>
      </c>
      <c r="V148" s="17">
        <f>IF($W148="","",CHOOSE($W148,"Collection Email","1st Follow-up","2nd Follow-up","Local Office","CBE","Roxanne")&amp;IF($W148=6," - Final"," - Day "&amp;MAX(0,NETWORKDAYS($X148,TODAY(),Holidays)-1)&amp;" of "&amp;CHOOSE($W148,3,3,2,2,3))&amp;" | Total Day "&amp;MAX(0,NETWORKDAYS($L148,TODAY(),Holidays)-1))</f>
        <v/>
      </c>
      <c r="W148" s="17">
        <f>IF($L148="","",COUNT($L148:$Q148))</f>
        <v/>
      </c>
      <c r="X148" s="18">
        <f>IF($W148="","",INT(INDEX($L148:$Q148,$W148)))</f>
        <v/>
      </c>
      <c r="Y148" s="18">
        <f>IF(OR($W148="",$W148=6),"",WORKDAY($X148,CHOOSE($W148,3,3,2,2,3),Holidays))</f>
        <v/>
      </c>
      <c r="Z148" s="17">
        <f>IF(OR($W148="",$W148=6),"",CHOOSE($W148,"1st Email Follow-up","2nd Email Follow-up","Escalate Local Office","Escalate to CBE","Escalate to Roxanne"))</f>
        <v/>
      </c>
    </row>
    <row r="149" spans="18:26">
      <c r="R149" s="15"/>
      <c r="S149" s="16"/>
      <c r="T149" s="17">
        <f>IF(AND(COUNTA($A149:$K149)=0,$L149=""),"",IF($S149="Paid","PAID",IF($S149="Closed","CLOSED",IF($W149="","",IF($W149=6,"ESCALATED TO ROXANNE",IF(TODAY()&gt;$Y149,"OVERDUE",IF($Y149&lt;=WORKDAY(TODAY(),1,Holidays),"DUE TOMORROW",IF($W149=4,"ESCALATED TO LOCAL OFFICE",IF($W149=5,"ESCALATED TO CBE",IF($X149=TODAY(),"EMAIL SENT","MONITORING"))))))))))</f>
        <v/>
      </c>
      <c r="U149" s="17">
        <f>IF($T149="",IF(AND(COUNTA($A149:$K149)&gt;0,$L149=""),"Awaiting Collection Email time stamp.",""),IF(OR($T149="PAID",$T149="CLOSED"),IF($T149="PAID","Account paid. Action completed.","Account closed. No further action required."),CHOOSE($W149,"Collection Email","1st Email Follow-up","2nd Email Follow-up","Escalation to Local Office","Escalation to CBE","Escalation to Roxanne")&amp;" sent "&amp;TEXT($X149,"dd-mmm")&amp;". "&amp;IF($W149=6,"Final escalation completed.",IF($T149="OVERDUE","Next: "&amp;$Z149&amp;" was due "&amp;TEXT($Y149,"dd-mmm")&amp;" - "&amp;(NETWORKDAYS($Y149,TODAY(),Holidays)-1)&amp;" business day(s) late. Send now.",IF($T149="DUE TOMORROW","Next: "&amp;$Z149&amp;IF($Y149&lt;=TODAY()," is due TODAY ("," is due next business day (")&amp;TEXT($Y149,"dd-mmm")&amp;").","Next: "&amp;$Z149&amp;" due "&amp;TEXT($Y149,"dd-mmm")&amp;" ("&amp;(NETWORKDAYS(TODAY(),$Y149,Holidays)-1)&amp;" business day(s) left).")))))</f>
        <v/>
      </c>
      <c r="V149" s="17">
        <f>IF($W149="","",CHOOSE($W149,"Collection Email","1st Follow-up","2nd Follow-up","Local Office","CBE","Roxanne")&amp;IF($W149=6," - Final"," - Day "&amp;MAX(0,NETWORKDAYS($X149,TODAY(),Holidays)-1)&amp;" of "&amp;CHOOSE($W149,3,3,2,2,3))&amp;" | Total Day "&amp;MAX(0,NETWORKDAYS($L149,TODAY(),Holidays)-1))</f>
        <v/>
      </c>
      <c r="W149" s="17">
        <f>IF($L149="","",COUNT($L149:$Q149))</f>
        <v/>
      </c>
      <c r="X149" s="18">
        <f>IF($W149="","",INT(INDEX($L149:$Q149,$W149)))</f>
        <v/>
      </c>
      <c r="Y149" s="18">
        <f>IF(OR($W149="",$W149=6),"",WORKDAY($X149,CHOOSE($W149,3,3,2,2,3),Holidays))</f>
        <v/>
      </c>
      <c r="Z149" s="17">
        <f>IF(OR($W149="",$W149=6),"",CHOOSE($W149,"1st Email Follow-up","2nd Email Follow-up","Escalate Local Office","Escalate to CBE","Escalate to Roxanne"))</f>
        <v/>
      </c>
    </row>
    <row r="150" spans="18:26">
      <c r="R150" s="15"/>
      <c r="S150" s="16"/>
      <c r="T150" s="17">
        <f>IF(AND(COUNTA($A150:$K150)=0,$L150=""),"",IF($S150="Paid","PAID",IF($S150="Closed","CLOSED",IF($W150="","",IF($W150=6,"ESCALATED TO ROXANNE",IF(TODAY()&gt;$Y150,"OVERDUE",IF($Y150&lt;=WORKDAY(TODAY(),1,Holidays),"DUE TOMORROW",IF($W150=4,"ESCALATED TO LOCAL OFFICE",IF($W150=5,"ESCALATED TO CBE",IF($X150=TODAY(),"EMAIL SENT","MONITORING"))))))))))</f>
        <v/>
      </c>
      <c r="U150" s="17">
        <f>IF($T150="",IF(AND(COUNTA($A150:$K150)&gt;0,$L150=""),"Awaiting Collection Email time stamp.",""),IF(OR($T150="PAID",$T150="CLOSED"),IF($T150="PAID","Account paid. Action completed.","Account closed. No further action required."),CHOOSE($W150,"Collection Email","1st Email Follow-up","2nd Email Follow-up","Escalation to Local Office","Escalation to CBE","Escalation to Roxanne")&amp;" sent "&amp;TEXT($X150,"dd-mmm")&amp;". "&amp;IF($W150=6,"Final escalation completed.",IF($T150="OVERDUE","Next: "&amp;$Z150&amp;" was due "&amp;TEXT($Y150,"dd-mmm")&amp;" - "&amp;(NETWORKDAYS($Y150,TODAY(),Holidays)-1)&amp;" business day(s) late. Send now.",IF($T150="DUE TOMORROW","Next: "&amp;$Z150&amp;IF($Y150&lt;=TODAY()," is due TODAY ("," is due next business day (")&amp;TEXT($Y150,"dd-mmm")&amp;").","Next: "&amp;$Z150&amp;" due "&amp;TEXT($Y150,"dd-mmm")&amp;" ("&amp;(NETWORKDAYS(TODAY(),$Y150,Holidays)-1)&amp;" business day(s) left).")))))</f>
        <v/>
      </c>
      <c r="V150" s="17">
        <f>IF($W150="","",CHOOSE($W150,"Collection Email","1st Follow-up","2nd Follow-up","Local Office","CBE","Roxanne")&amp;IF($W150=6," - Final"," - Day "&amp;MAX(0,NETWORKDAYS($X150,TODAY(),Holidays)-1)&amp;" of "&amp;CHOOSE($W150,3,3,2,2,3))&amp;" | Total Day "&amp;MAX(0,NETWORKDAYS($L150,TODAY(),Holidays)-1))</f>
        <v/>
      </c>
      <c r="W150" s="17">
        <f>IF($L150="","",COUNT($L150:$Q150))</f>
        <v/>
      </c>
      <c r="X150" s="18">
        <f>IF($W150="","",INT(INDEX($L150:$Q150,$W150)))</f>
        <v/>
      </c>
      <c r="Y150" s="18">
        <f>IF(OR($W150="",$W150=6),"",WORKDAY($X150,CHOOSE($W150,3,3,2,2,3),Holidays))</f>
        <v/>
      </c>
      <c r="Z150" s="17">
        <f>IF(OR($W150="",$W150=6),"",CHOOSE($W150,"1st Email Follow-up","2nd Email Follow-up","Escalate Local Office","Escalate to CBE","Escalate to Roxanne"))</f>
        <v/>
      </c>
    </row>
    <row r="151" spans="18:26">
      <c r="R151" s="15"/>
      <c r="S151" s="16"/>
      <c r="T151" s="17">
        <f>IF(AND(COUNTA($A151:$K151)=0,$L151=""),"",IF($S151="Paid","PAID",IF($S151="Closed","CLOSED",IF($W151="","",IF($W151=6,"ESCALATED TO ROXANNE",IF(TODAY()&gt;$Y151,"OVERDUE",IF($Y151&lt;=WORKDAY(TODAY(),1,Holidays),"DUE TOMORROW",IF($W151=4,"ESCALATED TO LOCAL OFFICE",IF($W151=5,"ESCALATED TO CBE",IF($X151=TODAY(),"EMAIL SENT","MONITORING"))))))))))</f>
        <v/>
      </c>
      <c r="U151" s="17">
        <f>IF($T151="",IF(AND(COUNTA($A151:$K151)&gt;0,$L151=""),"Awaiting Collection Email time stamp.",""),IF(OR($T151="PAID",$T151="CLOSED"),IF($T151="PAID","Account paid. Action completed.","Account closed. No further action required."),CHOOSE($W151,"Collection Email","1st Email Follow-up","2nd Email Follow-up","Escalation to Local Office","Escalation to CBE","Escalation to Roxanne")&amp;" sent "&amp;TEXT($X151,"dd-mmm")&amp;". "&amp;IF($W151=6,"Final escalation completed.",IF($T151="OVERDUE","Next: "&amp;$Z151&amp;" was due "&amp;TEXT($Y151,"dd-mmm")&amp;" - "&amp;(NETWORKDAYS($Y151,TODAY(),Holidays)-1)&amp;" business day(s) late. Send now.",IF($T151="DUE TOMORROW","Next: "&amp;$Z151&amp;IF($Y151&lt;=TODAY()," is due TODAY ("," is due next business day (")&amp;TEXT($Y151,"dd-mmm")&amp;").","Next: "&amp;$Z151&amp;" due "&amp;TEXT($Y151,"dd-mmm")&amp;" ("&amp;(NETWORKDAYS(TODAY(),$Y151,Holidays)-1)&amp;" business day(s) left).")))))</f>
        <v/>
      </c>
      <c r="V151" s="17">
        <f>IF($W151="","",CHOOSE($W151,"Collection Email","1st Follow-up","2nd Follow-up","Local Office","CBE","Roxanne")&amp;IF($W151=6," - Final"," - Day "&amp;MAX(0,NETWORKDAYS($X151,TODAY(),Holidays)-1)&amp;" of "&amp;CHOOSE($W151,3,3,2,2,3))&amp;" | Total Day "&amp;MAX(0,NETWORKDAYS($L151,TODAY(),Holidays)-1))</f>
        <v/>
      </c>
      <c r="W151" s="17">
        <f>IF($L151="","",COUNT($L151:$Q151))</f>
        <v/>
      </c>
      <c r="X151" s="18">
        <f>IF($W151="","",INT(INDEX($L151:$Q151,$W151)))</f>
        <v/>
      </c>
      <c r="Y151" s="18">
        <f>IF(OR($W151="",$W151=6),"",WORKDAY($X151,CHOOSE($W151,3,3,2,2,3),Holidays))</f>
        <v/>
      </c>
      <c r="Z151" s="17">
        <f>IF(OR($W151="",$W151=6),"",CHOOSE($W151,"1st Email Follow-up","2nd Email Follow-up","Escalate Local Office","Escalate to CBE","Escalate to Roxanne"))</f>
        <v/>
      </c>
    </row>
    <row r="152" spans="18:26">
      <c r="R152" s="15"/>
      <c r="S152" s="16"/>
      <c r="T152" s="17">
        <f>IF(AND(COUNTA($A152:$K152)=0,$L152=""),"",IF($S152="Paid","PAID",IF($S152="Closed","CLOSED",IF($W152="","",IF($W152=6,"ESCALATED TO ROXANNE",IF(TODAY()&gt;$Y152,"OVERDUE",IF($Y152&lt;=WORKDAY(TODAY(),1,Holidays),"DUE TOMORROW",IF($W152=4,"ESCALATED TO LOCAL OFFICE",IF($W152=5,"ESCALATED TO CBE",IF($X152=TODAY(),"EMAIL SENT","MONITORING"))))))))))</f>
        <v/>
      </c>
      <c r="U152" s="17">
        <f>IF($T152="",IF(AND(COUNTA($A152:$K152)&gt;0,$L152=""),"Awaiting Collection Email time stamp.",""),IF(OR($T152="PAID",$T152="CLOSED"),IF($T152="PAID","Account paid. Action completed.","Account closed. No further action required."),CHOOSE($W152,"Collection Email","1st Email Follow-up","2nd Email Follow-up","Escalation to Local Office","Escalation to CBE","Escalation to Roxanne")&amp;" sent "&amp;TEXT($X152,"dd-mmm")&amp;". "&amp;IF($W152=6,"Final escalation completed.",IF($T152="OVERDUE","Next: "&amp;$Z152&amp;" was due "&amp;TEXT($Y152,"dd-mmm")&amp;" - "&amp;(NETWORKDAYS($Y152,TODAY(),Holidays)-1)&amp;" business day(s) late. Send now.",IF($T152="DUE TOMORROW","Next: "&amp;$Z152&amp;IF($Y152&lt;=TODAY()," is due TODAY ("," is due next business day (")&amp;TEXT($Y152,"dd-mmm")&amp;").","Next: "&amp;$Z152&amp;" due "&amp;TEXT($Y152,"dd-mmm")&amp;" ("&amp;(NETWORKDAYS(TODAY(),$Y152,Holidays)-1)&amp;" business day(s) left).")))))</f>
        <v/>
      </c>
      <c r="V152" s="17">
        <f>IF($W152="","",CHOOSE($W152,"Collection Email","1st Follow-up","2nd Follow-up","Local Office","CBE","Roxanne")&amp;IF($W152=6," - Final"," - Day "&amp;MAX(0,NETWORKDAYS($X152,TODAY(),Holidays)-1)&amp;" of "&amp;CHOOSE($W152,3,3,2,2,3))&amp;" | Total Day "&amp;MAX(0,NETWORKDAYS($L152,TODAY(),Holidays)-1))</f>
        <v/>
      </c>
      <c r="W152" s="17">
        <f>IF($L152="","",COUNT($L152:$Q152))</f>
        <v/>
      </c>
      <c r="X152" s="18">
        <f>IF($W152="","",INT(INDEX($L152:$Q152,$W152)))</f>
        <v/>
      </c>
      <c r="Y152" s="18">
        <f>IF(OR($W152="",$W152=6),"",WORKDAY($X152,CHOOSE($W152,3,3,2,2,3),Holidays))</f>
        <v/>
      </c>
      <c r="Z152" s="17">
        <f>IF(OR($W152="",$W152=6),"",CHOOSE($W152,"1st Email Follow-up","2nd Email Follow-up","Escalate Local Office","Escalate to CBE","Escalate to Roxanne"))</f>
        <v/>
      </c>
    </row>
    <row r="153" spans="18:26">
      <c r="R153" s="15"/>
      <c r="S153" s="16"/>
      <c r="T153" s="17">
        <f>IF(AND(COUNTA($A153:$K153)=0,$L153=""),"",IF($S153="Paid","PAID",IF($S153="Closed","CLOSED",IF($W153="","",IF($W153=6,"ESCALATED TO ROXANNE",IF(TODAY()&gt;$Y153,"OVERDUE",IF($Y153&lt;=WORKDAY(TODAY(),1,Holidays),"DUE TOMORROW",IF($W153=4,"ESCALATED TO LOCAL OFFICE",IF($W153=5,"ESCALATED TO CBE",IF($X153=TODAY(),"EMAIL SENT","MONITORING"))))))))))</f>
        <v/>
      </c>
      <c r="U153" s="17">
        <f>IF($T153="",IF(AND(COUNTA($A153:$K153)&gt;0,$L153=""),"Awaiting Collection Email time stamp.",""),IF(OR($T153="PAID",$T153="CLOSED"),IF($T153="PAID","Account paid. Action completed.","Account closed. No further action required."),CHOOSE($W153,"Collection Email","1st Email Follow-up","2nd Email Follow-up","Escalation to Local Office","Escalation to CBE","Escalation to Roxanne")&amp;" sent "&amp;TEXT($X153,"dd-mmm")&amp;". "&amp;IF($W153=6,"Final escalation completed.",IF($T153="OVERDUE","Next: "&amp;$Z153&amp;" was due "&amp;TEXT($Y153,"dd-mmm")&amp;" - "&amp;(NETWORKDAYS($Y153,TODAY(),Holidays)-1)&amp;" business day(s) late. Send now.",IF($T153="DUE TOMORROW","Next: "&amp;$Z153&amp;IF($Y153&lt;=TODAY()," is due TODAY ("," is due next business day (")&amp;TEXT($Y153,"dd-mmm")&amp;").","Next: "&amp;$Z153&amp;" due "&amp;TEXT($Y153,"dd-mmm")&amp;" ("&amp;(NETWORKDAYS(TODAY(),$Y153,Holidays)-1)&amp;" business day(s) left).")))))</f>
        <v/>
      </c>
      <c r="V153" s="17">
        <f>IF($W153="","",CHOOSE($W153,"Collection Email","1st Follow-up","2nd Follow-up","Local Office","CBE","Roxanne")&amp;IF($W153=6," - Final"," - Day "&amp;MAX(0,NETWORKDAYS($X153,TODAY(),Holidays)-1)&amp;" of "&amp;CHOOSE($W153,3,3,2,2,3))&amp;" | Total Day "&amp;MAX(0,NETWORKDAYS($L153,TODAY(),Holidays)-1))</f>
        <v/>
      </c>
      <c r="W153" s="17">
        <f>IF($L153="","",COUNT($L153:$Q153))</f>
        <v/>
      </c>
      <c r="X153" s="18">
        <f>IF($W153="","",INT(INDEX($L153:$Q153,$W153)))</f>
        <v/>
      </c>
      <c r="Y153" s="18">
        <f>IF(OR($W153="",$W153=6),"",WORKDAY($X153,CHOOSE($W153,3,3,2,2,3),Holidays))</f>
        <v/>
      </c>
      <c r="Z153" s="17">
        <f>IF(OR($W153="",$W153=6),"",CHOOSE($W153,"1st Email Follow-up","2nd Email Follow-up","Escalate Local Office","Escalate to CBE","Escalate to Roxanne"))</f>
        <v/>
      </c>
    </row>
    <row r="154" spans="18:26">
      <c r="R154" s="15"/>
      <c r="S154" s="16"/>
      <c r="T154" s="17">
        <f>IF(AND(COUNTA($A154:$K154)=0,$L154=""),"",IF($S154="Paid","PAID",IF($S154="Closed","CLOSED",IF($W154="","",IF($W154=6,"ESCALATED TO ROXANNE",IF(TODAY()&gt;$Y154,"OVERDUE",IF($Y154&lt;=WORKDAY(TODAY(),1,Holidays),"DUE TOMORROW",IF($W154=4,"ESCALATED TO LOCAL OFFICE",IF($W154=5,"ESCALATED TO CBE",IF($X154=TODAY(),"EMAIL SENT","MONITORING"))))))))))</f>
        <v/>
      </c>
      <c r="U154" s="17">
        <f>IF($T154="",IF(AND(COUNTA($A154:$K154)&gt;0,$L154=""),"Awaiting Collection Email time stamp.",""),IF(OR($T154="PAID",$T154="CLOSED"),IF($T154="PAID","Account paid. Action completed.","Account closed. No further action required."),CHOOSE($W154,"Collection Email","1st Email Follow-up","2nd Email Follow-up","Escalation to Local Office","Escalation to CBE","Escalation to Roxanne")&amp;" sent "&amp;TEXT($X154,"dd-mmm")&amp;". "&amp;IF($W154=6,"Final escalation completed.",IF($T154="OVERDUE","Next: "&amp;$Z154&amp;" was due "&amp;TEXT($Y154,"dd-mmm")&amp;" - "&amp;(NETWORKDAYS($Y154,TODAY(),Holidays)-1)&amp;" business day(s) late. Send now.",IF($T154="DUE TOMORROW","Next: "&amp;$Z154&amp;IF($Y154&lt;=TODAY()," is due TODAY ("," is due next business day (")&amp;TEXT($Y154,"dd-mmm")&amp;").","Next: "&amp;$Z154&amp;" due "&amp;TEXT($Y154,"dd-mmm")&amp;" ("&amp;(NETWORKDAYS(TODAY(),$Y154,Holidays)-1)&amp;" business day(s) left).")))))</f>
        <v/>
      </c>
      <c r="V154" s="17">
        <f>IF($W154="","",CHOOSE($W154,"Collection Email","1st Follow-up","2nd Follow-up","Local Office","CBE","Roxanne")&amp;IF($W154=6," - Final"," - Day "&amp;MAX(0,NETWORKDAYS($X154,TODAY(),Holidays)-1)&amp;" of "&amp;CHOOSE($W154,3,3,2,2,3))&amp;" | Total Day "&amp;MAX(0,NETWORKDAYS($L154,TODAY(),Holidays)-1))</f>
        <v/>
      </c>
      <c r="W154" s="17">
        <f>IF($L154="","",COUNT($L154:$Q154))</f>
        <v/>
      </c>
      <c r="X154" s="18">
        <f>IF($W154="","",INT(INDEX($L154:$Q154,$W154)))</f>
        <v/>
      </c>
      <c r="Y154" s="18">
        <f>IF(OR($W154="",$W154=6),"",WORKDAY($X154,CHOOSE($W154,3,3,2,2,3),Holidays))</f>
        <v/>
      </c>
      <c r="Z154" s="17">
        <f>IF(OR($W154="",$W154=6),"",CHOOSE($W154,"1st Email Follow-up","2nd Email Follow-up","Escalate Local Office","Escalate to CBE","Escalate to Roxanne"))</f>
        <v/>
      </c>
    </row>
    <row r="155" spans="18:26">
      <c r="R155" s="15"/>
      <c r="S155" s="16"/>
      <c r="T155" s="17">
        <f>IF(AND(COUNTA($A155:$K155)=0,$L155=""),"",IF($S155="Paid","PAID",IF($S155="Closed","CLOSED",IF($W155="","",IF($W155=6,"ESCALATED TO ROXANNE",IF(TODAY()&gt;$Y155,"OVERDUE",IF($Y155&lt;=WORKDAY(TODAY(),1,Holidays),"DUE TOMORROW",IF($W155=4,"ESCALATED TO LOCAL OFFICE",IF($W155=5,"ESCALATED TO CBE",IF($X155=TODAY(),"EMAIL SENT","MONITORING"))))))))))</f>
        <v/>
      </c>
      <c r="U155" s="17">
        <f>IF($T155="",IF(AND(COUNTA($A155:$K155)&gt;0,$L155=""),"Awaiting Collection Email time stamp.",""),IF(OR($T155="PAID",$T155="CLOSED"),IF($T155="PAID","Account paid. Action completed.","Account closed. No further action required."),CHOOSE($W155,"Collection Email","1st Email Follow-up","2nd Email Follow-up","Escalation to Local Office","Escalation to CBE","Escalation to Roxanne")&amp;" sent "&amp;TEXT($X155,"dd-mmm")&amp;". "&amp;IF($W155=6,"Final escalation completed.",IF($T155="OVERDUE","Next: "&amp;$Z155&amp;" was due "&amp;TEXT($Y155,"dd-mmm")&amp;" - "&amp;(NETWORKDAYS($Y155,TODAY(),Holidays)-1)&amp;" business day(s) late. Send now.",IF($T155="DUE TOMORROW","Next: "&amp;$Z155&amp;IF($Y155&lt;=TODAY()," is due TODAY ("," is due next business day (")&amp;TEXT($Y155,"dd-mmm")&amp;").","Next: "&amp;$Z155&amp;" due "&amp;TEXT($Y155,"dd-mmm")&amp;" ("&amp;(NETWORKDAYS(TODAY(),$Y155,Holidays)-1)&amp;" business day(s) left).")))))</f>
        <v/>
      </c>
      <c r="V155" s="17">
        <f>IF($W155="","",CHOOSE($W155,"Collection Email","1st Follow-up","2nd Follow-up","Local Office","CBE","Roxanne")&amp;IF($W155=6," - Final"," - Day "&amp;MAX(0,NETWORKDAYS($X155,TODAY(),Holidays)-1)&amp;" of "&amp;CHOOSE($W155,3,3,2,2,3))&amp;" | Total Day "&amp;MAX(0,NETWORKDAYS($L155,TODAY(),Holidays)-1))</f>
        <v/>
      </c>
      <c r="W155" s="17">
        <f>IF($L155="","",COUNT($L155:$Q155))</f>
        <v/>
      </c>
      <c r="X155" s="18">
        <f>IF($W155="","",INT(INDEX($L155:$Q155,$W155)))</f>
        <v/>
      </c>
      <c r="Y155" s="18">
        <f>IF(OR($W155="",$W155=6),"",WORKDAY($X155,CHOOSE($W155,3,3,2,2,3),Holidays))</f>
        <v/>
      </c>
      <c r="Z155" s="17">
        <f>IF(OR($W155="",$W155=6),"",CHOOSE($W155,"1st Email Follow-up","2nd Email Follow-up","Escalate Local Office","Escalate to CBE","Escalate to Roxanne"))</f>
        <v/>
      </c>
    </row>
    <row r="156" spans="18:26">
      <c r="R156" s="15"/>
      <c r="S156" s="16"/>
      <c r="T156" s="17">
        <f>IF(AND(COUNTA($A156:$K156)=0,$L156=""),"",IF($S156="Paid","PAID",IF($S156="Closed","CLOSED",IF($W156="","",IF($W156=6,"ESCALATED TO ROXANNE",IF(TODAY()&gt;$Y156,"OVERDUE",IF($Y156&lt;=WORKDAY(TODAY(),1,Holidays),"DUE TOMORROW",IF($W156=4,"ESCALATED TO LOCAL OFFICE",IF($W156=5,"ESCALATED TO CBE",IF($X156=TODAY(),"EMAIL SENT","MONITORING"))))))))))</f>
        <v/>
      </c>
      <c r="U156" s="17">
        <f>IF($T156="",IF(AND(COUNTA($A156:$K156)&gt;0,$L156=""),"Awaiting Collection Email time stamp.",""),IF(OR($T156="PAID",$T156="CLOSED"),IF($T156="PAID","Account paid. Action completed.","Account closed. No further action required."),CHOOSE($W156,"Collection Email","1st Email Follow-up","2nd Email Follow-up","Escalation to Local Office","Escalation to CBE","Escalation to Roxanne")&amp;" sent "&amp;TEXT($X156,"dd-mmm")&amp;". "&amp;IF($W156=6,"Final escalation completed.",IF($T156="OVERDUE","Next: "&amp;$Z156&amp;" was due "&amp;TEXT($Y156,"dd-mmm")&amp;" - "&amp;(NETWORKDAYS($Y156,TODAY(),Holidays)-1)&amp;" business day(s) late. Send now.",IF($T156="DUE TOMORROW","Next: "&amp;$Z156&amp;IF($Y156&lt;=TODAY()," is due TODAY ("," is due next business day (")&amp;TEXT($Y156,"dd-mmm")&amp;").","Next: "&amp;$Z156&amp;" due "&amp;TEXT($Y156,"dd-mmm")&amp;" ("&amp;(NETWORKDAYS(TODAY(),$Y156,Holidays)-1)&amp;" business day(s) left).")))))</f>
        <v/>
      </c>
      <c r="V156" s="17">
        <f>IF($W156="","",CHOOSE($W156,"Collection Email","1st Follow-up","2nd Follow-up","Local Office","CBE","Roxanne")&amp;IF($W156=6," - Final"," - Day "&amp;MAX(0,NETWORKDAYS($X156,TODAY(),Holidays)-1)&amp;" of "&amp;CHOOSE($W156,3,3,2,2,3))&amp;" | Total Day "&amp;MAX(0,NETWORKDAYS($L156,TODAY(),Holidays)-1))</f>
        <v/>
      </c>
      <c r="W156" s="17">
        <f>IF($L156="","",COUNT($L156:$Q156))</f>
        <v/>
      </c>
      <c r="X156" s="18">
        <f>IF($W156="","",INT(INDEX($L156:$Q156,$W156)))</f>
        <v/>
      </c>
      <c r="Y156" s="18">
        <f>IF(OR($W156="",$W156=6),"",WORKDAY($X156,CHOOSE($W156,3,3,2,2,3),Holidays))</f>
        <v/>
      </c>
      <c r="Z156" s="17">
        <f>IF(OR($W156="",$W156=6),"",CHOOSE($W156,"1st Email Follow-up","2nd Email Follow-up","Escalate Local Office","Escalate to CBE","Escalate to Roxanne"))</f>
        <v/>
      </c>
    </row>
    <row r="157" spans="18:26">
      <c r="R157" s="15"/>
      <c r="S157" s="16"/>
      <c r="T157" s="17">
        <f>IF(AND(COUNTA($A157:$K157)=0,$L157=""),"",IF($S157="Paid","PAID",IF($S157="Closed","CLOSED",IF($W157="","",IF($W157=6,"ESCALATED TO ROXANNE",IF(TODAY()&gt;$Y157,"OVERDUE",IF($Y157&lt;=WORKDAY(TODAY(),1,Holidays),"DUE TOMORROW",IF($W157=4,"ESCALATED TO LOCAL OFFICE",IF($W157=5,"ESCALATED TO CBE",IF($X157=TODAY(),"EMAIL SENT","MONITORING"))))))))))</f>
        <v/>
      </c>
      <c r="U157" s="17">
        <f>IF($T157="",IF(AND(COUNTA($A157:$K157)&gt;0,$L157=""),"Awaiting Collection Email time stamp.",""),IF(OR($T157="PAID",$T157="CLOSED"),IF($T157="PAID","Account paid. Action completed.","Account closed. No further action required."),CHOOSE($W157,"Collection Email","1st Email Follow-up","2nd Email Follow-up","Escalation to Local Office","Escalation to CBE","Escalation to Roxanne")&amp;" sent "&amp;TEXT($X157,"dd-mmm")&amp;". "&amp;IF($W157=6,"Final escalation completed.",IF($T157="OVERDUE","Next: "&amp;$Z157&amp;" was due "&amp;TEXT($Y157,"dd-mmm")&amp;" - "&amp;(NETWORKDAYS($Y157,TODAY(),Holidays)-1)&amp;" business day(s) late. Send now.",IF($T157="DUE TOMORROW","Next: "&amp;$Z157&amp;IF($Y157&lt;=TODAY()," is due TODAY ("," is due next business day (")&amp;TEXT($Y157,"dd-mmm")&amp;").","Next: "&amp;$Z157&amp;" due "&amp;TEXT($Y157,"dd-mmm")&amp;" ("&amp;(NETWORKDAYS(TODAY(),$Y157,Holidays)-1)&amp;" business day(s) left).")))))</f>
        <v/>
      </c>
      <c r="V157" s="17">
        <f>IF($W157="","",CHOOSE($W157,"Collection Email","1st Follow-up","2nd Follow-up","Local Office","CBE","Roxanne")&amp;IF($W157=6," - Final"," - Day "&amp;MAX(0,NETWORKDAYS($X157,TODAY(),Holidays)-1)&amp;" of "&amp;CHOOSE($W157,3,3,2,2,3))&amp;" | Total Day "&amp;MAX(0,NETWORKDAYS($L157,TODAY(),Holidays)-1))</f>
        <v/>
      </c>
      <c r="W157" s="17">
        <f>IF($L157="","",COUNT($L157:$Q157))</f>
        <v/>
      </c>
      <c r="X157" s="18">
        <f>IF($W157="","",INT(INDEX($L157:$Q157,$W157)))</f>
        <v/>
      </c>
      <c r="Y157" s="18">
        <f>IF(OR($W157="",$W157=6),"",WORKDAY($X157,CHOOSE($W157,3,3,2,2,3),Holidays))</f>
        <v/>
      </c>
      <c r="Z157" s="17">
        <f>IF(OR($W157="",$W157=6),"",CHOOSE($W157,"1st Email Follow-up","2nd Email Follow-up","Escalate Local Office","Escalate to CBE","Escalate to Roxanne"))</f>
        <v/>
      </c>
    </row>
    <row r="158" spans="18:26">
      <c r="R158" s="15"/>
      <c r="S158" s="16"/>
      <c r="T158" s="17">
        <f>IF(AND(COUNTA($A158:$K158)=0,$L158=""),"",IF($S158="Paid","PAID",IF($S158="Closed","CLOSED",IF($W158="","",IF($W158=6,"ESCALATED TO ROXANNE",IF(TODAY()&gt;$Y158,"OVERDUE",IF($Y158&lt;=WORKDAY(TODAY(),1,Holidays),"DUE TOMORROW",IF($W158=4,"ESCALATED TO LOCAL OFFICE",IF($W158=5,"ESCALATED TO CBE",IF($X158=TODAY(),"EMAIL SENT","MONITORING"))))))))))</f>
        <v/>
      </c>
      <c r="U158" s="17">
        <f>IF($T158="",IF(AND(COUNTA($A158:$K158)&gt;0,$L158=""),"Awaiting Collection Email time stamp.",""),IF(OR($T158="PAID",$T158="CLOSED"),IF($T158="PAID","Account paid. Action completed.","Account closed. No further action required."),CHOOSE($W158,"Collection Email","1st Email Follow-up","2nd Email Follow-up","Escalation to Local Office","Escalation to CBE","Escalation to Roxanne")&amp;" sent "&amp;TEXT($X158,"dd-mmm")&amp;". "&amp;IF($W158=6,"Final escalation completed.",IF($T158="OVERDUE","Next: "&amp;$Z158&amp;" was due "&amp;TEXT($Y158,"dd-mmm")&amp;" - "&amp;(NETWORKDAYS($Y158,TODAY(),Holidays)-1)&amp;" business day(s) late. Send now.",IF($T158="DUE TOMORROW","Next: "&amp;$Z158&amp;IF($Y158&lt;=TODAY()," is due TODAY ("," is due next business day (")&amp;TEXT($Y158,"dd-mmm")&amp;").","Next: "&amp;$Z158&amp;" due "&amp;TEXT($Y158,"dd-mmm")&amp;" ("&amp;(NETWORKDAYS(TODAY(),$Y158,Holidays)-1)&amp;" business day(s) left).")))))</f>
        <v/>
      </c>
      <c r="V158" s="17">
        <f>IF($W158="","",CHOOSE($W158,"Collection Email","1st Follow-up","2nd Follow-up","Local Office","CBE","Roxanne")&amp;IF($W158=6," - Final"," - Day "&amp;MAX(0,NETWORKDAYS($X158,TODAY(),Holidays)-1)&amp;" of "&amp;CHOOSE($W158,3,3,2,2,3))&amp;" | Total Day "&amp;MAX(0,NETWORKDAYS($L158,TODAY(),Holidays)-1))</f>
        <v/>
      </c>
      <c r="W158" s="17">
        <f>IF($L158="","",COUNT($L158:$Q158))</f>
        <v/>
      </c>
      <c r="X158" s="18">
        <f>IF($W158="","",INT(INDEX($L158:$Q158,$W158)))</f>
        <v/>
      </c>
      <c r="Y158" s="18">
        <f>IF(OR($W158="",$W158=6),"",WORKDAY($X158,CHOOSE($W158,3,3,2,2,3),Holidays))</f>
        <v/>
      </c>
      <c r="Z158" s="17">
        <f>IF(OR($W158="",$W158=6),"",CHOOSE($W158,"1st Email Follow-up","2nd Email Follow-up","Escalate Local Office","Escalate to CBE","Escalate to Roxanne"))</f>
        <v/>
      </c>
    </row>
    <row r="159" spans="18:26">
      <c r="R159" s="15"/>
      <c r="S159" s="16"/>
      <c r="T159" s="17">
        <f>IF(AND(COUNTA($A159:$K159)=0,$L159=""),"",IF($S159="Paid","PAID",IF($S159="Closed","CLOSED",IF($W159="","",IF($W159=6,"ESCALATED TO ROXANNE",IF(TODAY()&gt;$Y159,"OVERDUE",IF($Y159&lt;=WORKDAY(TODAY(),1,Holidays),"DUE TOMORROW",IF($W159=4,"ESCALATED TO LOCAL OFFICE",IF($W159=5,"ESCALATED TO CBE",IF($X159=TODAY(),"EMAIL SENT","MONITORING"))))))))))</f>
        <v/>
      </c>
      <c r="U159" s="17">
        <f>IF($T159="",IF(AND(COUNTA($A159:$K159)&gt;0,$L159=""),"Awaiting Collection Email time stamp.",""),IF(OR($T159="PAID",$T159="CLOSED"),IF($T159="PAID","Account paid. Action completed.","Account closed. No further action required."),CHOOSE($W159,"Collection Email","1st Email Follow-up","2nd Email Follow-up","Escalation to Local Office","Escalation to CBE","Escalation to Roxanne")&amp;" sent "&amp;TEXT($X159,"dd-mmm")&amp;". "&amp;IF($W159=6,"Final escalation completed.",IF($T159="OVERDUE","Next: "&amp;$Z159&amp;" was due "&amp;TEXT($Y159,"dd-mmm")&amp;" - "&amp;(NETWORKDAYS($Y159,TODAY(),Holidays)-1)&amp;" business day(s) late. Send now.",IF($T159="DUE TOMORROW","Next: "&amp;$Z159&amp;IF($Y159&lt;=TODAY()," is due TODAY ("," is due next business day (")&amp;TEXT($Y159,"dd-mmm")&amp;").","Next: "&amp;$Z159&amp;" due "&amp;TEXT($Y159,"dd-mmm")&amp;" ("&amp;(NETWORKDAYS(TODAY(),$Y159,Holidays)-1)&amp;" business day(s) left).")))))</f>
        <v/>
      </c>
      <c r="V159" s="17">
        <f>IF($W159="","",CHOOSE($W159,"Collection Email","1st Follow-up","2nd Follow-up","Local Office","CBE","Roxanne")&amp;IF($W159=6," - Final"," - Day "&amp;MAX(0,NETWORKDAYS($X159,TODAY(),Holidays)-1)&amp;" of "&amp;CHOOSE($W159,3,3,2,2,3))&amp;" | Total Day "&amp;MAX(0,NETWORKDAYS($L159,TODAY(),Holidays)-1))</f>
        <v/>
      </c>
      <c r="W159" s="17">
        <f>IF($L159="","",COUNT($L159:$Q159))</f>
        <v/>
      </c>
      <c r="X159" s="18">
        <f>IF($W159="","",INT(INDEX($L159:$Q159,$W159)))</f>
        <v/>
      </c>
      <c r="Y159" s="18">
        <f>IF(OR($W159="",$W159=6),"",WORKDAY($X159,CHOOSE($W159,3,3,2,2,3),Holidays))</f>
        <v/>
      </c>
      <c r="Z159" s="17">
        <f>IF(OR($W159="",$W159=6),"",CHOOSE($W159,"1st Email Follow-up","2nd Email Follow-up","Escalate Local Office","Escalate to CBE","Escalate to Roxanne"))</f>
        <v/>
      </c>
    </row>
    <row r="160" spans="18:26">
      <c r="R160" s="15"/>
      <c r="S160" s="16"/>
      <c r="T160" s="17">
        <f>IF(AND(COUNTA($A160:$K160)=0,$L160=""),"",IF($S160="Paid","PAID",IF($S160="Closed","CLOSED",IF($W160="","",IF($W160=6,"ESCALATED TO ROXANNE",IF(TODAY()&gt;$Y160,"OVERDUE",IF($Y160&lt;=WORKDAY(TODAY(),1,Holidays),"DUE TOMORROW",IF($W160=4,"ESCALATED TO LOCAL OFFICE",IF($W160=5,"ESCALATED TO CBE",IF($X160=TODAY(),"EMAIL SENT","MONITORING"))))))))))</f>
        <v/>
      </c>
      <c r="U160" s="17">
        <f>IF($T160="",IF(AND(COUNTA($A160:$K160)&gt;0,$L160=""),"Awaiting Collection Email time stamp.",""),IF(OR($T160="PAID",$T160="CLOSED"),IF($T160="PAID","Account paid. Action completed.","Account closed. No further action required."),CHOOSE($W160,"Collection Email","1st Email Follow-up","2nd Email Follow-up","Escalation to Local Office","Escalation to CBE","Escalation to Roxanne")&amp;" sent "&amp;TEXT($X160,"dd-mmm")&amp;". "&amp;IF($W160=6,"Final escalation completed.",IF($T160="OVERDUE","Next: "&amp;$Z160&amp;" was due "&amp;TEXT($Y160,"dd-mmm")&amp;" - "&amp;(NETWORKDAYS($Y160,TODAY(),Holidays)-1)&amp;" business day(s) late. Send now.",IF($T160="DUE TOMORROW","Next: "&amp;$Z160&amp;IF($Y160&lt;=TODAY()," is due TODAY ("," is due next business day (")&amp;TEXT($Y160,"dd-mmm")&amp;").","Next: "&amp;$Z160&amp;" due "&amp;TEXT($Y160,"dd-mmm")&amp;" ("&amp;(NETWORKDAYS(TODAY(),$Y160,Holidays)-1)&amp;" business day(s) left).")))))</f>
        <v/>
      </c>
      <c r="V160" s="17">
        <f>IF($W160="","",CHOOSE($W160,"Collection Email","1st Follow-up","2nd Follow-up","Local Office","CBE","Roxanne")&amp;IF($W160=6," - Final"," - Day "&amp;MAX(0,NETWORKDAYS($X160,TODAY(),Holidays)-1)&amp;" of "&amp;CHOOSE($W160,3,3,2,2,3))&amp;" | Total Day "&amp;MAX(0,NETWORKDAYS($L160,TODAY(),Holidays)-1))</f>
        <v/>
      </c>
      <c r="W160" s="17">
        <f>IF($L160="","",COUNT($L160:$Q160))</f>
        <v/>
      </c>
      <c r="X160" s="18">
        <f>IF($W160="","",INT(INDEX($L160:$Q160,$W160)))</f>
        <v/>
      </c>
      <c r="Y160" s="18">
        <f>IF(OR($W160="",$W160=6),"",WORKDAY($X160,CHOOSE($W160,3,3,2,2,3),Holidays))</f>
        <v/>
      </c>
      <c r="Z160" s="17">
        <f>IF(OR($W160="",$W160=6),"",CHOOSE($W160,"1st Email Follow-up","2nd Email Follow-up","Escalate Local Office","Escalate to CBE","Escalate to Roxanne"))</f>
        <v/>
      </c>
    </row>
    <row r="161" spans="18:26">
      <c r="R161" s="15"/>
      <c r="S161" s="16"/>
      <c r="T161" s="17">
        <f>IF(AND(COUNTA($A161:$K161)=0,$L161=""),"",IF($S161="Paid","PAID",IF($S161="Closed","CLOSED",IF($W161="","",IF($W161=6,"ESCALATED TO ROXANNE",IF(TODAY()&gt;$Y161,"OVERDUE",IF($Y161&lt;=WORKDAY(TODAY(),1,Holidays),"DUE TOMORROW",IF($W161=4,"ESCALATED TO LOCAL OFFICE",IF($W161=5,"ESCALATED TO CBE",IF($X161=TODAY(),"EMAIL SENT","MONITORING"))))))))))</f>
        <v/>
      </c>
      <c r="U161" s="17">
        <f>IF($T161="",IF(AND(COUNTA($A161:$K161)&gt;0,$L161=""),"Awaiting Collection Email time stamp.",""),IF(OR($T161="PAID",$T161="CLOSED"),IF($T161="PAID","Account paid. Action completed.","Account closed. No further action required."),CHOOSE($W161,"Collection Email","1st Email Follow-up","2nd Email Follow-up","Escalation to Local Office","Escalation to CBE","Escalation to Roxanne")&amp;" sent "&amp;TEXT($X161,"dd-mmm")&amp;". "&amp;IF($W161=6,"Final escalation completed.",IF($T161="OVERDUE","Next: "&amp;$Z161&amp;" was due "&amp;TEXT($Y161,"dd-mmm")&amp;" - "&amp;(NETWORKDAYS($Y161,TODAY(),Holidays)-1)&amp;" business day(s) late. Send now.",IF($T161="DUE TOMORROW","Next: "&amp;$Z161&amp;IF($Y161&lt;=TODAY()," is due TODAY ("," is due next business day (")&amp;TEXT($Y161,"dd-mmm")&amp;").","Next: "&amp;$Z161&amp;" due "&amp;TEXT($Y161,"dd-mmm")&amp;" ("&amp;(NETWORKDAYS(TODAY(),$Y161,Holidays)-1)&amp;" business day(s) left).")))))</f>
        <v/>
      </c>
      <c r="V161" s="17">
        <f>IF($W161="","",CHOOSE($W161,"Collection Email","1st Follow-up","2nd Follow-up","Local Office","CBE","Roxanne")&amp;IF($W161=6," - Final"," - Day "&amp;MAX(0,NETWORKDAYS($X161,TODAY(),Holidays)-1)&amp;" of "&amp;CHOOSE($W161,3,3,2,2,3))&amp;" | Total Day "&amp;MAX(0,NETWORKDAYS($L161,TODAY(),Holidays)-1))</f>
        <v/>
      </c>
      <c r="W161" s="17">
        <f>IF($L161="","",COUNT($L161:$Q161))</f>
        <v/>
      </c>
      <c r="X161" s="18">
        <f>IF($W161="","",INT(INDEX($L161:$Q161,$W161)))</f>
        <v/>
      </c>
      <c r="Y161" s="18">
        <f>IF(OR($W161="",$W161=6),"",WORKDAY($X161,CHOOSE($W161,3,3,2,2,3),Holidays))</f>
        <v/>
      </c>
      <c r="Z161" s="17">
        <f>IF(OR($W161="",$W161=6),"",CHOOSE($W161,"1st Email Follow-up","2nd Email Follow-up","Escalate Local Office","Escalate to CBE","Escalate to Roxanne"))</f>
        <v/>
      </c>
    </row>
    <row r="162" spans="18:26">
      <c r="R162" s="15"/>
      <c r="S162" s="16"/>
      <c r="T162" s="17">
        <f>IF(AND(COUNTA($A162:$K162)=0,$L162=""),"",IF($S162="Paid","PAID",IF($S162="Closed","CLOSED",IF($W162="","",IF($W162=6,"ESCALATED TO ROXANNE",IF(TODAY()&gt;$Y162,"OVERDUE",IF($Y162&lt;=WORKDAY(TODAY(),1,Holidays),"DUE TOMORROW",IF($W162=4,"ESCALATED TO LOCAL OFFICE",IF($W162=5,"ESCALATED TO CBE",IF($X162=TODAY(),"EMAIL SENT","MONITORING"))))))))))</f>
        <v/>
      </c>
      <c r="U162" s="17">
        <f>IF($T162="",IF(AND(COUNTA($A162:$K162)&gt;0,$L162=""),"Awaiting Collection Email time stamp.",""),IF(OR($T162="PAID",$T162="CLOSED"),IF($T162="PAID","Account paid. Action completed.","Account closed. No further action required."),CHOOSE($W162,"Collection Email","1st Email Follow-up","2nd Email Follow-up","Escalation to Local Office","Escalation to CBE","Escalation to Roxanne")&amp;" sent "&amp;TEXT($X162,"dd-mmm")&amp;". "&amp;IF($W162=6,"Final escalation completed.",IF($T162="OVERDUE","Next: "&amp;$Z162&amp;" was due "&amp;TEXT($Y162,"dd-mmm")&amp;" - "&amp;(NETWORKDAYS($Y162,TODAY(),Holidays)-1)&amp;" business day(s) late. Send now.",IF($T162="DUE TOMORROW","Next: "&amp;$Z162&amp;IF($Y162&lt;=TODAY()," is due TODAY ("," is due next business day (")&amp;TEXT($Y162,"dd-mmm")&amp;").","Next: "&amp;$Z162&amp;" due "&amp;TEXT($Y162,"dd-mmm")&amp;" ("&amp;(NETWORKDAYS(TODAY(),$Y162,Holidays)-1)&amp;" business day(s) left).")))))</f>
        <v/>
      </c>
      <c r="V162" s="17">
        <f>IF($W162="","",CHOOSE($W162,"Collection Email","1st Follow-up","2nd Follow-up","Local Office","CBE","Roxanne")&amp;IF($W162=6," - Final"," - Day "&amp;MAX(0,NETWORKDAYS($X162,TODAY(),Holidays)-1)&amp;" of "&amp;CHOOSE($W162,3,3,2,2,3))&amp;" | Total Day "&amp;MAX(0,NETWORKDAYS($L162,TODAY(),Holidays)-1))</f>
        <v/>
      </c>
      <c r="W162" s="17">
        <f>IF($L162="","",COUNT($L162:$Q162))</f>
        <v/>
      </c>
      <c r="X162" s="18">
        <f>IF($W162="","",INT(INDEX($L162:$Q162,$W162)))</f>
        <v/>
      </c>
      <c r="Y162" s="18">
        <f>IF(OR($W162="",$W162=6),"",WORKDAY($X162,CHOOSE($W162,3,3,2,2,3),Holidays))</f>
        <v/>
      </c>
      <c r="Z162" s="17">
        <f>IF(OR($W162="",$W162=6),"",CHOOSE($W162,"1st Email Follow-up","2nd Email Follow-up","Escalate Local Office","Escalate to CBE","Escalate to Roxanne"))</f>
        <v/>
      </c>
    </row>
    <row r="163" spans="18:26">
      <c r="R163" s="15"/>
      <c r="S163" s="16"/>
      <c r="T163" s="17">
        <f>IF(AND(COUNTA($A163:$K163)=0,$L163=""),"",IF($S163="Paid","PAID",IF($S163="Closed","CLOSED",IF($W163="","",IF($W163=6,"ESCALATED TO ROXANNE",IF(TODAY()&gt;$Y163,"OVERDUE",IF($Y163&lt;=WORKDAY(TODAY(),1,Holidays),"DUE TOMORROW",IF($W163=4,"ESCALATED TO LOCAL OFFICE",IF($W163=5,"ESCALATED TO CBE",IF($X163=TODAY(),"EMAIL SENT","MONITORING"))))))))))</f>
        <v/>
      </c>
      <c r="U163" s="17">
        <f>IF($T163="",IF(AND(COUNTA($A163:$K163)&gt;0,$L163=""),"Awaiting Collection Email time stamp.",""),IF(OR($T163="PAID",$T163="CLOSED"),IF($T163="PAID","Account paid. Action completed.","Account closed. No further action required."),CHOOSE($W163,"Collection Email","1st Email Follow-up","2nd Email Follow-up","Escalation to Local Office","Escalation to CBE","Escalation to Roxanne")&amp;" sent "&amp;TEXT($X163,"dd-mmm")&amp;". "&amp;IF($W163=6,"Final escalation completed.",IF($T163="OVERDUE","Next: "&amp;$Z163&amp;" was due "&amp;TEXT($Y163,"dd-mmm")&amp;" - "&amp;(NETWORKDAYS($Y163,TODAY(),Holidays)-1)&amp;" business day(s) late. Send now.",IF($T163="DUE TOMORROW","Next: "&amp;$Z163&amp;IF($Y163&lt;=TODAY()," is due TODAY ("," is due next business day (")&amp;TEXT($Y163,"dd-mmm")&amp;").","Next: "&amp;$Z163&amp;" due "&amp;TEXT($Y163,"dd-mmm")&amp;" ("&amp;(NETWORKDAYS(TODAY(),$Y163,Holidays)-1)&amp;" business day(s) left).")))))</f>
        <v/>
      </c>
      <c r="V163" s="17">
        <f>IF($W163="","",CHOOSE($W163,"Collection Email","1st Follow-up","2nd Follow-up","Local Office","CBE","Roxanne")&amp;IF($W163=6," - Final"," - Day "&amp;MAX(0,NETWORKDAYS($X163,TODAY(),Holidays)-1)&amp;" of "&amp;CHOOSE($W163,3,3,2,2,3))&amp;" | Total Day "&amp;MAX(0,NETWORKDAYS($L163,TODAY(),Holidays)-1))</f>
        <v/>
      </c>
      <c r="W163" s="17">
        <f>IF($L163="","",COUNT($L163:$Q163))</f>
        <v/>
      </c>
      <c r="X163" s="18">
        <f>IF($W163="","",INT(INDEX($L163:$Q163,$W163)))</f>
        <v/>
      </c>
      <c r="Y163" s="18">
        <f>IF(OR($W163="",$W163=6),"",WORKDAY($X163,CHOOSE($W163,3,3,2,2,3),Holidays))</f>
        <v/>
      </c>
      <c r="Z163" s="17">
        <f>IF(OR($W163="",$W163=6),"",CHOOSE($W163,"1st Email Follow-up","2nd Email Follow-up","Escalate Local Office","Escalate to CBE","Escalate to Roxanne"))</f>
        <v/>
      </c>
    </row>
    <row r="164" spans="18:26">
      <c r="R164" s="15"/>
      <c r="S164" s="16"/>
      <c r="T164" s="17">
        <f>IF(AND(COUNTA($A164:$K164)=0,$L164=""),"",IF($S164="Paid","PAID",IF($S164="Closed","CLOSED",IF($W164="","",IF($W164=6,"ESCALATED TO ROXANNE",IF(TODAY()&gt;$Y164,"OVERDUE",IF($Y164&lt;=WORKDAY(TODAY(),1,Holidays),"DUE TOMORROW",IF($W164=4,"ESCALATED TO LOCAL OFFICE",IF($W164=5,"ESCALATED TO CBE",IF($X164=TODAY(),"EMAIL SENT","MONITORING"))))))))))</f>
        <v/>
      </c>
      <c r="U164" s="17">
        <f>IF($T164="",IF(AND(COUNTA($A164:$K164)&gt;0,$L164=""),"Awaiting Collection Email time stamp.",""),IF(OR($T164="PAID",$T164="CLOSED"),IF($T164="PAID","Account paid. Action completed.","Account closed. No further action required."),CHOOSE($W164,"Collection Email","1st Email Follow-up","2nd Email Follow-up","Escalation to Local Office","Escalation to CBE","Escalation to Roxanne")&amp;" sent "&amp;TEXT($X164,"dd-mmm")&amp;". "&amp;IF($W164=6,"Final escalation completed.",IF($T164="OVERDUE","Next: "&amp;$Z164&amp;" was due "&amp;TEXT($Y164,"dd-mmm")&amp;" - "&amp;(NETWORKDAYS($Y164,TODAY(),Holidays)-1)&amp;" business day(s) late. Send now.",IF($T164="DUE TOMORROW","Next: "&amp;$Z164&amp;IF($Y164&lt;=TODAY()," is due TODAY ("," is due next business day (")&amp;TEXT($Y164,"dd-mmm")&amp;").","Next: "&amp;$Z164&amp;" due "&amp;TEXT($Y164,"dd-mmm")&amp;" ("&amp;(NETWORKDAYS(TODAY(),$Y164,Holidays)-1)&amp;" business day(s) left).")))))</f>
        <v/>
      </c>
      <c r="V164" s="17">
        <f>IF($W164="","",CHOOSE($W164,"Collection Email","1st Follow-up","2nd Follow-up","Local Office","CBE","Roxanne")&amp;IF($W164=6," - Final"," - Day "&amp;MAX(0,NETWORKDAYS($X164,TODAY(),Holidays)-1)&amp;" of "&amp;CHOOSE($W164,3,3,2,2,3))&amp;" | Total Day "&amp;MAX(0,NETWORKDAYS($L164,TODAY(),Holidays)-1))</f>
        <v/>
      </c>
      <c r="W164" s="17">
        <f>IF($L164="","",COUNT($L164:$Q164))</f>
        <v/>
      </c>
      <c r="X164" s="18">
        <f>IF($W164="","",INT(INDEX($L164:$Q164,$W164)))</f>
        <v/>
      </c>
      <c r="Y164" s="18">
        <f>IF(OR($W164="",$W164=6),"",WORKDAY($X164,CHOOSE($W164,3,3,2,2,3),Holidays))</f>
        <v/>
      </c>
      <c r="Z164" s="17">
        <f>IF(OR($W164="",$W164=6),"",CHOOSE($W164,"1st Email Follow-up","2nd Email Follow-up","Escalate Local Office","Escalate to CBE","Escalate to Roxanne"))</f>
        <v/>
      </c>
    </row>
    <row r="165" spans="18:26">
      <c r="R165" s="15"/>
      <c r="S165" s="16"/>
      <c r="T165" s="17">
        <f>IF(AND(COUNTA($A165:$K165)=0,$L165=""),"",IF($S165="Paid","PAID",IF($S165="Closed","CLOSED",IF($W165="","",IF($W165=6,"ESCALATED TO ROXANNE",IF(TODAY()&gt;$Y165,"OVERDUE",IF($Y165&lt;=WORKDAY(TODAY(),1,Holidays),"DUE TOMORROW",IF($W165=4,"ESCALATED TO LOCAL OFFICE",IF($W165=5,"ESCALATED TO CBE",IF($X165=TODAY(),"EMAIL SENT","MONITORING"))))))))))</f>
        <v/>
      </c>
      <c r="U165" s="17">
        <f>IF($T165="",IF(AND(COUNTA($A165:$K165)&gt;0,$L165=""),"Awaiting Collection Email time stamp.",""),IF(OR($T165="PAID",$T165="CLOSED"),IF($T165="PAID","Account paid. Action completed.","Account closed. No further action required."),CHOOSE($W165,"Collection Email","1st Email Follow-up","2nd Email Follow-up","Escalation to Local Office","Escalation to CBE","Escalation to Roxanne")&amp;" sent "&amp;TEXT($X165,"dd-mmm")&amp;". "&amp;IF($W165=6,"Final escalation completed.",IF($T165="OVERDUE","Next: "&amp;$Z165&amp;" was due "&amp;TEXT($Y165,"dd-mmm")&amp;" - "&amp;(NETWORKDAYS($Y165,TODAY(),Holidays)-1)&amp;" business day(s) late. Send now.",IF($T165="DUE TOMORROW","Next: "&amp;$Z165&amp;IF($Y165&lt;=TODAY()," is due TODAY ("," is due next business day (")&amp;TEXT($Y165,"dd-mmm")&amp;").","Next: "&amp;$Z165&amp;" due "&amp;TEXT($Y165,"dd-mmm")&amp;" ("&amp;(NETWORKDAYS(TODAY(),$Y165,Holidays)-1)&amp;" business day(s) left).")))))</f>
        <v/>
      </c>
      <c r="V165" s="17">
        <f>IF($W165="","",CHOOSE($W165,"Collection Email","1st Follow-up","2nd Follow-up","Local Office","CBE","Roxanne")&amp;IF($W165=6," - Final"," - Day "&amp;MAX(0,NETWORKDAYS($X165,TODAY(),Holidays)-1)&amp;" of "&amp;CHOOSE($W165,3,3,2,2,3))&amp;" | Total Day "&amp;MAX(0,NETWORKDAYS($L165,TODAY(),Holidays)-1))</f>
        <v/>
      </c>
      <c r="W165" s="17">
        <f>IF($L165="","",COUNT($L165:$Q165))</f>
        <v/>
      </c>
      <c r="X165" s="18">
        <f>IF($W165="","",INT(INDEX($L165:$Q165,$W165)))</f>
        <v/>
      </c>
      <c r="Y165" s="18">
        <f>IF(OR($W165="",$W165=6),"",WORKDAY($X165,CHOOSE($W165,3,3,2,2,3),Holidays))</f>
        <v/>
      </c>
      <c r="Z165" s="17">
        <f>IF(OR($W165="",$W165=6),"",CHOOSE($W165,"1st Email Follow-up","2nd Email Follow-up","Escalate Local Office","Escalate to CBE","Escalate to Roxanne"))</f>
        <v/>
      </c>
    </row>
    <row r="166" spans="18:26">
      <c r="R166" s="15"/>
      <c r="S166" s="16"/>
      <c r="T166" s="17">
        <f>IF(AND(COUNTA($A166:$K166)=0,$L166=""),"",IF($S166="Paid","PAID",IF($S166="Closed","CLOSED",IF($W166="","",IF($W166=6,"ESCALATED TO ROXANNE",IF(TODAY()&gt;$Y166,"OVERDUE",IF($Y166&lt;=WORKDAY(TODAY(),1,Holidays),"DUE TOMORROW",IF($W166=4,"ESCALATED TO LOCAL OFFICE",IF($W166=5,"ESCALATED TO CBE",IF($X166=TODAY(),"EMAIL SENT","MONITORING"))))))))))</f>
        <v/>
      </c>
      <c r="U166" s="17">
        <f>IF($T166="",IF(AND(COUNTA($A166:$K166)&gt;0,$L166=""),"Awaiting Collection Email time stamp.",""),IF(OR($T166="PAID",$T166="CLOSED"),IF($T166="PAID","Account paid. Action completed.","Account closed. No further action required."),CHOOSE($W166,"Collection Email","1st Email Follow-up","2nd Email Follow-up","Escalation to Local Office","Escalation to CBE","Escalation to Roxanne")&amp;" sent "&amp;TEXT($X166,"dd-mmm")&amp;". "&amp;IF($W166=6,"Final escalation completed.",IF($T166="OVERDUE","Next: "&amp;$Z166&amp;" was due "&amp;TEXT($Y166,"dd-mmm")&amp;" - "&amp;(NETWORKDAYS($Y166,TODAY(),Holidays)-1)&amp;" business day(s) late. Send now.",IF($T166="DUE TOMORROW","Next: "&amp;$Z166&amp;IF($Y166&lt;=TODAY()," is due TODAY ("," is due next business day (")&amp;TEXT($Y166,"dd-mmm")&amp;").","Next: "&amp;$Z166&amp;" due "&amp;TEXT($Y166,"dd-mmm")&amp;" ("&amp;(NETWORKDAYS(TODAY(),$Y166,Holidays)-1)&amp;" business day(s) left).")))))</f>
        <v/>
      </c>
      <c r="V166" s="17">
        <f>IF($W166="","",CHOOSE($W166,"Collection Email","1st Follow-up","2nd Follow-up","Local Office","CBE","Roxanne")&amp;IF($W166=6," - Final"," - Day "&amp;MAX(0,NETWORKDAYS($X166,TODAY(),Holidays)-1)&amp;" of "&amp;CHOOSE($W166,3,3,2,2,3))&amp;" | Total Day "&amp;MAX(0,NETWORKDAYS($L166,TODAY(),Holidays)-1))</f>
        <v/>
      </c>
      <c r="W166" s="17">
        <f>IF($L166="","",COUNT($L166:$Q166))</f>
        <v/>
      </c>
      <c r="X166" s="18">
        <f>IF($W166="","",INT(INDEX($L166:$Q166,$W166)))</f>
        <v/>
      </c>
      <c r="Y166" s="18">
        <f>IF(OR($W166="",$W166=6),"",WORKDAY($X166,CHOOSE($W166,3,3,2,2,3),Holidays))</f>
        <v/>
      </c>
      <c r="Z166" s="17">
        <f>IF(OR($W166="",$W166=6),"",CHOOSE($W166,"1st Email Follow-up","2nd Email Follow-up","Escalate Local Office","Escalate to CBE","Escalate to Roxanne"))</f>
        <v/>
      </c>
    </row>
    <row r="167" spans="18:26">
      <c r="R167" s="15"/>
      <c r="S167" s="16"/>
      <c r="T167" s="17">
        <f>IF(AND(COUNTA($A167:$K167)=0,$L167=""),"",IF($S167="Paid","PAID",IF($S167="Closed","CLOSED",IF($W167="","",IF($W167=6,"ESCALATED TO ROXANNE",IF(TODAY()&gt;$Y167,"OVERDUE",IF($Y167&lt;=WORKDAY(TODAY(),1,Holidays),"DUE TOMORROW",IF($W167=4,"ESCALATED TO LOCAL OFFICE",IF($W167=5,"ESCALATED TO CBE",IF($X167=TODAY(),"EMAIL SENT","MONITORING"))))))))))</f>
        <v/>
      </c>
      <c r="U167" s="17">
        <f>IF($T167="",IF(AND(COUNTA($A167:$K167)&gt;0,$L167=""),"Awaiting Collection Email time stamp.",""),IF(OR($T167="PAID",$T167="CLOSED"),IF($T167="PAID","Account paid. Action completed.","Account closed. No further action required."),CHOOSE($W167,"Collection Email","1st Email Follow-up","2nd Email Follow-up","Escalation to Local Office","Escalation to CBE","Escalation to Roxanne")&amp;" sent "&amp;TEXT($X167,"dd-mmm")&amp;". "&amp;IF($W167=6,"Final escalation completed.",IF($T167="OVERDUE","Next: "&amp;$Z167&amp;" was due "&amp;TEXT($Y167,"dd-mmm")&amp;" - "&amp;(NETWORKDAYS($Y167,TODAY(),Holidays)-1)&amp;" business day(s) late. Send now.",IF($T167="DUE TOMORROW","Next: "&amp;$Z167&amp;IF($Y167&lt;=TODAY()," is due TODAY ("," is due next business day (")&amp;TEXT($Y167,"dd-mmm")&amp;").","Next: "&amp;$Z167&amp;" due "&amp;TEXT($Y167,"dd-mmm")&amp;" ("&amp;(NETWORKDAYS(TODAY(),$Y167,Holidays)-1)&amp;" business day(s) left).")))))</f>
        <v/>
      </c>
      <c r="V167" s="17">
        <f>IF($W167="","",CHOOSE($W167,"Collection Email","1st Follow-up","2nd Follow-up","Local Office","CBE","Roxanne")&amp;IF($W167=6," - Final"," - Day "&amp;MAX(0,NETWORKDAYS($X167,TODAY(),Holidays)-1)&amp;" of "&amp;CHOOSE($W167,3,3,2,2,3))&amp;" | Total Day "&amp;MAX(0,NETWORKDAYS($L167,TODAY(),Holidays)-1))</f>
        <v/>
      </c>
      <c r="W167" s="17">
        <f>IF($L167="","",COUNT($L167:$Q167))</f>
        <v/>
      </c>
      <c r="X167" s="18">
        <f>IF($W167="","",INT(INDEX($L167:$Q167,$W167)))</f>
        <v/>
      </c>
      <c r="Y167" s="18">
        <f>IF(OR($W167="",$W167=6),"",WORKDAY($X167,CHOOSE($W167,3,3,2,2,3),Holidays))</f>
        <v/>
      </c>
      <c r="Z167" s="17">
        <f>IF(OR($W167="",$W167=6),"",CHOOSE($W167,"1st Email Follow-up","2nd Email Follow-up","Escalate Local Office","Escalate to CBE","Escalate to Roxanne"))</f>
        <v/>
      </c>
    </row>
    <row r="168" spans="18:26">
      <c r="R168" s="15"/>
      <c r="S168" s="16"/>
      <c r="T168" s="17">
        <f>IF(AND(COUNTA($A168:$K168)=0,$L168=""),"",IF($S168="Paid","PAID",IF($S168="Closed","CLOSED",IF($W168="","",IF($W168=6,"ESCALATED TO ROXANNE",IF(TODAY()&gt;$Y168,"OVERDUE",IF($Y168&lt;=WORKDAY(TODAY(),1,Holidays),"DUE TOMORROW",IF($W168=4,"ESCALATED TO LOCAL OFFICE",IF($W168=5,"ESCALATED TO CBE",IF($X168=TODAY(),"EMAIL SENT","MONITORING"))))))))))</f>
        <v/>
      </c>
      <c r="U168" s="17">
        <f>IF($T168="",IF(AND(COUNTA($A168:$K168)&gt;0,$L168=""),"Awaiting Collection Email time stamp.",""),IF(OR($T168="PAID",$T168="CLOSED"),IF($T168="PAID","Account paid. Action completed.","Account closed. No further action required."),CHOOSE($W168,"Collection Email","1st Email Follow-up","2nd Email Follow-up","Escalation to Local Office","Escalation to CBE","Escalation to Roxanne")&amp;" sent "&amp;TEXT($X168,"dd-mmm")&amp;". "&amp;IF($W168=6,"Final escalation completed.",IF($T168="OVERDUE","Next: "&amp;$Z168&amp;" was due "&amp;TEXT($Y168,"dd-mmm")&amp;" - "&amp;(NETWORKDAYS($Y168,TODAY(),Holidays)-1)&amp;" business day(s) late. Send now.",IF($T168="DUE TOMORROW","Next: "&amp;$Z168&amp;IF($Y168&lt;=TODAY()," is due TODAY ("," is due next business day (")&amp;TEXT($Y168,"dd-mmm")&amp;").","Next: "&amp;$Z168&amp;" due "&amp;TEXT($Y168,"dd-mmm")&amp;" ("&amp;(NETWORKDAYS(TODAY(),$Y168,Holidays)-1)&amp;" business day(s) left).")))))</f>
        <v/>
      </c>
      <c r="V168" s="17">
        <f>IF($W168="","",CHOOSE($W168,"Collection Email","1st Follow-up","2nd Follow-up","Local Office","CBE","Roxanne")&amp;IF($W168=6," - Final"," - Day "&amp;MAX(0,NETWORKDAYS($X168,TODAY(),Holidays)-1)&amp;" of "&amp;CHOOSE($W168,3,3,2,2,3))&amp;" | Total Day "&amp;MAX(0,NETWORKDAYS($L168,TODAY(),Holidays)-1))</f>
        <v/>
      </c>
      <c r="W168" s="17">
        <f>IF($L168="","",COUNT($L168:$Q168))</f>
        <v/>
      </c>
      <c r="X168" s="18">
        <f>IF($W168="","",INT(INDEX($L168:$Q168,$W168)))</f>
        <v/>
      </c>
      <c r="Y168" s="18">
        <f>IF(OR($W168="",$W168=6),"",WORKDAY($X168,CHOOSE($W168,3,3,2,2,3),Holidays))</f>
        <v/>
      </c>
      <c r="Z168" s="17">
        <f>IF(OR($W168="",$W168=6),"",CHOOSE($W168,"1st Email Follow-up","2nd Email Follow-up","Escalate Local Office","Escalate to CBE","Escalate to Roxanne"))</f>
        <v/>
      </c>
    </row>
    <row r="169" spans="18:26">
      <c r="R169" s="15"/>
      <c r="S169" s="16"/>
      <c r="T169" s="17">
        <f>IF(AND(COUNTA($A169:$K169)=0,$L169=""),"",IF($S169="Paid","PAID",IF($S169="Closed","CLOSED",IF($W169="","",IF($W169=6,"ESCALATED TO ROXANNE",IF(TODAY()&gt;$Y169,"OVERDUE",IF($Y169&lt;=WORKDAY(TODAY(),1,Holidays),"DUE TOMORROW",IF($W169=4,"ESCALATED TO LOCAL OFFICE",IF($W169=5,"ESCALATED TO CBE",IF($X169=TODAY(),"EMAIL SENT","MONITORING"))))))))))</f>
        <v/>
      </c>
      <c r="U169" s="17">
        <f>IF($T169="",IF(AND(COUNTA($A169:$K169)&gt;0,$L169=""),"Awaiting Collection Email time stamp.",""),IF(OR($T169="PAID",$T169="CLOSED"),IF($T169="PAID","Account paid. Action completed.","Account closed. No further action required."),CHOOSE($W169,"Collection Email","1st Email Follow-up","2nd Email Follow-up","Escalation to Local Office","Escalation to CBE","Escalation to Roxanne")&amp;" sent "&amp;TEXT($X169,"dd-mmm")&amp;". "&amp;IF($W169=6,"Final escalation completed.",IF($T169="OVERDUE","Next: "&amp;$Z169&amp;" was due "&amp;TEXT($Y169,"dd-mmm")&amp;" - "&amp;(NETWORKDAYS($Y169,TODAY(),Holidays)-1)&amp;" business day(s) late. Send now.",IF($T169="DUE TOMORROW","Next: "&amp;$Z169&amp;IF($Y169&lt;=TODAY()," is due TODAY ("," is due next business day (")&amp;TEXT($Y169,"dd-mmm")&amp;").","Next: "&amp;$Z169&amp;" due "&amp;TEXT($Y169,"dd-mmm")&amp;" ("&amp;(NETWORKDAYS(TODAY(),$Y169,Holidays)-1)&amp;" business day(s) left).")))))</f>
        <v/>
      </c>
      <c r="V169" s="17">
        <f>IF($W169="","",CHOOSE($W169,"Collection Email","1st Follow-up","2nd Follow-up","Local Office","CBE","Roxanne")&amp;IF($W169=6," - Final"," - Day "&amp;MAX(0,NETWORKDAYS($X169,TODAY(),Holidays)-1)&amp;" of "&amp;CHOOSE($W169,3,3,2,2,3))&amp;" | Total Day "&amp;MAX(0,NETWORKDAYS($L169,TODAY(),Holidays)-1))</f>
        <v/>
      </c>
      <c r="W169" s="17">
        <f>IF($L169="","",COUNT($L169:$Q169))</f>
        <v/>
      </c>
      <c r="X169" s="18">
        <f>IF($W169="","",INT(INDEX($L169:$Q169,$W169)))</f>
        <v/>
      </c>
      <c r="Y169" s="18">
        <f>IF(OR($W169="",$W169=6),"",WORKDAY($X169,CHOOSE($W169,3,3,2,2,3),Holidays))</f>
        <v/>
      </c>
      <c r="Z169" s="17">
        <f>IF(OR($W169="",$W169=6),"",CHOOSE($W169,"1st Email Follow-up","2nd Email Follow-up","Escalate Local Office","Escalate to CBE","Escalate to Roxanne"))</f>
        <v/>
      </c>
    </row>
    <row r="170" spans="18:26">
      <c r="R170" s="15"/>
      <c r="S170" s="16"/>
      <c r="T170" s="17">
        <f>IF(AND(COUNTA($A170:$K170)=0,$L170=""),"",IF($S170="Paid","PAID",IF($S170="Closed","CLOSED",IF($W170="","",IF($W170=6,"ESCALATED TO ROXANNE",IF(TODAY()&gt;$Y170,"OVERDUE",IF($Y170&lt;=WORKDAY(TODAY(),1,Holidays),"DUE TOMORROW",IF($W170=4,"ESCALATED TO LOCAL OFFICE",IF($W170=5,"ESCALATED TO CBE",IF($X170=TODAY(),"EMAIL SENT","MONITORING"))))))))))</f>
        <v/>
      </c>
      <c r="U170" s="17">
        <f>IF($T170="",IF(AND(COUNTA($A170:$K170)&gt;0,$L170=""),"Awaiting Collection Email time stamp.",""),IF(OR($T170="PAID",$T170="CLOSED"),IF($T170="PAID","Account paid. Action completed.","Account closed. No further action required."),CHOOSE($W170,"Collection Email","1st Email Follow-up","2nd Email Follow-up","Escalation to Local Office","Escalation to CBE","Escalation to Roxanne")&amp;" sent "&amp;TEXT($X170,"dd-mmm")&amp;". "&amp;IF($W170=6,"Final escalation completed.",IF($T170="OVERDUE","Next: "&amp;$Z170&amp;" was due "&amp;TEXT($Y170,"dd-mmm")&amp;" - "&amp;(NETWORKDAYS($Y170,TODAY(),Holidays)-1)&amp;" business day(s) late. Send now.",IF($T170="DUE TOMORROW","Next: "&amp;$Z170&amp;IF($Y170&lt;=TODAY()," is due TODAY ("," is due next business day (")&amp;TEXT($Y170,"dd-mmm")&amp;").","Next: "&amp;$Z170&amp;" due "&amp;TEXT($Y170,"dd-mmm")&amp;" ("&amp;(NETWORKDAYS(TODAY(),$Y170,Holidays)-1)&amp;" business day(s) left).")))))</f>
        <v/>
      </c>
      <c r="V170" s="17">
        <f>IF($W170="","",CHOOSE($W170,"Collection Email","1st Follow-up","2nd Follow-up","Local Office","CBE","Roxanne")&amp;IF($W170=6," - Final"," - Day "&amp;MAX(0,NETWORKDAYS($X170,TODAY(),Holidays)-1)&amp;" of "&amp;CHOOSE($W170,3,3,2,2,3))&amp;" | Total Day "&amp;MAX(0,NETWORKDAYS($L170,TODAY(),Holidays)-1))</f>
        <v/>
      </c>
      <c r="W170" s="17">
        <f>IF($L170="","",COUNT($L170:$Q170))</f>
        <v/>
      </c>
      <c r="X170" s="18">
        <f>IF($W170="","",INT(INDEX($L170:$Q170,$W170)))</f>
        <v/>
      </c>
      <c r="Y170" s="18">
        <f>IF(OR($W170="",$W170=6),"",WORKDAY($X170,CHOOSE($W170,3,3,2,2,3),Holidays))</f>
        <v/>
      </c>
      <c r="Z170" s="17">
        <f>IF(OR($W170="",$W170=6),"",CHOOSE($W170,"1st Email Follow-up","2nd Email Follow-up","Escalate Local Office","Escalate to CBE","Escalate to Roxanne"))</f>
        <v/>
      </c>
    </row>
    <row r="171" spans="18:26">
      <c r="R171" s="15"/>
      <c r="S171" s="16"/>
      <c r="T171" s="17">
        <f>IF(AND(COUNTA($A171:$K171)=0,$L171=""),"",IF($S171="Paid","PAID",IF($S171="Closed","CLOSED",IF($W171="","",IF($W171=6,"ESCALATED TO ROXANNE",IF(TODAY()&gt;$Y171,"OVERDUE",IF($Y171&lt;=WORKDAY(TODAY(),1,Holidays),"DUE TOMORROW",IF($W171=4,"ESCALATED TO LOCAL OFFICE",IF($W171=5,"ESCALATED TO CBE",IF($X171=TODAY(),"EMAIL SENT","MONITORING"))))))))))</f>
        <v/>
      </c>
      <c r="U171" s="17">
        <f>IF($T171="",IF(AND(COUNTA($A171:$K171)&gt;0,$L171=""),"Awaiting Collection Email time stamp.",""),IF(OR($T171="PAID",$T171="CLOSED"),IF($T171="PAID","Account paid. Action completed.","Account closed. No further action required."),CHOOSE($W171,"Collection Email","1st Email Follow-up","2nd Email Follow-up","Escalation to Local Office","Escalation to CBE","Escalation to Roxanne")&amp;" sent "&amp;TEXT($X171,"dd-mmm")&amp;". "&amp;IF($W171=6,"Final escalation completed.",IF($T171="OVERDUE","Next: "&amp;$Z171&amp;" was due "&amp;TEXT($Y171,"dd-mmm")&amp;" - "&amp;(NETWORKDAYS($Y171,TODAY(),Holidays)-1)&amp;" business day(s) late. Send now.",IF($T171="DUE TOMORROW","Next: "&amp;$Z171&amp;IF($Y171&lt;=TODAY()," is due TODAY ("," is due next business day (")&amp;TEXT($Y171,"dd-mmm")&amp;").","Next: "&amp;$Z171&amp;" due "&amp;TEXT($Y171,"dd-mmm")&amp;" ("&amp;(NETWORKDAYS(TODAY(),$Y171,Holidays)-1)&amp;" business day(s) left).")))))</f>
        <v/>
      </c>
      <c r="V171" s="17">
        <f>IF($W171="","",CHOOSE($W171,"Collection Email","1st Follow-up","2nd Follow-up","Local Office","CBE","Roxanne")&amp;IF($W171=6," - Final"," - Day "&amp;MAX(0,NETWORKDAYS($X171,TODAY(),Holidays)-1)&amp;" of "&amp;CHOOSE($W171,3,3,2,2,3))&amp;" | Total Day "&amp;MAX(0,NETWORKDAYS($L171,TODAY(),Holidays)-1))</f>
        <v/>
      </c>
      <c r="W171" s="17">
        <f>IF($L171="","",COUNT($L171:$Q171))</f>
        <v/>
      </c>
      <c r="X171" s="18">
        <f>IF($W171="","",INT(INDEX($L171:$Q171,$W171)))</f>
        <v/>
      </c>
      <c r="Y171" s="18">
        <f>IF(OR($W171="",$W171=6),"",WORKDAY($X171,CHOOSE($W171,3,3,2,2,3),Holidays))</f>
        <v/>
      </c>
      <c r="Z171" s="17">
        <f>IF(OR($W171="",$W171=6),"",CHOOSE($W171,"1st Email Follow-up","2nd Email Follow-up","Escalate Local Office","Escalate to CBE","Escalate to Roxanne"))</f>
        <v/>
      </c>
    </row>
    <row r="172" spans="18:26">
      <c r="R172" s="15"/>
      <c r="S172" s="16"/>
      <c r="T172" s="17">
        <f>IF(AND(COUNTA($A172:$K172)=0,$L172=""),"",IF($S172="Paid","PAID",IF($S172="Closed","CLOSED",IF($W172="","",IF($W172=6,"ESCALATED TO ROXANNE",IF(TODAY()&gt;$Y172,"OVERDUE",IF($Y172&lt;=WORKDAY(TODAY(),1,Holidays),"DUE TOMORROW",IF($W172=4,"ESCALATED TO LOCAL OFFICE",IF($W172=5,"ESCALATED TO CBE",IF($X172=TODAY(),"EMAIL SENT","MONITORING"))))))))))</f>
        <v/>
      </c>
      <c r="U172" s="17">
        <f>IF($T172="",IF(AND(COUNTA($A172:$K172)&gt;0,$L172=""),"Awaiting Collection Email time stamp.",""),IF(OR($T172="PAID",$T172="CLOSED"),IF($T172="PAID","Account paid. Action completed.","Account closed. No further action required."),CHOOSE($W172,"Collection Email","1st Email Follow-up","2nd Email Follow-up","Escalation to Local Office","Escalation to CBE","Escalation to Roxanne")&amp;" sent "&amp;TEXT($X172,"dd-mmm")&amp;". "&amp;IF($W172=6,"Final escalation completed.",IF($T172="OVERDUE","Next: "&amp;$Z172&amp;" was due "&amp;TEXT($Y172,"dd-mmm")&amp;" - "&amp;(NETWORKDAYS($Y172,TODAY(),Holidays)-1)&amp;" business day(s) late. Send now.",IF($T172="DUE TOMORROW","Next: "&amp;$Z172&amp;IF($Y172&lt;=TODAY()," is due TODAY ("," is due next business day (")&amp;TEXT($Y172,"dd-mmm")&amp;").","Next: "&amp;$Z172&amp;" due "&amp;TEXT($Y172,"dd-mmm")&amp;" ("&amp;(NETWORKDAYS(TODAY(),$Y172,Holidays)-1)&amp;" business day(s) left).")))))</f>
        <v/>
      </c>
      <c r="V172" s="17">
        <f>IF($W172="","",CHOOSE($W172,"Collection Email","1st Follow-up","2nd Follow-up","Local Office","CBE","Roxanne")&amp;IF($W172=6," - Final"," - Day "&amp;MAX(0,NETWORKDAYS($X172,TODAY(),Holidays)-1)&amp;" of "&amp;CHOOSE($W172,3,3,2,2,3))&amp;" | Total Day "&amp;MAX(0,NETWORKDAYS($L172,TODAY(),Holidays)-1))</f>
        <v/>
      </c>
      <c r="W172" s="17">
        <f>IF($L172="","",COUNT($L172:$Q172))</f>
        <v/>
      </c>
      <c r="X172" s="18">
        <f>IF($W172="","",INT(INDEX($L172:$Q172,$W172)))</f>
        <v/>
      </c>
      <c r="Y172" s="18">
        <f>IF(OR($W172="",$W172=6),"",WORKDAY($X172,CHOOSE($W172,3,3,2,2,3),Holidays))</f>
        <v/>
      </c>
      <c r="Z172" s="17">
        <f>IF(OR($W172="",$W172=6),"",CHOOSE($W172,"1st Email Follow-up","2nd Email Follow-up","Escalate Local Office","Escalate to CBE","Escalate to Roxanne"))</f>
        <v/>
      </c>
    </row>
    <row r="173" spans="18:26">
      <c r="R173" s="15"/>
      <c r="S173" s="16"/>
      <c r="T173" s="17">
        <f>IF(AND(COUNTA($A173:$K173)=0,$L173=""),"",IF($S173="Paid","PAID",IF($S173="Closed","CLOSED",IF($W173="","",IF($W173=6,"ESCALATED TO ROXANNE",IF(TODAY()&gt;$Y173,"OVERDUE",IF($Y173&lt;=WORKDAY(TODAY(),1,Holidays),"DUE TOMORROW",IF($W173=4,"ESCALATED TO LOCAL OFFICE",IF($W173=5,"ESCALATED TO CBE",IF($X173=TODAY(),"EMAIL SENT","MONITORING"))))))))))</f>
        <v/>
      </c>
      <c r="U173" s="17">
        <f>IF($T173="",IF(AND(COUNTA($A173:$K173)&gt;0,$L173=""),"Awaiting Collection Email time stamp.",""),IF(OR($T173="PAID",$T173="CLOSED"),IF($T173="PAID","Account paid. Action completed.","Account closed. No further action required."),CHOOSE($W173,"Collection Email","1st Email Follow-up","2nd Email Follow-up","Escalation to Local Office","Escalation to CBE","Escalation to Roxanne")&amp;" sent "&amp;TEXT($X173,"dd-mmm")&amp;". "&amp;IF($W173=6,"Final escalation completed.",IF($T173="OVERDUE","Next: "&amp;$Z173&amp;" was due "&amp;TEXT($Y173,"dd-mmm")&amp;" - "&amp;(NETWORKDAYS($Y173,TODAY(),Holidays)-1)&amp;" business day(s) late. Send now.",IF($T173="DUE TOMORROW","Next: "&amp;$Z173&amp;IF($Y173&lt;=TODAY()," is due TODAY ("," is due next business day (")&amp;TEXT($Y173,"dd-mmm")&amp;").","Next: "&amp;$Z173&amp;" due "&amp;TEXT($Y173,"dd-mmm")&amp;" ("&amp;(NETWORKDAYS(TODAY(),$Y173,Holidays)-1)&amp;" business day(s) left).")))))</f>
        <v/>
      </c>
      <c r="V173" s="17">
        <f>IF($W173="","",CHOOSE($W173,"Collection Email","1st Follow-up","2nd Follow-up","Local Office","CBE","Roxanne")&amp;IF($W173=6," - Final"," - Day "&amp;MAX(0,NETWORKDAYS($X173,TODAY(),Holidays)-1)&amp;" of "&amp;CHOOSE($W173,3,3,2,2,3))&amp;" | Total Day "&amp;MAX(0,NETWORKDAYS($L173,TODAY(),Holidays)-1))</f>
        <v/>
      </c>
      <c r="W173" s="17">
        <f>IF($L173="","",COUNT($L173:$Q173))</f>
        <v/>
      </c>
      <c r="X173" s="18">
        <f>IF($W173="","",INT(INDEX($L173:$Q173,$W173)))</f>
        <v/>
      </c>
      <c r="Y173" s="18">
        <f>IF(OR($W173="",$W173=6),"",WORKDAY($X173,CHOOSE($W173,3,3,2,2,3),Holidays))</f>
        <v/>
      </c>
      <c r="Z173" s="17">
        <f>IF(OR($W173="",$W173=6),"",CHOOSE($W173,"1st Email Follow-up","2nd Email Follow-up","Escalate Local Office","Escalate to CBE","Escalate to Roxanne"))</f>
        <v/>
      </c>
    </row>
    <row r="174" spans="18:26">
      <c r="R174" s="15"/>
      <c r="S174" s="16"/>
      <c r="T174" s="17">
        <f>IF(AND(COUNTA($A174:$K174)=0,$L174=""),"",IF($S174="Paid","PAID",IF($S174="Closed","CLOSED",IF($W174="","",IF($W174=6,"ESCALATED TO ROXANNE",IF(TODAY()&gt;$Y174,"OVERDUE",IF($Y174&lt;=WORKDAY(TODAY(),1,Holidays),"DUE TOMORROW",IF($W174=4,"ESCALATED TO LOCAL OFFICE",IF($W174=5,"ESCALATED TO CBE",IF($X174=TODAY(),"EMAIL SENT","MONITORING"))))))))))</f>
        <v/>
      </c>
      <c r="U174" s="17">
        <f>IF($T174="",IF(AND(COUNTA($A174:$K174)&gt;0,$L174=""),"Awaiting Collection Email time stamp.",""),IF(OR($T174="PAID",$T174="CLOSED"),IF($T174="PAID","Account paid. Action completed.","Account closed. No further action required."),CHOOSE($W174,"Collection Email","1st Email Follow-up","2nd Email Follow-up","Escalation to Local Office","Escalation to CBE","Escalation to Roxanne")&amp;" sent "&amp;TEXT($X174,"dd-mmm")&amp;". "&amp;IF($W174=6,"Final escalation completed.",IF($T174="OVERDUE","Next: "&amp;$Z174&amp;" was due "&amp;TEXT($Y174,"dd-mmm")&amp;" - "&amp;(NETWORKDAYS($Y174,TODAY(),Holidays)-1)&amp;" business day(s) late. Send now.",IF($T174="DUE TOMORROW","Next: "&amp;$Z174&amp;IF($Y174&lt;=TODAY()," is due TODAY ("," is due next business day (")&amp;TEXT($Y174,"dd-mmm")&amp;").","Next: "&amp;$Z174&amp;" due "&amp;TEXT($Y174,"dd-mmm")&amp;" ("&amp;(NETWORKDAYS(TODAY(),$Y174,Holidays)-1)&amp;" business day(s) left).")))))</f>
        <v/>
      </c>
      <c r="V174" s="17">
        <f>IF($W174="","",CHOOSE($W174,"Collection Email","1st Follow-up","2nd Follow-up","Local Office","CBE","Roxanne")&amp;IF($W174=6," - Final"," - Day "&amp;MAX(0,NETWORKDAYS($X174,TODAY(),Holidays)-1)&amp;" of "&amp;CHOOSE($W174,3,3,2,2,3))&amp;" | Total Day "&amp;MAX(0,NETWORKDAYS($L174,TODAY(),Holidays)-1))</f>
        <v/>
      </c>
      <c r="W174" s="17">
        <f>IF($L174="","",COUNT($L174:$Q174))</f>
        <v/>
      </c>
      <c r="X174" s="18">
        <f>IF($W174="","",INT(INDEX($L174:$Q174,$W174)))</f>
        <v/>
      </c>
      <c r="Y174" s="18">
        <f>IF(OR($W174="",$W174=6),"",WORKDAY($X174,CHOOSE($W174,3,3,2,2,3),Holidays))</f>
        <v/>
      </c>
      <c r="Z174" s="17">
        <f>IF(OR($W174="",$W174=6),"",CHOOSE($W174,"1st Email Follow-up","2nd Email Follow-up","Escalate Local Office","Escalate to CBE","Escalate to Roxanne"))</f>
        <v/>
      </c>
    </row>
    <row r="175" spans="18:26">
      <c r="R175" s="15"/>
      <c r="S175" s="16"/>
      <c r="T175" s="17">
        <f>IF(AND(COUNTA($A175:$K175)=0,$L175=""),"",IF($S175="Paid","PAID",IF($S175="Closed","CLOSED",IF($W175="","",IF($W175=6,"ESCALATED TO ROXANNE",IF(TODAY()&gt;$Y175,"OVERDUE",IF($Y175&lt;=WORKDAY(TODAY(),1,Holidays),"DUE TOMORROW",IF($W175=4,"ESCALATED TO LOCAL OFFICE",IF($W175=5,"ESCALATED TO CBE",IF($X175=TODAY(),"EMAIL SENT","MONITORING"))))))))))</f>
        <v/>
      </c>
      <c r="U175" s="17">
        <f>IF($T175="",IF(AND(COUNTA($A175:$K175)&gt;0,$L175=""),"Awaiting Collection Email time stamp.",""),IF(OR($T175="PAID",$T175="CLOSED"),IF($T175="PAID","Account paid. Action completed.","Account closed. No further action required."),CHOOSE($W175,"Collection Email","1st Email Follow-up","2nd Email Follow-up","Escalation to Local Office","Escalation to CBE","Escalation to Roxanne")&amp;" sent "&amp;TEXT($X175,"dd-mmm")&amp;". "&amp;IF($W175=6,"Final escalation completed.",IF($T175="OVERDUE","Next: "&amp;$Z175&amp;" was due "&amp;TEXT($Y175,"dd-mmm")&amp;" - "&amp;(NETWORKDAYS($Y175,TODAY(),Holidays)-1)&amp;" business day(s) late. Send now.",IF($T175="DUE TOMORROW","Next: "&amp;$Z175&amp;IF($Y175&lt;=TODAY()," is due TODAY ("," is due next business day (")&amp;TEXT($Y175,"dd-mmm")&amp;").","Next: "&amp;$Z175&amp;" due "&amp;TEXT($Y175,"dd-mmm")&amp;" ("&amp;(NETWORKDAYS(TODAY(),$Y175,Holidays)-1)&amp;" business day(s) left).")))))</f>
        <v/>
      </c>
      <c r="V175" s="17">
        <f>IF($W175="","",CHOOSE($W175,"Collection Email","1st Follow-up","2nd Follow-up","Local Office","CBE","Roxanne")&amp;IF($W175=6," - Final"," - Day "&amp;MAX(0,NETWORKDAYS($X175,TODAY(),Holidays)-1)&amp;" of "&amp;CHOOSE($W175,3,3,2,2,3))&amp;" | Total Day "&amp;MAX(0,NETWORKDAYS($L175,TODAY(),Holidays)-1))</f>
        <v/>
      </c>
      <c r="W175" s="17">
        <f>IF($L175="","",COUNT($L175:$Q175))</f>
        <v/>
      </c>
      <c r="X175" s="18">
        <f>IF($W175="","",INT(INDEX($L175:$Q175,$W175)))</f>
        <v/>
      </c>
      <c r="Y175" s="18">
        <f>IF(OR($W175="",$W175=6),"",WORKDAY($X175,CHOOSE($W175,3,3,2,2,3),Holidays))</f>
        <v/>
      </c>
      <c r="Z175" s="17">
        <f>IF(OR($W175="",$W175=6),"",CHOOSE($W175,"1st Email Follow-up","2nd Email Follow-up","Escalate Local Office","Escalate to CBE","Escalate to Roxanne"))</f>
        <v/>
      </c>
    </row>
    <row r="176" spans="18:26">
      <c r="R176" s="15"/>
      <c r="S176" s="16"/>
      <c r="T176" s="17">
        <f>IF(AND(COUNTA($A176:$K176)=0,$L176=""),"",IF($S176="Paid","PAID",IF($S176="Closed","CLOSED",IF($W176="","",IF($W176=6,"ESCALATED TO ROXANNE",IF(TODAY()&gt;$Y176,"OVERDUE",IF($Y176&lt;=WORKDAY(TODAY(),1,Holidays),"DUE TOMORROW",IF($W176=4,"ESCALATED TO LOCAL OFFICE",IF($W176=5,"ESCALATED TO CBE",IF($X176=TODAY(),"EMAIL SENT","MONITORING"))))))))))</f>
        <v/>
      </c>
      <c r="U176" s="17">
        <f>IF($T176="",IF(AND(COUNTA($A176:$K176)&gt;0,$L176=""),"Awaiting Collection Email time stamp.",""),IF(OR($T176="PAID",$T176="CLOSED"),IF($T176="PAID","Account paid. Action completed.","Account closed. No further action required."),CHOOSE($W176,"Collection Email","1st Email Follow-up","2nd Email Follow-up","Escalation to Local Office","Escalation to CBE","Escalation to Roxanne")&amp;" sent "&amp;TEXT($X176,"dd-mmm")&amp;". "&amp;IF($W176=6,"Final escalation completed.",IF($T176="OVERDUE","Next: "&amp;$Z176&amp;" was due "&amp;TEXT($Y176,"dd-mmm")&amp;" - "&amp;(NETWORKDAYS($Y176,TODAY(),Holidays)-1)&amp;" business day(s) late. Send now.",IF($T176="DUE TOMORROW","Next: "&amp;$Z176&amp;IF($Y176&lt;=TODAY()," is due TODAY ("," is due next business day (")&amp;TEXT($Y176,"dd-mmm")&amp;").","Next: "&amp;$Z176&amp;" due "&amp;TEXT($Y176,"dd-mmm")&amp;" ("&amp;(NETWORKDAYS(TODAY(),$Y176,Holidays)-1)&amp;" business day(s) left).")))))</f>
        <v/>
      </c>
      <c r="V176" s="17">
        <f>IF($W176="","",CHOOSE($W176,"Collection Email","1st Follow-up","2nd Follow-up","Local Office","CBE","Roxanne")&amp;IF($W176=6," - Final"," - Day "&amp;MAX(0,NETWORKDAYS($X176,TODAY(),Holidays)-1)&amp;" of "&amp;CHOOSE($W176,3,3,2,2,3))&amp;" | Total Day "&amp;MAX(0,NETWORKDAYS($L176,TODAY(),Holidays)-1))</f>
        <v/>
      </c>
      <c r="W176" s="17">
        <f>IF($L176="","",COUNT($L176:$Q176))</f>
        <v/>
      </c>
      <c r="X176" s="18">
        <f>IF($W176="","",INT(INDEX($L176:$Q176,$W176)))</f>
        <v/>
      </c>
      <c r="Y176" s="18">
        <f>IF(OR($W176="",$W176=6),"",WORKDAY($X176,CHOOSE($W176,3,3,2,2,3),Holidays))</f>
        <v/>
      </c>
      <c r="Z176" s="17">
        <f>IF(OR($W176="",$W176=6),"",CHOOSE($W176,"1st Email Follow-up","2nd Email Follow-up","Escalate Local Office","Escalate to CBE","Escalate to Roxanne"))</f>
        <v/>
      </c>
    </row>
    <row r="177" spans="18:26">
      <c r="R177" s="15"/>
      <c r="S177" s="16"/>
      <c r="T177" s="17">
        <f>IF(AND(COUNTA($A177:$K177)=0,$L177=""),"",IF($S177="Paid","PAID",IF($S177="Closed","CLOSED",IF($W177="","",IF($W177=6,"ESCALATED TO ROXANNE",IF(TODAY()&gt;$Y177,"OVERDUE",IF($Y177&lt;=WORKDAY(TODAY(),1,Holidays),"DUE TOMORROW",IF($W177=4,"ESCALATED TO LOCAL OFFICE",IF($W177=5,"ESCALATED TO CBE",IF($X177=TODAY(),"EMAIL SENT","MONITORING"))))))))))</f>
        <v/>
      </c>
      <c r="U177" s="17">
        <f>IF($T177="",IF(AND(COUNTA($A177:$K177)&gt;0,$L177=""),"Awaiting Collection Email time stamp.",""),IF(OR($T177="PAID",$T177="CLOSED"),IF($T177="PAID","Account paid. Action completed.","Account closed. No further action required."),CHOOSE($W177,"Collection Email","1st Email Follow-up","2nd Email Follow-up","Escalation to Local Office","Escalation to CBE","Escalation to Roxanne")&amp;" sent "&amp;TEXT($X177,"dd-mmm")&amp;". "&amp;IF($W177=6,"Final escalation completed.",IF($T177="OVERDUE","Next: "&amp;$Z177&amp;" was due "&amp;TEXT($Y177,"dd-mmm")&amp;" - "&amp;(NETWORKDAYS($Y177,TODAY(),Holidays)-1)&amp;" business day(s) late. Send now.",IF($T177="DUE TOMORROW","Next: "&amp;$Z177&amp;IF($Y177&lt;=TODAY()," is due TODAY ("," is due next business day (")&amp;TEXT($Y177,"dd-mmm")&amp;").","Next: "&amp;$Z177&amp;" due "&amp;TEXT($Y177,"dd-mmm")&amp;" ("&amp;(NETWORKDAYS(TODAY(),$Y177,Holidays)-1)&amp;" business day(s) left).")))))</f>
        <v/>
      </c>
      <c r="V177" s="17">
        <f>IF($W177="","",CHOOSE($W177,"Collection Email","1st Follow-up","2nd Follow-up","Local Office","CBE","Roxanne")&amp;IF($W177=6," - Final"," - Day "&amp;MAX(0,NETWORKDAYS($X177,TODAY(),Holidays)-1)&amp;" of "&amp;CHOOSE($W177,3,3,2,2,3))&amp;" | Total Day "&amp;MAX(0,NETWORKDAYS($L177,TODAY(),Holidays)-1))</f>
        <v/>
      </c>
      <c r="W177" s="17">
        <f>IF($L177="","",COUNT($L177:$Q177))</f>
        <v/>
      </c>
      <c r="X177" s="18">
        <f>IF($W177="","",INT(INDEX($L177:$Q177,$W177)))</f>
        <v/>
      </c>
      <c r="Y177" s="18">
        <f>IF(OR($W177="",$W177=6),"",WORKDAY($X177,CHOOSE($W177,3,3,2,2,3),Holidays))</f>
        <v/>
      </c>
      <c r="Z177" s="17">
        <f>IF(OR($W177="",$W177=6),"",CHOOSE($W177,"1st Email Follow-up","2nd Email Follow-up","Escalate Local Office","Escalate to CBE","Escalate to Roxanne"))</f>
        <v/>
      </c>
    </row>
    <row r="178" spans="18:26">
      <c r="R178" s="15"/>
      <c r="S178" s="16"/>
      <c r="T178" s="17">
        <f>IF(AND(COUNTA($A178:$K178)=0,$L178=""),"",IF($S178="Paid","PAID",IF($S178="Closed","CLOSED",IF($W178="","",IF($W178=6,"ESCALATED TO ROXANNE",IF(TODAY()&gt;$Y178,"OVERDUE",IF($Y178&lt;=WORKDAY(TODAY(),1,Holidays),"DUE TOMORROW",IF($W178=4,"ESCALATED TO LOCAL OFFICE",IF($W178=5,"ESCALATED TO CBE",IF($X178=TODAY(),"EMAIL SENT","MONITORING"))))))))))</f>
        <v/>
      </c>
      <c r="U178" s="17">
        <f>IF($T178="",IF(AND(COUNTA($A178:$K178)&gt;0,$L178=""),"Awaiting Collection Email time stamp.",""),IF(OR($T178="PAID",$T178="CLOSED"),IF($T178="PAID","Account paid. Action completed.","Account closed. No further action required."),CHOOSE($W178,"Collection Email","1st Email Follow-up","2nd Email Follow-up","Escalation to Local Office","Escalation to CBE","Escalation to Roxanne")&amp;" sent "&amp;TEXT($X178,"dd-mmm")&amp;". "&amp;IF($W178=6,"Final escalation completed.",IF($T178="OVERDUE","Next: "&amp;$Z178&amp;" was due "&amp;TEXT($Y178,"dd-mmm")&amp;" - "&amp;(NETWORKDAYS($Y178,TODAY(),Holidays)-1)&amp;" business day(s) late. Send now.",IF($T178="DUE TOMORROW","Next: "&amp;$Z178&amp;IF($Y178&lt;=TODAY()," is due TODAY ("," is due next business day (")&amp;TEXT($Y178,"dd-mmm")&amp;").","Next: "&amp;$Z178&amp;" due "&amp;TEXT($Y178,"dd-mmm")&amp;" ("&amp;(NETWORKDAYS(TODAY(),$Y178,Holidays)-1)&amp;" business day(s) left).")))))</f>
        <v/>
      </c>
      <c r="V178" s="17">
        <f>IF($W178="","",CHOOSE($W178,"Collection Email","1st Follow-up","2nd Follow-up","Local Office","CBE","Roxanne")&amp;IF($W178=6," - Final"," - Day "&amp;MAX(0,NETWORKDAYS($X178,TODAY(),Holidays)-1)&amp;" of "&amp;CHOOSE($W178,3,3,2,2,3))&amp;" | Total Day "&amp;MAX(0,NETWORKDAYS($L178,TODAY(),Holidays)-1))</f>
        <v/>
      </c>
      <c r="W178" s="17">
        <f>IF($L178="","",COUNT($L178:$Q178))</f>
        <v/>
      </c>
      <c r="X178" s="18">
        <f>IF($W178="","",INT(INDEX($L178:$Q178,$W178)))</f>
        <v/>
      </c>
      <c r="Y178" s="18">
        <f>IF(OR($W178="",$W178=6),"",WORKDAY($X178,CHOOSE($W178,3,3,2,2,3),Holidays))</f>
        <v/>
      </c>
      <c r="Z178" s="17">
        <f>IF(OR($W178="",$W178=6),"",CHOOSE($W178,"1st Email Follow-up","2nd Email Follow-up","Escalate Local Office","Escalate to CBE","Escalate to Roxanne"))</f>
        <v/>
      </c>
    </row>
    <row r="179" spans="18:26">
      <c r="R179" s="15"/>
      <c r="S179" s="16"/>
      <c r="T179" s="17">
        <f>IF(AND(COUNTA($A179:$K179)=0,$L179=""),"",IF($S179="Paid","PAID",IF($S179="Closed","CLOSED",IF($W179="","",IF($W179=6,"ESCALATED TO ROXANNE",IF(TODAY()&gt;$Y179,"OVERDUE",IF($Y179&lt;=WORKDAY(TODAY(),1,Holidays),"DUE TOMORROW",IF($W179=4,"ESCALATED TO LOCAL OFFICE",IF($W179=5,"ESCALATED TO CBE",IF($X179=TODAY(),"EMAIL SENT","MONITORING"))))))))))</f>
        <v/>
      </c>
      <c r="U179" s="17">
        <f>IF($T179="",IF(AND(COUNTA($A179:$K179)&gt;0,$L179=""),"Awaiting Collection Email time stamp.",""),IF(OR($T179="PAID",$T179="CLOSED"),IF($T179="PAID","Account paid. Action completed.","Account closed. No further action required."),CHOOSE($W179,"Collection Email","1st Email Follow-up","2nd Email Follow-up","Escalation to Local Office","Escalation to CBE","Escalation to Roxanne")&amp;" sent "&amp;TEXT($X179,"dd-mmm")&amp;". "&amp;IF($W179=6,"Final escalation completed.",IF($T179="OVERDUE","Next: "&amp;$Z179&amp;" was due "&amp;TEXT($Y179,"dd-mmm")&amp;" - "&amp;(NETWORKDAYS($Y179,TODAY(),Holidays)-1)&amp;" business day(s) late. Send now.",IF($T179="DUE TOMORROW","Next: "&amp;$Z179&amp;IF($Y179&lt;=TODAY()," is due TODAY ("," is due next business day (")&amp;TEXT($Y179,"dd-mmm")&amp;").","Next: "&amp;$Z179&amp;" due "&amp;TEXT($Y179,"dd-mmm")&amp;" ("&amp;(NETWORKDAYS(TODAY(),$Y179,Holidays)-1)&amp;" business day(s) left).")))))</f>
        <v/>
      </c>
      <c r="V179" s="17">
        <f>IF($W179="","",CHOOSE($W179,"Collection Email","1st Follow-up","2nd Follow-up","Local Office","CBE","Roxanne")&amp;IF($W179=6," - Final"," - Day "&amp;MAX(0,NETWORKDAYS($X179,TODAY(),Holidays)-1)&amp;" of "&amp;CHOOSE($W179,3,3,2,2,3))&amp;" | Total Day "&amp;MAX(0,NETWORKDAYS($L179,TODAY(),Holidays)-1))</f>
        <v/>
      </c>
      <c r="W179" s="17">
        <f>IF($L179="","",COUNT($L179:$Q179))</f>
        <v/>
      </c>
      <c r="X179" s="18">
        <f>IF($W179="","",INT(INDEX($L179:$Q179,$W179)))</f>
        <v/>
      </c>
      <c r="Y179" s="18">
        <f>IF(OR($W179="",$W179=6),"",WORKDAY($X179,CHOOSE($W179,3,3,2,2,3),Holidays))</f>
        <v/>
      </c>
      <c r="Z179" s="17">
        <f>IF(OR($W179="",$W179=6),"",CHOOSE($W179,"1st Email Follow-up","2nd Email Follow-up","Escalate Local Office","Escalate to CBE","Escalate to Roxanne"))</f>
        <v/>
      </c>
    </row>
    <row r="180" spans="18:26">
      <c r="R180" s="15"/>
      <c r="S180" s="16"/>
      <c r="T180" s="17">
        <f>IF(AND(COUNTA($A180:$K180)=0,$L180=""),"",IF($S180="Paid","PAID",IF($S180="Closed","CLOSED",IF($W180="","",IF($W180=6,"ESCALATED TO ROXANNE",IF(TODAY()&gt;$Y180,"OVERDUE",IF($Y180&lt;=WORKDAY(TODAY(),1,Holidays),"DUE TOMORROW",IF($W180=4,"ESCALATED TO LOCAL OFFICE",IF($W180=5,"ESCALATED TO CBE",IF($X180=TODAY(),"EMAIL SENT","MONITORING"))))))))))</f>
        <v/>
      </c>
      <c r="U180" s="17">
        <f>IF($T180="",IF(AND(COUNTA($A180:$K180)&gt;0,$L180=""),"Awaiting Collection Email time stamp.",""),IF(OR($T180="PAID",$T180="CLOSED"),IF($T180="PAID","Account paid. Action completed.","Account closed. No further action required."),CHOOSE($W180,"Collection Email","1st Email Follow-up","2nd Email Follow-up","Escalation to Local Office","Escalation to CBE","Escalation to Roxanne")&amp;" sent "&amp;TEXT($X180,"dd-mmm")&amp;". "&amp;IF($W180=6,"Final escalation completed.",IF($T180="OVERDUE","Next: "&amp;$Z180&amp;" was due "&amp;TEXT($Y180,"dd-mmm")&amp;" - "&amp;(NETWORKDAYS($Y180,TODAY(),Holidays)-1)&amp;" business day(s) late. Send now.",IF($T180="DUE TOMORROW","Next: "&amp;$Z180&amp;IF($Y180&lt;=TODAY()," is due TODAY ("," is due next business day (")&amp;TEXT($Y180,"dd-mmm")&amp;").","Next: "&amp;$Z180&amp;" due "&amp;TEXT($Y180,"dd-mmm")&amp;" ("&amp;(NETWORKDAYS(TODAY(),$Y180,Holidays)-1)&amp;" business day(s) left).")))))</f>
        <v/>
      </c>
      <c r="V180" s="17">
        <f>IF($W180="","",CHOOSE($W180,"Collection Email","1st Follow-up","2nd Follow-up","Local Office","CBE","Roxanne")&amp;IF($W180=6," - Final"," - Day "&amp;MAX(0,NETWORKDAYS($X180,TODAY(),Holidays)-1)&amp;" of "&amp;CHOOSE($W180,3,3,2,2,3))&amp;" | Total Day "&amp;MAX(0,NETWORKDAYS($L180,TODAY(),Holidays)-1))</f>
        <v/>
      </c>
      <c r="W180" s="17">
        <f>IF($L180="","",COUNT($L180:$Q180))</f>
        <v/>
      </c>
      <c r="X180" s="18">
        <f>IF($W180="","",INT(INDEX($L180:$Q180,$W180)))</f>
        <v/>
      </c>
      <c r="Y180" s="18">
        <f>IF(OR($W180="",$W180=6),"",WORKDAY($X180,CHOOSE($W180,3,3,2,2,3),Holidays))</f>
        <v/>
      </c>
      <c r="Z180" s="17">
        <f>IF(OR($W180="",$W180=6),"",CHOOSE($W180,"1st Email Follow-up","2nd Email Follow-up","Escalate Local Office","Escalate to CBE","Escalate to Roxanne"))</f>
        <v/>
      </c>
    </row>
    <row r="181" spans="18:26">
      <c r="R181" s="15"/>
      <c r="S181" s="16"/>
      <c r="T181" s="17">
        <f>IF(AND(COUNTA($A181:$K181)=0,$L181=""),"",IF($S181="Paid","PAID",IF($S181="Closed","CLOSED",IF($W181="","",IF($W181=6,"ESCALATED TO ROXANNE",IF(TODAY()&gt;$Y181,"OVERDUE",IF($Y181&lt;=WORKDAY(TODAY(),1,Holidays),"DUE TOMORROW",IF($W181=4,"ESCALATED TO LOCAL OFFICE",IF($W181=5,"ESCALATED TO CBE",IF($X181=TODAY(),"EMAIL SENT","MONITORING"))))))))))</f>
        <v/>
      </c>
      <c r="U181" s="17">
        <f>IF($T181="",IF(AND(COUNTA($A181:$K181)&gt;0,$L181=""),"Awaiting Collection Email time stamp.",""),IF(OR($T181="PAID",$T181="CLOSED"),IF($T181="PAID","Account paid. Action completed.","Account closed. No further action required."),CHOOSE($W181,"Collection Email","1st Email Follow-up","2nd Email Follow-up","Escalation to Local Office","Escalation to CBE","Escalation to Roxanne")&amp;" sent "&amp;TEXT($X181,"dd-mmm")&amp;". "&amp;IF($W181=6,"Final escalation completed.",IF($T181="OVERDUE","Next: "&amp;$Z181&amp;" was due "&amp;TEXT($Y181,"dd-mmm")&amp;" - "&amp;(NETWORKDAYS($Y181,TODAY(),Holidays)-1)&amp;" business day(s) late. Send now.",IF($T181="DUE TOMORROW","Next: "&amp;$Z181&amp;IF($Y181&lt;=TODAY()," is due TODAY ("," is due next business day (")&amp;TEXT($Y181,"dd-mmm")&amp;").","Next: "&amp;$Z181&amp;" due "&amp;TEXT($Y181,"dd-mmm")&amp;" ("&amp;(NETWORKDAYS(TODAY(),$Y181,Holidays)-1)&amp;" business day(s) left).")))))</f>
        <v/>
      </c>
      <c r="V181" s="17">
        <f>IF($W181="","",CHOOSE($W181,"Collection Email","1st Follow-up","2nd Follow-up","Local Office","CBE","Roxanne")&amp;IF($W181=6," - Final"," - Day "&amp;MAX(0,NETWORKDAYS($X181,TODAY(),Holidays)-1)&amp;" of "&amp;CHOOSE($W181,3,3,2,2,3))&amp;" | Total Day "&amp;MAX(0,NETWORKDAYS($L181,TODAY(),Holidays)-1))</f>
        <v/>
      </c>
      <c r="W181" s="17">
        <f>IF($L181="","",COUNT($L181:$Q181))</f>
        <v/>
      </c>
      <c r="X181" s="18">
        <f>IF($W181="","",INT(INDEX($L181:$Q181,$W181)))</f>
        <v/>
      </c>
      <c r="Y181" s="18">
        <f>IF(OR($W181="",$W181=6),"",WORKDAY($X181,CHOOSE($W181,3,3,2,2,3),Holidays))</f>
        <v/>
      </c>
      <c r="Z181" s="17">
        <f>IF(OR($W181="",$W181=6),"",CHOOSE($W181,"1st Email Follow-up","2nd Email Follow-up","Escalate Local Office","Escalate to CBE","Escalate to Roxanne"))</f>
        <v/>
      </c>
    </row>
    <row r="182" spans="18:26">
      <c r="R182" s="15"/>
      <c r="S182" s="16"/>
      <c r="T182" s="17">
        <f>IF(AND(COUNTA($A182:$K182)=0,$L182=""),"",IF($S182="Paid","PAID",IF($S182="Closed","CLOSED",IF($W182="","",IF($W182=6,"ESCALATED TO ROXANNE",IF(TODAY()&gt;$Y182,"OVERDUE",IF($Y182&lt;=WORKDAY(TODAY(),1,Holidays),"DUE TOMORROW",IF($W182=4,"ESCALATED TO LOCAL OFFICE",IF($W182=5,"ESCALATED TO CBE",IF($X182=TODAY(),"EMAIL SENT","MONITORING"))))))))))</f>
        <v/>
      </c>
      <c r="U182" s="17">
        <f>IF($T182="",IF(AND(COUNTA($A182:$K182)&gt;0,$L182=""),"Awaiting Collection Email time stamp.",""),IF(OR($T182="PAID",$T182="CLOSED"),IF($T182="PAID","Account paid. Action completed.","Account closed. No further action required."),CHOOSE($W182,"Collection Email","1st Email Follow-up","2nd Email Follow-up","Escalation to Local Office","Escalation to CBE","Escalation to Roxanne")&amp;" sent "&amp;TEXT($X182,"dd-mmm")&amp;". "&amp;IF($W182=6,"Final escalation completed.",IF($T182="OVERDUE","Next: "&amp;$Z182&amp;" was due "&amp;TEXT($Y182,"dd-mmm")&amp;" - "&amp;(NETWORKDAYS($Y182,TODAY(),Holidays)-1)&amp;" business day(s) late. Send now.",IF($T182="DUE TOMORROW","Next: "&amp;$Z182&amp;IF($Y182&lt;=TODAY()," is due TODAY ("," is due next business day (")&amp;TEXT($Y182,"dd-mmm")&amp;").","Next: "&amp;$Z182&amp;" due "&amp;TEXT($Y182,"dd-mmm")&amp;" ("&amp;(NETWORKDAYS(TODAY(),$Y182,Holidays)-1)&amp;" business day(s) left).")))))</f>
        <v/>
      </c>
      <c r="V182" s="17">
        <f>IF($W182="","",CHOOSE($W182,"Collection Email","1st Follow-up","2nd Follow-up","Local Office","CBE","Roxanne")&amp;IF($W182=6," - Final"," - Day "&amp;MAX(0,NETWORKDAYS($X182,TODAY(),Holidays)-1)&amp;" of "&amp;CHOOSE($W182,3,3,2,2,3))&amp;" | Total Day "&amp;MAX(0,NETWORKDAYS($L182,TODAY(),Holidays)-1))</f>
        <v/>
      </c>
      <c r="W182" s="17">
        <f>IF($L182="","",COUNT($L182:$Q182))</f>
        <v/>
      </c>
      <c r="X182" s="18">
        <f>IF($W182="","",INT(INDEX($L182:$Q182,$W182)))</f>
        <v/>
      </c>
      <c r="Y182" s="18">
        <f>IF(OR($W182="",$W182=6),"",WORKDAY($X182,CHOOSE($W182,3,3,2,2,3),Holidays))</f>
        <v/>
      </c>
      <c r="Z182" s="17">
        <f>IF(OR($W182="",$W182=6),"",CHOOSE($W182,"1st Email Follow-up","2nd Email Follow-up","Escalate Local Office","Escalate to CBE","Escalate to Roxanne"))</f>
        <v/>
      </c>
    </row>
    <row r="183" spans="18:26">
      <c r="R183" s="15"/>
      <c r="S183" s="16"/>
      <c r="T183" s="17">
        <f>IF(AND(COUNTA($A183:$K183)=0,$L183=""),"",IF($S183="Paid","PAID",IF($S183="Closed","CLOSED",IF($W183="","",IF($W183=6,"ESCALATED TO ROXANNE",IF(TODAY()&gt;$Y183,"OVERDUE",IF($Y183&lt;=WORKDAY(TODAY(),1,Holidays),"DUE TOMORROW",IF($W183=4,"ESCALATED TO LOCAL OFFICE",IF($W183=5,"ESCALATED TO CBE",IF($X183=TODAY(),"EMAIL SENT","MONITORING"))))))))))</f>
        <v/>
      </c>
      <c r="U183" s="17">
        <f>IF($T183="",IF(AND(COUNTA($A183:$K183)&gt;0,$L183=""),"Awaiting Collection Email time stamp.",""),IF(OR($T183="PAID",$T183="CLOSED"),IF($T183="PAID","Account paid. Action completed.","Account closed. No further action required."),CHOOSE($W183,"Collection Email","1st Email Follow-up","2nd Email Follow-up","Escalation to Local Office","Escalation to CBE","Escalation to Roxanne")&amp;" sent "&amp;TEXT($X183,"dd-mmm")&amp;". "&amp;IF($W183=6,"Final escalation completed.",IF($T183="OVERDUE","Next: "&amp;$Z183&amp;" was due "&amp;TEXT($Y183,"dd-mmm")&amp;" - "&amp;(NETWORKDAYS($Y183,TODAY(),Holidays)-1)&amp;" business day(s) late. Send now.",IF($T183="DUE TOMORROW","Next: "&amp;$Z183&amp;IF($Y183&lt;=TODAY()," is due TODAY ("," is due next business day (")&amp;TEXT($Y183,"dd-mmm")&amp;").","Next: "&amp;$Z183&amp;" due "&amp;TEXT($Y183,"dd-mmm")&amp;" ("&amp;(NETWORKDAYS(TODAY(),$Y183,Holidays)-1)&amp;" business day(s) left).")))))</f>
        <v/>
      </c>
      <c r="V183" s="17">
        <f>IF($W183="","",CHOOSE($W183,"Collection Email","1st Follow-up","2nd Follow-up","Local Office","CBE","Roxanne")&amp;IF($W183=6," - Final"," - Day "&amp;MAX(0,NETWORKDAYS($X183,TODAY(),Holidays)-1)&amp;" of "&amp;CHOOSE($W183,3,3,2,2,3))&amp;" | Total Day "&amp;MAX(0,NETWORKDAYS($L183,TODAY(),Holidays)-1))</f>
        <v/>
      </c>
      <c r="W183" s="17">
        <f>IF($L183="","",COUNT($L183:$Q183))</f>
        <v/>
      </c>
      <c r="X183" s="18">
        <f>IF($W183="","",INT(INDEX($L183:$Q183,$W183)))</f>
        <v/>
      </c>
      <c r="Y183" s="18">
        <f>IF(OR($W183="",$W183=6),"",WORKDAY($X183,CHOOSE($W183,3,3,2,2,3),Holidays))</f>
        <v/>
      </c>
      <c r="Z183" s="17">
        <f>IF(OR($W183="",$W183=6),"",CHOOSE($W183,"1st Email Follow-up","2nd Email Follow-up","Escalate Local Office","Escalate to CBE","Escalate to Roxanne"))</f>
        <v/>
      </c>
    </row>
    <row r="184" spans="18:26">
      <c r="R184" s="15"/>
      <c r="S184" s="16"/>
      <c r="T184" s="17">
        <f>IF(AND(COUNTA($A184:$K184)=0,$L184=""),"",IF($S184="Paid","PAID",IF($S184="Closed","CLOSED",IF($W184="","",IF($W184=6,"ESCALATED TO ROXANNE",IF(TODAY()&gt;$Y184,"OVERDUE",IF($Y184&lt;=WORKDAY(TODAY(),1,Holidays),"DUE TOMORROW",IF($W184=4,"ESCALATED TO LOCAL OFFICE",IF($W184=5,"ESCALATED TO CBE",IF($X184=TODAY(),"EMAIL SENT","MONITORING"))))))))))</f>
        <v/>
      </c>
      <c r="U184" s="17">
        <f>IF($T184="",IF(AND(COUNTA($A184:$K184)&gt;0,$L184=""),"Awaiting Collection Email time stamp.",""),IF(OR($T184="PAID",$T184="CLOSED"),IF($T184="PAID","Account paid. Action completed.","Account closed. No further action required."),CHOOSE($W184,"Collection Email","1st Email Follow-up","2nd Email Follow-up","Escalation to Local Office","Escalation to CBE","Escalation to Roxanne")&amp;" sent "&amp;TEXT($X184,"dd-mmm")&amp;". "&amp;IF($W184=6,"Final escalation completed.",IF($T184="OVERDUE","Next: "&amp;$Z184&amp;" was due "&amp;TEXT($Y184,"dd-mmm")&amp;" - "&amp;(NETWORKDAYS($Y184,TODAY(),Holidays)-1)&amp;" business day(s) late. Send now.",IF($T184="DUE TOMORROW","Next: "&amp;$Z184&amp;IF($Y184&lt;=TODAY()," is due TODAY ("," is due next business day (")&amp;TEXT($Y184,"dd-mmm")&amp;").","Next: "&amp;$Z184&amp;" due "&amp;TEXT($Y184,"dd-mmm")&amp;" ("&amp;(NETWORKDAYS(TODAY(),$Y184,Holidays)-1)&amp;" business day(s) left).")))))</f>
        <v/>
      </c>
      <c r="V184" s="17">
        <f>IF($W184="","",CHOOSE($W184,"Collection Email","1st Follow-up","2nd Follow-up","Local Office","CBE","Roxanne")&amp;IF($W184=6," - Final"," - Day "&amp;MAX(0,NETWORKDAYS($X184,TODAY(),Holidays)-1)&amp;" of "&amp;CHOOSE($W184,3,3,2,2,3))&amp;" | Total Day "&amp;MAX(0,NETWORKDAYS($L184,TODAY(),Holidays)-1))</f>
        <v/>
      </c>
      <c r="W184" s="17">
        <f>IF($L184="","",COUNT($L184:$Q184))</f>
        <v/>
      </c>
      <c r="X184" s="18">
        <f>IF($W184="","",INT(INDEX($L184:$Q184,$W184)))</f>
        <v/>
      </c>
      <c r="Y184" s="18">
        <f>IF(OR($W184="",$W184=6),"",WORKDAY($X184,CHOOSE($W184,3,3,2,2,3),Holidays))</f>
        <v/>
      </c>
      <c r="Z184" s="17">
        <f>IF(OR($W184="",$W184=6),"",CHOOSE($W184,"1st Email Follow-up","2nd Email Follow-up","Escalate Local Office","Escalate to CBE","Escalate to Roxanne"))</f>
        <v/>
      </c>
    </row>
    <row r="185" spans="18:26">
      <c r="R185" s="15"/>
      <c r="S185" s="16"/>
      <c r="T185" s="17">
        <f>IF(AND(COUNTA($A185:$K185)=0,$L185=""),"",IF($S185="Paid","PAID",IF($S185="Closed","CLOSED",IF($W185="","",IF($W185=6,"ESCALATED TO ROXANNE",IF(TODAY()&gt;$Y185,"OVERDUE",IF($Y185&lt;=WORKDAY(TODAY(),1,Holidays),"DUE TOMORROW",IF($W185=4,"ESCALATED TO LOCAL OFFICE",IF($W185=5,"ESCALATED TO CBE",IF($X185=TODAY(),"EMAIL SENT","MONITORING"))))))))))</f>
        <v/>
      </c>
      <c r="U185" s="17">
        <f>IF($T185="",IF(AND(COUNTA($A185:$K185)&gt;0,$L185=""),"Awaiting Collection Email time stamp.",""),IF(OR($T185="PAID",$T185="CLOSED"),IF($T185="PAID","Account paid. Action completed.","Account closed. No further action required."),CHOOSE($W185,"Collection Email","1st Email Follow-up","2nd Email Follow-up","Escalation to Local Office","Escalation to CBE","Escalation to Roxanne")&amp;" sent "&amp;TEXT($X185,"dd-mmm")&amp;". "&amp;IF($W185=6,"Final escalation completed.",IF($T185="OVERDUE","Next: "&amp;$Z185&amp;" was due "&amp;TEXT($Y185,"dd-mmm")&amp;" - "&amp;(NETWORKDAYS($Y185,TODAY(),Holidays)-1)&amp;" business day(s) late. Send now.",IF($T185="DUE TOMORROW","Next: "&amp;$Z185&amp;IF($Y185&lt;=TODAY()," is due TODAY ("," is due next business day (")&amp;TEXT($Y185,"dd-mmm")&amp;").","Next: "&amp;$Z185&amp;" due "&amp;TEXT($Y185,"dd-mmm")&amp;" ("&amp;(NETWORKDAYS(TODAY(),$Y185,Holidays)-1)&amp;" business day(s) left).")))))</f>
        <v/>
      </c>
      <c r="V185" s="17">
        <f>IF($W185="","",CHOOSE($W185,"Collection Email","1st Follow-up","2nd Follow-up","Local Office","CBE","Roxanne")&amp;IF($W185=6," - Final"," - Day "&amp;MAX(0,NETWORKDAYS($X185,TODAY(),Holidays)-1)&amp;" of "&amp;CHOOSE($W185,3,3,2,2,3))&amp;" | Total Day "&amp;MAX(0,NETWORKDAYS($L185,TODAY(),Holidays)-1))</f>
        <v/>
      </c>
      <c r="W185" s="17">
        <f>IF($L185="","",COUNT($L185:$Q185))</f>
        <v/>
      </c>
      <c r="X185" s="18">
        <f>IF($W185="","",INT(INDEX($L185:$Q185,$W185)))</f>
        <v/>
      </c>
      <c r="Y185" s="18">
        <f>IF(OR($W185="",$W185=6),"",WORKDAY($X185,CHOOSE($W185,3,3,2,2,3),Holidays))</f>
        <v/>
      </c>
      <c r="Z185" s="17">
        <f>IF(OR($W185="",$W185=6),"",CHOOSE($W185,"1st Email Follow-up","2nd Email Follow-up","Escalate Local Office","Escalate to CBE","Escalate to Roxanne"))</f>
        <v/>
      </c>
    </row>
    <row r="186" spans="18:26">
      <c r="R186" s="15"/>
      <c r="S186" s="16"/>
      <c r="T186" s="17">
        <f>IF(AND(COUNTA($A186:$K186)=0,$L186=""),"",IF($S186="Paid","PAID",IF($S186="Closed","CLOSED",IF($W186="","",IF($W186=6,"ESCALATED TO ROXANNE",IF(TODAY()&gt;$Y186,"OVERDUE",IF($Y186&lt;=WORKDAY(TODAY(),1,Holidays),"DUE TOMORROW",IF($W186=4,"ESCALATED TO LOCAL OFFICE",IF($W186=5,"ESCALATED TO CBE",IF($X186=TODAY(),"EMAIL SENT","MONITORING"))))))))))</f>
        <v/>
      </c>
      <c r="U186" s="17">
        <f>IF($T186="",IF(AND(COUNTA($A186:$K186)&gt;0,$L186=""),"Awaiting Collection Email time stamp.",""),IF(OR($T186="PAID",$T186="CLOSED"),IF($T186="PAID","Account paid. Action completed.","Account closed. No further action required."),CHOOSE($W186,"Collection Email","1st Email Follow-up","2nd Email Follow-up","Escalation to Local Office","Escalation to CBE","Escalation to Roxanne")&amp;" sent "&amp;TEXT($X186,"dd-mmm")&amp;". "&amp;IF($W186=6,"Final escalation completed.",IF($T186="OVERDUE","Next: "&amp;$Z186&amp;" was due "&amp;TEXT($Y186,"dd-mmm")&amp;" - "&amp;(NETWORKDAYS($Y186,TODAY(),Holidays)-1)&amp;" business day(s) late. Send now.",IF($T186="DUE TOMORROW","Next: "&amp;$Z186&amp;IF($Y186&lt;=TODAY()," is due TODAY ("," is due next business day (")&amp;TEXT($Y186,"dd-mmm")&amp;").","Next: "&amp;$Z186&amp;" due "&amp;TEXT($Y186,"dd-mmm")&amp;" ("&amp;(NETWORKDAYS(TODAY(),$Y186,Holidays)-1)&amp;" business day(s) left).")))))</f>
        <v/>
      </c>
      <c r="V186" s="17">
        <f>IF($W186="","",CHOOSE($W186,"Collection Email","1st Follow-up","2nd Follow-up","Local Office","CBE","Roxanne")&amp;IF($W186=6," - Final"," - Day "&amp;MAX(0,NETWORKDAYS($X186,TODAY(),Holidays)-1)&amp;" of "&amp;CHOOSE($W186,3,3,2,2,3))&amp;" | Total Day "&amp;MAX(0,NETWORKDAYS($L186,TODAY(),Holidays)-1))</f>
        <v/>
      </c>
      <c r="W186" s="17">
        <f>IF($L186="","",COUNT($L186:$Q186))</f>
        <v/>
      </c>
      <c r="X186" s="18">
        <f>IF($W186="","",INT(INDEX($L186:$Q186,$W186)))</f>
        <v/>
      </c>
      <c r="Y186" s="18">
        <f>IF(OR($W186="",$W186=6),"",WORKDAY($X186,CHOOSE($W186,3,3,2,2,3),Holidays))</f>
        <v/>
      </c>
      <c r="Z186" s="17">
        <f>IF(OR($W186="",$W186=6),"",CHOOSE($W186,"1st Email Follow-up","2nd Email Follow-up","Escalate Local Office","Escalate to CBE","Escalate to Roxanne"))</f>
        <v/>
      </c>
    </row>
    <row r="187" spans="18:26">
      <c r="R187" s="15"/>
      <c r="S187" s="16"/>
      <c r="T187" s="17">
        <f>IF(AND(COUNTA($A187:$K187)=0,$L187=""),"",IF($S187="Paid","PAID",IF($S187="Closed","CLOSED",IF($W187="","",IF($W187=6,"ESCALATED TO ROXANNE",IF(TODAY()&gt;$Y187,"OVERDUE",IF($Y187&lt;=WORKDAY(TODAY(),1,Holidays),"DUE TOMORROW",IF($W187=4,"ESCALATED TO LOCAL OFFICE",IF($W187=5,"ESCALATED TO CBE",IF($X187=TODAY(),"EMAIL SENT","MONITORING"))))))))))</f>
        <v/>
      </c>
      <c r="U187" s="17">
        <f>IF($T187="",IF(AND(COUNTA($A187:$K187)&gt;0,$L187=""),"Awaiting Collection Email time stamp.",""),IF(OR($T187="PAID",$T187="CLOSED"),IF($T187="PAID","Account paid. Action completed.","Account closed. No further action required."),CHOOSE($W187,"Collection Email","1st Email Follow-up","2nd Email Follow-up","Escalation to Local Office","Escalation to CBE","Escalation to Roxanne")&amp;" sent "&amp;TEXT($X187,"dd-mmm")&amp;". "&amp;IF($W187=6,"Final escalation completed.",IF($T187="OVERDUE","Next: "&amp;$Z187&amp;" was due "&amp;TEXT($Y187,"dd-mmm")&amp;" - "&amp;(NETWORKDAYS($Y187,TODAY(),Holidays)-1)&amp;" business day(s) late. Send now.",IF($T187="DUE TOMORROW","Next: "&amp;$Z187&amp;IF($Y187&lt;=TODAY()," is due TODAY ("," is due next business day (")&amp;TEXT($Y187,"dd-mmm")&amp;").","Next: "&amp;$Z187&amp;" due "&amp;TEXT($Y187,"dd-mmm")&amp;" ("&amp;(NETWORKDAYS(TODAY(),$Y187,Holidays)-1)&amp;" business day(s) left).")))))</f>
        <v/>
      </c>
      <c r="V187" s="17">
        <f>IF($W187="","",CHOOSE($W187,"Collection Email","1st Follow-up","2nd Follow-up","Local Office","CBE","Roxanne")&amp;IF($W187=6," - Final"," - Day "&amp;MAX(0,NETWORKDAYS($X187,TODAY(),Holidays)-1)&amp;" of "&amp;CHOOSE($W187,3,3,2,2,3))&amp;" | Total Day "&amp;MAX(0,NETWORKDAYS($L187,TODAY(),Holidays)-1))</f>
        <v/>
      </c>
      <c r="W187" s="17">
        <f>IF($L187="","",COUNT($L187:$Q187))</f>
        <v/>
      </c>
      <c r="X187" s="18">
        <f>IF($W187="","",INT(INDEX($L187:$Q187,$W187)))</f>
        <v/>
      </c>
      <c r="Y187" s="18">
        <f>IF(OR($W187="",$W187=6),"",WORKDAY($X187,CHOOSE($W187,3,3,2,2,3),Holidays))</f>
        <v/>
      </c>
      <c r="Z187" s="17">
        <f>IF(OR($W187="",$W187=6),"",CHOOSE($W187,"1st Email Follow-up","2nd Email Follow-up","Escalate Local Office","Escalate to CBE","Escalate to Roxanne"))</f>
        <v/>
      </c>
    </row>
    <row r="188" spans="18:26">
      <c r="R188" s="15"/>
      <c r="S188" s="16"/>
      <c r="T188" s="17">
        <f>IF(AND(COUNTA($A188:$K188)=0,$L188=""),"",IF($S188="Paid","PAID",IF($S188="Closed","CLOSED",IF($W188="","",IF($W188=6,"ESCALATED TO ROXANNE",IF(TODAY()&gt;$Y188,"OVERDUE",IF($Y188&lt;=WORKDAY(TODAY(),1,Holidays),"DUE TOMORROW",IF($W188=4,"ESCALATED TO LOCAL OFFICE",IF($W188=5,"ESCALATED TO CBE",IF($X188=TODAY(),"EMAIL SENT","MONITORING"))))))))))</f>
        <v/>
      </c>
      <c r="U188" s="17">
        <f>IF($T188="",IF(AND(COUNTA($A188:$K188)&gt;0,$L188=""),"Awaiting Collection Email time stamp.",""),IF(OR($T188="PAID",$T188="CLOSED"),IF($T188="PAID","Account paid. Action completed.","Account closed. No further action required."),CHOOSE($W188,"Collection Email","1st Email Follow-up","2nd Email Follow-up","Escalation to Local Office","Escalation to CBE","Escalation to Roxanne")&amp;" sent "&amp;TEXT($X188,"dd-mmm")&amp;". "&amp;IF($W188=6,"Final escalation completed.",IF($T188="OVERDUE","Next: "&amp;$Z188&amp;" was due "&amp;TEXT($Y188,"dd-mmm")&amp;" - "&amp;(NETWORKDAYS($Y188,TODAY(),Holidays)-1)&amp;" business day(s) late. Send now.",IF($T188="DUE TOMORROW","Next: "&amp;$Z188&amp;IF($Y188&lt;=TODAY()," is due TODAY ("," is due next business day (")&amp;TEXT($Y188,"dd-mmm")&amp;").","Next: "&amp;$Z188&amp;" due "&amp;TEXT($Y188,"dd-mmm")&amp;" ("&amp;(NETWORKDAYS(TODAY(),$Y188,Holidays)-1)&amp;" business day(s) left).")))))</f>
        <v/>
      </c>
      <c r="V188" s="17">
        <f>IF($W188="","",CHOOSE($W188,"Collection Email","1st Follow-up","2nd Follow-up","Local Office","CBE","Roxanne")&amp;IF($W188=6," - Final"," - Day "&amp;MAX(0,NETWORKDAYS($X188,TODAY(),Holidays)-1)&amp;" of "&amp;CHOOSE($W188,3,3,2,2,3))&amp;" | Total Day "&amp;MAX(0,NETWORKDAYS($L188,TODAY(),Holidays)-1))</f>
        <v/>
      </c>
      <c r="W188" s="17">
        <f>IF($L188="","",COUNT($L188:$Q188))</f>
        <v/>
      </c>
      <c r="X188" s="18">
        <f>IF($W188="","",INT(INDEX($L188:$Q188,$W188)))</f>
        <v/>
      </c>
      <c r="Y188" s="18">
        <f>IF(OR($W188="",$W188=6),"",WORKDAY($X188,CHOOSE($W188,3,3,2,2,3),Holidays))</f>
        <v/>
      </c>
      <c r="Z188" s="17">
        <f>IF(OR($W188="",$W188=6),"",CHOOSE($W188,"1st Email Follow-up","2nd Email Follow-up","Escalate Local Office","Escalate to CBE","Escalate to Roxanne"))</f>
        <v/>
      </c>
    </row>
    <row r="189" spans="18:26">
      <c r="R189" s="15"/>
      <c r="S189" s="16"/>
      <c r="T189" s="17">
        <f>IF(AND(COUNTA($A189:$K189)=0,$L189=""),"",IF($S189="Paid","PAID",IF($S189="Closed","CLOSED",IF($W189="","",IF($W189=6,"ESCALATED TO ROXANNE",IF(TODAY()&gt;$Y189,"OVERDUE",IF($Y189&lt;=WORKDAY(TODAY(),1,Holidays),"DUE TOMORROW",IF($W189=4,"ESCALATED TO LOCAL OFFICE",IF($W189=5,"ESCALATED TO CBE",IF($X189=TODAY(),"EMAIL SENT","MONITORING"))))))))))</f>
        <v/>
      </c>
      <c r="U189" s="17">
        <f>IF($T189="",IF(AND(COUNTA($A189:$K189)&gt;0,$L189=""),"Awaiting Collection Email time stamp.",""),IF(OR($T189="PAID",$T189="CLOSED"),IF($T189="PAID","Account paid. Action completed.","Account closed. No further action required."),CHOOSE($W189,"Collection Email","1st Email Follow-up","2nd Email Follow-up","Escalation to Local Office","Escalation to CBE","Escalation to Roxanne")&amp;" sent "&amp;TEXT($X189,"dd-mmm")&amp;". "&amp;IF($W189=6,"Final escalation completed.",IF($T189="OVERDUE","Next: "&amp;$Z189&amp;" was due "&amp;TEXT($Y189,"dd-mmm")&amp;" - "&amp;(NETWORKDAYS($Y189,TODAY(),Holidays)-1)&amp;" business day(s) late. Send now.",IF($T189="DUE TOMORROW","Next: "&amp;$Z189&amp;IF($Y189&lt;=TODAY()," is due TODAY ("," is due next business day (")&amp;TEXT($Y189,"dd-mmm")&amp;").","Next: "&amp;$Z189&amp;" due "&amp;TEXT($Y189,"dd-mmm")&amp;" ("&amp;(NETWORKDAYS(TODAY(),$Y189,Holidays)-1)&amp;" business day(s) left).")))))</f>
        <v/>
      </c>
      <c r="V189" s="17">
        <f>IF($W189="","",CHOOSE($W189,"Collection Email","1st Follow-up","2nd Follow-up","Local Office","CBE","Roxanne")&amp;IF($W189=6," - Final"," - Day "&amp;MAX(0,NETWORKDAYS($X189,TODAY(),Holidays)-1)&amp;" of "&amp;CHOOSE($W189,3,3,2,2,3))&amp;" | Total Day "&amp;MAX(0,NETWORKDAYS($L189,TODAY(),Holidays)-1))</f>
        <v/>
      </c>
      <c r="W189" s="17">
        <f>IF($L189="","",COUNT($L189:$Q189))</f>
        <v/>
      </c>
      <c r="X189" s="18">
        <f>IF($W189="","",INT(INDEX($L189:$Q189,$W189)))</f>
        <v/>
      </c>
      <c r="Y189" s="18">
        <f>IF(OR($W189="",$W189=6),"",WORKDAY($X189,CHOOSE($W189,3,3,2,2,3),Holidays))</f>
        <v/>
      </c>
      <c r="Z189" s="17">
        <f>IF(OR($W189="",$W189=6),"",CHOOSE($W189,"1st Email Follow-up","2nd Email Follow-up","Escalate Local Office","Escalate to CBE","Escalate to Roxanne"))</f>
        <v/>
      </c>
    </row>
    <row r="190" spans="18:26">
      <c r="R190" s="15"/>
      <c r="S190" s="16"/>
      <c r="T190" s="17">
        <f>IF(AND(COUNTA($A190:$K190)=0,$L190=""),"",IF($S190="Paid","PAID",IF($S190="Closed","CLOSED",IF($W190="","",IF($W190=6,"ESCALATED TO ROXANNE",IF(TODAY()&gt;$Y190,"OVERDUE",IF($Y190&lt;=WORKDAY(TODAY(),1,Holidays),"DUE TOMORROW",IF($W190=4,"ESCALATED TO LOCAL OFFICE",IF($W190=5,"ESCALATED TO CBE",IF($X190=TODAY(),"EMAIL SENT","MONITORING"))))))))))</f>
        <v/>
      </c>
      <c r="U190" s="17">
        <f>IF($T190="",IF(AND(COUNTA($A190:$K190)&gt;0,$L190=""),"Awaiting Collection Email time stamp.",""),IF(OR($T190="PAID",$T190="CLOSED"),IF($T190="PAID","Account paid. Action completed.","Account closed. No further action required."),CHOOSE($W190,"Collection Email","1st Email Follow-up","2nd Email Follow-up","Escalation to Local Office","Escalation to CBE","Escalation to Roxanne")&amp;" sent "&amp;TEXT($X190,"dd-mmm")&amp;". "&amp;IF($W190=6,"Final escalation completed.",IF($T190="OVERDUE","Next: "&amp;$Z190&amp;" was due "&amp;TEXT($Y190,"dd-mmm")&amp;" - "&amp;(NETWORKDAYS($Y190,TODAY(),Holidays)-1)&amp;" business day(s) late. Send now.",IF($T190="DUE TOMORROW","Next: "&amp;$Z190&amp;IF($Y190&lt;=TODAY()," is due TODAY ("," is due next business day (")&amp;TEXT($Y190,"dd-mmm")&amp;").","Next: "&amp;$Z190&amp;" due "&amp;TEXT($Y190,"dd-mmm")&amp;" ("&amp;(NETWORKDAYS(TODAY(),$Y190,Holidays)-1)&amp;" business day(s) left).")))))</f>
        <v/>
      </c>
      <c r="V190" s="17">
        <f>IF($W190="","",CHOOSE($W190,"Collection Email","1st Follow-up","2nd Follow-up","Local Office","CBE","Roxanne")&amp;IF($W190=6," - Final"," - Day "&amp;MAX(0,NETWORKDAYS($X190,TODAY(),Holidays)-1)&amp;" of "&amp;CHOOSE($W190,3,3,2,2,3))&amp;" | Total Day "&amp;MAX(0,NETWORKDAYS($L190,TODAY(),Holidays)-1))</f>
        <v/>
      </c>
      <c r="W190" s="17">
        <f>IF($L190="","",COUNT($L190:$Q190))</f>
        <v/>
      </c>
      <c r="X190" s="18">
        <f>IF($W190="","",INT(INDEX($L190:$Q190,$W190)))</f>
        <v/>
      </c>
      <c r="Y190" s="18">
        <f>IF(OR($W190="",$W190=6),"",WORKDAY($X190,CHOOSE($W190,3,3,2,2,3),Holidays))</f>
        <v/>
      </c>
      <c r="Z190" s="17">
        <f>IF(OR($W190="",$W190=6),"",CHOOSE($W190,"1st Email Follow-up","2nd Email Follow-up","Escalate Local Office","Escalate to CBE","Escalate to Roxanne"))</f>
        <v/>
      </c>
    </row>
    <row r="191" spans="18:26">
      <c r="R191" s="15"/>
      <c r="S191" s="16"/>
      <c r="T191" s="17">
        <f>IF(AND(COUNTA($A191:$K191)=0,$L191=""),"",IF($S191="Paid","PAID",IF($S191="Closed","CLOSED",IF($W191="","",IF($W191=6,"ESCALATED TO ROXANNE",IF(TODAY()&gt;$Y191,"OVERDUE",IF($Y191&lt;=WORKDAY(TODAY(),1,Holidays),"DUE TOMORROW",IF($W191=4,"ESCALATED TO LOCAL OFFICE",IF($W191=5,"ESCALATED TO CBE",IF($X191=TODAY(),"EMAIL SENT","MONITORING"))))))))))</f>
        <v/>
      </c>
      <c r="U191" s="17">
        <f>IF($T191="",IF(AND(COUNTA($A191:$K191)&gt;0,$L191=""),"Awaiting Collection Email time stamp.",""),IF(OR($T191="PAID",$T191="CLOSED"),IF($T191="PAID","Account paid. Action completed.","Account closed. No further action required."),CHOOSE($W191,"Collection Email","1st Email Follow-up","2nd Email Follow-up","Escalation to Local Office","Escalation to CBE","Escalation to Roxanne")&amp;" sent "&amp;TEXT($X191,"dd-mmm")&amp;". "&amp;IF($W191=6,"Final escalation completed.",IF($T191="OVERDUE","Next: "&amp;$Z191&amp;" was due "&amp;TEXT($Y191,"dd-mmm")&amp;" - "&amp;(NETWORKDAYS($Y191,TODAY(),Holidays)-1)&amp;" business day(s) late. Send now.",IF($T191="DUE TOMORROW","Next: "&amp;$Z191&amp;IF($Y191&lt;=TODAY()," is due TODAY ("," is due next business day (")&amp;TEXT($Y191,"dd-mmm")&amp;").","Next: "&amp;$Z191&amp;" due "&amp;TEXT($Y191,"dd-mmm")&amp;" ("&amp;(NETWORKDAYS(TODAY(),$Y191,Holidays)-1)&amp;" business day(s) left).")))))</f>
        <v/>
      </c>
      <c r="V191" s="17">
        <f>IF($W191="","",CHOOSE($W191,"Collection Email","1st Follow-up","2nd Follow-up","Local Office","CBE","Roxanne")&amp;IF($W191=6," - Final"," - Day "&amp;MAX(0,NETWORKDAYS($X191,TODAY(),Holidays)-1)&amp;" of "&amp;CHOOSE($W191,3,3,2,2,3))&amp;" | Total Day "&amp;MAX(0,NETWORKDAYS($L191,TODAY(),Holidays)-1))</f>
        <v/>
      </c>
      <c r="W191" s="17">
        <f>IF($L191="","",COUNT($L191:$Q191))</f>
        <v/>
      </c>
      <c r="X191" s="18">
        <f>IF($W191="","",INT(INDEX($L191:$Q191,$W191)))</f>
        <v/>
      </c>
      <c r="Y191" s="18">
        <f>IF(OR($W191="",$W191=6),"",WORKDAY($X191,CHOOSE($W191,3,3,2,2,3),Holidays))</f>
        <v/>
      </c>
      <c r="Z191" s="17">
        <f>IF(OR($W191="",$W191=6),"",CHOOSE($W191,"1st Email Follow-up","2nd Email Follow-up","Escalate Local Office","Escalate to CBE","Escalate to Roxanne"))</f>
        <v/>
      </c>
    </row>
    <row r="192" spans="18:26">
      <c r="R192" s="15"/>
      <c r="S192" s="16"/>
      <c r="T192" s="17">
        <f>IF(AND(COUNTA($A192:$K192)=0,$L192=""),"",IF($S192="Paid","PAID",IF($S192="Closed","CLOSED",IF($W192="","",IF($W192=6,"ESCALATED TO ROXANNE",IF(TODAY()&gt;$Y192,"OVERDUE",IF($Y192&lt;=WORKDAY(TODAY(),1,Holidays),"DUE TOMORROW",IF($W192=4,"ESCALATED TO LOCAL OFFICE",IF($W192=5,"ESCALATED TO CBE",IF($X192=TODAY(),"EMAIL SENT","MONITORING"))))))))))</f>
        <v/>
      </c>
      <c r="U192" s="17">
        <f>IF($T192="",IF(AND(COUNTA($A192:$K192)&gt;0,$L192=""),"Awaiting Collection Email time stamp.",""),IF(OR($T192="PAID",$T192="CLOSED"),IF($T192="PAID","Account paid. Action completed.","Account closed. No further action required."),CHOOSE($W192,"Collection Email","1st Email Follow-up","2nd Email Follow-up","Escalation to Local Office","Escalation to CBE","Escalation to Roxanne")&amp;" sent "&amp;TEXT($X192,"dd-mmm")&amp;". "&amp;IF($W192=6,"Final escalation completed.",IF($T192="OVERDUE","Next: "&amp;$Z192&amp;" was due "&amp;TEXT($Y192,"dd-mmm")&amp;" - "&amp;(NETWORKDAYS($Y192,TODAY(),Holidays)-1)&amp;" business day(s) late. Send now.",IF($T192="DUE TOMORROW","Next: "&amp;$Z192&amp;IF($Y192&lt;=TODAY()," is due TODAY ("," is due next business day (")&amp;TEXT($Y192,"dd-mmm")&amp;").","Next: "&amp;$Z192&amp;" due "&amp;TEXT($Y192,"dd-mmm")&amp;" ("&amp;(NETWORKDAYS(TODAY(),$Y192,Holidays)-1)&amp;" business day(s) left).")))))</f>
        <v/>
      </c>
      <c r="V192" s="17">
        <f>IF($W192="","",CHOOSE($W192,"Collection Email","1st Follow-up","2nd Follow-up","Local Office","CBE","Roxanne")&amp;IF($W192=6," - Final"," - Day "&amp;MAX(0,NETWORKDAYS($X192,TODAY(),Holidays)-1)&amp;" of "&amp;CHOOSE($W192,3,3,2,2,3))&amp;" | Total Day "&amp;MAX(0,NETWORKDAYS($L192,TODAY(),Holidays)-1))</f>
        <v/>
      </c>
      <c r="W192" s="17">
        <f>IF($L192="","",COUNT($L192:$Q192))</f>
        <v/>
      </c>
      <c r="X192" s="18">
        <f>IF($W192="","",INT(INDEX($L192:$Q192,$W192)))</f>
        <v/>
      </c>
      <c r="Y192" s="18">
        <f>IF(OR($W192="",$W192=6),"",WORKDAY($X192,CHOOSE($W192,3,3,2,2,3),Holidays))</f>
        <v/>
      </c>
      <c r="Z192" s="17">
        <f>IF(OR($W192="",$W192=6),"",CHOOSE($W192,"1st Email Follow-up","2nd Email Follow-up","Escalate Local Office","Escalate to CBE","Escalate to Roxanne"))</f>
        <v/>
      </c>
    </row>
    <row r="193" spans="18:26">
      <c r="R193" s="15"/>
      <c r="S193" s="16"/>
      <c r="T193" s="17">
        <f>IF(AND(COUNTA($A193:$K193)=0,$L193=""),"",IF($S193="Paid","PAID",IF($S193="Closed","CLOSED",IF($W193="","",IF($W193=6,"ESCALATED TO ROXANNE",IF(TODAY()&gt;$Y193,"OVERDUE",IF($Y193&lt;=WORKDAY(TODAY(),1,Holidays),"DUE TOMORROW",IF($W193=4,"ESCALATED TO LOCAL OFFICE",IF($W193=5,"ESCALATED TO CBE",IF($X193=TODAY(),"EMAIL SENT","MONITORING"))))))))))</f>
        <v/>
      </c>
      <c r="U193" s="17">
        <f>IF($T193="",IF(AND(COUNTA($A193:$K193)&gt;0,$L193=""),"Awaiting Collection Email time stamp.",""),IF(OR($T193="PAID",$T193="CLOSED"),IF($T193="PAID","Account paid. Action completed.","Account closed. No further action required."),CHOOSE($W193,"Collection Email","1st Email Follow-up","2nd Email Follow-up","Escalation to Local Office","Escalation to CBE","Escalation to Roxanne")&amp;" sent "&amp;TEXT($X193,"dd-mmm")&amp;". "&amp;IF($W193=6,"Final escalation completed.",IF($T193="OVERDUE","Next: "&amp;$Z193&amp;" was due "&amp;TEXT($Y193,"dd-mmm")&amp;" - "&amp;(NETWORKDAYS($Y193,TODAY(),Holidays)-1)&amp;" business day(s) late. Send now.",IF($T193="DUE TOMORROW","Next: "&amp;$Z193&amp;IF($Y193&lt;=TODAY()," is due TODAY ("," is due next business day (")&amp;TEXT($Y193,"dd-mmm")&amp;").","Next: "&amp;$Z193&amp;" due "&amp;TEXT($Y193,"dd-mmm")&amp;" ("&amp;(NETWORKDAYS(TODAY(),$Y193,Holidays)-1)&amp;" business day(s) left).")))))</f>
        <v/>
      </c>
      <c r="V193" s="17">
        <f>IF($W193="","",CHOOSE($W193,"Collection Email","1st Follow-up","2nd Follow-up","Local Office","CBE","Roxanne")&amp;IF($W193=6," - Final"," - Day "&amp;MAX(0,NETWORKDAYS($X193,TODAY(),Holidays)-1)&amp;" of "&amp;CHOOSE($W193,3,3,2,2,3))&amp;" | Total Day "&amp;MAX(0,NETWORKDAYS($L193,TODAY(),Holidays)-1))</f>
        <v/>
      </c>
      <c r="W193" s="17">
        <f>IF($L193="","",COUNT($L193:$Q193))</f>
        <v/>
      </c>
      <c r="X193" s="18">
        <f>IF($W193="","",INT(INDEX($L193:$Q193,$W193)))</f>
        <v/>
      </c>
      <c r="Y193" s="18">
        <f>IF(OR($W193="",$W193=6),"",WORKDAY($X193,CHOOSE($W193,3,3,2,2,3),Holidays))</f>
        <v/>
      </c>
      <c r="Z193" s="17">
        <f>IF(OR($W193="",$W193=6),"",CHOOSE($W193,"1st Email Follow-up","2nd Email Follow-up","Escalate Local Office","Escalate to CBE","Escalate to Roxanne"))</f>
        <v/>
      </c>
    </row>
    <row r="194" spans="18:26">
      <c r="R194" s="15"/>
      <c r="S194" s="16"/>
      <c r="T194" s="17">
        <f>IF(AND(COUNTA($A194:$K194)=0,$L194=""),"",IF($S194="Paid","PAID",IF($S194="Closed","CLOSED",IF($W194="","",IF($W194=6,"ESCALATED TO ROXANNE",IF(TODAY()&gt;$Y194,"OVERDUE",IF($Y194&lt;=WORKDAY(TODAY(),1,Holidays),"DUE TOMORROW",IF($W194=4,"ESCALATED TO LOCAL OFFICE",IF($W194=5,"ESCALATED TO CBE",IF($X194=TODAY(),"EMAIL SENT","MONITORING"))))))))))</f>
        <v/>
      </c>
      <c r="U194" s="17">
        <f>IF($T194="",IF(AND(COUNTA($A194:$K194)&gt;0,$L194=""),"Awaiting Collection Email time stamp.",""),IF(OR($T194="PAID",$T194="CLOSED"),IF($T194="PAID","Account paid. Action completed.","Account closed. No further action required."),CHOOSE($W194,"Collection Email","1st Email Follow-up","2nd Email Follow-up","Escalation to Local Office","Escalation to CBE","Escalation to Roxanne")&amp;" sent "&amp;TEXT($X194,"dd-mmm")&amp;". "&amp;IF($W194=6,"Final escalation completed.",IF($T194="OVERDUE","Next: "&amp;$Z194&amp;" was due "&amp;TEXT($Y194,"dd-mmm")&amp;" - "&amp;(NETWORKDAYS($Y194,TODAY(),Holidays)-1)&amp;" business day(s) late. Send now.",IF($T194="DUE TOMORROW","Next: "&amp;$Z194&amp;IF($Y194&lt;=TODAY()," is due TODAY ("," is due next business day (")&amp;TEXT($Y194,"dd-mmm")&amp;").","Next: "&amp;$Z194&amp;" due "&amp;TEXT($Y194,"dd-mmm")&amp;" ("&amp;(NETWORKDAYS(TODAY(),$Y194,Holidays)-1)&amp;" business day(s) left).")))))</f>
        <v/>
      </c>
      <c r="V194" s="17">
        <f>IF($W194="","",CHOOSE($W194,"Collection Email","1st Follow-up","2nd Follow-up","Local Office","CBE","Roxanne")&amp;IF($W194=6," - Final"," - Day "&amp;MAX(0,NETWORKDAYS($X194,TODAY(),Holidays)-1)&amp;" of "&amp;CHOOSE($W194,3,3,2,2,3))&amp;" | Total Day "&amp;MAX(0,NETWORKDAYS($L194,TODAY(),Holidays)-1))</f>
        <v/>
      </c>
      <c r="W194" s="17">
        <f>IF($L194="","",COUNT($L194:$Q194))</f>
        <v/>
      </c>
      <c r="X194" s="18">
        <f>IF($W194="","",INT(INDEX($L194:$Q194,$W194)))</f>
        <v/>
      </c>
      <c r="Y194" s="18">
        <f>IF(OR($W194="",$W194=6),"",WORKDAY($X194,CHOOSE($W194,3,3,2,2,3),Holidays))</f>
        <v/>
      </c>
      <c r="Z194" s="17">
        <f>IF(OR($W194="",$W194=6),"",CHOOSE($W194,"1st Email Follow-up","2nd Email Follow-up","Escalate Local Office","Escalate to CBE","Escalate to Roxanne"))</f>
        <v/>
      </c>
    </row>
    <row r="195" spans="18:26">
      <c r="R195" s="15"/>
      <c r="S195" s="16"/>
      <c r="T195" s="17">
        <f>IF(AND(COUNTA($A195:$K195)=0,$L195=""),"",IF($S195="Paid","PAID",IF($S195="Closed","CLOSED",IF($W195="","",IF($W195=6,"ESCALATED TO ROXANNE",IF(TODAY()&gt;$Y195,"OVERDUE",IF($Y195&lt;=WORKDAY(TODAY(),1,Holidays),"DUE TOMORROW",IF($W195=4,"ESCALATED TO LOCAL OFFICE",IF($W195=5,"ESCALATED TO CBE",IF($X195=TODAY(),"EMAIL SENT","MONITORING"))))))))))</f>
        <v/>
      </c>
      <c r="U195" s="17">
        <f>IF($T195="",IF(AND(COUNTA($A195:$K195)&gt;0,$L195=""),"Awaiting Collection Email time stamp.",""),IF(OR($T195="PAID",$T195="CLOSED"),IF($T195="PAID","Account paid. Action completed.","Account closed. No further action required."),CHOOSE($W195,"Collection Email","1st Email Follow-up","2nd Email Follow-up","Escalation to Local Office","Escalation to CBE","Escalation to Roxanne")&amp;" sent "&amp;TEXT($X195,"dd-mmm")&amp;". "&amp;IF($W195=6,"Final escalation completed.",IF($T195="OVERDUE","Next: "&amp;$Z195&amp;" was due "&amp;TEXT($Y195,"dd-mmm")&amp;" - "&amp;(NETWORKDAYS($Y195,TODAY(),Holidays)-1)&amp;" business day(s) late. Send now.",IF($T195="DUE TOMORROW","Next: "&amp;$Z195&amp;IF($Y195&lt;=TODAY()," is due TODAY ("," is due next business day (")&amp;TEXT($Y195,"dd-mmm")&amp;").","Next: "&amp;$Z195&amp;" due "&amp;TEXT($Y195,"dd-mmm")&amp;" ("&amp;(NETWORKDAYS(TODAY(),$Y195,Holidays)-1)&amp;" business day(s) left).")))))</f>
        <v/>
      </c>
      <c r="V195" s="17">
        <f>IF($W195="","",CHOOSE($W195,"Collection Email","1st Follow-up","2nd Follow-up","Local Office","CBE","Roxanne")&amp;IF($W195=6," - Final"," - Day "&amp;MAX(0,NETWORKDAYS($X195,TODAY(),Holidays)-1)&amp;" of "&amp;CHOOSE($W195,3,3,2,2,3))&amp;" | Total Day "&amp;MAX(0,NETWORKDAYS($L195,TODAY(),Holidays)-1))</f>
        <v/>
      </c>
      <c r="W195" s="17">
        <f>IF($L195="","",COUNT($L195:$Q195))</f>
        <v/>
      </c>
      <c r="X195" s="18">
        <f>IF($W195="","",INT(INDEX($L195:$Q195,$W195)))</f>
        <v/>
      </c>
      <c r="Y195" s="18">
        <f>IF(OR($W195="",$W195=6),"",WORKDAY($X195,CHOOSE($W195,3,3,2,2,3),Holidays))</f>
        <v/>
      </c>
      <c r="Z195" s="17">
        <f>IF(OR($W195="",$W195=6),"",CHOOSE($W195,"1st Email Follow-up","2nd Email Follow-up","Escalate Local Office","Escalate to CBE","Escalate to Roxanne"))</f>
        <v/>
      </c>
    </row>
    <row r="196" spans="18:26">
      <c r="R196" s="15"/>
      <c r="S196" s="16"/>
      <c r="T196" s="17">
        <f>IF(AND(COUNTA($A196:$K196)=0,$L196=""),"",IF($S196="Paid","PAID",IF($S196="Closed","CLOSED",IF($W196="","",IF($W196=6,"ESCALATED TO ROXANNE",IF(TODAY()&gt;$Y196,"OVERDUE",IF($Y196&lt;=WORKDAY(TODAY(),1,Holidays),"DUE TOMORROW",IF($W196=4,"ESCALATED TO LOCAL OFFICE",IF($W196=5,"ESCALATED TO CBE",IF($X196=TODAY(),"EMAIL SENT","MONITORING"))))))))))</f>
        <v/>
      </c>
      <c r="U196" s="17">
        <f>IF($T196="",IF(AND(COUNTA($A196:$K196)&gt;0,$L196=""),"Awaiting Collection Email time stamp.",""),IF(OR($T196="PAID",$T196="CLOSED"),IF($T196="PAID","Account paid. Action completed.","Account closed. No further action required."),CHOOSE($W196,"Collection Email","1st Email Follow-up","2nd Email Follow-up","Escalation to Local Office","Escalation to CBE","Escalation to Roxanne")&amp;" sent "&amp;TEXT($X196,"dd-mmm")&amp;". "&amp;IF($W196=6,"Final escalation completed.",IF($T196="OVERDUE","Next: "&amp;$Z196&amp;" was due "&amp;TEXT($Y196,"dd-mmm")&amp;" - "&amp;(NETWORKDAYS($Y196,TODAY(),Holidays)-1)&amp;" business day(s) late. Send now.",IF($T196="DUE TOMORROW","Next: "&amp;$Z196&amp;IF($Y196&lt;=TODAY()," is due TODAY ("," is due next business day (")&amp;TEXT($Y196,"dd-mmm")&amp;").","Next: "&amp;$Z196&amp;" due "&amp;TEXT($Y196,"dd-mmm")&amp;" ("&amp;(NETWORKDAYS(TODAY(),$Y196,Holidays)-1)&amp;" business day(s) left).")))))</f>
        <v/>
      </c>
      <c r="V196" s="17">
        <f>IF($W196="","",CHOOSE($W196,"Collection Email","1st Follow-up","2nd Follow-up","Local Office","CBE","Roxanne")&amp;IF($W196=6," - Final"," - Day "&amp;MAX(0,NETWORKDAYS($X196,TODAY(),Holidays)-1)&amp;" of "&amp;CHOOSE($W196,3,3,2,2,3))&amp;" | Total Day "&amp;MAX(0,NETWORKDAYS($L196,TODAY(),Holidays)-1))</f>
        <v/>
      </c>
      <c r="W196" s="17">
        <f>IF($L196="","",COUNT($L196:$Q196))</f>
        <v/>
      </c>
      <c r="X196" s="18">
        <f>IF($W196="","",INT(INDEX($L196:$Q196,$W196)))</f>
        <v/>
      </c>
      <c r="Y196" s="18">
        <f>IF(OR($W196="",$W196=6),"",WORKDAY($X196,CHOOSE($W196,3,3,2,2,3),Holidays))</f>
        <v/>
      </c>
      <c r="Z196" s="17">
        <f>IF(OR($W196="",$W196=6),"",CHOOSE($W196,"1st Email Follow-up","2nd Email Follow-up","Escalate Local Office","Escalate to CBE","Escalate to Roxanne"))</f>
        <v/>
      </c>
    </row>
    <row r="197" spans="18:26">
      <c r="R197" s="15"/>
      <c r="S197" s="16"/>
      <c r="T197" s="17">
        <f>IF(AND(COUNTA($A197:$K197)=0,$L197=""),"",IF($S197="Paid","PAID",IF($S197="Closed","CLOSED",IF($W197="","",IF($W197=6,"ESCALATED TO ROXANNE",IF(TODAY()&gt;$Y197,"OVERDUE",IF($Y197&lt;=WORKDAY(TODAY(),1,Holidays),"DUE TOMORROW",IF($W197=4,"ESCALATED TO LOCAL OFFICE",IF($W197=5,"ESCALATED TO CBE",IF($X197=TODAY(),"EMAIL SENT","MONITORING"))))))))))</f>
        <v/>
      </c>
      <c r="U197" s="17">
        <f>IF($T197="",IF(AND(COUNTA($A197:$K197)&gt;0,$L197=""),"Awaiting Collection Email time stamp.",""),IF(OR($T197="PAID",$T197="CLOSED"),IF($T197="PAID","Account paid. Action completed.","Account closed. No further action required."),CHOOSE($W197,"Collection Email","1st Email Follow-up","2nd Email Follow-up","Escalation to Local Office","Escalation to CBE","Escalation to Roxanne")&amp;" sent "&amp;TEXT($X197,"dd-mmm")&amp;". "&amp;IF($W197=6,"Final escalation completed.",IF($T197="OVERDUE","Next: "&amp;$Z197&amp;" was due "&amp;TEXT($Y197,"dd-mmm")&amp;" - "&amp;(NETWORKDAYS($Y197,TODAY(),Holidays)-1)&amp;" business day(s) late. Send now.",IF($T197="DUE TOMORROW","Next: "&amp;$Z197&amp;IF($Y197&lt;=TODAY()," is due TODAY ("," is due next business day (")&amp;TEXT($Y197,"dd-mmm")&amp;").","Next: "&amp;$Z197&amp;" due "&amp;TEXT($Y197,"dd-mmm")&amp;" ("&amp;(NETWORKDAYS(TODAY(),$Y197,Holidays)-1)&amp;" business day(s) left).")))))</f>
        <v/>
      </c>
      <c r="V197" s="17">
        <f>IF($W197="","",CHOOSE($W197,"Collection Email","1st Follow-up","2nd Follow-up","Local Office","CBE","Roxanne")&amp;IF($W197=6," - Final"," - Day "&amp;MAX(0,NETWORKDAYS($X197,TODAY(),Holidays)-1)&amp;" of "&amp;CHOOSE($W197,3,3,2,2,3))&amp;" | Total Day "&amp;MAX(0,NETWORKDAYS($L197,TODAY(),Holidays)-1))</f>
        <v/>
      </c>
      <c r="W197" s="17">
        <f>IF($L197="","",COUNT($L197:$Q197))</f>
        <v/>
      </c>
      <c r="X197" s="18">
        <f>IF($W197="","",INT(INDEX($L197:$Q197,$W197)))</f>
        <v/>
      </c>
      <c r="Y197" s="18">
        <f>IF(OR($W197="",$W197=6),"",WORKDAY($X197,CHOOSE($W197,3,3,2,2,3),Holidays))</f>
        <v/>
      </c>
      <c r="Z197" s="17">
        <f>IF(OR($W197="",$W197=6),"",CHOOSE($W197,"1st Email Follow-up","2nd Email Follow-up","Escalate Local Office","Escalate to CBE","Escalate to Roxanne"))</f>
        <v/>
      </c>
    </row>
    <row r="198" spans="18:26">
      <c r="R198" s="15"/>
      <c r="S198" s="16"/>
      <c r="T198" s="17">
        <f>IF(AND(COUNTA($A198:$K198)=0,$L198=""),"",IF($S198="Paid","PAID",IF($S198="Closed","CLOSED",IF($W198="","",IF($W198=6,"ESCALATED TO ROXANNE",IF(TODAY()&gt;$Y198,"OVERDUE",IF($Y198&lt;=WORKDAY(TODAY(),1,Holidays),"DUE TOMORROW",IF($W198=4,"ESCALATED TO LOCAL OFFICE",IF($W198=5,"ESCALATED TO CBE",IF($X198=TODAY(),"EMAIL SENT","MONITORING"))))))))))</f>
        <v/>
      </c>
      <c r="U198" s="17">
        <f>IF($T198="",IF(AND(COUNTA($A198:$K198)&gt;0,$L198=""),"Awaiting Collection Email time stamp.",""),IF(OR($T198="PAID",$T198="CLOSED"),IF($T198="PAID","Account paid. Action completed.","Account closed. No further action required."),CHOOSE($W198,"Collection Email","1st Email Follow-up","2nd Email Follow-up","Escalation to Local Office","Escalation to CBE","Escalation to Roxanne")&amp;" sent "&amp;TEXT($X198,"dd-mmm")&amp;". "&amp;IF($W198=6,"Final escalation completed.",IF($T198="OVERDUE","Next: "&amp;$Z198&amp;" was due "&amp;TEXT($Y198,"dd-mmm")&amp;" - "&amp;(NETWORKDAYS($Y198,TODAY(),Holidays)-1)&amp;" business day(s) late. Send now.",IF($T198="DUE TOMORROW","Next: "&amp;$Z198&amp;IF($Y198&lt;=TODAY()," is due TODAY ("," is due next business day (")&amp;TEXT($Y198,"dd-mmm")&amp;").","Next: "&amp;$Z198&amp;" due "&amp;TEXT($Y198,"dd-mmm")&amp;" ("&amp;(NETWORKDAYS(TODAY(),$Y198,Holidays)-1)&amp;" business day(s) left).")))))</f>
        <v/>
      </c>
      <c r="V198" s="17">
        <f>IF($W198="","",CHOOSE($W198,"Collection Email","1st Follow-up","2nd Follow-up","Local Office","CBE","Roxanne")&amp;IF($W198=6," - Final"," - Day "&amp;MAX(0,NETWORKDAYS($X198,TODAY(),Holidays)-1)&amp;" of "&amp;CHOOSE($W198,3,3,2,2,3))&amp;" | Total Day "&amp;MAX(0,NETWORKDAYS($L198,TODAY(),Holidays)-1))</f>
        <v/>
      </c>
      <c r="W198" s="17">
        <f>IF($L198="","",COUNT($L198:$Q198))</f>
        <v/>
      </c>
      <c r="X198" s="18">
        <f>IF($W198="","",INT(INDEX($L198:$Q198,$W198)))</f>
        <v/>
      </c>
      <c r="Y198" s="18">
        <f>IF(OR($W198="",$W198=6),"",WORKDAY($X198,CHOOSE($W198,3,3,2,2,3),Holidays))</f>
        <v/>
      </c>
      <c r="Z198" s="17">
        <f>IF(OR($W198="",$W198=6),"",CHOOSE($W198,"1st Email Follow-up","2nd Email Follow-up","Escalate Local Office","Escalate to CBE","Escalate to Roxanne"))</f>
        <v/>
      </c>
    </row>
    <row r="199" spans="18:26">
      <c r="R199" s="15"/>
      <c r="S199" s="16"/>
      <c r="T199" s="17">
        <f>IF(AND(COUNTA($A199:$K199)=0,$L199=""),"",IF($S199="Paid","PAID",IF($S199="Closed","CLOSED",IF($W199="","",IF($W199=6,"ESCALATED TO ROXANNE",IF(TODAY()&gt;$Y199,"OVERDUE",IF($Y199&lt;=WORKDAY(TODAY(),1,Holidays),"DUE TOMORROW",IF($W199=4,"ESCALATED TO LOCAL OFFICE",IF($W199=5,"ESCALATED TO CBE",IF($X199=TODAY(),"EMAIL SENT","MONITORING"))))))))))</f>
        <v/>
      </c>
      <c r="U199" s="17">
        <f>IF($T199="",IF(AND(COUNTA($A199:$K199)&gt;0,$L199=""),"Awaiting Collection Email time stamp.",""),IF(OR($T199="PAID",$T199="CLOSED"),IF($T199="PAID","Account paid. Action completed.","Account closed. No further action required."),CHOOSE($W199,"Collection Email","1st Email Follow-up","2nd Email Follow-up","Escalation to Local Office","Escalation to CBE","Escalation to Roxanne")&amp;" sent "&amp;TEXT($X199,"dd-mmm")&amp;". "&amp;IF($W199=6,"Final escalation completed.",IF($T199="OVERDUE","Next: "&amp;$Z199&amp;" was due "&amp;TEXT($Y199,"dd-mmm")&amp;" - "&amp;(NETWORKDAYS($Y199,TODAY(),Holidays)-1)&amp;" business day(s) late. Send now.",IF($T199="DUE TOMORROW","Next: "&amp;$Z199&amp;IF($Y199&lt;=TODAY()," is due TODAY ("," is due next business day (")&amp;TEXT($Y199,"dd-mmm")&amp;").","Next: "&amp;$Z199&amp;" due "&amp;TEXT($Y199,"dd-mmm")&amp;" ("&amp;(NETWORKDAYS(TODAY(),$Y199,Holidays)-1)&amp;" business day(s) left).")))))</f>
        <v/>
      </c>
      <c r="V199" s="17">
        <f>IF($W199="","",CHOOSE($W199,"Collection Email","1st Follow-up","2nd Follow-up","Local Office","CBE","Roxanne")&amp;IF($W199=6," - Final"," - Day "&amp;MAX(0,NETWORKDAYS($X199,TODAY(),Holidays)-1)&amp;" of "&amp;CHOOSE($W199,3,3,2,2,3))&amp;" | Total Day "&amp;MAX(0,NETWORKDAYS($L199,TODAY(),Holidays)-1))</f>
        <v/>
      </c>
      <c r="W199" s="17">
        <f>IF($L199="","",COUNT($L199:$Q199))</f>
        <v/>
      </c>
      <c r="X199" s="18">
        <f>IF($W199="","",INT(INDEX($L199:$Q199,$W199)))</f>
        <v/>
      </c>
      <c r="Y199" s="18">
        <f>IF(OR($W199="",$W199=6),"",WORKDAY($X199,CHOOSE($W199,3,3,2,2,3),Holidays))</f>
        <v/>
      </c>
      <c r="Z199" s="17">
        <f>IF(OR($W199="",$W199=6),"",CHOOSE($W199,"1st Email Follow-up","2nd Email Follow-up","Escalate Local Office","Escalate to CBE","Escalate to Roxanne"))</f>
        <v/>
      </c>
    </row>
    <row r="200" spans="18:26">
      <c r="R200" s="15"/>
      <c r="S200" s="16"/>
      <c r="T200" s="17">
        <f>IF(AND(COUNTA($A200:$K200)=0,$L200=""),"",IF($S200="Paid","PAID",IF($S200="Closed","CLOSED",IF($W200="","",IF($W200=6,"ESCALATED TO ROXANNE",IF(TODAY()&gt;$Y200,"OVERDUE",IF($Y200&lt;=WORKDAY(TODAY(),1,Holidays),"DUE TOMORROW",IF($W200=4,"ESCALATED TO LOCAL OFFICE",IF($W200=5,"ESCALATED TO CBE",IF($X200=TODAY(),"EMAIL SENT","MONITORING"))))))))))</f>
        <v/>
      </c>
      <c r="U200" s="17">
        <f>IF($T200="",IF(AND(COUNTA($A200:$K200)&gt;0,$L200=""),"Awaiting Collection Email time stamp.",""),IF(OR($T200="PAID",$T200="CLOSED"),IF($T200="PAID","Account paid. Action completed.","Account closed. No further action required."),CHOOSE($W200,"Collection Email","1st Email Follow-up","2nd Email Follow-up","Escalation to Local Office","Escalation to CBE","Escalation to Roxanne")&amp;" sent "&amp;TEXT($X200,"dd-mmm")&amp;". "&amp;IF($W200=6,"Final escalation completed.",IF($T200="OVERDUE","Next: "&amp;$Z200&amp;" was due "&amp;TEXT($Y200,"dd-mmm")&amp;" - "&amp;(NETWORKDAYS($Y200,TODAY(),Holidays)-1)&amp;" business day(s) late. Send now.",IF($T200="DUE TOMORROW","Next: "&amp;$Z200&amp;IF($Y200&lt;=TODAY()," is due TODAY ("," is due next business day (")&amp;TEXT($Y200,"dd-mmm")&amp;").","Next: "&amp;$Z200&amp;" due "&amp;TEXT($Y200,"dd-mmm")&amp;" ("&amp;(NETWORKDAYS(TODAY(),$Y200,Holidays)-1)&amp;" business day(s) left).")))))</f>
        <v/>
      </c>
      <c r="V200" s="17">
        <f>IF($W200="","",CHOOSE($W200,"Collection Email","1st Follow-up","2nd Follow-up","Local Office","CBE","Roxanne")&amp;IF($W200=6," - Final"," - Day "&amp;MAX(0,NETWORKDAYS($X200,TODAY(),Holidays)-1)&amp;" of "&amp;CHOOSE($W200,3,3,2,2,3))&amp;" | Total Day "&amp;MAX(0,NETWORKDAYS($L200,TODAY(),Holidays)-1))</f>
        <v/>
      </c>
      <c r="W200" s="17">
        <f>IF($L200="","",COUNT($L200:$Q200))</f>
        <v/>
      </c>
      <c r="X200" s="18">
        <f>IF($W200="","",INT(INDEX($L200:$Q200,$W200)))</f>
        <v/>
      </c>
      <c r="Y200" s="18">
        <f>IF(OR($W200="",$W200=6),"",WORKDAY($X200,CHOOSE($W200,3,3,2,2,3),Holidays))</f>
        <v/>
      </c>
      <c r="Z200" s="17">
        <f>IF(OR($W200="",$W200=6),"",CHOOSE($W200,"1st Email Follow-up","2nd Email Follow-up","Escalate Local Office","Escalate to CBE","Escalate to Roxanne"))</f>
        <v/>
      </c>
    </row>
    <row r="201" spans="18:26">
      <c r="R201" s="15"/>
      <c r="S201" s="16"/>
      <c r="T201" s="17">
        <f>IF(AND(COUNTA($A201:$K201)=0,$L201=""),"",IF($S201="Paid","PAID",IF($S201="Closed","CLOSED",IF($W201="","",IF($W201=6,"ESCALATED TO ROXANNE",IF(TODAY()&gt;$Y201,"OVERDUE",IF($Y201&lt;=WORKDAY(TODAY(),1,Holidays),"DUE TOMORROW",IF($W201=4,"ESCALATED TO LOCAL OFFICE",IF($W201=5,"ESCALATED TO CBE",IF($X201=TODAY(),"EMAIL SENT","MONITORING"))))))))))</f>
        <v/>
      </c>
      <c r="U201" s="17">
        <f>IF($T201="",IF(AND(COUNTA($A201:$K201)&gt;0,$L201=""),"Awaiting Collection Email time stamp.",""),IF(OR($T201="PAID",$T201="CLOSED"),IF($T201="PAID","Account paid. Action completed.","Account closed. No further action required."),CHOOSE($W201,"Collection Email","1st Email Follow-up","2nd Email Follow-up","Escalation to Local Office","Escalation to CBE","Escalation to Roxanne")&amp;" sent "&amp;TEXT($X201,"dd-mmm")&amp;". "&amp;IF($W201=6,"Final escalation completed.",IF($T201="OVERDUE","Next: "&amp;$Z201&amp;" was due "&amp;TEXT($Y201,"dd-mmm")&amp;" - "&amp;(NETWORKDAYS($Y201,TODAY(),Holidays)-1)&amp;" business day(s) late. Send now.",IF($T201="DUE TOMORROW","Next: "&amp;$Z201&amp;IF($Y201&lt;=TODAY()," is due TODAY ("," is due next business day (")&amp;TEXT($Y201,"dd-mmm")&amp;").","Next: "&amp;$Z201&amp;" due "&amp;TEXT($Y201,"dd-mmm")&amp;" ("&amp;(NETWORKDAYS(TODAY(),$Y201,Holidays)-1)&amp;" business day(s) left).")))))</f>
        <v/>
      </c>
      <c r="V201" s="17">
        <f>IF($W201="","",CHOOSE($W201,"Collection Email","1st Follow-up","2nd Follow-up","Local Office","CBE","Roxanne")&amp;IF($W201=6," - Final"," - Day "&amp;MAX(0,NETWORKDAYS($X201,TODAY(),Holidays)-1)&amp;" of "&amp;CHOOSE($W201,3,3,2,2,3))&amp;" | Total Day "&amp;MAX(0,NETWORKDAYS($L201,TODAY(),Holidays)-1))</f>
        <v/>
      </c>
      <c r="W201" s="17">
        <f>IF($L201="","",COUNT($L201:$Q201))</f>
        <v/>
      </c>
      <c r="X201" s="18">
        <f>IF($W201="","",INT(INDEX($L201:$Q201,$W201)))</f>
        <v/>
      </c>
      <c r="Y201" s="18">
        <f>IF(OR($W201="",$W201=6),"",WORKDAY($X201,CHOOSE($W201,3,3,2,2,3),Holidays))</f>
        <v/>
      </c>
      <c r="Z201" s="17">
        <f>IF(OR($W201="",$W201=6),"",CHOOSE($W201,"1st Email Follow-up","2nd Email Follow-up","Escalate Local Office","Escalate to CBE","Escalate to Roxanne"))</f>
        <v/>
      </c>
    </row>
    <row r="202" spans="18:26">
      <c r="R202" s="15"/>
      <c r="S202" s="16"/>
      <c r="T202" s="17">
        <f>IF(AND(COUNTA($A202:$K202)=0,$L202=""),"",IF($S202="Paid","PAID",IF($S202="Closed","CLOSED",IF($W202="","",IF($W202=6,"ESCALATED TO ROXANNE",IF(TODAY()&gt;$Y202,"OVERDUE",IF($Y202&lt;=WORKDAY(TODAY(),1,Holidays),"DUE TOMORROW",IF($W202=4,"ESCALATED TO LOCAL OFFICE",IF($W202=5,"ESCALATED TO CBE",IF($X202=TODAY(),"EMAIL SENT","MONITORING"))))))))))</f>
        <v/>
      </c>
      <c r="U202" s="17">
        <f>IF($T202="",IF(AND(COUNTA($A202:$K202)&gt;0,$L202=""),"Awaiting Collection Email time stamp.",""),IF(OR($T202="PAID",$T202="CLOSED"),IF($T202="PAID","Account paid. Action completed.","Account closed. No further action required."),CHOOSE($W202,"Collection Email","1st Email Follow-up","2nd Email Follow-up","Escalation to Local Office","Escalation to CBE","Escalation to Roxanne")&amp;" sent "&amp;TEXT($X202,"dd-mmm")&amp;". "&amp;IF($W202=6,"Final escalation completed.",IF($T202="OVERDUE","Next: "&amp;$Z202&amp;" was due "&amp;TEXT($Y202,"dd-mmm")&amp;" - "&amp;(NETWORKDAYS($Y202,TODAY(),Holidays)-1)&amp;" business day(s) late. Send now.",IF($T202="DUE TOMORROW","Next: "&amp;$Z202&amp;IF($Y202&lt;=TODAY()," is due TODAY ("," is due next business day (")&amp;TEXT($Y202,"dd-mmm")&amp;").","Next: "&amp;$Z202&amp;" due "&amp;TEXT($Y202,"dd-mmm")&amp;" ("&amp;(NETWORKDAYS(TODAY(),$Y202,Holidays)-1)&amp;" business day(s) left).")))))</f>
        <v/>
      </c>
      <c r="V202" s="17">
        <f>IF($W202="","",CHOOSE($W202,"Collection Email","1st Follow-up","2nd Follow-up","Local Office","CBE","Roxanne")&amp;IF($W202=6," - Final"," - Day "&amp;MAX(0,NETWORKDAYS($X202,TODAY(),Holidays)-1)&amp;" of "&amp;CHOOSE($W202,3,3,2,2,3))&amp;" | Total Day "&amp;MAX(0,NETWORKDAYS($L202,TODAY(),Holidays)-1))</f>
        <v/>
      </c>
      <c r="W202" s="17">
        <f>IF($L202="","",COUNT($L202:$Q202))</f>
        <v/>
      </c>
      <c r="X202" s="18">
        <f>IF($W202="","",INT(INDEX($L202:$Q202,$W202)))</f>
        <v/>
      </c>
      <c r="Y202" s="18">
        <f>IF(OR($W202="",$W202=6),"",WORKDAY($X202,CHOOSE($W202,3,3,2,2,3),Holidays))</f>
        <v/>
      </c>
      <c r="Z202" s="17">
        <f>IF(OR($W202="",$W202=6),"",CHOOSE($W202,"1st Email Follow-up","2nd Email Follow-up","Escalate Local Office","Escalate to CBE","Escalate to Roxanne"))</f>
        <v/>
      </c>
    </row>
    <row r="203" spans="18:26">
      <c r="R203" s="15"/>
      <c r="S203" s="16"/>
      <c r="T203" s="17">
        <f>IF(AND(COUNTA($A203:$K203)=0,$L203=""),"",IF($S203="Paid","PAID",IF($S203="Closed","CLOSED",IF($W203="","",IF($W203=6,"ESCALATED TO ROXANNE",IF(TODAY()&gt;$Y203,"OVERDUE",IF($Y203&lt;=WORKDAY(TODAY(),1,Holidays),"DUE TOMORROW",IF($W203=4,"ESCALATED TO LOCAL OFFICE",IF($W203=5,"ESCALATED TO CBE",IF($X203=TODAY(),"EMAIL SENT","MONITORING"))))))))))</f>
        <v/>
      </c>
      <c r="U203" s="17">
        <f>IF($T203="",IF(AND(COUNTA($A203:$K203)&gt;0,$L203=""),"Awaiting Collection Email time stamp.",""),IF(OR($T203="PAID",$T203="CLOSED"),IF($T203="PAID","Account paid. Action completed.","Account closed. No further action required."),CHOOSE($W203,"Collection Email","1st Email Follow-up","2nd Email Follow-up","Escalation to Local Office","Escalation to CBE","Escalation to Roxanne")&amp;" sent "&amp;TEXT($X203,"dd-mmm")&amp;". "&amp;IF($W203=6,"Final escalation completed.",IF($T203="OVERDUE","Next: "&amp;$Z203&amp;" was due "&amp;TEXT($Y203,"dd-mmm")&amp;" - "&amp;(NETWORKDAYS($Y203,TODAY(),Holidays)-1)&amp;" business day(s) late. Send now.",IF($T203="DUE TOMORROW","Next: "&amp;$Z203&amp;IF($Y203&lt;=TODAY()," is due TODAY ("," is due next business day (")&amp;TEXT($Y203,"dd-mmm")&amp;").","Next: "&amp;$Z203&amp;" due "&amp;TEXT($Y203,"dd-mmm")&amp;" ("&amp;(NETWORKDAYS(TODAY(),$Y203,Holidays)-1)&amp;" business day(s) left).")))))</f>
        <v/>
      </c>
      <c r="V203" s="17">
        <f>IF($W203="","",CHOOSE($W203,"Collection Email","1st Follow-up","2nd Follow-up","Local Office","CBE","Roxanne")&amp;IF($W203=6," - Final"," - Day "&amp;MAX(0,NETWORKDAYS($X203,TODAY(),Holidays)-1)&amp;" of "&amp;CHOOSE($W203,3,3,2,2,3))&amp;" | Total Day "&amp;MAX(0,NETWORKDAYS($L203,TODAY(),Holidays)-1))</f>
        <v/>
      </c>
      <c r="W203" s="17">
        <f>IF($L203="","",COUNT($L203:$Q203))</f>
        <v/>
      </c>
      <c r="X203" s="18">
        <f>IF($W203="","",INT(INDEX($L203:$Q203,$W203)))</f>
        <v/>
      </c>
      <c r="Y203" s="18">
        <f>IF(OR($W203="",$W203=6),"",WORKDAY($X203,CHOOSE($W203,3,3,2,2,3),Holidays))</f>
        <v/>
      </c>
      <c r="Z203" s="17">
        <f>IF(OR($W203="",$W203=6),"",CHOOSE($W203,"1st Email Follow-up","2nd Email Follow-up","Escalate Local Office","Escalate to CBE","Escalate to Roxanne"))</f>
        <v/>
      </c>
    </row>
    <row r="204" spans="18:26">
      <c r="R204" s="15"/>
      <c r="S204" s="16"/>
      <c r="T204" s="17">
        <f>IF(AND(COUNTA($A204:$K204)=0,$L204=""),"",IF($S204="Paid","PAID",IF($S204="Closed","CLOSED",IF($W204="","",IF($W204=6,"ESCALATED TO ROXANNE",IF(TODAY()&gt;$Y204,"OVERDUE",IF($Y204&lt;=WORKDAY(TODAY(),1,Holidays),"DUE TOMORROW",IF($W204=4,"ESCALATED TO LOCAL OFFICE",IF($W204=5,"ESCALATED TO CBE",IF($X204=TODAY(),"EMAIL SENT","MONITORING"))))))))))</f>
        <v/>
      </c>
      <c r="U204" s="17">
        <f>IF($T204="",IF(AND(COUNTA($A204:$K204)&gt;0,$L204=""),"Awaiting Collection Email time stamp.",""),IF(OR($T204="PAID",$T204="CLOSED"),IF($T204="PAID","Account paid. Action completed.","Account closed. No further action required."),CHOOSE($W204,"Collection Email","1st Email Follow-up","2nd Email Follow-up","Escalation to Local Office","Escalation to CBE","Escalation to Roxanne")&amp;" sent "&amp;TEXT($X204,"dd-mmm")&amp;". "&amp;IF($W204=6,"Final escalation completed.",IF($T204="OVERDUE","Next: "&amp;$Z204&amp;" was due "&amp;TEXT($Y204,"dd-mmm")&amp;" - "&amp;(NETWORKDAYS($Y204,TODAY(),Holidays)-1)&amp;" business day(s) late. Send now.",IF($T204="DUE TOMORROW","Next: "&amp;$Z204&amp;IF($Y204&lt;=TODAY()," is due TODAY ("," is due next business day (")&amp;TEXT($Y204,"dd-mmm")&amp;").","Next: "&amp;$Z204&amp;" due "&amp;TEXT($Y204,"dd-mmm")&amp;" ("&amp;(NETWORKDAYS(TODAY(),$Y204,Holidays)-1)&amp;" business day(s) left).")))))</f>
        <v/>
      </c>
      <c r="V204" s="17">
        <f>IF($W204="","",CHOOSE($W204,"Collection Email","1st Follow-up","2nd Follow-up","Local Office","CBE","Roxanne")&amp;IF($W204=6," - Final"," - Day "&amp;MAX(0,NETWORKDAYS($X204,TODAY(),Holidays)-1)&amp;" of "&amp;CHOOSE($W204,3,3,2,2,3))&amp;" | Total Day "&amp;MAX(0,NETWORKDAYS($L204,TODAY(),Holidays)-1))</f>
        <v/>
      </c>
      <c r="W204" s="17">
        <f>IF($L204="","",COUNT($L204:$Q204))</f>
        <v/>
      </c>
      <c r="X204" s="18">
        <f>IF($W204="","",INT(INDEX($L204:$Q204,$W204)))</f>
        <v/>
      </c>
      <c r="Y204" s="18">
        <f>IF(OR($W204="",$W204=6),"",WORKDAY($X204,CHOOSE($W204,3,3,2,2,3),Holidays))</f>
        <v/>
      </c>
      <c r="Z204" s="17">
        <f>IF(OR($W204="",$W204=6),"",CHOOSE($W204,"1st Email Follow-up","2nd Email Follow-up","Escalate Local Office","Escalate to CBE","Escalate to Roxanne"))</f>
        <v/>
      </c>
    </row>
    <row r="205" spans="18:26">
      <c r="R205" s="15"/>
      <c r="S205" s="16"/>
      <c r="T205" s="17">
        <f>IF(AND(COUNTA($A205:$K205)=0,$L205=""),"",IF($S205="Paid","PAID",IF($S205="Closed","CLOSED",IF($W205="","",IF($W205=6,"ESCALATED TO ROXANNE",IF(TODAY()&gt;$Y205,"OVERDUE",IF($Y205&lt;=WORKDAY(TODAY(),1,Holidays),"DUE TOMORROW",IF($W205=4,"ESCALATED TO LOCAL OFFICE",IF($W205=5,"ESCALATED TO CBE",IF($X205=TODAY(),"EMAIL SENT","MONITORING"))))))))))</f>
        <v/>
      </c>
      <c r="U205" s="17">
        <f>IF($T205="",IF(AND(COUNTA($A205:$K205)&gt;0,$L205=""),"Awaiting Collection Email time stamp.",""),IF(OR($T205="PAID",$T205="CLOSED"),IF($T205="PAID","Account paid. Action completed.","Account closed. No further action required."),CHOOSE($W205,"Collection Email","1st Email Follow-up","2nd Email Follow-up","Escalation to Local Office","Escalation to CBE","Escalation to Roxanne")&amp;" sent "&amp;TEXT($X205,"dd-mmm")&amp;". "&amp;IF($W205=6,"Final escalation completed.",IF($T205="OVERDUE","Next: "&amp;$Z205&amp;" was due "&amp;TEXT($Y205,"dd-mmm")&amp;" - "&amp;(NETWORKDAYS($Y205,TODAY(),Holidays)-1)&amp;" business day(s) late. Send now.",IF($T205="DUE TOMORROW","Next: "&amp;$Z205&amp;IF($Y205&lt;=TODAY()," is due TODAY ("," is due next business day (")&amp;TEXT($Y205,"dd-mmm")&amp;").","Next: "&amp;$Z205&amp;" due "&amp;TEXT($Y205,"dd-mmm")&amp;" ("&amp;(NETWORKDAYS(TODAY(),$Y205,Holidays)-1)&amp;" business day(s) left).")))))</f>
        <v/>
      </c>
      <c r="V205" s="17">
        <f>IF($W205="","",CHOOSE($W205,"Collection Email","1st Follow-up","2nd Follow-up","Local Office","CBE","Roxanne")&amp;IF($W205=6," - Final"," - Day "&amp;MAX(0,NETWORKDAYS($X205,TODAY(),Holidays)-1)&amp;" of "&amp;CHOOSE($W205,3,3,2,2,3))&amp;" | Total Day "&amp;MAX(0,NETWORKDAYS($L205,TODAY(),Holidays)-1))</f>
        <v/>
      </c>
      <c r="W205" s="17">
        <f>IF($L205="","",COUNT($L205:$Q205))</f>
        <v/>
      </c>
      <c r="X205" s="18">
        <f>IF($W205="","",INT(INDEX($L205:$Q205,$W205)))</f>
        <v/>
      </c>
      <c r="Y205" s="18">
        <f>IF(OR($W205="",$W205=6),"",WORKDAY($X205,CHOOSE($W205,3,3,2,2,3),Holidays))</f>
        <v/>
      </c>
      <c r="Z205" s="17">
        <f>IF(OR($W205="",$W205=6),"",CHOOSE($W205,"1st Email Follow-up","2nd Email Follow-up","Escalate Local Office","Escalate to CBE","Escalate to Roxanne"))</f>
        <v/>
      </c>
    </row>
    <row r="206" spans="18:26">
      <c r="R206" s="15"/>
      <c r="S206" s="16"/>
      <c r="T206" s="17">
        <f>IF(AND(COUNTA($A206:$K206)=0,$L206=""),"",IF($S206="Paid","PAID",IF($S206="Closed","CLOSED",IF($W206="","",IF($W206=6,"ESCALATED TO ROXANNE",IF(TODAY()&gt;$Y206,"OVERDUE",IF($Y206&lt;=WORKDAY(TODAY(),1,Holidays),"DUE TOMORROW",IF($W206=4,"ESCALATED TO LOCAL OFFICE",IF($W206=5,"ESCALATED TO CBE",IF($X206=TODAY(),"EMAIL SENT","MONITORING"))))))))))</f>
        <v/>
      </c>
      <c r="U206" s="17">
        <f>IF($T206="",IF(AND(COUNTA($A206:$K206)&gt;0,$L206=""),"Awaiting Collection Email time stamp.",""),IF(OR($T206="PAID",$T206="CLOSED"),IF($T206="PAID","Account paid. Action completed.","Account closed. No further action required."),CHOOSE($W206,"Collection Email","1st Email Follow-up","2nd Email Follow-up","Escalation to Local Office","Escalation to CBE","Escalation to Roxanne")&amp;" sent "&amp;TEXT($X206,"dd-mmm")&amp;". "&amp;IF($W206=6,"Final escalation completed.",IF($T206="OVERDUE","Next: "&amp;$Z206&amp;" was due "&amp;TEXT($Y206,"dd-mmm")&amp;" - "&amp;(NETWORKDAYS($Y206,TODAY(),Holidays)-1)&amp;" business day(s) late. Send now.",IF($T206="DUE TOMORROW","Next: "&amp;$Z206&amp;IF($Y206&lt;=TODAY()," is due TODAY ("," is due next business day (")&amp;TEXT($Y206,"dd-mmm")&amp;").","Next: "&amp;$Z206&amp;" due "&amp;TEXT($Y206,"dd-mmm")&amp;" ("&amp;(NETWORKDAYS(TODAY(),$Y206,Holidays)-1)&amp;" business day(s) left).")))))</f>
        <v/>
      </c>
      <c r="V206" s="17">
        <f>IF($W206="","",CHOOSE($W206,"Collection Email","1st Follow-up","2nd Follow-up","Local Office","CBE","Roxanne")&amp;IF($W206=6," - Final"," - Day "&amp;MAX(0,NETWORKDAYS($X206,TODAY(),Holidays)-1)&amp;" of "&amp;CHOOSE($W206,3,3,2,2,3))&amp;" | Total Day "&amp;MAX(0,NETWORKDAYS($L206,TODAY(),Holidays)-1))</f>
        <v/>
      </c>
      <c r="W206" s="17">
        <f>IF($L206="","",COUNT($L206:$Q206))</f>
        <v/>
      </c>
      <c r="X206" s="18">
        <f>IF($W206="","",INT(INDEX($L206:$Q206,$W206)))</f>
        <v/>
      </c>
      <c r="Y206" s="18">
        <f>IF(OR($W206="",$W206=6),"",WORKDAY($X206,CHOOSE($W206,3,3,2,2,3),Holidays))</f>
        <v/>
      </c>
      <c r="Z206" s="17">
        <f>IF(OR($W206="",$W206=6),"",CHOOSE($W206,"1st Email Follow-up","2nd Email Follow-up","Escalate Local Office","Escalate to CBE","Escalate to Roxanne"))</f>
        <v/>
      </c>
    </row>
    <row r="207" spans="18:26">
      <c r="R207" s="15"/>
      <c r="S207" s="16"/>
      <c r="T207" s="17">
        <f>IF(AND(COUNTA($A207:$K207)=0,$L207=""),"",IF($S207="Paid","PAID",IF($S207="Closed","CLOSED",IF($W207="","",IF($W207=6,"ESCALATED TO ROXANNE",IF(TODAY()&gt;$Y207,"OVERDUE",IF($Y207&lt;=WORKDAY(TODAY(),1,Holidays),"DUE TOMORROW",IF($W207=4,"ESCALATED TO LOCAL OFFICE",IF($W207=5,"ESCALATED TO CBE",IF($X207=TODAY(),"EMAIL SENT","MONITORING"))))))))))</f>
        <v/>
      </c>
      <c r="U207" s="17">
        <f>IF($T207="",IF(AND(COUNTA($A207:$K207)&gt;0,$L207=""),"Awaiting Collection Email time stamp.",""),IF(OR($T207="PAID",$T207="CLOSED"),IF($T207="PAID","Account paid. Action completed.","Account closed. No further action required."),CHOOSE($W207,"Collection Email","1st Email Follow-up","2nd Email Follow-up","Escalation to Local Office","Escalation to CBE","Escalation to Roxanne")&amp;" sent "&amp;TEXT($X207,"dd-mmm")&amp;". "&amp;IF($W207=6,"Final escalation completed.",IF($T207="OVERDUE","Next: "&amp;$Z207&amp;" was due "&amp;TEXT($Y207,"dd-mmm")&amp;" - "&amp;(NETWORKDAYS($Y207,TODAY(),Holidays)-1)&amp;" business day(s) late. Send now.",IF($T207="DUE TOMORROW","Next: "&amp;$Z207&amp;IF($Y207&lt;=TODAY()," is due TODAY ("," is due next business day (")&amp;TEXT($Y207,"dd-mmm")&amp;").","Next: "&amp;$Z207&amp;" due "&amp;TEXT($Y207,"dd-mmm")&amp;" ("&amp;(NETWORKDAYS(TODAY(),$Y207,Holidays)-1)&amp;" business day(s) left).")))))</f>
        <v/>
      </c>
      <c r="V207" s="17">
        <f>IF($W207="","",CHOOSE($W207,"Collection Email","1st Follow-up","2nd Follow-up","Local Office","CBE","Roxanne")&amp;IF($W207=6," - Final"," - Day "&amp;MAX(0,NETWORKDAYS($X207,TODAY(),Holidays)-1)&amp;" of "&amp;CHOOSE($W207,3,3,2,2,3))&amp;" | Total Day "&amp;MAX(0,NETWORKDAYS($L207,TODAY(),Holidays)-1))</f>
        <v/>
      </c>
      <c r="W207" s="17">
        <f>IF($L207="","",COUNT($L207:$Q207))</f>
        <v/>
      </c>
      <c r="X207" s="18">
        <f>IF($W207="","",INT(INDEX($L207:$Q207,$W207)))</f>
        <v/>
      </c>
      <c r="Y207" s="18">
        <f>IF(OR($W207="",$W207=6),"",WORKDAY($X207,CHOOSE($W207,3,3,2,2,3),Holidays))</f>
        <v/>
      </c>
      <c r="Z207" s="17">
        <f>IF(OR($W207="",$W207=6),"",CHOOSE($W207,"1st Email Follow-up","2nd Email Follow-up","Escalate Local Office","Escalate to CBE","Escalate to Roxanne"))</f>
        <v/>
      </c>
    </row>
    <row r="208" spans="18:26">
      <c r="R208" s="15"/>
      <c r="S208" s="16"/>
      <c r="T208" s="17">
        <f>IF(AND(COUNTA($A208:$K208)=0,$L208=""),"",IF($S208="Paid","PAID",IF($S208="Closed","CLOSED",IF($W208="","",IF($W208=6,"ESCALATED TO ROXANNE",IF(TODAY()&gt;$Y208,"OVERDUE",IF($Y208&lt;=WORKDAY(TODAY(),1,Holidays),"DUE TOMORROW",IF($W208=4,"ESCALATED TO LOCAL OFFICE",IF($W208=5,"ESCALATED TO CBE",IF($X208=TODAY(),"EMAIL SENT","MONITORING"))))))))))</f>
        <v/>
      </c>
      <c r="U208" s="17">
        <f>IF($T208="",IF(AND(COUNTA($A208:$K208)&gt;0,$L208=""),"Awaiting Collection Email time stamp.",""),IF(OR($T208="PAID",$T208="CLOSED"),IF($T208="PAID","Account paid. Action completed.","Account closed. No further action required."),CHOOSE($W208,"Collection Email","1st Email Follow-up","2nd Email Follow-up","Escalation to Local Office","Escalation to CBE","Escalation to Roxanne")&amp;" sent "&amp;TEXT($X208,"dd-mmm")&amp;". "&amp;IF($W208=6,"Final escalation completed.",IF($T208="OVERDUE","Next: "&amp;$Z208&amp;" was due "&amp;TEXT($Y208,"dd-mmm")&amp;" - "&amp;(NETWORKDAYS($Y208,TODAY(),Holidays)-1)&amp;" business day(s) late. Send now.",IF($T208="DUE TOMORROW","Next: "&amp;$Z208&amp;IF($Y208&lt;=TODAY()," is due TODAY ("," is due next business day (")&amp;TEXT($Y208,"dd-mmm")&amp;").","Next: "&amp;$Z208&amp;" due "&amp;TEXT($Y208,"dd-mmm")&amp;" ("&amp;(NETWORKDAYS(TODAY(),$Y208,Holidays)-1)&amp;" business day(s) left).")))))</f>
        <v/>
      </c>
      <c r="V208" s="17">
        <f>IF($W208="","",CHOOSE($W208,"Collection Email","1st Follow-up","2nd Follow-up","Local Office","CBE","Roxanne")&amp;IF($W208=6," - Final"," - Day "&amp;MAX(0,NETWORKDAYS($X208,TODAY(),Holidays)-1)&amp;" of "&amp;CHOOSE($W208,3,3,2,2,3))&amp;" | Total Day "&amp;MAX(0,NETWORKDAYS($L208,TODAY(),Holidays)-1))</f>
        <v/>
      </c>
      <c r="W208" s="17">
        <f>IF($L208="","",COUNT($L208:$Q208))</f>
        <v/>
      </c>
      <c r="X208" s="18">
        <f>IF($W208="","",INT(INDEX($L208:$Q208,$W208)))</f>
        <v/>
      </c>
      <c r="Y208" s="18">
        <f>IF(OR($W208="",$W208=6),"",WORKDAY($X208,CHOOSE($W208,3,3,2,2,3),Holidays))</f>
        <v/>
      </c>
      <c r="Z208" s="17">
        <f>IF(OR($W208="",$W208=6),"",CHOOSE($W208,"1st Email Follow-up","2nd Email Follow-up","Escalate Local Office","Escalate to CBE","Escalate to Roxanne"))</f>
        <v/>
      </c>
    </row>
    <row r="209" spans="18:26">
      <c r="R209" s="15"/>
      <c r="S209" s="16"/>
      <c r="T209" s="17">
        <f>IF(AND(COUNTA($A209:$K209)=0,$L209=""),"",IF($S209="Paid","PAID",IF($S209="Closed","CLOSED",IF($W209="","",IF($W209=6,"ESCALATED TO ROXANNE",IF(TODAY()&gt;$Y209,"OVERDUE",IF($Y209&lt;=WORKDAY(TODAY(),1,Holidays),"DUE TOMORROW",IF($W209=4,"ESCALATED TO LOCAL OFFICE",IF($W209=5,"ESCALATED TO CBE",IF($X209=TODAY(),"EMAIL SENT","MONITORING"))))))))))</f>
        <v/>
      </c>
      <c r="U209" s="17">
        <f>IF($T209="",IF(AND(COUNTA($A209:$K209)&gt;0,$L209=""),"Awaiting Collection Email time stamp.",""),IF(OR($T209="PAID",$T209="CLOSED"),IF($T209="PAID","Account paid. Action completed.","Account closed. No further action required."),CHOOSE($W209,"Collection Email","1st Email Follow-up","2nd Email Follow-up","Escalation to Local Office","Escalation to CBE","Escalation to Roxanne")&amp;" sent "&amp;TEXT($X209,"dd-mmm")&amp;". "&amp;IF($W209=6,"Final escalation completed.",IF($T209="OVERDUE","Next: "&amp;$Z209&amp;" was due "&amp;TEXT($Y209,"dd-mmm")&amp;" - "&amp;(NETWORKDAYS($Y209,TODAY(),Holidays)-1)&amp;" business day(s) late. Send now.",IF($T209="DUE TOMORROW","Next: "&amp;$Z209&amp;IF($Y209&lt;=TODAY()," is due TODAY ("," is due next business day (")&amp;TEXT($Y209,"dd-mmm")&amp;").","Next: "&amp;$Z209&amp;" due "&amp;TEXT($Y209,"dd-mmm")&amp;" ("&amp;(NETWORKDAYS(TODAY(),$Y209,Holidays)-1)&amp;" business day(s) left).")))))</f>
        <v/>
      </c>
      <c r="V209" s="17">
        <f>IF($W209="","",CHOOSE($W209,"Collection Email","1st Follow-up","2nd Follow-up","Local Office","CBE","Roxanne")&amp;IF($W209=6," - Final"," - Day "&amp;MAX(0,NETWORKDAYS($X209,TODAY(),Holidays)-1)&amp;" of "&amp;CHOOSE($W209,3,3,2,2,3))&amp;" | Total Day "&amp;MAX(0,NETWORKDAYS($L209,TODAY(),Holidays)-1))</f>
        <v/>
      </c>
      <c r="W209" s="17">
        <f>IF($L209="","",COUNT($L209:$Q209))</f>
        <v/>
      </c>
      <c r="X209" s="18">
        <f>IF($W209="","",INT(INDEX($L209:$Q209,$W209)))</f>
        <v/>
      </c>
      <c r="Y209" s="18">
        <f>IF(OR($W209="",$W209=6),"",WORKDAY($X209,CHOOSE($W209,3,3,2,2,3),Holidays))</f>
        <v/>
      </c>
      <c r="Z209" s="17">
        <f>IF(OR($W209="",$W209=6),"",CHOOSE($W209,"1st Email Follow-up","2nd Email Follow-up","Escalate Local Office","Escalate to CBE","Escalate to Roxanne"))</f>
        <v/>
      </c>
    </row>
    <row r="210" spans="18:26">
      <c r="R210" s="15"/>
      <c r="S210" s="16"/>
      <c r="T210" s="17">
        <f>IF(AND(COUNTA($A210:$K210)=0,$L210=""),"",IF($S210="Paid","PAID",IF($S210="Closed","CLOSED",IF($W210="","",IF($W210=6,"ESCALATED TO ROXANNE",IF(TODAY()&gt;$Y210,"OVERDUE",IF($Y210&lt;=WORKDAY(TODAY(),1,Holidays),"DUE TOMORROW",IF($W210=4,"ESCALATED TO LOCAL OFFICE",IF($W210=5,"ESCALATED TO CBE",IF($X210=TODAY(),"EMAIL SENT","MONITORING"))))))))))</f>
        <v/>
      </c>
      <c r="U210" s="17">
        <f>IF($T210="",IF(AND(COUNTA($A210:$K210)&gt;0,$L210=""),"Awaiting Collection Email time stamp.",""),IF(OR($T210="PAID",$T210="CLOSED"),IF($T210="PAID","Account paid. Action completed.","Account closed. No further action required."),CHOOSE($W210,"Collection Email","1st Email Follow-up","2nd Email Follow-up","Escalation to Local Office","Escalation to CBE","Escalation to Roxanne")&amp;" sent "&amp;TEXT($X210,"dd-mmm")&amp;". "&amp;IF($W210=6,"Final escalation completed.",IF($T210="OVERDUE","Next: "&amp;$Z210&amp;" was due "&amp;TEXT($Y210,"dd-mmm")&amp;" - "&amp;(NETWORKDAYS($Y210,TODAY(),Holidays)-1)&amp;" business day(s) late. Send now.",IF($T210="DUE TOMORROW","Next: "&amp;$Z210&amp;IF($Y210&lt;=TODAY()," is due TODAY ("," is due next business day (")&amp;TEXT($Y210,"dd-mmm")&amp;").","Next: "&amp;$Z210&amp;" due "&amp;TEXT($Y210,"dd-mmm")&amp;" ("&amp;(NETWORKDAYS(TODAY(),$Y210,Holidays)-1)&amp;" business day(s) left).")))))</f>
        <v/>
      </c>
      <c r="V210" s="17">
        <f>IF($W210="","",CHOOSE($W210,"Collection Email","1st Follow-up","2nd Follow-up","Local Office","CBE","Roxanne")&amp;IF($W210=6," - Final"," - Day "&amp;MAX(0,NETWORKDAYS($X210,TODAY(),Holidays)-1)&amp;" of "&amp;CHOOSE($W210,3,3,2,2,3))&amp;" | Total Day "&amp;MAX(0,NETWORKDAYS($L210,TODAY(),Holidays)-1))</f>
        <v/>
      </c>
      <c r="W210" s="17">
        <f>IF($L210="","",COUNT($L210:$Q210))</f>
        <v/>
      </c>
      <c r="X210" s="18">
        <f>IF($W210="","",INT(INDEX($L210:$Q210,$W210)))</f>
        <v/>
      </c>
      <c r="Y210" s="18">
        <f>IF(OR($W210="",$W210=6),"",WORKDAY($X210,CHOOSE($W210,3,3,2,2,3),Holidays))</f>
        <v/>
      </c>
      <c r="Z210" s="17">
        <f>IF(OR($W210="",$W210=6),"",CHOOSE($W210,"1st Email Follow-up","2nd Email Follow-up","Escalate Local Office","Escalate to CBE","Escalate to Roxanne"))</f>
        <v/>
      </c>
    </row>
    <row r="211" spans="18:26">
      <c r="R211" s="15"/>
      <c r="S211" s="16"/>
      <c r="T211" s="17">
        <f>IF(AND(COUNTA($A211:$K211)=0,$L211=""),"",IF($S211="Paid","PAID",IF($S211="Closed","CLOSED",IF($W211="","",IF($W211=6,"ESCALATED TO ROXANNE",IF(TODAY()&gt;$Y211,"OVERDUE",IF($Y211&lt;=WORKDAY(TODAY(),1,Holidays),"DUE TOMORROW",IF($W211=4,"ESCALATED TO LOCAL OFFICE",IF($W211=5,"ESCALATED TO CBE",IF($X211=TODAY(),"EMAIL SENT","MONITORING"))))))))))</f>
        <v/>
      </c>
      <c r="U211" s="17">
        <f>IF($T211="",IF(AND(COUNTA($A211:$K211)&gt;0,$L211=""),"Awaiting Collection Email time stamp.",""),IF(OR($T211="PAID",$T211="CLOSED"),IF($T211="PAID","Account paid. Action completed.","Account closed. No further action required."),CHOOSE($W211,"Collection Email","1st Email Follow-up","2nd Email Follow-up","Escalation to Local Office","Escalation to CBE","Escalation to Roxanne")&amp;" sent "&amp;TEXT($X211,"dd-mmm")&amp;". "&amp;IF($W211=6,"Final escalation completed.",IF($T211="OVERDUE","Next: "&amp;$Z211&amp;" was due "&amp;TEXT($Y211,"dd-mmm")&amp;" - "&amp;(NETWORKDAYS($Y211,TODAY(),Holidays)-1)&amp;" business day(s) late. Send now.",IF($T211="DUE TOMORROW","Next: "&amp;$Z211&amp;IF($Y211&lt;=TODAY()," is due TODAY ("," is due next business day (")&amp;TEXT($Y211,"dd-mmm")&amp;").","Next: "&amp;$Z211&amp;" due "&amp;TEXT($Y211,"dd-mmm")&amp;" ("&amp;(NETWORKDAYS(TODAY(),$Y211,Holidays)-1)&amp;" business day(s) left).")))))</f>
        <v/>
      </c>
      <c r="V211" s="17">
        <f>IF($W211="","",CHOOSE($W211,"Collection Email","1st Follow-up","2nd Follow-up","Local Office","CBE","Roxanne")&amp;IF($W211=6," - Final"," - Day "&amp;MAX(0,NETWORKDAYS($X211,TODAY(),Holidays)-1)&amp;" of "&amp;CHOOSE($W211,3,3,2,2,3))&amp;" | Total Day "&amp;MAX(0,NETWORKDAYS($L211,TODAY(),Holidays)-1))</f>
        <v/>
      </c>
      <c r="W211" s="17">
        <f>IF($L211="","",COUNT($L211:$Q211))</f>
        <v/>
      </c>
      <c r="X211" s="18">
        <f>IF($W211="","",INT(INDEX($L211:$Q211,$W211)))</f>
        <v/>
      </c>
      <c r="Y211" s="18">
        <f>IF(OR($W211="",$W211=6),"",WORKDAY($X211,CHOOSE($W211,3,3,2,2,3),Holidays))</f>
        <v/>
      </c>
      <c r="Z211" s="17">
        <f>IF(OR($W211="",$W211=6),"",CHOOSE($W211,"1st Email Follow-up","2nd Email Follow-up","Escalate Local Office","Escalate to CBE","Escalate to Roxanne"))</f>
        <v/>
      </c>
    </row>
    <row r="212" spans="18:26">
      <c r="R212" s="15"/>
      <c r="S212" s="16"/>
      <c r="T212" s="17">
        <f>IF(AND(COUNTA($A212:$K212)=0,$L212=""),"",IF($S212="Paid","PAID",IF($S212="Closed","CLOSED",IF($W212="","",IF($W212=6,"ESCALATED TO ROXANNE",IF(TODAY()&gt;$Y212,"OVERDUE",IF($Y212&lt;=WORKDAY(TODAY(),1,Holidays),"DUE TOMORROW",IF($W212=4,"ESCALATED TO LOCAL OFFICE",IF($W212=5,"ESCALATED TO CBE",IF($X212=TODAY(),"EMAIL SENT","MONITORING"))))))))))</f>
        <v/>
      </c>
      <c r="U212" s="17">
        <f>IF($T212="",IF(AND(COUNTA($A212:$K212)&gt;0,$L212=""),"Awaiting Collection Email time stamp.",""),IF(OR($T212="PAID",$T212="CLOSED"),IF($T212="PAID","Account paid. Action completed.","Account closed. No further action required."),CHOOSE($W212,"Collection Email","1st Email Follow-up","2nd Email Follow-up","Escalation to Local Office","Escalation to CBE","Escalation to Roxanne")&amp;" sent "&amp;TEXT($X212,"dd-mmm")&amp;". "&amp;IF($W212=6,"Final escalation completed.",IF($T212="OVERDUE","Next: "&amp;$Z212&amp;" was due "&amp;TEXT($Y212,"dd-mmm")&amp;" - "&amp;(NETWORKDAYS($Y212,TODAY(),Holidays)-1)&amp;" business day(s) late. Send now.",IF($T212="DUE TOMORROW","Next: "&amp;$Z212&amp;IF($Y212&lt;=TODAY()," is due TODAY ("," is due next business day (")&amp;TEXT($Y212,"dd-mmm")&amp;").","Next: "&amp;$Z212&amp;" due "&amp;TEXT($Y212,"dd-mmm")&amp;" ("&amp;(NETWORKDAYS(TODAY(),$Y212,Holidays)-1)&amp;" business day(s) left).")))))</f>
        <v/>
      </c>
      <c r="V212" s="17">
        <f>IF($W212="","",CHOOSE($W212,"Collection Email","1st Follow-up","2nd Follow-up","Local Office","CBE","Roxanne")&amp;IF($W212=6," - Final"," - Day "&amp;MAX(0,NETWORKDAYS($X212,TODAY(),Holidays)-1)&amp;" of "&amp;CHOOSE($W212,3,3,2,2,3))&amp;" | Total Day "&amp;MAX(0,NETWORKDAYS($L212,TODAY(),Holidays)-1))</f>
        <v/>
      </c>
      <c r="W212" s="17">
        <f>IF($L212="","",COUNT($L212:$Q212))</f>
        <v/>
      </c>
      <c r="X212" s="18">
        <f>IF($W212="","",INT(INDEX($L212:$Q212,$W212)))</f>
        <v/>
      </c>
      <c r="Y212" s="18">
        <f>IF(OR($W212="",$W212=6),"",WORKDAY($X212,CHOOSE($W212,3,3,2,2,3),Holidays))</f>
        <v/>
      </c>
      <c r="Z212" s="17">
        <f>IF(OR($W212="",$W212=6),"",CHOOSE($W212,"1st Email Follow-up","2nd Email Follow-up","Escalate Local Office","Escalate to CBE","Escalate to Roxanne"))</f>
        <v/>
      </c>
    </row>
    <row r="213" spans="18:26">
      <c r="R213" s="15"/>
      <c r="S213" s="16"/>
      <c r="T213" s="17">
        <f>IF(AND(COUNTA($A213:$K213)=0,$L213=""),"",IF($S213="Paid","PAID",IF($S213="Closed","CLOSED",IF($W213="","",IF($W213=6,"ESCALATED TO ROXANNE",IF(TODAY()&gt;$Y213,"OVERDUE",IF($Y213&lt;=WORKDAY(TODAY(),1,Holidays),"DUE TOMORROW",IF($W213=4,"ESCALATED TO LOCAL OFFICE",IF($W213=5,"ESCALATED TO CBE",IF($X213=TODAY(),"EMAIL SENT","MONITORING"))))))))))</f>
        <v/>
      </c>
      <c r="U213" s="17">
        <f>IF($T213="",IF(AND(COUNTA($A213:$K213)&gt;0,$L213=""),"Awaiting Collection Email time stamp.",""),IF(OR($T213="PAID",$T213="CLOSED"),IF($T213="PAID","Account paid. Action completed.","Account closed. No further action required."),CHOOSE($W213,"Collection Email","1st Email Follow-up","2nd Email Follow-up","Escalation to Local Office","Escalation to CBE","Escalation to Roxanne")&amp;" sent "&amp;TEXT($X213,"dd-mmm")&amp;". "&amp;IF($W213=6,"Final escalation completed.",IF($T213="OVERDUE","Next: "&amp;$Z213&amp;" was due "&amp;TEXT($Y213,"dd-mmm")&amp;" - "&amp;(NETWORKDAYS($Y213,TODAY(),Holidays)-1)&amp;" business day(s) late. Send now.",IF($T213="DUE TOMORROW","Next: "&amp;$Z213&amp;IF($Y213&lt;=TODAY()," is due TODAY ("," is due next business day (")&amp;TEXT($Y213,"dd-mmm")&amp;").","Next: "&amp;$Z213&amp;" due "&amp;TEXT($Y213,"dd-mmm")&amp;" ("&amp;(NETWORKDAYS(TODAY(),$Y213,Holidays)-1)&amp;" business day(s) left).")))))</f>
        <v/>
      </c>
      <c r="V213" s="17">
        <f>IF($W213="","",CHOOSE($W213,"Collection Email","1st Follow-up","2nd Follow-up","Local Office","CBE","Roxanne")&amp;IF($W213=6," - Final"," - Day "&amp;MAX(0,NETWORKDAYS($X213,TODAY(),Holidays)-1)&amp;" of "&amp;CHOOSE($W213,3,3,2,2,3))&amp;" | Total Day "&amp;MAX(0,NETWORKDAYS($L213,TODAY(),Holidays)-1))</f>
        <v/>
      </c>
      <c r="W213" s="17">
        <f>IF($L213="","",COUNT($L213:$Q213))</f>
        <v/>
      </c>
      <c r="X213" s="18">
        <f>IF($W213="","",INT(INDEX($L213:$Q213,$W213)))</f>
        <v/>
      </c>
      <c r="Y213" s="18">
        <f>IF(OR($W213="",$W213=6),"",WORKDAY($X213,CHOOSE($W213,3,3,2,2,3),Holidays))</f>
        <v/>
      </c>
      <c r="Z213" s="17">
        <f>IF(OR($W213="",$W213=6),"",CHOOSE($W213,"1st Email Follow-up","2nd Email Follow-up","Escalate Local Office","Escalate to CBE","Escalate to Roxanne"))</f>
        <v/>
      </c>
    </row>
    <row r="214" spans="18:26">
      <c r="R214" s="15"/>
      <c r="S214" s="16"/>
      <c r="T214" s="17">
        <f>IF(AND(COUNTA($A214:$K214)=0,$L214=""),"",IF($S214="Paid","PAID",IF($S214="Closed","CLOSED",IF($W214="","",IF($W214=6,"ESCALATED TO ROXANNE",IF(TODAY()&gt;$Y214,"OVERDUE",IF($Y214&lt;=WORKDAY(TODAY(),1,Holidays),"DUE TOMORROW",IF($W214=4,"ESCALATED TO LOCAL OFFICE",IF($W214=5,"ESCALATED TO CBE",IF($X214=TODAY(),"EMAIL SENT","MONITORING"))))))))))</f>
        <v/>
      </c>
      <c r="U214" s="17">
        <f>IF($T214="",IF(AND(COUNTA($A214:$K214)&gt;0,$L214=""),"Awaiting Collection Email time stamp.",""),IF(OR($T214="PAID",$T214="CLOSED"),IF($T214="PAID","Account paid. Action completed.","Account closed. No further action required."),CHOOSE($W214,"Collection Email","1st Email Follow-up","2nd Email Follow-up","Escalation to Local Office","Escalation to CBE","Escalation to Roxanne")&amp;" sent "&amp;TEXT($X214,"dd-mmm")&amp;". "&amp;IF($W214=6,"Final escalation completed.",IF($T214="OVERDUE","Next: "&amp;$Z214&amp;" was due "&amp;TEXT($Y214,"dd-mmm")&amp;" - "&amp;(NETWORKDAYS($Y214,TODAY(),Holidays)-1)&amp;" business day(s) late. Send now.",IF($T214="DUE TOMORROW","Next: "&amp;$Z214&amp;IF($Y214&lt;=TODAY()," is due TODAY ("," is due next business day (")&amp;TEXT($Y214,"dd-mmm")&amp;").","Next: "&amp;$Z214&amp;" due "&amp;TEXT($Y214,"dd-mmm")&amp;" ("&amp;(NETWORKDAYS(TODAY(),$Y214,Holidays)-1)&amp;" business day(s) left).")))))</f>
        <v/>
      </c>
      <c r="V214" s="17">
        <f>IF($W214="","",CHOOSE($W214,"Collection Email","1st Follow-up","2nd Follow-up","Local Office","CBE","Roxanne")&amp;IF($W214=6," - Final"," - Day "&amp;MAX(0,NETWORKDAYS($X214,TODAY(),Holidays)-1)&amp;" of "&amp;CHOOSE($W214,3,3,2,2,3))&amp;" | Total Day "&amp;MAX(0,NETWORKDAYS($L214,TODAY(),Holidays)-1))</f>
        <v/>
      </c>
      <c r="W214" s="17">
        <f>IF($L214="","",COUNT($L214:$Q214))</f>
        <v/>
      </c>
      <c r="X214" s="18">
        <f>IF($W214="","",INT(INDEX($L214:$Q214,$W214)))</f>
        <v/>
      </c>
      <c r="Y214" s="18">
        <f>IF(OR($W214="",$W214=6),"",WORKDAY($X214,CHOOSE($W214,3,3,2,2,3),Holidays))</f>
        <v/>
      </c>
      <c r="Z214" s="17">
        <f>IF(OR($W214="",$W214=6),"",CHOOSE($W214,"1st Email Follow-up","2nd Email Follow-up","Escalate Local Office","Escalate to CBE","Escalate to Roxanne"))</f>
        <v/>
      </c>
    </row>
    <row r="215" spans="18:26">
      <c r="R215" s="15"/>
      <c r="S215" s="16"/>
      <c r="T215" s="17">
        <f>IF(AND(COUNTA($A215:$K215)=0,$L215=""),"",IF($S215="Paid","PAID",IF($S215="Closed","CLOSED",IF($W215="","",IF($W215=6,"ESCALATED TO ROXANNE",IF(TODAY()&gt;$Y215,"OVERDUE",IF($Y215&lt;=WORKDAY(TODAY(),1,Holidays),"DUE TOMORROW",IF($W215=4,"ESCALATED TO LOCAL OFFICE",IF($W215=5,"ESCALATED TO CBE",IF($X215=TODAY(),"EMAIL SENT","MONITORING"))))))))))</f>
        <v/>
      </c>
      <c r="U215" s="17">
        <f>IF($T215="",IF(AND(COUNTA($A215:$K215)&gt;0,$L215=""),"Awaiting Collection Email time stamp.",""),IF(OR($T215="PAID",$T215="CLOSED"),IF($T215="PAID","Account paid. Action completed.","Account closed. No further action required."),CHOOSE($W215,"Collection Email","1st Email Follow-up","2nd Email Follow-up","Escalation to Local Office","Escalation to CBE","Escalation to Roxanne")&amp;" sent "&amp;TEXT($X215,"dd-mmm")&amp;". "&amp;IF($W215=6,"Final escalation completed.",IF($T215="OVERDUE","Next: "&amp;$Z215&amp;" was due "&amp;TEXT($Y215,"dd-mmm")&amp;" - "&amp;(NETWORKDAYS($Y215,TODAY(),Holidays)-1)&amp;" business day(s) late. Send now.",IF($T215="DUE TOMORROW","Next: "&amp;$Z215&amp;IF($Y215&lt;=TODAY()," is due TODAY ("," is due next business day (")&amp;TEXT($Y215,"dd-mmm")&amp;").","Next: "&amp;$Z215&amp;" due "&amp;TEXT($Y215,"dd-mmm")&amp;" ("&amp;(NETWORKDAYS(TODAY(),$Y215,Holidays)-1)&amp;" business day(s) left).")))))</f>
        <v/>
      </c>
      <c r="V215" s="17">
        <f>IF($W215="","",CHOOSE($W215,"Collection Email","1st Follow-up","2nd Follow-up","Local Office","CBE","Roxanne")&amp;IF($W215=6," - Final"," - Day "&amp;MAX(0,NETWORKDAYS($X215,TODAY(),Holidays)-1)&amp;" of "&amp;CHOOSE($W215,3,3,2,2,3))&amp;" | Total Day "&amp;MAX(0,NETWORKDAYS($L215,TODAY(),Holidays)-1))</f>
        <v/>
      </c>
      <c r="W215" s="17">
        <f>IF($L215="","",COUNT($L215:$Q215))</f>
        <v/>
      </c>
      <c r="X215" s="18">
        <f>IF($W215="","",INT(INDEX($L215:$Q215,$W215)))</f>
        <v/>
      </c>
      <c r="Y215" s="18">
        <f>IF(OR($W215="",$W215=6),"",WORKDAY($X215,CHOOSE($W215,3,3,2,2,3),Holidays))</f>
        <v/>
      </c>
      <c r="Z215" s="17">
        <f>IF(OR($W215="",$W215=6),"",CHOOSE($W215,"1st Email Follow-up","2nd Email Follow-up","Escalate Local Office","Escalate to CBE","Escalate to Roxanne"))</f>
        <v/>
      </c>
    </row>
    <row r="216" spans="18:26">
      <c r="R216" s="15"/>
      <c r="S216" s="16"/>
      <c r="T216" s="17">
        <f>IF(AND(COUNTA($A216:$K216)=0,$L216=""),"",IF($S216="Paid","PAID",IF($S216="Closed","CLOSED",IF($W216="","",IF($W216=6,"ESCALATED TO ROXANNE",IF(TODAY()&gt;$Y216,"OVERDUE",IF($Y216&lt;=WORKDAY(TODAY(),1,Holidays),"DUE TOMORROW",IF($W216=4,"ESCALATED TO LOCAL OFFICE",IF($W216=5,"ESCALATED TO CBE",IF($X216=TODAY(),"EMAIL SENT","MONITORING"))))))))))</f>
        <v/>
      </c>
      <c r="U216" s="17">
        <f>IF($T216="",IF(AND(COUNTA($A216:$K216)&gt;0,$L216=""),"Awaiting Collection Email time stamp.",""),IF(OR($T216="PAID",$T216="CLOSED"),IF($T216="PAID","Account paid. Action completed.","Account closed. No further action required."),CHOOSE($W216,"Collection Email","1st Email Follow-up","2nd Email Follow-up","Escalation to Local Office","Escalation to CBE","Escalation to Roxanne")&amp;" sent "&amp;TEXT($X216,"dd-mmm")&amp;". "&amp;IF($W216=6,"Final escalation completed.",IF($T216="OVERDUE","Next: "&amp;$Z216&amp;" was due "&amp;TEXT($Y216,"dd-mmm")&amp;" - "&amp;(NETWORKDAYS($Y216,TODAY(),Holidays)-1)&amp;" business day(s) late. Send now.",IF($T216="DUE TOMORROW","Next: "&amp;$Z216&amp;IF($Y216&lt;=TODAY()," is due TODAY ("," is due next business day (")&amp;TEXT($Y216,"dd-mmm")&amp;").","Next: "&amp;$Z216&amp;" due "&amp;TEXT($Y216,"dd-mmm")&amp;" ("&amp;(NETWORKDAYS(TODAY(),$Y216,Holidays)-1)&amp;" business day(s) left).")))))</f>
        <v/>
      </c>
      <c r="V216" s="17">
        <f>IF($W216="","",CHOOSE($W216,"Collection Email","1st Follow-up","2nd Follow-up","Local Office","CBE","Roxanne")&amp;IF($W216=6," - Final"," - Day "&amp;MAX(0,NETWORKDAYS($X216,TODAY(),Holidays)-1)&amp;" of "&amp;CHOOSE($W216,3,3,2,2,3))&amp;" | Total Day "&amp;MAX(0,NETWORKDAYS($L216,TODAY(),Holidays)-1))</f>
        <v/>
      </c>
      <c r="W216" s="17">
        <f>IF($L216="","",COUNT($L216:$Q216))</f>
        <v/>
      </c>
      <c r="X216" s="18">
        <f>IF($W216="","",INT(INDEX($L216:$Q216,$W216)))</f>
        <v/>
      </c>
      <c r="Y216" s="18">
        <f>IF(OR($W216="",$W216=6),"",WORKDAY($X216,CHOOSE($W216,3,3,2,2,3),Holidays))</f>
        <v/>
      </c>
      <c r="Z216" s="17">
        <f>IF(OR($W216="",$W216=6),"",CHOOSE($W216,"1st Email Follow-up","2nd Email Follow-up","Escalate Local Office","Escalate to CBE","Escalate to Roxanne"))</f>
        <v/>
      </c>
    </row>
    <row r="217" spans="18:26">
      <c r="R217" s="15"/>
      <c r="S217" s="16"/>
      <c r="T217" s="17">
        <f>IF(AND(COUNTA($A217:$K217)=0,$L217=""),"",IF($S217="Paid","PAID",IF($S217="Closed","CLOSED",IF($W217="","",IF($W217=6,"ESCALATED TO ROXANNE",IF(TODAY()&gt;$Y217,"OVERDUE",IF($Y217&lt;=WORKDAY(TODAY(),1,Holidays),"DUE TOMORROW",IF($W217=4,"ESCALATED TO LOCAL OFFICE",IF($W217=5,"ESCALATED TO CBE",IF($X217=TODAY(),"EMAIL SENT","MONITORING"))))))))))</f>
        <v/>
      </c>
      <c r="U217" s="17">
        <f>IF($T217="",IF(AND(COUNTA($A217:$K217)&gt;0,$L217=""),"Awaiting Collection Email time stamp.",""),IF(OR($T217="PAID",$T217="CLOSED"),IF($T217="PAID","Account paid. Action completed.","Account closed. No further action required."),CHOOSE($W217,"Collection Email","1st Email Follow-up","2nd Email Follow-up","Escalation to Local Office","Escalation to CBE","Escalation to Roxanne")&amp;" sent "&amp;TEXT($X217,"dd-mmm")&amp;". "&amp;IF($W217=6,"Final escalation completed.",IF($T217="OVERDUE","Next: "&amp;$Z217&amp;" was due "&amp;TEXT($Y217,"dd-mmm")&amp;" - "&amp;(NETWORKDAYS($Y217,TODAY(),Holidays)-1)&amp;" business day(s) late. Send now.",IF($T217="DUE TOMORROW","Next: "&amp;$Z217&amp;IF($Y217&lt;=TODAY()," is due TODAY ("," is due next business day (")&amp;TEXT($Y217,"dd-mmm")&amp;").","Next: "&amp;$Z217&amp;" due "&amp;TEXT($Y217,"dd-mmm")&amp;" ("&amp;(NETWORKDAYS(TODAY(),$Y217,Holidays)-1)&amp;" business day(s) left).")))))</f>
        <v/>
      </c>
      <c r="V217" s="17">
        <f>IF($W217="","",CHOOSE($W217,"Collection Email","1st Follow-up","2nd Follow-up","Local Office","CBE","Roxanne")&amp;IF($W217=6," - Final"," - Day "&amp;MAX(0,NETWORKDAYS($X217,TODAY(),Holidays)-1)&amp;" of "&amp;CHOOSE($W217,3,3,2,2,3))&amp;" | Total Day "&amp;MAX(0,NETWORKDAYS($L217,TODAY(),Holidays)-1))</f>
        <v/>
      </c>
      <c r="W217" s="17">
        <f>IF($L217="","",COUNT($L217:$Q217))</f>
        <v/>
      </c>
      <c r="X217" s="18">
        <f>IF($W217="","",INT(INDEX($L217:$Q217,$W217)))</f>
        <v/>
      </c>
      <c r="Y217" s="18">
        <f>IF(OR($W217="",$W217=6),"",WORKDAY($X217,CHOOSE($W217,3,3,2,2,3),Holidays))</f>
        <v/>
      </c>
      <c r="Z217" s="17">
        <f>IF(OR($W217="",$W217=6),"",CHOOSE($W217,"1st Email Follow-up","2nd Email Follow-up","Escalate Local Office","Escalate to CBE","Escalate to Roxanne"))</f>
        <v/>
      </c>
    </row>
    <row r="218" spans="18:26">
      <c r="R218" s="15"/>
      <c r="S218" s="16"/>
      <c r="T218" s="17">
        <f>IF(AND(COUNTA($A218:$K218)=0,$L218=""),"",IF($S218="Paid","PAID",IF($S218="Closed","CLOSED",IF($W218="","",IF($W218=6,"ESCALATED TO ROXANNE",IF(TODAY()&gt;$Y218,"OVERDUE",IF($Y218&lt;=WORKDAY(TODAY(),1,Holidays),"DUE TOMORROW",IF($W218=4,"ESCALATED TO LOCAL OFFICE",IF($W218=5,"ESCALATED TO CBE",IF($X218=TODAY(),"EMAIL SENT","MONITORING"))))))))))</f>
        <v/>
      </c>
      <c r="U218" s="17">
        <f>IF($T218="",IF(AND(COUNTA($A218:$K218)&gt;0,$L218=""),"Awaiting Collection Email time stamp.",""),IF(OR($T218="PAID",$T218="CLOSED"),IF($T218="PAID","Account paid. Action completed.","Account closed. No further action required."),CHOOSE($W218,"Collection Email","1st Email Follow-up","2nd Email Follow-up","Escalation to Local Office","Escalation to CBE","Escalation to Roxanne")&amp;" sent "&amp;TEXT($X218,"dd-mmm")&amp;". "&amp;IF($W218=6,"Final escalation completed.",IF($T218="OVERDUE","Next: "&amp;$Z218&amp;" was due "&amp;TEXT($Y218,"dd-mmm")&amp;" - "&amp;(NETWORKDAYS($Y218,TODAY(),Holidays)-1)&amp;" business day(s) late. Send now.",IF($T218="DUE TOMORROW","Next: "&amp;$Z218&amp;IF($Y218&lt;=TODAY()," is due TODAY ("," is due next business day (")&amp;TEXT($Y218,"dd-mmm")&amp;").","Next: "&amp;$Z218&amp;" due "&amp;TEXT($Y218,"dd-mmm")&amp;" ("&amp;(NETWORKDAYS(TODAY(),$Y218,Holidays)-1)&amp;" business day(s) left).")))))</f>
        <v/>
      </c>
      <c r="V218" s="17">
        <f>IF($W218="","",CHOOSE($W218,"Collection Email","1st Follow-up","2nd Follow-up","Local Office","CBE","Roxanne")&amp;IF($W218=6," - Final"," - Day "&amp;MAX(0,NETWORKDAYS($X218,TODAY(),Holidays)-1)&amp;" of "&amp;CHOOSE($W218,3,3,2,2,3))&amp;" | Total Day "&amp;MAX(0,NETWORKDAYS($L218,TODAY(),Holidays)-1))</f>
        <v/>
      </c>
      <c r="W218" s="17">
        <f>IF($L218="","",COUNT($L218:$Q218))</f>
        <v/>
      </c>
      <c r="X218" s="18">
        <f>IF($W218="","",INT(INDEX($L218:$Q218,$W218)))</f>
        <v/>
      </c>
      <c r="Y218" s="18">
        <f>IF(OR($W218="",$W218=6),"",WORKDAY($X218,CHOOSE($W218,3,3,2,2,3),Holidays))</f>
        <v/>
      </c>
      <c r="Z218" s="17">
        <f>IF(OR($W218="",$W218=6),"",CHOOSE($W218,"1st Email Follow-up","2nd Email Follow-up","Escalate Local Office","Escalate to CBE","Escalate to Roxanne"))</f>
        <v/>
      </c>
    </row>
    <row r="219" spans="18:26">
      <c r="R219" s="15"/>
      <c r="S219" s="16"/>
      <c r="T219" s="17">
        <f>IF(AND(COUNTA($A219:$K219)=0,$L219=""),"",IF($S219="Paid","PAID",IF($S219="Closed","CLOSED",IF($W219="","",IF($W219=6,"ESCALATED TO ROXANNE",IF(TODAY()&gt;$Y219,"OVERDUE",IF($Y219&lt;=WORKDAY(TODAY(),1,Holidays),"DUE TOMORROW",IF($W219=4,"ESCALATED TO LOCAL OFFICE",IF($W219=5,"ESCALATED TO CBE",IF($X219=TODAY(),"EMAIL SENT","MONITORING"))))))))))</f>
        <v/>
      </c>
      <c r="U219" s="17">
        <f>IF($T219="",IF(AND(COUNTA($A219:$K219)&gt;0,$L219=""),"Awaiting Collection Email time stamp.",""),IF(OR($T219="PAID",$T219="CLOSED"),IF($T219="PAID","Account paid. Action completed.","Account closed. No further action required."),CHOOSE($W219,"Collection Email","1st Email Follow-up","2nd Email Follow-up","Escalation to Local Office","Escalation to CBE","Escalation to Roxanne")&amp;" sent "&amp;TEXT($X219,"dd-mmm")&amp;". "&amp;IF($W219=6,"Final escalation completed.",IF($T219="OVERDUE","Next: "&amp;$Z219&amp;" was due "&amp;TEXT($Y219,"dd-mmm")&amp;" - "&amp;(NETWORKDAYS($Y219,TODAY(),Holidays)-1)&amp;" business day(s) late. Send now.",IF($T219="DUE TOMORROW","Next: "&amp;$Z219&amp;IF($Y219&lt;=TODAY()," is due TODAY ("," is due next business day (")&amp;TEXT($Y219,"dd-mmm")&amp;").","Next: "&amp;$Z219&amp;" due "&amp;TEXT($Y219,"dd-mmm")&amp;" ("&amp;(NETWORKDAYS(TODAY(),$Y219,Holidays)-1)&amp;" business day(s) left).")))))</f>
        <v/>
      </c>
      <c r="V219" s="17">
        <f>IF($W219="","",CHOOSE($W219,"Collection Email","1st Follow-up","2nd Follow-up","Local Office","CBE","Roxanne")&amp;IF($W219=6," - Final"," - Day "&amp;MAX(0,NETWORKDAYS($X219,TODAY(),Holidays)-1)&amp;" of "&amp;CHOOSE($W219,3,3,2,2,3))&amp;" | Total Day "&amp;MAX(0,NETWORKDAYS($L219,TODAY(),Holidays)-1))</f>
        <v/>
      </c>
      <c r="W219" s="17">
        <f>IF($L219="","",COUNT($L219:$Q219))</f>
        <v/>
      </c>
      <c r="X219" s="18">
        <f>IF($W219="","",INT(INDEX($L219:$Q219,$W219)))</f>
        <v/>
      </c>
      <c r="Y219" s="18">
        <f>IF(OR($W219="",$W219=6),"",WORKDAY($X219,CHOOSE($W219,3,3,2,2,3),Holidays))</f>
        <v/>
      </c>
      <c r="Z219" s="17">
        <f>IF(OR($W219="",$W219=6),"",CHOOSE($W219,"1st Email Follow-up","2nd Email Follow-up","Escalate Local Office","Escalate to CBE","Escalate to Roxanne"))</f>
        <v/>
      </c>
    </row>
    <row r="220" spans="18:26">
      <c r="R220" s="15"/>
      <c r="S220" s="16"/>
      <c r="T220" s="17">
        <f>IF(AND(COUNTA($A220:$K220)=0,$L220=""),"",IF($S220="Paid","PAID",IF($S220="Closed","CLOSED",IF($W220="","",IF($W220=6,"ESCALATED TO ROXANNE",IF(TODAY()&gt;$Y220,"OVERDUE",IF($Y220&lt;=WORKDAY(TODAY(),1,Holidays),"DUE TOMORROW",IF($W220=4,"ESCALATED TO LOCAL OFFICE",IF($W220=5,"ESCALATED TO CBE",IF($X220=TODAY(),"EMAIL SENT","MONITORING"))))))))))</f>
        <v/>
      </c>
      <c r="U220" s="17">
        <f>IF($T220="",IF(AND(COUNTA($A220:$K220)&gt;0,$L220=""),"Awaiting Collection Email time stamp.",""),IF(OR($T220="PAID",$T220="CLOSED"),IF($T220="PAID","Account paid. Action completed.","Account closed. No further action required."),CHOOSE($W220,"Collection Email","1st Email Follow-up","2nd Email Follow-up","Escalation to Local Office","Escalation to CBE","Escalation to Roxanne")&amp;" sent "&amp;TEXT($X220,"dd-mmm")&amp;". "&amp;IF($W220=6,"Final escalation completed.",IF($T220="OVERDUE","Next: "&amp;$Z220&amp;" was due "&amp;TEXT($Y220,"dd-mmm")&amp;" - "&amp;(NETWORKDAYS($Y220,TODAY(),Holidays)-1)&amp;" business day(s) late. Send now.",IF($T220="DUE TOMORROW","Next: "&amp;$Z220&amp;IF($Y220&lt;=TODAY()," is due TODAY ("," is due next business day (")&amp;TEXT($Y220,"dd-mmm")&amp;").","Next: "&amp;$Z220&amp;" due "&amp;TEXT($Y220,"dd-mmm")&amp;" ("&amp;(NETWORKDAYS(TODAY(),$Y220,Holidays)-1)&amp;" business day(s) left).")))))</f>
        <v/>
      </c>
      <c r="V220" s="17">
        <f>IF($W220="","",CHOOSE($W220,"Collection Email","1st Follow-up","2nd Follow-up","Local Office","CBE","Roxanne")&amp;IF($W220=6," - Final"," - Day "&amp;MAX(0,NETWORKDAYS($X220,TODAY(),Holidays)-1)&amp;" of "&amp;CHOOSE($W220,3,3,2,2,3))&amp;" | Total Day "&amp;MAX(0,NETWORKDAYS($L220,TODAY(),Holidays)-1))</f>
        <v/>
      </c>
      <c r="W220" s="17">
        <f>IF($L220="","",COUNT($L220:$Q220))</f>
        <v/>
      </c>
      <c r="X220" s="18">
        <f>IF($W220="","",INT(INDEX($L220:$Q220,$W220)))</f>
        <v/>
      </c>
      <c r="Y220" s="18">
        <f>IF(OR($W220="",$W220=6),"",WORKDAY($X220,CHOOSE($W220,3,3,2,2,3),Holidays))</f>
        <v/>
      </c>
      <c r="Z220" s="17">
        <f>IF(OR($W220="",$W220=6),"",CHOOSE($W220,"1st Email Follow-up","2nd Email Follow-up","Escalate Local Office","Escalate to CBE","Escalate to Roxanne"))</f>
        <v/>
      </c>
    </row>
    <row r="221" spans="18:26">
      <c r="R221" s="15"/>
      <c r="S221" s="16"/>
      <c r="T221" s="17">
        <f>IF(AND(COUNTA($A221:$K221)=0,$L221=""),"",IF($S221="Paid","PAID",IF($S221="Closed","CLOSED",IF($W221="","",IF($W221=6,"ESCALATED TO ROXANNE",IF(TODAY()&gt;$Y221,"OVERDUE",IF($Y221&lt;=WORKDAY(TODAY(),1,Holidays),"DUE TOMORROW",IF($W221=4,"ESCALATED TO LOCAL OFFICE",IF($W221=5,"ESCALATED TO CBE",IF($X221=TODAY(),"EMAIL SENT","MONITORING"))))))))))</f>
        <v/>
      </c>
      <c r="U221" s="17">
        <f>IF($T221="",IF(AND(COUNTA($A221:$K221)&gt;0,$L221=""),"Awaiting Collection Email time stamp.",""),IF(OR($T221="PAID",$T221="CLOSED"),IF($T221="PAID","Account paid. Action completed.","Account closed. No further action required."),CHOOSE($W221,"Collection Email","1st Email Follow-up","2nd Email Follow-up","Escalation to Local Office","Escalation to CBE","Escalation to Roxanne")&amp;" sent "&amp;TEXT($X221,"dd-mmm")&amp;". "&amp;IF($W221=6,"Final escalation completed.",IF($T221="OVERDUE","Next: "&amp;$Z221&amp;" was due "&amp;TEXT($Y221,"dd-mmm")&amp;" - "&amp;(NETWORKDAYS($Y221,TODAY(),Holidays)-1)&amp;" business day(s) late. Send now.",IF($T221="DUE TOMORROW","Next: "&amp;$Z221&amp;IF($Y221&lt;=TODAY()," is due TODAY ("," is due next business day (")&amp;TEXT($Y221,"dd-mmm")&amp;").","Next: "&amp;$Z221&amp;" due "&amp;TEXT($Y221,"dd-mmm")&amp;" ("&amp;(NETWORKDAYS(TODAY(),$Y221,Holidays)-1)&amp;" business day(s) left).")))))</f>
        <v/>
      </c>
      <c r="V221" s="17">
        <f>IF($W221="","",CHOOSE($W221,"Collection Email","1st Follow-up","2nd Follow-up","Local Office","CBE","Roxanne")&amp;IF($W221=6," - Final"," - Day "&amp;MAX(0,NETWORKDAYS($X221,TODAY(),Holidays)-1)&amp;" of "&amp;CHOOSE($W221,3,3,2,2,3))&amp;" | Total Day "&amp;MAX(0,NETWORKDAYS($L221,TODAY(),Holidays)-1))</f>
        <v/>
      </c>
      <c r="W221" s="17">
        <f>IF($L221="","",COUNT($L221:$Q221))</f>
        <v/>
      </c>
      <c r="X221" s="18">
        <f>IF($W221="","",INT(INDEX($L221:$Q221,$W221)))</f>
        <v/>
      </c>
      <c r="Y221" s="18">
        <f>IF(OR($W221="",$W221=6),"",WORKDAY($X221,CHOOSE($W221,3,3,2,2,3),Holidays))</f>
        <v/>
      </c>
      <c r="Z221" s="17">
        <f>IF(OR($W221="",$W221=6),"",CHOOSE($W221,"1st Email Follow-up","2nd Email Follow-up","Escalate Local Office","Escalate to CBE","Escalate to Roxanne"))</f>
        <v/>
      </c>
    </row>
    <row r="222" spans="18:26">
      <c r="R222" s="15"/>
      <c r="S222" s="16"/>
      <c r="T222" s="17">
        <f>IF(AND(COUNTA($A222:$K222)=0,$L222=""),"",IF($S222="Paid","PAID",IF($S222="Closed","CLOSED",IF($W222="","",IF($W222=6,"ESCALATED TO ROXANNE",IF(TODAY()&gt;$Y222,"OVERDUE",IF($Y222&lt;=WORKDAY(TODAY(),1,Holidays),"DUE TOMORROW",IF($W222=4,"ESCALATED TO LOCAL OFFICE",IF($W222=5,"ESCALATED TO CBE",IF($X222=TODAY(),"EMAIL SENT","MONITORING"))))))))))</f>
        <v/>
      </c>
      <c r="U222" s="17">
        <f>IF($T222="",IF(AND(COUNTA($A222:$K222)&gt;0,$L222=""),"Awaiting Collection Email time stamp.",""),IF(OR($T222="PAID",$T222="CLOSED"),IF($T222="PAID","Account paid. Action completed.","Account closed. No further action required."),CHOOSE($W222,"Collection Email","1st Email Follow-up","2nd Email Follow-up","Escalation to Local Office","Escalation to CBE","Escalation to Roxanne")&amp;" sent "&amp;TEXT($X222,"dd-mmm")&amp;". "&amp;IF($W222=6,"Final escalation completed.",IF($T222="OVERDUE","Next: "&amp;$Z222&amp;" was due "&amp;TEXT($Y222,"dd-mmm")&amp;" - "&amp;(NETWORKDAYS($Y222,TODAY(),Holidays)-1)&amp;" business day(s) late. Send now.",IF($T222="DUE TOMORROW","Next: "&amp;$Z222&amp;IF($Y222&lt;=TODAY()," is due TODAY ("," is due next business day (")&amp;TEXT($Y222,"dd-mmm")&amp;").","Next: "&amp;$Z222&amp;" due "&amp;TEXT($Y222,"dd-mmm")&amp;" ("&amp;(NETWORKDAYS(TODAY(),$Y222,Holidays)-1)&amp;" business day(s) left).")))))</f>
        <v/>
      </c>
      <c r="V222" s="17">
        <f>IF($W222="","",CHOOSE($W222,"Collection Email","1st Follow-up","2nd Follow-up","Local Office","CBE","Roxanne")&amp;IF($W222=6," - Final"," - Day "&amp;MAX(0,NETWORKDAYS($X222,TODAY(),Holidays)-1)&amp;" of "&amp;CHOOSE($W222,3,3,2,2,3))&amp;" | Total Day "&amp;MAX(0,NETWORKDAYS($L222,TODAY(),Holidays)-1))</f>
        <v/>
      </c>
      <c r="W222" s="17">
        <f>IF($L222="","",COUNT($L222:$Q222))</f>
        <v/>
      </c>
      <c r="X222" s="18">
        <f>IF($W222="","",INT(INDEX($L222:$Q222,$W222)))</f>
        <v/>
      </c>
      <c r="Y222" s="18">
        <f>IF(OR($W222="",$W222=6),"",WORKDAY($X222,CHOOSE($W222,3,3,2,2,3),Holidays))</f>
        <v/>
      </c>
      <c r="Z222" s="17">
        <f>IF(OR($W222="",$W222=6),"",CHOOSE($W222,"1st Email Follow-up","2nd Email Follow-up","Escalate Local Office","Escalate to CBE","Escalate to Roxanne"))</f>
        <v/>
      </c>
    </row>
    <row r="223" spans="18:26">
      <c r="R223" s="15"/>
      <c r="S223" s="16"/>
      <c r="T223" s="17">
        <f>IF(AND(COUNTA($A223:$K223)=0,$L223=""),"",IF($S223="Paid","PAID",IF($S223="Closed","CLOSED",IF($W223="","",IF($W223=6,"ESCALATED TO ROXANNE",IF(TODAY()&gt;$Y223,"OVERDUE",IF($Y223&lt;=WORKDAY(TODAY(),1,Holidays),"DUE TOMORROW",IF($W223=4,"ESCALATED TO LOCAL OFFICE",IF($W223=5,"ESCALATED TO CBE",IF($X223=TODAY(),"EMAIL SENT","MONITORING"))))))))))</f>
        <v/>
      </c>
      <c r="U223" s="17">
        <f>IF($T223="",IF(AND(COUNTA($A223:$K223)&gt;0,$L223=""),"Awaiting Collection Email time stamp.",""),IF(OR($T223="PAID",$T223="CLOSED"),IF($T223="PAID","Account paid. Action completed.","Account closed. No further action required."),CHOOSE($W223,"Collection Email","1st Email Follow-up","2nd Email Follow-up","Escalation to Local Office","Escalation to CBE","Escalation to Roxanne")&amp;" sent "&amp;TEXT($X223,"dd-mmm")&amp;". "&amp;IF($W223=6,"Final escalation completed.",IF($T223="OVERDUE","Next: "&amp;$Z223&amp;" was due "&amp;TEXT($Y223,"dd-mmm")&amp;" - "&amp;(NETWORKDAYS($Y223,TODAY(),Holidays)-1)&amp;" business day(s) late. Send now.",IF($T223="DUE TOMORROW","Next: "&amp;$Z223&amp;IF($Y223&lt;=TODAY()," is due TODAY ("," is due next business day (")&amp;TEXT($Y223,"dd-mmm")&amp;").","Next: "&amp;$Z223&amp;" due "&amp;TEXT($Y223,"dd-mmm")&amp;" ("&amp;(NETWORKDAYS(TODAY(),$Y223,Holidays)-1)&amp;" business day(s) left).")))))</f>
        <v/>
      </c>
      <c r="V223" s="17">
        <f>IF($W223="","",CHOOSE($W223,"Collection Email","1st Follow-up","2nd Follow-up","Local Office","CBE","Roxanne")&amp;IF($W223=6," - Final"," - Day "&amp;MAX(0,NETWORKDAYS($X223,TODAY(),Holidays)-1)&amp;" of "&amp;CHOOSE($W223,3,3,2,2,3))&amp;" | Total Day "&amp;MAX(0,NETWORKDAYS($L223,TODAY(),Holidays)-1))</f>
        <v/>
      </c>
      <c r="W223" s="17">
        <f>IF($L223="","",COUNT($L223:$Q223))</f>
        <v/>
      </c>
      <c r="X223" s="18">
        <f>IF($W223="","",INT(INDEX($L223:$Q223,$W223)))</f>
        <v/>
      </c>
      <c r="Y223" s="18">
        <f>IF(OR($W223="",$W223=6),"",WORKDAY($X223,CHOOSE($W223,3,3,2,2,3),Holidays))</f>
        <v/>
      </c>
      <c r="Z223" s="17">
        <f>IF(OR($W223="",$W223=6),"",CHOOSE($W223,"1st Email Follow-up","2nd Email Follow-up","Escalate Local Office","Escalate to CBE","Escalate to Roxanne"))</f>
        <v/>
      </c>
    </row>
    <row r="224" spans="18:26">
      <c r="R224" s="15"/>
      <c r="S224" s="16"/>
      <c r="T224" s="17">
        <f>IF(AND(COUNTA($A224:$K224)=0,$L224=""),"",IF($S224="Paid","PAID",IF($S224="Closed","CLOSED",IF($W224="","",IF($W224=6,"ESCALATED TO ROXANNE",IF(TODAY()&gt;$Y224,"OVERDUE",IF($Y224&lt;=WORKDAY(TODAY(),1,Holidays),"DUE TOMORROW",IF($W224=4,"ESCALATED TO LOCAL OFFICE",IF($W224=5,"ESCALATED TO CBE",IF($X224=TODAY(),"EMAIL SENT","MONITORING"))))))))))</f>
        <v/>
      </c>
      <c r="U224" s="17">
        <f>IF($T224="",IF(AND(COUNTA($A224:$K224)&gt;0,$L224=""),"Awaiting Collection Email time stamp.",""),IF(OR($T224="PAID",$T224="CLOSED"),IF($T224="PAID","Account paid. Action completed.","Account closed. No further action required."),CHOOSE($W224,"Collection Email","1st Email Follow-up","2nd Email Follow-up","Escalation to Local Office","Escalation to CBE","Escalation to Roxanne")&amp;" sent "&amp;TEXT($X224,"dd-mmm")&amp;". "&amp;IF($W224=6,"Final escalation completed.",IF($T224="OVERDUE","Next: "&amp;$Z224&amp;" was due "&amp;TEXT($Y224,"dd-mmm")&amp;" - "&amp;(NETWORKDAYS($Y224,TODAY(),Holidays)-1)&amp;" business day(s) late. Send now.",IF($T224="DUE TOMORROW","Next: "&amp;$Z224&amp;IF($Y224&lt;=TODAY()," is due TODAY ("," is due next business day (")&amp;TEXT($Y224,"dd-mmm")&amp;").","Next: "&amp;$Z224&amp;" due "&amp;TEXT($Y224,"dd-mmm")&amp;" ("&amp;(NETWORKDAYS(TODAY(),$Y224,Holidays)-1)&amp;" business day(s) left).")))))</f>
        <v/>
      </c>
      <c r="V224" s="17">
        <f>IF($W224="","",CHOOSE($W224,"Collection Email","1st Follow-up","2nd Follow-up","Local Office","CBE","Roxanne")&amp;IF($W224=6," - Final"," - Day "&amp;MAX(0,NETWORKDAYS($X224,TODAY(),Holidays)-1)&amp;" of "&amp;CHOOSE($W224,3,3,2,2,3))&amp;" | Total Day "&amp;MAX(0,NETWORKDAYS($L224,TODAY(),Holidays)-1))</f>
        <v/>
      </c>
      <c r="W224" s="17">
        <f>IF($L224="","",COUNT($L224:$Q224))</f>
        <v/>
      </c>
      <c r="X224" s="18">
        <f>IF($W224="","",INT(INDEX($L224:$Q224,$W224)))</f>
        <v/>
      </c>
      <c r="Y224" s="18">
        <f>IF(OR($W224="",$W224=6),"",WORKDAY($X224,CHOOSE($W224,3,3,2,2,3),Holidays))</f>
        <v/>
      </c>
      <c r="Z224" s="17">
        <f>IF(OR($W224="",$W224=6),"",CHOOSE($W224,"1st Email Follow-up","2nd Email Follow-up","Escalate Local Office","Escalate to CBE","Escalate to Roxanne"))</f>
        <v/>
      </c>
    </row>
    <row r="225" spans="18:26">
      <c r="R225" s="15"/>
      <c r="S225" s="16"/>
      <c r="T225" s="17">
        <f>IF(AND(COUNTA($A225:$K225)=0,$L225=""),"",IF($S225="Paid","PAID",IF($S225="Closed","CLOSED",IF($W225="","",IF($W225=6,"ESCALATED TO ROXANNE",IF(TODAY()&gt;$Y225,"OVERDUE",IF($Y225&lt;=WORKDAY(TODAY(),1,Holidays),"DUE TOMORROW",IF($W225=4,"ESCALATED TO LOCAL OFFICE",IF($W225=5,"ESCALATED TO CBE",IF($X225=TODAY(),"EMAIL SENT","MONITORING"))))))))))</f>
        <v/>
      </c>
      <c r="U225" s="17">
        <f>IF($T225="",IF(AND(COUNTA($A225:$K225)&gt;0,$L225=""),"Awaiting Collection Email time stamp.",""),IF(OR($T225="PAID",$T225="CLOSED"),IF($T225="PAID","Account paid. Action completed.","Account closed. No further action required."),CHOOSE($W225,"Collection Email","1st Email Follow-up","2nd Email Follow-up","Escalation to Local Office","Escalation to CBE","Escalation to Roxanne")&amp;" sent "&amp;TEXT($X225,"dd-mmm")&amp;". "&amp;IF($W225=6,"Final escalation completed.",IF($T225="OVERDUE","Next: "&amp;$Z225&amp;" was due "&amp;TEXT($Y225,"dd-mmm")&amp;" - "&amp;(NETWORKDAYS($Y225,TODAY(),Holidays)-1)&amp;" business day(s) late. Send now.",IF($T225="DUE TOMORROW","Next: "&amp;$Z225&amp;IF($Y225&lt;=TODAY()," is due TODAY ("," is due next business day (")&amp;TEXT($Y225,"dd-mmm")&amp;").","Next: "&amp;$Z225&amp;" due "&amp;TEXT($Y225,"dd-mmm")&amp;" ("&amp;(NETWORKDAYS(TODAY(),$Y225,Holidays)-1)&amp;" business day(s) left).")))))</f>
        <v/>
      </c>
      <c r="V225" s="17">
        <f>IF($W225="","",CHOOSE($W225,"Collection Email","1st Follow-up","2nd Follow-up","Local Office","CBE","Roxanne")&amp;IF($W225=6," - Final"," - Day "&amp;MAX(0,NETWORKDAYS($X225,TODAY(),Holidays)-1)&amp;" of "&amp;CHOOSE($W225,3,3,2,2,3))&amp;" | Total Day "&amp;MAX(0,NETWORKDAYS($L225,TODAY(),Holidays)-1))</f>
        <v/>
      </c>
      <c r="W225" s="17">
        <f>IF($L225="","",COUNT($L225:$Q225))</f>
        <v/>
      </c>
      <c r="X225" s="18">
        <f>IF($W225="","",INT(INDEX($L225:$Q225,$W225)))</f>
        <v/>
      </c>
      <c r="Y225" s="18">
        <f>IF(OR($W225="",$W225=6),"",WORKDAY($X225,CHOOSE($W225,3,3,2,2,3),Holidays))</f>
        <v/>
      </c>
      <c r="Z225" s="17">
        <f>IF(OR($W225="",$W225=6),"",CHOOSE($W225,"1st Email Follow-up","2nd Email Follow-up","Escalate Local Office","Escalate to CBE","Escalate to Roxanne"))</f>
        <v/>
      </c>
    </row>
    <row r="226" spans="18:26">
      <c r="R226" s="15"/>
      <c r="S226" s="16"/>
      <c r="T226" s="17">
        <f>IF(AND(COUNTA($A226:$K226)=0,$L226=""),"",IF($S226="Paid","PAID",IF($S226="Closed","CLOSED",IF($W226="","",IF($W226=6,"ESCALATED TO ROXANNE",IF(TODAY()&gt;$Y226,"OVERDUE",IF($Y226&lt;=WORKDAY(TODAY(),1,Holidays),"DUE TOMORROW",IF($W226=4,"ESCALATED TO LOCAL OFFICE",IF($W226=5,"ESCALATED TO CBE",IF($X226=TODAY(),"EMAIL SENT","MONITORING"))))))))))</f>
        <v/>
      </c>
      <c r="U226" s="17">
        <f>IF($T226="",IF(AND(COUNTA($A226:$K226)&gt;0,$L226=""),"Awaiting Collection Email time stamp.",""),IF(OR($T226="PAID",$T226="CLOSED"),IF($T226="PAID","Account paid. Action completed.","Account closed. No further action required."),CHOOSE($W226,"Collection Email","1st Email Follow-up","2nd Email Follow-up","Escalation to Local Office","Escalation to CBE","Escalation to Roxanne")&amp;" sent "&amp;TEXT($X226,"dd-mmm")&amp;". "&amp;IF($W226=6,"Final escalation completed.",IF($T226="OVERDUE","Next: "&amp;$Z226&amp;" was due "&amp;TEXT($Y226,"dd-mmm")&amp;" - "&amp;(NETWORKDAYS($Y226,TODAY(),Holidays)-1)&amp;" business day(s) late. Send now.",IF($T226="DUE TOMORROW","Next: "&amp;$Z226&amp;IF($Y226&lt;=TODAY()," is due TODAY ("," is due next business day (")&amp;TEXT($Y226,"dd-mmm")&amp;").","Next: "&amp;$Z226&amp;" due "&amp;TEXT($Y226,"dd-mmm")&amp;" ("&amp;(NETWORKDAYS(TODAY(),$Y226,Holidays)-1)&amp;" business day(s) left).")))))</f>
        <v/>
      </c>
      <c r="V226" s="17">
        <f>IF($W226="","",CHOOSE($W226,"Collection Email","1st Follow-up","2nd Follow-up","Local Office","CBE","Roxanne")&amp;IF($W226=6," - Final"," - Day "&amp;MAX(0,NETWORKDAYS($X226,TODAY(),Holidays)-1)&amp;" of "&amp;CHOOSE($W226,3,3,2,2,3))&amp;" | Total Day "&amp;MAX(0,NETWORKDAYS($L226,TODAY(),Holidays)-1))</f>
        <v/>
      </c>
      <c r="W226" s="17">
        <f>IF($L226="","",COUNT($L226:$Q226))</f>
        <v/>
      </c>
      <c r="X226" s="18">
        <f>IF($W226="","",INT(INDEX($L226:$Q226,$W226)))</f>
        <v/>
      </c>
      <c r="Y226" s="18">
        <f>IF(OR($W226="",$W226=6),"",WORKDAY($X226,CHOOSE($W226,3,3,2,2,3),Holidays))</f>
        <v/>
      </c>
      <c r="Z226" s="17">
        <f>IF(OR($W226="",$W226=6),"",CHOOSE($W226,"1st Email Follow-up","2nd Email Follow-up","Escalate Local Office","Escalate to CBE","Escalate to Roxanne"))</f>
        <v/>
      </c>
    </row>
    <row r="227" spans="18:26">
      <c r="R227" s="15"/>
      <c r="S227" s="16"/>
      <c r="T227" s="17">
        <f>IF(AND(COUNTA($A227:$K227)=0,$L227=""),"",IF($S227="Paid","PAID",IF($S227="Closed","CLOSED",IF($W227="","",IF($W227=6,"ESCALATED TO ROXANNE",IF(TODAY()&gt;$Y227,"OVERDUE",IF($Y227&lt;=WORKDAY(TODAY(),1,Holidays),"DUE TOMORROW",IF($W227=4,"ESCALATED TO LOCAL OFFICE",IF($W227=5,"ESCALATED TO CBE",IF($X227=TODAY(),"EMAIL SENT","MONITORING"))))))))))</f>
        <v/>
      </c>
      <c r="U227" s="17">
        <f>IF($T227="",IF(AND(COUNTA($A227:$K227)&gt;0,$L227=""),"Awaiting Collection Email time stamp.",""),IF(OR($T227="PAID",$T227="CLOSED"),IF($T227="PAID","Account paid. Action completed.","Account closed. No further action required."),CHOOSE($W227,"Collection Email","1st Email Follow-up","2nd Email Follow-up","Escalation to Local Office","Escalation to CBE","Escalation to Roxanne")&amp;" sent "&amp;TEXT($X227,"dd-mmm")&amp;". "&amp;IF($W227=6,"Final escalation completed.",IF($T227="OVERDUE","Next: "&amp;$Z227&amp;" was due "&amp;TEXT($Y227,"dd-mmm")&amp;" - "&amp;(NETWORKDAYS($Y227,TODAY(),Holidays)-1)&amp;" business day(s) late. Send now.",IF($T227="DUE TOMORROW","Next: "&amp;$Z227&amp;IF($Y227&lt;=TODAY()," is due TODAY ("," is due next business day (")&amp;TEXT($Y227,"dd-mmm")&amp;").","Next: "&amp;$Z227&amp;" due "&amp;TEXT($Y227,"dd-mmm")&amp;" ("&amp;(NETWORKDAYS(TODAY(),$Y227,Holidays)-1)&amp;" business day(s) left).")))))</f>
        <v/>
      </c>
      <c r="V227" s="17">
        <f>IF($W227="","",CHOOSE($W227,"Collection Email","1st Follow-up","2nd Follow-up","Local Office","CBE","Roxanne")&amp;IF($W227=6," - Final"," - Day "&amp;MAX(0,NETWORKDAYS($X227,TODAY(),Holidays)-1)&amp;" of "&amp;CHOOSE($W227,3,3,2,2,3))&amp;" | Total Day "&amp;MAX(0,NETWORKDAYS($L227,TODAY(),Holidays)-1))</f>
        <v/>
      </c>
      <c r="W227" s="17">
        <f>IF($L227="","",COUNT($L227:$Q227))</f>
        <v/>
      </c>
      <c r="X227" s="18">
        <f>IF($W227="","",INT(INDEX($L227:$Q227,$W227)))</f>
        <v/>
      </c>
      <c r="Y227" s="18">
        <f>IF(OR($W227="",$W227=6),"",WORKDAY($X227,CHOOSE($W227,3,3,2,2,3),Holidays))</f>
        <v/>
      </c>
      <c r="Z227" s="17">
        <f>IF(OR($W227="",$W227=6),"",CHOOSE($W227,"1st Email Follow-up","2nd Email Follow-up","Escalate Local Office","Escalate to CBE","Escalate to Roxanne"))</f>
        <v/>
      </c>
    </row>
    <row r="228" spans="18:26">
      <c r="R228" s="15"/>
      <c r="S228" s="16"/>
      <c r="T228" s="17">
        <f>IF(AND(COUNTA($A228:$K228)=0,$L228=""),"",IF($S228="Paid","PAID",IF($S228="Closed","CLOSED",IF($W228="","",IF($W228=6,"ESCALATED TO ROXANNE",IF(TODAY()&gt;$Y228,"OVERDUE",IF($Y228&lt;=WORKDAY(TODAY(),1,Holidays),"DUE TOMORROW",IF($W228=4,"ESCALATED TO LOCAL OFFICE",IF($W228=5,"ESCALATED TO CBE",IF($X228=TODAY(),"EMAIL SENT","MONITORING"))))))))))</f>
        <v/>
      </c>
      <c r="U228" s="17">
        <f>IF($T228="",IF(AND(COUNTA($A228:$K228)&gt;0,$L228=""),"Awaiting Collection Email time stamp.",""),IF(OR($T228="PAID",$T228="CLOSED"),IF($T228="PAID","Account paid. Action completed.","Account closed. No further action required."),CHOOSE($W228,"Collection Email","1st Email Follow-up","2nd Email Follow-up","Escalation to Local Office","Escalation to CBE","Escalation to Roxanne")&amp;" sent "&amp;TEXT($X228,"dd-mmm")&amp;". "&amp;IF($W228=6,"Final escalation completed.",IF($T228="OVERDUE","Next: "&amp;$Z228&amp;" was due "&amp;TEXT($Y228,"dd-mmm")&amp;" - "&amp;(NETWORKDAYS($Y228,TODAY(),Holidays)-1)&amp;" business day(s) late. Send now.",IF($T228="DUE TOMORROW","Next: "&amp;$Z228&amp;IF($Y228&lt;=TODAY()," is due TODAY ("," is due next business day (")&amp;TEXT($Y228,"dd-mmm")&amp;").","Next: "&amp;$Z228&amp;" due "&amp;TEXT($Y228,"dd-mmm")&amp;" ("&amp;(NETWORKDAYS(TODAY(),$Y228,Holidays)-1)&amp;" business day(s) left).")))))</f>
        <v/>
      </c>
      <c r="V228" s="17">
        <f>IF($W228="","",CHOOSE($W228,"Collection Email","1st Follow-up","2nd Follow-up","Local Office","CBE","Roxanne")&amp;IF($W228=6," - Final"," - Day "&amp;MAX(0,NETWORKDAYS($X228,TODAY(),Holidays)-1)&amp;" of "&amp;CHOOSE($W228,3,3,2,2,3))&amp;" | Total Day "&amp;MAX(0,NETWORKDAYS($L228,TODAY(),Holidays)-1))</f>
        <v/>
      </c>
      <c r="W228" s="17">
        <f>IF($L228="","",COUNT($L228:$Q228))</f>
        <v/>
      </c>
      <c r="X228" s="18">
        <f>IF($W228="","",INT(INDEX($L228:$Q228,$W228)))</f>
        <v/>
      </c>
      <c r="Y228" s="18">
        <f>IF(OR($W228="",$W228=6),"",WORKDAY($X228,CHOOSE($W228,3,3,2,2,3),Holidays))</f>
        <v/>
      </c>
      <c r="Z228" s="17">
        <f>IF(OR($W228="",$W228=6),"",CHOOSE($W228,"1st Email Follow-up","2nd Email Follow-up","Escalate Local Office","Escalate to CBE","Escalate to Roxanne"))</f>
        <v/>
      </c>
    </row>
    <row r="229" spans="18:26">
      <c r="R229" s="15"/>
      <c r="S229" s="16"/>
      <c r="T229" s="17">
        <f>IF(AND(COUNTA($A229:$K229)=0,$L229=""),"",IF($S229="Paid","PAID",IF($S229="Closed","CLOSED",IF($W229="","",IF($W229=6,"ESCALATED TO ROXANNE",IF(TODAY()&gt;$Y229,"OVERDUE",IF($Y229&lt;=WORKDAY(TODAY(),1,Holidays),"DUE TOMORROW",IF($W229=4,"ESCALATED TO LOCAL OFFICE",IF($W229=5,"ESCALATED TO CBE",IF($X229=TODAY(),"EMAIL SENT","MONITORING"))))))))))</f>
        <v/>
      </c>
      <c r="U229" s="17">
        <f>IF($T229="",IF(AND(COUNTA($A229:$K229)&gt;0,$L229=""),"Awaiting Collection Email time stamp.",""),IF(OR($T229="PAID",$T229="CLOSED"),IF($T229="PAID","Account paid. Action completed.","Account closed. No further action required."),CHOOSE($W229,"Collection Email","1st Email Follow-up","2nd Email Follow-up","Escalation to Local Office","Escalation to CBE","Escalation to Roxanne")&amp;" sent "&amp;TEXT($X229,"dd-mmm")&amp;". "&amp;IF($W229=6,"Final escalation completed.",IF($T229="OVERDUE","Next: "&amp;$Z229&amp;" was due "&amp;TEXT($Y229,"dd-mmm")&amp;" - "&amp;(NETWORKDAYS($Y229,TODAY(),Holidays)-1)&amp;" business day(s) late. Send now.",IF($T229="DUE TOMORROW","Next: "&amp;$Z229&amp;IF($Y229&lt;=TODAY()," is due TODAY ("," is due next business day (")&amp;TEXT($Y229,"dd-mmm")&amp;").","Next: "&amp;$Z229&amp;" due "&amp;TEXT($Y229,"dd-mmm")&amp;" ("&amp;(NETWORKDAYS(TODAY(),$Y229,Holidays)-1)&amp;" business day(s) left).")))))</f>
        <v/>
      </c>
      <c r="V229" s="17">
        <f>IF($W229="","",CHOOSE($W229,"Collection Email","1st Follow-up","2nd Follow-up","Local Office","CBE","Roxanne")&amp;IF($W229=6," - Final"," - Day "&amp;MAX(0,NETWORKDAYS($X229,TODAY(),Holidays)-1)&amp;" of "&amp;CHOOSE($W229,3,3,2,2,3))&amp;" | Total Day "&amp;MAX(0,NETWORKDAYS($L229,TODAY(),Holidays)-1))</f>
        <v/>
      </c>
      <c r="W229" s="17">
        <f>IF($L229="","",COUNT($L229:$Q229))</f>
        <v/>
      </c>
      <c r="X229" s="18">
        <f>IF($W229="","",INT(INDEX($L229:$Q229,$W229)))</f>
        <v/>
      </c>
      <c r="Y229" s="18">
        <f>IF(OR($W229="",$W229=6),"",WORKDAY($X229,CHOOSE($W229,3,3,2,2,3),Holidays))</f>
        <v/>
      </c>
      <c r="Z229" s="17">
        <f>IF(OR($W229="",$W229=6),"",CHOOSE($W229,"1st Email Follow-up","2nd Email Follow-up","Escalate Local Office","Escalate to CBE","Escalate to Roxanne"))</f>
        <v/>
      </c>
    </row>
    <row r="230" spans="18:26">
      <c r="R230" s="15"/>
      <c r="S230" s="16"/>
      <c r="T230" s="17">
        <f>IF(AND(COUNTA($A230:$K230)=0,$L230=""),"",IF($S230="Paid","PAID",IF($S230="Closed","CLOSED",IF($W230="","",IF($W230=6,"ESCALATED TO ROXANNE",IF(TODAY()&gt;$Y230,"OVERDUE",IF($Y230&lt;=WORKDAY(TODAY(),1,Holidays),"DUE TOMORROW",IF($W230=4,"ESCALATED TO LOCAL OFFICE",IF($W230=5,"ESCALATED TO CBE",IF($X230=TODAY(),"EMAIL SENT","MONITORING"))))))))))</f>
        <v/>
      </c>
      <c r="U230" s="17">
        <f>IF($T230="",IF(AND(COUNTA($A230:$K230)&gt;0,$L230=""),"Awaiting Collection Email time stamp.",""),IF(OR($T230="PAID",$T230="CLOSED"),IF($T230="PAID","Account paid. Action completed.","Account closed. No further action required."),CHOOSE($W230,"Collection Email","1st Email Follow-up","2nd Email Follow-up","Escalation to Local Office","Escalation to CBE","Escalation to Roxanne")&amp;" sent "&amp;TEXT($X230,"dd-mmm")&amp;". "&amp;IF($W230=6,"Final escalation completed.",IF($T230="OVERDUE","Next: "&amp;$Z230&amp;" was due "&amp;TEXT($Y230,"dd-mmm")&amp;" - "&amp;(NETWORKDAYS($Y230,TODAY(),Holidays)-1)&amp;" business day(s) late. Send now.",IF($T230="DUE TOMORROW","Next: "&amp;$Z230&amp;IF($Y230&lt;=TODAY()," is due TODAY ("," is due next business day (")&amp;TEXT($Y230,"dd-mmm")&amp;").","Next: "&amp;$Z230&amp;" due "&amp;TEXT($Y230,"dd-mmm")&amp;" ("&amp;(NETWORKDAYS(TODAY(),$Y230,Holidays)-1)&amp;" business day(s) left).")))))</f>
        <v/>
      </c>
      <c r="V230" s="17">
        <f>IF($W230="","",CHOOSE($W230,"Collection Email","1st Follow-up","2nd Follow-up","Local Office","CBE","Roxanne")&amp;IF($W230=6," - Final"," - Day "&amp;MAX(0,NETWORKDAYS($X230,TODAY(),Holidays)-1)&amp;" of "&amp;CHOOSE($W230,3,3,2,2,3))&amp;" | Total Day "&amp;MAX(0,NETWORKDAYS($L230,TODAY(),Holidays)-1))</f>
        <v/>
      </c>
      <c r="W230" s="17">
        <f>IF($L230="","",COUNT($L230:$Q230))</f>
        <v/>
      </c>
      <c r="X230" s="18">
        <f>IF($W230="","",INT(INDEX($L230:$Q230,$W230)))</f>
        <v/>
      </c>
      <c r="Y230" s="18">
        <f>IF(OR($W230="",$W230=6),"",WORKDAY($X230,CHOOSE($W230,3,3,2,2,3),Holidays))</f>
        <v/>
      </c>
      <c r="Z230" s="17">
        <f>IF(OR($W230="",$W230=6),"",CHOOSE($W230,"1st Email Follow-up","2nd Email Follow-up","Escalate Local Office","Escalate to CBE","Escalate to Roxanne"))</f>
        <v/>
      </c>
    </row>
    <row r="231" spans="18:26">
      <c r="R231" s="15"/>
      <c r="S231" s="16"/>
      <c r="T231" s="17">
        <f>IF(AND(COUNTA($A231:$K231)=0,$L231=""),"",IF($S231="Paid","PAID",IF($S231="Closed","CLOSED",IF($W231="","",IF($W231=6,"ESCALATED TO ROXANNE",IF(TODAY()&gt;$Y231,"OVERDUE",IF($Y231&lt;=WORKDAY(TODAY(),1,Holidays),"DUE TOMORROW",IF($W231=4,"ESCALATED TO LOCAL OFFICE",IF($W231=5,"ESCALATED TO CBE",IF($X231=TODAY(),"EMAIL SENT","MONITORING"))))))))))</f>
        <v/>
      </c>
      <c r="U231" s="17">
        <f>IF($T231="",IF(AND(COUNTA($A231:$K231)&gt;0,$L231=""),"Awaiting Collection Email time stamp.",""),IF(OR($T231="PAID",$T231="CLOSED"),IF($T231="PAID","Account paid. Action completed.","Account closed. No further action required."),CHOOSE($W231,"Collection Email","1st Email Follow-up","2nd Email Follow-up","Escalation to Local Office","Escalation to CBE","Escalation to Roxanne")&amp;" sent "&amp;TEXT($X231,"dd-mmm")&amp;". "&amp;IF($W231=6,"Final escalation completed.",IF($T231="OVERDUE","Next: "&amp;$Z231&amp;" was due "&amp;TEXT($Y231,"dd-mmm")&amp;" - "&amp;(NETWORKDAYS($Y231,TODAY(),Holidays)-1)&amp;" business day(s) late. Send now.",IF($T231="DUE TOMORROW","Next: "&amp;$Z231&amp;IF($Y231&lt;=TODAY()," is due TODAY ("," is due next business day (")&amp;TEXT($Y231,"dd-mmm")&amp;").","Next: "&amp;$Z231&amp;" due "&amp;TEXT($Y231,"dd-mmm")&amp;" ("&amp;(NETWORKDAYS(TODAY(),$Y231,Holidays)-1)&amp;" business day(s) left).")))))</f>
        <v/>
      </c>
      <c r="V231" s="17">
        <f>IF($W231="","",CHOOSE($W231,"Collection Email","1st Follow-up","2nd Follow-up","Local Office","CBE","Roxanne")&amp;IF($W231=6," - Final"," - Day "&amp;MAX(0,NETWORKDAYS($X231,TODAY(),Holidays)-1)&amp;" of "&amp;CHOOSE($W231,3,3,2,2,3))&amp;" | Total Day "&amp;MAX(0,NETWORKDAYS($L231,TODAY(),Holidays)-1))</f>
        <v/>
      </c>
      <c r="W231" s="17">
        <f>IF($L231="","",COUNT($L231:$Q231))</f>
        <v/>
      </c>
      <c r="X231" s="18">
        <f>IF($W231="","",INT(INDEX($L231:$Q231,$W231)))</f>
        <v/>
      </c>
      <c r="Y231" s="18">
        <f>IF(OR($W231="",$W231=6),"",WORKDAY($X231,CHOOSE($W231,3,3,2,2,3),Holidays))</f>
        <v/>
      </c>
      <c r="Z231" s="17">
        <f>IF(OR($W231="",$W231=6),"",CHOOSE($W231,"1st Email Follow-up","2nd Email Follow-up","Escalate Local Office","Escalate to CBE","Escalate to Roxanne"))</f>
        <v/>
      </c>
    </row>
    <row r="232" spans="18:26">
      <c r="R232" s="15"/>
      <c r="S232" s="16"/>
      <c r="T232" s="17">
        <f>IF(AND(COUNTA($A232:$K232)=0,$L232=""),"",IF($S232="Paid","PAID",IF($S232="Closed","CLOSED",IF($W232="","",IF($W232=6,"ESCALATED TO ROXANNE",IF(TODAY()&gt;$Y232,"OVERDUE",IF($Y232&lt;=WORKDAY(TODAY(),1,Holidays),"DUE TOMORROW",IF($W232=4,"ESCALATED TO LOCAL OFFICE",IF($W232=5,"ESCALATED TO CBE",IF($X232=TODAY(),"EMAIL SENT","MONITORING"))))))))))</f>
        <v/>
      </c>
      <c r="U232" s="17">
        <f>IF($T232="",IF(AND(COUNTA($A232:$K232)&gt;0,$L232=""),"Awaiting Collection Email time stamp.",""),IF(OR($T232="PAID",$T232="CLOSED"),IF($T232="PAID","Account paid. Action completed.","Account closed. No further action required."),CHOOSE($W232,"Collection Email","1st Email Follow-up","2nd Email Follow-up","Escalation to Local Office","Escalation to CBE","Escalation to Roxanne")&amp;" sent "&amp;TEXT($X232,"dd-mmm")&amp;". "&amp;IF($W232=6,"Final escalation completed.",IF($T232="OVERDUE","Next: "&amp;$Z232&amp;" was due "&amp;TEXT($Y232,"dd-mmm")&amp;" - "&amp;(NETWORKDAYS($Y232,TODAY(),Holidays)-1)&amp;" business day(s) late. Send now.",IF($T232="DUE TOMORROW","Next: "&amp;$Z232&amp;IF($Y232&lt;=TODAY()," is due TODAY ("," is due next business day (")&amp;TEXT($Y232,"dd-mmm")&amp;").","Next: "&amp;$Z232&amp;" due "&amp;TEXT($Y232,"dd-mmm")&amp;" ("&amp;(NETWORKDAYS(TODAY(),$Y232,Holidays)-1)&amp;" business day(s) left).")))))</f>
        <v/>
      </c>
      <c r="V232" s="17">
        <f>IF($W232="","",CHOOSE($W232,"Collection Email","1st Follow-up","2nd Follow-up","Local Office","CBE","Roxanne")&amp;IF($W232=6," - Final"," - Day "&amp;MAX(0,NETWORKDAYS($X232,TODAY(),Holidays)-1)&amp;" of "&amp;CHOOSE($W232,3,3,2,2,3))&amp;" | Total Day "&amp;MAX(0,NETWORKDAYS($L232,TODAY(),Holidays)-1))</f>
        <v/>
      </c>
      <c r="W232" s="17">
        <f>IF($L232="","",COUNT($L232:$Q232))</f>
        <v/>
      </c>
      <c r="X232" s="18">
        <f>IF($W232="","",INT(INDEX($L232:$Q232,$W232)))</f>
        <v/>
      </c>
      <c r="Y232" s="18">
        <f>IF(OR($W232="",$W232=6),"",WORKDAY($X232,CHOOSE($W232,3,3,2,2,3),Holidays))</f>
        <v/>
      </c>
      <c r="Z232" s="17">
        <f>IF(OR($W232="",$W232=6),"",CHOOSE($W232,"1st Email Follow-up","2nd Email Follow-up","Escalate Local Office","Escalate to CBE","Escalate to Roxanne"))</f>
        <v/>
      </c>
    </row>
    <row r="233" spans="18:26">
      <c r="R233" s="15"/>
      <c r="S233" s="16"/>
      <c r="T233" s="17">
        <f>IF(AND(COUNTA($A233:$K233)=0,$L233=""),"",IF($S233="Paid","PAID",IF($S233="Closed","CLOSED",IF($W233="","",IF($W233=6,"ESCALATED TO ROXANNE",IF(TODAY()&gt;$Y233,"OVERDUE",IF($Y233&lt;=WORKDAY(TODAY(),1,Holidays),"DUE TOMORROW",IF($W233=4,"ESCALATED TO LOCAL OFFICE",IF($W233=5,"ESCALATED TO CBE",IF($X233=TODAY(),"EMAIL SENT","MONITORING"))))))))))</f>
        <v/>
      </c>
      <c r="U233" s="17">
        <f>IF($T233="",IF(AND(COUNTA($A233:$K233)&gt;0,$L233=""),"Awaiting Collection Email time stamp.",""),IF(OR($T233="PAID",$T233="CLOSED"),IF($T233="PAID","Account paid. Action completed.","Account closed. No further action required."),CHOOSE($W233,"Collection Email","1st Email Follow-up","2nd Email Follow-up","Escalation to Local Office","Escalation to CBE","Escalation to Roxanne")&amp;" sent "&amp;TEXT($X233,"dd-mmm")&amp;". "&amp;IF($W233=6,"Final escalation completed.",IF($T233="OVERDUE","Next: "&amp;$Z233&amp;" was due "&amp;TEXT($Y233,"dd-mmm")&amp;" - "&amp;(NETWORKDAYS($Y233,TODAY(),Holidays)-1)&amp;" business day(s) late. Send now.",IF($T233="DUE TOMORROW","Next: "&amp;$Z233&amp;IF($Y233&lt;=TODAY()," is due TODAY ("," is due next business day (")&amp;TEXT($Y233,"dd-mmm")&amp;").","Next: "&amp;$Z233&amp;" due "&amp;TEXT($Y233,"dd-mmm")&amp;" ("&amp;(NETWORKDAYS(TODAY(),$Y233,Holidays)-1)&amp;" business day(s) left).")))))</f>
        <v/>
      </c>
      <c r="V233" s="17">
        <f>IF($W233="","",CHOOSE($W233,"Collection Email","1st Follow-up","2nd Follow-up","Local Office","CBE","Roxanne")&amp;IF($W233=6," - Final"," - Day "&amp;MAX(0,NETWORKDAYS($X233,TODAY(),Holidays)-1)&amp;" of "&amp;CHOOSE($W233,3,3,2,2,3))&amp;" | Total Day "&amp;MAX(0,NETWORKDAYS($L233,TODAY(),Holidays)-1))</f>
        <v/>
      </c>
      <c r="W233" s="17">
        <f>IF($L233="","",COUNT($L233:$Q233))</f>
        <v/>
      </c>
      <c r="X233" s="18">
        <f>IF($W233="","",INT(INDEX($L233:$Q233,$W233)))</f>
        <v/>
      </c>
      <c r="Y233" s="18">
        <f>IF(OR($W233="",$W233=6),"",WORKDAY($X233,CHOOSE($W233,3,3,2,2,3),Holidays))</f>
        <v/>
      </c>
      <c r="Z233" s="17">
        <f>IF(OR($W233="",$W233=6),"",CHOOSE($W233,"1st Email Follow-up","2nd Email Follow-up","Escalate Local Office","Escalate to CBE","Escalate to Roxanne"))</f>
        <v/>
      </c>
    </row>
    <row r="234" spans="18:26">
      <c r="R234" s="15"/>
      <c r="S234" s="16"/>
      <c r="T234" s="17">
        <f>IF(AND(COUNTA($A234:$K234)=0,$L234=""),"",IF($S234="Paid","PAID",IF($S234="Closed","CLOSED",IF($W234="","",IF($W234=6,"ESCALATED TO ROXANNE",IF(TODAY()&gt;$Y234,"OVERDUE",IF($Y234&lt;=WORKDAY(TODAY(),1,Holidays),"DUE TOMORROW",IF($W234=4,"ESCALATED TO LOCAL OFFICE",IF($W234=5,"ESCALATED TO CBE",IF($X234=TODAY(),"EMAIL SENT","MONITORING"))))))))))</f>
        <v/>
      </c>
      <c r="U234" s="17">
        <f>IF($T234="",IF(AND(COUNTA($A234:$K234)&gt;0,$L234=""),"Awaiting Collection Email time stamp.",""),IF(OR($T234="PAID",$T234="CLOSED"),IF($T234="PAID","Account paid. Action completed.","Account closed. No further action required."),CHOOSE($W234,"Collection Email","1st Email Follow-up","2nd Email Follow-up","Escalation to Local Office","Escalation to CBE","Escalation to Roxanne")&amp;" sent "&amp;TEXT($X234,"dd-mmm")&amp;". "&amp;IF($W234=6,"Final escalation completed.",IF($T234="OVERDUE","Next: "&amp;$Z234&amp;" was due "&amp;TEXT($Y234,"dd-mmm")&amp;" - "&amp;(NETWORKDAYS($Y234,TODAY(),Holidays)-1)&amp;" business day(s) late. Send now.",IF($T234="DUE TOMORROW","Next: "&amp;$Z234&amp;IF($Y234&lt;=TODAY()," is due TODAY ("," is due next business day (")&amp;TEXT($Y234,"dd-mmm")&amp;").","Next: "&amp;$Z234&amp;" due "&amp;TEXT($Y234,"dd-mmm")&amp;" ("&amp;(NETWORKDAYS(TODAY(),$Y234,Holidays)-1)&amp;" business day(s) left).")))))</f>
        <v/>
      </c>
      <c r="V234" s="17">
        <f>IF($W234="","",CHOOSE($W234,"Collection Email","1st Follow-up","2nd Follow-up","Local Office","CBE","Roxanne")&amp;IF($W234=6," - Final"," - Day "&amp;MAX(0,NETWORKDAYS($X234,TODAY(),Holidays)-1)&amp;" of "&amp;CHOOSE($W234,3,3,2,2,3))&amp;" | Total Day "&amp;MAX(0,NETWORKDAYS($L234,TODAY(),Holidays)-1))</f>
        <v/>
      </c>
      <c r="W234" s="17">
        <f>IF($L234="","",COUNT($L234:$Q234))</f>
        <v/>
      </c>
      <c r="X234" s="18">
        <f>IF($W234="","",INT(INDEX($L234:$Q234,$W234)))</f>
        <v/>
      </c>
      <c r="Y234" s="18">
        <f>IF(OR($W234="",$W234=6),"",WORKDAY($X234,CHOOSE($W234,3,3,2,2,3),Holidays))</f>
        <v/>
      </c>
      <c r="Z234" s="17">
        <f>IF(OR($W234="",$W234=6),"",CHOOSE($W234,"1st Email Follow-up","2nd Email Follow-up","Escalate Local Office","Escalate to CBE","Escalate to Roxanne"))</f>
        <v/>
      </c>
    </row>
    <row r="235" spans="18:26">
      <c r="R235" s="15"/>
      <c r="S235" s="16"/>
      <c r="T235" s="17">
        <f>IF(AND(COUNTA($A235:$K235)=0,$L235=""),"",IF($S235="Paid","PAID",IF($S235="Closed","CLOSED",IF($W235="","",IF($W235=6,"ESCALATED TO ROXANNE",IF(TODAY()&gt;$Y235,"OVERDUE",IF($Y235&lt;=WORKDAY(TODAY(),1,Holidays),"DUE TOMORROW",IF($W235=4,"ESCALATED TO LOCAL OFFICE",IF($W235=5,"ESCALATED TO CBE",IF($X235=TODAY(),"EMAIL SENT","MONITORING"))))))))))</f>
        <v/>
      </c>
      <c r="U235" s="17">
        <f>IF($T235="",IF(AND(COUNTA($A235:$K235)&gt;0,$L235=""),"Awaiting Collection Email time stamp.",""),IF(OR($T235="PAID",$T235="CLOSED"),IF($T235="PAID","Account paid. Action completed.","Account closed. No further action required."),CHOOSE($W235,"Collection Email","1st Email Follow-up","2nd Email Follow-up","Escalation to Local Office","Escalation to CBE","Escalation to Roxanne")&amp;" sent "&amp;TEXT($X235,"dd-mmm")&amp;". "&amp;IF($W235=6,"Final escalation completed.",IF($T235="OVERDUE","Next: "&amp;$Z235&amp;" was due "&amp;TEXT($Y235,"dd-mmm")&amp;" - "&amp;(NETWORKDAYS($Y235,TODAY(),Holidays)-1)&amp;" business day(s) late. Send now.",IF($T235="DUE TOMORROW","Next: "&amp;$Z235&amp;IF($Y235&lt;=TODAY()," is due TODAY ("," is due next business day (")&amp;TEXT($Y235,"dd-mmm")&amp;").","Next: "&amp;$Z235&amp;" due "&amp;TEXT($Y235,"dd-mmm")&amp;" ("&amp;(NETWORKDAYS(TODAY(),$Y235,Holidays)-1)&amp;" business day(s) left).")))))</f>
        <v/>
      </c>
      <c r="V235" s="17">
        <f>IF($W235="","",CHOOSE($W235,"Collection Email","1st Follow-up","2nd Follow-up","Local Office","CBE","Roxanne")&amp;IF($W235=6," - Final"," - Day "&amp;MAX(0,NETWORKDAYS($X235,TODAY(),Holidays)-1)&amp;" of "&amp;CHOOSE($W235,3,3,2,2,3))&amp;" | Total Day "&amp;MAX(0,NETWORKDAYS($L235,TODAY(),Holidays)-1))</f>
        <v/>
      </c>
      <c r="W235" s="17">
        <f>IF($L235="","",COUNT($L235:$Q235))</f>
        <v/>
      </c>
      <c r="X235" s="18">
        <f>IF($W235="","",INT(INDEX($L235:$Q235,$W235)))</f>
        <v/>
      </c>
      <c r="Y235" s="18">
        <f>IF(OR($W235="",$W235=6),"",WORKDAY($X235,CHOOSE($W235,3,3,2,2,3),Holidays))</f>
        <v/>
      </c>
      <c r="Z235" s="17">
        <f>IF(OR($W235="",$W235=6),"",CHOOSE($W235,"1st Email Follow-up","2nd Email Follow-up","Escalate Local Office","Escalate to CBE","Escalate to Roxanne"))</f>
        <v/>
      </c>
    </row>
    <row r="236" spans="18:26">
      <c r="R236" s="15"/>
      <c r="S236" s="16"/>
      <c r="T236" s="17">
        <f>IF(AND(COUNTA($A236:$K236)=0,$L236=""),"",IF($S236="Paid","PAID",IF($S236="Closed","CLOSED",IF($W236="","",IF($W236=6,"ESCALATED TO ROXANNE",IF(TODAY()&gt;$Y236,"OVERDUE",IF($Y236&lt;=WORKDAY(TODAY(),1,Holidays),"DUE TOMORROW",IF($W236=4,"ESCALATED TO LOCAL OFFICE",IF($W236=5,"ESCALATED TO CBE",IF($X236=TODAY(),"EMAIL SENT","MONITORING"))))))))))</f>
        <v/>
      </c>
      <c r="U236" s="17">
        <f>IF($T236="",IF(AND(COUNTA($A236:$K236)&gt;0,$L236=""),"Awaiting Collection Email time stamp.",""),IF(OR($T236="PAID",$T236="CLOSED"),IF($T236="PAID","Account paid. Action completed.","Account closed. No further action required."),CHOOSE($W236,"Collection Email","1st Email Follow-up","2nd Email Follow-up","Escalation to Local Office","Escalation to CBE","Escalation to Roxanne")&amp;" sent "&amp;TEXT($X236,"dd-mmm")&amp;". "&amp;IF($W236=6,"Final escalation completed.",IF($T236="OVERDUE","Next: "&amp;$Z236&amp;" was due "&amp;TEXT($Y236,"dd-mmm")&amp;" - "&amp;(NETWORKDAYS($Y236,TODAY(),Holidays)-1)&amp;" business day(s) late. Send now.",IF($T236="DUE TOMORROW","Next: "&amp;$Z236&amp;IF($Y236&lt;=TODAY()," is due TODAY ("," is due next business day (")&amp;TEXT($Y236,"dd-mmm")&amp;").","Next: "&amp;$Z236&amp;" due "&amp;TEXT($Y236,"dd-mmm")&amp;" ("&amp;(NETWORKDAYS(TODAY(),$Y236,Holidays)-1)&amp;" business day(s) left).")))))</f>
        <v/>
      </c>
      <c r="V236" s="17">
        <f>IF($W236="","",CHOOSE($W236,"Collection Email","1st Follow-up","2nd Follow-up","Local Office","CBE","Roxanne")&amp;IF($W236=6," - Final"," - Day "&amp;MAX(0,NETWORKDAYS($X236,TODAY(),Holidays)-1)&amp;" of "&amp;CHOOSE($W236,3,3,2,2,3))&amp;" | Total Day "&amp;MAX(0,NETWORKDAYS($L236,TODAY(),Holidays)-1))</f>
        <v/>
      </c>
      <c r="W236" s="17">
        <f>IF($L236="","",COUNT($L236:$Q236))</f>
        <v/>
      </c>
      <c r="X236" s="18">
        <f>IF($W236="","",INT(INDEX($L236:$Q236,$W236)))</f>
        <v/>
      </c>
      <c r="Y236" s="18">
        <f>IF(OR($W236="",$W236=6),"",WORKDAY($X236,CHOOSE($W236,3,3,2,2,3),Holidays))</f>
        <v/>
      </c>
      <c r="Z236" s="17">
        <f>IF(OR($W236="",$W236=6),"",CHOOSE($W236,"1st Email Follow-up","2nd Email Follow-up","Escalate Local Office","Escalate to CBE","Escalate to Roxanne"))</f>
        <v/>
      </c>
    </row>
    <row r="237" spans="18:26">
      <c r="R237" s="15"/>
      <c r="S237" s="16"/>
      <c r="T237" s="17">
        <f>IF(AND(COUNTA($A237:$K237)=0,$L237=""),"",IF($S237="Paid","PAID",IF($S237="Closed","CLOSED",IF($W237="","",IF($W237=6,"ESCALATED TO ROXANNE",IF(TODAY()&gt;$Y237,"OVERDUE",IF($Y237&lt;=WORKDAY(TODAY(),1,Holidays),"DUE TOMORROW",IF($W237=4,"ESCALATED TO LOCAL OFFICE",IF($W237=5,"ESCALATED TO CBE",IF($X237=TODAY(),"EMAIL SENT","MONITORING"))))))))))</f>
        <v/>
      </c>
      <c r="U237" s="17">
        <f>IF($T237="",IF(AND(COUNTA($A237:$K237)&gt;0,$L237=""),"Awaiting Collection Email time stamp.",""),IF(OR($T237="PAID",$T237="CLOSED"),IF($T237="PAID","Account paid. Action completed.","Account closed. No further action required."),CHOOSE($W237,"Collection Email","1st Email Follow-up","2nd Email Follow-up","Escalation to Local Office","Escalation to CBE","Escalation to Roxanne")&amp;" sent "&amp;TEXT($X237,"dd-mmm")&amp;". "&amp;IF($W237=6,"Final escalation completed.",IF($T237="OVERDUE","Next: "&amp;$Z237&amp;" was due "&amp;TEXT($Y237,"dd-mmm")&amp;" - "&amp;(NETWORKDAYS($Y237,TODAY(),Holidays)-1)&amp;" business day(s) late. Send now.",IF($T237="DUE TOMORROW","Next: "&amp;$Z237&amp;IF($Y237&lt;=TODAY()," is due TODAY ("," is due next business day (")&amp;TEXT($Y237,"dd-mmm")&amp;").","Next: "&amp;$Z237&amp;" due "&amp;TEXT($Y237,"dd-mmm")&amp;" ("&amp;(NETWORKDAYS(TODAY(),$Y237,Holidays)-1)&amp;" business day(s) left).")))))</f>
        <v/>
      </c>
      <c r="V237" s="17">
        <f>IF($W237="","",CHOOSE($W237,"Collection Email","1st Follow-up","2nd Follow-up","Local Office","CBE","Roxanne")&amp;IF($W237=6," - Final"," - Day "&amp;MAX(0,NETWORKDAYS($X237,TODAY(),Holidays)-1)&amp;" of "&amp;CHOOSE($W237,3,3,2,2,3))&amp;" | Total Day "&amp;MAX(0,NETWORKDAYS($L237,TODAY(),Holidays)-1))</f>
        <v/>
      </c>
      <c r="W237" s="17">
        <f>IF($L237="","",COUNT($L237:$Q237))</f>
        <v/>
      </c>
      <c r="X237" s="18">
        <f>IF($W237="","",INT(INDEX($L237:$Q237,$W237)))</f>
        <v/>
      </c>
      <c r="Y237" s="18">
        <f>IF(OR($W237="",$W237=6),"",WORKDAY($X237,CHOOSE($W237,3,3,2,2,3),Holidays))</f>
        <v/>
      </c>
      <c r="Z237" s="17">
        <f>IF(OR($W237="",$W237=6),"",CHOOSE($W237,"1st Email Follow-up","2nd Email Follow-up","Escalate Local Office","Escalate to CBE","Escalate to Roxanne"))</f>
        <v/>
      </c>
    </row>
    <row r="238" spans="18:26">
      <c r="R238" s="15"/>
      <c r="S238" s="16"/>
      <c r="T238" s="17">
        <f>IF(AND(COUNTA($A238:$K238)=0,$L238=""),"",IF($S238="Paid","PAID",IF($S238="Closed","CLOSED",IF($W238="","",IF($W238=6,"ESCALATED TO ROXANNE",IF(TODAY()&gt;$Y238,"OVERDUE",IF($Y238&lt;=WORKDAY(TODAY(),1,Holidays),"DUE TOMORROW",IF($W238=4,"ESCALATED TO LOCAL OFFICE",IF($W238=5,"ESCALATED TO CBE",IF($X238=TODAY(),"EMAIL SENT","MONITORING"))))))))))</f>
        <v/>
      </c>
      <c r="U238" s="17">
        <f>IF($T238="",IF(AND(COUNTA($A238:$K238)&gt;0,$L238=""),"Awaiting Collection Email time stamp.",""),IF(OR($T238="PAID",$T238="CLOSED"),IF($T238="PAID","Account paid. Action completed.","Account closed. No further action required."),CHOOSE($W238,"Collection Email","1st Email Follow-up","2nd Email Follow-up","Escalation to Local Office","Escalation to CBE","Escalation to Roxanne")&amp;" sent "&amp;TEXT($X238,"dd-mmm")&amp;". "&amp;IF($W238=6,"Final escalation completed.",IF($T238="OVERDUE","Next: "&amp;$Z238&amp;" was due "&amp;TEXT($Y238,"dd-mmm")&amp;" - "&amp;(NETWORKDAYS($Y238,TODAY(),Holidays)-1)&amp;" business day(s) late. Send now.",IF($T238="DUE TOMORROW","Next: "&amp;$Z238&amp;IF($Y238&lt;=TODAY()," is due TODAY ("," is due next business day (")&amp;TEXT($Y238,"dd-mmm")&amp;").","Next: "&amp;$Z238&amp;" due "&amp;TEXT($Y238,"dd-mmm")&amp;" ("&amp;(NETWORKDAYS(TODAY(),$Y238,Holidays)-1)&amp;" business day(s) left).")))))</f>
        <v/>
      </c>
      <c r="V238" s="17">
        <f>IF($W238="","",CHOOSE($W238,"Collection Email","1st Follow-up","2nd Follow-up","Local Office","CBE","Roxanne")&amp;IF($W238=6," - Final"," - Day "&amp;MAX(0,NETWORKDAYS($X238,TODAY(),Holidays)-1)&amp;" of "&amp;CHOOSE($W238,3,3,2,2,3))&amp;" | Total Day "&amp;MAX(0,NETWORKDAYS($L238,TODAY(),Holidays)-1))</f>
        <v/>
      </c>
      <c r="W238" s="17">
        <f>IF($L238="","",COUNT($L238:$Q238))</f>
        <v/>
      </c>
      <c r="X238" s="18">
        <f>IF($W238="","",INT(INDEX($L238:$Q238,$W238)))</f>
        <v/>
      </c>
      <c r="Y238" s="18">
        <f>IF(OR($W238="",$W238=6),"",WORKDAY($X238,CHOOSE($W238,3,3,2,2,3),Holidays))</f>
        <v/>
      </c>
      <c r="Z238" s="17">
        <f>IF(OR($W238="",$W238=6),"",CHOOSE($W238,"1st Email Follow-up","2nd Email Follow-up","Escalate Local Office","Escalate to CBE","Escalate to Roxanne"))</f>
        <v/>
      </c>
    </row>
    <row r="239" spans="18:26">
      <c r="R239" s="15"/>
      <c r="S239" s="16"/>
      <c r="T239" s="17">
        <f>IF(AND(COUNTA($A239:$K239)=0,$L239=""),"",IF($S239="Paid","PAID",IF($S239="Closed","CLOSED",IF($W239="","",IF($W239=6,"ESCALATED TO ROXANNE",IF(TODAY()&gt;$Y239,"OVERDUE",IF($Y239&lt;=WORKDAY(TODAY(),1,Holidays),"DUE TOMORROW",IF($W239=4,"ESCALATED TO LOCAL OFFICE",IF($W239=5,"ESCALATED TO CBE",IF($X239=TODAY(),"EMAIL SENT","MONITORING"))))))))))</f>
        <v/>
      </c>
      <c r="U239" s="17">
        <f>IF($T239="",IF(AND(COUNTA($A239:$K239)&gt;0,$L239=""),"Awaiting Collection Email time stamp.",""),IF(OR($T239="PAID",$T239="CLOSED"),IF($T239="PAID","Account paid. Action completed.","Account closed. No further action required."),CHOOSE($W239,"Collection Email","1st Email Follow-up","2nd Email Follow-up","Escalation to Local Office","Escalation to CBE","Escalation to Roxanne")&amp;" sent "&amp;TEXT($X239,"dd-mmm")&amp;". "&amp;IF($W239=6,"Final escalation completed.",IF($T239="OVERDUE","Next: "&amp;$Z239&amp;" was due "&amp;TEXT($Y239,"dd-mmm")&amp;" - "&amp;(NETWORKDAYS($Y239,TODAY(),Holidays)-1)&amp;" business day(s) late. Send now.",IF($T239="DUE TOMORROW","Next: "&amp;$Z239&amp;IF($Y239&lt;=TODAY()," is due TODAY ("," is due next business day (")&amp;TEXT($Y239,"dd-mmm")&amp;").","Next: "&amp;$Z239&amp;" due "&amp;TEXT($Y239,"dd-mmm")&amp;" ("&amp;(NETWORKDAYS(TODAY(),$Y239,Holidays)-1)&amp;" business day(s) left).")))))</f>
        <v/>
      </c>
      <c r="V239" s="17">
        <f>IF($W239="","",CHOOSE($W239,"Collection Email","1st Follow-up","2nd Follow-up","Local Office","CBE","Roxanne")&amp;IF($W239=6," - Final"," - Day "&amp;MAX(0,NETWORKDAYS($X239,TODAY(),Holidays)-1)&amp;" of "&amp;CHOOSE($W239,3,3,2,2,3))&amp;" | Total Day "&amp;MAX(0,NETWORKDAYS($L239,TODAY(),Holidays)-1))</f>
        <v/>
      </c>
      <c r="W239" s="17">
        <f>IF($L239="","",COUNT($L239:$Q239))</f>
        <v/>
      </c>
      <c r="X239" s="18">
        <f>IF($W239="","",INT(INDEX($L239:$Q239,$W239)))</f>
        <v/>
      </c>
      <c r="Y239" s="18">
        <f>IF(OR($W239="",$W239=6),"",WORKDAY($X239,CHOOSE($W239,3,3,2,2,3),Holidays))</f>
        <v/>
      </c>
      <c r="Z239" s="17">
        <f>IF(OR($W239="",$W239=6),"",CHOOSE($W239,"1st Email Follow-up","2nd Email Follow-up","Escalate Local Office","Escalate to CBE","Escalate to Roxanne"))</f>
        <v/>
      </c>
    </row>
    <row r="240" spans="18:26">
      <c r="R240" s="15"/>
      <c r="S240" s="16"/>
      <c r="T240" s="17">
        <f>IF(AND(COUNTA($A240:$K240)=0,$L240=""),"",IF($S240="Paid","PAID",IF($S240="Closed","CLOSED",IF($W240="","",IF($W240=6,"ESCALATED TO ROXANNE",IF(TODAY()&gt;$Y240,"OVERDUE",IF($Y240&lt;=WORKDAY(TODAY(),1,Holidays),"DUE TOMORROW",IF($W240=4,"ESCALATED TO LOCAL OFFICE",IF($W240=5,"ESCALATED TO CBE",IF($X240=TODAY(),"EMAIL SENT","MONITORING"))))))))))</f>
        <v/>
      </c>
      <c r="U240" s="17">
        <f>IF($T240="",IF(AND(COUNTA($A240:$K240)&gt;0,$L240=""),"Awaiting Collection Email time stamp.",""),IF(OR($T240="PAID",$T240="CLOSED"),IF($T240="PAID","Account paid. Action completed.","Account closed. No further action required."),CHOOSE($W240,"Collection Email","1st Email Follow-up","2nd Email Follow-up","Escalation to Local Office","Escalation to CBE","Escalation to Roxanne")&amp;" sent "&amp;TEXT($X240,"dd-mmm")&amp;". "&amp;IF($W240=6,"Final escalation completed.",IF($T240="OVERDUE","Next: "&amp;$Z240&amp;" was due "&amp;TEXT($Y240,"dd-mmm")&amp;" - "&amp;(NETWORKDAYS($Y240,TODAY(),Holidays)-1)&amp;" business day(s) late. Send now.",IF($T240="DUE TOMORROW","Next: "&amp;$Z240&amp;IF($Y240&lt;=TODAY()," is due TODAY ("," is due next business day (")&amp;TEXT($Y240,"dd-mmm")&amp;").","Next: "&amp;$Z240&amp;" due "&amp;TEXT($Y240,"dd-mmm")&amp;" ("&amp;(NETWORKDAYS(TODAY(),$Y240,Holidays)-1)&amp;" business day(s) left).")))))</f>
        <v/>
      </c>
      <c r="V240" s="17">
        <f>IF($W240="","",CHOOSE($W240,"Collection Email","1st Follow-up","2nd Follow-up","Local Office","CBE","Roxanne")&amp;IF($W240=6," - Final"," - Day "&amp;MAX(0,NETWORKDAYS($X240,TODAY(),Holidays)-1)&amp;" of "&amp;CHOOSE($W240,3,3,2,2,3))&amp;" | Total Day "&amp;MAX(0,NETWORKDAYS($L240,TODAY(),Holidays)-1))</f>
        <v/>
      </c>
      <c r="W240" s="17">
        <f>IF($L240="","",COUNT($L240:$Q240))</f>
        <v/>
      </c>
      <c r="X240" s="18">
        <f>IF($W240="","",INT(INDEX($L240:$Q240,$W240)))</f>
        <v/>
      </c>
      <c r="Y240" s="18">
        <f>IF(OR($W240="",$W240=6),"",WORKDAY($X240,CHOOSE($W240,3,3,2,2,3),Holidays))</f>
        <v/>
      </c>
      <c r="Z240" s="17">
        <f>IF(OR($W240="",$W240=6),"",CHOOSE($W240,"1st Email Follow-up","2nd Email Follow-up","Escalate Local Office","Escalate to CBE","Escalate to Roxanne"))</f>
        <v/>
      </c>
    </row>
    <row r="241" spans="18:26">
      <c r="R241" s="15"/>
      <c r="S241" s="16"/>
      <c r="T241" s="17">
        <f>IF(AND(COUNTA($A241:$K241)=0,$L241=""),"",IF($S241="Paid","PAID",IF($S241="Closed","CLOSED",IF($W241="","",IF($W241=6,"ESCALATED TO ROXANNE",IF(TODAY()&gt;$Y241,"OVERDUE",IF($Y241&lt;=WORKDAY(TODAY(),1,Holidays),"DUE TOMORROW",IF($W241=4,"ESCALATED TO LOCAL OFFICE",IF($W241=5,"ESCALATED TO CBE",IF($X241=TODAY(),"EMAIL SENT","MONITORING"))))))))))</f>
        <v/>
      </c>
      <c r="U241" s="17">
        <f>IF($T241="",IF(AND(COUNTA($A241:$K241)&gt;0,$L241=""),"Awaiting Collection Email time stamp.",""),IF(OR($T241="PAID",$T241="CLOSED"),IF($T241="PAID","Account paid. Action completed.","Account closed. No further action required."),CHOOSE($W241,"Collection Email","1st Email Follow-up","2nd Email Follow-up","Escalation to Local Office","Escalation to CBE","Escalation to Roxanne")&amp;" sent "&amp;TEXT($X241,"dd-mmm")&amp;". "&amp;IF($W241=6,"Final escalation completed.",IF($T241="OVERDUE","Next: "&amp;$Z241&amp;" was due "&amp;TEXT($Y241,"dd-mmm")&amp;" - "&amp;(NETWORKDAYS($Y241,TODAY(),Holidays)-1)&amp;" business day(s) late. Send now.",IF($T241="DUE TOMORROW","Next: "&amp;$Z241&amp;IF($Y241&lt;=TODAY()," is due TODAY ("," is due next business day (")&amp;TEXT($Y241,"dd-mmm")&amp;").","Next: "&amp;$Z241&amp;" due "&amp;TEXT($Y241,"dd-mmm")&amp;" ("&amp;(NETWORKDAYS(TODAY(),$Y241,Holidays)-1)&amp;" business day(s) left).")))))</f>
        <v/>
      </c>
      <c r="V241" s="17">
        <f>IF($W241="","",CHOOSE($W241,"Collection Email","1st Follow-up","2nd Follow-up","Local Office","CBE","Roxanne")&amp;IF($W241=6," - Final"," - Day "&amp;MAX(0,NETWORKDAYS($X241,TODAY(),Holidays)-1)&amp;" of "&amp;CHOOSE($W241,3,3,2,2,3))&amp;" | Total Day "&amp;MAX(0,NETWORKDAYS($L241,TODAY(),Holidays)-1))</f>
        <v/>
      </c>
      <c r="W241" s="17">
        <f>IF($L241="","",COUNT($L241:$Q241))</f>
        <v/>
      </c>
      <c r="X241" s="18">
        <f>IF($W241="","",INT(INDEX($L241:$Q241,$W241)))</f>
        <v/>
      </c>
      <c r="Y241" s="18">
        <f>IF(OR($W241="",$W241=6),"",WORKDAY($X241,CHOOSE($W241,3,3,2,2,3),Holidays))</f>
        <v/>
      </c>
      <c r="Z241" s="17">
        <f>IF(OR($W241="",$W241=6),"",CHOOSE($W241,"1st Email Follow-up","2nd Email Follow-up","Escalate Local Office","Escalate to CBE","Escalate to Roxanne"))</f>
        <v/>
      </c>
    </row>
    <row r="242" spans="18:26">
      <c r="R242" s="15"/>
      <c r="S242" s="16"/>
      <c r="T242" s="17">
        <f>IF(AND(COUNTA($A242:$K242)=0,$L242=""),"",IF($S242="Paid","PAID",IF($S242="Closed","CLOSED",IF($W242="","",IF($W242=6,"ESCALATED TO ROXANNE",IF(TODAY()&gt;$Y242,"OVERDUE",IF($Y242&lt;=WORKDAY(TODAY(),1,Holidays),"DUE TOMORROW",IF($W242=4,"ESCALATED TO LOCAL OFFICE",IF($W242=5,"ESCALATED TO CBE",IF($X242=TODAY(),"EMAIL SENT","MONITORING"))))))))))</f>
        <v/>
      </c>
      <c r="U242" s="17">
        <f>IF($T242="",IF(AND(COUNTA($A242:$K242)&gt;0,$L242=""),"Awaiting Collection Email time stamp.",""),IF(OR($T242="PAID",$T242="CLOSED"),IF($T242="PAID","Account paid. Action completed.","Account closed. No further action required."),CHOOSE($W242,"Collection Email","1st Email Follow-up","2nd Email Follow-up","Escalation to Local Office","Escalation to CBE","Escalation to Roxanne")&amp;" sent "&amp;TEXT($X242,"dd-mmm")&amp;". "&amp;IF($W242=6,"Final escalation completed.",IF($T242="OVERDUE","Next: "&amp;$Z242&amp;" was due "&amp;TEXT($Y242,"dd-mmm")&amp;" - "&amp;(NETWORKDAYS($Y242,TODAY(),Holidays)-1)&amp;" business day(s) late. Send now.",IF($T242="DUE TOMORROW","Next: "&amp;$Z242&amp;IF($Y242&lt;=TODAY()," is due TODAY ("," is due next business day (")&amp;TEXT($Y242,"dd-mmm")&amp;").","Next: "&amp;$Z242&amp;" due "&amp;TEXT($Y242,"dd-mmm")&amp;" ("&amp;(NETWORKDAYS(TODAY(),$Y242,Holidays)-1)&amp;" business day(s) left).")))))</f>
        <v/>
      </c>
      <c r="V242" s="17">
        <f>IF($W242="","",CHOOSE($W242,"Collection Email","1st Follow-up","2nd Follow-up","Local Office","CBE","Roxanne")&amp;IF($W242=6," - Final"," - Day "&amp;MAX(0,NETWORKDAYS($X242,TODAY(),Holidays)-1)&amp;" of "&amp;CHOOSE($W242,3,3,2,2,3))&amp;" | Total Day "&amp;MAX(0,NETWORKDAYS($L242,TODAY(),Holidays)-1))</f>
        <v/>
      </c>
      <c r="W242" s="17">
        <f>IF($L242="","",COUNT($L242:$Q242))</f>
        <v/>
      </c>
      <c r="X242" s="18">
        <f>IF($W242="","",INT(INDEX($L242:$Q242,$W242)))</f>
        <v/>
      </c>
      <c r="Y242" s="18">
        <f>IF(OR($W242="",$W242=6),"",WORKDAY($X242,CHOOSE($W242,3,3,2,2,3),Holidays))</f>
        <v/>
      </c>
      <c r="Z242" s="17">
        <f>IF(OR($W242="",$W242=6),"",CHOOSE($W242,"1st Email Follow-up","2nd Email Follow-up","Escalate Local Office","Escalate to CBE","Escalate to Roxanne"))</f>
        <v/>
      </c>
    </row>
    <row r="243" spans="18:26">
      <c r="R243" s="15"/>
      <c r="S243" s="16"/>
      <c r="T243" s="17">
        <f>IF(AND(COUNTA($A243:$K243)=0,$L243=""),"",IF($S243="Paid","PAID",IF($S243="Closed","CLOSED",IF($W243="","",IF($W243=6,"ESCALATED TO ROXANNE",IF(TODAY()&gt;$Y243,"OVERDUE",IF($Y243&lt;=WORKDAY(TODAY(),1,Holidays),"DUE TOMORROW",IF($W243=4,"ESCALATED TO LOCAL OFFICE",IF($W243=5,"ESCALATED TO CBE",IF($X243=TODAY(),"EMAIL SENT","MONITORING"))))))))))</f>
        <v/>
      </c>
      <c r="U243" s="17">
        <f>IF($T243="",IF(AND(COUNTA($A243:$K243)&gt;0,$L243=""),"Awaiting Collection Email time stamp.",""),IF(OR($T243="PAID",$T243="CLOSED"),IF($T243="PAID","Account paid. Action completed.","Account closed. No further action required."),CHOOSE($W243,"Collection Email","1st Email Follow-up","2nd Email Follow-up","Escalation to Local Office","Escalation to CBE","Escalation to Roxanne")&amp;" sent "&amp;TEXT($X243,"dd-mmm")&amp;". "&amp;IF($W243=6,"Final escalation completed.",IF($T243="OVERDUE","Next: "&amp;$Z243&amp;" was due "&amp;TEXT($Y243,"dd-mmm")&amp;" - "&amp;(NETWORKDAYS($Y243,TODAY(),Holidays)-1)&amp;" business day(s) late. Send now.",IF($T243="DUE TOMORROW","Next: "&amp;$Z243&amp;IF($Y243&lt;=TODAY()," is due TODAY ("," is due next business day (")&amp;TEXT($Y243,"dd-mmm")&amp;").","Next: "&amp;$Z243&amp;" due "&amp;TEXT($Y243,"dd-mmm")&amp;" ("&amp;(NETWORKDAYS(TODAY(),$Y243,Holidays)-1)&amp;" business day(s) left).")))))</f>
        <v/>
      </c>
      <c r="V243" s="17">
        <f>IF($W243="","",CHOOSE($W243,"Collection Email","1st Follow-up","2nd Follow-up","Local Office","CBE","Roxanne")&amp;IF($W243=6," - Final"," - Day "&amp;MAX(0,NETWORKDAYS($X243,TODAY(),Holidays)-1)&amp;" of "&amp;CHOOSE($W243,3,3,2,2,3))&amp;" | Total Day "&amp;MAX(0,NETWORKDAYS($L243,TODAY(),Holidays)-1))</f>
        <v/>
      </c>
      <c r="W243" s="17">
        <f>IF($L243="","",COUNT($L243:$Q243))</f>
        <v/>
      </c>
      <c r="X243" s="18">
        <f>IF($W243="","",INT(INDEX($L243:$Q243,$W243)))</f>
        <v/>
      </c>
      <c r="Y243" s="18">
        <f>IF(OR($W243="",$W243=6),"",WORKDAY($X243,CHOOSE($W243,3,3,2,2,3),Holidays))</f>
        <v/>
      </c>
      <c r="Z243" s="17">
        <f>IF(OR($W243="",$W243=6),"",CHOOSE($W243,"1st Email Follow-up","2nd Email Follow-up","Escalate Local Office","Escalate to CBE","Escalate to Roxanne"))</f>
        <v/>
      </c>
    </row>
    <row r="244" spans="18:26">
      <c r="R244" s="15"/>
      <c r="S244" s="16"/>
      <c r="T244" s="17">
        <f>IF(AND(COUNTA($A244:$K244)=0,$L244=""),"",IF($S244="Paid","PAID",IF($S244="Closed","CLOSED",IF($W244="","",IF($W244=6,"ESCALATED TO ROXANNE",IF(TODAY()&gt;$Y244,"OVERDUE",IF($Y244&lt;=WORKDAY(TODAY(),1,Holidays),"DUE TOMORROW",IF($W244=4,"ESCALATED TO LOCAL OFFICE",IF($W244=5,"ESCALATED TO CBE",IF($X244=TODAY(),"EMAIL SENT","MONITORING"))))))))))</f>
        <v/>
      </c>
      <c r="U244" s="17">
        <f>IF($T244="",IF(AND(COUNTA($A244:$K244)&gt;0,$L244=""),"Awaiting Collection Email time stamp.",""),IF(OR($T244="PAID",$T244="CLOSED"),IF($T244="PAID","Account paid. Action completed.","Account closed. No further action required."),CHOOSE($W244,"Collection Email","1st Email Follow-up","2nd Email Follow-up","Escalation to Local Office","Escalation to CBE","Escalation to Roxanne")&amp;" sent "&amp;TEXT($X244,"dd-mmm")&amp;". "&amp;IF($W244=6,"Final escalation completed.",IF($T244="OVERDUE","Next: "&amp;$Z244&amp;" was due "&amp;TEXT($Y244,"dd-mmm")&amp;" - "&amp;(NETWORKDAYS($Y244,TODAY(),Holidays)-1)&amp;" business day(s) late. Send now.",IF($T244="DUE TOMORROW","Next: "&amp;$Z244&amp;IF($Y244&lt;=TODAY()," is due TODAY ("," is due next business day (")&amp;TEXT($Y244,"dd-mmm")&amp;").","Next: "&amp;$Z244&amp;" due "&amp;TEXT($Y244,"dd-mmm")&amp;" ("&amp;(NETWORKDAYS(TODAY(),$Y244,Holidays)-1)&amp;" business day(s) left).")))))</f>
        <v/>
      </c>
      <c r="V244" s="17">
        <f>IF($W244="","",CHOOSE($W244,"Collection Email","1st Follow-up","2nd Follow-up","Local Office","CBE","Roxanne")&amp;IF($W244=6," - Final"," - Day "&amp;MAX(0,NETWORKDAYS($X244,TODAY(),Holidays)-1)&amp;" of "&amp;CHOOSE($W244,3,3,2,2,3))&amp;" | Total Day "&amp;MAX(0,NETWORKDAYS($L244,TODAY(),Holidays)-1))</f>
        <v/>
      </c>
      <c r="W244" s="17">
        <f>IF($L244="","",COUNT($L244:$Q244))</f>
        <v/>
      </c>
      <c r="X244" s="18">
        <f>IF($W244="","",INT(INDEX($L244:$Q244,$W244)))</f>
        <v/>
      </c>
      <c r="Y244" s="18">
        <f>IF(OR($W244="",$W244=6),"",WORKDAY($X244,CHOOSE($W244,3,3,2,2,3),Holidays))</f>
        <v/>
      </c>
      <c r="Z244" s="17">
        <f>IF(OR($W244="",$W244=6),"",CHOOSE($W244,"1st Email Follow-up","2nd Email Follow-up","Escalate Local Office","Escalate to CBE","Escalate to Roxanne"))</f>
        <v/>
      </c>
    </row>
    <row r="245" spans="18:26">
      <c r="R245" s="15"/>
      <c r="S245" s="16"/>
      <c r="T245" s="17">
        <f>IF(AND(COUNTA($A245:$K245)=0,$L245=""),"",IF($S245="Paid","PAID",IF($S245="Closed","CLOSED",IF($W245="","",IF($W245=6,"ESCALATED TO ROXANNE",IF(TODAY()&gt;$Y245,"OVERDUE",IF($Y245&lt;=WORKDAY(TODAY(),1,Holidays),"DUE TOMORROW",IF($W245=4,"ESCALATED TO LOCAL OFFICE",IF($W245=5,"ESCALATED TO CBE",IF($X245=TODAY(),"EMAIL SENT","MONITORING"))))))))))</f>
        <v/>
      </c>
      <c r="U245" s="17">
        <f>IF($T245="",IF(AND(COUNTA($A245:$K245)&gt;0,$L245=""),"Awaiting Collection Email time stamp.",""),IF(OR($T245="PAID",$T245="CLOSED"),IF($T245="PAID","Account paid. Action completed.","Account closed. No further action required."),CHOOSE($W245,"Collection Email","1st Email Follow-up","2nd Email Follow-up","Escalation to Local Office","Escalation to CBE","Escalation to Roxanne")&amp;" sent "&amp;TEXT($X245,"dd-mmm")&amp;". "&amp;IF($W245=6,"Final escalation completed.",IF($T245="OVERDUE","Next: "&amp;$Z245&amp;" was due "&amp;TEXT($Y245,"dd-mmm")&amp;" - "&amp;(NETWORKDAYS($Y245,TODAY(),Holidays)-1)&amp;" business day(s) late. Send now.",IF($T245="DUE TOMORROW","Next: "&amp;$Z245&amp;IF($Y245&lt;=TODAY()," is due TODAY ("," is due next business day (")&amp;TEXT($Y245,"dd-mmm")&amp;").","Next: "&amp;$Z245&amp;" due "&amp;TEXT($Y245,"dd-mmm")&amp;" ("&amp;(NETWORKDAYS(TODAY(),$Y245,Holidays)-1)&amp;" business day(s) left).")))))</f>
        <v/>
      </c>
      <c r="V245" s="17">
        <f>IF($W245="","",CHOOSE($W245,"Collection Email","1st Follow-up","2nd Follow-up","Local Office","CBE","Roxanne")&amp;IF($W245=6," - Final"," - Day "&amp;MAX(0,NETWORKDAYS($X245,TODAY(),Holidays)-1)&amp;" of "&amp;CHOOSE($W245,3,3,2,2,3))&amp;" | Total Day "&amp;MAX(0,NETWORKDAYS($L245,TODAY(),Holidays)-1))</f>
        <v/>
      </c>
      <c r="W245" s="17">
        <f>IF($L245="","",COUNT($L245:$Q245))</f>
        <v/>
      </c>
      <c r="X245" s="18">
        <f>IF($W245="","",INT(INDEX($L245:$Q245,$W245)))</f>
        <v/>
      </c>
      <c r="Y245" s="18">
        <f>IF(OR($W245="",$W245=6),"",WORKDAY($X245,CHOOSE($W245,3,3,2,2,3),Holidays))</f>
        <v/>
      </c>
      <c r="Z245" s="17">
        <f>IF(OR($W245="",$W245=6),"",CHOOSE($W245,"1st Email Follow-up","2nd Email Follow-up","Escalate Local Office","Escalate to CBE","Escalate to Roxanne"))</f>
        <v/>
      </c>
    </row>
    <row r="246" spans="18:26">
      <c r="R246" s="15"/>
      <c r="S246" s="16"/>
      <c r="T246" s="17">
        <f>IF(AND(COUNTA($A246:$K246)=0,$L246=""),"",IF($S246="Paid","PAID",IF($S246="Closed","CLOSED",IF($W246="","",IF($W246=6,"ESCALATED TO ROXANNE",IF(TODAY()&gt;$Y246,"OVERDUE",IF($Y246&lt;=WORKDAY(TODAY(),1,Holidays),"DUE TOMORROW",IF($W246=4,"ESCALATED TO LOCAL OFFICE",IF($W246=5,"ESCALATED TO CBE",IF($X246=TODAY(),"EMAIL SENT","MONITORING"))))))))))</f>
        <v/>
      </c>
      <c r="U246" s="17">
        <f>IF($T246="",IF(AND(COUNTA($A246:$K246)&gt;0,$L246=""),"Awaiting Collection Email time stamp.",""),IF(OR($T246="PAID",$T246="CLOSED"),IF($T246="PAID","Account paid. Action completed.","Account closed. No further action required."),CHOOSE($W246,"Collection Email","1st Email Follow-up","2nd Email Follow-up","Escalation to Local Office","Escalation to CBE","Escalation to Roxanne")&amp;" sent "&amp;TEXT($X246,"dd-mmm")&amp;". "&amp;IF($W246=6,"Final escalation completed.",IF($T246="OVERDUE","Next: "&amp;$Z246&amp;" was due "&amp;TEXT($Y246,"dd-mmm")&amp;" - "&amp;(NETWORKDAYS($Y246,TODAY(),Holidays)-1)&amp;" business day(s) late. Send now.",IF($T246="DUE TOMORROW","Next: "&amp;$Z246&amp;IF($Y246&lt;=TODAY()," is due TODAY ("," is due next business day (")&amp;TEXT($Y246,"dd-mmm")&amp;").","Next: "&amp;$Z246&amp;" due "&amp;TEXT($Y246,"dd-mmm")&amp;" ("&amp;(NETWORKDAYS(TODAY(),$Y246,Holidays)-1)&amp;" business day(s) left).")))))</f>
        <v/>
      </c>
      <c r="V246" s="17">
        <f>IF($W246="","",CHOOSE($W246,"Collection Email","1st Follow-up","2nd Follow-up","Local Office","CBE","Roxanne")&amp;IF($W246=6," - Final"," - Day "&amp;MAX(0,NETWORKDAYS($X246,TODAY(),Holidays)-1)&amp;" of "&amp;CHOOSE($W246,3,3,2,2,3))&amp;" | Total Day "&amp;MAX(0,NETWORKDAYS($L246,TODAY(),Holidays)-1))</f>
        <v/>
      </c>
      <c r="W246" s="17">
        <f>IF($L246="","",COUNT($L246:$Q246))</f>
        <v/>
      </c>
      <c r="X246" s="18">
        <f>IF($W246="","",INT(INDEX($L246:$Q246,$W246)))</f>
        <v/>
      </c>
      <c r="Y246" s="18">
        <f>IF(OR($W246="",$W246=6),"",WORKDAY($X246,CHOOSE($W246,3,3,2,2,3),Holidays))</f>
        <v/>
      </c>
      <c r="Z246" s="17">
        <f>IF(OR($W246="",$W246=6),"",CHOOSE($W246,"1st Email Follow-up","2nd Email Follow-up","Escalate Local Office","Escalate to CBE","Escalate to Roxanne"))</f>
        <v/>
      </c>
    </row>
    <row r="247" spans="18:26">
      <c r="R247" s="15"/>
      <c r="S247" s="16"/>
      <c r="T247" s="17">
        <f>IF(AND(COUNTA($A247:$K247)=0,$L247=""),"",IF($S247="Paid","PAID",IF($S247="Closed","CLOSED",IF($W247="","",IF($W247=6,"ESCALATED TO ROXANNE",IF(TODAY()&gt;$Y247,"OVERDUE",IF($Y247&lt;=WORKDAY(TODAY(),1,Holidays),"DUE TOMORROW",IF($W247=4,"ESCALATED TO LOCAL OFFICE",IF($W247=5,"ESCALATED TO CBE",IF($X247=TODAY(),"EMAIL SENT","MONITORING"))))))))))</f>
        <v/>
      </c>
      <c r="U247" s="17">
        <f>IF($T247="",IF(AND(COUNTA($A247:$K247)&gt;0,$L247=""),"Awaiting Collection Email time stamp.",""),IF(OR($T247="PAID",$T247="CLOSED"),IF($T247="PAID","Account paid. Action completed.","Account closed. No further action required."),CHOOSE($W247,"Collection Email","1st Email Follow-up","2nd Email Follow-up","Escalation to Local Office","Escalation to CBE","Escalation to Roxanne")&amp;" sent "&amp;TEXT($X247,"dd-mmm")&amp;". "&amp;IF($W247=6,"Final escalation completed.",IF($T247="OVERDUE","Next: "&amp;$Z247&amp;" was due "&amp;TEXT($Y247,"dd-mmm")&amp;" - "&amp;(NETWORKDAYS($Y247,TODAY(),Holidays)-1)&amp;" business day(s) late. Send now.",IF($T247="DUE TOMORROW","Next: "&amp;$Z247&amp;IF($Y247&lt;=TODAY()," is due TODAY ("," is due next business day (")&amp;TEXT($Y247,"dd-mmm")&amp;").","Next: "&amp;$Z247&amp;" due "&amp;TEXT($Y247,"dd-mmm")&amp;" ("&amp;(NETWORKDAYS(TODAY(),$Y247,Holidays)-1)&amp;" business day(s) left).")))))</f>
        <v/>
      </c>
      <c r="V247" s="17">
        <f>IF($W247="","",CHOOSE($W247,"Collection Email","1st Follow-up","2nd Follow-up","Local Office","CBE","Roxanne")&amp;IF($W247=6," - Final"," - Day "&amp;MAX(0,NETWORKDAYS($X247,TODAY(),Holidays)-1)&amp;" of "&amp;CHOOSE($W247,3,3,2,2,3))&amp;" | Total Day "&amp;MAX(0,NETWORKDAYS($L247,TODAY(),Holidays)-1))</f>
        <v/>
      </c>
      <c r="W247" s="17">
        <f>IF($L247="","",COUNT($L247:$Q247))</f>
        <v/>
      </c>
      <c r="X247" s="18">
        <f>IF($W247="","",INT(INDEX($L247:$Q247,$W247)))</f>
        <v/>
      </c>
      <c r="Y247" s="18">
        <f>IF(OR($W247="",$W247=6),"",WORKDAY($X247,CHOOSE($W247,3,3,2,2,3),Holidays))</f>
        <v/>
      </c>
      <c r="Z247" s="17">
        <f>IF(OR($W247="",$W247=6),"",CHOOSE($W247,"1st Email Follow-up","2nd Email Follow-up","Escalate Local Office","Escalate to CBE","Escalate to Roxanne"))</f>
        <v/>
      </c>
    </row>
    <row r="248" spans="18:26">
      <c r="R248" s="15"/>
      <c r="S248" s="16"/>
      <c r="T248" s="17">
        <f>IF(AND(COUNTA($A248:$K248)=0,$L248=""),"",IF($S248="Paid","PAID",IF($S248="Closed","CLOSED",IF($W248="","",IF($W248=6,"ESCALATED TO ROXANNE",IF(TODAY()&gt;$Y248,"OVERDUE",IF($Y248&lt;=WORKDAY(TODAY(),1,Holidays),"DUE TOMORROW",IF($W248=4,"ESCALATED TO LOCAL OFFICE",IF($W248=5,"ESCALATED TO CBE",IF($X248=TODAY(),"EMAIL SENT","MONITORING"))))))))))</f>
        <v/>
      </c>
      <c r="U248" s="17">
        <f>IF($T248="",IF(AND(COUNTA($A248:$K248)&gt;0,$L248=""),"Awaiting Collection Email time stamp.",""),IF(OR($T248="PAID",$T248="CLOSED"),IF($T248="PAID","Account paid. Action completed.","Account closed. No further action required."),CHOOSE($W248,"Collection Email","1st Email Follow-up","2nd Email Follow-up","Escalation to Local Office","Escalation to CBE","Escalation to Roxanne")&amp;" sent "&amp;TEXT($X248,"dd-mmm")&amp;". "&amp;IF($W248=6,"Final escalation completed.",IF($T248="OVERDUE","Next: "&amp;$Z248&amp;" was due "&amp;TEXT($Y248,"dd-mmm")&amp;" - "&amp;(NETWORKDAYS($Y248,TODAY(),Holidays)-1)&amp;" business day(s) late. Send now.",IF($T248="DUE TOMORROW","Next: "&amp;$Z248&amp;IF($Y248&lt;=TODAY()," is due TODAY ("," is due next business day (")&amp;TEXT($Y248,"dd-mmm")&amp;").","Next: "&amp;$Z248&amp;" due "&amp;TEXT($Y248,"dd-mmm")&amp;" ("&amp;(NETWORKDAYS(TODAY(),$Y248,Holidays)-1)&amp;" business day(s) left).")))))</f>
        <v/>
      </c>
      <c r="V248" s="17">
        <f>IF($W248="","",CHOOSE($W248,"Collection Email","1st Follow-up","2nd Follow-up","Local Office","CBE","Roxanne")&amp;IF($W248=6," - Final"," - Day "&amp;MAX(0,NETWORKDAYS($X248,TODAY(),Holidays)-1)&amp;" of "&amp;CHOOSE($W248,3,3,2,2,3))&amp;" | Total Day "&amp;MAX(0,NETWORKDAYS($L248,TODAY(),Holidays)-1))</f>
        <v/>
      </c>
      <c r="W248" s="17">
        <f>IF($L248="","",COUNT($L248:$Q248))</f>
        <v/>
      </c>
      <c r="X248" s="18">
        <f>IF($W248="","",INT(INDEX($L248:$Q248,$W248)))</f>
        <v/>
      </c>
      <c r="Y248" s="18">
        <f>IF(OR($W248="",$W248=6),"",WORKDAY($X248,CHOOSE($W248,3,3,2,2,3),Holidays))</f>
        <v/>
      </c>
      <c r="Z248" s="17">
        <f>IF(OR($W248="",$W248=6),"",CHOOSE($W248,"1st Email Follow-up","2nd Email Follow-up","Escalate Local Office","Escalate to CBE","Escalate to Roxanne"))</f>
        <v/>
      </c>
    </row>
    <row r="249" spans="18:26">
      <c r="R249" s="15"/>
      <c r="S249" s="16"/>
      <c r="T249" s="17">
        <f>IF(AND(COUNTA($A249:$K249)=0,$L249=""),"",IF($S249="Paid","PAID",IF($S249="Closed","CLOSED",IF($W249="","",IF($W249=6,"ESCALATED TO ROXANNE",IF(TODAY()&gt;$Y249,"OVERDUE",IF($Y249&lt;=WORKDAY(TODAY(),1,Holidays),"DUE TOMORROW",IF($W249=4,"ESCALATED TO LOCAL OFFICE",IF($W249=5,"ESCALATED TO CBE",IF($X249=TODAY(),"EMAIL SENT","MONITORING"))))))))))</f>
        <v/>
      </c>
      <c r="U249" s="17">
        <f>IF($T249="",IF(AND(COUNTA($A249:$K249)&gt;0,$L249=""),"Awaiting Collection Email time stamp.",""),IF(OR($T249="PAID",$T249="CLOSED"),IF($T249="PAID","Account paid. Action completed.","Account closed. No further action required."),CHOOSE($W249,"Collection Email","1st Email Follow-up","2nd Email Follow-up","Escalation to Local Office","Escalation to CBE","Escalation to Roxanne")&amp;" sent "&amp;TEXT($X249,"dd-mmm")&amp;". "&amp;IF($W249=6,"Final escalation completed.",IF($T249="OVERDUE","Next: "&amp;$Z249&amp;" was due "&amp;TEXT($Y249,"dd-mmm")&amp;" - "&amp;(NETWORKDAYS($Y249,TODAY(),Holidays)-1)&amp;" business day(s) late. Send now.",IF($T249="DUE TOMORROW","Next: "&amp;$Z249&amp;IF($Y249&lt;=TODAY()," is due TODAY ("," is due next business day (")&amp;TEXT($Y249,"dd-mmm")&amp;").","Next: "&amp;$Z249&amp;" due "&amp;TEXT($Y249,"dd-mmm")&amp;" ("&amp;(NETWORKDAYS(TODAY(),$Y249,Holidays)-1)&amp;" business day(s) left).")))))</f>
        <v/>
      </c>
      <c r="V249" s="17">
        <f>IF($W249="","",CHOOSE($W249,"Collection Email","1st Follow-up","2nd Follow-up","Local Office","CBE","Roxanne")&amp;IF($W249=6," - Final"," - Day "&amp;MAX(0,NETWORKDAYS($X249,TODAY(),Holidays)-1)&amp;" of "&amp;CHOOSE($W249,3,3,2,2,3))&amp;" | Total Day "&amp;MAX(0,NETWORKDAYS($L249,TODAY(),Holidays)-1))</f>
        <v/>
      </c>
      <c r="W249" s="17">
        <f>IF($L249="","",COUNT($L249:$Q249))</f>
        <v/>
      </c>
      <c r="X249" s="18">
        <f>IF($W249="","",INT(INDEX($L249:$Q249,$W249)))</f>
        <v/>
      </c>
      <c r="Y249" s="18">
        <f>IF(OR($W249="",$W249=6),"",WORKDAY($X249,CHOOSE($W249,3,3,2,2,3),Holidays))</f>
        <v/>
      </c>
      <c r="Z249" s="17">
        <f>IF(OR($W249="",$W249=6),"",CHOOSE($W249,"1st Email Follow-up","2nd Email Follow-up","Escalate Local Office","Escalate to CBE","Escalate to Roxanne"))</f>
        <v/>
      </c>
    </row>
    <row r="250" spans="18:26">
      <c r="R250" s="15"/>
      <c r="S250" s="16"/>
      <c r="T250" s="17">
        <f>IF(AND(COUNTA($A250:$K250)=0,$L250=""),"",IF($S250="Paid","PAID",IF($S250="Closed","CLOSED",IF($W250="","",IF($W250=6,"ESCALATED TO ROXANNE",IF(TODAY()&gt;$Y250,"OVERDUE",IF($Y250&lt;=WORKDAY(TODAY(),1,Holidays),"DUE TOMORROW",IF($W250=4,"ESCALATED TO LOCAL OFFICE",IF($W250=5,"ESCALATED TO CBE",IF($X250=TODAY(),"EMAIL SENT","MONITORING"))))))))))</f>
        <v/>
      </c>
      <c r="U250" s="17">
        <f>IF($T250="",IF(AND(COUNTA($A250:$K250)&gt;0,$L250=""),"Awaiting Collection Email time stamp.",""),IF(OR($T250="PAID",$T250="CLOSED"),IF($T250="PAID","Account paid. Action completed.","Account closed. No further action required."),CHOOSE($W250,"Collection Email","1st Email Follow-up","2nd Email Follow-up","Escalation to Local Office","Escalation to CBE","Escalation to Roxanne")&amp;" sent "&amp;TEXT($X250,"dd-mmm")&amp;". "&amp;IF($W250=6,"Final escalation completed.",IF($T250="OVERDUE","Next: "&amp;$Z250&amp;" was due "&amp;TEXT($Y250,"dd-mmm")&amp;" - "&amp;(NETWORKDAYS($Y250,TODAY(),Holidays)-1)&amp;" business day(s) late. Send now.",IF($T250="DUE TOMORROW","Next: "&amp;$Z250&amp;IF($Y250&lt;=TODAY()," is due TODAY ("," is due next business day (")&amp;TEXT($Y250,"dd-mmm")&amp;").","Next: "&amp;$Z250&amp;" due "&amp;TEXT($Y250,"dd-mmm")&amp;" ("&amp;(NETWORKDAYS(TODAY(),$Y250,Holidays)-1)&amp;" business day(s) left).")))))</f>
        <v/>
      </c>
      <c r="V250" s="17">
        <f>IF($W250="","",CHOOSE($W250,"Collection Email","1st Follow-up","2nd Follow-up","Local Office","CBE","Roxanne")&amp;IF($W250=6," - Final"," - Day "&amp;MAX(0,NETWORKDAYS($X250,TODAY(),Holidays)-1)&amp;" of "&amp;CHOOSE($W250,3,3,2,2,3))&amp;" | Total Day "&amp;MAX(0,NETWORKDAYS($L250,TODAY(),Holidays)-1))</f>
        <v/>
      </c>
      <c r="W250" s="17">
        <f>IF($L250="","",COUNT($L250:$Q250))</f>
        <v/>
      </c>
      <c r="X250" s="18">
        <f>IF($W250="","",INT(INDEX($L250:$Q250,$W250)))</f>
        <v/>
      </c>
      <c r="Y250" s="18">
        <f>IF(OR($W250="",$W250=6),"",WORKDAY($X250,CHOOSE($W250,3,3,2,2,3),Holidays))</f>
        <v/>
      </c>
      <c r="Z250" s="17">
        <f>IF(OR($W250="",$W250=6),"",CHOOSE($W250,"1st Email Follow-up","2nd Email Follow-up","Escalate Local Office","Escalate to CBE","Escalate to Roxanne"))</f>
        <v/>
      </c>
    </row>
    <row r="251" spans="18:26">
      <c r="R251" s="15"/>
      <c r="S251" s="16"/>
      <c r="T251" s="17">
        <f>IF(AND(COUNTA($A251:$K251)=0,$L251=""),"",IF($S251="Paid","PAID",IF($S251="Closed","CLOSED",IF($W251="","",IF($W251=6,"ESCALATED TO ROXANNE",IF(TODAY()&gt;$Y251,"OVERDUE",IF($Y251&lt;=WORKDAY(TODAY(),1,Holidays),"DUE TOMORROW",IF($W251=4,"ESCALATED TO LOCAL OFFICE",IF($W251=5,"ESCALATED TO CBE",IF($X251=TODAY(),"EMAIL SENT","MONITORING"))))))))))</f>
        <v/>
      </c>
      <c r="U251" s="17">
        <f>IF($T251="",IF(AND(COUNTA($A251:$K251)&gt;0,$L251=""),"Awaiting Collection Email time stamp.",""),IF(OR($T251="PAID",$T251="CLOSED"),IF($T251="PAID","Account paid. Action completed.","Account closed. No further action required."),CHOOSE($W251,"Collection Email","1st Email Follow-up","2nd Email Follow-up","Escalation to Local Office","Escalation to CBE","Escalation to Roxanne")&amp;" sent "&amp;TEXT($X251,"dd-mmm")&amp;". "&amp;IF($W251=6,"Final escalation completed.",IF($T251="OVERDUE","Next: "&amp;$Z251&amp;" was due "&amp;TEXT($Y251,"dd-mmm")&amp;" - "&amp;(NETWORKDAYS($Y251,TODAY(),Holidays)-1)&amp;" business day(s) late. Send now.",IF($T251="DUE TOMORROW","Next: "&amp;$Z251&amp;IF($Y251&lt;=TODAY()," is due TODAY ("," is due next business day (")&amp;TEXT($Y251,"dd-mmm")&amp;").","Next: "&amp;$Z251&amp;" due "&amp;TEXT($Y251,"dd-mmm")&amp;" ("&amp;(NETWORKDAYS(TODAY(),$Y251,Holidays)-1)&amp;" business day(s) left).")))))</f>
        <v/>
      </c>
      <c r="V251" s="17">
        <f>IF($W251="","",CHOOSE($W251,"Collection Email","1st Follow-up","2nd Follow-up","Local Office","CBE","Roxanne")&amp;IF($W251=6," - Final"," - Day "&amp;MAX(0,NETWORKDAYS($X251,TODAY(),Holidays)-1)&amp;" of "&amp;CHOOSE($W251,3,3,2,2,3))&amp;" | Total Day "&amp;MAX(0,NETWORKDAYS($L251,TODAY(),Holidays)-1))</f>
        <v/>
      </c>
      <c r="W251" s="17">
        <f>IF($L251="","",COUNT($L251:$Q251))</f>
        <v/>
      </c>
      <c r="X251" s="18">
        <f>IF($W251="","",INT(INDEX($L251:$Q251,$W251)))</f>
        <v/>
      </c>
      <c r="Y251" s="18">
        <f>IF(OR($W251="",$W251=6),"",WORKDAY($X251,CHOOSE($W251,3,3,2,2,3),Holidays))</f>
        <v/>
      </c>
      <c r="Z251" s="17">
        <f>IF(OR($W251="",$W251=6),"",CHOOSE($W251,"1st Email Follow-up","2nd Email Follow-up","Escalate Local Office","Escalate to CBE","Escalate to Roxanne"))</f>
        <v/>
      </c>
    </row>
    <row r="252" spans="18:26">
      <c r="R252" s="15"/>
      <c r="S252" s="16"/>
      <c r="T252" s="17">
        <f>IF(AND(COUNTA($A252:$K252)=0,$L252=""),"",IF($S252="Paid","PAID",IF($S252="Closed","CLOSED",IF($W252="","",IF($W252=6,"ESCALATED TO ROXANNE",IF(TODAY()&gt;$Y252,"OVERDUE",IF($Y252&lt;=WORKDAY(TODAY(),1,Holidays),"DUE TOMORROW",IF($W252=4,"ESCALATED TO LOCAL OFFICE",IF($W252=5,"ESCALATED TO CBE",IF($X252=TODAY(),"EMAIL SENT","MONITORING"))))))))))</f>
        <v/>
      </c>
      <c r="U252" s="17">
        <f>IF($T252="",IF(AND(COUNTA($A252:$K252)&gt;0,$L252=""),"Awaiting Collection Email time stamp.",""),IF(OR($T252="PAID",$T252="CLOSED"),IF($T252="PAID","Account paid. Action completed.","Account closed. No further action required."),CHOOSE($W252,"Collection Email","1st Email Follow-up","2nd Email Follow-up","Escalation to Local Office","Escalation to CBE","Escalation to Roxanne")&amp;" sent "&amp;TEXT($X252,"dd-mmm")&amp;". "&amp;IF($W252=6,"Final escalation completed.",IF($T252="OVERDUE","Next: "&amp;$Z252&amp;" was due "&amp;TEXT($Y252,"dd-mmm")&amp;" - "&amp;(NETWORKDAYS($Y252,TODAY(),Holidays)-1)&amp;" business day(s) late. Send now.",IF($T252="DUE TOMORROW","Next: "&amp;$Z252&amp;IF($Y252&lt;=TODAY()," is due TODAY ("," is due next business day (")&amp;TEXT($Y252,"dd-mmm")&amp;").","Next: "&amp;$Z252&amp;" due "&amp;TEXT($Y252,"dd-mmm")&amp;" ("&amp;(NETWORKDAYS(TODAY(),$Y252,Holidays)-1)&amp;" business day(s) left).")))))</f>
        <v/>
      </c>
      <c r="V252" s="17">
        <f>IF($W252="","",CHOOSE($W252,"Collection Email","1st Follow-up","2nd Follow-up","Local Office","CBE","Roxanne")&amp;IF($W252=6," - Final"," - Day "&amp;MAX(0,NETWORKDAYS($X252,TODAY(),Holidays)-1)&amp;" of "&amp;CHOOSE($W252,3,3,2,2,3))&amp;" | Total Day "&amp;MAX(0,NETWORKDAYS($L252,TODAY(),Holidays)-1))</f>
        <v/>
      </c>
      <c r="W252" s="17">
        <f>IF($L252="","",COUNT($L252:$Q252))</f>
        <v/>
      </c>
      <c r="X252" s="18">
        <f>IF($W252="","",INT(INDEX($L252:$Q252,$W252)))</f>
        <v/>
      </c>
      <c r="Y252" s="18">
        <f>IF(OR($W252="",$W252=6),"",WORKDAY($X252,CHOOSE($W252,3,3,2,2,3),Holidays))</f>
        <v/>
      </c>
      <c r="Z252" s="17">
        <f>IF(OR($W252="",$W252=6),"",CHOOSE($W252,"1st Email Follow-up","2nd Email Follow-up","Escalate Local Office","Escalate to CBE","Escalate to Roxanne"))</f>
        <v/>
      </c>
    </row>
    <row r="253" spans="18:26">
      <c r="R253" s="15"/>
      <c r="S253" s="16"/>
      <c r="T253" s="17">
        <f>IF(AND(COUNTA($A253:$K253)=0,$L253=""),"",IF($S253="Paid","PAID",IF($S253="Closed","CLOSED",IF($W253="","",IF($W253=6,"ESCALATED TO ROXANNE",IF(TODAY()&gt;$Y253,"OVERDUE",IF($Y253&lt;=WORKDAY(TODAY(),1,Holidays),"DUE TOMORROW",IF($W253=4,"ESCALATED TO LOCAL OFFICE",IF($W253=5,"ESCALATED TO CBE",IF($X253=TODAY(),"EMAIL SENT","MONITORING"))))))))))</f>
        <v/>
      </c>
      <c r="U253" s="17">
        <f>IF($T253="",IF(AND(COUNTA($A253:$K253)&gt;0,$L253=""),"Awaiting Collection Email time stamp.",""),IF(OR($T253="PAID",$T253="CLOSED"),IF($T253="PAID","Account paid. Action completed.","Account closed. No further action required."),CHOOSE($W253,"Collection Email","1st Email Follow-up","2nd Email Follow-up","Escalation to Local Office","Escalation to CBE","Escalation to Roxanne")&amp;" sent "&amp;TEXT($X253,"dd-mmm")&amp;". "&amp;IF($W253=6,"Final escalation completed.",IF($T253="OVERDUE","Next: "&amp;$Z253&amp;" was due "&amp;TEXT($Y253,"dd-mmm")&amp;" - "&amp;(NETWORKDAYS($Y253,TODAY(),Holidays)-1)&amp;" business day(s) late. Send now.",IF($T253="DUE TOMORROW","Next: "&amp;$Z253&amp;IF($Y253&lt;=TODAY()," is due TODAY ("," is due next business day (")&amp;TEXT($Y253,"dd-mmm")&amp;").","Next: "&amp;$Z253&amp;" due "&amp;TEXT($Y253,"dd-mmm")&amp;" ("&amp;(NETWORKDAYS(TODAY(),$Y253,Holidays)-1)&amp;" business day(s) left).")))))</f>
        <v/>
      </c>
      <c r="V253" s="17">
        <f>IF($W253="","",CHOOSE($W253,"Collection Email","1st Follow-up","2nd Follow-up","Local Office","CBE","Roxanne")&amp;IF($W253=6," - Final"," - Day "&amp;MAX(0,NETWORKDAYS($X253,TODAY(),Holidays)-1)&amp;" of "&amp;CHOOSE($W253,3,3,2,2,3))&amp;" | Total Day "&amp;MAX(0,NETWORKDAYS($L253,TODAY(),Holidays)-1))</f>
        <v/>
      </c>
      <c r="W253" s="17">
        <f>IF($L253="","",COUNT($L253:$Q253))</f>
        <v/>
      </c>
      <c r="X253" s="18">
        <f>IF($W253="","",INT(INDEX($L253:$Q253,$W253)))</f>
        <v/>
      </c>
      <c r="Y253" s="18">
        <f>IF(OR($W253="",$W253=6),"",WORKDAY($X253,CHOOSE($W253,3,3,2,2,3),Holidays))</f>
        <v/>
      </c>
      <c r="Z253" s="17">
        <f>IF(OR($W253="",$W253=6),"",CHOOSE($W253,"1st Email Follow-up","2nd Email Follow-up","Escalate Local Office","Escalate to CBE","Escalate to Roxanne"))</f>
        <v/>
      </c>
    </row>
    <row r="254" spans="18:26">
      <c r="R254" s="15"/>
      <c r="S254" s="16"/>
      <c r="T254" s="17">
        <f>IF(AND(COUNTA($A254:$K254)=0,$L254=""),"",IF($S254="Paid","PAID",IF($S254="Closed","CLOSED",IF($W254="","",IF($W254=6,"ESCALATED TO ROXANNE",IF(TODAY()&gt;$Y254,"OVERDUE",IF($Y254&lt;=WORKDAY(TODAY(),1,Holidays),"DUE TOMORROW",IF($W254=4,"ESCALATED TO LOCAL OFFICE",IF($W254=5,"ESCALATED TO CBE",IF($X254=TODAY(),"EMAIL SENT","MONITORING"))))))))))</f>
        <v/>
      </c>
      <c r="U254" s="17">
        <f>IF($T254="",IF(AND(COUNTA($A254:$K254)&gt;0,$L254=""),"Awaiting Collection Email time stamp.",""),IF(OR($T254="PAID",$T254="CLOSED"),IF($T254="PAID","Account paid. Action completed.","Account closed. No further action required."),CHOOSE($W254,"Collection Email","1st Email Follow-up","2nd Email Follow-up","Escalation to Local Office","Escalation to CBE","Escalation to Roxanne")&amp;" sent "&amp;TEXT($X254,"dd-mmm")&amp;". "&amp;IF($W254=6,"Final escalation completed.",IF($T254="OVERDUE","Next: "&amp;$Z254&amp;" was due "&amp;TEXT($Y254,"dd-mmm")&amp;" - "&amp;(NETWORKDAYS($Y254,TODAY(),Holidays)-1)&amp;" business day(s) late. Send now.",IF($T254="DUE TOMORROW","Next: "&amp;$Z254&amp;IF($Y254&lt;=TODAY()," is due TODAY ("," is due next business day (")&amp;TEXT($Y254,"dd-mmm")&amp;").","Next: "&amp;$Z254&amp;" due "&amp;TEXT($Y254,"dd-mmm")&amp;" ("&amp;(NETWORKDAYS(TODAY(),$Y254,Holidays)-1)&amp;" business day(s) left).")))))</f>
        <v/>
      </c>
      <c r="V254" s="17">
        <f>IF($W254="","",CHOOSE($W254,"Collection Email","1st Follow-up","2nd Follow-up","Local Office","CBE","Roxanne")&amp;IF($W254=6," - Final"," - Day "&amp;MAX(0,NETWORKDAYS($X254,TODAY(),Holidays)-1)&amp;" of "&amp;CHOOSE($W254,3,3,2,2,3))&amp;" | Total Day "&amp;MAX(0,NETWORKDAYS($L254,TODAY(),Holidays)-1))</f>
        <v/>
      </c>
      <c r="W254" s="17">
        <f>IF($L254="","",COUNT($L254:$Q254))</f>
        <v/>
      </c>
      <c r="X254" s="18">
        <f>IF($W254="","",INT(INDEX($L254:$Q254,$W254)))</f>
        <v/>
      </c>
      <c r="Y254" s="18">
        <f>IF(OR($W254="",$W254=6),"",WORKDAY($X254,CHOOSE($W254,3,3,2,2,3),Holidays))</f>
        <v/>
      </c>
      <c r="Z254" s="17">
        <f>IF(OR($W254="",$W254=6),"",CHOOSE($W254,"1st Email Follow-up","2nd Email Follow-up","Escalate Local Office","Escalate to CBE","Escalate to Roxanne"))</f>
        <v/>
      </c>
    </row>
    <row r="255" spans="18:26">
      <c r="R255" s="15"/>
      <c r="S255" s="16"/>
      <c r="T255" s="17">
        <f>IF(AND(COUNTA($A255:$K255)=0,$L255=""),"",IF($S255="Paid","PAID",IF($S255="Closed","CLOSED",IF($W255="","",IF($W255=6,"ESCALATED TO ROXANNE",IF(TODAY()&gt;$Y255,"OVERDUE",IF($Y255&lt;=WORKDAY(TODAY(),1,Holidays),"DUE TOMORROW",IF($W255=4,"ESCALATED TO LOCAL OFFICE",IF($W255=5,"ESCALATED TO CBE",IF($X255=TODAY(),"EMAIL SENT","MONITORING"))))))))))</f>
        <v/>
      </c>
      <c r="U255" s="17">
        <f>IF($T255="",IF(AND(COUNTA($A255:$K255)&gt;0,$L255=""),"Awaiting Collection Email time stamp.",""),IF(OR($T255="PAID",$T255="CLOSED"),IF($T255="PAID","Account paid. Action completed.","Account closed. No further action required."),CHOOSE($W255,"Collection Email","1st Email Follow-up","2nd Email Follow-up","Escalation to Local Office","Escalation to CBE","Escalation to Roxanne")&amp;" sent "&amp;TEXT($X255,"dd-mmm")&amp;". "&amp;IF($W255=6,"Final escalation completed.",IF($T255="OVERDUE","Next: "&amp;$Z255&amp;" was due "&amp;TEXT($Y255,"dd-mmm")&amp;" - "&amp;(NETWORKDAYS($Y255,TODAY(),Holidays)-1)&amp;" business day(s) late. Send now.",IF($T255="DUE TOMORROW","Next: "&amp;$Z255&amp;IF($Y255&lt;=TODAY()," is due TODAY ("," is due next business day (")&amp;TEXT($Y255,"dd-mmm")&amp;").","Next: "&amp;$Z255&amp;" due "&amp;TEXT($Y255,"dd-mmm")&amp;" ("&amp;(NETWORKDAYS(TODAY(),$Y255,Holidays)-1)&amp;" business day(s) left).")))))</f>
        <v/>
      </c>
      <c r="V255" s="17">
        <f>IF($W255="","",CHOOSE($W255,"Collection Email","1st Follow-up","2nd Follow-up","Local Office","CBE","Roxanne")&amp;IF($W255=6," - Final"," - Day "&amp;MAX(0,NETWORKDAYS($X255,TODAY(),Holidays)-1)&amp;" of "&amp;CHOOSE($W255,3,3,2,2,3))&amp;" | Total Day "&amp;MAX(0,NETWORKDAYS($L255,TODAY(),Holidays)-1))</f>
        <v/>
      </c>
      <c r="W255" s="17">
        <f>IF($L255="","",COUNT($L255:$Q255))</f>
        <v/>
      </c>
      <c r="X255" s="18">
        <f>IF($W255="","",INT(INDEX($L255:$Q255,$W255)))</f>
        <v/>
      </c>
      <c r="Y255" s="18">
        <f>IF(OR($W255="",$W255=6),"",WORKDAY($X255,CHOOSE($W255,3,3,2,2,3),Holidays))</f>
        <v/>
      </c>
      <c r="Z255" s="17">
        <f>IF(OR($W255="",$W255=6),"",CHOOSE($W255,"1st Email Follow-up","2nd Email Follow-up","Escalate Local Office","Escalate to CBE","Escalate to Roxanne"))</f>
        <v/>
      </c>
    </row>
    <row r="256" spans="18:26">
      <c r="R256" s="15"/>
      <c r="S256" s="16"/>
      <c r="T256" s="17">
        <f>IF(AND(COUNTA($A256:$K256)=0,$L256=""),"",IF($S256="Paid","PAID",IF($S256="Closed","CLOSED",IF($W256="","",IF($W256=6,"ESCALATED TO ROXANNE",IF(TODAY()&gt;$Y256,"OVERDUE",IF($Y256&lt;=WORKDAY(TODAY(),1,Holidays),"DUE TOMORROW",IF($W256=4,"ESCALATED TO LOCAL OFFICE",IF($W256=5,"ESCALATED TO CBE",IF($X256=TODAY(),"EMAIL SENT","MONITORING"))))))))))</f>
        <v/>
      </c>
      <c r="U256" s="17">
        <f>IF($T256="",IF(AND(COUNTA($A256:$K256)&gt;0,$L256=""),"Awaiting Collection Email time stamp.",""),IF(OR($T256="PAID",$T256="CLOSED"),IF($T256="PAID","Account paid. Action completed.","Account closed. No further action required."),CHOOSE($W256,"Collection Email","1st Email Follow-up","2nd Email Follow-up","Escalation to Local Office","Escalation to CBE","Escalation to Roxanne")&amp;" sent "&amp;TEXT($X256,"dd-mmm")&amp;". "&amp;IF($W256=6,"Final escalation completed.",IF($T256="OVERDUE","Next: "&amp;$Z256&amp;" was due "&amp;TEXT($Y256,"dd-mmm")&amp;" - "&amp;(NETWORKDAYS($Y256,TODAY(),Holidays)-1)&amp;" business day(s) late. Send now.",IF($T256="DUE TOMORROW","Next: "&amp;$Z256&amp;IF($Y256&lt;=TODAY()," is due TODAY ("," is due next business day (")&amp;TEXT($Y256,"dd-mmm")&amp;").","Next: "&amp;$Z256&amp;" due "&amp;TEXT($Y256,"dd-mmm")&amp;" ("&amp;(NETWORKDAYS(TODAY(),$Y256,Holidays)-1)&amp;" business day(s) left).")))))</f>
        <v/>
      </c>
      <c r="V256" s="17">
        <f>IF($W256="","",CHOOSE($W256,"Collection Email","1st Follow-up","2nd Follow-up","Local Office","CBE","Roxanne")&amp;IF($W256=6," - Final"," - Day "&amp;MAX(0,NETWORKDAYS($X256,TODAY(),Holidays)-1)&amp;" of "&amp;CHOOSE($W256,3,3,2,2,3))&amp;" | Total Day "&amp;MAX(0,NETWORKDAYS($L256,TODAY(),Holidays)-1))</f>
        <v/>
      </c>
      <c r="W256" s="17">
        <f>IF($L256="","",COUNT($L256:$Q256))</f>
        <v/>
      </c>
      <c r="X256" s="18">
        <f>IF($W256="","",INT(INDEX($L256:$Q256,$W256)))</f>
        <v/>
      </c>
      <c r="Y256" s="18">
        <f>IF(OR($W256="",$W256=6),"",WORKDAY($X256,CHOOSE($W256,3,3,2,2,3),Holidays))</f>
        <v/>
      </c>
      <c r="Z256" s="17">
        <f>IF(OR($W256="",$W256=6),"",CHOOSE($W256,"1st Email Follow-up","2nd Email Follow-up","Escalate Local Office","Escalate to CBE","Escalate to Roxanne"))</f>
        <v/>
      </c>
    </row>
    <row r="257" spans="18:26">
      <c r="R257" s="15"/>
      <c r="S257" s="16"/>
      <c r="T257" s="17">
        <f>IF(AND(COUNTA($A257:$K257)=0,$L257=""),"",IF($S257="Paid","PAID",IF($S257="Closed","CLOSED",IF($W257="","",IF($W257=6,"ESCALATED TO ROXANNE",IF(TODAY()&gt;$Y257,"OVERDUE",IF($Y257&lt;=WORKDAY(TODAY(),1,Holidays),"DUE TOMORROW",IF($W257=4,"ESCALATED TO LOCAL OFFICE",IF($W257=5,"ESCALATED TO CBE",IF($X257=TODAY(),"EMAIL SENT","MONITORING"))))))))))</f>
        <v/>
      </c>
      <c r="U257" s="17">
        <f>IF($T257="",IF(AND(COUNTA($A257:$K257)&gt;0,$L257=""),"Awaiting Collection Email time stamp.",""),IF(OR($T257="PAID",$T257="CLOSED"),IF($T257="PAID","Account paid. Action completed.","Account closed. No further action required."),CHOOSE($W257,"Collection Email","1st Email Follow-up","2nd Email Follow-up","Escalation to Local Office","Escalation to CBE","Escalation to Roxanne")&amp;" sent "&amp;TEXT($X257,"dd-mmm")&amp;". "&amp;IF($W257=6,"Final escalation completed.",IF($T257="OVERDUE","Next: "&amp;$Z257&amp;" was due "&amp;TEXT($Y257,"dd-mmm")&amp;" - "&amp;(NETWORKDAYS($Y257,TODAY(),Holidays)-1)&amp;" business day(s) late. Send now.",IF($T257="DUE TOMORROW","Next: "&amp;$Z257&amp;IF($Y257&lt;=TODAY()," is due TODAY ("," is due next business day (")&amp;TEXT($Y257,"dd-mmm")&amp;").","Next: "&amp;$Z257&amp;" due "&amp;TEXT($Y257,"dd-mmm")&amp;" ("&amp;(NETWORKDAYS(TODAY(),$Y257,Holidays)-1)&amp;" business day(s) left).")))))</f>
        <v/>
      </c>
      <c r="V257" s="17">
        <f>IF($W257="","",CHOOSE($W257,"Collection Email","1st Follow-up","2nd Follow-up","Local Office","CBE","Roxanne")&amp;IF($W257=6," - Final"," - Day "&amp;MAX(0,NETWORKDAYS($X257,TODAY(),Holidays)-1)&amp;" of "&amp;CHOOSE($W257,3,3,2,2,3))&amp;" | Total Day "&amp;MAX(0,NETWORKDAYS($L257,TODAY(),Holidays)-1))</f>
        <v/>
      </c>
      <c r="W257" s="17">
        <f>IF($L257="","",COUNT($L257:$Q257))</f>
        <v/>
      </c>
      <c r="X257" s="18">
        <f>IF($W257="","",INT(INDEX($L257:$Q257,$W257)))</f>
        <v/>
      </c>
      <c r="Y257" s="18">
        <f>IF(OR($W257="",$W257=6),"",WORKDAY($X257,CHOOSE($W257,3,3,2,2,3),Holidays))</f>
        <v/>
      </c>
      <c r="Z257" s="17">
        <f>IF(OR($W257="",$W257=6),"",CHOOSE($W257,"1st Email Follow-up","2nd Email Follow-up","Escalate Local Office","Escalate to CBE","Escalate to Roxanne"))</f>
        <v/>
      </c>
    </row>
    <row r="258" spans="18:26">
      <c r="R258" s="15"/>
      <c r="S258" s="16"/>
      <c r="T258" s="17">
        <f>IF(AND(COUNTA($A258:$K258)=0,$L258=""),"",IF($S258="Paid","PAID",IF($S258="Closed","CLOSED",IF($W258="","",IF($W258=6,"ESCALATED TO ROXANNE",IF(TODAY()&gt;$Y258,"OVERDUE",IF($Y258&lt;=WORKDAY(TODAY(),1,Holidays),"DUE TOMORROW",IF($W258=4,"ESCALATED TO LOCAL OFFICE",IF($W258=5,"ESCALATED TO CBE",IF($X258=TODAY(),"EMAIL SENT","MONITORING"))))))))))</f>
        <v/>
      </c>
      <c r="U258" s="17">
        <f>IF($T258="",IF(AND(COUNTA($A258:$K258)&gt;0,$L258=""),"Awaiting Collection Email time stamp.",""),IF(OR($T258="PAID",$T258="CLOSED"),IF($T258="PAID","Account paid. Action completed.","Account closed. No further action required."),CHOOSE($W258,"Collection Email","1st Email Follow-up","2nd Email Follow-up","Escalation to Local Office","Escalation to CBE","Escalation to Roxanne")&amp;" sent "&amp;TEXT($X258,"dd-mmm")&amp;". "&amp;IF($W258=6,"Final escalation completed.",IF($T258="OVERDUE","Next: "&amp;$Z258&amp;" was due "&amp;TEXT($Y258,"dd-mmm")&amp;" - "&amp;(NETWORKDAYS($Y258,TODAY(),Holidays)-1)&amp;" business day(s) late. Send now.",IF($T258="DUE TOMORROW","Next: "&amp;$Z258&amp;IF($Y258&lt;=TODAY()," is due TODAY ("," is due next business day (")&amp;TEXT($Y258,"dd-mmm")&amp;").","Next: "&amp;$Z258&amp;" due "&amp;TEXT($Y258,"dd-mmm")&amp;" ("&amp;(NETWORKDAYS(TODAY(),$Y258,Holidays)-1)&amp;" business day(s) left).")))))</f>
        <v/>
      </c>
      <c r="V258" s="17">
        <f>IF($W258="","",CHOOSE($W258,"Collection Email","1st Follow-up","2nd Follow-up","Local Office","CBE","Roxanne")&amp;IF($W258=6," - Final"," - Day "&amp;MAX(0,NETWORKDAYS($X258,TODAY(),Holidays)-1)&amp;" of "&amp;CHOOSE($W258,3,3,2,2,3))&amp;" | Total Day "&amp;MAX(0,NETWORKDAYS($L258,TODAY(),Holidays)-1))</f>
        <v/>
      </c>
      <c r="W258" s="17">
        <f>IF($L258="","",COUNT($L258:$Q258))</f>
        <v/>
      </c>
      <c r="X258" s="18">
        <f>IF($W258="","",INT(INDEX($L258:$Q258,$W258)))</f>
        <v/>
      </c>
      <c r="Y258" s="18">
        <f>IF(OR($W258="",$W258=6),"",WORKDAY($X258,CHOOSE($W258,3,3,2,2,3),Holidays))</f>
        <v/>
      </c>
      <c r="Z258" s="17">
        <f>IF(OR($W258="",$W258=6),"",CHOOSE($W258,"1st Email Follow-up","2nd Email Follow-up","Escalate Local Office","Escalate to CBE","Escalate to Roxanne"))</f>
        <v/>
      </c>
    </row>
    <row r="259" spans="18:26">
      <c r="R259" s="15"/>
      <c r="S259" s="16"/>
      <c r="T259" s="17">
        <f>IF(AND(COUNTA($A259:$K259)=0,$L259=""),"",IF($S259="Paid","PAID",IF($S259="Closed","CLOSED",IF($W259="","",IF($W259=6,"ESCALATED TO ROXANNE",IF(TODAY()&gt;$Y259,"OVERDUE",IF($Y259&lt;=WORKDAY(TODAY(),1,Holidays),"DUE TOMORROW",IF($W259=4,"ESCALATED TO LOCAL OFFICE",IF($W259=5,"ESCALATED TO CBE",IF($X259=TODAY(),"EMAIL SENT","MONITORING"))))))))))</f>
        <v/>
      </c>
      <c r="U259" s="17">
        <f>IF($T259="",IF(AND(COUNTA($A259:$K259)&gt;0,$L259=""),"Awaiting Collection Email time stamp.",""),IF(OR($T259="PAID",$T259="CLOSED"),IF($T259="PAID","Account paid. Action completed.","Account closed. No further action required."),CHOOSE($W259,"Collection Email","1st Email Follow-up","2nd Email Follow-up","Escalation to Local Office","Escalation to CBE","Escalation to Roxanne")&amp;" sent "&amp;TEXT($X259,"dd-mmm")&amp;". "&amp;IF($W259=6,"Final escalation completed.",IF($T259="OVERDUE","Next: "&amp;$Z259&amp;" was due "&amp;TEXT($Y259,"dd-mmm")&amp;" - "&amp;(NETWORKDAYS($Y259,TODAY(),Holidays)-1)&amp;" business day(s) late. Send now.",IF($T259="DUE TOMORROW","Next: "&amp;$Z259&amp;IF($Y259&lt;=TODAY()," is due TODAY ("," is due next business day (")&amp;TEXT($Y259,"dd-mmm")&amp;").","Next: "&amp;$Z259&amp;" due "&amp;TEXT($Y259,"dd-mmm")&amp;" ("&amp;(NETWORKDAYS(TODAY(),$Y259,Holidays)-1)&amp;" business day(s) left).")))))</f>
        <v/>
      </c>
      <c r="V259" s="17">
        <f>IF($W259="","",CHOOSE($W259,"Collection Email","1st Follow-up","2nd Follow-up","Local Office","CBE","Roxanne")&amp;IF($W259=6," - Final"," - Day "&amp;MAX(0,NETWORKDAYS($X259,TODAY(),Holidays)-1)&amp;" of "&amp;CHOOSE($W259,3,3,2,2,3))&amp;" | Total Day "&amp;MAX(0,NETWORKDAYS($L259,TODAY(),Holidays)-1))</f>
        <v/>
      </c>
      <c r="W259" s="17">
        <f>IF($L259="","",COUNT($L259:$Q259))</f>
        <v/>
      </c>
      <c r="X259" s="18">
        <f>IF($W259="","",INT(INDEX($L259:$Q259,$W259)))</f>
        <v/>
      </c>
      <c r="Y259" s="18">
        <f>IF(OR($W259="",$W259=6),"",WORKDAY($X259,CHOOSE($W259,3,3,2,2,3),Holidays))</f>
        <v/>
      </c>
      <c r="Z259" s="17">
        <f>IF(OR($W259="",$W259=6),"",CHOOSE($W259,"1st Email Follow-up","2nd Email Follow-up","Escalate Local Office","Escalate to CBE","Escalate to Roxanne"))</f>
        <v/>
      </c>
    </row>
    <row r="260" spans="18:26">
      <c r="R260" s="15"/>
      <c r="S260" s="16"/>
      <c r="T260" s="17">
        <f>IF(AND(COUNTA($A260:$K260)=0,$L260=""),"",IF($S260="Paid","PAID",IF($S260="Closed","CLOSED",IF($W260="","",IF($W260=6,"ESCALATED TO ROXANNE",IF(TODAY()&gt;$Y260,"OVERDUE",IF($Y260&lt;=WORKDAY(TODAY(),1,Holidays),"DUE TOMORROW",IF($W260=4,"ESCALATED TO LOCAL OFFICE",IF($W260=5,"ESCALATED TO CBE",IF($X260=TODAY(),"EMAIL SENT","MONITORING"))))))))))</f>
        <v/>
      </c>
      <c r="U260" s="17">
        <f>IF($T260="",IF(AND(COUNTA($A260:$K260)&gt;0,$L260=""),"Awaiting Collection Email time stamp.",""),IF(OR($T260="PAID",$T260="CLOSED"),IF($T260="PAID","Account paid. Action completed.","Account closed. No further action required."),CHOOSE($W260,"Collection Email","1st Email Follow-up","2nd Email Follow-up","Escalation to Local Office","Escalation to CBE","Escalation to Roxanne")&amp;" sent "&amp;TEXT($X260,"dd-mmm")&amp;". "&amp;IF($W260=6,"Final escalation completed.",IF($T260="OVERDUE","Next: "&amp;$Z260&amp;" was due "&amp;TEXT($Y260,"dd-mmm")&amp;" - "&amp;(NETWORKDAYS($Y260,TODAY(),Holidays)-1)&amp;" business day(s) late. Send now.",IF($T260="DUE TOMORROW","Next: "&amp;$Z260&amp;IF($Y260&lt;=TODAY()," is due TODAY ("," is due next business day (")&amp;TEXT($Y260,"dd-mmm")&amp;").","Next: "&amp;$Z260&amp;" due "&amp;TEXT($Y260,"dd-mmm")&amp;" ("&amp;(NETWORKDAYS(TODAY(),$Y260,Holidays)-1)&amp;" business day(s) left).")))))</f>
        <v/>
      </c>
      <c r="V260" s="17">
        <f>IF($W260="","",CHOOSE($W260,"Collection Email","1st Follow-up","2nd Follow-up","Local Office","CBE","Roxanne")&amp;IF($W260=6," - Final"," - Day "&amp;MAX(0,NETWORKDAYS($X260,TODAY(),Holidays)-1)&amp;" of "&amp;CHOOSE($W260,3,3,2,2,3))&amp;" | Total Day "&amp;MAX(0,NETWORKDAYS($L260,TODAY(),Holidays)-1))</f>
        <v/>
      </c>
      <c r="W260" s="17">
        <f>IF($L260="","",COUNT($L260:$Q260))</f>
        <v/>
      </c>
      <c r="X260" s="18">
        <f>IF($W260="","",INT(INDEX($L260:$Q260,$W260)))</f>
        <v/>
      </c>
      <c r="Y260" s="18">
        <f>IF(OR($W260="",$W260=6),"",WORKDAY($X260,CHOOSE($W260,3,3,2,2,3),Holidays))</f>
        <v/>
      </c>
      <c r="Z260" s="17">
        <f>IF(OR($W260="",$W260=6),"",CHOOSE($W260,"1st Email Follow-up","2nd Email Follow-up","Escalate Local Office","Escalate to CBE","Escalate to Roxanne"))</f>
        <v/>
      </c>
    </row>
    <row r="261" spans="18:26">
      <c r="R261" s="15"/>
      <c r="S261" s="16"/>
      <c r="T261" s="17">
        <f>IF(AND(COUNTA($A261:$K261)=0,$L261=""),"",IF($S261="Paid","PAID",IF($S261="Closed","CLOSED",IF($W261="","",IF($W261=6,"ESCALATED TO ROXANNE",IF(TODAY()&gt;$Y261,"OVERDUE",IF($Y261&lt;=WORKDAY(TODAY(),1,Holidays),"DUE TOMORROW",IF($W261=4,"ESCALATED TO LOCAL OFFICE",IF($W261=5,"ESCALATED TO CBE",IF($X261=TODAY(),"EMAIL SENT","MONITORING"))))))))))</f>
        <v/>
      </c>
      <c r="U261" s="17">
        <f>IF($T261="",IF(AND(COUNTA($A261:$K261)&gt;0,$L261=""),"Awaiting Collection Email time stamp.",""),IF(OR($T261="PAID",$T261="CLOSED"),IF($T261="PAID","Account paid. Action completed.","Account closed. No further action required."),CHOOSE($W261,"Collection Email","1st Email Follow-up","2nd Email Follow-up","Escalation to Local Office","Escalation to CBE","Escalation to Roxanne")&amp;" sent "&amp;TEXT($X261,"dd-mmm")&amp;". "&amp;IF($W261=6,"Final escalation completed.",IF($T261="OVERDUE","Next: "&amp;$Z261&amp;" was due "&amp;TEXT($Y261,"dd-mmm")&amp;" - "&amp;(NETWORKDAYS($Y261,TODAY(),Holidays)-1)&amp;" business day(s) late. Send now.",IF($T261="DUE TOMORROW","Next: "&amp;$Z261&amp;IF($Y261&lt;=TODAY()," is due TODAY ("," is due next business day (")&amp;TEXT($Y261,"dd-mmm")&amp;").","Next: "&amp;$Z261&amp;" due "&amp;TEXT($Y261,"dd-mmm")&amp;" ("&amp;(NETWORKDAYS(TODAY(),$Y261,Holidays)-1)&amp;" business day(s) left).")))))</f>
        <v/>
      </c>
      <c r="V261" s="17">
        <f>IF($W261="","",CHOOSE($W261,"Collection Email","1st Follow-up","2nd Follow-up","Local Office","CBE","Roxanne")&amp;IF($W261=6," - Final"," - Day "&amp;MAX(0,NETWORKDAYS($X261,TODAY(),Holidays)-1)&amp;" of "&amp;CHOOSE($W261,3,3,2,2,3))&amp;" | Total Day "&amp;MAX(0,NETWORKDAYS($L261,TODAY(),Holidays)-1))</f>
        <v/>
      </c>
      <c r="W261" s="17">
        <f>IF($L261="","",COUNT($L261:$Q261))</f>
        <v/>
      </c>
      <c r="X261" s="18">
        <f>IF($W261="","",INT(INDEX($L261:$Q261,$W261)))</f>
        <v/>
      </c>
      <c r="Y261" s="18">
        <f>IF(OR($W261="",$W261=6),"",WORKDAY($X261,CHOOSE($W261,3,3,2,2,3),Holidays))</f>
        <v/>
      </c>
      <c r="Z261" s="17">
        <f>IF(OR($W261="",$W261=6),"",CHOOSE($W261,"1st Email Follow-up","2nd Email Follow-up","Escalate Local Office","Escalate to CBE","Escalate to Roxanne"))</f>
        <v/>
      </c>
    </row>
    <row r="262" spans="18:26">
      <c r="R262" s="15"/>
      <c r="S262" s="16"/>
      <c r="T262" s="17">
        <f>IF(AND(COUNTA($A262:$K262)=0,$L262=""),"",IF($S262="Paid","PAID",IF($S262="Closed","CLOSED",IF($W262="","",IF($W262=6,"ESCALATED TO ROXANNE",IF(TODAY()&gt;$Y262,"OVERDUE",IF($Y262&lt;=WORKDAY(TODAY(),1,Holidays),"DUE TOMORROW",IF($W262=4,"ESCALATED TO LOCAL OFFICE",IF($W262=5,"ESCALATED TO CBE",IF($X262=TODAY(),"EMAIL SENT","MONITORING"))))))))))</f>
        <v/>
      </c>
      <c r="U262" s="17">
        <f>IF($T262="",IF(AND(COUNTA($A262:$K262)&gt;0,$L262=""),"Awaiting Collection Email time stamp.",""),IF(OR($T262="PAID",$T262="CLOSED"),IF($T262="PAID","Account paid. Action completed.","Account closed. No further action required."),CHOOSE($W262,"Collection Email","1st Email Follow-up","2nd Email Follow-up","Escalation to Local Office","Escalation to CBE","Escalation to Roxanne")&amp;" sent "&amp;TEXT($X262,"dd-mmm")&amp;". "&amp;IF($W262=6,"Final escalation completed.",IF($T262="OVERDUE","Next: "&amp;$Z262&amp;" was due "&amp;TEXT($Y262,"dd-mmm")&amp;" - "&amp;(NETWORKDAYS($Y262,TODAY(),Holidays)-1)&amp;" business day(s) late. Send now.",IF($T262="DUE TOMORROW","Next: "&amp;$Z262&amp;IF($Y262&lt;=TODAY()," is due TODAY ("," is due next business day (")&amp;TEXT($Y262,"dd-mmm")&amp;").","Next: "&amp;$Z262&amp;" due "&amp;TEXT($Y262,"dd-mmm")&amp;" ("&amp;(NETWORKDAYS(TODAY(),$Y262,Holidays)-1)&amp;" business day(s) left).")))))</f>
        <v/>
      </c>
      <c r="V262" s="17">
        <f>IF($W262="","",CHOOSE($W262,"Collection Email","1st Follow-up","2nd Follow-up","Local Office","CBE","Roxanne")&amp;IF($W262=6," - Final"," - Day "&amp;MAX(0,NETWORKDAYS($X262,TODAY(),Holidays)-1)&amp;" of "&amp;CHOOSE($W262,3,3,2,2,3))&amp;" | Total Day "&amp;MAX(0,NETWORKDAYS($L262,TODAY(),Holidays)-1))</f>
        <v/>
      </c>
      <c r="W262" s="17">
        <f>IF($L262="","",COUNT($L262:$Q262))</f>
        <v/>
      </c>
      <c r="X262" s="18">
        <f>IF($W262="","",INT(INDEX($L262:$Q262,$W262)))</f>
        <v/>
      </c>
      <c r="Y262" s="18">
        <f>IF(OR($W262="",$W262=6),"",WORKDAY($X262,CHOOSE($W262,3,3,2,2,3),Holidays))</f>
        <v/>
      </c>
      <c r="Z262" s="17">
        <f>IF(OR($W262="",$W262=6),"",CHOOSE($W262,"1st Email Follow-up","2nd Email Follow-up","Escalate Local Office","Escalate to CBE","Escalate to Roxanne"))</f>
        <v/>
      </c>
    </row>
    <row r="263" spans="18:26">
      <c r="R263" s="15"/>
      <c r="S263" s="16"/>
      <c r="T263" s="17">
        <f>IF(AND(COUNTA($A263:$K263)=0,$L263=""),"",IF($S263="Paid","PAID",IF($S263="Closed","CLOSED",IF($W263="","",IF($W263=6,"ESCALATED TO ROXANNE",IF(TODAY()&gt;$Y263,"OVERDUE",IF($Y263&lt;=WORKDAY(TODAY(),1,Holidays),"DUE TOMORROW",IF($W263=4,"ESCALATED TO LOCAL OFFICE",IF($W263=5,"ESCALATED TO CBE",IF($X263=TODAY(),"EMAIL SENT","MONITORING"))))))))))</f>
        <v/>
      </c>
      <c r="U263" s="17">
        <f>IF($T263="",IF(AND(COUNTA($A263:$K263)&gt;0,$L263=""),"Awaiting Collection Email time stamp.",""),IF(OR($T263="PAID",$T263="CLOSED"),IF($T263="PAID","Account paid. Action completed.","Account closed. No further action required."),CHOOSE($W263,"Collection Email","1st Email Follow-up","2nd Email Follow-up","Escalation to Local Office","Escalation to CBE","Escalation to Roxanne")&amp;" sent "&amp;TEXT($X263,"dd-mmm")&amp;". "&amp;IF($W263=6,"Final escalation completed.",IF($T263="OVERDUE","Next: "&amp;$Z263&amp;" was due "&amp;TEXT($Y263,"dd-mmm")&amp;" - "&amp;(NETWORKDAYS($Y263,TODAY(),Holidays)-1)&amp;" business day(s) late. Send now.",IF($T263="DUE TOMORROW","Next: "&amp;$Z263&amp;IF($Y263&lt;=TODAY()," is due TODAY ("," is due next business day (")&amp;TEXT($Y263,"dd-mmm")&amp;").","Next: "&amp;$Z263&amp;" due "&amp;TEXT($Y263,"dd-mmm")&amp;" ("&amp;(NETWORKDAYS(TODAY(),$Y263,Holidays)-1)&amp;" business day(s) left).")))))</f>
        <v/>
      </c>
      <c r="V263" s="17">
        <f>IF($W263="","",CHOOSE($W263,"Collection Email","1st Follow-up","2nd Follow-up","Local Office","CBE","Roxanne")&amp;IF($W263=6," - Final"," - Day "&amp;MAX(0,NETWORKDAYS($X263,TODAY(),Holidays)-1)&amp;" of "&amp;CHOOSE($W263,3,3,2,2,3))&amp;" | Total Day "&amp;MAX(0,NETWORKDAYS($L263,TODAY(),Holidays)-1))</f>
        <v/>
      </c>
      <c r="W263" s="17">
        <f>IF($L263="","",COUNT($L263:$Q263))</f>
        <v/>
      </c>
      <c r="X263" s="18">
        <f>IF($W263="","",INT(INDEX($L263:$Q263,$W263)))</f>
        <v/>
      </c>
      <c r="Y263" s="18">
        <f>IF(OR($W263="",$W263=6),"",WORKDAY($X263,CHOOSE($W263,3,3,2,2,3),Holidays))</f>
        <v/>
      </c>
      <c r="Z263" s="17">
        <f>IF(OR($W263="",$W263=6),"",CHOOSE($W263,"1st Email Follow-up","2nd Email Follow-up","Escalate Local Office","Escalate to CBE","Escalate to Roxanne"))</f>
        <v/>
      </c>
    </row>
    <row r="264" spans="18:26">
      <c r="R264" s="15"/>
      <c r="S264" s="16"/>
      <c r="T264" s="17">
        <f>IF(AND(COUNTA($A264:$K264)=0,$L264=""),"",IF($S264="Paid","PAID",IF($S264="Closed","CLOSED",IF($W264="","",IF($W264=6,"ESCALATED TO ROXANNE",IF(TODAY()&gt;$Y264,"OVERDUE",IF($Y264&lt;=WORKDAY(TODAY(),1,Holidays),"DUE TOMORROW",IF($W264=4,"ESCALATED TO LOCAL OFFICE",IF($W264=5,"ESCALATED TO CBE",IF($X264=TODAY(),"EMAIL SENT","MONITORING"))))))))))</f>
        <v/>
      </c>
      <c r="U264" s="17">
        <f>IF($T264="",IF(AND(COUNTA($A264:$K264)&gt;0,$L264=""),"Awaiting Collection Email time stamp.",""),IF(OR($T264="PAID",$T264="CLOSED"),IF($T264="PAID","Account paid. Action completed.","Account closed. No further action required."),CHOOSE($W264,"Collection Email","1st Email Follow-up","2nd Email Follow-up","Escalation to Local Office","Escalation to CBE","Escalation to Roxanne")&amp;" sent "&amp;TEXT($X264,"dd-mmm")&amp;". "&amp;IF($W264=6,"Final escalation completed.",IF($T264="OVERDUE","Next: "&amp;$Z264&amp;" was due "&amp;TEXT($Y264,"dd-mmm")&amp;" - "&amp;(NETWORKDAYS($Y264,TODAY(),Holidays)-1)&amp;" business day(s) late. Send now.",IF($T264="DUE TOMORROW","Next: "&amp;$Z264&amp;IF($Y264&lt;=TODAY()," is due TODAY ("," is due next business day (")&amp;TEXT($Y264,"dd-mmm")&amp;").","Next: "&amp;$Z264&amp;" due "&amp;TEXT($Y264,"dd-mmm")&amp;" ("&amp;(NETWORKDAYS(TODAY(),$Y264,Holidays)-1)&amp;" business day(s) left).")))))</f>
        <v/>
      </c>
      <c r="V264" s="17">
        <f>IF($W264="","",CHOOSE($W264,"Collection Email","1st Follow-up","2nd Follow-up","Local Office","CBE","Roxanne")&amp;IF($W264=6," - Final"," - Day "&amp;MAX(0,NETWORKDAYS($X264,TODAY(),Holidays)-1)&amp;" of "&amp;CHOOSE($W264,3,3,2,2,3))&amp;" | Total Day "&amp;MAX(0,NETWORKDAYS($L264,TODAY(),Holidays)-1))</f>
        <v/>
      </c>
      <c r="W264" s="17">
        <f>IF($L264="","",COUNT($L264:$Q264))</f>
        <v/>
      </c>
      <c r="X264" s="18">
        <f>IF($W264="","",INT(INDEX($L264:$Q264,$W264)))</f>
        <v/>
      </c>
      <c r="Y264" s="18">
        <f>IF(OR($W264="",$W264=6),"",WORKDAY($X264,CHOOSE($W264,3,3,2,2,3),Holidays))</f>
        <v/>
      </c>
      <c r="Z264" s="17">
        <f>IF(OR($W264="",$W264=6),"",CHOOSE($W264,"1st Email Follow-up","2nd Email Follow-up","Escalate Local Office","Escalate to CBE","Escalate to Roxanne"))</f>
        <v/>
      </c>
    </row>
    <row r="265" spans="18:26">
      <c r="R265" s="15"/>
      <c r="S265" s="16"/>
      <c r="T265" s="17">
        <f>IF(AND(COUNTA($A265:$K265)=0,$L265=""),"",IF($S265="Paid","PAID",IF($S265="Closed","CLOSED",IF($W265="","",IF($W265=6,"ESCALATED TO ROXANNE",IF(TODAY()&gt;$Y265,"OVERDUE",IF($Y265&lt;=WORKDAY(TODAY(),1,Holidays),"DUE TOMORROW",IF($W265=4,"ESCALATED TO LOCAL OFFICE",IF($W265=5,"ESCALATED TO CBE",IF($X265=TODAY(),"EMAIL SENT","MONITORING"))))))))))</f>
        <v/>
      </c>
      <c r="U265" s="17">
        <f>IF($T265="",IF(AND(COUNTA($A265:$K265)&gt;0,$L265=""),"Awaiting Collection Email time stamp.",""),IF(OR($T265="PAID",$T265="CLOSED"),IF($T265="PAID","Account paid. Action completed.","Account closed. No further action required."),CHOOSE($W265,"Collection Email","1st Email Follow-up","2nd Email Follow-up","Escalation to Local Office","Escalation to CBE","Escalation to Roxanne")&amp;" sent "&amp;TEXT($X265,"dd-mmm")&amp;". "&amp;IF($W265=6,"Final escalation completed.",IF($T265="OVERDUE","Next: "&amp;$Z265&amp;" was due "&amp;TEXT($Y265,"dd-mmm")&amp;" - "&amp;(NETWORKDAYS($Y265,TODAY(),Holidays)-1)&amp;" business day(s) late. Send now.",IF($T265="DUE TOMORROW","Next: "&amp;$Z265&amp;IF($Y265&lt;=TODAY()," is due TODAY ("," is due next business day (")&amp;TEXT($Y265,"dd-mmm")&amp;").","Next: "&amp;$Z265&amp;" due "&amp;TEXT($Y265,"dd-mmm")&amp;" ("&amp;(NETWORKDAYS(TODAY(),$Y265,Holidays)-1)&amp;" business day(s) left).")))))</f>
        <v/>
      </c>
      <c r="V265" s="17">
        <f>IF($W265="","",CHOOSE($W265,"Collection Email","1st Follow-up","2nd Follow-up","Local Office","CBE","Roxanne")&amp;IF($W265=6," - Final"," - Day "&amp;MAX(0,NETWORKDAYS($X265,TODAY(),Holidays)-1)&amp;" of "&amp;CHOOSE($W265,3,3,2,2,3))&amp;" | Total Day "&amp;MAX(0,NETWORKDAYS($L265,TODAY(),Holidays)-1))</f>
        <v/>
      </c>
      <c r="W265" s="17">
        <f>IF($L265="","",COUNT($L265:$Q265))</f>
        <v/>
      </c>
      <c r="X265" s="18">
        <f>IF($W265="","",INT(INDEX($L265:$Q265,$W265)))</f>
        <v/>
      </c>
      <c r="Y265" s="18">
        <f>IF(OR($W265="",$W265=6),"",WORKDAY($X265,CHOOSE($W265,3,3,2,2,3),Holidays))</f>
        <v/>
      </c>
      <c r="Z265" s="17">
        <f>IF(OR($W265="",$W265=6),"",CHOOSE($W265,"1st Email Follow-up","2nd Email Follow-up","Escalate Local Office","Escalate to CBE","Escalate to Roxanne"))</f>
        <v/>
      </c>
    </row>
    <row r="266" spans="18:26">
      <c r="R266" s="15"/>
      <c r="S266" s="16"/>
      <c r="T266" s="17">
        <f>IF(AND(COUNTA($A266:$K266)=0,$L266=""),"",IF($S266="Paid","PAID",IF($S266="Closed","CLOSED",IF($W266="","",IF($W266=6,"ESCALATED TO ROXANNE",IF(TODAY()&gt;$Y266,"OVERDUE",IF($Y266&lt;=WORKDAY(TODAY(),1,Holidays),"DUE TOMORROW",IF($W266=4,"ESCALATED TO LOCAL OFFICE",IF($W266=5,"ESCALATED TO CBE",IF($X266=TODAY(),"EMAIL SENT","MONITORING"))))))))))</f>
        <v/>
      </c>
      <c r="U266" s="17">
        <f>IF($T266="",IF(AND(COUNTA($A266:$K266)&gt;0,$L266=""),"Awaiting Collection Email time stamp.",""),IF(OR($T266="PAID",$T266="CLOSED"),IF($T266="PAID","Account paid. Action completed.","Account closed. No further action required."),CHOOSE($W266,"Collection Email","1st Email Follow-up","2nd Email Follow-up","Escalation to Local Office","Escalation to CBE","Escalation to Roxanne")&amp;" sent "&amp;TEXT($X266,"dd-mmm")&amp;". "&amp;IF($W266=6,"Final escalation completed.",IF($T266="OVERDUE","Next: "&amp;$Z266&amp;" was due "&amp;TEXT($Y266,"dd-mmm")&amp;" - "&amp;(NETWORKDAYS($Y266,TODAY(),Holidays)-1)&amp;" business day(s) late. Send now.",IF($T266="DUE TOMORROW","Next: "&amp;$Z266&amp;IF($Y266&lt;=TODAY()," is due TODAY ("," is due next business day (")&amp;TEXT($Y266,"dd-mmm")&amp;").","Next: "&amp;$Z266&amp;" due "&amp;TEXT($Y266,"dd-mmm")&amp;" ("&amp;(NETWORKDAYS(TODAY(),$Y266,Holidays)-1)&amp;" business day(s) left).")))))</f>
        <v/>
      </c>
      <c r="V266" s="17">
        <f>IF($W266="","",CHOOSE($W266,"Collection Email","1st Follow-up","2nd Follow-up","Local Office","CBE","Roxanne")&amp;IF($W266=6," - Final"," - Day "&amp;MAX(0,NETWORKDAYS($X266,TODAY(),Holidays)-1)&amp;" of "&amp;CHOOSE($W266,3,3,2,2,3))&amp;" | Total Day "&amp;MAX(0,NETWORKDAYS($L266,TODAY(),Holidays)-1))</f>
        <v/>
      </c>
      <c r="W266" s="17">
        <f>IF($L266="","",COUNT($L266:$Q266))</f>
        <v/>
      </c>
      <c r="X266" s="18">
        <f>IF($W266="","",INT(INDEX($L266:$Q266,$W266)))</f>
        <v/>
      </c>
      <c r="Y266" s="18">
        <f>IF(OR($W266="",$W266=6),"",WORKDAY($X266,CHOOSE($W266,3,3,2,2,3),Holidays))</f>
        <v/>
      </c>
      <c r="Z266" s="17">
        <f>IF(OR($W266="",$W266=6),"",CHOOSE($W266,"1st Email Follow-up","2nd Email Follow-up","Escalate Local Office","Escalate to CBE","Escalate to Roxanne"))</f>
        <v/>
      </c>
    </row>
    <row r="267" spans="18:26">
      <c r="R267" s="15"/>
      <c r="S267" s="16"/>
      <c r="T267" s="17">
        <f>IF(AND(COUNTA($A267:$K267)=0,$L267=""),"",IF($S267="Paid","PAID",IF($S267="Closed","CLOSED",IF($W267="","",IF($W267=6,"ESCALATED TO ROXANNE",IF(TODAY()&gt;$Y267,"OVERDUE",IF($Y267&lt;=WORKDAY(TODAY(),1,Holidays),"DUE TOMORROW",IF($W267=4,"ESCALATED TO LOCAL OFFICE",IF($W267=5,"ESCALATED TO CBE",IF($X267=TODAY(),"EMAIL SENT","MONITORING"))))))))))</f>
        <v/>
      </c>
      <c r="U267" s="17">
        <f>IF($T267="",IF(AND(COUNTA($A267:$K267)&gt;0,$L267=""),"Awaiting Collection Email time stamp.",""),IF(OR($T267="PAID",$T267="CLOSED"),IF($T267="PAID","Account paid. Action completed.","Account closed. No further action required."),CHOOSE($W267,"Collection Email","1st Email Follow-up","2nd Email Follow-up","Escalation to Local Office","Escalation to CBE","Escalation to Roxanne")&amp;" sent "&amp;TEXT($X267,"dd-mmm")&amp;". "&amp;IF($W267=6,"Final escalation completed.",IF($T267="OVERDUE","Next: "&amp;$Z267&amp;" was due "&amp;TEXT($Y267,"dd-mmm")&amp;" - "&amp;(NETWORKDAYS($Y267,TODAY(),Holidays)-1)&amp;" business day(s) late. Send now.",IF($T267="DUE TOMORROW","Next: "&amp;$Z267&amp;IF($Y267&lt;=TODAY()," is due TODAY ("," is due next business day (")&amp;TEXT($Y267,"dd-mmm")&amp;").","Next: "&amp;$Z267&amp;" due "&amp;TEXT($Y267,"dd-mmm")&amp;" ("&amp;(NETWORKDAYS(TODAY(),$Y267,Holidays)-1)&amp;" business day(s) left).")))))</f>
        <v/>
      </c>
      <c r="V267" s="17">
        <f>IF($W267="","",CHOOSE($W267,"Collection Email","1st Follow-up","2nd Follow-up","Local Office","CBE","Roxanne")&amp;IF($W267=6," - Final"," - Day "&amp;MAX(0,NETWORKDAYS($X267,TODAY(),Holidays)-1)&amp;" of "&amp;CHOOSE($W267,3,3,2,2,3))&amp;" | Total Day "&amp;MAX(0,NETWORKDAYS($L267,TODAY(),Holidays)-1))</f>
        <v/>
      </c>
      <c r="W267" s="17">
        <f>IF($L267="","",COUNT($L267:$Q267))</f>
        <v/>
      </c>
      <c r="X267" s="18">
        <f>IF($W267="","",INT(INDEX($L267:$Q267,$W267)))</f>
        <v/>
      </c>
      <c r="Y267" s="18">
        <f>IF(OR($W267="",$W267=6),"",WORKDAY($X267,CHOOSE($W267,3,3,2,2,3),Holidays))</f>
        <v/>
      </c>
      <c r="Z267" s="17">
        <f>IF(OR($W267="",$W267=6),"",CHOOSE($W267,"1st Email Follow-up","2nd Email Follow-up","Escalate Local Office","Escalate to CBE","Escalate to Roxanne"))</f>
        <v/>
      </c>
    </row>
    <row r="268" spans="18:26">
      <c r="R268" s="15"/>
      <c r="S268" s="16"/>
      <c r="T268" s="17">
        <f>IF(AND(COUNTA($A268:$K268)=0,$L268=""),"",IF($S268="Paid","PAID",IF($S268="Closed","CLOSED",IF($W268="","",IF($W268=6,"ESCALATED TO ROXANNE",IF(TODAY()&gt;$Y268,"OVERDUE",IF($Y268&lt;=WORKDAY(TODAY(),1,Holidays),"DUE TOMORROW",IF($W268=4,"ESCALATED TO LOCAL OFFICE",IF($W268=5,"ESCALATED TO CBE",IF($X268=TODAY(),"EMAIL SENT","MONITORING"))))))))))</f>
        <v/>
      </c>
      <c r="U268" s="17">
        <f>IF($T268="",IF(AND(COUNTA($A268:$K268)&gt;0,$L268=""),"Awaiting Collection Email time stamp.",""),IF(OR($T268="PAID",$T268="CLOSED"),IF($T268="PAID","Account paid. Action completed.","Account closed. No further action required."),CHOOSE($W268,"Collection Email","1st Email Follow-up","2nd Email Follow-up","Escalation to Local Office","Escalation to CBE","Escalation to Roxanne")&amp;" sent "&amp;TEXT($X268,"dd-mmm")&amp;". "&amp;IF($W268=6,"Final escalation completed.",IF($T268="OVERDUE","Next: "&amp;$Z268&amp;" was due "&amp;TEXT($Y268,"dd-mmm")&amp;" - "&amp;(NETWORKDAYS($Y268,TODAY(),Holidays)-1)&amp;" business day(s) late. Send now.",IF($T268="DUE TOMORROW","Next: "&amp;$Z268&amp;IF($Y268&lt;=TODAY()," is due TODAY ("," is due next business day (")&amp;TEXT($Y268,"dd-mmm")&amp;").","Next: "&amp;$Z268&amp;" due "&amp;TEXT($Y268,"dd-mmm")&amp;" ("&amp;(NETWORKDAYS(TODAY(),$Y268,Holidays)-1)&amp;" business day(s) left).")))))</f>
        <v/>
      </c>
      <c r="V268" s="17">
        <f>IF($W268="","",CHOOSE($W268,"Collection Email","1st Follow-up","2nd Follow-up","Local Office","CBE","Roxanne")&amp;IF($W268=6," - Final"," - Day "&amp;MAX(0,NETWORKDAYS($X268,TODAY(),Holidays)-1)&amp;" of "&amp;CHOOSE($W268,3,3,2,2,3))&amp;" | Total Day "&amp;MAX(0,NETWORKDAYS($L268,TODAY(),Holidays)-1))</f>
        <v/>
      </c>
      <c r="W268" s="17">
        <f>IF($L268="","",COUNT($L268:$Q268))</f>
        <v/>
      </c>
      <c r="X268" s="18">
        <f>IF($W268="","",INT(INDEX($L268:$Q268,$W268)))</f>
        <v/>
      </c>
      <c r="Y268" s="18">
        <f>IF(OR($W268="",$W268=6),"",WORKDAY($X268,CHOOSE($W268,3,3,2,2,3),Holidays))</f>
        <v/>
      </c>
      <c r="Z268" s="17">
        <f>IF(OR($W268="",$W268=6),"",CHOOSE($W268,"1st Email Follow-up","2nd Email Follow-up","Escalate Local Office","Escalate to CBE","Escalate to Roxanne"))</f>
        <v/>
      </c>
    </row>
    <row r="269" spans="18:26">
      <c r="R269" s="15"/>
      <c r="S269" s="16"/>
      <c r="T269" s="17">
        <f>IF(AND(COUNTA($A269:$K269)=0,$L269=""),"",IF($S269="Paid","PAID",IF($S269="Closed","CLOSED",IF($W269="","",IF($W269=6,"ESCALATED TO ROXANNE",IF(TODAY()&gt;$Y269,"OVERDUE",IF($Y269&lt;=WORKDAY(TODAY(),1,Holidays),"DUE TOMORROW",IF($W269=4,"ESCALATED TO LOCAL OFFICE",IF($W269=5,"ESCALATED TO CBE",IF($X269=TODAY(),"EMAIL SENT","MONITORING"))))))))))</f>
        <v/>
      </c>
      <c r="U269" s="17">
        <f>IF($T269="",IF(AND(COUNTA($A269:$K269)&gt;0,$L269=""),"Awaiting Collection Email time stamp.",""),IF(OR($T269="PAID",$T269="CLOSED"),IF($T269="PAID","Account paid. Action completed.","Account closed. No further action required."),CHOOSE($W269,"Collection Email","1st Email Follow-up","2nd Email Follow-up","Escalation to Local Office","Escalation to CBE","Escalation to Roxanne")&amp;" sent "&amp;TEXT($X269,"dd-mmm")&amp;". "&amp;IF($W269=6,"Final escalation completed.",IF($T269="OVERDUE","Next: "&amp;$Z269&amp;" was due "&amp;TEXT($Y269,"dd-mmm")&amp;" - "&amp;(NETWORKDAYS($Y269,TODAY(),Holidays)-1)&amp;" business day(s) late. Send now.",IF($T269="DUE TOMORROW","Next: "&amp;$Z269&amp;IF($Y269&lt;=TODAY()," is due TODAY ("," is due next business day (")&amp;TEXT($Y269,"dd-mmm")&amp;").","Next: "&amp;$Z269&amp;" due "&amp;TEXT($Y269,"dd-mmm")&amp;" ("&amp;(NETWORKDAYS(TODAY(),$Y269,Holidays)-1)&amp;" business day(s) left).")))))</f>
        <v/>
      </c>
      <c r="V269" s="17">
        <f>IF($W269="","",CHOOSE($W269,"Collection Email","1st Follow-up","2nd Follow-up","Local Office","CBE","Roxanne")&amp;IF($W269=6," - Final"," - Day "&amp;MAX(0,NETWORKDAYS($X269,TODAY(),Holidays)-1)&amp;" of "&amp;CHOOSE($W269,3,3,2,2,3))&amp;" | Total Day "&amp;MAX(0,NETWORKDAYS($L269,TODAY(),Holidays)-1))</f>
        <v/>
      </c>
      <c r="W269" s="17">
        <f>IF($L269="","",COUNT($L269:$Q269))</f>
        <v/>
      </c>
      <c r="X269" s="18">
        <f>IF($W269="","",INT(INDEX($L269:$Q269,$W269)))</f>
        <v/>
      </c>
      <c r="Y269" s="18">
        <f>IF(OR($W269="",$W269=6),"",WORKDAY($X269,CHOOSE($W269,3,3,2,2,3),Holidays))</f>
        <v/>
      </c>
      <c r="Z269" s="17">
        <f>IF(OR($W269="",$W269=6),"",CHOOSE($W269,"1st Email Follow-up","2nd Email Follow-up","Escalate Local Office","Escalate to CBE","Escalate to Roxanne"))</f>
        <v/>
      </c>
    </row>
    <row r="270" spans="18:26">
      <c r="R270" s="15"/>
      <c r="S270" s="16"/>
      <c r="T270" s="17">
        <f>IF(AND(COUNTA($A270:$K270)=0,$L270=""),"",IF($S270="Paid","PAID",IF($S270="Closed","CLOSED",IF($W270="","",IF($W270=6,"ESCALATED TO ROXANNE",IF(TODAY()&gt;$Y270,"OVERDUE",IF($Y270&lt;=WORKDAY(TODAY(),1,Holidays),"DUE TOMORROW",IF($W270=4,"ESCALATED TO LOCAL OFFICE",IF($W270=5,"ESCALATED TO CBE",IF($X270=TODAY(),"EMAIL SENT","MONITORING"))))))))))</f>
        <v/>
      </c>
      <c r="U270" s="17">
        <f>IF($T270="",IF(AND(COUNTA($A270:$K270)&gt;0,$L270=""),"Awaiting Collection Email time stamp.",""),IF(OR($T270="PAID",$T270="CLOSED"),IF($T270="PAID","Account paid. Action completed.","Account closed. No further action required."),CHOOSE($W270,"Collection Email","1st Email Follow-up","2nd Email Follow-up","Escalation to Local Office","Escalation to CBE","Escalation to Roxanne")&amp;" sent "&amp;TEXT($X270,"dd-mmm")&amp;". "&amp;IF($W270=6,"Final escalation completed.",IF($T270="OVERDUE","Next: "&amp;$Z270&amp;" was due "&amp;TEXT($Y270,"dd-mmm")&amp;" - "&amp;(NETWORKDAYS($Y270,TODAY(),Holidays)-1)&amp;" business day(s) late. Send now.",IF($T270="DUE TOMORROW","Next: "&amp;$Z270&amp;IF($Y270&lt;=TODAY()," is due TODAY ("," is due next business day (")&amp;TEXT($Y270,"dd-mmm")&amp;").","Next: "&amp;$Z270&amp;" due "&amp;TEXT($Y270,"dd-mmm")&amp;" ("&amp;(NETWORKDAYS(TODAY(),$Y270,Holidays)-1)&amp;" business day(s) left).")))))</f>
        <v/>
      </c>
      <c r="V270" s="17">
        <f>IF($W270="","",CHOOSE($W270,"Collection Email","1st Follow-up","2nd Follow-up","Local Office","CBE","Roxanne")&amp;IF($W270=6," - Final"," - Day "&amp;MAX(0,NETWORKDAYS($X270,TODAY(),Holidays)-1)&amp;" of "&amp;CHOOSE($W270,3,3,2,2,3))&amp;" | Total Day "&amp;MAX(0,NETWORKDAYS($L270,TODAY(),Holidays)-1))</f>
        <v/>
      </c>
      <c r="W270" s="17">
        <f>IF($L270="","",COUNT($L270:$Q270))</f>
        <v/>
      </c>
      <c r="X270" s="18">
        <f>IF($W270="","",INT(INDEX($L270:$Q270,$W270)))</f>
        <v/>
      </c>
      <c r="Y270" s="18">
        <f>IF(OR($W270="",$W270=6),"",WORKDAY($X270,CHOOSE($W270,3,3,2,2,3),Holidays))</f>
        <v/>
      </c>
      <c r="Z270" s="17">
        <f>IF(OR($W270="",$W270=6),"",CHOOSE($W270,"1st Email Follow-up","2nd Email Follow-up","Escalate Local Office","Escalate to CBE","Escalate to Roxanne"))</f>
        <v/>
      </c>
    </row>
    <row r="271" spans="18:26">
      <c r="R271" s="15"/>
      <c r="S271" s="16"/>
      <c r="T271" s="17">
        <f>IF(AND(COUNTA($A271:$K271)=0,$L271=""),"",IF($S271="Paid","PAID",IF($S271="Closed","CLOSED",IF($W271="","",IF($W271=6,"ESCALATED TO ROXANNE",IF(TODAY()&gt;$Y271,"OVERDUE",IF($Y271&lt;=WORKDAY(TODAY(),1,Holidays),"DUE TOMORROW",IF($W271=4,"ESCALATED TO LOCAL OFFICE",IF($W271=5,"ESCALATED TO CBE",IF($X271=TODAY(),"EMAIL SENT","MONITORING"))))))))))</f>
        <v/>
      </c>
      <c r="U271" s="17">
        <f>IF($T271="",IF(AND(COUNTA($A271:$K271)&gt;0,$L271=""),"Awaiting Collection Email time stamp.",""),IF(OR($T271="PAID",$T271="CLOSED"),IF($T271="PAID","Account paid. Action completed.","Account closed. No further action required."),CHOOSE($W271,"Collection Email","1st Email Follow-up","2nd Email Follow-up","Escalation to Local Office","Escalation to CBE","Escalation to Roxanne")&amp;" sent "&amp;TEXT($X271,"dd-mmm")&amp;". "&amp;IF($W271=6,"Final escalation completed.",IF($T271="OVERDUE","Next: "&amp;$Z271&amp;" was due "&amp;TEXT($Y271,"dd-mmm")&amp;" - "&amp;(NETWORKDAYS($Y271,TODAY(),Holidays)-1)&amp;" business day(s) late. Send now.",IF($T271="DUE TOMORROW","Next: "&amp;$Z271&amp;IF($Y271&lt;=TODAY()," is due TODAY ("," is due next business day (")&amp;TEXT($Y271,"dd-mmm")&amp;").","Next: "&amp;$Z271&amp;" due "&amp;TEXT($Y271,"dd-mmm")&amp;" ("&amp;(NETWORKDAYS(TODAY(),$Y271,Holidays)-1)&amp;" business day(s) left).")))))</f>
        <v/>
      </c>
      <c r="V271" s="17">
        <f>IF($W271="","",CHOOSE($W271,"Collection Email","1st Follow-up","2nd Follow-up","Local Office","CBE","Roxanne")&amp;IF($W271=6," - Final"," - Day "&amp;MAX(0,NETWORKDAYS($X271,TODAY(),Holidays)-1)&amp;" of "&amp;CHOOSE($W271,3,3,2,2,3))&amp;" | Total Day "&amp;MAX(0,NETWORKDAYS($L271,TODAY(),Holidays)-1))</f>
        <v/>
      </c>
      <c r="W271" s="17">
        <f>IF($L271="","",COUNT($L271:$Q271))</f>
        <v/>
      </c>
      <c r="X271" s="18">
        <f>IF($W271="","",INT(INDEX($L271:$Q271,$W271)))</f>
        <v/>
      </c>
      <c r="Y271" s="18">
        <f>IF(OR($W271="",$W271=6),"",WORKDAY($X271,CHOOSE($W271,3,3,2,2,3),Holidays))</f>
        <v/>
      </c>
      <c r="Z271" s="17">
        <f>IF(OR($W271="",$W271=6),"",CHOOSE($W271,"1st Email Follow-up","2nd Email Follow-up","Escalate Local Office","Escalate to CBE","Escalate to Roxanne"))</f>
        <v/>
      </c>
    </row>
    <row r="272" spans="18:26">
      <c r="R272" s="15"/>
      <c r="S272" s="16"/>
      <c r="T272" s="17">
        <f>IF(AND(COUNTA($A272:$K272)=0,$L272=""),"",IF($S272="Paid","PAID",IF($S272="Closed","CLOSED",IF($W272="","",IF($W272=6,"ESCALATED TO ROXANNE",IF(TODAY()&gt;$Y272,"OVERDUE",IF($Y272&lt;=WORKDAY(TODAY(),1,Holidays),"DUE TOMORROW",IF($W272=4,"ESCALATED TO LOCAL OFFICE",IF($W272=5,"ESCALATED TO CBE",IF($X272=TODAY(),"EMAIL SENT","MONITORING"))))))))))</f>
        <v/>
      </c>
      <c r="U272" s="17">
        <f>IF($T272="",IF(AND(COUNTA($A272:$K272)&gt;0,$L272=""),"Awaiting Collection Email time stamp.",""),IF(OR($T272="PAID",$T272="CLOSED"),IF($T272="PAID","Account paid. Action completed.","Account closed. No further action required."),CHOOSE($W272,"Collection Email","1st Email Follow-up","2nd Email Follow-up","Escalation to Local Office","Escalation to CBE","Escalation to Roxanne")&amp;" sent "&amp;TEXT($X272,"dd-mmm")&amp;". "&amp;IF($W272=6,"Final escalation completed.",IF($T272="OVERDUE","Next: "&amp;$Z272&amp;" was due "&amp;TEXT($Y272,"dd-mmm")&amp;" - "&amp;(NETWORKDAYS($Y272,TODAY(),Holidays)-1)&amp;" business day(s) late. Send now.",IF($T272="DUE TOMORROW","Next: "&amp;$Z272&amp;IF($Y272&lt;=TODAY()," is due TODAY ("," is due next business day (")&amp;TEXT($Y272,"dd-mmm")&amp;").","Next: "&amp;$Z272&amp;" due "&amp;TEXT($Y272,"dd-mmm")&amp;" ("&amp;(NETWORKDAYS(TODAY(),$Y272,Holidays)-1)&amp;" business day(s) left).")))))</f>
        <v/>
      </c>
      <c r="V272" s="17">
        <f>IF($W272="","",CHOOSE($W272,"Collection Email","1st Follow-up","2nd Follow-up","Local Office","CBE","Roxanne")&amp;IF($W272=6," - Final"," - Day "&amp;MAX(0,NETWORKDAYS($X272,TODAY(),Holidays)-1)&amp;" of "&amp;CHOOSE($W272,3,3,2,2,3))&amp;" | Total Day "&amp;MAX(0,NETWORKDAYS($L272,TODAY(),Holidays)-1))</f>
        <v/>
      </c>
      <c r="W272" s="17">
        <f>IF($L272="","",COUNT($L272:$Q272))</f>
        <v/>
      </c>
      <c r="X272" s="18">
        <f>IF($W272="","",INT(INDEX($L272:$Q272,$W272)))</f>
        <v/>
      </c>
      <c r="Y272" s="18">
        <f>IF(OR($W272="",$W272=6),"",WORKDAY($X272,CHOOSE($W272,3,3,2,2,3),Holidays))</f>
        <v/>
      </c>
      <c r="Z272" s="17">
        <f>IF(OR($W272="",$W272=6),"",CHOOSE($W272,"1st Email Follow-up","2nd Email Follow-up","Escalate Local Office","Escalate to CBE","Escalate to Roxanne"))</f>
        <v/>
      </c>
    </row>
    <row r="273" spans="18:26">
      <c r="R273" s="15"/>
      <c r="S273" s="16"/>
      <c r="T273" s="17">
        <f>IF(AND(COUNTA($A273:$K273)=0,$L273=""),"",IF($S273="Paid","PAID",IF($S273="Closed","CLOSED",IF($W273="","",IF($W273=6,"ESCALATED TO ROXANNE",IF(TODAY()&gt;$Y273,"OVERDUE",IF($Y273&lt;=WORKDAY(TODAY(),1,Holidays),"DUE TOMORROW",IF($W273=4,"ESCALATED TO LOCAL OFFICE",IF($W273=5,"ESCALATED TO CBE",IF($X273=TODAY(),"EMAIL SENT","MONITORING"))))))))))</f>
        <v/>
      </c>
      <c r="U273" s="17">
        <f>IF($T273="",IF(AND(COUNTA($A273:$K273)&gt;0,$L273=""),"Awaiting Collection Email time stamp.",""),IF(OR($T273="PAID",$T273="CLOSED"),IF($T273="PAID","Account paid. Action completed.","Account closed. No further action required."),CHOOSE($W273,"Collection Email","1st Email Follow-up","2nd Email Follow-up","Escalation to Local Office","Escalation to CBE","Escalation to Roxanne")&amp;" sent "&amp;TEXT($X273,"dd-mmm")&amp;". "&amp;IF($W273=6,"Final escalation completed.",IF($T273="OVERDUE","Next: "&amp;$Z273&amp;" was due "&amp;TEXT($Y273,"dd-mmm")&amp;" - "&amp;(NETWORKDAYS($Y273,TODAY(),Holidays)-1)&amp;" business day(s) late. Send now.",IF($T273="DUE TOMORROW","Next: "&amp;$Z273&amp;IF($Y273&lt;=TODAY()," is due TODAY ("," is due next business day (")&amp;TEXT($Y273,"dd-mmm")&amp;").","Next: "&amp;$Z273&amp;" due "&amp;TEXT($Y273,"dd-mmm")&amp;" ("&amp;(NETWORKDAYS(TODAY(),$Y273,Holidays)-1)&amp;" business day(s) left).")))))</f>
        <v/>
      </c>
      <c r="V273" s="17">
        <f>IF($W273="","",CHOOSE($W273,"Collection Email","1st Follow-up","2nd Follow-up","Local Office","CBE","Roxanne")&amp;IF($W273=6," - Final"," - Day "&amp;MAX(0,NETWORKDAYS($X273,TODAY(),Holidays)-1)&amp;" of "&amp;CHOOSE($W273,3,3,2,2,3))&amp;" | Total Day "&amp;MAX(0,NETWORKDAYS($L273,TODAY(),Holidays)-1))</f>
        <v/>
      </c>
      <c r="W273" s="17">
        <f>IF($L273="","",COUNT($L273:$Q273))</f>
        <v/>
      </c>
      <c r="X273" s="18">
        <f>IF($W273="","",INT(INDEX($L273:$Q273,$W273)))</f>
        <v/>
      </c>
      <c r="Y273" s="18">
        <f>IF(OR($W273="",$W273=6),"",WORKDAY($X273,CHOOSE($W273,3,3,2,2,3),Holidays))</f>
        <v/>
      </c>
      <c r="Z273" s="17">
        <f>IF(OR($W273="",$W273=6),"",CHOOSE($W273,"1st Email Follow-up","2nd Email Follow-up","Escalate Local Office","Escalate to CBE","Escalate to Roxanne"))</f>
        <v/>
      </c>
    </row>
    <row r="274" spans="18:26">
      <c r="R274" s="15"/>
      <c r="S274" s="16"/>
      <c r="T274" s="17">
        <f>IF(AND(COUNTA($A274:$K274)=0,$L274=""),"",IF($S274="Paid","PAID",IF($S274="Closed","CLOSED",IF($W274="","",IF($W274=6,"ESCALATED TO ROXANNE",IF(TODAY()&gt;$Y274,"OVERDUE",IF($Y274&lt;=WORKDAY(TODAY(),1,Holidays),"DUE TOMORROW",IF($W274=4,"ESCALATED TO LOCAL OFFICE",IF($W274=5,"ESCALATED TO CBE",IF($X274=TODAY(),"EMAIL SENT","MONITORING"))))))))))</f>
        <v/>
      </c>
      <c r="U274" s="17">
        <f>IF($T274="",IF(AND(COUNTA($A274:$K274)&gt;0,$L274=""),"Awaiting Collection Email time stamp.",""),IF(OR($T274="PAID",$T274="CLOSED"),IF($T274="PAID","Account paid. Action completed.","Account closed. No further action required."),CHOOSE($W274,"Collection Email","1st Email Follow-up","2nd Email Follow-up","Escalation to Local Office","Escalation to CBE","Escalation to Roxanne")&amp;" sent "&amp;TEXT($X274,"dd-mmm")&amp;". "&amp;IF($W274=6,"Final escalation completed.",IF($T274="OVERDUE","Next: "&amp;$Z274&amp;" was due "&amp;TEXT($Y274,"dd-mmm")&amp;" - "&amp;(NETWORKDAYS($Y274,TODAY(),Holidays)-1)&amp;" business day(s) late. Send now.",IF($T274="DUE TOMORROW","Next: "&amp;$Z274&amp;IF($Y274&lt;=TODAY()," is due TODAY ("," is due next business day (")&amp;TEXT($Y274,"dd-mmm")&amp;").","Next: "&amp;$Z274&amp;" due "&amp;TEXT($Y274,"dd-mmm")&amp;" ("&amp;(NETWORKDAYS(TODAY(),$Y274,Holidays)-1)&amp;" business day(s) left).")))))</f>
        <v/>
      </c>
      <c r="V274" s="17">
        <f>IF($W274="","",CHOOSE($W274,"Collection Email","1st Follow-up","2nd Follow-up","Local Office","CBE","Roxanne")&amp;IF($W274=6," - Final"," - Day "&amp;MAX(0,NETWORKDAYS($X274,TODAY(),Holidays)-1)&amp;" of "&amp;CHOOSE($W274,3,3,2,2,3))&amp;" | Total Day "&amp;MAX(0,NETWORKDAYS($L274,TODAY(),Holidays)-1))</f>
        <v/>
      </c>
      <c r="W274" s="17">
        <f>IF($L274="","",COUNT($L274:$Q274))</f>
        <v/>
      </c>
      <c r="X274" s="18">
        <f>IF($W274="","",INT(INDEX($L274:$Q274,$W274)))</f>
        <v/>
      </c>
      <c r="Y274" s="18">
        <f>IF(OR($W274="",$W274=6),"",WORKDAY($X274,CHOOSE($W274,3,3,2,2,3),Holidays))</f>
        <v/>
      </c>
      <c r="Z274" s="17">
        <f>IF(OR($W274="",$W274=6),"",CHOOSE($W274,"1st Email Follow-up","2nd Email Follow-up","Escalate Local Office","Escalate to CBE","Escalate to Roxanne"))</f>
        <v/>
      </c>
    </row>
    <row r="275" spans="18:26">
      <c r="R275" s="15"/>
      <c r="S275" s="16"/>
      <c r="T275" s="17">
        <f>IF(AND(COUNTA($A275:$K275)=0,$L275=""),"",IF($S275="Paid","PAID",IF($S275="Closed","CLOSED",IF($W275="","",IF($W275=6,"ESCALATED TO ROXANNE",IF(TODAY()&gt;$Y275,"OVERDUE",IF($Y275&lt;=WORKDAY(TODAY(),1,Holidays),"DUE TOMORROW",IF($W275=4,"ESCALATED TO LOCAL OFFICE",IF($W275=5,"ESCALATED TO CBE",IF($X275=TODAY(),"EMAIL SENT","MONITORING"))))))))))</f>
        <v/>
      </c>
      <c r="U275" s="17">
        <f>IF($T275="",IF(AND(COUNTA($A275:$K275)&gt;0,$L275=""),"Awaiting Collection Email time stamp.",""),IF(OR($T275="PAID",$T275="CLOSED"),IF($T275="PAID","Account paid. Action completed.","Account closed. No further action required."),CHOOSE($W275,"Collection Email","1st Email Follow-up","2nd Email Follow-up","Escalation to Local Office","Escalation to CBE","Escalation to Roxanne")&amp;" sent "&amp;TEXT($X275,"dd-mmm")&amp;". "&amp;IF($W275=6,"Final escalation completed.",IF($T275="OVERDUE","Next: "&amp;$Z275&amp;" was due "&amp;TEXT($Y275,"dd-mmm")&amp;" - "&amp;(NETWORKDAYS($Y275,TODAY(),Holidays)-1)&amp;" business day(s) late. Send now.",IF($T275="DUE TOMORROW","Next: "&amp;$Z275&amp;IF($Y275&lt;=TODAY()," is due TODAY ("," is due next business day (")&amp;TEXT($Y275,"dd-mmm")&amp;").","Next: "&amp;$Z275&amp;" due "&amp;TEXT($Y275,"dd-mmm")&amp;" ("&amp;(NETWORKDAYS(TODAY(),$Y275,Holidays)-1)&amp;" business day(s) left).")))))</f>
        <v/>
      </c>
      <c r="V275" s="17">
        <f>IF($W275="","",CHOOSE($W275,"Collection Email","1st Follow-up","2nd Follow-up","Local Office","CBE","Roxanne")&amp;IF($W275=6," - Final"," - Day "&amp;MAX(0,NETWORKDAYS($X275,TODAY(),Holidays)-1)&amp;" of "&amp;CHOOSE($W275,3,3,2,2,3))&amp;" | Total Day "&amp;MAX(0,NETWORKDAYS($L275,TODAY(),Holidays)-1))</f>
        <v/>
      </c>
      <c r="W275" s="17">
        <f>IF($L275="","",COUNT($L275:$Q275))</f>
        <v/>
      </c>
      <c r="X275" s="18">
        <f>IF($W275="","",INT(INDEX($L275:$Q275,$W275)))</f>
        <v/>
      </c>
      <c r="Y275" s="18">
        <f>IF(OR($W275="",$W275=6),"",WORKDAY($X275,CHOOSE($W275,3,3,2,2,3),Holidays))</f>
        <v/>
      </c>
      <c r="Z275" s="17">
        <f>IF(OR($W275="",$W275=6),"",CHOOSE($W275,"1st Email Follow-up","2nd Email Follow-up","Escalate Local Office","Escalate to CBE","Escalate to Roxanne"))</f>
        <v/>
      </c>
    </row>
    <row r="276" spans="18:26">
      <c r="R276" s="15"/>
      <c r="S276" s="16"/>
      <c r="T276" s="17">
        <f>IF(AND(COUNTA($A276:$K276)=0,$L276=""),"",IF($S276="Paid","PAID",IF($S276="Closed","CLOSED",IF($W276="","",IF($W276=6,"ESCALATED TO ROXANNE",IF(TODAY()&gt;$Y276,"OVERDUE",IF($Y276&lt;=WORKDAY(TODAY(),1,Holidays),"DUE TOMORROW",IF($W276=4,"ESCALATED TO LOCAL OFFICE",IF($W276=5,"ESCALATED TO CBE",IF($X276=TODAY(),"EMAIL SENT","MONITORING"))))))))))</f>
        <v/>
      </c>
      <c r="U276" s="17">
        <f>IF($T276="",IF(AND(COUNTA($A276:$K276)&gt;0,$L276=""),"Awaiting Collection Email time stamp.",""),IF(OR($T276="PAID",$T276="CLOSED"),IF($T276="PAID","Account paid. Action completed.","Account closed. No further action required."),CHOOSE($W276,"Collection Email","1st Email Follow-up","2nd Email Follow-up","Escalation to Local Office","Escalation to CBE","Escalation to Roxanne")&amp;" sent "&amp;TEXT($X276,"dd-mmm")&amp;". "&amp;IF($W276=6,"Final escalation completed.",IF($T276="OVERDUE","Next: "&amp;$Z276&amp;" was due "&amp;TEXT($Y276,"dd-mmm")&amp;" - "&amp;(NETWORKDAYS($Y276,TODAY(),Holidays)-1)&amp;" business day(s) late. Send now.",IF($T276="DUE TOMORROW","Next: "&amp;$Z276&amp;IF($Y276&lt;=TODAY()," is due TODAY ("," is due next business day (")&amp;TEXT($Y276,"dd-mmm")&amp;").","Next: "&amp;$Z276&amp;" due "&amp;TEXT($Y276,"dd-mmm")&amp;" ("&amp;(NETWORKDAYS(TODAY(),$Y276,Holidays)-1)&amp;" business day(s) left).")))))</f>
        <v/>
      </c>
      <c r="V276" s="17">
        <f>IF($W276="","",CHOOSE($W276,"Collection Email","1st Follow-up","2nd Follow-up","Local Office","CBE","Roxanne")&amp;IF($W276=6," - Final"," - Day "&amp;MAX(0,NETWORKDAYS($X276,TODAY(),Holidays)-1)&amp;" of "&amp;CHOOSE($W276,3,3,2,2,3))&amp;" | Total Day "&amp;MAX(0,NETWORKDAYS($L276,TODAY(),Holidays)-1))</f>
        <v/>
      </c>
      <c r="W276" s="17">
        <f>IF($L276="","",COUNT($L276:$Q276))</f>
        <v/>
      </c>
      <c r="X276" s="18">
        <f>IF($W276="","",INT(INDEX($L276:$Q276,$W276)))</f>
        <v/>
      </c>
      <c r="Y276" s="18">
        <f>IF(OR($W276="",$W276=6),"",WORKDAY($X276,CHOOSE($W276,3,3,2,2,3),Holidays))</f>
        <v/>
      </c>
      <c r="Z276" s="17">
        <f>IF(OR($W276="",$W276=6),"",CHOOSE($W276,"1st Email Follow-up","2nd Email Follow-up","Escalate Local Office","Escalate to CBE","Escalate to Roxanne"))</f>
        <v/>
      </c>
    </row>
    <row r="277" spans="18:26">
      <c r="R277" s="15"/>
      <c r="S277" s="16"/>
      <c r="T277" s="17">
        <f>IF(AND(COUNTA($A277:$K277)=0,$L277=""),"",IF($S277="Paid","PAID",IF($S277="Closed","CLOSED",IF($W277="","",IF($W277=6,"ESCALATED TO ROXANNE",IF(TODAY()&gt;$Y277,"OVERDUE",IF($Y277&lt;=WORKDAY(TODAY(),1,Holidays),"DUE TOMORROW",IF($W277=4,"ESCALATED TO LOCAL OFFICE",IF($W277=5,"ESCALATED TO CBE",IF($X277=TODAY(),"EMAIL SENT","MONITORING"))))))))))</f>
        <v/>
      </c>
      <c r="U277" s="17">
        <f>IF($T277="",IF(AND(COUNTA($A277:$K277)&gt;0,$L277=""),"Awaiting Collection Email time stamp.",""),IF(OR($T277="PAID",$T277="CLOSED"),IF($T277="PAID","Account paid. Action completed.","Account closed. No further action required."),CHOOSE($W277,"Collection Email","1st Email Follow-up","2nd Email Follow-up","Escalation to Local Office","Escalation to CBE","Escalation to Roxanne")&amp;" sent "&amp;TEXT($X277,"dd-mmm")&amp;". "&amp;IF($W277=6,"Final escalation completed.",IF($T277="OVERDUE","Next: "&amp;$Z277&amp;" was due "&amp;TEXT($Y277,"dd-mmm")&amp;" - "&amp;(NETWORKDAYS($Y277,TODAY(),Holidays)-1)&amp;" business day(s) late. Send now.",IF($T277="DUE TOMORROW","Next: "&amp;$Z277&amp;IF($Y277&lt;=TODAY()," is due TODAY ("," is due next business day (")&amp;TEXT($Y277,"dd-mmm")&amp;").","Next: "&amp;$Z277&amp;" due "&amp;TEXT($Y277,"dd-mmm")&amp;" ("&amp;(NETWORKDAYS(TODAY(),$Y277,Holidays)-1)&amp;" business day(s) left).")))))</f>
        <v/>
      </c>
      <c r="V277" s="17">
        <f>IF($W277="","",CHOOSE($W277,"Collection Email","1st Follow-up","2nd Follow-up","Local Office","CBE","Roxanne")&amp;IF($W277=6," - Final"," - Day "&amp;MAX(0,NETWORKDAYS($X277,TODAY(),Holidays)-1)&amp;" of "&amp;CHOOSE($W277,3,3,2,2,3))&amp;" | Total Day "&amp;MAX(0,NETWORKDAYS($L277,TODAY(),Holidays)-1))</f>
        <v/>
      </c>
      <c r="W277" s="17">
        <f>IF($L277="","",COUNT($L277:$Q277))</f>
        <v/>
      </c>
      <c r="X277" s="18">
        <f>IF($W277="","",INT(INDEX($L277:$Q277,$W277)))</f>
        <v/>
      </c>
      <c r="Y277" s="18">
        <f>IF(OR($W277="",$W277=6),"",WORKDAY($X277,CHOOSE($W277,3,3,2,2,3),Holidays))</f>
        <v/>
      </c>
      <c r="Z277" s="17">
        <f>IF(OR($W277="",$W277=6),"",CHOOSE($W277,"1st Email Follow-up","2nd Email Follow-up","Escalate Local Office","Escalate to CBE","Escalate to Roxanne"))</f>
        <v/>
      </c>
    </row>
    <row r="278" spans="18:26">
      <c r="R278" s="15"/>
      <c r="S278" s="16"/>
      <c r="T278" s="17">
        <f>IF(AND(COUNTA($A278:$K278)=0,$L278=""),"",IF($S278="Paid","PAID",IF($S278="Closed","CLOSED",IF($W278="","",IF($W278=6,"ESCALATED TO ROXANNE",IF(TODAY()&gt;$Y278,"OVERDUE",IF($Y278&lt;=WORKDAY(TODAY(),1,Holidays),"DUE TOMORROW",IF($W278=4,"ESCALATED TO LOCAL OFFICE",IF($W278=5,"ESCALATED TO CBE",IF($X278=TODAY(),"EMAIL SENT","MONITORING"))))))))))</f>
        <v/>
      </c>
      <c r="U278" s="17">
        <f>IF($T278="",IF(AND(COUNTA($A278:$K278)&gt;0,$L278=""),"Awaiting Collection Email time stamp.",""),IF(OR($T278="PAID",$T278="CLOSED"),IF($T278="PAID","Account paid. Action completed.","Account closed. No further action required."),CHOOSE($W278,"Collection Email","1st Email Follow-up","2nd Email Follow-up","Escalation to Local Office","Escalation to CBE","Escalation to Roxanne")&amp;" sent "&amp;TEXT($X278,"dd-mmm")&amp;". "&amp;IF($W278=6,"Final escalation completed.",IF($T278="OVERDUE","Next: "&amp;$Z278&amp;" was due "&amp;TEXT($Y278,"dd-mmm")&amp;" - "&amp;(NETWORKDAYS($Y278,TODAY(),Holidays)-1)&amp;" business day(s) late. Send now.",IF($T278="DUE TOMORROW","Next: "&amp;$Z278&amp;IF($Y278&lt;=TODAY()," is due TODAY ("," is due next business day (")&amp;TEXT($Y278,"dd-mmm")&amp;").","Next: "&amp;$Z278&amp;" due "&amp;TEXT($Y278,"dd-mmm")&amp;" ("&amp;(NETWORKDAYS(TODAY(),$Y278,Holidays)-1)&amp;" business day(s) left).")))))</f>
        <v/>
      </c>
      <c r="V278" s="17">
        <f>IF($W278="","",CHOOSE($W278,"Collection Email","1st Follow-up","2nd Follow-up","Local Office","CBE","Roxanne")&amp;IF($W278=6," - Final"," - Day "&amp;MAX(0,NETWORKDAYS($X278,TODAY(),Holidays)-1)&amp;" of "&amp;CHOOSE($W278,3,3,2,2,3))&amp;" | Total Day "&amp;MAX(0,NETWORKDAYS($L278,TODAY(),Holidays)-1))</f>
        <v/>
      </c>
      <c r="W278" s="17">
        <f>IF($L278="","",COUNT($L278:$Q278))</f>
        <v/>
      </c>
      <c r="X278" s="18">
        <f>IF($W278="","",INT(INDEX($L278:$Q278,$W278)))</f>
        <v/>
      </c>
      <c r="Y278" s="18">
        <f>IF(OR($W278="",$W278=6),"",WORKDAY($X278,CHOOSE($W278,3,3,2,2,3),Holidays))</f>
        <v/>
      </c>
      <c r="Z278" s="17">
        <f>IF(OR($W278="",$W278=6),"",CHOOSE($W278,"1st Email Follow-up","2nd Email Follow-up","Escalate Local Office","Escalate to CBE","Escalate to Roxanne"))</f>
        <v/>
      </c>
    </row>
    <row r="279" spans="18:26">
      <c r="R279" s="15"/>
      <c r="S279" s="16"/>
      <c r="T279" s="17">
        <f>IF(AND(COUNTA($A279:$K279)=0,$L279=""),"",IF($S279="Paid","PAID",IF($S279="Closed","CLOSED",IF($W279="","",IF($W279=6,"ESCALATED TO ROXANNE",IF(TODAY()&gt;$Y279,"OVERDUE",IF($Y279&lt;=WORKDAY(TODAY(),1,Holidays),"DUE TOMORROW",IF($W279=4,"ESCALATED TO LOCAL OFFICE",IF($W279=5,"ESCALATED TO CBE",IF($X279=TODAY(),"EMAIL SENT","MONITORING"))))))))))</f>
        <v/>
      </c>
      <c r="U279" s="17">
        <f>IF($T279="",IF(AND(COUNTA($A279:$K279)&gt;0,$L279=""),"Awaiting Collection Email time stamp.",""),IF(OR($T279="PAID",$T279="CLOSED"),IF($T279="PAID","Account paid. Action completed.","Account closed. No further action required."),CHOOSE($W279,"Collection Email","1st Email Follow-up","2nd Email Follow-up","Escalation to Local Office","Escalation to CBE","Escalation to Roxanne")&amp;" sent "&amp;TEXT($X279,"dd-mmm")&amp;". "&amp;IF($W279=6,"Final escalation completed.",IF($T279="OVERDUE","Next: "&amp;$Z279&amp;" was due "&amp;TEXT($Y279,"dd-mmm")&amp;" - "&amp;(NETWORKDAYS($Y279,TODAY(),Holidays)-1)&amp;" business day(s) late. Send now.",IF($T279="DUE TOMORROW","Next: "&amp;$Z279&amp;IF($Y279&lt;=TODAY()," is due TODAY ("," is due next business day (")&amp;TEXT($Y279,"dd-mmm")&amp;").","Next: "&amp;$Z279&amp;" due "&amp;TEXT($Y279,"dd-mmm")&amp;" ("&amp;(NETWORKDAYS(TODAY(),$Y279,Holidays)-1)&amp;" business day(s) left).")))))</f>
        <v/>
      </c>
      <c r="V279" s="17">
        <f>IF($W279="","",CHOOSE($W279,"Collection Email","1st Follow-up","2nd Follow-up","Local Office","CBE","Roxanne")&amp;IF($W279=6," - Final"," - Day "&amp;MAX(0,NETWORKDAYS($X279,TODAY(),Holidays)-1)&amp;" of "&amp;CHOOSE($W279,3,3,2,2,3))&amp;" | Total Day "&amp;MAX(0,NETWORKDAYS($L279,TODAY(),Holidays)-1))</f>
        <v/>
      </c>
      <c r="W279" s="17">
        <f>IF($L279="","",COUNT($L279:$Q279))</f>
        <v/>
      </c>
      <c r="X279" s="18">
        <f>IF($W279="","",INT(INDEX($L279:$Q279,$W279)))</f>
        <v/>
      </c>
      <c r="Y279" s="18">
        <f>IF(OR($W279="",$W279=6),"",WORKDAY($X279,CHOOSE($W279,3,3,2,2,3),Holidays))</f>
        <v/>
      </c>
      <c r="Z279" s="17">
        <f>IF(OR($W279="",$W279=6),"",CHOOSE($W279,"1st Email Follow-up","2nd Email Follow-up","Escalate Local Office","Escalate to CBE","Escalate to Roxanne"))</f>
        <v/>
      </c>
    </row>
    <row r="280" spans="18:26">
      <c r="R280" s="15"/>
      <c r="S280" s="16"/>
      <c r="T280" s="17">
        <f>IF(AND(COUNTA($A280:$K280)=0,$L280=""),"",IF($S280="Paid","PAID",IF($S280="Closed","CLOSED",IF($W280="","",IF($W280=6,"ESCALATED TO ROXANNE",IF(TODAY()&gt;$Y280,"OVERDUE",IF($Y280&lt;=WORKDAY(TODAY(),1,Holidays),"DUE TOMORROW",IF($W280=4,"ESCALATED TO LOCAL OFFICE",IF($W280=5,"ESCALATED TO CBE",IF($X280=TODAY(),"EMAIL SENT","MONITORING"))))))))))</f>
        <v/>
      </c>
      <c r="U280" s="17">
        <f>IF($T280="",IF(AND(COUNTA($A280:$K280)&gt;0,$L280=""),"Awaiting Collection Email time stamp.",""),IF(OR($T280="PAID",$T280="CLOSED"),IF($T280="PAID","Account paid. Action completed.","Account closed. No further action required."),CHOOSE($W280,"Collection Email","1st Email Follow-up","2nd Email Follow-up","Escalation to Local Office","Escalation to CBE","Escalation to Roxanne")&amp;" sent "&amp;TEXT($X280,"dd-mmm")&amp;". "&amp;IF($W280=6,"Final escalation completed.",IF($T280="OVERDUE","Next: "&amp;$Z280&amp;" was due "&amp;TEXT($Y280,"dd-mmm")&amp;" - "&amp;(NETWORKDAYS($Y280,TODAY(),Holidays)-1)&amp;" business day(s) late. Send now.",IF($T280="DUE TOMORROW","Next: "&amp;$Z280&amp;IF($Y280&lt;=TODAY()," is due TODAY ("," is due next business day (")&amp;TEXT($Y280,"dd-mmm")&amp;").","Next: "&amp;$Z280&amp;" due "&amp;TEXT($Y280,"dd-mmm")&amp;" ("&amp;(NETWORKDAYS(TODAY(),$Y280,Holidays)-1)&amp;" business day(s) left).")))))</f>
        <v/>
      </c>
      <c r="V280" s="17">
        <f>IF($W280="","",CHOOSE($W280,"Collection Email","1st Follow-up","2nd Follow-up","Local Office","CBE","Roxanne")&amp;IF($W280=6," - Final"," - Day "&amp;MAX(0,NETWORKDAYS($X280,TODAY(),Holidays)-1)&amp;" of "&amp;CHOOSE($W280,3,3,2,2,3))&amp;" | Total Day "&amp;MAX(0,NETWORKDAYS($L280,TODAY(),Holidays)-1))</f>
        <v/>
      </c>
      <c r="W280" s="17">
        <f>IF($L280="","",COUNT($L280:$Q280))</f>
        <v/>
      </c>
      <c r="X280" s="18">
        <f>IF($W280="","",INT(INDEX($L280:$Q280,$W280)))</f>
        <v/>
      </c>
      <c r="Y280" s="18">
        <f>IF(OR($W280="",$W280=6),"",WORKDAY($X280,CHOOSE($W280,3,3,2,2,3),Holidays))</f>
        <v/>
      </c>
      <c r="Z280" s="17">
        <f>IF(OR($W280="",$W280=6),"",CHOOSE($W280,"1st Email Follow-up","2nd Email Follow-up","Escalate Local Office","Escalate to CBE","Escalate to Roxanne"))</f>
        <v/>
      </c>
    </row>
    <row r="281" spans="18:26">
      <c r="R281" s="15"/>
      <c r="S281" s="16"/>
      <c r="T281" s="17">
        <f>IF(AND(COUNTA($A281:$K281)=0,$L281=""),"",IF($S281="Paid","PAID",IF($S281="Closed","CLOSED",IF($W281="","",IF($W281=6,"ESCALATED TO ROXANNE",IF(TODAY()&gt;$Y281,"OVERDUE",IF($Y281&lt;=WORKDAY(TODAY(),1,Holidays),"DUE TOMORROW",IF($W281=4,"ESCALATED TO LOCAL OFFICE",IF($W281=5,"ESCALATED TO CBE",IF($X281=TODAY(),"EMAIL SENT","MONITORING"))))))))))</f>
        <v/>
      </c>
      <c r="U281" s="17">
        <f>IF($T281="",IF(AND(COUNTA($A281:$K281)&gt;0,$L281=""),"Awaiting Collection Email time stamp.",""),IF(OR($T281="PAID",$T281="CLOSED"),IF($T281="PAID","Account paid. Action completed.","Account closed. No further action required."),CHOOSE($W281,"Collection Email","1st Email Follow-up","2nd Email Follow-up","Escalation to Local Office","Escalation to CBE","Escalation to Roxanne")&amp;" sent "&amp;TEXT($X281,"dd-mmm")&amp;". "&amp;IF($W281=6,"Final escalation completed.",IF($T281="OVERDUE","Next: "&amp;$Z281&amp;" was due "&amp;TEXT($Y281,"dd-mmm")&amp;" - "&amp;(NETWORKDAYS($Y281,TODAY(),Holidays)-1)&amp;" business day(s) late. Send now.",IF($T281="DUE TOMORROW","Next: "&amp;$Z281&amp;IF($Y281&lt;=TODAY()," is due TODAY ("," is due next business day (")&amp;TEXT($Y281,"dd-mmm")&amp;").","Next: "&amp;$Z281&amp;" due "&amp;TEXT($Y281,"dd-mmm")&amp;" ("&amp;(NETWORKDAYS(TODAY(),$Y281,Holidays)-1)&amp;" business day(s) left).")))))</f>
        <v/>
      </c>
      <c r="V281" s="17">
        <f>IF($W281="","",CHOOSE($W281,"Collection Email","1st Follow-up","2nd Follow-up","Local Office","CBE","Roxanne")&amp;IF($W281=6," - Final"," - Day "&amp;MAX(0,NETWORKDAYS($X281,TODAY(),Holidays)-1)&amp;" of "&amp;CHOOSE($W281,3,3,2,2,3))&amp;" | Total Day "&amp;MAX(0,NETWORKDAYS($L281,TODAY(),Holidays)-1))</f>
        <v/>
      </c>
      <c r="W281" s="17">
        <f>IF($L281="","",COUNT($L281:$Q281))</f>
        <v/>
      </c>
      <c r="X281" s="18">
        <f>IF($W281="","",INT(INDEX($L281:$Q281,$W281)))</f>
        <v/>
      </c>
      <c r="Y281" s="18">
        <f>IF(OR($W281="",$W281=6),"",WORKDAY($X281,CHOOSE($W281,3,3,2,2,3),Holidays))</f>
        <v/>
      </c>
      <c r="Z281" s="17">
        <f>IF(OR($W281="",$W281=6),"",CHOOSE($W281,"1st Email Follow-up","2nd Email Follow-up","Escalate Local Office","Escalate to CBE","Escalate to Roxanne"))</f>
        <v/>
      </c>
    </row>
    <row r="282" spans="18:26">
      <c r="R282" s="15"/>
      <c r="S282" s="16"/>
      <c r="T282" s="17">
        <f>IF(AND(COUNTA($A282:$K282)=0,$L282=""),"",IF($S282="Paid","PAID",IF($S282="Closed","CLOSED",IF($W282="","",IF($W282=6,"ESCALATED TO ROXANNE",IF(TODAY()&gt;$Y282,"OVERDUE",IF($Y282&lt;=WORKDAY(TODAY(),1,Holidays),"DUE TOMORROW",IF($W282=4,"ESCALATED TO LOCAL OFFICE",IF($W282=5,"ESCALATED TO CBE",IF($X282=TODAY(),"EMAIL SENT","MONITORING"))))))))))</f>
        <v/>
      </c>
      <c r="U282" s="17">
        <f>IF($T282="",IF(AND(COUNTA($A282:$K282)&gt;0,$L282=""),"Awaiting Collection Email time stamp.",""),IF(OR($T282="PAID",$T282="CLOSED"),IF($T282="PAID","Account paid. Action completed.","Account closed. No further action required."),CHOOSE($W282,"Collection Email","1st Email Follow-up","2nd Email Follow-up","Escalation to Local Office","Escalation to CBE","Escalation to Roxanne")&amp;" sent "&amp;TEXT($X282,"dd-mmm")&amp;". "&amp;IF($W282=6,"Final escalation completed.",IF($T282="OVERDUE","Next: "&amp;$Z282&amp;" was due "&amp;TEXT($Y282,"dd-mmm")&amp;" - "&amp;(NETWORKDAYS($Y282,TODAY(),Holidays)-1)&amp;" business day(s) late. Send now.",IF($T282="DUE TOMORROW","Next: "&amp;$Z282&amp;IF($Y282&lt;=TODAY()," is due TODAY ("," is due next business day (")&amp;TEXT($Y282,"dd-mmm")&amp;").","Next: "&amp;$Z282&amp;" due "&amp;TEXT($Y282,"dd-mmm")&amp;" ("&amp;(NETWORKDAYS(TODAY(),$Y282,Holidays)-1)&amp;" business day(s) left).")))))</f>
        <v/>
      </c>
      <c r="V282" s="17">
        <f>IF($W282="","",CHOOSE($W282,"Collection Email","1st Follow-up","2nd Follow-up","Local Office","CBE","Roxanne")&amp;IF($W282=6," - Final"," - Day "&amp;MAX(0,NETWORKDAYS($X282,TODAY(),Holidays)-1)&amp;" of "&amp;CHOOSE($W282,3,3,2,2,3))&amp;" | Total Day "&amp;MAX(0,NETWORKDAYS($L282,TODAY(),Holidays)-1))</f>
        <v/>
      </c>
      <c r="W282" s="17">
        <f>IF($L282="","",COUNT($L282:$Q282))</f>
        <v/>
      </c>
      <c r="X282" s="18">
        <f>IF($W282="","",INT(INDEX($L282:$Q282,$W282)))</f>
        <v/>
      </c>
      <c r="Y282" s="18">
        <f>IF(OR($W282="",$W282=6),"",WORKDAY($X282,CHOOSE($W282,3,3,2,2,3),Holidays))</f>
        <v/>
      </c>
      <c r="Z282" s="17">
        <f>IF(OR($W282="",$W282=6),"",CHOOSE($W282,"1st Email Follow-up","2nd Email Follow-up","Escalate Local Office","Escalate to CBE","Escalate to Roxanne"))</f>
        <v/>
      </c>
    </row>
    <row r="283" spans="18:26">
      <c r="R283" s="15"/>
      <c r="S283" s="16"/>
      <c r="T283" s="17">
        <f>IF(AND(COUNTA($A283:$K283)=0,$L283=""),"",IF($S283="Paid","PAID",IF($S283="Closed","CLOSED",IF($W283="","",IF($W283=6,"ESCALATED TO ROXANNE",IF(TODAY()&gt;$Y283,"OVERDUE",IF($Y283&lt;=WORKDAY(TODAY(),1,Holidays),"DUE TOMORROW",IF($W283=4,"ESCALATED TO LOCAL OFFICE",IF($W283=5,"ESCALATED TO CBE",IF($X283=TODAY(),"EMAIL SENT","MONITORING"))))))))))</f>
        <v/>
      </c>
      <c r="U283" s="17">
        <f>IF($T283="",IF(AND(COUNTA($A283:$K283)&gt;0,$L283=""),"Awaiting Collection Email time stamp.",""),IF(OR($T283="PAID",$T283="CLOSED"),IF($T283="PAID","Account paid. Action completed.","Account closed. No further action required."),CHOOSE($W283,"Collection Email","1st Email Follow-up","2nd Email Follow-up","Escalation to Local Office","Escalation to CBE","Escalation to Roxanne")&amp;" sent "&amp;TEXT($X283,"dd-mmm")&amp;". "&amp;IF($W283=6,"Final escalation completed.",IF($T283="OVERDUE","Next: "&amp;$Z283&amp;" was due "&amp;TEXT($Y283,"dd-mmm")&amp;" - "&amp;(NETWORKDAYS($Y283,TODAY(),Holidays)-1)&amp;" business day(s) late. Send now.",IF($T283="DUE TOMORROW","Next: "&amp;$Z283&amp;IF($Y283&lt;=TODAY()," is due TODAY ("," is due next business day (")&amp;TEXT($Y283,"dd-mmm")&amp;").","Next: "&amp;$Z283&amp;" due "&amp;TEXT($Y283,"dd-mmm")&amp;" ("&amp;(NETWORKDAYS(TODAY(),$Y283,Holidays)-1)&amp;" business day(s) left).")))))</f>
        <v/>
      </c>
      <c r="V283" s="17">
        <f>IF($W283="","",CHOOSE($W283,"Collection Email","1st Follow-up","2nd Follow-up","Local Office","CBE","Roxanne")&amp;IF($W283=6," - Final"," - Day "&amp;MAX(0,NETWORKDAYS($X283,TODAY(),Holidays)-1)&amp;" of "&amp;CHOOSE($W283,3,3,2,2,3))&amp;" | Total Day "&amp;MAX(0,NETWORKDAYS($L283,TODAY(),Holidays)-1))</f>
        <v/>
      </c>
      <c r="W283" s="17">
        <f>IF($L283="","",COUNT($L283:$Q283))</f>
        <v/>
      </c>
      <c r="X283" s="18">
        <f>IF($W283="","",INT(INDEX($L283:$Q283,$W283)))</f>
        <v/>
      </c>
      <c r="Y283" s="18">
        <f>IF(OR($W283="",$W283=6),"",WORKDAY($X283,CHOOSE($W283,3,3,2,2,3),Holidays))</f>
        <v/>
      </c>
      <c r="Z283" s="17">
        <f>IF(OR($W283="",$W283=6),"",CHOOSE($W283,"1st Email Follow-up","2nd Email Follow-up","Escalate Local Office","Escalate to CBE","Escalate to Roxanne"))</f>
        <v/>
      </c>
    </row>
    <row r="284" spans="18:26">
      <c r="R284" s="15"/>
      <c r="S284" s="16"/>
      <c r="T284" s="17">
        <f>IF(AND(COUNTA($A284:$K284)=0,$L284=""),"",IF($S284="Paid","PAID",IF($S284="Closed","CLOSED",IF($W284="","",IF($W284=6,"ESCALATED TO ROXANNE",IF(TODAY()&gt;$Y284,"OVERDUE",IF($Y284&lt;=WORKDAY(TODAY(),1,Holidays),"DUE TOMORROW",IF($W284=4,"ESCALATED TO LOCAL OFFICE",IF($W284=5,"ESCALATED TO CBE",IF($X284=TODAY(),"EMAIL SENT","MONITORING"))))))))))</f>
        <v/>
      </c>
      <c r="U284" s="17">
        <f>IF($T284="",IF(AND(COUNTA($A284:$K284)&gt;0,$L284=""),"Awaiting Collection Email time stamp.",""),IF(OR($T284="PAID",$T284="CLOSED"),IF($T284="PAID","Account paid. Action completed.","Account closed. No further action required."),CHOOSE($W284,"Collection Email","1st Email Follow-up","2nd Email Follow-up","Escalation to Local Office","Escalation to CBE","Escalation to Roxanne")&amp;" sent "&amp;TEXT($X284,"dd-mmm")&amp;". "&amp;IF($W284=6,"Final escalation completed.",IF($T284="OVERDUE","Next: "&amp;$Z284&amp;" was due "&amp;TEXT($Y284,"dd-mmm")&amp;" - "&amp;(NETWORKDAYS($Y284,TODAY(),Holidays)-1)&amp;" business day(s) late. Send now.",IF($T284="DUE TOMORROW","Next: "&amp;$Z284&amp;IF($Y284&lt;=TODAY()," is due TODAY ("," is due next business day (")&amp;TEXT($Y284,"dd-mmm")&amp;").","Next: "&amp;$Z284&amp;" due "&amp;TEXT($Y284,"dd-mmm")&amp;" ("&amp;(NETWORKDAYS(TODAY(),$Y284,Holidays)-1)&amp;" business day(s) left).")))))</f>
        <v/>
      </c>
      <c r="V284" s="17">
        <f>IF($W284="","",CHOOSE($W284,"Collection Email","1st Follow-up","2nd Follow-up","Local Office","CBE","Roxanne")&amp;IF($W284=6," - Final"," - Day "&amp;MAX(0,NETWORKDAYS($X284,TODAY(),Holidays)-1)&amp;" of "&amp;CHOOSE($W284,3,3,2,2,3))&amp;" | Total Day "&amp;MAX(0,NETWORKDAYS($L284,TODAY(),Holidays)-1))</f>
        <v/>
      </c>
      <c r="W284" s="17">
        <f>IF($L284="","",COUNT($L284:$Q284))</f>
        <v/>
      </c>
      <c r="X284" s="18">
        <f>IF($W284="","",INT(INDEX($L284:$Q284,$W284)))</f>
        <v/>
      </c>
      <c r="Y284" s="18">
        <f>IF(OR($W284="",$W284=6),"",WORKDAY($X284,CHOOSE($W284,3,3,2,2,3),Holidays))</f>
        <v/>
      </c>
      <c r="Z284" s="17">
        <f>IF(OR($W284="",$W284=6),"",CHOOSE($W284,"1st Email Follow-up","2nd Email Follow-up","Escalate Local Office","Escalate to CBE","Escalate to Roxanne"))</f>
        <v/>
      </c>
    </row>
    <row r="285" spans="18:26">
      <c r="R285" s="15"/>
      <c r="S285" s="16"/>
      <c r="T285" s="17">
        <f>IF(AND(COUNTA($A285:$K285)=0,$L285=""),"",IF($S285="Paid","PAID",IF($S285="Closed","CLOSED",IF($W285="","",IF($W285=6,"ESCALATED TO ROXANNE",IF(TODAY()&gt;$Y285,"OVERDUE",IF($Y285&lt;=WORKDAY(TODAY(),1,Holidays),"DUE TOMORROW",IF($W285=4,"ESCALATED TO LOCAL OFFICE",IF($W285=5,"ESCALATED TO CBE",IF($X285=TODAY(),"EMAIL SENT","MONITORING"))))))))))</f>
        <v/>
      </c>
      <c r="U285" s="17">
        <f>IF($T285="",IF(AND(COUNTA($A285:$K285)&gt;0,$L285=""),"Awaiting Collection Email time stamp.",""),IF(OR($T285="PAID",$T285="CLOSED"),IF($T285="PAID","Account paid. Action completed.","Account closed. No further action required."),CHOOSE($W285,"Collection Email","1st Email Follow-up","2nd Email Follow-up","Escalation to Local Office","Escalation to CBE","Escalation to Roxanne")&amp;" sent "&amp;TEXT($X285,"dd-mmm")&amp;". "&amp;IF($W285=6,"Final escalation completed.",IF($T285="OVERDUE","Next: "&amp;$Z285&amp;" was due "&amp;TEXT($Y285,"dd-mmm")&amp;" - "&amp;(NETWORKDAYS($Y285,TODAY(),Holidays)-1)&amp;" business day(s) late. Send now.",IF($T285="DUE TOMORROW","Next: "&amp;$Z285&amp;IF($Y285&lt;=TODAY()," is due TODAY ("," is due next business day (")&amp;TEXT($Y285,"dd-mmm")&amp;").","Next: "&amp;$Z285&amp;" due "&amp;TEXT($Y285,"dd-mmm")&amp;" ("&amp;(NETWORKDAYS(TODAY(),$Y285,Holidays)-1)&amp;" business day(s) left).")))))</f>
        <v/>
      </c>
      <c r="V285" s="17">
        <f>IF($W285="","",CHOOSE($W285,"Collection Email","1st Follow-up","2nd Follow-up","Local Office","CBE","Roxanne")&amp;IF($W285=6," - Final"," - Day "&amp;MAX(0,NETWORKDAYS($X285,TODAY(),Holidays)-1)&amp;" of "&amp;CHOOSE($W285,3,3,2,2,3))&amp;" | Total Day "&amp;MAX(0,NETWORKDAYS($L285,TODAY(),Holidays)-1))</f>
        <v/>
      </c>
      <c r="W285" s="17">
        <f>IF($L285="","",COUNT($L285:$Q285))</f>
        <v/>
      </c>
      <c r="X285" s="18">
        <f>IF($W285="","",INT(INDEX($L285:$Q285,$W285)))</f>
        <v/>
      </c>
      <c r="Y285" s="18">
        <f>IF(OR($W285="",$W285=6),"",WORKDAY($X285,CHOOSE($W285,3,3,2,2,3),Holidays))</f>
        <v/>
      </c>
      <c r="Z285" s="17">
        <f>IF(OR($W285="",$W285=6),"",CHOOSE($W285,"1st Email Follow-up","2nd Email Follow-up","Escalate Local Office","Escalate to CBE","Escalate to Roxanne"))</f>
        <v/>
      </c>
    </row>
    <row r="286" spans="18:26">
      <c r="R286" s="15"/>
      <c r="S286" s="16"/>
      <c r="T286" s="17">
        <f>IF(AND(COUNTA($A286:$K286)=0,$L286=""),"",IF($S286="Paid","PAID",IF($S286="Closed","CLOSED",IF($W286="","",IF($W286=6,"ESCALATED TO ROXANNE",IF(TODAY()&gt;$Y286,"OVERDUE",IF($Y286&lt;=WORKDAY(TODAY(),1,Holidays),"DUE TOMORROW",IF($W286=4,"ESCALATED TO LOCAL OFFICE",IF($W286=5,"ESCALATED TO CBE",IF($X286=TODAY(),"EMAIL SENT","MONITORING"))))))))))</f>
        <v/>
      </c>
      <c r="U286" s="17">
        <f>IF($T286="",IF(AND(COUNTA($A286:$K286)&gt;0,$L286=""),"Awaiting Collection Email time stamp.",""),IF(OR($T286="PAID",$T286="CLOSED"),IF($T286="PAID","Account paid. Action completed.","Account closed. No further action required."),CHOOSE($W286,"Collection Email","1st Email Follow-up","2nd Email Follow-up","Escalation to Local Office","Escalation to CBE","Escalation to Roxanne")&amp;" sent "&amp;TEXT($X286,"dd-mmm")&amp;". "&amp;IF($W286=6,"Final escalation completed.",IF($T286="OVERDUE","Next: "&amp;$Z286&amp;" was due "&amp;TEXT($Y286,"dd-mmm")&amp;" - "&amp;(NETWORKDAYS($Y286,TODAY(),Holidays)-1)&amp;" business day(s) late. Send now.",IF($T286="DUE TOMORROW","Next: "&amp;$Z286&amp;IF($Y286&lt;=TODAY()," is due TODAY ("," is due next business day (")&amp;TEXT($Y286,"dd-mmm")&amp;").","Next: "&amp;$Z286&amp;" due "&amp;TEXT($Y286,"dd-mmm")&amp;" ("&amp;(NETWORKDAYS(TODAY(),$Y286,Holidays)-1)&amp;" business day(s) left).")))))</f>
        <v/>
      </c>
      <c r="V286" s="17">
        <f>IF($W286="","",CHOOSE($W286,"Collection Email","1st Follow-up","2nd Follow-up","Local Office","CBE","Roxanne")&amp;IF($W286=6," - Final"," - Day "&amp;MAX(0,NETWORKDAYS($X286,TODAY(),Holidays)-1)&amp;" of "&amp;CHOOSE($W286,3,3,2,2,3))&amp;" | Total Day "&amp;MAX(0,NETWORKDAYS($L286,TODAY(),Holidays)-1))</f>
        <v/>
      </c>
      <c r="W286" s="17">
        <f>IF($L286="","",COUNT($L286:$Q286))</f>
        <v/>
      </c>
      <c r="X286" s="18">
        <f>IF($W286="","",INT(INDEX($L286:$Q286,$W286)))</f>
        <v/>
      </c>
      <c r="Y286" s="18">
        <f>IF(OR($W286="",$W286=6),"",WORKDAY($X286,CHOOSE($W286,3,3,2,2,3),Holidays))</f>
        <v/>
      </c>
      <c r="Z286" s="17">
        <f>IF(OR($W286="",$W286=6),"",CHOOSE($W286,"1st Email Follow-up","2nd Email Follow-up","Escalate Local Office","Escalate to CBE","Escalate to Roxanne"))</f>
        <v/>
      </c>
    </row>
    <row r="287" spans="18:26">
      <c r="R287" s="15"/>
      <c r="S287" s="16"/>
      <c r="T287" s="17">
        <f>IF(AND(COUNTA($A287:$K287)=0,$L287=""),"",IF($S287="Paid","PAID",IF($S287="Closed","CLOSED",IF($W287="","",IF($W287=6,"ESCALATED TO ROXANNE",IF(TODAY()&gt;$Y287,"OVERDUE",IF($Y287&lt;=WORKDAY(TODAY(),1,Holidays),"DUE TOMORROW",IF($W287=4,"ESCALATED TO LOCAL OFFICE",IF($W287=5,"ESCALATED TO CBE",IF($X287=TODAY(),"EMAIL SENT","MONITORING"))))))))))</f>
        <v/>
      </c>
      <c r="U287" s="17">
        <f>IF($T287="",IF(AND(COUNTA($A287:$K287)&gt;0,$L287=""),"Awaiting Collection Email time stamp.",""),IF(OR($T287="PAID",$T287="CLOSED"),IF($T287="PAID","Account paid. Action completed.","Account closed. No further action required."),CHOOSE($W287,"Collection Email","1st Email Follow-up","2nd Email Follow-up","Escalation to Local Office","Escalation to CBE","Escalation to Roxanne")&amp;" sent "&amp;TEXT($X287,"dd-mmm")&amp;". "&amp;IF($W287=6,"Final escalation completed.",IF($T287="OVERDUE","Next: "&amp;$Z287&amp;" was due "&amp;TEXT($Y287,"dd-mmm")&amp;" - "&amp;(NETWORKDAYS($Y287,TODAY(),Holidays)-1)&amp;" business day(s) late. Send now.",IF($T287="DUE TOMORROW","Next: "&amp;$Z287&amp;IF($Y287&lt;=TODAY()," is due TODAY ("," is due next business day (")&amp;TEXT($Y287,"dd-mmm")&amp;").","Next: "&amp;$Z287&amp;" due "&amp;TEXT($Y287,"dd-mmm")&amp;" ("&amp;(NETWORKDAYS(TODAY(),$Y287,Holidays)-1)&amp;" business day(s) left).")))))</f>
        <v/>
      </c>
      <c r="V287" s="17">
        <f>IF($W287="","",CHOOSE($W287,"Collection Email","1st Follow-up","2nd Follow-up","Local Office","CBE","Roxanne")&amp;IF($W287=6," - Final"," - Day "&amp;MAX(0,NETWORKDAYS($X287,TODAY(),Holidays)-1)&amp;" of "&amp;CHOOSE($W287,3,3,2,2,3))&amp;" | Total Day "&amp;MAX(0,NETWORKDAYS($L287,TODAY(),Holidays)-1))</f>
        <v/>
      </c>
      <c r="W287" s="17">
        <f>IF($L287="","",COUNT($L287:$Q287))</f>
        <v/>
      </c>
      <c r="X287" s="18">
        <f>IF($W287="","",INT(INDEX($L287:$Q287,$W287)))</f>
        <v/>
      </c>
      <c r="Y287" s="18">
        <f>IF(OR($W287="",$W287=6),"",WORKDAY($X287,CHOOSE($W287,3,3,2,2,3),Holidays))</f>
        <v/>
      </c>
      <c r="Z287" s="17">
        <f>IF(OR($W287="",$W287=6),"",CHOOSE($W287,"1st Email Follow-up","2nd Email Follow-up","Escalate Local Office","Escalate to CBE","Escalate to Roxanne"))</f>
        <v/>
      </c>
    </row>
    <row r="288" spans="18:26">
      <c r="R288" s="15"/>
      <c r="S288" s="16"/>
      <c r="T288" s="17">
        <f>IF(AND(COUNTA($A288:$K288)=0,$L288=""),"",IF($S288="Paid","PAID",IF($S288="Closed","CLOSED",IF($W288="","",IF($W288=6,"ESCALATED TO ROXANNE",IF(TODAY()&gt;$Y288,"OVERDUE",IF($Y288&lt;=WORKDAY(TODAY(),1,Holidays),"DUE TOMORROW",IF($W288=4,"ESCALATED TO LOCAL OFFICE",IF($W288=5,"ESCALATED TO CBE",IF($X288=TODAY(),"EMAIL SENT","MONITORING"))))))))))</f>
        <v/>
      </c>
      <c r="U288" s="17">
        <f>IF($T288="",IF(AND(COUNTA($A288:$K288)&gt;0,$L288=""),"Awaiting Collection Email time stamp.",""),IF(OR($T288="PAID",$T288="CLOSED"),IF($T288="PAID","Account paid. Action completed.","Account closed. No further action required."),CHOOSE($W288,"Collection Email","1st Email Follow-up","2nd Email Follow-up","Escalation to Local Office","Escalation to CBE","Escalation to Roxanne")&amp;" sent "&amp;TEXT($X288,"dd-mmm")&amp;". "&amp;IF($W288=6,"Final escalation completed.",IF($T288="OVERDUE","Next: "&amp;$Z288&amp;" was due "&amp;TEXT($Y288,"dd-mmm")&amp;" - "&amp;(NETWORKDAYS($Y288,TODAY(),Holidays)-1)&amp;" business day(s) late. Send now.",IF($T288="DUE TOMORROW","Next: "&amp;$Z288&amp;IF($Y288&lt;=TODAY()," is due TODAY ("," is due next business day (")&amp;TEXT($Y288,"dd-mmm")&amp;").","Next: "&amp;$Z288&amp;" due "&amp;TEXT($Y288,"dd-mmm")&amp;" ("&amp;(NETWORKDAYS(TODAY(),$Y288,Holidays)-1)&amp;" business day(s) left).")))))</f>
        <v/>
      </c>
      <c r="V288" s="17">
        <f>IF($W288="","",CHOOSE($W288,"Collection Email","1st Follow-up","2nd Follow-up","Local Office","CBE","Roxanne")&amp;IF($W288=6," - Final"," - Day "&amp;MAX(0,NETWORKDAYS($X288,TODAY(),Holidays)-1)&amp;" of "&amp;CHOOSE($W288,3,3,2,2,3))&amp;" | Total Day "&amp;MAX(0,NETWORKDAYS($L288,TODAY(),Holidays)-1))</f>
        <v/>
      </c>
      <c r="W288" s="17">
        <f>IF($L288="","",COUNT($L288:$Q288))</f>
        <v/>
      </c>
      <c r="X288" s="18">
        <f>IF($W288="","",INT(INDEX($L288:$Q288,$W288)))</f>
        <v/>
      </c>
      <c r="Y288" s="18">
        <f>IF(OR($W288="",$W288=6),"",WORKDAY($X288,CHOOSE($W288,3,3,2,2,3),Holidays))</f>
        <v/>
      </c>
      <c r="Z288" s="17">
        <f>IF(OR($W288="",$W288=6),"",CHOOSE($W288,"1st Email Follow-up","2nd Email Follow-up","Escalate Local Office","Escalate to CBE","Escalate to Roxanne"))</f>
        <v/>
      </c>
    </row>
    <row r="289" spans="18:26">
      <c r="R289" s="15"/>
      <c r="S289" s="16"/>
      <c r="T289" s="17">
        <f>IF(AND(COUNTA($A289:$K289)=0,$L289=""),"",IF($S289="Paid","PAID",IF($S289="Closed","CLOSED",IF($W289="","",IF($W289=6,"ESCALATED TO ROXANNE",IF(TODAY()&gt;$Y289,"OVERDUE",IF($Y289&lt;=WORKDAY(TODAY(),1,Holidays),"DUE TOMORROW",IF($W289=4,"ESCALATED TO LOCAL OFFICE",IF($W289=5,"ESCALATED TO CBE",IF($X289=TODAY(),"EMAIL SENT","MONITORING"))))))))))</f>
        <v/>
      </c>
      <c r="U289" s="17">
        <f>IF($T289="",IF(AND(COUNTA($A289:$K289)&gt;0,$L289=""),"Awaiting Collection Email time stamp.",""),IF(OR($T289="PAID",$T289="CLOSED"),IF($T289="PAID","Account paid. Action completed.","Account closed. No further action required."),CHOOSE($W289,"Collection Email","1st Email Follow-up","2nd Email Follow-up","Escalation to Local Office","Escalation to CBE","Escalation to Roxanne")&amp;" sent "&amp;TEXT($X289,"dd-mmm")&amp;". "&amp;IF($W289=6,"Final escalation completed.",IF($T289="OVERDUE","Next: "&amp;$Z289&amp;" was due "&amp;TEXT($Y289,"dd-mmm")&amp;" - "&amp;(NETWORKDAYS($Y289,TODAY(),Holidays)-1)&amp;" business day(s) late. Send now.",IF($T289="DUE TOMORROW","Next: "&amp;$Z289&amp;IF($Y289&lt;=TODAY()," is due TODAY ("," is due next business day (")&amp;TEXT($Y289,"dd-mmm")&amp;").","Next: "&amp;$Z289&amp;" due "&amp;TEXT($Y289,"dd-mmm")&amp;" ("&amp;(NETWORKDAYS(TODAY(),$Y289,Holidays)-1)&amp;" business day(s) left).")))))</f>
        <v/>
      </c>
      <c r="V289" s="17">
        <f>IF($W289="","",CHOOSE($W289,"Collection Email","1st Follow-up","2nd Follow-up","Local Office","CBE","Roxanne")&amp;IF($W289=6," - Final"," - Day "&amp;MAX(0,NETWORKDAYS($X289,TODAY(),Holidays)-1)&amp;" of "&amp;CHOOSE($W289,3,3,2,2,3))&amp;" | Total Day "&amp;MAX(0,NETWORKDAYS($L289,TODAY(),Holidays)-1))</f>
        <v/>
      </c>
      <c r="W289" s="17">
        <f>IF($L289="","",COUNT($L289:$Q289))</f>
        <v/>
      </c>
      <c r="X289" s="18">
        <f>IF($W289="","",INT(INDEX($L289:$Q289,$W289)))</f>
        <v/>
      </c>
      <c r="Y289" s="18">
        <f>IF(OR($W289="",$W289=6),"",WORKDAY($X289,CHOOSE($W289,3,3,2,2,3),Holidays))</f>
        <v/>
      </c>
      <c r="Z289" s="17">
        <f>IF(OR($W289="",$W289=6),"",CHOOSE($W289,"1st Email Follow-up","2nd Email Follow-up","Escalate Local Office","Escalate to CBE","Escalate to Roxanne"))</f>
        <v/>
      </c>
    </row>
    <row r="290" spans="18:26">
      <c r="R290" s="15"/>
      <c r="S290" s="16"/>
      <c r="T290" s="17">
        <f>IF(AND(COUNTA($A290:$K290)=0,$L290=""),"",IF($S290="Paid","PAID",IF($S290="Closed","CLOSED",IF($W290="","",IF($W290=6,"ESCALATED TO ROXANNE",IF(TODAY()&gt;$Y290,"OVERDUE",IF($Y290&lt;=WORKDAY(TODAY(),1,Holidays),"DUE TOMORROW",IF($W290=4,"ESCALATED TO LOCAL OFFICE",IF($W290=5,"ESCALATED TO CBE",IF($X290=TODAY(),"EMAIL SENT","MONITORING"))))))))))</f>
        <v/>
      </c>
      <c r="U290" s="17">
        <f>IF($T290="",IF(AND(COUNTA($A290:$K290)&gt;0,$L290=""),"Awaiting Collection Email time stamp.",""),IF(OR($T290="PAID",$T290="CLOSED"),IF($T290="PAID","Account paid. Action completed.","Account closed. No further action required."),CHOOSE($W290,"Collection Email","1st Email Follow-up","2nd Email Follow-up","Escalation to Local Office","Escalation to CBE","Escalation to Roxanne")&amp;" sent "&amp;TEXT($X290,"dd-mmm")&amp;". "&amp;IF($W290=6,"Final escalation completed.",IF($T290="OVERDUE","Next: "&amp;$Z290&amp;" was due "&amp;TEXT($Y290,"dd-mmm")&amp;" - "&amp;(NETWORKDAYS($Y290,TODAY(),Holidays)-1)&amp;" business day(s) late. Send now.",IF($T290="DUE TOMORROW","Next: "&amp;$Z290&amp;IF($Y290&lt;=TODAY()," is due TODAY ("," is due next business day (")&amp;TEXT($Y290,"dd-mmm")&amp;").","Next: "&amp;$Z290&amp;" due "&amp;TEXT($Y290,"dd-mmm")&amp;" ("&amp;(NETWORKDAYS(TODAY(),$Y290,Holidays)-1)&amp;" business day(s) left).")))))</f>
        <v/>
      </c>
      <c r="V290" s="17">
        <f>IF($W290="","",CHOOSE($W290,"Collection Email","1st Follow-up","2nd Follow-up","Local Office","CBE","Roxanne")&amp;IF($W290=6," - Final"," - Day "&amp;MAX(0,NETWORKDAYS($X290,TODAY(),Holidays)-1)&amp;" of "&amp;CHOOSE($W290,3,3,2,2,3))&amp;" | Total Day "&amp;MAX(0,NETWORKDAYS($L290,TODAY(),Holidays)-1))</f>
        <v/>
      </c>
      <c r="W290" s="17">
        <f>IF($L290="","",COUNT($L290:$Q290))</f>
        <v/>
      </c>
      <c r="X290" s="18">
        <f>IF($W290="","",INT(INDEX($L290:$Q290,$W290)))</f>
        <v/>
      </c>
      <c r="Y290" s="18">
        <f>IF(OR($W290="",$W290=6),"",WORKDAY($X290,CHOOSE($W290,3,3,2,2,3),Holidays))</f>
        <v/>
      </c>
      <c r="Z290" s="17">
        <f>IF(OR($W290="",$W290=6),"",CHOOSE($W290,"1st Email Follow-up","2nd Email Follow-up","Escalate Local Office","Escalate to CBE","Escalate to Roxanne"))</f>
        <v/>
      </c>
    </row>
    <row r="291" spans="18:26">
      <c r="R291" s="15"/>
      <c r="S291" s="16"/>
      <c r="T291" s="17">
        <f>IF(AND(COUNTA($A291:$K291)=0,$L291=""),"",IF($S291="Paid","PAID",IF($S291="Closed","CLOSED",IF($W291="","",IF($W291=6,"ESCALATED TO ROXANNE",IF(TODAY()&gt;$Y291,"OVERDUE",IF($Y291&lt;=WORKDAY(TODAY(),1,Holidays),"DUE TOMORROW",IF($W291=4,"ESCALATED TO LOCAL OFFICE",IF($W291=5,"ESCALATED TO CBE",IF($X291=TODAY(),"EMAIL SENT","MONITORING"))))))))))</f>
        <v/>
      </c>
      <c r="U291" s="17">
        <f>IF($T291="",IF(AND(COUNTA($A291:$K291)&gt;0,$L291=""),"Awaiting Collection Email time stamp.",""),IF(OR($T291="PAID",$T291="CLOSED"),IF($T291="PAID","Account paid. Action completed.","Account closed. No further action required."),CHOOSE($W291,"Collection Email","1st Email Follow-up","2nd Email Follow-up","Escalation to Local Office","Escalation to CBE","Escalation to Roxanne")&amp;" sent "&amp;TEXT($X291,"dd-mmm")&amp;". "&amp;IF($W291=6,"Final escalation completed.",IF($T291="OVERDUE","Next: "&amp;$Z291&amp;" was due "&amp;TEXT($Y291,"dd-mmm")&amp;" - "&amp;(NETWORKDAYS($Y291,TODAY(),Holidays)-1)&amp;" business day(s) late. Send now.",IF($T291="DUE TOMORROW","Next: "&amp;$Z291&amp;IF($Y291&lt;=TODAY()," is due TODAY ("," is due next business day (")&amp;TEXT($Y291,"dd-mmm")&amp;").","Next: "&amp;$Z291&amp;" due "&amp;TEXT($Y291,"dd-mmm")&amp;" ("&amp;(NETWORKDAYS(TODAY(),$Y291,Holidays)-1)&amp;" business day(s) left).")))))</f>
        <v/>
      </c>
      <c r="V291" s="17">
        <f>IF($W291="","",CHOOSE($W291,"Collection Email","1st Follow-up","2nd Follow-up","Local Office","CBE","Roxanne")&amp;IF($W291=6," - Final"," - Day "&amp;MAX(0,NETWORKDAYS($X291,TODAY(),Holidays)-1)&amp;" of "&amp;CHOOSE($W291,3,3,2,2,3))&amp;" | Total Day "&amp;MAX(0,NETWORKDAYS($L291,TODAY(),Holidays)-1))</f>
        <v/>
      </c>
      <c r="W291" s="17">
        <f>IF($L291="","",COUNT($L291:$Q291))</f>
        <v/>
      </c>
      <c r="X291" s="18">
        <f>IF($W291="","",INT(INDEX($L291:$Q291,$W291)))</f>
        <v/>
      </c>
      <c r="Y291" s="18">
        <f>IF(OR($W291="",$W291=6),"",WORKDAY($X291,CHOOSE($W291,3,3,2,2,3),Holidays))</f>
        <v/>
      </c>
      <c r="Z291" s="17">
        <f>IF(OR($W291="",$W291=6),"",CHOOSE($W291,"1st Email Follow-up","2nd Email Follow-up","Escalate Local Office","Escalate to CBE","Escalate to Roxanne"))</f>
        <v/>
      </c>
    </row>
    <row r="292" spans="18:26">
      <c r="R292" s="15"/>
      <c r="S292" s="16"/>
      <c r="T292" s="17">
        <f>IF(AND(COUNTA($A292:$K292)=0,$L292=""),"",IF($S292="Paid","PAID",IF($S292="Closed","CLOSED",IF($W292="","",IF($W292=6,"ESCALATED TO ROXANNE",IF(TODAY()&gt;$Y292,"OVERDUE",IF($Y292&lt;=WORKDAY(TODAY(),1,Holidays),"DUE TOMORROW",IF($W292=4,"ESCALATED TO LOCAL OFFICE",IF($W292=5,"ESCALATED TO CBE",IF($X292=TODAY(),"EMAIL SENT","MONITORING"))))))))))</f>
        <v/>
      </c>
      <c r="U292" s="17">
        <f>IF($T292="",IF(AND(COUNTA($A292:$K292)&gt;0,$L292=""),"Awaiting Collection Email time stamp.",""),IF(OR($T292="PAID",$T292="CLOSED"),IF($T292="PAID","Account paid. Action completed.","Account closed. No further action required."),CHOOSE($W292,"Collection Email","1st Email Follow-up","2nd Email Follow-up","Escalation to Local Office","Escalation to CBE","Escalation to Roxanne")&amp;" sent "&amp;TEXT($X292,"dd-mmm")&amp;". "&amp;IF($W292=6,"Final escalation completed.",IF($T292="OVERDUE","Next: "&amp;$Z292&amp;" was due "&amp;TEXT($Y292,"dd-mmm")&amp;" - "&amp;(NETWORKDAYS($Y292,TODAY(),Holidays)-1)&amp;" business day(s) late. Send now.",IF($T292="DUE TOMORROW","Next: "&amp;$Z292&amp;IF($Y292&lt;=TODAY()," is due TODAY ("," is due next business day (")&amp;TEXT($Y292,"dd-mmm")&amp;").","Next: "&amp;$Z292&amp;" due "&amp;TEXT($Y292,"dd-mmm")&amp;" ("&amp;(NETWORKDAYS(TODAY(),$Y292,Holidays)-1)&amp;" business day(s) left).")))))</f>
        <v/>
      </c>
      <c r="V292" s="17">
        <f>IF($W292="","",CHOOSE($W292,"Collection Email","1st Follow-up","2nd Follow-up","Local Office","CBE","Roxanne")&amp;IF($W292=6," - Final"," - Day "&amp;MAX(0,NETWORKDAYS($X292,TODAY(),Holidays)-1)&amp;" of "&amp;CHOOSE($W292,3,3,2,2,3))&amp;" | Total Day "&amp;MAX(0,NETWORKDAYS($L292,TODAY(),Holidays)-1))</f>
        <v/>
      </c>
      <c r="W292" s="17">
        <f>IF($L292="","",COUNT($L292:$Q292))</f>
        <v/>
      </c>
      <c r="X292" s="18">
        <f>IF($W292="","",INT(INDEX($L292:$Q292,$W292)))</f>
        <v/>
      </c>
      <c r="Y292" s="18">
        <f>IF(OR($W292="",$W292=6),"",WORKDAY($X292,CHOOSE($W292,3,3,2,2,3),Holidays))</f>
        <v/>
      </c>
      <c r="Z292" s="17">
        <f>IF(OR($W292="",$W292=6),"",CHOOSE($W292,"1st Email Follow-up","2nd Email Follow-up","Escalate Local Office","Escalate to CBE","Escalate to Roxanne"))</f>
        <v/>
      </c>
    </row>
    <row r="293" spans="18:26">
      <c r="R293" s="15"/>
      <c r="S293" s="16"/>
      <c r="T293" s="17">
        <f>IF(AND(COUNTA($A293:$K293)=0,$L293=""),"",IF($S293="Paid","PAID",IF($S293="Closed","CLOSED",IF($W293="","",IF($W293=6,"ESCALATED TO ROXANNE",IF(TODAY()&gt;$Y293,"OVERDUE",IF($Y293&lt;=WORKDAY(TODAY(),1,Holidays),"DUE TOMORROW",IF($W293=4,"ESCALATED TO LOCAL OFFICE",IF($W293=5,"ESCALATED TO CBE",IF($X293=TODAY(),"EMAIL SENT","MONITORING"))))))))))</f>
        <v/>
      </c>
      <c r="U293" s="17">
        <f>IF($T293="",IF(AND(COUNTA($A293:$K293)&gt;0,$L293=""),"Awaiting Collection Email time stamp.",""),IF(OR($T293="PAID",$T293="CLOSED"),IF($T293="PAID","Account paid. Action completed.","Account closed. No further action required."),CHOOSE($W293,"Collection Email","1st Email Follow-up","2nd Email Follow-up","Escalation to Local Office","Escalation to CBE","Escalation to Roxanne")&amp;" sent "&amp;TEXT($X293,"dd-mmm")&amp;". "&amp;IF($W293=6,"Final escalation completed.",IF($T293="OVERDUE","Next: "&amp;$Z293&amp;" was due "&amp;TEXT($Y293,"dd-mmm")&amp;" - "&amp;(NETWORKDAYS($Y293,TODAY(),Holidays)-1)&amp;" business day(s) late. Send now.",IF($T293="DUE TOMORROW","Next: "&amp;$Z293&amp;IF($Y293&lt;=TODAY()," is due TODAY ("," is due next business day (")&amp;TEXT($Y293,"dd-mmm")&amp;").","Next: "&amp;$Z293&amp;" due "&amp;TEXT($Y293,"dd-mmm")&amp;" ("&amp;(NETWORKDAYS(TODAY(),$Y293,Holidays)-1)&amp;" business day(s) left).")))))</f>
        <v/>
      </c>
      <c r="V293" s="17">
        <f>IF($W293="","",CHOOSE($W293,"Collection Email","1st Follow-up","2nd Follow-up","Local Office","CBE","Roxanne")&amp;IF($W293=6," - Final"," - Day "&amp;MAX(0,NETWORKDAYS($X293,TODAY(),Holidays)-1)&amp;" of "&amp;CHOOSE($W293,3,3,2,2,3))&amp;" | Total Day "&amp;MAX(0,NETWORKDAYS($L293,TODAY(),Holidays)-1))</f>
        <v/>
      </c>
      <c r="W293" s="17">
        <f>IF($L293="","",COUNT($L293:$Q293))</f>
        <v/>
      </c>
      <c r="X293" s="18">
        <f>IF($W293="","",INT(INDEX($L293:$Q293,$W293)))</f>
        <v/>
      </c>
      <c r="Y293" s="18">
        <f>IF(OR($W293="",$W293=6),"",WORKDAY($X293,CHOOSE($W293,3,3,2,2,3),Holidays))</f>
        <v/>
      </c>
      <c r="Z293" s="17">
        <f>IF(OR($W293="",$W293=6),"",CHOOSE($W293,"1st Email Follow-up","2nd Email Follow-up","Escalate Local Office","Escalate to CBE","Escalate to Roxanne"))</f>
        <v/>
      </c>
    </row>
    <row r="294" spans="18:26">
      <c r="R294" s="15"/>
      <c r="S294" s="16"/>
      <c r="T294" s="17">
        <f>IF(AND(COUNTA($A294:$K294)=0,$L294=""),"",IF($S294="Paid","PAID",IF($S294="Closed","CLOSED",IF($W294="","",IF($W294=6,"ESCALATED TO ROXANNE",IF(TODAY()&gt;$Y294,"OVERDUE",IF($Y294&lt;=WORKDAY(TODAY(),1,Holidays),"DUE TOMORROW",IF($W294=4,"ESCALATED TO LOCAL OFFICE",IF($W294=5,"ESCALATED TO CBE",IF($X294=TODAY(),"EMAIL SENT","MONITORING"))))))))))</f>
        <v/>
      </c>
      <c r="U294" s="17">
        <f>IF($T294="",IF(AND(COUNTA($A294:$K294)&gt;0,$L294=""),"Awaiting Collection Email time stamp.",""),IF(OR($T294="PAID",$T294="CLOSED"),IF($T294="PAID","Account paid. Action completed.","Account closed. No further action required."),CHOOSE($W294,"Collection Email","1st Email Follow-up","2nd Email Follow-up","Escalation to Local Office","Escalation to CBE","Escalation to Roxanne")&amp;" sent "&amp;TEXT($X294,"dd-mmm")&amp;". "&amp;IF($W294=6,"Final escalation completed.",IF($T294="OVERDUE","Next: "&amp;$Z294&amp;" was due "&amp;TEXT($Y294,"dd-mmm")&amp;" - "&amp;(NETWORKDAYS($Y294,TODAY(),Holidays)-1)&amp;" business day(s) late. Send now.",IF($T294="DUE TOMORROW","Next: "&amp;$Z294&amp;IF($Y294&lt;=TODAY()," is due TODAY ("," is due next business day (")&amp;TEXT($Y294,"dd-mmm")&amp;").","Next: "&amp;$Z294&amp;" due "&amp;TEXT($Y294,"dd-mmm")&amp;" ("&amp;(NETWORKDAYS(TODAY(),$Y294,Holidays)-1)&amp;" business day(s) left).")))))</f>
        <v/>
      </c>
      <c r="V294" s="17">
        <f>IF($W294="","",CHOOSE($W294,"Collection Email","1st Follow-up","2nd Follow-up","Local Office","CBE","Roxanne")&amp;IF($W294=6," - Final"," - Day "&amp;MAX(0,NETWORKDAYS($X294,TODAY(),Holidays)-1)&amp;" of "&amp;CHOOSE($W294,3,3,2,2,3))&amp;" | Total Day "&amp;MAX(0,NETWORKDAYS($L294,TODAY(),Holidays)-1))</f>
        <v/>
      </c>
      <c r="W294" s="17">
        <f>IF($L294="","",COUNT($L294:$Q294))</f>
        <v/>
      </c>
      <c r="X294" s="18">
        <f>IF($W294="","",INT(INDEX($L294:$Q294,$W294)))</f>
        <v/>
      </c>
      <c r="Y294" s="18">
        <f>IF(OR($W294="",$W294=6),"",WORKDAY($X294,CHOOSE($W294,3,3,2,2,3),Holidays))</f>
        <v/>
      </c>
      <c r="Z294" s="17">
        <f>IF(OR($W294="",$W294=6),"",CHOOSE($W294,"1st Email Follow-up","2nd Email Follow-up","Escalate Local Office","Escalate to CBE","Escalate to Roxanne"))</f>
        <v/>
      </c>
    </row>
    <row r="295" spans="18:26">
      <c r="R295" s="15"/>
      <c r="S295" s="16"/>
      <c r="T295" s="17">
        <f>IF(AND(COUNTA($A295:$K295)=0,$L295=""),"",IF($S295="Paid","PAID",IF($S295="Closed","CLOSED",IF($W295="","",IF($W295=6,"ESCALATED TO ROXANNE",IF(TODAY()&gt;$Y295,"OVERDUE",IF($Y295&lt;=WORKDAY(TODAY(),1,Holidays),"DUE TOMORROW",IF($W295=4,"ESCALATED TO LOCAL OFFICE",IF($W295=5,"ESCALATED TO CBE",IF($X295=TODAY(),"EMAIL SENT","MONITORING"))))))))))</f>
        <v/>
      </c>
      <c r="U295" s="17">
        <f>IF($T295="",IF(AND(COUNTA($A295:$K295)&gt;0,$L295=""),"Awaiting Collection Email time stamp.",""),IF(OR($T295="PAID",$T295="CLOSED"),IF($T295="PAID","Account paid. Action completed.","Account closed. No further action required."),CHOOSE($W295,"Collection Email","1st Email Follow-up","2nd Email Follow-up","Escalation to Local Office","Escalation to CBE","Escalation to Roxanne")&amp;" sent "&amp;TEXT($X295,"dd-mmm")&amp;". "&amp;IF($W295=6,"Final escalation completed.",IF($T295="OVERDUE","Next: "&amp;$Z295&amp;" was due "&amp;TEXT($Y295,"dd-mmm")&amp;" - "&amp;(NETWORKDAYS($Y295,TODAY(),Holidays)-1)&amp;" business day(s) late. Send now.",IF($T295="DUE TOMORROW","Next: "&amp;$Z295&amp;IF($Y295&lt;=TODAY()," is due TODAY ("," is due next business day (")&amp;TEXT($Y295,"dd-mmm")&amp;").","Next: "&amp;$Z295&amp;" due "&amp;TEXT($Y295,"dd-mmm")&amp;" ("&amp;(NETWORKDAYS(TODAY(),$Y295,Holidays)-1)&amp;" business day(s) left).")))))</f>
        <v/>
      </c>
      <c r="V295" s="17">
        <f>IF($W295="","",CHOOSE($W295,"Collection Email","1st Follow-up","2nd Follow-up","Local Office","CBE","Roxanne")&amp;IF($W295=6," - Final"," - Day "&amp;MAX(0,NETWORKDAYS($X295,TODAY(),Holidays)-1)&amp;" of "&amp;CHOOSE($W295,3,3,2,2,3))&amp;" | Total Day "&amp;MAX(0,NETWORKDAYS($L295,TODAY(),Holidays)-1))</f>
        <v/>
      </c>
      <c r="W295" s="17">
        <f>IF($L295="","",COUNT($L295:$Q295))</f>
        <v/>
      </c>
      <c r="X295" s="18">
        <f>IF($W295="","",INT(INDEX($L295:$Q295,$W295)))</f>
        <v/>
      </c>
      <c r="Y295" s="18">
        <f>IF(OR($W295="",$W295=6),"",WORKDAY($X295,CHOOSE($W295,3,3,2,2,3),Holidays))</f>
        <v/>
      </c>
      <c r="Z295" s="17">
        <f>IF(OR($W295="",$W295=6),"",CHOOSE($W295,"1st Email Follow-up","2nd Email Follow-up","Escalate Local Office","Escalate to CBE","Escalate to Roxanne"))</f>
        <v/>
      </c>
    </row>
    <row r="296" spans="18:26">
      <c r="R296" s="15"/>
      <c r="S296" s="16"/>
      <c r="T296" s="17">
        <f>IF(AND(COUNTA($A296:$K296)=0,$L296=""),"",IF($S296="Paid","PAID",IF($S296="Closed","CLOSED",IF($W296="","",IF($W296=6,"ESCALATED TO ROXANNE",IF(TODAY()&gt;$Y296,"OVERDUE",IF($Y296&lt;=WORKDAY(TODAY(),1,Holidays),"DUE TOMORROW",IF($W296=4,"ESCALATED TO LOCAL OFFICE",IF($W296=5,"ESCALATED TO CBE",IF($X296=TODAY(),"EMAIL SENT","MONITORING"))))))))))</f>
        <v/>
      </c>
      <c r="U296" s="17">
        <f>IF($T296="",IF(AND(COUNTA($A296:$K296)&gt;0,$L296=""),"Awaiting Collection Email time stamp.",""),IF(OR($T296="PAID",$T296="CLOSED"),IF($T296="PAID","Account paid. Action completed.","Account closed. No further action required."),CHOOSE($W296,"Collection Email","1st Email Follow-up","2nd Email Follow-up","Escalation to Local Office","Escalation to CBE","Escalation to Roxanne")&amp;" sent "&amp;TEXT($X296,"dd-mmm")&amp;". "&amp;IF($W296=6,"Final escalation completed.",IF($T296="OVERDUE","Next: "&amp;$Z296&amp;" was due "&amp;TEXT($Y296,"dd-mmm")&amp;" - "&amp;(NETWORKDAYS($Y296,TODAY(),Holidays)-1)&amp;" business day(s) late. Send now.",IF($T296="DUE TOMORROW","Next: "&amp;$Z296&amp;IF($Y296&lt;=TODAY()," is due TODAY ("," is due next business day (")&amp;TEXT($Y296,"dd-mmm")&amp;").","Next: "&amp;$Z296&amp;" due "&amp;TEXT($Y296,"dd-mmm")&amp;" ("&amp;(NETWORKDAYS(TODAY(),$Y296,Holidays)-1)&amp;" business day(s) left).")))))</f>
        <v/>
      </c>
      <c r="V296" s="17">
        <f>IF($W296="","",CHOOSE($W296,"Collection Email","1st Follow-up","2nd Follow-up","Local Office","CBE","Roxanne")&amp;IF($W296=6," - Final"," - Day "&amp;MAX(0,NETWORKDAYS($X296,TODAY(),Holidays)-1)&amp;" of "&amp;CHOOSE($W296,3,3,2,2,3))&amp;" | Total Day "&amp;MAX(0,NETWORKDAYS($L296,TODAY(),Holidays)-1))</f>
        <v/>
      </c>
      <c r="W296" s="17">
        <f>IF($L296="","",COUNT($L296:$Q296))</f>
        <v/>
      </c>
      <c r="X296" s="18">
        <f>IF($W296="","",INT(INDEX($L296:$Q296,$W296)))</f>
        <v/>
      </c>
      <c r="Y296" s="18">
        <f>IF(OR($W296="",$W296=6),"",WORKDAY($X296,CHOOSE($W296,3,3,2,2,3),Holidays))</f>
        <v/>
      </c>
      <c r="Z296" s="17">
        <f>IF(OR($W296="",$W296=6),"",CHOOSE($W296,"1st Email Follow-up","2nd Email Follow-up","Escalate Local Office","Escalate to CBE","Escalate to Roxanne"))</f>
        <v/>
      </c>
    </row>
    <row r="297" spans="18:26">
      <c r="R297" s="15"/>
      <c r="S297" s="16"/>
      <c r="T297" s="17">
        <f>IF(AND(COUNTA($A297:$K297)=0,$L297=""),"",IF($S297="Paid","PAID",IF($S297="Closed","CLOSED",IF($W297="","",IF($W297=6,"ESCALATED TO ROXANNE",IF(TODAY()&gt;$Y297,"OVERDUE",IF($Y297&lt;=WORKDAY(TODAY(),1,Holidays),"DUE TOMORROW",IF($W297=4,"ESCALATED TO LOCAL OFFICE",IF($W297=5,"ESCALATED TO CBE",IF($X297=TODAY(),"EMAIL SENT","MONITORING"))))))))))</f>
        <v/>
      </c>
      <c r="U297" s="17">
        <f>IF($T297="",IF(AND(COUNTA($A297:$K297)&gt;0,$L297=""),"Awaiting Collection Email time stamp.",""),IF(OR($T297="PAID",$T297="CLOSED"),IF($T297="PAID","Account paid. Action completed.","Account closed. No further action required."),CHOOSE($W297,"Collection Email","1st Email Follow-up","2nd Email Follow-up","Escalation to Local Office","Escalation to CBE","Escalation to Roxanne")&amp;" sent "&amp;TEXT($X297,"dd-mmm")&amp;". "&amp;IF($W297=6,"Final escalation completed.",IF($T297="OVERDUE","Next: "&amp;$Z297&amp;" was due "&amp;TEXT($Y297,"dd-mmm")&amp;" - "&amp;(NETWORKDAYS($Y297,TODAY(),Holidays)-1)&amp;" business day(s) late. Send now.",IF($T297="DUE TOMORROW","Next: "&amp;$Z297&amp;IF($Y297&lt;=TODAY()," is due TODAY ("," is due next business day (")&amp;TEXT($Y297,"dd-mmm")&amp;").","Next: "&amp;$Z297&amp;" due "&amp;TEXT($Y297,"dd-mmm")&amp;" ("&amp;(NETWORKDAYS(TODAY(),$Y297,Holidays)-1)&amp;" business day(s) left).")))))</f>
        <v/>
      </c>
      <c r="V297" s="17">
        <f>IF($W297="","",CHOOSE($W297,"Collection Email","1st Follow-up","2nd Follow-up","Local Office","CBE","Roxanne")&amp;IF($W297=6," - Final"," - Day "&amp;MAX(0,NETWORKDAYS($X297,TODAY(),Holidays)-1)&amp;" of "&amp;CHOOSE($W297,3,3,2,2,3))&amp;" | Total Day "&amp;MAX(0,NETWORKDAYS($L297,TODAY(),Holidays)-1))</f>
        <v/>
      </c>
      <c r="W297" s="17">
        <f>IF($L297="","",COUNT($L297:$Q297))</f>
        <v/>
      </c>
      <c r="X297" s="18">
        <f>IF($W297="","",INT(INDEX($L297:$Q297,$W297)))</f>
        <v/>
      </c>
      <c r="Y297" s="18">
        <f>IF(OR($W297="",$W297=6),"",WORKDAY($X297,CHOOSE($W297,3,3,2,2,3),Holidays))</f>
        <v/>
      </c>
      <c r="Z297" s="17">
        <f>IF(OR($W297="",$W297=6),"",CHOOSE($W297,"1st Email Follow-up","2nd Email Follow-up","Escalate Local Office","Escalate to CBE","Escalate to Roxanne"))</f>
        <v/>
      </c>
    </row>
    <row r="298" spans="18:26">
      <c r="R298" s="15"/>
      <c r="S298" s="16"/>
      <c r="T298" s="17">
        <f>IF(AND(COUNTA($A298:$K298)=0,$L298=""),"",IF($S298="Paid","PAID",IF($S298="Closed","CLOSED",IF($W298="","",IF($W298=6,"ESCALATED TO ROXANNE",IF(TODAY()&gt;$Y298,"OVERDUE",IF($Y298&lt;=WORKDAY(TODAY(),1,Holidays),"DUE TOMORROW",IF($W298=4,"ESCALATED TO LOCAL OFFICE",IF($W298=5,"ESCALATED TO CBE",IF($X298=TODAY(),"EMAIL SENT","MONITORING"))))))))))</f>
        <v/>
      </c>
      <c r="U298" s="17">
        <f>IF($T298="",IF(AND(COUNTA($A298:$K298)&gt;0,$L298=""),"Awaiting Collection Email time stamp.",""),IF(OR($T298="PAID",$T298="CLOSED"),IF($T298="PAID","Account paid. Action completed.","Account closed. No further action required."),CHOOSE($W298,"Collection Email","1st Email Follow-up","2nd Email Follow-up","Escalation to Local Office","Escalation to CBE","Escalation to Roxanne")&amp;" sent "&amp;TEXT($X298,"dd-mmm")&amp;". "&amp;IF($W298=6,"Final escalation completed.",IF($T298="OVERDUE","Next: "&amp;$Z298&amp;" was due "&amp;TEXT($Y298,"dd-mmm")&amp;" - "&amp;(NETWORKDAYS($Y298,TODAY(),Holidays)-1)&amp;" business day(s) late. Send now.",IF($T298="DUE TOMORROW","Next: "&amp;$Z298&amp;IF($Y298&lt;=TODAY()," is due TODAY ("," is due next business day (")&amp;TEXT($Y298,"dd-mmm")&amp;").","Next: "&amp;$Z298&amp;" due "&amp;TEXT($Y298,"dd-mmm")&amp;" ("&amp;(NETWORKDAYS(TODAY(),$Y298,Holidays)-1)&amp;" business day(s) left).")))))</f>
        <v/>
      </c>
      <c r="V298" s="17">
        <f>IF($W298="","",CHOOSE($W298,"Collection Email","1st Follow-up","2nd Follow-up","Local Office","CBE","Roxanne")&amp;IF($W298=6," - Final"," - Day "&amp;MAX(0,NETWORKDAYS($X298,TODAY(),Holidays)-1)&amp;" of "&amp;CHOOSE($W298,3,3,2,2,3))&amp;" | Total Day "&amp;MAX(0,NETWORKDAYS($L298,TODAY(),Holidays)-1))</f>
        <v/>
      </c>
      <c r="W298" s="17">
        <f>IF($L298="","",COUNT($L298:$Q298))</f>
        <v/>
      </c>
      <c r="X298" s="18">
        <f>IF($W298="","",INT(INDEX($L298:$Q298,$W298)))</f>
        <v/>
      </c>
      <c r="Y298" s="18">
        <f>IF(OR($W298="",$W298=6),"",WORKDAY($X298,CHOOSE($W298,3,3,2,2,3),Holidays))</f>
        <v/>
      </c>
      <c r="Z298" s="17">
        <f>IF(OR($W298="",$W298=6),"",CHOOSE($W298,"1st Email Follow-up","2nd Email Follow-up","Escalate Local Office","Escalate to CBE","Escalate to Roxanne"))</f>
        <v/>
      </c>
    </row>
    <row r="299" spans="18:26">
      <c r="R299" s="15"/>
      <c r="S299" s="16"/>
      <c r="T299" s="17">
        <f>IF(AND(COUNTA($A299:$K299)=0,$L299=""),"",IF($S299="Paid","PAID",IF($S299="Closed","CLOSED",IF($W299="","",IF($W299=6,"ESCALATED TO ROXANNE",IF(TODAY()&gt;$Y299,"OVERDUE",IF($Y299&lt;=WORKDAY(TODAY(),1,Holidays),"DUE TOMORROW",IF($W299=4,"ESCALATED TO LOCAL OFFICE",IF($W299=5,"ESCALATED TO CBE",IF($X299=TODAY(),"EMAIL SENT","MONITORING"))))))))))</f>
        <v/>
      </c>
      <c r="U299" s="17">
        <f>IF($T299="",IF(AND(COUNTA($A299:$K299)&gt;0,$L299=""),"Awaiting Collection Email time stamp.",""),IF(OR($T299="PAID",$T299="CLOSED"),IF($T299="PAID","Account paid. Action completed.","Account closed. No further action required."),CHOOSE($W299,"Collection Email","1st Email Follow-up","2nd Email Follow-up","Escalation to Local Office","Escalation to CBE","Escalation to Roxanne")&amp;" sent "&amp;TEXT($X299,"dd-mmm")&amp;". "&amp;IF($W299=6,"Final escalation completed.",IF($T299="OVERDUE","Next: "&amp;$Z299&amp;" was due "&amp;TEXT($Y299,"dd-mmm")&amp;" - "&amp;(NETWORKDAYS($Y299,TODAY(),Holidays)-1)&amp;" business day(s) late. Send now.",IF($T299="DUE TOMORROW","Next: "&amp;$Z299&amp;IF($Y299&lt;=TODAY()," is due TODAY ("," is due next business day (")&amp;TEXT($Y299,"dd-mmm")&amp;").","Next: "&amp;$Z299&amp;" due "&amp;TEXT($Y299,"dd-mmm")&amp;" ("&amp;(NETWORKDAYS(TODAY(),$Y299,Holidays)-1)&amp;" business day(s) left).")))))</f>
        <v/>
      </c>
      <c r="V299" s="17">
        <f>IF($W299="","",CHOOSE($W299,"Collection Email","1st Follow-up","2nd Follow-up","Local Office","CBE","Roxanne")&amp;IF($W299=6," - Final"," - Day "&amp;MAX(0,NETWORKDAYS($X299,TODAY(),Holidays)-1)&amp;" of "&amp;CHOOSE($W299,3,3,2,2,3))&amp;" | Total Day "&amp;MAX(0,NETWORKDAYS($L299,TODAY(),Holidays)-1))</f>
        <v/>
      </c>
      <c r="W299" s="17">
        <f>IF($L299="","",COUNT($L299:$Q299))</f>
        <v/>
      </c>
      <c r="X299" s="18">
        <f>IF($W299="","",INT(INDEX($L299:$Q299,$W299)))</f>
        <v/>
      </c>
      <c r="Y299" s="18">
        <f>IF(OR($W299="",$W299=6),"",WORKDAY($X299,CHOOSE($W299,3,3,2,2,3),Holidays))</f>
        <v/>
      </c>
      <c r="Z299" s="17">
        <f>IF(OR($W299="",$W299=6),"",CHOOSE($W299,"1st Email Follow-up","2nd Email Follow-up","Escalate Local Office","Escalate to CBE","Escalate to Roxanne"))</f>
        <v/>
      </c>
    </row>
    <row r="300" spans="18:26">
      <c r="R300" s="15"/>
      <c r="S300" s="16"/>
      <c r="T300" s="17">
        <f>IF(AND(COUNTA($A300:$K300)=0,$L300=""),"",IF($S300="Paid","PAID",IF($S300="Closed","CLOSED",IF($W300="","",IF($W300=6,"ESCALATED TO ROXANNE",IF(TODAY()&gt;$Y300,"OVERDUE",IF($Y300&lt;=WORKDAY(TODAY(),1,Holidays),"DUE TOMORROW",IF($W300=4,"ESCALATED TO LOCAL OFFICE",IF($W300=5,"ESCALATED TO CBE",IF($X300=TODAY(),"EMAIL SENT","MONITORING"))))))))))</f>
        <v/>
      </c>
      <c r="U300" s="17">
        <f>IF($T300="",IF(AND(COUNTA($A300:$K300)&gt;0,$L300=""),"Awaiting Collection Email time stamp.",""),IF(OR($T300="PAID",$T300="CLOSED"),IF($T300="PAID","Account paid. Action completed.","Account closed. No further action required."),CHOOSE($W300,"Collection Email","1st Email Follow-up","2nd Email Follow-up","Escalation to Local Office","Escalation to CBE","Escalation to Roxanne")&amp;" sent "&amp;TEXT($X300,"dd-mmm")&amp;". "&amp;IF($W300=6,"Final escalation completed.",IF($T300="OVERDUE","Next: "&amp;$Z300&amp;" was due "&amp;TEXT($Y300,"dd-mmm")&amp;" - "&amp;(NETWORKDAYS($Y300,TODAY(),Holidays)-1)&amp;" business day(s) late. Send now.",IF($T300="DUE TOMORROW","Next: "&amp;$Z300&amp;IF($Y300&lt;=TODAY()," is due TODAY ("," is due next business day (")&amp;TEXT($Y300,"dd-mmm")&amp;").","Next: "&amp;$Z300&amp;" due "&amp;TEXT($Y300,"dd-mmm")&amp;" ("&amp;(NETWORKDAYS(TODAY(),$Y300,Holidays)-1)&amp;" business day(s) left).")))))</f>
        <v/>
      </c>
      <c r="V300" s="17">
        <f>IF($W300="","",CHOOSE($W300,"Collection Email","1st Follow-up","2nd Follow-up","Local Office","CBE","Roxanne")&amp;IF($W300=6," - Final"," - Day "&amp;MAX(0,NETWORKDAYS($X300,TODAY(),Holidays)-1)&amp;" of "&amp;CHOOSE($W300,3,3,2,2,3))&amp;" | Total Day "&amp;MAX(0,NETWORKDAYS($L300,TODAY(),Holidays)-1))</f>
        <v/>
      </c>
      <c r="W300" s="17">
        <f>IF($L300="","",COUNT($L300:$Q300))</f>
        <v/>
      </c>
      <c r="X300" s="18">
        <f>IF($W300="","",INT(INDEX($L300:$Q300,$W300)))</f>
        <v/>
      </c>
      <c r="Y300" s="18">
        <f>IF(OR($W300="",$W300=6),"",WORKDAY($X300,CHOOSE($W300,3,3,2,2,3),Holidays))</f>
        <v/>
      </c>
      <c r="Z300" s="17">
        <f>IF(OR($W300="",$W300=6),"",CHOOSE($W300,"1st Email Follow-up","2nd Email Follow-up","Escalate Local Office","Escalate to CBE","Escalate to Roxanne"))</f>
        <v/>
      </c>
    </row>
    <row r="301" spans="18:26">
      <c r="R301" s="15"/>
      <c r="S301" s="16"/>
      <c r="T301" s="17">
        <f>IF(AND(COUNTA($A301:$K301)=0,$L301=""),"",IF($S301="Paid","PAID",IF($S301="Closed","CLOSED",IF($W301="","",IF($W301=6,"ESCALATED TO ROXANNE",IF(TODAY()&gt;$Y301,"OVERDUE",IF($Y301&lt;=WORKDAY(TODAY(),1,Holidays),"DUE TOMORROW",IF($W301=4,"ESCALATED TO LOCAL OFFICE",IF($W301=5,"ESCALATED TO CBE",IF($X301=TODAY(),"EMAIL SENT","MONITORING"))))))))))</f>
        <v/>
      </c>
      <c r="U301" s="17">
        <f>IF($T301="",IF(AND(COUNTA($A301:$K301)&gt;0,$L301=""),"Awaiting Collection Email time stamp.",""),IF(OR($T301="PAID",$T301="CLOSED"),IF($T301="PAID","Account paid. Action completed.","Account closed. No further action required."),CHOOSE($W301,"Collection Email","1st Email Follow-up","2nd Email Follow-up","Escalation to Local Office","Escalation to CBE","Escalation to Roxanne")&amp;" sent "&amp;TEXT($X301,"dd-mmm")&amp;". "&amp;IF($W301=6,"Final escalation completed.",IF($T301="OVERDUE","Next: "&amp;$Z301&amp;" was due "&amp;TEXT($Y301,"dd-mmm")&amp;" - "&amp;(NETWORKDAYS($Y301,TODAY(),Holidays)-1)&amp;" business day(s) late. Send now.",IF($T301="DUE TOMORROW","Next: "&amp;$Z301&amp;IF($Y301&lt;=TODAY()," is due TODAY ("," is due next business day (")&amp;TEXT($Y301,"dd-mmm")&amp;").","Next: "&amp;$Z301&amp;" due "&amp;TEXT($Y301,"dd-mmm")&amp;" ("&amp;(NETWORKDAYS(TODAY(),$Y301,Holidays)-1)&amp;" business day(s) left).")))))</f>
        <v/>
      </c>
      <c r="V301" s="17">
        <f>IF($W301="","",CHOOSE($W301,"Collection Email","1st Follow-up","2nd Follow-up","Local Office","CBE","Roxanne")&amp;IF($W301=6," - Final"," - Day "&amp;MAX(0,NETWORKDAYS($X301,TODAY(),Holidays)-1)&amp;" of "&amp;CHOOSE($W301,3,3,2,2,3))&amp;" | Total Day "&amp;MAX(0,NETWORKDAYS($L301,TODAY(),Holidays)-1))</f>
        <v/>
      </c>
      <c r="W301" s="17">
        <f>IF($L301="","",COUNT($L301:$Q301))</f>
        <v/>
      </c>
      <c r="X301" s="18">
        <f>IF($W301="","",INT(INDEX($L301:$Q301,$W301)))</f>
        <v/>
      </c>
      <c r="Y301" s="18">
        <f>IF(OR($W301="",$W301=6),"",WORKDAY($X301,CHOOSE($W301,3,3,2,2,3),Holidays))</f>
        <v/>
      </c>
      <c r="Z301" s="17">
        <f>IF(OR($W301="",$W301=6),"",CHOOSE($W301,"1st Email Follow-up","2nd Email Follow-up","Escalate Local Office","Escalate to CBE","Escalate to Roxanne"))</f>
        <v/>
      </c>
    </row>
    <row r="302" spans="18:26">
      <c r="R302" s="15"/>
      <c r="S302" s="16"/>
      <c r="T302" s="17">
        <f>IF(AND(COUNTA($A302:$K302)=0,$L302=""),"",IF($S302="Paid","PAID",IF($S302="Closed","CLOSED",IF($W302="","",IF($W302=6,"ESCALATED TO ROXANNE",IF(TODAY()&gt;$Y302,"OVERDUE",IF($Y302&lt;=WORKDAY(TODAY(),1,Holidays),"DUE TOMORROW",IF($W302=4,"ESCALATED TO LOCAL OFFICE",IF($W302=5,"ESCALATED TO CBE",IF($X302=TODAY(),"EMAIL SENT","MONITORING"))))))))))</f>
        <v/>
      </c>
      <c r="U302" s="17">
        <f>IF($T302="",IF(AND(COUNTA($A302:$K302)&gt;0,$L302=""),"Awaiting Collection Email time stamp.",""),IF(OR($T302="PAID",$T302="CLOSED"),IF($T302="PAID","Account paid. Action completed.","Account closed. No further action required."),CHOOSE($W302,"Collection Email","1st Email Follow-up","2nd Email Follow-up","Escalation to Local Office","Escalation to CBE","Escalation to Roxanne")&amp;" sent "&amp;TEXT($X302,"dd-mmm")&amp;". "&amp;IF($W302=6,"Final escalation completed.",IF($T302="OVERDUE","Next: "&amp;$Z302&amp;" was due "&amp;TEXT($Y302,"dd-mmm")&amp;" - "&amp;(NETWORKDAYS($Y302,TODAY(),Holidays)-1)&amp;" business day(s) late. Send now.",IF($T302="DUE TOMORROW","Next: "&amp;$Z302&amp;IF($Y302&lt;=TODAY()," is due TODAY ("," is due next business day (")&amp;TEXT($Y302,"dd-mmm")&amp;").","Next: "&amp;$Z302&amp;" due "&amp;TEXT($Y302,"dd-mmm")&amp;" ("&amp;(NETWORKDAYS(TODAY(),$Y302,Holidays)-1)&amp;" business day(s) left).")))))</f>
        <v/>
      </c>
      <c r="V302" s="17">
        <f>IF($W302="","",CHOOSE($W302,"Collection Email","1st Follow-up","2nd Follow-up","Local Office","CBE","Roxanne")&amp;IF($W302=6," - Final"," - Day "&amp;MAX(0,NETWORKDAYS($X302,TODAY(),Holidays)-1)&amp;" of "&amp;CHOOSE($W302,3,3,2,2,3))&amp;" | Total Day "&amp;MAX(0,NETWORKDAYS($L302,TODAY(),Holidays)-1))</f>
        <v/>
      </c>
      <c r="W302" s="17">
        <f>IF($L302="","",COUNT($L302:$Q302))</f>
        <v/>
      </c>
      <c r="X302" s="18">
        <f>IF($W302="","",INT(INDEX($L302:$Q302,$W302)))</f>
        <v/>
      </c>
      <c r="Y302" s="18">
        <f>IF(OR($W302="",$W302=6),"",WORKDAY($X302,CHOOSE($W302,3,3,2,2,3),Holidays))</f>
        <v/>
      </c>
      <c r="Z302" s="17">
        <f>IF(OR($W302="",$W302=6),"",CHOOSE($W302,"1st Email Follow-up","2nd Email Follow-up","Escalate Local Office","Escalate to CBE","Escalate to Roxanne"))</f>
        <v/>
      </c>
    </row>
    <row r="303" spans="18:26">
      <c r="R303" s="15"/>
      <c r="S303" s="16"/>
      <c r="T303" s="17">
        <f>IF(AND(COUNTA($A303:$K303)=0,$L303=""),"",IF($S303="Paid","PAID",IF($S303="Closed","CLOSED",IF($W303="","",IF($W303=6,"ESCALATED TO ROXANNE",IF(TODAY()&gt;$Y303,"OVERDUE",IF($Y303&lt;=WORKDAY(TODAY(),1,Holidays),"DUE TOMORROW",IF($W303=4,"ESCALATED TO LOCAL OFFICE",IF($W303=5,"ESCALATED TO CBE",IF($X303=TODAY(),"EMAIL SENT","MONITORING"))))))))))</f>
        <v/>
      </c>
      <c r="U303" s="17">
        <f>IF($T303="",IF(AND(COUNTA($A303:$K303)&gt;0,$L303=""),"Awaiting Collection Email time stamp.",""),IF(OR($T303="PAID",$T303="CLOSED"),IF($T303="PAID","Account paid. Action completed.","Account closed. No further action required."),CHOOSE($W303,"Collection Email","1st Email Follow-up","2nd Email Follow-up","Escalation to Local Office","Escalation to CBE","Escalation to Roxanne")&amp;" sent "&amp;TEXT($X303,"dd-mmm")&amp;". "&amp;IF($W303=6,"Final escalation completed.",IF($T303="OVERDUE","Next: "&amp;$Z303&amp;" was due "&amp;TEXT($Y303,"dd-mmm")&amp;" - "&amp;(NETWORKDAYS($Y303,TODAY(),Holidays)-1)&amp;" business day(s) late. Send now.",IF($T303="DUE TOMORROW","Next: "&amp;$Z303&amp;IF($Y303&lt;=TODAY()," is due TODAY ("," is due next business day (")&amp;TEXT($Y303,"dd-mmm")&amp;").","Next: "&amp;$Z303&amp;" due "&amp;TEXT($Y303,"dd-mmm")&amp;" ("&amp;(NETWORKDAYS(TODAY(),$Y303,Holidays)-1)&amp;" business day(s) left).")))))</f>
        <v/>
      </c>
      <c r="V303" s="17">
        <f>IF($W303="","",CHOOSE($W303,"Collection Email","1st Follow-up","2nd Follow-up","Local Office","CBE","Roxanne")&amp;IF($W303=6," - Final"," - Day "&amp;MAX(0,NETWORKDAYS($X303,TODAY(),Holidays)-1)&amp;" of "&amp;CHOOSE($W303,3,3,2,2,3))&amp;" | Total Day "&amp;MAX(0,NETWORKDAYS($L303,TODAY(),Holidays)-1))</f>
        <v/>
      </c>
      <c r="W303" s="17">
        <f>IF($L303="","",COUNT($L303:$Q303))</f>
        <v/>
      </c>
      <c r="X303" s="18">
        <f>IF($W303="","",INT(INDEX($L303:$Q303,$W303)))</f>
        <v/>
      </c>
      <c r="Y303" s="18">
        <f>IF(OR($W303="",$W303=6),"",WORKDAY($X303,CHOOSE($W303,3,3,2,2,3),Holidays))</f>
        <v/>
      </c>
      <c r="Z303" s="17">
        <f>IF(OR($W303="",$W303=6),"",CHOOSE($W303,"1st Email Follow-up","2nd Email Follow-up","Escalate Local Office","Escalate to CBE","Escalate to Roxanne"))</f>
        <v/>
      </c>
    </row>
    <row r="304" spans="18:26">
      <c r="R304" s="15"/>
      <c r="S304" s="16"/>
      <c r="T304" s="17">
        <f>IF(AND(COUNTA($A304:$K304)=0,$L304=""),"",IF($S304="Paid","PAID",IF($S304="Closed","CLOSED",IF($W304="","",IF($W304=6,"ESCALATED TO ROXANNE",IF(TODAY()&gt;$Y304,"OVERDUE",IF($Y304&lt;=WORKDAY(TODAY(),1,Holidays),"DUE TOMORROW",IF($W304=4,"ESCALATED TO LOCAL OFFICE",IF($W304=5,"ESCALATED TO CBE",IF($X304=TODAY(),"EMAIL SENT","MONITORING"))))))))))</f>
        <v/>
      </c>
      <c r="U304" s="17">
        <f>IF($T304="",IF(AND(COUNTA($A304:$K304)&gt;0,$L304=""),"Awaiting Collection Email time stamp.",""),IF(OR($T304="PAID",$T304="CLOSED"),IF($T304="PAID","Account paid. Action completed.","Account closed. No further action required."),CHOOSE($W304,"Collection Email","1st Email Follow-up","2nd Email Follow-up","Escalation to Local Office","Escalation to CBE","Escalation to Roxanne")&amp;" sent "&amp;TEXT($X304,"dd-mmm")&amp;". "&amp;IF($W304=6,"Final escalation completed.",IF($T304="OVERDUE","Next: "&amp;$Z304&amp;" was due "&amp;TEXT($Y304,"dd-mmm")&amp;" - "&amp;(NETWORKDAYS($Y304,TODAY(),Holidays)-1)&amp;" business day(s) late. Send now.",IF($T304="DUE TOMORROW","Next: "&amp;$Z304&amp;IF($Y304&lt;=TODAY()," is due TODAY ("," is due next business day (")&amp;TEXT($Y304,"dd-mmm")&amp;").","Next: "&amp;$Z304&amp;" due "&amp;TEXT($Y304,"dd-mmm")&amp;" ("&amp;(NETWORKDAYS(TODAY(),$Y304,Holidays)-1)&amp;" business day(s) left).")))))</f>
        <v/>
      </c>
      <c r="V304" s="17">
        <f>IF($W304="","",CHOOSE($W304,"Collection Email","1st Follow-up","2nd Follow-up","Local Office","CBE","Roxanne")&amp;IF($W304=6," - Final"," - Day "&amp;MAX(0,NETWORKDAYS($X304,TODAY(),Holidays)-1)&amp;" of "&amp;CHOOSE($W304,3,3,2,2,3))&amp;" | Total Day "&amp;MAX(0,NETWORKDAYS($L304,TODAY(),Holidays)-1))</f>
        <v/>
      </c>
      <c r="W304" s="17">
        <f>IF($L304="","",COUNT($L304:$Q304))</f>
        <v/>
      </c>
      <c r="X304" s="18">
        <f>IF($W304="","",INT(INDEX($L304:$Q304,$W304)))</f>
        <v/>
      </c>
      <c r="Y304" s="18">
        <f>IF(OR($W304="",$W304=6),"",WORKDAY($X304,CHOOSE($W304,3,3,2,2,3),Holidays))</f>
        <v/>
      </c>
      <c r="Z304" s="17">
        <f>IF(OR($W304="",$W304=6),"",CHOOSE($W304,"1st Email Follow-up","2nd Email Follow-up","Escalate Local Office","Escalate to CBE","Escalate to Roxanne"))</f>
        <v/>
      </c>
    </row>
    <row r="305" spans="18:26">
      <c r="R305" s="15"/>
      <c r="S305" s="16"/>
      <c r="T305" s="17">
        <f>IF(AND(COUNTA($A305:$K305)=0,$L305=""),"",IF($S305="Paid","PAID",IF($S305="Closed","CLOSED",IF($W305="","",IF($W305=6,"ESCALATED TO ROXANNE",IF(TODAY()&gt;$Y305,"OVERDUE",IF($Y305&lt;=WORKDAY(TODAY(),1,Holidays),"DUE TOMORROW",IF($W305=4,"ESCALATED TO LOCAL OFFICE",IF($W305=5,"ESCALATED TO CBE",IF($X305=TODAY(),"EMAIL SENT","MONITORING"))))))))))</f>
        <v/>
      </c>
      <c r="U305" s="17">
        <f>IF($T305="",IF(AND(COUNTA($A305:$K305)&gt;0,$L305=""),"Awaiting Collection Email time stamp.",""),IF(OR($T305="PAID",$T305="CLOSED"),IF($T305="PAID","Account paid. Action completed.","Account closed. No further action required."),CHOOSE($W305,"Collection Email","1st Email Follow-up","2nd Email Follow-up","Escalation to Local Office","Escalation to CBE","Escalation to Roxanne")&amp;" sent "&amp;TEXT($X305,"dd-mmm")&amp;". "&amp;IF($W305=6,"Final escalation completed.",IF($T305="OVERDUE","Next: "&amp;$Z305&amp;" was due "&amp;TEXT($Y305,"dd-mmm")&amp;" - "&amp;(NETWORKDAYS($Y305,TODAY(),Holidays)-1)&amp;" business day(s) late. Send now.",IF($T305="DUE TOMORROW","Next: "&amp;$Z305&amp;IF($Y305&lt;=TODAY()," is due TODAY ("," is due next business day (")&amp;TEXT($Y305,"dd-mmm")&amp;").","Next: "&amp;$Z305&amp;" due "&amp;TEXT($Y305,"dd-mmm")&amp;" ("&amp;(NETWORKDAYS(TODAY(),$Y305,Holidays)-1)&amp;" business day(s) left).")))))</f>
        <v/>
      </c>
      <c r="V305" s="17">
        <f>IF($W305="","",CHOOSE($W305,"Collection Email","1st Follow-up","2nd Follow-up","Local Office","CBE","Roxanne")&amp;IF($W305=6," - Final"," - Day "&amp;MAX(0,NETWORKDAYS($X305,TODAY(),Holidays)-1)&amp;" of "&amp;CHOOSE($W305,3,3,2,2,3))&amp;" | Total Day "&amp;MAX(0,NETWORKDAYS($L305,TODAY(),Holidays)-1))</f>
        <v/>
      </c>
      <c r="W305" s="17">
        <f>IF($L305="","",COUNT($L305:$Q305))</f>
        <v/>
      </c>
      <c r="X305" s="18">
        <f>IF($W305="","",INT(INDEX($L305:$Q305,$W305)))</f>
        <v/>
      </c>
      <c r="Y305" s="18">
        <f>IF(OR($W305="",$W305=6),"",WORKDAY($X305,CHOOSE($W305,3,3,2,2,3),Holidays))</f>
        <v/>
      </c>
      <c r="Z305" s="17">
        <f>IF(OR($W305="",$W305=6),"",CHOOSE($W305,"1st Email Follow-up","2nd Email Follow-up","Escalate Local Office","Escalate to CBE","Escalate to Roxanne"))</f>
        <v/>
      </c>
    </row>
    <row r="306" spans="18:26">
      <c r="R306" s="15"/>
      <c r="S306" s="16"/>
      <c r="T306" s="17">
        <f>IF(AND(COUNTA($A306:$K306)=0,$L306=""),"",IF($S306="Paid","PAID",IF($S306="Closed","CLOSED",IF($W306="","",IF($W306=6,"ESCALATED TO ROXANNE",IF(TODAY()&gt;$Y306,"OVERDUE",IF($Y306&lt;=WORKDAY(TODAY(),1,Holidays),"DUE TOMORROW",IF($W306=4,"ESCALATED TO LOCAL OFFICE",IF($W306=5,"ESCALATED TO CBE",IF($X306=TODAY(),"EMAIL SENT","MONITORING"))))))))))</f>
        <v/>
      </c>
      <c r="U306" s="17">
        <f>IF($T306="",IF(AND(COUNTA($A306:$K306)&gt;0,$L306=""),"Awaiting Collection Email time stamp.",""),IF(OR($T306="PAID",$T306="CLOSED"),IF($T306="PAID","Account paid. Action completed.","Account closed. No further action required."),CHOOSE($W306,"Collection Email","1st Email Follow-up","2nd Email Follow-up","Escalation to Local Office","Escalation to CBE","Escalation to Roxanne")&amp;" sent "&amp;TEXT($X306,"dd-mmm")&amp;". "&amp;IF($W306=6,"Final escalation completed.",IF($T306="OVERDUE","Next: "&amp;$Z306&amp;" was due "&amp;TEXT($Y306,"dd-mmm")&amp;" - "&amp;(NETWORKDAYS($Y306,TODAY(),Holidays)-1)&amp;" business day(s) late. Send now.",IF($T306="DUE TOMORROW","Next: "&amp;$Z306&amp;IF($Y306&lt;=TODAY()," is due TODAY ("," is due next business day (")&amp;TEXT($Y306,"dd-mmm")&amp;").","Next: "&amp;$Z306&amp;" due "&amp;TEXT($Y306,"dd-mmm")&amp;" ("&amp;(NETWORKDAYS(TODAY(),$Y306,Holidays)-1)&amp;" business day(s) left).")))))</f>
        <v/>
      </c>
      <c r="V306" s="17">
        <f>IF($W306="","",CHOOSE($W306,"Collection Email","1st Follow-up","2nd Follow-up","Local Office","CBE","Roxanne")&amp;IF($W306=6," - Final"," - Day "&amp;MAX(0,NETWORKDAYS($X306,TODAY(),Holidays)-1)&amp;" of "&amp;CHOOSE($W306,3,3,2,2,3))&amp;" | Total Day "&amp;MAX(0,NETWORKDAYS($L306,TODAY(),Holidays)-1))</f>
        <v/>
      </c>
      <c r="W306" s="17">
        <f>IF($L306="","",COUNT($L306:$Q306))</f>
        <v/>
      </c>
      <c r="X306" s="18">
        <f>IF($W306="","",INT(INDEX($L306:$Q306,$W306)))</f>
        <v/>
      </c>
      <c r="Y306" s="18">
        <f>IF(OR($W306="",$W306=6),"",WORKDAY($X306,CHOOSE($W306,3,3,2,2,3),Holidays))</f>
        <v/>
      </c>
      <c r="Z306" s="17">
        <f>IF(OR($W306="",$W306=6),"",CHOOSE($W306,"1st Email Follow-up","2nd Email Follow-up","Escalate Local Office","Escalate to CBE","Escalate to Roxanne"))</f>
        <v/>
      </c>
    </row>
    <row r="307" spans="18:26">
      <c r="R307" s="15"/>
      <c r="S307" s="16"/>
      <c r="T307" s="17">
        <f>IF(AND(COUNTA($A307:$K307)=0,$L307=""),"",IF($S307="Paid","PAID",IF($S307="Closed","CLOSED",IF($W307="","",IF($W307=6,"ESCALATED TO ROXANNE",IF(TODAY()&gt;$Y307,"OVERDUE",IF($Y307&lt;=WORKDAY(TODAY(),1,Holidays),"DUE TOMORROW",IF($W307=4,"ESCALATED TO LOCAL OFFICE",IF($W307=5,"ESCALATED TO CBE",IF($X307=TODAY(),"EMAIL SENT","MONITORING"))))))))))</f>
        <v/>
      </c>
      <c r="U307" s="17">
        <f>IF($T307="",IF(AND(COUNTA($A307:$K307)&gt;0,$L307=""),"Awaiting Collection Email time stamp.",""),IF(OR($T307="PAID",$T307="CLOSED"),IF($T307="PAID","Account paid. Action completed.","Account closed. No further action required."),CHOOSE($W307,"Collection Email","1st Email Follow-up","2nd Email Follow-up","Escalation to Local Office","Escalation to CBE","Escalation to Roxanne")&amp;" sent "&amp;TEXT($X307,"dd-mmm")&amp;". "&amp;IF($W307=6,"Final escalation completed.",IF($T307="OVERDUE","Next: "&amp;$Z307&amp;" was due "&amp;TEXT($Y307,"dd-mmm")&amp;" - "&amp;(NETWORKDAYS($Y307,TODAY(),Holidays)-1)&amp;" business day(s) late. Send now.",IF($T307="DUE TOMORROW","Next: "&amp;$Z307&amp;IF($Y307&lt;=TODAY()," is due TODAY ("," is due next business day (")&amp;TEXT($Y307,"dd-mmm")&amp;").","Next: "&amp;$Z307&amp;" due "&amp;TEXT($Y307,"dd-mmm")&amp;" ("&amp;(NETWORKDAYS(TODAY(),$Y307,Holidays)-1)&amp;" business day(s) left).")))))</f>
        <v/>
      </c>
      <c r="V307" s="17">
        <f>IF($W307="","",CHOOSE($W307,"Collection Email","1st Follow-up","2nd Follow-up","Local Office","CBE","Roxanne")&amp;IF($W307=6," - Final"," - Day "&amp;MAX(0,NETWORKDAYS($X307,TODAY(),Holidays)-1)&amp;" of "&amp;CHOOSE($W307,3,3,2,2,3))&amp;" | Total Day "&amp;MAX(0,NETWORKDAYS($L307,TODAY(),Holidays)-1))</f>
        <v/>
      </c>
      <c r="W307" s="17">
        <f>IF($L307="","",COUNT($L307:$Q307))</f>
        <v/>
      </c>
      <c r="X307" s="18">
        <f>IF($W307="","",INT(INDEX($L307:$Q307,$W307)))</f>
        <v/>
      </c>
      <c r="Y307" s="18">
        <f>IF(OR($W307="",$W307=6),"",WORKDAY($X307,CHOOSE($W307,3,3,2,2,3),Holidays))</f>
        <v/>
      </c>
      <c r="Z307" s="17">
        <f>IF(OR($W307="",$W307=6),"",CHOOSE($W307,"1st Email Follow-up","2nd Email Follow-up","Escalate Local Office","Escalate to CBE","Escalate to Roxanne"))</f>
        <v/>
      </c>
    </row>
    <row r="308" spans="18:26">
      <c r="R308" s="15"/>
      <c r="S308" s="16"/>
      <c r="T308" s="17">
        <f>IF(AND(COUNTA($A308:$K308)=0,$L308=""),"",IF($S308="Paid","PAID",IF($S308="Closed","CLOSED",IF($W308="","",IF($W308=6,"ESCALATED TO ROXANNE",IF(TODAY()&gt;$Y308,"OVERDUE",IF($Y308&lt;=WORKDAY(TODAY(),1,Holidays),"DUE TOMORROW",IF($W308=4,"ESCALATED TO LOCAL OFFICE",IF($W308=5,"ESCALATED TO CBE",IF($X308=TODAY(),"EMAIL SENT","MONITORING"))))))))))</f>
        <v/>
      </c>
      <c r="U308" s="17">
        <f>IF($T308="",IF(AND(COUNTA($A308:$K308)&gt;0,$L308=""),"Awaiting Collection Email time stamp.",""),IF(OR($T308="PAID",$T308="CLOSED"),IF($T308="PAID","Account paid. Action completed.","Account closed. No further action required."),CHOOSE($W308,"Collection Email","1st Email Follow-up","2nd Email Follow-up","Escalation to Local Office","Escalation to CBE","Escalation to Roxanne")&amp;" sent "&amp;TEXT($X308,"dd-mmm")&amp;". "&amp;IF($W308=6,"Final escalation completed.",IF($T308="OVERDUE","Next: "&amp;$Z308&amp;" was due "&amp;TEXT($Y308,"dd-mmm")&amp;" - "&amp;(NETWORKDAYS($Y308,TODAY(),Holidays)-1)&amp;" business day(s) late. Send now.",IF($T308="DUE TOMORROW","Next: "&amp;$Z308&amp;IF($Y308&lt;=TODAY()," is due TODAY ("," is due next business day (")&amp;TEXT($Y308,"dd-mmm")&amp;").","Next: "&amp;$Z308&amp;" due "&amp;TEXT($Y308,"dd-mmm")&amp;" ("&amp;(NETWORKDAYS(TODAY(),$Y308,Holidays)-1)&amp;" business day(s) left).")))))</f>
        <v/>
      </c>
      <c r="V308" s="17">
        <f>IF($W308="","",CHOOSE($W308,"Collection Email","1st Follow-up","2nd Follow-up","Local Office","CBE","Roxanne")&amp;IF($W308=6," - Final"," - Day "&amp;MAX(0,NETWORKDAYS($X308,TODAY(),Holidays)-1)&amp;" of "&amp;CHOOSE($W308,3,3,2,2,3))&amp;" | Total Day "&amp;MAX(0,NETWORKDAYS($L308,TODAY(),Holidays)-1))</f>
        <v/>
      </c>
      <c r="W308" s="17">
        <f>IF($L308="","",COUNT($L308:$Q308))</f>
        <v/>
      </c>
      <c r="X308" s="18">
        <f>IF($W308="","",INT(INDEX($L308:$Q308,$W308)))</f>
        <v/>
      </c>
      <c r="Y308" s="18">
        <f>IF(OR($W308="",$W308=6),"",WORKDAY($X308,CHOOSE($W308,3,3,2,2,3),Holidays))</f>
        <v/>
      </c>
      <c r="Z308" s="17">
        <f>IF(OR($W308="",$W308=6),"",CHOOSE($W308,"1st Email Follow-up","2nd Email Follow-up","Escalate Local Office","Escalate to CBE","Escalate to Roxanne"))</f>
        <v/>
      </c>
    </row>
    <row r="309" spans="18:26">
      <c r="R309" s="15"/>
      <c r="S309" s="16"/>
      <c r="T309" s="17">
        <f>IF(AND(COUNTA($A309:$K309)=0,$L309=""),"",IF($S309="Paid","PAID",IF($S309="Closed","CLOSED",IF($W309="","",IF($W309=6,"ESCALATED TO ROXANNE",IF(TODAY()&gt;$Y309,"OVERDUE",IF($Y309&lt;=WORKDAY(TODAY(),1,Holidays),"DUE TOMORROW",IF($W309=4,"ESCALATED TO LOCAL OFFICE",IF($W309=5,"ESCALATED TO CBE",IF($X309=TODAY(),"EMAIL SENT","MONITORING"))))))))))</f>
        <v/>
      </c>
      <c r="U309" s="17">
        <f>IF($T309="",IF(AND(COUNTA($A309:$K309)&gt;0,$L309=""),"Awaiting Collection Email time stamp.",""),IF(OR($T309="PAID",$T309="CLOSED"),IF($T309="PAID","Account paid. Action completed.","Account closed. No further action required."),CHOOSE($W309,"Collection Email","1st Email Follow-up","2nd Email Follow-up","Escalation to Local Office","Escalation to CBE","Escalation to Roxanne")&amp;" sent "&amp;TEXT($X309,"dd-mmm")&amp;". "&amp;IF($W309=6,"Final escalation completed.",IF($T309="OVERDUE","Next: "&amp;$Z309&amp;" was due "&amp;TEXT($Y309,"dd-mmm")&amp;" - "&amp;(NETWORKDAYS($Y309,TODAY(),Holidays)-1)&amp;" business day(s) late. Send now.",IF($T309="DUE TOMORROW","Next: "&amp;$Z309&amp;IF($Y309&lt;=TODAY()," is due TODAY ("," is due next business day (")&amp;TEXT($Y309,"dd-mmm")&amp;").","Next: "&amp;$Z309&amp;" due "&amp;TEXT($Y309,"dd-mmm")&amp;" ("&amp;(NETWORKDAYS(TODAY(),$Y309,Holidays)-1)&amp;" business day(s) left).")))))</f>
        <v/>
      </c>
      <c r="V309" s="17">
        <f>IF($W309="","",CHOOSE($W309,"Collection Email","1st Follow-up","2nd Follow-up","Local Office","CBE","Roxanne")&amp;IF($W309=6," - Final"," - Day "&amp;MAX(0,NETWORKDAYS($X309,TODAY(),Holidays)-1)&amp;" of "&amp;CHOOSE($W309,3,3,2,2,3))&amp;" | Total Day "&amp;MAX(0,NETWORKDAYS($L309,TODAY(),Holidays)-1))</f>
        <v/>
      </c>
      <c r="W309" s="17">
        <f>IF($L309="","",COUNT($L309:$Q309))</f>
        <v/>
      </c>
      <c r="X309" s="18">
        <f>IF($W309="","",INT(INDEX($L309:$Q309,$W309)))</f>
        <v/>
      </c>
      <c r="Y309" s="18">
        <f>IF(OR($W309="",$W309=6),"",WORKDAY($X309,CHOOSE($W309,3,3,2,2,3),Holidays))</f>
        <v/>
      </c>
      <c r="Z309" s="17">
        <f>IF(OR($W309="",$W309=6),"",CHOOSE($W309,"1st Email Follow-up","2nd Email Follow-up","Escalate Local Office","Escalate to CBE","Escalate to Roxanne"))</f>
        <v/>
      </c>
    </row>
    <row r="310" spans="18:26">
      <c r="R310" s="15"/>
      <c r="S310" s="16"/>
      <c r="T310" s="17">
        <f>IF(AND(COUNTA($A310:$K310)=0,$L310=""),"",IF($S310="Paid","PAID",IF($S310="Closed","CLOSED",IF($W310="","",IF($W310=6,"ESCALATED TO ROXANNE",IF(TODAY()&gt;$Y310,"OVERDUE",IF($Y310&lt;=WORKDAY(TODAY(),1,Holidays),"DUE TOMORROW",IF($W310=4,"ESCALATED TO LOCAL OFFICE",IF($W310=5,"ESCALATED TO CBE",IF($X310=TODAY(),"EMAIL SENT","MONITORING"))))))))))</f>
        <v/>
      </c>
      <c r="U310" s="17">
        <f>IF($T310="",IF(AND(COUNTA($A310:$K310)&gt;0,$L310=""),"Awaiting Collection Email time stamp.",""),IF(OR($T310="PAID",$T310="CLOSED"),IF($T310="PAID","Account paid. Action completed.","Account closed. No further action required."),CHOOSE($W310,"Collection Email","1st Email Follow-up","2nd Email Follow-up","Escalation to Local Office","Escalation to CBE","Escalation to Roxanne")&amp;" sent "&amp;TEXT($X310,"dd-mmm")&amp;". "&amp;IF($W310=6,"Final escalation completed.",IF($T310="OVERDUE","Next: "&amp;$Z310&amp;" was due "&amp;TEXT($Y310,"dd-mmm")&amp;" - "&amp;(NETWORKDAYS($Y310,TODAY(),Holidays)-1)&amp;" business day(s) late. Send now.",IF($T310="DUE TOMORROW","Next: "&amp;$Z310&amp;IF($Y310&lt;=TODAY()," is due TODAY ("," is due next business day (")&amp;TEXT($Y310,"dd-mmm")&amp;").","Next: "&amp;$Z310&amp;" due "&amp;TEXT($Y310,"dd-mmm")&amp;" ("&amp;(NETWORKDAYS(TODAY(),$Y310,Holidays)-1)&amp;" business day(s) left).")))))</f>
        <v/>
      </c>
      <c r="V310" s="17">
        <f>IF($W310="","",CHOOSE($W310,"Collection Email","1st Follow-up","2nd Follow-up","Local Office","CBE","Roxanne")&amp;IF($W310=6," - Final"," - Day "&amp;MAX(0,NETWORKDAYS($X310,TODAY(),Holidays)-1)&amp;" of "&amp;CHOOSE($W310,3,3,2,2,3))&amp;" | Total Day "&amp;MAX(0,NETWORKDAYS($L310,TODAY(),Holidays)-1))</f>
        <v/>
      </c>
      <c r="W310" s="17">
        <f>IF($L310="","",COUNT($L310:$Q310))</f>
        <v/>
      </c>
      <c r="X310" s="18">
        <f>IF($W310="","",INT(INDEX($L310:$Q310,$W310)))</f>
        <v/>
      </c>
      <c r="Y310" s="18">
        <f>IF(OR($W310="",$W310=6),"",WORKDAY($X310,CHOOSE($W310,3,3,2,2,3),Holidays))</f>
        <v/>
      </c>
      <c r="Z310" s="17">
        <f>IF(OR($W310="",$W310=6),"",CHOOSE($W310,"1st Email Follow-up","2nd Email Follow-up","Escalate Local Office","Escalate to CBE","Escalate to Roxanne"))</f>
        <v/>
      </c>
    </row>
    <row r="311" spans="18:26">
      <c r="R311" s="15"/>
      <c r="S311" s="16"/>
      <c r="T311" s="17">
        <f>IF(AND(COUNTA($A311:$K311)=0,$L311=""),"",IF($S311="Paid","PAID",IF($S311="Closed","CLOSED",IF($W311="","",IF($W311=6,"ESCALATED TO ROXANNE",IF(TODAY()&gt;$Y311,"OVERDUE",IF($Y311&lt;=WORKDAY(TODAY(),1,Holidays),"DUE TOMORROW",IF($W311=4,"ESCALATED TO LOCAL OFFICE",IF($W311=5,"ESCALATED TO CBE",IF($X311=TODAY(),"EMAIL SENT","MONITORING"))))))))))</f>
        <v/>
      </c>
      <c r="U311" s="17">
        <f>IF($T311="",IF(AND(COUNTA($A311:$K311)&gt;0,$L311=""),"Awaiting Collection Email time stamp.",""),IF(OR($T311="PAID",$T311="CLOSED"),IF($T311="PAID","Account paid. Action completed.","Account closed. No further action required."),CHOOSE($W311,"Collection Email","1st Email Follow-up","2nd Email Follow-up","Escalation to Local Office","Escalation to CBE","Escalation to Roxanne")&amp;" sent "&amp;TEXT($X311,"dd-mmm")&amp;". "&amp;IF($W311=6,"Final escalation completed.",IF($T311="OVERDUE","Next: "&amp;$Z311&amp;" was due "&amp;TEXT($Y311,"dd-mmm")&amp;" - "&amp;(NETWORKDAYS($Y311,TODAY(),Holidays)-1)&amp;" business day(s) late. Send now.",IF($T311="DUE TOMORROW","Next: "&amp;$Z311&amp;IF($Y311&lt;=TODAY()," is due TODAY ("," is due next business day (")&amp;TEXT($Y311,"dd-mmm")&amp;").","Next: "&amp;$Z311&amp;" due "&amp;TEXT($Y311,"dd-mmm")&amp;" ("&amp;(NETWORKDAYS(TODAY(),$Y311,Holidays)-1)&amp;" business day(s) left).")))))</f>
        <v/>
      </c>
      <c r="V311" s="17">
        <f>IF($W311="","",CHOOSE($W311,"Collection Email","1st Follow-up","2nd Follow-up","Local Office","CBE","Roxanne")&amp;IF($W311=6," - Final"," - Day "&amp;MAX(0,NETWORKDAYS($X311,TODAY(),Holidays)-1)&amp;" of "&amp;CHOOSE($W311,3,3,2,2,3))&amp;" | Total Day "&amp;MAX(0,NETWORKDAYS($L311,TODAY(),Holidays)-1))</f>
        <v/>
      </c>
      <c r="W311" s="17">
        <f>IF($L311="","",COUNT($L311:$Q311))</f>
        <v/>
      </c>
      <c r="X311" s="18">
        <f>IF($W311="","",INT(INDEX($L311:$Q311,$W311)))</f>
        <v/>
      </c>
      <c r="Y311" s="18">
        <f>IF(OR($W311="",$W311=6),"",WORKDAY($X311,CHOOSE($W311,3,3,2,2,3),Holidays))</f>
        <v/>
      </c>
      <c r="Z311" s="17">
        <f>IF(OR($W311="",$W311=6),"",CHOOSE($W311,"1st Email Follow-up","2nd Email Follow-up","Escalate Local Office","Escalate to CBE","Escalate to Roxanne"))</f>
        <v/>
      </c>
    </row>
    <row r="312" spans="18:26">
      <c r="R312" s="15"/>
      <c r="S312" s="16"/>
      <c r="T312" s="17">
        <f>IF(AND(COUNTA($A312:$K312)=0,$L312=""),"",IF($S312="Paid","PAID",IF($S312="Closed","CLOSED",IF($W312="","",IF($W312=6,"ESCALATED TO ROXANNE",IF(TODAY()&gt;$Y312,"OVERDUE",IF($Y312&lt;=WORKDAY(TODAY(),1,Holidays),"DUE TOMORROW",IF($W312=4,"ESCALATED TO LOCAL OFFICE",IF($W312=5,"ESCALATED TO CBE",IF($X312=TODAY(),"EMAIL SENT","MONITORING"))))))))))</f>
        <v/>
      </c>
      <c r="U312" s="17">
        <f>IF($T312="",IF(AND(COUNTA($A312:$K312)&gt;0,$L312=""),"Awaiting Collection Email time stamp.",""),IF(OR($T312="PAID",$T312="CLOSED"),IF($T312="PAID","Account paid. Action completed.","Account closed. No further action required."),CHOOSE($W312,"Collection Email","1st Email Follow-up","2nd Email Follow-up","Escalation to Local Office","Escalation to CBE","Escalation to Roxanne")&amp;" sent "&amp;TEXT($X312,"dd-mmm")&amp;". "&amp;IF($W312=6,"Final escalation completed.",IF($T312="OVERDUE","Next: "&amp;$Z312&amp;" was due "&amp;TEXT($Y312,"dd-mmm")&amp;" - "&amp;(NETWORKDAYS($Y312,TODAY(),Holidays)-1)&amp;" business day(s) late. Send now.",IF($T312="DUE TOMORROW","Next: "&amp;$Z312&amp;IF($Y312&lt;=TODAY()," is due TODAY ("," is due next business day (")&amp;TEXT($Y312,"dd-mmm")&amp;").","Next: "&amp;$Z312&amp;" due "&amp;TEXT($Y312,"dd-mmm")&amp;" ("&amp;(NETWORKDAYS(TODAY(),$Y312,Holidays)-1)&amp;" business day(s) left).")))))</f>
        <v/>
      </c>
      <c r="V312" s="17">
        <f>IF($W312="","",CHOOSE($W312,"Collection Email","1st Follow-up","2nd Follow-up","Local Office","CBE","Roxanne")&amp;IF($W312=6," - Final"," - Day "&amp;MAX(0,NETWORKDAYS($X312,TODAY(),Holidays)-1)&amp;" of "&amp;CHOOSE($W312,3,3,2,2,3))&amp;" | Total Day "&amp;MAX(0,NETWORKDAYS($L312,TODAY(),Holidays)-1))</f>
        <v/>
      </c>
      <c r="W312" s="17">
        <f>IF($L312="","",COUNT($L312:$Q312))</f>
        <v/>
      </c>
      <c r="X312" s="18">
        <f>IF($W312="","",INT(INDEX($L312:$Q312,$W312)))</f>
        <v/>
      </c>
      <c r="Y312" s="18">
        <f>IF(OR($W312="",$W312=6),"",WORKDAY($X312,CHOOSE($W312,3,3,2,2,3),Holidays))</f>
        <v/>
      </c>
      <c r="Z312" s="17">
        <f>IF(OR($W312="",$W312=6),"",CHOOSE($W312,"1st Email Follow-up","2nd Email Follow-up","Escalate Local Office","Escalate to CBE","Escalate to Roxanne"))</f>
        <v/>
      </c>
    </row>
    <row r="313" spans="18:26">
      <c r="R313" s="15"/>
      <c r="S313" s="16"/>
      <c r="T313" s="17">
        <f>IF(AND(COUNTA($A313:$K313)=0,$L313=""),"",IF($S313="Paid","PAID",IF($S313="Closed","CLOSED",IF($W313="","",IF($W313=6,"ESCALATED TO ROXANNE",IF(TODAY()&gt;$Y313,"OVERDUE",IF($Y313&lt;=WORKDAY(TODAY(),1,Holidays),"DUE TOMORROW",IF($W313=4,"ESCALATED TO LOCAL OFFICE",IF($W313=5,"ESCALATED TO CBE",IF($X313=TODAY(),"EMAIL SENT","MONITORING"))))))))))</f>
        <v/>
      </c>
      <c r="U313" s="17">
        <f>IF($T313="",IF(AND(COUNTA($A313:$K313)&gt;0,$L313=""),"Awaiting Collection Email time stamp.",""),IF(OR($T313="PAID",$T313="CLOSED"),IF($T313="PAID","Account paid. Action completed.","Account closed. No further action required."),CHOOSE($W313,"Collection Email","1st Email Follow-up","2nd Email Follow-up","Escalation to Local Office","Escalation to CBE","Escalation to Roxanne")&amp;" sent "&amp;TEXT($X313,"dd-mmm")&amp;". "&amp;IF($W313=6,"Final escalation completed.",IF($T313="OVERDUE","Next: "&amp;$Z313&amp;" was due "&amp;TEXT($Y313,"dd-mmm")&amp;" - "&amp;(NETWORKDAYS($Y313,TODAY(),Holidays)-1)&amp;" business day(s) late. Send now.",IF($T313="DUE TOMORROW","Next: "&amp;$Z313&amp;IF($Y313&lt;=TODAY()," is due TODAY ("," is due next business day (")&amp;TEXT($Y313,"dd-mmm")&amp;").","Next: "&amp;$Z313&amp;" due "&amp;TEXT($Y313,"dd-mmm")&amp;" ("&amp;(NETWORKDAYS(TODAY(),$Y313,Holidays)-1)&amp;" business day(s) left).")))))</f>
        <v/>
      </c>
      <c r="V313" s="17">
        <f>IF($W313="","",CHOOSE($W313,"Collection Email","1st Follow-up","2nd Follow-up","Local Office","CBE","Roxanne")&amp;IF($W313=6," - Final"," - Day "&amp;MAX(0,NETWORKDAYS($X313,TODAY(),Holidays)-1)&amp;" of "&amp;CHOOSE($W313,3,3,2,2,3))&amp;" | Total Day "&amp;MAX(0,NETWORKDAYS($L313,TODAY(),Holidays)-1))</f>
        <v/>
      </c>
      <c r="W313" s="17">
        <f>IF($L313="","",COUNT($L313:$Q313))</f>
        <v/>
      </c>
      <c r="X313" s="18">
        <f>IF($W313="","",INT(INDEX($L313:$Q313,$W313)))</f>
        <v/>
      </c>
      <c r="Y313" s="18">
        <f>IF(OR($W313="",$W313=6),"",WORKDAY($X313,CHOOSE($W313,3,3,2,2,3),Holidays))</f>
        <v/>
      </c>
      <c r="Z313" s="17">
        <f>IF(OR($W313="",$W313=6),"",CHOOSE($W313,"1st Email Follow-up","2nd Email Follow-up","Escalate Local Office","Escalate to CBE","Escalate to Roxanne"))</f>
        <v/>
      </c>
    </row>
    <row r="314" spans="18:26">
      <c r="R314" s="15"/>
      <c r="S314" s="16"/>
      <c r="T314" s="17">
        <f>IF(AND(COUNTA($A314:$K314)=0,$L314=""),"",IF($S314="Paid","PAID",IF($S314="Closed","CLOSED",IF($W314="","",IF($W314=6,"ESCALATED TO ROXANNE",IF(TODAY()&gt;$Y314,"OVERDUE",IF($Y314&lt;=WORKDAY(TODAY(),1,Holidays),"DUE TOMORROW",IF($W314=4,"ESCALATED TO LOCAL OFFICE",IF($W314=5,"ESCALATED TO CBE",IF($X314=TODAY(),"EMAIL SENT","MONITORING"))))))))))</f>
        <v/>
      </c>
      <c r="U314" s="17">
        <f>IF($T314="",IF(AND(COUNTA($A314:$K314)&gt;0,$L314=""),"Awaiting Collection Email time stamp.",""),IF(OR($T314="PAID",$T314="CLOSED"),IF($T314="PAID","Account paid. Action completed.","Account closed. No further action required."),CHOOSE($W314,"Collection Email","1st Email Follow-up","2nd Email Follow-up","Escalation to Local Office","Escalation to CBE","Escalation to Roxanne")&amp;" sent "&amp;TEXT($X314,"dd-mmm")&amp;". "&amp;IF($W314=6,"Final escalation completed.",IF($T314="OVERDUE","Next: "&amp;$Z314&amp;" was due "&amp;TEXT($Y314,"dd-mmm")&amp;" - "&amp;(NETWORKDAYS($Y314,TODAY(),Holidays)-1)&amp;" business day(s) late. Send now.",IF($T314="DUE TOMORROW","Next: "&amp;$Z314&amp;IF($Y314&lt;=TODAY()," is due TODAY ("," is due next business day (")&amp;TEXT($Y314,"dd-mmm")&amp;").","Next: "&amp;$Z314&amp;" due "&amp;TEXT($Y314,"dd-mmm")&amp;" ("&amp;(NETWORKDAYS(TODAY(),$Y314,Holidays)-1)&amp;" business day(s) left).")))))</f>
        <v/>
      </c>
      <c r="V314" s="17">
        <f>IF($W314="","",CHOOSE($W314,"Collection Email","1st Follow-up","2nd Follow-up","Local Office","CBE","Roxanne")&amp;IF($W314=6," - Final"," - Day "&amp;MAX(0,NETWORKDAYS($X314,TODAY(),Holidays)-1)&amp;" of "&amp;CHOOSE($W314,3,3,2,2,3))&amp;" | Total Day "&amp;MAX(0,NETWORKDAYS($L314,TODAY(),Holidays)-1))</f>
        <v/>
      </c>
      <c r="W314" s="17">
        <f>IF($L314="","",COUNT($L314:$Q314))</f>
        <v/>
      </c>
      <c r="X314" s="18">
        <f>IF($W314="","",INT(INDEX($L314:$Q314,$W314)))</f>
        <v/>
      </c>
      <c r="Y314" s="18">
        <f>IF(OR($W314="",$W314=6),"",WORKDAY($X314,CHOOSE($W314,3,3,2,2,3),Holidays))</f>
        <v/>
      </c>
      <c r="Z314" s="17">
        <f>IF(OR($W314="",$W314=6),"",CHOOSE($W314,"1st Email Follow-up","2nd Email Follow-up","Escalate Local Office","Escalate to CBE","Escalate to Roxanne"))</f>
        <v/>
      </c>
    </row>
    <row r="315" spans="18:26">
      <c r="R315" s="15"/>
      <c r="S315" s="16"/>
      <c r="T315" s="17">
        <f>IF(AND(COUNTA($A315:$K315)=0,$L315=""),"",IF($S315="Paid","PAID",IF($S315="Closed","CLOSED",IF($W315="","",IF($W315=6,"ESCALATED TO ROXANNE",IF(TODAY()&gt;$Y315,"OVERDUE",IF($Y315&lt;=WORKDAY(TODAY(),1,Holidays),"DUE TOMORROW",IF($W315=4,"ESCALATED TO LOCAL OFFICE",IF($W315=5,"ESCALATED TO CBE",IF($X315=TODAY(),"EMAIL SENT","MONITORING"))))))))))</f>
        <v/>
      </c>
      <c r="U315" s="17">
        <f>IF($T315="",IF(AND(COUNTA($A315:$K315)&gt;0,$L315=""),"Awaiting Collection Email time stamp.",""),IF(OR($T315="PAID",$T315="CLOSED"),IF($T315="PAID","Account paid. Action completed.","Account closed. No further action required."),CHOOSE($W315,"Collection Email","1st Email Follow-up","2nd Email Follow-up","Escalation to Local Office","Escalation to CBE","Escalation to Roxanne")&amp;" sent "&amp;TEXT($X315,"dd-mmm")&amp;". "&amp;IF($W315=6,"Final escalation completed.",IF($T315="OVERDUE","Next: "&amp;$Z315&amp;" was due "&amp;TEXT($Y315,"dd-mmm")&amp;" - "&amp;(NETWORKDAYS($Y315,TODAY(),Holidays)-1)&amp;" business day(s) late. Send now.",IF($T315="DUE TOMORROW","Next: "&amp;$Z315&amp;IF($Y315&lt;=TODAY()," is due TODAY ("," is due next business day (")&amp;TEXT($Y315,"dd-mmm")&amp;").","Next: "&amp;$Z315&amp;" due "&amp;TEXT($Y315,"dd-mmm")&amp;" ("&amp;(NETWORKDAYS(TODAY(),$Y315,Holidays)-1)&amp;" business day(s) left).")))))</f>
        <v/>
      </c>
      <c r="V315" s="17">
        <f>IF($W315="","",CHOOSE($W315,"Collection Email","1st Follow-up","2nd Follow-up","Local Office","CBE","Roxanne")&amp;IF($W315=6," - Final"," - Day "&amp;MAX(0,NETWORKDAYS($X315,TODAY(),Holidays)-1)&amp;" of "&amp;CHOOSE($W315,3,3,2,2,3))&amp;" | Total Day "&amp;MAX(0,NETWORKDAYS($L315,TODAY(),Holidays)-1))</f>
        <v/>
      </c>
      <c r="W315" s="17">
        <f>IF($L315="","",COUNT($L315:$Q315))</f>
        <v/>
      </c>
      <c r="X315" s="18">
        <f>IF($W315="","",INT(INDEX($L315:$Q315,$W315)))</f>
        <v/>
      </c>
      <c r="Y315" s="18">
        <f>IF(OR($W315="",$W315=6),"",WORKDAY($X315,CHOOSE($W315,3,3,2,2,3),Holidays))</f>
        <v/>
      </c>
      <c r="Z315" s="17">
        <f>IF(OR($W315="",$W315=6),"",CHOOSE($W315,"1st Email Follow-up","2nd Email Follow-up","Escalate Local Office","Escalate to CBE","Escalate to Roxanne"))</f>
        <v/>
      </c>
    </row>
    <row r="316" spans="18:26">
      <c r="R316" s="15"/>
      <c r="S316" s="16"/>
      <c r="T316" s="17">
        <f>IF(AND(COUNTA($A316:$K316)=0,$L316=""),"",IF($S316="Paid","PAID",IF($S316="Closed","CLOSED",IF($W316="","",IF($W316=6,"ESCALATED TO ROXANNE",IF(TODAY()&gt;$Y316,"OVERDUE",IF($Y316&lt;=WORKDAY(TODAY(),1,Holidays),"DUE TOMORROW",IF($W316=4,"ESCALATED TO LOCAL OFFICE",IF($W316=5,"ESCALATED TO CBE",IF($X316=TODAY(),"EMAIL SENT","MONITORING"))))))))))</f>
        <v/>
      </c>
      <c r="U316" s="17">
        <f>IF($T316="",IF(AND(COUNTA($A316:$K316)&gt;0,$L316=""),"Awaiting Collection Email time stamp.",""),IF(OR($T316="PAID",$T316="CLOSED"),IF($T316="PAID","Account paid. Action completed.","Account closed. No further action required."),CHOOSE($W316,"Collection Email","1st Email Follow-up","2nd Email Follow-up","Escalation to Local Office","Escalation to CBE","Escalation to Roxanne")&amp;" sent "&amp;TEXT($X316,"dd-mmm")&amp;". "&amp;IF($W316=6,"Final escalation completed.",IF($T316="OVERDUE","Next: "&amp;$Z316&amp;" was due "&amp;TEXT($Y316,"dd-mmm")&amp;" - "&amp;(NETWORKDAYS($Y316,TODAY(),Holidays)-1)&amp;" business day(s) late. Send now.",IF($T316="DUE TOMORROW","Next: "&amp;$Z316&amp;IF($Y316&lt;=TODAY()," is due TODAY ("," is due next business day (")&amp;TEXT($Y316,"dd-mmm")&amp;").","Next: "&amp;$Z316&amp;" due "&amp;TEXT($Y316,"dd-mmm")&amp;" ("&amp;(NETWORKDAYS(TODAY(),$Y316,Holidays)-1)&amp;" business day(s) left).")))))</f>
        <v/>
      </c>
      <c r="V316" s="17">
        <f>IF($W316="","",CHOOSE($W316,"Collection Email","1st Follow-up","2nd Follow-up","Local Office","CBE","Roxanne")&amp;IF($W316=6," - Final"," - Day "&amp;MAX(0,NETWORKDAYS($X316,TODAY(),Holidays)-1)&amp;" of "&amp;CHOOSE($W316,3,3,2,2,3))&amp;" | Total Day "&amp;MAX(0,NETWORKDAYS($L316,TODAY(),Holidays)-1))</f>
        <v/>
      </c>
      <c r="W316" s="17">
        <f>IF($L316="","",COUNT($L316:$Q316))</f>
        <v/>
      </c>
      <c r="X316" s="18">
        <f>IF($W316="","",INT(INDEX($L316:$Q316,$W316)))</f>
        <v/>
      </c>
      <c r="Y316" s="18">
        <f>IF(OR($W316="",$W316=6),"",WORKDAY($X316,CHOOSE($W316,3,3,2,2,3),Holidays))</f>
        <v/>
      </c>
      <c r="Z316" s="17">
        <f>IF(OR($W316="",$W316=6),"",CHOOSE($W316,"1st Email Follow-up","2nd Email Follow-up","Escalate Local Office","Escalate to CBE","Escalate to Roxanne"))</f>
        <v/>
      </c>
    </row>
    <row r="317" spans="18:26">
      <c r="R317" s="15"/>
      <c r="S317" s="16"/>
      <c r="T317" s="17">
        <f>IF(AND(COUNTA($A317:$K317)=0,$L317=""),"",IF($S317="Paid","PAID",IF($S317="Closed","CLOSED",IF($W317="","",IF($W317=6,"ESCALATED TO ROXANNE",IF(TODAY()&gt;$Y317,"OVERDUE",IF($Y317&lt;=WORKDAY(TODAY(),1,Holidays),"DUE TOMORROW",IF($W317=4,"ESCALATED TO LOCAL OFFICE",IF($W317=5,"ESCALATED TO CBE",IF($X317=TODAY(),"EMAIL SENT","MONITORING"))))))))))</f>
        <v/>
      </c>
      <c r="U317" s="17">
        <f>IF($T317="",IF(AND(COUNTA($A317:$K317)&gt;0,$L317=""),"Awaiting Collection Email time stamp.",""),IF(OR($T317="PAID",$T317="CLOSED"),IF($T317="PAID","Account paid. Action completed.","Account closed. No further action required."),CHOOSE($W317,"Collection Email","1st Email Follow-up","2nd Email Follow-up","Escalation to Local Office","Escalation to CBE","Escalation to Roxanne")&amp;" sent "&amp;TEXT($X317,"dd-mmm")&amp;". "&amp;IF($W317=6,"Final escalation completed.",IF($T317="OVERDUE","Next: "&amp;$Z317&amp;" was due "&amp;TEXT($Y317,"dd-mmm")&amp;" - "&amp;(NETWORKDAYS($Y317,TODAY(),Holidays)-1)&amp;" business day(s) late. Send now.",IF($T317="DUE TOMORROW","Next: "&amp;$Z317&amp;IF($Y317&lt;=TODAY()," is due TODAY ("," is due next business day (")&amp;TEXT($Y317,"dd-mmm")&amp;").","Next: "&amp;$Z317&amp;" due "&amp;TEXT($Y317,"dd-mmm")&amp;" ("&amp;(NETWORKDAYS(TODAY(),$Y317,Holidays)-1)&amp;" business day(s) left).")))))</f>
        <v/>
      </c>
      <c r="V317" s="17">
        <f>IF($W317="","",CHOOSE($W317,"Collection Email","1st Follow-up","2nd Follow-up","Local Office","CBE","Roxanne")&amp;IF($W317=6," - Final"," - Day "&amp;MAX(0,NETWORKDAYS($X317,TODAY(),Holidays)-1)&amp;" of "&amp;CHOOSE($W317,3,3,2,2,3))&amp;" | Total Day "&amp;MAX(0,NETWORKDAYS($L317,TODAY(),Holidays)-1))</f>
        <v/>
      </c>
      <c r="W317" s="17">
        <f>IF($L317="","",COUNT($L317:$Q317))</f>
        <v/>
      </c>
      <c r="X317" s="18">
        <f>IF($W317="","",INT(INDEX($L317:$Q317,$W317)))</f>
        <v/>
      </c>
      <c r="Y317" s="18">
        <f>IF(OR($W317="",$W317=6),"",WORKDAY($X317,CHOOSE($W317,3,3,2,2,3),Holidays))</f>
        <v/>
      </c>
      <c r="Z317" s="17">
        <f>IF(OR($W317="",$W317=6),"",CHOOSE($W317,"1st Email Follow-up","2nd Email Follow-up","Escalate Local Office","Escalate to CBE","Escalate to Roxanne"))</f>
        <v/>
      </c>
    </row>
    <row r="318" spans="18:26">
      <c r="R318" s="15"/>
      <c r="S318" s="16"/>
      <c r="T318" s="17">
        <f>IF(AND(COUNTA($A318:$K318)=0,$L318=""),"",IF($S318="Paid","PAID",IF($S318="Closed","CLOSED",IF($W318="","",IF($W318=6,"ESCALATED TO ROXANNE",IF(TODAY()&gt;$Y318,"OVERDUE",IF($Y318&lt;=WORKDAY(TODAY(),1,Holidays),"DUE TOMORROW",IF($W318=4,"ESCALATED TO LOCAL OFFICE",IF($W318=5,"ESCALATED TO CBE",IF($X318=TODAY(),"EMAIL SENT","MONITORING"))))))))))</f>
        <v/>
      </c>
      <c r="U318" s="17">
        <f>IF($T318="",IF(AND(COUNTA($A318:$K318)&gt;0,$L318=""),"Awaiting Collection Email time stamp.",""),IF(OR($T318="PAID",$T318="CLOSED"),IF($T318="PAID","Account paid. Action completed.","Account closed. No further action required."),CHOOSE($W318,"Collection Email","1st Email Follow-up","2nd Email Follow-up","Escalation to Local Office","Escalation to CBE","Escalation to Roxanne")&amp;" sent "&amp;TEXT($X318,"dd-mmm")&amp;". "&amp;IF($W318=6,"Final escalation completed.",IF($T318="OVERDUE","Next: "&amp;$Z318&amp;" was due "&amp;TEXT($Y318,"dd-mmm")&amp;" - "&amp;(NETWORKDAYS($Y318,TODAY(),Holidays)-1)&amp;" business day(s) late. Send now.",IF($T318="DUE TOMORROW","Next: "&amp;$Z318&amp;IF($Y318&lt;=TODAY()," is due TODAY ("," is due next business day (")&amp;TEXT($Y318,"dd-mmm")&amp;").","Next: "&amp;$Z318&amp;" due "&amp;TEXT($Y318,"dd-mmm")&amp;" ("&amp;(NETWORKDAYS(TODAY(),$Y318,Holidays)-1)&amp;" business day(s) left).")))))</f>
        <v/>
      </c>
      <c r="V318" s="17">
        <f>IF($W318="","",CHOOSE($W318,"Collection Email","1st Follow-up","2nd Follow-up","Local Office","CBE","Roxanne")&amp;IF($W318=6," - Final"," - Day "&amp;MAX(0,NETWORKDAYS($X318,TODAY(),Holidays)-1)&amp;" of "&amp;CHOOSE($W318,3,3,2,2,3))&amp;" | Total Day "&amp;MAX(0,NETWORKDAYS($L318,TODAY(),Holidays)-1))</f>
        <v/>
      </c>
      <c r="W318" s="17">
        <f>IF($L318="","",COUNT($L318:$Q318))</f>
        <v/>
      </c>
      <c r="X318" s="18">
        <f>IF($W318="","",INT(INDEX($L318:$Q318,$W318)))</f>
        <v/>
      </c>
      <c r="Y318" s="18">
        <f>IF(OR($W318="",$W318=6),"",WORKDAY($X318,CHOOSE($W318,3,3,2,2,3),Holidays))</f>
        <v/>
      </c>
      <c r="Z318" s="17">
        <f>IF(OR($W318="",$W318=6),"",CHOOSE($W318,"1st Email Follow-up","2nd Email Follow-up","Escalate Local Office","Escalate to CBE","Escalate to Roxanne"))</f>
        <v/>
      </c>
    </row>
    <row r="319" spans="18:26">
      <c r="R319" s="15"/>
      <c r="S319" s="16"/>
      <c r="T319" s="17">
        <f>IF(AND(COUNTA($A319:$K319)=0,$L319=""),"",IF($S319="Paid","PAID",IF($S319="Closed","CLOSED",IF($W319="","",IF($W319=6,"ESCALATED TO ROXANNE",IF(TODAY()&gt;$Y319,"OVERDUE",IF($Y319&lt;=WORKDAY(TODAY(),1,Holidays),"DUE TOMORROW",IF($W319=4,"ESCALATED TO LOCAL OFFICE",IF($W319=5,"ESCALATED TO CBE",IF($X319=TODAY(),"EMAIL SENT","MONITORING"))))))))))</f>
        <v/>
      </c>
      <c r="U319" s="17">
        <f>IF($T319="",IF(AND(COUNTA($A319:$K319)&gt;0,$L319=""),"Awaiting Collection Email time stamp.",""),IF(OR($T319="PAID",$T319="CLOSED"),IF($T319="PAID","Account paid. Action completed.","Account closed. No further action required."),CHOOSE($W319,"Collection Email","1st Email Follow-up","2nd Email Follow-up","Escalation to Local Office","Escalation to CBE","Escalation to Roxanne")&amp;" sent "&amp;TEXT($X319,"dd-mmm")&amp;". "&amp;IF($W319=6,"Final escalation completed.",IF($T319="OVERDUE","Next: "&amp;$Z319&amp;" was due "&amp;TEXT($Y319,"dd-mmm")&amp;" - "&amp;(NETWORKDAYS($Y319,TODAY(),Holidays)-1)&amp;" business day(s) late. Send now.",IF($T319="DUE TOMORROW","Next: "&amp;$Z319&amp;IF($Y319&lt;=TODAY()," is due TODAY ("," is due next business day (")&amp;TEXT($Y319,"dd-mmm")&amp;").","Next: "&amp;$Z319&amp;" due "&amp;TEXT($Y319,"dd-mmm")&amp;" ("&amp;(NETWORKDAYS(TODAY(),$Y319,Holidays)-1)&amp;" business day(s) left).")))))</f>
        <v/>
      </c>
      <c r="V319" s="17">
        <f>IF($W319="","",CHOOSE($W319,"Collection Email","1st Follow-up","2nd Follow-up","Local Office","CBE","Roxanne")&amp;IF($W319=6," - Final"," - Day "&amp;MAX(0,NETWORKDAYS($X319,TODAY(),Holidays)-1)&amp;" of "&amp;CHOOSE($W319,3,3,2,2,3))&amp;" | Total Day "&amp;MAX(0,NETWORKDAYS($L319,TODAY(),Holidays)-1))</f>
        <v/>
      </c>
      <c r="W319" s="17">
        <f>IF($L319="","",COUNT($L319:$Q319))</f>
        <v/>
      </c>
      <c r="X319" s="18">
        <f>IF($W319="","",INT(INDEX($L319:$Q319,$W319)))</f>
        <v/>
      </c>
      <c r="Y319" s="18">
        <f>IF(OR($W319="",$W319=6),"",WORKDAY($X319,CHOOSE($W319,3,3,2,2,3),Holidays))</f>
        <v/>
      </c>
      <c r="Z319" s="17">
        <f>IF(OR($W319="",$W319=6),"",CHOOSE($W319,"1st Email Follow-up","2nd Email Follow-up","Escalate Local Office","Escalate to CBE","Escalate to Roxanne"))</f>
        <v/>
      </c>
    </row>
    <row r="320" spans="18:26">
      <c r="R320" s="15"/>
      <c r="S320" s="16"/>
      <c r="T320" s="17">
        <f>IF(AND(COUNTA($A320:$K320)=0,$L320=""),"",IF($S320="Paid","PAID",IF($S320="Closed","CLOSED",IF($W320="","",IF($W320=6,"ESCALATED TO ROXANNE",IF(TODAY()&gt;$Y320,"OVERDUE",IF($Y320&lt;=WORKDAY(TODAY(),1,Holidays),"DUE TOMORROW",IF($W320=4,"ESCALATED TO LOCAL OFFICE",IF($W320=5,"ESCALATED TO CBE",IF($X320=TODAY(),"EMAIL SENT","MONITORING"))))))))))</f>
        <v/>
      </c>
      <c r="U320" s="17">
        <f>IF($T320="",IF(AND(COUNTA($A320:$K320)&gt;0,$L320=""),"Awaiting Collection Email time stamp.",""),IF(OR($T320="PAID",$T320="CLOSED"),IF($T320="PAID","Account paid. Action completed.","Account closed. No further action required."),CHOOSE($W320,"Collection Email","1st Email Follow-up","2nd Email Follow-up","Escalation to Local Office","Escalation to CBE","Escalation to Roxanne")&amp;" sent "&amp;TEXT($X320,"dd-mmm")&amp;". "&amp;IF($W320=6,"Final escalation completed.",IF($T320="OVERDUE","Next: "&amp;$Z320&amp;" was due "&amp;TEXT($Y320,"dd-mmm")&amp;" - "&amp;(NETWORKDAYS($Y320,TODAY(),Holidays)-1)&amp;" business day(s) late. Send now.",IF($T320="DUE TOMORROW","Next: "&amp;$Z320&amp;IF($Y320&lt;=TODAY()," is due TODAY ("," is due next business day (")&amp;TEXT($Y320,"dd-mmm")&amp;").","Next: "&amp;$Z320&amp;" due "&amp;TEXT($Y320,"dd-mmm")&amp;" ("&amp;(NETWORKDAYS(TODAY(),$Y320,Holidays)-1)&amp;" business day(s) left).")))))</f>
        <v/>
      </c>
      <c r="V320" s="17">
        <f>IF($W320="","",CHOOSE($W320,"Collection Email","1st Follow-up","2nd Follow-up","Local Office","CBE","Roxanne")&amp;IF($W320=6," - Final"," - Day "&amp;MAX(0,NETWORKDAYS($X320,TODAY(),Holidays)-1)&amp;" of "&amp;CHOOSE($W320,3,3,2,2,3))&amp;" | Total Day "&amp;MAX(0,NETWORKDAYS($L320,TODAY(),Holidays)-1))</f>
        <v/>
      </c>
      <c r="W320" s="17">
        <f>IF($L320="","",COUNT($L320:$Q320))</f>
        <v/>
      </c>
      <c r="X320" s="18">
        <f>IF($W320="","",INT(INDEX($L320:$Q320,$W320)))</f>
        <v/>
      </c>
      <c r="Y320" s="18">
        <f>IF(OR($W320="",$W320=6),"",WORKDAY($X320,CHOOSE($W320,3,3,2,2,3),Holidays))</f>
        <v/>
      </c>
      <c r="Z320" s="17">
        <f>IF(OR($W320="",$W320=6),"",CHOOSE($W320,"1st Email Follow-up","2nd Email Follow-up","Escalate Local Office","Escalate to CBE","Escalate to Roxanne"))</f>
        <v/>
      </c>
    </row>
    <row r="321" spans="18:26">
      <c r="R321" s="15"/>
      <c r="S321" s="16"/>
      <c r="T321" s="17">
        <f>IF(AND(COUNTA($A321:$K321)=0,$L321=""),"",IF($S321="Paid","PAID",IF($S321="Closed","CLOSED",IF($W321="","",IF($W321=6,"ESCALATED TO ROXANNE",IF(TODAY()&gt;$Y321,"OVERDUE",IF($Y321&lt;=WORKDAY(TODAY(),1,Holidays),"DUE TOMORROW",IF($W321=4,"ESCALATED TO LOCAL OFFICE",IF($W321=5,"ESCALATED TO CBE",IF($X321=TODAY(),"EMAIL SENT","MONITORING"))))))))))</f>
        <v/>
      </c>
      <c r="U321" s="17">
        <f>IF($T321="",IF(AND(COUNTA($A321:$K321)&gt;0,$L321=""),"Awaiting Collection Email time stamp.",""),IF(OR($T321="PAID",$T321="CLOSED"),IF($T321="PAID","Account paid. Action completed.","Account closed. No further action required."),CHOOSE($W321,"Collection Email","1st Email Follow-up","2nd Email Follow-up","Escalation to Local Office","Escalation to CBE","Escalation to Roxanne")&amp;" sent "&amp;TEXT($X321,"dd-mmm")&amp;". "&amp;IF($W321=6,"Final escalation completed.",IF($T321="OVERDUE","Next: "&amp;$Z321&amp;" was due "&amp;TEXT($Y321,"dd-mmm")&amp;" - "&amp;(NETWORKDAYS($Y321,TODAY(),Holidays)-1)&amp;" business day(s) late. Send now.",IF($T321="DUE TOMORROW","Next: "&amp;$Z321&amp;IF($Y321&lt;=TODAY()," is due TODAY ("," is due next business day (")&amp;TEXT($Y321,"dd-mmm")&amp;").","Next: "&amp;$Z321&amp;" due "&amp;TEXT($Y321,"dd-mmm")&amp;" ("&amp;(NETWORKDAYS(TODAY(),$Y321,Holidays)-1)&amp;" business day(s) left).")))))</f>
        <v/>
      </c>
      <c r="V321" s="17">
        <f>IF($W321="","",CHOOSE($W321,"Collection Email","1st Follow-up","2nd Follow-up","Local Office","CBE","Roxanne")&amp;IF($W321=6," - Final"," - Day "&amp;MAX(0,NETWORKDAYS($X321,TODAY(),Holidays)-1)&amp;" of "&amp;CHOOSE($W321,3,3,2,2,3))&amp;" | Total Day "&amp;MAX(0,NETWORKDAYS($L321,TODAY(),Holidays)-1))</f>
        <v/>
      </c>
      <c r="W321" s="17">
        <f>IF($L321="","",COUNT($L321:$Q321))</f>
        <v/>
      </c>
      <c r="X321" s="18">
        <f>IF($W321="","",INT(INDEX($L321:$Q321,$W321)))</f>
        <v/>
      </c>
      <c r="Y321" s="18">
        <f>IF(OR($W321="",$W321=6),"",WORKDAY($X321,CHOOSE($W321,3,3,2,2,3),Holidays))</f>
        <v/>
      </c>
      <c r="Z321" s="17">
        <f>IF(OR($W321="",$W321=6),"",CHOOSE($W321,"1st Email Follow-up","2nd Email Follow-up","Escalate Local Office","Escalate to CBE","Escalate to Roxanne"))</f>
        <v/>
      </c>
    </row>
    <row r="322" spans="18:26">
      <c r="R322" s="15"/>
      <c r="S322" s="16"/>
      <c r="T322" s="17">
        <f>IF(AND(COUNTA($A322:$K322)=0,$L322=""),"",IF($S322="Paid","PAID",IF($S322="Closed","CLOSED",IF($W322="","",IF($W322=6,"ESCALATED TO ROXANNE",IF(TODAY()&gt;$Y322,"OVERDUE",IF($Y322&lt;=WORKDAY(TODAY(),1,Holidays),"DUE TOMORROW",IF($W322=4,"ESCALATED TO LOCAL OFFICE",IF($W322=5,"ESCALATED TO CBE",IF($X322=TODAY(),"EMAIL SENT","MONITORING"))))))))))</f>
        <v/>
      </c>
      <c r="U322" s="17">
        <f>IF($T322="",IF(AND(COUNTA($A322:$K322)&gt;0,$L322=""),"Awaiting Collection Email time stamp.",""),IF(OR($T322="PAID",$T322="CLOSED"),IF($T322="PAID","Account paid. Action completed.","Account closed. No further action required."),CHOOSE($W322,"Collection Email","1st Email Follow-up","2nd Email Follow-up","Escalation to Local Office","Escalation to CBE","Escalation to Roxanne")&amp;" sent "&amp;TEXT($X322,"dd-mmm")&amp;". "&amp;IF($W322=6,"Final escalation completed.",IF($T322="OVERDUE","Next: "&amp;$Z322&amp;" was due "&amp;TEXT($Y322,"dd-mmm")&amp;" - "&amp;(NETWORKDAYS($Y322,TODAY(),Holidays)-1)&amp;" business day(s) late. Send now.",IF($T322="DUE TOMORROW","Next: "&amp;$Z322&amp;IF($Y322&lt;=TODAY()," is due TODAY ("," is due next business day (")&amp;TEXT($Y322,"dd-mmm")&amp;").","Next: "&amp;$Z322&amp;" due "&amp;TEXT($Y322,"dd-mmm")&amp;" ("&amp;(NETWORKDAYS(TODAY(),$Y322,Holidays)-1)&amp;" business day(s) left).")))))</f>
        <v/>
      </c>
      <c r="V322" s="17">
        <f>IF($W322="","",CHOOSE($W322,"Collection Email","1st Follow-up","2nd Follow-up","Local Office","CBE","Roxanne")&amp;IF($W322=6," - Final"," - Day "&amp;MAX(0,NETWORKDAYS($X322,TODAY(),Holidays)-1)&amp;" of "&amp;CHOOSE($W322,3,3,2,2,3))&amp;" | Total Day "&amp;MAX(0,NETWORKDAYS($L322,TODAY(),Holidays)-1))</f>
        <v/>
      </c>
      <c r="W322" s="17">
        <f>IF($L322="","",COUNT($L322:$Q322))</f>
        <v/>
      </c>
      <c r="X322" s="18">
        <f>IF($W322="","",INT(INDEX($L322:$Q322,$W322)))</f>
        <v/>
      </c>
      <c r="Y322" s="18">
        <f>IF(OR($W322="",$W322=6),"",WORKDAY($X322,CHOOSE($W322,3,3,2,2,3),Holidays))</f>
        <v/>
      </c>
      <c r="Z322" s="17">
        <f>IF(OR($W322="",$W322=6),"",CHOOSE($W322,"1st Email Follow-up","2nd Email Follow-up","Escalate Local Office","Escalate to CBE","Escalate to Roxanne"))</f>
        <v/>
      </c>
    </row>
    <row r="323" spans="18:26">
      <c r="R323" s="15"/>
      <c r="S323" s="16"/>
      <c r="T323" s="17">
        <f>IF(AND(COUNTA($A323:$K323)=0,$L323=""),"",IF($S323="Paid","PAID",IF($S323="Closed","CLOSED",IF($W323="","",IF($W323=6,"ESCALATED TO ROXANNE",IF(TODAY()&gt;$Y323,"OVERDUE",IF($Y323&lt;=WORKDAY(TODAY(),1,Holidays),"DUE TOMORROW",IF($W323=4,"ESCALATED TO LOCAL OFFICE",IF($W323=5,"ESCALATED TO CBE",IF($X323=TODAY(),"EMAIL SENT","MONITORING"))))))))))</f>
        <v/>
      </c>
      <c r="U323" s="17">
        <f>IF($T323="",IF(AND(COUNTA($A323:$K323)&gt;0,$L323=""),"Awaiting Collection Email time stamp.",""),IF(OR($T323="PAID",$T323="CLOSED"),IF($T323="PAID","Account paid. Action completed.","Account closed. No further action required."),CHOOSE($W323,"Collection Email","1st Email Follow-up","2nd Email Follow-up","Escalation to Local Office","Escalation to CBE","Escalation to Roxanne")&amp;" sent "&amp;TEXT($X323,"dd-mmm")&amp;". "&amp;IF($W323=6,"Final escalation completed.",IF($T323="OVERDUE","Next: "&amp;$Z323&amp;" was due "&amp;TEXT($Y323,"dd-mmm")&amp;" - "&amp;(NETWORKDAYS($Y323,TODAY(),Holidays)-1)&amp;" business day(s) late. Send now.",IF($T323="DUE TOMORROW","Next: "&amp;$Z323&amp;IF($Y323&lt;=TODAY()," is due TODAY ("," is due next business day (")&amp;TEXT($Y323,"dd-mmm")&amp;").","Next: "&amp;$Z323&amp;" due "&amp;TEXT($Y323,"dd-mmm")&amp;" ("&amp;(NETWORKDAYS(TODAY(),$Y323,Holidays)-1)&amp;" business day(s) left).")))))</f>
        <v/>
      </c>
      <c r="V323" s="17">
        <f>IF($W323="","",CHOOSE($W323,"Collection Email","1st Follow-up","2nd Follow-up","Local Office","CBE","Roxanne")&amp;IF($W323=6," - Final"," - Day "&amp;MAX(0,NETWORKDAYS($X323,TODAY(),Holidays)-1)&amp;" of "&amp;CHOOSE($W323,3,3,2,2,3))&amp;" | Total Day "&amp;MAX(0,NETWORKDAYS($L323,TODAY(),Holidays)-1))</f>
        <v/>
      </c>
      <c r="W323" s="17">
        <f>IF($L323="","",COUNT($L323:$Q323))</f>
        <v/>
      </c>
      <c r="X323" s="18">
        <f>IF($W323="","",INT(INDEX($L323:$Q323,$W323)))</f>
        <v/>
      </c>
      <c r="Y323" s="18">
        <f>IF(OR($W323="",$W323=6),"",WORKDAY($X323,CHOOSE($W323,3,3,2,2,3),Holidays))</f>
        <v/>
      </c>
      <c r="Z323" s="17">
        <f>IF(OR($W323="",$W323=6),"",CHOOSE($W323,"1st Email Follow-up","2nd Email Follow-up","Escalate Local Office","Escalate to CBE","Escalate to Roxanne"))</f>
        <v/>
      </c>
    </row>
    <row r="324" spans="18:26">
      <c r="R324" s="15"/>
      <c r="S324" s="16"/>
      <c r="T324" s="17">
        <f>IF(AND(COUNTA($A324:$K324)=0,$L324=""),"",IF($S324="Paid","PAID",IF($S324="Closed","CLOSED",IF($W324="","",IF($W324=6,"ESCALATED TO ROXANNE",IF(TODAY()&gt;$Y324,"OVERDUE",IF($Y324&lt;=WORKDAY(TODAY(),1,Holidays),"DUE TOMORROW",IF($W324=4,"ESCALATED TO LOCAL OFFICE",IF($W324=5,"ESCALATED TO CBE",IF($X324=TODAY(),"EMAIL SENT","MONITORING"))))))))))</f>
        <v/>
      </c>
      <c r="U324" s="17">
        <f>IF($T324="",IF(AND(COUNTA($A324:$K324)&gt;0,$L324=""),"Awaiting Collection Email time stamp.",""),IF(OR($T324="PAID",$T324="CLOSED"),IF($T324="PAID","Account paid. Action completed.","Account closed. No further action required."),CHOOSE($W324,"Collection Email","1st Email Follow-up","2nd Email Follow-up","Escalation to Local Office","Escalation to CBE","Escalation to Roxanne")&amp;" sent "&amp;TEXT($X324,"dd-mmm")&amp;". "&amp;IF($W324=6,"Final escalation completed.",IF($T324="OVERDUE","Next: "&amp;$Z324&amp;" was due "&amp;TEXT($Y324,"dd-mmm")&amp;" - "&amp;(NETWORKDAYS($Y324,TODAY(),Holidays)-1)&amp;" business day(s) late. Send now.",IF($T324="DUE TOMORROW","Next: "&amp;$Z324&amp;IF($Y324&lt;=TODAY()," is due TODAY ("," is due next business day (")&amp;TEXT($Y324,"dd-mmm")&amp;").","Next: "&amp;$Z324&amp;" due "&amp;TEXT($Y324,"dd-mmm")&amp;" ("&amp;(NETWORKDAYS(TODAY(),$Y324,Holidays)-1)&amp;" business day(s) left).")))))</f>
        <v/>
      </c>
      <c r="V324" s="17">
        <f>IF($W324="","",CHOOSE($W324,"Collection Email","1st Follow-up","2nd Follow-up","Local Office","CBE","Roxanne")&amp;IF($W324=6," - Final"," - Day "&amp;MAX(0,NETWORKDAYS($X324,TODAY(),Holidays)-1)&amp;" of "&amp;CHOOSE($W324,3,3,2,2,3))&amp;" | Total Day "&amp;MAX(0,NETWORKDAYS($L324,TODAY(),Holidays)-1))</f>
        <v/>
      </c>
      <c r="W324" s="17">
        <f>IF($L324="","",COUNT($L324:$Q324))</f>
        <v/>
      </c>
      <c r="X324" s="18">
        <f>IF($W324="","",INT(INDEX($L324:$Q324,$W324)))</f>
        <v/>
      </c>
      <c r="Y324" s="18">
        <f>IF(OR($W324="",$W324=6),"",WORKDAY($X324,CHOOSE($W324,3,3,2,2,3),Holidays))</f>
        <v/>
      </c>
      <c r="Z324" s="17">
        <f>IF(OR($W324="",$W324=6),"",CHOOSE($W324,"1st Email Follow-up","2nd Email Follow-up","Escalate Local Office","Escalate to CBE","Escalate to Roxanne"))</f>
        <v/>
      </c>
    </row>
    <row r="325" spans="18:26">
      <c r="R325" s="15"/>
      <c r="S325" s="16"/>
      <c r="T325" s="17">
        <f>IF(AND(COUNTA($A325:$K325)=0,$L325=""),"",IF($S325="Paid","PAID",IF($S325="Closed","CLOSED",IF($W325="","",IF($W325=6,"ESCALATED TO ROXANNE",IF(TODAY()&gt;$Y325,"OVERDUE",IF($Y325&lt;=WORKDAY(TODAY(),1,Holidays),"DUE TOMORROW",IF($W325=4,"ESCALATED TO LOCAL OFFICE",IF($W325=5,"ESCALATED TO CBE",IF($X325=TODAY(),"EMAIL SENT","MONITORING"))))))))))</f>
        <v/>
      </c>
      <c r="U325" s="17">
        <f>IF($T325="",IF(AND(COUNTA($A325:$K325)&gt;0,$L325=""),"Awaiting Collection Email time stamp.",""),IF(OR($T325="PAID",$T325="CLOSED"),IF($T325="PAID","Account paid. Action completed.","Account closed. No further action required."),CHOOSE($W325,"Collection Email","1st Email Follow-up","2nd Email Follow-up","Escalation to Local Office","Escalation to CBE","Escalation to Roxanne")&amp;" sent "&amp;TEXT($X325,"dd-mmm")&amp;". "&amp;IF($W325=6,"Final escalation completed.",IF($T325="OVERDUE","Next: "&amp;$Z325&amp;" was due "&amp;TEXT($Y325,"dd-mmm")&amp;" - "&amp;(NETWORKDAYS($Y325,TODAY(),Holidays)-1)&amp;" business day(s) late. Send now.",IF($T325="DUE TOMORROW","Next: "&amp;$Z325&amp;IF($Y325&lt;=TODAY()," is due TODAY ("," is due next business day (")&amp;TEXT($Y325,"dd-mmm")&amp;").","Next: "&amp;$Z325&amp;" due "&amp;TEXT($Y325,"dd-mmm")&amp;" ("&amp;(NETWORKDAYS(TODAY(),$Y325,Holidays)-1)&amp;" business day(s) left).")))))</f>
        <v/>
      </c>
      <c r="V325" s="17">
        <f>IF($W325="","",CHOOSE($W325,"Collection Email","1st Follow-up","2nd Follow-up","Local Office","CBE","Roxanne")&amp;IF($W325=6," - Final"," - Day "&amp;MAX(0,NETWORKDAYS($X325,TODAY(),Holidays)-1)&amp;" of "&amp;CHOOSE($W325,3,3,2,2,3))&amp;" | Total Day "&amp;MAX(0,NETWORKDAYS($L325,TODAY(),Holidays)-1))</f>
        <v/>
      </c>
      <c r="W325" s="17">
        <f>IF($L325="","",COUNT($L325:$Q325))</f>
        <v/>
      </c>
      <c r="X325" s="18">
        <f>IF($W325="","",INT(INDEX($L325:$Q325,$W325)))</f>
        <v/>
      </c>
      <c r="Y325" s="18">
        <f>IF(OR($W325="",$W325=6),"",WORKDAY($X325,CHOOSE($W325,3,3,2,2,3),Holidays))</f>
        <v/>
      </c>
      <c r="Z325" s="17">
        <f>IF(OR($W325="",$W325=6),"",CHOOSE($W325,"1st Email Follow-up","2nd Email Follow-up","Escalate Local Office","Escalate to CBE","Escalate to Roxanne"))</f>
        <v/>
      </c>
    </row>
    <row r="326" spans="18:26">
      <c r="R326" s="15"/>
      <c r="S326" s="16"/>
      <c r="T326" s="17">
        <f>IF(AND(COUNTA($A326:$K326)=0,$L326=""),"",IF($S326="Paid","PAID",IF($S326="Closed","CLOSED",IF($W326="","",IF($W326=6,"ESCALATED TO ROXANNE",IF(TODAY()&gt;$Y326,"OVERDUE",IF($Y326&lt;=WORKDAY(TODAY(),1,Holidays),"DUE TOMORROW",IF($W326=4,"ESCALATED TO LOCAL OFFICE",IF($W326=5,"ESCALATED TO CBE",IF($X326=TODAY(),"EMAIL SENT","MONITORING"))))))))))</f>
        <v/>
      </c>
      <c r="U326" s="17">
        <f>IF($T326="",IF(AND(COUNTA($A326:$K326)&gt;0,$L326=""),"Awaiting Collection Email time stamp.",""),IF(OR($T326="PAID",$T326="CLOSED"),IF($T326="PAID","Account paid. Action completed.","Account closed. No further action required."),CHOOSE($W326,"Collection Email","1st Email Follow-up","2nd Email Follow-up","Escalation to Local Office","Escalation to CBE","Escalation to Roxanne")&amp;" sent "&amp;TEXT($X326,"dd-mmm")&amp;". "&amp;IF($W326=6,"Final escalation completed.",IF($T326="OVERDUE","Next: "&amp;$Z326&amp;" was due "&amp;TEXT($Y326,"dd-mmm")&amp;" - "&amp;(NETWORKDAYS($Y326,TODAY(),Holidays)-1)&amp;" business day(s) late. Send now.",IF($T326="DUE TOMORROW","Next: "&amp;$Z326&amp;IF($Y326&lt;=TODAY()," is due TODAY ("," is due next business day (")&amp;TEXT($Y326,"dd-mmm")&amp;").","Next: "&amp;$Z326&amp;" due "&amp;TEXT($Y326,"dd-mmm")&amp;" ("&amp;(NETWORKDAYS(TODAY(),$Y326,Holidays)-1)&amp;" business day(s) left).")))))</f>
        <v/>
      </c>
      <c r="V326" s="17">
        <f>IF($W326="","",CHOOSE($W326,"Collection Email","1st Follow-up","2nd Follow-up","Local Office","CBE","Roxanne")&amp;IF($W326=6," - Final"," - Day "&amp;MAX(0,NETWORKDAYS($X326,TODAY(),Holidays)-1)&amp;" of "&amp;CHOOSE($W326,3,3,2,2,3))&amp;" | Total Day "&amp;MAX(0,NETWORKDAYS($L326,TODAY(),Holidays)-1))</f>
        <v/>
      </c>
      <c r="W326" s="17">
        <f>IF($L326="","",COUNT($L326:$Q326))</f>
        <v/>
      </c>
      <c r="X326" s="18">
        <f>IF($W326="","",INT(INDEX($L326:$Q326,$W326)))</f>
        <v/>
      </c>
      <c r="Y326" s="18">
        <f>IF(OR($W326="",$W326=6),"",WORKDAY($X326,CHOOSE($W326,3,3,2,2,3),Holidays))</f>
        <v/>
      </c>
      <c r="Z326" s="17">
        <f>IF(OR($W326="",$W326=6),"",CHOOSE($W326,"1st Email Follow-up","2nd Email Follow-up","Escalate Local Office","Escalate to CBE","Escalate to Roxanne"))</f>
        <v/>
      </c>
    </row>
    <row r="327" spans="18:26">
      <c r="R327" s="15"/>
      <c r="S327" s="16"/>
      <c r="T327" s="17">
        <f>IF(AND(COUNTA($A327:$K327)=0,$L327=""),"",IF($S327="Paid","PAID",IF($S327="Closed","CLOSED",IF($W327="","",IF($W327=6,"ESCALATED TO ROXANNE",IF(TODAY()&gt;$Y327,"OVERDUE",IF($Y327&lt;=WORKDAY(TODAY(),1,Holidays),"DUE TOMORROW",IF($W327=4,"ESCALATED TO LOCAL OFFICE",IF($W327=5,"ESCALATED TO CBE",IF($X327=TODAY(),"EMAIL SENT","MONITORING"))))))))))</f>
        <v/>
      </c>
      <c r="U327" s="17">
        <f>IF($T327="",IF(AND(COUNTA($A327:$K327)&gt;0,$L327=""),"Awaiting Collection Email time stamp.",""),IF(OR($T327="PAID",$T327="CLOSED"),IF($T327="PAID","Account paid. Action completed.","Account closed. No further action required."),CHOOSE($W327,"Collection Email","1st Email Follow-up","2nd Email Follow-up","Escalation to Local Office","Escalation to CBE","Escalation to Roxanne")&amp;" sent "&amp;TEXT($X327,"dd-mmm")&amp;". "&amp;IF($W327=6,"Final escalation completed.",IF($T327="OVERDUE","Next: "&amp;$Z327&amp;" was due "&amp;TEXT($Y327,"dd-mmm")&amp;" - "&amp;(NETWORKDAYS($Y327,TODAY(),Holidays)-1)&amp;" business day(s) late. Send now.",IF($T327="DUE TOMORROW","Next: "&amp;$Z327&amp;IF($Y327&lt;=TODAY()," is due TODAY ("," is due next business day (")&amp;TEXT($Y327,"dd-mmm")&amp;").","Next: "&amp;$Z327&amp;" due "&amp;TEXT($Y327,"dd-mmm")&amp;" ("&amp;(NETWORKDAYS(TODAY(),$Y327,Holidays)-1)&amp;" business day(s) left).")))))</f>
        <v/>
      </c>
      <c r="V327" s="17">
        <f>IF($W327="","",CHOOSE($W327,"Collection Email","1st Follow-up","2nd Follow-up","Local Office","CBE","Roxanne")&amp;IF($W327=6," - Final"," - Day "&amp;MAX(0,NETWORKDAYS($X327,TODAY(),Holidays)-1)&amp;" of "&amp;CHOOSE($W327,3,3,2,2,3))&amp;" | Total Day "&amp;MAX(0,NETWORKDAYS($L327,TODAY(),Holidays)-1))</f>
        <v/>
      </c>
      <c r="W327" s="17">
        <f>IF($L327="","",COUNT($L327:$Q327))</f>
        <v/>
      </c>
      <c r="X327" s="18">
        <f>IF($W327="","",INT(INDEX($L327:$Q327,$W327)))</f>
        <v/>
      </c>
      <c r="Y327" s="18">
        <f>IF(OR($W327="",$W327=6),"",WORKDAY($X327,CHOOSE($W327,3,3,2,2,3),Holidays))</f>
        <v/>
      </c>
      <c r="Z327" s="17">
        <f>IF(OR($W327="",$W327=6),"",CHOOSE($W327,"1st Email Follow-up","2nd Email Follow-up","Escalate Local Office","Escalate to CBE","Escalate to Roxanne"))</f>
        <v/>
      </c>
    </row>
    <row r="328" spans="18:26">
      <c r="R328" s="15"/>
      <c r="S328" s="16"/>
      <c r="T328" s="17">
        <f>IF(AND(COUNTA($A328:$K328)=0,$L328=""),"",IF($S328="Paid","PAID",IF($S328="Closed","CLOSED",IF($W328="","",IF($W328=6,"ESCALATED TO ROXANNE",IF(TODAY()&gt;$Y328,"OVERDUE",IF($Y328&lt;=WORKDAY(TODAY(),1,Holidays),"DUE TOMORROW",IF($W328=4,"ESCALATED TO LOCAL OFFICE",IF($W328=5,"ESCALATED TO CBE",IF($X328=TODAY(),"EMAIL SENT","MONITORING"))))))))))</f>
        <v/>
      </c>
      <c r="U328" s="17">
        <f>IF($T328="",IF(AND(COUNTA($A328:$K328)&gt;0,$L328=""),"Awaiting Collection Email time stamp.",""),IF(OR($T328="PAID",$T328="CLOSED"),IF($T328="PAID","Account paid. Action completed.","Account closed. No further action required."),CHOOSE($W328,"Collection Email","1st Email Follow-up","2nd Email Follow-up","Escalation to Local Office","Escalation to CBE","Escalation to Roxanne")&amp;" sent "&amp;TEXT($X328,"dd-mmm")&amp;". "&amp;IF($W328=6,"Final escalation completed.",IF($T328="OVERDUE","Next: "&amp;$Z328&amp;" was due "&amp;TEXT($Y328,"dd-mmm")&amp;" - "&amp;(NETWORKDAYS($Y328,TODAY(),Holidays)-1)&amp;" business day(s) late. Send now.",IF($T328="DUE TOMORROW","Next: "&amp;$Z328&amp;IF($Y328&lt;=TODAY()," is due TODAY ("," is due next business day (")&amp;TEXT($Y328,"dd-mmm")&amp;").","Next: "&amp;$Z328&amp;" due "&amp;TEXT($Y328,"dd-mmm")&amp;" ("&amp;(NETWORKDAYS(TODAY(),$Y328,Holidays)-1)&amp;" business day(s) left).")))))</f>
        <v/>
      </c>
      <c r="V328" s="17">
        <f>IF($W328="","",CHOOSE($W328,"Collection Email","1st Follow-up","2nd Follow-up","Local Office","CBE","Roxanne")&amp;IF($W328=6," - Final"," - Day "&amp;MAX(0,NETWORKDAYS($X328,TODAY(),Holidays)-1)&amp;" of "&amp;CHOOSE($W328,3,3,2,2,3))&amp;" | Total Day "&amp;MAX(0,NETWORKDAYS($L328,TODAY(),Holidays)-1))</f>
        <v/>
      </c>
      <c r="W328" s="17">
        <f>IF($L328="","",COUNT($L328:$Q328))</f>
        <v/>
      </c>
      <c r="X328" s="18">
        <f>IF($W328="","",INT(INDEX($L328:$Q328,$W328)))</f>
        <v/>
      </c>
      <c r="Y328" s="18">
        <f>IF(OR($W328="",$W328=6),"",WORKDAY($X328,CHOOSE($W328,3,3,2,2,3),Holidays))</f>
        <v/>
      </c>
      <c r="Z328" s="17">
        <f>IF(OR($W328="",$W328=6),"",CHOOSE($W328,"1st Email Follow-up","2nd Email Follow-up","Escalate Local Office","Escalate to CBE","Escalate to Roxanne"))</f>
        <v/>
      </c>
    </row>
    <row r="329" spans="18:26">
      <c r="R329" s="15"/>
      <c r="S329" s="16"/>
      <c r="T329" s="17">
        <f>IF(AND(COUNTA($A329:$K329)=0,$L329=""),"",IF($S329="Paid","PAID",IF($S329="Closed","CLOSED",IF($W329="","",IF($W329=6,"ESCALATED TO ROXANNE",IF(TODAY()&gt;$Y329,"OVERDUE",IF($Y329&lt;=WORKDAY(TODAY(),1,Holidays),"DUE TOMORROW",IF($W329=4,"ESCALATED TO LOCAL OFFICE",IF($W329=5,"ESCALATED TO CBE",IF($X329=TODAY(),"EMAIL SENT","MONITORING"))))))))))</f>
        <v/>
      </c>
      <c r="U329" s="17">
        <f>IF($T329="",IF(AND(COUNTA($A329:$K329)&gt;0,$L329=""),"Awaiting Collection Email time stamp.",""),IF(OR($T329="PAID",$T329="CLOSED"),IF($T329="PAID","Account paid. Action completed.","Account closed. No further action required."),CHOOSE($W329,"Collection Email","1st Email Follow-up","2nd Email Follow-up","Escalation to Local Office","Escalation to CBE","Escalation to Roxanne")&amp;" sent "&amp;TEXT($X329,"dd-mmm")&amp;". "&amp;IF($W329=6,"Final escalation completed.",IF($T329="OVERDUE","Next: "&amp;$Z329&amp;" was due "&amp;TEXT($Y329,"dd-mmm")&amp;" - "&amp;(NETWORKDAYS($Y329,TODAY(),Holidays)-1)&amp;" business day(s) late. Send now.",IF($T329="DUE TOMORROW","Next: "&amp;$Z329&amp;IF($Y329&lt;=TODAY()," is due TODAY ("," is due next business day (")&amp;TEXT($Y329,"dd-mmm")&amp;").","Next: "&amp;$Z329&amp;" due "&amp;TEXT($Y329,"dd-mmm")&amp;" ("&amp;(NETWORKDAYS(TODAY(),$Y329,Holidays)-1)&amp;" business day(s) left).")))))</f>
        <v/>
      </c>
      <c r="V329" s="17">
        <f>IF($W329="","",CHOOSE($W329,"Collection Email","1st Follow-up","2nd Follow-up","Local Office","CBE","Roxanne")&amp;IF($W329=6," - Final"," - Day "&amp;MAX(0,NETWORKDAYS($X329,TODAY(),Holidays)-1)&amp;" of "&amp;CHOOSE($W329,3,3,2,2,3))&amp;" | Total Day "&amp;MAX(0,NETWORKDAYS($L329,TODAY(),Holidays)-1))</f>
        <v/>
      </c>
      <c r="W329" s="17">
        <f>IF($L329="","",COUNT($L329:$Q329))</f>
        <v/>
      </c>
      <c r="X329" s="18">
        <f>IF($W329="","",INT(INDEX($L329:$Q329,$W329)))</f>
        <v/>
      </c>
      <c r="Y329" s="18">
        <f>IF(OR($W329="",$W329=6),"",WORKDAY($X329,CHOOSE($W329,3,3,2,2,3),Holidays))</f>
        <v/>
      </c>
      <c r="Z329" s="17">
        <f>IF(OR($W329="",$W329=6),"",CHOOSE($W329,"1st Email Follow-up","2nd Email Follow-up","Escalate Local Office","Escalate to CBE","Escalate to Roxanne"))</f>
        <v/>
      </c>
    </row>
    <row r="330" spans="18:26">
      <c r="R330" s="15"/>
      <c r="S330" s="16"/>
      <c r="T330" s="17">
        <f>IF(AND(COUNTA($A330:$K330)=0,$L330=""),"",IF($S330="Paid","PAID",IF($S330="Closed","CLOSED",IF($W330="","",IF($W330=6,"ESCALATED TO ROXANNE",IF(TODAY()&gt;$Y330,"OVERDUE",IF($Y330&lt;=WORKDAY(TODAY(),1,Holidays),"DUE TOMORROW",IF($W330=4,"ESCALATED TO LOCAL OFFICE",IF($W330=5,"ESCALATED TO CBE",IF($X330=TODAY(),"EMAIL SENT","MONITORING"))))))))))</f>
        <v/>
      </c>
      <c r="U330" s="17">
        <f>IF($T330="",IF(AND(COUNTA($A330:$K330)&gt;0,$L330=""),"Awaiting Collection Email time stamp.",""),IF(OR($T330="PAID",$T330="CLOSED"),IF($T330="PAID","Account paid. Action completed.","Account closed. No further action required."),CHOOSE($W330,"Collection Email","1st Email Follow-up","2nd Email Follow-up","Escalation to Local Office","Escalation to CBE","Escalation to Roxanne")&amp;" sent "&amp;TEXT($X330,"dd-mmm")&amp;". "&amp;IF($W330=6,"Final escalation completed.",IF($T330="OVERDUE","Next: "&amp;$Z330&amp;" was due "&amp;TEXT($Y330,"dd-mmm")&amp;" - "&amp;(NETWORKDAYS($Y330,TODAY(),Holidays)-1)&amp;" business day(s) late. Send now.",IF($T330="DUE TOMORROW","Next: "&amp;$Z330&amp;IF($Y330&lt;=TODAY()," is due TODAY ("," is due next business day (")&amp;TEXT($Y330,"dd-mmm")&amp;").","Next: "&amp;$Z330&amp;" due "&amp;TEXT($Y330,"dd-mmm")&amp;" ("&amp;(NETWORKDAYS(TODAY(),$Y330,Holidays)-1)&amp;" business day(s) left).")))))</f>
        <v/>
      </c>
      <c r="V330" s="17">
        <f>IF($W330="","",CHOOSE($W330,"Collection Email","1st Follow-up","2nd Follow-up","Local Office","CBE","Roxanne")&amp;IF($W330=6," - Final"," - Day "&amp;MAX(0,NETWORKDAYS($X330,TODAY(),Holidays)-1)&amp;" of "&amp;CHOOSE($W330,3,3,2,2,3))&amp;" | Total Day "&amp;MAX(0,NETWORKDAYS($L330,TODAY(),Holidays)-1))</f>
        <v/>
      </c>
      <c r="W330" s="17">
        <f>IF($L330="","",COUNT($L330:$Q330))</f>
        <v/>
      </c>
      <c r="X330" s="18">
        <f>IF($W330="","",INT(INDEX($L330:$Q330,$W330)))</f>
        <v/>
      </c>
      <c r="Y330" s="18">
        <f>IF(OR($W330="",$W330=6),"",WORKDAY($X330,CHOOSE($W330,3,3,2,2,3),Holidays))</f>
        <v/>
      </c>
      <c r="Z330" s="17">
        <f>IF(OR($W330="",$W330=6),"",CHOOSE($W330,"1st Email Follow-up","2nd Email Follow-up","Escalate Local Office","Escalate to CBE","Escalate to Roxanne"))</f>
        <v/>
      </c>
    </row>
    <row r="331" spans="18:26">
      <c r="R331" s="15"/>
      <c r="S331" s="16"/>
      <c r="T331" s="17">
        <f>IF(AND(COUNTA($A331:$K331)=0,$L331=""),"",IF($S331="Paid","PAID",IF($S331="Closed","CLOSED",IF($W331="","",IF($W331=6,"ESCALATED TO ROXANNE",IF(TODAY()&gt;$Y331,"OVERDUE",IF($Y331&lt;=WORKDAY(TODAY(),1,Holidays),"DUE TOMORROW",IF($W331=4,"ESCALATED TO LOCAL OFFICE",IF($W331=5,"ESCALATED TO CBE",IF($X331=TODAY(),"EMAIL SENT","MONITORING"))))))))))</f>
        <v/>
      </c>
      <c r="U331" s="17">
        <f>IF($T331="",IF(AND(COUNTA($A331:$K331)&gt;0,$L331=""),"Awaiting Collection Email time stamp.",""),IF(OR($T331="PAID",$T331="CLOSED"),IF($T331="PAID","Account paid. Action completed.","Account closed. No further action required."),CHOOSE($W331,"Collection Email","1st Email Follow-up","2nd Email Follow-up","Escalation to Local Office","Escalation to CBE","Escalation to Roxanne")&amp;" sent "&amp;TEXT($X331,"dd-mmm")&amp;". "&amp;IF($W331=6,"Final escalation completed.",IF($T331="OVERDUE","Next: "&amp;$Z331&amp;" was due "&amp;TEXT($Y331,"dd-mmm")&amp;" - "&amp;(NETWORKDAYS($Y331,TODAY(),Holidays)-1)&amp;" business day(s) late. Send now.",IF($T331="DUE TOMORROW","Next: "&amp;$Z331&amp;IF($Y331&lt;=TODAY()," is due TODAY ("," is due next business day (")&amp;TEXT($Y331,"dd-mmm")&amp;").","Next: "&amp;$Z331&amp;" due "&amp;TEXT($Y331,"dd-mmm")&amp;" ("&amp;(NETWORKDAYS(TODAY(),$Y331,Holidays)-1)&amp;" business day(s) left).")))))</f>
        <v/>
      </c>
      <c r="V331" s="17">
        <f>IF($W331="","",CHOOSE($W331,"Collection Email","1st Follow-up","2nd Follow-up","Local Office","CBE","Roxanne")&amp;IF($W331=6," - Final"," - Day "&amp;MAX(0,NETWORKDAYS($X331,TODAY(),Holidays)-1)&amp;" of "&amp;CHOOSE($W331,3,3,2,2,3))&amp;" | Total Day "&amp;MAX(0,NETWORKDAYS($L331,TODAY(),Holidays)-1))</f>
        <v/>
      </c>
      <c r="W331" s="17">
        <f>IF($L331="","",COUNT($L331:$Q331))</f>
        <v/>
      </c>
      <c r="X331" s="18">
        <f>IF($W331="","",INT(INDEX($L331:$Q331,$W331)))</f>
        <v/>
      </c>
      <c r="Y331" s="18">
        <f>IF(OR($W331="",$W331=6),"",WORKDAY($X331,CHOOSE($W331,3,3,2,2,3),Holidays))</f>
        <v/>
      </c>
      <c r="Z331" s="17">
        <f>IF(OR($W331="",$W331=6),"",CHOOSE($W331,"1st Email Follow-up","2nd Email Follow-up","Escalate Local Office","Escalate to CBE","Escalate to Roxanne"))</f>
        <v/>
      </c>
    </row>
    <row r="332" spans="18:26">
      <c r="R332" s="15"/>
      <c r="S332" s="16"/>
      <c r="T332" s="17">
        <f>IF(AND(COUNTA($A332:$K332)=0,$L332=""),"",IF($S332="Paid","PAID",IF($S332="Closed","CLOSED",IF($W332="","",IF($W332=6,"ESCALATED TO ROXANNE",IF(TODAY()&gt;$Y332,"OVERDUE",IF($Y332&lt;=WORKDAY(TODAY(),1,Holidays),"DUE TOMORROW",IF($W332=4,"ESCALATED TO LOCAL OFFICE",IF($W332=5,"ESCALATED TO CBE",IF($X332=TODAY(),"EMAIL SENT","MONITORING"))))))))))</f>
        <v/>
      </c>
      <c r="U332" s="17">
        <f>IF($T332="",IF(AND(COUNTA($A332:$K332)&gt;0,$L332=""),"Awaiting Collection Email time stamp.",""),IF(OR($T332="PAID",$T332="CLOSED"),IF($T332="PAID","Account paid. Action completed.","Account closed. No further action required."),CHOOSE($W332,"Collection Email","1st Email Follow-up","2nd Email Follow-up","Escalation to Local Office","Escalation to CBE","Escalation to Roxanne")&amp;" sent "&amp;TEXT($X332,"dd-mmm")&amp;". "&amp;IF($W332=6,"Final escalation completed.",IF($T332="OVERDUE","Next: "&amp;$Z332&amp;" was due "&amp;TEXT($Y332,"dd-mmm")&amp;" - "&amp;(NETWORKDAYS($Y332,TODAY(),Holidays)-1)&amp;" business day(s) late. Send now.",IF($T332="DUE TOMORROW","Next: "&amp;$Z332&amp;IF($Y332&lt;=TODAY()," is due TODAY ("," is due next business day (")&amp;TEXT($Y332,"dd-mmm")&amp;").","Next: "&amp;$Z332&amp;" due "&amp;TEXT($Y332,"dd-mmm")&amp;" ("&amp;(NETWORKDAYS(TODAY(),$Y332,Holidays)-1)&amp;" business day(s) left).")))))</f>
        <v/>
      </c>
      <c r="V332" s="17">
        <f>IF($W332="","",CHOOSE($W332,"Collection Email","1st Follow-up","2nd Follow-up","Local Office","CBE","Roxanne")&amp;IF($W332=6," - Final"," - Day "&amp;MAX(0,NETWORKDAYS($X332,TODAY(),Holidays)-1)&amp;" of "&amp;CHOOSE($W332,3,3,2,2,3))&amp;" | Total Day "&amp;MAX(0,NETWORKDAYS($L332,TODAY(),Holidays)-1))</f>
        <v/>
      </c>
      <c r="W332" s="17">
        <f>IF($L332="","",COUNT($L332:$Q332))</f>
        <v/>
      </c>
      <c r="X332" s="18">
        <f>IF($W332="","",INT(INDEX($L332:$Q332,$W332)))</f>
        <v/>
      </c>
      <c r="Y332" s="18">
        <f>IF(OR($W332="",$W332=6),"",WORKDAY($X332,CHOOSE($W332,3,3,2,2,3),Holidays))</f>
        <v/>
      </c>
      <c r="Z332" s="17">
        <f>IF(OR($W332="",$W332=6),"",CHOOSE($W332,"1st Email Follow-up","2nd Email Follow-up","Escalate Local Office","Escalate to CBE","Escalate to Roxanne"))</f>
        <v/>
      </c>
    </row>
    <row r="333" spans="18:26">
      <c r="R333" s="15"/>
      <c r="S333" s="16"/>
      <c r="T333" s="17">
        <f>IF(AND(COUNTA($A333:$K333)=0,$L333=""),"",IF($S333="Paid","PAID",IF($S333="Closed","CLOSED",IF($W333="","",IF($W333=6,"ESCALATED TO ROXANNE",IF(TODAY()&gt;$Y333,"OVERDUE",IF($Y333&lt;=WORKDAY(TODAY(),1,Holidays),"DUE TOMORROW",IF($W333=4,"ESCALATED TO LOCAL OFFICE",IF($W333=5,"ESCALATED TO CBE",IF($X333=TODAY(),"EMAIL SENT","MONITORING"))))))))))</f>
        <v/>
      </c>
      <c r="U333" s="17">
        <f>IF($T333="",IF(AND(COUNTA($A333:$K333)&gt;0,$L333=""),"Awaiting Collection Email time stamp.",""),IF(OR($T333="PAID",$T333="CLOSED"),IF($T333="PAID","Account paid. Action completed.","Account closed. No further action required."),CHOOSE($W333,"Collection Email","1st Email Follow-up","2nd Email Follow-up","Escalation to Local Office","Escalation to CBE","Escalation to Roxanne")&amp;" sent "&amp;TEXT($X333,"dd-mmm")&amp;". "&amp;IF($W333=6,"Final escalation completed.",IF($T333="OVERDUE","Next: "&amp;$Z333&amp;" was due "&amp;TEXT($Y333,"dd-mmm")&amp;" - "&amp;(NETWORKDAYS($Y333,TODAY(),Holidays)-1)&amp;" business day(s) late. Send now.",IF($T333="DUE TOMORROW","Next: "&amp;$Z333&amp;IF($Y333&lt;=TODAY()," is due TODAY ("," is due next business day (")&amp;TEXT($Y333,"dd-mmm")&amp;").","Next: "&amp;$Z333&amp;" due "&amp;TEXT($Y333,"dd-mmm")&amp;" ("&amp;(NETWORKDAYS(TODAY(),$Y333,Holidays)-1)&amp;" business day(s) left).")))))</f>
        <v/>
      </c>
      <c r="V333" s="17">
        <f>IF($W333="","",CHOOSE($W333,"Collection Email","1st Follow-up","2nd Follow-up","Local Office","CBE","Roxanne")&amp;IF($W333=6," - Final"," - Day "&amp;MAX(0,NETWORKDAYS($X333,TODAY(),Holidays)-1)&amp;" of "&amp;CHOOSE($W333,3,3,2,2,3))&amp;" | Total Day "&amp;MAX(0,NETWORKDAYS($L333,TODAY(),Holidays)-1))</f>
        <v/>
      </c>
      <c r="W333" s="17">
        <f>IF($L333="","",COUNT($L333:$Q333))</f>
        <v/>
      </c>
      <c r="X333" s="18">
        <f>IF($W333="","",INT(INDEX($L333:$Q333,$W333)))</f>
        <v/>
      </c>
      <c r="Y333" s="18">
        <f>IF(OR($W333="",$W333=6),"",WORKDAY($X333,CHOOSE($W333,3,3,2,2,3),Holidays))</f>
        <v/>
      </c>
      <c r="Z333" s="17">
        <f>IF(OR($W333="",$W333=6),"",CHOOSE($W333,"1st Email Follow-up","2nd Email Follow-up","Escalate Local Office","Escalate to CBE","Escalate to Roxanne"))</f>
        <v/>
      </c>
    </row>
    <row r="334" spans="18:26">
      <c r="R334" s="15"/>
      <c r="S334" s="16"/>
      <c r="T334" s="17">
        <f>IF(AND(COUNTA($A334:$K334)=0,$L334=""),"",IF($S334="Paid","PAID",IF($S334="Closed","CLOSED",IF($W334="","",IF($W334=6,"ESCALATED TO ROXANNE",IF(TODAY()&gt;$Y334,"OVERDUE",IF($Y334&lt;=WORKDAY(TODAY(),1,Holidays),"DUE TOMORROW",IF($W334=4,"ESCALATED TO LOCAL OFFICE",IF($W334=5,"ESCALATED TO CBE",IF($X334=TODAY(),"EMAIL SENT","MONITORING"))))))))))</f>
        <v/>
      </c>
      <c r="U334" s="17">
        <f>IF($T334="",IF(AND(COUNTA($A334:$K334)&gt;0,$L334=""),"Awaiting Collection Email time stamp.",""),IF(OR($T334="PAID",$T334="CLOSED"),IF($T334="PAID","Account paid. Action completed.","Account closed. No further action required."),CHOOSE($W334,"Collection Email","1st Email Follow-up","2nd Email Follow-up","Escalation to Local Office","Escalation to CBE","Escalation to Roxanne")&amp;" sent "&amp;TEXT($X334,"dd-mmm")&amp;". "&amp;IF($W334=6,"Final escalation completed.",IF($T334="OVERDUE","Next: "&amp;$Z334&amp;" was due "&amp;TEXT($Y334,"dd-mmm")&amp;" - "&amp;(NETWORKDAYS($Y334,TODAY(),Holidays)-1)&amp;" business day(s) late. Send now.",IF($T334="DUE TOMORROW","Next: "&amp;$Z334&amp;IF($Y334&lt;=TODAY()," is due TODAY ("," is due next business day (")&amp;TEXT($Y334,"dd-mmm")&amp;").","Next: "&amp;$Z334&amp;" due "&amp;TEXT($Y334,"dd-mmm")&amp;" ("&amp;(NETWORKDAYS(TODAY(),$Y334,Holidays)-1)&amp;" business day(s) left).")))))</f>
        <v/>
      </c>
      <c r="V334" s="17">
        <f>IF($W334="","",CHOOSE($W334,"Collection Email","1st Follow-up","2nd Follow-up","Local Office","CBE","Roxanne")&amp;IF($W334=6," - Final"," - Day "&amp;MAX(0,NETWORKDAYS($X334,TODAY(),Holidays)-1)&amp;" of "&amp;CHOOSE($W334,3,3,2,2,3))&amp;" | Total Day "&amp;MAX(0,NETWORKDAYS($L334,TODAY(),Holidays)-1))</f>
        <v/>
      </c>
      <c r="W334" s="17">
        <f>IF($L334="","",COUNT($L334:$Q334))</f>
        <v/>
      </c>
      <c r="X334" s="18">
        <f>IF($W334="","",INT(INDEX($L334:$Q334,$W334)))</f>
        <v/>
      </c>
      <c r="Y334" s="18">
        <f>IF(OR($W334="",$W334=6),"",WORKDAY($X334,CHOOSE($W334,3,3,2,2,3),Holidays))</f>
        <v/>
      </c>
      <c r="Z334" s="17">
        <f>IF(OR($W334="",$W334=6),"",CHOOSE($W334,"1st Email Follow-up","2nd Email Follow-up","Escalate Local Office","Escalate to CBE","Escalate to Roxanne"))</f>
        <v/>
      </c>
    </row>
    <row r="335" spans="18:26">
      <c r="R335" s="15"/>
      <c r="S335" s="16"/>
      <c r="T335" s="17">
        <f>IF(AND(COUNTA($A335:$K335)=0,$L335=""),"",IF($S335="Paid","PAID",IF($S335="Closed","CLOSED",IF($W335="","",IF($W335=6,"ESCALATED TO ROXANNE",IF(TODAY()&gt;$Y335,"OVERDUE",IF($Y335&lt;=WORKDAY(TODAY(),1,Holidays),"DUE TOMORROW",IF($W335=4,"ESCALATED TO LOCAL OFFICE",IF($W335=5,"ESCALATED TO CBE",IF($X335=TODAY(),"EMAIL SENT","MONITORING"))))))))))</f>
        <v/>
      </c>
      <c r="U335" s="17">
        <f>IF($T335="",IF(AND(COUNTA($A335:$K335)&gt;0,$L335=""),"Awaiting Collection Email time stamp.",""),IF(OR($T335="PAID",$T335="CLOSED"),IF($T335="PAID","Account paid. Action completed.","Account closed. No further action required."),CHOOSE($W335,"Collection Email","1st Email Follow-up","2nd Email Follow-up","Escalation to Local Office","Escalation to CBE","Escalation to Roxanne")&amp;" sent "&amp;TEXT($X335,"dd-mmm")&amp;". "&amp;IF($W335=6,"Final escalation completed.",IF($T335="OVERDUE","Next: "&amp;$Z335&amp;" was due "&amp;TEXT($Y335,"dd-mmm")&amp;" - "&amp;(NETWORKDAYS($Y335,TODAY(),Holidays)-1)&amp;" business day(s) late. Send now.",IF($T335="DUE TOMORROW","Next: "&amp;$Z335&amp;IF($Y335&lt;=TODAY()," is due TODAY ("," is due next business day (")&amp;TEXT($Y335,"dd-mmm")&amp;").","Next: "&amp;$Z335&amp;" due "&amp;TEXT($Y335,"dd-mmm")&amp;" ("&amp;(NETWORKDAYS(TODAY(),$Y335,Holidays)-1)&amp;" business day(s) left).")))))</f>
        <v/>
      </c>
      <c r="V335" s="17">
        <f>IF($W335="","",CHOOSE($W335,"Collection Email","1st Follow-up","2nd Follow-up","Local Office","CBE","Roxanne")&amp;IF($W335=6," - Final"," - Day "&amp;MAX(0,NETWORKDAYS($X335,TODAY(),Holidays)-1)&amp;" of "&amp;CHOOSE($W335,3,3,2,2,3))&amp;" | Total Day "&amp;MAX(0,NETWORKDAYS($L335,TODAY(),Holidays)-1))</f>
        <v/>
      </c>
      <c r="W335" s="17">
        <f>IF($L335="","",COUNT($L335:$Q335))</f>
        <v/>
      </c>
      <c r="X335" s="18">
        <f>IF($W335="","",INT(INDEX($L335:$Q335,$W335)))</f>
        <v/>
      </c>
      <c r="Y335" s="18">
        <f>IF(OR($W335="",$W335=6),"",WORKDAY($X335,CHOOSE($W335,3,3,2,2,3),Holidays))</f>
        <v/>
      </c>
      <c r="Z335" s="17">
        <f>IF(OR($W335="",$W335=6),"",CHOOSE($W335,"1st Email Follow-up","2nd Email Follow-up","Escalate Local Office","Escalate to CBE","Escalate to Roxanne"))</f>
        <v/>
      </c>
    </row>
    <row r="336" spans="18:26">
      <c r="R336" s="15"/>
      <c r="S336" s="16"/>
      <c r="T336" s="17">
        <f>IF(AND(COUNTA($A336:$K336)=0,$L336=""),"",IF($S336="Paid","PAID",IF($S336="Closed","CLOSED",IF($W336="","",IF($W336=6,"ESCALATED TO ROXANNE",IF(TODAY()&gt;$Y336,"OVERDUE",IF($Y336&lt;=WORKDAY(TODAY(),1,Holidays),"DUE TOMORROW",IF($W336=4,"ESCALATED TO LOCAL OFFICE",IF($W336=5,"ESCALATED TO CBE",IF($X336=TODAY(),"EMAIL SENT","MONITORING"))))))))))</f>
        <v/>
      </c>
      <c r="U336" s="17">
        <f>IF($T336="",IF(AND(COUNTA($A336:$K336)&gt;0,$L336=""),"Awaiting Collection Email time stamp.",""),IF(OR($T336="PAID",$T336="CLOSED"),IF($T336="PAID","Account paid. Action completed.","Account closed. No further action required."),CHOOSE($W336,"Collection Email","1st Email Follow-up","2nd Email Follow-up","Escalation to Local Office","Escalation to CBE","Escalation to Roxanne")&amp;" sent "&amp;TEXT($X336,"dd-mmm")&amp;". "&amp;IF($W336=6,"Final escalation completed.",IF($T336="OVERDUE","Next: "&amp;$Z336&amp;" was due "&amp;TEXT($Y336,"dd-mmm")&amp;" - "&amp;(NETWORKDAYS($Y336,TODAY(),Holidays)-1)&amp;" business day(s) late. Send now.",IF($T336="DUE TOMORROW","Next: "&amp;$Z336&amp;IF($Y336&lt;=TODAY()," is due TODAY ("," is due next business day (")&amp;TEXT($Y336,"dd-mmm")&amp;").","Next: "&amp;$Z336&amp;" due "&amp;TEXT($Y336,"dd-mmm")&amp;" ("&amp;(NETWORKDAYS(TODAY(),$Y336,Holidays)-1)&amp;" business day(s) left).")))))</f>
        <v/>
      </c>
      <c r="V336" s="17">
        <f>IF($W336="","",CHOOSE($W336,"Collection Email","1st Follow-up","2nd Follow-up","Local Office","CBE","Roxanne")&amp;IF($W336=6," - Final"," - Day "&amp;MAX(0,NETWORKDAYS($X336,TODAY(),Holidays)-1)&amp;" of "&amp;CHOOSE($W336,3,3,2,2,3))&amp;" | Total Day "&amp;MAX(0,NETWORKDAYS($L336,TODAY(),Holidays)-1))</f>
        <v/>
      </c>
      <c r="W336" s="17">
        <f>IF($L336="","",COUNT($L336:$Q336))</f>
        <v/>
      </c>
      <c r="X336" s="18">
        <f>IF($W336="","",INT(INDEX($L336:$Q336,$W336)))</f>
        <v/>
      </c>
      <c r="Y336" s="18">
        <f>IF(OR($W336="",$W336=6),"",WORKDAY($X336,CHOOSE($W336,3,3,2,2,3),Holidays))</f>
        <v/>
      </c>
      <c r="Z336" s="17">
        <f>IF(OR($W336="",$W336=6),"",CHOOSE($W336,"1st Email Follow-up","2nd Email Follow-up","Escalate Local Office","Escalate to CBE","Escalate to Roxanne"))</f>
        <v/>
      </c>
    </row>
    <row r="337" spans="18:26">
      <c r="R337" s="15"/>
      <c r="S337" s="16"/>
      <c r="T337" s="17">
        <f>IF(AND(COUNTA($A337:$K337)=0,$L337=""),"",IF($S337="Paid","PAID",IF($S337="Closed","CLOSED",IF($W337="","",IF($W337=6,"ESCALATED TO ROXANNE",IF(TODAY()&gt;$Y337,"OVERDUE",IF($Y337&lt;=WORKDAY(TODAY(),1,Holidays),"DUE TOMORROW",IF($W337=4,"ESCALATED TO LOCAL OFFICE",IF($W337=5,"ESCALATED TO CBE",IF($X337=TODAY(),"EMAIL SENT","MONITORING"))))))))))</f>
        <v/>
      </c>
      <c r="U337" s="17">
        <f>IF($T337="",IF(AND(COUNTA($A337:$K337)&gt;0,$L337=""),"Awaiting Collection Email time stamp.",""),IF(OR($T337="PAID",$T337="CLOSED"),IF($T337="PAID","Account paid. Action completed.","Account closed. No further action required."),CHOOSE($W337,"Collection Email","1st Email Follow-up","2nd Email Follow-up","Escalation to Local Office","Escalation to CBE","Escalation to Roxanne")&amp;" sent "&amp;TEXT($X337,"dd-mmm")&amp;". "&amp;IF($W337=6,"Final escalation completed.",IF($T337="OVERDUE","Next: "&amp;$Z337&amp;" was due "&amp;TEXT($Y337,"dd-mmm")&amp;" - "&amp;(NETWORKDAYS($Y337,TODAY(),Holidays)-1)&amp;" business day(s) late. Send now.",IF($T337="DUE TOMORROW","Next: "&amp;$Z337&amp;IF($Y337&lt;=TODAY()," is due TODAY ("," is due next business day (")&amp;TEXT($Y337,"dd-mmm")&amp;").","Next: "&amp;$Z337&amp;" due "&amp;TEXT($Y337,"dd-mmm")&amp;" ("&amp;(NETWORKDAYS(TODAY(),$Y337,Holidays)-1)&amp;" business day(s) left).")))))</f>
        <v/>
      </c>
      <c r="V337" s="17">
        <f>IF($W337="","",CHOOSE($W337,"Collection Email","1st Follow-up","2nd Follow-up","Local Office","CBE","Roxanne")&amp;IF($W337=6," - Final"," - Day "&amp;MAX(0,NETWORKDAYS($X337,TODAY(),Holidays)-1)&amp;" of "&amp;CHOOSE($W337,3,3,2,2,3))&amp;" | Total Day "&amp;MAX(0,NETWORKDAYS($L337,TODAY(),Holidays)-1))</f>
        <v/>
      </c>
      <c r="W337" s="17">
        <f>IF($L337="","",COUNT($L337:$Q337))</f>
        <v/>
      </c>
      <c r="X337" s="18">
        <f>IF($W337="","",INT(INDEX($L337:$Q337,$W337)))</f>
        <v/>
      </c>
      <c r="Y337" s="18">
        <f>IF(OR($W337="",$W337=6),"",WORKDAY($X337,CHOOSE($W337,3,3,2,2,3),Holidays))</f>
        <v/>
      </c>
      <c r="Z337" s="17">
        <f>IF(OR($W337="",$W337=6),"",CHOOSE($W337,"1st Email Follow-up","2nd Email Follow-up","Escalate Local Office","Escalate to CBE","Escalate to Roxanne"))</f>
        <v/>
      </c>
    </row>
    <row r="338" spans="18:26">
      <c r="R338" s="15"/>
      <c r="S338" s="16"/>
      <c r="T338" s="17">
        <f>IF(AND(COUNTA($A338:$K338)=0,$L338=""),"",IF($S338="Paid","PAID",IF($S338="Closed","CLOSED",IF($W338="","",IF($W338=6,"ESCALATED TO ROXANNE",IF(TODAY()&gt;$Y338,"OVERDUE",IF($Y338&lt;=WORKDAY(TODAY(),1,Holidays),"DUE TOMORROW",IF($W338=4,"ESCALATED TO LOCAL OFFICE",IF($W338=5,"ESCALATED TO CBE",IF($X338=TODAY(),"EMAIL SENT","MONITORING"))))))))))</f>
        <v/>
      </c>
      <c r="U338" s="17">
        <f>IF($T338="",IF(AND(COUNTA($A338:$K338)&gt;0,$L338=""),"Awaiting Collection Email time stamp.",""),IF(OR($T338="PAID",$T338="CLOSED"),IF($T338="PAID","Account paid. Action completed.","Account closed. No further action required."),CHOOSE($W338,"Collection Email","1st Email Follow-up","2nd Email Follow-up","Escalation to Local Office","Escalation to CBE","Escalation to Roxanne")&amp;" sent "&amp;TEXT($X338,"dd-mmm")&amp;". "&amp;IF($W338=6,"Final escalation completed.",IF($T338="OVERDUE","Next: "&amp;$Z338&amp;" was due "&amp;TEXT($Y338,"dd-mmm")&amp;" - "&amp;(NETWORKDAYS($Y338,TODAY(),Holidays)-1)&amp;" business day(s) late. Send now.",IF($T338="DUE TOMORROW","Next: "&amp;$Z338&amp;IF($Y338&lt;=TODAY()," is due TODAY ("," is due next business day (")&amp;TEXT($Y338,"dd-mmm")&amp;").","Next: "&amp;$Z338&amp;" due "&amp;TEXT($Y338,"dd-mmm")&amp;" ("&amp;(NETWORKDAYS(TODAY(),$Y338,Holidays)-1)&amp;" business day(s) left).")))))</f>
        <v/>
      </c>
      <c r="V338" s="17">
        <f>IF($W338="","",CHOOSE($W338,"Collection Email","1st Follow-up","2nd Follow-up","Local Office","CBE","Roxanne")&amp;IF($W338=6," - Final"," - Day "&amp;MAX(0,NETWORKDAYS($X338,TODAY(),Holidays)-1)&amp;" of "&amp;CHOOSE($W338,3,3,2,2,3))&amp;" | Total Day "&amp;MAX(0,NETWORKDAYS($L338,TODAY(),Holidays)-1))</f>
        <v/>
      </c>
      <c r="W338" s="17">
        <f>IF($L338="","",COUNT($L338:$Q338))</f>
        <v/>
      </c>
      <c r="X338" s="18">
        <f>IF($W338="","",INT(INDEX($L338:$Q338,$W338)))</f>
        <v/>
      </c>
      <c r="Y338" s="18">
        <f>IF(OR($W338="",$W338=6),"",WORKDAY($X338,CHOOSE($W338,3,3,2,2,3),Holidays))</f>
        <v/>
      </c>
      <c r="Z338" s="17">
        <f>IF(OR($W338="",$W338=6),"",CHOOSE($W338,"1st Email Follow-up","2nd Email Follow-up","Escalate Local Office","Escalate to CBE","Escalate to Roxanne"))</f>
        <v/>
      </c>
    </row>
    <row r="339" spans="18:26">
      <c r="R339" s="15"/>
      <c r="S339" s="16"/>
      <c r="T339" s="17">
        <f>IF(AND(COUNTA($A339:$K339)=0,$L339=""),"",IF($S339="Paid","PAID",IF($S339="Closed","CLOSED",IF($W339="","",IF($W339=6,"ESCALATED TO ROXANNE",IF(TODAY()&gt;$Y339,"OVERDUE",IF($Y339&lt;=WORKDAY(TODAY(),1,Holidays),"DUE TOMORROW",IF($W339=4,"ESCALATED TO LOCAL OFFICE",IF($W339=5,"ESCALATED TO CBE",IF($X339=TODAY(),"EMAIL SENT","MONITORING"))))))))))</f>
        <v/>
      </c>
      <c r="U339" s="17">
        <f>IF($T339="",IF(AND(COUNTA($A339:$K339)&gt;0,$L339=""),"Awaiting Collection Email time stamp.",""),IF(OR($T339="PAID",$T339="CLOSED"),IF($T339="PAID","Account paid. Action completed.","Account closed. No further action required."),CHOOSE($W339,"Collection Email","1st Email Follow-up","2nd Email Follow-up","Escalation to Local Office","Escalation to CBE","Escalation to Roxanne")&amp;" sent "&amp;TEXT($X339,"dd-mmm")&amp;". "&amp;IF($W339=6,"Final escalation completed.",IF($T339="OVERDUE","Next: "&amp;$Z339&amp;" was due "&amp;TEXT($Y339,"dd-mmm")&amp;" - "&amp;(NETWORKDAYS($Y339,TODAY(),Holidays)-1)&amp;" business day(s) late. Send now.",IF($T339="DUE TOMORROW","Next: "&amp;$Z339&amp;IF($Y339&lt;=TODAY()," is due TODAY ("," is due next business day (")&amp;TEXT($Y339,"dd-mmm")&amp;").","Next: "&amp;$Z339&amp;" due "&amp;TEXT($Y339,"dd-mmm")&amp;" ("&amp;(NETWORKDAYS(TODAY(),$Y339,Holidays)-1)&amp;" business day(s) left).")))))</f>
        <v/>
      </c>
      <c r="V339" s="17">
        <f>IF($W339="","",CHOOSE($W339,"Collection Email","1st Follow-up","2nd Follow-up","Local Office","CBE","Roxanne")&amp;IF($W339=6," - Final"," - Day "&amp;MAX(0,NETWORKDAYS($X339,TODAY(),Holidays)-1)&amp;" of "&amp;CHOOSE($W339,3,3,2,2,3))&amp;" | Total Day "&amp;MAX(0,NETWORKDAYS($L339,TODAY(),Holidays)-1))</f>
        <v/>
      </c>
      <c r="W339" s="17">
        <f>IF($L339="","",COUNT($L339:$Q339))</f>
        <v/>
      </c>
      <c r="X339" s="18">
        <f>IF($W339="","",INT(INDEX($L339:$Q339,$W339)))</f>
        <v/>
      </c>
      <c r="Y339" s="18">
        <f>IF(OR($W339="",$W339=6),"",WORKDAY($X339,CHOOSE($W339,3,3,2,2,3),Holidays))</f>
        <v/>
      </c>
      <c r="Z339" s="17">
        <f>IF(OR($W339="",$W339=6),"",CHOOSE($W339,"1st Email Follow-up","2nd Email Follow-up","Escalate Local Office","Escalate to CBE","Escalate to Roxanne"))</f>
        <v/>
      </c>
    </row>
    <row r="340" spans="18:26">
      <c r="R340" s="15"/>
      <c r="S340" s="16"/>
      <c r="T340" s="17">
        <f>IF(AND(COUNTA($A340:$K340)=0,$L340=""),"",IF($S340="Paid","PAID",IF($S340="Closed","CLOSED",IF($W340="","",IF($W340=6,"ESCALATED TO ROXANNE",IF(TODAY()&gt;$Y340,"OVERDUE",IF($Y340&lt;=WORKDAY(TODAY(),1,Holidays),"DUE TOMORROW",IF($W340=4,"ESCALATED TO LOCAL OFFICE",IF($W340=5,"ESCALATED TO CBE",IF($X340=TODAY(),"EMAIL SENT","MONITORING"))))))))))</f>
        <v/>
      </c>
      <c r="U340" s="17">
        <f>IF($T340="",IF(AND(COUNTA($A340:$K340)&gt;0,$L340=""),"Awaiting Collection Email time stamp.",""),IF(OR($T340="PAID",$T340="CLOSED"),IF($T340="PAID","Account paid. Action completed.","Account closed. No further action required."),CHOOSE($W340,"Collection Email","1st Email Follow-up","2nd Email Follow-up","Escalation to Local Office","Escalation to CBE","Escalation to Roxanne")&amp;" sent "&amp;TEXT($X340,"dd-mmm")&amp;". "&amp;IF($W340=6,"Final escalation completed.",IF($T340="OVERDUE","Next: "&amp;$Z340&amp;" was due "&amp;TEXT($Y340,"dd-mmm")&amp;" - "&amp;(NETWORKDAYS($Y340,TODAY(),Holidays)-1)&amp;" business day(s) late. Send now.",IF($T340="DUE TOMORROW","Next: "&amp;$Z340&amp;IF($Y340&lt;=TODAY()," is due TODAY ("," is due next business day (")&amp;TEXT($Y340,"dd-mmm")&amp;").","Next: "&amp;$Z340&amp;" due "&amp;TEXT($Y340,"dd-mmm")&amp;" ("&amp;(NETWORKDAYS(TODAY(),$Y340,Holidays)-1)&amp;" business day(s) left).")))))</f>
        <v/>
      </c>
      <c r="V340" s="17">
        <f>IF($W340="","",CHOOSE($W340,"Collection Email","1st Follow-up","2nd Follow-up","Local Office","CBE","Roxanne")&amp;IF($W340=6," - Final"," - Day "&amp;MAX(0,NETWORKDAYS($X340,TODAY(),Holidays)-1)&amp;" of "&amp;CHOOSE($W340,3,3,2,2,3))&amp;" | Total Day "&amp;MAX(0,NETWORKDAYS($L340,TODAY(),Holidays)-1))</f>
        <v/>
      </c>
      <c r="W340" s="17">
        <f>IF($L340="","",COUNT($L340:$Q340))</f>
        <v/>
      </c>
      <c r="X340" s="18">
        <f>IF($W340="","",INT(INDEX($L340:$Q340,$W340)))</f>
        <v/>
      </c>
      <c r="Y340" s="18">
        <f>IF(OR($W340="",$W340=6),"",WORKDAY($X340,CHOOSE($W340,3,3,2,2,3),Holidays))</f>
        <v/>
      </c>
      <c r="Z340" s="17">
        <f>IF(OR($W340="",$W340=6),"",CHOOSE($W340,"1st Email Follow-up","2nd Email Follow-up","Escalate Local Office","Escalate to CBE","Escalate to Roxanne"))</f>
        <v/>
      </c>
    </row>
    <row r="341" spans="18:26">
      <c r="R341" s="15"/>
      <c r="S341" s="16"/>
      <c r="T341" s="17">
        <f>IF(AND(COUNTA($A341:$K341)=0,$L341=""),"",IF($S341="Paid","PAID",IF($S341="Closed","CLOSED",IF($W341="","",IF($W341=6,"ESCALATED TO ROXANNE",IF(TODAY()&gt;$Y341,"OVERDUE",IF($Y341&lt;=WORKDAY(TODAY(),1,Holidays),"DUE TOMORROW",IF($W341=4,"ESCALATED TO LOCAL OFFICE",IF($W341=5,"ESCALATED TO CBE",IF($X341=TODAY(),"EMAIL SENT","MONITORING"))))))))))</f>
        <v/>
      </c>
      <c r="U341" s="17">
        <f>IF($T341="",IF(AND(COUNTA($A341:$K341)&gt;0,$L341=""),"Awaiting Collection Email time stamp.",""),IF(OR($T341="PAID",$T341="CLOSED"),IF($T341="PAID","Account paid. Action completed.","Account closed. No further action required."),CHOOSE($W341,"Collection Email","1st Email Follow-up","2nd Email Follow-up","Escalation to Local Office","Escalation to CBE","Escalation to Roxanne")&amp;" sent "&amp;TEXT($X341,"dd-mmm")&amp;". "&amp;IF($W341=6,"Final escalation completed.",IF($T341="OVERDUE","Next: "&amp;$Z341&amp;" was due "&amp;TEXT($Y341,"dd-mmm")&amp;" - "&amp;(NETWORKDAYS($Y341,TODAY(),Holidays)-1)&amp;" business day(s) late. Send now.",IF($T341="DUE TOMORROW","Next: "&amp;$Z341&amp;IF($Y341&lt;=TODAY()," is due TODAY ("," is due next business day (")&amp;TEXT($Y341,"dd-mmm")&amp;").","Next: "&amp;$Z341&amp;" due "&amp;TEXT($Y341,"dd-mmm")&amp;" ("&amp;(NETWORKDAYS(TODAY(),$Y341,Holidays)-1)&amp;" business day(s) left).")))))</f>
        <v/>
      </c>
      <c r="V341" s="17">
        <f>IF($W341="","",CHOOSE($W341,"Collection Email","1st Follow-up","2nd Follow-up","Local Office","CBE","Roxanne")&amp;IF($W341=6," - Final"," - Day "&amp;MAX(0,NETWORKDAYS($X341,TODAY(),Holidays)-1)&amp;" of "&amp;CHOOSE($W341,3,3,2,2,3))&amp;" | Total Day "&amp;MAX(0,NETWORKDAYS($L341,TODAY(),Holidays)-1))</f>
        <v/>
      </c>
      <c r="W341" s="17">
        <f>IF($L341="","",COUNT($L341:$Q341))</f>
        <v/>
      </c>
      <c r="X341" s="18">
        <f>IF($W341="","",INT(INDEX($L341:$Q341,$W341)))</f>
        <v/>
      </c>
      <c r="Y341" s="18">
        <f>IF(OR($W341="",$W341=6),"",WORKDAY($X341,CHOOSE($W341,3,3,2,2,3),Holidays))</f>
        <v/>
      </c>
      <c r="Z341" s="17">
        <f>IF(OR($W341="",$W341=6),"",CHOOSE($W341,"1st Email Follow-up","2nd Email Follow-up","Escalate Local Office","Escalate to CBE","Escalate to Roxanne"))</f>
        <v/>
      </c>
    </row>
    <row r="342" spans="18:26">
      <c r="R342" s="15"/>
      <c r="S342" s="16"/>
      <c r="T342" s="17">
        <f>IF(AND(COUNTA($A342:$K342)=0,$L342=""),"",IF($S342="Paid","PAID",IF($S342="Closed","CLOSED",IF($W342="","",IF($W342=6,"ESCALATED TO ROXANNE",IF(TODAY()&gt;$Y342,"OVERDUE",IF($Y342&lt;=WORKDAY(TODAY(),1,Holidays),"DUE TOMORROW",IF($W342=4,"ESCALATED TO LOCAL OFFICE",IF($W342=5,"ESCALATED TO CBE",IF($X342=TODAY(),"EMAIL SENT","MONITORING"))))))))))</f>
        <v/>
      </c>
      <c r="U342" s="17">
        <f>IF($T342="",IF(AND(COUNTA($A342:$K342)&gt;0,$L342=""),"Awaiting Collection Email time stamp.",""),IF(OR($T342="PAID",$T342="CLOSED"),IF($T342="PAID","Account paid. Action completed.","Account closed. No further action required."),CHOOSE($W342,"Collection Email","1st Email Follow-up","2nd Email Follow-up","Escalation to Local Office","Escalation to CBE","Escalation to Roxanne")&amp;" sent "&amp;TEXT($X342,"dd-mmm")&amp;". "&amp;IF($W342=6,"Final escalation completed.",IF($T342="OVERDUE","Next: "&amp;$Z342&amp;" was due "&amp;TEXT($Y342,"dd-mmm")&amp;" - "&amp;(NETWORKDAYS($Y342,TODAY(),Holidays)-1)&amp;" business day(s) late. Send now.",IF($T342="DUE TOMORROW","Next: "&amp;$Z342&amp;IF($Y342&lt;=TODAY()," is due TODAY ("," is due next business day (")&amp;TEXT($Y342,"dd-mmm")&amp;").","Next: "&amp;$Z342&amp;" due "&amp;TEXT($Y342,"dd-mmm")&amp;" ("&amp;(NETWORKDAYS(TODAY(),$Y342,Holidays)-1)&amp;" business day(s) left).")))))</f>
        <v/>
      </c>
      <c r="V342" s="17">
        <f>IF($W342="","",CHOOSE($W342,"Collection Email","1st Follow-up","2nd Follow-up","Local Office","CBE","Roxanne")&amp;IF($W342=6," - Final"," - Day "&amp;MAX(0,NETWORKDAYS($X342,TODAY(),Holidays)-1)&amp;" of "&amp;CHOOSE($W342,3,3,2,2,3))&amp;" | Total Day "&amp;MAX(0,NETWORKDAYS($L342,TODAY(),Holidays)-1))</f>
        <v/>
      </c>
      <c r="W342" s="17">
        <f>IF($L342="","",COUNT($L342:$Q342))</f>
        <v/>
      </c>
      <c r="X342" s="18">
        <f>IF($W342="","",INT(INDEX($L342:$Q342,$W342)))</f>
        <v/>
      </c>
      <c r="Y342" s="18">
        <f>IF(OR($W342="",$W342=6),"",WORKDAY($X342,CHOOSE($W342,3,3,2,2,3),Holidays))</f>
        <v/>
      </c>
      <c r="Z342" s="17">
        <f>IF(OR($W342="",$W342=6),"",CHOOSE($W342,"1st Email Follow-up","2nd Email Follow-up","Escalate Local Office","Escalate to CBE","Escalate to Roxanne"))</f>
        <v/>
      </c>
    </row>
    <row r="343" spans="18:26">
      <c r="R343" s="15"/>
      <c r="S343" s="16"/>
      <c r="T343" s="17">
        <f>IF(AND(COUNTA($A343:$K343)=0,$L343=""),"",IF($S343="Paid","PAID",IF($S343="Closed","CLOSED",IF($W343="","",IF($W343=6,"ESCALATED TO ROXANNE",IF(TODAY()&gt;$Y343,"OVERDUE",IF($Y343&lt;=WORKDAY(TODAY(),1,Holidays),"DUE TOMORROW",IF($W343=4,"ESCALATED TO LOCAL OFFICE",IF($W343=5,"ESCALATED TO CBE",IF($X343=TODAY(),"EMAIL SENT","MONITORING"))))))))))</f>
        <v/>
      </c>
      <c r="U343" s="17">
        <f>IF($T343="",IF(AND(COUNTA($A343:$K343)&gt;0,$L343=""),"Awaiting Collection Email time stamp.",""),IF(OR($T343="PAID",$T343="CLOSED"),IF($T343="PAID","Account paid. Action completed.","Account closed. No further action required."),CHOOSE($W343,"Collection Email","1st Email Follow-up","2nd Email Follow-up","Escalation to Local Office","Escalation to CBE","Escalation to Roxanne")&amp;" sent "&amp;TEXT($X343,"dd-mmm")&amp;". "&amp;IF($W343=6,"Final escalation completed.",IF($T343="OVERDUE","Next: "&amp;$Z343&amp;" was due "&amp;TEXT($Y343,"dd-mmm")&amp;" - "&amp;(NETWORKDAYS($Y343,TODAY(),Holidays)-1)&amp;" business day(s) late. Send now.",IF($T343="DUE TOMORROW","Next: "&amp;$Z343&amp;IF($Y343&lt;=TODAY()," is due TODAY ("," is due next business day (")&amp;TEXT($Y343,"dd-mmm")&amp;").","Next: "&amp;$Z343&amp;" due "&amp;TEXT($Y343,"dd-mmm")&amp;" ("&amp;(NETWORKDAYS(TODAY(),$Y343,Holidays)-1)&amp;" business day(s) left).")))))</f>
        <v/>
      </c>
      <c r="V343" s="17">
        <f>IF($W343="","",CHOOSE($W343,"Collection Email","1st Follow-up","2nd Follow-up","Local Office","CBE","Roxanne")&amp;IF($W343=6," - Final"," - Day "&amp;MAX(0,NETWORKDAYS($X343,TODAY(),Holidays)-1)&amp;" of "&amp;CHOOSE($W343,3,3,2,2,3))&amp;" | Total Day "&amp;MAX(0,NETWORKDAYS($L343,TODAY(),Holidays)-1))</f>
        <v/>
      </c>
      <c r="W343" s="17">
        <f>IF($L343="","",COUNT($L343:$Q343))</f>
        <v/>
      </c>
      <c r="X343" s="18">
        <f>IF($W343="","",INT(INDEX($L343:$Q343,$W343)))</f>
        <v/>
      </c>
      <c r="Y343" s="18">
        <f>IF(OR($W343="",$W343=6),"",WORKDAY($X343,CHOOSE($W343,3,3,2,2,3),Holidays))</f>
        <v/>
      </c>
      <c r="Z343" s="17">
        <f>IF(OR($W343="",$W343=6),"",CHOOSE($W343,"1st Email Follow-up","2nd Email Follow-up","Escalate Local Office","Escalate to CBE","Escalate to Roxanne"))</f>
        <v/>
      </c>
    </row>
    <row r="344" spans="18:26">
      <c r="R344" s="15"/>
      <c r="S344" s="16"/>
      <c r="T344" s="17">
        <f>IF(AND(COUNTA($A344:$K344)=0,$L344=""),"",IF($S344="Paid","PAID",IF($S344="Closed","CLOSED",IF($W344="","",IF($W344=6,"ESCALATED TO ROXANNE",IF(TODAY()&gt;$Y344,"OVERDUE",IF($Y344&lt;=WORKDAY(TODAY(),1,Holidays),"DUE TOMORROW",IF($W344=4,"ESCALATED TO LOCAL OFFICE",IF($W344=5,"ESCALATED TO CBE",IF($X344=TODAY(),"EMAIL SENT","MONITORING"))))))))))</f>
        <v/>
      </c>
      <c r="U344" s="17">
        <f>IF($T344="",IF(AND(COUNTA($A344:$K344)&gt;0,$L344=""),"Awaiting Collection Email time stamp.",""),IF(OR($T344="PAID",$T344="CLOSED"),IF($T344="PAID","Account paid. Action completed.","Account closed. No further action required."),CHOOSE($W344,"Collection Email","1st Email Follow-up","2nd Email Follow-up","Escalation to Local Office","Escalation to CBE","Escalation to Roxanne")&amp;" sent "&amp;TEXT($X344,"dd-mmm")&amp;". "&amp;IF($W344=6,"Final escalation completed.",IF($T344="OVERDUE","Next: "&amp;$Z344&amp;" was due "&amp;TEXT($Y344,"dd-mmm")&amp;" - "&amp;(NETWORKDAYS($Y344,TODAY(),Holidays)-1)&amp;" business day(s) late. Send now.",IF($T344="DUE TOMORROW","Next: "&amp;$Z344&amp;IF($Y344&lt;=TODAY()," is due TODAY ("," is due next business day (")&amp;TEXT($Y344,"dd-mmm")&amp;").","Next: "&amp;$Z344&amp;" due "&amp;TEXT($Y344,"dd-mmm")&amp;" ("&amp;(NETWORKDAYS(TODAY(),$Y344,Holidays)-1)&amp;" business day(s) left).")))))</f>
        <v/>
      </c>
      <c r="V344" s="17">
        <f>IF($W344="","",CHOOSE($W344,"Collection Email","1st Follow-up","2nd Follow-up","Local Office","CBE","Roxanne")&amp;IF($W344=6," - Final"," - Day "&amp;MAX(0,NETWORKDAYS($X344,TODAY(),Holidays)-1)&amp;" of "&amp;CHOOSE($W344,3,3,2,2,3))&amp;" | Total Day "&amp;MAX(0,NETWORKDAYS($L344,TODAY(),Holidays)-1))</f>
        <v/>
      </c>
      <c r="W344" s="17">
        <f>IF($L344="","",COUNT($L344:$Q344))</f>
        <v/>
      </c>
      <c r="X344" s="18">
        <f>IF($W344="","",INT(INDEX($L344:$Q344,$W344)))</f>
        <v/>
      </c>
      <c r="Y344" s="18">
        <f>IF(OR($W344="",$W344=6),"",WORKDAY($X344,CHOOSE($W344,3,3,2,2,3),Holidays))</f>
        <v/>
      </c>
      <c r="Z344" s="17">
        <f>IF(OR($W344="",$W344=6),"",CHOOSE($W344,"1st Email Follow-up","2nd Email Follow-up","Escalate Local Office","Escalate to CBE","Escalate to Roxanne"))</f>
        <v/>
      </c>
    </row>
    <row r="345" spans="18:26">
      <c r="R345" s="15"/>
      <c r="S345" s="16"/>
      <c r="T345" s="17">
        <f>IF(AND(COUNTA($A345:$K345)=0,$L345=""),"",IF($S345="Paid","PAID",IF($S345="Closed","CLOSED",IF($W345="","",IF($W345=6,"ESCALATED TO ROXANNE",IF(TODAY()&gt;$Y345,"OVERDUE",IF($Y345&lt;=WORKDAY(TODAY(),1,Holidays),"DUE TOMORROW",IF($W345=4,"ESCALATED TO LOCAL OFFICE",IF($W345=5,"ESCALATED TO CBE",IF($X345=TODAY(),"EMAIL SENT","MONITORING"))))))))))</f>
        <v/>
      </c>
      <c r="U345" s="17">
        <f>IF($T345="",IF(AND(COUNTA($A345:$K345)&gt;0,$L345=""),"Awaiting Collection Email time stamp.",""),IF(OR($T345="PAID",$T345="CLOSED"),IF($T345="PAID","Account paid. Action completed.","Account closed. No further action required."),CHOOSE($W345,"Collection Email","1st Email Follow-up","2nd Email Follow-up","Escalation to Local Office","Escalation to CBE","Escalation to Roxanne")&amp;" sent "&amp;TEXT($X345,"dd-mmm")&amp;". "&amp;IF($W345=6,"Final escalation completed.",IF($T345="OVERDUE","Next: "&amp;$Z345&amp;" was due "&amp;TEXT($Y345,"dd-mmm")&amp;" - "&amp;(NETWORKDAYS($Y345,TODAY(),Holidays)-1)&amp;" business day(s) late. Send now.",IF($T345="DUE TOMORROW","Next: "&amp;$Z345&amp;IF($Y345&lt;=TODAY()," is due TODAY ("," is due next business day (")&amp;TEXT($Y345,"dd-mmm")&amp;").","Next: "&amp;$Z345&amp;" due "&amp;TEXT($Y345,"dd-mmm")&amp;" ("&amp;(NETWORKDAYS(TODAY(),$Y345,Holidays)-1)&amp;" business day(s) left).")))))</f>
        <v/>
      </c>
      <c r="V345" s="17">
        <f>IF($W345="","",CHOOSE($W345,"Collection Email","1st Follow-up","2nd Follow-up","Local Office","CBE","Roxanne")&amp;IF($W345=6," - Final"," - Day "&amp;MAX(0,NETWORKDAYS($X345,TODAY(),Holidays)-1)&amp;" of "&amp;CHOOSE($W345,3,3,2,2,3))&amp;" | Total Day "&amp;MAX(0,NETWORKDAYS($L345,TODAY(),Holidays)-1))</f>
        <v/>
      </c>
      <c r="W345" s="17">
        <f>IF($L345="","",COUNT($L345:$Q345))</f>
        <v/>
      </c>
      <c r="X345" s="18">
        <f>IF($W345="","",INT(INDEX($L345:$Q345,$W345)))</f>
        <v/>
      </c>
      <c r="Y345" s="18">
        <f>IF(OR($W345="",$W345=6),"",WORKDAY($X345,CHOOSE($W345,3,3,2,2,3),Holidays))</f>
        <v/>
      </c>
      <c r="Z345" s="17">
        <f>IF(OR($W345="",$W345=6),"",CHOOSE($W345,"1st Email Follow-up","2nd Email Follow-up","Escalate Local Office","Escalate to CBE","Escalate to Roxanne"))</f>
        <v/>
      </c>
    </row>
    <row r="346" spans="18:26">
      <c r="R346" s="15"/>
      <c r="S346" s="16"/>
      <c r="T346" s="17">
        <f>IF(AND(COUNTA($A346:$K346)=0,$L346=""),"",IF($S346="Paid","PAID",IF($S346="Closed","CLOSED",IF($W346="","",IF($W346=6,"ESCALATED TO ROXANNE",IF(TODAY()&gt;$Y346,"OVERDUE",IF($Y346&lt;=WORKDAY(TODAY(),1,Holidays),"DUE TOMORROW",IF($W346=4,"ESCALATED TO LOCAL OFFICE",IF($W346=5,"ESCALATED TO CBE",IF($X346=TODAY(),"EMAIL SENT","MONITORING"))))))))))</f>
        <v/>
      </c>
      <c r="U346" s="17">
        <f>IF($T346="",IF(AND(COUNTA($A346:$K346)&gt;0,$L346=""),"Awaiting Collection Email time stamp.",""),IF(OR($T346="PAID",$T346="CLOSED"),IF($T346="PAID","Account paid. Action completed.","Account closed. No further action required."),CHOOSE($W346,"Collection Email","1st Email Follow-up","2nd Email Follow-up","Escalation to Local Office","Escalation to CBE","Escalation to Roxanne")&amp;" sent "&amp;TEXT($X346,"dd-mmm")&amp;". "&amp;IF($W346=6,"Final escalation completed.",IF($T346="OVERDUE","Next: "&amp;$Z346&amp;" was due "&amp;TEXT($Y346,"dd-mmm")&amp;" - "&amp;(NETWORKDAYS($Y346,TODAY(),Holidays)-1)&amp;" business day(s) late. Send now.",IF($T346="DUE TOMORROW","Next: "&amp;$Z346&amp;IF($Y346&lt;=TODAY()," is due TODAY ("," is due next business day (")&amp;TEXT($Y346,"dd-mmm")&amp;").","Next: "&amp;$Z346&amp;" due "&amp;TEXT($Y346,"dd-mmm")&amp;" ("&amp;(NETWORKDAYS(TODAY(),$Y346,Holidays)-1)&amp;" business day(s) left).")))))</f>
        <v/>
      </c>
      <c r="V346" s="17">
        <f>IF($W346="","",CHOOSE($W346,"Collection Email","1st Follow-up","2nd Follow-up","Local Office","CBE","Roxanne")&amp;IF($W346=6," - Final"," - Day "&amp;MAX(0,NETWORKDAYS($X346,TODAY(),Holidays)-1)&amp;" of "&amp;CHOOSE($W346,3,3,2,2,3))&amp;" | Total Day "&amp;MAX(0,NETWORKDAYS($L346,TODAY(),Holidays)-1))</f>
        <v/>
      </c>
      <c r="W346" s="17">
        <f>IF($L346="","",COUNT($L346:$Q346))</f>
        <v/>
      </c>
      <c r="X346" s="18">
        <f>IF($W346="","",INT(INDEX($L346:$Q346,$W346)))</f>
        <v/>
      </c>
      <c r="Y346" s="18">
        <f>IF(OR($W346="",$W346=6),"",WORKDAY($X346,CHOOSE($W346,3,3,2,2,3),Holidays))</f>
        <v/>
      </c>
      <c r="Z346" s="17">
        <f>IF(OR($W346="",$W346=6),"",CHOOSE($W346,"1st Email Follow-up","2nd Email Follow-up","Escalate Local Office","Escalate to CBE","Escalate to Roxanne"))</f>
        <v/>
      </c>
    </row>
    <row r="347" spans="18:26">
      <c r="R347" s="15"/>
      <c r="S347" s="16"/>
      <c r="T347" s="17">
        <f>IF(AND(COUNTA($A347:$K347)=0,$L347=""),"",IF($S347="Paid","PAID",IF($S347="Closed","CLOSED",IF($W347="","",IF($W347=6,"ESCALATED TO ROXANNE",IF(TODAY()&gt;$Y347,"OVERDUE",IF($Y347&lt;=WORKDAY(TODAY(),1,Holidays),"DUE TOMORROW",IF($W347=4,"ESCALATED TO LOCAL OFFICE",IF($W347=5,"ESCALATED TO CBE",IF($X347=TODAY(),"EMAIL SENT","MONITORING"))))))))))</f>
        <v/>
      </c>
      <c r="U347" s="17">
        <f>IF($T347="",IF(AND(COUNTA($A347:$K347)&gt;0,$L347=""),"Awaiting Collection Email time stamp.",""),IF(OR($T347="PAID",$T347="CLOSED"),IF($T347="PAID","Account paid. Action completed.","Account closed. No further action required."),CHOOSE($W347,"Collection Email","1st Email Follow-up","2nd Email Follow-up","Escalation to Local Office","Escalation to CBE","Escalation to Roxanne")&amp;" sent "&amp;TEXT($X347,"dd-mmm")&amp;". "&amp;IF($W347=6,"Final escalation completed.",IF($T347="OVERDUE","Next: "&amp;$Z347&amp;" was due "&amp;TEXT($Y347,"dd-mmm")&amp;" - "&amp;(NETWORKDAYS($Y347,TODAY(),Holidays)-1)&amp;" business day(s) late. Send now.",IF($T347="DUE TOMORROW","Next: "&amp;$Z347&amp;IF($Y347&lt;=TODAY()," is due TODAY ("," is due next business day (")&amp;TEXT($Y347,"dd-mmm")&amp;").","Next: "&amp;$Z347&amp;" due "&amp;TEXT($Y347,"dd-mmm")&amp;" ("&amp;(NETWORKDAYS(TODAY(),$Y347,Holidays)-1)&amp;" business day(s) left).")))))</f>
        <v/>
      </c>
      <c r="V347" s="17">
        <f>IF($W347="","",CHOOSE($W347,"Collection Email","1st Follow-up","2nd Follow-up","Local Office","CBE","Roxanne")&amp;IF($W347=6," - Final"," - Day "&amp;MAX(0,NETWORKDAYS($X347,TODAY(),Holidays)-1)&amp;" of "&amp;CHOOSE($W347,3,3,2,2,3))&amp;" | Total Day "&amp;MAX(0,NETWORKDAYS($L347,TODAY(),Holidays)-1))</f>
        <v/>
      </c>
      <c r="W347" s="17">
        <f>IF($L347="","",COUNT($L347:$Q347))</f>
        <v/>
      </c>
      <c r="X347" s="18">
        <f>IF($W347="","",INT(INDEX($L347:$Q347,$W347)))</f>
        <v/>
      </c>
      <c r="Y347" s="18">
        <f>IF(OR($W347="",$W347=6),"",WORKDAY($X347,CHOOSE($W347,3,3,2,2,3),Holidays))</f>
        <v/>
      </c>
      <c r="Z347" s="17">
        <f>IF(OR($W347="",$W347=6),"",CHOOSE($W347,"1st Email Follow-up","2nd Email Follow-up","Escalate Local Office","Escalate to CBE","Escalate to Roxanne"))</f>
        <v/>
      </c>
    </row>
    <row r="348" spans="18:26">
      <c r="R348" s="15"/>
      <c r="S348" s="16"/>
      <c r="T348" s="17">
        <f>IF(AND(COUNTA($A348:$K348)=0,$L348=""),"",IF($S348="Paid","PAID",IF($S348="Closed","CLOSED",IF($W348="","",IF($W348=6,"ESCALATED TO ROXANNE",IF(TODAY()&gt;$Y348,"OVERDUE",IF($Y348&lt;=WORKDAY(TODAY(),1,Holidays),"DUE TOMORROW",IF($W348=4,"ESCALATED TO LOCAL OFFICE",IF($W348=5,"ESCALATED TO CBE",IF($X348=TODAY(),"EMAIL SENT","MONITORING"))))))))))</f>
        <v/>
      </c>
      <c r="U348" s="17">
        <f>IF($T348="",IF(AND(COUNTA($A348:$K348)&gt;0,$L348=""),"Awaiting Collection Email time stamp.",""),IF(OR($T348="PAID",$T348="CLOSED"),IF($T348="PAID","Account paid. Action completed.","Account closed. No further action required."),CHOOSE($W348,"Collection Email","1st Email Follow-up","2nd Email Follow-up","Escalation to Local Office","Escalation to CBE","Escalation to Roxanne")&amp;" sent "&amp;TEXT($X348,"dd-mmm")&amp;". "&amp;IF($W348=6,"Final escalation completed.",IF($T348="OVERDUE","Next: "&amp;$Z348&amp;" was due "&amp;TEXT($Y348,"dd-mmm")&amp;" - "&amp;(NETWORKDAYS($Y348,TODAY(),Holidays)-1)&amp;" business day(s) late. Send now.",IF($T348="DUE TOMORROW","Next: "&amp;$Z348&amp;IF($Y348&lt;=TODAY()," is due TODAY ("," is due next business day (")&amp;TEXT($Y348,"dd-mmm")&amp;").","Next: "&amp;$Z348&amp;" due "&amp;TEXT($Y348,"dd-mmm")&amp;" ("&amp;(NETWORKDAYS(TODAY(),$Y348,Holidays)-1)&amp;" business day(s) left).")))))</f>
        <v/>
      </c>
      <c r="V348" s="17">
        <f>IF($W348="","",CHOOSE($W348,"Collection Email","1st Follow-up","2nd Follow-up","Local Office","CBE","Roxanne")&amp;IF($W348=6," - Final"," - Day "&amp;MAX(0,NETWORKDAYS($X348,TODAY(),Holidays)-1)&amp;" of "&amp;CHOOSE($W348,3,3,2,2,3))&amp;" | Total Day "&amp;MAX(0,NETWORKDAYS($L348,TODAY(),Holidays)-1))</f>
        <v/>
      </c>
      <c r="W348" s="17">
        <f>IF($L348="","",COUNT($L348:$Q348))</f>
        <v/>
      </c>
      <c r="X348" s="18">
        <f>IF($W348="","",INT(INDEX($L348:$Q348,$W348)))</f>
        <v/>
      </c>
      <c r="Y348" s="18">
        <f>IF(OR($W348="",$W348=6),"",WORKDAY($X348,CHOOSE($W348,3,3,2,2,3),Holidays))</f>
        <v/>
      </c>
      <c r="Z348" s="17">
        <f>IF(OR($W348="",$W348=6),"",CHOOSE($W348,"1st Email Follow-up","2nd Email Follow-up","Escalate Local Office","Escalate to CBE","Escalate to Roxanne"))</f>
        <v/>
      </c>
    </row>
    <row r="349" spans="18:26">
      <c r="R349" s="15"/>
      <c r="S349" s="16"/>
      <c r="T349" s="17">
        <f>IF(AND(COUNTA($A349:$K349)=0,$L349=""),"",IF($S349="Paid","PAID",IF($S349="Closed","CLOSED",IF($W349="","",IF($W349=6,"ESCALATED TO ROXANNE",IF(TODAY()&gt;$Y349,"OVERDUE",IF($Y349&lt;=WORKDAY(TODAY(),1,Holidays),"DUE TOMORROW",IF($W349=4,"ESCALATED TO LOCAL OFFICE",IF($W349=5,"ESCALATED TO CBE",IF($X349=TODAY(),"EMAIL SENT","MONITORING"))))))))))</f>
        <v/>
      </c>
      <c r="U349" s="17">
        <f>IF($T349="",IF(AND(COUNTA($A349:$K349)&gt;0,$L349=""),"Awaiting Collection Email time stamp.",""),IF(OR($T349="PAID",$T349="CLOSED"),IF($T349="PAID","Account paid. Action completed.","Account closed. No further action required."),CHOOSE($W349,"Collection Email","1st Email Follow-up","2nd Email Follow-up","Escalation to Local Office","Escalation to CBE","Escalation to Roxanne")&amp;" sent "&amp;TEXT($X349,"dd-mmm")&amp;". "&amp;IF($W349=6,"Final escalation completed.",IF($T349="OVERDUE","Next: "&amp;$Z349&amp;" was due "&amp;TEXT($Y349,"dd-mmm")&amp;" - "&amp;(NETWORKDAYS($Y349,TODAY(),Holidays)-1)&amp;" business day(s) late. Send now.",IF($T349="DUE TOMORROW","Next: "&amp;$Z349&amp;IF($Y349&lt;=TODAY()," is due TODAY ("," is due next business day (")&amp;TEXT($Y349,"dd-mmm")&amp;").","Next: "&amp;$Z349&amp;" due "&amp;TEXT($Y349,"dd-mmm")&amp;" ("&amp;(NETWORKDAYS(TODAY(),$Y349,Holidays)-1)&amp;" business day(s) left).")))))</f>
        <v/>
      </c>
      <c r="V349" s="17">
        <f>IF($W349="","",CHOOSE($W349,"Collection Email","1st Follow-up","2nd Follow-up","Local Office","CBE","Roxanne")&amp;IF($W349=6," - Final"," - Day "&amp;MAX(0,NETWORKDAYS($X349,TODAY(),Holidays)-1)&amp;" of "&amp;CHOOSE($W349,3,3,2,2,3))&amp;" | Total Day "&amp;MAX(0,NETWORKDAYS($L349,TODAY(),Holidays)-1))</f>
        <v/>
      </c>
      <c r="W349" s="17">
        <f>IF($L349="","",COUNT($L349:$Q349))</f>
        <v/>
      </c>
      <c r="X349" s="18">
        <f>IF($W349="","",INT(INDEX($L349:$Q349,$W349)))</f>
        <v/>
      </c>
      <c r="Y349" s="18">
        <f>IF(OR($W349="",$W349=6),"",WORKDAY($X349,CHOOSE($W349,3,3,2,2,3),Holidays))</f>
        <v/>
      </c>
      <c r="Z349" s="17">
        <f>IF(OR($W349="",$W349=6),"",CHOOSE($W349,"1st Email Follow-up","2nd Email Follow-up","Escalate Local Office","Escalate to CBE","Escalate to Roxanne"))</f>
        <v/>
      </c>
    </row>
    <row r="350" spans="18:26">
      <c r="R350" s="15"/>
      <c r="S350" s="16"/>
      <c r="T350" s="17">
        <f>IF(AND(COUNTA($A350:$K350)=0,$L350=""),"",IF($S350="Paid","PAID",IF($S350="Closed","CLOSED",IF($W350="","",IF($W350=6,"ESCALATED TO ROXANNE",IF(TODAY()&gt;$Y350,"OVERDUE",IF($Y350&lt;=WORKDAY(TODAY(),1,Holidays),"DUE TOMORROW",IF($W350=4,"ESCALATED TO LOCAL OFFICE",IF($W350=5,"ESCALATED TO CBE",IF($X350=TODAY(),"EMAIL SENT","MONITORING"))))))))))</f>
        <v/>
      </c>
      <c r="U350" s="17">
        <f>IF($T350="",IF(AND(COUNTA($A350:$K350)&gt;0,$L350=""),"Awaiting Collection Email time stamp.",""),IF(OR($T350="PAID",$T350="CLOSED"),IF($T350="PAID","Account paid. Action completed.","Account closed. No further action required."),CHOOSE($W350,"Collection Email","1st Email Follow-up","2nd Email Follow-up","Escalation to Local Office","Escalation to CBE","Escalation to Roxanne")&amp;" sent "&amp;TEXT($X350,"dd-mmm")&amp;". "&amp;IF($W350=6,"Final escalation completed.",IF($T350="OVERDUE","Next: "&amp;$Z350&amp;" was due "&amp;TEXT($Y350,"dd-mmm")&amp;" - "&amp;(NETWORKDAYS($Y350,TODAY(),Holidays)-1)&amp;" business day(s) late. Send now.",IF($T350="DUE TOMORROW","Next: "&amp;$Z350&amp;IF($Y350&lt;=TODAY()," is due TODAY ("," is due next business day (")&amp;TEXT($Y350,"dd-mmm")&amp;").","Next: "&amp;$Z350&amp;" due "&amp;TEXT($Y350,"dd-mmm")&amp;" ("&amp;(NETWORKDAYS(TODAY(),$Y350,Holidays)-1)&amp;" business day(s) left).")))))</f>
        <v/>
      </c>
      <c r="V350" s="17">
        <f>IF($W350="","",CHOOSE($W350,"Collection Email","1st Follow-up","2nd Follow-up","Local Office","CBE","Roxanne")&amp;IF($W350=6," - Final"," - Day "&amp;MAX(0,NETWORKDAYS($X350,TODAY(),Holidays)-1)&amp;" of "&amp;CHOOSE($W350,3,3,2,2,3))&amp;" | Total Day "&amp;MAX(0,NETWORKDAYS($L350,TODAY(),Holidays)-1))</f>
        <v/>
      </c>
      <c r="W350" s="17">
        <f>IF($L350="","",COUNT($L350:$Q350))</f>
        <v/>
      </c>
      <c r="X350" s="18">
        <f>IF($W350="","",INT(INDEX($L350:$Q350,$W350)))</f>
        <v/>
      </c>
      <c r="Y350" s="18">
        <f>IF(OR($W350="",$W350=6),"",WORKDAY($X350,CHOOSE($W350,3,3,2,2,3),Holidays))</f>
        <v/>
      </c>
      <c r="Z350" s="17">
        <f>IF(OR($W350="",$W350=6),"",CHOOSE($W350,"1st Email Follow-up","2nd Email Follow-up","Escalate Local Office","Escalate to CBE","Escalate to Roxanne"))</f>
        <v/>
      </c>
    </row>
    <row r="351" spans="18:26">
      <c r="R351" s="15"/>
      <c r="S351" s="16"/>
      <c r="T351" s="17">
        <f>IF(AND(COUNTA($A351:$K351)=0,$L351=""),"",IF($S351="Paid","PAID",IF($S351="Closed","CLOSED",IF($W351="","",IF($W351=6,"ESCALATED TO ROXANNE",IF(TODAY()&gt;$Y351,"OVERDUE",IF($Y351&lt;=WORKDAY(TODAY(),1,Holidays),"DUE TOMORROW",IF($W351=4,"ESCALATED TO LOCAL OFFICE",IF($W351=5,"ESCALATED TO CBE",IF($X351=TODAY(),"EMAIL SENT","MONITORING"))))))))))</f>
        <v/>
      </c>
      <c r="U351" s="17">
        <f>IF($T351="",IF(AND(COUNTA($A351:$K351)&gt;0,$L351=""),"Awaiting Collection Email time stamp.",""),IF(OR($T351="PAID",$T351="CLOSED"),IF($T351="PAID","Account paid. Action completed.","Account closed. No further action required."),CHOOSE($W351,"Collection Email","1st Email Follow-up","2nd Email Follow-up","Escalation to Local Office","Escalation to CBE","Escalation to Roxanne")&amp;" sent "&amp;TEXT($X351,"dd-mmm")&amp;". "&amp;IF($W351=6,"Final escalation completed.",IF($T351="OVERDUE","Next: "&amp;$Z351&amp;" was due "&amp;TEXT($Y351,"dd-mmm")&amp;" - "&amp;(NETWORKDAYS($Y351,TODAY(),Holidays)-1)&amp;" business day(s) late. Send now.",IF($T351="DUE TOMORROW","Next: "&amp;$Z351&amp;IF($Y351&lt;=TODAY()," is due TODAY ("," is due next business day (")&amp;TEXT($Y351,"dd-mmm")&amp;").","Next: "&amp;$Z351&amp;" due "&amp;TEXT($Y351,"dd-mmm")&amp;" ("&amp;(NETWORKDAYS(TODAY(),$Y351,Holidays)-1)&amp;" business day(s) left).")))))</f>
        <v/>
      </c>
      <c r="V351" s="17">
        <f>IF($W351="","",CHOOSE($W351,"Collection Email","1st Follow-up","2nd Follow-up","Local Office","CBE","Roxanne")&amp;IF($W351=6," - Final"," - Day "&amp;MAX(0,NETWORKDAYS($X351,TODAY(),Holidays)-1)&amp;" of "&amp;CHOOSE($W351,3,3,2,2,3))&amp;" | Total Day "&amp;MAX(0,NETWORKDAYS($L351,TODAY(),Holidays)-1))</f>
        <v/>
      </c>
      <c r="W351" s="17">
        <f>IF($L351="","",COUNT($L351:$Q351))</f>
        <v/>
      </c>
      <c r="X351" s="18">
        <f>IF($W351="","",INT(INDEX($L351:$Q351,$W351)))</f>
        <v/>
      </c>
      <c r="Y351" s="18">
        <f>IF(OR($W351="",$W351=6),"",WORKDAY($X351,CHOOSE($W351,3,3,2,2,3),Holidays))</f>
        <v/>
      </c>
      <c r="Z351" s="17">
        <f>IF(OR($W351="",$W351=6),"",CHOOSE($W351,"1st Email Follow-up","2nd Email Follow-up","Escalate Local Office","Escalate to CBE","Escalate to Roxanne"))</f>
        <v/>
      </c>
    </row>
    <row r="352" spans="18:26">
      <c r="R352" s="15"/>
      <c r="S352" s="16"/>
      <c r="T352" s="17">
        <f>IF(AND(COUNTA($A352:$K352)=0,$L352=""),"",IF($S352="Paid","PAID",IF($S352="Closed","CLOSED",IF($W352="","",IF($W352=6,"ESCALATED TO ROXANNE",IF(TODAY()&gt;$Y352,"OVERDUE",IF($Y352&lt;=WORKDAY(TODAY(),1,Holidays),"DUE TOMORROW",IF($W352=4,"ESCALATED TO LOCAL OFFICE",IF($W352=5,"ESCALATED TO CBE",IF($X352=TODAY(),"EMAIL SENT","MONITORING"))))))))))</f>
        <v/>
      </c>
      <c r="U352" s="17">
        <f>IF($T352="",IF(AND(COUNTA($A352:$K352)&gt;0,$L352=""),"Awaiting Collection Email time stamp.",""),IF(OR($T352="PAID",$T352="CLOSED"),IF($T352="PAID","Account paid. Action completed.","Account closed. No further action required."),CHOOSE($W352,"Collection Email","1st Email Follow-up","2nd Email Follow-up","Escalation to Local Office","Escalation to CBE","Escalation to Roxanne")&amp;" sent "&amp;TEXT($X352,"dd-mmm")&amp;". "&amp;IF($W352=6,"Final escalation completed.",IF($T352="OVERDUE","Next: "&amp;$Z352&amp;" was due "&amp;TEXT($Y352,"dd-mmm")&amp;" - "&amp;(NETWORKDAYS($Y352,TODAY(),Holidays)-1)&amp;" business day(s) late. Send now.",IF($T352="DUE TOMORROW","Next: "&amp;$Z352&amp;IF($Y352&lt;=TODAY()," is due TODAY ("," is due next business day (")&amp;TEXT($Y352,"dd-mmm")&amp;").","Next: "&amp;$Z352&amp;" due "&amp;TEXT($Y352,"dd-mmm")&amp;" ("&amp;(NETWORKDAYS(TODAY(),$Y352,Holidays)-1)&amp;" business day(s) left).")))))</f>
        <v/>
      </c>
      <c r="V352" s="17">
        <f>IF($W352="","",CHOOSE($W352,"Collection Email","1st Follow-up","2nd Follow-up","Local Office","CBE","Roxanne")&amp;IF($W352=6," - Final"," - Day "&amp;MAX(0,NETWORKDAYS($X352,TODAY(),Holidays)-1)&amp;" of "&amp;CHOOSE($W352,3,3,2,2,3))&amp;" | Total Day "&amp;MAX(0,NETWORKDAYS($L352,TODAY(),Holidays)-1))</f>
        <v/>
      </c>
      <c r="W352" s="17">
        <f>IF($L352="","",COUNT($L352:$Q352))</f>
        <v/>
      </c>
      <c r="X352" s="18">
        <f>IF($W352="","",INT(INDEX($L352:$Q352,$W352)))</f>
        <v/>
      </c>
      <c r="Y352" s="18">
        <f>IF(OR($W352="",$W352=6),"",WORKDAY($X352,CHOOSE($W352,3,3,2,2,3),Holidays))</f>
        <v/>
      </c>
      <c r="Z352" s="17">
        <f>IF(OR($W352="",$W352=6),"",CHOOSE($W352,"1st Email Follow-up","2nd Email Follow-up","Escalate Local Office","Escalate to CBE","Escalate to Roxanne"))</f>
        <v/>
      </c>
    </row>
    <row r="353" spans="18:26">
      <c r="R353" s="15"/>
      <c r="S353" s="16"/>
      <c r="T353" s="17">
        <f>IF(AND(COUNTA($A353:$K353)=0,$L353=""),"",IF($S353="Paid","PAID",IF($S353="Closed","CLOSED",IF($W353="","",IF($W353=6,"ESCALATED TO ROXANNE",IF(TODAY()&gt;$Y353,"OVERDUE",IF($Y353&lt;=WORKDAY(TODAY(),1,Holidays),"DUE TOMORROW",IF($W353=4,"ESCALATED TO LOCAL OFFICE",IF($W353=5,"ESCALATED TO CBE",IF($X353=TODAY(),"EMAIL SENT","MONITORING"))))))))))</f>
        <v/>
      </c>
      <c r="U353" s="17">
        <f>IF($T353="",IF(AND(COUNTA($A353:$K353)&gt;0,$L353=""),"Awaiting Collection Email time stamp.",""),IF(OR($T353="PAID",$T353="CLOSED"),IF($T353="PAID","Account paid. Action completed.","Account closed. No further action required."),CHOOSE($W353,"Collection Email","1st Email Follow-up","2nd Email Follow-up","Escalation to Local Office","Escalation to CBE","Escalation to Roxanne")&amp;" sent "&amp;TEXT($X353,"dd-mmm")&amp;". "&amp;IF($W353=6,"Final escalation completed.",IF($T353="OVERDUE","Next: "&amp;$Z353&amp;" was due "&amp;TEXT($Y353,"dd-mmm")&amp;" - "&amp;(NETWORKDAYS($Y353,TODAY(),Holidays)-1)&amp;" business day(s) late. Send now.",IF($T353="DUE TOMORROW","Next: "&amp;$Z353&amp;IF($Y353&lt;=TODAY()," is due TODAY ("," is due next business day (")&amp;TEXT($Y353,"dd-mmm")&amp;").","Next: "&amp;$Z353&amp;" due "&amp;TEXT($Y353,"dd-mmm")&amp;" ("&amp;(NETWORKDAYS(TODAY(),$Y353,Holidays)-1)&amp;" business day(s) left).")))))</f>
        <v/>
      </c>
      <c r="V353" s="17">
        <f>IF($W353="","",CHOOSE($W353,"Collection Email","1st Follow-up","2nd Follow-up","Local Office","CBE","Roxanne")&amp;IF($W353=6," - Final"," - Day "&amp;MAX(0,NETWORKDAYS($X353,TODAY(),Holidays)-1)&amp;" of "&amp;CHOOSE($W353,3,3,2,2,3))&amp;" | Total Day "&amp;MAX(0,NETWORKDAYS($L353,TODAY(),Holidays)-1))</f>
        <v/>
      </c>
      <c r="W353" s="17">
        <f>IF($L353="","",COUNT($L353:$Q353))</f>
        <v/>
      </c>
      <c r="X353" s="18">
        <f>IF($W353="","",INT(INDEX($L353:$Q353,$W353)))</f>
        <v/>
      </c>
      <c r="Y353" s="18">
        <f>IF(OR($W353="",$W353=6),"",WORKDAY($X353,CHOOSE($W353,3,3,2,2,3),Holidays))</f>
        <v/>
      </c>
      <c r="Z353" s="17">
        <f>IF(OR($W353="",$W353=6),"",CHOOSE($W353,"1st Email Follow-up","2nd Email Follow-up","Escalate Local Office","Escalate to CBE","Escalate to Roxanne"))</f>
        <v/>
      </c>
    </row>
    <row r="354" spans="18:26">
      <c r="R354" s="15"/>
      <c r="S354" s="16"/>
      <c r="T354" s="17">
        <f>IF(AND(COUNTA($A354:$K354)=0,$L354=""),"",IF($S354="Paid","PAID",IF($S354="Closed","CLOSED",IF($W354="","",IF($W354=6,"ESCALATED TO ROXANNE",IF(TODAY()&gt;$Y354,"OVERDUE",IF($Y354&lt;=WORKDAY(TODAY(),1,Holidays),"DUE TOMORROW",IF($W354=4,"ESCALATED TO LOCAL OFFICE",IF($W354=5,"ESCALATED TO CBE",IF($X354=TODAY(),"EMAIL SENT","MONITORING"))))))))))</f>
        <v/>
      </c>
      <c r="U354" s="17">
        <f>IF($T354="",IF(AND(COUNTA($A354:$K354)&gt;0,$L354=""),"Awaiting Collection Email time stamp.",""),IF(OR($T354="PAID",$T354="CLOSED"),IF($T354="PAID","Account paid. Action completed.","Account closed. No further action required."),CHOOSE($W354,"Collection Email","1st Email Follow-up","2nd Email Follow-up","Escalation to Local Office","Escalation to CBE","Escalation to Roxanne")&amp;" sent "&amp;TEXT($X354,"dd-mmm")&amp;". "&amp;IF($W354=6,"Final escalation completed.",IF($T354="OVERDUE","Next: "&amp;$Z354&amp;" was due "&amp;TEXT($Y354,"dd-mmm")&amp;" - "&amp;(NETWORKDAYS($Y354,TODAY(),Holidays)-1)&amp;" business day(s) late. Send now.",IF($T354="DUE TOMORROW","Next: "&amp;$Z354&amp;IF($Y354&lt;=TODAY()," is due TODAY ("," is due next business day (")&amp;TEXT($Y354,"dd-mmm")&amp;").","Next: "&amp;$Z354&amp;" due "&amp;TEXT($Y354,"dd-mmm")&amp;" ("&amp;(NETWORKDAYS(TODAY(),$Y354,Holidays)-1)&amp;" business day(s) left).")))))</f>
        <v/>
      </c>
      <c r="V354" s="17">
        <f>IF($W354="","",CHOOSE($W354,"Collection Email","1st Follow-up","2nd Follow-up","Local Office","CBE","Roxanne")&amp;IF($W354=6," - Final"," - Day "&amp;MAX(0,NETWORKDAYS($X354,TODAY(),Holidays)-1)&amp;" of "&amp;CHOOSE($W354,3,3,2,2,3))&amp;" | Total Day "&amp;MAX(0,NETWORKDAYS($L354,TODAY(),Holidays)-1))</f>
        <v/>
      </c>
      <c r="W354" s="17">
        <f>IF($L354="","",COUNT($L354:$Q354))</f>
        <v/>
      </c>
      <c r="X354" s="18">
        <f>IF($W354="","",INT(INDEX($L354:$Q354,$W354)))</f>
        <v/>
      </c>
      <c r="Y354" s="18">
        <f>IF(OR($W354="",$W354=6),"",WORKDAY($X354,CHOOSE($W354,3,3,2,2,3),Holidays))</f>
        <v/>
      </c>
      <c r="Z354" s="17">
        <f>IF(OR($W354="",$W354=6),"",CHOOSE($W354,"1st Email Follow-up","2nd Email Follow-up","Escalate Local Office","Escalate to CBE","Escalate to Roxanne"))</f>
        <v/>
      </c>
    </row>
    <row r="355" spans="18:26">
      <c r="R355" s="15"/>
      <c r="S355" s="16"/>
      <c r="T355" s="17">
        <f>IF(AND(COUNTA($A355:$K355)=0,$L355=""),"",IF($S355="Paid","PAID",IF($S355="Closed","CLOSED",IF($W355="","",IF($W355=6,"ESCALATED TO ROXANNE",IF(TODAY()&gt;$Y355,"OVERDUE",IF($Y355&lt;=WORKDAY(TODAY(),1,Holidays),"DUE TOMORROW",IF($W355=4,"ESCALATED TO LOCAL OFFICE",IF($W355=5,"ESCALATED TO CBE",IF($X355=TODAY(),"EMAIL SENT","MONITORING"))))))))))</f>
        <v/>
      </c>
      <c r="U355" s="17">
        <f>IF($T355="",IF(AND(COUNTA($A355:$K355)&gt;0,$L355=""),"Awaiting Collection Email time stamp.",""),IF(OR($T355="PAID",$T355="CLOSED"),IF($T355="PAID","Account paid. Action completed.","Account closed. No further action required."),CHOOSE($W355,"Collection Email","1st Email Follow-up","2nd Email Follow-up","Escalation to Local Office","Escalation to CBE","Escalation to Roxanne")&amp;" sent "&amp;TEXT($X355,"dd-mmm")&amp;". "&amp;IF($W355=6,"Final escalation completed.",IF($T355="OVERDUE","Next: "&amp;$Z355&amp;" was due "&amp;TEXT($Y355,"dd-mmm")&amp;" - "&amp;(NETWORKDAYS($Y355,TODAY(),Holidays)-1)&amp;" business day(s) late. Send now.",IF($T355="DUE TOMORROW","Next: "&amp;$Z355&amp;IF($Y355&lt;=TODAY()," is due TODAY ("," is due next business day (")&amp;TEXT($Y355,"dd-mmm")&amp;").","Next: "&amp;$Z355&amp;" due "&amp;TEXT($Y355,"dd-mmm")&amp;" ("&amp;(NETWORKDAYS(TODAY(),$Y355,Holidays)-1)&amp;" business day(s) left).")))))</f>
        <v/>
      </c>
      <c r="V355" s="17">
        <f>IF($W355="","",CHOOSE($W355,"Collection Email","1st Follow-up","2nd Follow-up","Local Office","CBE","Roxanne")&amp;IF($W355=6," - Final"," - Day "&amp;MAX(0,NETWORKDAYS($X355,TODAY(),Holidays)-1)&amp;" of "&amp;CHOOSE($W355,3,3,2,2,3))&amp;" | Total Day "&amp;MAX(0,NETWORKDAYS($L355,TODAY(),Holidays)-1))</f>
        <v/>
      </c>
      <c r="W355" s="17">
        <f>IF($L355="","",COUNT($L355:$Q355))</f>
        <v/>
      </c>
      <c r="X355" s="18">
        <f>IF($W355="","",INT(INDEX($L355:$Q355,$W355)))</f>
        <v/>
      </c>
      <c r="Y355" s="18">
        <f>IF(OR($W355="",$W355=6),"",WORKDAY($X355,CHOOSE($W355,3,3,2,2,3),Holidays))</f>
        <v/>
      </c>
      <c r="Z355" s="17">
        <f>IF(OR($W355="",$W355=6),"",CHOOSE($W355,"1st Email Follow-up","2nd Email Follow-up","Escalate Local Office","Escalate to CBE","Escalate to Roxanne"))</f>
        <v/>
      </c>
    </row>
    <row r="356" spans="18:26">
      <c r="R356" s="15"/>
      <c r="S356" s="16"/>
      <c r="T356" s="17">
        <f>IF(AND(COUNTA($A356:$K356)=0,$L356=""),"",IF($S356="Paid","PAID",IF($S356="Closed","CLOSED",IF($W356="","",IF($W356=6,"ESCALATED TO ROXANNE",IF(TODAY()&gt;$Y356,"OVERDUE",IF($Y356&lt;=WORKDAY(TODAY(),1,Holidays),"DUE TOMORROW",IF($W356=4,"ESCALATED TO LOCAL OFFICE",IF($W356=5,"ESCALATED TO CBE",IF($X356=TODAY(),"EMAIL SENT","MONITORING"))))))))))</f>
        <v/>
      </c>
      <c r="U356" s="17">
        <f>IF($T356="",IF(AND(COUNTA($A356:$K356)&gt;0,$L356=""),"Awaiting Collection Email time stamp.",""),IF(OR($T356="PAID",$T356="CLOSED"),IF($T356="PAID","Account paid. Action completed.","Account closed. No further action required."),CHOOSE($W356,"Collection Email","1st Email Follow-up","2nd Email Follow-up","Escalation to Local Office","Escalation to CBE","Escalation to Roxanne")&amp;" sent "&amp;TEXT($X356,"dd-mmm")&amp;". "&amp;IF($W356=6,"Final escalation completed.",IF($T356="OVERDUE","Next: "&amp;$Z356&amp;" was due "&amp;TEXT($Y356,"dd-mmm")&amp;" - "&amp;(NETWORKDAYS($Y356,TODAY(),Holidays)-1)&amp;" business day(s) late. Send now.",IF($T356="DUE TOMORROW","Next: "&amp;$Z356&amp;IF($Y356&lt;=TODAY()," is due TODAY ("," is due next business day (")&amp;TEXT($Y356,"dd-mmm")&amp;").","Next: "&amp;$Z356&amp;" due "&amp;TEXT($Y356,"dd-mmm")&amp;" ("&amp;(NETWORKDAYS(TODAY(),$Y356,Holidays)-1)&amp;" business day(s) left).")))))</f>
        <v/>
      </c>
      <c r="V356" s="17">
        <f>IF($W356="","",CHOOSE($W356,"Collection Email","1st Follow-up","2nd Follow-up","Local Office","CBE","Roxanne")&amp;IF($W356=6," - Final"," - Day "&amp;MAX(0,NETWORKDAYS($X356,TODAY(),Holidays)-1)&amp;" of "&amp;CHOOSE($W356,3,3,2,2,3))&amp;" | Total Day "&amp;MAX(0,NETWORKDAYS($L356,TODAY(),Holidays)-1))</f>
        <v/>
      </c>
      <c r="W356" s="17">
        <f>IF($L356="","",COUNT($L356:$Q356))</f>
        <v/>
      </c>
      <c r="X356" s="18">
        <f>IF($W356="","",INT(INDEX($L356:$Q356,$W356)))</f>
        <v/>
      </c>
      <c r="Y356" s="18">
        <f>IF(OR($W356="",$W356=6),"",WORKDAY($X356,CHOOSE($W356,3,3,2,2,3),Holidays))</f>
        <v/>
      </c>
      <c r="Z356" s="17">
        <f>IF(OR($W356="",$W356=6),"",CHOOSE($W356,"1st Email Follow-up","2nd Email Follow-up","Escalate Local Office","Escalate to CBE","Escalate to Roxanne"))</f>
        <v/>
      </c>
    </row>
    <row r="357" spans="18:26">
      <c r="R357" s="15"/>
      <c r="S357" s="16"/>
      <c r="T357" s="17">
        <f>IF(AND(COUNTA($A357:$K357)=0,$L357=""),"",IF($S357="Paid","PAID",IF($S357="Closed","CLOSED",IF($W357="","",IF($W357=6,"ESCALATED TO ROXANNE",IF(TODAY()&gt;$Y357,"OVERDUE",IF($Y357&lt;=WORKDAY(TODAY(),1,Holidays),"DUE TOMORROW",IF($W357=4,"ESCALATED TO LOCAL OFFICE",IF($W357=5,"ESCALATED TO CBE",IF($X357=TODAY(),"EMAIL SENT","MONITORING"))))))))))</f>
        <v/>
      </c>
      <c r="U357" s="17">
        <f>IF($T357="",IF(AND(COUNTA($A357:$K357)&gt;0,$L357=""),"Awaiting Collection Email time stamp.",""),IF(OR($T357="PAID",$T357="CLOSED"),IF($T357="PAID","Account paid. Action completed.","Account closed. No further action required."),CHOOSE($W357,"Collection Email","1st Email Follow-up","2nd Email Follow-up","Escalation to Local Office","Escalation to CBE","Escalation to Roxanne")&amp;" sent "&amp;TEXT($X357,"dd-mmm")&amp;". "&amp;IF($W357=6,"Final escalation completed.",IF($T357="OVERDUE","Next: "&amp;$Z357&amp;" was due "&amp;TEXT($Y357,"dd-mmm")&amp;" - "&amp;(NETWORKDAYS($Y357,TODAY(),Holidays)-1)&amp;" business day(s) late. Send now.",IF($T357="DUE TOMORROW","Next: "&amp;$Z357&amp;IF($Y357&lt;=TODAY()," is due TODAY ("," is due next business day (")&amp;TEXT($Y357,"dd-mmm")&amp;").","Next: "&amp;$Z357&amp;" due "&amp;TEXT($Y357,"dd-mmm")&amp;" ("&amp;(NETWORKDAYS(TODAY(),$Y357,Holidays)-1)&amp;" business day(s) left).")))))</f>
        <v/>
      </c>
      <c r="V357" s="17">
        <f>IF($W357="","",CHOOSE($W357,"Collection Email","1st Follow-up","2nd Follow-up","Local Office","CBE","Roxanne")&amp;IF($W357=6," - Final"," - Day "&amp;MAX(0,NETWORKDAYS($X357,TODAY(),Holidays)-1)&amp;" of "&amp;CHOOSE($W357,3,3,2,2,3))&amp;" | Total Day "&amp;MAX(0,NETWORKDAYS($L357,TODAY(),Holidays)-1))</f>
        <v/>
      </c>
      <c r="W357" s="17">
        <f>IF($L357="","",COUNT($L357:$Q357))</f>
        <v/>
      </c>
      <c r="X357" s="18">
        <f>IF($W357="","",INT(INDEX($L357:$Q357,$W357)))</f>
        <v/>
      </c>
      <c r="Y357" s="18">
        <f>IF(OR($W357="",$W357=6),"",WORKDAY($X357,CHOOSE($W357,3,3,2,2,3),Holidays))</f>
        <v/>
      </c>
      <c r="Z357" s="17">
        <f>IF(OR($W357="",$W357=6),"",CHOOSE($W357,"1st Email Follow-up","2nd Email Follow-up","Escalate Local Office","Escalate to CBE","Escalate to Roxanne"))</f>
        <v/>
      </c>
    </row>
    <row r="358" spans="18:26">
      <c r="R358" s="15"/>
      <c r="S358" s="16"/>
      <c r="T358" s="17">
        <f>IF(AND(COUNTA($A358:$K358)=0,$L358=""),"",IF($S358="Paid","PAID",IF($S358="Closed","CLOSED",IF($W358="","",IF($W358=6,"ESCALATED TO ROXANNE",IF(TODAY()&gt;$Y358,"OVERDUE",IF($Y358&lt;=WORKDAY(TODAY(),1,Holidays),"DUE TOMORROW",IF($W358=4,"ESCALATED TO LOCAL OFFICE",IF($W358=5,"ESCALATED TO CBE",IF($X358=TODAY(),"EMAIL SENT","MONITORING"))))))))))</f>
        <v/>
      </c>
      <c r="U358" s="17">
        <f>IF($T358="",IF(AND(COUNTA($A358:$K358)&gt;0,$L358=""),"Awaiting Collection Email time stamp.",""),IF(OR($T358="PAID",$T358="CLOSED"),IF($T358="PAID","Account paid. Action completed.","Account closed. No further action required."),CHOOSE($W358,"Collection Email","1st Email Follow-up","2nd Email Follow-up","Escalation to Local Office","Escalation to CBE","Escalation to Roxanne")&amp;" sent "&amp;TEXT($X358,"dd-mmm")&amp;". "&amp;IF($W358=6,"Final escalation completed.",IF($T358="OVERDUE","Next: "&amp;$Z358&amp;" was due "&amp;TEXT($Y358,"dd-mmm")&amp;" - "&amp;(NETWORKDAYS($Y358,TODAY(),Holidays)-1)&amp;" business day(s) late. Send now.",IF($T358="DUE TOMORROW","Next: "&amp;$Z358&amp;IF($Y358&lt;=TODAY()," is due TODAY ("," is due next business day (")&amp;TEXT($Y358,"dd-mmm")&amp;").","Next: "&amp;$Z358&amp;" due "&amp;TEXT($Y358,"dd-mmm")&amp;" ("&amp;(NETWORKDAYS(TODAY(),$Y358,Holidays)-1)&amp;" business day(s) left).")))))</f>
        <v/>
      </c>
      <c r="V358" s="17">
        <f>IF($W358="","",CHOOSE($W358,"Collection Email","1st Follow-up","2nd Follow-up","Local Office","CBE","Roxanne")&amp;IF($W358=6," - Final"," - Day "&amp;MAX(0,NETWORKDAYS($X358,TODAY(),Holidays)-1)&amp;" of "&amp;CHOOSE($W358,3,3,2,2,3))&amp;" | Total Day "&amp;MAX(0,NETWORKDAYS($L358,TODAY(),Holidays)-1))</f>
        <v/>
      </c>
      <c r="W358" s="17">
        <f>IF($L358="","",COUNT($L358:$Q358))</f>
        <v/>
      </c>
      <c r="X358" s="18">
        <f>IF($W358="","",INT(INDEX($L358:$Q358,$W358)))</f>
        <v/>
      </c>
      <c r="Y358" s="18">
        <f>IF(OR($W358="",$W358=6),"",WORKDAY($X358,CHOOSE($W358,3,3,2,2,3),Holidays))</f>
        <v/>
      </c>
      <c r="Z358" s="17">
        <f>IF(OR($W358="",$W358=6),"",CHOOSE($W358,"1st Email Follow-up","2nd Email Follow-up","Escalate Local Office","Escalate to CBE","Escalate to Roxanne"))</f>
        <v/>
      </c>
    </row>
    <row r="359" spans="18:26">
      <c r="R359" s="15"/>
      <c r="S359" s="16"/>
      <c r="T359" s="17">
        <f>IF(AND(COUNTA($A359:$K359)=0,$L359=""),"",IF($S359="Paid","PAID",IF($S359="Closed","CLOSED",IF($W359="","",IF($W359=6,"ESCALATED TO ROXANNE",IF(TODAY()&gt;$Y359,"OVERDUE",IF($Y359&lt;=WORKDAY(TODAY(),1,Holidays),"DUE TOMORROW",IF($W359=4,"ESCALATED TO LOCAL OFFICE",IF($W359=5,"ESCALATED TO CBE",IF($X359=TODAY(),"EMAIL SENT","MONITORING"))))))))))</f>
        <v/>
      </c>
      <c r="U359" s="17">
        <f>IF($T359="",IF(AND(COUNTA($A359:$K359)&gt;0,$L359=""),"Awaiting Collection Email time stamp.",""),IF(OR($T359="PAID",$T359="CLOSED"),IF($T359="PAID","Account paid. Action completed.","Account closed. No further action required."),CHOOSE($W359,"Collection Email","1st Email Follow-up","2nd Email Follow-up","Escalation to Local Office","Escalation to CBE","Escalation to Roxanne")&amp;" sent "&amp;TEXT($X359,"dd-mmm")&amp;". "&amp;IF($W359=6,"Final escalation completed.",IF($T359="OVERDUE","Next: "&amp;$Z359&amp;" was due "&amp;TEXT($Y359,"dd-mmm")&amp;" - "&amp;(NETWORKDAYS($Y359,TODAY(),Holidays)-1)&amp;" business day(s) late. Send now.",IF($T359="DUE TOMORROW","Next: "&amp;$Z359&amp;IF($Y359&lt;=TODAY()," is due TODAY ("," is due next business day (")&amp;TEXT($Y359,"dd-mmm")&amp;").","Next: "&amp;$Z359&amp;" due "&amp;TEXT($Y359,"dd-mmm")&amp;" ("&amp;(NETWORKDAYS(TODAY(),$Y359,Holidays)-1)&amp;" business day(s) left).")))))</f>
        <v/>
      </c>
      <c r="V359" s="17">
        <f>IF($W359="","",CHOOSE($W359,"Collection Email","1st Follow-up","2nd Follow-up","Local Office","CBE","Roxanne")&amp;IF($W359=6," - Final"," - Day "&amp;MAX(0,NETWORKDAYS($X359,TODAY(),Holidays)-1)&amp;" of "&amp;CHOOSE($W359,3,3,2,2,3))&amp;" | Total Day "&amp;MAX(0,NETWORKDAYS($L359,TODAY(),Holidays)-1))</f>
        <v/>
      </c>
      <c r="W359" s="17">
        <f>IF($L359="","",COUNT($L359:$Q359))</f>
        <v/>
      </c>
      <c r="X359" s="18">
        <f>IF($W359="","",INT(INDEX($L359:$Q359,$W359)))</f>
        <v/>
      </c>
      <c r="Y359" s="18">
        <f>IF(OR($W359="",$W359=6),"",WORKDAY($X359,CHOOSE($W359,3,3,2,2,3),Holidays))</f>
        <v/>
      </c>
      <c r="Z359" s="17">
        <f>IF(OR($W359="",$W359=6),"",CHOOSE($W359,"1st Email Follow-up","2nd Email Follow-up","Escalate Local Office","Escalate to CBE","Escalate to Roxanne"))</f>
        <v/>
      </c>
    </row>
    <row r="360" spans="18:26">
      <c r="R360" s="15"/>
      <c r="S360" s="16"/>
      <c r="T360" s="17">
        <f>IF(AND(COUNTA($A360:$K360)=0,$L360=""),"",IF($S360="Paid","PAID",IF($S360="Closed","CLOSED",IF($W360="","",IF($W360=6,"ESCALATED TO ROXANNE",IF(TODAY()&gt;$Y360,"OVERDUE",IF($Y360&lt;=WORKDAY(TODAY(),1,Holidays),"DUE TOMORROW",IF($W360=4,"ESCALATED TO LOCAL OFFICE",IF($W360=5,"ESCALATED TO CBE",IF($X360=TODAY(),"EMAIL SENT","MONITORING"))))))))))</f>
        <v/>
      </c>
      <c r="U360" s="17">
        <f>IF($T360="",IF(AND(COUNTA($A360:$K360)&gt;0,$L360=""),"Awaiting Collection Email time stamp.",""),IF(OR($T360="PAID",$T360="CLOSED"),IF($T360="PAID","Account paid. Action completed.","Account closed. No further action required."),CHOOSE($W360,"Collection Email","1st Email Follow-up","2nd Email Follow-up","Escalation to Local Office","Escalation to CBE","Escalation to Roxanne")&amp;" sent "&amp;TEXT($X360,"dd-mmm")&amp;". "&amp;IF($W360=6,"Final escalation completed.",IF($T360="OVERDUE","Next: "&amp;$Z360&amp;" was due "&amp;TEXT($Y360,"dd-mmm")&amp;" - "&amp;(NETWORKDAYS($Y360,TODAY(),Holidays)-1)&amp;" business day(s) late. Send now.",IF($T360="DUE TOMORROW","Next: "&amp;$Z360&amp;IF($Y360&lt;=TODAY()," is due TODAY ("," is due next business day (")&amp;TEXT($Y360,"dd-mmm")&amp;").","Next: "&amp;$Z360&amp;" due "&amp;TEXT($Y360,"dd-mmm")&amp;" ("&amp;(NETWORKDAYS(TODAY(),$Y360,Holidays)-1)&amp;" business day(s) left).")))))</f>
        <v/>
      </c>
      <c r="V360" s="17">
        <f>IF($W360="","",CHOOSE($W360,"Collection Email","1st Follow-up","2nd Follow-up","Local Office","CBE","Roxanne")&amp;IF($W360=6," - Final"," - Day "&amp;MAX(0,NETWORKDAYS($X360,TODAY(),Holidays)-1)&amp;" of "&amp;CHOOSE($W360,3,3,2,2,3))&amp;" | Total Day "&amp;MAX(0,NETWORKDAYS($L360,TODAY(),Holidays)-1))</f>
        <v/>
      </c>
      <c r="W360" s="17">
        <f>IF($L360="","",COUNT($L360:$Q360))</f>
        <v/>
      </c>
      <c r="X360" s="18">
        <f>IF($W360="","",INT(INDEX($L360:$Q360,$W360)))</f>
        <v/>
      </c>
      <c r="Y360" s="18">
        <f>IF(OR($W360="",$W360=6),"",WORKDAY($X360,CHOOSE($W360,3,3,2,2,3),Holidays))</f>
        <v/>
      </c>
      <c r="Z360" s="17">
        <f>IF(OR($W360="",$W360=6),"",CHOOSE($W360,"1st Email Follow-up","2nd Email Follow-up","Escalate Local Office","Escalate to CBE","Escalate to Roxanne"))</f>
        <v/>
      </c>
    </row>
    <row r="361" spans="18:26">
      <c r="R361" s="15"/>
      <c r="S361" s="16"/>
      <c r="T361" s="17">
        <f>IF(AND(COUNTA($A361:$K361)=0,$L361=""),"",IF($S361="Paid","PAID",IF($S361="Closed","CLOSED",IF($W361="","",IF($W361=6,"ESCALATED TO ROXANNE",IF(TODAY()&gt;$Y361,"OVERDUE",IF($Y361&lt;=WORKDAY(TODAY(),1,Holidays),"DUE TOMORROW",IF($W361=4,"ESCALATED TO LOCAL OFFICE",IF($W361=5,"ESCALATED TO CBE",IF($X361=TODAY(),"EMAIL SENT","MONITORING"))))))))))</f>
        <v/>
      </c>
      <c r="U361" s="17">
        <f>IF($T361="",IF(AND(COUNTA($A361:$K361)&gt;0,$L361=""),"Awaiting Collection Email time stamp.",""),IF(OR($T361="PAID",$T361="CLOSED"),IF($T361="PAID","Account paid. Action completed.","Account closed. No further action required."),CHOOSE($W361,"Collection Email","1st Email Follow-up","2nd Email Follow-up","Escalation to Local Office","Escalation to CBE","Escalation to Roxanne")&amp;" sent "&amp;TEXT($X361,"dd-mmm")&amp;". "&amp;IF($W361=6,"Final escalation completed.",IF($T361="OVERDUE","Next: "&amp;$Z361&amp;" was due "&amp;TEXT($Y361,"dd-mmm")&amp;" - "&amp;(NETWORKDAYS($Y361,TODAY(),Holidays)-1)&amp;" business day(s) late. Send now.",IF($T361="DUE TOMORROW","Next: "&amp;$Z361&amp;IF($Y361&lt;=TODAY()," is due TODAY ("," is due next business day (")&amp;TEXT($Y361,"dd-mmm")&amp;").","Next: "&amp;$Z361&amp;" due "&amp;TEXT($Y361,"dd-mmm")&amp;" ("&amp;(NETWORKDAYS(TODAY(),$Y361,Holidays)-1)&amp;" business day(s) left).")))))</f>
        <v/>
      </c>
      <c r="V361" s="17">
        <f>IF($W361="","",CHOOSE($W361,"Collection Email","1st Follow-up","2nd Follow-up","Local Office","CBE","Roxanne")&amp;IF($W361=6," - Final"," - Day "&amp;MAX(0,NETWORKDAYS($X361,TODAY(),Holidays)-1)&amp;" of "&amp;CHOOSE($W361,3,3,2,2,3))&amp;" | Total Day "&amp;MAX(0,NETWORKDAYS($L361,TODAY(),Holidays)-1))</f>
        <v/>
      </c>
      <c r="W361" s="17">
        <f>IF($L361="","",COUNT($L361:$Q361))</f>
        <v/>
      </c>
      <c r="X361" s="18">
        <f>IF($W361="","",INT(INDEX($L361:$Q361,$W361)))</f>
        <v/>
      </c>
      <c r="Y361" s="18">
        <f>IF(OR($W361="",$W361=6),"",WORKDAY($X361,CHOOSE($W361,3,3,2,2,3),Holidays))</f>
        <v/>
      </c>
      <c r="Z361" s="17">
        <f>IF(OR($W361="",$W361=6),"",CHOOSE($W361,"1st Email Follow-up","2nd Email Follow-up","Escalate Local Office","Escalate to CBE","Escalate to Roxanne"))</f>
        <v/>
      </c>
    </row>
    <row r="362" spans="18:26">
      <c r="R362" s="15"/>
      <c r="S362" s="16"/>
      <c r="T362" s="17">
        <f>IF(AND(COUNTA($A362:$K362)=0,$L362=""),"",IF($S362="Paid","PAID",IF($S362="Closed","CLOSED",IF($W362="","",IF($W362=6,"ESCALATED TO ROXANNE",IF(TODAY()&gt;$Y362,"OVERDUE",IF($Y362&lt;=WORKDAY(TODAY(),1,Holidays),"DUE TOMORROW",IF($W362=4,"ESCALATED TO LOCAL OFFICE",IF($W362=5,"ESCALATED TO CBE",IF($X362=TODAY(),"EMAIL SENT","MONITORING"))))))))))</f>
        <v/>
      </c>
      <c r="U362" s="17">
        <f>IF($T362="",IF(AND(COUNTA($A362:$K362)&gt;0,$L362=""),"Awaiting Collection Email time stamp.",""),IF(OR($T362="PAID",$T362="CLOSED"),IF($T362="PAID","Account paid. Action completed.","Account closed. No further action required."),CHOOSE($W362,"Collection Email","1st Email Follow-up","2nd Email Follow-up","Escalation to Local Office","Escalation to CBE","Escalation to Roxanne")&amp;" sent "&amp;TEXT($X362,"dd-mmm")&amp;". "&amp;IF($W362=6,"Final escalation completed.",IF($T362="OVERDUE","Next: "&amp;$Z362&amp;" was due "&amp;TEXT($Y362,"dd-mmm")&amp;" - "&amp;(NETWORKDAYS($Y362,TODAY(),Holidays)-1)&amp;" business day(s) late. Send now.",IF($T362="DUE TOMORROW","Next: "&amp;$Z362&amp;IF($Y362&lt;=TODAY()," is due TODAY ("," is due next business day (")&amp;TEXT($Y362,"dd-mmm")&amp;").","Next: "&amp;$Z362&amp;" due "&amp;TEXT($Y362,"dd-mmm")&amp;" ("&amp;(NETWORKDAYS(TODAY(),$Y362,Holidays)-1)&amp;" business day(s) left).")))))</f>
        <v/>
      </c>
      <c r="V362" s="17">
        <f>IF($W362="","",CHOOSE($W362,"Collection Email","1st Follow-up","2nd Follow-up","Local Office","CBE","Roxanne")&amp;IF($W362=6," - Final"," - Day "&amp;MAX(0,NETWORKDAYS($X362,TODAY(),Holidays)-1)&amp;" of "&amp;CHOOSE($W362,3,3,2,2,3))&amp;" | Total Day "&amp;MAX(0,NETWORKDAYS($L362,TODAY(),Holidays)-1))</f>
        <v/>
      </c>
      <c r="W362" s="17">
        <f>IF($L362="","",COUNT($L362:$Q362))</f>
        <v/>
      </c>
      <c r="X362" s="18">
        <f>IF($W362="","",INT(INDEX($L362:$Q362,$W362)))</f>
        <v/>
      </c>
      <c r="Y362" s="18">
        <f>IF(OR($W362="",$W362=6),"",WORKDAY($X362,CHOOSE($W362,3,3,2,2,3),Holidays))</f>
        <v/>
      </c>
      <c r="Z362" s="17">
        <f>IF(OR($W362="",$W362=6),"",CHOOSE($W362,"1st Email Follow-up","2nd Email Follow-up","Escalate Local Office","Escalate to CBE","Escalate to Roxanne"))</f>
        <v/>
      </c>
    </row>
    <row r="363" spans="18:26">
      <c r="R363" s="15"/>
      <c r="S363" s="16"/>
      <c r="T363" s="17">
        <f>IF(AND(COUNTA($A363:$K363)=0,$L363=""),"",IF($S363="Paid","PAID",IF($S363="Closed","CLOSED",IF($W363="","",IF($W363=6,"ESCALATED TO ROXANNE",IF(TODAY()&gt;$Y363,"OVERDUE",IF($Y363&lt;=WORKDAY(TODAY(),1,Holidays),"DUE TOMORROW",IF($W363=4,"ESCALATED TO LOCAL OFFICE",IF($W363=5,"ESCALATED TO CBE",IF($X363=TODAY(),"EMAIL SENT","MONITORING"))))))))))</f>
        <v/>
      </c>
      <c r="U363" s="17">
        <f>IF($T363="",IF(AND(COUNTA($A363:$K363)&gt;0,$L363=""),"Awaiting Collection Email time stamp.",""),IF(OR($T363="PAID",$T363="CLOSED"),IF($T363="PAID","Account paid. Action completed.","Account closed. No further action required."),CHOOSE($W363,"Collection Email","1st Email Follow-up","2nd Email Follow-up","Escalation to Local Office","Escalation to CBE","Escalation to Roxanne")&amp;" sent "&amp;TEXT($X363,"dd-mmm")&amp;". "&amp;IF($W363=6,"Final escalation completed.",IF($T363="OVERDUE","Next: "&amp;$Z363&amp;" was due "&amp;TEXT($Y363,"dd-mmm")&amp;" - "&amp;(NETWORKDAYS($Y363,TODAY(),Holidays)-1)&amp;" business day(s) late. Send now.",IF($T363="DUE TOMORROW","Next: "&amp;$Z363&amp;IF($Y363&lt;=TODAY()," is due TODAY ("," is due next business day (")&amp;TEXT($Y363,"dd-mmm")&amp;").","Next: "&amp;$Z363&amp;" due "&amp;TEXT($Y363,"dd-mmm")&amp;" ("&amp;(NETWORKDAYS(TODAY(),$Y363,Holidays)-1)&amp;" business day(s) left).")))))</f>
        <v/>
      </c>
      <c r="V363" s="17">
        <f>IF($W363="","",CHOOSE($W363,"Collection Email","1st Follow-up","2nd Follow-up","Local Office","CBE","Roxanne")&amp;IF($W363=6," - Final"," - Day "&amp;MAX(0,NETWORKDAYS($X363,TODAY(),Holidays)-1)&amp;" of "&amp;CHOOSE($W363,3,3,2,2,3))&amp;" | Total Day "&amp;MAX(0,NETWORKDAYS($L363,TODAY(),Holidays)-1))</f>
        <v/>
      </c>
      <c r="W363" s="17">
        <f>IF($L363="","",COUNT($L363:$Q363))</f>
        <v/>
      </c>
      <c r="X363" s="18">
        <f>IF($W363="","",INT(INDEX($L363:$Q363,$W363)))</f>
        <v/>
      </c>
      <c r="Y363" s="18">
        <f>IF(OR($W363="",$W363=6),"",WORKDAY($X363,CHOOSE($W363,3,3,2,2,3),Holidays))</f>
        <v/>
      </c>
      <c r="Z363" s="17">
        <f>IF(OR($W363="",$W363=6),"",CHOOSE($W363,"1st Email Follow-up","2nd Email Follow-up","Escalate Local Office","Escalate to CBE","Escalate to Roxanne"))</f>
        <v/>
      </c>
    </row>
    <row r="364" spans="18:26">
      <c r="R364" s="15"/>
      <c r="S364" s="16"/>
      <c r="T364" s="17">
        <f>IF(AND(COUNTA($A364:$K364)=0,$L364=""),"",IF($S364="Paid","PAID",IF($S364="Closed","CLOSED",IF($W364="","",IF($W364=6,"ESCALATED TO ROXANNE",IF(TODAY()&gt;$Y364,"OVERDUE",IF($Y364&lt;=WORKDAY(TODAY(),1,Holidays),"DUE TOMORROW",IF($W364=4,"ESCALATED TO LOCAL OFFICE",IF($W364=5,"ESCALATED TO CBE",IF($X364=TODAY(),"EMAIL SENT","MONITORING"))))))))))</f>
        <v/>
      </c>
      <c r="U364" s="17">
        <f>IF($T364="",IF(AND(COUNTA($A364:$K364)&gt;0,$L364=""),"Awaiting Collection Email time stamp.",""),IF(OR($T364="PAID",$T364="CLOSED"),IF($T364="PAID","Account paid. Action completed.","Account closed. No further action required."),CHOOSE($W364,"Collection Email","1st Email Follow-up","2nd Email Follow-up","Escalation to Local Office","Escalation to CBE","Escalation to Roxanne")&amp;" sent "&amp;TEXT($X364,"dd-mmm")&amp;". "&amp;IF($W364=6,"Final escalation completed.",IF($T364="OVERDUE","Next: "&amp;$Z364&amp;" was due "&amp;TEXT($Y364,"dd-mmm")&amp;" - "&amp;(NETWORKDAYS($Y364,TODAY(),Holidays)-1)&amp;" business day(s) late. Send now.",IF($T364="DUE TOMORROW","Next: "&amp;$Z364&amp;IF($Y364&lt;=TODAY()," is due TODAY ("," is due next business day (")&amp;TEXT($Y364,"dd-mmm")&amp;").","Next: "&amp;$Z364&amp;" due "&amp;TEXT($Y364,"dd-mmm")&amp;" ("&amp;(NETWORKDAYS(TODAY(),$Y364,Holidays)-1)&amp;" business day(s) left).")))))</f>
        <v/>
      </c>
      <c r="V364" s="17">
        <f>IF($W364="","",CHOOSE($W364,"Collection Email","1st Follow-up","2nd Follow-up","Local Office","CBE","Roxanne")&amp;IF($W364=6," - Final"," - Day "&amp;MAX(0,NETWORKDAYS($X364,TODAY(),Holidays)-1)&amp;" of "&amp;CHOOSE($W364,3,3,2,2,3))&amp;" | Total Day "&amp;MAX(0,NETWORKDAYS($L364,TODAY(),Holidays)-1))</f>
        <v/>
      </c>
      <c r="W364" s="17">
        <f>IF($L364="","",COUNT($L364:$Q364))</f>
        <v/>
      </c>
      <c r="X364" s="18">
        <f>IF($W364="","",INT(INDEX($L364:$Q364,$W364)))</f>
        <v/>
      </c>
      <c r="Y364" s="18">
        <f>IF(OR($W364="",$W364=6),"",WORKDAY($X364,CHOOSE($W364,3,3,2,2,3),Holidays))</f>
        <v/>
      </c>
      <c r="Z364" s="17">
        <f>IF(OR($W364="",$W364=6),"",CHOOSE($W364,"1st Email Follow-up","2nd Email Follow-up","Escalate Local Office","Escalate to CBE","Escalate to Roxanne"))</f>
        <v/>
      </c>
    </row>
    <row r="365" spans="18:26">
      <c r="R365" s="15"/>
      <c r="S365" s="16"/>
      <c r="T365" s="17">
        <f>IF(AND(COUNTA($A365:$K365)=0,$L365=""),"",IF($S365="Paid","PAID",IF($S365="Closed","CLOSED",IF($W365="","",IF($W365=6,"ESCALATED TO ROXANNE",IF(TODAY()&gt;$Y365,"OVERDUE",IF($Y365&lt;=WORKDAY(TODAY(),1,Holidays),"DUE TOMORROW",IF($W365=4,"ESCALATED TO LOCAL OFFICE",IF($W365=5,"ESCALATED TO CBE",IF($X365=TODAY(),"EMAIL SENT","MONITORING"))))))))))</f>
        <v/>
      </c>
      <c r="U365" s="17">
        <f>IF($T365="",IF(AND(COUNTA($A365:$K365)&gt;0,$L365=""),"Awaiting Collection Email time stamp.",""),IF(OR($T365="PAID",$T365="CLOSED"),IF($T365="PAID","Account paid. Action completed.","Account closed. No further action required."),CHOOSE($W365,"Collection Email","1st Email Follow-up","2nd Email Follow-up","Escalation to Local Office","Escalation to CBE","Escalation to Roxanne")&amp;" sent "&amp;TEXT($X365,"dd-mmm")&amp;". "&amp;IF($W365=6,"Final escalation completed.",IF($T365="OVERDUE","Next: "&amp;$Z365&amp;" was due "&amp;TEXT($Y365,"dd-mmm")&amp;" - "&amp;(NETWORKDAYS($Y365,TODAY(),Holidays)-1)&amp;" business day(s) late. Send now.",IF($T365="DUE TOMORROW","Next: "&amp;$Z365&amp;IF($Y365&lt;=TODAY()," is due TODAY ("," is due next business day (")&amp;TEXT($Y365,"dd-mmm")&amp;").","Next: "&amp;$Z365&amp;" due "&amp;TEXT($Y365,"dd-mmm")&amp;" ("&amp;(NETWORKDAYS(TODAY(),$Y365,Holidays)-1)&amp;" business day(s) left).")))))</f>
        <v/>
      </c>
      <c r="V365" s="17">
        <f>IF($W365="","",CHOOSE($W365,"Collection Email","1st Follow-up","2nd Follow-up","Local Office","CBE","Roxanne")&amp;IF($W365=6," - Final"," - Day "&amp;MAX(0,NETWORKDAYS($X365,TODAY(),Holidays)-1)&amp;" of "&amp;CHOOSE($W365,3,3,2,2,3))&amp;" | Total Day "&amp;MAX(0,NETWORKDAYS($L365,TODAY(),Holidays)-1))</f>
        <v/>
      </c>
      <c r="W365" s="17">
        <f>IF($L365="","",COUNT($L365:$Q365))</f>
        <v/>
      </c>
      <c r="X365" s="18">
        <f>IF($W365="","",INT(INDEX($L365:$Q365,$W365)))</f>
        <v/>
      </c>
      <c r="Y365" s="18">
        <f>IF(OR($W365="",$W365=6),"",WORKDAY($X365,CHOOSE($W365,3,3,2,2,3),Holidays))</f>
        <v/>
      </c>
      <c r="Z365" s="17">
        <f>IF(OR($W365="",$W365=6),"",CHOOSE($W365,"1st Email Follow-up","2nd Email Follow-up","Escalate Local Office","Escalate to CBE","Escalate to Roxanne"))</f>
        <v/>
      </c>
    </row>
    <row r="366" spans="18:26">
      <c r="R366" s="15"/>
      <c r="S366" s="16"/>
      <c r="T366" s="17">
        <f>IF(AND(COUNTA($A366:$K366)=0,$L366=""),"",IF($S366="Paid","PAID",IF($S366="Closed","CLOSED",IF($W366="","",IF($W366=6,"ESCALATED TO ROXANNE",IF(TODAY()&gt;$Y366,"OVERDUE",IF($Y366&lt;=WORKDAY(TODAY(),1,Holidays),"DUE TOMORROW",IF($W366=4,"ESCALATED TO LOCAL OFFICE",IF($W366=5,"ESCALATED TO CBE",IF($X366=TODAY(),"EMAIL SENT","MONITORING"))))))))))</f>
        <v/>
      </c>
      <c r="U366" s="17">
        <f>IF($T366="",IF(AND(COUNTA($A366:$K366)&gt;0,$L366=""),"Awaiting Collection Email time stamp.",""),IF(OR($T366="PAID",$T366="CLOSED"),IF($T366="PAID","Account paid. Action completed.","Account closed. No further action required."),CHOOSE($W366,"Collection Email","1st Email Follow-up","2nd Email Follow-up","Escalation to Local Office","Escalation to CBE","Escalation to Roxanne")&amp;" sent "&amp;TEXT($X366,"dd-mmm")&amp;". "&amp;IF($W366=6,"Final escalation completed.",IF($T366="OVERDUE","Next: "&amp;$Z366&amp;" was due "&amp;TEXT($Y366,"dd-mmm")&amp;" - "&amp;(NETWORKDAYS($Y366,TODAY(),Holidays)-1)&amp;" business day(s) late. Send now.",IF($T366="DUE TOMORROW","Next: "&amp;$Z366&amp;IF($Y366&lt;=TODAY()," is due TODAY ("," is due next business day (")&amp;TEXT($Y366,"dd-mmm")&amp;").","Next: "&amp;$Z366&amp;" due "&amp;TEXT($Y366,"dd-mmm")&amp;" ("&amp;(NETWORKDAYS(TODAY(),$Y366,Holidays)-1)&amp;" business day(s) left).")))))</f>
        <v/>
      </c>
      <c r="V366" s="17">
        <f>IF($W366="","",CHOOSE($W366,"Collection Email","1st Follow-up","2nd Follow-up","Local Office","CBE","Roxanne")&amp;IF($W366=6," - Final"," - Day "&amp;MAX(0,NETWORKDAYS($X366,TODAY(),Holidays)-1)&amp;" of "&amp;CHOOSE($W366,3,3,2,2,3))&amp;" | Total Day "&amp;MAX(0,NETWORKDAYS($L366,TODAY(),Holidays)-1))</f>
        <v/>
      </c>
      <c r="W366" s="17">
        <f>IF($L366="","",COUNT($L366:$Q366))</f>
        <v/>
      </c>
      <c r="X366" s="18">
        <f>IF($W366="","",INT(INDEX($L366:$Q366,$W366)))</f>
        <v/>
      </c>
      <c r="Y366" s="18">
        <f>IF(OR($W366="",$W366=6),"",WORKDAY($X366,CHOOSE($W366,3,3,2,2,3),Holidays))</f>
        <v/>
      </c>
      <c r="Z366" s="17">
        <f>IF(OR($W366="",$W366=6),"",CHOOSE($W366,"1st Email Follow-up","2nd Email Follow-up","Escalate Local Office","Escalate to CBE","Escalate to Roxanne"))</f>
        <v/>
      </c>
    </row>
    <row r="367" spans="18:26">
      <c r="R367" s="15"/>
      <c r="S367" s="16"/>
      <c r="T367" s="17">
        <f>IF(AND(COUNTA($A367:$K367)=0,$L367=""),"",IF($S367="Paid","PAID",IF($S367="Closed","CLOSED",IF($W367="","",IF($W367=6,"ESCALATED TO ROXANNE",IF(TODAY()&gt;$Y367,"OVERDUE",IF($Y367&lt;=WORKDAY(TODAY(),1,Holidays),"DUE TOMORROW",IF($W367=4,"ESCALATED TO LOCAL OFFICE",IF($W367=5,"ESCALATED TO CBE",IF($X367=TODAY(),"EMAIL SENT","MONITORING"))))))))))</f>
        <v/>
      </c>
      <c r="U367" s="17">
        <f>IF($T367="",IF(AND(COUNTA($A367:$K367)&gt;0,$L367=""),"Awaiting Collection Email time stamp.",""),IF(OR($T367="PAID",$T367="CLOSED"),IF($T367="PAID","Account paid. Action completed.","Account closed. No further action required."),CHOOSE($W367,"Collection Email","1st Email Follow-up","2nd Email Follow-up","Escalation to Local Office","Escalation to CBE","Escalation to Roxanne")&amp;" sent "&amp;TEXT($X367,"dd-mmm")&amp;". "&amp;IF($W367=6,"Final escalation completed.",IF($T367="OVERDUE","Next: "&amp;$Z367&amp;" was due "&amp;TEXT($Y367,"dd-mmm")&amp;" - "&amp;(NETWORKDAYS($Y367,TODAY(),Holidays)-1)&amp;" business day(s) late. Send now.",IF($T367="DUE TOMORROW","Next: "&amp;$Z367&amp;IF($Y367&lt;=TODAY()," is due TODAY ("," is due next business day (")&amp;TEXT($Y367,"dd-mmm")&amp;").","Next: "&amp;$Z367&amp;" due "&amp;TEXT($Y367,"dd-mmm")&amp;" ("&amp;(NETWORKDAYS(TODAY(),$Y367,Holidays)-1)&amp;" business day(s) left).")))))</f>
        <v/>
      </c>
      <c r="V367" s="17">
        <f>IF($W367="","",CHOOSE($W367,"Collection Email","1st Follow-up","2nd Follow-up","Local Office","CBE","Roxanne")&amp;IF($W367=6," - Final"," - Day "&amp;MAX(0,NETWORKDAYS($X367,TODAY(),Holidays)-1)&amp;" of "&amp;CHOOSE($W367,3,3,2,2,3))&amp;" | Total Day "&amp;MAX(0,NETWORKDAYS($L367,TODAY(),Holidays)-1))</f>
        <v/>
      </c>
      <c r="W367" s="17">
        <f>IF($L367="","",COUNT($L367:$Q367))</f>
        <v/>
      </c>
      <c r="X367" s="18">
        <f>IF($W367="","",INT(INDEX($L367:$Q367,$W367)))</f>
        <v/>
      </c>
      <c r="Y367" s="18">
        <f>IF(OR($W367="",$W367=6),"",WORKDAY($X367,CHOOSE($W367,3,3,2,2,3),Holidays))</f>
        <v/>
      </c>
      <c r="Z367" s="17">
        <f>IF(OR($W367="",$W367=6),"",CHOOSE($W367,"1st Email Follow-up","2nd Email Follow-up","Escalate Local Office","Escalate to CBE","Escalate to Roxanne"))</f>
        <v/>
      </c>
    </row>
    <row r="368" spans="18:26">
      <c r="R368" s="15"/>
      <c r="S368" s="16"/>
      <c r="T368" s="17">
        <f>IF(AND(COUNTA($A368:$K368)=0,$L368=""),"",IF($S368="Paid","PAID",IF($S368="Closed","CLOSED",IF($W368="","",IF($W368=6,"ESCALATED TO ROXANNE",IF(TODAY()&gt;$Y368,"OVERDUE",IF($Y368&lt;=WORKDAY(TODAY(),1,Holidays),"DUE TOMORROW",IF($W368=4,"ESCALATED TO LOCAL OFFICE",IF($W368=5,"ESCALATED TO CBE",IF($X368=TODAY(),"EMAIL SENT","MONITORING"))))))))))</f>
        <v/>
      </c>
      <c r="U368" s="17">
        <f>IF($T368="",IF(AND(COUNTA($A368:$K368)&gt;0,$L368=""),"Awaiting Collection Email time stamp.",""),IF(OR($T368="PAID",$T368="CLOSED"),IF($T368="PAID","Account paid. Action completed.","Account closed. No further action required."),CHOOSE($W368,"Collection Email","1st Email Follow-up","2nd Email Follow-up","Escalation to Local Office","Escalation to CBE","Escalation to Roxanne")&amp;" sent "&amp;TEXT($X368,"dd-mmm")&amp;". "&amp;IF($W368=6,"Final escalation completed.",IF($T368="OVERDUE","Next: "&amp;$Z368&amp;" was due "&amp;TEXT($Y368,"dd-mmm")&amp;" - "&amp;(NETWORKDAYS($Y368,TODAY(),Holidays)-1)&amp;" business day(s) late. Send now.",IF($T368="DUE TOMORROW","Next: "&amp;$Z368&amp;IF($Y368&lt;=TODAY()," is due TODAY ("," is due next business day (")&amp;TEXT($Y368,"dd-mmm")&amp;").","Next: "&amp;$Z368&amp;" due "&amp;TEXT($Y368,"dd-mmm")&amp;" ("&amp;(NETWORKDAYS(TODAY(),$Y368,Holidays)-1)&amp;" business day(s) left).")))))</f>
        <v/>
      </c>
      <c r="V368" s="17">
        <f>IF($W368="","",CHOOSE($W368,"Collection Email","1st Follow-up","2nd Follow-up","Local Office","CBE","Roxanne")&amp;IF($W368=6," - Final"," - Day "&amp;MAX(0,NETWORKDAYS($X368,TODAY(),Holidays)-1)&amp;" of "&amp;CHOOSE($W368,3,3,2,2,3))&amp;" | Total Day "&amp;MAX(0,NETWORKDAYS($L368,TODAY(),Holidays)-1))</f>
        <v/>
      </c>
      <c r="W368" s="17">
        <f>IF($L368="","",COUNT($L368:$Q368))</f>
        <v/>
      </c>
      <c r="X368" s="18">
        <f>IF($W368="","",INT(INDEX($L368:$Q368,$W368)))</f>
        <v/>
      </c>
      <c r="Y368" s="18">
        <f>IF(OR($W368="",$W368=6),"",WORKDAY($X368,CHOOSE($W368,3,3,2,2,3),Holidays))</f>
        <v/>
      </c>
      <c r="Z368" s="17">
        <f>IF(OR($W368="",$W368=6),"",CHOOSE($W368,"1st Email Follow-up","2nd Email Follow-up","Escalate Local Office","Escalate to CBE","Escalate to Roxanne"))</f>
        <v/>
      </c>
    </row>
    <row r="369" spans="18:26">
      <c r="R369" s="15"/>
      <c r="S369" s="16"/>
      <c r="T369" s="17">
        <f>IF(AND(COUNTA($A369:$K369)=0,$L369=""),"",IF($S369="Paid","PAID",IF($S369="Closed","CLOSED",IF($W369="","",IF($W369=6,"ESCALATED TO ROXANNE",IF(TODAY()&gt;$Y369,"OVERDUE",IF($Y369&lt;=WORKDAY(TODAY(),1,Holidays),"DUE TOMORROW",IF($W369=4,"ESCALATED TO LOCAL OFFICE",IF($W369=5,"ESCALATED TO CBE",IF($X369=TODAY(),"EMAIL SENT","MONITORING"))))))))))</f>
        <v/>
      </c>
      <c r="U369" s="17">
        <f>IF($T369="",IF(AND(COUNTA($A369:$K369)&gt;0,$L369=""),"Awaiting Collection Email time stamp.",""),IF(OR($T369="PAID",$T369="CLOSED"),IF($T369="PAID","Account paid. Action completed.","Account closed. No further action required."),CHOOSE($W369,"Collection Email","1st Email Follow-up","2nd Email Follow-up","Escalation to Local Office","Escalation to CBE","Escalation to Roxanne")&amp;" sent "&amp;TEXT($X369,"dd-mmm")&amp;". "&amp;IF($W369=6,"Final escalation completed.",IF($T369="OVERDUE","Next: "&amp;$Z369&amp;" was due "&amp;TEXT($Y369,"dd-mmm")&amp;" - "&amp;(NETWORKDAYS($Y369,TODAY(),Holidays)-1)&amp;" business day(s) late. Send now.",IF($T369="DUE TOMORROW","Next: "&amp;$Z369&amp;IF($Y369&lt;=TODAY()," is due TODAY ("," is due next business day (")&amp;TEXT($Y369,"dd-mmm")&amp;").","Next: "&amp;$Z369&amp;" due "&amp;TEXT($Y369,"dd-mmm")&amp;" ("&amp;(NETWORKDAYS(TODAY(),$Y369,Holidays)-1)&amp;" business day(s) left).")))))</f>
        <v/>
      </c>
      <c r="V369" s="17">
        <f>IF($W369="","",CHOOSE($W369,"Collection Email","1st Follow-up","2nd Follow-up","Local Office","CBE","Roxanne")&amp;IF($W369=6," - Final"," - Day "&amp;MAX(0,NETWORKDAYS($X369,TODAY(),Holidays)-1)&amp;" of "&amp;CHOOSE($W369,3,3,2,2,3))&amp;" | Total Day "&amp;MAX(0,NETWORKDAYS($L369,TODAY(),Holidays)-1))</f>
        <v/>
      </c>
      <c r="W369" s="17">
        <f>IF($L369="","",COUNT($L369:$Q369))</f>
        <v/>
      </c>
      <c r="X369" s="18">
        <f>IF($W369="","",INT(INDEX($L369:$Q369,$W369)))</f>
        <v/>
      </c>
      <c r="Y369" s="18">
        <f>IF(OR($W369="",$W369=6),"",WORKDAY($X369,CHOOSE($W369,3,3,2,2,3),Holidays))</f>
        <v/>
      </c>
      <c r="Z369" s="17">
        <f>IF(OR($W369="",$W369=6),"",CHOOSE($W369,"1st Email Follow-up","2nd Email Follow-up","Escalate Local Office","Escalate to CBE","Escalate to Roxanne"))</f>
        <v/>
      </c>
    </row>
    <row r="370" spans="18:26">
      <c r="R370" s="15"/>
      <c r="S370" s="16"/>
      <c r="T370" s="17">
        <f>IF(AND(COUNTA($A370:$K370)=0,$L370=""),"",IF($S370="Paid","PAID",IF($S370="Closed","CLOSED",IF($W370="","",IF($W370=6,"ESCALATED TO ROXANNE",IF(TODAY()&gt;$Y370,"OVERDUE",IF($Y370&lt;=WORKDAY(TODAY(),1,Holidays),"DUE TOMORROW",IF($W370=4,"ESCALATED TO LOCAL OFFICE",IF($W370=5,"ESCALATED TO CBE",IF($X370=TODAY(),"EMAIL SENT","MONITORING"))))))))))</f>
        <v/>
      </c>
      <c r="U370" s="17">
        <f>IF($T370="",IF(AND(COUNTA($A370:$K370)&gt;0,$L370=""),"Awaiting Collection Email time stamp.",""),IF(OR($T370="PAID",$T370="CLOSED"),IF($T370="PAID","Account paid. Action completed.","Account closed. No further action required."),CHOOSE($W370,"Collection Email","1st Email Follow-up","2nd Email Follow-up","Escalation to Local Office","Escalation to CBE","Escalation to Roxanne")&amp;" sent "&amp;TEXT($X370,"dd-mmm")&amp;". "&amp;IF($W370=6,"Final escalation completed.",IF($T370="OVERDUE","Next: "&amp;$Z370&amp;" was due "&amp;TEXT($Y370,"dd-mmm")&amp;" - "&amp;(NETWORKDAYS($Y370,TODAY(),Holidays)-1)&amp;" business day(s) late. Send now.",IF($T370="DUE TOMORROW","Next: "&amp;$Z370&amp;IF($Y370&lt;=TODAY()," is due TODAY ("," is due next business day (")&amp;TEXT($Y370,"dd-mmm")&amp;").","Next: "&amp;$Z370&amp;" due "&amp;TEXT($Y370,"dd-mmm")&amp;" ("&amp;(NETWORKDAYS(TODAY(),$Y370,Holidays)-1)&amp;" business day(s) left).")))))</f>
        <v/>
      </c>
      <c r="V370" s="17">
        <f>IF($W370="","",CHOOSE($W370,"Collection Email","1st Follow-up","2nd Follow-up","Local Office","CBE","Roxanne")&amp;IF($W370=6," - Final"," - Day "&amp;MAX(0,NETWORKDAYS($X370,TODAY(),Holidays)-1)&amp;" of "&amp;CHOOSE($W370,3,3,2,2,3))&amp;" | Total Day "&amp;MAX(0,NETWORKDAYS($L370,TODAY(),Holidays)-1))</f>
        <v/>
      </c>
      <c r="W370" s="17">
        <f>IF($L370="","",COUNT($L370:$Q370))</f>
        <v/>
      </c>
      <c r="X370" s="18">
        <f>IF($W370="","",INT(INDEX($L370:$Q370,$W370)))</f>
        <v/>
      </c>
      <c r="Y370" s="18">
        <f>IF(OR($W370="",$W370=6),"",WORKDAY($X370,CHOOSE($W370,3,3,2,2,3),Holidays))</f>
        <v/>
      </c>
      <c r="Z370" s="17">
        <f>IF(OR($W370="",$W370=6),"",CHOOSE($W370,"1st Email Follow-up","2nd Email Follow-up","Escalate Local Office","Escalate to CBE","Escalate to Roxanne"))</f>
        <v/>
      </c>
    </row>
    <row r="371" spans="18:26">
      <c r="R371" s="15"/>
      <c r="S371" s="16"/>
      <c r="T371" s="17">
        <f>IF(AND(COUNTA($A371:$K371)=0,$L371=""),"",IF($S371="Paid","PAID",IF($S371="Closed","CLOSED",IF($W371="","",IF($W371=6,"ESCALATED TO ROXANNE",IF(TODAY()&gt;$Y371,"OVERDUE",IF($Y371&lt;=WORKDAY(TODAY(),1,Holidays),"DUE TOMORROW",IF($W371=4,"ESCALATED TO LOCAL OFFICE",IF($W371=5,"ESCALATED TO CBE",IF($X371=TODAY(),"EMAIL SENT","MONITORING"))))))))))</f>
        <v/>
      </c>
      <c r="U371" s="17">
        <f>IF($T371="",IF(AND(COUNTA($A371:$K371)&gt;0,$L371=""),"Awaiting Collection Email time stamp.",""),IF(OR($T371="PAID",$T371="CLOSED"),IF($T371="PAID","Account paid. Action completed.","Account closed. No further action required."),CHOOSE($W371,"Collection Email","1st Email Follow-up","2nd Email Follow-up","Escalation to Local Office","Escalation to CBE","Escalation to Roxanne")&amp;" sent "&amp;TEXT($X371,"dd-mmm")&amp;". "&amp;IF($W371=6,"Final escalation completed.",IF($T371="OVERDUE","Next: "&amp;$Z371&amp;" was due "&amp;TEXT($Y371,"dd-mmm")&amp;" - "&amp;(NETWORKDAYS($Y371,TODAY(),Holidays)-1)&amp;" business day(s) late. Send now.",IF($T371="DUE TOMORROW","Next: "&amp;$Z371&amp;IF($Y371&lt;=TODAY()," is due TODAY ("," is due next business day (")&amp;TEXT($Y371,"dd-mmm")&amp;").","Next: "&amp;$Z371&amp;" due "&amp;TEXT($Y371,"dd-mmm")&amp;" ("&amp;(NETWORKDAYS(TODAY(),$Y371,Holidays)-1)&amp;" business day(s) left).")))))</f>
        <v/>
      </c>
      <c r="V371" s="17">
        <f>IF($W371="","",CHOOSE($W371,"Collection Email","1st Follow-up","2nd Follow-up","Local Office","CBE","Roxanne")&amp;IF($W371=6," - Final"," - Day "&amp;MAX(0,NETWORKDAYS($X371,TODAY(),Holidays)-1)&amp;" of "&amp;CHOOSE($W371,3,3,2,2,3))&amp;" | Total Day "&amp;MAX(0,NETWORKDAYS($L371,TODAY(),Holidays)-1))</f>
        <v/>
      </c>
      <c r="W371" s="17">
        <f>IF($L371="","",COUNT($L371:$Q371))</f>
        <v/>
      </c>
      <c r="X371" s="18">
        <f>IF($W371="","",INT(INDEX($L371:$Q371,$W371)))</f>
        <v/>
      </c>
      <c r="Y371" s="18">
        <f>IF(OR($W371="",$W371=6),"",WORKDAY($X371,CHOOSE($W371,3,3,2,2,3),Holidays))</f>
        <v/>
      </c>
      <c r="Z371" s="17">
        <f>IF(OR($W371="",$W371=6),"",CHOOSE($W371,"1st Email Follow-up","2nd Email Follow-up","Escalate Local Office","Escalate to CBE","Escalate to Roxanne"))</f>
        <v/>
      </c>
    </row>
    <row r="372" spans="18:26">
      <c r="R372" s="15"/>
      <c r="S372" s="16"/>
      <c r="T372" s="17">
        <f>IF(AND(COUNTA($A372:$K372)=0,$L372=""),"",IF($S372="Paid","PAID",IF($S372="Closed","CLOSED",IF($W372="","",IF($W372=6,"ESCALATED TO ROXANNE",IF(TODAY()&gt;$Y372,"OVERDUE",IF($Y372&lt;=WORKDAY(TODAY(),1,Holidays),"DUE TOMORROW",IF($W372=4,"ESCALATED TO LOCAL OFFICE",IF($W372=5,"ESCALATED TO CBE",IF($X372=TODAY(),"EMAIL SENT","MONITORING"))))))))))</f>
        <v/>
      </c>
      <c r="U372" s="17">
        <f>IF($T372="",IF(AND(COUNTA($A372:$K372)&gt;0,$L372=""),"Awaiting Collection Email time stamp.",""),IF(OR($T372="PAID",$T372="CLOSED"),IF($T372="PAID","Account paid. Action completed.","Account closed. No further action required."),CHOOSE($W372,"Collection Email","1st Email Follow-up","2nd Email Follow-up","Escalation to Local Office","Escalation to CBE","Escalation to Roxanne")&amp;" sent "&amp;TEXT($X372,"dd-mmm")&amp;". "&amp;IF($W372=6,"Final escalation completed.",IF($T372="OVERDUE","Next: "&amp;$Z372&amp;" was due "&amp;TEXT($Y372,"dd-mmm")&amp;" - "&amp;(NETWORKDAYS($Y372,TODAY(),Holidays)-1)&amp;" business day(s) late. Send now.",IF($T372="DUE TOMORROW","Next: "&amp;$Z372&amp;IF($Y372&lt;=TODAY()," is due TODAY ("," is due next business day (")&amp;TEXT($Y372,"dd-mmm")&amp;").","Next: "&amp;$Z372&amp;" due "&amp;TEXT($Y372,"dd-mmm")&amp;" ("&amp;(NETWORKDAYS(TODAY(),$Y372,Holidays)-1)&amp;" business day(s) left).")))))</f>
        <v/>
      </c>
      <c r="V372" s="17">
        <f>IF($W372="","",CHOOSE($W372,"Collection Email","1st Follow-up","2nd Follow-up","Local Office","CBE","Roxanne")&amp;IF($W372=6," - Final"," - Day "&amp;MAX(0,NETWORKDAYS($X372,TODAY(),Holidays)-1)&amp;" of "&amp;CHOOSE($W372,3,3,2,2,3))&amp;" | Total Day "&amp;MAX(0,NETWORKDAYS($L372,TODAY(),Holidays)-1))</f>
        <v/>
      </c>
      <c r="W372" s="17">
        <f>IF($L372="","",COUNT($L372:$Q372))</f>
        <v/>
      </c>
      <c r="X372" s="18">
        <f>IF($W372="","",INT(INDEX($L372:$Q372,$W372)))</f>
        <v/>
      </c>
      <c r="Y372" s="18">
        <f>IF(OR($W372="",$W372=6),"",WORKDAY($X372,CHOOSE($W372,3,3,2,2,3),Holidays))</f>
        <v/>
      </c>
      <c r="Z372" s="17">
        <f>IF(OR($W372="",$W372=6),"",CHOOSE($W372,"1st Email Follow-up","2nd Email Follow-up","Escalate Local Office","Escalate to CBE","Escalate to Roxanne"))</f>
        <v/>
      </c>
    </row>
    <row r="373" spans="18:26">
      <c r="R373" s="15"/>
      <c r="S373" s="16"/>
      <c r="T373" s="17">
        <f>IF(AND(COUNTA($A373:$K373)=0,$L373=""),"",IF($S373="Paid","PAID",IF($S373="Closed","CLOSED",IF($W373="","",IF($W373=6,"ESCALATED TO ROXANNE",IF(TODAY()&gt;$Y373,"OVERDUE",IF($Y373&lt;=WORKDAY(TODAY(),1,Holidays),"DUE TOMORROW",IF($W373=4,"ESCALATED TO LOCAL OFFICE",IF($W373=5,"ESCALATED TO CBE",IF($X373=TODAY(),"EMAIL SENT","MONITORING"))))))))))</f>
        <v/>
      </c>
      <c r="U373" s="17">
        <f>IF($T373="",IF(AND(COUNTA($A373:$K373)&gt;0,$L373=""),"Awaiting Collection Email time stamp.",""),IF(OR($T373="PAID",$T373="CLOSED"),IF($T373="PAID","Account paid. Action completed.","Account closed. No further action required."),CHOOSE($W373,"Collection Email","1st Email Follow-up","2nd Email Follow-up","Escalation to Local Office","Escalation to CBE","Escalation to Roxanne")&amp;" sent "&amp;TEXT($X373,"dd-mmm")&amp;". "&amp;IF($W373=6,"Final escalation completed.",IF($T373="OVERDUE","Next: "&amp;$Z373&amp;" was due "&amp;TEXT($Y373,"dd-mmm")&amp;" - "&amp;(NETWORKDAYS($Y373,TODAY(),Holidays)-1)&amp;" business day(s) late. Send now.",IF($T373="DUE TOMORROW","Next: "&amp;$Z373&amp;IF($Y373&lt;=TODAY()," is due TODAY ("," is due next business day (")&amp;TEXT($Y373,"dd-mmm")&amp;").","Next: "&amp;$Z373&amp;" due "&amp;TEXT($Y373,"dd-mmm")&amp;" ("&amp;(NETWORKDAYS(TODAY(),$Y373,Holidays)-1)&amp;" business day(s) left).")))))</f>
        <v/>
      </c>
      <c r="V373" s="17">
        <f>IF($W373="","",CHOOSE($W373,"Collection Email","1st Follow-up","2nd Follow-up","Local Office","CBE","Roxanne")&amp;IF($W373=6," - Final"," - Day "&amp;MAX(0,NETWORKDAYS($X373,TODAY(),Holidays)-1)&amp;" of "&amp;CHOOSE($W373,3,3,2,2,3))&amp;" | Total Day "&amp;MAX(0,NETWORKDAYS($L373,TODAY(),Holidays)-1))</f>
        <v/>
      </c>
      <c r="W373" s="17">
        <f>IF($L373="","",COUNT($L373:$Q373))</f>
        <v/>
      </c>
      <c r="X373" s="18">
        <f>IF($W373="","",INT(INDEX($L373:$Q373,$W373)))</f>
        <v/>
      </c>
      <c r="Y373" s="18">
        <f>IF(OR($W373="",$W373=6),"",WORKDAY($X373,CHOOSE($W373,3,3,2,2,3),Holidays))</f>
        <v/>
      </c>
      <c r="Z373" s="17">
        <f>IF(OR($W373="",$W373=6),"",CHOOSE($W373,"1st Email Follow-up","2nd Email Follow-up","Escalate Local Office","Escalate to CBE","Escalate to Roxanne"))</f>
        <v/>
      </c>
    </row>
    <row r="374" spans="18:26">
      <c r="R374" s="15"/>
      <c r="S374" s="16"/>
      <c r="T374" s="17">
        <f>IF(AND(COUNTA($A374:$K374)=0,$L374=""),"",IF($S374="Paid","PAID",IF($S374="Closed","CLOSED",IF($W374="","",IF($W374=6,"ESCALATED TO ROXANNE",IF(TODAY()&gt;$Y374,"OVERDUE",IF($Y374&lt;=WORKDAY(TODAY(),1,Holidays),"DUE TOMORROW",IF($W374=4,"ESCALATED TO LOCAL OFFICE",IF($W374=5,"ESCALATED TO CBE",IF($X374=TODAY(),"EMAIL SENT","MONITORING"))))))))))</f>
        <v/>
      </c>
      <c r="U374" s="17">
        <f>IF($T374="",IF(AND(COUNTA($A374:$K374)&gt;0,$L374=""),"Awaiting Collection Email time stamp.",""),IF(OR($T374="PAID",$T374="CLOSED"),IF($T374="PAID","Account paid. Action completed.","Account closed. No further action required."),CHOOSE($W374,"Collection Email","1st Email Follow-up","2nd Email Follow-up","Escalation to Local Office","Escalation to CBE","Escalation to Roxanne")&amp;" sent "&amp;TEXT($X374,"dd-mmm")&amp;". "&amp;IF($W374=6,"Final escalation completed.",IF($T374="OVERDUE","Next: "&amp;$Z374&amp;" was due "&amp;TEXT($Y374,"dd-mmm")&amp;" - "&amp;(NETWORKDAYS($Y374,TODAY(),Holidays)-1)&amp;" business day(s) late. Send now.",IF($T374="DUE TOMORROW","Next: "&amp;$Z374&amp;IF($Y374&lt;=TODAY()," is due TODAY ("," is due next business day (")&amp;TEXT($Y374,"dd-mmm")&amp;").","Next: "&amp;$Z374&amp;" due "&amp;TEXT($Y374,"dd-mmm")&amp;" ("&amp;(NETWORKDAYS(TODAY(),$Y374,Holidays)-1)&amp;" business day(s) left).")))))</f>
        <v/>
      </c>
      <c r="V374" s="17">
        <f>IF($W374="","",CHOOSE($W374,"Collection Email","1st Follow-up","2nd Follow-up","Local Office","CBE","Roxanne")&amp;IF($W374=6," - Final"," - Day "&amp;MAX(0,NETWORKDAYS($X374,TODAY(),Holidays)-1)&amp;" of "&amp;CHOOSE($W374,3,3,2,2,3))&amp;" | Total Day "&amp;MAX(0,NETWORKDAYS($L374,TODAY(),Holidays)-1))</f>
        <v/>
      </c>
      <c r="W374" s="17">
        <f>IF($L374="","",COUNT($L374:$Q374))</f>
        <v/>
      </c>
      <c r="X374" s="18">
        <f>IF($W374="","",INT(INDEX($L374:$Q374,$W374)))</f>
        <v/>
      </c>
      <c r="Y374" s="18">
        <f>IF(OR($W374="",$W374=6),"",WORKDAY($X374,CHOOSE($W374,3,3,2,2,3),Holidays))</f>
        <v/>
      </c>
      <c r="Z374" s="17">
        <f>IF(OR($W374="",$W374=6),"",CHOOSE($W374,"1st Email Follow-up","2nd Email Follow-up","Escalate Local Office","Escalate to CBE","Escalate to Roxanne"))</f>
        <v/>
      </c>
    </row>
    <row r="375" spans="18:26">
      <c r="R375" s="15"/>
      <c r="S375" s="16"/>
      <c r="T375" s="17">
        <f>IF(AND(COUNTA($A375:$K375)=0,$L375=""),"",IF($S375="Paid","PAID",IF($S375="Closed","CLOSED",IF($W375="","",IF($W375=6,"ESCALATED TO ROXANNE",IF(TODAY()&gt;$Y375,"OVERDUE",IF($Y375&lt;=WORKDAY(TODAY(),1,Holidays),"DUE TOMORROW",IF($W375=4,"ESCALATED TO LOCAL OFFICE",IF($W375=5,"ESCALATED TO CBE",IF($X375=TODAY(),"EMAIL SENT","MONITORING"))))))))))</f>
        <v/>
      </c>
      <c r="U375" s="17">
        <f>IF($T375="",IF(AND(COUNTA($A375:$K375)&gt;0,$L375=""),"Awaiting Collection Email time stamp.",""),IF(OR($T375="PAID",$T375="CLOSED"),IF($T375="PAID","Account paid. Action completed.","Account closed. No further action required."),CHOOSE($W375,"Collection Email","1st Email Follow-up","2nd Email Follow-up","Escalation to Local Office","Escalation to CBE","Escalation to Roxanne")&amp;" sent "&amp;TEXT($X375,"dd-mmm")&amp;". "&amp;IF($W375=6,"Final escalation completed.",IF($T375="OVERDUE","Next: "&amp;$Z375&amp;" was due "&amp;TEXT($Y375,"dd-mmm")&amp;" - "&amp;(NETWORKDAYS($Y375,TODAY(),Holidays)-1)&amp;" business day(s) late. Send now.",IF($T375="DUE TOMORROW","Next: "&amp;$Z375&amp;IF($Y375&lt;=TODAY()," is due TODAY ("," is due next business day (")&amp;TEXT($Y375,"dd-mmm")&amp;").","Next: "&amp;$Z375&amp;" due "&amp;TEXT($Y375,"dd-mmm")&amp;" ("&amp;(NETWORKDAYS(TODAY(),$Y375,Holidays)-1)&amp;" business day(s) left).")))))</f>
        <v/>
      </c>
      <c r="V375" s="17">
        <f>IF($W375="","",CHOOSE($W375,"Collection Email","1st Follow-up","2nd Follow-up","Local Office","CBE","Roxanne")&amp;IF($W375=6," - Final"," - Day "&amp;MAX(0,NETWORKDAYS($X375,TODAY(),Holidays)-1)&amp;" of "&amp;CHOOSE($W375,3,3,2,2,3))&amp;" | Total Day "&amp;MAX(0,NETWORKDAYS($L375,TODAY(),Holidays)-1))</f>
        <v/>
      </c>
      <c r="W375" s="17">
        <f>IF($L375="","",COUNT($L375:$Q375))</f>
        <v/>
      </c>
      <c r="X375" s="18">
        <f>IF($W375="","",INT(INDEX($L375:$Q375,$W375)))</f>
        <v/>
      </c>
      <c r="Y375" s="18">
        <f>IF(OR($W375="",$W375=6),"",WORKDAY($X375,CHOOSE($W375,3,3,2,2,3),Holidays))</f>
        <v/>
      </c>
      <c r="Z375" s="17">
        <f>IF(OR($W375="",$W375=6),"",CHOOSE($W375,"1st Email Follow-up","2nd Email Follow-up","Escalate Local Office","Escalate to CBE","Escalate to Roxanne"))</f>
        <v/>
      </c>
    </row>
    <row r="376" spans="18:26">
      <c r="R376" s="15"/>
      <c r="S376" s="16"/>
      <c r="T376" s="17">
        <f>IF(AND(COUNTA($A376:$K376)=0,$L376=""),"",IF($S376="Paid","PAID",IF($S376="Closed","CLOSED",IF($W376="","",IF($W376=6,"ESCALATED TO ROXANNE",IF(TODAY()&gt;$Y376,"OVERDUE",IF($Y376&lt;=WORKDAY(TODAY(),1,Holidays),"DUE TOMORROW",IF($W376=4,"ESCALATED TO LOCAL OFFICE",IF($W376=5,"ESCALATED TO CBE",IF($X376=TODAY(),"EMAIL SENT","MONITORING"))))))))))</f>
        <v/>
      </c>
      <c r="U376" s="17">
        <f>IF($T376="",IF(AND(COUNTA($A376:$K376)&gt;0,$L376=""),"Awaiting Collection Email time stamp.",""),IF(OR($T376="PAID",$T376="CLOSED"),IF($T376="PAID","Account paid. Action completed.","Account closed. No further action required."),CHOOSE($W376,"Collection Email","1st Email Follow-up","2nd Email Follow-up","Escalation to Local Office","Escalation to CBE","Escalation to Roxanne")&amp;" sent "&amp;TEXT($X376,"dd-mmm")&amp;". "&amp;IF($W376=6,"Final escalation completed.",IF($T376="OVERDUE","Next: "&amp;$Z376&amp;" was due "&amp;TEXT($Y376,"dd-mmm")&amp;" - "&amp;(NETWORKDAYS($Y376,TODAY(),Holidays)-1)&amp;" business day(s) late. Send now.",IF($T376="DUE TOMORROW","Next: "&amp;$Z376&amp;IF($Y376&lt;=TODAY()," is due TODAY ("," is due next business day (")&amp;TEXT($Y376,"dd-mmm")&amp;").","Next: "&amp;$Z376&amp;" due "&amp;TEXT($Y376,"dd-mmm")&amp;" ("&amp;(NETWORKDAYS(TODAY(),$Y376,Holidays)-1)&amp;" business day(s) left).")))))</f>
        <v/>
      </c>
      <c r="V376" s="17">
        <f>IF($W376="","",CHOOSE($W376,"Collection Email","1st Follow-up","2nd Follow-up","Local Office","CBE","Roxanne")&amp;IF($W376=6," - Final"," - Day "&amp;MAX(0,NETWORKDAYS($X376,TODAY(),Holidays)-1)&amp;" of "&amp;CHOOSE($W376,3,3,2,2,3))&amp;" | Total Day "&amp;MAX(0,NETWORKDAYS($L376,TODAY(),Holidays)-1))</f>
        <v/>
      </c>
      <c r="W376" s="17">
        <f>IF($L376="","",COUNT($L376:$Q376))</f>
        <v/>
      </c>
      <c r="X376" s="18">
        <f>IF($W376="","",INT(INDEX($L376:$Q376,$W376)))</f>
        <v/>
      </c>
      <c r="Y376" s="18">
        <f>IF(OR($W376="",$W376=6),"",WORKDAY($X376,CHOOSE($W376,3,3,2,2,3),Holidays))</f>
        <v/>
      </c>
      <c r="Z376" s="17">
        <f>IF(OR($W376="",$W376=6),"",CHOOSE($W376,"1st Email Follow-up","2nd Email Follow-up","Escalate Local Office","Escalate to CBE","Escalate to Roxanne"))</f>
        <v/>
      </c>
    </row>
    <row r="377" spans="18:26">
      <c r="R377" s="15"/>
      <c r="S377" s="16"/>
      <c r="T377" s="17">
        <f>IF(AND(COUNTA($A377:$K377)=0,$L377=""),"",IF($S377="Paid","PAID",IF($S377="Closed","CLOSED",IF($W377="","",IF($W377=6,"ESCALATED TO ROXANNE",IF(TODAY()&gt;$Y377,"OVERDUE",IF($Y377&lt;=WORKDAY(TODAY(),1,Holidays),"DUE TOMORROW",IF($W377=4,"ESCALATED TO LOCAL OFFICE",IF($W377=5,"ESCALATED TO CBE",IF($X377=TODAY(),"EMAIL SENT","MONITORING"))))))))))</f>
        <v/>
      </c>
      <c r="U377" s="17">
        <f>IF($T377="",IF(AND(COUNTA($A377:$K377)&gt;0,$L377=""),"Awaiting Collection Email time stamp.",""),IF(OR($T377="PAID",$T377="CLOSED"),IF($T377="PAID","Account paid. Action completed.","Account closed. No further action required."),CHOOSE($W377,"Collection Email","1st Email Follow-up","2nd Email Follow-up","Escalation to Local Office","Escalation to CBE","Escalation to Roxanne")&amp;" sent "&amp;TEXT($X377,"dd-mmm")&amp;". "&amp;IF($W377=6,"Final escalation completed.",IF($T377="OVERDUE","Next: "&amp;$Z377&amp;" was due "&amp;TEXT($Y377,"dd-mmm")&amp;" - "&amp;(NETWORKDAYS($Y377,TODAY(),Holidays)-1)&amp;" business day(s) late. Send now.",IF($T377="DUE TOMORROW","Next: "&amp;$Z377&amp;IF($Y377&lt;=TODAY()," is due TODAY ("," is due next business day (")&amp;TEXT($Y377,"dd-mmm")&amp;").","Next: "&amp;$Z377&amp;" due "&amp;TEXT($Y377,"dd-mmm")&amp;" ("&amp;(NETWORKDAYS(TODAY(),$Y377,Holidays)-1)&amp;" business day(s) left).")))))</f>
        <v/>
      </c>
      <c r="V377" s="17">
        <f>IF($W377="","",CHOOSE($W377,"Collection Email","1st Follow-up","2nd Follow-up","Local Office","CBE","Roxanne")&amp;IF($W377=6," - Final"," - Day "&amp;MAX(0,NETWORKDAYS($X377,TODAY(),Holidays)-1)&amp;" of "&amp;CHOOSE($W377,3,3,2,2,3))&amp;" | Total Day "&amp;MAX(0,NETWORKDAYS($L377,TODAY(),Holidays)-1))</f>
        <v/>
      </c>
      <c r="W377" s="17">
        <f>IF($L377="","",COUNT($L377:$Q377))</f>
        <v/>
      </c>
      <c r="X377" s="18">
        <f>IF($W377="","",INT(INDEX($L377:$Q377,$W377)))</f>
        <v/>
      </c>
      <c r="Y377" s="18">
        <f>IF(OR($W377="",$W377=6),"",WORKDAY($X377,CHOOSE($W377,3,3,2,2,3),Holidays))</f>
        <v/>
      </c>
      <c r="Z377" s="17">
        <f>IF(OR($W377="",$W377=6),"",CHOOSE($W377,"1st Email Follow-up","2nd Email Follow-up","Escalate Local Office","Escalate to CBE","Escalate to Roxanne"))</f>
        <v/>
      </c>
    </row>
    <row r="378" spans="18:26">
      <c r="R378" s="15"/>
      <c r="S378" s="16"/>
      <c r="T378" s="17">
        <f>IF(AND(COUNTA($A378:$K378)=0,$L378=""),"",IF($S378="Paid","PAID",IF($S378="Closed","CLOSED",IF($W378="","",IF($W378=6,"ESCALATED TO ROXANNE",IF(TODAY()&gt;$Y378,"OVERDUE",IF($Y378&lt;=WORKDAY(TODAY(),1,Holidays),"DUE TOMORROW",IF($W378=4,"ESCALATED TO LOCAL OFFICE",IF($W378=5,"ESCALATED TO CBE",IF($X378=TODAY(),"EMAIL SENT","MONITORING"))))))))))</f>
        <v/>
      </c>
      <c r="U378" s="17">
        <f>IF($T378="",IF(AND(COUNTA($A378:$K378)&gt;0,$L378=""),"Awaiting Collection Email time stamp.",""),IF(OR($T378="PAID",$T378="CLOSED"),IF($T378="PAID","Account paid. Action completed.","Account closed. No further action required."),CHOOSE($W378,"Collection Email","1st Email Follow-up","2nd Email Follow-up","Escalation to Local Office","Escalation to CBE","Escalation to Roxanne")&amp;" sent "&amp;TEXT($X378,"dd-mmm")&amp;". "&amp;IF($W378=6,"Final escalation completed.",IF($T378="OVERDUE","Next: "&amp;$Z378&amp;" was due "&amp;TEXT($Y378,"dd-mmm")&amp;" - "&amp;(NETWORKDAYS($Y378,TODAY(),Holidays)-1)&amp;" business day(s) late. Send now.",IF($T378="DUE TOMORROW","Next: "&amp;$Z378&amp;IF($Y378&lt;=TODAY()," is due TODAY ("," is due next business day (")&amp;TEXT($Y378,"dd-mmm")&amp;").","Next: "&amp;$Z378&amp;" due "&amp;TEXT($Y378,"dd-mmm")&amp;" ("&amp;(NETWORKDAYS(TODAY(),$Y378,Holidays)-1)&amp;" business day(s) left).")))))</f>
        <v/>
      </c>
      <c r="V378" s="17">
        <f>IF($W378="","",CHOOSE($W378,"Collection Email","1st Follow-up","2nd Follow-up","Local Office","CBE","Roxanne")&amp;IF($W378=6," - Final"," - Day "&amp;MAX(0,NETWORKDAYS($X378,TODAY(),Holidays)-1)&amp;" of "&amp;CHOOSE($W378,3,3,2,2,3))&amp;" | Total Day "&amp;MAX(0,NETWORKDAYS($L378,TODAY(),Holidays)-1))</f>
        <v/>
      </c>
      <c r="W378" s="17">
        <f>IF($L378="","",COUNT($L378:$Q378))</f>
        <v/>
      </c>
      <c r="X378" s="18">
        <f>IF($W378="","",INT(INDEX($L378:$Q378,$W378)))</f>
        <v/>
      </c>
      <c r="Y378" s="18">
        <f>IF(OR($W378="",$W378=6),"",WORKDAY($X378,CHOOSE($W378,3,3,2,2,3),Holidays))</f>
        <v/>
      </c>
      <c r="Z378" s="17">
        <f>IF(OR($W378="",$W378=6),"",CHOOSE($W378,"1st Email Follow-up","2nd Email Follow-up","Escalate Local Office","Escalate to CBE","Escalate to Roxanne"))</f>
        <v/>
      </c>
    </row>
    <row r="379" spans="18:26">
      <c r="R379" s="15"/>
      <c r="S379" s="16"/>
      <c r="T379" s="17">
        <f>IF(AND(COUNTA($A379:$K379)=0,$L379=""),"",IF($S379="Paid","PAID",IF($S379="Closed","CLOSED",IF($W379="","",IF($W379=6,"ESCALATED TO ROXANNE",IF(TODAY()&gt;$Y379,"OVERDUE",IF($Y379&lt;=WORKDAY(TODAY(),1,Holidays),"DUE TOMORROW",IF($W379=4,"ESCALATED TO LOCAL OFFICE",IF($W379=5,"ESCALATED TO CBE",IF($X379=TODAY(),"EMAIL SENT","MONITORING"))))))))))</f>
        <v/>
      </c>
      <c r="U379" s="17">
        <f>IF($T379="",IF(AND(COUNTA($A379:$K379)&gt;0,$L379=""),"Awaiting Collection Email time stamp.",""),IF(OR($T379="PAID",$T379="CLOSED"),IF($T379="PAID","Account paid. Action completed.","Account closed. No further action required."),CHOOSE($W379,"Collection Email","1st Email Follow-up","2nd Email Follow-up","Escalation to Local Office","Escalation to CBE","Escalation to Roxanne")&amp;" sent "&amp;TEXT($X379,"dd-mmm")&amp;". "&amp;IF($W379=6,"Final escalation completed.",IF($T379="OVERDUE","Next: "&amp;$Z379&amp;" was due "&amp;TEXT($Y379,"dd-mmm")&amp;" - "&amp;(NETWORKDAYS($Y379,TODAY(),Holidays)-1)&amp;" business day(s) late. Send now.",IF($T379="DUE TOMORROW","Next: "&amp;$Z379&amp;IF($Y379&lt;=TODAY()," is due TODAY ("," is due next business day (")&amp;TEXT($Y379,"dd-mmm")&amp;").","Next: "&amp;$Z379&amp;" due "&amp;TEXT($Y379,"dd-mmm")&amp;" ("&amp;(NETWORKDAYS(TODAY(),$Y379,Holidays)-1)&amp;" business day(s) left).")))))</f>
        <v/>
      </c>
      <c r="V379" s="17">
        <f>IF($W379="","",CHOOSE($W379,"Collection Email","1st Follow-up","2nd Follow-up","Local Office","CBE","Roxanne")&amp;IF($W379=6," - Final"," - Day "&amp;MAX(0,NETWORKDAYS($X379,TODAY(),Holidays)-1)&amp;" of "&amp;CHOOSE($W379,3,3,2,2,3))&amp;" | Total Day "&amp;MAX(0,NETWORKDAYS($L379,TODAY(),Holidays)-1))</f>
        <v/>
      </c>
      <c r="W379" s="17">
        <f>IF($L379="","",COUNT($L379:$Q379))</f>
        <v/>
      </c>
      <c r="X379" s="18">
        <f>IF($W379="","",INT(INDEX($L379:$Q379,$W379)))</f>
        <v/>
      </c>
      <c r="Y379" s="18">
        <f>IF(OR($W379="",$W379=6),"",WORKDAY($X379,CHOOSE($W379,3,3,2,2,3),Holidays))</f>
        <v/>
      </c>
      <c r="Z379" s="17">
        <f>IF(OR($W379="",$W379=6),"",CHOOSE($W379,"1st Email Follow-up","2nd Email Follow-up","Escalate Local Office","Escalate to CBE","Escalate to Roxanne"))</f>
        <v/>
      </c>
    </row>
    <row r="380" spans="18:26">
      <c r="R380" s="15"/>
      <c r="S380" s="16"/>
      <c r="T380" s="17">
        <f>IF(AND(COUNTA($A380:$K380)=0,$L380=""),"",IF($S380="Paid","PAID",IF($S380="Closed","CLOSED",IF($W380="","",IF($W380=6,"ESCALATED TO ROXANNE",IF(TODAY()&gt;$Y380,"OVERDUE",IF($Y380&lt;=WORKDAY(TODAY(),1,Holidays),"DUE TOMORROW",IF($W380=4,"ESCALATED TO LOCAL OFFICE",IF($W380=5,"ESCALATED TO CBE",IF($X380=TODAY(),"EMAIL SENT","MONITORING"))))))))))</f>
        <v/>
      </c>
      <c r="U380" s="17">
        <f>IF($T380="",IF(AND(COUNTA($A380:$K380)&gt;0,$L380=""),"Awaiting Collection Email time stamp.",""),IF(OR($T380="PAID",$T380="CLOSED"),IF($T380="PAID","Account paid. Action completed.","Account closed. No further action required."),CHOOSE($W380,"Collection Email","1st Email Follow-up","2nd Email Follow-up","Escalation to Local Office","Escalation to CBE","Escalation to Roxanne")&amp;" sent "&amp;TEXT($X380,"dd-mmm")&amp;". "&amp;IF($W380=6,"Final escalation completed.",IF($T380="OVERDUE","Next: "&amp;$Z380&amp;" was due "&amp;TEXT($Y380,"dd-mmm")&amp;" - "&amp;(NETWORKDAYS($Y380,TODAY(),Holidays)-1)&amp;" business day(s) late. Send now.",IF($T380="DUE TOMORROW","Next: "&amp;$Z380&amp;IF($Y380&lt;=TODAY()," is due TODAY ("," is due next business day (")&amp;TEXT($Y380,"dd-mmm")&amp;").","Next: "&amp;$Z380&amp;" due "&amp;TEXT($Y380,"dd-mmm")&amp;" ("&amp;(NETWORKDAYS(TODAY(),$Y380,Holidays)-1)&amp;" business day(s) left).")))))</f>
        <v/>
      </c>
      <c r="V380" s="17">
        <f>IF($W380="","",CHOOSE($W380,"Collection Email","1st Follow-up","2nd Follow-up","Local Office","CBE","Roxanne")&amp;IF($W380=6," - Final"," - Day "&amp;MAX(0,NETWORKDAYS($X380,TODAY(),Holidays)-1)&amp;" of "&amp;CHOOSE($W380,3,3,2,2,3))&amp;" | Total Day "&amp;MAX(0,NETWORKDAYS($L380,TODAY(),Holidays)-1))</f>
        <v/>
      </c>
      <c r="W380" s="17">
        <f>IF($L380="","",COUNT($L380:$Q380))</f>
        <v/>
      </c>
      <c r="X380" s="18">
        <f>IF($W380="","",INT(INDEX($L380:$Q380,$W380)))</f>
        <v/>
      </c>
      <c r="Y380" s="18">
        <f>IF(OR($W380="",$W380=6),"",WORKDAY($X380,CHOOSE($W380,3,3,2,2,3),Holidays))</f>
        <v/>
      </c>
      <c r="Z380" s="17">
        <f>IF(OR($W380="",$W380=6),"",CHOOSE($W380,"1st Email Follow-up","2nd Email Follow-up","Escalate Local Office","Escalate to CBE","Escalate to Roxanne"))</f>
        <v/>
      </c>
    </row>
    <row r="381" spans="18:26">
      <c r="R381" s="15"/>
      <c r="S381" s="16"/>
      <c r="T381" s="17">
        <f>IF(AND(COUNTA($A381:$K381)=0,$L381=""),"",IF($S381="Paid","PAID",IF($S381="Closed","CLOSED",IF($W381="","",IF($W381=6,"ESCALATED TO ROXANNE",IF(TODAY()&gt;$Y381,"OVERDUE",IF($Y381&lt;=WORKDAY(TODAY(),1,Holidays),"DUE TOMORROW",IF($W381=4,"ESCALATED TO LOCAL OFFICE",IF($W381=5,"ESCALATED TO CBE",IF($X381=TODAY(),"EMAIL SENT","MONITORING"))))))))))</f>
        <v/>
      </c>
      <c r="U381" s="17">
        <f>IF($T381="",IF(AND(COUNTA($A381:$K381)&gt;0,$L381=""),"Awaiting Collection Email time stamp.",""),IF(OR($T381="PAID",$T381="CLOSED"),IF($T381="PAID","Account paid. Action completed.","Account closed. No further action required."),CHOOSE($W381,"Collection Email","1st Email Follow-up","2nd Email Follow-up","Escalation to Local Office","Escalation to CBE","Escalation to Roxanne")&amp;" sent "&amp;TEXT($X381,"dd-mmm")&amp;". "&amp;IF($W381=6,"Final escalation completed.",IF($T381="OVERDUE","Next: "&amp;$Z381&amp;" was due "&amp;TEXT($Y381,"dd-mmm")&amp;" - "&amp;(NETWORKDAYS($Y381,TODAY(),Holidays)-1)&amp;" business day(s) late. Send now.",IF($T381="DUE TOMORROW","Next: "&amp;$Z381&amp;IF($Y381&lt;=TODAY()," is due TODAY ("," is due next business day (")&amp;TEXT($Y381,"dd-mmm")&amp;").","Next: "&amp;$Z381&amp;" due "&amp;TEXT($Y381,"dd-mmm")&amp;" ("&amp;(NETWORKDAYS(TODAY(),$Y381,Holidays)-1)&amp;" business day(s) left).")))))</f>
        <v/>
      </c>
      <c r="V381" s="17">
        <f>IF($W381="","",CHOOSE($W381,"Collection Email","1st Follow-up","2nd Follow-up","Local Office","CBE","Roxanne")&amp;IF($W381=6," - Final"," - Day "&amp;MAX(0,NETWORKDAYS($X381,TODAY(),Holidays)-1)&amp;" of "&amp;CHOOSE($W381,3,3,2,2,3))&amp;" | Total Day "&amp;MAX(0,NETWORKDAYS($L381,TODAY(),Holidays)-1))</f>
        <v/>
      </c>
      <c r="W381" s="17">
        <f>IF($L381="","",COUNT($L381:$Q381))</f>
        <v/>
      </c>
      <c r="X381" s="18">
        <f>IF($W381="","",INT(INDEX($L381:$Q381,$W381)))</f>
        <v/>
      </c>
      <c r="Y381" s="18">
        <f>IF(OR($W381="",$W381=6),"",WORKDAY($X381,CHOOSE($W381,3,3,2,2,3),Holidays))</f>
        <v/>
      </c>
      <c r="Z381" s="17">
        <f>IF(OR($W381="",$W381=6),"",CHOOSE($W381,"1st Email Follow-up","2nd Email Follow-up","Escalate Local Office","Escalate to CBE","Escalate to Roxanne"))</f>
        <v/>
      </c>
    </row>
    <row r="382" spans="18:26">
      <c r="R382" s="15"/>
      <c r="S382" s="16"/>
      <c r="T382" s="17">
        <f>IF(AND(COUNTA($A382:$K382)=0,$L382=""),"",IF($S382="Paid","PAID",IF($S382="Closed","CLOSED",IF($W382="","",IF($W382=6,"ESCALATED TO ROXANNE",IF(TODAY()&gt;$Y382,"OVERDUE",IF($Y382&lt;=WORKDAY(TODAY(),1,Holidays),"DUE TOMORROW",IF($W382=4,"ESCALATED TO LOCAL OFFICE",IF($W382=5,"ESCALATED TO CBE",IF($X382=TODAY(),"EMAIL SENT","MONITORING"))))))))))</f>
        <v/>
      </c>
      <c r="U382" s="17">
        <f>IF($T382="",IF(AND(COUNTA($A382:$K382)&gt;0,$L382=""),"Awaiting Collection Email time stamp.",""),IF(OR($T382="PAID",$T382="CLOSED"),IF($T382="PAID","Account paid. Action completed.","Account closed. No further action required."),CHOOSE($W382,"Collection Email","1st Email Follow-up","2nd Email Follow-up","Escalation to Local Office","Escalation to CBE","Escalation to Roxanne")&amp;" sent "&amp;TEXT($X382,"dd-mmm")&amp;". "&amp;IF($W382=6,"Final escalation completed.",IF($T382="OVERDUE","Next: "&amp;$Z382&amp;" was due "&amp;TEXT($Y382,"dd-mmm")&amp;" - "&amp;(NETWORKDAYS($Y382,TODAY(),Holidays)-1)&amp;" business day(s) late. Send now.",IF($T382="DUE TOMORROW","Next: "&amp;$Z382&amp;IF($Y382&lt;=TODAY()," is due TODAY ("," is due next business day (")&amp;TEXT($Y382,"dd-mmm")&amp;").","Next: "&amp;$Z382&amp;" due "&amp;TEXT($Y382,"dd-mmm")&amp;" ("&amp;(NETWORKDAYS(TODAY(),$Y382,Holidays)-1)&amp;" business day(s) left).")))))</f>
        <v/>
      </c>
      <c r="V382" s="17">
        <f>IF($W382="","",CHOOSE($W382,"Collection Email","1st Follow-up","2nd Follow-up","Local Office","CBE","Roxanne")&amp;IF($W382=6," - Final"," - Day "&amp;MAX(0,NETWORKDAYS($X382,TODAY(),Holidays)-1)&amp;" of "&amp;CHOOSE($W382,3,3,2,2,3))&amp;" | Total Day "&amp;MAX(0,NETWORKDAYS($L382,TODAY(),Holidays)-1))</f>
        <v/>
      </c>
      <c r="W382" s="17">
        <f>IF($L382="","",COUNT($L382:$Q382))</f>
        <v/>
      </c>
      <c r="X382" s="18">
        <f>IF($W382="","",INT(INDEX($L382:$Q382,$W382)))</f>
        <v/>
      </c>
      <c r="Y382" s="18">
        <f>IF(OR($W382="",$W382=6),"",WORKDAY($X382,CHOOSE($W382,3,3,2,2,3),Holidays))</f>
        <v/>
      </c>
      <c r="Z382" s="17">
        <f>IF(OR($W382="",$W382=6),"",CHOOSE($W382,"1st Email Follow-up","2nd Email Follow-up","Escalate Local Office","Escalate to CBE","Escalate to Roxanne"))</f>
        <v/>
      </c>
    </row>
    <row r="383" spans="18:26">
      <c r="R383" s="15"/>
      <c r="S383" s="16"/>
      <c r="T383" s="17">
        <f>IF(AND(COUNTA($A383:$K383)=0,$L383=""),"",IF($S383="Paid","PAID",IF($S383="Closed","CLOSED",IF($W383="","",IF($W383=6,"ESCALATED TO ROXANNE",IF(TODAY()&gt;$Y383,"OVERDUE",IF($Y383&lt;=WORKDAY(TODAY(),1,Holidays),"DUE TOMORROW",IF($W383=4,"ESCALATED TO LOCAL OFFICE",IF($W383=5,"ESCALATED TO CBE",IF($X383=TODAY(),"EMAIL SENT","MONITORING"))))))))))</f>
        <v/>
      </c>
      <c r="U383" s="17">
        <f>IF($T383="",IF(AND(COUNTA($A383:$K383)&gt;0,$L383=""),"Awaiting Collection Email time stamp.",""),IF(OR($T383="PAID",$T383="CLOSED"),IF($T383="PAID","Account paid. Action completed.","Account closed. No further action required."),CHOOSE($W383,"Collection Email","1st Email Follow-up","2nd Email Follow-up","Escalation to Local Office","Escalation to CBE","Escalation to Roxanne")&amp;" sent "&amp;TEXT($X383,"dd-mmm")&amp;". "&amp;IF($W383=6,"Final escalation completed.",IF($T383="OVERDUE","Next: "&amp;$Z383&amp;" was due "&amp;TEXT($Y383,"dd-mmm")&amp;" - "&amp;(NETWORKDAYS($Y383,TODAY(),Holidays)-1)&amp;" business day(s) late. Send now.",IF($T383="DUE TOMORROW","Next: "&amp;$Z383&amp;IF($Y383&lt;=TODAY()," is due TODAY ("," is due next business day (")&amp;TEXT($Y383,"dd-mmm")&amp;").","Next: "&amp;$Z383&amp;" due "&amp;TEXT($Y383,"dd-mmm")&amp;" ("&amp;(NETWORKDAYS(TODAY(),$Y383,Holidays)-1)&amp;" business day(s) left).")))))</f>
        <v/>
      </c>
      <c r="V383" s="17">
        <f>IF($W383="","",CHOOSE($W383,"Collection Email","1st Follow-up","2nd Follow-up","Local Office","CBE","Roxanne")&amp;IF($W383=6," - Final"," - Day "&amp;MAX(0,NETWORKDAYS($X383,TODAY(),Holidays)-1)&amp;" of "&amp;CHOOSE($W383,3,3,2,2,3))&amp;" | Total Day "&amp;MAX(0,NETWORKDAYS($L383,TODAY(),Holidays)-1))</f>
        <v/>
      </c>
      <c r="W383" s="17">
        <f>IF($L383="","",COUNT($L383:$Q383))</f>
        <v/>
      </c>
      <c r="X383" s="18">
        <f>IF($W383="","",INT(INDEX($L383:$Q383,$W383)))</f>
        <v/>
      </c>
      <c r="Y383" s="18">
        <f>IF(OR($W383="",$W383=6),"",WORKDAY($X383,CHOOSE($W383,3,3,2,2,3),Holidays))</f>
        <v/>
      </c>
      <c r="Z383" s="17">
        <f>IF(OR($W383="",$W383=6),"",CHOOSE($W383,"1st Email Follow-up","2nd Email Follow-up","Escalate Local Office","Escalate to CBE","Escalate to Roxanne"))</f>
        <v/>
      </c>
    </row>
    <row r="384" spans="18:26">
      <c r="R384" s="15"/>
      <c r="S384" s="16"/>
      <c r="T384" s="17">
        <f>IF(AND(COUNTA($A384:$K384)=0,$L384=""),"",IF($S384="Paid","PAID",IF($S384="Closed","CLOSED",IF($W384="","",IF($W384=6,"ESCALATED TO ROXANNE",IF(TODAY()&gt;$Y384,"OVERDUE",IF($Y384&lt;=WORKDAY(TODAY(),1,Holidays),"DUE TOMORROW",IF($W384=4,"ESCALATED TO LOCAL OFFICE",IF($W384=5,"ESCALATED TO CBE",IF($X384=TODAY(),"EMAIL SENT","MONITORING"))))))))))</f>
        <v/>
      </c>
      <c r="U384" s="17">
        <f>IF($T384="",IF(AND(COUNTA($A384:$K384)&gt;0,$L384=""),"Awaiting Collection Email time stamp.",""),IF(OR($T384="PAID",$T384="CLOSED"),IF($T384="PAID","Account paid. Action completed.","Account closed. No further action required."),CHOOSE($W384,"Collection Email","1st Email Follow-up","2nd Email Follow-up","Escalation to Local Office","Escalation to CBE","Escalation to Roxanne")&amp;" sent "&amp;TEXT($X384,"dd-mmm")&amp;". "&amp;IF($W384=6,"Final escalation completed.",IF($T384="OVERDUE","Next: "&amp;$Z384&amp;" was due "&amp;TEXT($Y384,"dd-mmm")&amp;" - "&amp;(NETWORKDAYS($Y384,TODAY(),Holidays)-1)&amp;" business day(s) late. Send now.",IF($T384="DUE TOMORROW","Next: "&amp;$Z384&amp;IF($Y384&lt;=TODAY()," is due TODAY ("," is due next business day (")&amp;TEXT($Y384,"dd-mmm")&amp;").","Next: "&amp;$Z384&amp;" due "&amp;TEXT($Y384,"dd-mmm")&amp;" ("&amp;(NETWORKDAYS(TODAY(),$Y384,Holidays)-1)&amp;" business day(s) left).")))))</f>
        <v/>
      </c>
      <c r="V384" s="17">
        <f>IF($W384="","",CHOOSE($W384,"Collection Email","1st Follow-up","2nd Follow-up","Local Office","CBE","Roxanne")&amp;IF($W384=6," - Final"," - Day "&amp;MAX(0,NETWORKDAYS($X384,TODAY(),Holidays)-1)&amp;" of "&amp;CHOOSE($W384,3,3,2,2,3))&amp;" | Total Day "&amp;MAX(0,NETWORKDAYS($L384,TODAY(),Holidays)-1))</f>
        <v/>
      </c>
      <c r="W384" s="17">
        <f>IF($L384="","",COUNT($L384:$Q384))</f>
        <v/>
      </c>
      <c r="X384" s="18">
        <f>IF($W384="","",INT(INDEX($L384:$Q384,$W384)))</f>
        <v/>
      </c>
      <c r="Y384" s="18">
        <f>IF(OR($W384="",$W384=6),"",WORKDAY($X384,CHOOSE($W384,3,3,2,2,3),Holidays))</f>
        <v/>
      </c>
      <c r="Z384" s="17">
        <f>IF(OR($W384="",$W384=6),"",CHOOSE($W384,"1st Email Follow-up","2nd Email Follow-up","Escalate Local Office","Escalate to CBE","Escalate to Roxanne"))</f>
        <v/>
      </c>
    </row>
    <row r="385" spans="18:26">
      <c r="R385" s="15"/>
      <c r="S385" s="16"/>
      <c r="T385" s="17">
        <f>IF(AND(COUNTA($A385:$K385)=0,$L385=""),"",IF($S385="Paid","PAID",IF($S385="Closed","CLOSED",IF($W385="","",IF($W385=6,"ESCALATED TO ROXANNE",IF(TODAY()&gt;$Y385,"OVERDUE",IF($Y385&lt;=WORKDAY(TODAY(),1,Holidays),"DUE TOMORROW",IF($W385=4,"ESCALATED TO LOCAL OFFICE",IF($W385=5,"ESCALATED TO CBE",IF($X385=TODAY(),"EMAIL SENT","MONITORING"))))))))))</f>
        <v/>
      </c>
      <c r="U385" s="17">
        <f>IF($T385="",IF(AND(COUNTA($A385:$K385)&gt;0,$L385=""),"Awaiting Collection Email time stamp.",""),IF(OR($T385="PAID",$T385="CLOSED"),IF($T385="PAID","Account paid. Action completed.","Account closed. No further action required."),CHOOSE($W385,"Collection Email","1st Email Follow-up","2nd Email Follow-up","Escalation to Local Office","Escalation to CBE","Escalation to Roxanne")&amp;" sent "&amp;TEXT($X385,"dd-mmm")&amp;". "&amp;IF($W385=6,"Final escalation completed.",IF($T385="OVERDUE","Next: "&amp;$Z385&amp;" was due "&amp;TEXT($Y385,"dd-mmm")&amp;" - "&amp;(NETWORKDAYS($Y385,TODAY(),Holidays)-1)&amp;" business day(s) late. Send now.",IF($T385="DUE TOMORROW","Next: "&amp;$Z385&amp;IF($Y385&lt;=TODAY()," is due TODAY ("," is due next business day (")&amp;TEXT($Y385,"dd-mmm")&amp;").","Next: "&amp;$Z385&amp;" due "&amp;TEXT($Y385,"dd-mmm")&amp;" ("&amp;(NETWORKDAYS(TODAY(),$Y385,Holidays)-1)&amp;" business day(s) left).")))))</f>
        <v/>
      </c>
      <c r="V385" s="17">
        <f>IF($W385="","",CHOOSE($W385,"Collection Email","1st Follow-up","2nd Follow-up","Local Office","CBE","Roxanne")&amp;IF($W385=6," - Final"," - Day "&amp;MAX(0,NETWORKDAYS($X385,TODAY(),Holidays)-1)&amp;" of "&amp;CHOOSE($W385,3,3,2,2,3))&amp;" | Total Day "&amp;MAX(0,NETWORKDAYS($L385,TODAY(),Holidays)-1))</f>
        <v/>
      </c>
      <c r="W385" s="17">
        <f>IF($L385="","",COUNT($L385:$Q385))</f>
        <v/>
      </c>
      <c r="X385" s="18">
        <f>IF($W385="","",INT(INDEX($L385:$Q385,$W385)))</f>
        <v/>
      </c>
      <c r="Y385" s="18">
        <f>IF(OR($W385="",$W385=6),"",WORKDAY($X385,CHOOSE($W385,3,3,2,2,3),Holidays))</f>
        <v/>
      </c>
      <c r="Z385" s="17">
        <f>IF(OR($W385="",$W385=6),"",CHOOSE($W385,"1st Email Follow-up","2nd Email Follow-up","Escalate Local Office","Escalate to CBE","Escalate to Roxanne"))</f>
        <v/>
      </c>
    </row>
    <row r="386" spans="18:26">
      <c r="R386" s="15"/>
      <c r="S386" s="16"/>
      <c r="T386" s="17">
        <f>IF(AND(COUNTA($A386:$K386)=0,$L386=""),"",IF($S386="Paid","PAID",IF($S386="Closed","CLOSED",IF($W386="","",IF($W386=6,"ESCALATED TO ROXANNE",IF(TODAY()&gt;$Y386,"OVERDUE",IF($Y386&lt;=WORKDAY(TODAY(),1,Holidays),"DUE TOMORROW",IF($W386=4,"ESCALATED TO LOCAL OFFICE",IF($W386=5,"ESCALATED TO CBE",IF($X386=TODAY(),"EMAIL SENT","MONITORING"))))))))))</f>
        <v/>
      </c>
      <c r="U386" s="17">
        <f>IF($T386="",IF(AND(COUNTA($A386:$K386)&gt;0,$L386=""),"Awaiting Collection Email time stamp.",""),IF(OR($T386="PAID",$T386="CLOSED"),IF($T386="PAID","Account paid. Action completed.","Account closed. No further action required."),CHOOSE($W386,"Collection Email","1st Email Follow-up","2nd Email Follow-up","Escalation to Local Office","Escalation to CBE","Escalation to Roxanne")&amp;" sent "&amp;TEXT($X386,"dd-mmm")&amp;". "&amp;IF($W386=6,"Final escalation completed.",IF($T386="OVERDUE","Next: "&amp;$Z386&amp;" was due "&amp;TEXT($Y386,"dd-mmm")&amp;" - "&amp;(NETWORKDAYS($Y386,TODAY(),Holidays)-1)&amp;" business day(s) late. Send now.",IF($T386="DUE TOMORROW","Next: "&amp;$Z386&amp;IF($Y386&lt;=TODAY()," is due TODAY ("," is due next business day (")&amp;TEXT($Y386,"dd-mmm")&amp;").","Next: "&amp;$Z386&amp;" due "&amp;TEXT($Y386,"dd-mmm")&amp;" ("&amp;(NETWORKDAYS(TODAY(),$Y386,Holidays)-1)&amp;" business day(s) left).")))))</f>
        <v/>
      </c>
      <c r="V386" s="17">
        <f>IF($W386="","",CHOOSE($W386,"Collection Email","1st Follow-up","2nd Follow-up","Local Office","CBE","Roxanne")&amp;IF($W386=6," - Final"," - Day "&amp;MAX(0,NETWORKDAYS($X386,TODAY(),Holidays)-1)&amp;" of "&amp;CHOOSE($W386,3,3,2,2,3))&amp;" | Total Day "&amp;MAX(0,NETWORKDAYS($L386,TODAY(),Holidays)-1))</f>
        <v/>
      </c>
      <c r="W386" s="17">
        <f>IF($L386="","",COUNT($L386:$Q386))</f>
        <v/>
      </c>
      <c r="X386" s="18">
        <f>IF($W386="","",INT(INDEX($L386:$Q386,$W386)))</f>
        <v/>
      </c>
      <c r="Y386" s="18">
        <f>IF(OR($W386="",$W386=6),"",WORKDAY($X386,CHOOSE($W386,3,3,2,2,3),Holidays))</f>
        <v/>
      </c>
      <c r="Z386" s="17">
        <f>IF(OR($W386="",$W386=6),"",CHOOSE($W386,"1st Email Follow-up","2nd Email Follow-up","Escalate Local Office","Escalate to CBE","Escalate to Roxanne"))</f>
        <v/>
      </c>
    </row>
    <row r="387" spans="18:26">
      <c r="R387" s="15"/>
      <c r="S387" s="16"/>
      <c r="T387" s="17">
        <f>IF(AND(COUNTA($A387:$K387)=0,$L387=""),"",IF($S387="Paid","PAID",IF($S387="Closed","CLOSED",IF($W387="","",IF($W387=6,"ESCALATED TO ROXANNE",IF(TODAY()&gt;$Y387,"OVERDUE",IF($Y387&lt;=WORKDAY(TODAY(),1,Holidays),"DUE TOMORROW",IF($W387=4,"ESCALATED TO LOCAL OFFICE",IF($W387=5,"ESCALATED TO CBE",IF($X387=TODAY(),"EMAIL SENT","MONITORING"))))))))))</f>
        <v/>
      </c>
      <c r="U387" s="17">
        <f>IF($T387="",IF(AND(COUNTA($A387:$K387)&gt;0,$L387=""),"Awaiting Collection Email time stamp.",""),IF(OR($T387="PAID",$T387="CLOSED"),IF($T387="PAID","Account paid. Action completed.","Account closed. No further action required."),CHOOSE($W387,"Collection Email","1st Email Follow-up","2nd Email Follow-up","Escalation to Local Office","Escalation to CBE","Escalation to Roxanne")&amp;" sent "&amp;TEXT($X387,"dd-mmm")&amp;". "&amp;IF($W387=6,"Final escalation completed.",IF($T387="OVERDUE","Next: "&amp;$Z387&amp;" was due "&amp;TEXT($Y387,"dd-mmm")&amp;" - "&amp;(NETWORKDAYS($Y387,TODAY(),Holidays)-1)&amp;" business day(s) late. Send now.",IF($T387="DUE TOMORROW","Next: "&amp;$Z387&amp;IF($Y387&lt;=TODAY()," is due TODAY ("," is due next business day (")&amp;TEXT($Y387,"dd-mmm")&amp;").","Next: "&amp;$Z387&amp;" due "&amp;TEXT($Y387,"dd-mmm")&amp;" ("&amp;(NETWORKDAYS(TODAY(),$Y387,Holidays)-1)&amp;" business day(s) left).")))))</f>
        <v/>
      </c>
      <c r="V387" s="17">
        <f>IF($W387="","",CHOOSE($W387,"Collection Email","1st Follow-up","2nd Follow-up","Local Office","CBE","Roxanne")&amp;IF($W387=6," - Final"," - Day "&amp;MAX(0,NETWORKDAYS($X387,TODAY(),Holidays)-1)&amp;" of "&amp;CHOOSE($W387,3,3,2,2,3))&amp;" | Total Day "&amp;MAX(0,NETWORKDAYS($L387,TODAY(),Holidays)-1))</f>
        <v/>
      </c>
      <c r="W387" s="17">
        <f>IF($L387="","",COUNT($L387:$Q387))</f>
        <v/>
      </c>
      <c r="X387" s="18">
        <f>IF($W387="","",INT(INDEX($L387:$Q387,$W387)))</f>
        <v/>
      </c>
      <c r="Y387" s="18">
        <f>IF(OR($W387="",$W387=6),"",WORKDAY($X387,CHOOSE($W387,3,3,2,2,3),Holidays))</f>
        <v/>
      </c>
      <c r="Z387" s="17">
        <f>IF(OR($W387="",$W387=6),"",CHOOSE($W387,"1st Email Follow-up","2nd Email Follow-up","Escalate Local Office","Escalate to CBE","Escalate to Roxanne"))</f>
        <v/>
      </c>
    </row>
    <row r="388" spans="18:26">
      <c r="R388" s="15"/>
      <c r="S388" s="16"/>
      <c r="T388" s="17">
        <f>IF(AND(COUNTA($A388:$K388)=0,$L388=""),"",IF($S388="Paid","PAID",IF($S388="Closed","CLOSED",IF($W388="","",IF($W388=6,"ESCALATED TO ROXANNE",IF(TODAY()&gt;$Y388,"OVERDUE",IF($Y388&lt;=WORKDAY(TODAY(),1,Holidays),"DUE TOMORROW",IF($W388=4,"ESCALATED TO LOCAL OFFICE",IF($W388=5,"ESCALATED TO CBE",IF($X388=TODAY(),"EMAIL SENT","MONITORING"))))))))))</f>
        <v/>
      </c>
      <c r="U388" s="17">
        <f>IF($T388="",IF(AND(COUNTA($A388:$K388)&gt;0,$L388=""),"Awaiting Collection Email time stamp.",""),IF(OR($T388="PAID",$T388="CLOSED"),IF($T388="PAID","Account paid. Action completed.","Account closed. No further action required."),CHOOSE($W388,"Collection Email","1st Email Follow-up","2nd Email Follow-up","Escalation to Local Office","Escalation to CBE","Escalation to Roxanne")&amp;" sent "&amp;TEXT($X388,"dd-mmm")&amp;". "&amp;IF($W388=6,"Final escalation completed.",IF($T388="OVERDUE","Next: "&amp;$Z388&amp;" was due "&amp;TEXT($Y388,"dd-mmm")&amp;" - "&amp;(NETWORKDAYS($Y388,TODAY(),Holidays)-1)&amp;" business day(s) late. Send now.",IF($T388="DUE TOMORROW","Next: "&amp;$Z388&amp;IF($Y388&lt;=TODAY()," is due TODAY ("," is due next business day (")&amp;TEXT($Y388,"dd-mmm")&amp;").","Next: "&amp;$Z388&amp;" due "&amp;TEXT($Y388,"dd-mmm")&amp;" ("&amp;(NETWORKDAYS(TODAY(),$Y388,Holidays)-1)&amp;" business day(s) left).")))))</f>
        <v/>
      </c>
      <c r="V388" s="17">
        <f>IF($W388="","",CHOOSE($W388,"Collection Email","1st Follow-up","2nd Follow-up","Local Office","CBE","Roxanne")&amp;IF($W388=6," - Final"," - Day "&amp;MAX(0,NETWORKDAYS($X388,TODAY(),Holidays)-1)&amp;" of "&amp;CHOOSE($W388,3,3,2,2,3))&amp;" | Total Day "&amp;MAX(0,NETWORKDAYS($L388,TODAY(),Holidays)-1))</f>
        <v/>
      </c>
      <c r="W388" s="17">
        <f>IF($L388="","",COUNT($L388:$Q388))</f>
        <v/>
      </c>
      <c r="X388" s="18">
        <f>IF($W388="","",INT(INDEX($L388:$Q388,$W388)))</f>
        <v/>
      </c>
      <c r="Y388" s="18">
        <f>IF(OR($W388="",$W388=6),"",WORKDAY($X388,CHOOSE($W388,3,3,2,2,3),Holidays))</f>
        <v/>
      </c>
      <c r="Z388" s="17">
        <f>IF(OR($W388="",$W388=6),"",CHOOSE($W388,"1st Email Follow-up","2nd Email Follow-up","Escalate Local Office","Escalate to CBE","Escalate to Roxanne"))</f>
        <v/>
      </c>
    </row>
    <row r="389" spans="18:26">
      <c r="R389" s="15"/>
      <c r="S389" s="16"/>
      <c r="T389" s="17">
        <f>IF(AND(COUNTA($A389:$K389)=0,$L389=""),"",IF($S389="Paid","PAID",IF($S389="Closed","CLOSED",IF($W389="","",IF($W389=6,"ESCALATED TO ROXANNE",IF(TODAY()&gt;$Y389,"OVERDUE",IF($Y389&lt;=WORKDAY(TODAY(),1,Holidays),"DUE TOMORROW",IF($W389=4,"ESCALATED TO LOCAL OFFICE",IF($W389=5,"ESCALATED TO CBE",IF($X389=TODAY(),"EMAIL SENT","MONITORING"))))))))))</f>
        <v/>
      </c>
      <c r="U389" s="17">
        <f>IF($T389="",IF(AND(COUNTA($A389:$K389)&gt;0,$L389=""),"Awaiting Collection Email time stamp.",""),IF(OR($T389="PAID",$T389="CLOSED"),IF($T389="PAID","Account paid. Action completed.","Account closed. No further action required."),CHOOSE($W389,"Collection Email","1st Email Follow-up","2nd Email Follow-up","Escalation to Local Office","Escalation to CBE","Escalation to Roxanne")&amp;" sent "&amp;TEXT($X389,"dd-mmm")&amp;". "&amp;IF($W389=6,"Final escalation completed.",IF($T389="OVERDUE","Next: "&amp;$Z389&amp;" was due "&amp;TEXT($Y389,"dd-mmm")&amp;" - "&amp;(NETWORKDAYS($Y389,TODAY(),Holidays)-1)&amp;" business day(s) late. Send now.",IF($T389="DUE TOMORROW","Next: "&amp;$Z389&amp;IF($Y389&lt;=TODAY()," is due TODAY ("," is due next business day (")&amp;TEXT($Y389,"dd-mmm")&amp;").","Next: "&amp;$Z389&amp;" due "&amp;TEXT($Y389,"dd-mmm")&amp;" ("&amp;(NETWORKDAYS(TODAY(),$Y389,Holidays)-1)&amp;" business day(s) left).")))))</f>
        <v/>
      </c>
      <c r="V389" s="17">
        <f>IF($W389="","",CHOOSE($W389,"Collection Email","1st Follow-up","2nd Follow-up","Local Office","CBE","Roxanne")&amp;IF($W389=6," - Final"," - Day "&amp;MAX(0,NETWORKDAYS($X389,TODAY(),Holidays)-1)&amp;" of "&amp;CHOOSE($W389,3,3,2,2,3))&amp;" | Total Day "&amp;MAX(0,NETWORKDAYS($L389,TODAY(),Holidays)-1))</f>
        <v/>
      </c>
      <c r="W389" s="17">
        <f>IF($L389="","",COUNT($L389:$Q389))</f>
        <v/>
      </c>
      <c r="X389" s="18">
        <f>IF($W389="","",INT(INDEX($L389:$Q389,$W389)))</f>
        <v/>
      </c>
      <c r="Y389" s="18">
        <f>IF(OR($W389="",$W389=6),"",WORKDAY($X389,CHOOSE($W389,3,3,2,2,3),Holidays))</f>
        <v/>
      </c>
      <c r="Z389" s="17">
        <f>IF(OR($W389="",$W389=6),"",CHOOSE($W389,"1st Email Follow-up","2nd Email Follow-up","Escalate Local Office","Escalate to CBE","Escalate to Roxanne"))</f>
        <v/>
      </c>
    </row>
    <row r="390" spans="18:26">
      <c r="R390" s="15"/>
      <c r="S390" s="16"/>
      <c r="T390" s="17">
        <f>IF(AND(COUNTA($A390:$K390)=0,$L390=""),"",IF($S390="Paid","PAID",IF($S390="Closed","CLOSED",IF($W390="","",IF($W390=6,"ESCALATED TO ROXANNE",IF(TODAY()&gt;$Y390,"OVERDUE",IF($Y390&lt;=WORKDAY(TODAY(),1,Holidays),"DUE TOMORROW",IF($W390=4,"ESCALATED TO LOCAL OFFICE",IF($W390=5,"ESCALATED TO CBE",IF($X390=TODAY(),"EMAIL SENT","MONITORING"))))))))))</f>
        <v/>
      </c>
      <c r="U390" s="17">
        <f>IF($T390="",IF(AND(COUNTA($A390:$K390)&gt;0,$L390=""),"Awaiting Collection Email time stamp.",""),IF(OR($T390="PAID",$T390="CLOSED"),IF($T390="PAID","Account paid. Action completed.","Account closed. No further action required."),CHOOSE($W390,"Collection Email","1st Email Follow-up","2nd Email Follow-up","Escalation to Local Office","Escalation to CBE","Escalation to Roxanne")&amp;" sent "&amp;TEXT($X390,"dd-mmm")&amp;". "&amp;IF($W390=6,"Final escalation completed.",IF($T390="OVERDUE","Next: "&amp;$Z390&amp;" was due "&amp;TEXT($Y390,"dd-mmm")&amp;" - "&amp;(NETWORKDAYS($Y390,TODAY(),Holidays)-1)&amp;" business day(s) late. Send now.",IF($T390="DUE TOMORROW","Next: "&amp;$Z390&amp;IF($Y390&lt;=TODAY()," is due TODAY ("," is due next business day (")&amp;TEXT($Y390,"dd-mmm")&amp;").","Next: "&amp;$Z390&amp;" due "&amp;TEXT($Y390,"dd-mmm")&amp;" ("&amp;(NETWORKDAYS(TODAY(),$Y390,Holidays)-1)&amp;" business day(s) left).")))))</f>
        <v/>
      </c>
      <c r="V390" s="17">
        <f>IF($W390="","",CHOOSE($W390,"Collection Email","1st Follow-up","2nd Follow-up","Local Office","CBE","Roxanne")&amp;IF($W390=6," - Final"," - Day "&amp;MAX(0,NETWORKDAYS($X390,TODAY(),Holidays)-1)&amp;" of "&amp;CHOOSE($W390,3,3,2,2,3))&amp;" | Total Day "&amp;MAX(0,NETWORKDAYS($L390,TODAY(),Holidays)-1))</f>
        <v/>
      </c>
      <c r="W390" s="17">
        <f>IF($L390="","",COUNT($L390:$Q390))</f>
        <v/>
      </c>
      <c r="X390" s="18">
        <f>IF($W390="","",INT(INDEX($L390:$Q390,$W390)))</f>
        <v/>
      </c>
      <c r="Y390" s="18">
        <f>IF(OR($W390="",$W390=6),"",WORKDAY($X390,CHOOSE($W390,3,3,2,2,3),Holidays))</f>
        <v/>
      </c>
      <c r="Z390" s="17">
        <f>IF(OR($W390="",$W390=6),"",CHOOSE($W390,"1st Email Follow-up","2nd Email Follow-up","Escalate Local Office","Escalate to CBE","Escalate to Roxanne"))</f>
        <v/>
      </c>
    </row>
    <row r="391" spans="18:26">
      <c r="R391" s="15"/>
      <c r="S391" s="16"/>
      <c r="T391" s="17">
        <f>IF(AND(COUNTA($A391:$K391)=0,$L391=""),"",IF($S391="Paid","PAID",IF($S391="Closed","CLOSED",IF($W391="","",IF($W391=6,"ESCALATED TO ROXANNE",IF(TODAY()&gt;$Y391,"OVERDUE",IF($Y391&lt;=WORKDAY(TODAY(),1,Holidays),"DUE TOMORROW",IF($W391=4,"ESCALATED TO LOCAL OFFICE",IF($W391=5,"ESCALATED TO CBE",IF($X391=TODAY(),"EMAIL SENT","MONITORING"))))))))))</f>
        <v/>
      </c>
      <c r="U391" s="17">
        <f>IF($T391="",IF(AND(COUNTA($A391:$K391)&gt;0,$L391=""),"Awaiting Collection Email time stamp.",""),IF(OR($T391="PAID",$T391="CLOSED"),IF($T391="PAID","Account paid. Action completed.","Account closed. No further action required."),CHOOSE($W391,"Collection Email","1st Email Follow-up","2nd Email Follow-up","Escalation to Local Office","Escalation to CBE","Escalation to Roxanne")&amp;" sent "&amp;TEXT($X391,"dd-mmm")&amp;". "&amp;IF($W391=6,"Final escalation completed.",IF($T391="OVERDUE","Next: "&amp;$Z391&amp;" was due "&amp;TEXT($Y391,"dd-mmm")&amp;" - "&amp;(NETWORKDAYS($Y391,TODAY(),Holidays)-1)&amp;" business day(s) late. Send now.",IF($T391="DUE TOMORROW","Next: "&amp;$Z391&amp;IF($Y391&lt;=TODAY()," is due TODAY ("," is due next business day (")&amp;TEXT($Y391,"dd-mmm")&amp;").","Next: "&amp;$Z391&amp;" due "&amp;TEXT($Y391,"dd-mmm")&amp;" ("&amp;(NETWORKDAYS(TODAY(),$Y391,Holidays)-1)&amp;" business day(s) left).")))))</f>
        <v/>
      </c>
      <c r="V391" s="17">
        <f>IF($W391="","",CHOOSE($W391,"Collection Email","1st Follow-up","2nd Follow-up","Local Office","CBE","Roxanne")&amp;IF($W391=6," - Final"," - Day "&amp;MAX(0,NETWORKDAYS($X391,TODAY(),Holidays)-1)&amp;" of "&amp;CHOOSE($W391,3,3,2,2,3))&amp;" | Total Day "&amp;MAX(0,NETWORKDAYS($L391,TODAY(),Holidays)-1))</f>
        <v/>
      </c>
      <c r="W391" s="17">
        <f>IF($L391="","",COUNT($L391:$Q391))</f>
        <v/>
      </c>
      <c r="X391" s="18">
        <f>IF($W391="","",INT(INDEX($L391:$Q391,$W391)))</f>
        <v/>
      </c>
      <c r="Y391" s="18">
        <f>IF(OR($W391="",$W391=6),"",WORKDAY($X391,CHOOSE($W391,3,3,2,2,3),Holidays))</f>
        <v/>
      </c>
      <c r="Z391" s="17">
        <f>IF(OR($W391="",$W391=6),"",CHOOSE($W391,"1st Email Follow-up","2nd Email Follow-up","Escalate Local Office","Escalate to CBE","Escalate to Roxanne"))</f>
        <v/>
      </c>
    </row>
    <row r="392" spans="18:26">
      <c r="R392" s="15"/>
      <c r="S392" s="16"/>
      <c r="T392" s="17">
        <f>IF(AND(COUNTA($A392:$K392)=0,$L392=""),"",IF($S392="Paid","PAID",IF($S392="Closed","CLOSED",IF($W392="","",IF($W392=6,"ESCALATED TO ROXANNE",IF(TODAY()&gt;$Y392,"OVERDUE",IF($Y392&lt;=WORKDAY(TODAY(),1,Holidays),"DUE TOMORROW",IF($W392=4,"ESCALATED TO LOCAL OFFICE",IF($W392=5,"ESCALATED TO CBE",IF($X392=TODAY(),"EMAIL SENT","MONITORING"))))))))))</f>
        <v/>
      </c>
      <c r="U392" s="17">
        <f>IF($T392="",IF(AND(COUNTA($A392:$K392)&gt;0,$L392=""),"Awaiting Collection Email time stamp.",""),IF(OR($T392="PAID",$T392="CLOSED"),IF($T392="PAID","Account paid. Action completed.","Account closed. No further action required."),CHOOSE($W392,"Collection Email","1st Email Follow-up","2nd Email Follow-up","Escalation to Local Office","Escalation to CBE","Escalation to Roxanne")&amp;" sent "&amp;TEXT($X392,"dd-mmm")&amp;". "&amp;IF($W392=6,"Final escalation completed.",IF($T392="OVERDUE","Next: "&amp;$Z392&amp;" was due "&amp;TEXT($Y392,"dd-mmm")&amp;" - "&amp;(NETWORKDAYS($Y392,TODAY(),Holidays)-1)&amp;" business day(s) late. Send now.",IF($T392="DUE TOMORROW","Next: "&amp;$Z392&amp;IF($Y392&lt;=TODAY()," is due TODAY ("," is due next business day (")&amp;TEXT($Y392,"dd-mmm")&amp;").","Next: "&amp;$Z392&amp;" due "&amp;TEXT($Y392,"dd-mmm")&amp;" ("&amp;(NETWORKDAYS(TODAY(),$Y392,Holidays)-1)&amp;" business day(s) left).")))))</f>
        <v/>
      </c>
      <c r="V392" s="17">
        <f>IF($W392="","",CHOOSE($W392,"Collection Email","1st Follow-up","2nd Follow-up","Local Office","CBE","Roxanne")&amp;IF($W392=6," - Final"," - Day "&amp;MAX(0,NETWORKDAYS($X392,TODAY(),Holidays)-1)&amp;" of "&amp;CHOOSE($W392,3,3,2,2,3))&amp;" | Total Day "&amp;MAX(0,NETWORKDAYS($L392,TODAY(),Holidays)-1))</f>
        <v/>
      </c>
      <c r="W392" s="17">
        <f>IF($L392="","",COUNT($L392:$Q392))</f>
        <v/>
      </c>
      <c r="X392" s="18">
        <f>IF($W392="","",INT(INDEX($L392:$Q392,$W392)))</f>
        <v/>
      </c>
      <c r="Y392" s="18">
        <f>IF(OR($W392="",$W392=6),"",WORKDAY($X392,CHOOSE($W392,3,3,2,2,3),Holidays))</f>
        <v/>
      </c>
      <c r="Z392" s="17">
        <f>IF(OR($W392="",$W392=6),"",CHOOSE($W392,"1st Email Follow-up","2nd Email Follow-up","Escalate Local Office","Escalate to CBE","Escalate to Roxanne"))</f>
        <v/>
      </c>
    </row>
    <row r="393" spans="18:26">
      <c r="R393" s="15"/>
      <c r="S393" s="16"/>
      <c r="T393" s="17">
        <f>IF(AND(COUNTA($A393:$K393)=0,$L393=""),"",IF($S393="Paid","PAID",IF($S393="Closed","CLOSED",IF($W393="","",IF($W393=6,"ESCALATED TO ROXANNE",IF(TODAY()&gt;$Y393,"OVERDUE",IF($Y393&lt;=WORKDAY(TODAY(),1,Holidays),"DUE TOMORROW",IF($W393=4,"ESCALATED TO LOCAL OFFICE",IF($W393=5,"ESCALATED TO CBE",IF($X393=TODAY(),"EMAIL SENT","MONITORING"))))))))))</f>
        <v/>
      </c>
      <c r="U393" s="17">
        <f>IF($T393="",IF(AND(COUNTA($A393:$K393)&gt;0,$L393=""),"Awaiting Collection Email time stamp.",""),IF(OR($T393="PAID",$T393="CLOSED"),IF($T393="PAID","Account paid. Action completed.","Account closed. No further action required."),CHOOSE($W393,"Collection Email","1st Email Follow-up","2nd Email Follow-up","Escalation to Local Office","Escalation to CBE","Escalation to Roxanne")&amp;" sent "&amp;TEXT($X393,"dd-mmm")&amp;". "&amp;IF($W393=6,"Final escalation completed.",IF($T393="OVERDUE","Next: "&amp;$Z393&amp;" was due "&amp;TEXT($Y393,"dd-mmm")&amp;" - "&amp;(NETWORKDAYS($Y393,TODAY(),Holidays)-1)&amp;" business day(s) late. Send now.",IF($T393="DUE TOMORROW","Next: "&amp;$Z393&amp;IF($Y393&lt;=TODAY()," is due TODAY ("," is due next business day (")&amp;TEXT($Y393,"dd-mmm")&amp;").","Next: "&amp;$Z393&amp;" due "&amp;TEXT($Y393,"dd-mmm")&amp;" ("&amp;(NETWORKDAYS(TODAY(),$Y393,Holidays)-1)&amp;" business day(s) left).")))))</f>
        <v/>
      </c>
      <c r="V393" s="17">
        <f>IF($W393="","",CHOOSE($W393,"Collection Email","1st Follow-up","2nd Follow-up","Local Office","CBE","Roxanne")&amp;IF($W393=6," - Final"," - Day "&amp;MAX(0,NETWORKDAYS($X393,TODAY(),Holidays)-1)&amp;" of "&amp;CHOOSE($W393,3,3,2,2,3))&amp;" | Total Day "&amp;MAX(0,NETWORKDAYS($L393,TODAY(),Holidays)-1))</f>
        <v/>
      </c>
      <c r="W393" s="17">
        <f>IF($L393="","",COUNT($L393:$Q393))</f>
        <v/>
      </c>
      <c r="X393" s="18">
        <f>IF($W393="","",INT(INDEX($L393:$Q393,$W393)))</f>
        <v/>
      </c>
      <c r="Y393" s="18">
        <f>IF(OR($W393="",$W393=6),"",WORKDAY($X393,CHOOSE($W393,3,3,2,2,3),Holidays))</f>
        <v/>
      </c>
      <c r="Z393" s="17">
        <f>IF(OR($W393="",$W393=6),"",CHOOSE($W393,"1st Email Follow-up","2nd Email Follow-up","Escalate Local Office","Escalate to CBE","Escalate to Roxanne"))</f>
        <v/>
      </c>
    </row>
    <row r="394" spans="18:26">
      <c r="R394" s="15"/>
      <c r="S394" s="16"/>
      <c r="T394" s="17">
        <f>IF(AND(COUNTA($A394:$K394)=0,$L394=""),"",IF($S394="Paid","PAID",IF($S394="Closed","CLOSED",IF($W394="","",IF($W394=6,"ESCALATED TO ROXANNE",IF(TODAY()&gt;$Y394,"OVERDUE",IF($Y394&lt;=WORKDAY(TODAY(),1,Holidays),"DUE TOMORROW",IF($W394=4,"ESCALATED TO LOCAL OFFICE",IF($W394=5,"ESCALATED TO CBE",IF($X394=TODAY(),"EMAIL SENT","MONITORING"))))))))))</f>
        <v/>
      </c>
      <c r="U394" s="17">
        <f>IF($T394="",IF(AND(COUNTA($A394:$K394)&gt;0,$L394=""),"Awaiting Collection Email time stamp.",""),IF(OR($T394="PAID",$T394="CLOSED"),IF($T394="PAID","Account paid. Action completed.","Account closed. No further action required."),CHOOSE($W394,"Collection Email","1st Email Follow-up","2nd Email Follow-up","Escalation to Local Office","Escalation to CBE","Escalation to Roxanne")&amp;" sent "&amp;TEXT($X394,"dd-mmm")&amp;". "&amp;IF($W394=6,"Final escalation completed.",IF($T394="OVERDUE","Next: "&amp;$Z394&amp;" was due "&amp;TEXT($Y394,"dd-mmm")&amp;" - "&amp;(NETWORKDAYS($Y394,TODAY(),Holidays)-1)&amp;" business day(s) late. Send now.",IF($T394="DUE TOMORROW","Next: "&amp;$Z394&amp;IF($Y394&lt;=TODAY()," is due TODAY ("," is due next business day (")&amp;TEXT($Y394,"dd-mmm")&amp;").","Next: "&amp;$Z394&amp;" due "&amp;TEXT($Y394,"dd-mmm")&amp;" ("&amp;(NETWORKDAYS(TODAY(),$Y394,Holidays)-1)&amp;" business day(s) left).")))))</f>
        <v/>
      </c>
      <c r="V394" s="17">
        <f>IF($W394="","",CHOOSE($W394,"Collection Email","1st Follow-up","2nd Follow-up","Local Office","CBE","Roxanne")&amp;IF($W394=6," - Final"," - Day "&amp;MAX(0,NETWORKDAYS($X394,TODAY(),Holidays)-1)&amp;" of "&amp;CHOOSE($W394,3,3,2,2,3))&amp;" | Total Day "&amp;MAX(0,NETWORKDAYS($L394,TODAY(),Holidays)-1))</f>
        <v/>
      </c>
      <c r="W394" s="17">
        <f>IF($L394="","",COUNT($L394:$Q394))</f>
        <v/>
      </c>
      <c r="X394" s="18">
        <f>IF($W394="","",INT(INDEX($L394:$Q394,$W394)))</f>
        <v/>
      </c>
      <c r="Y394" s="18">
        <f>IF(OR($W394="",$W394=6),"",WORKDAY($X394,CHOOSE($W394,3,3,2,2,3),Holidays))</f>
        <v/>
      </c>
      <c r="Z394" s="17">
        <f>IF(OR($W394="",$W394=6),"",CHOOSE($W394,"1st Email Follow-up","2nd Email Follow-up","Escalate Local Office","Escalate to CBE","Escalate to Roxanne"))</f>
        <v/>
      </c>
    </row>
    <row r="395" spans="18:26">
      <c r="R395" s="15"/>
      <c r="S395" s="16"/>
      <c r="T395" s="17">
        <f>IF(AND(COUNTA($A395:$K395)=0,$L395=""),"",IF($S395="Paid","PAID",IF($S395="Closed","CLOSED",IF($W395="","",IF($W395=6,"ESCALATED TO ROXANNE",IF(TODAY()&gt;$Y395,"OVERDUE",IF($Y395&lt;=WORKDAY(TODAY(),1,Holidays),"DUE TOMORROW",IF($W395=4,"ESCALATED TO LOCAL OFFICE",IF($W395=5,"ESCALATED TO CBE",IF($X395=TODAY(),"EMAIL SENT","MONITORING"))))))))))</f>
        <v/>
      </c>
      <c r="U395" s="17">
        <f>IF($T395="",IF(AND(COUNTA($A395:$K395)&gt;0,$L395=""),"Awaiting Collection Email time stamp.",""),IF(OR($T395="PAID",$T395="CLOSED"),IF($T395="PAID","Account paid. Action completed.","Account closed. No further action required."),CHOOSE($W395,"Collection Email","1st Email Follow-up","2nd Email Follow-up","Escalation to Local Office","Escalation to CBE","Escalation to Roxanne")&amp;" sent "&amp;TEXT($X395,"dd-mmm")&amp;". "&amp;IF($W395=6,"Final escalation completed.",IF($T395="OVERDUE","Next: "&amp;$Z395&amp;" was due "&amp;TEXT($Y395,"dd-mmm")&amp;" - "&amp;(NETWORKDAYS($Y395,TODAY(),Holidays)-1)&amp;" business day(s) late. Send now.",IF($T395="DUE TOMORROW","Next: "&amp;$Z395&amp;IF($Y395&lt;=TODAY()," is due TODAY ("," is due next business day (")&amp;TEXT($Y395,"dd-mmm")&amp;").","Next: "&amp;$Z395&amp;" due "&amp;TEXT($Y395,"dd-mmm")&amp;" ("&amp;(NETWORKDAYS(TODAY(),$Y395,Holidays)-1)&amp;" business day(s) left).")))))</f>
        <v/>
      </c>
      <c r="V395" s="17">
        <f>IF($W395="","",CHOOSE($W395,"Collection Email","1st Follow-up","2nd Follow-up","Local Office","CBE","Roxanne")&amp;IF($W395=6," - Final"," - Day "&amp;MAX(0,NETWORKDAYS($X395,TODAY(),Holidays)-1)&amp;" of "&amp;CHOOSE($W395,3,3,2,2,3))&amp;" | Total Day "&amp;MAX(0,NETWORKDAYS($L395,TODAY(),Holidays)-1))</f>
        <v/>
      </c>
      <c r="W395" s="17">
        <f>IF($L395="","",COUNT($L395:$Q395))</f>
        <v/>
      </c>
      <c r="X395" s="18">
        <f>IF($W395="","",INT(INDEX($L395:$Q395,$W395)))</f>
        <v/>
      </c>
      <c r="Y395" s="18">
        <f>IF(OR($W395="",$W395=6),"",WORKDAY($X395,CHOOSE($W395,3,3,2,2,3),Holidays))</f>
        <v/>
      </c>
      <c r="Z395" s="17">
        <f>IF(OR($W395="",$W395=6),"",CHOOSE($W395,"1st Email Follow-up","2nd Email Follow-up","Escalate Local Office","Escalate to CBE","Escalate to Roxanne"))</f>
        <v/>
      </c>
    </row>
    <row r="396" spans="18:26">
      <c r="R396" s="15"/>
      <c r="S396" s="16"/>
      <c r="T396" s="17">
        <f>IF(AND(COUNTA($A396:$K396)=0,$L396=""),"",IF($S396="Paid","PAID",IF($S396="Closed","CLOSED",IF($W396="","",IF($W396=6,"ESCALATED TO ROXANNE",IF(TODAY()&gt;$Y396,"OVERDUE",IF($Y396&lt;=WORKDAY(TODAY(),1,Holidays),"DUE TOMORROW",IF($W396=4,"ESCALATED TO LOCAL OFFICE",IF($W396=5,"ESCALATED TO CBE",IF($X396=TODAY(),"EMAIL SENT","MONITORING"))))))))))</f>
        <v/>
      </c>
      <c r="U396" s="17">
        <f>IF($T396="",IF(AND(COUNTA($A396:$K396)&gt;0,$L396=""),"Awaiting Collection Email time stamp.",""),IF(OR($T396="PAID",$T396="CLOSED"),IF($T396="PAID","Account paid. Action completed.","Account closed. No further action required."),CHOOSE($W396,"Collection Email","1st Email Follow-up","2nd Email Follow-up","Escalation to Local Office","Escalation to CBE","Escalation to Roxanne")&amp;" sent "&amp;TEXT($X396,"dd-mmm")&amp;". "&amp;IF($W396=6,"Final escalation completed.",IF($T396="OVERDUE","Next: "&amp;$Z396&amp;" was due "&amp;TEXT($Y396,"dd-mmm")&amp;" - "&amp;(NETWORKDAYS($Y396,TODAY(),Holidays)-1)&amp;" business day(s) late. Send now.",IF($T396="DUE TOMORROW","Next: "&amp;$Z396&amp;IF($Y396&lt;=TODAY()," is due TODAY ("," is due next business day (")&amp;TEXT($Y396,"dd-mmm")&amp;").","Next: "&amp;$Z396&amp;" due "&amp;TEXT($Y396,"dd-mmm")&amp;" ("&amp;(NETWORKDAYS(TODAY(),$Y396,Holidays)-1)&amp;" business day(s) left).")))))</f>
        <v/>
      </c>
      <c r="V396" s="17">
        <f>IF($W396="","",CHOOSE($W396,"Collection Email","1st Follow-up","2nd Follow-up","Local Office","CBE","Roxanne")&amp;IF($W396=6," - Final"," - Day "&amp;MAX(0,NETWORKDAYS($X396,TODAY(),Holidays)-1)&amp;" of "&amp;CHOOSE($W396,3,3,2,2,3))&amp;" | Total Day "&amp;MAX(0,NETWORKDAYS($L396,TODAY(),Holidays)-1))</f>
        <v/>
      </c>
      <c r="W396" s="17">
        <f>IF($L396="","",COUNT($L396:$Q396))</f>
        <v/>
      </c>
      <c r="X396" s="18">
        <f>IF($W396="","",INT(INDEX($L396:$Q396,$W396)))</f>
        <v/>
      </c>
      <c r="Y396" s="18">
        <f>IF(OR($W396="",$W396=6),"",WORKDAY($X396,CHOOSE($W396,3,3,2,2,3),Holidays))</f>
        <v/>
      </c>
      <c r="Z396" s="17">
        <f>IF(OR($W396="",$W396=6),"",CHOOSE($W396,"1st Email Follow-up","2nd Email Follow-up","Escalate Local Office","Escalate to CBE","Escalate to Roxanne"))</f>
        <v/>
      </c>
    </row>
    <row r="397" spans="18:26">
      <c r="R397" s="15"/>
      <c r="S397" s="16"/>
      <c r="T397" s="17">
        <f>IF(AND(COUNTA($A397:$K397)=0,$L397=""),"",IF($S397="Paid","PAID",IF($S397="Closed","CLOSED",IF($W397="","",IF($W397=6,"ESCALATED TO ROXANNE",IF(TODAY()&gt;$Y397,"OVERDUE",IF($Y397&lt;=WORKDAY(TODAY(),1,Holidays),"DUE TOMORROW",IF($W397=4,"ESCALATED TO LOCAL OFFICE",IF($W397=5,"ESCALATED TO CBE",IF($X397=TODAY(),"EMAIL SENT","MONITORING"))))))))))</f>
        <v/>
      </c>
      <c r="U397" s="17">
        <f>IF($T397="",IF(AND(COUNTA($A397:$K397)&gt;0,$L397=""),"Awaiting Collection Email time stamp.",""),IF(OR($T397="PAID",$T397="CLOSED"),IF($T397="PAID","Account paid. Action completed.","Account closed. No further action required."),CHOOSE($W397,"Collection Email","1st Email Follow-up","2nd Email Follow-up","Escalation to Local Office","Escalation to CBE","Escalation to Roxanne")&amp;" sent "&amp;TEXT($X397,"dd-mmm")&amp;". "&amp;IF($W397=6,"Final escalation completed.",IF($T397="OVERDUE","Next: "&amp;$Z397&amp;" was due "&amp;TEXT($Y397,"dd-mmm")&amp;" - "&amp;(NETWORKDAYS($Y397,TODAY(),Holidays)-1)&amp;" business day(s) late. Send now.",IF($T397="DUE TOMORROW","Next: "&amp;$Z397&amp;IF($Y397&lt;=TODAY()," is due TODAY ("," is due next business day (")&amp;TEXT($Y397,"dd-mmm")&amp;").","Next: "&amp;$Z397&amp;" due "&amp;TEXT($Y397,"dd-mmm")&amp;" ("&amp;(NETWORKDAYS(TODAY(),$Y397,Holidays)-1)&amp;" business day(s) left).")))))</f>
        <v/>
      </c>
      <c r="V397" s="17">
        <f>IF($W397="","",CHOOSE($W397,"Collection Email","1st Follow-up","2nd Follow-up","Local Office","CBE","Roxanne")&amp;IF($W397=6," - Final"," - Day "&amp;MAX(0,NETWORKDAYS($X397,TODAY(),Holidays)-1)&amp;" of "&amp;CHOOSE($W397,3,3,2,2,3))&amp;" | Total Day "&amp;MAX(0,NETWORKDAYS($L397,TODAY(),Holidays)-1))</f>
        <v/>
      </c>
      <c r="W397" s="17">
        <f>IF($L397="","",COUNT($L397:$Q397))</f>
        <v/>
      </c>
      <c r="X397" s="18">
        <f>IF($W397="","",INT(INDEX($L397:$Q397,$W397)))</f>
        <v/>
      </c>
      <c r="Y397" s="18">
        <f>IF(OR($W397="",$W397=6),"",WORKDAY($X397,CHOOSE($W397,3,3,2,2,3),Holidays))</f>
        <v/>
      </c>
      <c r="Z397" s="17">
        <f>IF(OR($W397="",$W397=6),"",CHOOSE($W397,"1st Email Follow-up","2nd Email Follow-up","Escalate Local Office","Escalate to CBE","Escalate to Roxanne"))</f>
        <v/>
      </c>
    </row>
    <row r="398" spans="18:26">
      <c r="R398" s="15"/>
      <c r="S398" s="16"/>
      <c r="T398" s="17">
        <f>IF(AND(COUNTA($A398:$K398)=0,$L398=""),"",IF($S398="Paid","PAID",IF($S398="Closed","CLOSED",IF($W398="","",IF($W398=6,"ESCALATED TO ROXANNE",IF(TODAY()&gt;$Y398,"OVERDUE",IF($Y398&lt;=WORKDAY(TODAY(),1,Holidays),"DUE TOMORROW",IF($W398=4,"ESCALATED TO LOCAL OFFICE",IF($W398=5,"ESCALATED TO CBE",IF($X398=TODAY(),"EMAIL SENT","MONITORING"))))))))))</f>
        <v/>
      </c>
      <c r="U398" s="17">
        <f>IF($T398="",IF(AND(COUNTA($A398:$K398)&gt;0,$L398=""),"Awaiting Collection Email time stamp.",""),IF(OR($T398="PAID",$T398="CLOSED"),IF($T398="PAID","Account paid. Action completed.","Account closed. No further action required."),CHOOSE($W398,"Collection Email","1st Email Follow-up","2nd Email Follow-up","Escalation to Local Office","Escalation to CBE","Escalation to Roxanne")&amp;" sent "&amp;TEXT($X398,"dd-mmm")&amp;". "&amp;IF($W398=6,"Final escalation completed.",IF($T398="OVERDUE","Next: "&amp;$Z398&amp;" was due "&amp;TEXT($Y398,"dd-mmm")&amp;" - "&amp;(NETWORKDAYS($Y398,TODAY(),Holidays)-1)&amp;" business day(s) late. Send now.",IF($T398="DUE TOMORROW","Next: "&amp;$Z398&amp;IF($Y398&lt;=TODAY()," is due TODAY ("," is due next business day (")&amp;TEXT($Y398,"dd-mmm")&amp;").","Next: "&amp;$Z398&amp;" due "&amp;TEXT($Y398,"dd-mmm")&amp;" ("&amp;(NETWORKDAYS(TODAY(),$Y398,Holidays)-1)&amp;" business day(s) left).")))))</f>
        <v/>
      </c>
      <c r="V398" s="17">
        <f>IF($W398="","",CHOOSE($W398,"Collection Email","1st Follow-up","2nd Follow-up","Local Office","CBE","Roxanne")&amp;IF($W398=6," - Final"," - Day "&amp;MAX(0,NETWORKDAYS($X398,TODAY(),Holidays)-1)&amp;" of "&amp;CHOOSE($W398,3,3,2,2,3))&amp;" | Total Day "&amp;MAX(0,NETWORKDAYS($L398,TODAY(),Holidays)-1))</f>
        <v/>
      </c>
      <c r="W398" s="17">
        <f>IF($L398="","",COUNT($L398:$Q398))</f>
        <v/>
      </c>
      <c r="X398" s="18">
        <f>IF($W398="","",INT(INDEX($L398:$Q398,$W398)))</f>
        <v/>
      </c>
      <c r="Y398" s="18">
        <f>IF(OR($W398="",$W398=6),"",WORKDAY($X398,CHOOSE($W398,3,3,2,2,3),Holidays))</f>
        <v/>
      </c>
      <c r="Z398" s="17">
        <f>IF(OR($W398="",$W398=6),"",CHOOSE($W398,"1st Email Follow-up","2nd Email Follow-up","Escalate Local Office","Escalate to CBE","Escalate to Roxanne"))</f>
        <v/>
      </c>
    </row>
    <row r="399" spans="18:26">
      <c r="R399" s="15"/>
      <c r="S399" s="16"/>
      <c r="T399" s="17">
        <f>IF(AND(COUNTA($A399:$K399)=0,$L399=""),"",IF($S399="Paid","PAID",IF($S399="Closed","CLOSED",IF($W399="","",IF($W399=6,"ESCALATED TO ROXANNE",IF(TODAY()&gt;$Y399,"OVERDUE",IF($Y399&lt;=WORKDAY(TODAY(),1,Holidays),"DUE TOMORROW",IF($W399=4,"ESCALATED TO LOCAL OFFICE",IF($W399=5,"ESCALATED TO CBE",IF($X399=TODAY(),"EMAIL SENT","MONITORING"))))))))))</f>
        <v/>
      </c>
      <c r="U399" s="17">
        <f>IF($T399="",IF(AND(COUNTA($A399:$K399)&gt;0,$L399=""),"Awaiting Collection Email time stamp.",""),IF(OR($T399="PAID",$T399="CLOSED"),IF($T399="PAID","Account paid. Action completed.","Account closed. No further action required."),CHOOSE($W399,"Collection Email","1st Email Follow-up","2nd Email Follow-up","Escalation to Local Office","Escalation to CBE","Escalation to Roxanne")&amp;" sent "&amp;TEXT($X399,"dd-mmm")&amp;". "&amp;IF($W399=6,"Final escalation completed.",IF($T399="OVERDUE","Next: "&amp;$Z399&amp;" was due "&amp;TEXT($Y399,"dd-mmm")&amp;" - "&amp;(NETWORKDAYS($Y399,TODAY(),Holidays)-1)&amp;" business day(s) late. Send now.",IF($T399="DUE TOMORROW","Next: "&amp;$Z399&amp;IF($Y399&lt;=TODAY()," is due TODAY ("," is due next business day (")&amp;TEXT($Y399,"dd-mmm")&amp;").","Next: "&amp;$Z399&amp;" due "&amp;TEXT($Y399,"dd-mmm")&amp;" ("&amp;(NETWORKDAYS(TODAY(),$Y399,Holidays)-1)&amp;" business day(s) left).")))))</f>
        <v/>
      </c>
      <c r="V399" s="17">
        <f>IF($W399="","",CHOOSE($W399,"Collection Email","1st Follow-up","2nd Follow-up","Local Office","CBE","Roxanne")&amp;IF($W399=6," - Final"," - Day "&amp;MAX(0,NETWORKDAYS($X399,TODAY(),Holidays)-1)&amp;" of "&amp;CHOOSE($W399,3,3,2,2,3))&amp;" | Total Day "&amp;MAX(0,NETWORKDAYS($L399,TODAY(),Holidays)-1))</f>
        <v/>
      </c>
      <c r="W399" s="17">
        <f>IF($L399="","",COUNT($L399:$Q399))</f>
        <v/>
      </c>
      <c r="X399" s="18">
        <f>IF($W399="","",INT(INDEX($L399:$Q399,$W399)))</f>
        <v/>
      </c>
      <c r="Y399" s="18">
        <f>IF(OR($W399="",$W399=6),"",WORKDAY($X399,CHOOSE($W399,3,3,2,2,3),Holidays))</f>
        <v/>
      </c>
      <c r="Z399" s="17">
        <f>IF(OR($W399="",$W399=6),"",CHOOSE($W399,"1st Email Follow-up","2nd Email Follow-up","Escalate Local Office","Escalate to CBE","Escalate to Roxanne"))</f>
        <v/>
      </c>
    </row>
    <row r="400" spans="18:26">
      <c r="R400" s="15"/>
      <c r="S400" s="16"/>
      <c r="T400" s="17">
        <f>IF(AND(COUNTA($A400:$K400)=0,$L400=""),"",IF($S400="Paid","PAID",IF($S400="Closed","CLOSED",IF($W400="","",IF($W400=6,"ESCALATED TO ROXANNE",IF(TODAY()&gt;$Y400,"OVERDUE",IF($Y400&lt;=WORKDAY(TODAY(),1,Holidays),"DUE TOMORROW",IF($W400=4,"ESCALATED TO LOCAL OFFICE",IF($W400=5,"ESCALATED TO CBE",IF($X400=TODAY(),"EMAIL SENT","MONITORING"))))))))))</f>
        <v/>
      </c>
      <c r="U400" s="17">
        <f>IF($T400="",IF(AND(COUNTA($A400:$K400)&gt;0,$L400=""),"Awaiting Collection Email time stamp.",""),IF(OR($T400="PAID",$T400="CLOSED"),IF($T400="PAID","Account paid. Action completed.","Account closed. No further action required."),CHOOSE($W400,"Collection Email","1st Email Follow-up","2nd Email Follow-up","Escalation to Local Office","Escalation to CBE","Escalation to Roxanne")&amp;" sent "&amp;TEXT($X400,"dd-mmm")&amp;". "&amp;IF($W400=6,"Final escalation completed.",IF($T400="OVERDUE","Next: "&amp;$Z400&amp;" was due "&amp;TEXT($Y400,"dd-mmm")&amp;" - "&amp;(NETWORKDAYS($Y400,TODAY(),Holidays)-1)&amp;" business day(s) late. Send now.",IF($T400="DUE TOMORROW","Next: "&amp;$Z400&amp;IF($Y400&lt;=TODAY()," is due TODAY ("," is due next business day (")&amp;TEXT($Y400,"dd-mmm")&amp;").","Next: "&amp;$Z400&amp;" due "&amp;TEXT($Y400,"dd-mmm")&amp;" ("&amp;(NETWORKDAYS(TODAY(),$Y400,Holidays)-1)&amp;" business day(s) left).")))))</f>
        <v/>
      </c>
      <c r="V400" s="17">
        <f>IF($W400="","",CHOOSE($W400,"Collection Email","1st Follow-up","2nd Follow-up","Local Office","CBE","Roxanne")&amp;IF($W400=6," - Final"," - Day "&amp;MAX(0,NETWORKDAYS($X400,TODAY(),Holidays)-1)&amp;" of "&amp;CHOOSE($W400,3,3,2,2,3))&amp;" | Total Day "&amp;MAX(0,NETWORKDAYS($L400,TODAY(),Holidays)-1))</f>
        <v/>
      </c>
      <c r="W400" s="17">
        <f>IF($L400="","",COUNT($L400:$Q400))</f>
        <v/>
      </c>
      <c r="X400" s="18">
        <f>IF($W400="","",INT(INDEX($L400:$Q400,$W400)))</f>
        <v/>
      </c>
      <c r="Y400" s="18">
        <f>IF(OR($W400="",$W400=6),"",WORKDAY($X400,CHOOSE($W400,3,3,2,2,3),Holidays))</f>
        <v/>
      </c>
      <c r="Z400" s="17">
        <f>IF(OR($W400="",$W400=6),"",CHOOSE($W400,"1st Email Follow-up","2nd Email Follow-up","Escalate Local Office","Escalate to CBE","Escalate to Roxanne"))</f>
        <v/>
      </c>
    </row>
    <row r="401" spans="18:26">
      <c r="R401" s="15"/>
      <c r="S401" s="16"/>
      <c r="T401" s="17">
        <f>IF(AND(COUNTA($A401:$K401)=0,$L401=""),"",IF($S401="Paid","PAID",IF($S401="Closed","CLOSED",IF($W401="","",IF($W401=6,"ESCALATED TO ROXANNE",IF(TODAY()&gt;$Y401,"OVERDUE",IF($Y401&lt;=WORKDAY(TODAY(),1,Holidays),"DUE TOMORROW",IF($W401=4,"ESCALATED TO LOCAL OFFICE",IF($W401=5,"ESCALATED TO CBE",IF($X401=TODAY(),"EMAIL SENT","MONITORING"))))))))))</f>
        <v/>
      </c>
      <c r="U401" s="17">
        <f>IF($T401="",IF(AND(COUNTA($A401:$K401)&gt;0,$L401=""),"Awaiting Collection Email time stamp.",""),IF(OR($T401="PAID",$T401="CLOSED"),IF($T401="PAID","Account paid. Action completed.","Account closed. No further action required."),CHOOSE($W401,"Collection Email","1st Email Follow-up","2nd Email Follow-up","Escalation to Local Office","Escalation to CBE","Escalation to Roxanne")&amp;" sent "&amp;TEXT($X401,"dd-mmm")&amp;". "&amp;IF($W401=6,"Final escalation completed.",IF($T401="OVERDUE","Next: "&amp;$Z401&amp;" was due "&amp;TEXT($Y401,"dd-mmm")&amp;" - "&amp;(NETWORKDAYS($Y401,TODAY(),Holidays)-1)&amp;" business day(s) late. Send now.",IF($T401="DUE TOMORROW","Next: "&amp;$Z401&amp;IF($Y401&lt;=TODAY()," is due TODAY ("," is due next business day (")&amp;TEXT($Y401,"dd-mmm")&amp;").","Next: "&amp;$Z401&amp;" due "&amp;TEXT($Y401,"dd-mmm")&amp;" ("&amp;(NETWORKDAYS(TODAY(),$Y401,Holidays)-1)&amp;" business day(s) left).")))))</f>
        <v/>
      </c>
      <c r="V401" s="17">
        <f>IF($W401="","",CHOOSE($W401,"Collection Email","1st Follow-up","2nd Follow-up","Local Office","CBE","Roxanne")&amp;IF($W401=6," - Final"," - Day "&amp;MAX(0,NETWORKDAYS($X401,TODAY(),Holidays)-1)&amp;" of "&amp;CHOOSE($W401,3,3,2,2,3))&amp;" | Total Day "&amp;MAX(0,NETWORKDAYS($L401,TODAY(),Holidays)-1))</f>
        <v/>
      </c>
      <c r="W401" s="17">
        <f>IF($L401="","",COUNT($L401:$Q401))</f>
        <v/>
      </c>
      <c r="X401" s="18">
        <f>IF($W401="","",INT(INDEX($L401:$Q401,$W401)))</f>
        <v/>
      </c>
      <c r="Y401" s="18">
        <f>IF(OR($W401="",$W401=6),"",WORKDAY($X401,CHOOSE($W401,3,3,2,2,3),Holidays))</f>
        <v/>
      </c>
      <c r="Z401" s="17">
        <f>IF(OR($W401="",$W401=6),"",CHOOSE($W401,"1st Email Follow-up","2nd Email Follow-up","Escalate Local Office","Escalate to CBE","Escalate to Roxanne"))</f>
        <v/>
      </c>
    </row>
    <row r="402" spans="18:26">
      <c r="R402" s="15"/>
      <c r="S402" s="16"/>
      <c r="T402" s="17">
        <f>IF(AND(COUNTA($A402:$K402)=0,$L402=""),"",IF($S402="Paid","PAID",IF($S402="Closed","CLOSED",IF($W402="","",IF($W402=6,"ESCALATED TO ROXANNE",IF(TODAY()&gt;$Y402,"OVERDUE",IF($Y402&lt;=WORKDAY(TODAY(),1,Holidays),"DUE TOMORROW",IF($W402=4,"ESCALATED TO LOCAL OFFICE",IF($W402=5,"ESCALATED TO CBE",IF($X402=TODAY(),"EMAIL SENT","MONITORING"))))))))))</f>
        <v/>
      </c>
      <c r="U402" s="17">
        <f>IF($T402="",IF(AND(COUNTA($A402:$K402)&gt;0,$L402=""),"Awaiting Collection Email time stamp.",""),IF(OR($T402="PAID",$T402="CLOSED"),IF($T402="PAID","Account paid. Action completed.","Account closed. No further action required."),CHOOSE($W402,"Collection Email","1st Email Follow-up","2nd Email Follow-up","Escalation to Local Office","Escalation to CBE","Escalation to Roxanne")&amp;" sent "&amp;TEXT($X402,"dd-mmm")&amp;". "&amp;IF($W402=6,"Final escalation completed.",IF($T402="OVERDUE","Next: "&amp;$Z402&amp;" was due "&amp;TEXT($Y402,"dd-mmm")&amp;" - "&amp;(NETWORKDAYS($Y402,TODAY(),Holidays)-1)&amp;" business day(s) late. Send now.",IF($T402="DUE TOMORROW","Next: "&amp;$Z402&amp;IF($Y402&lt;=TODAY()," is due TODAY ("," is due next business day (")&amp;TEXT($Y402,"dd-mmm")&amp;").","Next: "&amp;$Z402&amp;" due "&amp;TEXT($Y402,"dd-mmm")&amp;" ("&amp;(NETWORKDAYS(TODAY(),$Y402,Holidays)-1)&amp;" business day(s) left).")))))</f>
        <v/>
      </c>
      <c r="V402" s="17">
        <f>IF($W402="","",CHOOSE($W402,"Collection Email","1st Follow-up","2nd Follow-up","Local Office","CBE","Roxanne")&amp;IF($W402=6," - Final"," - Day "&amp;MAX(0,NETWORKDAYS($X402,TODAY(),Holidays)-1)&amp;" of "&amp;CHOOSE($W402,3,3,2,2,3))&amp;" | Total Day "&amp;MAX(0,NETWORKDAYS($L402,TODAY(),Holidays)-1))</f>
        <v/>
      </c>
      <c r="W402" s="17">
        <f>IF($L402="","",COUNT($L402:$Q402))</f>
        <v/>
      </c>
      <c r="X402" s="18">
        <f>IF($W402="","",INT(INDEX($L402:$Q402,$W402)))</f>
        <v/>
      </c>
      <c r="Y402" s="18">
        <f>IF(OR($W402="",$W402=6),"",WORKDAY($X402,CHOOSE($W402,3,3,2,2,3),Holidays))</f>
        <v/>
      </c>
      <c r="Z402" s="17">
        <f>IF(OR($W402="",$W402=6),"",CHOOSE($W402,"1st Email Follow-up","2nd Email Follow-up","Escalate Local Office","Escalate to CBE","Escalate to Roxanne"))</f>
        <v/>
      </c>
    </row>
    <row r="403" spans="18:26">
      <c r="R403" s="15"/>
      <c r="S403" s="16"/>
      <c r="T403" s="17">
        <f>IF(AND(COUNTA($A403:$K403)=0,$L403=""),"",IF($S403="Paid","PAID",IF($S403="Closed","CLOSED",IF($W403="","",IF($W403=6,"ESCALATED TO ROXANNE",IF(TODAY()&gt;$Y403,"OVERDUE",IF($Y403&lt;=WORKDAY(TODAY(),1,Holidays),"DUE TOMORROW",IF($W403=4,"ESCALATED TO LOCAL OFFICE",IF($W403=5,"ESCALATED TO CBE",IF($X403=TODAY(),"EMAIL SENT","MONITORING"))))))))))</f>
        <v/>
      </c>
      <c r="U403" s="17">
        <f>IF($T403="",IF(AND(COUNTA($A403:$K403)&gt;0,$L403=""),"Awaiting Collection Email time stamp.",""),IF(OR($T403="PAID",$T403="CLOSED"),IF($T403="PAID","Account paid. Action completed.","Account closed. No further action required."),CHOOSE($W403,"Collection Email","1st Email Follow-up","2nd Email Follow-up","Escalation to Local Office","Escalation to CBE","Escalation to Roxanne")&amp;" sent "&amp;TEXT($X403,"dd-mmm")&amp;". "&amp;IF($W403=6,"Final escalation completed.",IF($T403="OVERDUE","Next: "&amp;$Z403&amp;" was due "&amp;TEXT($Y403,"dd-mmm")&amp;" - "&amp;(NETWORKDAYS($Y403,TODAY(),Holidays)-1)&amp;" business day(s) late. Send now.",IF($T403="DUE TOMORROW","Next: "&amp;$Z403&amp;IF($Y403&lt;=TODAY()," is due TODAY ("," is due next business day (")&amp;TEXT($Y403,"dd-mmm")&amp;").","Next: "&amp;$Z403&amp;" due "&amp;TEXT($Y403,"dd-mmm")&amp;" ("&amp;(NETWORKDAYS(TODAY(),$Y403,Holidays)-1)&amp;" business day(s) left).")))))</f>
        <v/>
      </c>
      <c r="V403" s="17">
        <f>IF($W403="","",CHOOSE($W403,"Collection Email","1st Follow-up","2nd Follow-up","Local Office","CBE","Roxanne")&amp;IF($W403=6," - Final"," - Day "&amp;MAX(0,NETWORKDAYS($X403,TODAY(),Holidays)-1)&amp;" of "&amp;CHOOSE($W403,3,3,2,2,3))&amp;" | Total Day "&amp;MAX(0,NETWORKDAYS($L403,TODAY(),Holidays)-1))</f>
        <v/>
      </c>
      <c r="W403" s="17">
        <f>IF($L403="","",COUNT($L403:$Q403))</f>
        <v/>
      </c>
      <c r="X403" s="18">
        <f>IF($W403="","",INT(INDEX($L403:$Q403,$W403)))</f>
        <v/>
      </c>
      <c r="Y403" s="18">
        <f>IF(OR($W403="",$W403=6),"",WORKDAY($X403,CHOOSE($W403,3,3,2,2,3),Holidays))</f>
        <v/>
      </c>
      <c r="Z403" s="17">
        <f>IF(OR($W403="",$W403=6),"",CHOOSE($W403,"1st Email Follow-up","2nd Email Follow-up","Escalate Local Office","Escalate to CBE","Escalate to Roxanne"))</f>
        <v/>
      </c>
    </row>
    <row r="404" spans="18:26">
      <c r="R404" s="15"/>
      <c r="S404" s="16"/>
      <c r="T404" s="17">
        <f>IF(AND(COUNTA($A404:$K404)=0,$L404=""),"",IF($S404="Paid","PAID",IF($S404="Closed","CLOSED",IF($W404="","",IF($W404=6,"ESCALATED TO ROXANNE",IF(TODAY()&gt;$Y404,"OVERDUE",IF($Y404&lt;=WORKDAY(TODAY(),1,Holidays),"DUE TOMORROW",IF($W404=4,"ESCALATED TO LOCAL OFFICE",IF($W404=5,"ESCALATED TO CBE",IF($X404=TODAY(),"EMAIL SENT","MONITORING"))))))))))</f>
        <v/>
      </c>
      <c r="U404" s="17">
        <f>IF($T404="",IF(AND(COUNTA($A404:$K404)&gt;0,$L404=""),"Awaiting Collection Email time stamp.",""),IF(OR($T404="PAID",$T404="CLOSED"),IF($T404="PAID","Account paid. Action completed.","Account closed. No further action required."),CHOOSE($W404,"Collection Email","1st Email Follow-up","2nd Email Follow-up","Escalation to Local Office","Escalation to CBE","Escalation to Roxanne")&amp;" sent "&amp;TEXT($X404,"dd-mmm")&amp;". "&amp;IF($W404=6,"Final escalation completed.",IF($T404="OVERDUE","Next: "&amp;$Z404&amp;" was due "&amp;TEXT($Y404,"dd-mmm")&amp;" - "&amp;(NETWORKDAYS($Y404,TODAY(),Holidays)-1)&amp;" business day(s) late. Send now.",IF($T404="DUE TOMORROW","Next: "&amp;$Z404&amp;IF($Y404&lt;=TODAY()," is due TODAY ("," is due next business day (")&amp;TEXT($Y404,"dd-mmm")&amp;").","Next: "&amp;$Z404&amp;" due "&amp;TEXT($Y404,"dd-mmm")&amp;" ("&amp;(NETWORKDAYS(TODAY(),$Y404,Holidays)-1)&amp;" business day(s) left).")))))</f>
        <v/>
      </c>
      <c r="V404" s="17">
        <f>IF($W404="","",CHOOSE($W404,"Collection Email","1st Follow-up","2nd Follow-up","Local Office","CBE","Roxanne")&amp;IF($W404=6," - Final"," - Day "&amp;MAX(0,NETWORKDAYS($X404,TODAY(),Holidays)-1)&amp;" of "&amp;CHOOSE($W404,3,3,2,2,3))&amp;" | Total Day "&amp;MAX(0,NETWORKDAYS($L404,TODAY(),Holidays)-1))</f>
        <v/>
      </c>
      <c r="W404" s="17">
        <f>IF($L404="","",COUNT($L404:$Q404))</f>
        <v/>
      </c>
      <c r="X404" s="18">
        <f>IF($W404="","",INT(INDEX($L404:$Q404,$W404)))</f>
        <v/>
      </c>
      <c r="Y404" s="18">
        <f>IF(OR($W404="",$W404=6),"",WORKDAY($X404,CHOOSE($W404,3,3,2,2,3),Holidays))</f>
        <v/>
      </c>
      <c r="Z404" s="17">
        <f>IF(OR($W404="",$W404=6),"",CHOOSE($W404,"1st Email Follow-up","2nd Email Follow-up","Escalate Local Office","Escalate to CBE","Escalate to Roxanne"))</f>
        <v/>
      </c>
    </row>
    <row r="405" spans="18:26">
      <c r="R405" s="15"/>
      <c r="S405" s="16"/>
      <c r="T405" s="17">
        <f>IF(AND(COUNTA($A405:$K405)=0,$L405=""),"",IF($S405="Paid","PAID",IF($S405="Closed","CLOSED",IF($W405="","",IF($W405=6,"ESCALATED TO ROXANNE",IF(TODAY()&gt;$Y405,"OVERDUE",IF($Y405&lt;=WORKDAY(TODAY(),1,Holidays),"DUE TOMORROW",IF($W405=4,"ESCALATED TO LOCAL OFFICE",IF($W405=5,"ESCALATED TO CBE",IF($X405=TODAY(),"EMAIL SENT","MONITORING"))))))))))</f>
        <v/>
      </c>
      <c r="U405" s="17">
        <f>IF($T405="",IF(AND(COUNTA($A405:$K405)&gt;0,$L405=""),"Awaiting Collection Email time stamp.",""),IF(OR($T405="PAID",$T405="CLOSED"),IF($T405="PAID","Account paid. Action completed.","Account closed. No further action required."),CHOOSE($W405,"Collection Email","1st Email Follow-up","2nd Email Follow-up","Escalation to Local Office","Escalation to CBE","Escalation to Roxanne")&amp;" sent "&amp;TEXT($X405,"dd-mmm")&amp;". "&amp;IF($W405=6,"Final escalation completed.",IF($T405="OVERDUE","Next: "&amp;$Z405&amp;" was due "&amp;TEXT($Y405,"dd-mmm")&amp;" - "&amp;(NETWORKDAYS($Y405,TODAY(),Holidays)-1)&amp;" business day(s) late. Send now.",IF($T405="DUE TOMORROW","Next: "&amp;$Z405&amp;IF($Y405&lt;=TODAY()," is due TODAY ("," is due next business day (")&amp;TEXT($Y405,"dd-mmm")&amp;").","Next: "&amp;$Z405&amp;" due "&amp;TEXT($Y405,"dd-mmm")&amp;" ("&amp;(NETWORKDAYS(TODAY(),$Y405,Holidays)-1)&amp;" business day(s) left).")))))</f>
        <v/>
      </c>
      <c r="V405" s="17">
        <f>IF($W405="","",CHOOSE($W405,"Collection Email","1st Follow-up","2nd Follow-up","Local Office","CBE","Roxanne")&amp;IF($W405=6," - Final"," - Day "&amp;MAX(0,NETWORKDAYS($X405,TODAY(),Holidays)-1)&amp;" of "&amp;CHOOSE($W405,3,3,2,2,3))&amp;" | Total Day "&amp;MAX(0,NETWORKDAYS($L405,TODAY(),Holidays)-1))</f>
        <v/>
      </c>
      <c r="W405" s="17">
        <f>IF($L405="","",COUNT($L405:$Q405))</f>
        <v/>
      </c>
      <c r="X405" s="18">
        <f>IF($W405="","",INT(INDEX($L405:$Q405,$W405)))</f>
        <v/>
      </c>
      <c r="Y405" s="18">
        <f>IF(OR($W405="",$W405=6),"",WORKDAY($X405,CHOOSE($W405,3,3,2,2,3),Holidays))</f>
        <v/>
      </c>
      <c r="Z405" s="17">
        <f>IF(OR($W405="",$W405=6),"",CHOOSE($W405,"1st Email Follow-up","2nd Email Follow-up","Escalate Local Office","Escalate to CBE","Escalate to Roxanne"))</f>
        <v/>
      </c>
    </row>
    <row r="406" spans="18:26">
      <c r="R406" s="15"/>
      <c r="S406" s="16"/>
      <c r="T406" s="17">
        <f>IF(AND(COUNTA($A406:$K406)=0,$L406=""),"",IF($S406="Paid","PAID",IF($S406="Closed","CLOSED",IF($W406="","",IF($W406=6,"ESCALATED TO ROXANNE",IF(TODAY()&gt;$Y406,"OVERDUE",IF($Y406&lt;=WORKDAY(TODAY(),1,Holidays),"DUE TOMORROW",IF($W406=4,"ESCALATED TO LOCAL OFFICE",IF($W406=5,"ESCALATED TO CBE",IF($X406=TODAY(),"EMAIL SENT","MONITORING"))))))))))</f>
        <v/>
      </c>
      <c r="U406" s="17">
        <f>IF($T406="",IF(AND(COUNTA($A406:$K406)&gt;0,$L406=""),"Awaiting Collection Email time stamp.",""),IF(OR($T406="PAID",$T406="CLOSED"),IF($T406="PAID","Account paid. Action completed.","Account closed. No further action required."),CHOOSE($W406,"Collection Email","1st Email Follow-up","2nd Email Follow-up","Escalation to Local Office","Escalation to CBE","Escalation to Roxanne")&amp;" sent "&amp;TEXT($X406,"dd-mmm")&amp;". "&amp;IF($W406=6,"Final escalation completed.",IF($T406="OVERDUE","Next: "&amp;$Z406&amp;" was due "&amp;TEXT($Y406,"dd-mmm")&amp;" - "&amp;(NETWORKDAYS($Y406,TODAY(),Holidays)-1)&amp;" business day(s) late. Send now.",IF($T406="DUE TOMORROW","Next: "&amp;$Z406&amp;IF($Y406&lt;=TODAY()," is due TODAY ("," is due next business day (")&amp;TEXT($Y406,"dd-mmm")&amp;").","Next: "&amp;$Z406&amp;" due "&amp;TEXT($Y406,"dd-mmm")&amp;" ("&amp;(NETWORKDAYS(TODAY(),$Y406,Holidays)-1)&amp;" business day(s) left).")))))</f>
        <v/>
      </c>
      <c r="V406" s="17">
        <f>IF($W406="","",CHOOSE($W406,"Collection Email","1st Follow-up","2nd Follow-up","Local Office","CBE","Roxanne")&amp;IF($W406=6," - Final"," - Day "&amp;MAX(0,NETWORKDAYS($X406,TODAY(),Holidays)-1)&amp;" of "&amp;CHOOSE($W406,3,3,2,2,3))&amp;" | Total Day "&amp;MAX(0,NETWORKDAYS($L406,TODAY(),Holidays)-1))</f>
        <v/>
      </c>
      <c r="W406" s="17">
        <f>IF($L406="","",COUNT($L406:$Q406))</f>
        <v/>
      </c>
      <c r="X406" s="18">
        <f>IF($W406="","",INT(INDEX($L406:$Q406,$W406)))</f>
        <v/>
      </c>
      <c r="Y406" s="18">
        <f>IF(OR($W406="",$W406=6),"",WORKDAY($X406,CHOOSE($W406,3,3,2,2,3),Holidays))</f>
        <v/>
      </c>
      <c r="Z406" s="17">
        <f>IF(OR($W406="",$W406=6),"",CHOOSE($W406,"1st Email Follow-up","2nd Email Follow-up","Escalate Local Office","Escalate to CBE","Escalate to Roxanne"))</f>
        <v/>
      </c>
    </row>
    <row r="407" spans="18:26">
      <c r="R407" s="15"/>
      <c r="S407" s="16"/>
      <c r="T407" s="17">
        <f>IF(AND(COUNTA($A407:$K407)=0,$L407=""),"",IF($S407="Paid","PAID",IF($S407="Closed","CLOSED",IF($W407="","",IF($W407=6,"ESCALATED TO ROXANNE",IF(TODAY()&gt;$Y407,"OVERDUE",IF($Y407&lt;=WORKDAY(TODAY(),1,Holidays),"DUE TOMORROW",IF($W407=4,"ESCALATED TO LOCAL OFFICE",IF($W407=5,"ESCALATED TO CBE",IF($X407=TODAY(),"EMAIL SENT","MONITORING"))))))))))</f>
        <v/>
      </c>
      <c r="U407" s="17">
        <f>IF($T407="",IF(AND(COUNTA($A407:$K407)&gt;0,$L407=""),"Awaiting Collection Email time stamp.",""),IF(OR($T407="PAID",$T407="CLOSED"),IF($T407="PAID","Account paid. Action completed.","Account closed. No further action required."),CHOOSE($W407,"Collection Email","1st Email Follow-up","2nd Email Follow-up","Escalation to Local Office","Escalation to CBE","Escalation to Roxanne")&amp;" sent "&amp;TEXT($X407,"dd-mmm")&amp;". "&amp;IF($W407=6,"Final escalation completed.",IF($T407="OVERDUE","Next: "&amp;$Z407&amp;" was due "&amp;TEXT($Y407,"dd-mmm")&amp;" - "&amp;(NETWORKDAYS($Y407,TODAY(),Holidays)-1)&amp;" business day(s) late. Send now.",IF($T407="DUE TOMORROW","Next: "&amp;$Z407&amp;IF($Y407&lt;=TODAY()," is due TODAY ("," is due next business day (")&amp;TEXT($Y407,"dd-mmm")&amp;").","Next: "&amp;$Z407&amp;" due "&amp;TEXT($Y407,"dd-mmm")&amp;" ("&amp;(NETWORKDAYS(TODAY(),$Y407,Holidays)-1)&amp;" business day(s) left).")))))</f>
        <v/>
      </c>
      <c r="V407" s="17">
        <f>IF($W407="","",CHOOSE($W407,"Collection Email","1st Follow-up","2nd Follow-up","Local Office","CBE","Roxanne")&amp;IF($W407=6," - Final"," - Day "&amp;MAX(0,NETWORKDAYS($X407,TODAY(),Holidays)-1)&amp;" of "&amp;CHOOSE($W407,3,3,2,2,3))&amp;" | Total Day "&amp;MAX(0,NETWORKDAYS($L407,TODAY(),Holidays)-1))</f>
        <v/>
      </c>
      <c r="W407" s="17">
        <f>IF($L407="","",COUNT($L407:$Q407))</f>
        <v/>
      </c>
      <c r="X407" s="18">
        <f>IF($W407="","",INT(INDEX($L407:$Q407,$W407)))</f>
        <v/>
      </c>
      <c r="Y407" s="18">
        <f>IF(OR($W407="",$W407=6),"",WORKDAY($X407,CHOOSE($W407,3,3,2,2,3),Holidays))</f>
        <v/>
      </c>
      <c r="Z407" s="17">
        <f>IF(OR($W407="",$W407=6),"",CHOOSE($W407,"1st Email Follow-up","2nd Email Follow-up","Escalate Local Office","Escalate to CBE","Escalate to Roxanne"))</f>
        <v/>
      </c>
    </row>
    <row r="408" spans="18:26">
      <c r="R408" s="15"/>
      <c r="S408" s="16"/>
      <c r="T408" s="17">
        <f>IF(AND(COUNTA($A408:$K408)=0,$L408=""),"",IF($S408="Paid","PAID",IF($S408="Closed","CLOSED",IF($W408="","",IF($W408=6,"ESCALATED TO ROXANNE",IF(TODAY()&gt;$Y408,"OVERDUE",IF($Y408&lt;=WORKDAY(TODAY(),1,Holidays),"DUE TOMORROW",IF($W408=4,"ESCALATED TO LOCAL OFFICE",IF($W408=5,"ESCALATED TO CBE",IF($X408=TODAY(),"EMAIL SENT","MONITORING"))))))))))</f>
        <v/>
      </c>
      <c r="U408" s="17">
        <f>IF($T408="",IF(AND(COUNTA($A408:$K408)&gt;0,$L408=""),"Awaiting Collection Email time stamp.",""),IF(OR($T408="PAID",$T408="CLOSED"),IF($T408="PAID","Account paid. Action completed.","Account closed. No further action required."),CHOOSE($W408,"Collection Email","1st Email Follow-up","2nd Email Follow-up","Escalation to Local Office","Escalation to CBE","Escalation to Roxanne")&amp;" sent "&amp;TEXT($X408,"dd-mmm")&amp;". "&amp;IF($W408=6,"Final escalation completed.",IF($T408="OVERDUE","Next: "&amp;$Z408&amp;" was due "&amp;TEXT($Y408,"dd-mmm")&amp;" - "&amp;(NETWORKDAYS($Y408,TODAY(),Holidays)-1)&amp;" business day(s) late. Send now.",IF($T408="DUE TOMORROW","Next: "&amp;$Z408&amp;IF($Y408&lt;=TODAY()," is due TODAY ("," is due next business day (")&amp;TEXT($Y408,"dd-mmm")&amp;").","Next: "&amp;$Z408&amp;" due "&amp;TEXT($Y408,"dd-mmm")&amp;" ("&amp;(NETWORKDAYS(TODAY(),$Y408,Holidays)-1)&amp;" business day(s) left).")))))</f>
        <v/>
      </c>
      <c r="V408" s="17">
        <f>IF($W408="","",CHOOSE($W408,"Collection Email","1st Follow-up","2nd Follow-up","Local Office","CBE","Roxanne")&amp;IF($W408=6," - Final"," - Day "&amp;MAX(0,NETWORKDAYS($X408,TODAY(),Holidays)-1)&amp;" of "&amp;CHOOSE($W408,3,3,2,2,3))&amp;" | Total Day "&amp;MAX(0,NETWORKDAYS($L408,TODAY(),Holidays)-1))</f>
        <v/>
      </c>
      <c r="W408" s="17">
        <f>IF($L408="","",COUNT($L408:$Q408))</f>
        <v/>
      </c>
      <c r="X408" s="18">
        <f>IF($W408="","",INT(INDEX($L408:$Q408,$W408)))</f>
        <v/>
      </c>
      <c r="Y408" s="18">
        <f>IF(OR($W408="",$W408=6),"",WORKDAY($X408,CHOOSE($W408,3,3,2,2,3),Holidays))</f>
        <v/>
      </c>
      <c r="Z408" s="17">
        <f>IF(OR($W408="",$W408=6),"",CHOOSE($W408,"1st Email Follow-up","2nd Email Follow-up","Escalate Local Office","Escalate to CBE","Escalate to Roxanne"))</f>
        <v/>
      </c>
    </row>
    <row r="409" spans="18:26">
      <c r="R409" s="15"/>
      <c r="S409" s="16"/>
      <c r="T409" s="17">
        <f>IF(AND(COUNTA($A409:$K409)=0,$L409=""),"",IF($S409="Paid","PAID",IF($S409="Closed","CLOSED",IF($W409="","",IF($W409=6,"ESCALATED TO ROXANNE",IF(TODAY()&gt;$Y409,"OVERDUE",IF($Y409&lt;=WORKDAY(TODAY(),1,Holidays),"DUE TOMORROW",IF($W409=4,"ESCALATED TO LOCAL OFFICE",IF($W409=5,"ESCALATED TO CBE",IF($X409=TODAY(),"EMAIL SENT","MONITORING"))))))))))</f>
        <v/>
      </c>
      <c r="U409" s="17">
        <f>IF($T409="",IF(AND(COUNTA($A409:$K409)&gt;0,$L409=""),"Awaiting Collection Email time stamp.",""),IF(OR($T409="PAID",$T409="CLOSED"),IF($T409="PAID","Account paid. Action completed.","Account closed. No further action required."),CHOOSE($W409,"Collection Email","1st Email Follow-up","2nd Email Follow-up","Escalation to Local Office","Escalation to CBE","Escalation to Roxanne")&amp;" sent "&amp;TEXT($X409,"dd-mmm")&amp;". "&amp;IF($W409=6,"Final escalation completed.",IF($T409="OVERDUE","Next: "&amp;$Z409&amp;" was due "&amp;TEXT($Y409,"dd-mmm")&amp;" - "&amp;(NETWORKDAYS($Y409,TODAY(),Holidays)-1)&amp;" business day(s) late. Send now.",IF($T409="DUE TOMORROW","Next: "&amp;$Z409&amp;IF($Y409&lt;=TODAY()," is due TODAY ("," is due next business day (")&amp;TEXT($Y409,"dd-mmm")&amp;").","Next: "&amp;$Z409&amp;" due "&amp;TEXT($Y409,"dd-mmm")&amp;" ("&amp;(NETWORKDAYS(TODAY(),$Y409,Holidays)-1)&amp;" business day(s) left).")))))</f>
        <v/>
      </c>
      <c r="V409" s="17">
        <f>IF($W409="","",CHOOSE($W409,"Collection Email","1st Follow-up","2nd Follow-up","Local Office","CBE","Roxanne")&amp;IF($W409=6," - Final"," - Day "&amp;MAX(0,NETWORKDAYS($X409,TODAY(),Holidays)-1)&amp;" of "&amp;CHOOSE($W409,3,3,2,2,3))&amp;" | Total Day "&amp;MAX(0,NETWORKDAYS($L409,TODAY(),Holidays)-1))</f>
        <v/>
      </c>
      <c r="W409" s="17">
        <f>IF($L409="","",COUNT($L409:$Q409))</f>
        <v/>
      </c>
      <c r="X409" s="18">
        <f>IF($W409="","",INT(INDEX($L409:$Q409,$W409)))</f>
        <v/>
      </c>
      <c r="Y409" s="18">
        <f>IF(OR($W409="",$W409=6),"",WORKDAY($X409,CHOOSE($W409,3,3,2,2,3),Holidays))</f>
        <v/>
      </c>
      <c r="Z409" s="17">
        <f>IF(OR($W409="",$W409=6),"",CHOOSE($W409,"1st Email Follow-up","2nd Email Follow-up","Escalate Local Office","Escalate to CBE","Escalate to Roxanne"))</f>
        <v/>
      </c>
    </row>
    <row r="410" spans="18:26">
      <c r="R410" s="15"/>
      <c r="S410" s="16"/>
      <c r="T410" s="17">
        <f>IF(AND(COUNTA($A410:$K410)=0,$L410=""),"",IF($S410="Paid","PAID",IF($S410="Closed","CLOSED",IF($W410="","",IF($W410=6,"ESCALATED TO ROXANNE",IF(TODAY()&gt;$Y410,"OVERDUE",IF($Y410&lt;=WORKDAY(TODAY(),1,Holidays),"DUE TOMORROW",IF($W410=4,"ESCALATED TO LOCAL OFFICE",IF($W410=5,"ESCALATED TO CBE",IF($X410=TODAY(),"EMAIL SENT","MONITORING"))))))))))</f>
        <v/>
      </c>
      <c r="U410" s="17">
        <f>IF($T410="",IF(AND(COUNTA($A410:$K410)&gt;0,$L410=""),"Awaiting Collection Email time stamp.",""),IF(OR($T410="PAID",$T410="CLOSED"),IF($T410="PAID","Account paid. Action completed.","Account closed. No further action required."),CHOOSE($W410,"Collection Email","1st Email Follow-up","2nd Email Follow-up","Escalation to Local Office","Escalation to CBE","Escalation to Roxanne")&amp;" sent "&amp;TEXT($X410,"dd-mmm")&amp;". "&amp;IF($W410=6,"Final escalation completed.",IF($T410="OVERDUE","Next: "&amp;$Z410&amp;" was due "&amp;TEXT($Y410,"dd-mmm")&amp;" - "&amp;(NETWORKDAYS($Y410,TODAY(),Holidays)-1)&amp;" business day(s) late. Send now.",IF($T410="DUE TOMORROW","Next: "&amp;$Z410&amp;IF($Y410&lt;=TODAY()," is due TODAY ("," is due next business day (")&amp;TEXT($Y410,"dd-mmm")&amp;").","Next: "&amp;$Z410&amp;" due "&amp;TEXT($Y410,"dd-mmm")&amp;" ("&amp;(NETWORKDAYS(TODAY(),$Y410,Holidays)-1)&amp;" business day(s) left).")))))</f>
        <v/>
      </c>
      <c r="V410" s="17">
        <f>IF($W410="","",CHOOSE($W410,"Collection Email","1st Follow-up","2nd Follow-up","Local Office","CBE","Roxanne")&amp;IF($W410=6," - Final"," - Day "&amp;MAX(0,NETWORKDAYS($X410,TODAY(),Holidays)-1)&amp;" of "&amp;CHOOSE($W410,3,3,2,2,3))&amp;" | Total Day "&amp;MAX(0,NETWORKDAYS($L410,TODAY(),Holidays)-1))</f>
        <v/>
      </c>
      <c r="W410" s="17">
        <f>IF($L410="","",COUNT($L410:$Q410))</f>
        <v/>
      </c>
      <c r="X410" s="18">
        <f>IF($W410="","",INT(INDEX($L410:$Q410,$W410)))</f>
        <v/>
      </c>
      <c r="Y410" s="18">
        <f>IF(OR($W410="",$W410=6),"",WORKDAY($X410,CHOOSE($W410,3,3,2,2,3),Holidays))</f>
        <v/>
      </c>
      <c r="Z410" s="17">
        <f>IF(OR($W410="",$W410=6),"",CHOOSE($W410,"1st Email Follow-up","2nd Email Follow-up","Escalate Local Office","Escalate to CBE","Escalate to Roxanne"))</f>
        <v/>
      </c>
    </row>
    <row r="411" spans="18:26">
      <c r="R411" s="15"/>
      <c r="S411" s="16"/>
      <c r="T411" s="17">
        <f>IF(AND(COUNTA($A411:$K411)=0,$L411=""),"",IF($S411="Paid","PAID",IF($S411="Closed","CLOSED",IF($W411="","",IF($W411=6,"ESCALATED TO ROXANNE",IF(TODAY()&gt;$Y411,"OVERDUE",IF($Y411&lt;=WORKDAY(TODAY(),1,Holidays),"DUE TOMORROW",IF($W411=4,"ESCALATED TO LOCAL OFFICE",IF($W411=5,"ESCALATED TO CBE",IF($X411=TODAY(),"EMAIL SENT","MONITORING"))))))))))</f>
        <v/>
      </c>
      <c r="U411" s="17">
        <f>IF($T411="",IF(AND(COUNTA($A411:$K411)&gt;0,$L411=""),"Awaiting Collection Email time stamp.",""),IF(OR($T411="PAID",$T411="CLOSED"),IF($T411="PAID","Account paid. Action completed.","Account closed. No further action required."),CHOOSE($W411,"Collection Email","1st Email Follow-up","2nd Email Follow-up","Escalation to Local Office","Escalation to CBE","Escalation to Roxanne")&amp;" sent "&amp;TEXT($X411,"dd-mmm")&amp;". "&amp;IF($W411=6,"Final escalation completed.",IF($T411="OVERDUE","Next: "&amp;$Z411&amp;" was due "&amp;TEXT($Y411,"dd-mmm")&amp;" - "&amp;(NETWORKDAYS($Y411,TODAY(),Holidays)-1)&amp;" business day(s) late. Send now.",IF($T411="DUE TOMORROW","Next: "&amp;$Z411&amp;IF($Y411&lt;=TODAY()," is due TODAY ("," is due next business day (")&amp;TEXT($Y411,"dd-mmm")&amp;").","Next: "&amp;$Z411&amp;" due "&amp;TEXT($Y411,"dd-mmm")&amp;" ("&amp;(NETWORKDAYS(TODAY(),$Y411,Holidays)-1)&amp;" business day(s) left).")))))</f>
        <v/>
      </c>
      <c r="V411" s="17">
        <f>IF($W411="","",CHOOSE($W411,"Collection Email","1st Follow-up","2nd Follow-up","Local Office","CBE","Roxanne")&amp;IF($W411=6," - Final"," - Day "&amp;MAX(0,NETWORKDAYS($X411,TODAY(),Holidays)-1)&amp;" of "&amp;CHOOSE($W411,3,3,2,2,3))&amp;" | Total Day "&amp;MAX(0,NETWORKDAYS($L411,TODAY(),Holidays)-1))</f>
        <v/>
      </c>
      <c r="W411" s="17">
        <f>IF($L411="","",COUNT($L411:$Q411))</f>
        <v/>
      </c>
      <c r="X411" s="18">
        <f>IF($W411="","",INT(INDEX($L411:$Q411,$W411)))</f>
        <v/>
      </c>
      <c r="Y411" s="18">
        <f>IF(OR($W411="",$W411=6),"",WORKDAY($X411,CHOOSE($W411,3,3,2,2,3),Holidays))</f>
        <v/>
      </c>
      <c r="Z411" s="17">
        <f>IF(OR($W411="",$W411=6),"",CHOOSE($W411,"1st Email Follow-up","2nd Email Follow-up","Escalate Local Office","Escalate to CBE","Escalate to Roxanne"))</f>
        <v/>
      </c>
    </row>
    <row r="412" spans="18:26">
      <c r="R412" s="15"/>
      <c r="S412" s="16"/>
      <c r="T412" s="17">
        <f>IF(AND(COUNTA($A412:$K412)=0,$L412=""),"",IF($S412="Paid","PAID",IF($S412="Closed","CLOSED",IF($W412="","",IF($W412=6,"ESCALATED TO ROXANNE",IF(TODAY()&gt;$Y412,"OVERDUE",IF($Y412&lt;=WORKDAY(TODAY(),1,Holidays),"DUE TOMORROW",IF($W412=4,"ESCALATED TO LOCAL OFFICE",IF($W412=5,"ESCALATED TO CBE",IF($X412=TODAY(),"EMAIL SENT","MONITORING"))))))))))</f>
        <v/>
      </c>
      <c r="U412" s="17">
        <f>IF($T412="",IF(AND(COUNTA($A412:$K412)&gt;0,$L412=""),"Awaiting Collection Email time stamp.",""),IF(OR($T412="PAID",$T412="CLOSED"),IF($T412="PAID","Account paid. Action completed.","Account closed. No further action required."),CHOOSE($W412,"Collection Email","1st Email Follow-up","2nd Email Follow-up","Escalation to Local Office","Escalation to CBE","Escalation to Roxanne")&amp;" sent "&amp;TEXT($X412,"dd-mmm")&amp;". "&amp;IF($W412=6,"Final escalation completed.",IF($T412="OVERDUE","Next: "&amp;$Z412&amp;" was due "&amp;TEXT($Y412,"dd-mmm")&amp;" - "&amp;(NETWORKDAYS($Y412,TODAY(),Holidays)-1)&amp;" business day(s) late. Send now.",IF($T412="DUE TOMORROW","Next: "&amp;$Z412&amp;IF($Y412&lt;=TODAY()," is due TODAY ("," is due next business day (")&amp;TEXT($Y412,"dd-mmm")&amp;").","Next: "&amp;$Z412&amp;" due "&amp;TEXT($Y412,"dd-mmm")&amp;" ("&amp;(NETWORKDAYS(TODAY(),$Y412,Holidays)-1)&amp;" business day(s) left).")))))</f>
        <v/>
      </c>
      <c r="V412" s="17">
        <f>IF($W412="","",CHOOSE($W412,"Collection Email","1st Follow-up","2nd Follow-up","Local Office","CBE","Roxanne")&amp;IF($W412=6," - Final"," - Day "&amp;MAX(0,NETWORKDAYS($X412,TODAY(),Holidays)-1)&amp;" of "&amp;CHOOSE($W412,3,3,2,2,3))&amp;" | Total Day "&amp;MAX(0,NETWORKDAYS($L412,TODAY(),Holidays)-1))</f>
        <v/>
      </c>
      <c r="W412" s="17">
        <f>IF($L412="","",COUNT($L412:$Q412))</f>
        <v/>
      </c>
      <c r="X412" s="18">
        <f>IF($W412="","",INT(INDEX($L412:$Q412,$W412)))</f>
        <v/>
      </c>
      <c r="Y412" s="18">
        <f>IF(OR($W412="",$W412=6),"",WORKDAY($X412,CHOOSE($W412,3,3,2,2,3),Holidays))</f>
        <v/>
      </c>
      <c r="Z412" s="17">
        <f>IF(OR($W412="",$W412=6),"",CHOOSE($W412,"1st Email Follow-up","2nd Email Follow-up","Escalate Local Office","Escalate to CBE","Escalate to Roxanne"))</f>
        <v/>
      </c>
    </row>
    <row r="413" spans="18:26">
      <c r="R413" s="15"/>
      <c r="S413" s="16"/>
      <c r="T413" s="17">
        <f>IF(AND(COUNTA($A413:$K413)=0,$L413=""),"",IF($S413="Paid","PAID",IF($S413="Closed","CLOSED",IF($W413="","",IF($W413=6,"ESCALATED TO ROXANNE",IF(TODAY()&gt;$Y413,"OVERDUE",IF($Y413&lt;=WORKDAY(TODAY(),1,Holidays),"DUE TOMORROW",IF($W413=4,"ESCALATED TO LOCAL OFFICE",IF($W413=5,"ESCALATED TO CBE",IF($X413=TODAY(),"EMAIL SENT","MONITORING"))))))))))</f>
        <v/>
      </c>
      <c r="U413" s="17">
        <f>IF($T413="",IF(AND(COUNTA($A413:$K413)&gt;0,$L413=""),"Awaiting Collection Email time stamp.",""),IF(OR($T413="PAID",$T413="CLOSED"),IF($T413="PAID","Account paid. Action completed.","Account closed. No further action required."),CHOOSE($W413,"Collection Email","1st Email Follow-up","2nd Email Follow-up","Escalation to Local Office","Escalation to CBE","Escalation to Roxanne")&amp;" sent "&amp;TEXT($X413,"dd-mmm")&amp;". "&amp;IF($W413=6,"Final escalation completed.",IF($T413="OVERDUE","Next: "&amp;$Z413&amp;" was due "&amp;TEXT($Y413,"dd-mmm")&amp;" - "&amp;(NETWORKDAYS($Y413,TODAY(),Holidays)-1)&amp;" business day(s) late. Send now.",IF($T413="DUE TOMORROW","Next: "&amp;$Z413&amp;IF($Y413&lt;=TODAY()," is due TODAY ("," is due next business day (")&amp;TEXT($Y413,"dd-mmm")&amp;").","Next: "&amp;$Z413&amp;" due "&amp;TEXT($Y413,"dd-mmm")&amp;" ("&amp;(NETWORKDAYS(TODAY(),$Y413,Holidays)-1)&amp;" business day(s) left).")))))</f>
        <v/>
      </c>
      <c r="V413" s="17">
        <f>IF($W413="","",CHOOSE($W413,"Collection Email","1st Follow-up","2nd Follow-up","Local Office","CBE","Roxanne")&amp;IF($W413=6," - Final"," - Day "&amp;MAX(0,NETWORKDAYS($X413,TODAY(),Holidays)-1)&amp;" of "&amp;CHOOSE($W413,3,3,2,2,3))&amp;" | Total Day "&amp;MAX(0,NETWORKDAYS($L413,TODAY(),Holidays)-1))</f>
        <v/>
      </c>
      <c r="W413" s="17">
        <f>IF($L413="","",COUNT($L413:$Q413))</f>
        <v/>
      </c>
      <c r="X413" s="18">
        <f>IF($W413="","",INT(INDEX($L413:$Q413,$W413)))</f>
        <v/>
      </c>
      <c r="Y413" s="18">
        <f>IF(OR($W413="",$W413=6),"",WORKDAY($X413,CHOOSE($W413,3,3,2,2,3),Holidays))</f>
        <v/>
      </c>
      <c r="Z413" s="17">
        <f>IF(OR($W413="",$W413=6),"",CHOOSE($W413,"1st Email Follow-up","2nd Email Follow-up","Escalate Local Office","Escalate to CBE","Escalate to Roxanne"))</f>
        <v/>
      </c>
    </row>
    <row r="414" spans="18:26">
      <c r="R414" s="15"/>
      <c r="S414" s="16"/>
      <c r="T414" s="17">
        <f>IF(AND(COUNTA($A414:$K414)=0,$L414=""),"",IF($S414="Paid","PAID",IF($S414="Closed","CLOSED",IF($W414="","",IF($W414=6,"ESCALATED TO ROXANNE",IF(TODAY()&gt;$Y414,"OVERDUE",IF($Y414&lt;=WORKDAY(TODAY(),1,Holidays),"DUE TOMORROW",IF($W414=4,"ESCALATED TO LOCAL OFFICE",IF($W414=5,"ESCALATED TO CBE",IF($X414=TODAY(),"EMAIL SENT","MONITORING"))))))))))</f>
        <v/>
      </c>
      <c r="U414" s="17">
        <f>IF($T414="",IF(AND(COUNTA($A414:$K414)&gt;0,$L414=""),"Awaiting Collection Email time stamp.",""),IF(OR($T414="PAID",$T414="CLOSED"),IF($T414="PAID","Account paid. Action completed.","Account closed. No further action required."),CHOOSE($W414,"Collection Email","1st Email Follow-up","2nd Email Follow-up","Escalation to Local Office","Escalation to CBE","Escalation to Roxanne")&amp;" sent "&amp;TEXT($X414,"dd-mmm")&amp;". "&amp;IF($W414=6,"Final escalation completed.",IF($T414="OVERDUE","Next: "&amp;$Z414&amp;" was due "&amp;TEXT($Y414,"dd-mmm")&amp;" - "&amp;(NETWORKDAYS($Y414,TODAY(),Holidays)-1)&amp;" business day(s) late. Send now.",IF($T414="DUE TOMORROW","Next: "&amp;$Z414&amp;IF($Y414&lt;=TODAY()," is due TODAY ("," is due next business day (")&amp;TEXT($Y414,"dd-mmm")&amp;").","Next: "&amp;$Z414&amp;" due "&amp;TEXT($Y414,"dd-mmm")&amp;" ("&amp;(NETWORKDAYS(TODAY(),$Y414,Holidays)-1)&amp;" business day(s) left).")))))</f>
        <v/>
      </c>
      <c r="V414" s="17">
        <f>IF($W414="","",CHOOSE($W414,"Collection Email","1st Follow-up","2nd Follow-up","Local Office","CBE","Roxanne")&amp;IF($W414=6," - Final"," - Day "&amp;MAX(0,NETWORKDAYS($X414,TODAY(),Holidays)-1)&amp;" of "&amp;CHOOSE($W414,3,3,2,2,3))&amp;" | Total Day "&amp;MAX(0,NETWORKDAYS($L414,TODAY(),Holidays)-1))</f>
        <v/>
      </c>
      <c r="W414" s="17">
        <f>IF($L414="","",COUNT($L414:$Q414))</f>
        <v/>
      </c>
      <c r="X414" s="18">
        <f>IF($W414="","",INT(INDEX($L414:$Q414,$W414)))</f>
        <v/>
      </c>
      <c r="Y414" s="18">
        <f>IF(OR($W414="",$W414=6),"",WORKDAY($X414,CHOOSE($W414,3,3,2,2,3),Holidays))</f>
        <v/>
      </c>
      <c r="Z414" s="17">
        <f>IF(OR($W414="",$W414=6),"",CHOOSE($W414,"1st Email Follow-up","2nd Email Follow-up","Escalate Local Office","Escalate to CBE","Escalate to Roxanne"))</f>
        <v/>
      </c>
    </row>
    <row r="415" spans="18:26">
      <c r="R415" s="15"/>
      <c r="S415" s="16"/>
      <c r="T415" s="17">
        <f>IF(AND(COUNTA($A415:$K415)=0,$L415=""),"",IF($S415="Paid","PAID",IF($S415="Closed","CLOSED",IF($W415="","",IF($W415=6,"ESCALATED TO ROXANNE",IF(TODAY()&gt;$Y415,"OVERDUE",IF($Y415&lt;=WORKDAY(TODAY(),1,Holidays),"DUE TOMORROW",IF($W415=4,"ESCALATED TO LOCAL OFFICE",IF($W415=5,"ESCALATED TO CBE",IF($X415=TODAY(),"EMAIL SENT","MONITORING"))))))))))</f>
        <v/>
      </c>
      <c r="U415" s="17">
        <f>IF($T415="",IF(AND(COUNTA($A415:$K415)&gt;0,$L415=""),"Awaiting Collection Email time stamp.",""),IF(OR($T415="PAID",$T415="CLOSED"),IF($T415="PAID","Account paid. Action completed.","Account closed. No further action required."),CHOOSE($W415,"Collection Email","1st Email Follow-up","2nd Email Follow-up","Escalation to Local Office","Escalation to CBE","Escalation to Roxanne")&amp;" sent "&amp;TEXT($X415,"dd-mmm")&amp;". "&amp;IF($W415=6,"Final escalation completed.",IF($T415="OVERDUE","Next: "&amp;$Z415&amp;" was due "&amp;TEXT($Y415,"dd-mmm")&amp;" - "&amp;(NETWORKDAYS($Y415,TODAY(),Holidays)-1)&amp;" business day(s) late. Send now.",IF($T415="DUE TOMORROW","Next: "&amp;$Z415&amp;IF($Y415&lt;=TODAY()," is due TODAY ("," is due next business day (")&amp;TEXT($Y415,"dd-mmm")&amp;").","Next: "&amp;$Z415&amp;" due "&amp;TEXT($Y415,"dd-mmm")&amp;" ("&amp;(NETWORKDAYS(TODAY(),$Y415,Holidays)-1)&amp;" business day(s) left).")))))</f>
        <v/>
      </c>
      <c r="V415" s="17">
        <f>IF($W415="","",CHOOSE($W415,"Collection Email","1st Follow-up","2nd Follow-up","Local Office","CBE","Roxanne")&amp;IF($W415=6," - Final"," - Day "&amp;MAX(0,NETWORKDAYS($X415,TODAY(),Holidays)-1)&amp;" of "&amp;CHOOSE($W415,3,3,2,2,3))&amp;" | Total Day "&amp;MAX(0,NETWORKDAYS($L415,TODAY(),Holidays)-1))</f>
        <v/>
      </c>
      <c r="W415" s="17">
        <f>IF($L415="","",COUNT($L415:$Q415))</f>
        <v/>
      </c>
      <c r="X415" s="18">
        <f>IF($W415="","",INT(INDEX($L415:$Q415,$W415)))</f>
        <v/>
      </c>
      <c r="Y415" s="18">
        <f>IF(OR($W415="",$W415=6),"",WORKDAY($X415,CHOOSE($W415,3,3,2,2,3),Holidays))</f>
        <v/>
      </c>
      <c r="Z415" s="17">
        <f>IF(OR($W415="",$W415=6),"",CHOOSE($W415,"1st Email Follow-up","2nd Email Follow-up","Escalate Local Office","Escalate to CBE","Escalate to Roxanne"))</f>
        <v/>
      </c>
    </row>
    <row r="416" spans="18:26">
      <c r="R416" s="15"/>
      <c r="S416" s="16"/>
      <c r="T416" s="17">
        <f>IF(AND(COUNTA($A416:$K416)=0,$L416=""),"",IF($S416="Paid","PAID",IF($S416="Closed","CLOSED",IF($W416="","",IF($W416=6,"ESCALATED TO ROXANNE",IF(TODAY()&gt;$Y416,"OVERDUE",IF($Y416&lt;=WORKDAY(TODAY(),1,Holidays),"DUE TOMORROW",IF($W416=4,"ESCALATED TO LOCAL OFFICE",IF($W416=5,"ESCALATED TO CBE",IF($X416=TODAY(),"EMAIL SENT","MONITORING"))))))))))</f>
        <v/>
      </c>
      <c r="U416" s="17">
        <f>IF($T416="",IF(AND(COUNTA($A416:$K416)&gt;0,$L416=""),"Awaiting Collection Email time stamp.",""),IF(OR($T416="PAID",$T416="CLOSED"),IF($T416="PAID","Account paid. Action completed.","Account closed. No further action required."),CHOOSE($W416,"Collection Email","1st Email Follow-up","2nd Email Follow-up","Escalation to Local Office","Escalation to CBE","Escalation to Roxanne")&amp;" sent "&amp;TEXT($X416,"dd-mmm")&amp;". "&amp;IF($W416=6,"Final escalation completed.",IF($T416="OVERDUE","Next: "&amp;$Z416&amp;" was due "&amp;TEXT($Y416,"dd-mmm")&amp;" - "&amp;(NETWORKDAYS($Y416,TODAY(),Holidays)-1)&amp;" business day(s) late. Send now.",IF($T416="DUE TOMORROW","Next: "&amp;$Z416&amp;IF($Y416&lt;=TODAY()," is due TODAY ("," is due next business day (")&amp;TEXT($Y416,"dd-mmm")&amp;").","Next: "&amp;$Z416&amp;" due "&amp;TEXT($Y416,"dd-mmm")&amp;" ("&amp;(NETWORKDAYS(TODAY(),$Y416,Holidays)-1)&amp;" business day(s) left).")))))</f>
        <v/>
      </c>
      <c r="V416" s="17">
        <f>IF($W416="","",CHOOSE($W416,"Collection Email","1st Follow-up","2nd Follow-up","Local Office","CBE","Roxanne")&amp;IF($W416=6," - Final"," - Day "&amp;MAX(0,NETWORKDAYS($X416,TODAY(),Holidays)-1)&amp;" of "&amp;CHOOSE($W416,3,3,2,2,3))&amp;" | Total Day "&amp;MAX(0,NETWORKDAYS($L416,TODAY(),Holidays)-1))</f>
        <v/>
      </c>
      <c r="W416" s="17">
        <f>IF($L416="","",COUNT($L416:$Q416))</f>
        <v/>
      </c>
      <c r="X416" s="18">
        <f>IF($W416="","",INT(INDEX($L416:$Q416,$W416)))</f>
        <v/>
      </c>
      <c r="Y416" s="18">
        <f>IF(OR($W416="",$W416=6),"",WORKDAY($X416,CHOOSE($W416,3,3,2,2,3),Holidays))</f>
        <v/>
      </c>
      <c r="Z416" s="17">
        <f>IF(OR($W416="",$W416=6),"",CHOOSE($W416,"1st Email Follow-up","2nd Email Follow-up","Escalate Local Office","Escalate to CBE","Escalate to Roxanne"))</f>
        <v/>
      </c>
    </row>
    <row r="417" spans="18:26">
      <c r="R417" s="15"/>
      <c r="S417" s="16"/>
      <c r="T417" s="17">
        <f>IF(AND(COUNTA($A417:$K417)=0,$L417=""),"",IF($S417="Paid","PAID",IF($S417="Closed","CLOSED",IF($W417="","",IF($W417=6,"ESCALATED TO ROXANNE",IF(TODAY()&gt;$Y417,"OVERDUE",IF($Y417&lt;=WORKDAY(TODAY(),1,Holidays),"DUE TOMORROW",IF($W417=4,"ESCALATED TO LOCAL OFFICE",IF($W417=5,"ESCALATED TO CBE",IF($X417=TODAY(),"EMAIL SENT","MONITORING"))))))))))</f>
        <v/>
      </c>
      <c r="U417" s="17">
        <f>IF($T417="",IF(AND(COUNTA($A417:$K417)&gt;0,$L417=""),"Awaiting Collection Email time stamp.",""),IF(OR($T417="PAID",$T417="CLOSED"),IF($T417="PAID","Account paid. Action completed.","Account closed. No further action required."),CHOOSE($W417,"Collection Email","1st Email Follow-up","2nd Email Follow-up","Escalation to Local Office","Escalation to CBE","Escalation to Roxanne")&amp;" sent "&amp;TEXT($X417,"dd-mmm")&amp;". "&amp;IF($W417=6,"Final escalation completed.",IF($T417="OVERDUE","Next: "&amp;$Z417&amp;" was due "&amp;TEXT($Y417,"dd-mmm")&amp;" - "&amp;(NETWORKDAYS($Y417,TODAY(),Holidays)-1)&amp;" business day(s) late. Send now.",IF($T417="DUE TOMORROW","Next: "&amp;$Z417&amp;IF($Y417&lt;=TODAY()," is due TODAY ("," is due next business day (")&amp;TEXT($Y417,"dd-mmm")&amp;").","Next: "&amp;$Z417&amp;" due "&amp;TEXT($Y417,"dd-mmm")&amp;" ("&amp;(NETWORKDAYS(TODAY(),$Y417,Holidays)-1)&amp;" business day(s) left).")))))</f>
        <v/>
      </c>
      <c r="V417" s="17">
        <f>IF($W417="","",CHOOSE($W417,"Collection Email","1st Follow-up","2nd Follow-up","Local Office","CBE","Roxanne")&amp;IF($W417=6," - Final"," - Day "&amp;MAX(0,NETWORKDAYS($X417,TODAY(),Holidays)-1)&amp;" of "&amp;CHOOSE($W417,3,3,2,2,3))&amp;" | Total Day "&amp;MAX(0,NETWORKDAYS($L417,TODAY(),Holidays)-1))</f>
        <v/>
      </c>
      <c r="W417" s="17">
        <f>IF($L417="","",COUNT($L417:$Q417))</f>
        <v/>
      </c>
      <c r="X417" s="18">
        <f>IF($W417="","",INT(INDEX($L417:$Q417,$W417)))</f>
        <v/>
      </c>
      <c r="Y417" s="18">
        <f>IF(OR($W417="",$W417=6),"",WORKDAY($X417,CHOOSE($W417,3,3,2,2,3),Holidays))</f>
        <v/>
      </c>
      <c r="Z417" s="17">
        <f>IF(OR($W417="",$W417=6),"",CHOOSE($W417,"1st Email Follow-up","2nd Email Follow-up","Escalate Local Office","Escalate to CBE","Escalate to Roxanne"))</f>
        <v/>
      </c>
    </row>
    <row r="418" spans="18:26">
      <c r="R418" s="15"/>
      <c r="S418" s="16"/>
      <c r="T418" s="17">
        <f>IF(AND(COUNTA($A418:$K418)=0,$L418=""),"",IF($S418="Paid","PAID",IF($S418="Closed","CLOSED",IF($W418="","",IF($W418=6,"ESCALATED TO ROXANNE",IF(TODAY()&gt;$Y418,"OVERDUE",IF($Y418&lt;=WORKDAY(TODAY(),1,Holidays),"DUE TOMORROW",IF($W418=4,"ESCALATED TO LOCAL OFFICE",IF($W418=5,"ESCALATED TO CBE",IF($X418=TODAY(),"EMAIL SENT","MONITORING"))))))))))</f>
        <v/>
      </c>
      <c r="U418" s="17">
        <f>IF($T418="",IF(AND(COUNTA($A418:$K418)&gt;0,$L418=""),"Awaiting Collection Email time stamp.",""),IF(OR($T418="PAID",$T418="CLOSED"),IF($T418="PAID","Account paid. Action completed.","Account closed. No further action required."),CHOOSE($W418,"Collection Email","1st Email Follow-up","2nd Email Follow-up","Escalation to Local Office","Escalation to CBE","Escalation to Roxanne")&amp;" sent "&amp;TEXT($X418,"dd-mmm")&amp;". "&amp;IF($W418=6,"Final escalation completed.",IF($T418="OVERDUE","Next: "&amp;$Z418&amp;" was due "&amp;TEXT($Y418,"dd-mmm")&amp;" - "&amp;(NETWORKDAYS($Y418,TODAY(),Holidays)-1)&amp;" business day(s) late. Send now.",IF($T418="DUE TOMORROW","Next: "&amp;$Z418&amp;IF($Y418&lt;=TODAY()," is due TODAY ("," is due next business day (")&amp;TEXT($Y418,"dd-mmm")&amp;").","Next: "&amp;$Z418&amp;" due "&amp;TEXT($Y418,"dd-mmm")&amp;" ("&amp;(NETWORKDAYS(TODAY(),$Y418,Holidays)-1)&amp;" business day(s) left).")))))</f>
        <v/>
      </c>
      <c r="V418" s="17">
        <f>IF($W418="","",CHOOSE($W418,"Collection Email","1st Follow-up","2nd Follow-up","Local Office","CBE","Roxanne")&amp;IF($W418=6," - Final"," - Day "&amp;MAX(0,NETWORKDAYS($X418,TODAY(),Holidays)-1)&amp;" of "&amp;CHOOSE($W418,3,3,2,2,3))&amp;" | Total Day "&amp;MAX(0,NETWORKDAYS($L418,TODAY(),Holidays)-1))</f>
        <v/>
      </c>
      <c r="W418" s="17">
        <f>IF($L418="","",COUNT($L418:$Q418))</f>
        <v/>
      </c>
      <c r="X418" s="18">
        <f>IF($W418="","",INT(INDEX($L418:$Q418,$W418)))</f>
        <v/>
      </c>
      <c r="Y418" s="18">
        <f>IF(OR($W418="",$W418=6),"",WORKDAY($X418,CHOOSE($W418,3,3,2,2,3),Holidays))</f>
        <v/>
      </c>
      <c r="Z418" s="17">
        <f>IF(OR($W418="",$W418=6),"",CHOOSE($W418,"1st Email Follow-up","2nd Email Follow-up","Escalate Local Office","Escalate to CBE","Escalate to Roxanne"))</f>
        <v/>
      </c>
    </row>
    <row r="419" spans="18:26">
      <c r="R419" s="15"/>
      <c r="S419" s="16"/>
      <c r="T419" s="17">
        <f>IF(AND(COUNTA($A419:$K419)=0,$L419=""),"",IF($S419="Paid","PAID",IF($S419="Closed","CLOSED",IF($W419="","",IF($W419=6,"ESCALATED TO ROXANNE",IF(TODAY()&gt;$Y419,"OVERDUE",IF($Y419&lt;=WORKDAY(TODAY(),1,Holidays),"DUE TOMORROW",IF($W419=4,"ESCALATED TO LOCAL OFFICE",IF($W419=5,"ESCALATED TO CBE",IF($X419=TODAY(),"EMAIL SENT","MONITORING"))))))))))</f>
        <v/>
      </c>
      <c r="U419" s="17">
        <f>IF($T419="",IF(AND(COUNTA($A419:$K419)&gt;0,$L419=""),"Awaiting Collection Email time stamp.",""),IF(OR($T419="PAID",$T419="CLOSED"),IF($T419="PAID","Account paid. Action completed.","Account closed. No further action required."),CHOOSE($W419,"Collection Email","1st Email Follow-up","2nd Email Follow-up","Escalation to Local Office","Escalation to CBE","Escalation to Roxanne")&amp;" sent "&amp;TEXT($X419,"dd-mmm")&amp;". "&amp;IF($W419=6,"Final escalation completed.",IF($T419="OVERDUE","Next: "&amp;$Z419&amp;" was due "&amp;TEXT($Y419,"dd-mmm")&amp;" - "&amp;(NETWORKDAYS($Y419,TODAY(),Holidays)-1)&amp;" business day(s) late. Send now.",IF($T419="DUE TOMORROW","Next: "&amp;$Z419&amp;IF($Y419&lt;=TODAY()," is due TODAY ("," is due next business day (")&amp;TEXT($Y419,"dd-mmm")&amp;").","Next: "&amp;$Z419&amp;" due "&amp;TEXT($Y419,"dd-mmm")&amp;" ("&amp;(NETWORKDAYS(TODAY(),$Y419,Holidays)-1)&amp;" business day(s) left).")))))</f>
        <v/>
      </c>
      <c r="V419" s="17">
        <f>IF($W419="","",CHOOSE($W419,"Collection Email","1st Follow-up","2nd Follow-up","Local Office","CBE","Roxanne")&amp;IF($W419=6," - Final"," - Day "&amp;MAX(0,NETWORKDAYS($X419,TODAY(),Holidays)-1)&amp;" of "&amp;CHOOSE($W419,3,3,2,2,3))&amp;" | Total Day "&amp;MAX(0,NETWORKDAYS($L419,TODAY(),Holidays)-1))</f>
        <v/>
      </c>
      <c r="W419" s="17">
        <f>IF($L419="","",COUNT($L419:$Q419))</f>
        <v/>
      </c>
      <c r="X419" s="18">
        <f>IF($W419="","",INT(INDEX($L419:$Q419,$W419)))</f>
        <v/>
      </c>
      <c r="Y419" s="18">
        <f>IF(OR($W419="",$W419=6),"",WORKDAY($X419,CHOOSE($W419,3,3,2,2,3),Holidays))</f>
        <v/>
      </c>
      <c r="Z419" s="17">
        <f>IF(OR($W419="",$W419=6),"",CHOOSE($W419,"1st Email Follow-up","2nd Email Follow-up","Escalate Local Office","Escalate to CBE","Escalate to Roxanne"))</f>
        <v/>
      </c>
    </row>
    <row r="420" spans="18:26">
      <c r="R420" s="15"/>
      <c r="S420" s="16"/>
      <c r="T420" s="17">
        <f>IF(AND(COUNTA($A420:$K420)=0,$L420=""),"",IF($S420="Paid","PAID",IF($S420="Closed","CLOSED",IF($W420="","",IF($W420=6,"ESCALATED TO ROXANNE",IF(TODAY()&gt;$Y420,"OVERDUE",IF($Y420&lt;=WORKDAY(TODAY(),1,Holidays),"DUE TOMORROW",IF($W420=4,"ESCALATED TO LOCAL OFFICE",IF($W420=5,"ESCALATED TO CBE",IF($X420=TODAY(),"EMAIL SENT","MONITORING"))))))))))</f>
        <v/>
      </c>
      <c r="U420" s="17">
        <f>IF($T420="",IF(AND(COUNTA($A420:$K420)&gt;0,$L420=""),"Awaiting Collection Email time stamp.",""),IF(OR($T420="PAID",$T420="CLOSED"),IF($T420="PAID","Account paid. Action completed.","Account closed. No further action required."),CHOOSE($W420,"Collection Email","1st Email Follow-up","2nd Email Follow-up","Escalation to Local Office","Escalation to CBE","Escalation to Roxanne")&amp;" sent "&amp;TEXT($X420,"dd-mmm")&amp;". "&amp;IF($W420=6,"Final escalation completed.",IF($T420="OVERDUE","Next: "&amp;$Z420&amp;" was due "&amp;TEXT($Y420,"dd-mmm")&amp;" - "&amp;(NETWORKDAYS($Y420,TODAY(),Holidays)-1)&amp;" business day(s) late. Send now.",IF($T420="DUE TOMORROW","Next: "&amp;$Z420&amp;IF($Y420&lt;=TODAY()," is due TODAY ("," is due next business day (")&amp;TEXT($Y420,"dd-mmm")&amp;").","Next: "&amp;$Z420&amp;" due "&amp;TEXT($Y420,"dd-mmm")&amp;" ("&amp;(NETWORKDAYS(TODAY(),$Y420,Holidays)-1)&amp;" business day(s) left).")))))</f>
        <v/>
      </c>
      <c r="V420" s="17">
        <f>IF($W420="","",CHOOSE($W420,"Collection Email","1st Follow-up","2nd Follow-up","Local Office","CBE","Roxanne")&amp;IF($W420=6," - Final"," - Day "&amp;MAX(0,NETWORKDAYS($X420,TODAY(),Holidays)-1)&amp;" of "&amp;CHOOSE($W420,3,3,2,2,3))&amp;" | Total Day "&amp;MAX(0,NETWORKDAYS($L420,TODAY(),Holidays)-1))</f>
        <v/>
      </c>
      <c r="W420" s="17">
        <f>IF($L420="","",COUNT($L420:$Q420))</f>
        <v/>
      </c>
      <c r="X420" s="18">
        <f>IF($W420="","",INT(INDEX($L420:$Q420,$W420)))</f>
        <v/>
      </c>
      <c r="Y420" s="18">
        <f>IF(OR($W420="",$W420=6),"",WORKDAY($X420,CHOOSE($W420,3,3,2,2,3),Holidays))</f>
        <v/>
      </c>
      <c r="Z420" s="17">
        <f>IF(OR($W420="",$W420=6),"",CHOOSE($W420,"1st Email Follow-up","2nd Email Follow-up","Escalate Local Office","Escalate to CBE","Escalate to Roxanne"))</f>
        <v/>
      </c>
    </row>
    <row r="421" spans="18:26">
      <c r="R421" s="15"/>
      <c r="S421" s="16"/>
      <c r="T421" s="17">
        <f>IF(AND(COUNTA($A421:$K421)=0,$L421=""),"",IF($S421="Paid","PAID",IF($S421="Closed","CLOSED",IF($W421="","",IF($W421=6,"ESCALATED TO ROXANNE",IF(TODAY()&gt;$Y421,"OVERDUE",IF($Y421&lt;=WORKDAY(TODAY(),1,Holidays),"DUE TOMORROW",IF($W421=4,"ESCALATED TO LOCAL OFFICE",IF($W421=5,"ESCALATED TO CBE",IF($X421=TODAY(),"EMAIL SENT","MONITORING"))))))))))</f>
        <v/>
      </c>
      <c r="U421" s="17">
        <f>IF($T421="",IF(AND(COUNTA($A421:$K421)&gt;0,$L421=""),"Awaiting Collection Email time stamp.",""),IF(OR($T421="PAID",$T421="CLOSED"),IF($T421="PAID","Account paid. Action completed.","Account closed. No further action required."),CHOOSE($W421,"Collection Email","1st Email Follow-up","2nd Email Follow-up","Escalation to Local Office","Escalation to CBE","Escalation to Roxanne")&amp;" sent "&amp;TEXT($X421,"dd-mmm")&amp;". "&amp;IF($W421=6,"Final escalation completed.",IF($T421="OVERDUE","Next: "&amp;$Z421&amp;" was due "&amp;TEXT($Y421,"dd-mmm")&amp;" - "&amp;(NETWORKDAYS($Y421,TODAY(),Holidays)-1)&amp;" business day(s) late. Send now.",IF($T421="DUE TOMORROW","Next: "&amp;$Z421&amp;IF($Y421&lt;=TODAY()," is due TODAY ("," is due next business day (")&amp;TEXT($Y421,"dd-mmm")&amp;").","Next: "&amp;$Z421&amp;" due "&amp;TEXT($Y421,"dd-mmm")&amp;" ("&amp;(NETWORKDAYS(TODAY(),$Y421,Holidays)-1)&amp;" business day(s) left).")))))</f>
        <v/>
      </c>
      <c r="V421" s="17">
        <f>IF($W421="","",CHOOSE($W421,"Collection Email","1st Follow-up","2nd Follow-up","Local Office","CBE","Roxanne")&amp;IF($W421=6," - Final"," - Day "&amp;MAX(0,NETWORKDAYS($X421,TODAY(),Holidays)-1)&amp;" of "&amp;CHOOSE($W421,3,3,2,2,3))&amp;" | Total Day "&amp;MAX(0,NETWORKDAYS($L421,TODAY(),Holidays)-1))</f>
        <v/>
      </c>
      <c r="W421" s="17">
        <f>IF($L421="","",COUNT($L421:$Q421))</f>
        <v/>
      </c>
      <c r="X421" s="18">
        <f>IF($W421="","",INT(INDEX($L421:$Q421,$W421)))</f>
        <v/>
      </c>
      <c r="Y421" s="18">
        <f>IF(OR($W421="",$W421=6),"",WORKDAY($X421,CHOOSE($W421,3,3,2,2,3),Holidays))</f>
        <v/>
      </c>
      <c r="Z421" s="17">
        <f>IF(OR($W421="",$W421=6),"",CHOOSE($W421,"1st Email Follow-up","2nd Email Follow-up","Escalate Local Office","Escalate to CBE","Escalate to Roxanne"))</f>
        <v/>
      </c>
    </row>
    <row r="422" spans="18:26">
      <c r="R422" s="15"/>
      <c r="S422" s="16"/>
      <c r="T422" s="17">
        <f>IF(AND(COUNTA($A422:$K422)=0,$L422=""),"",IF($S422="Paid","PAID",IF($S422="Closed","CLOSED",IF($W422="","",IF($W422=6,"ESCALATED TO ROXANNE",IF(TODAY()&gt;$Y422,"OVERDUE",IF($Y422&lt;=WORKDAY(TODAY(),1,Holidays),"DUE TOMORROW",IF($W422=4,"ESCALATED TO LOCAL OFFICE",IF($W422=5,"ESCALATED TO CBE",IF($X422=TODAY(),"EMAIL SENT","MONITORING"))))))))))</f>
        <v/>
      </c>
      <c r="U422" s="17">
        <f>IF($T422="",IF(AND(COUNTA($A422:$K422)&gt;0,$L422=""),"Awaiting Collection Email time stamp.",""),IF(OR($T422="PAID",$T422="CLOSED"),IF($T422="PAID","Account paid. Action completed.","Account closed. No further action required."),CHOOSE($W422,"Collection Email","1st Email Follow-up","2nd Email Follow-up","Escalation to Local Office","Escalation to CBE","Escalation to Roxanne")&amp;" sent "&amp;TEXT($X422,"dd-mmm")&amp;". "&amp;IF($W422=6,"Final escalation completed.",IF($T422="OVERDUE","Next: "&amp;$Z422&amp;" was due "&amp;TEXT($Y422,"dd-mmm")&amp;" - "&amp;(NETWORKDAYS($Y422,TODAY(),Holidays)-1)&amp;" business day(s) late. Send now.",IF($T422="DUE TOMORROW","Next: "&amp;$Z422&amp;IF($Y422&lt;=TODAY()," is due TODAY ("," is due next business day (")&amp;TEXT($Y422,"dd-mmm")&amp;").","Next: "&amp;$Z422&amp;" due "&amp;TEXT($Y422,"dd-mmm")&amp;" ("&amp;(NETWORKDAYS(TODAY(),$Y422,Holidays)-1)&amp;" business day(s) left).")))))</f>
        <v/>
      </c>
      <c r="V422" s="17">
        <f>IF($W422="","",CHOOSE($W422,"Collection Email","1st Follow-up","2nd Follow-up","Local Office","CBE","Roxanne")&amp;IF($W422=6," - Final"," - Day "&amp;MAX(0,NETWORKDAYS($X422,TODAY(),Holidays)-1)&amp;" of "&amp;CHOOSE($W422,3,3,2,2,3))&amp;" | Total Day "&amp;MAX(0,NETWORKDAYS($L422,TODAY(),Holidays)-1))</f>
        <v/>
      </c>
      <c r="W422" s="17">
        <f>IF($L422="","",COUNT($L422:$Q422))</f>
        <v/>
      </c>
      <c r="X422" s="18">
        <f>IF($W422="","",INT(INDEX($L422:$Q422,$W422)))</f>
        <v/>
      </c>
      <c r="Y422" s="18">
        <f>IF(OR($W422="",$W422=6),"",WORKDAY($X422,CHOOSE($W422,3,3,2,2,3),Holidays))</f>
        <v/>
      </c>
      <c r="Z422" s="17">
        <f>IF(OR($W422="",$W422=6),"",CHOOSE($W422,"1st Email Follow-up","2nd Email Follow-up","Escalate Local Office","Escalate to CBE","Escalate to Roxanne"))</f>
        <v/>
      </c>
    </row>
    <row r="423" spans="18:26">
      <c r="R423" s="15"/>
      <c r="S423" s="16"/>
      <c r="T423" s="17">
        <f>IF(AND(COUNTA($A423:$K423)=0,$L423=""),"",IF($S423="Paid","PAID",IF($S423="Closed","CLOSED",IF($W423="","",IF($W423=6,"ESCALATED TO ROXANNE",IF(TODAY()&gt;$Y423,"OVERDUE",IF($Y423&lt;=WORKDAY(TODAY(),1,Holidays),"DUE TOMORROW",IF($W423=4,"ESCALATED TO LOCAL OFFICE",IF($W423=5,"ESCALATED TO CBE",IF($X423=TODAY(),"EMAIL SENT","MONITORING"))))))))))</f>
        <v/>
      </c>
      <c r="U423" s="17">
        <f>IF($T423="",IF(AND(COUNTA($A423:$K423)&gt;0,$L423=""),"Awaiting Collection Email time stamp.",""),IF(OR($T423="PAID",$T423="CLOSED"),IF($T423="PAID","Account paid. Action completed.","Account closed. No further action required."),CHOOSE($W423,"Collection Email","1st Email Follow-up","2nd Email Follow-up","Escalation to Local Office","Escalation to CBE","Escalation to Roxanne")&amp;" sent "&amp;TEXT($X423,"dd-mmm")&amp;". "&amp;IF($W423=6,"Final escalation completed.",IF($T423="OVERDUE","Next: "&amp;$Z423&amp;" was due "&amp;TEXT($Y423,"dd-mmm")&amp;" - "&amp;(NETWORKDAYS($Y423,TODAY(),Holidays)-1)&amp;" business day(s) late. Send now.",IF($T423="DUE TOMORROW","Next: "&amp;$Z423&amp;IF($Y423&lt;=TODAY()," is due TODAY ("," is due next business day (")&amp;TEXT($Y423,"dd-mmm")&amp;").","Next: "&amp;$Z423&amp;" due "&amp;TEXT($Y423,"dd-mmm")&amp;" ("&amp;(NETWORKDAYS(TODAY(),$Y423,Holidays)-1)&amp;" business day(s) left).")))))</f>
        <v/>
      </c>
      <c r="V423" s="17">
        <f>IF($W423="","",CHOOSE($W423,"Collection Email","1st Follow-up","2nd Follow-up","Local Office","CBE","Roxanne")&amp;IF($W423=6," - Final"," - Day "&amp;MAX(0,NETWORKDAYS($X423,TODAY(),Holidays)-1)&amp;" of "&amp;CHOOSE($W423,3,3,2,2,3))&amp;" | Total Day "&amp;MAX(0,NETWORKDAYS($L423,TODAY(),Holidays)-1))</f>
        <v/>
      </c>
      <c r="W423" s="17">
        <f>IF($L423="","",COUNT($L423:$Q423))</f>
        <v/>
      </c>
      <c r="X423" s="18">
        <f>IF($W423="","",INT(INDEX($L423:$Q423,$W423)))</f>
        <v/>
      </c>
      <c r="Y423" s="18">
        <f>IF(OR($W423="",$W423=6),"",WORKDAY($X423,CHOOSE($W423,3,3,2,2,3),Holidays))</f>
        <v/>
      </c>
      <c r="Z423" s="17">
        <f>IF(OR($W423="",$W423=6),"",CHOOSE($W423,"1st Email Follow-up","2nd Email Follow-up","Escalate Local Office","Escalate to CBE","Escalate to Roxanne"))</f>
        <v/>
      </c>
    </row>
    <row r="424" spans="18:26">
      <c r="R424" s="15"/>
      <c r="S424" s="16"/>
      <c r="T424" s="17">
        <f>IF(AND(COUNTA($A424:$K424)=0,$L424=""),"",IF($S424="Paid","PAID",IF($S424="Closed","CLOSED",IF($W424="","",IF($W424=6,"ESCALATED TO ROXANNE",IF(TODAY()&gt;$Y424,"OVERDUE",IF($Y424&lt;=WORKDAY(TODAY(),1,Holidays),"DUE TOMORROW",IF($W424=4,"ESCALATED TO LOCAL OFFICE",IF($W424=5,"ESCALATED TO CBE",IF($X424=TODAY(),"EMAIL SENT","MONITORING"))))))))))</f>
        <v/>
      </c>
      <c r="U424" s="17">
        <f>IF($T424="",IF(AND(COUNTA($A424:$K424)&gt;0,$L424=""),"Awaiting Collection Email time stamp.",""),IF(OR($T424="PAID",$T424="CLOSED"),IF($T424="PAID","Account paid. Action completed.","Account closed. No further action required."),CHOOSE($W424,"Collection Email","1st Email Follow-up","2nd Email Follow-up","Escalation to Local Office","Escalation to CBE","Escalation to Roxanne")&amp;" sent "&amp;TEXT($X424,"dd-mmm")&amp;". "&amp;IF($W424=6,"Final escalation completed.",IF($T424="OVERDUE","Next: "&amp;$Z424&amp;" was due "&amp;TEXT($Y424,"dd-mmm")&amp;" - "&amp;(NETWORKDAYS($Y424,TODAY(),Holidays)-1)&amp;" business day(s) late. Send now.",IF($T424="DUE TOMORROW","Next: "&amp;$Z424&amp;IF($Y424&lt;=TODAY()," is due TODAY ("," is due next business day (")&amp;TEXT($Y424,"dd-mmm")&amp;").","Next: "&amp;$Z424&amp;" due "&amp;TEXT($Y424,"dd-mmm")&amp;" ("&amp;(NETWORKDAYS(TODAY(),$Y424,Holidays)-1)&amp;" business day(s) left).")))))</f>
        <v/>
      </c>
      <c r="V424" s="17">
        <f>IF($W424="","",CHOOSE($W424,"Collection Email","1st Follow-up","2nd Follow-up","Local Office","CBE","Roxanne")&amp;IF($W424=6," - Final"," - Day "&amp;MAX(0,NETWORKDAYS($X424,TODAY(),Holidays)-1)&amp;" of "&amp;CHOOSE($W424,3,3,2,2,3))&amp;" | Total Day "&amp;MAX(0,NETWORKDAYS($L424,TODAY(),Holidays)-1))</f>
        <v/>
      </c>
      <c r="W424" s="17">
        <f>IF($L424="","",COUNT($L424:$Q424))</f>
        <v/>
      </c>
      <c r="X424" s="18">
        <f>IF($W424="","",INT(INDEX($L424:$Q424,$W424)))</f>
        <v/>
      </c>
      <c r="Y424" s="18">
        <f>IF(OR($W424="",$W424=6),"",WORKDAY($X424,CHOOSE($W424,3,3,2,2,3),Holidays))</f>
        <v/>
      </c>
      <c r="Z424" s="17">
        <f>IF(OR($W424="",$W424=6),"",CHOOSE($W424,"1st Email Follow-up","2nd Email Follow-up","Escalate Local Office","Escalate to CBE","Escalate to Roxanne"))</f>
        <v/>
      </c>
    </row>
    <row r="425" spans="18:26">
      <c r="R425" s="15"/>
      <c r="S425" s="16"/>
      <c r="T425" s="17">
        <f>IF(AND(COUNTA($A425:$K425)=0,$L425=""),"",IF($S425="Paid","PAID",IF($S425="Closed","CLOSED",IF($W425="","",IF($W425=6,"ESCALATED TO ROXANNE",IF(TODAY()&gt;$Y425,"OVERDUE",IF($Y425&lt;=WORKDAY(TODAY(),1,Holidays),"DUE TOMORROW",IF($W425=4,"ESCALATED TO LOCAL OFFICE",IF($W425=5,"ESCALATED TO CBE",IF($X425=TODAY(),"EMAIL SENT","MONITORING"))))))))))</f>
        <v/>
      </c>
      <c r="U425" s="17">
        <f>IF($T425="",IF(AND(COUNTA($A425:$K425)&gt;0,$L425=""),"Awaiting Collection Email time stamp.",""),IF(OR($T425="PAID",$T425="CLOSED"),IF($T425="PAID","Account paid. Action completed.","Account closed. No further action required."),CHOOSE($W425,"Collection Email","1st Email Follow-up","2nd Email Follow-up","Escalation to Local Office","Escalation to CBE","Escalation to Roxanne")&amp;" sent "&amp;TEXT($X425,"dd-mmm")&amp;". "&amp;IF($W425=6,"Final escalation completed.",IF($T425="OVERDUE","Next: "&amp;$Z425&amp;" was due "&amp;TEXT($Y425,"dd-mmm")&amp;" - "&amp;(NETWORKDAYS($Y425,TODAY(),Holidays)-1)&amp;" business day(s) late. Send now.",IF($T425="DUE TOMORROW","Next: "&amp;$Z425&amp;IF($Y425&lt;=TODAY()," is due TODAY ("," is due next business day (")&amp;TEXT($Y425,"dd-mmm")&amp;").","Next: "&amp;$Z425&amp;" due "&amp;TEXT($Y425,"dd-mmm")&amp;" ("&amp;(NETWORKDAYS(TODAY(),$Y425,Holidays)-1)&amp;" business day(s) left).")))))</f>
        <v/>
      </c>
      <c r="V425" s="17">
        <f>IF($W425="","",CHOOSE($W425,"Collection Email","1st Follow-up","2nd Follow-up","Local Office","CBE","Roxanne")&amp;IF($W425=6," - Final"," - Day "&amp;MAX(0,NETWORKDAYS($X425,TODAY(),Holidays)-1)&amp;" of "&amp;CHOOSE($W425,3,3,2,2,3))&amp;" | Total Day "&amp;MAX(0,NETWORKDAYS($L425,TODAY(),Holidays)-1))</f>
        <v/>
      </c>
      <c r="W425" s="17">
        <f>IF($L425="","",COUNT($L425:$Q425))</f>
        <v/>
      </c>
      <c r="X425" s="18">
        <f>IF($W425="","",INT(INDEX($L425:$Q425,$W425)))</f>
        <v/>
      </c>
      <c r="Y425" s="18">
        <f>IF(OR($W425="",$W425=6),"",WORKDAY($X425,CHOOSE($W425,3,3,2,2,3),Holidays))</f>
        <v/>
      </c>
      <c r="Z425" s="17">
        <f>IF(OR($W425="",$W425=6),"",CHOOSE($W425,"1st Email Follow-up","2nd Email Follow-up","Escalate Local Office","Escalate to CBE","Escalate to Roxanne"))</f>
        <v/>
      </c>
    </row>
    <row r="426" spans="18:26">
      <c r="R426" s="15"/>
      <c r="S426" s="16"/>
      <c r="T426" s="17">
        <f>IF(AND(COUNTA($A426:$K426)=0,$L426=""),"",IF($S426="Paid","PAID",IF($S426="Closed","CLOSED",IF($W426="","",IF($W426=6,"ESCALATED TO ROXANNE",IF(TODAY()&gt;$Y426,"OVERDUE",IF($Y426&lt;=WORKDAY(TODAY(),1,Holidays),"DUE TOMORROW",IF($W426=4,"ESCALATED TO LOCAL OFFICE",IF($W426=5,"ESCALATED TO CBE",IF($X426=TODAY(),"EMAIL SENT","MONITORING"))))))))))</f>
        <v/>
      </c>
      <c r="U426" s="17">
        <f>IF($T426="",IF(AND(COUNTA($A426:$K426)&gt;0,$L426=""),"Awaiting Collection Email time stamp.",""),IF(OR($T426="PAID",$T426="CLOSED"),IF($T426="PAID","Account paid. Action completed.","Account closed. No further action required."),CHOOSE($W426,"Collection Email","1st Email Follow-up","2nd Email Follow-up","Escalation to Local Office","Escalation to CBE","Escalation to Roxanne")&amp;" sent "&amp;TEXT($X426,"dd-mmm")&amp;". "&amp;IF($W426=6,"Final escalation completed.",IF($T426="OVERDUE","Next: "&amp;$Z426&amp;" was due "&amp;TEXT($Y426,"dd-mmm")&amp;" - "&amp;(NETWORKDAYS($Y426,TODAY(),Holidays)-1)&amp;" business day(s) late. Send now.",IF($T426="DUE TOMORROW","Next: "&amp;$Z426&amp;IF($Y426&lt;=TODAY()," is due TODAY ("," is due next business day (")&amp;TEXT($Y426,"dd-mmm")&amp;").","Next: "&amp;$Z426&amp;" due "&amp;TEXT($Y426,"dd-mmm")&amp;" ("&amp;(NETWORKDAYS(TODAY(),$Y426,Holidays)-1)&amp;" business day(s) left).")))))</f>
        <v/>
      </c>
      <c r="V426" s="17">
        <f>IF($W426="","",CHOOSE($W426,"Collection Email","1st Follow-up","2nd Follow-up","Local Office","CBE","Roxanne")&amp;IF($W426=6," - Final"," - Day "&amp;MAX(0,NETWORKDAYS($X426,TODAY(),Holidays)-1)&amp;" of "&amp;CHOOSE($W426,3,3,2,2,3))&amp;" | Total Day "&amp;MAX(0,NETWORKDAYS($L426,TODAY(),Holidays)-1))</f>
        <v/>
      </c>
      <c r="W426" s="17">
        <f>IF($L426="","",COUNT($L426:$Q426))</f>
        <v/>
      </c>
      <c r="X426" s="18">
        <f>IF($W426="","",INT(INDEX($L426:$Q426,$W426)))</f>
        <v/>
      </c>
      <c r="Y426" s="18">
        <f>IF(OR($W426="",$W426=6),"",WORKDAY($X426,CHOOSE($W426,3,3,2,2,3),Holidays))</f>
        <v/>
      </c>
      <c r="Z426" s="17">
        <f>IF(OR($W426="",$W426=6),"",CHOOSE($W426,"1st Email Follow-up","2nd Email Follow-up","Escalate Local Office","Escalate to CBE","Escalate to Roxanne"))</f>
        <v/>
      </c>
    </row>
    <row r="427" spans="18:26">
      <c r="R427" s="15"/>
      <c r="S427" s="16"/>
      <c r="T427" s="17">
        <f>IF(AND(COUNTA($A427:$K427)=0,$L427=""),"",IF($S427="Paid","PAID",IF($S427="Closed","CLOSED",IF($W427="","",IF($W427=6,"ESCALATED TO ROXANNE",IF(TODAY()&gt;$Y427,"OVERDUE",IF($Y427&lt;=WORKDAY(TODAY(),1,Holidays),"DUE TOMORROW",IF($W427=4,"ESCALATED TO LOCAL OFFICE",IF($W427=5,"ESCALATED TO CBE",IF($X427=TODAY(),"EMAIL SENT","MONITORING"))))))))))</f>
        <v/>
      </c>
      <c r="U427" s="17">
        <f>IF($T427="",IF(AND(COUNTA($A427:$K427)&gt;0,$L427=""),"Awaiting Collection Email time stamp.",""),IF(OR($T427="PAID",$T427="CLOSED"),IF($T427="PAID","Account paid. Action completed.","Account closed. No further action required."),CHOOSE($W427,"Collection Email","1st Email Follow-up","2nd Email Follow-up","Escalation to Local Office","Escalation to CBE","Escalation to Roxanne")&amp;" sent "&amp;TEXT($X427,"dd-mmm")&amp;". "&amp;IF($W427=6,"Final escalation completed.",IF($T427="OVERDUE","Next: "&amp;$Z427&amp;" was due "&amp;TEXT($Y427,"dd-mmm")&amp;" - "&amp;(NETWORKDAYS($Y427,TODAY(),Holidays)-1)&amp;" business day(s) late. Send now.",IF($T427="DUE TOMORROW","Next: "&amp;$Z427&amp;IF($Y427&lt;=TODAY()," is due TODAY ("," is due next business day (")&amp;TEXT($Y427,"dd-mmm")&amp;").","Next: "&amp;$Z427&amp;" due "&amp;TEXT($Y427,"dd-mmm")&amp;" ("&amp;(NETWORKDAYS(TODAY(),$Y427,Holidays)-1)&amp;" business day(s) left).")))))</f>
        <v/>
      </c>
      <c r="V427" s="17">
        <f>IF($W427="","",CHOOSE($W427,"Collection Email","1st Follow-up","2nd Follow-up","Local Office","CBE","Roxanne")&amp;IF($W427=6," - Final"," - Day "&amp;MAX(0,NETWORKDAYS($X427,TODAY(),Holidays)-1)&amp;" of "&amp;CHOOSE($W427,3,3,2,2,3))&amp;" | Total Day "&amp;MAX(0,NETWORKDAYS($L427,TODAY(),Holidays)-1))</f>
        <v/>
      </c>
      <c r="W427" s="17">
        <f>IF($L427="","",COUNT($L427:$Q427))</f>
        <v/>
      </c>
      <c r="X427" s="18">
        <f>IF($W427="","",INT(INDEX($L427:$Q427,$W427)))</f>
        <v/>
      </c>
      <c r="Y427" s="18">
        <f>IF(OR($W427="",$W427=6),"",WORKDAY($X427,CHOOSE($W427,3,3,2,2,3),Holidays))</f>
        <v/>
      </c>
      <c r="Z427" s="17">
        <f>IF(OR($W427="",$W427=6),"",CHOOSE($W427,"1st Email Follow-up","2nd Email Follow-up","Escalate Local Office","Escalate to CBE","Escalate to Roxanne"))</f>
        <v/>
      </c>
    </row>
    <row r="428" spans="18:26">
      <c r="R428" s="15"/>
      <c r="S428" s="16"/>
      <c r="T428" s="17">
        <f>IF(AND(COUNTA($A428:$K428)=0,$L428=""),"",IF($S428="Paid","PAID",IF($S428="Closed","CLOSED",IF($W428="","",IF($W428=6,"ESCALATED TO ROXANNE",IF(TODAY()&gt;$Y428,"OVERDUE",IF($Y428&lt;=WORKDAY(TODAY(),1,Holidays),"DUE TOMORROW",IF($W428=4,"ESCALATED TO LOCAL OFFICE",IF($W428=5,"ESCALATED TO CBE",IF($X428=TODAY(),"EMAIL SENT","MONITORING"))))))))))</f>
        <v/>
      </c>
      <c r="U428" s="17">
        <f>IF($T428="",IF(AND(COUNTA($A428:$K428)&gt;0,$L428=""),"Awaiting Collection Email time stamp.",""),IF(OR($T428="PAID",$T428="CLOSED"),IF($T428="PAID","Account paid. Action completed.","Account closed. No further action required."),CHOOSE($W428,"Collection Email","1st Email Follow-up","2nd Email Follow-up","Escalation to Local Office","Escalation to CBE","Escalation to Roxanne")&amp;" sent "&amp;TEXT($X428,"dd-mmm")&amp;". "&amp;IF($W428=6,"Final escalation completed.",IF($T428="OVERDUE","Next: "&amp;$Z428&amp;" was due "&amp;TEXT($Y428,"dd-mmm")&amp;" - "&amp;(NETWORKDAYS($Y428,TODAY(),Holidays)-1)&amp;" business day(s) late. Send now.",IF($T428="DUE TOMORROW","Next: "&amp;$Z428&amp;IF($Y428&lt;=TODAY()," is due TODAY ("," is due next business day (")&amp;TEXT($Y428,"dd-mmm")&amp;").","Next: "&amp;$Z428&amp;" due "&amp;TEXT($Y428,"dd-mmm")&amp;" ("&amp;(NETWORKDAYS(TODAY(),$Y428,Holidays)-1)&amp;" business day(s) left).")))))</f>
        <v/>
      </c>
      <c r="V428" s="17">
        <f>IF($W428="","",CHOOSE($W428,"Collection Email","1st Follow-up","2nd Follow-up","Local Office","CBE","Roxanne")&amp;IF($W428=6," - Final"," - Day "&amp;MAX(0,NETWORKDAYS($X428,TODAY(),Holidays)-1)&amp;" of "&amp;CHOOSE($W428,3,3,2,2,3))&amp;" | Total Day "&amp;MAX(0,NETWORKDAYS($L428,TODAY(),Holidays)-1))</f>
        <v/>
      </c>
      <c r="W428" s="17">
        <f>IF($L428="","",COUNT($L428:$Q428))</f>
        <v/>
      </c>
      <c r="X428" s="18">
        <f>IF($W428="","",INT(INDEX($L428:$Q428,$W428)))</f>
        <v/>
      </c>
      <c r="Y428" s="18">
        <f>IF(OR($W428="",$W428=6),"",WORKDAY($X428,CHOOSE($W428,3,3,2,2,3),Holidays))</f>
        <v/>
      </c>
      <c r="Z428" s="17">
        <f>IF(OR($W428="",$W428=6),"",CHOOSE($W428,"1st Email Follow-up","2nd Email Follow-up","Escalate Local Office","Escalate to CBE","Escalate to Roxanne"))</f>
        <v/>
      </c>
    </row>
    <row r="429" spans="18:26">
      <c r="R429" s="15"/>
      <c r="S429" s="16"/>
      <c r="T429" s="17">
        <f>IF(AND(COUNTA($A429:$K429)=0,$L429=""),"",IF($S429="Paid","PAID",IF($S429="Closed","CLOSED",IF($W429="","",IF($W429=6,"ESCALATED TO ROXANNE",IF(TODAY()&gt;$Y429,"OVERDUE",IF($Y429&lt;=WORKDAY(TODAY(),1,Holidays),"DUE TOMORROW",IF($W429=4,"ESCALATED TO LOCAL OFFICE",IF($W429=5,"ESCALATED TO CBE",IF($X429=TODAY(),"EMAIL SENT","MONITORING"))))))))))</f>
        <v/>
      </c>
      <c r="U429" s="17">
        <f>IF($T429="",IF(AND(COUNTA($A429:$K429)&gt;0,$L429=""),"Awaiting Collection Email time stamp.",""),IF(OR($T429="PAID",$T429="CLOSED"),IF($T429="PAID","Account paid. Action completed.","Account closed. No further action required."),CHOOSE($W429,"Collection Email","1st Email Follow-up","2nd Email Follow-up","Escalation to Local Office","Escalation to CBE","Escalation to Roxanne")&amp;" sent "&amp;TEXT($X429,"dd-mmm")&amp;". "&amp;IF($W429=6,"Final escalation completed.",IF($T429="OVERDUE","Next: "&amp;$Z429&amp;" was due "&amp;TEXT($Y429,"dd-mmm")&amp;" - "&amp;(NETWORKDAYS($Y429,TODAY(),Holidays)-1)&amp;" business day(s) late. Send now.",IF($T429="DUE TOMORROW","Next: "&amp;$Z429&amp;IF($Y429&lt;=TODAY()," is due TODAY ("," is due next business day (")&amp;TEXT($Y429,"dd-mmm")&amp;").","Next: "&amp;$Z429&amp;" due "&amp;TEXT($Y429,"dd-mmm")&amp;" ("&amp;(NETWORKDAYS(TODAY(),$Y429,Holidays)-1)&amp;" business day(s) left).")))))</f>
        <v/>
      </c>
      <c r="V429" s="17">
        <f>IF($W429="","",CHOOSE($W429,"Collection Email","1st Follow-up","2nd Follow-up","Local Office","CBE","Roxanne")&amp;IF($W429=6," - Final"," - Day "&amp;MAX(0,NETWORKDAYS($X429,TODAY(),Holidays)-1)&amp;" of "&amp;CHOOSE($W429,3,3,2,2,3))&amp;" | Total Day "&amp;MAX(0,NETWORKDAYS($L429,TODAY(),Holidays)-1))</f>
        <v/>
      </c>
      <c r="W429" s="17">
        <f>IF($L429="","",COUNT($L429:$Q429))</f>
        <v/>
      </c>
      <c r="X429" s="18">
        <f>IF($W429="","",INT(INDEX($L429:$Q429,$W429)))</f>
        <v/>
      </c>
      <c r="Y429" s="18">
        <f>IF(OR($W429="",$W429=6),"",WORKDAY($X429,CHOOSE($W429,3,3,2,2,3),Holidays))</f>
        <v/>
      </c>
      <c r="Z429" s="17">
        <f>IF(OR($W429="",$W429=6),"",CHOOSE($W429,"1st Email Follow-up","2nd Email Follow-up","Escalate Local Office","Escalate to CBE","Escalate to Roxanne"))</f>
        <v/>
      </c>
    </row>
    <row r="430" spans="18:26">
      <c r="R430" s="15"/>
      <c r="S430" s="16"/>
      <c r="T430" s="17">
        <f>IF(AND(COUNTA($A430:$K430)=0,$L430=""),"",IF($S430="Paid","PAID",IF($S430="Closed","CLOSED",IF($W430="","",IF($W430=6,"ESCALATED TO ROXANNE",IF(TODAY()&gt;$Y430,"OVERDUE",IF($Y430&lt;=WORKDAY(TODAY(),1,Holidays),"DUE TOMORROW",IF($W430=4,"ESCALATED TO LOCAL OFFICE",IF($W430=5,"ESCALATED TO CBE",IF($X430=TODAY(),"EMAIL SENT","MONITORING"))))))))))</f>
        <v/>
      </c>
      <c r="U430" s="17">
        <f>IF($T430="",IF(AND(COUNTA($A430:$K430)&gt;0,$L430=""),"Awaiting Collection Email time stamp.",""),IF(OR($T430="PAID",$T430="CLOSED"),IF($T430="PAID","Account paid. Action completed.","Account closed. No further action required."),CHOOSE($W430,"Collection Email","1st Email Follow-up","2nd Email Follow-up","Escalation to Local Office","Escalation to CBE","Escalation to Roxanne")&amp;" sent "&amp;TEXT($X430,"dd-mmm")&amp;". "&amp;IF($W430=6,"Final escalation completed.",IF($T430="OVERDUE","Next: "&amp;$Z430&amp;" was due "&amp;TEXT($Y430,"dd-mmm")&amp;" - "&amp;(NETWORKDAYS($Y430,TODAY(),Holidays)-1)&amp;" business day(s) late. Send now.",IF($T430="DUE TOMORROW","Next: "&amp;$Z430&amp;IF($Y430&lt;=TODAY()," is due TODAY ("," is due next business day (")&amp;TEXT($Y430,"dd-mmm")&amp;").","Next: "&amp;$Z430&amp;" due "&amp;TEXT($Y430,"dd-mmm")&amp;" ("&amp;(NETWORKDAYS(TODAY(),$Y430,Holidays)-1)&amp;" business day(s) left).")))))</f>
        <v/>
      </c>
      <c r="V430" s="17">
        <f>IF($W430="","",CHOOSE($W430,"Collection Email","1st Follow-up","2nd Follow-up","Local Office","CBE","Roxanne")&amp;IF($W430=6," - Final"," - Day "&amp;MAX(0,NETWORKDAYS($X430,TODAY(),Holidays)-1)&amp;" of "&amp;CHOOSE($W430,3,3,2,2,3))&amp;" | Total Day "&amp;MAX(0,NETWORKDAYS($L430,TODAY(),Holidays)-1))</f>
        <v/>
      </c>
      <c r="W430" s="17">
        <f>IF($L430="","",COUNT($L430:$Q430))</f>
        <v/>
      </c>
      <c r="X430" s="18">
        <f>IF($W430="","",INT(INDEX($L430:$Q430,$W430)))</f>
        <v/>
      </c>
      <c r="Y430" s="18">
        <f>IF(OR($W430="",$W430=6),"",WORKDAY($X430,CHOOSE($W430,3,3,2,2,3),Holidays))</f>
        <v/>
      </c>
      <c r="Z430" s="17">
        <f>IF(OR($W430="",$W430=6),"",CHOOSE($W430,"1st Email Follow-up","2nd Email Follow-up","Escalate Local Office","Escalate to CBE","Escalate to Roxanne"))</f>
        <v/>
      </c>
    </row>
    <row r="431" spans="18:26">
      <c r="R431" s="15"/>
      <c r="S431" s="16"/>
      <c r="T431" s="17">
        <f>IF(AND(COUNTA($A431:$K431)=0,$L431=""),"",IF($S431="Paid","PAID",IF($S431="Closed","CLOSED",IF($W431="","",IF($W431=6,"ESCALATED TO ROXANNE",IF(TODAY()&gt;$Y431,"OVERDUE",IF($Y431&lt;=WORKDAY(TODAY(),1,Holidays),"DUE TOMORROW",IF($W431=4,"ESCALATED TO LOCAL OFFICE",IF($W431=5,"ESCALATED TO CBE",IF($X431=TODAY(),"EMAIL SENT","MONITORING"))))))))))</f>
        <v/>
      </c>
      <c r="U431" s="17">
        <f>IF($T431="",IF(AND(COUNTA($A431:$K431)&gt;0,$L431=""),"Awaiting Collection Email time stamp.",""),IF(OR($T431="PAID",$T431="CLOSED"),IF($T431="PAID","Account paid. Action completed.","Account closed. No further action required."),CHOOSE($W431,"Collection Email","1st Email Follow-up","2nd Email Follow-up","Escalation to Local Office","Escalation to CBE","Escalation to Roxanne")&amp;" sent "&amp;TEXT($X431,"dd-mmm")&amp;". "&amp;IF($W431=6,"Final escalation completed.",IF($T431="OVERDUE","Next: "&amp;$Z431&amp;" was due "&amp;TEXT($Y431,"dd-mmm")&amp;" - "&amp;(NETWORKDAYS($Y431,TODAY(),Holidays)-1)&amp;" business day(s) late. Send now.",IF($T431="DUE TOMORROW","Next: "&amp;$Z431&amp;IF($Y431&lt;=TODAY()," is due TODAY ("," is due next business day (")&amp;TEXT($Y431,"dd-mmm")&amp;").","Next: "&amp;$Z431&amp;" due "&amp;TEXT($Y431,"dd-mmm")&amp;" ("&amp;(NETWORKDAYS(TODAY(),$Y431,Holidays)-1)&amp;" business day(s) left).")))))</f>
        <v/>
      </c>
      <c r="V431" s="17">
        <f>IF($W431="","",CHOOSE($W431,"Collection Email","1st Follow-up","2nd Follow-up","Local Office","CBE","Roxanne")&amp;IF($W431=6," - Final"," - Day "&amp;MAX(0,NETWORKDAYS($X431,TODAY(),Holidays)-1)&amp;" of "&amp;CHOOSE($W431,3,3,2,2,3))&amp;" | Total Day "&amp;MAX(0,NETWORKDAYS($L431,TODAY(),Holidays)-1))</f>
        <v/>
      </c>
      <c r="W431" s="17">
        <f>IF($L431="","",COUNT($L431:$Q431))</f>
        <v/>
      </c>
      <c r="X431" s="18">
        <f>IF($W431="","",INT(INDEX($L431:$Q431,$W431)))</f>
        <v/>
      </c>
      <c r="Y431" s="18">
        <f>IF(OR($W431="",$W431=6),"",WORKDAY($X431,CHOOSE($W431,3,3,2,2,3),Holidays))</f>
        <v/>
      </c>
      <c r="Z431" s="17">
        <f>IF(OR($W431="",$W431=6),"",CHOOSE($W431,"1st Email Follow-up","2nd Email Follow-up","Escalate Local Office","Escalate to CBE","Escalate to Roxanne"))</f>
        <v/>
      </c>
    </row>
    <row r="432" spans="18:26">
      <c r="R432" s="15"/>
      <c r="S432" s="16"/>
      <c r="T432" s="17">
        <f>IF(AND(COUNTA($A432:$K432)=0,$L432=""),"",IF($S432="Paid","PAID",IF($S432="Closed","CLOSED",IF($W432="","",IF($W432=6,"ESCALATED TO ROXANNE",IF(TODAY()&gt;$Y432,"OVERDUE",IF($Y432&lt;=WORKDAY(TODAY(),1,Holidays),"DUE TOMORROW",IF($W432=4,"ESCALATED TO LOCAL OFFICE",IF($W432=5,"ESCALATED TO CBE",IF($X432=TODAY(),"EMAIL SENT","MONITORING"))))))))))</f>
        <v/>
      </c>
      <c r="U432" s="17">
        <f>IF($T432="",IF(AND(COUNTA($A432:$K432)&gt;0,$L432=""),"Awaiting Collection Email time stamp.",""),IF(OR($T432="PAID",$T432="CLOSED"),IF($T432="PAID","Account paid. Action completed.","Account closed. No further action required."),CHOOSE($W432,"Collection Email","1st Email Follow-up","2nd Email Follow-up","Escalation to Local Office","Escalation to CBE","Escalation to Roxanne")&amp;" sent "&amp;TEXT($X432,"dd-mmm")&amp;". "&amp;IF($W432=6,"Final escalation completed.",IF($T432="OVERDUE","Next: "&amp;$Z432&amp;" was due "&amp;TEXT($Y432,"dd-mmm")&amp;" - "&amp;(NETWORKDAYS($Y432,TODAY(),Holidays)-1)&amp;" business day(s) late. Send now.",IF($T432="DUE TOMORROW","Next: "&amp;$Z432&amp;IF($Y432&lt;=TODAY()," is due TODAY ("," is due next business day (")&amp;TEXT($Y432,"dd-mmm")&amp;").","Next: "&amp;$Z432&amp;" due "&amp;TEXT($Y432,"dd-mmm")&amp;" ("&amp;(NETWORKDAYS(TODAY(),$Y432,Holidays)-1)&amp;" business day(s) left).")))))</f>
        <v/>
      </c>
      <c r="V432" s="17">
        <f>IF($W432="","",CHOOSE($W432,"Collection Email","1st Follow-up","2nd Follow-up","Local Office","CBE","Roxanne")&amp;IF($W432=6," - Final"," - Day "&amp;MAX(0,NETWORKDAYS($X432,TODAY(),Holidays)-1)&amp;" of "&amp;CHOOSE($W432,3,3,2,2,3))&amp;" | Total Day "&amp;MAX(0,NETWORKDAYS($L432,TODAY(),Holidays)-1))</f>
        <v/>
      </c>
      <c r="W432" s="17">
        <f>IF($L432="","",COUNT($L432:$Q432))</f>
        <v/>
      </c>
      <c r="X432" s="18">
        <f>IF($W432="","",INT(INDEX($L432:$Q432,$W432)))</f>
        <v/>
      </c>
      <c r="Y432" s="18">
        <f>IF(OR($W432="",$W432=6),"",WORKDAY($X432,CHOOSE($W432,3,3,2,2,3),Holidays))</f>
        <v/>
      </c>
      <c r="Z432" s="17">
        <f>IF(OR($W432="",$W432=6),"",CHOOSE($W432,"1st Email Follow-up","2nd Email Follow-up","Escalate Local Office","Escalate to CBE","Escalate to Roxanne"))</f>
        <v/>
      </c>
    </row>
    <row r="433" spans="18:26">
      <c r="R433" s="15"/>
      <c r="S433" s="16"/>
      <c r="T433" s="17">
        <f>IF(AND(COUNTA($A433:$K433)=0,$L433=""),"",IF($S433="Paid","PAID",IF($S433="Closed","CLOSED",IF($W433="","",IF($W433=6,"ESCALATED TO ROXANNE",IF(TODAY()&gt;$Y433,"OVERDUE",IF($Y433&lt;=WORKDAY(TODAY(),1,Holidays),"DUE TOMORROW",IF($W433=4,"ESCALATED TO LOCAL OFFICE",IF($W433=5,"ESCALATED TO CBE",IF($X433=TODAY(),"EMAIL SENT","MONITORING"))))))))))</f>
        <v/>
      </c>
      <c r="U433" s="17">
        <f>IF($T433="",IF(AND(COUNTA($A433:$K433)&gt;0,$L433=""),"Awaiting Collection Email time stamp.",""),IF(OR($T433="PAID",$T433="CLOSED"),IF($T433="PAID","Account paid. Action completed.","Account closed. No further action required."),CHOOSE($W433,"Collection Email","1st Email Follow-up","2nd Email Follow-up","Escalation to Local Office","Escalation to CBE","Escalation to Roxanne")&amp;" sent "&amp;TEXT($X433,"dd-mmm")&amp;". "&amp;IF($W433=6,"Final escalation completed.",IF($T433="OVERDUE","Next: "&amp;$Z433&amp;" was due "&amp;TEXT($Y433,"dd-mmm")&amp;" - "&amp;(NETWORKDAYS($Y433,TODAY(),Holidays)-1)&amp;" business day(s) late. Send now.",IF($T433="DUE TOMORROW","Next: "&amp;$Z433&amp;IF($Y433&lt;=TODAY()," is due TODAY ("," is due next business day (")&amp;TEXT($Y433,"dd-mmm")&amp;").","Next: "&amp;$Z433&amp;" due "&amp;TEXT($Y433,"dd-mmm")&amp;" ("&amp;(NETWORKDAYS(TODAY(),$Y433,Holidays)-1)&amp;" business day(s) left).")))))</f>
        <v/>
      </c>
      <c r="V433" s="17">
        <f>IF($W433="","",CHOOSE($W433,"Collection Email","1st Follow-up","2nd Follow-up","Local Office","CBE","Roxanne")&amp;IF($W433=6," - Final"," - Day "&amp;MAX(0,NETWORKDAYS($X433,TODAY(),Holidays)-1)&amp;" of "&amp;CHOOSE($W433,3,3,2,2,3))&amp;" | Total Day "&amp;MAX(0,NETWORKDAYS($L433,TODAY(),Holidays)-1))</f>
        <v/>
      </c>
      <c r="W433" s="17">
        <f>IF($L433="","",COUNT($L433:$Q433))</f>
        <v/>
      </c>
      <c r="X433" s="18">
        <f>IF($W433="","",INT(INDEX($L433:$Q433,$W433)))</f>
        <v/>
      </c>
      <c r="Y433" s="18">
        <f>IF(OR($W433="",$W433=6),"",WORKDAY($X433,CHOOSE($W433,3,3,2,2,3),Holidays))</f>
        <v/>
      </c>
      <c r="Z433" s="17">
        <f>IF(OR($W433="",$W433=6),"",CHOOSE($W433,"1st Email Follow-up","2nd Email Follow-up","Escalate Local Office","Escalate to CBE","Escalate to Roxanne"))</f>
        <v/>
      </c>
    </row>
    <row r="434" spans="18:26">
      <c r="R434" s="15"/>
      <c r="S434" s="16"/>
      <c r="T434" s="17">
        <f>IF(AND(COUNTA($A434:$K434)=0,$L434=""),"",IF($S434="Paid","PAID",IF($S434="Closed","CLOSED",IF($W434="","",IF($W434=6,"ESCALATED TO ROXANNE",IF(TODAY()&gt;$Y434,"OVERDUE",IF($Y434&lt;=WORKDAY(TODAY(),1,Holidays),"DUE TOMORROW",IF($W434=4,"ESCALATED TO LOCAL OFFICE",IF($W434=5,"ESCALATED TO CBE",IF($X434=TODAY(),"EMAIL SENT","MONITORING"))))))))))</f>
        <v/>
      </c>
      <c r="U434" s="17">
        <f>IF($T434="",IF(AND(COUNTA($A434:$K434)&gt;0,$L434=""),"Awaiting Collection Email time stamp.",""),IF(OR($T434="PAID",$T434="CLOSED"),IF($T434="PAID","Account paid. Action completed.","Account closed. No further action required."),CHOOSE($W434,"Collection Email","1st Email Follow-up","2nd Email Follow-up","Escalation to Local Office","Escalation to CBE","Escalation to Roxanne")&amp;" sent "&amp;TEXT($X434,"dd-mmm")&amp;". "&amp;IF($W434=6,"Final escalation completed.",IF($T434="OVERDUE","Next: "&amp;$Z434&amp;" was due "&amp;TEXT($Y434,"dd-mmm")&amp;" - "&amp;(NETWORKDAYS($Y434,TODAY(),Holidays)-1)&amp;" business day(s) late. Send now.",IF($T434="DUE TOMORROW","Next: "&amp;$Z434&amp;IF($Y434&lt;=TODAY()," is due TODAY ("," is due next business day (")&amp;TEXT($Y434,"dd-mmm")&amp;").","Next: "&amp;$Z434&amp;" due "&amp;TEXT($Y434,"dd-mmm")&amp;" ("&amp;(NETWORKDAYS(TODAY(),$Y434,Holidays)-1)&amp;" business day(s) left).")))))</f>
        <v/>
      </c>
      <c r="V434" s="17">
        <f>IF($W434="","",CHOOSE($W434,"Collection Email","1st Follow-up","2nd Follow-up","Local Office","CBE","Roxanne")&amp;IF($W434=6," - Final"," - Day "&amp;MAX(0,NETWORKDAYS($X434,TODAY(),Holidays)-1)&amp;" of "&amp;CHOOSE($W434,3,3,2,2,3))&amp;" | Total Day "&amp;MAX(0,NETWORKDAYS($L434,TODAY(),Holidays)-1))</f>
        <v/>
      </c>
      <c r="W434" s="17">
        <f>IF($L434="","",COUNT($L434:$Q434))</f>
        <v/>
      </c>
      <c r="X434" s="18">
        <f>IF($W434="","",INT(INDEX($L434:$Q434,$W434)))</f>
        <v/>
      </c>
      <c r="Y434" s="18">
        <f>IF(OR($W434="",$W434=6),"",WORKDAY($X434,CHOOSE($W434,3,3,2,2,3),Holidays))</f>
        <v/>
      </c>
      <c r="Z434" s="17">
        <f>IF(OR($W434="",$W434=6),"",CHOOSE($W434,"1st Email Follow-up","2nd Email Follow-up","Escalate Local Office","Escalate to CBE","Escalate to Roxanne"))</f>
        <v/>
      </c>
    </row>
    <row r="435" spans="18:26">
      <c r="R435" s="15"/>
      <c r="S435" s="16"/>
      <c r="T435" s="17">
        <f>IF(AND(COUNTA($A435:$K435)=0,$L435=""),"",IF($S435="Paid","PAID",IF($S435="Closed","CLOSED",IF($W435="","",IF($W435=6,"ESCALATED TO ROXANNE",IF(TODAY()&gt;$Y435,"OVERDUE",IF($Y435&lt;=WORKDAY(TODAY(),1,Holidays),"DUE TOMORROW",IF($W435=4,"ESCALATED TO LOCAL OFFICE",IF($W435=5,"ESCALATED TO CBE",IF($X435=TODAY(),"EMAIL SENT","MONITORING"))))))))))</f>
        <v/>
      </c>
      <c r="U435" s="17">
        <f>IF($T435="",IF(AND(COUNTA($A435:$K435)&gt;0,$L435=""),"Awaiting Collection Email time stamp.",""),IF(OR($T435="PAID",$T435="CLOSED"),IF($T435="PAID","Account paid. Action completed.","Account closed. No further action required."),CHOOSE($W435,"Collection Email","1st Email Follow-up","2nd Email Follow-up","Escalation to Local Office","Escalation to CBE","Escalation to Roxanne")&amp;" sent "&amp;TEXT($X435,"dd-mmm")&amp;". "&amp;IF($W435=6,"Final escalation completed.",IF($T435="OVERDUE","Next: "&amp;$Z435&amp;" was due "&amp;TEXT($Y435,"dd-mmm")&amp;" - "&amp;(NETWORKDAYS($Y435,TODAY(),Holidays)-1)&amp;" business day(s) late. Send now.",IF($T435="DUE TOMORROW","Next: "&amp;$Z435&amp;IF($Y435&lt;=TODAY()," is due TODAY ("," is due next business day (")&amp;TEXT($Y435,"dd-mmm")&amp;").","Next: "&amp;$Z435&amp;" due "&amp;TEXT($Y435,"dd-mmm")&amp;" ("&amp;(NETWORKDAYS(TODAY(),$Y435,Holidays)-1)&amp;" business day(s) left).")))))</f>
        <v/>
      </c>
      <c r="V435" s="17">
        <f>IF($W435="","",CHOOSE($W435,"Collection Email","1st Follow-up","2nd Follow-up","Local Office","CBE","Roxanne")&amp;IF($W435=6," - Final"," - Day "&amp;MAX(0,NETWORKDAYS($X435,TODAY(),Holidays)-1)&amp;" of "&amp;CHOOSE($W435,3,3,2,2,3))&amp;" | Total Day "&amp;MAX(0,NETWORKDAYS($L435,TODAY(),Holidays)-1))</f>
        <v/>
      </c>
      <c r="W435" s="17">
        <f>IF($L435="","",COUNT($L435:$Q435))</f>
        <v/>
      </c>
      <c r="X435" s="18">
        <f>IF($W435="","",INT(INDEX($L435:$Q435,$W435)))</f>
        <v/>
      </c>
      <c r="Y435" s="18">
        <f>IF(OR($W435="",$W435=6),"",WORKDAY($X435,CHOOSE($W435,3,3,2,2,3),Holidays))</f>
        <v/>
      </c>
      <c r="Z435" s="17">
        <f>IF(OR($W435="",$W435=6),"",CHOOSE($W435,"1st Email Follow-up","2nd Email Follow-up","Escalate Local Office","Escalate to CBE","Escalate to Roxanne"))</f>
        <v/>
      </c>
    </row>
    <row r="436" spans="18:26">
      <c r="R436" s="15"/>
      <c r="S436" s="16"/>
      <c r="T436" s="17">
        <f>IF(AND(COUNTA($A436:$K436)=0,$L436=""),"",IF($S436="Paid","PAID",IF($S436="Closed","CLOSED",IF($W436="","",IF($W436=6,"ESCALATED TO ROXANNE",IF(TODAY()&gt;$Y436,"OVERDUE",IF($Y436&lt;=WORKDAY(TODAY(),1,Holidays),"DUE TOMORROW",IF($W436=4,"ESCALATED TO LOCAL OFFICE",IF($W436=5,"ESCALATED TO CBE",IF($X436=TODAY(),"EMAIL SENT","MONITORING"))))))))))</f>
        <v/>
      </c>
      <c r="U436" s="17">
        <f>IF($T436="",IF(AND(COUNTA($A436:$K436)&gt;0,$L436=""),"Awaiting Collection Email time stamp.",""),IF(OR($T436="PAID",$T436="CLOSED"),IF($T436="PAID","Account paid. Action completed.","Account closed. No further action required."),CHOOSE($W436,"Collection Email","1st Email Follow-up","2nd Email Follow-up","Escalation to Local Office","Escalation to CBE","Escalation to Roxanne")&amp;" sent "&amp;TEXT($X436,"dd-mmm")&amp;". "&amp;IF($W436=6,"Final escalation completed.",IF($T436="OVERDUE","Next: "&amp;$Z436&amp;" was due "&amp;TEXT($Y436,"dd-mmm")&amp;" - "&amp;(NETWORKDAYS($Y436,TODAY(),Holidays)-1)&amp;" business day(s) late. Send now.",IF($T436="DUE TOMORROW","Next: "&amp;$Z436&amp;IF($Y436&lt;=TODAY()," is due TODAY ("," is due next business day (")&amp;TEXT($Y436,"dd-mmm")&amp;").","Next: "&amp;$Z436&amp;" due "&amp;TEXT($Y436,"dd-mmm")&amp;" ("&amp;(NETWORKDAYS(TODAY(),$Y436,Holidays)-1)&amp;" business day(s) left).")))))</f>
        <v/>
      </c>
      <c r="V436" s="17">
        <f>IF($W436="","",CHOOSE($W436,"Collection Email","1st Follow-up","2nd Follow-up","Local Office","CBE","Roxanne")&amp;IF($W436=6," - Final"," - Day "&amp;MAX(0,NETWORKDAYS($X436,TODAY(),Holidays)-1)&amp;" of "&amp;CHOOSE($W436,3,3,2,2,3))&amp;" | Total Day "&amp;MAX(0,NETWORKDAYS($L436,TODAY(),Holidays)-1))</f>
        <v/>
      </c>
      <c r="W436" s="17">
        <f>IF($L436="","",COUNT($L436:$Q436))</f>
        <v/>
      </c>
      <c r="X436" s="18">
        <f>IF($W436="","",INT(INDEX($L436:$Q436,$W436)))</f>
        <v/>
      </c>
      <c r="Y436" s="18">
        <f>IF(OR($W436="",$W436=6),"",WORKDAY($X436,CHOOSE($W436,3,3,2,2,3),Holidays))</f>
        <v/>
      </c>
      <c r="Z436" s="17">
        <f>IF(OR($W436="",$W436=6),"",CHOOSE($W436,"1st Email Follow-up","2nd Email Follow-up","Escalate Local Office","Escalate to CBE","Escalate to Roxanne"))</f>
        <v/>
      </c>
    </row>
    <row r="437" spans="18:26">
      <c r="R437" s="15"/>
      <c r="S437" s="16"/>
      <c r="T437" s="17">
        <f>IF(AND(COUNTA($A437:$K437)=0,$L437=""),"",IF($S437="Paid","PAID",IF($S437="Closed","CLOSED",IF($W437="","",IF($W437=6,"ESCALATED TO ROXANNE",IF(TODAY()&gt;$Y437,"OVERDUE",IF($Y437&lt;=WORKDAY(TODAY(),1,Holidays),"DUE TOMORROW",IF($W437=4,"ESCALATED TO LOCAL OFFICE",IF($W437=5,"ESCALATED TO CBE",IF($X437=TODAY(),"EMAIL SENT","MONITORING"))))))))))</f>
        <v/>
      </c>
      <c r="U437" s="17">
        <f>IF($T437="",IF(AND(COUNTA($A437:$K437)&gt;0,$L437=""),"Awaiting Collection Email time stamp.",""),IF(OR($T437="PAID",$T437="CLOSED"),IF($T437="PAID","Account paid. Action completed.","Account closed. No further action required."),CHOOSE($W437,"Collection Email","1st Email Follow-up","2nd Email Follow-up","Escalation to Local Office","Escalation to CBE","Escalation to Roxanne")&amp;" sent "&amp;TEXT($X437,"dd-mmm")&amp;". "&amp;IF($W437=6,"Final escalation completed.",IF($T437="OVERDUE","Next: "&amp;$Z437&amp;" was due "&amp;TEXT($Y437,"dd-mmm")&amp;" - "&amp;(NETWORKDAYS($Y437,TODAY(),Holidays)-1)&amp;" business day(s) late. Send now.",IF($T437="DUE TOMORROW","Next: "&amp;$Z437&amp;IF($Y437&lt;=TODAY()," is due TODAY ("," is due next business day (")&amp;TEXT($Y437,"dd-mmm")&amp;").","Next: "&amp;$Z437&amp;" due "&amp;TEXT($Y437,"dd-mmm")&amp;" ("&amp;(NETWORKDAYS(TODAY(),$Y437,Holidays)-1)&amp;" business day(s) left).")))))</f>
        <v/>
      </c>
      <c r="V437" s="17">
        <f>IF($W437="","",CHOOSE($W437,"Collection Email","1st Follow-up","2nd Follow-up","Local Office","CBE","Roxanne")&amp;IF($W437=6," - Final"," - Day "&amp;MAX(0,NETWORKDAYS($X437,TODAY(),Holidays)-1)&amp;" of "&amp;CHOOSE($W437,3,3,2,2,3))&amp;" | Total Day "&amp;MAX(0,NETWORKDAYS($L437,TODAY(),Holidays)-1))</f>
        <v/>
      </c>
      <c r="W437" s="17">
        <f>IF($L437="","",COUNT($L437:$Q437))</f>
        <v/>
      </c>
      <c r="X437" s="18">
        <f>IF($W437="","",INT(INDEX($L437:$Q437,$W437)))</f>
        <v/>
      </c>
      <c r="Y437" s="18">
        <f>IF(OR($W437="",$W437=6),"",WORKDAY($X437,CHOOSE($W437,3,3,2,2,3),Holidays))</f>
        <v/>
      </c>
      <c r="Z437" s="17">
        <f>IF(OR($W437="",$W437=6),"",CHOOSE($W437,"1st Email Follow-up","2nd Email Follow-up","Escalate Local Office","Escalate to CBE","Escalate to Roxanne"))</f>
        <v/>
      </c>
    </row>
    <row r="438" spans="18:26">
      <c r="R438" s="15"/>
      <c r="S438" s="16"/>
      <c r="T438" s="17">
        <f>IF(AND(COUNTA($A438:$K438)=0,$L438=""),"",IF($S438="Paid","PAID",IF($S438="Closed","CLOSED",IF($W438="","",IF($W438=6,"ESCALATED TO ROXANNE",IF(TODAY()&gt;$Y438,"OVERDUE",IF($Y438&lt;=WORKDAY(TODAY(),1,Holidays),"DUE TOMORROW",IF($W438=4,"ESCALATED TO LOCAL OFFICE",IF($W438=5,"ESCALATED TO CBE",IF($X438=TODAY(),"EMAIL SENT","MONITORING"))))))))))</f>
        <v/>
      </c>
      <c r="U438" s="17">
        <f>IF($T438="",IF(AND(COUNTA($A438:$K438)&gt;0,$L438=""),"Awaiting Collection Email time stamp.",""),IF(OR($T438="PAID",$T438="CLOSED"),IF($T438="PAID","Account paid. Action completed.","Account closed. No further action required."),CHOOSE($W438,"Collection Email","1st Email Follow-up","2nd Email Follow-up","Escalation to Local Office","Escalation to CBE","Escalation to Roxanne")&amp;" sent "&amp;TEXT($X438,"dd-mmm")&amp;". "&amp;IF($W438=6,"Final escalation completed.",IF($T438="OVERDUE","Next: "&amp;$Z438&amp;" was due "&amp;TEXT($Y438,"dd-mmm")&amp;" - "&amp;(NETWORKDAYS($Y438,TODAY(),Holidays)-1)&amp;" business day(s) late. Send now.",IF($T438="DUE TOMORROW","Next: "&amp;$Z438&amp;IF($Y438&lt;=TODAY()," is due TODAY ("," is due next business day (")&amp;TEXT($Y438,"dd-mmm")&amp;").","Next: "&amp;$Z438&amp;" due "&amp;TEXT($Y438,"dd-mmm")&amp;" ("&amp;(NETWORKDAYS(TODAY(),$Y438,Holidays)-1)&amp;" business day(s) left).")))))</f>
        <v/>
      </c>
      <c r="V438" s="17">
        <f>IF($W438="","",CHOOSE($W438,"Collection Email","1st Follow-up","2nd Follow-up","Local Office","CBE","Roxanne")&amp;IF($W438=6," - Final"," - Day "&amp;MAX(0,NETWORKDAYS($X438,TODAY(),Holidays)-1)&amp;" of "&amp;CHOOSE($W438,3,3,2,2,3))&amp;" | Total Day "&amp;MAX(0,NETWORKDAYS($L438,TODAY(),Holidays)-1))</f>
        <v/>
      </c>
      <c r="W438" s="17">
        <f>IF($L438="","",COUNT($L438:$Q438))</f>
        <v/>
      </c>
      <c r="X438" s="18">
        <f>IF($W438="","",INT(INDEX($L438:$Q438,$W438)))</f>
        <v/>
      </c>
      <c r="Y438" s="18">
        <f>IF(OR($W438="",$W438=6),"",WORKDAY($X438,CHOOSE($W438,3,3,2,2,3),Holidays))</f>
        <v/>
      </c>
      <c r="Z438" s="17">
        <f>IF(OR($W438="",$W438=6),"",CHOOSE($W438,"1st Email Follow-up","2nd Email Follow-up","Escalate Local Office","Escalate to CBE","Escalate to Roxanne"))</f>
        <v/>
      </c>
    </row>
    <row r="439" spans="18:26">
      <c r="R439" s="15"/>
      <c r="S439" s="16"/>
      <c r="T439" s="17">
        <f>IF(AND(COUNTA($A439:$K439)=0,$L439=""),"",IF($S439="Paid","PAID",IF($S439="Closed","CLOSED",IF($W439="","",IF($W439=6,"ESCALATED TO ROXANNE",IF(TODAY()&gt;$Y439,"OVERDUE",IF($Y439&lt;=WORKDAY(TODAY(),1,Holidays),"DUE TOMORROW",IF($W439=4,"ESCALATED TO LOCAL OFFICE",IF($W439=5,"ESCALATED TO CBE",IF($X439=TODAY(),"EMAIL SENT","MONITORING"))))))))))</f>
        <v/>
      </c>
      <c r="U439" s="17">
        <f>IF($T439="",IF(AND(COUNTA($A439:$K439)&gt;0,$L439=""),"Awaiting Collection Email time stamp.",""),IF(OR($T439="PAID",$T439="CLOSED"),IF($T439="PAID","Account paid. Action completed.","Account closed. No further action required."),CHOOSE($W439,"Collection Email","1st Email Follow-up","2nd Email Follow-up","Escalation to Local Office","Escalation to CBE","Escalation to Roxanne")&amp;" sent "&amp;TEXT($X439,"dd-mmm")&amp;". "&amp;IF($W439=6,"Final escalation completed.",IF($T439="OVERDUE","Next: "&amp;$Z439&amp;" was due "&amp;TEXT($Y439,"dd-mmm")&amp;" - "&amp;(NETWORKDAYS($Y439,TODAY(),Holidays)-1)&amp;" business day(s) late. Send now.",IF($T439="DUE TOMORROW","Next: "&amp;$Z439&amp;IF($Y439&lt;=TODAY()," is due TODAY ("," is due next business day (")&amp;TEXT($Y439,"dd-mmm")&amp;").","Next: "&amp;$Z439&amp;" due "&amp;TEXT($Y439,"dd-mmm")&amp;" ("&amp;(NETWORKDAYS(TODAY(),$Y439,Holidays)-1)&amp;" business day(s) left).")))))</f>
        <v/>
      </c>
      <c r="V439" s="17">
        <f>IF($W439="","",CHOOSE($W439,"Collection Email","1st Follow-up","2nd Follow-up","Local Office","CBE","Roxanne")&amp;IF($W439=6," - Final"," - Day "&amp;MAX(0,NETWORKDAYS($X439,TODAY(),Holidays)-1)&amp;" of "&amp;CHOOSE($W439,3,3,2,2,3))&amp;" | Total Day "&amp;MAX(0,NETWORKDAYS($L439,TODAY(),Holidays)-1))</f>
        <v/>
      </c>
      <c r="W439" s="17">
        <f>IF($L439="","",COUNT($L439:$Q439))</f>
        <v/>
      </c>
      <c r="X439" s="18">
        <f>IF($W439="","",INT(INDEX($L439:$Q439,$W439)))</f>
        <v/>
      </c>
      <c r="Y439" s="18">
        <f>IF(OR($W439="",$W439=6),"",WORKDAY($X439,CHOOSE($W439,3,3,2,2,3),Holidays))</f>
        <v/>
      </c>
      <c r="Z439" s="17">
        <f>IF(OR($W439="",$W439=6),"",CHOOSE($W439,"1st Email Follow-up","2nd Email Follow-up","Escalate Local Office","Escalate to CBE","Escalate to Roxanne"))</f>
        <v/>
      </c>
    </row>
    <row r="440" spans="18:26">
      <c r="R440" s="15"/>
      <c r="S440" s="16"/>
      <c r="T440" s="17">
        <f>IF(AND(COUNTA($A440:$K440)=0,$L440=""),"",IF($S440="Paid","PAID",IF($S440="Closed","CLOSED",IF($W440="","",IF($W440=6,"ESCALATED TO ROXANNE",IF(TODAY()&gt;$Y440,"OVERDUE",IF($Y440&lt;=WORKDAY(TODAY(),1,Holidays),"DUE TOMORROW",IF($W440=4,"ESCALATED TO LOCAL OFFICE",IF($W440=5,"ESCALATED TO CBE",IF($X440=TODAY(),"EMAIL SENT","MONITORING"))))))))))</f>
        <v/>
      </c>
      <c r="U440" s="17">
        <f>IF($T440="",IF(AND(COUNTA($A440:$K440)&gt;0,$L440=""),"Awaiting Collection Email time stamp.",""),IF(OR($T440="PAID",$T440="CLOSED"),IF($T440="PAID","Account paid. Action completed.","Account closed. No further action required."),CHOOSE($W440,"Collection Email","1st Email Follow-up","2nd Email Follow-up","Escalation to Local Office","Escalation to CBE","Escalation to Roxanne")&amp;" sent "&amp;TEXT($X440,"dd-mmm")&amp;". "&amp;IF($W440=6,"Final escalation completed.",IF($T440="OVERDUE","Next: "&amp;$Z440&amp;" was due "&amp;TEXT($Y440,"dd-mmm")&amp;" - "&amp;(NETWORKDAYS($Y440,TODAY(),Holidays)-1)&amp;" business day(s) late. Send now.",IF($T440="DUE TOMORROW","Next: "&amp;$Z440&amp;IF($Y440&lt;=TODAY()," is due TODAY ("," is due next business day (")&amp;TEXT($Y440,"dd-mmm")&amp;").","Next: "&amp;$Z440&amp;" due "&amp;TEXT($Y440,"dd-mmm")&amp;" ("&amp;(NETWORKDAYS(TODAY(),$Y440,Holidays)-1)&amp;" business day(s) left).")))))</f>
        <v/>
      </c>
      <c r="V440" s="17">
        <f>IF($W440="","",CHOOSE($W440,"Collection Email","1st Follow-up","2nd Follow-up","Local Office","CBE","Roxanne")&amp;IF($W440=6," - Final"," - Day "&amp;MAX(0,NETWORKDAYS($X440,TODAY(),Holidays)-1)&amp;" of "&amp;CHOOSE($W440,3,3,2,2,3))&amp;" | Total Day "&amp;MAX(0,NETWORKDAYS($L440,TODAY(),Holidays)-1))</f>
        <v/>
      </c>
      <c r="W440" s="17">
        <f>IF($L440="","",COUNT($L440:$Q440))</f>
        <v/>
      </c>
      <c r="X440" s="18">
        <f>IF($W440="","",INT(INDEX($L440:$Q440,$W440)))</f>
        <v/>
      </c>
      <c r="Y440" s="18">
        <f>IF(OR($W440="",$W440=6),"",WORKDAY($X440,CHOOSE($W440,3,3,2,2,3),Holidays))</f>
        <v/>
      </c>
      <c r="Z440" s="17">
        <f>IF(OR($W440="",$W440=6),"",CHOOSE($W440,"1st Email Follow-up","2nd Email Follow-up","Escalate Local Office","Escalate to CBE","Escalate to Roxanne"))</f>
        <v/>
      </c>
    </row>
    <row r="441" spans="18:26">
      <c r="R441" s="15"/>
      <c r="S441" s="16"/>
      <c r="T441" s="17">
        <f>IF(AND(COUNTA($A441:$K441)=0,$L441=""),"",IF($S441="Paid","PAID",IF($S441="Closed","CLOSED",IF($W441="","",IF($W441=6,"ESCALATED TO ROXANNE",IF(TODAY()&gt;$Y441,"OVERDUE",IF($Y441&lt;=WORKDAY(TODAY(),1,Holidays),"DUE TOMORROW",IF($W441=4,"ESCALATED TO LOCAL OFFICE",IF($W441=5,"ESCALATED TO CBE",IF($X441=TODAY(),"EMAIL SENT","MONITORING"))))))))))</f>
        <v/>
      </c>
      <c r="U441" s="17">
        <f>IF($T441="",IF(AND(COUNTA($A441:$K441)&gt;0,$L441=""),"Awaiting Collection Email time stamp.",""),IF(OR($T441="PAID",$T441="CLOSED"),IF($T441="PAID","Account paid. Action completed.","Account closed. No further action required."),CHOOSE($W441,"Collection Email","1st Email Follow-up","2nd Email Follow-up","Escalation to Local Office","Escalation to CBE","Escalation to Roxanne")&amp;" sent "&amp;TEXT($X441,"dd-mmm")&amp;". "&amp;IF($W441=6,"Final escalation completed.",IF($T441="OVERDUE","Next: "&amp;$Z441&amp;" was due "&amp;TEXT($Y441,"dd-mmm")&amp;" - "&amp;(NETWORKDAYS($Y441,TODAY(),Holidays)-1)&amp;" business day(s) late. Send now.",IF($T441="DUE TOMORROW","Next: "&amp;$Z441&amp;IF($Y441&lt;=TODAY()," is due TODAY ("," is due next business day (")&amp;TEXT($Y441,"dd-mmm")&amp;").","Next: "&amp;$Z441&amp;" due "&amp;TEXT($Y441,"dd-mmm")&amp;" ("&amp;(NETWORKDAYS(TODAY(),$Y441,Holidays)-1)&amp;" business day(s) left).")))))</f>
        <v/>
      </c>
      <c r="V441" s="17">
        <f>IF($W441="","",CHOOSE($W441,"Collection Email","1st Follow-up","2nd Follow-up","Local Office","CBE","Roxanne")&amp;IF($W441=6," - Final"," - Day "&amp;MAX(0,NETWORKDAYS($X441,TODAY(),Holidays)-1)&amp;" of "&amp;CHOOSE($W441,3,3,2,2,3))&amp;" | Total Day "&amp;MAX(0,NETWORKDAYS($L441,TODAY(),Holidays)-1))</f>
        <v/>
      </c>
      <c r="W441" s="17">
        <f>IF($L441="","",COUNT($L441:$Q441))</f>
        <v/>
      </c>
      <c r="X441" s="18">
        <f>IF($W441="","",INT(INDEX($L441:$Q441,$W441)))</f>
        <v/>
      </c>
      <c r="Y441" s="18">
        <f>IF(OR($W441="",$W441=6),"",WORKDAY($X441,CHOOSE($W441,3,3,2,2,3),Holidays))</f>
        <v/>
      </c>
      <c r="Z441" s="17">
        <f>IF(OR($W441="",$W441=6),"",CHOOSE($W441,"1st Email Follow-up","2nd Email Follow-up","Escalate Local Office","Escalate to CBE","Escalate to Roxanne"))</f>
        <v/>
      </c>
    </row>
    <row r="442" spans="18:26">
      <c r="R442" s="15"/>
      <c r="S442" s="16"/>
      <c r="T442" s="17">
        <f>IF(AND(COUNTA($A442:$K442)=0,$L442=""),"",IF($S442="Paid","PAID",IF($S442="Closed","CLOSED",IF($W442="","",IF($W442=6,"ESCALATED TO ROXANNE",IF(TODAY()&gt;$Y442,"OVERDUE",IF($Y442&lt;=WORKDAY(TODAY(),1,Holidays),"DUE TOMORROW",IF($W442=4,"ESCALATED TO LOCAL OFFICE",IF($W442=5,"ESCALATED TO CBE",IF($X442=TODAY(),"EMAIL SENT","MONITORING"))))))))))</f>
        <v/>
      </c>
      <c r="U442" s="17">
        <f>IF($T442="",IF(AND(COUNTA($A442:$K442)&gt;0,$L442=""),"Awaiting Collection Email time stamp.",""),IF(OR($T442="PAID",$T442="CLOSED"),IF($T442="PAID","Account paid. Action completed.","Account closed. No further action required."),CHOOSE($W442,"Collection Email","1st Email Follow-up","2nd Email Follow-up","Escalation to Local Office","Escalation to CBE","Escalation to Roxanne")&amp;" sent "&amp;TEXT($X442,"dd-mmm")&amp;". "&amp;IF($W442=6,"Final escalation completed.",IF($T442="OVERDUE","Next: "&amp;$Z442&amp;" was due "&amp;TEXT($Y442,"dd-mmm")&amp;" - "&amp;(NETWORKDAYS($Y442,TODAY(),Holidays)-1)&amp;" business day(s) late. Send now.",IF($T442="DUE TOMORROW","Next: "&amp;$Z442&amp;IF($Y442&lt;=TODAY()," is due TODAY ("," is due next business day (")&amp;TEXT($Y442,"dd-mmm")&amp;").","Next: "&amp;$Z442&amp;" due "&amp;TEXT($Y442,"dd-mmm")&amp;" ("&amp;(NETWORKDAYS(TODAY(),$Y442,Holidays)-1)&amp;" business day(s) left).")))))</f>
        <v/>
      </c>
      <c r="V442" s="17">
        <f>IF($W442="","",CHOOSE($W442,"Collection Email","1st Follow-up","2nd Follow-up","Local Office","CBE","Roxanne")&amp;IF($W442=6," - Final"," - Day "&amp;MAX(0,NETWORKDAYS($X442,TODAY(),Holidays)-1)&amp;" of "&amp;CHOOSE($W442,3,3,2,2,3))&amp;" | Total Day "&amp;MAX(0,NETWORKDAYS($L442,TODAY(),Holidays)-1))</f>
        <v/>
      </c>
      <c r="W442" s="17">
        <f>IF($L442="","",COUNT($L442:$Q442))</f>
        <v/>
      </c>
      <c r="X442" s="18">
        <f>IF($W442="","",INT(INDEX($L442:$Q442,$W442)))</f>
        <v/>
      </c>
      <c r="Y442" s="18">
        <f>IF(OR($W442="",$W442=6),"",WORKDAY($X442,CHOOSE($W442,3,3,2,2,3),Holidays))</f>
        <v/>
      </c>
      <c r="Z442" s="17">
        <f>IF(OR($W442="",$W442=6),"",CHOOSE($W442,"1st Email Follow-up","2nd Email Follow-up","Escalate Local Office","Escalate to CBE","Escalate to Roxanne"))</f>
        <v/>
      </c>
    </row>
    <row r="443" spans="18:26">
      <c r="R443" s="15"/>
      <c r="S443" s="16"/>
      <c r="T443" s="17">
        <f>IF(AND(COUNTA($A443:$K443)=0,$L443=""),"",IF($S443="Paid","PAID",IF($S443="Closed","CLOSED",IF($W443="","",IF($W443=6,"ESCALATED TO ROXANNE",IF(TODAY()&gt;$Y443,"OVERDUE",IF($Y443&lt;=WORKDAY(TODAY(),1,Holidays),"DUE TOMORROW",IF($W443=4,"ESCALATED TO LOCAL OFFICE",IF($W443=5,"ESCALATED TO CBE",IF($X443=TODAY(),"EMAIL SENT","MONITORING"))))))))))</f>
        <v/>
      </c>
      <c r="U443" s="17">
        <f>IF($T443="",IF(AND(COUNTA($A443:$K443)&gt;0,$L443=""),"Awaiting Collection Email time stamp.",""),IF(OR($T443="PAID",$T443="CLOSED"),IF($T443="PAID","Account paid. Action completed.","Account closed. No further action required."),CHOOSE($W443,"Collection Email","1st Email Follow-up","2nd Email Follow-up","Escalation to Local Office","Escalation to CBE","Escalation to Roxanne")&amp;" sent "&amp;TEXT($X443,"dd-mmm")&amp;". "&amp;IF($W443=6,"Final escalation completed.",IF($T443="OVERDUE","Next: "&amp;$Z443&amp;" was due "&amp;TEXT($Y443,"dd-mmm")&amp;" - "&amp;(NETWORKDAYS($Y443,TODAY(),Holidays)-1)&amp;" business day(s) late. Send now.",IF($T443="DUE TOMORROW","Next: "&amp;$Z443&amp;IF($Y443&lt;=TODAY()," is due TODAY ("," is due next business day (")&amp;TEXT($Y443,"dd-mmm")&amp;").","Next: "&amp;$Z443&amp;" due "&amp;TEXT($Y443,"dd-mmm")&amp;" ("&amp;(NETWORKDAYS(TODAY(),$Y443,Holidays)-1)&amp;" business day(s) left).")))))</f>
        <v/>
      </c>
      <c r="V443" s="17">
        <f>IF($W443="","",CHOOSE($W443,"Collection Email","1st Follow-up","2nd Follow-up","Local Office","CBE","Roxanne")&amp;IF($W443=6," - Final"," - Day "&amp;MAX(0,NETWORKDAYS($X443,TODAY(),Holidays)-1)&amp;" of "&amp;CHOOSE($W443,3,3,2,2,3))&amp;" | Total Day "&amp;MAX(0,NETWORKDAYS($L443,TODAY(),Holidays)-1))</f>
        <v/>
      </c>
      <c r="W443" s="17">
        <f>IF($L443="","",COUNT($L443:$Q443))</f>
        <v/>
      </c>
      <c r="X443" s="18">
        <f>IF($W443="","",INT(INDEX($L443:$Q443,$W443)))</f>
        <v/>
      </c>
      <c r="Y443" s="18">
        <f>IF(OR($W443="",$W443=6),"",WORKDAY($X443,CHOOSE($W443,3,3,2,2,3),Holidays))</f>
        <v/>
      </c>
      <c r="Z443" s="17">
        <f>IF(OR($W443="",$W443=6),"",CHOOSE($W443,"1st Email Follow-up","2nd Email Follow-up","Escalate Local Office","Escalate to CBE","Escalate to Roxanne"))</f>
        <v/>
      </c>
    </row>
    <row r="444" spans="18:26">
      <c r="R444" s="15"/>
      <c r="S444" s="16"/>
      <c r="T444" s="17">
        <f>IF(AND(COUNTA($A444:$K444)=0,$L444=""),"",IF($S444="Paid","PAID",IF($S444="Closed","CLOSED",IF($W444="","",IF($W444=6,"ESCALATED TO ROXANNE",IF(TODAY()&gt;$Y444,"OVERDUE",IF($Y444&lt;=WORKDAY(TODAY(),1,Holidays),"DUE TOMORROW",IF($W444=4,"ESCALATED TO LOCAL OFFICE",IF($W444=5,"ESCALATED TO CBE",IF($X444=TODAY(),"EMAIL SENT","MONITORING"))))))))))</f>
        <v/>
      </c>
      <c r="U444" s="17">
        <f>IF($T444="",IF(AND(COUNTA($A444:$K444)&gt;0,$L444=""),"Awaiting Collection Email time stamp.",""),IF(OR($T444="PAID",$T444="CLOSED"),IF($T444="PAID","Account paid. Action completed.","Account closed. No further action required."),CHOOSE($W444,"Collection Email","1st Email Follow-up","2nd Email Follow-up","Escalation to Local Office","Escalation to CBE","Escalation to Roxanne")&amp;" sent "&amp;TEXT($X444,"dd-mmm")&amp;". "&amp;IF($W444=6,"Final escalation completed.",IF($T444="OVERDUE","Next: "&amp;$Z444&amp;" was due "&amp;TEXT($Y444,"dd-mmm")&amp;" - "&amp;(NETWORKDAYS($Y444,TODAY(),Holidays)-1)&amp;" business day(s) late. Send now.",IF($T444="DUE TOMORROW","Next: "&amp;$Z444&amp;IF($Y444&lt;=TODAY()," is due TODAY ("," is due next business day (")&amp;TEXT($Y444,"dd-mmm")&amp;").","Next: "&amp;$Z444&amp;" due "&amp;TEXT($Y444,"dd-mmm")&amp;" ("&amp;(NETWORKDAYS(TODAY(),$Y444,Holidays)-1)&amp;" business day(s) left).")))))</f>
        <v/>
      </c>
      <c r="V444" s="17">
        <f>IF($W444="","",CHOOSE($W444,"Collection Email","1st Follow-up","2nd Follow-up","Local Office","CBE","Roxanne")&amp;IF($W444=6," - Final"," - Day "&amp;MAX(0,NETWORKDAYS($X444,TODAY(),Holidays)-1)&amp;" of "&amp;CHOOSE($W444,3,3,2,2,3))&amp;" | Total Day "&amp;MAX(0,NETWORKDAYS($L444,TODAY(),Holidays)-1))</f>
        <v/>
      </c>
      <c r="W444" s="17">
        <f>IF($L444="","",COUNT($L444:$Q444))</f>
        <v/>
      </c>
      <c r="X444" s="18">
        <f>IF($W444="","",INT(INDEX($L444:$Q444,$W444)))</f>
        <v/>
      </c>
      <c r="Y444" s="18">
        <f>IF(OR($W444="",$W444=6),"",WORKDAY($X444,CHOOSE($W444,3,3,2,2,3),Holidays))</f>
        <v/>
      </c>
      <c r="Z444" s="17">
        <f>IF(OR($W444="",$W444=6),"",CHOOSE($W444,"1st Email Follow-up","2nd Email Follow-up","Escalate Local Office","Escalate to CBE","Escalate to Roxanne"))</f>
        <v/>
      </c>
    </row>
    <row r="445" spans="18:26">
      <c r="R445" s="15"/>
      <c r="S445" s="16"/>
      <c r="T445" s="17">
        <f>IF(AND(COUNTA($A445:$K445)=0,$L445=""),"",IF($S445="Paid","PAID",IF($S445="Closed","CLOSED",IF($W445="","",IF($W445=6,"ESCALATED TO ROXANNE",IF(TODAY()&gt;$Y445,"OVERDUE",IF($Y445&lt;=WORKDAY(TODAY(),1,Holidays),"DUE TOMORROW",IF($W445=4,"ESCALATED TO LOCAL OFFICE",IF($W445=5,"ESCALATED TO CBE",IF($X445=TODAY(),"EMAIL SENT","MONITORING"))))))))))</f>
        <v/>
      </c>
      <c r="U445" s="17">
        <f>IF($T445="",IF(AND(COUNTA($A445:$K445)&gt;0,$L445=""),"Awaiting Collection Email time stamp.",""),IF(OR($T445="PAID",$T445="CLOSED"),IF($T445="PAID","Account paid. Action completed.","Account closed. No further action required."),CHOOSE($W445,"Collection Email","1st Email Follow-up","2nd Email Follow-up","Escalation to Local Office","Escalation to CBE","Escalation to Roxanne")&amp;" sent "&amp;TEXT($X445,"dd-mmm")&amp;". "&amp;IF($W445=6,"Final escalation completed.",IF($T445="OVERDUE","Next: "&amp;$Z445&amp;" was due "&amp;TEXT($Y445,"dd-mmm")&amp;" - "&amp;(NETWORKDAYS($Y445,TODAY(),Holidays)-1)&amp;" business day(s) late. Send now.",IF($T445="DUE TOMORROW","Next: "&amp;$Z445&amp;IF($Y445&lt;=TODAY()," is due TODAY ("," is due next business day (")&amp;TEXT($Y445,"dd-mmm")&amp;").","Next: "&amp;$Z445&amp;" due "&amp;TEXT($Y445,"dd-mmm")&amp;" ("&amp;(NETWORKDAYS(TODAY(),$Y445,Holidays)-1)&amp;" business day(s) left).")))))</f>
        <v/>
      </c>
      <c r="V445" s="17">
        <f>IF($W445="","",CHOOSE($W445,"Collection Email","1st Follow-up","2nd Follow-up","Local Office","CBE","Roxanne")&amp;IF($W445=6," - Final"," - Day "&amp;MAX(0,NETWORKDAYS($X445,TODAY(),Holidays)-1)&amp;" of "&amp;CHOOSE($W445,3,3,2,2,3))&amp;" | Total Day "&amp;MAX(0,NETWORKDAYS($L445,TODAY(),Holidays)-1))</f>
        <v/>
      </c>
      <c r="W445" s="17">
        <f>IF($L445="","",COUNT($L445:$Q445))</f>
        <v/>
      </c>
      <c r="X445" s="18">
        <f>IF($W445="","",INT(INDEX($L445:$Q445,$W445)))</f>
        <v/>
      </c>
      <c r="Y445" s="18">
        <f>IF(OR($W445="",$W445=6),"",WORKDAY($X445,CHOOSE($W445,3,3,2,2,3),Holidays))</f>
        <v/>
      </c>
      <c r="Z445" s="17">
        <f>IF(OR($W445="",$W445=6),"",CHOOSE($W445,"1st Email Follow-up","2nd Email Follow-up","Escalate Local Office","Escalate to CBE","Escalate to Roxanne"))</f>
        <v/>
      </c>
    </row>
    <row r="446" spans="18:26">
      <c r="R446" s="15"/>
      <c r="S446" s="16"/>
      <c r="T446" s="17">
        <f>IF(AND(COUNTA($A446:$K446)=0,$L446=""),"",IF($S446="Paid","PAID",IF($S446="Closed","CLOSED",IF($W446="","",IF($W446=6,"ESCALATED TO ROXANNE",IF(TODAY()&gt;$Y446,"OVERDUE",IF($Y446&lt;=WORKDAY(TODAY(),1,Holidays),"DUE TOMORROW",IF($W446=4,"ESCALATED TO LOCAL OFFICE",IF($W446=5,"ESCALATED TO CBE",IF($X446=TODAY(),"EMAIL SENT","MONITORING"))))))))))</f>
        <v/>
      </c>
      <c r="U446" s="17">
        <f>IF($T446="",IF(AND(COUNTA($A446:$K446)&gt;0,$L446=""),"Awaiting Collection Email time stamp.",""),IF(OR($T446="PAID",$T446="CLOSED"),IF($T446="PAID","Account paid. Action completed.","Account closed. No further action required."),CHOOSE($W446,"Collection Email","1st Email Follow-up","2nd Email Follow-up","Escalation to Local Office","Escalation to CBE","Escalation to Roxanne")&amp;" sent "&amp;TEXT($X446,"dd-mmm")&amp;". "&amp;IF($W446=6,"Final escalation completed.",IF($T446="OVERDUE","Next: "&amp;$Z446&amp;" was due "&amp;TEXT($Y446,"dd-mmm")&amp;" - "&amp;(NETWORKDAYS($Y446,TODAY(),Holidays)-1)&amp;" business day(s) late. Send now.",IF($T446="DUE TOMORROW","Next: "&amp;$Z446&amp;IF($Y446&lt;=TODAY()," is due TODAY ("," is due next business day (")&amp;TEXT($Y446,"dd-mmm")&amp;").","Next: "&amp;$Z446&amp;" due "&amp;TEXT($Y446,"dd-mmm")&amp;" ("&amp;(NETWORKDAYS(TODAY(),$Y446,Holidays)-1)&amp;" business day(s) left).")))))</f>
        <v/>
      </c>
      <c r="V446" s="17">
        <f>IF($W446="","",CHOOSE($W446,"Collection Email","1st Follow-up","2nd Follow-up","Local Office","CBE","Roxanne")&amp;IF($W446=6," - Final"," - Day "&amp;MAX(0,NETWORKDAYS($X446,TODAY(),Holidays)-1)&amp;" of "&amp;CHOOSE($W446,3,3,2,2,3))&amp;" | Total Day "&amp;MAX(0,NETWORKDAYS($L446,TODAY(),Holidays)-1))</f>
        <v/>
      </c>
      <c r="W446" s="17">
        <f>IF($L446="","",COUNT($L446:$Q446))</f>
        <v/>
      </c>
      <c r="X446" s="18">
        <f>IF($W446="","",INT(INDEX($L446:$Q446,$W446)))</f>
        <v/>
      </c>
      <c r="Y446" s="18">
        <f>IF(OR($W446="",$W446=6),"",WORKDAY($X446,CHOOSE($W446,3,3,2,2,3),Holidays))</f>
        <v/>
      </c>
      <c r="Z446" s="17">
        <f>IF(OR($W446="",$W446=6),"",CHOOSE($W446,"1st Email Follow-up","2nd Email Follow-up","Escalate Local Office","Escalate to CBE","Escalate to Roxanne"))</f>
        <v/>
      </c>
    </row>
    <row r="447" spans="18:26">
      <c r="R447" s="15"/>
      <c r="S447" s="16"/>
      <c r="T447" s="17">
        <f>IF(AND(COUNTA($A447:$K447)=0,$L447=""),"",IF($S447="Paid","PAID",IF($S447="Closed","CLOSED",IF($W447="","",IF($W447=6,"ESCALATED TO ROXANNE",IF(TODAY()&gt;$Y447,"OVERDUE",IF($Y447&lt;=WORKDAY(TODAY(),1,Holidays),"DUE TOMORROW",IF($W447=4,"ESCALATED TO LOCAL OFFICE",IF($W447=5,"ESCALATED TO CBE",IF($X447=TODAY(),"EMAIL SENT","MONITORING"))))))))))</f>
        <v/>
      </c>
      <c r="U447" s="17">
        <f>IF($T447="",IF(AND(COUNTA($A447:$K447)&gt;0,$L447=""),"Awaiting Collection Email time stamp.",""),IF(OR($T447="PAID",$T447="CLOSED"),IF($T447="PAID","Account paid. Action completed.","Account closed. No further action required."),CHOOSE($W447,"Collection Email","1st Email Follow-up","2nd Email Follow-up","Escalation to Local Office","Escalation to CBE","Escalation to Roxanne")&amp;" sent "&amp;TEXT($X447,"dd-mmm")&amp;". "&amp;IF($W447=6,"Final escalation completed.",IF($T447="OVERDUE","Next: "&amp;$Z447&amp;" was due "&amp;TEXT($Y447,"dd-mmm")&amp;" - "&amp;(NETWORKDAYS($Y447,TODAY(),Holidays)-1)&amp;" business day(s) late. Send now.",IF($T447="DUE TOMORROW","Next: "&amp;$Z447&amp;IF($Y447&lt;=TODAY()," is due TODAY ("," is due next business day (")&amp;TEXT($Y447,"dd-mmm")&amp;").","Next: "&amp;$Z447&amp;" due "&amp;TEXT($Y447,"dd-mmm")&amp;" ("&amp;(NETWORKDAYS(TODAY(),$Y447,Holidays)-1)&amp;" business day(s) left).")))))</f>
        <v/>
      </c>
      <c r="V447" s="17">
        <f>IF($W447="","",CHOOSE($W447,"Collection Email","1st Follow-up","2nd Follow-up","Local Office","CBE","Roxanne")&amp;IF($W447=6," - Final"," - Day "&amp;MAX(0,NETWORKDAYS($X447,TODAY(),Holidays)-1)&amp;" of "&amp;CHOOSE($W447,3,3,2,2,3))&amp;" | Total Day "&amp;MAX(0,NETWORKDAYS($L447,TODAY(),Holidays)-1))</f>
        <v/>
      </c>
      <c r="W447" s="17">
        <f>IF($L447="","",COUNT($L447:$Q447))</f>
        <v/>
      </c>
      <c r="X447" s="18">
        <f>IF($W447="","",INT(INDEX($L447:$Q447,$W447)))</f>
        <v/>
      </c>
      <c r="Y447" s="18">
        <f>IF(OR($W447="",$W447=6),"",WORKDAY($X447,CHOOSE($W447,3,3,2,2,3),Holidays))</f>
        <v/>
      </c>
      <c r="Z447" s="17">
        <f>IF(OR($W447="",$W447=6),"",CHOOSE($W447,"1st Email Follow-up","2nd Email Follow-up","Escalate Local Office","Escalate to CBE","Escalate to Roxanne"))</f>
        <v/>
      </c>
    </row>
    <row r="448" spans="18:26">
      <c r="R448" s="15"/>
      <c r="S448" s="16"/>
      <c r="T448" s="17">
        <f>IF(AND(COUNTA($A448:$K448)=0,$L448=""),"",IF($S448="Paid","PAID",IF($S448="Closed","CLOSED",IF($W448="","",IF($W448=6,"ESCALATED TO ROXANNE",IF(TODAY()&gt;$Y448,"OVERDUE",IF($Y448&lt;=WORKDAY(TODAY(),1,Holidays),"DUE TOMORROW",IF($W448=4,"ESCALATED TO LOCAL OFFICE",IF($W448=5,"ESCALATED TO CBE",IF($X448=TODAY(),"EMAIL SENT","MONITORING"))))))))))</f>
        <v/>
      </c>
      <c r="U448" s="17">
        <f>IF($T448="",IF(AND(COUNTA($A448:$K448)&gt;0,$L448=""),"Awaiting Collection Email time stamp.",""),IF(OR($T448="PAID",$T448="CLOSED"),IF($T448="PAID","Account paid. Action completed.","Account closed. No further action required."),CHOOSE($W448,"Collection Email","1st Email Follow-up","2nd Email Follow-up","Escalation to Local Office","Escalation to CBE","Escalation to Roxanne")&amp;" sent "&amp;TEXT($X448,"dd-mmm")&amp;". "&amp;IF($W448=6,"Final escalation completed.",IF($T448="OVERDUE","Next: "&amp;$Z448&amp;" was due "&amp;TEXT($Y448,"dd-mmm")&amp;" - "&amp;(NETWORKDAYS($Y448,TODAY(),Holidays)-1)&amp;" business day(s) late. Send now.",IF($T448="DUE TOMORROW","Next: "&amp;$Z448&amp;IF($Y448&lt;=TODAY()," is due TODAY ("," is due next business day (")&amp;TEXT($Y448,"dd-mmm")&amp;").","Next: "&amp;$Z448&amp;" due "&amp;TEXT($Y448,"dd-mmm")&amp;" ("&amp;(NETWORKDAYS(TODAY(),$Y448,Holidays)-1)&amp;" business day(s) left).")))))</f>
        <v/>
      </c>
      <c r="V448" s="17">
        <f>IF($W448="","",CHOOSE($W448,"Collection Email","1st Follow-up","2nd Follow-up","Local Office","CBE","Roxanne")&amp;IF($W448=6," - Final"," - Day "&amp;MAX(0,NETWORKDAYS($X448,TODAY(),Holidays)-1)&amp;" of "&amp;CHOOSE($W448,3,3,2,2,3))&amp;" | Total Day "&amp;MAX(0,NETWORKDAYS($L448,TODAY(),Holidays)-1))</f>
        <v/>
      </c>
      <c r="W448" s="17">
        <f>IF($L448="","",COUNT($L448:$Q448))</f>
        <v/>
      </c>
      <c r="X448" s="18">
        <f>IF($W448="","",INT(INDEX($L448:$Q448,$W448)))</f>
        <v/>
      </c>
      <c r="Y448" s="18">
        <f>IF(OR($W448="",$W448=6),"",WORKDAY($X448,CHOOSE($W448,3,3,2,2,3),Holidays))</f>
        <v/>
      </c>
      <c r="Z448" s="17">
        <f>IF(OR($W448="",$W448=6),"",CHOOSE($W448,"1st Email Follow-up","2nd Email Follow-up","Escalate Local Office","Escalate to CBE","Escalate to Roxanne"))</f>
        <v/>
      </c>
    </row>
    <row r="449" spans="18:26">
      <c r="R449" s="15"/>
      <c r="S449" s="16"/>
      <c r="T449" s="17">
        <f>IF(AND(COUNTA($A449:$K449)=0,$L449=""),"",IF($S449="Paid","PAID",IF($S449="Closed","CLOSED",IF($W449="","",IF($W449=6,"ESCALATED TO ROXANNE",IF(TODAY()&gt;$Y449,"OVERDUE",IF($Y449&lt;=WORKDAY(TODAY(),1,Holidays),"DUE TOMORROW",IF($W449=4,"ESCALATED TO LOCAL OFFICE",IF($W449=5,"ESCALATED TO CBE",IF($X449=TODAY(),"EMAIL SENT","MONITORING"))))))))))</f>
        <v/>
      </c>
      <c r="U449" s="17">
        <f>IF($T449="",IF(AND(COUNTA($A449:$K449)&gt;0,$L449=""),"Awaiting Collection Email time stamp.",""),IF(OR($T449="PAID",$T449="CLOSED"),IF($T449="PAID","Account paid. Action completed.","Account closed. No further action required."),CHOOSE($W449,"Collection Email","1st Email Follow-up","2nd Email Follow-up","Escalation to Local Office","Escalation to CBE","Escalation to Roxanne")&amp;" sent "&amp;TEXT($X449,"dd-mmm")&amp;". "&amp;IF($W449=6,"Final escalation completed.",IF($T449="OVERDUE","Next: "&amp;$Z449&amp;" was due "&amp;TEXT($Y449,"dd-mmm")&amp;" - "&amp;(NETWORKDAYS($Y449,TODAY(),Holidays)-1)&amp;" business day(s) late. Send now.",IF($T449="DUE TOMORROW","Next: "&amp;$Z449&amp;IF($Y449&lt;=TODAY()," is due TODAY ("," is due next business day (")&amp;TEXT($Y449,"dd-mmm")&amp;").","Next: "&amp;$Z449&amp;" due "&amp;TEXT($Y449,"dd-mmm")&amp;" ("&amp;(NETWORKDAYS(TODAY(),$Y449,Holidays)-1)&amp;" business day(s) left).")))))</f>
        <v/>
      </c>
      <c r="V449" s="17">
        <f>IF($W449="","",CHOOSE($W449,"Collection Email","1st Follow-up","2nd Follow-up","Local Office","CBE","Roxanne")&amp;IF($W449=6," - Final"," - Day "&amp;MAX(0,NETWORKDAYS($X449,TODAY(),Holidays)-1)&amp;" of "&amp;CHOOSE($W449,3,3,2,2,3))&amp;" | Total Day "&amp;MAX(0,NETWORKDAYS($L449,TODAY(),Holidays)-1))</f>
        <v/>
      </c>
      <c r="W449" s="17">
        <f>IF($L449="","",COUNT($L449:$Q449))</f>
        <v/>
      </c>
      <c r="X449" s="18">
        <f>IF($W449="","",INT(INDEX($L449:$Q449,$W449)))</f>
        <v/>
      </c>
      <c r="Y449" s="18">
        <f>IF(OR($W449="",$W449=6),"",WORKDAY($X449,CHOOSE($W449,3,3,2,2,3),Holidays))</f>
        <v/>
      </c>
      <c r="Z449" s="17">
        <f>IF(OR($W449="",$W449=6),"",CHOOSE($W449,"1st Email Follow-up","2nd Email Follow-up","Escalate Local Office","Escalate to CBE","Escalate to Roxanne"))</f>
        <v/>
      </c>
    </row>
    <row r="450" spans="18:26">
      <c r="R450" s="15"/>
      <c r="S450" s="16"/>
      <c r="T450" s="17">
        <f>IF(AND(COUNTA($A450:$K450)=0,$L450=""),"",IF($S450="Paid","PAID",IF($S450="Closed","CLOSED",IF($W450="","",IF($W450=6,"ESCALATED TO ROXANNE",IF(TODAY()&gt;$Y450,"OVERDUE",IF($Y450&lt;=WORKDAY(TODAY(),1,Holidays),"DUE TOMORROW",IF($W450=4,"ESCALATED TO LOCAL OFFICE",IF($W450=5,"ESCALATED TO CBE",IF($X450=TODAY(),"EMAIL SENT","MONITORING"))))))))))</f>
        <v/>
      </c>
      <c r="U450" s="17">
        <f>IF($T450="",IF(AND(COUNTA($A450:$K450)&gt;0,$L450=""),"Awaiting Collection Email time stamp.",""),IF(OR($T450="PAID",$T450="CLOSED"),IF($T450="PAID","Account paid. Action completed.","Account closed. No further action required."),CHOOSE($W450,"Collection Email","1st Email Follow-up","2nd Email Follow-up","Escalation to Local Office","Escalation to CBE","Escalation to Roxanne")&amp;" sent "&amp;TEXT($X450,"dd-mmm")&amp;". "&amp;IF($W450=6,"Final escalation completed.",IF($T450="OVERDUE","Next: "&amp;$Z450&amp;" was due "&amp;TEXT($Y450,"dd-mmm")&amp;" - "&amp;(NETWORKDAYS($Y450,TODAY(),Holidays)-1)&amp;" business day(s) late. Send now.",IF($T450="DUE TOMORROW","Next: "&amp;$Z450&amp;IF($Y450&lt;=TODAY()," is due TODAY ("," is due next business day (")&amp;TEXT($Y450,"dd-mmm")&amp;").","Next: "&amp;$Z450&amp;" due "&amp;TEXT($Y450,"dd-mmm")&amp;" ("&amp;(NETWORKDAYS(TODAY(),$Y450,Holidays)-1)&amp;" business day(s) left).")))))</f>
        <v/>
      </c>
      <c r="V450" s="17">
        <f>IF($W450="","",CHOOSE($W450,"Collection Email","1st Follow-up","2nd Follow-up","Local Office","CBE","Roxanne")&amp;IF($W450=6," - Final"," - Day "&amp;MAX(0,NETWORKDAYS($X450,TODAY(),Holidays)-1)&amp;" of "&amp;CHOOSE($W450,3,3,2,2,3))&amp;" | Total Day "&amp;MAX(0,NETWORKDAYS($L450,TODAY(),Holidays)-1))</f>
        <v/>
      </c>
      <c r="W450" s="17">
        <f>IF($L450="","",COUNT($L450:$Q450))</f>
        <v/>
      </c>
      <c r="X450" s="18">
        <f>IF($W450="","",INT(INDEX($L450:$Q450,$W450)))</f>
        <v/>
      </c>
      <c r="Y450" s="18">
        <f>IF(OR($W450="",$W450=6),"",WORKDAY($X450,CHOOSE($W450,3,3,2,2,3),Holidays))</f>
        <v/>
      </c>
      <c r="Z450" s="17">
        <f>IF(OR($W450="",$W450=6),"",CHOOSE($W450,"1st Email Follow-up","2nd Email Follow-up","Escalate Local Office","Escalate to CBE","Escalate to Roxanne"))</f>
        <v/>
      </c>
    </row>
    <row r="451" spans="18:26">
      <c r="R451" s="15"/>
      <c r="S451" s="16"/>
      <c r="T451" s="17">
        <f>IF(AND(COUNTA($A451:$K451)=0,$L451=""),"",IF($S451="Paid","PAID",IF($S451="Closed","CLOSED",IF($W451="","",IF($W451=6,"ESCALATED TO ROXANNE",IF(TODAY()&gt;$Y451,"OVERDUE",IF($Y451&lt;=WORKDAY(TODAY(),1,Holidays),"DUE TOMORROW",IF($W451=4,"ESCALATED TO LOCAL OFFICE",IF($W451=5,"ESCALATED TO CBE",IF($X451=TODAY(),"EMAIL SENT","MONITORING"))))))))))</f>
        <v/>
      </c>
      <c r="U451" s="17">
        <f>IF($T451="",IF(AND(COUNTA($A451:$K451)&gt;0,$L451=""),"Awaiting Collection Email time stamp.",""),IF(OR($T451="PAID",$T451="CLOSED"),IF($T451="PAID","Account paid. Action completed.","Account closed. No further action required."),CHOOSE($W451,"Collection Email","1st Email Follow-up","2nd Email Follow-up","Escalation to Local Office","Escalation to CBE","Escalation to Roxanne")&amp;" sent "&amp;TEXT($X451,"dd-mmm")&amp;". "&amp;IF($W451=6,"Final escalation completed.",IF($T451="OVERDUE","Next: "&amp;$Z451&amp;" was due "&amp;TEXT($Y451,"dd-mmm")&amp;" - "&amp;(NETWORKDAYS($Y451,TODAY(),Holidays)-1)&amp;" business day(s) late. Send now.",IF($T451="DUE TOMORROW","Next: "&amp;$Z451&amp;IF($Y451&lt;=TODAY()," is due TODAY ("," is due next business day (")&amp;TEXT($Y451,"dd-mmm")&amp;").","Next: "&amp;$Z451&amp;" due "&amp;TEXT($Y451,"dd-mmm")&amp;" ("&amp;(NETWORKDAYS(TODAY(),$Y451,Holidays)-1)&amp;" business day(s) left).")))))</f>
        <v/>
      </c>
      <c r="V451" s="17">
        <f>IF($W451="","",CHOOSE($W451,"Collection Email","1st Follow-up","2nd Follow-up","Local Office","CBE","Roxanne")&amp;IF($W451=6," - Final"," - Day "&amp;MAX(0,NETWORKDAYS($X451,TODAY(),Holidays)-1)&amp;" of "&amp;CHOOSE($W451,3,3,2,2,3))&amp;" | Total Day "&amp;MAX(0,NETWORKDAYS($L451,TODAY(),Holidays)-1))</f>
        <v/>
      </c>
      <c r="W451" s="17">
        <f>IF($L451="","",COUNT($L451:$Q451))</f>
        <v/>
      </c>
      <c r="X451" s="18">
        <f>IF($W451="","",INT(INDEX($L451:$Q451,$W451)))</f>
        <v/>
      </c>
      <c r="Y451" s="18">
        <f>IF(OR($W451="",$W451=6),"",WORKDAY($X451,CHOOSE($W451,3,3,2,2,3),Holidays))</f>
        <v/>
      </c>
      <c r="Z451" s="17">
        <f>IF(OR($W451="",$W451=6),"",CHOOSE($W451,"1st Email Follow-up","2nd Email Follow-up","Escalate Local Office","Escalate to CBE","Escalate to Roxanne"))</f>
        <v/>
      </c>
    </row>
    <row r="452" spans="18:26">
      <c r="R452" s="15"/>
      <c r="S452" s="16"/>
      <c r="T452" s="17">
        <f>IF(AND(COUNTA($A452:$K452)=0,$L452=""),"",IF($S452="Paid","PAID",IF($S452="Closed","CLOSED",IF($W452="","",IF($W452=6,"ESCALATED TO ROXANNE",IF(TODAY()&gt;$Y452,"OVERDUE",IF($Y452&lt;=WORKDAY(TODAY(),1,Holidays),"DUE TOMORROW",IF($W452=4,"ESCALATED TO LOCAL OFFICE",IF($W452=5,"ESCALATED TO CBE",IF($X452=TODAY(),"EMAIL SENT","MONITORING"))))))))))</f>
        <v/>
      </c>
      <c r="U452" s="17">
        <f>IF($T452="",IF(AND(COUNTA($A452:$K452)&gt;0,$L452=""),"Awaiting Collection Email time stamp.",""),IF(OR($T452="PAID",$T452="CLOSED"),IF($T452="PAID","Account paid. Action completed.","Account closed. No further action required."),CHOOSE($W452,"Collection Email","1st Email Follow-up","2nd Email Follow-up","Escalation to Local Office","Escalation to CBE","Escalation to Roxanne")&amp;" sent "&amp;TEXT($X452,"dd-mmm")&amp;". "&amp;IF($W452=6,"Final escalation completed.",IF($T452="OVERDUE","Next: "&amp;$Z452&amp;" was due "&amp;TEXT($Y452,"dd-mmm")&amp;" - "&amp;(NETWORKDAYS($Y452,TODAY(),Holidays)-1)&amp;" business day(s) late. Send now.",IF($T452="DUE TOMORROW","Next: "&amp;$Z452&amp;IF($Y452&lt;=TODAY()," is due TODAY ("," is due next business day (")&amp;TEXT($Y452,"dd-mmm")&amp;").","Next: "&amp;$Z452&amp;" due "&amp;TEXT($Y452,"dd-mmm")&amp;" ("&amp;(NETWORKDAYS(TODAY(),$Y452,Holidays)-1)&amp;" business day(s) left).")))))</f>
        <v/>
      </c>
      <c r="V452" s="17">
        <f>IF($W452="","",CHOOSE($W452,"Collection Email","1st Follow-up","2nd Follow-up","Local Office","CBE","Roxanne")&amp;IF($W452=6," - Final"," - Day "&amp;MAX(0,NETWORKDAYS($X452,TODAY(),Holidays)-1)&amp;" of "&amp;CHOOSE($W452,3,3,2,2,3))&amp;" | Total Day "&amp;MAX(0,NETWORKDAYS($L452,TODAY(),Holidays)-1))</f>
        <v/>
      </c>
      <c r="W452" s="17">
        <f>IF($L452="","",COUNT($L452:$Q452))</f>
        <v/>
      </c>
      <c r="X452" s="18">
        <f>IF($W452="","",INT(INDEX($L452:$Q452,$W452)))</f>
        <v/>
      </c>
      <c r="Y452" s="18">
        <f>IF(OR($W452="",$W452=6),"",WORKDAY($X452,CHOOSE($W452,3,3,2,2,3),Holidays))</f>
        <v/>
      </c>
      <c r="Z452" s="17">
        <f>IF(OR($W452="",$W452=6),"",CHOOSE($W452,"1st Email Follow-up","2nd Email Follow-up","Escalate Local Office","Escalate to CBE","Escalate to Roxanne"))</f>
        <v/>
      </c>
    </row>
    <row r="453" spans="18:26">
      <c r="R453" s="15"/>
      <c r="S453" s="16"/>
      <c r="T453" s="17">
        <f>IF(AND(COUNTA($A453:$K453)=0,$L453=""),"",IF($S453="Paid","PAID",IF($S453="Closed","CLOSED",IF($W453="","",IF($W453=6,"ESCALATED TO ROXANNE",IF(TODAY()&gt;$Y453,"OVERDUE",IF($Y453&lt;=WORKDAY(TODAY(),1,Holidays),"DUE TOMORROW",IF($W453=4,"ESCALATED TO LOCAL OFFICE",IF($W453=5,"ESCALATED TO CBE",IF($X453=TODAY(),"EMAIL SENT","MONITORING"))))))))))</f>
        <v/>
      </c>
      <c r="U453" s="17">
        <f>IF($T453="",IF(AND(COUNTA($A453:$K453)&gt;0,$L453=""),"Awaiting Collection Email time stamp.",""),IF(OR($T453="PAID",$T453="CLOSED"),IF($T453="PAID","Account paid. Action completed.","Account closed. No further action required."),CHOOSE($W453,"Collection Email","1st Email Follow-up","2nd Email Follow-up","Escalation to Local Office","Escalation to CBE","Escalation to Roxanne")&amp;" sent "&amp;TEXT($X453,"dd-mmm")&amp;". "&amp;IF($W453=6,"Final escalation completed.",IF($T453="OVERDUE","Next: "&amp;$Z453&amp;" was due "&amp;TEXT($Y453,"dd-mmm")&amp;" - "&amp;(NETWORKDAYS($Y453,TODAY(),Holidays)-1)&amp;" business day(s) late. Send now.",IF($T453="DUE TOMORROW","Next: "&amp;$Z453&amp;IF($Y453&lt;=TODAY()," is due TODAY ("," is due next business day (")&amp;TEXT($Y453,"dd-mmm")&amp;").","Next: "&amp;$Z453&amp;" due "&amp;TEXT($Y453,"dd-mmm")&amp;" ("&amp;(NETWORKDAYS(TODAY(),$Y453,Holidays)-1)&amp;" business day(s) left).")))))</f>
        <v/>
      </c>
      <c r="V453" s="17">
        <f>IF($W453="","",CHOOSE($W453,"Collection Email","1st Follow-up","2nd Follow-up","Local Office","CBE","Roxanne")&amp;IF($W453=6," - Final"," - Day "&amp;MAX(0,NETWORKDAYS($X453,TODAY(),Holidays)-1)&amp;" of "&amp;CHOOSE($W453,3,3,2,2,3))&amp;" | Total Day "&amp;MAX(0,NETWORKDAYS($L453,TODAY(),Holidays)-1))</f>
        <v/>
      </c>
      <c r="W453" s="17">
        <f>IF($L453="","",COUNT($L453:$Q453))</f>
        <v/>
      </c>
      <c r="X453" s="18">
        <f>IF($W453="","",INT(INDEX($L453:$Q453,$W453)))</f>
        <v/>
      </c>
      <c r="Y453" s="18">
        <f>IF(OR($W453="",$W453=6),"",WORKDAY($X453,CHOOSE($W453,3,3,2,2,3),Holidays))</f>
        <v/>
      </c>
      <c r="Z453" s="17">
        <f>IF(OR($W453="",$W453=6),"",CHOOSE($W453,"1st Email Follow-up","2nd Email Follow-up","Escalate Local Office","Escalate to CBE","Escalate to Roxanne"))</f>
        <v/>
      </c>
    </row>
    <row r="454" spans="18:26">
      <c r="R454" s="15"/>
      <c r="S454" s="16"/>
      <c r="T454" s="17">
        <f>IF(AND(COUNTA($A454:$K454)=0,$L454=""),"",IF($S454="Paid","PAID",IF($S454="Closed","CLOSED",IF($W454="","",IF($W454=6,"ESCALATED TO ROXANNE",IF(TODAY()&gt;$Y454,"OVERDUE",IF($Y454&lt;=WORKDAY(TODAY(),1,Holidays),"DUE TOMORROW",IF($W454=4,"ESCALATED TO LOCAL OFFICE",IF($W454=5,"ESCALATED TO CBE",IF($X454=TODAY(),"EMAIL SENT","MONITORING"))))))))))</f>
        <v/>
      </c>
      <c r="U454" s="17">
        <f>IF($T454="",IF(AND(COUNTA($A454:$K454)&gt;0,$L454=""),"Awaiting Collection Email time stamp.",""),IF(OR($T454="PAID",$T454="CLOSED"),IF($T454="PAID","Account paid. Action completed.","Account closed. No further action required."),CHOOSE($W454,"Collection Email","1st Email Follow-up","2nd Email Follow-up","Escalation to Local Office","Escalation to CBE","Escalation to Roxanne")&amp;" sent "&amp;TEXT($X454,"dd-mmm")&amp;". "&amp;IF($W454=6,"Final escalation completed.",IF($T454="OVERDUE","Next: "&amp;$Z454&amp;" was due "&amp;TEXT($Y454,"dd-mmm")&amp;" - "&amp;(NETWORKDAYS($Y454,TODAY(),Holidays)-1)&amp;" business day(s) late. Send now.",IF($T454="DUE TOMORROW","Next: "&amp;$Z454&amp;IF($Y454&lt;=TODAY()," is due TODAY ("," is due next business day (")&amp;TEXT($Y454,"dd-mmm")&amp;").","Next: "&amp;$Z454&amp;" due "&amp;TEXT($Y454,"dd-mmm")&amp;" ("&amp;(NETWORKDAYS(TODAY(),$Y454,Holidays)-1)&amp;" business day(s) left).")))))</f>
        <v/>
      </c>
      <c r="V454" s="17">
        <f>IF($W454="","",CHOOSE($W454,"Collection Email","1st Follow-up","2nd Follow-up","Local Office","CBE","Roxanne")&amp;IF($W454=6," - Final"," - Day "&amp;MAX(0,NETWORKDAYS($X454,TODAY(),Holidays)-1)&amp;" of "&amp;CHOOSE($W454,3,3,2,2,3))&amp;" | Total Day "&amp;MAX(0,NETWORKDAYS($L454,TODAY(),Holidays)-1))</f>
        <v/>
      </c>
      <c r="W454" s="17">
        <f>IF($L454="","",COUNT($L454:$Q454))</f>
        <v/>
      </c>
      <c r="X454" s="18">
        <f>IF($W454="","",INT(INDEX($L454:$Q454,$W454)))</f>
        <v/>
      </c>
      <c r="Y454" s="18">
        <f>IF(OR($W454="",$W454=6),"",WORKDAY($X454,CHOOSE($W454,3,3,2,2,3),Holidays))</f>
        <v/>
      </c>
      <c r="Z454" s="17">
        <f>IF(OR($W454="",$W454=6),"",CHOOSE($W454,"1st Email Follow-up","2nd Email Follow-up","Escalate Local Office","Escalate to CBE","Escalate to Roxanne"))</f>
        <v/>
      </c>
    </row>
    <row r="455" spans="18:26">
      <c r="R455" s="15"/>
      <c r="S455" s="16"/>
      <c r="T455" s="17">
        <f>IF(AND(COUNTA($A455:$K455)=0,$L455=""),"",IF($S455="Paid","PAID",IF($S455="Closed","CLOSED",IF($W455="","",IF($W455=6,"ESCALATED TO ROXANNE",IF(TODAY()&gt;$Y455,"OVERDUE",IF($Y455&lt;=WORKDAY(TODAY(),1,Holidays),"DUE TOMORROW",IF($W455=4,"ESCALATED TO LOCAL OFFICE",IF($W455=5,"ESCALATED TO CBE",IF($X455=TODAY(),"EMAIL SENT","MONITORING"))))))))))</f>
        <v/>
      </c>
      <c r="U455" s="17">
        <f>IF($T455="",IF(AND(COUNTA($A455:$K455)&gt;0,$L455=""),"Awaiting Collection Email time stamp.",""),IF(OR($T455="PAID",$T455="CLOSED"),IF($T455="PAID","Account paid. Action completed.","Account closed. No further action required."),CHOOSE($W455,"Collection Email","1st Email Follow-up","2nd Email Follow-up","Escalation to Local Office","Escalation to CBE","Escalation to Roxanne")&amp;" sent "&amp;TEXT($X455,"dd-mmm")&amp;". "&amp;IF($W455=6,"Final escalation completed.",IF($T455="OVERDUE","Next: "&amp;$Z455&amp;" was due "&amp;TEXT($Y455,"dd-mmm")&amp;" - "&amp;(NETWORKDAYS($Y455,TODAY(),Holidays)-1)&amp;" business day(s) late. Send now.",IF($T455="DUE TOMORROW","Next: "&amp;$Z455&amp;IF($Y455&lt;=TODAY()," is due TODAY ("," is due next business day (")&amp;TEXT($Y455,"dd-mmm")&amp;").","Next: "&amp;$Z455&amp;" due "&amp;TEXT($Y455,"dd-mmm")&amp;" ("&amp;(NETWORKDAYS(TODAY(),$Y455,Holidays)-1)&amp;" business day(s) left).")))))</f>
        <v/>
      </c>
      <c r="V455" s="17">
        <f>IF($W455="","",CHOOSE($W455,"Collection Email","1st Follow-up","2nd Follow-up","Local Office","CBE","Roxanne")&amp;IF($W455=6," - Final"," - Day "&amp;MAX(0,NETWORKDAYS($X455,TODAY(),Holidays)-1)&amp;" of "&amp;CHOOSE($W455,3,3,2,2,3))&amp;" | Total Day "&amp;MAX(0,NETWORKDAYS($L455,TODAY(),Holidays)-1))</f>
        <v/>
      </c>
      <c r="W455" s="17">
        <f>IF($L455="","",COUNT($L455:$Q455))</f>
        <v/>
      </c>
      <c r="X455" s="18">
        <f>IF($W455="","",INT(INDEX($L455:$Q455,$W455)))</f>
        <v/>
      </c>
      <c r="Y455" s="18">
        <f>IF(OR($W455="",$W455=6),"",WORKDAY($X455,CHOOSE($W455,3,3,2,2,3),Holidays))</f>
        <v/>
      </c>
      <c r="Z455" s="17">
        <f>IF(OR($W455="",$W455=6),"",CHOOSE($W455,"1st Email Follow-up","2nd Email Follow-up","Escalate Local Office","Escalate to CBE","Escalate to Roxanne"))</f>
        <v/>
      </c>
    </row>
    <row r="456" spans="18:26">
      <c r="R456" s="15"/>
      <c r="S456" s="16"/>
      <c r="T456" s="17">
        <f>IF(AND(COUNTA($A456:$K456)=0,$L456=""),"",IF($S456="Paid","PAID",IF($S456="Closed","CLOSED",IF($W456="","",IF($W456=6,"ESCALATED TO ROXANNE",IF(TODAY()&gt;$Y456,"OVERDUE",IF($Y456&lt;=WORKDAY(TODAY(),1,Holidays),"DUE TOMORROW",IF($W456=4,"ESCALATED TO LOCAL OFFICE",IF($W456=5,"ESCALATED TO CBE",IF($X456=TODAY(),"EMAIL SENT","MONITORING"))))))))))</f>
        <v/>
      </c>
      <c r="U456" s="17">
        <f>IF($T456="",IF(AND(COUNTA($A456:$K456)&gt;0,$L456=""),"Awaiting Collection Email time stamp.",""),IF(OR($T456="PAID",$T456="CLOSED"),IF($T456="PAID","Account paid. Action completed.","Account closed. No further action required."),CHOOSE($W456,"Collection Email","1st Email Follow-up","2nd Email Follow-up","Escalation to Local Office","Escalation to CBE","Escalation to Roxanne")&amp;" sent "&amp;TEXT($X456,"dd-mmm")&amp;". "&amp;IF($W456=6,"Final escalation completed.",IF($T456="OVERDUE","Next: "&amp;$Z456&amp;" was due "&amp;TEXT($Y456,"dd-mmm")&amp;" - "&amp;(NETWORKDAYS($Y456,TODAY(),Holidays)-1)&amp;" business day(s) late. Send now.",IF($T456="DUE TOMORROW","Next: "&amp;$Z456&amp;IF($Y456&lt;=TODAY()," is due TODAY ("," is due next business day (")&amp;TEXT($Y456,"dd-mmm")&amp;").","Next: "&amp;$Z456&amp;" due "&amp;TEXT($Y456,"dd-mmm")&amp;" ("&amp;(NETWORKDAYS(TODAY(),$Y456,Holidays)-1)&amp;" business day(s) left).")))))</f>
        <v/>
      </c>
      <c r="V456" s="17">
        <f>IF($W456="","",CHOOSE($W456,"Collection Email","1st Follow-up","2nd Follow-up","Local Office","CBE","Roxanne")&amp;IF($W456=6," - Final"," - Day "&amp;MAX(0,NETWORKDAYS($X456,TODAY(),Holidays)-1)&amp;" of "&amp;CHOOSE($W456,3,3,2,2,3))&amp;" | Total Day "&amp;MAX(0,NETWORKDAYS($L456,TODAY(),Holidays)-1))</f>
        <v/>
      </c>
      <c r="W456" s="17">
        <f>IF($L456="","",COUNT($L456:$Q456))</f>
        <v/>
      </c>
      <c r="X456" s="18">
        <f>IF($W456="","",INT(INDEX($L456:$Q456,$W456)))</f>
        <v/>
      </c>
      <c r="Y456" s="18">
        <f>IF(OR($W456="",$W456=6),"",WORKDAY($X456,CHOOSE($W456,3,3,2,2,3),Holidays))</f>
        <v/>
      </c>
      <c r="Z456" s="17">
        <f>IF(OR($W456="",$W456=6),"",CHOOSE($W456,"1st Email Follow-up","2nd Email Follow-up","Escalate Local Office","Escalate to CBE","Escalate to Roxanne"))</f>
        <v/>
      </c>
    </row>
    <row r="457" spans="18:26">
      <c r="R457" s="15"/>
      <c r="S457" s="16"/>
      <c r="T457" s="17">
        <f>IF(AND(COUNTA($A457:$K457)=0,$L457=""),"",IF($S457="Paid","PAID",IF($S457="Closed","CLOSED",IF($W457="","",IF($W457=6,"ESCALATED TO ROXANNE",IF(TODAY()&gt;$Y457,"OVERDUE",IF($Y457&lt;=WORKDAY(TODAY(),1,Holidays),"DUE TOMORROW",IF($W457=4,"ESCALATED TO LOCAL OFFICE",IF($W457=5,"ESCALATED TO CBE",IF($X457=TODAY(),"EMAIL SENT","MONITORING"))))))))))</f>
        <v/>
      </c>
      <c r="U457" s="17">
        <f>IF($T457="",IF(AND(COUNTA($A457:$K457)&gt;0,$L457=""),"Awaiting Collection Email time stamp.",""),IF(OR($T457="PAID",$T457="CLOSED"),IF($T457="PAID","Account paid. Action completed.","Account closed. No further action required."),CHOOSE($W457,"Collection Email","1st Email Follow-up","2nd Email Follow-up","Escalation to Local Office","Escalation to CBE","Escalation to Roxanne")&amp;" sent "&amp;TEXT($X457,"dd-mmm")&amp;". "&amp;IF($W457=6,"Final escalation completed.",IF($T457="OVERDUE","Next: "&amp;$Z457&amp;" was due "&amp;TEXT($Y457,"dd-mmm")&amp;" - "&amp;(NETWORKDAYS($Y457,TODAY(),Holidays)-1)&amp;" business day(s) late. Send now.",IF($T457="DUE TOMORROW","Next: "&amp;$Z457&amp;IF($Y457&lt;=TODAY()," is due TODAY ("," is due next business day (")&amp;TEXT($Y457,"dd-mmm")&amp;").","Next: "&amp;$Z457&amp;" due "&amp;TEXT($Y457,"dd-mmm")&amp;" ("&amp;(NETWORKDAYS(TODAY(),$Y457,Holidays)-1)&amp;" business day(s) left).")))))</f>
        <v/>
      </c>
      <c r="V457" s="17">
        <f>IF($W457="","",CHOOSE($W457,"Collection Email","1st Follow-up","2nd Follow-up","Local Office","CBE","Roxanne")&amp;IF($W457=6," - Final"," - Day "&amp;MAX(0,NETWORKDAYS($X457,TODAY(),Holidays)-1)&amp;" of "&amp;CHOOSE($W457,3,3,2,2,3))&amp;" | Total Day "&amp;MAX(0,NETWORKDAYS($L457,TODAY(),Holidays)-1))</f>
        <v/>
      </c>
      <c r="W457" s="17">
        <f>IF($L457="","",COUNT($L457:$Q457))</f>
        <v/>
      </c>
      <c r="X457" s="18">
        <f>IF($W457="","",INT(INDEX($L457:$Q457,$W457)))</f>
        <v/>
      </c>
      <c r="Y457" s="18">
        <f>IF(OR($W457="",$W457=6),"",WORKDAY($X457,CHOOSE($W457,3,3,2,2,3),Holidays))</f>
        <v/>
      </c>
      <c r="Z457" s="17">
        <f>IF(OR($W457="",$W457=6),"",CHOOSE($W457,"1st Email Follow-up","2nd Email Follow-up","Escalate Local Office","Escalate to CBE","Escalate to Roxanne"))</f>
        <v/>
      </c>
    </row>
    <row r="458" spans="18:26">
      <c r="R458" s="15"/>
      <c r="S458" s="16"/>
      <c r="T458" s="17">
        <f>IF(AND(COUNTA($A458:$K458)=0,$L458=""),"",IF($S458="Paid","PAID",IF($S458="Closed","CLOSED",IF($W458="","",IF($W458=6,"ESCALATED TO ROXANNE",IF(TODAY()&gt;$Y458,"OVERDUE",IF($Y458&lt;=WORKDAY(TODAY(),1,Holidays),"DUE TOMORROW",IF($W458=4,"ESCALATED TO LOCAL OFFICE",IF($W458=5,"ESCALATED TO CBE",IF($X458=TODAY(),"EMAIL SENT","MONITORING"))))))))))</f>
        <v/>
      </c>
      <c r="U458" s="17">
        <f>IF($T458="",IF(AND(COUNTA($A458:$K458)&gt;0,$L458=""),"Awaiting Collection Email time stamp.",""),IF(OR($T458="PAID",$T458="CLOSED"),IF($T458="PAID","Account paid. Action completed.","Account closed. No further action required."),CHOOSE($W458,"Collection Email","1st Email Follow-up","2nd Email Follow-up","Escalation to Local Office","Escalation to CBE","Escalation to Roxanne")&amp;" sent "&amp;TEXT($X458,"dd-mmm")&amp;". "&amp;IF($W458=6,"Final escalation completed.",IF($T458="OVERDUE","Next: "&amp;$Z458&amp;" was due "&amp;TEXT($Y458,"dd-mmm")&amp;" - "&amp;(NETWORKDAYS($Y458,TODAY(),Holidays)-1)&amp;" business day(s) late. Send now.",IF($T458="DUE TOMORROW","Next: "&amp;$Z458&amp;IF($Y458&lt;=TODAY()," is due TODAY ("," is due next business day (")&amp;TEXT($Y458,"dd-mmm")&amp;").","Next: "&amp;$Z458&amp;" due "&amp;TEXT($Y458,"dd-mmm")&amp;" ("&amp;(NETWORKDAYS(TODAY(),$Y458,Holidays)-1)&amp;" business day(s) left).")))))</f>
        <v/>
      </c>
      <c r="V458" s="17">
        <f>IF($W458="","",CHOOSE($W458,"Collection Email","1st Follow-up","2nd Follow-up","Local Office","CBE","Roxanne")&amp;IF($W458=6," - Final"," - Day "&amp;MAX(0,NETWORKDAYS($X458,TODAY(),Holidays)-1)&amp;" of "&amp;CHOOSE($W458,3,3,2,2,3))&amp;" | Total Day "&amp;MAX(0,NETWORKDAYS($L458,TODAY(),Holidays)-1))</f>
        <v/>
      </c>
      <c r="W458" s="17">
        <f>IF($L458="","",COUNT($L458:$Q458))</f>
        <v/>
      </c>
      <c r="X458" s="18">
        <f>IF($W458="","",INT(INDEX($L458:$Q458,$W458)))</f>
        <v/>
      </c>
      <c r="Y458" s="18">
        <f>IF(OR($W458="",$W458=6),"",WORKDAY($X458,CHOOSE($W458,3,3,2,2,3),Holidays))</f>
        <v/>
      </c>
      <c r="Z458" s="17">
        <f>IF(OR($W458="",$W458=6),"",CHOOSE($W458,"1st Email Follow-up","2nd Email Follow-up","Escalate Local Office","Escalate to CBE","Escalate to Roxanne"))</f>
        <v/>
      </c>
    </row>
    <row r="459" spans="18:26">
      <c r="R459" s="15"/>
      <c r="S459" s="16"/>
      <c r="T459" s="17">
        <f>IF(AND(COUNTA($A459:$K459)=0,$L459=""),"",IF($S459="Paid","PAID",IF($S459="Closed","CLOSED",IF($W459="","",IF($W459=6,"ESCALATED TO ROXANNE",IF(TODAY()&gt;$Y459,"OVERDUE",IF($Y459&lt;=WORKDAY(TODAY(),1,Holidays),"DUE TOMORROW",IF($W459=4,"ESCALATED TO LOCAL OFFICE",IF($W459=5,"ESCALATED TO CBE",IF($X459=TODAY(),"EMAIL SENT","MONITORING"))))))))))</f>
        <v/>
      </c>
      <c r="U459" s="17">
        <f>IF($T459="",IF(AND(COUNTA($A459:$K459)&gt;0,$L459=""),"Awaiting Collection Email time stamp.",""),IF(OR($T459="PAID",$T459="CLOSED"),IF($T459="PAID","Account paid. Action completed.","Account closed. No further action required."),CHOOSE($W459,"Collection Email","1st Email Follow-up","2nd Email Follow-up","Escalation to Local Office","Escalation to CBE","Escalation to Roxanne")&amp;" sent "&amp;TEXT($X459,"dd-mmm")&amp;". "&amp;IF($W459=6,"Final escalation completed.",IF($T459="OVERDUE","Next: "&amp;$Z459&amp;" was due "&amp;TEXT($Y459,"dd-mmm")&amp;" - "&amp;(NETWORKDAYS($Y459,TODAY(),Holidays)-1)&amp;" business day(s) late. Send now.",IF($T459="DUE TOMORROW","Next: "&amp;$Z459&amp;IF($Y459&lt;=TODAY()," is due TODAY ("," is due next business day (")&amp;TEXT($Y459,"dd-mmm")&amp;").","Next: "&amp;$Z459&amp;" due "&amp;TEXT($Y459,"dd-mmm")&amp;" ("&amp;(NETWORKDAYS(TODAY(),$Y459,Holidays)-1)&amp;" business day(s) left).")))))</f>
        <v/>
      </c>
      <c r="V459" s="17">
        <f>IF($W459="","",CHOOSE($W459,"Collection Email","1st Follow-up","2nd Follow-up","Local Office","CBE","Roxanne")&amp;IF($W459=6," - Final"," - Day "&amp;MAX(0,NETWORKDAYS($X459,TODAY(),Holidays)-1)&amp;" of "&amp;CHOOSE($W459,3,3,2,2,3))&amp;" | Total Day "&amp;MAX(0,NETWORKDAYS($L459,TODAY(),Holidays)-1))</f>
        <v/>
      </c>
      <c r="W459" s="17">
        <f>IF($L459="","",COUNT($L459:$Q459))</f>
        <v/>
      </c>
      <c r="X459" s="18">
        <f>IF($W459="","",INT(INDEX($L459:$Q459,$W459)))</f>
        <v/>
      </c>
      <c r="Y459" s="18">
        <f>IF(OR($W459="",$W459=6),"",WORKDAY($X459,CHOOSE($W459,3,3,2,2,3),Holidays))</f>
        <v/>
      </c>
      <c r="Z459" s="17">
        <f>IF(OR($W459="",$W459=6),"",CHOOSE($W459,"1st Email Follow-up","2nd Email Follow-up","Escalate Local Office","Escalate to CBE","Escalate to Roxanne"))</f>
        <v/>
      </c>
    </row>
    <row r="460" spans="18:26">
      <c r="R460" s="15"/>
      <c r="S460" s="16"/>
      <c r="T460" s="17">
        <f>IF(AND(COUNTA($A460:$K460)=0,$L460=""),"",IF($S460="Paid","PAID",IF($S460="Closed","CLOSED",IF($W460="","",IF($W460=6,"ESCALATED TO ROXANNE",IF(TODAY()&gt;$Y460,"OVERDUE",IF($Y460&lt;=WORKDAY(TODAY(),1,Holidays),"DUE TOMORROW",IF($W460=4,"ESCALATED TO LOCAL OFFICE",IF($W460=5,"ESCALATED TO CBE",IF($X460=TODAY(),"EMAIL SENT","MONITORING"))))))))))</f>
        <v/>
      </c>
      <c r="U460" s="17">
        <f>IF($T460="",IF(AND(COUNTA($A460:$K460)&gt;0,$L460=""),"Awaiting Collection Email time stamp.",""),IF(OR($T460="PAID",$T460="CLOSED"),IF($T460="PAID","Account paid. Action completed.","Account closed. No further action required."),CHOOSE($W460,"Collection Email","1st Email Follow-up","2nd Email Follow-up","Escalation to Local Office","Escalation to CBE","Escalation to Roxanne")&amp;" sent "&amp;TEXT($X460,"dd-mmm")&amp;". "&amp;IF($W460=6,"Final escalation completed.",IF($T460="OVERDUE","Next: "&amp;$Z460&amp;" was due "&amp;TEXT($Y460,"dd-mmm")&amp;" - "&amp;(NETWORKDAYS($Y460,TODAY(),Holidays)-1)&amp;" business day(s) late. Send now.",IF($T460="DUE TOMORROW","Next: "&amp;$Z460&amp;IF($Y460&lt;=TODAY()," is due TODAY ("," is due next business day (")&amp;TEXT($Y460,"dd-mmm")&amp;").","Next: "&amp;$Z460&amp;" due "&amp;TEXT($Y460,"dd-mmm")&amp;" ("&amp;(NETWORKDAYS(TODAY(),$Y460,Holidays)-1)&amp;" business day(s) left).")))))</f>
        <v/>
      </c>
      <c r="V460" s="17">
        <f>IF($W460="","",CHOOSE($W460,"Collection Email","1st Follow-up","2nd Follow-up","Local Office","CBE","Roxanne")&amp;IF($W460=6," - Final"," - Day "&amp;MAX(0,NETWORKDAYS($X460,TODAY(),Holidays)-1)&amp;" of "&amp;CHOOSE($W460,3,3,2,2,3))&amp;" | Total Day "&amp;MAX(0,NETWORKDAYS($L460,TODAY(),Holidays)-1))</f>
        <v/>
      </c>
      <c r="W460" s="17">
        <f>IF($L460="","",COUNT($L460:$Q460))</f>
        <v/>
      </c>
      <c r="X460" s="18">
        <f>IF($W460="","",INT(INDEX($L460:$Q460,$W460)))</f>
        <v/>
      </c>
      <c r="Y460" s="18">
        <f>IF(OR($W460="",$W460=6),"",WORKDAY($X460,CHOOSE($W460,3,3,2,2,3),Holidays))</f>
        <v/>
      </c>
      <c r="Z460" s="17">
        <f>IF(OR($W460="",$W460=6),"",CHOOSE($W460,"1st Email Follow-up","2nd Email Follow-up","Escalate Local Office","Escalate to CBE","Escalate to Roxanne"))</f>
        <v/>
      </c>
    </row>
    <row r="461" spans="18:26">
      <c r="R461" s="15"/>
      <c r="S461" s="16"/>
      <c r="T461" s="17">
        <f>IF(AND(COUNTA($A461:$K461)=0,$L461=""),"",IF($S461="Paid","PAID",IF($S461="Closed","CLOSED",IF($W461="","",IF($W461=6,"ESCALATED TO ROXANNE",IF(TODAY()&gt;$Y461,"OVERDUE",IF($Y461&lt;=WORKDAY(TODAY(),1,Holidays),"DUE TOMORROW",IF($W461=4,"ESCALATED TO LOCAL OFFICE",IF($W461=5,"ESCALATED TO CBE",IF($X461=TODAY(),"EMAIL SENT","MONITORING"))))))))))</f>
        <v/>
      </c>
      <c r="U461" s="17">
        <f>IF($T461="",IF(AND(COUNTA($A461:$K461)&gt;0,$L461=""),"Awaiting Collection Email time stamp.",""),IF(OR($T461="PAID",$T461="CLOSED"),IF($T461="PAID","Account paid. Action completed.","Account closed. No further action required."),CHOOSE($W461,"Collection Email","1st Email Follow-up","2nd Email Follow-up","Escalation to Local Office","Escalation to CBE","Escalation to Roxanne")&amp;" sent "&amp;TEXT($X461,"dd-mmm")&amp;". "&amp;IF($W461=6,"Final escalation completed.",IF($T461="OVERDUE","Next: "&amp;$Z461&amp;" was due "&amp;TEXT($Y461,"dd-mmm")&amp;" - "&amp;(NETWORKDAYS($Y461,TODAY(),Holidays)-1)&amp;" business day(s) late. Send now.",IF($T461="DUE TOMORROW","Next: "&amp;$Z461&amp;IF($Y461&lt;=TODAY()," is due TODAY ("," is due next business day (")&amp;TEXT($Y461,"dd-mmm")&amp;").","Next: "&amp;$Z461&amp;" due "&amp;TEXT($Y461,"dd-mmm")&amp;" ("&amp;(NETWORKDAYS(TODAY(),$Y461,Holidays)-1)&amp;" business day(s) left).")))))</f>
        <v/>
      </c>
      <c r="V461" s="17">
        <f>IF($W461="","",CHOOSE($W461,"Collection Email","1st Follow-up","2nd Follow-up","Local Office","CBE","Roxanne")&amp;IF($W461=6," - Final"," - Day "&amp;MAX(0,NETWORKDAYS($X461,TODAY(),Holidays)-1)&amp;" of "&amp;CHOOSE($W461,3,3,2,2,3))&amp;" | Total Day "&amp;MAX(0,NETWORKDAYS($L461,TODAY(),Holidays)-1))</f>
        <v/>
      </c>
      <c r="W461" s="17">
        <f>IF($L461="","",COUNT($L461:$Q461))</f>
        <v/>
      </c>
      <c r="X461" s="18">
        <f>IF($W461="","",INT(INDEX($L461:$Q461,$W461)))</f>
        <v/>
      </c>
      <c r="Y461" s="18">
        <f>IF(OR($W461="",$W461=6),"",WORKDAY($X461,CHOOSE($W461,3,3,2,2,3),Holidays))</f>
        <v/>
      </c>
      <c r="Z461" s="17">
        <f>IF(OR($W461="",$W461=6),"",CHOOSE($W461,"1st Email Follow-up","2nd Email Follow-up","Escalate Local Office","Escalate to CBE","Escalate to Roxanne"))</f>
        <v/>
      </c>
    </row>
    <row r="462" spans="18:26">
      <c r="R462" s="15"/>
      <c r="S462" s="16"/>
      <c r="T462" s="17">
        <f>IF(AND(COUNTA($A462:$K462)=0,$L462=""),"",IF($S462="Paid","PAID",IF($S462="Closed","CLOSED",IF($W462="","",IF($W462=6,"ESCALATED TO ROXANNE",IF(TODAY()&gt;$Y462,"OVERDUE",IF($Y462&lt;=WORKDAY(TODAY(),1,Holidays),"DUE TOMORROW",IF($W462=4,"ESCALATED TO LOCAL OFFICE",IF($W462=5,"ESCALATED TO CBE",IF($X462=TODAY(),"EMAIL SENT","MONITORING"))))))))))</f>
        <v/>
      </c>
      <c r="U462" s="17">
        <f>IF($T462="",IF(AND(COUNTA($A462:$K462)&gt;0,$L462=""),"Awaiting Collection Email time stamp.",""),IF(OR($T462="PAID",$T462="CLOSED"),IF($T462="PAID","Account paid. Action completed.","Account closed. No further action required."),CHOOSE($W462,"Collection Email","1st Email Follow-up","2nd Email Follow-up","Escalation to Local Office","Escalation to CBE","Escalation to Roxanne")&amp;" sent "&amp;TEXT($X462,"dd-mmm")&amp;". "&amp;IF($W462=6,"Final escalation completed.",IF($T462="OVERDUE","Next: "&amp;$Z462&amp;" was due "&amp;TEXT($Y462,"dd-mmm")&amp;" - "&amp;(NETWORKDAYS($Y462,TODAY(),Holidays)-1)&amp;" business day(s) late. Send now.",IF($T462="DUE TOMORROW","Next: "&amp;$Z462&amp;IF($Y462&lt;=TODAY()," is due TODAY ("," is due next business day (")&amp;TEXT($Y462,"dd-mmm")&amp;").","Next: "&amp;$Z462&amp;" due "&amp;TEXT($Y462,"dd-mmm")&amp;" ("&amp;(NETWORKDAYS(TODAY(),$Y462,Holidays)-1)&amp;" business day(s) left).")))))</f>
        <v/>
      </c>
      <c r="V462" s="17">
        <f>IF($W462="","",CHOOSE($W462,"Collection Email","1st Follow-up","2nd Follow-up","Local Office","CBE","Roxanne")&amp;IF($W462=6," - Final"," - Day "&amp;MAX(0,NETWORKDAYS($X462,TODAY(),Holidays)-1)&amp;" of "&amp;CHOOSE($W462,3,3,2,2,3))&amp;" | Total Day "&amp;MAX(0,NETWORKDAYS($L462,TODAY(),Holidays)-1))</f>
        <v/>
      </c>
      <c r="W462" s="17">
        <f>IF($L462="","",COUNT($L462:$Q462))</f>
        <v/>
      </c>
      <c r="X462" s="18">
        <f>IF($W462="","",INT(INDEX($L462:$Q462,$W462)))</f>
        <v/>
      </c>
      <c r="Y462" s="18">
        <f>IF(OR($W462="",$W462=6),"",WORKDAY($X462,CHOOSE($W462,3,3,2,2,3),Holidays))</f>
        <v/>
      </c>
      <c r="Z462" s="17">
        <f>IF(OR($W462="",$W462=6),"",CHOOSE($W462,"1st Email Follow-up","2nd Email Follow-up","Escalate Local Office","Escalate to CBE","Escalate to Roxanne"))</f>
        <v/>
      </c>
    </row>
    <row r="463" spans="18:26">
      <c r="R463" s="15"/>
      <c r="S463" s="16"/>
      <c r="T463" s="17">
        <f>IF(AND(COUNTA($A463:$K463)=0,$L463=""),"",IF($S463="Paid","PAID",IF($S463="Closed","CLOSED",IF($W463="","",IF($W463=6,"ESCALATED TO ROXANNE",IF(TODAY()&gt;$Y463,"OVERDUE",IF($Y463&lt;=WORKDAY(TODAY(),1,Holidays),"DUE TOMORROW",IF($W463=4,"ESCALATED TO LOCAL OFFICE",IF($W463=5,"ESCALATED TO CBE",IF($X463=TODAY(),"EMAIL SENT","MONITORING"))))))))))</f>
        <v/>
      </c>
      <c r="U463" s="17">
        <f>IF($T463="",IF(AND(COUNTA($A463:$K463)&gt;0,$L463=""),"Awaiting Collection Email time stamp.",""),IF(OR($T463="PAID",$T463="CLOSED"),IF($T463="PAID","Account paid. Action completed.","Account closed. No further action required."),CHOOSE($W463,"Collection Email","1st Email Follow-up","2nd Email Follow-up","Escalation to Local Office","Escalation to CBE","Escalation to Roxanne")&amp;" sent "&amp;TEXT($X463,"dd-mmm")&amp;". "&amp;IF($W463=6,"Final escalation completed.",IF($T463="OVERDUE","Next: "&amp;$Z463&amp;" was due "&amp;TEXT($Y463,"dd-mmm")&amp;" - "&amp;(NETWORKDAYS($Y463,TODAY(),Holidays)-1)&amp;" business day(s) late. Send now.",IF($T463="DUE TOMORROW","Next: "&amp;$Z463&amp;IF($Y463&lt;=TODAY()," is due TODAY ("," is due next business day (")&amp;TEXT($Y463,"dd-mmm")&amp;").","Next: "&amp;$Z463&amp;" due "&amp;TEXT($Y463,"dd-mmm")&amp;" ("&amp;(NETWORKDAYS(TODAY(),$Y463,Holidays)-1)&amp;" business day(s) left).")))))</f>
        <v/>
      </c>
      <c r="V463" s="17">
        <f>IF($W463="","",CHOOSE($W463,"Collection Email","1st Follow-up","2nd Follow-up","Local Office","CBE","Roxanne")&amp;IF($W463=6," - Final"," - Day "&amp;MAX(0,NETWORKDAYS($X463,TODAY(),Holidays)-1)&amp;" of "&amp;CHOOSE($W463,3,3,2,2,3))&amp;" | Total Day "&amp;MAX(0,NETWORKDAYS($L463,TODAY(),Holidays)-1))</f>
        <v/>
      </c>
      <c r="W463" s="17">
        <f>IF($L463="","",COUNT($L463:$Q463))</f>
        <v/>
      </c>
      <c r="X463" s="18">
        <f>IF($W463="","",INT(INDEX($L463:$Q463,$W463)))</f>
        <v/>
      </c>
      <c r="Y463" s="18">
        <f>IF(OR($W463="",$W463=6),"",WORKDAY($X463,CHOOSE($W463,3,3,2,2,3),Holidays))</f>
        <v/>
      </c>
      <c r="Z463" s="17">
        <f>IF(OR($W463="",$W463=6),"",CHOOSE($W463,"1st Email Follow-up","2nd Email Follow-up","Escalate Local Office","Escalate to CBE","Escalate to Roxanne"))</f>
        <v/>
      </c>
    </row>
    <row r="464" spans="18:26">
      <c r="R464" s="15"/>
      <c r="S464" s="16"/>
      <c r="T464" s="17">
        <f>IF(AND(COUNTA($A464:$K464)=0,$L464=""),"",IF($S464="Paid","PAID",IF($S464="Closed","CLOSED",IF($W464="","",IF($W464=6,"ESCALATED TO ROXANNE",IF(TODAY()&gt;$Y464,"OVERDUE",IF($Y464&lt;=WORKDAY(TODAY(),1,Holidays),"DUE TOMORROW",IF($W464=4,"ESCALATED TO LOCAL OFFICE",IF($W464=5,"ESCALATED TO CBE",IF($X464=TODAY(),"EMAIL SENT","MONITORING"))))))))))</f>
        <v/>
      </c>
      <c r="U464" s="17">
        <f>IF($T464="",IF(AND(COUNTA($A464:$K464)&gt;0,$L464=""),"Awaiting Collection Email time stamp.",""),IF(OR($T464="PAID",$T464="CLOSED"),IF($T464="PAID","Account paid. Action completed.","Account closed. No further action required."),CHOOSE($W464,"Collection Email","1st Email Follow-up","2nd Email Follow-up","Escalation to Local Office","Escalation to CBE","Escalation to Roxanne")&amp;" sent "&amp;TEXT($X464,"dd-mmm")&amp;". "&amp;IF($W464=6,"Final escalation completed.",IF($T464="OVERDUE","Next: "&amp;$Z464&amp;" was due "&amp;TEXT($Y464,"dd-mmm")&amp;" - "&amp;(NETWORKDAYS($Y464,TODAY(),Holidays)-1)&amp;" business day(s) late. Send now.",IF($T464="DUE TOMORROW","Next: "&amp;$Z464&amp;IF($Y464&lt;=TODAY()," is due TODAY ("," is due next business day (")&amp;TEXT($Y464,"dd-mmm")&amp;").","Next: "&amp;$Z464&amp;" due "&amp;TEXT($Y464,"dd-mmm")&amp;" ("&amp;(NETWORKDAYS(TODAY(),$Y464,Holidays)-1)&amp;" business day(s) left).")))))</f>
        <v/>
      </c>
      <c r="V464" s="17">
        <f>IF($W464="","",CHOOSE($W464,"Collection Email","1st Follow-up","2nd Follow-up","Local Office","CBE","Roxanne")&amp;IF($W464=6," - Final"," - Day "&amp;MAX(0,NETWORKDAYS($X464,TODAY(),Holidays)-1)&amp;" of "&amp;CHOOSE($W464,3,3,2,2,3))&amp;" | Total Day "&amp;MAX(0,NETWORKDAYS($L464,TODAY(),Holidays)-1))</f>
        <v/>
      </c>
      <c r="W464" s="17">
        <f>IF($L464="","",COUNT($L464:$Q464))</f>
        <v/>
      </c>
      <c r="X464" s="18">
        <f>IF($W464="","",INT(INDEX($L464:$Q464,$W464)))</f>
        <v/>
      </c>
      <c r="Y464" s="18">
        <f>IF(OR($W464="",$W464=6),"",WORKDAY($X464,CHOOSE($W464,3,3,2,2,3),Holidays))</f>
        <v/>
      </c>
      <c r="Z464" s="17">
        <f>IF(OR($W464="",$W464=6),"",CHOOSE($W464,"1st Email Follow-up","2nd Email Follow-up","Escalate Local Office","Escalate to CBE","Escalate to Roxanne"))</f>
        <v/>
      </c>
    </row>
    <row r="465" spans="18:26">
      <c r="R465" s="15"/>
      <c r="S465" s="16"/>
      <c r="T465" s="17">
        <f>IF(AND(COUNTA($A465:$K465)=0,$L465=""),"",IF($S465="Paid","PAID",IF($S465="Closed","CLOSED",IF($W465="","",IF($W465=6,"ESCALATED TO ROXANNE",IF(TODAY()&gt;$Y465,"OVERDUE",IF($Y465&lt;=WORKDAY(TODAY(),1,Holidays),"DUE TOMORROW",IF($W465=4,"ESCALATED TO LOCAL OFFICE",IF($W465=5,"ESCALATED TO CBE",IF($X465=TODAY(),"EMAIL SENT","MONITORING"))))))))))</f>
        <v/>
      </c>
      <c r="U465" s="17">
        <f>IF($T465="",IF(AND(COUNTA($A465:$K465)&gt;0,$L465=""),"Awaiting Collection Email time stamp.",""),IF(OR($T465="PAID",$T465="CLOSED"),IF($T465="PAID","Account paid. Action completed.","Account closed. No further action required."),CHOOSE($W465,"Collection Email","1st Email Follow-up","2nd Email Follow-up","Escalation to Local Office","Escalation to CBE","Escalation to Roxanne")&amp;" sent "&amp;TEXT($X465,"dd-mmm")&amp;". "&amp;IF($W465=6,"Final escalation completed.",IF($T465="OVERDUE","Next: "&amp;$Z465&amp;" was due "&amp;TEXT($Y465,"dd-mmm")&amp;" - "&amp;(NETWORKDAYS($Y465,TODAY(),Holidays)-1)&amp;" business day(s) late. Send now.",IF($T465="DUE TOMORROW","Next: "&amp;$Z465&amp;IF($Y465&lt;=TODAY()," is due TODAY ("," is due next business day (")&amp;TEXT($Y465,"dd-mmm")&amp;").","Next: "&amp;$Z465&amp;" due "&amp;TEXT($Y465,"dd-mmm")&amp;" ("&amp;(NETWORKDAYS(TODAY(),$Y465,Holidays)-1)&amp;" business day(s) left).")))))</f>
        <v/>
      </c>
      <c r="V465" s="17">
        <f>IF($W465="","",CHOOSE($W465,"Collection Email","1st Follow-up","2nd Follow-up","Local Office","CBE","Roxanne")&amp;IF($W465=6," - Final"," - Day "&amp;MAX(0,NETWORKDAYS($X465,TODAY(),Holidays)-1)&amp;" of "&amp;CHOOSE($W465,3,3,2,2,3))&amp;" | Total Day "&amp;MAX(0,NETWORKDAYS($L465,TODAY(),Holidays)-1))</f>
        <v/>
      </c>
      <c r="W465" s="17">
        <f>IF($L465="","",COUNT($L465:$Q465))</f>
        <v/>
      </c>
      <c r="X465" s="18">
        <f>IF($W465="","",INT(INDEX($L465:$Q465,$W465)))</f>
        <v/>
      </c>
      <c r="Y465" s="18">
        <f>IF(OR($W465="",$W465=6),"",WORKDAY($X465,CHOOSE($W465,3,3,2,2,3),Holidays))</f>
        <v/>
      </c>
      <c r="Z465" s="17">
        <f>IF(OR($W465="",$W465=6),"",CHOOSE($W465,"1st Email Follow-up","2nd Email Follow-up","Escalate Local Office","Escalate to CBE","Escalate to Roxanne"))</f>
        <v/>
      </c>
    </row>
    <row r="466" spans="18:26">
      <c r="R466" s="15"/>
      <c r="S466" s="16"/>
      <c r="T466" s="17">
        <f>IF(AND(COUNTA($A466:$K466)=0,$L466=""),"",IF($S466="Paid","PAID",IF($S466="Closed","CLOSED",IF($W466="","",IF($W466=6,"ESCALATED TO ROXANNE",IF(TODAY()&gt;$Y466,"OVERDUE",IF($Y466&lt;=WORKDAY(TODAY(),1,Holidays),"DUE TOMORROW",IF($W466=4,"ESCALATED TO LOCAL OFFICE",IF($W466=5,"ESCALATED TO CBE",IF($X466=TODAY(),"EMAIL SENT","MONITORING"))))))))))</f>
        <v/>
      </c>
      <c r="U466" s="17">
        <f>IF($T466="",IF(AND(COUNTA($A466:$K466)&gt;0,$L466=""),"Awaiting Collection Email time stamp.",""),IF(OR($T466="PAID",$T466="CLOSED"),IF($T466="PAID","Account paid. Action completed.","Account closed. No further action required."),CHOOSE($W466,"Collection Email","1st Email Follow-up","2nd Email Follow-up","Escalation to Local Office","Escalation to CBE","Escalation to Roxanne")&amp;" sent "&amp;TEXT($X466,"dd-mmm")&amp;". "&amp;IF($W466=6,"Final escalation completed.",IF($T466="OVERDUE","Next: "&amp;$Z466&amp;" was due "&amp;TEXT($Y466,"dd-mmm")&amp;" - "&amp;(NETWORKDAYS($Y466,TODAY(),Holidays)-1)&amp;" business day(s) late. Send now.",IF($T466="DUE TOMORROW","Next: "&amp;$Z466&amp;IF($Y466&lt;=TODAY()," is due TODAY ("," is due next business day (")&amp;TEXT($Y466,"dd-mmm")&amp;").","Next: "&amp;$Z466&amp;" due "&amp;TEXT($Y466,"dd-mmm")&amp;" ("&amp;(NETWORKDAYS(TODAY(),$Y466,Holidays)-1)&amp;" business day(s) left).")))))</f>
        <v/>
      </c>
      <c r="V466" s="17">
        <f>IF($W466="","",CHOOSE($W466,"Collection Email","1st Follow-up","2nd Follow-up","Local Office","CBE","Roxanne")&amp;IF($W466=6," - Final"," - Day "&amp;MAX(0,NETWORKDAYS($X466,TODAY(),Holidays)-1)&amp;" of "&amp;CHOOSE($W466,3,3,2,2,3))&amp;" | Total Day "&amp;MAX(0,NETWORKDAYS($L466,TODAY(),Holidays)-1))</f>
        <v/>
      </c>
      <c r="W466" s="17">
        <f>IF($L466="","",COUNT($L466:$Q466))</f>
        <v/>
      </c>
      <c r="X466" s="18">
        <f>IF($W466="","",INT(INDEX($L466:$Q466,$W466)))</f>
        <v/>
      </c>
      <c r="Y466" s="18">
        <f>IF(OR($W466="",$W466=6),"",WORKDAY($X466,CHOOSE($W466,3,3,2,2,3),Holidays))</f>
        <v/>
      </c>
      <c r="Z466" s="17">
        <f>IF(OR($W466="",$W466=6),"",CHOOSE($W466,"1st Email Follow-up","2nd Email Follow-up","Escalate Local Office","Escalate to CBE","Escalate to Roxanne"))</f>
        <v/>
      </c>
    </row>
    <row r="467" spans="18:26">
      <c r="R467" s="15"/>
      <c r="S467" s="16"/>
      <c r="T467" s="17">
        <f>IF(AND(COUNTA($A467:$K467)=0,$L467=""),"",IF($S467="Paid","PAID",IF($S467="Closed","CLOSED",IF($W467="","",IF($W467=6,"ESCALATED TO ROXANNE",IF(TODAY()&gt;$Y467,"OVERDUE",IF($Y467&lt;=WORKDAY(TODAY(),1,Holidays),"DUE TOMORROW",IF($W467=4,"ESCALATED TO LOCAL OFFICE",IF($W467=5,"ESCALATED TO CBE",IF($X467=TODAY(),"EMAIL SENT","MONITORING"))))))))))</f>
        <v/>
      </c>
      <c r="U467" s="17">
        <f>IF($T467="",IF(AND(COUNTA($A467:$K467)&gt;0,$L467=""),"Awaiting Collection Email time stamp.",""),IF(OR($T467="PAID",$T467="CLOSED"),IF($T467="PAID","Account paid. Action completed.","Account closed. No further action required."),CHOOSE($W467,"Collection Email","1st Email Follow-up","2nd Email Follow-up","Escalation to Local Office","Escalation to CBE","Escalation to Roxanne")&amp;" sent "&amp;TEXT($X467,"dd-mmm")&amp;". "&amp;IF($W467=6,"Final escalation completed.",IF($T467="OVERDUE","Next: "&amp;$Z467&amp;" was due "&amp;TEXT($Y467,"dd-mmm")&amp;" - "&amp;(NETWORKDAYS($Y467,TODAY(),Holidays)-1)&amp;" business day(s) late. Send now.",IF($T467="DUE TOMORROW","Next: "&amp;$Z467&amp;IF($Y467&lt;=TODAY()," is due TODAY ("," is due next business day (")&amp;TEXT($Y467,"dd-mmm")&amp;").","Next: "&amp;$Z467&amp;" due "&amp;TEXT($Y467,"dd-mmm")&amp;" ("&amp;(NETWORKDAYS(TODAY(),$Y467,Holidays)-1)&amp;" business day(s) left).")))))</f>
        <v/>
      </c>
      <c r="V467" s="17">
        <f>IF($W467="","",CHOOSE($W467,"Collection Email","1st Follow-up","2nd Follow-up","Local Office","CBE","Roxanne")&amp;IF($W467=6," - Final"," - Day "&amp;MAX(0,NETWORKDAYS($X467,TODAY(),Holidays)-1)&amp;" of "&amp;CHOOSE($W467,3,3,2,2,3))&amp;" | Total Day "&amp;MAX(0,NETWORKDAYS($L467,TODAY(),Holidays)-1))</f>
        <v/>
      </c>
      <c r="W467" s="17">
        <f>IF($L467="","",COUNT($L467:$Q467))</f>
        <v/>
      </c>
      <c r="X467" s="18">
        <f>IF($W467="","",INT(INDEX($L467:$Q467,$W467)))</f>
        <v/>
      </c>
      <c r="Y467" s="18">
        <f>IF(OR($W467="",$W467=6),"",WORKDAY($X467,CHOOSE($W467,3,3,2,2,3),Holidays))</f>
        <v/>
      </c>
      <c r="Z467" s="17">
        <f>IF(OR($W467="",$W467=6),"",CHOOSE($W467,"1st Email Follow-up","2nd Email Follow-up","Escalate Local Office","Escalate to CBE","Escalate to Roxanne"))</f>
        <v/>
      </c>
    </row>
    <row r="468" spans="18:26">
      <c r="R468" s="15"/>
      <c r="S468" s="16"/>
      <c r="T468" s="17">
        <f>IF(AND(COUNTA($A468:$K468)=0,$L468=""),"",IF($S468="Paid","PAID",IF($S468="Closed","CLOSED",IF($W468="","",IF($W468=6,"ESCALATED TO ROXANNE",IF(TODAY()&gt;$Y468,"OVERDUE",IF($Y468&lt;=WORKDAY(TODAY(),1,Holidays),"DUE TOMORROW",IF($W468=4,"ESCALATED TO LOCAL OFFICE",IF($W468=5,"ESCALATED TO CBE",IF($X468=TODAY(),"EMAIL SENT","MONITORING"))))))))))</f>
        <v/>
      </c>
      <c r="U468" s="17">
        <f>IF($T468="",IF(AND(COUNTA($A468:$K468)&gt;0,$L468=""),"Awaiting Collection Email time stamp.",""),IF(OR($T468="PAID",$T468="CLOSED"),IF($T468="PAID","Account paid. Action completed.","Account closed. No further action required."),CHOOSE($W468,"Collection Email","1st Email Follow-up","2nd Email Follow-up","Escalation to Local Office","Escalation to CBE","Escalation to Roxanne")&amp;" sent "&amp;TEXT($X468,"dd-mmm")&amp;". "&amp;IF($W468=6,"Final escalation completed.",IF($T468="OVERDUE","Next: "&amp;$Z468&amp;" was due "&amp;TEXT($Y468,"dd-mmm")&amp;" - "&amp;(NETWORKDAYS($Y468,TODAY(),Holidays)-1)&amp;" business day(s) late. Send now.",IF($T468="DUE TOMORROW","Next: "&amp;$Z468&amp;IF($Y468&lt;=TODAY()," is due TODAY ("," is due next business day (")&amp;TEXT($Y468,"dd-mmm")&amp;").","Next: "&amp;$Z468&amp;" due "&amp;TEXT($Y468,"dd-mmm")&amp;" ("&amp;(NETWORKDAYS(TODAY(),$Y468,Holidays)-1)&amp;" business day(s) left).")))))</f>
        <v/>
      </c>
      <c r="V468" s="17">
        <f>IF($W468="","",CHOOSE($W468,"Collection Email","1st Follow-up","2nd Follow-up","Local Office","CBE","Roxanne")&amp;IF($W468=6," - Final"," - Day "&amp;MAX(0,NETWORKDAYS($X468,TODAY(),Holidays)-1)&amp;" of "&amp;CHOOSE($W468,3,3,2,2,3))&amp;" | Total Day "&amp;MAX(0,NETWORKDAYS($L468,TODAY(),Holidays)-1))</f>
        <v/>
      </c>
      <c r="W468" s="17">
        <f>IF($L468="","",COUNT($L468:$Q468))</f>
        <v/>
      </c>
      <c r="X468" s="18">
        <f>IF($W468="","",INT(INDEX($L468:$Q468,$W468)))</f>
        <v/>
      </c>
      <c r="Y468" s="18">
        <f>IF(OR($W468="",$W468=6),"",WORKDAY($X468,CHOOSE($W468,3,3,2,2,3),Holidays))</f>
        <v/>
      </c>
      <c r="Z468" s="17">
        <f>IF(OR($W468="",$W468=6),"",CHOOSE($W468,"1st Email Follow-up","2nd Email Follow-up","Escalate Local Office","Escalate to CBE","Escalate to Roxanne"))</f>
        <v/>
      </c>
    </row>
    <row r="469" spans="18:26">
      <c r="R469" s="15"/>
      <c r="S469" s="16"/>
      <c r="T469" s="17">
        <f>IF(AND(COUNTA($A469:$K469)=0,$L469=""),"",IF($S469="Paid","PAID",IF($S469="Closed","CLOSED",IF($W469="","",IF($W469=6,"ESCALATED TO ROXANNE",IF(TODAY()&gt;$Y469,"OVERDUE",IF($Y469&lt;=WORKDAY(TODAY(),1,Holidays),"DUE TOMORROW",IF($W469=4,"ESCALATED TO LOCAL OFFICE",IF($W469=5,"ESCALATED TO CBE",IF($X469=TODAY(),"EMAIL SENT","MONITORING"))))))))))</f>
        <v/>
      </c>
      <c r="U469" s="17">
        <f>IF($T469="",IF(AND(COUNTA($A469:$K469)&gt;0,$L469=""),"Awaiting Collection Email time stamp.",""),IF(OR($T469="PAID",$T469="CLOSED"),IF($T469="PAID","Account paid. Action completed.","Account closed. No further action required."),CHOOSE($W469,"Collection Email","1st Email Follow-up","2nd Email Follow-up","Escalation to Local Office","Escalation to CBE","Escalation to Roxanne")&amp;" sent "&amp;TEXT($X469,"dd-mmm")&amp;". "&amp;IF($W469=6,"Final escalation completed.",IF($T469="OVERDUE","Next: "&amp;$Z469&amp;" was due "&amp;TEXT($Y469,"dd-mmm")&amp;" - "&amp;(NETWORKDAYS($Y469,TODAY(),Holidays)-1)&amp;" business day(s) late. Send now.",IF($T469="DUE TOMORROW","Next: "&amp;$Z469&amp;IF($Y469&lt;=TODAY()," is due TODAY ("," is due next business day (")&amp;TEXT($Y469,"dd-mmm")&amp;").","Next: "&amp;$Z469&amp;" due "&amp;TEXT($Y469,"dd-mmm")&amp;" ("&amp;(NETWORKDAYS(TODAY(),$Y469,Holidays)-1)&amp;" business day(s) left).")))))</f>
        <v/>
      </c>
      <c r="V469" s="17">
        <f>IF($W469="","",CHOOSE($W469,"Collection Email","1st Follow-up","2nd Follow-up","Local Office","CBE","Roxanne")&amp;IF($W469=6," - Final"," - Day "&amp;MAX(0,NETWORKDAYS($X469,TODAY(),Holidays)-1)&amp;" of "&amp;CHOOSE($W469,3,3,2,2,3))&amp;" | Total Day "&amp;MAX(0,NETWORKDAYS($L469,TODAY(),Holidays)-1))</f>
        <v/>
      </c>
      <c r="W469" s="17">
        <f>IF($L469="","",COUNT($L469:$Q469))</f>
        <v/>
      </c>
      <c r="X469" s="18">
        <f>IF($W469="","",INT(INDEX($L469:$Q469,$W469)))</f>
        <v/>
      </c>
      <c r="Y469" s="18">
        <f>IF(OR($W469="",$W469=6),"",WORKDAY($X469,CHOOSE($W469,3,3,2,2,3),Holidays))</f>
        <v/>
      </c>
      <c r="Z469" s="17">
        <f>IF(OR($W469="",$W469=6),"",CHOOSE($W469,"1st Email Follow-up","2nd Email Follow-up","Escalate Local Office","Escalate to CBE","Escalate to Roxanne"))</f>
        <v/>
      </c>
    </row>
    <row r="470" spans="18:26">
      <c r="R470" s="15"/>
      <c r="S470" s="16"/>
      <c r="T470" s="17">
        <f>IF(AND(COUNTA($A470:$K470)=0,$L470=""),"",IF($S470="Paid","PAID",IF($S470="Closed","CLOSED",IF($W470="","",IF($W470=6,"ESCALATED TO ROXANNE",IF(TODAY()&gt;$Y470,"OVERDUE",IF($Y470&lt;=WORKDAY(TODAY(),1,Holidays),"DUE TOMORROW",IF($W470=4,"ESCALATED TO LOCAL OFFICE",IF($W470=5,"ESCALATED TO CBE",IF($X470=TODAY(),"EMAIL SENT","MONITORING"))))))))))</f>
        <v/>
      </c>
      <c r="U470" s="17">
        <f>IF($T470="",IF(AND(COUNTA($A470:$K470)&gt;0,$L470=""),"Awaiting Collection Email time stamp.",""),IF(OR($T470="PAID",$T470="CLOSED"),IF($T470="PAID","Account paid. Action completed.","Account closed. No further action required."),CHOOSE($W470,"Collection Email","1st Email Follow-up","2nd Email Follow-up","Escalation to Local Office","Escalation to CBE","Escalation to Roxanne")&amp;" sent "&amp;TEXT($X470,"dd-mmm")&amp;". "&amp;IF($W470=6,"Final escalation completed.",IF($T470="OVERDUE","Next: "&amp;$Z470&amp;" was due "&amp;TEXT($Y470,"dd-mmm")&amp;" - "&amp;(NETWORKDAYS($Y470,TODAY(),Holidays)-1)&amp;" business day(s) late. Send now.",IF($T470="DUE TOMORROW","Next: "&amp;$Z470&amp;IF($Y470&lt;=TODAY()," is due TODAY ("," is due next business day (")&amp;TEXT($Y470,"dd-mmm")&amp;").","Next: "&amp;$Z470&amp;" due "&amp;TEXT($Y470,"dd-mmm")&amp;" ("&amp;(NETWORKDAYS(TODAY(),$Y470,Holidays)-1)&amp;" business day(s) left).")))))</f>
        <v/>
      </c>
      <c r="V470" s="17">
        <f>IF($W470="","",CHOOSE($W470,"Collection Email","1st Follow-up","2nd Follow-up","Local Office","CBE","Roxanne")&amp;IF($W470=6," - Final"," - Day "&amp;MAX(0,NETWORKDAYS($X470,TODAY(),Holidays)-1)&amp;" of "&amp;CHOOSE($W470,3,3,2,2,3))&amp;" | Total Day "&amp;MAX(0,NETWORKDAYS($L470,TODAY(),Holidays)-1))</f>
        <v/>
      </c>
      <c r="W470" s="17">
        <f>IF($L470="","",COUNT($L470:$Q470))</f>
        <v/>
      </c>
      <c r="X470" s="18">
        <f>IF($W470="","",INT(INDEX($L470:$Q470,$W470)))</f>
        <v/>
      </c>
      <c r="Y470" s="18">
        <f>IF(OR($W470="",$W470=6),"",WORKDAY($X470,CHOOSE($W470,3,3,2,2,3),Holidays))</f>
        <v/>
      </c>
      <c r="Z470" s="17">
        <f>IF(OR($W470="",$W470=6),"",CHOOSE($W470,"1st Email Follow-up","2nd Email Follow-up","Escalate Local Office","Escalate to CBE","Escalate to Roxanne"))</f>
        <v/>
      </c>
    </row>
    <row r="471" spans="18:26">
      <c r="R471" s="15"/>
      <c r="S471" s="16"/>
      <c r="T471" s="17">
        <f>IF(AND(COUNTA($A471:$K471)=0,$L471=""),"",IF($S471="Paid","PAID",IF($S471="Closed","CLOSED",IF($W471="","",IF($W471=6,"ESCALATED TO ROXANNE",IF(TODAY()&gt;$Y471,"OVERDUE",IF($Y471&lt;=WORKDAY(TODAY(),1,Holidays),"DUE TOMORROW",IF($W471=4,"ESCALATED TO LOCAL OFFICE",IF($W471=5,"ESCALATED TO CBE",IF($X471=TODAY(),"EMAIL SENT","MONITORING"))))))))))</f>
        <v/>
      </c>
      <c r="U471" s="17">
        <f>IF($T471="",IF(AND(COUNTA($A471:$K471)&gt;0,$L471=""),"Awaiting Collection Email time stamp.",""),IF(OR($T471="PAID",$T471="CLOSED"),IF($T471="PAID","Account paid. Action completed.","Account closed. No further action required."),CHOOSE($W471,"Collection Email","1st Email Follow-up","2nd Email Follow-up","Escalation to Local Office","Escalation to CBE","Escalation to Roxanne")&amp;" sent "&amp;TEXT($X471,"dd-mmm")&amp;". "&amp;IF($W471=6,"Final escalation completed.",IF($T471="OVERDUE","Next: "&amp;$Z471&amp;" was due "&amp;TEXT($Y471,"dd-mmm")&amp;" - "&amp;(NETWORKDAYS($Y471,TODAY(),Holidays)-1)&amp;" business day(s) late. Send now.",IF($T471="DUE TOMORROW","Next: "&amp;$Z471&amp;IF($Y471&lt;=TODAY()," is due TODAY ("," is due next business day (")&amp;TEXT($Y471,"dd-mmm")&amp;").","Next: "&amp;$Z471&amp;" due "&amp;TEXT($Y471,"dd-mmm")&amp;" ("&amp;(NETWORKDAYS(TODAY(),$Y471,Holidays)-1)&amp;" business day(s) left).")))))</f>
        <v/>
      </c>
      <c r="V471" s="17">
        <f>IF($W471="","",CHOOSE($W471,"Collection Email","1st Follow-up","2nd Follow-up","Local Office","CBE","Roxanne")&amp;IF($W471=6," - Final"," - Day "&amp;MAX(0,NETWORKDAYS($X471,TODAY(),Holidays)-1)&amp;" of "&amp;CHOOSE($W471,3,3,2,2,3))&amp;" | Total Day "&amp;MAX(0,NETWORKDAYS($L471,TODAY(),Holidays)-1))</f>
        <v/>
      </c>
      <c r="W471" s="17">
        <f>IF($L471="","",COUNT($L471:$Q471))</f>
        <v/>
      </c>
      <c r="X471" s="18">
        <f>IF($W471="","",INT(INDEX($L471:$Q471,$W471)))</f>
        <v/>
      </c>
      <c r="Y471" s="18">
        <f>IF(OR($W471="",$W471=6),"",WORKDAY($X471,CHOOSE($W471,3,3,2,2,3),Holidays))</f>
        <v/>
      </c>
      <c r="Z471" s="17">
        <f>IF(OR($W471="",$W471=6),"",CHOOSE($W471,"1st Email Follow-up","2nd Email Follow-up","Escalate Local Office","Escalate to CBE","Escalate to Roxanne"))</f>
        <v/>
      </c>
    </row>
    <row r="472" spans="18:26">
      <c r="R472" s="15"/>
      <c r="S472" s="16"/>
      <c r="T472" s="17">
        <f>IF(AND(COUNTA($A472:$K472)=0,$L472=""),"",IF($S472="Paid","PAID",IF($S472="Closed","CLOSED",IF($W472="","",IF($W472=6,"ESCALATED TO ROXANNE",IF(TODAY()&gt;$Y472,"OVERDUE",IF($Y472&lt;=WORKDAY(TODAY(),1,Holidays),"DUE TOMORROW",IF($W472=4,"ESCALATED TO LOCAL OFFICE",IF($W472=5,"ESCALATED TO CBE",IF($X472=TODAY(),"EMAIL SENT","MONITORING"))))))))))</f>
        <v/>
      </c>
      <c r="U472" s="17">
        <f>IF($T472="",IF(AND(COUNTA($A472:$K472)&gt;0,$L472=""),"Awaiting Collection Email time stamp.",""),IF(OR($T472="PAID",$T472="CLOSED"),IF($T472="PAID","Account paid. Action completed.","Account closed. No further action required."),CHOOSE($W472,"Collection Email","1st Email Follow-up","2nd Email Follow-up","Escalation to Local Office","Escalation to CBE","Escalation to Roxanne")&amp;" sent "&amp;TEXT($X472,"dd-mmm")&amp;". "&amp;IF($W472=6,"Final escalation completed.",IF($T472="OVERDUE","Next: "&amp;$Z472&amp;" was due "&amp;TEXT($Y472,"dd-mmm")&amp;" - "&amp;(NETWORKDAYS($Y472,TODAY(),Holidays)-1)&amp;" business day(s) late. Send now.",IF($T472="DUE TOMORROW","Next: "&amp;$Z472&amp;IF($Y472&lt;=TODAY()," is due TODAY ("," is due next business day (")&amp;TEXT($Y472,"dd-mmm")&amp;").","Next: "&amp;$Z472&amp;" due "&amp;TEXT($Y472,"dd-mmm")&amp;" ("&amp;(NETWORKDAYS(TODAY(),$Y472,Holidays)-1)&amp;" business day(s) left).")))))</f>
        <v/>
      </c>
      <c r="V472" s="17">
        <f>IF($W472="","",CHOOSE($W472,"Collection Email","1st Follow-up","2nd Follow-up","Local Office","CBE","Roxanne")&amp;IF($W472=6," - Final"," - Day "&amp;MAX(0,NETWORKDAYS($X472,TODAY(),Holidays)-1)&amp;" of "&amp;CHOOSE($W472,3,3,2,2,3))&amp;" | Total Day "&amp;MAX(0,NETWORKDAYS($L472,TODAY(),Holidays)-1))</f>
        <v/>
      </c>
      <c r="W472" s="17">
        <f>IF($L472="","",COUNT($L472:$Q472))</f>
        <v/>
      </c>
      <c r="X472" s="18">
        <f>IF($W472="","",INT(INDEX($L472:$Q472,$W472)))</f>
        <v/>
      </c>
      <c r="Y472" s="18">
        <f>IF(OR($W472="",$W472=6),"",WORKDAY($X472,CHOOSE($W472,3,3,2,2,3),Holidays))</f>
        <v/>
      </c>
      <c r="Z472" s="17">
        <f>IF(OR($W472="",$W472=6),"",CHOOSE($W472,"1st Email Follow-up","2nd Email Follow-up","Escalate Local Office","Escalate to CBE","Escalate to Roxanne"))</f>
        <v/>
      </c>
    </row>
    <row r="473" spans="18:26">
      <c r="R473" s="15"/>
      <c r="S473" s="16"/>
      <c r="T473" s="17">
        <f>IF(AND(COUNTA($A473:$K473)=0,$L473=""),"",IF($S473="Paid","PAID",IF($S473="Closed","CLOSED",IF($W473="","",IF($W473=6,"ESCALATED TO ROXANNE",IF(TODAY()&gt;$Y473,"OVERDUE",IF($Y473&lt;=WORKDAY(TODAY(),1,Holidays),"DUE TOMORROW",IF($W473=4,"ESCALATED TO LOCAL OFFICE",IF($W473=5,"ESCALATED TO CBE",IF($X473=TODAY(),"EMAIL SENT","MONITORING"))))))))))</f>
        <v/>
      </c>
      <c r="U473" s="17">
        <f>IF($T473="",IF(AND(COUNTA($A473:$K473)&gt;0,$L473=""),"Awaiting Collection Email time stamp.",""),IF(OR($T473="PAID",$T473="CLOSED"),IF($T473="PAID","Account paid. Action completed.","Account closed. No further action required."),CHOOSE($W473,"Collection Email","1st Email Follow-up","2nd Email Follow-up","Escalation to Local Office","Escalation to CBE","Escalation to Roxanne")&amp;" sent "&amp;TEXT($X473,"dd-mmm")&amp;". "&amp;IF($W473=6,"Final escalation completed.",IF($T473="OVERDUE","Next: "&amp;$Z473&amp;" was due "&amp;TEXT($Y473,"dd-mmm")&amp;" - "&amp;(NETWORKDAYS($Y473,TODAY(),Holidays)-1)&amp;" business day(s) late. Send now.",IF($T473="DUE TOMORROW","Next: "&amp;$Z473&amp;IF($Y473&lt;=TODAY()," is due TODAY ("," is due next business day (")&amp;TEXT($Y473,"dd-mmm")&amp;").","Next: "&amp;$Z473&amp;" due "&amp;TEXT($Y473,"dd-mmm")&amp;" ("&amp;(NETWORKDAYS(TODAY(),$Y473,Holidays)-1)&amp;" business day(s) left).")))))</f>
        <v/>
      </c>
      <c r="V473" s="17">
        <f>IF($W473="","",CHOOSE($W473,"Collection Email","1st Follow-up","2nd Follow-up","Local Office","CBE","Roxanne")&amp;IF($W473=6," - Final"," - Day "&amp;MAX(0,NETWORKDAYS($X473,TODAY(),Holidays)-1)&amp;" of "&amp;CHOOSE($W473,3,3,2,2,3))&amp;" | Total Day "&amp;MAX(0,NETWORKDAYS($L473,TODAY(),Holidays)-1))</f>
        <v/>
      </c>
      <c r="W473" s="17">
        <f>IF($L473="","",COUNT($L473:$Q473))</f>
        <v/>
      </c>
      <c r="X473" s="18">
        <f>IF($W473="","",INT(INDEX($L473:$Q473,$W473)))</f>
        <v/>
      </c>
      <c r="Y473" s="18">
        <f>IF(OR($W473="",$W473=6),"",WORKDAY($X473,CHOOSE($W473,3,3,2,2,3),Holidays))</f>
        <v/>
      </c>
      <c r="Z473" s="17">
        <f>IF(OR($W473="",$W473=6),"",CHOOSE($W473,"1st Email Follow-up","2nd Email Follow-up","Escalate Local Office","Escalate to CBE","Escalate to Roxanne"))</f>
        <v/>
      </c>
    </row>
    <row r="474" spans="18:26">
      <c r="R474" s="15"/>
      <c r="S474" s="16"/>
      <c r="T474" s="17">
        <f>IF(AND(COUNTA($A474:$K474)=0,$L474=""),"",IF($S474="Paid","PAID",IF($S474="Closed","CLOSED",IF($W474="","",IF($W474=6,"ESCALATED TO ROXANNE",IF(TODAY()&gt;$Y474,"OVERDUE",IF($Y474&lt;=WORKDAY(TODAY(),1,Holidays),"DUE TOMORROW",IF($W474=4,"ESCALATED TO LOCAL OFFICE",IF($W474=5,"ESCALATED TO CBE",IF($X474=TODAY(),"EMAIL SENT","MONITORING"))))))))))</f>
        <v/>
      </c>
      <c r="U474" s="17">
        <f>IF($T474="",IF(AND(COUNTA($A474:$K474)&gt;0,$L474=""),"Awaiting Collection Email time stamp.",""),IF(OR($T474="PAID",$T474="CLOSED"),IF($T474="PAID","Account paid. Action completed.","Account closed. No further action required."),CHOOSE($W474,"Collection Email","1st Email Follow-up","2nd Email Follow-up","Escalation to Local Office","Escalation to CBE","Escalation to Roxanne")&amp;" sent "&amp;TEXT($X474,"dd-mmm")&amp;". "&amp;IF($W474=6,"Final escalation completed.",IF($T474="OVERDUE","Next: "&amp;$Z474&amp;" was due "&amp;TEXT($Y474,"dd-mmm")&amp;" - "&amp;(NETWORKDAYS($Y474,TODAY(),Holidays)-1)&amp;" business day(s) late. Send now.",IF($T474="DUE TOMORROW","Next: "&amp;$Z474&amp;IF($Y474&lt;=TODAY()," is due TODAY ("," is due next business day (")&amp;TEXT($Y474,"dd-mmm")&amp;").","Next: "&amp;$Z474&amp;" due "&amp;TEXT($Y474,"dd-mmm")&amp;" ("&amp;(NETWORKDAYS(TODAY(),$Y474,Holidays)-1)&amp;" business day(s) left).")))))</f>
        <v/>
      </c>
      <c r="V474" s="17">
        <f>IF($W474="","",CHOOSE($W474,"Collection Email","1st Follow-up","2nd Follow-up","Local Office","CBE","Roxanne")&amp;IF($W474=6," - Final"," - Day "&amp;MAX(0,NETWORKDAYS($X474,TODAY(),Holidays)-1)&amp;" of "&amp;CHOOSE($W474,3,3,2,2,3))&amp;" | Total Day "&amp;MAX(0,NETWORKDAYS($L474,TODAY(),Holidays)-1))</f>
        <v/>
      </c>
      <c r="W474" s="17">
        <f>IF($L474="","",COUNT($L474:$Q474))</f>
        <v/>
      </c>
      <c r="X474" s="18">
        <f>IF($W474="","",INT(INDEX($L474:$Q474,$W474)))</f>
        <v/>
      </c>
      <c r="Y474" s="18">
        <f>IF(OR($W474="",$W474=6),"",WORKDAY($X474,CHOOSE($W474,3,3,2,2,3),Holidays))</f>
        <v/>
      </c>
      <c r="Z474" s="17">
        <f>IF(OR($W474="",$W474=6),"",CHOOSE($W474,"1st Email Follow-up","2nd Email Follow-up","Escalate Local Office","Escalate to CBE","Escalate to Roxanne"))</f>
        <v/>
      </c>
    </row>
    <row r="475" spans="18:26">
      <c r="R475" s="15"/>
      <c r="S475" s="16"/>
      <c r="T475" s="17">
        <f>IF(AND(COUNTA($A475:$K475)=0,$L475=""),"",IF($S475="Paid","PAID",IF($S475="Closed","CLOSED",IF($W475="","",IF($W475=6,"ESCALATED TO ROXANNE",IF(TODAY()&gt;$Y475,"OVERDUE",IF($Y475&lt;=WORKDAY(TODAY(),1,Holidays),"DUE TOMORROW",IF($W475=4,"ESCALATED TO LOCAL OFFICE",IF($W475=5,"ESCALATED TO CBE",IF($X475=TODAY(),"EMAIL SENT","MONITORING"))))))))))</f>
        <v/>
      </c>
      <c r="U475" s="17">
        <f>IF($T475="",IF(AND(COUNTA($A475:$K475)&gt;0,$L475=""),"Awaiting Collection Email time stamp.",""),IF(OR($T475="PAID",$T475="CLOSED"),IF($T475="PAID","Account paid. Action completed.","Account closed. No further action required."),CHOOSE($W475,"Collection Email","1st Email Follow-up","2nd Email Follow-up","Escalation to Local Office","Escalation to CBE","Escalation to Roxanne")&amp;" sent "&amp;TEXT($X475,"dd-mmm")&amp;". "&amp;IF($W475=6,"Final escalation completed.",IF($T475="OVERDUE","Next: "&amp;$Z475&amp;" was due "&amp;TEXT($Y475,"dd-mmm")&amp;" - "&amp;(NETWORKDAYS($Y475,TODAY(),Holidays)-1)&amp;" business day(s) late. Send now.",IF($T475="DUE TOMORROW","Next: "&amp;$Z475&amp;IF($Y475&lt;=TODAY()," is due TODAY ("," is due next business day (")&amp;TEXT($Y475,"dd-mmm")&amp;").","Next: "&amp;$Z475&amp;" due "&amp;TEXT($Y475,"dd-mmm")&amp;" ("&amp;(NETWORKDAYS(TODAY(),$Y475,Holidays)-1)&amp;" business day(s) left).")))))</f>
        <v/>
      </c>
      <c r="V475" s="17">
        <f>IF($W475="","",CHOOSE($W475,"Collection Email","1st Follow-up","2nd Follow-up","Local Office","CBE","Roxanne")&amp;IF($W475=6," - Final"," - Day "&amp;MAX(0,NETWORKDAYS($X475,TODAY(),Holidays)-1)&amp;" of "&amp;CHOOSE($W475,3,3,2,2,3))&amp;" | Total Day "&amp;MAX(0,NETWORKDAYS($L475,TODAY(),Holidays)-1))</f>
        <v/>
      </c>
      <c r="W475" s="17">
        <f>IF($L475="","",COUNT($L475:$Q475))</f>
        <v/>
      </c>
      <c r="X475" s="18">
        <f>IF($W475="","",INT(INDEX($L475:$Q475,$W475)))</f>
        <v/>
      </c>
      <c r="Y475" s="18">
        <f>IF(OR($W475="",$W475=6),"",WORKDAY($X475,CHOOSE($W475,3,3,2,2,3),Holidays))</f>
        <v/>
      </c>
      <c r="Z475" s="17">
        <f>IF(OR($W475="",$W475=6),"",CHOOSE($W475,"1st Email Follow-up","2nd Email Follow-up","Escalate Local Office","Escalate to CBE","Escalate to Roxanne"))</f>
        <v/>
      </c>
    </row>
    <row r="476" spans="18:26">
      <c r="R476" s="15"/>
      <c r="S476" s="16"/>
      <c r="T476" s="17">
        <f>IF(AND(COUNTA($A476:$K476)=0,$L476=""),"",IF($S476="Paid","PAID",IF($S476="Closed","CLOSED",IF($W476="","",IF($W476=6,"ESCALATED TO ROXANNE",IF(TODAY()&gt;$Y476,"OVERDUE",IF($Y476&lt;=WORKDAY(TODAY(),1,Holidays),"DUE TOMORROW",IF($W476=4,"ESCALATED TO LOCAL OFFICE",IF($W476=5,"ESCALATED TO CBE",IF($X476=TODAY(),"EMAIL SENT","MONITORING"))))))))))</f>
        <v/>
      </c>
      <c r="U476" s="17">
        <f>IF($T476="",IF(AND(COUNTA($A476:$K476)&gt;0,$L476=""),"Awaiting Collection Email time stamp.",""),IF(OR($T476="PAID",$T476="CLOSED"),IF($T476="PAID","Account paid. Action completed.","Account closed. No further action required."),CHOOSE($W476,"Collection Email","1st Email Follow-up","2nd Email Follow-up","Escalation to Local Office","Escalation to CBE","Escalation to Roxanne")&amp;" sent "&amp;TEXT($X476,"dd-mmm")&amp;". "&amp;IF($W476=6,"Final escalation completed.",IF($T476="OVERDUE","Next: "&amp;$Z476&amp;" was due "&amp;TEXT($Y476,"dd-mmm")&amp;" - "&amp;(NETWORKDAYS($Y476,TODAY(),Holidays)-1)&amp;" business day(s) late. Send now.",IF($T476="DUE TOMORROW","Next: "&amp;$Z476&amp;IF($Y476&lt;=TODAY()," is due TODAY ("," is due next business day (")&amp;TEXT($Y476,"dd-mmm")&amp;").","Next: "&amp;$Z476&amp;" due "&amp;TEXT($Y476,"dd-mmm")&amp;" ("&amp;(NETWORKDAYS(TODAY(),$Y476,Holidays)-1)&amp;" business day(s) left).")))))</f>
        <v/>
      </c>
      <c r="V476" s="17">
        <f>IF($W476="","",CHOOSE($W476,"Collection Email","1st Follow-up","2nd Follow-up","Local Office","CBE","Roxanne")&amp;IF($W476=6," - Final"," - Day "&amp;MAX(0,NETWORKDAYS($X476,TODAY(),Holidays)-1)&amp;" of "&amp;CHOOSE($W476,3,3,2,2,3))&amp;" | Total Day "&amp;MAX(0,NETWORKDAYS($L476,TODAY(),Holidays)-1))</f>
        <v/>
      </c>
      <c r="W476" s="17">
        <f>IF($L476="","",COUNT($L476:$Q476))</f>
        <v/>
      </c>
      <c r="X476" s="18">
        <f>IF($W476="","",INT(INDEX($L476:$Q476,$W476)))</f>
        <v/>
      </c>
      <c r="Y476" s="18">
        <f>IF(OR($W476="",$W476=6),"",WORKDAY($X476,CHOOSE($W476,3,3,2,2,3),Holidays))</f>
        <v/>
      </c>
      <c r="Z476" s="17">
        <f>IF(OR($W476="",$W476=6),"",CHOOSE($W476,"1st Email Follow-up","2nd Email Follow-up","Escalate Local Office","Escalate to CBE","Escalate to Roxanne"))</f>
        <v/>
      </c>
    </row>
    <row r="477" spans="18:26">
      <c r="R477" s="15"/>
      <c r="S477" s="16"/>
      <c r="T477" s="17">
        <f>IF(AND(COUNTA($A477:$K477)=0,$L477=""),"",IF($S477="Paid","PAID",IF($S477="Closed","CLOSED",IF($W477="","",IF($W477=6,"ESCALATED TO ROXANNE",IF(TODAY()&gt;$Y477,"OVERDUE",IF($Y477&lt;=WORKDAY(TODAY(),1,Holidays),"DUE TOMORROW",IF($W477=4,"ESCALATED TO LOCAL OFFICE",IF($W477=5,"ESCALATED TO CBE",IF($X477=TODAY(),"EMAIL SENT","MONITORING"))))))))))</f>
        <v/>
      </c>
      <c r="U477" s="17">
        <f>IF($T477="",IF(AND(COUNTA($A477:$K477)&gt;0,$L477=""),"Awaiting Collection Email time stamp.",""),IF(OR($T477="PAID",$T477="CLOSED"),IF($T477="PAID","Account paid. Action completed.","Account closed. No further action required."),CHOOSE($W477,"Collection Email","1st Email Follow-up","2nd Email Follow-up","Escalation to Local Office","Escalation to CBE","Escalation to Roxanne")&amp;" sent "&amp;TEXT($X477,"dd-mmm")&amp;". "&amp;IF($W477=6,"Final escalation completed.",IF($T477="OVERDUE","Next: "&amp;$Z477&amp;" was due "&amp;TEXT($Y477,"dd-mmm")&amp;" - "&amp;(NETWORKDAYS($Y477,TODAY(),Holidays)-1)&amp;" business day(s) late. Send now.",IF($T477="DUE TOMORROW","Next: "&amp;$Z477&amp;IF($Y477&lt;=TODAY()," is due TODAY ("," is due next business day (")&amp;TEXT($Y477,"dd-mmm")&amp;").","Next: "&amp;$Z477&amp;" due "&amp;TEXT($Y477,"dd-mmm")&amp;" ("&amp;(NETWORKDAYS(TODAY(),$Y477,Holidays)-1)&amp;" business day(s) left).")))))</f>
        <v/>
      </c>
      <c r="V477" s="17">
        <f>IF($W477="","",CHOOSE($W477,"Collection Email","1st Follow-up","2nd Follow-up","Local Office","CBE","Roxanne")&amp;IF($W477=6," - Final"," - Day "&amp;MAX(0,NETWORKDAYS($X477,TODAY(),Holidays)-1)&amp;" of "&amp;CHOOSE($W477,3,3,2,2,3))&amp;" | Total Day "&amp;MAX(0,NETWORKDAYS($L477,TODAY(),Holidays)-1))</f>
        <v/>
      </c>
      <c r="W477" s="17">
        <f>IF($L477="","",COUNT($L477:$Q477))</f>
        <v/>
      </c>
      <c r="X477" s="18">
        <f>IF($W477="","",INT(INDEX($L477:$Q477,$W477)))</f>
        <v/>
      </c>
      <c r="Y477" s="18">
        <f>IF(OR($W477="",$W477=6),"",WORKDAY($X477,CHOOSE($W477,3,3,2,2,3),Holidays))</f>
        <v/>
      </c>
      <c r="Z477" s="17">
        <f>IF(OR($W477="",$W477=6),"",CHOOSE($W477,"1st Email Follow-up","2nd Email Follow-up","Escalate Local Office","Escalate to CBE","Escalate to Roxanne"))</f>
        <v/>
      </c>
    </row>
    <row r="478" spans="18:26">
      <c r="R478" s="15"/>
      <c r="S478" s="16"/>
      <c r="T478" s="17">
        <f>IF(AND(COUNTA($A478:$K478)=0,$L478=""),"",IF($S478="Paid","PAID",IF($S478="Closed","CLOSED",IF($W478="","",IF($W478=6,"ESCALATED TO ROXANNE",IF(TODAY()&gt;$Y478,"OVERDUE",IF($Y478&lt;=WORKDAY(TODAY(),1,Holidays),"DUE TOMORROW",IF($W478=4,"ESCALATED TO LOCAL OFFICE",IF($W478=5,"ESCALATED TO CBE",IF($X478=TODAY(),"EMAIL SENT","MONITORING"))))))))))</f>
        <v/>
      </c>
      <c r="U478" s="17">
        <f>IF($T478="",IF(AND(COUNTA($A478:$K478)&gt;0,$L478=""),"Awaiting Collection Email time stamp.",""),IF(OR($T478="PAID",$T478="CLOSED"),IF($T478="PAID","Account paid. Action completed.","Account closed. No further action required."),CHOOSE($W478,"Collection Email","1st Email Follow-up","2nd Email Follow-up","Escalation to Local Office","Escalation to CBE","Escalation to Roxanne")&amp;" sent "&amp;TEXT($X478,"dd-mmm")&amp;". "&amp;IF($W478=6,"Final escalation completed.",IF($T478="OVERDUE","Next: "&amp;$Z478&amp;" was due "&amp;TEXT($Y478,"dd-mmm")&amp;" - "&amp;(NETWORKDAYS($Y478,TODAY(),Holidays)-1)&amp;" business day(s) late. Send now.",IF($T478="DUE TOMORROW","Next: "&amp;$Z478&amp;IF($Y478&lt;=TODAY()," is due TODAY ("," is due next business day (")&amp;TEXT($Y478,"dd-mmm")&amp;").","Next: "&amp;$Z478&amp;" due "&amp;TEXT($Y478,"dd-mmm")&amp;" ("&amp;(NETWORKDAYS(TODAY(),$Y478,Holidays)-1)&amp;" business day(s) left).")))))</f>
        <v/>
      </c>
      <c r="V478" s="17">
        <f>IF($W478="","",CHOOSE($W478,"Collection Email","1st Follow-up","2nd Follow-up","Local Office","CBE","Roxanne")&amp;IF($W478=6," - Final"," - Day "&amp;MAX(0,NETWORKDAYS($X478,TODAY(),Holidays)-1)&amp;" of "&amp;CHOOSE($W478,3,3,2,2,3))&amp;" | Total Day "&amp;MAX(0,NETWORKDAYS($L478,TODAY(),Holidays)-1))</f>
        <v/>
      </c>
      <c r="W478" s="17">
        <f>IF($L478="","",COUNT($L478:$Q478))</f>
        <v/>
      </c>
      <c r="X478" s="18">
        <f>IF($W478="","",INT(INDEX($L478:$Q478,$W478)))</f>
        <v/>
      </c>
      <c r="Y478" s="18">
        <f>IF(OR($W478="",$W478=6),"",WORKDAY($X478,CHOOSE($W478,3,3,2,2,3),Holidays))</f>
        <v/>
      </c>
      <c r="Z478" s="17">
        <f>IF(OR($W478="",$W478=6),"",CHOOSE($W478,"1st Email Follow-up","2nd Email Follow-up","Escalate Local Office","Escalate to CBE","Escalate to Roxanne"))</f>
        <v/>
      </c>
    </row>
    <row r="479" spans="18:26">
      <c r="R479" s="15"/>
      <c r="S479" s="16"/>
      <c r="T479" s="17">
        <f>IF(AND(COUNTA($A479:$K479)=0,$L479=""),"",IF($S479="Paid","PAID",IF($S479="Closed","CLOSED",IF($W479="","",IF($W479=6,"ESCALATED TO ROXANNE",IF(TODAY()&gt;$Y479,"OVERDUE",IF($Y479&lt;=WORKDAY(TODAY(),1,Holidays),"DUE TOMORROW",IF($W479=4,"ESCALATED TO LOCAL OFFICE",IF($W479=5,"ESCALATED TO CBE",IF($X479=TODAY(),"EMAIL SENT","MONITORING"))))))))))</f>
        <v/>
      </c>
      <c r="U479" s="17">
        <f>IF($T479="",IF(AND(COUNTA($A479:$K479)&gt;0,$L479=""),"Awaiting Collection Email time stamp.",""),IF(OR($T479="PAID",$T479="CLOSED"),IF($T479="PAID","Account paid. Action completed.","Account closed. No further action required."),CHOOSE($W479,"Collection Email","1st Email Follow-up","2nd Email Follow-up","Escalation to Local Office","Escalation to CBE","Escalation to Roxanne")&amp;" sent "&amp;TEXT($X479,"dd-mmm")&amp;". "&amp;IF($W479=6,"Final escalation completed.",IF($T479="OVERDUE","Next: "&amp;$Z479&amp;" was due "&amp;TEXT($Y479,"dd-mmm")&amp;" - "&amp;(NETWORKDAYS($Y479,TODAY(),Holidays)-1)&amp;" business day(s) late. Send now.",IF($T479="DUE TOMORROW","Next: "&amp;$Z479&amp;IF($Y479&lt;=TODAY()," is due TODAY ("," is due next business day (")&amp;TEXT($Y479,"dd-mmm")&amp;").","Next: "&amp;$Z479&amp;" due "&amp;TEXT($Y479,"dd-mmm")&amp;" ("&amp;(NETWORKDAYS(TODAY(),$Y479,Holidays)-1)&amp;" business day(s) left).")))))</f>
        <v/>
      </c>
      <c r="V479" s="17">
        <f>IF($W479="","",CHOOSE($W479,"Collection Email","1st Follow-up","2nd Follow-up","Local Office","CBE","Roxanne")&amp;IF($W479=6," - Final"," - Day "&amp;MAX(0,NETWORKDAYS($X479,TODAY(),Holidays)-1)&amp;" of "&amp;CHOOSE($W479,3,3,2,2,3))&amp;" | Total Day "&amp;MAX(0,NETWORKDAYS($L479,TODAY(),Holidays)-1))</f>
        <v/>
      </c>
      <c r="W479" s="17">
        <f>IF($L479="","",COUNT($L479:$Q479))</f>
        <v/>
      </c>
      <c r="X479" s="18">
        <f>IF($W479="","",INT(INDEX($L479:$Q479,$W479)))</f>
        <v/>
      </c>
      <c r="Y479" s="18">
        <f>IF(OR($W479="",$W479=6),"",WORKDAY($X479,CHOOSE($W479,3,3,2,2,3),Holidays))</f>
        <v/>
      </c>
      <c r="Z479" s="17">
        <f>IF(OR($W479="",$W479=6),"",CHOOSE($W479,"1st Email Follow-up","2nd Email Follow-up","Escalate Local Office","Escalate to CBE","Escalate to Roxanne"))</f>
        <v/>
      </c>
    </row>
    <row r="480" spans="18:26">
      <c r="R480" s="15"/>
      <c r="S480" s="16"/>
      <c r="T480" s="17">
        <f>IF(AND(COUNTA($A480:$K480)=0,$L480=""),"",IF($S480="Paid","PAID",IF($S480="Closed","CLOSED",IF($W480="","",IF($W480=6,"ESCALATED TO ROXANNE",IF(TODAY()&gt;$Y480,"OVERDUE",IF($Y480&lt;=WORKDAY(TODAY(),1,Holidays),"DUE TOMORROW",IF($W480=4,"ESCALATED TO LOCAL OFFICE",IF($W480=5,"ESCALATED TO CBE",IF($X480=TODAY(),"EMAIL SENT","MONITORING"))))))))))</f>
        <v/>
      </c>
      <c r="U480" s="17">
        <f>IF($T480="",IF(AND(COUNTA($A480:$K480)&gt;0,$L480=""),"Awaiting Collection Email time stamp.",""),IF(OR($T480="PAID",$T480="CLOSED"),IF($T480="PAID","Account paid. Action completed.","Account closed. No further action required."),CHOOSE($W480,"Collection Email","1st Email Follow-up","2nd Email Follow-up","Escalation to Local Office","Escalation to CBE","Escalation to Roxanne")&amp;" sent "&amp;TEXT($X480,"dd-mmm")&amp;". "&amp;IF($W480=6,"Final escalation completed.",IF($T480="OVERDUE","Next: "&amp;$Z480&amp;" was due "&amp;TEXT($Y480,"dd-mmm")&amp;" - "&amp;(NETWORKDAYS($Y480,TODAY(),Holidays)-1)&amp;" business day(s) late. Send now.",IF($T480="DUE TOMORROW","Next: "&amp;$Z480&amp;IF($Y480&lt;=TODAY()," is due TODAY ("," is due next business day (")&amp;TEXT($Y480,"dd-mmm")&amp;").","Next: "&amp;$Z480&amp;" due "&amp;TEXT($Y480,"dd-mmm")&amp;" ("&amp;(NETWORKDAYS(TODAY(),$Y480,Holidays)-1)&amp;" business day(s) left).")))))</f>
        <v/>
      </c>
      <c r="V480" s="17">
        <f>IF($W480="","",CHOOSE($W480,"Collection Email","1st Follow-up","2nd Follow-up","Local Office","CBE","Roxanne")&amp;IF($W480=6," - Final"," - Day "&amp;MAX(0,NETWORKDAYS($X480,TODAY(),Holidays)-1)&amp;" of "&amp;CHOOSE($W480,3,3,2,2,3))&amp;" | Total Day "&amp;MAX(0,NETWORKDAYS($L480,TODAY(),Holidays)-1))</f>
        <v/>
      </c>
      <c r="W480" s="17">
        <f>IF($L480="","",COUNT($L480:$Q480))</f>
        <v/>
      </c>
      <c r="X480" s="18">
        <f>IF($W480="","",INT(INDEX($L480:$Q480,$W480)))</f>
        <v/>
      </c>
      <c r="Y480" s="18">
        <f>IF(OR($W480="",$W480=6),"",WORKDAY($X480,CHOOSE($W480,3,3,2,2,3),Holidays))</f>
        <v/>
      </c>
      <c r="Z480" s="17">
        <f>IF(OR($W480="",$W480=6),"",CHOOSE($W480,"1st Email Follow-up","2nd Email Follow-up","Escalate Local Office","Escalate to CBE","Escalate to Roxanne"))</f>
        <v/>
      </c>
    </row>
    <row r="481" spans="18:26">
      <c r="R481" s="15"/>
      <c r="S481" s="16"/>
      <c r="T481" s="17">
        <f>IF(AND(COUNTA($A481:$K481)=0,$L481=""),"",IF($S481="Paid","PAID",IF($S481="Closed","CLOSED",IF($W481="","",IF($W481=6,"ESCALATED TO ROXANNE",IF(TODAY()&gt;$Y481,"OVERDUE",IF($Y481&lt;=WORKDAY(TODAY(),1,Holidays),"DUE TOMORROW",IF($W481=4,"ESCALATED TO LOCAL OFFICE",IF($W481=5,"ESCALATED TO CBE",IF($X481=TODAY(),"EMAIL SENT","MONITORING"))))))))))</f>
        <v/>
      </c>
      <c r="U481" s="17">
        <f>IF($T481="",IF(AND(COUNTA($A481:$K481)&gt;0,$L481=""),"Awaiting Collection Email time stamp.",""),IF(OR($T481="PAID",$T481="CLOSED"),IF($T481="PAID","Account paid. Action completed.","Account closed. No further action required."),CHOOSE($W481,"Collection Email","1st Email Follow-up","2nd Email Follow-up","Escalation to Local Office","Escalation to CBE","Escalation to Roxanne")&amp;" sent "&amp;TEXT($X481,"dd-mmm")&amp;". "&amp;IF($W481=6,"Final escalation completed.",IF($T481="OVERDUE","Next: "&amp;$Z481&amp;" was due "&amp;TEXT($Y481,"dd-mmm")&amp;" - "&amp;(NETWORKDAYS($Y481,TODAY(),Holidays)-1)&amp;" business day(s) late. Send now.",IF($T481="DUE TOMORROW","Next: "&amp;$Z481&amp;IF($Y481&lt;=TODAY()," is due TODAY ("," is due next business day (")&amp;TEXT($Y481,"dd-mmm")&amp;").","Next: "&amp;$Z481&amp;" due "&amp;TEXT($Y481,"dd-mmm")&amp;" ("&amp;(NETWORKDAYS(TODAY(),$Y481,Holidays)-1)&amp;" business day(s) left).")))))</f>
        <v/>
      </c>
      <c r="V481" s="17">
        <f>IF($W481="","",CHOOSE($W481,"Collection Email","1st Follow-up","2nd Follow-up","Local Office","CBE","Roxanne")&amp;IF($W481=6," - Final"," - Day "&amp;MAX(0,NETWORKDAYS($X481,TODAY(),Holidays)-1)&amp;" of "&amp;CHOOSE($W481,3,3,2,2,3))&amp;" | Total Day "&amp;MAX(0,NETWORKDAYS($L481,TODAY(),Holidays)-1))</f>
        <v/>
      </c>
      <c r="W481" s="17">
        <f>IF($L481="","",COUNT($L481:$Q481))</f>
        <v/>
      </c>
      <c r="X481" s="18">
        <f>IF($W481="","",INT(INDEX($L481:$Q481,$W481)))</f>
        <v/>
      </c>
      <c r="Y481" s="18">
        <f>IF(OR($W481="",$W481=6),"",WORKDAY($X481,CHOOSE($W481,3,3,2,2,3),Holidays))</f>
        <v/>
      </c>
      <c r="Z481" s="17">
        <f>IF(OR($W481="",$W481=6),"",CHOOSE($W481,"1st Email Follow-up","2nd Email Follow-up","Escalate Local Office","Escalate to CBE","Escalate to Roxanne"))</f>
        <v/>
      </c>
    </row>
    <row r="482" spans="18:26">
      <c r="R482" s="15"/>
      <c r="S482" s="16"/>
      <c r="T482" s="17">
        <f>IF(AND(COUNTA($A482:$K482)=0,$L482=""),"",IF($S482="Paid","PAID",IF($S482="Closed","CLOSED",IF($W482="","",IF($W482=6,"ESCALATED TO ROXANNE",IF(TODAY()&gt;$Y482,"OVERDUE",IF($Y482&lt;=WORKDAY(TODAY(),1,Holidays),"DUE TOMORROW",IF($W482=4,"ESCALATED TO LOCAL OFFICE",IF($W482=5,"ESCALATED TO CBE",IF($X482=TODAY(),"EMAIL SENT","MONITORING"))))))))))</f>
        <v/>
      </c>
      <c r="U482" s="17">
        <f>IF($T482="",IF(AND(COUNTA($A482:$K482)&gt;0,$L482=""),"Awaiting Collection Email time stamp.",""),IF(OR($T482="PAID",$T482="CLOSED"),IF($T482="PAID","Account paid. Action completed.","Account closed. No further action required."),CHOOSE($W482,"Collection Email","1st Email Follow-up","2nd Email Follow-up","Escalation to Local Office","Escalation to CBE","Escalation to Roxanne")&amp;" sent "&amp;TEXT($X482,"dd-mmm")&amp;". "&amp;IF($W482=6,"Final escalation completed.",IF($T482="OVERDUE","Next: "&amp;$Z482&amp;" was due "&amp;TEXT($Y482,"dd-mmm")&amp;" - "&amp;(NETWORKDAYS($Y482,TODAY(),Holidays)-1)&amp;" business day(s) late. Send now.",IF($T482="DUE TOMORROW","Next: "&amp;$Z482&amp;IF($Y482&lt;=TODAY()," is due TODAY ("," is due next business day (")&amp;TEXT($Y482,"dd-mmm")&amp;").","Next: "&amp;$Z482&amp;" due "&amp;TEXT($Y482,"dd-mmm")&amp;" ("&amp;(NETWORKDAYS(TODAY(),$Y482,Holidays)-1)&amp;" business day(s) left).")))))</f>
        <v/>
      </c>
      <c r="V482" s="17">
        <f>IF($W482="","",CHOOSE($W482,"Collection Email","1st Follow-up","2nd Follow-up","Local Office","CBE","Roxanne")&amp;IF($W482=6," - Final"," - Day "&amp;MAX(0,NETWORKDAYS($X482,TODAY(),Holidays)-1)&amp;" of "&amp;CHOOSE($W482,3,3,2,2,3))&amp;" | Total Day "&amp;MAX(0,NETWORKDAYS($L482,TODAY(),Holidays)-1))</f>
        <v/>
      </c>
      <c r="W482" s="17">
        <f>IF($L482="","",COUNT($L482:$Q482))</f>
        <v/>
      </c>
      <c r="X482" s="18">
        <f>IF($W482="","",INT(INDEX($L482:$Q482,$W482)))</f>
        <v/>
      </c>
      <c r="Y482" s="18">
        <f>IF(OR($W482="",$W482=6),"",WORKDAY($X482,CHOOSE($W482,3,3,2,2,3),Holidays))</f>
        <v/>
      </c>
      <c r="Z482" s="17">
        <f>IF(OR($W482="",$W482=6),"",CHOOSE($W482,"1st Email Follow-up","2nd Email Follow-up","Escalate Local Office","Escalate to CBE","Escalate to Roxanne"))</f>
        <v/>
      </c>
    </row>
    <row r="483" spans="18:26">
      <c r="R483" s="15"/>
      <c r="S483" s="16"/>
      <c r="T483" s="17">
        <f>IF(AND(COUNTA($A483:$K483)=0,$L483=""),"",IF($S483="Paid","PAID",IF($S483="Closed","CLOSED",IF($W483="","",IF($W483=6,"ESCALATED TO ROXANNE",IF(TODAY()&gt;$Y483,"OVERDUE",IF($Y483&lt;=WORKDAY(TODAY(),1,Holidays),"DUE TOMORROW",IF($W483=4,"ESCALATED TO LOCAL OFFICE",IF($W483=5,"ESCALATED TO CBE",IF($X483=TODAY(),"EMAIL SENT","MONITORING"))))))))))</f>
        <v/>
      </c>
      <c r="U483" s="17">
        <f>IF($T483="",IF(AND(COUNTA($A483:$K483)&gt;0,$L483=""),"Awaiting Collection Email time stamp.",""),IF(OR($T483="PAID",$T483="CLOSED"),IF($T483="PAID","Account paid. Action completed.","Account closed. No further action required."),CHOOSE($W483,"Collection Email","1st Email Follow-up","2nd Email Follow-up","Escalation to Local Office","Escalation to CBE","Escalation to Roxanne")&amp;" sent "&amp;TEXT($X483,"dd-mmm")&amp;". "&amp;IF($W483=6,"Final escalation completed.",IF($T483="OVERDUE","Next: "&amp;$Z483&amp;" was due "&amp;TEXT($Y483,"dd-mmm")&amp;" - "&amp;(NETWORKDAYS($Y483,TODAY(),Holidays)-1)&amp;" business day(s) late. Send now.",IF($T483="DUE TOMORROW","Next: "&amp;$Z483&amp;IF($Y483&lt;=TODAY()," is due TODAY ("," is due next business day (")&amp;TEXT($Y483,"dd-mmm")&amp;").","Next: "&amp;$Z483&amp;" due "&amp;TEXT($Y483,"dd-mmm")&amp;" ("&amp;(NETWORKDAYS(TODAY(),$Y483,Holidays)-1)&amp;" business day(s) left).")))))</f>
        <v/>
      </c>
      <c r="V483" s="17">
        <f>IF($W483="","",CHOOSE($W483,"Collection Email","1st Follow-up","2nd Follow-up","Local Office","CBE","Roxanne")&amp;IF($W483=6," - Final"," - Day "&amp;MAX(0,NETWORKDAYS($X483,TODAY(),Holidays)-1)&amp;" of "&amp;CHOOSE($W483,3,3,2,2,3))&amp;" | Total Day "&amp;MAX(0,NETWORKDAYS($L483,TODAY(),Holidays)-1))</f>
        <v/>
      </c>
      <c r="W483" s="17">
        <f>IF($L483="","",COUNT($L483:$Q483))</f>
        <v/>
      </c>
      <c r="X483" s="18">
        <f>IF($W483="","",INT(INDEX($L483:$Q483,$W483)))</f>
        <v/>
      </c>
      <c r="Y483" s="18">
        <f>IF(OR($W483="",$W483=6),"",WORKDAY($X483,CHOOSE($W483,3,3,2,2,3),Holidays))</f>
        <v/>
      </c>
      <c r="Z483" s="17">
        <f>IF(OR($W483="",$W483=6),"",CHOOSE($W483,"1st Email Follow-up","2nd Email Follow-up","Escalate Local Office","Escalate to CBE","Escalate to Roxanne"))</f>
        <v/>
      </c>
    </row>
    <row r="484" spans="18:26">
      <c r="R484" s="15"/>
      <c r="S484" s="16"/>
      <c r="T484" s="17">
        <f>IF(AND(COUNTA($A484:$K484)=0,$L484=""),"",IF($S484="Paid","PAID",IF($S484="Closed","CLOSED",IF($W484="","",IF($W484=6,"ESCALATED TO ROXANNE",IF(TODAY()&gt;$Y484,"OVERDUE",IF($Y484&lt;=WORKDAY(TODAY(),1,Holidays),"DUE TOMORROW",IF($W484=4,"ESCALATED TO LOCAL OFFICE",IF($W484=5,"ESCALATED TO CBE",IF($X484=TODAY(),"EMAIL SENT","MONITORING"))))))))))</f>
        <v/>
      </c>
      <c r="U484" s="17">
        <f>IF($T484="",IF(AND(COUNTA($A484:$K484)&gt;0,$L484=""),"Awaiting Collection Email time stamp.",""),IF(OR($T484="PAID",$T484="CLOSED"),IF($T484="PAID","Account paid. Action completed.","Account closed. No further action required."),CHOOSE($W484,"Collection Email","1st Email Follow-up","2nd Email Follow-up","Escalation to Local Office","Escalation to CBE","Escalation to Roxanne")&amp;" sent "&amp;TEXT($X484,"dd-mmm")&amp;". "&amp;IF($W484=6,"Final escalation completed.",IF($T484="OVERDUE","Next: "&amp;$Z484&amp;" was due "&amp;TEXT($Y484,"dd-mmm")&amp;" - "&amp;(NETWORKDAYS($Y484,TODAY(),Holidays)-1)&amp;" business day(s) late. Send now.",IF($T484="DUE TOMORROW","Next: "&amp;$Z484&amp;IF($Y484&lt;=TODAY()," is due TODAY ("," is due next business day (")&amp;TEXT($Y484,"dd-mmm")&amp;").","Next: "&amp;$Z484&amp;" due "&amp;TEXT($Y484,"dd-mmm")&amp;" ("&amp;(NETWORKDAYS(TODAY(),$Y484,Holidays)-1)&amp;" business day(s) left).")))))</f>
        <v/>
      </c>
      <c r="V484" s="17">
        <f>IF($W484="","",CHOOSE($W484,"Collection Email","1st Follow-up","2nd Follow-up","Local Office","CBE","Roxanne")&amp;IF($W484=6," - Final"," - Day "&amp;MAX(0,NETWORKDAYS($X484,TODAY(),Holidays)-1)&amp;" of "&amp;CHOOSE($W484,3,3,2,2,3))&amp;" | Total Day "&amp;MAX(0,NETWORKDAYS($L484,TODAY(),Holidays)-1))</f>
        <v/>
      </c>
      <c r="W484" s="17">
        <f>IF($L484="","",COUNT($L484:$Q484))</f>
        <v/>
      </c>
      <c r="X484" s="18">
        <f>IF($W484="","",INT(INDEX($L484:$Q484,$W484)))</f>
        <v/>
      </c>
      <c r="Y484" s="18">
        <f>IF(OR($W484="",$W484=6),"",WORKDAY($X484,CHOOSE($W484,3,3,2,2,3),Holidays))</f>
        <v/>
      </c>
      <c r="Z484" s="17">
        <f>IF(OR($W484="",$W484=6),"",CHOOSE($W484,"1st Email Follow-up","2nd Email Follow-up","Escalate Local Office","Escalate to CBE","Escalate to Roxanne"))</f>
        <v/>
      </c>
    </row>
    <row r="485" spans="18:26">
      <c r="R485" s="15"/>
      <c r="S485" s="16"/>
      <c r="T485" s="17">
        <f>IF(AND(COUNTA($A485:$K485)=0,$L485=""),"",IF($S485="Paid","PAID",IF($S485="Closed","CLOSED",IF($W485="","",IF($W485=6,"ESCALATED TO ROXANNE",IF(TODAY()&gt;$Y485,"OVERDUE",IF($Y485&lt;=WORKDAY(TODAY(),1,Holidays),"DUE TOMORROW",IF($W485=4,"ESCALATED TO LOCAL OFFICE",IF($W485=5,"ESCALATED TO CBE",IF($X485=TODAY(),"EMAIL SENT","MONITORING"))))))))))</f>
        <v/>
      </c>
      <c r="U485" s="17">
        <f>IF($T485="",IF(AND(COUNTA($A485:$K485)&gt;0,$L485=""),"Awaiting Collection Email time stamp.",""),IF(OR($T485="PAID",$T485="CLOSED"),IF($T485="PAID","Account paid. Action completed.","Account closed. No further action required."),CHOOSE($W485,"Collection Email","1st Email Follow-up","2nd Email Follow-up","Escalation to Local Office","Escalation to CBE","Escalation to Roxanne")&amp;" sent "&amp;TEXT($X485,"dd-mmm")&amp;". "&amp;IF($W485=6,"Final escalation completed.",IF($T485="OVERDUE","Next: "&amp;$Z485&amp;" was due "&amp;TEXT($Y485,"dd-mmm")&amp;" - "&amp;(NETWORKDAYS($Y485,TODAY(),Holidays)-1)&amp;" business day(s) late. Send now.",IF($T485="DUE TOMORROW","Next: "&amp;$Z485&amp;IF($Y485&lt;=TODAY()," is due TODAY ("," is due next business day (")&amp;TEXT($Y485,"dd-mmm")&amp;").","Next: "&amp;$Z485&amp;" due "&amp;TEXT($Y485,"dd-mmm")&amp;" ("&amp;(NETWORKDAYS(TODAY(),$Y485,Holidays)-1)&amp;" business day(s) left).")))))</f>
        <v/>
      </c>
      <c r="V485" s="17">
        <f>IF($W485="","",CHOOSE($W485,"Collection Email","1st Follow-up","2nd Follow-up","Local Office","CBE","Roxanne")&amp;IF($W485=6," - Final"," - Day "&amp;MAX(0,NETWORKDAYS($X485,TODAY(),Holidays)-1)&amp;" of "&amp;CHOOSE($W485,3,3,2,2,3))&amp;" | Total Day "&amp;MAX(0,NETWORKDAYS($L485,TODAY(),Holidays)-1))</f>
        <v/>
      </c>
      <c r="W485" s="17">
        <f>IF($L485="","",COUNT($L485:$Q485))</f>
        <v/>
      </c>
      <c r="X485" s="18">
        <f>IF($W485="","",INT(INDEX($L485:$Q485,$W485)))</f>
        <v/>
      </c>
      <c r="Y485" s="18">
        <f>IF(OR($W485="",$W485=6),"",WORKDAY($X485,CHOOSE($W485,3,3,2,2,3),Holidays))</f>
        <v/>
      </c>
      <c r="Z485" s="17">
        <f>IF(OR($W485="",$W485=6),"",CHOOSE($W485,"1st Email Follow-up","2nd Email Follow-up","Escalate Local Office","Escalate to CBE","Escalate to Roxanne"))</f>
        <v/>
      </c>
    </row>
    <row r="486" spans="18:26">
      <c r="R486" s="15"/>
      <c r="S486" s="16"/>
      <c r="T486" s="17">
        <f>IF(AND(COUNTA($A486:$K486)=0,$L486=""),"",IF($S486="Paid","PAID",IF($S486="Closed","CLOSED",IF($W486="","",IF($W486=6,"ESCALATED TO ROXANNE",IF(TODAY()&gt;$Y486,"OVERDUE",IF($Y486&lt;=WORKDAY(TODAY(),1,Holidays),"DUE TOMORROW",IF($W486=4,"ESCALATED TO LOCAL OFFICE",IF($W486=5,"ESCALATED TO CBE",IF($X486=TODAY(),"EMAIL SENT","MONITORING"))))))))))</f>
        <v/>
      </c>
      <c r="U486" s="17">
        <f>IF($T486="",IF(AND(COUNTA($A486:$K486)&gt;0,$L486=""),"Awaiting Collection Email time stamp.",""),IF(OR($T486="PAID",$T486="CLOSED"),IF($T486="PAID","Account paid. Action completed.","Account closed. No further action required."),CHOOSE($W486,"Collection Email","1st Email Follow-up","2nd Email Follow-up","Escalation to Local Office","Escalation to CBE","Escalation to Roxanne")&amp;" sent "&amp;TEXT($X486,"dd-mmm")&amp;". "&amp;IF($W486=6,"Final escalation completed.",IF($T486="OVERDUE","Next: "&amp;$Z486&amp;" was due "&amp;TEXT($Y486,"dd-mmm")&amp;" - "&amp;(NETWORKDAYS($Y486,TODAY(),Holidays)-1)&amp;" business day(s) late. Send now.",IF($T486="DUE TOMORROW","Next: "&amp;$Z486&amp;IF($Y486&lt;=TODAY()," is due TODAY ("," is due next business day (")&amp;TEXT($Y486,"dd-mmm")&amp;").","Next: "&amp;$Z486&amp;" due "&amp;TEXT($Y486,"dd-mmm")&amp;" ("&amp;(NETWORKDAYS(TODAY(),$Y486,Holidays)-1)&amp;" business day(s) left).")))))</f>
        <v/>
      </c>
      <c r="V486" s="17">
        <f>IF($W486="","",CHOOSE($W486,"Collection Email","1st Follow-up","2nd Follow-up","Local Office","CBE","Roxanne")&amp;IF($W486=6," - Final"," - Day "&amp;MAX(0,NETWORKDAYS($X486,TODAY(),Holidays)-1)&amp;" of "&amp;CHOOSE($W486,3,3,2,2,3))&amp;" | Total Day "&amp;MAX(0,NETWORKDAYS($L486,TODAY(),Holidays)-1))</f>
        <v/>
      </c>
      <c r="W486" s="17">
        <f>IF($L486="","",COUNT($L486:$Q486))</f>
        <v/>
      </c>
      <c r="X486" s="18">
        <f>IF($W486="","",INT(INDEX($L486:$Q486,$W486)))</f>
        <v/>
      </c>
      <c r="Y486" s="18">
        <f>IF(OR($W486="",$W486=6),"",WORKDAY($X486,CHOOSE($W486,3,3,2,2,3),Holidays))</f>
        <v/>
      </c>
      <c r="Z486" s="17">
        <f>IF(OR($W486="",$W486=6),"",CHOOSE($W486,"1st Email Follow-up","2nd Email Follow-up","Escalate Local Office","Escalate to CBE","Escalate to Roxanne"))</f>
        <v/>
      </c>
    </row>
    <row r="487" spans="18:26">
      <c r="R487" s="15"/>
      <c r="S487" s="16"/>
      <c r="T487" s="17">
        <f>IF(AND(COUNTA($A487:$K487)=0,$L487=""),"",IF($S487="Paid","PAID",IF($S487="Closed","CLOSED",IF($W487="","",IF($W487=6,"ESCALATED TO ROXANNE",IF(TODAY()&gt;$Y487,"OVERDUE",IF($Y487&lt;=WORKDAY(TODAY(),1,Holidays),"DUE TOMORROW",IF($W487=4,"ESCALATED TO LOCAL OFFICE",IF($W487=5,"ESCALATED TO CBE",IF($X487=TODAY(),"EMAIL SENT","MONITORING"))))))))))</f>
        <v/>
      </c>
      <c r="U487" s="17">
        <f>IF($T487="",IF(AND(COUNTA($A487:$K487)&gt;0,$L487=""),"Awaiting Collection Email time stamp.",""),IF(OR($T487="PAID",$T487="CLOSED"),IF($T487="PAID","Account paid. Action completed.","Account closed. No further action required."),CHOOSE($W487,"Collection Email","1st Email Follow-up","2nd Email Follow-up","Escalation to Local Office","Escalation to CBE","Escalation to Roxanne")&amp;" sent "&amp;TEXT($X487,"dd-mmm")&amp;". "&amp;IF($W487=6,"Final escalation completed.",IF($T487="OVERDUE","Next: "&amp;$Z487&amp;" was due "&amp;TEXT($Y487,"dd-mmm")&amp;" - "&amp;(NETWORKDAYS($Y487,TODAY(),Holidays)-1)&amp;" business day(s) late. Send now.",IF($T487="DUE TOMORROW","Next: "&amp;$Z487&amp;IF($Y487&lt;=TODAY()," is due TODAY ("," is due next business day (")&amp;TEXT($Y487,"dd-mmm")&amp;").","Next: "&amp;$Z487&amp;" due "&amp;TEXT($Y487,"dd-mmm")&amp;" ("&amp;(NETWORKDAYS(TODAY(),$Y487,Holidays)-1)&amp;" business day(s) left).")))))</f>
        <v/>
      </c>
      <c r="V487" s="17">
        <f>IF($W487="","",CHOOSE($W487,"Collection Email","1st Follow-up","2nd Follow-up","Local Office","CBE","Roxanne")&amp;IF($W487=6," - Final"," - Day "&amp;MAX(0,NETWORKDAYS($X487,TODAY(),Holidays)-1)&amp;" of "&amp;CHOOSE($W487,3,3,2,2,3))&amp;" | Total Day "&amp;MAX(0,NETWORKDAYS($L487,TODAY(),Holidays)-1))</f>
        <v/>
      </c>
      <c r="W487" s="17">
        <f>IF($L487="","",COUNT($L487:$Q487))</f>
        <v/>
      </c>
      <c r="X487" s="18">
        <f>IF($W487="","",INT(INDEX($L487:$Q487,$W487)))</f>
        <v/>
      </c>
      <c r="Y487" s="18">
        <f>IF(OR($W487="",$W487=6),"",WORKDAY($X487,CHOOSE($W487,3,3,2,2,3),Holidays))</f>
        <v/>
      </c>
      <c r="Z487" s="17">
        <f>IF(OR($W487="",$W487=6),"",CHOOSE($W487,"1st Email Follow-up","2nd Email Follow-up","Escalate Local Office","Escalate to CBE","Escalate to Roxanne"))</f>
        <v/>
      </c>
    </row>
    <row r="488" spans="18:26">
      <c r="R488" s="15"/>
      <c r="S488" s="16"/>
      <c r="T488" s="17">
        <f>IF(AND(COUNTA($A488:$K488)=0,$L488=""),"",IF($S488="Paid","PAID",IF($S488="Closed","CLOSED",IF($W488="","",IF($W488=6,"ESCALATED TO ROXANNE",IF(TODAY()&gt;$Y488,"OVERDUE",IF($Y488&lt;=WORKDAY(TODAY(),1,Holidays),"DUE TOMORROW",IF($W488=4,"ESCALATED TO LOCAL OFFICE",IF($W488=5,"ESCALATED TO CBE",IF($X488=TODAY(),"EMAIL SENT","MONITORING"))))))))))</f>
        <v/>
      </c>
      <c r="U488" s="17">
        <f>IF($T488="",IF(AND(COUNTA($A488:$K488)&gt;0,$L488=""),"Awaiting Collection Email time stamp.",""),IF(OR($T488="PAID",$T488="CLOSED"),IF($T488="PAID","Account paid. Action completed.","Account closed. No further action required."),CHOOSE($W488,"Collection Email","1st Email Follow-up","2nd Email Follow-up","Escalation to Local Office","Escalation to CBE","Escalation to Roxanne")&amp;" sent "&amp;TEXT($X488,"dd-mmm")&amp;". "&amp;IF($W488=6,"Final escalation completed.",IF($T488="OVERDUE","Next: "&amp;$Z488&amp;" was due "&amp;TEXT($Y488,"dd-mmm")&amp;" - "&amp;(NETWORKDAYS($Y488,TODAY(),Holidays)-1)&amp;" business day(s) late. Send now.",IF($T488="DUE TOMORROW","Next: "&amp;$Z488&amp;IF($Y488&lt;=TODAY()," is due TODAY ("," is due next business day (")&amp;TEXT($Y488,"dd-mmm")&amp;").","Next: "&amp;$Z488&amp;" due "&amp;TEXT($Y488,"dd-mmm")&amp;" ("&amp;(NETWORKDAYS(TODAY(),$Y488,Holidays)-1)&amp;" business day(s) left).")))))</f>
        <v/>
      </c>
      <c r="V488" s="17">
        <f>IF($W488="","",CHOOSE($W488,"Collection Email","1st Follow-up","2nd Follow-up","Local Office","CBE","Roxanne")&amp;IF($W488=6," - Final"," - Day "&amp;MAX(0,NETWORKDAYS($X488,TODAY(),Holidays)-1)&amp;" of "&amp;CHOOSE($W488,3,3,2,2,3))&amp;" | Total Day "&amp;MAX(0,NETWORKDAYS($L488,TODAY(),Holidays)-1))</f>
        <v/>
      </c>
      <c r="W488" s="17">
        <f>IF($L488="","",COUNT($L488:$Q488))</f>
        <v/>
      </c>
      <c r="X488" s="18">
        <f>IF($W488="","",INT(INDEX($L488:$Q488,$W488)))</f>
        <v/>
      </c>
      <c r="Y488" s="18">
        <f>IF(OR($W488="",$W488=6),"",WORKDAY($X488,CHOOSE($W488,3,3,2,2,3),Holidays))</f>
        <v/>
      </c>
      <c r="Z488" s="17">
        <f>IF(OR($W488="",$W488=6),"",CHOOSE($W488,"1st Email Follow-up","2nd Email Follow-up","Escalate Local Office","Escalate to CBE","Escalate to Roxanne"))</f>
        <v/>
      </c>
    </row>
    <row r="489" spans="18:26">
      <c r="R489" s="15"/>
      <c r="S489" s="16"/>
      <c r="T489" s="17">
        <f>IF(AND(COUNTA($A489:$K489)=0,$L489=""),"",IF($S489="Paid","PAID",IF($S489="Closed","CLOSED",IF($W489="","",IF($W489=6,"ESCALATED TO ROXANNE",IF(TODAY()&gt;$Y489,"OVERDUE",IF($Y489&lt;=WORKDAY(TODAY(),1,Holidays),"DUE TOMORROW",IF($W489=4,"ESCALATED TO LOCAL OFFICE",IF($W489=5,"ESCALATED TO CBE",IF($X489=TODAY(),"EMAIL SENT","MONITORING"))))))))))</f>
        <v/>
      </c>
      <c r="U489" s="17">
        <f>IF($T489="",IF(AND(COUNTA($A489:$K489)&gt;0,$L489=""),"Awaiting Collection Email time stamp.",""),IF(OR($T489="PAID",$T489="CLOSED"),IF($T489="PAID","Account paid. Action completed.","Account closed. No further action required."),CHOOSE($W489,"Collection Email","1st Email Follow-up","2nd Email Follow-up","Escalation to Local Office","Escalation to CBE","Escalation to Roxanne")&amp;" sent "&amp;TEXT($X489,"dd-mmm")&amp;". "&amp;IF($W489=6,"Final escalation completed.",IF($T489="OVERDUE","Next: "&amp;$Z489&amp;" was due "&amp;TEXT($Y489,"dd-mmm")&amp;" - "&amp;(NETWORKDAYS($Y489,TODAY(),Holidays)-1)&amp;" business day(s) late. Send now.",IF($T489="DUE TOMORROW","Next: "&amp;$Z489&amp;IF($Y489&lt;=TODAY()," is due TODAY ("," is due next business day (")&amp;TEXT($Y489,"dd-mmm")&amp;").","Next: "&amp;$Z489&amp;" due "&amp;TEXT($Y489,"dd-mmm")&amp;" ("&amp;(NETWORKDAYS(TODAY(),$Y489,Holidays)-1)&amp;" business day(s) left).")))))</f>
        <v/>
      </c>
      <c r="V489" s="17">
        <f>IF($W489="","",CHOOSE($W489,"Collection Email","1st Follow-up","2nd Follow-up","Local Office","CBE","Roxanne")&amp;IF($W489=6," - Final"," - Day "&amp;MAX(0,NETWORKDAYS($X489,TODAY(),Holidays)-1)&amp;" of "&amp;CHOOSE($W489,3,3,2,2,3))&amp;" | Total Day "&amp;MAX(0,NETWORKDAYS($L489,TODAY(),Holidays)-1))</f>
        <v/>
      </c>
      <c r="W489" s="17">
        <f>IF($L489="","",COUNT($L489:$Q489))</f>
        <v/>
      </c>
      <c r="X489" s="18">
        <f>IF($W489="","",INT(INDEX($L489:$Q489,$W489)))</f>
        <v/>
      </c>
      <c r="Y489" s="18">
        <f>IF(OR($W489="",$W489=6),"",WORKDAY($X489,CHOOSE($W489,3,3,2,2,3),Holidays))</f>
        <v/>
      </c>
      <c r="Z489" s="17">
        <f>IF(OR($W489="",$W489=6),"",CHOOSE($W489,"1st Email Follow-up","2nd Email Follow-up","Escalate Local Office","Escalate to CBE","Escalate to Roxanne"))</f>
        <v/>
      </c>
    </row>
    <row r="490" spans="18:26">
      <c r="R490" s="15"/>
      <c r="S490" s="16"/>
      <c r="T490" s="17">
        <f>IF(AND(COUNTA($A490:$K490)=0,$L490=""),"",IF($S490="Paid","PAID",IF($S490="Closed","CLOSED",IF($W490="","",IF($W490=6,"ESCALATED TO ROXANNE",IF(TODAY()&gt;$Y490,"OVERDUE",IF($Y490&lt;=WORKDAY(TODAY(),1,Holidays),"DUE TOMORROW",IF($W490=4,"ESCALATED TO LOCAL OFFICE",IF($W490=5,"ESCALATED TO CBE",IF($X490=TODAY(),"EMAIL SENT","MONITORING"))))))))))</f>
        <v/>
      </c>
      <c r="U490" s="17">
        <f>IF($T490="",IF(AND(COUNTA($A490:$K490)&gt;0,$L490=""),"Awaiting Collection Email time stamp.",""),IF(OR($T490="PAID",$T490="CLOSED"),IF($T490="PAID","Account paid. Action completed.","Account closed. No further action required."),CHOOSE($W490,"Collection Email","1st Email Follow-up","2nd Email Follow-up","Escalation to Local Office","Escalation to CBE","Escalation to Roxanne")&amp;" sent "&amp;TEXT($X490,"dd-mmm")&amp;". "&amp;IF($W490=6,"Final escalation completed.",IF($T490="OVERDUE","Next: "&amp;$Z490&amp;" was due "&amp;TEXT($Y490,"dd-mmm")&amp;" - "&amp;(NETWORKDAYS($Y490,TODAY(),Holidays)-1)&amp;" business day(s) late. Send now.",IF($T490="DUE TOMORROW","Next: "&amp;$Z490&amp;IF($Y490&lt;=TODAY()," is due TODAY ("," is due next business day (")&amp;TEXT($Y490,"dd-mmm")&amp;").","Next: "&amp;$Z490&amp;" due "&amp;TEXT($Y490,"dd-mmm")&amp;" ("&amp;(NETWORKDAYS(TODAY(),$Y490,Holidays)-1)&amp;" business day(s) left).")))))</f>
        <v/>
      </c>
      <c r="V490" s="17">
        <f>IF($W490="","",CHOOSE($W490,"Collection Email","1st Follow-up","2nd Follow-up","Local Office","CBE","Roxanne")&amp;IF($W490=6," - Final"," - Day "&amp;MAX(0,NETWORKDAYS($X490,TODAY(),Holidays)-1)&amp;" of "&amp;CHOOSE($W490,3,3,2,2,3))&amp;" | Total Day "&amp;MAX(0,NETWORKDAYS($L490,TODAY(),Holidays)-1))</f>
        <v/>
      </c>
      <c r="W490" s="17">
        <f>IF($L490="","",COUNT($L490:$Q490))</f>
        <v/>
      </c>
      <c r="X490" s="18">
        <f>IF($W490="","",INT(INDEX($L490:$Q490,$W490)))</f>
        <v/>
      </c>
      <c r="Y490" s="18">
        <f>IF(OR($W490="",$W490=6),"",WORKDAY($X490,CHOOSE($W490,3,3,2,2,3),Holidays))</f>
        <v/>
      </c>
      <c r="Z490" s="17">
        <f>IF(OR($W490="",$W490=6),"",CHOOSE($W490,"1st Email Follow-up","2nd Email Follow-up","Escalate Local Office","Escalate to CBE","Escalate to Roxanne"))</f>
        <v/>
      </c>
    </row>
    <row r="491" spans="18:26">
      <c r="R491" s="15"/>
      <c r="S491" s="16"/>
      <c r="T491" s="17">
        <f>IF(AND(COUNTA($A491:$K491)=0,$L491=""),"",IF($S491="Paid","PAID",IF($S491="Closed","CLOSED",IF($W491="","",IF($W491=6,"ESCALATED TO ROXANNE",IF(TODAY()&gt;$Y491,"OVERDUE",IF($Y491&lt;=WORKDAY(TODAY(),1,Holidays),"DUE TOMORROW",IF($W491=4,"ESCALATED TO LOCAL OFFICE",IF($W491=5,"ESCALATED TO CBE",IF($X491=TODAY(),"EMAIL SENT","MONITORING"))))))))))</f>
        <v/>
      </c>
      <c r="U491" s="17">
        <f>IF($T491="",IF(AND(COUNTA($A491:$K491)&gt;0,$L491=""),"Awaiting Collection Email time stamp.",""),IF(OR($T491="PAID",$T491="CLOSED"),IF($T491="PAID","Account paid. Action completed.","Account closed. No further action required."),CHOOSE($W491,"Collection Email","1st Email Follow-up","2nd Email Follow-up","Escalation to Local Office","Escalation to CBE","Escalation to Roxanne")&amp;" sent "&amp;TEXT($X491,"dd-mmm")&amp;". "&amp;IF($W491=6,"Final escalation completed.",IF($T491="OVERDUE","Next: "&amp;$Z491&amp;" was due "&amp;TEXT($Y491,"dd-mmm")&amp;" - "&amp;(NETWORKDAYS($Y491,TODAY(),Holidays)-1)&amp;" business day(s) late. Send now.",IF($T491="DUE TOMORROW","Next: "&amp;$Z491&amp;IF($Y491&lt;=TODAY()," is due TODAY ("," is due next business day (")&amp;TEXT($Y491,"dd-mmm")&amp;").","Next: "&amp;$Z491&amp;" due "&amp;TEXT($Y491,"dd-mmm")&amp;" ("&amp;(NETWORKDAYS(TODAY(),$Y491,Holidays)-1)&amp;" business day(s) left).")))))</f>
        <v/>
      </c>
      <c r="V491" s="17">
        <f>IF($W491="","",CHOOSE($W491,"Collection Email","1st Follow-up","2nd Follow-up","Local Office","CBE","Roxanne")&amp;IF($W491=6," - Final"," - Day "&amp;MAX(0,NETWORKDAYS($X491,TODAY(),Holidays)-1)&amp;" of "&amp;CHOOSE($W491,3,3,2,2,3))&amp;" | Total Day "&amp;MAX(0,NETWORKDAYS($L491,TODAY(),Holidays)-1))</f>
        <v/>
      </c>
      <c r="W491" s="17">
        <f>IF($L491="","",COUNT($L491:$Q491))</f>
        <v/>
      </c>
      <c r="X491" s="18">
        <f>IF($W491="","",INT(INDEX($L491:$Q491,$W491)))</f>
        <v/>
      </c>
      <c r="Y491" s="18">
        <f>IF(OR($W491="",$W491=6),"",WORKDAY($X491,CHOOSE($W491,3,3,2,2,3),Holidays))</f>
        <v/>
      </c>
      <c r="Z491" s="17">
        <f>IF(OR($W491="",$W491=6),"",CHOOSE($W491,"1st Email Follow-up","2nd Email Follow-up","Escalate Local Office","Escalate to CBE","Escalate to Roxanne"))</f>
        <v/>
      </c>
    </row>
    <row r="492" spans="18:26">
      <c r="R492" s="15"/>
      <c r="S492" s="16"/>
      <c r="T492" s="17">
        <f>IF(AND(COUNTA($A492:$K492)=0,$L492=""),"",IF($S492="Paid","PAID",IF($S492="Closed","CLOSED",IF($W492="","",IF($W492=6,"ESCALATED TO ROXANNE",IF(TODAY()&gt;$Y492,"OVERDUE",IF($Y492&lt;=WORKDAY(TODAY(),1,Holidays),"DUE TOMORROW",IF($W492=4,"ESCALATED TO LOCAL OFFICE",IF($W492=5,"ESCALATED TO CBE",IF($X492=TODAY(),"EMAIL SENT","MONITORING"))))))))))</f>
        <v/>
      </c>
      <c r="U492" s="17">
        <f>IF($T492="",IF(AND(COUNTA($A492:$K492)&gt;0,$L492=""),"Awaiting Collection Email time stamp.",""),IF(OR($T492="PAID",$T492="CLOSED"),IF($T492="PAID","Account paid. Action completed.","Account closed. No further action required."),CHOOSE($W492,"Collection Email","1st Email Follow-up","2nd Email Follow-up","Escalation to Local Office","Escalation to CBE","Escalation to Roxanne")&amp;" sent "&amp;TEXT($X492,"dd-mmm")&amp;". "&amp;IF($W492=6,"Final escalation completed.",IF($T492="OVERDUE","Next: "&amp;$Z492&amp;" was due "&amp;TEXT($Y492,"dd-mmm")&amp;" - "&amp;(NETWORKDAYS($Y492,TODAY(),Holidays)-1)&amp;" business day(s) late. Send now.",IF($T492="DUE TOMORROW","Next: "&amp;$Z492&amp;IF($Y492&lt;=TODAY()," is due TODAY ("," is due next business day (")&amp;TEXT($Y492,"dd-mmm")&amp;").","Next: "&amp;$Z492&amp;" due "&amp;TEXT($Y492,"dd-mmm")&amp;" ("&amp;(NETWORKDAYS(TODAY(),$Y492,Holidays)-1)&amp;" business day(s) left).")))))</f>
        <v/>
      </c>
      <c r="V492" s="17">
        <f>IF($W492="","",CHOOSE($W492,"Collection Email","1st Follow-up","2nd Follow-up","Local Office","CBE","Roxanne")&amp;IF($W492=6," - Final"," - Day "&amp;MAX(0,NETWORKDAYS($X492,TODAY(),Holidays)-1)&amp;" of "&amp;CHOOSE($W492,3,3,2,2,3))&amp;" | Total Day "&amp;MAX(0,NETWORKDAYS($L492,TODAY(),Holidays)-1))</f>
        <v/>
      </c>
      <c r="W492" s="17">
        <f>IF($L492="","",COUNT($L492:$Q492))</f>
        <v/>
      </c>
      <c r="X492" s="18">
        <f>IF($W492="","",INT(INDEX($L492:$Q492,$W492)))</f>
        <v/>
      </c>
      <c r="Y492" s="18">
        <f>IF(OR($W492="",$W492=6),"",WORKDAY($X492,CHOOSE($W492,3,3,2,2,3),Holidays))</f>
        <v/>
      </c>
      <c r="Z492" s="17">
        <f>IF(OR($W492="",$W492=6),"",CHOOSE($W492,"1st Email Follow-up","2nd Email Follow-up","Escalate Local Office","Escalate to CBE","Escalate to Roxanne"))</f>
        <v/>
      </c>
    </row>
    <row r="493" spans="18:26">
      <c r="R493" s="15"/>
      <c r="S493" s="16"/>
      <c r="T493" s="17">
        <f>IF(AND(COUNTA($A493:$K493)=0,$L493=""),"",IF($S493="Paid","PAID",IF($S493="Closed","CLOSED",IF($W493="","",IF($W493=6,"ESCALATED TO ROXANNE",IF(TODAY()&gt;$Y493,"OVERDUE",IF($Y493&lt;=WORKDAY(TODAY(),1,Holidays),"DUE TOMORROW",IF($W493=4,"ESCALATED TO LOCAL OFFICE",IF($W493=5,"ESCALATED TO CBE",IF($X493=TODAY(),"EMAIL SENT","MONITORING"))))))))))</f>
        <v/>
      </c>
      <c r="U493" s="17">
        <f>IF($T493="",IF(AND(COUNTA($A493:$K493)&gt;0,$L493=""),"Awaiting Collection Email time stamp.",""),IF(OR($T493="PAID",$T493="CLOSED"),IF($T493="PAID","Account paid. Action completed.","Account closed. No further action required."),CHOOSE($W493,"Collection Email","1st Email Follow-up","2nd Email Follow-up","Escalation to Local Office","Escalation to CBE","Escalation to Roxanne")&amp;" sent "&amp;TEXT($X493,"dd-mmm")&amp;". "&amp;IF($W493=6,"Final escalation completed.",IF($T493="OVERDUE","Next: "&amp;$Z493&amp;" was due "&amp;TEXT($Y493,"dd-mmm")&amp;" - "&amp;(NETWORKDAYS($Y493,TODAY(),Holidays)-1)&amp;" business day(s) late. Send now.",IF($T493="DUE TOMORROW","Next: "&amp;$Z493&amp;IF($Y493&lt;=TODAY()," is due TODAY ("," is due next business day (")&amp;TEXT($Y493,"dd-mmm")&amp;").","Next: "&amp;$Z493&amp;" due "&amp;TEXT($Y493,"dd-mmm")&amp;" ("&amp;(NETWORKDAYS(TODAY(),$Y493,Holidays)-1)&amp;" business day(s) left).")))))</f>
        <v/>
      </c>
      <c r="V493" s="17">
        <f>IF($W493="","",CHOOSE($W493,"Collection Email","1st Follow-up","2nd Follow-up","Local Office","CBE","Roxanne")&amp;IF($W493=6," - Final"," - Day "&amp;MAX(0,NETWORKDAYS($X493,TODAY(),Holidays)-1)&amp;" of "&amp;CHOOSE($W493,3,3,2,2,3))&amp;" | Total Day "&amp;MAX(0,NETWORKDAYS($L493,TODAY(),Holidays)-1))</f>
        <v/>
      </c>
      <c r="W493" s="17">
        <f>IF($L493="","",COUNT($L493:$Q493))</f>
        <v/>
      </c>
      <c r="X493" s="18">
        <f>IF($W493="","",INT(INDEX($L493:$Q493,$W493)))</f>
        <v/>
      </c>
      <c r="Y493" s="18">
        <f>IF(OR($W493="",$W493=6),"",WORKDAY($X493,CHOOSE($W493,3,3,2,2,3),Holidays))</f>
        <v/>
      </c>
      <c r="Z493" s="17">
        <f>IF(OR($W493="",$W493=6),"",CHOOSE($W493,"1st Email Follow-up","2nd Email Follow-up","Escalate Local Office","Escalate to CBE","Escalate to Roxanne"))</f>
        <v/>
      </c>
    </row>
    <row r="494" spans="18:26">
      <c r="R494" s="15"/>
      <c r="S494" s="16"/>
      <c r="T494" s="17">
        <f>IF(AND(COUNTA($A494:$K494)=0,$L494=""),"",IF($S494="Paid","PAID",IF($S494="Closed","CLOSED",IF($W494="","",IF($W494=6,"ESCALATED TO ROXANNE",IF(TODAY()&gt;$Y494,"OVERDUE",IF($Y494&lt;=WORKDAY(TODAY(),1,Holidays),"DUE TOMORROW",IF($W494=4,"ESCALATED TO LOCAL OFFICE",IF($W494=5,"ESCALATED TO CBE",IF($X494=TODAY(),"EMAIL SENT","MONITORING"))))))))))</f>
        <v/>
      </c>
      <c r="U494" s="17">
        <f>IF($T494="",IF(AND(COUNTA($A494:$K494)&gt;0,$L494=""),"Awaiting Collection Email time stamp.",""),IF(OR($T494="PAID",$T494="CLOSED"),IF($T494="PAID","Account paid. Action completed.","Account closed. No further action required."),CHOOSE($W494,"Collection Email","1st Email Follow-up","2nd Email Follow-up","Escalation to Local Office","Escalation to CBE","Escalation to Roxanne")&amp;" sent "&amp;TEXT($X494,"dd-mmm")&amp;". "&amp;IF($W494=6,"Final escalation completed.",IF($T494="OVERDUE","Next: "&amp;$Z494&amp;" was due "&amp;TEXT($Y494,"dd-mmm")&amp;" - "&amp;(NETWORKDAYS($Y494,TODAY(),Holidays)-1)&amp;" business day(s) late. Send now.",IF($T494="DUE TOMORROW","Next: "&amp;$Z494&amp;IF($Y494&lt;=TODAY()," is due TODAY ("," is due next business day (")&amp;TEXT($Y494,"dd-mmm")&amp;").","Next: "&amp;$Z494&amp;" due "&amp;TEXT($Y494,"dd-mmm")&amp;" ("&amp;(NETWORKDAYS(TODAY(),$Y494,Holidays)-1)&amp;" business day(s) left).")))))</f>
        <v/>
      </c>
      <c r="V494" s="17">
        <f>IF($W494="","",CHOOSE($W494,"Collection Email","1st Follow-up","2nd Follow-up","Local Office","CBE","Roxanne")&amp;IF($W494=6," - Final"," - Day "&amp;MAX(0,NETWORKDAYS($X494,TODAY(),Holidays)-1)&amp;" of "&amp;CHOOSE($W494,3,3,2,2,3))&amp;" | Total Day "&amp;MAX(0,NETWORKDAYS($L494,TODAY(),Holidays)-1))</f>
        <v/>
      </c>
      <c r="W494" s="17">
        <f>IF($L494="","",COUNT($L494:$Q494))</f>
        <v/>
      </c>
      <c r="X494" s="18">
        <f>IF($W494="","",INT(INDEX($L494:$Q494,$W494)))</f>
        <v/>
      </c>
      <c r="Y494" s="18">
        <f>IF(OR($W494="",$W494=6),"",WORKDAY($X494,CHOOSE($W494,3,3,2,2,3),Holidays))</f>
        <v/>
      </c>
      <c r="Z494" s="17">
        <f>IF(OR($W494="",$W494=6),"",CHOOSE($W494,"1st Email Follow-up","2nd Email Follow-up","Escalate Local Office","Escalate to CBE","Escalate to Roxanne"))</f>
        <v/>
      </c>
    </row>
    <row r="495" spans="18:26">
      <c r="R495" s="15"/>
      <c r="S495" s="16"/>
      <c r="T495" s="17">
        <f>IF(AND(COUNTA($A495:$K495)=0,$L495=""),"",IF($S495="Paid","PAID",IF($S495="Closed","CLOSED",IF($W495="","",IF($W495=6,"ESCALATED TO ROXANNE",IF(TODAY()&gt;$Y495,"OVERDUE",IF($Y495&lt;=WORKDAY(TODAY(),1,Holidays),"DUE TOMORROW",IF($W495=4,"ESCALATED TO LOCAL OFFICE",IF($W495=5,"ESCALATED TO CBE",IF($X495=TODAY(),"EMAIL SENT","MONITORING"))))))))))</f>
        <v/>
      </c>
      <c r="U495" s="17">
        <f>IF($T495="",IF(AND(COUNTA($A495:$K495)&gt;0,$L495=""),"Awaiting Collection Email time stamp.",""),IF(OR($T495="PAID",$T495="CLOSED"),IF($T495="PAID","Account paid. Action completed.","Account closed. No further action required."),CHOOSE($W495,"Collection Email","1st Email Follow-up","2nd Email Follow-up","Escalation to Local Office","Escalation to CBE","Escalation to Roxanne")&amp;" sent "&amp;TEXT($X495,"dd-mmm")&amp;". "&amp;IF($W495=6,"Final escalation completed.",IF($T495="OVERDUE","Next: "&amp;$Z495&amp;" was due "&amp;TEXT($Y495,"dd-mmm")&amp;" - "&amp;(NETWORKDAYS($Y495,TODAY(),Holidays)-1)&amp;" business day(s) late. Send now.",IF($T495="DUE TOMORROW","Next: "&amp;$Z495&amp;IF($Y495&lt;=TODAY()," is due TODAY ("," is due next business day (")&amp;TEXT($Y495,"dd-mmm")&amp;").","Next: "&amp;$Z495&amp;" due "&amp;TEXT($Y495,"dd-mmm")&amp;" ("&amp;(NETWORKDAYS(TODAY(),$Y495,Holidays)-1)&amp;" business day(s) left).")))))</f>
        <v/>
      </c>
      <c r="V495" s="17">
        <f>IF($W495="","",CHOOSE($W495,"Collection Email","1st Follow-up","2nd Follow-up","Local Office","CBE","Roxanne")&amp;IF($W495=6," - Final"," - Day "&amp;MAX(0,NETWORKDAYS($X495,TODAY(),Holidays)-1)&amp;" of "&amp;CHOOSE($W495,3,3,2,2,3))&amp;" | Total Day "&amp;MAX(0,NETWORKDAYS($L495,TODAY(),Holidays)-1))</f>
        <v/>
      </c>
      <c r="W495" s="17">
        <f>IF($L495="","",COUNT($L495:$Q495))</f>
        <v/>
      </c>
      <c r="X495" s="18">
        <f>IF($W495="","",INT(INDEX($L495:$Q495,$W495)))</f>
        <v/>
      </c>
      <c r="Y495" s="18">
        <f>IF(OR($W495="",$W495=6),"",WORKDAY($X495,CHOOSE($W495,3,3,2,2,3),Holidays))</f>
        <v/>
      </c>
      <c r="Z495" s="17">
        <f>IF(OR($W495="",$W495=6),"",CHOOSE($W495,"1st Email Follow-up","2nd Email Follow-up","Escalate Local Office","Escalate to CBE","Escalate to Roxanne"))</f>
        <v/>
      </c>
    </row>
    <row r="496" spans="18:26">
      <c r="R496" s="15"/>
      <c r="S496" s="16"/>
      <c r="T496" s="17">
        <f>IF(AND(COUNTA($A496:$K496)=0,$L496=""),"",IF($S496="Paid","PAID",IF($S496="Closed","CLOSED",IF($W496="","",IF($W496=6,"ESCALATED TO ROXANNE",IF(TODAY()&gt;$Y496,"OVERDUE",IF($Y496&lt;=WORKDAY(TODAY(),1,Holidays),"DUE TOMORROW",IF($W496=4,"ESCALATED TO LOCAL OFFICE",IF($W496=5,"ESCALATED TO CBE",IF($X496=TODAY(),"EMAIL SENT","MONITORING"))))))))))</f>
        <v/>
      </c>
      <c r="U496" s="17">
        <f>IF($T496="",IF(AND(COUNTA($A496:$K496)&gt;0,$L496=""),"Awaiting Collection Email time stamp.",""),IF(OR($T496="PAID",$T496="CLOSED"),IF($T496="PAID","Account paid. Action completed.","Account closed. No further action required."),CHOOSE($W496,"Collection Email","1st Email Follow-up","2nd Email Follow-up","Escalation to Local Office","Escalation to CBE","Escalation to Roxanne")&amp;" sent "&amp;TEXT($X496,"dd-mmm")&amp;". "&amp;IF($W496=6,"Final escalation completed.",IF($T496="OVERDUE","Next: "&amp;$Z496&amp;" was due "&amp;TEXT($Y496,"dd-mmm")&amp;" - "&amp;(NETWORKDAYS($Y496,TODAY(),Holidays)-1)&amp;" business day(s) late. Send now.",IF($T496="DUE TOMORROW","Next: "&amp;$Z496&amp;IF($Y496&lt;=TODAY()," is due TODAY ("," is due next business day (")&amp;TEXT($Y496,"dd-mmm")&amp;").","Next: "&amp;$Z496&amp;" due "&amp;TEXT($Y496,"dd-mmm")&amp;" ("&amp;(NETWORKDAYS(TODAY(),$Y496,Holidays)-1)&amp;" business day(s) left).")))))</f>
        <v/>
      </c>
      <c r="V496" s="17">
        <f>IF($W496="","",CHOOSE($W496,"Collection Email","1st Follow-up","2nd Follow-up","Local Office","CBE","Roxanne")&amp;IF($W496=6," - Final"," - Day "&amp;MAX(0,NETWORKDAYS($X496,TODAY(),Holidays)-1)&amp;" of "&amp;CHOOSE($W496,3,3,2,2,3))&amp;" | Total Day "&amp;MAX(0,NETWORKDAYS($L496,TODAY(),Holidays)-1))</f>
        <v/>
      </c>
      <c r="W496" s="17">
        <f>IF($L496="","",COUNT($L496:$Q496))</f>
        <v/>
      </c>
      <c r="X496" s="18">
        <f>IF($W496="","",INT(INDEX($L496:$Q496,$W496)))</f>
        <v/>
      </c>
      <c r="Y496" s="18">
        <f>IF(OR($W496="",$W496=6),"",WORKDAY($X496,CHOOSE($W496,3,3,2,2,3),Holidays))</f>
        <v/>
      </c>
      <c r="Z496" s="17">
        <f>IF(OR($W496="",$W496=6),"",CHOOSE($W496,"1st Email Follow-up","2nd Email Follow-up","Escalate Local Office","Escalate to CBE","Escalate to Roxanne"))</f>
        <v/>
      </c>
    </row>
    <row r="497" spans="18:26">
      <c r="R497" s="15"/>
      <c r="S497" s="16"/>
      <c r="T497" s="17">
        <f>IF(AND(COUNTA($A497:$K497)=0,$L497=""),"",IF($S497="Paid","PAID",IF($S497="Closed","CLOSED",IF($W497="","",IF($W497=6,"ESCALATED TO ROXANNE",IF(TODAY()&gt;$Y497,"OVERDUE",IF($Y497&lt;=WORKDAY(TODAY(),1,Holidays),"DUE TOMORROW",IF($W497=4,"ESCALATED TO LOCAL OFFICE",IF($W497=5,"ESCALATED TO CBE",IF($X497=TODAY(),"EMAIL SENT","MONITORING"))))))))))</f>
        <v/>
      </c>
      <c r="U497" s="17">
        <f>IF($T497="",IF(AND(COUNTA($A497:$K497)&gt;0,$L497=""),"Awaiting Collection Email time stamp.",""),IF(OR($T497="PAID",$T497="CLOSED"),IF($T497="PAID","Account paid. Action completed.","Account closed. No further action required."),CHOOSE($W497,"Collection Email","1st Email Follow-up","2nd Email Follow-up","Escalation to Local Office","Escalation to CBE","Escalation to Roxanne")&amp;" sent "&amp;TEXT($X497,"dd-mmm")&amp;". "&amp;IF($W497=6,"Final escalation completed.",IF($T497="OVERDUE","Next: "&amp;$Z497&amp;" was due "&amp;TEXT($Y497,"dd-mmm")&amp;" - "&amp;(NETWORKDAYS($Y497,TODAY(),Holidays)-1)&amp;" business day(s) late. Send now.",IF($T497="DUE TOMORROW","Next: "&amp;$Z497&amp;IF($Y497&lt;=TODAY()," is due TODAY ("," is due next business day (")&amp;TEXT($Y497,"dd-mmm")&amp;").","Next: "&amp;$Z497&amp;" due "&amp;TEXT($Y497,"dd-mmm")&amp;" ("&amp;(NETWORKDAYS(TODAY(),$Y497,Holidays)-1)&amp;" business day(s) left).")))))</f>
        <v/>
      </c>
      <c r="V497" s="17">
        <f>IF($W497="","",CHOOSE($W497,"Collection Email","1st Follow-up","2nd Follow-up","Local Office","CBE","Roxanne")&amp;IF($W497=6," - Final"," - Day "&amp;MAX(0,NETWORKDAYS($X497,TODAY(),Holidays)-1)&amp;" of "&amp;CHOOSE($W497,3,3,2,2,3))&amp;" | Total Day "&amp;MAX(0,NETWORKDAYS($L497,TODAY(),Holidays)-1))</f>
        <v/>
      </c>
      <c r="W497" s="17">
        <f>IF($L497="","",COUNT($L497:$Q497))</f>
        <v/>
      </c>
      <c r="X497" s="18">
        <f>IF($W497="","",INT(INDEX($L497:$Q497,$W497)))</f>
        <v/>
      </c>
      <c r="Y497" s="18">
        <f>IF(OR($W497="",$W497=6),"",WORKDAY($X497,CHOOSE($W497,3,3,2,2,3),Holidays))</f>
        <v/>
      </c>
      <c r="Z497" s="17">
        <f>IF(OR($W497="",$W497=6),"",CHOOSE($W497,"1st Email Follow-up","2nd Email Follow-up","Escalate Local Office","Escalate to CBE","Escalate to Roxanne"))</f>
        <v/>
      </c>
    </row>
    <row r="498" spans="18:26">
      <c r="R498" s="15"/>
      <c r="S498" s="16"/>
      <c r="T498" s="17">
        <f>IF(AND(COUNTA($A498:$K498)=0,$L498=""),"",IF($S498="Paid","PAID",IF($S498="Closed","CLOSED",IF($W498="","",IF($W498=6,"ESCALATED TO ROXANNE",IF(TODAY()&gt;$Y498,"OVERDUE",IF($Y498&lt;=WORKDAY(TODAY(),1,Holidays),"DUE TOMORROW",IF($W498=4,"ESCALATED TO LOCAL OFFICE",IF($W498=5,"ESCALATED TO CBE",IF($X498=TODAY(),"EMAIL SENT","MONITORING"))))))))))</f>
        <v/>
      </c>
      <c r="U498" s="17">
        <f>IF($T498="",IF(AND(COUNTA($A498:$K498)&gt;0,$L498=""),"Awaiting Collection Email time stamp.",""),IF(OR($T498="PAID",$T498="CLOSED"),IF($T498="PAID","Account paid. Action completed.","Account closed. No further action required."),CHOOSE($W498,"Collection Email","1st Email Follow-up","2nd Email Follow-up","Escalation to Local Office","Escalation to CBE","Escalation to Roxanne")&amp;" sent "&amp;TEXT($X498,"dd-mmm")&amp;". "&amp;IF($W498=6,"Final escalation completed.",IF($T498="OVERDUE","Next: "&amp;$Z498&amp;" was due "&amp;TEXT($Y498,"dd-mmm")&amp;" - "&amp;(NETWORKDAYS($Y498,TODAY(),Holidays)-1)&amp;" business day(s) late. Send now.",IF($T498="DUE TOMORROW","Next: "&amp;$Z498&amp;IF($Y498&lt;=TODAY()," is due TODAY ("," is due next business day (")&amp;TEXT($Y498,"dd-mmm")&amp;").","Next: "&amp;$Z498&amp;" due "&amp;TEXT($Y498,"dd-mmm")&amp;" ("&amp;(NETWORKDAYS(TODAY(),$Y498,Holidays)-1)&amp;" business day(s) left).")))))</f>
        <v/>
      </c>
      <c r="V498" s="17">
        <f>IF($W498="","",CHOOSE($W498,"Collection Email","1st Follow-up","2nd Follow-up","Local Office","CBE","Roxanne")&amp;IF($W498=6," - Final"," - Day "&amp;MAX(0,NETWORKDAYS($X498,TODAY(),Holidays)-1)&amp;" of "&amp;CHOOSE($W498,3,3,2,2,3))&amp;" | Total Day "&amp;MAX(0,NETWORKDAYS($L498,TODAY(),Holidays)-1))</f>
        <v/>
      </c>
      <c r="W498" s="17">
        <f>IF($L498="","",COUNT($L498:$Q498))</f>
        <v/>
      </c>
      <c r="X498" s="18">
        <f>IF($W498="","",INT(INDEX($L498:$Q498,$W498)))</f>
        <v/>
      </c>
      <c r="Y498" s="18">
        <f>IF(OR($W498="",$W498=6),"",WORKDAY($X498,CHOOSE($W498,3,3,2,2,3),Holidays))</f>
        <v/>
      </c>
      <c r="Z498" s="17">
        <f>IF(OR($W498="",$W498=6),"",CHOOSE($W498,"1st Email Follow-up","2nd Email Follow-up","Escalate Local Office","Escalate to CBE","Escalate to Roxanne"))</f>
        <v/>
      </c>
    </row>
    <row r="499" spans="18:26">
      <c r="R499" s="15"/>
      <c r="S499" s="16"/>
      <c r="T499" s="17">
        <f>IF(AND(COUNTA($A499:$K499)=0,$L499=""),"",IF($S499="Paid","PAID",IF($S499="Closed","CLOSED",IF($W499="","",IF($W499=6,"ESCALATED TO ROXANNE",IF(TODAY()&gt;$Y499,"OVERDUE",IF($Y499&lt;=WORKDAY(TODAY(),1,Holidays),"DUE TOMORROW",IF($W499=4,"ESCALATED TO LOCAL OFFICE",IF($W499=5,"ESCALATED TO CBE",IF($X499=TODAY(),"EMAIL SENT","MONITORING"))))))))))</f>
        <v/>
      </c>
      <c r="U499" s="17">
        <f>IF($T499="",IF(AND(COUNTA($A499:$K499)&gt;0,$L499=""),"Awaiting Collection Email time stamp.",""),IF(OR($T499="PAID",$T499="CLOSED"),IF($T499="PAID","Account paid. Action completed.","Account closed. No further action required."),CHOOSE($W499,"Collection Email","1st Email Follow-up","2nd Email Follow-up","Escalation to Local Office","Escalation to CBE","Escalation to Roxanne")&amp;" sent "&amp;TEXT($X499,"dd-mmm")&amp;". "&amp;IF($W499=6,"Final escalation completed.",IF($T499="OVERDUE","Next: "&amp;$Z499&amp;" was due "&amp;TEXT($Y499,"dd-mmm")&amp;" - "&amp;(NETWORKDAYS($Y499,TODAY(),Holidays)-1)&amp;" business day(s) late. Send now.",IF($T499="DUE TOMORROW","Next: "&amp;$Z499&amp;IF($Y499&lt;=TODAY()," is due TODAY ("," is due next business day (")&amp;TEXT($Y499,"dd-mmm")&amp;").","Next: "&amp;$Z499&amp;" due "&amp;TEXT($Y499,"dd-mmm")&amp;" ("&amp;(NETWORKDAYS(TODAY(),$Y499,Holidays)-1)&amp;" business day(s) left).")))))</f>
        <v/>
      </c>
      <c r="V499" s="17">
        <f>IF($W499="","",CHOOSE($W499,"Collection Email","1st Follow-up","2nd Follow-up","Local Office","CBE","Roxanne")&amp;IF($W499=6," - Final"," - Day "&amp;MAX(0,NETWORKDAYS($X499,TODAY(),Holidays)-1)&amp;" of "&amp;CHOOSE($W499,3,3,2,2,3))&amp;" | Total Day "&amp;MAX(0,NETWORKDAYS($L499,TODAY(),Holidays)-1))</f>
        <v/>
      </c>
      <c r="W499" s="17">
        <f>IF($L499="","",COUNT($L499:$Q499))</f>
        <v/>
      </c>
      <c r="X499" s="18">
        <f>IF($W499="","",INT(INDEX($L499:$Q499,$W499)))</f>
        <v/>
      </c>
      <c r="Y499" s="18">
        <f>IF(OR($W499="",$W499=6),"",WORKDAY($X499,CHOOSE($W499,3,3,2,2,3),Holidays))</f>
        <v/>
      </c>
      <c r="Z499" s="17">
        <f>IF(OR($W499="",$W499=6),"",CHOOSE($W499,"1st Email Follow-up","2nd Email Follow-up","Escalate Local Office","Escalate to CBE","Escalate to Roxanne"))</f>
        <v/>
      </c>
    </row>
    <row r="500" spans="18:26">
      <c r="R500" s="15"/>
      <c r="S500" s="16"/>
      <c r="T500" s="17">
        <f>IF(AND(COUNTA($A500:$K500)=0,$L500=""),"",IF($S500="Paid","PAID",IF($S500="Closed","CLOSED",IF($W500="","",IF($W500=6,"ESCALATED TO ROXANNE",IF(TODAY()&gt;$Y500,"OVERDUE",IF($Y500&lt;=WORKDAY(TODAY(),1,Holidays),"DUE TOMORROW",IF($W500=4,"ESCALATED TO LOCAL OFFICE",IF($W500=5,"ESCALATED TO CBE",IF($X500=TODAY(),"EMAIL SENT","MONITORING"))))))))))</f>
        <v/>
      </c>
      <c r="U500" s="17">
        <f>IF($T500="",IF(AND(COUNTA($A500:$K500)&gt;0,$L500=""),"Awaiting Collection Email time stamp.",""),IF(OR($T500="PAID",$T500="CLOSED"),IF($T500="PAID","Account paid. Action completed.","Account closed. No further action required."),CHOOSE($W500,"Collection Email","1st Email Follow-up","2nd Email Follow-up","Escalation to Local Office","Escalation to CBE","Escalation to Roxanne")&amp;" sent "&amp;TEXT($X500,"dd-mmm")&amp;". "&amp;IF($W500=6,"Final escalation completed.",IF($T500="OVERDUE","Next: "&amp;$Z500&amp;" was due "&amp;TEXT($Y500,"dd-mmm")&amp;" - "&amp;(NETWORKDAYS($Y500,TODAY(),Holidays)-1)&amp;" business day(s) late. Send now.",IF($T500="DUE TOMORROW","Next: "&amp;$Z500&amp;IF($Y500&lt;=TODAY()," is due TODAY ("," is due next business day (")&amp;TEXT($Y500,"dd-mmm")&amp;").","Next: "&amp;$Z500&amp;" due "&amp;TEXT($Y500,"dd-mmm")&amp;" ("&amp;(NETWORKDAYS(TODAY(),$Y500,Holidays)-1)&amp;" business day(s) left).")))))</f>
        <v/>
      </c>
      <c r="V500" s="17">
        <f>IF($W500="","",CHOOSE($W500,"Collection Email","1st Follow-up","2nd Follow-up","Local Office","CBE","Roxanne")&amp;IF($W500=6," - Final"," - Day "&amp;MAX(0,NETWORKDAYS($X500,TODAY(),Holidays)-1)&amp;" of "&amp;CHOOSE($W500,3,3,2,2,3))&amp;" | Total Day "&amp;MAX(0,NETWORKDAYS($L500,TODAY(),Holidays)-1))</f>
        <v/>
      </c>
      <c r="W500" s="17">
        <f>IF($L500="","",COUNT($L500:$Q500))</f>
        <v/>
      </c>
      <c r="X500" s="18">
        <f>IF($W500="","",INT(INDEX($L500:$Q500,$W500)))</f>
        <v/>
      </c>
      <c r="Y500" s="18">
        <f>IF(OR($W500="",$W500=6),"",WORKDAY($X500,CHOOSE($W500,3,3,2,2,3),Holidays))</f>
        <v/>
      </c>
      <c r="Z500" s="17">
        <f>IF(OR($W500="",$W500=6),"",CHOOSE($W500,"1st Email Follow-up","2nd Email Follow-up","Escalate Local Office","Escalate to CBE","Escalate to Roxanne"))</f>
        <v/>
      </c>
    </row>
    <row r="501" spans="18:26">
      <c r="R501" s="15"/>
      <c r="S501" s="16"/>
      <c r="T501" s="17">
        <f>IF(AND(COUNTA($A501:$K501)=0,$L501=""),"",IF($S501="Paid","PAID",IF($S501="Closed","CLOSED",IF($W501="","",IF($W501=6,"ESCALATED TO ROXANNE",IF(TODAY()&gt;$Y501,"OVERDUE",IF($Y501&lt;=WORKDAY(TODAY(),1,Holidays),"DUE TOMORROW",IF($W501=4,"ESCALATED TO LOCAL OFFICE",IF($W501=5,"ESCALATED TO CBE",IF($X501=TODAY(),"EMAIL SENT","MONITORING"))))))))))</f>
        <v/>
      </c>
      <c r="U501" s="17">
        <f>IF($T501="",IF(AND(COUNTA($A501:$K501)&gt;0,$L501=""),"Awaiting Collection Email time stamp.",""),IF(OR($T501="PAID",$T501="CLOSED"),IF($T501="PAID","Account paid. Action completed.","Account closed. No further action required."),CHOOSE($W501,"Collection Email","1st Email Follow-up","2nd Email Follow-up","Escalation to Local Office","Escalation to CBE","Escalation to Roxanne")&amp;" sent "&amp;TEXT($X501,"dd-mmm")&amp;". "&amp;IF($W501=6,"Final escalation completed.",IF($T501="OVERDUE","Next: "&amp;$Z501&amp;" was due "&amp;TEXT($Y501,"dd-mmm")&amp;" - "&amp;(NETWORKDAYS($Y501,TODAY(),Holidays)-1)&amp;" business day(s) late. Send now.",IF($T501="DUE TOMORROW","Next: "&amp;$Z501&amp;IF($Y501&lt;=TODAY()," is due TODAY ("," is due next business day (")&amp;TEXT($Y501,"dd-mmm")&amp;").","Next: "&amp;$Z501&amp;" due "&amp;TEXT($Y501,"dd-mmm")&amp;" ("&amp;(NETWORKDAYS(TODAY(),$Y501,Holidays)-1)&amp;" business day(s) left).")))))</f>
        <v/>
      </c>
      <c r="V501" s="17">
        <f>IF($W501="","",CHOOSE($W501,"Collection Email","1st Follow-up","2nd Follow-up","Local Office","CBE","Roxanne")&amp;IF($W501=6," - Final"," - Day "&amp;MAX(0,NETWORKDAYS($X501,TODAY(),Holidays)-1)&amp;" of "&amp;CHOOSE($W501,3,3,2,2,3))&amp;" | Total Day "&amp;MAX(0,NETWORKDAYS($L501,TODAY(),Holidays)-1))</f>
        <v/>
      </c>
      <c r="W501" s="17">
        <f>IF($L501="","",COUNT($L501:$Q501))</f>
        <v/>
      </c>
      <c r="X501" s="18">
        <f>IF($W501="","",INT(INDEX($L501:$Q501,$W501)))</f>
        <v/>
      </c>
      <c r="Y501" s="18">
        <f>IF(OR($W501="",$W501=6),"",WORKDAY($X501,CHOOSE($W501,3,3,2,2,3),Holidays))</f>
        <v/>
      </c>
      <c r="Z501" s="17">
        <f>IF(OR($W501="",$W501=6),"",CHOOSE($W501,"1st Email Follow-up","2nd Email Follow-up","Escalate Local Office","Escalate to CBE","Escalate to Roxanne"))</f>
        <v/>
      </c>
    </row>
    <row r="502" spans="18:26">
      <c r="R502" s="15"/>
      <c r="S502" s="16"/>
      <c r="T502" s="17">
        <f>IF(AND(COUNTA($A502:$K502)=0,$L502=""),"",IF($S502="Paid","PAID",IF($S502="Closed","CLOSED",IF($W502="","",IF($W502=6,"ESCALATED TO ROXANNE",IF(TODAY()&gt;$Y502,"OVERDUE",IF($Y502&lt;=WORKDAY(TODAY(),1,Holidays),"DUE TOMORROW",IF($W502=4,"ESCALATED TO LOCAL OFFICE",IF($W502=5,"ESCALATED TO CBE",IF($X502=TODAY(),"EMAIL SENT","MONITORING"))))))))))</f>
        <v/>
      </c>
      <c r="U502" s="17">
        <f>IF($T502="",IF(AND(COUNTA($A502:$K502)&gt;0,$L502=""),"Awaiting Collection Email time stamp.",""),IF(OR($T502="PAID",$T502="CLOSED"),IF($T502="PAID","Account paid. Action completed.","Account closed. No further action required."),CHOOSE($W502,"Collection Email","1st Email Follow-up","2nd Email Follow-up","Escalation to Local Office","Escalation to CBE","Escalation to Roxanne")&amp;" sent "&amp;TEXT($X502,"dd-mmm")&amp;". "&amp;IF($W502=6,"Final escalation completed.",IF($T502="OVERDUE","Next: "&amp;$Z502&amp;" was due "&amp;TEXT($Y502,"dd-mmm")&amp;" - "&amp;(NETWORKDAYS($Y502,TODAY(),Holidays)-1)&amp;" business day(s) late. Send now.",IF($T502="DUE TOMORROW","Next: "&amp;$Z502&amp;IF($Y502&lt;=TODAY()," is due TODAY ("," is due next business day (")&amp;TEXT($Y502,"dd-mmm")&amp;").","Next: "&amp;$Z502&amp;" due "&amp;TEXT($Y502,"dd-mmm")&amp;" ("&amp;(NETWORKDAYS(TODAY(),$Y502,Holidays)-1)&amp;" business day(s) left).")))))</f>
        <v/>
      </c>
      <c r="V502" s="17">
        <f>IF($W502="","",CHOOSE($W502,"Collection Email","1st Follow-up","2nd Follow-up","Local Office","CBE","Roxanne")&amp;IF($W502=6," - Final"," - Day "&amp;MAX(0,NETWORKDAYS($X502,TODAY(),Holidays)-1)&amp;" of "&amp;CHOOSE($W502,3,3,2,2,3))&amp;" | Total Day "&amp;MAX(0,NETWORKDAYS($L502,TODAY(),Holidays)-1))</f>
        <v/>
      </c>
      <c r="W502" s="17">
        <f>IF($L502="","",COUNT($L502:$Q502))</f>
        <v/>
      </c>
      <c r="X502" s="18">
        <f>IF($W502="","",INT(INDEX($L502:$Q502,$W502)))</f>
        <v/>
      </c>
      <c r="Y502" s="18">
        <f>IF(OR($W502="",$W502=6),"",WORKDAY($X502,CHOOSE($W502,3,3,2,2,3),Holidays))</f>
        <v/>
      </c>
      <c r="Z502" s="17">
        <f>IF(OR($W502="",$W502=6),"",CHOOSE($W502,"1st Email Follow-up","2nd Email Follow-up","Escalate Local Office","Escalate to CBE","Escalate to Roxanne"))</f>
        <v/>
      </c>
    </row>
    <row r="503" spans="18:26">
      <c r="R503" s="15"/>
      <c r="S503" s="16"/>
      <c r="T503" s="17">
        <f>IF(AND(COUNTA($A503:$K503)=0,$L503=""),"",IF($S503="Paid","PAID",IF($S503="Closed","CLOSED",IF($W503="","",IF($W503=6,"ESCALATED TO ROXANNE",IF(TODAY()&gt;$Y503,"OVERDUE",IF($Y503&lt;=WORKDAY(TODAY(),1,Holidays),"DUE TOMORROW",IF($W503=4,"ESCALATED TO LOCAL OFFICE",IF($W503=5,"ESCALATED TO CBE",IF($X503=TODAY(),"EMAIL SENT","MONITORING"))))))))))</f>
        <v/>
      </c>
      <c r="U503" s="17">
        <f>IF($T503="",IF(AND(COUNTA($A503:$K503)&gt;0,$L503=""),"Awaiting Collection Email time stamp.",""),IF(OR($T503="PAID",$T503="CLOSED"),IF($T503="PAID","Account paid. Action completed.","Account closed. No further action required."),CHOOSE($W503,"Collection Email","1st Email Follow-up","2nd Email Follow-up","Escalation to Local Office","Escalation to CBE","Escalation to Roxanne")&amp;" sent "&amp;TEXT($X503,"dd-mmm")&amp;". "&amp;IF($W503=6,"Final escalation completed.",IF($T503="OVERDUE","Next: "&amp;$Z503&amp;" was due "&amp;TEXT($Y503,"dd-mmm")&amp;" - "&amp;(NETWORKDAYS($Y503,TODAY(),Holidays)-1)&amp;" business day(s) late. Send now.",IF($T503="DUE TOMORROW","Next: "&amp;$Z503&amp;IF($Y503&lt;=TODAY()," is due TODAY ("," is due next business day (")&amp;TEXT($Y503,"dd-mmm")&amp;").","Next: "&amp;$Z503&amp;" due "&amp;TEXT($Y503,"dd-mmm")&amp;" ("&amp;(NETWORKDAYS(TODAY(),$Y503,Holidays)-1)&amp;" business day(s) left).")))))</f>
        <v/>
      </c>
      <c r="V503" s="17">
        <f>IF($W503="","",CHOOSE($W503,"Collection Email","1st Follow-up","2nd Follow-up","Local Office","CBE","Roxanne")&amp;IF($W503=6," - Final"," - Day "&amp;MAX(0,NETWORKDAYS($X503,TODAY(),Holidays)-1)&amp;" of "&amp;CHOOSE($W503,3,3,2,2,3))&amp;" | Total Day "&amp;MAX(0,NETWORKDAYS($L503,TODAY(),Holidays)-1))</f>
        <v/>
      </c>
      <c r="W503" s="17">
        <f>IF($L503="","",COUNT($L503:$Q503))</f>
        <v/>
      </c>
      <c r="X503" s="18">
        <f>IF($W503="","",INT(INDEX($L503:$Q503,$W503)))</f>
        <v/>
      </c>
      <c r="Y503" s="18">
        <f>IF(OR($W503="",$W503=6),"",WORKDAY($X503,CHOOSE($W503,3,3,2,2,3),Holidays))</f>
        <v/>
      </c>
      <c r="Z503" s="17">
        <f>IF(OR($W503="",$W503=6),"",CHOOSE($W503,"1st Email Follow-up","2nd Email Follow-up","Escalate Local Office","Escalate to CBE","Escalate to Roxanne"))</f>
        <v/>
      </c>
    </row>
    <row r="504" spans="18:26">
      <c r="R504" s="15"/>
      <c r="S504" s="16"/>
      <c r="T504" s="17">
        <f>IF(AND(COUNTA($A504:$K504)=0,$L504=""),"",IF($S504="Paid","PAID",IF($S504="Closed","CLOSED",IF($W504="","",IF($W504=6,"ESCALATED TO ROXANNE",IF(TODAY()&gt;$Y504,"OVERDUE",IF($Y504&lt;=WORKDAY(TODAY(),1,Holidays),"DUE TOMORROW",IF($W504=4,"ESCALATED TO LOCAL OFFICE",IF($W504=5,"ESCALATED TO CBE",IF($X504=TODAY(),"EMAIL SENT","MONITORING"))))))))))</f>
        <v/>
      </c>
      <c r="U504" s="17">
        <f>IF($T504="",IF(AND(COUNTA($A504:$K504)&gt;0,$L504=""),"Awaiting Collection Email time stamp.",""),IF(OR($T504="PAID",$T504="CLOSED"),IF($T504="PAID","Account paid. Action completed.","Account closed. No further action required."),CHOOSE($W504,"Collection Email","1st Email Follow-up","2nd Email Follow-up","Escalation to Local Office","Escalation to CBE","Escalation to Roxanne")&amp;" sent "&amp;TEXT($X504,"dd-mmm")&amp;". "&amp;IF($W504=6,"Final escalation completed.",IF($T504="OVERDUE","Next: "&amp;$Z504&amp;" was due "&amp;TEXT($Y504,"dd-mmm")&amp;" - "&amp;(NETWORKDAYS($Y504,TODAY(),Holidays)-1)&amp;" business day(s) late. Send now.",IF($T504="DUE TOMORROW","Next: "&amp;$Z504&amp;IF($Y504&lt;=TODAY()," is due TODAY ("," is due next business day (")&amp;TEXT($Y504,"dd-mmm")&amp;").","Next: "&amp;$Z504&amp;" due "&amp;TEXT($Y504,"dd-mmm")&amp;" ("&amp;(NETWORKDAYS(TODAY(),$Y504,Holidays)-1)&amp;" business day(s) left).")))))</f>
        <v/>
      </c>
      <c r="V504" s="17">
        <f>IF($W504="","",CHOOSE($W504,"Collection Email","1st Follow-up","2nd Follow-up","Local Office","CBE","Roxanne")&amp;IF($W504=6," - Final"," - Day "&amp;MAX(0,NETWORKDAYS($X504,TODAY(),Holidays)-1)&amp;" of "&amp;CHOOSE($W504,3,3,2,2,3))&amp;" | Total Day "&amp;MAX(0,NETWORKDAYS($L504,TODAY(),Holidays)-1))</f>
        <v/>
      </c>
      <c r="W504" s="17">
        <f>IF($L504="","",COUNT($L504:$Q504))</f>
        <v/>
      </c>
      <c r="X504" s="18">
        <f>IF($W504="","",INT(INDEX($L504:$Q504,$W504)))</f>
        <v/>
      </c>
      <c r="Y504" s="18">
        <f>IF(OR($W504="",$W504=6),"",WORKDAY($X504,CHOOSE($W504,3,3,2,2,3),Holidays))</f>
        <v/>
      </c>
      <c r="Z504" s="17">
        <f>IF(OR($W504="",$W504=6),"",CHOOSE($W504,"1st Email Follow-up","2nd Email Follow-up","Escalate Local Office","Escalate to CBE","Escalate to Roxanne"))</f>
        <v/>
      </c>
    </row>
    <row r="505" spans="18:26">
      <c r="R505" s="15"/>
      <c r="S505" s="16"/>
      <c r="T505" s="17">
        <f>IF(AND(COUNTA($A505:$K505)=0,$L505=""),"",IF($S505="Paid","PAID",IF($S505="Closed","CLOSED",IF($W505="","",IF($W505=6,"ESCALATED TO ROXANNE",IF(TODAY()&gt;$Y505,"OVERDUE",IF($Y505&lt;=WORKDAY(TODAY(),1,Holidays),"DUE TOMORROW",IF($W505=4,"ESCALATED TO LOCAL OFFICE",IF($W505=5,"ESCALATED TO CBE",IF($X505=TODAY(),"EMAIL SENT","MONITORING"))))))))))</f>
        <v/>
      </c>
      <c r="U505" s="17">
        <f>IF($T505="",IF(AND(COUNTA($A505:$K505)&gt;0,$L505=""),"Awaiting Collection Email time stamp.",""),IF(OR($T505="PAID",$T505="CLOSED"),IF($T505="PAID","Account paid. Action completed.","Account closed. No further action required."),CHOOSE($W505,"Collection Email","1st Email Follow-up","2nd Email Follow-up","Escalation to Local Office","Escalation to CBE","Escalation to Roxanne")&amp;" sent "&amp;TEXT($X505,"dd-mmm")&amp;". "&amp;IF($W505=6,"Final escalation completed.",IF($T505="OVERDUE","Next: "&amp;$Z505&amp;" was due "&amp;TEXT($Y505,"dd-mmm")&amp;" - "&amp;(NETWORKDAYS($Y505,TODAY(),Holidays)-1)&amp;" business day(s) late. Send now.",IF($T505="DUE TOMORROW","Next: "&amp;$Z505&amp;IF($Y505&lt;=TODAY()," is due TODAY ("," is due next business day (")&amp;TEXT($Y505,"dd-mmm")&amp;").","Next: "&amp;$Z505&amp;" due "&amp;TEXT($Y505,"dd-mmm")&amp;" ("&amp;(NETWORKDAYS(TODAY(),$Y505,Holidays)-1)&amp;" business day(s) left).")))))</f>
        <v/>
      </c>
      <c r="V505" s="17">
        <f>IF($W505="","",CHOOSE($W505,"Collection Email","1st Follow-up","2nd Follow-up","Local Office","CBE","Roxanne")&amp;IF($W505=6," - Final"," - Day "&amp;MAX(0,NETWORKDAYS($X505,TODAY(),Holidays)-1)&amp;" of "&amp;CHOOSE($W505,3,3,2,2,3))&amp;" | Total Day "&amp;MAX(0,NETWORKDAYS($L505,TODAY(),Holidays)-1))</f>
        <v/>
      </c>
      <c r="W505" s="17">
        <f>IF($L505="","",COUNT($L505:$Q505))</f>
        <v/>
      </c>
      <c r="X505" s="18">
        <f>IF($W505="","",INT(INDEX($L505:$Q505,$W505)))</f>
        <v/>
      </c>
      <c r="Y505" s="18">
        <f>IF(OR($W505="",$W505=6),"",WORKDAY($X505,CHOOSE($W505,3,3,2,2,3),Holidays))</f>
        <v/>
      </c>
      <c r="Z505" s="17">
        <f>IF(OR($W505="",$W505=6),"",CHOOSE($W505,"1st Email Follow-up","2nd Email Follow-up","Escalate Local Office","Escalate to CBE","Escalate to Roxanne"))</f>
        <v/>
      </c>
    </row>
    <row r="506" spans="18:26">
      <c r="R506" s="15"/>
      <c r="S506" s="16"/>
      <c r="T506" s="17">
        <f>IF(AND(COUNTA($A506:$K506)=0,$L506=""),"",IF($S506="Paid","PAID",IF($S506="Closed","CLOSED",IF($W506="","",IF($W506=6,"ESCALATED TO ROXANNE",IF(TODAY()&gt;$Y506,"OVERDUE",IF($Y506&lt;=WORKDAY(TODAY(),1,Holidays),"DUE TOMORROW",IF($W506=4,"ESCALATED TO LOCAL OFFICE",IF($W506=5,"ESCALATED TO CBE",IF($X506=TODAY(),"EMAIL SENT","MONITORING"))))))))))</f>
        <v/>
      </c>
      <c r="U506" s="17">
        <f>IF($T506="",IF(AND(COUNTA($A506:$K506)&gt;0,$L506=""),"Awaiting Collection Email time stamp.",""),IF(OR($T506="PAID",$T506="CLOSED"),IF($T506="PAID","Account paid. Action completed.","Account closed. No further action required."),CHOOSE($W506,"Collection Email","1st Email Follow-up","2nd Email Follow-up","Escalation to Local Office","Escalation to CBE","Escalation to Roxanne")&amp;" sent "&amp;TEXT($X506,"dd-mmm")&amp;". "&amp;IF($W506=6,"Final escalation completed.",IF($T506="OVERDUE","Next: "&amp;$Z506&amp;" was due "&amp;TEXT($Y506,"dd-mmm")&amp;" - "&amp;(NETWORKDAYS($Y506,TODAY(),Holidays)-1)&amp;" business day(s) late. Send now.",IF($T506="DUE TOMORROW","Next: "&amp;$Z506&amp;IF($Y506&lt;=TODAY()," is due TODAY ("," is due next business day (")&amp;TEXT($Y506,"dd-mmm")&amp;").","Next: "&amp;$Z506&amp;" due "&amp;TEXT($Y506,"dd-mmm")&amp;" ("&amp;(NETWORKDAYS(TODAY(),$Y506,Holidays)-1)&amp;" business day(s) left).")))))</f>
        <v/>
      </c>
      <c r="V506" s="17">
        <f>IF($W506="","",CHOOSE($W506,"Collection Email","1st Follow-up","2nd Follow-up","Local Office","CBE","Roxanne")&amp;IF($W506=6," - Final"," - Day "&amp;MAX(0,NETWORKDAYS($X506,TODAY(),Holidays)-1)&amp;" of "&amp;CHOOSE($W506,3,3,2,2,3))&amp;" | Total Day "&amp;MAX(0,NETWORKDAYS($L506,TODAY(),Holidays)-1))</f>
        <v/>
      </c>
      <c r="W506" s="17">
        <f>IF($L506="","",COUNT($L506:$Q506))</f>
        <v/>
      </c>
      <c r="X506" s="18">
        <f>IF($W506="","",INT(INDEX($L506:$Q506,$W506)))</f>
        <v/>
      </c>
      <c r="Y506" s="18">
        <f>IF(OR($W506="",$W506=6),"",WORKDAY($X506,CHOOSE($W506,3,3,2,2,3),Holidays))</f>
        <v/>
      </c>
      <c r="Z506" s="17">
        <f>IF(OR($W506="",$W506=6),"",CHOOSE($W506,"1st Email Follow-up","2nd Email Follow-up","Escalate Local Office","Escalate to CBE","Escalate to Roxanne"))</f>
        <v/>
      </c>
    </row>
    <row r="507" spans="18:26">
      <c r="R507" s="15"/>
      <c r="S507" s="16"/>
      <c r="T507" s="17">
        <f>IF(AND(COUNTA($A507:$K507)=0,$L507=""),"",IF($S507="Paid","PAID",IF($S507="Closed","CLOSED",IF($W507="","",IF($W507=6,"ESCALATED TO ROXANNE",IF(TODAY()&gt;$Y507,"OVERDUE",IF($Y507&lt;=WORKDAY(TODAY(),1,Holidays),"DUE TOMORROW",IF($W507=4,"ESCALATED TO LOCAL OFFICE",IF($W507=5,"ESCALATED TO CBE",IF($X507=TODAY(),"EMAIL SENT","MONITORING"))))))))))</f>
        <v/>
      </c>
      <c r="U507" s="17">
        <f>IF($T507="",IF(AND(COUNTA($A507:$K507)&gt;0,$L507=""),"Awaiting Collection Email time stamp.",""),IF(OR($T507="PAID",$T507="CLOSED"),IF($T507="PAID","Account paid. Action completed.","Account closed. No further action required."),CHOOSE($W507,"Collection Email","1st Email Follow-up","2nd Email Follow-up","Escalation to Local Office","Escalation to CBE","Escalation to Roxanne")&amp;" sent "&amp;TEXT($X507,"dd-mmm")&amp;". "&amp;IF($W507=6,"Final escalation completed.",IF($T507="OVERDUE","Next: "&amp;$Z507&amp;" was due "&amp;TEXT($Y507,"dd-mmm")&amp;" - "&amp;(NETWORKDAYS($Y507,TODAY(),Holidays)-1)&amp;" business day(s) late. Send now.",IF($T507="DUE TOMORROW","Next: "&amp;$Z507&amp;IF($Y507&lt;=TODAY()," is due TODAY ("," is due next business day (")&amp;TEXT($Y507,"dd-mmm")&amp;").","Next: "&amp;$Z507&amp;" due "&amp;TEXT($Y507,"dd-mmm")&amp;" ("&amp;(NETWORKDAYS(TODAY(),$Y507,Holidays)-1)&amp;" business day(s) left).")))))</f>
        <v/>
      </c>
      <c r="V507" s="17">
        <f>IF($W507="","",CHOOSE($W507,"Collection Email","1st Follow-up","2nd Follow-up","Local Office","CBE","Roxanne")&amp;IF($W507=6," - Final"," - Day "&amp;MAX(0,NETWORKDAYS($X507,TODAY(),Holidays)-1)&amp;" of "&amp;CHOOSE($W507,3,3,2,2,3))&amp;" | Total Day "&amp;MAX(0,NETWORKDAYS($L507,TODAY(),Holidays)-1))</f>
        <v/>
      </c>
      <c r="W507" s="17">
        <f>IF($L507="","",COUNT($L507:$Q507))</f>
        <v/>
      </c>
      <c r="X507" s="18">
        <f>IF($W507="","",INT(INDEX($L507:$Q507,$W507)))</f>
        <v/>
      </c>
      <c r="Y507" s="18">
        <f>IF(OR($W507="",$W507=6),"",WORKDAY($X507,CHOOSE($W507,3,3,2,2,3),Holidays))</f>
        <v/>
      </c>
      <c r="Z507" s="17">
        <f>IF(OR($W507="",$W507=6),"",CHOOSE($W507,"1st Email Follow-up","2nd Email Follow-up","Escalate Local Office","Escalate to CBE","Escalate to Roxanne"))</f>
        <v/>
      </c>
    </row>
    <row r="508" spans="18:26">
      <c r="R508" s="15"/>
      <c r="S508" s="16"/>
      <c r="T508" s="17">
        <f>IF(AND(COUNTA($A508:$K508)=0,$L508=""),"",IF($S508="Paid","PAID",IF($S508="Closed","CLOSED",IF($W508="","",IF($W508=6,"ESCALATED TO ROXANNE",IF(TODAY()&gt;$Y508,"OVERDUE",IF($Y508&lt;=WORKDAY(TODAY(),1,Holidays),"DUE TOMORROW",IF($W508=4,"ESCALATED TO LOCAL OFFICE",IF($W508=5,"ESCALATED TO CBE",IF($X508=TODAY(),"EMAIL SENT","MONITORING"))))))))))</f>
        <v/>
      </c>
      <c r="U508" s="17">
        <f>IF($T508="",IF(AND(COUNTA($A508:$K508)&gt;0,$L508=""),"Awaiting Collection Email time stamp.",""),IF(OR($T508="PAID",$T508="CLOSED"),IF($T508="PAID","Account paid. Action completed.","Account closed. No further action required."),CHOOSE($W508,"Collection Email","1st Email Follow-up","2nd Email Follow-up","Escalation to Local Office","Escalation to CBE","Escalation to Roxanne")&amp;" sent "&amp;TEXT($X508,"dd-mmm")&amp;". "&amp;IF($W508=6,"Final escalation completed.",IF($T508="OVERDUE","Next: "&amp;$Z508&amp;" was due "&amp;TEXT($Y508,"dd-mmm")&amp;" - "&amp;(NETWORKDAYS($Y508,TODAY(),Holidays)-1)&amp;" business day(s) late. Send now.",IF($T508="DUE TOMORROW","Next: "&amp;$Z508&amp;IF($Y508&lt;=TODAY()," is due TODAY ("," is due next business day (")&amp;TEXT($Y508,"dd-mmm")&amp;").","Next: "&amp;$Z508&amp;" due "&amp;TEXT($Y508,"dd-mmm")&amp;" ("&amp;(NETWORKDAYS(TODAY(),$Y508,Holidays)-1)&amp;" business day(s) left).")))))</f>
        <v/>
      </c>
      <c r="V508" s="17">
        <f>IF($W508="","",CHOOSE($W508,"Collection Email","1st Follow-up","2nd Follow-up","Local Office","CBE","Roxanne")&amp;IF($W508=6," - Final"," - Day "&amp;MAX(0,NETWORKDAYS($X508,TODAY(),Holidays)-1)&amp;" of "&amp;CHOOSE($W508,3,3,2,2,3))&amp;" | Total Day "&amp;MAX(0,NETWORKDAYS($L508,TODAY(),Holidays)-1))</f>
        <v/>
      </c>
      <c r="W508" s="17">
        <f>IF($L508="","",COUNT($L508:$Q508))</f>
        <v/>
      </c>
      <c r="X508" s="18">
        <f>IF($W508="","",INT(INDEX($L508:$Q508,$W508)))</f>
        <v/>
      </c>
      <c r="Y508" s="18">
        <f>IF(OR($W508="",$W508=6),"",WORKDAY($X508,CHOOSE($W508,3,3,2,2,3),Holidays))</f>
        <v/>
      </c>
      <c r="Z508" s="17">
        <f>IF(OR($W508="",$W508=6),"",CHOOSE($W508,"1st Email Follow-up","2nd Email Follow-up","Escalate Local Office","Escalate to CBE","Escalate to Roxanne"))</f>
        <v/>
      </c>
    </row>
    <row r="509" spans="18:26">
      <c r="R509" s="15"/>
      <c r="S509" s="16"/>
      <c r="T509" s="17">
        <f>IF(AND(COUNTA($A509:$K509)=0,$L509=""),"",IF($S509="Paid","PAID",IF($S509="Closed","CLOSED",IF($W509="","",IF($W509=6,"ESCALATED TO ROXANNE",IF(TODAY()&gt;$Y509,"OVERDUE",IF($Y509&lt;=WORKDAY(TODAY(),1,Holidays),"DUE TOMORROW",IF($W509=4,"ESCALATED TO LOCAL OFFICE",IF($W509=5,"ESCALATED TO CBE",IF($X509=TODAY(),"EMAIL SENT","MONITORING"))))))))))</f>
        <v/>
      </c>
      <c r="U509" s="17">
        <f>IF($T509="",IF(AND(COUNTA($A509:$K509)&gt;0,$L509=""),"Awaiting Collection Email time stamp.",""),IF(OR($T509="PAID",$T509="CLOSED"),IF($T509="PAID","Account paid. Action completed.","Account closed. No further action required."),CHOOSE($W509,"Collection Email","1st Email Follow-up","2nd Email Follow-up","Escalation to Local Office","Escalation to CBE","Escalation to Roxanne")&amp;" sent "&amp;TEXT($X509,"dd-mmm")&amp;". "&amp;IF($W509=6,"Final escalation completed.",IF($T509="OVERDUE","Next: "&amp;$Z509&amp;" was due "&amp;TEXT($Y509,"dd-mmm")&amp;" - "&amp;(NETWORKDAYS($Y509,TODAY(),Holidays)-1)&amp;" business day(s) late. Send now.",IF($T509="DUE TOMORROW","Next: "&amp;$Z509&amp;IF($Y509&lt;=TODAY()," is due TODAY ("," is due next business day (")&amp;TEXT($Y509,"dd-mmm")&amp;").","Next: "&amp;$Z509&amp;" due "&amp;TEXT($Y509,"dd-mmm")&amp;" ("&amp;(NETWORKDAYS(TODAY(),$Y509,Holidays)-1)&amp;" business day(s) left).")))))</f>
        <v/>
      </c>
      <c r="V509" s="17">
        <f>IF($W509="","",CHOOSE($W509,"Collection Email","1st Follow-up","2nd Follow-up","Local Office","CBE","Roxanne")&amp;IF($W509=6," - Final"," - Day "&amp;MAX(0,NETWORKDAYS($X509,TODAY(),Holidays)-1)&amp;" of "&amp;CHOOSE($W509,3,3,2,2,3))&amp;" | Total Day "&amp;MAX(0,NETWORKDAYS($L509,TODAY(),Holidays)-1))</f>
        <v/>
      </c>
      <c r="W509" s="17">
        <f>IF($L509="","",COUNT($L509:$Q509))</f>
        <v/>
      </c>
      <c r="X509" s="18">
        <f>IF($W509="","",INT(INDEX($L509:$Q509,$W509)))</f>
        <v/>
      </c>
      <c r="Y509" s="18">
        <f>IF(OR($W509="",$W509=6),"",WORKDAY($X509,CHOOSE($W509,3,3,2,2,3),Holidays))</f>
        <v/>
      </c>
      <c r="Z509" s="17">
        <f>IF(OR($W509="",$W509=6),"",CHOOSE($W509,"1st Email Follow-up","2nd Email Follow-up","Escalate Local Office","Escalate to CBE","Escalate to Roxanne"))</f>
        <v/>
      </c>
    </row>
    <row r="510" spans="18:26">
      <c r="R510" s="15"/>
      <c r="S510" s="16"/>
      <c r="T510" s="17">
        <f>IF(AND(COUNTA($A510:$K510)=0,$L510=""),"",IF($S510="Paid","PAID",IF($S510="Closed","CLOSED",IF($W510="","",IF($W510=6,"ESCALATED TO ROXANNE",IF(TODAY()&gt;$Y510,"OVERDUE",IF($Y510&lt;=WORKDAY(TODAY(),1,Holidays),"DUE TOMORROW",IF($W510=4,"ESCALATED TO LOCAL OFFICE",IF($W510=5,"ESCALATED TO CBE",IF($X510=TODAY(),"EMAIL SENT","MONITORING"))))))))))</f>
        <v/>
      </c>
      <c r="U510" s="17">
        <f>IF($T510="",IF(AND(COUNTA($A510:$K510)&gt;0,$L510=""),"Awaiting Collection Email time stamp.",""),IF(OR($T510="PAID",$T510="CLOSED"),IF($T510="PAID","Account paid. Action completed.","Account closed. No further action required."),CHOOSE($W510,"Collection Email","1st Email Follow-up","2nd Email Follow-up","Escalation to Local Office","Escalation to CBE","Escalation to Roxanne")&amp;" sent "&amp;TEXT($X510,"dd-mmm")&amp;". "&amp;IF($W510=6,"Final escalation completed.",IF($T510="OVERDUE","Next: "&amp;$Z510&amp;" was due "&amp;TEXT($Y510,"dd-mmm")&amp;" - "&amp;(NETWORKDAYS($Y510,TODAY(),Holidays)-1)&amp;" business day(s) late. Send now.",IF($T510="DUE TOMORROW","Next: "&amp;$Z510&amp;IF($Y510&lt;=TODAY()," is due TODAY ("," is due next business day (")&amp;TEXT($Y510,"dd-mmm")&amp;").","Next: "&amp;$Z510&amp;" due "&amp;TEXT($Y510,"dd-mmm")&amp;" ("&amp;(NETWORKDAYS(TODAY(),$Y510,Holidays)-1)&amp;" business day(s) left).")))))</f>
        <v/>
      </c>
      <c r="V510" s="17">
        <f>IF($W510="","",CHOOSE($W510,"Collection Email","1st Follow-up","2nd Follow-up","Local Office","CBE","Roxanne")&amp;IF($W510=6," - Final"," - Day "&amp;MAX(0,NETWORKDAYS($X510,TODAY(),Holidays)-1)&amp;" of "&amp;CHOOSE($W510,3,3,2,2,3))&amp;" | Total Day "&amp;MAX(0,NETWORKDAYS($L510,TODAY(),Holidays)-1))</f>
        <v/>
      </c>
      <c r="W510" s="17">
        <f>IF($L510="","",COUNT($L510:$Q510))</f>
        <v/>
      </c>
      <c r="X510" s="18">
        <f>IF($W510="","",INT(INDEX($L510:$Q510,$W510)))</f>
        <v/>
      </c>
      <c r="Y510" s="18">
        <f>IF(OR($W510="",$W510=6),"",WORKDAY($X510,CHOOSE($W510,3,3,2,2,3),Holidays))</f>
        <v/>
      </c>
      <c r="Z510" s="17">
        <f>IF(OR($W510="",$W510=6),"",CHOOSE($W510,"1st Email Follow-up","2nd Email Follow-up","Escalate Local Office","Escalate to CBE","Escalate to Roxanne"))</f>
        <v/>
      </c>
    </row>
    <row r="511" spans="18:26">
      <c r="R511" s="15"/>
      <c r="S511" s="16"/>
      <c r="T511" s="17">
        <f>IF(AND(COUNTA($A511:$K511)=0,$L511=""),"",IF($S511="Paid","PAID",IF($S511="Closed","CLOSED",IF($W511="","",IF($W511=6,"ESCALATED TO ROXANNE",IF(TODAY()&gt;$Y511,"OVERDUE",IF($Y511&lt;=WORKDAY(TODAY(),1,Holidays),"DUE TOMORROW",IF($W511=4,"ESCALATED TO LOCAL OFFICE",IF($W511=5,"ESCALATED TO CBE",IF($X511=TODAY(),"EMAIL SENT","MONITORING"))))))))))</f>
        <v/>
      </c>
      <c r="U511" s="17">
        <f>IF($T511="",IF(AND(COUNTA($A511:$K511)&gt;0,$L511=""),"Awaiting Collection Email time stamp.",""),IF(OR($T511="PAID",$T511="CLOSED"),IF($T511="PAID","Account paid. Action completed.","Account closed. No further action required."),CHOOSE($W511,"Collection Email","1st Email Follow-up","2nd Email Follow-up","Escalation to Local Office","Escalation to CBE","Escalation to Roxanne")&amp;" sent "&amp;TEXT($X511,"dd-mmm")&amp;". "&amp;IF($W511=6,"Final escalation completed.",IF($T511="OVERDUE","Next: "&amp;$Z511&amp;" was due "&amp;TEXT($Y511,"dd-mmm")&amp;" - "&amp;(NETWORKDAYS($Y511,TODAY(),Holidays)-1)&amp;" business day(s) late. Send now.",IF($T511="DUE TOMORROW","Next: "&amp;$Z511&amp;IF($Y511&lt;=TODAY()," is due TODAY ("," is due next business day (")&amp;TEXT($Y511,"dd-mmm")&amp;").","Next: "&amp;$Z511&amp;" due "&amp;TEXT($Y511,"dd-mmm")&amp;" ("&amp;(NETWORKDAYS(TODAY(),$Y511,Holidays)-1)&amp;" business day(s) left).")))))</f>
        <v/>
      </c>
      <c r="V511" s="17">
        <f>IF($W511="","",CHOOSE($W511,"Collection Email","1st Follow-up","2nd Follow-up","Local Office","CBE","Roxanne")&amp;IF($W511=6," - Final"," - Day "&amp;MAX(0,NETWORKDAYS($X511,TODAY(),Holidays)-1)&amp;" of "&amp;CHOOSE($W511,3,3,2,2,3))&amp;" | Total Day "&amp;MAX(0,NETWORKDAYS($L511,TODAY(),Holidays)-1))</f>
        <v/>
      </c>
      <c r="W511" s="17">
        <f>IF($L511="","",COUNT($L511:$Q511))</f>
        <v/>
      </c>
      <c r="X511" s="18">
        <f>IF($W511="","",INT(INDEX($L511:$Q511,$W511)))</f>
        <v/>
      </c>
      <c r="Y511" s="18">
        <f>IF(OR($W511="",$W511=6),"",WORKDAY($X511,CHOOSE($W511,3,3,2,2,3),Holidays))</f>
        <v/>
      </c>
      <c r="Z511" s="17">
        <f>IF(OR($W511="",$W511=6),"",CHOOSE($W511,"1st Email Follow-up","2nd Email Follow-up","Escalate Local Office","Escalate to CBE","Escalate to Roxanne"))</f>
        <v/>
      </c>
    </row>
    <row r="512" spans="18:26">
      <c r="R512" s="15"/>
      <c r="S512" s="16"/>
      <c r="T512" s="17">
        <f>IF(AND(COUNTA($A512:$K512)=0,$L512=""),"",IF($S512="Paid","PAID",IF($S512="Closed","CLOSED",IF($W512="","",IF($W512=6,"ESCALATED TO ROXANNE",IF(TODAY()&gt;$Y512,"OVERDUE",IF($Y512&lt;=WORKDAY(TODAY(),1,Holidays),"DUE TOMORROW",IF($W512=4,"ESCALATED TO LOCAL OFFICE",IF($W512=5,"ESCALATED TO CBE",IF($X512=TODAY(),"EMAIL SENT","MONITORING"))))))))))</f>
        <v/>
      </c>
      <c r="U512" s="17">
        <f>IF($T512="",IF(AND(COUNTA($A512:$K512)&gt;0,$L512=""),"Awaiting Collection Email time stamp.",""),IF(OR($T512="PAID",$T512="CLOSED"),IF($T512="PAID","Account paid. Action completed.","Account closed. No further action required."),CHOOSE($W512,"Collection Email","1st Email Follow-up","2nd Email Follow-up","Escalation to Local Office","Escalation to CBE","Escalation to Roxanne")&amp;" sent "&amp;TEXT($X512,"dd-mmm")&amp;". "&amp;IF($W512=6,"Final escalation completed.",IF($T512="OVERDUE","Next: "&amp;$Z512&amp;" was due "&amp;TEXT($Y512,"dd-mmm")&amp;" - "&amp;(NETWORKDAYS($Y512,TODAY(),Holidays)-1)&amp;" business day(s) late. Send now.",IF($T512="DUE TOMORROW","Next: "&amp;$Z512&amp;IF($Y512&lt;=TODAY()," is due TODAY ("," is due next business day (")&amp;TEXT($Y512,"dd-mmm")&amp;").","Next: "&amp;$Z512&amp;" due "&amp;TEXT($Y512,"dd-mmm")&amp;" ("&amp;(NETWORKDAYS(TODAY(),$Y512,Holidays)-1)&amp;" business day(s) left).")))))</f>
        <v/>
      </c>
      <c r="V512" s="17">
        <f>IF($W512="","",CHOOSE($W512,"Collection Email","1st Follow-up","2nd Follow-up","Local Office","CBE","Roxanne")&amp;IF($W512=6," - Final"," - Day "&amp;MAX(0,NETWORKDAYS($X512,TODAY(),Holidays)-1)&amp;" of "&amp;CHOOSE($W512,3,3,2,2,3))&amp;" | Total Day "&amp;MAX(0,NETWORKDAYS($L512,TODAY(),Holidays)-1))</f>
        <v/>
      </c>
      <c r="W512" s="17">
        <f>IF($L512="","",COUNT($L512:$Q512))</f>
        <v/>
      </c>
      <c r="X512" s="18">
        <f>IF($W512="","",INT(INDEX($L512:$Q512,$W512)))</f>
        <v/>
      </c>
      <c r="Y512" s="18">
        <f>IF(OR($W512="",$W512=6),"",WORKDAY($X512,CHOOSE($W512,3,3,2,2,3),Holidays))</f>
        <v/>
      </c>
      <c r="Z512" s="17">
        <f>IF(OR($W512="",$W512=6),"",CHOOSE($W512,"1st Email Follow-up","2nd Email Follow-up","Escalate Local Office","Escalate to CBE","Escalate to Roxanne"))</f>
        <v/>
      </c>
    </row>
    <row r="513" spans="18:26">
      <c r="R513" s="15"/>
      <c r="S513" s="16"/>
      <c r="T513" s="17">
        <f>IF(AND(COUNTA($A513:$K513)=0,$L513=""),"",IF($S513="Paid","PAID",IF($S513="Closed","CLOSED",IF($W513="","",IF($W513=6,"ESCALATED TO ROXANNE",IF(TODAY()&gt;$Y513,"OVERDUE",IF($Y513&lt;=WORKDAY(TODAY(),1,Holidays),"DUE TOMORROW",IF($W513=4,"ESCALATED TO LOCAL OFFICE",IF($W513=5,"ESCALATED TO CBE",IF($X513=TODAY(),"EMAIL SENT","MONITORING"))))))))))</f>
        <v/>
      </c>
      <c r="U513" s="17">
        <f>IF($T513="",IF(AND(COUNTA($A513:$K513)&gt;0,$L513=""),"Awaiting Collection Email time stamp.",""),IF(OR($T513="PAID",$T513="CLOSED"),IF($T513="PAID","Account paid. Action completed.","Account closed. No further action required."),CHOOSE($W513,"Collection Email","1st Email Follow-up","2nd Email Follow-up","Escalation to Local Office","Escalation to CBE","Escalation to Roxanne")&amp;" sent "&amp;TEXT($X513,"dd-mmm")&amp;". "&amp;IF($W513=6,"Final escalation completed.",IF($T513="OVERDUE","Next: "&amp;$Z513&amp;" was due "&amp;TEXT($Y513,"dd-mmm")&amp;" - "&amp;(NETWORKDAYS($Y513,TODAY(),Holidays)-1)&amp;" business day(s) late. Send now.",IF($T513="DUE TOMORROW","Next: "&amp;$Z513&amp;IF($Y513&lt;=TODAY()," is due TODAY ("," is due next business day (")&amp;TEXT($Y513,"dd-mmm")&amp;").","Next: "&amp;$Z513&amp;" due "&amp;TEXT($Y513,"dd-mmm")&amp;" ("&amp;(NETWORKDAYS(TODAY(),$Y513,Holidays)-1)&amp;" business day(s) left).")))))</f>
        <v/>
      </c>
      <c r="V513" s="17">
        <f>IF($W513="","",CHOOSE($W513,"Collection Email","1st Follow-up","2nd Follow-up","Local Office","CBE","Roxanne")&amp;IF($W513=6," - Final"," - Day "&amp;MAX(0,NETWORKDAYS($X513,TODAY(),Holidays)-1)&amp;" of "&amp;CHOOSE($W513,3,3,2,2,3))&amp;" | Total Day "&amp;MAX(0,NETWORKDAYS($L513,TODAY(),Holidays)-1))</f>
        <v/>
      </c>
      <c r="W513" s="17">
        <f>IF($L513="","",COUNT($L513:$Q513))</f>
        <v/>
      </c>
      <c r="X513" s="18">
        <f>IF($W513="","",INT(INDEX($L513:$Q513,$W513)))</f>
        <v/>
      </c>
      <c r="Y513" s="18">
        <f>IF(OR($W513="",$W513=6),"",WORKDAY($X513,CHOOSE($W513,3,3,2,2,3),Holidays))</f>
        <v/>
      </c>
      <c r="Z513" s="17">
        <f>IF(OR($W513="",$W513=6),"",CHOOSE($W513,"1st Email Follow-up","2nd Email Follow-up","Escalate Local Office","Escalate to CBE","Escalate to Roxanne"))</f>
        <v/>
      </c>
    </row>
    <row r="514" spans="18:26">
      <c r="R514" s="15"/>
      <c r="S514" s="16"/>
      <c r="T514" s="17">
        <f>IF(AND(COUNTA($A514:$K514)=0,$L514=""),"",IF($S514="Paid","PAID",IF($S514="Closed","CLOSED",IF($W514="","",IF($W514=6,"ESCALATED TO ROXANNE",IF(TODAY()&gt;$Y514,"OVERDUE",IF($Y514&lt;=WORKDAY(TODAY(),1,Holidays),"DUE TOMORROW",IF($W514=4,"ESCALATED TO LOCAL OFFICE",IF($W514=5,"ESCALATED TO CBE",IF($X514=TODAY(),"EMAIL SENT","MONITORING"))))))))))</f>
        <v/>
      </c>
      <c r="U514" s="17">
        <f>IF($T514="",IF(AND(COUNTA($A514:$K514)&gt;0,$L514=""),"Awaiting Collection Email time stamp.",""),IF(OR($T514="PAID",$T514="CLOSED"),IF($T514="PAID","Account paid. Action completed.","Account closed. No further action required."),CHOOSE($W514,"Collection Email","1st Email Follow-up","2nd Email Follow-up","Escalation to Local Office","Escalation to CBE","Escalation to Roxanne")&amp;" sent "&amp;TEXT($X514,"dd-mmm")&amp;". "&amp;IF($W514=6,"Final escalation completed.",IF($T514="OVERDUE","Next: "&amp;$Z514&amp;" was due "&amp;TEXT($Y514,"dd-mmm")&amp;" - "&amp;(NETWORKDAYS($Y514,TODAY(),Holidays)-1)&amp;" business day(s) late. Send now.",IF($T514="DUE TOMORROW","Next: "&amp;$Z514&amp;IF($Y514&lt;=TODAY()," is due TODAY ("," is due next business day (")&amp;TEXT($Y514,"dd-mmm")&amp;").","Next: "&amp;$Z514&amp;" due "&amp;TEXT($Y514,"dd-mmm")&amp;" ("&amp;(NETWORKDAYS(TODAY(),$Y514,Holidays)-1)&amp;" business day(s) left).")))))</f>
        <v/>
      </c>
      <c r="V514" s="17">
        <f>IF($W514="","",CHOOSE($W514,"Collection Email","1st Follow-up","2nd Follow-up","Local Office","CBE","Roxanne")&amp;IF($W514=6," - Final"," - Day "&amp;MAX(0,NETWORKDAYS($X514,TODAY(),Holidays)-1)&amp;" of "&amp;CHOOSE($W514,3,3,2,2,3))&amp;" | Total Day "&amp;MAX(0,NETWORKDAYS($L514,TODAY(),Holidays)-1))</f>
        <v/>
      </c>
      <c r="W514" s="17">
        <f>IF($L514="","",COUNT($L514:$Q514))</f>
        <v/>
      </c>
      <c r="X514" s="18">
        <f>IF($W514="","",INT(INDEX($L514:$Q514,$W514)))</f>
        <v/>
      </c>
      <c r="Y514" s="18">
        <f>IF(OR($W514="",$W514=6),"",WORKDAY($X514,CHOOSE($W514,3,3,2,2,3),Holidays))</f>
        <v/>
      </c>
      <c r="Z514" s="17">
        <f>IF(OR($W514="",$W514=6),"",CHOOSE($W514,"1st Email Follow-up","2nd Email Follow-up","Escalate Local Office","Escalate to CBE","Escalate to Roxanne"))</f>
        <v/>
      </c>
    </row>
    <row r="515" spans="18:26">
      <c r="R515" s="15"/>
      <c r="S515" s="16"/>
      <c r="T515" s="17">
        <f>IF(AND(COUNTA($A515:$K515)=0,$L515=""),"",IF($S515="Paid","PAID",IF($S515="Closed","CLOSED",IF($W515="","",IF($W515=6,"ESCALATED TO ROXANNE",IF(TODAY()&gt;$Y515,"OVERDUE",IF($Y515&lt;=WORKDAY(TODAY(),1,Holidays),"DUE TOMORROW",IF($W515=4,"ESCALATED TO LOCAL OFFICE",IF($W515=5,"ESCALATED TO CBE",IF($X515=TODAY(),"EMAIL SENT","MONITORING"))))))))))</f>
        <v/>
      </c>
      <c r="U515" s="17">
        <f>IF($T515="",IF(AND(COUNTA($A515:$K515)&gt;0,$L515=""),"Awaiting Collection Email time stamp.",""),IF(OR($T515="PAID",$T515="CLOSED"),IF($T515="PAID","Account paid. Action completed.","Account closed. No further action required."),CHOOSE($W515,"Collection Email","1st Email Follow-up","2nd Email Follow-up","Escalation to Local Office","Escalation to CBE","Escalation to Roxanne")&amp;" sent "&amp;TEXT($X515,"dd-mmm")&amp;". "&amp;IF($W515=6,"Final escalation completed.",IF($T515="OVERDUE","Next: "&amp;$Z515&amp;" was due "&amp;TEXT($Y515,"dd-mmm")&amp;" - "&amp;(NETWORKDAYS($Y515,TODAY(),Holidays)-1)&amp;" business day(s) late. Send now.",IF($T515="DUE TOMORROW","Next: "&amp;$Z515&amp;IF($Y515&lt;=TODAY()," is due TODAY ("," is due next business day (")&amp;TEXT($Y515,"dd-mmm")&amp;").","Next: "&amp;$Z515&amp;" due "&amp;TEXT($Y515,"dd-mmm")&amp;" ("&amp;(NETWORKDAYS(TODAY(),$Y515,Holidays)-1)&amp;" business day(s) left).")))))</f>
        <v/>
      </c>
      <c r="V515" s="17">
        <f>IF($W515="","",CHOOSE($W515,"Collection Email","1st Follow-up","2nd Follow-up","Local Office","CBE","Roxanne")&amp;IF($W515=6," - Final"," - Day "&amp;MAX(0,NETWORKDAYS($X515,TODAY(),Holidays)-1)&amp;" of "&amp;CHOOSE($W515,3,3,2,2,3))&amp;" | Total Day "&amp;MAX(0,NETWORKDAYS($L515,TODAY(),Holidays)-1))</f>
        <v/>
      </c>
      <c r="W515" s="17">
        <f>IF($L515="","",COUNT($L515:$Q515))</f>
        <v/>
      </c>
      <c r="X515" s="18">
        <f>IF($W515="","",INT(INDEX($L515:$Q515,$W515)))</f>
        <v/>
      </c>
      <c r="Y515" s="18">
        <f>IF(OR($W515="",$W515=6),"",WORKDAY($X515,CHOOSE($W515,3,3,2,2,3),Holidays))</f>
        <v/>
      </c>
      <c r="Z515" s="17">
        <f>IF(OR($W515="",$W515=6),"",CHOOSE($W515,"1st Email Follow-up","2nd Email Follow-up","Escalate Local Office","Escalate to CBE","Escalate to Roxanne"))</f>
        <v/>
      </c>
    </row>
    <row r="516" spans="18:26">
      <c r="R516" s="15"/>
      <c r="S516" s="16"/>
      <c r="T516" s="17">
        <f>IF(AND(COUNTA($A516:$K516)=0,$L516=""),"",IF($S516="Paid","PAID",IF($S516="Closed","CLOSED",IF($W516="","",IF($W516=6,"ESCALATED TO ROXANNE",IF(TODAY()&gt;$Y516,"OVERDUE",IF($Y516&lt;=WORKDAY(TODAY(),1,Holidays),"DUE TOMORROW",IF($W516=4,"ESCALATED TO LOCAL OFFICE",IF($W516=5,"ESCALATED TO CBE",IF($X516=TODAY(),"EMAIL SENT","MONITORING"))))))))))</f>
        <v/>
      </c>
      <c r="U516" s="17">
        <f>IF($T516="",IF(AND(COUNTA($A516:$K516)&gt;0,$L516=""),"Awaiting Collection Email time stamp.",""),IF(OR($T516="PAID",$T516="CLOSED"),IF($T516="PAID","Account paid. Action completed.","Account closed. No further action required."),CHOOSE($W516,"Collection Email","1st Email Follow-up","2nd Email Follow-up","Escalation to Local Office","Escalation to CBE","Escalation to Roxanne")&amp;" sent "&amp;TEXT($X516,"dd-mmm")&amp;". "&amp;IF($W516=6,"Final escalation completed.",IF($T516="OVERDUE","Next: "&amp;$Z516&amp;" was due "&amp;TEXT($Y516,"dd-mmm")&amp;" - "&amp;(NETWORKDAYS($Y516,TODAY(),Holidays)-1)&amp;" business day(s) late. Send now.",IF($T516="DUE TOMORROW","Next: "&amp;$Z516&amp;IF($Y516&lt;=TODAY()," is due TODAY ("," is due next business day (")&amp;TEXT($Y516,"dd-mmm")&amp;").","Next: "&amp;$Z516&amp;" due "&amp;TEXT($Y516,"dd-mmm")&amp;" ("&amp;(NETWORKDAYS(TODAY(),$Y516,Holidays)-1)&amp;" business day(s) left).")))))</f>
        <v/>
      </c>
      <c r="V516" s="17">
        <f>IF($W516="","",CHOOSE($W516,"Collection Email","1st Follow-up","2nd Follow-up","Local Office","CBE","Roxanne")&amp;IF($W516=6," - Final"," - Day "&amp;MAX(0,NETWORKDAYS($X516,TODAY(),Holidays)-1)&amp;" of "&amp;CHOOSE($W516,3,3,2,2,3))&amp;" | Total Day "&amp;MAX(0,NETWORKDAYS($L516,TODAY(),Holidays)-1))</f>
        <v/>
      </c>
      <c r="W516" s="17">
        <f>IF($L516="","",COUNT($L516:$Q516))</f>
        <v/>
      </c>
      <c r="X516" s="18">
        <f>IF($W516="","",INT(INDEX($L516:$Q516,$W516)))</f>
        <v/>
      </c>
      <c r="Y516" s="18">
        <f>IF(OR($W516="",$W516=6),"",WORKDAY($X516,CHOOSE($W516,3,3,2,2,3),Holidays))</f>
        <v/>
      </c>
      <c r="Z516" s="17">
        <f>IF(OR($W516="",$W516=6),"",CHOOSE($W516,"1st Email Follow-up","2nd Email Follow-up","Escalate Local Office","Escalate to CBE","Escalate to Roxanne"))</f>
        <v/>
      </c>
    </row>
    <row r="517" spans="18:26">
      <c r="R517" s="15"/>
      <c r="S517" s="16"/>
      <c r="T517" s="17">
        <f>IF(AND(COUNTA($A517:$K517)=0,$L517=""),"",IF($S517="Paid","PAID",IF($S517="Closed","CLOSED",IF($W517="","",IF($W517=6,"ESCALATED TO ROXANNE",IF(TODAY()&gt;$Y517,"OVERDUE",IF($Y517&lt;=WORKDAY(TODAY(),1,Holidays),"DUE TOMORROW",IF($W517=4,"ESCALATED TO LOCAL OFFICE",IF($W517=5,"ESCALATED TO CBE",IF($X517=TODAY(),"EMAIL SENT","MONITORING"))))))))))</f>
        <v/>
      </c>
      <c r="U517" s="17">
        <f>IF($T517="",IF(AND(COUNTA($A517:$K517)&gt;0,$L517=""),"Awaiting Collection Email time stamp.",""),IF(OR($T517="PAID",$T517="CLOSED"),IF($T517="PAID","Account paid. Action completed.","Account closed. No further action required."),CHOOSE($W517,"Collection Email","1st Email Follow-up","2nd Email Follow-up","Escalation to Local Office","Escalation to CBE","Escalation to Roxanne")&amp;" sent "&amp;TEXT($X517,"dd-mmm")&amp;". "&amp;IF($W517=6,"Final escalation completed.",IF($T517="OVERDUE","Next: "&amp;$Z517&amp;" was due "&amp;TEXT($Y517,"dd-mmm")&amp;" - "&amp;(NETWORKDAYS($Y517,TODAY(),Holidays)-1)&amp;" business day(s) late. Send now.",IF($T517="DUE TOMORROW","Next: "&amp;$Z517&amp;IF($Y517&lt;=TODAY()," is due TODAY ("," is due next business day (")&amp;TEXT($Y517,"dd-mmm")&amp;").","Next: "&amp;$Z517&amp;" due "&amp;TEXT($Y517,"dd-mmm")&amp;" ("&amp;(NETWORKDAYS(TODAY(),$Y517,Holidays)-1)&amp;" business day(s) left).")))))</f>
        <v/>
      </c>
      <c r="V517" s="17">
        <f>IF($W517="","",CHOOSE($W517,"Collection Email","1st Follow-up","2nd Follow-up","Local Office","CBE","Roxanne")&amp;IF($W517=6," - Final"," - Day "&amp;MAX(0,NETWORKDAYS($X517,TODAY(),Holidays)-1)&amp;" of "&amp;CHOOSE($W517,3,3,2,2,3))&amp;" | Total Day "&amp;MAX(0,NETWORKDAYS($L517,TODAY(),Holidays)-1))</f>
        <v/>
      </c>
      <c r="W517" s="17">
        <f>IF($L517="","",COUNT($L517:$Q517))</f>
        <v/>
      </c>
      <c r="X517" s="18">
        <f>IF($W517="","",INT(INDEX($L517:$Q517,$W517)))</f>
        <v/>
      </c>
      <c r="Y517" s="18">
        <f>IF(OR($W517="",$W517=6),"",WORKDAY($X517,CHOOSE($W517,3,3,2,2,3),Holidays))</f>
        <v/>
      </c>
      <c r="Z517" s="17">
        <f>IF(OR($W517="",$W517=6),"",CHOOSE($W517,"1st Email Follow-up","2nd Email Follow-up","Escalate Local Office","Escalate to CBE","Escalate to Roxanne"))</f>
        <v/>
      </c>
    </row>
    <row r="518" spans="18:26">
      <c r="R518" s="15"/>
      <c r="S518" s="16"/>
      <c r="T518" s="17">
        <f>IF(AND(COUNTA($A518:$K518)=0,$L518=""),"",IF($S518="Paid","PAID",IF($S518="Closed","CLOSED",IF($W518="","",IF($W518=6,"ESCALATED TO ROXANNE",IF(TODAY()&gt;$Y518,"OVERDUE",IF($Y518&lt;=WORKDAY(TODAY(),1,Holidays),"DUE TOMORROW",IF($W518=4,"ESCALATED TO LOCAL OFFICE",IF($W518=5,"ESCALATED TO CBE",IF($X518=TODAY(),"EMAIL SENT","MONITORING"))))))))))</f>
        <v/>
      </c>
      <c r="U518" s="17">
        <f>IF($T518="",IF(AND(COUNTA($A518:$K518)&gt;0,$L518=""),"Awaiting Collection Email time stamp.",""),IF(OR($T518="PAID",$T518="CLOSED"),IF($T518="PAID","Account paid. Action completed.","Account closed. No further action required."),CHOOSE($W518,"Collection Email","1st Email Follow-up","2nd Email Follow-up","Escalation to Local Office","Escalation to CBE","Escalation to Roxanne")&amp;" sent "&amp;TEXT($X518,"dd-mmm")&amp;". "&amp;IF($W518=6,"Final escalation completed.",IF($T518="OVERDUE","Next: "&amp;$Z518&amp;" was due "&amp;TEXT($Y518,"dd-mmm")&amp;" - "&amp;(NETWORKDAYS($Y518,TODAY(),Holidays)-1)&amp;" business day(s) late. Send now.",IF($T518="DUE TOMORROW","Next: "&amp;$Z518&amp;IF($Y518&lt;=TODAY()," is due TODAY ("," is due next business day (")&amp;TEXT($Y518,"dd-mmm")&amp;").","Next: "&amp;$Z518&amp;" due "&amp;TEXT($Y518,"dd-mmm")&amp;" ("&amp;(NETWORKDAYS(TODAY(),$Y518,Holidays)-1)&amp;" business day(s) left).")))))</f>
        <v/>
      </c>
      <c r="V518" s="17">
        <f>IF($W518="","",CHOOSE($W518,"Collection Email","1st Follow-up","2nd Follow-up","Local Office","CBE","Roxanne")&amp;IF($W518=6," - Final"," - Day "&amp;MAX(0,NETWORKDAYS($X518,TODAY(),Holidays)-1)&amp;" of "&amp;CHOOSE($W518,3,3,2,2,3))&amp;" | Total Day "&amp;MAX(0,NETWORKDAYS($L518,TODAY(),Holidays)-1))</f>
        <v/>
      </c>
      <c r="W518" s="17">
        <f>IF($L518="","",COUNT($L518:$Q518))</f>
        <v/>
      </c>
      <c r="X518" s="18">
        <f>IF($W518="","",INT(INDEX($L518:$Q518,$W518)))</f>
        <v/>
      </c>
      <c r="Y518" s="18">
        <f>IF(OR($W518="",$W518=6),"",WORKDAY($X518,CHOOSE($W518,3,3,2,2,3),Holidays))</f>
        <v/>
      </c>
      <c r="Z518" s="17">
        <f>IF(OR($W518="",$W518=6),"",CHOOSE($W518,"1st Email Follow-up","2nd Email Follow-up","Escalate Local Office","Escalate to CBE","Escalate to Roxanne"))</f>
        <v/>
      </c>
    </row>
    <row r="519" spans="18:26">
      <c r="R519" s="15"/>
      <c r="S519" s="16"/>
      <c r="T519" s="17">
        <f>IF(AND(COUNTA($A519:$K519)=0,$L519=""),"",IF($S519="Paid","PAID",IF($S519="Closed","CLOSED",IF($W519="","",IF($W519=6,"ESCALATED TO ROXANNE",IF(TODAY()&gt;$Y519,"OVERDUE",IF($Y519&lt;=WORKDAY(TODAY(),1,Holidays),"DUE TOMORROW",IF($W519=4,"ESCALATED TO LOCAL OFFICE",IF($W519=5,"ESCALATED TO CBE",IF($X519=TODAY(),"EMAIL SENT","MONITORING"))))))))))</f>
        <v/>
      </c>
      <c r="U519" s="17">
        <f>IF($T519="",IF(AND(COUNTA($A519:$K519)&gt;0,$L519=""),"Awaiting Collection Email time stamp.",""),IF(OR($T519="PAID",$T519="CLOSED"),IF($T519="PAID","Account paid. Action completed.","Account closed. No further action required."),CHOOSE($W519,"Collection Email","1st Email Follow-up","2nd Email Follow-up","Escalation to Local Office","Escalation to CBE","Escalation to Roxanne")&amp;" sent "&amp;TEXT($X519,"dd-mmm")&amp;". "&amp;IF($W519=6,"Final escalation completed.",IF($T519="OVERDUE","Next: "&amp;$Z519&amp;" was due "&amp;TEXT($Y519,"dd-mmm")&amp;" - "&amp;(NETWORKDAYS($Y519,TODAY(),Holidays)-1)&amp;" business day(s) late. Send now.",IF($T519="DUE TOMORROW","Next: "&amp;$Z519&amp;IF($Y519&lt;=TODAY()," is due TODAY ("," is due next business day (")&amp;TEXT($Y519,"dd-mmm")&amp;").","Next: "&amp;$Z519&amp;" due "&amp;TEXT($Y519,"dd-mmm")&amp;" ("&amp;(NETWORKDAYS(TODAY(),$Y519,Holidays)-1)&amp;" business day(s) left).")))))</f>
        <v/>
      </c>
      <c r="V519" s="17">
        <f>IF($W519="","",CHOOSE($W519,"Collection Email","1st Follow-up","2nd Follow-up","Local Office","CBE","Roxanne")&amp;IF($W519=6," - Final"," - Day "&amp;MAX(0,NETWORKDAYS($X519,TODAY(),Holidays)-1)&amp;" of "&amp;CHOOSE($W519,3,3,2,2,3))&amp;" | Total Day "&amp;MAX(0,NETWORKDAYS($L519,TODAY(),Holidays)-1))</f>
        <v/>
      </c>
      <c r="W519" s="17">
        <f>IF($L519="","",COUNT($L519:$Q519))</f>
        <v/>
      </c>
      <c r="X519" s="18">
        <f>IF($W519="","",INT(INDEX($L519:$Q519,$W519)))</f>
        <v/>
      </c>
      <c r="Y519" s="18">
        <f>IF(OR($W519="",$W519=6),"",WORKDAY($X519,CHOOSE($W519,3,3,2,2,3),Holidays))</f>
        <v/>
      </c>
      <c r="Z519" s="17">
        <f>IF(OR($W519="",$W519=6),"",CHOOSE($W519,"1st Email Follow-up","2nd Email Follow-up","Escalate Local Office","Escalate to CBE","Escalate to Roxanne"))</f>
        <v/>
      </c>
    </row>
    <row r="520" spans="18:26">
      <c r="R520" s="15"/>
      <c r="S520" s="16"/>
      <c r="T520" s="17">
        <f>IF(AND(COUNTA($A520:$K520)=0,$L520=""),"",IF($S520="Paid","PAID",IF($S520="Closed","CLOSED",IF($W520="","",IF($W520=6,"ESCALATED TO ROXANNE",IF(TODAY()&gt;$Y520,"OVERDUE",IF($Y520&lt;=WORKDAY(TODAY(),1,Holidays),"DUE TOMORROW",IF($W520=4,"ESCALATED TO LOCAL OFFICE",IF($W520=5,"ESCALATED TO CBE",IF($X520=TODAY(),"EMAIL SENT","MONITORING"))))))))))</f>
        <v/>
      </c>
      <c r="U520" s="17">
        <f>IF($T520="",IF(AND(COUNTA($A520:$K520)&gt;0,$L520=""),"Awaiting Collection Email time stamp.",""),IF(OR($T520="PAID",$T520="CLOSED"),IF($T520="PAID","Account paid. Action completed.","Account closed. No further action required."),CHOOSE($W520,"Collection Email","1st Email Follow-up","2nd Email Follow-up","Escalation to Local Office","Escalation to CBE","Escalation to Roxanne")&amp;" sent "&amp;TEXT($X520,"dd-mmm")&amp;". "&amp;IF($W520=6,"Final escalation completed.",IF($T520="OVERDUE","Next: "&amp;$Z520&amp;" was due "&amp;TEXT($Y520,"dd-mmm")&amp;" - "&amp;(NETWORKDAYS($Y520,TODAY(),Holidays)-1)&amp;" business day(s) late. Send now.",IF($T520="DUE TOMORROW","Next: "&amp;$Z520&amp;IF($Y520&lt;=TODAY()," is due TODAY ("," is due next business day (")&amp;TEXT($Y520,"dd-mmm")&amp;").","Next: "&amp;$Z520&amp;" due "&amp;TEXT($Y520,"dd-mmm")&amp;" ("&amp;(NETWORKDAYS(TODAY(),$Y520,Holidays)-1)&amp;" business day(s) left).")))))</f>
        <v/>
      </c>
      <c r="V520" s="17">
        <f>IF($W520="","",CHOOSE($W520,"Collection Email","1st Follow-up","2nd Follow-up","Local Office","CBE","Roxanne")&amp;IF($W520=6," - Final"," - Day "&amp;MAX(0,NETWORKDAYS($X520,TODAY(),Holidays)-1)&amp;" of "&amp;CHOOSE($W520,3,3,2,2,3))&amp;" | Total Day "&amp;MAX(0,NETWORKDAYS($L520,TODAY(),Holidays)-1))</f>
        <v/>
      </c>
      <c r="W520" s="17">
        <f>IF($L520="","",COUNT($L520:$Q520))</f>
        <v/>
      </c>
      <c r="X520" s="18">
        <f>IF($W520="","",INT(INDEX($L520:$Q520,$W520)))</f>
        <v/>
      </c>
      <c r="Y520" s="18">
        <f>IF(OR($W520="",$W520=6),"",WORKDAY($X520,CHOOSE($W520,3,3,2,2,3),Holidays))</f>
        <v/>
      </c>
      <c r="Z520" s="17">
        <f>IF(OR($W520="",$W520=6),"",CHOOSE($W520,"1st Email Follow-up","2nd Email Follow-up","Escalate Local Office","Escalate to CBE","Escalate to Roxanne"))</f>
        <v/>
      </c>
    </row>
    <row r="521" spans="18:26">
      <c r="R521" s="15"/>
      <c r="S521" s="16"/>
      <c r="T521" s="17">
        <f>IF(AND(COUNTA($A521:$K521)=0,$L521=""),"",IF($S521="Paid","PAID",IF($S521="Closed","CLOSED",IF($W521="","",IF($W521=6,"ESCALATED TO ROXANNE",IF(TODAY()&gt;$Y521,"OVERDUE",IF($Y521&lt;=WORKDAY(TODAY(),1,Holidays),"DUE TOMORROW",IF($W521=4,"ESCALATED TO LOCAL OFFICE",IF($W521=5,"ESCALATED TO CBE",IF($X521=TODAY(),"EMAIL SENT","MONITORING"))))))))))</f>
        <v/>
      </c>
      <c r="U521" s="17">
        <f>IF($T521="",IF(AND(COUNTA($A521:$K521)&gt;0,$L521=""),"Awaiting Collection Email time stamp.",""),IF(OR($T521="PAID",$T521="CLOSED"),IF($T521="PAID","Account paid. Action completed.","Account closed. No further action required."),CHOOSE($W521,"Collection Email","1st Email Follow-up","2nd Email Follow-up","Escalation to Local Office","Escalation to CBE","Escalation to Roxanne")&amp;" sent "&amp;TEXT($X521,"dd-mmm")&amp;". "&amp;IF($W521=6,"Final escalation completed.",IF($T521="OVERDUE","Next: "&amp;$Z521&amp;" was due "&amp;TEXT($Y521,"dd-mmm")&amp;" - "&amp;(NETWORKDAYS($Y521,TODAY(),Holidays)-1)&amp;" business day(s) late. Send now.",IF($T521="DUE TOMORROW","Next: "&amp;$Z521&amp;IF($Y521&lt;=TODAY()," is due TODAY ("," is due next business day (")&amp;TEXT($Y521,"dd-mmm")&amp;").","Next: "&amp;$Z521&amp;" due "&amp;TEXT($Y521,"dd-mmm")&amp;" ("&amp;(NETWORKDAYS(TODAY(),$Y521,Holidays)-1)&amp;" business day(s) left).")))))</f>
        <v/>
      </c>
      <c r="V521" s="17">
        <f>IF($W521="","",CHOOSE($W521,"Collection Email","1st Follow-up","2nd Follow-up","Local Office","CBE","Roxanne")&amp;IF($W521=6," - Final"," - Day "&amp;MAX(0,NETWORKDAYS($X521,TODAY(),Holidays)-1)&amp;" of "&amp;CHOOSE($W521,3,3,2,2,3))&amp;" | Total Day "&amp;MAX(0,NETWORKDAYS($L521,TODAY(),Holidays)-1))</f>
        <v/>
      </c>
      <c r="W521" s="17">
        <f>IF($L521="","",COUNT($L521:$Q521))</f>
        <v/>
      </c>
      <c r="X521" s="18">
        <f>IF($W521="","",INT(INDEX($L521:$Q521,$W521)))</f>
        <v/>
      </c>
      <c r="Y521" s="18">
        <f>IF(OR($W521="",$W521=6),"",WORKDAY($X521,CHOOSE($W521,3,3,2,2,3),Holidays))</f>
        <v/>
      </c>
      <c r="Z521" s="17">
        <f>IF(OR($W521="",$W521=6),"",CHOOSE($W521,"1st Email Follow-up","2nd Email Follow-up","Escalate Local Office","Escalate to CBE","Escalate to Roxanne"))</f>
        <v/>
      </c>
    </row>
    <row r="522" spans="18:26">
      <c r="R522" s="15"/>
      <c r="S522" s="16"/>
      <c r="T522" s="17">
        <f>IF(AND(COUNTA($A522:$K522)=0,$L522=""),"",IF($S522="Paid","PAID",IF($S522="Closed","CLOSED",IF($W522="","",IF($W522=6,"ESCALATED TO ROXANNE",IF(TODAY()&gt;$Y522,"OVERDUE",IF($Y522&lt;=WORKDAY(TODAY(),1,Holidays),"DUE TOMORROW",IF($W522=4,"ESCALATED TO LOCAL OFFICE",IF($W522=5,"ESCALATED TO CBE",IF($X522=TODAY(),"EMAIL SENT","MONITORING"))))))))))</f>
        <v/>
      </c>
      <c r="U522" s="17">
        <f>IF($T522="",IF(AND(COUNTA($A522:$K522)&gt;0,$L522=""),"Awaiting Collection Email time stamp.",""),IF(OR($T522="PAID",$T522="CLOSED"),IF($T522="PAID","Account paid. Action completed.","Account closed. No further action required."),CHOOSE($W522,"Collection Email","1st Email Follow-up","2nd Email Follow-up","Escalation to Local Office","Escalation to CBE","Escalation to Roxanne")&amp;" sent "&amp;TEXT($X522,"dd-mmm")&amp;". "&amp;IF($W522=6,"Final escalation completed.",IF($T522="OVERDUE","Next: "&amp;$Z522&amp;" was due "&amp;TEXT($Y522,"dd-mmm")&amp;" - "&amp;(NETWORKDAYS($Y522,TODAY(),Holidays)-1)&amp;" business day(s) late. Send now.",IF($T522="DUE TOMORROW","Next: "&amp;$Z522&amp;IF($Y522&lt;=TODAY()," is due TODAY ("," is due next business day (")&amp;TEXT($Y522,"dd-mmm")&amp;").","Next: "&amp;$Z522&amp;" due "&amp;TEXT($Y522,"dd-mmm")&amp;" ("&amp;(NETWORKDAYS(TODAY(),$Y522,Holidays)-1)&amp;" business day(s) left).")))))</f>
        <v/>
      </c>
      <c r="V522" s="17">
        <f>IF($W522="","",CHOOSE($W522,"Collection Email","1st Follow-up","2nd Follow-up","Local Office","CBE","Roxanne")&amp;IF($W522=6," - Final"," - Day "&amp;MAX(0,NETWORKDAYS($X522,TODAY(),Holidays)-1)&amp;" of "&amp;CHOOSE($W522,3,3,2,2,3))&amp;" | Total Day "&amp;MAX(0,NETWORKDAYS($L522,TODAY(),Holidays)-1))</f>
        <v/>
      </c>
      <c r="W522" s="17">
        <f>IF($L522="","",COUNT($L522:$Q522))</f>
        <v/>
      </c>
      <c r="X522" s="18">
        <f>IF($W522="","",INT(INDEX($L522:$Q522,$W522)))</f>
        <v/>
      </c>
      <c r="Y522" s="18">
        <f>IF(OR($W522="",$W522=6),"",WORKDAY($X522,CHOOSE($W522,3,3,2,2,3),Holidays))</f>
        <v/>
      </c>
      <c r="Z522" s="17">
        <f>IF(OR($W522="",$W522=6),"",CHOOSE($W522,"1st Email Follow-up","2nd Email Follow-up","Escalate Local Office","Escalate to CBE","Escalate to Roxanne"))</f>
        <v/>
      </c>
    </row>
    <row r="523" spans="18:26">
      <c r="R523" s="15"/>
      <c r="S523" s="16"/>
      <c r="T523" s="17">
        <f>IF(AND(COUNTA($A523:$K523)=0,$L523=""),"",IF($S523="Paid","PAID",IF($S523="Closed","CLOSED",IF($W523="","",IF($W523=6,"ESCALATED TO ROXANNE",IF(TODAY()&gt;$Y523,"OVERDUE",IF($Y523&lt;=WORKDAY(TODAY(),1,Holidays),"DUE TOMORROW",IF($W523=4,"ESCALATED TO LOCAL OFFICE",IF($W523=5,"ESCALATED TO CBE",IF($X523=TODAY(),"EMAIL SENT","MONITORING"))))))))))</f>
        <v/>
      </c>
      <c r="U523" s="17">
        <f>IF($T523="",IF(AND(COUNTA($A523:$K523)&gt;0,$L523=""),"Awaiting Collection Email time stamp.",""),IF(OR($T523="PAID",$T523="CLOSED"),IF($T523="PAID","Account paid. Action completed.","Account closed. No further action required."),CHOOSE($W523,"Collection Email","1st Email Follow-up","2nd Email Follow-up","Escalation to Local Office","Escalation to CBE","Escalation to Roxanne")&amp;" sent "&amp;TEXT($X523,"dd-mmm")&amp;". "&amp;IF($W523=6,"Final escalation completed.",IF($T523="OVERDUE","Next: "&amp;$Z523&amp;" was due "&amp;TEXT($Y523,"dd-mmm")&amp;" - "&amp;(NETWORKDAYS($Y523,TODAY(),Holidays)-1)&amp;" business day(s) late. Send now.",IF($T523="DUE TOMORROW","Next: "&amp;$Z523&amp;IF($Y523&lt;=TODAY()," is due TODAY ("," is due next business day (")&amp;TEXT($Y523,"dd-mmm")&amp;").","Next: "&amp;$Z523&amp;" due "&amp;TEXT($Y523,"dd-mmm")&amp;" ("&amp;(NETWORKDAYS(TODAY(),$Y523,Holidays)-1)&amp;" business day(s) left).")))))</f>
        <v/>
      </c>
      <c r="V523" s="17">
        <f>IF($W523="","",CHOOSE($W523,"Collection Email","1st Follow-up","2nd Follow-up","Local Office","CBE","Roxanne")&amp;IF($W523=6," - Final"," - Day "&amp;MAX(0,NETWORKDAYS($X523,TODAY(),Holidays)-1)&amp;" of "&amp;CHOOSE($W523,3,3,2,2,3))&amp;" | Total Day "&amp;MAX(0,NETWORKDAYS($L523,TODAY(),Holidays)-1))</f>
        <v/>
      </c>
      <c r="W523" s="17">
        <f>IF($L523="","",COUNT($L523:$Q523))</f>
        <v/>
      </c>
      <c r="X523" s="18">
        <f>IF($W523="","",INT(INDEX($L523:$Q523,$W523)))</f>
        <v/>
      </c>
      <c r="Y523" s="18">
        <f>IF(OR($W523="",$W523=6),"",WORKDAY($X523,CHOOSE($W523,3,3,2,2,3),Holidays))</f>
        <v/>
      </c>
      <c r="Z523" s="17">
        <f>IF(OR($W523="",$W523=6),"",CHOOSE($W523,"1st Email Follow-up","2nd Email Follow-up","Escalate Local Office","Escalate to CBE","Escalate to Roxanne"))</f>
        <v/>
      </c>
    </row>
    <row r="524" spans="18:26">
      <c r="R524" s="15"/>
      <c r="S524" s="16"/>
      <c r="T524" s="17">
        <f>IF(AND(COUNTA($A524:$K524)=0,$L524=""),"",IF($S524="Paid","PAID",IF($S524="Closed","CLOSED",IF($W524="","",IF($W524=6,"ESCALATED TO ROXANNE",IF(TODAY()&gt;$Y524,"OVERDUE",IF($Y524&lt;=WORKDAY(TODAY(),1,Holidays),"DUE TOMORROW",IF($W524=4,"ESCALATED TO LOCAL OFFICE",IF($W524=5,"ESCALATED TO CBE",IF($X524=TODAY(),"EMAIL SENT","MONITORING"))))))))))</f>
        <v/>
      </c>
      <c r="U524" s="17">
        <f>IF($T524="",IF(AND(COUNTA($A524:$K524)&gt;0,$L524=""),"Awaiting Collection Email time stamp.",""),IF(OR($T524="PAID",$T524="CLOSED"),IF($T524="PAID","Account paid. Action completed.","Account closed. No further action required."),CHOOSE($W524,"Collection Email","1st Email Follow-up","2nd Email Follow-up","Escalation to Local Office","Escalation to CBE","Escalation to Roxanne")&amp;" sent "&amp;TEXT($X524,"dd-mmm")&amp;". "&amp;IF($W524=6,"Final escalation completed.",IF($T524="OVERDUE","Next: "&amp;$Z524&amp;" was due "&amp;TEXT($Y524,"dd-mmm")&amp;" - "&amp;(NETWORKDAYS($Y524,TODAY(),Holidays)-1)&amp;" business day(s) late. Send now.",IF($T524="DUE TOMORROW","Next: "&amp;$Z524&amp;IF($Y524&lt;=TODAY()," is due TODAY ("," is due next business day (")&amp;TEXT($Y524,"dd-mmm")&amp;").","Next: "&amp;$Z524&amp;" due "&amp;TEXT($Y524,"dd-mmm")&amp;" ("&amp;(NETWORKDAYS(TODAY(),$Y524,Holidays)-1)&amp;" business day(s) left).")))))</f>
        <v/>
      </c>
      <c r="V524" s="17">
        <f>IF($W524="","",CHOOSE($W524,"Collection Email","1st Follow-up","2nd Follow-up","Local Office","CBE","Roxanne")&amp;IF($W524=6," - Final"," - Day "&amp;MAX(0,NETWORKDAYS($X524,TODAY(),Holidays)-1)&amp;" of "&amp;CHOOSE($W524,3,3,2,2,3))&amp;" | Total Day "&amp;MAX(0,NETWORKDAYS($L524,TODAY(),Holidays)-1))</f>
        <v/>
      </c>
      <c r="W524" s="17">
        <f>IF($L524="","",COUNT($L524:$Q524))</f>
        <v/>
      </c>
      <c r="X524" s="18">
        <f>IF($W524="","",INT(INDEX($L524:$Q524,$W524)))</f>
        <v/>
      </c>
      <c r="Y524" s="18">
        <f>IF(OR($W524="",$W524=6),"",WORKDAY($X524,CHOOSE($W524,3,3,2,2,3),Holidays))</f>
        <v/>
      </c>
      <c r="Z524" s="17">
        <f>IF(OR($W524="",$W524=6),"",CHOOSE($W524,"1st Email Follow-up","2nd Email Follow-up","Escalate Local Office","Escalate to CBE","Escalate to Roxanne"))</f>
        <v/>
      </c>
    </row>
    <row r="525" spans="18:26">
      <c r="R525" s="15"/>
      <c r="S525" s="16"/>
      <c r="T525" s="17">
        <f>IF(AND(COUNTA($A525:$K525)=0,$L525=""),"",IF($S525="Paid","PAID",IF($S525="Closed","CLOSED",IF($W525="","",IF($W525=6,"ESCALATED TO ROXANNE",IF(TODAY()&gt;$Y525,"OVERDUE",IF($Y525&lt;=WORKDAY(TODAY(),1,Holidays),"DUE TOMORROW",IF($W525=4,"ESCALATED TO LOCAL OFFICE",IF($W525=5,"ESCALATED TO CBE",IF($X525=TODAY(),"EMAIL SENT","MONITORING"))))))))))</f>
        <v/>
      </c>
      <c r="U525" s="17">
        <f>IF($T525="",IF(AND(COUNTA($A525:$K525)&gt;0,$L525=""),"Awaiting Collection Email time stamp.",""),IF(OR($T525="PAID",$T525="CLOSED"),IF($T525="PAID","Account paid. Action completed.","Account closed. No further action required."),CHOOSE($W525,"Collection Email","1st Email Follow-up","2nd Email Follow-up","Escalation to Local Office","Escalation to CBE","Escalation to Roxanne")&amp;" sent "&amp;TEXT($X525,"dd-mmm")&amp;". "&amp;IF($W525=6,"Final escalation completed.",IF($T525="OVERDUE","Next: "&amp;$Z525&amp;" was due "&amp;TEXT($Y525,"dd-mmm")&amp;" - "&amp;(NETWORKDAYS($Y525,TODAY(),Holidays)-1)&amp;" business day(s) late. Send now.",IF($T525="DUE TOMORROW","Next: "&amp;$Z525&amp;IF($Y525&lt;=TODAY()," is due TODAY ("," is due next business day (")&amp;TEXT($Y525,"dd-mmm")&amp;").","Next: "&amp;$Z525&amp;" due "&amp;TEXT($Y525,"dd-mmm")&amp;" ("&amp;(NETWORKDAYS(TODAY(),$Y525,Holidays)-1)&amp;" business day(s) left).")))))</f>
        <v/>
      </c>
      <c r="V525" s="17">
        <f>IF($W525="","",CHOOSE($W525,"Collection Email","1st Follow-up","2nd Follow-up","Local Office","CBE","Roxanne")&amp;IF($W525=6," - Final"," - Day "&amp;MAX(0,NETWORKDAYS($X525,TODAY(),Holidays)-1)&amp;" of "&amp;CHOOSE($W525,3,3,2,2,3))&amp;" | Total Day "&amp;MAX(0,NETWORKDAYS($L525,TODAY(),Holidays)-1))</f>
        <v/>
      </c>
      <c r="W525" s="17">
        <f>IF($L525="","",COUNT($L525:$Q525))</f>
        <v/>
      </c>
      <c r="X525" s="18">
        <f>IF($W525="","",INT(INDEX($L525:$Q525,$W525)))</f>
        <v/>
      </c>
      <c r="Y525" s="18">
        <f>IF(OR($W525="",$W525=6),"",WORKDAY($X525,CHOOSE($W525,3,3,2,2,3),Holidays))</f>
        <v/>
      </c>
      <c r="Z525" s="17">
        <f>IF(OR($W525="",$W525=6),"",CHOOSE($W525,"1st Email Follow-up","2nd Email Follow-up","Escalate Local Office","Escalate to CBE","Escalate to Roxanne"))</f>
        <v/>
      </c>
    </row>
    <row r="526" spans="18:26">
      <c r="R526" s="15"/>
      <c r="S526" s="16"/>
      <c r="T526" s="17">
        <f>IF(AND(COUNTA($A526:$K526)=0,$L526=""),"",IF($S526="Paid","PAID",IF($S526="Closed","CLOSED",IF($W526="","",IF($W526=6,"ESCALATED TO ROXANNE",IF(TODAY()&gt;$Y526,"OVERDUE",IF($Y526&lt;=WORKDAY(TODAY(),1,Holidays),"DUE TOMORROW",IF($W526=4,"ESCALATED TO LOCAL OFFICE",IF($W526=5,"ESCALATED TO CBE",IF($X526=TODAY(),"EMAIL SENT","MONITORING"))))))))))</f>
        <v/>
      </c>
      <c r="U526" s="17">
        <f>IF($T526="",IF(AND(COUNTA($A526:$K526)&gt;0,$L526=""),"Awaiting Collection Email time stamp.",""),IF(OR($T526="PAID",$T526="CLOSED"),IF($T526="PAID","Account paid. Action completed.","Account closed. No further action required."),CHOOSE($W526,"Collection Email","1st Email Follow-up","2nd Email Follow-up","Escalation to Local Office","Escalation to CBE","Escalation to Roxanne")&amp;" sent "&amp;TEXT($X526,"dd-mmm")&amp;". "&amp;IF($W526=6,"Final escalation completed.",IF($T526="OVERDUE","Next: "&amp;$Z526&amp;" was due "&amp;TEXT($Y526,"dd-mmm")&amp;" - "&amp;(NETWORKDAYS($Y526,TODAY(),Holidays)-1)&amp;" business day(s) late. Send now.",IF($T526="DUE TOMORROW","Next: "&amp;$Z526&amp;IF($Y526&lt;=TODAY()," is due TODAY ("," is due next business day (")&amp;TEXT($Y526,"dd-mmm")&amp;").","Next: "&amp;$Z526&amp;" due "&amp;TEXT($Y526,"dd-mmm")&amp;" ("&amp;(NETWORKDAYS(TODAY(),$Y526,Holidays)-1)&amp;" business day(s) left).")))))</f>
        <v/>
      </c>
      <c r="V526" s="17">
        <f>IF($W526="","",CHOOSE($W526,"Collection Email","1st Follow-up","2nd Follow-up","Local Office","CBE","Roxanne")&amp;IF($W526=6," - Final"," - Day "&amp;MAX(0,NETWORKDAYS($X526,TODAY(),Holidays)-1)&amp;" of "&amp;CHOOSE($W526,3,3,2,2,3))&amp;" | Total Day "&amp;MAX(0,NETWORKDAYS($L526,TODAY(),Holidays)-1))</f>
        <v/>
      </c>
      <c r="W526" s="17">
        <f>IF($L526="","",COUNT($L526:$Q526))</f>
        <v/>
      </c>
      <c r="X526" s="18">
        <f>IF($W526="","",INT(INDEX($L526:$Q526,$W526)))</f>
        <v/>
      </c>
      <c r="Y526" s="18">
        <f>IF(OR($W526="",$W526=6),"",WORKDAY($X526,CHOOSE($W526,3,3,2,2,3),Holidays))</f>
        <v/>
      </c>
      <c r="Z526" s="17">
        <f>IF(OR($W526="",$W526=6),"",CHOOSE($W526,"1st Email Follow-up","2nd Email Follow-up","Escalate Local Office","Escalate to CBE","Escalate to Roxanne"))</f>
        <v/>
      </c>
    </row>
    <row r="527" spans="18:26">
      <c r="R527" s="15"/>
      <c r="S527" s="16"/>
      <c r="T527" s="17">
        <f>IF(AND(COUNTA($A527:$K527)=0,$L527=""),"",IF($S527="Paid","PAID",IF($S527="Closed","CLOSED",IF($W527="","",IF($W527=6,"ESCALATED TO ROXANNE",IF(TODAY()&gt;$Y527,"OVERDUE",IF($Y527&lt;=WORKDAY(TODAY(),1,Holidays),"DUE TOMORROW",IF($W527=4,"ESCALATED TO LOCAL OFFICE",IF($W527=5,"ESCALATED TO CBE",IF($X527=TODAY(),"EMAIL SENT","MONITORING"))))))))))</f>
        <v/>
      </c>
      <c r="U527" s="17">
        <f>IF($T527="",IF(AND(COUNTA($A527:$K527)&gt;0,$L527=""),"Awaiting Collection Email time stamp.",""),IF(OR($T527="PAID",$T527="CLOSED"),IF($T527="PAID","Account paid. Action completed.","Account closed. No further action required."),CHOOSE($W527,"Collection Email","1st Email Follow-up","2nd Email Follow-up","Escalation to Local Office","Escalation to CBE","Escalation to Roxanne")&amp;" sent "&amp;TEXT($X527,"dd-mmm")&amp;". "&amp;IF($W527=6,"Final escalation completed.",IF($T527="OVERDUE","Next: "&amp;$Z527&amp;" was due "&amp;TEXT($Y527,"dd-mmm")&amp;" - "&amp;(NETWORKDAYS($Y527,TODAY(),Holidays)-1)&amp;" business day(s) late. Send now.",IF($T527="DUE TOMORROW","Next: "&amp;$Z527&amp;IF($Y527&lt;=TODAY()," is due TODAY ("," is due next business day (")&amp;TEXT($Y527,"dd-mmm")&amp;").","Next: "&amp;$Z527&amp;" due "&amp;TEXT($Y527,"dd-mmm")&amp;" ("&amp;(NETWORKDAYS(TODAY(),$Y527,Holidays)-1)&amp;" business day(s) left).")))))</f>
        <v/>
      </c>
      <c r="V527" s="17">
        <f>IF($W527="","",CHOOSE($W527,"Collection Email","1st Follow-up","2nd Follow-up","Local Office","CBE","Roxanne")&amp;IF($W527=6," - Final"," - Day "&amp;MAX(0,NETWORKDAYS($X527,TODAY(),Holidays)-1)&amp;" of "&amp;CHOOSE($W527,3,3,2,2,3))&amp;" | Total Day "&amp;MAX(0,NETWORKDAYS($L527,TODAY(),Holidays)-1))</f>
        <v/>
      </c>
      <c r="W527" s="17">
        <f>IF($L527="","",COUNT($L527:$Q527))</f>
        <v/>
      </c>
      <c r="X527" s="18">
        <f>IF($W527="","",INT(INDEX($L527:$Q527,$W527)))</f>
        <v/>
      </c>
      <c r="Y527" s="18">
        <f>IF(OR($W527="",$W527=6),"",WORKDAY($X527,CHOOSE($W527,3,3,2,2,3),Holidays))</f>
        <v/>
      </c>
      <c r="Z527" s="17">
        <f>IF(OR($W527="",$W527=6),"",CHOOSE($W527,"1st Email Follow-up","2nd Email Follow-up","Escalate Local Office","Escalate to CBE","Escalate to Roxanne"))</f>
        <v/>
      </c>
    </row>
    <row r="528" spans="18:26">
      <c r="R528" s="15"/>
      <c r="S528" s="16"/>
      <c r="T528" s="17">
        <f>IF(AND(COUNTA($A528:$K528)=0,$L528=""),"",IF($S528="Paid","PAID",IF($S528="Closed","CLOSED",IF($W528="","",IF($W528=6,"ESCALATED TO ROXANNE",IF(TODAY()&gt;$Y528,"OVERDUE",IF($Y528&lt;=WORKDAY(TODAY(),1,Holidays),"DUE TOMORROW",IF($W528=4,"ESCALATED TO LOCAL OFFICE",IF($W528=5,"ESCALATED TO CBE",IF($X528=TODAY(),"EMAIL SENT","MONITORING"))))))))))</f>
        <v/>
      </c>
      <c r="U528" s="17">
        <f>IF($T528="",IF(AND(COUNTA($A528:$K528)&gt;0,$L528=""),"Awaiting Collection Email time stamp.",""),IF(OR($T528="PAID",$T528="CLOSED"),IF($T528="PAID","Account paid. Action completed.","Account closed. No further action required."),CHOOSE($W528,"Collection Email","1st Email Follow-up","2nd Email Follow-up","Escalation to Local Office","Escalation to CBE","Escalation to Roxanne")&amp;" sent "&amp;TEXT($X528,"dd-mmm")&amp;". "&amp;IF($W528=6,"Final escalation completed.",IF($T528="OVERDUE","Next: "&amp;$Z528&amp;" was due "&amp;TEXT($Y528,"dd-mmm")&amp;" - "&amp;(NETWORKDAYS($Y528,TODAY(),Holidays)-1)&amp;" business day(s) late. Send now.",IF($T528="DUE TOMORROW","Next: "&amp;$Z528&amp;IF($Y528&lt;=TODAY()," is due TODAY ("," is due next business day (")&amp;TEXT($Y528,"dd-mmm")&amp;").","Next: "&amp;$Z528&amp;" due "&amp;TEXT($Y528,"dd-mmm")&amp;" ("&amp;(NETWORKDAYS(TODAY(),$Y528,Holidays)-1)&amp;" business day(s) left).")))))</f>
        <v/>
      </c>
      <c r="V528" s="17">
        <f>IF($W528="","",CHOOSE($W528,"Collection Email","1st Follow-up","2nd Follow-up","Local Office","CBE","Roxanne")&amp;IF($W528=6," - Final"," - Day "&amp;MAX(0,NETWORKDAYS($X528,TODAY(),Holidays)-1)&amp;" of "&amp;CHOOSE($W528,3,3,2,2,3))&amp;" | Total Day "&amp;MAX(0,NETWORKDAYS($L528,TODAY(),Holidays)-1))</f>
        <v/>
      </c>
      <c r="W528" s="17">
        <f>IF($L528="","",COUNT($L528:$Q528))</f>
        <v/>
      </c>
      <c r="X528" s="18">
        <f>IF($W528="","",INT(INDEX($L528:$Q528,$W528)))</f>
        <v/>
      </c>
      <c r="Y528" s="18">
        <f>IF(OR($W528="",$W528=6),"",WORKDAY($X528,CHOOSE($W528,3,3,2,2,3),Holidays))</f>
        <v/>
      </c>
      <c r="Z528" s="17">
        <f>IF(OR($W528="",$W528=6),"",CHOOSE($W528,"1st Email Follow-up","2nd Email Follow-up","Escalate Local Office","Escalate to CBE","Escalate to Roxanne"))</f>
        <v/>
      </c>
    </row>
    <row r="529" spans="18:26">
      <c r="R529" s="15"/>
      <c r="S529" s="16"/>
      <c r="T529" s="17">
        <f>IF(AND(COUNTA($A529:$K529)=0,$L529=""),"",IF($S529="Paid","PAID",IF($S529="Closed","CLOSED",IF($W529="","",IF($W529=6,"ESCALATED TO ROXANNE",IF(TODAY()&gt;$Y529,"OVERDUE",IF($Y529&lt;=WORKDAY(TODAY(),1,Holidays),"DUE TOMORROW",IF($W529=4,"ESCALATED TO LOCAL OFFICE",IF($W529=5,"ESCALATED TO CBE",IF($X529=TODAY(),"EMAIL SENT","MONITORING"))))))))))</f>
        <v/>
      </c>
      <c r="U529" s="17">
        <f>IF($T529="",IF(AND(COUNTA($A529:$K529)&gt;0,$L529=""),"Awaiting Collection Email time stamp.",""),IF(OR($T529="PAID",$T529="CLOSED"),IF($T529="PAID","Account paid. Action completed.","Account closed. No further action required."),CHOOSE($W529,"Collection Email","1st Email Follow-up","2nd Email Follow-up","Escalation to Local Office","Escalation to CBE","Escalation to Roxanne")&amp;" sent "&amp;TEXT($X529,"dd-mmm")&amp;". "&amp;IF($W529=6,"Final escalation completed.",IF($T529="OVERDUE","Next: "&amp;$Z529&amp;" was due "&amp;TEXT($Y529,"dd-mmm")&amp;" - "&amp;(NETWORKDAYS($Y529,TODAY(),Holidays)-1)&amp;" business day(s) late. Send now.",IF($T529="DUE TOMORROW","Next: "&amp;$Z529&amp;IF($Y529&lt;=TODAY()," is due TODAY ("," is due next business day (")&amp;TEXT($Y529,"dd-mmm")&amp;").","Next: "&amp;$Z529&amp;" due "&amp;TEXT($Y529,"dd-mmm")&amp;" ("&amp;(NETWORKDAYS(TODAY(),$Y529,Holidays)-1)&amp;" business day(s) left).")))))</f>
        <v/>
      </c>
      <c r="V529" s="17">
        <f>IF($W529="","",CHOOSE($W529,"Collection Email","1st Follow-up","2nd Follow-up","Local Office","CBE","Roxanne")&amp;IF($W529=6," - Final"," - Day "&amp;MAX(0,NETWORKDAYS($X529,TODAY(),Holidays)-1)&amp;" of "&amp;CHOOSE($W529,3,3,2,2,3))&amp;" | Total Day "&amp;MAX(0,NETWORKDAYS($L529,TODAY(),Holidays)-1))</f>
        <v/>
      </c>
      <c r="W529" s="17">
        <f>IF($L529="","",COUNT($L529:$Q529))</f>
        <v/>
      </c>
      <c r="X529" s="18">
        <f>IF($W529="","",INT(INDEX($L529:$Q529,$W529)))</f>
        <v/>
      </c>
      <c r="Y529" s="18">
        <f>IF(OR($W529="",$W529=6),"",WORKDAY($X529,CHOOSE($W529,3,3,2,2,3),Holidays))</f>
        <v/>
      </c>
      <c r="Z529" s="17">
        <f>IF(OR($W529="",$W529=6),"",CHOOSE($W529,"1st Email Follow-up","2nd Email Follow-up","Escalate Local Office","Escalate to CBE","Escalate to Roxanne"))</f>
        <v/>
      </c>
    </row>
    <row r="530" spans="18:26">
      <c r="R530" s="15"/>
      <c r="S530" s="16"/>
      <c r="T530" s="17">
        <f>IF(AND(COUNTA($A530:$K530)=0,$L530=""),"",IF($S530="Paid","PAID",IF($S530="Closed","CLOSED",IF($W530="","",IF($W530=6,"ESCALATED TO ROXANNE",IF(TODAY()&gt;$Y530,"OVERDUE",IF($Y530&lt;=WORKDAY(TODAY(),1,Holidays),"DUE TOMORROW",IF($W530=4,"ESCALATED TO LOCAL OFFICE",IF($W530=5,"ESCALATED TO CBE",IF($X530=TODAY(),"EMAIL SENT","MONITORING"))))))))))</f>
        <v/>
      </c>
      <c r="U530" s="17">
        <f>IF($T530="",IF(AND(COUNTA($A530:$K530)&gt;0,$L530=""),"Awaiting Collection Email time stamp.",""),IF(OR($T530="PAID",$T530="CLOSED"),IF($T530="PAID","Account paid. Action completed.","Account closed. No further action required."),CHOOSE($W530,"Collection Email","1st Email Follow-up","2nd Email Follow-up","Escalation to Local Office","Escalation to CBE","Escalation to Roxanne")&amp;" sent "&amp;TEXT($X530,"dd-mmm")&amp;". "&amp;IF($W530=6,"Final escalation completed.",IF($T530="OVERDUE","Next: "&amp;$Z530&amp;" was due "&amp;TEXT($Y530,"dd-mmm")&amp;" - "&amp;(NETWORKDAYS($Y530,TODAY(),Holidays)-1)&amp;" business day(s) late. Send now.",IF($T530="DUE TOMORROW","Next: "&amp;$Z530&amp;IF($Y530&lt;=TODAY()," is due TODAY ("," is due next business day (")&amp;TEXT($Y530,"dd-mmm")&amp;").","Next: "&amp;$Z530&amp;" due "&amp;TEXT($Y530,"dd-mmm")&amp;" ("&amp;(NETWORKDAYS(TODAY(),$Y530,Holidays)-1)&amp;" business day(s) left).")))))</f>
        <v/>
      </c>
      <c r="V530" s="17">
        <f>IF($W530="","",CHOOSE($W530,"Collection Email","1st Follow-up","2nd Follow-up","Local Office","CBE","Roxanne")&amp;IF($W530=6," - Final"," - Day "&amp;MAX(0,NETWORKDAYS($X530,TODAY(),Holidays)-1)&amp;" of "&amp;CHOOSE($W530,3,3,2,2,3))&amp;" | Total Day "&amp;MAX(0,NETWORKDAYS($L530,TODAY(),Holidays)-1))</f>
        <v/>
      </c>
      <c r="W530" s="17">
        <f>IF($L530="","",COUNT($L530:$Q530))</f>
        <v/>
      </c>
      <c r="X530" s="18">
        <f>IF($W530="","",INT(INDEX($L530:$Q530,$W530)))</f>
        <v/>
      </c>
      <c r="Y530" s="18">
        <f>IF(OR($W530="",$W530=6),"",WORKDAY($X530,CHOOSE($W530,3,3,2,2,3),Holidays))</f>
        <v/>
      </c>
      <c r="Z530" s="17">
        <f>IF(OR($W530="",$W530=6),"",CHOOSE($W530,"1st Email Follow-up","2nd Email Follow-up","Escalate Local Office","Escalate to CBE","Escalate to Roxanne"))</f>
        <v/>
      </c>
    </row>
    <row r="531" spans="18:26">
      <c r="R531" s="15"/>
      <c r="S531" s="16"/>
      <c r="T531" s="17">
        <f>IF(AND(COUNTA($A531:$K531)=0,$L531=""),"",IF($S531="Paid","PAID",IF($S531="Closed","CLOSED",IF($W531="","",IF($W531=6,"ESCALATED TO ROXANNE",IF(TODAY()&gt;$Y531,"OVERDUE",IF($Y531&lt;=WORKDAY(TODAY(),1,Holidays),"DUE TOMORROW",IF($W531=4,"ESCALATED TO LOCAL OFFICE",IF($W531=5,"ESCALATED TO CBE",IF($X531=TODAY(),"EMAIL SENT","MONITORING"))))))))))</f>
        <v/>
      </c>
      <c r="U531" s="17">
        <f>IF($T531="",IF(AND(COUNTA($A531:$K531)&gt;0,$L531=""),"Awaiting Collection Email time stamp.",""),IF(OR($T531="PAID",$T531="CLOSED"),IF($T531="PAID","Account paid. Action completed.","Account closed. No further action required."),CHOOSE($W531,"Collection Email","1st Email Follow-up","2nd Email Follow-up","Escalation to Local Office","Escalation to CBE","Escalation to Roxanne")&amp;" sent "&amp;TEXT($X531,"dd-mmm")&amp;". "&amp;IF($W531=6,"Final escalation completed.",IF($T531="OVERDUE","Next: "&amp;$Z531&amp;" was due "&amp;TEXT($Y531,"dd-mmm")&amp;" - "&amp;(NETWORKDAYS($Y531,TODAY(),Holidays)-1)&amp;" business day(s) late. Send now.",IF($T531="DUE TOMORROW","Next: "&amp;$Z531&amp;IF($Y531&lt;=TODAY()," is due TODAY ("," is due next business day (")&amp;TEXT($Y531,"dd-mmm")&amp;").","Next: "&amp;$Z531&amp;" due "&amp;TEXT($Y531,"dd-mmm")&amp;" ("&amp;(NETWORKDAYS(TODAY(),$Y531,Holidays)-1)&amp;" business day(s) left).")))))</f>
        <v/>
      </c>
      <c r="V531" s="17">
        <f>IF($W531="","",CHOOSE($W531,"Collection Email","1st Follow-up","2nd Follow-up","Local Office","CBE","Roxanne")&amp;IF($W531=6," - Final"," - Day "&amp;MAX(0,NETWORKDAYS($X531,TODAY(),Holidays)-1)&amp;" of "&amp;CHOOSE($W531,3,3,2,2,3))&amp;" | Total Day "&amp;MAX(0,NETWORKDAYS($L531,TODAY(),Holidays)-1))</f>
        <v/>
      </c>
      <c r="W531" s="17">
        <f>IF($L531="","",COUNT($L531:$Q531))</f>
        <v/>
      </c>
      <c r="X531" s="18">
        <f>IF($W531="","",INT(INDEX($L531:$Q531,$W531)))</f>
        <v/>
      </c>
      <c r="Y531" s="18">
        <f>IF(OR($W531="",$W531=6),"",WORKDAY($X531,CHOOSE($W531,3,3,2,2,3),Holidays))</f>
        <v/>
      </c>
      <c r="Z531" s="17">
        <f>IF(OR($W531="",$W531=6),"",CHOOSE($W531,"1st Email Follow-up","2nd Email Follow-up","Escalate Local Office","Escalate to CBE","Escalate to Roxanne"))</f>
        <v/>
      </c>
    </row>
    <row r="532" spans="18:26">
      <c r="R532" s="15"/>
      <c r="S532" s="16"/>
      <c r="T532" s="17">
        <f>IF(AND(COUNTA($A532:$K532)=0,$L532=""),"",IF($S532="Paid","PAID",IF($S532="Closed","CLOSED",IF($W532="","",IF($W532=6,"ESCALATED TO ROXANNE",IF(TODAY()&gt;$Y532,"OVERDUE",IF($Y532&lt;=WORKDAY(TODAY(),1,Holidays),"DUE TOMORROW",IF($W532=4,"ESCALATED TO LOCAL OFFICE",IF($W532=5,"ESCALATED TO CBE",IF($X532=TODAY(),"EMAIL SENT","MONITORING"))))))))))</f>
        <v/>
      </c>
      <c r="U532" s="17">
        <f>IF($T532="",IF(AND(COUNTA($A532:$K532)&gt;0,$L532=""),"Awaiting Collection Email time stamp.",""),IF(OR($T532="PAID",$T532="CLOSED"),IF($T532="PAID","Account paid. Action completed.","Account closed. No further action required."),CHOOSE($W532,"Collection Email","1st Email Follow-up","2nd Email Follow-up","Escalation to Local Office","Escalation to CBE","Escalation to Roxanne")&amp;" sent "&amp;TEXT($X532,"dd-mmm")&amp;". "&amp;IF($W532=6,"Final escalation completed.",IF($T532="OVERDUE","Next: "&amp;$Z532&amp;" was due "&amp;TEXT($Y532,"dd-mmm")&amp;" - "&amp;(NETWORKDAYS($Y532,TODAY(),Holidays)-1)&amp;" business day(s) late. Send now.",IF($T532="DUE TOMORROW","Next: "&amp;$Z532&amp;IF($Y532&lt;=TODAY()," is due TODAY ("," is due next business day (")&amp;TEXT($Y532,"dd-mmm")&amp;").","Next: "&amp;$Z532&amp;" due "&amp;TEXT($Y532,"dd-mmm")&amp;" ("&amp;(NETWORKDAYS(TODAY(),$Y532,Holidays)-1)&amp;" business day(s) left).")))))</f>
        <v/>
      </c>
      <c r="V532" s="17">
        <f>IF($W532="","",CHOOSE($W532,"Collection Email","1st Follow-up","2nd Follow-up","Local Office","CBE","Roxanne")&amp;IF($W532=6," - Final"," - Day "&amp;MAX(0,NETWORKDAYS($X532,TODAY(),Holidays)-1)&amp;" of "&amp;CHOOSE($W532,3,3,2,2,3))&amp;" | Total Day "&amp;MAX(0,NETWORKDAYS($L532,TODAY(),Holidays)-1))</f>
        <v/>
      </c>
      <c r="W532" s="17">
        <f>IF($L532="","",COUNT($L532:$Q532))</f>
        <v/>
      </c>
      <c r="X532" s="18">
        <f>IF($W532="","",INT(INDEX($L532:$Q532,$W532)))</f>
        <v/>
      </c>
      <c r="Y532" s="18">
        <f>IF(OR($W532="",$W532=6),"",WORKDAY($X532,CHOOSE($W532,3,3,2,2,3),Holidays))</f>
        <v/>
      </c>
      <c r="Z532" s="17">
        <f>IF(OR($W532="",$W532=6),"",CHOOSE($W532,"1st Email Follow-up","2nd Email Follow-up","Escalate Local Office","Escalate to CBE","Escalate to Roxanne"))</f>
        <v/>
      </c>
    </row>
    <row r="533" spans="18:26">
      <c r="R533" s="15"/>
      <c r="S533" s="16"/>
      <c r="T533" s="17">
        <f>IF(AND(COUNTA($A533:$K533)=0,$L533=""),"",IF($S533="Paid","PAID",IF($S533="Closed","CLOSED",IF($W533="","",IF($W533=6,"ESCALATED TO ROXANNE",IF(TODAY()&gt;$Y533,"OVERDUE",IF($Y533&lt;=WORKDAY(TODAY(),1,Holidays),"DUE TOMORROW",IF($W533=4,"ESCALATED TO LOCAL OFFICE",IF($W533=5,"ESCALATED TO CBE",IF($X533=TODAY(),"EMAIL SENT","MONITORING"))))))))))</f>
        <v/>
      </c>
      <c r="U533" s="17">
        <f>IF($T533="",IF(AND(COUNTA($A533:$K533)&gt;0,$L533=""),"Awaiting Collection Email time stamp.",""),IF(OR($T533="PAID",$T533="CLOSED"),IF($T533="PAID","Account paid. Action completed.","Account closed. No further action required."),CHOOSE($W533,"Collection Email","1st Email Follow-up","2nd Email Follow-up","Escalation to Local Office","Escalation to CBE","Escalation to Roxanne")&amp;" sent "&amp;TEXT($X533,"dd-mmm")&amp;". "&amp;IF($W533=6,"Final escalation completed.",IF($T533="OVERDUE","Next: "&amp;$Z533&amp;" was due "&amp;TEXT($Y533,"dd-mmm")&amp;" - "&amp;(NETWORKDAYS($Y533,TODAY(),Holidays)-1)&amp;" business day(s) late. Send now.",IF($T533="DUE TOMORROW","Next: "&amp;$Z533&amp;IF($Y533&lt;=TODAY()," is due TODAY ("," is due next business day (")&amp;TEXT($Y533,"dd-mmm")&amp;").","Next: "&amp;$Z533&amp;" due "&amp;TEXT($Y533,"dd-mmm")&amp;" ("&amp;(NETWORKDAYS(TODAY(),$Y533,Holidays)-1)&amp;" business day(s) left).")))))</f>
        <v/>
      </c>
      <c r="V533" s="17">
        <f>IF($W533="","",CHOOSE($W533,"Collection Email","1st Follow-up","2nd Follow-up","Local Office","CBE","Roxanne")&amp;IF($W533=6," - Final"," - Day "&amp;MAX(0,NETWORKDAYS($X533,TODAY(),Holidays)-1)&amp;" of "&amp;CHOOSE($W533,3,3,2,2,3))&amp;" | Total Day "&amp;MAX(0,NETWORKDAYS($L533,TODAY(),Holidays)-1))</f>
        <v/>
      </c>
      <c r="W533" s="17">
        <f>IF($L533="","",COUNT($L533:$Q533))</f>
        <v/>
      </c>
      <c r="X533" s="18">
        <f>IF($W533="","",INT(INDEX($L533:$Q533,$W533)))</f>
        <v/>
      </c>
      <c r="Y533" s="18">
        <f>IF(OR($W533="",$W533=6),"",WORKDAY($X533,CHOOSE($W533,3,3,2,2,3),Holidays))</f>
        <v/>
      </c>
      <c r="Z533" s="17">
        <f>IF(OR($W533="",$W533=6),"",CHOOSE($W533,"1st Email Follow-up","2nd Email Follow-up","Escalate Local Office","Escalate to CBE","Escalate to Roxanne"))</f>
        <v/>
      </c>
    </row>
    <row r="534" spans="18:26">
      <c r="R534" s="15"/>
      <c r="S534" s="16"/>
      <c r="T534" s="17">
        <f>IF(AND(COUNTA($A534:$K534)=0,$L534=""),"",IF($S534="Paid","PAID",IF($S534="Closed","CLOSED",IF($W534="","",IF($W534=6,"ESCALATED TO ROXANNE",IF(TODAY()&gt;$Y534,"OVERDUE",IF($Y534&lt;=WORKDAY(TODAY(),1,Holidays),"DUE TOMORROW",IF($W534=4,"ESCALATED TO LOCAL OFFICE",IF($W534=5,"ESCALATED TO CBE",IF($X534=TODAY(),"EMAIL SENT","MONITORING"))))))))))</f>
        <v/>
      </c>
      <c r="U534" s="17">
        <f>IF($T534="",IF(AND(COUNTA($A534:$K534)&gt;0,$L534=""),"Awaiting Collection Email time stamp.",""),IF(OR($T534="PAID",$T534="CLOSED"),IF($T534="PAID","Account paid. Action completed.","Account closed. No further action required."),CHOOSE($W534,"Collection Email","1st Email Follow-up","2nd Email Follow-up","Escalation to Local Office","Escalation to CBE","Escalation to Roxanne")&amp;" sent "&amp;TEXT($X534,"dd-mmm")&amp;". "&amp;IF($W534=6,"Final escalation completed.",IF($T534="OVERDUE","Next: "&amp;$Z534&amp;" was due "&amp;TEXT($Y534,"dd-mmm")&amp;" - "&amp;(NETWORKDAYS($Y534,TODAY(),Holidays)-1)&amp;" business day(s) late. Send now.",IF($T534="DUE TOMORROW","Next: "&amp;$Z534&amp;IF($Y534&lt;=TODAY()," is due TODAY ("," is due next business day (")&amp;TEXT($Y534,"dd-mmm")&amp;").","Next: "&amp;$Z534&amp;" due "&amp;TEXT($Y534,"dd-mmm")&amp;" ("&amp;(NETWORKDAYS(TODAY(),$Y534,Holidays)-1)&amp;" business day(s) left).")))))</f>
        <v/>
      </c>
      <c r="V534" s="17">
        <f>IF($W534="","",CHOOSE($W534,"Collection Email","1st Follow-up","2nd Follow-up","Local Office","CBE","Roxanne")&amp;IF($W534=6," - Final"," - Day "&amp;MAX(0,NETWORKDAYS($X534,TODAY(),Holidays)-1)&amp;" of "&amp;CHOOSE($W534,3,3,2,2,3))&amp;" | Total Day "&amp;MAX(0,NETWORKDAYS($L534,TODAY(),Holidays)-1))</f>
        <v/>
      </c>
      <c r="W534" s="17">
        <f>IF($L534="","",COUNT($L534:$Q534))</f>
        <v/>
      </c>
      <c r="X534" s="18">
        <f>IF($W534="","",INT(INDEX($L534:$Q534,$W534)))</f>
        <v/>
      </c>
      <c r="Y534" s="18">
        <f>IF(OR($W534="",$W534=6),"",WORKDAY($X534,CHOOSE($W534,3,3,2,2,3),Holidays))</f>
        <v/>
      </c>
      <c r="Z534" s="17">
        <f>IF(OR($W534="",$W534=6),"",CHOOSE($W534,"1st Email Follow-up","2nd Email Follow-up","Escalate Local Office","Escalate to CBE","Escalate to Roxanne"))</f>
        <v/>
      </c>
    </row>
    <row r="535" spans="18:26">
      <c r="R535" s="15"/>
      <c r="S535" s="16"/>
      <c r="T535" s="17">
        <f>IF(AND(COUNTA($A535:$K535)=0,$L535=""),"",IF($S535="Paid","PAID",IF($S535="Closed","CLOSED",IF($W535="","",IF($W535=6,"ESCALATED TO ROXANNE",IF(TODAY()&gt;$Y535,"OVERDUE",IF($Y535&lt;=WORKDAY(TODAY(),1,Holidays),"DUE TOMORROW",IF($W535=4,"ESCALATED TO LOCAL OFFICE",IF($W535=5,"ESCALATED TO CBE",IF($X535=TODAY(),"EMAIL SENT","MONITORING"))))))))))</f>
        <v/>
      </c>
      <c r="U535" s="17">
        <f>IF($T535="",IF(AND(COUNTA($A535:$K535)&gt;0,$L535=""),"Awaiting Collection Email time stamp.",""),IF(OR($T535="PAID",$T535="CLOSED"),IF($T535="PAID","Account paid. Action completed.","Account closed. No further action required."),CHOOSE($W535,"Collection Email","1st Email Follow-up","2nd Email Follow-up","Escalation to Local Office","Escalation to CBE","Escalation to Roxanne")&amp;" sent "&amp;TEXT($X535,"dd-mmm")&amp;". "&amp;IF($W535=6,"Final escalation completed.",IF($T535="OVERDUE","Next: "&amp;$Z535&amp;" was due "&amp;TEXT($Y535,"dd-mmm")&amp;" - "&amp;(NETWORKDAYS($Y535,TODAY(),Holidays)-1)&amp;" business day(s) late. Send now.",IF($T535="DUE TOMORROW","Next: "&amp;$Z535&amp;IF($Y535&lt;=TODAY()," is due TODAY ("," is due next business day (")&amp;TEXT($Y535,"dd-mmm")&amp;").","Next: "&amp;$Z535&amp;" due "&amp;TEXT($Y535,"dd-mmm")&amp;" ("&amp;(NETWORKDAYS(TODAY(),$Y535,Holidays)-1)&amp;" business day(s) left).")))))</f>
        <v/>
      </c>
      <c r="V535" s="17">
        <f>IF($W535="","",CHOOSE($W535,"Collection Email","1st Follow-up","2nd Follow-up","Local Office","CBE","Roxanne")&amp;IF($W535=6," - Final"," - Day "&amp;MAX(0,NETWORKDAYS($X535,TODAY(),Holidays)-1)&amp;" of "&amp;CHOOSE($W535,3,3,2,2,3))&amp;" | Total Day "&amp;MAX(0,NETWORKDAYS($L535,TODAY(),Holidays)-1))</f>
        <v/>
      </c>
      <c r="W535" s="17">
        <f>IF($L535="","",COUNT($L535:$Q535))</f>
        <v/>
      </c>
      <c r="X535" s="18">
        <f>IF($W535="","",INT(INDEX($L535:$Q535,$W535)))</f>
        <v/>
      </c>
      <c r="Y535" s="18">
        <f>IF(OR($W535="",$W535=6),"",WORKDAY($X535,CHOOSE($W535,3,3,2,2,3),Holidays))</f>
        <v/>
      </c>
      <c r="Z535" s="17">
        <f>IF(OR($W535="",$W535=6),"",CHOOSE($W535,"1st Email Follow-up","2nd Email Follow-up","Escalate Local Office","Escalate to CBE","Escalate to Roxanne"))</f>
        <v/>
      </c>
    </row>
    <row r="536" spans="18:26">
      <c r="R536" s="15"/>
      <c r="S536" s="16"/>
      <c r="T536" s="17">
        <f>IF(AND(COUNTA($A536:$K536)=0,$L536=""),"",IF($S536="Paid","PAID",IF($S536="Closed","CLOSED",IF($W536="","",IF($W536=6,"ESCALATED TO ROXANNE",IF(TODAY()&gt;$Y536,"OVERDUE",IF($Y536&lt;=WORKDAY(TODAY(),1,Holidays),"DUE TOMORROW",IF($W536=4,"ESCALATED TO LOCAL OFFICE",IF($W536=5,"ESCALATED TO CBE",IF($X536=TODAY(),"EMAIL SENT","MONITORING"))))))))))</f>
        <v/>
      </c>
      <c r="U536" s="17">
        <f>IF($T536="",IF(AND(COUNTA($A536:$K536)&gt;0,$L536=""),"Awaiting Collection Email time stamp.",""),IF(OR($T536="PAID",$T536="CLOSED"),IF($T536="PAID","Account paid. Action completed.","Account closed. No further action required."),CHOOSE($W536,"Collection Email","1st Email Follow-up","2nd Email Follow-up","Escalation to Local Office","Escalation to CBE","Escalation to Roxanne")&amp;" sent "&amp;TEXT($X536,"dd-mmm")&amp;". "&amp;IF($W536=6,"Final escalation completed.",IF($T536="OVERDUE","Next: "&amp;$Z536&amp;" was due "&amp;TEXT($Y536,"dd-mmm")&amp;" - "&amp;(NETWORKDAYS($Y536,TODAY(),Holidays)-1)&amp;" business day(s) late. Send now.",IF($T536="DUE TOMORROW","Next: "&amp;$Z536&amp;IF($Y536&lt;=TODAY()," is due TODAY ("," is due next business day (")&amp;TEXT($Y536,"dd-mmm")&amp;").","Next: "&amp;$Z536&amp;" due "&amp;TEXT($Y536,"dd-mmm")&amp;" ("&amp;(NETWORKDAYS(TODAY(),$Y536,Holidays)-1)&amp;" business day(s) left).")))))</f>
        <v/>
      </c>
      <c r="V536" s="17">
        <f>IF($W536="","",CHOOSE($W536,"Collection Email","1st Follow-up","2nd Follow-up","Local Office","CBE","Roxanne")&amp;IF($W536=6," - Final"," - Day "&amp;MAX(0,NETWORKDAYS($X536,TODAY(),Holidays)-1)&amp;" of "&amp;CHOOSE($W536,3,3,2,2,3))&amp;" | Total Day "&amp;MAX(0,NETWORKDAYS($L536,TODAY(),Holidays)-1))</f>
        <v/>
      </c>
      <c r="W536" s="17">
        <f>IF($L536="","",COUNT($L536:$Q536))</f>
        <v/>
      </c>
      <c r="X536" s="18">
        <f>IF($W536="","",INT(INDEX($L536:$Q536,$W536)))</f>
        <v/>
      </c>
      <c r="Y536" s="18">
        <f>IF(OR($W536="",$W536=6),"",WORKDAY($X536,CHOOSE($W536,3,3,2,2,3),Holidays))</f>
        <v/>
      </c>
      <c r="Z536" s="17">
        <f>IF(OR($W536="",$W536=6),"",CHOOSE($W536,"1st Email Follow-up","2nd Email Follow-up","Escalate Local Office","Escalate to CBE","Escalate to Roxanne"))</f>
        <v/>
      </c>
    </row>
    <row r="537" spans="18:26">
      <c r="R537" s="15"/>
      <c r="S537" s="16"/>
      <c r="T537" s="17">
        <f>IF(AND(COUNTA($A537:$K537)=0,$L537=""),"",IF($S537="Paid","PAID",IF($S537="Closed","CLOSED",IF($W537="","",IF($W537=6,"ESCALATED TO ROXANNE",IF(TODAY()&gt;$Y537,"OVERDUE",IF($Y537&lt;=WORKDAY(TODAY(),1,Holidays),"DUE TOMORROW",IF($W537=4,"ESCALATED TO LOCAL OFFICE",IF($W537=5,"ESCALATED TO CBE",IF($X537=TODAY(),"EMAIL SENT","MONITORING"))))))))))</f>
        <v/>
      </c>
      <c r="U537" s="17">
        <f>IF($T537="",IF(AND(COUNTA($A537:$K537)&gt;0,$L537=""),"Awaiting Collection Email time stamp.",""),IF(OR($T537="PAID",$T537="CLOSED"),IF($T537="PAID","Account paid. Action completed.","Account closed. No further action required."),CHOOSE($W537,"Collection Email","1st Email Follow-up","2nd Email Follow-up","Escalation to Local Office","Escalation to CBE","Escalation to Roxanne")&amp;" sent "&amp;TEXT($X537,"dd-mmm")&amp;". "&amp;IF($W537=6,"Final escalation completed.",IF($T537="OVERDUE","Next: "&amp;$Z537&amp;" was due "&amp;TEXT($Y537,"dd-mmm")&amp;" - "&amp;(NETWORKDAYS($Y537,TODAY(),Holidays)-1)&amp;" business day(s) late. Send now.",IF($T537="DUE TOMORROW","Next: "&amp;$Z537&amp;IF($Y537&lt;=TODAY()," is due TODAY ("," is due next business day (")&amp;TEXT($Y537,"dd-mmm")&amp;").","Next: "&amp;$Z537&amp;" due "&amp;TEXT($Y537,"dd-mmm")&amp;" ("&amp;(NETWORKDAYS(TODAY(),$Y537,Holidays)-1)&amp;" business day(s) left).")))))</f>
        <v/>
      </c>
      <c r="V537" s="17">
        <f>IF($W537="","",CHOOSE($W537,"Collection Email","1st Follow-up","2nd Follow-up","Local Office","CBE","Roxanne")&amp;IF($W537=6," - Final"," - Day "&amp;MAX(0,NETWORKDAYS($X537,TODAY(),Holidays)-1)&amp;" of "&amp;CHOOSE($W537,3,3,2,2,3))&amp;" | Total Day "&amp;MAX(0,NETWORKDAYS($L537,TODAY(),Holidays)-1))</f>
        <v/>
      </c>
      <c r="W537" s="17">
        <f>IF($L537="","",COUNT($L537:$Q537))</f>
        <v/>
      </c>
      <c r="X537" s="18">
        <f>IF($W537="","",INT(INDEX($L537:$Q537,$W537)))</f>
        <v/>
      </c>
      <c r="Y537" s="18">
        <f>IF(OR($W537="",$W537=6),"",WORKDAY($X537,CHOOSE($W537,3,3,2,2,3),Holidays))</f>
        <v/>
      </c>
      <c r="Z537" s="17">
        <f>IF(OR($W537="",$W537=6),"",CHOOSE($W537,"1st Email Follow-up","2nd Email Follow-up","Escalate Local Office","Escalate to CBE","Escalate to Roxanne"))</f>
        <v/>
      </c>
    </row>
    <row r="538" spans="18:26">
      <c r="R538" s="15"/>
      <c r="S538" s="16"/>
      <c r="T538" s="17">
        <f>IF(AND(COUNTA($A538:$K538)=0,$L538=""),"",IF($S538="Paid","PAID",IF($S538="Closed","CLOSED",IF($W538="","",IF($W538=6,"ESCALATED TO ROXANNE",IF(TODAY()&gt;$Y538,"OVERDUE",IF($Y538&lt;=WORKDAY(TODAY(),1,Holidays),"DUE TOMORROW",IF($W538=4,"ESCALATED TO LOCAL OFFICE",IF($W538=5,"ESCALATED TO CBE",IF($X538=TODAY(),"EMAIL SENT","MONITORING"))))))))))</f>
        <v/>
      </c>
      <c r="U538" s="17">
        <f>IF($T538="",IF(AND(COUNTA($A538:$K538)&gt;0,$L538=""),"Awaiting Collection Email time stamp.",""),IF(OR($T538="PAID",$T538="CLOSED"),IF($T538="PAID","Account paid. Action completed.","Account closed. No further action required."),CHOOSE($W538,"Collection Email","1st Email Follow-up","2nd Email Follow-up","Escalation to Local Office","Escalation to CBE","Escalation to Roxanne")&amp;" sent "&amp;TEXT($X538,"dd-mmm")&amp;". "&amp;IF($W538=6,"Final escalation completed.",IF($T538="OVERDUE","Next: "&amp;$Z538&amp;" was due "&amp;TEXT($Y538,"dd-mmm")&amp;" - "&amp;(NETWORKDAYS($Y538,TODAY(),Holidays)-1)&amp;" business day(s) late. Send now.",IF($T538="DUE TOMORROW","Next: "&amp;$Z538&amp;IF($Y538&lt;=TODAY()," is due TODAY ("," is due next business day (")&amp;TEXT($Y538,"dd-mmm")&amp;").","Next: "&amp;$Z538&amp;" due "&amp;TEXT($Y538,"dd-mmm")&amp;" ("&amp;(NETWORKDAYS(TODAY(),$Y538,Holidays)-1)&amp;" business day(s) left).")))))</f>
        <v/>
      </c>
      <c r="V538" s="17">
        <f>IF($W538="","",CHOOSE($W538,"Collection Email","1st Follow-up","2nd Follow-up","Local Office","CBE","Roxanne")&amp;IF($W538=6," - Final"," - Day "&amp;MAX(0,NETWORKDAYS($X538,TODAY(),Holidays)-1)&amp;" of "&amp;CHOOSE($W538,3,3,2,2,3))&amp;" | Total Day "&amp;MAX(0,NETWORKDAYS($L538,TODAY(),Holidays)-1))</f>
        <v/>
      </c>
      <c r="W538" s="17">
        <f>IF($L538="","",COUNT($L538:$Q538))</f>
        <v/>
      </c>
      <c r="X538" s="18">
        <f>IF($W538="","",INT(INDEX($L538:$Q538,$W538)))</f>
        <v/>
      </c>
      <c r="Y538" s="18">
        <f>IF(OR($W538="",$W538=6),"",WORKDAY($X538,CHOOSE($W538,3,3,2,2,3),Holidays))</f>
        <v/>
      </c>
      <c r="Z538" s="17">
        <f>IF(OR($W538="",$W538=6),"",CHOOSE($W538,"1st Email Follow-up","2nd Email Follow-up","Escalate Local Office","Escalate to CBE","Escalate to Roxanne"))</f>
        <v/>
      </c>
    </row>
    <row r="539" spans="18:26">
      <c r="R539" s="15"/>
      <c r="S539" s="16"/>
      <c r="T539" s="17">
        <f>IF(AND(COUNTA($A539:$K539)=0,$L539=""),"",IF($S539="Paid","PAID",IF($S539="Closed","CLOSED",IF($W539="","",IF($W539=6,"ESCALATED TO ROXANNE",IF(TODAY()&gt;$Y539,"OVERDUE",IF($Y539&lt;=WORKDAY(TODAY(),1,Holidays),"DUE TOMORROW",IF($W539=4,"ESCALATED TO LOCAL OFFICE",IF($W539=5,"ESCALATED TO CBE",IF($X539=TODAY(),"EMAIL SENT","MONITORING"))))))))))</f>
        <v/>
      </c>
      <c r="U539" s="17">
        <f>IF($T539="",IF(AND(COUNTA($A539:$K539)&gt;0,$L539=""),"Awaiting Collection Email time stamp.",""),IF(OR($T539="PAID",$T539="CLOSED"),IF($T539="PAID","Account paid. Action completed.","Account closed. No further action required."),CHOOSE($W539,"Collection Email","1st Email Follow-up","2nd Email Follow-up","Escalation to Local Office","Escalation to CBE","Escalation to Roxanne")&amp;" sent "&amp;TEXT($X539,"dd-mmm")&amp;". "&amp;IF($W539=6,"Final escalation completed.",IF($T539="OVERDUE","Next: "&amp;$Z539&amp;" was due "&amp;TEXT($Y539,"dd-mmm")&amp;" - "&amp;(NETWORKDAYS($Y539,TODAY(),Holidays)-1)&amp;" business day(s) late. Send now.",IF($T539="DUE TOMORROW","Next: "&amp;$Z539&amp;IF($Y539&lt;=TODAY()," is due TODAY ("," is due next business day (")&amp;TEXT($Y539,"dd-mmm")&amp;").","Next: "&amp;$Z539&amp;" due "&amp;TEXT($Y539,"dd-mmm")&amp;" ("&amp;(NETWORKDAYS(TODAY(),$Y539,Holidays)-1)&amp;" business day(s) left).")))))</f>
        <v/>
      </c>
      <c r="V539" s="17">
        <f>IF($W539="","",CHOOSE($W539,"Collection Email","1st Follow-up","2nd Follow-up","Local Office","CBE","Roxanne")&amp;IF($W539=6," - Final"," - Day "&amp;MAX(0,NETWORKDAYS($X539,TODAY(),Holidays)-1)&amp;" of "&amp;CHOOSE($W539,3,3,2,2,3))&amp;" | Total Day "&amp;MAX(0,NETWORKDAYS($L539,TODAY(),Holidays)-1))</f>
        <v/>
      </c>
      <c r="W539" s="17">
        <f>IF($L539="","",COUNT($L539:$Q539))</f>
        <v/>
      </c>
      <c r="X539" s="18">
        <f>IF($W539="","",INT(INDEX($L539:$Q539,$W539)))</f>
        <v/>
      </c>
      <c r="Y539" s="18">
        <f>IF(OR($W539="",$W539=6),"",WORKDAY($X539,CHOOSE($W539,3,3,2,2,3),Holidays))</f>
        <v/>
      </c>
      <c r="Z539" s="17">
        <f>IF(OR($W539="",$W539=6),"",CHOOSE($W539,"1st Email Follow-up","2nd Email Follow-up","Escalate Local Office","Escalate to CBE","Escalate to Roxanne"))</f>
        <v/>
      </c>
    </row>
    <row r="540" spans="18:26">
      <c r="R540" s="15"/>
      <c r="S540" s="16"/>
      <c r="T540" s="17">
        <f>IF(AND(COUNTA($A540:$K540)=0,$L540=""),"",IF($S540="Paid","PAID",IF($S540="Closed","CLOSED",IF($W540="","",IF($W540=6,"ESCALATED TO ROXANNE",IF(TODAY()&gt;$Y540,"OVERDUE",IF($Y540&lt;=WORKDAY(TODAY(),1,Holidays),"DUE TOMORROW",IF($W540=4,"ESCALATED TO LOCAL OFFICE",IF($W540=5,"ESCALATED TO CBE",IF($X540=TODAY(),"EMAIL SENT","MONITORING"))))))))))</f>
        <v/>
      </c>
      <c r="U540" s="17">
        <f>IF($T540="",IF(AND(COUNTA($A540:$K540)&gt;0,$L540=""),"Awaiting Collection Email time stamp.",""),IF(OR($T540="PAID",$T540="CLOSED"),IF($T540="PAID","Account paid. Action completed.","Account closed. No further action required."),CHOOSE($W540,"Collection Email","1st Email Follow-up","2nd Email Follow-up","Escalation to Local Office","Escalation to CBE","Escalation to Roxanne")&amp;" sent "&amp;TEXT($X540,"dd-mmm")&amp;". "&amp;IF($W540=6,"Final escalation completed.",IF($T540="OVERDUE","Next: "&amp;$Z540&amp;" was due "&amp;TEXT($Y540,"dd-mmm")&amp;" - "&amp;(NETWORKDAYS($Y540,TODAY(),Holidays)-1)&amp;" business day(s) late. Send now.",IF($T540="DUE TOMORROW","Next: "&amp;$Z540&amp;IF($Y540&lt;=TODAY()," is due TODAY ("," is due next business day (")&amp;TEXT($Y540,"dd-mmm")&amp;").","Next: "&amp;$Z540&amp;" due "&amp;TEXT($Y540,"dd-mmm")&amp;" ("&amp;(NETWORKDAYS(TODAY(),$Y540,Holidays)-1)&amp;" business day(s) left).")))))</f>
        <v/>
      </c>
      <c r="V540" s="17">
        <f>IF($W540="","",CHOOSE($W540,"Collection Email","1st Follow-up","2nd Follow-up","Local Office","CBE","Roxanne")&amp;IF($W540=6," - Final"," - Day "&amp;MAX(0,NETWORKDAYS($X540,TODAY(),Holidays)-1)&amp;" of "&amp;CHOOSE($W540,3,3,2,2,3))&amp;" | Total Day "&amp;MAX(0,NETWORKDAYS($L540,TODAY(),Holidays)-1))</f>
        <v/>
      </c>
      <c r="W540" s="17">
        <f>IF($L540="","",COUNT($L540:$Q540))</f>
        <v/>
      </c>
      <c r="X540" s="18">
        <f>IF($W540="","",INT(INDEX($L540:$Q540,$W540)))</f>
        <v/>
      </c>
      <c r="Y540" s="18">
        <f>IF(OR($W540="",$W540=6),"",WORKDAY($X540,CHOOSE($W540,3,3,2,2,3),Holidays))</f>
        <v/>
      </c>
      <c r="Z540" s="17">
        <f>IF(OR($W540="",$W540=6),"",CHOOSE($W540,"1st Email Follow-up","2nd Email Follow-up","Escalate Local Office","Escalate to CBE","Escalate to Roxanne"))</f>
        <v/>
      </c>
    </row>
    <row r="541" spans="18:26">
      <c r="R541" s="15"/>
      <c r="S541" s="16"/>
      <c r="T541" s="17">
        <f>IF(AND(COUNTA($A541:$K541)=0,$L541=""),"",IF($S541="Paid","PAID",IF($S541="Closed","CLOSED",IF($W541="","",IF($W541=6,"ESCALATED TO ROXANNE",IF(TODAY()&gt;$Y541,"OVERDUE",IF($Y541&lt;=WORKDAY(TODAY(),1,Holidays),"DUE TOMORROW",IF($W541=4,"ESCALATED TO LOCAL OFFICE",IF($W541=5,"ESCALATED TO CBE",IF($X541=TODAY(),"EMAIL SENT","MONITORING"))))))))))</f>
        <v/>
      </c>
      <c r="U541" s="17">
        <f>IF($T541="",IF(AND(COUNTA($A541:$K541)&gt;0,$L541=""),"Awaiting Collection Email time stamp.",""),IF(OR($T541="PAID",$T541="CLOSED"),IF($T541="PAID","Account paid. Action completed.","Account closed. No further action required."),CHOOSE($W541,"Collection Email","1st Email Follow-up","2nd Email Follow-up","Escalation to Local Office","Escalation to CBE","Escalation to Roxanne")&amp;" sent "&amp;TEXT($X541,"dd-mmm")&amp;". "&amp;IF($W541=6,"Final escalation completed.",IF($T541="OVERDUE","Next: "&amp;$Z541&amp;" was due "&amp;TEXT($Y541,"dd-mmm")&amp;" - "&amp;(NETWORKDAYS($Y541,TODAY(),Holidays)-1)&amp;" business day(s) late. Send now.",IF($T541="DUE TOMORROW","Next: "&amp;$Z541&amp;IF($Y541&lt;=TODAY()," is due TODAY ("," is due next business day (")&amp;TEXT($Y541,"dd-mmm")&amp;").","Next: "&amp;$Z541&amp;" due "&amp;TEXT($Y541,"dd-mmm")&amp;" ("&amp;(NETWORKDAYS(TODAY(),$Y541,Holidays)-1)&amp;" business day(s) left).")))))</f>
        <v/>
      </c>
      <c r="V541" s="17">
        <f>IF($W541="","",CHOOSE($W541,"Collection Email","1st Follow-up","2nd Follow-up","Local Office","CBE","Roxanne")&amp;IF($W541=6," - Final"," - Day "&amp;MAX(0,NETWORKDAYS($X541,TODAY(),Holidays)-1)&amp;" of "&amp;CHOOSE($W541,3,3,2,2,3))&amp;" | Total Day "&amp;MAX(0,NETWORKDAYS($L541,TODAY(),Holidays)-1))</f>
        <v/>
      </c>
      <c r="W541" s="17">
        <f>IF($L541="","",COUNT($L541:$Q541))</f>
        <v/>
      </c>
      <c r="X541" s="18">
        <f>IF($W541="","",INT(INDEX($L541:$Q541,$W541)))</f>
        <v/>
      </c>
      <c r="Y541" s="18">
        <f>IF(OR($W541="",$W541=6),"",WORKDAY($X541,CHOOSE($W541,3,3,2,2,3),Holidays))</f>
        <v/>
      </c>
      <c r="Z541" s="17">
        <f>IF(OR($W541="",$W541=6),"",CHOOSE($W541,"1st Email Follow-up","2nd Email Follow-up","Escalate Local Office","Escalate to CBE","Escalate to Roxanne"))</f>
        <v/>
      </c>
    </row>
    <row r="542" spans="18:26">
      <c r="R542" s="15"/>
      <c r="S542" s="16"/>
      <c r="T542" s="17">
        <f>IF(AND(COUNTA($A542:$K542)=0,$L542=""),"",IF($S542="Paid","PAID",IF($S542="Closed","CLOSED",IF($W542="","",IF($W542=6,"ESCALATED TO ROXANNE",IF(TODAY()&gt;$Y542,"OVERDUE",IF($Y542&lt;=WORKDAY(TODAY(),1,Holidays),"DUE TOMORROW",IF($W542=4,"ESCALATED TO LOCAL OFFICE",IF($W542=5,"ESCALATED TO CBE",IF($X542=TODAY(),"EMAIL SENT","MONITORING"))))))))))</f>
        <v/>
      </c>
      <c r="U542" s="17">
        <f>IF($T542="",IF(AND(COUNTA($A542:$K542)&gt;0,$L542=""),"Awaiting Collection Email time stamp.",""),IF(OR($T542="PAID",$T542="CLOSED"),IF($T542="PAID","Account paid. Action completed.","Account closed. No further action required."),CHOOSE($W542,"Collection Email","1st Email Follow-up","2nd Email Follow-up","Escalation to Local Office","Escalation to CBE","Escalation to Roxanne")&amp;" sent "&amp;TEXT($X542,"dd-mmm")&amp;". "&amp;IF($W542=6,"Final escalation completed.",IF($T542="OVERDUE","Next: "&amp;$Z542&amp;" was due "&amp;TEXT($Y542,"dd-mmm")&amp;" - "&amp;(NETWORKDAYS($Y542,TODAY(),Holidays)-1)&amp;" business day(s) late. Send now.",IF($T542="DUE TOMORROW","Next: "&amp;$Z542&amp;IF($Y542&lt;=TODAY()," is due TODAY ("," is due next business day (")&amp;TEXT($Y542,"dd-mmm")&amp;").","Next: "&amp;$Z542&amp;" due "&amp;TEXT($Y542,"dd-mmm")&amp;" ("&amp;(NETWORKDAYS(TODAY(),$Y542,Holidays)-1)&amp;" business day(s) left).")))))</f>
        <v/>
      </c>
      <c r="V542" s="17">
        <f>IF($W542="","",CHOOSE($W542,"Collection Email","1st Follow-up","2nd Follow-up","Local Office","CBE","Roxanne")&amp;IF($W542=6," - Final"," - Day "&amp;MAX(0,NETWORKDAYS($X542,TODAY(),Holidays)-1)&amp;" of "&amp;CHOOSE($W542,3,3,2,2,3))&amp;" | Total Day "&amp;MAX(0,NETWORKDAYS($L542,TODAY(),Holidays)-1))</f>
        <v/>
      </c>
      <c r="W542" s="17">
        <f>IF($L542="","",COUNT($L542:$Q542))</f>
        <v/>
      </c>
      <c r="X542" s="18">
        <f>IF($W542="","",INT(INDEX($L542:$Q542,$W542)))</f>
        <v/>
      </c>
      <c r="Y542" s="18">
        <f>IF(OR($W542="",$W542=6),"",WORKDAY($X542,CHOOSE($W542,3,3,2,2,3),Holidays))</f>
        <v/>
      </c>
      <c r="Z542" s="17">
        <f>IF(OR($W542="",$W542=6),"",CHOOSE($W542,"1st Email Follow-up","2nd Email Follow-up","Escalate Local Office","Escalate to CBE","Escalate to Roxanne"))</f>
        <v/>
      </c>
    </row>
    <row r="543" spans="18:26">
      <c r="R543" s="15"/>
      <c r="S543" s="16"/>
      <c r="T543" s="17">
        <f>IF(AND(COUNTA($A543:$K543)=0,$L543=""),"",IF($S543="Paid","PAID",IF($S543="Closed","CLOSED",IF($W543="","",IF($W543=6,"ESCALATED TO ROXANNE",IF(TODAY()&gt;$Y543,"OVERDUE",IF($Y543&lt;=WORKDAY(TODAY(),1,Holidays),"DUE TOMORROW",IF($W543=4,"ESCALATED TO LOCAL OFFICE",IF($W543=5,"ESCALATED TO CBE",IF($X543=TODAY(),"EMAIL SENT","MONITORING"))))))))))</f>
        <v/>
      </c>
      <c r="U543" s="17">
        <f>IF($T543="",IF(AND(COUNTA($A543:$K543)&gt;0,$L543=""),"Awaiting Collection Email time stamp.",""),IF(OR($T543="PAID",$T543="CLOSED"),IF($T543="PAID","Account paid. Action completed.","Account closed. No further action required."),CHOOSE($W543,"Collection Email","1st Email Follow-up","2nd Email Follow-up","Escalation to Local Office","Escalation to CBE","Escalation to Roxanne")&amp;" sent "&amp;TEXT($X543,"dd-mmm")&amp;". "&amp;IF($W543=6,"Final escalation completed.",IF($T543="OVERDUE","Next: "&amp;$Z543&amp;" was due "&amp;TEXT($Y543,"dd-mmm")&amp;" - "&amp;(NETWORKDAYS($Y543,TODAY(),Holidays)-1)&amp;" business day(s) late. Send now.",IF($T543="DUE TOMORROW","Next: "&amp;$Z543&amp;IF($Y543&lt;=TODAY()," is due TODAY ("," is due next business day (")&amp;TEXT($Y543,"dd-mmm")&amp;").","Next: "&amp;$Z543&amp;" due "&amp;TEXT($Y543,"dd-mmm")&amp;" ("&amp;(NETWORKDAYS(TODAY(),$Y543,Holidays)-1)&amp;" business day(s) left).")))))</f>
        <v/>
      </c>
      <c r="V543" s="17">
        <f>IF($W543="","",CHOOSE($W543,"Collection Email","1st Follow-up","2nd Follow-up","Local Office","CBE","Roxanne")&amp;IF($W543=6," - Final"," - Day "&amp;MAX(0,NETWORKDAYS($X543,TODAY(),Holidays)-1)&amp;" of "&amp;CHOOSE($W543,3,3,2,2,3))&amp;" | Total Day "&amp;MAX(0,NETWORKDAYS($L543,TODAY(),Holidays)-1))</f>
        <v/>
      </c>
      <c r="W543" s="17">
        <f>IF($L543="","",COUNT($L543:$Q543))</f>
        <v/>
      </c>
      <c r="X543" s="18">
        <f>IF($W543="","",INT(INDEX($L543:$Q543,$W543)))</f>
        <v/>
      </c>
      <c r="Y543" s="18">
        <f>IF(OR($W543="",$W543=6),"",WORKDAY($X543,CHOOSE($W543,3,3,2,2,3),Holidays))</f>
        <v/>
      </c>
      <c r="Z543" s="17">
        <f>IF(OR($W543="",$W543=6),"",CHOOSE($W543,"1st Email Follow-up","2nd Email Follow-up","Escalate Local Office","Escalate to CBE","Escalate to Roxanne"))</f>
        <v/>
      </c>
    </row>
    <row r="544" spans="18:26">
      <c r="R544" s="15"/>
      <c r="S544" s="16"/>
      <c r="T544" s="17">
        <f>IF(AND(COUNTA($A544:$K544)=0,$L544=""),"",IF($S544="Paid","PAID",IF($S544="Closed","CLOSED",IF($W544="","",IF($W544=6,"ESCALATED TO ROXANNE",IF(TODAY()&gt;$Y544,"OVERDUE",IF($Y544&lt;=WORKDAY(TODAY(),1,Holidays),"DUE TOMORROW",IF($W544=4,"ESCALATED TO LOCAL OFFICE",IF($W544=5,"ESCALATED TO CBE",IF($X544=TODAY(),"EMAIL SENT","MONITORING"))))))))))</f>
        <v/>
      </c>
      <c r="U544" s="17">
        <f>IF($T544="",IF(AND(COUNTA($A544:$K544)&gt;0,$L544=""),"Awaiting Collection Email time stamp.",""),IF(OR($T544="PAID",$T544="CLOSED"),IF($T544="PAID","Account paid. Action completed.","Account closed. No further action required."),CHOOSE($W544,"Collection Email","1st Email Follow-up","2nd Email Follow-up","Escalation to Local Office","Escalation to CBE","Escalation to Roxanne")&amp;" sent "&amp;TEXT($X544,"dd-mmm")&amp;". "&amp;IF($W544=6,"Final escalation completed.",IF($T544="OVERDUE","Next: "&amp;$Z544&amp;" was due "&amp;TEXT($Y544,"dd-mmm")&amp;" - "&amp;(NETWORKDAYS($Y544,TODAY(),Holidays)-1)&amp;" business day(s) late. Send now.",IF($T544="DUE TOMORROW","Next: "&amp;$Z544&amp;IF($Y544&lt;=TODAY()," is due TODAY ("," is due next business day (")&amp;TEXT($Y544,"dd-mmm")&amp;").","Next: "&amp;$Z544&amp;" due "&amp;TEXT($Y544,"dd-mmm")&amp;" ("&amp;(NETWORKDAYS(TODAY(),$Y544,Holidays)-1)&amp;" business day(s) left).")))))</f>
        <v/>
      </c>
      <c r="V544" s="17">
        <f>IF($W544="","",CHOOSE($W544,"Collection Email","1st Follow-up","2nd Follow-up","Local Office","CBE","Roxanne")&amp;IF($W544=6," - Final"," - Day "&amp;MAX(0,NETWORKDAYS($X544,TODAY(),Holidays)-1)&amp;" of "&amp;CHOOSE($W544,3,3,2,2,3))&amp;" | Total Day "&amp;MAX(0,NETWORKDAYS($L544,TODAY(),Holidays)-1))</f>
        <v/>
      </c>
      <c r="W544" s="17">
        <f>IF($L544="","",COUNT($L544:$Q544))</f>
        <v/>
      </c>
      <c r="X544" s="18">
        <f>IF($W544="","",INT(INDEX($L544:$Q544,$W544)))</f>
        <v/>
      </c>
      <c r="Y544" s="18">
        <f>IF(OR($W544="",$W544=6),"",WORKDAY($X544,CHOOSE($W544,3,3,2,2,3),Holidays))</f>
        <v/>
      </c>
      <c r="Z544" s="17">
        <f>IF(OR($W544="",$W544=6),"",CHOOSE($W544,"1st Email Follow-up","2nd Email Follow-up","Escalate Local Office","Escalate to CBE","Escalate to Roxanne"))</f>
        <v/>
      </c>
    </row>
    <row r="545" spans="18:26">
      <c r="R545" s="15"/>
      <c r="S545" s="16"/>
      <c r="T545" s="17">
        <f>IF(AND(COUNTA($A545:$K545)=0,$L545=""),"",IF($S545="Paid","PAID",IF($S545="Closed","CLOSED",IF($W545="","",IF($W545=6,"ESCALATED TO ROXANNE",IF(TODAY()&gt;$Y545,"OVERDUE",IF($Y545&lt;=WORKDAY(TODAY(),1,Holidays),"DUE TOMORROW",IF($W545=4,"ESCALATED TO LOCAL OFFICE",IF($W545=5,"ESCALATED TO CBE",IF($X545=TODAY(),"EMAIL SENT","MONITORING"))))))))))</f>
        <v/>
      </c>
      <c r="U545" s="17">
        <f>IF($T545="",IF(AND(COUNTA($A545:$K545)&gt;0,$L545=""),"Awaiting Collection Email time stamp.",""),IF(OR($T545="PAID",$T545="CLOSED"),IF($T545="PAID","Account paid. Action completed.","Account closed. No further action required."),CHOOSE($W545,"Collection Email","1st Email Follow-up","2nd Email Follow-up","Escalation to Local Office","Escalation to CBE","Escalation to Roxanne")&amp;" sent "&amp;TEXT($X545,"dd-mmm")&amp;". "&amp;IF($W545=6,"Final escalation completed.",IF($T545="OVERDUE","Next: "&amp;$Z545&amp;" was due "&amp;TEXT($Y545,"dd-mmm")&amp;" - "&amp;(NETWORKDAYS($Y545,TODAY(),Holidays)-1)&amp;" business day(s) late. Send now.",IF($T545="DUE TOMORROW","Next: "&amp;$Z545&amp;IF($Y545&lt;=TODAY()," is due TODAY ("," is due next business day (")&amp;TEXT($Y545,"dd-mmm")&amp;").","Next: "&amp;$Z545&amp;" due "&amp;TEXT($Y545,"dd-mmm")&amp;" ("&amp;(NETWORKDAYS(TODAY(),$Y545,Holidays)-1)&amp;" business day(s) left).")))))</f>
        <v/>
      </c>
      <c r="V545" s="17">
        <f>IF($W545="","",CHOOSE($W545,"Collection Email","1st Follow-up","2nd Follow-up","Local Office","CBE","Roxanne")&amp;IF($W545=6," - Final"," - Day "&amp;MAX(0,NETWORKDAYS($X545,TODAY(),Holidays)-1)&amp;" of "&amp;CHOOSE($W545,3,3,2,2,3))&amp;" | Total Day "&amp;MAX(0,NETWORKDAYS($L545,TODAY(),Holidays)-1))</f>
        <v/>
      </c>
      <c r="W545" s="17">
        <f>IF($L545="","",COUNT($L545:$Q545))</f>
        <v/>
      </c>
      <c r="X545" s="18">
        <f>IF($W545="","",INT(INDEX($L545:$Q545,$W545)))</f>
        <v/>
      </c>
      <c r="Y545" s="18">
        <f>IF(OR($W545="",$W545=6),"",WORKDAY($X545,CHOOSE($W545,3,3,2,2,3),Holidays))</f>
        <v/>
      </c>
      <c r="Z545" s="17">
        <f>IF(OR($W545="",$W545=6),"",CHOOSE($W545,"1st Email Follow-up","2nd Email Follow-up","Escalate Local Office","Escalate to CBE","Escalate to Roxanne"))</f>
        <v/>
      </c>
    </row>
    <row r="546" spans="18:26">
      <c r="R546" s="15"/>
      <c r="S546" s="16"/>
      <c r="T546" s="17">
        <f>IF(AND(COUNTA($A546:$K546)=0,$L546=""),"",IF($S546="Paid","PAID",IF($S546="Closed","CLOSED",IF($W546="","",IF($W546=6,"ESCALATED TO ROXANNE",IF(TODAY()&gt;$Y546,"OVERDUE",IF($Y546&lt;=WORKDAY(TODAY(),1,Holidays),"DUE TOMORROW",IF($W546=4,"ESCALATED TO LOCAL OFFICE",IF($W546=5,"ESCALATED TO CBE",IF($X546=TODAY(),"EMAIL SENT","MONITORING"))))))))))</f>
        <v/>
      </c>
      <c r="U546" s="17">
        <f>IF($T546="",IF(AND(COUNTA($A546:$K546)&gt;0,$L546=""),"Awaiting Collection Email time stamp.",""),IF(OR($T546="PAID",$T546="CLOSED"),IF($T546="PAID","Account paid. Action completed.","Account closed. No further action required."),CHOOSE($W546,"Collection Email","1st Email Follow-up","2nd Email Follow-up","Escalation to Local Office","Escalation to CBE","Escalation to Roxanne")&amp;" sent "&amp;TEXT($X546,"dd-mmm")&amp;". "&amp;IF($W546=6,"Final escalation completed.",IF($T546="OVERDUE","Next: "&amp;$Z546&amp;" was due "&amp;TEXT($Y546,"dd-mmm")&amp;" - "&amp;(NETWORKDAYS($Y546,TODAY(),Holidays)-1)&amp;" business day(s) late. Send now.",IF($T546="DUE TOMORROW","Next: "&amp;$Z546&amp;IF($Y546&lt;=TODAY()," is due TODAY ("," is due next business day (")&amp;TEXT($Y546,"dd-mmm")&amp;").","Next: "&amp;$Z546&amp;" due "&amp;TEXT($Y546,"dd-mmm")&amp;" ("&amp;(NETWORKDAYS(TODAY(),$Y546,Holidays)-1)&amp;" business day(s) left).")))))</f>
        <v/>
      </c>
      <c r="V546" s="17">
        <f>IF($W546="","",CHOOSE($W546,"Collection Email","1st Follow-up","2nd Follow-up","Local Office","CBE","Roxanne")&amp;IF($W546=6," - Final"," - Day "&amp;MAX(0,NETWORKDAYS($X546,TODAY(),Holidays)-1)&amp;" of "&amp;CHOOSE($W546,3,3,2,2,3))&amp;" | Total Day "&amp;MAX(0,NETWORKDAYS($L546,TODAY(),Holidays)-1))</f>
        <v/>
      </c>
      <c r="W546" s="17">
        <f>IF($L546="","",COUNT($L546:$Q546))</f>
        <v/>
      </c>
      <c r="X546" s="18">
        <f>IF($W546="","",INT(INDEX($L546:$Q546,$W546)))</f>
        <v/>
      </c>
      <c r="Y546" s="18">
        <f>IF(OR($W546="",$W546=6),"",WORKDAY($X546,CHOOSE($W546,3,3,2,2,3),Holidays))</f>
        <v/>
      </c>
      <c r="Z546" s="17">
        <f>IF(OR($W546="",$W546=6),"",CHOOSE($W546,"1st Email Follow-up","2nd Email Follow-up","Escalate Local Office","Escalate to CBE","Escalate to Roxanne"))</f>
        <v/>
      </c>
    </row>
    <row r="547" spans="18:26">
      <c r="R547" s="15"/>
      <c r="S547" s="16"/>
      <c r="T547" s="17">
        <f>IF(AND(COUNTA($A547:$K547)=0,$L547=""),"",IF($S547="Paid","PAID",IF($S547="Closed","CLOSED",IF($W547="","",IF($W547=6,"ESCALATED TO ROXANNE",IF(TODAY()&gt;$Y547,"OVERDUE",IF($Y547&lt;=WORKDAY(TODAY(),1,Holidays),"DUE TOMORROW",IF($W547=4,"ESCALATED TO LOCAL OFFICE",IF($W547=5,"ESCALATED TO CBE",IF($X547=TODAY(),"EMAIL SENT","MONITORING"))))))))))</f>
        <v/>
      </c>
      <c r="U547" s="17">
        <f>IF($T547="",IF(AND(COUNTA($A547:$K547)&gt;0,$L547=""),"Awaiting Collection Email time stamp.",""),IF(OR($T547="PAID",$T547="CLOSED"),IF($T547="PAID","Account paid. Action completed.","Account closed. No further action required."),CHOOSE($W547,"Collection Email","1st Email Follow-up","2nd Email Follow-up","Escalation to Local Office","Escalation to CBE","Escalation to Roxanne")&amp;" sent "&amp;TEXT($X547,"dd-mmm")&amp;". "&amp;IF($W547=6,"Final escalation completed.",IF($T547="OVERDUE","Next: "&amp;$Z547&amp;" was due "&amp;TEXT($Y547,"dd-mmm")&amp;" - "&amp;(NETWORKDAYS($Y547,TODAY(),Holidays)-1)&amp;" business day(s) late. Send now.",IF($T547="DUE TOMORROW","Next: "&amp;$Z547&amp;IF($Y547&lt;=TODAY()," is due TODAY ("," is due next business day (")&amp;TEXT($Y547,"dd-mmm")&amp;").","Next: "&amp;$Z547&amp;" due "&amp;TEXT($Y547,"dd-mmm")&amp;" ("&amp;(NETWORKDAYS(TODAY(),$Y547,Holidays)-1)&amp;" business day(s) left).")))))</f>
        <v/>
      </c>
      <c r="V547" s="17">
        <f>IF($W547="","",CHOOSE($W547,"Collection Email","1st Follow-up","2nd Follow-up","Local Office","CBE","Roxanne")&amp;IF($W547=6," - Final"," - Day "&amp;MAX(0,NETWORKDAYS($X547,TODAY(),Holidays)-1)&amp;" of "&amp;CHOOSE($W547,3,3,2,2,3))&amp;" | Total Day "&amp;MAX(0,NETWORKDAYS($L547,TODAY(),Holidays)-1))</f>
        <v/>
      </c>
      <c r="W547" s="17">
        <f>IF($L547="","",COUNT($L547:$Q547))</f>
        <v/>
      </c>
      <c r="X547" s="18">
        <f>IF($W547="","",INT(INDEX($L547:$Q547,$W547)))</f>
        <v/>
      </c>
      <c r="Y547" s="18">
        <f>IF(OR($W547="",$W547=6),"",WORKDAY($X547,CHOOSE($W547,3,3,2,2,3),Holidays))</f>
        <v/>
      </c>
      <c r="Z547" s="17">
        <f>IF(OR($W547="",$W547=6),"",CHOOSE($W547,"1st Email Follow-up","2nd Email Follow-up","Escalate Local Office","Escalate to CBE","Escalate to Roxanne"))</f>
        <v/>
      </c>
    </row>
    <row r="548" spans="18:26">
      <c r="R548" s="15"/>
      <c r="S548" s="16"/>
      <c r="T548" s="17">
        <f>IF(AND(COUNTA($A548:$K548)=0,$L548=""),"",IF($S548="Paid","PAID",IF($S548="Closed","CLOSED",IF($W548="","",IF($W548=6,"ESCALATED TO ROXANNE",IF(TODAY()&gt;$Y548,"OVERDUE",IF($Y548&lt;=WORKDAY(TODAY(),1,Holidays),"DUE TOMORROW",IF($W548=4,"ESCALATED TO LOCAL OFFICE",IF($W548=5,"ESCALATED TO CBE",IF($X548=TODAY(),"EMAIL SENT","MONITORING"))))))))))</f>
        <v/>
      </c>
      <c r="U548" s="17">
        <f>IF($T548="",IF(AND(COUNTA($A548:$K548)&gt;0,$L548=""),"Awaiting Collection Email time stamp.",""),IF(OR($T548="PAID",$T548="CLOSED"),IF($T548="PAID","Account paid. Action completed.","Account closed. No further action required."),CHOOSE($W548,"Collection Email","1st Email Follow-up","2nd Email Follow-up","Escalation to Local Office","Escalation to CBE","Escalation to Roxanne")&amp;" sent "&amp;TEXT($X548,"dd-mmm")&amp;". "&amp;IF($W548=6,"Final escalation completed.",IF($T548="OVERDUE","Next: "&amp;$Z548&amp;" was due "&amp;TEXT($Y548,"dd-mmm")&amp;" - "&amp;(NETWORKDAYS($Y548,TODAY(),Holidays)-1)&amp;" business day(s) late. Send now.",IF($T548="DUE TOMORROW","Next: "&amp;$Z548&amp;IF($Y548&lt;=TODAY()," is due TODAY ("," is due next business day (")&amp;TEXT($Y548,"dd-mmm")&amp;").","Next: "&amp;$Z548&amp;" due "&amp;TEXT($Y548,"dd-mmm")&amp;" ("&amp;(NETWORKDAYS(TODAY(),$Y548,Holidays)-1)&amp;" business day(s) left).")))))</f>
        <v/>
      </c>
      <c r="V548" s="17">
        <f>IF($W548="","",CHOOSE($W548,"Collection Email","1st Follow-up","2nd Follow-up","Local Office","CBE","Roxanne")&amp;IF($W548=6," - Final"," - Day "&amp;MAX(0,NETWORKDAYS($X548,TODAY(),Holidays)-1)&amp;" of "&amp;CHOOSE($W548,3,3,2,2,3))&amp;" | Total Day "&amp;MAX(0,NETWORKDAYS($L548,TODAY(),Holidays)-1))</f>
        <v/>
      </c>
      <c r="W548" s="17">
        <f>IF($L548="","",COUNT($L548:$Q548))</f>
        <v/>
      </c>
      <c r="X548" s="18">
        <f>IF($W548="","",INT(INDEX($L548:$Q548,$W548)))</f>
        <v/>
      </c>
      <c r="Y548" s="18">
        <f>IF(OR($W548="",$W548=6),"",WORKDAY($X548,CHOOSE($W548,3,3,2,2,3),Holidays))</f>
        <v/>
      </c>
      <c r="Z548" s="17">
        <f>IF(OR($W548="",$W548=6),"",CHOOSE($W548,"1st Email Follow-up","2nd Email Follow-up","Escalate Local Office","Escalate to CBE","Escalate to Roxanne"))</f>
        <v/>
      </c>
    </row>
    <row r="549" spans="18:26">
      <c r="R549" s="15"/>
      <c r="S549" s="16"/>
      <c r="T549" s="17">
        <f>IF(AND(COUNTA($A549:$K549)=0,$L549=""),"",IF($S549="Paid","PAID",IF($S549="Closed","CLOSED",IF($W549="","",IF($W549=6,"ESCALATED TO ROXANNE",IF(TODAY()&gt;$Y549,"OVERDUE",IF($Y549&lt;=WORKDAY(TODAY(),1,Holidays),"DUE TOMORROW",IF($W549=4,"ESCALATED TO LOCAL OFFICE",IF($W549=5,"ESCALATED TO CBE",IF($X549=TODAY(),"EMAIL SENT","MONITORING"))))))))))</f>
        <v/>
      </c>
      <c r="U549" s="17">
        <f>IF($T549="",IF(AND(COUNTA($A549:$K549)&gt;0,$L549=""),"Awaiting Collection Email time stamp.",""),IF(OR($T549="PAID",$T549="CLOSED"),IF($T549="PAID","Account paid. Action completed.","Account closed. No further action required."),CHOOSE($W549,"Collection Email","1st Email Follow-up","2nd Email Follow-up","Escalation to Local Office","Escalation to CBE","Escalation to Roxanne")&amp;" sent "&amp;TEXT($X549,"dd-mmm")&amp;". "&amp;IF($W549=6,"Final escalation completed.",IF($T549="OVERDUE","Next: "&amp;$Z549&amp;" was due "&amp;TEXT($Y549,"dd-mmm")&amp;" - "&amp;(NETWORKDAYS($Y549,TODAY(),Holidays)-1)&amp;" business day(s) late. Send now.",IF($T549="DUE TOMORROW","Next: "&amp;$Z549&amp;IF($Y549&lt;=TODAY()," is due TODAY ("," is due next business day (")&amp;TEXT($Y549,"dd-mmm")&amp;").","Next: "&amp;$Z549&amp;" due "&amp;TEXT($Y549,"dd-mmm")&amp;" ("&amp;(NETWORKDAYS(TODAY(),$Y549,Holidays)-1)&amp;" business day(s) left).")))))</f>
        <v/>
      </c>
      <c r="V549" s="17">
        <f>IF($W549="","",CHOOSE($W549,"Collection Email","1st Follow-up","2nd Follow-up","Local Office","CBE","Roxanne")&amp;IF($W549=6," - Final"," - Day "&amp;MAX(0,NETWORKDAYS($X549,TODAY(),Holidays)-1)&amp;" of "&amp;CHOOSE($W549,3,3,2,2,3))&amp;" | Total Day "&amp;MAX(0,NETWORKDAYS($L549,TODAY(),Holidays)-1))</f>
        <v/>
      </c>
      <c r="W549" s="17">
        <f>IF($L549="","",COUNT($L549:$Q549))</f>
        <v/>
      </c>
      <c r="X549" s="18">
        <f>IF($W549="","",INT(INDEX($L549:$Q549,$W549)))</f>
        <v/>
      </c>
      <c r="Y549" s="18">
        <f>IF(OR($W549="",$W549=6),"",WORKDAY($X549,CHOOSE($W549,3,3,2,2,3),Holidays))</f>
        <v/>
      </c>
      <c r="Z549" s="17">
        <f>IF(OR($W549="",$W549=6),"",CHOOSE($W549,"1st Email Follow-up","2nd Email Follow-up","Escalate Local Office","Escalate to CBE","Escalate to Roxanne"))</f>
        <v/>
      </c>
    </row>
    <row r="550" spans="18:26">
      <c r="R550" s="15"/>
      <c r="S550" s="16"/>
      <c r="T550" s="17">
        <f>IF(AND(COUNTA($A550:$K550)=0,$L550=""),"",IF($S550="Paid","PAID",IF($S550="Closed","CLOSED",IF($W550="","",IF($W550=6,"ESCALATED TO ROXANNE",IF(TODAY()&gt;$Y550,"OVERDUE",IF($Y550&lt;=WORKDAY(TODAY(),1,Holidays),"DUE TOMORROW",IF($W550=4,"ESCALATED TO LOCAL OFFICE",IF($W550=5,"ESCALATED TO CBE",IF($X550=TODAY(),"EMAIL SENT","MONITORING"))))))))))</f>
        <v/>
      </c>
      <c r="U550" s="17">
        <f>IF($T550="",IF(AND(COUNTA($A550:$K550)&gt;0,$L550=""),"Awaiting Collection Email time stamp.",""),IF(OR($T550="PAID",$T550="CLOSED"),IF($T550="PAID","Account paid. Action completed.","Account closed. No further action required."),CHOOSE($W550,"Collection Email","1st Email Follow-up","2nd Email Follow-up","Escalation to Local Office","Escalation to CBE","Escalation to Roxanne")&amp;" sent "&amp;TEXT($X550,"dd-mmm")&amp;". "&amp;IF($W550=6,"Final escalation completed.",IF($T550="OVERDUE","Next: "&amp;$Z550&amp;" was due "&amp;TEXT($Y550,"dd-mmm")&amp;" - "&amp;(NETWORKDAYS($Y550,TODAY(),Holidays)-1)&amp;" business day(s) late. Send now.",IF($T550="DUE TOMORROW","Next: "&amp;$Z550&amp;IF($Y550&lt;=TODAY()," is due TODAY ("," is due next business day (")&amp;TEXT($Y550,"dd-mmm")&amp;").","Next: "&amp;$Z550&amp;" due "&amp;TEXT($Y550,"dd-mmm")&amp;" ("&amp;(NETWORKDAYS(TODAY(),$Y550,Holidays)-1)&amp;" business day(s) left).")))))</f>
        <v/>
      </c>
      <c r="V550" s="17">
        <f>IF($W550="","",CHOOSE($W550,"Collection Email","1st Follow-up","2nd Follow-up","Local Office","CBE","Roxanne")&amp;IF($W550=6," - Final"," - Day "&amp;MAX(0,NETWORKDAYS($X550,TODAY(),Holidays)-1)&amp;" of "&amp;CHOOSE($W550,3,3,2,2,3))&amp;" | Total Day "&amp;MAX(0,NETWORKDAYS($L550,TODAY(),Holidays)-1))</f>
        <v/>
      </c>
      <c r="W550" s="17">
        <f>IF($L550="","",COUNT($L550:$Q550))</f>
        <v/>
      </c>
      <c r="X550" s="18">
        <f>IF($W550="","",INT(INDEX($L550:$Q550,$W550)))</f>
        <v/>
      </c>
      <c r="Y550" s="18">
        <f>IF(OR($W550="",$W550=6),"",WORKDAY($X550,CHOOSE($W550,3,3,2,2,3),Holidays))</f>
        <v/>
      </c>
      <c r="Z550" s="17">
        <f>IF(OR($W550="",$W550=6),"",CHOOSE($W550,"1st Email Follow-up","2nd Email Follow-up","Escalate Local Office","Escalate to CBE","Escalate to Roxanne"))</f>
        <v/>
      </c>
    </row>
    <row r="551" spans="18:26">
      <c r="R551" s="15"/>
      <c r="S551" s="16"/>
      <c r="T551" s="17">
        <f>IF(AND(COUNTA($A551:$K551)=0,$L551=""),"",IF($S551="Paid","PAID",IF($S551="Closed","CLOSED",IF($W551="","",IF($W551=6,"ESCALATED TO ROXANNE",IF(TODAY()&gt;$Y551,"OVERDUE",IF($Y551&lt;=WORKDAY(TODAY(),1,Holidays),"DUE TOMORROW",IF($W551=4,"ESCALATED TO LOCAL OFFICE",IF($W551=5,"ESCALATED TO CBE",IF($X551=TODAY(),"EMAIL SENT","MONITORING"))))))))))</f>
        <v/>
      </c>
      <c r="U551" s="17">
        <f>IF($T551="",IF(AND(COUNTA($A551:$K551)&gt;0,$L551=""),"Awaiting Collection Email time stamp.",""),IF(OR($T551="PAID",$T551="CLOSED"),IF($T551="PAID","Account paid. Action completed.","Account closed. No further action required."),CHOOSE($W551,"Collection Email","1st Email Follow-up","2nd Email Follow-up","Escalation to Local Office","Escalation to CBE","Escalation to Roxanne")&amp;" sent "&amp;TEXT($X551,"dd-mmm")&amp;". "&amp;IF($W551=6,"Final escalation completed.",IF($T551="OVERDUE","Next: "&amp;$Z551&amp;" was due "&amp;TEXT($Y551,"dd-mmm")&amp;" - "&amp;(NETWORKDAYS($Y551,TODAY(),Holidays)-1)&amp;" business day(s) late. Send now.",IF($T551="DUE TOMORROW","Next: "&amp;$Z551&amp;IF($Y551&lt;=TODAY()," is due TODAY ("," is due next business day (")&amp;TEXT($Y551,"dd-mmm")&amp;").","Next: "&amp;$Z551&amp;" due "&amp;TEXT($Y551,"dd-mmm")&amp;" ("&amp;(NETWORKDAYS(TODAY(),$Y551,Holidays)-1)&amp;" business day(s) left).")))))</f>
        <v/>
      </c>
      <c r="V551" s="17">
        <f>IF($W551="","",CHOOSE($W551,"Collection Email","1st Follow-up","2nd Follow-up","Local Office","CBE","Roxanne")&amp;IF($W551=6," - Final"," - Day "&amp;MAX(0,NETWORKDAYS($X551,TODAY(),Holidays)-1)&amp;" of "&amp;CHOOSE($W551,3,3,2,2,3))&amp;" | Total Day "&amp;MAX(0,NETWORKDAYS($L551,TODAY(),Holidays)-1))</f>
        <v/>
      </c>
      <c r="W551" s="17">
        <f>IF($L551="","",COUNT($L551:$Q551))</f>
        <v/>
      </c>
      <c r="X551" s="18">
        <f>IF($W551="","",INT(INDEX($L551:$Q551,$W551)))</f>
        <v/>
      </c>
      <c r="Y551" s="18">
        <f>IF(OR($W551="",$W551=6),"",WORKDAY($X551,CHOOSE($W551,3,3,2,2,3),Holidays))</f>
        <v/>
      </c>
      <c r="Z551" s="17">
        <f>IF(OR($W551="",$W551=6),"",CHOOSE($W551,"1st Email Follow-up","2nd Email Follow-up","Escalate Local Office","Escalate to CBE","Escalate to Roxanne"))</f>
        <v/>
      </c>
    </row>
    <row r="552" spans="18:26">
      <c r="R552" s="15"/>
      <c r="S552" s="16"/>
      <c r="T552" s="17">
        <f>IF(AND(COUNTA($A552:$K552)=0,$L552=""),"",IF($S552="Paid","PAID",IF($S552="Closed","CLOSED",IF($W552="","",IF($W552=6,"ESCALATED TO ROXANNE",IF(TODAY()&gt;$Y552,"OVERDUE",IF($Y552&lt;=WORKDAY(TODAY(),1,Holidays),"DUE TOMORROW",IF($W552=4,"ESCALATED TO LOCAL OFFICE",IF($W552=5,"ESCALATED TO CBE",IF($X552=TODAY(),"EMAIL SENT","MONITORING"))))))))))</f>
        <v/>
      </c>
      <c r="U552" s="17">
        <f>IF($T552="",IF(AND(COUNTA($A552:$K552)&gt;0,$L552=""),"Awaiting Collection Email time stamp.",""),IF(OR($T552="PAID",$T552="CLOSED"),IF($T552="PAID","Account paid. Action completed.","Account closed. No further action required."),CHOOSE($W552,"Collection Email","1st Email Follow-up","2nd Email Follow-up","Escalation to Local Office","Escalation to CBE","Escalation to Roxanne")&amp;" sent "&amp;TEXT($X552,"dd-mmm")&amp;". "&amp;IF($W552=6,"Final escalation completed.",IF($T552="OVERDUE","Next: "&amp;$Z552&amp;" was due "&amp;TEXT($Y552,"dd-mmm")&amp;" - "&amp;(NETWORKDAYS($Y552,TODAY(),Holidays)-1)&amp;" business day(s) late. Send now.",IF($T552="DUE TOMORROW","Next: "&amp;$Z552&amp;IF($Y552&lt;=TODAY()," is due TODAY ("," is due next business day (")&amp;TEXT($Y552,"dd-mmm")&amp;").","Next: "&amp;$Z552&amp;" due "&amp;TEXT($Y552,"dd-mmm")&amp;" ("&amp;(NETWORKDAYS(TODAY(),$Y552,Holidays)-1)&amp;" business day(s) left).")))))</f>
        <v/>
      </c>
      <c r="V552" s="17">
        <f>IF($W552="","",CHOOSE($W552,"Collection Email","1st Follow-up","2nd Follow-up","Local Office","CBE","Roxanne")&amp;IF($W552=6," - Final"," - Day "&amp;MAX(0,NETWORKDAYS($X552,TODAY(),Holidays)-1)&amp;" of "&amp;CHOOSE($W552,3,3,2,2,3))&amp;" | Total Day "&amp;MAX(0,NETWORKDAYS($L552,TODAY(),Holidays)-1))</f>
        <v/>
      </c>
      <c r="W552" s="17">
        <f>IF($L552="","",COUNT($L552:$Q552))</f>
        <v/>
      </c>
      <c r="X552" s="18">
        <f>IF($W552="","",INT(INDEX($L552:$Q552,$W552)))</f>
        <v/>
      </c>
      <c r="Y552" s="18">
        <f>IF(OR($W552="",$W552=6),"",WORKDAY($X552,CHOOSE($W552,3,3,2,2,3),Holidays))</f>
        <v/>
      </c>
      <c r="Z552" s="17">
        <f>IF(OR($W552="",$W552=6),"",CHOOSE($W552,"1st Email Follow-up","2nd Email Follow-up","Escalate Local Office","Escalate to CBE","Escalate to Roxanne"))</f>
        <v/>
      </c>
    </row>
    <row r="553" spans="18:26">
      <c r="R553" s="15"/>
      <c r="S553" s="16"/>
      <c r="T553" s="17">
        <f>IF(AND(COUNTA($A553:$K553)=0,$L553=""),"",IF($S553="Paid","PAID",IF($S553="Closed","CLOSED",IF($W553="","",IF($W553=6,"ESCALATED TO ROXANNE",IF(TODAY()&gt;$Y553,"OVERDUE",IF($Y553&lt;=WORKDAY(TODAY(),1,Holidays),"DUE TOMORROW",IF($W553=4,"ESCALATED TO LOCAL OFFICE",IF($W553=5,"ESCALATED TO CBE",IF($X553=TODAY(),"EMAIL SENT","MONITORING"))))))))))</f>
        <v/>
      </c>
      <c r="U553" s="17">
        <f>IF($T553="",IF(AND(COUNTA($A553:$K553)&gt;0,$L553=""),"Awaiting Collection Email time stamp.",""),IF(OR($T553="PAID",$T553="CLOSED"),IF($T553="PAID","Account paid. Action completed.","Account closed. No further action required."),CHOOSE($W553,"Collection Email","1st Email Follow-up","2nd Email Follow-up","Escalation to Local Office","Escalation to CBE","Escalation to Roxanne")&amp;" sent "&amp;TEXT($X553,"dd-mmm")&amp;". "&amp;IF($W553=6,"Final escalation completed.",IF($T553="OVERDUE","Next: "&amp;$Z553&amp;" was due "&amp;TEXT($Y553,"dd-mmm")&amp;" - "&amp;(NETWORKDAYS($Y553,TODAY(),Holidays)-1)&amp;" business day(s) late. Send now.",IF($T553="DUE TOMORROW","Next: "&amp;$Z553&amp;IF($Y553&lt;=TODAY()," is due TODAY ("," is due next business day (")&amp;TEXT($Y553,"dd-mmm")&amp;").","Next: "&amp;$Z553&amp;" due "&amp;TEXT($Y553,"dd-mmm")&amp;" ("&amp;(NETWORKDAYS(TODAY(),$Y553,Holidays)-1)&amp;" business day(s) left).")))))</f>
        <v/>
      </c>
      <c r="V553" s="17">
        <f>IF($W553="","",CHOOSE($W553,"Collection Email","1st Follow-up","2nd Follow-up","Local Office","CBE","Roxanne")&amp;IF($W553=6," - Final"," - Day "&amp;MAX(0,NETWORKDAYS($X553,TODAY(),Holidays)-1)&amp;" of "&amp;CHOOSE($W553,3,3,2,2,3))&amp;" | Total Day "&amp;MAX(0,NETWORKDAYS($L553,TODAY(),Holidays)-1))</f>
        <v/>
      </c>
      <c r="W553" s="17">
        <f>IF($L553="","",COUNT($L553:$Q553))</f>
        <v/>
      </c>
      <c r="X553" s="18">
        <f>IF($W553="","",INT(INDEX($L553:$Q553,$W553)))</f>
        <v/>
      </c>
      <c r="Y553" s="18">
        <f>IF(OR($W553="",$W553=6),"",WORKDAY($X553,CHOOSE($W553,3,3,2,2,3),Holidays))</f>
        <v/>
      </c>
      <c r="Z553" s="17">
        <f>IF(OR($W553="",$W553=6),"",CHOOSE($W553,"1st Email Follow-up","2nd Email Follow-up","Escalate Local Office","Escalate to CBE","Escalate to Roxanne"))</f>
        <v/>
      </c>
    </row>
    <row r="554" spans="18:26">
      <c r="R554" s="15"/>
      <c r="S554" s="16"/>
      <c r="T554" s="17">
        <f>IF(AND(COUNTA($A554:$K554)=0,$L554=""),"",IF($S554="Paid","PAID",IF($S554="Closed","CLOSED",IF($W554="","",IF($W554=6,"ESCALATED TO ROXANNE",IF(TODAY()&gt;$Y554,"OVERDUE",IF($Y554&lt;=WORKDAY(TODAY(),1,Holidays),"DUE TOMORROW",IF($W554=4,"ESCALATED TO LOCAL OFFICE",IF($W554=5,"ESCALATED TO CBE",IF($X554=TODAY(),"EMAIL SENT","MONITORING"))))))))))</f>
        <v/>
      </c>
      <c r="U554" s="17">
        <f>IF($T554="",IF(AND(COUNTA($A554:$K554)&gt;0,$L554=""),"Awaiting Collection Email time stamp.",""),IF(OR($T554="PAID",$T554="CLOSED"),IF($T554="PAID","Account paid. Action completed.","Account closed. No further action required."),CHOOSE($W554,"Collection Email","1st Email Follow-up","2nd Email Follow-up","Escalation to Local Office","Escalation to CBE","Escalation to Roxanne")&amp;" sent "&amp;TEXT($X554,"dd-mmm")&amp;". "&amp;IF($W554=6,"Final escalation completed.",IF($T554="OVERDUE","Next: "&amp;$Z554&amp;" was due "&amp;TEXT($Y554,"dd-mmm")&amp;" - "&amp;(NETWORKDAYS($Y554,TODAY(),Holidays)-1)&amp;" business day(s) late. Send now.",IF($T554="DUE TOMORROW","Next: "&amp;$Z554&amp;IF($Y554&lt;=TODAY()," is due TODAY ("," is due next business day (")&amp;TEXT($Y554,"dd-mmm")&amp;").","Next: "&amp;$Z554&amp;" due "&amp;TEXT($Y554,"dd-mmm")&amp;" ("&amp;(NETWORKDAYS(TODAY(),$Y554,Holidays)-1)&amp;" business day(s) left).")))))</f>
        <v/>
      </c>
      <c r="V554" s="17">
        <f>IF($W554="","",CHOOSE($W554,"Collection Email","1st Follow-up","2nd Follow-up","Local Office","CBE","Roxanne")&amp;IF($W554=6," - Final"," - Day "&amp;MAX(0,NETWORKDAYS($X554,TODAY(),Holidays)-1)&amp;" of "&amp;CHOOSE($W554,3,3,2,2,3))&amp;" | Total Day "&amp;MAX(0,NETWORKDAYS($L554,TODAY(),Holidays)-1))</f>
        <v/>
      </c>
      <c r="W554" s="17">
        <f>IF($L554="","",COUNT($L554:$Q554))</f>
        <v/>
      </c>
      <c r="X554" s="18">
        <f>IF($W554="","",INT(INDEX($L554:$Q554,$W554)))</f>
        <v/>
      </c>
      <c r="Y554" s="18">
        <f>IF(OR($W554="",$W554=6),"",WORKDAY($X554,CHOOSE($W554,3,3,2,2,3),Holidays))</f>
        <v/>
      </c>
      <c r="Z554" s="17">
        <f>IF(OR($W554="",$W554=6),"",CHOOSE($W554,"1st Email Follow-up","2nd Email Follow-up","Escalate Local Office","Escalate to CBE","Escalate to Roxanne"))</f>
        <v/>
      </c>
    </row>
    <row r="555" spans="18:26">
      <c r="R555" s="15"/>
      <c r="S555" s="16"/>
      <c r="T555" s="17">
        <f>IF(AND(COUNTA($A555:$K555)=0,$L555=""),"",IF($S555="Paid","PAID",IF($S555="Closed","CLOSED",IF($W555="","",IF($W555=6,"ESCALATED TO ROXANNE",IF(TODAY()&gt;$Y555,"OVERDUE",IF($Y555&lt;=WORKDAY(TODAY(),1,Holidays),"DUE TOMORROW",IF($W555=4,"ESCALATED TO LOCAL OFFICE",IF($W555=5,"ESCALATED TO CBE",IF($X555=TODAY(),"EMAIL SENT","MONITORING"))))))))))</f>
        <v/>
      </c>
      <c r="U555" s="17">
        <f>IF($T555="",IF(AND(COUNTA($A555:$K555)&gt;0,$L555=""),"Awaiting Collection Email time stamp.",""),IF(OR($T555="PAID",$T555="CLOSED"),IF($T555="PAID","Account paid. Action completed.","Account closed. No further action required."),CHOOSE($W555,"Collection Email","1st Email Follow-up","2nd Email Follow-up","Escalation to Local Office","Escalation to CBE","Escalation to Roxanne")&amp;" sent "&amp;TEXT($X555,"dd-mmm")&amp;". "&amp;IF($W555=6,"Final escalation completed.",IF($T555="OVERDUE","Next: "&amp;$Z555&amp;" was due "&amp;TEXT($Y555,"dd-mmm")&amp;" - "&amp;(NETWORKDAYS($Y555,TODAY(),Holidays)-1)&amp;" business day(s) late. Send now.",IF($T555="DUE TOMORROW","Next: "&amp;$Z555&amp;IF($Y555&lt;=TODAY()," is due TODAY ("," is due next business day (")&amp;TEXT($Y555,"dd-mmm")&amp;").","Next: "&amp;$Z555&amp;" due "&amp;TEXT($Y555,"dd-mmm")&amp;" ("&amp;(NETWORKDAYS(TODAY(),$Y555,Holidays)-1)&amp;" business day(s) left).")))))</f>
        <v/>
      </c>
      <c r="V555" s="17">
        <f>IF($W555="","",CHOOSE($W555,"Collection Email","1st Follow-up","2nd Follow-up","Local Office","CBE","Roxanne")&amp;IF($W555=6," - Final"," - Day "&amp;MAX(0,NETWORKDAYS($X555,TODAY(),Holidays)-1)&amp;" of "&amp;CHOOSE($W555,3,3,2,2,3))&amp;" | Total Day "&amp;MAX(0,NETWORKDAYS($L555,TODAY(),Holidays)-1))</f>
        <v/>
      </c>
      <c r="W555" s="17">
        <f>IF($L555="","",COUNT($L555:$Q555))</f>
        <v/>
      </c>
      <c r="X555" s="18">
        <f>IF($W555="","",INT(INDEX($L555:$Q555,$W555)))</f>
        <v/>
      </c>
      <c r="Y555" s="18">
        <f>IF(OR($W555="",$W555=6),"",WORKDAY($X555,CHOOSE($W555,3,3,2,2,3),Holidays))</f>
        <v/>
      </c>
      <c r="Z555" s="17">
        <f>IF(OR($W555="",$W555=6),"",CHOOSE($W555,"1st Email Follow-up","2nd Email Follow-up","Escalate Local Office","Escalate to CBE","Escalate to Roxanne"))</f>
        <v/>
      </c>
    </row>
    <row r="556" spans="18:26">
      <c r="R556" s="15"/>
      <c r="S556" s="16"/>
      <c r="T556" s="17">
        <f>IF(AND(COUNTA($A556:$K556)=0,$L556=""),"",IF($S556="Paid","PAID",IF($S556="Closed","CLOSED",IF($W556="","",IF($W556=6,"ESCALATED TO ROXANNE",IF(TODAY()&gt;$Y556,"OVERDUE",IF($Y556&lt;=WORKDAY(TODAY(),1,Holidays),"DUE TOMORROW",IF($W556=4,"ESCALATED TO LOCAL OFFICE",IF($W556=5,"ESCALATED TO CBE",IF($X556=TODAY(),"EMAIL SENT","MONITORING"))))))))))</f>
        <v/>
      </c>
      <c r="U556" s="17">
        <f>IF($T556="",IF(AND(COUNTA($A556:$K556)&gt;0,$L556=""),"Awaiting Collection Email time stamp.",""),IF(OR($T556="PAID",$T556="CLOSED"),IF($T556="PAID","Account paid. Action completed.","Account closed. No further action required."),CHOOSE($W556,"Collection Email","1st Email Follow-up","2nd Email Follow-up","Escalation to Local Office","Escalation to CBE","Escalation to Roxanne")&amp;" sent "&amp;TEXT($X556,"dd-mmm")&amp;". "&amp;IF($W556=6,"Final escalation completed.",IF($T556="OVERDUE","Next: "&amp;$Z556&amp;" was due "&amp;TEXT($Y556,"dd-mmm")&amp;" - "&amp;(NETWORKDAYS($Y556,TODAY(),Holidays)-1)&amp;" business day(s) late. Send now.",IF($T556="DUE TOMORROW","Next: "&amp;$Z556&amp;IF($Y556&lt;=TODAY()," is due TODAY ("," is due next business day (")&amp;TEXT($Y556,"dd-mmm")&amp;").","Next: "&amp;$Z556&amp;" due "&amp;TEXT($Y556,"dd-mmm")&amp;" ("&amp;(NETWORKDAYS(TODAY(),$Y556,Holidays)-1)&amp;" business day(s) left).")))))</f>
        <v/>
      </c>
      <c r="V556" s="17">
        <f>IF($W556="","",CHOOSE($W556,"Collection Email","1st Follow-up","2nd Follow-up","Local Office","CBE","Roxanne")&amp;IF($W556=6," - Final"," - Day "&amp;MAX(0,NETWORKDAYS($X556,TODAY(),Holidays)-1)&amp;" of "&amp;CHOOSE($W556,3,3,2,2,3))&amp;" | Total Day "&amp;MAX(0,NETWORKDAYS($L556,TODAY(),Holidays)-1))</f>
        <v/>
      </c>
      <c r="W556" s="17">
        <f>IF($L556="","",COUNT($L556:$Q556))</f>
        <v/>
      </c>
      <c r="X556" s="18">
        <f>IF($W556="","",INT(INDEX($L556:$Q556,$W556)))</f>
        <v/>
      </c>
      <c r="Y556" s="18">
        <f>IF(OR($W556="",$W556=6),"",WORKDAY($X556,CHOOSE($W556,3,3,2,2,3),Holidays))</f>
        <v/>
      </c>
      <c r="Z556" s="17">
        <f>IF(OR($W556="",$W556=6),"",CHOOSE($W556,"1st Email Follow-up","2nd Email Follow-up","Escalate Local Office","Escalate to CBE","Escalate to Roxanne"))</f>
        <v/>
      </c>
    </row>
    <row r="557" spans="18:26">
      <c r="R557" s="15"/>
      <c r="S557" s="16"/>
      <c r="T557" s="17">
        <f>IF(AND(COUNTA($A557:$K557)=0,$L557=""),"",IF($S557="Paid","PAID",IF($S557="Closed","CLOSED",IF($W557="","",IF($W557=6,"ESCALATED TO ROXANNE",IF(TODAY()&gt;$Y557,"OVERDUE",IF($Y557&lt;=WORKDAY(TODAY(),1,Holidays),"DUE TOMORROW",IF($W557=4,"ESCALATED TO LOCAL OFFICE",IF($W557=5,"ESCALATED TO CBE",IF($X557=TODAY(),"EMAIL SENT","MONITORING"))))))))))</f>
        <v/>
      </c>
      <c r="U557" s="17">
        <f>IF($T557="",IF(AND(COUNTA($A557:$K557)&gt;0,$L557=""),"Awaiting Collection Email time stamp.",""),IF(OR($T557="PAID",$T557="CLOSED"),IF($T557="PAID","Account paid. Action completed.","Account closed. No further action required."),CHOOSE($W557,"Collection Email","1st Email Follow-up","2nd Email Follow-up","Escalation to Local Office","Escalation to CBE","Escalation to Roxanne")&amp;" sent "&amp;TEXT($X557,"dd-mmm")&amp;". "&amp;IF($W557=6,"Final escalation completed.",IF($T557="OVERDUE","Next: "&amp;$Z557&amp;" was due "&amp;TEXT($Y557,"dd-mmm")&amp;" - "&amp;(NETWORKDAYS($Y557,TODAY(),Holidays)-1)&amp;" business day(s) late. Send now.",IF($T557="DUE TOMORROW","Next: "&amp;$Z557&amp;IF($Y557&lt;=TODAY()," is due TODAY ("," is due next business day (")&amp;TEXT($Y557,"dd-mmm")&amp;").","Next: "&amp;$Z557&amp;" due "&amp;TEXT($Y557,"dd-mmm")&amp;" ("&amp;(NETWORKDAYS(TODAY(),$Y557,Holidays)-1)&amp;" business day(s) left).")))))</f>
        <v/>
      </c>
      <c r="V557" s="17">
        <f>IF($W557="","",CHOOSE($W557,"Collection Email","1st Follow-up","2nd Follow-up","Local Office","CBE","Roxanne")&amp;IF($W557=6," - Final"," - Day "&amp;MAX(0,NETWORKDAYS($X557,TODAY(),Holidays)-1)&amp;" of "&amp;CHOOSE($W557,3,3,2,2,3))&amp;" | Total Day "&amp;MAX(0,NETWORKDAYS($L557,TODAY(),Holidays)-1))</f>
        <v/>
      </c>
      <c r="W557" s="17">
        <f>IF($L557="","",COUNT($L557:$Q557))</f>
        <v/>
      </c>
      <c r="X557" s="18">
        <f>IF($W557="","",INT(INDEX($L557:$Q557,$W557)))</f>
        <v/>
      </c>
      <c r="Y557" s="18">
        <f>IF(OR($W557="",$W557=6),"",WORKDAY($X557,CHOOSE($W557,3,3,2,2,3),Holidays))</f>
        <v/>
      </c>
      <c r="Z557" s="17">
        <f>IF(OR($W557="",$W557=6),"",CHOOSE($W557,"1st Email Follow-up","2nd Email Follow-up","Escalate Local Office","Escalate to CBE","Escalate to Roxanne"))</f>
        <v/>
      </c>
    </row>
    <row r="558" spans="18:26">
      <c r="R558" s="15"/>
      <c r="S558" s="16"/>
      <c r="T558" s="17">
        <f>IF(AND(COUNTA($A558:$K558)=0,$L558=""),"",IF($S558="Paid","PAID",IF($S558="Closed","CLOSED",IF($W558="","",IF($W558=6,"ESCALATED TO ROXANNE",IF(TODAY()&gt;$Y558,"OVERDUE",IF($Y558&lt;=WORKDAY(TODAY(),1,Holidays),"DUE TOMORROW",IF($W558=4,"ESCALATED TO LOCAL OFFICE",IF($W558=5,"ESCALATED TO CBE",IF($X558=TODAY(),"EMAIL SENT","MONITORING"))))))))))</f>
        <v/>
      </c>
      <c r="U558" s="17">
        <f>IF($T558="",IF(AND(COUNTA($A558:$K558)&gt;0,$L558=""),"Awaiting Collection Email time stamp.",""),IF(OR($T558="PAID",$T558="CLOSED"),IF($T558="PAID","Account paid. Action completed.","Account closed. No further action required."),CHOOSE($W558,"Collection Email","1st Email Follow-up","2nd Email Follow-up","Escalation to Local Office","Escalation to CBE","Escalation to Roxanne")&amp;" sent "&amp;TEXT($X558,"dd-mmm")&amp;". "&amp;IF($W558=6,"Final escalation completed.",IF($T558="OVERDUE","Next: "&amp;$Z558&amp;" was due "&amp;TEXT($Y558,"dd-mmm")&amp;" - "&amp;(NETWORKDAYS($Y558,TODAY(),Holidays)-1)&amp;" business day(s) late. Send now.",IF($T558="DUE TOMORROW","Next: "&amp;$Z558&amp;IF($Y558&lt;=TODAY()," is due TODAY ("," is due next business day (")&amp;TEXT($Y558,"dd-mmm")&amp;").","Next: "&amp;$Z558&amp;" due "&amp;TEXT($Y558,"dd-mmm")&amp;" ("&amp;(NETWORKDAYS(TODAY(),$Y558,Holidays)-1)&amp;" business day(s) left).")))))</f>
        <v/>
      </c>
      <c r="V558" s="17">
        <f>IF($W558="","",CHOOSE($W558,"Collection Email","1st Follow-up","2nd Follow-up","Local Office","CBE","Roxanne")&amp;IF($W558=6," - Final"," - Day "&amp;MAX(0,NETWORKDAYS($X558,TODAY(),Holidays)-1)&amp;" of "&amp;CHOOSE($W558,3,3,2,2,3))&amp;" | Total Day "&amp;MAX(0,NETWORKDAYS($L558,TODAY(),Holidays)-1))</f>
        <v/>
      </c>
      <c r="W558" s="17">
        <f>IF($L558="","",COUNT($L558:$Q558))</f>
        <v/>
      </c>
      <c r="X558" s="18">
        <f>IF($W558="","",INT(INDEX($L558:$Q558,$W558)))</f>
        <v/>
      </c>
      <c r="Y558" s="18">
        <f>IF(OR($W558="",$W558=6),"",WORKDAY($X558,CHOOSE($W558,3,3,2,2,3),Holidays))</f>
        <v/>
      </c>
      <c r="Z558" s="17">
        <f>IF(OR($W558="",$W558=6),"",CHOOSE($W558,"1st Email Follow-up","2nd Email Follow-up","Escalate Local Office","Escalate to CBE","Escalate to Roxanne"))</f>
        <v/>
      </c>
    </row>
    <row r="559" spans="18:26">
      <c r="R559" s="15"/>
      <c r="S559" s="16"/>
      <c r="T559" s="17">
        <f>IF(AND(COUNTA($A559:$K559)=0,$L559=""),"",IF($S559="Paid","PAID",IF($S559="Closed","CLOSED",IF($W559="","",IF($W559=6,"ESCALATED TO ROXANNE",IF(TODAY()&gt;$Y559,"OVERDUE",IF($Y559&lt;=WORKDAY(TODAY(),1,Holidays),"DUE TOMORROW",IF($W559=4,"ESCALATED TO LOCAL OFFICE",IF($W559=5,"ESCALATED TO CBE",IF($X559=TODAY(),"EMAIL SENT","MONITORING"))))))))))</f>
        <v/>
      </c>
      <c r="U559" s="17">
        <f>IF($T559="",IF(AND(COUNTA($A559:$K559)&gt;0,$L559=""),"Awaiting Collection Email time stamp.",""),IF(OR($T559="PAID",$T559="CLOSED"),IF($T559="PAID","Account paid. Action completed.","Account closed. No further action required."),CHOOSE($W559,"Collection Email","1st Email Follow-up","2nd Email Follow-up","Escalation to Local Office","Escalation to CBE","Escalation to Roxanne")&amp;" sent "&amp;TEXT($X559,"dd-mmm")&amp;". "&amp;IF($W559=6,"Final escalation completed.",IF($T559="OVERDUE","Next: "&amp;$Z559&amp;" was due "&amp;TEXT($Y559,"dd-mmm")&amp;" - "&amp;(NETWORKDAYS($Y559,TODAY(),Holidays)-1)&amp;" business day(s) late. Send now.",IF($T559="DUE TOMORROW","Next: "&amp;$Z559&amp;IF($Y559&lt;=TODAY()," is due TODAY ("," is due next business day (")&amp;TEXT($Y559,"dd-mmm")&amp;").","Next: "&amp;$Z559&amp;" due "&amp;TEXT($Y559,"dd-mmm")&amp;" ("&amp;(NETWORKDAYS(TODAY(),$Y559,Holidays)-1)&amp;" business day(s) left).")))))</f>
        <v/>
      </c>
      <c r="V559" s="17">
        <f>IF($W559="","",CHOOSE($W559,"Collection Email","1st Follow-up","2nd Follow-up","Local Office","CBE","Roxanne")&amp;IF($W559=6," - Final"," - Day "&amp;MAX(0,NETWORKDAYS($X559,TODAY(),Holidays)-1)&amp;" of "&amp;CHOOSE($W559,3,3,2,2,3))&amp;" | Total Day "&amp;MAX(0,NETWORKDAYS($L559,TODAY(),Holidays)-1))</f>
        <v/>
      </c>
      <c r="W559" s="17">
        <f>IF($L559="","",COUNT($L559:$Q559))</f>
        <v/>
      </c>
      <c r="X559" s="18">
        <f>IF($W559="","",INT(INDEX($L559:$Q559,$W559)))</f>
        <v/>
      </c>
      <c r="Y559" s="18">
        <f>IF(OR($W559="",$W559=6),"",WORKDAY($X559,CHOOSE($W559,3,3,2,2,3),Holidays))</f>
        <v/>
      </c>
      <c r="Z559" s="17">
        <f>IF(OR($W559="",$W559=6),"",CHOOSE($W559,"1st Email Follow-up","2nd Email Follow-up","Escalate Local Office","Escalate to CBE","Escalate to Roxanne"))</f>
        <v/>
      </c>
    </row>
    <row r="560" spans="18:26">
      <c r="R560" s="15"/>
      <c r="S560" s="16"/>
      <c r="T560" s="17">
        <f>IF(AND(COUNTA($A560:$K560)=0,$L560=""),"",IF($S560="Paid","PAID",IF($S560="Closed","CLOSED",IF($W560="","",IF($W560=6,"ESCALATED TO ROXANNE",IF(TODAY()&gt;$Y560,"OVERDUE",IF($Y560&lt;=WORKDAY(TODAY(),1,Holidays),"DUE TOMORROW",IF($W560=4,"ESCALATED TO LOCAL OFFICE",IF($W560=5,"ESCALATED TO CBE",IF($X560=TODAY(),"EMAIL SENT","MONITORING"))))))))))</f>
        <v/>
      </c>
      <c r="U560" s="17">
        <f>IF($T560="",IF(AND(COUNTA($A560:$K560)&gt;0,$L560=""),"Awaiting Collection Email time stamp.",""),IF(OR($T560="PAID",$T560="CLOSED"),IF($T560="PAID","Account paid. Action completed.","Account closed. No further action required."),CHOOSE($W560,"Collection Email","1st Email Follow-up","2nd Email Follow-up","Escalation to Local Office","Escalation to CBE","Escalation to Roxanne")&amp;" sent "&amp;TEXT($X560,"dd-mmm")&amp;". "&amp;IF($W560=6,"Final escalation completed.",IF($T560="OVERDUE","Next: "&amp;$Z560&amp;" was due "&amp;TEXT($Y560,"dd-mmm")&amp;" - "&amp;(NETWORKDAYS($Y560,TODAY(),Holidays)-1)&amp;" business day(s) late. Send now.",IF($T560="DUE TOMORROW","Next: "&amp;$Z560&amp;IF($Y560&lt;=TODAY()," is due TODAY ("," is due next business day (")&amp;TEXT($Y560,"dd-mmm")&amp;").","Next: "&amp;$Z560&amp;" due "&amp;TEXT($Y560,"dd-mmm")&amp;" ("&amp;(NETWORKDAYS(TODAY(),$Y560,Holidays)-1)&amp;" business day(s) left).")))))</f>
        <v/>
      </c>
      <c r="V560" s="17">
        <f>IF($W560="","",CHOOSE($W560,"Collection Email","1st Follow-up","2nd Follow-up","Local Office","CBE","Roxanne")&amp;IF($W560=6," - Final"," - Day "&amp;MAX(0,NETWORKDAYS($X560,TODAY(),Holidays)-1)&amp;" of "&amp;CHOOSE($W560,3,3,2,2,3))&amp;" | Total Day "&amp;MAX(0,NETWORKDAYS($L560,TODAY(),Holidays)-1))</f>
        <v/>
      </c>
      <c r="W560" s="17">
        <f>IF($L560="","",COUNT($L560:$Q560))</f>
        <v/>
      </c>
      <c r="X560" s="18">
        <f>IF($W560="","",INT(INDEX($L560:$Q560,$W560)))</f>
        <v/>
      </c>
      <c r="Y560" s="18">
        <f>IF(OR($W560="",$W560=6),"",WORKDAY($X560,CHOOSE($W560,3,3,2,2,3),Holidays))</f>
        <v/>
      </c>
      <c r="Z560" s="17">
        <f>IF(OR($W560="",$W560=6),"",CHOOSE($W560,"1st Email Follow-up","2nd Email Follow-up","Escalate Local Office","Escalate to CBE","Escalate to Roxanne"))</f>
        <v/>
      </c>
    </row>
    <row r="561" spans="18:26">
      <c r="R561" s="15"/>
      <c r="S561" s="16"/>
      <c r="T561" s="17">
        <f>IF(AND(COUNTA($A561:$K561)=0,$L561=""),"",IF($S561="Paid","PAID",IF($S561="Closed","CLOSED",IF($W561="","",IF($W561=6,"ESCALATED TO ROXANNE",IF(TODAY()&gt;$Y561,"OVERDUE",IF($Y561&lt;=WORKDAY(TODAY(),1,Holidays),"DUE TOMORROW",IF($W561=4,"ESCALATED TO LOCAL OFFICE",IF($W561=5,"ESCALATED TO CBE",IF($X561=TODAY(),"EMAIL SENT","MONITORING"))))))))))</f>
        <v/>
      </c>
      <c r="U561" s="17">
        <f>IF($T561="",IF(AND(COUNTA($A561:$K561)&gt;0,$L561=""),"Awaiting Collection Email time stamp.",""),IF(OR($T561="PAID",$T561="CLOSED"),IF($T561="PAID","Account paid. Action completed.","Account closed. No further action required."),CHOOSE($W561,"Collection Email","1st Email Follow-up","2nd Email Follow-up","Escalation to Local Office","Escalation to CBE","Escalation to Roxanne")&amp;" sent "&amp;TEXT($X561,"dd-mmm")&amp;". "&amp;IF($W561=6,"Final escalation completed.",IF($T561="OVERDUE","Next: "&amp;$Z561&amp;" was due "&amp;TEXT($Y561,"dd-mmm")&amp;" - "&amp;(NETWORKDAYS($Y561,TODAY(),Holidays)-1)&amp;" business day(s) late. Send now.",IF($T561="DUE TOMORROW","Next: "&amp;$Z561&amp;IF($Y561&lt;=TODAY()," is due TODAY ("," is due next business day (")&amp;TEXT($Y561,"dd-mmm")&amp;").","Next: "&amp;$Z561&amp;" due "&amp;TEXT($Y561,"dd-mmm")&amp;" ("&amp;(NETWORKDAYS(TODAY(),$Y561,Holidays)-1)&amp;" business day(s) left).")))))</f>
        <v/>
      </c>
      <c r="V561" s="17">
        <f>IF($W561="","",CHOOSE($W561,"Collection Email","1st Follow-up","2nd Follow-up","Local Office","CBE","Roxanne")&amp;IF($W561=6," - Final"," - Day "&amp;MAX(0,NETWORKDAYS($X561,TODAY(),Holidays)-1)&amp;" of "&amp;CHOOSE($W561,3,3,2,2,3))&amp;" | Total Day "&amp;MAX(0,NETWORKDAYS($L561,TODAY(),Holidays)-1))</f>
        <v/>
      </c>
      <c r="W561" s="17">
        <f>IF($L561="","",COUNT($L561:$Q561))</f>
        <v/>
      </c>
      <c r="X561" s="18">
        <f>IF($W561="","",INT(INDEX($L561:$Q561,$W561)))</f>
        <v/>
      </c>
      <c r="Y561" s="18">
        <f>IF(OR($W561="",$W561=6),"",WORKDAY($X561,CHOOSE($W561,3,3,2,2,3),Holidays))</f>
        <v/>
      </c>
      <c r="Z561" s="17">
        <f>IF(OR($W561="",$W561=6),"",CHOOSE($W561,"1st Email Follow-up","2nd Email Follow-up","Escalate Local Office","Escalate to CBE","Escalate to Roxanne"))</f>
        <v/>
      </c>
    </row>
    <row r="562" spans="18:26">
      <c r="R562" s="15"/>
      <c r="S562" s="16"/>
      <c r="T562" s="17">
        <f>IF(AND(COUNTA($A562:$K562)=0,$L562=""),"",IF($S562="Paid","PAID",IF($S562="Closed","CLOSED",IF($W562="","",IF($W562=6,"ESCALATED TO ROXANNE",IF(TODAY()&gt;$Y562,"OVERDUE",IF($Y562&lt;=WORKDAY(TODAY(),1,Holidays),"DUE TOMORROW",IF($W562=4,"ESCALATED TO LOCAL OFFICE",IF($W562=5,"ESCALATED TO CBE",IF($X562=TODAY(),"EMAIL SENT","MONITORING"))))))))))</f>
        <v/>
      </c>
      <c r="U562" s="17">
        <f>IF($T562="",IF(AND(COUNTA($A562:$K562)&gt;0,$L562=""),"Awaiting Collection Email time stamp.",""),IF(OR($T562="PAID",$T562="CLOSED"),IF($T562="PAID","Account paid. Action completed.","Account closed. No further action required."),CHOOSE($W562,"Collection Email","1st Email Follow-up","2nd Email Follow-up","Escalation to Local Office","Escalation to CBE","Escalation to Roxanne")&amp;" sent "&amp;TEXT($X562,"dd-mmm")&amp;". "&amp;IF($W562=6,"Final escalation completed.",IF($T562="OVERDUE","Next: "&amp;$Z562&amp;" was due "&amp;TEXT($Y562,"dd-mmm")&amp;" - "&amp;(NETWORKDAYS($Y562,TODAY(),Holidays)-1)&amp;" business day(s) late. Send now.",IF($T562="DUE TOMORROW","Next: "&amp;$Z562&amp;IF($Y562&lt;=TODAY()," is due TODAY ("," is due next business day (")&amp;TEXT($Y562,"dd-mmm")&amp;").","Next: "&amp;$Z562&amp;" due "&amp;TEXT($Y562,"dd-mmm")&amp;" ("&amp;(NETWORKDAYS(TODAY(),$Y562,Holidays)-1)&amp;" business day(s) left).")))))</f>
        <v/>
      </c>
      <c r="V562" s="17">
        <f>IF($W562="","",CHOOSE($W562,"Collection Email","1st Follow-up","2nd Follow-up","Local Office","CBE","Roxanne")&amp;IF($W562=6," - Final"," - Day "&amp;MAX(0,NETWORKDAYS($X562,TODAY(),Holidays)-1)&amp;" of "&amp;CHOOSE($W562,3,3,2,2,3))&amp;" | Total Day "&amp;MAX(0,NETWORKDAYS($L562,TODAY(),Holidays)-1))</f>
        <v/>
      </c>
      <c r="W562" s="17">
        <f>IF($L562="","",COUNT($L562:$Q562))</f>
        <v/>
      </c>
      <c r="X562" s="18">
        <f>IF($W562="","",INT(INDEX($L562:$Q562,$W562)))</f>
        <v/>
      </c>
      <c r="Y562" s="18">
        <f>IF(OR($W562="",$W562=6),"",WORKDAY($X562,CHOOSE($W562,3,3,2,2,3),Holidays))</f>
        <v/>
      </c>
      <c r="Z562" s="17">
        <f>IF(OR($W562="",$W562=6),"",CHOOSE($W562,"1st Email Follow-up","2nd Email Follow-up","Escalate Local Office","Escalate to CBE","Escalate to Roxanne"))</f>
        <v/>
      </c>
    </row>
    <row r="563" spans="18:26">
      <c r="R563" s="15"/>
      <c r="S563" s="16"/>
      <c r="T563" s="17">
        <f>IF(AND(COUNTA($A563:$K563)=0,$L563=""),"",IF($S563="Paid","PAID",IF($S563="Closed","CLOSED",IF($W563="","",IF($W563=6,"ESCALATED TO ROXANNE",IF(TODAY()&gt;$Y563,"OVERDUE",IF($Y563&lt;=WORKDAY(TODAY(),1,Holidays),"DUE TOMORROW",IF($W563=4,"ESCALATED TO LOCAL OFFICE",IF($W563=5,"ESCALATED TO CBE",IF($X563=TODAY(),"EMAIL SENT","MONITORING"))))))))))</f>
        <v/>
      </c>
      <c r="U563" s="17">
        <f>IF($T563="",IF(AND(COUNTA($A563:$K563)&gt;0,$L563=""),"Awaiting Collection Email time stamp.",""),IF(OR($T563="PAID",$T563="CLOSED"),IF($T563="PAID","Account paid. Action completed.","Account closed. No further action required."),CHOOSE($W563,"Collection Email","1st Email Follow-up","2nd Email Follow-up","Escalation to Local Office","Escalation to CBE","Escalation to Roxanne")&amp;" sent "&amp;TEXT($X563,"dd-mmm")&amp;". "&amp;IF($W563=6,"Final escalation completed.",IF($T563="OVERDUE","Next: "&amp;$Z563&amp;" was due "&amp;TEXT($Y563,"dd-mmm")&amp;" - "&amp;(NETWORKDAYS($Y563,TODAY(),Holidays)-1)&amp;" business day(s) late. Send now.",IF($T563="DUE TOMORROW","Next: "&amp;$Z563&amp;IF($Y563&lt;=TODAY()," is due TODAY ("," is due next business day (")&amp;TEXT($Y563,"dd-mmm")&amp;").","Next: "&amp;$Z563&amp;" due "&amp;TEXT($Y563,"dd-mmm")&amp;" ("&amp;(NETWORKDAYS(TODAY(),$Y563,Holidays)-1)&amp;" business day(s) left).")))))</f>
        <v/>
      </c>
      <c r="V563" s="17">
        <f>IF($W563="","",CHOOSE($W563,"Collection Email","1st Follow-up","2nd Follow-up","Local Office","CBE","Roxanne")&amp;IF($W563=6," - Final"," - Day "&amp;MAX(0,NETWORKDAYS($X563,TODAY(),Holidays)-1)&amp;" of "&amp;CHOOSE($W563,3,3,2,2,3))&amp;" | Total Day "&amp;MAX(0,NETWORKDAYS($L563,TODAY(),Holidays)-1))</f>
        <v/>
      </c>
      <c r="W563" s="17">
        <f>IF($L563="","",COUNT($L563:$Q563))</f>
        <v/>
      </c>
      <c r="X563" s="18">
        <f>IF($W563="","",INT(INDEX($L563:$Q563,$W563)))</f>
        <v/>
      </c>
      <c r="Y563" s="18">
        <f>IF(OR($W563="",$W563=6),"",WORKDAY($X563,CHOOSE($W563,3,3,2,2,3),Holidays))</f>
        <v/>
      </c>
      <c r="Z563" s="17">
        <f>IF(OR($W563="",$W563=6),"",CHOOSE($W563,"1st Email Follow-up","2nd Email Follow-up","Escalate Local Office","Escalate to CBE","Escalate to Roxanne"))</f>
        <v/>
      </c>
    </row>
    <row r="564" spans="18:26">
      <c r="R564" s="15"/>
      <c r="S564" s="16"/>
      <c r="T564" s="17">
        <f>IF(AND(COUNTA($A564:$K564)=0,$L564=""),"",IF($S564="Paid","PAID",IF($S564="Closed","CLOSED",IF($W564="","",IF($W564=6,"ESCALATED TO ROXANNE",IF(TODAY()&gt;$Y564,"OVERDUE",IF($Y564&lt;=WORKDAY(TODAY(),1,Holidays),"DUE TOMORROW",IF($W564=4,"ESCALATED TO LOCAL OFFICE",IF($W564=5,"ESCALATED TO CBE",IF($X564=TODAY(),"EMAIL SENT","MONITORING"))))))))))</f>
        <v/>
      </c>
      <c r="U564" s="17">
        <f>IF($T564="",IF(AND(COUNTA($A564:$K564)&gt;0,$L564=""),"Awaiting Collection Email time stamp.",""),IF(OR($T564="PAID",$T564="CLOSED"),IF($T564="PAID","Account paid. Action completed.","Account closed. No further action required."),CHOOSE($W564,"Collection Email","1st Email Follow-up","2nd Email Follow-up","Escalation to Local Office","Escalation to CBE","Escalation to Roxanne")&amp;" sent "&amp;TEXT($X564,"dd-mmm")&amp;". "&amp;IF($W564=6,"Final escalation completed.",IF($T564="OVERDUE","Next: "&amp;$Z564&amp;" was due "&amp;TEXT($Y564,"dd-mmm")&amp;" - "&amp;(NETWORKDAYS($Y564,TODAY(),Holidays)-1)&amp;" business day(s) late. Send now.",IF($T564="DUE TOMORROW","Next: "&amp;$Z564&amp;IF($Y564&lt;=TODAY()," is due TODAY ("," is due next business day (")&amp;TEXT($Y564,"dd-mmm")&amp;").","Next: "&amp;$Z564&amp;" due "&amp;TEXT($Y564,"dd-mmm")&amp;" ("&amp;(NETWORKDAYS(TODAY(),$Y564,Holidays)-1)&amp;" business day(s) left).")))))</f>
        <v/>
      </c>
      <c r="V564" s="17">
        <f>IF($W564="","",CHOOSE($W564,"Collection Email","1st Follow-up","2nd Follow-up","Local Office","CBE","Roxanne")&amp;IF($W564=6," - Final"," - Day "&amp;MAX(0,NETWORKDAYS($X564,TODAY(),Holidays)-1)&amp;" of "&amp;CHOOSE($W564,3,3,2,2,3))&amp;" | Total Day "&amp;MAX(0,NETWORKDAYS($L564,TODAY(),Holidays)-1))</f>
        <v/>
      </c>
      <c r="W564" s="17">
        <f>IF($L564="","",COUNT($L564:$Q564))</f>
        <v/>
      </c>
      <c r="X564" s="18">
        <f>IF($W564="","",INT(INDEX($L564:$Q564,$W564)))</f>
        <v/>
      </c>
      <c r="Y564" s="18">
        <f>IF(OR($W564="",$W564=6),"",WORKDAY($X564,CHOOSE($W564,3,3,2,2,3),Holidays))</f>
        <v/>
      </c>
      <c r="Z564" s="17">
        <f>IF(OR($W564="",$W564=6),"",CHOOSE($W564,"1st Email Follow-up","2nd Email Follow-up","Escalate Local Office","Escalate to CBE","Escalate to Roxanne"))</f>
        <v/>
      </c>
    </row>
    <row r="565" spans="18:26">
      <c r="R565" s="15"/>
      <c r="S565" s="16"/>
      <c r="T565" s="17">
        <f>IF(AND(COUNTA($A565:$K565)=0,$L565=""),"",IF($S565="Paid","PAID",IF($S565="Closed","CLOSED",IF($W565="","",IF($W565=6,"ESCALATED TO ROXANNE",IF(TODAY()&gt;$Y565,"OVERDUE",IF($Y565&lt;=WORKDAY(TODAY(),1,Holidays),"DUE TOMORROW",IF($W565=4,"ESCALATED TO LOCAL OFFICE",IF($W565=5,"ESCALATED TO CBE",IF($X565=TODAY(),"EMAIL SENT","MONITORING"))))))))))</f>
        <v/>
      </c>
      <c r="U565" s="17">
        <f>IF($T565="",IF(AND(COUNTA($A565:$K565)&gt;0,$L565=""),"Awaiting Collection Email time stamp.",""),IF(OR($T565="PAID",$T565="CLOSED"),IF($T565="PAID","Account paid. Action completed.","Account closed. No further action required."),CHOOSE($W565,"Collection Email","1st Email Follow-up","2nd Email Follow-up","Escalation to Local Office","Escalation to CBE","Escalation to Roxanne")&amp;" sent "&amp;TEXT($X565,"dd-mmm")&amp;". "&amp;IF($W565=6,"Final escalation completed.",IF($T565="OVERDUE","Next: "&amp;$Z565&amp;" was due "&amp;TEXT($Y565,"dd-mmm")&amp;" - "&amp;(NETWORKDAYS($Y565,TODAY(),Holidays)-1)&amp;" business day(s) late. Send now.",IF($T565="DUE TOMORROW","Next: "&amp;$Z565&amp;IF($Y565&lt;=TODAY()," is due TODAY ("," is due next business day (")&amp;TEXT($Y565,"dd-mmm")&amp;").","Next: "&amp;$Z565&amp;" due "&amp;TEXT($Y565,"dd-mmm")&amp;" ("&amp;(NETWORKDAYS(TODAY(),$Y565,Holidays)-1)&amp;" business day(s) left).")))))</f>
        <v/>
      </c>
      <c r="V565" s="17">
        <f>IF($W565="","",CHOOSE($W565,"Collection Email","1st Follow-up","2nd Follow-up","Local Office","CBE","Roxanne")&amp;IF($W565=6," - Final"," - Day "&amp;MAX(0,NETWORKDAYS($X565,TODAY(),Holidays)-1)&amp;" of "&amp;CHOOSE($W565,3,3,2,2,3))&amp;" | Total Day "&amp;MAX(0,NETWORKDAYS($L565,TODAY(),Holidays)-1))</f>
        <v/>
      </c>
      <c r="W565" s="17">
        <f>IF($L565="","",COUNT($L565:$Q565))</f>
        <v/>
      </c>
      <c r="X565" s="18">
        <f>IF($W565="","",INT(INDEX($L565:$Q565,$W565)))</f>
        <v/>
      </c>
      <c r="Y565" s="18">
        <f>IF(OR($W565="",$W565=6),"",WORKDAY($X565,CHOOSE($W565,3,3,2,2,3),Holidays))</f>
        <v/>
      </c>
      <c r="Z565" s="17">
        <f>IF(OR($W565="",$W565=6),"",CHOOSE($W565,"1st Email Follow-up","2nd Email Follow-up","Escalate Local Office","Escalate to CBE","Escalate to Roxanne"))</f>
        <v/>
      </c>
    </row>
    <row r="566" spans="18:26">
      <c r="R566" s="15"/>
      <c r="S566" s="16"/>
      <c r="T566" s="17">
        <f>IF(AND(COUNTA($A566:$K566)=0,$L566=""),"",IF($S566="Paid","PAID",IF($S566="Closed","CLOSED",IF($W566="","",IF($W566=6,"ESCALATED TO ROXANNE",IF(TODAY()&gt;$Y566,"OVERDUE",IF($Y566&lt;=WORKDAY(TODAY(),1,Holidays),"DUE TOMORROW",IF($W566=4,"ESCALATED TO LOCAL OFFICE",IF($W566=5,"ESCALATED TO CBE",IF($X566=TODAY(),"EMAIL SENT","MONITORING"))))))))))</f>
        <v/>
      </c>
      <c r="U566" s="17">
        <f>IF($T566="",IF(AND(COUNTA($A566:$K566)&gt;0,$L566=""),"Awaiting Collection Email time stamp.",""),IF(OR($T566="PAID",$T566="CLOSED"),IF($T566="PAID","Account paid. Action completed.","Account closed. No further action required."),CHOOSE($W566,"Collection Email","1st Email Follow-up","2nd Email Follow-up","Escalation to Local Office","Escalation to CBE","Escalation to Roxanne")&amp;" sent "&amp;TEXT($X566,"dd-mmm")&amp;". "&amp;IF($W566=6,"Final escalation completed.",IF($T566="OVERDUE","Next: "&amp;$Z566&amp;" was due "&amp;TEXT($Y566,"dd-mmm")&amp;" - "&amp;(NETWORKDAYS($Y566,TODAY(),Holidays)-1)&amp;" business day(s) late. Send now.",IF($T566="DUE TOMORROW","Next: "&amp;$Z566&amp;IF($Y566&lt;=TODAY()," is due TODAY ("," is due next business day (")&amp;TEXT($Y566,"dd-mmm")&amp;").","Next: "&amp;$Z566&amp;" due "&amp;TEXT($Y566,"dd-mmm")&amp;" ("&amp;(NETWORKDAYS(TODAY(),$Y566,Holidays)-1)&amp;" business day(s) left).")))))</f>
        <v/>
      </c>
      <c r="V566" s="17">
        <f>IF($W566="","",CHOOSE($W566,"Collection Email","1st Follow-up","2nd Follow-up","Local Office","CBE","Roxanne")&amp;IF($W566=6," - Final"," - Day "&amp;MAX(0,NETWORKDAYS($X566,TODAY(),Holidays)-1)&amp;" of "&amp;CHOOSE($W566,3,3,2,2,3))&amp;" | Total Day "&amp;MAX(0,NETWORKDAYS($L566,TODAY(),Holidays)-1))</f>
        <v/>
      </c>
      <c r="W566" s="17">
        <f>IF($L566="","",COUNT($L566:$Q566))</f>
        <v/>
      </c>
      <c r="X566" s="18">
        <f>IF($W566="","",INT(INDEX($L566:$Q566,$W566)))</f>
        <v/>
      </c>
      <c r="Y566" s="18">
        <f>IF(OR($W566="",$W566=6),"",WORKDAY($X566,CHOOSE($W566,3,3,2,2,3),Holidays))</f>
        <v/>
      </c>
      <c r="Z566" s="17">
        <f>IF(OR($W566="",$W566=6),"",CHOOSE($W566,"1st Email Follow-up","2nd Email Follow-up","Escalate Local Office","Escalate to CBE","Escalate to Roxanne"))</f>
        <v/>
      </c>
    </row>
    <row r="567" spans="18:26">
      <c r="R567" s="15"/>
      <c r="S567" s="16"/>
      <c r="T567" s="17">
        <f>IF(AND(COUNTA($A567:$K567)=0,$L567=""),"",IF($S567="Paid","PAID",IF($S567="Closed","CLOSED",IF($W567="","",IF($W567=6,"ESCALATED TO ROXANNE",IF(TODAY()&gt;$Y567,"OVERDUE",IF($Y567&lt;=WORKDAY(TODAY(),1,Holidays),"DUE TOMORROW",IF($W567=4,"ESCALATED TO LOCAL OFFICE",IF($W567=5,"ESCALATED TO CBE",IF($X567=TODAY(),"EMAIL SENT","MONITORING"))))))))))</f>
        <v/>
      </c>
      <c r="U567" s="17">
        <f>IF($T567="",IF(AND(COUNTA($A567:$K567)&gt;0,$L567=""),"Awaiting Collection Email time stamp.",""),IF(OR($T567="PAID",$T567="CLOSED"),IF($T567="PAID","Account paid. Action completed.","Account closed. No further action required."),CHOOSE($W567,"Collection Email","1st Email Follow-up","2nd Email Follow-up","Escalation to Local Office","Escalation to CBE","Escalation to Roxanne")&amp;" sent "&amp;TEXT($X567,"dd-mmm")&amp;". "&amp;IF($W567=6,"Final escalation completed.",IF($T567="OVERDUE","Next: "&amp;$Z567&amp;" was due "&amp;TEXT($Y567,"dd-mmm")&amp;" - "&amp;(NETWORKDAYS($Y567,TODAY(),Holidays)-1)&amp;" business day(s) late. Send now.",IF($T567="DUE TOMORROW","Next: "&amp;$Z567&amp;IF($Y567&lt;=TODAY()," is due TODAY ("," is due next business day (")&amp;TEXT($Y567,"dd-mmm")&amp;").","Next: "&amp;$Z567&amp;" due "&amp;TEXT($Y567,"dd-mmm")&amp;" ("&amp;(NETWORKDAYS(TODAY(),$Y567,Holidays)-1)&amp;" business day(s) left).")))))</f>
        <v/>
      </c>
      <c r="V567" s="17">
        <f>IF($W567="","",CHOOSE($W567,"Collection Email","1st Follow-up","2nd Follow-up","Local Office","CBE","Roxanne")&amp;IF($W567=6," - Final"," - Day "&amp;MAX(0,NETWORKDAYS($X567,TODAY(),Holidays)-1)&amp;" of "&amp;CHOOSE($W567,3,3,2,2,3))&amp;" | Total Day "&amp;MAX(0,NETWORKDAYS($L567,TODAY(),Holidays)-1))</f>
        <v/>
      </c>
      <c r="W567" s="17">
        <f>IF($L567="","",COUNT($L567:$Q567))</f>
        <v/>
      </c>
      <c r="X567" s="18">
        <f>IF($W567="","",INT(INDEX($L567:$Q567,$W567)))</f>
        <v/>
      </c>
      <c r="Y567" s="18">
        <f>IF(OR($W567="",$W567=6),"",WORKDAY($X567,CHOOSE($W567,3,3,2,2,3),Holidays))</f>
        <v/>
      </c>
      <c r="Z567" s="17">
        <f>IF(OR($W567="",$W567=6),"",CHOOSE($W567,"1st Email Follow-up","2nd Email Follow-up","Escalate Local Office","Escalate to CBE","Escalate to Roxanne"))</f>
        <v/>
      </c>
    </row>
    <row r="568" spans="18:26">
      <c r="R568" s="15"/>
      <c r="S568" s="16"/>
      <c r="T568" s="17">
        <f>IF(AND(COUNTA($A568:$K568)=0,$L568=""),"",IF($S568="Paid","PAID",IF($S568="Closed","CLOSED",IF($W568="","",IF($W568=6,"ESCALATED TO ROXANNE",IF(TODAY()&gt;$Y568,"OVERDUE",IF($Y568&lt;=WORKDAY(TODAY(),1,Holidays),"DUE TOMORROW",IF($W568=4,"ESCALATED TO LOCAL OFFICE",IF($W568=5,"ESCALATED TO CBE",IF($X568=TODAY(),"EMAIL SENT","MONITORING"))))))))))</f>
        <v/>
      </c>
      <c r="U568" s="17">
        <f>IF($T568="",IF(AND(COUNTA($A568:$K568)&gt;0,$L568=""),"Awaiting Collection Email time stamp.",""),IF(OR($T568="PAID",$T568="CLOSED"),IF($T568="PAID","Account paid. Action completed.","Account closed. No further action required."),CHOOSE($W568,"Collection Email","1st Email Follow-up","2nd Email Follow-up","Escalation to Local Office","Escalation to CBE","Escalation to Roxanne")&amp;" sent "&amp;TEXT($X568,"dd-mmm")&amp;". "&amp;IF($W568=6,"Final escalation completed.",IF($T568="OVERDUE","Next: "&amp;$Z568&amp;" was due "&amp;TEXT($Y568,"dd-mmm")&amp;" - "&amp;(NETWORKDAYS($Y568,TODAY(),Holidays)-1)&amp;" business day(s) late. Send now.",IF($T568="DUE TOMORROW","Next: "&amp;$Z568&amp;IF($Y568&lt;=TODAY()," is due TODAY ("," is due next business day (")&amp;TEXT($Y568,"dd-mmm")&amp;").","Next: "&amp;$Z568&amp;" due "&amp;TEXT($Y568,"dd-mmm")&amp;" ("&amp;(NETWORKDAYS(TODAY(),$Y568,Holidays)-1)&amp;" business day(s) left).")))))</f>
        <v/>
      </c>
      <c r="V568" s="17">
        <f>IF($W568="","",CHOOSE($W568,"Collection Email","1st Follow-up","2nd Follow-up","Local Office","CBE","Roxanne")&amp;IF($W568=6," - Final"," - Day "&amp;MAX(0,NETWORKDAYS($X568,TODAY(),Holidays)-1)&amp;" of "&amp;CHOOSE($W568,3,3,2,2,3))&amp;" | Total Day "&amp;MAX(0,NETWORKDAYS($L568,TODAY(),Holidays)-1))</f>
        <v/>
      </c>
      <c r="W568" s="17">
        <f>IF($L568="","",COUNT($L568:$Q568))</f>
        <v/>
      </c>
      <c r="X568" s="18">
        <f>IF($W568="","",INT(INDEX($L568:$Q568,$W568)))</f>
        <v/>
      </c>
      <c r="Y568" s="18">
        <f>IF(OR($W568="",$W568=6),"",WORKDAY($X568,CHOOSE($W568,3,3,2,2,3),Holidays))</f>
        <v/>
      </c>
      <c r="Z568" s="17">
        <f>IF(OR($W568="",$W568=6),"",CHOOSE($W568,"1st Email Follow-up","2nd Email Follow-up","Escalate Local Office","Escalate to CBE","Escalate to Roxanne"))</f>
        <v/>
      </c>
    </row>
    <row r="569" spans="18:26">
      <c r="R569" s="15"/>
      <c r="S569" s="16"/>
      <c r="T569" s="17">
        <f>IF(AND(COUNTA($A569:$K569)=0,$L569=""),"",IF($S569="Paid","PAID",IF($S569="Closed","CLOSED",IF($W569="","",IF($W569=6,"ESCALATED TO ROXANNE",IF(TODAY()&gt;$Y569,"OVERDUE",IF($Y569&lt;=WORKDAY(TODAY(),1,Holidays),"DUE TOMORROW",IF($W569=4,"ESCALATED TO LOCAL OFFICE",IF($W569=5,"ESCALATED TO CBE",IF($X569=TODAY(),"EMAIL SENT","MONITORING"))))))))))</f>
        <v/>
      </c>
      <c r="U569" s="17">
        <f>IF($T569="",IF(AND(COUNTA($A569:$K569)&gt;0,$L569=""),"Awaiting Collection Email time stamp.",""),IF(OR($T569="PAID",$T569="CLOSED"),IF($T569="PAID","Account paid. Action completed.","Account closed. No further action required."),CHOOSE($W569,"Collection Email","1st Email Follow-up","2nd Email Follow-up","Escalation to Local Office","Escalation to CBE","Escalation to Roxanne")&amp;" sent "&amp;TEXT($X569,"dd-mmm")&amp;". "&amp;IF($W569=6,"Final escalation completed.",IF($T569="OVERDUE","Next: "&amp;$Z569&amp;" was due "&amp;TEXT($Y569,"dd-mmm")&amp;" - "&amp;(NETWORKDAYS($Y569,TODAY(),Holidays)-1)&amp;" business day(s) late. Send now.",IF($T569="DUE TOMORROW","Next: "&amp;$Z569&amp;IF($Y569&lt;=TODAY()," is due TODAY ("," is due next business day (")&amp;TEXT($Y569,"dd-mmm")&amp;").","Next: "&amp;$Z569&amp;" due "&amp;TEXT($Y569,"dd-mmm")&amp;" ("&amp;(NETWORKDAYS(TODAY(),$Y569,Holidays)-1)&amp;" business day(s) left).")))))</f>
        <v/>
      </c>
      <c r="V569" s="17">
        <f>IF($W569="","",CHOOSE($W569,"Collection Email","1st Follow-up","2nd Follow-up","Local Office","CBE","Roxanne")&amp;IF($W569=6," - Final"," - Day "&amp;MAX(0,NETWORKDAYS($X569,TODAY(),Holidays)-1)&amp;" of "&amp;CHOOSE($W569,3,3,2,2,3))&amp;" | Total Day "&amp;MAX(0,NETWORKDAYS($L569,TODAY(),Holidays)-1))</f>
        <v/>
      </c>
      <c r="W569" s="17">
        <f>IF($L569="","",COUNT($L569:$Q569))</f>
        <v/>
      </c>
      <c r="X569" s="18">
        <f>IF($W569="","",INT(INDEX($L569:$Q569,$W569)))</f>
        <v/>
      </c>
      <c r="Y569" s="18">
        <f>IF(OR($W569="",$W569=6),"",WORKDAY($X569,CHOOSE($W569,3,3,2,2,3),Holidays))</f>
        <v/>
      </c>
      <c r="Z569" s="17">
        <f>IF(OR($W569="",$W569=6),"",CHOOSE($W569,"1st Email Follow-up","2nd Email Follow-up","Escalate Local Office","Escalate to CBE","Escalate to Roxanne"))</f>
        <v/>
      </c>
    </row>
    <row r="570" spans="18:26">
      <c r="R570" s="15"/>
      <c r="S570" s="16"/>
      <c r="T570" s="17">
        <f>IF(AND(COUNTA($A570:$K570)=0,$L570=""),"",IF($S570="Paid","PAID",IF($S570="Closed","CLOSED",IF($W570="","",IF($W570=6,"ESCALATED TO ROXANNE",IF(TODAY()&gt;$Y570,"OVERDUE",IF($Y570&lt;=WORKDAY(TODAY(),1,Holidays),"DUE TOMORROW",IF($W570=4,"ESCALATED TO LOCAL OFFICE",IF($W570=5,"ESCALATED TO CBE",IF($X570=TODAY(),"EMAIL SENT","MONITORING"))))))))))</f>
        <v/>
      </c>
      <c r="U570" s="17">
        <f>IF($T570="",IF(AND(COUNTA($A570:$K570)&gt;0,$L570=""),"Awaiting Collection Email time stamp.",""),IF(OR($T570="PAID",$T570="CLOSED"),IF($T570="PAID","Account paid. Action completed.","Account closed. No further action required."),CHOOSE($W570,"Collection Email","1st Email Follow-up","2nd Email Follow-up","Escalation to Local Office","Escalation to CBE","Escalation to Roxanne")&amp;" sent "&amp;TEXT($X570,"dd-mmm")&amp;". "&amp;IF($W570=6,"Final escalation completed.",IF($T570="OVERDUE","Next: "&amp;$Z570&amp;" was due "&amp;TEXT($Y570,"dd-mmm")&amp;" - "&amp;(NETWORKDAYS($Y570,TODAY(),Holidays)-1)&amp;" business day(s) late. Send now.",IF($T570="DUE TOMORROW","Next: "&amp;$Z570&amp;IF($Y570&lt;=TODAY()," is due TODAY ("," is due next business day (")&amp;TEXT($Y570,"dd-mmm")&amp;").","Next: "&amp;$Z570&amp;" due "&amp;TEXT($Y570,"dd-mmm")&amp;" ("&amp;(NETWORKDAYS(TODAY(),$Y570,Holidays)-1)&amp;" business day(s) left).")))))</f>
        <v/>
      </c>
      <c r="V570" s="17">
        <f>IF($W570="","",CHOOSE($W570,"Collection Email","1st Follow-up","2nd Follow-up","Local Office","CBE","Roxanne")&amp;IF($W570=6," - Final"," - Day "&amp;MAX(0,NETWORKDAYS($X570,TODAY(),Holidays)-1)&amp;" of "&amp;CHOOSE($W570,3,3,2,2,3))&amp;" | Total Day "&amp;MAX(0,NETWORKDAYS($L570,TODAY(),Holidays)-1))</f>
        <v/>
      </c>
      <c r="W570" s="17">
        <f>IF($L570="","",COUNT($L570:$Q570))</f>
        <v/>
      </c>
      <c r="X570" s="18">
        <f>IF($W570="","",INT(INDEX($L570:$Q570,$W570)))</f>
        <v/>
      </c>
      <c r="Y570" s="18">
        <f>IF(OR($W570="",$W570=6),"",WORKDAY($X570,CHOOSE($W570,3,3,2,2,3),Holidays))</f>
        <v/>
      </c>
      <c r="Z570" s="17">
        <f>IF(OR($W570="",$W570=6),"",CHOOSE($W570,"1st Email Follow-up","2nd Email Follow-up","Escalate Local Office","Escalate to CBE","Escalate to Roxanne"))</f>
        <v/>
      </c>
    </row>
    <row r="571" spans="18:26">
      <c r="R571" s="15"/>
      <c r="S571" s="16"/>
      <c r="T571" s="17">
        <f>IF(AND(COUNTA($A571:$K571)=0,$L571=""),"",IF($S571="Paid","PAID",IF($S571="Closed","CLOSED",IF($W571="","",IF($W571=6,"ESCALATED TO ROXANNE",IF(TODAY()&gt;$Y571,"OVERDUE",IF($Y571&lt;=WORKDAY(TODAY(),1,Holidays),"DUE TOMORROW",IF($W571=4,"ESCALATED TO LOCAL OFFICE",IF($W571=5,"ESCALATED TO CBE",IF($X571=TODAY(),"EMAIL SENT","MONITORING"))))))))))</f>
        <v/>
      </c>
      <c r="U571" s="17">
        <f>IF($T571="",IF(AND(COUNTA($A571:$K571)&gt;0,$L571=""),"Awaiting Collection Email time stamp.",""),IF(OR($T571="PAID",$T571="CLOSED"),IF($T571="PAID","Account paid. Action completed.","Account closed. No further action required."),CHOOSE($W571,"Collection Email","1st Email Follow-up","2nd Email Follow-up","Escalation to Local Office","Escalation to CBE","Escalation to Roxanne")&amp;" sent "&amp;TEXT($X571,"dd-mmm")&amp;". "&amp;IF($W571=6,"Final escalation completed.",IF($T571="OVERDUE","Next: "&amp;$Z571&amp;" was due "&amp;TEXT($Y571,"dd-mmm")&amp;" - "&amp;(NETWORKDAYS($Y571,TODAY(),Holidays)-1)&amp;" business day(s) late. Send now.",IF($T571="DUE TOMORROW","Next: "&amp;$Z571&amp;IF($Y571&lt;=TODAY()," is due TODAY ("," is due next business day (")&amp;TEXT($Y571,"dd-mmm")&amp;").","Next: "&amp;$Z571&amp;" due "&amp;TEXT($Y571,"dd-mmm")&amp;" ("&amp;(NETWORKDAYS(TODAY(),$Y571,Holidays)-1)&amp;" business day(s) left).")))))</f>
        <v/>
      </c>
      <c r="V571" s="17">
        <f>IF($W571="","",CHOOSE($W571,"Collection Email","1st Follow-up","2nd Follow-up","Local Office","CBE","Roxanne")&amp;IF($W571=6," - Final"," - Day "&amp;MAX(0,NETWORKDAYS($X571,TODAY(),Holidays)-1)&amp;" of "&amp;CHOOSE($W571,3,3,2,2,3))&amp;" | Total Day "&amp;MAX(0,NETWORKDAYS($L571,TODAY(),Holidays)-1))</f>
        <v/>
      </c>
      <c r="W571" s="17">
        <f>IF($L571="","",COUNT($L571:$Q571))</f>
        <v/>
      </c>
      <c r="X571" s="18">
        <f>IF($W571="","",INT(INDEX($L571:$Q571,$W571)))</f>
        <v/>
      </c>
      <c r="Y571" s="18">
        <f>IF(OR($W571="",$W571=6),"",WORKDAY($X571,CHOOSE($W571,3,3,2,2,3),Holidays))</f>
        <v/>
      </c>
      <c r="Z571" s="17">
        <f>IF(OR($W571="",$W571=6),"",CHOOSE($W571,"1st Email Follow-up","2nd Email Follow-up","Escalate Local Office","Escalate to CBE","Escalate to Roxanne"))</f>
        <v/>
      </c>
    </row>
    <row r="572" spans="18:26">
      <c r="R572" s="15"/>
      <c r="S572" s="16"/>
      <c r="T572" s="17">
        <f>IF(AND(COUNTA($A572:$K572)=0,$L572=""),"",IF($S572="Paid","PAID",IF($S572="Closed","CLOSED",IF($W572="","",IF($W572=6,"ESCALATED TO ROXANNE",IF(TODAY()&gt;$Y572,"OVERDUE",IF($Y572&lt;=WORKDAY(TODAY(),1,Holidays),"DUE TOMORROW",IF($W572=4,"ESCALATED TO LOCAL OFFICE",IF($W572=5,"ESCALATED TO CBE",IF($X572=TODAY(),"EMAIL SENT","MONITORING"))))))))))</f>
        <v/>
      </c>
      <c r="U572" s="17">
        <f>IF($T572="",IF(AND(COUNTA($A572:$K572)&gt;0,$L572=""),"Awaiting Collection Email time stamp.",""),IF(OR($T572="PAID",$T572="CLOSED"),IF($T572="PAID","Account paid. Action completed.","Account closed. No further action required."),CHOOSE($W572,"Collection Email","1st Email Follow-up","2nd Email Follow-up","Escalation to Local Office","Escalation to CBE","Escalation to Roxanne")&amp;" sent "&amp;TEXT($X572,"dd-mmm")&amp;". "&amp;IF($W572=6,"Final escalation completed.",IF($T572="OVERDUE","Next: "&amp;$Z572&amp;" was due "&amp;TEXT($Y572,"dd-mmm")&amp;" - "&amp;(NETWORKDAYS($Y572,TODAY(),Holidays)-1)&amp;" business day(s) late. Send now.",IF($T572="DUE TOMORROW","Next: "&amp;$Z572&amp;IF($Y572&lt;=TODAY()," is due TODAY ("," is due next business day (")&amp;TEXT($Y572,"dd-mmm")&amp;").","Next: "&amp;$Z572&amp;" due "&amp;TEXT($Y572,"dd-mmm")&amp;" ("&amp;(NETWORKDAYS(TODAY(),$Y572,Holidays)-1)&amp;" business day(s) left).")))))</f>
        <v/>
      </c>
      <c r="V572" s="17">
        <f>IF($W572="","",CHOOSE($W572,"Collection Email","1st Follow-up","2nd Follow-up","Local Office","CBE","Roxanne")&amp;IF($W572=6," - Final"," - Day "&amp;MAX(0,NETWORKDAYS($X572,TODAY(),Holidays)-1)&amp;" of "&amp;CHOOSE($W572,3,3,2,2,3))&amp;" | Total Day "&amp;MAX(0,NETWORKDAYS($L572,TODAY(),Holidays)-1))</f>
        <v/>
      </c>
      <c r="W572" s="17">
        <f>IF($L572="","",COUNT($L572:$Q572))</f>
        <v/>
      </c>
      <c r="X572" s="18">
        <f>IF($W572="","",INT(INDEX($L572:$Q572,$W572)))</f>
        <v/>
      </c>
      <c r="Y572" s="18">
        <f>IF(OR($W572="",$W572=6),"",WORKDAY($X572,CHOOSE($W572,3,3,2,2,3),Holidays))</f>
        <v/>
      </c>
      <c r="Z572" s="17">
        <f>IF(OR($W572="",$W572=6),"",CHOOSE($W572,"1st Email Follow-up","2nd Email Follow-up","Escalate Local Office","Escalate to CBE","Escalate to Roxanne"))</f>
        <v/>
      </c>
    </row>
    <row r="573" spans="18:26">
      <c r="R573" s="15"/>
      <c r="S573" s="16"/>
      <c r="T573" s="17">
        <f>IF(AND(COUNTA($A573:$K573)=0,$L573=""),"",IF($S573="Paid","PAID",IF($S573="Closed","CLOSED",IF($W573="","",IF($W573=6,"ESCALATED TO ROXANNE",IF(TODAY()&gt;$Y573,"OVERDUE",IF($Y573&lt;=WORKDAY(TODAY(),1,Holidays),"DUE TOMORROW",IF($W573=4,"ESCALATED TO LOCAL OFFICE",IF($W573=5,"ESCALATED TO CBE",IF($X573=TODAY(),"EMAIL SENT","MONITORING"))))))))))</f>
        <v/>
      </c>
      <c r="U573" s="17">
        <f>IF($T573="",IF(AND(COUNTA($A573:$K573)&gt;0,$L573=""),"Awaiting Collection Email time stamp.",""),IF(OR($T573="PAID",$T573="CLOSED"),IF($T573="PAID","Account paid. Action completed.","Account closed. No further action required."),CHOOSE($W573,"Collection Email","1st Email Follow-up","2nd Email Follow-up","Escalation to Local Office","Escalation to CBE","Escalation to Roxanne")&amp;" sent "&amp;TEXT($X573,"dd-mmm")&amp;". "&amp;IF($W573=6,"Final escalation completed.",IF($T573="OVERDUE","Next: "&amp;$Z573&amp;" was due "&amp;TEXT($Y573,"dd-mmm")&amp;" - "&amp;(NETWORKDAYS($Y573,TODAY(),Holidays)-1)&amp;" business day(s) late. Send now.",IF($T573="DUE TOMORROW","Next: "&amp;$Z573&amp;IF($Y573&lt;=TODAY()," is due TODAY ("," is due next business day (")&amp;TEXT($Y573,"dd-mmm")&amp;").","Next: "&amp;$Z573&amp;" due "&amp;TEXT($Y573,"dd-mmm")&amp;" ("&amp;(NETWORKDAYS(TODAY(),$Y573,Holidays)-1)&amp;" business day(s) left).")))))</f>
        <v/>
      </c>
      <c r="V573" s="17">
        <f>IF($W573="","",CHOOSE($W573,"Collection Email","1st Follow-up","2nd Follow-up","Local Office","CBE","Roxanne")&amp;IF($W573=6," - Final"," - Day "&amp;MAX(0,NETWORKDAYS($X573,TODAY(),Holidays)-1)&amp;" of "&amp;CHOOSE($W573,3,3,2,2,3))&amp;" | Total Day "&amp;MAX(0,NETWORKDAYS($L573,TODAY(),Holidays)-1))</f>
        <v/>
      </c>
      <c r="W573" s="17">
        <f>IF($L573="","",COUNT($L573:$Q573))</f>
        <v/>
      </c>
      <c r="X573" s="18">
        <f>IF($W573="","",INT(INDEX($L573:$Q573,$W573)))</f>
        <v/>
      </c>
      <c r="Y573" s="18">
        <f>IF(OR($W573="",$W573=6),"",WORKDAY($X573,CHOOSE($W573,3,3,2,2,3),Holidays))</f>
        <v/>
      </c>
      <c r="Z573" s="17">
        <f>IF(OR($W573="",$W573=6),"",CHOOSE($W573,"1st Email Follow-up","2nd Email Follow-up","Escalate Local Office","Escalate to CBE","Escalate to Roxanne"))</f>
        <v/>
      </c>
    </row>
    <row r="574" spans="18:26">
      <c r="R574" s="15"/>
      <c r="S574" s="16"/>
      <c r="T574" s="17">
        <f>IF(AND(COUNTA($A574:$K574)=0,$L574=""),"",IF($S574="Paid","PAID",IF($S574="Closed","CLOSED",IF($W574="","",IF($W574=6,"ESCALATED TO ROXANNE",IF(TODAY()&gt;$Y574,"OVERDUE",IF($Y574&lt;=WORKDAY(TODAY(),1,Holidays),"DUE TOMORROW",IF($W574=4,"ESCALATED TO LOCAL OFFICE",IF($W574=5,"ESCALATED TO CBE",IF($X574=TODAY(),"EMAIL SENT","MONITORING"))))))))))</f>
        <v/>
      </c>
      <c r="U574" s="17">
        <f>IF($T574="",IF(AND(COUNTA($A574:$K574)&gt;0,$L574=""),"Awaiting Collection Email time stamp.",""),IF(OR($T574="PAID",$T574="CLOSED"),IF($T574="PAID","Account paid. Action completed.","Account closed. No further action required."),CHOOSE($W574,"Collection Email","1st Email Follow-up","2nd Email Follow-up","Escalation to Local Office","Escalation to CBE","Escalation to Roxanne")&amp;" sent "&amp;TEXT($X574,"dd-mmm")&amp;". "&amp;IF($W574=6,"Final escalation completed.",IF($T574="OVERDUE","Next: "&amp;$Z574&amp;" was due "&amp;TEXT($Y574,"dd-mmm")&amp;" - "&amp;(NETWORKDAYS($Y574,TODAY(),Holidays)-1)&amp;" business day(s) late. Send now.",IF($T574="DUE TOMORROW","Next: "&amp;$Z574&amp;IF($Y574&lt;=TODAY()," is due TODAY ("," is due next business day (")&amp;TEXT($Y574,"dd-mmm")&amp;").","Next: "&amp;$Z574&amp;" due "&amp;TEXT($Y574,"dd-mmm")&amp;" ("&amp;(NETWORKDAYS(TODAY(),$Y574,Holidays)-1)&amp;" business day(s) left).")))))</f>
        <v/>
      </c>
      <c r="V574" s="17">
        <f>IF($W574="","",CHOOSE($W574,"Collection Email","1st Follow-up","2nd Follow-up","Local Office","CBE","Roxanne")&amp;IF($W574=6," - Final"," - Day "&amp;MAX(0,NETWORKDAYS($X574,TODAY(),Holidays)-1)&amp;" of "&amp;CHOOSE($W574,3,3,2,2,3))&amp;" | Total Day "&amp;MAX(0,NETWORKDAYS($L574,TODAY(),Holidays)-1))</f>
        <v/>
      </c>
      <c r="W574" s="17">
        <f>IF($L574="","",COUNT($L574:$Q574))</f>
        <v/>
      </c>
      <c r="X574" s="18">
        <f>IF($W574="","",INT(INDEX($L574:$Q574,$W574)))</f>
        <v/>
      </c>
      <c r="Y574" s="18">
        <f>IF(OR($W574="",$W574=6),"",WORKDAY($X574,CHOOSE($W574,3,3,2,2,3),Holidays))</f>
        <v/>
      </c>
      <c r="Z574" s="17">
        <f>IF(OR($W574="",$W574=6),"",CHOOSE($W574,"1st Email Follow-up","2nd Email Follow-up","Escalate Local Office","Escalate to CBE","Escalate to Roxanne"))</f>
        <v/>
      </c>
    </row>
    <row r="575" spans="18:26">
      <c r="R575" s="15"/>
      <c r="S575" s="16"/>
      <c r="T575" s="17">
        <f>IF(AND(COUNTA($A575:$K575)=0,$L575=""),"",IF($S575="Paid","PAID",IF($S575="Closed","CLOSED",IF($W575="","",IF($W575=6,"ESCALATED TO ROXANNE",IF(TODAY()&gt;$Y575,"OVERDUE",IF($Y575&lt;=WORKDAY(TODAY(),1,Holidays),"DUE TOMORROW",IF($W575=4,"ESCALATED TO LOCAL OFFICE",IF($W575=5,"ESCALATED TO CBE",IF($X575=TODAY(),"EMAIL SENT","MONITORING"))))))))))</f>
        <v/>
      </c>
      <c r="U575" s="17">
        <f>IF($T575="",IF(AND(COUNTA($A575:$K575)&gt;0,$L575=""),"Awaiting Collection Email time stamp.",""),IF(OR($T575="PAID",$T575="CLOSED"),IF($T575="PAID","Account paid. Action completed.","Account closed. No further action required."),CHOOSE($W575,"Collection Email","1st Email Follow-up","2nd Email Follow-up","Escalation to Local Office","Escalation to CBE","Escalation to Roxanne")&amp;" sent "&amp;TEXT($X575,"dd-mmm")&amp;". "&amp;IF($W575=6,"Final escalation completed.",IF($T575="OVERDUE","Next: "&amp;$Z575&amp;" was due "&amp;TEXT($Y575,"dd-mmm")&amp;" - "&amp;(NETWORKDAYS($Y575,TODAY(),Holidays)-1)&amp;" business day(s) late. Send now.",IF($T575="DUE TOMORROW","Next: "&amp;$Z575&amp;IF($Y575&lt;=TODAY()," is due TODAY ("," is due next business day (")&amp;TEXT($Y575,"dd-mmm")&amp;").","Next: "&amp;$Z575&amp;" due "&amp;TEXT($Y575,"dd-mmm")&amp;" ("&amp;(NETWORKDAYS(TODAY(),$Y575,Holidays)-1)&amp;" business day(s) left).")))))</f>
        <v/>
      </c>
      <c r="V575" s="17">
        <f>IF($W575="","",CHOOSE($W575,"Collection Email","1st Follow-up","2nd Follow-up","Local Office","CBE","Roxanne")&amp;IF($W575=6," - Final"," - Day "&amp;MAX(0,NETWORKDAYS($X575,TODAY(),Holidays)-1)&amp;" of "&amp;CHOOSE($W575,3,3,2,2,3))&amp;" | Total Day "&amp;MAX(0,NETWORKDAYS($L575,TODAY(),Holidays)-1))</f>
        <v/>
      </c>
      <c r="W575" s="17">
        <f>IF($L575="","",COUNT($L575:$Q575))</f>
        <v/>
      </c>
      <c r="X575" s="18">
        <f>IF($W575="","",INT(INDEX($L575:$Q575,$W575)))</f>
        <v/>
      </c>
      <c r="Y575" s="18">
        <f>IF(OR($W575="",$W575=6),"",WORKDAY($X575,CHOOSE($W575,3,3,2,2,3),Holidays))</f>
        <v/>
      </c>
      <c r="Z575" s="17">
        <f>IF(OR($W575="",$W575=6),"",CHOOSE($W575,"1st Email Follow-up","2nd Email Follow-up","Escalate Local Office","Escalate to CBE","Escalate to Roxanne"))</f>
        <v/>
      </c>
    </row>
    <row r="576" spans="18:26">
      <c r="R576" s="15"/>
      <c r="S576" s="16"/>
      <c r="T576" s="17">
        <f>IF(AND(COUNTA($A576:$K576)=0,$L576=""),"",IF($S576="Paid","PAID",IF($S576="Closed","CLOSED",IF($W576="","",IF($W576=6,"ESCALATED TO ROXANNE",IF(TODAY()&gt;$Y576,"OVERDUE",IF($Y576&lt;=WORKDAY(TODAY(),1,Holidays),"DUE TOMORROW",IF($W576=4,"ESCALATED TO LOCAL OFFICE",IF($W576=5,"ESCALATED TO CBE",IF($X576=TODAY(),"EMAIL SENT","MONITORING"))))))))))</f>
        <v/>
      </c>
      <c r="U576" s="17">
        <f>IF($T576="",IF(AND(COUNTA($A576:$K576)&gt;0,$L576=""),"Awaiting Collection Email time stamp.",""),IF(OR($T576="PAID",$T576="CLOSED"),IF($T576="PAID","Account paid. Action completed.","Account closed. No further action required."),CHOOSE($W576,"Collection Email","1st Email Follow-up","2nd Email Follow-up","Escalation to Local Office","Escalation to CBE","Escalation to Roxanne")&amp;" sent "&amp;TEXT($X576,"dd-mmm")&amp;". "&amp;IF($W576=6,"Final escalation completed.",IF($T576="OVERDUE","Next: "&amp;$Z576&amp;" was due "&amp;TEXT($Y576,"dd-mmm")&amp;" - "&amp;(NETWORKDAYS($Y576,TODAY(),Holidays)-1)&amp;" business day(s) late. Send now.",IF($T576="DUE TOMORROW","Next: "&amp;$Z576&amp;IF($Y576&lt;=TODAY()," is due TODAY ("," is due next business day (")&amp;TEXT($Y576,"dd-mmm")&amp;").","Next: "&amp;$Z576&amp;" due "&amp;TEXT($Y576,"dd-mmm")&amp;" ("&amp;(NETWORKDAYS(TODAY(),$Y576,Holidays)-1)&amp;" business day(s) left).")))))</f>
        <v/>
      </c>
      <c r="V576" s="17">
        <f>IF($W576="","",CHOOSE($W576,"Collection Email","1st Follow-up","2nd Follow-up","Local Office","CBE","Roxanne")&amp;IF($W576=6," - Final"," - Day "&amp;MAX(0,NETWORKDAYS($X576,TODAY(),Holidays)-1)&amp;" of "&amp;CHOOSE($W576,3,3,2,2,3))&amp;" | Total Day "&amp;MAX(0,NETWORKDAYS($L576,TODAY(),Holidays)-1))</f>
        <v/>
      </c>
      <c r="W576" s="17">
        <f>IF($L576="","",COUNT($L576:$Q576))</f>
        <v/>
      </c>
      <c r="X576" s="18">
        <f>IF($W576="","",INT(INDEX($L576:$Q576,$W576)))</f>
        <v/>
      </c>
      <c r="Y576" s="18">
        <f>IF(OR($W576="",$W576=6),"",WORKDAY($X576,CHOOSE($W576,3,3,2,2,3),Holidays))</f>
        <v/>
      </c>
      <c r="Z576" s="17">
        <f>IF(OR($W576="",$W576=6),"",CHOOSE($W576,"1st Email Follow-up","2nd Email Follow-up","Escalate Local Office","Escalate to CBE","Escalate to Roxanne"))</f>
        <v/>
      </c>
    </row>
    <row r="577" spans="18:26">
      <c r="R577" s="15"/>
      <c r="S577" s="16"/>
      <c r="T577" s="17">
        <f>IF(AND(COUNTA($A577:$K577)=0,$L577=""),"",IF($S577="Paid","PAID",IF($S577="Closed","CLOSED",IF($W577="","",IF($W577=6,"ESCALATED TO ROXANNE",IF(TODAY()&gt;$Y577,"OVERDUE",IF($Y577&lt;=WORKDAY(TODAY(),1,Holidays),"DUE TOMORROW",IF($W577=4,"ESCALATED TO LOCAL OFFICE",IF($W577=5,"ESCALATED TO CBE",IF($X577=TODAY(),"EMAIL SENT","MONITORING"))))))))))</f>
        <v/>
      </c>
      <c r="U577" s="17">
        <f>IF($T577="",IF(AND(COUNTA($A577:$K577)&gt;0,$L577=""),"Awaiting Collection Email time stamp.",""),IF(OR($T577="PAID",$T577="CLOSED"),IF($T577="PAID","Account paid. Action completed.","Account closed. No further action required."),CHOOSE($W577,"Collection Email","1st Email Follow-up","2nd Email Follow-up","Escalation to Local Office","Escalation to CBE","Escalation to Roxanne")&amp;" sent "&amp;TEXT($X577,"dd-mmm")&amp;". "&amp;IF($W577=6,"Final escalation completed.",IF($T577="OVERDUE","Next: "&amp;$Z577&amp;" was due "&amp;TEXT($Y577,"dd-mmm")&amp;" - "&amp;(NETWORKDAYS($Y577,TODAY(),Holidays)-1)&amp;" business day(s) late. Send now.",IF($T577="DUE TOMORROW","Next: "&amp;$Z577&amp;IF($Y577&lt;=TODAY()," is due TODAY ("," is due next business day (")&amp;TEXT($Y577,"dd-mmm")&amp;").","Next: "&amp;$Z577&amp;" due "&amp;TEXT($Y577,"dd-mmm")&amp;" ("&amp;(NETWORKDAYS(TODAY(),$Y577,Holidays)-1)&amp;" business day(s) left).")))))</f>
        <v/>
      </c>
      <c r="V577" s="17">
        <f>IF($W577="","",CHOOSE($W577,"Collection Email","1st Follow-up","2nd Follow-up","Local Office","CBE","Roxanne")&amp;IF($W577=6," - Final"," - Day "&amp;MAX(0,NETWORKDAYS($X577,TODAY(),Holidays)-1)&amp;" of "&amp;CHOOSE($W577,3,3,2,2,3))&amp;" | Total Day "&amp;MAX(0,NETWORKDAYS($L577,TODAY(),Holidays)-1))</f>
        <v/>
      </c>
      <c r="W577" s="17">
        <f>IF($L577="","",COUNT($L577:$Q577))</f>
        <v/>
      </c>
      <c r="X577" s="18">
        <f>IF($W577="","",INT(INDEX($L577:$Q577,$W577)))</f>
        <v/>
      </c>
      <c r="Y577" s="18">
        <f>IF(OR($W577="",$W577=6),"",WORKDAY($X577,CHOOSE($W577,3,3,2,2,3),Holidays))</f>
        <v/>
      </c>
      <c r="Z577" s="17">
        <f>IF(OR($W577="",$W577=6),"",CHOOSE($W577,"1st Email Follow-up","2nd Email Follow-up","Escalate Local Office","Escalate to CBE","Escalate to Roxanne"))</f>
        <v/>
      </c>
    </row>
    <row r="578" spans="18:26">
      <c r="R578" s="15"/>
      <c r="S578" s="16"/>
      <c r="T578" s="17">
        <f>IF(AND(COUNTA($A578:$K578)=0,$L578=""),"",IF($S578="Paid","PAID",IF($S578="Closed","CLOSED",IF($W578="","",IF($W578=6,"ESCALATED TO ROXANNE",IF(TODAY()&gt;$Y578,"OVERDUE",IF($Y578&lt;=WORKDAY(TODAY(),1,Holidays),"DUE TOMORROW",IF($W578=4,"ESCALATED TO LOCAL OFFICE",IF($W578=5,"ESCALATED TO CBE",IF($X578=TODAY(),"EMAIL SENT","MONITORING"))))))))))</f>
        <v/>
      </c>
      <c r="U578" s="17">
        <f>IF($T578="",IF(AND(COUNTA($A578:$K578)&gt;0,$L578=""),"Awaiting Collection Email time stamp.",""),IF(OR($T578="PAID",$T578="CLOSED"),IF($T578="PAID","Account paid. Action completed.","Account closed. No further action required."),CHOOSE($W578,"Collection Email","1st Email Follow-up","2nd Email Follow-up","Escalation to Local Office","Escalation to CBE","Escalation to Roxanne")&amp;" sent "&amp;TEXT($X578,"dd-mmm")&amp;". "&amp;IF($W578=6,"Final escalation completed.",IF($T578="OVERDUE","Next: "&amp;$Z578&amp;" was due "&amp;TEXT($Y578,"dd-mmm")&amp;" - "&amp;(NETWORKDAYS($Y578,TODAY(),Holidays)-1)&amp;" business day(s) late. Send now.",IF($T578="DUE TOMORROW","Next: "&amp;$Z578&amp;IF($Y578&lt;=TODAY()," is due TODAY ("," is due next business day (")&amp;TEXT($Y578,"dd-mmm")&amp;").","Next: "&amp;$Z578&amp;" due "&amp;TEXT($Y578,"dd-mmm")&amp;" ("&amp;(NETWORKDAYS(TODAY(),$Y578,Holidays)-1)&amp;" business day(s) left).")))))</f>
        <v/>
      </c>
      <c r="V578" s="17">
        <f>IF($W578="","",CHOOSE($W578,"Collection Email","1st Follow-up","2nd Follow-up","Local Office","CBE","Roxanne")&amp;IF($W578=6," - Final"," - Day "&amp;MAX(0,NETWORKDAYS($X578,TODAY(),Holidays)-1)&amp;" of "&amp;CHOOSE($W578,3,3,2,2,3))&amp;" | Total Day "&amp;MAX(0,NETWORKDAYS($L578,TODAY(),Holidays)-1))</f>
        <v/>
      </c>
      <c r="W578" s="17">
        <f>IF($L578="","",COUNT($L578:$Q578))</f>
        <v/>
      </c>
      <c r="X578" s="18">
        <f>IF($W578="","",INT(INDEX($L578:$Q578,$W578)))</f>
        <v/>
      </c>
      <c r="Y578" s="18">
        <f>IF(OR($W578="",$W578=6),"",WORKDAY($X578,CHOOSE($W578,3,3,2,2,3),Holidays))</f>
        <v/>
      </c>
      <c r="Z578" s="17">
        <f>IF(OR($W578="",$W578=6),"",CHOOSE($W578,"1st Email Follow-up","2nd Email Follow-up","Escalate Local Office","Escalate to CBE","Escalate to Roxanne"))</f>
        <v/>
      </c>
    </row>
    <row r="579" spans="18:26">
      <c r="R579" s="15"/>
      <c r="S579" s="16"/>
      <c r="T579" s="17">
        <f>IF(AND(COUNTA($A579:$K579)=0,$L579=""),"",IF($S579="Paid","PAID",IF($S579="Closed","CLOSED",IF($W579="","",IF($W579=6,"ESCALATED TO ROXANNE",IF(TODAY()&gt;$Y579,"OVERDUE",IF($Y579&lt;=WORKDAY(TODAY(),1,Holidays),"DUE TOMORROW",IF($W579=4,"ESCALATED TO LOCAL OFFICE",IF($W579=5,"ESCALATED TO CBE",IF($X579=TODAY(),"EMAIL SENT","MONITORING"))))))))))</f>
        <v/>
      </c>
      <c r="U579" s="17">
        <f>IF($T579="",IF(AND(COUNTA($A579:$K579)&gt;0,$L579=""),"Awaiting Collection Email time stamp.",""),IF(OR($T579="PAID",$T579="CLOSED"),IF($T579="PAID","Account paid. Action completed.","Account closed. No further action required."),CHOOSE($W579,"Collection Email","1st Email Follow-up","2nd Email Follow-up","Escalation to Local Office","Escalation to CBE","Escalation to Roxanne")&amp;" sent "&amp;TEXT($X579,"dd-mmm")&amp;". "&amp;IF($W579=6,"Final escalation completed.",IF($T579="OVERDUE","Next: "&amp;$Z579&amp;" was due "&amp;TEXT($Y579,"dd-mmm")&amp;" - "&amp;(NETWORKDAYS($Y579,TODAY(),Holidays)-1)&amp;" business day(s) late. Send now.",IF($T579="DUE TOMORROW","Next: "&amp;$Z579&amp;IF($Y579&lt;=TODAY()," is due TODAY ("," is due next business day (")&amp;TEXT($Y579,"dd-mmm")&amp;").","Next: "&amp;$Z579&amp;" due "&amp;TEXT($Y579,"dd-mmm")&amp;" ("&amp;(NETWORKDAYS(TODAY(),$Y579,Holidays)-1)&amp;" business day(s) left).")))))</f>
        <v/>
      </c>
      <c r="V579" s="17">
        <f>IF($W579="","",CHOOSE($W579,"Collection Email","1st Follow-up","2nd Follow-up","Local Office","CBE","Roxanne")&amp;IF($W579=6," - Final"," - Day "&amp;MAX(0,NETWORKDAYS($X579,TODAY(),Holidays)-1)&amp;" of "&amp;CHOOSE($W579,3,3,2,2,3))&amp;" | Total Day "&amp;MAX(0,NETWORKDAYS($L579,TODAY(),Holidays)-1))</f>
        <v/>
      </c>
      <c r="W579" s="17">
        <f>IF($L579="","",COUNT($L579:$Q579))</f>
        <v/>
      </c>
      <c r="X579" s="18">
        <f>IF($W579="","",INT(INDEX($L579:$Q579,$W579)))</f>
        <v/>
      </c>
      <c r="Y579" s="18">
        <f>IF(OR($W579="",$W579=6),"",WORKDAY($X579,CHOOSE($W579,3,3,2,2,3),Holidays))</f>
        <v/>
      </c>
      <c r="Z579" s="17">
        <f>IF(OR($W579="",$W579=6),"",CHOOSE($W579,"1st Email Follow-up","2nd Email Follow-up","Escalate Local Office","Escalate to CBE","Escalate to Roxanne"))</f>
        <v/>
      </c>
    </row>
    <row r="580" spans="18:26">
      <c r="R580" s="15"/>
      <c r="S580" s="16"/>
      <c r="T580" s="17">
        <f>IF(AND(COUNTA($A580:$K580)=0,$L580=""),"",IF($S580="Paid","PAID",IF($S580="Closed","CLOSED",IF($W580="","",IF($W580=6,"ESCALATED TO ROXANNE",IF(TODAY()&gt;$Y580,"OVERDUE",IF($Y580&lt;=WORKDAY(TODAY(),1,Holidays),"DUE TOMORROW",IF($W580=4,"ESCALATED TO LOCAL OFFICE",IF($W580=5,"ESCALATED TO CBE",IF($X580=TODAY(),"EMAIL SENT","MONITORING"))))))))))</f>
        <v/>
      </c>
      <c r="U580" s="17">
        <f>IF($T580="",IF(AND(COUNTA($A580:$K580)&gt;0,$L580=""),"Awaiting Collection Email time stamp.",""),IF(OR($T580="PAID",$T580="CLOSED"),IF($T580="PAID","Account paid. Action completed.","Account closed. No further action required."),CHOOSE($W580,"Collection Email","1st Email Follow-up","2nd Email Follow-up","Escalation to Local Office","Escalation to CBE","Escalation to Roxanne")&amp;" sent "&amp;TEXT($X580,"dd-mmm")&amp;". "&amp;IF($W580=6,"Final escalation completed.",IF($T580="OVERDUE","Next: "&amp;$Z580&amp;" was due "&amp;TEXT($Y580,"dd-mmm")&amp;" - "&amp;(NETWORKDAYS($Y580,TODAY(),Holidays)-1)&amp;" business day(s) late. Send now.",IF($T580="DUE TOMORROW","Next: "&amp;$Z580&amp;IF($Y580&lt;=TODAY()," is due TODAY ("," is due next business day (")&amp;TEXT($Y580,"dd-mmm")&amp;").","Next: "&amp;$Z580&amp;" due "&amp;TEXT($Y580,"dd-mmm")&amp;" ("&amp;(NETWORKDAYS(TODAY(),$Y580,Holidays)-1)&amp;" business day(s) left).")))))</f>
        <v/>
      </c>
      <c r="V580" s="17">
        <f>IF($W580="","",CHOOSE($W580,"Collection Email","1st Follow-up","2nd Follow-up","Local Office","CBE","Roxanne")&amp;IF($W580=6," - Final"," - Day "&amp;MAX(0,NETWORKDAYS($X580,TODAY(),Holidays)-1)&amp;" of "&amp;CHOOSE($W580,3,3,2,2,3))&amp;" | Total Day "&amp;MAX(0,NETWORKDAYS($L580,TODAY(),Holidays)-1))</f>
        <v/>
      </c>
      <c r="W580" s="17">
        <f>IF($L580="","",COUNT($L580:$Q580))</f>
        <v/>
      </c>
      <c r="X580" s="18">
        <f>IF($W580="","",INT(INDEX($L580:$Q580,$W580)))</f>
        <v/>
      </c>
      <c r="Y580" s="18">
        <f>IF(OR($W580="",$W580=6),"",WORKDAY($X580,CHOOSE($W580,3,3,2,2,3),Holidays))</f>
        <v/>
      </c>
      <c r="Z580" s="17">
        <f>IF(OR($W580="",$W580=6),"",CHOOSE($W580,"1st Email Follow-up","2nd Email Follow-up","Escalate Local Office","Escalate to CBE","Escalate to Roxanne"))</f>
        <v/>
      </c>
    </row>
    <row r="581" spans="18:26">
      <c r="R581" s="15"/>
      <c r="S581" s="16"/>
      <c r="T581" s="17">
        <f>IF(AND(COUNTA($A581:$K581)=0,$L581=""),"",IF($S581="Paid","PAID",IF($S581="Closed","CLOSED",IF($W581="","",IF($W581=6,"ESCALATED TO ROXANNE",IF(TODAY()&gt;$Y581,"OVERDUE",IF($Y581&lt;=WORKDAY(TODAY(),1,Holidays),"DUE TOMORROW",IF($W581=4,"ESCALATED TO LOCAL OFFICE",IF($W581=5,"ESCALATED TO CBE",IF($X581=TODAY(),"EMAIL SENT","MONITORING"))))))))))</f>
        <v/>
      </c>
      <c r="U581" s="17">
        <f>IF($T581="",IF(AND(COUNTA($A581:$K581)&gt;0,$L581=""),"Awaiting Collection Email time stamp.",""),IF(OR($T581="PAID",$T581="CLOSED"),IF($T581="PAID","Account paid. Action completed.","Account closed. No further action required."),CHOOSE($W581,"Collection Email","1st Email Follow-up","2nd Email Follow-up","Escalation to Local Office","Escalation to CBE","Escalation to Roxanne")&amp;" sent "&amp;TEXT($X581,"dd-mmm")&amp;". "&amp;IF($W581=6,"Final escalation completed.",IF($T581="OVERDUE","Next: "&amp;$Z581&amp;" was due "&amp;TEXT($Y581,"dd-mmm")&amp;" - "&amp;(NETWORKDAYS($Y581,TODAY(),Holidays)-1)&amp;" business day(s) late. Send now.",IF($T581="DUE TOMORROW","Next: "&amp;$Z581&amp;IF($Y581&lt;=TODAY()," is due TODAY ("," is due next business day (")&amp;TEXT($Y581,"dd-mmm")&amp;").","Next: "&amp;$Z581&amp;" due "&amp;TEXT($Y581,"dd-mmm")&amp;" ("&amp;(NETWORKDAYS(TODAY(),$Y581,Holidays)-1)&amp;" business day(s) left).")))))</f>
        <v/>
      </c>
      <c r="V581" s="17">
        <f>IF($W581="","",CHOOSE($W581,"Collection Email","1st Follow-up","2nd Follow-up","Local Office","CBE","Roxanne")&amp;IF($W581=6," - Final"," - Day "&amp;MAX(0,NETWORKDAYS($X581,TODAY(),Holidays)-1)&amp;" of "&amp;CHOOSE($W581,3,3,2,2,3))&amp;" | Total Day "&amp;MAX(0,NETWORKDAYS($L581,TODAY(),Holidays)-1))</f>
        <v/>
      </c>
      <c r="W581" s="17">
        <f>IF($L581="","",COUNT($L581:$Q581))</f>
        <v/>
      </c>
      <c r="X581" s="18">
        <f>IF($W581="","",INT(INDEX($L581:$Q581,$W581)))</f>
        <v/>
      </c>
      <c r="Y581" s="18">
        <f>IF(OR($W581="",$W581=6),"",WORKDAY($X581,CHOOSE($W581,3,3,2,2,3),Holidays))</f>
        <v/>
      </c>
      <c r="Z581" s="17">
        <f>IF(OR($W581="",$W581=6),"",CHOOSE($W581,"1st Email Follow-up","2nd Email Follow-up","Escalate Local Office","Escalate to CBE","Escalate to Roxanne"))</f>
        <v/>
      </c>
    </row>
    <row r="582" spans="18:26">
      <c r="R582" s="15"/>
      <c r="S582" s="16"/>
      <c r="T582" s="17">
        <f>IF(AND(COUNTA($A582:$K582)=0,$L582=""),"",IF($S582="Paid","PAID",IF($S582="Closed","CLOSED",IF($W582="","",IF($W582=6,"ESCALATED TO ROXANNE",IF(TODAY()&gt;$Y582,"OVERDUE",IF($Y582&lt;=WORKDAY(TODAY(),1,Holidays),"DUE TOMORROW",IF($W582=4,"ESCALATED TO LOCAL OFFICE",IF($W582=5,"ESCALATED TO CBE",IF($X582=TODAY(),"EMAIL SENT","MONITORING"))))))))))</f>
        <v/>
      </c>
      <c r="U582" s="17">
        <f>IF($T582="",IF(AND(COUNTA($A582:$K582)&gt;0,$L582=""),"Awaiting Collection Email time stamp.",""),IF(OR($T582="PAID",$T582="CLOSED"),IF($T582="PAID","Account paid. Action completed.","Account closed. No further action required."),CHOOSE($W582,"Collection Email","1st Email Follow-up","2nd Email Follow-up","Escalation to Local Office","Escalation to CBE","Escalation to Roxanne")&amp;" sent "&amp;TEXT($X582,"dd-mmm")&amp;". "&amp;IF($W582=6,"Final escalation completed.",IF($T582="OVERDUE","Next: "&amp;$Z582&amp;" was due "&amp;TEXT($Y582,"dd-mmm")&amp;" - "&amp;(NETWORKDAYS($Y582,TODAY(),Holidays)-1)&amp;" business day(s) late. Send now.",IF($T582="DUE TOMORROW","Next: "&amp;$Z582&amp;IF($Y582&lt;=TODAY()," is due TODAY ("," is due next business day (")&amp;TEXT($Y582,"dd-mmm")&amp;").","Next: "&amp;$Z582&amp;" due "&amp;TEXT($Y582,"dd-mmm")&amp;" ("&amp;(NETWORKDAYS(TODAY(),$Y582,Holidays)-1)&amp;" business day(s) left).")))))</f>
        <v/>
      </c>
      <c r="V582" s="17">
        <f>IF($W582="","",CHOOSE($W582,"Collection Email","1st Follow-up","2nd Follow-up","Local Office","CBE","Roxanne")&amp;IF($W582=6," - Final"," - Day "&amp;MAX(0,NETWORKDAYS($X582,TODAY(),Holidays)-1)&amp;" of "&amp;CHOOSE($W582,3,3,2,2,3))&amp;" | Total Day "&amp;MAX(0,NETWORKDAYS($L582,TODAY(),Holidays)-1))</f>
        <v/>
      </c>
      <c r="W582" s="17">
        <f>IF($L582="","",COUNT($L582:$Q582))</f>
        <v/>
      </c>
      <c r="X582" s="18">
        <f>IF($W582="","",INT(INDEX($L582:$Q582,$W582)))</f>
        <v/>
      </c>
      <c r="Y582" s="18">
        <f>IF(OR($W582="",$W582=6),"",WORKDAY($X582,CHOOSE($W582,3,3,2,2,3),Holidays))</f>
        <v/>
      </c>
      <c r="Z582" s="17">
        <f>IF(OR($W582="",$W582=6),"",CHOOSE($W582,"1st Email Follow-up","2nd Email Follow-up","Escalate Local Office","Escalate to CBE","Escalate to Roxanne"))</f>
        <v/>
      </c>
    </row>
    <row r="583" spans="18:26">
      <c r="R583" s="15"/>
      <c r="S583" s="16"/>
      <c r="T583" s="17">
        <f>IF(AND(COUNTA($A583:$K583)=0,$L583=""),"",IF($S583="Paid","PAID",IF($S583="Closed","CLOSED",IF($W583="","",IF($W583=6,"ESCALATED TO ROXANNE",IF(TODAY()&gt;$Y583,"OVERDUE",IF($Y583&lt;=WORKDAY(TODAY(),1,Holidays),"DUE TOMORROW",IF($W583=4,"ESCALATED TO LOCAL OFFICE",IF($W583=5,"ESCALATED TO CBE",IF($X583=TODAY(),"EMAIL SENT","MONITORING"))))))))))</f>
        <v/>
      </c>
      <c r="U583" s="17">
        <f>IF($T583="",IF(AND(COUNTA($A583:$K583)&gt;0,$L583=""),"Awaiting Collection Email time stamp.",""),IF(OR($T583="PAID",$T583="CLOSED"),IF($T583="PAID","Account paid. Action completed.","Account closed. No further action required."),CHOOSE($W583,"Collection Email","1st Email Follow-up","2nd Email Follow-up","Escalation to Local Office","Escalation to CBE","Escalation to Roxanne")&amp;" sent "&amp;TEXT($X583,"dd-mmm")&amp;". "&amp;IF($W583=6,"Final escalation completed.",IF($T583="OVERDUE","Next: "&amp;$Z583&amp;" was due "&amp;TEXT($Y583,"dd-mmm")&amp;" - "&amp;(NETWORKDAYS($Y583,TODAY(),Holidays)-1)&amp;" business day(s) late. Send now.",IF($T583="DUE TOMORROW","Next: "&amp;$Z583&amp;IF($Y583&lt;=TODAY()," is due TODAY ("," is due next business day (")&amp;TEXT($Y583,"dd-mmm")&amp;").","Next: "&amp;$Z583&amp;" due "&amp;TEXT($Y583,"dd-mmm")&amp;" ("&amp;(NETWORKDAYS(TODAY(),$Y583,Holidays)-1)&amp;" business day(s) left).")))))</f>
        <v/>
      </c>
      <c r="V583" s="17">
        <f>IF($W583="","",CHOOSE($W583,"Collection Email","1st Follow-up","2nd Follow-up","Local Office","CBE","Roxanne")&amp;IF($W583=6," - Final"," - Day "&amp;MAX(0,NETWORKDAYS($X583,TODAY(),Holidays)-1)&amp;" of "&amp;CHOOSE($W583,3,3,2,2,3))&amp;" | Total Day "&amp;MAX(0,NETWORKDAYS($L583,TODAY(),Holidays)-1))</f>
        <v/>
      </c>
      <c r="W583" s="17">
        <f>IF($L583="","",COUNT($L583:$Q583))</f>
        <v/>
      </c>
      <c r="X583" s="18">
        <f>IF($W583="","",INT(INDEX($L583:$Q583,$W583)))</f>
        <v/>
      </c>
      <c r="Y583" s="18">
        <f>IF(OR($W583="",$W583=6),"",WORKDAY($X583,CHOOSE($W583,3,3,2,2,3),Holidays))</f>
        <v/>
      </c>
      <c r="Z583" s="17">
        <f>IF(OR($W583="",$W583=6),"",CHOOSE($W583,"1st Email Follow-up","2nd Email Follow-up","Escalate Local Office","Escalate to CBE","Escalate to Roxanne"))</f>
        <v/>
      </c>
    </row>
    <row r="584" spans="18:26">
      <c r="R584" s="15"/>
      <c r="S584" s="16"/>
      <c r="T584" s="17">
        <f>IF(AND(COUNTA($A584:$K584)=0,$L584=""),"",IF($S584="Paid","PAID",IF($S584="Closed","CLOSED",IF($W584="","",IF($W584=6,"ESCALATED TO ROXANNE",IF(TODAY()&gt;$Y584,"OVERDUE",IF($Y584&lt;=WORKDAY(TODAY(),1,Holidays),"DUE TOMORROW",IF($W584=4,"ESCALATED TO LOCAL OFFICE",IF($W584=5,"ESCALATED TO CBE",IF($X584=TODAY(),"EMAIL SENT","MONITORING"))))))))))</f>
        <v/>
      </c>
      <c r="U584" s="17">
        <f>IF($T584="",IF(AND(COUNTA($A584:$K584)&gt;0,$L584=""),"Awaiting Collection Email time stamp.",""),IF(OR($T584="PAID",$T584="CLOSED"),IF($T584="PAID","Account paid. Action completed.","Account closed. No further action required."),CHOOSE($W584,"Collection Email","1st Email Follow-up","2nd Email Follow-up","Escalation to Local Office","Escalation to CBE","Escalation to Roxanne")&amp;" sent "&amp;TEXT($X584,"dd-mmm")&amp;". "&amp;IF($W584=6,"Final escalation completed.",IF($T584="OVERDUE","Next: "&amp;$Z584&amp;" was due "&amp;TEXT($Y584,"dd-mmm")&amp;" - "&amp;(NETWORKDAYS($Y584,TODAY(),Holidays)-1)&amp;" business day(s) late. Send now.",IF($T584="DUE TOMORROW","Next: "&amp;$Z584&amp;IF($Y584&lt;=TODAY()," is due TODAY ("," is due next business day (")&amp;TEXT($Y584,"dd-mmm")&amp;").","Next: "&amp;$Z584&amp;" due "&amp;TEXT($Y584,"dd-mmm")&amp;" ("&amp;(NETWORKDAYS(TODAY(),$Y584,Holidays)-1)&amp;" business day(s) left).")))))</f>
        <v/>
      </c>
      <c r="V584" s="17">
        <f>IF($W584="","",CHOOSE($W584,"Collection Email","1st Follow-up","2nd Follow-up","Local Office","CBE","Roxanne")&amp;IF($W584=6," - Final"," - Day "&amp;MAX(0,NETWORKDAYS($X584,TODAY(),Holidays)-1)&amp;" of "&amp;CHOOSE($W584,3,3,2,2,3))&amp;" | Total Day "&amp;MAX(0,NETWORKDAYS($L584,TODAY(),Holidays)-1))</f>
        <v/>
      </c>
      <c r="W584" s="17">
        <f>IF($L584="","",COUNT($L584:$Q584))</f>
        <v/>
      </c>
      <c r="X584" s="18">
        <f>IF($W584="","",INT(INDEX($L584:$Q584,$W584)))</f>
        <v/>
      </c>
      <c r="Y584" s="18">
        <f>IF(OR($W584="",$W584=6),"",WORKDAY($X584,CHOOSE($W584,3,3,2,2,3),Holidays))</f>
        <v/>
      </c>
      <c r="Z584" s="17">
        <f>IF(OR($W584="",$W584=6),"",CHOOSE($W584,"1st Email Follow-up","2nd Email Follow-up","Escalate Local Office","Escalate to CBE","Escalate to Roxanne"))</f>
        <v/>
      </c>
    </row>
    <row r="585" spans="18:26">
      <c r="R585" s="15"/>
      <c r="S585" s="16"/>
      <c r="T585" s="17">
        <f>IF(AND(COUNTA($A585:$K585)=0,$L585=""),"",IF($S585="Paid","PAID",IF($S585="Closed","CLOSED",IF($W585="","",IF($W585=6,"ESCALATED TO ROXANNE",IF(TODAY()&gt;$Y585,"OVERDUE",IF($Y585&lt;=WORKDAY(TODAY(),1,Holidays),"DUE TOMORROW",IF($W585=4,"ESCALATED TO LOCAL OFFICE",IF($W585=5,"ESCALATED TO CBE",IF($X585=TODAY(),"EMAIL SENT","MONITORING"))))))))))</f>
        <v/>
      </c>
      <c r="U585" s="17">
        <f>IF($T585="",IF(AND(COUNTA($A585:$K585)&gt;0,$L585=""),"Awaiting Collection Email time stamp.",""),IF(OR($T585="PAID",$T585="CLOSED"),IF($T585="PAID","Account paid. Action completed.","Account closed. No further action required."),CHOOSE($W585,"Collection Email","1st Email Follow-up","2nd Email Follow-up","Escalation to Local Office","Escalation to CBE","Escalation to Roxanne")&amp;" sent "&amp;TEXT($X585,"dd-mmm")&amp;". "&amp;IF($W585=6,"Final escalation completed.",IF($T585="OVERDUE","Next: "&amp;$Z585&amp;" was due "&amp;TEXT($Y585,"dd-mmm")&amp;" - "&amp;(NETWORKDAYS($Y585,TODAY(),Holidays)-1)&amp;" business day(s) late. Send now.",IF($T585="DUE TOMORROW","Next: "&amp;$Z585&amp;IF($Y585&lt;=TODAY()," is due TODAY ("," is due next business day (")&amp;TEXT($Y585,"dd-mmm")&amp;").","Next: "&amp;$Z585&amp;" due "&amp;TEXT($Y585,"dd-mmm")&amp;" ("&amp;(NETWORKDAYS(TODAY(),$Y585,Holidays)-1)&amp;" business day(s) left).")))))</f>
        <v/>
      </c>
      <c r="V585" s="17">
        <f>IF($W585="","",CHOOSE($W585,"Collection Email","1st Follow-up","2nd Follow-up","Local Office","CBE","Roxanne")&amp;IF($W585=6," - Final"," - Day "&amp;MAX(0,NETWORKDAYS($X585,TODAY(),Holidays)-1)&amp;" of "&amp;CHOOSE($W585,3,3,2,2,3))&amp;" | Total Day "&amp;MAX(0,NETWORKDAYS($L585,TODAY(),Holidays)-1))</f>
        <v/>
      </c>
      <c r="W585" s="17">
        <f>IF($L585="","",COUNT($L585:$Q585))</f>
        <v/>
      </c>
      <c r="X585" s="18">
        <f>IF($W585="","",INT(INDEX($L585:$Q585,$W585)))</f>
        <v/>
      </c>
      <c r="Y585" s="18">
        <f>IF(OR($W585="",$W585=6),"",WORKDAY($X585,CHOOSE($W585,3,3,2,2,3),Holidays))</f>
        <v/>
      </c>
      <c r="Z585" s="17">
        <f>IF(OR($W585="",$W585=6),"",CHOOSE($W585,"1st Email Follow-up","2nd Email Follow-up","Escalate Local Office","Escalate to CBE","Escalate to Roxanne"))</f>
        <v/>
      </c>
    </row>
    <row r="586" spans="18:26">
      <c r="R586" s="15"/>
      <c r="S586" s="16"/>
      <c r="T586" s="17">
        <f>IF(AND(COUNTA($A586:$K586)=0,$L586=""),"",IF($S586="Paid","PAID",IF($S586="Closed","CLOSED",IF($W586="","",IF($W586=6,"ESCALATED TO ROXANNE",IF(TODAY()&gt;$Y586,"OVERDUE",IF($Y586&lt;=WORKDAY(TODAY(),1,Holidays),"DUE TOMORROW",IF($W586=4,"ESCALATED TO LOCAL OFFICE",IF($W586=5,"ESCALATED TO CBE",IF($X586=TODAY(),"EMAIL SENT","MONITORING"))))))))))</f>
        <v/>
      </c>
      <c r="U586" s="17">
        <f>IF($T586="",IF(AND(COUNTA($A586:$K586)&gt;0,$L586=""),"Awaiting Collection Email time stamp.",""),IF(OR($T586="PAID",$T586="CLOSED"),IF($T586="PAID","Account paid. Action completed.","Account closed. No further action required."),CHOOSE($W586,"Collection Email","1st Email Follow-up","2nd Email Follow-up","Escalation to Local Office","Escalation to CBE","Escalation to Roxanne")&amp;" sent "&amp;TEXT($X586,"dd-mmm")&amp;". "&amp;IF($W586=6,"Final escalation completed.",IF($T586="OVERDUE","Next: "&amp;$Z586&amp;" was due "&amp;TEXT($Y586,"dd-mmm")&amp;" - "&amp;(NETWORKDAYS($Y586,TODAY(),Holidays)-1)&amp;" business day(s) late. Send now.",IF($T586="DUE TOMORROW","Next: "&amp;$Z586&amp;IF($Y586&lt;=TODAY()," is due TODAY ("," is due next business day (")&amp;TEXT($Y586,"dd-mmm")&amp;").","Next: "&amp;$Z586&amp;" due "&amp;TEXT($Y586,"dd-mmm")&amp;" ("&amp;(NETWORKDAYS(TODAY(),$Y586,Holidays)-1)&amp;" business day(s) left).")))))</f>
        <v/>
      </c>
      <c r="V586" s="17">
        <f>IF($W586="","",CHOOSE($W586,"Collection Email","1st Follow-up","2nd Follow-up","Local Office","CBE","Roxanne")&amp;IF($W586=6," - Final"," - Day "&amp;MAX(0,NETWORKDAYS($X586,TODAY(),Holidays)-1)&amp;" of "&amp;CHOOSE($W586,3,3,2,2,3))&amp;" | Total Day "&amp;MAX(0,NETWORKDAYS($L586,TODAY(),Holidays)-1))</f>
        <v/>
      </c>
      <c r="W586" s="17">
        <f>IF($L586="","",COUNT($L586:$Q586))</f>
        <v/>
      </c>
      <c r="X586" s="18">
        <f>IF($W586="","",INT(INDEX($L586:$Q586,$W586)))</f>
        <v/>
      </c>
      <c r="Y586" s="18">
        <f>IF(OR($W586="",$W586=6),"",WORKDAY($X586,CHOOSE($W586,3,3,2,2,3),Holidays))</f>
        <v/>
      </c>
      <c r="Z586" s="17">
        <f>IF(OR($W586="",$W586=6),"",CHOOSE($W586,"1st Email Follow-up","2nd Email Follow-up","Escalate Local Office","Escalate to CBE","Escalate to Roxanne"))</f>
        <v/>
      </c>
    </row>
    <row r="587" spans="18:26">
      <c r="R587" s="15"/>
      <c r="S587" s="16"/>
      <c r="T587" s="17">
        <f>IF(AND(COUNTA($A587:$K587)=0,$L587=""),"",IF($S587="Paid","PAID",IF($S587="Closed","CLOSED",IF($W587="","",IF($W587=6,"ESCALATED TO ROXANNE",IF(TODAY()&gt;$Y587,"OVERDUE",IF($Y587&lt;=WORKDAY(TODAY(),1,Holidays),"DUE TOMORROW",IF($W587=4,"ESCALATED TO LOCAL OFFICE",IF($W587=5,"ESCALATED TO CBE",IF($X587=TODAY(),"EMAIL SENT","MONITORING"))))))))))</f>
        <v/>
      </c>
      <c r="U587" s="17">
        <f>IF($T587="",IF(AND(COUNTA($A587:$K587)&gt;0,$L587=""),"Awaiting Collection Email time stamp.",""),IF(OR($T587="PAID",$T587="CLOSED"),IF($T587="PAID","Account paid. Action completed.","Account closed. No further action required."),CHOOSE($W587,"Collection Email","1st Email Follow-up","2nd Email Follow-up","Escalation to Local Office","Escalation to CBE","Escalation to Roxanne")&amp;" sent "&amp;TEXT($X587,"dd-mmm")&amp;". "&amp;IF($W587=6,"Final escalation completed.",IF($T587="OVERDUE","Next: "&amp;$Z587&amp;" was due "&amp;TEXT($Y587,"dd-mmm")&amp;" - "&amp;(NETWORKDAYS($Y587,TODAY(),Holidays)-1)&amp;" business day(s) late. Send now.",IF($T587="DUE TOMORROW","Next: "&amp;$Z587&amp;IF($Y587&lt;=TODAY()," is due TODAY ("," is due next business day (")&amp;TEXT($Y587,"dd-mmm")&amp;").","Next: "&amp;$Z587&amp;" due "&amp;TEXT($Y587,"dd-mmm")&amp;" ("&amp;(NETWORKDAYS(TODAY(),$Y587,Holidays)-1)&amp;" business day(s) left).")))))</f>
        <v/>
      </c>
      <c r="V587" s="17">
        <f>IF($W587="","",CHOOSE($W587,"Collection Email","1st Follow-up","2nd Follow-up","Local Office","CBE","Roxanne")&amp;IF($W587=6," - Final"," - Day "&amp;MAX(0,NETWORKDAYS($X587,TODAY(),Holidays)-1)&amp;" of "&amp;CHOOSE($W587,3,3,2,2,3))&amp;" | Total Day "&amp;MAX(0,NETWORKDAYS($L587,TODAY(),Holidays)-1))</f>
        <v/>
      </c>
      <c r="W587" s="17">
        <f>IF($L587="","",COUNT($L587:$Q587))</f>
        <v/>
      </c>
      <c r="X587" s="18">
        <f>IF($W587="","",INT(INDEX($L587:$Q587,$W587)))</f>
        <v/>
      </c>
      <c r="Y587" s="18">
        <f>IF(OR($W587="",$W587=6),"",WORKDAY($X587,CHOOSE($W587,3,3,2,2,3),Holidays))</f>
        <v/>
      </c>
      <c r="Z587" s="17">
        <f>IF(OR($W587="",$W587=6),"",CHOOSE($W587,"1st Email Follow-up","2nd Email Follow-up","Escalate Local Office","Escalate to CBE","Escalate to Roxanne"))</f>
        <v/>
      </c>
    </row>
    <row r="588" spans="18:26">
      <c r="R588" s="15"/>
      <c r="S588" s="16"/>
      <c r="T588" s="17">
        <f>IF(AND(COUNTA($A588:$K588)=0,$L588=""),"",IF($S588="Paid","PAID",IF($S588="Closed","CLOSED",IF($W588="","",IF($W588=6,"ESCALATED TO ROXANNE",IF(TODAY()&gt;$Y588,"OVERDUE",IF($Y588&lt;=WORKDAY(TODAY(),1,Holidays),"DUE TOMORROW",IF($W588=4,"ESCALATED TO LOCAL OFFICE",IF($W588=5,"ESCALATED TO CBE",IF($X588=TODAY(),"EMAIL SENT","MONITORING"))))))))))</f>
        <v/>
      </c>
      <c r="U588" s="17">
        <f>IF($T588="",IF(AND(COUNTA($A588:$K588)&gt;0,$L588=""),"Awaiting Collection Email time stamp.",""),IF(OR($T588="PAID",$T588="CLOSED"),IF($T588="PAID","Account paid. Action completed.","Account closed. No further action required."),CHOOSE($W588,"Collection Email","1st Email Follow-up","2nd Email Follow-up","Escalation to Local Office","Escalation to CBE","Escalation to Roxanne")&amp;" sent "&amp;TEXT($X588,"dd-mmm")&amp;". "&amp;IF($W588=6,"Final escalation completed.",IF($T588="OVERDUE","Next: "&amp;$Z588&amp;" was due "&amp;TEXT($Y588,"dd-mmm")&amp;" - "&amp;(NETWORKDAYS($Y588,TODAY(),Holidays)-1)&amp;" business day(s) late. Send now.",IF($T588="DUE TOMORROW","Next: "&amp;$Z588&amp;IF($Y588&lt;=TODAY()," is due TODAY ("," is due next business day (")&amp;TEXT($Y588,"dd-mmm")&amp;").","Next: "&amp;$Z588&amp;" due "&amp;TEXT($Y588,"dd-mmm")&amp;" ("&amp;(NETWORKDAYS(TODAY(),$Y588,Holidays)-1)&amp;" business day(s) left).")))))</f>
        <v/>
      </c>
      <c r="V588" s="17">
        <f>IF($W588="","",CHOOSE($W588,"Collection Email","1st Follow-up","2nd Follow-up","Local Office","CBE","Roxanne")&amp;IF($W588=6," - Final"," - Day "&amp;MAX(0,NETWORKDAYS($X588,TODAY(),Holidays)-1)&amp;" of "&amp;CHOOSE($W588,3,3,2,2,3))&amp;" | Total Day "&amp;MAX(0,NETWORKDAYS($L588,TODAY(),Holidays)-1))</f>
        <v/>
      </c>
      <c r="W588" s="17">
        <f>IF($L588="","",COUNT($L588:$Q588))</f>
        <v/>
      </c>
      <c r="X588" s="18">
        <f>IF($W588="","",INT(INDEX($L588:$Q588,$W588)))</f>
        <v/>
      </c>
      <c r="Y588" s="18">
        <f>IF(OR($W588="",$W588=6),"",WORKDAY($X588,CHOOSE($W588,3,3,2,2,3),Holidays))</f>
        <v/>
      </c>
      <c r="Z588" s="17">
        <f>IF(OR($W588="",$W588=6),"",CHOOSE($W588,"1st Email Follow-up","2nd Email Follow-up","Escalate Local Office","Escalate to CBE","Escalate to Roxanne"))</f>
        <v/>
      </c>
    </row>
    <row r="589" spans="18:26">
      <c r="R589" s="15"/>
      <c r="S589" s="16"/>
      <c r="T589" s="17">
        <f>IF(AND(COUNTA($A589:$K589)=0,$L589=""),"",IF($S589="Paid","PAID",IF($S589="Closed","CLOSED",IF($W589="","",IF($W589=6,"ESCALATED TO ROXANNE",IF(TODAY()&gt;$Y589,"OVERDUE",IF($Y589&lt;=WORKDAY(TODAY(),1,Holidays),"DUE TOMORROW",IF($W589=4,"ESCALATED TO LOCAL OFFICE",IF($W589=5,"ESCALATED TO CBE",IF($X589=TODAY(),"EMAIL SENT","MONITORING"))))))))))</f>
        <v/>
      </c>
      <c r="U589" s="17">
        <f>IF($T589="",IF(AND(COUNTA($A589:$K589)&gt;0,$L589=""),"Awaiting Collection Email time stamp.",""),IF(OR($T589="PAID",$T589="CLOSED"),IF($T589="PAID","Account paid. Action completed.","Account closed. No further action required."),CHOOSE($W589,"Collection Email","1st Email Follow-up","2nd Email Follow-up","Escalation to Local Office","Escalation to CBE","Escalation to Roxanne")&amp;" sent "&amp;TEXT($X589,"dd-mmm")&amp;". "&amp;IF($W589=6,"Final escalation completed.",IF($T589="OVERDUE","Next: "&amp;$Z589&amp;" was due "&amp;TEXT($Y589,"dd-mmm")&amp;" - "&amp;(NETWORKDAYS($Y589,TODAY(),Holidays)-1)&amp;" business day(s) late. Send now.",IF($T589="DUE TOMORROW","Next: "&amp;$Z589&amp;IF($Y589&lt;=TODAY()," is due TODAY ("," is due next business day (")&amp;TEXT($Y589,"dd-mmm")&amp;").","Next: "&amp;$Z589&amp;" due "&amp;TEXT($Y589,"dd-mmm")&amp;" ("&amp;(NETWORKDAYS(TODAY(),$Y589,Holidays)-1)&amp;" business day(s) left).")))))</f>
        <v/>
      </c>
      <c r="V589" s="17">
        <f>IF($W589="","",CHOOSE($W589,"Collection Email","1st Follow-up","2nd Follow-up","Local Office","CBE","Roxanne")&amp;IF($W589=6," - Final"," - Day "&amp;MAX(0,NETWORKDAYS($X589,TODAY(),Holidays)-1)&amp;" of "&amp;CHOOSE($W589,3,3,2,2,3))&amp;" | Total Day "&amp;MAX(0,NETWORKDAYS($L589,TODAY(),Holidays)-1))</f>
        <v/>
      </c>
      <c r="W589" s="17">
        <f>IF($L589="","",COUNT($L589:$Q589))</f>
        <v/>
      </c>
      <c r="X589" s="18">
        <f>IF($W589="","",INT(INDEX($L589:$Q589,$W589)))</f>
        <v/>
      </c>
      <c r="Y589" s="18">
        <f>IF(OR($W589="",$W589=6),"",WORKDAY($X589,CHOOSE($W589,3,3,2,2,3),Holidays))</f>
        <v/>
      </c>
      <c r="Z589" s="17">
        <f>IF(OR($W589="",$W589=6),"",CHOOSE($W589,"1st Email Follow-up","2nd Email Follow-up","Escalate Local Office","Escalate to CBE","Escalate to Roxanne"))</f>
        <v/>
      </c>
    </row>
    <row r="590" spans="18:26">
      <c r="R590" s="15"/>
      <c r="S590" s="16"/>
      <c r="T590" s="17">
        <f>IF(AND(COUNTA($A590:$K590)=0,$L590=""),"",IF($S590="Paid","PAID",IF($S590="Closed","CLOSED",IF($W590="","",IF($W590=6,"ESCALATED TO ROXANNE",IF(TODAY()&gt;$Y590,"OVERDUE",IF($Y590&lt;=WORKDAY(TODAY(),1,Holidays),"DUE TOMORROW",IF($W590=4,"ESCALATED TO LOCAL OFFICE",IF($W590=5,"ESCALATED TO CBE",IF($X590=TODAY(),"EMAIL SENT","MONITORING"))))))))))</f>
        <v/>
      </c>
      <c r="U590" s="17">
        <f>IF($T590="",IF(AND(COUNTA($A590:$K590)&gt;0,$L590=""),"Awaiting Collection Email time stamp.",""),IF(OR($T590="PAID",$T590="CLOSED"),IF($T590="PAID","Account paid. Action completed.","Account closed. No further action required."),CHOOSE($W590,"Collection Email","1st Email Follow-up","2nd Email Follow-up","Escalation to Local Office","Escalation to CBE","Escalation to Roxanne")&amp;" sent "&amp;TEXT($X590,"dd-mmm")&amp;". "&amp;IF($W590=6,"Final escalation completed.",IF($T590="OVERDUE","Next: "&amp;$Z590&amp;" was due "&amp;TEXT($Y590,"dd-mmm")&amp;" - "&amp;(NETWORKDAYS($Y590,TODAY(),Holidays)-1)&amp;" business day(s) late. Send now.",IF($T590="DUE TOMORROW","Next: "&amp;$Z590&amp;IF($Y590&lt;=TODAY()," is due TODAY ("," is due next business day (")&amp;TEXT($Y590,"dd-mmm")&amp;").","Next: "&amp;$Z590&amp;" due "&amp;TEXT($Y590,"dd-mmm")&amp;" ("&amp;(NETWORKDAYS(TODAY(),$Y590,Holidays)-1)&amp;" business day(s) left).")))))</f>
        <v/>
      </c>
      <c r="V590" s="17">
        <f>IF($W590="","",CHOOSE($W590,"Collection Email","1st Follow-up","2nd Follow-up","Local Office","CBE","Roxanne")&amp;IF($W590=6," - Final"," - Day "&amp;MAX(0,NETWORKDAYS($X590,TODAY(),Holidays)-1)&amp;" of "&amp;CHOOSE($W590,3,3,2,2,3))&amp;" | Total Day "&amp;MAX(0,NETWORKDAYS($L590,TODAY(),Holidays)-1))</f>
        <v/>
      </c>
      <c r="W590" s="17">
        <f>IF($L590="","",COUNT($L590:$Q590))</f>
        <v/>
      </c>
      <c r="X590" s="18">
        <f>IF($W590="","",INT(INDEX($L590:$Q590,$W590)))</f>
        <v/>
      </c>
      <c r="Y590" s="18">
        <f>IF(OR($W590="",$W590=6),"",WORKDAY($X590,CHOOSE($W590,3,3,2,2,3),Holidays))</f>
        <v/>
      </c>
      <c r="Z590" s="17">
        <f>IF(OR($W590="",$W590=6),"",CHOOSE($W590,"1st Email Follow-up","2nd Email Follow-up","Escalate Local Office","Escalate to CBE","Escalate to Roxanne"))</f>
        <v/>
      </c>
    </row>
    <row r="591" spans="18:26">
      <c r="R591" s="15"/>
      <c r="S591" s="16"/>
      <c r="T591" s="17">
        <f>IF(AND(COUNTA($A591:$K591)=0,$L591=""),"",IF($S591="Paid","PAID",IF($S591="Closed","CLOSED",IF($W591="","",IF($W591=6,"ESCALATED TO ROXANNE",IF(TODAY()&gt;$Y591,"OVERDUE",IF($Y591&lt;=WORKDAY(TODAY(),1,Holidays),"DUE TOMORROW",IF($W591=4,"ESCALATED TO LOCAL OFFICE",IF($W591=5,"ESCALATED TO CBE",IF($X591=TODAY(),"EMAIL SENT","MONITORING"))))))))))</f>
        <v/>
      </c>
      <c r="U591" s="17">
        <f>IF($T591="",IF(AND(COUNTA($A591:$K591)&gt;0,$L591=""),"Awaiting Collection Email time stamp.",""),IF(OR($T591="PAID",$T591="CLOSED"),IF($T591="PAID","Account paid. Action completed.","Account closed. No further action required."),CHOOSE($W591,"Collection Email","1st Email Follow-up","2nd Email Follow-up","Escalation to Local Office","Escalation to CBE","Escalation to Roxanne")&amp;" sent "&amp;TEXT($X591,"dd-mmm")&amp;". "&amp;IF($W591=6,"Final escalation completed.",IF($T591="OVERDUE","Next: "&amp;$Z591&amp;" was due "&amp;TEXT($Y591,"dd-mmm")&amp;" - "&amp;(NETWORKDAYS($Y591,TODAY(),Holidays)-1)&amp;" business day(s) late. Send now.",IF($T591="DUE TOMORROW","Next: "&amp;$Z591&amp;IF($Y591&lt;=TODAY()," is due TODAY ("," is due next business day (")&amp;TEXT($Y591,"dd-mmm")&amp;").","Next: "&amp;$Z591&amp;" due "&amp;TEXT($Y591,"dd-mmm")&amp;" ("&amp;(NETWORKDAYS(TODAY(),$Y591,Holidays)-1)&amp;" business day(s) left).")))))</f>
        <v/>
      </c>
      <c r="V591" s="17">
        <f>IF($W591="","",CHOOSE($W591,"Collection Email","1st Follow-up","2nd Follow-up","Local Office","CBE","Roxanne")&amp;IF($W591=6," - Final"," - Day "&amp;MAX(0,NETWORKDAYS($X591,TODAY(),Holidays)-1)&amp;" of "&amp;CHOOSE($W591,3,3,2,2,3))&amp;" | Total Day "&amp;MAX(0,NETWORKDAYS($L591,TODAY(),Holidays)-1))</f>
        <v/>
      </c>
      <c r="W591" s="17">
        <f>IF($L591="","",COUNT($L591:$Q591))</f>
        <v/>
      </c>
      <c r="X591" s="18">
        <f>IF($W591="","",INT(INDEX($L591:$Q591,$W591)))</f>
        <v/>
      </c>
      <c r="Y591" s="18">
        <f>IF(OR($W591="",$W591=6),"",WORKDAY($X591,CHOOSE($W591,3,3,2,2,3),Holidays))</f>
        <v/>
      </c>
      <c r="Z591" s="17">
        <f>IF(OR($W591="",$W591=6),"",CHOOSE($W591,"1st Email Follow-up","2nd Email Follow-up","Escalate Local Office","Escalate to CBE","Escalate to Roxanne"))</f>
        <v/>
      </c>
    </row>
    <row r="592" spans="18:26">
      <c r="R592" s="15"/>
      <c r="S592" s="16"/>
      <c r="T592" s="17">
        <f>IF(AND(COUNTA($A592:$K592)=0,$L592=""),"",IF($S592="Paid","PAID",IF($S592="Closed","CLOSED",IF($W592="","",IF($W592=6,"ESCALATED TO ROXANNE",IF(TODAY()&gt;$Y592,"OVERDUE",IF($Y592&lt;=WORKDAY(TODAY(),1,Holidays),"DUE TOMORROW",IF($W592=4,"ESCALATED TO LOCAL OFFICE",IF($W592=5,"ESCALATED TO CBE",IF($X592=TODAY(),"EMAIL SENT","MONITORING"))))))))))</f>
        <v/>
      </c>
      <c r="U592" s="17">
        <f>IF($T592="",IF(AND(COUNTA($A592:$K592)&gt;0,$L592=""),"Awaiting Collection Email time stamp.",""),IF(OR($T592="PAID",$T592="CLOSED"),IF($T592="PAID","Account paid. Action completed.","Account closed. No further action required."),CHOOSE($W592,"Collection Email","1st Email Follow-up","2nd Email Follow-up","Escalation to Local Office","Escalation to CBE","Escalation to Roxanne")&amp;" sent "&amp;TEXT($X592,"dd-mmm")&amp;". "&amp;IF($W592=6,"Final escalation completed.",IF($T592="OVERDUE","Next: "&amp;$Z592&amp;" was due "&amp;TEXT($Y592,"dd-mmm")&amp;" - "&amp;(NETWORKDAYS($Y592,TODAY(),Holidays)-1)&amp;" business day(s) late. Send now.",IF($T592="DUE TOMORROW","Next: "&amp;$Z592&amp;IF($Y592&lt;=TODAY()," is due TODAY ("," is due next business day (")&amp;TEXT($Y592,"dd-mmm")&amp;").","Next: "&amp;$Z592&amp;" due "&amp;TEXT($Y592,"dd-mmm")&amp;" ("&amp;(NETWORKDAYS(TODAY(),$Y592,Holidays)-1)&amp;" business day(s) left).")))))</f>
        <v/>
      </c>
      <c r="V592" s="17">
        <f>IF($W592="","",CHOOSE($W592,"Collection Email","1st Follow-up","2nd Follow-up","Local Office","CBE","Roxanne")&amp;IF($W592=6," - Final"," - Day "&amp;MAX(0,NETWORKDAYS($X592,TODAY(),Holidays)-1)&amp;" of "&amp;CHOOSE($W592,3,3,2,2,3))&amp;" | Total Day "&amp;MAX(0,NETWORKDAYS($L592,TODAY(),Holidays)-1))</f>
        <v/>
      </c>
      <c r="W592" s="17">
        <f>IF($L592="","",COUNT($L592:$Q592))</f>
        <v/>
      </c>
      <c r="X592" s="18">
        <f>IF($W592="","",INT(INDEX($L592:$Q592,$W592)))</f>
        <v/>
      </c>
      <c r="Y592" s="18">
        <f>IF(OR($W592="",$W592=6),"",WORKDAY($X592,CHOOSE($W592,3,3,2,2,3),Holidays))</f>
        <v/>
      </c>
      <c r="Z592" s="17">
        <f>IF(OR($W592="",$W592=6),"",CHOOSE($W592,"1st Email Follow-up","2nd Email Follow-up","Escalate Local Office","Escalate to CBE","Escalate to Roxanne"))</f>
        <v/>
      </c>
    </row>
    <row r="593" spans="18:26">
      <c r="R593" s="15"/>
      <c r="S593" s="16"/>
      <c r="T593" s="17">
        <f>IF(AND(COUNTA($A593:$K593)=0,$L593=""),"",IF($S593="Paid","PAID",IF($S593="Closed","CLOSED",IF($W593="","",IF($W593=6,"ESCALATED TO ROXANNE",IF(TODAY()&gt;$Y593,"OVERDUE",IF($Y593&lt;=WORKDAY(TODAY(),1,Holidays),"DUE TOMORROW",IF($W593=4,"ESCALATED TO LOCAL OFFICE",IF($W593=5,"ESCALATED TO CBE",IF($X593=TODAY(),"EMAIL SENT","MONITORING"))))))))))</f>
        <v/>
      </c>
      <c r="U593" s="17">
        <f>IF($T593="",IF(AND(COUNTA($A593:$K593)&gt;0,$L593=""),"Awaiting Collection Email time stamp.",""),IF(OR($T593="PAID",$T593="CLOSED"),IF($T593="PAID","Account paid. Action completed.","Account closed. No further action required."),CHOOSE($W593,"Collection Email","1st Email Follow-up","2nd Email Follow-up","Escalation to Local Office","Escalation to CBE","Escalation to Roxanne")&amp;" sent "&amp;TEXT($X593,"dd-mmm")&amp;". "&amp;IF($W593=6,"Final escalation completed.",IF($T593="OVERDUE","Next: "&amp;$Z593&amp;" was due "&amp;TEXT($Y593,"dd-mmm")&amp;" - "&amp;(NETWORKDAYS($Y593,TODAY(),Holidays)-1)&amp;" business day(s) late. Send now.",IF($T593="DUE TOMORROW","Next: "&amp;$Z593&amp;IF($Y593&lt;=TODAY()," is due TODAY ("," is due next business day (")&amp;TEXT($Y593,"dd-mmm")&amp;").","Next: "&amp;$Z593&amp;" due "&amp;TEXT($Y593,"dd-mmm")&amp;" ("&amp;(NETWORKDAYS(TODAY(),$Y593,Holidays)-1)&amp;" business day(s) left).")))))</f>
        <v/>
      </c>
      <c r="V593" s="17">
        <f>IF($W593="","",CHOOSE($W593,"Collection Email","1st Follow-up","2nd Follow-up","Local Office","CBE","Roxanne")&amp;IF($W593=6," - Final"," - Day "&amp;MAX(0,NETWORKDAYS($X593,TODAY(),Holidays)-1)&amp;" of "&amp;CHOOSE($W593,3,3,2,2,3))&amp;" | Total Day "&amp;MAX(0,NETWORKDAYS($L593,TODAY(),Holidays)-1))</f>
        <v/>
      </c>
      <c r="W593" s="17">
        <f>IF($L593="","",COUNT($L593:$Q593))</f>
        <v/>
      </c>
      <c r="X593" s="18">
        <f>IF($W593="","",INT(INDEX($L593:$Q593,$W593)))</f>
        <v/>
      </c>
      <c r="Y593" s="18">
        <f>IF(OR($W593="",$W593=6),"",WORKDAY($X593,CHOOSE($W593,3,3,2,2,3),Holidays))</f>
        <v/>
      </c>
      <c r="Z593" s="17">
        <f>IF(OR($W593="",$W593=6),"",CHOOSE($W593,"1st Email Follow-up","2nd Email Follow-up","Escalate Local Office","Escalate to CBE","Escalate to Roxanne"))</f>
        <v/>
      </c>
    </row>
    <row r="594" spans="18:26">
      <c r="R594" s="15"/>
      <c r="S594" s="16"/>
      <c r="T594" s="17">
        <f>IF(AND(COUNTA($A594:$K594)=0,$L594=""),"",IF($S594="Paid","PAID",IF($S594="Closed","CLOSED",IF($W594="","",IF($W594=6,"ESCALATED TO ROXANNE",IF(TODAY()&gt;$Y594,"OVERDUE",IF($Y594&lt;=WORKDAY(TODAY(),1,Holidays),"DUE TOMORROW",IF($W594=4,"ESCALATED TO LOCAL OFFICE",IF($W594=5,"ESCALATED TO CBE",IF($X594=TODAY(),"EMAIL SENT","MONITORING"))))))))))</f>
        <v/>
      </c>
      <c r="U594" s="17">
        <f>IF($T594="",IF(AND(COUNTA($A594:$K594)&gt;0,$L594=""),"Awaiting Collection Email time stamp.",""),IF(OR($T594="PAID",$T594="CLOSED"),IF($T594="PAID","Account paid. Action completed.","Account closed. No further action required."),CHOOSE($W594,"Collection Email","1st Email Follow-up","2nd Email Follow-up","Escalation to Local Office","Escalation to CBE","Escalation to Roxanne")&amp;" sent "&amp;TEXT($X594,"dd-mmm")&amp;". "&amp;IF($W594=6,"Final escalation completed.",IF($T594="OVERDUE","Next: "&amp;$Z594&amp;" was due "&amp;TEXT($Y594,"dd-mmm")&amp;" - "&amp;(NETWORKDAYS($Y594,TODAY(),Holidays)-1)&amp;" business day(s) late. Send now.",IF($T594="DUE TOMORROW","Next: "&amp;$Z594&amp;IF($Y594&lt;=TODAY()," is due TODAY ("," is due next business day (")&amp;TEXT($Y594,"dd-mmm")&amp;").","Next: "&amp;$Z594&amp;" due "&amp;TEXT($Y594,"dd-mmm")&amp;" ("&amp;(NETWORKDAYS(TODAY(),$Y594,Holidays)-1)&amp;" business day(s) left).")))))</f>
        <v/>
      </c>
      <c r="V594" s="17">
        <f>IF($W594="","",CHOOSE($W594,"Collection Email","1st Follow-up","2nd Follow-up","Local Office","CBE","Roxanne")&amp;IF($W594=6," - Final"," - Day "&amp;MAX(0,NETWORKDAYS($X594,TODAY(),Holidays)-1)&amp;" of "&amp;CHOOSE($W594,3,3,2,2,3))&amp;" | Total Day "&amp;MAX(0,NETWORKDAYS($L594,TODAY(),Holidays)-1))</f>
        <v/>
      </c>
      <c r="W594" s="17">
        <f>IF($L594="","",COUNT($L594:$Q594))</f>
        <v/>
      </c>
      <c r="X594" s="18">
        <f>IF($W594="","",INT(INDEX($L594:$Q594,$W594)))</f>
        <v/>
      </c>
      <c r="Y594" s="18">
        <f>IF(OR($W594="",$W594=6),"",WORKDAY($X594,CHOOSE($W594,3,3,2,2,3),Holidays))</f>
        <v/>
      </c>
      <c r="Z594" s="17">
        <f>IF(OR($W594="",$W594=6),"",CHOOSE($W594,"1st Email Follow-up","2nd Email Follow-up","Escalate Local Office","Escalate to CBE","Escalate to Roxanne"))</f>
        <v/>
      </c>
    </row>
    <row r="595" spans="18:26">
      <c r="R595" s="15"/>
      <c r="S595" s="16"/>
      <c r="T595" s="17">
        <f>IF(AND(COUNTA($A595:$K595)=0,$L595=""),"",IF($S595="Paid","PAID",IF($S595="Closed","CLOSED",IF($W595="","",IF($W595=6,"ESCALATED TO ROXANNE",IF(TODAY()&gt;$Y595,"OVERDUE",IF($Y595&lt;=WORKDAY(TODAY(),1,Holidays),"DUE TOMORROW",IF($W595=4,"ESCALATED TO LOCAL OFFICE",IF($W595=5,"ESCALATED TO CBE",IF($X595=TODAY(),"EMAIL SENT","MONITORING"))))))))))</f>
        <v/>
      </c>
      <c r="U595" s="17">
        <f>IF($T595="",IF(AND(COUNTA($A595:$K595)&gt;0,$L595=""),"Awaiting Collection Email time stamp.",""),IF(OR($T595="PAID",$T595="CLOSED"),IF($T595="PAID","Account paid. Action completed.","Account closed. No further action required."),CHOOSE($W595,"Collection Email","1st Email Follow-up","2nd Email Follow-up","Escalation to Local Office","Escalation to CBE","Escalation to Roxanne")&amp;" sent "&amp;TEXT($X595,"dd-mmm")&amp;". "&amp;IF($W595=6,"Final escalation completed.",IF($T595="OVERDUE","Next: "&amp;$Z595&amp;" was due "&amp;TEXT($Y595,"dd-mmm")&amp;" - "&amp;(NETWORKDAYS($Y595,TODAY(),Holidays)-1)&amp;" business day(s) late. Send now.",IF($T595="DUE TOMORROW","Next: "&amp;$Z595&amp;IF($Y595&lt;=TODAY()," is due TODAY ("," is due next business day (")&amp;TEXT($Y595,"dd-mmm")&amp;").","Next: "&amp;$Z595&amp;" due "&amp;TEXT($Y595,"dd-mmm")&amp;" ("&amp;(NETWORKDAYS(TODAY(),$Y595,Holidays)-1)&amp;" business day(s) left).")))))</f>
        <v/>
      </c>
      <c r="V595" s="17">
        <f>IF($W595="","",CHOOSE($W595,"Collection Email","1st Follow-up","2nd Follow-up","Local Office","CBE","Roxanne")&amp;IF($W595=6," - Final"," - Day "&amp;MAX(0,NETWORKDAYS($X595,TODAY(),Holidays)-1)&amp;" of "&amp;CHOOSE($W595,3,3,2,2,3))&amp;" | Total Day "&amp;MAX(0,NETWORKDAYS($L595,TODAY(),Holidays)-1))</f>
        <v/>
      </c>
      <c r="W595" s="17">
        <f>IF($L595="","",COUNT($L595:$Q595))</f>
        <v/>
      </c>
      <c r="X595" s="18">
        <f>IF($W595="","",INT(INDEX($L595:$Q595,$W595)))</f>
        <v/>
      </c>
      <c r="Y595" s="18">
        <f>IF(OR($W595="",$W595=6),"",WORKDAY($X595,CHOOSE($W595,3,3,2,2,3),Holidays))</f>
        <v/>
      </c>
      <c r="Z595" s="17">
        <f>IF(OR($W595="",$W595=6),"",CHOOSE($W595,"1st Email Follow-up","2nd Email Follow-up","Escalate Local Office","Escalate to CBE","Escalate to Roxanne"))</f>
        <v/>
      </c>
    </row>
    <row r="596" spans="18:26">
      <c r="R596" s="15"/>
      <c r="S596" s="16"/>
      <c r="T596" s="17">
        <f>IF(AND(COUNTA($A596:$K596)=0,$L596=""),"",IF($S596="Paid","PAID",IF($S596="Closed","CLOSED",IF($W596="","",IF($W596=6,"ESCALATED TO ROXANNE",IF(TODAY()&gt;$Y596,"OVERDUE",IF($Y596&lt;=WORKDAY(TODAY(),1,Holidays),"DUE TOMORROW",IF($W596=4,"ESCALATED TO LOCAL OFFICE",IF($W596=5,"ESCALATED TO CBE",IF($X596=TODAY(),"EMAIL SENT","MONITORING"))))))))))</f>
        <v/>
      </c>
      <c r="U596" s="17">
        <f>IF($T596="",IF(AND(COUNTA($A596:$K596)&gt;0,$L596=""),"Awaiting Collection Email time stamp.",""),IF(OR($T596="PAID",$T596="CLOSED"),IF($T596="PAID","Account paid. Action completed.","Account closed. No further action required."),CHOOSE($W596,"Collection Email","1st Email Follow-up","2nd Email Follow-up","Escalation to Local Office","Escalation to CBE","Escalation to Roxanne")&amp;" sent "&amp;TEXT($X596,"dd-mmm")&amp;". "&amp;IF($W596=6,"Final escalation completed.",IF($T596="OVERDUE","Next: "&amp;$Z596&amp;" was due "&amp;TEXT($Y596,"dd-mmm")&amp;" - "&amp;(NETWORKDAYS($Y596,TODAY(),Holidays)-1)&amp;" business day(s) late. Send now.",IF($T596="DUE TOMORROW","Next: "&amp;$Z596&amp;IF($Y596&lt;=TODAY()," is due TODAY ("," is due next business day (")&amp;TEXT($Y596,"dd-mmm")&amp;").","Next: "&amp;$Z596&amp;" due "&amp;TEXT($Y596,"dd-mmm")&amp;" ("&amp;(NETWORKDAYS(TODAY(),$Y596,Holidays)-1)&amp;" business day(s) left).")))))</f>
        <v/>
      </c>
      <c r="V596" s="17">
        <f>IF($W596="","",CHOOSE($W596,"Collection Email","1st Follow-up","2nd Follow-up","Local Office","CBE","Roxanne")&amp;IF($W596=6," - Final"," - Day "&amp;MAX(0,NETWORKDAYS($X596,TODAY(),Holidays)-1)&amp;" of "&amp;CHOOSE($W596,3,3,2,2,3))&amp;" | Total Day "&amp;MAX(0,NETWORKDAYS($L596,TODAY(),Holidays)-1))</f>
        <v/>
      </c>
      <c r="W596" s="17">
        <f>IF($L596="","",COUNT($L596:$Q596))</f>
        <v/>
      </c>
      <c r="X596" s="18">
        <f>IF($W596="","",INT(INDEX($L596:$Q596,$W596)))</f>
        <v/>
      </c>
      <c r="Y596" s="18">
        <f>IF(OR($W596="",$W596=6),"",WORKDAY($X596,CHOOSE($W596,3,3,2,2,3),Holidays))</f>
        <v/>
      </c>
      <c r="Z596" s="17">
        <f>IF(OR($W596="",$W596=6),"",CHOOSE($W596,"1st Email Follow-up","2nd Email Follow-up","Escalate Local Office","Escalate to CBE","Escalate to Roxanne"))</f>
        <v/>
      </c>
    </row>
    <row r="597" spans="18:26">
      <c r="R597" s="15"/>
      <c r="S597" s="16"/>
      <c r="T597" s="17">
        <f>IF(AND(COUNTA($A597:$K597)=0,$L597=""),"",IF($S597="Paid","PAID",IF($S597="Closed","CLOSED",IF($W597="","",IF($W597=6,"ESCALATED TO ROXANNE",IF(TODAY()&gt;$Y597,"OVERDUE",IF($Y597&lt;=WORKDAY(TODAY(),1,Holidays),"DUE TOMORROW",IF($W597=4,"ESCALATED TO LOCAL OFFICE",IF($W597=5,"ESCALATED TO CBE",IF($X597=TODAY(),"EMAIL SENT","MONITORING"))))))))))</f>
        <v/>
      </c>
      <c r="U597" s="17">
        <f>IF($T597="",IF(AND(COUNTA($A597:$K597)&gt;0,$L597=""),"Awaiting Collection Email time stamp.",""),IF(OR($T597="PAID",$T597="CLOSED"),IF($T597="PAID","Account paid. Action completed.","Account closed. No further action required."),CHOOSE($W597,"Collection Email","1st Email Follow-up","2nd Email Follow-up","Escalation to Local Office","Escalation to CBE","Escalation to Roxanne")&amp;" sent "&amp;TEXT($X597,"dd-mmm")&amp;". "&amp;IF($W597=6,"Final escalation completed.",IF($T597="OVERDUE","Next: "&amp;$Z597&amp;" was due "&amp;TEXT($Y597,"dd-mmm")&amp;" - "&amp;(NETWORKDAYS($Y597,TODAY(),Holidays)-1)&amp;" business day(s) late. Send now.",IF($T597="DUE TOMORROW","Next: "&amp;$Z597&amp;IF($Y597&lt;=TODAY()," is due TODAY ("," is due next business day (")&amp;TEXT($Y597,"dd-mmm")&amp;").","Next: "&amp;$Z597&amp;" due "&amp;TEXT($Y597,"dd-mmm")&amp;" ("&amp;(NETWORKDAYS(TODAY(),$Y597,Holidays)-1)&amp;" business day(s) left).")))))</f>
        <v/>
      </c>
      <c r="V597" s="17">
        <f>IF($W597="","",CHOOSE($W597,"Collection Email","1st Follow-up","2nd Follow-up","Local Office","CBE","Roxanne")&amp;IF($W597=6," - Final"," - Day "&amp;MAX(0,NETWORKDAYS($X597,TODAY(),Holidays)-1)&amp;" of "&amp;CHOOSE($W597,3,3,2,2,3))&amp;" | Total Day "&amp;MAX(0,NETWORKDAYS($L597,TODAY(),Holidays)-1))</f>
        <v/>
      </c>
      <c r="W597" s="17">
        <f>IF($L597="","",COUNT($L597:$Q597))</f>
        <v/>
      </c>
      <c r="X597" s="18">
        <f>IF($W597="","",INT(INDEX($L597:$Q597,$W597)))</f>
        <v/>
      </c>
      <c r="Y597" s="18">
        <f>IF(OR($W597="",$W597=6),"",WORKDAY($X597,CHOOSE($W597,3,3,2,2,3),Holidays))</f>
        <v/>
      </c>
      <c r="Z597" s="17">
        <f>IF(OR($W597="",$W597=6),"",CHOOSE($W597,"1st Email Follow-up","2nd Email Follow-up","Escalate Local Office","Escalate to CBE","Escalate to Roxanne"))</f>
        <v/>
      </c>
    </row>
    <row r="598" spans="18:26">
      <c r="R598" s="15"/>
      <c r="S598" s="16"/>
      <c r="T598" s="17">
        <f>IF(AND(COUNTA($A598:$K598)=0,$L598=""),"",IF($S598="Paid","PAID",IF($S598="Closed","CLOSED",IF($W598="","",IF($W598=6,"ESCALATED TO ROXANNE",IF(TODAY()&gt;$Y598,"OVERDUE",IF($Y598&lt;=WORKDAY(TODAY(),1,Holidays),"DUE TOMORROW",IF($W598=4,"ESCALATED TO LOCAL OFFICE",IF($W598=5,"ESCALATED TO CBE",IF($X598=TODAY(),"EMAIL SENT","MONITORING"))))))))))</f>
        <v/>
      </c>
      <c r="U598" s="17">
        <f>IF($T598="",IF(AND(COUNTA($A598:$K598)&gt;0,$L598=""),"Awaiting Collection Email time stamp.",""),IF(OR($T598="PAID",$T598="CLOSED"),IF($T598="PAID","Account paid. Action completed.","Account closed. No further action required."),CHOOSE($W598,"Collection Email","1st Email Follow-up","2nd Email Follow-up","Escalation to Local Office","Escalation to CBE","Escalation to Roxanne")&amp;" sent "&amp;TEXT($X598,"dd-mmm")&amp;". "&amp;IF($W598=6,"Final escalation completed.",IF($T598="OVERDUE","Next: "&amp;$Z598&amp;" was due "&amp;TEXT($Y598,"dd-mmm")&amp;" - "&amp;(NETWORKDAYS($Y598,TODAY(),Holidays)-1)&amp;" business day(s) late. Send now.",IF($T598="DUE TOMORROW","Next: "&amp;$Z598&amp;IF($Y598&lt;=TODAY()," is due TODAY ("," is due next business day (")&amp;TEXT($Y598,"dd-mmm")&amp;").","Next: "&amp;$Z598&amp;" due "&amp;TEXT($Y598,"dd-mmm")&amp;" ("&amp;(NETWORKDAYS(TODAY(),$Y598,Holidays)-1)&amp;" business day(s) left).")))))</f>
        <v/>
      </c>
      <c r="V598" s="17">
        <f>IF($W598="","",CHOOSE($W598,"Collection Email","1st Follow-up","2nd Follow-up","Local Office","CBE","Roxanne")&amp;IF($W598=6," - Final"," - Day "&amp;MAX(0,NETWORKDAYS($X598,TODAY(),Holidays)-1)&amp;" of "&amp;CHOOSE($W598,3,3,2,2,3))&amp;" | Total Day "&amp;MAX(0,NETWORKDAYS($L598,TODAY(),Holidays)-1))</f>
        <v/>
      </c>
      <c r="W598" s="17">
        <f>IF($L598="","",COUNT($L598:$Q598))</f>
        <v/>
      </c>
      <c r="X598" s="18">
        <f>IF($W598="","",INT(INDEX($L598:$Q598,$W598)))</f>
        <v/>
      </c>
      <c r="Y598" s="18">
        <f>IF(OR($W598="",$W598=6),"",WORKDAY($X598,CHOOSE($W598,3,3,2,2,3),Holidays))</f>
        <v/>
      </c>
      <c r="Z598" s="17">
        <f>IF(OR($W598="",$W598=6),"",CHOOSE($W598,"1st Email Follow-up","2nd Email Follow-up","Escalate Local Office","Escalate to CBE","Escalate to Roxanne"))</f>
        <v/>
      </c>
    </row>
    <row r="599" spans="18:26">
      <c r="R599" s="15"/>
      <c r="S599" s="16"/>
      <c r="T599" s="17">
        <f>IF(AND(COUNTA($A599:$K599)=0,$L599=""),"",IF($S599="Paid","PAID",IF($S599="Closed","CLOSED",IF($W599="","",IF($W599=6,"ESCALATED TO ROXANNE",IF(TODAY()&gt;$Y599,"OVERDUE",IF($Y599&lt;=WORKDAY(TODAY(),1,Holidays),"DUE TOMORROW",IF($W599=4,"ESCALATED TO LOCAL OFFICE",IF($W599=5,"ESCALATED TO CBE",IF($X599=TODAY(),"EMAIL SENT","MONITORING"))))))))))</f>
        <v/>
      </c>
      <c r="U599" s="17">
        <f>IF($T599="",IF(AND(COUNTA($A599:$K599)&gt;0,$L599=""),"Awaiting Collection Email time stamp.",""),IF(OR($T599="PAID",$T599="CLOSED"),IF($T599="PAID","Account paid. Action completed.","Account closed. No further action required."),CHOOSE($W599,"Collection Email","1st Email Follow-up","2nd Email Follow-up","Escalation to Local Office","Escalation to CBE","Escalation to Roxanne")&amp;" sent "&amp;TEXT($X599,"dd-mmm")&amp;". "&amp;IF($W599=6,"Final escalation completed.",IF($T599="OVERDUE","Next: "&amp;$Z599&amp;" was due "&amp;TEXT($Y599,"dd-mmm")&amp;" - "&amp;(NETWORKDAYS($Y599,TODAY(),Holidays)-1)&amp;" business day(s) late. Send now.",IF($T599="DUE TOMORROW","Next: "&amp;$Z599&amp;IF($Y599&lt;=TODAY()," is due TODAY ("," is due next business day (")&amp;TEXT($Y599,"dd-mmm")&amp;").","Next: "&amp;$Z599&amp;" due "&amp;TEXT($Y599,"dd-mmm")&amp;" ("&amp;(NETWORKDAYS(TODAY(),$Y599,Holidays)-1)&amp;" business day(s) left).")))))</f>
        <v/>
      </c>
      <c r="V599" s="17">
        <f>IF($W599="","",CHOOSE($W599,"Collection Email","1st Follow-up","2nd Follow-up","Local Office","CBE","Roxanne")&amp;IF($W599=6," - Final"," - Day "&amp;MAX(0,NETWORKDAYS($X599,TODAY(),Holidays)-1)&amp;" of "&amp;CHOOSE($W599,3,3,2,2,3))&amp;" | Total Day "&amp;MAX(0,NETWORKDAYS($L599,TODAY(),Holidays)-1))</f>
        <v/>
      </c>
      <c r="W599" s="17">
        <f>IF($L599="","",COUNT($L599:$Q599))</f>
        <v/>
      </c>
      <c r="X599" s="18">
        <f>IF($W599="","",INT(INDEX($L599:$Q599,$W599)))</f>
        <v/>
      </c>
      <c r="Y599" s="18">
        <f>IF(OR($W599="",$W599=6),"",WORKDAY($X599,CHOOSE($W599,3,3,2,2,3),Holidays))</f>
        <v/>
      </c>
      <c r="Z599" s="17">
        <f>IF(OR($W599="",$W599=6),"",CHOOSE($W599,"1st Email Follow-up","2nd Email Follow-up","Escalate Local Office","Escalate to CBE","Escalate to Roxanne"))</f>
        <v/>
      </c>
    </row>
    <row r="600" spans="18:26">
      <c r="R600" s="15"/>
      <c r="S600" s="16"/>
      <c r="T600" s="17">
        <f>IF(AND(COUNTA($A600:$K600)=0,$L600=""),"",IF($S600="Paid","PAID",IF($S600="Closed","CLOSED",IF($W600="","",IF($W600=6,"ESCALATED TO ROXANNE",IF(TODAY()&gt;$Y600,"OVERDUE",IF($Y600&lt;=WORKDAY(TODAY(),1,Holidays),"DUE TOMORROW",IF($W600=4,"ESCALATED TO LOCAL OFFICE",IF($W600=5,"ESCALATED TO CBE",IF($X600=TODAY(),"EMAIL SENT","MONITORING"))))))))))</f>
        <v/>
      </c>
      <c r="U600" s="17">
        <f>IF($T600="",IF(AND(COUNTA($A600:$K600)&gt;0,$L600=""),"Awaiting Collection Email time stamp.",""),IF(OR($T600="PAID",$T600="CLOSED"),IF($T600="PAID","Account paid. Action completed.","Account closed. No further action required."),CHOOSE($W600,"Collection Email","1st Email Follow-up","2nd Email Follow-up","Escalation to Local Office","Escalation to CBE","Escalation to Roxanne")&amp;" sent "&amp;TEXT($X600,"dd-mmm")&amp;". "&amp;IF($W600=6,"Final escalation completed.",IF($T600="OVERDUE","Next: "&amp;$Z600&amp;" was due "&amp;TEXT($Y600,"dd-mmm")&amp;" - "&amp;(NETWORKDAYS($Y600,TODAY(),Holidays)-1)&amp;" business day(s) late. Send now.",IF($T600="DUE TOMORROW","Next: "&amp;$Z600&amp;IF($Y600&lt;=TODAY()," is due TODAY ("," is due next business day (")&amp;TEXT($Y600,"dd-mmm")&amp;").","Next: "&amp;$Z600&amp;" due "&amp;TEXT($Y600,"dd-mmm")&amp;" ("&amp;(NETWORKDAYS(TODAY(),$Y600,Holidays)-1)&amp;" business day(s) left).")))))</f>
        <v/>
      </c>
      <c r="V600" s="17">
        <f>IF($W600="","",CHOOSE($W600,"Collection Email","1st Follow-up","2nd Follow-up","Local Office","CBE","Roxanne")&amp;IF($W600=6," - Final"," - Day "&amp;MAX(0,NETWORKDAYS($X600,TODAY(),Holidays)-1)&amp;" of "&amp;CHOOSE($W600,3,3,2,2,3))&amp;" | Total Day "&amp;MAX(0,NETWORKDAYS($L600,TODAY(),Holidays)-1))</f>
        <v/>
      </c>
      <c r="W600" s="17">
        <f>IF($L600="","",COUNT($L600:$Q600))</f>
        <v/>
      </c>
      <c r="X600" s="18">
        <f>IF($W600="","",INT(INDEX($L600:$Q600,$W600)))</f>
        <v/>
      </c>
      <c r="Y600" s="18">
        <f>IF(OR($W600="",$W600=6),"",WORKDAY($X600,CHOOSE($W600,3,3,2,2,3),Holidays))</f>
        <v/>
      </c>
      <c r="Z600" s="17">
        <f>IF(OR($W600="",$W600=6),"",CHOOSE($W600,"1st Email Follow-up","2nd Email Follow-up","Escalate Local Office","Escalate to CBE","Escalate to Roxanne"))</f>
        <v/>
      </c>
    </row>
    <row r="601" spans="18:26">
      <c r="R601" s="15"/>
      <c r="S601" s="16"/>
      <c r="T601" s="17">
        <f>IF(AND(COUNTA($A601:$K601)=0,$L601=""),"",IF($S601="Paid","PAID",IF($S601="Closed","CLOSED",IF($W601="","",IF($W601=6,"ESCALATED TO ROXANNE",IF(TODAY()&gt;$Y601,"OVERDUE",IF($Y601&lt;=WORKDAY(TODAY(),1,Holidays),"DUE TOMORROW",IF($W601=4,"ESCALATED TO LOCAL OFFICE",IF($W601=5,"ESCALATED TO CBE",IF($X601=TODAY(),"EMAIL SENT","MONITORING"))))))))))</f>
        <v/>
      </c>
      <c r="U601" s="17">
        <f>IF($T601="",IF(AND(COUNTA($A601:$K601)&gt;0,$L601=""),"Awaiting Collection Email time stamp.",""),IF(OR($T601="PAID",$T601="CLOSED"),IF($T601="PAID","Account paid. Action completed.","Account closed. No further action required."),CHOOSE($W601,"Collection Email","1st Email Follow-up","2nd Email Follow-up","Escalation to Local Office","Escalation to CBE","Escalation to Roxanne")&amp;" sent "&amp;TEXT($X601,"dd-mmm")&amp;". "&amp;IF($W601=6,"Final escalation completed.",IF($T601="OVERDUE","Next: "&amp;$Z601&amp;" was due "&amp;TEXT($Y601,"dd-mmm")&amp;" - "&amp;(NETWORKDAYS($Y601,TODAY(),Holidays)-1)&amp;" business day(s) late. Send now.",IF($T601="DUE TOMORROW","Next: "&amp;$Z601&amp;IF($Y601&lt;=TODAY()," is due TODAY ("," is due next business day (")&amp;TEXT($Y601,"dd-mmm")&amp;").","Next: "&amp;$Z601&amp;" due "&amp;TEXT($Y601,"dd-mmm")&amp;" ("&amp;(NETWORKDAYS(TODAY(),$Y601,Holidays)-1)&amp;" business day(s) left).")))))</f>
        <v/>
      </c>
      <c r="V601" s="17">
        <f>IF($W601="","",CHOOSE($W601,"Collection Email","1st Follow-up","2nd Follow-up","Local Office","CBE","Roxanne")&amp;IF($W601=6," - Final"," - Day "&amp;MAX(0,NETWORKDAYS($X601,TODAY(),Holidays)-1)&amp;" of "&amp;CHOOSE($W601,3,3,2,2,3))&amp;" | Total Day "&amp;MAX(0,NETWORKDAYS($L601,TODAY(),Holidays)-1))</f>
        <v/>
      </c>
      <c r="W601" s="17">
        <f>IF($L601="","",COUNT($L601:$Q601))</f>
        <v/>
      </c>
      <c r="X601" s="18">
        <f>IF($W601="","",INT(INDEX($L601:$Q601,$W601)))</f>
        <v/>
      </c>
      <c r="Y601" s="18">
        <f>IF(OR($W601="",$W601=6),"",WORKDAY($X601,CHOOSE($W601,3,3,2,2,3),Holidays))</f>
        <v/>
      </c>
      <c r="Z601" s="17">
        <f>IF(OR($W601="",$W601=6),"",CHOOSE($W601,"1st Email Follow-up","2nd Email Follow-up","Escalate Local Office","Escalate to CBE","Escalate to Roxanne"))</f>
        <v/>
      </c>
    </row>
    <row r="602" spans="18:26">
      <c r="R602" s="15"/>
      <c r="S602" s="16"/>
      <c r="T602" s="17">
        <f>IF(AND(COUNTA($A602:$K602)=0,$L602=""),"",IF($S602="Paid","PAID",IF($S602="Closed","CLOSED",IF($W602="","",IF($W602=6,"ESCALATED TO ROXANNE",IF(TODAY()&gt;$Y602,"OVERDUE",IF($Y602&lt;=WORKDAY(TODAY(),1,Holidays),"DUE TOMORROW",IF($W602=4,"ESCALATED TO LOCAL OFFICE",IF($W602=5,"ESCALATED TO CBE",IF($X602=TODAY(),"EMAIL SENT","MONITORING"))))))))))</f>
        <v/>
      </c>
      <c r="U602" s="17">
        <f>IF($T602="",IF(AND(COUNTA($A602:$K602)&gt;0,$L602=""),"Awaiting Collection Email time stamp.",""),IF(OR($T602="PAID",$T602="CLOSED"),IF($T602="PAID","Account paid. Action completed.","Account closed. No further action required."),CHOOSE($W602,"Collection Email","1st Email Follow-up","2nd Email Follow-up","Escalation to Local Office","Escalation to CBE","Escalation to Roxanne")&amp;" sent "&amp;TEXT($X602,"dd-mmm")&amp;". "&amp;IF($W602=6,"Final escalation completed.",IF($T602="OVERDUE","Next: "&amp;$Z602&amp;" was due "&amp;TEXT($Y602,"dd-mmm")&amp;" - "&amp;(NETWORKDAYS($Y602,TODAY(),Holidays)-1)&amp;" business day(s) late. Send now.",IF($T602="DUE TOMORROW","Next: "&amp;$Z602&amp;IF($Y602&lt;=TODAY()," is due TODAY ("," is due next business day (")&amp;TEXT($Y602,"dd-mmm")&amp;").","Next: "&amp;$Z602&amp;" due "&amp;TEXT($Y602,"dd-mmm")&amp;" ("&amp;(NETWORKDAYS(TODAY(),$Y602,Holidays)-1)&amp;" business day(s) left).")))))</f>
        <v/>
      </c>
      <c r="V602" s="17">
        <f>IF($W602="","",CHOOSE($W602,"Collection Email","1st Follow-up","2nd Follow-up","Local Office","CBE","Roxanne")&amp;IF($W602=6," - Final"," - Day "&amp;MAX(0,NETWORKDAYS($X602,TODAY(),Holidays)-1)&amp;" of "&amp;CHOOSE($W602,3,3,2,2,3))&amp;" | Total Day "&amp;MAX(0,NETWORKDAYS($L602,TODAY(),Holidays)-1))</f>
        <v/>
      </c>
      <c r="W602" s="17">
        <f>IF($L602="","",COUNT($L602:$Q602))</f>
        <v/>
      </c>
      <c r="X602" s="18">
        <f>IF($W602="","",INT(INDEX($L602:$Q602,$W602)))</f>
        <v/>
      </c>
      <c r="Y602" s="18">
        <f>IF(OR($W602="",$W602=6),"",WORKDAY($X602,CHOOSE($W602,3,3,2,2,3),Holidays))</f>
        <v/>
      </c>
      <c r="Z602" s="17">
        <f>IF(OR($W602="",$W602=6),"",CHOOSE($W602,"1st Email Follow-up","2nd Email Follow-up","Escalate Local Office","Escalate to CBE","Escalate to Roxanne"))</f>
        <v/>
      </c>
    </row>
    <row r="603" spans="18:26">
      <c r="R603" s="15"/>
      <c r="S603" s="16"/>
      <c r="T603" s="17">
        <f>IF(AND(COUNTA($A603:$K603)=0,$L603=""),"",IF($S603="Paid","PAID",IF($S603="Closed","CLOSED",IF($W603="","",IF($W603=6,"ESCALATED TO ROXANNE",IF(TODAY()&gt;$Y603,"OVERDUE",IF($Y603&lt;=WORKDAY(TODAY(),1,Holidays),"DUE TOMORROW",IF($W603=4,"ESCALATED TO LOCAL OFFICE",IF($W603=5,"ESCALATED TO CBE",IF($X603=TODAY(),"EMAIL SENT","MONITORING"))))))))))</f>
        <v/>
      </c>
      <c r="U603" s="17">
        <f>IF($T603="",IF(AND(COUNTA($A603:$K603)&gt;0,$L603=""),"Awaiting Collection Email time stamp.",""),IF(OR($T603="PAID",$T603="CLOSED"),IF($T603="PAID","Account paid. Action completed.","Account closed. No further action required."),CHOOSE($W603,"Collection Email","1st Email Follow-up","2nd Email Follow-up","Escalation to Local Office","Escalation to CBE","Escalation to Roxanne")&amp;" sent "&amp;TEXT($X603,"dd-mmm")&amp;". "&amp;IF($W603=6,"Final escalation completed.",IF($T603="OVERDUE","Next: "&amp;$Z603&amp;" was due "&amp;TEXT($Y603,"dd-mmm")&amp;" - "&amp;(NETWORKDAYS($Y603,TODAY(),Holidays)-1)&amp;" business day(s) late. Send now.",IF($T603="DUE TOMORROW","Next: "&amp;$Z603&amp;IF($Y603&lt;=TODAY()," is due TODAY ("," is due next business day (")&amp;TEXT($Y603,"dd-mmm")&amp;").","Next: "&amp;$Z603&amp;" due "&amp;TEXT($Y603,"dd-mmm")&amp;" ("&amp;(NETWORKDAYS(TODAY(),$Y603,Holidays)-1)&amp;" business day(s) left).")))))</f>
        <v/>
      </c>
      <c r="V603" s="17">
        <f>IF($W603="","",CHOOSE($W603,"Collection Email","1st Follow-up","2nd Follow-up","Local Office","CBE","Roxanne")&amp;IF($W603=6," - Final"," - Day "&amp;MAX(0,NETWORKDAYS($X603,TODAY(),Holidays)-1)&amp;" of "&amp;CHOOSE($W603,3,3,2,2,3))&amp;" | Total Day "&amp;MAX(0,NETWORKDAYS($L603,TODAY(),Holidays)-1))</f>
        <v/>
      </c>
      <c r="W603" s="17">
        <f>IF($L603="","",COUNT($L603:$Q603))</f>
        <v/>
      </c>
      <c r="X603" s="18">
        <f>IF($W603="","",INT(INDEX($L603:$Q603,$W603)))</f>
        <v/>
      </c>
      <c r="Y603" s="18">
        <f>IF(OR($W603="",$W603=6),"",WORKDAY($X603,CHOOSE($W603,3,3,2,2,3),Holidays))</f>
        <v/>
      </c>
      <c r="Z603" s="17">
        <f>IF(OR($W603="",$W603=6),"",CHOOSE($W603,"1st Email Follow-up","2nd Email Follow-up","Escalate Local Office","Escalate to CBE","Escalate to Roxanne"))</f>
        <v/>
      </c>
    </row>
    <row r="604" spans="18:26">
      <c r="R604" s="15"/>
      <c r="S604" s="16"/>
      <c r="T604" s="17">
        <f>IF(AND(COUNTA($A604:$K604)=0,$L604=""),"",IF($S604="Paid","PAID",IF($S604="Closed","CLOSED",IF($W604="","",IF($W604=6,"ESCALATED TO ROXANNE",IF(TODAY()&gt;$Y604,"OVERDUE",IF($Y604&lt;=WORKDAY(TODAY(),1,Holidays),"DUE TOMORROW",IF($W604=4,"ESCALATED TO LOCAL OFFICE",IF($W604=5,"ESCALATED TO CBE",IF($X604=TODAY(),"EMAIL SENT","MONITORING"))))))))))</f>
        <v/>
      </c>
      <c r="U604" s="17">
        <f>IF($T604="",IF(AND(COUNTA($A604:$K604)&gt;0,$L604=""),"Awaiting Collection Email time stamp.",""),IF(OR($T604="PAID",$T604="CLOSED"),IF($T604="PAID","Account paid. Action completed.","Account closed. No further action required."),CHOOSE($W604,"Collection Email","1st Email Follow-up","2nd Email Follow-up","Escalation to Local Office","Escalation to CBE","Escalation to Roxanne")&amp;" sent "&amp;TEXT($X604,"dd-mmm")&amp;". "&amp;IF($W604=6,"Final escalation completed.",IF($T604="OVERDUE","Next: "&amp;$Z604&amp;" was due "&amp;TEXT($Y604,"dd-mmm")&amp;" - "&amp;(NETWORKDAYS($Y604,TODAY(),Holidays)-1)&amp;" business day(s) late. Send now.",IF($T604="DUE TOMORROW","Next: "&amp;$Z604&amp;IF($Y604&lt;=TODAY()," is due TODAY ("," is due next business day (")&amp;TEXT($Y604,"dd-mmm")&amp;").","Next: "&amp;$Z604&amp;" due "&amp;TEXT($Y604,"dd-mmm")&amp;" ("&amp;(NETWORKDAYS(TODAY(),$Y604,Holidays)-1)&amp;" business day(s) left).")))))</f>
        <v/>
      </c>
      <c r="V604" s="17">
        <f>IF($W604="","",CHOOSE($W604,"Collection Email","1st Follow-up","2nd Follow-up","Local Office","CBE","Roxanne")&amp;IF($W604=6," - Final"," - Day "&amp;MAX(0,NETWORKDAYS($X604,TODAY(),Holidays)-1)&amp;" of "&amp;CHOOSE($W604,3,3,2,2,3))&amp;" | Total Day "&amp;MAX(0,NETWORKDAYS($L604,TODAY(),Holidays)-1))</f>
        <v/>
      </c>
      <c r="W604" s="17">
        <f>IF($L604="","",COUNT($L604:$Q604))</f>
        <v/>
      </c>
      <c r="X604" s="18">
        <f>IF($W604="","",INT(INDEX($L604:$Q604,$W604)))</f>
        <v/>
      </c>
      <c r="Y604" s="18">
        <f>IF(OR($W604="",$W604=6),"",WORKDAY($X604,CHOOSE($W604,3,3,2,2,3),Holidays))</f>
        <v/>
      </c>
      <c r="Z604" s="17">
        <f>IF(OR($W604="",$W604=6),"",CHOOSE($W604,"1st Email Follow-up","2nd Email Follow-up","Escalate Local Office","Escalate to CBE","Escalate to Roxanne"))</f>
        <v/>
      </c>
    </row>
    <row r="605" spans="18:26">
      <c r="R605" s="15"/>
      <c r="S605" s="16"/>
      <c r="T605" s="17">
        <f>IF(AND(COUNTA($A605:$K605)=0,$L605=""),"",IF($S605="Paid","PAID",IF($S605="Closed","CLOSED",IF($W605="","",IF($W605=6,"ESCALATED TO ROXANNE",IF(TODAY()&gt;$Y605,"OVERDUE",IF($Y605&lt;=WORKDAY(TODAY(),1,Holidays),"DUE TOMORROW",IF($W605=4,"ESCALATED TO LOCAL OFFICE",IF($W605=5,"ESCALATED TO CBE",IF($X605=TODAY(),"EMAIL SENT","MONITORING"))))))))))</f>
        <v/>
      </c>
      <c r="U605" s="17">
        <f>IF($T605="",IF(AND(COUNTA($A605:$K605)&gt;0,$L605=""),"Awaiting Collection Email time stamp.",""),IF(OR($T605="PAID",$T605="CLOSED"),IF($T605="PAID","Account paid. Action completed.","Account closed. No further action required."),CHOOSE($W605,"Collection Email","1st Email Follow-up","2nd Email Follow-up","Escalation to Local Office","Escalation to CBE","Escalation to Roxanne")&amp;" sent "&amp;TEXT($X605,"dd-mmm")&amp;". "&amp;IF($W605=6,"Final escalation completed.",IF($T605="OVERDUE","Next: "&amp;$Z605&amp;" was due "&amp;TEXT($Y605,"dd-mmm")&amp;" - "&amp;(NETWORKDAYS($Y605,TODAY(),Holidays)-1)&amp;" business day(s) late. Send now.",IF($T605="DUE TOMORROW","Next: "&amp;$Z605&amp;IF($Y605&lt;=TODAY()," is due TODAY ("," is due next business day (")&amp;TEXT($Y605,"dd-mmm")&amp;").","Next: "&amp;$Z605&amp;" due "&amp;TEXT($Y605,"dd-mmm")&amp;" ("&amp;(NETWORKDAYS(TODAY(),$Y605,Holidays)-1)&amp;" business day(s) left).")))))</f>
        <v/>
      </c>
      <c r="V605" s="17">
        <f>IF($W605="","",CHOOSE($W605,"Collection Email","1st Follow-up","2nd Follow-up","Local Office","CBE","Roxanne")&amp;IF($W605=6," - Final"," - Day "&amp;MAX(0,NETWORKDAYS($X605,TODAY(),Holidays)-1)&amp;" of "&amp;CHOOSE($W605,3,3,2,2,3))&amp;" | Total Day "&amp;MAX(0,NETWORKDAYS($L605,TODAY(),Holidays)-1))</f>
        <v/>
      </c>
      <c r="W605" s="17">
        <f>IF($L605="","",COUNT($L605:$Q605))</f>
        <v/>
      </c>
      <c r="X605" s="18">
        <f>IF($W605="","",INT(INDEX($L605:$Q605,$W605)))</f>
        <v/>
      </c>
      <c r="Y605" s="18">
        <f>IF(OR($W605="",$W605=6),"",WORKDAY($X605,CHOOSE($W605,3,3,2,2,3),Holidays))</f>
        <v/>
      </c>
      <c r="Z605" s="17">
        <f>IF(OR($W605="",$W605=6),"",CHOOSE($W605,"1st Email Follow-up","2nd Email Follow-up","Escalate Local Office","Escalate to CBE","Escalate to Roxanne"))</f>
        <v/>
      </c>
    </row>
    <row r="606" spans="18:26">
      <c r="R606" s="15"/>
      <c r="S606" s="16"/>
      <c r="T606" s="17">
        <f>IF(AND(COUNTA($A606:$K606)=0,$L606=""),"",IF($S606="Paid","PAID",IF($S606="Closed","CLOSED",IF($W606="","",IF($W606=6,"ESCALATED TO ROXANNE",IF(TODAY()&gt;$Y606,"OVERDUE",IF($Y606&lt;=WORKDAY(TODAY(),1,Holidays),"DUE TOMORROW",IF($W606=4,"ESCALATED TO LOCAL OFFICE",IF($W606=5,"ESCALATED TO CBE",IF($X606=TODAY(),"EMAIL SENT","MONITORING"))))))))))</f>
        <v/>
      </c>
      <c r="U606" s="17">
        <f>IF($T606="",IF(AND(COUNTA($A606:$K606)&gt;0,$L606=""),"Awaiting Collection Email time stamp.",""),IF(OR($T606="PAID",$T606="CLOSED"),IF($T606="PAID","Account paid. Action completed.","Account closed. No further action required."),CHOOSE($W606,"Collection Email","1st Email Follow-up","2nd Email Follow-up","Escalation to Local Office","Escalation to CBE","Escalation to Roxanne")&amp;" sent "&amp;TEXT($X606,"dd-mmm")&amp;". "&amp;IF($W606=6,"Final escalation completed.",IF($T606="OVERDUE","Next: "&amp;$Z606&amp;" was due "&amp;TEXT($Y606,"dd-mmm")&amp;" - "&amp;(NETWORKDAYS($Y606,TODAY(),Holidays)-1)&amp;" business day(s) late. Send now.",IF($T606="DUE TOMORROW","Next: "&amp;$Z606&amp;IF($Y606&lt;=TODAY()," is due TODAY ("," is due next business day (")&amp;TEXT($Y606,"dd-mmm")&amp;").","Next: "&amp;$Z606&amp;" due "&amp;TEXT($Y606,"dd-mmm")&amp;" ("&amp;(NETWORKDAYS(TODAY(),$Y606,Holidays)-1)&amp;" business day(s) left).")))))</f>
        <v/>
      </c>
      <c r="V606" s="17">
        <f>IF($W606="","",CHOOSE($W606,"Collection Email","1st Follow-up","2nd Follow-up","Local Office","CBE","Roxanne")&amp;IF($W606=6," - Final"," - Day "&amp;MAX(0,NETWORKDAYS($X606,TODAY(),Holidays)-1)&amp;" of "&amp;CHOOSE($W606,3,3,2,2,3))&amp;" | Total Day "&amp;MAX(0,NETWORKDAYS($L606,TODAY(),Holidays)-1))</f>
        <v/>
      </c>
      <c r="W606" s="17">
        <f>IF($L606="","",COUNT($L606:$Q606))</f>
        <v/>
      </c>
      <c r="X606" s="18">
        <f>IF($W606="","",INT(INDEX($L606:$Q606,$W606)))</f>
        <v/>
      </c>
      <c r="Y606" s="18">
        <f>IF(OR($W606="",$W606=6),"",WORKDAY($X606,CHOOSE($W606,3,3,2,2,3),Holidays))</f>
        <v/>
      </c>
      <c r="Z606" s="17">
        <f>IF(OR($W606="",$W606=6),"",CHOOSE($W606,"1st Email Follow-up","2nd Email Follow-up","Escalate Local Office","Escalate to CBE","Escalate to Roxanne"))</f>
        <v/>
      </c>
    </row>
    <row r="607" spans="18:26">
      <c r="R607" s="15"/>
      <c r="S607" s="16"/>
      <c r="T607" s="17">
        <f>IF(AND(COUNTA($A607:$K607)=0,$L607=""),"",IF($S607="Paid","PAID",IF($S607="Closed","CLOSED",IF($W607="","",IF($W607=6,"ESCALATED TO ROXANNE",IF(TODAY()&gt;$Y607,"OVERDUE",IF($Y607&lt;=WORKDAY(TODAY(),1,Holidays),"DUE TOMORROW",IF($W607=4,"ESCALATED TO LOCAL OFFICE",IF($W607=5,"ESCALATED TO CBE",IF($X607=TODAY(),"EMAIL SENT","MONITORING"))))))))))</f>
        <v/>
      </c>
      <c r="U607" s="17">
        <f>IF($T607="",IF(AND(COUNTA($A607:$K607)&gt;0,$L607=""),"Awaiting Collection Email time stamp.",""),IF(OR($T607="PAID",$T607="CLOSED"),IF($T607="PAID","Account paid. Action completed.","Account closed. No further action required."),CHOOSE($W607,"Collection Email","1st Email Follow-up","2nd Email Follow-up","Escalation to Local Office","Escalation to CBE","Escalation to Roxanne")&amp;" sent "&amp;TEXT($X607,"dd-mmm")&amp;". "&amp;IF($W607=6,"Final escalation completed.",IF($T607="OVERDUE","Next: "&amp;$Z607&amp;" was due "&amp;TEXT($Y607,"dd-mmm")&amp;" - "&amp;(NETWORKDAYS($Y607,TODAY(),Holidays)-1)&amp;" business day(s) late. Send now.",IF($T607="DUE TOMORROW","Next: "&amp;$Z607&amp;IF($Y607&lt;=TODAY()," is due TODAY ("," is due next business day (")&amp;TEXT($Y607,"dd-mmm")&amp;").","Next: "&amp;$Z607&amp;" due "&amp;TEXT($Y607,"dd-mmm")&amp;" ("&amp;(NETWORKDAYS(TODAY(),$Y607,Holidays)-1)&amp;" business day(s) left).")))))</f>
        <v/>
      </c>
      <c r="V607" s="17">
        <f>IF($W607="","",CHOOSE($W607,"Collection Email","1st Follow-up","2nd Follow-up","Local Office","CBE","Roxanne")&amp;IF($W607=6," - Final"," - Day "&amp;MAX(0,NETWORKDAYS($X607,TODAY(),Holidays)-1)&amp;" of "&amp;CHOOSE($W607,3,3,2,2,3))&amp;" | Total Day "&amp;MAX(0,NETWORKDAYS($L607,TODAY(),Holidays)-1))</f>
        <v/>
      </c>
      <c r="W607" s="17">
        <f>IF($L607="","",COUNT($L607:$Q607))</f>
        <v/>
      </c>
      <c r="X607" s="18">
        <f>IF($W607="","",INT(INDEX($L607:$Q607,$W607)))</f>
        <v/>
      </c>
      <c r="Y607" s="18">
        <f>IF(OR($W607="",$W607=6),"",WORKDAY($X607,CHOOSE($W607,3,3,2,2,3),Holidays))</f>
        <v/>
      </c>
      <c r="Z607" s="17">
        <f>IF(OR($W607="",$W607=6),"",CHOOSE($W607,"1st Email Follow-up","2nd Email Follow-up","Escalate Local Office","Escalate to CBE","Escalate to Roxanne"))</f>
        <v/>
      </c>
    </row>
    <row r="608" spans="18:26">
      <c r="R608" s="15"/>
      <c r="S608" s="16"/>
      <c r="T608" s="17">
        <f>IF(AND(COUNTA($A608:$K608)=0,$L608=""),"",IF($S608="Paid","PAID",IF($S608="Closed","CLOSED",IF($W608="","",IF($W608=6,"ESCALATED TO ROXANNE",IF(TODAY()&gt;$Y608,"OVERDUE",IF($Y608&lt;=WORKDAY(TODAY(),1,Holidays),"DUE TOMORROW",IF($W608=4,"ESCALATED TO LOCAL OFFICE",IF($W608=5,"ESCALATED TO CBE",IF($X608=TODAY(),"EMAIL SENT","MONITORING"))))))))))</f>
        <v/>
      </c>
      <c r="U608" s="17">
        <f>IF($T608="",IF(AND(COUNTA($A608:$K608)&gt;0,$L608=""),"Awaiting Collection Email time stamp.",""),IF(OR($T608="PAID",$T608="CLOSED"),IF($T608="PAID","Account paid. Action completed.","Account closed. No further action required."),CHOOSE($W608,"Collection Email","1st Email Follow-up","2nd Email Follow-up","Escalation to Local Office","Escalation to CBE","Escalation to Roxanne")&amp;" sent "&amp;TEXT($X608,"dd-mmm")&amp;". "&amp;IF($W608=6,"Final escalation completed.",IF($T608="OVERDUE","Next: "&amp;$Z608&amp;" was due "&amp;TEXT($Y608,"dd-mmm")&amp;" - "&amp;(NETWORKDAYS($Y608,TODAY(),Holidays)-1)&amp;" business day(s) late. Send now.",IF($T608="DUE TOMORROW","Next: "&amp;$Z608&amp;IF($Y608&lt;=TODAY()," is due TODAY ("," is due next business day (")&amp;TEXT($Y608,"dd-mmm")&amp;").","Next: "&amp;$Z608&amp;" due "&amp;TEXT($Y608,"dd-mmm")&amp;" ("&amp;(NETWORKDAYS(TODAY(),$Y608,Holidays)-1)&amp;" business day(s) left).")))))</f>
        <v/>
      </c>
      <c r="V608" s="17">
        <f>IF($W608="","",CHOOSE($W608,"Collection Email","1st Follow-up","2nd Follow-up","Local Office","CBE","Roxanne")&amp;IF($W608=6," - Final"," - Day "&amp;MAX(0,NETWORKDAYS($X608,TODAY(),Holidays)-1)&amp;" of "&amp;CHOOSE($W608,3,3,2,2,3))&amp;" | Total Day "&amp;MAX(0,NETWORKDAYS($L608,TODAY(),Holidays)-1))</f>
        <v/>
      </c>
      <c r="W608" s="17">
        <f>IF($L608="","",COUNT($L608:$Q608))</f>
        <v/>
      </c>
      <c r="X608" s="18">
        <f>IF($W608="","",INT(INDEX($L608:$Q608,$W608)))</f>
        <v/>
      </c>
      <c r="Y608" s="18">
        <f>IF(OR($W608="",$W608=6),"",WORKDAY($X608,CHOOSE($W608,3,3,2,2,3),Holidays))</f>
        <v/>
      </c>
      <c r="Z608" s="17">
        <f>IF(OR($W608="",$W608=6),"",CHOOSE($W608,"1st Email Follow-up","2nd Email Follow-up","Escalate Local Office","Escalate to CBE","Escalate to Roxanne"))</f>
        <v/>
      </c>
    </row>
    <row r="609" spans="18:26">
      <c r="R609" s="15"/>
      <c r="S609" s="16"/>
      <c r="T609" s="17">
        <f>IF(AND(COUNTA($A609:$K609)=0,$L609=""),"",IF($S609="Paid","PAID",IF($S609="Closed","CLOSED",IF($W609="","",IF($W609=6,"ESCALATED TO ROXANNE",IF(TODAY()&gt;$Y609,"OVERDUE",IF($Y609&lt;=WORKDAY(TODAY(),1,Holidays),"DUE TOMORROW",IF($W609=4,"ESCALATED TO LOCAL OFFICE",IF($W609=5,"ESCALATED TO CBE",IF($X609=TODAY(),"EMAIL SENT","MONITORING"))))))))))</f>
        <v/>
      </c>
      <c r="U609" s="17">
        <f>IF($T609="",IF(AND(COUNTA($A609:$K609)&gt;0,$L609=""),"Awaiting Collection Email time stamp.",""),IF(OR($T609="PAID",$T609="CLOSED"),IF($T609="PAID","Account paid. Action completed.","Account closed. No further action required."),CHOOSE($W609,"Collection Email","1st Email Follow-up","2nd Email Follow-up","Escalation to Local Office","Escalation to CBE","Escalation to Roxanne")&amp;" sent "&amp;TEXT($X609,"dd-mmm")&amp;". "&amp;IF($W609=6,"Final escalation completed.",IF($T609="OVERDUE","Next: "&amp;$Z609&amp;" was due "&amp;TEXT($Y609,"dd-mmm")&amp;" - "&amp;(NETWORKDAYS($Y609,TODAY(),Holidays)-1)&amp;" business day(s) late. Send now.",IF($T609="DUE TOMORROW","Next: "&amp;$Z609&amp;IF($Y609&lt;=TODAY()," is due TODAY ("," is due next business day (")&amp;TEXT($Y609,"dd-mmm")&amp;").","Next: "&amp;$Z609&amp;" due "&amp;TEXT($Y609,"dd-mmm")&amp;" ("&amp;(NETWORKDAYS(TODAY(),$Y609,Holidays)-1)&amp;" business day(s) left).")))))</f>
        <v/>
      </c>
      <c r="V609" s="17">
        <f>IF($W609="","",CHOOSE($W609,"Collection Email","1st Follow-up","2nd Follow-up","Local Office","CBE","Roxanne")&amp;IF($W609=6," - Final"," - Day "&amp;MAX(0,NETWORKDAYS($X609,TODAY(),Holidays)-1)&amp;" of "&amp;CHOOSE($W609,3,3,2,2,3))&amp;" | Total Day "&amp;MAX(0,NETWORKDAYS($L609,TODAY(),Holidays)-1))</f>
        <v/>
      </c>
      <c r="W609" s="17">
        <f>IF($L609="","",COUNT($L609:$Q609))</f>
        <v/>
      </c>
      <c r="X609" s="18">
        <f>IF($W609="","",INT(INDEX($L609:$Q609,$W609)))</f>
        <v/>
      </c>
      <c r="Y609" s="18">
        <f>IF(OR($W609="",$W609=6),"",WORKDAY($X609,CHOOSE($W609,3,3,2,2,3),Holidays))</f>
        <v/>
      </c>
      <c r="Z609" s="17">
        <f>IF(OR($W609="",$W609=6),"",CHOOSE($W609,"1st Email Follow-up","2nd Email Follow-up","Escalate Local Office","Escalate to CBE","Escalate to Roxanne"))</f>
        <v/>
      </c>
    </row>
    <row r="610" spans="18:26">
      <c r="R610" s="15"/>
      <c r="S610" s="16"/>
      <c r="T610" s="17">
        <f>IF(AND(COUNTA($A610:$K610)=0,$L610=""),"",IF($S610="Paid","PAID",IF($S610="Closed","CLOSED",IF($W610="","",IF($W610=6,"ESCALATED TO ROXANNE",IF(TODAY()&gt;$Y610,"OVERDUE",IF($Y610&lt;=WORKDAY(TODAY(),1,Holidays),"DUE TOMORROW",IF($W610=4,"ESCALATED TO LOCAL OFFICE",IF($W610=5,"ESCALATED TO CBE",IF($X610=TODAY(),"EMAIL SENT","MONITORING"))))))))))</f>
        <v/>
      </c>
      <c r="U610" s="17">
        <f>IF($T610="",IF(AND(COUNTA($A610:$K610)&gt;0,$L610=""),"Awaiting Collection Email time stamp.",""),IF(OR($T610="PAID",$T610="CLOSED"),IF($T610="PAID","Account paid. Action completed.","Account closed. No further action required."),CHOOSE($W610,"Collection Email","1st Email Follow-up","2nd Email Follow-up","Escalation to Local Office","Escalation to CBE","Escalation to Roxanne")&amp;" sent "&amp;TEXT($X610,"dd-mmm")&amp;". "&amp;IF($W610=6,"Final escalation completed.",IF($T610="OVERDUE","Next: "&amp;$Z610&amp;" was due "&amp;TEXT($Y610,"dd-mmm")&amp;" - "&amp;(NETWORKDAYS($Y610,TODAY(),Holidays)-1)&amp;" business day(s) late. Send now.",IF($T610="DUE TOMORROW","Next: "&amp;$Z610&amp;IF($Y610&lt;=TODAY()," is due TODAY ("," is due next business day (")&amp;TEXT($Y610,"dd-mmm")&amp;").","Next: "&amp;$Z610&amp;" due "&amp;TEXT($Y610,"dd-mmm")&amp;" ("&amp;(NETWORKDAYS(TODAY(),$Y610,Holidays)-1)&amp;" business day(s) left).")))))</f>
        <v/>
      </c>
      <c r="V610" s="17">
        <f>IF($W610="","",CHOOSE($W610,"Collection Email","1st Follow-up","2nd Follow-up","Local Office","CBE","Roxanne")&amp;IF($W610=6," - Final"," - Day "&amp;MAX(0,NETWORKDAYS($X610,TODAY(),Holidays)-1)&amp;" of "&amp;CHOOSE($W610,3,3,2,2,3))&amp;" | Total Day "&amp;MAX(0,NETWORKDAYS($L610,TODAY(),Holidays)-1))</f>
        <v/>
      </c>
      <c r="W610" s="17">
        <f>IF($L610="","",COUNT($L610:$Q610))</f>
        <v/>
      </c>
      <c r="X610" s="18">
        <f>IF($W610="","",INT(INDEX($L610:$Q610,$W610)))</f>
        <v/>
      </c>
      <c r="Y610" s="18">
        <f>IF(OR($W610="",$W610=6),"",WORKDAY($X610,CHOOSE($W610,3,3,2,2,3),Holidays))</f>
        <v/>
      </c>
      <c r="Z610" s="17">
        <f>IF(OR($W610="",$W610=6),"",CHOOSE($W610,"1st Email Follow-up","2nd Email Follow-up","Escalate Local Office","Escalate to CBE","Escalate to Roxanne"))</f>
        <v/>
      </c>
    </row>
    <row r="611" spans="18:26">
      <c r="R611" s="15"/>
      <c r="S611" s="16"/>
      <c r="T611" s="17">
        <f>IF(AND(COUNTA($A611:$K611)=0,$L611=""),"",IF($S611="Paid","PAID",IF($S611="Closed","CLOSED",IF($W611="","",IF($W611=6,"ESCALATED TO ROXANNE",IF(TODAY()&gt;$Y611,"OVERDUE",IF($Y611&lt;=WORKDAY(TODAY(),1,Holidays),"DUE TOMORROW",IF($W611=4,"ESCALATED TO LOCAL OFFICE",IF($W611=5,"ESCALATED TO CBE",IF($X611=TODAY(),"EMAIL SENT","MONITORING"))))))))))</f>
        <v/>
      </c>
      <c r="U611" s="17">
        <f>IF($T611="",IF(AND(COUNTA($A611:$K611)&gt;0,$L611=""),"Awaiting Collection Email time stamp.",""),IF(OR($T611="PAID",$T611="CLOSED"),IF($T611="PAID","Account paid. Action completed.","Account closed. No further action required."),CHOOSE($W611,"Collection Email","1st Email Follow-up","2nd Email Follow-up","Escalation to Local Office","Escalation to CBE","Escalation to Roxanne")&amp;" sent "&amp;TEXT($X611,"dd-mmm")&amp;". "&amp;IF($W611=6,"Final escalation completed.",IF($T611="OVERDUE","Next: "&amp;$Z611&amp;" was due "&amp;TEXT($Y611,"dd-mmm")&amp;" - "&amp;(NETWORKDAYS($Y611,TODAY(),Holidays)-1)&amp;" business day(s) late. Send now.",IF($T611="DUE TOMORROW","Next: "&amp;$Z611&amp;IF($Y611&lt;=TODAY()," is due TODAY ("," is due next business day (")&amp;TEXT($Y611,"dd-mmm")&amp;").","Next: "&amp;$Z611&amp;" due "&amp;TEXT($Y611,"dd-mmm")&amp;" ("&amp;(NETWORKDAYS(TODAY(),$Y611,Holidays)-1)&amp;" business day(s) left).")))))</f>
        <v/>
      </c>
      <c r="V611" s="17">
        <f>IF($W611="","",CHOOSE($W611,"Collection Email","1st Follow-up","2nd Follow-up","Local Office","CBE","Roxanne")&amp;IF($W611=6," - Final"," - Day "&amp;MAX(0,NETWORKDAYS($X611,TODAY(),Holidays)-1)&amp;" of "&amp;CHOOSE($W611,3,3,2,2,3))&amp;" | Total Day "&amp;MAX(0,NETWORKDAYS($L611,TODAY(),Holidays)-1))</f>
        <v/>
      </c>
      <c r="W611" s="17">
        <f>IF($L611="","",COUNT($L611:$Q611))</f>
        <v/>
      </c>
      <c r="X611" s="18">
        <f>IF($W611="","",INT(INDEX($L611:$Q611,$W611)))</f>
        <v/>
      </c>
      <c r="Y611" s="18">
        <f>IF(OR($W611="",$W611=6),"",WORKDAY($X611,CHOOSE($W611,3,3,2,2,3),Holidays))</f>
        <v/>
      </c>
      <c r="Z611" s="17">
        <f>IF(OR($W611="",$W611=6),"",CHOOSE($W611,"1st Email Follow-up","2nd Email Follow-up","Escalate Local Office","Escalate to CBE","Escalate to Roxanne"))</f>
        <v/>
      </c>
    </row>
    <row r="612" spans="18:26">
      <c r="R612" s="15"/>
      <c r="S612" s="16"/>
      <c r="T612" s="17">
        <f>IF(AND(COUNTA($A612:$K612)=0,$L612=""),"",IF($S612="Paid","PAID",IF($S612="Closed","CLOSED",IF($W612="","",IF($W612=6,"ESCALATED TO ROXANNE",IF(TODAY()&gt;$Y612,"OVERDUE",IF($Y612&lt;=WORKDAY(TODAY(),1,Holidays),"DUE TOMORROW",IF($W612=4,"ESCALATED TO LOCAL OFFICE",IF($W612=5,"ESCALATED TO CBE",IF($X612=TODAY(),"EMAIL SENT","MONITORING"))))))))))</f>
        <v/>
      </c>
      <c r="U612" s="17">
        <f>IF($T612="",IF(AND(COUNTA($A612:$K612)&gt;0,$L612=""),"Awaiting Collection Email time stamp.",""),IF(OR($T612="PAID",$T612="CLOSED"),IF($T612="PAID","Account paid. Action completed.","Account closed. No further action required."),CHOOSE($W612,"Collection Email","1st Email Follow-up","2nd Email Follow-up","Escalation to Local Office","Escalation to CBE","Escalation to Roxanne")&amp;" sent "&amp;TEXT($X612,"dd-mmm")&amp;". "&amp;IF($W612=6,"Final escalation completed.",IF($T612="OVERDUE","Next: "&amp;$Z612&amp;" was due "&amp;TEXT($Y612,"dd-mmm")&amp;" - "&amp;(NETWORKDAYS($Y612,TODAY(),Holidays)-1)&amp;" business day(s) late. Send now.",IF($T612="DUE TOMORROW","Next: "&amp;$Z612&amp;IF($Y612&lt;=TODAY()," is due TODAY ("," is due next business day (")&amp;TEXT($Y612,"dd-mmm")&amp;").","Next: "&amp;$Z612&amp;" due "&amp;TEXT($Y612,"dd-mmm")&amp;" ("&amp;(NETWORKDAYS(TODAY(),$Y612,Holidays)-1)&amp;" business day(s) left).")))))</f>
        <v/>
      </c>
      <c r="V612" s="17">
        <f>IF($W612="","",CHOOSE($W612,"Collection Email","1st Follow-up","2nd Follow-up","Local Office","CBE","Roxanne")&amp;IF($W612=6," - Final"," - Day "&amp;MAX(0,NETWORKDAYS($X612,TODAY(),Holidays)-1)&amp;" of "&amp;CHOOSE($W612,3,3,2,2,3))&amp;" | Total Day "&amp;MAX(0,NETWORKDAYS($L612,TODAY(),Holidays)-1))</f>
        <v/>
      </c>
      <c r="W612" s="17">
        <f>IF($L612="","",COUNT($L612:$Q612))</f>
        <v/>
      </c>
      <c r="X612" s="18">
        <f>IF($W612="","",INT(INDEX($L612:$Q612,$W612)))</f>
        <v/>
      </c>
      <c r="Y612" s="18">
        <f>IF(OR($W612="",$W612=6),"",WORKDAY($X612,CHOOSE($W612,3,3,2,2,3),Holidays))</f>
        <v/>
      </c>
      <c r="Z612" s="17">
        <f>IF(OR($W612="",$W612=6),"",CHOOSE($W612,"1st Email Follow-up","2nd Email Follow-up","Escalate Local Office","Escalate to CBE","Escalate to Roxanne"))</f>
        <v/>
      </c>
    </row>
    <row r="613" spans="18:26">
      <c r="R613" s="15"/>
      <c r="S613" s="16"/>
      <c r="T613" s="17">
        <f>IF(AND(COUNTA($A613:$K613)=0,$L613=""),"",IF($S613="Paid","PAID",IF($S613="Closed","CLOSED",IF($W613="","",IF($W613=6,"ESCALATED TO ROXANNE",IF(TODAY()&gt;$Y613,"OVERDUE",IF($Y613&lt;=WORKDAY(TODAY(),1,Holidays),"DUE TOMORROW",IF($W613=4,"ESCALATED TO LOCAL OFFICE",IF($W613=5,"ESCALATED TO CBE",IF($X613=TODAY(),"EMAIL SENT","MONITORING"))))))))))</f>
        <v/>
      </c>
      <c r="U613" s="17">
        <f>IF($T613="",IF(AND(COUNTA($A613:$K613)&gt;0,$L613=""),"Awaiting Collection Email time stamp.",""),IF(OR($T613="PAID",$T613="CLOSED"),IF($T613="PAID","Account paid. Action completed.","Account closed. No further action required."),CHOOSE($W613,"Collection Email","1st Email Follow-up","2nd Email Follow-up","Escalation to Local Office","Escalation to CBE","Escalation to Roxanne")&amp;" sent "&amp;TEXT($X613,"dd-mmm")&amp;". "&amp;IF($W613=6,"Final escalation completed.",IF($T613="OVERDUE","Next: "&amp;$Z613&amp;" was due "&amp;TEXT($Y613,"dd-mmm")&amp;" - "&amp;(NETWORKDAYS($Y613,TODAY(),Holidays)-1)&amp;" business day(s) late. Send now.",IF($T613="DUE TOMORROW","Next: "&amp;$Z613&amp;IF($Y613&lt;=TODAY()," is due TODAY ("," is due next business day (")&amp;TEXT($Y613,"dd-mmm")&amp;").","Next: "&amp;$Z613&amp;" due "&amp;TEXT($Y613,"dd-mmm")&amp;" ("&amp;(NETWORKDAYS(TODAY(),$Y613,Holidays)-1)&amp;" business day(s) left).")))))</f>
        <v/>
      </c>
      <c r="V613" s="17">
        <f>IF($W613="","",CHOOSE($W613,"Collection Email","1st Follow-up","2nd Follow-up","Local Office","CBE","Roxanne")&amp;IF($W613=6," - Final"," - Day "&amp;MAX(0,NETWORKDAYS($X613,TODAY(),Holidays)-1)&amp;" of "&amp;CHOOSE($W613,3,3,2,2,3))&amp;" | Total Day "&amp;MAX(0,NETWORKDAYS($L613,TODAY(),Holidays)-1))</f>
        <v/>
      </c>
      <c r="W613" s="17">
        <f>IF($L613="","",COUNT($L613:$Q613))</f>
        <v/>
      </c>
      <c r="X613" s="18">
        <f>IF($W613="","",INT(INDEX($L613:$Q613,$W613)))</f>
        <v/>
      </c>
      <c r="Y613" s="18">
        <f>IF(OR($W613="",$W613=6),"",WORKDAY($X613,CHOOSE($W613,3,3,2,2,3),Holidays))</f>
        <v/>
      </c>
      <c r="Z613" s="17">
        <f>IF(OR($W613="",$W613=6),"",CHOOSE($W613,"1st Email Follow-up","2nd Email Follow-up","Escalate Local Office","Escalate to CBE","Escalate to Roxanne"))</f>
        <v/>
      </c>
    </row>
    <row r="614" spans="18:26">
      <c r="R614" s="15"/>
      <c r="S614" s="16"/>
      <c r="T614" s="17">
        <f>IF(AND(COUNTA($A614:$K614)=0,$L614=""),"",IF($S614="Paid","PAID",IF($S614="Closed","CLOSED",IF($W614="","",IF($W614=6,"ESCALATED TO ROXANNE",IF(TODAY()&gt;$Y614,"OVERDUE",IF($Y614&lt;=WORKDAY(TODAY(),1,Holidays),"DUE TOMORROW",IF($W614=4,"ESCALATED TO LOCAL OFFICE",IF($W614=5,"ESCALATED TO CBE",IF($X614=TODAY(),"EMAIL SENT","MONITORING"))))))))))</f>
        <v/>
      </c>
      <c r="U614" s="17">
        <f>IF($T614="",IF(AND(COUNTA($A614:$K614)&gt;0,$L614=""),"Awaiting Collection Email time stamp.",""),IF(OR($T614="PAID",$T614="CLOSED"),IF($T614="PAID","Account paid. Action completed.","Account closed. No further action required."),CHOOSE($W614,"Collection Email","1st Email Follow-up","2nd Email Follow-up","Escalation to Local Office","Escalation to CBE","Escalation to Roxanne")&amp;" sent "&amp;TEXT($X614,"dd-mmm")&amp;". "&amp;IF($W614=6,"Final escalation completed.",IF($T614="OVERDUE","Next: "&amp;$Z614&amp;" was due "&amp;TEXT($Y614,"dd-mmm")&amp;" - "&amp;(NETWORKDAYS($Y614,TODAY(),Holidays)-1)&amp;" business day(s) late. Send now.",IF($T614="DUE TOMORROW","Next: "&amp;$Z614&amp;IF($Y614&lt;=TODAY()," is due TODAY ("," is due next business day (")&amp;TEXT($Y614,"dd-mmm")&amp;").","Next: "&amp;$Z614&amp;" due "&amp;TEXT($Y614,"dd-mmm")&amp;" ("&amp;(NETWORKDAYS(TODAY(),$Y614,Holidays)-1)&amp;" business day(s) left).")))))</f>
        <v/>
      </c>
      <c r="V614" s="17">
        <f>IF($W614="","",CHOOSE($W614,"Collection Email","1st Follow-up","2nd Follow-up","Local Office","CBE","Roxanne")&amp;IF($W614=6," - Final"," - Day "&amp;MAX(0,NETWORKDAYS($X614,TODAY(),Holidays)-1)&amp;" of "&amp;CHOOSE($W614,3,3,2,2,3))&amp;" | Total Day "&amp;MAX(0,NETWORKDAYS($L614,TODAY(),Holidays)-1))</f>
        <v/>
      </c>
      <c r="W614" s="17">
        <f>IF($L614="","",COUNT($L614:$Q614))</f>
        <v/>
      </c>
      <c r="X614" s="18">
        <f>IF($W614="","",INT(INDEX($L614:$Q614,$W614)))</f>
        <v/>
      </c>
      <c r="Y614" s="18">
        <f>IF(OR($W614="",$W614=6),"",WORKDAY($X614,CHOOSE($W614,3,3,2,2,3),Holidays))</f>
        <v/>
      </c>
      <c r="Z614" s="17">
        <f>IF(OR($W614="",$W614=6),"",CHOOSE($W614,"1st Email Follow-up","2nd Email Follow-up","Escalate Local Office","Escalate to CBE","Escalate to Roxanne"))</f>
        <v/>
      </c>
    </row>
    <row r="615" spans="18:26">
      <c r="R615" s="15"/>
      <c r="S615" s="16"/>
      <c r="T615" s="17">
        <f>IF(AND(COUNTA($A615:$K615)=0,$L615=""),"",IF($S615="Paid","PAID",IF($S615="Closed","CLOSED",IF($W615="","",IF($W615=6,"ESCALATED TO ROXANNE",IF(TODAY()&gt;$Y615,"OVERDUE",IF($Y615&lt;=WORKDAY(TODAY(),1,Holidays),"DUE TOMORROW",IF($W615=4,"ESCALATED TO LOCAL OFFICE",IF($W615=5,"ESCALATED TO CBE",IF($X615=TODAY(),"EMAIL SENT","MONITORING"))))))))))</f>
        <v/>
      </c>
      <c r="U615" s="17">
        <f>IF($T615="",IF(AND(COUNTA($A615:$K615)&gt;0,$L615=""),"Awaiting Collection Email time stamp.",""),IF(OR($T615="PAID",$T615="CLOSED"),IF($T615="PAID","Account paid. Action completed.","Account closed. No further action required."),CHOOSE($W615,"Collection Email","1st Email Follow-up","2nd Email Follow-up","Escalation to Local Office","Escalation to CBE","Escalation to Roxanne")&amp;" sent "&amp;TEXT($X615,"dd-mmm")&amp;". "&amp;IF($W615=6,"Final escalation completed.",IF($T615="OVERDUE","Next: "&amp;$Z615&amp;" was due "&amp;TEXT($Y615,"dd-mmm")&amp;" - "&amp;(NETWORKDAYS($Y615,TODAY(),Holidays)-1)&amp;" business day(s) late. Send now.",IF($T615="DUE TOMORROW","Next: "&amp;$Z615&amp;IF($Y615&lt;=TODAY()," is due TODAY ("," is due next business day (")&amp;TEXT($Y615,"dd-mmm")&amp;").","Next: "&amp;$Z615&amp;" due "&amp;TEXT($Y615,"dd-mmm")&amp;" ("&amp;(NETWORKDAYS(TODAY(),$Y615,Holidays)-1)&amp;" business day(s) left).")))))</f>
        <v/>
      </c>
      <c r="V615" s="17">
        <f>IF($W615="","",CHOOSE($W615,"Collection Email","1st Follow-up","2nd Follow-up","Local Office","CBE","Roxanne")&amp;IF($W615=6," - Final"," - Day "&amp;MAX(0,NETWORKDAYS($X615,TODAY(),Holidays)-1)&amp;" of "&amp;CHOOSE($W615,3,3,2,2,3))&amp;" | Total Day "&amp;MAX(0,NETWORKDAYS($L615,TODAY(),Holidays)-1))</f>
        <v/>
      </c>
      <c r="W615" s="17">
        <f>IF($L615="","",COUNT($L615:$Q615))</f>
        <v/>
      </c>
      <c r="X615" s="18">
        <f>IF($W615="","",INT(INDEX($L615:$Q615,$W615)))</f>
        <v/>
      </c>
      <c r="Y615" s="18">
        <f>IF(OR($W615="",$W615=6),"",WORKDAY($X615,CHOOSE($W615,3,3,2,2,3),Holidays))</f>
        <v/>
      </c>
      <c r="Z615" s="17">
        <f>IF(OR($W615="",$W615=6),"",CHOOSE($W615,"1st Email Follow-up","2nd Email Follow-up","Escalate Local Office","Escalate to CBE","Escalate to Roxanne"))</f>
        <v/>
      </c>
    </row>
    <row r="616" spans="18:26">
      <c r="R616" s="15"/>
      <c r="S616" s="16"/>
      <c r="T616" s="17">
        <f>IF(AND(COUNTA($A616:$K616)=0,$L616=""),"",IF($S616="Paid","PAID",IF($S616="Closed","CLOSED",IF($W616="","",IF($W616=6,"ESCALATED TO ROXANNE",IF(TODAY()&gt;$Y616,"OVERDUE",IF($Y616&lt;=WORKDAY(TODAY(),1,Holidays),"DUE TOMORROW",IF($W616=4,"ESCALATED TO LOCAL OFFICE",IF($W616=5,"ESCALATED TO CBE",IF($X616=TODAY(),"EMAIL SENT","MONITORING"))))))))))</f>
        <v/>
      </c>
      <c r="U616" s="17">
        <f>IF($T616="",IF(AND(COUNTA($A616:$K616)&gt;0,$L616=""),"Awaiting Collection Email time stamp.",""),IF(OR($T616="PAID",$T616="CLOSED"),IF($T616="PAID","Account paid. Action completed.","Account closed. No further action required."),CHOOSE($W616,"Collection Email","1st Email Follow-up","2nd Email Follow-up","Escalation to Local Office","Escalation to CBE","Escalation to Roxanne")&amp;" sent "&amp;TEXT($X616,"dd-mmm")&amp;". "&amp;IF($W616=6,"Final escalation completed.",IF($T616="OVERDUE","Next: "&amp;$Z616&amp;" was due "&amp;TEXT($Y616,"dd-mmm")&amp;" - "&amp;(NETWORKDAYS($Y616,TODAY(),Holidays)-1)&amp;" business day(s) late. Send now.",IF($T616="DUE TOMORROW","Next: "&amp;$Z616&amp;IF($Y616&lt;=TODAY()," is due TODAY ("," is due next business day (")&amp;TEXT($Y616,"dd-mmm")&amp;").","Next: "&amp;$Z616&amp;" due "&amp;TEXT($Y616,"dd-mmm")&amp;" ("&amp;(NETWORKDAYS(TODAY(),$Y616,Holidays)-1)&amp;" business day(s) left).")))))</f>
        <v/>
      </c>
      <c r="V616" s="17">
        <f>IF($W616="","",CHOOSE($W616,"Collection Email","1st Follow-up","2nd Follow-up","Local Office","CBE","Roxanne")&amp;IF($W616=6," - Final"," - Day "&amp;MAX(0,NETWORKDAYS($X616,TODAY(),Holidays)-1)&amp;" of "&amp;CHOOSE($W616,3,3,2,2,3))&amp;" | Total Day "&amp;MAX(0,NETWORKDAYS($L616,TODAY(),Holidays)-1))</f>
        <v/>
      </c>
      <c r="W616" s="17">
        <f>IF($L616="","",COUNT($L616:$Q616))</f>
        <v/>
      </c>
      <c r="X616" s="18">
        <f>IF($W616="","",INT(INDEX($L616:$Q616,$W616)))</f>
        <v/>
      </c>
      <c r="Y616" s="18">
        <f>IF(OR($W616="",$W616=6),"",WORKDAY($X616,CHOOSE($W616,3,3,2,2,3),Holidays))</f>
        <v/>
      </c>
      <c r="Z616" s="17">
        <f>IF(OR($W616="",$W616=6),"",CHOOSE($W616,"1st Email Follow-up","2nd Email Follow-up","Escalate Local Office","Escalate to CBE","Escalate to Roxanne"))</f>
        <v/>
      </c>
    </row>
    <row r="617" spans="18:26">
      <c r="R617" s="15"/>
      <c r="S617" s="16"/>
      <c r="T617" s="17">
        <f>IF(AND(COUNTA($A617:$K617)=0,$L617=""),"",IF($S617="Paid","PAID",IF($S617="Closed","CLOSED",IF($W617="","",IF($W617=6,"ESCALATED TO ROXANNE",IF(TODAY()&gt;$Y617,"OVERDUE",IF($Y617&lt;=WORKDAY(TODAY(),1,Holidays),"DUE TOMORROW",IF($W617=4,"ESCALATED TO LOCAL OFFICE",IF($W617=5,"ESCALATED TO CBE",IF($X617=TODAY(),"EMAIL SENT","MONITORING"))))))))))</f>
        <v/>
      </c>
      <c r="U617" s="17">
        <f>IF($T617="",IF(AND(COUNTA($A617:$K617)&gt;0,$L617=""),"Awaiting Collection Email time stamp.",""),IF(OR($T617="PAID",$T617="CLOSED"),IF($T617="PAID","Account paid. Action completed.","Account closed. No further action required."),CHOOSE($W617,"Collection Email","1st Email Follow-up","2nd Email Follow-up","Escalation to Local Office","Escalation to CBE","Escalation to Roxanne")&amp;" sent "&amp;TEXT($X617,"dd-mmm")&amp;". "&amp;IF($W617=6,"Final escalation completed.",IF($T617="OVERDUE","Next: "&amp;$Z617&amp;" was due "&amp;TEXT($Y617,"dd-mmm")&amp;" - "&amp;(NETWORKDAYS($Y617,TODAY(),Holidays)-1)&amp;" business day(s) late. Send now.",IF($T617="DUE TOMORROW","Next: "&amp;$Z617&amp;IF($Y617&lt;=TODAY()," is due TODAY ("," is due next business day (")&amp;TEXT($Y617,"dd-mmm")&amp;").","Next: "&amp;$Z617&amp;" due "&amp;TEXT($Y617,"dd-mmm")&amp;" ("&amp;(NETWORKDAYS(TODAY(),$Y617,Holidays)-1)&amp;" business day(s) left).")))))</f>
        <v/>
      </c>
      <c r="V617" s="17">
        <f>IF($W617="","",CHOOSE($W617,"Collection Email","1st Follow-up","2nd Follow-up","Local Office","CBE","Roxanne")&amp;IF($W617=6," - Final"," - Day "&amp;MAX(0,NETWORKDAYS($X617,TODAY(),Holidays)-1)&amp;" of "&amp;CHOOSE($W617,3,3,2,2,3))&amp;" | Total Day "&amp;MAX(0,NETWORKDAYS($L617,TODAY(),Holidays)-1))</f>
        <v/>
      </c>
      <c r="W617" s="17">
        <f>IF($L617="","",COUNT($L617:$Q617))</f>
        <v/>
      </c>
      <c r="X617" s="18">
        <f>IF($W617="","",INT(INDEX($L617:$Q617,$W617)))</f>
        <v/>
      </c>
      <c r="Y617" s="18">
        <f>IF(OR($W617="",$W617=6),"",WORKDAY($X617,CHOOSE($W617,3,3,2,2,3),Holidays))</f>
        <v/>
      </c>
      <c r="Z617" s="17">
        <f>IF(OR($W617="",$W617=6),"",CHOOSE($W617,"1st Email Follow-up","2nd Email Follow-up","Escalate Local Office","Escalate to CBE","Escalate to Roxanne"))</f>
        <v/>
      </c>
    </row>
    <row r="618" spans="18:26">
      <c r="R618" s="15"/>
      <c r="S618" s="16"/>
      <c r="T618" s="17">
        <f>IF(AND(COUNTA($A618:$K618)=0,$L618=""),"",IF($S618="Paid","PAID",IF($S618="Closed","CLOSED",IF($W618="","",IF($W618=6,"ESCALATED TO ROXANNE",IF(TODAY()&gt;$Y618,"OVERDUE",IF($Y618&lt;=WORKDAY(TODAY(),1,Holidays),"DUE TOMORROW",IF($W618=4,"ESCALATED TO LOCAL OFFICE",IF($W618=5,"ESCALATED TO CBE",IF($X618=TODAY(),"EMAIL SENT","MONITORING"))))))))))</f>
        <v/>
      </c>
      <c r="U618" s="17">
        <f>IF($T618="",IF(AND(COUNTA($A618:$K618)&gt;0,$L618=""),"Awaiting Collection Email time stamp.",""),IF(OR($T618="PAID",$T618="CLOSED"),IF($T618="PAID","Account paid. Action completed.","Account closed. No further action required."),CHOOSE($W618,"Collection Email","1st Email Follow-up","2nd Email Follow-up","Escalation to Local Office","Escalation to CBE","Escalation to Roxanne")&amp;" sent "&amp;TEXT($X618,"dd-mmm")&amp;". "&amp;IF($W618=6,"Final escalation completed.",IF($T618="OVERDUE","Next: "&amp;$Z618&amp;" was due "&amp;TEXT($Y618,"dd-mmm")&amp;" - "&amp;(NETWORKDAYS($Y618,TODAY(),Holidays)-1)&amp;" business day(s) late. Send now.",IF($T618="DUE TOMORROW","Next: "&amp;$Z618&amp;IF($Y618&lt;=TODAY()," is due TODAY ("," is due next business day (")&amp;TEXT($Y618,"dd-mmm")&amp;").","Next: "&amp;$Z618&amp;" due "&amp;TEXT($Y618,"dd-mmm")&amp;" ("&amp;(NETWORKDAYS(TODAY(),$Y618,Holidays)-1)&amp;" business day(s) left).")))))</f>
        <v/>
      </c>
      <c r="V618" s="17">
        <f>IF($W618="","",CHOOSE($W618,"Collection Email","1st Follow-up","2nd Follow-up","Local Office","CBE","Roxanne")&amp;IF($W618=6," - Final"," - Day "&amp;MAX(0,NETWORKDAYS($X618,TODAY(),Holidays)-1)&amp;" of "&amp;CHOOSE($W618,3,3,2,2,3))&amp;" | Total Day "&amp;MAX(0,NETWORKDAYS($L618,TODAY(),Holidays)-1))</f>
        <v/>
      </c>
      <c r="W618" s="17">
        <f>IF($L618="","",COUNT($L618:$Q618))</f>
        <v/>
      </c>
      <c r="X618" s="18">
        <f>IF($W618="","",INT(INDEX($L618:$Q618,$W618)))</f>
        <v/>
      </c>
      <c r="Y618" s="18">
        <f>IF(OR($W618="",$W618=6),"",WORKDAY($X618,CHOOSE($W618,3,3,2,2,3),Holidays))</f>
        <v/>
      </c>
      <c r="Z618" s="17">
        <f>IF(OR($W618="",$W618=6),"",CHOOSE($W618,"1st Email Follow-up","2nd Email Follow-up","Escalate Local Office","Escalate to CBE","Escalate to Roxanne"))</f>
        <v/>
      </c>
    </row>
    <row r="619" spans="18:26">
      <c r="R619" s="15"/>
      <c r="S619" s="16"/>
      <c r="T619" s="17">
        <f>IF(AND(COUNTA($A619:$K619)=0,$L619=""),"",IF($S619="Paid","PAID",IF($S619="Closed","CLOSED",IF($W619="","",IF($W619=6,"ESCALATED TO ROXANNE",IF(TODAY()&gt;$Y619,"OVERDUE",IF($Y619&lt;=WORKDAY(TODAY(),1,Holidays),"DUE TOMORROW",IF($W619=4,"ESCALATED TO LOCAL OFFICE",IF($W619=5,"ESCALATED TO CBE",IF($X619=TODAY(),"EMAIL SENT","MONITORING"))))))))))</f>
        <v/>
      </c>
      <c r="U619" s="17">
        <f>IF($T619="",IF(AND(COUNTA($A619:$K619)&gt;0,$L619=""),"Awaiting Collection Email time stamp.",""),IF(OR($T619="PAID",$T619="CLOSED"),IF($T619="PAID","Account paid. Action completed.","Account closed. No further action required."),CHOOSE($W619,"Collection Email","1st Email Follow-up","2nd Email Follow-up","Escalation to Local Office","Escalation to CBE","Escalation to Roxanne")&amp;" sent "&amp;TEXT($X619,"dd-mmm")&amp;". "&amp;IF($W619=6,"Final escalation completed.",IF($T619="OVERDUE","Next: "&amp;$Z619&amp;" was due "&amp;TEXT($Y619,"dd-mmm")&amp;" - "&amp;(NETWORKDAYS($Y619,TODAY(),Holidays)-1)&amp;" business day(s) late. Send now.",IF($T619="DUE TOMORROW","Next: "&amp;$Z619&amp;IF($Y619&lt;=TODAY()," is due TODAY ("," is due next business day (")&amp;TEXT($Y619,"dd-mmm")&amp;").","Next: "&amp;$Z619&amp;" due "&amp;TEXT($Y619,"dd-mmm")&amp;" ("&amp;(NETWORKDAYS(TODAY(),$Y619,Holidays)-1)&amp;" business day(s) left).")))))</f>
        <v/>
      </c>
      <c r="V619" s="17">
        <f>IF($W619="","",CHOOSE($W619,"Collection Email","1st Follow-up","2nd Follow-up","Local Office","CBE","Roxanne")&amp;IF($W619=6," - Final"," - Day "&amp;MAX(0,NETWORKDAYS($X619,TODAY(),Holidays)-1)&amp;" of "&amp;CHOOSE($W619,3,3,2,2,3))&amp;" | Total Day "&amp;MAX(0,NETWORKDAYS($L619,TODAY(),Holidays)-1))</f>
        <v/>
      </c>
      <c r="W619" s="17">
        <f>IF($L619="","",COUNT($L619:$Q619))</f>
        <v/>
      </c>
      <c r="X619" s="18">
        <f>IF($W619="","",INT(INDEX($L619:$Q619,$W619)))</f>
        <v/>
      </c>
      <c r="Y619" s="18">
        <f>IF(OR($W619="",$W619=6),"",WORKDAY($X619,CHOOSE($W619,3,3,2,2,3),Holidays))</f>
        <v/>
      </c>
      <c r="Z619" s="17">
        <f>IF(OR($W619="",$W619=6),"",CHOOSE($W619,"1st Email Follow-up","2nd Email Follow-up","Escalate Local Office","Escalate to CBE","Escalate to Roxanne"))</f>
        <v/>
      </c>
    </row>
    <row r="620" spans="18:26">
      <c r="R620" s="15"/>
      <c r="S620" s="16"/>
      <c r="T620" s="17">
        <f>IF(AND(COUNTA($A620:$K620)=0,$L620=""),"",IF($S620="Paid","PAID",IF($S620="Closed","CLOSED",IF($W620="","",IF($W620=6,"ESCALATED TO ROXANNE",IF(TODAY()&gt;$Y620,"OVERDUE",IF($Y620&lt;=WORKDAY(TODAY(),1,Holidays),"DUE TOMORROW",IF($W620=4,"ESCALATED TO LOCAL OFFICE",IF($W620=5,"ESCALATED TO CBE",IF($X620=TODAY(),"EMAIL SENT","MONITORING"))))))))))</f>
        <v/>
      </c>
      <c r="U620" s="17">
        <f>IF($T620="",IF(AND(COUNTA($A620:$K620)&gt;0,$L620=""),"Awaiting Collection Email time stamp.",""),IF(OR($T620="PAID",$T620="CLOSED"),IF($T620="PAID","Account paid. Action completed.","Account closed. No further action required."),CHOOSE($W620,"Collection Email","1st Email Follow-up","2nd Email Follow-up","Escalation to Local Office","Escalation to CBE","Escalation to Roxanne")&amp;" sent "&amp;TEXT($X620,"dd-mmm")&amp;". "&amp;IF($W620=6,"Final escalation completed.",IF($T620="OVERDUE","Next: "&amp;$Z620&amp;" was due "&amp;TEXT($Y620,"dd-mmm")&amp;" - "&amp;(NETWORKDAYS($Y620,TODAY(),Holidays)-1)&amp;" business day(s) late. Send now.",IF($T620="DUE TOMORROW","Next: "&amp;$Z620&amp;IF($Y620&lt;=TODAY()," is due TODAY ("," is due next business day (")&amp;TEXT($Y620,"dd-mmm")&amp;").","Next: "&amp;$Z620&amp;" due "&amp;TEXT($Y620,"dd-mmm")&amp;" ("&amp;(NETWORKDAYS(TODAY(),$Y620,Holidays)-1)&amp;" business day(s) left).")))))</f>
        <v/>
      </c>
      <c r="V620" s="17">
        <f>IF($W620="","",CHOOSE($W620,"Collection Email","1st Follow-up","2nd Follow-up","Local Office","CBE","Roxanne")&amp;IF($W620=6," - Final"," - Day "&amp;MAX(0,NETWORKDAYS($X620,TODAY(),Holidays)-1)&amp;" of "&amp;CHOOSE($W620,3,3,2,2,3))&amp;" | Total Day "&amp;MAX(0,NETWORKDAYS($L620,TODAY(),Holidays)-1))</f>
        <v/>
      </c>
      <c r="W620" s="17">
        <f>IF($L620="","",COUNT($L620:$Q620))</f>
        <v/>
      </c>
      <c r="X620" s="18">
        <f>IF($W620="","",INT(INDEX($L620:$Q620,$W620)))</f>
        <v/>
      </c>
      <c r="Y620" s="18">
        <f>IF(OR($W620="",$W620=6),"",WORKDAY($X620,CHOOSE($W620,3,3,2,2,3),Holidays))</f>
        <v/>
      </c>
      <c r="Z620" s="17">
        <f>IF(OR($W620="",$W620=6),"",CHOOSE($W620,"1st Email Follow-up","2nd Email Follow-up","Escalate Local Office","Escalate to CBE","Escalate to Roxanne"))</f>
        <v/>
      </c>
    </row>
    <row r="621" spans="18:26">
      <c r="R621" s="15"/>
      <c r="S621" s="16"/>
      <c r="T621" s="17">
        <f>IF(AND(COUNTA($A621:$K621)=0,$L621=""),"",IF($S621="Paid","PAID",IF($S621="Closed","CLOSED",IF($W621="","",IF($W621=6,"ESCALATED TO ROXANNE",IF(TODAY()&gt;$Y621,"OVERDUE",IF($Y621&lt;=WORKDAY(TODAY(),1,Holidays),"DUE TOMORROW",IF($W621=4,"ESCALATED TO LOCAL OFFICE",IF($W621=5,"ESCALATED TO CBE",IF($X621=TODAY(),"EMAIL SENT","MONITORING"))))))))))</f>
        <v/>
      </c>
      <c r="U621" s="17">
        <f>IF($T621="",IF(AND(COUNTA($A621:$K621)&gt;0,$L621=""),"Awaiting Collection Email time stamp.",""),IF(OR($T621="PAID",$T621="CLOSED"),IF($T621="PAID","Account paid. Action completed.","Account closed. No further action required."),CHOOSE($W621,"Collection Email","1st Email Follow-up","2nd Email Follow-up","Escalation to Local Office","Escalation to CBE","Escalation to Roxanne")&amp;" sent "&amp;TEXT($X621,"dd-mmm")&amp;". "&amp;IF($W621=6,"Final escalation completed.",IF($T621="OVERDUE","Next: "&amp;$Z621&amp;" was due "&amp;TEXT($Y621,"dd-mmm")&amp;" - "&amp;(NETWORKDAYS($Y621,TODAY(),Holidays)-1)&amp;" business day(s) late. Send now.",IF($T621="DUE TOMORROW","Next: "&amp;$Z621&amp;IF($Y621&lt;=TODAY()," is due TODAY ("," is due next business day (")&amp;TEXT($Y621,"dd-mmm")&amp;").","Next: "&amp;$Z621&amp;" due "&amp;TEXT($Y621,"dd-mmm")&amp;" ("&amp;(NETWORKDAYS(TODAY(),$Y621,Holidays)-1)&amp;" business day(s) left).")))))</f>
        <v/>
      </c>
      <c r="V621" s="17">
        <f>IF($W621="","",CHOOSE($W621,"Collection Email","1st Follow-up","2nd Follow-up","Local Office","CBE","Roxanne")&amp;IF($W621=6," - Final"," - Day "&amp;MAX(0,NETWORKDAYS($X621,TODAY(),Holidays)-1)&amp;" of "&amp;CHOOSE($W621,3,3,2,2,3))&amp;" | Total Day "&amp;MAX(0,NETWORKDAYS($L621,TODAY(),Holidays)-1))</f>
        <v/>
      </c>
      <c r="W621" s="17">
        <f>IF($L621="","",COUNT($L621:$Q621))</f>
        <v/>
      </c>
      <c r="X621" s="18">
        <f>IF($W621="","",INT(INDEX($L621:$Q621,$W621)))</f>
        <v/>
      </c>
      <c r="Y621" s="18">
        <f>IF(OR($W621="",$W621=6),"",WORKDAY($X621,CHOOSE($W621,3,3,2,2,3),Holidays))</f>
        <v/>
      </c>
      <c r="Z621" s="17">
        <f>IF(OR($W621="",$W621=6),"",CHOOSE($W621,"1st Email Follow-up","2nd Email Follow-up","Escalate Local Office","Escalate to CBE","Escalate to Roxanne"))</f>
        <v/>
      </c>
    </row>
    <row r="622" spans="18:26">
      <c r="R622" s="15"/>
      <c r="S622" s="16"/>
      <c r="T622" s="17">
        <f>IF(AND(COUNTA($A622:$K622)=0,$L622=""),"",IF($S622="Paid","PAID",IF($S622="Closed","CLOSED",IF($W622="","",IF($W622=6,"ESCALATED TO ROXANNE",IF(TODAY()&gt;$Y622,"OVERDUE",IF($Y622&lt;=WORKDAY(TODAY(),1,Holidays),"DUE TOMORROW",IF($W622=4,"ESCALATED TO LOCAL OFFICE",IF($W622=5,"ESCALATED TO CBE",IF($X622=TODAY(),"EMAIL SENT","MONITORING"))))))))))</f>
        <v/>
      </c>
      <c r="U622" s="17">
        <f>IF($T622="",IF(AND(COUNTA($A622:$K622)&gt;0,$L622=""),"Awaiting Collection Email time stamp.",""),IF(OR($T622="PAID",$T622="CLOSED"),IF($T622="PAID","Account paid. Action completed.","Account closed. No further action required."),CHOOSE($W622,"Collection Email","1st Email Follow-up","2nd Email Follow-up","Escalation to Local Office","Escalation to CBE","Escalation to Roxanne")&amp;" sent "&amp;TEXT($X622,"dd-mmm")&amp;". "&amp;IF($W622=6,"Final escalation completed.",IF($T622="OVERDUE","Next: "&amp;$Z622&amp;" was due "&amp;TEXT($Y622,"dd-mmm")&amp;" - "&amp;(NETWORKDAYS($Y622,TODAY(),Holidays)-1)&amp;" business day(s) late. Send now.",IF($T622="DUE TOMORROW","Next: "&amp;$Z622&amp;IF($Y622&lt;=TODAY()," is due TODAY ("," is due next business day (")&amp;TEXT($Y622,"dd-mmm")&amp;").","Next: "&amp;$Z622&amp;" due "&amp;TEXT($Y622,"dd-mmm")&amp;" ("&amp;(NETWORKDAYS(TODAY(),$Y622,Holidays)-1)&amp;" business day(s) left).")))))</f>
        <v/>
      </c>
      <c r="V622" s="17">
        <f>IF($W622="","",CHOOSE($W622,"Collection Email","1st Follow-up","2nd Follow-up","Local Office","CBE","Roxanne")&amp;IF($W622=6," - Final"," - Day "&amp;MAX(0,NETWORKDAYS($X622,TODAY(),Holidays)-1)&amp;" of "&amp;CHOOSE($W622,3,3,2,2,3))&amp;" | Total Day "&amp;MAX(0,NETWORKDAYS($L622,TODAY(),Holidays)-1))</f>
        <v/>
      </c>
      <c r="W622" s="17">
        <f>IF($L622="","",COUNT($L622:$Q622))</f>
        <v/>
      </c>
      <c r="X622" s="18">
        <f>IF($W622="","",INT(INDEX($L622:$Q622,$W622)))</f>
        <v/>
      </c>
      <c r="Y622" s="18">
        <f>IF(OR($W622="",$W622=6),"",WORKDAY($X622,CHOOSE($W622,3,3,2,2,3),Holidays))</f>
        <v/>
      </c>
      <c r="Z622" s="17">
        <f>IF(OR($W622="",$W622=6),"",CHOOSE($W622,"1st Email Follow-up","2nd Email Follow-up","Escalate Local Office","Escalate to CBE","Escalate to Roxanne"))</f>
        <v/>
      </c>
    </row>
    <row r="623" spans="18:26">
      <c r="R623" s="15"/>
      <c r="S623" s="16"/>
      <c r="T623" s="17">
        <f>IF(AND(COUNTA($A623:$K623)=0,$L623=""),"",IF($S623="Paid","PAID",IF($S623="Closed","CLOSED",IF($W623="","",IF($W623=6,"ESCALATED TO ROXANNE",IF(TODAY()&gt;$Y623,"OVERDUE",IF($Y623&lt;=WORKDAY(TODAY(),1,Holidays),"DUE TOMORROW",IF($W623=4,"ESCALATED TO LOCAL OFFICE",IF($W623=5,"ESCALATED TO CBE",IF($X623=TODAY(),"EMAIL SENT","MONITORING"))))))))))</f>
        <v/>
      </c>
      <c r="U623" s="17">
        <f>IF($T623="",IF(AND(COUNTA($A623:$K623)&gt;0,$L623=""),"Awaiting Collection Email time stamp.",""),IF(OR($T623="PAID",$T623="CLOSED"),IF($T623="PAID","Account paid. Action completed.","Account closed. No further action required."),CHOOSE($W623,"Collection Email","1st Email Follow-up","2nd Email Follow-up","Escalation to Local Office","Escalation to CBE","Escalation to Roxanne")&amp;" sent "&amp;TEXT($X623,"dd-mmm")&amp;". "&amp;IF($W623=6,"Final escalation completed.",IF($T623="OVERDUE","Next: "&amp;$Z623&amp;" was due "&amp;TEXT($Y623,"dd-mmm")&amp;" - "&amp;(NETWORKDAYS($Y623,TODAY(),Holidays)-1)&amp;" business day(s) late. Send now.",IF($T623="DUE TOMORROW","Next: "&amp;$Z623&amp;IF($Y623&lt;=TODAY()," is due TODAY ("," is due next business day (")&amp;TEXT($Y623,"dd-mmm")&amp;").","Next: "&amp;$Z623&amp;" due "&amp;TEXT($Y623,"dd-mmm")&amp;" ("&amp;(NETWORKDAYS(TODAY(),$Y623,Holidays)-1)&amp;" business day(s) left).")))))</f>
        <v/>
      </c>
      <c r="V623" s="17">
        <f>IF($W623="","",CHOOSE($W623,"Collection Email","1st Follow-up","2nd Follow-up","Local Office","CBE","Roxanne")&amp;IF($W623=6," - Final"," - Day "&amp;MAX(0,NETWORKDAYS($X623,TODAY(),Holidays)-1)&amp;" of "&amp;CHOOSE($W623,3,3,2,2,3))&amp;" | Total Day "&amp;MAX(0,NETWORKDAYS($L623,TODAY(),Holidays)-1))</f>
        <v/>
      </c>
      <c r="W623" s="17">
        <f>IF($L623="","",COUNT($L623:$Q623))</f>
        <v/>
      </c>
      <c r="X623" s="18">
        <f>IF($W623="","",INT(INDEX($L623:$Q623,$W623)))</f>
        <v/>
      </c>
      <c r="Y623" s="18">
        <f>IF(OR($W623="",$W623=6),"",WORKDAY($X623,CHOOSE($W623,3,3,2,2,3),Holidays))</f>
        <v/>
      </c>
      <c r="Z623" s="17">
        <f>IF(OR($W623="",$W623=6),"",CHOOSE($W623,"1st Email Follow-up","2nd Email Follow-up","Escalate Local Office","Escalate to CBE","Escalate to Roxanne"))</f>
        <v/>
      </c>
    </row>
    <row r="624" spans="18:26">
      <c r="R624" s="15"/>
      <c r="S624" s="16"/>
      <c r="T624" s="17">
        <f>IF(AND(COUNTA($A624:$K624)=0,$L624=""),"",IF($S624="Paid","PAID",IF($S624="Closed","CLOSED",IF($W624="","",IF($W624=6,"ESCALATED TO ROXANNE",IF(TODAY()&gt;$Y624,"OVERDUE",IF($Y624&lt;=WORKDAY(TODAY(),1,Holidays),"DUE TOMORROW",IF($W624=4,"ESCALATED TO LOCAL OFFICE",IF($W624=5,"ESCALATED TO CBE",IF($X624=TODAY(),"EMAIL SENT","MONITORING"))))))))))</f>
        <v/>
      </c>
      <c r="U624" s="17">
        <f>IF($T624="",IF(AND(COUNTA($A624:$K624)&gt;0,$L624=""),"Awaiting Collection Email time stamp.",""),IF(OR($T624="PAID",$T624="CLOSED"),IF($T624="PAID","Account paid. Action completed.","Account closed. No further action required."),CHOOSE($W624,"Collection Email","1st Email Follow-up","2nd Email Follow-up","Escalation to Local Office","Escalation to CBE","Escalation to Roxanne")&amp;" sent "&amp;TEXT($X624,"dd-mmm")&amp;". "&amp;IF($W624=6,"Final escalation completed.",IF($T624="OVERDUE","Next: "&amp;$Z624&amp;" was due "&amp;TEXT($Y624,"dd-mmm")&amp;" - "&amp;(NETWORKDAYS($Y624,TODAY(),Holidays)-1)&amp;" business day(s) late. Send now.",IF($T624="DUE TOMORROW","Next: "&amp;$Z624&amp;IF($Y624&lt;=TODAY()," is due TODAY ("," is due next business day (")&amp;TEXT($Y624,"dd-mmm")&amp;").","Next: "&amp;$Z624&amp;" due "&amp;TEXT($Y624,"dd-mmm")&amp;" ("&amp;(NETWORKDAYS(TODAY(),$Y624,Holidays)-1)&amp;" business day(s) left).")))))</f>
        <v/>
      </c>
      <c r="V624" s="17">
        <f>IF($W624="","",CHOOSE($W624,"Collection Email","1st Follow-up","2nd Follow-up","Local Office","CBE","Roxanne")&amp;IF($W624=6," - Final"," - Day "&amp;MAX(0,NETWORKDAYS($X624,TODAY(),Holidays)-1)&amp;" of "&amp;CHOOSE($W624,3,3,2,2,3))&amp;" | Total Day "&amp;MAX(0,NETWORKDAYS($L624,TODAY(),Holidays)-1))</f>
        <v/>
      </c>
      <c r="W624" s="17">
        <f>IF($L624="","",COUNT($L624:$Q624))</f>
        <v/>
      </c>
      <c r="X624" s="18">
        <f>IF($W624="","",INT(INDEX($L624:$Q624,$W624)))</f>
        <v/>
      </c>
      <c r="Y624" s="18">
        <f>IF(OR($W624="",$W624=6),"",WORKDAY($X624,CHOOSE($W624,3,3,2,2,3),Holidays))</f>
        <v/>
      </c>
      <c r="Z624" s="17">
        <f>IF(OR($W624="",$W624=6),"",CHOOSE($W624,"1st Email Follow-up","2nd Email Follow-up","Escalate Local Office","Escalate to CBE","Escalate to Roxanne"))</f>
        <v/>
      </c>
    </row>
    <row r="625" spans="18:26">
      <c r="R625" s="15"/>
      <c r="S625" s="16"/>
      <c r="T625" s="17">
        <f>IF(AND(COUNTA($A625:$K625)=0,$L625=""),"",IF($S625="Paid","PAID",IF($S625="Closed","CLOSED",IF($W625="","",IF($W625=6,"ESCALATED TO ROXANNE",IF(TODAY()&gt;$Y625,"OVERDUE",IF($Y625&lt;=WORKDAY(TODAY(),1,Holidays),"DUE TOMORROW",IF($W625=4,"ESCALATED TO LOCAL OFFICE",IF($W625=5,"ESCALATED TO CBE",IF($X625=TODAY(),"EMAIL SENT","MONITORING"))))))))))</f>
        <v/>
      </c>
      <c r="U625" s="17">
        <f>IF($T625="",IF(AND(COUNTA($A625:$K625)&gt;0,$L625=""),"Awaiting Collection Email time stamp.",""),IF(OR($T625="PAID",$T625="CLOSED"),IF($T625="PAID","Account paid. Action completed.","Account closed. No further action required."),CHOOSE($W625,"Collection Email","1st Email Follow-up","2nd Email Follow-up","Escalation to Local Office","Escalation to CBE","Escalation to Roxanne")&amp;" sent "&amp;TEXT($X625,"dd-mmm")&amp;". "&amp;IF($W625=6,"Final escalation completed.",IF($T625="OVERDUE","Next: "&amp;$Z625&amp;" was due "&amp;TEXT($Y625,"dd-mmm")&amp;" - "&amp;(NETWORKDAYS($Y625,TODAY(),Holidays)-1)&amp;" business day(s) late. Send now.",IF($T625="DUE TOMORROW","Next: "&amp;$Z625&amp;IF($Y625&lt;=TODAY()," is due TODAY ("," is due next business day (")&amp;TEXT($Y625,"dd-mmm")&amp;").","Next: "&amp;$Z625&amp;" due "&amp;TEXT($Y625,"dd-mmm")&amp;" ("&amp;(NETWORKDAYS(TODAY(),$Y625,Holidays)-1)&amp;" business day(s) left).")))))</f>
        <v/>
      </c>
      <c r="V625" s="17">
        <f>IF($W625="","",CHOOSE($W625,"Collection Email","1st Follow-up","2nd Follow-up","Local Office","CBE","Roxanne")&amp;IF($W625=6," - Final"," - Day "&amp;MAX(0,NETWORKDAYS($X625,TODAY(),Holidays)-1)&amp;" of "&amp;CHOOSE($W625,3,3,2,2,3))&amp;" | Total Day "&amp;MAX(0,NETWORKDAYS($L625,TODAY(),Holidays)-1))</f>
        <v/>
      </c>
      <c r="W625" s="17">
        <f>IF($L625="","",COUNT($L625:$Q625))</f>
        <v/>
      </c>
      <c r="X625" s="18">
        <f>IF($W625="","",INT(INDEX($L625:$Q625,$W625)))</f>
        <v/>
      </c>
      <c r="Y625" s="18">
        <f>IF(OR($W625="",$W625=6),"",WORKDAY($X625,CHOOSE($W625,3,3,2,2,3),Holidays))</f>
        <v/>
      </c>
      <c r="Z625" s="17">
        <f>IF(OR($W625="",$W625=6),"",CHOOSE($W625,"1st Email Follow-up","2nd Email Follow-up","Escalate Local Office","Escalate to CBE","Escalate to Roxanne"))</f>
        <v/>
      </c>
    </row>
    <row r="626" spans="18:26">
      <c r="R626" s="15"/>
      <c r="S626" s="16"/>
      <c r="T626" s="17">
        <f>IF(AND(COUNTA($A626:$K626)=0,$L626=""),"",IF($S626="Paid","PAID",IF($S626="Closed","CLOSED",IF($W626="","",IF($W626=6,"ESCALATED TO ROXANNE",IF(TODAY()&gt;$Y626,"OVERDUE",IF($Y626&lt;=WORKDAY(TODAY(),1,Holidays),"DUE TOMORROW",IF($W626=4,"ESCALATED TO LOCAL OFFICE",IF($W626=5,"ESCALATED TO CBE",IF($X626=TODAY(),"EMAIL SENT","MONITORING"))))))))))</f>
        <v/>
      </c>
      <c r="U626" s="17">
        <f>IF($T626="",IF(AND(COUNTA($A626:$K626)&gt;0,$L626=""),"Awaiting Collection Email time stamp.",""),IF(OR($T626="PAID",$T626="CLOSED"),IF($T626="PAID","Account paid. Action completed.","Account closed. No further action required."),CHOOSE($W626,"Collection Email","1st Email Follow-up","2nd Email Follow-up","Escalation to Local Office","Escalation to CBE","Escalation to Roxanne")&amp;" sent "&amp;TEXT($X626,"dd-mmm")&amp;". "&amp;IF($W626=6,"Final escalation completed.",IF($T626="OVERDUE","Next: "&amp;$Z626&amp;" was due "&amp;TEXT($Y626,"dd-mmm")&amp;" - "&amp;(NETWORKDAYS($Y626,TODAY(),Holidays)-1)&amp;" business day(s) late. Send now.",IF($T626="DUE TOMORROW","Next: "&amp;$Z626&amp;IF($Y626&lt;=TODAY()," is due TODAY ("," is due next business day (")&amp;TEXT($Y626,"dd-mmm")&amp;").","Next: "&amp;$Z626&amp;" due "&amp;TEXT($Y626,"dd-mmm")&amp;" ("&amp;(NETWORKDAYS(TODAY(),$Y626,Holidays)-1)&amp;" business day(s) left).")))))</f>
        <v/>
      </c>
      <c r="V626" s="17">
        <f>IF($W626="","",CHOOSE($W626,"Collection Email","1st Follow-up","2nd Follow-up","Local Office","CBE","Roxanne")&amp;IF($W626=6," - Final"," - Day "&amp;MAX(0,NETWORKDAYS($X626,TODAY(),Holidays)-1)&amp;" of "&amp;CHOOSE($W626,3,3,2,2,3))&amp;" | Total Day "&amp;MAX(0,NETWORKDAYS($L626,TODAY(),Holidays)-1))</f>
        <v/>
      </c>
      <c r="W626" s="17">
        <f>IF($L626="","",COUNT($L626:$Q626))</f>
        <v/>
      </c>
      <c r="X626" s="18">
        <f>IF($W626="","",INT(INDEX($L626:$Q626,$W626)))</f>
        <v/>
      </c>
      <c r="Y626" s="18">
        <f>IF(OR($W626="",$W626=6),"",WORKDAY($X626,CHOOSE($W626,3,3,2,2,3),Holidays))</f>
        <v/>
      </c>
      <c r="Z626" s="17">
        <f>IF(OR($W626="",$W626=6),"",CHOOSE($W626,"1st Email Follow-up","2nd Email Follow-up","Escalate Local Office","Escalate to CBE","Escalate to Roxanne"))</f>
        <v/>
      </c>
    </row>
    <row r="627" spans="18:26">
      <c r="R627" s="15"/>
      <c r="S627" s="16"/>
      <c r="T627" s="17">
        <f>IF(AND(COUNTA($A627:$K627)=0,$L627=""),"",IF($S627="Paid","PAID",IF($S627="Closed","CLOSED",IF($W627="","",IF($W627=6,"ESCALATED TO ROXANNE",IF(TODAY()&gt;$Y627,"OVERDUE",IF($Y627&lt;=WORKDAY(TODAY(),1,Holidays),"DUE TOMORROW",IF($W627=4,"ESCALATED TO LOCAL OFFICE",IF($W627=5,"ESCALATED TO CBE",IF($X627=TODAY(),"EMAIL SENT","MONITORING"))))))))))</f>
        <v/>
      </c>
      <c r="U627" s="17">
        <f>IF($T627="",IF(AND(COUNTA($A627:$K627)&gt;0,$L627=""),"Awaiting Collection Email time stamp.",""),IF(OR($T627="PAID",$T627="CLOSED"),IF($T627="PAID","Account paid. Action completed.","Account closed. No further action required."),CHOOSE($W627,"Collection Email","1st Email Follow-up","2nd Email Follow-up","Escalation to Local Office","Escalation to CBE","Escalation to Roxanne")&amp;" sent "&amp;TEXT($X627,"dd-mmm")&amp;". "&amp;IF($W627=6,"Final escalation completed.",IF($T627="OVERDUE","Next: "&amp;$Z627&amp;" was due "&amp;TEXT($Y627,"dd-mmm")&amp;" - "&amp;(NETWORKDAYS($Y627,TODAY(),Holidays)-1)&amp;" business day(s) late. Send now.",IF($T627="DUE TOMORROW","Next: "&amp;$Z627&amp;IF($Y627&lt;=TODAY()," is due TODAY ("," is due next business day (")&amp;TEXT($Y627,"dd-mmm")&amp;").","Next: "&amp;$Z627&amp;" due "&amp;TEXT($Y627,"dd-mmm")&amp;" ("&amp;(NETWORKDAYS(TODAY(),$Y627,Holidays)-1)&amp;" business day(s) left).")))))</f>
        <v/>
      </c>
      <c r="V627" s="17">
        <f>IF($W627="","",CHOOSE($W627,"Collection Email","1st Follow-up","2nd Follow-up","Local Office","CBE","Roxanne")&amp;IF($W627=6," - Final"," - Day "&amp;MAX(0,NETWORKDAYS($X627,TODAY(),Holidays)-1)&amp;" of "&amp;CHOOSE($W627,3,3,2,2,3))&amp;" | Total Day "&amp;MAX(0,NETWORKDAYS($L627,TODAY(),Holidays)-1))</f>
        <v/>
      </c>
      <c r="W627" s="17">
        <f>IF($L627="","",COUNT($L627:$Q627))</f>
        <v/>
      </c>
      <c r="X627" s="18">
        <f>IF($W627="","",INT(INDEX($L627:$Q627,$W627)))</f>
        <v/>
      </c>
      <c r="Y627" s="18">
        <f>IF(OR($W627="",$W627=6),"",WORKDAY($X627,CHOOSE($W627,3,3,2,2,3),Holidays))</f>
        <v/>
      </c>
      <c r="Z627" s="17">
        <f>IF(OR($W627="",$W627=6),"",CHOOSE($W627,"1st Email Follow-up","2nd Email Follow-up","Escalate Local Office","Escalate to CBE","Escalate to Roxanne"))</f>
        <v/>
      </c>
    </row>
    <row r="628" spans="18:26">
      <c r="R628" s="15"/>
      <c r="S628" s="16"/>
      <c r="T628" s="17">
        <f>IF(AND(COUNTA($A628:$K628)=0,$L628=""),"",IF($S628="Paid","PAID",IF($S628="Closed","CLOSED",IF($W628="","",IF($W628=6,"ESCALATED TO ROXANNE",IF(TODAY()&gt;$Y628,"OVERDUE",IF($Y628&lt;=WORKDAY(TODAY(),1,Holidays),"DUE TOMORROW",IF($W628=4,"ESCALATED TO LOCAL OFFICE",IF($W628=5,"ESCALATED TO CBE",IF($X628=TODAY(),"EMAIL SENT","MONITORING"))))))))))</f>
        <v/>
      </c>
      <c r="U628" s="17">
        <f>IF($T628="",IF(AND(COUNTA($A628:$K628)&gt;0,$L628=""),"Awaiting Collection Email time stamp.",""),IF(OR($T628="PAID",$T628="CLOSED"),IF($T628="PAID","Account paid. Action completed.","Account closed. No further action required."),CHOOSE($W628,"Collection Email","1st Email Follow-up","2nd Email Follow-up","Escalation to Local Office","Escalation to CBE","Escalation to Roxanne")&amp;" sent "&amp;TEXT($X628,"dd-mmm")&amp;". "&amp;IF($W628=6,"Final escalation completed.",IF($T628="OVERDUE","Next: "&amp;$Z628&amp;" was due "&amp;TEXT($Y628,"dd-mmm")&amp;" - "&amp;(NETWORKDAYS($Y628,TODAY(),Holidays)-1)&amp;" business day(s) late. Send now.",IF($T628="DUE TOMORROW","Next: "&amp;$Z628&amp;IF($Y628&lt;=TODAY()," is due TODAY ("," is due next business day (")&amp;TEXT($Y628,"dd-mmm")&amp;").","Next: "&amp;$Z628&amp;" due "&amp;TEXT($Y628,"dd-mmm")&amp;" ("&amp;(NETWORKDAYS(TODAY(),$Y628,Holidays)-1)&amp;" business day(s) left).")))))</f>
        <v/>
      </c>
      <c r="V628" s="17">
        <f>IF($W628="","",CHOOSE($W628,"Collection Email","1st Follow-up","2nd Follow-up","Local Office","CBE","Roxanne")&amp;IF($W628=6," - Final"," - Day "&amp;MAX(0,NETWORKDAYS($X628,TODAY(),Holidays)-1)&amp;" of "&amp;CHOOSE($W628,3,3,2,2,3))&amp;" | Total Day "&amp;MAX(0,NETWORKDAYS($L628,TODAY(),Holidays)-1))</f>
        <v/>
      </c>
      <c r="W628" s="17">
        <f>IF($L628="","",COUNT($L628:$Q628))</f>
        <v/>
      </c>
      <c r="X628" s="18">
        <f>IF($W628="","",INT(INDEX($L628:$Q628,$W628)))</f>
        <v/>
      </c>
      <c r="Y628" s="18">
        <f>IF(OR($W628="",$W628=6),"",WORKDAY($X628,CHOOSE($W628,3,3,2,2,3),Holidays))</f>
        <v/>
      </c>
      <c r="Z628" s="17">
        <f>IF(OR($W628="",$W628=6),"",CHOOSE($W628,"1st Email Follow-up","2nd Email Follow-up","Escalate Local Office","Escalate to CBE","Escalate to Roxanne"))</f>
        <v/>
      </c>
    </row>
    <row r="629" spans="18:26">
      <c r="R629" s="15"/>
      <c r="S629" s="16"/>
      <c r="T629" s="17">
        <f>IF(AND(COUNTA($A629:$K629)=0,$L629=""),"",IF($S629="Paid","PAID",IF($S629="Closed","CLOSED",IF($W629="","",IF($W629=6,"ESCALATED TO ROXANNE",IF(TODAY()&gt;$Y629,"OVERDUE",IF($Y629&lt;=WORKDAY(TODAY(),1,Holidays),"DUE TOMORROW",IF($W629=4,"ESCALATED TO LOCAL OFFICE",IF($W629=5,"ESCALATED TO CBE",IF($X629=TODAY(),"EMAIL SENT","MONITORING"))))))))))</f>
        <v/>
      </c>
      <c r="U629" s="17">
        <f>IF($T629="",IF(AND(COUNTA($A629:$K629)&gt;0,$L629=""),"Awaiting Collection Email time stamp.",""),IF(OR($T629="PAID",$T629="CLOSED"),IF($T629="PAID","Account paid. Action completed.","Account closed. No further action required."),CHOOSE($W629,"Collection Email","1st Email Follow-up","2nd Email Follow-up","Escalation to Local Office","Escalation to CBE","Escalation to Roxanne")&amp;" sent "&amp;TEXT($X629,"dd-mmm")&amp;". "&amp;IF($W629=6,"Final escalation completed.",IF($T629="OVERDUE","Next: "&amp;$Z629&amp;" was due "&amp;TEXT($Y629,"dd-mmm")&amp;" - "&amp;(NETWORKDAYS($Y629,TODAY(),Holidays)-1)&amp;" business day(s) late. Send now.",IF($T629="DUE TOMORROW","Next: "&amp;$Z629&amp;IF($Y629&lt;=TODAY()," is due TODAY ("," is due next business day (")&amp;TEXT($Y629,"dd-mmm")&amp;").","Next: "&amp;$Z629&amp;" due "&amp;TEXT($Y629,"dd-mmm")&amp;" ("&amp;(NETWORKDAYS(TODAY(),$Y629,Holidays)-1)&amp;" business day(s) left).")))))</f>
        <v/>
      </c>
      <c r="V629" s="17">
        <f>IF($W629="","",CHOOSE($W629,"Collection Email","1st Follow-up","2nd Follow-up","Local Office","CBE","Roxanne")&amp;IF($W629=6," - Final"," - Day "&amp;MAX(0,NETWORKDAYS($X629,TODAY(),Holidays)-1)&amp;" of "&amp;CHOOSE($W629,3,3,2,2,3))&amp;" | Total Day "&amp;MAX(0,NETWORKDAYS($L629,TODAY(),Holidays)-1))</f>
        <v/>
      </c>
      <c r="W629" s="17">
        <f>IF($L629="","",COUNT($L629:$Q629))</f>
        <v/>
      </c>
      <c r="X629" s="18">
        <f>IF($W629="","",INT(INDEX($L629:$Q629,$W629)))</f>
        <v/>
      </c>
      <c r="Y629" s="18">
        <f>IF(OR($W629="",$W629=6),"",WORKDAY($X629,CHOOSE($W629,3,3,2,2,3),Holidays))</f>
        <v/>
      </c>
      <c r="Z629" s="17">
        <f>IF(OR($W629="",$W629=6),"",CHOOSE($W629,"1st Email Follow-up","2nd Email Follow-up","Escalate Local Office","Escalate to CBE","Escalate to Roxanne"))</f>
        <v/>
      </c>
    </row>
    <row r="630" spans="18:26">
      <c r="R630" s="15"/>
      <c r="S630" s="16"/>
      <c r="T630" s="17">
        <f>IF(AND(COUNTA($A630:$K630)=0,$L630=""),"",IF($S630="Paid","PAID",IF($S630="Closed","CLOSED",IF($W630="","",IF($W630=6,"ESCALATED TO ROXANNE",IF(TODAY()&gt;$Y630,"OVERDUE",IF($Y630&lt;=WORKDAY(TODAY(),1,Holidays),"DUE TOMORROW",IF($W630=4,"ESCALATED TO LOCAL OFFICE",IF($W630=5,"ESCALATED TO CBE",IF($X630=TODAY(),"EMAIL SENT","MONITORING"))))))))))</f>
        <v/>
      </c>
      <c r="U630" s="17">
        <f>IF($T630="",IF(AND(COUNTA($A630:$K630)&gt;0,$L630=""),"Awaiting Collection Email time stamp.",""),IF(OR($T630="PAID",$T630="CLOSED"),IF($T630="PAID","Account paid. Action completed.","Account closed. No further action required."),CHOOSE($W630,"Collection Email","1st Email Follow-up","2nd Email Follow-up","Escalation to Local Office","Escalation to CBE","Escalation to Roxanne")&amp;" sent "&amp;TEXT($X630,"dd-mmm")&amp;". "&amp;IF($W630=6,"Final escalation completed.",IF($T630="OVERDUE","Next: "&amp;$Z630&amp;" was due "&amp;TEXT($Y630,"dd-mmm")&amp;" - "&amp;(NETWORKDAYS($Y630,TODAY(),Holidays)-1)&amp;" business day(s) late. Send now.",IF($T630="DUE TOMORROW","Next: "&amp;$Z630&amp;IF($Y630&lt;=TODAY()," is due TODAY ("," is due next business day (")&amp;TEXT($Y630,"dd-mmm")&amp;").","Next: "&amp;$Z630&amp;" due "&amp;TEXT($Y630,"dd-mmm")&amp;" ("&amp;(NETWORKDAYS(TODAY(),$Y630,Holidays)-1)&amp;" business day(s) left).")))))</f>
        <v/>
      </c>
      <c r="V630" s="17">
        <f>IF($W630="","",CHOOSE($W630,"Collection Email","1st Follow-up","2nd Follow-up","Local Office","CBE","Roxanne")&amp;IF($W630=6," - Final"," - Day "&amp;MAX(0,NETWORKDAYS($X630,TODAY(),Holidays)-1)&amp;" of "&amp;CHOOSE($W630,3,3,2,2,3))&amp;" | Total Day "&amp;MAX(0,NETWORKDAYS($L630,TODAY(),Holidays)-1))</f>
        <v/>
      </c>
      <c r="W630" s="17">
        <f>IF($L630="","",COUNT($L630:$Q630))</f>
        <v/>
      </c>
      <c r="X630" s="18">
        <f>IF($W630="","",INT(INDEX($L630:$Q630,$W630)))</f>
        <v/>
      </c>
      <c r="Y630" s="18">
        <f>IF(OR($W630="",$W630=6),"",WORKDAY($X630,CHOOSE($W630,3,3,2,2,3),Holidays))</f>
        <v/>
      </c>
      <c r="Z630" s="17">
        <f>IF(OR($W630="",$W630=6),"",CHOOSE($W630,"1st Email Follow-up","2nd Email Follow-up","Escalate Local Office","Escalate to CBE","Escalate to Roxanne"))</f>
        <v/>
      </c>
    </row>
    <row r="631" spans="18:26">
      <c r="R631" s="15"/>
      <c r="S631" s="16"/>
      <c r="T631" s="17">
        <f>IF(AND(COUNTA($A631:$K631)=0,$L631=""),"",IF($S631="Paid","PAID",IF($S631="Closed","CLOSED",IF($W631="","",IF($W631=6,"ESCALATED TO ROXANNE",IF(TODAY()&gt;$Y631,"OVERDUE",IF($Y631&lt;=WORKDAY(TODAY(),1,Holidays),"DUE TOMORROW",IF($W631=4,"ESCALATED TO LOCAL OFFICE",IF($W631=5,"ESCALATED TO CBE",IF($X631=TODAY(),"EMAIL SENT","MONITORING"))))))))))</f>
        <v/>
      </c>
      <c r="U631" s="17">
        <f>IF($T631="",IF(AND(COUNTA($A631:$K631)&gt;0,$L631=""),"Awaiting Collection Email time stamp.",""),IF(OR($T631="PAID",$T631="CLOSED"),IF($T631="PAID","Account paid. Action completed.","Account closed. No further action required."),CHOOSE($W631,"Collection Email","1st Email Follow-up","2nd Email Follow-up","Escalation to Local Office","Escalation to CBE","Escalation to Roxanne")&amp;" sent "&amp;TEXT($X631,"dd-mmm")&amp;". "&amp;IF($W631=6,"Final escalation completed.",IF($T631="OVERDUE","Next: "&amp;$Z631&amp;" was due "&amp;TEXT($Y631,"dd-mmm")&amp;" - "&amp;(NETWORKDAYS($Y631,TODAY(),Holidays)-1)&amp;" business day(s) late. Send now.",IF($T631="DUE TOMORROW","Next: "&amp;$Z631&amp;IF($Y631&lt;=TODAY()," is due TODAY ("," is due next business day (")&amp;TEXT($Y631,"dd-mmm")&amp;").","Next: "&amp;$Z631&amp;" due "&amp;TEXT($Y631,"dd-mmm")&amp;" ("&amp;(NETWORKDAYS(TODAY(),$Y631,Holidays)-1)&amp;" business day(s) left).")))))</f>
        <v/>
      </c>
      <c r="V631" s="17">
        <f>IF($W631="","",CHOOSE($W631,"Collection Email","1st Follow-up","2nd Follow-up","Local Office","CBE","Roxanne")&amp;IF($W631=6," - Final"," - Day "&amp;MAX(0,NETWORKDAYS($X631,TODAY(),Holidays)-1)&amp;" of "&amp;CHOOSE($W631,3,3,2,2,3))&amp;" | Total Day "&amp;MAX(0,NETWORKDAYS($L631,TODAY(),Holidays)-1))</f>
        <v/>
      </c>
      <c r="W631" s="17">
        <f>IF($L631="","",COUNT($L631:$Q631))</f>
        <v/>
      </c>
      <c r="X631" s="18">
        <f>IF($W631="","",INT(INDEX($L631:$Q631,$W631)))</f>
        <v/>
      </c>
      <c r="Y631" s="18">
        <f>IF(OR($W631="",$W631=6),"",WORKDAY($X631,CHOOSE($W631,3,3,2,2,3),Holidays))</f>
        <v/>
      </c>
      <c r="Z631" s="17">
        <f>IF(OR($W631="",$W631=6),"",CHOOSE($W631,"1st Email Follow-up","2nd Email Follow-up","Escalate Local Office","Escalate to CBE","Escalate to Roxanne"))</f>
        <v/>
      </c>
    </row>
    <row r="632" spans="18:26">
      <c r="R632" s="15"/>
      <c r="S632" s="16"/>
      <c r="T632" s="17">
        <f>IF(AND(COUNTA($A632:$K632)=0,$L632=""),"",IF($S632="Paid","PAID",IF($S632="Closed","CLOSED",IF($W632="","",IF($W632=6,"ESCALATED TO ROXANNE",IF(TODAY()&gt;$Y632,"OVERDUE",IF($Y632&lt;=WORKDAY(TODAY(),1,Holidays),"DUE TOMORROW",IF($W632=4,"ESCALATED TO LOCAL OFFICE",IF($W632=5,"ESCALATED TO CBE",IF($X632=TODAY(),"EMAIL SENT","MONITORING"))))))))))</f>
        <v/>
      </c>
      <c r="U632" s="17">
        <f>IF($T632="",IF(AND(COUNTA($A632:$K632)&gt;0,$L632=""),"Awaiting Collection Email time stamp.",""),IF(OR($T632="PAID",$T632="CLOSED"),IF($T632="PAID","Account paid. Action completed.","Account closed. No further action required."),CHOOSE($W632,"Collection Email","1st Email Follow-up","2nd Email Follow-up","Escalation to Local Office","Escalation to CBE","Escalation to Roxanne")&amp;" sent "&amp;TEXT($X632,"dd-mmm")&amp;". "&amp;IF($W632=6,"Final escalation completed.",IF($T632="OVERDUE","Next: "&amp;$Z632&amp;" was due "&amp;TEXT($Y632,"dd-mmm")&amp;" - "&amp;(NETWORKDAYS($Y632,TODAY(),Holidays)-1)&amp;" business day(s) late. Send now.",IF($T632="DUE TOMORROW","Next: "&amp;$Z632&amp;IF($Y632&lt;=TODAY()," is due TODAY ("," is due next business day (")&amp;TEXT($Y632,"dd-mmm")&amp;").","Next: "&amp;$Z632&amp;" due "&amp;TEXT($Y632,"dd-mmm")&amp;" ("&amp;(NETWORKDAYS(TODAY(),$Y632,Holidays)-1)&amp;" business day(s) left).")))))</f>
        <v/>
      </c>
      <c r="V632" s="17">
        <f>IF($W632="","",CHOOSE($W632,"Collection Email","1st Follow-up","2nd Follow-up","Local Office","CBE","Roxanne")&amp;IF($W632=6," - Final"," - Day "&amp;MAX(0,NETWORKDAYS($X632,TODAY(),Holidays)-1)&amp;" of "&amp;CHOOSE($W632,3,3,2,2,3))&amp;" | Total Day "&amp;MAX(0,NETWORKDAYS($L632,TODAY(),Holidays)-1))</f>
        <v/>
      </c>
      <c r="W632" s="17">
        <f>IF($L632="","",COUNT($L632:$Q632))</f>
        <v/>
      </c>
      <c r="X632" s="18">
        <f>IF($W632="","",INT(INDEX($L632:$Q632,$W632)))</f>
        <v/>
      </c>
      <c r="Y632" s="18">
        <f>IF(OR($W632="",$W632=6),"",WORKDAY($X632,CHOOSE($W632,3,3,2,2,3),Holidays))</f>
        <v/>
      </c>
      <c r="Z632" s="17">
        <f>IF(OR($W632="",$W632=6),"",CHOOSE($W632,"1st Email Follow-up","2nd Email Follow-up","Escalate Local Office","Escalate to CBE","Escalate to Roxanne"))</f>
        <v/>
      </c>
    </row>
    <row r="633" spans="18:26">
      <c r="R633" s="15"/>
      <c r="S633" s="16"/>
      <c r="T633" s="17">
        <f>IF(AND(COUNTA($A633:$K633)=0,$L633=""),"",IF($S633="Paid","PAID",IF($S633="Closed","CLOSED",IF($W633="","",IF($W633=6,"ESCALATED TO ROXANNE",IF(TODAY()&gt;$Y633,"OVERDUE",IF($Y633&lt;=WORKDAY(TODAY(),1,Holidays),"DUE TOMORROW",IF($W633=4,"ESCALATED TO LOCAL OFFICE",IF($W633=5,"ESCALATED TO CBE",IF($X633=TODAY(),"EMAIL SENT","MONITORING"))))))))))</f>
        <v/>
      </c>
      <c r="U633" s="17">
        <f>IF($T633="",IF(AND(COUNTA($A633:$K633)&gt;0,$L633=""),"Awaiting Collection Email time stamp.",""),IF(OR($T633="PAID",$T633="CLOSED"),IF($T633="PAID","Account paid. Action completed.","Account closed. No further action required."),CHOOSE($W633,"Collection Email","1st Email Follow-up","2nd Email Follow-up","Escalation to Local Office","Escalation to CBE","Escalation to Roxanne")&amp;" sent "&amp;TEXT($X633,"dd-mmm")&amp;". "&amp;IF($W633=6,"Final escalation completed.",IF($T633="OVERDUE","Next: "&amp;$Z633&amp;" was due "&amp;TEXT($Y633,"dd-mmm")&amp;" - "&amp;(NETWORKDAYS($Y633,TODAY(),Holidays)-1)&amp;" business day(s) late. Send now.",IF($T633="DUE TOMORROW","Next: "&amp;$Z633&amp;IF($Y633&lt;=TODAY()," is due TODAY ("," is due next business day (")&amp;TEXT($Y633,"dd-mmm")&amp;").","Next: "&amp;$Z633&amp;" due "&amp;TEXT($Y633,"dd-mmm")&amp;" ("&amp;(NETWORKDAYS(TODAY(),$Y633,Holidays)-1)&amp;" business day(s) left).")))))</f>
        <v/>
      </c>
      <c r="V633" s="17">
        <f>IF($W633="","",CHOOSE($W633,"Collection Email","1st Follow-up","2nd Follow-up","Local Office","CBE","Roxanne")&amp;IF($W633=6," - Final"," - Day "&amp;MAX(0,NETWORKDAYS($X633,TODAY(),Holidays)-1)&amp;" of "&amp;CHOOSE($W633,3,3,2,2,3))&amp;" | Total Day "&amp;MAX(0,NETWORKDAYS($L633,TODAY(),Holidays)-1))</f>
        <v/>
      </c>
      <c r="W633" s="17">
        <f>IF($L633="","",COUNT($L633:$Q633))</f>
        <v/>
      </c>
      <c r="X633" s="18">
        <f>IF($W633="","",INT(INDEX($L633:$Q633,$W633)))</f>
        <v/>
      </c>
      <c r="Y633" s="18">
        <f>IF(OR($W633="",$W633=6),"",WORKDAY($X633,CHOOSE($W633,3,3,2,2,3),Holidays))</f>
        <v/>
      </c>
      <c r="Z633" s="17">
        <f>IF(OR($W633="",$W633=6),"",CHOOSE($W633,"1st Email Follow-up","2nd Email Follow-up","Escalate Local Office","Escalate to CBE","Escalate to Roxanne"))</f>
        <v/>
      </c>
    </row>
    <row r="634" spans="18:26">
      <c r="R634" s="15"/>
      <c r="S634" s="16"/>
      <c r="T634" s="17">
        <f>IF(AND(COUNTA($A634:$K634)=0,$L634=""),"",IF($S634="Paid","PAID",IF($S634="Closed","CLOSED",IF($W634="","",IF($W634=6,"ESCALATED TO ROXANNE",IF(TODAY()&gt;$Y634,"OVERDUE",IF($Y634&lt;=WORKDAY(TODAY(),1,Holidays),"DUE TOMORROW",IF($W634=4,"ESCALATED TO LOCAL OFFICE",IF($W634=5,"ESCALATED TO CBE",IF($X634=TODAY(),"EMAIL SENT","MONITORING"))))))))))</f>
        <v/>
      </c>
      <c r="U634" s="17">
        <f>IF($T634="",IF(AND(COUNTA($A634:$K634)&gt;0,$L634=""),"Awaiting Collection Email time stamp.",""),IF(OR($T634="PAID",$T634="CLOSED"),IF($T634="PAID","Account paid. Action completed.","Account closed. No further action required."),CHOOSE($W634,"Collection Email","1st Email Follow-up","2nd Email Follow-up","Escalation to Local Office","Escalation to CBE","Escalation to Roxanne")&amp;" sent "&amp;TEXT($X634,"dd-mmm")&amp;". "&amp;IF($W634=6,"Final escalation completed.",IF($T634="OVERDUE","Next: "&amp;$Z634&amp;" was due "&amp;TEXT($Y634,"dd-mmm")&amp;" - "&amp;(NETWORKDAYS($Y634,TODAY(),Holidays)-1)&amp;" business day(s) late. Send now.",IF($T634="DUE TOMORROW","Next: "&amp;$Z634&amp;IF($Y634&lt;=TODAY()," is due TODAY ("," is due next business day (")&amp;TEXT($Y634,"dd-mmm")&amp;").","Next: "&amp;$Z634&amp;" due "&amp;TEXT($Y634,"dd-mmm")&amp;" ("&amp;(NETWORKDAYS(TODAY(),$Y634,Holidays)-1)&amp;" business day(s) left).")))))</f>
        <v/>
      </c>
      <c r="V634" s="17">
        <f>IF($W634="","",CHOOSE($W634,"Collection Email","1st Follow-up","2nd Follow-up","Local Office","CBE","Roxanne")&amp;IF($W634=6," - Final"," - Day "&amp;MAX(0,NETWORKDAYS($X634,TODAY(),Holidays)-1)&amp;" of "&amp;CHOOSE($W634,3,3,2,2,3))&amp;" | Total Day "&amp;MAX(0,NETWORKDAYS($L634,TODAY(),Holidays)-1))</f>
        <v/>
      </c>
      <c r="W634" s="17">
        <f>IF($L634="","",COUNT($L634:$Q634))</f>
        <v/>
      </c>
      <c r="X634" s="18">
        <f>IF($W634="","",INT(INDEX($L634:$Q634,$W634)))</f>
        <v/>
      </c>
      <c r="Y634" s="18">
        <f>IF(OR($W634="",$W634=6),"",WORKDAY($X634,CHOOSE($W634,3,3,2,2,3),Holidays))</f>
        <v/>
      </c>
      <c r="Z634" s="17">
        <f>IF(OR($W634="",$W634=6),"",CHOOSE($W634,"1st Email Follow-up","2nd Email Follow-up","Escalate Local Office","Escalate to CBE","Escalate to Roxanne"))</f>
        <v/>
      </c>
    </row>
    <row r="635" spans="18:26">
      <c r="R635" s="15"/>
      <c r="S635" s="16"/>
      <c r="T635" s="17">
        <f>IF(AND(COUNTA($A635:$K635)=0,$L635=""),"",IF($S635="Paid","PAID",IF($S635="Closed","CLOSED",IF($W635="","",IF($W635=6,"ESCALATED TO ROXANNE",IF(TODAY()&gt;$Y635,"OVERDUE",IF($Y635&lt;=WORKDAY(TODAY(),1,Holidays),"DUE TOMORROW",IF($W635=4,"ESCALATED TO LOCAL OFFICE",IF($W635=5,"ESCALATED TO CBE",IF($X635=TODAY(),"EMAIL SENT","MONITORING"))))))))))</f>
        <v/>
      </c>
      <c r="U635" s="17">
        <f>IF($T635="",IF(AND(COUNTA($A635:$K635)&gt;0,$L635=""),"Awaiting Collection Email time stamp.",""),IF(OR($T635="PAID",$T635="CLOSED"),IF($T635="PAID","Account paid. Action completed.","Account closed. No further action required."),CHOOSE($W635,"Collection Email","1st Email Follow-up","2nd Email Follow-up","Escalation to Local Office","Escalation to CBE","Escalation to Roxanne")&amp;" sent "&amp;TEXT($X635,"dd-mmm")&amp;". "&amp;IF($W635=6,"Final escalation completed.",IF($T635="OVERDUE","Next: "&amp;$Z635&amp;" was due "&amp;TEXT($Y635,"dd-mmm")&amp;" - "&amp;(NETWORKDAYS($Y635,TODAY(),Holidays)-1)&amp;" business day(s) late. Send now.",IF($T635="DUE TOMORROW","Next: "&amp;$Z635&amp;IF($Y635&lt;=TODAY()," is due TODAY ("," is due next business day (")&amp;TEXT($Y635,"dd-mmm")&amp;").","Next: "&amp;$Z635&amp;" due "&amp;TEXT($Y635,"dd-mmm")&amp;" ("&amp;(NETWORKDAYS(TODAY(),$Y635,Holidays)-1)&amp;" business day(s) left).")))))</f>
        <v/>
      </c>
      <c r="V635" s="17">
        <f>IF($W635="","",CHOOSE($W635,"Collection Email","1st Follow-up","2nd Follow-up","Local Office","CBE","Roxanne")&amp;IF($W635=6," - Final"," - Day "&amp;MAX(0,NETWORKDAYS($X635,TODAY(),Holidays)-1)&amp;" of "&amp;CHOOSE($W635,3,3,2,2,3))&amp;" | Total Day "&amp;MAX(0,NETWORKDAYS($L635,TODAY(),Holidays)-1))</f>
        <v/>
      </c>
      <c r="W635" s="17">
        <f>IF($L635="","",COUNT($L635:$Q635))</f>
        <v/>
      </c>
      <c r="X635" s="18">
        <f>IF($W635="","",INT(INDEX($L635:$Q635,$W635)))</f>
        <v/>
      </c>
      <c r="Y635" s="18">
        <f>IF(OR($W635="",$W635=6),"",WORKDAY($X635,CHOOSE($W635,3,3,2,2,3),Holidays))</f>
        <v/>
      </c>
      <c r="Z635" s="17">
        <f>IF(OR($W635="",$W635=6),"",CHOOSE($W635,"1st Email Follow-up","2nd Email Follow-up","Escalate Local Office","Escalate to CBE","Escalate to Roxanne"))</f>
        <v/>
      </c>
    </row>
    <row r="636" spans="18:26">
      <c r="R636" s="15"/>
      <c r="S636" s="16"/>
      <c r="T636" s="17">
        <f>IF(AND(COUNTA($A636:$K636)=0,$L636=""),"",IF($S636="Paid","PAID",IF($S636="Closed","CLOSED",IF($W636="","",IF($W636=6,"ESCALATED TO ROXANNE",IF(TODAY()&gt;$Y636,"OVERDUE",IF($Y636&lt;=WORKDAY(TODAY(),1,Holidays),"DUE TOMORROW",IF($W636=4,"ESCALATED TO LOCAL OFFICE",IF($W636=5,"ESCALATED TO CBE",IF($X636=TODAY(),"EMAIL SENT","MONITORING"))))))))))</f>
        <v/>
      </c>
      <c r="U636" s="17">
        <f>IF($T636="",IF(AND(COUNTA($A636:$K636)&gt;0,$L636=""),"Awaiting Collection Email time stamp.",""),IF(OR($T636="PAID",$T636="CLOSED"),IF($T636="PAID","Account paid. Action completed.","Account closed. No further action required."),CHOOSE($W636,"Collection Email","1st Email Follow-up","2nd Email Follow-up","Escalation to Local Office","Escalation to CBE","Escalation to Roxanne")&amp;" sent "&amp;TEXT($X636,"dd-mmm")&amp;". "&amp;IF($W636=6,"Final escalation completed.",IF($T636="OVERDUE","Next: "&amp;$Z636&amp;" was due "&amp;TEXT($Y636,"dd-mmm")&amp;" - "&amp;(NETWORKDAYS($Y636,TODAY(),Holidays)-1)&amp;" business day(s) late. Send now.",IF($T636="DUE TOMORROW","Next: "&amp;$Z636&amp;IF($Y636&lt;=TODAY()," is due TODAY ("," is due next business day (")&amp;TEXT($Y636,"dd-mmm")&amp;").","Next: "&amp;$Z636&amp;" due "&amp;TEXT($Y636,"dd-mmm")&amp;" ("&amp;(NETWORKDAYS(TODAY(),$Y636,Holidays)-1)&amp;" business day(s) left).")))))</f>
        <v/>
      </c>
      <c r="V636" s="17">
        <f>IF($W636="","",CHOOSE($W636,"Collection Email","1st Follow-up","2nd Follow-up","Local Office","CBE","Roxanne")&amp;IF($W636=6," - Final"," - Day "&amp;MAX(0,NETWORKDAYS($X636,TODAY(),Holidays)-1)&amp;" of "&amp;CHOOSE($W636,3,3,2,2,3))&amp;" | Total Day "&amp;MAX(0,NETWORKDAYS($L636,TODAY(),Holidays)-1))</f>
        <v/>
      </c>
      <c r="W636" s="17">
        <f>IF($L636="","",COUNT($L636:$Q636))</f>
        <v/>
      </c>
      <c r="X636" s="18">
        <f>IF($W636="","",INT(INDEX($L636:$Q636,$W636)))</f>
        <v/>
      </c>
      <c r="Y636" s="18">
        <f>IF(OR($W636="",$W636=6),"",WORKDAY($X636,CHOOSE($W636,3,3,2,2,3),Holidays))</f>
        <v/>
      </c>
      <c r="Z636" s="17">
        <f>IF(OR($W636="",$W636=6),"",CHOOSE($W636,"1st Email Follow-up","2nd Email Follow-up","Escalate Local Office","Escalate to CBE","Escalate to Roxanne"))</f>
        <v/>
      </c>
    </row>
    <row r="637" spans="18:26">
      <c r="R637" s="15"/>
      <c r="S637" s="16"/>
      <c r="T637" s="17">
        <f>IF(AND(COUNTA($A637:$K637)=0,$L637=""),"",IF($S637="Paid","PAID",IF($S637="Closed","CLOSED",IF($W637="","",IF($W637=6,"ESCALATED TO ROXANNE",IF(TODAY()&gt;$Y637,"OVERDUE",IF($Y637&lt;=WORKDAY(TODAY(),1,Holidays),"DUE TOMORROW",IF($W637=4,"ESCALATED TO LOCAL OFFICE",IF($W637=5,"ESCALATED TO CBE",IF($X637=TODAY(),"EMAIL SENT","MONITORING"))))))))))</f>
        <v/>
      </c>
      <c r="U637" s="17">
        <f>IF($T637="",IF(AND(COUNTA($A637:$K637)&gt;0,$L637=""),"Awaiting Collection Email time stamp.",""),IF(OR($T637="PAID",$T637="CLOSED"),IF($T637="PAID","Account paid. Action completed.","Account closed. No further action required."),CHOOSE($W637,"Collection Email","1st Email Follow-up","2nd Email Follow-up","Escalation to Local Office","Escalation to CBE","Escalation to Roxanne")&amp;" sent "&amp;TEXT($X637,"dd-mmm")&amp;". "&amp;IF($W637=6,"Final escalation completed.",IF($T637="OVERDUE","Next: "&amp;$Z637&amp;" was due "&amp;TEXT($Y637,"dd-mmm")&amp;" - "&amp;(NETWORKDAYS($Y637,TODAY(),Holidays)-1)&amp;" business day(s) late. Send now.",IF($T637="DUE TOMORROW","Next: "&amp;$Z637&amp;IF($Y637&lt;=TODAY()," is due TODAY ("," is due next business day (")&amp;TEXT($Y637,"dd-mmm")&amp;").","Next: "&amp;$Z637&amp;" due "&amp;TEXT($Y637,"dd-mmm")&amp;" ("&amp;(NETWORKDAYS(TODAY(),$Y637,Holidays)-1)&amp;" business day(s) left).")))))</f>
        <v/>
      </c>
      <c r="V637" s="17">
        <f>IF($W637="","",CHOOSE($W637,"Collection Email","1st Follow-up","2nd Follow-up","Local Office","CBE","Roxanne")&amp;IF($W637=6," - Final"," - Day "&amp;MAX(0,NETWORKDAYS($X637,TODAY(),Holidays)-1)&amp;" of "&amp;CHOOSE($W637,3,3,2,2,3))&amp;" | Total Day "&amp;MAX(0,NETWORKDAYS($L637,TODAY(),Holidays)-1))</f>
        <v/>
      </c>
      <c r="W637" s="17">
        <f>IF($L637="","",COUNT($L637:$Q637))</f>
        <v/>
      </c>
      <c r="X637" s="18">
        <f>IF($W637="","",INT(INDEX($L637:$Q637,$W637)))</f>
        <v/>
      </c>
      <c r="Y637" s="18">
        <f>IF(OR($W637="",$W637=6),"",WORKDAY($X637,CHOOSE($W637,3,3,2,2,3),Holidays))</f>
        <v/>
      </c>
      <c r="Z637" s="17">
        <f>IF(OR($W637="",$W637=6),"",CHOOSE($W637,"1st Email Follow-up","2nd Email Follow-up","Escalate Local Office","Escalate to CBE","Escalate to Roxanne"))</f>
        <v/>
      </c>
    </row>
    <row r="638" spans="18:26">
      <c r="R638" s="15"/>
      <c r="S638" s="16"/>
      <c r="T638" s="17">
        <f>IF(AND(COUNTA($A638:$K638)=0,$L638=""),"",IF($S638="Paid","PAID",IF($S638="Closed","CLOSED",IF($W638="","",IF($W638=6,"ESCALATED TO ROXANNE",IF(TODAY()&gt;$Y638,"OVERDUE",IF($Y638&lt;=WORKDAY(TODAY(),1,Holidays),"DUE TOMORROW",IF($W638=4,"ESCALATED TO LOCAL OFFICE",IF($W638=5,"ESCALATED TO CBE",IF($X638=TODAY(),"EMAIL SENT","MONITORING"))))))))))</f>
        <v/>
      </c>
      <c r="U638" s="17">
        <f>IF($T638="",IF(AND(COUNTA($A638:$K638)&gt;0,$L638=""),"Awaiting Collection Email time stamp.",""),IF(OR($T638="PAID",$T638="CLOSED"),IF($T638="PAID","Account paid. Action completed.","Account closed. No further action required."),CHOOSE($W638,"Collection Email","1st Email Follow-up","2nd Email Follow-up","Escalation to Local Office","Escalation to CBE","Escalation to Roxanne")&amp;" sent "&amp;TEXT($X638,"dd-mmm")&amp;". "&amp;IF($W638=6,"Final escalation completed.",IF($T638="OVERDUE","Next: "&amp;$Z638&amp;" was due "&amp;TEXT($Y638,"dd-mmm")&amp;" - "&amp;(NETWORKDAYS($Y638,TODAY(),Holidays)-1)&amp;" business day(s) late. Send now.",IF($T638="DUE TOMORROW","Next: "&amp;$Z638&amp;IF($Y638&lt;=TODAY()," is due TODAY ("," is due next business day (")&amp;TEXT($Y638,"dd-mmm")&amp;").","Next: "&amp;$Z638&amp;" due "&amp;TEXT($Y638,"dd-mmm")&amp;" ("&amp;(NETWORKDAYS(TODAY(),$Y638,Holidays)-1)&amp;" business day(s) left).")))))</f>
        <v/>
      </c>
      <c r="V638" s="17">
        <f>IF($W638="","",CHOOSE($W638,"Collection Email","1st Follow-up","2nd Follow-up","Local Office","CBE","Roxanne")&amp;IF($W638=6," - Final"," - Day "&amp;MAX(0,NETWORKDAYS($X638,TODAY(),Holidays)-1)&amp;" of "&amp;CHOOSE($W638,3,3,2,2,3))&amp;" | Total Day "&amp;MAX(0,NETWORKDAYS($L638,TODAY(),Holidays)-1))</f>
        <v/>
      </c>
      <c r="W638" s="17">
        <f>IF($L638="","",COUNT($L638:$Q638))</f>
        <v/>
      </c>
      <c r="X638" s="18">
        <f>IF($W638="","",INT(INDEX($L638:$Q638,$W638)))</f>
        <v/>
      </c>
      <c r="Y638" s="18">
        <f>IF(OR($W638="",$W638=6),"",WORKDAY($X638,CHOOSE($W638,3,3,2,2,3),Holidays))</f>
        <v/>
      </c>
      <c r="Z638" s="17">
        <f>IF(OR($W638="",$W638=6),"",CHOOSE($W638,"1st Email Follow-up","2nd Email Follow-up","Escalate Local Office","Escalate to CBE","Escalate to Roxanne"))</f>
        <v/>
      </c>
    </row>
    <row r="639" spans="18:26">
      <c r="R639" s="15"/>
      <c r="S639" s="16"/>
      <c r="T639" s="17">
        <f>IF(AND(COUNTA($A639:$K639)=0,$L639=""),"",IF($S639="Paid","PAID",IF($S639="Closed","CLOSED",IF($W639="","",IF($W639=6,"ESCALATED TO ROXANNE",IF(TODAY()&gt;$Y639,"OVERDUE",IF($Y639&lt;=WORKDAY(TODAY(),1,Holidays),"DUE TOMORROW",IF($W639=4,"ESCALATED TO LOCAL OFFICE",IF($W639=5,"ESCALATED TO CBE",IF($X639=TODAY(),"EMAIL SENT","MONITORING"))))))))))</f>
        <v/>
      </c>
      <c r="U639" s="17">
        <f>IF($T639="",IF(AND(COUNTA($A639:$K639)&gt;0,$L639=""),"Awaiting Collection Email time stamp.",""),IF(OR($T639="PAID",$T639="CLOSED"),IF($T639="PAID","Account paid. Action completed.","Account closed. No further action required."),CHOOSE($W639,"Collection Email","1st Email Follow-up","2nd Email Follow-up","Escalation to Local Office","Escalation to CBE","Escalation to Roxanne")&amp;" sent "&amp;TEXT($X639,"dd-mmm")&amp;". "&amp;IF($W639=6,"Final escalation completed.",IF($T639="OVERDUE","Next: "&amp;$Z639&amp;" was due "&amp;TEXT($Y639,"dd-mmm")&amp;" - "&amp;(NETWORKDAYS($Y639,TODAY(),Holidays)-1)&amp;" business day(s) late. Send now.",IF($T639="DUE TOMORROW","Next: "&amp;$Z639&amp;IF($Y639&lt;=TODAY()," is due TODAY ("," is due next business day (")&amp;TEXT($Y639,"dd-mmm")&amp;").","Next: "&amp;$Z639&amp;" due "&amp;TEXT($Y639,"dd-mmm")&amp;" ("&amp;(NETWORKDAYS(TODAY(),$Y639,Holidays)-1)&amp;" business day(s) left).")))))</f>
        <v/>
      </c>
      <c r="V639" s="17">
        <f>IF($W639="","",CHOOSE($W639,"Collection Email","1st Follow-up","2nd Follow-up","Local Office","CBE","Roxanne")&amp;IF($W639=6," - Final"," - Day "&amp;MAX(0,NETWORKDAYS($X639,TODAY(),Holidays)-1)&amp;" of "&amp;CHOOSE($W639,3,3,2,2,3))&amp;" | Total Day "&amp;MAX(0,NETWORKDAYS($L639,TODAY(),Holidays)-1))</f>
        <v/>
      </c>
      <c r="W639" s="17">
        <f>IF($L639="","",COUNT($L639:$Q639))</f>
        <v/>
      </c>
      <c r="X639" s="18">
        <f>IF($W639="","",INT(INDEX($L639:$Q639,$W639)))</f>
        <v/>
      </c>
      <c r="Y639" s="18">
        <f>IF(OR($W639="",$W639=6),"",WORKDAY($X639,CHOOSE($W639,3,3,2,2,3),Holidays))</f>
        <v/>
      </c>
      <c r="Z639" s="17">
        <f>IF(OR($W639="",$W639=6),"",CHOOSE($W639,"1st Email Follow-up","2nd Email Follow-up","Escalate Local Office","Escalate to CBE","Escalate to Roxanne"))</f>
        <v/>
      </c>
    </row>
    <row r="640" spans="18:26">
      <c r="R640" s="15"/>
      <c r="S640" s="16"/>
      <c r="T640" s="17">
        <f>IF(AND(COUNTA($A640:$K640)=0,$L640=""),"",IF($S640="Paid","PAID",IF($S640="Closed","CLOSED",IF($W640="","",IF($W640=6,"ESCALATED TO ROXANNE",IF(TODAY()&gt;$Y640,"OVERDUE",IF($Y640&lt;=WORKDAY(TODAY(),1,Holidays),"DUE TOMORROW",IF($W640=4,"ESCALATED TO LOCAL OFFICE",IF($W640=5,"ESCALATED TO CBE",IF($X640=TODAY(),"EMAIL SENT","MONITORING"))))))))))</f>
        <v/>
      </c>
      <c r="U640" s="17">
        <f>IF($T640="",IF(AND(COUNTA($A640:$K640)&gt;0,$L640=""),"Awaiting Collection Email time stamp.",""),IF(OR($T640="PAID",$T640="CLOSED"),IF($T640="PAID","Account paid. Action completed.","Account closed. No further action required."),CHOOSE($W640,"Collection Email","1st Email Follow-up","2nd Email Follow-up","Escalation to Local Office","Escalation to CBE","Escalation to Roxanne")&amp;" sent "&amp;TEXT($X640,"dd-mmm")&amp;". "&amp;IF($W640=6,"Final escalation completed.",IF($T640="OVERDUE","Next: "&amp;$Z640&amp;" was due "&amp;TEXT($Y640,"dd-mmm")&amp;" - "&amp;(NETWORKDAYS($Y640,TODAY(),Holidays)-1)&amp;" business day(s) late. Send now.",IF($T640="DUE TOMORROW","Next: "&amp;$Z640&amp;IF($Y640&lt;=TODAY()," is due TODAY ("," is due next business day (")&amp;TEXT($Y640,"dd-mmm")&amp;").","Next: "&amp;$Z640&amp;" due "&amp;TEXT($Y640,"dd-mmm")&amp;" ("&amp;(NETWORKDAYS(TODAY(),$Y640,Holidays)-1)&amp;" business day(s) left).")))))</f>
        <v/>
      </c>
      <c r="V640" s="17">
        <f>IF($W640="","",CHOOSE($W640,"Collection Email","1st Follow-up","2nd Follow-up","Local Office","CBE","Roxanne")&amp;IF($W640=6," - Final"," - Day "&amp;MAX(0,NETWORKDAYS($X640,TODAY(),Holidays)-1)&amp;" of "&amp;CHOOSE($W640,3,3,2,2,3))&amp;" | Total Day "&amp;MAX(0,NETWORKDAYS($L640,TODAY(),Holidays)-1))</f>
        <v/>
      </c>
      <c r="W640" s="17">
        <f>IF($L640="","",COUNT($L640:$Q640))</f>
        <v/>
      </c>
      <c r="X640" s="18">
        <f>IF($W640="","",INT(INDEX($L640:$Q640,$W640)))</f>
        <v/>
      </c>
      <c r="Y640" s="18">
        <f>IF(OR($W640="",$W640=6),"",WORKDAY($X640,CHOOSE($W640,3,3,2,2,3),Holidays))</f>
        <v/>
      </c>
      <c r="Z640" s="17">
        <f>IF(OR($W640="",$W640=6),"",CHOOSE($W640,"1st Email Follow-up","2nd Email Follow-up","Escalate Local Office","Escalate to CBE","Escalate to Roxanne"))</f>
        <v/>
      </c>
    </row>
    <row r="641" spans="18:26">
      <c r="R641" s="15"/>
      <c r="S641" s="16"/>
      <c r="T641" s="17">
        <f>IF(AND(COUNTA($A641:$K641)=0,$L641=""),"",IF($S641="Paid","PAID",IF($S641="Closed","CLOSED",IF($W641="","",IF($W641=6,"ESCALATED TO ROXANNE",IF(TODAY()&gt;$Y641,"OVERDUE",IF($Y641&lt;=WORKDAY(TODAY(),1,Holidays),"DUE TOMORROW",IF($W641=4,"ESCALATED TO LOCAL OFFICE",IF($W641=5,"ESCALATED TO CBE",IF($X641=TODAY(),"EMAIL SENT","MONITORING"))))))))))</f>
        <v/>
      </c>
      <c r="U641" s="17">
        <f>IF($T641="",IF(AND(COUNTA($A641:$K641)&gt;0,$L641=""),"Awaiting Collection Email time stamp.",""),IF(OR($T641="PAID",$T641="CLOSED"),IF($T641="PAID","Account paid. Action completed.","Account closed. No further action required."),CHOOSE($W641,"Collection Email","1st Email Follow-up","2nd Email Follow-up","Escalation to Local Office","Escalation to CBE","Escalation to Roxanne")&amp;" sent "&amp;TEXT($X641,"dd-mmm")&amp;". "&amp;IF($W641=6,"Final escalation completed.",IF($T641="OVERDUE","Next: "&amp;$Z641&amp;" was due "&amp;TEXT($Y641,"dd-mmm")&amp;" - "&amp;(NETWORKDAYS($Y641,TODAY(),Holidays)-1)&amp;" business day(s) late. Send now.",IF($T641="DUE TOMORROW","Next: "&amp;$Z641&amp;IF($Y641&lt;=TODAY()," is due TODAY ("," is due next business day (")&amp;TEXT($Y641,"dd-mmm")&amp;").","Next: "&amp;$Z641&amp;" due "&amp;TEXT($Y641,"dd-mmm")&amp;" ("&amp;(NETWORKDAYS(TODAY(),$Y641,Holidays)-1)&amp;" business day(s) left).")))))</f>
        <v/>
      </c>
      <c r="V641" s="17">
        <f>IF($W641="","",CHOOSE($W641,"Collection Email","1st Follow-up","2nd Follow-up","Local Office","CBE","Roxanne")&amp;IF($W641=6," - Final"," - Day "&amp;MAX(0,NETWORKDAYS($X641,TODAY(),Holidays)-1)&amp;" of "&amp;CHOOSE($W641,3,3,2,2,3))&amp;" | Total Day "&amp;MAX(0,NETWORKDAYS($L641,TODAY(),Holidays)-1))</f>
        <v/>
      </c>
      <c r="W641" s="17">
        <f>IF($L641="","",COUNT($L641:$Q641))</f>
        <v/>
      </c>
      <c r="X641" s="18">
        <f>IF($W641="","",INT(INDEX($L641:$Q641,$W641)))</f>
        <v/>
      </c>
      <c r="Y641" s="18">
        <f>IF(OR($W641="",$W641=6),"",WORKDAY($X641,CHOOSE($W641,3,3,2,2,3),Holidays))</f>
        <v/>
      </c>
      <c r="Z641" s="17">
        <f>IF(OR($W641="",$W641=6),"",CHOOSE($W641,"1st Email Follow-up","2nd Email Follow-up","Escalate Local Office","Escalate to CBE","Escalate to Roxanne"))</f>
        <v/>
      </c>
    </row>
    <row r="642" spans="18:26">
      <c r="R642" s="15"/>
      <c r="S642" s="16"/>
      <c r="T642" s="17">
        <f>IF(AND(COUNTA($A642:$K642)=0,$L642=""),"",IF($S642="Paid","PAID",IF($S642="Closed","CLOSED",IF($W642="","",IF($W642=6,"ESCALATED TO ROXANNE",IF(TODAY()&gt;$Y642,"OVERDUE",IF($Y642&lt;=WORKDAY(TODAY(),1,Holidays),"DUE TOMORROW",IF($W642=4,"ESCALATED TO LOCAL OFFICE",IF($W642=5,"ESCALATED TO CBE",IF($X642=TODAY(),"EMAIL SENT","MONITORING"))))))))))</f>
        <v/>
      </c>
      <c r="U642" s="17">
        <f>IF($T642="",IF(AND(COUNTA($A642:$K642)&gt;0,$L642=""),"Awaiting Collection Email time stamp.",""),IF(OR($T642="PAID",$T642="CLOSED"),IF($T642="PAID","Account paid. Action completed.","Account closed. No further action required."),CHOOSE($W642,"Collection Email","1st Email Follow-up","2nd Email Follow-up","Escalation to Local Office","Escalation to CBE","Escalation to Roxanne")&amp;" sent "&amp;TEXT($X642,"dd-mmm")&amp;". "&amp;IF($W642=6,"Final escalation completed.",IF($T642="OVERDUE","Next: "&amp;$Z642&amp;" was due "&amp;TEXT($Y642,"dd-mmm")&amp;" - "&amp;(NETWORKDAYS($Y642,TODAY(),Holidays)-1)&amp;" business day(s) late. Send now.",IF($T642="DUE TOMORROW","Next: "&amp;$Z642&amp;IF($Y642&lt;=TODAY()," is due TODAY ("," is due next business day (")&amp;TEXT($Y642,"dd-mmm")&amp;").","Next: "&amp;$Z642&amp;" due "&amp;TEXT($Y642,"dd-mmm")&amp;" ("&amp;(NETWORKDAYS(TODAY(),$Y642,Holidays)-1)&amp;" business day(s) left).")))))</f>
        <v/>
      </c>
      <c r="V642" s="17">
        <f>IF($W642="","",CHOOSE($W642,"Collection Email","1st Follow-up","2nd Follow-up","Local Office","CBE","Roxanne")&amp;IF($W642=6," - Final"," - Day "&amp;MAX(0,NETWORKDAYS($X642,TODAY(),Holidays)-1)&amp;" of "&amp;CHOOSE($W642,3,3,2,2,3))&amp;" | Total Day "&amp;MAX(0,NETWORKDAYS($L642,TODAY(),Holidays)-1))</f>
        <v/>
      </c>
      <c r="W642" s="17">
        <f>IF($L642="","",COUNT($L642:$Q642))</f>
        <v/>
      </c>
      <c r="X642" s="18">
        <f>IF($W642="","",INT(INDEX($L642:$Q642,$W642)))</f>
        <v/>
      </c>
      <c r="Y642" s="18">
        <f>IF(OR($W642="",$W642=6),"",WORKDAY($X642,CHOOSE($W642,3,3,2,2,3),Holidays))</f>
        <v/>
      </c>
      <c r="Z642" s="17">
        <f>IF(OR($W642="",$W642=6),"",CHOOSE($W642,"1st Email Follow-up","2nd Email Follow-up","Escalate Local Office","Escalate to CBE","Escalate to Roxanne"))</f>
        <v/>
      </c>
    </row>
    <row r="643" spans="18:26">
      <c r="R643" s="15"/>
      <c r="S643" s="16"/>
      <c r="T643" s="17">
        <f>IF(AND(COUNTA($A643:$K643)=0,$L643=""),"",IF($S643="Paid","PAID",IF($S643="Closed","CLOSED",IF($W643="","",IF($W643=6,"ESCALATED TO ROXANNE",IF(TODAY()&gt;$Y643,"OVERDUE",IF($Y643&lt;=WORKDAY(TODAY(),1,Holidays),"DUE TOMORROW",IF($W643=4,"ESCALATED TO LOCAL OFFICE",IF($W643=5,"ESCALATED TO CBE",IF($X643=TODAY(),"EMAIL SENT","MONITORING"))))))))))</f>
        <v/>
      </c>
      <c r="U643" s="17">
        <f>IF($T643="",IF(AND(COUNTA($A643:$K643)&gt;0,$L643=""),"Awaiting Collection Email time stamp.",""),IF(OR($T643="PAID",$T643="CLOSED"),IF($T643="PAID","Account paid. Action completed.","Account closed. No further action required."),CHOOSE($W643,"Collection Email","1st Email Follow-up","2nd Email Follow-up","Escalation to Local Office","Escalation to CBE","Escalation to Roxanne")&amp;" sent "&amp;TEXT($X643,"dd-mmm")&amp;". "&amp;IF($W643=6,"Final escalation completed.",IF($T643="OVERDUE","Next: "&amp;$Z643&amp;" was due "&amp;TEXT($Y643,"dd-mmm")&amp;" - "&amp;(NETWORKDAYS($Y643,TODAY(),Holidays)-1)&amp;" business day(s) late. Send now.",IF($T643="DUE TOMORROW","Next: "&amp;$Z643&amp;IF($Y643&lt;=TODAY()," is due TODAY ("," is due next business day (")&amp;TEXT($Y643,"dd-mmm")&amp;").","Next: "&amp;$Z643&amp;" due "&amp;TEXT($Y643,"dd-mmm")&amp;" ("&amp;(NETWORKDAYS(TODAY(),$Y643,Holidays)-1)&amp;" business day(s) left).")))))</f>
        <v/>
      </c>
      <c r="V643" s="17">
        <f>IF($W643="","",CHOOSE($W643,"Collection Email","1st Follow-up","2nd Follow-up","Local Office","CBE","Roxanne")&amp;IF($W643=6," - Final"," - Day "&amp;MAX(0,NETWORKDAYS($X643,TODAY(),Holidays)-1)&amp;" of "&amp;CHOOSE($W643,3,3,2,2,3))&amp;" | Total Day "&amp;MAX(0,NETWORKDAYS($L643,TODAY(),Holidays)-1))</f>
        <v/>
      </c>
      <c r="W643" s="17">
        <f>IF($L643="","",COUNT($L643:$Q643))</f>
        <v/>
      </c>
      <c r="X643" s="18">
        <f>IF($W643="","",INT(INDEX($L643:$Q643,$W643)))</f>
        <v/>
      </c>
      <c r="Y643" s="18">
        <f>IF(OR($W643="",$W643=6),"",WORKDAY($X643,CHOOSE($W643,3,3,2,2,3),Holidays))</f>
        <v/>
      </c>
      <c r="Z643" s="17">
        <f>IF(OR($W643="",$W643=6),"",CHOOSE($W643,"1st Email Follow-up","2nd Email Follow-up","Escalate Local Office","Escalate to CBE","Escalate to Roxanne"))</f>
        <v/>
      </c>
    </row>
    <row r="644" spans="18:26">
      <c r="R644" s="15"/>
      <c r="S644" s="16"/>
      <c r="T644" s="17">
        <f>IF(AND(COUNTA($A644:$K644)=0,$L644=""),"",IF($S644="Paid","PAID",IF($S644="Closed","CLOSED",IF($W644="","",IF($W644=6,"ESCALATED TO ROXANNE",IF(TODAY()&gt;$Y644,"OVERDUE",IF($Y644&lt;=WORKDAY(TODAY(),1,Holidays),"DUE TOMORROW",IF($W644=4,"ESCALATED TO LOCAL OFFICE",IF($W644=5,"ESCALATED TO CBE",IF($X644=TODAY(),"EMAIL SENT","MONITORING"))))))))))</f>
        <v/>
      </c>
      <c r="U644" s="17">
        <f>IF($T644="",IF(AND(COUNTA($A644:$K644)&gt;0,$L644=""),"Awaiting Collection Email time stamp.",""),IF(OR($T644="PAID",$T644="CLOSED"),IF($T644="PAID","Account paid. Action completed.","Account closed. No further action required."),CHOOSE($W644,"Collection Email","1st Email Follow-up","2nd Email Follow-up","Escalation to Local Office","Escalation to CBE","Escalation to Roxanne")&amp;" sent "&amp;TEXT($X644,"dd-mmm")&amp;". "&amp;IF($W644=6,"Final escalation completed.",IF($T644="OVERDUE","Next: "&amp;$Z644&amp;" was due "&amp;TEXT($Y644,"dd-mmm")&amp;" - "&amp;(NETWORKDAYS($Y644,TODAY(),Holidays)-1)&amp;" business day(s) late. Send now.",IF($T644="DUE TOMORROW","Next: "&amp;$Z644&amp;IF($Y644&lt;=TODAY()," is due TODAY ("," is due next business day (")&amp;TEXT($Y644,"dd-mmm")&amp;").","Next: "&amp;$Z644&amp;" due "&amp;TEXT($Y644,"dd-mmm")&amp;" ("&amp;(NETWORKDAYS(TODAY(),$Y644,Holidays)-1)&amp;" business day(s) left).")))))</f>
        <v/>
      </c>
      <c r="V644" s="17">
        <f>IF($W644="","",CHOOSE($W644,"Collection Email","1st Follow-up","2nd Follow-up","Local Office","CBE","Roxanne")&amp;IF($W644=6," - Final"," - Day "&amp;MAX(0,NETWORKDAYS($X644,TODAY(),Holidays)-1)&amp;" of "&amp;CHOOSE($W644,3,3,2,2,3))&amp;" | Total Day "&amp;MAX(0,NETWORKDAYS($L644,TODAY(),Holidays)-1))</f>
        <v/>
      </c>
      <c r="W644" s="17">
        <f>IF($L644="","",COUNT($L644:$Q644))</f>
        <v/>
      </c>
      <c r="X644" s="18">
        <f>IF($W644="","",INT(INDEX($L644:$Q644,$W644)))</f>
        <v/>
      </c>
      <c r="Y644" s="18">
        <f>IF(OR($W644="",$W644=6),"",WORKDAY($X644,CHOOSE($W644,3,3,2,2,3),Holidays))</f>
        <v/>
      </c>
      <c r="Z644" s="17">
        <f>IF(OR($W644="",$W644=6),"",CHOOSE($W644,"1st Email Follow-up","2nd Email Follow-up","Escalate Local Office","Escalate to CBE","Escalate to Roxanne"))</f>
        <v/>
      </c>
    </row>
    <row r="645" spans="18:26">
      <c r="R645" s="15"/>
      <c r="S645" s="16"/>
      <c r="T645" s="17">
        <f>IF(AND(COUNTA($A645:$K645)=0,$L645=""),"",IF($S645="Paid","PAID",IF($S645="Closed","CLOSED",IF($W645="","",IF($W645=6,"ESCALATED TO ROXANNE",IF(TODAY()&gt;$Y645,"OVERDUE",IF($Y645&lt;=WORKDAY(TODAY(),1,Holidays),"DUE TOMORROW",IF($W645=4,"ESCALATED TO LOCAL OFFICE",IF($W645=5,"ESCALATED TO CBE",IF($X645=TODAY(),"EMAIL SENT","MONITORING"))))))))))</f>
        <v/>
      </c>
      <c r="U645" s="17">
        <f>IF($T645="",IF(AND(COUNTA($A645:$K645)&gt;0,$L645=""),"Awaiting Collection Email time stamp.",""),IF(OR($T645="PAID",$T645="CLOSED"),IF($T645="PAID","Account paid. Action completed.","Account closed. No further action required."),CHOOSE($W645,"Collection Email","1st Email Follow-up","2nd Email Follow-up","Escalation to Local Office","Escalation to CBE","Escalation to Roxanne")&amp;" sent "&amp;TEXT($X645,"dd-mmm")&amp;". "&amp;IF($W645=6,"Final escalation completed.",IF($T645="OVERDUE","Next: "&amp;$Z645&amp;" was due "&amp;TEXT($Y645,"dd-mmm")&amp;" - "&amp;(NETWORKDAYS($Y645,TODAY(),Holidays)-1)&amp;" business day(s) late. Send now.",IF($T645="DUE TOMORROW","Next: "&amp;$Z645&amp;IF($Y645&lt;=TODAY()," is due TODAY ("," is due next business day (")&amp;TEXT($Y645,"dd-mmm")&amp;").","Next: "&amp;$Z645&amp;" due "&amp;TEXT($Y645,"dd-mmm")&amp;" ("&amp;(NETWORKDAYS(TODAY(),$Y645,Holidays)-1)&amp;" business day(s) left).")))))</f>
        <v/>
      </c>
      <c r="V645" s="17">
        <f>IF($W645="","",CHOOSE($W645,"Collection Email","1st Follow-up","2nd Follow-up","Local Office","CBE","Roxanne")&amp;IF($W645=6," - Final"," - Day "&amp;MAX(0,NETWORKDAYS($X645,TODAY(),Holidays)-1)&amp;" of "&amp;CHOOSE($W645,3,3,2,2,3))&amp;" | Total Day "&amp;MAX(0,NETWORKDAYS($L645,TODAY(),Holidays)-1))</f>
        <v/>
      </c>
      <c r="W645" s="17">
        <f>IF($L645="","",COUNT($L645:$Q645))</f>
        <v/>
      </c>
      <c r="X645" s="18">
        <f>IF($W645="","",INT(INDEX($L645:$Q645,$W645)))</f>
        <v/>
      </c>
      <c r="Y645" s="18">
        <f>IF(OR($W645="",$W645=6),"",WORKDAY($X645,CHOOSE($W645,3,3,2,2,3),Holidays))</f>
        <v/>
      </c>
      <c r="Z645" s="17">
        <f>IF(OR($W645="",$W645=6),"",CHOOSE($W645,"1st Email Follow-up","2nd Email Follow-up","Escalate Local Office","Escalate to CBE","Escalate to Roxanne"))</f>
        <v/>
      </c>
    </row>
    <row r="646" spans="18:26">
      <c r="R646" s="15"/>
      <c r="S646" s="16"/>
      <c r="T646" s="17">
        <f>IF(AND(COUNTA($A646:$K646)=0,$L646=""),"",IF($S646="Paid","PAID",IF($S646="Closed","CLOSED",IF($W646="","",IF($W646=6,"ESCALATED TO ROXANNE",IF(TODAY()&gt;$Y646,"OVERDUE",IF($Y646&lt;=WORKDAY(TODAY(),1,Holidays),"DUE TOMORROW",IF($W646=4,"ESCALATED TO LOCAL OFFICE",IF($W646=5,"ESCALATED TO CBE",IF($X646=TODAY(),"EMAIL SENT","MONITORING"))))))))))</f>
        <v/>
      </c>
      <c r="U646" s="17">
        <f>IF($T646="",IF(AND(COUNTA($A646:$K646)&gt;0,$L646=""),"Awaiting Collection Email time stamp.",""),IF(OR($T646="PAID",$T646="CLOSED"),IF($T646="PAID","Account paid. Action completed.","Account closed. No further action required."),CHOOSE($W646,"Collection Email","1st Email Follow-up","2nd Email Follow-up","Escalation to Local Office","Escalation to CBE","Escalation to Roxanne")&amp;" sent "&amp;TEXT($X646,"dd-mmm")&amp;". "&amp;IF($W646=6,"Final escalation completed.",IF($T646="OVERDUE","Next: "&amp;$Z646&amp;" was due "&amp;TEXT($Y646,"dd-mmm")&amp;" - "&amp;(NETWORKDAYS($Y646,TODAY(),Holidays)-1)&amp;" business day(s) late. Send now.",IF($T646="DUE TOMORROW","Next: "&amp;$Z646&amp;IF($Y646&lt;=TODAY()," is due TODAY ("," is due next business day (")&amp;TEXT($Y646,"dd-mmm")&amp;").","Next: "&amp;$Z646&amp;" due "&amp;TEXT($Y646,"dd-mmm")&amp;" ("&amp;(NETWORKDAYS(TODAY(),$Y646,Holidays)-1)&amp;" business day(s) left).")))))</f>
        <v/>
      </c>
      <c r="V646" s="17">
        <f>IF($W646="","",CHOOSE($W646,"Collection Email","1st Follow-up","2nd Follow-up","Local Office","CBE","Roxanne")&amp;IF($W646=6," - Final"," - Day "&amp;MAX(0,NETWORKDAYS($X646,TODAY(),Holidays)-1)&amp;" of "&amp;CHOOSE($W646,3,3,2,2,3))&amp;" | Total Day "&amp;MAX(0,NETWORKDAYS($L646,TODAY(),Holidays)-1))</f>
        <v/>
      </c>
      <c r="W646" s="17">
        <f>IF($L646="","",COUNT($L646:$Q646))</f>
        <v/>
      </c>
      <c r="X646" s="18">
        <f>IF($W646="","",INT(INDEX($L646:$Q646,$W646)))</f>
        <v/>
      </c>
      <c r="Y646" s="18">
        <f>IF(OR($W646="",$W646=6),"",WORKDAY($X646,CHOOSE($W646,3,3,2,2,3),Holidays))</f>
        <v/>
      </c>
      <c r="Z646" s="17">
        <f>IF(OR($W646="",$W646=6),"",CHOOSE($W646,"1st Email Follow-up","2nd Email Follow-up","Escalate Local Office","Escalate to CBE","Escalate to Roxanne"))</f>
        <v/>
      </c>
    </row>
    <row r="647" spans="18:26">
      <c r="R647" s="15"/>
      <c r="S647" s="16"/>
      <c r="T647" s="17">
        <f>IF(AND(COUNTA($A647:$K647)=0,$L647=""),"",IF($S647="Paid","PAID",IF($S647="Closed","CLOSED",IF($W647="","",IF($W647=6,"ESCALATED TO ROXANNE",IF(TODAY()&gt;$Y647,"OVERDUE",IF($Y647&lt;=WORKDAY(TODAY(),1,Holidays),"DUE TOMORROW",IF($W647=4,"ESCALATED TO LOCAL OFFICE",IF($W647=5,"ESCALATED TO CBE",IF($X647=TODAY(),"EMAIL SENT","MONITORING"))))))))))</f>
        <v/>
      </c>
      <c r="U647" s="17">
        <f>IF($T647="",IF(AND(COUNTA($A647:$K647)&gt;0,$L647=""),"Awaiting Collection Email time stamp.",""),IF(OR($T647="PAID",$T647="CLOSED"),IF($T647="PAID","Account paid. Action completed.","Account closed. No further action required."),CHOOSE($W647,"Collection Email","1st Email Follow-up","2nd Email Follow-up","Escalation to Local Office","Escalation to CBE","Escalation to Roxanne")&amp;" sent "&amp;TEXT($X647,"dd-mmm")&amp;". "&amp;IF($W647=6,"Final escalation completed.",IF($T647="OVERDUE","Next: "&amp;$Z647&amp;" was due "&amp;TEXT($Y647,"dd-mmm")&amp;" - "&amp;(NETWORKDAYS($Y647,TODAY(),Holidays)-1)&amp;" business day(s) late. Send now.",IF($T647="DUE TOMORROW","Next: "&amp;$Z647&amp;IF($Y647&lt;=TODAY()," is due TODAY ("," is due next business day (")&amp;TEXT($Y647,"dd-mmm")&amp;").","Next: "&amp;$Z647&amp;" due "&amp;TEXT($Y647,"dd-mmm")&amp;" ("&amp;(NETWORKDAYS(TODAY(),$Y647,Holidays)-1)&amp;" business day(s) left).")))))</f>
        <v/>
      </c>
      <c r="V647" s="17">
        <f>IF($W647="","",CHOOSE($W647,"Collection Email","1st Follow-up","2nd Follow-up","Local Office","CBE","Roxanne")&amp;IF($W647=6," - Final"," - Day "&amp;MAX(0,NETWORKDAYS($X647,TODAY(),Holidays)-1)&amp;" of "&amp;CHOOSE($W647,3,3,2,2,3))&amp;" | Total Day "&amp;MAX(0,NETWORKDAYS($L647,TODAY(),Holidays)-1))</f>
        <v/>
      </c>
      <c r="W647" s="17">
        <f>IF($L647="","",COUNT($L647:$Q647))</f>
        <v/>
      </c>
      <c r="X647" s="18">
        <f>IF($W647="","",INT(INDEX($L647:$Q647,$W647)))</f>
        <v/>
      </c>
      <c r="Y647" s="18">
        <f>IF(OR($W647="",$W647=6),"",WORKDAY($X647,CHOOSE($W647,3,3,2,2,3),Holidays))</f>
        <v/>
      </c>
      <c r="Z647" s="17">
        <f>IF(OR($W647="",$W647=6),"",CHOOSE($W647,"1st Email Follow-up","2nd Email Follow-up","Escalate Local Office","Escalate to CBE","Escalate to Roxanne"))</f>
        <v/>
      </c>
    </row>
    <row r="648" spans="18:26">
      <c r="R648" s="15"/>
      <c r="S648" s="16"/>
      <c r="T648" s="17">
        <f>IF(AND(COUNTA($A648:$K648)=0,$L648=""),"",IF($S648="Paid","PAID",IF($S648="Closed","CLOSED",IF($W648="","",IF($W648=6,"ESCALATED TO ROXANNE",IF(TODAY()&gt;$Y648,"OVERDUE",IF($Y648&lt;=WORKDAY(TODAY(),1,Holidays),"DUE TOMORROW",IF($W648=4,"ESCALATED TO LOCAL OFFICE",IF($W648=5,"ESCALATED TO CBE",IF($X648=TODAY(),"EMAIL SENT","MONITORING"))))))))))</f>
        <v/>
      </c>
      <c r="U648" s="17">
        <f>IF($T648="",IF(AND(COUNTA($A648:$K648)&gt;0,$L648=""),"Awaiting Collection Email time stamp.",""),IF(OR($T648="PAID",$T648="CLOSED"),IF($T648="PAID","Account paid. Action completed.","Account closed. No further action required."),CHOOSE($W648,"Collection Email","1st Email Follow-up","2nd Email Follow-up","Escalation to Local Office","Escalation to CBE","Escalation to Roxanne")&amp;" sent "&amp;TEXT($X648,"dd-mmm")&amp;". "&amp;IF($W648=6,"Final escalation completed.",IF($T648="OVERDUE","Next: "&amp;$Z648&amp;" was due "&amp;TEXT($Y648,"dd-mmm")&amp;" - "&amp;(NETWORKDAYS($Y648,TODAY(),Holidays)-1)&amp;" business day(s) late. Send now.",IF($T648="DUE TOMORROW","Next: "&amp;$Z648&amp;IF($Y648&lt;=TODAY()," is due TODAY ("," is due next business day (")&amp;TEXT($Y648,"dd-mmm")&amp;").","Next: "&amp;$Z648&amp;" due "&amp;TEXT($Y648,"dd-mmm")&amp;" ("&amp;(NETWORKDAYS(TODAY(),$Y648,Holidays)-1)&amp;" business day(s) left).")))))</f>
        <v/>
      </c>
      <c r="V648" s="17">
        <f>IF($W648="","",CHOOSE($W648,"Collection Email","1st Follow-up","2nd Follow-up","Local Office","CBE","Roxanne")&amp;IF($W648=6," - Final"," - Day "&amp;MAX(0,NETWORKDAYS($X648,TODAY(),Holidays)-1)&amp;" of "&amp;CHOOSE($W648,3,3,2,2,3))&amp;" | Total Day "&amp;MAX(0,NETWORKDAYS($L648,TODAY(),Holidays)-1))</f>
        <v/>
      </c>
      <c r="W648" s="17">
        <f>IF($L648="","",COUNT($L648:$Q648))</f>
        <v/>
      </c>
      <c r="X648" s="18">
        <f>IF($W648="","",INT(INDEX($L648:$Q648,$W648)))</f>
        <v/>
      </c>
      <c r="Y648" s="18">
        <f>IF(OR($W648="",$W648=6),"",WORKDAY($X648,CHOOSE($W648,3,3,2,2,3),Holidays))</f>
        <v/>
      </c>
      <c r="Z648" s="17">
        <f>IF(OR($W648="",$W648=6),"",CHOOSE($W648,"1st Email Follow-up","2nd Email Follow-up","Escalate Local Office","Escalate to CBE","Escalate to Roxanne"))</f>
        <v/>
      </c>
    </row>
    <row r="649" spans="18:26">
      <c r="R649" s="15"/>
      <c r="S649" s="16"/>
      <c r="T649" s="17">
        <f>IF(AND(COUNTA($A649:$K649)=0,$L649=""),"",IF($S649="Paid","PAID",IF($S649="Closed","CLOSED",IF($W649="","",IF($W649=6,"ESCALATED TO ROXANNE",IF(TODAY()&gt;$Y649,"OVERDUE",IF($Y649&lt;=WORKDAY(TODAY(),1,Holidays),"DUE TOMORROW",IF($W649=4,"ESCALATED TO LOCAL OFFICE",IF($W649=5,"ESCALATED TO CBE",IF($X649=TODAY(),"EMAIL SENT","MONITORING"))))))))))</f>
        <v/>
      </c>
      <c r="U649" s="17">
        <f>IF($T649="",IF(AND(COUNTA($A649:$K649)&gt;0,$L649=""),"Awaiting Collection Email time stamp.",""),IF(OR($T649="PAID",$T649="CLOSED"),IF($T649="PAID","Account paid. Action completed.","Account closed. No further action required."),CHOOSE($W649,"Collection Email","1st Email Follow-up","2nd Email Follow-up","Escalation to Local Office","Escalation to CBE","Escalation to Roxanne")&amp;" sent "&amp;TEXT($X649,"dd-mmm")&amp;". "&amp;IF($W649=6,"Final escalation completed.",IF($T649="OVERDUE","Next: "&amp;$Z649&amp;" was due "&amp;TEXT($Y649,"dd-mmm")&amp;" - "&amp;(NETWORKDAYS($Y649,TODAY(),Holidays)-1)&amp;" business day(s) late. Send now.",IF($T649="DUE TOMORROW","Next: "&amp;$Z649&amp;IF($Y649&lt;=TODAY()," is due TODAY ("," is due next business day (")&amp;TEXT($Y649,"dd-mmm")&amp;").","Next: "&amp;$Z649&amp;" due "&amp;TEXT($Y649,"dd-mmm")&amp;" ("&amp;(NETWORKDAYS(TODAY(),$Y649,Holidays)-1)&amp;" business day(s) left).")))))</f>
        <v/>
      </c>
      <c r="V649" s="17">
        <f>IF($W649="","",CHOOSE($W649,"Collection Email","1st Follow-up","2nd Follow-up","Local Office","CBE","Roxanne")&amp;IF($W649=6," - Final"," - Day "&amp;MAX(0,NETWORKDAYS($X649,TODAY(),Holidays)-1)&amp;" of "&amp;CHOOSE($W649,3,3,2,2,3))&amp;" | Total Day "&amp;MAX(0,NETWORKDAYS($L649,TODAY(),Holidays)-1))</f>
        <v/>
      </c>
      <c r="W649" s="17">
        <f>IF($L649="","",COUNT($L649:$Q649))</f>
        <v/>
      </c>
      <c r="X649" s="18">
        <f>IF($W649="","",INT(INDEX($L649:$Q649,$W649)))</f>
        <v/>
      </c>
      <c r="Y649" s="18">
        <f>IF(OR($W649="",$W649=6),"",WORKDAY($X649,CHOOSE($W649,3,3,2,2,3),Holidays))</f>
        <v/>
      </c>
      <c r="Z649" s="17">
        <f>IF(OR($W649="",$W649=6),"",CHOOSE($W649,"1st Email Follow-up","2nd Email Follow-up","Escalate Local Office","Escalate to CBE","Escalate to Roxanne"))</f>
        <v/>
      </c>
    </row>
    <row r="650" spans="18:26">
      <c r="R650" s="15"/>
      <c r="S650" s="16"/>
      <c r="T650" s="17">
        <f>IF(AND(COUNTA($A650:$K650)=0,$L650=""),"",IF($S650="Paid","PAID",IF($S650="Closed","CLOSED",IF($W650="","",IF($W650=6,"ESCALATED TO ROXANNE",IF(TODAY()&gt;$Y650,"OVERDUE",IF($Y650&lt;=WORKDAY(TODAY(),1,Holidays),"DUE TOMORROW",IF($W650=4,"ESCALATED TO LOCAL OFFICE",IF($W650=5,"ESCALATED TO CBE",IF($X650=TODAY(),"EMAIL SENT","MONITORING"))))))))))</f>
        <v/>
      </c>
      <c r="U650" s="17">
        <f>IF($T650="",IF(AND(COUNTA($A650:$K650)&gt;0,$L650=""),"Awaiting Collection Email time stamp.",""),IF(OR($T650="PAID",$T650="CLOSED"),IF($T650="PAID","Account paid. Action completed.","Account closed. No further action required."),CHOOSE($W650,"Collection Email","1st Email Follow-up","2nd Email Follow-up","Escalation to Local Office","Escalation to CBE","Escalation to Roxanne")&amp;" sent "&amp;TEXT($X650,"dd-mmm")&amp;". "&amp;IF($W650=6,"Final escalation completed.",IF($T650="OVERDUE","Next: "&amp;$Z650&amp;" was due "&amp;TEXT($Y650,"dd-mmm")&amp;" - "&amp;(NETWORKDAYS($Y650,TODAY(),Holidays)-1)&amp;" business day(s) late. Send now.",IF($T650="DUE TOMORROW","Next: "&amp;$Z650&amp;IF($Y650&lt;=TODAY()," is due TODAY ("," is due next business day (")&amp;TEXT($Y650,"dd-mmm")&amp;").","Next: "&amp;$Z650&amp;" due "&amp;TEXT($Y650,"dd-mmm")&amp;" ("&amp;(NETWORKDAYS(TODAY(),$Y650,Holidays)-1)&amp;" business day(s) left).")))))</f>
        <v/>
      </c>
      <c r="V650" s="17">
        <f>IF($W650="","",CHOOSE($W650,"Collection Email","1st Follow-up","2nd Follow-up","Local Office","CBE","Roxanne")&amp;IF($W650=6," - Final"," - Day "&amp;MAX(0,NETWORKDAYS($X650,TODAY(),Holidays)-1)&amp;" of "&amp;CHOOSE($W650,3,3,2,2,3))&amp;" | Total Day "&amp;MAX(0,NETWORKDAYS($L650,TODAY(),Holidays)-1))</f>
        <v/>
      </c>
      <c r="W650" s="17">
        <f>IF($L650="","",COUNT($L650:$Q650))</f>
        <v/>
      </c>
      <c r="X650" s="18">
        <f>IF($W650="","",INT(INDEX($L650:$Q650,$W650)))</f>
        <v/>
      </c>
      <c r="Y650" s="18">
        <f>IF(OR($W650="",$W650=6),"",WORKDAY($X650,CHOOSE($W650,3,3,2,2,3),Holidays))</f>
        <v/>
      </c>
      <c r="Z650" s="17">
        <f>IF(OR($W650="",$W650=6),"",CHOOSE($W650,"1st Email Follow-up","2nd Email Follow-up","Escalate Local Office","Escalate to CBE","Escalate to Roxanne"))</f>
        <v/>
      </c>
    </row>
    <row r="651" spans="18:26">
      <c r="R651" s="15"/>
      <c r="S651" s="16"/>
      <c r="T651" s="17">
        <f>IF(AND(COUNTA($A651:$K651)=0,$L651=""),"",IF($S651="Paid","PAID",IF($S651="Closed","CLOSED",IF($W651="","",IF($W651=6,"ESCALATED TO ROXANNE",IF(TODAY()&gt;$Y651,"OVERDUE",IF($Y651&lt;=WORKDAY(TODAY(),1,Holidays),"DUE TOMORROW",IF($W651=4,"ESCALATED TO LOCAL OFFICE",IF($W651=5,"ESCALATED TO CBE",IF($X651=TODAY(),"EMAIL SENT","MONITORING"))))))))))</f>
        <v/>
      </c>
      <c r="U651" s="17">
        <f>IF($T651="",IF(AND(COUNTA($A651:$K651)&gt;0,$L651=""),"Awaiting Collection Email time stamp.",""),IF(OR($T651="PAID",$T651="CLOSED"),IF($T651="PAID","Account paid. Action completed.","Account closed. No further action required."),CHOOSE($W651,"Collection Email","1st Email Follow-up","2nd Email Follow-up","Escalation to Local Office","Escalation to CBE","Escalation to Roxanne")&amp;" sent "&amp;TEXT($X651,"dd-mmm")&amp;". "&amp;IF($W651=6,"Final escalation completed.",IF($T651="OVERDUE","Next: "&amp;$Z651&amp;" was due "&amp;TEXT($Y651,"dd-mmm")&amp;" - "&amp;(NETWORKDAYS($Y651,TODAY(),Holidays)-1)&amp;" business day(s) late. Send now.",IF($T651="DUE TOMORROW","Next: "&amp;$Z651&amp;IF($Y651&lt;=TODAY()," is due TODAY ("," is due next business day (")&amp;TEXT($Y651,"dd-mmm")&amp;").","Next: "&amp;$Z651&amp;" due "&amp;TEXT($Y651,"dd-mmm")&amp;" ("&amp;(NETWORKDAYS(TODAY(),$Y651,Holidays)-1)&amp;" business day(s) left).")))))</f>
        <v/>
      </c>
      <c r="V651" s="17">
        <f>IF($W651="","",CHOOSE($W651,"Collection Email","1st Follow-up","2nd Follow-up","Local Office","CBE","Roxanne")&amp;IF($W651=6," - Final"," - Day "&amp;MAX(0,NETWORKDAYS($X651,TODAY(),Holidays)-1)&amp;" of "&amp;CHOOSE($W651,3,3,2,2,3))&amp;" | Total Day "&amp;MAX(0,NETWORKDAYS($L651,TODAY(),Holidays)-1))</f>
        <v/>
      </c>
      <c r="W651" s="17">
        <f>IF($L651="","",COUNT($L651:$Q651))</f>
        <v/>
      </c>
      <c r="X651" s="18">
        <f>IF($W651="","",INT(INDEX($L651:$Q651,$W651)))</f>
        <v/>
      </c>
      <c r="Y651" s="18">
        <f>IF(OR($W651="",$W651=6),"",WORKDAY($X651,CHOOSE($W651,3,3,2,2,3),Holidays))</f>
        <v/>
      </c>
      <c r="Z651" s="17">
        <f>IF(OR($W651="",$W651=6),"",CHOOSE($W651,"1st Email Follow-up","2nd Email Follow-up","Escalate Local Office","Escalate to CBE","Escalate to Roxanne"))</f>
        <v/>
      </c>
    </row>
    <row r="652" spans="18:26">
      <c r="R652" s="15"/>
      <c r="S652" s="16"/>
      <c r="T652" s="17">
        <f>IF(AND(COUNTA($A652:$K652)=0,$L652=""),"",IF($S652="Paid","PAID",IF($S652="Closed","CLOSED",IF($W652="","",IF($W652=6,"ESCALATED TO ROXANNE",IF(TODAY()&gt;$Y652,"OVERDUE",IF($Y652&lt;=WORKDAY(TODAY(),1,Holidays),"DUE TOMORROW",IF($W652=4,"ESCALATED TO LOCAL OFFICE",IF($W652=5,"ESCALATED TO CBE",IF($X652=TODAY(),"EMAIL SENT","MONITORING"))))))))))</f>
        <v/>
      </c>
      <c r="U652" s="17">
        <f>IF($T652="",IF(AND(COUNTA($A652:$K652)&gt;0,$L652=""),"Awaiting Collection Email time stamp.",""),IF(OR($T652="PAID",$T652="CLOSED"),IF($T652="PAID","Account paid. Action completed.","Account closed. No further action required."),CHOOSE($W652,"Collection Email","1st Email Follow-up","2nd Email Follow-up","Escalation to Local Office","Escalation to CBE","Escalation to Roxanne")&amp;" sent "&amp;TEXT($X652,"dd-mmm")&amp;". "&amp;IF($W652=6,"Final escalation completed.",IF($T652="OVERDUE","Next: "&amp;$Z652&amp;" was due "&amp;TEXT($Y652,"dd-mmm")&amp;" - "&amp;(NETWORKDAYS($Y652,TODAY(),Holidays)-1)&amp;" business day(s) late. Send now.",IF($T652="DUE TOMORROW","Next: "&amp;$Z652&amp;IF($Y652&lt;=TODAY()," is due TODAY ("," is due next business day (")&amp;TEXT($Y652,"dd-mmm")&amp;").","Next: "&amp;$Z652&amp;" due "&amp;TEXT($Y652,"dd-mmm")&amp;" ("&amp;(NETWORKDAYS(TODAY(),$Y652,Holidays)-1)&amp;" business day(s) left).")))))</f>
        <v/>
      </c>
      <c r="V652" s="17">
        <f>IF($W652="","",CHOOSE($W652,"Collection Email","1st Follow-up","2nd Follow-up","Local Office","CBE","Roxanne")&amp;IF($W652=6," - Final"," - Day "&amp;MAX(0,NETWORKDAYS($X652,TODAY(),Holidays)-1)&amp;" of "&amp;CHOOSE($W652,3,3,2,2,3))&amp;" | Total Day "&amp;MAX(0,NETWORKDAYS($L652,TODAY(),Holidays)-1))</f>
        <v/>
      </c>
      <c r="W652" s="17">
        <f>IF($L652="","",COUNT($L652:$Q652))</f>
        <v/>
      </c>
      <c r="X652" s="18">
        <f>IF($W652="","",INT(INDEX($L652:$Q652,$W652)))</f>
        <v/>
      </c>
      <c r="Y652" s="18">
        <f>IF(OR($W652="",$W652=6),"",WORKDAY($X652,CHOOSE($W652,3,3,2,2,3),Holidays))</f>
        <v/>
      </c>
      <c r="Z652" s="17">
        <f>IF(OR($W652="",$W652=6),"",CHOOSE($W652,"1st Email Follow-up","2nd Email Follow-up","Escalate Local Office","Escalate to CBE","Escalate to Roxanne"))</f>
        <v/>
      </c>
    </row>
    <row r="653" spans="18:26">
      <c r="R653" s="15"/>
      <c r="S653" s="16"/>
      <c r="T653" s="17">
        <f>IF(AND(COUNTA($A653:$K653)=0,$L653=""),"",IF($S653="Paid","PAID",IF($S653="Closed","CLOSED",IF($W653="","",IF($W653=6,"ESCALATED TO ROXANNE",IF(TODAY()&gt;$Y653,"OVERDUE",IF($Y653&lt;=WORKDAY(TODAY(),1,Holidays),"DUE TOMORROW",IF($W653=4,"ESCALATED TO LOCAL OFFICE",IF($W653=5,"ESCALATED TO CBE",IF($X653=TODAY(),"EMAIL SENT","MONITORING"))))))))))</f>
        <v/>
      </c>
      <c r="U653" s="17">
        <f>IF($T653="",IF(AND(COUNTA($A653:$K653)&gt;0,$L653=""),"Awaiting Collection Email time stamp.",""),IF(OR($T653="PAID",$T653="CLOSED"),IF($T653="PAID","Account paid. Action completed.","Account closed. No further action required."),CHOOSE($W653,"Collection Email","1st Email Follow-up","2nd Email Follow-up","Escalation to Local Office","Escalation to CBE","Escalation to Roxanne")&amp;" sent "&amp;TEXT($X653,"dd-mmm")&amp;". "&amp;IF($W653=6,"Final escalation completed.",IF($T653="OVERDUE","Next: "&amp;$Z653&amp;" was due "&amp;TEXT($Y653,"dd-mmm")&amp;" - "&amp;(NETWORKDAYS($Y653,TODAY(),Holidays)-1)&amp;" business day(s) late. Send now.",IF($T653="DUE TOMORROW","Next: "&amp;$Z653&amp;IF($Y653&lt;=TODAY()," is due TODAY ("," is due next business day (")&amp;TEXT($Y653,"dd-mmm")&amp;").","Next: "&amp;$Z653&amp;" due "&amp;TEXT($Y653,"dd-mmm")&amp;" ("&amp;(NETWORKDAYS(TODAY(),$Y653,Holidays)-1)&amp;" business day(s) left).")))))</f>
        <v/>
      </c>
      <c r="V653" s="17">
        <f>IF($W653="","",CHOOSE($W653,"Collection Email","1st Follow-up","2nd Follow-up","Local Office","CBE","Roxanne")&amp;IF($W653=6," - Final"," - Day "&amp;MAX(0,NETWORKDAYS($X653,TODAY(),Holidays)-1)&amp;" of "&amp;CHOOSE($W653,3,3,2,2,3))&amp;" | Total Day "&amp;MAX(0,NETWORKDAYS($L653,TODAY(),Holidays)-1))</f>
        <v/>
      </c>
      <c r="W653" s="17">
        <f>IF($L653="","",COUNT($L653:$Q653))</f>
        <v/>
      </c>
      <c r="X653" s="18">
        <f>IF($W653="","",INT(INDEX($L653:$Q653,$W653)))</f>
        <v/>
      </c>
      <c r="Y653" s="18">
        <f>IF(OR($W653="",$W653=6),"",WORKDAY($X653,CHOOSE($W653,3,3,2,2,3),Holidays))</f>
        <v/>
      </c>
      <c r="Z653" s="17">
        <f>IF(OR($W653="",$W653=6),"",CHOOSE($W653,"1st Email Follow-up","2nd Email Follow-up","Escalate Local Office","Escalate to CBE","Escalate to Roxanne"))</f>
        <v/>
      </c>
    </row>
    <row r="654" spans="18:26">
      <c r="R654" s="15"/>
      <c r="S654" s="16"/>
      <c r="T654" s="17">
        <f>IF(AND(COUNTA($A654:$K654)=0,$L654=""),"",IF($S654="Paid","PAID",IF($S654="Closed","CLOSED",IF($W654="","",IF($W654=6,"ESCALATED TO ROXANNE",IF(TODAY()&gt;$Y654,"OVERDUE",IF($Y654&lt;=WORKDAY(TODAY(),1,Holidays),"DUE TOMORROW",IF($W654=4,"ESCALATED TO LOCAL OFFICE",IF($W654=5,"ESCALATED TO CBE",IF($X654=TODAY(),"EMAIL SENT","MONITORING"))))))))))</f>
        <v/>
      </c>
      <c r="U654" s="17">
        <f>IF($T654="",IF(AND(COUNTA($A654:$K654)&gt;0,$L654=""),"Awaiting Collection Email time stamp.",""),IF(OR($T654="PAID",$T654="CLOSED"),IF($T654="PAID","Account paid. Action completed.","Account closed. No further action required."),CHOOSE($W654,"Collection Email","1st Email Follow-up","2nd Email Follow-up","Escalation to Local Office","Escalation to CBE","Escalation to Roxanne")&amp;" sent "&amp;TEXT($X654,"dd-mmm")&amp;". "&amp;IF($W654=6,"Final escalation completed.",IF($T654="OVERDUE","Next: "&amp;$Z654&amp;" was due "&amp;TEXT($Y654,"dd-mmm")&amp;" - "&amp;(NETWORKDAYS($Y654,TODAY(),Holidays)-1)&amp;" business day(s) late. Send now.",IF($T654="DUE TOMORROW","Next: "&amp;$Z654&amp;IF($Y654&lt;=TODAY()," is due TODAY ("," is due next business day (")&amp;TEXT($Y654,"dd-mmm")&amp;").","Next: "&amp;$Z654&amp;" due "&amp;TEXT($Y654,"dd-mmm")&amp;" ("&amp;(NETWORKDAYS(TODAY(),$Y654,Holidays)-1)&amp;" business day(s) left).")))))</f>
        <v/>
      </c>
      <c r="V654" s="17">
        <f>IF($W654="","",CHOOSE($W654,"Collection Email","1st Follow-up","2nd Follow-up","Local Office","CBE","Roxanne")&amp;IF($W654=6," - Final"," - Day "&amp;MAX(0,NETWORKDAYS($X654,TODAY(),Holidays)-1)&amp;" of "&amp;CHOOSE($W654,3,3,2,2,3))&amp;" | Total Day "&amp;MAX(0,NETWORKDAYS($L654,TODAY(),Holidays)-1))</f>
        <v/>
      </c>
      <c r="W654" s="17">
        <f>IF($L654="","",COUNT($L654:$Q654))</f>
        <v/>
      </c>
      <c r="X654" s="18">
        <f>IF($W654="","",INT(INDEX($L654:$Q654,$W654)))</f>
        <v/>
      </c>
      <c r="Y654" s="18">
        <f>IF(OR($W654="",$W654=6),"",WORKDAY($X654,CHOOSE($W654,3,3,2,2,3),Holidays))</f>
        <v/>
      </c>
      <c r="Z654" s="17">
        <f>IF(OR($W654="",$W654=6),"",CHOOSE($W654,"1st Email Follow-up","2nd Email Follow-up","Escalate Local Office","Escalate to CBE","Escalate to Roxanne"))</f>
        <v/>
      </c>
    </row>
    <row r="655" spans="18:26">
      <c r="R655" s="15"/>
      <c r="S655" s="16"/>
      <c r="T655" s="17">
        <f>IF(AND(COUNTA($A655:$K655)=0,$L655=""),"",IF($S655="Paid","PAID",IF($S655="Closed","CLOSED",IF($W655="","",IF($W655=6,"ESCALATED TO ROXANNE",IF(TODAY()&gt;$Y655,"OVERDUE",IF($Y655&lt;=WORKDAY(TODAY(),1,Holidays),"DUE TOMORROW",IF($W655=4,"ESCALATED TO LOCAL OFFICE",IF($W655=5,"ESCALATED TO CBE",IF($X655=TODAY(),"EMAIL SENT","MONITORING"))))))))))</f>
        <v/>
      </c>
      <c r="U655" s="17">
        <f>IF($T655="",IF(AND(COUNTA($A655:$K655)&gt;0,$L655=""),"Awaiting Collection Email time stamp.",""),IF(OR($T655="PAID",$T655="CLOSED"),IF($T655="PAID","Account paid. Action completed.","Account closed. No further action required."),CHOOSE($W655,"Collection Email","1st Email Follow-up","2nd Email Follow-up","Escalation to Local Office","Escalation to CBE","Escalation to Roxanne")&amp;" sent "&amp;TEXT($X655,"dd-mmm")&amp;". "&amp;IF($W655=6,"Final escalation completed.",IF($T655="OVERDUE","Next: "&amp;$Z655&amp;" was due "&amp;TEXT($Y655,"dd-mmm")&amp;" - "&amp;(NETWORKDAYS($Y655,TODAY(),Holidays)-1)&amp;" business day(s) late. Send now.",IF($T655="DUE TOMORROW","Next: "&amp;$Z655&amp;IF($Y655&lt;=TODAY()," is due TODAY ("," is due next business day (")&amp;TEXT($Y655,"dd-mmm")&amp;").","Next: "&amp;$Z655&amp;" due "&amp;TEXT($Y655,"dd-mmm")&amp;" ("&amp;(NETWORKDAYS(TODAY(),$Y655,Holidays)-1)&amp;" business day(s) left).")))))</f>
        <v/>
      </c>
      <c r="V655" s="17">
        <f>IF($W655="","",CHOOSE($W655,"Collection Email","1st Follow-up","2nd Follow-up","Local Office","CBE","Roxanne")&amp;IF($W655=6," - Final"," - Day "&amp;MAX(0,NETWORKDAYS($X655,TODAY(),Holidays)-1)&amp;" of "&amp;CHOOSE($W655,3,3,2,2,3))&amp;" | Total Day "&amp;MAX(0,NETWORKDAYS($L655,TODAY(),Holidays)-1))</f>
        <v/>
      </c>
      <c r="W655" s="17">
        <f>IF($L655="","",COUNT($L655:$Q655))</f>
        <v/>
      </c>
      <c r="X655" s="18">
        <f>IF($W655="","",INT(INDEX($L655:$Q655,$W655)))</f>
        <v/>
      </c>
      <c r="Y655" s="18">
        <f>IF(OR($W655="",$W655=6),"",WORKDAY($X655,CHOOSE($W655,3,3,2,2,3),Holidays))</f>
        <v/>
      </c>
      <c r="Z655" s="17">
        <f>IF(OR($W655="",$W655=6),"",CHOOSE($W655,"1st Email Follow-up","2nd Email Follow-up","Escalate Local Office","Escalate to CBE","Escalate to Roxanne"))</f>
        <v/>
      </c>
    </row>
    <row r="656" spans="18:26">
      <c r="R656" s="15"/>
      <c r="S656" s="16"/>
      <c r="T656" s="17">
        <f>IF(AND(COUNTA($A656:$K656)=0,$L656=""),"",IF($S656="Paid","PAID",IF($S656="Closed","CLOSED",IF($W656="","",IF($W656=6,"ESCALATED TO ROXANNE",IF(TODAY()&gt;$Y656,"OVERDUE",IF($Y656&lt;=WORKDAY(TODAY(),1,Holidays),"DUE TOMORROW",IF($W656=4,"ESCALATED TO LOCAL OFFICE",IF($W656=5,"ESCALATED TO CBE",IF($X656=TODAY(),"EMAIL SENT","MONITORING"))))))))))</f>
        <v/>
      </c>
      <c r="U656" s="17">
        <f>IF($T656="",IF(AND(COUNTA($A656:$K656)&gt;0,$L656=""),"Awaiting Collection Email time stamp.",""),IF(OR($T656="PAID",$T656="CLOSED"),IF($T656="PAID","Account paid. Action completed.","Account closed. No further action required."),CHOOSE($W656,"Collection Email","1st Email Follow-up","2nd Email Follow-up","Escalation to Local Office","Escalation to CBE","Escalation to Roxanne")&amp;" sent "&amp;TEXT($X656,"dd-mmm")&amp;". "&amp;IF($W656=6,"Final escalation completed.",IF($T656="OVERDUE","Next: "&amp;$Z656&amp;" was due "&amp;TEXT($Y656,"dd-mmm")&amp;" - "&amp;(NETWORKDAYS($Y656,TODAY(),Holidays)-1)&amp;" business day(s) late. Send now.",IF($T656="DUE TOMORROW","Next: "&amp;$Z656&amp;IF($Y656&lt;=TODAY()," is due TODAY ("," is due next business day (")&amp;TEXT($Y656,"dd-mmm")&amp;").","Next: "&amp;$Z656&amp;" due "&amp;TEXT($Y656,"dd-mmm")&amp;" ("&amp;(NETWORKDAYS(TODAY(),$Y656,Holidays)-1)&amp;" business day(s) left).")))))</f>
        <v/>
      </c>
      <c r="V656" s="17">
        <f>IF($W656="","",CHOOSE($W656,"Collection Email","1st Follow-up","2nd Follow-up","Local Office","CBE","Roxanne")&amp;IF($W656=6," - Final"," - Day "&amp;MAX(0,NETWORKDAYS($X656,TODAY(),Holidays)-1)&amp;" of "&amp;CHOOSE($W656,3,3,2,2,3))&amp;" | Total Day "&amp;MAX(0,NETWORKDAYS($L656,TODAY(),Holidays)-1))</f>
        <v/>
      </c>
      <c r="W656" s="17">
        <f>IF($L656="","",COUNT($L656:$Q656))</f>
        <v/>
      </c>
      <c r="X656" s="18">
        <f>IF($W656="","",INT(INDEX($L656:$Q656,$W656)))</f>
        <v/>
      </c>
      <c r="Y656" s="18">
        <f>IF(OR($W656="",$W656=6),"",WORKDAY($X656,CHOOSE($W656,3,3,2,2,3),Holidays))</f>
        <v/>
      </c>
      <c r="Z656" s="17">
        <f>IF(OR($W656="",$W656=6),"",CHOOSE($W656,"1st Email Follow-up","2nd Email Follow-up","Escalate Local Office","Escalate to CBE","Escalate to Roxanne"))</f>
        <v/>
      </c>
    </row>
    <row r="657" spans="18:26">
      <c r="R657" s="15"/>
      <c r="S657" s="16"/>
      <c r="T657" s="17">
        <f>IF(AND(COUNTA($A657:$K657)=0,$L657=""),"",IF($S657="Paid","PAID",IF($S657="Closed","CLOSED",IF($W657="","",IF($W657=6,"ESCALATED TO ROXANNE",IF(TODAY()&gt;$Y657,"OVERDUE",IF($Y657&lt;=WORKDAY(TODAY(),1,Holidays),"DUE TOMORROW",IF($W657=4,"ESCALATED TO LOCAL OFFICE",IF($W657=5,"ESCALATED TO CBE",IF($X657=TODAY(),"EMAIL SENT","MONITORING"))))))))))</f>
        <v/>
      </c>
      <c r="U657" s="17">
        <f>IF($T657="",IF(AND(COUNTA($A657:$K657)&gt;0,$L657=""),"Awaiting Collection Email time stamp.",""),IF(OR($T657="PAID",$T657="CLOSED"),IF($T657="PAID","Account paid. Action completed.","Account closed. No further action required."),CHOOSE($W657,"Collection Email","1st Email Follow-up","2nd Email Follow-up","Escalation to Local Office","Escalation to CBE","Escalation to Roxanne")&amp;" sent "&amp;TEXT($X657,"dd-mmm")&amp;". "&amp;IF($W657=6,"Final escalation completed.",IF($T657="OVERDUE","Next: "&amp;$Z657&amp;" was due "&amp;TEXT($Y657,"dd-mmm")&amp;" - "&amp;(NETWORKDAYS($Y657,TODAY(),Holidays)-1)&amp;" business day(s) late. Send now.",IF($T657="DUE TOMORROW","Next: "&amp;$Z657&amp;IF($Y657&lt;=TODAY()," is due TODAY ("," is due next business day (")&amp;TEXT($Y657,"dd-mmm")&amp;").","Next: "&amp;$Z657&amp;" due "&amp;TEXT($Y657,"dd-mmm")&amp;" ("&amp;(NETWORKDAYS(TODAY(),$Y657,Holidays)-1)&amp;" business day(s) left).")))))</f>
        <v/>
      </c>
      <c r="V657" s="17">
        <f>IF($W657="","",CHOOSE($W657,"Collection Email","1st Follow-up","2nd Follow-up","Local Office","CBE","Roxanne")&amp;IF($W657=6," - Final"," - Day "&amp;MAX(0,NETWORKDAYS($X657,TODAY(),Holidays)-1)&amp;" of "&amp;CHOOSE($W657,3,3,2,2,3))&amp;" | Total Day "&amp;MAX(0,NETWORKDAYS($L657,TODAY(),Holidays)-1))</f>
        <v/>
      </c>
      <c r="W657" s="17">
        <f>IF($L657="","",COUNT($L657:$Q657))</f>
        <v/>
      </c>
      <c r="X657" s="18">
        <f>IF($W657="","",INT(INDEX($L657:$Q657,$W657)))</f>
        <v/>
      </c>
      <c r="Y657" s="18">
        <f>IF(OR($W657="",$W657=6),"",WORKDAY($X657,CHOOSE($W657,3,3,2,2,3),Holidays))</f>
        <v/>
      </c>
      <c r="Z657" s="17">
        <f>IF(OR($W657="",$W657=6),"",CHOOSE($W657,"1st Email Follow-up","2nd Email Follow-up","Escalate Local Office","Escalate to CBE","Escalate to Roxanne"))</f>
        <v/>
      </c>
    </row>
    <row r="658" spans="18:26">
      <c r="R658" s="15"/>
      <c r="S658" s="16"/>
      <c r="T658" s="17">
        <f>IF(AND(COUNTA($A658:$K658)=0,$L658=""),"",IF($S658="Paid","PAID",IF($S658="Closed","CLOSED",IF($W658="","",IF($W658=6,"ESCALATED TO ROXANNE",IF(TODAY()&gt;$Y658,"OVERDUE",IF($Y658&lt;=WORKDAY(TODAY(),1,Holidays),"DUE TOMORROW",IF($W658=4,"ESCALATED TO LOCAL OFFICE",IF($W658=5,"ESCALATED TO CBE",IF($X658=TODAY(),"EMAIL SENT","MONITORING"))))))))))</f>
        <v/>
      </c>
      <c r="U658" s="17">
        <f>IF($T658="",IF(AND(COUNTA($A658:$K658)&gt;0,$L658=""),"Awaiting Collection Email time stamp.",""),IF(OR($T658="PAID",$T658="CLOSED"),IF($T658="PAID","Account paid. Action completed.","Account closed. No further action required."),CHOOSE($W658,"Collection Email","1st Email Follow-up","2nd Email Follow-up","Escalation to Local Office","Escalation to CBE","Escalation to Roxanne")&amp;" sent "&amp;TEXT($X658,"dd-mmm")&amp;". "&amp;IF($W658=6,"Final escalation completed.",IF($T658="OVERDUE","Next: "&amp;$Z658&amp;" was due "&amp;TEXT($Y658,"dd-mmm")&amp;" - "&amp;(NETWORKDAYS($Y658,TODAY(),Holidays)-1)&amp;" business day(s) late. Send now.",IF($T658="DUE TOMORROW","Next: "&amp;$Z658&amp;IF($Y658&lt;=TODAY()," is due TODAY ("," is due next business day (")&amp;TEXT($Y658,"dd-mmm")&amp;").","Next: "&amp;$Z658&amp;" due "&amp;TEXT($Y658,"dd-mmm")&amp;" ("&amp;(NETWORKDAYS(TODAY(),$Y658,Holidays)-1)&amp;" business day(s) left).")))))</f>
        <v/>
      </c>
      <c r="V658" s="17">
        <f>IF($W658="","",CHOOSE($W658,"Collection Email","1st Follow-up","2nd Follow-up","Local Office","CBE","Roxanne")&amp;IF($W658=6," - Final"," - Day "&amp;MAX(0,NETWORKDAYS($X658,TODAY(),Holidays)-1)&amp;" of "&amp;CHOOSE($W658,3,3,2,2,3))&amp;" | Total Day "&amp;MAX(0,NETWORKDAYS($L658,TODAY(),Holidays)-1))</f>
        <v/>
      </c>
      <c r="W658" s="17">
        <f>IF($L658="","",COUNT($L658:$Q658))</f>
        <v/>
      </c>
      <c r="X658" s="18">
        <f>IF($W658="","",INT(INDEX($L658:$Q658,$W658)))</f>
        <v/>
      </c>
      <c r="Y658" s="18">
        <f>IF(OR($W658="",$W658=6),"",WORKDAY($X658,CHOOSE($W658,3,3,2,2,3),Holidays))</f>
        <v/>
      </c>
      <c r="Z658" s="17">
        <f>IF(OR($W658="",$W658=6),"",CHOOSE($W658,"1st Email Follow-up","2nd Email Follow-up","Escalate Local Office","Escalate to CBE","Escalate to Roxanne"))</f>
        <v/>
      </c>
    </row>
    <row r="659" spans="18:26">
      <c r="R659" s="15"/>
      <c r="S659" s="16"/>
      <c r="T659" s="17">
        <f>IF(AND(COUNTA($A659:$K659)=0,$L659=""),"",IF($S659="Paid","PAID",IF($S659="Closed","CLOSED",IF($W659="","",IF($W659=6,"ESCALATED TO ROXANNE",IF(TODAY()&gt;$Y659,"OVERDUE",IF($Y659&lt;=WORKDAY(TODAY(),1,Holidays),"DUE TOMORROW",IF($W659=4,"ESCALATED TO LOCAL OFFICE",IF($W659=5,"ESCALATED TO CBE",IF($X659=TODAY(),"EMAIL SENT","MONITORING"))))))))))</f>
        <v/>
      </c>
      <c r="U659" s="17">
        <f>IF($T659="",IF(AND(COUNTA($A659:$K659)&gt;0,$L659=""),"Awaiting Collection Email time stamp.",""),IF(OR($T659="PAID",$T659="CLOSED"),IF($T659="PAID","Account paid. Action completed.","Account closed. No further action required."),CHOOSE($W659,"Collection Email","1st Email Follow-up","2nd Email Follow-up","Escalation to Local Office","Escalation to CBE","Escalation to Roxanne")&amp;" sent "&amp;TEXT($X659,"dd-mmm")&amp;". "&amp;IF($W659=6,"Final escalation completed.",IF($T659="OVERDUE","Next: "&amp;$Z659&amp;" was due "&amp;TEXT($Y659,"dd-mmm")&amp;" - "&amp;(NETWORKDAYS($Y659,TODAY(),Holidays)-1)&amp;" business day(s) late. Send now.",IF($T659="DUE TOMORROW","Next: "&amp;$Z659&amp;IF($Y659&lt;=TODAY()," is due TODAY ("," is due next business day (")&amp;TEXT($Y659,"dd-mmm")&amp;").","Next: "&amp;$Z659&amp;" due "&amp;TEXT($Y659,"dd-mmm")&amp;" ("&amp;(NETWORKDAYS(TODAY(),$Y659,Holidays)-1)&amp;" business day(s) left).")))))</f>
        <v/>
      </c>
      <c r="V659" s="17">
        <f>IF($W659="","",CHOOSE($W659,"Collection Email","1st Follow-up","2nd Follow-up","Local Office","CBE","Roxanne")&amp;IF($W659=6," - Final"," - Day "&amp;MAX(0,NETWORKDAYS($X659,TODAY(),Holidays)-1)&amp;" of "&amp;CHOOSE($W659,3,3,2,2,3))&amp;" | Total Day "&amp;MAX(0,NETWORKDAYS($L659,TODAY(),Holidays)-1))</f>
        <v/>
      </c>
      <c r="W659" s="17">
        <f>IF($L659="","",COUNT($L659:$Q659))</f>
        <v/>
      </c>
      <c r="X659" s="18">
        <f>IF($W659="","",INT(INDEX($L659:$Q659,$W659)))</f>
        <v/>
      </c>
      <c r="Y659" s="18">
        <f>IF(OR($W659="",$W659=6),"",WORKDAY($X659,CHOOSE($W659,3,3,2,2,3),Holidays))</f>
        <v/>
      </c>
      <c r="Z659" s="17">
        <f>IF(OR($W659="",$W659=6),"",CHOOSE($W659,"1st Email Follow-up","2nd Email Follow-up","Escalate Local Office","Escalate to CBE","Escalate to Roxanne"))</f>
        <v/>
      </c>
    </row>
    <row r="660" spans="18:26">
      <c r="R660" s="15"/>
      <c r="S660" s="16"/>
      <c r="T660" s="17">
        <f>IF(AND(COUNTA($A660:$K660)=0,$L660=""),"",IF($S660="Paid","PAID",IF($S660="Closed","CLOSED",IF($W660="","",IF($W660=6,"ESCALATED TO ROXANNE",IF(TODAY()&gt;$Y660,"OVERDUE",IF($Y660&lt;=WORKDAY(TODAY(),1,Holidays),"DUE TOMORROW",IF($W660=4,"ESCALATED TO LOCAL OFFICE",IF($W660=5,"ESCALATED TO CBE",IF($X660=TODAY(),"EMAIL SENT","MONITORING"))))))))))</f>
        <v/>
      </c>
      <c r="U660" s="17">
        <f>IF($T660="",IF(AND(COUNTA($A660:$K660)&gt;0,$L660=""),"Awaiting Collection Email time stamp.",""),IF(OR($T660="PAID",$T660="CLOSED"),IF($T660="PAID","Account paid. Action completed.","Account closed. No further action required."),CHOOSE($W660,"Collection Email","1st Email Follow-up","2nd Email Follow-up","Escalation to Local Office","Escalation to CBE","Escalation to Roxanne")&amp;" sent "&amp;TEXT($X660,"dd-mmm")&amp;". "&amp;IF($W660=6,"Final escalation completed.",IF($T660="OVERDUE","Next: "&amp;$Z660&amp;" was due "&amp;TEXT($Y660,"dd-mmm")&amp;" - "&amp;(NETWORKDAYS($Y660,TODAY(),Holidays)-1)&amp;" business day(s) late. Send now.",IF($T660="DUE TOMORROW","Next: "&amp;$Z660&amp;IF($Y660&lt;=TODAY()," is due TODAY ("," is due next business day (")&amp;TEXT($Y660,"dd-mmm")&amp;").","Next: "&amp;$Z660&amp;" due "&amp;TEXT($Y660,"dd-mmm")&amp;" ("&amp;(NETWORKDAYS(TODAY(),$Y660,Holidays)-1)&amp;" business day(s) left).")))))</f>
        <v/>
      </c>
      <c r="V660" s="17">
        <f>IF($W660="","",CHOOSE($W660,"Collection Email","1st Follow-up","2nd Follow-up","Local Office","CBE","Roxanne")&amp;IF($W660=6," - Final"," - Day "&amp;MAX(0,NETWORKDAYS($X660,TODAY(),Holidays)-1)&amp;" of "&amp;CHOOSE($W660,3,3,2,2,3))&amp;" | Total Day "&amp;MAX(0,NETWORKDAYS($L660,TODAY(),Holidays)-1))</f>
        <v/>
      </c>
      <c r="W660" s="17">
        <f>IF($L660="","",COUNT($L660:$Q660))</f>
        <v/>
      </c>
      <c r="X660" s="18">
        <f>IF($W660="","",INT(INDEX($L660:$Q660,$W660)))</f>
        <v/>
      </c>
      <c r="Y660" s="18">
        <f>IF(OR($W660="",$W660=6),"",WORKDAY($X660,CHOOSE($W660,3,3,2,2,3),Holidays))</f>
        <v/>
      </c>
      <c r="Z660" s="17">
        <f>IF(OR($W660="",$W660=6),"",CHOOSE($W660,"1st Email Follow-up","2nd Email Follow-up","Escalate Local Office","Escalate to CBE","Escalate to Roxanne"))</f>
        <v/>
      </c>
    </row>
    <row r="661" spans="18:26">
      <c r="R661" s="15"/>
      <c r="S661" s="16"/>
      <c r="T661" s="17">
        <f>IF(AND(COUNTA($A661:$K661)=0,$L661=""),"",IF($S661="Paid","PAID",IF($S661="Closed","CLOSED",IF($W661="","",IF($W661=6,"ESCALATED TO ROXANNE",IF(TODAY()&gt;$Y661,"OVERDUE",IF($Y661&lt;=WORKDAY(TODAY(),1,Holidays),"DUE TOMORROW",IF($W661=4,"ESCALATED TO LOCAL OFFICE",IF($W661=5,"ESCALATED TO CBE",IF($X661=TODAY(),"EMAIL SENT","MONITORING"))))))))))</f>
        <v/>
      </c>
      <c r="U661" s="17">
        <f>IF($T661="",IF(AND(COUNTA($A661:$K661)&gt;0,$L661=""),"Awaiting Collection Email time stamp.",""),IF(OR($T661="PAID",$T661="CLOSED"),IF($T661="PAID","Account paid. Action completed.","Account closed. No further action required."),CHOOSE($W661,"Collection Email","1st Email Follow-up","2nd Email Follow-up","Escalation to Local Office","Escalation to CBE","Escalation to Roxanne")&amp;" sent "&amp;TEXT($X661,"dd-mmm")&amp;". "&amp;IF($W661=6,"Final escalation completed.",IF($T661="OVERDUE","Next: "&amp;$Z661&amp;" was due "&amp;TEXT($Y661,"dd-mmm")&amp;" - "&amp;(NETWORKDAYS($Y661,TODAY(),Holidays)-1)&amp;" business day(s) late. Send now.",IF($T661="DUE TOMORROW","Next: "&amp;$Z661&amp;IF($Y661&lt;=TODAY()," is due TODAY ("," is due next business day (")&amp;TEXT($Y661,"dd-mmm")&amp;").","Next: "&amp;$Z661&amp;" due "&amp;TEXT($Y661,"dd-mmm")&amp;" ("&amp;(NETWORKDAYS(TODAY(),$Y661,Holidays)-1)&amp;" business day(s) left).")))))</f>
        <v/>
      </c>
      <c r="V661" s="17">
        <f>IF($W661="","",CHOOSE($W661,"Collection Email","1st Follow-up","2nd Follow-up","Local Office","CBE","Roxanne")&amp;IF($W661=6," - Final"," - Day "&amp;MAX(0,NETWORKDAYS($X661,TODAY(),Holidays)-1)&amp;" of "&amp;CHOOSE($W661,3,3,2,2,3))&amp;" | Total Day "&amp;MAX(0,NETWORKDAYS($L661,TODAY(),Holidays)-1))</f>
        <v/>
      </c>
      <c r="W661" s="17">
        <f>IF($L661="","",COUNT($L661:$Q661))</f>
        <v/>
      </c>
      <c r="X661" s="18">
        <f>IF($W661="","",INT(INDEX($L661:$Q661,$W661)))</f>
        <v/>
      </c>
      <c r="Y661" s="18">
        <f>IF(OR($W661="",$W661=6),"",WORKDAY($X661,CHOOSE($W661,3,3,2,2,3),Holidays))</f>
        <v/>
      </c>
      <c r="Z661" s="17">
        <f>IF(OR($W661="",$W661=6),"",CHOOSE($W661,"1st Email Follow-up","2nd Email Follow-up","Escalate Local Office","Escalate to CBE","Escalate to Roxanne"))</f>
        <v/>
      </c>
    </row>
    <row r="662" spans="18:26">
      <c r="R662" s="15"/>
      <c r="S662" s="16"/>
      <c r="T662" s="17">
        <f>IF(AND(COUNTA($A662:$K662)=0,$L662=""),"",IF($S662="Paid","PAID",IF($S662="Closed","CLOSED",IF($W662="","",IF($W662=6,"ESCALATED TO ROXANNE",IF(TODAY()&gt;$Y662,"OVERDUE",IF($Y662&lt;=WORKDAY(TODAY(),1,Holidays),"DUE TOMORROW",IF($W662=4,"ESCALATED TO LOCAL OFFICE",IF($W662=5,"ESCALATED TO CBE",IF($X662=TODAY(),"EMAIL SENT","MONITORING"))))))))))</f>
        <v/>
      </c>
      <c r="U662" s="17">
        <f>IF($T662="",IF(AND(COUNTA($A662:$K662)&gt;0,$L662=""),"Awaiting Collection Email time stamp.",""),IF(OR($T662="PAID",$T662="CLOSED"),IF($T662="PAID","Account paid. Action completed.","Account closed. No further action required."),CHOOSE($W662,"Collection Email","1st Email Follow-up","2nd Email Follow-up","Escalation to Local Office","Escalation to CBE","Escalation to Roxanne")&amp;" sent "&amp;TEXT($X662,"dd-mmm")&amp;". "&amp;IF($W662=6,"Final escalation completed.",IF($T662="OVERDUE","Next: "&amp;$Z662&amp;" was due "&amp;TEXT($Y662,"dd-mmm")&amp;" - "&amp;(NETWORKDAYS($Y662,TODAY(),Holidays)-1)&amp;" business day(s) late. Send now.",IF($T662="DUE TOMORROW","Next: "&amp;$Z662&amp;IF($Y662&lt;=TODAY()," is due TODAY ("," is due next business day (")&amp;TEXT($Y662,"dd-mmm")&amp;").","Next: "&amp;$Z662&amp;" due "&amp;TEXT($Y662,"dd-mmm")&amp;" ("&amp;(NETWORKDAYS(TODAY(),$Y662,Holidays)-1)&amp;" business day(s) left).")))))</f>
        <v/>
      </c>
      <c r="V662" s="17">
        <f>IF($W662="","",CHOOSE($W662,"Collection Email","1st Follow-up","2nd Follow-up","Local Office","CBE","Roxanne")&amp;IF($W662=6," - Final"," - Day "&amp;MAX(0,NETWORKDAYS($X662,TODAY(),Holidays)-1)&amp;" of "&amp;CHOOSE($W662,3,3,2,2,3))&amp;" | Total Day "&amp;MAX(0,NETWORKDAYS($L662,TODAY(),Holidays)-1))</f>
        <v/>
      </c>
      <c r="W662" s="17">
        <f>IF($L662="","",COUNT($L662:$Q662))</f>
        <v/>
      </c>
      <c r="X662" s="18">
        <f>IF($W662="","",INT(INDEX($L662:$Q662,$W662)))</f>
        <v/>
      </c>
      <c r="Y662" s="18">
        <f>IF(OR($W662="",$W662=6),"",WORKDAY($X662,CHOOSE($W662,3,3,2,2,3),Holidays))</f>
        <v/>
      </c>
      <c r="Z662" s="17">
        <f>IF(OR($W662="",$W662=6),"",CHOOSE($W662,"1st Email Follow-up","2nd Email Follow-up","Escalate Local Office","Escalate to CBE","Escalate to Roxanne"))</f>
        <v/>
      </c>
    </row>
    <row r="663" spans="18:26">
      <c r="R663" s="15"/>
      <c r="S663" s="16"/>
      <c r="T663" s="17">
        <f>IF(AND(COUNTA($A663:$K663)=0,$L663=""),"",IF($S663="Paid","PAID",IF($S663="Closed","CLOSED",IF($W663="","",IF($W663=6,"ESCALATED TO ROXANNE",IF(TODAY()&gt;$Y663,"OVERDUE",IF($Y663&lt;=WORKDAY(TODAY(),1,Holidays),"DUE TOMORROW",IF($W663=4,"ESCALATED TO LOCAL OFFICE",IF($W663=5,"ESCALATED TO CBE",IF($X663=TODAY(),"EMAIL SENT","MONITORING"))))))))))</f>
        <v/>
      </c>
      <c r="U663" s="17">
        <f>IF($T663="",IF(AND(COUNTA($A663:$K663)&gt;0,$L663=""),"Awaiting Collection Email time stamp.",""),IF(OR($T663="PAID",$T663="CLOSED"),IF($T663="PAID","Account paid. Action completed.","Account closed. No further action required."),CHOOSE($W663,"Collection Email","1st Email Follow-up","2nd Email Follow-up","Escalation to Local Office","Escalation to CBE","Escalation to Roxanne")&amp;" sent "&amp;TEXT($X663,"dd-mmm")&amp;". "&amp;IF($W663=6,"Final escalation completed.",IF($T663="OVERDUE","Next: "&amp;$Z663&amp;" was due "&amp;TEXT($Y663,"dd-mmm")&amp;" - "&amp;(NETWORKDAYS($Y663,TODAY(),Holidays)-1)&amp;" business day(s) late. Send now.",IF($T663="DUE TOMORROW","Next: "&amp;$Z663&amp;IF($Y663&lt;=TODAY()," is due TODAY ("," is due next business day (")&amp;TEXT($Y663,"dd-mmm")&amp;").","Next: "&amp;$Z663&amp;" due "&amp;TEXT($Y663,"dd-mmm")&amp;" ("&amp;(NETWORKDAYS(TODAY(),$Y663,Holidays)-1)&amp;" business day(s) left).")))))</f>
        <v/>
      </c>
      <c r="V663" s="17">
        <f>IF($W663="","",CHOOSE($W663,"Collection Email","1st Follow-up","2nd Follow-up","Local Office","CBE","Roxanne")&amp;IF($W663=6," - Final"," - Day "&amp;MAX(0,NETWORKDAYS($X663,TODAY(),Holidays)-1)&amp;" of "&amp;CHOOSE($W663,3,3,2,2,3))&amp;" | Total Day "&amp;MAX(0,NETWORKDAYS($L663,TODAY(),Holidays)-1))</f>
        <v/>
      </c>
      <c r="W663" s="17">
        <f>IF($L663="","",COUNT($L663:$Q663))</f>
        <v/>
      </c>
      <c r="X663" s="18">
        <f>IF($W663="","",INT(INDEX($L663:$Q663,$W663)))</f>
        <v/>
      </c>
      <c r="Y663" s="18">
        <f>IF(OR($W663="",$W663=6),"",WORKDAY($X663,CHOOSE($W663,3,3,2,2,3),Holidays))</f>
        <v/>
      </c>
      <c r="Z663" s="17">
        <f>IF(OR($W663="",$W663=6),"",CHOOSE($W663,"1st Email Follow-up","2nd Email Follow-up","Escalate Local Office","Escalate to CBE","Escalate to Roxanne"))</f>
        <v/>
      </c>
    </row>
    <row r="664" spans="18:26">
      <c r="R664" s="15"/>
      <c r="S664" s="16"/>
      <c r="T664" s="17">
        <f>IF(AND(COUNTA($A664:$K664)=0,$L664=""),"",IF($S664="Paid","PAID",IF($S664="Closed","CLOSED",IF($W664="","",IF($W664=6,"ESCALATED TO ROXANNE",IF(TODAY()&gt;$Y664,"OVERDUE",IF($Y664&lt;=WORKDAY(TODAY(),1,Holidays),"DUE TOMORROW",IF($W664=4,"ESCALATED TO LOCAL OFFICE",IF($W664=5,"ESCALATED TO CBE",IF($X664=TODAY(),"EMAIL SENT","MONITORING"))))))))))</f>
        <v/>
      </c>
      <c r="U664" s="17">
        <f>IF($T664="",IF(AND(COUNTA($A664:$K664)&gt;0,$L664=""),"Awaiting Collection Email time stamp.",""),IF(OR($T664="PAID",$T664="CLOSED"),IF($T664="PAID","Account paid. Action completed.","Account closed. No further action required."),CHOOSE($W664,"Collection Email","1st Email Follow-up","2nd Email Follow-up","Escalation to Local Office","Escalation to CBE","Escalation to Roxanne")&amp;" sent "&amp;TEXT($X664,"dd-mmm")&amp;". "&amp;IF($W664=6,"Final escalation completed.",IF($T664="OVERDUE","Next: "&amp;$Z664&amp;" was due "&amp;TEXT($Y664,"dd-mmm")&amp;" - "&amp;(NETWORKDAYS($Y664,TODAY(),Holidays)-1)&amp;" business day(s) late. Send now.",IF($T664="DUE TOMORROW","Next: "&amp;$Z664&amp;IF($Y664&lt;=TODAY()," is due TODAY ("," is due next business day (")&amp;TEXT($Y664,"dd-mmm")&amp;").","Next: "&amp;$Z664&amp;" due "&amp;TEXT($Y664,"dd-mmm")&amp;" ("&amp;(NETWORKDAYS(TODAY(),$Y664,Holidays)-1)&amp;" business day(s) left).")))))</f>
        <v/>
      </c>
      <c r="V664" s="17">
        <f>IF($W664="","",CHOOSE($W664,"Collection Email","1st Follow-up","2nd Follow-up","Local Office","CBE","Roxanne")&amp;IF($W664=6," - Final"," - Day "&amp;MAX(0,NETWORKDAYS($X664,TODAY(),Holidays)-1)&amp;" of "&amp;CHOOSE($W664,3,3,2,2,3))&amp;" | Total Day "&amp;MAX(0,NETWORKDAYS($L664,TODAY(),Holidays)-1))</f>
        <v/>
      </c>
      <c r="W664" s="17">
        <f>IF($L664="","",COUNT($L664:$Q664))</f>
        <v/>
      </c>
      <c r="X664" s="18">
        <f>IF($W664="","",INT(INDEX($L664:$Q664,$W664)))</f>
        <v/>
      </c>
      <c r="Y664" s="18">
        <f>IF(OR($W664="",$W664=6),"",WORKDAY($X664,CHOOSE($W664,3,3,2,2,3),Holidays))</f>
        <v/>
      </c>
      <c r="Z664" s="17">
        <f>IF(OR($W664="",$W664=6),"",CHOOSE($W664,"1st Email Follow-up","2nd Email Follow-up","Escalate Local Office","Escalate to CBE","Escalate to Roxanne"))</f>
        <v/>
      </c>
    </row>
    <row r="665" spans="18:26">
      <c r="R665" s="15"/>
      <c r="S665" s="16"/>
      <c r="T665" s="17">
        <f>IF(AND(COUNTA($A665:$K665)=0,$L665=""),"",IF($S665="Paid","PAID",IF($S665="Closed","CLOSED",IF($W665="","",IF($W665=6,"ESCALATED TO ROXANNE",IF(TODAY()&gt;$Y665,"OVERDUE",IF($Y665&lt;=WORKDAY(TODAY(),1,Holidays),"DUE TOMORROW",IF($W665=4,"ESCALATED TO LOCAL OFFICE",IF($W665=5,"ESCALATED TO CBE",IF($X665=TODAY(),"EMAIL SENT","MONITORING"))))))))))</f>
        <v/>
      </c>
      <c r="U665" s="17">
        <f>IF($T665="",IF(AND(COUNTA($A665:$K665)&gt;0,$L665=""),"Awaiting Collection Email time stamp.",""),IF(OR($T665="PAID",$T665="CLOSED"),IF($T665="PAID","Account paid. Action completed.","Account closed. No further action required."),CHOOSE($W665,"Collection Email","1st Email Follow-up","2nd Email Follow-up","Escalation to Local Office","Escalation to CBE","Escalation to Roxanne")&amp;" sent "&amp;TEXT($X665,"dd-mmm")&amp;". "&amp;IF($W665=6,"Final escalation completed.",IF($T665="OVERDUE","Next: "&amp;$Z665&amp;" was due "&amp;TEXT($Y665,"dd-mmm")&amp;" - "&amp;(NETWORKDAYS($Y665,TODAY(),Holidays)-1)&amp;" business day(s) late. Send now.",IF($T665="DUE TOMORROW","Next: "&amp;$Z665&amp;IF($Y665&lt;=TODAY()," is due TODAY ("," is due next business day (")&amp;TEXT($Y665,"dd-mmm")&amp;").","Next: "&amp;$Z665&amp;" due "&amp;TEXT($Y665,"dd-mmm")&amp;" ("&amp;(NETWORKDAYS(TODAY(),$Y665,Holidays)-1)&amp;" business day(s) left).")))))</f>
        <v/>
      </c>
      <c r="V665" s="17">
        <f>IF($W665="","",CHOOSE($W665,"Collection Email","1st Follow-up","2nd Follow-up","Local Office","CBE","Roxanne")&amp;IF($W665=6," - Final"," - Day "&amp;MAX(0,NETWORKDAYS($X665,TODAY(),Holidays)-1)&amp;" of "&amp;CHOOSE($W665,3,3,2,2,3))&amp;" | Total Day "&amp;MAX(0,NETWORKDAYS($L665,TODAY(),Holidays)-1))</f>
        <v/>
      </c>
      <c r="W665" s="17">
        <f>IF($L665="","",COUNT($L665:$Q665))</f>
        <v/>
      </c>
      <c r="X665" s="18">
        <f>IF($W665="","",INT(INDEX($L665:$Q665,$W665)))</f>
        <v/>
      </c>
      <c r="Y665" s="18">
        <f>IF(OR($W665="",$W665=6),"",WORKDAY($X665,CHOOSE($W665,3,3,2,2,3),Holidays))</f>
        <v/>
      </c>
      <c r="Z665" s="17">
        <f>IF(OR($W665="",$W665=6),"",CHOOSE($W665,"1st Email Follow-up","2nd Email Follow-up","Escalate Local Office","Escalate to CBE","Escalate to Roxanne"))</f>
        <v/>
      </c>
    </row>
    <row r="666" spans="18:26">
      <c r="R666" s="15"/>
      <c r="S666" s="16"/>
      <c r="T666" s="17">
        <f>IF(AND(COUNTA($A666:$K666)=0,$L666=""),"",IF($S666="Paid","PAID",IF($S666="Closed","CLOSED",IF($W666="","",IF($W666=6,"ESCALATED TO ROXANNE",IF(TODAY()&gt;$Y666,"OVERDUE",IF($Y666&lt;=WORKDAY(TODAY(),1,Holidays),"DUE TOMORROW",IF($W666=4,"ESCALATED TO LOCAL OFFICE",IF($W666=5,"ESCALATED TO CBE",IF($X666=TODAY(),"EMAIL SENT","MONITORING"))))))))))</f>
        <v/>
      </c>
      <c r="U666" s="17">
        <f>IF($T666="",IF(AND(COUNTA($A666:$K666)&gt;0,$L666=""),"Awaiting Collection Email time stamp.",""),IF(OR($T666="PAID",$T666="CLOSED"),IF($T666="PAID","Account paid. Action completed.","Account closed. No further action required."),CHOOSE($W666,"Collection Email","1st Email Follow-up","2nd Email Follow-up","Escalation to Local Office","Escalation to CBE","Escalation to Roxanne")&amp;" sent "&amp;TEXT($X666,"dd-mmm")&amp;". "&amp;IF($W666=6,"Final escalation completed.",IF($T666="OVERDUE","Next: "&amp;$Z666&amp;" was due "&amp;TEXT($Y666,"dd-mmm")&amp;" - "&amp;(NETWORKDAYS($Y666,TODAY(),Holidays)-1)&amp;" business day(s) late. Send now.",IF($T666="DUE TOMORROW","Next: "&amp;$Z666&amp;IF($Y666&lt;=TODAY()," is due TODAY ("," is due next business day (")&amp;TEXT($Y666,"dd-mmm")&amp;").","Next: "&amp;$Z666&amp;" due "&amp;TEXT($Y666,"dd-mmm")&amp;" ("&amp;(NETWORKDAYS(TODAY(),$Y666,Holidays)-1)&amp;" business day(s) left).")))))</f>
        <v/>
      </c>
      <c r="V666" s="17">
        <f>IF($W666="","",CHOOSE($W666,"Collection Email","1st Follow-up","2nd Follow-up","Local Office","CBE","Roxanne")&amp;IF($W666=6," - Final"," - Day "&amp;MAX(0,NETWORKDAYS($X666,TODAY(),Holidays)-1)&amp;" of "&amp;CHOOSE($W666,3,3,2,2,3))&amp;" | Total Day "&amp;MAX(0,NETWORKDAYS($L666,TODAY(),Holidays)-1))</f>
        <v/>
      </c>
      <c r="W666" s="17">
        <f>IF($L666="","",COUNT($L666:$Q666))</f>
        <v/>
      </c>
      <c r="X666" s="18">
        <f>IF($W666="","",INT(INDEX($L666:$Q666,$W666)))</f>
        <v/>
      </c>
      <c r="Y666" s="18">
        <f>IF(OR($W666="",$W666=6),"",WORKDAY($X666,CHOOSE($W666,3,3,2,2,3),Holidays))</f>
        <v/>
      </c>
      <c r="Z666" s="17">
        <f>IF(OR($W666="",$W666=6),"",CHOOSE($W666,"1st Email Follow-up","2nd Email Follow-up","Escalate Local Office","Escalate to CBE","Escalate to Roxanne"))</f>
        <v/>
      </c>
    </row>
    <row r="667" spans="18:26">
      <c r="R667" s="15"/>
      <c r="S667" s="16"/>
      <c r="T667" s="17">
        <f>IF(AND(COUNTA($A667:$K667)=0,$L667=""),"",IF($S667="Paid","PAID",IF($S667="Closed","CLOSED",IF($W667="","",IF($W667=6,"ESCALATED TO ROXANNE",IF(TODAY()&gt;$Y667,"OVERDUE",IF($Y667&lt;=WORKDAY(TODAY(),1,Holidays),"DUE TOMORROW",IF($W667=4,"ESCALATED TO LOCAL OFFICE",IF($W667=5,"ESCALATED TO CBE",IF($X667=TODAY(),"EMAIL SENT","MONITORING"))))))))))</f>
        <v/>
      </c>
      <c r="U667" s="17">
        <f>IF($T667="",IF(AND(COUNTA($A667:$K667)&gt;0,$L667=""),"Awaiting Collection Email time stamp.",""),IF(OR($T667="PAID",$T667="CLOSED"),IF($T667="PAID","Account paid. Action completed.","Account closed. No further action required."),CHOOSE($W667,"Collection Email","1st Email Follow-up","2nd Email Follow-up","Escalation to Local Office","Escalation to CBE","Escalation to Roxanne")&amp;" sent "&amp;TEXT($X667,"dd-mmm")&amp;". "&amp;IF($W667=6,"Final escalation completed.",IF($T667="OVERDUE","Next: "&amp;$Z667&amp;" was due "&amp;TEXT($Y667,"dd-mmm")&amp;" - "&amp;(NETWORKDAYS($Y667,TODAY(),Holidays)-1)&amp;" business day(s) late. Send now.",IF($T667="DUE TOMORROW","Next: "&amp;$Z667&amp;IF($Y667&lt;=TODAY()," is due TODAY ("," is due next business day (")&amp;TEXT($Y667,"dd-mmm")&amp;").","Next: "&amp;$Z667&amp;" due "&amp;TEXT($Y667,"dd-mmm")&amp;" ("&amp;(NETWORKDAYS(TODAY(),$Y667,Holidays)-1)&amp;" business day(s) left).")))))</f>
        <v/>
      </c>
      <c r="V667" s="17">
        <f>IF($W667="","",CHOOSE($W667,"Collection Email","1st Follow-up","2nd Follow-up","Local Office","CBE","Roxanne")&amp;IF($W667=6," - Final"," - Day "&amp;MAX(0,NETWORKDAYS($X667,TODAY(),Holidays)-1)&amp;" of "&amp;CHOOSE($W667,3,3,2,2,3))&amp;" | Total Day "&amp;MAX(0,NETWORKDAYS($L667,TODAY(),Holidays)-1))</f>
        <v/>
      </c>
      <c r="W667" s="17">
        <f>IF($L667="","",COUNT($L667:$Q667))</f>
        <v/>
      </c>
      <c r="X667" s="18">
        <f>IF($W667="","",INT(INDEX($L667:$Q667,$W667)))</f>
        <v/>
      </c>
      <c r="Y667" s="18">
        <f>IF(OR($W667="",$W667=6),"",WORKDAY($X667,CHOOSE($W667,3,3,2,2,3),Holidays))</f>
        <v/>
      </c>
      <c r="Z667" s="17">
        <f>IF(OR($W667="",$W667=6),"",CHOOSE($W667,"1st Email Follow-up","2nd Email Follow-up","Escalate Local Office","Escalate to CBE","Escalate to Roxanne"))</f>
        <v/>
      </c>
    </row>
    <row r="668" spans="18:26">
      <c r="R668" s="15"/>
      <c r="S668" s="16"/>
      <c r="T668" s="17">
        <f>IF(AND(COUNTA($A668:$K668)=0,$L668=""),"",IF($S668="Paid","PAID",IF($S668="Closed","CLOSED",IF($W668="","",IF($W668=6,"ESCALATED TO ROXANNE",IF(TODAY()&gt;$Y668,"OVERDUE",IF($Y668&lt;=WORKDAY(TODAY(),1,Holidays),"DUE TOMORROW",IF($W668=4,"ESCALATED TO LOCAL OFFICE",IF($W668=5,"ESCALATED TO CBE",IF($X668=TODAY(),"EMAIL SENT","MONITORING"))))))))))</f>
        <v/>
      </c>
      <c r="U668" s="17">
        <f>IF($T668="",IF(AND(COUNTA($A668:$K668)&gt;0,$L668=""),"Awaiting Collection Email time stamp.",""),IF(OR($T668="PAID",$T668="CLOSED"),IF($T668="PAID","Account paid. Action completed.","Account closed. No further action required."),CHOOSE($W668,"Collection Email","1st Email Follow-up","2nd Email Follow-up","Escalation to Local Office","Escalation to CBE","Escalation to Roxanne")&amp;" sent "&amp;TEXT($X668,"dd-mmm")&amp;". "&amp;IF($W668=6,"Final escalation completed.",IF($T668="OVERDUE","Next: "&amp;$Z668&amp;" was due "&amp;TEXT($Y668,"dd-mmm")&amp;" - "&amp;(NETWORKDAYS($Y668,TODAY(),Holidays)-1)&amp;" business day(s) late. Send now.",IF($T668="DUE TOMORROW","Next: "&amp;$Z668&amp;IF($Y668&lt;=TODAY()," is due TODAY ("," is due next business day (")&amp;TEXT($Y668,"dd-mmm")&amp;").","Next: "&amp;$Z668&amp;" due "&amp;TEXT($Y668,"dd-mmm")&amp;" ("&amp;(NETWORKDAYS(TODAY(),$Y668,Holidays)-1)&amp;" business day(s) left).")))))</f>
        <v/>
      </c>
      <c r="V668" s="17">
        <f>IF($W668="","",CHOOSE($W668,"Collection Email","1st Follow-up","2nd Follow-up","Local Office","CBE","Roxanne")&amp;IF($W668=6," - Final"," - Day "&amp;MAX(0,NETWORKDAYS($X668,TODAY(),Holidays)-1)&amp;" of "&amp;CHOOSE($W668,3,3,2,2,3))&amp;" | Total Day "&amp;MAX(0,NETWORKDAYS($L668,TODAY(),Holidays)-1))</f>
        <v/>
      </c>
      <c r="W668" s="17">
        <f>IF($L668="","",COUNT($L668:$Q668))</f>
        <v/>
      </c>
      <c r="X668" s="18">
        <f>IF($W668="","",INT(INDEX($L668:$Q668,$W668)))</f>
        <v/>
      </c>
      <c r="Y668" s="18">
        <f>IF(OR($W668="",$W668=6),"",WORKDAY($X668,CHOOSE($W668,3,3,2,2,3),Holidays))</f>
        <v/>
      </c>
      <c r="Z668" s="17">
        <f>IF(OR($W668="",$W668=6),"",CHOOSE($W668,"1st Email Follow-up","2nd Email Follow-up","Escalate Local Office","Escalate to CBE","Escalate to Roxanne"))</f>
        <v/>
      </c>
    </row>
    <row r="669" spans="18:26">
      <c r="R669" s="15"/>
      <c r="S669" s="16"/>
      <c r="T669" s="17">
        <f>IF(AND(COUNTA($A669:$K669)=0,$L669=""),"",IF($S669="Paid","PAID",IF($S669="Closed","CLOSED",IF($W669="","",IF($W669=6,"ESCALATED TO ROXANNE",IF(TODAY()&gt;$Y669,"OVERDUE",IF($Y669&lt;=WORKDAY(TODAY(),1,Holidays),"DUE TOMORROW",IF($W669=4,"ESCALATED TO LOCAL OFFICE",IF($W669=5,"ESCALATED TO CBE",IF($X669=TODAY(),"EMAIL SENT","MONITORING"))))))))))</f>
        <v/>
      </c>
      <c r="U669" s="17">
        <f>IF($T669="",IF(AND(COUNTA($A669:$K669)&gt;0,$L669=""),"Awaiting Collection Email time stamp.",""),IF(OR($T669="PAID",$T669="CLOSED"),IF($T669="PAID","Account paid. Action completed.","Account closed. No further action required."),CHOOSE($W669,"Collection Email","1st Email Follow-up","2nd Email Follow-up","Escalation to Local Office","Escalation to CBE","Escalation to Roxanne")&amp;" sent "&amp;TEXT($X669,"dd-mmm")&amp;". "&amp;IF($W669=6,"Final escalation completed.",IF($T669="OVERDUE","Next: "&amp;$Z669&amp;" was due "&amp;TEXT($Y669,"dd-mmm")&amp;" - "&amp;(NETWORKDAYS($Y669,TODAY(),Holidays)-1)&amp;" business day(s) late. Send now.",IF($T669="DUE TOMORROW","Next: "&amp;$Z669&amp;IF($Y669&lt;=TODAY()," is due TODAY ("," is due next business day (")&amp;TEXT($Y669,"dd-mmm")&amp;").","Next: "&amp;$Z669&amp;" due "&amp;TEXT($Y669,"dd-mmm")&amp;" ("&amp;(NETWORKDAYS(TODAY(),$Y669,Holidays)-1)&amp;" business day(s) left).")))))</f>
        <v/>
      </c>
      <c r="V669" s="17">
        <f>IF($W669="","",CHOOSE($W669,"Collection Email","1st Follow-up","2nd Follow-up","Local Office","CBE","Roxanne")&amp;IF($W669=6," - Final"," - Day "&amp;MAX(0,NETWORKDAYS($X669,TODAY(),Holidays)-1)&amp;" of "&amp;CHOOSE($W669,3,3,2,2,3))&amp;" | Total Day "&amp;MAX(0,NETWORKDAYS($L669,TODAY(),Holidays)-1))</f>
        <v/>
      </c>
      <c r="W669" s="17">
        <f>IF($L669="","",COUNT($L669:$Q669))</f>
        <v/>
      </c>
      <c r="X669" s="18">
        <f>IF($W669="","",INT(INDEX($L669:$Q669,$W669)))</f>
        <v/>
      </c>
      <c r="Y669" s="18">
        <f>IF(OR($W669="",$W669=6),"",WORKDAY($X669,CHOOSE($W669,3,3,2,2,3),Holidays))</f>
        <v/>
      </c>
      <c r="Z669" s="17">
        <f>IF(OR($W669="",$W669=6),"",CHOOSE($W669,"1st Email Follow-up","2nd Email Follow-up","Escalate Local Office","Escalate to CBE","Escalate to Roxanne"))</f>
        <v/>
      </c>
    </row>
    <row r="670" spans="18:26">
      <c r="R670" s="15"/>
      <c r="S670" s="16"/>
      <c r="T670" s="17">
        <f>IF(AND(COUNTA($A670:$K670)=0,$L670=""),"",IF($S670="Paid","PAID",IF($S670="Closed","CLOSED",IF($W670="","",IF($W670=6,"ESCALATED TO ROXANNE",IF(TODAY()&gt;$Y670,"OVERDUE",IF($Y670&lt;=WORKDAY(TODAY(),1,Holidays),"DUE TOMORROW",IF($W670=4,"ESCALATED TO LOCAL OFFICE",IF($W670=5,"ESCALATED TO CBE",IF($X670=TODAY(),"EMAIL SENT","MONITORING"))))))))))</f>
        <v/>
      </c>
      <c r="U670" s="17">
        <f>IF($T670="",IF(AND(COUNTA($A670:$K670)&gt;0,$L670=""),"Awaiting Collection Email time stamp.",""),IF(OR($T670="PAID",$T670="CLOSED"),IF($T670="PAID","Account paid. Action completed.","Account closed. No further action required."),CHOOSE($W670,"Collection Email","1st Email Follow-up","2nd Email Follow-up","Escalation to Local Office","Escalation to CBE","Escalation to Roxanne")&amp;" sent "&amp;TEXT($X670,"dd-mmm")&amp;". "&amp;IF($W670=6,"Final escalation completed.",IF($T670="OVERDUE","Next: "&amp;$Z670&amp;" was due "&amp;TEXT($Y670,"dd-mmm")&amp;" - "&amp;(NETWORKDAYS($Y670,TODAY(),Holidays)-1)&amp;" business day(s) late. Send now.",IF($T670="DUE TOMORROW","Next: "&amp;$Z670&amp;IF($Y670&lt;=TODAY()," is due TODAY ("," is due next business day (")&amp;TEXT($Y670,"dd-mmm")&amp;").","Next: "&amp;$Z670&amp;" due "&amp;TEXT($Y670,"dd-mmm")&amp;" ("&amp;(NETWORKDAYS(TODAY(),$Y670,Holidays)-1)&amp;" business day(s) left).")))))</f>
        <v/>
      </c>
      <c r="V670" s="17">
        <f>IF($W670="","",CHOOSE($W670,"Collection Email","1st Follow-up","2nd Follow-up","Local Office","CBE","Roxanne")&amp;IF($W670=6," - Final"," - Day "&amp;MAX(0,NETWORKDAYS($X670,TODAY(),Holidays)-1)&amp;" of "&amp;CHOOSE($W670,3,3,2,2,3))&amp;" | Total Day "&amp;MAX(0,NETWORKDAYS($L670,TODAY(),Holidays)-1))</f>
        <v/>
      </c>
      <c r="W670" s="17">
        <f>IF($L670="","",COUNT($L670:$Q670))</f>
        <v/>
      </c>
      <c r="X670" s="18">
        <f>IF($W670="","",INT(INDEX($L670:$Q670,$W670)))</f>
        <v/>
      </c>
      <c r="Y670" s="18">
        <f>IF(OR($W670="",$W670=6),"",WORKDAY($X670,CHOOSE($W670,3,3,2,2,3),Holidays))</f>
        <v/>
      </c>
      <c r="Z670" s="17">
        <f>IF(OR($W670="",$W670=6),"",CHOOSE($W670,"1st Email Follow-up","2nd Email Follow-up","Escalate Local Office","Escalate to CBE","Escalate to Roxanne"))</f>
        <v/>
      </c>
    </row>
    <row r="671" spans="18:26">
      <c r="R671" s="15"/>
      <c r="S671" s="16"/>
      <c r="T671" s="17">
        <f>IF(AND(COUNTA($A671:$K671)=0,$L671=""),"",IF($S671="Paid","PAID",IF($S671="Closed","CLOSED",IF($W671="","",IF($W671=6,"ESCALATED TO ROXANNE",IF(TODAY()&gt;$Y671,"OVERDUE",IF($Y671&lt;=WORKDAY(TODAY(),1,Holidays),"DUE TOMORROW",IF($W671=4,"ESCALATED TO LOCAL OFFICE",IF($W671=5,"ESCALATED TO CBE",IF($X671=TODAY(),"EMAIL SENT","MONITORING"))))))))))</f>
        <v/>
      </c>
      <c r="U671" s="17">
        <f>IF($T671="",IF(AND(COUNTA($A671:$K671)&gt;0,$L671=""),"Awaiting Collection Email time stamp.",""),IF(OR($T671="PAID",$T671="CLOSED"),IF($T671="PAID","Account paid. Action completed.","Account closed. No further action required."),CHOOSE($W671,"Collection Email","1st Email Follow-up","2nd Email Follow-up","Escalation to Local Office","Escalation to CBE","Escalation to Roxanne")&amp;" sent "&amp;TEXT($X671,"dd-mmm")&amp;". "&amp;IF($W671=6,"Final escalation completed.",IF($T671="OVERDUE","Next: "&amp;$Z671&amp;" was due "&amp;TEXT($Y671,"dd-mmm")&amp;" - "&amp;(NETWORKDAYS($Y671,TODAY(),Holidays)-1)&amp;" business day(s) late. Send now.",IF($T671="DUE TOMORROW","Next: "&amp;$Z671&amp;IF($Y671&lt;=TODAY()," is due TODAY ("," is due next business day (")&amp;TEXT($Y671,"dd-mmm")&amp;").","Next: "&amp;$Z671&amp;" due "&amp;TEXT($Y671,"dd-mmm")&amp;" ("&amp;(NETWORKDAYS(TODAY(),$Y671,Holidays)-1)&amp;" business day(s) left).")))))</f>
        <v/>
      </c>
      <c r="V671" s="17">
        <f>IF($W671="","",CHOOSE($W671,"Collection Email","1st Follow-up","2nd Follow-up","Local Office","CBE","Roxanne")&amp;IF($W671=6," - Final"," - Day "&amp;MAX(0,NETWORKDAYS($X671,TODAY(),Holidays)-1)&amp;" of "&amp;CHOOSE($W671,3,3,2,2,3))&amp;" | Total Day "&amp;MAX(0,NETWORKDAYS($L671,TODAY(),Holidays)-1))</f>
        <v/>
      </c>
      <c r="W671" s="17">
        <f>IF($L671="","",COUNT($L671:$Q671))</f>
        <v/>
      </c>
      <c r="X671" s="18">
        <f>IF($W671="","",INT(INDEX($L671:$Q671,$W671)))</f>
        <v/>
      </c>
      <c r="Y671" s="18">
        <f>IF(OR($W671="",$W671=6),"",WORKDAY($X671,CHOOSE($W671,3,3,2,2,3),Holidays))</f>
        <v/>
      </c>
      <c r="Z671" s="17">
        <f>IF(OR($W671="",$W671=6),"",CHOOSE($W671,"1st Email Follow-up","2nd Email Follow-up","Escalate Local Office","Escalate to CBE","Escalate to Roxanne"))</f>
        <v/>
      </c>
    </row>
    <row r="672" spans="18:26">
      <c r="R672" s="15"/>
      <c r="S672" s="16"/>
      <c r="T672" s="17">
        <f>IF(AND(COUNTA($A672:$K672)=0,$L672=""),"",IF($S672="Paid","PAID",IF($S672="Closed","CLOSED",IF($W672="","",IF($W672=6,"ESCALATED TO ROXANNE",IF(TODAY()&gt;$Y672,"OVERDUE",IF($Y672&lt;=WORKDAY(TODAY(),1,Holidays),"DUE TOMORROW",IF($W672=4,"ESCALATED TO LOCAL OFFICE",IF($W672=5,"ESCALATED TO CBE",IF($X672=TODAY(),"EMAIL SENT","MONITORING"))))))))))</f>
        <v/>
      </c>
      <c r="U672" s="17">
        <f>IF($T672="",IF(AND(COUNTA($A672:$K672)&gt;0,$L672=""),"Awaiting Collection Email time stamp.",""),IF(OR($T672="PAID",$T672="CLOSED"),IF($T672="PAID","Account paid. Action completed.","Account closed. No further action required."),CHOOSE($W672,"Collection Email","1st Email Follow-up","2nd Email Follow-up","Escalation to Local Office","Escalation to CBE","Escalation to Roxanne")&amp;" sent "&amp;TEXT($X672,"dd-mmm")&amp;". "&amp;IF($W672=6,"Final escalation completed.",IF($T672="OVERDUE","Next: "&amp;$Z672&amp;" was due "&amp;TEXT($Y672,"dd-mmm")&amp;" - "&amp;(NETWORKDAYS($Y672,TODAY(),Holidays)-1)&amp;" business day(s) late. Send now.",IF($T672="DUE TOMORROW","Next: "&amp;$Z672&amp;IF($Y672&lt;=TODAY()," is due TODAY ("," is due next business day (")&amp;TEXT($Y672,"dd-mmm")&amp;").","Next: "&amp;$Z672&amp;" due "&amp;TEXT($Y672,"dd-mmm")&amp;" ("&amp;(NETWORKDAYS(TODAY(),$Y672,Holidays)-1)&amp;" business day(s) left).")))))</f>
        <v/>
      </c>
      <c r="V672" s="17">
        <f>IF($W672="","",CHOOSE($W672,"Collection Email","1st Follow-up","2nd Follow-up","Local Office","CBE","Roxanne")&amp;IF($W672=6," - Final"," - Day "&amp;MAX(0,NETWORKDAYS($X672,TODAY(),Holidays)-1)&amp;" of "&amp;CHOOSE($W672,3,3,2,2,3))&amp;" | Total Day "&amp;MAX(0,NETWORKDAYS($L672,TODAY(),Holidays)-1))</f>
        <v/>
      </c>
      <c r="W672" s="17">
        <f>IF($L672="","",COUNT($L672:$Q672))</f>
        <v/>
      </c>
      <c r="X672" s="18">
        <f>IF($W672="","",INT(INDEX($L672:$Q672,$W672)))</f>
        <v/>
      </c>
      <c r="Y672" s="18">
        <f>IF(OR($W672="",$W672=6),"",WORKDAY($X672,CHOOSE($W672,3,3,2,2,3),Holidays))</f>
        <v/>
      </c>
      <c r="Z672" s="17">
        <f>IF(OR($W672="",$W672=6),"",CHOOSE($W672,"1st Email Follow-up","2nd Email Follow-up","Escalate Local Office","Escalate to CBE","Escalate to Roxanne"))</f>
        <v/>
      </c>
    </row>
    <row r="673" spans="18:26">
      <c r="R673" s="15"/>
      <c r="S673" s="16"/>
      <c r="T673" s="17">
        <f>IF(AND(COUNTA($A673:$K673)=0,$L673=""),"",IF($S673="Paid","PAID",IF($S673="Closed","CLOSED",IF($W673="","",IF($W673=6,"ESCALATED TO ROXANNE",IF(TODAY()&gt;$Y673,"OVERDUE",IF($Y673&lt;=WORKDAY(TODAY(),1,Holidays),"DUE TOMORROW",IF($W673=4,"ESCALATED TO LOCAL OFFICE",IF($W673=5,"ESCALATED TO CBE",IF($X673=TODAY(),"EMAIL SENT","MONITORING"))))))))))</f>
        <v/>
      </c>
      <c r="U673" s="17">
        <f>IF($T673="",IF(AND(COUNTA($A673:$K673)&gt;0,$L673=""),"Awaiting Collection Email time stamp.",""),IF(OR($T673="PAID",$T673="CLOSED"),IF($T673="PAID","Account paid. Action completed.","Account closed. No further action required."),CHOOSE($W673,"Collection Email","1st Email Follow-up","2nd Email Follow-up","Escalation to Local Office","Escalation to CBE","Escalation to Roxanne")&amp;" sent "&amp;TEXT($X673,"dd-mmm")&amp;". "&amp;IF($W673=6,"Final escalation completed.",IF($T673="OVERDUE","Next: "&amp;$Z673&amp;" was due "&amp;TEXT($Y673,"dd-mmm")&amp;" - "&amp;(NETWORKDAYS($Y673,TODAY(),Holidays)-1)&amp;" business day(s) late. Send now.",IF($T673="DUE TOMORROW","Next: "&amp;$Z673&amp;IF($Y673&lt;=TODAY()," is due TODAY ("," is due next business day (")&amp;TEXT($Y673,"dd-mmm")&amp;").","Next: "&amp;$Z673&amp;" due "&amp;TEXT($Y673,"dd-mmm")&amp;" ("&amp;(NETWORKDAYS(TODAY(),$Y673,Holidays)-1)&amp;" business day(s) left).")))))</f>
        <v/>
      </c>
      <c r="V673" s="17">
        <f>IF($W673="","",CHOOSE($W673,"Collection Email","1st Follow-up","2nd Follow-up","Local Office","CBE","Roxanne")&amp;IF($W673=6," - Final"," - Day "&amp;MAX(0,NETWORKDAYS($X673,TODAY(),Holidays)-1)&amp;" of "&amp;CHOOSE($W673,3,3,2,2,3))&amp;" | Total Day "&amp;MAX(0,NETWORKDAYS($L673,TODAY(),Holidays)-1))</f>
        <v/>
      </c>
      <c r="W673" s="17">
        <f>IF($L673="","",COUNT($L673:$Q673))</f>
        <v/>
      </c>
      <c r="X673" s="18">
        <f>IF($W673="","",INT(INDEX($L673:$Q673,$W673)))</f>
        <v/>
      </c>
      <c r="Y673" s="18">
        <f>IF(OR($W673="",$W673=6),"",WORKDAY($X673,CHOOSE($W673,3,3,2,2,3),Holidays))</f>
        <v/>
      </c>
      <c r="Z673" s="17">
        <f>IF(OR($W673="",$W673=6),"",CHOOSE($W673,"1st Email Follow-up","2nd Email Follow-up","Escalate Local Office","Escalate to CBE","Escalate to Roxanne"))</f>
        <v/>
      </c>
    </row>
    <row r="674" spans="18:26">
      <c r="R674" s="15"/>
      <c r="S674" s="16"/>
      <c r="T674" s="17">
        <f>IF(AND(COUNTA($A674:$K674)=0,$L674=""),"",IF($S674="Paid","PAID",IF($S674="Closed","CLOSED",IF($W674="","",IF($W674=6,"ESCALATED TO ROXANNE",IF(TODAY()&gt;$Y674,"OVERDUE",IF($Y674&lt;=WORKDAY(TODAY(),1,Holidays),"DUE TOMORROW",IF($W674=4,"ESCALATED TO LOCAL OFFICE",IF($W674=5,"ESCALATED TO CBE",IF($X674=TODAY(),"EMAIL SENT","MONITORING"))))))))))</f>
        <v/>
      </c>
      <c r="U674" s="17">
        <f>IF($T674="",IF(AND(COUNTA($A674:$K674)&gt;0,$L674=""),"Awaiting Collection Email time stamp.",""),IF(OR($T674="PAID",$T674="CLOSED"),IF($T674="PAID","Account paid. Action completed.","Account closed. No further action required."),CHOOSE($W674,"Collection Email","1st Email Follow-up","2nd Email Follow-up","Escalation to Local Office","Escalation to CBE","Escalation to Roxanne")&amp;" sent "&amp;TEXT($X674,"dd-mmm")&amp;". "&amp;IF($W674=6,"Final escalation completed.",IF($T674="OVERDUE","Next: "&amp;$Z674&amp;" was due "&amp;TEXT($Y674,"dd-mmm")&amp;" - "&amp;(NETWORKDAYS($Y674,TODAY(),Holidays)-1)&amp;" business day(s) late. Send now.",IF($T674="DUE TOMORROW","Next: "&amp;$Z674&amp;IF($Y674&lt;=TODAY()," is due TODAY ("," is due next business day (")&amp;TEXT($Y674,"dd-mmm")&amp;").","Next: "&amp;$Z674&amp;" due "&amp;TEXT($Y674,"dd-mmm")&amp;" ("&amp;(NETWORKDAYS(TODAY(),$Y674,Holidays)-1)&amp;" business day(s) left).")))))</f>
        <v/>
      </c>
      <c r="V674" s="17">
        <f>IF($W674="","",CHOOSE($W674,"Collection Email","1st Follow-up","2nd Follow-up","Local Office","CBE","Roxanne")&amp;IF($W674=6," - Final"," - Day "&amp;MAX(0,NETWORKDAYS($X674,TODAY(),Holidays)-1)&amp;" of "&amp;CHOOSE($W674,3,3,2,2,3))&amp;" | Total Day "&amp;MAX(0,NETWORKDAYS($L674,TODAY(),Holidays)-1))</f>
        <v/>
      </c>
      <c r="W674" s="17">
        <f>IF($L674="","",COUNT($L674:$Q674))</f>
        <v/>
      </c>
      <c r="X674" s="18">
        <f>IF($W674="","",INT(INDEX($L674:$Q674,$W674)))</f>
        <v/>
      </c>
      <c r="Y674" s="18">
        <f>IF(OR($W674="",$W674=6),"",WORKDAY($X674,CHOOSE($W674,3,3,2,2,3),Holidays))</f>
        <v/>
      </c>
      <c r="Z674" s="17">
        <f>IF(OR($W674="",$W674=6),"",CHOOSE($W674,"1st Email Follow-up","2nd Email Follow-up","Escalate Local Office","Escalate to CBE","Escalate to Roxanne"))</f>
        <v/>
      </c>
    </row>
    <row r="675" spans="18:26">
      <c r="R675" s="15"/>
      <c r="S675" s="16"/>
      <c r="T675" s="17">
        <f>IF(AND(COUNTA($A675:$K675)=0,$L675=""),"",IF($S675="Paid","PAID",IF($S675="Closed","CLOSED",IF($W675="","",IF($W675=6,"ESCALATED TO ROXANNE",IF(TODAY()&gt;$Y675,"OVERDUE",IF($Y675&lt;=WORKDAY(TODAY(),1,Holidays),"DUE TOMORROW",IF($W675=4,"ESCALATED TO LOCAL OFFICE",IF($W675=5,"ESCALATED TO CBE",IF($X675=TODAY(),"EMAIL SENT","MONITORING"))))))))))</f>
        <v/>
      </c>
      <c r="U675" s="17">
        <f>IF($T675="",IF(AND(COUNTA($A675:$K675)&gt;0,$L675=""),"Awaiting Collection Email time stamp.",""),IF(OR($T675="PAID",$T675="CLOSED"),IF($T675="PAID","Account paid. Action completed.","Account closed. No further action required."),CHOOSE($W675,"Collection Email","1st Email Follow-up","2nd Email Follow-up","Escalation to Local Office","Escalation to CBE","Escalation to Roxanne")&amp;" sent "&amp;TEXT($X675,"dd-mmm")&amp;". "&amp;IF($W675=6,"Final escalation completed.",IF($T675="OVERDUE","Next: "&amp;$Z675&amp;" was due "&amp;TEXT($Y675,"dd-mmm")&amp;" - "&amp;(NETWORKDAYS($Y675,TODAY(),Holidays)-1)&amp;" business day(s) late. Send now.",IF($T675="DUE TOMORROW","Next: "&amp;$Z675&amp;IF($Y675&lt;=TODAY()," is due TODAY ("," is due next business day (")&amp;TEXT($Y675,"dd-mmm")&amp;").","Next: "&amp;$Z675&amp;" due "&amp;TEXT($Y675,"dd-mmm")&amp;" ("&amp;(NETWORKDAYS(TODAY(),$Y675,Holidays)-1)&amp;" business day(s) left).")))))</f>
        <v/>
      </c>
      <c r="V675" s="17">
        <f>IF($W675="","",CHOOSE($W675,"Collection Email","1st Follow-up","2nd Follow-up","Local Office","CBE","Roxanne")&amp;IF($W675=6," - Final"," - Day "&amp;MAX(0,NETWORKDAYS($X675,TODAY(),Holidays)-1)&amp;" of "&amp;CHOOSE($W675,3,3,2,2,3))&amp;" | Total Day "&amp;MAX(0,NETWORKDAYS($L675,TODAY(),Holidays)-1))</f>
        <v/>
      </c>
      <c r="W675" s="17">
        <f>IF($L675="","",COUNT($L675:$Q675))</f>
        <v/>
      </c>
      <c r="X675" s="18">
        <f>IF($W675="","",INT(INDEX($L675:$Q675,$W675)))</f>
        <v/>
      </c>
      <c r="Y675" s="18">
        <f>IF(OR($W675="",$W675=6),"",WORKDAY($X675,CHOOSE($W675,3,3,2,2,3),Holidays))</f>
        <v/>
      </c>
      <c r="Z675" s="17">
        <f>IF(OR($W675="",$W675=6),"",CHOOSE($W675,"1st Email Follow-up","2nd Email Follow-up","Escalate Local Office","Escalate to CBE","Escalate to Roxanne"))</f>
        <v/>
      </c>
    </row>
    <row r="676" spans="18:26">
      <c r="R676" s="15"/>
      <c r="S676" s="16"/>
      <c r="T676" s="17">
        <f>IF(AND(COUNTA($A676:$K676)=0,$L676=""),"",IF($S676="Paid","PAID",IF($S676="Closed","CLOSED",IF($W676="","",IF($W676=6,"ESCALATED TO ROXANNE",IF(TODAY()&gt;$Y676,"OVERDUE",IF($Y676&lt;=WORKDAY(TODAY(),1,Holidays),"DUE TOMORROW",IF($W676=4,"ESCALATED TO LOCAL OFFICE",IF($W676=5,"ESCALATED TO CBE",IF($X676=TODAY(),"EMAIL SENT","MONITORING"))))))))))</f>
        <v/>
      </c>
      <c r="U676" s="17">
        <f>IF($T676="",IF(AND(COUNTA($A676:$K676)&gt;0,$L676=""),"Awaiting Collection Email time stamp.",""),IF(OR($T676="PAID",$T676="CLOSED"),IF($T676="PAID","Account paid. Action completed.","Account closed. No further action required."),CHOOSE($W676,"Collection Email","1st Email Follow-up","2nd Email Follow-up","Escalation to Local Office","Escalation to CBE","Escalation to Roxanne")&amp;" sent "&amp;TEXT($X676,"dd-mmm")&amp;". "&amp;IF($W676=6,"Final escalation completed.",IF($T676="OVERDUE","Next: "&amp;$Z676&amp;" was due "&amp;TEXT($Y676,"dd-mmm")&amp;" - "&amp;(NETWORKDAYS($Y676,TODAY(),Holidays)-1)&amp;" business day(s) late. Send now.",IF($T676="DUE TOMORROW","Next: "&amp;$Z676&amp;IF($Y676&lt;=TODAY()," is due TODAY ("," is due next business day (")&amp;TEXT($Y676,"dd-mmm")&amp;").","Next: "&amp;$Z676&amp;" due "&amp;TEXT($Y676,"dd-mmm")&amp;" ("&amp;(NETWORKDAYS(TODAY(),$Y676,Holidays)-1)&amp;" business day(s) left).")))))</f>
        <v/>
      </c>
      <c r="V676" s="17">
        <f>IF($W676="","",CHOOSE($W676,"Collection Email","1st Follow-up","2nd Follow-up","Local Office","CBE","Roxanne")&amp;IF($W676=6," - Final"," - Day "&amp;MAX(0,NETWORKDAYS($X676,TODAY(),Holidays)-1)&amp;" of "&amp;CHOOSE($W676,3,3,2,2,3))&amp;" | Total Day "&amp;MAX(0,NETWORKDAYS($L676,TODAY(),Holidays)-1))</f>
        <v/>
      </c>
      <c r="W676" s="17">
        <f>IF($L676="","",COUNT($L676:$Q676))</f>
        <v/>
      </c>
      <c r="X676" s="18">
        <f>IF($W676="","",INT(INDEX($L676:$Q676,$W676)))</f>
        <v/>
      </c>
      <c r="Y676" s="18">
        <f>IF(OR($W676="",$W676=6),"",WORKDAY($X676,CHOOSE($W676,3,3,2,2,3),Holidays))</f>
        <v/>
      </c>
      <c r="Z676" s="17">
        <f>IF(OR($W676="",$W676=6),"",CHOOSE($W676,"1st Email Follow-up","2nd Email Follow-up","Escalate Local Office","Escalate to CBE","Escalate to Roxanne"))</f>
        <v/>
      </c>
    </row>
    <row r="677" spans="18:26">
      <c r="R677" s="15"/>
      <c r="S677" s="16"/>
      <c r="T677" s="17">
        <f>IF(AND(COUNTA($A677:$K677)=0,$L677=""),"",IF($S677="Paid","PAID",IF($S677="Closed","CLOSED",IF($W677="","",IF($W677=6,"ESCALATED TO ROXANNE",IF(TODAY()&gt;$Y677,"OVERDUE",IF($Y677&lt;=WORKDAY(TODAY(),1,Holidays),"DUE TOMORROW",IF($W677=4,"ESCALATED TO LOCAL OFFICE",IF($W677=5,"ESCALATED TO CBE",IF($X677=TODAY(),"EMAIL SENT","MONITORING"))))))))))</f>
        <v/>
      </c>
      <c r="U677" s="17">
        <f>IF($T677="",IF(AND(COUNTA($A677:$K677)&gt;0,$L677=""),"Awaiting Collection Email time stamp.",""),IF(OR($T677="PAID",$T677="CLOSED"),IF($T677="PAID","Account paid. Action completed.","Account closed. No further action required."),CHOOSE($W677,"Collection Email","1st Email Follow-up","2nd Email Follow-up","Escalation to Local Office","Escalation to CBE","Escalation to Roxanne")&amp;" sent "&amp;TEXT($X677,"dd-mmm")&amp;". "&amp;IF($W677=6,"Final escalation completed.",IF($T677="OVERDUE","Next: "&amp;$Z677&amp;" was due "&amp;TEXT($Y677,"dd-mmm")&amp;" - "&amp;(NETWORKDAYS($Y677,TODAY(),Holidays)-1)&amp;" business day(s) late. Send now.",IF($T677="DUE TOMORROW","Next: "&amp;$Z677&amp;IF($Y677&lt;=TODAY()," is due TODAY ("," is due next business day (")&amp;TEXT($Y677,"dd-mmm")&amp;").","Next: "&amp;$Z677&amp;" due "&amp;TEXT($Y677,"dd-mmm")&amp;" ("&amp;(NETWORKDAYS(TODAY(),$Y677,Holidays)-1)&amp;" business day(s) left).")))))</f>
        <v/>
      </c>
      <c r="V677" s="17">
        <f>IF($W677="","",CHOOSE($W677,"Collection Email","1st Follow-up","2nd Follow-up","Local Office","CBE","Roxanne")&amp;IF($W677=6," - Final"," - Day "&amp;MAX(0,NETWORKDAYS($X677,TODAY(),Holidays)-1)&amp;" of "&amp;CHOOSE($W677,3,3,2,2,3))&amp;" | Total Day "&amp;MAX(0,NETWORKDAYS($L677,TODAY(),Holidays)-1))</f>
        <v/>
      </c>
      <c r="W677" s="17">
        <f>IF($L677="","",COUNT($L677:$Q677))</f>
        <v/>
      </c>
      <c r="X677" s="18">
        <f>IF($W677="","",INT(INDEX($L677:$Q677,$W677)))</f>
        <v/>
      </c>
      <c r="Y677" s="18">
        <f>IF(OR($W677="",$W677=6),"",WORKDAY($X677,CHOOSE($W677,3,3,2,2,3),Holidays))</f>
        <v/>
      </c>
      <c r="Z677" s="17">
        <f>IF(OR($W677="",$W677=6),"",CHOOSE($W677,"1st Email Follow-up","2nd Email Follow-up","Escalate Local Office","Escalate to CBE","Escalate to Roxanne"))</f>
        <v/>
      </c>
    </row>
    <row r="678" spans="18:26">
      <c r="R678" s="15"/>
      <c r="S678" s="16"/>
      <c r="T678" s="17">
        <f>IF(AND(COUNTA($A678:$K678)=0,$L678=""),"",IF($S678="Paid","PAID",IF($S678="Closed","CLOSED",IF($W678="","",IF($W678=6,"ESCALATED TO ROXANNE",IF(TODAY()&gt;$Y678,"OVERDUE",IF($Y678&lt;=WORKDAY(TODAY(),1,Holidays),"DUE TOMORROW",IF($W678=4,"ESCALATED TO LOCAL OFFICE",IF($W678=5,"ESCALATED TO CBE",IF($X678=TODAY(),"EMAIL SENT","MONITORING"))))))))))</f>
        <v/>
      </c>
      <c r="U678" s="17">
        <f>IF($T678="",IF(AND(COUNTA($A678:$K678)&gt;0,$L678=""),"Awaiting Collection Email time stamp.",""),IF(OR($T678="PAID",$T678="CLOSED"),IF($T678="PAID","Account paid. Action completed.","Account closed. No further action required."),CHOOSE($W678,"Collection Email","1st Email Follow-up","2nd Email Follow-up","Escalation to Local Office","Escalation to CBE","Escalation to Roxanne")&amp;" sent "&amp;TEXT($X678,"dd-mmm")&amp;". "&amp;IF($W678=6,"Final escalation completed.",IF($T678="OVERDUE","Next: "&amp;$Z678&amp;" was due "&amp;TEXT($Y678,"dd-mmm")&amp;" - "&amp;(NETWORKDAYS($Y678,TODAY(),Holidays)-1)&amp;" business day(s) late. Send now.",IF($T678="DUE TOMORROW","Next: "&amp;$Z678&amp;IF($Y678&lt;=TODAY()," is due TODAY ("," is due next business day (")&amp;TEXT($Y678,"dd-mmm")&amp;").","Next: "&amp;$Z678&amp;" due "&amp;TEXT($Y678,"dd-mmm")&amp;" ("&amp;(NETWORKDAYS(TODAY(),$Y678,Holidays)-1)&amp;" business day(s) left).")))))</f>
        <v/>
      </c>
      <c r="V678" s="17">
        <f>IF($W678="","",CHOOSE($W678,"Collection Email","1st Follow-up","2nd Follow-up","Local Office","CBE","Roxanne")&amp;IF($W678=6," - Final"," - Day "&amp;MAX(0,NETWORKDAYS($X678,TODAY(),Holidays)-1)&amp;" of "&amp;CHOOSE($W678,3,3,2,2,3))&amp;" | Total Day "&amp;MAX(0,NETWORKDAYS($L678,TODAY(),Holidays)-1))</f>
        <v/>
      </c>
      <c r="W678" s="17">
        <f>IF($L678="","",COUNT($L678:$Q678))</f>
        <v/>
      </c>
      <c r="X678" s="18">
        <f>IF($W678="","",INT(INDEX($L678:$Q678,$W678)))</f>
        <v/>
      </c>
      <c r="Y678" s="18">
        <f>IF(OR($W678="",$W678=6),"",WORKDAY($X678,CHOOSE($W678,3,3,2,2,3),Holidays))</f>
        <v/>
      </c>
      <c r="Z678" s="17">
        <f>IF(OR($W678="",$W678=6),"",CHOOSE($W678,"1st Email Follow-up","2nd Email Follow-up","Escalate Local Office","Escalate to CBE","Escalate to Roxanne"))</f>
        <v/>
      </c>
    </row>
    <row r="679" spans="18:26">
      <c r="R679" s="15"/>
      <c r="S679" s="16"/>
      <c r="T679" s="17">
        <f>IF(AND(COUNTA($A679:$K679)=0,$L679=""),"",IF($S679="Paid","PAID",IF($S679="Closed","CLOSED",IF($W679="","",IF($W679=6,"ESCALATED TO ROXANNE",IF(TODAY()&gt;$Y679,"OVERDUE",IF($Y679&lt;=WORKDAY(TODAY(),1,Holidays),"DUE TOMORROW",IF($W679=4,"ESCALATED TO LOCAL OFFICE",IF($W679=5,"ESCALATED TO CBE",IF($X679=TODAY(),"EMAIL SENT","MONITORING"))))))))))</f>
        <v/>
      </c>
      <c r="U679" s="17">
        <f>IF($T679="",IF(AND(COUNTA($A679:$K679)&gt;0,$L679=""),"Awaiting Collection Email time stamp.",""),IF(OR($T679="PAID",$T679="CLOSED"),IF($T679="PAID","Account paid. Action completed.","Account closed. No further action required."),CHOOSE($W679,"Collection Email","1st Email Follow-up","2nd Email Follow-up","Escalation to Local Office","Escalation to CBE","Escalation to Roxanne")&amp;" sent "&amp;TEXT($X679,"dd-mmm")&amp;". "&amp;IF($W679=6,"Final escalation completed.",IF($T679="OVERDUE","Next: "&amp;$Z679&amp;" was due "&amp;TEXT($Y679,"dd-mmm")&amp;" - "&amp;(NETWORKDAYS($Y679,TODAY(),Holidays)-1)&amp;" business day(s) late. Send now.",IF($T679="DUE TOMORROW","Next: "&amp;$Z679&amp;IF($Y679&lt;=TODAY()," is due TODAY ("," is due next business day (")&amp;TEXT($Y679,"dd-mmm")&amp;").","Next: "&amp;$Z679&amp;" due "&amp;TEXT($Y679,"dd-mmm")&amp;" ("&amp;(NETWORKDAYS(TODAY(),$Y679,Holidays)-1)&amp;" business day(s) left).")))))</f>
        <v/>
      </c>
      <c r="V679" s="17">
        <f>IF($W679="","",CHOOSE($W679,"Collection Email","1st Follow-up","2nd Follow-up","Local Office","CBE","Roxanne")&amp;IF($W679=6," - Final"," - Day "&amp;MAX(0,NETWORKDAYS($X679,TODAY(),Holidays)-1)&amp;" of "&amp;CHOOSE($W679,3,3,2,2,3))&amp;" | Total Day "&amp;MAX(0,NETWORKDAYS($L679,TODAY(),Holidays)-1))</f>
        <v/>
      </c>
      <c r="W679" s="17">
        <f>IF($L679="","",COUNT($L679:$Q679))</f>
        <v/>
      </c>
      <c r="X679" s="18">
        <f>IF($W679="","",INT(INDEX($L679:$Q679,$W679)))</f>
        <v/>
      </c>
      <c r="Y679" s="18">
        <f>IF(OR($W679="",$W679=6),"",WORKDAY($X679,CHOOSE($W679,3,3,2,2,3),Holidays))</f>
        <v/>
      </c>
      <c r="Z679" s="17">
        <f>IF(OR($W679="",$W679=6),"",CHOOSE($W679,"1st Email Follow-up","2nd Email Follow-up","Escalate Local Office","Escalate to CBE","Escalate to Roxanne"))</f>
        <v/>
      </c>
    </row>
    <row r="680" spans="18:26">
      <c r="R680" s="15"/>
      <c r="S680" s="16"/>
      <c r="T680" s="17">
        <f>IF(AND(COUNTA($A680:$K680)=0,$L680=""),"",IF($S680="Paid","PAID",IF($S680="Closed","CLOSED",IF($W680="","",IF($W680=6,"ESCALATED TO ROXANNE",IF(TODAY()&gt;$Y680,"OVERDUE",IF($Y680&lt;=WORKDAY(TODAY(),1,Holidays),"DUE TOMORROW",IF($W680=4,"ESCALATED TO LOCAL OFFICE",IF($W680=5,"ESCALATED TO CBE",IF($X680=TODAY(),"EMAIL SENT","MONITORING"))))))))))</f>
        <v/>
      </c>
      <c r="U680" s="17">
        <f>IF($T680="",IF(AND(COUNTA($A680:$K680)&gt;0,$L680=""),"Awaiting Collection Email time stamp.",""),IF(OR($T680="PAID",$T680="CLOSED"),IF($T680="PAID","Account paid. Action completed.","Account closed. No further action required."),CHOOSE($W680,"Collection Email","1st Email Follow-up","2nd Email Follow-up","Escalation to Local Office","Escalation to CBE","Escalation to Roxanne")&amp;" sent "&amp;TEXT($X680,"dd-mmm")&amp;". "&amp;IF($W680=6,"Final escalation completed.",IF($T680="OVERDUE","Next: "&amp;$Z680&amp;" was due "&amp;TEXT($Y680,"dd-mmm")&amp;" - "&amp;(NETWORKDAYS($Y680,TODAY(),Holidays)-1)&amp;" business day(s) late. Send now.",IF($T680="DUE TOMORROW","Next: "&amp;$Z680&amp;IF($Y680&lt;=TODAY()," is due TODAY ("," is due next business day (")&amp;TEXT($Y680,"dd-mmm")&amp;").","Next: "&amp;$Z680&amp;" due "&amp;TEXT($Y680,"dd-mmm")&amp;" ("&amp;(NETWORKDAYS(TODAY(),$Y680,Holidays)-1)&amp;" business day(s) left).")))))</f>
        <v/>
      </c>
      <c r="V680" s="17">
        <f>IF($W680="","",CHOOSE($W680,"Collection Email","1st Follow-up","2nd Follow-up","Local Office","CBE","Roxanne")&amp;IF($W680=6," - Final"," - Day "&amp;MAX(0,NETWORKDAYS($X680,TODAY(),Holidays)-1)&amp;" of "&amp;CHOOSE($W680,3,3,2,2,3))&amp;" | Total Day "&amp;MAX(0,NETWORKDAYS($L680,TODAY(),Holidays)-1))</f>
        <v/>
      </c>
      <c r="W680" s="17">
        <f>IF($L680="","",COUNT($L680:$Q680))</f>
        <v/>
      </c>
      <c r="X680" s="18">
        <f>IF($W680="","",INT(INDEX($L680:$Q680,$W680)))</f>
        <v/>
      </c>
      <c r="Y680" s="18">
        <f>IF(OR($W680="",$W680=6),"",WORKDAY($X680,CHOOSE($W680,3,3,2,2,3),Holidays))</f>
        <v/>
      </c>
      <c r="Z680" s="17">
        <f>IF(OR($W680="",$W680=6),"",CHOOSE($W680,"1st Email Follow-up","2nd Email Follow-up","Escalate Local Office","Escalate to CBE","Escalate to Roxanne"))</f>
        <v/>
      </c>
    </row>
    <row r="681" spans="18:26">
      <c r="R681" s="15"/>
      <c r="S681" s="16"/>
      <c r="T681" s="17">
        <f>IF(AND(COUNTA($A681:$K681)=0,$L681=""),"",IF($S681="Paid","PAID",IF($S681="Closed","CLOSED",IF($W681="","",IF($W681=6,"ESCALATED TO ROXANNE",IF(TODAY()&gt;$Y681,"OVERDUE",IF($Y681&lt;=WORKDAY(TODAY(),1,Holidays),"DUE TOMORROW",IF($W681=4,"ESCALATED TO LOCAL OFFICE",IF($W681=5,"ESCALATED TO CBE",IF($X681=TODAY(),"EMAIL SENT","MONITORING"))))))))))</f>
        <v/>
      </c>
      <c r="U681" s="17">
        <f>IF($T681="",IF(AND(COUNTA($A681:$K681)&gt;0,$L681=""),"Awaiting Collection Email time stamp.",""),IF(OR($T681="PAID",$T681="CLOSED"),IF($T681="PAID","Account paid. Action completed.","Account closed. No further action required."),CHOOSE($W681,"Collection Email","1st Email Follow-up","2nd Email Follow-up","Escalation to Local Office","Escalation to CBE","Escalation to Roxanne")&amp;" sent "&amp;TEXT($X681,"dd-mmm")&amp;". "&amp;IF($W681=6,"Final escalation completed.",IF($T681="OVERDUE","Next: "&amp;$Z681&amp;" was due "&amp;TEXT($Y681,"dd-mmm")&amp;" - "&amp;(NETWORKDAYS($Y681,TODAY(),Holidays)-1)&amp;" business day(s) late. Send now.",IF($T681="DUE TOMORROW","Next: "&amp;$Z681&amp;IF($Y681&lt;=TODAY()," is due TODAY ("," is due next business day (")&amp;TEXT($Y681,"dd-mmm")&amp;").","Next: "&amp;$Z681&amp;" due "&amp;TEXT($Y681,"dd-mmm")&amp;" ("&amp;(NETWORKDAYS(TODAY(),$Y681,Holidays)-1)&amp;" business day(s) left).")))))</f>
        <v/>
      </c>
      <c r="V681" s="17">
        <f>IF($W681="","",CHOOSE($W681,"Collection Email","1st Follow-up","2nd Follow-up","Local Office","CBE","Roxanne")&amp;IF($W681=6," - Final"," - Day "&amp;MAX(0,NETWORKDAYS($X681,TODAY(),Holidays)-1)&amp;" of "&amp;CHOOSE($W681,3,3,2,2,3))&amp;" | Total Day "&amp;MAX(0,NETWORKDAYS($L681,TODAY(),Holidays)-1))</f>
        <v/>
      </c>
      <c r="W681" s="17">
        <f>IF($L681="","",COUNT($L681:$Q681))</f>
        <v/>
      </c>
      <c r="X681" s="18">
        <f>IF($W681="","",INT(INDEX($L681:$Q681,$W681)))</f>
        <v/>
      </c>
      <c r="Y681" s="18">
        <f>IF(OR($W681="",$W681=6),"",WORKDAY($X681,CHOOSE($W681,3,3,2,2,3),Holidays))</f>
        <v/>
      </c>
      <c r="Z681" s="17">
        <f>IF(OR($W681="",$W681=6),"",CHOOSE($W681,"1st Email Follow-up","2nd Email Follow-up","Escalate Local Office","Escalate to CBE","Escalate to Roxanne"))</f>
        <v/>
      </c>
    </row>
    <row r="682" spans="18:26">
      <c r="R682" s="15"/>
      <c r="S682" s="16"/>
      <c r="T682" s="17">
        <f>IF(AND(COUNTA($A682:$K682)=0,$L682=""),"",IF($S682="Paid","PAID",IF($S682="Closed","CLOSED",IF($W682="","",IF($W682=6,"ESCALATED TO ROXANNE",IF(TODAY()&gt;$Y682,"OVERDUE",IF($Y682&lt;=WORKDAY(TODAY(),1,Holidays),"DUE TOMORROW",IF($W682=4,"ESCALATED TO LOCAL OFFICE",IF($W682=5,"ESCALATED TO CBE",IF($X682=TODAY(),"EMAIL SENT","MONITORING"))))))))))</f>
        <v/>
      </c>
      <c r="U682" s="17">
        <f>IF($T682="",IF(AND(COUNTA($A682:$K682)&gt;0,$L682=""),"Awaiting Collection Email time stamp.",""),IF(OR($T682="PAID",$T682="CLOSED"),IF($T682="PAID","Account paid. Action completed.","Account closed. No further action required."),CHOOSE($W682,"Collection Email","1st Email Follow-up","2nd Email Follow-up","Escalation to Local Office","Escalation to CBE","Escalation to Roxanne")&amp;" sent "&amp;TEXT($X682,"dd-mmm")&amp;". "&amp;IF($W682=6,"Final escalation completed.",IF($T682="OVERDUE","Next: "&amp;$Z682&amp;" was due "&amp;TEXT($Y682,"dd-mmm")&amp;" - "&amp;(NETWORKDAYS($Y682,TODAY(),Holidays)-1)&amp;" business day(s) late. Send now.",IF($T682="DUE TOMORROW","Next: "&amp;$Z682&amp;IF($Y682&lt;=TODAY()," is due TODAY ("," is due next business day (")&amp;TEXT($Y682,"dd-mmm")&amp;").","Next: "&amp;$Z682&amp;" due "&amp;TEXT($Y682,"dd-mmm")&amp;" ("&amp;(NETWORKDAYS(TODAY(),$Y682,Holidays)-1)&amp;" business day(s) left).")))))</f>
        <v/>
      </c>
      <c r="V682" s="17">
        <f>IF($W682="","",CHOOSE($W682,"Collection Email","1st Follow-up","2nd Follow-up","Local Office","CBE","Roxanne")&amp;IF($W682=6," - Final"," - Day "&amp;MAX(0,NETWORKDAYS($X682,TODAY(),Holidays)-1)&amp;" of "&amp;CHOOSE($W682,3,3,2,2,3))&amp;" | Total Day "&amp;MAX(0,NETWORKDAYS($L682,TODAY(),Holidays)-1))</f>
        <v/>
      </c>
      <c r="W682" s="17">
        <f>IF($L682="","",COUNT($L682:$Q682))</f>
        <v/>
      </c>
      <c r="X682" s="18">
        <f>IF($W682="","",INT(INDEX($L682:$Q682,$W682)))</f>
        <v/>
      </c>
      <c r="Y682" s="18">
        <f>IF(OR($W682="",$W682=6),"",WORKDAY($X682,CHOOSE($W682,3,3,2,2,3),Holidays))</f>
        <v/>
      </c>
      <c r="Z682" s="17">
        <f>IF(OR($W682="",$W682=6),"",CHOOSE($W682,"1st Email Follow-up","2nd Email Follow-up","Escalate Local Office","Escalate to CBE","Escalate to Roxanne"))</f>
        <v/>
      </c>
    </row>
    <row r="683" spans="18:26">
      <c r="R683" s="15"/>
      <c r="S683" s="16"/>
      <c r="T683" s="17">
        <f>IF(AND(COUNTA($A683:$K683)=0,$L683=""),"",IF($S683="Paid","PAID",IF($S683="Closed","CLOSED",IF($W683="","",IF($W683=6,"ESCALATED TO ROXANNE",IF(TODAY()&gt;$Y683,"OVERDUE",IF($Y683&lt;=WORKDAY(TODAY(),1,Holidays),"DUE TOMORROW",IF($W683=4,"ESCALATED TO LOCAL OFFICE",IF($W683=5,"ESCALATED TO CBE",IF($X683=TODAY(),"EMAIL SENT","MONITORING"))))))))))</f>
        <v/>
      </c>
      <c r="U683" s="17">
        <f>IF($T683="",IF(AND(COUNTA($A683:$K683)&gt;0,$L683=""),"Awaiting Collection Email time stamp.",""),IF(OR($T683="PAID",$T683="CLOSED"),IF($T683="PAID","Account paid. Action completed.","Account closed. No further action required."),CHOOSE($W683,"Collection Email","1st Email Follow-up","2nd Email Follow-up","Escalation to Local Office","Escalation to CBE","Escalation to Roxanne")&amp;" sent "&amp;TEXT($X683,"dd-mmm")&amp;". "&amp;IF($W683=6,"Final escalation completed.",IF($T683="OVERDUE","Next: "&amp;$Z683&amp;" was due "&amp;TEXT($Y683,"dd-mmm")&amp;" - "&amp;(NETWORKDAYS($Y683,TODAY(),Holidays)-1)&amp;" business day(s) late. Send now.",IF($T683="DUE TOMORROW","Next: "&amp;$Z683&amp;IF($Y683&lt;=TODAY()," is due TODAY ("," is due next business day (")&amp;TEXT($Y683,"dd-mmm")&amp;").","Next: "&amp;$Z683&amp;" due "&amp;TEXT($Y683,"dd-mmm")&amp;" ("&amp;(NETWORKDAYS(TODAY(),$Y683,Holidays)-1)&amp;" business day(s) left).")))))</f>
        <v/>
      </c>
      <c r="V683" s="17">
        <f>IF($W683="","",CHOOSE($W683,"Collection Email","1st Follow-up","2nd Follow-up","Local Office","CBE","Roxanne")&amp;IF($W683=6," - Final"," - Day "&amp;MAX(0,NETWORKDAYS($X683,TODAY(),Holidays)-1)&amp;" of "&amp;CHOOSE($W683,3,3,2,2,3))&amp;" | Total Day "&amp;MAX(0,NETWORKDAYS($L683,TODAY(),Holidays)-1))</f>
        <v/>
      </c>
      <c r="W683" s="17">
        <f>IF($L683="","",COUNT($L683:$Q683))</f>
        <v/>
      </c>
      <c r="X683" s="18">
        <f>IF($W683="","",INT(INDEX($L683:$Q683,$W683)))</f>
        <v/>
      </c>
      <c r="Y683" s="18">
        <f>IF(OR($W683="",$W683=6),"",WORKDAY($X683,CHOOSE($W683,3,3,2,2,3),Holidays))</f>
        <v/>
      </c>
      <c r="Z683" s="17">
        <f>IF(OR($W683="",$W683=6),"",CHOOSE($W683,"1st Email Follow-up","2nd Email Follow-up","Escalate Local Office","Escalate to CBE","Escalate to Roxanne"))</f>
        <v/>
      </c>
    </row>
    <row r="684" spans="18:26">
      <c r="R684" s="15"/>
      <c r="S684" s="16"/>
      <c r="T684" s="17">
        <f>IF(AND(COUNTA($A684:$K684)=0,$L684=""),"",IF($S684="Paid","PAID",IF($S684="Closed","CLOSED",IF($W684="","",IF($W684=6,"ESCALATED TO ROXANNE",IF(TODAY()&gt;$Y684,"OVERDUE",IF($Y684&lt;=WORKDAY(TODAY(),1,Holidays),"DUE TOMORROW",IF($W684=4,"ESCALATED TO LOCAL OFFICE",IF($W684=5,"ESCALATED TO CBE",IF($X684=TODAY(),"EMAIL SENT","MONITORING"))))))))))</f>
        <v/>
      </c>
      <c r="U684" s="17">
        <f>IF($T684="",IF(AND(COUNTA($A684:$K684)&gt;0,$L684=""),"Awaiting Collection Email time stamp.",""),IF(OR($T684="PAID",$T684="CLOSED"),IF($T684="PAID","Account paid. Action completed.","Account closed. No further action required."),CHOOSE($W684,"Collection Email","1st Email Follow-up","2nd Email Follow-up","Escalation to Local Office","Escalation to CBE","Escalation to Roxanne")&amp;" sent "&amp;TEXT($X684,"dd-mmm")&amp;". "&amp;IF($W684=6,"Final escalation completed.",IF($T684="OVERDUE","Next: "&amp;$Z684&amp;" was due "&amp;TEXT($Y684,"dd-mmm")&amp;" - "&amp;(NETWORKDAYS($Y684,TODAY(),Holidays)-1)&amp;" business day(s) late. Send now.",IF($T684="DUE TOMORROW","Next: "&amp;$Z684&amp;IF($Y684&lt;=TODAY()," is due TODAY ("," is due next business day (")&amp;TEXT($Y684,"dd-mmm")&amp;").","Next: "&amp;$Z684&amp;" due "&amp;TEXT($Y684,"dd-mmm")&amp;" ("&amp;(NETWORKDAYS(TODAY(),$Y684,Holidays)-1)&amp;" business day(s) left).")))))</f>
        <v/>
      </c>
      <c r="V684" s="17">
        <f>IF($W684="","",CHOOSE($W684,"Collection Email","1st Follow-up","2nd Follow-up","Local Office","CBE","Roxanne")&amp;IF($W684=6," - Final"," - Day "&amp;MAX(0,NETWORKDAYS($X684,TODAY(),Holidays)-1)&amp;" of "&amp;CHOOSE($W684,3,3,2,2,3))&amp;" | Total Day "&amp;MAX(0,NETWORKDAYS($L684,TODAY(),Holidays)-1))</f>
        <v/>
      </c>
      <c r="W684" s="17">
        <f>IF($L684="","",COUNT($L684:$Q684))</f>
        <v/>
      </c>
      <c r="X684" s="18">
        <f>IF($W684="","",INT(INDEX($L684:$Q684,$W684)))</f>
        <v/>
      </c>
      <c r="Y684" s="18">
        <f>IF(OR($W684="",$W684=6),"",WORKDAY($X684,CHOOSE($W684,3,3,2,2,3),Holidays))</f>
        <v/>
      </c>
      <c r="Z684" s="17">
        <f>IF(OR($W684="",$W684=6),"",CHOOSE($W684,"1st Email Follow-up","2nd Email Follow-up","Escalate Local Office","Escalate to CBE","Escalate to Roxanne"))</f>
        <v/>
      </c>
    </row>
    <row r="685" spans="18:26">
      <c r="R685" s="15"/>
      <c r="S685" s="16"/>
      <c r="T685" s="17">
        <f>IF(AND(COUNTA($A685:$K685)=0,$L685=""),"",IF($S685="Paid","PAID",IF($S685="Closed","CLOSED",IF($W685="","",IF($W685=6,"ESCALATED TO ROXANNE",IF(TODAY()&gt;$Y685,"OVERDUE",IF($Y685&lt;=WORKDAY(TODAY(),1,Holidays),"DUE TOMORROW",IF($W685=4,"ESCALATED TO LOCAL OFFICE",IF($W685=5,"ESCALATED TO CBE",IF($X685=TODAY(),"EMAIL SENT","MONITORING"))))))))))</f>
        <v/>
      </c>
      <c r="U685" s="17">
        <f>IF($T685="",IF(AND(COUNTA($A685:$K685)&gt;0,$L685=""),"Awaiting Collection Email time stamp.",""),IF(OR($T685="PAID",$T685="CLOSED"),IF($T685="PAID","Account paid. Action completed.","Account closed. No further action required."),CHOOSE($W685,"Collection Email","1st Email Follow-up","2nd Email Follow-up","Escalation to Local Office","Escalation to CBE","Escalation to Roxanne")&amp;" sent "&amp;TEXT($X685,"dd-mmm")&amp;". "&amp;IF($W685=6,"Final escalation completed.",IF($T685="OVERDUE","Next: "&amp;$Z685&amp;" was due "&amp;TEXT($Y685,"dd-mmm")&amp;" - "&amp;(NETWORKDAYS($Y685,TODAY(),Holidays)-1)&amp;" business day(s) late. Send now.",IF($T685="DUE TOMORROW","Next: "&amp;$Z685&amp;IF($Y685&lt;=TODAY()," is due TODAY ("," is due next business day (")&amp;TEXT($Y685,"dd-mmm")&amp;").","Next: "&amp;$Z685&amp;" due "&amp;TEXT($Y685,"dd-mmm")&amp;" ("&amp;(NETWORKDAYS(TODAY(),$Y685,Holidays)-1)&amp;" business day(s) left).")))))</f>
        <v/>
      </c>
      <c r="V685" s="17">
        <f>IF($W685="","",CHOOSE($W685,"Collection Email","1st Follow-up","2nd Follow-up","Local Office","CBE","Roxanne")&amp;IF($W685=6," - Final"," - Day "&amp;MAX(0,NETWORKDAYS($X685,TODAY(),Holidays)-1)&amp;" of "&amp;CHOOSE($W685,3,3,2,2,3))&amp;" | Total Day "&amp;MAX(0,NETWORKDAYS($L685,TODAY(),Holidays)-1))</f>
        <v/>
      </c>
      <c r="W685" s="17">
        <f>IF($L685="","",COUNT($L685:$Q685))</f>
        <v/>
      </c>
      <c r="X685" s="18">
        <f>IF($W685="","",INT(INDEX($L685:$Q685,$W685)))</f>
        <v/>
      </c>
      <c r="Y685" s="18">
        <f>IF(OR($W685="",$W685=6),"",WORKDAY($X685,CHOOSE($W685,3,3,2,2,3),Holidays))</f>
        <v/>
      </c>
      <c r="Z685" s="17">
        <f>IF(OR($W685="",$W685=6),"",CHOOSE($W685,"1st Email Follow-up","2nd Email Follow-up","Escalate Local Office","Escalate to CBE","Escalate to Roxanne"))</f>
        <v/>
      </c>
    </row>
    <row r="686" spans="18:26">
      <c r="R686" s="15"/>
      <c r="S686" s="16"/>
      <c r="T686" s="17">
        <f>IF(AND(COUNTA($A686:$K686)=0,$L686=""),"",IF($S686="Paid","PAID",IF($S686="Closed","CLOSED",IF($W686="","",IF($W686=6,"ESCALATED TO ROXANNE",IF(TODAY()&gt;$Y686,"OVERDUE",IF($Y686&lt;=WORKDAY(TODAY(),1,Holidays),"DUE TOMORROW",IF($W686=4,"ESCALATED TO LOCAL OFFICE",IF($W686=5,"ESCALATED TO CBE",IF($X686=TODAY(),"EMAIL SENT","MONITORING"))))))))))</f>
        <v/>
      </c>
      <c r="U686" s="17">
        <f>IF($T686="",IF(AND(COUNTA($A686:$K686)&gt;0,$L686=""),"Awaiting Collection Email time stamp.",""),IF(OR($T686="PAID",$T686="CLOSED"),IF($T686="PAID","Account paid. Action completed.","Account closed. No further action required."),CHOOSE($W686,"Collection Email","1st Email Follow-up","2nd Email Follow-up","Escalation to Local Office","Escalation to CBE","Escalation to Roxanne")&amp;" sent "&amp;TEXT($X686,"dd-mmm")&amp;". "&amp;IF($W686=6,"Final escalation completed.",IF($T686="OVERDUE","Next: "&amp;$Z686&amp;" was due "&amp;TEXT($Y686,"dd-mmm")&amp;" - "&amp;(NETWORKDAYS($Y686,TODAY(),Holidays)-1)&amp;" business day(s) late. Send now.",IF($T686="DUE TOMORROW","Next: "&amp;$Z686&amp;IF($Y686&lt;=TODAY()," is due TODAY ("," is due next business day (")&amp;TEXT($Y686,"dd-mmm")&amp;").","Next: "&amp;$Z686&amp;" due "&amp;TEXT($Y686,"dd-mmm")&amp;" ("&amp;(NETWORKDAYS(TODAY(),$Y686,Holidays)-1)&amp;" business day(s) left).")))))</f>
        <v/>
      </c>
      <c r="V686" s="17">
        <f>IF($W686="","",CHOOSE($W686,"Collection Email","1st Follow-up","2nd Follow-up","Local Office","CBE","Roxanne")&amp;IF($W686=6," - Final"," - Day "&amp;MAX(0,NETWORKDAYS($X686,TODAY(),Holidays)-1)&amp;" of "&amp;CHOOSE($W686,3,3,2,2,3))&amp;" | Total Day "&amp;MAX(0,NETWORKDAYS($L686,TODAY(),Holidays)-1))</f>
        <v/>
      </c>
      <c r="W686" s="17">
        <f>IF($L686="","",COUNT($L686:$Q686))</f>
        <v/>
      </c>
      <c r="X686" s="18">
        <f>IF($W686="","",INT(INDEX($L686:$Q686,$W686)))</f>
        <v/>
      </c>
      <c r="Y686" s="18">
        <f>IF(OR($W686="",$W686=6),"",WORKDAY($X686,CHOOSE($W686,3,3,2,2,3),Holidays))</f>
        <v/>
      </c>
      <c r="Z686" s="17">
        <f>IF(OR($W686="",$W686=6),"",CHOOSE($W686,"1st Email Follow-up","2nd Email Follow-up","Escalate Local Office","Escalate to CBE","Escalate to Roxanne"))</f>
        <v/>
      </c>
    </row>
    <row r="687" spans="18:26">
      <c r="R687" s="15"/>
      <c r="S687" s="16"/>
      <c r="T687" s="17">
        <f>IF(AND(COUNTA($A687:$K687)=0,$L687=""),"",IF($S687="Paid","PAID",IF($S687="Closed","CLOSED",IF($W687="","",IF($W687=6,"ESCALATED TO ROXANNE",IF(TODAY()&gt;$Y687,"OVERDUE",IF($Y687&lt;=WORKDAY(TODAY(),1,Holidays),"DUE TOMORROW",IF($W687=4,"ESCALATED TO LOCAL OFFICE",IF($W687=5,"ESCALATED TO CBE",IF($X687=TODAY(),"EMAIL SENT","MONITORING"))))))))))</f>
        <v/>
      </c>
      <c r="U687" s="17">
        <f>IF($T687="",IF(AND(COUNTA($A687:$K687)&gt;0,$L687=""),"Awaiting Collection Email time stamp.",""),IF(OR($T687="PAID",$T687="CLOSED"),IF($T687="PAID","Account paid. Action completed.","Account closed. No further action required."),CHOOSE($W687,"Collection Email","1st Email Follow-up","2nd Email Follow-up","Escalation to Local Office","Escalation to CBE","Escalation to Roxanne")&amp;" sent "&amp;TEXT($X687,"dd-mmm")&amp;". "&amp;IF($W687=6,"Final escalation completed.",IF($T687="OVERDUE","Next: "&amp;$Z687&amp;" was due "&amp;TEXT($Y687,"dd-mmm")&amp;" - "&amp;(NETWORKDAYS($Y687,TODAY(),Holidays)-1)&amp;" business day(s) late. Send now.",IF($T687="DUE TOMORROW","Next: "&amp;$Z687&amp;IF($Y687&lt;=TODAY()," is due TODAY ("," is due next business day (")&amp;TEXT($Y687,"dd-mmm")&amp;").","Next: "&amp;$Z687&amp;" due "&amp;TEXT($Y687,"dd-mmm")&amp;" ("&amp;(NETWORKDAYS(TODAY(),$Y687,Holidays)-1)&amp;" business day(s) left).")))))</f>
        <v/>
      </c>
      <c r="V687" s="17">
        <f>IF($W687="","",CHOOSE($W687,"Collection Email","1st Follow-up","2nd Follow-up","Local Office","CBE","Roxanne")&amp;IF($W687=6," - Final"," - Day "&amp;MAX(0,NETWORKDAYS($X687,TODAY(),Holidays)-1)&amp;" of "&amp;CHOOSE($W687,3,3,2,2,3))&amp;" | Total Day "&amp;MAX(0,NETWORKDAYS($L687,TODAY(),Holidays)-1))</f>
        <v/>
      </c>
      <c r="W687" s="17">
        <f>IF($L687="","",COUNT($L687:$Q687))</f>
        <v/>
      </c>
      <c r="X687" s="18">
        <f>IF($W687="","",INT(INDEX($L687:$Q687,$W687)))</f>
        <v/>
      </c>
      <c r="Y687" s="18">
        <f>IF(OR($W687="",$W687=6),"",WORKDAY($X687,CHOOSE($W687,3,3,2,2,3),Holidays))</f>
        <v/>
      </c>
      <c r="Z687" s="17">
        <f>IF(OR($W687="",$W687=6),"",CHOOSE($W687,"1st Email Follow-up","2nd Email Follow-up","Escalate Local Office","Escalate to CBE","Escalate to Roxanne"))</f>
        <v/>
      </c>
    </row>
    <row r="688" spans="18:26">
      <c r="R688" s="15"/>
      <c r="S688" s="16"/>
      <c r="T688" s="17">
        <f>IF(AND(COUNTA($A688:$K688)=0,$L688=""),"",IF($S688="Paid","PAID",IF($S688="Closed","CLOSED",IF($W688="","",IF($W688=6,"ESCALATED TO ROXANNE",IF(TODAY()&gt;$Y688,"OVERDUE",IF($Y688&lt;=WORKDAY(TODAY(),1,Holidays),"DUE TOMORROW",IF($W688=4,"ESCALATED TO LOCAL OFFICE",IF($W688=5,"ESCALATED TO CBE",IF($X688=TODAY(),"EMAIL SENT","MONITORING"))))))))))</f>
        <v/>
      </c>
      <c r="U688" s="17">
        <f>IF($T688="",IF(AND(COUNTA($A688:$K688)&gt;0,$L688=""),"Awaiting Collection Email time stamp.",""),IF(OR($T688="PAID",$T688="CLOSED"),IF($T688="PAID","Account paid. Action completed.","Account closed. No further action required."),CHOOSE($W688,"Collection Email","1st Email Follow-up","2nd Email Follow-up","Escalation to Local Office","Escalation to CBE","Escalation to Roxanne")&amp;" sent "&amp;TEXT($X688,"dd-mmm")&amp;". "&amp;IF($W688=6,"Final escalation completed.",IF($T688="OVERDUE","Next: "&amp;$Z688&amp;" was due "&amp;TEXT($Y688,"dd-mmm")&amp;" - "&amp;(NETWORKDAYS($Y688,TODAY(),Holidays)-1)&amp;" business day(s) late. Send now.",IF($T688="DUE TOMORROW","Next: "&amp;$Z688&amp;IF($Y688&lt;=TODAY()," is due TODAY ("," is due next business day (")&amp;TEXT($Y688,"dd-mmm")&amp;").","Next: "&amp;$Z688&amp;" due "&amp;TEXT($Y688,"dd-mmm")&amp;" ("&amp;(NETWORKDAYS(TODAY(),$Y688,Holidays)-1)&amp;" business day(s) left).")))))</f>
        <v/>
      </c>
      <c r="V688" s="17">
        <f>IF($W688="","",CHOOSE($W688,"Collection Email","1st Follow-up","2nd Follow-up","Local Office","CBE","Roxanne")&amp;IF($W688=6," - Final"," - Day "&amp;MAX(0,NETWORKDAYS($X688,TODAY(),Holidays)-1)&amp;" of "&amp;CHOOSE($W688,3,3,2,2,3))&amp;" | Total Day "&amp;MAX(0,NETWORKDAYS($L688,TODAY(),Holidays)-1))</f>
        <v/>
      </c>
      <c r="W688" s="17">
        <f>IF($L688="","",COUNT($L688:$Q688))</f>
        <v/>
      </c>
      <c r="X688" s="18">
        <f>IF($W688="","",INT(INDEX($L688:$Q688,$W688)))</f>
        <v/>
      </c>
      <c r="Y688" s="18">
        <f>IF(OR($W688="",$W688=6),"",WORKDAY($X688,CHOOSE($W688,3,3,2,2,3),Holidays))</f>
        <v/>
      </c>
      <c r="Z688" s="17">
        <f>IF(OR($W688="",$W688=6),"",CHOOSE($W688,"1st Email Follow-up","2nd Email Follow-up","Escalate Local Office","Escalate to CBE","Escalate to Roxanne"))</f>
        <v/>
      </c>
    </row>
    <row r="689" spans="18:26">
      <c r="R689" s="15"/>
      <c r="S689" s="16"/>
      <c r="T689" s="17">
        <f>IF(AND(COUNTA($A689:$K689)=0,$L689=""),"",IF($S689="Paid","PAID",IF($S689="Closed","CLOSED",IF($W689="","",IF($W689=6,"ESCALATED TO ROXANNE",IF(TODAY()&gt;$Y689,"OVERDUE",IF($Y689&lt;=WORKDAY(TODAY(),1,Holidays),"DUE TOMORROW",IF($W689=4,"ESCALATED TO LOCAL OFFICE",IF($W689=5,"ESCALATED TO CBE",IF($X689=TODAY(),"EMAIL SENT","MONITORING"))))))))))</f>
        <v/>
      </c>
      <c r="U689" s="17">
        <f>IF($T689="",IF(AND(COUNTA($A689:$K689)&gt;0,$L689=""),"Awaiting Collection Email time stamp.",""),IF(OR($T689="PAID",$T689="CLOSED"),IF($T689="PAID","Account paid. Action completed.","Account closed. No further action required."),CHOOSE($W689,"Collection Email","1st Email Follow-up","2nd Email Follow-up","Escalation to Local Office","Escalation to CBE","Escalation to Roxanne")&amp;" sent "&amp;TEXT($X689,"dd-mmm")&amp;". "&amp;IF($W689=6,"Final escalation completed.",IF($T689="OVERDUE","Next: "&amp;$Z689&amp;" was due "&amp;TEXT($Y689,"dd-mmm")&amp;" - "&amp;(NETWORKDAYS($Y689,TODAY(),Holidays)-1)&amp;" business day(s) late. Send now.",IF($T689="DUE TOMORROW","Next: "&amp;$Z689&amp;IF($Y689&lt;=TODAY()," is due TODAY ("," is due next business day (")&amp;TEXT($Y689,"dd-mmm")&amp;").","Next: "&amp;$Z689&amp;" due "&amp;TEXT($Y689,"dd-mmm")&amp;" ("&amp;(NETWORKDAYS(TODAY(),$Y689,Holidays)-1)&amp;" business day(s) left).")))))</f>
        <v/>
      </c>
      <c r="V689" s="17">
        <f>IF($W689="","",CHOOSE($W689,"Collection Email","1st Follow-up","2nd Follow-up","Local Office","CBE","Roxanne")&amp;IF($W689=6," - Final"," - Day "&amp;MAX(0,NETWORKDAYS($X689,TODAY(),Holidays)-1)&amp;" of "&amp;CHOOSE($W689,3,3,2,2,3))&amp;" | Total Day "&amp;MAX(0,NETWORKDAYS($L689,TODAY(),Holidays)-1))</f>
        <v/>
      </c>
      <c r="W689" s="17">
        <f>IF($L689="","",COUNT($L689:$Q689))</f>
        <v/>
      </c>
      <c r="X689" s="18">
        <f>IF($W689="","",INT(INDEX($L689:$Q689,$W689)))</f>
        <v/>
      </c>
      <c r="Y689" s="18">
        <f>IF(OR($W689="",$W689=6),"",WORKDAY($X689,CHOOSE($W689,3,3,2,2,3),Holidays))</f>
        <v/>
      </c>
      <c r="Z689" s="17">
        <f>IF(OR($W689="",$W689=6),"",CHOOSE($W689,"1st Email Follow-up","2nd Email Follow-up","Escalate Local Office","Escalate to CBE","Escalate to Roxanne"))</f>
        <v/>
      </c>
    </row>
    <row r="690" spans="18:26">
      <c r="R690" s="15"/>
      <c r="S690" s="16"/>
      <c r="T690" s="17">
        <f>IF(AND(COUNTA($A690:$K690)=0,$L690=""),"",IF($S690="Paid","PAID",IF($S690="Closed","CLOSED",IF($W690="","",IF($W690=6,"ESCALATED TO ROXANNE",IF(TODAY()&gt;$Y690,"OVERDUE",IF($Y690&lt;=WORKDAY(TODAY(),1,Holidays),"DUE TOMORROW",IF($W690=4,"ESCALATED TO LOCAL OFFICE",IF($W690=5,"ESCALATED TO CBE",IF($X690=TODAY(),"EMAIL SENT","MONITORING"))))))))))</f>
        <v/>
      </c>
      <c r="U690" s="17">
        <f>IF($T690="",IF(AND(COUNTA($A690:$K690)&gt;0,$L690=""),"Awaiting Collection Email time stamp.",""),IF(OR($T690="PAID",$T690="CLOSED"),IF($T690="PAID","Account paid. Action completed.","Account closed. No further action required."),CHOOSE($W690,"Collection Email","1st Email Follow-up","2nd Email Follow-up","Escalation to Local Office","Escalation to CBE","Escalation to Roxanne")&amp;" sent "&amp;TEXT($X690,"dd-mmm")&amp;". "&amp;IF($W690=6,"Final escalation completed.",IF($T690="OVERDUE","Next: "&amp;$Z690&amp;" was due "&amp;TEXT($Y690,"dd-mmm")&amp;" - "&amp;(NETWORKDAYS($Y690,TODAY(),Holidays)-1)&amp;" business day(s) late. Send now.",IF($T690="DUE TOMORROW","Next: "&amp;$Z690&amp;IF($Y690&lt;=TODAY()," is due TODAY ("," is due next business day (")&amp;TEXT($Y690,"dd-mmm")&amp;").","Next: "&amp;$Z690&amp;" due "&amp;TEXT($Y690,"dd-mmm")&amp;" ("&amp;(NETWORKDAYS(TODAY(),$Y690,Holidays)-1)&amp;" business day(s) left).")))))</f>
        <v/>
      </c>
      <c r="V690" s="17">
        <f>IF($W690="","",CHOOSE($W690,"Collection Email","1st Follow-up","2nd Follow-up","Local Office","CBE","Roxanne")&amp;IF($W690=6," - Final"," - Day "&amp;MAX(0,NETWORKDAYS($X690,TODAY(),Holidays)-1)&amp;" of "&amp;CHOOSE($W690,3,3,2,2,3))&amp;" | Total Day "&amp;MAX(0,NETWORKDAYS($L690,TODAY(),Holidays)-1))</f>
        <v/>
      </c>
      <c r="W690" s="17">
        <f>IF($L690="","",COUNT($L690:$Q690))</f>
        <v/>
      </c>
      <c r="X690" s="18">
        <f>IF($W690="","",INT(INDEX($L690:$Q690,$W690)))</f>
        <v/>
      </c>
      <c r="Y690" s="18">
        <f>IF(OR($W690="",$W690=6),"",WORKDAY($X690,CHOOSE($W690,3,3,2,2,3),Holidays))</f>
        <v/>
      </c>
      <c r="Z690" s="17">
        <f>IF(OR($W690="",$W690=6),"",CHOOSE($W690,"1st Email Follow-up","2nd Email Follow-up","Escalate Local Office","Escalate to CBE","Escalate to Roxanne"))</f>
        <v/>
      </c>
    </row>
    <row r="691" spans="18:26">
      <c r="R691" s="15"/>
      <c r="S691" s="16"/>
      <c r="T691" s="17">
        <f>IF(AND(COUNTA($A691:$K691)=0,$L691=""),"",IF($S691="Paid","PAID",IF($S691="Closed","CLOSED",IF($W691="","",IF($W691=6,"ESCALATED TO ROXANNE",IF(TODAY()&gt;$Y691,"OVERDUE",IF($Y691&lt;=WORKDAY(TODAY(),1,Holidays),"DUE TOMORROW",IF($W691=4,"ESCALATED TO LOCAL OFFICE",IF($W691=5,"ESCALATED TO CBE",IF($X691=TODAY(),"EMAIL SENT","MONITORING"))))))))))</f>
        <v/>
      </c>
      <c r="U691" s="17">
        <f>IF($T691="",IF(AND(COUNTA($A691:$K691)&gt;0,$L691=""),"Awaiting Collection Email time stamp.",""),IF(OR($T691="PAID",$T691="CLOSED"),IF($T691="PAID","Account paid. Action completed.","Account closed. No further action required."),CHOOSE($W691,"Collection Email","1st Email Follow-up","2nd Email Follow-up","Escalation to Local Office","Escalation to CBE","Escalation to Roxanne")&amp;" sent "&amp;TEXT($X691,"dd-mmm")&amp;". "&amp;IF($W691=6,"Final escalation completed.",IF($T691="OVERDUE","Next: "&amp;$Z691&amp;" was due "&amp;TEXT($Y691,"dd-mmm")&amp;" - "&amp;(NETWORKDAYS($Y691,TODAY(),Holidays)-1)&amp;" business day(s) late. Send now.",IF($T691="DUE TOMORROW","Next: "&amp;$Z691&amp;IF($Y691&lt;=TODAY()," is due TODAY ("," is due next business day (")&amp;TEXT($Y691,"dd-mmm")&amp;").","Next: "&amp;$Z691&amp;" due "&amp;TEXT($Y691,"dd-mmm")&amp;" ("&amp;(NETWORKDAYS(TODAY(),$Y691,Holidays)-1)&amp;" business day(s) left).")))))</f>
        <v/>
      </c>
      <c r="V691" s="17">
        <f>IF($W691="","",CHOOSE($W691,"Collection Email","1st Follow-up","2nd Follow-up","Local Office","CBE","Roxanne")&amp;IF($W691=6," - Final"," - Day "&amp;MAX(0,NETWORKDAYS($X691,TODAY(),Holidays)-1)&amp;" of "&amp;CHOOSE($W691,3,3,2,2,3))&amp;" | Total Day "&amp;MAX(0,NETWORKDAYS($L691,TODAY(),Holidays)-1))</f>
        <v/>
      </c>
      <c r="W691" s="17">
        <f>IF($L691="","",COUNT($L691:$Q691))</f>
        <v/>
      </c>
      <c r="X691" s="18">
        <f>IF($W691="","",INT(INDEX($L691:$Q691,$W691)))</f>
        <v/>
      </c>
      <c r="Y691" s="18">
        <f>IF(OR($W691="",$W691=6),"",WORKDAY($X691,CHOOSE($W691,3,3,2,2,3),Holidays))</f>
        <v/>
      </c>
      <c r="Z691" s="17">
        <f>IF(OR($W691="",$W691=6),"",CHOOSE($W691,"1st Email Follow-up","2nd Email Follow-up","Escalate Local Office","Escalate to CBE","Escalate to Roxanne"))</f>
        <v/>
      </c>
    </row>
    <row r="692" spans="18:26">
      <c r="R692" s="15"/>
      <c r="S692" s="16"/>
      <c r="T692" s="17">
        <f>IF(AND(COUNTA($A692:$K692)=0,$L692=""),"",IF($S692="Paid","PAID",IF($S692="Closed","CLOSED",IF($W692="","",IF($W692=6,"ESCALATED TO ROXANNE",IF(TODAY()&gt;$Y692,"OVERDUE",IF($Y692&lt;=WORKDAY(TODAY(),1,Holidays),"DUE TOMORROW",IF($W692=4,"ESCALATED TO LOCAL OFFICE",IF($W692=5,"ESCALATED TO CBE",IF($X692=TODAY(),"EMAIL SENT","MONITORING"))))))))))</f>
        <v/>
      </c>
      <c r="U692" s="17">
        <f>IF($T692="",IF(AND(COUNTA($A692:$K692)&gt;0,$L692=""),"Awaiting Collection Email time stamp.",""),IF(OR($T692="PAID",$T692="CLOSED"),IF($T692="PAID","Account paid. Action completed.","Account closed. No further action required."),CHOOSE($W692,"Collection Email","1st Email Follow-up","2nd Email Follow-up","Escalation to Local Office","Escalation to CBE","Escalation to Roxanne")&amp;" sent "&amp;TEXT($X692,"dd-mmm")&amp;". "&amp;IF($W692=6,"Final escalation completed.",IF($T692="OVERDUE","Next: "&amp;$Z692&amp;" was due "&amp;TEXT($Y692,"dd-mmm")&amp;" - "&amp;(NETWORKDAYS($Y692,TODAY(),Holidays)-1)&amp;" business day(s) late. Send now.",IF($T692="DUE TOMORROW","Next: "&amp;$Z692&amp;IF($Y692&lt;=TODAY()," is due TODAY ("," is due next business day (")&amp;TEXT($Y692,"dd-mmm")&amp;").","Next: "&amp;$Z692&amp;" due "&amp;TEXT($Y692,"dd-mmm")&amp;" ("&amp;(NETWORKDAYS(TODAY(),$Y692,Holidays)-1)&amp;" business day(s) left).")))))</f>
        <v/>
      </c>
      <c r="V692" s="17">
        <f>IF($W692="","",CHOOSE($W692,"Collection Email","1st Follow-up","2nd Follow-up","Local Office","CBE","Roxanne")&amp;IF($W692=6," - Final"," - Day "&amp;MAX(0,NETWORKDAYS($X692,TODAY(),Holidays)-1)&amp;" of "&amp;CHOOSE($W692,3,3,2,2,3))&amp;" | Total Day "&amp;MAX(0,NETWORKDAYS($L692,TODAY(),Holidays)-1))</f>
        <v/>
      </c>
      <c r="W692" s="17">
        <f>IF($L692="","",COUNT($L692:$Q692))</f>
        <v/>
      </c>
      <c r="X692" s="18">
        <f>IF($W692="","",INT(INDEX($L692:$Q692,$W692)))</f>
        <v/>
      </c>
      <c r="Y692" s="18">
        <f>IF(OR($W692="",$W692=6),"",WORKDAY($X692,CHOOSE($W692,3,3,2,2,3),Holidays))</f>
        <v/>
      </c>
      <c r="Z692" s="17">
        <f>IF(OR($W692="",$W692=6),"",CHOOSE($W692,"1st Email Follow-up","2nd Email Follow-up","Escalate Local Office","Escalate to CBE","Escalate to Roxanne"))</f>
        <v/>
      </c>
    </row>
    <row r="693" spans="18:26">
      <c r="R693" s="15"/>
      <c r="S693" s="16"/>
      <c r="T693" s="17">
        <f>IF(AND(COUNTA($A693:$K693)=0,$L693=""),"",IF($S693="Paid","PAID",IF($S693="Closed","CLOSED",IF($W693="","",IF($W693=6,"ESCALATED TO ROXANNE",IF(TODAY()&gt;$Y693,"OVERDUE",IF($Y693&lt;=WORKDAY(TODAY(),1,Holidays),"DUE TOMORROW",IF($W693=4,"ESCALATED TO LOCAL OFFICE",IF($W693=5,"ESCALATED TO CBE",IF($X693=TODAY(),"EMAIL SENT","MONITORING"))))))))))</f>
        <v/>
      </c>
      <c r="U693" s="17">
        <f>IF($T693="",IF(AND(COUNTA($A693:$K693)&gt;0,$L693=""),"Awaiting Collection Email time stamp.",""),IF(OR($T693="PAID",$T693="CLOSED"),IF($T693="PAID","Account paid. Action completed.","Account closed. No further action required."),CHOOSE($W693,"Collection Email","1st Email Follow-up","2nd Email Follow-up","Escalation to Local Office","Escalation to CBE","Escalation to Roxanne")&amp;" sent "&amp;TEXT($X693,"dd-mmm")&amp;". "&amp;IF($W693=6,"Final escalation completed.",IF($T693="OVERDUE","Next: "&amp;$Z693&amp;" was due "&amp;TEXT($Y693,"dd-mmm")&amp;" - "&amp;(NETWORKDAYS($Y693,TODAY(),Holidays)-1)&amp;" business day(s) late. Send now.",IF($T693="DUE TOMORROW","Next: "&amp;$Z693&amp;IF($Y693&lt;=TODAY()," is due TODAY ("," is due next business day (")&amp;TEXT($Y693,"dd-mmm")&amp;").","Next: "&amp;$Z693&amp;" due "&amp;TEXT($Y693,"dd-mmm")&amp;" ("&amp;(NETWORKDAYS(TODAY(),$Y693,Holidays)-1)&amp;" business day(s) left).")))))</f>
        <v/>
      </c>
      <c r="V693" s="17">
        <f>IF($W693="","",CHOOSE($W693,"Collection Email","1st Follow-up","2nd Follow-up","Local Office","CBE","Roxanne")&amp;IF($W693=6," - Final"," - Day "&amp;MAX(0,NETWORKDAYS($X693,TODAY(),Holidays)-1)&amp;" of "&amp;CHOOSE($W693,3,3,2,2,3))&amp;" | Total Day "&amp;MAX(0,NETWORKDAYS($L693,TODAY(),Holidays)-1))</f>
        <v/>
      </c>
      <c r="W693" s="17">
        <f>IF($L693="","",COUNT($L693:$Q693))</f>
        <v/>
      </c>
      <c r="X693" s="18">
        <f>IF($W693="","",INT(INDEX($L693:$Q693,$W693)))</f>
        <v/>
      </c>
      <c r="Y693" s="18">
        <f>IF(OR($W693="",$W693=6),"",WORKDAY($X693,CHOOSE($W693,3,3,2,2,3),Holidays))</f>
        <v/>
      </c>
      <c r="Z693" s="17">
        <f>IF(OR($W693="",$W693=6),"",CHOOSE($W693,"1st Email Follow-up","2nd Email Follow-up","Escalate Local Office","Escalate to CBE","Escalate to Roxanne"))</f>
        <v/>
      </c>
    </row>
    <row r="694" spans="18:26">
      <c r="R694" s="15"/>
      <c r="S694" s="16"/>
      <c r="T694" s="17">
        <f>IF(AND(COUNTA($A694:$K694)=0,$L694=""),"",IF($S694="Paid","PAID",IF($S694="Closed","CLOSED",IF($W694="","",IF($W694=6,"ESCALATED TO ROXANNE",IF(TODAY()&gt;$Y694,"OVERDUE",IF($Y694&lt;=WORKDAY(TODAY(),1,Holidays),"DUE TOMORROW",IF($W694=4,"ESCALATED TO LOCAL OFFICE",IF($W694=5,"ESCALATED TO CBE",IF($X694=TODAY(),"EMAIL SENT","MONITORING"))))))))))</f>
        <v/>
      </c>
      <c r="U694" s="17">
        <f>IF($T694="",IF(AND(COUNTA($A694:$K694)&gt;0,$L694=""),"Awaiting Collection Email time stamp.",""),IF(OR($T694="PAID",$T694="CLOSED"),IF($T694="PAID","Account paid. Action completed.","Account closed. No further action required."),CHOOSE($W694,"Collection Email","1st Email Follow-up","2nd Email Follow-up","Escalation to Local Office","Escalation to CBE","Escalation to Roxanne")&amp;" sent "&amp;TEXT($X694,"dd-mmm")&amp;". "&amp;IF($W694=6,"Final escalation completed.",IF($T694="OVERDUE","Next: "&amp;$Z694&amp;" was due "&amp;TEXT($Y694,"dd-mmm")&amp;" - "&amp;(NETWORKDAYS($Y694,TODAY(),Holidays)-1)&amp;" business day(s) late. Send now.",IF($T694="DUE TOMORROW","Next: "&amp;$Z694&amp;IF($Y694&lt;=TODAY()," is due TODAY ("," is due next business day (")&amp;TEXT($Y694,"dd-mmm")&amp;").","Next: "&amp;$Z694&amp;" due "&amp;TEXT($Y694,"dd-mmm")&amp;" ("&amp;(NETWORKDAYS(TODAY(),$Y694,Holidays)-1)&amp;" business day(s) left).")))))</f>
        <v/>
      </c>
      <c r="V694" s="17">
        <f>IF($W694="","",CHOOSE($W694,"Collection Email","1st Follow-up","2nd Follow-up","Local Office","CBE","Roxanne")&amp;IF($W694=6," - Final"," - Day "&amp;MAX(0,NETWORKDAYS($X694,TODAY(),Holidays)-1)&amp;" of "&amp;CHOOSE($W694,3,3,2,2,3))&amp;" | Total Day "&amp;MAX(0,NETWORKDAYS($L694,TODAY(),Holidays)-1))</f>
        <v/>
      </c>
      <c r="W694" s="17">
        <f>IF($L694="","",COUNT($L694:$Q694))</f>
        <v/>
      </c>
      <c r="X694" s="18">
        <f>IF($W694="","",INT(INDEX($L694:$Q694,$W694)))</f>
        <v/>
      </c>
      <c r="Y694" s="18">
        <f>IF(OR($W694="",$W694=6),"",WORKDAY($X694,CHOOSE($W694,3,3,2,2,3),Holidays))</f>
        <v/>
      </c>
      <c r="Z694" s="17">
        <f>IF(OR($W694="",$W694=6),"",CHOOSE($W694,"1st Email Follow-up","2nd Email Follow-up","Escalate Local Office","Escalate to CBE","Escalate to Roxanne"))</f>
        <v/>
      </c>
    </row>
    <row r="695" spans="18:26">
      <c r="R695" s="15"/>
      <c r="S695" s="16"/>
      <c r="T695" s="17">
        <f>IF(AND(COUNTA($A695:$K695)=0,$L695=""),"",IF($S695="Paid","PAID",IF($S695="Closed","CLOSED",IF($W695="","",IF($W695=6,"ESCALATED TO ROXANNE",IF(TODAY()&gt;$Y695,"OVERDUE",IF($Y695&lt;=WORKDAY(TODAY(),1,Holidays),"DUE TOMORROW",IF($W695=4,"ESCALATED TO LOCAL OFFICE",IF($W695=5,"ESCALATED TO CBE",IF($X695=TODAY(),"EMAIL SENT","MONITORING"))))))))))</f>
        <v/>
      </c>
      <c r="U695" s="17">
        <f>IF($T695="",IF(AND(COUNTA($A695:$K695)&gt;0,$L695=""),"Awaiting Collection Email time stamp.",""),IF(OR($T695="PAID",$T695="CLOSED"),IF($T695="PAID","Account paid. Action completed.","Account closed. No further action required."),CHOOSE($W695,"Collection Email","1st Email Follow-up","2nd Email Follow-up","Escalation to Local Office","Escalation to CBE","Escalation to Roxanne")&amp;" sent "&amp;TEXT($X695,"dd-mmm")&amp;". "&amp;IF($W695=6,"Final escalation completed.",IF($T695="OVERDUE","Next: "&amp;$Z695&amp;" was due "&amp;TEXT($Y695,"dd-mmm")&amp;" - "&amp;(NETWORKDAYS($Y695,TODAY(),Holidays)-1)&amp;" business day(s) late. Send now.",IF($T695="DUE TOMORROW","Next: "&amp;$Z695&amp;IF($Y695&lt;=TODAY()," is due TODAY ("," is due next business day (")&amp;TEXT($Y695,"dd-mmm")&amp;").","Next: "&amp;$Z695&amp;" due "&amp;TEXT($Y695,"dd-mmm")&amp;" ("&amp;(NETWORKDAYS(TODAY(),$Y695,Holidays)-1)&amp;" business day(s) left).")))))</f>
        <v/>
      </c>
      <c r="V695" s="17">
        <f>IF($W695="","",CHOOSE($W695,"Collection Email","1st Follow-up","2nd Follow-up","Local Office","CBE","Roxanne")&amp;IF($W695=6," - Final"," - Day "&amp;MAX(0,NETWORKDAYS($X695,TODAY(),Holidays)-1)&amp;" of "&amp;CHOOSE($W695,3,3,2,2,3))&amp;" | Total Day "&amp;MAX(0,NETWORKDAYS($L695,TODAY(),Holidays)-1))</f>
        <v/>
      </c>
      <c r="W695" s="17">
        <f>IF($L695="","",COUNT($L695:$Q695))</f>
        <v/>
      </c>
      <c r="X695" s="18">
        <f>IF($W695="","",INT(INDEX($L695:$Q695,$W695)))</f>
        <v/>
      </c>
      <c r="Y695" s="18">
        <f>IF(OR($W695="",$W695=6),"",WORKDAY($X695,CHOOSE($W695,3,3,2,2,3),Holidays))</f>
        <v/>
      </c>
      <c r="Z695" s="17">
        <f>IF(OR($W695="",$W695=6),"",CHOOSE($W695,"1st Email Follow-up","2nd Email Follow-up","Escalate Local Office","Escalate to CBE","Escalate to Roxanne"))</f>
        <v/>
      </c>
    </row>
    <row r="696" spans="18:26">
      <c r="R696" s="15"/>
      <c r="S696" s="16"/>
      <c r="T696" s="17">
        <f>IF(AND(COUNTA($A696:$K696)=0,$L696=""),"",IF($S696="Paid","PAID",IF($S696="Closed","CLOSED",IF($W696="","",IF($W696=6,"ESCALATED TO ROXANNE",IF(TODAY()&gt;$Y696,"OVERDUE",IF($Y696&lt;=WORKDAY(TODAY(),1,Holidays),"DUE TOMORROW",IF($W696=4,"ESCALATED TO LOCAL OFFICE",IF($W696=5,"ESCALATED TO CBE",IF($X696=TODAY(),"EMAIL SENT","MONITORING"))))))))))</f>
        <v/>
      </c>
      <c r="U696" s="17">
        <f>IF($T696="",IF(AND(COUNTA($A696:$K696)&gt;0,$L696=""),"Awaiting Collection Email time stamp.",""),IF(OR($T696="PAID",$T696="CLOSED"),IF($T696="PAID","Account paid. Action completed.","Account closed. No further action required."),CHOOSE($W696,"Collection Email","1st Email Follow-up","2nd Email Follow-up","Escalation to Local Office","Escalation to CBE","Escalation to Roxanne")&amp;" sent "&amp;TEXT($X696,"dd-mmm")&amp;". "&amp;IF($W696=6,"Final escalation completed.",IF($T696="OVERDUE","Next: "&amp;$Z696&amp;" was due "&amp;TEXT($Y696,"dd-mmm")&amp;" - "&amp;(NETWORKDAYS($Y696,TODAY(),Holidays)-1)&amp;" business day(s) late. Send now.",IF($T696="DUE TOMORROW","Next: "&amp;$Z696&amp;IF($Y696&lt;=TODAY()," is due TODAY ("," is due next business day (")&amp;TEXT($Y696,"dd-mmm")&amp;").","Next: "&amp;$Z696&amp;" due "&amp;TEXT($Y696,"dd-mmm")&amp;" ("&amp;(NETWORKDAYS(TODAY(),$Y696,Holidays)-1)&amp;" business day(s) left).")))))</f>
        <v/>
      </c>
      <c r="V696" s="17">
        <f>IF($W696="","",CHOOSE($W696,"Collection Email","1st Follow-up","2nd Follow-up","Local Office","CBE","Roxanne")&amp;IF($W696=6," - Final"," - Day "&amp;MAX(0,NETWORKDAYS($X696,TODAY(),Holidays)-1)&amp;" of "&amp;CHOOSE($W696,3,3,2,2,3))&amp;" | Total Day "&amp;MAX(0,NETWORKDAYS($L696,TODAY(),Holidays)-1))</f>
        <v/>
      </c>
      <c r="W696" s="17">
        <f>IF($L696="","",COUNT($L696:$Q696))</f>
        <v/>
      </c>
      <c r="X696" s="18">
        <f>IF($W696="","",INT(INDEX($L696:$Q696,$W696)))</f>
        <v/>
      </c>
      <c r="Y696" s="18">
        <f>IF(OR($W696="",$W696=6),"",WORKDAY($X696,CHOOSE($W696,3,3,2,2,3),Holidays))</f>
        <v/>
      </c>
      <c r="Z696" s="17">
        <f>IF(OR($W696="",$W696=6),"",CHOOSE($W696,"1st Email Follow-up","2nd Email Follow-up","Escalate Local Office","Escalate to CBE","Escalate to Roxanne"))</f>
        <v/>
      </c>
    </row>
    <row r="697" spans="18:26">
      <c r="R697" s="15"/>
      <c r="S697" s="16"/>
      <c r="T697" s="17">
        <f>IF(AND(COUNTA($A697:$K697)=0,$L697=""),"",IF($S697="Paid","PAID",IF($S697="Closed","CLOSED",IF($W697="","",IF($W697=6,"ESCALATED TO ROXANNE",IF(TODAY()&gt;$Y697,"OVERDUE",IF($Y697&lt;=WORKDAY(TODAY(),1,Holidays),"DUE TOMORROW",IF($W697=4,"ESCALATED TO LOCAL OFFICE",IF($W697=5,"ESCALATED TO CBE",IF($X697=TODAY(),"EMAIL SENT","MONITORING"))))))))))</f>
        <v/>
      </c>
      <c r="U697" s="17">
        <f>IF($T697="",IF(AND(COUNTA($A697:$K697)&gt;0,$L697=""),"Awaiting Collection Email time stamp.",""),IF(OR($T697="PAID",$T697="CLOSED"),IF($T697="PAID","Account paid. Action completed.","Account closed. No further action required."),CHOOSE($W697,"Collection Email","1st Email Follow-up","2nd Email Follow-up","Escalation to Local Office","Escalation to CBE","Escalation to Roxanne")&amp;" sent "&amp;TEXT($X697,"dd-mmm")&amp;". "&amp;IF($W697=6,"Final escalation completed.",IF($T697="OVERDUE","Next: "&amp;$Z697&amp;" was due "&amp;TEXT($Y697,"dd-mmm")&amp;" - "&amp;(NETWORKDAYS($Y697,TODAY(),Holidays)-1)&amp;" business day(s) late. Send now.",IF($T697="DUE TOMORROW","Next: "&amp;$Z697&amp;IF($Y697&lt;=TODAY()," is due TODAY ("," is due next business day (")&amp;TEXT($Y697,"dd-mmm")&amp;").","Next: "&amp;$Z697&amp;" due "&amp;TEXT($Y697,"dd-mmm")&amp;" ("&amp;(NETWORKDAYS(TODAY(),$Y697,Holidays)-1)&amp;" business day(s) left).")))))</f>
        <v/>
      </c>
      <c r="V697" s="17">
        <f>IF($W697="","",CHOOSE($W697,"Collection Email","1st Follow-up","2nd Follow-up","Local Office","CBE","Roxanne")&amp;IF($W697=6," - Final"," - Day "&amp;MAX(0,NETWORKDAYS($X697,TODAY(),Holidays)-1)&amp;" of "&amp;CHOOSE($W697,3,3,2,2,3))&amp;" | Total Day "&amp;MAX(0,NETWORKDAYS($L697,TODAY(),Holidays)-1))</f>
        <v/>
      </c>
      <c r="W697" s="17">
        <f>IF($L697="","",COUNT($L697:$Q697))</f>
        <v/>
      </c>
      <c r="X697" s="18">
        <f>IF($W697="","",INT(INDEX($L697:$Q697,$W697)))</f>
        <v/>
      </c>
      <c r="Y697" s="18">
        <f>IF(OR($W697="",$W697=6),"",WORKDAY($X697,CHOOSE($W697,3,3,2,2,3),Holidays))</f>
        <v/>
      </c>
      <c r="Z697" s="17">
        <f>IF(OR($W697="",$W697=6),"",CHOOSE($W697,"1st Email Follow-up","2nd Email Follow-up","Escalate Local Office","Escalate to CBE","Escalate to Roxanne"))</f>
        <v/>
      </c>
    </row>
    <row r="698" spans="18:26">
      <c r="R698" s="15"/>
      <c r="S698" s="16"/>
      <c r="T698" s="17">
        <f>IF(AND(COUNTA($A698:$K698)=0,$L698=""),"",IF($S698="Paid","PAID",IF($S698="Closed","CLOSED",IF($W698="","",IF($W698=6,"ESCALATED TO ROXANNE",IF(TODAY()&gt;$Y698,"OVERDUE",IF($Y698&lt;=WORKDAY(TODAY(),1,Holidays),"DUE TOMORROW",IF($W698=4,"ESCALATED TO LOCAL OFFICE",IF($W698=5,"ESCALATED TO CBE",IF($X698=TODAY(),"EMAIL SENT","MONITORING"))))))))))</f>
        <v/>
      </c>
      <c r="U698" s="17">
        <f>IF($T698="",IF(AND(COUNTA($A698:$K698)&gt;0,$L698=""),"Awaiting Collection Email time stamp.",""),IF(OR($T698="PAID",$T698="CLOSED"),IF($T698="PAID","Account paid. Action completed.","Account closed. No further action required."),CHOOSE($W698,"Collection Email","1st Email Follow-up","2nd Email Follow-up","Escalation to Local Office","Escalation to CBE","Escalation to Roxanne")&amp;" sent "&amp;TEXT($X698,"dd-mmm")&amp;". "&amp;IF($W698=6,"Final escalation completed.",IF($T698="OVERDUE","Next: "&amp;$Z698&amp;" was due "&amp;TEXT($Y698,"dd-mmm")&amp;" - "&amp;(NETWORKDAYS($Y698,TODAY(),Holidays)-1)&amp;" business day(s) late. Send now.",IF($T698="DUE TOMORROW","Next: "&amp;$Z698&amp;IF($Y698&lt;=TODAY()," is due TODAY ("," is due next business day (")&amp;TEXT($Y698,"dd-mmm")&amp;").","Next: "&amp;$Z698&amp;" due "&amp;TEXT($Y698,"dd-mmm")&amp;" ("&amp;(NETWORKDAYS(TODAY(),$Y698,Holidays)-1)&amp;" business day(s) left).")))))</f>
        <v/>
      </c>
      <c r="V698" s="17">
        <f>IF($W698="","",CHOOSE($W698,"Collection Email","1st Follow-up","2nd Follow-up","Local Office","CBE","Roxanne")&amp;IF($W698=6," - Final"," - Day "&amp;MAX(0,NETWORKDAYS($X698,TODAY(),Holidays)-1)&amp;" of "&amp;CHOOSE($W698,3,3,2,2,3))&amp;" | Total Day "&amp;MAX(0,NETWORKDAYS($L698,TODAY(),Holidays)-1))</f>
        <v/>
      </c>
      <c r="W698" s="17">
        <f>IF($L698="","",COUNT($L698:$Q698))</f>
        <v/>
      </c>
      <c r="X698" s="18">
        <f>IF($W698="","",INT(INDEX($L698:$Q698,$W698)))</f>
        <v/>
      </c>
      <c r="Y698" s="18">
        <f>IF(OR($W698="",$W698=6),"",WORKDAY($X698,CHOOSE($W698,3,3,2,2,3),Holidays))</f>
        <v/>
      </c>
      <c r="Z698" s="17">
        <f>IF(OR($W698="",$W698=6),"",CHOOSE($W698,"1st Email Follow-up","2nd Email Follow-up","Escalate Local Office","Escalate to CBE","Escalate to Roxanne"))</f>
        <v/>
      </c>
    </row>
    <row r="699" spans="18:26">
      <c r="R699" s="15"/>
      <c r="S699" s="16"/>
      <c r="T699" s="17">
        <f>IF(AND(COUNTA($A699:$K699)=0,$L699=""),"",IF($S699="Paid","PAID",IF($S699="Closed","CLOSED",IF($W699="","",IF($W699=6,"ESCALATED TO ROXANNE",IF(TODAY()&gt;$Y699,"OVERDUE",IF($Y699&lt;=WORKDAY(TODAY(),1,Holidays),"DUE TOMORROW",IF($W699=4,"ESCALATED TO LOCAL OFFICE",IF($W699=5,"ESCALATED TO CBE",IF($X699=TODAY(),"EMAIL SENT","MONITORING"))))))))))</f>
        <v/>
      </c>
      <c r="U699" s="17">
        <f>IF($T699="",IF(AND(COUNTA($A699:$K699)&gt;0,$L699=""),"Awaiting Collection Email time stamp.",""),IF(OR($T699="PAID",$T699="CLOSED"),IF($T699="PAID","Account paid. Action completed.","Account closed. No further action required."),CHOOSE($W699,"Collection Email","1st Email Follow-up","2nd Email Follow-up","Escalation to Local Office","Escalation to CBE","Escalation to Roxanne")&amp;" sent "&amp;TEXT($X699,"dd-mmm")&amp;". "&amp;IF($W699=6,"Final escalation completed.",IF($T699="OVERDUE","Next: "&amp;$Z699&amp;" was due "&amp;TEXT($Y699,"dd-mmm")&amp;" - "&amp;(NETWORKDAYS($Y699,TODAY(),Holidays)-1)&amp;" business day(s) late. Send now.",IF($T699="DUE TOMORROW","Next: "&amp;$Z699&amp;IF($Y699&lt;=TODAY()," is due TODAY ("," is due next business day (")&amp;TEXT($Y699,"dd-mmm")&amp;").","Next: "&amp;$Z699&amp;" due "&amp;TEXT($Y699,"dd-mmm")&amp;" ("&amp;(NETWORKDAYS(TODAY(),$Y699,Holidays)-1)&amp;" business day(s) left).")))))</f>
        <v/>
      </c>
      <c r="V699" s="17">
        <f>IF($W699="","",CHOOSE($W699,"Collection Email","1st Follow-up","2nd Follow-up","Local Office","CBE","Roxanne")&amp;IF($W699=6," - Final"," - Day "&amp;MAX(0,NETWORKDAYS($X699,TODAY(),Holidays)-1)&amp;" of "&amp;CHOOSE($W699,3,3,2,2,3))&amp;" | Total Day "&amp;MAX(0,NETWORKDAYS($L699,TODAY(),Holidays)-1))</f>
        <v/>
      </c>
      <c r="W699" s="17">
        <f>IF($L699="","",COUNT($L699:$Q699))</f>
        <v/>
      </c>
      <c r="X699" s="18">
        <f>IF($W699="","",INT(INDEX($L699:$Q699,$W699)))</f>
        <v/>
      </c>
      <c r="Y699" s="18">
        <f>IF(OR($W699="",$W699=6),"",WORKDAY($X699,CHOOSE($W699,3,3,2,2,3),Holidays))</f>
        <v/>
      </c>
      <c r="Z699" s="17">
        <f>IF(OR($W699="",$W699=6),"",CHOOSE($W699,"1st Email Follow-up","2nd Email Follow-up","Escalate Local Office","Escalate to CBE","Escalate to Roxanne"))</f>
        <v/>
      </c>
    </row>
    <row r="700" spans="18:26">
      <c r="R700" s="15"/>
      <c r="S700" s="16"/>
      <c r="T700" s="17">
        <f>IF(AND(COUNTA($A700:$K700)=0,$L700=""),"",IF($S700="Paid","PAID",IF($S700="Closed","CLOSED",IF($W700="","",IF($W700=6,"ESCALATED TO ROXANNE",IF(TODAY()&gt;$Y700,"OVERDUE",IF($Y700&lt;=WORKDAY(TODAY(),1,Holidays),"DUE TOMORROW",IF($W700=4,"ESCALATED TO LOCAL OFFICE",IF($W700=5,"ESCALATED TO CBE",IF($X700=TODAY(),"EMAIL SENT","MONITORING"))))))))))</f>
        <v/>
      </c>
      <c r="U700" s="17">
        <f>IF($T700="",IF(AND(COUNTA($A700:$K700)&gt;0,$L700=""),"Awaiting Collection Email time stamp.",""),IF(OR($T700="PAID",$T700="CLOSED"),IF($T700="PAID","Account paid. Action completed.","Account closed. No further action required."),CHOOSE($W700,"Collection Email","1st Email Follow-up","2nd Email Follow-up","Escalation to Local Office","Escalation to CBE","Escalation to Roxanne")&amp;" sent "&amp;TEXT($X700,"dd-mmm")&amp;". "&amp;IF($W700=6,"Final escalation completed.",IF($T700="OVERDUE","Next: "&amp;$Z700&amp;" was due "&amp;TEXT($Y700,"dd-mmm")&amp;" - "&amp;(NETWORKDAYS($Y700,TODAY(),Holidays)-1)&amp;" business day(s) late. Send now.",IF($T700="DUE TOMORROW","Next: "&amp;$Z700&amp;IF($Y700&lt;=TODAY()," is due TODAY ("," is due next business day (")&amp;TEXT($Y700,"dd-mmm")&amp;").","Next: "&amp;$Z700&amp;" due "&amp;TEXT($Y700,"dd-mmm")&amp;" ("&amp;(NETWORKDAYS(TODAY(),$Y700,Holidays)-1)&amp;" business day(s) left).")))))</f>
        <v/>
      </c>
      <c r="V700" s="17">
        <f>IF($W700="","",CHOOSE($W700,"Collection Email","1st Follow-up","2nd Follow-up","Local Office","CBE","Roxanne")&amp;IF($W700=6," - Final"," - Day "&amp;MAX(0,NETWORKDAYS($X700,TODAY(),Holidays)-1)&amp;" of "&amp;CHOOSE($W700,3,3,2,2,3))&amp;" | Total Day "&amp;MAX(0,NETWORKDAYS($L700,TODAY(),Holidays)-1))</f>
        <v/>
      </c>
      <c r="W700" s="17">
        <f>IF($L700="","",COUNT($L700:$Q700))</f>
        <v/>
      </c>
      <c r="X700" s="18">
        <f>IF($W700="","",INT(INDEX($L700:$Q700,$W700)))</f>
        <v/>
      </c>
      <c r="Y700" s="18">
        <f>IF(OR($W700="",$W700=6),"",WORKDAY($X700,CHOOSE($W700,3,3,2,2,3),Holidays))</f>
        <v/>
      </c>
      <c r="Z700" s="17">
        <f>IF(OR($W700="",$W700=6),"",CHOOSE($W700,"1st Email Follow-up","2nd Email Follow-up","Escalate Local Office","Escalate to CBE","Escalate to Roxanne"))</f>
        <v/>
      </c>
    </row>
    <row r="701" spans="18:26">
      <c r="R701" s="15"/>
      <c r="S701" s="16"/>
      <c r="T701" s="17">
        <f>IF(AND(COUNTA($A701:$K701)=0,$L701=""),"",IF($S701="Paid","PAID",IF($S701="Closed","CLOSED",IF($W701="","",IF($W701=6,"ESCALATED TO ROXANNE",IF(TODAY()&gt;$Y701,"OVERDUE",IF($Y701&lt;=WORKDAY(TODAY(),1,Holidays),"DUE TOMORROW",IF($W701=4,"ESCALATED TO LOCAL OFFICE",IF($W701=5,"ESCALATED TO CBE",IF($X701=TODAY(),"EMAIL SENT","MONITORING"))))))))))</f>
        <v/>
      </c>
      <c r="U701" s="17">
        <f>IF($T701="",IF(AND(COUNTA($A701:$K701)&gt;0,$L701=""),"Awaiting Collection Email time stamp.",""),IF(OR($T701="PAID",$T701="CLOSED"),IF($T701="PAID","Account paid. Action completed.","Account closed. No further action required."),CHOOSE($W701,"Collection Email","1st Email Follow-up","2nd Email Follow-up","Escalation to Local Office","Escalation to CBE","Escalation to Roxanne")&amp;" sent "&amp;TEXT($X701,"dd-mmm")&amp;". "&amp;IF($W701=6,"Final escalation completed.",IF($T701="OVERDUE","Next: "&amp;$Z701&amp;" was due "&amp;TEXT($Y701,"dd-mmm")&amp;" - "&amp;(NETWORKDAYS($Y701,TODAY(),Holidays)-1)&amp;" business day(s) late. Send now.",IF($T701="DUE TOMORROW","Next: "&amp;$Z701&amp;IF($Y701&lt;=TODAY()," is due TODAY ("," is due next business day (")&amp;TEXT($Y701,"dd-mmm")&amp;").","Next: "&amp;$Z701&amp;" due "&amp;TEXT($Y701,"dd-mmm")&amp;" ("&amp;(NETWORKDAYS(TODAY(),$Y701,Holidays)-1)&amp;" business day(s) left).")))))</f>
        <v/>
      </c>
      <c r="V701" s="17">
        <f>IF($W701="","",CHOOSE($W701,"Collection Email","1st Follow-up","2nd Follow-up","Local Office","CBE","Roxanne")&amp;IF($W701=6," - Final"," - Day "&amp;MAX(0,NETWORKDAYS($X701,TODAY(),Holidays)-1)&amp;" of "&amp;CHOOSE($W701,3,3,2,2,3))&amp;" | Total Day "&amp;MAX(0,NETWORKDAYS($L701,TODAY(),Holidays)-1))</f>
        <v/>
      </c>
      <c r="W701" s="17">
        <f>IF($L701="","",COUNT($L701:$Q701))</f>
        <v/>
      </c>
      <c r="X701" s="18">
        <f>IF($W701="","",INT(INDEX($L701:$Q701,$W701)))</f>
        <v/>
      </c>
      <c r="Y701" s="18">
        <f>IF(OR($W701="",$W701=6),"",WORKDAY($X701,CHOOSE($W701,3,3,2,2,3),Holidays))</f>
        <v/>
      </c>
      <c r="Z701" s="17">
        <f>IF(OR($W701="",$W701=6),"",CHOOSE($W701,"1st Email Follow-up","2nd Email Follow-up","Escalate Local Office","Escalate to CBE","Escalate to Roxanne"))</f>
        <v/>
      </c>
    </row>
    <row r="702" spans="18:26">
      <c r="R702" s="15"/>
      <c r="S702" s="16"/>
      <c r="T702" s="17">
        <f>IF(AND(COUNTA($A702:$K702)=0,$L702=""),"",IF($S702="Paid","PAID",IF($S702="Closed","CLOSED",IF($W702="","",IF($W702=6,"ESCALATED TO ROXANNE",IF(TODAY()&gt;$Y702,"OVERDUE",IF($Y702&lt;=WORKDAY(TODAY(),1,Holidays),"DUE TOMORROW",IF($W702=4,"ESCALATED TO LOCAL OFFICE",IF($W702=5,"ESCALATED TO CBE",IF($X702=TODAY(),"EMAIL SENT","MONITORING"))))))))))</f>
        <v/>
      </c>
      <c r="U702" s="17">
        <f>IF($T702="",IF(AND(COUNTA($A702:$K702)&gt;0,$L702=""),"Awaiting Collection Email time stamp.",""),IF(OR($T702="PAID",$T702="CLOSED"),IF($T702="PAID","Account paid. Action completed.","Account closed. No further action required."),CHOOSE($W702,"Collection Email","1st Email Follow-up","2nd Email Follow-up","Escalation to Local Office","Escalation to CBE","Escalation to Roxanne")&amp;" sent "&amp;TEXT($X702,"dd-mmm")&amp;". "&amp;IF($W702=6,"Final escalation completed.",IF($T702="OVERDUE","Next: "&amp;$Z702&amp;" was due "&amp;TEXT($Y702,"dd-mmm")&amp;" - "&amp;(NETWORKDAYS($Y702,TODAY(),Holidays)-1)&amp;" business day(s) late. Send now.",IF($T702="DUE TOMORROW","Next: "&amp;$Z702&amp;IF($Y702&lt;=TODAY()," is due TODAY ("," is due next business day (")&amp;TEXT($Y702,"dd-mmm")&amp;").","Next: "&amp;$Z702&amp;" due "&amp;TEXT($Y702,"dd-mmm")&amp;" ("&amp;(NETWORKDAYS(TODAY(),$Y702,Holidays)-1)&amp;" business day(s) left).")))))</f>
        <v/>
      </c>
      <c r="V702" s="17">
        <f>IF($W702="","",CHOOSE($W702,"Collection Email","1st Follow-up","2nd Follow-up","Local Office","CBE","Roxanne")&amp;IF($W702=6," - Final"," - Day "&amp;MAX(0,NETWORKDAYS($X702,TODAY(),Holidays)-1)&amp;" of "&amp;CHOOSE($W702,3,3,2,2,3))&amp;" | Total Day "&amp;MAX(0,NETWORKDAYS($L702,TODAY(),Holidays)-1))</f>
        <v/>
      </c>
      <c r="W702" s="17">
        <f>IF($L702="","",COUNT($L702:$Q702))</f>
        <v/>
      </c>
      <c r="X702" s="18">
        <f>IF($W702="","",INT(INDEX($L702:$Q702,$W702)))</f>
        <v/>
      </c>
      <c r="Y702" s="18">
        <f>IF(OR($W702="",$W702=6),"",WORKDAY($X702,CHOOSE($W702,3,3,2,2,3),Holidays))</f>
        <v/>
      </c>
      <c r="Z702" s="17">
        <f>IF(OR($W702="",$W702=6),"",CHOOSE($W702,"1st Email Follow-up","2nd Email Follow-up","Escalate Local Office","Escalate to CBE","Escalate to Roxanne"))</f>
        <v/>
      </c>
    </row>
    <row r="703" spans="18:26">
      <c r="R703" s="15"/>
      <c r="S703" s="16"/>
      <c r="T703" s="17">
        <f>IF(AND(COUNTA($A703:$K703)=0,$L703=""),"",IF($S703="Paid","PAID",IF($S703="Closed","CLOSED",IF($W703="","",IF($W703=6,"ESCALATED TO ROXANNE",IF(TODAY()&gt;$Y703,"OVERDUE",IF($Y703&lt;=WORKDAY(TODAY(),1,Holidays),"DUE TOMORROW",IF($W703=4,"ESCALATED TO LOCAL OFFICE",IF($W703=5,"ESCALATED TO CBE",IF($X703=TODAY(),"EMAIL SENT","MONITORING"))))))))))</f>
        <v/>
      </c>
      <c r="U703" s="17">
        <f>IF($T703="",IF(AND(COUNTA($A703:$K703)&gt;0,$L703=""),"Awaiting Collection Email time stamp.",""),IF(OR($T703="PAID",$T703="CLOSED"),IF($T703="PAID","Account paid. Action completed.","Account closed. No further action required."),CHOOSE($W703,"Collection Email","1st Email Follow-up","2nd Email Follow-up","Escalation to Local Office","Escalation to CBE","Escalation to Roxanne")&amp;" sent "&amp;TEXT($X703,"dd-mmm")&amp;". "&amp;IF($W703=6,"Final escalation completed.",IF($T703="OVERDUE","Next: "&amp;$Z703&amp;" was due "&amp;TEXT($Y703,"dd-mmm")&amp;" - "&amp;(NETWORKDAYS($Y703,TODAY(),Holidays)-1)&amp;" business day(s) late. Send now.",IF($T703="DUE TOMORROW","Next: "&amp;$Z703&amp;IF($Y703&lt;=TODAY()," is due TODAY ("," is due next business day (")&amp;TEXT($Y703,"dd-mmm")&amp;").","Next: "&amp;$Z703&amp;" due "&amp;TEXT($Y703,"dd-mmm")&amp;" ("&amp;(NETWORKDAYS(TODAY(),$Y703,Holidays)-1)&amp;" business day(s) left).")))))</f>
        <v/>
      </c>
      <c r="V703" s="17">
        <f>IF($W703="","",CHOOSE($W703,"Collection Email","1st Follow-up","2nd Follow-up","Local Office","CBE","Roxanne")&amp;IF($W703=6," - Final"," - Day "&amp;MAX(0,NETWORKDAYS($X703,TODAY(),Holidays)-1)&amp;" of "&amp;CHOOSE($W703,3,3,2,2,3))&amp;" | Total Day "&amp;MAX(0,NETWORKDAYS($L703,TODAY(),Holidays)-1))</f>
        <v/>
      </c>
      <c r="W703" s="17">
        <f>IF($L703="","",COUNT($L703:$Q703))</f>
        <v/>
      </c>
      <c r="X703" s="18">
        <f>IF($W703="","",INT(INDEX($L703:$Q703,$W703)))</f>
        <v/>
      </c>
      <c r="Y703" s="18">
        <f>IF(OR($W703="",$W703=6),"",WORKDAY($X703,CHOOSE($W703,3,3,2,2,3),Holidays))</f>
        <v/>
      </c>
      <c r="Z703" s="17">
        <f>IF(OR($W703="",$W703=6),"",CHOOSE($W703,"1st Email Follow-up","2nd Email Follow-up","Escalate Local Office","Escalate to CBE","Escalate to Roxanne"))</f>
        <v/>
      </c>
    </row>
    <row r="704" spans="18:26">
      <c r="R704" s="15"/>
      <c r="S704" s="16"/>
      <c r="T704" s="17">
        <f>IF(AND(COUNTA($A704:$K704)=0,$L704=""),"",IF($S704="Paid","PAID",IF($S704="Closed","CLOSED",IF($W704="","",IF($W704=6,"ESCALATED TO ROXANNE",IF(TODAY()&gt;$Y704,"OVERDUE",IF($Y704&lt;=WORKDAY(TODAY(),1,Holidays),"DUE TOMORROW",IF($W704=4,"ESCALATED TO LOCAL OFFICE",IF($W704=5,"ESCALATED TO CBE",IF($X704=TODAY(),"EMAIL SENT","MONITORING"))))))))))</f>
        <v/>
      </c>
      <c r="U704" s="17">
        <f>IF($T704="",IF(AND(COUNTA($A704:$K704)&gt;0,$L704=""),"Awaiting Collection Email time stamp.",""),IF(OR($T704="PAID",$T704="CLOSED"),IF($T704="PAID","Account paid. Action completed.","Account closed. No further action required."),CHOOSE($W704,"Collection Email","1st Email Follow-up","2nd Email Follow-up","Escalation to Local Office","Escalation to CBE","Escalation to Roxanne")&amp;" sent "&amp;TEXT($X704,"dd-mmm")&amp;". "&amp;IF($W704=6,"Final escalation completed.",IF($T704="OVERDUE","Next: "&amp;$Z704&amp;" was due "&amp;TEXT($Y704,"dd-mmm")&amp;" - "&amp;(NETWORKDAYS($Y704,TODAY(),Holidays)-1)&amp;" business day(s) late. Send now.",IF($T704="DUE TOMORROW","Next: "&amp;$Z704&amp;IF($Y704&lt;=TODAY()," is due TODAY ("," is due next business day (")&amp;TEXT($Y704,"dd-mmm")&amp;").","Next: "&amp;$Z704&amp;" due "&amp;TEXT($Y704,"dd-mmm")&amp;" ("&amp;(NETWORKDAYS(TODAY(),$Y704,Holidays)-1)&amp;" business day(s) left).")))))</f>
        <v/>
      </c>
      <c r="V704" s="17">
        <f>IF($W704="","",CHOOSE($W704,"Collection Email","1st Follow-up","2nd Follow-up","Local Office","CBE","Roxanne")&amp;IF($W704=6," - Final"," - Day "&amp;MAX(0,NETWORKDAYS($X704,TODAY(),Holidays)-1)&amp;" of "&amp;CHOOSE($W704,3,3,2,2,3))&amp;" | Total Day "&amp;MAX(0,NETWORKDAYS($L704,TODAY(),Holidays)-1))</f>
        <v/>
      </c>
      <c r="W704" s="17">
        <f>IF($L704="","",COUNT($L704:$Q704))</f>
        <v/>
      </c>
      <c r="X704" s="18">
        <f>IF($W704="","",INT(INDEX($L704:$Q704,$W704)))</f>
        <v/>
      </c>
      <c r="Y704" s="18">
        <f>IF(OR($W704="",$W704=6),"",WORKDAY($X704,CHOOSE($W704,3,3,2,2,3),Holidays))</f>
        <v/>
      </c>
      <c r="Z704" s="17">
        <f>IF(OR($W704="",$W704=6),"",CHOOSE($W704,"1st Email Follow-up","2nd Email Follow-up","Escalate Local Office","Escalate to CBE","Escalate to Roxanne"))</f>
        <v/>
      </c>
    </row>
    <row r="705" spans="18:26">
      <c r="R705" s="15"/>
      <c r="S705" s="16"/>
      <c r="T705" s="17">
        <f>IF(AND(COUNTA($A705:$K705)=0,$L705=""),"",IF($S705="Paid","PAID",IF($S705="Closed","CLOSED",IF($W705="","",IF($W705=6,"ESCALATED TO ROXANNE",IF(TODAY()&gt;$Y705,"OVERDUE",IF($Y705&lt;=WORKDAY(TODAY(),1,Holidays),"DUE TOMORROW",IF($W705=4,"ESCALATED TO LOCAL OFFICE",IF($W705=5,"ESCALATED TO CBE",IF($X705=TODAY(),"EMAIL SENT","MONITORING"))))))))))</f>
        <v/>
      </c>
      <c r="U705" s="17">
        <f>IF($T705="",IF(AND(COUNTA($A705:$K705)&gt;0,$L705=""),"Awaiting Collection Email time stamp.",""),IF(OR($T705="PAID",$T705="CLOSED"),IF($T705="PAID","Account paid. Action completed.","Account closed. No further action required."),CHOOSE($W705,"Collection Email","1st Email Follow-up","2nd Email Follow-up","Escalation to Local Office","Escalation to CBE","Escalation to Roxanne")&amp;" sent "&amp;TEXT($X705,"dd-mmm")&amp;". "&amp;IF($W705=6,"Final escalation completed.",IF($T705="OVERDUE","Next: "&amp;$Z705&amp;" was due "&amp;TEXT($Y705,"dd-mmm")&amp;" - "&amp;(NETWORKDAYS($Y705,TODAY(),Holidays)-1)&amp;" business day(s) late. Send now.",IF($T705="DUE TOMORROW","Next: "&amp;$Z705&amp;IF($Y705&lt;=TODAY()," is due TODAY ("," is due next business day (")&amp;TEXT($Y705,"dd-mmm")&amp;").","Next: "&amp;$Z705&amp;" due "&amp;TEXT($Y705,"dd-mmm")&amp;" ("&amp;(NETWORKDAYS(TODAY(),$Y705,Holidays)-1)&amp;" business day(s) left).")))))</f>
        <v/>
      </c>
      <c r="V705" s="17">
        <f>IF($W705="","",CHOOSE($W705,"Collection Email","1st Follow-up","2nd Follow-up","Local Office","CBE","Roxanne")&amp;IF($W705=6," - Final"," - Day "&amp;MAX(0,NETWORKDAYS($X705,TODAY(),Holidays)-1)&amp;" of "&amp;CHOOSE($W705,3,3,2,2,3))&amp;" | Total Day "&amp;MAX(0,NETWORKDAYS($L705,TODAY(),Holidays)-1))</f>
        <v/>
      </c>
      <c r="W705" s="17">
        <f>IF($L705="","",COUNT($L705:$Q705))</f>
        <v/>
      </c>
      <c r="X705" s="18">
        <f>IF($W705="","",INT(INDEX($L705:$Q705,$W705)))</f>
        <v/>
      </c>
      <c r="Y705" s="18">
        <f>IF(OR($W705="",$W705=6),"",WORKDAY($X705,CHOOSE($W705,3,3,2,2,3),Holidays))</f>
        <v/>
      </c>
      <c r="Z705" s="17">
        <f>IF(OR($W705="",$W705=6),"",CHOOSE($W705,"1st Email Follow-up","2nd Email Follow-up","Escalate Local Office","Escalate to CBE","Escalate to Roxanne"))</f>
        <v/>
      </c>
    </row>
    <row r="706" spans="18:26">
      <c r="R706" s="15"/>
      <c r="S706" s="16"/>
      <c r="T706" s="17">
        <f>IF(AND(COUNTA($A706:$K706)=0,$L706=""),"",IF($S706="Paid","PAID",IF($S706="Closed","CLOSED",IF($W706="","",IF($W706=6,"ESCALATED TO ROXANNE",IF(TODAY()&gt;$Y706,"OVERDUE",IF($Y706&lt;=WORKDAY(TODAY(),1,Holidays),"DUE TOMORROW",IF($W706=4,"ESCALATED TO LOCAL OFFICE",IF($W706=5,"ESCALATED TO CBE",IF($X706=TODAY(),"EMAIL SENT","MONITORING"))))))))))</f>
        <v/>
      </c>
      <c r="U706" s="17">
        <f>IF($T706="",IF(AND(COUNTA($A706:$K706)&gt;0,$L706=""),"Awaiting Collection Email time stamp.",""),IF(OR($T706="PAID",$T706="CLOSED"),IF($T706="PAID","Account paid. Action completed.","Account closed. No further action required."),CHOOSE($W706,"Collection Email","1st Email Follow-up","2nd Email Follow-up","Escalation to Local Office","Escalation to CBE","Escalation to Roxanne")&amp;" sent "&amp;TEXT($X706,"dd-mmm")&amp;". "&amp;IF($W706=6,"Final escalation completed.",IF($T706="OVERDUE","Next: "&amp;$Z706&amp;" was due "&amp;TEXT($Y706,"dd-mmm")&amp;" - "&amp;(NETWORKDAYS($Y706,TODAY(),Holidays)-1)&amp;" business day(s) late. Send now.",IF($T706="DUE TOMORROW","Next: "&amp;$Z706&amp;IF($Y706&lt;=TODAY()," is due TODAY ("," is due next business day (")&amp;TEXT($Y706,"dd-mmm")&amp;").","Next: "&amp;$Z706&amp;" due "&amp;TEXT($Y706,"dd-mmm")&amp;" ("&amp;(NETWORKDAYS(TODAY(),$Y706,Holidays)-1)&amp;" business day(s) left).")))))</f>
        <v/>
      </c>
      <c r="V706" s="17">
        <f>IF($W706="","",CHOOSE($W706,"Collection Email","1st Follow-up","2nd Follow-up","Local Office","CBE","Roxanne")&amp;IF($W706=6," - Final"," - Day "&amp;MAX(0,NETWORKDAYS($X706,TODAY(),Holidays)-1)&amp;" of "&amp;CHOOSE($W706,3,3,2,2,3))&amp;" | Total Day "&amp;MAX(0,NETWORKDAYS($L706,TODAY(),Holidays)-1))</f>
        <v/>
      </c>
      <c r="W706" s="17">
        <f>IF($L706="","",COUNT($L706:$Q706))</f>
        <v/>
      </c>
      <c r="X706" s="18">
        <f>IF($W706="","",INT(INDEX($L706:$Q706,$W706)))</f>
        <v/>
      </c>
      <c r="Y706" s="18">
        <f>IF(OR($W706="",$W706=6),"",WORKDAY($X706,CHOOSE($W706,3,3,2,2,3),Holidays))</f>
        <v/>
      </c>
      <c r="Z706" s="17">
        <f>IF(OR($W706="",$W706=6),"",CHOOSE($W706,"1st Email Follow-up","2nd Email Follow-up","Escalate Local Office","Escalate to CBE","Escalate to Roxanne"))</f>
        <v/>
      </c>
    </row>
    <row r="707" spans="18:26">
      <c r="R707" s="15"/>
      <c r="S707" s="16"/>
      <c r="T707" s="17">
        <f>IF(AND(COUNTA($A707:$K707)=0,$L707=""),"",IF($S707="Paid","PAID",IF($S707="Closed","CLOSED",IF($W707="","",IF($W707=6,"ESCALATED TO ROXANNE",IF(TODAY()&gt;$Y707,"OVERDUE",IF($Y707&lt;=WORKDAY(TODAY(),1,Holidays),"DUE TOMORROW",IF($W707=4,"ESCALATED TO LOCAL OFFICE",IF($W707=5,"ESCALATED TO CBE",IF($X707=TODAY(),"EMAIL SENT","MONITORING"))))))))))</f>
        <v/>
      </c>
      <c r="U707" s="17">
        <f>IF($T707="",IF(AND(COUNTA($A707:$K707)&gt;0,$L707=""),"Awaiting Collection Email time stamp.",""),IF(OR($T707="PAID",$T707="CLOSED"),IF($T707="PAID","Account paid. Action completed.","Account closed. No further action required."),CHOOSE($W707,"Collection Email","1st Email Follow-up","2nd Email Follow-up","Escalation to Local Office","Escalation to CBE","Escalation to Roxanne")&amp;" sent "&amp;TEXT($X707,"dd-mmm")&amp;". "&amp;IF($W707=6,"Final escalation completed.",IF($T707="OVERDUE","Next: "&amp;$Z707&amp;" was due "&amp;TEXT($Y707,"dd-mmm")&amp;" - "&amp;(NETWORKDAYS($Y707,TODAY(),Holidays)-1)&amp;" business day(s) late. Send now.",IF($T707="DUE TOMORROW","Next: "&amp;$Z707&amp;IF($Y707&lt;=TODAY()," is due TODAY ("," is due next business day (")&amp;TEXT($Y707,"dd-mmm")&amp;").","Next: "&amp;$Z707&amp;" due "&amp;TEXT($Y707,"dd-mmm")&amp;" ("&amp;(NETWORKDAYS(TODAY(),$Y707,Holidays)-1)&amp;" business day(s) left).")))))</f>
        <v/>
      </c>
      <c r="V707" s="17">
        <f>IF($W707="","",CHOOSE($W707,"Collection Email","1st Follow-up","2nd Follow-up","Local Office","CBE","Roxanne")&amp;IF($W707=6," - Final"," - Day "&amp;MAX(0,NETWORKDAYS($X707,TODAY(),Holidays)-1)&amp;" of "&amp;CHOOSE($W707,3,3,2,2,3))&amp;" | Total Day "&amp;MAX(0,NETWORKDAYS($L707,TODAY(),Holidays)-1))</f>
        <v/>
      </c>
      <c r="W707" s="17">
        <f>IF($L707="","",COUNT($L707:$Q707))</f>
        <v/>
      </c>
      <c r="X707" s="18">
        <f>IF($W707="","",INT(INDEX($L707:$Q707,$W707)))</f>
        <v/>
      </c>
      <c r="Y707" s="18">
        <f>IF(OR($W707="",$W707=6),"",WORKDAY($X707,CHOOSE($W707,3,3,2,2,3),Holidays))</f>
        <v/>
      </c>
      <c r="Z707" s="17">
        <f>IF(OR($W707="",$W707=6),"",CHOOSE($W707,"1st Email Follow-up","2nd Email Follow-up","Escalate Local Office","Escalate to CBE","Escalate to Roxanne"))</f>
        <v/>
      </c>
    </row>
    <row r="708" spans="18:26">
      <c r="R708" s="15"/>
      <c r="S708" s="16"/>
      <c r="T708" s="17">
        <f>IF(AND(COUNTA($A708:$K708)=0,$L708=""),"",IF($S708="Paid","PAID",IF($S708="Closed","CLOSED",IF($W708="","",IF($W708=6,"ESCALATED TO ROXANNE",IF(TODAY()&gt;$Y708,"OVERDUE",IF($Y708&lt;=WORKDAY(TODAY(),1,Holidays),"DUE TOMORROW",IF($W708=4,"ESCALATED TO LOCAL OFFICE",IF($W708=5,"ESCALATED TO CBE",IF($X708=TODAY(),"EMAIL SENT","MONITORING"))))))))))</f>
        <v/>
      </c>
      <c r="U708" s="17">
        <f>IF($T708="",IF(AND(COUNTA($A708:$K708)&gt;0,$L708=""),"Awaiting Collection Email time stamp.",""),IF(OR($T708="PAID",$T708="CLOSED"),IF($T708="PAID","Account paid. Action completed.","Account closed. No further action required."),CHOOSE($W708,"Collection Email","1st Email Follow-up","2nd Email Follow-up","Escalation to Local Office","Escalation to CBE","Escalation to Roxanne")&amp;" sent "&amp;TEXT($X708,"dd-mmm")&amp;". "&amp;IF($W708=6,"Final escalation completed.",IF($T708="OVERDUE","Next: "&amp;$Z708&amp;" was due "&amp;TEXT($Y708,"dd-mmm")&amp;" - "&amp;(NETWORKDAYS($Y708,TODAY(),Holidays)-1)&amp;" business day(s) late. Send now.",IF($T708="DUE TOMORROW","Next: "&amp;$Z708&amp;IF($Y708&lt;=TODAY()," is due TODAY ("," is due next business day (")&amp;TEXT($Y708,"dd-mmm")&amp;").","Next: "&amp;$Z708&amp;" due "&amp;TEXT($Y708,"dd-mmm")&amp;" ("&amp;(NETWORKDAYS(TODAY(),$Y708,Holidays)-1)&amp;" business day(s) left).")))))</f>
        <v/>
      </c>
      <c r="V708" s="17">
        <f>IF($W708="","",CHOOSE($W708,"Collection Email","1st Follow-up","2nd Follow-up","Local Office","CBE","Roxanne")&amp;IF($W708=6," - Final"," - Day "&amp;MAX(0,NETWORKDAYS($X708,TODAY(),Holidays)-1)&amp;" of "&amp;CHOOSE($W708,3,3,2,2,3))&amp;" | Total Day "&amp;MAX(0,NETWORKDAYS($L708,TODAY(),Holidays)-1))</f>
        <v/>
      </c>
      <c r="W708" s="17">
        <f>IF($L708="","",COUNT($L708:$Q708))</f>
        <v/>
      </c>
      <c r="X708" s="18">
        <f>IF($W708="","",INT(INDEX($L708:$Q708,$W708)))</f>
        <v/>
      </c>
      <c r="Y708" s="18">
        <f>IF(OR($W708="",$W708=6),"",WORKDAY($X708,CHOOSE($W708,3,3,2,2,3),Holidays))</f>
        <v/>
      </c>
      <c r="Z708" s="17">
        <f>IF(OR($W708="",$W708=6),"",CHOOSE($W708,"1st Email Follow-up","2nd Email Follow-up","Escalate Local Office","Escalate to CBE","Escalate to Roxanne"))</f>
        <v/>
      </c>
    </row>
    <row r="709" spans="18:26">
      <c r="R709" s="15"/>
      <c r="S709" s="16"/>
      <c r="T709" s="17">
        <f>IF(AND(COUNTA($A709:$K709)=0,$L709=""),"",IF($S709="Paid","PAID",IF($S709="Closed","CLOSED",IF($W709="","",IF($W709=6,"ESCALATED TO ROXANNE",IF(TODAY()&gt;$Y709,"OVERDUE",IF($Y709&lt;=WORKDAY(TODAY(),1,Holidays),"DUE TOMORROW",IF($W709=4,"ESCALATED TO LOCAL OFFICE",IF($W709=5,"ESCALATED TO CBE",IF($X709=TODAY(),"EMAIL SENT","MONITORING"))))))))))</f>
        <v/>
      </c>
      <c r="U709" s="17">
        <f>IF($T709="",IF(AND(COUNTA($A709:$K709)&gt;0,$L709=""),"Awaiting Collection Email time stamp.",""),IF(OR($T709="PAID",$T709="CLOSED"),IF($T709="PAID","Account paid. Action completed.","Account closed. No further action required."),CHOOSE($W709,"Collection Email","1st Email Follow-up","2nd Email Follow-up","Escalation to Local Office","Escalation to CBE","Escalation to Roxanne")&amp;" sent "&amp;TEXT($X709,"dd-mmm")&amp;". "&amp;IF($W709=6,"Final escalation completed.",IF($T709="OVERDUE","Next: "&amp;$Z709&amp;" was due "&amp;TEXT($Y709,"dd-mmm")&amp;" - "&amp;(NETWORKDAYS($Y709,TODAY(),Holidays)-1)&amp;" business day(s) late. Send now.",IF($T709="DUE TOMORROW","Next: "&amp;$Z709&amp;IF($Y709&lt;=TODAY()," is due TODAY ("," is due next business day (")&amp;TEXT($Y709,"dd-mmm")&amp;").","Next: "&amp;$Z709&amp;" due "&amp;TEXT($Y709,"dd-mmm")&amp;" ("&amp;(NETWORKDAYS(TODAY(),$Y709,Holidays)-1)&amp;" business day(s) left).")))))</f>
        <v/>
      </c>
      <c r="V709" s="17">
        <f>IF($W709="","",CHOOSE($W709,"Collection Email","1st Follow-up","2nd Follow-up","Local Office","CBE","Roxanne")&amp;IF($W709=6," - Final"," - Day "&amp;MAX(0,NETWORKDAYS($X709,TODAY(),Holidays)-1)&amp;" of "&amp;CHOOSE($W709,3,3,2,2,3))&amp;" | Total Day "&amp;MAX(0,NETWORKDAYS($L709,TODAY(),Holidays)-1))</f>
        <v/>
      </c>
      <c r="W709" s="17">
        <f>IF($L709="","",COUNT($L709:$Q709))</f>
        <v/>
      </c>
      <c r="X709" s="18">
        <f>IF($W709="","",INT(INDEX($L709:$Q709,$W709)))</f>
        <v/>
      </c>
      <c r="Y709" s="18">
        <f>IF(OR($W709="",$W709=6),"",WORKDAY($X709,CHOOSE($W709,3,3,2,2,3),Holidays))</f>
        <v/>
      </c>
      <c r="Z709" s="17">
        <f>IF(OR($W709="",$W709=6),"",CHOOSE($W709,"1st Email Follow-up","2nd Email Follow-up","Escalate Local Office","Escalate to CBE","Escalate to Roxanne"))</f>
        <v/>
      </c>
    </row>
    <row r="710" spans="18:26">
      <c r="R710" s="15"/>
      <c r="S710" s="16"/>
      <c r="T710" s="17">
        <f>IF(AND(COUNTA($A710:$K710)=0,$L710=""),"",IF($S710="Paid","PAID",IF($S710="Closed","CLOSED",IF($W710="","",IF($W710=6,"ESCALATED TO ROXANNE",IF(TODAY()&gt;$Y710,"OVERDUE",IF($Y710&lt;=WORKDAY(TODAY(),1,Holidays),"DUE TOMORROW",IF($W710=4,"ESCALATED TO LOCAL OFFICE",IF($W710=5,"ESCALATED TO CBE",IF($X710=TODAY(),"EMAIL SENT","MONITORING"))))))))))</f>
        <v/>
      </c>
      <c r="U710" s="17">
        <f>IF($T710="",IF(AND(COUNTA($A710:$K710)&gt;0,$L710=""),"Awaiting Collection Email time stamp.",""),IF(OR($T710="PAID",$T710="CLOSED"),IF($T710="PAID","Account paid. Action completed.","Account closed. No further action required."),CHOOSE($W710,"Collection Email","1st Email Follow-up","2nd Email Follow-up","Escalation to Local Office","Escalation to CBE","Escalation to Roxanne")&amp;" sent "&amp;TEXT($X710,"dd-mmm")&amp;". "&amp;IF($W710=6,"Final escalation completed.",IF($T710="OVERDUE","Next: "&amp;$Z710&amp;" was due "&amp;TEXT($Y710,"dd-mmm")&amp;" - "&amp;(NETWORKDAYS($Y710,TODAY(),Holidays)-1)&amp;" business day(s) late. Send now.",IF($T710="DUE TOMORROW","Next: "&amp;$Z710&amp;IF($Y710&lt;=TODAY()," is due TODAY ("," is due next business day (")&amp;TEXT($Y710,"dd-mmm")&amp;").","Next: "&amp;$Z710&amp;" due "&amp;TEXT($Y710,"dd-mmm")&amp;" ("&amp;(NETWORKDAYS(TODAY(),$Y710,Holidays)-1)&amp;" business day(s) left).")))))</f>
        <v/>
      </c>
      <c r="V710" s="17">
        <f>IF($W710="","",CHOOSE($W710,"Collection Email","1st Follow-up","2nd Follow-up","Local Office","CBE","Roxanne")&amp;IF($W710=6," - Final"," - Day "&amp;MAX(0,NETWORKDAYS($X710,TODAY(),Holidays)-1)&amp;" of "&amp;CHOOSE($W710,3,3,2,2,3))&amp;" | Total Day "&amp;MAX(0,NETWORKDAYS($L710,TODAY(),Holidays)-1))</f>
        <v/>
      </c>
      <c r="W710" s="17">
        <f>IF($L710="","",COUNT($L710:$Q710))</f>
        <v/>
      </c>
      <c r="X710" s="18">
        <f>IF($W710="","",INT(INDEX($L710:$Q710,$W710)))</f>
        <v/>
      </c>
      <c r="Y710" s="18">
        <f>IF(OR($W710="",$W710=6),"",WORKDAY($X710,CHOOSE($W710,3,3,2,2,3),Holidays))</f>
        <v/>
      </c>
      <c r="Z710" s="17">
        <f>IF(OR($W710="",$W710=6),"",CHOOSE($W710,"1st Email Follow-up","2nd Email Follow-up","Escalate Local Office","Escalate to CBE","Escalate to Roxanne"))</f>
        <v/>
      </c>
    </row>
    <row r="711" spans="18:26">
      <c r="R711" s="15"/>
      <c r="S711" s="16"/>
      <c r="T711" s="17">
        <f>IF(AND(COUNTA($A711:$K711)=0,$L711=""),"",IF($S711="Paid","PAID",IF($S711="Closed","CLOSED",IF($W711="","",IF($W711=6,"ESCALATED TO ROXANNE",IF(TODAY()&gt;$Y711,"OVERDUE",IF($Y711&lt;=WORKDAY(TODAY(),1,Holidays),"DUE TOMORROW",IF($W711=4,"ESCALATED TO LOCAL OFFICE",IF($W711=5,"ESCALATED TO CBE",IF($X711=TODAY(),"EMAIL SENT","MONITORING"))))))))))</f>
        <v/>
      </c>
      <c r="U711" s="17">
        <f>IF($T711="",IF(AND(COUNTA($A711:$K711)&gt;0,$L711=""),"Awaiting Collection Email time stamp.",""),IF(OR($T711="PAID",$T711="CLOSED"),IF($T711="PAID","Account paid. Action completed.","Account closed. No further action required."),CHOOSE($W711,"Collection Email","1st Email Follow-up","2nd Email Follow-up","Escalation to Local Office","Escalation to CBE","Escalation to Roxanne")&amp;" sent "&amp;TEXT($X711,"dd-mmm")&amp;". "&amp;IF($W711=6,"Final escalation completed.",IF($T711="OVERDUE","Next: "&amp;$Z711&amp;" was due "&amp;TEXT($Y711,"dd-mmm")&amp;" - "&amp;(NETWORKDAYS($Y711,TODAY(),Holidays)-1)&amp;" business day(s) late. Send now.",IF($T711="DUE TOMORROW","Next: "&amp;$Z711&amp;IF($Y711&lt;=TODAY()," is due TODAY ("," is due next business day (")&amp;TEXT($Y711,"dd-mmm")&amp;").","Next: "&amp;$Z711&amp;" due "&amp;TEXT($Y711,"dd-mmm")&amp;" ("&amp;(NETWORKDAYS(TODAY(),$Y711,Holidays)-1)&amp;" business day(s) left).")))))</f>
        <v/>
      </c>
      <c r="V711" s="17">
        <f>IF($W711="","",CHOOSE($W711,"Collection Email","1st Follow-up","2nd Follow-up","Local Office","CBE","Roxanne")&amp;IF($W711=6," - Final"," - Day "&amp;MAX(0,NETWORKDAYS($X711,TODAY(),Holidays)-1)&amp;" of "&amp;CHOOSE($W711,3,3,2,2,3))&amp;" | Total Day "&amp;MAX(0,NETWORKDAYS($L711,TODAY(),Holidays)-1))</f>
        <v/>
      </c>
      <c r="W711" s="17">
        <f>IF($L711="","",COUNT($L711:$Q711))</f>
        <v/>
      </c>
      <c r="X711" s="18">
        <f>IF($W711="","",INT(INDEX($L711:$Q711,$W711)))</f>
        <v/>
      </c>
      <c r="Y711" s="18">
        <f>IF(OR($W711="",$W711=6),"",WORKDAY($X711,CHOOSE($W711,3,3,2,2,3),Holidays))</f>
        <v/>
      </c>
      <c r="Z711" s="17">
        <f>IF(OR($W711="",$W711=6),"",CHOOSE($W711,"1st Email Follow-up","2nd Email Follow-up","Escalate Local Office","Escalate to CBE","Escalate to Roxanne"))</f>
        <v/>
      </c>
    </row>
    <row r="712" spans="18:26">
      <c r="R712" s="15"/>
      <c r="S712" s="16"/>
      <c r="T712" s="17">
        <f>IF(AND(COUNTA($A712:$K712)=0,$L712=""),"",IF($S712="Paid","PAID",IF($S712="Closed","CLOSED",IF($W712="","",IF($W712=6,"ESCALATED TO ROXANNE",IF(TODAY()&gt;$Y712,"OVERDUE",IF($Y712&lt;=WORKDAY(TODAY(),1,Holidays),"DUE TOMORROW",IF($W712=4,"ESCALATED TO LOCAL OFFICE",IF($W712=5,"ESCALATED TO CBE",IF($X712=TODAY(),"EMAIL SENT","MONITORING"))))))))))</f>
        <v/>
      </c>
      <c r="U712" s="17">
        <f>IF($T712="",IF(AND(COUNTA($A712:$K712)&gt;0,$L712=""),"Awaiting Collection Email time stamp.",""),IF(OR($T712="PAID",$T712="CLOSED"),IF($T712="PAID","Account paid. Action completed.","Account closed. No further action required."),CHOOSE($W712,"Collection Email","1st Email Follow-up","2nd Email Follow-up","Escalation to Local Office","Escalation to CBE","Escalation to Roxanne")&amp;" sent "&amp;TEXT($X712,"dd-mmm")&amp;". "&amp;IF($W712=6,"Final escalation completed.",IF($T712="OVERDUE","Next: "&amp;$Z712&amp;" was due "&amp;TEXT($Y712,"dd-mmm")&amp;" - "&amp;(NETWORKDAYS($Y712,TODAY(),Holidays)-1)&amp;" business day(s) late. Send now.",IF($T712="DUE TOMORROW","Next: "&amp;$Z712&amp;IF($Y712&lt;=TODAY()," is due TODAY ("," is due next business day (")&amp;TEXT($Y712,"dd-mmm")&amp;").","Next: "&amp;$Z712&amp;" due "&amp;TEXT($Y712,"dd-mmm")&amp;" ("&amp;(NETWORKDAYS(TODAY(),$Y712,Holidays)-1)&amp;" business day(s) left).")))))</f>
        <v/>
      </c>
      <c r="V712" s="17">
        <f>IF($W712="","",CHOOSE($W712,"Collection Email","1st Follow-up","2nd Follow-up","Local Office","CBE","Roxanne")&amp;IF($W712=6," - Final"," - Day "&amp;MAX(0,NETWORKDAYS($X712,TODAY(),Holidays)-1)&amp;" of "&amp;CHOOSE($W712,3,3,2,2,3))&amp;" | Total Day "&amp;MAX(0,NETWORKDAYS($L712,TODAY(),Holidays)-1))</f>
        <v/>
      </c>
      <c r="W712" s="17">
        <f>IF($L712="","",COUNT($L712:$Q712))</f>
        <v/>
      </c>
      <c r="X712" s="18">
        <f>IF($W712="","",INT(INDEX($L712:$Q712,$W712)))</f>
        <v/>
      </c>
      <c r="Y712" s="18">
        <f>IF(OR($W712="",$W712=6),"",WORKDAY($X712,CHOOSE($W712,3,3,2,2,3),Holidays))</f>
        <v/>
      </c>
      <c r="Z712" s="17">
        <f>IF(OR($W712="",$W712=6),"",CHOOSE($W712,"1st Email Follow-up","2nd Email Follow-up","Escalate Local Office","Escalate to CBE","Escalate to Roxanne"))</f>
        <v/>
      </c>
    </row>
    <row r="713" spans="18:26">
      <c r="R713" s="15"/>
      <c r="S713" s="16"/>
      <c r="T713" s="17">
        <f>IF(AND(COUNTA($A713:$K713)=0,$L713=""),"",IF($S713="Paid","PAID",IF($S713="Closed","CLOSED",IF($W713="","",IF($W713=6,"ESCALATED TO ROXANNE",IF(TODAY()&gt;$Y713,"OVERDUE",IF($Y713&lt;=WORKDAY(TODAY(),1,Holidays),"DUE TOMORROW",IF($W713=4,"ESCALATED TO LOCAL OFFICE",IF($W713=5,"ESCALATED TO CBE",IF($X713=TODAY(),"EMAIL SENT","MONITORING"))))))))))</f>
        <v/>
      </c>
      <c r="U713" s="17">
        <f>IF($T713="",IF(AND(COUNTA($A713:$K713)&gt;0,$L713=""),"Awaiting Collection Email time stamp.",""),IF(OR($T713="PAID",$T713="CLOSED"),IF($T713="PAID","Account paid. Action completed.","Account closed. No further action required."),CHOOSE($W713,"Collection Email","1st Email Follow-up","2nd Email Follow-up","Escalation to Local Office","Escalation to CBE","Escalation to Roxanne")&amp;" sent "&amp;TEXT($X713,"dd-mmm")&amp;". "&amp;IF($W713=6,"Final escalation completed.",IF($T713="OVERDUE","Next: "&amp;$Z713&amp;" was due "&amp;TEXT($Y713,"dd-mmm")&amp;" - "&amp;(NETWORKDAYS($Y713,TODAY(),Holidays)-1)&amp;" business day(s) late. Send now.",IF($T713="DUE TOMORROW","Next: "&amp;$Z713&amp;IF($Y713&lt;=TODAY()," is due TODAY ("," is due next business day (")&amp;TEXT($Y713,"dd-mmm")&amp;").","Next: "&amp;$Z713&amp;" due "&amp;TEXT($Y713,"dd-mmm")&amp;" ("&amp;(NETWORKDAYS(TODAY(),$Y713,Holidays)-1)&amp;" business day(s) left).")))))</f>
        <v/>
      </c>
      <c r="V713" s="17">
        <f>IF($W713="","",CHOOSE($W713,"Collection Email","1st Follow-up","2nd Follow-up","Local Office","CBE","Roxanne")&amp;IF($W713=6," - Final"," - Day "&amp;MAX(0,NETWORKDAYS($X713,TODAY(),Holidays)-1)&amp;" of "&amp;CHOOSE($W713,3,3,2,2,3))&amp;" | Total Day "&amp;MAX(0,NETWORKDAYS($L713,TODAY(),Holidays)-1))</f>
        <v/>
      </c>
      <c r="W713" s="17">
        <f>IF($L713="","",COUNT($L713:$Q713))</f>
        <v/>
      </c>
      <c r="X713" s="18">
        <f>IF($W713="","",INT(INDEX($L713:$Q713,$W713)))</f>
        <v/>
      </c>
      <c r="Y713" s="18">
        <f>IF(OR($W713="",$W713=6),"",WORKDAY($X713,CHOOSE($W713,3,3,2,2,3),Holidays))</f>
        <v/>
      </c>
      <c r="Z713" s="17">
        <f>IF(OR($W713="",$W713=6),"",CHOOSE($W713,"1st Email Follow-up","2nd Email Follow-up","Escalate Local Office","Escalate to CBE","Escalate to Roxanne"))</f>
        <v/>
      </c>
    </row>
    <row r="714" spans="18:26">
      <c r="R714" s="15"/>
      <c r="S714" s="16"/>
      <c r="T714" s="17">
        <f>IF(AND(COUNTA($A714:$K714)=0,$L714=""),"",IF($S714="Paid","PAID",IF($S714="Closed","CLOSED",IF($W714="","",IF($W714=6,"ESCALATED TO ROXANNE",IF(TODAY()&gt;$Y714,"OVERDUE",IF($Y714&lt;=WORKDAY(TODAY(),1,Holidays),"DUE TOMORROW",IF($W714=4,"ESCALATED TO LOCAL OFFICE",IF($W714=5,"ESCALATED TO CBE",IF($X714=TODAY(),"EMAIL SENT","MONITORING"))))))))))</f>
        <v/>
      </c>
      <c r="U714" s="17">
        <f>IF($T714="",IF(AND(COUNTA($A714:$K714)&gt;0,$L714=""),"Awaiting Collection Email time stamp.",""),IF(OR($T714="PAID",$T714="CLOSED"),IF($T714="PAID","Account paid. Action completed.","Account closed. No further action required."),CHOOSE($W714,"Collection Email","1st Email Follow-up","2nd Email Follow-up","Escalation to Local Office","Escalation to CBE","Escalation to Roxanne")&amp;" sent "&amp;TEXT($X714,"dd-mmm")&amp;". "&amp;IF($W714=6,"Final escalation completed.",IF($T714="OVERDUE","Next: "&amp;$Z714&amp;" was due "&amp;TEXT($Y714,"dd-mmm")&amp;" - "&amp;(NETWORKDAYS($Y714,TODAY(),Holidays)-1)&amp;" business day(s) late. Send now.",IF($T714="DUE TOMORROW","Next: "&amp;$Z714&amp;IF($Y714&lt;=TODAY()," is due TODAY ("," is due next business day (")&amp;TEXT($Y714,"dd-mmm")&amp;").","Next: "&amp;$Z714&amp;" due "&amp;TEXT($Y714,"dd-mmm")&amp;" ("&amp;(NETWORKDAYS(TODAY(),$Y714,Holidays)-1)&amp;" business day(s) left).")))))</f>
        <v/>
      </c>
      <c r="V714" s="17">
        <f>IF($W714="","",CHOOSE($W714,"Collection Email","1st Follow-up","2nd Follow-up","Local Office","CBE","Roxanne")&amp;IF($W714=6," - Final"," - Day "&amp;MAX(0,NETWORKDAYS($X714,TODAY(),Holidays)-1)&amp;" of "&amp;CHOOSE($W714,3,3,2,2,3))&amp;" | Total Day "&amp;MAX(0,NETWORKDAYS($L714,TODAY(),Holidays)-1))</f>
        <v/>
      </c>
      <c r="W714" s="17">
        <f>IF($L714="","",COUNT($L714:$Q714))</f>
        <v/>
      </c>
      <c r="X714" s="18">
        <f>IF($W714="","",INT(INDEX($L714:$Q714,$W714)))</f>
        <v/>
      </c>
      <c r="Y714" s="18">
        <f>IF(OR($W714="",$W714=6),"",WORKDAY($X714,CHOOSE($W714,3,3,2,2,3),Holidays))</f>
        <v/>
      </c>
      <c r="Z714" s="17">
        <f>IF(OR($W714="",$W714=6),"",CHOOSE($W714,"1st Email Follow-up","2nd Email Follow-up","Escalate Local Office","Escalate to CBE","Escalate to Roxanne"))</f>
        <v/>
      </c>
    </row>
    <row r="715" spans="18:26">
      <c r="R715" s="15"/>
      <c r="S715" s="16"/>
      <c r="T715" s="17">
        <f>IF(AND(COUNTA($A715:$K715)=0,$L715=""),"",IF($S715="Paid","PAID",IF($S715="Closed","CLOSED",IF($W715="","",IF($W715=6,"ESCALATED TO ROXANNE",IF(TODAY()&gt;$Y715,"OVERDUE",IF($Y715&lt;=WORKDAY(TODAY(),1,Holidays),"DUE TOMORROW",IF($W715=4,"ESCALATED TO LOCAL OFFICE",IF($W715=5,"ESCALATED TO CBE",IF($X715=TODAY(),"EMAIL SENT","MONITORING"))))))))))</f>
        <v/>
      </c>
      <c r="U715" s="17">
        <f>IF($T715="",IF(AND(COUNTA($A715:$K715)&gt;0,$L715=""),"Awaiting Collection Email time stamp.",""),IF(OR($T715="PAID",$T715="CLOSED"),IF($T715="PAID","Account paid. Action completed.","Account closed. No further action required."),CHOOSE($W715,"Collection Email","1st Email Follow-up","2nd Email Follow-up","Escalation to Local Office","Escalation to CBE","Escalation to Roxanne")&amp;" sent "&amp;TEXT($X715,"dd-mmm")&amp;". "&amp;IF($W715=6,"Final escalation completed.",IF($T715="OVERDUE","Next: "&amp;$Z715&amp;" was due "&amp;TEXT($Y715,"dd-mmm")&amp;" - "&amp;(NETWORKDAYS($Y715,TODAY(),Holidays)-1)&amp;" business day(s) late. Send now.",IF($T715="DUE TOMORROW","Next: "&amp;$Z715&amp;IF($Y715&lt;=TODAY()," is due TODAY ("," is due next business day (")&amp;TEXT($Y715,"dd-mmm")&amp;").","Next: "&amp;$Z715&amp;" due "&amp;TEXT($Y715,"dd-mmm")&amp;" ("&amp;(NETWORKDAYS(TODAY(),$Y715,Holidays)-1)&amp;" business day(s) left).")))))</f>
        <v/>
      </c>
      <c r="V715" s="17">
        <f>IF($W715="","",CHOOSE($W715,"Collection Email","1st Follow-up","2nd Follow-up","Local Office","CBE","Roxanne")&amp;IF($W715=6," - Final"," - Day "&amp;MAX(0,NETWORKDAYS($X715,TODAY(),Holidays)-1)&amp;" of "&amp;CHOOSE($W715,3,3,2,2,3))&amp;" | Total Day "&amp;MAX(0,NETWORKDAYS($L715,TODAY(),Holidays)-1))</f>
        <v/>
      </c>
      <c r="W715" s="17">
        <f>IF($L715="","",COUNT($L715:$Q715))</f>
        <v/>
      </c>
      <c r="X715" s="18">
        <f>IF($W715="","",INT(INDEX($L715:$Q715,$W715)))</f>
        <v/>
      </c>
      <c r="Y715" s="18">
        <f>IF(OR($W715="",$W715=6),"",WORKDAY($X715,CHOOSE($W715,3,3,2,2,3),Holidays))</f>
        <v/>
      </c>
      <c r="Z715" s="17">
        <f>IF(OR($W715="",$W715=6),"",CHOOSE($W715,"1st Email Follow-up","2nd Email Follow-up","Escalate Local Office","Escalate to CBE","Escalate to Roxanne"))</f>
        <v/>
      </c>
    </row>
    <row r="716" spans="18:26">
      <c r="R716" s="15"/>
      <c r="S716" s="16"/>
      <c r="T716" s="17">
        <f>IF(AND(COUNTA($A716:$K716)=0,$L716=""),"",IF($S716="Paid","PAID",IF($S716="Closed","CLOSED",IF($W716="","",IF($W716=6,"ESCALATED TO ROXANNE",IF(TODAY()&gt;$Y716,"OVERDUE",IF($Y716&lt;=WORKDAY(TODAY(),1,Holidays),"DUE TOMORROW",IF($W716=4,"ESCALATED TO LOCAL OFFICE",IF($W716=5,"ESCALATED TO CBE",IF($X716=TODAY(),"EMAIL SENT","MONITORING"))))))))))</f>
        <v/>
      </c>
      <c r="U716" s="17">
        <f>IF($T716="",IF(AND(COUNTA($A716:$K716)&gt;0,$L716=""),"Awaiting Collection Email time stamp.",""),IF(OR($T716="PAID",$T716="CLOSED"),IF($T716="PAID","Account paid. Action completed.","Account closed. No further action required."),CHOOSE($W716,"Collection Email","1st Email Follow-up","2nd Email Follow-up","Escalation to Local Office","Escalation to CBE","Escalation to Roxanne")&amp;" sent "&amp;TEXT($X716,"dd-mmm")&amp;". "&amp;IF($W716=6,"Final escalation completed.",IF($T716="OVERDUE","Next: "&amp;$Z716&amp;" was due "&amp;TEXT($Y716,"dd-mmm")&amp;" - "&amp;(NETWORKDAYS($Y716,TODAY(),Holidays)-1)&amp;" business day(s) late. Send now.",IF($T716="DUE TOMORROW","Next: "&amp;$Z716&amp;IF($Y716&lt;=TODAY()," is due TODAY ("," is due next business day (")&amp;TEXT($Y716,"dd-mmm")&amp;").","Next: "&amp;$Z716&amp;" due "&amp;TEXT($Y716,"dd-mmm")&amp;" ("&amp;(NETWORKDAYS(TODAY(),$Y716,Holidays)-1)&amp;" business day(s) left).")))))</f>
        <v/>
      </c>
      <c r="V716" s="17">
        <f>IF($W716="","",CHOOSE($W716,"Collection Email","1st Follow-up","2nd Follow-up","Local Office","CBE","Roxanne")&amp;IF($W716=6," - Final"," - Day "&amp;MAX(0,NETWORKDAYS($X716,TODAY(),Holidays)-1)&amp;" of "&amp;CHOOSE($W716,3,3,2,2,3))&amp;" | Total Day "&amp;MAX(0,NETWORKDAYS($L716,TODAY(),Holidays)-1))</f>
        <v/>
      </c>
      <c r="W716" s="17">
        <f>IF($L716="","",COUNT($L716:$Q716))</f>
        <v/>
      </c>
      <c r="X716" s="18">
        <f>IF($W716="","",INT(INDEX($L716:$Q716,$W716)))</f>
        <v/>
      </c>
      <c r="Y716" s="18">
        <f>IF(OR($W716="",$W716=6),"",WORKDAY($X716,CHOOSE($W716,3,3,2,2,3),Holidays))</f>
        <v/>
      </c>
      <c r="Z716" s="17">
        <f>IF(OR($W716="",$W716=6),"",CHOOSE($W716,"1st Email Follow-up","2nd Email Follow-up","Escalate Local Office","Escalate to CBE","Escalate to Roxanne"))</f>
        <v/>
      </c>
    </row>
    <row r="717" spans="18:26">
      <c r="R717" s="15"/>
      <c r="S717" s="16"/>
      <c r="T717" s="17">
        <f>IF(AND(COUNTA($A717:$K717)=0,$L717=""),"",IF($S717="Paid","PAID",IF($S717="Closed","CLOSED",IF($W717="","",IF($W717=6,"ESCALATED TO ROXANNE",IF(TODAY()&gt;$Y717,"OVERDUE",IF($Y717&lt;=WORKDAY(TODAY(),1,Holidays),"DUE TOMORROW",IF($W717=4,"ESCALATED TO LOCAL OFFICE",IF($W717=5,"ESCALATED TO CBE",IF($X717=TODAY(),"EMAIL SENT","MONITORING"))))))))))</f>
        <v/>
      </c>
      <c r="U717" s="17">
        <f>IF($T717="",IF(AND(COUNTA($A717:$K717)&gt;0,$L717=""),"Awaiting Collection Email time stamp.",""),IF(OR($T717="PAID",$T717="CLOSED"),IF($T717="PAID","Account paid. Action completed.","Account closed. No further action required."),CHOOSE($W717,"Collection Email","1st Email Follow-up","2nd Email Follow-up","Escalation to Local Office","Escalation to CBE","Escalation to Roxanne")&amp;" sent "&amp;TEXT($X717,"dd-mmm")&amp;". "&amp;IF($W717=6,"Final escalation completed.",IF($T717="OVERDUE","Next: "&amp;$Z717&amp;" was due "&amp;TEXT($Y717,"dd-mmm")&amp;" - "&amp;(NETWORKDAYS($Y717,TODAY(),Holidays)-1)&amp;" business day(s) late. Send now.",IF($T717="DUE TOMORROW","Next: "&amp;$Z717&amp;IF($Y717&lt;=TODAY()," is due TODAY ("," is due next business day (")&amp;TEXT($Y717,"dd-mmm")&amp;").","Next: "&amp;$Z717&amp;" due "&amp;TEXT($Y717,"dd-mmm")&amp;" ("&amp;(NETWORKDAYS(TODAY(),$Y717,Holidays)-1)&amp;" business day(s) left).")))))</f>
        <v/>
      </c>
      <c r="V717" s="17">
        <f>IF($W717="","",CHOOSE($W717,"Collection Email","1st Follow-up","2nd Follow-up","Local Office","CBE","Roxanne")&amp;IF($W717=6," - Final"," - Day "&amp;MAX(0,NETWORKDAYS($X717,TODAY(),Holidays)-1)&amp;" of "&amp;CHOOSE($W717,3,3,2,2,3))&amp;" | Total Day "&amp;MAX(0,NETWORKDAYS($L717,TODAY(),Holidays)-1))</f>
        <v/>
      </c>
      <c r="W717" s="17">
        <f>IF($L717="","",COUNT($L717:$Q717))</f>
        <v/>
      </c>
      <c r="X717" s="18">
        <f>IF($W717="","",INT(INDEX($L717:$Q717,$W717)))</f>
        <v/>
      </c>
      <c r="Y717" s="18">
        <f>IF(OR($W717="",$W717=6),"",WORKDAY($X717,CHOOSE($W717,3,3,2,2,3),Holidays))</f>
        <v/>
      </c>
      <c r="Z717" s="17">
        <f>IF(OR($W717="",$W717=6),"",CHOOSE($W717,"1st Email Follow-up","2nd Email Follow-up","Escalate Local Office","Escalate to CBE","Escalate to Roxanne"))</f>
        <v/>
      </c>
    </row>
    <row r="718" spans="18:26">
      <c r="R718" s="15"/>
      <c r="S718" s="16"/>
      <c r="T718" s="17">
        <f>IF(AND(COUNTA($A718:$K718)=0,$L718=""),"",IF($S718="Paid","PAID",IF($S718="Closed","CLOSED",IF($W718="","",IF($W718=6,"ESCALATED TO ROXANNE",IF(TODAY()&gt;$Y718,"OVERDUE",IF($Y718&lt;=WORKDAY(TODAY(),1,Holidays),"DUE TOMORROW",IF($W718=4,"ESCALATED TO LOCAL OFFICE",IF($W718=5,"ESCALATED TO CBE",IF($X718=TODAY(),"EMAIL SENT","MONITORING"))))))))))</f>
        <v/>
      </c>
      <c r="U718" s="17">
        <f>IF($T718="",IF(AND(COUNTA($A718:$K718)&gt;0,$L718=""),"Awaiting Collection Email time stamp.",""),IF(OR($T718="PAID",$T718="CLOSED"),IF($T718="PAID","Account paid. Action completed.","Account closed. No further action required."),CHOOSE($W718,"Collection Email","1st Email Follow-up","2nd Email Follow-up","Escalation to Local Office","Escalation to CBE","Escalation to Roxanne")&amp;" sent "&amp;TEXT($X718,"dd-mmm")&amp;". "&amp;IF($W718=6,"Final escalation completed.",IF($T718="OVERDUE","Next: "&amp;$Z718&amp;" was due "&amp;TEXT($Y718,"dd-mmm")&amp;" - "&amp;(NETWORKDAYS($Y718,TODAY(),Holidays)-1)&amp;" business day(s) late. Send now.",IF($T718="DUE TOMORROW","Next: "&amp;$Z718&amp;IF($Y718&lt;=TODAY()," is due TODAY ("," is due next business day (")&amp;TEXT($Y718,"dd-mmm")&amp;").","Next: "&amp;$Z718&amp;" due "&amp;TEXT($Y718,"dd-mmm")&amp;" ("&amp;(NETWORKDAYS(TODAY(),$Y718,Holidays)-1)&amp;" business day(s) left).")))))</f>
        <v/>
      </c>
      <c r="V718" s="17">
        <f>IF($W718="","",CHOOSE($W718,"Collection Email","1st Follow-up","2nd Follow-up","Local Office","CBE","Roxanne")&amp;IF($W718=6," - Final"," - Day "&amp;MAX(0,NETWORKDAYS($X718,TODAY(),Holidays)-1)&amp;" of "&amp;CHOOSE($W718,3,3,2,2,3))&amp;" | Total Day "&amp;MAX(0,NETWORKDAYS($L718,TODAY(),Holidays)-1))</f>
        <v/>
      </c>
      <c r="W718" s="17">
        <f>IF($L718="","",COUNT($L718:$Q718))</f>
        <v/>
      </c>
      <c r="X718" s="18">
        <f>IF($W718="","",INT(INDEX($L718:$Q718,$W718)))</f>
        <v/>
      </c>
      <c r="Y718" s="18">
        <f>IF(OR($W718="",$W718=6),"",WORKDAY($X718,CHOOSE($W718,3,3,2,2,3),Holidays))</f>
        <v/>
      </c>
      <c r="Z718" s="17">
        <f>IF(OR($W718="",$W718=6),"",CHOOSE($W718,"1st Email Follow-up","2nd Email Follow-up","Escalate Local Office","Escalate to CBE","Escalate to Roxanne"))</f>
        <v/>
      </c>
    </row>
    <row r="719" spans="18:26">
      <c r="R719" s="15"/>
      <c r="S719" s="16"/>
      <c r="T719" s="17">
        <f>IF(AND(COUNTA($A719:$K719)=0,$L719=""),"",IF($S719="Paid","PAID",IF($S719="Closed","CLOSED",IF($W719="","",IF($W719=6,"ESCALATED TO ROXANNE",IF(TODAY()&gt;$Y719,"OVERDUE",IF($Y719&lt;=WORKDAY(TODAY(),1,Holidays),"DUE TOMORROW",IF($W719=4,"ESCALATED TO LOCAL OFFICE",IF($W719=5,"ESCALATED TO CBE",IF($X719=TODAY(),"EMAIL SENT","MONITORING"))))))))))</f>
        <v/>
      </c>
      <c r="U719" s="17">
        <f>IF($T719="",IF(AND(COUNTA($A719:$K719)&gt;0,$L719=""),"Awaiting Collection Email time stamp.",""),IF(OR($T719="PAID",$T719="CLOSED"),IF($T719="PAID","Account paid. Action completed.","Account closed. No further action required."),CHOOSE($W719,"Collection Email","1st Email Follow-up","2nd Email Follow-up","Escalation to Local Office","Escalation to CBE","Escalation to Roxanne")&amp;" sent "&amp;TEXT($X719,"dd-mmm")&amp;". "&amp;IF($W719=6,"Final escalation completed.",IF($T719="OVERDUE","Next: "&amp;$Z719&amp;" was due "&amp;TEXT($Y719,"dd-mmm")&amp;" - "&amp;(NETWORKDAYS($Y719,TODAY(),Holidays)-1)&amp;" business day(s) late. Send now.",IF($T719="DUE TOMORROW","Next: "&amp;$Z719&amp;IF($Y719&lt;=TODAY()," is due TODAY ("," is due next business day (")&amp;TEXT($Y719,"dd-mmm")&amp;").","Next: "&amp;$Z719&amp;" due "&amp;TEXT($Y719,"dd-mmm")&amp;" ("&amp;(NETWORKDAYS(TODAY(),$Y719,Holidays)-1)&amp;" business day(s) left).")))))</f>
        <v/>
      </c>
      <c r="V719" s="17">
        <f>IF($W719="","",CHOOSE($W719,"Collection Email","1st Follow-up","2nd Follow-up","Local Office","CBE","Roxanne")&amp;IF($W719=6," - Final"," - Day "&amp;MAX(0,NETWORKDAYS($X719,TODAY(),Holidays)-1)&amp;" of "&amp;CHOOSE($W719,3,3,2,2,3))&amp;" | Total Day "&amp;MAX(0,NETWORKDAYS($L719,TODAY(),Holidays)-1))</f>
        <v/>
      </c>
      <c r="W719" s="17">
        <f>IF($L719="","",COUNT($L719:$Q719))</f>
        <v/>
      </c>
      <c r="X719" s="18">
        <f>IF($W719="","",INT(INDEX($L719:$Q719,$W719)))</f>
        <v/>
      </c>
      <c r="Y719" s="18">
        <f>IF(OR($W719="",$W719=6),"",WORKDAY($X719,CHOOSE($W719,3,3,2,2,3),Holidays))</f>
        <v/>
      </c>
      <c r="Z719" s="17">
        <f>IF(OR($W719="",$W719=6),"",CHOOSE($W719,"1st Email Follow-up","2nd Email Follow-up","Escalate Local Office","Escalate to CBE","Escalate to Roxanne"))</f>
        <v/>
      </c>
    </row>
    <row r="720" spans="18:26">
      <c r="R720" s="15"/>
      <c r="S720" s="16"/>
      <c r="T720" s="17">
        <f>IF(AND(COUNTA($A720:$K720)=0,$L720=""),"",IF($S720="Paid","PAID",IF($S720="Closed","CLOSED",IF($W720="","",IF($W720=6,"ESCALATED TO ROXANNE",IF(TODAY()&gt;$Y720,"OVERDUE",IF($Y720&lt;=WORKDAY(TODAY(),1,Holidays),"DUE TOMORROW",IF($W720=4,"ESCALATED TO LOCAL OFFICE",IF($W720=5,"ESCALATED TO CBE",IF($X720=TODAY(),"EMAIL SENT","MONITORING"))))))))))</f>
        <v/>
      </c>
      <c r="U720" s="17">
        <f>IF($T720="",IF(AND(COUNTA($A720:$K720)&gt;0,$L720=""),"Awaiting Collection Email time stamp.",""),IF(OR($T720="PAID",$T720="CLOSED"),IF($T720="PAID","Account paid. Action completed.","Account closed. No further action required."),CHOOSE($W720,"Collection Email","1st Email Follow-up","2nd Email Follow-up","Escalation to Local Office","Escalation to CBE","Escalation to Roxanne")&amp;" sent "&amp;TEXT($X720,"dd-mmm")&amp;". "&amp;IF($W720=6,"Final escalation completed.",IF($T720="OVERDUE","Next: "&amp;$Z720&amp;" was due "&amp;TEXT($Y720,"dd-mmm")&amp;" - "&amp;(NETWORKDAYS($Y720,TODAY(),Holidays)-1)&amp;" business day(s) late. Send now.",IF($T720="DUE TOMORROW","Next: "&amp;$Z720&amp;IF($Y720&lt;=TODAY()," is due TODAY ("," is due next business day (")&amp;TEXT($Y720,"dd-mmm")&amp;").","Next: "&amp;$Z720&amp;" due "&amp;TEXT($Y720,"dd-mmm")&amp;" ("&amp;(NETWORKDAYS(TODAY(),$Y720,Holidays)-1)&amp;" business day(s) left).")))))</f>
        <v/>
      </c>
      <c r="V720" s="17">
        <f>IF($W720="","",CHOOSE($W720,"Collection Email","1st Follow-up","2nd Follow-up","Local Office","CBE","Roxanne")&amp;IF($W720=6," - Final"," - Day "&amp;MAX(0,NETWORKDAYS($X720,TODAY(),Holidays)-1)&amp;" of "&amp;CHOOSE($W720,3,3,2,2,3))&amp;" | Total Day "&amp;MAX(0,NETWORKDAYS($L720,TODAY(),Holidays)-1))</f>
        <v/>
      </c>
      <c r="W720" s="17">
        <f>IF($L720="","",COUNT($L720:$Q720))</f>
        <v/>
      </c>
      <c r="X720" s="18">
        <f>IF($W720="","",INT(INDEX($L720:$Q720,$W720)))</f>
        <v/>
      </c>
      <c r="Y720" s="18">
        <f>IF(OR($W720="",$W720=6),"",WORKDAY($X720,CHOOSE($W720,3,3,2,2,3),Holidays))</f>
        <v/>
      </c>
      <c r="Z720" s="17">
        <f>IF(OR($W720="",$W720=6),"",CHOOSE($W720,"1st Email Follow-up","2nd Email Follow-up","Escalate Local Office","Escalate to CBE","Escalate to Roxanne"))</f>
        <v/>
      </c>
    </row>
    <row r="721" spans="18:26">
      <c r="R721" s="15"/>
      <c r="S721" s="16"/>
      <c r="T721" s="17">
        <f>IF(AND(COUNTA($A721:$K721)=0,$L721=""),"",IF($S721="Paid","PAID",IF($S721="Closed","CLOSED",IF($W721="","",IF($W721=6,"ESCALATED TO ROXANNE",IF(TODAY()&gt;$Y721,"OVERDUE",IF($Y721&lt;=WORKDAY(TODAY(),1,Holidays),"DUE TOMORROW",IF($W721=4,"ESCALATED TO LOCAL OFFICE",IF($W721=5,"ESCALATED TO CBE",IF($X721=TODAY(),"EMAIL SENT","MONITORING"))))))))))</f>
        <v/>
      </c>
      <c r="U721" s="17">
        <f>IF($T721="",IF(AND(COUNTA($A721:$K721)&gt;0,$L721=""),"Awaiting Collection Email time stamp.",""),IF(OR($T721="PAID",$T721="CLOSED"),IF($T721="PAID","Account paid. Action completed.","Account closed. No further action required."),CHOOSE($W721,"Collection Email","1st Email Follow-up","2nd Email Follow-up","Escalation to Local Office","Escalation to CBE","Escalation to Roxanne")&amp;" sent "&amp;TEXT($X721,"dd-mmm")&amp;". "&amp;IF($W721=6,"Final escalation completed.",IF($T721="OVERDUE","Next: "&amp;$Z721&amp;" was due "&amp;TEXT($Y721,"dd-mmm")&amp;" - "&amp;(NETWORKDAYS($Y721,TODAY(),Holidays)-1)&amp;" business day(s) late. Send now.",IF($T721="DUE TOMORROW","Next: "&amp;$Z721&amp;IF($Y721&lt;=TODAY()," is due TODAY ("," is due next business day (")&amp;TEXT($Y721,"dd-mmm")&amp;").","Next: "&amp;$Z721&amp;" due "&amp;TEXT($Y721,"dd-mmm")&amp;" ("&amp;(NETWORKDAYS(TODAY(),$Y721,Holidays)-1)&amp;" business day(s) left).")))))</f>
        <v/>
      </c>
      <c r="V721" s="17">
        <f>IF($W721="","",CHOOSE($W721,"Collection Email","1st Follow-up","2nd Follow-up","Local Office","CBE","Roxanne")&amp;IF($W721=6," - Final"," - Day "&amp;MAX(0,NETWORKDAYS($X721,TODAY(),Holidays)-1)&amp;" of "&amp;CHOOSE($W721,3,3,2,2,3))&amp;" | Total Day "&amp;MAX(0,NETWORKDAYS($L721,TODAY(),Holidays)-1))</f>
        <v/>
      </c>
      <c r="W721" s="17">
        <f>IF($L721="","",COUNT($L721:$Q721))</f>
        <v/>
      </c>
      <c r="X721" s="18">
        <f>IF($W721="","",INT(INDEX($L721:$Q721,$W721)))</f>
        <v/>
      </c>
      <c r="Y721" s="18">
        <f>IF(OR($W721="",$W721=6),"",WORKDAY($X721,CHOOSE($W721,3,3,2,2,3),Holidays))</f>
        <v/>
      </c>
      <c r="Z721" s="17">
        <f>IF(OR($W721="",$W721=6),"",CHOOSE($W721,"1st Email Follow-up","2nd Email Follow-up","Escalate Local Office","Escalate to CBE","Escalate to Roxanne"))</f>
        <v/>
      </c>
    </row>
    <row r="722" spans="18:26">
      <c r="R722" s="15"/>
      <c r="S722" s="16"/>
      <c r="T722" s="17">
        <f>IF(AND(COUNTA($A722:$K722)=0,$L722=""),"",IF($S722="Paid","PAID",IF($S722="Closed","CLOSED",IF($W722="","",IF($W722=6,"ESCALATED TO ROXANNE",IF(TODAY()&gt;$Y722,"OVERDUE",IF($Y722&lt;=WORKDAY(TODAY(),1,Holidays),"DUE TOMORROW",IF($W722=4,"ESCALATED TO LOCAL OFFICE",IF($W722=5,"ESCALATED TO CBE",IF($X722=TODAY(),"EMAIL SENT","MONITORING"))))))))))</f>
        <v/>
      </c>
      <c r="U722" s="17">
        <f>IF($T722="",IF(AND(COUNTA($A722:$K722)&gt;0,$L722=""),"Awaiting Collection Email time stamp.",""),IF(OR($T722="PAID",$T722="CLOSED"),IF($T722="PAID","Account paid. Action completed.","Account closed. No further action required."),CHOOSE($W722,"Collection Email","1st Email Follow-up","2nd Email Follow-up","Escalation to Local Office","Escalation to CBE","Escalation to Roxanne")&amp;" sent "&amp;TEXT($X722,"dd-mmm")&amp;". "&amp;IF($W722=6,"Final escalation completed.",IF($T722="OVERDUE","Next: "&amp;$Z722&amp;" was due "&amp;TEXT($Y722,"dd-mmm")&amp;" - "&amp;(NETWORKDAYS($Y722,TODAY(),Holidays)-1)&amp;" business day(s) late. Send now.",IF($T722="DUE TOMORROW","Next: "&amp;$Z722&amp;IF($Y722&lt;=TODAY()," is due TODAY ("," is due next business day (")&amp;TEXT($Y722,"dd-mmm")&amp;").","Next: "&amp;$Z722&amp;" due "&amp;TEXT($Y722,"dd-mmm")&amp;" ("&amp;(NETWORKDAYS(TODAY(),$Y722,Holidays)-1)&amp;" business day(s) left).")))))</f>
        <v/>
      </c>
      <c r="V722" s="17">
        <f>IF($W722="","",CHOOSE($W722,"Collection Email","1st Follow-up","2nd Follow-up","Local Office","CBE","Roxanne")&amp;IF($W722=6," - Final"," - Day "&amp;MAX(0,NETWORKDAYS($X722,TODAY(),Holidays)-1)&amp;" of "&amp;CHOOSE($W722,3,3,2,2,3))&amp;" | Total Day "&amp;MAX(0,NETWORKDAYS($L722,TODAY(),Holidays)-1))</f>
        <v/>
      </c>
      <c r="W722" s="17">
        <f>IF($L722="","",COUNT($L722:$Q722))</f>
        <v/>
      </c>
      <c r="X722" s="18">
        <f>IF($W722="","",INT(INDEX($L722:$Q722,$W722)))</f>
        <v/>
      </c>
      <c r="Y722" s="18">
        <f>IF(OR($W722="",$W722=6),"",WORKDAY($X722,CHOOSE($W722,3,3,2,2,3),Holidays))</f>
        <v/>
      </c>
      <c r="Z722" s="17">
        <f>IF(OR($W722="",$W722=6),"",CHOOSE($W722,"1st Email Follow-up","2nd Email Follow-up","Escalate Local Office","Escalate to CBE","Escalate to Roxanne"))</f>
        <v/>
      </c>
    </row>
    <row r="723" spans="18:26">
      <c r="R723" s="15"/>
      <c r="S723" s="16"/>
      <c r="T723" s="17">
        <f>IF(AND(COUNTA($A723:$K723)=0,$L723=""),"",IF($S723="Paid","PAID",IF($S723="Closed","CLOSED",IF($W723="","",IF($W723=6,"ESCALATED TO ROXANNE",IF(TODAY()&gt;$Y723,"OVERDUE",IF($Y723&lt;=WORKDAY(TODAY(),1,Holidays),"DUE TOMORROW",IF($W723=4,"ESCALATED TO LOCAL OFFICE",IF($W723=5,"ESCALATED TO CBE",IF($X723=TODAY(),"EMAIL SENT","MONITORING"))))))))))</f>
        <v/>
      </c>
      <c r="U723" s="17">
        <f>IF($T723="",IF(AND(COUNTA($A723:$K723)&gt;0,$L723=""),"Awaiting Collection Email time stamp.",""),IF(OR($T723="PAID",$T723="CLOSED"),IF($T723="PAID","Account paid. Action completed.","Account closed. No further action required."),CHOOSE($W723,"Collection Email","1st Email Follow-up","2nd Email Follow-up","Escalation to Local Office","Escalation to CBE","Escalation to Roxanne")&amp;" sent "&amp;TEXT($X723,"dd-mmm")&amp;". "&amp;IF($W723=6,"Final escalation completed.",IF($T723="OVERDUE","Next: "&amp;$Z723&amp;" was due "&amp;TEXT($Y723,"dd-mmm")&amp;" - "&amp;(NETWORKDAYS($Y723,TODAY(),Holidays)-1)&amp;" business day(s) late. Send now.",IF($T723="DUE TOMORROW","Next: "&amp;$Z723&amp;IF($Y723&lt;=TODAY()," is due TODAY ("," is due next business day (")&amp;TEXT($Y723,"dd-mmm")&amp;").","Next: "&amp;$Z723&amp;" due "&amp;TEXT($Y723,"dd-mmm")&amp;" ("&amp;(NETWORKDAYS(TODAY(),$Y723,Holidays)-1)&amp;" business day(s) left).")))))</f>
        <v/>
      </c>
      <c r="V723" s="17">
        <f>IF($W723="","",CHOOSE($W723,"Collection Email","1st Follow-up","2nd Follow-up","Local Office","CBE","Roxanne")&amp;IF($W723=6," - Final"," - Day "&amp;MAX(0,NETWORKDAYS($X723,TODAY(),Holidays)-1)&amp;" of "&amp;CHOOSE($W723,3,3,2,2,3))&amp;" | Total Day "&amp;MAX(0,NETWORKDAYS($L723,TODAY(),Holidays)-1))</f>
        <v/>
      </c>
      <c r="W723" s="17">
        <f>IF($L723="","",COUNT($L723:$Q723))</f>
        <v/>
      </c>
      <c r="X723" s="18">
        <f>IF($W723="","",INT(INDEX($L723:$Q723,$W723)))</f>
        <v/>
      </c>
      <c r="Y723" s="18">
        <f>IF(OR($W723="",$W723=6),"",WORKDAY($X723,CHOOSE($W723,3,3,2,2,3),Holidays))</f>
        <v/>
      </c>
      <c r="Z723" s="17">
        <f>IF(OR($W723="",$W723=6),"",CHOOSE($W723,"1st Email Follow-up","2nd Email Follow-up","Escalate Local Office","Escalate to CBE","Escalate to Roxanne"))</f>
        <v/>
      </c>
    </row>
    <row r="724" spans="18:26">
      <c r="R724" s="15"/>
      <c r="S724" s="16"/>
      <c r="T724" s="17">
        <f>IF(AND(COUNTA($A724:$K724)=0,$L724=""),"",IF($S724="Paid","PAID",IF($S724="Closed","CLOSED",IF($W724="","",IF($W724=6,"ESCALATED TO ROXANNE",IF(TODAY()&gt;$Y724,"OVERDUE",IF($Y724&lt;=WORKDAY(TODAY(),1,Holidays),"DUE TOMORROW",IF($W724=4,"ESCALATED TO LOCAL OFFICE",IF($W724=5,"ESCALATED TO CBE",IF($X724=TODAY(),"EMAIL SENT","MONITORING"))))))))))</f>
        <v/>
      </c>
      <c r="U724" s="17">
        <f>IF($T724="",IF(AND(COUNTA($A724:$K724)&gt;0,$L724=""),"Awaiting Collection Email time stamp.",""),IF(OR($T724="PAID",$T724="CLOSED"),IF($T724="PAID","Account paid. Action completed.","Account closed. No further action required."),CHOOSE($W724,"Collection Email","1st Email Follow-up","2nd Email Follow-up","Escalation to Local Office","Escalation to CBE","Escalation to Roxanne")&amp;" sent "&amp;TEXT($X724,"dd-mmm")&amp;". "&amp;IF($W724=6,"Final escalation completed.",IF($T724="OVERDUE","Next: "&amp;$Z724&amp;" was due "&amp;TEXT($Y724,"dd-mmm")&amp;" - "&amp;(NETWORKDAYS($Y724,TODAY(),Holidays)-1)&amp;" business day(s) late. Send now.",IF($T724="DUE TOMORROW","Next: "&amp;$Z724&amp;IF($Y724&lt;=TODAY()," is due TODAY ("," is due next business day (")&amp;TEXT($Y724,"dd-mmm")&amp;").","Next: "&amp;$Z724&amp;" due "&amp;TEXT($Y724,"dd-mmm")&amp;" ("&amp;(NETWORKDAYS(TODAY(),$Y724,Holidays)-1)&amp;" business day(s) left).")))))</f>
        <v/>
      </c>
      <c r="V724" s="17">
        <f>IF($W724="","",CHOOSE($W724,"Collection Email","1st Follow-up","2nd Follow-up","Local Office","CBE","Roxanne")&amp;IF($W724=6," - Final"," - Day "&amp;MAX(0,NETWORKDAYS($X724,TODAY(),Holidays)-1)&amp;" of "&amp;CHOOSE($W724,3,3,2,2,3))&amp;" | Total Day "&amp;MAX(0,NETWORKDAYS($L724,TODAY(),Holidays)-1))</f>
        <v/>
      </c>
      <c r="W724" s="17">
        <f>IF($L724="","",COUNT($L724:$Q724))</f>
        <v/>
      </c>
      <c r="X724" s="18">
        <f>IF($W724="","",INT(INDEX($L724:$Q724,$W724)))</f>
        <v/>
      </c>
      <c r="Y724" s="18">
        <f>IF(OR($W724="",$W724=6),"",WORKDAY($X724,CHOOSE($W724,3,3,2,2,3),Holidays))</f>
        <v/>
      </c>
      <c r="Z724" s="17">
        <f>IF(OR($W724="",$W724=6),"",CHOOSE($W724,"1st Email Follow-up","2nd Email Follow-up","Escalate Local Office","Escalate to CBE","Escalate to Roxanne"))</f>
        <v/>
      </c>
    </row>
    <row r="725" spans="18:26">
      <c r="R725" s="15"/>
      <c r="S725" s="16"/>
      <c r="T725" s="17">
        <f>IF(AND(COUNTA($A725:$K725)=0,$L725=""),"",IF($S725="Paid","PAID",IF($S725="Closed","CLOSED",IF($W725="","",IF($W725=6,"ESCALATED TO ROXANNE",IF(TODAY()&gt;$Y725,"OVERDUE",IF($Y725&lt;=WORKDAY(TODAY(),1,Holidays),"DUE TOMORROW",IF($W725=4,"ESCALATED TO LOCAL OFFICE",IF($W725=5,"ESCALATED TO CBE",IF($X725=TODAY(),"EMAIL SENT","MONITORING"))))))))))</f>
        <v/>
      </c>
      <c r="U725" s="17">
        <f>IF($T725="",IF(AND(COUNTA($A725:$K725)&gt;0,$L725=""),"Awaiting Collection Email time stamp.",""),IF(OR($T725="PAID",$T725="CLOSED"),IF($T725="PAID","Account paid. Action completed.","Account closed. No further action required."),CHOOSE($W725,"Collection Email","1st Email Follow-up","2nd Email Follow-up","Escalation to Local Office","Escalation to CBE","Escalation to Roxanne")&amp;" sent "&amp;TEXT($X725,"dd-mmm")&amp;". "&amp;IF($W725=6,"Final escalation completed.",IF($T725="OVERDUE","Next: "&amp;$Z725&amp;" was due "&amp;TEXT($Y725,"dd-mmm")&amp;" - "&amp;(NETWORKDAYS($Y725,TODAY(),Holidays)-1)&amp;" business day(s) late. Send now.",IF($T725="DUE TOMORROW","Next: "&amp;$Z725&amp;IF($Y725&lt;=TODAY()," is due TODAY ("," is due next business day (")&amp;TEXT($Y725,"dd-mmm")&amp;").","Next: "&amp;$Z725&amp;" due "&amp;TEXT($Y725,"dd-mmm")&amp;" ("&amp;(NETWORKDAYS(TODAY(),$Y725,Holidays)-1)&amp;" business day(s) left).")))))</f>
        <v/>
      </c>
      <c r="V725" s="17">
        <f>IF($W725="","",CHOOSE($W725,"Collection Email","1st Follow-up","2nd Follow-up","Local Office","CBE","Roxanne")&amp;IF($W725=6," - Final"," - Day "&amp;MAX(0,NETWORKDAYS($X725,TODAY(),Holidays)-1)&amp;" of "&amp;CHOOSE($W725,3,3,2,2,3))&amp;" | Total Day "&amp;MAX(0,NETWORKDAYS($L725,TODAY(),Holidays)-1))</f>
        <v/>
      </c>
      <c r="W725" s="17">
        <f>IF($L725="","",COUNT($L725:$Q725))</f>
        <v/>
      </c>
      <c r="X725" s="18">
        <f>IF($W725="","",INT(INDEX($L725:$Q725,$W725)))</f>
        <v/>
      </c>
      <c r="Y725" s="18">
        <f>IF(OR($W725="",$W725=6),"",WORKDAY($X725,CHOOSE($W725,3,3,2,2,3),Holidays))</f>
        <v/>
      </c>
      <c r="Z725" s="17">
        <f>IF(OR($W725="",$W725=6),"",CHOOSE($W725,"1st Email Follow-up","2nd Email Follow-up","Escalate Local Office","Escalate to CBE","Escalate to Roxanne"))</f>
        <v/>
      </c>
    </row>
    <row r="726" spans="18:26">
      <c r="R726" s="15"/>
      <c r="S726" s="16"/>
      <c r="T726" s="17">
        <f>IF(AND(COUNTA($A726:$K726)=0,$L726=""),"",IF($S726="Paid","PAID",IF($S726="Closed","CLOSED",IF($W726="","",IF($W726=6,"ESCALATED TO ROXANNE",IF(TODAY()&gt;$Y726,"OVERDUE",IF($Y726&lt;=WORKDAY(TODAY(),1,Holidays),"DUE TOMORROW",IF($W726=4,"ESCALATED TO LOCAL OFFICE",IF($W726=5,"ESCALATED TO CBE",IF($X726=TODAY(),"EMAIL SENT","MONITORING"))))))))))</f>
        <v/>
      </c>
      <c r="U726" s="17">
        <f>IF($T726="",IF(AND(COUNTA($A726:$K726)&gt;0,$L726=""),"Awaiting Collection Email time stamp.",""),IF(OR($T726="PAID",$T726="CLOSED"),IF($T726="PAID","Account paid. Action completed.","Account closed. No further action required."),CHOOSE($W726,"Collection Email","1st Email Follow-up","2nd Email Follow-up","Escalation to Local Office","Escalation to CBE","Escalation to Roxanne")&amp;" sent "&amp;TEXT($X726,"dd-mmm")&amp;". "&amp;IF($W726=6,"Final escalation completed.",IF($T726="OVERDUE","Next: "&amp;$Z726&amp;" was due "&amp;TEXT($Y726,"dd-mmm")&amp;" - "&amp;(NETWORKDAYS($Y726,TODAY(),Holidays)-1)&amp;" business day(s) late. Send now.",IF($T726="DUE TOMORROW","Next: "&amp;$Z726&amp;IF($Y726&lt;=TODAY()," is due TODAY ("," is due next business day (")&amp;TEXT($Y726,"dd-mmm")&amp;").","Next: "&amp;$Z726&amp;" due "&amp;TEXT($Y726,"dd-mmm")&amp;" ("&amp;(NETWORKDAYS(TODAY(),$Y726,Holidays)-1)&amp;" business day(s) left).")))))</f>
        <v/>
      </c>
      <c r="V726" s="17">
        <f>IF($W726="","",CHOOSE($W726,"Collection Email","1st Follow-up","2nd Follow-up","Local Office","CBE","Roxanne")&amp;IF($W726=6," - Final"," - Day "&amp;MAX(0,NETWORKDAYS($X726,TODAY(),Holidays)-1)&amp;" of "&amp;CHOOSE($W726,3,3,2,2,3))&amp;" | Total Day "&amp;MAX(0,NETWORKDAYS($L726,TODAY(),Holidays)-1))</f>
        <v/>
      </c>
      <c r="W726" s="17">
        <f>IF($L726="","",COUNT($L726:$Q726))</f>
        <v/>
      </c>
      <c r="X726" s="18">
        <f>IF($W726="","",INT(INDEX($L726:$Q726,$W726)))</f>
        <v/>
      </c>
      <c r="Y726" s="18">
        <f>IF(OR($W726="",$W726=6),"",WORKDAY($X726,CHOOSE($W726,3,3,2,2,3),Holidays))</f>
        <v/>
      </c>
      <c r="Z726" s="17">
        <f>IF(OR($W726="",$W726=6),"",CHOOSE($W726,"1st Email Follow-up","2nd Email Follow-up","Escalate Local Office","Escalate to CBE","Escalate to Roxanne"))</f>
        <v/>
      </c>
    </row>
    <row r="727" spans="18:26">
      <c r="R727" s="15"/>
      <c r="S727" s="16"/>
      <c r="T727" s="17">
        <f>IF(AND(COUNTA($A727:$K727)=0,$L727=""),"",IF($S727="Paid","PAID",IF($S727="Closed","CLOSED",IF($W727="","",IF($W727=6,"ESCALATED TO ROXANNE",IF(TODAY()&gt;$Y727,"OVERDUE",IF($Y727&lt;=WORKDAY(TODAY(),1,Holidays),"DUE TOMORROW",IF($W727=4,"ESCALATED TO LOCAL OFFICE",IF($W727=5,"ESCALATED TO CBE",IF($X727=TODAY(),"EMAIL SENT","MONITORING"))))))))))</f>
        <v/>
      </c>
      <c r="U727" s="17">
        <f>IF($T727="",IF(AND(COUNTA($A727:$K727)&gt;0,$L727=""),"Awaiting Collection Email time stamp.",""),IF(OR($T727="PAID",$T727="CLOSED"),IF($T727="PAID","Account paid. Action completed.","Account closed. No further action required."),CHOOSE($W727,"Collection Email","1st Email Follow-up","2nd Email Follow-up","Escalation to Local Office","Escalation to CBE","Escalation to Roxanne")&amp;" sent "&amp;TEXT($X727,"dd-mmm")&amp;". "&amp;IF($W727=6,"Final escalation completed.",IF($T727="OVERDUE","Next: "&amp;$Z727&amp;" was due "&amp;TEXT($Y727,"dd-mmm")&amp;" - "&amp;(NETWORKDAYS($Y727,TODAY(),Holidays)-1)&amp;" business day(s) late. Send now.",IF($T727="DUE TOMORROW","Next: "&amp;$Z727&amp;IF($Y727&lt;=TODAY()," is due TODAY ("," is due next business day (")&amp;TEXT($Y727,"dd-mmm")&amp;").","Next: "&amp;$Z727&amp;" due "&amp;TEXT($Y727,"dd-mmm")&amp;" ("&amp;(NETWORKDAYS(TODAY(),$Y727,Holidays)-1)&amp;" business day(s) left).")))))</f>
        <v/>
      </c>
      <c r="V727" s="17">
        <f>IF($W727="","",CHOOSE($W727,"Collection Email","1st Follow-up","2nd Follow-up","Local Office","CBE","Roxanne")&amp;IF($W727=6," - Final"," - Day "&amp;MAX(0,NETWORKDAYS($X727,TODAY(),Holidays)-1)&amp;" of "&amp;CHOOSE($W727,3,3,2,2,3))&amp;" | Total Day "&amp;MAX(0,NETWORKDAYS($L727,TODAY(),Holidays)-1))</f>
        <v/>
      </c>
      <c r="W727" s="17">
        <f>IF($L727="","",COUNT($L727:$Q727))</f>
        <v/>
      </c>
      <c r="X727" s="18">
        <f>IF($W727="","",INT(INDEX($L727:$Q727,$W727)))</f>
        <v/>
      </c>
      <c r="Y727" s="18">
        <f>IF(OR($W727="",$W727=6),"",WORKDAY($X727,CHOOSE($W727,3,3,2,2,3),Holidays))</f>
        <v/>
      </c>
      <c r="Z727" s="17">
        <f>IF(OR($W727="",$W727=6),"",CHOOSE($W727,"1st Email Follow-up","2nd Email Follow-up","Escalate Local Office","Escalate to CBE","Escalate to Roxanne"))</f>
        <v/>
      </c>
    </row>
    <row r="728" spans="18:26">
      <c r="R728" s="15"/>
      <c r="S728" s="16"/>
      <c r="T728" s="17">
        <f>IF(AND(COUNTA($A728:$K728)=0,$L728=""),"",IF($S728="Paid","PAID",IF($S728="Closed","CLOSED",IF($W728="","",IF($W728=6,"ESCALATED TO ROXANNE",IF(TODAY()&gt;$Y728,"OVERDUE",IF($Y728&lt;=WORKDAY(TODAY(),1,Holidays),"DUE TOMORROW",IF($W728=4,"ESCALATED TO LOCAL OFFICE",IF($W728=5,"ESCALATED TO CBE",IF($X728=TODAY(),"EMAIL SENT","MONITORING"))))))))))</f>
        <v/>
      </c>
      <c r="U728" s="17">
        <f>IF($T728="",IF(AND(COUNTA($A728:$K728)&gt;0,$L728=""),"Awaiting Collection Email time stamp.",""),IF(OR($T728="PAID",$T728="CLOSED"),IF($T728="PAID","Account paid. Action completed.","Account closed. No further action required."),CHOOSE($W728,"Collection Email","1st Email Follow-up","2nd Email Follow-up","Escalation to Local Office","Escalation to CBE","Escalation to Roxanne")&amp;" sent "&amp;TEXT($X728,"dd-mmm")&amp;". "&amp;IF($W728=6,"Final escalation completed.",IF($T728="OVERDUE","Next: "&amp;$Z728&amp;" was due "&amp;TEXT($Y728,"dd-mmm")&amp;" - "&amp;(NETWORKDAYS($Y728,TODAY(),Holidays)-1)&amp;" business day(s) late. Send now.",IF($T728="DUE TOMORROW","Next: "&amp;$Z728&amp;IF($Y728&lt;=TODAY()," is due TODAY ("," is due next business day (")&amp;TEXT($Y728,"dd-mmm")&amp;").","Next: "&amp;$Z728&amp;" due "&amp;TEXT($Y728,"dd-mmm")&amp;" ("&amp;(NETWORKDAYS(TODAY(),$Y728,Holidays)-1)&amp;" business day(s) left).")))))</f>
        <v/>
      </c>
      <c r="V728" s="17">
        <f>IF($W728="","",CHOOSE($W728,"Collection Email","1st Follow-up","2nd Follow-up","Local Office","CBE","Roxanne")&amp;IF($W728=6," - Final"," - Day "&amp;MAX(0,NETWORKDAYS($X728,TODAY(),Holidays)-1)&amp;" of "&amp;CHOOSE($W728,3,3,2,2,3))&amp;" | Total Day "&amp;MAX(0,NETWORKDAYS($L728,TODAY(),Holidays)-1))</f>
        <v/>
      </c>
      <c r="W728" s="17">
        <f>IF($L728="","",COUNT($L728:$Q728))</f>
        <v/>
      </c>
      <c r="X728" s="18">
        <f>IF($W728="","",INT(INDEX($L728:$Q728,$W728)))</f>
        <v/>
      </c>
      <c r="Y728" s="18">
        <f>IF(OR($W728="",$W728=6),"",WORKDAY($X728,CHOOSE($W728,3,3,2,2,3),Holidays))</f>
        <v/>
      </c>
      <c r="Z728" s="17">
        <f>IF(OR($W728="",$W728=6),"",CHOOSE($W728,"1st Email Follow-up","2nd Email Follow-up","Escalate Local Office","Escalate to CBE","Escalate to Roxanne"))</f>
        <v/>
      </c>
    </row>
    <row r="729" spans="18:26">
      <c r="R729" s="15"/>
      <c r="S729" s="16"/>
      <c r="T729" s="17">
        <f>IF(AND(COUNTA($A729:$K729)=0,$L729=""),"",IF($S729="Paid","PAID",IF($S729="Closed","CLOSED",IF($W729="","",IF($W729=6,"ESCALATED TO ROXANNE",IF(TODAY()&gt;$Y729,"OVERDUE",IF($Y729&lt;=WORKDAY(TODAY(),1,Holidays),"DUE TOMORROW",IF($W729=4,"ESCALATED TO LOCAL OFFICE",IF($W729=5,"ESCALATED TO CBE",IF($X729=TODAY(),"EMAIL SENT","MONITORING"))))))))))</f>
        <v/>
      </c>
      <c r="U729" s="17">
        <f>IF($T729="",IF(AND(COUNTA($A729:$K729)&gt;0,$L729=""),"Awaiting Collection Email time stamp.",""),IF(OR($T729="PAID",$T729="CLOSED"),IF($T729="PAID","Account paid. Action completed.","Account closed. No further action required."),CHOOSE($W729,"Collection Email","1st Email Follow-up","2nd Email Follow-up","Escalation to Local Office","Escalation to CBE","Escalation to Roxanne")&amp;" sent "&amp;TEXT($X729,"dd-mmm")&amp;". "&amp;IF($W729=6,"Final escalation completed.",IF($T729="OVERDUE","Next: "&amp;$Z729&amp;" was due "&amp;TEXT($Y729,"dd-mmm")&amp;" - "&amp;(NETWORKDAYS($Y729,TODAY(),Holidays)-1)&amp;" business day(s) late. Send now.",IF($T729="DUE TOMORROW","Next: "&amp;$Z729&amp;IF($Y729&lt;=TODAY()," is due TODAY ("," is due next business day (")&amp;TEXT($Y729,"dd-mmm")&amp;").","Next: "&amp;$Z729&amp;" due "&amp;TEXT($Y729,"dd-mmm")&amp;" ("&amp;(NETWORKDAYS(TODAY(),$Y729,Holidays)-1)&amp;" business day(s) left).")))))</f>
        <v/>
      </c>
      <c r="V729" s="17">
        <f>IF($W729="","",CHOOSE($W729,"Collection Email","1st Follow-up","2nd Follow-up","Local Office","CBE","Roxanne")&amp;IF($W729=6," - Final"," - Day "&amp;MAX(0,NETWORKDAYS($X729,TODAY(),Holidays)-1)&amp;" of "&amp;CHOOSE($W729,3,3,2,2,3))&amp;" | Total Day "&amp;MAX(0,NETWORKDAYS($L729,TODAY(),Holidays)-1))</f>
        <v/>
      </c>
      <c r="W729" s="17">
        <f>IF($L729="","",COUNT($L729:$Q729))</f>
        <v/>
      </c>
      <c r="X729" s="18">
        <f>IF($W729="","",INT(INDEX($L729:$Q729,$W729)))</f>
        <v/>
      </c>
      <c r="Y729" s="18">
        <f>IF(OR($W729="",$W729=6),"",WORKDAY($X729,CHOOSE($W729,3,3,2,2,3),Holidays))</f>
        <v/>
      </c>
      <c r="Z729" s="17">
        <f>IF(OR($W729="",$W729=6),"",CHOOSE($W729,"1st Email Follow-up","2nd Email Follow-up","Escalate Local Office","Escalate to CBE","Escalate to Roxanne"))</f>
        <v/>
      </c>
    </row>
    <row r="730" spans="18:26">
      <c r="R730" s="15"/>
      <c r="S730" s="16"/>
      <c r="T730" s="17">
        <f>IF(AND(COUNTA($A730:$K730)=0,$L730=""),"",IF($S730="Paid","PAID",IF($S730="Closed","CLOSED",IF($W730="","",IF($W730=6,"ESCALATED TO ROXANNE",IF(TODAY()&gt;$Y730,"OVERDUE",IF($Y730&lt;=WORKDAY(TODAY(),1,Holidays),"DUE TOMORROW",IF($W730=4,"ESCALATED TO LOCAL OFFICE",IF($W730=5,"ESCALATED TO CBE",IF($X730=TODAY(),"EMAIL SENT","MONITORING"))))))))))</f>
        <v/>
      </c>
      <c r="U730" s="17">
        <f>IF($T730="",IF(AND(COUNTA($A730:$K730)&gt;0,$L730=""),"Awaiting Collection Email time stamp.",""),IF(OR($T730="PAID",$T730="CLOSED"),IF($T730="PAID","Account paid. Action completed.","Account closed. No further action required."),CHOOSE($W730,"Collection Email","1st Email Follow-up","2nd Email Follow-up","Escalation to Local Office","Escalation to CBE","Escalation to Roxanne")&amp;" sent "&amp;TEXT($X730,"dd-mmm")&amp;". "&amp;IF($W730=6,"Final escalation completed.",IF($T730="OVERDUE","Next: "&amp;$Z730&amp;" was due "&amp;TEXT($Y730,"dd-mmm")&amp;" - "&amp;(NETWORKDAYS($Y730,TODAY(),Holidays)-1)&amp;" business day(s) late. Send now.",IF($T730="DUE TOMORROW","Next: "&amp;$Z730&amp;IF($Y730&lt;=TODAY()," is due TODAY ("," is due next business day (")&amp;TEXT($Y730,"dd-mmm")&amp;").","Next: "&amp;$Z730&amp;" due "&amp;TEXT($Y730,"dd-mmm")&amp;" ("&amp;(NETWORKDAYS(TODAY(),$Y730,Holidays)-1)&amp;" business day(s) left).")))))</f>
        <v/>
      </c>
      <c r="V730" s="17">
        <f>IF($W730="","",CHOOSE($W730,"Collection Email","1st Follow-up","2nd Follow-up","Local Office","CBE","Roxanne")&amp;IF($W730=6," - Final"," - Day "&amp;MAX(0,NETWORKDAYS($X730,TODAY(),Holidays)-1)&amp;" of "&amp;CHOOSE($W730,3,3,2,2,3))&amp;" | Total Day "&amp;MAX(0,NETWORKDAYS($L730,TODAY(),Holidays)-1))</f>
        <v/>
      </c>
      <c r="W730" s="17">
        <f>IF($L730="","",COUNT($L730:$Q730))</f>
        <v/>
      </c>
      <c r="X730" s="18">
        <f>IF($W730="","",INT(INDEX($L730:$Q730,$W730)))</f>
        <v/>
      </c>
      <c r="Y730" s="18">
        <f>IF(OR($W730="",$W730=6),"",WORKDAY($X730,CHOOSE($W730,3,3,2,2,3),Holidays))</f>
        <v/>
      </c>
      <c r="Z730" s="17">
        <f>IF(OR($W730="",$W730=6),"",CHOOSE($W730,"1st Email Follow-up","2nd Email Follow-up","Escalate Local Office","Escalate to CBE","Escalate to Roxanne"))</f>
        <v/>
      </c>
    </row>
    <row r="731" spans="18:26">
      <c r="R731" s="15"/>
      <c r="S731" s="16"/>
      <c r="T731" s="17">
        <f>IF(AND(COUNTA($A731:$K731)=0,$L731=""),"",IF($S731="Paid","PAID",IF($S731="Closed","CLOSED",IF($W731="","",IF($W731=6,"ESCALATED TO ROXANNE",IF(TODAY()&gt;$Y731,"OVERDUE",IF($Y731&lt;=WORKDAY(TODAY(),1,Holidays),"DUE TOMORROW",IF($W731=4,"ESCALATED TO LOCAL OFFICE",IF($W731=5,"ESCALATED TO CBE",IF($X731=TODAY(),"EMAIL SENT","MONITORING"))))))))))</f>
        <v/>
      </c>
      <c r="U731" s="17">
        <f>IF($T731="",IF(AND(COUNTA($A731:$K731)&gt;0,$L731=""),"Awaiting Collection Email time stamp.",""),IF(OR($T731="PAID",$T731="CLOSED"),IF($T731="PAID","Account paid. Action completed.","Account closed. No further action required."),CHOOSE($W731,"Collection Email","1st Email Follow-up","2nd Email Follow-up","Escalation to Local Office","Escalation to CBE","Escalation to Roxanne")&amp;" sent "&amp;TEXT($X731,"dd-mmm")&amp;". "&amp;IF($W731=6,"Final escalation completed.",IF($T731="OVERDUE","Next: "&amp;$Z731&amp;" was due "&amp;TEXT($Y731,"dd-mmm")&amp;" - "&amp;(NETWORKDAYS($Y731,TODAY(),Holidays)-1)&amp;" business day(s) late. Send now.",IF($T731="DUE TOMORROW","Next: "&amp;$Z731&amp;IF($Y731&lt;=TODAY()," is due TODAY ("," is due next business day (")&amp;TEXT($Y731,"dd-mmm")&amp;").","Next: "&amp;$Z731&amp;" due "&amp;TEXT($Y731,"dd-mmm")&amp;" ("&amp;(NETWORKDAYS(TODAY(),$Y731,Holidays)-1)&amp;" business day(s) left).")))))</f>
        <v/>
      </c>
      <c r="V731" s="17">
        <f>IF($W731="","",CHOOSE($W731,"Collection Email","1st Follow-up","2nd Follow-up","Local Office","CBE","Roxanne")&amp;IF($W731=6," - Final"," - Day "&amp;MAX(0,NETWORKDAYS($X731,TODAY(),Holidays)-1)&amp;" of "&amp;CHOOSE($W731,3,3,2,2,3))&amp;" | Total Day "&amp;MAX(0,NETWORKDAYS($L731,TODAY(),Holidays)-1))</f>
        <v/>
      </c>
      <c r="W731" s="17">
        <f>IF($L731="","",COUNT($L731:$Q731))</f>
        <v/>
      </c>
      <c r="X731" s="18">
        <f>IF($W731="","",INT(INDEX($L731:$Q731,$W731)))</f>
        <v/>
      </c>
      <c r="Y731" s="18">
        <f>IF(OR($W731="",$W731=6),"",WORKDAY($X731,CHOOSE($W731,3,3,2,2,3),Holidays))</f>
        <v/>
      </c>
      <c r="Z731" s="17">
        <f>IF(OR($W731="",$W731=6),"",CHOOSE($W731,"1st Email Follow-up","2nd Email Follow-up","Escalate Local Office","Escalate to CBE","Escalate to Roxanne"))</f>
        <v/>
      </c>
    </row>
    <row r="732" spans="18:26">
      <c r="R732" s="15"/>
      <c r="S732" s="16"/>
      <c r="T732" s="17">
        <f>IF(AND(COUNTA($A732:$K732)=0,$L732=""),"",IF($S732="Paid","PAID",IF($S732="Closed","CLOSED",IF($W732="","",IF($W732=6,"ESCALATED TO ROXANNE",IF(TODAY()&gt;$Y732,"OVERDUE",IF($Y732&lt;=WORKDAY(TODAY(),1,Holidays),"DUE TOMORROW",IF($W732=4,"ESCALATED TO LOCAL OFFICE",IF($W732=5,"ESCALATED TO CBE",IF($X732=TODAY(),"EMAIL SENT","MONITORING"))))))))))</f>
        <v/>
      </c>
      <c r="U732" s="17">
        <f>IF($T732="",IF(AND(COUNTA($A732:$K732)&gt;0,$L732=""),"Awaiting Collection Email time stamp.",""),IF(OR($T732="PAID",$T732="CLOSED"),IF($T732="PAID","Account paid. Action completed.","Account closed. No further action required."),CHOOSE($W732,"Collection Email","1st Email Follow-up","2nd Email Follow-up","Escalation to Local Office","Escalation to CBE","Escalation to Roxanne")&amp;" sent "&amp;TEXT($X732,"dd-mmm")&amp;". "&amp;IF($W732=6,"Final escalation completed.",IF($T732="OVERDUE","Next: "&amp;$Z732&amp;" was due "&amp;TEXT($Y732,"dd-mmm")&amp;" - "&amp;(NETWORKDAYS($Y732,TODAY(),Holidays)-1)&amp;" business day(s) late. Send now.",IF($T732="DUE TOMORROW","Next: "&amp;$Z732&amp;IF($Y732&lt;=TODAY()," is due TODAY ("," is due next business day (")&amp;TEXT($Y732,"dd-mmm")&amp;").","Next: "&amp;$Z732&amp;" due "&amp;TEXT($Y732,"dd-mmm")&amp;" ("&amp;(NETWORKDAYS(TODAY(),$Y732,Holidays)-1)&amp;" business day(s) left).")))))</f>
        <v/>
      </c>
      <c r="V732" s="17">
        <f>IF($W732="","",CHOOSE($W732,"Collection Email","1st Follow-up","2nd Follow-up","Local Office","CBE","Roxanne")&amp;IF($W732=6," - Final"," - Day "&amp;MAX(0,NETWORKDAYS($X732,TODAY(),Holidays)-1)&amp;" of "&amp;CHOOSE($W732,3,3,2,2,3))&amp;" | Total Day "&amp;MAX(0,NETWORKDAYS($L732,TODAY(),Holidays)-1))</f>
        <v/>
      </c>
      <c r="W732" s="17">
        <f>IF($L732="","",COUNT($L732:$Q732))</f>
        <v/>
      </c>
      <c r="X732" s="18">
        <f>IF($W732="","",INT(INDEX($L732:$Q732,$W732)))</f>
        <v/>
      </c>
      <c r="Y732" s="18">
        <f>IF(OR($W732="",$W732=6),"",WORKDAY($X732,CHOOSE($W732,3,3,2,2,3),Holidays))</f>
        <v/>
      </c>
      <c r="Z732" s="17">
        <f>IF(OR($W732="",$W732=6),"",CHOOSE($W732,"1st Email Follow-up","2nd Email Follow-up","Escalate Local Office","Escalate to CBE","Escalate to Roxanne"))</f>
        <v/>
      </c>
    </row>
    <row r="733" spans="18:26">
      <c r="R733" s="15"/>
      <c r="S733" s="16"/>
      <c r="T733" s="17">
        <f>IF(AND(COUNTA($A733:$K733)=0,$L733=""),"",IF($S733="Paid","PAID",IF($S733="Closed","CLOSED",IF($W733="","",IF($W733=6,"ESCALATED TO ROXANNE",IF(TODAY()&gt;$Y733,"OVERDUE",IF($Y733&lt;=WORKDAY(TODAY(),1,Holidays),"DUE TOMORROW",IF($W733=4,"ESCALATED TO LOCAL OFFICE",IF($W733=5,"ESCALATED TO CBE",IF($X733=TODAY(),"EMAIL SENT","MONITORING"))))))))))</f>
        <v/>
      </c>
      <c r="U733" s="17">
        <f>IF($T733="",IF(AND(COUNTA($A733:$K733)&gt;0,$L733=""),"Awaiting Collection Email time stamp.",""),IF(OR($T733="PAID",$T733="CLOSED"),IF($T733="PAID","Account paid. Action completed.","Account closed. No further action required."),CHOOSE($W733,"Collection Email","1st Email Follow-up","2nd Email Follow-up","Escalation to Local Office","Escalation to CBE","Escalation to Roxanne")&amp;" sent "&amp;TEXT($X733,"dd-mmm")&amp;". "&amp;IF($W733=6,"Final escalation completed.",IF($T733="OVERDUE","Next: "&amp;$Z733&amp;" was due "&amp;TEXT($Y733,"dd-mmm")&amp;" - "&amp;(NETWORKDAYS($Y733,TODAY(),Holidays)-1)&amp;" business day(s) late. Send now.",IF($T733="DUE TOMORROW","Next: "&amp;$Z733&amp;IF($Y733&lt;=TODAY()," is due TODAY ("," is due next business day (")&amp;TEXT($Y733,"dd-mmm")&amp;").","Next: "&amp;$Z733&amp;" due "&amp;TEXT($Y733,"dd-mmm")&amp;" ("&amp;(NETWORKDAYS(TODAY(),$Y733,Holidays)-1)&amp;" business day(s) left).")))))</f>
        <v/>
      </c>
      <c r="V733" s="17">
        <f>IF($W733="","",CHOOSE($W733,"Collection Email","1st Follow-up","2nd Follow-up","Local Office","CBE","Roxanne")&amp;IF($W733=6," - Final"," - Day "&amp;MAX(0,NETWORKDAYS($X733,TODAY(),Holidays)-1)&amp;" of "&amp;CHOOSE($W733,3,3,2,2,3))&amp;" | Total Day "&amp;MAX(0,NETWORKDAYS($L733,TODAY(),Holidays)-1))</f>
        <v/>
      </c>
      <c r="W733" s="17">
        <f>IF($L733="","",COUNT($L733:$Q733))</f>
        <v/>
      </c>
      <c r="X733" s="18">
        <f>IF($W733="","",INT(INDEX($L733:$Q733,$W733)))</f>
        <v/>
      </c>
      <c r="Y733" s="18">
        <f>IF(OR($W733="",$W733=6),"",WORKDAY($X733,CHOOSE($W733,3,3,2,2,3),Holidays))</f>
        <v/>
      </c>
      <c r="Z733" s="17">
        <f>IF(OR($W733="",$W733=6),"",CHOOSE($W733,"1st Email Follow-up","2nd Email Follow-up","Escalate Local Office","Escalate to CBE","Escalate to Roxanne"))</f>
        <v/>
      </c>
    </row>
    <row r="734" spans="18:26">
      <c r="R734" s="15"/>
      <c r="S734" s="16"/>
      <c r="T734" s="17">
        <f>IF(AND(COUNTA($A734:$K734)=0,$L734=""),"",IF($S734="Paid","PAID",IF($S734="Closed","CLOSED",IF($W734="","",IF($W734=6,"ESCALATED TO ROXANNE",IF(TODAY()&gt;$Y734,"OVERDUE",IF($Y734&lt;=WORKDAY(TODAY(),1,Holidays),"DUE TOMORROW",IF($W734=4,"ESCALATED TO LOCAL OFFICE",IF($W734=5,"ESCALATED TO CBE",IF($X734=TODAY(),"EMAIL SENT","MONITORING"))))))))))</f>
        <v/>
      </c>
      <c r="U734" s="17">
        <f>IF($T734="",IF(AND(COUNTA($A734:$K734)&gt;0,$L734=""),"Awaiting Collection Email time stamp.",""),IF(OR($T734="PAID",$T734="CLOSED"),IF($T734="PAID","Account paid. Action completed.","Account closed. No further action required."),CHOOSE($W734,"Collection Email","1st Email Follow-up","2nd Email Follow-up","Escalation to Local Office","Escalation to CBE","Escalation to Roxanne")&amp;" sent "&amp;TEXT($X734,"dd-mmm")&amp;". "&amp;IF($W734=6,"Final escalation completed.",IF($T734="OVERDUE","Next: "&amp;$Z734&amp;" was due "&amp;TEXT($Y734,"dd-mmm")&amp;" - "&amp;(NETWORKDAYS($Y734,TODAY(),Holidays)-1)&amp;" business day(s) late. Send now.",IF($T734="DUE TOMORROW","Next: "&amp;$Z734&amp;IF($Y734&lt;=TODAY()," is due TODAY ("," is due next business day (")&amp;TEXT($Y734,"dd-mmm")&amp;").","Next: "&amp;$Z734&amp;" due "&amp;TEXT($Y734,"dd-mmm")&amp;" ("&amp;(NETWORKDAYS(TODAY(),$Y734,Holidays)-1)&amp;" business day(s) left).")))))</f>
        <v/>
      </c>
      <c r="V734" s="17">
        <f>IF($W734="","",CHOOSE($W734,"Collection Email","1st Follow-up","2nd Follow-up","Local Office","CBE","Roxanne")&amp;IF($W734=6," - Final"," - Day "&amp;MAX(0,NETWORKDAYS($X734,TODAY(),Holidays)-1)&amp;" of "&amp;CHOOSE($W734,3,3,2,2,3))&amp;" | Total Day "&amp;MAX(0,NETWORKDAYS($L734,TODAY(),Holidays)-1))</f>
        <v/>
      </c>
      <c r="W734" s="17">
        <f>IF($L734="","",COUNT($L734:$Q734))</f>
        <v/>
      </c>
      <c r="X734" s="18">
        <f>IF($W734="","",INT(INDEX($L734:$Q734,$W734)))</f>
        <v/>
      </c>
      <c r="Y734" s="18">
        <f>IF(OR($W734="",$W734=6),"",WORKDAY($X734,CHOOSE($W734,3,3,2,2,3),Holidays))</f>
        <v/>
      </c>
      <c r="Z734" s="17">
        <f>IF(OR($W734="",$W734=6),"",CHOOSE($W734,"1st Email Follow-up","2nd Email Follow-up","Escalate Local Office","Escalate to CBE","Escalate to Roxanne"))</f>
        <v/>
      </c>
    </row>
    <row r="735" spans="18:26">
      <c r="R735" s="15"/>
      <c r="S735" s="16"/>
      <c r="T735" s="17">
        <f>IF(AND(COUNTA($A735:$K735)=0,$L735=""),"",IF($S735="Paid","PAID",IF($S735="Closed","CLOSED",IF($W735="","",IF($W735=6,"ESCALATED TO ROXANNE",IF(TODAY()&gt;$Y735,"OVERDUE",IF($Y735&lt;=WORKDAY(TODAY(),1,Holidays),"DUE TOMORROW",IF($W735=4,"ESCALATED TO LOCAL OFFICE",IF($W735=5,"ESCALATED TO CBE",IF($X735=TODAY(),"EMAIL SENT","MONITORING"))))))))))</f>
        <v/>
      </c>
      <c r="U735" s="17">
        <f>IF($T735="",IF(AND(COUNTA($A735:$K735)&gt;0,$L735=""),"Awaiting Collection Email time stamp.",""),IF(OR($T735="PAID",$T735="CLOSED"),IF($T735="PAID","Account paid. Action completed.","Account closed. No further action required."),CHOOSE($W735,"Collection Email","1st Email Follow-up","2nd Email Follow-up","Escalation to Local Office","Escalation to CBE","Escalation to Roxanne")&amp;" sent "&amp;TEXT($X735,"dd-mmm")&amp;". "&amp;IF($W735=6,"Final escalation completed.",IF($T735="OVERDUE","Next: "&amp;$Z735&amp;" was due "&amp;TEXT($Y735,"dd-mmm")&amp;" - "&amp;(NETWORKDAYS($Y735,TODAY(),Holidays)-1)&amp;" business day(s) late. Send now.",IF($T735="DUE TOMORROW","Next: "&amp;$Z735&amp;IF($Y735&lt;=TODAY()," is due TODAY ("," is due next business day (")&amp;TEXT($Y735,"dd-mmm")&amp;").","Next: "&amp;$Z735&amp;" due "&amp;TEXT($Y735,"dd-mmm")&amp;" ("&amp;(NETWORKDAYS(TODAY(),$Y735,Holidays)-1)&amp;" business day(s) left).")))))</f>
        <v/>
      </c>
      <c r="V735" s="17">
        <f>IF($W735="","",CHOOSE($W735,"Collection Email","1st Follow-up","2nd Follow-up","Local Office","CBE","Roxanne")&amp;IF($W735=6," - Final"," - Day "&amp;MAX(0,NETWORKDAYS($X735,TODAY(),Holidays)-1)&amp;" of "&amp;CHOOSE($W735,3,3,2,2,3))&amp;" | Total Day "&amp;MAX(0,NETWORKDAYS($L735,TODAY(),Holidays)-1))</f>
        <v/>
      </c>
      <c r="W735" s="17">
        <f>IF($L735="","",COUNT($L735:$Q735))</f>
        <v/>
      </c>
      <c r="X735" s="18">
        <f>IF($W735="","",INT(INDEX($L735:$Q735,$W735)))</f>
        <v/>
      </c>
      <c r="Y735" s="18">
        <f>IF(OR($W735="",$W735=6),"",WORKDAY($X735,CHOOSE($W735,3,3,2,2,3),Holidays))</f>
        <v/>
      </c>
      <c r="Z735" s="17">
        <f>IF(OR($W735="",$W735=6),"",CHOOSE($W735,"1st Email Follow-up","2nd Email Follow-up","Escalate Local Office","Escalate to CBE","Escalate to Roxanne"))</f>
        <v/>
      </c>
    </row>
    <row r="736" spans="18:26">
      <c r="R736" s="15"/>
      <c r="S736" s="16"/>
      <c r="T736" s="17">
        <f>IF(AND(COUNTA($A736:$K736)=0,$L736=""),"",IF($S736="Paid","PAID",IF($S736="Closed","CLOSED",IF($W736="","",IF($W736=6,"ESCALATED TO ROXANNE",IF(TODAY()&gt;$Y736,"OVERDUE",IF($Y736&lt;=WORKDAY(TODAY(),1,Holidays),"DUE TOMORROW",IF($W736=4,"ESCALATED TO LOCAL OFFICE",IF($W736=5,"ESCALATED TO CBE",IF($X736=TODAY(),"EMAIL SENT","MONITORING"))))))))))</f>
        <v/>
      </c>
      <c r="U736" s="17">
        <f>IF($T736="",IF(AND(COUNTA($A736:$K736)&gt;0,$L736=""),"Awaiting Collection Email time stamp.",""),IF(OR($T736="PAID",$T736="CLOSED"),IF($T736="PAID","Account paid. Action completed.","Account closed. No further action required."),CHOOSE($W736,"Collection Email","1st Email Follow-up","2nd Email Follow-up","Escalation to Local Office","Escalation to CBE","Escalation to Roxanne")&amp;" sent "&amp;TEXT($X736,"dd-mmm")&amp;". "&amp;IF($W736=6,"Final escalation completed.",IF($T736="OVERDUE","Next: "&amp;$Z736&amp;" was due "&amp;TEXT($Y736,"dd-mmm")&amp;" - "&amp;(NETWORKDAYS($Y736,TODAY(),Holidays)-1)&amp;" business day(s) late. Send now.",IF($T736="DUE TOMORROW","Next: "&amp;$Z736&amp;IF($Y736&lt;=TODAY()," is due TODAY ("," is due next business day (")&amp;TEXT($Y736,"dd-mmm")&amp;").","Next: "&amp;$Z736&amp;" due "&amp;TEXT($Y736,"dd-mmm")&amp;" ("&amp;(NETWORKDAYS(TODAY(),$Y736,Holidays)-1)&amp;" business day(s) left).")))))</f>
        <v/>
      </c>
      <c r="V736" s="17">
        <f>IF($W736="","",CHOOSE($W736,"Collection Email","1st Follow-up","2nd Follow-up","Local Office","CBE","Roxanne")&amp;IF($W736=6," - Final"," - Day "&amp;MAX(0,NETWORKDAYS($X736,TODAY(),Holidays)-1)&amp;" of "&amp;CHOOSE($W736,3,3,2,2,3))&amp;" | Total Day "&amp;MAX(0,NETWORKDAYS($L736,TODAY(),Holidays)-1))</f>
        <v/>
      </c>
      <c r="W736" s="17">
        <f>IF($L736="","",COUNT($L736:$Q736))</f>
        <v/>
      </c>
      <c r="X736" s="18">
        <f>IF($W736="","",INT(INDEX($L736:$Q736,$W736)))</f>
        <v/>
      </c>
      <c r="Y736" s="18">
        <f>IF(OR($W736="",$W736=6),"",WORKDAY($X736,CHOOSE($W736,3,3,2,2,3),Holidays))</f>
        <v/>
      </c>
      <c r="Z736" s="17">
        <f>IF(OR($W736="",$W736=6),"",CHOOSE($W736,"1st Email Follow-up","2nd Email Follow-up","Escalate Local Office","Escalate to CBE","Escalate to Roxanne"))</f>
        <v/>
      </c>
    </row>
    <row r="737" spans="18:26">
      <c r="R737" s="15"/>
      <c r="S737" s="16"/>
      <c r="T737" s="17">
        <f>IF(AND(COUNTA($A737:$K737)=0,$L737=""),"",IF($S737="Paid","PAID",IF($S737="Closed","CLOSED",IF($W737="","",IF($W737=6,"ESCALATED TO ROXANNE",IF(TODAY()&gt;$Y737,"OVERDUE",IF($Y737&lt;=WORKDAY(TODAY(),1,Holidays),"DUE TOMORROW",IF($W737=4,"ESCALATED TO LOCAL OFFICE",IF($W737=5,"ESCALATED TO CBE",IF($X737=TODAY(),"EMAIL SENT","MONITORING"))))))))))</f>
        <v/>
      </c>
      <c r="U737" s="17">
        <f>IF($T737="",IF(AND(COUNTA($A737:$K737)&gt;0,$L737=""),"Awaiting Collection Email time stamp.",""),IF(OR($T737="PAID",$T737="CLOSED"),IF($T737="PAID","Account paid. Action completed.","Account closed. No further action required."),CHOOSE($W737,"Collection Email","1st Email Follow-up","2nd Email Follow-up","Escalation to Local Office","Escalation to CBE","Escalation to Roxanne")&amp;" sent "&amp;TEXT($X737,"dd-mmm")&amp;". "&amp;IF($W737=6,"Final escalation completed.",IF($T737="OVERDUE","Next: "&amp;$Z737&amp;" was due "&amp;TEXT($Y737,"dd-mmm")&amp;" - "&amp;(NETWORKDAYS($Y737,TODAY(),Holidays)-1)&amp;" business day(s) late. Send now.",IF($T737="DUE TOMORROW","Next: "&amp;$Z737&amp;IF($Y737&lt;=TODAY()," is due TODAY ("," is due next business day (")&amp;TEXT($Y737,"dd-mmm")&amp;").","Next: "&amp;$Z737&amp;" due "&amp;TEXT($Y737,"dd-mmm")&amp;" ("&amp;(NETWORKDAYS(TODAY(),$Y737,Holidays)-1)&amp;" business day(s) left).")))))</f>
        <v/>
      </c>
      <c r="V737" s="17">
        <f>IF($W737="","",CHOOSE($W737,"Collection Email","1st Follow-up","2nd Follow-up","Local Office","CBE","Roxanne")&amp;IF($W737=6," - Final"," - Day "&amp;MAX(0,NETWORKDAYS($X737,TODAY(),Holidays)-1)&amp;" of "&amp;CHOOSE($W737,3,3,2,2,3))&amp;" | Total Day "&amp;MAX(0,NETWORKDAYS($L737,TODAY(),Holidays)-1))</f>
        <v/>
      </c>
      <c r="W737" s="17">
        <f>IF($L737="","",COUNT($L737:$Q737))</f>
        <v/>
      </c>
      <c r="X737" s="18">
        <f>IF($W737="","",INT(INDEX($L737:$Q737,$W737)))</f>
        <v/>
      </c>
      <c r="Y737" s="18">
        <f>IF(OR($W737="",$W737=6),"",WORKDAY($X737,CHOOSE($W737,3,3,2,2,3),Holidays))</f>
        <v/>
      </c>
      <c r="Z737" s="17">
        <f>IF(OR($W737="",$W737=6),"",CHOOSE($W737,"1st Email Follow-up","2nd Email Follow-up","Escalate Local Office","Escalate to CBE","Escalate to Roxanne"))</f>
        <v/>
      </c>
    </row>
    <row r="738" spans="18:26">
      <c r="R738" s="15"/>
      <c r="S738" s="16"/>
      <c r="T738" s="17">
        <f>IF(AND(COUNTA($A738:$K738)=0,$L738=""),"",IF($S738="Paid","PAID",IF($S738="Closed","CLOSED",IF($W738="","",IF($W738=6,"ESCALATED TO ROXANNE",IF(TODAY()&gt;$Y738,"OVERDUE",IF($Y738&lt;=WORKDAY(TODAY(),1,Holidays),"DUE TOMORROW",IF($W738=4,"ESCALATED TO LOCAL OFFICE",IF($W738=5,"ESCALATED TO CBE",IF($X738=TODAY(),"EMAIL SENT","MONITORING"))))))))))</f>
        <v/>
      </c>
      <c r="U738" s="17">
        <f>IF($T738="",IF(AND(COUNTA($A738:$K738)&gt;0,$L738=""),"Awaiting Collection Email time stamp.",""),IF(OR($T738="PAID",$T738="CLOSED"),IF($T738="PAID","Account paid. Action completed.","Account closed. No further action required."),CHOOSE($W738,"Collection Email","1st Email Follow-up","2nd Email Follow-up","Escalation to Local Office","Escalation to CBE","Escalation to Roxanne")&amp;" sent "&amp;TEXT($X738,"dd-mmm")&amp;". "&amp;IF($W738=6,"Final escalation completed.",IF($T738="OVERDUE","Next: "&amp;$Z738&amp;" was due "&amp;TEXT($Y738,"dd-mmm")&amp;" - "&amp;(NETWORKDAYS($Y738,TODAY(),Holidays)-1)&amp;" business day(s) late. Send now.",IF($T738="DUE TOMORROW","Next: "&amp;$Z738&amp;IF($Y738&lt;=TODAY()," is due TODAY ("," is due next business day (")&amp;TEXT($Y738,"dd-mmm")&amp;").","Next: "&amp;$Z738&amp;" due "&amp;TEXT($Y738,"dd-mmm")&amp;" ("&amp;(NETWORKDAYS(TODAY(),$Y738,Holidays)-1)&amp;" business day(s) left).")))))</f>
        <v/>
      </c>
      <c r="V738" s="17">
        <f>IF($W738="","",CHOOSE($W738,"Collection Email","1st Follow-up","2nd Follow-up","Local Office","CBE","Roxanne")&amp;IF($W738=6," - Final"," - Day "&amp;MAX(0,NETWORKDAYS($X738,TODAY(),Holidays)-1)&amp;" of "&amp;CHOOSE($W738,3,3,2,2,3))&amp;" | Total Day "&amp;MAX(0,NETWORKDAYS($L738,TODAY(),Holidays)-1))</f>
        <v/>
      </c>
      <c r="W738" s="17">
        <f>IF($L738="","",COUNT($L738:$Q738))</f>
        <v/>
      </c>
      <c r="X738" s="18">
        <f>IF($W738="","",INT(INDEX($L738:$Q738,$W738)))</f>
        <v/>
      </c>
      <c r="Y738" s="18">
        <f>IF(OR($W738="",$W738=6),"",WORKDAY($X738,CHOOSE($W738,3,3,2,2,3),Holidays))</f>
        <v/>
      </c>
      <c r="Z738" s="17">
        <f>IF(OR($W738="",$W738=6),"",CHOOSE($W738,"1st Email Follow-up","2nd Email Follow-up","Escalate Local Office","Escalate to CBE","Escalate to Roxanne"))</f>
        <v/>
      </c>
    </row>
    <row r="739" spans="18:26">
      <c r="R739" s="15"/>
      <c r="S739" s="16"/>
      <c r="T739" s="17">
        <f>IF(AND(COUNTA($A739:$K739)=0,$L739=""),"",IF($S739="Paid","PAID",IF($S739="Closed","CLOSED",IF($W739="","",IF($W739=6,"ESCALATED TO ROXANNE",IF(TODAY()&gt;$Y739,"OVERDUE",IF($Y739&lt;=WORKDAY(TODAY(),1,Holidays),"DUE TOMORROW",IF($W739=4,"ESCALATED TO LOCAL OFFICE",IF($W739=5,"ESCALATED TO CBE",IF($X739=TODAY(),"EMAIL SENT","MONITORING"))))))))))</f>
        <v/>
      </c>
      <c r="U739" s="17">
        <f>IF($T739="",IF(AND(COUNTA($A739:$K739)&gt;0,$L739=""),"Awaiting Collection Email time stamp.",""),IF(OR($T739="PAID",$T739="CLOSED"),IF($T739="PAID","Account paid. Action completed.","Account closed. No further action required."),CHOOSE($W739,"Collection Email","1st Email Follow-up","2nd Email Follow-up","Escalation to Local Office","Escalation to CBE","Escalation to Roxanne")&amp;" sent "&amp;TEXT($X739,"dd-mmm")&amp;". "&amp;IF($W739=6,"Final escalation completed.",IF($T739="OVERDUE","Next: "&amp;$Z739&amp;" was due "&amp;TEXT($Y739,"dd-mmm")&amp;" - "&amp;(NETWORKDAYS($Y739,TODAY(),Holidays)-1)&amp;" business day(s) late. Send now.",IF($T739="DUE TOMORROW","Next: "&amp;$Z739&amp;IF($Y739&lt;=TODAY()," is due TODAY ("," is due next business day (")&amp;TEXT($Y739,"dd-mmm")&amp;").","Next: "&amp;$Z739&amp;" due "&amp;TEXT($Y739,"dd-mmm")&amp;" ("&amp;(NETWORKDAYS(TODAY(),$Y739,Holidays)-1)&amp;" business day(s) left).")))))</f>
        <v/>
      </c>
      <c r="V739" s="17">
        <f>IF($W739="","",CHOOSE($W739,"Collection Email","1st Follow-up","2nd Follow-up","Local Office","CBE","Roxanne")&amp;IF($W739=6," - Final"," - Day "&amp;MAX(0,NETWORKDAYS($X739,TODAY(),Holidays)-1)&amp;" of "&amp;CHOOSE($W739,3,3,2,2,3))&amp;" | Total Day "&amp;MAX(0,NETWORKDAYS($L739,TODAY(),Holidays)-1))</f>
        <v/>
      </c>
      <c r="W739" s="17">
        <f>IF($L739="","",COUNT($L739:$Q739))</f>
        <v/>
      </c>
      <c r="X739" s="18">
        <f>IF($W739="","",INT(INDEX($L739:$Q739,$W739)))</f>
        <v/>
      </c>
      <c r="Y739" s="18">
        <f>IF(OR($W739="",$W739=6),"",WORKDAY($X739,CHOOSE($W739,3,3,2,2,3),Holidays))</f>
        <v/>
      </c>
      <c r="Z739" s="17">
        <f>IF(OR($W739="",$W739=6),"",CHOOSE($W739,"1st Email Follow-up","2nd Email Follow-up","Escalate Local Office","Escalate to CBE","Escalate to Roxanne"))</f>
        <v/>
      </c>
    </row>
    <row r="740" spans="18:26">
      <c r="R740" s="15"/>
      <c r="S740" s="16"/>
      <c r="T740" s="17">
        <f>IF(AND(COUNTA($A740:$K740)=0,$L740=""),"",IF($S740="Paid","PAID",IF($S740="Closed","CLOSED",IF($W740="","",IF($W740=6,"ESCALATED TO ROXANNE",IF(TODAY()&gt;$Y740,"OVERDUE",IF($Y740&lt;=WORKDAY(TODAY(),1,Holidays),"DUE TOMORROW",IF($W740=4,"ESCALATED TO LOCAL OFFICE",IF($W740=5,"ESCALATED TO CBE",IF($X740=TODAY(),"EMAIL SENT","MONITORING"))))))))))</f>
        <v/>
      </c>
      <c r="U740" s="17">
        <f>IF($T740="",IF(AND(COUNTA($A740:$K740)&gt;0,$L740=""),"Awaiting Collection Email time stamp.",""),IF(OR($T740="PAID",$T740="CLOSED"),IF($T740="PAID","Account paid. Action completed.","Account closed. No further action required."),CHOOSE($W740,"Collection Email","1st Email Follow-up","2nd Email Follow-up","Escalation to Local Office","Escalation to CBE","Escalation to Roxanne")&amp;" sent "&amp;TEXT($X740,"dd-mmm")&amp;". "&amp;IF($W740=6,"Final escalation completed.",IF($T740="OVERDUE","Next: "&amp;$Z740&amp;" was due "&amp;TEXT($Y740,"dd-mmm")&amp;" - "&amp;(NETWORKDAYS($Y740,TODAY(),Holidays)-1)&amp;" business day(s) late. Send now.",IF($T740="DUE TOMORROW","Next: "&amp;$Z740&amp;IF($Y740&lt;=TODAY()," is due TODAY ("," is due next business day (")&amp;TEXT($Y740,"dd-mmm")&amp;").","Next: "&amp;$Z740&amp;" due "&amp;TEXT($Y740,"dd-mmm")&amp;" ("&amp;(NETWORKDAYS(TODAY(),$Y740,Holidays)-1)&amp;" business day(s) left).")))))</f>
        <v/>
      </c>
      <c r="V740" s="17">
        <f>IF($W740="","",CHOOSE($W740,"Collection Email","1st Follow-up","2nd Follow-up","Local Office","CBE","Roxanne")&amp;IF($W740=6," - Final"," - Day "&amp;MAX(0,NETWORKDAYS($X740,TODAY(),Holidays)-1)&amp;" of "&amp;CHOOSE($W740,3,3,2,2,3))&amp;" | Total Day "&amp;MAX(0,NETWORKDAYS($L740,TODAY(),Holidays)-1))</f>
        <v/>
      </c>
      <c r="W740" s="17">
        <f>IF($L740="","",COUNT($L740:$Q740))</f>
        <v/>
      </c>
      <c r="X740" s="18">
        <f>IF($W740="","",INT(INDEX($L740:$Q740,$W740)))</f>
        <v/>
      </c>
      <c r="Y740" s="18">
        <f>IF(OR($W740="",$W740=6),"",WORKDAY($X740,CHOOSE($W740,3,3,2,2,3),Holidays))</f>
        <v/>
      </c>
      <c r="Z740" s="17">
        <f>IF(OR($W740="",$W740=6),"",CHOOSE($W740,"1st Email Follow-up","2nd Email Follow-up","Escalate Local Office","Escalate to CBE","Escalate to Roxanne"))</f>
        <v/>
      </c>
    </row>
    <row r="741" spans="18:26">
      <c r="R741" s="15"/>
      <c r="S741" s="16"/>
      <c r="T741" s="17">
        <f>IF(AND(COUNTA($A741:$K741)=0,$L741=""),"",IF($S741="Paid","PAID",IF($S741="Closed","CLOSED",IF($W741="","",IF($W741=6,"ESCALATED TO ROXANNE",IF(TODAY()&gt;$Y741,"OVERDUE",IF($Y741&lt;=WORKDAY(TODAY(),1,Holidays),"DUE TOMORROW",IF($W741=4,"ESCALATED TO LOCAL OFFICE",IF($W741=5,"ESCALATED TO CBE",IF($X741=TODAY(),"EMAIL SENT","MONITORING"))))))))))</f>
        <v/>
      </c>
      <c r="U741" s="17">
        <f>IF($T741="",IF(AND(COUNTA($A741:$K741)&gt;0,$L741=""),"Awaiting Collection Email time stamp.",""),IF(OR($T741="PAID",$T741="CLOSED"),IF($T741="PAID","Account paid. Action completed.","Account closed. No further action required."),CHOOSE($W741,"Collection Email","1st Email Follow-up","2nd Email Follow-up","Escalation to Local Office","Escalation to CBE","Escalation to Roxanne")&amp;" sent "&amp;TEXT($X741,"dd-mmm")&amp;". "&amp;IF($W741=6,"Final escalation completed.",IF($T741="OVERDUE","Next: "&amp;$Z741&amp;" was due "&amp;TEXT($Y741,"dd-mmm")&amp;" - "&amp;(NETWORKDAYS($Y741,TODAY(),Holidays)-1)&amp;" business day(s) late. Send now.",IF($T741="DUE TOMORROW","Next: "&amp;$Z741&amp;IF($Y741&lt;=TODAY()," is due TODAY ("," is due next business day (")&amp;TEXT($Y741,"dd-mmm")&amp;").","Next: "&amp;$Z741&amp;" due "&amp;TEXT($Y741,"dd-mmm")&amp;" ("&amp;(NETWORKDAYS(TODAY(),$Y741,Holidays)-1)&amp;" business day(s) left).")))))</f>
        <v/>
      </c>
      <c r="V741" s="17">
        <f>IF($W741="","",CHOOSE($W741,"Collection Email","1st Follow-up","2nd Follow-up","Local Office","CBE","Roxanne")&amp;IF($W741=6," - Final"," - Day "&amp;MAX(0,NETWORKDAYS($X741,TODAY(),Holidays)-1)&amp;" of "&amp;CHOOSE($W741,3,3,2,2,3))&amp;" | Total Day "&amp;MAX(0,NETWORKDAYS($L741,TODAY(),Holidays)-1))</f>
        <v/>
      </c>
      <c r="W741" s="17">
        <f>IF($L741="","",COUNT($L741:$Q741))</f>
        <v/>
      </c>
      <c r="X741" s="18">
        <f>IF($W741="","",INT(INDEX($L741:$Q741,$W741)))</f>
        <v/>
      </c>
      <c r="Y741" s="18">
        <f>IF(OR($W741="",$W741=6),"",WORKDAY($X741,CHOOSE($W741,3,3,2,2,3),Holidays))</f>
        <v/>
      </c>
      <c r="Z741" s="17">
        <f>IF(OR($W741="",$W741=6),"",CHOOSE($W741,"1st Email Follow-up","2nd Email Follow-up","Escalate Local Office","Escalate to CBE","Escalate to Roxanne"))</f>
        <v/>
      </c>
    </row>
    <row r="742" spans="18:26">
      <c r="R742" s="15"/>
      <c r="S742" s="16"/>
      <c r="T742" s="17">
        <f>IF(AND(COUNTA($A742:$K742)=0,$L742=""),"",IF($S742="Paid","PAID",IF($S742="Closed","CLOSED",IF($W742="","",IF($W742=6,"ESCALATED TO ROXANNE",IF(TODAY()&gt;$Y742,"OVERDUE",IF($Y742&lt;=WORKDAY(TODAY(),1,Holidays),"DUE TOMORROW",IF($W742=4,"ESCALATED TO LOCAL OFFICE",IF($W742=5,"ESCALATED TO CBE",IF($X742=TODAY(),"EMAIL SENT","MONITORING"))))))))))</f>
        <v/>
      </c>
      <c r="U742" s="17">
        <f>IF($T742="",IF(AND(COUNTA($A742:$K742)&gt;0,$L742=""),"Awaiting Collection Email time stamp.",""),IF(OR($T742="PAID",$T742="CLOSED"),IF($T742="PAID","Account paid. Action completed.","Account closed. No further action required."),CHOOSE($W742,"Collection Email","1st Email Follow-up","2nd Email Follow-up","Escalation to Local Office","Escalation to CBE","Escalation to Roxanne")&amp;" sent "&amp;TEXT($X742,"dd-mmm")&amp;". "&amp;IF($W742=6,"Final escalation completed.",IF($T742="OVERDUE","Next: "&amp;$Z742&amp;" was due "&amp;TEXT($Y742,"dd-mmm")&amp;" - "&amp;(NETWORKDAYS($Y742,TODAY(),Holidays)-1)&amp;" business day(s) late. Send now.",IF($T742="DUE TOMORROW","Next: "&amp;$Z742&amp;IF($Y742&lt;=TODAY()," is due TODAY ("," is due next business day (")&amp;TEXT($Y742,"dd-mmm")&amp;").","Next: "&amp;$Z742&amp;" due "&amp;TEXT($Y742,"dd-mmm")&amp;" ("&amp;(NETWORKDAYS(TODAY(),$Y742,Holidays)-1)&amp;" business day(s) left).")))))</f>
        <v/>
      </c>
      <c r="V742" s="17">
        <f>IF($W742="","",CHOOSE($W742,"Collection Email","1st Follow-up","2nd Follow-up","Local Office","CBE","Roxanne")&amp;IF($W742=6," - Final"," - Day "&amp;MAX(0,NETWORKDAYS($X742,TODAY(),Holidays)-1)&amp;" of "&amp;CHOOSE($W742,3,3,2,2,3))&amp;" | Total Day "&amp;MAX(0,NETWORKDAYS($L742,TODAY(),Holidays)-1))</f>
        <v/>
      </c>
      <c r="W742" s="17">
        <f>IF($L742="","",COUNT($L742:$Q742))</f>
        <v/>
      </c>
      <c r="X742" s="18">
        <f>IF($W742="","",INT(INDEX($L742:$Q742,$W742)))</f>
        <v/>
      </c>
      <c r="Y742" s="18">
        <f>IF(OR($W742="",$W742=6),"",WORKDAY($X742,CHOOSE($W742,3,3,2,2,3),Holidays))</f>
        <v/>
      </c>
      <c r="Z742" s="17">
        <f>IF(OR($W742="",$W742=6),"",CHOOSE($W742,"1st Email Follow-up","2nd Email Follow-up","Escalate Local Office","Escalate to CBE","Escalate to Roxanne"))</f>
        <v/>
      </c>
    </row>
    <row r="743" spans="18:26">
      <c r="R743" s="15"/>
      <c r="S743" s="16"/>
      <c r="T743" s="17">
        <f>IF(AND(COUNTA($A743:$K743)=0,$L743=""),"",IF($S743="Paid","PAID",IF($S743="Closed","CLOSED",IF($W743="","",IF($W743=6,"ESCALATED TO ROXANNE",IF(TODAY()&gt;$Y743,"OVERDUE",IF($Y743&lt;=WORKDAY(TODAY(),1,Holidays),"DUE TOMORROW",IF($W743=4,"ESCALATED TO LOCAL OFFICE",IF($W743=5,"ESCALATED TO CBE",IF($X743=TODAY(),"EMAIL SENT","MONITORING"))))))))))</f>
        <v/>
      </c>
      <c r="U743" s="17">
        <f>IF($T743="",IF(AND(COUNTA($A743:$K743)&gt;0,$L743=""),"Awaiting Collection Email time stamp.",""),IF(OR($T743="PAID",$T743="CLOSED"),IF($T743="PAID","Account paid. Action completed.","Account closed. No further action required."),CHOOSE($W743,"Collection Email","1st Email Follow-up","2nd Email Follow-up","Escalation to Local Office","Escalation to CBE","Escalation to Roxanne")&amp;" sent "&amp;TEXT($X743,"dd-mmm")&amp;". "&amp;IF($W743=6,"Final escalation completed.",IF($T743="OVERDUE","Next: "&amp;$Z743&amp;" was due "&amp;TEXT($Y743,"dd-mmm")&amp;" - "&amp;(NETWORKDAYS($Y743,TODAY(),Holidays)-1)&amp;" business day(s) late. Send now.",IF($T743="DUE TOMORROW","Next: "&amp;$Z743&amp;IF($Y743&lt;=TODAY()," is due TODAY ("," is due next business day (")&amp;TEXT($Y743,"dd-mmm")&amp;").","Next: "&amp;$Z743&amp;" due "&amp;TEXT($Y743,"dd-mmm")&amp;" ("&amp;(NETWORKDAYS(TODAY(),$Y743,Holidays)-1)&amp;" business day(s) left).")))))</f>
        <v/>
      </c>
      <c r="V743" s="17">
        <f>IF($W743="","",CHOOSE($W743,"Collection Email","1st Follow-up","2nd Follow-up","Local Office","CBE","Roxanne")&amp;IF($W743=6," - Final"," - Day "&amp;MAX(0,NETWORKDAYS($X743,TODAY(),Holidays)-1)&amp;" of "&amp;CHOOSE($W743,3,3,2,2,3))&amp;" | Total Day "&amp;MAX(0,NETWORKDAYS($L743,TODAY(),Holidays)-1))</f>
        <v/>
      </c>
      <c r="W743" s="17">
        <f>IF($L743="","",COUNT($L743:$Q743))</f>
        <v/>
      </c>
      <c r="X743" s="18">
        <f>IF($W743="","",INT(INDEX($L743:$Q743,$W743)))</f>
        <v/>
      </c>
      <c r="Y743" s="18">
        <f>IF(OR($W743="",$W743=6),"",WORKDAY($X743,CHOOSE($W743,3,3,2,2,3),Holidays))</f>
        <v/>
      </c>
      <c r="Z743" s="17">
        <f>IF(OR($W743="",$W743=6),"",CHOOSE($W743,"1st Email Follow-up","2nd Email Follow-up","Escalate Local Office","Escalate to CBE","Escalate to Roxanne"))</f>
        <v/>
      </c>
    </row>
    <row r="744" spans="18:26">
      <c r="R744" s="15"/>
      <c r="S744" s="16"/>
      <c r="T744" s="17">
        <f>IF(AND(COUNTA($A744:$K744)=0,$L744=""),"",IF($S744="Paid","PAID",IF($S744="Closed","CLOSED",IF($W744="","",IF($W744=6,"ESCALATED TO ROXANNE",IF(TODAY()&gt;$Y744,"OVERDUE",IF($Y744&lt;=WORKDAY(TODAY(),1,Holidays),"DUE TOMORROW",IF($W744=4,"ESCALATED TO LOCAL OFFICE",IF($W744=5,"ESCALATED TO CBE",IF($X744=TODAY(),"EMAIL SENT","MONITORING"))))))))))</f>
        <v/>
      </c>
      <c r="U744" s="17">
        <f>IF($T744="",IF(AND(COUNTA($A744:$K744)&gt;0,$L744=""),"Awaiting Collection Email time stamp.",""),IF(OR($T744="PAID",$T744="CLOSED"),IF($T744="PAID","Account paid. Action completed.","Account closed. No further action required."),CHOOSE($W744,"Collection Email","1st Email Follow-up","2nd Email Follow-up","Escalation to Local Office","Escalation to CBE","Escalation to Roxanne")&amp;" sent "&amp;TEXT($X744,"dd-mmm")&amp;". "&amp;IF($W744=6,"Final escalation completed.",IF($T744="OVERDUE","Next: "&amp;$Z744&amp;" was due "&amp;TEXT($Y744,"dd-mmm")&amp;" - "&amp;(NETWORKDAYS($Y744,TODAY(),Holidays)-1)&amp;" business day(s) late. Send now.",IF($T744="DUE TOMORROW","Next: "&amp;$Z744&amp;IF($Y744&lt;=TODAY()," is due TODAY ("," is due next business day (")&amp;TEXT($Y744,"dd-mmm")&amp;").","Next: "&amp;$Z744&amp;" due "&amp;TEXT($Y744,"dd-mmm")&amp;" ("&amp;(NETWORKDAYS(TODAY(),$Y744,Holidays)-1)&amp;" business day(s) left).")))))</f>
        <v/>
      </c>
      <c r="V744" s="17">
        <f>IF($W744="","",CHOOSE($W744,"Collection Email","1st Follow-up","2nd Follow-up","Local Office","CBE","Roxanne")&amp;IF($W744=6," - Final"," - Day "&amp;MAX(0,NETWORKDAYS($X744,TODAY(),Holidays)-1)&amp;" of "&amp;CHOOSE($W744,3,3,2,2,3))&amp;" | Total Day "&amp;MAX(0,NETWORKDAYS($L744,TODAY(),Holidays)-1))</f>
        <v/>
      </c>
      <c r="W744" s="17">
        <f>IF($L744="","",COUNT($L744:$Q744))</f>
        <v/>
      </c>
      <c r="X744" s="18">
        <f>IF($W744="","",INT(INDEX($L744:$Q744,$W744)))</f>
        <v/>
      </c>
      <c r="Y744" s="18">
        <f>IF(OR($W744="",$W744=6),"",WORKDAY($X744,CHOOSE($W744,3,3,2,2,3),Holidays))</f>
        <v/>
      </c>
      <c r="Z744" s="17">
        <f>IF(OR($W744="",$W744=6),"",CHOOSE($W744,"1st Email Follow-up","2nd Email Follow-up","Escalate Local Office","Escalate to CBE","Escalate to Roxanne"))</f>
        <v/>
      </c>
    </row>
    <row r="745" spans="18:26">
      <c r="R745" s="15"/>
      <c r="S745" s="16"/>
      <c r="T745" s="17">
        <f>IF(AND(COUNTA($A745:$K745)=0,$L745=""),"",IF($S745="Paid","PAID",IF($S745="Closed","CLOSED",IF($W745="","",IF($W745=6,"ESCALATED TO ROXANNE",IF(TODAY()&gt;$Y745,"OVERDUE",IF($Y745&lt;=WORKDAY(TODAY(),1,Holidays),"DUE TOMORROW",IF($W745=4,"ESCALATED TO LOCAL OFFICE",IF($W745=5,"ESCALATED TO CBE",IF($X745=TODAY(),"EMAIL SENT","MONITORING"))))))))))</f>
        <v/>
      </c>
      <c r="U745" s="17">
        <f>IF($T745="",IF(AND(COUNTA($A745:$K745)&gt;0,$L745=""),"Awaiting Collection Email time stamp.",""),IF(OR($T745="PAID",$T745="CLOSED"),IF($T745="PAID","Account paid. Action completed.","Account closed. No further action required."),CHOOSE($W745,"Collection Email","1st Email Follow-up","2nd Email Follow-up","Escalation to Local Office","Escalation to CBE","Escalation to Roxanne")&amp;" sent "&amp;TEXT($X745,"dd-mmm")&amp;". "&amp;IF($W745=6,"Final escalation completed.",IF($T745="OVERDUE","Next: "&amp;$Z745&amp;" was due "&amp;TEXT($Y745,"dd-mmm")&amp;" - "&amp;(NETWORKDAYS($Y745,TODAY(),Holidays)-1)&amp;" business day(s) late. Send now.",IF($T745="DUE TOMORROW","Next: "&amp;$Z745&amp;IF($Y745&lt;=TODAY()," is due TODAY ("," is due next business day (")&amp;TEXT($Y745,"dd-mmm")&amp;").","Next: "&amp;$Z745&amp;" due "&amp;TEXT($Y745,"dd-mmm")&amp;" ("&amp;(NETWORKDAYS(TODAY(),$Y745,Holidays)-1)&amp;" business day(s) left).")))))</f>
        <v/>
      </c>
      <c r="V745" s="17">
        <f>IF($W745="","",CHOOSE($W745,"Collection Email","1st Follow-up","2nd Follow-up","Local Office","CBE","Roxanne")&amp;IF($W745=6," - Final"," - Day "&amp;MAX(0,NETWORKDAYS($X745,TODAY(),Holidays)-1)&amp;" of "&amp;CHOOSE($W745,3,3,2,2,3))&amp;" | Total Day "&amp;MAX(0,NETWORKDAYS($L745,TODAY(),Holidays)-1))</f>
        <v/>
      </c>
      <c r="W745" s="17">
        <f>IF($L745="","",COUNT($L745:$Q745))</f>
        <v/>
      </c>
      <c r="X745" s="18">
        <f>IF($W745="","",INT(INDEX($L745:$Q745,$W745)))</f>
        <v/>
      </c>
      <c r="Y745" s="18">
        <f>IF(OR($W745="",$W745=6),"",WORKDAY($X745,CHOOSE($W745,3,3,2,2,3),Holidays))</f>
        <v/>
      </c>
      <c r="Z745" s="17">
        <f>IF(OR($W745="",$W745=6),"",CHOOSE($W745,"1st Email Follow-up","2nd Email Follow-up","Escalate Local Office","Escalate to CBE","Escalate to Roxanne"))</f>
        <v/>
      </c>
    </row>
    <row r="746" spans="18:26">
      <c r="R746" s="15"/>
      <c r="S746" s="16"/>
      <c r="T746" s="17">
        <f>IF(AND(COUNTA($A746:$K746)=0,$L746=""),"",IF($S746="Paid","PAID",IF($S746="Closed","CLOSED",IF($W746="","",IF($W746=6,"ESCALATED TO ROXANNE",IF(TODAY()&gt;$Y746,"OVERDUE",IF($Y746&lt;=WORKDAY(TODAY(),1,Holidays),"DUE TOMORROW",IF($W746=4,"ESCALATED TO LOCAL OFFICE",IF($W746=5,"ESCALATED TO CBE",IF($X746=TODAY(),"EMAIL SENT","MONITORING"))))))))))</f>
        <v/>
      </c>
      <c r="U746" s="17">
        <f>IF($T746="",IF(AND(COUNTA($A746:$K746)&gt;0,$L746=""),"Awaiting Collection Email time stamp.",""),IF(OR($T746="PAID",$T746="CLOSED"),IF($T746="PAID","Account paid. Action completed.","Account closed. No further action required."),CHOOSE($W746,"Collection Email","1st Email Follow-up","2nd Email Follow-up","Escalation to Local Office","Escalation to CBE","Escalation to Roxanne")&amp;" sent "&amp;TEXT($X746,"dd-mmm")&amp;". "&amp;IF($W746=6,"Final escalation completed.",IF($T746="OVERDUE","Next: "&amp;$Z746&amp;" was due "&amp;TEXT($Y746,"dd-mmm")&amp;" - "&amp;(NETWORKDAYS($Y746,TODAY(),Holidays)-1)&amp;" business day(s) late. Send now.",IF($T746="DUE TOMORROW","Next: "&amp;$Z746&amp;IF($Y746&lt;=TODAY()," is due TODAY ("," is due next business day (")&amp;TEXT($Y746,"dd-mmm")&amp;").","Next: "&amp;$Z746&amp;" due "&amp;TEXT($Y746,"dd-mmm")&amp;" ("&amp;(NETWORKDAYS(TODAY(),$Y746,Holidays)-1)&amp;" business day(s) left).")))))</f>
        <v/>
      </c>
      <c r="V746" s="17">
        <f>IF($W746="","",CHOOSE($W746,"Collection Email","1st Follow-up","2nd Follow-up","Local Office","CBE","Roxanne")&amp;IF($W746=6," - Final"," - Day "&amp;MAX(0,NETWORKDAYS($X746,TODAY(),Holidays)-1)&amp;" of "&amp;CHOOSE($W746,3,3,2,2,3))&amp;" | Total Day "&amp;MAX(0,NETWORKDAYS($L746,TODAY(),Holidays)-1))</f>
        <v/>
      </c>
      <c r="W746" s="17">
        <f>IF($L746="","",COUNT($L746:$Q746))</f>
        <v/>
      </c>
      <c r="X746" s="18">
        <f>IF($W746="","",INT(INDEX($L746:$Q746,$W746)))</f>
        <v/>
      </c>
      <c r="Y746" s="18">
        <f>IF(OR($W746="",$W746=6),"",WORKDAY($X746,CHOOSE($W746,3,3,2,2,3),Holidays))</f>
        <v/>
      </c>
      <c r="Z746" s="17">
        <f>IF(OR($W746="",$W746=6),"",CHOOSE($W746,"1st Email Follow-up","2nd Email Follow-up","Escalate Local Office","Escalate to CBE","Escalate to Roxanne"))</f>
        <v/>
      </c>
    </row>
    <row r="747" spans="18:26">
      <c r="R747" s="15"/>
      <c r="S747" s="16"/>
      <c r="T747" s="17">
        <f>IF(AND(COUNTA($A747:$K747)=0,$L747=""),"",IF($S747="Paid","PAID",IF($S747="Closed","CLOSED",IF($W747="","",IF($W747=6,"ESCALATED TO ROXANNE",IF(TODAY()&gt;$Y747,"OVERDUE",IF($Y747&lt;=WORKDAY(TODAY(),1,Holidays),"DUE TOMORROW",IF($W747=4,"ESCALATED TO LOCAL OFFICE",IF($W747=5,"ESCALATED TO CBE",IF($X747=TODAY(),"EMAIL SENT","MONITORING"))))))))))</f>
        <v/>
      </c>
      <c r="U747" s="17">
        <f>IF($T747="",IF(AND(COUNTA($A747:$K747)&gt;0,$L747=""),"Awaiting Collection Email time stamp.",""),IF(OR($T747="PAID",$T747="CLOSED"),IF($T747="PAID","Account paid. Action completed.","Account closed. No further action required."),CHOOSE($W747,"Collection Email","1st Email Follow-up","2nd Email Follow-up","Escalation to Local Office","Escalation to CBE","Escalation to Roxanne")&amp;" sent "&amp;TEXT($X747,"dd-mmm")&amp;". "&amp;IF($W747=6,"Final escalation completed.",IF($T747="OVERDUE","Next: "&amp;$Z747&amp;" was due "&amp;TEXT($Y747,"dd-mmm")&amp;" - "&amp;(NETWORKDAYS($Y747,TODAY(),Holidays)-1)&amp;" business day(s) late. Send now.",IF($T747="DUE TOMORROW","Next: "&amp;$Z747&amp;IF($Y747&lt;=TODAY()," is due TODAY ("," is due next business day (")&amp;TEXT($Y747,"dd-mmm")&amp;").","Next: "&amp;$Z747&amp;" due "&amp;TEXT($Y747,"dd-mmm")&amp;" ("&amp;(NETWORKDAYS(TODAY(),$Y747,Holidays)-1)&amp;" business day(s) left).")))))</f>
        <v/>
      </c>
      <c r="V747" s="17">
        <f>IF($W747="","",CHOOSE($W747,"Collection Email","1st Follow-up","2nd Follow-up","Local Office","CBE","Roxanne")&amp;IF($W747=6," - Final"," - Day "&amp;MAX(0,NETWORKDAYS($X747,TODAY(),Holidays)-1)&amp;" of "&amp;CHOOSE($W747,3,3,2,2,3))&amp;" | Total Day "&amp;MAX(0,NETWORKDAYS($L747,TODAY(),Holidays)-1))</f>
        <v/>
      </c>
      <c r="W747" s="17">
        <f>IF($L747="","",COUNT($L747:$Q747))</f>
        <v/>
      </c>
      <c r="X747" s="18">
        <f>IF($W747="","",INT(INDEX($L747:$Q747,$W747)))</f>
        <v/>
      </c>
      <c r="Y747" s="18">
        <f>IF(OR($W747="",$W747=6),"",WORKDAY($X747,CHOOSE($W747,3,3,2,2,3),Holidays))</f>
        <v/>
      </c>
      <c r="Z747" s="17">
        <f>IF(OR($W747="",$W747=6),"",CHOOSE($W747,"1st Email Follow-up","2nd Email Follow-up","Escalate Local Office","Escalate to CBE","Escalate to Roxanne"))</f>
        <v/>
      </c>
    </row>
    <row r="748" spans="18:26">
      <c r="R748" s="15"/>
      <c r="S748" s="16"/>
      <c r="T748" s="17">
        <f>IF(AND(COUNTA($A748:$K748)=0,$L748=""),"",IF($S748="Paid","PAID",IF($S748="Closed","CLOSED",IF($W748="","",IF($W748=6,"ESCALATED TO ROXANNE",IF(TODAY()&gt;$Y748,"OVERDUE",IF($Y748&lt;=WORKDAY(TODAY(),1,Holidays),"DUE TOMORROW",IF($W748=4,"ESCALATED TO LOCAL OFFICE",IF($W748=5,"ESCALATED TO CBE",IF($X748=TODAY(),"EMAIL SENT","MONITORING"))))))))))</f>
        <v/>
      </c>
      <c r="U748" s="17">
        <f>IF($T748="",IF(AND(COUNTA($A748:$K748)&gt;0,$L748=""),"Awaiting Collection Email time stamp.",""),IF(OR($T748="PAID",$T748="CLOSED"),IF($T748="PAID","Account paid. Action completed.","Account closed. No further action required."),CHOOSE($W748,"Collection Email","1st Email Follow-up","2nd Email Follow-up","Escalation to Local Office","Escalation to CBE","Escalation to Roxanne")&amp;" sent "&amp;TEXT($X748,"dd-mmm")&amp;". "&amp;IF($W748=6,"Final escalation completed.",IF($T748="OVERDUE","Next: "&amp;$Z748&amp;" was due "&amp;TEXT($Y748,"dd-mmm")&amp;" - "&amp;(NETWORKDAYS($Y748,TODAY(),Holidays)-1)&amp;" business day(s) late. Send now.",IF($T748="DUE TOMORROW","Next: "&amp;$Z748&amp;IF($Y748&lt;=TODAY()," is due TODAY ("," is due next business day (")&amp;TEXT($Y748,"dd-mmm")&amp;").","Next: "&amp;$Z748&amp;" due "&amp;TEXT($Y748,"dd-mmm")&amp;" ("&amp;(NETWORKDAYS(TODAY(),$Y748,Holidays)-1)&amp;" business day(s) left).")))))</f>
        <v/>
      </c>
      <c r="V748" s="17">
        <f>IF($W748="","",CHOOSE($W748,"Collection Email","1st Follow-up","2nd Follow-up","Local Office","CBE","Roxanne")&amp;IF($W748=6," - Final"," - Day "&amp;MAX(0,NETWORKDAYS($X748,TODAY(),Holidays)-1)&amp;" of "&amp;CHOOSE($W748,3,3,2,2,3))&amp;" | Total Day "&amp;MAX(0,NETWORKDAYS($L748,TODAY(),Holidays)-1))</f>
        <v/>
      </c>
      <c r="W748" s="17">
        <f>IF($L748="","",COUNT($L748:$Q748))</f>
        <v/>
      </c>
      <c r="X748" s="18">
        <f>IF($W748="","",INT(INDEX($L748:$Q748,$W748)))</f>
        <v/>
      </c>
      <c r="Y748" s="18">
        <f>IF(OR($W748="",$W748=6),"",WORKDAY($X748,CHOOSE($W748,3,3,2,2,3),Holidays))</f>
        <v/>
      </c>
      <c r="Z748" s="17">
        <f>IF(OR($W748="",$W748=6),"",CHOOSE($W748,"1st Email Follow-up","2nd Email Follow-up","Escalate Local Office","Escalate to CBE","Escalate to Roxanne"))</f>
        <v/>
      </c>
    </row>
    <row r="749" spans="18:26">
      <c r="R749" s="15"/>
      <c r="S749" s="16"/>
      <c r="T749" s="17">
        <f>IF(AND(COUNTA($A749:$K749)=0,$L749=""),"",IF($S749="Paid","PAID",IF($S749="Closed","CLOSED",IF($W749="","",IF($W749=6,"ESCALATED TO ROXANNE",IF(TODAY()&gt;$Y749,"OVERDUE",IF($Y749&lt;=WORKDAY(TODAY(),1,Holidays),"DUE TOMORROW",IF($W749=4,"ESCALATED TO LOCAL OFFICE",IF($W749=5,"ESCALATED TO CBE",IF($X749=TODAY(),"EMAIL SENT","MONITORING"))))))))))</f>
        <v/>
      </c>
      <c r="U749" s="17">
        <f>IF($T749="",IF(AND(COUNTA($A749:$K749)&gt;0,$L749=""),"Awaiting Collection Email time stamp.",""),IF(OR($T749="PAID",$T749="CLOSED"),IF($T749="PAID","Account paid. Action completed.","Account closed. No further action required."),CHOOSE($W749,"Collection Email","1st Email Follow-up","2nd Email Follow-up","Escalation to Local Office","Escalation to CBE","Escalation to Roxanne")&amp;" sent "&amp;TEXT($X749,"dd-mmm")&amp;". "&amp;IF($W749=6,"Final escalation completed.",IF($T749="OVERDUE","Next: "&amp;$Z749&amp;" was due "&amp;TEXT($Y749,"dd-mmm")&amp;" - "&amp;(NETWORKDAYS($Y749,TODAY(),Holidays)-1)&amp;" business day(s) late. Send now.",IF($T749="DUE TOMORROW","Next: "&amp;$Z749&amp;IF($Y749&lt;=TODAY()," is due TODAY ("," is due next business day (")&amp;TEXT($Y749,"dd-mmm")&amp;").","Next: "&amp;$Z749&amp;" due "&amp;TEXT($Y749,"dd-mmm")&amp;" ("&amp;(NETWORKDAYS(TODAY(),$Y749,Holidays)-1)&amp;" business day(s) left).")))))</f>
        <v/>
      </c>
      <c r="V749" s="17">
        <f>IF($W749="","",CHOOSE($W749,"Collection Email","1st Follow-up","2nd Follow-up","Local Office","CBE","Roxanne")&amp;IF($W749=6," - Final"," - Day "&amp;MAX(0,NETWORKDAYS($X749,TODAY(),Holidays)-1)&amp;" of "&amp;CHOOSE($W749,3,3,2,2,3))&amp;" | Total Day "&amp;MAX(0,NETWORKDAYS($L749,TODAY(),Holidays)-1))</f>
        <v/>
      </c>
      <c r="W749" s="17">
        <f>IF($L749="","",COUNT($L749:$Q749))</f>
        <v/>
      </c>
      <c r="X749" s="18">
        <f>IF($W749="","",INT(INDEX($L749:$Q749,$W749)))</f>
        <v/>
      </c>
      <c r="Y749" s="18">
        <f>IF(OR($W749="",$W749=6),"",WORKDAY($X749,CHOOSE($W749,3,3,2,2,3),Holidays))</f>
        <v/>
      </c>
      <c r="Z749" s="17">
        <f>IF(OR($W749="",$W749=6),"",CHOOSE($W749,"1st Email Follow-up","2nd Email Follow-up","Escalate Local Office","Escalate to CBE","Escalate to Roxanne"))</f>
        <v/>
      </c>
    </row>
    <row r="750" spans="18:26">
      <c r="R750" s="15"/>
      <c r="S750" s="16"/>
      <c r="T750" s="17">
        <f>IF(AND(COUNTA($A750:$K750)=0,$L750=""),"",IF($S750="Paid","PAID",IF($S750="Closed","CLOSED",IF($W750="","",IF($W750=6,"ESCALATED TO ROXANNE",IF(TODAY()&gt;$Y750,"OVERDUE",IF($Y750&lt;=WORKDAY(TODAY(),1,Holidays),"DUE TOMORROW",IF($W750=4,"ESCALATED TO LOCAL OFFICE",IF($W750=5,"ESCALATED TO CBE",IF($X750=TODAY(),"EMAIL SENT","MONITORING"))))))))))</f>
        <v/>
      </c>
      <c r="U750" s="17">
        <f>IF($T750="",IF(AND(COUNTA($A750:$K750)&gt;0,$L750=""),"Awaiting Collection Email time stamp.",""),IF(OR($T750="PAID",$T750="CLOSED"),IF($T750="PAID","Account paid. Action completed.","Account closed. No further action required."),CHOOSE($W750,"Collection Email","1st Email Follow-up","2nd Email Follow-up","Escalation to Local Office","Escalation to CBE","Escalation to Roxanne")&amp;" sent "&amp;TEXT($X750,"dd-mmm")&amp;". "&amp;IF($W750=6,"Final escalation completed.",IF($T750="OVERDUE","Next: "&amp;$Z750&amp;" was due "&amp;TEXT($Y750,"dd-mmm")&amp;" - "&amp;(NETWORKDAYS($Y750,TODAY(),Holidays)-1)&amp;" business day(s) late. Send now.",IF($T750="DUE TOMORROW","Next: "&amp;$Z750&amp;IF($Y750&lt;=TODAY()," is due TODAY ("," is due next business day (")&amp;TEXT($Y750,"dd-mmm")&amp;").","Next: "&amp;$Z750&amp;" due "&amp;TEXT($Y750,"dd-mmm")&amp;" ("&amp;(NETWORKDAYS(TODAY(),$Y750,Holidays)-1)&amp;" business day(s) left).")))))</f>
        <v/>
      </c>
      <c r="V750" s="17">
        <f>IF($W750="","",CHOOSE($W750,"Collection Email","1st Follow-up","2nd Follow-up","Local Office","CBE","Roxanne")&amp;IF($W750=6," - Final"," - Day "&amp;MAX(0,NETWORKDAYS($X750,TODAY(),Holidays)-1)&amp;" of "&amp;CHOOSE($W750,3,3,2,2,3))&amp;" | Total Day "&amp;MAX(0,NETWORKDAYS($L750,TODAY(),Holidays)-1))</f>
        <v/>
      </c>
      <c r="W750" s="17">
        <f>IF($L750="","",COUNT($L750:$Q750))</f>
        <v/>
      </c>
      <c r="X750" s="18">
        <f>IF($W750="","",INT(INDEX($L750:$Q750,$W750)))</f>
        <v/>
      </c>
      <c r="Y750" s="18">
        <f>IF(OR($W750="",$W750=6),"",WORKDAY($X750,CHOOSE($W750,3,3,2,2,3),Holidays))</f>
        <v/>
      </c>
      <c r="Z750" s="17">
        <f>IF(OR($W750="",$W750=6),"",CHOOSE($W750,"1st Email Follow-up","2nd Email Follow-up","Escalate Local Office","Escalate to CBE","Escalate to Roxanne"))</f>
        <v/>
      </c>
    </row>
    <row r="751" spans="18:26">
      <c r="R751" s="15"/>
      <c r="S751" s="16"/>
      <c r="T751" s="17">
        <f>IF(AND(COUNTA($A751:$K751)=0,$L751=""),"",IF($S751="Paid","PAID",IF($S751="Closed","CLOSED",IF($W751="","",IF($W751=6,"ESCALATED TO ROXANNE",IF(TODAY()&gt;$Y751,"OVERDUE",IF($Y751&lt;=WORKDAY(TODAY(),1,Holidays),"DUE TOMORROW",IF($W751=4,"ESCALATED TO LOCAL OFFICE",IF($W751=5,"ESCALATED TO CBE",IF($X751=TODAY(),"EMAIL SENT","MONITORING"))))))))))</f>
        <v/>
      </c>
      <c r="U751" s="17">
        <f>IF($T751="",IF(AND(COUNTA($A751:$K751)&gt;0,$L751=""),"Awaiting Collection Email time stamp.",""),IF(OR($T751="PAID",$T751="CLOSED"),IF($T751="PAID","Account paid. Action completed.","Account closed. No further action required."),CHOOSE($W751,"Collection Email","1st Email Follow-up","2nd Email Follow-up","Escalation to Local Office","Escalation to CBE","Escalation to Roxanne")&amp;" sent "&amp;TEXT($X751,"dd-mmm")&amp;". "&amp;IF($W751=6,"Final escalation completed.",IF($T751="OVERDUE","Next: "&amp;$Z751&amp;" was due "&amp;TEXT($Y751,"dd-mmm")&amp;" - "&amp;(NETWORKDAYS($Y751,TODAY(),Holidays)-1)&amp;" business day(s) late. Send now.",IF($T751="DUE TOMORROW","Next: "&amp;$Z751&amp;IF($Y751&lt;=TODAY()," is due TODAY ("," is due next business day (")&amp;TEXT($Y751,"dd-mmm")&amp;").","Next: "&amp;$Z751&amp;" due "&amp;TEXT($Y751,"dd-mmm")&amp;" ("&amp;(NETWORKDAYS(TODAY(),$Y751,Holidays)-1)&amp;" business day(s) left).")))))</f>
        <v/>
      </c>
      <c r="V751" s="17">
        <f>IF($W751="","",CHOOSE($W751,"Collection Email","1st Follow-up","2nd Follow-up","Local Office","CBE","Roxanne")&amp;IF($W751=6," - Final"," - Day "&amp;MAX(0,NETWORKDAYS($X751,TODAY(),Holidays)-1)&amp;" of "&amp;CHOOSE($W751,3,3,2,2,3))&amp;" | Total Day "&amp;MAX(0,NETWORKDAYS($L751,TODAY(),Holidays)-1))</f>
        <v/>
      </c>
      <c r="W751" s="17">
        <f>IF($L751="","",COUNT($L751:$Q751))</f>
        <v/>
      </c>
      <c r="X751" s="18">
        <f>IF($W751="","",INT(INDEX($L751:$Q751,$W751)))</f>
        <v/>
      </c>
      <c r="Y751" s="18">
        <f>IF(OR($W751="",$W751=6),"",WORKDAY($X751,CHOOSE($W751,3,3,2,2,3),Holidays))</f>
        <v/>
      </c>
      <c r="Z751" s="17">
        <f>IF(OR($W751="",$W751=6),"",CHOOSE($W751,"1st Email Follow-up","2nd Email Follow-up","Escalate Local Office","Escalate to CBE","Escalate to Roxanne"))</f>
        <v/>
      </c>
    </row>
    <row r="752" spans="18:26">
      <c r="R752" s="15"/>
      <c r="S752" s="16"/>
      <c r="T752" s="17">
        <f>IF(AND(COUNTA($A752:$K752)=0,$L752=""),"",IF($S752="Paid","PAID",IF($S752="Closed","CLOSED",IF($W752="","",IF($W752=6,"ESCALATED TO ROXANNE",IF(TODAY()&gt;$Y752,"OVERDUE",IF($Y752&lt;=WORKDAY(TODAY(),1,Holidays),"DUE TOMORROW",IF($W752=4,"ESCALATED TO LOCAL OFFICE",IF($W752=5,"ESCALATED TO CBE",IF($X752=TODAY(),"EMAIL SENT","MONITORING"))))))))))</f>
        <v/>
      </c>
      <c r="U752" s="17">
        <f>IF($T752="",IF(AND(COUNTA($A752:$K752)&gt;0,$L752=""),"Awaiting Collection Email time stamp.",""),IF(OR($T752="PAID",$T752="CLOSED"),IF($T752="PAID","Account paid. Action completed.","Account closed. No further action required."),CHOOSE($W752,"Collection Email","1st Email Follow-up","2nd Email Follow-up","Escalation to Local Office","Escalation to CBE","Escalation to Roxanne")&amp;" sent "&amp;TEXT($X752,"dd-mmm")&amp;". "&amp;IF($W752=6,"Final escalation completed.",IF($T752="OVERDUE","Next: "&amp;$Z752&amp;" was due "&amp;TEXT($Y752,"dd-mmm")&amp;" - "&amp;(NETWORKDAYS($Y752,TODAY(),Holidays)-1)&amp;" business day(s) late. Send now.",IF($T752="DUE TOMORROW","Next: "&amp;$Z752&amp;IF($Y752&lt;=TODAY()," is due TODAY ("," is due next business day (")&amp;TEXT($Y752,"dd-mmm")&amp;").","Next: "&amp;$Z752&amp;" due "&amp;TEXT($Y752,"dd-mmm")&amp;" ("&amp;(NETWORKDAYS(TODAY(),$Y752,Holidays)-1)&amp;" business day(s) left).")))))</f>
        <v/>
      </c>
      <c r="V752" s="17">
        <f>IF($W752="","",CHOOSE($W752,"Collection Email","1st Follow-up","2nd Follow-up","Local Office","CBE","Roxanne")&amp;IF($W752=6," - Final"," - Day "&amp;MAX(0,NETWORKDAYS($X752,TODAY(),Holidays)-1)&amp;" of "&amp;CHOOSE($W752,3,3,2,2,3))&amp;" | Total Day "&amp;MAX(0,NETWORKDAYS($L752,TODAY(),Holidays)-1))</f>
        <v/>
      </c>
      <c r="W752" s="17">
        <f>IF($L752="","",COUNT($L752:$Q752))</f>
        <v/>
      </c>
      <c r="X752" s="18">
        <f>IF($W752="","",INT(INDEX($L752:$Q752,$W752)))</f>
        <v/>
      </c>
      <c r="Y752" s="18">
        <f>IF(OR($W752="",$W752=6),"",WORKDAY($X752,CHOOSE($W752,3,3,2,2,3),Holidays))</f>
        <v/>
      </c>
      <c r="Z752" s="17">
        <f>IF(OR($W752="",$W752=6),"",CHOOSE($W752,"1st Email Follow-up","2nd Email Follow-up","Escalate Local Office","Escalate to CBE","Escalate to Roxanne"))</f>
        <v/>
      </c>
    </row>
    <row r="753" spans="18:26">
      <c r="R753" s="15"/>
      <c r="S753" s="16"/>
      <c r="T753" s="17">
        <f>IF(AND(COUNTA($A753:$K753)=0,$L753=""),"",IF($S753="Paid","PAID",IF($S753="Closed","CLOSED",IF($W753="","",IF($W753=6,"ESCALATED TO ROXANNE",IF(TODAY()&gt;$Y753,"OVERDUE",IF($Y753&lt;=WORKDAY(TODAY(),1,Holidays),"DUE TOMORROW",IF($W753=4,"ESCALATED TO LOCAL OFFICE",IF($W753=5,"ESCALATED TO CBE",IF($X753=TODAY(),"EMAIL SENT","MONITORING"))))))))))</f>
        <v/>
      </c>
      <c r="U753" s="17">
        <f>IF($T753="",IF(AND(COUNTA($A753:$K753)&gt;0,$L753=""),"Awaiting Collection Email time stamp.",""),IF(OR($T753="PAID",$T753="CLOSED"),IF($T753="PAID","Account paid. Action completed.","Account closed. No further action required."),CHOOSE($W753,"Collection Email","1st Email Follow-up","2nd Email Follow-up","Escalation to Local Office","Escalation to CBE","Escalation to Roxanne")&amp;" sent "&amp;TEXT($X753,"dd-mmm")&amp;". "&amp;IF($W753=6,"Final escalation completed.",IF($T753="OVERDUE","Next: "&amp;$Z753&amp;" was due "&amp;TEXT($Y753,"dd-mmm")&amp;" - "&amp;(NETWORKDAYS($Y753,TODAY(),Holidays)-1)&amp;" business day(s) late. Send now.",IF($T753="DUE TOMORROW","Next: "&amp;$Z753&amp;IF($Y753&lt;=TODAY()," is due TODAY ("," is due next business day (")&amp;TEXT($Y753,"dd-mmm")&amp;").","Next: "&amp;$Z753&amp;" due "&amp;TEXT($Y753,"dd-mmm")&amp;" ("&amp;(NETWORKDAYS(TODAY(),$Y753,Holidays)-1)&amp;" business day(s) left).")))))</f>
        <v/>
      </c>
      <c r="V753" s="17">
        <f>IF($W753="","",CHOOSE($W753,"Collection Email","1st Follow-up","2nd Follow-up","Local Office","CBE","Roxanne")&amp;IF($W753=6," - Final"," - Day "&amp;MAX(0,NETWORKDAYS($X753,TODAY(),Holidays)-1)&amp;" of "&amp;CHOOSE($W753,3,3,2,2,3))&amp;" | Total Day "&amp;MAX(0,NETWORKDAYS($L753,TODAY(),Holidays)-1))</f>
        <v/>
      </c>
      <c r="W753" s="17">
        <f>IF($L753="","",COUNT($L753:$Q753))</f>
        <v/>
      </c>
      <c r="X753" s="18">
        <f>IF($W753="","",INT(INDEX($L753:$Q753,$W753)))</f>
        <v/>
      </c>
      <c r="Y753" s="18">
        <f>IF(OR($W753="",$W753=6),"",WORKDAY($X753,CHOOSE($W753,3,3,2,2,3),Holidays))</f>
        <v/>
      </c>
      <c r="Z753" s="17">
        <f>IF(OR($W753="",$W753=6),"",CHOOSE($W753,"1st Email Follow-up","2nd Email Follow-up","Escalate Local Office","Escalate to CBE","Escalate to Roxanne"))</f>
        <v/>
      </c>
    </row>
    <row r="754" spans="18:26">
      <c r="R754" s="15"/>
      <c r="S754" s="16"/>
      <c r="T754" s="17">
        <f>IF(AND(COUNTA($A754:$K754)=0,$L754=""),"",IF($S754="Paid","PAID",IF($S754="Closed","CLOSED",IF($W754="","",IF($W754=6,"ESCALATED TO ROXANNE",IF(TODAY()&gt;$Y754,"OVERDUE",IF($Y754&lt;=WORKDAY(TODAY(),1,Holidays),"DUE TOMORROW",IF($W754=4,"ESCALATED TO LOCAL OFFICE",IF($W754=5,"ESCALATED TO CBE",IF($X754=TODAY(),"EMAIL SENT","MONITORING"))))))))))</f>
        <v/>
      </c>
      <c r="U754" s="17">
        <f>IF($T754="",IF(AND(COUNTA($A754:$K754)&gt;0,$L754=""),"Awaiting Collection Email time stamp.",""),IF(OR($T754="PAID",$T754="CLOSED"),IF($T754="PAID","Account paid. Action completed.","Account closed. No further action required."),CHOOSE($W754,"Collection Email","1st Email Follow-up","2nd Email Follow-up","Escalation to Local Office","Escalation to CBE","Escalation to Roxanne")&amp;" sent "&amp;TEXT($X754,"dd-mmm")&amp;". "&amp;IF($W754=6,"Final escalation completed.",IF($T754="OVERDUE","Next: "&amp;$Z754&amp;" was due "&amp;TEXT($Y754,"dd-mmm")&amp;" - "&amp;(NETWORKDAYS($Y754,TODAY(),Holidays)-1)&amp;" business day(s) late. Send now.",IF($T754="DUE TOMORROW","Next: "&amp;$Z754&amp;IF($Y754&lt;=TODAY()," is due TODAY ("," is due next business day (")&amp;TEXT($Y754,"dd-mmm")&amp;").","Next: "&amp;$Z754&amp;" due "&amp;TEXT($Y754,"dd-mmm")&amp;" ("&amp;(NETWORKDAYS(TODAY(),$Y754,Holidays)-1)&amp;" business day(s) left).")))))</f>
        <v/>
      </c>
      <c r="V754" s="17">
        <f>IF($W754="","",CHOOSE($W754,"Collection Email","1st Follow-up","2nd Follow-up","Local Office","CBE","Roxanne")&amp;IF($W754=6," - Final"," - Day "&amp;MAX(0,NETWORKDAYS($X754,TODAY(),Holidays)-1)&amp;" of "&amp;CHOOSE($W754,3,3,2,2,3))&amp;" | Total Day "&amp;MAX(0,NETWORKDAYS($L754,TODAY(),Holidays)-1))</f>
        <v/>
      </c>
      <c r="W754" s="17">
        <f>IF($L754="","",COUNT($L754:$Q754))</f>
        <v/>
      </c>
      <c r="X754" s="18">
        <f>IF($W754="","",INT(INDEX($L754:$Q754,$W754)))</f>
        <v/>
      </c>
      <c r="Y754" s="18">
        <f>IF(OR($W754="",$W754=6),"",WORKDAY($X754,CHOOSE($W754,3,3,2,2,3),Holidays))</f>
        <v/>
      </c>
      <c r="Z754" s="17">
        <f>IF(OR($W754="",$W754=6),"",CHOOSE($W754,"1st Email Follow-up","2nd Email Follow-up","Escalate Local Office","Escalate to CBE","Escalate to Roxanne"))</f>
        <v/>
      </c>
    </row>
    <row r="755" spans="18:26">
      <c r="R755" s="15"/>
      <c r="S755" s="16"/>
      <c r="T755" s="17">
        <f>IF(AND(COUNTA($A755:$K755)=0,$L755=""),"",IF($S755="Paid","PAID",IF($S755="Closed","CLOSED",IF($W755="","",IF($W755=6,"ESCALATED TO ROXANNE",IF(TODAY()&gt;$Y755,"OVERDUE",IF($Y755&lt;=WORKDAY(TODAY(),1,Holidays),"DUE TOMORROW",IF($W755=4,"ESCALATED TO LOCAL OFFICE",IF($W755=5,"ESCALATED TO CBE",IF($X755=TODAY(),"EMAIL SENT","MONITORING"))))))))))</f>
        <v/>
      </c>
      <c r="U755" s="17">
        <f>IF($T755="",IF(AND(COUNTA($A755:$K755)&gt;0,$L755=""),"Awaiting Collection Email time stamp.",""),IF(OR($T755="PAID",$T755="CLOSED"),IF($T755="PAID","Account paid. Action completed.","Account closed. No further action required."),CHOOSE($W755,"Collection Email","1st Email Follow-up","2nd Email Follow-up","Escalation to Local Office","Escalation to CBE","Escalation to Roxanne")&amp;" sent "&amp;TEXT($X755,"dd-mmm")&amp;". "&amp;IF($W755=6,"Final escalation completed.",IF($T755="OVERDUE","Next: "&amp;$Z755&amp;" was due "&amp;TEXT($Y755,"dd-mmm")&amp;" - "&amp;(NETWORKDAYS($Y755,TODAY(),Holidays)-1)&amp;" business day(s) late. Send now.",IF($T755="DUE TOMORROW","Next: "&amp;$Z755&amp;IF($Y755&lt;=TODAY()," is due TODAY ("," is due next business day (")&amp;TEXT($Y755,"dd-mmm")&amp;").","Next: "&amp;$Z755&amp;" due "&amp;TEXT($Y755,"dd-mmm")&amp;" ("&amp;(NETWORKDAYS(TODAY(),$Y755,Holidays)-1)&amp;" business day(s) left).")))))</f>
        <v/>
      </c>
      <c r="V755" s="17">
        <f>IF($W755="","",CHOOSE($W755,"Collection Email","1st Follow-up","2nd Follow-up","Local Office","CBE","Roxanne")&amp;IF($W755=6," - Final"," - Day "&amp;MAX(0,NETWORKDAYS($X755,TODAY(),Holidays)-1)&amp;" of "&amp;CHOOSE($W755,3,3,2,2,3))&amp;" | Total Day "&amp;MAX(0,NETWORKDAYS($L755,TODAY(),Holidays)-1))</f>
        <v/>
      </c>
      <c r="W755" s="17">
        <f>IF($L755="","",COUNT($L755:$Q755))</f>
        <v/>
      </c>
      <c r="X755" s="18">
        <f>IF($W755="","",INT(INDEX($L755:$Q755,$W755)))</f>
        <v/>
      </c>
      <c r="Y755" s="18">
        <f>IF(OR($W755="",$W755=6),"",WORKDAY($X755,CHOOSE($W755,3,3,2,2,3),Holidays))</f>
        <v/>
      </c>
      <c r="Z755" s="17">
        <f>IF(OR($W755="",$W755=6),"",CHOOSE($W755,"1st Email Follow-up","2nd Email Follow-up","Escalate Local Office","Escalate to CBE","Escalate to Roxanne"))</f>
        <v/>
      </c>
    </row>
    <row r="756" spans="18:26">
      <c r="R756" s="15"/>
      <c r="S756" s="16"/>
      <c r="T756" s="17">
        <f>IF(AND(COUNTA($A756:$K756)=0,$L756=""),"",IF($S756="Paid","PAID",IF($S756="Closed","CLOSED",IF($W756="","",IF($W756=6,"ESCALATED TO ROXANNE",IF(TODAY()&gt;$Y756,"OVERDUE",IF($Y756&lt;=WORKDAY(TODAY(),1,Holidays),"DUE TOMORROW",IF($W756=4,"ESCALATED TO LOCAL OFFICE",IF($W756=5,"ESCALATED TO CBE",IF($X756=TODAY(),"EMAIL SENT","MONITORING"))))))))))</f>
        <v/>
      </c>
      <c r="U756" s="17">
        <f>IF($T756="",IF(AND(COUNTA($A756:$K756)&gt;0,$L756=""),"Awaiting Collection Email time stamp.",""),IF(OR($T756="PAID",$T756="CLOSED"),IF($T756="PAID","Account paid. Action completed.","Account closed. No further action required."),CHOOSE($W756,"Collection Email","1st Email Follow-up","2nd Email Follow-up","Escalation to Local Office","Escalation to CBE","Escalation to Roxanne")&amp;" sent "&amp;TEXT($X756,"dd-mmm")&amp;". "&amp;IF($W756=6,"Final escalation completed.",IF($T756="OVERDUE","Next: "&amp;$Z756&amp;" was due "&amp;TEXT($Y756,"dd-mmm")&amp;" - "&amp;(NETWORKDAYS($Y756,TODAY(),Holidays)-1)&amp;" business day(s) late. Send now.",IF($T756="DUE TOMORROW","Next: "&amp;$Z756&amp;IF($Y756&lt;=TODAY()," is due TODAY ("," is due next business day (")&amp;TEXT($Y756,"dd-mmm")&amp;").","Next: "&amp;$Z756&amp;" due "&amp;TEXT($Y756,"dd-mmm")&amp;" ("&amp;(NETWORKDAYS(TODAY(),$Y756,Holidays)-1)&amp;" business day(s) left).")))))</f>
        <v/>
      </c>
      <c r="V756" s="17">
        <f>IF($W756="","",CHOOSE($W756,"Collection Email","1st Follow-up","2nd Follow-up","Local Office","CBE","Roxanne")&amp;IF($W756=6," - Final"," - Day "&amp;MAX(0,NETWORKDAYS($X756,TODAY(),Holidays)-1)&amp;" of "&amp;CHOOSE($W756,3,3,2,2,3))&amp;" | Total Day "&amp;MAX(0,NETWORKDAYS($L756,TODAY(),Holidays)-1))</f>
        <v/>
      </c>
      <c r="W756" s="17">
        <f>IF($L756="","",COUNT($L756:$Q756))</f>
        <v/>
      </c>
      <c r="X756" s="18">
        <f>IF($W756="","",INT(INDEX($L756:$Q756,$W756)))</f>
        <v/>
      </c>
      <c r="Y756" s="18">
        <f>IF(OR($W756="",$W756=6),"",WORKDAY($X756,CHOOSE($W756,3,3,2,2,3),Holidays))</f>
        <v/>
      </c>
      <c r="Z756" s="17">
        <f>IF(OR($W756="",$W756=6),"",CHOOSE($W756,"1st Email Follow-up","2nd Email Follow-up","Escalate Local Office","Escalate to CBE","Escalate to Roxanne"))</f>
        <v/>
      </c>
    </row>
    <row r="757" spans="18:26">
      <c r="R757" s="15"/>
      <c r="S757" s="16"/>
      <c r="T757" s="17">
        <f>IF(AND(COUNTA($A757:$K757)=0,$L757=""),"",IF($S757="Paid","PAID",IF($S757="Closed","CLOSED",IF($W757="","",IF($W757=6,"ESCALATED TO ROXANNE",IF(TODAY()&gt;$Y757,"OVERDUE",IF($Y757&lt;=WORKDAY(TODAY(),1,Holidays),"DUE TOMORROW",IF($W757=4,"ESCALATED TO LOCAL OFFICE",IF($W757=5,"ESCALATED TO CBE",IF($X757=TODAY(),"EMAIL SENT","MONITORING"))))))))))</f>
        <v/>
      </c>
      <c r="U757" s="17">
        <f>IF($T757="",IF(AND(COUNTA($A757:$K757)&gt;0,$L757=""),"Awaiting Collection Email time stamp.",""),IF(OR($T757="PAID",$T757="CLOSED"),IF($T757="PAID","Account paid. Action completed.","Account closed. No further action required."),CHOOSE($W757,"Collection Email","1st Email Follow-up","2nd Email Follow-up","Escalation to Local Office","Escalation to CBE","Escalation to Roxanne")&amp;" sent "&amp;TEXT($X757,"dd-mmm")&amp;". "&amp;IF($W757=6,"Final escalation completed.",IF($T757="OVERDUE","Next: "&amp;$Z757&amp;" was due "&amp;TEXT($Y757,"dd-mmm")&amp;" - "&amp;(NETWORKDAYS($Y757,TODAY(),Holidays)-1)&amp;" business day(s) late. Send now.",IF($T757="DUE TOMORROW","Next: "&amp;$Z757&amp;IF($Y757&lt;=TODAY()," is due TODAY ("," is due next business day (")&amp;TEXT($Y757,"dd-mmm")&amp;").","Next: "&amp;$Z757&amp;" due "&amp;TEXT($Y757,"dd-mmm")&amp;" ("&amp;(NETWORKDAYS(TODAY(),$Y757,Holidays)-1)&amp;" business day(s) left).")))))</f>
        <v/>
      </c>
      <c r="V757" s="17">
        <f>IF($W757="","",CHOOSE($W757,"Collection Email","1st Follow-up","2nd Follow-up","Local Office","CBE","Roxanne")&amp;IF($W757=6," - Final"," - Day "&amp;MAX(0,NETWORKDAYS($X757,TODAY(),Holidays)-1)&amp;" of "&amp;CHOOSE($W757,3,3,2,2,3))&amp;" | Total Day "&amp;MAX(0,NETWORKDAYS($L757,TODAY(),Holidays)-1))</f>
        <v/>
      </c>
      <c r="W757" s="17">
        <f>IF($L757="","",COUNT($L757:$Q757))</f>
        <v/>
      </c>
      <c r="X757" s="18">
        <f>IF($W757="","",INT(INDEX($L757:$Q757,$W757)))</f>
        <v/>
      </c>
      <c r="Y757" s="18">
        <f>IF(OR($W757="",$W757=6),"",WORKDAY($X757,CHOOSE($W757,3,3,2,2,3),Holidays))</f>
        <v/>
      </c>
      <c r="Z757" s="17">
        <f>IF(OR($W757="",$W757=6),"",CHOOSE($W757,"1st Email Follow-up","2nd Email Follow-up","Escalate Local Office","Escalate to CBE","Escalate to Roxanne"))</f>
        <v/>
      </c>
    </row>
    <row r="758" spans="18:26">
      <c r="R758" s="15"/>
      <c r="S758" s="16"/>
      <c r="T758" s="17">
        <f>IF(AND(COUNTA($A758:$K758)=0,$L758=""),"",IF($S758="Paid","PAID",IF($S758="Closed","CLOSED",IF($W758="","",IF($W758=6,"ESCALATED TO ROXANNE",IF(TODAY()&gt;$Y758,"OVERDUE",IF($Y758&lt;=WORKDAY(TODAY(),1,Holidays),"DUE TOMORROW",IF($W758=4,"ESCALATED TO LOCAL OFFICE",IF($W758=5,"ESCALATED TO CBE",IF($X758=TODAY(),"EMAIL SENT","MONITORING"))))))))))</f>
        <v/>
      </c>
      <c r="U758" s="17">
        <f>IF($T758="",IF(AND(COUNTA($A758:$K758)&gt;0,$L758=""),"Awaiting Collection Email time stamp.",""),IF(OR($T758="PAID",$T758="CLOSED"),IF($T758="PAID","Account paid. Action completed.","Account closed. No further action required."),CHOOSE($W758,"Collection Email","1st Email Follow-up","2nd Email Follow-up","Escalation to Local Office","Escalation to CBE","Escalation to Roxanne")&amp;" sent "&amp;TEXT($X758,"dd-mmm")&amp;". "&amp;IF($W758=6,"Final escalation completed.",IF($T758="OVERDUE","Next: "&amp;$Z758&amp;" was due "&amp;TEXT($Y758,"dd-mmm")&amp;" - "&amp;(NETWORKDAYS($Y758,TODAY(),Holidays)-1)&amp;" business day(s) late. Send now.",IF($T758="DUE TOMORROW","Next: "&amp;$Z758&amp;IF($Y758&lt;=TODAY()," is due TODAY ("," is due next business day (")&amp;TEXT($Y758,"dd-mmm")&amp;").","Next: "&amp;$Z758&amp;" due "&amp;TEXT($Y758,"dd-mmm")&amp;" ("&amp;(NETWORKDAYS(TODAY(),$Y758,Holidays)-1)&amp;" business day(s) left).")))))</f>
        <v/>
      </c>
      <c r="V758" s="17">
        <f>IF($W758="","",CHOOSE($W758,"Collection Email","1st Follow-up","2nd Follow-up","Local Office","CBE","Roxanne")&amp;IF($W758=6," - Final"," - Day "&amp;MAX(0,NETWORKDAYS($X758,TODAY(),Holidays)-1)&amp;" of "&amp;CHOOSE($W758,3,3,2,2,3))&amp;" | Total Day "&amp;MAX(0,NETWORKDAYS($L758,TODAY(),Holidays)-1))</f>
        <v/>
      </c>
      <c r="W758" s="17">
        <f>IF($L758="","",COUNT($L758:$Q758))</f>
        <v/>
      </c>
      <c r="X758" s="18">
        <f>IF($W758="","",INT(INDEX($L758:$Q758,$W758)))</f>
        <v/>
      </c>
      <c r="Y758" s="18">
        <f>IF(OR($W758="",$W758=6),"",WORKDAY($X758,CHOOSE($W758,3,3,2,2,3),Holidays))</f>
        <v/>
      </c>
      <c r="Z758" s="17">
        <f>IF(OR($W758="",$W758=6),"",CHOOSE($W758,"1st Email Follow-up","2nd Email Follow-up","Escalate Local Office","Escalate to CBE","Escalate to Roxanne"))</f>
        <v/>
      </c>
    </row>
    <row r="759" spans="18:26">
      <c r="R759" s="15"/>
      <c r="S759" s="16"/>
      <c r="T759" s="17">
        <f>IF(AND(COUNTA($A759:$K759)=0,$L759=""),"",IF($S759="Paid","PAID",IF($S759="Closed","CLOSED",IF($W759="","",IF($W759=6,"ESCALATED TO ROXANNE",IF(TODAY()&gt;$Y759,"OVERDUE",IF($Y759&lt;=WORKDAY(TODAY(),1,Holidays),"DUE TOMORROW",IF($W759=4,"ESCALATED TO LOCAL OFFICE",IF($W759=5,"ESCALATED TO CBE",IF($X759=TODAY(),"EMAIL SENT","MONITORING"))))))))))</f>
        <v/>
      </c>
      <c r="U759" s="17">
        <f>IF($T759="",IF(AND(COUNTA($A759:$K759)&gt;0,$L759=""),"Awaiting Collection Email time stamp.",""),IF(OR($T759="PAID",$T759="CLOSED"),IF($T759="PAID","Account paid. Action completed.","Account closed. No further action required."),CHOOSE($W759,"Collection Email","1st Email Follow-up","2nd Email Follow-up","Escalation to Local Office","Escalation to CBE","Escalation to Roxanne")&amp;" sent "&amp;TEXT($X759,"dd-mmm")&amp;". "&amp;IF($W759=6,"Final escalation completed.",IF($T759="OVERDUE","Next: "&amp;$Z759&amp;" was due "&amp;TEXT($Y759,"dd-mmm")&amp;" - "&amp;(NETWORKDAYS($Y759,TODAY(),Holidays)-1)&amp;" business day(s) late. Send now.",IF($T759="DUE TOMORROW","Next: "&amp;$Z759&amp;IF($Y759&lt;=TODAY()," is due TODAY ("," is due next business day (")&amp;TEXT($Y759,"dd-mmm")&amp;").","Next: "&amp;$Z759&amp;" due "&amp;TEXT($Y759,"dd-mmm")&amp;" ("&amp;(NETWORKDAYS(TODAY(),$Y759,Holidays)-1)&amp;" business day(s) left).")))))</f>
        <v/>
      </c>
      <c r="V759" s="17">
        <f>IF($W759="","",CHOOSE($W759,"Collection Email","1st Follow-up","2nd Follow-up","Local Office","CBE","Roxanne")&amp;IF($W759=6," - Final"," - Day "&amp;MAX(0,NETWORKDAYS($X759,TODAY(),Holidays)-1)&amp;" of "&amp;CHOOSE($W759,3,3,2,2,3))&amp;" | Total Day "&amp;MAX(0,NETWORKDAYS($L759,TODAY(),Holidays)-1))</f>
        <v/>
      </c>
      <c r="W759" s="17">
        <f>IF($L759="","",COUNT($L759:$Q759))</f>
        <v/>
      </c>
      <c r="X759" s="18">
        <f>IF($W759="","",INT(INDEX($L759:$Q759,$W759)))</f>
        <v/>
      </c>
      <c r="Y759" s="18">
        <f>IF(OR($W759="",$W759=6),"",WORKDAY($X759,CHOOSE($W759,3,3,2,2,3),Holidays))</f>
        <v/>
      </c>
      <c r="Z759" s="17">
        <f>IF(OR($W759="",$W759=6),"",CHOOSE($W759,"1st Email Follow-up","2nd Email Follow-up","Escalate Local Office","Escalate to CBE","Escalate to Roxanne"))</f>
        <v/>
      </c>
    </row>
    <row r="760" spans="18:26">
      <c r="R760" s="15"/>
      <c r="S760" s="16"/>
      <c r="T760" s="17">
        <f>IF(AND(COUNTA($A760:$K760)=0,$L760=""),"",IF($S760="Paid","PAID",IF($S760="Closed","CLOSED",IF($W760="","",IF($W760=6,"ESCALATED TO ROXANNE",IF(TODAY()&gt;$Y760,"OVERDUE",IF($Y760&lt;=WORKDAY(TODAY(),1,Holidays),"DUE TOMORROW",IF($W760=4,"ESCALATED TO LOCAL OFFICE",IF($W760=5,"ESCALATED TO CBE",IF($X760=TODAY(),"EMAIL SENT","MONITORING"))))))))))</f>
        <v/>
      </c>
      <c r="U760" s="17">
        <f>IF($T760="",IF(AND(COUNTA($A760:$K760)&gt;0,$L760=""),"Awaiting Collection Email time stamp.",""),IF(OR($T760="PAID",$T760="CLOSED"),IF($T760="PAID","Account paid. Action completed.","Account closed. No further action required."),CHOOSE($W760,"Collection Email","1st Email Follow-up","2nd Email Follow-up","Escalation to Local Office","Escalation to CBE","Escalation to Roxanne")&amp;" sent "&amp;TEXT($X760,"dd-mmm")&amp;". "&amp;IF($W760=6,"Final escalation completed.",IF($T760="OVERDUE","Next: "&amp;$Z760&amp;" was due "&amp;TEXT($Y760,"dd-mmm")&amp;" - "&amp;(NETWORKDAYS($Y760,TODAY(),Holidays)-1)&amp;" business day(s) late. Send now.",IF($T760="DUE TOMORROW","Next: "&amp;$Z760&amp;IF($Y760&lt;=TODAY()," is due TODAY ("," is due next business day (")&amp;TEXT($Y760,"dd-mmm")&amp;").","Next: "&amp;$Z760&amp;" due "&amp;TEXT($Y760,"dd-mmm")&amp;" ("&amp;(NETWORKDAYS(TODAY(),$Y760,Holidays)-1)&amp;" business day(s) left).")))))</f>
        <v/>
      </c>
      <c r="V760" s="17">
        <f>IF($W760="","",CHOOSE($W760,"Collection Email","1st Follow-up","2nd Follow-up","Local Office","CBE","Roxanne")&amp;IF($W760=6," - Final"," - Day "&amp;MAX(0,NETWORKDAYS($X760,TODAY(),Holidays)-1)&amp;" of "&amp;CHOOSE($W760,3,3,2,2,3))&amp;" | Total Day "&amp;MAX(0,NETWORKDAYS($L760,TODAY(),Holidays)-1))</f>
        <v/>
      </c>
      <c r="W760" s="17">
        <f>IF($L760="","",COUNT($L760:$Q760))</f>
        <v/>
      </c>
      <c r="X760" s="18">
        <f>IF($W760="","",INT(INDEX($L760:$Q760,$W760)))</f>
        <v/>
      </c>
      <c r="Y760" s="18">
        <f>IF(OR($W760="",$W760=6),"",WORKDAY($X760,CHOOSE($W760,3,3,2,2,3),Holidays))</f>
        <v/>
      </c>
      <c r="Z760" s="17">
        <f>IF(OR($W760="",$W760=6),"",CHOOSE($W760,"1st Email Follow-up","2nd Email Follow-up","Escalate Local Office","Escalate to CBE","Escalate to Roxanne"))</f>
        <v/>
      </c>
    </row>
    <row r="761" spans="18:26">
      <c r="R761" s="15"/>
      <c r="S761" s="16"/>
      <c r="T761" s="17">
        <f>IF(AND(COUNTA($A761:$K761)=0,$L761=""),"",IF($S761="Paid","PAID",IF($S761="Closed","CLOSED",IF($W761="","",IF($W761=6,"ESCALATED TO ROXANNE",IF(TODAY()&gt;$Y761,"OVERDUE",IF($Y761&lt;=WORKDAY(TODAY(),1,Holidays),"DUE TOMORROW",IF($W761=4,"ESCALATED TO LOCAL OFFICE",IF($W761=5,"ESCALATED TO CBE",IF($X761=TODAY(),"EMAIL SENT","MONITORING"))))))))))</f>
        <v/>
      </c>
      <c r="U761" s="17">
        <f>IF($T761="",IF(AND(COUNTA($A761:$K761)&gt;0,$L761=""),"Awaiting Collection Email time stamp.",""),IF(OR($T761="PAID",$T761="CLOSED"),IF($T761="PAID","Account paid. Action completed.","Account closed. No further action required."),CHOOSE($W761,"Collection Email","1st Email Follow-up","2nd Email Follow-up","Escalation to Local Office","Escalation to CBE","Escalation to Roxanne")&amp;" sent "&amp;TEXT($X761,"dd-mmm")&amp;". "&amp;IF($W761=6,"Final escalation completed.",IF($T761="OVERDUE","Next: "&amp;$Z761&amp;" was due "&amp;TEXT($Y761,"dd-mmm")&amp;" - "&amp;(NETWORKDAYS($Y761,TODAY(),Holidays)-1)&amp;" business day(s) late. Send now.",IF($T761="DUE TOMORROW","Next: "&amp;$Z761&amp;IF($Y761&lt;=TODAY()," is due TODAY ("," is due next business day (")&amp;TEXT($Y761,"dd-mmm")&amp;").","Next: "&amp;$Z761&amp;" due "&amp;TEXT($Y761,"dd-mmm")&amp;" ("&amp;(NETWORKDAYS(TODAY(),$Y761,Holidays)-1)&amp;" business day(s) left).")))))</f>
        <v/>
      </c>
      <c r="V761" s="17">
        <f>IF($W761="","",CHOOSE($W761,"Collection Email","1st Follow-up","2nd Follow-up","Local Office","CBE","Roxanne")&amp;IF($W761=6," - Final"," - Day "&amp;MAX(0,NETWORKDAYS($X761,TODAY(),Holidays)-1)&amp;" of "&amp;CHOOSE($W761,3,3,2,2,3))&amp;" | Total Day "&amp;MAX(0,NETWORKDAYS($L761,TODAY(),Holidays)-1))</f>
        <v/>
      </c>
      <c r="W761" s="17">
        <f>IF($L761="","",COUNT($L761:$Q761))</f>
        <v/>
      </c>
      <c r="X761" s="18">
        <f>IF($W761="","",INT(INDEX($L761:$Q761,$W761)))</f>
        <v/>
      </c>
      <c r="Y761" s="18">
        <f>IF(OR($W761="",$W761=6),"",WORKDAY($X761,CHOOSE($W761,3,3,2,2,3),Holidays))</f>
        <v/>
      </c>
      <c r="Z761" s="17">
        <f>IF(OR($W761="",$W761=6),"",CHOOSE($W761,"1st Email Follow-up","2nd Email Follow-up","Escalate Local Office","Escalate to CBE","Escalate to Roxanne"))</f>
        <v/>
      </c>
    </row>
    <row r="762" spans="18:26">
      <c r="R762" s="15"/>
      <c r="S762" s="16"/>
      <c r="T762" s="17">
        <f>IF(AND(COUNTA($A762:$K762)=0,$L762=""),"",IF($S762="Paid","PAID",IF($S762="Closed","CLOSED",IF($W762="","",IF($W762=6,"ESCALATED TO ROXANNE",IF(TODAY()&gt;$Y762,"OVERDUE",IF($Y762&lt;=WORKDAY(TODAY(),1,Holidays),"DUE TOMORROW",IF($W762=4,"ESCALATED TO LOCAL OFFICE",IF($W762=5,"ESCALATED TO CBE",IF($X762=TODAY(),"EMAIL SENT","MONITORING"))))))))))</f>
        <v/>
      </c>
      <c r="U762" s="17">
        <f>IF($T762="",IF(AND(COUNTA($A762:$K762)&gt;0,$L762=""),"Awaiting Collection Email time stamp.",""),IF(OR($T762="PAID",$T762="CLOSED"),IF($T762="PAID","Account paid. Action completed.","Account closed. No further action required."),CHOOSE($W762,"Collection Email","1st Email Follow-up","2nd Email Follow-up","Escalation to Local Office","Escalation to CBE","Escalation to Roxanne")&amp;" sent "&amp;TEXT($X762,"dd-mmm")&amp;". "&amp;IF($W762=6,"Final escalation completed.",IF($T762="OVERDUE","Next: "&amp;$Z762&amp;" was due "&amp;TEXT($Y762,"dd-mmm")&amp;" - "&amp;(NETWORKDAYS($Y762,TODAY(),Holidays)-1)&amp;" business day(s) late. Send now.",IF($T762="DUE TOMORROW","Next: "&amp;$Z762&amp;IF($Y762&lt;=TODAY()," is due TODAY ("," is due next business day (")&amp;TEXT($Y762,"dd-mmm")&amp;").","Next: "&amp;$Z762&amp;" due "&amp;TEXT($Y762,"dd-mmm")&amp;" ("&amp;(NETWORKDAYS(TODAY(),$Y762,Holidays)-1)&amp;" business day(s) left).")))))</f>
        <v/>
      </c>
      <c r="V762" s="17">
        <f>IF($W762="","",CHOOSE($W762,"Collection Email","1st Follow-up","2nd Follow-up","Local Office","CBE","Roxanne")&amp;IF($W762=6," - Final"," - Day "&amp;MAX(0,NETWORKDAYS($X762,TODAY(),Holidays)-1)&amp;" of "&amp;CHOOSE($W762,3,3,2,2,3))&amp;" | Total Day "&amp;MAX(0,NETWORKDAYS($L762,TODAY(),Holidays)-1))</f>
        <v/>
      </c>
      <c r="W762" s="17">
        <f>IF($L762="","",COUNT($L762:$Q762))</f>
        <v/>
      </c>
      <c r="X762" s="18">
        <f>IF($W762="","",INT(INDEX($L762:$Q762,$W762)))</f>
        <v/>
      </c>
      <c r="Y762" s="18">
        <f>IF(OR($W762="",$W762=6),"",WORKDAY($X762,CHOOSE($W762,3,3,2,2,3),Holidays))</f>
        <v/>
      </c>
      <c r="Z762" s="17">
        <f>IF(OR($W762="",$W762=6),"",CHOOSE($W762,"1st Email Follow-up","2nd Email Follow-up","Escalate Local Office","Escalate to CBE","Escalate to Roxanne"))</f>
        <v/>
      </c>
    </row>
    <row r="763" spans="18:26">
      <c r="R763" s="15"/>
      <c r="S763" s="16"/>
      <c r="T763" s="17">
        <f>IF(AND(COUNTA($A763:$K763)=0,$L763=""),"",IF($S763="Paid","PAID",IF($S763="Closed","CLOSED",IF($W763="","",IF($W763=6,"ESCALATED TO ROXANNE",IF(TODAY()&gt;$Y763,"OVERDUE",IF($Y763&lt;=WORKDAY(TODAY(),1,Holidays),"DUE TOMORROW",IF($W763=4,"ESCALATED TO LOCAL OFFICE",IF($W763=5,"ESCALATED TO CBE",IF($X763=TODAY(),"EMAIL SENT","MONITORING"))))))))))</f>
        <v/>
      </c>
      <c r="U763" s="17">
        <f>IF($T763="",IF(AND(COUNTA($A763:$K763)&gt;0,$L763=""),"Awaiting Collection Email time stamp.",""),IF(OR($T763="PAID",$T763="CLOSED"),IF($T763="PAID","Account paid. Action completed.","Account closed. No further action required."),CHOOSE($W763,"Collection Email","1st Email Follow-up","2nd Email Follow-up","Escalation to Local Office","Escalation to CBE","Escalation to Roxanne")&amp;" sent "&amp;TEXT($X763,"dd-mmm")&amp;". "&amp;IF($W763=6,"Final escalation completed.",IF($T763="OVERDUE","Next: "&amp;$Z763&amp;" was due "&amp;TEXT($Y763,"dd-mmm")&amp;" - "&amp;(NETWORKDAYS($Y763,TODAY(),Holidays)-1)&amp;" business day(s) late. Send now.",IF($T763="DUE TOMORROW","Next: "&amp;$Z763&amp;IF($Y763&lt;=TODAY()," is due TODAY ("," is due next business day (")&amp;TEXT($Y763,"dd-mmm")&amp;").","Next: "&amp;$Z763&amp;" due "&amp;TEXT($Y763,"dd-mmm")&amp;" ("&amp;(NETWORKDAYS(TODAY(),$Y763,Holidays)-1)&amp;" business day(s) left).")))))</f>
        <v/>
      </c>
      <c r="V763" s="17">
        <f>IF($W763="","",CHOOSE($W763,"Collection Email","1st Follow-up","2nd Follow-up","Local Office","CBE","Roxanne")&amp;IF($W763=6," - Final"," - Day "&amp;MAX(0,NETWORKDAYS($X763,TODAY(),Holidays)-1)&amp;" of "&amp;CHOOSE($W763,3,3,2,2,3))&amp;" | Total Day "&amp;MAX(0,NETWORKDAYS($L763,TODAY(),Holidays)-1))</f>
        <v/>
      </c>
      <c r="W763" s="17">
        <f>IF($L763="","",COUNT($L763:$Q763))</f>
        <v/>
      </c>
      <c r="X763" s="18">
        <f>IF($W763="","",INT(INDEX($L763:$Q763,$W763)))</f>
        <v/>
      </c>
      <c r="Y763" s="18">
        <f>IF(OR($W763="",$W763=6),"",WORKDAY($X763,CHOOSE($W763,3,3,2,2,3),Holidays))</f>
        <v/>
      </c>
      <c r="Z763" s="17">
        <f>IF(OR($W763="",$W763=6),"",CHOOSE($W763,"1st Email Follow-up","2nd Email Follow-up","Escalate Local Office","Escalate to CBE","Escalate to Roxanne"))</f>
        <v/>
      </c>
    </row>
    <row r="764" spans="18:26">
      <c r="R764" s="15"/>
      <c r="S764" s="16"/>
      <c r="T764" s="17">
        <f>IF(AND(COUNTA($A764:$K764)=0,$L764=""),"",IF($S764="Paid","PAID",IF($S764="Closed","CLOSED",IF($W764="","",IF($W764=6,"ESCALATED TO ROXANNE",IF(TODAY()&gt;$Y764,"OVERDUE",IF($Y764&lt;=WORKDAY(TODAY(),1,Holidays),"DUE TOMORROW",IF($W764=4,"ESCALATED TO LOCAL OFFICE",IF($W764=5,"ESCALATED TO CBE",IF($X764=TODAY(),"EMAIL SENT","MONITORING"))))))))))</f>
        <v/>
      </c>
      <c r="U764" s="17">
        <f>IF($T764="",IF(AND(COUNTA($A764:$K764)&gt;0,$L764=""),"Awaiting Collection Email time stamp.",""),IF(OR($T764="PAID",$T764="CLOSED"),IF($T764="PAID","Account paid. Action completed.","Account closed. No further action required."),CHOOSE($W764,"Collection Email","1st Email Follow-up","2nd Email Follow-up","Escalation to Local Office","Escalation to CBE","Escalation to Roxanne")&amp;" sent "&amp;TEXT($X764,"dd-mmm")&amp;". "&amp;IF($W764=6,"Final escalation completed.",IF($T764="OVERDUE","Next: "&amp;$Z764&amp;" was due "&amp;TEXT($Y764,"dd-mmm")&amp;" - "&amp;(NETWORKDAYS($Y764,TODAY(),Holidays)-1)&amp;" business day(s) late. Send now.",IF($T764="DUE TOMORROW","Next: "&amp;$Z764&amp;IF($Y764&lt;=TODAY()," is due TODAY ("," is due next business day (")&amp;TEXT($Y764,"dd-mmm")&amp;").","Next: "&amp;$Z764&amp;" due "&amp;TEXT($Y764,"dd-mmm")&amp;" ("&amp;(NETWORKDAYS(TODAY(),$Y764,Holidays)-1)&amp;" business day(s) left).")))))</f>
        <v/>
      </c>
      <c r="V764" s="17">
        <f>IF($W764="","",CHOOSE($W764,"Collection Email","1st Follow-up","2nd Follow-up","Local Office","CBE","Roxanne")&amp;IF($W764=6," - Final"," - Day "&amp;MAX(0,NETWORKDAYS($X764,TODAY(),Holidays)-1)&amp;" of "&amp;CHOOSE($W764,3,3,2,2,3))&amp;" | Total Day "&amp;MAX(0,NETWORKDAYS($L764,TODAY(),Holidays)-1))</f>
        <v/>
      </c>
      <c r="W764" s="17">
        <f>IF($L764="","",COUNT($L764:$Q764))</f>
        <v/>
      </c>
      <c r="X764" s="18">
        <f>IF($W764="","",INT(INDEX($L764:$Q764,$W764)))</f>
        <v/>
      </c>
      <c r="Y764" s="18">
        <f>IF(OR($W764="",$W764=6),"",WORKDAY($X764,CHOOSE($W764,3,3,2,2,3),Holidays))</f>
        <v/>
      </c>
      <c r="Z764" s="17">
        <f>IF(OR($W764="",$W764=6),"",CHOOSE($W764,"1st Email Follow-up","2nd Email Follow-up","Escalate Local Office","Escalate to CBE","Escalate to Roxanne"))</f>
        <v/>
      </c>
    </row>
    <row r="765" spans="18:26">
      <c r="R765" s="15"/>
      <c r="S765" s="16"/>
      <c r="T765" s="17">
        <f>IF(AND(COUNTA($A765:$K765)=0,$L765=""),"",IF($S765="Paid","PAID",IF($S765="Closed","CLOSED",IF($W765="","",IF($W765=6,"ESCALATED TO ROXANNE",IF(TODAY()&gt;$Y765,"OVERDUE",IF($Y765&lt;=WORKDAY(TODAY(),1,Holidays),"DUE TOMORROW",IF($W765=4,"ESCALATED TO LOCAL OFFICE",IF($W765=5,"ESCALATED TO CBE",IF($X765=TODAY(),"EMAIL SENT","MONITORING"))))))))))</f>
        <v/>
      </c>
      <c r="U765" s="17">
        <f>IF($T765="",IF(AND(COUNTA($A765:$K765)&gt;0,$L765=""),"Awaiting Collection Email time stamp.",""),IF(OR($T765="PAID",$T765="CLOSED"),IF($T765="PAID","Account paid. Action completed.","Account closed. No further action required."),CHOOSE($W765,"Collection Email","1st Email Follow-up","2nd Email Follow-up","Escalation to Local Office","Escalation to CBE","Escalation to Roxanne")&amp;" sent "&amp;TEXT($X765,"dd-mmm")&amp;". "&amp;IF($W765=6,"Final escalation completed.",IF($T765="OVERDUE","Next: "&amp;$Z765&amp;" was due "&amp;TEXT($Y765,"dd-mmm")&amp;" - "&amp;(NETWORKDAYS($Y765,TODAY(),Holidays)-1)&amp;" business day(s) late. Send now.",IF($T765="DUE TOMORROW","Next: "&amp;$Z765&amp;IF($Y765&lt;=TODAY()," is due TODAY ("," is due next business day (")&amp;TEXT($Y765,"dd-mmm")&amp;").","Next: "&amp;$Z765&amp;" due "&amp;TEXT($Y765,"dd-mmm")&amp;" ("&amp;(NETWORKDAYS(TODAY(),$Y765,Holidays)-1)&amp;" business day(s) left).")))))</f>
        <v/>
      </c>
      <c r="V765" s="17">
        <f>IF($W765="","",CHOOSE($W765,"Collection Email","1st Follow-up","2nd Follow-up","Local Office","CBE","Roxanne")&amp;IF($W765=6," - Final"," - Day "&amp;MAX(0,NETWORKDAYS($X765,TODAY(),Holidays)-1)&amp;" of "&amp;CHOOSE($W765,3,3,2,2,3))&amp;" | Total Day "&amp;MAX(0,NETWORKDAYS($L765,TODAY(),Holidays)-1))</f>
        <v/>
      </c>
      <c r="W765" s="17">
        <f>IF($L765="","",COUNT($L765:$Q765))</f>
        <v/>
      </c>
      <c r="X765" s="18">
        <f>IF($W765="","",INT(INDEX($L765:$Q765,$W765)))</f>
        <v/>
      </c>
      <c r="Y765" s="18">
        <f>IF(OR($W765="",$W765=6),"",WORKDAY($X765,CHOOSE($W765,3,3,2,2,3),Holidays))</f>
        <v/>
      </c>
      <c r="Z765" s="17">
        <f>IF(OR($W765="",$W765=6),"",CHOOSE($W765,"1st Email Follow-up","2nd Email Follow-up","Escalate Local Office","Escalate to CBE","Escalate to Roxanne"))</f>
        <v/>
      </c>
    </row>
    <row r="766" spans="18:26">
      <c r="R766" s="15"/>
      <c r="S766" s="16"/>
      <c r="T766" s="17">
        <f>IF(AND(COUNTA($A766:$K766)=0,$L766=""),"",IF($S766="Paid","PAID",IF($S766="Closed","CLOSED",IF($W766="","",IF($W766=6,"ESCALATED TO ROXANNE",IF(TODAY()&gt;$Y766,"OVERDUE",IF($Y766&lt;=WORKDAY(TODAY(),1,Holidays),"DUE TOMORROW",IF($W766=4,"ESCALATED TO LOCAL OFFICE",IF($W766=5,"ESCALATED TO CBE",IF($X766=TODAY(),"EMAIL SENT","MONITORING"))))))))))</f>
        <v/>
      </c>
      <c r="U766" s="17">
        <f>IF($T766="",IF(AND(COUNTA($A766:$K766)&gt;0,$L766=""),"Awaiting Collection Email time stamp.",""),IF(OR($T766="PAID",$T766="CLOSED"),IF($T766="PAID","Account paid. Action completed.","Account closed. No further action required."),CHOOSE($W766,"Collection Email","1st Email Follow-up","2nd Email Follow-up","Escalation to Local Office","Escalation to CBE","Escalation to Roxanne")&amp;" sent "&amp;TEXT($X766,"dd-mmm")&amp;". "&amp;IF($W766=6,"Final escalation completed.",IF($T766="OVERDUE","Next: "&amp;$Z766&amp;" was due "&amp;TEXT($Y766,"dd-mmm")&amp;" - "&amp;(NETWORKDAYS($Y766,TODAY(),Holidays)-1)&amp;" business day(s) late. Send now.",IF($T766="DUE TOMORROW","Next: "&amp;$Z766&amp;IF($Y766&lt;=TODAY()," is due TODAY ("," is due next business day (")&amp;TEXT($Y766,"dd-mmm")&amp;").","Next: "&amp;$Z766&amp;" due "&amp;TEXT($Y766,"dd-mmm")&amp;" ("&amp;(NETWORKDAYS(TODAY(),$Y766,Holidays)-1)&amp;" business day(s) left).")))))</f>
        <v/>
      </c>
      <c r="V766" s="17">
        <f>IF($W766="","",CHOOSE($W766,"Collection Email","1st Follow-up","2nd Follow-up","Local Office","CBE","Roxanne")&amp;IF($W766=6," - Final"," - Day "&amp;MAX(0,NETWORKDAYS($X766,TODAY(),Holidays)-1)&amp;" of "&amp;CHOOSE($W766,3,3,2,2,3))&amp;" | Total Day "&amp;MAX(0,NETWORKDAYS($L766,TODAY(),Holidays)-1))</f>
        <v/>
      </c>
      <c r="W766" s="17">
        <f>IF($L766="","",COUNT($L766:$Q766))</f>
        <v/>
      </c>
      <c r="X766" s="18">
        <f>IF($W766="","",INT(INDEX($L766:$Q766,$W766)))</f>
        <v/>
      </c>
      <c r="Y766" s="18">
        <f>IF(OR($W766="",$W766=6),"",WORKDAY($X766,CHOOSE($W766,3,3,2,2,3),Holidays))</f>
        <v/>
      </c>
      <c r="Z766" s="17">
        <f>IF(OR($W766="",$W766=6),"",CHOOSE($W766,"1st Email Follow-up","2nd Email Follow-up","Escalate Local Office","Escalate to CBE","Escalate to Roxanne"))</f>
        <v/>
      </c>
    </row>
    <row r="767" spans="18:26">
      <c r="R767" s="15"/>
      <c r="S767" s="16"/>
      <c r="T767" s="17">
        <f>IF(AND(COUNTA($A767:$K767)=0,$L767=""),"",IF($S767="Paid","PAID",IF($S767="Closed","CLOSED",IF($W767="","",IF($W767=6,"ESCALATED TO ROXANNE",IF(TODAY()&gt;$Y767,"OVERDUE",IF($Y767&lt;=WORKDAY(TODAY(),1,Holidays),"DUE TOMORROW",IF($W767=4,"ESCALATED TO LOCAL OFFICE",IF($W767=5,"ESCALATED TO CBE",IF($X767=TODAY(),"EMAIL SENT","MONITORING"))))))))))</f>
        <v/>
      </c>
      <c r="U767" s="17">
        <f>IF($T767="",IF(AND(COUNTA($A767:$K767)&gt;0,$L767=""),"Awaiting Collection Email time stamp.",""),IF(OR($T767="PAID",$T767="CLOSED"),IF($T767="PAID","Account paid. Action completed.","Account closed. No further action required."),CHOOSE($W767,"Collection Email","1st Email Follow-up","2nd Email Follow-up","Escalation to Local Office","Escalation to CBE","Escalation to Roxanne")&amp;" sent "&amp;TEXT($X767,"dd-mmm")&amp;". "&amp;IF($W767=6,"Final escalation completed.",IF($T767="OVERDUE","Next: "&amp;$Z767&amp;" was due "&amp;TEXT($Y767,"dd-mmm")&amp;" - "&amp;(NETWORKDAYS($Y767,TODAY(),Holidays)-1)&amp;" business day(s) late. Send now.",IF($T767="DUE TOMORROW","Next: "&amp;$Z767&amp;IF($Y767&lt;=TODAY()," is due TODAY ("," is due next business day (")&amp;TEXT($Y767,"dd-mmm")&amp;").","Next: "&amp;$Z767&amp;" due "&amp;TEXT($Y767,"dd-mmm")&amp;" ("&amp;(NETWORKDAYS(TODAY(),$Y767,Holidays)-1)&amp;" business day(s) left).")))))</f>
        <v/>
      </c>
      <c r="V767" s="17">
        <f>IF($W767="","",CHOOSE($W767,"Collection Email","1st Follow-up","2nd Follow-up","Local Office","CBE","Roxanne")&amp;IF($W767=6," - Final"," - Day "&amp;MAX(0,NETWORKDAYS($X767,TODAY(),Holidays)-1)&amp;" of "&amp;CHOOSE($W767,3,3,2,2,3))&amp;" | Total Day "&amp;MAX(0,NETWORKDAYS($L767,TODAY(),Holidays)-1))</f>
        <v/>
      </c>
      <c r="W767" s="17">
        <f>IF($L767="","",COUNT($L767:$Q767))</f>
        <v/>
      </c>
      <c r="X767" s="18">
        <f>IF($W767="","",INT(INDEX($L767:$Q767,$W767)))</f>
        <v/>
      </c>
      <c r="Y767" s="18">
        <f>IF(OR($W767="",$W767=6),"",WORKDAY($X767,CHOOSE($W767,3,3,2,2,3),Holidays))</f>
        <v/>
      </c>
      <c r="Z767" s="17">
        <f>IF(OR($W767="",$W767=6),"",CHOOSE($W767,"1st Email Follow-up","2nd Email Follow-up","Escalate Local Office","Escalate to CBE","Escalate to Roxanne"))</f>
        <v/>
      </c>
    </row>
    <row r="768" spans="18:26">
      <c r="R768" s="15"/>
      <c r="S768" s="16"/>
      <c r="T768" s="17">
        <f>IF(AND(COUNTA($A768:$K768)=0,$L768=""),"",IF($S768="Paid","PAID",IF($S768="Closed","CLOSED",IF($W768="","",IF($W768=6,"ESCALATED TO ROXANNE",IF(TODAY()&gt;$Y768,"OVERDUE",IF($Y768&lt;=WORKDAY(TODAY(),1,Holidays),"DUE TOMORROW",IF($W768=4,"ESCALATED TO LOCAL OFFICE",IF($W768=5,"ESCALATED TO CBE",IF($X768=TODAY(),"EMAIL SENT","MONITORING"))))))))))</f>
        <v/>
      </c>
      <c r="U768" s="17">
        <f>IF($T768="",IF(AND(COUNTA($A768:$K768)&gt;0,$L768=""),"Awaiting Collection Email time stamp.",""),IF(OR($T768="PAID",$T768="CLOSED"),IF($T768="PAID","Account paid. Action completed.","Account closed. No further action required."),CHOOSE($W768,"Collection Email","1st Email Follow-up","2nd Email Follow-up","Escalation to Local Office","Escalation to CBE","Escalation to Roxanne")&amp;" sent "&amp;TEXT($X768,"dd-mmm")&amp;". "&amp;IF($W768=6,"Final escalation completed.",IF($T768="OVERDUE","Next: "&amp;$Z768&amp;" was due "&amp;TEXT($Y768,"dd-mmm")&amp;" - "&amp;(NETWORKDAYS($Y768,TODAY(),Holidays)-1)&amp;" business day(s) late. Send now.",IF($T768="DUE TOMORROW","Next: "&amp;$Z768&amp;IF($Y768&lt;=TODAY()," is due TODAY ("," is due next business day (")&amp;TEXT($Y768,"dd-mmm")&amp;").","Next: "&amp;$Z768&amp;" due "&amp;TEXT($Y768,"dd-mmm")&amp;" ("&amp;(NETWORKDAYS(TODAY(),$Y768,Holidays)-1)&amp;" business day(s) left).")))))</f>
        <v/>
      </c>
      <c r="V768" s="17">
        <f>IF($W768="","",CHOOSE($W768,"Collection Email","1st Follow-up","2nd Follow-up","Local Office","CBE","Roxanne")&amp;IF($W768=6," - Final"," - Day "&amp;MAX(0,NETWORKDAYS($X768,TODAY(),Holidays)-1)&amp;" of "&amp;CHOOSE($W768,3,3,2,2,3))&amp;" | Total Day "&amp;MAX(0,NETWORKDAYS($L768,TODAY(),Holidays)-1))</f>
        <v/>
      </c>
      <c r="W768" s="17">
        <f>IF($L768="","",COUNT($L768:$Q768))</f>
        <v/>
      </c>
      <c r="X768" s="18">
        <f>IF($W768="","",INT(INDEX($L768:$Q768,$W768)))</f>
        <v/>
      </c>
      <c r="Y768" s="18">
        <f>IF(OR($W768="",$W768=6),"",WORKDAY($X768,CHOOSE($W768,3,3,2,2,3),Holidays))</f>
        <v/>
      </c>
      <c r="Z768" s="17">
        <f>IF(OR($W768="",$W768=6),"",CHOOSE($W768,"1st Email Follow-up","2nd Email Follow-up","Escalate Local Office","Escalate to CBE","Escalate to Roxanne"))</f>
        <v/>
      </c>
    </row>
    <row r="769" spans="18:26">
      <c r="R769" s="15"/>
      <c r="S769" s="16"/>
      <c r="T769" s="17">
        <f>IF(AND(COUNTA($A769:$K769)=0,$L769=""),"",IF($S769="Paid","PAID",IF($S769="Closed","CLOSED",IF($W769="","",IF($W769=6,"ESCALATED TO ROXANNE",IF(TODAY()&gt;$Y769,"OVERDUE",IF($Y769&lt;=WORKDAY(TODAY(),1,Holidays),"DUE TOMORROW",IF($W769=4,"ESCALATED TO LOCAL OFFICE",IF($W769=5,"ESCALATED TO CBE",IF($X769=TODAY(),"EMAIL SENT","MONITORING"))))))))))</f>
        <v/>
      </c>
      <c r="U769" s="17">
        <f>IF($T769="",IF(AND(COUNTA($A769:$K769)&gt;0,$L769=""),"Awaiting Collection Email time stamp.",""),IF(OR($T769="PAID",$T769="CLOSED"),IF($T769="PAID","Account paid. Action completed.","Account closed. No further action required."),CHOOSE($W769,"Collection Email","1st Email Follow-up","2nd Email Follow-up","Escalation to Local Office","Escalation to CBE","Escalation to Roxanne")&amp;" sent "&amp;TEXT($X769,"dd-mmm")&amp;". "&amp;IF($W769=6,"Final escalation completed.",IF($T769="OVERDUE","Next: "&amp;$Z769&amp;" was due "&amp;TEXT($Y769,"dd-mmm")&amp;" - "&amp;(NETWORKDAYS($Y769,TODAY(),Holidays)-1)&amp;" business day(s) late. Send now.",IF($T769="DUE TOMORROW","Next: "&amp;$Z769&amp;IF($Y769&lt;=TODAY()," is due TODAY ("," is due next business day (")&amp;TEXT($Y769,"dd-mmm")&amp;").","Next: "&amp;$Z769&amp;" due "&amp;TEXT($Y769,"dd-mmm")&amp;" ("&amp;(NETWORKDAYS(TODAY(),$Y769,Holidays)-1)&amp;" business day(s) left).")))))</f>
        <v/>
      </c>
      <c r="V769" s="17">
        <f>IF($W769="","",CHOOSE($W769,"Collection Email","1st Follow-up","2nd Follow-up","Local Office","CBE","Roxanne")&amp;IF($W769=6," - Final"," - Day "&amp;MAX(0,NETWORKDAYS($X769,TODAY(),Holidays)-1)&amp;" of "&amp;CHOOSE($W769,3,3,2,2,3))&amp;" | Total Day "&amp;MAX(0,NETWORKDAYS($L769,TODAY(),Holidays)-1))</f>
        <v/>
      </c>
      <c r="W769" s="17">
        <f>IF($L769="","",COUNT($L769:$Q769))</f>
        <v/>
      </c>
      <c r="X769" s="18">
        <f>IF($W769="","",INT(INDEX($L769:$Q769,$W769)))</f>
        <v/>
      </c>
      <c r="Y769" s="18">
        <f>IF(OR($W769="",$W769=6),"",WORKDAY($X769,CHOOSE($W769,3,3,2,2,3),Holidays))</f>
        <v/>
      </c>
      <c r="Z769" s="17">
        <f>IF(OR($W769="",$W769=6),"",CHOOSE($W769,"1st Email Follow-up","2nd Email Follow-up","Escalate Local Office","Escalate to CBE","Escalate to Roxanne"))</f>
        <v/>
      </c>
    </row>
    <row r="770" spans="18:26">
      <c r="R770" s="15"/>
      <c r="S770" s="16"/>
      <c r="T770" s="17">
        <f>IF(AND(COUNTA($A770:$K770)=0,$L770=""),"",IF($S770="Paid","PAID",IF($S770="Closed","CLOSED",IF($W770="","",IF($W770=6,"ESCALATED TO ROXANNE",IF(TODAY()&gt;$Y770,"OVERDUE",IF($Y770&lt;=WORKDAY(TODAY(),1,Holidays),"DUE TOMORROW",IF($W770=4,"ESCALATED TO LOCAL OFFICE",IF($W770=5,"ESCALATED TO CBE",IF($X770=TODAY(),"EMAIL SENT","MONITORING"))))))))))</f>
        <v/>
      </c>
      <c r="U770" s="17">
        <f>IF($T770="",IF(AND(COUNTA($A770:$K770)&gt;0,$L770=""),"Awaiting Collection Email time stamp.",""),IF(OR($T770="PAID",$T770="CLOSED"),IF($T770="PAID","Account paid. Action completed.","Account closed. No further action required."),CHOOSE($W770,"Collection Email","1st Email Follow-up","2nd Email Follow-up","Escalation to Local Office","Escalation to CBE","Escalation to Roxanne")&amp;" sent "&amp;TEXT($X770,"dd-mmm")&amp;". "&amp;IF($W770=6,"Final escalation completed.",IF($T770="OVERDUE","Next: "&amp;$Z770&amp;" was due "&amp;TEXT($Y770,"dd-mmm")&amp;" - "&amp;(NETWORKDAYS($Y770,TODAY(),Holidays)-1)&amp;" business day(s) late. Send now.",IF($T770="DUE TOMORROW","Next: "&amp;$Z770&amp;IF($Y770&lt;=TODAY()," is due TODAY ("," is due next business day (")&amp;TEXT($Y770,"dd-mmm")&amp;").","Next: "&amp;$Z770&amp;" due "&amp;TEXT($Y770,"dd-mmm")&amp;" ("&amp;(NETWORKDAYS(TODAY(),$Y770,Holidays)-1)&amp;" business day(s) left).")))))</f>
        <v/>
      </c>
      <c r="V770" s="17">
        <f>IF($W770="","",CHOOSE($W770,"Collection Email","1st Follow-up","2nd Follow-up","Local Office","CBE","Roxanne")&amp;IF($W770=6," - Final"," - Day "&amp;MAX(0,NETWORKDAYS($X770,TODAY(),Holidays)-1)&amp;" of "&amp;CHOOSE($W770,3,3,2,2,3))&amp;" | Total Day "&amp;MAX(0,NETWORKDAYS($L770,TODAY(),Holidays)-1))</f>
        <v/>
      </c>
      <c r="W770" s="17">
        <f>IF($L770="","",COUNT($L770:$Q770))</f>
        <v/>
      </c>
      <c r="X770" s="18">
        <f>IF($W770="","",INT(INDEX($L770:$Q770,$W770)))</f>
        <v/>
      </c>
      <c r="Y770" s="18">
        <f>IF(OR($W770="",$W770=6),"",WORKDAY($X770,CHOOSE($W770,3,3,2,2,3),Holidays))</f>
        <v/>
      </c>
      <c r="Z770" s="17">
        <f>IF(OR($W770="",$W770=6),"",CHOOSE($W770,"1st Email Follow-up","2nd Email Follow-up","Escalate Local Office","Escalate to CBE","Escalate to Roxanne"))</f>
        <v/>
      </c>
    </row>
    <row r="771" spans="18:26">
      <c r="R771" s="15"/>
      <c r="S771" s="16"/>
      <c r="T771" s="17">
        <f>IF(AND(COUNTA($A771:$K771)=0,$L771=""),"",IF($S771="Paid","PAID",IF($S771="Closed","CLOSED",IF($W771="","",IF($W771=6,"ESCALATED TO ROXANNE",IF(TODAY()&gt;$Y771,"OVERDUE",IF($Y771&lt;=WORKDAY(TODAY(),1,Holidays),"DUE TOMORROW",IF($W771=4,"ESCALATED TO LOCAL OFFICE",IF($W771=5,"ESCALATED TO CBE",IF($X771=TODAY(),"EMAIL SENT","MONITORING"))))))))))</f>
        <v/>
      </c>
      <c r="U771" s="17">
        <f>IF($T771="",IF(AND(COUNTA($A771:$K771)&gt;0,$L771=""),"Awaiting Collection Email time stamp.",""),IF(OR($T771="PAID",$T771="CLOSED"),IF($T771="PAID","Account paid. Action completed.","Account closed. No further action required."),CHOOSE($W771,"Collection Email","1st Email Follow-up","2nd Email Follow-up","Escalation to Local Office","Escalation to CBE","Escalation to Roxanne")&amp;" sent "&amp;TEXT($X771,"dd-mmm")&amp;". "&amp;IF($W771=6,"Final escalation completed.",IF($T771="OVERDUE","Next: "&amp;$Z771&amp;" was due "&amp;TEXT($Y771,"dd-mmm")&amp;" - "&amp;(NETWORKDAYS($Y771,TODAY(),Holidays)-1)&amp;" business day(s) late. Send now.",IF($T771="DUE TOMORROW","Next: "&amp;$Z771&amp;IF($Y771&lt;=TODAY()," is due TODAY ("," is due next business day (")&amp;TEXT($Y771,"dd-mmm")&amp;").","Next: "&amp;$Z771&amp;" due "&amp;TEXT($Y771,"dd-mmm")&amp;" ("&amp;(NETWORKDAYS(TODAY(),$Y771,Holidays)-1)&amp;" business day(s) left).")))))</f>
        <v/>
      </c>
      <c r="V771" s="17">
        <f>IF($W771="","",CHOOSE($W771,"Collection Email","1st Follow-up","2nd Follow-up","Local Office","CBE","Roxanne")&amp;IF($W771=6," - Final"," - Day "&amp;MAX(0,NETWORKDAYS($X771,TODAY(),Holidays)-1)&amp;" of "&amp;CHOOSE($W771,3,3,2,2,3))&amp;" | Total Day "&amp;MAX(0,NETWORKDAYS($L771,TODAY(),Holidays)-1))</f>
        <v/>
      </c>
      <c r="W771" s="17">
        <f>IF($L771="","",COUNT($L771:$Q771))</f>
        <v/>
      </c>
      <c r="X771" s="18">
        <f>IF($W771="","",INT(INDEX($L771:$Q771,$W771)))</f>
        <v/>
      </c>
      <c r="Y771" s="18">
        <f>IF(OR($W771="",$W771=6),"",WORKDAY($X771,CHOOSE($W771,3,3,2,2,3),Holidays))</f>
        <v/>
      </c>
      <c r="Z771" s="17">
        <f>IF(OR($W771="",$W771=6),"",CHOOSE($W771,"1st Email Follow-up","2nd Email Follow-up","Escalate Local Office","Escalate to CBE","Escalate to Roxanne"))</f>
        <v/>
      </c>
    </row>
    <row r="772" spans="18:26">
      <c r="R772" s="15"/>
      <c r="S772" s="16"/>
      <c r="T772" s="17">
        <f>IF(AND(COUNTA($A772:$K772)=0,$L772=""),"",IF($S772="Paid","PAID",IF($S772="Closed","CLOSED",IF($W772="","",IF($W772=6,"ESCALATED TO ROXANNE",IF(TODAY()&gt;$Y772,"OVERDUE",IF($Y772&lt;=WORKDAY(TODAY(),1,Holidays),"DUE TOMORROW",IF($W772=4,"ESCALATED TO LOCAL OFFICE",IF($W772=5,"ESCALATED TO CBE",IF($X772=TODAY(),"EMAIL SENT","MONITORING"))))))))))</f>
        <v/>
      </c>
      <c r="U772" s="17">
        <f>IF($T772="",IF(AND(COUNTA($A772:$K772)&gt;0,$L772=""),"Awaiting Collection Email time stamp.",""),IF(OR($T772="PAID",$T772="CLOSED"),IF($T772="PAID","Account paid. Action completed.","Account closed. No further action required."),CHOOSE($W772,"Collection Email","1st Email Follow-up","2nd Email Follow-up","Escalation to Local Office","Escalation to CBE","Escalation to Roxanne")&amp;" sent "&amp;TEXT($X772,"dd-mmm")&amp;". "&amp;IF($W772=6,"Final escalation completed.",IF($T772="OVERDUE","Next: "&amp;$Z772&amp;" was due "&amp;TEXT($Y772,"dd-mmm")&amp;" - "&amp;(NETWORKDAYS($Y772,TODAY(),Holidays)-1)&amp;" business day(s) late. Send now.",IF($T772="DUE TOMORROW","Next: "&amp;$Z772&amp;IF($Y772&lt;=TODAY()," is due TODAY ("," is due next business day (")&amp;TEXT($Y772,"dd-mmm")&amp;").","Next: "&amp;$Z772&amp;" due "&amp;TEXT($Y772,"dd-mmm")&amp;" ("&amp;(NETWORKDAYS(TODAY(),$Y772,Holidays)-1)&amp;" business day(s) left).")))))</f>
        <v/>
      </c>
      <c r="V772" s="17">
        <f>IF($W772="","",CHOOSE($W772,"Collection Email","1st Follow-up","2nd Follow-up","Local Office","CBE","Roxanne")&amp;IF($W772=6," - Final"," - Day "&amp;MAX(0,NETWORKDAYS($X772,TODAY(),Holidays)-1)&amp;" of "&amp;CHOOSE($W772,3,3,2,2,3))&amp;" | Total Day "&amp;MAX(0,NETWORKDAYS($L772,TODAY(),Holidays)-1))</f>
        <v/>
      </c>
      <c r="W772" s="17">
        <f>IF($L772="","",COUNT($L772:$Q772))</f>
        <v/>
      </c>
      <c r="X772" s="18">
        <f>IF($W772="","",INT(INDEX($L772:$Q772,$W772)))</f>
        <v/>
      </c>
      <c r="Y772" s="18">
        <f>IF(OR($W772="",$W772=6),"",WORKDAY($X772,CHOOSE($W772,3,3,2,2,3),Holidays))</f>
        <v/>
      </c>
      <c r="Z772" s="17">
        <f>IF(OR($W772="",$W772=6),"",CHOOSE($W772,"1st Email Follow-up","2nd Email Follow-up","Escalate Local Office","Escalate to CBE","Escalate to Roxanne"))</f>
        <v/>
      </c>
    </row>
    <row r="773" spans="18:26">
      <c r="R773" s="15"/>
      <c r="S773" s="16"/>
      <c r="T773" s="17">
        <f>IF(AND(COUNTA($A773:$K773)=0,$L773=""),"",IF($S773="Paid","PAID",IF($S773="Closed","CLOSED",IF($W773="","",IF($W773=6,"ESCALATED TO ROXANNE",IF(TODAY()&gt;$Y773,"OVERDUE",IF($Y773&lt;=WORKDAY(TODAY(),1,Holidays),"DUE TOMORROW",IF($W773=4,"ESCALATED TO LOCAL OFFICE",IF($W773=5,"ESCALATED TO CBE",IF($X773=TODAY(),"EMAIL SENT","MONITORING"))))))))))</f>
        <v/>
      </c>
      <c r="U773" s="17">
        <f>IF($T773="",IF(AND(COUNTA($A773:$K773)&gt;0,$L773=""),"Awaiting Collection Email time stamp.",""),IF(OR($T773="PAID",$T773="CLOSED"),IF($T773="PAID","Account paid. Action completed.","Account closed. No further action required."),CHOOSE($W773,"Collection Email","1st Email Follow-up","2nd Email Follow-up","Escalation to Local Office","Escalation to CBE","Escalation to Roxanne")&amp;" sent "&amp;TEXT($X773,"dd-mmm")&amp;". "&amp;IF($W773=6,"Final escalation completed.",IF($T773="OVERDUE","Next: "&amp;$Z773&amp;" was due "&amp;TEXT($Y773,"dd-mmm")&amp;" - "&amp;(NETWORKDAYS($Y773,TODAY(),Holidays)-1)&amp;" business day(s) late. Send now.",IF($T773="DUE TOMORROW","Next: "&amp;$Z773&amp;IF($Y773&lt;=TODAY()," is due TODAY ("," is due next business day (")&amp;TEXT($Y773,"dd-mmm")&amp;").","Next: "&amp;$Z773&amp;" due "&amp;TEXT($Y773,"dd-mmm")&amp;" ("&amp;(NETWORKDAYS(TODAY(),$Y773,Holidays)-1)&amp;" business day(s) left).")))))</f>
        <v/>
      </c>
      <c r="V773" s="17">
        <f>IF($W773="","",CHOOSE($W773,"Collection Email","1st Follow-up","2nd Follow-up","Local Office","CBE","Roxanne")&amp;IF($W773=6," - Final"," - Day "&amp;MAX(0,NETWORKDAYS($X773,TODAY(),Holidays)-1)&amp;" of "&amp;CHOOSE($W773,3,3,2,2,3))&amp;" | Total Day "&amp;MAX(0,NETWORKDAYS($L773,TODAY(),Holidays)-1))</f>
        <v/>
      </c>
      <c r="W773" s="17">
        <f>IF($L773="","",COUNT($L773:$Q773))</f>
        <v/>
      </c>
      <c r="X773" s="18">
        <f>IF($W773="","",INT(INDEX($L773:$Q773,$W773)))</f>
        <v/>
      </c>
      <c r="Y773" s="18">
        <f>IF(OR($W773="",$W773=6),"",WORKDAY($X773,CHOOSE($W773,3,3,2,2,3),Holidays))</f>
        <v/>
      </c>
      <c r="Z773" s="17">
        <f>IF(OR($W773="",$W773=6),"",CHOOSE($W773,"1st Email Follow-up","2nd Email Follow-up","Escalate Local Office","Escalate to CBE","Escalate to Roxanne"))</f>
        <v/>
      </c>
    </row>
    <row r="774" spans="18:26">
      <c r="R774" s="15"/>
      <c r="S774" s="16"/>
      <c r="T774" s="17">
        <f>IF(AND(COUNTA($A774:$K774)=0,$L774=""),"",IF($S774="Paid","PAID",IF($S774="Closed","CLOSED",IF($W774="","",IF($W774=6,"ESCALATED TO ROXANNE",IF(TODAY()&gt;$Y774,"OVERDUE",IF($Y774&lt;=WORKDAY(TODAY(),1,Holidays),"DUE TOMORROW",IF($W774=4,"ESCALATED TO LOCAL OFFICE",IF($W774=5,"ESCALATED TO CBE",IF($X774=TODAY(),"EMAIL SENT","MONITORING"))))))))))</f>
        <v/>
      </c>
      <c r="U774" s="17">
        <f>IF($T774="",IF(AND(COUNTA($A774:$K774)&gt;0,$L774=""),"Awaiting Collection Email time stamp.",""),IF(OR($T774="PAID",$T774="CLOSED"),IF($T774="PAID","Account paid. Action completed.","Account closed. No further action required."),CHOOSE($W774,"Collection Email","1st Email Follow-up","2nd Email Follow-up","Escalation to Local Office","Escalation to CBE","Escalation to Roxanne")&amp;" sent "&amp;TEXT($X774,"dd-mmm")&amp;". "&amp;IF($W774=6,"Final escalation completed.",IF($T774="OVERDUE","Next: "&amp;$Z774&amp;" was due "&amp;TEXT($Y774,"dd-mmm")&amp;" - "&amp;(NETWORKDAYS($Y774,TODAY(),Holidays)-1)&amp;" business day(s) late. Send now.",IF($T774="DUE TOMORROW","Next: "&amp;$Z774&amp;IF($Y774&lt;=TODAY()," is due TODAY ("," is due next business day (")&amp;TEXT($Y774,"dd-mmm")&amp;").","Next: "&amp;$Z774&amp;" due "&amp;TEXT($Y774,"dd-mmm")&amp;" ("&amp;(NETWORKDAYS(TODAY(),$Y774,Holidays)-1)&amp;" business day(s) left).")))))</f>
        <v/>
      </c>
      <c r="V774" s="17">
        <f>IF($W774="","",CHOOSE($W774,"Collection Email","1st Follow-up","2nd Follow-up","Local Office","CBE","Roxanne")&amp;IF($W774=6," - Final"," - Day "&amp;MAX(0,NETWORKDAYS($X774,TODAY(),Holidays)-1)&amp;" of "&amp;CHOOSE($W774,3,3,2,2,3))&amp;" | Total Day "&amp;MAX(0,NETWORKDAYS($L774,TODAY(),Holidays)-1))</f>
        <v/>
      </c>
      <c r="W774" s="17">
        <f>IF($L774="","",COUNT($L774:$Q774))</f>
        <v/>
      </c>
      <c r="X774" s="18">
        <f>IF($W774="","",INT(INDEX($L774:$Q774,$W774)))</f>
        <v/>
      </c>
      <c r="Y774" s="18">
        <f>IF(OR($W774="",$W774=6),"",WORKDAY($X774,CHOOSE($W774,3,3,2,2,3),Holidays))</f>
        <v/>
      </c>
      <c r="Z774" s="17">
        <f>IF(OR($W774="",$W774=6),"",CHOOSE($W774,"1st Email Follow-up","2nd Email Follow-up","Escalate Local Office","Escalate to CBE","Escalate to Roxanne"))</f>
        <v/>
      </c>
    </row>
    <row r="775" spans="18:26">
      <c r="R775" s="15"/>
      <c r="S775" s="16"/>
      <c r="T775" s="17">
        <f>IF(AND(COUNTA($A775:$K775)=0,$L775=""),"",IF($S775="Paid","PAID",IF($S775="Closed","CLOSED",IF($W775="","",IF($W775=6,"ESCALATED TO ROXANNE",IF(TODAY()&gt;$Y775,"OVERDUE",IF($Y775&lt;=WORKDAY(TODAY(),1,Holidays),"DUE TOMORROW",IF($W775=4,"ESCALATED TO LOCAL OFFICE",IF($W775=5,"ESCALATED TO CBE",IF($X775=TODAY(),"EMAIL SENT","MONITORING"))))))))))</f>
        <v/>
      </c>
      <c r="U775" s="17">
        <f>IF($T775="",IF(AND(COUNTA($A775:$K775)&gt;0,$L775=""),"Awaiting Collection Email time stamp.",""),IF(OR($T775="PAID",$T775="CLOSED"),IF($T775="PAID","Account paid. Action completed.","Account closed. No further action required."),CHOOSE($W775,"Collection Email","1st Email Follow-up","2nd Email Follow-up","Escalation to Local Office","Escalation to CBE","Escalation to Roxanne")&amp;" sent "&amp;TEXT($X775,"dd-mmm")&amp;". "&amp;IF($W775=6,"Final escalation completed.",IF($T775="OVERDUE","Next: "&amp;$Z775&amp;" was due "&amp;TEXT($Y775,"dd-mmm")&amp;" - "&amp;(NETWORKDAYS($Y775,TODAY(),Holidays)-1)&amp;" business day(s) late. Send now.",IF($T775="DUE TOMORROW","Next: "&amp;$Z775&amp;IF($Y775&lt;=TODAY()," is due TODAY ("," is due next business day (")&amp;TEXT($Y775,"dd-mmm")&amp;").","Next: "&amp;$Z775&amp;" due "&amp;TEXT($Y775,"dd-mmm")&amp;" ("&amp;(NETWORKDAYS(TODAY(),$Y775,Holidays)-1)&amp;" business day(s) left).")))))</f>
        <v/>
      </c>
      <c r="V775" s="17">
        <f>IF($W775="","",CHOOSE($W775,"Collection Email","1st Follow-up","2nd Follow-up","Local Office","CBE","Roxanne")&amp;IF($W775=6," - Final"," - Day "&amp;MAX(0,NETWORKDAYS($X775,TODAY(),Holidays)-1)&amp;" of "&amp;CHOOSE($W775,3,3,2,2,3))&amp;" | Total Day "&amp;MAX(0,NETWORKDAYS($L775,TODAY(),Holidays)-1))</f>
        <v/>
      </c>
      <c r="W775" s="17">
        <f>IF($L775="","",COUNT($L775:$Q775))</f>
        <v/>
      </c>
      <c r="X775" s="18">
        <f>IF($W775="","",INT(INDEX($L775:$Q775,$W775)))</f>
        <v/>
      </c>
      <c r="Y775" s="18">
        <f>IF(OR($W775="",$W775=6),"",WORKDAY($X775,CHOOSE($W775,3,3,2,2,3),Holidays))</f>
        <v/>
      </c>
      <c r="Z775" s="17">
        <f>IF(OR($W775="",$W775=6),"",CHOOSE($W775,"1st Email Follow-up","2nd Email Follow-up","Escalate Local Office","Escalate to CBE","Escalate to Roxanne"))</f>
        <v/>
      </c>
    </row>
    <row r="776" spans="18:26">
      <c r="R776" s="15"/>
      <c r="S776" s="16"/>
      <c r="T776" s="17">
        <f>IF(AND(COUNTA($A776:$K776)=0,$L776=""),"",IF($S776="Paid","PAID",IF($S776="Closed","CLOSED",IF($W776="","",IF($W776=6,"ESCALATED TO ROXANNE",IF(TODAY()&gt;$Y776,"OVERDUE",IF($Y776&lt;=WORKDAY(TODAY(),1,Holidays),"DUE TOMORROW",IF($W776=4,"ESCALATED TO LOCAL OFFICE",IF($W776=5,"ESCALATED TO CBE",IF($X776=TODAY(),"EMAIL SENT","MONITORING"))))))))))</f>
        <v/>
      </c>
      <c r="U776" s="17">
        <f>IF($T776="",IF(AND(COUNTA($A776:$K776)&gt;0,$L776=""),"Awaiting Collection Email time stamp.",""),IF(OR($T776="PAID",$T776="CLOSED"),IF($T776="PAID","Account paid. Action completed.","Account closed. No further action required."),CHOOSE($W776,"Collection Email","1st Email Follow-up","2nd Email Follow-up","Escalation to Local Office","Escalation to CBE","Escalation to Roxanne")&amp;" sent "&amp;TEXT($X776,"dd-mmm")&amp;". "&amp;IF($W776=6,"Final escalation completed.",IF($T776="OVERDUE","Next: "&amp;$Z776&amp;" was due "&amp;TEXT($Y776,"dd-mmm")&amp;" - "&amp;(NETWORKDAYS($Y776,TODAY(),Holidays)-1)&amp;" business day(s) late. Send now.",IF($T776="DUE TOMORROW","Next: "&amp;$Z776&amp;IF($Y776&lt;=TODAY()," is due TODAY ("," is due next business day (")&amp;TEXT($Y776,"dd-mmm")&amp;").","Next: "&amp;$Z776&amp;" due "&amp;TEXT($Y776,"dd-mmm")&amp;" ("&amp;(NETWORKDAYS(TODAY(),$Y776,Holidays)-1)&amp;" business day(s) left).")))))</f>
        <v/>
      </c>
      <c r="V776" s="17">
        <f>IF($W776="","",CHOOSE($W776,"Collection Email","1st Follow-up","2nd Follow-up","Local Office","CBE","Roxanne")&amp;IF($W776=6," - Final"," - Day "&amp;MAX(0,NETWORKDAYS($X776,TODAY(),Holidays)-1)&amp;" of "&amp;CHOOSE($W776,3,3,2,2,3))&amp;" | Total Day "&amp;MAX(0,NETWORKDAYS($L776,TODAY(),Holidays)-1))</f>
        <v/>
      </c>
      <c r="W776" s="17">
        <f>IF($L776="","",COUNT($L776:$Q776))</f>
        <v/>
      </c>
      <c r="X776" s="18">
        <f>IF($W776="","",INT(INDEX($L776:$Q776,$W776)))</f>
        <v/>
      </c>
      <c r="Y776" s="18">
        <f>IF(OR($W776="",$W776=6),"",WORKDAY($X776,CHOOSE($W776,3,3,2,2,3),Holidays))</f>
        <v/>
      </c>
      <c r="Z776" s="17">
        <f>IF(OR($W776="",$W776=6),"",CHOOSE($W776,"1st Email Follow-up","2nd Email Follow-up","Escalate Local Office","Escalate to CBE","Escalate to Roxanne"))</f>
        <v/>
      </c>
    </row>
    <row r="777" spans="18:26">
      <c r="R777" s="15"/>
      <c r="S777" s="16"/>
      <c r="T777" s="17">
        <f>IF(AND(COUNTA($A777:$K777)=0,$L777=""),"",IF($S777="Paid","PAID",IF($S777="Closed","CLOSED",IF($W777="","",IF($W777=6,"ESCALATED TO ROXANNE",IF(TODAY()&gt;$Y777,"OVERDUE",IF($Y777&lt;=WORKDAY(TODAY(),1,Holidays),"DUE TOMORROW",IF($W777=4,"ESCALATED TO LOCAL OFFICE",IF($W777=5,"ESCALATED TO CBE",IF($X777=TODAY(),"EMAIL SENT","MONITORING"))))))))))</f>
        <v/>
      </c>
      <c r="U777" s="17">
        <f>IF($T777="",IF(AND(COUNTA($A777:$K777)&gt;0,$L777=""),"Awaiting Collection Email time stamp.",""),IF(OR($T777="PAID",$T777="CLOSED"),IF($T777="PAID","Account paid. Action completed.","Account closed. No further action required."),CHOOSE($W777,"Collection Email","1st Email Follow-up","2nd Email Follow-up","Escalation to Local Office","Escalation to CBE","Escalation to Roxanne")&amp;" sent "&amp;TEXT($X777,"dd-mmm")&amp;". "&amp;IF($W777=6,"Final escalation completed.",IF($T777="OVERDUE","Next: "&amp;$Z777&amp;" was due "&amp;TEXT($Y777,"dd-mmm")&amp;" - "&amp;(NETWORKDAYS($Y777,TODAY(),Holidays)-1)&amp;" business day(s) late. Send now.",IF($T777="DUE TOMORROW","Next: "&amp;$Z777&amp;IF($Y777&lt;=TODAY()," is due TODAY ("," is due next business day (")&amp;TEXT($Y777,"dd-mmm")&amp;").","Next: "&amp;$Z777&amp;" due "&amp;TEXT($Y777,"dd-mmm")&amp;" ("&amp;(NETWORKDAYS(TODAY(),$Y777,Holidays)-1)&amp;" business day(s) left).")))))</f>
        <v/>
      </c>
      <c r="V777" s="17">
        <f>IF($W777="","",CHOOSE($W777,"Collection Email","1st Follow-up","2nd Follow-up","Local Office","CBE","Roxanne")&amp;IF($W777=6," - Final"," - Day "&amp;MAX(0,NETWORKDAYS($X777,TODAY(),Holidays)-1)&amp;" of "&amp;CHOOSE($W777,3,3,2,2,3))&amp;" | Total Day "&amp;MAX(0,NETWORKDAYS($L777,TODAY(),Holidays)-1))</f>
        <v/>
      </c>
      <c r="W777" s="17">
        <f>IF($L777="","",COUNT($L777:$Q777))</f>
        <v/>
      </c>
      <c r="X777" s="18">
        <f>IF($W777="","",INT(INDEX($L777:$Q777,$W777)))</f>
        <v/>
      </c>
      <c r="Y777" s="18">
        <f>IF(OR($W777="",$W777=6),"",WORKDAY($X777,CHOOSE($W777,3,3,2,2,3),Holidays))</f>
        <v/>
      </c>
      <c r="Z777" s="17">
        <f>IF(OR($W777="",$W777=6),"",CHOOSE($W777,"1st Email Follow-up","2nd Email Follow-up","Escalate Local Office","Escalate to CBE","Escalate to Roxanne"))</f>
        <v/>
      </c>
    </row>
    <row r="778" spans="18:26">
      <c r="R778" s="15"/>
      <c r="S778" s="16"/>
      <c r="T778" s="17">
        <f>IF(AND(COUNTA($A778:$K778)=0,$L778=""),"",IF($S778="Paid","PAID",IF($S778="Closed","CLOSED",IF($W778="","",IF($W778=6,"ESCALATED TO ROXANNE",IF(TODAY()&gt;$Y778,"OVERDUE",IF($Y778&lt;=WORKDAY(TODAY(),1,Holidays),"DUE TOMORROW",IF($W778=4,"ESCALATED TO LOCAL OFFICE",IF($W778=5,"ESCALATED TO CBE",IF($X778=TODAY(),"EMAIL SENT","MONITORING"))))))))))</f>
        <v/>
      </c>
      <c r="U778" s="17">
        <f>IF($T778="",IF(AND(COUNTA($A778:$K778)&gt;0,$L778=""),"Awaiting Collection Email time stamp.",""),IF(OR($T778="PAID",$T778="CLOSED"),IF($T778="PAID","Account paid. Action completed.","Account closed. No further action required."),CHOOSE($W778,"Collection Email","1st Email Follow-up","2nd Email Follow-up","Escalation to Local Office","Escalation to CBE","Escalation to Roxanne")&amp;" sent "&amp;TEXT($X778,"dd-mmm")&amp;". "&amp;IF($W778=6,"Final escalation completed.",IF($T778="OVERDUE","Next: "&amp;$Z778&amp;" was due "&amp;TEXT($Y778,"dd-mmm")&amp;" - "&amp;(NETWORKDAYS($Y778,TODAY(),Holidays)-1)&amp;" business day(s) late. Send now.",IF($T778="DUE TOMORROW","Next: "&amp;$Z778&amp;IF($Y778&lt;=TODAY()," is due TODAY ("," is due next business day (")&amp;TEXT($Y778,"dd-mmm")&amp;").","Next: "&amp;$Z778&amp;" due "&amp;TEXT($Y778,"dd-mmm")&amp;" ("&amp;(NETWORKDAYS(TODAY(),$Y778,Holidays)-1)&amp;" business day(s) left).")))))</f>
        <v/>
      </c>
      <c r="V778" s="17">
        <f>IF($W778="","",CHOOSE($W778,"Collection Email","1st Follow-up","2nd Follow-up","Local Office","CBE","Roxanne")&amp;IF($W778=6," - Final"," - Day "&amp;MAX(0,NETWORKDAYS($X778,TODAY(),Holidays)-1)&amp;" of "&amp;CHOOSE($W778,3,3,2,2,3))&amp;" | Total Day "&amp;MAX(0,NETWORKDAYS($L778,TODAY(),Holidays)-1))</f>
        <v/>
      </c>
      <c r="W778" s="17">
        <f>IF($L778="","",COUNT($L778:$Q778))</f>
        <v/>
      </c>
      <c r="X778" s="18">
        <f>IF($W778="","",INT(INDEX($L778:$Q778,$W778)))</f>
        <v/>
      </c>
      <c r="Y778" s="18">
        <f>IF(OR($W778="",$W778=6),"",WORKDAY($X778,CHOOSE($W778,3,3,2,2,3),Holidays))</f>
        <v/>
      </c>
      <c r="Z778" s="17">
        <f>IF(OR($W778="",$W778=6),"",CHOOSE($W778,"1st Email Follow-up","2nd Email Follow-up","Escalate Local Office","Escalate to CBE","Escalate to Roxanne"))</f>
        <v/>
      </c>
    </row>
    <row r="779" spans="18:26">
      <c r="R779" s="15"/>
      <c r="S779" s="16"/>
      <c r="T779" s="17">
        <f>IF(AND(COUNTA($A779:$K779)=0,$L779=""),"",IF($S779="Paid","PAID",IF($S779="Closed","CLOSED",IF($W779="","",IF($W779=6,"ESCALATED TO ROXANNE",IF(TODAY()&gt;$Y779,"OVERDUE",IF($Y779&lt;=WORKDAY(TODAY(),1,Holidays),"DUE TOMORROW",IF($W779=4,"ESCALATED TO LOCAL OFFICE",IF($W779=5,"ESCALATED TO CBE",IF($X779=TODAY(),"EMAIL SENT","MONITORING"))))))))))</f>
        <v/>
      </c>
      <c r="U779" s="17">
        <f>IF($T779="",IF(AND(COUNTA($A779:$K779)&gt;0,$L779=""),"Awaiting Collection Email time stamp.",""),IF(OR($T779="PAID",$T779="CLOSED"),IF($T779="PAID","Account paid. Action completed.","Account closed. No further action required."),CHOOSE($W779,"Collection Email","1st Email Follow-up","2nd Email Follow-up","Escalation to Local Office","Escalation to CBE","Escalation to Roxanne")&amp;" sent "&amp;TEXT($X779,"dd-mmm")&amp;". "&amp;IF($W779=6,"Final escalation completed.",IF($T779="OVERDUE","Next: "&amp;$Z779&amp;" was due "&amp;TEXT($Y779,"dd-mmm")&amp;" - "&amp;(NETWORKDAYS($Y779,TODAY(),Holidays)-1)&amp;" business day(s) late. Send now.",IF($T779="DUE TOMORROW","Next: "&amp;$Z779&amp;IF($Y779&lt;=TODAY()," is due TODAY ("," is due next business day (")&amp;TEXT($Y779,"dd-mmm")&amp;").","Next: "&amp;$Z779&amp;" due "&amp;TEXT($Y779,"dd-mmm")&amp;" ("&amp;(NETWORKDAYS(TODAY(),$Y779,Holidays)-1)&amp;" business day(s) left).")))))</f>
        <v/>
      </c>
      <c r="V779" s="17">
        <f>IF($W779="","",CHOOSE($W779,"Collection Email","1st Follow-up","2nd Follow-up","Local Office","CBE","Roxanne")&amp;IF($W779=6," - Final"," - Day "&amp;MAX(0,NETWORKDAYS($X779,TODAY(),Holidays)-1)&amp;" of "&amp;CHOOSE($W779,3,3,2,2,3))&amp;" | Total Day "&amp;MAX(0,NETWORKDAYS($L779,TODAY(),Holidays)-1))</f>
        <v/>
      </c>
      <c r="W779" s="17">
        <f>IF($L779="","",COUNT($L779:$Q779))</f>
        <v/>
      </c>
      <c r="X779" s="18">
        <f>IF($W779="","",INT(INDEX($L779:$Q779,$W779)))</f>
        <v/>
      </c>
      <c r="Y779" s="18">
        <f>IF(OR($W779="",$W779=6),"",WORKDAY($X779,CHOOSE($W779,3,3,2,2,3),Holidays))</f>
        <v/>
      </c>
      <c r="Z779" s="17">
        <f>IF(OR($W779="",$W779=6),"",CHOOSE($W779,"1st Email Follow-up","2nd Email Follow-up","Escalate Local Office","Escalate to CBE","Escalate to Roxanne"))</f>
        <v/>
      </c>
    </row>
    <row r="780" spans="18:26">
      <c r="R780" s="15"/>
      <c r="S780" s="16"/>
      <c r="T780" s="17">
        <f>IF(AND(COUNTA($A780:$K780)=0,$L780=""),"",IF($S780="Paid","PAID",IF($S780="Closed","CLOSED",IF($W780="","",IF($W780=6,"ESCALATED TO ROXANNE",IF(TODAY()&gt;$Y780,"OVERDUE",IF($Y780&lt;=WORKDAY(TODAY(),1,Holidays),"DUE TOMORROW",IF($W780=4,"ESCALATED TO LOCAL OFFICE",IF($W780=5,"ESCALATED TO CBE",IF($X780=TODAY(),"EMAIL SENT","MONITORING"))))))))))</f>
        <v/>
      </c>
      <c r="U780" s="17">
        <f>IF($T780="",IF(AND(COUNTA($A780:$K780)&gt;0,$L780=""),"Awaiting Collection Email time stamp.",""),IF(OR($T780="PAID",$T780="CLOSED"),IF($T780="PAID","Account paid. Action completed.","Account closed. No further action required."),CHOOSE($W780,"Collection Email","1st Email Follow-up","2nd Email Follow-up","Escalation to Local Office","Escalation to CBE","Escalation to Roxanne")&amp;" sent "&amp;TEXT($X780,"dd-mmm")&amp;". "&amp;IF($W780=6,"Final escalation completed.",IF($T780="OVERDUE","Next: "&amp;$Z780&amp;" was due "&amp;TEXT($Y780,"dd-mmm")&amp;" - "&amp;(NETWORKDAYS($Y780,TODAY(),Holidays)-1)&amp;" business day(s) late. Send now.",IF($T780="DUE TOMORROW","Next: "&amp;$Z780&amp;IF($Y780&lt;=TODAY()," is due TODAY ("," is due next business day (")&amp;TEXT($Y780,"dd-mmm")&amp;").","Next: "&amp;$Z780&amp;" due "&amp;TEXT($Y780,"dd-mmm")&amp;" ("&amp;(NETWORKDAYS(TODAY(),$Y780,Holidays)-1)&amp;" business day(s) left).")))))</f>
        <v/>
      </c>
      <c r="V780" s="17">
        <f>IF($W780="","",CHOOSE($W780,"Collection Email","1st Follow-up","2nd Follow-up","Local Office","CBE","Roxanne")&amp;IF($W780=6," - Final"," - Day "&amp;MAX(0,NETWORKDAYS($X780,TODAY(),Holidays)-1)&amp;" of "&amp;CHOOSE($W780,3,3,2,2,3))&amp;" | Total Day "&amp;MAX(0,NETWORKDAYS($L780,TODAY(),Holidays)-1))</f>
        <v/>
      </c>
      <c r="W780" s="17">
        <f>IF($L780="","",COUNT($L780:$Q780))</f>
        <v/>
      </c>
      <c r="X780" s="18">
        <f>IF($W780="","",INT(INDEX($L780:$Q780,$W780)))</f>
        <v/>
      </c>
      <c r="Y780" s="18">
        <f>IF(OR($W780="",$W780=6),"",WORKDAY($X780,CHOOSE($W780,3,3,2,2,3),Holidays))</f>
        <v/>
      </c>
      <c r="Z780" s="17">
        <f>IF(OR($W780="",$W780=6),"",CHOOSE($W780,"1st Email Follow-up","2nd Email Follow-up","Escalate Local Office","Escalate to CBE","Escalate to Roxanne"))</f>
        <v/>
      </c>
    </row>
    <row r="781" spans="18:26">
      <c r="R781" s="15"/>
      <c r="S781" s="16"/>
      <c r="T781" s="17">
        <f>IF(AND(COUNTA($A781:$K781)=0,$L781=""),"",IF($S781="Paid","PAID",IF($S781="Closed","CLOSED",IF($W781="","",IF($W781=6,"ESCALATED TO ROXANNE",IF(TODAY()&gt;$Y781,"OVERDUE",IF($Y781&lt;=WORKDAY(TODAY(),1,Holidays),"DUE TOMORROW",IF($W781=4,"ESCALATED TO LOCAL OFFICE",IF($W781=5,"ESCALATED TO CBE",IF($X781=TODAY(),"EMAIL SENT","MONITORING"))))))))))</f>
        <v/>
      </c>
      <c r="U781" s="17">
        <f>IF($T781="",IF(AND(COUNTA($A781:$K781)&gt;0,$L781=""),"Awaiting Collection Email time stamp.",""),IF(OR($T781="PAID",$T781="CLOSED"),IF($T781="PAID","Account paid. Action completed.","Account closed. No further action required."),CHOOSE($W781,"Collection Email","1st Email Follow-up","2nd Email Follow-up","Escalation to Local Office","Escalation to CBE","Escalation to Roxanne")&amp;" sent "&amp;TEXT($X781,"dd-mmm")&amp;". "&amp;IF($W781=6,"Final escalation completed.",IF($T781="OVERDUE","Next: "&amp;$Z781&amp;" was due "&amp;TEXT($Y781,"dd-mmm")&amp;" - "&amp;(NETWORKDAYS($Y781,TODAY(),Holidays)-1)&amp;" business day(s) late. Send now.",IF($T781="DUE TOMORROW","Next: "&amp;$Z781&amp;IF($Y781&lt;=TODAY()," is due TODAY ("," is due next business day (")&amp;TEXT($Y781,"dd-mmm")&amp;").","Next: "&amp;$Z781&amp;" due "&amp;TEXT($Y781,"dd-mmm")&amp;" ("&amp;(NETWORKDAYS(TODAY(),$Y781,Holidays)-1)&amp;" business day(s) left).")))))</f>
        <v/>
      </c>
      <c r="V781" s="17">
        <f>IF($W781="","",CHOOSE($W781,"Collection Email","1st Follow-up","2nd Follow-up","Local Office","CBE","Roxanne")&amp;IF($W781=6," - Final"," - Day "&amp;MAX(0,NETWORKDAYS($X781,TODAY(),Holidays)-1)&amp;" of "&amp;CHOOSE($W781,3,3,2,2,3))&amp;" | Total Day "&amp;MAX(0,NETWORKDAYS($L781,TODAY(),Holidays)-1))</f>
        <v/>
      </c>
      <c r="W781" s="17">
        <f>IF($L781="","",COUNT($L781:$Q781))</f>
        <v/>
      </c>
      <c r="X781" s="18">
        <f>IF($W781="","",INT(INDEX($L781:$Q781,$W781)))</f>
        <v/>
      </c>
      <c r="Y781" s="18">
        <f>IF(OR($W781="",$W781=6),"",WORKDAY($X781,CHOOSE($W781,3,3,2,2,3),Holidays))</f>
        <v/>
      </c>
      <c r="Z781" s="17">
        <f>IF(OR($W781="",$W781=6),"",CHOOSE($W781,"1st Email Follow-up","2nd Email Follow-up","Escalate Local Office","Escalate to CBE","Escalate to Roxanne"))</f>
        <v/>
      </c>
    </row>
    <row r="782" spans="18:26">
      <c r="R782" s="15"/>
      <c r="S782" s="16"/>
      <c r="T782" s="17">
        <f>IF(AND(COUNTA($A782:$K782)=0,$L782=""),"",IF($S782="Paid","PAID",IF($S782="Closed","CLOSED",IF($W782="","",IF($W782=6,"ESCALATED TO ROXANNE",IF(TODAY()&gt;$Y782,"OVERDUE",IF($Y782&lt;=WORKDAY(TODAY(),1,Holidays),"DUE TOMORROW",IF($W782=4,"ESCALATED TO LOCAL OFFICE",IF($W782=5,"ESCALATED TO CBE",IF($X782=TODAY(),"EMAIL SENT","MONITORING"))))))))))</f>
        <v/>
      </c>
      <c r="U782" s="17">
        <f>IF($T782="",IF(AND(COUNTA($A782:$K782)&gt;0,$L782=""),"Awaiting Collection Email time stamp.",""),IF(OR($T782="PAID",$T782="CLOSED"),IF($T782="PAID","Account paid. Action completed.","Account closed. No further action required."),CHOOSE($W782,"Collection Email","1st Email Follow-up","2nd Email Follow-up","Escalation to Local Office","Escalation to CBE","Escalation to Roxanne")&amp;" sent "&amp;TEXT($X782,"dd-mmm")&amp;". "&amp;IF($W782=6,"Final escalation completed.",IF($T782="OVERDUE","Next: "&amp;$Z782&amp;" was due "&amp;TEXT($Y782,"dd-mmm")&amp;" - "&amp;(NETWORKDAYS($Y782,TODAY(),Holidays)-1)&amp;" business day(s) late. Send now.",IF($T782="DUE TOMORROW","Next: "&amp;$Z782&amp;IF($Y782&lt;=TODAY()," is due TODAY ("," is due next business day (")&amp;TEXT($Y782,"dd-mmm")&amp;").","Next: "&amp;$Z782&amp;" due "&amp;TEXT($Y782,"dd-mmm")&amp;" ("&amp;(NETWORKDAYS(TODAY(),$Y782,Holidays)-1)&amp;" business day(s) left).")))))</f>
        <v/>
      </c>
      <c r="V782" s="17">
        <f>IF($W782="","",CHOOSE($W782,"Collection Email","1st Follow-up","2nd Follow-up","Local Office","CBE","Roxanne")&amp;IF($W782=6," - Final"," - Day "&amp;MAX(0,NETWORKDAYS($X782,TODAY(),Holidays)-1)&amp;" of "&amp;CHOOSE($W782,3,3,2,2,3))&amp;" | Total Day "&amp;MAX(0,NETWORKDAYS($L782,TODAY(),Holidays)-1))</f>
        <v/>
      </c>
      <c r="W782" s="17">
        <f>IF($L782="","",COUNT($L782:$Q782))</f>
        <v/>
      </c>
      <c r="X782" s="18">
        <f>IF($W782="","",INT(INDEX($L782:$Q782,$W782)))</f>
        <v/>
      </c>
      <c r="Y782" s="18">
        <f>IF(OR($W782="",$W782=6),"",WORKDAY($X782,CHOOSE($W782,3,3,2,2,3),Holidays))</f>
        <v/>
      </c>
      <c r="Z782" s="17">
        <f>IF(OR($W782="",$W782=6),"",CHOOSE($W782,"1st Email Follow-up","2nd Email Follow-up","Escalate Local Office","Escalate to CBE","Escalate to Roxanne"))</f>
        <v/>
      </c>
    </row>
    <row r="783" spans="18:26">
      <c r="R783" s="15"/>
      <c r="S783" s="16"/>
      <c r="T783" s="17">
        <f>IF(AND(COUNTA($A783:$K783)=0,$L783=""),"",IF($S783="Paid","PAID",IF($S783="Closed","CLOSED",IF($W783="","",IF($W783=6,"ESCALATED TO ROXANNE",IF(TODAY()&gt;$Y783,"OVERDUE",IF($Y783&lt;=WORKDAY(TODAY(),1,Holidays),"DUE TOMORROW",IF($W783=4,"ESCALATED TO LOCAL OFFICE",IF($W783=5,"ESCALATED TO CBE",IF($X783=TODAY(),"EMAIL SENT","MONITORING"))))))))))</f>
        <v/>
      </c>
      <c r="U783" s="17">
        <f>IF($T783="",IF(AND(COUNTA($A783:$K783)&gt;0,$L783=""),"Awaiting Collection Email time stamp.",""),IF(OR($T783="PAID",$T783="CLOSED"),IF($T783="PAID","Account paid. Action completed.","Account closed. No further action required."),CHOOSE($W783,"Collection Email","1st Email Follow-up","2nd Email Follow-up","Escalation to Local Office","Escalation to CBE","Escalation to Roxanne")&amp;" sent "&amp;TEXT($X783,"dd-mmm")&amp;". "&amp;IF($W783=6,"Final escalation completed.",IF($T783="OVERDUE","Next: "&amp;$Z783&amp;" was due "&amp;TEXT($Y783,"dd-mmm")&amp;" - "&amp;(NETWORKDAYS($Y783,TODAY(),Holidays)-1)&amp;" business day(s) late. Send now.",IF($T783="DUE TOMORROW","Next: "&amp;$Z783&amp;IF($Y783&lt;=TODAY()," is due TODAY ("," is due next business day (")&amp;TEXT($Y783,"dd-mmm")&amp;").","Next: "&amp;$Z783&amp;" due "&amp;TEXT($Y783,"dd-mmm")&amp;" ("&amp;(NETWORKDAYS(TODAY(),$Y783,Holidays)-1)&amp;" business day(s) left).")))))</f>
        <v/>
      </c>
      <c r="V783" s="17">
        <f>IF($W783="","",CHOOSE($W783,"Collection Email","1st Follow-up","2nd Follow-up","Local Office","CBE","Roxanne")&amp;IF($W783=6," - Final"," - Day "&amp;MAX(0,NETWORKDAYS($X783,TODAY(),Holidays)-1)&amp;" of "&amp;CHOOSE($W783,3,3,2,2,3))&amp;" | Total Day "&amp;MAX(0,NETWORKDAYS($L783,TODAY(),Holidays)-1))</f>
        <v/>
      </c>
      <c r="W783" s="17">
        <f>IF($L783="","",COUNT($L783:$Q783))</f>
        <v/>
      </c>
      <c r="X783" s="18">
        <f>IF($W783="","",INT(INDEX($L783:$Q783,$W783)))</f>
        <v/>
      </c>
      <c r="Y783" s="18">
        <f>IF(OR($W783="",$W783=6),"",WORKDAY($X783,CHOOSE($W783,3,3,2,2,3),Holidays))</f>
        <v/>
      </c>
      <c r="Z783" s="17">
        <f>IF(OR($W783="",$W783=6),"",CHOOSE($W783,"1st Email Follow-up","2nd Email Follow-up","Escalate Local Office","Escalate to CBE","Escalate to Roxanne"))</f>
        <v/>
      </c>
    </row>
    <row r="784" spans="18:26">
      <c r="R784" s="15"/>
      <c r="S784" s="16"/>
      <c r="T784" s="17">
        <f>IF(AND(COUNTA($A784:$K784)=0,$L784=""),"",IF($S784="Paid","PAID",IF($S784="Closed","CLOSED",IF($W784="","",IF($W784=6,"ESCALATED TO ROXANNE",IF(TODAY()&gt;$Y784,"OVERDUE",IF($Y784&lt;=WORKDAY(TODAY(),1,Holidays),"DUE TOMORROW",IF($W784=4,"ESCALATED TO LOCAL OFFICE",IF($W784=5,"ESCALATED TO CBE",IF($X784=TODAY(),"EMAIL SENT","MONITORING"))))))))))</f>
        <v/>
      </c>
      <c r="U784" s="17">
        <f>IF($T784="",IF(AND(COUNTA($A784:$K784)&gt;0,$L784=""),"Awaiting Collection Email time stamp.",""),IF(OR($T784="PAID",$T784="CLOSED"),IF($T784="PAID","Account paid. Action completed.","Account closed. No further action required."),CHOOSE($W784,"Collection Email","1st Email Follow-up","2nd Email Follow-up","Escalation to Local Office","Escalation to CBE","Escalation to Roxanne")&amp;" sent "&amp;TEXT($X784,"dd-mmm")&amp;". "&amp;IF($W784=6,"Final escalation completed.",IF($T784="OVERDUE","Next: "&amp;$Z784&amp;" was due "&amp;TEXT($Y784,"dd-mmm")&amp;" - "&amp;(NETWORKDAYS($Y784,TODAY(),Holidays)-1)&amp;" business day(s) late. Send now.",IF($T784="DUE TOMORROW","Next: "&amp;$Z784&amp;IF($Y784&lt;=TODAY()," is due TODAY ("," is due next business day (")&amp;TEXT($Y784,"dd-mmm")&amp;").","Next: "&amp;$Z784&amp;" due "&amp;TEXT($Y784,"dd-mmm")&amp;" ("&amp;(NETWORKDAYS(TODAY(),$Y784,Holidays)-1)&amp;" business day(s) left).")))))</f>
        <v/>
      </c>
      <c r="V784" s="17">
        <f>IF($W784="","",CHOOSE($W784,"Collection Email","1st Follow-up","2nd Follow-up","Local Office","CBE","Roxanne")&amp;IF($W784=6," - Final"," - Day "&amp;MAX(0,NETWORKDAYS($X784,TODAY(),Holidays)-1)&amp;" of "&amp;CHOOSE($W784,3,3,2,2,3))&amp;" | Total Day "&amp;MAX(0,NETWORKDAYS($L784,TODAY(),Holidays)-1))</f>
        <v/>
      </c>
      <c r="W784" s="17">
        <f>IF($L784="","",COUNT($L784:$Q784))</f>
        <v/>
      </c>
      <c r="X784" s="18">
        <f>IF($W784="","",INT(INDEX($L784:$Q784,$W784)))</f>
        <v/>
      </c>
      <c r="Y784" s="18">
        <f>IF(OR($W784="",$W784=6),"",WORKDAY($X784,CHOOSE($W784,3,3,2,2,3),Holidays))</f>
        <v/>
      </c>
      <c r="Z784" s="17">
        <f>IF(OR($W784="",$W784=6),"",CHOOSE($W784,"1st Email Follow-up","2nd Email Follow-up","Escalate Local Office","Escalate to CBE","Escalate to Roxanne"))</f>
        <v/>
      </c>
    </row>
    <row r="785" spans="18:26">
      <c r="R785" s="15"/>
      <c r="S785" s="16"/>
      <c r="T785" s="17">
        <f>IF(AND(COUNTA($A785:$K785)=0,$L785=""),"",IF($S785="Paid","PAID",IF($S785="Closed","CLOSED",IF($W785="","",IF($W785=6,"ESCALATED TO ROXANNE",IF(TODAY()&gt;$Y785,"OVERDUE",IF($Y785&lt;=WORKDAY(TODAY(),1,Holidays),"DUE TOMORROW",IF($W785=4,"ESCALATED TO LOCAL OFFICE",IF($W785=5,"ESCALATED TO CBE",IF($X785=TODAY(),"EMAIL SENT","MONITORING"))))))))))</f>
        <v/>
      </c>
      <c r="U785" s="17">
        <f>IF($T785="",IF(AND(COUNTA($A785:$K785)&gt;0,$L785=""),"Awaiting Collection Email time stamp.",""),IF(OR($T785="PAID",$T785="CLOSED"),IF($T785="PAID","Account paid. Action completed.","Account closed. No further action required."),CHOOSE($W785,"Collection Email","1st Email Follow-up","2nd Email Follow-up","Escalation to Local Office","Escalation to CBE","Escalation to Roxanne")&amp;" sent "&amp;TEXT($X785,"dd-mmm")&amp;". "&amp;IF($W785=6,"Final escalation completed.",IF($T785="OVERDUE","Next: "&amp;$Z785&amp;" was due "&amp;TEXT($Y785,"dd-mmm")&amp;" - "&amp;(NETWORKDAYS($Y785,TODAY(),Holidays)-1)&amp;" business day(s) late. Send now.",IF($T785="DUE TOMORROW","Next: "&amp;$Z785&amp;IF($Y785&lt;=TODAY()," is due TODAY ("," is due next business day (")&amp;TEXT($Y785,"dd-mmm")&amp;").","Next: "&amp;$Z785&amp;" due "&amp;TEXT($Y785,"dd-mmm")&amp;" ("&amp;(NETWORKDAYS(TODAY(),$Y785,Holidays)-1)&amp;" business day(s) left).")))))</f>
        <v/>
      </c>
      <c r="V785" s="17">
        <f>IF($W785="","",CHOOSE($W785,"Collection Email","1st Follow-up","2nd Follow-up","Local Office","CBE","Roxanne")&amp;IF($W785=6," - Final"," - Day "&amp;MAX(0,NETWORKDAYS($X785,TODAY(),Holidays)-1)&amp;" of "&amp;CHOOSE($W785,3,3,2,2,3))&amp;" | Total Day "&amp;MAX(0,NETWORKDAYS($L785,TODAY(),Holidays)-1))</f>
        <v/>
      </c>
      <c r="W785" s="17">
        <f>IF($L785="","",COUNT($L785:$Q785))</f>
        <v/>
      </c>
      <c r="X785" s="18">
        <f>IF($W785="","",INT(INDEX($L785:$Q785,$W785)))</f>
        <v/>
      </c>
      <c r="Y785" s="18">
        <f>IF(OR($W785="",$W785=6),"",WORKDAY($X785,CHOOSE($W785,3,3,2,2,3),Holidays))</f>
        <v/>
      </c>
      <c r="Z785" s="17">
        <f>IF(OR($W785="",$W785=6),"",CHOOSE($W785,"1st Email Follow-up","2nd Email Follow-up","Escalate Local Office","Escalate to CBE","Escalate to Roxanne"))</f>
        <v/>
      </c>
    </row>
    <row r="786" spans="18:26">
      <c r="R786" s="15"/>
      <c r="S786" s="16"/>
      <c r="T786" s="17">
        <f>IF(AND(COUNTA($A786:$K786)=0,$L786=""),"",IF($S786="Paid","PAID",IF($S786="Closed","CLOSED",IF($W786="","",IF($W786=6,"ESCALATED TO ROXANNE",IF(TODAY()&gt;$Y786,"OVERDUE",IF($Y786&lt;=WORKDAY(TODAY(),1,Holidays),"DUE TOMORROW",IF($W786=4,"ESCALATED TO LOCAL OFFICE",IF($W786=5,"ESCALATED TO CBE",IF($X786=TODAY(),"EMAIL SENT","MONITORING"))))))))))</f>
        <v/>
      </c>
      <c r="U786" s="17">
        <f>IF($T786="",IF(AND(COUNTA($A786:$K786)&gt;0,$L786=""),"Awaiting Collection Email time stamp.",""),IF(OR($T786="PAID",$T786="CLOSED"),IF($T786="PAID","Account paid. Action completed.","Account closed. No further action required."),CHOOSE($W786,"Collection Email","1st Email Follow-up","2nd Email Follow-up","Escalation to Local Office","Escalation to CBE","Escalation to Roxanne")&amp;" sent "&amp;TEXT($X786,"dd-mmm")&amp;". "&amp;IF($W786=6,"Final escalation completed.",IF($T786="OVERDUE","Next: "&amp;$Z786&amp;" was due "&amp;TEXT($Y786,"dd-mmm")&amp;" - "&amp;(NETWORKDAYS($Y786,TODAY(),Holidays)-1)&amp;" business day(s) late. Send now.",IF($T786="DUE TOMORROW","Next: "&amp;$Z786&amp;IF($Y786&lt;=TODAY()," is due TODAY ("," is due next business day (")&amp;TEXT($Y786,"dd-mmm")&amp;").","Next: "&amp;$Z786&amp;" due "&amp;TEXT($Y786,"dd-mmm")&amp;" ("&amp;(NETWORKDAYS(TODAY(),$Y786,Holidays)-1)&amp;" business day(s) left).")))))</f>
        <v/>
      </c>
      <c r="V786" s="17">
        <f>IF($W786="","",CHOOSE($W786,"Collection Email","1st Follow-up","2nd Follow-up","Local Office","CBE","Roxanne")&amp;IF($W786=6," - Final"," - Day "&amp;MAX(0,NETWORKDAYS($X786,TODAY(),Holidays)-1)&amp;" of "&amp;CHOOSE($W786,3,3,2,2,3))&amp;" | Total Day "&amp;MAX(0,NETWORKDAYS($L786,TODAY(),Holidays)-1))</f>
        <v/>
      </c>
      <c r="W786" s="17">
        <f>IF($L786="","",COUNT($L786:$Q786))</f>
        <v/>
      </c>
      <c r="X786" s="18">
        <f>IF($W786="","",INT(INDEX($L786:$Q786,$W786)))</f>
        <v/>
      </c>
      <c r="Y786" s="18">
        <f>IF(OR($W786="",$W786=6),"",WORKDAY($X786,CHOOSE($W786,3,3,2,2,3),Holidays))</f>
        <v/>
      </c>
      <c r="Z786" s="17">
        <f>IF(OR($W786="",$W786=6),"",CHOOSE($W786,"1st Email Follow-up","2nd Email Follow-up","Escalate Local Office","Escalate to CBE","Escalate to Roxanne"))</f>
        <v/>
      </c>
    </row>
    <row r="787" spans="18:26">
      <c r="R787" s="15"/>
      <c r="S787" s="16"/>
      <c r="T787" s="17">
        <f>IF(AND(COUNTA($A787:$K787)=0,$L787=""),"",IF($S787="Paid","PAID",IF($S787="Closed","CLOSED",IF($W787="","",IF($W787=6,"ESCALATED TO ROXANNE",IF(TODAY()&gt;$Y787,"OVERDUE",IF($Y787&lt;=WORKDAY(TODAY(),1,Holidays),"DUE TOMORROW",IF($W787=4,"ESCALATED TO LOCAL OFFICE",IF($W787=5,"ESCALATED TO CBE",IF($X787=TODAY(),"EMAIL SENT","MONITORING"))))))))))</f>
        <v/>
      </c>
      <c r="U787" s="17">
        <f>IF($T787="",IF(AND(COUNTA($A787:$K787)&gt;0,$L787=""),"Awaiting Collection Email time stamp.",""),IF(OR($T787="PAID",$T787="CLOSED"),IF($T787="PAID","Account paid. Action completed.","Account closed. No further action required."),CHOOSE($W787,"Collection Email","1st Email Follow-up","2nd Email Follow-up","Escalation to Local Office","Escalation to CBE","Escalation to Roxanne")&amp;" sent "&amp;TEXT($X787,"dd-mmm")&amp;". "&amp;IF($W787=6,"Final escalation completed.",IF($T787="OVERDUE","Next: "&amp;$Z787&amp;" was due "&amp;TEXT($Y787,"dd-mmm")&amp;" - "&amp;(NETWORKDAYS($Y787,TODAY(),Holidays)-1)&amp;" business day(s) late. Send now.",IF($T787="DUE TOMORROW","Next: "&amp;$Z787&amp;IF($Y787&lt;=TODAY()," is due TODAY ("," is due next business day (")&amp;TEXT($Y787,"dd-mmm")&amp;").","Next: "&amp;$Z787&amp;" due "&amp;TEXT($Y787,"dd-mmm")&amp;" ("&amp;(NETWORKDAYS(TODAY(),$Y787,Holidays)-1)&amp;" business day(s) left).")))))</f>
        <v/>
      </c>
      <c r="V787" s="17">
        <f>IF($W787="","",CHOOSE($W787,"Collection Email","1st Follow-up","2nd Follow-up","Local Office","CBE","Roxanne")&amp;IF($W787=6," - Final"," - Day "&amp;MAX(0,NETWORKDAYS($X787,TODAY(),Holidays)-1)&amp;" of "&amp;CHOOSE($W787,3,3,2,2,3))&amp;" | Total Day "&amp;MAX(0,NETWORKDAYS($L787,TODAY(),Holidays)-1))</f>
        <v/>
      </c>
      <c r="W787" s="17">
        <f>IF($L787="","",COUNT($L787:$Q787))</f>
        <v/>
      </c>
      <c r="X787" s="18">
        <f>IF($W787="","",INT(INDEX($L787:$Q787,$W787)))</f>
        <v/>
      </c>
      <c r="Y787" s="18">
        <f>IF(OR($W787="",$W787=6),"",WORKDAY($X787,CHOOSE($W787,3,3,2,2,3),Holidays))</f>
        <v/>
      </c>
      <c r="Z787" s="17">
        <f>IF(OR($W787="",$W787=6),"",CHOOSE($W787,"1st Email Follow-up","2nd Email Follow-up","Escalate Local Office","Escalate to CBE","Escalate to Roxanne"))</f>
        <v/>
      </c>
    </row>
    <row r="788" spans="18:26">
      <c r="R788" s="15"/>
      <c r="S788" s="16"/>
      <c r="T788" s="17">
        <f>IF(AND(COUNTA($A788:$K788)=0,$L788=""),"",IF($S788="Paid","PAID",IF($S788="Closed","CLOSED",IF($W788="","",IF($W788=6,"ESCALATED TO ROXANNE",IF(TODAY()&gt;$Y788,"OVERDUE",IF($Y788&lt;=WORKDAY(TODAY(),1,Holidays),"DUE TOMORROW",IF($W788=4,"ESCALATED TO LOCAL OFFICE",IF($W788=5,"ESCALATED TO CBE",IF($X788=TODAY(),"EMAIL SENT","MONITORING"))))))))))</f>
        <v/>
      </c>
      <c r="U788" s="17">
        <f>IF($T788="",IF(AND(COUNTA($A788:$K788)&gt;0,$L788=""),"Awaiting Collection Email time stamp.",""),IF(OR($T788="PAID",$T788="CLOSED"),IF($T788="PAID","Account paid. Action completed.","Account closed. No further action required."),CHOOSE($W788,"Collection Email","1st Email Follow-up","2nd Email Follow-up","Escalation to Local Office","Escalation to CBE","Escalation to Roxanne")&amp;" sent "&amp;TEXT($X788,"dd-mmm")&amp;". "&amp;IF($W788=6,"Final escalation completed.",IF($T788="OVERDUE","Next: "&amp;$Z788&amp;" was due "&amp;TEXT($Y788,"dd-mmm")&amp;" - "&amp;(NETWORKDAYS($Y788,TODAY(),Holidays)-1)&amp;" business day(s) late. Send now.",IF($T788="DUE TOMORROW","Next: "&amp;$Z788&amp;IF($Y788&lt;=TODAY()," is due TODAY ("," is due next business day (")&amp;TEXT($Y788,"dd-mmm")&amp;").","Next: "&amp;$Z788&amp;" due "&amp;TEXT($Y788,"dd-mmm")&amp;" ("&amp;(NETWORKDAYS(TODAY(),$Y788,Holidays)-1)&amp;" business day(s) left).")))))</f>
        <v/>
      </c>
      <c r="V788" s="17">
        <f>IF($W788="","",CHOOSE($W788,"Collection Email","1st Follow-up","2nd Follow-up","Local Office","CBE","Roxanne")&amp;IF($W788=6," - Final"," - Day "&amp;MAX(0,NETWORKDAYS($X788,TODAY(),Holidays)-1)&amp;" of "&amp;CHOOSE($W788,3,3,2,2,3))&amp;" | Total Day "&amp;MAX(0,NETWORKDAYS($L788,TODAY(),Holidays)-1))</f>
        <v/>
      </c>
      <c r="W788" s="17">
        <f>IF($L788="","",COUNT($L788:$Q788))</f>
        <v/>
      </c>
      <c r="X788" s="18">
        <f>IF($W788="","",INT(INDEX($L788:$Q788,$W788)))</f>
        <v/>
      </c>
      <c r="Y788" s="18">
        <f>IF(OR($W788="",$W788=6),"",WORKDAY($X788,CHOOSE($W788,3,3,2,2,3),Holidays))</f>
        <v/>
      </c>
      <c r="Z788" s="17">
        <f>IF(OR($W788="",$W788=6),"",CHOOSE($W788,"1st Email Follow-up","2nd Email Follow-up","Escalate Local Office","Escalate to CBE","Escalate to Roxanne"))</f>
        <v/>
      </c>
    </row>
    <row r="789" spans="18:26">
      <c r="R789" s="15"/>
      <c r="S789" s="16"/>
      <c r="T789" s="17">
        <f>IF(AND(COUNTA($A789:$K789)=0,$L789=""),"",IF($S789="Paid","PAID",IF($S789="Closed","CLOSED",IF($W789="","",IF($W789=6,"ESCALATED TO ROXANNE",IF(TODAY()&gt;$Y789,"OVERDUE",IF($Y789&lt;=WORKDAY(TODAY(),1,Holidays),"DUE TOMORROW",IF($W789=4,"ESCALATED TO LOCAL OFFICE",IF($W789=5,"ESCALATED TO CBE",IF($X789=TODAY(),"EMAIL SENT","MONITORING"))))))))))</f>
        <v/>
      </c>
      <c r="U789" s="17">
        <f>IF($T789="",IF(AND(COUNTA($A789:$K789)&gt;0,$L789=""),"Awaiting Collection Email time stamp.",""),IF(OR($T789="PAID",$T789="CLOSED"),IF($T789="PAID","Account paid. Action completed.","Account closed. No further action required."),CHOOSE($W789,"Collection Email","1st Email Follow-up","2nd Email Follow-up","Escalation to Local Office","Escalation to CBE","Escalation to Roxanne")&amp;" sent "&amp;TEXT($X789,"dd-mmm")&amp;". "&amp;IF($W789=6,"Final escalation completed.",IF($T789="OVERDUE","Next: "&amp;$Z789&amp;" was due "&amp;TEXT($Y789,"dd-mmm")&amp;" - "&amp;(NETWORKDAYS($Y789,TODAY(),Holidays)-1)&amp;" business day(s) late. Send now.",IF($T789="DUE TOMORROW","Next: "&amp;$Z789&amp;IF($Y789&lt;=TODAY()," is due TODAY ("," is due next business day (")&amp;TEXT($Y789,"dd-mmm")&amp;").","Next: "&amp;$Z789&amp;" due "&amp;TEXT($Y789,"dd-mmm")&amp;" ("&amp;(NETWORKDAYS(TODAY(),$Y789,Holidays)-1)&amp;" business day(s) left).")))))</f>
        <v/>
      </c>
      <c r="V789" s="17">
        <f>IF($W789="","",CHOOSE($W789,"Collection Email","1st Follow-up","2nd Follow-up","Local Office","CBE","Roxanne")&amp;IF($W789=6," - Final"," - Day "&amp;MAX(0,NETWORKDAYS($X789,TODAY(),Holidays)-1)&amp;" of "&amp;CHOOSE($W789,3,3,2,2,3))&amp;" | Total Day "&amp;MAX(0,NETWORKDAYS($L789,TODAY(),Holidays)-1))</f>
        <v/>
      </c>
      <c r="W789" s="17">
        <f>IF($L789="","",COUNT($L789:$Q789))</f>
        <v/>
      </c>
      <c r="X789" s="18">
        <f>IF($W789="","",INT(INDEX($L789:$Q789,$W789)))</f>
        <v/>
      </c>
      <c r="Y789" s="18">
        <f>IF(OR($W789="",$W789=6),"",WORKDAY($X789,CHOOSE($W789,3,3,2,2,3),Holidays))</f>
        <v/>
      </c>
      <c r="Z789" s="17">
        <f>IF(OR($W789="",$W789=6),"",CHOOSE($W789,"1st Email Follow-up","2nd Email Follow-up","Escalate Local Office","Escalate to CBE","Escalate to Roxanne"))</f>
        <v/>
      </c>
    </row>
    <row r="790" spans="18:26">
      <c r="R790" s="15"/>
      <c r="S790" s="16"/>
      <c r="T790" s="17">
        <f>IF(AND(COUNTA($A790:$K790)=0,$L790=""),"",IF($S790="Paid","PAID",IF($S790="Closed","CLOSED",IF($W790="","",IF($W790=6,"ESCALATED TO ROXANNE",IF(TODAY()&gt;$Y790,"OVERDUE",IF($Y790&lt;=WORKDAY(TODAY(),1,Holidays),"DUE TOMORROW",IF($W790=4,"ESCALATED TO LOCAL OFFICE",IF($W790=5,"ESCALATED TO CBE",IF($X790=TODAY(),"EMAIL SENT","MONITORING"))))))))))</f>
        <v/>
      </c>
      <c r="U790" s="17">
        <f>IF($T790="",IF(AND(COUNTA($A790:$K790)&gt;0,$L790=""),"Awaiting Collection Email time stamp.",""),IF(OR($T790="PAID",$T790="CLOSED"),IF($T790="PAID","Account paid. Action completed.","Account closed. No further action required."),CHOOSE($W790,"Collection Email","1st Email Follow-up","2nd Email Follow-up","Escalation to Local Office","Escalation to CBE","Escalation to Roxanne")&amp;" sent "&amp;TEXT($X790,"dd-mmm")&amp;". "&amp;IF($W790=6,"Final escalation completed.",IF($T790="OVERDUE","Next: "&amp;$Z790&amp;" was due "&amp;TEXT($Y790,"dd-mmm")&amp;" - "&amp;(NETWORKDAYS($Y790,TODAY(),Holidays)-1)&amp;" business day(s) late. Send now.",IF($T790="DUE TOMORROW","Next: "&amp;$Z790&amp;IF($Y790&lt;=TODAY()," is due TODAY ("," is due next business day (")&amp;TEXT($Y790,"dd-mmm")&amp;").","Next: "&amp;$Z790&amp;" due "&amp;TEXT($Y790,"dd-mmm")&amp;" ("&amp;(NETWORKDAYS(TODAY(),$Y790,Holidays)-1)&amp;" business day(s) left).")))))</f>
        <v/>
      </c>
      <c r="V790" s="17">
        <f>IF($W790="","",CHOOSE($W790,"Collection Email","1st Follow-up","2nd Follow-up","Local Office","CBE","Roxanne")&amp;IF($W790=6," - Final"," - Day "&amp;MAX(0,NETWORKDAYS($X790,TODAY(),Holidays)-1)&amp;" of "&amp;CHOOSE($W790,3,3,2,2,3))&amp;" | Total Day "&amp;MAX(0,NETWORKDAYS($L790,TODAY(),Holidays)-1))</f>
        <v/>
      </c>
      <c r="W790" s="17">
        <f>IF($L790="","",COUNT($L790:$Q790))</f>
        <v/>
      </c>
      <c r="X790" s="18">
        <f>IF($W790="","",INT(INDEX($L790:$Q790,$W790)))</f>
        <v/>
      </c>
      <c r="Y790" s="18">
        <f>IF(OR($W790="",$W790=6),"",WORKDAY($X790,CHOOSE($W790,3,3,2,2,3),Holidays))</f>
        <v/>
      </c>
      <c r="Z790" s="17">
        <f>IF(OR($W790="",$W790=6),"",CHOOSE($W790,"1st Email Follow-up","2nd Email Follow-up","Escalate Local Office","Escalate to CBE","Escalate to Roxanne"))</f>
        <v/>
      </c>
    </row>
    <row r="791" spans="18:26">
      <c r="R791" s="15"/>
      <c r="S791" s="16"/>
      <c r="T791" s="17">
        <f>IF(AND(COUNTA($A791:$K791)=0,$L791=""),"",IF($S791="Paid","PAID",IF($S791="Closed","CLOSED",IF($W791="","",IF($W791=6,"ESCALATED TO ROXANNE",IF(TODAY()&gt;$Y791,"OVERDUE",IF($Y791&lt;=WORKDAY(TODAY(),1,Holidays),"DUE TOMORROW",IF($W791=4,"ESCALATED TO LOCAL OFFICE",IF($W791=5,"ESCALATED TO CBE",IF($X791=TODAY(),"EMAIL SENT","MONITORING"))))))))))</f>
        <v/>
      </c>
      <c r="U791" s="17">
        <f>IF($T791="",IF(AND(COUNTA($A791:$K791)&gt;0,$L791=""),"Awaiting Collection Email time stamp.",""),IF(OR($T791="PAID",$T791="CLOSED"),IF($T791="PAID","Account paid. Action completed.","Account closed. No further action required."),CHOOSE($W791,"Collection Email","1st Email Follow-up","2nd Email Follow-up","Escalation to Local Office","Escalation to CBE","Escalation to Roxanne")&amp;" sent "&amp;TEXT($X791,"dd-mmm")&amp;". "&amp;IF($W791=6,"Final escalation completed.",IF($T791="OVERDUE","Next: "&amp;$Z791&amp;" was due "&amp;TEXT($Y791,"dd-mmm")&amp;" - "&amp;(NETWORKDAYS($Y791,TODAY(),Holidays)-1)&amp;" business day(s) late. Send now.",IF($T791="DUE TOMORROW","Next: "&amp;$Z791&amp;IF($Y791&lt;=TODAY()," is due TODAY ("," is due next business day (")&amp;TEXT($Y791,"dd-mmm")&amp;").","Next: "&amp;$Z791&amp;" due "&amp;TEXT($Y791,"dd-mmm")&amp;" ("&amp;(NETWORKDAYS(TODAY(),$Y791,Holidays)-1)&amp;" business day(s) left).")))))</f>
        <v/>
      </c>
      <c r="V791" s="17">
        <f>IF($W791="","",CHOOSE($W791,"Collection Email","1st Follow-up","2nd Follow-up","Local Office","CBE","Roxanne")&amp;IF($W791=6," - Final"," - Day "&amp;MAX(0,NETWORKDAYS($X791,TODAY(),Holidays)-1)&amp;" of "&amp;CHOOSE($W791,3,3,2,2,3))&amp;" | Total Day "&amp;MAX(0,NETWORKDAYS($L791,TODAY(),Holidays)-1))</f>
        <v/>
      </c>
      <c r="W791" s="17">
        <f>IF($L791="","",COUNT($L791:$Q791))</f>
        <v/>
      </c>
      <c r="X791" s="18">
        <f>IF($W791="","",INT(INDEX($L791:$Q791,$W791)))</f>
        <v/>
      </c>
      <c r="Y791" s="18">
        <f>IF(OR($W791="",$W791=6),"",WORKDAY($X791,CHOOSE($W791,3,3,2,2,3),Holidays))</f>
        <v/>
      </c>
      <c r="Z791" s="17">
        <f>IF(OR($W791="",$W791=6),"",CHOOSE($W791,"1st Email Follow-up","2nd Email Follow-up","Escalate Local Office","Escalate to CBE","Escalate to Roxanne"))</f>
        <v/>
      </c>
    </row>
    <row r="792" spans="18:26">
      <c r="R792" s="15"/>
      <c r="S792" s="16"/>
      <c r="T792" s="17">
        <f>IF(AND(COUNTA($A792:$K792)=0,$L792=""),"",IF($S792="Paid","PAID",IF($S792="Closed","CLOSED",IF($W792="","",IF($W792=6,"ESCALATED TO ROXANNE",IF(TODAY()&gt;$Y792,"OVERDUE",IF($Y792&lt;=WORKDAY(TODAY(),1,Holidays),"DUE TOMORROW",IF($W792=4,"ESCALATED TO LOCAL OFFICE",IF($W792=5,"ESCALATED TO CBE",IF($X792=TODAY(),"EMAIL SENT","MONITORING"))))))))))</f>
        <v/>
      </c>
      <c r="U792" s="17">
        <f>IF($T792="",IF(AND(COUNTA($A792:$K792)&gt;0,$L792=""),"Awaiting Collection Email time stamp.",""),IF(OR($T792="PAID",$T792="CLOSED"),IF($T792="PAID","Account paid. Action completed.","Account closed. No further action required."),CHOOSE($W792,"Collection Email","1st Email Follow-up","2nd Email Follow-up","Escalation to Local Office","Escalation to CBE","Escalation to Roxanne")&amp;" sent "&amp;TEXT($X792,"dd-mmm")&amp;". "&amp;IF($W792=6,"Final escalation completed.",IF($T792="OVERDUE","Next: "&amp;$Z792&amp;" was due "&amp;TEXT($Y792,"dd-mmm")&amp;" - "&amp;(NETWORKDAYS($Y792,TODAY(),Holidays)-1)&amp;" business day(s) late. Send now.",IF($T792="DUE TOMORROW","Next: "&amp;$Z792&amp;IF($Y792&lt;=TODAY()," is due TODAY ("," is due next business day (")&amp;TEXT($Y792,"dd-mmm")&amp;").","Next: "&amp;$Z792&amp;" due "&amp;TEXT($Y792,"dd-mmm")&amp;" ("&amp;(NETWORKDAYS(TODAY(),$Y792,Holidays)-1)&amp;" business day(s) left).")))))</f>
        <v/>
      </c>
      <c r="V792" s="17">
        <f>IF($W792="","",CHOOSE($W792,"Collection Email","1st Follow-up","2nd Follow-up","Local Office","CBE","Roxanne")&amp;IF($W792=6," - Final"," - Day "&amp;MAX(0,NETWORKDAYS($X792,TODAY(),Holidays)-1)&amp;" of "&amp;CHOOSE($W792,3,3,2,2,3))&amp;" | Total Day "&amp;MAX(0,NETWORKDAYS($L792,TODAY(),Holidays)-1))</f>
        <v/>
      </c>
      <c r="W792" s="17">
        <f>IF($L792="","",COUNT($L792:$Q792))</f>
        <v/>
      </c>
      <c r="X792" s="18">
        <f>IF($W792="","",INT(INDEX($L792:$Q792,$W792)))</f>
        <v/>
      </c>
      <c r="Y792" s="18">
        <f>IF(OR($W792="",$W792=6),"",WORKDAY($X792,CHOOSE($W792,3,3,2,2,3),Holidays))</f>
        <v/>
      </c>
      <c r="Z792" s="17">
        <f>IF(OR($W792="",$W792=6),"",CHOOSE($W792,"1st Email Follow-up","2nd Email Follow-up","Escalate Local Office","Escalate to CBE","Escalate to Roxanne"))</f>
        <v/>
      </c>
    </row>
    <row r="793" spans="18:26">
      <c r="R793" s="15"/>
      <c r="S793" s="16"/>
      <c r="T793" s="17">
        <f>IF(AND(COUNTA($A793:$K793)=0,$L793=""),"",IF($S793="Paid","PAID",IF($S793="Closed","CLOSED",IF($W793="","",IF($W793=6,"ESCALATED TO ROXANNE",IF(TODAY()&gt;$Y793,"OVERDUE",IF($Y793&lt;=WORKDAY(TODAY(),1,Holidays),"DUE TOMORROW",IF($W793=4,"ESCALATED TO LOCAL OFFICE",IF($W793=5,"ESCALATED TO CBE",IF($X793=TODAY(),"EMAIL SENT","MONITORING"))))))))))</f>
        <v/>
      </c>
      <c r="U793" s="17">
        <f>IF($T793="",IF(AND(COUNTA($A793:$K793)&gt;0,$L793=""),"Awaiting Collection Email time stamp.",""),IF(OR($T793="PAID",$T793="CLOSED"),IF($T793="PAID","Account paid. Action completed.","Account closed. No further action required."),CHOOSE($W793,"Collection Email","1st Email Follow-up","2nd Email Follow-up","Escalation to Local Office","Escalation to CBE","Escalation to Roxanne")&amp;" sent "&amp;TEXT($X793,"dd-mmm")&amp;". "&amp;IF($W793=6,"Final escalation completed.",IF($T793="OVERDUE","Next: "&amp;$Z793&amp;" was due "&amp;TEXT($Y793,"dd-mmm")&amp;" - "&amp;(NETWORKDAYS($Y793,TODAY(),Holidays)-1)&amp;" business day(s) late. Send now.",IF($T793="DUE TOMORROW","Next: "&amp;$Z793&amp;IF($Y793&lt;=TODAY()," is due TODAY ("," is due next business day (")&amp;TEXT($Y793,"dd-mmm")&amp;").","Next: "&amp;$Z793&amp;" due "&amp;TEXT($Y793,"dd-mmm")&amp;" ("&amp;(NETWORKDAYS(TODAY(),$Y793,Holidays)-1)&amp;" business day(s) left).")))))</f>
        <v/>
      </c>
      <c r="V793" s="17">
        <f>IF($W793="","",CHOOSE($W793,"Collection Email","1st Follow-up","2nd Follow-up","Local Office","CBE","Roxanne")&amp;IF($W793=6," - Final"," - Day "&amp;MAX(0,NETWORKDAYS($X793,TODAY(),Holidays)-1)&amp;" of "&amp;CHOOSE($W793,3,3,2,2,3))&amp;" | Total Day "&amp;MAX(0,NETWORKDAYS($L793,TODAY(),Holidays)-1))</f>
        <v/>
      </c>
      <c r="W793" s="17">
        <f>IF($L793="","",COUNT($L793:$Q793))</f>
        <v/>
      </c>
      <c r="X793" s="18">
        <f>IF($W793="","",INT(INDEX($L793:$Q793,$W793)))</f>
        <v/>
      </c>
      <c r="Y793" s="18">
        <f>IF(OR($W793="",$W793=6),"",WORKDAY($X793,CHOOSE($W793,3,3,2,2,3),Holidays))</f>
        <v/>
      </c>
      <c r="Z793" s="17">
        <f>IF(OR($W793="",$W793=6),"",CHOOSE($W793,"1st Email Follow-up","2nd Email Follow-up","Escalate Local Office","Escalate to CBE","Escalate to Roxanne"))</f>
        <v/>
      </c>
    </row>
    <row r="794" spans="18:26">
      <c r="R794" s="15"/>
      <c r="S794" s="16"/>
      <c r="T794" s="17">
        <f>IF(AND(COUNTA($A794:$K794)=0,$L794=""),"",IF($S794="Paid","PAID",IF($S794="Closed","CLOSED",IF($W794="","",IF($W794=6,"ESCALATED TO ROXANNE",IF(TODAY()&gt;$Y794,"OVERDUE",IF($Y794&lt;=WORKDAY(TODAY(),1,Holidays),"DUE TOMORROW",IF($W794=4,"ESCALATED TO LOCAL OFFICE",IF($W794=5,"ESCALATED TO CBE",IF($X794=TODAY(),"EMAIL SENT","MONITORING"))))))))))</f>
        <v/>
      </c>
      <c r="U794" s="17">
        <f>IF($T794="",IF(AND(COUNTA($A794:$K794)&gt;0,$L794=""),"Awaiting Collection Email time stamp.",""),IF(OR($T794="PAID",$T794="CLOSED"),IF($T794="PAID","Account paid. Action completed.","Account closed. No further action required."),CHOOSE($W794,"Collection Email","1st Email Follow-up","2nd Email Follow-up","Escalation to Local Office","Escalation to CBE","Escalation to Roxanne")&amp;" sent "&amp;TEXT($X794,"dd-mmm")&amp;". "&amp;IF($W794=6,"Final escalation completed.",IF($T794="OVERDUE","Next: "&amp;$Z794&amp;" was due "&amp;TEXT($Y794,"dd-mmm")&amp;" - "&amp;(NETWORKDAYS($Y794,TODAY(),Holidays)-1)&amp;" business day(s) late. Send now.",IF($T794="DUE TOMORROW","Next: "&amp;$Z794&amp;IF($Y794&lt;=TODAY()," is due TODAY ("," is due next business day (")&amp;TEXT($Y794,"dd-mmm")&amp;").","Next: "&amp;$Z794&amp;" due "&amp;TEXT($Y794,"dd-mmm")&amp;" ("&amp;(NETWORKDAYS(TODAY(),$Y794,Holidays)-1)&amp;" business day(s) left).")))))</f>
        <v/>
      </c>
      <c r="V794" s="17">
        <f>IF($W794="","",CHOOSE($W794,"Collection Email","1st Follow-up","2nd Follow-up","Local Office","CBE","Roxanne")&amp;IF($W794=6," - Final"," - Day "&amp;MAX(0,NETWORKDAYS($X794,TODAY(),Holidays)-1)&amp;" of "&amp;CHOOSE($W794,3,3,2,2,3))&amp;" | Total Day "&amp;MAX(0,NETWORKDAYS($L794,TODAY(),Holidays)-1))</f>
        <v/>
      </c>
      <c r="W794" s="17">
        <f>IF($L794="","",COUNT($L794:$Q794))</f>
        <v/>
      </c>
      <c r="X794" s="18">
        <f>IF($W794="","",INT(INDEX($L794:$Q794,$W794)))</f>
        <v/>
      </c>
      <c r="Y794" s="18">
        <f>IF(OR($W794="",$W794=6),"",WORKDAY($X794,CHOOSE($W794,3,3,2,2,3),Holidays))</f>
        <v/>
      </c>
      <c r="Z794" s="17">
        <f>IF(OR($W794="",$W794=6),"",CHOOSE($W794,"1st Email Follow-up","2nd Email Follow-up","Escalate Local Office","Escalate to CBE","Escalate to Roxanne"))</f>
        <v/>
      </c>
    </row>
    <row r="795" spans="18:26">
      <c r="R795" s="15"/>
      <c r="S795" s="16"/>
      <c r="T795" s="17">
        <f>IF(AND(COUNTA($A795:$K795)=0,$L795=""),"",IF($S795="Paid","PAID",IF($S795="Closed","CLOSED",IF($W795="","",IF($W795=6,"ESCALATED TO ROXANNE",IF(TODAY()&gt;$Y795,"OVERDUE",IF($Y795&lt;=WORKDAY(TODAY(),1,Holidays),"DUE TOMORROW",IF($W795=4,"ESCALATED TO LOCAL OFFICE",IF($W795=5,"ESCALATED TO CBE",IF($X795=TODAY(),"EMAIL SENT","MONITORING"))))))))))</f>
        <v/>
      </c>
      <c r="U795" s="17">
        <f>IF($T795="",IF(AND(COUNTA($A795:$K795)&gt;0,$L795=""),"Awaiting Collection Email time stamp.",""),IF(OR($T795="PAID",$T795="CLOSED"),IF($T795="PAID","Account paid. Action completed.","Account closed. No further action required."),CHOOSE($W795,"Collection Email","1st Email Follow-up","2nd Email Follow-up","Escalation to Local Office","Escalation to CBE","Escalation to Roxanne")&amp;" sent "&amp;TEXT($X795,"dd-mmm")&amp;". "&amp;IF($W795=6,"Final escalation completed.",IF($T795="OVERDUE","Next: "&amp;$Z795&amp;" was due "&amp;TEXT($Y795,"dd-mmm")&amp;" - "&amp;(NETWORKDAYS($Y795,TODAY(),Holidays)-1)&amp;" business day(s) late. Send now.",IF($T795="DUE TOMORROW","Next: "&amp;$Z795&amp;IF($Y795&lt;=TODAY()," is due TODAY ("," is due next business day (")&amp;TEXT($Y795,"dd-mmm")&amp;").","Next: "&amp;$Z795&amp;" due "&amp;TEXT($Y795,"dd-mmm")&amp;" ("&amp;(NETWORKDAYS(TODAY(),$Y795,Holidays)-1)&amp;" business day(s) left).")))))</f>
        <v/>
      </c>
      <c r="V795" s="17">
        <f>IF($W795="","",CHOOSE($W795,"Collection Email","1st Follow-up","2nd Follow-up","Local Office","CBE","Roxanne")&amp;IF($W795=6," - Final"," - Day "&amp;MAX(0,NETWORKDAYS($X795,TODAY(),Holidays)-1)&amp;" of "&amp;CHOOSE($W795,3,3,2,2,3))&amp;" | Total Day "&amp;MAX(0,NETWORKDAYS($L795,TODAY(),Holidays)-1))</f>
        <v/>
      </c>
      <c r="W795" s="17">
        <f>IF($L795="","",COUNT($L795:$Q795))</f>
        <v/>
      </c>
      <c r="X795" s="18">
        <f>IF($W795="","",INT(INDEX($L795:$Q795,$W795)))</f>
        <v/>
      </c>
      <c r="Y795" s="18">
        <f>IF(OR($W795="",$W795=6),"",WORKDAY($X795,CHOOSE($W795,3,3,2,2,3),Holidays))</f>
        <v/>
      </c>
      <c r="Z795" s="17">
        <f>IF(OR($W795="",$W795=6),"",CHOOSE($W795,"1st Email Follow-up","2nd Email Follow-up","Escalate Local Office","Escalate to CBE","Escalate to Roxanne"))</f>
        <v/>
      </c>
    </row>
    <row r="796" spans="18:26">
      <c r="R796" s="15"/>
      <c r="S796" s="16"/>
      <c r="T796" s="17">
        <f>IF(AND(COUNTA($A796:$K796)=0,$L796=""),"",IF($S796="Paid","PAID",IF($S796="Closed","CLOSED",IF($W796="","",IF($W796=6,"ESCALATED TO ROXANNE",IF(TODAY()&gt;$Y796,"OVERDUE",IF($Y796&lt;=WORKDAY(TODAY(),1,Holidays),"DUE TOMORROW",IF($W796=4,"ESCALATED TO LOCAL OFFICE",IF($W796=5,"ESCALATED TO CBE",IF($X796=TODAY(),"EMAIL SENT","MONITORING"))))))))))</f>
        <v/>
      </c>
      <c r="U796" s="17">
        <f>IF($T796="",IF(AND(COUNTA($A796:$K796)&gt;0,$L796=""),"Awaiting Collection Email time stamp.",""),IF(OR($T796="PAID",$T796="CLOSED"),IF($T796="PAID","Account paid. Action completed.","Account closed. No further action required."),CHOOSE($W796,"Collection Email","1st Email Follow-up","2nd Email Follow-up","Escalation to Local Office","Escalation to CBE","Escalation to Roxanne")&amp;" sent "&amp;TEXT($X796,"dd-mmm")&amp;". "&amp;IF($W796=6,"Final escalation completed.",IF($T796="OVERDUE","Next: "&amp;$Z796&amp;" was due "&amp;TEXT($Y796,"dd-mmm")&amp;" - "&amp;(NETWORKDAYS($Y796,TODAY(),Holidays)-1)&amp;" business day(s) late. Send now.",IF($T796="DUE TOMORROW","Next: "&amp;$Z796&amp;IF($Y796&lt;=TODAY()," is due TODAY ("," is due next business day (")&amp;TEXT($Y796,"dd-mmm")&amp;").","Next: "&amp;$Z796&amp;" due "&amp;TEXT($Y796,"dd-mmm")&amp;" ("&amp;(NETWORKDAYS(TODAY(),$Y796,Holidays)-1)&amp;" business day(s) left).")))))</f>
        <v/>
      </c>
      <c r="V796" s="17">
        <f>IF($W796="","",CHOOSE($W796,"Collection Email","1st Follow-up","2nd Follow-up","Local Office","CBE","Roxanne")&amp;IF($W796=6," - Final"," - Day "&amp;MAX(0,NETWORKDAYS($X796,TODAY(),Holidays)-1)&amp;" of "&amp;CHOOSE($W796,3,3,2,2,3))&amp;" | Total Day "&amp;MAX(0,NETWORKDAYS($L796,TODAY(),Holidays)-1))</f>
        <v/>
      </c>
      <c r="W796" s="17">
        <f>IF($L796="","",COUNT($L796:$Q796))</f>
        <v/>
      </c>
      <c r="X796" s="18">
        <f>IF($W796="","",INT(INDEX($L796:$Q796,$W796)))</f>
        <v/>
      </c>
      <c r="Y796" s="18">
        <f>IF(OR($W796="",$W796=6),"",WORKDAY($X796,CHOOSE($W796,3,3,2,2,3),Holidays))</f>
        <v/>
      </c>
      <c r="Z796" s="17">
        <f>IF(OR($W796="",$W796=6),"",CHOOSE($W796,"1st Email Follow-up","2nd Email Follow-up","Escalate Local Office","Escalate to CBE","Escalate to Roxanne"))</f>
        <v/>
      </c>
    </row>
    <row r="797" spans="18:26">
      <c r="R797" s="15"/>
      <c r="S797" s="16"/>
      <c r="T797" s="17">
        <f>IF(AND(COUNTA($A797:$K797)=0,$L797=""),"",IF($S797="Paid","PAID",IF($S797="Closed","CLOSED",IF($W797="","",IF($W797=6,"ESCALATED TO ROXANNE",IF(TODAY()&gt;$Y797,"OVERDUE",IF($Y797&lt;=WORKDAY(TODAY(),1,Holidays),"DUE TOMORROW",IF($W797=4,"ESCALATED TO LOCAL OFFICE",IF($W797=5,"ESCALATED TO CBE",IF($X797=TODAY(),"EMAIL SENT","MONITORING"))))))))))</f>
        <v/>
      </c>
      <c r="U797" s="17">
        <f>IF($T797="",IF(AND(COUNTA($A797:$K797)&gt;0,$L797=""),"Awaiting Collection Email time stamp.",""),IF(OR($T797="PAID",$T797="CLOSED"),IF($T797="PAID","Account paid. Action completed.","Account closed. No further action required."),CHOOSE($W797,"Collection Email","1st Email Follow-up","2nd Email Follow-up","Escalation to Local Office","Escalation to CBE","Escalation to Roxanne")&amp;" sent "&amp;TEXT($X797,"dd-mmm")&amp;". "&amp;IF($W797=6,"Final escalation completed.",IF($T797="OVERDUE","Next: "&amp;$Z797&amp;" was due "&amp;TEXT($Y797,"dd-mmm")&amp;" - "&amp;(NETWORKDAYS($Y797,TODAY(),Holidays)-1)&amp;" business day(s) late. Send now.",IF($T797="DUE TOMORROW","Next: "&amp;$Z797&amp;IF($Y797&lt;=TODAY()," is due TODAY ("," is due next business day (")&amp;TEXT($Y797,"dd-mmm")&amp;").","Next: "&amp;$Z797&amp;" due "&amp;TEXT($Y797,"dd-mmm")&amp;" ("&amp;(NETWORKDAYS(TODAY(),$Y797,Holidays)-1)&amp;" business day(s) left).")))))</f>
        <v/>
      </c>
      <c r="V797" s="17">
        <f>IF($W797="","",CHOOSE($W797,"Collection Email","1st Follow-up","2nd Follow-up","Local Office","CBE","Roxanne")&amp;IF($W797=6," - Final"," - Day "&amp;MAX(0,NETWORKDAYS($X797,TODAY(),Holidays)-1)&amp;" of "&amp;CHOOSE($W797,3,3,2,2,3))&amp;" | Total Day "&amp;MAX(0,NETWORKDAYS($L797,TODAY(),Holidays)-1))</f>
        <v/>
      </c>
      <c r="W797" s="17">
        <f>IF($L797="","",COUNT($L797:$Q797))</f>
        <v/>
      </c>
      <c r="X797" s="18">
        <f>IF($W797="","",INT(INDEX($L797:$Q797,$W797)))</f>
        <v/>
      </c>
      <c r="Y797" s="18">
        <f>IF(OR($W797="",$W797=6),"",WORKDAY($X797,CHOOSE($W797,3,3,2,2,3),Holidays))</f>
        <v/>
      </c>
      <c r="Z797" s="17">
        <f>IF(OR($W797="",$W797=6),"",CHOOSE($W797,"1st Email Follow-up","2nd Email Follow-up","Escalate Local Office","Escalate to CBE","Escalate to Roxanne"))</f>
        <v/>
      </c>
    </row>
    <row r="798" spans="18:26">
      <c r="R798" s="15"/>
      <c r="S798" s="16"/>
      <c r="T798" s="17">
        <f>IF(AND(COUNTA($A798:$K798)=0,$L798=""),"",IF($S798="Paid","PAID",IF($S798="Closed","CLOSED",IF($W798="","",IF($W798=6,"ESCALATED TO ROXANNE",IF(TODAY()&gt;$Y798,"OVERDUE",IF($Y798&lt;=WORKDAY(TODAY(),1,Holidays),"DUE TOMORROW",IF($W798=4,"ESCALATED TO LOCAL OFFICE",IF($W798=5,"ESCALATED TO CBE",IF($X798=TODAY(),"EMAIL SENT","MONITORING"))))))))))</f>
        <v/>
      </c>
      <c r="U798" s="17">
        <f>IF($T798="",IF(AND(COUNTA($A798:$K798)&gt;0,$L798=""),"Awaiting Collection Email time stamp.",""),IF(OR($T798="PAID",$T798="CLOSED"),IF($T798="PAID","Account paid. Action completed.","Account closed. No further action required."),CHOOSE($W798,"Collection Email","1st Email Follow-up","2nd Email Follow-up","Escalation to Local Office","Escalation to CBE","Escalation to Roxanne")&amp;" sent "&amp;TEXT($X798,"dd-mmm")&amp;". "&amp;IF($W798=6,"Final escalation completed.",IF($T798="OVERDUE","Next: "&amp;$Z798&amp;" was due "&amp;TEXT($Y798,"dd-mmm")&amp;" - "&amp;(NETWORKDAYS($Y798,TODAY(),Holidays)-1)&amp;" business day(s) late. Send now.",IF($T798="DUE TOMORROW","Next: "&amp;$Z798&amp;IF($Y798&lt;=TODAY()," is due TODAY ("," is due next business day (")&amp;TEXT($Y798,"dd-mmm")&amp;").","Next: "&amp;$Z798&amp;" due "&amp;TEXT($Y798,"dd-mmm")&amp;" ("&amp;(NETWORKDAYS(TODAY(),$Y798,Holidays)-1)&amp;" business day(s) left).")))))</f>
        <v/>
      </c>
      <c r="V798" s="17">
        <f>IF($W798="","",CHOOSE($W798,"Collection Email","1st Follow-up","2nd Follow-up","Local Office","CBE","Roxanne")&amp;IF($W798=6," - Final"," - Day "&amp;MAX(0,NETWORKDAYS($X798,TODAY(),Holidays)-1)&amp;" of "&amp;CHOOSE($W798,3,3,2,2,3))&amp;" | Total Day "&amp;MAX(0,NETWORKDAYS($L798,TODAY(),Holidays)-1))</f>
        <v/>
      </c>
      <c r="W798" s="17">
        <f>IF($L798="","",COUNT($L798:$Q798))</f>
        <v/>
      </c>
      <c r="X798" s="18">
        <f>IF($W798="","",INT(INDEX($L798:$Q798,$W798)))</f>
        <v/>
      </c>
      <c r="Y798" s="18">
        <f>IF(OR($W798="",$W798=6),"",WORKDAY($X798,CHOOSE($W798,3,3,2,2,3),Holidays))</f>
        <v/>
      </c>
      <c r="Z798" s="17">
        <f>IF(OR($W798="",$W798=6),"",CHOOSE($W798,"1st Email Follow-up","2nd Email Follow-up","Escalate Local Office","Escalate to CBE","Escalate to Roxanne"))</f>
        <v/>
      </c>
    </row>
    <row r="799" spans="18:26">
      <c r="R799" s="15"/>
      <c r="S799" s="16"/>
      <c r="T799" s="17">
        <f>IF(AND(COUNTA($A799:$K799)=0,$L799=""),"",IF($S799="Paid","PAID",IF($S799="Closed","CLOSED",IF($W799="","",IF($W799=6,"ESCALATED TO ROXANNE",IF(TODAY()&gt;$Y799,"OVERDUE",IF($Y799&lt;=WORKDAY(TODAY(),1,Holidays),"DUE TOMORROW",IF($W799=4,"ESCALATED TO LOCAL OFFICE",IF($W799=5,"ESCALATED TO CBE",IF($X799=TODAY(),"EMAIL SENT","MONITORING"))))))))))</f>
        <v/>
      </c>
      <c r="U799" s="17">
        <f>IF($T799="",IF(AND(COUNTA($A799:$K799)&gt;0,$L799=""),"Awaiting Collection Email time stamp.",""),IF(OR($T799="PAID",$T799="CLOSED"),IF($T799="PAID","Account paid. Action completed.","Account closed. No further action required."),CHOOSE($W799,"Collection Email","1st Email Follow-up","2nd Email Follow-up","Escalation to Local Office","Escalation to CBE","Escalation to Roxanne")&amp;" sent "&amp;TEXT($X799,"dd-mmm")&amp;". "&amp;IF($W799=6,"Final escalation completed.",IF($T799="OVERDUE","Next: "&amp;$Z799&amp;" was due "&amp;TEXT($Y799,"dd-mmm")&amp;" - "&amp;(NETWORKDAYS($Y799,TODAY(),Holidays)-1)&amp;" business day(s) late. Send now.",IF($T799="DUE TOMORROW","Next: "&amp;$Z799&amp;IF($Y799&lt;=TODAY()," is due TODAY ("," is due next business day (")&amp;TEXT($Y799,"dd-mmm")&amp;").","Next: "&amp;$Z799&amp;" due "&amp;TEXT($Y799,"dd-mmm")&amp;" ("&amp;(NETWORKDAYS(TODAY(),$Y799,Holidays)-1)&amp;" business day(s) left).")))))</f>
        <v/>
      </c>
      <c r="V799" s="17">
        <f>IF($W799="","",CHOOSE($W799,"Collection Email","1st Follow-up","2nd Follow-up","Local Office","CBE","Roxanne")&amp;IF($W799=6," - Final"," - Day "&amp;MAX(0,NETWORKDAYS($X799,TODAY(),Holidays)-1)&amp;" of "&amp;CHOOSE($W799,3,3,2,2,3))&amp;" | Total Day "&amp;MAX(0,NETWORKDAYS($L799,TODAY(),Holidays)-1))</f>
        <v/>
      </c>
      <c r="W799" s="17">
        <f>IF($L799="","",COUNT($L799:$Q799))</f>
        <v/>
      </c>
      <c r="X799" s="18">
        <f>IF($W799="","",INT(INDEX($L799:$Q799,$W799)))</f>
        <v/>
      </c>
      <c r="Y799" s="18">
        <f>IF(OR($W799="",$W799=6),"",WORKDAY($X799,CHOOSE($W799,3,3,2,2,3),Holidays))</f>
        <v/>
      </c>
      <c r="Z799" s="17">
        <f>IF(OR($W799="",$W799=6),"",CHOOSE($W799,"1st Email Follow-up","2nd Email Follow-up","Escalate Local Office","Escalate to CBE","Escalate to Roxanne"))</f>
        <v/>
      </c>
    </row>
    <row r="800" spans="18:26">
      <c r="R800" s="15"/>
      <c r="S800" s="16"/>
      <c r="T800" s="17">
        <f>IF(AND(COUNTA($A800:$K800)=0,$L800=""),"",IF($S800="Paid","PAID",IF($S800="Closed","CLOSED",IF($W800="","",IF($W800=6,"ESCALATED TO ROXANNE",IF(TODAY()&gt;$Y800,"OVERDUE",IF($Y800&lt;=WORKDAY(TODAY(),1,Holidays),"DUE TOMORROW",IF($W800=4,"ESCALATED TO LOCAL OFFICE",IF($W800=5,"ESCALATED TO CBE",IF($X800=TODAY(),"EMAIL SENT","MONITORING"))))))))))</f>
        <v/>
      </c>
      <c r="U800" s="17">
        <f>IF($T800="",IF(AND(COUNTA($A800:$K800)&gt;0,$L800=""),"Awaiting Collection Email time stamp.",""),IF(OR($T800="PAID",$T800="CLOSED"),IF($T800="PAID","Account paid. Action completed.","Account closed. No further action required."),CHOOSE($W800,"Collection Email","1st Email Follow-up","2nd Email Follow-up","Escalation to Local Office","Escalation to CBE","Escalation to Roxanne")&amp;" sent "&amp;TEXT($X800,"dd-mmm")&amp;". "&amp;IF($W800=6,"Final escalation completed.",IF($T800="OVERDUE","Next: "&amp;$Z800&amp;" was due "&amp;TEXT($Y800,"dd-mmm")&amp;" - "&amp;(NETWORKDAYS($Y800,TODAY(),Holidays)-1)&amp;" business day(s) late. Send now.",IF($T800="DUE TOMORROW","Next: "&amp;$Z800&amp;IF($Y800&lt;=TODAY()," is due TODAY ("," is due next business day (")&amp;TEXT($Y800,"dd-mmm")&amp;").","Next: "&amp;$Z800&amp;" due "&amp;TEXT($Y800,"dd-mmm")&amp;" ("&amp;(NETWORKDAYS(TODAY(),$Y800,Holidays)-1)&amp;" business day(s) left).")))))</f>
        <v/>
      </c>
      <c r="V800" s="17">
        <f>IF($W800="","",CHOOSE($W800,"Collection Email","1st Follow-up","2nd Follow-up","Local Office","CBE","Roxanne")&amp;IF($W800=6," - Final"," - Day "&amp;MAX(0,NETWORKDAYS($X800,TODAY(),Holidays)-1)&amp;" of "&amp;CHOOSE($W800,3,3,2,2,3))&amp;" | Total Day "&amp;MAX(0,NETWORKDAYS($L800,TODAY(),Holidays)-1))</f>
        <v/>
      </c>
      <c r="W800" s="17">
        <f>IF($L800="","",COUNT($L800:$Q800))</f>
        <v/>
      </c>
      <c r="X800" s="18">
        <f>IF($W800="","",INT(INDEX($L800:$Q800,$W800)))</f>
        <v/>
      </c>
      <c r="Y800" s="18">
        <f>IF(OR($W800="",$W800=6),"",WORKDAY($X800,CHOOSE($W800,3,3,2,2,3),Holidays))</f>
        <v/>
      </c>
      <c r="Z800" s="17">
        <f>IF(OR($W800="",$W800=6),"",CHOOSE($W800,"1st Email Follow-up","2nd Email Follow-up","Escalate Local Office","Escalate to CBE","Escalate to Roxanne"))</f>
        <v/>
      </c>
    </row>
    <row r="801" spans="18:26">
      <c r="R801" s="15"/>
      <c r="S801" s="16"/>
      <c r="T801" s="17">
        <f>IF(AND(COUNTA($A801:$K801)=0,$L801=""),"",IF($S801="Paid","PAID",IF($S801="Closed","CLOSED",IF($W801="","",IF($W801=6,"ESCALATED TO ROXANNE",IF(TODAY()&gt;$Y801,"OVERDUE",IF($Y801&lt;=WORKDAY(TODAY(),1,Holidays),"DUE TOMORROW",IF($W801=4,"ESCALATED TO LOCAL OFFICE",IF($W801=5,"ESCALATED TO CBE",IF($X801=TODAY(),"EMAIL SENT","MONITORING"))))))))))</f>
        <v/>
      </c>
      <c r="U801" s="17">
        <f>IF($T801="",IF(AND(COUNTA($A801:$K801)&gt;0,$L801=""),"Awaiting Collection Email time stamp.",""),IF(OR($T801="PAID",$T801="CLOSED"),IF($T801="PAID","Account paid. Action completed.","Account closed. No further action required."),CHOOSE($W801,"Collection Email","1st Email Follow-up","2nd Email Follow-up","Escalation to Local Office","Escalation to CBE","Escalation to Roxanne")&amp;" sent "&amp;TEXT($X801,"dd-mmm")&amp;". "&amp;IF($W801=6,"Final escalation completed.",IF($T801="OVERDUE","Next: "&amp;$Z801&amp;" was due "&amp;TEXT($Y801,"dd-mmm")&amp;" - "&amp;(NETWORKDAYS($Y801,TODAY(),Holidays)-1)&amp;" business day(s) late. Send now.",IF($T801="DUE TOMORROW","Next: "&amp;$Z801&amp;IF($Y801&lt;=TODAY()," is due TODAY ("," is due next business day (")&amp;TEXT($Y801,"dd-mmm")&amp;").","Next: "&amp;$Z801&amp;" due "&amp;TEXT($Y801,"dd-mmm")&amp;" ("&amp;(NETWORKDAYS(TODAY(),$Y801,Holidays)-1)&amp;" business day(s) left).")))))</f>
        <v/>
      </c>
      <c r="V801" s="17">
        <f>IF($W801="","",CHOOSE($W801,"Collection Email","1st Follow-up","2nd Follow-up","Local Office","CBE","Roxanne")&amp;IF($W801=6," - Final"," - Day "&amp;MAX(0,NETWORKDAYS($X801,TODAY(),Holidays)-1)&amp;" of "&amp;CHOOSE($W801,3,3,2,2,3))&amp;" | Total Day "&amp;MAX(0,NETWORKDAYS($L801,TODAY(),Holidays)-1))</f>
        <v/>
      </c>
      <c r="W801" s="17">
        <f>IF($L801="","",COUNT($L801:$Q801))</f>
        <v/>
      </c>
      <c r="X801" s="18">
        <f>IF($W801="","",INT(INDEX($L801:$Q801,$W801)))</f>
        <v/>
      </c>
      <c r="Y801" s="18">
        <f>IF(OR($W801="",$W801=6),"",WORKDAY($X801,CHOOSE($W801,3,3,2,2,3),Holidays))</f>
        <v/>
      </c>
      <c r="Z801" s="17">
        <f>IF(OR($W801="",$W801=6),"",CHOOSE($W801,"1st Email Follow-up","2nd Email Follow-up","Escalate Local Office","Escalate to CBE","Escalate to Roxanne"))</f>
        <v/>
      </c>
    </row>
    <row r="802" spans="18:26">
      <c r="R802" s="15"/>
      <c r="S802" s="16"/>
      <c r="T802" s="17">
        <f>IF(AND(COUNTA($A802:$K802)=0,$L802=""),"",IF($S802="Paid","PAID",IF($S802="Closed","CLOSED",IF($W802="","",IF($W802=6,"ESCALATED TO ROXANNE",IF(TODAY()&gt;$Y802,"OVERDUE",IF($Y802&lt;=WORKDAY(TODAY(),1,Holidays),"DUE TOMORROW",IF($W802=4,"ESCALATED TO LOCAL OFFICE",IF($W802=5,"ESCALATED TO CBE",IF($X802=TODAY(),"EMAIL SENT","MONITORING"))))))))))</f>
        <v/>
      </c>
      <c r="U802" s="17">
        <f>IF($T802="",IF(AND(COUNTA($A802:$K802)&gt;0,$L802=""),"Awaiting Collection Email time stamp.",""),IF(OR($T802="PAID",$T802="CLOSED"),IF($T802="PAID","Account paid. Action completed.","Account closed. No further action required."),CHOOSE($W802,"Collection Email","1st Email Follow-up","2nd Email Follow-up","Escalation to Local Office","Escalation to CBE","Escalation to Roxanne")&amp;" sent "&amp;TEXT($X802,"dd-mmm")&amp;". "&amp;IF($W802=6,"Final escalation completed.",IF($T802="OVERDUE","Next: "&amp;$Z802&amp;" was due "&amp;TEXT($Y802,"dd-mmm")&amp;" - "&amp;(NETWORKDAYS($Y802,TODAY(),Holidays)-1)&amp;" business day(s) late. Send now.",IF($T802="DUE TOMORROW","Next: "&amp;$Z802&amp;IF($Y802&lt;=TODAY()," is due TODAY ("," is due next business day (")&amp;TEXT($Y802,"dd-mmm")&amp;").","Next: "&amp;$Z802&amp;" due "&amp;TEXT($Y802,"dd-mmm")&amp;" ("&amp;(NETWORKDAYS(TODAY(),$Y802,Holidays)-1)&amp;" business day(s) left).")))))</f>
        <v/>
      </c>
      <c r="V802" s="17">
        <f>IF($W802="","",CHOOSE($W802,"Collection Email","1st Follow-up","2nd Follow-up","Local Office","CBE","Roxanne")&amp;IF($W802=6," - Final"," - Day "&amp;MAX(0,NETWORKDAYS($X802,TODAY(),Holidays)-1)&amp;" of "&amp;CHOOSE($W802,3,3,2,2,3))&amp;" | Total Day "&amp;MAX(0,NETWORKDAYS($L802,TODAY(),Holidays)-1))</f>
        <v/>
      </c>
      <c r="W802" s="17">
        <f>IF($L802="","",COUNT($L802:$Q802))</f>
        <v/>
      </c>
      <c r="X802" s="18">
        <f>IF($W802="","",INT(INDEX($L802:$Q802,$W802)))</f>
        <v/>
      </c>
      <c r="Y802" s="18">
        <f>IF(OR($W802="",$W802=6),"",WORKDAY($X802,CHOOSE($W802,3,3,2,2,3),Holidays))</f>
        <v/>
      </c>
      <c r="Z802" s="17">
        <f>IF(OR($W802="",$W802=6),"",CHOOSE($W802,"1st Email Follow-up","2nd Email Follow-up","Escalate Local Office","Escalate to CBE","Escalate to Roxanne"))</f>
        <v/>
      </c>
    </row>
    <row r="803" spans="18:26">
      <c r="R803" s="15"/>
      <c r="S803" s="16"/>
      <c r="T803" s="17">
        <f>IF(AND(COUNTA($A803:$K803)=0,$L803=""),"",IF($S803="Paid","PAID",IF($S803="Closed","CLOSED",IF($W803="","",IF($W803=6,"ESCALATED TO ROXANNE",IF(TODAY()&gt;$Y803,"OVERDUE",IF($Y803&lt;=WORKDAY(TODAY(),1,Holidays),"DUE TOMORROW",IF($W803=4,"ESCALATED TO LOCAL OFFICE",IF($W803=5,"ESCALATED TO CBE",IF($X803=TODAY(),"EMAIL SENT","MONITORING"))))))))))</f>
        <v/>
      </c>
      <c r="U803" s="17">
        <f>IF($T803="",IF(AND(COUNTA($A803:$K803)&gt;0,$L803=""),"Awaiting Collection Email time stamp.",""),IF(OR($T803="PAID",$T803="CLOSED"),IF($T803="PAID","Account paid. Action completed.","Account closed. No further action required."),CHOOSE($W803,"Collection Email","1st Email Follow-up","2nd Email Follow-up","Escalation to Local Office","Escalation to CBE","Escalation to Roxanne")&amp;" sent "&amp;TEXT($X803,"dd-mmm")&amp;". "&amp;IF($W803=6,"Final escalation completed.",IF($T803="OVERDUE","Next: "&amp;$Z803&amp;" was due "&amp;TEXT($Y803,"dd-mmm")&amp;" - "&amp;(NETWORKDAYS($Y803,TODAY(),Holidays)-1)&amp;" business day(s) late. Send now.",IF($T803="DUE TOMORROW","Next: "&amp;$Z803&amp;IF($Y803&lt;=TODAY()," is due TODAY ("," is due next business day (")&amp;TEXT($Y803,"dd-mmm")&amp;").","Next: "&amp;$Z803&amp;" due "&amp;TEXT($Y803,"dd-mmm")&amp;" ("&amp;(NETWORKDAYS(TODAY(),$Y803,Holidays)-1)&amp;" business day(s) left).")))))</f>
        <v/>
      </c>
      <c r="V803" s="17">
        <f>IF($W803="","",CHOOSE($W803,"Collection Email","1st Follow-up","2nd Follow-up","Local Office","CBE","Roxanne")&amp;IF($W803=6," - Final"," - Day "&amp;MAX(0,NETWORKDAYS($X803,TODAY(),Holidays)-1)&amp;" of "&amp;CHOOSE($W803,3,3,2,2,3))&amp;" | Total Day "&amp;MAX(0,NETWORKDAYS($L803,TODAY(),Holidays)-1))</f>
        <v/>
      </c>
      <c r="W803" s="17">
        <f>IF($L803="","",COUNT($L803:$Q803))</f>
        <v/>
      </c>
      <c r="X803" s="18">
        <f>IF($W803="","",INT(INDEX($L803:$Q803,$W803)))</f>
        <v/>
      </c>
      <c r="Y803" s="18">
        <f>IF(OR($W803="",$W803=6),"",WORKDAY($X803,CHOOSE($W803,3,3,2,2,3),Holidays))</f>
        <v/>
      </c>
      <c r="Z803" s="17">
        <f>IF(OR($W803="",$W803=6),"",CHOOSE($W803,"1st Email Follow-up","2nd Email Follow-up","Escalate Local Office","Escalate to CBE","Escalate to Roxanne"))</f>
        <v/>
      </c>
    </row>
    <row r="804" spans="18:26">
      <c r="R804" s="15"/>
      <c r="S804" s="16"/>
      <c r="T804" s="17">
        <f>IF(AND(COUNTA($A804:$K804)=0,$L804=""),"",IF($S804="Paid","PAID",IF($S804="Closed","CLOSED",IF($W804="","",IF($W804=6,"ESCALATED TO ROXANNE",IF(TODAY()&gt;$Y804,"OVERDUE",IF($Y804&lt;=WORKDAY(TODAY(),1,Holidays),"DUE TOMORROW",IF($W804=4,"ESCALATED TO LOCAL OFFICE",IF($W804=5,"ESCALATED TO CBE",IF($X804=TODAY(),"EMAIL SENT","MONITORING"))))))))))</f>
        <v/>
      </c>
      <c r="U804" s="17">
        <f>IF($T804="",IF(AND(COUNTA($A804:$K804)&gt;0,$L804=""),"Awaiting Collection Email time stamp.",""),IF(OR($T804="PAID",$T804="CLOSED"),IF($T804="PAID","Account paid. Action completed.","Account closed. No further action required."),CHOOSE($W804,"Collection Email","1st Email Follow-up","2nd Email Follow-up","Escalation to Local Office","Escalation to CBE","Escalation to Roxanne")&amp;" sent "&amp;TEXT($X804,"dd-mmm")&amp;". "&amp;IF($W804=6,"Final escalation completed.",IF($T804="OVERDUE","Next: "&amp;$Z804&amp;" was due "&amp;TEXT($Y804,"dd-mmm")&amp;" - "&amp;(NETWORKDAYS($Y804,TODAY(),Holidays)-1)&amp;" business day(s) late. Send now.",IF($T804="DUE TOMORROW","Next: "&amp;$Z804&amp;IF($Y804&lt;=TODAY()," is due TODAY ("," is due next business day (")&amp;TEXT($Y804,"dd-mmm")&amp;").","Next: "&amp;$Z804&amp;" due "&amp;TEXT($Y804,"dd-mmm")&amp;" ("&amp;(NETWORKDAYS(TODAY(),$Y804,Holidays)-1)&amp;" business day(s) left).")))))</f>
        <v/>
      </c>
      <c r="V804" s="17">
        <f>IF($W804="","",CHOOSE($W804,"Collection Email","1st Follow-up","2nd Follow-up","Local Office","CBE","Roxanne")&amp;IF($W804=6," - Final"," - Day "&amp;MAX(0,NETWORKDAYS($X804,TODAY(),Holidays)-1)&amp;" of "&amp;CHOOSE($W804,3,3,2,2,3))&amp;" | Total Day "&amp;MAX(0,NETWORKDAYS($L804,TODAY(),Holidays)-1))</f>
        <v/>
      </c>
      <c r="W804" s="17">
        <f>IF($L804="","",COUNT($L804:$Q804))</f>
        <v/>
      </c>
      <c r="X804" s="18">
        <f>IF($W804="","",INT(INDEX($L804:$Q804,$W804)))</f>
        <v/>
      </c>
      <c r="Y804" s="18">
        <f>IF(OR($W804="",$W804=6),"",WORKDAY($X804,CHOOSE($W804,3,3,2,2,3),Holidays))</f>
        <v/>
      </c>
      <c r="Z804" s="17">
        <f>IF(OR($W804="",$W804=6),"",CHOOSE($W804,"1st Email Follow-up","2nd Email Follow-up","Escalate Local Office","Escalate to CBE","Escalate to Roxanne"))</f>
        <v/>
      </c>
    </row>
    <row r="805" spans="18:26">
      <c r="R805" s="15"/>
      <c r="S805" s="16"/>
      <c r="T805" s="17">
        <f>IF(AND(COUNTA($A805:$K805)=0,$L805=""),"",IF($S805="Paid","PAID",IF($S805="Closed","CLOSED",IF($W805="","",IF($W805=6,"ESCALATED TO ROXANNE",IF(TODAY()&gt;$Y805,"OVERDUE",IF($Y805&lt;=WORKDAY(TODAY(),1,Holidays),"DUE TOMORROW",IF($W805=4,"ESCALATED TO LOCAL OFFICE",IF($W805=5,"ESCALATED TO CBE",IF($X805=TODAY(),"EMAIL SENT","MONITORING"))))))))))</f>
        <v/>
      </c>
      <c r="U805" s="17">
        <f>IF($T805="",IF(AND(COUNTA($A805:$K805)&gt;0,$L805=""),"Awaiting Collection Email time stamp.",""),IF(OR($T805="PAID",$T805="CLOSED"),IF($T805="PAID","Account paid. Action completed.","Account closed. No further action required."),CHOOSE($W805,"Collection Email","1st Email Follow-up","2nd Email Follow-up","Escalation to Local Office","Escalation to CBE","Escalation to Roxanne")&amp;" sent "&amp;TEXT($X805,"dd-mmm")&amp;". "&amp;IF($W805=6,"Final escalation completed.",IF($T805="OVERDUE","Next: "&amp;$Z805&amp;" was due "&amp;TEXT($Y805,"dd-mmm")&amp;" - "&amp;(NETWORKDAYS($Y805,TODAY(),Holidays)-1)&amp;" business day(s) late. Send now.",IF($T805="DUE TOMORROW","Next: "&amp;$Z805&amp;IF($Y805&lt;=TODAY()," is due TODAY ("," is due next business day (")&amp;TEXT($Y805,"dd-mmm")&amp;").","Next: "&amp;$Z805&amp;" due "&amp;TEXT($Y805,"dd-mmm")&amp;" ("&amp;(NETWORKDAYS(TODAY(),$Y805,Holidays)-1)&amp;" business day(s) left).")))))</f>
        <v/>
      </c>
      <c r="V805" s="17">
        <f>IF($W805="","",CHOOSE($W805,"Collection Email","1st Follow-up","2nd Follow-up","Local Office","CBE","Roxanne")&amp;IF($W805=6," - Final"," - Day "&amp;MAX(0,NETWORKDAYS($X805,TODAY(),Holidays)-1)&amp;" of "&amp;CHOOSE($W805,3,3,2,2,3))&amp;" | Total Day "&amp;MAX(0,NETWORKDAYS($L805,TODAY(),Holidays)-1))</f>
        <v/>
      </c>
      <c r="W805" s="17">
        <f>IF($L805="","",COUNT($L805:$Q805))</f>
        <v/>
      </c>
      <c r="X805" s="18">
        <f>IF($W805="","",INT(INDEX($L805:$Q805,$W805)))</f>
        <v/>
      </c>
      <c r="Y805" s="18">
        <f>IF(OR($W805="",$W805=6),"",WORKDAY($X805,CHOOSE($W805,3,3,2,2,3),Holidays))</f>
        <v/>
      </c>
      <c r="Z805" s="17">
        <f>IF(OR($W805="",$W805=6),"",CHOOSE($W805,"1st Email Follow-up","2nd Email Follow-up","Escalate Local Office","Escalate to CBE","Escalate to Roxanne"))</f>
        <v/>
      </c>
    </row>
    <row r="806" spans="18:26">
      <c r="R806" s="15"/>
      <c r="S806" s="16"/>
      <c r="T806" s="17">
        <f>IF(AND(COUNTA($A806:$K806)=0,$L806=""),"",IF($S806="Paid","PAID",IF($S806="Closed","CLOSED",IF($W806="","",IF($W806=6,"ESCALATED TO ROXANNE",IF(TODAY()&gt;$Y806,"OVERDUE",IF($Y806&lt;=WORKDAY(TODAY(),1,Holidays),"DUE TOMORROW",IF($W806=4,"ESCALATED TO LOCAL OFFICE",IF($W806=5,"ESCALATED TO CBE",IF($X806=TODAY(),"EMAIL SENT","MONITORING"))))))))))</f>
        <v/>
      </c>
      <c r="U806" s="17">
        <f>IF($T806="",IF(AND(COUNTA($A806:$K806)&gt;0,$L806=""),"Awaiting Collection Email time stamp.",""),IF(OR($T806="PAID",$T806="CLOSED"),IF($T806="PAID","Account paid. Action completed.","Account closed. No further action required."),CHOOSE($W806,"Collection Email","1st Email Follow-up","2nd Email Follow-up","Escalation to Local Office","Escalation to CBE","Escalation to Roxanne")&amp;" sent "&amp;TEXT($X806,"dd-mmm")&amp;". "&amp;IF($W806=6,"Final escalation completed.",IF($T806="OVERDUE","Next: "&amp;$Z806&amp;" was due "&amp;TEXT($Y806,"dd-mmm")&amp;" - "&amp;(NETWORKDAYS($Y806,TODAY(),Holidays)-1)&amp;" business day(s) late. Send now.",IF($T806="DUE TOMORROW","Next: "&amp;$Z806&amp;IF($Y806&lt;=TODAY()," is due TODAY ("," is due next business day (")&amp;TEXT($Y806,"dd-mmm")&amp;").","Next: "&amp;$Z806&amp;" due "&amp;TEXT($Y806,"dd-mmm")&amp;" ("&amp;(NETWORKDAYS(TODAY(),$Y806,Holidays)-1)&amp;" business day(s) left).")))))</f>
        <v/>
      </c>
      <c r="V806" s="17">
        <f>IF($W806="","",CHOOSE($W806,"Collection Email","1st Follow-up","2nd Follow-up","Local Office","CBE","Roxanne")&amp;IF($W806=6," - Final"," - Day "&amp;MAX(0,NETWORKDAYS($X806,TODAY(),Holidays)-1)&amp;" of "&amp;CHOOSE($W806,3,3,2,2,3))&amp;" | Total Day "&amp;MAX(0,NETWORKDAYS($L806,TODAY(),Holidays)-1))</f>
        <v/>
      </c>
      <c r="W806" s="17">
        <f>IF($L806="","",COUNT($L806:$Q806))</f>
        <v/>
      </c>
      <c r="X806" s="18">
        <f>IF($W806="","",INT(INDEX($L806:$Q806,$W806)))</f>
        <v/>
      </c>
      <c r="Y806" s="18">
        <f>IF(OR($W806="",$W806=6),"",WORKDAY($X806,CHOOSE($W806,3,3,2,2,3),Holidays))</f>
        <v/>
      </c>
      <c r="Z806" s="17">
        <f>IF(OR($W806="",$W806=6),"",CHOOSE($W806,"1st Email Follow-up","2nd Email Follow-up","Escalate Local Office","Escalate to CBE","Escalate to Roxanne"))</f>
        <v/>
      </c>
    </row>
    <row r="807" spans="18:26">
      <c r="R807" s="15"/>
      <c r="S807" s="16"/>
      <c r="T807" s="17">
        <f>IF(AND(COUNTA($A807:$K807)=0,$L807=""),"",IF($S807="Paid","PAID",IF($S807="Closed","CLOSED",IF($W807="","",IF($W807=6,"ESCALATED TO ROXANNE",IF(TODAY()&gt;$Y807,"OVERDUE",IF($Y807&lt;=WORKDAY(TODAY(),1,Holidays),"DUE TOMORROW",IF($W807=4,"ESCALATED TO LOCAL OFFICE",IF($W807=5,"ESCALATED TO CBE",IF($X807=TODAY(),"EMAIL SENT","MONITORING"))))))))))</f>
        <v/>
      </c>
      <c r="U807" s="17">
        <f>IF($T807="",IF(AND(COUNTA($A807:$K807)&gt;0,$L807=""),"Awaiting Collection Email time stamp.",""),IF(OR($T807="PAID",$T807="CLOSED"),IF($T807="PAID","Account paid. Action completed.","Account closed. No further action required."),CHOOSE($W807,"Collection Email","1st Email Follow-up","2nd Email Follow-up","Escalation to Local Office","Escalation to CBE","Escalation to Roxanne")&amp;" sent "&amp;TEXT($X807,"dd-mmm")&amp;". "&amp;IF($W807=6,"Final escalation completed.",IF($T807="OVERDUE","Next: "&amp;$Z807&amp;" was due "&amp;TEXT($Y807,"dd-mmm")&amp;" - "&amp;(NETWORKDAYS($Y807,TODAY(),Holidays)-1)&amp;" business day(s) late. Send now.",IF($T807="DUE TOMORROW","Next: "&amp;$Z807&amp;IF($Y807&lt;=TODAY()," is due TODAY ("," is due next business day (")&amp;TEXT($Y807,"dd-mmm")&amp;").","Next: "&amp;$Z807&amp;" due "&amp;TEXT($Y807,"dd-mmm")&amp;" ("&amp;(NETWORKDAYS(TODAY(),$Y807,Holidays)-1)&amp;" business day(s) left).")))))</f>
        <v/>
      </c>
      <c r="V807" s="17">
        <f>IF($W807="","",CHOOSE($W807,"Collection Email","1st Follow-up","2nd Follow-up","Local Office","CBE","Roxanne")&amp;IF($W807=6," - Final"," - Day "&amp;MAX(0,NETWORKDAYS($X807,TODAY(),Holidays)-1)&amp;" of "&amp;CHOOSE($W807,3,3,2,2,3))&amp;" | Total Day "&amp;MAX(0,NETWORKDAYS($L807,TODAY(),Holidays)-1))</f>
        <v/>
      </c>
      <c r="W807" s="17">
        <f>IF($L807="","",COUNT($L807:$Q807))</f>
        <v/>
      </c>
      <c r="X807" s="18">
        <f>IF($W807="","",INT(INDEX($L807:$Q807,$W807)))</f>
        <v/>
      </c>
      <c r="Y807" s="18">
        <f>IF(OR($W807="",$W807=6),"",WORKDAY($X807,CHOOSE($W807,3,3,2,2,3),Holidays))</f>
        <v/>
      </c>
      <c r="Z807" s="17">
        <f>IF(OR($W807="",$W807=6),"",CHOOSE($W807,"1st Email Follow-up","2nd Email Follow-up","Escalate Local Office","Escalate to CBE","Escalate to Roxanne"))</f>
        <v/>
      </c>
    </row>
    <row r="808" spans="18:26">
      <c r="R808" s="15"/>
      <c r="S808" s="16"/>
      <c r="T808" s="17">
        <f>IF(AND(COUNTA($A808:$K808)=0,$L808=""),"",IF($S808="Paid","PAID",IF($S808="Closed","CLOSED",IF($W808="","",IF($W808=6,"ESCALATED TO ROXANNE",IF(TODAY()&gt;$Y808,"OVERDUE",IF($Y808&lt;=WORKDAY(TODAY(),1,Holidays),"DUE TOMORROW",IF($W808=4,"ESCALATED TO LOCAL OFFICE",IF($W808=5,"ESCALATED TO CBE",IF($X808=TODAY(),"EMAIL SENT","MONITORING"))))))))))</f>
        <v/>
      </c>
      <c r="U808" s="17">
        <f>IF($T808="",IF(AND(COUNTA($A808:$K808)&gt;0,$L808=""),"Awaiting Collection Email time stamp.",""),IF(OR($T808="PAID",$T808="CLOSED"),IF($T808="PAID","Account paid. Action completed.","Account closed. No further action required."),CHOOSE($W808,"Collection Email","1st Email Follow-up","2nd Email Follow-up","Escalation to Local Office","Escalation to CBE","Escalation to Roxanne")&amp;" sent "&amp;TEXT($X808,"dd-mmm")&amp;". "&amp;IF($W808=6,"Final escalation completed.",IF($T808="OVERDUE","Next: "&amp;$Z808&amp;" was due "&amp;TEXT($Y808,"dd-mmm")&amp;" - "&amp;(NETWORKDAYS($Y808,TODAY(),Holidays)-1)&amp;" business day(s) late. Send now.",IF($T808="DUE TOMORROW","Next: "&amp;$Z808&amp;IF($Y808&lt;=TODAY()," is due TODAY ("," is due next business day (")&amp;TEXT($Y808,"dd-mmm")&amp;").","Next: "&amp;$Z808&amp;" due "&amp;TEXT($Y808,"dd-mmm")&amp;" ("&amp;(NETWORKDAYS(TODAY(),$Y808,Holidays)-1)&amp;" business day(s) left).")))))</f>
        <v/>
      </c>
      <c r="V808" s="17">
        <f>IF($W808="","",CHOOSE($W808,"Collection Email","1st Follow-up","2nd Follow-up","Local Office","CBE","Roxanne")&amp;IF($W808=6," - Final"," - Day "&amp;MAX(0,NETWORKDAYS($X808,TODAY(),Holidays)-1)&amp;" of "&amp;CHOOSE($W808,3,3,2,2,3))&amp;" | Total Day "&amp;MAX(0,NETWORKDAYS($L808,TODAY(),Holidays)-1))</f>
        <v/>
      </c>
      <c r="W808" s="17">
        <f>IF($L808="","",COUNT($L808:$Q808))</f>
        <v/>
      </c>
      <c r="X808" s="18">
        <f>IF($W808="","",INT(INDEX($L808:$Q808,$W808)))</f>
        <v/>
      </c>
      <c r="Y808" s="18">
        <f>IF(OR($W808="",$W808=6),"",WORKDAY($X808,CHOOSE($W808,3,3,2,2,3),Holidays))</f>
        <v/>
      </c>
      <c r="Z808" s="17">
        <f>IF(OR($W808="",$W808=6),"",CHOOSE($W808,"1st Email Follow-up","2nd Email Follow-up","Escalate Local Office","Escalate to CBE","Escalate to Roxanne"))</f>
        <v/>
      </c>
    </row>
    <row r="809" spans="18:26">
      <c r="R809" s="15"/>
      <c r="S809" s="16"/>
      <c r="T809" s="17">
        <f>IF(AND(COUNTA($A809:$K809)=0,$L809=""),"",IF($S809="Paid","PAID",IF($S809="Closed","CLOSED",IF($W809="","",IF($W809=6,"ESCALATED TO ROXANNE",IF(TODAY()&gt;$Y809,"OVERDUE",IF($Y809&lt;=WORKDAY(TODAY(),1,Holidays),"DUE TOMORROW",IF($W809=4,"ESCALATED TO LOCAL OFFICE",IF($W809=5,"ESCALATED TO CBE",IF($X809=TODAY(),"EMAIL SENT","MONITORING"))))))))))</f>
        <v/>
      </c>
      <c r="U809" s="17">
        <f>IF($T809="",IF(AND(COUNTA($A809:$K809)&gt;0,$L809=""),"Awaiting Collection Email time stamp.",""),IF(OR($T809="PAID",$T809="CLOSED"),IF($T809="PAID","Account paid. Action completed.","Account closed. No further action required."),CHOOSE($W809,"Collection Email","1st Email Follow-up","2nd Email Follow-up","Escalation to Local Office","Escalation to CBE","Escalation to Roxanne")&amp;" sent "&amp;TEXT($X809,"dd-mmm")&amp;". "&amp;IF($W809=6,"Final escalation completed.",IF($T809="OVERDUE","Next: "&amp;$Z809&amp;" was due "&amp;TEXT($Y809,"dd-mmm")&amp;" - "&amp;(NETWORKDAYS($Y809,TODAY(),Holidays)-1)&amp;" business day(s) late. Send now.",IF($T809="DUE TOMORROW","Next: "&amp;$Z809&amp;IF($Y809&lt;=TODAY()," is due TODAY ("," is due next business day (")&amp;TEXT($Y809,"dd-mmm")&amp;").","Next: "&amp;$Z809&amp;" due "&amp;TEXT($Y809,"dd-mmm")&amp;" ("&amp;(NETWORKDAYS(TODAY(),$Y809,Holidays)-1)&amp;" business day(s) left).")))))</f>
        <v/>
      </c>
      <c r="V809" s="17">
        <f>IF($W809="","",CHOOSE($W809,"Collection Email","1st Follow-up","2nd Follow-up","Local Office","CBE","Roxanne")&amp;IF($W809=6," - Final"," - Day "&amp;MAX(0,NETWORKDAYS($X809,TODAY(),Holidays)-1)&amp;" of "&amp;CHOOSE($W809,3,3,2,2,3))&amp;" | Total Day "&amp;MAX(0,NETWORKDAYS($L809,TODAY(),Holidays)-1))</f>
        <v/>
      </c>
      <c r="W809" s="17">
        <f>IF($L809="","",COUNT($L809:$Q809))</f>
        <v/>
      </c>
      <c r="X809" s="18">
        <f>IF($W809="","",INT(INDEX($L809:$Q809,$W809)))</f>
        <v/>
      </c>
      <c r="Y809" s="18">
        <f>IF(OR($W809="",$W809=6),"",WORKDAY($X809,CHOOSE($W809,3,3,2,2,3),Holidays))</f>
        <v/>
      </c>
      <c r="Z809" s="17">
        <f>IF(OR($W809="",$W809=6),"",CHOOSE($W809,"1st Email Follow-up","2nd Email Follow-up","Escalate Local Office","Escalate to CBE","Escalate to Roxanne"))</f>
        <v/>
      </c>
    </row>
    <row r="810" spans="18:26">
      <c r="R810" s="15"/>
      <c r="S810" s="16"/>
      <c r="T810" s="17">
        <f>IF(AND(COUNTA($A810:$K810)=0,$L810=""),"",IF($S810="Paid","PAID",IF($S810="Closed","CLOSED",IF($W810="","",IF($W810=6,"ESCALATED TO ROXANNE",IF(TODAY()&gt;$Y810,"OVERDUE",IF($Y810&lt;=WORKDAY(TODAY(),1,Holidays),"DUE TOMORROW",IF($W810=4,"ESCALATED TO LOCAL OFFICE",IF($W810=5,"ESCALATED TO CBE",IF($X810=TODAY(),"EMAIL SENT","MONITORING"))))))))))</f>
        <v/>
      </c>
      <c r="U810" s="17">
        <f>IF($T810="",IF(AND(COUNTA($A810:$K810)&gt;0,$L810=""),"Awaiting Collection Email time stamp.",""),IF(OR($T810="PAID",$T810="CLOSED"),IF($T810="PAID","Account paid. Action completed.","Account closed. No further action required."),CHOOSE($W810,"Collection Email","1st Email Follow-up","2nd Email Follow-up","Escalation to Local Office","Escalation to CBE","Escalation to Roxanne")&amp;" sent "&amp;TEXT($X810,"dd-mmm")&amp;". "&amp;IF($W810=6,"Final escalation completed.",IF($T810="OVERDUE","Next: "&amp;$Z810&amp;" was due "&amp;TEXT($Y810,"dd-mmm")&amp;" - "&amp;(NETWORKDAYS($Y810,TODAY(),Holidays)-1)&amp;" business day(s) late. Send now.",IF($T810="DUE TOMORROW","Next: "&amp;$Z810&amp;IF($Y810&lt;=TODAY()," is due TODAY ("," is due next business day (")&amp;TEXT($Y810,"dd-mmm")&amp;").","Next: "&amp;$Z810&amp;" due "&amp;TEXT($Y810,"dd-mmm")&amp;" ("&amp;(NETWORKDAYS(TODAY(),$Y810,Holidays)-1)&amp;" business day(s) left).")))))</f>
        <v/>
      </c>
      <c r="V810" s="17">
        <f>IF($W810="","",CHOOSE($W810,"Collection Email","1st Follow-up","2nd Follow-up","Local Office","CBE","Roxanne")&amp;IF($W810=6," - Final"," - Day "&amp;MAX(0,NETWORKDAYS($X810,TODAY(),Holidays)-1)&amp;" of "&amp;CHOOSE($W810,3,3,2,2,3))&amp;" | Total Day "&amp;MAX(0,NETWORKDAYS($L810,TODAY(),Holidays)-1))</f>
        <v/>
      </c>
      <c r="W810" s="17">
        <f>IF($L810="","",COUNT($L810:$Q810))</f>
        <v/>
      </c>
      <c r="X810" s="18">
        <f>IF($W810="","",INT(INDEX($L810:$Q810,$W810)))</f>
        <v/>
      </c>
      <c r="Y810" s="18">
        <f>IF(OR($W810="",$W810=6),"",WORKDAY($X810,CHOOSE($W810,3,3,2,2,3),Holidays))</f>
        <v/>
      </c>
      <c r="Z810" s="17">
        <f>IF(OR($W810="",$W810=6),"",CHOOSE($W810,"1st Email Follow-up","2nd Email Follow-up","Escalate Local Office","Escalate to CBE","Escalate to Roxanne"))</f>
        <v/>
      </c>
    </row>
    <row r="811" spans="18:26">
      <c r="R811" s="15"/>
      <c r="S811" s="16"/>
      <c r="T811" s="17">
        <f>IF(AND(COUNTA($A811:$K811)=0,$L811=""),"",IF($S811="Paid","PAID",IF($S811="Closed","CLOSED",IF($W811="","",IF($W811=6,"ESCALATED TO ROXANNE",IF(TODAY()&gt;$Y811,"OVERDUE",IF($Y811&lt;=WORKDAY(TODAY(),1,Holidays),"DUE TOMORROW",IF($W811=4,"ESCALATED TO LOCAL OFFICE",IF($W811=5,"ESCALATED TO CBE",IF($X811=TODAY(),"EMAIL SENT","MONITORING"))))))))))</f>
        <v/>
      </c>
      <c r="U811" s="17">
        <f>IF($T811="",IF(AND(COUNTA($A811:$K811)&gt;0,$L811=""),"Awaiting Collection Email time stamp.",""),IF(OR($T811="PAID",$T811="CLOSED"),IF($T811="PAID","Account paid. Action completed.","Account closed. No further action required."),CHOOSE($W811,"Collection Email","1st Email Follow-up","2nd Email Follow-up","Escalation to Local Office","Escalation to CBE","Escalation to Roxanne")&amp;" sent "&amp;TEXT($X811,"dd-mmm")&amp;". "&amp;IF($W811=6,"Final escalation completed.",IF($T811="OVERDUE","Next: "&amp;$Z811&amp;" was due "&amp;TEXT($Y811,"dd-mmm")&amp;" - "&amp;(NETWORKDAYS($Y811,TODAY(),Holidays)-1)&amp;" business day(s) late. Send now.",IF($T811="DUE TOMORROW","Next: "&amp;$Z811&amp;IF($Y811&lt;=TODAY()," is due TODAY ("," is due next business day (")&amp;TEXT($Y811,"dd-mmm")&amp;").","Next: "&amp;$Z811&amp;" due "&amp;TEXT($Y811,"dd-mmm")&amp;" ("&amp;(NETWORKDAYS(TODAY(),$Y811,Holidays)-1)&amp;" business day(s) left).")))))</f>
        <v/>
      </c>
      <c r="V811" s="17">
        <f>IF($W811="","",CHOOSE($W811,"Collection Email","1st Follow-up","2nd Follow-up","Local Office","CBE","Roxanne")&amp;IF($W811=6," - Final"," - Day "&amp;MAX(0,NETWORKDAYS($X811,TODAY(),Holidays)-1)&amp;" of "&amp;CHOOSE($W811,3,3,2,2,3))&amp;" | Total Day "&amp;MAX(0,NETWORKDAYS($L811,TODAY(),Holidays)-1))</f>
        <v/>
      </c>
      <c r="W811" s="17">
        <f>IF($L811="","",COUNT($L811:$Q811))</f>
        <v/>
      </c>
      <c r="X811" s="18">
        <f>IF($W811="","",INT(INDEX($L811:$Q811,$W811)))</f>
        <v/>
      </c>
      <c r="Y811" s="18">
        <f>IF(OR($W811="",$W811=6),"",WORKDAY($X811,CHOOSE($W811,3,3,2,2,3),Holidays))</f>
        <v/>
      </c>
      <c r="Z811" s="17">
        <f>IF(OR($W811="",$W811=6),"",CHOOSE($W811,"1st Email Follow-up","2nd Email Follow-up","Escalate Local Office","Escalate to CBE","Escalate to Roxanne"))</f>
        <v/>
      </c>
    </row>
    <row r="812" spans="18:26">
      <c r="R812" s="15"/>
      <c r="S812" s="16"/>
      <c r="T812" s="17">
        <f>IF(AND(COUNTA($A812:$K812)=0,$L812=""),"",IF($S812="Paid","PAID",IF($S812="Closed","CLOSED",IF($W812="","",IF($W812=6,"ESCALATED TO ROXANNE",IF(TODAY()&gt;$Y812,"OVERDUE",IF($Y812&lt;=WORKDAY(TODAY(),1,Holidays),"DUE TOMORROW",IF($W812=4,"ESCALATED TO LOCAL OFFICE",IF($W812=5,"ESCALATED TO CBE",IF($X812=TODAY(),"EMAIL SENT","MONITORING"))))))))))</f>
        <v/>
      </c>
      <c r="U812" s="17">
        <f>IF($T812="",IF(AND(COUNTA($A812:$K812)&gt;0,$L812=""),"Awaiting Collection Email time stamp.",""),IF(OR($T812="PAID",$T812="CLOSED"),IF($T812="PAID","Account paid. Action completed.","Account closed. No further action required."),CHOOSE($W812,"Collection Email","1st Email Follow-up","2nd Email Follow-up","Escalation to Local Office","Escalation to CBE","Escalation to Roxanne")&amp;" sent "&amp;TEXT($X812,"dd-mmm")&amp;". "&amp;IF($W812=6,"Final escalation completed.",IF($T812="OVERDUE","Next: "&amp;$Z812&amp;" was due "&amp;TEXT($Y812,"dd-mmm")&amp;" - "&amp;(NETWORKDAYS($Y812,TODAY(),Holidays)-1)&amp;" business day(s) late. Send now.",IF($T812="DUE TOMORROW","Next: "&amp;$Z812&amp;IF($Y812&lt;=TODAY()," is due TODAY ("," is due next business day (")&amp;TEXT($Y812,"dd-mmm")&amp;").","Next: "&amp;$Z812&amp;" due "&amp;TEXT($Y812,"dd-mmm")&amp;" ("&amp;(NETWORKDAYS(TODAY(),$Y812,Holidays)-1)&amp;" business day(s) left).")))))</f>
        <v/>
      </c>
      <c r="V812" s="17">
        <f>IF($W812="","",CHOOSE($W812,"Collection Email","1st Follow-up","2nd Follow-up","Local Office","CBE","Roxanne")&amp;IF($W812=6," - Final"," - Day "&amp;MAX(0,NETWORKDAYS($X812,TODAY(),Holidays)-1)&amp;" of "&amp;CHOOSE($W812,3,3,2,2,3))&amp;" | Total Day "&amp;MAX(0,NETWORKDAYS($L812,TODAY(),Holidays)-1))</f>
        <v/>
      </c>
      <c r="W812" s="17">
        <f>IF($L812="","",COUNT($L812:$Q812))</f>
        <v/>
      </c>
      <c r="X812" s="18">
        <f>IF($W812="","",INT(INDEX($L812:$Q812,$W812)))</f>
        <v/>
      </c>
      <c r="Y812" s="18">
        <f>IF(OR($W812="",$W812=6),"",WORKDAY($X812,CHOOSE($W812,3,3,2,2,3),Holidays))</f>
        <v/>
      </c>
      <c r="Z812" s="17">
        <f>IF(OR($W812="",$W812=6),"",CHOOSE($W812,"1st Email Follow-up","2nd Email Follow-up","Escalate Local Office","Escalate to CBE","Escalate to Roxanne"))</f>
        <v/>
      </c>
    </row>
    <row r="813" spans="18:26">
      <c r="R813" s="15"/>
      <c r="S813" s="16"/>
      <c r="T813" s="17">
        <f>IF(AND(COUNTA($A813:$K813)=0,$L813=""),"",IF($S813="Paid","PAID",IF($S813="Closed","CLOSED",IF($W813="","",IF($W813=6,"ESCALATED TO ROXANNE",IF(TODAY()&gt;$Y813,"OVERDUE",IF($Y813&lt;=WORKDAY(TODAY(),1,Holidays),"DUE TOMORROW",IF($W813=4,"ESCALATED TO LOCAL OFFICE",IF($W813=5,"ESCALATED TO CBE",IF($X813=TODAY(),"EMAIL SENT","MONITORING"))))))))))</f>
        <v/>
      </c>
      <c r="U813" s="17">
        <f>IF($T813="",IF(AND(COUNTA($A813:$K813)&gt;0,$L813=""),"Awaiting Collection Email time stamp.",""),IF(OR($T813="PAID",$T813="CLOSED"),IF($T813="PAID","Account paid. Action completed.","Account closed. No further action required."),CHOOSE($W813,"Collection Email","1st Email Follow-up","2nd Email Follow-up","Escalation to Local Office","Escalation to CBE","Escalation to Roxanne")&amp;" sent "&amp;TEXT($X813,"dd-mmm")&amp;". "&amp;IF($W813=6,"Final escalation completed.",IF($T813="OVERDUE","Next: "&amp;$Z813&amp;" was due "&amp;TEXT($Y813,"dd-mmm")&amp;" - "&amp;(NETWORKDAYS($Y813,TODAY(),Holidays)-1)&amp;" business day(s) late. Send now.",IF($T813="DUE TOMORROW","Next: "&amp;$Z813&amp;IF($Y813&lt;=TODAY()," is due TODAY ("," is due next business day (")&amp;TEXT($Y813,"dd-mmm")&amp;").","Next: "&amp;$Z813&amp;" due "&amp;TEXT($Y813,"dd-mmm")&amp;" ("&amp;(NETWORKDAYS(TODAY(),$Y813,Holidays)-1)&amp;" business day(s) left).")))))</f>
        <v/>
      </c>
      <c r="V813" s="17">
        <f>IF($W813="","",CHOOSE($W813,"Collection Email","1st Follow-up","2nd Follow-up","Local Office","CBE","Roxanne")&amp;IF($W813=6," - Final"," - Day "&amp;MAX(0,NETWORKDAYS($X813,TODAY(),Holidays)-1)&amp;" of "&amp;CHOOSE($W813,3,3,2,2,3))&amp;" | Total Day "&amp;MAX(0,NETWORKDAYS($L813,TODAY(),Holidays)-1))</f>
        <v/>
      </c>
      <c r="W813" s="17">
        <f>IF($L813="","",COUNT($L813:$Q813))</f>
        <v/>
      </c>
      <c r="X813" s="18">
        <f>IF($W813="","",INT(INDEX($L813:$Q813,$W813)))</f>
        <v/>
      </c>
      <c r="Y813" s="18">
        <f>IF(OR($W813="",$W813=6),"",WORKDAY($X813,CHOOSE($W813,3,3,2,2,3),Holidays))</f>
        <v/>
      </c>
      <c r="Z813" s="17">
        <f>IF(OR($W813="",$W813=6),"",CHOOSE($W813,"1st Email Follow-up","2nd Email Follow-up","Escalate Local Office","Escalate to CBE","Escalate to Roxanne"))</f>
        <v/>
      </c>
    </row>
    <row r="814" spans="18:26">
      <c r="R814" s="15"/>
      <c r="S814" s="16"/>
      <c r="T814" s="17">
        <f>IF(AND(COUNTA($A814:$K814)=0,$L814=""),"",IF($S814="Paid","PAID",IF($S814="Closed","CLOSED",IF($W814="","",IF($W814=6,"ESCALATED TO ROXANNE",IF(TODAY()&gt;$Y814,"OVERDUE",IF($Y814&lt;=WORKDAY(TODAY(),1,Holidays),"DUE TOMORROW",IF($W814=4,"ESCALATED TO LOCAL OFFICE",IF($W814=5,"ESCALATED TO CBE",IF($X814=TODAY(),"EMAIL SENT","MONITORING"))))))))))</f>
        <v/>
      </c>
      <c r="U814" s="17">
        <f>IF($T814="",IF(AND(COUNTA($A814:$K814)&gt;0,$L814=""),"Awaiting Collection Email time stamp.",""),IF(OR($T814="PAID",$T814="CLOSED"),IF($T814="PAID","Account paid. Action completed.","Account closed. No further action required."),CHOOSE($W814,"Collection Email","1st Email Follow-up","2nd Email Follow-up","Escalation to Local Office","Escalation to CBE","Escalation to Roxanne")&amp;" sent "&amp;TEXT($X814,"dd-mmm")&amp;". "&amp;IF($W814=6,"Final escalation completed.",IF($T814="OVERDUE","Next: "&amp;$Z814&amp;" was due "&amp;TEXT($Y814,"dd-mmm")&amp;" - "&amp;(NETWORKDAYS($Y814,TODAY(),Holidays)-1)&amp;" business day(s) late. Send now.",IF($T814="DUE TOMORROW","Next: "&amp;$Z814&amp;IF($Y814&lt;=TODAY()," is due TODAY ("," is due next business day (")&amp;TEXT($Y814,"dd-mmm")&amp;").","Next: "&amp;$Z814&amp;" due "&amp;TEXT($Y814,"dd-mmm")&amp;" ("&amp;(NETWORKDAYS(TODAY(),$Y814,Holidays)-1)&amp;" business day(s) left).")))))</f>
        <v/>
      </c>
      <c r="V814" s="17">
        <f>IF($W814="","",CHOOSE($W814,"Collection Email","1st Follow-up","2nd Follow-up","Local Office","CBE","Roxanne")&amp;IF($W814=6," - Final"," - Day "&amp;MAX(0,NETWORKDAYS($X814,TODAY(),Holidays)-1)&amp;" of "&amp;CHOOSE($W814,3,3,2,2,3))&amp;" | Total Day "&amp;MAX(0,NETWORKDAYS($L814,TODAY(),Holidays)-1))</f>
        <v/>
      </c>
      <c r="W814" s="17">
        <f>IF($L814="","",COUNT($L814:$Q814))</f>
        <v/>
      </c>
      <c r="X814" s="18">
        <f>IF($W814="","",INT(INDEX($L814:$Q814,$W814)))</f>
        <v/>
      </c>
      <c r="Y814" s="18">
        <f>IF(OR($W814="",$W814=6),"",WORKDAY($X814,CHOOSE($W814,3,3,2,2,3),Holidays))</f>
        <v/>
      </c>
      <c r="Z814" s="17">
        <f>IF(OR($W814="",$W814=6),"",CHOOSE($W814,"1st Email Follow-up","2nd Email Follow-up","Escalate Local Office","Escalate to CBE","Escalate to Roxanne"))</f>
        <v/>
      </c>
    </row>
    <row r="815" spans="18:26">
      <c r="R815" s="15"/>
      <c r="S815" s="16"/>
      <c r="T815" s="17">
        <f>IF(AND(COUNTA($A815:$K815)=0,$L815=""),"",IF($S815="Paid","PAID",IF($S815="Closed","CLOSED",IF($W815="","",IF($W815=6,"ESCALATED TO ROXANNE",IF(TODAY()&gt;$Y815,"OVERDUE",IF($Y815&lt;=WORKDAY(TODAY(),1,Holidays),"DUE TOMORROW",IF($W815=4,"ESCALATED TO LOCAL OFFICE",IF($W815=5,"ESCALATED TO CBE",IF($X815=TODAY(),"EMAIL SENT","MONITORING"))))))))))</f>
        <v/>
      </c>
      <c r="U815" s="17">
        <f>IF($T815="",IF(AND(COUNTA($A815:$K815)&gt;0,$L815=""),"Awaiting Collection Email time stamp.",""),IF(OR($T815="PAID",$T815="CLOSED"),IF($T815="PAID","Account paid. Action completed.","Account closed. No further action required."),CHOOSE($W815,"Collection Email","1st Email Follow-up","2nd Email Follow-up","Escalation to Local Office","Escalation to CBE","Escalation to Roxanne")&amp;" sent "&amp;TEXT($X815,"dd-mmm")&amp;". "&amp;IF($W815=6,"Final escalation completed.",IF($T815="OVERDUE","Next: "&amp;$Z815&amp;" was due "&amp;TEXT($Y815,"dd-mmm")&amp;" - "&amp;(NETWORKDAYS($Y815,TODAY(),Holidays)-1)&amp;" business day(s) late. Send now.",IF($T815="DUE TOMORROW","Next: "&amp;$Z815&amp;IF($Y815&lt;=TODAY()," is due TODAY ("," is due next business day (")&amp;TEXT($Y815,"dd-mmm")&amp;").","Next: "&amp;$Z815&amp;" due "&amp;TEXT($Y815,"dd-mmm")&amp;" ("&amp;(NETWORKDAYS(TODAY(),$Y815,Holidays)-1)&amp;" business day(s) left).")))))</f>
        <v/>
      </c>
      <c r="V815" s="17">
        <f>IF($W815="","",CHOOSE($W815,"Collection Email","1st Follow-up","2nd Follow-up","Local Office","CBE","Roxanne")&amp;IF($W815=6," - Final"," - Day "&amp;MAX(0,NETWORKDAYS($X815,TODAY(),Holidays)-1)&amp;" of "&amp;CHOOSE($W815,3,3,2,2,3))&amp;" | Total Day "&amp;MAX(0,NETWORKDAYS($L815,TODAY(),Holidays)-1))</f>
        <v/>
      </c>
      <c r="W815" s="17">
        <f>IF($L815="","",COUNT($L815:$Q815))</f>
        <v/>
      </c>
      <c r="X815" s="18">
        <f>IF($W815="","",INT(INDEX($L815:$Q815,$W815)))</f>
        <v/>
      </c>
      <c r="Y815" s="18">
        <f>IF(OR($W815="",$W815=6),"",WORKDAY($X815,CHOOSE($W815,3,3,2,2,3),Holidays))</f>
        <v/>
      </c>
      <c r="Z815" s="17">
        <f>IF(OR($W815="",$W815=6),"",CHOOSE($W815,"1st Email Follow-up","2nd Email Follow-up","Escalate Local Office","Escalate to CBE","Escalate to Roxanne"))</f>
        <v/>
      </c>
    </row>
    <row r="816" spans="18:26">
      <c r="R816" s="15"/>
      <c r="S816" s="16"/>
      <c r="T816" s="17">
        <f>IF(AND(COUNTA($A816:$K816)=0,$L816=""),"",IF($S816="Paid","PAID",IF($S816="Closed","CLOSED",IF($W816="","",IF($W816=6,"ESCALATED TO ROXANNE",IF(TODAY()&gt;$Y816,"OVERDUE",IF($Y816&lt;=WORKDAY(TODAY(),1,Holidays),"DUE TOMORROW",IF($W816=4,"ESCALATED TO LOCAL OFFICE",IF($W816=5,"ESCALATED TO CBE",IF($X816=TODAY(),"EMAIL SENT","MONITORING"))))))))))</f>
        <v/>
      </c>
      <c r="U816" s="17">
        <f>IF($T816="",IF(AND(COUNTA($A816:$K816)&gt;0,$L816=""),"Awaiting Collection Email time stamp.",""),IF(OR($T816="PAID",$T816="CLOSED"),IF($T816="PAID","Account paid. Action completed.","Account closed. No further action required."),CHOOSE($W816,"Collection Email","1st Email Follow-up","2nd Email Follow-up","Escalation to Local Office","Escalation to CBE","Escalation to Roxanne")&amp;" sent "&amp;TEXT($X816,"dd-mmm")&amp;". "&amp;IF($W816=6,"Final escalation completed.",IF($T816="OVERDUE","Next: "&amp;$Z816&amp;" was due "&amp;TEXT($Y816,"dd-mmm")&amp;" - "&amp;(NETWORKDAYS($Y816,TODAY(),Holidays)-1)&amp;" business day(s) late. Send now.",IF($T816="DUE TOMORROW","Next: "&amp;$Z816&amp;IF($Y816&lt;=TODAY()," is due TODAY ("," is due next business day (")&amp;TEXT($Y816,"dd-mmm")&amp;").","Next: "&amp;$Z816&amp;" due "&amp;TEXT($Y816,"dd-mmm")&amp;" ("&amp;(NETWORKDAYS(TODAY(),$Y816,Holidays)-1)&amp;" business day(s) left).")))))</f>
        <v/>
      </c>
      <c r="V816" s="17">
        <f>IF($W816="","",CHOOSE($W816,"Collection Email","1st Follow-up","2nd Follow-up","Local Office","CBE","Roxanne")&amp;IF($W816=6," - Final"," - Day "&amp;MAX(0,NETWORKDAYS($X816,TODAY(),Holidays)-1)&amp;" of "&amp;CHOOSE($W816,3,3,2,2,3))&amp;" | Total Day "&amp;MAX(0,NETWORKDAYS($L816,TODAY(),Holidays)-1))</f>
        <v/>
      </c>
      <c r="W816" s="17">
        <f>IF($L816="","",COUNT($L816:$Q816))</f>
        <v/>
      </c>
      <c r="X816" s="18">
        <f>IF($W816="","",INT(INDEX($L816:$Q816,$W816)))</f>
        <v/>
      </c>
      <c r="Y816" s="18">
        <f>IF(OR($W816="",$W816=6),"",WORKDAY($X816,CHOOSE($W816,3,3,2,2,3),Holidays))</f>
        <v/>
      </c>
      <c r="Z816" s="17">
        <f>IF(OR($W816="",$W816=6),"",CHOOSE($W816,"1st Email Follow-up","2nd Email Follow-up","Escalate Local Office","Escalate to CBE","Escalate to Roxanne"))</f>
        <v/>
      </c>
    </row>
    <row r="817" spans="18:26">
      <c r="R817" s="15"/>
      <c r="S817" s="16"/>
      <c r="T817" s="17">
        <f>IF(AND(COUNTA($A817:$K817)=0,$L817=""),"",IF($S817="Paid","PAID",IF($S817="Closed","CLOSED",IF($W817="","",IF($W817=6,"ESCALATED TO ROXANNE",IF(TODAY()&gt;$Y817,"OVERDUE",IF($Y817&lt;=WORKDAY(TODAY(),1,Holidays),"DUE TOMORROW",IF($W817=4,"ESCALATED TO LOCAL OFFICE",IF($W817=5,"ESCALATED TO CBE",IF($X817=TODAY(),"EMAIL SENT","MONITORING"))))))))))</f>
        <v/>
      </c>
      <c r="U817" s="17">
        <f>IF($T817="",IF(AND(COUNTA($A817:$K817)&gt;0,$L817=""),"Awaiting Collection Email time stamp.",""),IF(OR($T817="PAID",$T817="CLOSED"),IF($T817="PAID","Account paid. Action completed.","Account closed. No further action required."),CHOOSE($W817,"Collection Email","1st Email Follow-up","2nd Email Follow-up","Escalation to Local Office","Escalation to CBE","Escalation to Roxanne")&amp;" sent "&amp;TEXT($X817,"dd-mmm")&amp;". "&amp;IF($W817=6,"Final escalation completed.",IF($T817="OVERDUE","Next: "&amp;$Z817&amp;" was due "&amp;TEXT($Y817,"dd-mmm")&amp;" - "&amp;(NETWORKDAYS($Y817,TODAY(),Holidays)-1)&amp;" business day(s) late. Send now.",IF($T817="DUE TOMORROW","Next: "&amp;$Z817&amp;IF($Y817&lt;=TODAY()," is due TODAY ("," is due next business day (")&amp;TEXT($Y817,"dd-mmm")&amp;").","Next: "&amp;$Z817&amp;" due "&amp;TEXT($Y817,"dd-mmm")&amp;" ("&amp;(NETWORKDAYS(TODAY(),$Y817,Holidays)-1)&amp;" business day(s) left).")))))</f>
        <v/>
      </c>
      <c r="V817" s="17">
        <f>IF($W817="","",CHOOSE($W817,"Collection Email","1st Follow-up","2nd Follow-up","Local Office","CBE","Roxanne")&amp;IF($W817=6," - Final"," - Day "&amp;MAX(0,NETWORKDAYS($X817,TODAY(),Holidays)-1)&amp;" of "&amp;CHOOSE($W817,3,3,2,2,3))&amp;" | Total Day "&amp;MAX(0,NETWORKDAYS($L817,TODAY(),Holidays)-1))</f>
        <v/>
      </c>
      <c r="W817" s="17">
        <f>IF($L817="","",COUNT($L817:$Q817))</f>
        <v/>
      </c>
      <c r="X817" s="18">
        <f>IF($W817="","",INT(INDEX($L817:$Q817,$W817)))</f>
        <v/>
      </c>
      <c r="Y817" s="18">
        <f>IF(OR($W817="",$W817=6),"",WORKDAY($X817,CHOOSE($W817,3,3,2,2,3),Holidays))</f>
        <v/>
      </c>
      <c r="Z817" s="17">
        <f>IF(OR($W817="",$W817=6),"",CHOOSE($W817,"1st Email Follow-up","2nd Email Follow-up","Escalate Local Office","Escalate to CBE","Escalate to Roxanne"))</f>
        <v/>
      </c>
    </row>
    <row r="818" spans="18:26">
      <c r="R818" s="15"/>
      <c r="S818" s="16"/>
      <c r="T818" s="17">
        <f>IF(AND(COUNTA($A818:$K818)=0,$L818=""),"",IF($S818="Paid","PAID",IF($S818="Closed","CLOSED",IF($W818="","",IF($W818=6,"ESCALATED TO ROXANNE",IF(TODAY()&gt;$Y818,"OVERDUE",IF($Y818&lt;=WORKDAY(TODAY(),1,Holidays),"DUE TOMORROW",IF($W818=4,"ESCALATED TO LOCAL OFFICE",IF($W818=5,"ESCALATED TO CBE",IF($X818=TODAY(),"EMAIL SENT","MONITORING"))))))))))</f>
        <v/>
      </c>
      <c r="U818" s="17">
        <f>IF($T818="",IF(AND(COUNTA($A818:$K818)&gt;0,$L818=""),"Awaiting Collection Email time stamp.",""),IF(OR($T818="PAID",$T818="CLOSED"),IF($T818="PAID","Account paid. Action completed.","Account closed. No further action required."),CHOOSE($W818,"Collection Email","1st Email Follow-up","2nd Email Follow-up","Escalation to Local Office","Escalation to CBE","Escalation to Roxanne")&amp;" sent "&amp;TEXT($X818,"dd-mmm")&amp;". "&amp;IF($W818=6,"Final escalation completed.",IF($T818="OVERDUE","Next: "&amp;$Z818&amp;" was due "&amp;TEXT($Y818,"dd-mmm")&amp;" - "&amp;(NETWORKDAYS($Y818,TODAY(),Holidays)-1)&amp;" business day(s) late. Send now.",IF($T818="DUE TOMORROW","Next: "&amp;$Z818&amp;IF($Y818&lt;=TODAY()," is due TODAY ("," is due next business day (")&amp;TEXT($Y818,"dd-mmm")&amp;").","Next: "&amp;$Z818&amp;" due "&amp;TEXT($Y818,"dd-mmm")&amp;" ("&amp;(NETWORKDAYS(TODAY(),$Y818,Holidays)-1)&amp;" business day(s) left).")))))</f>
        <v/>
      </c>
      <c r="V818" s="17">
        <f>IF($W818="","",CHOOSE($W818,"Collection Email","1st Follow-up","2nd Follow-up","Local Office","CBE","Roxanne")&amp;IF($W818=6," - Final"," - Day "&amp;MAX(0,NETWORKDAYS($X818,TODAY(),Holidays)-1)&amp;" of "&amp;CHOOSE($W818,3,3,2,2,3))&amp;" | Total Day "&amp;MAX(0,NETWORKDAYS($L818,TODAY(),Holidays)-1))</f>
        <v/>
      </c>
      <c r="W818" s="17">
        <f>IF($L818="","",COUNT($L818:$Q818))</f>
        <v/>
      </c>
      <c r="X818" s="18">
        <f>IF($W818="","",INT(INDEX($L818:$Q818,$W818)))</f>
        <v/>
      </c>
      <c r="Y818" s="18">
        <f>IF(OR($W818="",$W818=6),"",WORKDAY($X818,CHOOSE($W818,3,3,2,2,3),Holidays))</f>
        <v/>
      </c>
      <c r="Z818" s="17">
        <f>IF(OR($W818="",$W818=6),"",CHOOSE($W818,"1st Email Follow-up","2nd Email Follow-up","Escalate Local Office","Escalate to CBE","Escalate to Roxanne"))</f>
        <v/>
      </c>
    </row>
    <row r="819" spans="18:26">
      <c r="R819" s="15"/>
      <c r="S819" s="16"/>
      <c r="T819" s="17">
        <f>IF(AND(COUNTA($A819:$K819)=0,$L819=""),"",IF($S819="Paid","PAID",IF($S819="Closed","CLOSED",IF($W819="","",IF($W819=6,"ESCALATED TO ROXANNE",IF(TODAY()&gt;$Y819,"OVERDUE",IF($Y819&lt;=WORKDAY(TODAY(),1,Holidays),"DUE TOMORROW",IF($W819=4,"ESCALATED TO LOCAL OFFICE",IF($W819=5,"ESCALATED TO CBE",IF($X819=TODAY(),"EMAIL SENT","MONITORING"))))))))))</f>
        <v/>
      </c>
      <c r="U819" s="17">
        <f>IF($T819="",IF(AND(COUNTA($A819:$K819)&gt;0,$L819=""),"Awaiting Collection Email time stamp.",""),IF(OR($T819="PAID",$T819="CLOSED"),IF($T819="PAID","Account paid. Action completed.","Account closed. No further action required."),CHOOSE($W819,"Collection Email","1st Email Follow-up","2nd Email Follow-up","Escalation to Local Office","Escalation to CBE","Escalation to Roxanne")&amp;" sent "&amp;TEXT($X819,"dd-mmm")&amp;". "&amp;IF($W819=6,"Final escalation completed.",IF($T819="OVERDUE","Next: "&amp;$Z819&amp;" was due "&amp;TEXT($Y819,"dd-mmm")&amp;" - "&amp;(NETWORKDAYS($Y819,TODAY(),Holidays)-1)&amp;" business day(s) late. Send now.",IF($T819="DUE TOMORROW","Next: "&amp;$Z819&amp;IF($Y819&lt;=TODAY()," is due TODAY ("," is due next business day (")&amp;TEXT($Y819,"dd-mmm")&amp;").","Next: "&amp;$Z819&amp;" due "&amp;TEXT($Y819,"dd-mmm")&amp;" ("&amp;(NETWORKDAYS(TODAY(),$Y819,Holidays)-1)&amp;" business day(s) left).")))))</f>
        <v/>
      </c>
      <c r="V819" s="17">
        <f>IF($W819="","",CHOOSE($W819,"Collection Email","1st Follow-up","2nd Follow-up","Local Office","CBE","Roxanne")&amp;IF($W819=6," - Final"," - Day "&amp;MAX(0,NETWORKDAYS($X819,TODAY(),Holidays)-1)&amp;" of "&amp;CHOOSE($W819,3,3,2,2,3))&amp;" | Total Day "&amp;MAX(0,NETWORKDAYS($L819,TODAY(),Holidays)-1))</f>
        <v/>
      </c>
      <c r="W819" s="17">
        <f>IF($L819="","",COUNT($L819:$Q819))</f>
        <v/>
      </c>
      <c r="X819" s="18">
        <f>IF($W819="","",INT(INDEX($L819:$Q819,$W819)))</f>
        <v/>
      </c>
      <c r="Y819" s="18">
        <f>IF(OR($W819="",$W819=6),"",WORKDAY($X819,CHOOSE($W819,3,3,2,2,3),Holidays))</f>
        <v/>
      </c>
      <c r="Z819" s="17">
        <f>IF(OR($W819="",$W819=6),"",CHOOSE($W819,"1st Email Follow-up","2nd Email Follow-up","Escalate Local Office","Escalate to CBE","Escalate to Roxanne"))</f>
        <v/>
      </c>
    </row>
    <row r="820" spans="18:26">
      <c r="R820" s="15"/>
      <c r="S820" s="16"/>
      <c r="T820" s="17">
        <f>IF(AND(COUNTA($A820:$K820)=0,$L820=""),"",IF($S820="Paid","PAID",IF($S820="Closed","CLOSED",IF($W820="","",IF($W820=6,"ESCALATED TO ROXANNE",IF(TODAY()&gt;$Y820,"OVERDUE",IF($Y820&lt;=WORKDAY(TODAY(),1,Holidays),"DUE TOMORROW",IF($W820=4,"ESCALATED TO LOCAL OFFICE",IF($W820=5,"ESCALATED TO CBE",IF($X820=TODAY(),"EMAIL SENT","MONITORING"))))))))))</f>
        <v/>
      </c>
      <c r="U820" s="17">
        <f>IF($T820="",IF(AND(COUNTA($A820:$K820)&gt;0,$L820=""),"Awaiting Collection Email time stamp.",""),IF(OR($T820="PAID",$T820="CLOSED"),IF($T820="PAID","Account paid. Action completed.","Account closed. No further action required."),CHOOSE($W820,"Collection Email","1st Email Follow-up","2nd Email Follow-up","Escalation to Local Office","Escalation to CBE","Escalation to Roxanne")&amp;" sent "&amp;TEXT($X820,"dd-mmm")&amp;". "&amp;IF($W820=6,"Final escalation completed.",IF($T820="OVERDUE","Next: "&amp;$Z820&amp;" was due "&amp;TEXT($Y820,"dd-mmm")&amp;" - "&amp;(NETWORKDAYS($Y820,TODAY(),Holidays)-1)&amp;" business day(s) late. Send now.",IF($T820="DUE TOMORROW","Next: "&amp;$Z820&amp;IF($Y820&lt;=TODAY()," is due TODAY ("," is due next business day (")&amp;TEXT($Y820,"dd-mmm")&amp;").","Next: "&amp;$Z820&amp;" due "&amp;TEXT($Y820,"dd-mmm")&amp;" ("&amp;(NETWORKDAYS(TODAY(),$Y820,Holidays)-1)&amp;" business day(s) left).")))))</f>
        <v/>
      </c>
      <c r="V820" s="17">
        <f>IF($W820="","",CHOOSE($W820,"Collection Email","1st Follow-up","2nd Follow-up","Local Office","CBE","Roxanne")&amp;IF($W820=6," - Final"," - Day "&amp;MAX(0,NETWORKDAYS($X820,TODAY(),Holidays)-1)&amp;" of "&amp;CHOOSE($W820,3,3,2,2,3))&amp;" | Total Day "&amp;MAX(0,NETWORKDAYS($L820,TODAY(),Holidays)-1))</f>
        <v/>
      </c>
      <c r="W820" s="17">
        <f>IF($L820="","",COUNT($L820:$Q820))</f>
        <v/>
      </c>
      <c r="X820" s="18">
        <f>IF($W820="","",INT(INDEX($L820:$Q820,$W820)))</f>
        <v/>
      </c>
      <c r="Y820" s="18">
        <f>IF(OR($W820="",$W820=6),"",WORKDAY($X820,CHOOSE($W820,3,3,2,2,3),Holidays))</f>
        <v/>
      </c>
      <c r="Z820" s="17">
        <f>IF(OR($W820="",$W820=6),"",CHOOSE($W820,"1st Email Follow-up","2nd Email Follow-up","Escalate Local Office","Escalate to CBE","Escalate to Roxanne"))</f>
        <v/>
      </c>
    </row>
    <row r="821" spans="18:26">
      <c r="R821" s="15"/>
      <c r="S821" s="16"/>
      <c r="T821" s="17">
        <f>IF(AND(COUNTA($A821:$K821)=0,$L821=""),"",IF($S821="Paid","PAID",IF($S821="Closed","CLOSED",IF($W821="","",IF($W821=6,"ESCALATED TO ROXANNE",IF(TODAY()&gt;$Y821,"OVERDUE",IF($Y821&lt;=WORKDAY(TODAY(),1,Holidays),"DUE TOMORROW",IF($W821=4,"ESCALATED TO LOCAL OFFICE",IF($W821=5,"ESCALATED TO CBE",IF($X821=TODAY(),"EMAIL SENT","MONITORING"))))))))))</f>
        <v/>
      </c>
      <c r="U821" s="17">
        <f>IF($T821="",IF(AND(COUNTA($A821:$K821)&gt;0,$L821=""),"Awaiting Collection Email time stamp.",""),IF(OR($T821="PAID",$T821="CLOSED"),IF($T821="PAID","Account paid. Action completed.","Account closed. No further action required."),CHOOSE($W821,"Collection Email","1st Email Follow-up","2nd Email Follow-up","Escalation to Local Office","Escalation to CBE","Escalation to Roxanne")&amp;" sent "&amp;TEXT($X821,"dd-mmm")&amp;". "&amp;IF($W821=6,"Final escalation completed.",IF($T821="OVERDUE","Next: "&amp;$Z821&amp;" was due "&amp;TEXT($Y821,"dd-mmm")&amp;" - "&amp;(NETWORKDAYS($Y821,TODAY(),Holidays)-1)&amp;" business day(s) late. Send now.",IF($T821="DUE TOMORROW","Next: "&amp;$Z821&amp;IF($Y821&lt;=TODAY()," is due TODAY ("," is due next business day (")&amp;TEXT($Y821,"dd-mmm")&amp;").","Next: "&amp;$Z821&amp;" due "&amp;TEXT($Y821,"dd-mmm")&amp;" ("&amp;(NETWORKDAYS(TODAY(),$Y821,Holidays)-1)&amp;" business day(s) left).")))))</f>
        <v/>
      </c>
      <c r="V821" s="17">
        <f>IF($W821="","",CHOOSE($W821,"Collection Email","1st Follow-up","2nd Follow-up","Local Office","CBE","Roxanne")&amp;IF($W821=6," - Final"," - Day "&amp;MAX(0,NETWORKDAYS($X821,TODAY(),Holidays)-1)&amp;" of "&amp;CHOOSE($W821,3,3,2,2,3))&amp;" | Total Day "&amp;MAX(0,NETWORKDAYS($L821,TODAY(),Holidays)-1))</f>
        <v/>
      </c>
      <c r="W821" s="17">
        <f>IF($L821="","",COUNT($L821:$Q821))</f>
        <v/>
      </c>
      <c r="X821" s="18">
        <f>IF($W821="","",INT(INDEX($L821:$Q821,$W821)))</f>
        <v/>
      </c>
      <c r="Y821" s="18">
        <f>IF(OR($W821="",$W821=6),"",WORKDAY($X821,CHOOSE($W821,3,3,2,2,3),Holidays))</f>
        <v/>
      </c>
      <c r="Z821" s="17">
        <f>IF(OR($W821="",$W821=6),"",CHOOSE($W821,"1st Email Follow-up","2nd Email Follow-up","Escalate Local Office","Escalate to CBE","Escalate to Roxanne"))</f>
        <v/>
      </c>
    </row>
    <row r="822" spans="18:26">
      <c r="R822" s="15"/>
      <c r="S822" s="16"/>
      <c r="T822" s="17">
        <f>IF(AND(COUNTA($A822:$K822)=0,$L822=""),"",IF($S822="Paid","PAID",IF($S822="Closed","CLOSED",IF($W822="","",IF($W822=6,"ESCALATED TO ROXANNE",IF(TODAY()&gt;$Y822,"OVERDUE",IF($Y822&lt;=WORKDAY(TODAY(),1,Holidays),"DUE TOMORROW",IF($W822=4,"ESCALATED TO LOCAL OFFICE",IF($W822=5,"ESCALATED TO CBE",IF($X822=TODAY(),"EMAIL SENT","MONITORING"))))))))))</f>
        <v/>
      </c>
      <c r="U822" s="17">
        <f>IF($T822="",IF(AND(COUNTA($A822:$K822)&gt;0,$L822=""),"Awaiting Collection Email time stamp.",""),IF(OR($T822="PAID",$T822="CLOSED"),IF($T822="PAID","Account paid. Action completed.","Account closed. No further action required."),CHOOSE($W822,"Collection Email","1st Email Follow-up","2nd Email Follow-up","Escalation to Local Office","Escalation to CBE","Escalation to Roxanne")&amp;" sent "&amp;TEXT($X822,"dd-mmm")&amp;". "&amp;IF($W822=6,"Final escalation completed.",IF($T822="OVERDUE","Next: "&amp;$Z822&amp;" was due "&amp;TEXT($Y822,"dd-mmm")&amp;" - "&amp;(NETWORKDAYS($Y822,TODAY(),Holidays)-1)&amp;" business day(s) late. Send now.",IF($T822="DUE TOMORROW","Next: "&amp;$Z822&amp;IF($Y822&lt;=TODAY()," is due TODAY ("," is due next business day (")&amp;TEXT($Y822,"dd-mmm")&amp;").","Next: "&amp;$Z822&amp;" due "&amp;TEXT($Y822,"dd-mmm")&amp;" ("&amp;(NETWORKDAYS(TODAY(),$Y822,Holidays)-1)&amp;" business day(s) left).")))))</f>
        <v/>
      </c>
      <c r="V822" s="17">
        <f>IF($W822="","",CHOOSE($W822,"Collection Email","1st Follow-up","2nd Follow-up","Local Office","CBE","Roxanne")&amp;IF($W822=6," - Final"," - Day "&amp;MAX(0,NETWORKDAYS($X822,TODAY(),Holidays)-1)&amp;" of "&amp;CHOOSE($W822,3,3,2,2,3))&amp;" | Total Day "&amp;MAX(0,NETWORKDAYS($L822,TODAY(),Holidays)-1))</f>
        <v/>
      </c>
      <c r="W822" s="17">
        <f>IF($L822="","",COUNT($L822:$Q822))</f>
        <v/>
      </c>
      <c r="X822" s="18">
        <f>IF($W822="","",INT(INDEX($L822:$Q822,$W822)))</f>
        <v/>
      </c>
      <c r="Y822" s="18">
        <f>IF(OR($W822="",$W822=6),"",WORKDAY($X822,CHOOSE($W822,3,3,2,2,3),Holidays))</f>
        <v/>
      </c>
      <c r="Z822" s="17">
        <f>IF(OR($W822="",$W822=6),"",CHOOSE($W822,"1st Email Follow-up","2nd Email Follow-up","Escalate Local Office","Escalate to CBE","Escalate to Roxanne"))</f>
        <v/>
      </c>
    </row>
    <row r="823" spans="18:26">
      <c r="R823" s="15"/>
      <c r="S823" s="16"/>
      <c r="T823" s="17">
        <f>IF(AND(COUNTA($A823:$K823)=0,$L823=""),"",IF($S823="Paid","PAID",IF($S823="Closed","CLOSED",IF($W823="","",IF($W823=6,"ESCALATED TO ROXANNE",IF(TODAY()&gt;$Y823,"OVERDUE",IF($Y823&lt;=WORKDAY(TODAY(),1,Holidays),"DUE TOMORROW",IF($W823=4,"ESCALATED TO LOCAL OFFICE",IF($W823=5,"ESCALATED TO CBE",IF($X823=TODAY(),"EMAIL SENT","MONITORING"))))))))))</f>
        <v/>
      </c>
      <c r="U823" s="17">
        <f>IF($T823="",IF(AND(COUNTA($A823:$K823)&gt;0,$L823=""),"Awaiting Collection Email time stamp.",""),IF(OR($T823="PAID",$T823="CLOSED"),IF($T823="PAID","Account paid. Action completed.","Account closed. No further action required."),CHOOSE($W823,"Collection Email","1st Email Follow-up","2nd Email Follow-up","Escalation to Local Office","Escalation to CBE","Escalation to Roxanne")&amp;" sent "&amp;TEXT($X823,"dd-mmm")&amp;". "&amp;IF($W823=6,"Final escalation completed.",IF($T823="OVERDUE","Next: "&amp;$Z823&amp;" was due "&amp;TEXT($Y823,"dd-mmm")&amp;" - "&amp;(NETWORKDAYS($Y823,TODAY(),Holidays)-1)&amp;" business day(s) late. Send now.",IF($T823="DUE TOMORROW","Next: "&amp;$Z823&amp;IF($Y823&lt;=TODAY()," is due TODAY ("," is due next business day (")&amp;TEXT($Y823,"dd-mmm")&amp;").","Next: "&amp;$Z823&amp;" due "&amp;TEXT($Y823,"dd-mmm")&amp;" ("&amp;(NETWORKDAYS(TODAY(),$Y823,Holidays)-1)&amp;" business day(s) left).")))))</f>
        <v/>
      </c>
      <c r="V823" s="17">
        <f>IF($W823="","",CHOOSE($W823,"Collection Email","1st Follow-up","2nd Follow-up","Local Office","CBE","Roxanne")&amp;IF($W823=6," - Final"," - Day "&amp;MAX(0,NETWORKDAYS($X823,TODAY(),Holidays)-1)&amp;" of "&amp;CHOOSE($W823,3,3,2,2,3))&amp;" | Total Day "&amp;MAX(0,NETWORKDAYS($L823,TODAY(),Holidays)-1))</f>
        <v/>
      </c>
      <c r="W823" s="17">
        <f>IF($L823="","",COUNT($L823:$Q823))</f>
        <v/>
      </c>
      <c r="X823" s="18">
        <f>IF($W823="","",INT(INDEX($L823:$Q823,$W823)))</f>
        <v/>
      </c>
      <c r="Y823" s="18">
        <f>IF(OR($W823="",$W823=6),"",WORKDAY($X823,CHOOSE($W823,3,3,2,2,3),Holidays))</f>
        <v/>
      </c>
      <c r="Z823" s="17">
        <f>IF(OR($W823="",$W823=6),"",CHOOSE($W823,"1st Email Follow-up","2nd Email Follow-up","Escalate Local Office","Escalate to CBE","Escalate to Roxanne"))</f>
        <v/>
      </c>
    </row>
    <row r="824" spans="18:26">
      <c r="R824" s="15"/>
      <c r="S824" s="16"/>
      <c r="T824" s="17">
        <f>IF(AND(COUNTA($A824:$K824)=0,$L824=""),"",IF($S824="Paid","PAID",IF($S824="Closed","CLOSED",IF($W824="","",IF($W824=6,"ESCALATED TO ROXANNE",IF(TODAY()&gt;$Y824,"OVERDUE",IF($Y824&lt;=WORKDAY(TODAY(),1,Holidays),"DUE TOMORROW",IF($W824=4,"ESCALATED TO LOCAL OFFICE",IF($W824=5,"ESCALATED TO CBE",IF($X824=TODAY(),"EMAIL SENT","MONITORING"))))))))))</f>
        <v/>
      </c>
      <c r="U824" s="17">
        <f>IF($T824="",IF(AND(COUNTA($A824:$K824)&gt;0,$L824=""),"Awaiting Collection Email time stamp.",""),IF(OR($T824="PAID",$T824="CLOSED"),IF($T824="PAID","Account paid. Action completed.","Account closed. No further action required."),CHOOSE($W824,"Collection Email","1st Email Follow-up","2nd Email Follow-up","Escalation to Local Office","Escalation to CBE","Escalation to Roxanne")&amp;" sent "&amp;TEXT($X824,"dd-mmm")&amp;". "&amp;IF($W824=6,"Final escalation completed.",IF($T824="OVERDUE","Next: "&amp;$Z824&amp;" was due "&amp;TEXT($Y824,"dd-mmm")&amp;" - "&amp;(NETWORKDAYS($Y824,TODAY(),Holidays)-1)&amp;" business day(s) late. Send now.",IF($T824="DUE TOMORROW","Next: "&amp;$Z824&amp;IF($Y824&lt;=TODAY()," is due TODAY ("," is due next business day (")&amp;TEXT($Y824,"dd-mmm")&amp;").","Next: "&amp;$Z824&amp;" due "&amp;TEXT($Y824,"dd-mmm")&amp;" ("&amp;(NETWORKDAYS(TODAY(),$Y824,Holidays)-1)&amp;" business day(s) left).")))))</f>
        <v/>
      </c>
      <c r="V824" s="17">
        <f>IF($W824="","",CHOOSE($W824,"Collection Email","1st Follow-up","2nd Follow-up","Local Office","CBE","Roxanne")&amp;IF($W824=6," - Final"," - Day "&amp;MAX(0,NETWORKDAYS($X824,TODAY(),Holidays)-1)&amp;" of "&amp;CHOOSE($W824,3,3,2,2,3))&amp;" | Total Day "&amp;MAX(0,NETWORKDAYS($L824,TODAY(),Holidays)-1))</f>
        <v/>
      </c>
      <c r="W824" s="17">
        <f>IF($L824="","",COUNT($L824:$Q824))</f>
        <v/>
      </c>
      <c r="X824" s="18">
        <f>IF($W824="","",INT(INDEX($L824:$Q824,$W824)))</f>
        <v/>
      </c>
      <c r="Y824" s="18">
        <f>IF(OR($W824="",$W824=6),"",WORKDAY($X824,CHOOSE($W824,3,3,2,2,3),Holidays))</f>
        <v/>
      </c>
      <c r="Z824" s="17">
        <f>IF(OR($W824="",$W824=6),"",CHOOSE($W824,"1st Email Follow-up","2nd Email Follow-up","Escalate Local Office","Escalate to CBE","Escalate to Roxanne"))</f>
        <v/>
      </c>
    </row>
    <row r="825" spans="18:26">
      <c r="R825" s="15"/>
      <c r="S825" s="16"/>
      <c r="T825" s="17">
        <f>IF(AND(COUNTA($A825:$K825)=0,$L825=""),"",IF($S825="Paid","PAID",IF($S825="Closed","CLOSED",IF($W825="","",IF($W825=6,"ESCALATED TO ROXANNE",IF(TODAY()&gt;$Y825,"OVERDUE",IF($Y825&lt;=WORKDAY(TODAY(),1,Holidays),"DUE TOMORROW",IF($W825=4,"ESCALATED TO LOCAL OFFICE",IF($W825=5,"ESCALATED TO CBE",IF($X825=TODAY(),"EMAIL SENT","MONITORING"))))))))))</f>
        <v/>
      </c>
      <c r="U825" s="17">
        <f>IF($T825="",IF(AND(COUNTA($A825:$K825)&gt;0,$L825=""),"Awaiting Collection Email time stamp.",""),IF(OR($T825="PAID",$T825="CLOSED"),IF($T825="PAID","Account paid. Action completed.","Account closed. No further action required."),CHOOSE($W825,"Collection Email","1st Email Follow-up","2nd Email Follow-up","Escalation to Local Office","Escalation to CBE","Escalation to Roxanne")&amp;" sent "&amp;TEXT($X825,"dd-mmm")&amp;". "&amp;IF($W825=6,"Final escalation completed.",IF($T825="OVERDUE","Next: "&amp;$Z825&amp;" was due "&amp;TEXT($Y825,"dd-mmm")&amp;" - "&amp;(NETWORKDAYS($Y825,TODAY(),Holidays)-1)&amp;" business day(s) late. Send now.",IF($T825="DUE TOMORROW","Next: "&amp;$Z825&amp;IF($Y825&lt;=TODAY()," is due TODAY ("," is due next business day (")&amp;TEXT($Y825,"dd-mmm")&amp;").","Next: "&amp;$Z825&amp;" due "&amp;TEXT($Y825,"dd-mmm")&amp;" ("&amp;(NETWORKDAYS(TODAY(),$Y825,Holidays)-1)&amp;" business day(s) left).")))))</f>
        <v/>
      </c>
      <c r="V825" s="17">
        <f>IF($W825="","",CHOOSE($W825,"Collection Email","1st Follow-up","2nd Follow-up","Local Office","CBE","Roxanne")&amp;IF($W825=6," - Final"," - Day "&amp;MAX(0,NETWORKDAYS($X825,TODAY(),Holidays)-1)&amp;" of "&amp;CHOOSE($W825,3,3,2,2,3))&amp;" | Total Day "&amp;MAX(0,NETWORKDAYS($L825,TODAY(),Holidays)-1))</f>
        <v/>
      </c>
      <c r="W825" s="17">
        <f>IF($L825="","",COUNT($L825:$Q825))</f>
        <v/>
      </c>
      <c r="X825" s="18">
        <f>IF($W825="","",INT(INDEX($L825:$Q825,$W825)))</f>
        <v/>
      </c>
      <c r="Y825" s="18">
        <f>IF(OR($W825="",$W825=6),"",WORKDAY($X825,CHOOSE($W825,3,3,2,2,3),Holidays))</f>
        <v/>
      </c>
      <c r="Z825" s="17">
        <f>IF(OR($W825="",$W825=6),"",CHOOSE($W825,"1st Email Follow-up","2nd Email Follow-up","Escalate Local Office","Escalate to CBE","Escalate to Roxanne"))</f>
        <v/>
      </c>
    </row>
    <row r="826" spans="18:26">
      <c r="R826" s="15"/>
      <c r="S826" s="16"/>
      <c r="T826" s="17">
        <f>IF(AND(COUNTA($A826:$K826)=0,$L826=""),"",IF($S826="Paid","PAID",IF($S826="Closed","CLOSED",IF($W826="","",IF($W826=6,"ESCALATED TO ROXANNE",IF(TODAY()&gt;$Y826,"OVERDUE",IF($Y826&lt;=WORKDAY(TODAY(),1,Holidays),"DUE TOMORROW",IF($W826=4,"ESCALATED TO LOCAL OFFICE",IF($W826=5,"ESCALATED TO CBE",IF($X826=TODAY(),"EMAIL SENT","MONITORING"))))))))))</f>
        <v/>
      </c>
      <c r="U826" s="17">
        <f>IF($T826="",IF(AND(COUNTA($A826:$K826)&gt;0,$L826=""),"Awaiting Collection Email time stamp.",""),IF(OR($T826="PAID",$T826="CLOSED"),IF($T826="PAID","Account paid. Action completed.","Account closed. No further action required."),CHOOSE($W826,"Collection Email","1st Email Follow-up","2nd Email Follow-up","Escalation to Local Office","Escalation to CBE","Escalation to Roxanne")&amp;" sent "&amp;TEXT($X826,"dd-mmm")&amp;". "&amp;IF($W826=6,"Final escalation completed.",IF($T826="OVERDUE","Next: "&amp;$Z826&amp;" was due "&amp;TEXT($Y826,"dd-mmm")&amp;" - "&amp;(NETWORKDAYS($Y826,TODAY(),Holidays)-1)&amp;" business day(s) late. Send now.",IF($T826="DUE TOMORROW","Next: "&amp;$Z826&amp;IF($Y826&lt;=TODAY()," is due TODAY ("," is due next business day (")&amp;TEXT($Y826,"dd-mmm")&amp;").","Next: "&amp;$Z826&amp;" due "&amp;TEXT($Y826,"dd-mmm")&amp;" ("&amp;(NETWORKDAYS(TODAY(),$Y826,Holidays)-1)&amp;" business day(s) left).")))))</f>
        <v/>
      </c>
      <c r="V826" s="17">
        <f>IF($W826="","",CHOOSE($W826,"Collection Email","1st Follow-up","2nd Follow-up","Local Office","CBE","Roxanne")&amp;IF($W826=6," - Final"," - Day "&amp;MAX(0,NETWORKDAYS($X826,TODAY(),Holidays)-1)&amp;" of "&amp;CHOOSE($W826,3,3,2,2,3))&amp;" | Total Day "&amp;MAX(0,NETWORKDAYS($L826,TODAY(),Holidays)-1))</f>
        <v/>
      </c>
      <c r="W826" s="17">
        <f>IF($L826="","",COUNT($L826:$Q826))</f>
        <v/>
      </c>
      <c r="X826" s="18">
        <f>IF($W826="","",INT(INDEX($L826:$Q826,$W826)))</f>
        <v/>
      </c>
      <c r="Y826" s="18">
        <f>IF(OR($W826="",$W826=6),"",WORKDAY($X826,CHOOSE($W826,3,3,2,2,3),Holidays))</f>
        <v/>
      </c>
      <c r="Z826" s="17">
        <f>IF(OR($W826="",$W826=6),"",CHOOSE($W826,"1st Email Follow-up","2nd Email Follow-up","Escalate Local Office","Escalate to CBE","Escalate to Roxanne"))</f>
        <v/>
      </c>
    </row>
    <row r="827" spans="18:26">
      <c r="R827" s="15"/>
      <c r="S827" s="16"/>
      <c r="T827" s="17">
        <f>IF(AND(COUNTA($A827:$K827)=0,$L827=""),"",IF($S827="Paid","PAID",IF($S827="Closed","CLOSED",IF($W827="","",IF($W827=6,"ESCALATED TO ROXANNE",IF(TODAY()&gt;$Y827,"OVERDUE",IF($Y827&lt;=WORKDAY(TODAY(),1,Holidays),"DUE TOMORROW",IF($W827=4,"ESCALATED TO LOCAL OFFICE",IF($W827=5,"ESCALATED TO CBE",IF($X827=TODAY(),"EMAIL SENT","MONITORING"))))))))))</f>
        <v/>
      </c>
      <c r="U827" s="17">
        <f>IF($T827="",IF(AND(COUNTA($A827:$K827)&gt;0,$L827=""),"Awaiting Collection Email time stamp.",""),IF(OR($T827="PAID",$T827="CLOSED"),IF($T827="PAID","Account paid. Action completed.","Account closed. No further action required."),CHOOSE($W827,"Collection Email","1st Email Follow-up","2nd Email Follow-up","Escalation to Local Office","Escalation to CBE","Escalation to Roxanne")&amp;" sent "&amp;TEXT($X827,"dd-mmm")&amp;". "&amp;IF($W827=6,"Final escalation completed.",IF($T827="OVERDUE","Next: "&amp;$Z827&amp;" was due "&amp;TEXT($Y827,"dd-mmm")&amp;" - "&amp;(NETWORKDAYS($Y827,TODAY(),Holidays)-1)&amp;" business day(s) late. Send now.",IF($T827="DUE TOMORROW","Next: "&amp;$Z827&amp;IF($Y827&lt;=TODAY()," is due TODAY ("," is due next business day (")&amp;TEXT($Y827,"dd-mmm")&amp;").","Next: "&amp;$Z827&amp;" due "&amp;TEXT($Y827,"dd-mmm")&amp;" ("&amp;(NETWORKDAYS(TODAY(),$Y827,Holidays)-1)&amp;" business day(s) left).")))))</f>
        <v/>
      </c>
      <c r="V827" s="17">
        <f>IF($W827="","",CHOOSE($W827,"Collection Email","1st Follow-up","2nd Follow-up","Local Office","CBE","Roxanne")&amp;IF($W827=6," - Final"," - Day "&amp;MAX(0,NETWORKDAYS($X827,TODAY(),Holidays)-1)&amp;" of "&amp;CHOOSE($W827,3,3,2,2,3))&amp;" | Total Day "&amp;MAX(0,NETWORKDAYS($L827,TODAY(),Holidays)-1))</f>
        <v/>
      </c>
      <c r="W827" s="17">
        <f>IF($L827="","",COUNT($L827:$Q827))</f>
        <v/>
      </c>
      <c r="X827" s="18">
        <f>IF($W827="","",INT(INDEX($L827:$Q827,$W827)))</f>
        <v/>
      </c>
      <c r="Y827" s="18">
        <f>IF(OR($W827="",$W827=6),"",WORKDAY($X827,CHOOSE($W827,3,3,2,2,3),Holidays))</f>
        <v/>
      </c>
      <c r="Z827" s="17">
        <f>IF(OR($W827="",$W827=6),"",CHOOSE($W827,"1st Email Follow-up","2nd Email Follow-up","Escalate Local Office","Escalate to CBE","Escalate to Roxanne"))</f>
        <v/>
      </c>
    </row>
    <row r="828" spans="18:26">
      <c r="R828" s="15"/>
      <c r="S828" s="16"/>
      <c r="T828" s="17">
        <f>IF(AND(COUNTA($A828:$K828)=0,$L828=""),"",IF($S828="Paid","PAID",IF($S828="Closed","CLOSED",IF($W828="","",IF($W828=6,"ESCALATED TO ROXANNE",IF(TODAY()&gt;$Y828,"OVERDUE",IF($Y828&lt;=WORKDAY(TODAY(),1,Holidays),"DUE TOMORROW",IF($W828=4,"ESCALATED TO LOCAL OFFICE",IF($W828=5,"ESCALATED TO CBE",IF($X828=TODAY(),"EMAIL SENT","MONITORING"))))))))))</f>
        <v/>
      </c>
      <c r="U828" s="17">
        <f>IF($T828="",IF(AND(COUNTA($A828:$K828)&gt;0,$L828=""),"Awaiting Collection Email time stamp.",""),IF(OR($T828="PAID",$T828="CLOSED"),IF($T828="PAID","Account paid. Action completed.","Account closed. No further action required."),CHOOSE($W828,"Collection Email","1st Email Follow-up","2nd Email Follow-up","Escalation to Local Office","Escalation to CBE","Escalation to Roxanne")&amp;" sent "&amp;TEXT($X828,"dd-mmm")&amp;". "&amp;IF($W828=6,"Final escalation completed.",IF($T828="OVERDUE","Next: "&amp;$Z828&amp;" was due "&amp;TEXT($Y828,"dd-mmm")&amp;" - "&amp;(NETWORKDAYS($Y828,TODAY(),Holidays)-1)&amp;" business day(s) late. Send now.",IF($T828="DUE TOMORROW","Next: "&amp;$Z828&amp;IF($Y828&lt;=TODAY()," is due TODAY ("," is due next business day (")&amp;TEXT($Y828,"dd-mmm")&amp;").","Next: "&amp;$Z828&amp;" due "&amp;TEXT($Y828,"dd-mmm")&amp;" ("&amp;(NETWORKDAYS(TODAY(),$Y828,Holidays)-1)&amp;" business day(s) left).")))))</f>
        <v/>
      </c>
      <c r="V828" s="17">
        <f>IF($W828="","",CHOOSE($W828,"Collection Email","1st Follow-up","2nd Follow-up","Local Office","CBE","Roxanne")&amp;IF($W828=6," - Final"," - Day "&amp;MAX(0,NETWORKDAYS($X828,TODAY(),Holidays)-1)&amp;" of "&amp;CHOOSE($W828,3,3,2,2,3))&amp;" | Total Day "&amp;MAX(0,NETWORKDAYS($L828,TODAY(),Holidays)-1))</f>
        <v/>
      </c>
      <c r="W828" s="17">
        <f>IF($L828="","",COUNT($L828:$Q828))</f>
        <v/>
      </c>
      <c r="X828" s="18">
        <f>IF($W828="","",INT(INDEX($L828:$Q828,$W828)))</f>
        <v/>
      </c>
      <c r="Y828" s="18">
        <f>IF(OR($W828="",$W828=6),"",WORKDAY($X828,CHOOSE($W828,3,3,2,2,3),Holidays))</f>
        <v/>
      </c>
      <c r="Z828" s="17">
        <f>IF(OR($W828="",$W828=6),"",CHOOSE($W828,"1st Email Follow-up","2nd Email Follow-up","Escalate Local Office","Escalate to CBE","Escalate to Roxanne"))</f>
        <v/>
      </c>
    </row>
    <row r="829" spans="18:26">
      <c r="R829" s="15"/>
      <c r="S829" s="16"/>
      <c r="T829" s="17">
        <f>IF(AND(COUNTA($A829:$K829)=0,$L829=""),"",IF($S829="Paid","PAID",IF($S829="Closed","CLOSED",IF($W829="","",IF($W829=6,"ESCALATED TO ROXANNE",IF(TODAY()&gt;$Y829,"OVERDUE",IF($Y829&lt;=WORKDAY(TODAY(),1,Holidays),"DUE TOMORROW",IF($W829=4,"ESCALATED TO LOCAL OFFICE",IF($W829=5,"ESCALATED TO CBE",IF($X829=TODAY(),"EMAIL SENT","MONITORING"))))))))))</f>
        <v/>
      </c>
      <c r="U829" s="17">
        <f>IF($T829="",IF(AND(COUNTA($A829:$K829)&gt;0,$L829=""),"Awaiting Collection Email time stamp.",""),IF(OR($T829="PAID",$T829="CLOSED"),IF($T829="PAID","Account paid. Action completed.","Account closed. No further action required."),CHOOSE($W829,"Collection Email","1st Email Follow-up","2nd Email Follow-up","Escalation to Local Office","Escalation to CBE","Escalation to Roxanne")&amp;" sent "&amp;TEXT($X829,"dd-mmm")&amp;". "&amp;IF($W829=6,"Final escalation completed.",IF($T829="OVERDUE","Next: "&amp;$Z829&amp;" was due "&amp;TEXT($Y829,"dd-mmm")&amp;" - "&amp;(NETWORKDAYS($Y829,TODAY(),Holidays)-1)&amp;" business day(s) late. Send now.",IF($T829="DUE TOMORROW","Next: "&amp;$Z829&amp;IF($Y829&lt;=TODAY()," is due TODAY ("," is due next business day (")&amp;TEXT($Y829,"dd-mmm")&amp;").","Next: "&amp;$Z829&amp;" due "&amp;TEXT($Y829,"dd-mmm")&amp;" ("&amp;(NETWORKDAYS(TODAY(),$Y829,Holidays)-1)&amp;" business day(s) left).")))))</f>
        <v/>
      </c>
      <c r="V829" s="17">
        <f>IF($W829="","",CHOOSE($W829,"Collection Email","1st Follow-up","2nd Follow-up","Local Office","CBE","Roxanne")&amp;IF($W829=6," - Final"," - Day "&amp;MAX(0,NETWORKDAYS($X829,TODAY(),Holidays)-1)&amp;" of "&amp;CHOOSE($W829,3,3,2,2,3))&amp;" | Total Day "&amp;MAX(0,NETWORKDAYS($L829,TODAY(),Holidays)-1))</f>
        <v/>
      </c>
      <c r="W829" s="17">
        <f>IF($L829="","",COUNT($L829:$Q829))</f>
        <v/>
      </c>
      <c r="X829" s="18">
        <f>IF($W829="","",INT(INDEX($L829:$Q829,$W829)))</f>
        <v/>
      </c>
      <c r="Y829" s="18">
        <f>IF(OR($W829="",$W829=6),"",WORKDAY($X829,CHOOSE($W829,3,3,2,2,3),Holidays))</f>
        <v/>
      </c>
      <c r="Z829" s="17">
        <f>IF(OR($W829="",$W829=6),"",CHOOSE($W829,"1st Email Follow-up","2nd Email Follow-up","Escalate Local Office","Escalate to CBE","Escalate to Roxanne"))</f>
        <v/>
      </c>
    </row>
    <row r="830" spans="18:26">
      <c r="R830" s="15"/>
      <c r="S830" s="16"/>
      <c r="T830" s="17">
        <f>IF(AND(COUNTA($A830:$K830)=0,$L830=""),"",IF($S830="Paid","PAID",IF($S830="Closed","CLOSED",IF($W830="","",IF($W830=6,"ESCALATED TO ROXANNE",IF(TODAY()&gt;$Y830,"OVERDUE",IF($Y830&lt;=WORKDAY(TODAY(),1,Holidays),"DUE TOMORROW",IF($W830=4,"ESCALATED TO LOCAL OFFICE",IF($W830=5,"ESCALATED TO CBE",IF($X830=TODAY(),"EMAIL SENT","MONITORING"))))))))))</f>
        <v/>
      </c>
      <c r="U830" s="17">
        <f>IF($T830="",IF(AND(COUNTA($A830:$K830)&gt;0,$L830=""),"Awaiting Collection Email time stamp.",""),IF(OR($T830="PAID",$T830="CLOSED"),IF($T830="PAID","Account paid. Action completed.","Account closed. No further action required."),CHOOSE($W830,"Collection Email","1st Email Follow-up","2nd Email Follow-up","Escalation to Local Office","Escalation to CBE","Escalation to Roxanne")&amp;" sent "&amp;TEXT($X830,"dd-mmm")&amp;". "&amp;IF($W830=6,"Final escalation completed.",IF($T830="OVERDUE","Next: "&amp;$Z830&amp;" was due "&amp;TEXT($Y830,"dd-mmm")&amp;" - "&amp;(NETWORKDAYS($Y830,TODAY(),Holidays)-1)&amp;" business day(s) late. Send now.",IF($T830="DUE TOMORROW","Next: "&amp;$Z830&amp;IF($Y830&lt;=TODAY()," is due TODAY ("," is due next business day (")&amp;TEXT($Y830,"dd-mmm")&amp;").","Next: "&amp;$Z830&amp;" due "&amp;TEXT($Y830,"dd-mmm")&amp;" ("&amp;(NETWORKDAYS(TODAY(),$Y830,Holidays)-1)&amp;" business day(s) left).")))))</f>
        <v/>
      </c>
      <c r="V830" s="17">
        <f>IF($W830="","",CHOOSE($W830,"Collection Email","1st Follow-up","2nd Follow-up","Local Office","CBE","Roxanne")&amp;IF($W830=6," - Final"," - Day "&amp;MAX(0,NETWORKDAYS($X830,TODAY(),Holidays)-1)&amp;" of "&amp;CHOOSE($W830,3,3,2,2,3))&amp;" | Total Day "&amp;MAX(0,NETWORKDAYS($L830,TODAY(),Holidays)-1))</f>
        <v/>
      </c>
      <c r="W830" s="17">
        <f>IF($L830="","",COUNT($L830:$Q830))</f>
        <v/>
      </c>
      <c r="X830" s="18">
        <f>IF($W830="","",INT(INDEX($L830:$Q830,$W830)))</f>
        <v/>
      </c>
      <c r="Y830" s="18">
        <f>IF(OR($W830="",$W830=6),"",WORKDAY($X830,CHOOSE($W830,3,3,2,2,3),Holidays))</f>
        <v/>
      </c>
      <c r="Z830" s="17">
        <f>IF(OR($W830="",$W830=6),"",CHOOSE($W830,"1st Email Follow-up","2nd Email Follow-up","Escalate Local Office","Escalate to CBE","Escalate to Roxanne"))</f>
        <v/>
      </c>
    </row>
    <row r="831" spans="18:26">
      <c r="R831" s="15"/>
      <c r="S831" s="16"/>
      <c r="T831" s="17">
        <f>IF(AND(COUNTA($A831:$K831)=0,$L831=""),"",IF($S831="Paid","PAID",IF($S831="Closed","CLOSED",IF($W831="","",IF($W831=6,"ESCALATED TO ROXANNE",IF(TODAY()&gt;$Y831,"OVERDUE",IF($Y831&lt;=WORKDAY(TODAY(),1,Holidays),"DUE TOMORROW",IF($W831=4,"ESCALATED TO LOCAL OFFICE",IF($W831=5,"ESCALATED TO CBE",IF($X831=TODAY(),"EMAIL SENT","MONITORING"))))))))))</f>
        <v/>
      </c>
      <c r="U831" s="17">
        <f>IF($T831="",IF(AND(COUNTA($A831:$K831)&gt;0,$L831=""),"Awaiting Collection Email time stamp.",""),IF(OR($T831="PAID",$T831="CLOSED"),IF($T831="PAID","Account paid. Action completed.","Account closed. No further action required."),CHOOSE($W831,"Collection Email","1st Email Follow-up","2nd Email Follow-up","Escalation to Local Office","Escalation to CBE","Escalation to Roxanne")&amp;" sent "&amp;TEXT($X831,"dd-mmm")&amp;". "&amp;IF($W831=6,"Final escalation completed.",IF($T831="OVERDUE","Next: "&amp;$Z831&amp;" was due "&amp;TEXT($Y831,"dd-mmm")&amp;" - "&amp;(NETWORKDAYS($Y831,TODAY(),Holidays)-1)&amp;" business day(s) late. Send now.",IF($T831="DUE TOMORROW","Next: "&amp;$Z831&amp;IF($Y831&lt;=TODAY()," is due TODAY ("," is due next business day (")&amp;TEXT($Y831,"dd-mmm")&amp;").","Next: "&amp;$Z831&amp;" due "&amp;TEXT($Y831,"dd-mmm")&amp;" ("&amp;(NETWORKDAYS(TODAY(),$Y831,Holidays)-1)&amp;" business day(s) left).")))))</f>
        <v/>
      </c>
      <c r="V831" s="17">
        <f>IF($W831="","",CHOOSE($W831,"Collection Email","1st Follow-up","2nd Follow-up","Local Office","CBE","Roxanne")&amp;IF($W831=6," - Final"," - Day "&amp;MAX(0,NETWORKDAYS($X831,TODAY(),Holidays)-1)&amp;" of "&amp;CHOOSE($W831,3,3,2,2,3))&amp;" | Total Day "&amp;MAX(0,NETWORKDAYS($L831,TODAY(),Holidays)-1))</f>
        <v/>
      </c>
      <c r="W831" s="17">
        <f>IF($L831="","",COUNT($L831:$Q831))</f>
        <v/>
      </c>
      <c r="X831" s="18">
        <f>IF($W831="","",INT(INDEX($L831:$Q831,$W831)))</f>
        <v/>
      </c>
      <c r="Y831" s="18">
        <f>IF(OR($W831="",$W831=6),"",WORKDAY($X831,CHOOSE($W831,3,3,2,2,3),Holidays))</f>
        <v/>
      </c>
      <c r="Z831" s="17">
        <f>IF(OR($W831="",$W831=6),"",CHOOSE($W831,"1st Email Follow-up","2nd Email Follow-up","Escalate Local Office","Escalate to CBE","Escalate to Roxanne"))</f>
        <v/>
      </c>
    </row>
    <row r="832" spans="18:26">
      <c r="R832" s="15"/>
      <c r="S832" s="16"/>
      <c r="T832" s="17">
        <f>IF(AND(COUNTA($A832:$K832)=0,$L832=""),"",IF($S832="Paid","PAID",IF($S832="Closed","CLOSED",IF($W832="","",IF($W832=6,"ESCALATED TO ROXANNE",IF(TODAY()&gt;$Y832,"OVERDUE",IF($Y832&lt;=WORKDAY(TODAY(),1,Holidays),"DUE TOMORROW",IF($W832=4,"ESCALATED TO LOCAL OFFICE",IF($W832=5,"ESCALATED TO CBE",IF($X832=TODAY(),"EMAIL SENT","MONITORING"))))))))))</f>
        <v/>
      </c>
      <c r="U832" s="17">
        <f>IF($T832="",IF(AND(COUNTA($A832:$K832)&gt;0,$L832=""),"Awaiting Collection Email time stamp.",""),IF(OR($T832="PAID",$T832="CLOSED"),IF($T832="PAID","Account paid. Action completed.","Account closed. No further action required."),CHOOSE($W832,"Collection Email","1st Email Follow-up","2nd Email Follow-up","Escalation to Local Office","Escalation to CBE","Escalation to Roxanne")&amp;" sent "&amp;TEXT($X832,"dd-mmm")&amp;". "&amp;IF($W832=6,"Final escalation completed.",IF($T832="OVERDUE","Next: "&amp;$Z832&amp;" was due "&amp;TEXT($Y832,"dd-mmm")&amp;" - "&amp;(NETWORKDAYS($Y832,TODAY(),Holidays)-1)&amp;" business day(s) late. Send now.",IF($T832="DUE TOMORROW","Next: "&amp;$Z832&amp;IF($Y832&lt;=TODAY()," is due TODAY ("," is due next business day (")&amp;TEXT($Y832,"dd-mmm")&amp;").","Next: "&amp;$Z832&amp;" due "&amp;TEXT($Y832,"dd-mmm")&amp;" ("&amp;(NETWORKDAYS(TODAY(),$Y832,Holidays)-1)&amp;" business day(s) left).")))))</f>
        <v/>
      </c>
      <c r="V832" s="17">
        <f>IF($W832="","",CHOOSE($W832,"Collection Email","1st Follow-up","2nd Follow-up","Local Office","CBE","Roxanne")&amp;IF($W832=6," - Final"," - Day "&amp;MAX(0,NETWORKDAYS($X832,TODAY(),Holidays)-1)&amp;" of "&amp;CHOOSE($W832,3,3,2,2,3))&amp;" | Total Day "&amp;MAX(0,NETWORKDAYS($L832,TODAY(),Holidays)-1))</f>
        <v/>
      </c>
      <c r="W832" s="17">
        <f>IF($L832="","",COUNT($L832:$Q832))</f>
        <v/>
      </c>
      <c r="X832" s="18">
        <f>IF($W832="","",INT(INDEX($L832:$Q832,$W832)))</f>
        <v/>
      </c>
      <c r="Y832" s="18">
        <f>IF(OR($W832="",$W832=6),"",WORKDAY($X832,CHOOSE($W832,3,3,2,2,3),Holidays))</f>
        <v/>
      </c>
      <c r="Z832" s="17">
        <f>IF(OR($W832="",$W832=6),"",CHOOSE($W832,"1st Email Follow-up","2nd Email Follow-up","Escalate Local Office","Escalate to CBE","Escalate to Roxanne"))</f>
        <v/>
      </c>
    </row>
    <row r="833" spans="18:26">
      <c r="R833" s="15"/>
      <c r="S833" s="16"/>
      <c r="T833" s="17">
        <f>IF(AND(COUNTA($A833:$K833)=0,$L833=""),"",IF($S833="Paid","PAID",IF($S833="Closed","CLOSED",IF($W833="","",IF($W833=6,"ESCALATED TO ROXANNE",IF(TODAY()&gt;$Y833,"OVERDUE",IF($Y833&lt;=WORKDAY(TODAY(),1,Holidays),"DUE TOMORROW",IF($W833=4,"ESCALATED TO LOCAL OFFICE",IF($W833=5,"ESCALATED TO CBE",IF($X833=TODAY(),"EMAIL SENT","MONITORING"))))))))))</f>
        <v/>
      </c>
      <c r="U833" s="17">
        <f>IF($T833="",IF(AND(COUNTA($A833:$K833)&gt;0,$L833=""),"Awaiting Collection Email time stamp.",""),IF(OR($T833="PAID",$T833="CLOSED"),IF($T833="PAID","Account paid. Action completed.","Account closed. No further action required."),CHOOSE($W833,"Collection Email","1st Email Follow-up","2nd Email Follow-up","Escalation to Local Office","Escalation to CBE","Escalation to Roxanne")&amp;" sent "&amp;TEXT($X833,"dd-mmm")&amp;". "&amp;IF($W833=6,"Final escalation completed.",IF($T833="OVERDUE","Next: "&amp;$Z833&amp;" was due "&amp;TEXT($Y833,"dd-mmm")&amp;" - "&amp;(NETWORKDAYS($Y833,TODAY(),Holidays)-1)&amp;" business day(s) late. Send now.",IF($T833="DUE TOMORROW","Next: "&amp;$Z833&amp;IF($Y833&lt;=TODAY()," is due TODAY ("," is due next business day (")&amp;TEXT($Y833,"dd-mmm")&amp;").","Next: "&amp;$Z833&amp;" due "&amp;TEXT($Y833,"dd-mmm")&amp;" ("&amp;(NETWORKDAYS(TODAY(),$Y833,Holidays)-1)&amp;" business day(s) left).")))))</f>
        <v/>
      </c>
      <c r="V833" s="17">
        <f>IF($W833="","",CHOOSE($W833,"Collection Email","1st Follow-up","2nd Follow-up","Local Office","CBE","Roxanne")&amp;IF($W833=6," - Final"," - Day "&amp;MAX(0,NETWORKDAYS($X833,TODAY(),Holidays)-1)&amp;" of "&amp;CHOOSE($W833,3,3,2,2,3))&amp;" | Total Day "&amp;MAX(0,NETWORKDAYS($L833,TODAY(),Holidays)-1))</f>
        <v/>
      </c>
      <c r="W833" s="17">
        <f>IF($L833="","",COUNT($L833:$Q833))</f>
        <v/>
      </c>
      <c r="X833" s="18">
        <f>IF($W833="","",INT(INDEX($L833:$Q833,$W833)))</f>
        <v/>
      </c>
      <c r="Y833" s="18">
        <f>IF(OR($W833="",$W833=6),"",WORKDAY($X833,CHOOSE($W833,3,3,2,2,3),Holidays))</f>
        <v/>
      </c>
      <c r="Z833" s="17">
        <f>IF(OR($W833="",$W833=6),"",CHOOSE($W833,"1st Email Follow-up","2nd Email Follow-up","Escalate Local Office","Escalate to CBE","Escalate to Roxanne"))</f>
        <v/>
      </c>
    </row>
    <row r="834" spans="18:26">
      <c r="R834" s="15"/>
      <c r="S834" s="16"/>
      <c r="T834" s="17">
        <f>IF(AND(COUNTA($A834:$K834)=0,$L834=""),"",IF($S834="Paid","PAID",IF($S834="Closed","CLOSED",IF($W834="","",IF($W834=6,"ESCALATED TO ROXANNE",IF(TODAY()&gt;$Y834,"OVERDUE",IF($Y834&lt;=WORKDAY(TODAY(),1,Holidays),"DUE TOMORROW",IF($W834=4,"ESCALATED TO LOCAL OFFICE",IF($W834=5,"ESCALATED TO CBE",IF($X834=TODAY(),"EMAIL SENT","MONITORING"))))))))))</f>
        <v/>
      </c>
      <c r="U834" s="17">
        <f>IF($T834="",IF(AND(COUNTA($A834:$K834)&gt;0,$L834=""),"Awaiting Collection Email time stamp.",""),IF(OR($T834="PAID",$T834="CLOSED"),IF($T834="PAID","Account paid. Action completed.","Account closed. No further action required."),CHOOSE($W834,"Collection Email","1st Email Follow-up","2nd Email Follow-up","Escalation to Local Office","Escalation to CBE","Escalation to Roxanne")&amp;" sent "&amp;TEXT($X834,"dd-mmm")&amp;". "&amp;IF($W834=6,"Final escalation completed.",IF($T834="OVERDUE","Next: "&amp;$Z834&amp;" was due "&amp;TEXT($Y834,"dd-mmm")&amp;" - "&amp;(NETWORKDAYS($Y834,TODAY(),Holidays)-1)&amp;" business day(s) late. Send now.",IF($T834="DUE TOMORROW","Next: "&amp;$Z834&amp;IF($Y834&lt;=TODAY()," is due TODAY ("," is due next business day (")&amp;TEXT($Y834,"dd-mmm")&amp;").","Next: "&amp;$Z834&amp;" due "&amp;TEXT($Y834,"dd-mmm")&amp;" ("&amp;(NETWORKDAYS(TODAY(),$Y834,Holidays)-1)&amp;" business day(s) left).")))))</f>
        <v/>
      </c>
      <c r="V834" s="17">
        <f>IF($W834="","",CHOOSE($W834,"Collection Email","1st Follow-up","2nd Follow-up","Local Office","CBE","Roxanne")&amp;IF($W834=6," - Final"," - Day "&amp;MAX(0,NETWORKDAYS($X834,TODAY(),Holidays)-1)&amp;" of "&amp;CHOOSE($W834,3,3,2,2,3))&amp;" | Total Day "&amp;MAX(0,NETWORKDAYS($L834,TODAY(),Holidays)-1))</f>
        <v/>
      </c>
      <c r="W834" s="17">
        <f>IF($L834="","",COUNT($L834:$Q834))</f>
        <v/>
      </c>
      <c r="X834" s="18">
        <f>IF($W834="","",INT(INDEX($L834:$Q834,$W834)))</f>
        <v/>
      </c>
      <c r="Y834" s="18">
        <f>IF(OR($W834="",$W834=6),"",WORKDAY($X834,CHOOSE($W834,3,3,2,2,3),Holidays))</f>
        <v/>
      </c>
      <c r="Z834" s="17">
        <f>IF(OR($W834="",$W834=6),"",CHOOSE($W834,"1st Email Follow-up","2nd Email Follow-up","Escalate Local Office","Escalate to CBE","Escalate to Roxanne"))</f>
        <v/>
      </c>
    </row>
    <row r="835" spans="18:26">
      <c r="R835" s="15"/>
      <c r="S835" s="16"/>
      <c r="T835" s="17">
        <f>IF(AND(COUNTA($A835:$K835)=0,$L835=""),"",IF($S835="Paid","PAID",IF($S835="Closed","CLOSED",IF($W835="","",IF($W835=6,"ESCALATED TO ROXANNE",IF(TODAY()&gt;$Y835,"OVERDUE",IF($Y835&lt;=WORKDAY(TODAY(),1,Holidays),"DUE TOMORROW",IF($W835=4,"ESCALATED TO LOCAL OFFICE",IF($W835=5,"ESCALATED TO CBE",IF($X835=TODAY(),"EMAIL SENT","MONITORING"))))))))))</f>
        <v/>
      </c>
      <c r="U835" s="17">
        <f>IF($T835="",IF(AND(COUNTA($A835:$K835)&gt;0,$L835=""),"Awaiting Collection Email time stamp.",""),IF(OR($T835="PAID",$T835="CLOSED"),IF($T835="PAID","Account paid. Action completed.","Account closed. No further action required."),CHOOSE($W835,"Collection Email","1st Email Follow-up","2nd Email Follow-up","Escalation to Local Office","Escalation to CBE","Escalation to Roxanne")&amp;" sent "&amp;TEXT($X835,"dd-mmm")&amp;". "&amp;IF($W835=6,"Final escalation completed.",IF($T835="OVERDUE","Next: "&amp;$Z835&amp;" was due "&amp;TEXT($Y835,"dd-mmm")&amp;" - "&amp;(NETWORKDAYS($Y835,TODAY(),Holidays)-1)&amp;" business day(s) late. Send now.",IF($T835="DUE TOMORROW","Next: "&amp;$Z835&amp;IF($Y835&lt;=TODAY()," is due TODAY ("," is due next business day (")&amp;TEXT($Y835,"dd-mmm")&amp;").","Next: "&amp;$Z835&amp;" due "&amp;TEXT($Y835,"dd-mmm")&amp;" ("&amp;(NETWORKDAYS(TODAY(),$Y835,Holidays)-1)&amp;" business day(s) left).")))))</f>
        <v/>
      </c>
      <c r="V835" s="17">
        <f>IF($W835="","",CHOOSE($W835,"Collection Email","1st Follow-up","2nd Follow-up","Local Office","CBE","Roxanne")&amp;IF($W835=6," - Final"," - Day "&amp;MAX(0,NETWORKDAYS($X835,TODAY(),Holidays)-1)&amp;" of "&amp;CHOOSE($W835,3,3,2,2,3))&amp;" | Total Day "&amp;MAX(0,NETWORKDAYS($L835,TODAY(),Holidays)-1))</f>
        <v/>
      </c>
      <c r="W835" s="17">
        <f>IF($L835="","",COUNT($L835:$Q835))</f>
        <v/>
      </c>
      <c r="X835" s="18">
        <f>IF($W835="","",INT(INDEX($L835:$Q835,$W835)))</f>
        <v/>
      </c>
      <c r="Y835" s="18">
        <f>IF(OR($W835="",$W835=6),"",WORKDAY($X835,CHOOSE($W835,3,3,2,2,3),Holidays))</f>
        <v/>
      </c>
      <c r="Z835" s="17">
        <f>IF(OR($W835="",$W835=6),"",CHOOSE($W835,"1st Email Follow-up","2nd Email Follow-up","Escalate Local Office","Escalate to CBE","Escalate to Roxanne"))</f>
        <v/>
      </c>
    </row>
    <row r="836" spans="18:26">
      <c r="R836" s="15"/>
      <c r="S836" s="16"/>
      <c r="T836" s="17">
        <f>IF(AND(COUNTA($A836:$K836)=0,$L836=""),"",IF($S836="Paid","PAID",IF($S836="Closed","CLOSED",IF($W836="","",IF($W836=6,"ESCALATED TO ROXANNE",IF(TODAY()&gt;$Y836,"OVERDUE",IF($Y836&lt;=WORKDAY(TODAY(),1,Holidays),"DUE TOMORROW",IF($W836=4,"ESCALATED TO LOCAL OFFICE",IF($W836=5,"ESCALATED TO CBE",IF($X836=TODAY(),"EMAIL SENT","MONITORING"))))))))))</f>
        <v/>
      </c>
      <c r="U836" s="17">
        <f>IF($T836="",IF(AND(COUNTA($A836:$K836)&gt;0,$L836=""),"Awaiting Collection Email time stamp.",""),IF(OR($T836="PAID",$T836="CLOSED"),IF($T836="PAID","Account paid. Action completed.","Account closed. No further action required."),CHOOSE($W836,"Collection Email","1st Email Follow-up","2nd Email Follow-up","Escalation to Local Office","Escalation to CBE","Escalation to Roxanne")&amp;" sent "&amp;TEXT($X836,"dd-mmm")&amp;". "&amp;IF($W836=6,"Final escalation completed.",IF($T836="OVERDUE","Next: "&amp;$Z836&amp;" was due "&amp;TEXT($Y836,"dd-mmm")&amp;" - "&amp;(NETWORKDAYS($Y836,TODAY(),Holidays)-1)&amp;" business day(s) late. Send now.",IF($T836="DUE TOMORROW","Next: "&amp;$Z836&amp;IF($Y836&lt;=TODAY()," is due TODAY ("," is due next business day (")&amp;TEXT($Y836,"dd-mmm")&amp;").","Next: "&amp;$Z836&amp;" due "&amp;TEXT($Y836,"dd-mmm")&amp;" ("&amp;(NETWORKDAYS(TODAY(),$Y836,Holidays)-1)&amp;" business day(s) left).")))))</f>
        <v/>
      </c>
      <c r="V836" s="17">
        <f>IF($W836="","",CHOOSE($W836,"Collection Email","1st Follow-up","2nd Follow-up","Local Office","CBE","Roxanne")&amp;IF($W836=6," - Final"," - Day "&amp;MAX(0,NETWORKDAYS($X836,TODAY(),Holidays)-1)&amp;" of "&amp;CHOOSE($W836,3,3,2,2,3))&amp;" | Total Day "&amp;MAX(0,NETWORKDAYS($L836,TODAY(),Holidays)-1))</f>
        <v/>
      </c>
      <c r="W836" s="17">
        <f>IF($L836="","",COUNT($L836:$Q836))</f>
        <v/>
      </c>
      <c r="X836" s="18">
        <f>IF($W836="","",INT(INDEX($L836:$Q836,$W836)))</f>
        <v/>
      </c>
      <c r="Y836" s="18">
        <f>IF(OR($W836="",$W836=6),"",WORKDAY($X836,CHOOSE($W836,3,3,2,2,3),Holidays))</f>
        <v/>
      </c>
      <c r="Z836" s="17">
        <f>IF(OR($W836="",$W836=6),"",CHOOSE($W836,"1st Email Follow-up","2nd Email Follow-up","Escalate Local Office","Escalate to CBE","Escalate to Roxanne"))</f>
        <v/>
      </c>
    </row>
    <row r="837" spans="18:26">
      <c r="R837" s="15"/>
      <c r="S837" s="16"/>
      <c r="T837" s="17">
        <f>IF(AND(COUNTA($A837:$K837)=0,$L837=""),"",IF($S837="Paid","PAID",IF($S837="Closed","CLOSED",IF($W837="","",IF($W837=6,"ESCALATED TO ROXANNE",IF(TODAY()&gt;$Y837,"OVERDUE",IF($Y837&lt;=WORKDAY(TODAY(),1,Holidays),"DUE TOMORROW",IF($W837=4,"ESCALATED TO LOCAL OFFICE",IF($W837=5,"ESCALATED TO CBE",IF($X837=TODAY(),"EMAIL SENT","MONITORING"))))))))))</f>
        <v/>
      </c>
      <c r="U837" s="17">
        <f>IF($T837="",IF(AND(COUNTA($A837:$K837)&gt;0,$L837=""),"Awaiting Collection Email time stamp.",""),IF(OR($T837="PAID",$T837="CLOSED"),IF($T837="PAID","Account paid. Action completed.","Account closed. No further action required."),CHOOSE($W837,"Collection Email","1st Email Follow-up","2nd Email Follow-up","Escalation to Local Office","Escalation to CBE","Escalation to Roxanne")&amp;" sent "&amp;TEXT($X837,"dd-mmm")&amp;". "&amp;IF($W837=6,"Final escalation completed.",IF($T837="OVERDUE","Next: "&amp;$Z837&amp;" was due "&amp;TEXT($Y837,"dd-mmm")&amp;" - "&amp;(NETWORKDAYS($Y837,TODAY(),Holidays)-1)&amp;" business day(s) late. Send now.",IF($T837="DUE TOMORROW","Next: "&amp;$Z837&amp;IF($Y837&lt;=TODAY()," is due TODAY ("," is due next business day (")&amp;TEXT($Y837,"dd-mmm")&amp;").","Next: "&amp;$Z837&amp;" due "&amp;TEXT($Y837,"dd-mmm")&amp;" ("&amp;(NETWORKDAYS(TODAY(),$Y837,Holidays)-1)&amp;" business day(s) left).")))))</f>
        <v/>
      </c>
      <c r="V837" s="17">
        <f>IF($W837="","",CHOOSE($W837,"Collection Email","1st Follow-up","2nd Follow-up","Local Office","CBE","Roxanne")&amp;IF($W837=6," - Final"," - Day "&amp;MAX(0,NETWORKDAYS($X837,TODAY(),Holidays)-1)&amp;" of "&amp;CHOOSE($W837,3,3,2,2,3))&amp;" | Total Day "&amp;MAX(0,NETWORKDAYS($L837,TODAY(),Holidays)-1))</f>
        <v/>
      </c>
      <c r="W837" s="17">
        <f>IF($L837="","",COUNT($L837:$Q837))</f>
        <v/>
      </c>
      <c r="X837" s="18">
        <f>IF($W837="","",INT(INDEX($L837:$Q837,$W837)))</f>
        <v/>
      </c>
      <c r="Y837" s="18">
        <f>IF(OR($W837="",$W837=6),"",WORKDAY($X837,CHOOSE($W837,3,3,2,2,3),Holidays))</f>
        <v/>
      </c>
      <c r="Z837" s="17">
        <f>IF(OR($W837="",$W837=6),"",CHOOSE($W837,"1st Email Follow-up","2nd Email Follow-up","Escalate Local Office","Escalate to CBE","Escalate to Roxanne"))</f>
        <v/>
      </c>
    </row>
    <row r="838" spans="18:26">
      <c r="R838" s="15"/>
      <c r="S838" s="16"/>
      <c r="T838" s="17">
        <f>IF(AND(COUNTA($A838:$K838)=0,$L838=""),"",IF($S838="Paid","PAID",IF($S838="Closed","CLOSED",IF($W838="","",IF($W838=6,"ESCALATED TO ROXANNE",IF(TODAY()&gt;$Y838,"OVERDUE",IF($Y838&lt;=WORKDAY(TODAY(),1,Holidays),"DUE TOMORROW",IF($W838=4,"ESCALATED TO LOCAL OFFICE",IF($W838=5,"ESCALATED TO CBE",IF($X838=TODAY(),"EMAIL SENT","MONITORING"))))))))))</f>
        <v/>
      </c>
      <c r="U838" s="17">
        <f>IF($T838="",IF(AND(COUNTA($A838:$K838)&gt;0,$L838=""),"Awaiting Collection Email time stamp.",""),IF(OR($T838="PAID",$T838="CLOSED"),IF($T838="PAID","Account paid. Action completed.","Account closed. No further action required."),CHOOSE($W838,"Collection Email","1st Email Follow-up","2nd Email Follow-up","Escalation to Local Office","Escalation to CBE","Escalation to Roxanne")&amp;" sent "&amp;TEXT($X838,"dd-mmm")&amp;". "&amp;IF($W838=6,"Final escalation completed.",IF($T838="OVERDUE","Next: "&amp;$Z838&amp;" was due "&amp;TEXT($Y838,"dd-mmm")&amp;" - "&amp;(NETWORKDAYS($Y838,TODAY(),Holidays)-1)&amp;" business day(s) late. Send now.",IF($T838="DUE TOMORROW","Next: "&amp;$Z838&amp;IF($Y838&lt;=TODAY()," is due TODAY ("," is due next business day (")&amp;TEXT($Y838,"dd-mmm")&amp;").","Next: "&amp;$Z838&amp;" due "&amp;TEXT($Y838,"dd-mmm")&amp;" ("&amp;(NETWORKDAYS(TODAY(),$Y838,Holidays)-1)&amp;" business day(s) left).")))))</f>
        <v/>
      </c>
      <c r="V838" s="17">
        <f>IF($W838="","",CHOOSE($W838,"Collection Email","1st Follow-up","2nd Follow-up","Local Office","CBE","Roxanne")&amp;IF($W838=6," - Final"," - Day "&amp;MAX(0,NETWORKDAYS($X838,TODAY(),Holidays)-1)&amp;" of "&amp;CHOOSE($W838,3,3,2,2,3))&amp;" | Total Day "&amp;MAX(0,NETWORKDAYS($L838,TODAY(),Holidays)-1))</f>
        <v/>
      </c>
      <c r="W838" s="17">
        <f>IF($L838="","",COUNT($L838:$Q838))</f>
        <v/>
      </c>
      <c r="X838" s="18">
        <f>IF($W838="","",INT(INDEX($L838:$Q838,$W838)))</f>
        <v/>
      </c>
      <c r="Y838" s="18">
        <f>IF(OR($W838="",$W838=6),"",WORKDAY($X838,CHOOSE($W838,3,3,2,2,3),Holidays))</f>
        <v/>
      </c>
      <c r="Z838" s="17">
        <f>IF(OR($W838="",$W838=6),"",CHOOSE($W838,"1st Email Follow-up","2nd Email Follow-up","Escalate Local Office","Escalate to CBE","Escalate to Roxanne"))</f>
        <v/>
      </c>
    </row>
    <row r="839" spans="18:26">
      <c r="R839" s="15"/>
      <c r="S839" s="16"/>
      <c r="T839" s="17">
        <f>IF(AND(COUNTA($A839:$K839)=0,$L839=""),"",IF($S839="Paid","PAID",IF($S839="Closed","CLOSED",IF($W839="","",IF($W839=6,"ESCALATED TO ROXANNE",IF(TODAY()&gt;$Y839,"OVERDUE",IF($Y839&lt;=WORKDAY(TODAY(),1,Holidays),"DUE TOMORROW",IF($W839=4,"ESCALATED TO LOCAL OFFICE",IF($W839=5,"ESCALATED TO CBE",IF($X839=TODAY(),"EMAIL SENT","MONITORING"))))))))))</f>
        <v/>
      </c>
      <c r="U839" s="17">
        <f>IF($T839="",IF(AND(COUNTA($A839:$K839)&gt;0,$L839=""),"Awaiting Collection Email time stamp.",""),IF(OR($T839="PAID",$T839="CLOSED"),IF($T839="PAID","Account paid. Action completed.","Account closed. No further action required."),CHOOSE($W839,"Collection Email","1st Email Follow-up","2nd Email Follow-up","Escalation to Local Office","Escalation to CBE","Escalation to Roxanne")&amp;" sent "&amp;TEXT($X839,"dd-mmm")&amp;". "&amp;IF($W839=6,"Final escalation completed.",IF($T839="OVERDUE","Next: "&amp;$Z839&amp;" was due "&amp;TEXT($Y839,"dd-mmm")&amp;" - "&amp;(NETWORKDAYS($Y839,TODAY(),Holidays)-1)&amp;" business day(s) late. Send now.",IF($T839="DUE TOMORROW","Next: "&amp;$Z839&amp;IF($Y839&lt;=TODAY()," is due TODAY ("," is due next business day (")&amp;TEXT($Y839,"dd-mmm")&amp;").","Next: "&amp;$Z839&amp;" due "&amp;TEXT($Y839,"dd-mmm")&amp;" ("&amp;(NETWORKDAYS(TODAY(),$Y839,Holidays)-1)&amp;" business day(s) left).")))))</f>
        <v/>
      </c>
      <c r="V839" s="17">
        <f>IF($W839="","",CHOOSE($W839,"Collection Email","1st Follow-up","2nd Follow-up","Local Office","CBE","Roxanne")&amp;IF($W839=6," - Final"," - Day "&amp;MAX(0,NETWORKDAYS($X839,TODAY(),Holidays)-1)&amp;" of "&amp;CHOOSE($W839,3,3,2,2,3))&amp;" | Total Day "&amp;MAX(0,NETWORKDAYS($L839,TODAY(),Holidays)-1))</f>
        <v/>
      </c>
      <c r="W839" s="17">
        <f>IF($L839="","",COUNT($L839:$Q839))</f>
        <v/>
      </c>
      <c r="X839" s="18">
        <f>IF($W839="","",INT(INDEX($L839:$Q839,$W839)))</f>
        <v/>
      </c>
      <c r="Y839" s="18">
        <f>IF(OR($W839="",$W839=6),"",WORKDAY($X839,CHOOSE($W839,3,3,2,2,3),Holidays))</f>
        <v/>
      </c>
      <c r="Z839" s="17">
        <f>IF(OR($W839="",$W839=6),"",CHOOSE($W839,"1st Email Follow-up","2nd Email Follow-up","Escalate Local Office","Escalate to CBE","Escalate to Roxanne"))</f>
        <v/>
      </c>
    </row>
    <row r="840" spans="18:26">
      <c r="R840" s="15"/>
      <c r="S840" s="16"/>
      <c r="T840" s="17">
        <f>IF(AND(COUNTA($A840:$K840)=0,$L840=""),"",IF($S840="Paid","PAID",IF($S840="Closed","CLOSED",IF($W840="","",IF($W840=6,"ESCALATED TO ROXANNE",IF(TODAY()&gt;$Y840,"OVERDUE",IF($Y840&lt;=WORKDAY(TODAY(),1,Holidays),"DUE TOMORROW",IF($W840=4,"ESCALATED TO LOCAL OFFICE",IF($W840=5,"ESCALATED TO CBE",IF($X840=TODAY(),"EMAIL SENT","MONITORING"))))))))))</f>
        <v/>
      </c>
      <c r="U840" s="17">
        <f>IF($T840="",IF(AND(COUNTA($A840:$K840)&gt;0,$L840=""),"Awaiting Collection Email time stamp.",""),IF(OR($T840="PAID",$T840="CLOSED"),IF($T840="PAID","Account paid. Action completed.","Account closed. No further action required."),CHOOSE($W840,"Collection Email","1st Email Follow-up","2nd Email Follow-up","Escalation to Local Office","Escalation to CBE","Escalation to Roxanne")&amp;" sent "&amp;TEXT($X840,"dd-mmm")&amp;". "&amp;IF($W840=6,"Final escalation completed.",IF($T840="OVERDUE","Next: "&amp;$Z840&amp;" was due "&amp;TEXT($Y840,"dd-mmm")&amp;" - "&amp;(NETWORKDAYS($Y840,TODAY(),Holidays)-1)&amp;" business day(s) late. Send now.",IF($T840="DUE TOMORROW","Next: "&amp;$Z840&amp;IF($Y840&lt;=TODAY()," is due TODAY ("," is due next business day (")&amp;TEXT($Y840,"dd-mmm")&amp;").","Next: "&amp;$Z840&amp;" due "&amp;TEXT($Y840,"dd-mmm")&amp;" ("&amp;(NETWORKDAYS(TODAY(),$Y840,Holidays)-1)&amp;" business day(s) left).")))))</f>
        <v/>
      </c>
      <c r="V840" s="17">
        <f>IF($W840="","",CHOOSE($W840,"Collection Email","1st Follow-up","2nd Follow-up","Local Office","CBE","Roxanne")&amp;IF($W840=6," - Final"," - Day "&amp;MAX(0,NETWORKDAYS($X840,TODAY(),Holidays)-1)&amp;" of "&amp;CHOOSE($W840,3,3,2,2,3))&amp;" | Total Day "&amp;MAX(0,NETWORKDAYS($L840,TODAY(),Holidays)-1))</f>
        <v/>
      </c>
      <c r="W840" s="17">
        <f>IF($L840="","",COUNT($L840:$Q840))</f>
        <v/>
      </c>
      <c r="X840" s="18">
        <f>IF($W840="","",INT(INDEX($L840:$Q840,$W840)))</f>
        <v/>
      </c>
      <c r="Y840" s="18">
        <f>IF(OR($W840="",$W840=6),"",WORKDAY($X840,CHOOSE($W840,3,3,2,2,3),Holidays))</f>
        <v/>
      </c>
      <c r="Z840" s="17">
        <f>IF(OR($W840="",$W840=6),"",CHOOSE($W840,"1st Email Follow-up","2nd Email Follow-up","Escalate Local Office","Escalate to CBE","Escalate to Roxanne"))</f>
        <v/>
      </c>
    </row>
    <row r="841" spans="18:26">
      <c r="R841" s="15"/>
      <c r="S841" s="16"/>
      <c r="T841" s="17">
        <f>IF(AND(COUNTA($A841:$K841)=0,$L841=""),"",IF($S841="Paid","PAID",IF($S841="Closed","CLOSED",IF($W841="","",IF($W841=6,"ESCALATED TO ROXANNE",IF(TODAY()&gt;$Y841,"OVERDUE",IF($Y841&lt;=WORKDAY(TODAY(),1,Holidays),"DUE TOMORROW",IF($W841=4,"ESCALATED TO LOCAL OFFICE",IF($W841=5,"ESCALATED TO CBE",IF($X841=TODAY(),"EMAIL SENT","MONITORING"))))))))))</f>
        <v/>
      </c>
      <c r="U841" s="17">
        <f>IF($T841="",IF(AND(COUNTA($A841:$K841)&gt;0,$L841=""),"Awaiting Collection Email time stamp.",""),IF(OR($T841="PAID",$T841="CLOSED"),IF($T841="PAID","Account paid. Action completed.","Account closed. No further action required."),CHOOSE($W841,"Collection Email","1st Email Follow-up","2nd Email Follow-up","Escalation to Local Office","Escalation to CBE","Escalation to Roxanne")&amp;" sent "&amp;TEXT($X841,"dd-mmm")&amp;". "&amp;IF($W841=6,"Final escalation completed.",IF($T841="OVERDUE","Next: "&amp;$Z841&amp;" was due "&amp;TEXT($Y841,"dd-mmm")&amp;" - "&amp;(NETWORKDAYS($Y841,TODAY(),Holidays)-1)&amp;" business day(s) late. Send now.",IF($T841="DUE TOMORROW","Next: "&amp;$Z841&amp;IF($Y841&lt;=TODAY()," is due TODAY ("," is due next business day (")&amp;TEXT($Y841,"dd-mmm")&amp;").","Next: "&amp;$Z841&amp;" due "&amp;TEXT($Y841,"dd-mmm")&amp;" ("&amp;(NETWORKDAYS(TODAY(),$Y841,Holidays)-1)&amp;" business day(s) left).")))))</f>
        <v/>
      </c>
      <c r="V841" s="17">
        <f>IF($W841="","",CHOOSE($W841,"Collection Email","1st Follow-up","2nd Follow-up","Local Office","CBE","Roxanne")&amp;IF($W841=6," - Final"," - Day "&amp;MAX(0,NETWORKDAYS($X841,TODAY(),Holidays)-1)&amp;" of "&amp;CHOOSE($W841,3,3,2,2,3))&amp;" | Total Day "&amp;MAX(0,NETWORKDAYS($L841,TODAY(),Holidays)-1))</f>
        <v/>
      </c>
      <c r="W841" s="17">
        <f>IF($L841="","",COUNT($L841:$Q841))</f>
        <v/>
      </c>
      <c r="X841" s="18">
        <f>IF($W841="","",INT(INDEX($L841:$Q841,$W841)))</f>
        <v/>
      </c>
      <c r="Y841" s="18">
        <f>IF(OR($W841="",$W841=6),"",WORKDAY($X841,CHOOSE($W841,3,3,2,2,3),Holidays))</f>
        <v/>
      </c>
      <c r="Z841" s="17">
        <f>IF(OR($W841="",$W841=6),"",CHOOSE($W841,"1st Email Follow-up","2nd Email Follow-up","Escalate Local Office","Escalate to CBE","Escalate to Roxanne"))</f>
        <v/>
      </c>
    </row>
    <row r="842" spans="18:26">
      <c r="R842" s="15"/>
      <c r="S842" s="16"/>
      <c r="T842" s="17">
        <f>IF(AND(COUNTA($A842:$K842)=0,$L842=""),"",IF($S842="Paid","PAID",IF($S842="Closed","CLOSED",IF($W842="","",IF($W842=6,"ESCALATED TO ROXANNE",IF(TODAY()&gt;$Y842,"OVERDUE",IF($Y842&lt;=WORKDAY(TODAY(),1,Holidays),"DUE TOMORROW",IF($W842=4,"ESCALATED TO LOCAL OFFICE",IF($W842=5,"ESCALATED TO CBE",IF($X842=TODAY(),"EMAIL SENT","MONITORING"))))))))))</f>
        <v/>
      </c>
      <c r="U842" s="17">
        <f>IF($T842="",IF(AND(COUNTA($A842:$K842)&gt;0,$L842=""),"Awaiting Collection Email time stamp.",""),IF(OR($T842="PAID",$T842="CLOSED"),IF($T842="PAID","Account paid. Action completed.","Account closed. No further action required."),CHOOSE($W842,"Collection Email","1st Email Follow-up","2nd Email Follow-up","Escalation to Local Office","Escalation to CBE","Escalation to Roxanne")&amp;" sent "&amp;TEXT($X842,"dd-mmm")&amp;". "&amp;IF($W842=6,"Final escalation completed.",IF($T842="OVERDUE","Next: "&amp;$Z842&amp;" was due "&amp;TEXT($Y842,"dd-mmm")&amp;" - "&amp;(NETWORKDAYS($Y842,TODAY(),Holidays)-1)&amp;" business day(s) late. Send now.",IF($T842="DUE TOMORROW","Next: "&amp;$Z842&amp;IF($Y842&lt;=TODAY()," is due TODAY ("," is due next business day (")&amp;TEXT($Y842,"dd-mmm")&amp;").","Next: "&amp;$Z842&amp;" due "&amp;TEXT($Y842,"dd-mmm")&amp;" ("&amp;(NETWORKDAYS(TODAY(),$Y842,Holidays)-1)&amp;" business day(s) left).")))))</f>
        <v/>
      </c>
      <c r="V842" s="17">
        <f>IF($W842="","",CHOOSE($W842,"Collection Email","1st Follow-up","2nd Follow-up","Local Office","CBE","Roxanne")&amp;IF($W842=6," - Final"," - Day "&amp;MAX(0,NETWORKDAYS($X842,TODAY(),Holidays)-1)&amp;" of "&amp;CHOOSE($W842,3,3,2,2,3))&amp;" | Total Day "&amp;MAX(0,NETWORKDAYS($L842,TODAY(),Holidays)-1))</f>
        <v/>
      </c>
      <c r="W842" s="17">
        <f>IF($L842="","",COUNT($L842:$Q842))</f>
        <v/>
      </c>
      <c r="X842" s="18">
        <f>IF($W842="","",INT(INDEX($L842:$Q842,$W842)))</f>
        <v/>
      </c>
      <c r="Y842" s="18">
        <f>IF(OR($W842="",$W842=6),"",WORKDAY($X842,CHOOSE($W842,3,3,2,2,3),Holidays))</f>
        <v/>
      </c>
      <c r="Z842" s="17">
        <f>IF(OR($W842="",$W842=6),"",CHOOSE($W842,"1st Email Follow-up","2nd Email Follow-up","Escalate Local Office","Escalate to CBE","Escalate to Roxanne"))</f>
        <v/>
      </c>
    </row>
    <row r="843" spans="18:26">
      <c r="R843" s="15"/>
      <c r="S843" s="16"/>
      <c r="T843" s="17">
        <f>IF(AND(COUNTA($A843:$K843)=0,$L843=""),"",IF($S843="Paid","PAID",IF($S843="Closed","CLOSED",IF($W843="","",IF($W843=6,"ESCALATED TO ROXANNE",IF(TODAY()&gt;$Y843,"OVERDUE",IF($Y843&lt;=WORKDAY(TODAY(),1,Holidays),"DUE TOMORROW",IF($W843=4,"ESCALATED TO LOCAL OFFICE",IF($W843=5,"ESCALATED TO CBE",IF($X843=TODAY(),"EMAIL SENT","MONITORING"))))))))))</f>
        <v/>
      </c>
      <c r="U843" s="17">
        <f>IF($T843="",IF(AND(COUNTA($A843:$K843)&gt;0,$L843=""),"Awaiting Collection Email time stamp.",""),IF(OR($T843="PAID",$T843="CLOSED"),IF($T843="PAID","Account paid. Action completed.","Account closed. No further action required."),CHOOSE($W843,"Collection Email","1st Email Follow-up","2nd Email Follow-up","Escalation to Local Office","Escalation to CBE","Escalation to Roxanne")&amp;" sent "&amp;TEXT($X843,"dd-mmm")&amp;". "&amp;IF($W843=6,"Final escalation completed.",IF($T843="OVERDUE","Next: "&amp;$Z843&amp;" was due "&amp;TEXT($Y843,"dd-mmm")&amp;" - "&amp;(NETWORKDAYS($Y843,TODAY(),Holidays)-1)&amp;" business day(s) late. Send now.",IF($T843="DUE TOMORROW","Next: "&amp;$Z843&amp;IF($Y843&lt;=TODAY()," is due TODAY ("," is due next business day (")&amp;TEXT($Y843,"dd-mmm")&amp;").","Next: "&amp;$Z843&amp;" due "&amp;TEXT($Y843,"dd-mmm")&amp;" ("&amp;(NETWORKDAYS(TODAY(),$Y843,Holidays)-1)&amp;" business day(s) left).")))))</f>
        <v/>
      </c>
      <c r="V843" s="17">
        <f>IF($W843="","",CHOOSE($W843,"Collection Email","1st Follow-up","2nd Follow-up","Local Office","CBE","Roxanne")&amp;IF($W843=6," - Final"," - Day "&amp;MAX(0,NETWORKDAYS($X843,TODAY(),Holidays)-1)&amp;" of "&amp;CHOOSE($W843,3,3,2,2,3))&amp;" | Total Day "&amp;MAX(0,NETWORKDAYS($L843,TODAY(),Holidays)-1))</f>
        <v/>
      </c>
      <c r="W843" s="17">
        <f>IF($L843="","",COUNT($L843:$Q843))</f>
        <v/>
      </c>
      <c r="X843" s="18">
        <f>IF($W843="","",INT(INDEX($L843:$Q843,$W843)))</f>
        <v/>
      </c>
      <c r="Y843" s="18">
        <f>IF(OR($W843="",$W843=6),"",WORKDAY($X843,CHOOSE($W843,3,3,2,2,3),Holidays))</f>
        <v/>
      </c>
      <c r="Z843" s="17">
        <f>IF(OR($W843="",$W843=6),"",CHOOSE($W843,"1st Email Follow-up","2nd Email Follow-up","Escalate Local Office","Escalate to CBE","Escalate to Roxanne"))</f>
        <v/>
      </c>
    </row>
    <row r="844" spans="18:26">
      <c r="R844" s="15"/>
      <c r="S844" s="16"/>
      <c r="T844" s="17">
        <f>IF(AND(COUNTA($A844:$K844)=0,$L844=""),"",IF($S844="Paid","PAID",IF($S844="Closed","CLOSED",IF($W844="","",IF($W844=6,"ESCALATED TO ROXANNE",IF(TODAY()&gt;$Y844,"OVERDUE",IF($Y844&lt;=WORKDAY(TODAY(),1,Holidays),"DUE TOMORROW",IF($W844=4,"ESCALATED TO LOCAL OFFICE",IF($W844=5,"ESCALATED TO CBE",IF($X844=TODAY(),"EMAIL SENT","MONITORING"))))))))))</f>
        <v/>
      </c>
      <c r="U844" s="17">
        <f>IF($T844="",IF(AND(COUNTA($A844:$K844)&gt;0,$L844=""),"Awaiting Collection Email time stamp.",""),IF(OR($T844="PAID",$T844="CLOSED"),IF($T844="PAID","Account paid. Action completed.","Account closed. No further action required."),CHOOSE($W844,"Collection Email","1st Email Follow-up","2nd Email Follow-up","Escalation to Local Office","Escalation to CBE","Escalation to Roxanne")&amp;" sent "&amp;TEXT($X844,"dd-mmm")&amp;". "&amp;IF($W844=6,"Final escalation completed.",IF($T844="OVERDUE","Next: "&amp;$Z844&amp;" was due "&amp;TEXT($Y844,"dd-mmm")&amp;" - "&amp;(NETWORKDAYS($Y844,TODAY(),Holidays)-1)&amp;" business day(s) late. Send now.",IF($T844="DUE TOMORROW","Next: "&amp;$Z844&amp;IF($Y844&lt;=TODAY()," is due TODAY ("," is due next business day (")&amp;TEXT($Y844,"dd-mmm")&amp;").","Next: "&amp;$Z844&amp;" due "&amp;TEXT($Y844,"dd-mmm")&amp;" ("&amp;(NETWORKDAYS(TODAY(),$Y844,Holidays)-1)&amp;" business day(s) left).")))))</f>
        <v/>
      </c>
      <c r="V844" s="17">
        <f>IF($W844="","",CHOOSE($W844,"Collection Email","1st Follow-up","2nd Follow-up","Local Office","CBE","Roxanne")&amp;IF($W844=6," - Final"," - Day "&amp;MAX(0,NETWORKDAYS($X844,TODAY(),Holidays)-1)&amp;" of "&amp;CHOOSE($W844,3,3,2,2,3))&amp;" | Total Day "&amp;MAX(0,NETWORKDAYS($L844,TODAY(),Holidays)-1))</f>
        <v/>
      </c>
      <c r="W844" s="17">
        <f>IF($L844="","",COUNT($L844:$Q844))</f>
        <v/>
      </c>
      <c r="X844" s="18">
        <f>IF($W844="","",INT(INDEX($L844:$Q844,$W844)))</f>
        <v/>
      </c>
      <c r="Y844" s="18">
        <f>IF(OR($W844="",$W844=6),"",WORKDAY($X844,CHOOSE($W844,3,3,2,2,3),Holidays))</f>
        <v/>
      </c>
      <c r="Z844" s="17">
        <f>IF(OR($W844="",$W844=6),"",CHOOSE($W844,"1st Email Follow-up","2nd Email Follow-up","Escalate Local Office","Escalate to CBE","Escalate to Roxanne"))</f>
        <v/>
      </c>
    </row>
    <row r="845" spans="18:26">
      <c r="R845" s="15"/>
      <c r="S845" s="16"/>
      <c r="T845" s="17">
        <f>IF(AND(COUNTA($A845:$K845)=0,$L845=""),"",IF($S845="Paid","PAID",IF($S845="Closed","CLOSED",IF($W845="","",IF($W845=6,"ESCALATED TO ROXANNE",IF(TODAY()&gt;$Y845,"OVERDUE",IF($Y845&lt;=WORKDAY(TODAY(),1,Holidays),"DUE TOMORROW",IF($W845=4,"ESCALATED TO LOCAL OFFICE",IF($W845=5,"ESCALATED TO CBE",IF($X845=TODAY(),"EMAIL SENT","MONITORING"))))))))))</f>
        <v/>
      </c>
      <c r="U845" s="17">
        <f>IF($T845="",IF(AND(COUNTA($A845:$K845)&gt;0,$L845=""),"Awaiting Collection Email time stamp.",""),IF(OR($T845="PAID",$T845="CLOSED"),IF($T845="PAID","Account paid. Action completed.","Account closed. No further action required."),CHOOSE($W845,"Collection Email","1st Email Follow-up","2nd Email Follow-up","Escalation to Local Office","Escalation to CBE","Escalation to Roxanne")&amp;" sent "&amp;TEXT($X845,"dd-mmm")&amp;". "&amp;IF($W845=6,"Final escalation completed.",IF($T845="OVERDUE","Next: "&amp;$Z845&amp;" was due "&amp;TEXT($Y845,"dd-mmm")&amp;" - "&amp;(NETWORKDAYS($Y845,TODAY(),Holidays)-1)&amp;" business day(s) late. Send now.",IF($T845="DUE TOMORROW","Next: "&amp;$Z845&amp;IF($Y845&lt;=TODAY()," is due TODAY ("," is due next business day (")&amp;TEXT($Y845,"dd-mmm")&amp;").","Next: "&amp;$Z845&amp;" due "&amp;TEXT($Y845,"dd-mmm")&amp;" ("&amp;(NETWORKDAYS(TODAY(),$Y845,Holidays)-1)&amp;" business day(s) left).")))))</f>
        <v/>
      </c>
      <c r="V845" s="17">
        <f>IF($W845="","",CHOOSE($W845,"Collection Email","1st Follow-up","2nd Follow-up","Local Office","CBE","Roxanne")&amp;IF($W845=6," - Final"," - Day "&amp;MAX(0,NETWORKDAYS($X845,TODAY(),Holidays)-1)&amp;" of "&amp;CHOOSE($W845,3,3,2,2,3))&amp;" | Total Day "&amp;MAX(0,NETWORKDAYS($L845,TODAY(),Holidays)-1))</f>
        <v/>
      </c>
      <c r="W845" s="17">
        <f>IF($L845="","",COUNT($L845:$Q845))</f>
        <v/>
      </c>
      <c r="X845" s="18">
        <f>IF($W845="","",INT(INDEX($L845:$Q845,$W845)))</f>
        <v/>
      </c>
      <c r="Y845" s="18">
        <f>IF(OR($W845="",$W845=6),"",WORKDAY($X845,CHOOSE($W845,3,3,2,2,3),Holidays))</f>
        <v/>
      </c>
      <c r="Z845" s="17">
        <f>IF(OR($W845="",$W845=6),"",CHOOSE($W845,"1st Email Follow-up","2nd Email Follow-up","Escalate Local Office","Escalate to CBE","Escalate to Roxanne"))</f>
        <v/>
      </c>
    </row>
    <row r="846" spans="18:26">
      <c r="R846" s="15"/>
      <c r="S846" s="16"/>
      <c r="T846" s="17">
        <f>IF(AND(COUNTA($A846:$K846)=0,$L846=""),"",IF($S846="Paid","PAID",IF($S846="Closed","CLOSED",IF($W846="","",IF($W846=6,"ESCALATED TO ROXANNE",IF(TODAY()&gt;$Y846,"OVERDUE",IF($Y846&lt;=WORKDAY(TODAY(),1,Holidays),"DUE TOMORROW",IF($W846=4,"ESCALATED TO LOCAL OFFICE",IF($W846=5,"ESCALATED TO CBE",IF($X846=TODAY(),"EMAIL SENT","MONITORING"))))))))))</f>
        <v/>
      </c>
      <c r="U846" s="17">
        <f>IF($T846="",IF(AND(COUNTA($A846:$K846)&gt;0,$L846=""),"Awaiting Collection Email time stamp.",""),IF(OR($T846="PAID",$T846="CLOSED"),IF($T846="PAID","Account paid. Action completed.","Account closed. No further action required."),CHOOSE($W846,"Collection Email","1st Email Follow-up","2nd Email Follow-up","Escalation to Local Office","Escalation to CBE","Escalation to Roxanne")&amp;" sent "&amp;TEXT($X846,"dd-mmm")&amp;". "&amp;IF($W846=6,"Final escalation completed.",IF($T846="OVERDUE","Next: "&amp;$Z846&amp;" was due "&amp;TEXT($Y846,"dd-mmm")&amp;" - "&amp;(NETWORKDAYS($Y846,TODAY(),Holidays)-1)&amp;" business day(s) late. Send now.",IF($T846="DUE TOMORROW","Next: "&amp;$Z846&amp;IF($Y846&lt;=TODAY()," is due TODAY ("," is due next business day (")&amp;TEXT($Y846,"dd-mmm")&amp;").","Next: "&amp;$Z846&amp;" due "&amp;TEXT($Y846,"dd-mmm")&amp;" ("&amp;(NETWORKDAYS(TODAY(),$Y846,Holidays)-1)&amp;" business day(s) left).")))))</f>
        <v/>
      </c>
      <c r="V846" s="17">
        <f>IF($W846="","",CHOOSE($W846,"Collection Email","1st Follow-up","2nd Follow-up","Local Office","CBE","Roxanne")&amp;IF($W846=6," - Final"," - Day "&amp;MAX(0,NETWORKDAYS($X846,TODAY(),Holidays)-1)&amp;" of "&amp;CHOOSE($W846,3,3,2,2,3))&amp;" | Total Day "&amp;MAX(0,NETWORKDAYS($L846,TODAY(),Holidays)-1))</f>
        <v/>
      </c>
      <c r="W846" s="17">
        <f>IF($L846="","",COUNT($L846:$Q846))</f>
        <v/>
      </c>
      <c r="X846" s="18">
        <f>IF($W846="","",INT(INDEX($L846:$Q846,$W846)))</f>
        <v/>
      </c>
      <c r="Y846" s="18">
        <f>IF(OR($W846="",$W846=6),"",WORKDAY($X846,CHOOSE($W846,3,3,2,2,3),Holidays))</f>
        <v/>
      </c>
      <c r="Z846" s="17">
        <f>IF(OR($W846="",$W846=6),"",CHOOSE($W846,"1st Email Follow-up","2nd Email Follow-up","Escalate Local Office","Escalate to CBE","Escalate to Roxanne"))</f>
        <v/>
      </c>
    </row>
    <row r="847" spans="18:26">
      <c r="R847" s="15"/>
      <c r="S847" s="16"/>
      <c r="T847" s="17">
        <f>IF(AND(COUNTA($A847:$K847)=0,$L847=""),"",IF($S847="Paid","PAID",IF($S847="Closed","CLOSED",IF($W847="","",IF($W847=6,"ESCALATED TO ROXANNE",IF(TODAY()&gt;$Y847,"OVERDUE",IF($Y847&lt;=WORKDAY(TODAY(),1,Holidays),"DUE TOMORROW",IF($W847=4,"ESCALATED TO LOCAL OFFICE",IF($W847=5,"ESCALATED TO CBE",IF($X847=TODAY(),"EMAIL SENT","MONITORING"))))))))))</f>
        <v/>
      </c>
      <c r="U847" s="17">
        <f>IF($T847="",IF(AND(COUNTA($A847:$K847)&gt;0,$L847=""),"Awaiting Collection Email time stamp.",""),IF(OR($T847="PAID",$T847="CLOSED"),IF($T847="PAID","Account paid. Action completed.","Account closed. No further action required."),CHOOSE($W847,"Collection Email","1st Email Follow-up","2nd Email Follow-up","Escalation to Local Office","Escalation to CBE","Escalation to Roxanne")&amp;" sent "&amp;TEXT($X847,"dd-mmm")&amp;". "&amp;IF($W847=6,"Final escalation completed.",IF($T847="OVERDUE","Next: "&amp;$Z847&amp;" was due "&amp;TEXT($Y847,"dd-mmm")&amp;" - "&amp;(NETWORKDAYS($Y847,TODAY(),Holidays)-1)&amp;" business day(s) late. Send now.",IF($T847="DUE TOMORROW","Next: "&amp;$Z847&amp;IF($Y847&lt;=TODAY()," is due TODAY ("," is due next business day (")&amp;TEXT($Y847,"dd-mmm")&amp;").","Next: "&amp;$Z847&amp;" due "&amp;TEXT($Y847,"dd-mmm")&amp;" ("&amp;(NETWORKDAYS(TODAY(),$Y847,Holidays)-1)&amp;" business day(s) left).")))))</f>
        <v/>
      </c>
      <c r="V847" s="17">
        <f>IF($W847="","",CHOOSE($W847,"Collection Email","1st Follow-up","2nd Follow-up","Local Office","CBE","Roxanne")&amp;IF($W847=6," - Final"," - Day "&amp;MAX(0,NETWORKDAYS($X847,TODAY(),Holidays)-1)&amp;" of "&amp;CHOOSE($W847,3,3,2,2,3))&amp;" | Total Day "&amp;MAX(0,NETWORKDAYS($L847,TODAY(),Holidays)-1))</f>
        <v/>
      </c>
      <c r="W847" s="17">
        <f>IF($L847="","",COUNT($L847:$Q847))</f>
        <v/>
      </c>
      <c r="X847" s="18">
        <f>IF($W847="","",INT(INDEX($L847:$Q847,$W847)))</f>
        <v/>
      </c>
      <c r="Y847" s="18">
        <f>IF(OR($W847="",$W847=6),"",WORKDAY($X847,CHOOSE($W847,3,3,2,2,3),Holidays))</f>
        <v/>
      </c>
      <c r="Z847" s="17">
        <f>IF(OR($W847="",$W847=6),"",CHOOSE($W847,"1st Email Follow-up","2nd Email Follow-up","Escalate Local Office","Escalate to CBE","Escalate to Roxanne"))</f>
        <v/>
      </c>
    </row>
    <row r="848" spans="18:26">
      <c r="R848" s="15"/>
      <c r="S848" s="16"/>
      <c r="T848" s="17">
        <f>IF(AND(COUNTA($A848:$K848)=0,$L848=""),"",IF($S848="Paid","PAID",IF($S848="Closed","CLOSED",IF($W848="","",IF($W848=6,"ESCALATED TO ROXANNE",IF(TODAY()&gt;$Y848,"OVERDUE",IF($Y848&lt;=WORKDAY(TODAY(),1,Holidays),"DUE TOMORROW",IF($W848=4,"ESCALATED TO LOCAL OFFICE",IF($W848=5,"ESCALATED TO CBE",IF($X848=TODAY(),"EMAIL SENT","MONITORING"))))))))))</f>
        <v/>
      </c>
      <c r="U848" s="17">
        <f>IF($T848="",IF(AND(COUNTA($A848:$K848)&gt;0,$L848=""),"Awaiting Collection Email time stamp.",""),IF(OR($T848="PAID",$T848="CLOSED"),IF($T848="PAID","Account paid. Action completed.","Account closed. No further action required."),CHOOSE($W848,"Collection Email","1st Email Follow-up","2nd Email Follow-up","Escalation to Local Office","Escalation to CBE","Escalation to Roxanne")&amp;" sent "&amp;TEXT($X848,"dd-mmm")&amp;". "&amp;IF($W848=6,"Final escalation completed.",IF($T848="OVERDUE","Next: "&amp;$Z848&amp;" was due "&amp;TEXT($Y848,"dd-mmm")&amp;" - "&amp;(NETWORKDAYS($Y848,TODAY(),Holidays)-1)&amp;" business day(s) late. Send now.",IF($T848="DUE TOMORROW","Next: "&amp;$Z848&amp;IF($Y848&lt;=TODAY()," is due TODAY ("," is due next business day (")&amp;TEXT($Y848,"dd-mmm")&amp;").","Next: "&amp;$Z848&amp;" due "&amp;TEXT($Y848,"dd-mmm")&amp;" ("&amp;(NETWORKDAYS(TODAY(),$Y848,Holidays)-1)&amp;" business day(s) left).")))))</f>
        <v/>
      </c>
      <c r="V848" s="17">
        <f>IF($W848="","",CHOOSE($W848,"Collection Email","1st Follow-up","2nd Follow-up","Local Office","CBE","Roxanne")&amp;IF($W848=6," - Final"," - Day "&amp;MAX(0,NETWORKDAYS($X848,TODAY(),Holidays)-1)&amp;" of "&amp;CHOOSE($W848,3,3,2,2,3))&amp;" | Total Day "&amp;MAX(0,NETWORKDAYS($L848,TODAY(),Holidays)-1))</f>
        <v/>
      </c>
      <c r="W848" s="17">
        <f>IF($L848="","",COUNT($L848:$Q848))</f>
        <v/>
      </c>
      <c r="X848" s="18">
        <f>IF($W848="","",INT(INDEX($L848:$Q848,$W848)))</f>
        <v/>
      </c>
      <c r="Y848" s="18">
        <f>IF(OR($W848="",$W848=6),"",WORKDAY($X848,CHOOSE($W848,3,3,2,2,3),Holidays))</f>
        <v/>
      </c>
      <c r="Z848" s="17">
        <f>IF(OR($W848="",$W848=6),"",CHOOSE($W848,"1st Email Follow-up","2nd Email Follow-up","Escalate Local Office","Escalate to CBE","Escalate to Roxanne"))</f>
        <v/>
      </c>
    </row>
    <row r="849" spans="18:26">
      <c r="R849" s="15"/>
      <c r="S849" s="16"/>
      <c r="T849" s="17">
        <f>IF(AND(COUNTA($A849:$K849)=0,$L849=""),"",IF($S849="Paid","PAID",IF($S849="Closed","CLOSED",IF($W849="","",IF($W849=6,"ESCALATED TO ROXANNE",IF(TODAY()&gt;$Y849,"OVERDUE",IF($Y849&lt;=WORKDAY(TODAY(),1,Holidays),"DUE TOMORROW",IF($W849=4,"ESCALATED TO LOCAL OFFICE",IF($W849=5,"ESCALATED TO CBE",IF($X849=TODAY(),"EMAIL SENT","MONITORING"))))))))))</f>
        <v/>
      </c>
      <c r="U849" s="17">
        <f>IF($T849="",IF(AND(COUNTA($A849:$K849)&gt;0,$L849=""),"Awaiting Collection Email time stamp.",""),IF(OR($T849="PAID",$T849="CLOSED"),IF($T849="PAID","Account paid. Action completed.","Account closed. No further action required."),CHOOSE($W849,"Collection Email","1st Email Follow-up","2nd Email Follow-up","Escalation to Local Office","Escalation to CBE","Escalation to Roxanne")&amp;" sent "&amp;TEXT($X849,"dd-mmm")&amp;". "&amp;IF($W849=6,"Final escalation completed.",IF($T849="OVERDUE","Next: "&amp;$Z849&amp;" was due "&amp;TEXT($Y849,"dd-mmm")&amp;" - "&amp;(NETWORKDAYS($Y849,TODAY(),Holidays)-1)&amp;" business day(s) late. Send now.",IF($T849="DUE TOMORROW","Next: "&amp;$Z849&amp;IF($Y849&lt;=TODAY()," is due TODAY ("," is due next business day (")&amp;TEXT($Y849,"dd-mmm")&amp;").","Next: "&amp;$Z849&amp;" due "&amp;TEXT($Y849,"dd-mmm")&amp;" ("&amp;(NETWORKDAYS(TODAY(),$Y849,Holidays)-1)&amp;" business day(s) left).")))))</f>
        <v/>
      </c>
      <c r="V849" s="17">
        <f>IF($W849="","",CHOOSE($W849,"Collection Email","1st Follow-up","2nd Follow-up","Local Office","CBE","Roxanne")&amp;IF($W849=6," - Final"," - Day "&amp;MAX(0,NETWORKDAYS($X849,TODAY(),Holidays)-1)&amp;" of "&amp;CHOOSE($W849,3,3,2,2,3))&amp;" | Total Day "&amp;MAX(0,NETWORKDAYS($L849,TODAY(),Holidays)-1))</f>
        <v/>
      </c>
      <c r="W849" s="17">
        <f>IF($L849="","",COUNT($L849:$Q849))</f>
        <v/>
      </c>
      <c r="X849" s="18">
        <f>IF($W849="","",INT(INDEX($L849:$Q849,$W849)))</f>
        <v/>
      </c>
      <c r="Y849" s="18">
        <f>IF(OR($W849="",$W849=6),"",WORKDAY($X849,CHOOSE($W849,3,3,2,2,3),Holidays))</f>
        <v/>
      </c>
      <c r="Z849" s="17">
        <f>IF(OR($W849="",$W849=6),"",CHOOSE($W849,"1st Email Follow-up","2nd Email Follow-up","Escalate Local Office","Escalate to CBE","Escalate to Roxanne"))</f>
        <v/>
      </c>
    </row>
    <row r="850" spans="18:26">
      <c r="R850" s="15"/>
      <c r="S850" s="16"/>
      <c r="T850" s="17">
        <f>IF(AND(COUNTA($A850:$K850)=0,$L850=""),"",IF($S850="Paid","PAID",IF($S850="Closed","CLOSED",IF($W850="","",IF($W850=6,"ESCALATED TO ROXANNE",IF(TODAY()&gt;$Y850,"OVERDUE",IF($Y850&lt;=WORKDAY(TODAY(),1,Holidays),"DUE TOMORROW",IF($W850=4,"ESCALATED TO LOCAL OFFICE",IF($W850=5,"ESCALATED TO CBE",IF($X850=TODAY(),"EMAIL SENT","MONITORING"))))))))))</f>
        <v/>
      </c>
      <c r="U850" s="17">
        <f>IF($T850="",IF(AND(COUNTA($A850:$K850)&gt;0,$L850=""),"Awaiting Collection Email time stamp.",""),IF(OR($T850="PAID",$T850="CLOSED"),IF($T850="PAID","Account paid. Action completed.","Account closed. No further action required."),CHOOSE($W850,"Collection Email","1st Email Follow-up","2nd Email Follow-up","Escalation to Local Office","Escalation to CBE","Escalation to Roxanne")&amp;" sent "&amp;TEXT($X850,"dd-mmm")&amp;". "&amp;IF($W850=6,"Final escalation completed.",IF($T850="OVERDUE","Next: "&amp;$Z850&amp;" was due "&amp;TEXT($Y850,"dd-mmm")&amp;" - "&amp;(NETWORKDAYS($Y850,TODAY(),Holidays)-1)&amp;" business day(s) late. Send now.",IF($T850="DUE TOMORROW","Next: "&amp;$Z850&amp;IF($Y850&lt;=TODAY()," is due TODAY ("," is due next business day (")&amp;TEXT($Y850,"dd-mmm")&amp;").","Next: "&amp;$Z850&amp;" due "&amp;TEXT($Y850,"dd-mmm")&amp;" ("&amp;(NETWORKDAYS(TODAY(),$Y850,Holidays)-1)&amp;" business day(s) left).")))))</f>
        <v/>
      </c>
      <c r="V850" s="17">
        <f>IF($W850="","",CHOOSE($W850,"Collection Email","1st Follow-up","2nd Follow-up","Local Office","CBE","Roxanne")&amp;IF($W850=6," - Final"," - Day "&amp;MAX(0,NETWORKDAYS($X850,TODAY(),Holidays)-1)&amp;" of "&amp;CHOOSE($W850,3,3,2,2,3))&amp;" | Total Day "&amp;MAX(0,NETWORKDAYS($L850,TODAY(),Holidays)-1))</f>
        <v/>
      </c>
      <c r="W850" s="17">
        <f>IF($L850="","",COUNT($L850:$Q850))</f>
        <v/>
      </c>
      <c r="X850" s="18">
        <f>IF($W850="","",INT(INDEX($L850:$Q850,$W850)))</f>
        <v/>
      </c>
      <c r="Y850" s="18">
        <f>IF(OR($W850="",$W850=6),"",WORKDAY($X850,CHOOSE($W850,3,3,2,2,3),Holidays))</f>
        <v/>
      </c>
      <c r="Z850" s="17">
        <f>IF(OR($W850="",$W850=6),"",CHOOSE($W850,"1st Email Follow-up","2nd Email Follow-up","Escalate Local Office","Escalate to CBE","Escalate to Roxanne"))</f>
        <v/>
      </c>
    </row>
    <row r="851" spans="18:26">
      <c r="R851" s="15"/>
      <c r="S851" s="16"/>
      <c r="T851" s="17">
        <f>IF(AND(COUNTA($A851:$K851)=0,$L851=""),"",IF($S851="Paid","PAID",IF($S851="Closed","CLOSED",IF($W851="","",IF($W851=6,"ESCALATED TO ROXANNE",IF(TODAY()&gt;$Y851,"OVERDUE",IF($Y851&lt;=WORKDAY(TODAY(),1,Holidays),"DUE TOMORROW",IF($W851=4,"ESCALATED TO LOCAL OFFICE",IF($W851=5,"ESCALATED TO CBE",IF($X851=TODAY(),"EMAIL SENT","MONITORING"))))))))))</f>
        <v/>
      </c>
      <c r="U851" s="17">
        <f>IF($T851="",IF(AND(COUNTA($A851:$K851)&gt;0,$L851=""),"Awaiting Collection Email time stamp.",""),IF(OR($T851="PAID",$T851="CLOSED"),IF($T851="PAID","Account paid. Action completed.","Account closed. No further action required."),CHOOSE($W851,"Collection Email","1st Email Follow-up","2nd Email Follow-up","Escalation to Local Office","Escalation to CBE","Escalation to Roxanne")&amp;" sent "&amp;TEXT($X851,"dd-mmm")&amp;". "&amp;IF($W851=6,"Final escalation completed.",IF($T851="OVERDUE","Next: "&amp;$Z851&amp;" was due "&amp;TEXT($Y851,"dd-mmm")&amp;" - "&amp;(NETWORKDAYS($Y851,TODAY(),Holidays)-1)&amp;" business day(s) late. Send now.",IF($T851="DUE TOMORROW","Next: "&amp;$Z851&amp;IF($Y851&lt;=TODAY()," is due TODAY ("," is due next business day (")&amp;TEXT($Y851,"dd-mmm")&amp;").","Next: "&amp;$Z851&amp;" due "&amp;TEXT($Y851,"dd-mmm")&amp;" ("&amp;(NETWORKDAYS(TODAY(),$Y851,Holidays)-1)&amp;" business day(s) left).")))))</f>
        <v/>
      </c>
      <c r="V851" s="17">
        <f>IF($W851="","",CHOOSE($W851,"Collection Email","1st Follow-up","2nd Follow-up","Local Office","CBE","Roxanne")&amp;IF($W851=6," - Final"," - Day "&amp;MAX(0,NETWORKDAYS($X851,TODAY(),Holidays)-1)&amp;" of "&amp;CHOOSE($W851,3,3,2,2,3))&amp;" | Total Day "&amp;MAX(0,NETWORKDAYS($L851,TODAY(),Holidays)-1))</f>
        <v/>
      </c>
      <c r="W851" s="17">
        <f>IF($L851="","",COUNT($L851:$Q851))</f>
        <v/>
      </c>
      <c r="X851" s="18">
        <f>IF($W851="","",INT(INDEX($L851:$Q851,$W851)))</f>
        <v/>
      </c>
      <c r="Y851" s="18">
        <f>IF(OR($W851="",$W851=6),"",WORKDAY($X851,CHOOSE($W851,3,3,2,2,3),Holidays))</f>
        <v/>
      </c>
      <c r="Z851" s="17">
        <f>IF(OR($W851="",$W851=6),"",CHOOSE($W851,"1st Email Follow-up","2nd Email Follow-up","Escalate Local Office","Escalate to CBE","Escalate to Roxanne"))</f>
        <v/>
      </c>
    </row>
    <row r="852" spans="18:26">
      <c r="R852" s="15"/>
      <c r="S852" s="16"/>
      <c r="T852" s="17">
        <f>IF(AND(COUNTA($A852:$K852)=0,$L852=""),"",IF($S852="Paid","PAID",IF($S852="Closed","CLOSED",IF($W852="","",IF($W852=6,"ESCALATED TO ROXANNE",IF(TODAY()&gt;$Y852,"OVERDUE",IF($Y852&lt;=WORKDAY(TODAY(),1,Holidays),"DUE TOMORROW",IF($W852=4,"ESCALATED TO LOCAL OFFICE",IF($W852=5,"ESCALATED TO CBE",IF($X852=TODAY(),"EMAIL SENT","MONITORING"))))))))))</f>
        <v/>
      </c>
      <c r="U852" s="17">
        <f>IF($T852="",IF(AND(COUNTA($A852:$K852)&gt;0,$L852=""),"Awaiting Collection Email time stamp.",""),IF(OR($T852="PAID",$T852="CLOSED"),IF($T852="PAID","Account paid. Action completed.","Account closed. No further action required."),CHOOSE($W852,"Collection Email","1st Email Follow-up","2nd Email Follow-up","Escalation to Local Office","Escalation to CBE","Escalation to Roxanne")&amp;" sent "&amp;TEXT($X852,"dd-mmm")&amp;". "&amp;IF($W852=6,"Final escalation completed.",IF($T852="OVERDUE","Next: "&amp;$Z852&amp;" was due "&amp;TEXT($Y852,"dd-mmm")&amp;" - "&amp;(NETWORKDAYS($Y852,TODAY(),Holidays)-1)&amp;" business day(s) late. Send now.",IF($T852="DUE TOMORROW","Next: "&amp;$Z852&amp;IF($Y852&lt;=TODAY()," is due TODAY ("," is due next business day (")&amp;TEXT($Y852,"dd-mmm")&amp;").","Next: "&amp;$Z852&amp;" due "&amp;TEXT($Y852,"dd-mmm")&amp;" ("&amp;(NETWORKDAYS(TODAY(),$Y852,Holidays)-1)&amp;" business day(s) left).")))))</f>
        <v/>
      </c>
      <c r="V852" s="17">
        <f>IF($W852="","",CHOOSE($W852,"Collection Email","1st Follow-up","2nd Follow-up","Local Office","CBE","Roxanne")&amp;IF($W852=6," - Final"," - Day "&amp;MAX(0,NETWORKDAYS($X852,TODAY(),Holidays)-1)&amp;" of "&amp;CHOOSE($W852,3,3,2,2,3))&amp;" | Total Day "&amp;MAX(0,NETWORKDAYS($L852,TODAY(),Holidays)-1))</f>
        <v/>
      </c>
      <c r="W852" s="17">
        <f>IF($L852="","",COUNT($L852:$Q852))</f>
        <v/>
      </c>
      <c r="X852" s="18">
        <f>IF($W852="","",INT(INDEX($L852:$Q852,$W852)))</f>
        <v/>
      </c>
      <c r="Y852" s="18">
        <f>IF(OR($W852="",$W852=6),"",WORKDAY($X852,CHOOSE($W852,3,3,2,2,3),Holidays))</f>
        <v/>
      </c>
      <c r="Z852" s="17">
        <f>IF(OR($W852="",$W852=6),"",CHOOSE($W852,"1st Email Follow-up","2nd Email Follow-up","Escalate Local Office","Escalate to CBE","Escalate to Roxanne"))</f>
        <v/>
      </c>
    </row>
    <row r="853" spans="18:26">
      <c r="R853" s="15"/>
      <c r="S853" s="16"/>
      <c r="T853" s="17">
        <f>IF(AND(COUNTA($A853:$K853)=0,$L853=""),"",IF($S853="Paid","PAID",IF($S853="Closed","CLOSED",IF($W853="","",IF($W853=6,"ESCALATED TO ROXANNE",IF(TODAY()&gt;$Y853,"OVERDUE",IF($Y853&lt;=WORKDAY(TODAY(),1,Holidays),"DUE TOMORROW",IF($W853=4,"ESCALATED TO LOCAL OFFICE",IF($W853=5,"ESCALATED TO CBE",IF($X853=TODAY(),"EMAIL SENT","MONITORING"))))))))))</f>
        <v/>
      </c>
      <c r="U853" s="17">
        <f>IF($T853="",IF(AND(COUNTA($A853:$K853)&gt;0,$L853=""),"Awaiting Collection Email time stamp.",""),IF(OR($T853="PAID",$T853="CLOSED"),IF($T853="PAID","Account paid. Action completed.","Account closed. No further action required."),CHOOSE($W853,"Collection Email","1st Email Follow-up","2nd Email Follow-up","Escalation to Local Office","Escalation to CBE","Escalation to Roxanne")&amp;" sent "&amp;TEXT($X853,"dd-mmm")&amp;". "&amp;IF($W853=6,"Final escalation completed.",IF($T853="OVERDUE","Next: "&amp;$Z853&amp;" was due "&amp;TEXT($Y853,"dd-mmm")&amp;" - "&amp;(NETWORKDAYS($Y853,TODAY(),Holidays)-1)&amp;" business day(s) late. Send now.",IF($T853="DUE TOMORROW","Next: "&amp;$Z853&amp;IF($Y853&lt;=TODAY()," is due TODAY ("," is due next business day (")&amp;TEXT($Y853,"dd-mmm")&amp;").","Next: "&amp;$Z853&amp;" due "&amp;TEXT($Y853,"dd-mmm")&amp;" ("&amp;(NETWORKDAYS(TODAY(),$Y853,Holidays)-1)&amp;" business day(s) left).")))))</f>
        <v/>
      </c>
      <c r="V853" s="17">
        <f>IF($W853="","",CHOOSE($W853,"Collection Email","1st Follow-up","2nd Follow-up","Local Office","CBE","Roxanne")&amp;IF($W853=6," - Final"," - Day "&amp;MAX(0,NETWORKDAYS($X853,TODAY(),Holidays)-1)&amp;" of "&amp;CHOOSE($W853,3,3,2,2,3))&amp;" | Total Day "&amp;MAX(0,NETWORKDAYS($L853,TODAY(),Holidays)-1))</f>
        <v/>
      </c>
      <c r="W853" s="17">
        <f>IF($L853="","",COUNT($L853:$Q853))</f>
        <v/>
      </c>
      <c r="X853" s="18">
        <f>IF($W853="","",INT(INDEX($L853:$Q853,$W853)))</f>
        <v/>
      </c>
      <c r="Y853" s="18">
        <f>IF(OR($W853="",$W853=6),"",WORKDAY($X853,CHOOSE($W853,3,3,2,2,3),Holidays))</f>
        <v/>
      </c>
      <c r="Z853" s="17">
        <f>IF(OR($W853="",$W853=6),"",CHOOSE($W853,"1st Email Follow-up","2nd Email Follow-up","Escalate Local Office","Escalate to CBE","Escalate to Roxanne"))</f>
        <v/>
      </c>
    </row>
    <row r="854" spans="18:26">
      <c r="R854" s="15"/>
      <c r="S854" s="16"/>
      <c r="T854" s="17">
        <f>IF(AND(COUNTA($A854:$K854)=0,$L854=""),"",IF($S854="Paid","PAID",IF($S854="Closed","CLOSED",IF($W854="","",IF($W854=6,"ESCALATED TO ROXANNE",IF(TODAY()&gt;$Y854,"OVERDUE",IF($Y854&lt;=WORKDAY(TODAY(),1,Holidays),"DUE TOMORROW",IF($W854=4,"ESCALATED TO LOCAL OFFICE",IF($W854=5,"ESCALATED TO CBE",IF($X854=TODAY(),"EMAIL SENT","MONITORING"))))))))))</f>
        <v/>
      </c>
      <c r="U854" s="17">
        <f>IF($T854="",IF(AND(COUNTA($A854:$K854)&gt;0,$L854=""),"Awaiting Collection Email time stamp.",""),IF(OR($T854="PAID",$T854="CLOSED"),IF($T854="PAID","Account paid. Action completed.","Account closed. No further action required."),CHOOSE($W854,"Collection Email","1st Email Follow-up","2nd Email Follow-up","Escalation to Local Office","Escalation to CBE","Escalation to Roxanne")&amp;" sent "&amp;TEXT($X854,"dd-mmm")&amp;". "&amp;IF($W854=6,"Final escalation completed.",IF($T854="OVERDUE","Next: "&amp;$Z854&amp;" was due "&amp;TEXT($Y854,"dd-mmm")&amp;" - "&amp;(NETWORKDAYS($Y854,TODAY(),Holidays)-1)&amp;" business day(s) late. Send now.",IF($T854="DUE TOMORROW","Next: "&amp;$Z854&amp;IF($Y854&lt;=TODAY()," is due TODAY ("," is due next business day (")&amp;TEXT($Y854,"dd-mmm")&amp;").","Next: "&amp;$Z854&amp;" due "&amp;TEXT($Y854,"dd-mmm")&amp;" ("&amp;(NETWORKDAYS(TODAY(),$Y854,Holidays)-1)&amp;" business day(s) left).")))))</f>
        <v/>
      </c>
      <c r="V854" s="17">
        <f>IF($W854="","",CHOOSE($W854,"Collection Email","1st Follow-up","2nd Follow-up","Local Office","CBE","Roxanne")&amp;IF($W854=6," - Final"," - Day "&amp;MAX(0,NETWORKDAYS($X854,TODAY(),Holidays)-1)&amp;" of "&amp;CHOOSE($W854,3,3,2,2,3))&amp;" | Total Day "&amp;MAX(0,NETWORKDAYS($L854,TODAY(),Holidays)-1))</f>
        <v/>
      </c>
      <c r="W854" s="17">
        <f>IF($L854="","",COUNT($L854:$Q854))</f>
        <v/>
      </c>
      <c r="X854" s="18">
        <f>IF($W854="","",INT(INDEX($L854:$Q854,$W854)))</f>
        <v/>
      </c>
      <c r="Y854" s="18">
        <f>IF(OR($W854="",$W854=6),"",WORKDAY($X854,CHOOSE($W854,3,3,2,2,3),Holidays))</f>
        <v/>
      </c>
      <c r="Z854" s="17">
        <f>IF(OR($W854="",$W854=6),"",CHOOSE($W854,"1st Email Follow-up","2nd Email Follow-up","Escalate Local Office","Escalate to CBE","Escalate to Roxanne"))</f>
        <v/>
      </c>
    </row>
    <row r="855" spans="18:26">
      <c r="R855" s="15"/>
      <c r="S855" s="16"/>
      <c r="T855" s="17">
        <f>IF(AND(COUNTA($A855:$K855)=0,$L855=""),"",IF($S855="Paid","PAID",IF($S855="Closed","CLOSED",IF($W855="","",IF($W855=6,"ESCALATED TO ROXANNE",IF(TODAY()&gt;$Y855,"OVERDUE",IF($Y855&lt;=WORKDAY(TODAY(),1,Holidays),"DUE TOMORROW",IF($W855=4,"ESCALATED TO LOCAL OFFICE",IF($W855=5,"ESCALATED TO CBE",IF($X855=TODAY(),"EMAIL SENT","MONITORING"))))))))))</f>
        <v/>
      </c>
      <c r="U855" s="17">
        <f>IF($T855="",IF(AND(COUNTA($A855:$K855)&gt;0,$L855=""),"Awaiting Collection Email time stamp.",""),IF(OR($T855="PAID",$T855="CLOSED"),IF($T855="PAID","Account paid. Action completed.","Account closed. No further action required."),CHOOSE($W855,"Collection Email","1st Email Follow-up","2nd Email Follow-up","Escalation to Local Office","Escalation to CBE","Escalation to Roxanne")&amp;" sent "&amp;TEXT($X855,"dd-mmm")&amp;". "&amp;IF($W855=6,"Final escalation completed.",IF($T855="OVERDUE","Next: "&amp;$Z855&amp;" was due "&amp;TEXT($Y855,"dd-mmm")&amp;" - "&amp;(NETWORKDAYS($Y855,TODAY(),Holidays)-1)&amp;" business day(s) late. Send now.",IF($T855="DUE TOMORROW","Next: "&amp;$Z855&amp;IF($Y855&lt;=TODAY()," is due TODAY ("," is due next business day (")&amp;TEXT($Y855,"dd-mmm")&amp;").","Next: "&amp;$Z855&amp;" due "&amp;TEXT($Y855,"dd-mmm")&amp;" ("&amp;(NETWORKDAYS(TODAY(),$Y855,Holidays)-1)&amp;" business day(s) left).")))))</f>
        <v/>
      </c>
      <c r="V855" s="17">
        <f>IF($W855="","",CHOOSE($W855,"Collection Email","1st Follow-up","2nd Follow-up","Local Office","CBE","Roxanne")&amp;IF($W855=6," - Final"," - Day "&amp;MAX(0,NETWORKDAYS($X855,TODAY(),Holidays)-1)&amp;" of "&amp;CHOOSE($W855,3,3,2,2,3))&amp;" | Total Day "&amp;MAX(0,NETWORKDAYS($L855,TODAY(),Holidays)-1))</f>
        <v/>
      </c>
      <c r="W855" s="17">
        <f>IF($L855="","",COUNT($L855:$Q855))</f>
        <v/>
      </c>
      <c r="X855" s="18">
        <f>IF($W855="","",INT(INDEX($L855:$Q855,$W855)))</f>
        <v/>
      </c>
      <c r="Y855" s="18">
        <f>IF(OR($W855="",$W855=6),"",WORKDAY($X855,CHOOSE($W855,3,3,2,2,3),Holidays))</f>
        <v/>
      </c>
      <c r="Z855" s="17">
        <f>IF(OR($W855="",$W855=6),"",CHOOSE($W855,"1st Email Follow-up","2nd Email Follow-up","Escalate Local Office","Escalate to CBE","Escalate to Roxanne"))</f>
        <v/>
      </c>
    </row>
    <row r="856" spans="18:26">
      <c r="R856" s="15"/>
      <c r="S856" s="16"/>
      <c r="T856" s="17">
        <f>IF(AND(COUNTA($A856:$K856)=0,$L856=""),"",IF($S856="Paid","PAID",IF($S856="Closed","CLOSED",IF($W856="","",IF($W856=6,"ESCALATED TO ROXANNE",IF(TODAY()&gt;$Y856,"OVERDUE",IF($Y856&lt;=WORKDAY(TODAY(),1,Holidays),"DUE TOMORROW",IF($W856=4,"ESCALATED TO LOCAL OFFICE",IF($W856=5,"ESCALATED TO CBE",IF($X856=TODAY(),"EMAIL SENT","MONITORING"))))))))))</f>
        <v/>
      </c>
      <c r="U856" s="17">
        <f>IF($T856="",IF(AND(COUNTA($A856:$K856)&gt;0,$L856=""),"Awaiting Collection Email time stamp.",""),IF(OR($T856="PAID",$T856="CLOSED"),IF($T856="PAID","Account paid. Action completed.","Account closed. No further action required."),CHOOSE($W856,"Collection Email","1st Email Follow-up","2nd Email Follow-up","Escalation to Local Office","Escalation to CBE","Escalation to Roxanne")&amp;" sent "&amp;TEXT($X856,"dd-mmm")&amp;". "&amp;IF($W856=6,"Final escalation completed.",IF($T856="OVERDUE","Next: "&amp;$Z856&amp;" was due "&amp;TEXT($Y856,"dd-mmm")&amp;" - "&amp;(NETWORKDAYS($Y856,TODAY(),Holidays)-1)&amp;" business day(s) late. Send now.",IF($T856="DUE TOMORROW","Next: "&amp;$Z856&amp;IF($Y856&lt;=TODAY()," is due TODAY ("," is due next business day (")&amp;TEXT($Y856,"dd-mmm")&amp;").","Next: "&amp;$Z856&amp;" due "&amp;TEXT($Y856,"dd-mmm")&amp;" ("&amp;(NETWORKDAYS(TODAY(),$Y856,Holidays)-1)&amp;" business day(s) left).")))))</f>
        <v/>
      </c>
      <c r="V856" s="17">
        <f>IF($W856="","",CHOOSE($W856,"Collection Email","1st Follow-up","2nd Follow-up","Local Office","CBE","Roxanne")&amp;IF($W856=6," - Final"," - Day "&amp;MAX(0,NETWORKDAYS($X856,TODAY(),Holidays)-1)&amp;" of "&amp;CHOOSE($W856,3,3,2,2,3))&amp;" | Total Day "&amp;MAX(0,NETWORKDAYS($L856,TODAY(),Holidays)-1))</f>
        <v/>
      </c>
      <c r="W856" s="17">
        <f>IF($L856="","",COUNT($L856:$Q856))</f>
        <v/>
      </c>
      <c r="X856" s="18">
        <f>IF($W856="","",INT(INDEX($L856:$Q856,$W856)))</f>
        <v/>
      </c>
      <c r="Y856" s="18">
        <f>IF(OR($W856="",$W856=6),"",WORKDAY($X856,CHOOSE($W856,3,3,2,2,3),Holidays))</f>
        <v/>
      </c>
      <c r="Z856" s="17">
        <f>IF(OR($W856="",$W856=6),"",CHOOSE($W856,"1st Email Follow-up","2nd Email Follow-up","Escalate Local Office","Escalate to CBE","Escalate to Roxanne"))</f>
        <v/>
      </c>
    </row>
    <row r="857" spans="18:26">
      <c r="R857" s="15"/>
      <c r="S857" s="16"/>
      <c r="T857" s="17">
        <f>IF(AND(COUNTA($A857:$K857)=0,$L857=""),"",IF($S857="Paid","PAID",IF($S857="Closed","CLOSED",IF($W857="","",IF($W857=6,"ESCALATED TO ROXANNE",IF(TODAY()&gt;$Y857,"OVERDUE",IF($Y857&lt;=WORKDAY(TODAY(),1,Holidays),"DUE TOMORROW",IF($W857=4,"ESCALATED TO LOCAL OFFICE",IF($W857=5,"ESCALATED TO CBE",IF($X857=TODAY(),"EMAIL SENT","MONITORING"))))))))))</f>
        <v/>
      </c>
      <c r="U857" s="17">
        <f>IF($T857="",IF(AND(COUNTA($A857:$K857)&gt;0,$L857=""),"Awaiting Collection Email time stamp.",""),IF(OR($T857="PAID",$T857="CLOSED"),IF($T857="PAID","Account paid. Action completed.","Account closed. No further action required."),CHOOSE($W857,"Collection Email","1st Email Follow-up","2nd Email Follow-up","Escalation to Local Office","Escalation to CBE","Escalation to Roxanne")&amp;" sent "&amp;TEXT($X857,"dd-mmm")&amp;". "&amp;IF($W857=6,"Final escalation completed.",IF($T857="OVERDUE","Next: "&amp;$Z857&amp;" was due "&amp;TEXT($Y857,"dd-mmm")&amp;" - "&amp;(NETWORKDAYS($Y857,TODAY(),Holidays)-1)&amp;" business day(s) late. Send now.",IF($T857="DUE TOMORROW","Next: "&amp;$Z857&amp;IF($Y857&lt;=TODAY()," is due TODAY ("," is due next business day (")&amp;TEXT($Y857,"dd-mmm")&amp;").","Next: "&amp;$Z857&amp;" due "&amp;TEXT($Y857,"dd-mmm")&amp;" ("&amp;(NETWORKDAYS(TODAY(),$Y857,Holidays)-1)&amp;" business day(s) left).")))))</f>
        <v/>
      </c>
      <c r="V857" s="17">
        <f>IF($W857="","",CHOOSE($W857,"Collection Email","1st Follow-up","2nd Follow-up","Local Office","CBE","Roxanne")&amp;IF($W857=6," - Final"," - Day "&amp;MAX(0,NETWORKDAYS($X857,TODAY(),Holidays)-1)&amp;" of "&amp;CHOOSE($W857,3,3,2,2,3))&amp;" | Total Day "&amp;MAX(0,NETWORKDAYS($L857,TODAY(),Holidays)-1))</f>
        <v/>
      </c>
      <c r="W857" s="17">
        <f>IF($L857="","",COUNT($L857:$Q857))</f>
        <v/>
      </c>
      <c r="X857" s="18">
        <f>IF($W857="","",INT(INDEX($L857:$Q857,$W857)))</f>
        <v/>
      </c>
      <c r="Y857" s="18">
        <f>IF(OR($W857="",$W857=6),"",WORKDAY($X857,CHOOSE($W857,3,3,2,2,3),Holidays))</f>
        <v/>
      </c>
      <c r="Z857" s="17">
        <f>IF(OR($W857="",$W857=6),"",CHOOSE($W857,"1st Email Follow-up","2nd Email Follow-up","Escalate Local Office","Escalate to CBE","Escalate to Roxanne"))</f>
        <v/>
      </c>
    </row>
    <row r="858" spans="18:26">
      <c r="R858" s="15"/>
      <c r="S858" s="16"/>
      <c r="T858" s="17">
        <f>IF(AND(COUNTA($A858:$K858)=0,$L858=""),"",IF($S858="Paid","PAID",IF($S858="Closed","CLOSED",IF($W858="","",IF($W858=6,"ESCALATED TO ROXANNE",IF(TODAY()&gt;$Y858,"OVERDUE",IF($Y858&lt;=WORKDAY(TODAY(),1,Holidays),"DUE TOMORROW",IF($W858=4,"ESCALATED TO LOCAL OFFICE",IF($W858=5,"ESCALATED TO CBE",IF($X858=TODAY(),"EMAIL SENT","MONITORING"))))))))))</f>
        <v/>
      </c>
      <c r="U858" s="17">
        <f>IF($T858="",IF(AND(COUNTA($A858:$K858)&gt;0,$L858=""),"Awaiting Collection Email time stamp.",""),IF(OR($T858="PAID",$T858="CLOSED"),IF($T858="PAID","Account paid. Action completed.","Account closed. No further action required."),CHOOSE($W858,"Collection Email","1st Email Follow-up","2nd Email Follow-up","Escalation to Local Office","Escalation to CBE","Escalation to Roxanne")&amp;" sent "&amp;TEXT($X858,"dd-mmm")&amp;". "&amp;IF($W858=6,"Final escalation completed.",IF($T858="OVERDUE","Next: "&amp;$Z858&amp;" was due "&amp;TEXT($Y858,"dd-mmm")&amp;" - "&amp;(NETWORKDAYS($Y858,TODAY(),Holidays)-1)&amp;" business day(s) late. Send now.",IF($T858="DUE TOMORROW","Next: "&amp;$Z858&amp;IF($Y858&lt;=TODAY()," is due TODAY ("," is due next business day (")&amp;TEXT($Y858,"dd-mmm")&amp;").","Next: "&amp;$Z858&amp;" due "&amp;TEXT($Y858,"dd-mmm")&amp;" ("&amp;(NETWORKDAYS(TODAY(),$Y858,Holidays)-1)&amp;" business day(s) left).")))))</f>
        <v/>
      </c>
      <c r="V858" s="17">
        <f>IF($W858="","",CHOOSE($W858,"Collection Email","1st Follow-up","2nd Follow-up","Local Office","CBE","Roxanne")&amp;IF($W858=6," - Final"," - Day "&amp;MAX(0,NETWORKDAYS($X858,TODAY(),Holidays)-1)&amp;" of "&amp;CHOOSE($W858,3,3,2,2,3))&amp;" | Total Day "&amp;MAX(0,NETWORKDAYS($L858,TODAY(),Holidays)-1))</f>
        <v/>
      </c>
      <c r="W858" s="17">
        <f>IF($L858="","",COUNT($L858:$Q858))</f>
        <v/>
      </c>
      <c r="X858" s="18">
        <f>IF($W858="","",INT(INDEX($L858:$Q858,$W858)))</f>
        <v/>
      </c>
      <c r="Y858" s="18">
        <f>IF(OR($W858="",$W858=6),"",WORKDAY($X858,CHOOSE($W858,3,3,2,2,3),Holidays))</f>
        <v/>
      </c>
      <c r="Z858" s="17">
        <f>IF(OR($W858="",$W858=6),"",CHOOSE($W858,"1st Email Follow-up","2nd Email Follow-up","Escalate Local Office","Escalate to CBE","Escalate to Roxanne"))</f>
        <v/>
      </c>
    </row>
    <row r="859" spans="18:26">
      <c r="R859" s="15"/>
      <c r="S859" s="16"/>
      <c r="T859" s="17">
        <f>IF(AND(COUNTA($A859:$K859)=0,$L859=""),"",IF($S859="Paid","PAID",IF($S859="Closed","CLOSED",IF($W859="","",IF($W859=6,"ESCALATED TO ROXANNE",IF(TODAY()&gt;$Y859,"OVERDUE",IF($Y859&lt;=WORKDAY(TODAY(),1,Holidays),"DUE TOMORROW",IF($W859=4,"ESCALATED TO LOCAL OFFICE",IF($W859=5,"ESCALATED TO CBE",IF($X859=TODAY(),"EMAIL SENT","MONITORING"))))))))))</f>
        <v/>
      </c>
      <c r="U859" s="17">
        <f>IF($T859="",IF(AND(COUNTA($A859:$K859)&gt;0,$L859=""),"Awaiting Collection Email time stamp.",""),IF(OR($T859="PAID",$T859="CLOSED"),IF($T859="PAID","Account paid. Action completed.","Account closed. No further action required."),CHOOSE($W859,"Collection Email","1st Email Follow-up","2nd Email Follow-up","Escalation to Local Office","Escalation to CBE","Escalation to Roxanne")&amp;" sent "&amp;TEXT($X859,"dd-mmm")&amp;". "&amp;IF($W859=6,"Final escalation completed.",IF($T859="OVERDUE","Next: "&amp;$Z859&amp;" was due "&amp;TEXT($Y859,"dd-mmm")&amp;" - "&amp;(NETWORKDAYS($Y859,TODAY(),Holidays)-1)&amp;" business day(s) late. Send now.",IF($T859="DUE TOMORROW","Next: "&amp;$Z859&amp;IF($Y859&lt;=TODAY()," is due TODAY ("," is due next business day (")&amp;TEXT($Y859,"dd-mmm")&amp;").","Next: "&amp;$Z859&amp;" due "&amp;TEXT($Y859,"dd-mmm")&amp;" ("&amp;(NETWORKDAYS(TODAY(),$Y859,Holidays)-1)&amp;" business day(s) left).")))))</f>
        <v/>
      </c>
      <c r="V859" s="17">
        <f>IF($W859="","",CHOOSE($W859,"Collection Email","1st Follow-up","2nd Follow-up","Local Office","CBE","Roxanne")&amp;IF($W859=6," - Final"," - Day "&amp;MAX(0,NETWORKDAYS($X859,TODAY(),Holidays)-1)&amp;" of "&amp;CHOOSE($W859,3,3,2,2,3))&amp;" | Total Day "&amp;MAX(0,NETWORKDAYS($L859,TODAY(),Holidays)-1))</f>
        <v/>
      </c>
      <c r="W859" s="17">
        <f>IF($L859="","",COUNT($L859:$Q859))</f>
        <v/>
      </c>
      <c r="X859" s="18">
        <f>IF($W859="","",INT(INDEX($L859:$Q859,$W859)))</f>
        <v/>
      </c>
      <c r="Y859" s="18">
        <f>IF(OR($W859="",$W859=6),"",WORKDAY($X859,CHOOSE($W859,3,3,2,2,3),Holidays))</f>
        <v/>
      </c>
      <c r="Z859" s="17">
        <f>IF(OR($W859="",$W859=6),"",CHOOSE($W859,"1st Email Follow-up","2nd Email Follow-up","Escalate Local Office","Escalate to CBE","Escalate to Roxanne"))</f>
        <v/>
      </c>
    </row>
    <row r="860" spans="18:26">
      <c r="R860" s="15"/>
      <c r="S860" s="16"/>
      <c r="T860" s="17">
        <f>IF(AND(COUNTA($A860:$K860)=0,$L860=""),"",IF($S860="Paid","PAID",IF($S860="Closed","CLOSED",IF($W860="","",IF($W860=6,"ESCALATED TO ROXANNE",IF(TODAY()&gt;$Y860,"OVERDUE",IF($Y860&lt;=WORKDAY(TODAY(),1,Holidays),"DUE TOMORROW",IF($W860=4,"ESCALATED TO LOCAL OFFICE",IF($W860=5,"ESCALATED TO CBE",IF($X860=TODAY(),"EMAIL SENT","MONITORING"))))))))))</f>
        <v/>
      </c>
      <c r="U860" s="17">
        <f>IF($T860="",IF(AND(COUNTA($A860:$K860)&gt;0,$L860=""),"Awaiting Collection Email time stamp.",""),IF(OR($T860="PAID",$T860="CLOSED"),IF($T860="PAID","Account paid. Action completed.","Account closed. No further action required."),CHOOSE($W860,"Collection Email","1st Email Follow-up","2nd Email Follow-up","Escalation to Local Office","Escalation to CBE","Escalation to Roxanne")&amp;" sent "&amp;TEXT($X860,"dd-mmm")&amp;". "&amp;IF($W860=6,"Final escalation completed.",IF($T860="OVERDUE","Next: "&amp;$Z860&amp;" was due "&amp;TEXT($Y860,"dd-mmm")&amp;" - "&amp;(NETWORKDAYS($Y860,TODAY(),Holidays)-1)&amp;" business day(s) late. Send now.",IF($T860="DUE TOMORROW","Next: "&amp;$Z860&amp;IF($Y860&lt;=TODAY()," is due TODAY ("," is due next business day (")&amp;TEXT($Y860,"dd-mmm")&amp;").","Next: "&amp;$Z860&amp;" due "&amp;TEXT($Y860,"dd-mmm")&amp;" ("&amp;(NETWORKDAYS(TODAY(),$Y860,Holidays)-1)&amp;" business day(s) left).")))))</f>
        <v/>
      </c>
      <c r="V860" s="17">
        <f>IF($W860="","",CHOOSE($W860,"Collection Email","1st Follow-up","2nd Follow-up","Local Office","CBE","Roxanne")&amp;IF($W860=6," - Final"," - Day "&amp;MAX(0,NETWORKDAYS($X860,TODAY(),Holidays)-1)&amp;" of "&amp;CHOOSE($W860,3,3,2,2,3))&amp;" | Total Day "&amp;MAX(0,NETWORKDAYS($L860,TODAY(),Holidays)-1))</f>
        <v/>
      </c>
      <c r="W860" s="17">
        <f>IF($L860="","",COUNT($L860:$Q860))</f>
        <v/>
      </c>
      <c r="X860" s="18">
        <f>IF($W860="","",INT(INDEX($L860:$Q860,$W860)))</f>
        <v/>
      </c>
      <c r="Y860" s="18">
        <f>IF(OR($W860="",$W860=6),"",WORKDAY($X860,CHOOSE($W860,3,3,2,2,3),Holidays))</f>
        <v/>
      </c>
      <c r="Z860" s="17">
        <f>IF(OR($W860="",$W860=6),"",CHOOSE($W860,"1st Email Follow-up","2nd Email Follow-up","Escalate Local Office","Escalate to CBE","Escalate to Roxanne"))</f>
        <v/>
      </c>
    </row>
    <row r="861" spans="18:26">
      <c r="R861" s="15"/>
      <c r="S861" s="16"/>
      <c r="T861" s="17">
        <f>IF(AND(COUNTA($A861:$K861)=0,$L861=""),"",IF($S861="Paid","PAID",IF($S861="Closed","CLOSED",IF($W861="","",IF($W861=6,"ESCALATED TO ROXANNE",IF(TODAY()&gt;$Y861,"OVERDUE",IF($Y861&lt;=WORKDAY(TODAY(),1,Holidays),"DUE TOMORROW",IF($W861=4,"ESCALATED TO LOCAL OFFICE",IF($W861=5,"ESCALATED TO CBE",IF($X861=TODAY(),"EMAIL SENT","MONITORING"))))))))))</f>
        <v/>
      </c>
      <c r="U861" s="17">
        <f>IF($T861="",IF(AND(COUNTA($A861:$K861)&gt;0,$L861=""),"Awaiting Collection Email time stamp.",""),IF(OR($T861="PAID",$T861="CLOSED"),IF($T861="PAID","Account paid. Action completed.","Account closed. No further action required."),CHOOSE($W861,"Collection Email","1st Email Follow-up","2nd Email Follow-up","Escalation to Local Office","Escalation to CBE","Escalation to Roxanne")&amp;" sent "&amp;TEXT($X861,"dd-mmm")&amp;". "&amp;IF($W861=6,"Final escalation completed.",IF($T861="OVERDUE","Next: "&amp;$Z861&amp;" was due "&amp;TEXT($Y861,"dd-mmm")&amp;" - "&amp;(NETWORKDAYS($Y861,TODAY(),Holidays)-1)&amp;" business day(s) late. Send now.",IF($T861="DUE TOMORROW","Next: "&amp;$Z861&amp;IF($Y861&lt;=TODAY()," is due TODAY ("," is due next business day (")&amp;TEXT($Y861,"dd-mmm")&amp;").","Next: "&amp;$Z861&amp;" due "&amp;TEXT($Y861,"dd-mmm")&amp;" ("&amp;(NETWORKDAYS(TODAY(),$Y861,Holidays)-1)&amp;" business day(s) left).")))))</f>
        <v/>
      </c>
      <c r="V861" s="17">
        <f>IF($W861="","",CHOOSE($W861,"Collection Email","1st Follow-up","2nd Follow-up","Local Office","CBE","Roxanne")&amp;IF($W861=6," - Final"," - Day "&amp;MAX(0,NETWORKDAYS($X861,TODAY(),Holidays)-1)&amp;" of "&amp;CHOOSE($W861,3,3,2,2,3))&amp;" | Total Day "&amp;MAX(0,NETWORKDAYS($L861,TODAY(),Holidays)-1))</f>
        <v/>
      </c>
      <c r="W861" s="17">
        <f>IF($L861="","",COUNT($L861:$Q861))</f>
        <v/>
      </c>
      <c r="X861" s="18">
        <f>IF($W861="","",INT(INDEX($L861:$Q861,$W861)))</f>
        <v/>
      </c>
      <c r="Y861" s="18">
        <f>IF(OR($W861="",$W861=6),"",WORKDAY($X861,CHOOSE($W861,3,3,2,2,3),Holidays))</f>
        <v/>
      </c>
      <c r="Z861" s="17">
        <f>IF(OR($W861="",$W861=6),"",CHOOSE($W861,"1st Email Follow-up","2nd Email Follow-up","Escalate Local Office","Escalate to CBE","Escalate to Roxanne"))</f>
        <v/>
      </c>
    </row>
    <row r="862" spans="18:26">
      <c r="R862" s="15"/>
      <c r="S862" s="16"/>
      <c r="T862" s="17">
        <f>IF(AND(COUNTA($A862:$K862)=0,$L862=""),"",IF($S862="Paid","PAID",IF($S862="Closed","CLOSED",IF($W862="","",IF($W862=6,"ESCALATED TO ROXANNE",IF(TODAY()&gt;$Y862,"OVERDUE",IF($Y862&lt;=WORKDAY(TODAY(),1,Holidays),"DUE TOMORROW",IF($W862=4,"ESCALATED TO LOCAL OFFICE",IF($W862=5,"ESCALATED TO CBE",IF($X862=TODAY(),"EMAIL SENT","MONITORING"))))))))))</f>
        <v/>
      </c>
      <c r="U862" s="17">
        <f>IF($T862="",IF(AND(COUNTA($A862:$K862)&gt;0,$L862=""),"Awaiting Collection Email time stamp.",""),IF(OR($T862="PAID",$T862="CLOSED"),IF($T862="PAID","Account paid. Action completed.","Account closed. No further action required."),CHOOSE($W862,"Collection Email","1st Email Follow-up","2nd Email Follow-up","Escalation to Local Office","Escalation to CBE","Escalation to Roxanne")&amp;" sent "&amp;TEXT($X862,"dd-mmm")&amp;". "&amp;IF($W862=6,"Final escalation completed.",IF($T862="OVERDUE","Next: "&amp;$Z862&amp;" was due "&amp;TEXT($Y862,"dd-mmm")&amp;" - "&amp;(NETWORKDAYS($Y862,TODAY(),Holidays)-1)&amp;" business day(s) late. Send now.",IF($T862="DUE TOMORROW","Next: "&amp;$Z862&amp;IF($Y862&lt;=TODAY()," is due TODAY ("," is due next business day (")&amp;TEXT($Y862,"dd-mmm")&amp;").","Next: "&amp;$Z862&amp;" due "&amp;TEXT($Y862,"dd-mmm")&amp;" ("&amp;(NETWORKDAYS(TODAY(),$Y862,Holidays)-1)&amp;" business day(s) left).")))))</f>
        <v/>
      </c>
      <c r="V862" s="17">
        <f>IF($W862="","",CHOOSE($W862,"Collection Email","1st Follow-up","2nd Follow-up","Local Office","CBE","Roxanne")&amp;IF($W862=6," - Final"," - Day "&amp;MAX(0,NETWORKDAYS($X862,TODAY(),Holidays)-1)&amp;" of "&amp;CHOOSE($W862,3,3,2,2,3))&amp;" | Total Day "&amp;MAX(0,NETWORKDAYS($L862,TODAY(),Holidays)-1))</f>
        <v/>
      </c>
      <c r="W862" s="17">
        <f>IF($L862="","",COUNT($L862:$Q862))</f>
        <v/>
      </c>
      <c r="X862" s="18">
        <f>IF($W862="","",INT(INDEX($L862:$Q862,$W862)))</f>
        <v/>
      </c>
      <c r="Y862" s="18">
        <f>IF(OR($W862="",$W862=6),"",WORKDAY($X862,CHOOSE($W862,3,3,2,2,3),Holidays))</f>
        <v/>
      </c>
      <c r="Z862" s="17">
        <f>IF(OR($W862="",$W862=6),"",CHOOSE($W862,"1st Email Follow-up","2nd Email Follow-up","Escalate Local Office","Escalate to CBE","Escalate to Roxanne"))</f>
        <v/>
      </c>
    </row>
    <row r="863" spans="18:26">
      <c r="R863" s="15"/>
      <c r="S863" s="16"/>
      <c r="T863" s="17">
        <f>IF(AND(COUNTA($A863:$K863)=0,$L863=""),"",IF($S863="Paid","PAID",IF($S863="Closed","CLOSED",IF($W863="","",IF($W863=6,"ESCALATED TO ROXANNE",IF(TODAY()&gt;$Y863,"OVERDUE",IF($Y863&lt;=WORKDAY(TODAY(),1,Holidays),"DUE TOMORROW",IF($W863=4,"ESCALATED TO LOCAL OFFICE",IF($W863=5,"ESCALATED TO CBE",IF($X863=TODAY(),"EMAIL SENT","MONITORING"))))))))))</f>
        <v/>
      </c>
      <c r="U863" s="17">
        <f>IF($T863="",IF(AND(COUNTA($A863:$K863)&gt;0,$L863=""),"Awaiting Collection Email time stamp.",""),IF(OR($T863="PAID",$T863="CLOSED"),IF($T863="PAID","Account paid. Action completed.","Account closed. No further action required."),CHOOSE($W863,"Collection Email","1st Email Follow-up","2nd Email Follow-up","Escalation to Local Office","Escalation to CBE","Escalation to Roxanne")&amp;" sent "&amp;TEXT($X863,"dd-mmm")&amp;". "&amp;IF($W863=6,"Final escalation completed.",IF($T863="OVERDUE","Next: "&amp;$Z863&amp;" was due "&amp;TEXT($Y863,"dd-mmm")&amp;" - "&amp;(NETWORKDAYS($Y863,TODAY(),Holidays)-1)&amp;" business day(s) late. Send now.",IF($T863="DUE TOMORROW","Next: "&amp;$Z863&amp;IF($Y863&lt;=TODAY()," is due TODAY ("," is due next business day (")&amp;TEXT($Y863,"dd-mmm")&amp;").","Next: "&amp;$Z863&amp;" due "&amp;TEXT($Y863,"dd-mmm")&amp;" ("&amp;(NETWORKDAYS(TODAY(),$Y863,Holidays)-1)&amp;" business day(s) left).")))))</f>
        <v/>
      </c>
      <c r="V863" s="17">
        <f>IF($W863="","",CHOOSE($W863,"Collection Email","1st Follow-up","2nd Follow-up","Local Office","CBE","Roxanne")&amp;IF($W863=6," - Final"," - Day "&amp;MAX(0,NETWORKDAYS($X863,TODAY(),Holidays)-1)&amp;" of "&amp;CHOOSE($W863,3,3,2,2,3))&amp;" | Total Day "&amp;MAX(0,NETWORKDAYS($L863,TODAY(),Holidays)-1))</f>
        <v/>
      </c>
      <c r="W863" s="17">
        <f>IF($L863="","",COUNT($L863:$Q863))</f>
        <v/>
      </c>
      <c r="X863" s="18">
        <f>IF($W863="","",INT(INDEX($L863:$Q863,$W863)))</f>
        <v/>
      </c>
      <c r="Y863" s="18">
        <f>IF(OR($W863="",$W863=6),"",WORKDAY($X863,CHOOSE($W863,3,3,2,2,3),Holidays))</f>
        <v/>
      </c>
      <c r="Z863" s="17">
        <f>IF(OR($W863="",$W863=6),"",CHOOSE($W863,"1st Email Follow-up","2nd Email Follow-up","Escalate Local Office","Escalate to CBE","Escalate to Roxanne"))</f>
        <v/>
      </c>
    </row>
    <row r="864" spans="18:26">
      <c r="R864" s="15"/>
      <c r="S864" s="16"/>
      <c r="T864" s="17">
        <f>IF(AND(COUNTA($A864:$K864)=0,$L864=""),"",IF($S864="Paid","PAID",IF($S864="Closed","CLOSED",IF($W864="","",IF($W864=6,"ESCALATED TO ROXANNE",IF(TODAY()&gt;$Y864,"OVERDUE",IF($Y864&lt;=WORKDAY(TODAY(),1,Holidays),"DUE TOMORROW",IF($W864=4,"ESCALATED TO LOCAL OFFICE",IF($W864=5,"ESCALATED TO CBE",IF($X864=TODAY(),"EMAIL SENT","MONITORING"))))))))))</f>
        <v/>
      </c>
      <c r="U864" s="17">
        <f>IF($T864="",IF(AND(COUNTA($A864:$K864)&gt;0,$L864=""),"Awaiting Collection Email time stamp.",""),IF(OR($T864="PAID",$T864="CLOSED"),IF($T864="PAID","Account paid. Action completed.","Account closed. No further action required."),CHOOSE($W864,"Collection Email","1st Email Follow-up","2nd Email Follow-up","Escalation to Local Office","Escalation to CBE","Escalation to Roxanne")&amp;" sent "&amp;TEXT($X864,"dd-mmm")&amp;". "&amp;IF($W864=6,"Final escalation completed.",IF($T864="OVERDUE","Next: "&amp;$Z864&amp;" was due "&amp;TEXT($Y864,"dd-mmm")&amp;" - "&amp;(NETWORKDAYS($Y864,TODAY(),Holidays)-1)&amp;" business day(s) late. Send now.",IF($T864="DUE TOMORROW","Next: "&amp;$Z864&amp;IF($Y864&lt;=TODAY()," is due TODAY ("," is due next business day (")&amp;TEXT($Y864,"dd-mmm")&amp;").","Next: "&amp;$Z864&amp;" due "&amp;TEXT($Y864,"dd-mmm")&amp;" ("&amp;(NETWORKDAYS(TODAY(),$Y864,Holidays)-1)&amp;" business day(s) left).")))))</f>
        <v/>
      </c>
      <c r="V864" s="17">
        <f>IF($W864="","",CHOOSE($W864,"Collection Email","1st Follow-up","2nd Follow-up","Local Office","CBE","Roxanne")&amp;IF($W864=6," - Final"," - Day "&amp;MAX(0,NETWORKDAYS($X864,TODAY(),Holidays)-1)&amp;" of "&amp;CHOOSE($W864,3,3,2,2,3))&amp;" | Total Day "&amp;MAX(0,NETWORKDAYS($L864,TODAY(),Holidays)-1))</f>
        <v/>
      </c>
      <c r="W864" s="17">
        <f>IF($L864="","",COUNT($L864:$Q864))</f>
        <v/>
      </c>
      <c r="X864" s="18">
        <f>IF($W864="","",INT(INDEX($L864:$Q864,$W864)))</f>
        <v/>
      </c>
      <c r="Y864" s="18">
        <f>IF(OR($W864="",$W864=6),"",WORKDAY($X864,CHOOSE($W864,3,3,2,2,3),Holidays))</f>
        <v/>
      </c>
      <c r="Z864" s="17">
        <f>IF(OR($W864="",$W864=6),"",CHOOSE($W864,"1st Email Follow-up","2nd Email Follow-up","Escalate Local Office","Escalate to CBE","Escalate to Roxanne"))</f>
        <v/>
      </c>
    </row>
    <row r="865" spans="18:26">
      <c r="R865" s="15"/>
      <c r="S865" s="16"/>
      <c r="T865" s="17">
        <f>IF(AND(COUNTA($A865:$K865)=0,$L865=""),"",IF($S865="Paid","PAID",IF($S865="Closed","CLOSED",IF($W865="","",IF($W865=6,"ESCALATED TO ROXANNE",IF(TODAY()&gt;$Y865,"OVERDUE",IF($Y865&lt;=WORKDAY(TODAY(),1,Holidays),"DUE TOMORROW",IF($W865=4,"ESCALATED TO LOCAL OFFICE",IF($W865=5,"ESCALATED TO CBE",IF($X865=TODAY(),"EMAIL SENT","MONITORING"))))))))))</f>
        <v/>
      </c>
      <c r="U865" s="17">
        <f>IF($T865="",IF(AND(COUNTA($A865:$K865)&gt;0,$L865=""),"Awaiting Collection Email time stamp.",""),IF(OR($T865="PAID",$T865="CLOSED"),IF($T865="PAID","Account paid. Action completed.","Account closed. No further action required."),CHOOSE($W865,"Collection Email","1st Email Follow-up","2nd Email Follow-up","Escalation to Local Office","Escalation to CBE","Escalation to Roxanne")&amp;" sent "&amp;TEXT($X865,"dd-mmm")&amp;". "&amp;IF($W865=6,"Final escalation completed.",IF($T865="OVERDUE","Next: "&amp;$Z865&amp;" was due "&amp;TEXT($Y865,"dd-mmm")&amp;" - "&amp;(NETWORKDAYS($Y865,TODAY(),Holidays)-1)&amp;" business day(s) late. Send now.",IF($T865="DUE TOMORROW","Next: "&amp;$Z865&amp;IF($Y865&lt;=TODAY()," is due TODAY ("," is due next business day (")&amp;TEXT($Y865,"dd-mmm")&amp;").","Next: "&amp;$Z865&amp;" due "&amp;TEXT($Y865,"dd-mmm")&amp;" ("&amp;(NETWORKDAYS(TODAY(),$Y865,Holidays)-1)&amp;" business day(s) left).")))))</f>
        <v/>
      </c>
      <c r="V865" s="17">
        <f>IF($W865="","",CHOOSE($W865,"Collection Email","1st Follow-up","2nd Follow-up","Local Office","CBE","Roxanne")&amp;IF($W865=6," - Final"," - Day "&amp;MAX(0,NETWORKDAYS($X865,TODAY(),Holidays)-1)&amp;" of "&amp;CHOOSE($W865,3,3,2,2,3))&amp;" | Total Day "&amp;MAX(0,NETWORKDAYS($L865,TODAY(),Holidays)-1))</f>
        <v/>
      </c>
      <c r="W865" s="17">
        <f>IF($L865="","",COUNT($L865:$Q865))</f>
        <v/>
      </c>
      <c r="X865" s="18">
        <f>IF($W865="","",INT(INDEX($L865:$Q865,$W865)))</f>
        <v/>
      </c>
      <c r="Y865" s="18">
        <f>IF(OR($W865="",$W865=6),"",WORKDAY($X865,CHOOSE($W865,3,3,2,2,3),Holidays))</f>
        <v/>
      </c>
      <c r="Z865" s="17">
        <f>IF(OR($W865="",$W865=6),"",CHOOSE($W865,"1st Email Follow-up","2nd Email Follow-up","Escalate Local Office","Escalate to CBE","Escalate to Roxanne"))</f>
        <v/>
      </c>
    </row>
    <row r="866" spans="18:26">
      <c r="R866" s="15"/>
      <c r="S866" s="16"/>
      <c r="T866" s="17">
        <f>IF(AND(COUNTA($A866:$K866)=0,$L866=""),"",IF($S866="Paid","PAID",IF($S866="Closed","CLOSED",IF($W866="","",IF($W866=6,"ESCALATED TO ROXANNE",IF(TODAY()&gt;$Y866,"OVERDUE",IF($Y866&lt;=WORKDAY(TODAY(),1,Holidays),"DUE TOMORROW",IF($W866=4,"ESCALATED TO LOCAL OFFICE",IF($W866=5,"ESCALATED TO CBE",IF($X866=TODAY(),"EMAIL SENT","MONITORING"))))))))))</f>
        <v/>
      </c>
      <c r="U866" s="17">
        <f>IF($T866="",IF(AND(COUNTA($A866:$K866)&gt;0,$L866=""),"Awaiting Collection Email time stamp.",""),IF(OR($T866="PAID",$T866="CLOSED"),IF($T866="PAID","Account paid. Action completed.","Account closed. No further action required."),CHOOSE($W866,"Collection Email","1st Email Follow-up","2nd Email Follow-up","Escalation to Local Office","Escalation to CBE","Escalation to Roxanne")&amp;" sent "&amp;TEXT($X866,"dd-mmm")&amp;". "&amp;IF($W866=6,"Final escalation completed.",IF($T866="OVERDUE","Next: "&amp;$Z866&amp;" was due "&amp;TEXT($Y866,"dd-mmm")&amp;" - "&amp;(NETWORKDAYS($Y866,TODAY(),Holidays)-1)&amp;" business day(s) late. Send now.",IF($T866="DUE TOMORROW","Next: "&amp;$Z866&amp;IF($Y866&lt;=TODAY()," is due TODAY ("," is due next business day (")&amp;TEXT($Y866,"dd-mmm")&amp;").","Next: "&amp;$Z866&amp;" due "&amp;TEXT($Y866,"dd-mmm")&amp;" ("&amp;(NETWORKDAYS(TODAY(),$Y866,Holidays)-1)&amp;" business day(s) left).")))))</f>
        <v/>
      </c>
      <c r="V866" s="17">
        <f>IF($W866="","",CHOOSE($W866,"Collection Email","1st Follow-up","2nd Follow-up","Local Office","CBE","Roxanne")&amp;IF($W866=6," - Final"," - Day "&amp;MAX(0,NETWORKDAYS($X866,TODAY(),Holidays)-1)&amp;" of "&amp;CHOOSE($W866,3,3,2,2,3))&amp;" | Total Day "&amp;MAX(0,NETWORKDAYS($L866,TODAY(),Holidays)-1))</f>
        <v/>
      </c>
      <c r="W866" s="17">
        <f>IF($L866="","",COUNT($L866:$Q866))</f>
        <v/>
      </c>
      <c r="X866" s="18">
        <f>IF($W866="","",INT(INDEX($L866:$Q866,$W866)))</f>
        <v/>
      </c>
      <c r="Y866" s="18">
        <f>IF(OR($W866="",$W866=6),"",WORKDAY($X866,CHOOSE($W866,3,3,2,2,3),Holidays))</f>
        <v/>
      </c>
      <c r="Z866" s="17">
        <f>IF(OR($W866="",$W866=6),"",CHOOSE($W866,"1st Email Follow-up","2nd Email Follow-up","Escalate Local Office","Escalate to CBE","Escalate to Roxanne"))</f>
        <v/>
      </c>
    </row>
    <row r="867" spans="18:26">
      <c r="R867" s="15"/>
      <c r="S867" s="16"/>
      <c r="T867" s="17">
        <f>IF(AND(COUNTA($A867:$K867)=0,$L867=""),"",IF($S867="Paid","PAID",IF($S867="Closed","CLOSED",IF($W867="","",IF($W867=6,"ESCALATED TO ROXANNE",IF(TODAY()&gt;$Y867,"OVERDUE",IF($Y867&lt;=WORKDAY(TODAY(),1,Holidays),"DUE TOMORROW",IF($W867=4,"ESCALATED TO LOCAL OFFICE",IF($W867=5,"ESCALATED TO CBE",IF($X867=TODAY(),"EMAIL SENT","MONITORING"))))))))))</f>
        <v/>
      </c>
      <c r="U867" s="17">
        <f>IF($T867="",IF(AND(COUNTA($A867:$K867)&gt;0,$L867=""),"Awaiting Collection Email time stamp.",""),IF(OR($T867="PAID",$T867="CLOSED"),IF($T867="PAID","Account paid. Action completed.","Account closed. No further action required."),CHOOSE($W867,"Collection Email","1st Email Follow-up","2nd Email Follow-up","Escalation to Local Office","Escalation to CBE","Escalation to Roxanne")&amp;" sent "&amp;TEXT($X867,"dd-mmm")&amp;". "&amp;IF($W867=6,"Final escalation completed.",IF($T867="OVERDUE","Next: "&amp;$Z867&amp;" was due "&amp;TEXT($Y867,"dd-mmm")&amp;" - "&amp;(NETWORKDAYS($Y867,TODAY(),Holidays)-1)&amp;" business day(s) late. Send now.",IF($T867="DUE TOMORROW","Next: "&amp;$Z867&amp;IF($Y867&lt;=TODAY()," is due TODAY ("," is due next business day (")&amp;TEXT($Y867,"dd-mmm")&amp;").","Next: "&amp;$Z867&amp;" due "&amp;TEXT($Y867,"dd-mmm")&amp;" ("&amp;(NETWORKDAYS(TODAY(),$Y867,Holidays)-1)&amp;" business day(s) left).")))))</f>
        <v/>
      </c>
      <c r="V867" s="17">
        <f>IF($W867="","",CHOOSE($W867,"Collection Email","1st Follow-up","2nd Follow-up","Local Office","CBE","Roxanne")&amp;IF($W867=6," - Final"," - Day "&amp;MAX(0,NETWORKDAYS($X867,TODAY(),Holidays)-1)&amp;" of "&amp;CHOOSE($W867,3,3,2,2,3))&amp;" | Total Day "&amp;MAX(0,NETWORKDAYS($L867,TODAY(),Holidays)-1))</f>
        <v/>
      </c>
      <c r="W867" s="17">
        <f>IF($L867="","",COUNT($L867:$Q867))</f>
        <v/>
      </c>
      <c r="X867" s="18">
        <f>IF($W867="","",INT(INDEX($L867:$Q867,$W867)))</f>
        <v/>
      </c>
      <c r="Y867" s="18">
        <f>IF(OR($W867="",$W867=6),"",WORKDAY($X867,CHOOSE($W867,3,3,2,2,3),Holidays))</f>
        <v/>
      </c>
      <c r="Z867" s="17">
        <f>IF(OR($W867="",$W867=6),"",CHOOSE($W867,"1st Email Follow-up","2nd Email Follow-up","Escalate Local Office","Escalate to CBE","Escalate to Roxanne"))</f>
        <v/>
      </c>
    </row>
    <row r="868" spans="18:26">
      <c r="R868" s="15"/>
      <c r="S868" s="16"/>
      <c r="T868" s="17">
        <f>IF(AND(COUNTA($A868:$K868)=0,$L868=""),"",IF($S868="Paid","PAID",IF($S868="Closed","CLOSED",IF($W868="","",IF($W868=6,"ESCALATED TO ROXANNE",IF(TODAY()&gt;$Y868,"OVERDUE",IF($Y868&lt;=WORKDAY(TODAY(),1,Holidays),"DUE TOMORROW",IF($W868=4,"ESCALATED TO LOCAL OFFICE",IF($W868=5,"ESCALATED TO CBE",IF($X868=TODAY(),"EMAIL SENT","MONITORING"))))))))))</f>
        <v/>
      </c>
      <c r="U868" s="17">
        <f>IF($T868="",IF(AND(COUNTA($A868:$K868)&gt;0,$L868=""),"Awaiting Collection Email time stamp.",""),IF(OR($T868="PAID",$T868="CLOSED"),IF($T868="PAID","Account paid. Action completed.","Account closed. No further action required."),CHOOSE($W868,"Collection Email","1st Email Follow-up","2nd Email Follow-up","Escalation to Local Office","Escalation to CBE","Escalation to Roxanne")&amp;" sent "&amp;TEXT($X868,"dd-mmm")&amp;". "&amp;IF($W868=6,"Final escalation completed.",IF($T868="OVERDUE","Next: "&amp;$Z868&amp;" was due "&amp;TEXT($Y868,"dd-mmm")&amp;" - "&amp;(NETWORKDAYS($Y868,TODAY(),Holidays)-1)&amp;" business day(s) late. Send now.",IF($T868="DUE TOMORROW","Next: "&amp;$Z868&amp;IF($Y868&lt;=TODAY()," is due TODAY ("," is due next business day (")&amp;TEXT($Y868,"dd-mmm")&amp;").","Next: "&amp;$Z868&amp;" due "&amp;TEXT($Y868,"dd-mmm")&amp;" ("&amp;(NETWORKDAYS(TODAY(),$Y868,Holidays)-1)&amp;" business day(s) left).")))))</f>
        <v/>
      </c>
      <c r="V868" s="17">
        <f>IF($W868="","",CHOOSE($W868,"Collection Email","1st Follow-up","2nd Follow-up","Local Office","CBE","Roxanne")&amp;IF($W868=6," - Final"," - Day "&amp;MAX(0,NETWORKDAYS($X868,TODAY(),Holidays)-1)&amp;" of "&amp;CHOOSE($W868,3,3,2,2,3))&amp;" | Total Day "&amp;MAX(0,NETWORKDAYS($L868,TODAY(),Holidays)-1))</f>
        <v/>
      </c>
      <c r="W868" s="17">
        <f>IF($L868="","",COUNT($L868:$Q868))</f>
        <v/>
      </c>
      <c r="X868" s="18">
        <f>IF($W868="","",INT(INDEX($L868:$Q868,$W868)))</f>
        <v/>
      </c>
      <c r="Y868" s="18">
        <f>IF(OR($W868="",$W868=6),"",WORKDAY($X868,CHOOSE($W868,3,3,2,2,3),Holidays))</f>
        <v/>
      </c>
      <c r="Z868" s="17">
        <f>IF(OR($W868="",$W868=6),"",CHOOSE($W868,"1st Email Follow-up","2nd Email Follow-up","Escalate Local Office","Escalate to CBE","Escalate to Roxanne"))</f>
        <v/>
      </c>
    </row>
    <row r="869" spans="18:26">
      <c r="R869" s="15"/>
      <c r="S869" s="16"/>
      <c r="T869" s="17">
        <f>IF(AND(COUNTA($A869:$K869)=0,$L869=""),"",IF($S869="Paid","PAID",IF($S869="Closed","CLOSED",IF($W869="","",IF($W869=6,"ESCALATED TO ROXANNE",IF(TODAY()&gt;$Y869,"OVERDUE",IF($Y869&lt;=WORKDAY(TODAY(),1,Holidays),"DUE TOMORROW",IF($W869=4,"ESCALATED TO LOCAL OFFICE",IF($W869=5,"ESCALATED TO CBE",IF($X869=TODAY(),"EMAIL SENT","MONITORING"))))))))))</f>
        <v/>
      </c>
      <c r="U869" s="17">
        <f>IF($T869="",IF(AND(COUNTA($A869:$K869)&gt;0,$L869=""),"Awaiting Collection Email time stamp.",""),IF(OR($T869="PAID",$T869="CLOSED"),IF($T869="PAID","Account paid. Action completed.","Account closed. No further action required."),CHOOSE($W869,"Collection Email","1st Email Follow-up","2nd Email Follow-up","Escalation to Local Office","Escalation to CBE","Escalation to Roxanne")&amp;" sent "&amp;TEXT($X869,"dd-mmm")&amp;". "&amp;IF($W869=6,"Final escalation completed.",IF($T869="OVERDUE","Next: "&amp;$Z869&amp;" was due "&amp;TEXT($Y869,"dd-mmm")&amp;" - "&amp;(NETWORKDAYS($Y869,TODAY(),Holidays)-1)&amp;" business day(s) late. Send now.",IF($T869="DUE TOMORROW","Next: "&amp;$Z869&amp;IF($Y869&lt;=TODAY()," is due TODAY ("," is due next business day (")&amp;TEXT($Y869,"dd-mmm")&amp;").","Next: "&amp;$Z869&amp;" due "&amp;TEXT($Y869,"dd-mmm")&amp;" ("&amp;(NETWORKDAYS(TODAY(),$Y869,Holidays)-1)&amp;" business day(s) left).")))))</f>
        <v/>
      </c>
      <c r="V869" s="17">
        <f>IF($W869="","",CHOOSE($W869,"Collection Email","1st Follow-up","2nd Follow-up","Local Office","CBE","Roxanne")&amp;IF($W869=6," - Final"," - Day "&amp;MAX(0,NETWORKDAYS($X869,TODAY(),Holidays)-1)&amp;" of "&amp;CHOOSE($W869,3,3,2,2,3))&amp;" | Total Day "&amp;MAX(0,NETWORKDAYS($L869,TODAY(),Holidays)-1))</f>
        <v/>
      </c>
      <c r="W869" s="17">
        <f>IF($L869="","",COUNT($L869:$Q869))</f>
        <v/>
      </c>
      <c r="X869" s="18">
        <f>IF($W869="","",INT(INDEX($L869:$Q869,$W869)))</f>
        <v/>
      </c>
      <c r="Y869" s="18">
        <f>IF(OR($W869="",$W869=6),"",WORKDAY($X869,CHOOSE($W869,3,3,2,2,3),Holidays))</f>
        <v/>
      </c>
      <c r="Z869" s="17">
        <f>IF(OR($W869="",$W869=6),"",CHOOSE($W869,"1st Email Follow-up","2nd Email Follow-up","Escalate Local Office","Escalate to CBE","Escalate to Roxanne"))</f>
        <v/>
      </c>
    </row>
    <row r="870" spans="18:26">
      <c r="R870" s="15"/>
      <c r="S870" s="16"/>
      <c r="T870" s="17">
        <f>IF(AND(COUNTA($A870:$K870)=0,$L870=""),"",IF($S870="Paid","PAID",IF($S870="Closed","CLOSED",IF($W870="","",IF($W870=6,"ESCALATED TO ROXANNE",IF(TODAY()&gt;$Y870,"OVERDUE",IF($Y870&lt;=WORKDAY(TODAY(),1,Holidays),"DUE TOMORROW",IF($W870=4,"ESCALATED TO LOCAL OFFICE",IF($W870=5,"ESCALATED TO CBE",IF($X870=TODAY(),"EMAIL SENT","MONITORING"))))))))))</f>
        <v/>
      </c>
      <c r="U870" s="17">
        <f>IF($T870="",IF(AND(COUNTA($A870:$K870)&gt;0,$L870=""),"Awaiting Collection Email time stamp.",""),IF(OR($T870="PAID",$T870="CLOSED"),IF($T870="PAID","Account paid. Action completed.","Account closed. No further action required."),CHOOSE($W870,"Collection Email","1st Email Follow-up","2nd Email Follow-up","Escalation to Local Office","Escalation to CBE","Escalation to Roxanne")&amp;" sent "&amp;TEXT($X870,"dd-mmm")&amp;". "&amp;IF($W870=6,"Final escalation completed.",IF($T870="OVERDUE","Next: "&amp;$Z870&amp;" was due "&amp;TEXT($Y870,"dd-mmm")&amp;" - "&amp;(NETWORKDAYS($Y870,TODAY(),Holidays)-1)&amp;" business day(s) late. Send now.",IF($T870="DUE TOMORROW","Next: "&amp;$Z870&amp;IF($Y870&lt;=TODAY()," is due TODAY ("," is due next business day (")&amp;TEXT($Y870,"dd-mmm")&amp;").","Next: "&amp;$Z870&amp;" due "&amp;TEXT($Y870,"dd-mmm")&amp;" ("&amp;(NETWORKDAYS(TODAY(),$Y870,Holidays)-1)&amp;" business day(s) left).")))))</f>
        <v/>
      </c>
      <c r="V870" s="17">
        <f>IF($W870="","",CHOOSE($W870,"Collection Email","1st Follow-up","2nd Follow-up","Local Office","CBE","Roxanne")&amp;IF($W870=6," - Final"," - Day "&amp;MAX(0,NETWORKDAYS($X870,TODAY(),Holidays)-1)&amp;" of "&amp;CHOOSE($W870,3,3,2,2,3))&amp;" | Total Day "&amp;MAX(0,NETWORKDAYS($L870,TODAY(),Holidays)-1))</f>
        <v/>
      </c>
      <c r="W870" s="17">
        <f>IF($L870="","",COUNT($L870:$Q870))</f>
        <v/>
      </c>
      <c r="X870" s="18">
        <f>IF($W870="","",INT(INDEX($L870:$Q870,$W870)))</f>
        <v/>
      </c>
      <c r="Y870" s="18">
        <f>IF(OR($W870="",$W870=6),"",WORKDAY($X870,CHOOSE($W870,3,3,2,2,3),Holidays))</f>
        <v/>
      </c>
      <c r="Z870" s="17">
        <f>IF(OR($W870="",$W870=6),"",CHOOSE($W870,"1st Email Follow-up","2nd Email Follow-up","Escalate Local Office","Escalate to CBE","Escalate to Roxanne"))</f>
        <v/>
      </c>
    </row>
    <row r="871" spans="18:26">
      <c r="R871" s="15"/>
      <c r="S871" s="16"/>
      <c r="T871" s="17">
        <f>IF(AND(COUNTA($A871:$K871)=0,$L871=""),"",IF($S871="Paid","PAID",IF($S871="Closed","CLOSED",IF($W871="","",IF($W871=6,"ESCALATED TO ROXANNE",IF(TODAY()&gt;$Y871,"OVERDUE",IF($Y871&lt;=WORKDAY(TODAY(),1,Holidays),"DUE TOMORROW",IF($W871=4,"ESCALATED TO LOCAL OFFICE",IF($W871=5,"ESCALATED TO CBE",IF($X871=TODAY(),"EMAIL SENT","MONITORING"))))))))))</f>
        <v/>
      </c>
      <c r="U871" s="17">
        <f>IF($T871="",IF(AND(COUNTA($A871:$K871)&gt;0,$L871=""),"Awaiting Collection Email time stamp.",""),IF(OR($T871="PAID",$T871="CLOSED"),IF($T871="PAID","Account paid. Action completed.","Account closed. No further action required."),CHOOSE($W871,"Collection Email","1st Email Follow-up","2nd Email Follow-up","Escalation to Local Office","Escalation to CBE","Escalation to Roxanne")&amp;" sent "&amp;TEXT($X871,"dd-mmm")&amp;". "&amp;IF($W871=6,"Final escalation completed.",IF($T871="OVERDUE","Next: "&amp;$Z871&amp;" was due "&amp;TEXT($Y871,"dd-mmm")&amp;" - "&amp;(NETWORKDAYS($Y871,TODAY(),Holidays)-1)&amp;" business day(s) late. Send now.",IF($T871="DUE TOMORROW","Next: "&amp;$Z871&amp;IF($Y871&lt;=TODAY()," is due TODAY ("," is due next business day (")&amp;TEXT($Y871,"dd-mmm")&amp;").","Next: "&amp;$Z871&amp;" due "&amp;TEXT($Y871,"dd-mmm")&amp;" ("&amp;(NETWORKDAYS(TODAY(),$Y871,Holidays)-1)&amp;" business day(s) left).")))))</f>
        <v/>
      </c>
      <c r="V871" s="17">
        <f>IF($W871="","",CHOOSE($W871,"Collection Email","1st Follow-up","2nd Follow-up","Local Office","CBE","Roxanne")&amp;IF($W871=6," - Final"," - Day "&amp;MAX(0,NETWORKDAYS($X871,TODAY(),Holidays)-1)&amp;" of "&amp;CHOOSE($W871,3,3,2,2,3))&amp;" | Total Day "&amp;MAX(0,NETWORKDAYS($L871,TODAY(),Holidays)-1))</f>
        <v/>
      </c>
      <c r="W871" s="17">
        <f>IF($L871="","",COUNT($L871:$Q871))</f>
        <v/>
      </c>
      <c r="X871" s="18">
        <f>IF($W871="","",INT(INDEX($L871:$Q871,$W871)))</f>
        <v/>
      </c>
      <c r="Y871" s="18">
        <f>IF(OR($W871="",$W871=6),"",WORKDAY($X871,CHOOSE($W871,3,3,2,2,3),Holidays))</f>
        <v/>
      </c>
      <c r="Z871" s="17">
        <f>IF(OR($W871="",$W871=6),"",CHOOSE($W871,"1st Email Follow-up","2nd Email Follow-up","Escalate Local Office","Escalate to CBE","Escalate to Roxanne"))</f>
        <v/>
      </c>
    </row>
    <row r="872" spans="18:26">
      <c r="R872" s="15"/>
      <c r="S872" s="16"/>
      <c r="T872" s="17">
        <f>IF(AND(COUNTA($A872:$K872)=0,$L872=""),"",IF($S872="Paid","PAID",IF($S872="Closed","CLOSED",IF($W872="","",IF($W872=6,"ESCALATED TO ROXANNE",IF(TODAY()&gt;$Y872,"OVERDUE",IF($Y872&lt;=WORKDAY(TODAY(),1,Holidays),"DUE TOMORROW",IF($W872=4,"ESCALATED TO LOCAL OFFICE",IF($W872=5,"ESCALATED TO CBE",IF($X872=TODAY(),"EMAIL SENT","MONITORING"))))))))))</f>
        <v/>
      </c>
      <c r="U872" s="17">
        <f>IF($T872="",IF(AND(COUNTA($A872:$K872)&gt;0,$L872=""),"Awaiting Collection Email time stamp.",""),IF(OR($T872="PAID",$T872="CLOSED"),IF($T872="PAID","Account paid. Action completed.","Account closed. No further action required."),CHOOSE($W872,"Collection Email","1st Email Follow-up","2nd Email Follow-up","Escalation to Local Office","Escalation to CBE","Escalation to Roxanne")&amp;" sent "&amp;TEXT($X872,"dd-mmm")&amp;". "&amp;IF($W872=6,"Final escalation completed.",IF($T872="OVERDUE","Next: "&amp;$Z872&amp;" was due "&amp;TEXT($Y872,"dd-mmm")&amp;" - "&amp;(NETWORKDAYS($Y872,TODAY(),Holidays)-1)&amp;" business day(s) late. Send now.",IF($T872="DUE TOMORROW","Next: "&amp;$Z872&amp;IF($Y872&lt;=TODAY()," is due TODAY ("," is due next business day (")&amp;TEXT($Y872,"dd-mmm")&amp;").","Next: "&amp;$Z872&amp;" due "&amp;TEXT($Y872,"dd-mmm")&amp;" ("&amp;(NETWORKDAYS(TODAY(),$Y872,Holidays)-1)&amp;" business day(s) left).")))))</f>
        <v/>
      </c>
      <c r="V872" s="17">
        <f>IF($W872="","",CHOOSE($W872,"Collection Email","1st Follow-up","2nd Follow-up","Local Office","CBE","Roxanne")&amp;IF($W872=6," - Final"," - Day "&amp;MAX(0,NETWORKDAYS($X872,TODAY(),Holidays)-1)&amp;" of "&amp;CHOOSE($W872,3,3,2,2,3))&amp;" | Total Day "&amp;MAX(0,NETWORKDAYS($L872,TODAY(),Holidays)-1))</f>
        <v/>
      </c>
      <c r="W872" s="17">
        <f>IF($L872="","",COUNT($L872:$Q872))</f>
        <v/>
      </c>
      <c r="X872" s="18">
        <f>IF($W872="","",INT(INDEX($L872:$Q872,$W872)))</f>
        <v/>
      </c>
      <c r="Y872" s="18">
        <f>IF(OR($W872="",$W872=6),"",WORKDAY($X872,CHOOSE($W872,3,3,2,2,3),Holidays))</f>
        <v/>
      </c>
      <c r="Z872" s="17">
        <f>IF(OR($W872="",$W872=6),"",CHOOSE($W872,"1st Email Follow-up","2nd Email Follow-up","Escalate Local Office","Escalate to CBE","Escalate to Roxanne"))</f>
        <v/>
      </c>
    </row>
    <row r="873" spans="18:26">
      <c r="R873" s="15"/>
      <c r="S873" s="16"/>
      <c r="T873" s="17">
        <f>IF(AND(COUNTA($A873:$K873)=0,$L873=""),"",IF($S873="Paid","PAID",IF($S873="Closed","CLOSED",IF($W873="","",IF($W873=6,"ESCALATED TO ROXANNE",IF(TODAY()&gt;$Y873,"OVERDUE",IF($Y873&lt;=WORKDAY(TODAY(),1,Holidays),"DUE TOMORROW",IF($W873=4,"ESCALATED TO LOCAL OFFICE",IF($W873=5,"ESCALATED TO CBE",IF($X873=TODAY(),"EMAIL SENT","MONITORING"))))))))))</f>
        <v/>
      </c>
      <c r="U873" s="17">
        <f>IF($T873="",IF(AND(COUNTA($A873:$K873)&gt;0,$L873=""),"Awaiting Collection Email time stamp.",""),IF(OR($T873="PAID",$T873="CLOSED"),IF($T873="PAID","Account paid. Action completed.","Account closed. No further action required."),CHOOSE($W873,"Collection Email","1st Email Follow-up","2nd Email Follow-up","Escalation to Local Office","Escalation to CBE","Escalation to Roxanne")&amp;" sent "&amp;TEXT($X873,"dd-mmm")&amp;". "&amp;IF($W873=6,"Final escalation completed.",IF($T873="OVERDUE","Next: "&amp;$Z873&amp;" was due "&amp;TEXT($Y873,"dd-mmm")&amp;" - "&amp;(NETWORKDAYS($Y873,TODAY(),Holidays)-1)&amp;" business day(s) late. Send now.",IF($T873="DUE TOMORROW","Next: "&amp;$Z873&amp;IF($Y873&lt;=TODAY()," is due TODAY ("," is due next business day (")&amp;TEXT($Y873,"dd-mmm")&amp;").","Next: "&amp;$Z873&amp;" due "&amp;TEXT($Y873,"dd-mmm")&amp;" ("&amp;(NETWORKDAYS(TODAY(),$Y873,Holidays)-1)&amp;" business day(s) left).")))))</f>
        <v/>
      </c>
      <c r="V873" s="17">
        <f>IF($W873="","",CHOOSE($W873,"Collection Email","1st Follow-up","2nd Follow-up","Local Office","CBE","Roxanne")&amp;IF($W873=6," - Final"," - Day "&amp;MAX(0,NETWORKDAYS($X873,TODAY(),Holidays)-1)&amp;" of "&amp;CHOOSE($W873,3,3,2,2,3))&amp;" | Total Day "&amp;MAX(0,NETWORKDAYS($L873,TODAY(),Holidays)-1))</f>
        <v/>
      </c>
      <c r="W873" s="17">
        <f>IF($L873="","",COUNT($L873:$Q873))</f>
        <v/>
      </c>
      <c r="X873" s="18">
        <f>IF($W873="","",INT(INDEX($L873:$Q873,$W873)))</f>
        <v/>
      </c>
      <c r="Y873" s="18">
        <f>IF(OR($W873="",$W873=6),"",WORKDAY($X873,CHOOSE($W873,3,3,2,2,3),Holidays))</f>
        <v/>
      </c>
      <c r="Z873" s="17">
        <f>IF(OR($W873="",$W873=6),"",CHOOSE($W873,"1st Email Follow-up","2nd Email Follow-up","Escalate Local Office","Escalate to CBE","Escalate to Roxanne"))</f>
        <v/>
      </c>
    </row>
    <row r="874" spans="18:26">
      <c r="R874" s="15"/>
      <c r="S874" s="16"/>
      <c r="T874" s="17">
        <f>IF(AND(COUNTA($A874:$K874)=0,$L874=""),"",IF($S874="Paid","PAID",IF($S874="Closed","CLOSED",IF($W874="","",IF($W874=6,"ESCALATED TO ROXANNE",IF(TODAY()&gt;$Y874,"OVERDUE",IF($Y874&lt;=WORKDAY(TODAY(),1,Holidays),"DUE TOMORROW",IF($W874=4,"ESCALATED TO LOCAL OFFICE",IF($W874=5,"ESCALATED TO CBE",IF($X874=TODAY(),"EMAIL SENT","MONITORING"))))))))))</f>
        <v/>
      </c>
      <c r="U874" s="17">
        <f>IF($T874="",IF(AND(COUNTA($A874:$K874)&gt;0,$L874=""),"Awaiting Collection Email time stamp.",""),IF(OR($T874="PAID",$T874="CLOSED"),IF($T874="PAID","Account paid. Action completed.","Account closed. No further action required."),CHOOSE($W874,"Collection Email","1st Email Follow-up","2nd Email Follow-up","Escalation to Local Office","Escalation to CBE","Escalation to Roxanne")&amp;" sent "&amp;TEXT($X874,"dd-mmm")&amp;". "&amp;IF($W874=6,"Final escalation completed.",IF($T874="OVERDUE","Next: "&amp;$Z874&amp;" was due "&amp;TEXT($Y874,"dd-mmm")&amp;" - "&amp;(NETWORKDAYS($Y874,TODAY(),Holidays)-1)&amp;" business day(s) late. Send now.",IF($T874="DUE TOMORROW","Next: "&amp;$Z874&amp;IF($Y874&lt;=TODAY()," is due TODAY ("," is due next business day (")&amp;TEXT($Y874,"dd-mmm")&amp;").","Next: "&amp;$Z874&amp;" due "&amp;TEXT($Y874,"dd-mmm")&amp;" ("&amp;(NETWORKDAYS(TODAY(),$Y874,Holidays)-1)&amp;" business day(s) left).")))))</f>
        <v/>
      </c>
      <c r="V874" s="17">
        <f>IF($W874="","",CHOOSE($W874,"Collection Email","1st Follow-up","2nd Follow-up","Local Office","CBE","Roxanne")&amp;IF($W874=6," - Final"," - Day "&amp;MAX(0,NETWORKDAYS($X874,TODAY(),Holidays)-1)&amp;" of "&amp;CHOOSE($W874,3,3,2,2,3))&amp;" | Total Day "&amp;MAX(0,NETWORKDAYS($L874,TODAY(),Holidays)-1))</f>
        <v/>
      </c>
      <c r="W874" s="17">
        <f>IF($L874="","",COUNT($L874:$Q874))</f>
        <v/>
      </c>
      <c r="X874" s="18">
        <f>IF($W874="","",INT(INDEX($L874:$Q874,$W874)))</f>
        <v/>
      </c>
      <c r="Y874" s="18">
        <f>IF(OR($W874="",$W874=6),"",WORKDAY($X874,CHOOSE($W874,3,3,2,2,3),Holidays))</f>
        <v/>
      </c>
      <c r="Z874" s="17">
        <f>IF(OR($W874="",$W874=6),"",CHOOSE($W874,"1st Email Follow-up","2nd Email Follow-up","Escalate Local Office","Escalate to CBE","Escalate to Roxanne"))</f>
        <v/>
      </c>
    </row>
    <row r="875" spans="18:26">
      <c r="R875" s="15"/>
      <c r="S875" s="16"/>
      <c r="T875" s="17">
        <f>IF(AND(COUNTA($A875:$K875)=0,$L875=""),"",IF($S875="Paid","PAID",IF($S875="Closed","CLOSED",IF($W875="","",IF($W875=6,"ESCALATED TO ROXANNE",IF(TODAY()&gt;$Y875,"OVERDUE",IF($Y875&lt;=WORKDAY(TODAY(),1,Holidays),"DUE TOMORROW",IF($W875=4,"ESCALATED TO LOCAL OFFICE",IF($W875=5,"ESCALATED TO CBE",IF($X875=TODAY(),"EMAIL SENT","MONITORING"))))))))))</f>
        <v/>
      </c>
      <c r="U875" s="17">
        <f>IF($T875="",IF(AND(COUNTA($A875:$K875)&gt;0,$L875=""),"Awaiting Collection Email time stamp.",""),IF(OR($T875="PAID",$T875="CLOSED"),IF($T875="PAID","Account paid. Action completed.","Account closed. No further action required."),CHOOSE($W875,"Collection Email","1st Email Follow-up","2nd Email Follow-up","Escalation to Local Office","Escalation to CBE","Escalation to Roxanne")&amp;" sent "&amp;TEXT($X875,"dd-mmm")&amp;". "&amp;IF($W875=6,"Final escalation completed.",IF($T875="OVERDUE","Next: "&amp;$Z875&amp;" was due "&amp;TEXT($Y875,"dd-mmm")&amp;" - "&amp;(NETWORKDAYS($Y875,TODAY(),Holidays)-1)&amp;" business day(s) late. Send now.",IF($T875="DUE TOMORROW","Next: "&amp;$Z875&amp;IF($Y875&lt;=TODAY()," is due TODAY ("," is due next business day (")&amp;TEXT($Y875,"dd-mmm")&amp;").","Next: "&amp;$Z875&amp;" due "&amp;TEXT($Y875,"dd-mmm")&amp;" ("&amp;(NETWORKDAYS(TODAY(),$Y875,Holidays)-1)&amp;" business day(s) left).")))))</f>
        <v/>
      </c>
      <c r="V875" s="17">
        <f>IF($W875="","",CHOOSE($W875,"Collection Email","1st Follow-up","2nd Follow-up","Local Office","CBE","Roxanne")&amp;IF($W875=6," - Final"," - Day "&amp;MAX(0,NETWORKDAYS($X875,TODAY(),Holidays)-1)&amp;" of "&amp;CHOOSE($W875,3,3,2,2,3))&amp;" | Total Day "&amp;MAX(0,NETWORKDAYS($L875,TODAY(),Holidays)-1))</f>
        <v/>
      </c>
      <c r="W875" s="17">
        <f>IF($L875="","",COUNT($L875:$Q875))</f>
        <v/>
      </c>
      <c r="X875" s="18">
        <f>IF($W875="","",INT(INDEX($L875:$Q875,$W875)))</f>
        <v/>
      </c>
      <c r="Y875" s="18">
        <f>IF(OR($W875="",$W875=6),"",WORKDAY($X875,CHOOSE($W875,3,3,2,2,3),Holidays))</f>
        <v/>
      </c>
      <c r="Z875" s="17">
        <f>IF(OR($W875="",$W875=6),"",CHOOSE($W875,"1st Email Follow-up","2nd Email Follow-up","Escalate Local Office","Escalate to CBE","Escalate to Roxanne"))</f>
        <v/>
      </c>
    </row>
    <row r="876" spans="18:26">
      <c r="R876" s="15"/>
      <c r="S876" s="16"/>
      <c r="T876" s="17">
        <f>IF(AND(COUNTA($A876:$K876)=0,$L876=""),"",IF($S876="Paid","PAID",IF($S876="Closed","CLOSED",IF($W876="","",IF($W876=6,"ESCALATED TO ROXANNE",IF(TODAY()&gt;$Y876,"OVERDUE",IF($Y876&lt;=WORKDAY(TODAY(),1,Holidays),"DUE TOMORROW",IF($W876=4,"ESCALATED TO LOCAL OFFICE",IF($W876=5,"ESCALATED TO CBE",IF($X876=TODAY(),"EMAIL SENT","MONITORING"))))))))))</f>
        <v/>
      </c>
      <c r="U876" s="17">
        <f>IF($T876="",IF(AND(COUNTA($A876:$K876)&gt;0,$L876=""),"Awaiting Collection Email time stamp.",""),IF(OR($T876="PAID",$T876="CLOSED"),IF($T876="PAID","Account paid. Action completed.","Account closed. No further action required."),CHOOSE($W876,"Collection Email","1st Email Follow-up","2nd Email Follow-up","Escalation to Local Office","Escalation to CBE","Escalation to Roxanne")&amp;" sent "&amp;TEXT($X876,"dd-mmm")&amp;". "&amp;IF($W876=6,"Final escalation completed.",IF($T876="OVERDUE","Next: "&amp;$Z876&amp;" was due "&amp;TEXT($Y876,"dd-mmm")&amp;" - "&amp;(NETWORKDAYS($Y876,TODAY(),Holidays)-1)&amp;" business day(s) late. Send now.",IF($T876="DUE TOMORROW","Next: "&amp;$Z876&amp;IF($Y876&lt;=TODAY()," is due TODAY ("," is due next business day (")&amp;TEXT($Y876,"dd-mmm")&amp;").","Next: "&amp;$Z876&amp;" due "&amp;TEXT($Y876,"dd-mmm")&amp;" ("&amp;(NETWORKDAYS(TODAY(),$Y876,Holidays)-1)&amp;" business day(s) left).")))))</f>
        <v/>
      </c>
      <c r="V876" s="17">
        <f>IF($W876="","",CHOOSE($W876,"Collection Email","1st Follow-up","2nd Follow-up","Local Office","CBE","Roxanne")&amp;IF($W876=6," - Final"," - Day "&amp;MAX(0,NETWORKDAYS($X876,TODAY(),Holidays)-1)&amp;" of "&amp;CHOOSE($W876,3,3,2,2,3))&amp;" | Total Day "&amp;MAX(0,NETWORKDAYS($L876,TODAY(),Holidays)-1))</f>
        <v/>
      </c>
      <c r="W876" s="17">
        <f>IF($L876="","",COUNT($L876:$Q876))</f>
        <v/>
      </c>
      <c r="X876" s="18">
        <f>IF($W876="","",INT(INDEX($L876:$Q876,$W876)))</f>
        <v/>
      </c>
      <c r="Y876" s="18">
        <f>IF(OR($W876="",$W876=6),"",WORKDAY($X876,CHOOSE($W876,3,3,2,2,3),Holidays))</f>
        <v/>
      </c>
      <c r="Z876" s="17">
        <f>IF(OR($W876="",$W876=6),"",CHOOSE($W876,"1st Email Follow-up","2nd Email Follow-up","Escalate Local Office","Escalate to CBE","Escalate to Roxanne"))</f>
        <v/>
      </c>
    </row>
    <row r="877" spans="18:26">
      <c r="R877" s="15"/>
      <c r="S877" s="16"/>
      <c r="T877" s="17">
        <f>IF(AND(COUNTA($A877:$K877)=0,$L877=""),"",IF($S877="Paid","PAID",IF($S877="Closed","CLOSED",IF($W877="","",IF($W877=6,"ESCALATED TO ROXANNE",IF(TODAY()&gt;$Y877,"OVERDUE",IF($Y877&lt;=WORKDAY(TODAY(),1,Holidays),"DUE TOMORROW",IF($W877=4,"ESCALATED TO LOCAL OFFICE",IF($W877=5,"ESCALATED TO CBE",IF($X877=TODAY(),"EMAIL SENT","MONITORING"))))))))))</f>
        <v/>
      </c>
      <c r="U877" s="17">
        <f>IF($T877="",IF(AND(COUNTA($A877:$K877)&gt;0,$L877=""),"Awaiting Collection Email time stamp.",""),IF(OR($T877="PAID",$T877="CLOSED"),IF($T877="PAID","Account paid. Action completed.","Account closed. No further action required."),CHOOSE($W877,"Collection Email","1st Email Follow-up","2nd Email Follow-up","Escalation to Local Office","Escalation to CBE","Escalation to Roxanne")&amp;" sent "&amp;TEXT($X877,"dd-mmm")&amp;". "&amp;IF($W877=6,"Final escalation completed.",IF($T877="OVERDUE","Next: "&amp;$Z877&amp;" was due "&amp;TEXT($Y877,"dd-mmm")&amp;" - "&amp;(NETWORKDAYS($Y877,TODAY(),Holidays)-1)&amp;" business day(s) late. Send now.",IF($T877="DUE TOMORROW","Next: "&amp;$Z877&amp;IF($Y877&lt;=TODAY()," is due TODAY ("," is due next business day (")&amp;TEXT($Y877,"dd-mmm")&amp;").","Next: "&amp;$Z877&amp;" due "&amp;TEXT($Y877,"dd-mmm")&amp;" ("&amp;(NETWORKDAYS(TODAY(),$Y877,Holidays)-1)&amp;" business day(s) left).")))))</f>
        <v/>
      </c>
      <c r="V877" s="17">
        <f>IF($W877="","",CHOOSE($W877,"Collection Email","1st Follow-up","2nd Follow-up","Local Office","CBE","Roxanne")&amp;IF($W877=6," - Final"," - Day "&amp;MAX(0,NETWORKDAYS($X877,TODAY(),Holidays)-1)&amp;" of "&amp;CHOOSE($W877,3,3,2,2,3))&amp;" | Total Day "&amp;MAX(0,NETWORKDAYS($L877,TODAY(),Holidays)-1))</f>
        <v/>
      </c>
      <c r="W877" s="17">
        <f>IF($L877="","",COUNT($L877:$Q877))</f>
        <v/>
      </c>
      <c r="X877" s="18">
        <f>IF($W877="","",INT(INDEX($L877:$Q877,$W877)))</f>
        <v/>
      </c>
      <c r="Y877" s="18">
        <f>IF(OR($W877="",$W877=6),"",WORKDAY($X877,CHOOSE($W877,3,3,2,2,3),Holidays))</f>
        <v/>
      </c>
      <c r="Z877" s="17">
        <f>IF(OR($W877="",$W877=6),"",CHOOSE($W877,"1st Email Follow-up","2nd Email Follow-up","Escalate Local Office","Escalate to CBE","Escalate to Roxanne"))</f>
        <v/>
      </c>
    </row>
    <row r="878" spans="18:26">
      <c r="R878" s="15"/>
      <c r="S878" s="16"/>
      <c r="T878" s="17">
        <f>IF(AND(COUNTA($A878:$K878)=0,$L878=""),"",IF($S878="Paid","PAID",IF($S878="Closed","CLOSED",IF($W878="","",IF($W878=6,"ESCALATED TO ROXANNE",IF(TODAY()&gt;$Y878,"OVERDUE",IF($Y878&lt;=WORKDAY(TODAY(),1,Holidays),"DUE TOMORROW",IF($W878=4,"ESCALATED TO LOCAL OFFICE",IF($W878=5,"ESCALATED TO CBE",IF($X878=TODAY(),"EMAIL SENT","MONITORING"))))))))))</f>
        <v/>
      </c>
      <c r="U878" s="17">
        <f>IF($T878="",IF(AND(COUNTA($A878:$K878)&gt;0,$L878=""),"Awaiting Collection Email time stamp.",""),IF(OR($T878="PAID",$T878="CLOSED"),IF($T878="PAID","Account paid. Action completed.","Account closed. No further action required."),CHOOSE($W878,"Collection Email","1st Email Follow-up","2nd Email Follow-up","Escalation to Local Office","Escalation to CBE","Escalation to Roxanne")&amp;" sent "&amp;TEXT($X878,"dd-mmm")&amp;". "&amp;IF($W878=6,"Final escalation completed.",IF($T878="OVERDUE","Next: "&amp;$Z878&amp;" was due "&amp;TEXT($Y878,"dd-mmm")&amp;" - "&amp;(NETWORKDAYS($Y878,TODAY(),Holidays)-1)&amp;" business day(s) late. Send now.",IF($T878="DUE TOMORROW","Next: "&amp;$Z878&amp;IF($Y878&lt;=TODAY()," is due TODAY ("," is due next business day (")&amp;TEXT($Y878,"dd-mmm")&amp;").","Next: "&amp;$Z878&amp;" due "&amp;TEXT($Y878,"dd-mmm")&amp;" ("&amp;(NETWORKDAYS(TODAY(),$Y878,Holidays)-1)&amp;" business day(s) left).")))))</f>
        <v/>
      </c>
      <c r="V878" s="17">
        <f>IF($W878="","",CHOOSE($W878,"Collection Email","1st Follow-up","2nd Follow-up","Local Office","CBE","Roxanne")&amp;IF($W878=6," - Final"," - Day "&amp;MAX(0,NETWORKDAYS($X878,TODAY(),Holidays)-1)&amp;" of "&amp;CHOOSE($W878,3,3,2,2,3))&amp;" | Total Day "&amp;MAX(0,NETWORKDAYS($L878,TODAY(),Holidays)-1))</f>
        <v/>
      </c>
      <c r="W878" s="17">
        <f>IF($L878="","",COUNT($L878:$Q878))</f>
        <v/>
      </c>
      <c r="X878" s="18">
        <f>IF($W878="","",INT(INDEX($L878:$Q878,$W878)))</f>
        <v/>
      </c>
      <c r="Y878" s="18">
        <f>IF(OR($W878="",$W878=6),"",WORKDAY($X878,CHOOSE($W878,3,3,2,2,3),Holidays))</f>
        <v/>
      </c>
      <c r="Z878" s="17">
        <f>IF(OR($W878="",$W878=6),"",CHOOSE($W878,"1st Email Follow-up","2nd Email Follow-up","Escalate Local Office","Escalate to CBE","Escalate to Roxanne"))</f>
        <v/>
      </c>
    </row>
    <row r="879" spans="18:26">
      <c r="R879" s="15"/>
      <c r="S879" s="16"/>
      <c r="T879" s="17">
        <f>IF(AND(COUNTA($A879:$K879)=0,$L879=""),"",IF($S879="Paid","PAID",IF($S879="Closed","CLOSED",IF($W879="","",IF($W879=6,"ESCALATED TO ROXANNE",IF(TODAY()&gt;$Y879,"OVERDUE",IF($Y879&lt;=WORKDAY(TODAY(),1,Holidays),"DUE TOMORROW",IF($W879=4,"ESCALATED TO LOCAL OFFICE",IF($W879=5,"ESCALATED TO CBE",IF($X879=TODAY(),"EMAIL SENT","MONITORING"))))))))))</f>
        <v/>
      </c>
      <c r="U879" s="17">
        <f>IF($T879="",IF(AND(COUNTA($A879:$K879)&gt;0,$L879=""),"Awaiting Collection Email time stamp.",""),IF(OR($T879="PAID",$T879="CLOSED"),IF($T879="PAID","Account paid. Action completed.","Account closed. No further action required."),CHOOSE($W879,"Collection Email","1st Email Follow-up","2nd Email Follow-up","Escalation to Local Office","Escalation to CBE","Escalation to Roxanne")&amp;" sent "&amp;TEXT($X879,"dd-mmm")&amp;". "&amp;IF($W879=6,"Final escalation completed.",IF($T879="OVERDUE","Next: "&amp;$Z879&amp;" was due "&amp;TEXT($Y879,"dd-mmm")&amp;" - "&amp;(NETWORKDAYS($Y879,TODAY(),Holidays)-1)&amp;" business day(s) late. Send now.",IF($T879="DUE TOMORROW","Next: "&amp;$Z879&amp;IF($Y879&lt;=TODAY()," is due TODAY ("," is due next business day (")&amp;TEXT($Y879,"dd-mmm")&amp;").","Next: "&amp;$Z879&amp;" due "&amp;TEXT($Y879,"dd-mmm")&amp;" ("&amp;(NETWORKDAYS(TODAY(),$Y879,Holidays)-1)&amp;" business day(s) left).")))))</f>
        <v/>
      </c>
      <c r="V879" s="17">
        <f>IF($W879="","",CHOOSE($W879,"Collection Email","1st Follow-up","2nd Follow-up","Local Office","CBE","Roxanne")&amp;IF($W879=6," - Final"," - Day "&amp;MAX(0,NETWORKDAYS($X879,TODAY(),Holidays)-1)&amp;" of "&amp;CHOOSE($W879,3,3,2,2,3))&amp;" | Total Day "&amp;MAX(0,NETWORKDAYS($L879,TODAY(),Holidays)-1))</f>
        <v/>
      </c>
      <c r="W879" s="17">
        <f>IF($L879="","",COUNT($L879:$Q879))</f>
        <v/>
      </c>
      <c r="X879" s="18">
        <f>IF($W879="","",INT(INDEX($L879:$Q879,$W879)))</f>
        <v/>
      </c>
      <c r="Y879" s="18">
        <f>IF(OR($W879="",$W879=6),"",WORKDAY($X879,CHOOSE($W879,3,3,2,2,3),Holidays))</f>
        <v/>
      </c>
      <c r="Z879" s="17">
        <f>IF(OR($W879="",$W879=6),"",CHOOSE($W879,"1st Email Follow-up","2nd Email Follow-up","Escalate Local Office","Escalate to CBE","Escalate to Roxanne"))</f>
        <v/>
      </c>
    </row>
    <row r="880" spans="18:26">
      <c r="R880" s="15"/>
      <c r="S880" s="16"/>
      <c r="T880" s="17">
        <f>IF(AND(COUNTA($A880:$K880)=0,$L880=""),"",IF($S880="Paid","PAID",IF($S880="Closed","CLOSED",IF($W880="","",IF($W880=6,"ESCALATED TO ROXANNE",IF(TODAY()&gt;$Y880,"OVERDUE",IF($Y880&lt;=WORKDAY(TODAY(),1,Holidays),"DUE TOMORROW",IF($W880=4,"ESCALATED TO LOCAL OFFICE",IF($W880=5,"ESCALATED TO CBE",IF($X880=TODAY(),"EMAIL SENT","MONITORING"))))))))))</f>
        <v/>
      </c>
      <c r="U880" s="17">
        <f>IF($T880="",IF(AND(COUNTA($A880:$K880)&gt;0,$L880=""),"Awaiting Collection Email time stamp.",""),IF(OR($T880="PAID",$T880="CLOSED"),IF($T880="PAID","Account paid. Action completed.","Account closed. No further action required."),CHOOSE($W880,"Collection Email","1st Email Follow-up","2nd Email Follow-up","Escalation to Local Office","Escalation to CBE","Escalation to Roxanne")&amp;" sent "&amp;TEXT($X880,"dd-mmm")&amp;". "&amp;IF($W880=6,"Final escalation completed.",IF($T880="OVERDUE","Next: "&amp;$Z880&amp;" was due "&amp;TEXT($Y880,"dd-mmm")&amp;" - "&amp;(NETWORKDAYS($Y880,TODAY(),Holidays)-1)&amp;" business day(s) late. Send now.",IF($T880="DUE TOMORROW","Next: "&amp;$Z880&amp;IF($Y880&lt;=TODAY()," is due TODAY ("," is due next business day (")&amp;TEXT($Y880,"dd-mmm")&amp;").","Next: "&amp;$Z880&amp;" due "&amp;TEXT($Y880,"dd-mmm")&amp;" ("&amp;(NETWORKDAYS(TODAY(),$Y880,Holidays)-1)&amp;" business day(s) left).")))))</f>
        <v/>
      </c>
      <c r="V880" s="17">
        <f>IF($W880="","",CHOOSE($W880,"Collection Email","1st Follow-up","2nd Follow-up","Local Office","CBE","Roxanne")&amp;IF($W880=6," - Final"," - Day "&amp;MAX(0,NETWORKDAYS($X880,TODAY(),Holidays)-1)&amp;" of "&amp;CHOOSE($W880,3,3,2,2,3))&amp;" | Total Day "&amp;MAX(0,NETWORKDAYS($L880,TODAY(),Holidays)-1))</f>
        <v/>
      </c>
      <c r="W880" s="17">
        <f>IF($L880="","",COUNT($L880:$Q880))</f>
        <v/>
      </c>
      <c r="X880" s="18">
        <f>IF($W880="","",INT(INDEX($L880:$Q880,$W880)))</f>
        <v/>
      </c>
      <c r="Y880" s="18">
        <f>IF(OR($W880="",$W880=6),"",WORKDAY($X880,CHOOSE($W880,3,3,2,2,3),Holidays))</f>
        <v/>
      </c>
      <c r="Z880" s="17">
        <f>IF(OR($W880="",$W880=6),"",CHOOSE($W880,"1st Email Follow-up","2nd Email Follow-up","Escalate Local Office","Escalate to CBE","Escalate to Roxanne"))</f>
        <v/>
      </c>
    </row>
    <row r="881" spans="18:26">
      <c r="R881" s="15"/>
      <c r="S881" s="16"/>
      <c r="T881" s="17">
        <f>IF(AND(COUNTA($A881:$K881)=0,$L881=""),"",IF($S881="Paid","PAID",IF($S881="Closed","CLOSED",IF($W881="","",IF($W881=6,"ESCALATED TO ROXANNE",IF(TODAY()&gt;$Y881,"OVERDUE",IF($Y881&lt;=WORKDAY(TODAY(),1,Holidays),"DUE TOMORROW",IF($W881=4,"ESCALATED TO LOCAL OFFICE",IF($W881=5,"ESCALATED TO CBE",IF($X881=TODAY(),"EMAIL SENT","MONITORING"))))))))))</f>
        <v/>
      </c>
      <c r="U881" s="17">
        <f>IF($T881="",IF(AND(COUNTA($A881:$K881)&gt;0,$L881=""),"Awaiting Collection Email time stamp.",""),IF(OR($T881="PAID",$T881="CLOSED"),IF($T881="PAID","Account paid. Action completed.","Account closed. No further action required."),CHOOSE($W881,"Collection Email","1st Email Follow-up","2nd Email Follow-up","Escalation to Local Office","Escalation to CBE","Escalation to Roxanne")&amp;" sent "&amp;TEXT($X881,"dd-mmm")&amp;". "&amp;IF($W881=6,"Final escalation completed.",IF($T881="OVERDUE","Next: "&amp;$Z881&amp;" was due "&amp;TEXT($Y881,"dd-mmm")&amp;" - "&amp;(NETWORKDAYS($Y881,TODAY(),Holidays)-1)&amp;" business day(s) late. Send now.",IF($T881="DUE TOMORROW","Next: "&amp;$Z881&amp;IF($Y881&lt;=TODAY()," is due TODAY ("," is due next business day (")&amp;TEXT($Y881,"dd-mmm")&amp;").","Next: "&amp;$Z881&amp;" due "&amp;TEXT($Y881,"dd-mmm")&amp;" ("&amp;(NETWORKDAYS(TODAY(),$Y881,Holidays)-1)&amp;" business day(s) left).")))))</f>
        <v/>
      </c>
      <c r="V881" s="17">
        <f>IF($W881="","",CHOOSE($W881,"Collection Email","1st Follow-up","2nd Follow-up","Local Office","CBE","Roxanne")&amp;IF($W881=6," - Final"," - Day "&amp;MAX(0,NETWORKDAYS($X881,TODAY(),Holidays)-1)&amp;" of "&amp;CHOOSE($W881,3,3,2,2,3))&amp;" | Total Day "&amp;MAX(0,NETWORKDAYS($L881,TODAY(),Holidays)-1))</f>
        <v/>
      </c>
      <c r="W881" s="17">
        <f>IF($L881="","",COUNT($L881:$Q881))</f>
        <v/>
      </c>
      <c r="X881" s="18">
        <f>IF($W881="","",INT(INDEX($L881:$Q881,$W881)))</f>
        <v/>
      </c>
      <c r="Y881" s="18">
        <f>IF(OR($W881="",$W881=6),"",WORKDAY($X881,CHOOSE($W881,3,3,2,2,3),Holidays))</f>
        <v/>
      </c>
      <c r="Z881" s="17">
        <f>IF(OR($W881="",$W881=6),"",CHOOSE($W881,"1st Email Follow-up","2nd Email Follow-up","Escalate Local Office","Escalate to CBE","Escalate to Roxanne"))</f>
        <v/>
      </c>
    </row>
    <row r="882" spans="18:26">
      <c r="R882" s="15"/>
      <c r="S882" s="16"/>
      <c r="T882" s="17">
        <f>IF(AND(COUNTA($A882:$K882)=0,$L882=""),"",IF($S882="Paid","PAID",IF($S882="Closed","CLOSED",IF($W882="","",IF($W882=6,"ESCALATED TO ROXANNE",IF(TODAY()&gt;$Y882,"OVERDUE",IF($Y882&lt;=WORKDAY(TODAY(),1,Holidays),"DUE TOMORROW",IF($W882=4,"ESCALATED TO LOCAL OFFICE",IF($W882=5,"ESCALATED TO CBE",IF($X882=TODAY(),"EMAIL SENT","MONITORING"))))))))))</f>
        <v/>
      </c>
      <c r="U882" s="17">
        <f>IF($T882="",IF(AND(COUNTA($A882:$K882)&gt;0,$L882=""),"Awaiting Collection Email time stamp.",""),IF(OR($T882="PAID",$T882="CLOSED"),IF($T882="PAID","Account paid. Action completed.","Account closed. No further action required."),CHOOSE($W882,"Collection Email","1st Email Follow-up","2nd Email Follow-up","Escalation to Local Office","Escalation to CBE","Escalation to Roxanne")&amp;" sent "&amp;TEXT($X882,"dd-mmm")&amp;". "&amp;IF($W882=6,"Final escalation completed.",IF($T882="OVERDUE","Next: "&amp;$Z882&amp;" was due "&amp;TEXT($Y882,"dd-mmm")&amp;" - "&amp;(NETWORKDAYS($Y882,TODAY(),Holidays)-1)&amp;" business day(s) late. Send now.",IF($T882="DUE TOMORROW","Next: "&amp;$Z882&amp;IF($Y882&lt;=TODAY()," is due TODAY ("," is due next business day (")&amp;TEXT($Y882,"dd-mmm")&amp;").","Next: "&amp;$Z882&amp;" due "&amp;TEXT($Y882,"dd-mmm")&amp;" ("&amp;(NETWORKDAYS(TODAY(),$Y882,Holidays)-1)&amp;" business day(s) left).")))))</f>
        <v/>
      </c>
      <c r="V882" s="17">
        <f>IF($W882="","",CHOOSE($W882,"Collection Email","1st Follow-up","2nd Follow-up","Local Office","CBE","Roxanne")&amp;IF($W882=6," - Final"," - Day "&amp;MAX(0,NETWORKDAYS($X882,TODAY(),Holidays)-1)&amp;" of "&amp;CHOOSE($W882,3,3,2,2,3))&amp;" | Total Day "&amp;MAX(0,NETWORKDAYS($L882,TODAY(),Holidays)-1))</f>
        <v/>
      </c>
      <c r="W882" s="17">
        <f>IF($L882="","",COUNT($L882:$Q882))</f>
        <v/>
      </c>
      <c r="X882" s="18">
        <f>IF($W882="","",INT(INDEX($L882:$Q882,$W882)))</f>
        <v/>
      </c>
      <c r="Y882" s="18">
        <f>IF(OR($W882="",$W882=6),"",WORKDAY($X882,CHOOSE($W882,3,3,2,2,3),Holidays))</f>
        <v/>
      </c>
      <c r="Z882" s="17">
        <f>IF(OR($W882="",$W882=6),"",CHOOSE($W882,"1st Email Follow-up","2nd Email Follow-up","Escalate Local Office","Escalate to CBE","Escalate to Roxanne"))</f>
        <v/>
      </c>
    </row>
    <row r="883" spans="18:26">
      <c r="R883" s="15"/>
      <c r="S883" s="16"/>
      <c r="T883" s="17">
        <f>IF(AND(COUNTA($A883:$K883)=0,$L883=""),"",IF($S883="Paid","PAID",IF($S883="Closed","CLOSED",IF($W883="","",IF($W883=6,"ESCALATED TO ROXANNE",IF(TODAY()&gt;$Y883,"OVERDUE",IF($Y883&lt;=WORKDAY(TODAY(),1,Holidays),"DUE TOMORROW",IF($W883=4,"ESCALATED TO LOCAL OFFICE",IF($W883=5,"ESCALATED TO CBE",IF($X883=TODAY(),"EMAIL SENT","MONITORING"))))))))))</f>
        <v/>
      </c>
      <c r="U883" s="17">
        <f>IF($T883="",IF(AND(COUNTA($A883:$K883)&gt;0,$L883=""),"Awaiting Collection Email time stamp.",""),IF(OR($T883="PAID",$T883="CLOSED"),IF($T883="PAID","Account paid. Action completed.","Account closed. No further action required."),CHOOSE($W883,"Collection Email","1st Email Follow-up","2nd Email Follow-up","Escalation to Local Office","Escalation to CBE","Escalation to Roxanne")&amp;" sent "&amp;TEXT($X883,"dd-mmm")&amp;". "&amp;IF($W883=6,"Final escalation completed.",IF($T883="OVERDUE","Next: "&amp;$Z883&amp;" was due "&amp;TEXT($Y883,"dd-mmm")&amp;" - "&amp;(NETWORKDAYS($Y883,TODAY(),Holidays)-1)&amp;" business day(s) late. Send now.",IF($T883="DUE TOMORROW","Next: "&amp;$Z883&amp;IF($Y883&lt;=TODAY()," is due TODAY ("," is due next business day (")&amp;TEXT($Y883,"dd-mmm")&amp;").","Next: "&amp;$Z883&amp;" due "&amp;TEXT($Y883,"dd-mmm")&amp;" ("&amp;(NETWORKDAYS(TODAY(),$Y883,Holidays)-1)&amp;" business day(s) left).")))))</f>
        <v/>
      </c>
      <c r="V883" s="17">
        <f>IF($W883="","",CHOOSE($W883,"Collection Email","1st Follow-up","2nd Follow-up","Local Office","CBE","Roxanne")&amp;IF($W883=6," - Final"," - Day "&amp;MAX(0,NETWORKDAYS($X883,TODAY(),Holidays)-1)&amp;" of "&amp;CHOOSE($W883,3,3,2,2,3))&amp;" | Total Day "&amp;MAX(0,NETWORKDAYS($L883,TODAY(),Holidays)-1))</f>
        <v/>
      </c>
      <c r="W883" s="17">
        <f>IF($L883="","",COUNT($L883:$Q883))</f>
        <v/>
      </c>
      <c r="X883" s="18">
        <f>IF($W883="","",INT(INDEX($L883:$Q883,$W883)))</f>
        <v/>
      </c>
      <c r="Y883" s="18">
        <f>IF(OR($W883="",$W883=6),"",WORKDAY($X883,CHOOSE($W883,3,3,2,2,3),Holidays))</f>
        <v/>
      </c>
      <c r="Z883" s="17">
        <f>IF(OR($W883="",$W883=6),"",CHOOSE($W883,"1st Email Follow-up","2nd Email Follow-up","Escalate Local Office","Escalate to CBE","Escalate to Roxanne"))</f>
        <v/>
      </c>
    </row>
    <row r="884" spans="18:26">
      <c r="R884" s="15"/>
      <c r="S884" s="16"/>
      <c r="T884" s="17">
        <f>IF(AND(COUNTA($A884:$K884)=0,$L884=""),"",IF($S884="Paid","PAID",IF($S884="Closed","CLOSED",IF($W884="","",IF($W884=6,"ESCALATED TO ROXANNE",IF(TODAY()&gt;$Y884,"OVERDUE",IF($Y884&lt;=WORKDAY(TODAY(),1,Holidays),"DUE TOMORROW",IF($W884=4,"ESCALATED TO LOCAL OFFICE",IF($W884=5,"ESCALATED TO CBE",IF($X884=TODAY(),"EMAIL SENT","MONITORING"))))))))))</f>
        <v/>
      </c>
      <c r="U884" s="17">
        <f>IF($T884="",IF(AND(COUNTA($A884:$K884)&gt;0,$L884=""),"Awaiting Collection Email time stamp.",""),IF(OR($T884="PAID",$T884="CLOSED"),IF($T884="PAID","Account paid. Action completed.","Account closed. No further action required."),CHOOSE($W884,"Collection Email","1st Email Follow-up","2nd Email Follow-up","Escalation to Local Office","Escalation to CBE","Escalation to Roxanne")&amp;" sent "&amp;TEXT($X884,"dd-mmm")&amp;". "&amp;IF($W884=6,"Final escalation completed.",IF($T884="OVERDUE","Next: "&amp;$Z884&amp;" was due "&amp;TEXT($Y884,"dd-mmm")&amp;" - "&amp;(NETWORKDAYS($Y884,TODAY(),Holidays)-1)&amp;" business day(s) late. Send now.",IF($T884="DUE TOMORROW","Next: "&amp;$Z884&amp;IF($Y884&lt;=TODAY()," is due TODAY ("," is due next business day (")&amp;TEXT($Y884,"dd-mmm")&amp;").","Next: "&amp;$Z884&amp;" due "&amp;TEXT($Y884,"dd-mmm")&amp;" ("&amp;(NETWORKDAYS(TODAY(),$Y884,Holidays)-1)&amp;" business day(s) left).")))))</f>
        <v/>
      </c>
      <c r="V884" s="17">
        <f>IF($W884="","",CHOOSE($W884,"Collection Email","1st Follow-up","2nd Follow-up","Local Office","CBE","Roxanne")&amp;IF($W884=6," - Final"," - Day "&amp;MAX(0,NETWORKDAYS($X884,TODAY(),Holidays)-1)&amp;" of "&amp;CHOOSE($W884,3,3,2,2,3))&amp;" | Total Day "&amp;MAX(0,NETWORKDAYS($L884,TODAY(),Holidays)-1))</f>
        <v/>
      </c>
      <c r="W884" s="17">
        <f>IF($L884="","",COUNT($L884:$Q884))</f>
        <v/>
      </c>
      <c r="X884" s="18">
        <f>IF($W884="","",INT(INDEX($L884:$Q884,$W884)))</f>
        <v/>
      </c>
      <c r="Y884" s="18">
        <f>IF(OR($W884="",$W884=6),"",WORKDAY($X884,CHOOSE($W884,3,3,2,2,3),Holidays))</f>
        <v/>
      </c>
      <c r="Z884" s="17">
        <f>IF(OR($W884="",$W884=6),"",CHOOSE($W884,"1st Email Follow-up","2nd Email Follow-up","Escalate Local Office","Escalate to CBE","Escalate to Roxanne"))</f>
        <v/>
      </c>
    </row>
    <row r="885" spans="18:26">
      <c r="R885" s="15"/>
      <c r="S885" s="16"/>
      <c r="T885" s="17">
        <f>IF(AND(COUNTA($A885:$K885)=0,$L885=""),"",IF($S885="Paid","PAID",IF($S885="Closed","CLOSED",IF($W885="","",IF($W885=6,"ESCALATED TO ROXANNE",IF(TODAY()&gt;$Y885,"OVERDUE",IF($Y885&lt;=WORKDAY(TODAY(),1,Holidays),"DUE TOMORROW",IF($W885=4,"ESCALATED TO LOCAL OFFICE",IF($W885=5,"ESCALATED TO CBE",IF($X885=TODAY(),"EMAIL SENT","MONITORING"))))))))))</f>
        <v/>
      </c>
      <c r="U885" s="17">
        <f>IF($T885="",IF(AND(COUNTA($A885:$K885)&gt;0,$L885=""),"Awaiting Collection Email time stamp.",""),IF(OR($T885="PAID",$T885="CLOSED"),IF($T885="PAID","Account paid. Action completed.","Account closed. No further action required."),CHOOSE($W885,"Collection Email","1st Email Follow-up","2nd Email Follow-up","Escalation to Local Office","Escalation to CBE","Escalation to Roxanne")&amp;" sent "&amp;TEXT($X885,"dd-mmm")&amp;". "&amp;IF($W885=6,"Final escalation completed.",IF($T885="OVERDUE","Next: "&amp;$Z885&amp;" was due "&amp;TEXT($Y885,"dd-mmm")&amp;" - "&amp;(NETWORKDAYS($Y885,TODAY(),Holidays)-1)&amp;" business day(s) late. Send now.",IF($T885="DUE TOMORROW","Next: "&amp;$Z885&amp;IF($Y885&lt;=TODAY()," is due TODAY ("," is due next business day (")&amp;TEXT($Y885,"dd-mmm")&amp;").","Next: "&amp;$Z885&amp;" due "&amp;TEXT($Y885,"dd-mmm")&amp;" ("&amp;(NETWORKDAYS(TODAY(),$Y885,Holidays)-1)&amp;" business day(s) left).")))))</f>
        <v/>
      </c>
      <c r="V885" s="17">
        <f>IF($W885="","",CHOOSE($W885,"Collection Email","1st Follow-up","2nd Follow-up","Local Office","CBE","Roxanne")&amp;IF($W885=6," - Final"," - Day "&amp;MAX(0,NETWORKDAYS($X885,TODAY(),Holidays)-1)&amp;" of "&amp;CHOOSE($W885,3,3,2,2,3))&amp;" | Total Day "&amp;MAX(0,NETWORKDAYS($L885,TODAY(),Holidays)-1))</f>
        <v/>
      </c>
      <c r="W885" s="17">
        <f>IF($L885="","",COUNT($L885:$Q885))</f>
        <v/>
      </c>
      <c r="X885" s="18">
        <f>IF($W885="","",INT(INDEX($L885:$Q885,$W885)))</f>
        <v/>
      </c>
      <c r="Y885" s="18">
        <f>IF(OR($W885="",$W885=6),"",WORKDAY($X885,CHOOSE($W885,3,3,2,2,3),Holidays))</f>
        <v/>
      </c>
      <c r="Z885" s="17">
        <f>IF(OR($W885="",$W885=6),"",CHOOSE($W885,"1st Email Follow-up","2nd Email Follow-up","Escalate Local Office","Escalate to CBE","Escalate to Roxanne"))</f>
        <v/>
      </c>
    </row>
    <row r="886" spans="18:26">
      <c r="R886" s="15"/>
      <c r="S886" s="16"/>
      <c r="T886" s="17">
        <f>IF(AND(COUNTA($A886:$K886)=0,$L886=""),"",IF($S886="Paid","PAID",IF($S886="Closed","CLOSED",IF($W886="","",IF($W886=6,"ESCALATED TO ROXANNE",IF(TODAY()&gt;$Y886,"OVERDUE",IF($Y886&lt;=WORKDAY(TODAY(),1,Holidays),"DUE TOMORROW",IF($W886=4,"ESCALATED TO LOCAL OFFICE",IF($W886=5,"ESCALATED TO CBE",IF($X886=TODAY(),"EMAIL SENT","MONITORING"))))))))))</f>
        <v/>
      </c>
      <c r="U886" s="17">
        <f>IF($T886="",IF(AND(COUNTA($A886:$K886)&gt;0,$L886=""),"Awaiting Collection Email time stamp.",""),IF(OR($T886="PAID",$T886="CLOSED"),IF($T886="PAID","Account paid. Action completed.","Account closed. No further action required."),CHOOSE($W886,"Collection Email","1st Email Follow-up","2nd Email Follow-up","Escalation to Local Office","Escalation to CBE","Escalation to Roxanne")&amp;" sent "&amp;TEXT($X886,"dd-mmm")&amp;". "&amp;IF($W886=6,"Final escalation completed.",IF($T886="OVERDUE","Next: "&amp;$Z886&amp;" was due "&amp;TEXT($Y886,"dd-mmm")&amp;" - "&amp;(NETWORKDAYS($Y886,TODAY(),Holidays)-1)&amp;" business day(s) late. Send now.",IF($T886="DUE TOMORROW","Next: "&amp;$Z886&amp;IF($Y886&lt;=TODAY()," is due TODAY ("," is due next business day (")&amp;TEXT($Y886,"dd-mmm")&amp;").","Next: "&amp;$Z886&amp;" due "&amp;TEXT($Y886,"dd-mmm")&amp;" ("&amp;(NETWORKDAYS(TODAY(),$Y886,Holidays)-1)&amp;" business day(s) left).")))))</f>
        <v/>
      </c>
      <c r="V886" s="17">
        <f>IF($W886="","",CHOOSE($W886,"Collection Email","1st Follow-up","2nd Follow-up","Local Office","CBE","Roxanne")&amp;IF($W886=6," - Final"," - Day "&amp;MAX(0,NETWORKDAYS($X886,TODAY(),Holidays)-1)&amp;" of "&amp;CHOOSE($W886,3,3,2,2,3))&amp;" | Total Day "&amp;MAX(0,NETWORKDAYS($L886,TODAY(),Holidays)-1))</f>
        <v/>
      </c>
      <c r="W886" s="17">
        <f>IF($L886="","",COUNT($L886:$Q886))</f>
        <v/>
      </c>
      <c r="X886" s="18">
        <f>IF($W886="","",INT(INDEX($L886:$Q886,$W886)))</f>
        <v/>
      </c>
      <c r="Y886" s="18">
        <f>IF(OR($W886="",$W886=6),"",WORKDAY($X886,CHOOSE($W886,3,3,2,2,3),Holidays))</f>
        <v/>
      </c>
      <c r="Z886" s="17">
        <f>IF(OR($W886="",$W886=6),"",CHOOSE($W886,"1st Email Follow-up","2nd Email Follow-up","Escalate Local Office","Escalate to CBE","Escalate to Roxanne"))</f>
        <v/>
      </c>
    </row>
    <row r="887" spans="18:26">
      <c r="R887" s="15"/>
      <c r="S887" s="16"/>
      <c r="T887" s="17">
        <f>IF(AND(COUNTA($A887:$K887)=0,$L887=""),"",IF($S887="Paid","PAID",IF($S887="Closed","CLOSED",IF($W887="","",IF($W887=6,"ESCALATED TO ROXANNE",IF(TODAY()&gt;$Y887,"OVERDUE",IF($Y887&lt;=WORKDAY(TODAY(),1,Holidays),"DUE TOMORROW",IF($W887=4,"ESCALATED TO LOCAL OFFICE",IF($W887=5,"ESCALATED TO CBE",IF($X887=TODAY(),"EMAIL SENT","MONITORING"))))))))))</f>
        <v/>
      </c>
      <c r="U887" s="17">
        <f>IF($T887="",IF(AND(COUNTA($A887:$K887)&gt;0,$L887=""),"Awaiting Collection Email time stamp.",""),IF(OR($T887="PAID",$T887="CLOSED"),IF($T887="PAID","Account paid. Action completed.","Account closed. No further action required."),CHOOSE($W887,"Collection Email","1st Email Follow-up","2nd Email Follow-up","Escalation to Local Office","Escalation to CBE","Escalation to Roxanne")&amp;" sent "&amp;TEXT($X887,"dd-mmm")&amp;". "&amp;IF($W887=6,"Final escalation completed.",IF($T887="OVERDUE","Next: "&amp;$Z887&amp;" was due "&amp;TEXT($Y887,"dd-mmm")&amp;" - "&amp;(NETWORKDAYS($Y887,TODAY(),Holidays)-1)&amp;" business day(s) late. Send now.",IF($T887="DUE TOMORROW","Next: "&amp;$Z887&amp;IF($Y887&lt;=TODAY()," is due TODAY ("," is due next business day (")&amp;TEXT($Y887,"dd-mmm")&amp;").","Next: "&amp;$Z887&amp;" due "&amp;TEXT($Y887,"dd-mmm")&amp;" ("&amp;(NETWORKDAYS(TODAY(),$Y887,Holidays)-1)&amp;" business day(s) left).")))))</f>
        <v/>
      </c>
      <c r="V887" s="17">
        <f>IF($W887="","",CHOOSE($W887,"Collection Email","1st Follow-up","2nd Follow-up","Local Office","CBE","Roxanne")&amp;IF($W887=6," - Final"," - Day "&amp;MAX(0,NETWORKDAYS($X887,TODAY(),Holidays)-1)&amp;" of "&amp;CHOOSE($W887,3,3,2,2,3))&amp;" | Total Day "&amp;MAX(0,NETWORKDAYS($L887,TODAY(),Holidays)-1))</f>
        <v/>
      </c>
      <c r="W887" s="17">
        <f>IF($L887="","",COUNT($L887:$Q887))</f>
        <v/>
      </c>
      <c r="X887" s="18">
        <f>IF($W887="","",INT(INDEX($L887:$Q887,$W887)))</f>
        <v/>
      </c>
      <c r="Y887" s="18">
        <f>IF(OR($W887="",$W887=6),"",WORKDAY($X887,CHOOSE($W887,3,3,2,2,3),Holidays))</f>
        <v/>
      </c>
      <c r="Z887" s="17">
        <f>IF(OR($W887="",$W887=6),"",CHOOSE($W887,"1st Email Follow-up","2nd Email Follow-up","Escalate Local Office","Escalate to CBE","Escalate to Roxanne"))</f>
        <v/>
      </c>
    </row>
    <row r="888" spans="18:26">
      <c r="R888" s="15"/>
      <c r="S888" s="16"/>
      <c r="T888" s="17">
        <f>IF(AND(COUNTA($A888:$K888)=0,$L888=""),"",IF($S888="Paid","PAID",IF($S888="Closed","CLOSED",IF($W888="","",IF($W888=6,"ESCALATED TO ROXANNE",IF(TODAY()&gt;$Y888,"OVERDUE",IF($Y888&lt;=WORKDAY(TODAY(),1,Holidays),"DUE TOMORROW",IF($W888=4,"ESCALATED TO LOCAL OFFICE",IF($W888=5,"ESCALATED TO CBE",IF($X888=TODAY(),"EMAIL SENT","MONITORING"))))))))))</f>
        <v/>
      </c>
      <c r="U888" s="17">
        <f>IF($T888="",IF(AND(COUNTA($A888:$K888)&gt;0,$L888=""),"Awaiting Collection Email time stamp.",""),IF(OR($T888="PAID",$T888="CLOSED"),IF($T888="PAID","Account paid. Action completed.","Account closed. No further action required."),CHOOSE($W888,"Collection Email","1st Email Follow-up","2nd Email Follow-up","Escalation to Local Office","Escalation to CBE","Escalation to Roxanne")&amp;" sent "&amp;TEXT($X888,"dd-mmm")&amp;". "&amp;IF($W888=6,"Final escalation completed.",IF($T888="OVERDUE","Next: "&amp;$Z888&amp;" was due "&amp;TEXT($Y888,"dd-mmm")&amp;" - "&amp;(NETWORKDAYS($Y888,TODAY(),Holidays)-1)&amp;" business day(s) late. Send now.",IF($T888="DUE TOMORROW","Next: "&amp;$Z888&amp;IF($Y888&lt;=TODAY()," is due TODAY ("," is due next business day (")&amp;TEXT($Y888,"dd-mmm")&amp;").","Next: "&amp;$Z888&amp;" due "&amp;TEXT($Y888,"dd-mmm")&amp;" ("&amp;(NETWORKDAYS(TODAY(),$Y888,Holidays)-1)&amp;" business day(s) left).")))))</f>
        <v/>
      </c>
      <c r="V888" s="17">
        <f>IF($W888="","",CHOOSE($W888,"Collection Email","1st Follow-up","2nd Follow-up","Local Office","CBE","Roxanne")&amp;IF($W888=6," - Final"," - Day "&amp;MAX(0,NETWORKDAYS($X888,TODAY(),Holidays)-1)&amp;" of "&amp;CHOOSE($W888,3,3,2,2,3))&amp;" | Total Day "&amp;MAX(0,NETWORKDAYS($L888,TODAY(),Holidays)-1))</f>
        <v/>
      </c>
      <c r="W888" s="17">
        <f>IF($L888="","",COUNT($L888:$Q888))</f>
        <v/>
      </c>
      <c r="X888" s="18">
        <f>IF($W888="","",INT(INDEX($L888:$Q888,$W888)))</f>
        <v/>
      </c>
      <c r="Y888" s="18">
        <f>IF(OR($W888="",$W888=6),"",WORKDAY($X888,CHOOSE($W888,3,3,2,2,3),Holidays))</f>
        <v/>
      </c>
      <c r="Z888" s="17">
        <f>IF(OR($W888="",$W888=6),"",CHOOSE($W888,"1st Email Follow-up","2nd Email Follow-up","Escalate Local Office","Escalate to CBE","Escalate to Roxanne"))</f>
        <v/>
      </c>
    </row>
    <row r="889" spans="18:26">
      <c r="R889" s="15"/>
      <c r="S889" s="16"/>
      <c r="T889" s="17">
        <f>IF(AND(COUNTA($A889:$K889)=0,$L889=""),"",IF($S889="Paid","PAID",IF($S889="Closed","CLOSED",IF($W889="","",IF($W889=6,"ESCALATED TO ROXANNE",IF(TODAY()&gt;$Y889,"OVERDUE",IF($Y889&lt;=WORKDAY(TODAY(),1,Holidays),"DUE TOMORROW",IF($W889=4,"ESCALATED TO LOCAL OFFICE",IF($W889=5,"ESCALATED TO CBE",IF($X889=TODAY(),"EMAIL SENT","MONITORING"))))))))))</f>
        <v/>
      </c>
      <c r="U889" s="17">
        <f>IF($T889="",IF(AND(COUNTA($A889:$K889)&gt;0,$L889=""),"Awaiting Collection Email time stamp.",""),IF(OR($T889="PAID",$T889="CLOSED"),IF($T889="PAID","Account paid. Action completed.","Account closed. No further action required."),CHOOSE($W889,"Collection Email","1st Email Follow-up","2nd Email Follow-up","Escalation to Local Office","Escalation to CBE","Escalation to Roxanne")&amp;" sent "&amp;TEXT($X889,"dd-mmm")&amp;". "&amp;IF($W889=6,"Final escalation completed.",IF($T889="OVERDUE","Next: "&amp;$Z889&amp;" was due "&amp;TEXT($Y889,"dd-mmm")&amp;" - "&amp;(NETWORKDAYS($Y889,TODAY(),Holidays)-1)&amp;" business day(s) late. Send now.",IF($T889="DUE TOMORROW","Next: "&amp;$Z889&amp;IF($Y889&lt;=TODAY()," is due TODAY ("," is due next business day (")&amp;TEXT($Y889,"dd-mmm")&amp;").","Next: "&amp;$Z889&amp;" due "&amp;TEXT($Y889,"dd-mmm")&amp;" ("&amp;(NETWORKDAYS(TODAY(),$Y889,Holidays)-1)&amp;" business day(s) left).")))))</f>
        <v/>
      </c>
      <c r="V889" s="17">
        <f>IF($W889="","",CHOOSE($W889,"Collection Email","1st Follow-up","2nd Follow-up","Local Office","CBE","Roxanne")&amp;IF($W889=6," - Final"," - Day "&amp;MAX(0,NETWORKDAYS($X889,TODAY(),Holidays)-1)&amp;" of "&amp;CHOOSE($W889,3,3,2,2,3))&amp;" | Total Day "&amp;MAX(0,NETWORKDAYS($L889,TODAY(),Holidays)-1))</f>
        <v/>
      </c>
      <c r="W889" s="17">
        <f>IF($L889="","",COUNT($L889:$Q889))</f>
        <v/>
      </c>
      <c r="X889" s="18">
        <f>IF($W889="","",INT(INDEX($L889:$Q889,$W889)))</f>
        <v/>
      </c>
      <c r="Y889" s="18">
        <f>IF(OR($W889="",$W889=6),"",WORKDAY($X889,CHOOSE($W889,3,3,2,2,3),Holidays))</f>
        <v/>
      </c>
      <c r="Z889" s="17">
        <f>IF(OR($W889="",$W889=6),"",CHOOSE($W889,"1st Email Follow-up","2nd Email Follow-up","Escalate Local Office","Escalate to CBE","Escalate to Roxanne"))</f>
        <v/>
      </c>
    </row>
    <row r="890" spans="18:26">
      <c r="R890" s="15"/>
      <c r="S890" s="16"/>
      <c r="T890" s="17">
        <f>IF(AND(COUNTA($A890:$K890)=0,$L890=""),"",IF($S890="Paid","PAID",IF($S890="Closed","CLOSED",IF($W890="","",IF($W890=6,"ESCALATED TO ROXANNE",IF(TODAY()&gt;$Y890,"OVERDUE",IF($Y890&lt;=WORKDAY(TODAY(),1,Holidays),"DUE TOMORROW",IF($W890=4,"ESCALATED TO LOCAL OFFICE",IF($W890=5,"ESCALATED TO CBE",IF($X890=TODAY(),"EMAIL SENT","MONITORING"))))))))))</f>
        <v/>
      </c>
      <c r="U890" s="17">
        <f>IF($T890="",IF(AND(COUNTA($A890:$K890)&gt;0,$L890=""),"Awaiting Collection Email time stamp.",""),IF(OR($T890="PAID",$T890="CLOSED"),IF($T890="PAID","Account paid. Action completed.","Account closed. No further action required."),CHOOSE($W890,"Collection Email","1st Email Follow-up","2nd Email Follow-up","Escalation to Local Office","Escalation to CBE","Escalation to Roxanne")&amp;" sent "&amp;TEXT($X890,"dd-mmm")&amp;". "&amp;IF($W890=6,"Final escalation completed.",IF($T890="OVERDUE","Next: "&amp;$Z890&amp;" was due "&amp;TEXT($Y890,"dd-mmm")&amp;" - "&amp;(NETWORKDAYS($Y890,TODAY(),Holidays)-1)&amp;" business day(s) late. Send now.",IF($T890="DUE TOMORROW","Next: "&amp;$Z890&amp;IF($Y890&lt;=TODAY()," is due TODAY ("," is due next business day (")&amp;TEXT($Y890,"dd-mmm")&amp;").","Next: "&amp;$Z890&amp;" due "&amp;TEXT($Y890,"dd-mmm")&amp;" ("&amp;(NETWORKDAYS(TODAY(),$Y890,Holidays)-1)&amp;" business day(s) left).")))))</f>
        <v/>
      </c>
      <c r="V890" s="17">
        <f>IF($W890="","",CHOOSE($W890,"Collection Email","1st Follow-up","2nd Follow-up","Local Office","CBE","Roxanne")&amp;IF($W890=6," - Final"," - Day "&amp;MAX(0,NETWORKDAYS($X890,TODAY(),Holidays)-1)&amp;" of "&amp;CHOOSE($W890,3,3,2,2,3))&amp;" | Total Day "&amp;MAX(0,NETWORKDAYS($L890,TODAY(),Holidays)-1))</f>
        <v/>
      </c>
      <c r="W890" s="17">
        <f>IF($L890="","",COUNT($L890:$Q890))</f>
        <v/>
      </c>
      <c r="X890" s="18">
        <f>IF($W890="","",INT(INDEX($L890:$Q890,$W890)))</f>
        <v/>
      </c>
      <c r="Y890" s="18">
        <f>IF(OR($W890="",$W890=6),"",WORKDAY($X890,CHOOSE($W890,3,3,2,2,3),Holidays))</f>
        <v/>
      </c>
      <c r="Z890" s="17">
        <f>IF(OR($W890="",$W890=6),"",CHOOSE($W890,"1st Email Follow-up","2nd Email Follow-up","Escalate Local Office","Escalate to CBE","Escalate to Roxanne"))</f>
        <v/>
      </c>
    </row>
    <row r="891" spans="18:26">
      <c r="R891" s="15"/>
      <c r="S891" s="16"/>
      <c r="T891" s="17">
        <f>IF(AND(COUNTA($A891:$K891)=0,$L891=""),"",IF($S891="Paid","PAID",IF($S891="Closed","CLOSED",IF($W891="","",IF($W891=6,"ESCALATED TO ROXANNE",IF(TODAY()&gt;$Y891,"OVERDUE",IF($Y891&lt;=WORKDAY(TODAY(),1,Holidays),"DUE TOMORROW",IF($W891=4,"ESCALATED TO LOCAL OFFICE",IF($W891=5,"ESCALATED TO CBE",IF($X891=TODAY(),"EMAIL SENT","MONITORING"))))))))))</f>
        <v/>
      </c>
      <c r="U891" s="17">
        <f>IF($T891="",IF(AND(COUNTA($A891:$K891)&gt;0,$L891=""),"Awaiting Collection Email time stamp.",""),IF(OR($T891="PAID",$T891="CLOSED"),IF($T891="PAID","Account paid. Action completed.","Account closed. No further action required."),CHOOSE($W891,"Collection Email","1st Email Follow-up","2nd Email Follow-up","Escalation to Local Office","Escalation to CBE","Escalation to Roxanne")&amp;" sent "&amp;TEXT($X891,"dd-mmm")&amp;". "&amp;IF($W891=6,"Final escalation completed.",IF($T891="OVERDUE","Next: "&amp;$Z891&amp;" was due "&amp;TEXT($Y891,"dd-mmm")&amp;" - "&amp;(NETWORKDAYS($Y891,TODAY(),Holidays)-1)&amp;" business day(s) late. Send now.",IF($T891="DUE TOMORROW","Next: "&amp;$Z891&amp;IF($Y891&lt;=TODAY()," is due TODAY ("," is due next business day (")&amp;TEXT($Y891,"dd-mmm")&amp;").","Next: "&amp;$Z891&amp;" due "&amp;TEXT($Y891,"dd-mmm")&amp;" ("&amp;(NETWORKDAYS(TODAY(),$Y891,Holidays)-1)&amp;" business day(s) left).")))))</f>
        <v/>
      </c>
      <c r="V891" s="17">
        <f>IF($W891="","",CHOOSE($W891,"Collection Email","1st Follow-up","2nd Follow-up","Local Office","CBE","Roxanne")&amp;IF($W891=6," - Final"," - Day "&amp;MAX(0,NETWORKDAYS($X891,TODAY(),Holidays)-1)&amp;" of "&amp;CHOOSE($W891,3,3,2,2,3))&amp;" | Total Day "&amp;MAX(0,NETWORKDAYS($L891,TODAY(),Holidays)-1))</f>
        <v/>
      </c>
      <c r="W891" s="17">
        <f>IF($L891="","",COUNT($L891:$Q891))</f>
        <v/>
      </c>
      <c r="X891" s="18">
        <f>IF($W891="","",INT(INDEX($L891:$Q891,$W891)))</f>
        <v/>
      </c>
      <c r="Y891" s="18">
        <f>IF(OR($W891="",$W891=6),"",WORKDAY($X891,CHOOSE($W891,3,3,2,2,3),Holidays))</f>
        <v/>
      </c>
      <c r="Z891" s="17">
        <f>IF(OR($W891="",$W891=6),"",CHOOSE($W891,"1st Email Follow-up","2nd Email Follow-up","Escalate Local Office","Escalate to CBE","Escalate to Roxanne"))</f>
        <v/>
      </c>
    </row>
    <row r="892" spans="18:26">
      <c r="R892" s="15"/>
      <c r="S892" s="16"/>
      <c r="T892" s="17">
        <f>IF(AND(COUNTA($A892:$K892)=0,$L892=""),"",IF($S892="Paid","PAID",IF($S892="Closed","CLOSED",IF($W892="","",IF($W892=6,"ESCALATED TO ROXANNE",IF(TODAY()&gt;$Y892,"OVERDUE",IF($Y892&lt;=WORKDAY(TODAY(),1,Holidays),"DUE TOMORROW",IF($W892=4,"ESCALATED TO LOCAL OFFICE",IF($W892=5,"ESCALATED TO CBE",IF($X892=TODAY(),"EMAIL SENT","MONITORING"))))))))))</f>
        <v/>
      </c>
      <c r="U892" s="17">
        <f>IF($T892="",IF(AND(COUNTA($A892:$K892)&gt;0,$L892=""),"Awaiting Collection Email time stamp.",""),IF(OR($T892="PAID",$T892="CLOSED"),IF($T892="PAID","Account paid. Action completed.","Account closed. No further action required."),CHOOSE($W892,"Collection Email","1st Email Follow-up","2nd Email Follow-up","Escalation to Local Office","Escalation to CBE","Escalation to Roxanne")&amp;" sent "&amp;TEXT($X892,"dd-mmm")&amp;". "&amp;IF($W892=6,"Final escalation completed.",IF($T892="OVERDUE","Next: "&amp;$Z892&amp;" was due "&amp;TEXT($Y892,"dd-mmm")&amp;" - "&amp;(NETWORKDAYS($Y892,TODAY(),Holidays)-1)&amp;" business day(s) late. Send now.",IF($T892="DUE TOMORROW","Next: "&amp;$Z892&amp;IF($Y892&lt;=TODAY()," is due TODAY ("," is due next business day (")&amp;TEXT($Y892,"dd-mmm")&amp;").","Next: "&amp;$Z892&amp;" due "&amp;TEXT($Y892,"dd-mmm")&amp;" ("&amp;(NETWORKDAYS(TODAY(),$Y892,Holidays)-1)&amp;" business day(s) left).")))))</f>
        <v/>
      </c>
      <c r="V892" s="17">
        <f>IF($W892="","",CHOOSE($W892,"Collection Email","1st Follow-up","2nd Follow-up","Local Office","CBE","Roxanne")&amp;IF($W892=6," - Final"," - Day "&amp;MAX(0,NETWORKDAYS($X892,TODAY(),Holidays)-1)&amp;" of "&amp;CHOOSE($W892,3,3,2,2,3))&amp;" | Total Day "&amp;MAX(0,NETWORKDAYS($L892,TODAY(),Holidays)-1))</f>
        <v/>
      </c>
      <c r="W892" s="17">
        <f>IF($L892="","",COUNT($L892:$Q892))</f>
        <v/>
      </c>
      <c r="X892" s="18">
        <f>IF($W892="","",INT(INDEX($L892:$Q892,$W892)))</f>
        <v/>
      </c>
      <c r="Y892" s="18">
        <f>IF(OR($W892="",$W892=6),"",WORKDAY($X892,CHOOSE($W892,3,3,2,2,3),Holidays))</f>
        <v/>
      </c>
      <c r="Z892" s="17">
        <f>IF(OR($W892="",$W892=6),"",CHOOSE($W892,"1st Email Follow-up","2nd Email Follow-up","Escalate Local Office","Escalate to CBE","Escalate to Roxanne"))</f>
        <v/>
      </c>
    </row>
    <row r="893" spans="18:26">
      <c r="R893" s="15"/>
      <c r="S893" s="16"/>
      <c r="T893" s="17">
        <f>IF(AND(COUNTA($A893:$K893)=0,$L893=""),"",IF($S893="Paid","PAID",IF($S893="Closed","CLOSED",IF($W893="","",IF($W893=6,"ESCALATED TO ROXANNE",IF(TODAY()&gt;$Y893,"OVERDUE",IF($Y893&lt;=WORKDAY(TODAY(),1,Holidays),"DUE TOMORROW",IF($W893=4,"ESCALATED TO LOCAL OFFICE",IF($W893=5,"ESCALATED TO CBE",IF($X893=TODAY(),"EMAIL SENT","MONITORING"))))))))))</f>
        <v/>
      </c>
      <c r="U893" s="17">
        <f>IF($T893="",IF(AND(COUNTA($A893:$K893)&gt;0,$L893=""),"Awaiting Collection Email time stamp.",""),IF(OR($T893="PAID",$T893="CLOSED"),IF($T893="PAID","Account paid. Action completed.","Account closed. No further action required."),CHOOSE($W893,"Collection Email","1st Email Follow-up","2nd Email Follow-up","Escalation to Local Office","Escalation to CBE","Escalation to Roxanne")&amp;" sent "&amp;TEXT($X893,"dd-mmm")&amp;". "&amp;IF($W893=6,"Final escalation completed.",IF($T893="OVERDUE","Next: "&amp;$Z893&amp;" was due "&amp;TEXT($Y893,"dd-mmm")&amp;" - "&amp;(NETWORKDAYS($Y893,TODAY(),Holidays)-1)&amp;" business day(s) late. Send now.",IF($T893="DUE TOMORROW","Next: "&amp;$Z893&amp;IF($Y893&lt;=TODAY()," is due TODAY ("," is due next business day (")&amp;TEXT($Y893,"dd-mmm")&amp;").","Next: "&amp;$Z893&amp;" due "&amp;TEXT($Y893,"dd-mmm")&amp;" ("&amp;(NETWORKDAYS(TODAY(),$Y893,Holidays)-1)&amp;" business day(s) left).")))))</f>
        <v/>
      </c>
      <c r="V893" s="17">
        <f>IF($W893="","",CHOOSE($W893,"Collection Email","1st Follow-up","2nd Follow-up","Local Office","CBE","Roxanne")&amp;IF($W893=6," - Final"," - Day "&amp;MAX(0,NETWORKDAYS($X893,TODAY(),Holidays)-1)&amp;" of "&amp;CHOOSE($W893,3,3,2,2,3))&amp;" | Total Day "&amp;MAX(0,NETWORKDAYS($L893,TODAY(),Holidays)-1))</f>
        <v/>
      </c>
      <c r="W893" s="17">
        <f>IF($L893="","",COUNT($L893:$Q893))</f>
        <v/>
      </c>
      <c r="X893" s="18">
        <f>IF($W893="","",INT(INDEX($L893:$Q893,$W893)))</f>
        <v/>
      </c>
      <c r="Y893" s="18">
        <f>IF(OR($W893="",$W893=6),"",WORKDAY($X893,CHOOSE($W893,3,3,2,2,3),Holidays))</f>
        <v/>
      </c>
      <c r="Z893" s="17">
        <f>IF(OR($W893="",$W893=6),"",CHOOSE($W893,"1st Email Follow-up","2nd Email Follow-up","Escalate Local Office","Escalate to CBE","Escalate to Roxanne"))</f>
        <v/>
      </c>
    </row>
    <row r="894" spans="18:26">
      <c r="R894" s="15"/>
      <c r="S894" s="16"/>
      <c r="T894" s="17">
        <f>IF(AND(COUNTA($A894:$K894)=0,$L894=""),"",IF($S894="Paid","PAID",IF($S894="Closed","CLOSED",IF($W894="","",IF($W894=6,"ESCALATED TO ROXANNE",IF(TODAY()&gt;$Y894,"OVERDUE",IF($Y894&lt;=WORKDAY(TODAY(),1,Holidays),"DUE TOMORROW",IF($W894=4,"ESCALATED TO LOCAL OFFICE",IF($W894=5,"ESCALATED TO CBE",IF($X894=TODAY(),"EMAIL SENT","MONITORING"))))))))))</f>
        <v/>
      </c>
      <c r="U894" s="17">
        <f>IF($T894="",IF(AND(COUNTA($A894:$K894)&gt;0,$L894=""),"Awaiting Collection Email time stamp.",""),IF(OR($T894="PAID",$T894="CLOSED"),IF($T894="PAID","Account paid. Action completed.","Account closed. No further action required."),CHOOSE($W894,"Collection Email","1st Email Follow-up","2nd Email Follow-up","Escalation to Local Office","Escalation to CBE","Escalation to Roxanne")&amp;" sent "&amp;TEXT($X894,"dd-mmm")&amp;". "&amp;IF($W894=6,"Final escalation completed.",IF($T894="OVERDUE","Next: "&amp;$Z894&amp;" was due "&amp;TEXT($Y894,"dd-mmm")&amp;" - "&amp;(NETWORKDAYS($Y894,TODAY(),Holidays)-1)&amp;" business day(s) late. Send now.",IF($T894="DUE TOMORROW","Next: "&amp;$Z894&amp;IF($Y894&lt;=TODAY()," is due TODAY ("," is due next business day (")&amp;TEXT($Y894,"dd-mmm")&amp;").","Next: "&amp;$Z894&amp;" due "&amp;TEXT($Y894,"dd-mmm")&amp;" ("&amp;(NETWORKDAYS(TODAY(),$Y894,Holidays)-1)&amp;" business day(s) left).")))))</f>
        <v/>
      </c>
      <c r="V894" s="17">
        <f>IF($W894="","",CHOOSE($W894,"Collection Email","1st Follow-up","2nd Follow-up","Local Office","CBE","Roxanne")&amp;IF($W894=6," - Final"," - Day "&amp;MAX(0,NETWORKDAYS($X894,TODAY(),Holidays)-1)&amp;" of "&amp;CHOOSE($W894,3,3,2,2,3))&amp;" | Total Day "&amp;MAX(0,NETWORKDAYS($L894,TODAY(),Holidays)-1))</f>
        <v/>
      </c>
      <c r="W894" s="17">
        <f>IF($L894="","",COUNT($L894:$Q894))</f>
        <v/>
      </c>
      <c r="X894" s="18">
        <f>IF($W894="","",INT(INDEX($L894:$Q894,$W894)))</f>
        <v/>
      </c>
      <c r="Y894" s="18">
        <f>IF(OR($W894="",$W894=6),"",WORKDAY($X894,CHOOSE($W894,3,3,2,2,3),Holidays))</f>
        <v/>
      </c>
      <c r="Z894" s="17">
        <f>IF(OR($W894="",$W894=6),"",CHOOSE($W894,"1st Email Follow-up","2nd Email Follow-up","Escalate Local Office","Escalate to CBE","Escalate to Roxanne"))</f>
        <v/>
      </c>
    </row>
    <row r="895" spans="18:26">
      <c r="R895" s="15"/>
      <c r="S895" s="16"/>
      <c r="T895" s="17">
        <f>IF(AND(COUNTA($A895:$K895)=0,$L895=""),"",IF($S895="Paid","PAID",IF($S895="Closed","CLOSED",IF($W895="","",IF($W895=6,"ESCALATED TO ROXANNE",IF(TODAY()&gt;$Y895,"OVERDUE",IF($Y895&lt;=WORKDAY(TODAY(),1,Holidays),"DUE TOMORROW",IF($W895=4,"ESCALATED TO LOCAL OFFICE",IF($W895=5,"ESCALATED TO CBE",IF($X895=TODAY(),"EMAIL SENT","MONITORING"))))))))))</f>
        <v/>
      </c>
      <c r="U895" s="17">
        <f>IF($T895="",IF(AND(COUNTA($A895:$K895)&gt;0,$L895=""),"Awaiting Collection Email time stamp.",""),IF(OR($T895="PAID",$T895="CLOSED"),IF($T895="PAID","Account paid. Action completed.","Account closed. No further action required."),CHOOSE($W895,"Collection Email","1st Email Follow-up","2nd Email Follow-up","Escalation to Local Office","Escalation to CBE","Escalation to Roxanne")&amp;" sent "&amp;TEXT($X895,"dd-mmm")&amp;". "&amp;IF($W895=6,"Final escalation completed.",IF($T895="OVERDUE","Next: "&amp;$Z895&amp;" was due "&amp;TEXT($Y895,"dd-mmm")&amp;" - "&amp;(NETWORKDAYS($Y895,TODAY(),Holidays)-1)&amp;" business day(s) late. Send now.",IF($T895="DUE TOMORROW","Next: "&amp;$Z895&amp;IF($Y895&lt;=TODAY()," is due TODAY ("," is due next business day (")&amp;TEXT($Y895,"dd-mmm")&amp;").","Next: "&amp;$Z895&amp;" due "&amp;TEXT($Y895,"dd-mmm")&amp;" ("&amp;(NETWORKDAYS(TODAY(),$Y895,Holidays)-1)&amp;" business day(s) left).")))))</f>
        <v/>
      </c>
      <c r="V895" s="17">
        <f>IF($W895="","",CHOOSE($W895,"Collection Email","1st Follow-up","2nd Follow-up","Local Office","CBE","Roxanne")&amp;IF($W895=6," - Final"," - Day "&amp;MAX(0,NETWORKDAYS($X895,TODAY(),Holidays)-1)&amp;" of "&amp;CHOOSE($W895,3,3,2,2,3))&amp;" | Total Day "&amp;MAX(0,NETWORKDAYS($L895,TODAY(),Holidays)-1))</f>
        <v/>
      </c>
      <c r="W895" s="17">
        <f>IF($L895="","",COUNT($L895:$Q895))</f>
        <v/>
      </c>
      <c r="X895" s="18">
        <f>IF($W895="","",INT(INDEX($L895:$Q895,$W895)))</f>
        <v/>
      </c>
      <c r="Y895" s="18">
        <f>IF(OR($W895="",$W895=6),"",WORKDAY($X895,CHOOSE($W895,3,3,2,2,3),Holidays))</f>
        <v/>
      </c>
      <c r="Z895" s="17">
        <f>IF(OR($W895="",$W895=6),"",CHOOSE($W895,"1st Email Follow-up","2nd Email Follow-up","Escalate Local Office","Escalate to CBE","Escalate to Roxanne"))</f>
        <v/>
      </c>
    </row>
    <row r="896" spans="18:26">
      <c r="R896" s="15"/>
      <c r="S896" s="16"/>
      <c r="T896" s="17">
        <f>IF(AND(COUNTA($A896:$K896)=0,$L896=""),"",IF($S896="Paid","PAID",IF($S896="Closed","CLOSED",IF($W896="","",IF($W896=6,"ESCALATED TO ROXANNE",IF(TODAY()&gt;$Y896,"OVERDUE",IF($Y896&lt;=WORKDAY(TODAY(),1,Holidays),"DUE TOMORROW",IF($W896=4,"ESCALATED TO LOCAL OFFICE",IF($W896=5,"ESCALATED TO CBE",IF($X896=TODAY(),"EMAIL SENT","MONITORING"))))))))))</f>
        <v/>
      </c>
      <c r="U896" s="17">
        <f>IF($T896="",IF(AND(COUNTA($A896:$K896)&gt;0,$L896=""),"Awaiting Collection Email time stamp.",""),IF(OR($T896="PAID",$T896="CLOSED"),IF($T896="PAID","Account paid. Action completed.","Account closed. No further action required."),CHOOSE($W896,"Collection Email","1st Email Follow-up","2nd Email Follow-up","Escalation to Local Office","Escalation to CBE","Escalation to Roxanne")&amp;" sent "&amp;TEXT($X896,"dd-mmm")&amp;". "&amp;IF($W896=6,"Final escalation completed.",IF($T896="OVERDUE","Next: "&amp;$Z896&amp;" was due "&amp;TEXT($Y896,"dd-mmm")&amp;" - "&amp;(NETWORKDAYS($Y896,TODAY(),Holidays)-1)&amp;" business day(s) late. Send now.",IF($T896="DUE TOMORROW","Next: "&amp;$Z896&amp;IF($Y896&lt;=TODAY()," is due TODAY ("," is due next business day (")&amp;TEXT($Y896,"dd-mmm")&amp;").","Next: "&amp;$Z896&amp;" due "&amp;TEXT($Y896,"dd-mmm")&amp;" ("&amp;(NETWORKDAYS(TODAY(),$Y896,Holidays)-1)&amp;" business day(s) left).")))))</f>
        <v/>
      </c>
      <c r="V896" s="17">
        <f>IF($W896="","",CHOOSE($W896,"Collection Email","1st Follow-up","2nd Follow-up","Local Office","CBE","Roxanne")&amp;IF($W896=6," - Final"," - Day "&amp;MAX(0,NETWORKDAYS($X896,TODAY(),Holidays)-1)&amp;" of "&amp;CHOOSE($W896,3,3,2,2,3))&amp;" | Total Day "&amp;MAX(0,NETWORKDAYS($L896,TODAY(),Holidays)-1))</f>
        <v/>
      </c>
      <c r="W896" s="17">
        <f>IF($L896="","",COUNT($L896:$Q896))</f>
        <v/>
      </c>
      <c r="X896" s="18">
        <f>IF($W896="","",INT(INDEX($L896:$Q896,$W896)))</f>
        <v/>
      </c>
      <c r="Y896" s="18">
        <f>IF(OR($W896="",$W896=6),"",WORKDAY($X896,CHOOSE($W896,3,3,2,2,3),Holidays))</f>
        <v/>
      </c>
      <c r="Z896" s="17">
        <f>IF(OR($W896="",$W896=6),"",CHOOSE($W896,"1st Email Follow-up","2nd Email Follow-up","Escalate Local Office","Escalate to CBE","Escalate to Roxanne"))</f>
        <v/>
      </c>
    </row>
    <row r="897" spans="18:26">
      <c r="R897" s="15"/>
      <c r="S897" s="16"/>
      <c r="T897" s="17">
        <f>IF(AND(COUNTA($A897:$K897)=0,$L897=""),"",IF($S897="Paid","PAID",IF($S897="Closed","CLOSED",IF($W897="","",IF($W897=6,"ESCALATED TO ROXANNE",IF(TODAY()&gt;$Y897,"OVERDUE",IF($Y897&lt;=WORKDAY(TODAY(),1,Holidays),"DUE TOMORROW",IF($W897=4,"ESCALATED TO LOCAL OFFICE",IF($W897=5,"ESCALATED TO CBE",IF($X897=TODAY(),"EMAIL SENT","MONITORING"))))))))))</f>
        <v/>
      </c>
      <c r="U897" s="17">
        <f>IF($T897="",IF(AND(COUNTA($A897:$K897)&gt;0,$L897=""),"Awaiting Collection Email time stamp.",""),IF(OR($T897="PAID",$T897="CLOSED"),IF($T897="PAID","Account paid. Action completed.","Account closed. No further action required."),CHOOSE($W897,"Collection Email","1st Email Follow-up","2nd Email Follow-up","Escalation to Local Office","Escalation to CBE","Escalation to Roxanne")&amp;" sent "&amp;TEXT($X897,"dd-mmm")&amp;". "&amp;IF($W897=6,"Final escalation completed.",IF($T897="OVERDUE","Next: "&amp;$Z897&amp;" was due "&amp;TEXT($Y897,"dd-mmm")&amp;" - "&amp;(NETWORKDAYS($Y897,TODAY(),Holidays)-1)&amp;" business day(s) late. Send now.",IF($T897="DUE TOMORROW","Next: "&amp;$Z897&amp;IF($Y897&lt;=TODAY()," is due TODAY ("," is due next business day (")&amp;TEXT($Y897,"dd-mmm")&amp;").","Next: "&amp;$Z897&amp;" due "&amp;TEXT($Y897,"dd-mmm")&amp;" ("&amp;(NETWORKDAYS(TODAY(),$Y897,Holidays)-1)&amp;" business day(s) left).")))))</f>
        <v/>
      </c>
      <c r="V897" s="17">
        <f>IF($W897="","",CHOOSE($W897,"Collection Email","1st Follow-up","2nd Follow-up","Local Office","CBE","Roxanne")&amp;IF($W897=6," - Final"," - Day "&amp;MAX(0,NETWORKDAYS($X897,TODAY(),Holidays)-1)&amp;" of "&amp;CHOOSE($W897,3,3,2,2,3))&amp;" | Total Day "&amp;MAX(0,NETWORKDAYS($L897,TODAY(),Holidays)-1))</f>
        <v/>
      </c>
      <c r="W897" s="17">
        <f>IF($L897="","",COUNT($L897:$Q897))</f>
        <v/>
      </c>
      <c r="X897" s="18">
        <f>IF($W897="","",INT(INDEX($L897:$Q897,$W897)))</f>
        <v/>
      </c>
      <c r="Y897" s="18">
        <f>IF(OR($W897="",$W897=6),"",WORKDAY($X897,CHOOSE($W897,3,3,2,2,3),Holidays))</f>
        <v/>
      </c>
      <c r="Z897" s="17">
        <f>IF(OR($W897="",$W897=6),"",CHOOSE($W897,"1st Email Follow-up","2nd Email Follow-up","Escalate Local Office","Escalate to CBE","Escalate to Roxanne"))</f>
        <v/>
      </c>
    </row>
    <row r="898" spans="18:26">
      <c r="R898" s="15"/>
      <c r="S898" s="16"/>
      <c r="T898" s="17">
        <f>IF(AND(COUNTA($A898:$K898)=0,$L898=""),"",IF($S898="Paid","PAID",IF($S898="Closed","CLOSED",IF($W898="","",IF($W898=6,"ESCALATED TO ROXANNE",IF(TODAY()&gt;$Y898,"OVERDUE",IF($Y898&lt;=WORKDAY(TODAY(),1,Holidays),"DUE TOMORROW",IF($W898=4,"ESCALATED TO LOCAL OFFICE",IF($W898=5,"ESCALATED TO CBE",IF($X898=TODAY(),"EMAIL SENT","MONITORING"))))))))))</f>
        <v/>
      </c>
      <c r="U898" s="17">
        <f>IF($T898="",IF(AND(COUNTA($A898:$K898)&gt;0,$L898=""),"Awaiting Collection Email time stamp.",""),IF(OR($T898="PAID",$T898="CLOSED"),IF($T898="PAID","Account paid. Action completed.","Account closed. No further action required."),CHOOSE($W898,"Collection Email","1st Email Follow-up","2nd Email Follow-up","Escalation to Local Office","Escalation to CBE","Escalation to Roxanne")&amp;" sent "&amp;TEXT($X898,"dd-mmm")&amp;". "&amp;IF($W898=6,"Final escalation completed.",IF($T898="OVERDUE","Next: "&amp;$Z898&amp;" was due "&amp;TEXT($Y898,"dd-mmm")&amp;" - "&amp;(NETWORKDAYS($Y898,TODAY(),Holidays)-1)&amp;" business day(s) late. Send now.",IF($T898="DUE TOMORROW","Next: "&amp;$Z898&amp;IF($Y898&lt;=TODAY()," is due TODAY ("," is due next business day (")&amp;TEXT($Y898,"dd-mmm")&amp;").","Next: "&amp;$Z898&amp;" due "&amp;TEXT($Y898,"dd-mmm")&amp;" ("&amp;(NETWORKDAYS(TODAY(),$Y898,Holidays)-1)&amp;" business day(s) left).")))))</f>
        <v/>
      </c>
      <c r="V898" s="17">
        <f>IF($W898="","",CHOOSE($W898,"Collection Email","1st Follow-up","2nd Follow-up","Local Office","CBE","Roxanne")&amp;IF($W898=6," - Final"," - Day "&amp;MAX(0,NETWORKDAYS($X898,TODAY(),Holidays)-1)&amp;" of "&amp;CHOOSE($W898,3,3,2,2,3))&amp;" | Total Day "&amp;MAX(0,NETWORKDAYS($L898,TODAY(),Holidays)-1))</f>
        <v/>
      </c>
      <c r="W898" s="17">
        <f>IF($L898="","",COUNT($L898:$Q898))</f>
        <v/>
      </c>
      <c r="X898" s="18">
        <f>IF($W898="","",INT(INDEX($L898:$Q898,$W898)))</f>
        <v/>
      </c>
      <c r="Y898" s="18">
        <f>IF(OR($W898="",$W898=6),"",WORKDAY($X898,CHOOSE($W898,3,3,2,2,3),Holidays))</f>
        <v/>
      </c>
      <c r="Z898" s="17">
        <f>IF(OR($W898="",$W898=6),"",CHOOSE($W898,"1st Email Follow-up","2nd Email Follow-up","Escalate Local Office","Escalate to CBE","Escalate to Roxanne"))</f>
        <v/>
      </c>
    </row>
    <row r="899" spans="18:26">
      <c r="R899" s="15"/>
      <c r="S899" s="16"/>
      <c r="T899" s="17">
        <f>IF(AND(COUNTA($A899:$K899)=0,$L899=""),"",IF($S899="Paid","PAID",IF($S899="Closed","CLOSED",IF($W899="","",IF($W899=6,"ESCALATED TO ROXANNE",IF(TODAY()&gt;$Y899,"OVERDUE",IF($Y899&lt;=WORKDAY(TODAY(),1,Holidays),"DUE TOMORROW",IF($W899=4,"ESCALATED TO LOCAL OFFICE",IF($W899=5,"ESCALATED TO CBE",IF($X899=TODAY(),"EMAIL SENT","MONITORING"))))))))))</f>
        <v/>
      </c>
      <c r="U899" s="17">
        <f>IF($T899="",IF(AND(COUNTA($A899:$K899)&gt;0,$L899=""),"Awaiting Collection Email time stamp.",""),IF(OR($T899="PAID",$T899="CLOSED"),IF($T899="PAID","Account paid. Action completed.","Account closed. No further action required."),CHOOSE($W899,"Collection Email","1st Email Follow-up","2nd Email Follow-up","Escalation to Local Office","Escalation to CBE","Escalation to Roxanne")&amp;" sent "&amp;TEXT($X899,"dd-mmm")&amp;". "&amp;IF($W899=6,"Final escalation completed.",IF($T899="OVERDUE","Next: "&amp;$Z899&amp;" was due "&amp;TEXT($Y899,"dd-mmm")&amp;" - "&amp;(NETWORKDAYS($Y899,TODAY(),Holidays)-1)&amp;" business day(s) late. Send now.",IF($T899="DUE TOMORROW","Next: "&amp;$Z899&amp;IF($Y899&lt;=TODAY()," is due TODAY ("," is due next business day (")&amp;TEXT($Y899,"dd-mmm")&amp;").","Next: "&amp;$Z899&amp;" due "&amp;TEXT($Y899,"dd-mmm")&amp;" ("&amp;(NETWORKDAYS(TODAY(),$Y899,Holidays)-1)&amp;" business day(s) left).")))))</f>
        <v/>
      </c>
      <c r="V899" s="17">
        <f>IF($W899="","",CHOOSE($W899,"Collection Email","1st Follow-up","2nd Follow-up","Local Office","CBE","Roxanne")&amp;IF($W899=6," - Final"," - Day "&amp;MAX(0,NETWORKDAYS($X899,TODAY(),Holidays)-1)&amp;" of "&amp;CHOOSE($W899,3,3,2,2,3))&amp;" | Total Day "&amp;MAX(0,NETWORKDAYS($L899,TODAY(),Holidays)-1))</f>
        <v/>
      </c>
      <c r="W899" s="17">
        <f>IF($L899="","",COUNT($L899:$Q899))</f>
        <v/>
      </c>
      <c r="X899" s="18">
        <f>IF($W899="","",INT(INDEX($L899:$Q899,$W899)))</f>
        <v/>
      </c>
      <c r="Y899" s="18">
        <f>IF(OR($W899="",$W899=6),"",WORKDAY($X899,CHOOSE($W899,3,3,2,2,3),Holidays))</f>
        <v/>
      </c>
      <c r="Z899" s="17">
        <f>IF(OR($W899="",$W899=6),"",CHOOSE($W899,"1st Email Follow-up","2nd Email Follow-up","Escalate Local Office","Escalate to CBE","Escalate to Roxanne"))</f>
        <v/>
      </c>
    </row>
    <row r="900" spans="18:26">
      <c r="R900" s="15"/>
      <c r="S900" s="16"/>
      <c r="T900" s="17">
        <f>IF(AND(COUNTA($A900:$K900)=0,$L900=""),"",IF($S900="Paid","PAID",IF($S900="Closed","CLOSED",IF($W900="","",IF($W900=6,"ESCALATED TO ROXANNE",IF(TODAY()&gt;$Y900,"OVERDUE",IF($Y900&lt;=WORKDAY(TODAY(),1,Holidays),"DUE TOMORROW",IF($W900=4,"ESCALATED TO LOCAL OFFICE",IF($W900=5,"ESCALATED TO CBE",IF($X900=TODAY(),"EMAIL SENT","MONITORING"))))))))))</f>
        <v/>
      </c>
      <c r="U900" s="17">
        <f>IF($T900="",IF(AND(COUNTA($A900:$K900)&gt;0,$L900=""),"Awaiting Collection Email time stamp.",""),IF(OR($T900="PAID",$T900="CLOSED"),IF($T900="PAID","Account paid. Action completed.","Account closed. No further action required."),CHOOSE($W900,"Collection Email","1st Email Follow-up","2nd Email Follow-up","Escalation to Local Office","Escalation to CBE","Escalation to Roxanne")&amp;" sent "&amp;TEXT($X900,"dd-mmm")&amp;". "&amp;IF($W900=6,"Final escalation completed.",IF($T900="OVERDUE","Next: "&amp;$Z900&amp;" was due "&amp;TEXT($Y900,"dd-mmm")&amp;" - "&amp;(NETWORKDAYS($Y900,TODAY(),Holidays)-1)&amp;" business day(s) late. Send now.",IF($T900="DUE TOMORROW","Next: "&amp;$Z900&amp;IF($Y900&lt;=TODAY()," is due TODAY ("," is due next business day (")&amp;TEXT($Y900,"dd-mmm")&amp;").","Next: "&amp;$Z900&amp;" due "&amp;TEXT($Y900,"dd-mmm")&amp;" ("&amp;(NETWORKDAYS(TODAY(),$Y900,Holidays)-1)&amp;" business day(s) left).")))))</f>
        <v/>
      </c>
      <c r="V900" s="17">
        <f>IF($W900="","",CHOOSE($W900,"Collection Email","1st Follow-up","2nd Follow-up","Local Office","CBE","Roxanne")&amp;IF($W900=6," - Final"," - Day "&amp;MAX(0,NETWORKDAYS($X900,TODAY(),Holidays)-1)&amp;" of "&amp;CHOOSE($W900,3,3,2,2,3))&amp;" | Total Day "&amp;MAX(0,NETWORKDAYS($L900,TODAY(),Holidays)-1))</f>
        <v/>
      </c>
      <c r="W900" s="17">
        <f>IF($L900="","",COUNT($L900:$Q900))</f>
        <v/>
      </c>
      <c r="X900" s="18">
        <f>IF($W900="","",INT(INDEX($L900:$Q900,$W900)))</f>
        <v/>
      </c>
      <c r="Y900" s="18">
        <f>IF(OR($W900="",$W900=6),"",WORKDAY($X900,CHOOSE($W900,3,3,2,2,3),Holidays))</f>
        <v/>
      </c>
      <c r="Z900" s="17">
        <f>IF(OR($W900="",$W900=6),"",CHOOSE($W900,"1st Email Follow-up","2nd Email Follow-up","Escalate Local Office","Escalate to CBE","Escalate to Roxanne"))</f>
        <v/>
      </c>
    </row>
    <row r="901" spans="18:26">
      <c r="R901" s="15"/>
      <c r="S901" s="16"/>
      <c r="T901" s="17">
        <f>IF(AND(COUNTA($A901:$K901)=0,$L901=""),"",IF($S901="Paid","PAID",IF($S901="Closed","CLOSED",IF($W901="","",IF($W901=6,"ESCALATED TO ROXANNE",IF(TODAY()&gt;$Y901,"OVERDUE",IF($Y901&lt;=WORKDAY(TODAY(),1,Holidays),"DUE TOMORROW",IF($W901=4,"ESCALATED TO LOCAL OFFICE",IF($W901=5,"ESCALATED TO CBE",IF($X901=TODAY(),"EMAIL SENT","MONITORING"))))))))))</f>
        <v/>
      </c>
      <c r="U901" s="17">
        <f>IF($T901="",IF(AND(COUNTA($A901:$K901)&gt;0,$L901=""),"Awaiting Collection Email time stamp.",""),IF(OR($T901="PAID",$T901="CLOSED"),IF($T901="PAID","Account paid. Action completed.","Account closed. No further action required."),CHOOSE($W901,"Collection Email","1st Email Follow-up","2nd Email Follow-up","Escalation to Local Office","Escalation to CBE","Escalation to Roxanne")&amp;" sent "&amp;TEXT($X901,"dd-mmm")&amp;". "&amp;IF($W901=6,"Final escalation completed.",IF($T901="OVERDUE","Next: "&amp;$Z901&amp;" was due "&amp;TEXT($Y901,"dd-mmm")&amp;" - "&amp;(NETWORKDAYS($Y901,TODAY(),Holidays)-1)&amp;" business day(s) late. Send now.",IF($T901="DUE TOMORROW","Next: "&amp;$Z901&amp;IF($Y901&lt;=TODAY()," is due TODAY ("," is due next business day (")&amp;TEXT($Y901,"dd-mmm")&amp;").","Next: "&amp;$Z901&amp;" due "&amp;TEXT($Y901,"dd-mmm")&amp;" ("&amp;(NETWORKDAYS(TODAY(),$Y901,Holidays)-1)&amp;" business day(s) left).")))))</f>
        <v/>
      </c>
      <c r="V901" s="17">
        <f>IF($W901="","",CHOOSE($W901,"Collection Email","1st Follow-up","2nd Follow-up","Local Office","CBE","Roxanne")&amp;IF($W901=6," - Final"," - Day "&amp;MAX(0,NETWORKDAYS($X901,TODAY(),Holidays)-1)&amp;" of "&amp;CHOOSE($W901,3,3,2,2,3))&amp;" | Total Day "&amp;MAX(0,NETWORKDAYS($L901,TODAY(),Holidays)-1))</f>
        <v/>
      </c>
      <c r="W901" s="17">
        <f>IF($L901="","",COUNT($L901:$Q901))</f>
        <v/>
      </c>
      <c r="X901" s="18">
        <f>IF($W901="","",INT(INDEX($L901:$Q901,$W901)))</f>
        <v/>
      </c>
      <c r="Y901" s="18">
        <f>IF(OR($W901="",$W901=6),"",WORKDAY($X901,CHOOSE($W901,3,3,2,2,3),Holidays))</f>
        <v/>
      </c>
      <c r="Z901" s="17">
        <f>IF(OR($W901="",$W901=6),"",CHOOSE($W901,"1st Email Follow-up","2nd Email Follow-up","Escalate Local Office","Escalate to CBE","Escalate to Roxanne"))</f>
        <v/>
      </c>
    </row>
    <row r="902" spans="18:26">
      <c r="R902" s="15"/>
      <c r="S902" s="16"/>
      <c r="T902" s="17">
        <f>IF(AND(COUNTA($A902:$K902)=0,$L902=""),"",IF($S902="Paid","PAID",IF($S902="Closed","CLOSED",IF($W902="","",IF($W902=6,"ESCALATED TO ROXANNE",IF(TODAY()&gt;$Y902,"OVERDUE",IF($Y902&lt;=WORKDAY(TODAY(),1,Holidays),"DUE TOMORROW",IF($W902=4,"ESCALATED TO LOCAL OFFICE",IF($W902=5,"ESCALATED TO CBE",IF($X902=TODAY(),"EMAIL SENT","MONITORING"))))))))))</f>
        <v/>
      </c>
      <c r="U902" s="17">
        <f>IF($T902="",IF(AND(COUNTA($A902:$K902)&gt;0,$L902=""),"Awaiting Collection Email time stamp.",""),IF(OR($T902="PAID",$T902="CLOSED"),IF($T902="PAID","Account paid. Action completed.","Account closed. No further action required."),CHOOSE($W902,"Collection Email","1st Email Follow-up","2nd Email Follow-up","Escalation to Local Office","Escalation to CBE","Escalation to Roxanne")&amp;" sent "&amp;TEXT($X902,"dd-mmm")&amp;". "&amp;IF($W902=6,"Final escalation completed.",IF($T902="OVERDUE","Next: "&amp;$Z902&amp;" was due "&amp;TEXT($Y902,"dd-mmm")&amp;" - "&amp;(NETWORKDAYS($Y902,TODAY(),Holidays)-1)&amp;" business day(s) late. Send now.",IF($T902="DUE TOMORROW","Next: "&amp;$Z902&amp;IF($Y902&lt;=TODAY()," is due TODAY ("," is due next business day (")&amp;TEXT($Y902,"dd-mmm")&amp;").","Next: "&amp;$Z902&amp;" due "&amp;TEXT($Y902,"dd-mmm")&amp;" ("&amp;(NETWORKDAYS(TODAY(),$Y902,Holidays)-1)&amp;" business day(s) left).")))))</f>
        <v/>
      </c>
      <c r="V902" s="17">
        <f>IF($W902="","",CHOOSE($W902,"Collection Email","1st Follow-up","2nd Follow-up","Local Office","CBE","Roxanne")&amp;IF($W902=6," - Final"," - Day "&amp;MAX(0,NETWORKDAYS($X902,TODAY(),Holidays)-1)&amp;" of "&amp;CHOOSE($W902,3,3,2,2,3))&amp;" | Total Day "&amp;MAX(0,NETWORKDAYS($L902,TODAY(),Holidays)-1))</f>
        <v/>
      </c>
      <c r="W902" s="17">
        <f>IF($L902="","",COUNT($L902:$Q902))</f>
        <v/>
      </c>
      <c r="X902" s="18">
        <f>IF($W902="","",INT(INDEX($L902:$Q902,$W902)))</f>
        <v/>
      </c>
      <c r="Y902" s="18">
        <f>IF(OR($W902="",$W902=6),"",WORKDAY($X902,CHOOSE($W902,3,3,2,2,3),Holidays))</f>
        <v/>
      </c>
      <c r="Z902" s="17">
        <f>IF(OR($W902="",$W902=6),"",CHOOSE($W902,"1st Email Follow-up","2nd Email Follow-up","Escalate Local Office","Escalate to CBE","Escalate to Roxanne"))</f>
        <v/>
      </c>
    </row>
    <row r="903" spans="18:26">
      <c r="R903" s="15"/>
      <c r="S903" s="16"/>
      <c r="T903" s="17">
        <f>IF(AND(COUNTA($A903:$K903)=0,$L903=""),"",IF($S903="Paid","PAID",IF($S903="Closed","CLOSED",IF($W903="","",IF($W903=6,"ESCALATED TO ROXANNE",IF(TODAY()&gt;$Y903,"OVERDUE",IF($Y903&lt;=WORKDAY(TODAY(),1,Holidays),"DUE TOMORROW",IF($W903=4,"ESCALATED TO LOCAL OFFICE",IF($W903=5,"ESCALATED TO CBE",IF($X903=TODAY(),"EMAIL SENT","MONITORING"))))))))))</f>
        <v/>
      </c>
      <c r="U903" s="17">
        <f>IF($T903="",IF(AND(COUNTA($A903:$K903)&gt;0,$L903=""),"Awaiting Collection Email time stamp.",""),IF(OR($T903="PAID",$T903="CLOSED"),IF($T903="PAID","Account paid. Action completed.","Account closed. No further action required."),CHOOSE($W903,"Collection Email","1st Email Follow-up","2nd Email Follow-up","Escalation to Local Office","Escalation to CBE","Escalation to Roxanne")&amp;" sent "&amp;TEXT($X903,"dd-mmm")&amp;". "&amp;IF($W903=6,"Final escalation completed.",IF($T903="OVERDUE","Next: "&amp;$Z903&amp;" was due "&amp;TEXT($Y903,"dd-mmm")&amp;" - "&amp;(NETWORKDAYS($Y903,TODAY(),Holidays)-1)&amp;" business day(s) late. Send now.",IF($T903="DUE TOMORROW","Next: "&amp;$Z903&amp;IF($Y903&lt;=TODAY()," is due TODAY ("," is due next business day (")&amp;TEXT($Y903,"dd-mmm")&amp;").","Next: "&amp;$Z903&amp;" due "&amp;TEXT($Y903,"dd-mmm")&amp;" ("&amp;(NETWORKDAYS(TODAY(),$Y903,Holidays)-1)&amp;" business day(s) left).")))))</f>
        <v/>
      </c>
      <c r="V903" s="17">
        <f>IF($W903="","",CHOOSE($W903,"Collection Email","1st Follow-up","2nd Follow-up","Local Office","CBE","Roxanne")&amp;IF($W903=6," - Final"," - Day "&amp;MAX(0,NETWORKDAYS($X903,TODAY(),Holidays)-1)&amp;" of "&amp;CHOOSE($W903,3,3,2,2,3))&amp;" | Total Day "&amp;MAX(0,NETWORKDAYS($L903,TODAY(),Holidays)-1))</f>
        <v/>
      </c>
      <c r="W903" s="17">
        <f>IF($L903="","",COUNT($L903:$Q903))</f>
        <v/>
      </c>
      <c r="X903" s="18">
        <f>IF($W903="","",INT(INDEX($L903:$Q903,$W903)))</f>
        <v/>
      </c>
      <c r="Y903" s="18">
        <f>IF(OR($W903="",$W903=6),"",WORKDAY($X903,CHOOSE($W903,3,3,2,2,3),Holidays))</f>
        <v/>
      </c>
      <c r="Z903" s="17">
        <f>IF(OR($W903="",$W903=6),"",CHOOSE($W903,"1st Email Follow-up","2nd Email Follow-up","Escalate Local Office","Escalate to CBE","Escalate to Roxanne"))</f>
        <v/>
      </c>
    </row>
    <row r="904" spans="18:26">
      <c r="R904" s="15"/>
      <c r="S904" s="16"/>
      <c r="T904" s="17">
        <f>IF(AND(COUNTA($A904:$K904)=0,$L904=""),"",IF($S904="Paid","PAID",IF($S904="Closed","CLOSED",IF($W904="","",IF($W904=6,"ESCALATED TO ROXANNE",IF(TODAY()&gt;$Y904,"OVERDUE",IF($Y904&lt;=WORKDAY(TODAY(),1,Holidays),"DUE TOMORROW",IF($W904=4,"ESCALATED TO LOCAL OFFICE",IF($W904=5,"ESCALATED TO CBE",IF($X904=TODAY(),"EMAIL SENT","MONITORING"))))))))))</f>
        <v/>
      </c>
      <c r="U904" s="17">
        <f>IF($T904="",IF(AND(COUNTA($A904:$K904)&gt;0,$L904=""),"Awaiting Collection Email time stamp.",""),IF(OR($T904="PAID",$T904="CLOSED"),IF($T904="PAID","Account paid. Action completed.","Account closed. No further action required."),CHOOSE($W904,"Collection Email","1st Email Follow-up","2nd Email Follow-up","Escalation to Local Office","Escalation to CBE","Escalation to Roxanne")&amp;" sent "&amp;TEXT($X904,"dd-mmm")&amp;". "&amp;IF($W904=6,"Final escalation completed.",IF($T904="OVERDUE","Next: "&amp;$Z904&amp;" was due "&amp;TEXT($Y904,"dd-mmm")&amp;" - "&amp;(NETWORKDAYS($Y904,TODAY(),Holidays)-1)&amp;" business day(s) late. Send now.",IF($T904="DUE TOMORROW","Next: "&amp;$Z904&amp;IF($Y904&lt;=TODAY()," is due TODAY ("," is due next business day (")&amp;TEXT($Y904,"dd-mmm")&amp;").","Next: "&amp;$Z904&amp;" due "&amp;TEXT($Y904,"dd-mmm")&amp;" ("&amp;(NETWORKDAYS(TODAY(),$Y904,Holidays)-1)&amp;" business day(s) left).")))))</f>
        <v/>
      </c>
      <c r="V904" s="17">
        <f>IF($W904="","",CHOOSE($W904,"Collection Email","1st Follow-up","2nd Follow-up","Local Office","CBE","Roxanne")&amp;IF($W904=6," - Final"," - Day "&amp;MAX(0,NETWORKDAYS($X904,TODAY(),Holidays)-1)&amp;" of "&amp;CHOOSE($W904,3,3,2,2,3))&amp;" | Total Day "&amp;MAX(0,NETWORKDAYS($L904,TODAY(),Holidays)-1))</f>
        <v/>
      </c>
      <c r="W904" s="17">
        <f>IF($L904="","",COUNT($L904:$Q904))</f>
        <v/>
      </c>
      <c r="X904" s="18">
        <f>IF($W904="","",INT(INDEX($L904:$Q904,$W904)))</f>
        <v/>
      </c>
      <c r="Y904" s="18">
        <f>IF(OR($W904="",$W904=6),"",WORKDAY($X904,CHOOSE($W904,3,3,2,2,3),Holidays))</f>
        <v/>
      </c>
      <c r="Z904" s="17">
        <f>IF(OR($W904="",$W904=6),"",CHOOSE($W904,"1st Email Follow-up","2nd Email Follow-up","Escalate Local Office","Escalate to CBE","Escalate to Roxanne"))</f>
        <v/>
      </c>
    </row>
    <row r="905" spans="18:26">
      <c r="R905" s="15"/>
      <c r="S905" s="16"/>
      <c r="T905" s="17">
        <f>IF(AND(COUNTA($A905:$K905)=0,$L905=""),"",IF($S905="Paid","PAID",IF($S905="Closed","CLOSED",IF($W905="","",IF($W905=6,"ESCALATED TO ROXANNE",IF(TODAY()&gt;$Y905,"OVERDUE",IF($Y905&lt;=WORKDAY(TODAY(),1,Holidays),"DUE TOMORROW",IF($W905=4,"ESCALATED TO LOCAL OFFICE",IF($W905=5,"ESCALATED TO CBE",IF($X905=TODAY(),"EMAIL SENT","MONITORING"))))))))))</f>
        <v/>
      </c>
      <c r="U905" s="17">
        <f>IF($T905="",IF(AND(COUNTA($A905:$K905)&gt;0,$L905=""),"Awaiting Collection Email time stamp.",""),IF(OR($T905="PAID",$T905="CLOSED"),IF($T905="PAID","Account paid. Action completed.","Account closed. No further action required."),CHOOSE($W905,"Collection Email","1st Email Follow-up","2nd Email Follow-up","Escalation to Local Office","Escalation to CBE","Escalation to Roxanne")&amp;" sent "&amp;TEXT($X905,"dd-mmm")&amp;". "&amp;IF($W905=6,"Final escalation completed.",IF($T905="OVERDUE","Next: "&amp;$Z905&amp;" was due "&amp;TEXT($Y905,"dd-mmm")&amp;" - "&amp;(NETWORKDAYS($Y905,TODAY(),Holidays)-1)&amp;" business day(s) late. Send now.",IF($T905="DUE TOMORROW","Next: "&amp;$Z905&amp;IF($Y905&lt;=TODAY()," is due TODAY ("," is due next business day (")&amp;TEXT($Y905,"dd-mmm")&amp;").","Next: "&amp;$Z905&amp;" due "&amp;TEXT($Y905,"dd-mmm")&amp;" ("&amp;(NETWORKDAYS(TODAY(),$Y905,Holidays)-1)&amp;" business day(s) left).")))))</f>
        <v/>
      </c>
      <c r="V905" s="17">
        <f>IF($W905="","",CHOOSE($W905,"Collection Email","1st Follow-up","2nd Follow-up","Local Office","CBE","Roxanne")&amp;IF($W905=6," - Final"," - Day "&amp;MAX(0,NETWORKDAYS($X905,TODAY(),Holidays)-1)&amp;" of "&amp;CHOOSE($W905,3,3,2,2,3))&amp;" | Total Day "&amp;MAX(0,NETWORKDAYS($L905,TODAY(),Holidays)-1))</f>
        <v/>
      </c>
      <c r="W905" s="17">
        <f>IF($L905="","",COUNT($L905:$Q905))</f>
        <v/>
      </c>
      <c r="X905" s="18">
        <f>IF($W905="","",INT(INDEX($L905:$Q905,$W905)))</f>
        <v/>
      </c>
      <c r="Y905" s="18">
        <f>IF(OR($W905="",$W905=6),"",WORKDAY($X905,CHOOSE($W905,3,3,2,2,3),Holidays))</f>
        <v/>
      </c>
      <c r="Z905" s="17">
        <f>IF(OR($W905="",$W905=6),"",CHOOSE($W905,"1st Email Follow-up","2nd Email Follow-up","Escalate Local Office","Escalate to CBE","Escalate to Roxanne"))</f>
        <v/>
      </c>
    </row>
    <row r="906" spans="18:26">
      <c r="R906" s="15"/>
      <c r="S906" s="16"/>
      <c r="T906" s="17">
        <f>IF(AND(COUNTA($A906:$K906)=0,$L906=""),"",IF($S906="Paid","PAID",IF($S906="Closed","CLOSED",IF($W906="","",IF($W906=6,"ESCALATED TO ROXANNE",IF(TODAY()&gt;$Y906,"OVERDUE",IF($Y906&lt;=WORKDAY(TODAY(),1,Holidays),"DUE TOMORROW",IF($W906=4,"ESCALATED TO LOCAL OFFICE",IF($W906=5,"ESCALATED TO CBE",IF($X906=TODAY(),"EMAIL SENT","MONITORING"))))))))))</f>
        <v/>
      </c>
      <c r="U906" s="17">
        <f>IF($T906="",IF(AND(COUNTA($A906:$K906)&gt;0,$L906=""),"Awaiting Collection Email time stamp.",""),IF(OR($T906="PAID",$T906="CLOSED"),IF($T906="PAID","Account paid. Action completed.","Account closed. No further action required."),CHOOSE($W906,"Collection Email","1st Email Follow-up","2nd Email Follow-up","Escalation to Local Office","Escalation to CBE","Escalation to Roxanne")&amp;" sent "&amp;TEXT($X906,"dd-mmm")&amp;". "&amp;IF($W906=6,"Final escalation completed.",IF($T906="OVERDUE","Next: "&amp;$Z906&amp;" was due "&amp;TEXT($Y906,"dd-mmm")&amp;" - "&amp;(NETWORKDAYS($Y906,TODAY(),Holidays)-1)&amp;" business day(s) late. Send now.",IF($T906="DUE TOMORROW","Next: "&amp;$Z906&amp;IF($Y906&lt;=TODAY()," is due TODAY ("," is due next business day (")&amp;TEXT($Y906,"dd-mmm")&amp;").","Next: "&amp;$Z906&amp;" due "&amp;TEXT($Y906,"dd-mmm")&amp;" ("&amp;(NETWORKDAYS(TODAY(),$Y906,Holidays)-1)&amp;" business day(s) left).")))))</f>
        <v/>
      </c>
      <c r="V906" s="17">
        <f>IF($W906="","",CHOOSE($W906,"Collection Email","1st Follow-up","2nd Follow-up","Local Office","CBE","Roxanne")&amp;IF($W906=6," - Final"," - Day "&amp;MAX(0,NETWORKDAYS($X906,TODAY(),Holidays)-1)&amp;" of "&amp;CHOOSE($W906,3,3,2,2,3))&amp;" | Total Day "&amp;MAX(0,NETWORKDAYS($L906,TODAY(),Holidays)-1))</f>
        <v/>
      </c>
      <c r="W906" s="17">
        <f>IF($L906="","",COUNT($L906:$Q906))</f>
        <v/>
      </c>
      <c r="X906" s="18">
        <f>IF($W906="","",INT(INDEX($L906:$Q906,$W906)))</f>
        <v/>
      </c>
      <c r="Y906" s="18">
        <f>IF(OR($W906="",$W906=6),"",WORKDAY($X906,CHOOSE($W906,3,3,2,2,3),Holidays))</f>
        <v/>
      </c>
      <c r="Z906" s="17">
        <f>IF(OR($W906="",$W906=6),"",CHOOSE($W906,"1st Email Follow-up","2nd Email Follow-up","Escalate Local Office","Escalate to CBE","Escalate to Roxanne"))</f>
        <v/>
      </c>
    </row>
    <row r="907" spans="18:26">
      <c r="R907" s="15"/>
      <c r="S907" s="16"/>
      <c r="T907" s="17">
        <f>IF(AND(COUNTA($A907:$K907)=0,$L907=""),"",IF($S907="Paid","PAID",IF($S907="Closed","CLOSED",IF($W907="","",IF($W907=6,"ESCALATED TO ROXANNE",IF(TODAY()&gt;$Y907,"OVERDUE",IF($Y907&lt;=WORKDAY(TODAY(),1,Holidays),"DUE TOMORROW",IF($W907=4,"ESCALATED TO LOCAL OFFICE",IF($W907=5,"ESCALATED TO CBE",IF($X907=TODAY(),"EMAIL SENT","MONITORING"))))))))))</f>
        <v/>
      </c>
      <c r="U907" s="17">
        <f>IF($T907="",IF(AND(COUNTA($A907:$K907)&gt;0,$L907=""),"Awaiting Collection Email time stamp.",""),IF(OR($T907="PAID",$T907="CLOSED"),IF($T907="PAID","Account paid. Action completed.","Account closed. No further action required."),CHOOSE($W907,"Collection Email","1st Email Follow-up","2nd Email Follow-up","Escalation to Local Office","Escalation to CBE","Escalation to Roxanne")&amp;" sent "&amp;TEXT($X907,"dd-mmm")&amp;". "&amp;IF($W907=6,"Final escalation completed.",IF($T907="OVERDUE","Next: "&amp;$Z907&amp;" was due "&amp;TEXT($Y907,"dd-mmm")&amp;" - "&amp;(NETWORKDAYS($Y907,TODAY(),Holidays)-1)&amp;" business day(s) late. Send now.",IF($T907="DUE TOMORROW","Next: "&amp;$Z907&amp;IF($Y907&lt;=TODAY()," is due TODAY ("," is due next business day (")&amp;TEXT($Y907,"dd-mmm")&amp;").","Next: "&amp;$Z907&amp;" due "&amp;TEXT($Y907,"dd-mmm")&amp;" ("&amp;(NETWORKDAYS(TODAY(),$Y907,Holidays)-1)&amp;" business day(s) left).")))))</f>
        <v/>
      </c>
      <c r="V907" s="17">
        <f>IF($W907="","",CHOOSE($W907,"Collection Email","1st Follow-up","2nd Follow-up","Local Office","CBE","Roxanne")&amp;IF($W907=6," - Final"," - Day "&amp;MAX(0,NETWORKDAYS($X907,TODAY(),Holidays)-1)&amp;" of "&amp;CHOOSE($W907,3,3,2,2,3))&amp;" | Total Day "&amp;MAX(0,NETWORKDAYS($L907,TODAY(),Holidays)-1))</f>
        <v/>
      </c>
      <c r="W907" s="17">
        <f>IF($L907="","",COUNT($L907:$Q907))</f>
        <v/>
      </c>
      <c r="X907" s="18">
        <f>IF($W907="","",INT(INDEX($L907:$Q907,$W907)))</f>
        <v/>
      </c>
      <c r="Y907" s="18">
        <f>IF(OR($W907="",$W907=6),"",WORKDAY($X907,CHOOSE($W907,3,3,2,2,3),Holidays))</f>
        <v/>
      </c>
      <c r="Z907" s="17">
        <f>IF(OR($W907="",$W907=6),"",CHOOSE($W907,"1st Email Follow-up","2nd Email Follow-up","Escalate Local Office","Escalate to CBE","Escalate to Roxanne"))</f>
        <v/>
      </c>
    </row>
    <row r="908" spans="18:26">
      <c r="R908" s="15"/>
      <c r="S908" s="16"/>
      <c r="T908" s="17">
        <f>IF(AND(COUNTA($A908:$K908)=0,$L908=""),"",IF($S908="Paid","PAID",IF($S908="Closed","CLOSED",IF($W908="","",IF($W908=6,"ESCALATED TO ROXANNE",IF(TODAY()&gt;$Y908,"OVERDUE",IF($Y908&lt;=WORKDAY(TODAY(),1,Holidays),"DUE TOMORROW",IF($W908=4,"ESCALATED TO LOCAL OFFICE",IF($W908=5,"ESCALATED TO CBE",IF($X908=TODAY(),"EMAIL SENT","MONITORING"))))))))))</f>
        <v/>
      </c>
      <c r="U908" s="17">
        <f>IF($T908="",IF(AND(COUNTA($A908:$K908)&gt;0,$L908=""),"Awaiting Collection Email time stamp.",""),IF(OR($T908="PAID",$T908="CLOSED"),IF($T908="PAID","Account paid. Action completed.","Account closed. No further action required."),CHOOSE($W908,"Collection Email","1st Email Follow-up","2nd Email Follow-up","Escalation to Local Office","Escalation to CBE","Escalation to Roxanne")&amp;" sent "&amp;TEXT($X908,"dd-mmm")&amp;". "&amp;IF($W908=6,"Final escalation completed.",IF($T908="OVERDUE","Next: "&amp;$Z908&amp;" was due "&amp;TEXT($Y908,"dd-mmm")&amp;" - "&amp;(NETWORKDAYS($Y908,TODAY(),Holidays)-1)&amp;" business day(s) late. Send now.",IF($T908="DUE TOMORROW","Next: "&amp;$Z908&amp;IF($Y908&lt;=TODAY()," is due TODAY ("," is due next business day (")&amp;TEXT($Y908,"dd-mmm")&amp;").","Next: "&amp;$Z908&amp;" due "&amp;TEXT($Y908,"dd-mmm")&amp;" ("&amp;(NETWORKDAYS(TODAY(),$Y908,Holidays)-1)&amp;" business day(s) left).")))))</f>
        <v/>
      </c>
      <c r="V908" s="17">
        <f>IF($W908="","",CHOOSE($W908,"Collection Email","1st Follow-up","2nd Follow-up","Local Office","CBE","Roxanne")&amp;IF($W908=6," - Final"," - Day "&amp;MAX(0,NETWORKDAYS($X908,TODAY(),Holidays)-1)&amp;" of "&amp;CHOOSE($W908,3,3,2,2,3))&amp;" | Total Day "&amp;MAX(0,NETWORKDAYS($L908,TODAY(),Holidays)-1))</f>
        <v/>
      </c>
      <c r="W908" s="17">
        <f>IF($L908="","",COUNT($L908:$Q908))</f>
        <v/>
      </c>
      <c r="X908" s="18">
        <f>IF($W908="","",INT(INDEX($L908:$Q908,$W908)))</f>
        <v/>
      </c>
      <c r="Y908" s="18">
        <f>IF(OR($W908="",$W908=6),"",WORKDAY($X908,CHOOSE($W908,3,3,2,2,3),Holidays))</f>
        <v/>
      </c>
      <c r="Z908" s="17">
        <f>IF(OR($W908="",$W908=6),"",CHOOSE($W908,"1st Email Follow-up","2nd Email Follow-up","Escalate Local Office","Escalate to CBE","Escalate to Roxanne"))</f>
        <v/>
      </c>
    </row>
    <row r="909" spans="18:26">
      <c r="R909" s="15"/>
      <c r="S909" s="16"/>
      <c r="T909" s="17">
        <f>IF(AND(COUNTA($A909:$K909)=0,$L909=""),"",IF($S909="Paid","PAID",IF($S909="Closed","CLOSED",IF($W909="","",IF($W909=6,"ESCALATED TO ROXANNE",IF(TODAY()&gt;$Y909,"OVERDUE",IF($Y909&lt;=WORKDAY(TODAY(),1,Holidays),"DUE TOMORROW",IF($W909=4,"ESCALATED TO LOCAL OFFICE",IF($W909=5,"ESCALATED TO CBE",IF($X909=TODAY(),"EMAIL SENT","MONITORING"))))))))))</f>
        <v/>
      </c>
      <c r="U909" s="17">
        <f>IF($T909="",IF(AND(COUNTA($A909:$K909)&gt;0,$L909=""),"Awaiting Collection Email time stamp.",""),IF(OR($T909="PAID",$T909="CLOSED"),IF($T909="PAID","Account paid. Action completed.","Account closed. No further action required."),CHOOSE($W909,"Collection Email","1st Email Follow-up","2nd Email Follow-up","Escalation to Local Office","Escalation to CBE","Escalation to Roxanne")&amp;" sent "&amp;TEXT($X909,"dd-mmm")&amp;". "&amp;IF($W909=6,"Final escalation completed.",IF($T909="OVERDUE","Next: "&amp;$Z909&amp;" was due "&amp;TEXT($Y909,"dd-mmm")&amp;" - "&amp;(NETWORKDAYS($Y909,TODAY(),Holidays)-1)&amp;" business day(s) late. Send now.",IF($T909="DUE TOMORROW","Next: "&amp;$Z909&amp;IF($Y909&lt;=TODAY()," is due TODAY ("," is due next business day (")&amp;TEXT($Y909,"dd-mmm")&amp;").","Next: "&amp;$Z909&amp;" due "&amp;TEXT($Y909,"dd-mmm")&amp;" ("&amp;(NETWORKDAYS(TODAY(),$Y909,Holidays)-1)&amp;" business day(s) left).")))))</f>
        <v/>
      </c>
      <c r="V909" s="17">
        <f>IF($W909="","",CHOOSE($W909,"Collection Email","1st Follow-up","2nd Follow-up","Local Office","CBE","Roxanne")&amp;IF($W909=6," - Final"," - Day "&amp;MAX(0,NETWORKDAYS($X909,TODAY(),Holidays)-1)&amp;" of "&amp;CHOOSE($W909,3,3,2,2,3))&amp;" | Total Day "&amp;MAX(0,NETWORKDAYS($L909,TODAY(),Holidays)-1))</f>
        <v/>
      </c>
      <c r="W909" s="17">
        <f>IF($L909="","",COUNT($L909:$Q909))</f>
        <v/>
      </c>
      <c r="X909" s="18">
        <f>IF($W909="","",INT(INDEX($L909:$Q909,$W909)))</f>
        <v/>
      </c>
      <c r="Y909" s="18">
        <f>IF(OR($W909="",$W909=6),"",WORKDAY($X909,CHOOSE($W909,3,3,2,2,3),Holidays))</f>
        <v/>
      </c>
      <c r="Z909" s="17">
        <f>IF(OR($W909="",$W909=6),"",CHOOSE($W909,"1st Email Follow-up","2nd Email Follow-up","Escalate Local Office","Escalate to CBE","Escalate to Roxanne"))</f>
        <v/>
      </c>
    </row>
    <row r="910" spans="18:26">
      <c r="R910" s="15"/>
      <c r="S910" s="16"/>
      <c r="T910" s="17">
        <f>IF(AND(COUNTA($A910:$K910)=0,$L910=""),"",IF($S910="Paid","PAID",IF($S910="Closed","CLOSED",IF($W910="","",IF($W910=6,"ESCALATED TO ROXANNE",IF(TODAY()&gt;$Y910,"OVERDUE",IF($Y910&lt;=WORKDAY(TODAY(),1,Holidays),"DUE TOMORROW",IF($W910=4,"ESCALATED TO LOCAL OFFICE",IF($W910=5,"ESCALATED TO CBE",IF($X910=TODAY(),"EMAIL SENT","MONITORING"))))))))))</f>
        <v/>
      </c>
      <c r="U910" s="17">
        <f>IF($T910="",IF(AND(COUNTA($A910:$K910)&gt;0,$L910=""),"Awaiting Collection Email time stamp.",""),IF(OR($T910="PAID",$T910="CLOSED"),IF($T910="PAID","Account paid. Action completed.","Account closed. No further action required."),CHOOSE($W910,"Collection Email","1st Email Follow-up","2nd Email Follow-up","Escalation to Local Office","Escalation to CBE","Escalation to Roxanne")&amp;" sent "&amp;TEXT($X910,"dd-mmm")&amp;". "&amp;IF($W910=6,"Final escalation completed.",IF($T910="OVERDUE","Next: "&amp;$Z910&amp;" was due "&amp;TEXT($Y910,"dd-mmm")&amp;" - "&amp;(NETWORKDAYS($Y910,TODAY(),Holidays)-1)&amp;" business day(s) late. Send now.",IF($T910="DUE TOMORROW","Next: "&amp;$Z910&amp;IF($Y910&lt;=TODAY()," is due TODAY ("," is due next business day (")&amp;TEXT($Y910,"dd-mmm")&amp;").","Next: "&amp;$Z910&amp;" due "&amp;TEXT($Y910,"dd-mmm")&amp;" ("&amp;(NETWORKDAYS(TODAY(),$Y910,Holidays)-1)&amp;" business day(s) left).")))))</f>
        <v/>
      </c>
      <c r="V910" s="17">
        <f>IF($W910="","",CHOOSE($W910,"Collection Email","1st Follow-up","2nd Follow-up","Local Office","CBE","Roxanne")&amp;IF($W910=6," - Final"," - Day "&amp;MAX(0,NETWORKDAYS($X910,TODAY(),Holidays)-1)&amp;" of "&amp;CHOOSE($W910,3,3,2,2,3))&amp;" | Total Day "&amp;MAX(0,NETWORKDAYS($L910,TODAY(),Holidays)-1))</f>
        <v/>
      </c>
      <c r="W910" s="17">
        <f>IF($L910="","",COUNT($L910:$Q910))</f>
        <v/>
      </c>
      <c r="X910" s="18">
        <f>IF($W910="","",INT(INDEX($L910:$Q910,$W910)))</f>
        <v/>
      </c>
      <c r="Y910" s="18">
        <f>IF(OR($W910="",$W910=6),"",WORKDAY($X910,CHOOSE($W910,3,3,2,2,3),Holidays))</f>
        <v/>
      </c>
      <c r="Z910" s="17">
        <f>IF(OR($W910="",$W910=6),"",CHOOSE($W910,"1st Email Follow-up","2nd Email Follow-up","Escalate Local Office","Escalate to CBE","Escalate to Roxanne"))</f>
        <v/>
      </c>
    </row>
    <row r="911" spans="18:26">
      <c r="R911" s="15"/>
      <c r="S911" s="16"/>
      <c r="T911" s="17">
        <f>IF(AND(COUNTA($A911:$K911)=0,$L911=""),"",IF($S911="Paid","PAID",IF($S911="Closed","CLOSED",IF($W911="","",IF($W911=6,"ESCALATED TO ROXANNE",IF(TODAY()&gt;$Y911,"OVERDUE",IF($Y911&lt;=WORKDAY(TODAY(),1,Holidays),"DUE TOMORROW",IF($W911=4,"ESCALATED TO LOCAL OFFICE",IF($W911=5,"ESCALATED TO CBE",IF($X911=TODAY(),"EMAIL SENT","MONITORING"))))))))))</f>
        <v/>
      </c>
      <c r="U911" s="17">
        <f>IF($T911="",IF(AND(COUNTA($A911:$K911)&gt;0,$L911=""),"Awaiting Collection Email time stamp.",""),IF(OR($T911="PAID",$T911="CLOSED"),IF($T911="PAID","Account paid. Action completed.","Account closed. No further action required."),CHOOSE($W911,"Collection Email","1st Email Follow-up","2nd Email Follow-up","Escalation to Local Office","Escalation to CBE","Escalation to Roxanne")&amp;" sent "&amp;TEXT($X911,"dd-mmm")&amp;". "&amp;IF($W911=6,"Final escalation completed.",IF($T911="OVERDUE","Next: "&amp;$Z911&amp;" was due "&amp;TEXT($Y911,"dd-mmm")&amp;" - "&amp;(NETWORKDAYS($Y911,TODAY(),Holidays)-1)&amp;" business day(s) late. Send now.",IF($T911="DUE TOMORROW","Next: "&amp;$Z911&amp;IF($Y911&lt;=TODAY()," is due TODAY ("," is due next business day (")&amp;TEXT($Y911,"dd-mmm")&amp;").","Next: "&amp;$Z911&amp;" due "&amp;TEXT($Y911,"dd-mmm")&amp;" ("&amp;(NETWORKDAYS(TODAY(),$Y911,Holidays)-1)&amp;" business day(s) left).")))))</f>
        <v/>
      </c>
      <c r="V911" s="17">
        <f>IF($W911="","",CHOOSE($W911,"Collection Email","1st Follow-up","2nd Follow-up","Local Office","CBE","Roxanne")&amp;IF($W911=6," - Final"," - Day "&amp;MAX(0,NETWORKDAYS($X911,TODAY(),Holidays)-1)&amp;" of "&amp;CHOOSE($W911,3,3,2,2,3))&amp;" | Total Day "&amp;MAX(0,NETWORKDAYS($L911,TODAY(),Holidays)-1))</f>
        <v/>
      </c>
      <c r="W911" s="17">
        <f>IF($L911="","",COUNT($L911:$Q911))</f>
        <v/>
      </c>
      <c r="X911" s="18">
        <f>IF($W911="","",INT(INDEX($L911:$Q911,$W911)))</f>
        <v/>
      </c>
      <c r="Y911" s="18">
        <f>IF(OR($W911="",$W911=6),"",WORKDAY($X911,CHOOSE($W911,3,3,2,2,3),Holidays))</f>
        <v/>
      </c>
      <c r="Z911" s="17">
        <f>IF(OR($W911="",$W911=6),"",CHOOSE($W911,"1st Email Follow-up","2nd Email Follow-up","Escalate Local Office","Escalate to CBE","Escalate to Roxanne"))</f>
        <v/>
      </c>
    </row>
    <row r="912" spans="18:26">
      <c r="R912" s="15"/>
      <c r="S912" s="16"/>
      <c r="T912" s="17">
        <f>IF(AND(COUNTA($A912:$K912)=0,$L912=""),"",IF($S912="Paid","PAID",IF($S912="Closed","CLOSED",IF($W912="","",IF($W912=6,"ESCALATED TO ROXANNE",IF(TODAY()&gt;$Y912,"OVERDUE",IF($Y912&lt;=WORKDAY(TODAY(),1,Holidays),"DUE TOMORROW",IF($W912=4,"ESCALATED TO LOCAL OFFICE",IF($W912=5,"ESCALATED TO CBE",IF($X912=TODAY(),"EMAIL SENT","MONITORING"))))))))))</f>
        <v/>
      </c>
      <c r="U912" s="17">
        <f>IF($T912="",IF(AND(COUNTA($A912:$K912)&gt;0,$L912=""),"Awaiting Collection Email time stamp.",""),IF(OR($T912="PAID",$T912="CLOSED"),IF($T912="PAID","Account paid. Action completed.","Account closed. No further action required."),CHOOSE($W912,"Collection Email","1st Email Follow-up","2nd Email Follow-up","Escalation to Local Office","Escalation to CBE","Escalation to Roxanne")&amp;" sent "&amp;TEXT($X912,"dd-mmm")&amp;". "&amp;IF($W912=6,"Final escalation completed.",IF($T912="OVERDUE","Next: "&amp;$Z912&amp;" was due "&amp;TEXT($Y912,"dd-mmm")&amp;" - "&amp;(NETWORKDAYS($Y912,TODAY(),Holidays)-1)&amp;" business day(s) late. Send now.",IF($T912="DUE TOMORROW","Next: "&amp;$Z912&amp;IF($Y912&lt;=TODAY()," is due TODAY ("," is due next business day (")&amp;TEXT($Y912,"dd-mmm")&amp;").","Next: "&amp;$Z912&amp;" due "&amp;TEXT($Y912,"dd-mmm")&amp;" ("&amp;(NETWORKDAYS(TODAY(),$Y912,Holidays)-1)&amp;" business day(s) left).")))))</f>
        <v/>
      </c>
      <c r="V912" s="17">
        <f>IF($W912="","",CHOOSE($W912,"Collection Email","1st Follow-up","2nd Follow-up","Local Office","CBE","Roxanne")&amp;IF($W912=6," - Final"," - Day "&amp;MAX(0,NETWORKDAYS($X912,TODAY(),Holidays)-1)&amp;" of "&amp;CHOOSE($W912,3,3,2,2,3))&amp;" | Total Day "&amp;MAX(0,NETWORKDAYS($L912,TODAY(),Holidays)-1))</f>
        <v/>
      </c>
      <c r="W912" s="17">
        <f>IF($L912="","",COUNT($L912:$Q912))</f>
        <v/>
      </c>
      <c r="X912" s="18">
        <f>IF($W912="","",INT(INDEX($L912:$Q912,$W912)))</f>
        <v/>
      </c>
      <c r="Y912" s="18">
        <f>IF(OR($W912="",$W912=6),"",WORKDAY($X912,CHOOSE($W912,3,3,2,2,3),Holidays))</f>
        <v/>
      </c>
      <c r="Z912" s="17">
        <f>IF(OR($W912="",$W912=6),"",CHOOSE($W912,"1st Email Follow-up","2nd Email Follow-up","Escalate Local Office","Escalate to CBE","Escalate to Roxanne"))</f>
        <v/>
      </c>
    </row>
    <row r="913" spans="18:26">
      <c r="R913" s="15"/>
      <c r="S913" s="16"/>
      <c r="T913" s="17">
        <f>IF(AND(COUNTA($A913:$K913)=0,$L913=""),"",IF($S913="Paid","PAID",IF($S913="Closed","CLOSED",IF($W913="","",IF($W913=6,"ESCALATED TO ROXANNE",IF(TODAY()&gt;$Y913,"OVERDUE",IF($Y913&lt;=WORKDAY(TODAY(),1,Holidays),"DUE TOMORROW",IF($W913=4,"ESCALATED TO LOCAL OFFICE",IF($W913=5,"ESCALATED TO CBE",IF($X913=TODAY(),"EMAIL SENT","MONITORING"))))))))))</f>
        <v/>
      </c>
      <c r="U913" s="17">
        <f>IF($T913="",IF(AND(COUNTA($A913:$K913)&gt;0,$L913=""),"Awaiting Collection Email time stamp.",""),IF(OR($T913="PAID",$T913="CLOSED"),IF($T913="PAID","Account paid. Action completed.","Account closed. No further action required."),CHOOSE($W913,"Collection Email","1st Email Follow-up","2nd Email Follow-up","Escalation to Local Office","Escalation to CBE","Escalation to Roxanne")&amp;" sent "&amp;TEXT($X913,"dd-mmm")&amp;". "&amp;IF($W913=6,"Final escalation completed.",IF($T913="OVERDUE","Next: "&amp;$Z913&amp;" was due "&amp;TEXT($Y913,"dd-mmm")&amp;" - "&amp;(NETWORKDAYS($Y913,TODAY(),Holidays)-1)&amp;" business day(s) late. Send now.",IF($T913="DUE TOMORROW","Next: "&amp;$Z913&amp;IF($Y913&lt;=TODAY()," is due TODAY ("," is due next business day (")&amp;TEXT($Y913,"dd-mmm")&amp;").","Next: "&amp;$Z913&amp;" due "&amp;TEXT($Y913,"dd-mmm")&amp;" ("&amp;(NETWORKDAYS(TODAY(),$Y913,Holidays)-1)&amp;" business day(s) left).")))))</f>
        <v/>
      </c>
      <c r="V913" s="17">
        <f>IF($W913="","",CHOOSE($W913,"Collection Email","1st Follow-up","2nd Follow-up","Local Office","CBE","Roxanne")&amp;IF($W913=6," - Final"," - Day "&amp;MAX(0,NETWORKDAYS($X913,TODAY(),Holidays)-1)&amp;" of "&amp;CHOOSE($W913,3,3,2,2,3))&amp;" | Total Day "&amp;MAX(0,NETWORKDAYS($L913,TODAY(),Holidays)-1))</f>
        <v/>
      </c>
      <c r="W913" s="17">
        <f>IF($L913="","",COUNT($L913:$Q913))</f>
        <v/>
      </c>
      <c r="X913" s="18">
        <f>IF($W913="","",INT(INDEX($L913:$Q913,$W913)))</f>
        <v/>
      </c>
      <c r="Y913" s="18">
        <f>IF(OR($W913="",$W913=6),"",WORKDAY($X913,CHOOSE($W913,3,3,2,2,3),Holidays))</f>
        <v/>
      </c>
      <c r="Z913" s="17">
        <f>IF(OR($W913="",$W913=6),"",CHOOSE($W913,"1st Email Follow-up","2nd Email Follow-up","Escalate Local Office","Escalate to CBE","Escalate to Roxanne"))</f>
        <v/>
      </c>
    </row>
    <row r="914" spans="18:26">
      <c r="R914" s="15"/>
      <c r="S914" s="16"/>
      <c r="T914" s="17">
        <f>IF(AND(COUNTA($A914:$K914)=0,$L914=""),"",IF($S914="Paid","PAID",IF($S914="Closed","CLOSED",IF($W914="","",IF($W914=6,"ESCALATED TO ROXANNE",IF(TODAY()&gt;$Y914,"OVERDUE",IF($Y914&lt;=WORKDAY(TODAY(),1,Holidays),"DUE TOMORROW",IF($W914=4,"ESCALATED TO LOCAL OFFICE",IF($W914=5,"ESCALATED TO CBE",IF($X914=TODAY(),"EMAIL SENT","MONITORING"))))))))))</f>
        <v/>
      </c>
      <c r="U914" s="17">
        <f>IF($T914="",IF(AND(COUNTA($A914:$K914)&gt;0,$L914=""),"Awaiting Collection Email time stamp.",""),IF(OR($T914="PAID",$T914="CLOSED"),IF($T914="PAID","Account paid. Action completed.","Account closed. No further action required."),CHOOSE($W914,"Collection Email","1st Email Follow-up","2nd Email Follow-up","Escalation to Local Office","Escalation to CBE","Escalation to Roxanne")&amp;" sent "&amp;TEXT($X914,"dd-mmm")&amp;". "&amp;IF($W914=6,"Final escalation completed.",IF($T914="OVERDUE","Next: "&amp;$Z914&amp;" was due "&amp;TEXT($Y914,"dd-mmm")&amp;" - "&amp;(NETWORKDAYS($Y914,TODAY(),Holidays)-1)&amp;" business day(s) late. Send now.",IF($T914="DUE TOMORROW","Next: "&amp;$Z914&amp;IF($Y914&lt;=TODAY()," is due TODAY ("," is due next business day (")&amp;TEXT($Y914,"dd-mmm")&amp;").","Next: "&amp;$Z914&amp;" due "&amp;TEXT($Y914,"dd-mmm")&amp;" ("&amp;(NETWORKDAYS(TODAY(),$Y914,Holidays)-1)&amp;" business day(s) left).")))))</f>
        <v/>
      </c>
      <c r="V914" s="17">
        <f>IF($W914="","",CHOOSE($W914,"Collection Email","1st Follow-up","2nd Follow-up","Local Office","CBE","Roxanne")&amp;IF($W914=6," - Final"," - Day "&amp;MAX(0,NETWORKDAYS($X914,TODAY(),Holidays)-1)&amp;" of "&amp;CHOOSE($W914,3,3,2,2,3))&amp;" | Total Day "&amp;MAX(0,NETWORKDAYS($L914,TODAY(),Holidays)-1))</f>
        <v/>
      </c>
      <c r="W914" s="17">
        <f>IF($L914="","",COUNT($L914:$Q914))</f>
        <v/>
      </c>
      <c r="X914" s="18">
        <f>IF($W914="","",INT(INDEX($L914:$Q914,$W914)))</f>
        <v/>
      </c>
      <c r="Y914" s="18">
        <f>IF(OR($W914="",$W914=6),"",WORKDAY($X914,CHOOSE($W914,3,3,2,2,3),Holidays))</f>
        <v/>
      </c>
      <c r="Z914" s="17">
        <f>IF(OR($W914="",$W914=6),"",CHOOSE($W914,"1st Email Follow-up","2nd Email Follow-up","Escalate Local Office","Escalate to CBE","Escalate to Roxanne"))</f>
        <v/>
      </c>
    </row>
    <row r="915" spans="18:26">
      <c r="R915" s="15"/>
      <c r="S915" s="16"/>
      <c r="T915" s="17">
        <f>IF(AND(COUNTA($A915:$K915)=0,$L915=""),"",IF($S915="Paid","PAID",IF($S915="Closed","CLOSED",IF($W915="","",IF($W915=6,"ESCALATED TO ROXANNE",IF(TODAY()&gt;$Y915,"OVERDUE",IF($Y915&lt;=WORKDAY(TODAY(),1,Holidays),"DUE TOMORROW",IF($W915=4,"ESCALATED TO LOCAL OFFICE",IF($W915=5,"ESCALATED TO CBE",IF($X915=TODAY(),"EMAIL SENT","MONITORING"))))))))))</f>
        <v/>
      </c>
      <c r="U915" s="17">
        <f>IF($T915="",IF(AND(COUNTA($A915:$K915)&gt;0,$L915=""),"Awaiting Collection Email time stamp.",""),IF(OR($T915="PAID",$T915="CLOSED"),IF($T915="PAID","Account paid. Action completed.","Account closed. No further action required."),CHOOSE($W915,"Collection Email","1st Email Follow-up","2nd Email Follow-up","Escalation to Local Office","Escalation to CBE","Escalation to Roxanne")&amp;" sent "&amp;TEXT($X915,"dd-mmm")&amp;". "&amp;IF($W915=6,"Final escalation completed.",IF($T915="OVERDUE","Next: "&amp;$Z915&amp;" was due "&amp;TEXT($Y915,"dd-mmm")&amp;" - "&amp;(NETWORKDAYS($Y915,TODAY(),Holidays)-1)&amp;" business day(s) late. Send now.",IF($T915="DUE TOMORROW","Next: "&amp;$Z915&amp;IF($Y915&lt;=TODAY()," is due TODAY ("," is due next business day (")&amp;TEXT($Y915,"dd-mmm")&amp;").","Next: "&amp;$Z915&amp;" due "&amp;TEXT($Y915,"dd-mmm")&amp;" ("&amp;(NETWORKDAYS(TODAY(),$Y915,Holidays)-1)&amp;" business day(s) left).")))))</f>
        <v/>
      </c>
      <c r="V915" s="17">
        <f>IF($W915="","",CHOOSE($W915,"Collection Email","1st Follow-up","2nd Follow-up","Local Office","CBE","Roxanne")&amp;IF($W915=6," - Final"," - Day "&amp;MAX(0,NETWORKDAYS($X915,TODAY(),Holidays)-1)&amp;" of "&amp;CHOOSE($W915,3,3,2,2,3))&amp;" | Total Day "&amp;MAX(0,NETWORKDAYS($L915,TODAY(),Holidays)-1))</f>
        <v/>
      </c>
      <c r="W915" s="17">
        <f>IF($L915="","",COUNT($L915:$Q915))</f>
        <v/>
      </c>
      <c r="X915" s="18">
        <f>IF($W915="","",INT(INDEX($L915:$Q915,$W915)))</f>
        <v/>
      </c>
      <c r="Y915" s="18">
        <f>IF(OR($W915="",$W915=6),"",WORKDAY($X915,CHOOSE($W915,3,3,2,2,3),Holidays))</f>
        <v/>
      </c>
      <c r="Z915" s="17">
        <f>IF(OR($W915="",$W915=6),"",CHOOSE($W915,"1st Email Follow-up","2nd Email Follow-up","Escalate Local Office","Escalate to CBE","Escalate to Roxanne"))</f>
        <v/>
      </c>
    </row>
    <row r="916" spans="18:26">
      <c r="R916" s="15"/>
      <c r="S916" s="16"/>
      <c r="T916" s="17">
        <f>IF(AND(COUNTA($A916:$K916)=0,$L916=""),"",IF($S916="Paid","PAID",IF($S916="Closed","CLOSED",IF($W916="","",IF($W916=6,"ESCALATED TO ROXANNE",IF(TODAY()&gt;$Y916,"OVERDUE",IF($Y916&lt;=WORKDAY(TODAY(),1,Holidays),"DUE TOMORROW",IF($W916=4,"ESCALATED TO LOCAL OFFICE",IF($W916=5,"ESCALATED TO CBE",IF($X916=TODAY(),"EMAIL SENT","MONITORING"))))))))))</f>
        <v/>
      </c>
      <c r="U916" s="17">
        <f>IF($T916="",IF(AND(COUNTA($A916:$K916)&gt;0,$L916=""),"Awaiting Collection Email time stamp.",""),IF(OR($T916="PAID",$T916="CLOSED"),IF($T916="PAID","Account paid. Action completed.","Account closed. No further action required."),CHOOSE($W916,"Collection Email","1st Email Follow-up","2nd Email Follow-up","Escalation to Local Office","Escalation to CBE","Escalation to Roxanne")&amp;" sent "&amp;TEXT($X916,"dd-mmm")&amp;". "&amp;IF($W916=6,"Final escalation completed.",IF($T916="OVERDUE","Next: "&amp;$Z916&amp;" was due "&amp;TEXT($Y916,"dd-mmm")&amp;" - "&amp;(NETWORKDAYS($Y916,TODAY(),Holidays)-1)&amp;" business day(s) late. Send now.",IF($T916="DUE TOMORROW","Next: "&amp;$Z916&amp;IF($Y916&lt;=TODAY()," is due TODAY ("," is due next business day (")&amp;TEXT($Y916,"dd-mmm")&amp;").","Next: "&amp;$Z916&amp;" due "&amp;TEXT($Y916,"dd-mmm")&amp;" ("&amp;(NETWORKDAYS(TODAY(),$Y916,Holidays)-1)&amp;" business day(s) left).")))))</f>
        <v/>
      </c>
      <c r="V916" s="17">
        <f>IF($W916="","",CHOOSE($W916,"Collection Email","1st Follow-up","2nd Follow-up","Local Office","CBE","Roxanne")&amp;IF($W916=6," - Final"," - Day "&amp;MAX(0,NETWORKDAYS($X916,TODAY(),Holidays)-1)&amp;" of "&amp;CHOOSE($W916,3,3,2,2,3))&amp;" | Total Day "&amp;MAX(0,NETWORKDAYS($L916,TODAY(),Holidays)-1))</f>
        <v/>
      </c>
      <c r="W916" s="17">
        <f>IF($L916="","",COUNT($L916:$Q916))</f>
        <v/>
      </c>
      <c r="X916" s="18">
        <f>IF($W916="","",INT(INDEX($L916:$Q916,$W916)))</f>
        <v/>
      </c>
      <c r="Y916" s="18">
        <f>IF(OR($W916="",$W916=6),"",WORKDAY($X916,CHOOSE($W916,3,3,2,2,3),Holidays))</f>
        <v/>
      </c>
      <c r="Z916" s="17">
        <f>IF(OR($W916="",$W916=6),"",CHOOSE($W916,"1st Email Follow-up","2nd Email Follow-up","Escalate Local Office","Escalate to CBE","Escalate to Roxanne"))</f>
        <v/>
      </c>
    </row>
    <row r="917" spans="18:26">
      <c r="R917" s="15"/>
      <c r="S917" s="16"/>
      <c r="T917" s="17">
        <f>IF(AND(COUNTA($A917:$K917)=0,$L917=""),"",IF($S917="Paid","PAID",IF($S917="Closed","CLOSED",IF($W917="","",IF($W917=6,"ESCALATED TO ROXANNE",IF(TODAY()&gt;$Y917,"OVERDUE",IF($Y917&lt;=WORKDAY(TODAY(),1,Holidays),"DUE TOMORROW",IF($W917=4,"ESCALATED TO LOCAL OFFICE",IF($W917=5,"ESCALATED TO CBE",IF($X917=TODAY(),"EMAIL SENT","MONITORING"))))))))))</f>
        <v/>
      </c>
      <c r="U917" s="17">
        <f>IF($T917="",IF(AND(COUNTA($A917:$K917)&gt;0,$L917=""),"Awaiting Collection Email time stamp.",""),IF(OR($T917="PAID",$T917="CLOSED"),IF($T917="PAID","Account paid. Action completed.","Account closed. No further action required."),CHOOSE($W917,"Collection Email","1st Email Follow-up","2nd Email Follow-up","Escalation to Local Office","Escalation to CBE","Escalation to Roxanne")&amp;" sent "&amp;TEXT($X917,"dd-mmm")&amp;". "&amp;IF($W917=6,"Final escalation completed.",IF($T917="OVERDUE","Next: "&amp;$Z917&amp;" was due "&amp;TEXT($Y917,"dd-mmm")&amp;" - "&amp;(NETWORKDAYS($Y917,TODAY(),Holidays)-1)&amp;" business day(s) late. Send now.",IF($T917="DUE TOMORROW","Next: "&amp;$Z917&amp;IF($Y917&lt;=TODAY()," is due TODAY ("," is due next business day (")&amp;TEXT($Y917,"dd-mmm")&amp;").","Next: "&amp;$Z917&amp;" due "&amp;TEXT($Y917,"dd-mmm")&amp;" ("&amp;(NETWORKDAYS(TODAY(),$Y917,Holidays)-1)&amp;" business day(s) left).")))))</f>
        <v/>
      </c>
      <c r="V917" s="17">
        <f>IF($W917="","",CHOOSE($W917,"Collection Email","1st Follow-up","2nd Follow-up","Local Office","CBE","Roxanne")&amp;IF($W917=6," - Final"," - Day "&amp;MAX(0,NETWORKDAYS($X917,TODAY(),Holidays)-1)&amp;" of "&amp;CHOOSE($W917,3,3,2,2,3))&amp;" | Total Day "&amp;MAX(0,NETWORKDAYS($L917,TODAY(),Holidays)-1))</f>
        <v/>
      </c>
      <c r="W917" s="17">
        <f>IF($L917="","",COUNT($L917:$Q917))</f>
        <v/>
      </c>
      <c r="X917" s="18">
        <f>IF($W917="","",INT(INDEX($L917:$Q917,$W917)))</f>
        <v/>
      </c>
      <c r="Y917" s="18">
        <f>IF(OR($W917="",$W917=6),"",WORKDAY($X917,CHOOSE($W917,3,3,2,2,3),Holidays))</f>
        <v/>
      </c>
      <c r="Z917" s="17">
        <f>IF(OR($W917="",$W917=6),"",CHOOSE($W917,"1st Email Follow-up","2nd Email Follow-up","Escalate Local Office","Escalate to CBE","Escalate to Roxanne"))</f>
        <v/>
      </c>
    </row>
    <row r="918" spans="18:26">
      <c r="R918" s="15"/>
      <c r="S918" s="16"/>
      <c r="T918" s="17">
        <f>IF(AND(COUNTA($A918:$K918)=0,$L918=""),"",IF($S918="Paid","PAID",IF($S918="Closed","CLOSED",IF($W918="","",IF($W918=6,"ESCALATED TO ROXANNE",IF(TODAY()&gt;$Y918,"OVERDUE",IF($Y918&lt;=WORKDAY(TODAY(),1,Holidays),"DUE TOMORROW",IF($W918=4,"ESCALATED TO LOCAL OFFICE",IF($W918=5,"ESCALATED TO CBE",IF($X918=TODAY(),"EMAIL SENT","MONITORING"))))))))))</f>
        <v/>
      </c>
      <c r="U918" s="17">
        <f>IF($T918="",IF(AND(COUNTA($A918:$K918)&gt;0,$L918=""),"Awaiting Collection Email time stamp.",""),IF(OR($T918="PAID",$T918="CLOSED"),IF($T918="PAID","Account paid. Action completed.","Account closed. No further action required."),CHOOSE($W918,"Collection Email","1st Email Follow-up","2nd Email Follow-up","Escalation to Local Office","Escalation to CBE","Escalation to Roxanne")&amp;" sent "&amp;TEXT($X918,"dd-mmm")&amp;". "&amp;IF($W918=6,"Final escalation completed.",IF($T918="OVERDUE","Next: "&amp;$Z918&amp;" was due "&amp;TEXT($Y918,"dd-mmm")&amp;" - "&amp;(NETWORKDAYS($Y918,TODAY(),Holidays)-1)&amp;" business day(s) late. Send now.",IF($T918="DUE TOMORROW","Next: "&amp;$Z918&amp;IF($Y918&lt;=TODAY()," is due TODAY ("," is due next business day (")&amp;TEXT($Y918,"dd-mmm")&amp;").","Next: "&amp;$Z918&amp;" due "&amp;TEXT($Y918,"dd-mmm")&amp;" ("&amp;(NETWORKDAYS(TODAY(),$Y918,Holidays)-1)&amp;" business day(s) left).")))))</f>
        <v/>
      </c>
      <c r="V918" s="17">
        <f>IF($W918="","",CHOOSE($W918,"Collection Email","1st Follow-up","2nd Follow-up","Local Office","CBE","Roxanne")&amp;IF($W918=6," - Final"," - Day "&amp;MAX(0,NETWORKDAYS($X918,TODAY(),Holidays)-1)&amp;" of "&amp;CHOOSE($W918,3,3,2,2,3))&amp;" | Total Day "&amp;MAX(0,NETWORKDAYS($L918,TODAY(),Holidays)-1))</f>
        <v/>
      </c>
      <c r="W918" s="17">
        <f>IF($L918="","",COUNT($L918:$Q918))</f>
        <v/>
      </c>
      <c r="X918" s="18">
        <f>IF($W918="","",INT(INDEX($L918:$Q918,$W918)))</f>
        <v/>
      </c>
      <c r="Y918" s="18">
        <f>IF(OR($W918="",$W918=6),"",WORKDAY($X918,CHOOSE($W918,3,3,2,2,3),Holidays))</f>
        <v/>
      </c>
      <c r="Z918" s="17">
        <f>IF(OR($W918="",$W918=6),"",CHOOSE($W918,"1st Email Follow-up","2nd Email Follow-up","Escalate Local Office","Escalate to CBE","Escalate to Roxanne"))</f>
        <v/>
      </c>
    </row>
    <row r="919" spans="18:26">
      <c r="R919" s="15"/>
      <c r="S919" s="16"/>
      <c r="T919" s="17">
        <f>IF(AND(COUNTA($A919:$K919)=0,$L919=""),"",IF($S919="Paid","PAID",IF($S919="Closed","CLOSED",IF($W919="","",IF($W919=6,"ESCALATED TO ROXANNE",IF(TODAY()&gt;$Y919,"OVERDUE",IF($Y919&lt;=WORKDAY(TODAY(),1,Holidays),"DUE TOMORROW",IF($W919=4,"ESCALATED TO LOCAL OFFICE",IF($W919=5,"ESCALATED TO CBE",IF($X919=TODAY(),"EMAIL SENT","MONITORING"))))))))))</f>
        <v/>
      </c>
      <c r="U919" s="17">
        <f>IF($T919="",IF(AND(COUNTA($A919:$K919)&gt;0,$L919=""),"Awaiting Collection Email time stamp.",""),IF(OR($T919="PAID",$T919="CLOSED"),IF($T919="PAID","Account paid. Action completed.","Account closed. No further action required."),CHOOSE($W919,"Collection Email","1st Email Follow-up","2nd Email Follow-up","Escalation to Local Office","Escalation to CBE","Escalation to Roxanne")&amp;" sent "&amp;TEXT($X919,"dd-mmm")&amp;". "&amp;IF($W919=6,"Final escalation completed.",IF($T919="OVERDUE","Next: "&amp;$Z919&amp;" was due "&amp;TEXT($Y919,"dd-mmm")&amp;" - "&amp;(NETWORKDAYS($Y919,TODAY(),Holidays)-1)&amp;" business day(s) late. Send now.",IF($T919="DUE TOMORROW","Next: "&amp;$Z919&amp;IF($Y919&lt;=TODAY()," is due TODAY ("," is due next business day (")&amp;TEXT($Y919,"dd-mmm")&amp;").","Next: "&amp;$Z919&amp;" due "&amp;TEXT($Y919,"dd-mmm")&amp;" ("&amp;(NETWORKDAYS(TODAY(),$Y919,Holidays)-1)&amp;" business day(s) left).")))))</f>
        <v/>
      </c>
      <c r="V919" s="17">
        <f>IF($W919="","",CHOOSE($W919,"Collection Email","1st Follow-up","2nd Follow-up","Local Office","CBE","Roxanne")&amp;IF($W919=6," - Final"," - Day "&amp;MAX(0,NETWORKDAYS($X919,TODAY(),Holidays)-1)&amp;" of "&amp;CHOOSE($W919,3,3,2,2,3))&amp;" | Total Day "&amp;MAX(0,NETWORKDAYS($L919,TODAY(),Holidays)-1))</f>
        <v/>
      </c>
      <c r="W919" s="17">
        <f>IF($L919="","",COUNT($L919:$Q919))</f>
        <v/>
      </c>
      <c r="X919" s="18">
        <f>IF($W919="","",INT(INDEX($L919:$Q919,$W919)))</f>
        <v/>
      </c>
      <c r="Y919" s="18">
        <f>IF(OR($W919="",$W919=6),"",WORKDAY($X919,CHOOSE($W919,3,3,2,2,3),Holidays))</f>
        <v/>
      </c>
      <c r="Z919" s="17">
        <f>IF(OR($W919="",$W919=6),"",CHOOSE($W919,"1st Email Follow-up","2nd Email Follow-up","Escalate Local Office","Escalate to CBE","Escalate to Roxanne"))</f>
        <v/>
      </c>
    </row>
    <row r="920" spans="18:26">
      <c r="R920" s="15"/>
      <c r="S920" s="16"/>
      <c r="T920" s="17">
        <f>IF(AND(COUNTA($A920:$K920)=0,$L920=""),"",IF($S920="Paid","PAID",IF($S920="Closed","CLOSED",IF($W920="","",IF($W920=6,"ESCALATED TO ROXANNE",IF(TODAY()&gt;$Y920,"OVERDUE",IF($Y920&lt;=WORKDAY(TODAY(),1,Holidays),"DUE TOMORROW",IF($W920=4,"ESCALATED TO LOCAL OFFICE",IF($W920=5,"ESCALATED TO CBE",IF($X920=TODAY(),"EMAIL SENT","MONITORING"))))))))))</f>
        <v/>
      </c>
      <c r="U920" s="17">
        <f>IF($T920="",IF(AND(COUNTA($A920:$K920)&gt;0,$L920=""),"Awaiting Collection Email time stamp.",""),IF(OR($T920="PAID",$T920="CLOSED"),IF($T920="PAID","Account paid. Action completed.","Account closed. No further action required."),CHOOSE($W920,"Collection Email","1st Email Follow-up","2nd Email Follow-up","Escalation to Local Office","Escalation to CBE","Escalation to Roxanne")&amp;" sent "&amp;TEXT($X920,"dd-mmm")&amp;". "&amp;IF($W920=6,"Final escalation completed.",IF($T920="OVERDUE","Next: "&amp;$Z920&amp;" was due "&amp;TEXT($Y920,"dd-mmm")&amp;" - "&amp;(NETWORKDAYS($Y920,TODAY(),Holidays)-1)&amp;" business day(s) late. Send now.",IF($T920="DUE TOMORROW","Next: "&amp;$Z920&amp;IF($Y920&lt;=TODAY()," is due TODAY ("," is due next business day (")&amp;TEXT($Y920,"dd-mmm")&amp;").","Next: "&amp;$Z920&amp;" due "&amp;TEXT($Y920,"dd-mmm")&amp;" ("&amp;(NETWORKDAYS(TODAY(),$Y920,Holidays)-1)&amp;" business day(s) left).")))))</f>
        <v/>
      </c>
      <c r="V920" s="17">
        <f>IF($W920="","",CHOOSE($W920,"Collection Email","1st Follow-up","2nd Follow-up","Local Office","CBE","Roxanne")&amp;IF($W920=6," - Final"," - Day "&amp;MAX(0,NETWORKDAYS($X920,TODAY(),Holidays)-1)&amp;" of "&amp;CHOOSE($W920,3,3,2,2,3))&amp;" | Total Day "&amp;MAX(0,NETWORKDAYS($L920,TODAY(),Holidays)-1))</f>
        <v/>
      </c>
      <c r="W920" s="17">
        <f>IF($L920="","",COUNT($L920:$Q920))</f>
        <v/>
      </c>
      <c r="X920" s="18">
        <f>IF($W920="","",INT(INDEX($L920:$Q920,$W920)))</f>
        <v/>
      </c>
      <c r="Y920" s="18">
        <f>IF(OR($W920="",$W920=6),"",WORKDAY($X920,CHOOSE($W920,3,3,2,2,3),Holidays))</f>
        <v/>
      </c>
      <c r="Z920" s="17">
        <f>IF(OR($W920="",$W920=6),"",CHOOSE($W920,"1st Email Follow-up","2nd Email Follow-up","Escalate Local Office","Escalate to CBE","Escalate to Roxanne"))</f>
        <v/>
      </c>
    </row>
    <row r="921" spans="18:26">
      <c r="R921" s="15"/>
      <c r="S921" s="16"/>
      <c r="T921" s="17">
        <f>IF(AND(COUNTA($A921:$K921)=0,$L921=""),"",IF($S921="Paid","PAID",IF($S921="Closed","CLOSED",IF($W921="","",IF($W921=6,"ESCALATED TO ROXANNE",IF(TODAY()&gt;$Y921,"OVERDUE",IF($Y921&lt;=WORKDAY(TODAY(),1,Holidays),"DUE TOMORROW",IF($W921=4,"ESCALATED TO LOCAL OFFICE",IF($W921=5,"ESCALATED TO CBE",IF($X921=TODAY(),"EMAIL SENT","MONITORING"))))))))))</f>
        <v/>
      </c>
      <c r="U921" s="17">
        <f>IF($T921="",IF(AND(COUNTA($A921:$K921)&gt;0,$L921=""),"Awaiting Collection Email time stamp.",""),IF(OR($T921="PAID",$T921="CLOSED"),IF($T921="PAID","Account paid. Action completed.","Account closed. No further action required."),CHOOSE($W921,"Collection Email","1st Email Follow-up","2nd Email Follow-up","Escalation to Local Office","Escalation to CBE","Escalation to Roxanne")&amp;" sent "&amp;TEXT($X921,"dd-mmm")&amp;". "&amp;IF($W921=6,"Final escalation completed.",IF($T921="OVERDUE","Next: "&amp;$Z921&amp;" was due "&amp;TEXT($Y921,"dd-mmm")&amp;" - "&amp;(NETWORKDAYS($Y921,TODAY(),Holidays)-1)&amp;" business day(s) late. Send now.",IF($T921="DUE TOMORROW","Next: "&amp;$Z921&amp;IF($Y921&lt;=TODAY()," is due TODAY ("," is due next business day (")&amp;TEXT($Y921,"dd-mmm")&amp;").","Next: "&amp;$Z921&amp;" due "&amp;TEXT($Y921,"dd-mmm")&amp;" ("&amp;(NETWORKDAYS(TODAY(),$Y921,Holidays)-1)&amp;" business day(s) left).")))))</f>
        <v/>
      </c>
      <c r="V921" s="17">
        <f>IF($W921="","",CHOOSE($W921,"Collection Email","1st Follow-up","2nd Follow-up","Local Office","CBE","Roxanne")&amp;IF($W921=6," - Final"," - Day "&amp;MAX(0,NETWORKDAYS($X921,TODAY(),Holidays)-1)&amp;" of "&amp;CHOOSE($W921,3,3,2,2,3))&amp;" | Total Day "&amp;MAX(0,NETWORKDAYS($L921,TODAY(),Holidays)-1))</f>
        <v/>
      </c>
      <c r="W921" s="17">
        <f>IF($L921="","",COUNT($L921:$Q921))</f>
        <v/>
      </c>
      <c r="X921" s="18">
        <f>IF($W921="","",INT(INDEX($L921:$Q921,$W921)))</f>
        <v/>
      </c>
      <c r="Y921" s="18">
        <f>IF(OR($W921="",$W921=6),"",WORKDAY($X921,CHOOSE($W921,3,3,2,2,3),Holidays))</f>
        <v/>
      </c>
      <c r="Z921" s="17">
        <f>IF(OR($W921="",$W921=6),"",CHOOSE($W921,"1st Email Follow-up","2nd Email Follow-up","Escalate Local Office","Escalate to CBE","Escalate to Roxanne"))</f>
        <v/>
      </c>
    </row>
    <row r="922" spans="18:26">
      <c r="R922" s="15"/>
      <c r="S922" s="16"/>
      <c r="T922" s="17">
        <f>IF(AND(COUNTA($A922:$K922)=0,$L922=""),"",IF($S922="Paid","PAID",IF($S922="Closed","CLOSED",IF($W922="","",IF($W922=6,"ESCALATED TO ROXANNE",IF(TODAY()&gt;$Y922,"OVERDUE",IF($Y922&lt;=WORKDAY(TODAY(),1,Holidays),"DUE TOMORROW",IF($W922=4,"ESCALATED TO LOCAL OFFICE",IF($W922=5,"ESCALATED TO CBE",IF($X922=TODAY(),"EMAIL SENT","MONITORING"))))))))))</f>
        <v/>
      </c>
      <c r="U922" s="17">
        <f>IF($T922="",IF(AND(COUNTA($A922:$K922)&gt;0,$L922=""),"Awaiting Collection Email time stamp.",""),IF(OR($T922="PAID",$T922="CLOSED"),IF($T922="PAID","Account paid. Action completed.","Account closed. No further action required."),CHOOSE($W922,"Collection Email","1st Email Follow-up","2nd Email Follow-up","Escalation to Local Office","Escalation to CBE","Escalation to Roxanne")&amp;" sent "&amp;TEXT($X922,"dd-mmm")&amp;". "&amp;IF($W922=6,"Final escalation completed.",IF($T922="OVERDUE","Next: "&amp;$Z922&amp;" was due "&amp;TEXT($Y922,"dd-mmm")&amp;" - "&amp;(NETWORKDAYS($Y922,TODAY(),Holidays)-1)&amp;" business day(s) late. Send now.",IF($T922="DUE TOMORROW","Next: "&amp;$Z922&amp;IF($Y922&lt;=TODAY()," is due TODAY ("," is due next business day (")&amp;TEXT($Y922,"dd-mmm")&amp;").","Next: "&amp;$Z922&amp;" due "&amp;TEXT($Y922,"dd-mmm")&amp;" ("&amp;(NETWORKDAYS(TODAY(),$Y922,Holidays)-1)&amp;" business day(s) left).")))))</f>
        <v/>
      </c>
      <c r="V922" s="17">
        <f>IF($W922="","",CHOOSE($W922,"Collection Email","1st Follow-up","2nd Follow-up","Local Office","CBE","Roxanne")&amp;IF($W922=6," - Final"," - Day "&amp;MAX(0,NETWORKDAYS($X922,TODAY(),Holidays)-1)&amp;" of "&amp;CHOOSE($W922,3,3,2,2,3))&amp;" | Total Day "&amp;MAX(0,NETWORKDAYS($L922,TODAY(),Holidays)-1))</f>
        <v/>
      </c>
      <c r="W922" s="17">
        <f>IF($L922="","",COUNT($L922:$Q922))</f>
        <v/>
      </c>
      <c r="X922" s="18">
        <f>IF($W922="","",INT(INDEX($L922:$Q922,$W922)))</f>
        <v/>
      </c>
      <c r="Y922" s="18">
        <f>IF(OR($W922="",$W922=6),"",WORKDAY($X922,CHOOSE($W922,3,3,2,2,3),Holidays))</f>
        <v/>
      </c>
      <c r="Z922" s="17">
        <f>IF(OR($W922="",$W922=6),"",CHOOSE($W922,"1st Email Follow-up","2nd Email Follow-up","Escalate Local Office","Escalate to CBE","Escalate to Roxanne"))</f>
        <v/>
      </c>
    </row>
    <row r="923" spans="18:26">
      <c r="R923" s="15"/>
      <c r="S923" s="16"/>
      <c r="T923" s="17">
        <f>IF(AND(COUNTA($A923:$K923)=0,$L923=""),"",IF($S923="Paid","PAID",IF($S923="Closed","CLOSED",IF($W923="","",IF($W923=6,"ESCALATED TO ROXANNE",IF(TODAY()&gt;$Y923,"OVERDUE",IF($Y923&lt;=WORKDAY(TODAY(),1,Holidays),"DUE TOMORROW",IF($W923=4,"ESCALATED TO LOCAL OFFICE",IF($W923=5,"ESCALATED TO CBE",IF($X923=TODAY(),"EMAIL SENT","MONITORING"))))))))))</f>
        <v/>
      </c>
      <c r="U923" s="17">
        <f>IF($T923="",IF(AND(COUNTA($A923:$K923)&gt;0,$L923=""),"Awaiting Collection Email time stamp.",""),IF(OR($T923="PAID",$T923="CLOSED"),IF($T923="PAID","Account paid. Action completed.","Account closed. No further action required."),CHOOSE($W923,"Collection Email","1st Email Follow-up","2nd Email Follow-up","Escalation to Local Office","Escalation to CBE","Escalation to Roxanne")&amp;" sent "&amp;TEXT($X923,"dd-mmm")&amp;". "&amp;IF($W923=6,"Final escalation completed.",IF($T923="OVERDUE","Next: "&amp;$Z923&amp;" was due "&amp;TEXT($Y923,"dd-mmm")&amp;" - "&amp;(NETWORKDAYS($Y923,TODAY(),Holidays)-1)&amp;" business day(s) late. Send now.",IF($T923="DUE TOMORROW","Next: "&amp;$Z923&amp;IF($Y923&lt;=TODAY()," is due TODAY ("," is due next business day (")&amp;TEXT($Y923,"dd-mmm")&amp;").","Next: "&amp;$Z923&amp;" due "&amp;TEXT($Y923,"dd-mmm")&amp;" ("&amp;(NETWORKDAYS(TODAY(),$Y923,Holidays)-1)&amp;" business day(s) left).")))))</f>
        <v/>
      </c>
      <c r="V923" s="17">
        <f>IF($W923="","",CHOOSE($W923,"Collection Email","1st Follow-up","2nd Follow-up","Local Office","CBE","Roxanne")&amp;IF($W923=6," - Final"," - Day "&amp;MAX(0,NETWORKDAYS($X923,TODAY(),Holidays)-1)&amp;" of "&amp;CHOOSE($W923,3,3,2,2,3))&amp;" | Total Day "&amp;MAX(0,NETWORKDAYS($L923,TODAY(),Holidays)-1))</f>
        <v/>
      </c>
      <c r="W923" s="17">
        <f>IF($L923="","",COUNT($L923:$Q923))</f>
        <v/>
      </c>
      <c r="X923" s="18">
        <f>IF($W923="","",INT(INDEX($L923:$Q923,$W923)))</f>
        <v/>
      </c>
      <c r="Y923" s="18">
        <f>IF(OR($W923="",$W923=6),"",WORKDAY($X923,CHOOSE($W923,3,3,2,2,3),Holidays))</f>
        <v/>
      </c>
      <c r="Z923" s="17">
        <f>IF(OR($W923="",$W923=6),"",CHOOSE($W923,"1st Email Follow-up","2nd Email Follow-up","Escalate Local Office","Escalate to CBE","Escalate to Roxanne"))</f>
        <v/>
      </c>
    </row>
    <row r="924" spans="18:26">
      <c r="R924" s="15"/>
      <c r="S924" s="16"/>
      <c r="T924" s="17">
        <f>IF(AND(COUNTA($A924:$K924)=0,$L924=""),"",IF($S924="Paid","PAID",IF($S924="Closed","CLOSED",IF($W924="","",IF($W924=6,"ESCALATED TO ROXANNE",IF(TODAY()&gt;$Y924,"OVERDUE",IF($Y924&lt;=WORKDAY(TODAY(),1,Holidays),"DUE TOMORROW",IF($W924=4,"ESCALATED TO LOCAL OFFICE",IF($W924=5,"ESCALATED TO CBE",IF($X924=TODAY(),"EMAIL SENT","MONITORING"))))))))))</f>
        <v/>
      </c>
      <c r="U924" s="17">
        <f>IF($T924="",IF(AND(COUNTA($A924:$K924)&gt;0,$L924=""),"Awaiting Collection Email time stamp.",""),IF(OR($T924="PAID",$T924="CLOSED"),IF($T924="PAID","Account paid. Action completed.","Account closed. No further action required."),CHOOSE($W924,"Collection Email","1st Email Follow-up","2nd Email Follow-up","Escalation to Local Office","Escalation to CBE","Escalation to Roxanne")&amp;" sent "&amp;TEXT($X924,"dd-mmm")&amp;". "&amp;IF($W924=6,"Final escalation completed.",IF($T924="OVERDUE","Next: "&amp;$Z924&amp;" was due "&amp;TEXT($Y924,"dd-mmm")&amp;" - "&amp;(NETWORKDAYS($Y924,TODAY(),Holidays)-1)&amp;" business day(s) late. Send now.",IF($T924="DUE TOMORROW","Next: "&amp;$Z924&amp;IF($Y924&lt;=TODAY()," is due TODAY ("," is due next business day (")&amp;TEXT($Y924,"dd-mmm")&amp;").","Next: "&amp;$Z924&amp;" due "&amp;TEXT($Y924,"dd-mmm")&amp;" ("&amp;(NETWORKDAYS(TODAY(),$Y924,Holidays)-1)&amp;" business day(s) left).")))))</f>
        <v/>
      </c>
      <c r="V924" s="17">
        <f>IF($W924="","",CHOOSE($W924,"Collection Email","1st Follow-up","2nd Follow-up","Local Office","CBE","Roxanne")&amp;IF($W924=6," - Final"," - Day "&amp;MAX(0,NETWORKDAYS($X924,TODAY(),Holidays)-1)&amp;" of "&amp;CHOOSE($W924,3,3,2,2,3))&amp;" | Total Day "&amp;MAX(0,NETWORKDAYS($L924,TODAY(),Holidays)-1))</f>
        <v/>
      </c>
      <c r="W924" s="17">
        <f>IF($L924="","",COUNT($L924:$Q924))</f>
        <v/>
      </c>
      <c r="X924" s="18">
        <f>IF($W924="","",INT(INDEX($L924:$Q924,$W924)))</f>
        <v/>
      </c>
      <c r="Y924" s="18">
        <f>IF(OR($W924="",$W924=6),"",WORKDAY($X924,CHOOSE($W924,3,3,2,2,3),Holidays))</f>
        <v/>
      </c>
      <c r="Z924" s="17">
        <f>IF(OR($W924="",$W924=6),"",CHOOSE($W924,"1st Email Follow-up","2nd Email Follow-up","Escalate Local Office","Escalate to CBE","Escalate to Roxanne"))</f>
        <v/>
      </c>
    </row>
    <row r="925" spans="18:26">
      <c r="R925" s="15"/>
      <c r="S925" s="16"/>
      <c r="T925" s="17">
        <f>IF(AND(COUNTA($A925:$K925)=0,$L925=""),"",IF($S925="Paid","PAID",IF($S925="Closed","CLOSED",IF($W925="","",IF($W925=6,"ESCALATED TO ROXANNE",IF(TODAY()&gt;$Y925,"OVERDUE",IF($Y925&lt;=WORKDAY(TODAY(),1,Holidays),"DUE TOMORROW",IF($W925=4,"ESCALATED TO LOCAL OFFICE",IF($W925=5,"ESCALATED TO CBE",IF($X925=TODAY(),"EMAIL SENT","MONITORING"))))))))))</f>
        <v/>
      </c>
      <c r="U925" s="17">
        <f>IF($T925="",IF(AND(COUNTA($A925:$K925)&gt;0,$L925=""),"Awaiting Collection Email time stamp.",""),IF(OR($T925="PAID",$T925="CLOSED"),IF($T925="PAID","Account paid. Action completed.","Account closed. No further action required."),CHOOSE($W925,"Collection Email","1st Email Follow-up","2nd Email Follow-up","Escalation to Local Office","Escalation to CBE","Escalation to Roxanne")&amp;" sent "&amp;TEXT($X925,"dd-mmm")&amp;". "&amp;IF($W925=6,"Final escalation completed.",IF($T925="OVERDUE","Next: "&amp;$Z925&amp;" was due "&amp;TEXT($Y925,"dd-mmm")&amp;" - "&amp;(NETWORKDAYS($Y925,TODAY(),Holidays)-1)&amp;" business day(s) late. Send now.",IF($T925="DUE TOMORROW","Next: "&amp;$Z925&amp;IF($Y925&lt;=TODAY()," is due TODAY ("," is due next business day (")&amp;TEXT($Y925,"dd-mmm")&amp;").","Next: "&amp;$Z925&amp;" due "&amp;TEXT($Y925,"dd-mmm")&amp;" ("&amp;(NETWORKDAYS(TODAY(),$Y925,Holidays)-1)&amp;" business day(s) left).")))))</f>
        <v/>
      </c>
      <c r="V925" s="17">
        <f>IF($W925="","",CHOOSE($W925,"Collection Email","1st Follow-up","2nd Follow-up","Local Office","CBE","Roxanne")&amp;IF($W925=6," - Final"," - Day "&amp;MAX(0,NETWORKDAYS($X925,TODAY(),Holidays)-1)&amp;" of "&amp;CHOOSE($W925,3,3,2,2,3))&amp;" | Total Day "&amp;MAX(0,NETWORKDAYS($L925,TODAY(),Holidays)-1))</f>
        <v/>
      </c>
      <c r="W925" s="17">
        <f>IF($L925="","",COUNT($L925:$Q925))</f>
        <v/>
      </c>
      <c r="X925" s="18">
        <f>IF($W925="","",INT(INDEX($L925:$Q925,$W925)))</f>
        <v/>
      </c>
      <c r="Y925" s="18">
        <f>IF(OR($W925="",$W925=6),"",WORKDAY($X925,CHOOSE($W925,3,3,2,2,3),Holidays))</f>
        <v/>
      </c>
      <c r="Z925" s="17">
        <f>IF(OR($W925="",$W925=6),"",CHOOSE($W925,"1st Email Follow-up","2nd Email Follow-up","Escalate Local Office","Escalate to CBE","Escalate to Roxanne"))</f>
        <v/>
      </c>
    </row>
    <row r="926" spans="18:26">
      <c r="R926" s="15"/>
      <c r="S926" s="16"/>
      <c r="T926" s="17">
        <f>IF(AND(COUNTA($A926:$K926)=0,$L926=""),"",IF($S926="Paid","PAID",IF($S926="Closed","CLOSED",IF($W926="","",IF($W926=6,"ESCALATED TO ROXANNE",IF(TODAY()&gt;$Y926,"OVERDUE",IF($Y926&lt;=WORKDAY(TODAY(),1,Holidays),"DUE TOMORROW",IF($W926=4,"ESCALATED TO LOCAL OFFICE",IF($W926=5,"ESCALATED TO CBE",IF($X926=TODAY(),"EMAIL SENT","MONITORING"))))))))))</f>
        <v/>
      </c>
      <c r="U926" s="17">
        <f>IF($T926="",IF(AND(COUNTA($A926:$K926)&gt;0,$L926=""),"Awaiting Collection Email time stamp.",""),IF(OR($T926="PAID",$T926="CLOSED"),IF($T926="PAID","Account paid. Action completed.","Account closed. No further action required."),CHOOSE($W926,"Collection Email","1st Email Follow-up","2nd Email Follow-up","Escalation to Local Office","Escalation to CBE","Escalation to Roxanne")&amp;" sent "&amp;TEXT($X926,"dd-mmm")&amp;". "&amp;IF($W926=6,"Final escalation completed.",IF($T926="OVERDUE","Next: "&amp;$Z926&amp;" was due "&amp;TEXT($Y926,"dd-mmm")&amp;" - "&amp;(NETWORKDAYS($Y926,TODAY(),Holidays)-1)&amp;" business day(s) late. Send now.",IF($T926="DUE TOMORROW","Next: "&amp;$Z926&amp;IF($Y926&lt;=TODAY()," is due TODAY ("," is due next business day (")&amp;TEXT($Y926,"dd-mmm")&amp;").","Next: "&amp;$Z926&amp;" due "&amp;TEXT($Y926,"dd-mmm")&amp;" ("&amp;(NETWORKDAYS(TODAY(),$Y926,Holidays)-1)&amp;" business day(s) left).")))))</f>
        <v/>
      </c>
      <c r="V926" s="17">
        <f>IF($W926="","",CHOOSE($W926,"Collection Email","1st Follow-up","2nd Follow-up","Local Office","CBE","Roxanne")&amp;IF($W926=6," - Final"," - Day "&amp;MAX(0,NETWORKDAYS($X926,TODAY(),Holidays)-1)&amp;" of "&amp;CHOOSE($W926,3,3,2,2,3))&amp;" | Total Day "&amp;MAX(0,NETWORKDAYS($L926,TODAY(),Holidays)-1))</f>
        <v/>
      </c>
      <c r="W926" s="17">
        <f>IF($L926="","",COUNT($L926:$Q926))</f>
        <v/>
      </c>
      <c r="X926" s="18">
        <f>IF($W926="","",INT(INDEX($L926:$Q926,$W926)))</f>
        <v/>
      </c>
      <c r="Y926" s="18">
        <f>IF(OR($W926="",$W926=6),"",WORKDAY($X926,CHOOSE($W926,3,3,2,2,3),Holidays))</f>
        <v/>
      </c>
      <c r="Z926" s="17">
        <f>IF(OR($W926="",$W926=6),"",CHOOSE($W926,"1st Email Follow-up","2nd Email Follow-up","Escalate Local Office","Escalate to CBE","Escalate to Roxanne"))</f>
        <v/>
      </c>
    </row>
    <row r="927" spans="18:26">
      <c r="R927" s="15"/>
      <c r="S927" s="16"/>
      <c r="T927" s="17">
        <f>IF(AND(COUNTA($A927:$K927)=0,$L927=""),"",IF($S927="Paid","PAID",IF($S927="Closed","CLOSED",IF($W927="","",IF($W927=6,"ESCALATED TO ROXANNE",IF(TODAY()&gt;$Y927,"OVERDUE",IF($Y927&lt;=WORKDAY(TODAY(),1,Holidays),"DUE TOMORROW",IF($W927=4,"ESCALATED TO LOCAL OFFICE",IF($W927=5,"ESCALATED TO CBE",IF($X927=TODAY(),"EMAIL SENT","MONITORING"))))))))))</f>
        <v/>
      </c>
      <c r="U927" s="17">
        <f>IF($T927="",IF(AND(COUNTA($A927:$K927)&gt;0,$L927=""),"Awaiting Collection Email time stamp.",""),IF(OR($T927="PAID",$T927="CLOSED"),IF($T927="PAID","Account paid. Action completed.","Account closed. No further action required."),CHOOSE($W927,"Collection Email","1st Email Follow-up","2nd Email Follow-up","Escalation to Local Office","Escalation to CBE","Escalation to Roxanne")&amp;" sent "&amp;TEXT($X927,"dd-mmm")&amp;". "&amp;IF($W927=6,"Final escalation completed.",IF($T927="OVERDUE","Next: "&amp;$Z927&amp;" was due "&amp;TEXT($Y927,"dd-mmm")&amp;" - "&amp;(NETWORKDAYS($Y927,TODAY(),Holidays)-1)&amp;" business day(s) late. Send now.",IF($T927="DUE TOMORROW","Next: "&amp;$Z927&amp;IF($Y927&lt;=TODAY()," is due TODAY ("," is due next business day (")&amp;TEXT($Y927,"dd-mmm")&amp;").","Next: "&amp;$Z927&amp;" due "&amp;TEXT($Y927,"dd-mmm")&amp;" ("&amp;(NETWORKDAYS(TODAY(),$Y927,Holidays)-1)&amp;" business day(s) left).")))))</f>
        <v/>
      </c>
      <c r="V927" s="17">
        <f>IF($W927="","",CHOOSE($W927,"Collection Email","1st Follow-up","2nd Follow-up","Local Office","CBE","Roxanne")&amp;IF($W927=6," - Final"," - Day "&amp;MAX(0,NETWORKDAYS($X927,TODAY(),Holidays)-1)&amp;" of "&amp;CHOOSE($W927,3,3,2,2,3))&amp;" | Total Day "&amp;MAX(0,NETWORKDAYS($L927,TODAY(),Holidays)-1))</f>
        <v/>
      </c>
      <c r="W927" s="17">
        <f>IF($L927="","",COUNT($L927:$Q927))</f>
        <v/>
      </c>
      <c r="X927" s="18">
        <f>IF($W927="","",INT(INDEX($L927:$Q927,$W927)))</f>
        <v/>
      </c>
      <c r="Y927" s="18">
        <f>IF(OR($W927="",$W927=6),"",WORKDAY($X927,CHOOSE($W927,3,3,2,2,3),Holidays))</f>
        <v/>
      </c>
      <c r="Z927" s="17">
        <f>IF(OR($W927="",$W927=6),"",CHOOSE($W927,"1st Email Follow-up","2nd Email Follow-up","Escalate Local Office","Escalate to CBE","Escalate to Roxanne"))</f>
        <v/>
      </c>
    </row>
    <row r="928" spans="18:26">
      <c r="R928" s="15"/>
      <c r="S928" s="16"/>
      <c r="T928" s="17">
        <f>IF(AND(COUNTA($A928:$K928)=0,$L928=""),"",IF($S928="Paid","PAID",IF($S928="Closed","CLOSED",IF($W928="","",IF($W928=6,"ESCALATED TO ROXANNE",IF(TODAY()&gt;$Y928,"OVERDUE",IF($Y928&lt;=WORKDAY(TODAY(),1,Holidays),"DUE TOMORROW",IF($W928=4,"ESCALATED TO LOCAL OFFICE",IF($W928=5,"ESCALATED TO CBE",IF($X928=TODAY(),"EMAIL SENT","MONITORING"))))))))))</f>
        <v/>
      </c>
      <c r="U928" s="17">
        <f>IF($T928="",IF(AND(COUNTA($A928:$K928)&gt;0,$L928=""),"Awaiting Collection Email time stamp.",""),IF(OR($T928="PAID",$T928="CLOSED"),IF($T928="PAID","Account paid. Action completed.","Account closed. No further action required."),CHOOSE($W928,"Collection Email","1st Email Follow-up","2nd Email Follow-up","Escalation to Local Office","Escalation to CBE","Escalation to Roxanne")&amp;" sent "&amp;TEXT($X928,"dd-mmm")&amp;". "&amp;IF($W928=6,"Final escalation completed.",IF($T928="OVERDUE","Next: "&amp;$Z928&amp;" was due "&amp;TEXT($Y928,"dd-mmm")&amp;" - "&amp;(NETWORKDAYS($Y928,TODAY(),Holidays)-1)&amp;" business day(s) late. Send now.",IF($T928="DUE TOMORROW","Next: "&amp;$Z928&amp;IF($Y928&lt;=TODAY()," is due TODAY ("," is due next business day (")&amp;TEXT($Y928,"dd-mmm")&amp;").","Next: "&amp;$Z928&amp;" due "&amp;TEXT($Y928,"dd-mmm")&amp;" ("&amp;(NETWORKDAYS(TODAY(),$Y928,Holidays)-1)&amp;" business day(s) left).")))))</f>
        <v/>
      </c>
      <c r="V928" s="17">
        <f>IF($W928="","",CHOOSE($W928,"Collection Email","1st Follow-up","2nd Follow-up","Local Office","CBE","Roxanne")&amp;IF($W928=6," - Final"," - Day "&amp;MAX(0,NETWORKDAYS($X928,TODAY(),Holidays)-1)&amp;" of "&amp;CHOOSE($W928,3,3,2,2,3))&amp;" | Total Day "&amp;MAX(0,NETWORKDAYS($L928,TODAY(),Holidays)-1))</f>
        <v/>
      </c>
      <c r="W928" s="17">
        <f>IF($L928="","",COUNT($L928:$Q928))</f>
        <v/>
      </c>
      <c r="X928" s="18">
        <f>IF($W928="","",INT(INDEX($L928:$Q928,$W928)))</f>
        <v/>
      </c>
      <c r="Y928" s="18">
        <f>IF(OR($W928="",$W928=6),"",WORKDAY($X928,CHOOSE($W928,3,3,2,2,3),Holidays))</f>
        <v/>
      </c>
      <c r="Z928" s="17">
        <f>IF(OR($W928="",$W928=6),"",CHOOSE($W928,"1st Email Follow-up","2nd Email Follow-up","Escalate Local Office","Escalate to CBE","Escalate to Roxanne"))</f>
        <v/>
      </c>
    </row>
    <row r="929" spans="18:26">
      <c r="R929" s="15"/>
      <c r="S929" s="16"/>
      <c r="T929" s="17">
        <f>IF(AND(COUNTA($A929:$K929)=0,$L929=""),"",IF($S929="Paid","PAID",IF($S929="Closed","CLOSED",IF($W929="","",IF($W929=6,"ESCALATED TO ROXANNE",IF(TODAY()&gt;$Y929,"OVERDUE",IF($Y929&lt;=WORKDAY(TODAY(),1,Holidays),"DUE TOMORROW",IF($W929=4,"ESCALATED TO LOCAL OFFICE",IF($W929=5,"ESCALATED TO CBE",IF($X929=TODAY(),"EMAIL SENT","MONITORING"))))))))))</f>
        <v/>
      </c>
      <c r="U929" s="17">
        <f>IF($T929="",IF(AND(COUNTA($A929:$K929)&gt;0,$L929=""),"Awaiting Collection Email time stamp.",""),IF(OR($T929="PAID",$T929="CLOSED"),IF($T929="PAID","Account paid. Action completed.","Account closed. No further action required."),CHOOSE($W929,"Collection Email","1st Email Follow-up","2nd Email Follow-up","Escalation to Local Office","Escalation to CBE","Escalation to Roxanne")&amp;" sent "&amp;TEXT($X929,"dd-mmm")&amp;". "&amp;IF($W929=6,"Final escalation completed.",IF($T929="OVERDUE","Next: "&amp;$Z929&amp;" was due "&amp;TEXT($Y929,"dd-mmm")&amp;" - "&amp;(NETWORKDAYS($Y929,TODAY(),Holidays)-1)&amp;" business day(s) late. Send now.",IF($T929="DUE TOMORROW","Next: "&amp;$Z929&amp;IF($Y929&lt;=TODAY()," is due TODAY ("," is due next business day (")&amp;TEXT($Y929,"dd-mmm")&amp;").","Next: "&amp;$Z929&amp;" due "&amp;TEXT($Y929,"dd-mmm")&amp;" ("&amp;(NETWORKDAYS(TODAY(),$Y929,Holidays)-1)&amp;" business day(s) left).")))))</f>
        <v/>
      </c>
      <c r="V929" s="17">
        <f>IF($W929="","",CHOOSE($W929,"Collection Email","1st Follow-up","2nd Follow-up","Local Office","CBE","Roxanne")&amp;IF($W929=6," - Final"," - Day "&amp;MAX(0,NETWORKDAYS($X929,TODAY(),Holidays)-1)&amp;" of "&amp;CHOOSE($W929,3,3,2,2,3))&amp;" | Total Day "&amp;MAX(0,NETWORKDAYS($L929,TODAY(),Holidays)-1))</f>
        <v/>
      </c>
      <c r="W929" s="17">
        <f>IF($L929="","",COUNT($L929:$Q929))</f>
        <v/>
      </c>
      <c r="X929" s="18">
        <f>IF($W929="","",INT(INDEX($L929:$Q929,$W929)))</f>
        <v/>
      </c>
      <c r="Y929" s="18">
        <f>IF(OR($W929="",$W929=6),"",WORKDAY($X929,CHOOSE($W929,3,3,2,2,3),Holidays))</f>
        <v/>
      </c>
      <c r="Z929" s="17">
        <f>IF(OR($W929="",$W929=6),"",CHOOSE($W929,"1st Email Follow-up","2nd Email Follow-up","Escalate Local Office","Escalate to CBE","Escalate to Roxanne"))</f>
        <v/>
      </c>
    </row>
    <row r="930" spans="18:26">
      <c r="R930" s="15"/>
      <c r="S930" s="16"/>
      <c r="T930" s="17">
        <f>IF(AND(COUNTA($A930:$K930)=0,$L930=""),"",IF($S930="Paid","PAID",IF($S930="Closed","CLOSED",IF($W930="","",IF($W930=6,"ESCALATED TO ROXANNE",IF(TODAY()&gt;$Y930,"OVERDUE",IF($Y930&lt;=WORKDAY(TODAY(),1,Holidays),"DUE TOMORROW",IF($W930=4,"ESCALATED TO LOCAL OFFICE",IF($W930=5,"ESCALATED TO CBE",IF($X930=TODAY(),"EMAIL SENT","MONITORING"))))))))))</f>
        <v/>
      </c>
      <c r="U930" s="17">
        <f>IF($T930="",IF(AND(COUNTA($A930:$K930)&gt;0,$L930=""),"Awaiting Collection Email time stamp.",""),IF(OR($T930="PAID",$T930="CLOSED"),IF($T930="PAID","Account paid. Action completed.","Account closed. No further action required."),CHOOSE($W930,"Collection Email","1st Email Follow-up","2nd Email Follow-up","Escalation to Local Office","Escalation to CBE","Escalation to Roxanne")&amp;" sent "&amp;TEXT($X930,"dd-mmm")&amp;". "&amp;IF($W930=6,"Final escalation completed.",IF($T930="OVERDUE","Next: "&amp;$Z930&amp;" was due "&amp;TEXT($Y930,"dd-mmm")&amp;" - "&amp;(NETWORKDAYS($Y930,TODAY(),Holidays)-1)&amp;" business day(s) late. Send now.",IF($T930="DUE TOMORROW","Next: "&amp;$Z930&amp;IF($Y930&lt;=TODAY()," is due TODAY ("," is due next business day (")&amp;TEXT($Y930,"dd-mmm")&amp;").","Next: "&amp;$Z930&amp;" due "&amp;TEXT($Y930,"dd-mmm")&amp;" ("&amp;(NETWORKDAYS(TODAY(),$Y930,Holidays)-1)&amp;" business day(s) left).")))))</f>
        <v/>
      </c>
      <c r="V930" s="17">
        <f>IF($W930="","",CHOOSE($W930,"Collection Email","1st Follow-up","2nd Follow-up","Local Office","CBE","Roxanne")&amp;IF($W930=6," - Final"," - Day "&amp;MAX(0,NETWORKDAYS($X930,TODAY(),Holidays)-1)&amp;" of "&amp;CHOOSE($W930,3,3,2,2,3))&amp;" | Total Day "&amp;MAX(0,NETWORKDAYS($L930,TODAY(),Holidays)-1))</f>
        <v/>
      </c>
      <c r="W930" s="17">
        <f>IF($L930="","",COUNT($L930:$Q930))</f>
        <v/>
      </c>
      <c r="X930" s="18">
        <f>IF($W930="","",INT(INDEX($L930:$Q930,$W930)))</f>
        <v/>
      </c>
      <c r="Y930" s="18">
        <f>IF(OR($W930="",$W930=6),"",WORKDAY($X930,CHOOSE($W930,3,3,2,2,3),Holidays))</f>
        <v/>
      </c>
      <c r="Z930" s="17">
        <f>IF(OR($W930="",$W930=6),"",CHOOSE($W930,"1st Email Follow-up","2nd Email Follow-up","Escalate Local Office","Escalate to CBE","Escalate to Roxanne"))</f>
        <v/>
      </c>
    </row>
    <row r="931" spans="18:26">
      <c r="R931" s="15"/>
      <c r="S931" s="16"/>
      <c r="T931" s="17">
        <f>IF(AND(COUNTA($A931:$K931)=0,$L931=""),"",IF($S931="Paid","PAID",IF($S931="Closed","CLOSED",IF($W931="","",IF($W931=6,"ESCALATED TO ROXANNE",IF(TODAY()&gt;$Y931,"OVERDUE",IF($Y931&lt;=WORKDAY(TODAY(),1,Holidays),"DUE TOMORROW",IF($W931=4,"ESCALATED TO LOCAL OFFICE",IF($W931=5,"ESCALATED TO CBE",IF($X931=TODAY(),"EMAIL SENT","MONITORING"))))))))))</f>
        <v/>
      </c>
      <c r="U931" s="17">
        <f>IF($T931="",IF(AND(COUNTA($A931:$K931)&gt;0,$L931=""),"Awaiting Collection Email time stamp.",""),IF(OR($T931="PAID",$T931="CLOSED"),IF($T931="PAID","Account paid. Action completed.","Account closed. No further action required."),CHOOSE($W931,"Collection Email","1st Email Follow-up","2nd Email Follow-up","Escalation to Local Office","Escalation to CBE","Escalation to Roxanne")&amp;" sent "&amp;TEXT($X931,"dd-mmm")&amp;". "&amp;IF($W931=6,"Final escalation completed.",IF($T931="OVERDUE","Next: "&amp;$Z931&amp;" was due "&amp;TEXT($Y931,"dd-mmm")&amp;" - "&amp;(NETWORKDAYS($Y931,TODAY(),Holidays)-1)&amp;" business day(s) late. Send now.",IF($T931="DUE TOMORROW","Next: "&amp;$Z931&amp;IF($Y931&lt;=TODAY()," is due TODAY ("," is due next business day (")&amp;TEXT($Y931,"dd-mmm")&amp;").","Next: "&amp;$Z931&amp;" due "&amp;TEXT($Y931,"dd-mmm")&amp;" ("&amp;(NETWORKDAYS(TODAY(),$Y931,Holidays)-1)&amp;" business day(s) left).")))))</f>
        <v/>
      </c>
      <c r="V931" s="17">
        <f>IF($W931="","",CHOOSE($W931,"Collection Email","1st Follow-up","2nd Follow-up","Local Office","CBE","Roxanne")&amp;IF($W931=6," - Final"," - Day "&amp;MAX(0,NETWORKDAYS($X931,TODAY(),Holidays)-1)&amp;" of "&amp;CHOOSE($W931,3,3,2,2,3))&amp;" | Total Day "&amp;MAX(0,NETWORKDAYS($L931,TODAY(),Holidays)-1))</f>
        <v/>
      </c>
      <c r="W931" s="17">
        <f>IF($L931="","",COUNT($L931:$Q931))</f>
        <v/>
      </c>
      <c r="X931" s="18">
        <f>IF($W931="","",INT(INDEX($L931:$Q931,$W931)))</f>
        <v/>
      </c>
      <c r="Y931" s="18">
        <f>IF(OR($W931="",$W931=6),"",WORKDAY($X931,CHOOSE($W931,3,3,2,2,3),Holidays))</f>
        <v/>
      </c>
      <c r="Z931" s="17">
        <f>IF(OR($W931="",$W931=6),"",CHOOSE($W931,"1st Email Follow-up","2nd Email Follow-up","Escalate Local Office","Escalate to CBE","Escalate to Roxanne"))</f>
        <v/>
      </c>
    </row>
    <row r="932" spans="18:26">
      <c r="R932" s="15"/>
      <c r="S932" s="16"/>
      <c r="T932" s="17">
        <f>IF(AND(COUNTA($A932:$K932)=0,$L932=""),"",IF($S932="Paid","PAID",IF($S932="Closed","CLOSED",IF($W932="","",IF($W932=6,"ESCALATED TO ROXANNE",IF(TODAY()&gt;$Y932,"OVERDUE",IF($Y932&lt;=WORKDAY(TODAY(),1,Holidays),"DUE TOMORROW",IF($W932=4,"ESCALATED TO LOCAL OFFICE",IF($W932=5,"ESCALATED TO CBE",IF($X932=TODAY(),"EMAIL SENT","MONITORING"))))))))))</f>
        <v/>
      </c>
      <c r="U932" s="17">
        <f>IF($T932="",IF(AND(COUNTA($A932:$K932)&gt;0,$L932=""),"Awaiting Collection Email time stamp.",""),IF(OR($T932="PAID",$T932="CLOSED"),IF($T932="PAID","Account paid. Action completed.","Account closed. No further action required."),CHOOSE($W932,"Collection Email","1st Email Follow-up","2nd Email Follow-up","Escalation to Local Office","Escalation to CBE","Escalation to Roxanne")&amp;" sent "&amp;TEXT($X932,"dd-mmm")&amp;". "&amp;IF($W932=6,"Final escalation completed.",IF($T932="OVERDUE","Next: "&amp;$Z932&amp;" was due "&amp;TEXT($Y932,"dd-mmm")&amp;" - "&amp;(NETWORKDAYS($Y932,TODAY(),Holidays)-1)&amp;" business day(s) late. Send now.",IF($T932="DUE TOMORROW","Next: "&amp;$Z932&amp;IF($Y932&lt;=TODAY()," is due TODAY ("," is due next business day (")&amp;TEXT($Y932,"dd-mmm")&amp;").","Next: "&amp;$Z932&amp;" due "&amp;TEXT($Y932,"dd-mmm")&amp;" ("&amp;(NETWORKDAYS(TODAY(),$Y932,Holidays)-1)&amp;" business day(s) left).")))))</f>
        <v/>
      </c>
      <c r="V932" s="17">
        <f>IF($W932="","",CHOOSE($W932,"Collection Email","1st Follow-up","2nd Follow-up","Local Office","CBE","Roxanne")&amp;IF($W932=6," - Final"," - Day "&amp;MAX(0,NETWORKDAYS($X932,TODAY(),Holidays)-1)&amp;" of "&amp;CHOOSE($W932,3,3,2,2,3))&amp;" | Total Day "&amp;MAX(0,NETWORKDAYS($L932,TODAY(),Holidays)-1))</f>
        <v/>
      </c>
      <c r="W932" s="17">
        <f>IF($L932="","",COUNT($L932:$Q932))</f>
        <v/>
      </c>
      <c r="X932" s="18">
        <f>IF($W932="","",INT(INDEX($L932:$Q932,$W932)))</f>
        <v/>
      </c>
      <c r="Y932" s="18">
        <f>IF(OR($W932="",$W932=6),"",WORKDAY($X932,CHOOSE($W932,3,3,2,2,3),Holidays))</f>
        <v/>
      </c>
      <c r="Z932" s="17">
        <f>IF(OR($W932="",$W932=6),"",CHOOSE($W932,"1st Email Follow-up","2nd Email Follow-up","Escalate Local Office","Escalate to CBE","Escalate to Roxanne"))</f>
        <v/>
      </c>
    </row>
    <row r="933" spans="18:26">
      <c r="R933" s="15"/>
      <c r="S933" s="16"/>
      <c r="T933" s="17">
        <f>IF(AND(COUNTA($A933:$K933)=0,$L933=""),"",IF($S933="Paid","PAID",IF($S933="Closed","CLOSED",IF($W933="","",IF($W933=6,"ESCALATED TO ROXANNE",IF(TODAY()&gt;$Y933,"OVERDUE",IF($Y933&lt;=WORKDAY(TODAY(),1,Holidays),"DUE TOMORROW",IF($W933=4,"ESCALATED TO LOCAL OFFICE",IF($W933=5,"ESCALATED TO CBE",IF($X933=TODAY(),"EMAIL SENT","MONITORING"))))))))))</f>
        <v/>
      </c>
      <c r="U933" s="17">
        <f>IF($T933="",IF(AND(COUNTA($A933:$K933)&gt;0,$L933=""),"Awaiting Collection Email time stamp.",""),IF(OR($T933="PAID",$T933="CLOSED"),IF($T933="PAID","Account paid. Action completed.","Account closed. No further action required."),CHOOSE($W933,"Collection Email","1st Email Follow-up","2nd Email Follow-up","Escalation to Local Office","Escalation to CBE","Escalation to Roxanne")&amp;" sent "&amp;TEXT($X933,"dd-mmm")&amp;". "&amp;IF($W933=6,"Final escalation completed.",IF($T933="OVERDUE","Next: "&amp;$Z933&amp;" was due "&amp;TEXT($Y933,"dd-mmm")&amp;" - "&amp;(NETWORKDAYS($Y933,TODAY(),Holidays)-1)&amp;" business day(s) late. Send now.",IF($T933="DUE TOMORROW","Next: "&amp;$Z933&amp;IF($Y933&lt;=TODAY()," is due TODAY ("," is due next business day (")&amp;TEXT($Y933,"dd-mmm")&amp;").","Next: "&amp;$Z933&amp;" due "&amp;TEXT($Y933,"dd-mmm")&amp;" ("&amp;(NETWORKDAYS(TODAY(),$Y933,Holidays)-1)&amp;" business day(s) left).")))))</f>
        <v/>
      </c>
      <c r="V933" s="17">
        <f>IF($W933="","",CHOOSE($W933,"Collection Email","1st Follow-up","2nd Follow-up","Local Office","CBE","Roxanne")&amp;IF($W933=6," - Final"," - Day "&amp;MAX(0,NETWORKDAYS($X933,TODAY(),Holidays)-1)&amp;" of "&amp;CHOOSE($W933,3,3,2,2,3))&amp;" | Total Day "&amp;MAX(0,NETWORKDAYS($L933,TODAY(),Holidays)-1))</f>
        <v/>
      </c>
      <c r="W933" s="17">
        <f>IF($L933="","",COUNT($L933:$Q933))</f>
        <v/>
      </c>
      <c r="X933" s="18">
        <f>IF($W933="","",INT(INDEX($L933:$Q933,$W933)))</f>
        <v/>
      </c>
      <c r="Y933" s="18">
        <f>IF(OR($W933="",$W933=6),"",WORKDAY($X933,CHOOSE($W933,3,3,2,2,3),Holidays))</f>
        <v/>
      </c>
      <c r="Z933" s="17">
        <f>IF(OR($W933="",$W933=6),"",CHOOSE($W933,"1st Email Follow-up","2nd Email Follow-up","Escalate Local Office","Escalate to CBE","Escalate to Roxanne"))</f>
        <v/>
      </c>
    </row>
    <row r="934" spans="18:26">
      <c r="R934" s="15"/>
      <c r="S934" s="16"/>
      <c r="T934" s="17">
        <f>IF(AND(COUNTA($A934:$K934)=0,$L934=""),"",IF($S934="Paid","PAID",IF($S934="Closed","CLOSED",IF($W934="","",IF($W934=6,"ESCALATED TO ROXANNE",IF(TODAY()&gt;$Y934,"OVERDUE",IF($Y934&lt;=WORKDAY(TODAY(),1,Holidays),"DUE TOMORROW",IF($W934=4,"ESCALATED TO LOCAL OFFICE",IF($W934=5,"ESCALATED TO CBE",IF($X934=TODAY(),"EMAIL SENT","MONITORING"))))))))))</f>
        <v/>
      </c>
      <c r="U934" s="17">
        <f>IF($T934="",IF(AND(COUNTA($A934:$K934)&gt;0,$L934=""),"Awaiting Collection Email time stamp.",""),IF(OR($T934="PAID",$T934="CLOSED"),IF($T934="PAID","Account paid. Action completed.","Account closed. No further action required."),CHOOSE($W934,"Collection Email","1st Email Follow-up","2nd Email Follow-up","Escalation to Local Office","Escalation to CBE","Escalation to Roxanne")&amp;" sent "&amp;TEXT($X934,"dd-mmm")&amp;". "&amp;IF($W934=6,"Final escalation completed.",IF($T934="OVERDUE","Next: "&amp;$Z934&amp;" was due "&amp;TEXT($Y934,"dd-mmm")&amp;" - "&amp;(NETWORKDAYS($Y934,TODAY(),Holidays)-1)&amp;" business day(s) late. Send now.",IF($T934="DUE TOMORROW","Next: "&amp;$Z934&amp;IF($Y934&lt;=TODAY()," is due TODAY ("," is due next business day (")&amp;TEXT($Y934,"dd-mmm")&amp;").","Next: "&amp;$Z934&amp;" due "&amp;TEXT($Y934,"dd-mmm")&amp;" ("&amp;(NETWORKDAYS(TODAY(),$Y934,Holidays)-1)&amp;" business day(s) left).")))))</f>
        <v/>
      </c>
      <c r="V934" s="17">
        <f>IF($W934="","",CHOOSE($W934,"Collection Email","1st Follow-up","2nd Follow-up","Local Office","CBE","Roxanne")&amp;IF($W934=6," - Final"," - Day "&amp;MAX(0,NETWORKDAYS($X934,TODAY(),Holidays)-1)&amp;" of "&amp;CHOOSE($W934,3,3,2,2,3))&amp;" | Total Day "&amp;MAX(0,NETWORKDAYS($L934,TODAY(),Holidays)-1))</f>
        <v/>
      </c>
      <c r="W934" s="17">
        <f>IF($L934="","",COUNT($L934:$Q934))</f>
        <v/>
      </c>
      <c r="X934" s="18">
        <f>IF($W934="","",INT(INDEX($L934:$Q934,$W934)))</f>
        <v/>
      </c>
      <c r="Y934" s="18">
        <f>IF(OR($W934="",$W934=6),"",WORKDAY($X934,CHOOSE($W934,3,3,2,2,3),Holidays))</f>
        <v/>
      </c>
      <c r="Z934" s="17">
        <f>IF(OR($W934="",$W934=6),"",CHOOSE($W934,"1st Email Follow-up","2nd Email Follow-up","Escalate Local Office","Escalate to CBE","Escalate to Roxanne"))</f>
        <v/>
      </c>
    </row>
    <row r="935" spans="18:26">
      <c r="R935" s="15"/>
      <c r="S935" s="16"/>
      <c r="T935" s="17">
        <f>IF(AND(COUNTA($A935:$K935)=0,$L935=""),"",IF($S935="Paid","PAID",IF($S935="Closed","CLOSED",IF($W935="","",IF($W935=6,"ESCALATED TO ROXANNE",IF(TODAY()&gt;$Y935,"OVERDUE",IF($Y935&lt;=WORKDAY(TODAY(),1,Holidays),"DUE TOMORROW",IF($W935=4,"ESCALATED TO LOCAL OFFICE",IF($W935=5,"ESCALATED TO CBE",IF($X935=TODAY(),"EMAIL SENT","MONITORING"))))))))))</f>
        <v/>
      </c>
      <c r="U935" s="17">
        <f>IF($T935="",IF(AND(COUNTA($A935:$K935)&gt;0,$L935=""),"Awaiting Collection Email time stamp.",""),IF(OR($T935="PAID",$T935="CLOSED"),IF($T935="PAID","Account paid. Action completed.","Account closed. No further action required."),CHOOSE($W935,"Collection Email","1st Email Follow-up","2nd Email Follow-up","Escalation to Local Office","Escalation to CBE","Escalation to Roxanne")&amp;" sent "&amp;TEXT($X935,"dd-mmm")&amp;". "&amp;IF($W935=6,"Final escalation completed.",IF($T935="OVERDUE","Next: "&amp;$Z935&amp;" was due "&amp;TEXT($Y935,"dd-mmm")&amp;" - "&amp;(NETWORKDAYS($Y935,TODAY(),Holidays)-1)&amp;" business day(s) late. Send now.",IF($T935="DUE TOMORROW","Next: "&amp;$Z935&amp;IF($Y935&lt;=TODAY()," is due TODAY ("," is due next business day (")&amp;TEXT($Y935,"dd-mmm")&amp;").","Next: "&amp;$Z935&amp;" due "&amp;TEXT($Y935,"dd-mmm")&amp;" ("&amp;(NETWORKDAYS(TODAY(),$Y935,Holidays)-1)&amp;" business day(s) left).")))))</f>
        <v/>
      </c>
      <c r="V935" s="17">
        <f>IF($W935="","",CHOOSE($W935,"Collection Email","1st Follow-up","2nd Follow-up","Local Office","CBE","Roxanne")&amp;IF($W935=6," - Final"," - Day "&amp;MAX(0,NETWORKDAYS($X935,TODAY(),Holidays)-1)&amp;" of "&amp;CHOOSE($W935,3,3,2,2,3))&amp;" | Total Day "&amp;MAX(0,NETWORKDAYS($L935,TODAY(),Holidays)-1))</f>
        <v/>
      </c>
      <c r="W935" s="17">
        <f>IF($L935="","",COUNT($L935:$Q935))</f>
        <v/>
      </c>
      <c r="X935" s="18">
        <f>IF($W935="","",INT(INDEX($L935:$Q935,$W935)))</f>
        <v/>
      </c>
      <c r="Y935" s="18">
        <f>IF(OR($W935="",$W935=6),"",WORKDAY($X935,CHOOSE($W935,3,3,2,2,3),Holidays))</f>
        <v/>
      </c>
      <c r="Z935" s="17">
        <f>IF(OR($W935="",$W935=6),"",CHOOSE($W935,"1st Email Follow-up","2nd Email Follow-up","Escalate Local Office","Escalate to CBE","Escalate to Roxanne"))</f>
        <v/>
      </c>
    </row>
    <row r="936" spans="18:26">
      <c r="R936" s="15"/>
      <c r="S936" s="16"/>
      <c r="T936" s="17">
        <f>IF(AND(COUNTA($A936:$K936)=0,$L936=""),"",IF($S936="Paid","PAID",IF($S936="Closed","CLOSED",IF($W936="","",IF($W936=6,"ESCALATED TO ROXANNE",IF(TODAY()&gt;$Y936,"OVERDUE",IF($Y936&lt;=WORKDAY(TODAY(),1,Holidays),"DUE TOMORROW",IF($W936=4,"ESCALATED TO LOCAL OFFICE",IF($W936=5,"ESCALATED TO CBE",IF($X936=TODAY(),"EMAIL SENT","MONITORING"))))))))))</f>
        <v/>
      </c>
      <c r="U936" s="17">
        <f>IF($T936="",IF(AND(COUNTA($A936:$K936)&gt;0,$L936=""),"Awaiting Collection Email time stamp.",""),IF(OR($T936="PAID",$T936="CLOSED"),IF($T936="PAID","Account paid. Action completed.","Account closed. No further action required."),CHOOSE($W936,"Collection Email","1st Email Follow-up","2nd Email Follow-up","Escalation to Local Office","Escalation to CBE","Escalation to Roxanne")&amp;" sent "&amp;TEXT($X936,"dd-mmm")&amp;". "&amp;IF($W936=6,"Final escalation completed.",IF($T936="OVERDUE","Next: "&amp;$Z936&amp;" was due "&amp;TEXT($Y936,"dd-mmm")&amp;" - "&amp;(NETWORKDAYS($Y936,TODAY(),Holidays)-1)&amp;" business day(s) late. Send now.",IF($T936="DUE TOMORROW","Next: "&amp;$Z936&amp;IF($Y936&lt;=TODAY()," is due TODAY ("," is due next business day (")&amp;TEXT($Y936,"dd-mmm")&amp;").","Next: "&amp;$Z936&amp;" due "&amp;TEXT($Y936,"dd-mmm")&amp;" ("&amp;(NETWORKDAYS(TODAY(),$Y936,Holidays)-1)&amp;" business day(s) left).")))))</f>
        <v/>
      </c>
      <c r="V936" s="17">
        <f>IF($W936="","",CHOOSE($W936,"Collection Email","1st Follow-up","2nd Follow-up","Local Office","CBE","Roxanne")&amp;IF($W936=6," - Final"," - Day "&amp;MAX(0,NETWORKDAYS($X936,TODAY(),Holidays)-1)&amp;" of "&amp;CHOOSE($W936,3,3,2,2,3))&amp;" | Total Day "&amp;MAX(0,NETWORKDAYS($L936,TODAY(),Holidays)-1))</f>
        <v/>
      </c>
      <c r="W936" s="17">
        <f>IF($L936="","",COUNT($L936:$Q936))</f>
        <v/>
      </c>
      <c r="X936" s="18">
        <f>IF($W936="","",INT(INDEX($L936:$Q936,$W936)))</f>
        <v/>
      </c>
      <c r="Y936" s="18">
        <f>IF(OR($W936="",$W936=6),"",WORKDAY($X936,CHOOSE($W936,3,3,2,2,3),Holidays))</f>
        <v/>
      </c>
      <c r="Z936" s="17">
        <f>IF(OR($W936="",$W936=6),"",CHOOSE($W936,"1st Email Follow-up","2nd Email Follow-up","Escalate Local Office","Escalate to CBE","Escalate to Roxanne"))</f>
        <v/>
      </c>
    </row>
    <row r="937" spans="18:26">
      <c r="R937" s="15"/>
      <c r="S937" s="16"/>
      <c r="T937" s="17">
        <f>IF(AND(COUNTA($A937:$K937)=0,$L937=""),"",IF($S937="Paid","PAID",IF($S937="Closed","CLOSED",IF($W937="","",IF($W937=6,"ESCALATED TO ROXANNE",IF(TODAY()&gt;$Y937,"OVERDUE",IF($Y937&lt;=WORKDAY(TODAY(),1,Holidays),"DUE TOMORROW",IF($W937=4,"ESCALATED TO LOCAL OFFICE",IF($W937=5,"ESCALATED TO CBE",IF($X937=TODAY(),"EMAIL SENT","MONITORING"))))))))))</f>
        <v/>
      </c>
      <c r="U937" s="17">
        <f>IF($T937="",IF(AND(COUNTA($A937:$K937)&gt;0,$L937=""),"Awaiting Collection Email time stamp.",""),IF(OR($T937="PAID",$T937="CLOSED"),IF($T937="PAID","Account paid. Action completed.","Account closed. No further action required."),CHOOSE($W937,"Collection Email","1st Email Follow-up","2nd Email Follow-up","Escalation to Local Office","Escalation to CBE","Escalation to Roxanne")&amp;" sent "&amp;TEXT($X937,"dd-mmm")&amp;". "&amp;IF($W937=6,"Final escalation completed.",IF($T937="OVERDUE","Next: "&amp;$Z937&amp;" was due "&amp;TEXT($Y937,"dd-mmm")&amp;" - "&amp;(NETWORKDAYS($Y937,TODAY(),Holidays)-1)&amp;" business day(s) late. Send now.",IF($T937="DUE TOMORROW","Next: "&amp;$Z937&amp;IF($Y937&lt;=TODAY()," is due TODAY ("," is due next business day (")&amp;TEXT($Y937,"dd-mmm")&amp;").","Next: "&amp;$Z937&amp;" due "&amp;TEXT($Y937,"dd-mmm")&amp;" ("&amp;(NETWORKDAYS(TODAY(),$Y937,Holidays)-1)&amp;" business day(s) left).")))))</f>
        <v/>
      </c>
      <c r="V937" s="17">
        <f>IF($W937="","",CHOOSE($W937,"Collection Email","1st Follow-up","2nd Follow-up","Local Office","CBE","Roxanne")&amp;IF($W937=6," - Final"," - Day "&amp;MAX(0,NETWORKDAYS($X937,TODAY(),Holidays)-1)&amp;" of "&amp;CHOOSE($W937,3,3,2,2,3))&amp;" | Total Day "&amp;MAX(0,NETWORKDAYS($L937,TODAY(),Holidays)-1))</f>
        <v/>
      </c>
      <c r="W937" s="17">
        <f>IF($L937="","",COUNT($L937:$Q937))</f>
        <v/>
      </c>
      <c r="X937" s="18">
        <f>IF($W937="","",INT(INDEX($L937:$Q937,$W937)))</f>
        <v/>
      </c>
      <c r="Y937" s="18">
        <f>IF(OR($W937="",$W937=6),"",WORKDAY($X937,CHOOSE($W937,3,3,2,2,3),Holidays))</f>
        <v/>
      </c>
      <c r="Z937" s="17">
        <f>IF(OR($W937="",$W937=6),"",CHOOSE($W937,"1st Email Follow-up","2nd Email Follow-up","Escalate Local Office","Escalate to CBE","Escalate to Roxanne"))</f>
        <v/>
      </c>
    </row>
    <row r="938" spans="18:26">
      <c r="R938" s="15"/>
      <c r="S938" s="16"/>
      <c r="T938" s="17">
        <f>IF(AND(COUNTA($A938:$K938)=0,$L938=""),"",IF($S938="Paid","PAID",IF($S938="Closed","CLOSED",IF($W938="","",IF($W938=6,"ESCALATED TO ROXANNE",IF(TODAY()&gt;$Y938,"OVERDUE",IF($Y938&lt;=WORKDAY(TODAY(),1,Holidays),"DUE TOMORROW",IF($W938=4,"ESCALATED TO LOCAL OFFICE",IF($W938=5,"ESCALATED TO CBE",IF($X938=TODAY(),"EMAIL SENT","MONITORING"))))))))))</f>
        <v/>
      </c>
      <c r="U938" s="17">
        <f>IF($T938="",IF(AND(COUNTA($A938:$K938)&gt;0,$L938=""),"Awaiting Collection Email time stamp.",""),IF(OR($T938="PAID",$T938="CLOSED"),IF($T938="PAID","Account paid. Action completed.","Account closed. No further action required."),CHOOSE($W938,"Collection Email","1st Email Follow-up","2nd Email Follow-up","Escalation to Local Office","Escalation to CBE","Escalation to Roxanne")&amp;" sent "&amp;TEXT($X938,"dd-mmm")&amp;". "&amp;IF($W938=6,"Final escalation completed.",IF($T938="OVERDUE","Next: "&amp;$Z938&amp;" was due "&amp;TEXT($Y938,"dd-mmm")&amp;" - "&amp;(NETWORKDAYS($Y938,TODAY(),Holidays)-1)&amp;" business day(s) late. Send now.",IF($T938="DUE TOMORROW","Next: "&amp;$Z938&amp;IF($Y938&lt;=TODAY()," is due TODAY ("," is due next business day (")&amp;TEXT($Y938,"dd-mmm")&amp;").","Next: "&amp;$Z938&amp;" due "&amp;TEXT($Y938,"dd-mmm")&amp;" ("&amp;(NETWORKDAYS(TODAY(),$Y938,Holidays)-1)&amp;" business day(s) left).")))))</f>
        <v/>
      </c>
      <c r="V938" s="17">
        <f>IF($W938="","",CHOOSE($W938,"Collection Email","1st Follow-up","2nd Follow-up","Local Office","CBE","Roxanne")&amp;IF($W938=6," - Final"," - Day "&amp;MAX(0,NETWORKDAYS($X938,TODAY(),Holidays)-1)&amp;" of "&amp;CHOOSE($W938,3,3,2,2,3))&amp;" | Total Day "&amp;MAX(0,NETWORKDAYS($L938,TODAY(),Holidays)-1))</f>
        <v/>
      </c>
      <c r="W938" s="17">
        <f>IF($L938="","",COUNT($L938:$Q938))</f>
        <v/>
      </c>
      <c r="X938" s="18">
        <f>IF($W938="","",INT(INDEX($L938:$Q938,$W938)))</f>
        <v/>
      </c>
      <c r="Y938" s="18">
        <f>IF(OR($W938="",$W938=6),"",WORKDAY($X938,CHOOSE($W938,3,3,2,2,3),Holidays))</f>
        <v/>
      </c>
      <c r="Z938" s="17">
        <f>IF(OR($W938="",$W938=6),"",CHOOSE($W938,"1st Email Follow-up","2nd Email Follow-up","Escalate Local Office","Escalate to CBE","Escalate to Roxanne"))</f>
        <v/>
      </c>
    </row>
    <row r="939" spans="18:26">
      <c r="R939" s="15"/>
      <c r="S939" s="16"/>
      <c r="T939" s="17">
        <f>IF(AND(COUNTA($A939:$K939)=0,$L939=""),"",IF($S939="Paid","PAID",IF($S939="Closed","CLOSED",IF($W939="","",IF($W939=6,"ESCALATED TO ROXANNE",IF(TODAY()&gt;$Y939,"OVERDUE",IF($Y939&lt;=WORKDAY(TODAY(),1,Holidays),"DUE TOMORROW",IF($W939=4,"ESCALATED TO LOCAL OFFICE",IF($W939=5,"ESCALATED TO CBE",IF($X939=TODAY(),"EMAIL SENT","MONITORING"))))))))))</f>
        <v/>
      </c>
      <c r="U939" s="17">
        <f>IF($T939="",IF(AND(COUNTA($A939:$K939)&gt;0,$L939=""),"Awaiting Collection Email time stamp.",""),IF(OR($T939="PAID",$T939="CLOSED"),IF($T939="PAID","Account paid. Action completed.","Account closed. No further action required."),CHOOSE($W939,"Collection Email","1st Email Follow-up","2nd Email Follow-up","Escalation to Local Office","Escalation to CBE","Escalation to Roxanne")&amp;" sent "&amp;TEXT($X939,"dd-mmm")&amp;". "&amp;IF($W939=6,"Final escalation completed.",IF($T939="OVERDUE","Next: "&amp;$Z939&amp;" was due "&amp;TEXT($Y939,"dd-mmm")&amp;" - "&amp;(NETWORKDAYS($Y939,TODAY(),Holidays)-1)&amp;" business day(s) late. Send now.",IF($T939="DUE TOMORROW","Next: "&amp;$Z939&amp;IF($Y939&lt;=TODAY()," is due TODAY ("," is due next business day (")&amp;TEXT($Y939,"dd-mmm")&amp;").","Next: "&amp;$Z939&amp;" due "&amp;TEXT($Y939,"dd-mmm")&amp;" ("&amp;(NETWORKDAYS(TODAY(),$Y939,Holidays)-1)&amp;" business day(s) left).")))))</f>
        <v/>
      </c>
      <c r="V939" s="17">
        <f>IF($W939="","",CHOOSE($W939,"Collection Email","1st Follow-up","2nd Follow-up","Local Office","CBE","Roxanne")&amp;IF($W939=6," - Final"," - Day "&amp;MAX(0,NETWORKDAYS($X939,TODAY(),Holidays)-1)&amp;" of "&amp;CHOOSE($W939,3,3,2,2,3))&amp;" | Total Day "&amp;MAX(0,NETWORKDAYS($L939,TODAY(),Holidays)-1))</f>
        <v/>
      </c>
      <c r="W939" s="17">
        <f>IF($L939="","",COUNT($L939:$Q939))</f>
        <v/>
      </c>
      <c r="X939" s="18">
        <f>IF($W939="","",INT(INDEX($L939:$Q939,$W939)))</f>
        <v/>
      </c>
      <c r="Y939" s="18">
        <f>IF(OR($W939="",$W939=6),"",WORKDAY($X939,CHOOSE($W939,3,3,2,2,3),Holidays))</f>
        <v/>
      </c>
      <c r="Z939" s="17">
        <f>IF(OR($W939="",$W939=6),"",CHOOSE($W939,"1st Email Follow-up","2nd Email Follow-up","Escalate Local Office","Escalate to CBE","Escalate to Roxanne"))</f>
        <v/>
      </c>
    </row>
    <row r="940" spans="18:26">
      <c r="R940" s="15"/>
      <c r="S940" s="16"/>
      <c r="T940" s="17">
        <f>IF(AND(COUNTA($A940:$K940)=0,$L940=""),"",IF($S940="Paid","PAID",IF($S940="Closed","CLOSED",IF($W940="","",IF($W940=6,"ESCALATED TO ROXANNE",IF(TODAY()&gt;$Y940,"OVERDUE",IF($Y940&lt;=WORKDAY(TODAY(),1,Holidays),"DUE TOMORROW",IF($W940=4,"ESCALATED TO LOCAL OFFICE",IF($W940=5,"ESCALATED TO CBE",IF($X940=TODAY(),"EMAIL SENT","MONITORING"))))))))))</f>
        <v/>
      </c>
      <c r="U940" s="17">
        <f>IF($T940="",IF(AND(COUNTA($A940:$K940)&gt;0,$L940=""),"Awaiting Collection Email time stamp.",""),IF(OR($T940="PAID",$T940="CLOSED"),IF($T940="PAID","Account paid. Action completed.","Account closed. No further action required."),CHOOSE($W940,"Collection Email","1st Email Follow-up","2nd Email Follow-up","Escalation to Local Office","Escalation to CBE","Escalation to Roxanne")&amp;" sent "&amp;TEXT($X940,"dd-mmm")&amp;". "&amp;IF($W940=6,"Final escalation completed.",IF($T940="OVERDUE","Next: "&amp;$Z940&amp;" was due "&amp;TEXT($Y940,"dd-mmm")&amp;" - "&amp;(NETWORKDAYS($Y940,TODAY(),Holidays)-1)&amp;" business day(s) late. Send now.",IF($T940="DUE TOMORROW","Next: "&amp;$Z940&amp;IF($Y940&lt;=TODAY()," is due TODAY ("," is due next business day (")&amp;TEXT($Y940,"dd-mmm")&amp;").","Next: "&amp;$Z940&amp;" due "&amp;TEXT($Y940,"dd-mmm")&amp;" ("&amp;(NETWORKDAYS(TODAY(),$Y940,Holidays)-1)&amp;" business day(s) left).")))))</f>
        <v/>
      </c>
      <c r="V940" s="17">
        <f>IF($W940="","",CHOOSE($W940,"Collection Email","1st Follow-up","2nd Follow-up","Local Office","CBE","Roxanne")&amp;IF($W940=6," - Final"," - Day "&amp;MAX(0,NETWORKDAYS($X940,TODAY(),Holidays)-1)&amp;" of "&amp;CHOOSE($W940,3,3,2,2,3))&amp;" | Total Day "&amp;MAX(0,NETWORKDAYS($L940,TODAY(),Holidays)-1))</f>
        <v/>
      </c>
      <c r="W940" s="17">
        <f>IF($L940="","",COUNT($L940:$Q940))</f>
        <v/>
      </c>
      <c r="X940" s="18">
        <f>IF($W940="","",INT(INDEX($L940:$Q940,$W940)))</f>
        <v/>
      </c>
      <c r="Y940" s="18">
        <f>IF(OR($W940="",$W940=6),"",WORKDAY($X940,CHOOSE($W940,3,3,2,2,3),Holidays))</f>
        <v/>
      </c>
      <c r="Z940" s="17">
        <f>IF(OR($W940="",$W940=6),"",CHOOSE($W940,"1st Email Follow-up","2nd Email Follow-up","Escalate Local Office","Escalate to CBE","Escalate to Roxanne"))</f>
        <v/>
      </c>
    </row>
    <row r="941" spans="18:26">
      <c r="R941" s="15"/>
      <c r="S941" s="16"/>
      <c r="T941" s="17">
        <f>IF(AND(COUNTA($A941:$K941)=0,$L941=""),"",IF($S941="Paid","PAID",IF($S941="Closed","CLOSED",IF($W941="","",IF($W941=6,"ESCALATED TO ROXANNE",IF(TODAY()&gt;$Y941,"OVERDUE",IF($Y941&lt;=WORKDAY(TODAY(),1,Holidays),"DUE TOMORROW",IF($W941=4,"ESCALATED TO LOCAL OFFICE",IF($W941=5,"ESCALATED TO CBE",IF($X941=TODAY(),"EMAIL SENT","MONITORING"))))))))))</f>
        <v/>
      </c>
      <c r="U941" s="17">
        <f>IF($T941="",IF(AND(COUNTA($A941:$K941)&gt;0,$L941=""),"Awaiting Collection Email time stamp.",""),IF(OR($T941="PAID",$T941="CLOSED"),IF($T941="PAID","Account paid. Action completed.","Account closed. No further action required."),CHOOSE($W941,"Collection Email","1st Email Follow-up","2nd Email Follow-up","Escalation to Local Office","Escalation to CBE","Escalation to Roxanne")&amp;" sent "&amp;TEXT($X941,"dd-mmm")&amp;". "&amp;IF($W941=6,"Final escalation completed.",IF($T941="OVERDUE","Next: "&amp;$Z941&amp;" was due "&amp;TEXT($Y941,"dd-mmm")&amp;" - "&amp;(NETWORKDAYS($Y941,TODAY(),Holidays)-1)&amp;" business day(s) late. Send now.",IF($T941="DUE TOMORROW","Next: "&amp;$Z941&amp;IF($Y941&lt;=TODAY()," is due TODAY ("," is due next business day (")&amp;TEXT($Y941,"dd-mmm")&amp;").","Next: "&amp;$Z941&amp;" due "&amp;TEXT($Y941,"dd-mmm")&amp;" ("&amp;(NETWORKDAYS(TODAY(),$Y941,Holidays)-1)&amp;" business day(s) left).")))))</f>
        <v/>
      </c>
      <c r="V941" s="17">
        <f>IF($W941="","",CHOOSE($W941,"Collection Email","1st Follow-up","2nd Follow-up","Local Office","CBE","Roxanne")&amp;IF($W941=6," - Final"," - Day "&amp;MAX(0,NETWORKDAYS($X941,TODAY(),Holidays)-1)&amp;" of "&amp;CHOOSE($W941,3,3,2,2,3))&amp;" | Total Day "&amp;MAX(0,NETWORKDAYS($L941,TODAY(),Holidays)-1))</f>
        <v/>
      </c>
      <c r="W941" s="17">
        <f>IF($L941="","",COUNT($L941:$Q941))</f>
        <v/>
      </c>
      <c r="X941" s="18">
        <f>IF($W941="","",INT(INDEX($L941:$Q941,$W941)))</f>
        <v/>
      </c>
      <c r="Y941" s="18">
        <f>IF(OR($W941="",$W941=6),"",WORKDAY($X941,CHOOSE($W941,3,3,2,2,3),Holidays))</f>
        <v/>
      </c>
      <c r="Z941" s="17">
        <f>IF(OR($W941="",$W941=6),"",CHOOSE($W941,"1st Email Follow-up","2nd Email Follow-up","Escalate Local Office","Escalate to CBE","Escalate to Roxanne"))</f>
        <v/>
      </c>
    </row>
    <row r="942" spans="18:26">
      <c r="R942" s="15"/>
      <c r="S942" s="16"/>
      <c r="T942" s="17">
        <f>IF(AND(COUNTA($A942:$K942)=0,$L942=""),"",IF($S942="Paid","PAID",IF($S942="Closed","CLOSED",IF($W942="","",IF($W942=6,"ESCALATED TO ROXANNE",IF(TODAY()&gt;$Y942,"OVERDUE",IF($Y942&lt;=WORKDAY(TODAY(),1,Holidays),"DUE TOMORROW",IF($W942=4,"ESCALATED TO LOCAL OFFICE",IF($W942=5,"ESCALATED TO CBE",IF($X942=TODAY(),"EMAIL SENT","MONITORING"))))))))))</f>
        <v/>
      </c>
      <c r="U942" s="17">
        <f>IF($T942="",IF(AND(COUNTA($A942:$K942)&gt;0,$L942=""),"Awaiting Collection Email time stamp.",""),IF(OR($T942="PAID",$T942="CLOSED"),IF($T942="PAID","Account paid. Action completed.","Account closed. No further action required."),CHOOSE($W942,"Collection Email","1st Email Follow-up","2nd Email Follow-up","Escalation to Local Office","Escalation to CBE","Escalation to Roxanne")&amp;" sent "&amp;TEXT($X942,"dd-mmm")&amp;". "&amp;IF($W942=6,"Final escalation completed.",IF($T942="OVERDUE","Next: "&amp;$Z942&amp;" was due "&amp;TEXT($Y942,"dd-mmm")&amp;" - "&amp;(NETWORKDAYS($Y942,TODAY(),Holidays)-1)&amp;" business day(s) late. Send now.",IF($T942="DUE TOMORROW","Next: "&amp;$Z942&amp;IF($Y942&lt;=TODAY()," is due TODAY ("," is due next business day (")&amp;TEXT($Y942,"dd-mmm")&amp;").","Next: "&amp;$Z942&amp;" due "&amp;TEXT($Y942,"dd-mmm")&amp;" ("&amp;(NETWORKDAYS(TODAY(),$Y942,Holidays)-1)&amp;" business day(s) left).")))))</f>
        <v/>
      </c>
      <c r="V942" s="17">
        <f>IF($W942="","",CHOOSE($W942,"Collection Email","1st Follow-up","2nd Follow-up","Local Office","CBE","Roxanne")&amp;IF($W942=6," - Final"," - Day "&amp;MAX(0,NETWORKDAYS($X942,TODAY(),Holidays)-1)&amp;" of "&amp;CHOOSE($W942,3,3,2,2,3))&amp;" | Total Day "&amp;MAX(0,NETWORKDAYS($L942,TODAY(),Holidays)-1))</f>
        <v/>
      </c>
      <c r="W942" s="17">
        <f>IF($L942="","",COUNT($L942:$Q942))</f>
        <v/>
      </c>
      <c r="X942" s="18">
        <f>IF($W942="","",INT(INDEX($L942:$Q942,$W942)))</f>
        <v/>
      </c>
      <c r="Y942" s="18">
        <f>IF(OR($W942="",$W942=6),"",WORKDAY($X942,CHOOSE($W942,3,3,2,2,3),Holidays))</f>
        <v/>
      </c>
      <c r="Z942" s="17">
        <f>IF(OR($W942="",$W942=6),"",CHOOSE($W942,"1st Email Follow-up","2nd Email Follow-up","Escalate Local Office","Escalate to CBE","Escalate to Roxanne"))</f>
        <v/>
      </c>
    </row>
    <row r="943" spans="18:26">
      <c r="R943" s="15"/>
      <c r="S943" s="16"/>
      <c r="T943" s="17">
        <f>IF(AND(COUNTA($A943:$K943)=0,$L943=""),"",IF($S943="Paid","PAID",IF($S943="Closed","CLOSED",IF($W943="","",IF($W943=6,"ESCALATED TO ROXANNE",IF(TODAY()&gt;$Y943,"OVERDUE",IF($Y943&lt;=WORKDAY(TODAY(),1,Holidays),"DUE TOMORROW",IF($W943=4,"ESCALATED TO LOCAL OFFICE",IF($W943=5,"ESCALATED TO CBE",IF($X943=TODAY(),"EMAIL SENT","MONITORING"))))))))))</f>
        <v/>
      </c>
      <c r="U943" s="17">
        <f>IF($T943="",IF(AND(COUNTA($A943:$K943)&gt;0,$L943=""),"Awaiting Collection Email time stamp.",""),IF(OR($T943="PAID",$T943="CLOSED"),IF($T943="PAID","Account paid. Action completed.","Account closed. No further action required."),CHOOSE($W943,"Collection Email","1st Email Follow-up","2nd Email Follow-up","Escalation to Local Office","Escalation to CBE","Escalation to Roxanne")&amp;" sent "&amp;TEXT($X943,"dd-mmm")&amp;". "&amp;IF($W943=6,"Final escalation completed.",IF($T943="OVERDUE","Next: "&amp;$Z943&amp;" was due "&amp;TEXT($Y943,"dd-mmm")&amp;" - "&amp;(NETWORKDAYS($Y943,TODAY(),Holidays)-1)&amp;" business day(s) late. Send now.",IF($T943="DUE TOMORROW","Next: "&amp;$Z943&amp;IF($Y943&lt;=TODAY()," is due TODAY ("," is due next business day (")&amp;TEXT($Y943,"dd-mmm")&amp;").","Next: "&amp;$Z943&amp;" due "&amp;TEXT($Y943,"dd-mmm")&amp;" ("&amp;(NETWORKDAYS(TODAY(),$Y943,Holidays)-1)&amp;" business day(s) left).")))))</f>
        <v/>
      </c>
      <c r="V943" s="17">
        <f>IF($W943="","",CHOOSE($W943,"Collection Email","1st Follow-up","2nd Follow-up","Local Office","CBE","Roxanne")&amp;IF($W943=6," - Final"," - Day "&amp;MAX(0,NETWORKDAYS($X943,TODAY(),Holidays)-1)&amp;" of "&amp;CHOOSE($W943,3,3,2,2,3))&amp;" | Total Day "&amp;MAX(0,NETWORKDAYS($L943,TODAY(),Holidays)-1))</f>
        <v/>
      </c>
      <c r="W943" s="17">
        <f>IF($L943="","",COUNT($L943:$Q943))</f>
        <v/>
      </c>
      <c r="X943" s="18">
        <f>IF($W943="","",INT(INDEX($L943:$Q943,$W943)))</f>
        <v/>
      </c>
      <c r="Y943" s="18">
        <f>IF(OR($W943="",$W943=6),"",WORKDAY($X943,CHOOSE($W943,3,3,2,2,3),Holidays))</f>
        <v/>
      </c>
      <c r="Z943" s="17">
        <f>IF(OR($W943="",$W943=6),"",CHOOSE($W943,"1st Email Follow-up","2nd Email Follow-up","Escalate Local Office","Escalate to CBE","Escalate to Roxanne"))</f>
        <v/>
      </c>
    </row>
    <row r="944" spans="18:26">
      <c r="R944" s="15"/>
      <c r="S944" s="16"/>
      <c r="T944" s="17">
        <f>IF(AND(COUNTA($A944:$K944)=0,$L944=""),"",IF($S944="Paid","PAID",IF($S944="Closed","CLOSED",IF($W944="","",IF($W944=6,"ESCALATED TO ROXANNE",IF(TODAY()&gt;$Y944,"OVERDUE",IF($Y944&lt;=WORKDAY(TODAY(),1,Holidays),"DUE TOMORROW",IF($W944=4,"ESCALATED TO LOCAL OFFICE",IF($W944=5,"ESCALATED TO CBE",IF($X944=TODAY(),"EMAIL SENT","MONITORING"))))))))))</f>
        <v/>
      </c>
      <c r="U944" s="17">
        <f>IF($T944="",IF(AND(COUNTA($A944:$K944)&gt;0,$L944=""),"Awaiting Collection Email time stamp.",""),IF(OR($T944="PAID",$T944="CLOSED"),IF($T944="PAID","Account paid. Action completed.","Account closed. No further action required."),CHOOSE($W944,"Collection Email","1st Email Follow-up","2nd Email Follow-up","Escalation to Local Office","Escalation to CBE","Escalation to Roxanne")&amp;" sent "&amp;TEXT($X944,"dd-mmm")&amp;". "&amp;IF($W944=6,"Final escalation completed.",IF($T944="OVERDUE","Next: "&amp;$Z944&amp;" was due "&amp;TEXT($Y944,"dd-mmm")&amp;" - "&amp;(NETWORKDAYS($Y944,TODAY(),Holidays)-1)&amp;" business day(s) late. Send now.",IF($T944="DUE TOMORROW","Next: "&amp;$Z944&amp;IF($Y944&lt;=TODAY()," is due TODAY ("," is due next business day (")&amp;TEXT($Y944,"dd-mmm")&amp;").","Next: "&amp;$Z944&amp;" due "&amp;TEXT($Y944,"dd-mmm")&amp;" ("&amp;(NETWORKDAYS(TODAY(),$Y944,Holidays)-1)&amp;" business day(s) left).")))))</f>
        <v/>
      </c>
      <c r="V944" s="17">
        <f>IF($W944="","",CHOOSE($W944,"Collection Email","1st Follow-up","2nd Follow-up","Local Office","CBE","Roxanne")&amp;IF($W944=6," - Final"," - Day "&amp;MAX(0,NETWORKDAYS($X944,TODAY(),Holidays)-1)&amp;" of "&amp;CHOOSE($W944,3,3,2,2,3))&amp;" | Total Day "&amp;MAX(0,NETWORKDAYS($L944,TODAY(),Holidays)-1))</f>
        <v/>
      </c>
      <c r="W944" s="17">
        <f>IF($L944="","",COUNT($L944:$Q944))</f>
        <v/>
      </c>
      <c r="X944" s="18">
        <f>IF($W944="","",INT(INDEX($L944:$Q944,$W944)))</f>
        <v/>
      </c>
      <c r="Y944" s="18">
        <f>IF(OR($W944="",$W944=6),"",WORKDAY($X944,CHOOSE($W944,3,3,2,2,3),Holidays))</f>
        <v/>
      </c>
      <c r="Z944" s="17">
        <f>IF(OR($W944="",$W944=6),"",CHOOSE($W944,"1st Email Follow-up","2nd Email Follow-up","Escalate Local Office","Escalate to CBE","Escalate to Roxanne"))</f>
        <v/>
      </c>
    </row>
    <row r="945" spans="18:26">
      <c r="R945" s="15"/>
      <c r="S945" s="16"/>
      <c r="T945" s="17">
        <f>IF(AND(COUNTA($A945:$K945)=0,$L945=""),"",IF($S945="Paid","PAID",IF($S945="Closed","CLOSED",IF($W945="","",IF($W945=6,"ESCALATED TO ROXANNE",IF(TODAY()&gt;$Y945,"OVERDUE",IF($Y945&lt;=WORKDAY(TODAY(),1,Holidays),"DUE TOMORROW",IF($W945=4,"ESCALATED TO LOCAL OFFICE",IF($W945=5,"ESCALATED TO CBE",IF($X945=TODAY(),"EMAIL SENT","MONITORING"))))))))))</f>
        <v/>
      </c>
      <c r="U945" s="17">
        <f>IF($T945="",IF(AND(COUNTA($A945:$K945)&gt;0,$L945=""),"Awaiting Collection Email time stamp.",""),IF(OR($T945="PAID",$T945="CLOSED"),IF($T945="PAID","Account paid. Action completed.","Account closed. No further action required."),CHOOSE($W945,"Collection Email","1st Email Follow-up","2nd Email Follow-up","Escalation to Local Office","Escalation to CBE","Escalation to Roxanne")&amp;" sent "&amp;TEXT($X945,"dd-mmm")&amp;". "&amp;IF($W945=6,"Final escalation completed.",IF($T945="OVERDUE","Next: "&amp;$Z945&amp;" was due "&amp;TEXT($Y945,"dd-mmm")&amp;" - "&amp;(NETWORKDAYS($Y945,TODAY(),Holidays)-1)&amp;" business day(s) late. Send now.",IF($T945="DUE TOMORROW","Next: "&amp;$Z945&amp;IF($Y945&lt;=TODAY()," is due TODAY ("," is due next business day (")&amp;TEXT($Y945,"dd-mmm")&amp;").","Next: "&amp;$Z945&amp;" due "&amp;TEXT($Y945,"dd-mmm")&amp;" ("&amp;(NETWORKDAYS(TODAY(),$Y945,Holidays)-1)&amp;" business day(s) left).")))))</f>
        <v/>
      </c>
      <c r="V945" s="17">
        <f>IF($W945="","",CHOOSE($W945,"Collection Email","1st Follow-up","2nd Follow-up","Local Office","CBE","Roxanne")&amp;IF($W945=6," - Final"," - Day "&amp;MAX(0,NETWORKDAYS($X945,TODAY(),Holidays)-1)&amp;" of "&amp;CHOOSE($W945,3,3,2,2,3))&amp;" | Total Day "&amp;MAX(0,NETWORKDAYS($L945,TODAY(),Holidays)-1))</f>
        <v/>
      </c>
      <c r="W945" s="17">
        <f>IF($L945="","",COUNT($L945:$Q945))</f>
        <v/>
      </c>
      <c r="X945" s="18">
        <f>IF($W945="","",INT(INDEX($L945:$Q945,$W945)))</f>
        <v/>
      </c>
      <c r="Y945" s="18">
        <f>IF(OR($W945="",$W945=6),"",WORKDAY($X945,CHOOSE($W945,3,3,2,2,3),Holidays))</f>
        <v/>
      </c>
      <c r="Z945" s="17">
        <f>IF(OR($W945="",$W945=6),"",CHOOSE($W945,"1st Email Follow-up","2nd Email Follow-up","Escalate Local Office","Escalate to CBE","Escalate to Roxanne"))</f>
        <v/>
      </c>
    </row>
    <row r="946" spans="18:26">
      <c r="R946" s="15"/>
      <c r="S946" s="16"/>
      <c r="T946" s="17">
        <f>IF(AND(COUNTA($A946:$K946)=0,$L946=""),"",IF($S946="Paid","PAID",IF($S946="Closed","CLOSED",IF($W946="","",IF($W946=6,"ESCALATED TO ROXANNE",IF(TODAY()&gt;$Y946,"OVERDUE",IF($Y946&lt;=WORKDAY(TODAY(),1,Holidays),"DUE TOMORROW",IF($W946=4,"ESCALATED TO LOCAL OFFICE",IF($W946=5,"ESCALATED TO CBE",IF($X946=TODAY(),"EMAIL SENT","MONITORING"))))))))))</f>
        <v/>
      </c>
      <c r="U946" s="17">
        <f>IF($T946="",IF(AND(COUNTA($A946:$K946)&gt;0,$L946=""),"Awaiting Collection Email time stamp.",""),IF(OR($T946="PAID",$T946="CLOSED"),IF($T946="PAID","Account paid. Action completed.","Account closed. No further action required."),CHOOSE($W946,"Collection Email","1st Email Follow-up","2nd Email Follow-up","Escalation to Local Office","Escalation to CBE","Escalation to Roxanne")&amp;" sent "&amp;TEXT($X946,"dd-mmm")&amp;". "&amp;IF($W946=6,"Final escalation completed.",IF($T946="OVERDUE","Next: "&amp;$Z946&amp;" was due "&amp;TEXT($Y946,"dd-mmm")&amp;" - "&amp;(NETWORKDAYS($Y946,TODAY(),Holidays)-1)&amp;" business day(s) late. Send now.",IF($T946="DUE TOMORROW","Next: "&amp;$Z946&amp;IF($Y946&lt;=TODAY()," is due TODAY ("," is due next business day (")&amp;TEXT($Y946,"dd-mmm")&amp;").","Next: "&amp;$Z946&amp;" due "&amp;TEXT($Y946,"dd-mmm")&amp;" ("&amp;(NETWORKDAYS(TODAY(),$Y946,Holidays)-1)&amp;" business day(s) left).")))))</f>
        <v/>
      </c>
      <c r="V946" s="17">
        <f>IF($W946="","",CHOOSE($W946,"Collection Email","1st Follow-up","2nd Follow-up","Local Office","CBE","Roxanne")&amp;IF($W946=6," - Final"," - Day "&amp;MAX(0,NETWORKDAYS($X946,TODAY(),Holidays)-1)&amp;" of "&amp;CHOOSE($W946,3,3,2,2,3))&amp;" | Total Day "&amp;MAX(0,NETWORKDAYS($L946,TODAY(),Holidays)-1))</f>
        <v/>
      </c>
      <c r="W946" s="17">
        <f>IF($L946="","",COUNT($L946:$Q946))</f>
        <v/>
      </c>
      <c r="X946" s="18">
        <f>IF($W946="","",INT(INDEX($L946:$Q946,$W946)))</f>
        <v/>
      </c>
      <c r="Y946" s="18">
        <f>IF(OR($W946="",$W946=6),"",WORKDAY($X946,CHOOSE($W946,3,3,2,2,3),Holidays))</f>
        <v/>
      </c>
      <c r="Z946" s="17">
        <f>IF(OR($W946="",$W946=6),"",CHOOSE($W946,"1st Email Follow-up","2nd Email Follow-up","Escalate Local Office","Escalate to CBE","Escalate to Roxanne"))</f>
        <v/>
      </c>
    </row>
    <row r="947" spans="18:26">
      <c r="R947" s="15"/>
      <c r="S947" s="16"/>
      <c r="T947" s="17">
        <f>IF(AND(COUNTA($A947:$K947)=0,$L947=""),"",IF($S947="Paid","PAID",IF($S947="Closed","CLOSED",IF($W947="","",IF($W947=6,"ESCALATED TO ROXANNE",IF(TODAY()&gt;$Y947,"OVERDUE",IF($Y947&lt;=WORKDAY(TODAY(),1,Holidays),"DUE TOMORROW",IF($W947=4,"ESCALATED TO LOCAL OFFICE",IF($W947=5,"ESCALATED TO CBE",IF($X947=TODAY(),"EMAIL SENT","MONITORING"))))))))))</f>
        <v/>
      </c>
      <c r="U947" s="17">
        <f>IF($T947="",IF(AND(COUNTA($A947:$K947)&gt;0,$L947=""),"Awaiting Collection Email time stamp.",""),IF(OR($T947="PAID",$T947="CLOSED"),IF($T947="PAID","Account paid. Action completed.","Account closed. No further action required."),CHOOSE($W947,"Collection Email","1st Email Follow-up","2nd Email Follow-up","Escalation to Local Office","Escalation to CBE","Escalation to Roxanne")&amp;" sent "&amp;TEXT($X947,"dd-mmm")&amp;". "&amp;IF($W947=6,"Final escalation completed.",IF($T947="OVERDUE","Next: "&amp;$Z947&amp;" was due "&amp;TEXT($Y947,"dd-mmm")&amp;" - "&amp;(NETWORKDAYS($Y947,TODAY(),Holidays)-1)&amp;" business day(s) late. Send now.",IF($T947="DUE TOMORROW","Next: "&amp;$Z947&amp;IF($Y947&lt;=TODAY()," is due TODAY ("," is due next business day (")&amp;TEXT($Y947,"dd-mmm")&amp;").","Next: "&amp;$Z947&amp;" due "&amp;TEXT($Y947,"dd-mmm")&amp;" ("&amp;(NETWORKDAYS(TODAY(),$Y947,Holidays)-1)&amp;" business day(s) left).")))))</f>
        <v/>
      </c>
      <c r="V947" s="17">
        <f>IF($W947="","",CHOOSE($W947,"Collection Email","1st Follow-up","2nd Follow-up","Local Office","CBE","Roxanne")&amp;IF($W947=6," - Final"," - Day "&amp;MAX(0,NETWORKDAYS($X947,TODAY(),Holidays)-1)&amp;" of "&amp;CHOOSE($W947,3,3,2,2,3))&amp;" | Total Day "&amp;MAX(0,NETWORKDAYS($L947,TODAY(),Holidays)-1))</f>
        <v/>
      </c>
      <c r="W947" s="17">
        <f>IF($L947="","",COUNT($L947:$Q947))</f>
        <v/>
      </c>
      <c r="X947" s="18">
        <f>IF($W947="","",INT(INDEX($L947:$Q947,$W947)))</f>
        <v/>
      </c>
      <c r="Y947" s="18">
        <f>IF(OR($W947="",$W947=6),"",WORKDAY($X947,CHOOSE($W947,3,3,2,2,3),Holidays))</f>
        <v/>
      </c>
      <c r="Z947" s="17">
        <f>IF(OR($W947="",$W947=6),"",CHOOSE($W947,"1st Email Follow-up","2nd Email Follow-up","Escalate Local Office","Escalate to CBE","Escalate to Roxanne"))</f>
        <v/>
      </c>
    </row>
    <row r="948" spans="18:26">
      <c r="R948" s="15"/>
      <c r="S948" s="16"/>
      <c r="T948" s="17">
        <f>IF(AND(COUNTA($A948:$K948)=0,$L948=""),"",IF($S948="Paid","PAID",IF($S948="Closed","CLOSED",IF($W948="","",IF($W948=6,"ESCALATED TO ROXANNE",IF(TODAY()&gt;$Y948,"OVERDUE",IF($Y948&lt;=WORKDAY(TODAY(),1,Holidays),"DUE TOMORROW",IF($W948=4,"ESCALATED TO LOCAL OFFICE",IF($W948=5,"ESCALATED TO CBE",IF($X948=TODAY(),"EMAIL SENT","MONITORING"))))))))))</f>
        <v/>
      </c>
      <c r="U948" s="17">
        <f>IF($T948="",IF(AND(COUNTA($A948:$K948)&gt;0,$L948=""),"Awaiting Collection Email time stamp.",""),IF(OR($T948="PAID",$T948="CLOSED"),IF($T948="PAID","Account paid. Action completed.","Account closed. No further action required."),CHOOSE($W948,"Collection Email","1st Email Follow-up","2nd Email Follow-up","Escalation to Local Office","Escalation to CBE","Escalation to Roxanne")&amp;" sent "&amp;TEXT($X948,"dd-mmm")&amp;". "&amp;IF($W948=6,"Final escalation completed.",IF($T948="OVERDUE","Next: "&amp;$Z948&amp;" was due "&amp;TEXT($Y948,"dd-mmm")&amp;" - "&amp;(NETWORKDAYS($Y948,TODAY(),Holidays)-1)&amp;" business day(s) late. Send now.",IF($T948="DUE TOMORROW","Next: "&amp;$Z948&amp;IF($Y948&lt;=TODAY()," is due TODAY ("," is due next business day (")&amp;TEXT($Y948,"dd-mmm")&amp;").","Next: "&amp;$Z948&amp;" due "&amp;TEXT($Y948,"dd-mmm")&amp;" ("&amp;(NETWORKDAYS(TODAY(),$Y948,Holidays)-1)&amp;" business day(s) left).")))))</f>
        <v/>
      </c>
      <c r="V948" s="17">
        <f>IF($W948="","",CHOOSE($W948,"Collection Email","1st Follow-up","2nd Follow-up","Local Office","CBE","Roxanne")&amp;IF($W948=6," - Final"," - Day "&amp;MAX(0,NETWORKDAYS($X948,TODAY(),Holidays)-1)&amp;" of "&amp;CHOOSE($W948,3,3,2,2,3))&amp;" | Total Day "&amp;MAX(0,NETWORKDAYS($L948,TODAY(),Holidays)-1))</f>
        <v/>
      </c>
      <c r="W948" s="17">
        <f>IF($L948="","",COUNT($L948:$Q948))</f>
        <v/>
      </c>
      <c r="X948" s="18">
        <f>IF($W948="","",INT(INDEX($L948:$Q948,$W948)))</f>
        <v/>
      </c>
      <c r="Y948" s="18">
        <f>IF(OR($W948="",$W948=6),"",WORKDAY($X948,CHOOSE($W948,3,3,2,2,3),Holidays))</f>
        <v/>
      </c>
      <c r="Z948" s="17">
        <f>IF(OR($W948="",$W948=6),"",CHOOSE($W948,"1st Email Follow-up","2nd Email Follow-up","Escalate Local Office","Escalate to CBE","Escalate to Roxanne"))</f>
        <v/>
      </c>
    </row>
    <row r="949" spans="18:26">
      <c r="R949" s="15"/>
      <c r="S949" s="16"/>
      <c r="T949" s="17">
        <f>IF(AND(COUNTA($A949:$K949)=0,$L949=""),"",IF($S949="Paid","PAID",IF($S949="Closed","CLOSED",IF($W949="","",IF($W949=6,"ESCALATED TO ROXANNE",IF(TODAY()&gt;$Y949,"OVERDUE",IF($Y949&lt;=WORKDAY(TODAY(),1,Holidays),"DUE TOMORROW",IF($W949=4,"ESCALATED TO LOCAL OFFICE",IF($W949=5,"ESCALATED TO CBE",IF($X949=TODAY(),"EMAIL SENT","MONITORING"))))))))))</f>
        <v/>
      </c>
      <c r="U949" s="17">
        <f>IF($T949="",IF(AND(COUNTA($A949:$K949)&gt;0,$L949=""),"Awaiting Collection Email time stamp.",""),IF(OR($T949="PAID",$T949="CLOSED"),IF($T949="PAID","Account paid. Action completed.","Account closed. No further action required."),CHOOSE($W949,"Collection Email","1st Email Follow-up","2nd Email Follow-up","Escalation to Local Office","Escalation to CBE","Escalation to Roxanne")&amp;" sent "&amp;TEXT($X949,"dd-mmm")&amp;". "&amp;IF($W949=6,"Final escalation completed.",IF($T949="OVERDUE","Next: "&amp;$Z949&amp;" was due "&amp;TEXT($Y949,"dd-mmm")&amp;" - "&amp;(NETWORKDAYS($Y949,TODAY(),Holidays)-1)&amp;" business day(s) late. Send now.",IF($T949="DUE TOMORROW","Next: "&amp;$Z949&amp;IF($Y949&lt;=TODAY()," is due TODAY ("," is due next business day (")&amp;TEXT($Y949,"dd-mmm")&amp;").","Next: "&amp;$Z949&amp;" due "&amp;TEXT($Y949,"dd-mmm")&amp;" ("&amp;(NETWORKDAYS(TODAY(),$Y949,Holidays)-1)&amp;" business day(s) left).")))))</f>
        <v/>
      </c>
      <c r="V949" s="17">
        <f>IF($W949="","",CHOOSE($W949,"Collection Email","1st Follow-up","2nd Follow-up","Local Office","CBE","Roxanne")&amp;IF($W949=6," - Final"," - Day "&amp;MAX(0,NETWORKDAYS($X949,TODAY(),Holidays)-1)&amp;" of "&amp;CHOOSE($W949,3,3,2,2,3))&amp;" | Total Day "&amp;MAX(0,NETWORKDAYS($L949,TODAY(),Holidays)-1))</f>
        <v/>
      </c>
      <c r="W949" s="17">
        <f>IF($L949="","",COUNT($L949:$Q949))</f>
        <v/>
      </c>
      <c r="X949" s="18">
        <f>IF($W949="","",INT(INDEX($L949:$Q949,$W949)))</f>
        <v/>
      </c>
      <c r="Y949" s="18">
        <f>IF(OR($W949="",$W949=6),"",WORKDAY($X949,CHOOSE($W949,3,3,2,2,3),Holidays))</f>
        <v/>
      </c>
      <c r="Z949" s="17">
        <f>IF(OR($W949="",$W949=6),"",CHOOSE($W949,"1st Email Follow-up","2nd Email Follow-up","Escalate Local Office","Escalate to CBE","Escalate to Roxanne"))</f>
        <v/>
      </c>
    </row>
    <row r="950" spans="18:26">
      <c r="R950" s="15"/>
      <c r="S950" s="16"/>
      <c r="T950" s="17">
        <f>IF(AND(COUNTA($A950:$K950)=0,$L950=""),"",IF($S950="Paid","PAID",IF($S950="Closed","CLOSED",IF($W950="","",IF($W950=6,"ESCALATED TO ROXANNE",IF(TODAY()&gt;$Y950,"OVERDUE",IF($Y950&lt;=WORKDAY(TODAY(),1,Holidays),"DUE TOMORROW",IF($W950=4,"ESCALATED TO LOCAL OFFICE",IF($W950=5,"ESCALATED TO CBE",IF($X950=TODAY(),"EMAIL SENT","MONITORING"))))))))))</f>
        <v/>
      </c>
      <c r="U950" s="17">
        <f>IF($T950="",IF(AND(COUNTA($A950:$K950)&gt;0,$L950=""),"Awaiting Collection Email time stamp.",""),IF(OR($T950="PAID",$T950="CLOSED"),IF($T950="PAID","Account paid. Action completed.","Account closed. No further action required."),CHOOSE($W950,"Collection Email","1st Email Follow-up","2nd Email Follow-up","Escalation to Local Office","Escalation to CBE","Escalation to Roxanne")&amp;" sent "&amp;TEXT($X950,"dd-mmm")&amp;". "&amp;IF($W950=6,"Final escalation completed.",IF($T950="OVERDUE","Next: "&amp;$Z950&amp;" was due "&amp;TEXT($Y950,"dd-mmm")&amp;" - "&amp;(NETWORKDAYS($Y950,TODAY(),Holidays)-1)&amp;" business day(s) late. Send now.",IF($T950="DUE TOMORROW","Next: "&amp;$Z950&amp;IF($Y950&lt;=TODAY()," is due TODAY ("," is due next business day (")&amp;TEXT($Y950,"dd-mmm")&amp;").","Next: "&amp;$Z950&amp;" due "&amp;TEXT($Y950,"dd-mmm")&amp;" ("&amp;(NETWORKDAYS(TODAY(),$Y950,Holidays)-1)&amp;" business day(s) left).")))))</f>
        <v/>
      </c>
      <c r="V950" s="17">
        <f>IF($W950="","",CHOOSE($W950,"Collection Email","1st Follow-up","2nd Follow-up","Local Office","CBE","Roxanne")&amp;IF($W950=6," - Final"," - Day "&amp;MAX(0,NETWORKDAYS($X950,TODAY(),Holidays)-1)&amp;" of "&amp;CHOOSE($W950,3,3,2,2,3))&amp;" | Total Day "&amp;MAX(0,NETWORKDAYS($L950,TODAY(),Holidays)-1))</f>
        <v/>
      </c>
      <c r="W950" s="17">
        <f>IF($L950="","",COUNT($L950:$Q950))</f>
        <v/>
      </c>
      <c r="X950" s="18">
        <f>IF($W950="","",INT(INDEX($L950:$Q950,$W950)))</f>
        <v/>
      </c>
      <c r="Y950" s="18">
        <f>IF(OR($W950="",$W950=6),"",WORKDAY($X950,CHOOSE($W950,3,3,2,2,3),Holidays))</f>
        <v/>
      </c>
      <c r="Z950" s="17">
        <f>IF(OR($W950="",$W950=6),"",CHOOSE($W950,"1st Email Follow-up","2nd Email Follow-up","Escalate Local Office","Escalate to CBE","Escalate to Roxanne"))</f>
        <v/>
      </c>
    </row>
    <row r="951" spans="18:26">
      <c r="R951" s="15"/>
      <c r="S951" s="16"/>
      <c r="T951" s="17">
        <f>IF(AND(COUNTA($A951:$K951)=0,$L951=""),"",IF($S951="Paid","PAID",IF($S951="Closed","CLOSED",IF($W951="","",IF($W951=6,"ESCALATED TO ROXANNE",IF(TODAY()&gt;$Y951,"OVERDUE",IF($Y951&lt;=WORKDAY(TODAY(),1,Holidays),"DUE TOMORROW",IF($W951=4,"ESCALATED TO LOCAL OFFICE",IF($W951=5,"ESCALATED TO CBE",IF($X951=TODAY(),"EMAIL SENT","MONITORING"))))))))))</f>
        <v/>
      </c>
      <c r="U951" s="17">
        <f>IF($T951="",IF(AND(COUNTA($A951:$K951)&gt;0,$L951=""),"Awaiting Collection Email time stamp.",""),IF(OR($T951="PAID",$T951="CLOSED"),IF($T951="PAID","Account paid. Action completed.","Account closed. No further action required."),CHOOSE($W951,"Collection Email","1st Email Follow-up","2nd Email Follow-up","Escalation to Local Office","Escalation to CBE","Escalation to Roxanne")&amp;" sent "&amp;TEXT($X951,"dd-mmm")&amp;". "&amp;IF($W951=6,"Final escalation completed.",IF($T951="OVERDUE","Next: "&amp;$Z951&amp;" was due "&amp;TEXT($Y951,"dd-mmm")&amp;" - "&amp;(NETWORKDAYS($Y951,TODAY(),Holidays)-1)&amp;" business day(s) late. Send now.",IF($T951="DUE TOMORROW","Next: "&amp;$Z951&amp;IF($Y951&lt;=TODAY()," is due TODAY ("," is due next business day (")&amp;TEXT($Y951,"dd-mmm")&amp;").","Next: "&amp;$Z951&amp;" due "&amp;TEXT($Y951,"dd-mmm")&amp;" ("&amp;(NETWORKDAYS(TODAY(),$Y951,Holidays)-1)&amp;" business day(s) left).")))))</f>
        <v/>
      </c>
      <c r="V951" s="17">
        <f>IF($W951="","",CHOOSE($W951,"Collection Email","1st Follow-up","2nd Follow-up","Local Office","CBE","Roxanne")&amp;IF($W951=6," - Final"," - Day "&amp;MAX(0,NETWORKDAYS($X951,TODAY(),Holidays)-1)&amp;" of "&amp;CHOOSE($W951,3,3,2,2,3))&amp;" | Total Day "&amp;MAX(0,NETWORKDAYS($L951,TODAY(),Holidays)-1))</f>
        <v/>
      </c>
      <c r="W951" s="17">
        <f>IF($L951="","",COUNT($L951:$Q951))</f>
        <v/>
      </c>
      <c r="X951" s="18">
        <f>IF($W951="","",INT(INDEX($L951:$Q951,$W951)))</f>
        <v/>
      </c>
      <c r="Y951" s="18">
        <f>IF(OR($W951="",$W951=6),"",WORKDAY($X951,CHOOSE($W951,3,3,2,2,3),Holidays))</f>
        <v/>
      </c>
      <c r="Z951" s="17">
        <f>IF(OR($W951="",$W951=6),"",CHOOSE($W951,"1st Email Follow-up","2nd Email Follow-up","Escalate Local Office","Escalate to CBE","Escalate to Roxanne"))</f>
        <v/>
      </c>
    </row>
    <row r="952" spans="18:26">
      <c r="R952" s="15"/>
      <c r="S952" s="16"/>
      <c r="T952" s="17">
        <f>IF(AND(COUNTA($A952:$K952)=0,$L952=""),"",IF($S952="Paid","PAID",IF($S952="Closed","CLOSED",IF($W952="","",IF($W952=6,"ESCALATED TO ROXANNE",IF(TODAY()&gt;$Y952,"OVERDUE",IF($Y952&lt;=WORKDAY(TODAY(),1,Holidays),"DUE TOMORROW",IF($W952=4,"ESCALATED TO LOCAL OFFICE",IF($W952=5,"ESCALATED TO CBE",IF($X952=TODAY(),"EMAIL SENT","MONITORING"))))))))))</f>
        <v/>
      </c>
      <c r="U952" s="17">
        <f>IF($T952="",IF(AND(COUNTA($A952:$K952)&gt;0,$L952=""),"Awaiting Collection Email time stamp.",""),IF(OR($T952="PAID",$T952="CLOSED"),IF($T952="PAID","Account paid. Action completed.","Account closed. No further action required."),CHOOSE($W952,"Collection Email","1st Email Follow-up","2nd Email Follow-up","Escalation to Local Office","Escalation to CBE","Escalation to Roxanne")&amp;" sent "&amp;TEXT($X952,"dd-mmm")&amp;". "&amp;IF($W952=6,"Final escalation completed.",IF($T952="OVERDUE","Next: "&amp;$Z952&amp;" was due "&amp;TEXT($Y952,"dd-mmm")&amp;" - "&amp;(NETWORKDAYS($Y952,TODAY(),Holidays)-1)&amp;" business day(s) late. Send now.",IF($T952="DUE TOMORROW","Next: "&amp;$Z952&amp;IF($Y952&lt;=TODAY()," is due TODAY ("," is due next business day (")&amp;TEXT($Y952,"dd-mmm")&amp;").","Next: "&amp;$Z952&amp;" due "&amp;TEXT($Y952,"dd-mmm")&amp;" ("&amp;(NETWORKDAYS(TODAY(),$Y952,Holidays)-1)&amp;" business day(s) left).")))))</f>
        <v/>
      </c>
      <c r="V952" s="17">
        <f>IF($W952="","",CHOOSE($W952,"Collection Email","1st Follow-up","2nd Follow-up","Local Office","CBE","Roxanne")&amp;IF($W952=6," - Final"," - Day "&amp;MAX(0,NETWORKDAYS($X952,TODAY(),Holidays)-1)&amp;" of "&amp;CHOOSE($W952,3,3,2,2,3))&amp;" | Total Day "&amp;MAX(0,NETWORKDAYS($L952,TODAY(),Holidays)-1))</f>
        <v/>
      </c>
      <c r="W952" s="17">
        <f>IF($L952="","",COUNT($L952:$Q952))</f>
        <v/>
      </c>
      <c r="X952" s="18">
        <f>IF($W952="","",INT(INDEX($L952:$Q952,$W952)))</f>
        <v/>
      </c>
      <c r="Y952" s="18">
        <f>IF(OR($W952="",$W952=6),"",WORKDAY($X952,CHOOSE($W952,3,3,2,2,3),Holidays))</f>
        <v/>
      </c>
      <c r="Z952" s="17">
        <f>IF(OR($W952="",$W952=6),"",CHOOSE($W952,"1st Email Follow-up","2nd Email Follow-up","Escalate Local Office","Escalate to CBE","Escalate to Roxanne"))</f>
        <v/>
      </c>
    </row>
    <row r="953" spans="18:26">
      <c r="R953" s="15"/>
      <c r="S953" s="16"/>
      <c r="T953" s="17">
        <f>IF(AND(COUNTA($A953:$K953)=0,$L953=""),"",IF($S953="Paid","PAID",IF($S953="Closed","CLOSED",IF($W953="","",IF($W953=6,"ESCALATED TO ROXANNE",IF(TODAY()&gt;$Y953,"OVERDUE",IF($Y953&lt;=WORKDAY(TODAY(),1,Holidays),"DUE TOMORROW",IF($W953=4,"ESCALATED TO LOCAL OFFICE",IF($W953=5,"ESCALATED TO CBE",IF($X953=TODAY(),"EMAIL SENT","MONITORING"))))))))))</f>
        <v/>
      </c>
      <c r="U953" s="17">
        <f>IF($T953="",IF(AND(COUNTA($A953:$K953)&gt;0,$L953=""),"Awaiting Collection Email time stamp.",""),IF(OR($T953="PAID",$T953="CLOSED"),IF($T953="PAID","Account paid. Action completed.","Account closed. No further action required."),CHOOSE($W953,"Collection Email","1st Email Follow-up","2nd Email Follow-up","Escalation to Local Office","Escalation to CBE","Escalation to Roxanne")&amp;" sent "&amp;TEXT($X953,"dd-mmm")&amp;". "&amp;IF($W953=6,"Final escalation completed.",IF($T953="OVERDUE","Next: "&amp;$Z953&amp;" was due "&amp;TEXT($Y953,"dd-mmm")&amp;" - "&amp;(NETWORKDAYS($Y953,TODAY(),Holidays)-1)&amp;" business day(s) late. Send now.",IF($T953="DUE TOMORROW","Next: "&amp;$Z953&amp;IF($Y953&lt;=TODAY()," is due TODAY ("," is due next business day (")&amp;TEXT($Y953,"dd-mmm")&amp;").","Next: "&amp;$Z953&amp;" due "&amp;TEXT($Y953,"dd-mmm")&amp;" ("&amp;(NETWORKDAYS(TODAY(),$Y953,Holidays)-1)&amp;" business day(s) left).")))))</f>
        <v/>
      </c>
      <c r="V953" s="17">
        <f>IF($W953="","",CHOOSE($W953,"Collection Email","1st Follow-up","2nd Follow-up","Local Office","CBE","Roxanne")&amp;IF($W953=6," - Final"," - Day "&amp;MAX(0,NETWORKDAYS($X953,TODAY(),Holidays)-1)&amp;" of "&amp;CHOOSE($W953,3,3,2,2,3))&amp;" | Total Day "&amp;MAX(0,NETWORKDAYS($L953,TODAY(),Holidays)-1))</f>
        <v/>
      </c>
      <c r="W953" s="17">
        <f>IF($L953="","",COUNT($L953:$Q953))</f>
        <v/>
      </c>
      <c r="X953" s="18">
        <f>IF($W953="","",INT(INDEX($L953:$Q953,$W953)))</f>
        <v/>
      </c>
      <c r="Y953" s="18">
        <f>IF(OR($W953="",$W953=6),"",WORKDAY($X953,CHOOSE($W953,3,3,2,2,3),Holidays))</f>
        <v/>
      </c>
      <c r="Z953" s="17">
        <f>IF(OR($W953="",$W953=6),"",CHOOSE($W953,"1st Email Follow-up","2nd Email Follow-up","Escalate Local Office","Escalate to CBE","Escalate to Roxanne"))</f>
        <v/>
      </c>
    </row>
    <row r="954" spans="18:26">
      <c r="R954" s="15"/>
      <c r="S954" s="16"/>
      <c r="T954" s="17">
        <f>IF(AND(COUNTA($A954:$K954)=0,$L954=""),"",IF($S954="Paid","PAID",IF($S954="Closed","CLOSED",IF($W954="","",IF($W954=6,"ESCALATED TO ROXANNE",IF(TODAY()&gt;$Y954,"OVERDUE",IF($Y954&lt;=WORKDAY(TODAY(),1,Holidays),"DUE TOMORROW",IF($W954=4,"ESCALATED TO LOCAL OFFICE",IF($W954=5,"ESCALATED TO CBE",IF($X954=TODAY(),"EMAIL SENT","MONITORING"))))))))))</f>
        <v/>
      </c>
      <c r="U954" s="17">
        <f>IF($T954="",IF(AND(COUNTA($A954:$K954)&gt;0,$L954=""),"Awaiting Collection Email time stamp.",""),IF(OR($T954="PAID",$T954="CLOSED"),IF($T954="PAID","Account paid. Action completed.","Account closed. No further action required."),CHOOSE($W954,"Collection Email","1st Email Follow-up","2nd Email Follow-up","Escalation to Local Office","Escalation to CBE","Escalation to Roxanne")&amp;" sent "&amp;TEXT($X954,"dd-mmm")&amp;". "&amp;IF($W954=6,"Final escalation completed.",IF($T954="OVERDUE","Next: "&amp;$Z954&amp;" was due "&amp;TEXT($Y954,"dd-mmm")&amp;" - "&amp;(NETWORKDAYS($Y954,TODAY(),Holidays)-1)&amp;" business day(s) late. Send now.",IF($T954="DUE TOMORROW","Next: "&amp;$Z954&amp;IF($Y954&lt;=TODAY()," is due TODAY ("," is due next business day (")&amp;TEXT($Y954,"dd-mmm")&amp;").","Next: "&amp;$Z954&amp;" due "&amp;TEXT($Y954,"dd-mmm")&amp;" ("&amp;(NETWORKDAYS(TODAY(),$Y954,Holidays)-1)&amp;" business day(s) left).")))))</f>
        <v/>
      </c>
      <c r="V954" s="17">
        <f>IF($W954="","",CHOOSE($W954,"Collection Email","1st Follow-up","2nd Follow-up","Local Office","CBE","Roxanne")&amp;IF($W954=6," - Final"," - Day "&amp;MAX(0,NETWORKDAYS($X954,TODAY(),Holidays)-1)&amp;" of "&amp;CHOOSE($W954,3,3,2,2,3))&amp;" | Total Day "&amp;MAX(0,NETWORKDAYS($L954,TODAY(),Holidays)-1))</f>
        <v/>
      </c>
      <c r="W954" s="17">
        <f>IF($L954="","",COUNT($L954:$Q954))</f>
        <v/>
      </c>
      <c r="X954" s="18">
        <f>IF($W954="","",INT(INDEX($L954:$Q954,$W954)))</f>
        <v/>
      </c>
      <c r="Y954" s="18">
        <f>IF(OR($W954="",$W954=6),"",WORKDAY($X954,CHOOSE($W954,3,3,2,2,3),Holidays))</f>
        <v/>
      </c>
      <c r="Z954" s="17">
        <f>IF(OR($W954="",$W954=6),"",CHOOSE($W954,"1st Email Follow-up","2nd Email Follow-up","Escalate Local Office","Escalate to CBE","Escalate to Roxanne"))</f>
        <v/>
      </c>
    </row>
    <row r="955" spans="18:26">
      <c r="R955" s="15"/>
      <c r="S955" s="16"/>
      <c r="T955" s="17">
        <f>IF(AND(COUNTA($A955:$K955)=0,$L955=""),"",IF($S955="Paid","PAID",IF($S955="Closed","CLOSED",IF($W955="","",IF($W955=6,"ESCALATED TO ROXANNE",IF(TODAY()&gt;$Y955,"OVERDUE",IF($Y955&lt;=WORKDAY(TODAY(),1,Holidays),"DUE TOMORROW",IF($W955=4,"ESCALATED TO LOCAL OFFICE",IF($W955=5,"ESCALATED TO CBE",IF($X955=TODAY(),"EMAIL SENT","MONITORING"))))))))))</f>
        <v/>
      </c>
      <c r="U955" s="17">
        <f>IF($T955="",IF(AND(COUNTA($A955:$K955)&gt;0,$L955=""),"Awaiting Collection Email time stamp.",""),IF(OR($T955="PAID",$T955="CLOSED"),IF($T955="PAID","Account paid. Action completed.","Account closed. No further action required."),CHOOSE($W955,"Collection Email","1st Email Follow-up","2nd Email Follow-up","Escalation to Local Office","Escalation to CBE","Escalation to Roxanne")&amp;" sent "&amp;TEXT($X955,"dd-mmm")&amp;". "&amp;IF($W955=6,"Final escalation completed.",IF($T955="OVERDUE","Next: "&amp;$Z955&amp;" was due "&amp;TEXT($Y955,"dd-mmm")&amp;" - "&amp;(NETWORKDAYS($Y955,TODAY(),Holidays)-1)&amp;" business day(s) late. Send now.",IF($T955="DUE TOMORROW","Next: "&amp;$Z955&amp;IF($Y955&lt;=TODAY()," is due TODAY ("," is due next business day (")&amp;TEXT($Y955,"dd-mmm")&amp;").","Next: "&amp;$Z955&amp;" due "&amp;TEXT($Y955,"dd-mmm")&amp;" ("&amp;(NETWORKDAYS(TODAY(),$Y955,Holidays)-1)&amp;" business day(s) left).")))))</f>
        <v/>
      </c>
      <c r="V955" s="17">
        <f>IF($W955="","",CHOOSE($W955,"Collection Email","1st Follow-up","2nd Follow-up","Local Office","CBE","Roxanne")&amp;IF($W955=6," - Final"," - Day "&amp;MAX(0,NETWORKDAYS($X955,TODAY(),Holidays)-1)&amp;" of "&amp;CHOOSE($W955,3,3,2,2,3))&amp;" | Total Day "&amp;MAX(0,NETWORKDAYS($L955,TODAY(),Holidays)-1))</f>
        <v/>
      </c>
      <c r="W955" s="17">
        <f>IF($L955="","",COUNT($L955:$Q955))</f>
        <v/>
      </c>
      <c r="X955" s="18">
        <f>IF($W955="","",INT(INDEX($L955:$Q955,$W955)))</f>
        <v/>
      </c>
      <c r="Y955" s="18">
        <f>IF(OR($W955="",$W955=6),"",WORKDAY($X955,CHOOSE($W955,3,3,2,2,3),Holidays))</f>
        <v/>
      </c>
      <c r="Z955" s="17">
        <f>IF(OR($W955="",$W955=6),"",CHOOSE($W955,"1st Email Follow-up","2nd Email Follow-up","Escalate Local Office","Escalate to CBE","Escalate to Roxanne"))</f>
        <v/>
      </c>
    </row>
    <row r="956" spans="18:26">
      <c r="R956" s="15"/>
      <c r="S956" s="16"/>
      <c r="T956" s="17">
        <f>IF(AND(COUNTA($A956:$K956)=0,$L956=""),"",IF($S956="Paid","PAID",IF($S956="Closed","CLOSED",IF($W956="","",IF($W956=6,"ESCALATED TO ROXANNE",IF(TODAY()&gt;$Y956,"OVERDUE",IF($Y956&lt;=WORKDAY(TODAY(),1,Holidays),"DUE TOMORROW",IF($W956=4,"ESCALATED TO LOCAL OFFICE",IF($W956=5,"ESCALATED TO CBE",IF($X956=TODAY(),"EMAIL SENT","MONITORING"))))))))))</f>
        <v/>
      </c>
      <c r="U956" s="17">
        <f>IF($T956="",IF(AND(COUNTA($A956:$K956)&gt;0,$L956=""),"Awaiting Collection Email time stamp.",""),IF(OR($T956="PAID",$T956="CLOSED"),IF($T956="PAID","Account paid. Action completed.","Account closed. No further action required."),CHOOSE($W956,"Collection Email","1st Email Follow-up","2nd Email Follow-up","Escalation to Local Office","Escalation to CBE","Escalation to Roxanne")&amp;" sent "&amp;TEXT($X956,"dd-mmm")&amp;". "&amp;IF($W956=6,"Final escalation completed.",IF($T956="OVERDUE","Next: "&amp;$Z956&amp;" was due "&amp;TEXT($Y956,"dd-mmm")&amp;" - "&amp;(NETWORKDAYS($Y956,TODAY(),Holidays)-1)&amp;" business day(s) late. Send now.",IF($T956="DUE TOMORROW","Next: "&amp;$Z956&amp;IF($Y956&lt;=TODAY()," is due TODAY ("," is due next business day (")&amp;TEXT($Y956,"dd-mmm")&amp;").","Next: "&amp;$Z956&amp;" due "&amp;TEXT($Y956,"dd-mmm")&amp;" ("&amp;(NETWORKDAYS(TODAY(),$Y956,Holidays)-1)&amp;" business day(s) left).")))))</f>
        <v/>
      </c>
      <c r="V956" s="17">
        <f>IF($W956="","",CHOOSE($W956,"Collection Email","1st Follow-up","2nd Follow-up","Local Office","CBE","Roxanne")&amp;IF($W956=6," - Final"," - Day "&amp;MAX(0,NETWORKDAYS($X956,TODAY(),Holidays)-1)&amp;" of "&amp;CHOOSE($W956,3,3,2,2,3))&amp;" | Total Day "&amp;MAX(0,NETWORKDAYS($L956,TODAY(),Holidays)-1))</f>
        <v/>
      </c>
      <c r="W956" s="17">
        <f>IF($L956="","",COUNT($L956:$Q956))</f>
        <v/>
      </c>
      <c r="X956" s="18">
        <f>IF($W956="","",INT(INDEX($L956:$Q956,$W956)))</f>
        <v/>
      </c>
      <c r="Y956" s="18">
        <f>IF(OR($W956="",$W956=6),"",WORKDAY($X956,CHOOSE($W956,3,3,2,2,3),Holidays))</f>
        <v/>
      </c>
      <c r="Z956" s="17">
        <f>IF(OR($W956="",$W956=6),"",CHOOSE($W956,"1st Email Follow-up","2nd Email Follow-up","Escalate Local Office","Escalate to CBE","Escalate to Roxanne"))</f>
        <v/>
      </c>
    </row>
    <row r="957" spans="18:26">
      <c r="R957" s="15"/>
      <c r="S957" s="16"/>
      <c r="T957" s="17">
        <f>IF(AND(COUNTA($A957:$K957)=0,$L957=""),"",IF($S957="Paid","PAID",IF($S957="Closed","CLOSED",IF($W957="","",IF($W957=6,"ESCALATED TO ROXANNE",IF(TODAY()&gt;$Y957,"OVERDUE",IF($Y957&lt;=WORKDAY(TODAY(),1,Holidays),"DUE TOMORROW",IF($W957=4,"ESCALATED TO LOCAL OFFICE",IF($W957=5,"ESCALATED TO CBE",IF($X957=TODAY(),"EMAIL SENT","MONITORING"))))))))))</f>
        <v/>
      </c>
      <c r="U957" s="17">
        <f>IF($T957="",IF(AND(COUNTA($A957:$K957)&gt;0,$L957=""),"Awaiting Collection Email time stamp.",""),IF(OR($T957="PAID",$T957="CLOSED"),IF($T957="PAID","Account paid. Action completed.","Account closed. No further action required."),CHOOSE($W957,"Collection Email","1st Email Follow-up","2nd Email Follow-up","Escalation to Local Office","Escalation to CBE","Escalation to Roxanne")&amp;" sent "&amp;TEXT($X957,"dd-mmm")&amp;". "&amp;IF($W957=6,"Final escalation completed.",IF($T957="OVERDUE","Next: "&amp;$Z957&amp;" was due "&amp;TEXT($Y957,"dd-mmm")&amp;" - "&amp;(NETWORKDAYS($Y957,TODAY(),Holidays)-1)&amp;" business day(s) late. Send now.",IF($T957="DUE TOMORROW","Next: "&amp;$Z957&amp;IF($Y957&lt;=TODAY()," is due TODAY ("," is due next business day (")&amp;TEXT($Y957,"dd-mmm")&amp;").","Next: "&amp;$Z957&amp;" due "&amp;TEXT($Y957,"dd-mmm")&amp;" ("&amp;(NETWORKDAYS(TODAY(),$Y957,Holidays)-1)&amp;" business day(s) left).")))))</f>
        <v/>
      </c>
      <c r="V957" s="17">
        <f>IF($W957="","",CHOOSE($W957,"Collection Email","1st Follow-up","2nd Follow-up","Local Office","CBE","Roxanne")&amp;IF($W957=6," - Final"," - Day "&amp;MAX(0,NETWORKDAYS($X957,TODAY(),Holidays)-1)&amp;" of "&amp;CHOOSE($W957,3,3,2,2,3))&amp;" | Total Day "&amp;MAX(0,NETWORKDAYS($L957,TODAY(),Holidays)-1))</f>
        <v/>
      </c>
      <c r="W957" s="17">
        <f>IF($L957="","",COUNT($L957:$Q957))</f>
        <v/>
      </c>
      <c r="X957" s="18">
        <f>IF($W957="","",INT(INDEX($L957:$Q957,$W957)))</f>
        <v/>
      </c>
      <c r="Y957" s="18">
        <f>IF(OR($W957="",$W957=6),"",WORKDAY($X957,CHOOSE($W957,3,3,2,2,3),Holidays))</f>
        <v/>
      </c>
      <c r="Z957" s="17">
        <f>IF(OR($W957="",$W957=6),"",CHOOSE($W957,"1st Email Follow-up","2nd Email Follow-up","Escalate Local Office","Escalate to CBE","Escalate to Roxanne"))</f>
        <v/>
      </c>
    </row>
    <row r="958" spans="18:26">
      <c r="R958" s="15"/>
      <c r="S958" s="16"/>
      <c r="T958" s="17">
        <f>IF(AND(COUNTA($A958:$K958)=0,$L958=""),"",IF($S958="Paid","PAID",IF($S958="Closed","CLOSED",IF($W958="","",IF($W958=6,"ESCALATED TO ROXANNE",IF(TODAY()&gt;$Y958,"OVERDUE",IF($Y958&lt;=WORKDAY(TODAY(),1,Holidays),"DUE TOMORROW",IF($W958=4,"ESCALATED TO LOCAL OFFICE",IF($W958=5,"ESCALATED TO CBE",IF($X958=TODAY(),"EMAIL SENT","MONITORING"))))))))))</f>
        <v/>
      </c>
      <c r="U958" s="17">
        <f>IF($T958="",IF(AND(COUNTA($A958:$K958)&gt;0,$L958=""),"Awaiting Collection Email time stamp.",""),IF(OR($T958="PAID",$T958="CLOSED"),IF($T958="PAID","Account paid. Action completed.","Account closed. No further action required."),CHOOSE($W958,"Collection Email","1st Email Follow-up","2nd Email Follow-up","Escalation to Local Office","Escalation to CBE","Escalation to Roxanne")&amp;" sent "&amp;TEXT($X958,"dd-mmm")&amp;". "&amp;IF($W958=6,"Final escalation completed.",IF($T958="OVERDUE","Next: "&amp;$Z958&amp;" was due "&amp;TEXT($Y958,"dd-mmm")&amp;" - "&amp;(NETWORKDAYS($Y958,TODAY(),Holidays)-1)&amp;" business day(s) late. Send now.",IF($T958="DUE TOMORROW","Next: "&amp;$Z958&amp;IF($Y958&lt;=TODAY()," is due TODAY ("," is due next business day (")&amp;TEXT($Y958,"dd-mmm")&amp;").","Next: "&amp;$Z958&amp;" due "&amp;TEXT($Y958,"dd-mmm")&amp;" ("&amp;(NETWORKDAYS(TODAY(),$Y958,Holidays)-1)&amp;" business day(s) left).")))))</f>
        <v/>
      </c>
      <c r="V958" s="17">
        <f>IF($W958="","",CHOOSE($W958,"Collection Email","1st Follow-up","2nd Follow-up","Local Office","CBE","Roxanne")&amp;IF($W958=6," - Final"," - Day "&amp;MAX(0,NETWORKDAYS($X958,TODAY(),Holidays)-1)&amp;" of "&amp;CHOOSE($W958,3,3,2,2,3))&amp;" | Total Day "&amp;MAX(0,NETWORKDAYS($L958,TODAY(),Holidays)-1))</f>
        <v/>
      </c>
      <c r="W958" s="17">
        <f>IF($L958="","",COUNT($L958:$Q958))</f>
        <v/>
      </c>
      <c r="X958" s="18">
        <f>IF($W958="","",INT(INDEX($L958:$Q958,$W958)))</f>
        <v/>
      </c>
      <c r="Y958" s="18">
        <f>IF(OR($W958="",$W958=6),"",WORKDAY($X958,CHOOSE($W958,3,3,2,2,3),Holidays))</f>
        <v/>
      </c>
      <c r="Z958" s="17">
        <f>IF(OR($W958="",$W958=6),"",CHOOSE($W958,"1st Email Follow-up","2nd Email Follow-up","Escalate Local Office","Escalate to CBE","Escalate to Roxanne"))</f>
        <v/>
      </c>
    </row>
    <row r="959" spans="18:26">
      <c r="R959" s="15"/>
      <c r="S959" s="16"/>
      <c r="T959" s="17">
        <f>IF(AND(COUNTA($A959:$K959)=0,$L959=""),"",IF($S959="Paid","PAID",IF($S959="Closed","CLOSED",IF($W959="","",IF($W959=6,"ESCALATED TO ROXANNE",IF(TODAY()&gt;$Y959,"OVERDUE",IF($Y959&lt;=WORKDAY(TODAY(),1,Holidays),"DUE TOMORROW",IF($W959=4,"ESCALATED TO LOCAL OFFICE",IF($W959=5,"ESCALATED TO CBE",IF($X959=TODAY(),"EMAIL SENT","MONITORING"))))))))))</f>
        <v/>
      </c>
      <c r="U959" s="17">
        <f>IF($T959="",IF(AND(COUNTA($A959:$K959)&gt;0,$L959=""),"Awaiting Collection Email time stamp.",""),IF(OR($T959="PAID",$T959="CLOSED"),IF($T959="PAID","Account paid. Action completed.","Account closed. No further action required."),CHOOSE($W959,"Collection Email","1st Email Follow-up","2nd Email Follow-up","Escalation to Local Office","Escalation to CBE","Escalation to Roxanne")&amp;" sent "&amp;TEXT($X959,"dd-mmm")&amp;". "&amp;IF($W959=6,"Final escalation completed.",IF($T959="OVERDUE","Next: "&amp;$Z959&amp;" was due "&amp;TEXT($Y959,"dd-mmm")&amp;" - "&amp;(NETWORKDAYS($Y959,TODAY(),Holidays)-1)&amp;" business day(s) late. Send now.",IF($T959="DUE TOMORROW","Next: "&amp;$Z959&amp;IF($Y959&lt;=TODAY()," is due TODAY ("," is due next business day (")&amp;TEXT($Y959,"dd-mmm")&amp;").","Next: "&amp;$Z959&amp;" due "&amp;TEXT($Y959,"dd-mmm")&amp;" ("&amp;(NETWORKDAYS(TODAY(),$Y959,Holidays)-1)&amp;" business day(s) left).")))))</f>
        <v/>
      </c>
      <c r="V959" s="17">
        <f>IF($W959="","",CHOOSE($W959,"Collection Email","1st Follow-up","2nd Follow-up","Local Office","CBE","Roxanne")&amp;IF($W959=6," - Final"," - Day "&amp;MAX(0,NETWORKDAYS($X959,TODAY(),Holidays)-1)&amp;" of "&amp;CHOOSE($W959,3,3,2,2,3))&amp;" | Total Day "&amp;MAX(0,NETWORKDAYS($L959,TODAY(),Holidays)-1))</f>
        <v/>
      </c>
      <c r="W959" s="17">
        <f>IF($L959="","",COUNT($L959:$Q959))</f>
        <v/>
      </c>
      <c r="X959" s="18">
        <f>IF($W959="","",INT(INDEX($L959:$Q959,$W959)))</f>
        <v/>
      </c>
      <c r="Y959" s="18">
        <f>IF(OR($W959="",$W959=6),"",WORKDAY($X959,CHOOSE($W959,3,3,2,2,3),Holidays))</f>
        <v/>
      </c>
      <c r="Z959" s="17">
        <f>IF(OR($W959="",$W959=6),"",CHOOSE($W959,"1st Email Follow-up","2nd Email Follow-up","Escalate Local Office","Escalate to CBE","Escalate to Roxanne"))</f>
        <v/>
      </c>
    </row>
    <row r="960" spans="18:26">
      <c r="R960" s="15"/>
      <c r="S960" s="16"/>
      <c r="T960" s="17">
        <f>IF(AND(COUNTA($A960:$K960)=0,$L960=""),"",IF($S960="Paid","PAID",IF($S960="Closed","CLOSED",IF($W960="","",IF($W960=6,"ESCALATED TO ROXANNE",IF(TODAY()&gt;$Y960,"OVERDUE",IF($Y960&lt;=WORKDAY(TODAY(),1,Holidays),"DUE TOMORROW",IF($W960=4,"ESCALATED TO LOCAL OFFICE",IF($W960=5,"ESCALATED TO CBE",IF($X960=TODAY(),"EMAIL SENT","MONITORING"))))))))))</f>
        <v/>
      </c>
      <c r="U960" s="17">
        <f>IF($T960="",IF(AND(COUNTA($A960:$K960)&gt;0,$L960=""),"Awaiting Collection Email time stamp.",""),IF(OR($T960="PAID",$T960="CLOSED"),IF($T960="PAID","Account paid. Action completed.","Account closed. No further action required."),CHOOSE($W960,"Collection Email","1st Email Follow-up","2nd Email Follow-up","Escalation to Local Office","Escalation to CBE","Escalation to Roxanne")&amp;" sent "&amp;TEXT($X960,"dd-mmm")&amp;". "&amp;IF($W960=6,"Final escalation completed.",IF($T960="OVERDUE","Next: "&amp;$Z960&amp;" was due "&amp;TEXT($Y960,"dd-mmm")&amp;" - "&amp;(NETWORKDAYS($Y960,TODAY(),Holidays)-1)&amp;" business day(s) late. Send now.",IF($T960="DUE TOMORROW","Next: "&amp;$Z960&amp;IF($Y960&lt;=TODAY()," is due TODAY ("," is due next business day (")&amp;TEXT($Y960,"dd-mmm")&amp;").","Next: "&amp;$Z960&amp;" due "&amp;TEXT($Y960,"dd-mmm")&amp;" ("&amp;(NETWORKDAYS(TODAY(),$Y960,Holidays)-1)&amp;" business day(s) left).")))))</f>
        <v/>
      </c>
      <c r="V960" s="17">
        <f>IF($W960="","",CHOOSE($W960,"Collection Email","1st Follow-up","2nd Follow-up","Local Office","CBE","Roxanne")&amp;IF($W960=6," - Final"," - Day "&amp;MAX(0,NETWORKDAYS($X960,TODAY(),Holidays)-1)&amp;" of "&amp;CHOOSE($W960,3,3,2,2,3))&amp;" | Total Day "&amp;MAX(0,NETWORKDAYS($L960,TODAY(),Holidays)-1))</f>
        <v/>
      </c>
      <c r="W960" s="17">
        <f>IF($L960="","",COUNT($L960:$Q960))</f>
        <v/>
      </c>
      <c r="X960" s="18">
        <f>IF($W960="","",INT(INDEX($L960:$Q960,$W960)))</f>
        <v/>
      </c>
      <c r="Y960" s="18">
        <f>IF(OR($W960="",$W960=6),"",WORKDAY($X960,CHOOSE($W960,3,3,2,2,3),Holidays))</f>
        <v/>
      </c>
      <c r="Z960" s="17">
        <f>IF(OR($W960="",$W960=6),"",CHOOSE($W960,"1st Email Follow-up","2nd Email Follow-up","Escalate Local Office","Escalate to CBE","Escalate to Roxanne"))</f>
        <v/>
      </c>
    </row>
    <row r="961" spans="18:26">
      <c r="R961" s="15"/>
      <c r="S961" s="16"/>
      <c r="T961" s="17">
        <f>IF(AND(COUNTA($A961:$K961)=0,$L961=""),"",IF($S961="Paid","PAID",IF($S961="Closed","CLOSED",IF($W961="","",IF($W961=6,"ESCALATED TO ROXANNE",IF(TODAY()&gt;$Y961,"OVERDUE",IF($Y961&lt;=WORKDAY(TODAY(),1,Holidays),"DUE TOMORROW",IF($W961=4,"ESCALATED TO LOCAL OFFICE",IF($W961=5,"ESCALATED TO CBE",IF($X961=TODAY(),"EMAIL SENT","MONITORING"))))))))))</f>
        <v/>
      </c>
      <c r="U961" s="17">
        <f>IF($T961="",IF(AND(COUNTA($A961:$K961)&gt;0,$L961=""),"Awaiting Collection Email time stamp.",""),IF(OR($T961="PAID",$T961="CLOSED"),IF($T961="PAID","Account paid. Action completed.","Account closed. No further action required."),CHOOSE($W961,"Collection Email","1st Email Follow-up","2nd Email Follow-up","Escalation to Local Office","Escalation to CBE","Escalation to Roxanne")&amp;" sent "&amp;TEXT($X961,"dd-mmm")&amp;". "&amp;IF($W961=6,"Final escalation completed.",IF($T961="OVERDUE","Next: "&amp;$Z961&amp;" was due "&amp;TEXT($Y961,"dd-mmm")&amp;" - "&amp;(NETWORKDAYS($Y961,TODAY(),Holidays)-1)&amp;" business day(s) late. Send now.",IF($T961="DUE TOMORROW","Next: "&amp;$Z961&amp;IF($Y961&lt;=TODAY()," is due TODAY ("," is due next business day (")&amp;TEXT($Y961,"dd-mmm")&amp;").","Next: "&amp;$Z961&amp;" due "&amp;TEXT($Y961,"dd-mmm")&amp;" ("&amp;(NETWORKDAYS(TODAY(),$Y961,Holidays)-1)&amp;" business day(s) left).")))))</f>
        <v/>
      </c>
      <c r="V961" s="17">
        <f>IF($W961="","",CHOOSE($W961,"Collection Email","1st Follow-up","2nd Follow-up","Local Office","CBE","Roxanne")&amp;IF($W961=6," - Final"," - Day "&amp;MAX(0,NETWORKDAYS($X961,TODAY(),Holidays)-1)&amp;" of "&amp;CHOOSE($W961,3,3,2,2,3))&amp;" | Total Day "&amp;MAX(0,NETWORKDAYS($L961,TODAY(),Holidays)-1))</f>
        <v/>
      </c>
      <c r="W961" s="17">
        <f>IF($L961="","",COUNT($L961:$Q961))</f>
        <v/>
      </c>
      <c r="X961" s="18">
        <f>IF($W961="","",INT(INDEX($L961:$Q961,$W961)))</f>
        <v/>
      </c>
      <c r="Y961" s="18">
        <f>IF(OR($W961="",$W961=6),"",WORKDAY($X961,CHOOSE($W961,3,3,2,2,3),Holidays))</f>
        <v/>
      </c>
      <c r="Z961" s="17">
        <f>IF(OR($W961="",$W961=6),"",CHOOSE($W961,"1st Email Follow-up","2nd Email Follow-up","Escalate Local Office","Escalate to CBE","Escalate to Roxanne"))</f>
        <v/>
      </c>
    </row>
    <row r="962" spans="18:26">
      <c r="R962" s="15"/>
      <c r="S962" s="16"/>
      <c r="T962" s="17">
        <f>IF(AND(COUNTA($A962:$K962)=0,$L962=""),"",IF($S962="Paid","PAID",IF($S962="Closed","CLOSED",IF($W962="","",IF($W962=6,"ESCALATED TO ROXANNE",IF(TODAY()&gt;$Y962,"OVERDUE",IF($Y962&lt;=WORKDAY(TODAY(),1,Holidays),"DUE TOMORROW",IF($W962=4,"ESCALATED TO LOCAL OFFICE",IF($W962=5,"ESCALATED TO CBE",IF($X962=TODAY(),"EMAIL SENT","MONITORING"))))))))))</f>
        <v/>
      </c>
      <c r="U962" s="17">
        <f>IF($T962="",IF(AND(COUNTA($A962:$K962)&gt;0,$L962=""),"Awaiting Collection Email time stamp.",""),IF(OR($T962="PAID",$T962="CLOSED"),IF($T962="PAID","Account paid. Action completed.","Account closed. No further action required."),CHOOSE($W962,"Collection Email","1st Email Follow-up","2nd Email Follow-up","Escalation to Local Office","Escalation to CBE","Escalation to Roxanne")&amp;" sent "&amp;TEXT($X962,"dd-mmm")&amp;". "&amp;IF($W962=6,"Final escalation completed.",IF($T962="OVERDUE","Next: "&amp;$Z962&amp;" was due "&amp;TEXT($Y962,"dd-mmm")&amp;" - "&amp;(NETWORKDAYS($Y962,TODAY(),Holidays)-1)&amp;" business day(s) late. Send now.",IF($T962="DUE TOMORROW","Next: "&amp;$Z962&amp;IF($Y962&lt;=TODAY()," is due TODAY ("," is due next business day (")&amp;TEXT($Y962,"dd-mmm")&amp;").","Next: "&amp;$Z962&amp;" due "&amp;TEXT($Y962,"dd-mmm")&amp;" ("&amp;(NETWORKDAYS(TODAY(),$Y962,Holidays)-1)&amp;" business day(s) left).")))))</f>
        <v/>
      </c>
      <c r="V962" s="17">
        <f>IF($W962="","",CHOOSE($W962,"Collection Email","1st Follow-up","2nd Follow-up","Local Office","CBE","Roxanne")&amp;IF($W962=6," - Final"," - Day "&amp;MAX(0,NETWORKDAYS($X962,TODAY(),Holidays)-1)&amp;" of "&amp;CHOOSE($W962,3,3,2,2,3))&amp;" | Total Day "&amp;MAX(0,NETWORKDAYS($L962,TODAY(),Holidays)-1))</f>
        <v/>
      </c>
      <c r="W962" s="17">
        <f>IF($L962="","",COUNT($L962:$Q962))</f>
        <v/>
      </c>
      <c r="X962" s="18">
        <f>IF($W962="","",INT(INDEX($L962:$Q962,$W962)))</f>
        <v/>
      </c>
      <c r="Y962" s="18">
        <f>IF(OR($W962="",$W962=6),"",WORKDAY($X962,CHOOSE($W962,3,3,2,2,3),Holidays))</f>
        <v/>
      </c>
      <c r="Z962" s="17">
        <f>IF(OR($W962="",$W962=6),"",CHOOSE($W962,"1st Email Follow-up","2nd Email Follow-up","Escalate Local Office","Escalate to CBE","Escalate to Roxanne"))</f>
        <v/>
      </c>
    </row>
    <row r="963" spans="18:26">
      <c r="R963" s="15"/>
      <c r="S963" s="16"/>
      <c r="T963" s="17">
        <f>IF(AND(COUNTA($A963:$K963)=0,$L963=""),"",IF($S963="Paid","PAID",IF($S963="Closed","CLOSED",IF($W963="","",IF($W963=6,"ESCALATED TO ROXANNE",IF(TODAY()&gt;$Y963,"OVERDUE",IF($Y963&lt;=WORKDAY(TODAY(),1,Holidays),"DUE TOMORROW",IF($W963=4,"ESCALATED TO LOCAL OFFICE",IF($W963=5,"ESCALATED TO CBE",IF($X963=TODAY(),"EMAIL SENT","MONITORING"))))))))))</f>
        <v/>
      </c>
      <c r="U963" s="17">
        <f>IF($T963="",IF(AND(COUNTA($A963:$K963)&gt;0,$L963=""),"Awaiting Collection Email time stamp.",""),IF(OR($T963="PAID",$T963="CLOSED"),IF($T963="PAID","Account paid. Action completed.","Account closed. No further action required."),CHOOSE($W963,"Collection Email","1st Email Follow-up","2nd Email Follow-up","Escalation to Local Office","Escalation to CBE","Escalation to Roxanne")&amp;" sent "&amp;TEXT($X963,"dd-mmm")&amp;". "&amp;IF($W963=6,"Final escalation completed.",IF($T963="OVERDUE","Next: "&amp;$Z963&amp;" was due "&amp;TEXT($Y963,"dd-mmm")&amp;" - "&amp;(NETWORKDAYS($Y963,TODAY(),Holidays)-1)&amp;" business day(s) late. Send now.",IF($T963="DUE TOMORROW","Next: "&amp;$Z963&amp;IF($Y963&lt;=TODAY()," is due TODAY ("," is due next business day (")&amp;TEXT($Y963,"dd-mmm")&amp;").","Next: "&amp;$Z963&amp;" due "&amp;TEXT($Y963,"dd-mmm")&amp;" ("&amp;(NETWORKDAYS(TODAY(),$Y963,Holidays)-1)&amp;" business day(s) left).")))))</f>
        <v/>
      </c>
      <c r="V963" s="17">
        <f>IF($W963="","",CHOOSE($W963,"Collection Email","1st Follow-up","2nd Follow-up","Local Office","CBE","Roxanne")&amp;IF($W963=6," - Final"," - Day "&amp;MAX(0,NETWORKDAYS($X963,TODAY(),Holidays)-1)&amp;" of "&amp;CHOOSE($W963,3,3,2,2,3))&amp;" | Total Day "&amp;MAX(0,NETWORKDAYS($L963,TODAY(),Holidays)-1))</f>
        <v/>
      </c>
      <c r="W963" s="17">
        <f>IF($L963="","",COUNT($L963:$Q963))</f>
        <v/>
      </c>
      <c r="X963" s="18">
        <f>IF($W963="","",INT(INDEX($L963:$Q963,$W963)))</f>
        <v/>
      </c>
      <c r="Y963" s="18">
        <f>IF(OR($W963="",$W963=6),"",WORKDAY($X963,CHOOSE($W963,3,3,2,2,3),Holidays))</f>
        <v/>
      </c>
      <c r="Z963" s="17">
        <f>IF(OR($W963="",$W963=6),"",CHOOSE($W963,"1st Email Follow-up","2nd Email Follow-up","Escalate Local Office","Escalate to CBE","Escalate to Roxanne"))</f>
        <v/>
      </c>
    </row>
    <row r="964" spans="18:26">
      <c r="R964" s="15"/>
      <c r="S964" s="16"/>
      <c r="T964" s="17">
        <f>IF(AND(COUNTA($A964:$K964)=0,$L964=""),"",IF($S964="Paid","PAID",IF($S964="Closed","CLOSED",IF($W964="","",IF($W964=6,"ESCALATED TO ROXANNE",IF(TODAY()&gt;$Y964,"OVERDUE",IF($Y964&lt;=WORKDAY(TODAY(),1,Holidays),"DUE TOMORROW",IF($W964=4,"ESCALATED TO LOCAL OFFICE",IF($W964=5,"ESCALATED TO CBE",IF($X964=TODAY(),"EMAIL SENT","MONITORING"))))))))))</f>
        <v/>
      </c>
      <c r="U964" s="17">
        <f>IF($T964="",IF(AND(COUNTA($A964:$K964)&gt;0,$L964=""),"Awaiting Collection Email time stamp.",""),IF(OR($T964="PAID",$T964="CLOSED"),IF($T964="PAID","Account paid. Action completed.","Account closed. No further action required."),CHOOSE($W964,"Collection Email","1st Email Follow-up","2nd Email Follow-up","Escalation to Local Office","Escalation to CBE","Escalation to Roxanne")&amp;" sent "&amp;TEXT($X964,"dd-mmm")&amp;". "&amp;IF($W964=6,"Final escalation completed.",IF($T964="OVERDUE","Next: "&amp;$Z964&amp;" was due "&amp;TEXT($Y964,"dd-mmm")&amp;" - "&amp;(NETWORKDAYS($Y964,TODAY(),Holidays)-1)&amp;" business day(s) late. Send now.",IF($T964="DUE TOMORROW","Next: "&amp;$Z964&amp;IF($Y964&lt;=TODAY()," is due TODAY ("," is due next business day (")&amp;TEXT($Y964,"dd-mmm")&amp;").","Next: "&amp;$Z964&amp;" due "&amp;TEXT($Y964,"dd-mmm")&amp;" ("&amp;(NETWORKDAYS(TODAY(),$Y964,Holidays)-1)&amp;" business day(s) left).")))))</f>
        <v/>
      </c>
      <c r="V964" s="17">
        <f>IF($W964="","",CHOOSE($W964,"Collection Email","1st Follow-up","2nd Follow-up","Local Office","CBE","Roxanne")&amp;IF($W964=6," - Final"," - Day "&amp;MAX(0,NETWORKDAYS($X964,TODAY(),Holidays)-1)&amp;" of "&amp;CHOOSE($W964,3,3,2,2,3))&amp;" | Total Day "&amp;MAX(0,NETWORKDAYS($L964,TODAY(),Holidays)-1))</f>
        <v/>
      </c>
      <c r="W964" s="17">
        <f>IF($L964="","",COUNT($L964:$Q964))</f>
        <v/>
      </c>
      <c r="X964" s="18">
        <f>IF($W964="","",INT(INDEX($L964:$Q964,$W964)))</f>
        <v/>
      </c>
      <c r="Y964" s="18">
        <f>IF(OR($W964="",$W964=6),"",WORKDAY($X964,CHOOSE($W964,3,3,2,2,3),Holidays))</f>
        <v/>
      </c>
      <c r="Z964" s="17">
        <f>IF(OR($W964="",$W964=6),"",CHOOSE($W964,"1st Email Follow-up","2nd Email Follow-up","Escalate Local Office","Escalate to CBE","Escalate to Roxanne"))</f>
        <v/>
      </c>
    </row>
    <row r="965" spans="18:26">
      <c r="R965" s="15"/>
      <c r="S965" s="16"/>
      <c r="T965" s="17">
        <f>IF(AND(COUNTA($A965:$K965)=0,$L965=""),"",IF($S965="Paid","PAID",IF($S965="Closed","CLOSED",IF($W965="","",IF($W965=6,"ESCALATED TO ROXANNE",IF(TODAY()&gt;$Y965,"OVERDUE",IF($Y965&lt;=WORKDAY(TODAY(),1,Holidays),"DUE TOMORROW",IF($W965=4,"ESCALATED TO LOCAL OFFICE",IF($W965=5,"ESCALATED TO CBE",IF($X965=TODAY(),"EMAIL SENT","MONITORING"))))))))))</f>
        <v/>
      </c>
      <c r="U965" s="17">
        <f>IF($T965="",IF(AND(COUNTA($A965:$K965)&gt;0,$L965=""),"Awaiting Collection Email time stamp.",""),IF(OR($T965="PAID",$T965="CLOSED"),IF($T965="PAID","Account paid. Action completed.","Account closed. No further action required."),CHOOSE($W965,"Collection Email","1st Email Follow-up","2nd Email Follow-up","Escalation to Local Office","Escalation to CBE","Escalation to Roxanne")&amp;" sent "&amp;TEXT($X965,"dd-mmm")&amp;". "&amp;IF($W965=6,"Final escalation completed.",IF($T965="OVERDUE","Next: "&amp;$Z965&amp;" was due "&amp;TEXT($Y965,"dd-mmm")&amp;" - "&amp;(NETWORKDAYS($Y965,TODAY(),Holidays)-1)&amp;" business day(s) late. Send now.",IF($T965="DUE TOMORROW","Next: "&amp;$Z965&amp;IF($Y965&lt;=TODAY()," is due TODAY ("," is due next business day (")&amp;TEXT($Y965,"dd-mmm")&amp;").","Next: "&amp;$Z965&amp;" due "&amp;TEXT($Y965,"dd-mmm")&amp;" ("&amp;(NETWORKDAYS(TODAY(),$Y965,Holidays)-1)&amp;" business day(s) left).")))))</f>
        <v/>
      </c>
      <c r="V965" s="17">
        <f>IF($W965="","",CHOOSE($W965,"Collection Email","1st Follow-up","2nd Follow-up","Local Office","CBE","Roxanne")&amp;IF($W965=6," - Final"," - Day "&amp;MAX(0,NETWORKDAYS($X965,TODAY(),Holidays)-1)&amp;" of "&amp;CHOOSE($W965,3,3,2,2,3))&amp;" | Total Day "&amp;MAX(0,NETWORKDAYS($L965,TODAY(),Holidays)-1))</f>
        <v/>
      </c>
      <c r="W965" s="17">
        <f>IF($L965="","",COUNT($L965:$Q965))</f>
        <v/>
      </c>
      <c r="X965" s="18">
        <f>IF($W965="","",INT(INDEX($L965:$Q965,$W965)))</f>
        <v/>
      </c>
      <c r="Y965" s="18">
        <f>IF(OR($W965="",$W965=6),"",WORKDAY($X965,CHOOSE($W965,3,3,2,2,3),Holidays))</f>
        <v/>
      </c>
      <c r="Z965" s="17">
        <f>IF(OR($W965="",$W965=6),"",CHOOSE($W965,"1st Email Follow-up","2nd Email Follow-up","Escalate Local Office","Escalate to CBE","Escalate to Roxanne"))</f>
        <v/>
      </c>
    </row>
    <row r="966" spans="18:26">
      <c r="R966" s="15"/>
      <c r="S966" s="16"/>
      <c r="T966" s="17">
        <f>IF(AND(COUNTA($A966:$K966)=0,$L966=""),"",IF($S966="Paid","PAID",IF($S966="Closed","CLOSED",IF($W966="","",IF($W966=6,"ESCALATED TO ROXANNE",IF(TODAY()&gt;$Y966,"OVERDUE",IF($Y966&lt;=WORKDAY(TODAY(),1,Holidays),"DUE TOMORROW",IF($W966=4,"ESCALATED TO LOCAL OFFICE",IF($W966=5,"ESCALATED TO CBE",IF($X966=TODAY(),"EMAIL SENT","MONITORING"))))))))))</f>
        <v/>
      </c>
      <c r="U966" s="17">
        <f>IF($T966="",IF(AND(COUNTA($A966:$K966)&gt;0,$L966=""),"Awaiting Collection Email time stamp.",""),IF(OR($T966="PAID",$T966="CLOSED"),IF($T966="PAID","Account paid. Action completed.","Account closed. No further action required."),CHOOSE($W966,"Collection Email","1st Email Follow-up","2nd Email Follow-up","Escalation to Local Office","Escalation to CBE","Escalation to Roxanne")&amp;" sent "&amp;TEXT($X966,"dd-mmm")&amp;". "&amp;IF($W966=6,"Final escalation completed.",IF($T966="OVERDUE","Next: "&amp;$Z966&amp;" was due "&amp;TEXT($Y966,"dd-mmm")&amp;" - "&amp;(NETWORKDAYS($Y966,TODAY(),Holidays)-1)&amp;" business day(s) late. Send now.",IF($T966="DUE TOMORROW","Next: "&amp;$Z966&amp;IF($Y966&lt;=TODAY()," is due TODAY ("," is due next business day (")&amp;TEXT($Y966,"dd-mmm")&amp;").","Next: "&amp;$Z966&amp;" due "&amp;TEXT($Y966,"dd-mmm")&amp;" ("&amp;(NETWORKDAYS(TODAY(),$Y966,Holidays)-1)&amp;" business day(s) left).")))))</f>
        <v/>
      </c>
      <c r="V966" s="17">
        <f>IF($W966="","",CHOOSE($W966,"Collection Email","1st Follow-up","2nd Follow-up","Local Office","CBE","Roxanne")&amp;IF($W966=6," - Final"," - Day "&amp;MAX(0,NETWORKDAYS($X966,TODAY(),Holidays)-1)&amp;" of "&amp;CHOOSE($W966,3,3,2,2,3))&amp;" | Total Day "&amp;MAX(0,NETWORKDAYS($L966,TODAY(),Holidays)-1))</f>
        <v/>
      </c>
      <c r="W966" s="17">
        <f>IF($L966="","",COUNT($L966:$Q966))</f>
        <v/>
      </c>
      <c r="X966" s="18">
        <f>IF($W966="","",INT(INDEX($L966:$Q966,$W966)))</f>
        <v/>
      </c>
      <c r="Y966" s="18">
        <f>IF(OR($W966="",$W966=6),"",WORKDAY($X966,CHOOSE($W966,3,3,2,2,3),Holidays))</f>
        <v/>
      </c>
      <c r="Z966" s="17">
        <f>IF(OR($W966="",$W966=6),"",CHOOSE($W966,"1st Email Follow-up","2nd Email Follow-up","Escalate Local Office","Escalate to CBE","Escalate to Roxanne"))</f>
        <v/>
      </c>
    </row>
    <row r="967" spans="18:26">
      <c r="R967" s="15"/>
      <c r="S967" s="16"/>
      <c r="T967" s="17">
        <f>IF(AND(COUNTA($A967:$K967)=0,$L967=""),"",IF($S967="Paid","PAID",IF($S967="Closed","CLOSED",IF($W967="","",IF($W967=6,"ESCALATED TO ROXANNE",IF(TODAY()&gt;$Y967,"OVERDUE",IF($Y967&lt;=WORKDAY(TODAY(),1,Holidays),"DUE TOMORROW",IF($W967=4,"ESCALATED TO LOCAL OFFICE",IF($W967=5,"ESCALATED TO CBE",IF($X967=TODAY(),"EMAIL SENT","MONITORING"))))))))))</f>
        <v/>
      </c>
      <c r="U967" s="17">
        <f>IF($T967="",IF(AND(COUNTA($A967:$K967)&gt;0,$L967=""),"Awaiting Collection Email time stamp.",""),IF(OR($T967="PAID",$T967="CLOSED"),IF($T967="PAID","Account paid. Action completed.","Account closed. No further action required."),CHOOSE($W967,"Collection Email","1st Email Follow-up","2nd Email Follow-up","Escalation to Local Office","Escalation to CBE","Escalation to Roxanne")&amp;" sent "&amp;TEXT($X967,"dd-mmm")&amp;". "&amp;IF($W967=6,"Final escalation completed.",IF($T967="OVERDUE","Next: "&amp;$Z967&amp;" was due "&amp;TEXT($Y967,"dd-mmm")&amp;" - "&amp;(NETWORKDAYS($Y967,TODAY(),Holidays)-1)&amp;" business day(s) late. Send now.",IF($T967="DUE TOMORROW","Next: "&amp;$Z967&amp;IF($Y967&lt;=TODAY()," is due TODAY ("," is due next business day (")&amp;TEXT($Y967,"dd-mmm")&amp;").","Next: "&amp;$Z967&amp;" due "&amp;TEXT($Y967,"dd-mmm")&amp;" ("&amp;(NETWORKDAYS(TODAY(),$Y967,Holidays)-1)&amp;" business day(s) left).")))))</f>
        <v/>
      </c>
      <c r="V967" s="17">
        <f>IF($W967="","",CHOOSE($W967,"Collection Email","1st Follow-up","2nd Follow-up","Local Office","CBE","Roxanne")&amp;IF($W967=6," - Final"," - Day "&amp;MAX(0,NETWORKDAYS($X967,TODAY(),Holidays)-1)&amp;" of "&amp;CHOOSE($W967,3,3,2,2,3))&amp;" | Total Day "&amp;MAX(0,NETWORKDAYS($L967,TODAY(),Holidays)-1))</f>
        <v/>
      </c>
      <c r="W967" s="17">
        <f>IF($L967="","",COUNT($L967:$Q967))</f>
        <v/>
      </c>
      <c r="X967" s="18">
        <f>IF($W967="","",INT(INDEX($L967:$Q967,$W967)))</f>
        <v/>
      </c>
      <c r="Y967" s="18">
        <f>IF(OR($W967="",$W967=6),"",WORKDAY($X967,CHOOSE($W967,3,3,2,2,3),Holidays))</f>
        <v/>
      </c>
      <c r="Z967" s="17">
        <f>IF(OR($W967="",$W967=6),"",CHOOSE($W967,"1st Email Follow-up","2nd Email Follow-up","Escalate Local Office","Escalate to CBE","Escalate to Roxanne"))</f>
        <v/>
      </c>
    </row>
    <row r="968" spans="18:26">
      <c r="R968" s="15"/>
      <c r="S968" s="16"/>
      <c r="T968" s="17">
        <f>IF(AND(COUNTA($A968:$K968)=0,$L968=""),"",IF($S968="Paid","PAID",IF($S968="Closed","CLOSED",IF($W968="","",IF($W968=6,"ESCALATED TO ROXANNE",IF(TODAY()&gt;$Y968,"OVERDUE",IF($Y968&lt;=WORKDAY(TODAY(),1,Holidays),"DUE TOMORROW",IF($W968=4,"ESCALATED TO LOCAL OFFICE",IF($W968=5,"ESCALATED TO CBE",IF($X968=TODAY(),"EMAIL SENT","MONITORING"))))))))))</f>
        <v/>
      </c>
      <c r="U968" s="17">
        <f>IF($T968="",IF(AND(COUNTA($A968:$K968)&gt;0,$L968=""),"Awaiting Collection Email time stamp.",""),IF(OR($T968="PAID",$T968="CLOSED"),IF($T968="PAID","Account paid. Action completed.","Account closed. No further action required."),CHOOSE($W968,"Collection Email","1st Email Follow-up","2nd Email Follow-up","Escalation to Local Office","Escalation to CBE","Escalation to Roxanne")&amp;" sent "&amp;TEXT($X968,"dd-mmm")&amp;". "&amp;IF($W968=6,"Final escalation completed.",IF($T968="OVERDUE","Next: "&amp;$Z968&amp;" was due "&amp;TEXT($Y968,"dd-mmm")&amp;" - "&amp;(NETWORKDAYS($Y968,TODAY(),Holidays)-1)&amp;" business day(s) late. Send now.",IF($T968="DUE TOMORROW","Next: "&amp;$Z968&amp;IF($Y968&lt;=TODAY()," is due TODAY ("," is due next business day (")&amp;TEXT($Y968,"dd-mmm")&amp;").","Next: "&amp;$Z968&amp;" due "&amp;TEXT($Y968,"dd-mmm")&amp;" ("&amp;(NETWORKDAYS(TODAY(),$Y968,Holidays)-1)&amp;" business day(s) left).")))))</f>
        <v/>
      </c>
      <c r="V968" s="17">
        <f>IF($W968="","",CHOOSE($W968,"Collection Email","1st Follow-up","2nd Follow-up","Local Office","CBE","Roxanne")&amp;IF($W968=6," - Final"," - Day "&amp;MAX(0,NETWORKDAYS($X968,TODAY(),Holidays)-1)&amp;" of "&amp;CHOOSE($W968,3,3,2,2,3))&amp;" | Total Day "&amp;MAX(0,NETWORKDAYS($L968,TODAY(),Holidays)-1))</f>
        <v/>
      </c>
      <c r="W968" s="17">
        <f>IF($L968="","",COUNT($L968:$Q968))</f>
        <v/>
      </c>
      <c r="X968" s="18">
        <f>IF($W968="","",INT(INDEX($L968:$Q968,$W968)))</f>
        <v/>
      </c>
      <c r="Y968" s="18">
        <f>IF(OR($W968="",$W968=6),"",WORKDAY($X968,CHOOSE($W968,3,3,2,2,3),Holidays))</f>
        <v/>
      </c>
      <c r="Z968" s="17">
        <f>IF(OR($W968="",$W968=6),"",CHOOSE($W968,"1st Email Follow-up","2nd Email Follow-up","Escalate Local Office","Escalate to CBE","Escalate to Roxanne"))</f>
        <v/>
      </c>
    </row>
    <row r="969" spans="18:26">
      <c r="R969" s="15"/>
      <c r="S969" s="16"/>
      <c r="T969" s="17">
        <f>IF(AND(COUNTA($A969:$K969)=0,$L969=""),"",IF($S969="Paid","PAID",IF($S969="Closed","CLOSED",IF($W969="","",IF($W969=6,"ESCALATED TO ROXANNE",IF(TODAY()&gt;$Y969,"OVERDUE",IF($Y969&lt;=WORKDAY(TODAY(),1,Holidays),"DUE TOMORROW",IF($W969=4,"ESCALATED TO LOCAL OFFICE",IF($W969=5,"ESCALATED TO CBE",IF($X969=TODAY(),"EMAIL SENT","MONITORING"))))))))))</f>
        <v/>
      </c>
      <c r="U969" s="17">
        <f>IF($T969="",IF(AND(COUNTA($A969:$K969)&gt;0,$L969=""),"Awaiting Collection Email time stamp.",""),IF(OR($T969="PAID",$T969="CLOSED"),IF($T969="PAID","Account paid. Action completed.","Account closed. No further action required."),CHOOSE($W969,"Collection Email","1st Email Follow-up","2nd Email Follow-up","Escalation to Local Office","Escalation to CBE","Escalation to Roxanne")&amp;" sent "&amp;TEXT($X969,"dd-mmm")&amp;". "&amp;IF($W969=6,"Final escalation completed.",IF($T969="OVERDUE","Next: "&amp;$Z969&amp;" was due "&amp;TEXT($Y969,"dd-mmm")&amp;" - "&amp;(NETWORKDAYS($Y969,TODAY(),Holidays)-1)&amp;" business day(s) late. Send now.",IF($T969="DUE TOMORROW","Next: "&amp;$Z969&amp;IF($Y969&lt;=TODAY()," is due TODAY ("," is due next business day (")&amp;TEXT($Y969,"dd-mmm")&amp;").","Next: "&amp;$Z969&amp;" due "&amp;TEXT($Y969,"dd-mmm")&amp;" ("&amp;(NETWORKDAYS(TODAY(),$Y969,Holidays)-1)&amp;" business day(s) left).")))))</f>
        <v/>
      </c>
      <c r="V969" s="17">
        <f>IF($W969="","",CHOOSE($W969,"Collection Email","1st Follow-up","2nd Follow-up","Local Office","CBE","Roxanne")&amp;IF($W969=6," - Final"," - Day "&amp;MAX(0,NETWORKDAYS($X969,TODAY(),Holidays)-1)&amp;" of "&amp;CHOOSE($W969,3,3,2,2,3))&amp;" | Total Day "&amp;MAX(0,NETWORKDAYS($L969,TODAY(),Holidays)-1))</f>
        <v/>
      </c>
      <c r="W969" s="17">
        <f>IF($L969="","",COUNT($L969:$Q969))</f>
        <v/>
      </c>
      <c r="X969" s="18">
        <f>IF($W969="","",INT(INDEX($L969:$Q969,$W969)))</f>
        <v/>
      </c>
      <c r="Y969" s="18">
        <f>IF(OR($W969="",$W969=6),"",WORKDAY($X969,CHOOSE($W969,3,3,2,2,3),Holidays))</f>
        <v/>
      </c>
      <c r="Z969" s="17">
        <f>IF(OR($W969="",$W969=6),"",CHOOSE($W969,"1st Email Follow-up","2nd Email Follow-up","Escalate Local Office","Escalate to CBE","Escalate to Roxanne"))</f>
        <v/>
      </c>
    </row>
    <row r="970" spans="18:26">
      <c r="R970" s="15"/>
      <c r="S970" s="16"/>
      <c r="T970" s="17">
        <f>IF(AND(COUNTA($A970:$K970)=0,$L970=""),"",IF($S970="Paid","PAID",IF($S970="Closed","CLOSED",IF($W970="","",IF($W970=6,"ESCALATED TO ROXANNE",IF(TODAY()&gt;$Y970,"OVERDUE",IF($Y970&lt;=WORKDAY(TODAY(),1,Holidays),"DUE TOMORROW",IF($W970=4,"ESCALATED TO LOCAL OFFICE",IF($W970=5,"ESCALATED TO CBE",IF($X970=TODAY(),"EMAIL SENT","MONITORING"))))))))))</f>
        <v/>
      </c>
      <c r="U970" s="17">
        <f>IF($T970="",IF(AND(COUNTA($A970:$K970)&gt;0,$L970=""),"Awaiting Collection Email time stamp.",""),IF(OR($T970="PAID",$T970="CLOSED"),IF($T970="PAID","Account paid. Action completed.","Account closed. No further action required."),CHOOSE($W970,"Collection Email","1st Email Follow-up","2nd Email Follow-up","Escalation to Local Office","Escalation to CBE","Escalation to Roxanne")&amp;" sent "&amp;TEXT($X970,"dd-mmm")&amp;". "&amp;IF($W970=6,"Final escalation completed.",IF($T970="OVERDUE","Next: "&amp;$Z970&amp;" was due "&amp;TEXT($Y970,"dd-mmm")&amp;" - "&amp;(NETWORKDAYS($Y970,TODAY(),Holidays)-1)&amp;" business day(s) late. Send now.",IF($T970="DUE TOMORROW","Next: "&amp;$Z970&amp;IF($Y970&lt;=TODAY()," is due TODAY ("," is due next business day (")&amp;TEXT($Y970,"dd-mmm")&amp;").","Next: "&amp;$Z970&amp;" due "&amp;TEXT($Y970,"dd-mmm")&amp;" ("&amp;(NETWORKDAYS(TODAY(),$Y970,Holidays)-1)&amp;" business day(s) left).")))))</f>
        <v/>
      </c>
      <c r="V970" s="17">
        <f>IF($W970="","",CHOOSE($W970,"Collection Email","1st Follow-up","2nd Follow-up","Local Office","CBE","Roxanne")&amp;IF($W970=6," - Final"," - Day "&amp;MAX(0,NETWORKDAYS($X970,TODAY(),Holidays)-1)&amp;" of "&amp;CHOOSE($W970,3,3,2,2,3))&amp;" | Total Day "&amp;MAX(0,NETWORKDAYS($L970,TODAY(),Holidays)-1))</f>
        <v/>
      </c>
      <c r="W970" s="17">
        <f>IF($L970="","",COUNT($L970:$Q970))</f>
        <v/>
      </c>
      <c r="X970" s="18">
        <f>IF($W970="","",INT(INDEX($L970:$Q970,$W970)))</f>
        <v/>
      </c>
      <c r="Y970" s="18">
        <f>IF(OR($W970="",$W970=6),"",WORKDAY($X970,CHOOSE($W970,3,3,2,2,3),Holidays))</f>
        <v/>
      </c>
      <c r="Z970" s="17">
        <f>IF(OR($W970="",$W970=6),"",CHOOSE($W970,"1st Email Follow-up","2nd Email Follow-up","Escalate Local Office","Escalate to CBE","Escalate to Roxanne"))</f>
        <v/>
      </c>
    </row>
    <row r="971" spans="18:26">
      <c r="R971" s="15"/>
      <c r="S971" s="16"/>
      <c r="T971" s="17">
        <f>IF(AND(COUNTA($A971:$K971)=0,$L971=""),"",IF($S971="Paid","PAID",IF($S971="Closed","CLOSED",IF($W971="","",IF($W971=6,"ESCALATED TO ROXANNE",IF(TODAY()&gt;$Y971,"OVERDUE",IF($Y971&lt;=WORKDAY(TODAY(),1,Holidays),"DUE TOMORROW",IF($W971=4,"ESCALATED TO LOCAL OFFICE",IF($W971=5,"ESCALATED TO CBE",IF($X971=TODAY(),"EMAIL SENT","MONITORING"))))))))))</f>
        <v/>
      </c>
      <c r="U971" s="17">
        <f>IF($T971="",IF(AND(COUNTA($A971:$K971)&gt;0,$L971=""),"Awaiting Collection Email time stamp.",""),IF(OR($T971="PAID",$T971="CLOSED"),IF($T971="PAID","Account paid. Action completed.","Account closed. No further action required."),CHOOSE($W971,"Collection Email","1st Email Follow-up","2nd Email Follow-up","Escalation to Local Office","Escalation to CBE","Escalation to Roxanne")&amp;" sent "&amp;TEXT($X971,"dd-mmm")&amp;". "&amp;IF($W971=6,"Final escalation completed.",IF($T971="OVERDUE","Next: "&amp;$Z971&amp;" was due "&amp;TEXT($Y971,"dd-mmm")&amp;" - "&amp;(NETWORKDAYS($Y971,TODAY(),Holidays)-1)&amp;" business day(s) late. Send now.",IF($T971="DUE TOMORROW","Next: "&amp;$Z971&amp;IF($Y971&lt;=TODAY()," is due TODAY ("," is due next business day (")&amp;TEXT($Y971,"dd-mmm")&amp;").","Next: "&amp;$Z971&amp;" due "&amp;TEXT($Y971,"dd-mmm")&amp;" ("&amp;(NETWORKDAYS(TODAY(),$Y971,Holidays)-1)&amp;" business day(s) left).")))))</f>
        <v/>
      </c>
      <c r="V971" s="17">
        <f>IF($W971="","",CHOOSE($W971,"Collection Email","1st Follow-up","2nd Follow-up","Local Office","CBE","Roxanne")&amp;IF($W971=6," - Final"," - Day "&amp;MAX(0,NETWORKDAYS($X971,TODAY(),Holidays)-1)&amp;" of "&amp;CHOOSE($W971,3,3,2,2,3))&amp;" | Total Day "&amp;MAX(0,NETWORKDAYS($L971,TODAY(),Holidays)-1))</f>
        <v/>
      </c>
      <c r="W971" s="17">
        <f>IF($L971="","",COUNT($L971:$Q971))</f>
        <v/>
      </c>
      <c r="X971" s="18">
        <f>IF($W971="","",INT(INDEX($L971:$Q971,$W971)))</f>
        <v/>
      </c>
      <c r="Y971" s="18">
        <f>IF(OR($W971="",$W971=6),"",WORKDAY($X971,CHOOSE($W971,3,3,2,2,3),Holidays))</f>
        <v/>
      </c>
      <c r="Z971" s="17">
        <f>IF(OR($W971="",$W971=6),"",CHOOSE($W971,"1st Email Follow-up","2nd Email Follow-up","Escalate Local Office","Escalate to CBE","Escalate to Roxanne"))</f>
        <v/>
      </c>
    </row>
    <row r="972" spans="18:26">
      <c r="R972" s="15"/>
      <c r="S972" s="16"/>
      <c r="T972" s="17">
        <f>IF(AND(COUNTA($A972:$K972)=0,$L972=""),"",IF($S972="Paid","PAID",IF($S972="Closed","CLOSED",IF($W972="","",IF($W972=6,"ESCALATED TO ROXANNE",IF(TODAY()&gt;$Y972,"OVERDUE",IF($Y972&lt;=WORKDAY(TODAY(),1,Holidays),"DUE TOMORROW",IF($W972=4,"ESCALATED TO LOCAL OFFICE",IF($W972=5,"ESCALATED TO CBE",IF($X972=TODAY(),"EMAIL SENT","MONITORING"))))))))))</f>
        <v/>
      </c>
      <c r="U972" s="17">
        <f>IF($T972="",IF(AND(COUNTA($A972:$K972)&gt;0,$L972=""),"Awaiting Collection Email time stamp.",""),IF(OR($T972="PAID",$T972="CLOSED"),IF($T972="PAID","Account paid. Action completed.","Account closed. No further action required."),CHOOSE($W972,"Collection Email","1st Email Follow-up","2nd Email Follow-up","Escalation to Local Office","Escalation to CBE","Escalation to Roxanne")&amp;" sent "&amp;TEXT($X972,"dd-mmm")&amp;". "&amp;IF($W972=6,"Final escalation completed.",IF($T972="OVERDUE","Next: "&amp;$Z972&amp;" was due "&amp;TEXT($Y972,"dd-mmm")&amp;" - "&amp;(NETWORKDAYS($Y972,TODAY(),Holidays)-1)&amp;" business day(s) late. Send now.",IF($T972="DUE TOMORROW","Next: "&amp;$Z972&amp;IF($Y972&lt;=TODAY()," is due TODAY ("," is due next business day (")&amp;TEXT($Y972,"dd-mmm")&amp;").","Next: "&amp;$Z972&amp;" due "&amp;TEXT($Y972,"dd-mmm")&amp;" ("&amp;(NETWORKDAYS(TODAY(),$Y972,Holidays)-1)&amp;" business day(s) left).")))))</f>
        <v/>
      </c>
      <c r="V972" s="17">
        <f>IF($W972="","",CHOOSE($W972,"Collection Email","1st Follow-up","2nd Follow-up","Local Office","CBE","Roxanne")&amp;IF($W972=6," - Final"," - Day "&amp;MAX(0,NETWORKDAYS($X972,TODAY(),Holidays)-1)&amp;" of "&amp;CHOOSE($W972,3,3,2,2,3))&amp;" | Total Day "&amp;MAX(0,NETWORKDAYS($L972,TODAY(),Holidays)-1))</f>
        <v/>
      </c>
      <c r="W972" s="17">
        <f>IF($L972="","",COUNT($L972:$Q972))</f>
        <v/>
      </c>
      <c r="X972" s="18">
        <f>IF($W972="","",INT(INDEX($L972:$Q972,$W972)))</f>
        <v/>
      </c>
      <c r="Y972" s="18">
        <f>IF(OR($W972="",$W972=6),"",WORKDAY($X972,CHOOSE($W972,3,3,2,2,3),Holidays))</f>
        <v/>
      </c>
      <c r="Z972" s="17">
        <f>IF(OR($W972="",$W972=6),"",CHOOSE($W972,"1st Email Follow-up","2nd Email Follow-up","Escalate Local Office","Escalate to CBE","Escalate to Roxanne"))</f>
        <v/>
      </c>
    </row>
    <row r="973" spans="18:26">
      <c r="R973" s="15"/>
      <c r="S973" s="16"/>
      <c r="T973" s="17">
        <f>IF(AND(COUNTA($A973:$K973)=0,$L973=""),"",IF($S973="Paid","PAID",IF($S973="Closed","CLOSED",IF($W973="","",IF($W973=6,"ESCALATED TO ROXANNE",IF(TODAY()&gt;$Y973,"OVERDUE",IF($Y973&lt;=WORKDAY(TODAY(),1,Holidays),"DUE TOMORROW",IF($W973=4,"ESCALATED TO LOCAL OFFICE",IF($W973=5,"ESCALATED TO CBE",IF($X973=TODAY(),"EMAIL SENT","MONITORING"))))))))))</f>
        <v/>
      </c>
      <c r="U973" s="17">
        <f>IF($T973="",IF(AND(COUNTA($A973:$K973)&gt;0,$L973=""),"Awaiting Collection Email time stamp.",""),IF(OR($T973="PAID",$T973="CLOSED"),IF($T973="PAID","Account paid. Action completed.","Account closed. No further action required."),CHOOSE($W973,"Collection Email","1st Email Follow-up","2nd Email Follow-up","Escalation to Local Office","Escalation to CBE","Escalation to Roxanne")&amp;" sent "&amp;TEXT($X973,"dd-mmm")&amp;". "&amp;IF($W973=6,"Final escalation completed.",IF($T973="OVERDUE","Next: "&amp;$Z973&amp;" was due "&amp;TEXT($Y973,"dd-mmm")&amp;" - "&amp;(NETWORKDAYS($Y973,TODAY(),Holidays)-1)&amp;" business day(s) late. Send now.",IF($T973="DUE TOMORROW","Next: "&amp;$Z973&amp;IF($Y973&lt;=TODAY()," is due TODAY ("," is due next business day (")&amp;TEXT($Y973,"dd-mmm")&amp;").","Next: "&amp;$Z973&amp;" due "&amp;TEXT($Y973,"dd-mmm")&amp;" ("&amp;(NETWORKDAYS(TODAY(),$Y973,Holidays)-1)&amp;" business day(s) left).")))))</f>
        <v/>
      </c>
      <c r="V973" s="17">
        <f>IF($W973="","",CHOOSE($W973,"Collection Email","1st Follow-up","2nd Follow-up","Local Office","CBE","Roxanne")&amp;IF($W973=6," - Final"," - Day "&amp;MAX(0,NETWORKDAYS($X973,TODAY(),Holidays)-1)&amp;" of "&amp;CHOOSE($W973,3,3,2,2,3))&amp;" | Total Day "&amp;MAX(0,NETWORKDAYS($L973,TODAY(),Holidays)-1))</f>
        <v/>
      </c>
      <c r="W973" s="17">
        <f>IF($L973="","",COUNT($L973:$Q973))</f>
        <v/>
      </c>
      <c r="X973" s="18">
        <f>IF($W973="","",INT(INDEX($L973:$Q973,$W973)))</f>
        <v/>
      </c>
      <c r="Y973" s="18">
        <f>IF(OR($W973="",$W973=6),"",WORKDAY($X973,CHOOSE($W973,3,3,2,2,3),Holidays))</f>
        <v/>
      </c>
      <c r="Z973" s="17">
        <f>IF(OR($W973="",$W973=6),"",CHOOSE($W973,"1st Email Follow-up","2nd Email Follow-up","Escalate Local Office","Escalate to CBE","Escalate to Roxanne"))</f>
        <v/>
      </c>
    </row>
    <row r="974" spans="18:26">
      <c r="R974" s="15"/>
      <c r="S974" s="16"/>
      <c r="T974" s="17">
        <f>IF(AND(COUNTA($A974:$K974)=0,$L974=""),"",IF($S974="Paid","PAID",IF($S974="Closed","CLOSED",IF($W974="","",IF($W974=6,"ESCALATED TO ROXANNE",IF(TODAY()&gt;$Y974,"OVERDUE",IF($Y974&lt;=WORKDAY(TODAY(),1,Holidays),"DUE TOMORROW",IF($W974=4,"ESCALATED TO LOCAL OFFICE",IF($W974=5,"ESCALATED TO CBE",IF($X974=TODAY(),"EMAIL SENT","MONITORING"))))))))))</f>
        <v/>
      </c>
      <c r="U974" s="17">
        <f>IF($T974="",IF(AND(COUNTA($A974:$K974)&gt;0,$L974=""),"Awaiting Collection Email time stamp.",""),IF(OR($T974="PAID",$T974="CLOSED"),IF($T974="PAID","Account paid. Action completed.","Account closed. No further action required."),CHOOSE($W974,"Collection Email","1st Email Follow-up","2nd Email Follow-up","Escalation to Local Office","Escalation to CBE","Escalation to Roxanne")&amp;" sent "&amp;TEXT($X974,"dd-mmm")&amp;". "&amp;IF($W974=6,"Final escalation completed.",IF($T974="OVERDUE","Next: "&amp;$Z974&amp;" was due "&amp;TEXT($Y974,"dd-mmm")&amp;" - "&amp;(NETWORKDAYS($Y974,TODAY(),Holidays)-1)&amp;" business day(s) late. Send now.",IF($T974="DUE TOMORROW","Next: "&amp;$Z974&amp;IF($Y974&lt;=TODAY()," is due TODAY ("," is due next business day (")&amp;TEXT($Y974,"dd-mmm")&amp;").","Next: "&amp;$Z974&amp;" due "&amp;TEXT($Y974,"dd-mmm")&amp;" ("&amp;(NETWORKDAYS(TODAY(),$Y974,Holidays)-1)&amp;" business day(s) left).")))))</f>
        <v/>
      </c>
      <c r="V974" s="17">
        <f>IF($W974="","",CHOOSE($W974,"Collection Email","1st Follow-up","2nd Follow-up","Local Office","CBE","Roxanne")&amp;IF($W974=6," - Final"," - Day "&amp;MAX(0,NETWORKDAYS($X974,TODAY(),Holidays)-1)&amp;" of "&amp;CHOOSE($W974,3,3,2,2,3))&amp;" | Total Day "&amp;MAX(0,NETWORKDAYS($L974,TODAY(),Holidays)-1))</f>
        <v/>
      </c>
      <c r="W974" s="17">
        <f>IF($L974="","",COUNT($L974:$Q974))</f>
        <v/>
      </c>
      <c r="X974" s="18">
        <f>IF($W974="","",INT(INDEX($L974:$Q974,$W974)))</f>
        <v/>
      </c>
      <c r="Y974" s="18">
        <f>IF(OR($W974="",$W974=6),"",WORKDAY($X974,CHOOSE($W974,3,3,2,2,3),Holidays))</f>
        <v/>
      </c>
      <c r="Z974" s="17">
        <f>IF(OR($W974="",$W974=6),"",CHOOSE($W974,"1st Email Follow-up","2nd Email Follow-up","Escalate Local Office","Escalate to CBE","Escalate to Roxanne"))</f>
        <v/>
      </c>
    </row>
    <row r="975" spans="18:26">
      <c r="R975" s="15"/>
      <c r="S975" s="16"/>
      <c r="T975" s="17">
        <f>IF(AND(COUNTA($A975:$K975)=0,$L975=""),"",IF($S975="Paid","PAID",IF($S975="Closed","CLOSED",IF($W975="","",IF($W975=6,"ESCALATED TO ROXANNE",IF(TODAY()&gt;$Y975,"OVERDUE",IF($Y975&lt;=WORKDAY(TODAY(),1,Holidays),"DUE TOMORROW",IF($W975=4,"ESCALATED TO LOCAL OFFICE",IF($W975=5,"ESCALATED TO CBE",IF($X975=TODAY(),"EMAIL SENT","MONITORING"))))))))))</f>
        <v/>
      </c>
      <c r="U975" s="17">
        <f>IF($T975="",IF(AND(COUNTA($A975:$K975)&gt;0,$L975=""),"Awaiting Collection Email time stamp.",""),IF(OR($T975="PAID",$T975="CLOSED"),IF($T975="PAID","Account paid. Action completed.","Account closed. No further action required."),CHOOSE($W975,"Collection Email","1st Email Follow-up","2nd Email Follow-up","Escalation to Local Office","Escalation to CBE","Escalation to Roxanne")&amp;" sent "&amp;TEXT($X975,"dd-mmm")&amp;". "&amp;IF($W975=6,"Final escalation completed.",IF($T975="OVERDUE","Next: "&amp;$Z975&amp;" was due "&amp;TEXT($Y975,"dd-mmm")&amp;" - "&amp;(NETWORKDAYS($Y975,TODAY(),Holidays)-1)&amp;" business day(s) late. Send now.",IF($T975="DUE TOMORROW","Next: "&amp;$Z975&amp;IF($Y975&lt;=TODAY()," is due TODAY ("," is due next business day (")&amp;TEXT($Y975,"dd-mmm")&amp;").","Next: "&amp;$Z975&amp;" due "&amp;TEXT($Y975,"dd-mmm")&amp;" ("&amp;(NETWORKDAYS(TODAY(),$Y975,Holidays)-1)&amp;" business day(s) left).")))))</f>
        <v/>
      </c>
      <c r="V975" s="17">
        <f>IF($W975="","",CHOOSE($W975,"Collection Email","1st Follow-up","2nd Follow-up","Local Office","CBE","Roxanne")&amp;IF($W975=6," - Final"," - Day "&amp;MAX(0,NETWORKDAYS($X975,TODAY(),Holidays)-1)&amp;" of "&amp;CHOOSE($W975,3,3,2,2,3))&amp;" | Total Day "&amp;MAX(0,NETWORKDAYS($L975,TODAY(),Holidays)-1))</f>
        <v/>
      </c>
      <c r="W975" s="17">
        <f>IF($L975="","",COUNT($L975:$Q975))</f>
        <v/>
      </c>
      <c r="X975" s="18">
        <f>IF($W975="","",INT(INDEX($L975:$Q975,$W975)))</f>
        <v/>
      </c>
      <c r="Y975" s="18">
        <f>IF(OR($W975="",$W975=6),"",WORKDAY($X975,CHOOSE($W975,3,3,2,2,3),Holidays))</f>
        <v/>
      </c>
      <c r="Z975" s="17">
        <f>IF(OR($W975="",$W975=6),"",CHOOSE($W975,"1st Email Follow-up","2nd Email Follow-up","Escalate Local Office","Escalate to CBE","Escalate to Roxanne"))</f>
        <v/>
      </c>
    </row>
    <row r="976" spans="18:26">
      <c r="R976" s="15"/>
      <c r="S976" s="16"/>
      <c r="T976" s="17">
        <f>IF(AND(COUNTA($A976:$K976)=0,$L976=""),"",IF($S976="Paid","PAID",IF($S976="Closed","CLOSED",IF($W976="","",IF($W976=6,"ESCALATED TO ROXANNE",IF(TODAY()&gt;$Y976,"OVERDUE",IF($Y976&lt;=WORKDAY(TODAY(),1,Holidays),"DUE TOMORROW",IF($W976=4,"ESCALATED TO LOCAL OFFICE",IF($W976=5,"ESCALATED TO CBE",IF($X976=TODAY(),"EMAIL SENT","MONITORING"))))))))))</f>
        <v/>
      </c>
      <c r="U976" s="17">
        <f>IF($T976="",IF(AND(COUNTA($A976:$K976)&gt;0,$L976=""),"Awaiting Collection Email time stamp.",""),IF(OR($T976="PAID",$T976="CLOSED"),IF($T976="PAID","Account paid. Action completed.","Account closed. No further action required."),CHOOSE($W976,"Collection Email","1st Email Follow-up","2nd Email Follow-up","Escalation to Local Office","Escalation to CBE","Escalation to Roxanne")&amp;" sent "&amp;TEXT($X976,"dd-mmm")&amp;". "&amp;IF($W976=6,"Final escalation completed.",IF($T976="OVERDUE","Next: "&amp;$Z976&amp;" was due "&amp;TEXT($Y976,"dd-mmm")&amp;" - "&amp;(NETWORKDAYS($Y976,TODAY(),Holidays)-1)&amp;" business day(s) late. Send now.",IF($T976="DUE TOMORROW","Next: "&amp;$Z976&amp;IF($Y976&lt;=TODAY()," is due TODAY ("," is due next business day (")&amp;TEXT($Y976,"dd-mmm")&amp;").","Next: "&amp;$Z976&amp;" due "&amp;TEXT($Y976,"dd-mmm")&amp;" ("&amp;(NETWORKDAYS(TODAY(),$Y976,Holidays)-1)&amp;" business day(s) left).")))))</f>
        <v/>
      </c>
      <c r="V976" s="17">
        <f>IF($W976="","",CHOOSE($W976,"Collection Email","1st Follow-up","2nd Follow-up","Local Office","CBE","Roxanne")&amp;IF($W976=6," - Final"," - Day "&amp;MAX(0,NETWORKDAYS($X976,TODAY(),Holidays)-1)&amp;" of "&amp;CHOOSE($W976,3,3,2,2,3))&amp;" | Total Day "&amp;MAX(0,NETWORKDAYS($L976,TODAY(),Holidays)-1))</f>
        <v/>
      </c>
      <c r="W976" s="17">
        <f>IF($L976="","",COUNT($L976:$Q976))</f>
        <v/>
      </c>
      <c r="X976" s="18">
        <f>IF($W976="","",INT(INDEX($L976:$Q976,$W976)))</f>
        <v/>
      </c>
      <c r="Y976" s="18">
        <f>IF(OR($W976="",$W976=6),"",WORKDAY($X976,CHOOSE($W976,3,3,2,2,3),Holidays))</f>
        <v/>
      </c>
      <c r="Z976" s="17">
        <f>IF(OR($W976="",$W976=6),"",CHOOSE($W976,"1st Email Follow-up","2nd Email Follow-up","Escalate Local Office","Escalate to CBE","Escalate to Roxanne"))</f>
        <v/>
      </c>
    </row>
    <row r="977" spans="18:26">
      <c r="R977" s="15"/>
      <c r="S977" s="16"/>
      <c r="T977" s="17">
        <f>IF(AND(COUNTA($A977:$K977)=0,$L977=""),"",IF($S977="Paid","PAID",IF($S977="Closed","CLOSED",IF($W977="","",IF($W977=6,"ESCALATED TO ROXANNE",IF(TODAY()&gt;$Y977,"OVERDUE",IF($Y977&lt;=WORKDAY(TODAY(),1,Holidays),"DUE TOMORROW",IF($W977=4,"ESCALATED TO LOCAL OFFICE",IF($W977=5,"ESCALATED TO CBE",IF($X977=TODAY(),"EMAIL SENT","MONITORING"))))))))))</f>
        <v/>
      </c>
      <c r="U977" s="17">
        <f>IF($T977="",IF(AND(COUNTA($A977:$K977)&gt;0,$L977=""),"Awaiting Collection Email time stamp.",""),IF(OR($T977="PAID",$T977="CLOSED"),IF($T977="PAID","Account paid. Action completed.","Account closed. No further action required."),CHOOSE($W977,"Collection Email","1st Email Follow-up","2nd Email Follow-up","Escalation to Local Office","Escalation to CBE","Escalation to Roxanne")&amp;" sent "&amp;TEXT($X977,"dd-mmm")&amp;". "&amp;IF($W977=6,"Final escalation completed.",IF($T977="OVERDUE","Next: "&amp;$Z977&amp;" was due "&amp;TEXT($Y977,"dd-mmm")&amp;" - "&amp;(NETWORKDAYS($Y977,TODAY(),Holidays)-1)&amp;" business day(s) late. Send now.",IF($T977="DUE TOMORROW","Next: "&amp;$Z977&amp;IF($Y977&lt;=TODAY()," is due TODAY ("," is due next business day (")&amp;TEXT($Y977,"dd-mmm")&amp;").","Next: "&amp;$Z977&amp;" due "&amp;TEXT($Y977,"dd-mmm")&amp;" ("&amp;(NETWORKDAYS(TODAY(),$Y977,Holidays)-1)&amp;" business day(s) left).")))))</f>
        <v/>
      </c>
      <c r="V977" s="17">
        <f>IF($W977="","",CHOOSE($W977,"Collection Email","1st Follow-up","2nd Follow-up","Local Office","CBE","Roxanne")&amp;IF($W977=6," - Final"," - Day "&amp;MAX(0,NETWORKDAYS($X977,TODAY(),Holidays)-1)&amp;" of "&amp;CHOOSE($W977,3,3,2,2,3))&amp;" | Total Day "&amp;MAX(0,NETWORKDAYS($L977,TODAY(),Holidays)-1))</f>
        <v/>
      </c>
      <c r="W977" s="17">
        <f>IF($L977="","",COUNT($L977:$Q977))</f>
        <v/>
      </c>
      <c r="X977" s="18">
        <f>IF($W977="","",INT(INDEX($L977:$Q977,$W977)))</f>
        <v/>
      </c>
      <c r="Y977" s="18">
        <f>IF(OR($W977="",$W977=6),"",WORKDAY($X977,CHOOSE($W977,3,3,2,2,3),Holidays))</f>
        <v/>
      </c>
      <c r="Z977" s="17">
        <f>IF(OR($W977="",$W977=6),"",CHOOSE($W977,"1st Email Follow-up","2nd Email Follow-up","Escalate Local Office","Escalate to CBE","Escalate to Roxanne"))</f>
        <v/>
      </c>
    </row>
    <row r="978" spans="18:26">
      <c r="R978" s="15"/>
      <c r="S978" s="16"/>
      <c r="T978" s="17">
        <f>IF(AND(COUNTA($A978:$K978)=0,$L978=""),"",IF($S978="Paid","PAID",IF($S978="Closed","CLOSED",IF($W978="","",IF($W978=6,"ESCALATED TO ROXANNE",IF(TODAY()&gt;$Y978,"OVERDUE",IF($Y978&lt;=WORKDAY(TODAY(),1,Holidays),"DUE TOMORROW",IF($W978=4,"ESCALATED TO LOCAL OFFICE",IF($W978=5,"ESCALATED TO CBE",IF($X978=TODAY(),"EMAIL SENT","MONITORING"))))))))))</f>
        <v/>
      </c>
      <c r="U978" s="17">
        <f>IF($T978="",IF(AND(COUNTA($A978:$K978)&gt;0,$L978=""),"Awaiting Collection Email time stamp.",""),IF(OR($T978="PAID",$T978="CLOSED"),IF($T978="PAID","Account paid. Action completed.","Account closed. No further action required."),CHOOSE($W978,"Collection Email","1st Email Follow-up","2nd Email Follow-up","Escalation to Local Office","Escalation to CBE","Escalation to Roxanne")&amp;" sent "&amp;TEXT($X978,"dd-mmm")&amp;". "&amp;IF($W978=6,"Final escalation completed.",IF($T978="OVERDUE","Next: "&amp;$Z978&amp;" was due "&amp;TEXT($Y978,"dd-mmm")&amp;" - "&amp;(NETWORKDAYS($Y978,TODAY(),Holidays)-1)&amp;" business day(s) late. Send now.",IF($T978="DUE TOMORROW","Next: "&amp;$Z978&amp;IF($Y978&lt;=TODAY()," is due TODAY ("," is due next business day (")&amp;TEXT($Y978,"dd-mmm")&amp;").","Next: "&amp;$Z978&amp;" due "&amp;TEXT($Y978,"dd-mmm")&amp;" ("&amp;(NETWORKDAYS(TODAY(),$Y978,Holidays)-1)&amp;" business day(s) left).")))))</f>
        <v/>
      </c>
      <c r="V978" s="17">
        <f>IF($W978="","",CHOOSE($W978,"Collection Email","1st Follow-up","2nd Follow-up","Local Office","CBE","Roxanne")&amp;IF($W978=6," - Final"," - Day "&amp;MAX(0,NETWORKDAYS($X978,TODAY(),Holidays)-1)&amp;" of "&amp;CHOOSE($W978,3,3,2,2,3))&amp;" | Total Day "&amp;MAX(0,NETWORKDAYS($L978,TODAY(),Holidays)-1))</f>
        <v/>
      </c>
      <c r="W978" s="17">
        <f>IF($L978="","",COUNT($L978:$Q978))</f>
        <v/>
      </c>
      <c r="X978" s="18">
        <f>IF($W978="","",INT(INDEX($L978:$Q978,$W978)))</f>
        <v/>
      </c>
      <c r="Y978" s="18">
        <f>IF(OR($W978="",$W978=6),"",WORKDAY($X978,CHOOSE($W978,3,3,2,2,3),Holidays))</f>
        <v/>
      </c>
      <c r="Z978" s="17">
        <f>IF(OR($W978="",$W978=6),"",CHOOSE($W978,"1st Email Follow-up","2nd Email Follow-up","Escalate Local Office","Escalate to CBE","Escalate to Roxanne"))</f>
        <v/>
      </c>
    </row>
    <row r="979" spans="18:26">
      <c r="R979" s="15"/>
      <c r="S979" s="16"/>
      <c r="T979" s="17">
        <f>IF(AND(COUNTA($A979:$K979)=0,$L979=""),"",IF($S979="Paid","PAID",IF($S979="Closed","CLOSED",IF($W979="","",IF($W979=6,"ESCALATED TO ROXANNE",IF(TODAY()&gt;$Y979,"OVERDUE",IF($Y979&lt;=WORKDAY(TODAY(),1,Holidays),"DUE TOMORROW",IF($W979=4,"ESCALATED TO LOCAL OFFICE",IF($W979=5,"ESCALATED TO CBE",IF($X979=TODAY(),"EMAIL SENT","MONITORING"))))))))))</f>
        <v/>
      </c>
      <c r="U979" s="17">
        <f>IF($T979="",IF(AND(COUNTA($A979:$K979)&gt;0,$L979=""),"Awaiting Collection Email time stamp.",""),IF(OR($T979="PAID",$T979="CLOSED"),IF($T979="PAID","Account paid. Action completed.","Account closed. No further action required."),CHOOSE($W979,"Collection Email","1st Email Follow-up","2nd Email Follow-up","Escalation to Local Office","Escalation to CBE","Escalation to Roxanne")&amp;" sent "&amp;TEXT($X979,"dd-mmm")&amp;". "&amp;IF($W979=6,"Final escalation completed.",IF($T979="OVERDUE","Next: "&amp;$Z979&amp;" was due "&amp;TEXT($Y979,"dd-mmm")&amp;" - "&amp;(NETWORKDAYS($Y979,TODAY(),Holidays)-1)&amp;" business day(s) late. Send now.",IF($T979="DUE TOMORROW","Next: "&amp;$Z979&amp;IF($Y979&lt;=TODAY()," is due TODAY ("," is due next business day (")&amp;TEXT($Y979,"dd-mmm")&amp;").","Next: "&amp;$Z979&amp;" due "&amp;TEXT($Y979,"dd-mmm")&amp;" ("&amp;(NETWORKDAYS(TODAY(),$Y979,Holidays)-1)&amp;" business day(s) left).")))))</f>
        <v/>
      </c>
      <c r="V979" s="17">
        <f>IF($W979="","",CHOOSE($W979,"Collection Email","1st Follow-up","2nd Follow-up","Local Office","CBE","Roxanne")&amp;IF($W979=6," - Final"," - Day "&amp;MAX(0,NETWORKDAYS($X979,TODAY(),Holidays)-1)&amp;" of "&amp;CHOOSE($W979,3,3,2,2,3))&amp;" | Total Day "&amp;MAX(0,NETWORKDAYS($L979,TODAY(),Holidays)-1))</f>
        <v/>
      </c>
      <c r="W979" s="17">
        <f>IF($L979="","",COUNT($L979:$Q979))</f>
        <v/>
      </c>
      <c r="X979" s="18">
        <f>IF($W979="","",INT(INDEX($L979:$Q979,$W979)))</f>
        <v/>
      </c>
      <c r="Y979" s="18">
        <f>IF(OR($W979="",$W979=6),"",WORKDAY($X979,CHOOSE($W979,3,3,2,2,3),Holidays))</f>
        <v/>
      </c>
      <c r="Z979" s="17">
        <f>IF(OR($W979="",$W979=6),"",CHOOSE($W979,"1st Email Follow-up","2nd Email Follow-up","Escalate Local Office","Escalate to CBE","Escalate to Roxanne"))</f>
        <v/>
      </c>
    </row>
    <row r="980" spans="18:26">
      <c r="R980" s="15"/>
      <c r="S980" s="16"/>
      <c r="T980" s="17">
        <f>IF(AND(COUNTA($A980:$K980)=0,$L980=""),"",IF($S980="Paid","PAID",IF($S980="Closed","CLOSED",IF($W980="","",IF($W980=6,"ESCALATED TO ROXANNE",IF(TODAY()&gt;$Y980,"OVERDUE",IF($Y980&lt;=WORKDAY(TODAY(),1,Holidays),"DUE TOMORROW",IF($W980=4,"ESCALATED TO LOCAL OFFICE",IF($W980=5,"ESCALATED TO CBE",IF($X980=TODAY(),"EMAIL SENT","MONITORING"))))))))))</f>
        <v/>
      </c>
      <c r="U980" s="17">
        <f>IF($T980="",IF(AND(COUNTA($A980:$K980)&gt;0,$L980=""),"Awaiting Collection Email time stamp.",""),IF(OR($T980="PAID",$T980="CLOSED"),IF($T980="PAID","Account paid. Action completed.","Account closed. No further action required."),CHOOSE($W980,"Collection Email","1st Email Follow-up","2nd Email Follow-up","Escalation to Local Office","Escalation to CBE","Escalation to Roxanne")&amp;" sent "&amp;TEXT($X980,"dd-mmm")&amp;". "&amp;IF($W980=6,"Final escalation completed.",IF($T980="OVERDUE","Next: "&amp;$Z980&amp;" was due "&amp;TEXT($Y980,"dd-mmm")&amp;" - "&amp;(NETWORKDAYS($Y980,TODAY(),Holidays)-1)&amp;" business day(s) late. Send now.",IF($T980="DUE TOMORROW","Next: "&amp;$Z980&amp;IF($Y980&lt;=TODAY()," is due TODAY ("," is due next business day (")&amp;TEXT($Y980,"dd-mmm")&amp;").","Next: "&amp;$Z980&amp;" due "&amp;TEXT($Y980,"dd-mmm")&amp;" ("&amp;(NETWORKDAYS(TODAY(),$Y980,Holidays)-1)&amp;" business day(s) left).")))))</f>
        <v/>
      </c>
      <c r="V980" s="17">
        <f>IF($W980="","",CHOOSE($W980,"Collection Email","1st Follow-up","2nd Follow-up","Local Office","CBE","Roxanne")&amp;IF($W980=6," - Final"," - Day "&amp;MAX(0,NETWORKDAYS($X980,TODAY(),Holidays)-1)&amp;" of "&amp;CHOOSE($W980,3,3,2,2,3))&amp;" | Total Day "&amp;MAX(0,NETWORKDAYS($L980,TODAY(),Holidays)-1))</f>
        <v/>
      </c>
      <c r="W980" s="17">
        <f>IF($L980="","",COUNT($L980:$Q980))</f>
        <v/>
      </c>
      <c r="X980" s="18">
        <f>IF($W980="","",INT(INDEX($L980:$Q980,$W980)))</f>
        <v/>
      </c>
      <c r="Y980" s="18">
        <f>IF(OR($W980="",$W980=6),"",WORKDAY($X980,CHOOSE($W980,3,3,2,2,3),Holidays))</f>
        <v/>
      </c>
      <c r="Z980" s="17">
        <f>IF(OR($W980="",$W980=6),"",CHOOSE($W980,"1st Email Follow-up","2nd Email Follow-up","Escalate Local Office","Escalate to CBE","Escalate to Roxanne"))</f>
        <v/>
      </c>
    </row>
    <row r="981" spans="18:26">
      <c r="R981" s="15"/>
      <c r="S981" s="16"/>
      <c r="T981" s="17">
        <f>IF(AND(COUNTA($A981:$K981)=0,$L981=""),"",IF($S981="Paid","PAID",IF($S981="Closed","CLOSED",IF($W981="","",IF($W981=6,"ESCALATED TO ROXANNE",IF(TODAY()&gt;$Y981,"OVERDUE",IF($Y981&lt;=WORKDAY(TODAY(),1,Holidays),"DUE TOMORROW",IF($W981=4,"ESCALATED TO LOCAL OFFICE",IF($W981=5,"ESCALATED TO CBE",IF($X981=TODAY(),"EMAIL SENT","MONITORING"))))))))))</f>
        <v/>
      </c>
      <c r="U981" s="17">
        <f>IF($T981="",IF(AND(COUNTA($A981:$K981)&gt;0,$L981=""),"Awaiting Collection Email time stamp.",""),IF(OR($T981="PAID",$T981="CLOSED"),IF($T981="PAID","Account paid. Action completed.","Account closed. No further action required."),CHOOSE($W981,"Collection Email","1st Email Follow-up","2nd Email Follow-up","Escalation to Local Office","Escalation to CBE","Escalation to Roxanne")&amp;" sent "&amp;TEXT($X981,"dd-mmm")&amp;". "&amp;IF($W981=6,"Final escalation completed.",IF($T981="OVERDUE","Next: "&amp;$Z981&amp;" was due "&amp;TEXT($Y981,"dd-mmm")&amp;" - "&amp;(NETWORKDAYS($Y981,TODAY(),Holidays)-1)&amp;" business day(s) late. Send now.",IF($T981="DUE TOMORROW","Next: "&amp;$Z981&amp;IF($Y981&lt;=TODAY()," is due TODAY ("," is due next business day (")&amp;TEXT($Y981,"dd-mmm")&amp;").","Next: "&amp;$Z981&amp;" due "&amp;TEXT($Y981,"dd-mmm")&amp;" ("&amp;(NETWORKDAYS(TODAY(),$Y981,Holidays)-1)&amp;" business day(s) left).")))))</f>
        <v/>
      </c>
      <c r="V981" s="17">
        <f>IF($W981="","",CHOOSE($W981,"Collection Email","1st Follow-up","2nd Follow-up","Local Office","CBE","Roxanne")&amp;IF($W981=6," - Final"," - Day "&amp;MAX(0,NETWORKDAYS($X981,TODAY(),Holidays)-1)&amp;" of "&amp;CHOOSE($W981,3,3,2,2,3))&amp;" | Total Day "&amp;MAX(0,NETWORKDAYS($L981,TODAY(),Holidays)-1))</f>
        <v/>
      </c>
      <c r="W981" s="17">
        <f>IF($L981="","",COUNT($L981:$Q981))</f>
        <v/>
      </c>
      <c r="X981" s="18">
        <f>IF($W981="","",INT(INDEX($L981:$Q981,$W981)))</f>
        <v/>
      </c>
      <c r="Y981" s="18">
        <f>IF(OR($W981="",$W981=6),"",WORKDAY($X981,CHOOSE($W981,3,3,2,2,3),Holidays))</f>
        <v/>
      </c>
      <c r="Z981" s="17">
        <f>IF(OR($W981="",$W981=6),"",CHOOSE($W981,"1st Email Follow-up","2nd Email Follow-up","Escalate Local Office","Escalate to CBE","Escalate to Roxanne"))</f>
        <v/>
      </c>
    </row>
    <row r="982" spans="18:26">
      <c r="R982" s="15"/>
      <c r="S982" s="16"/>
      <c r="T982" s="17">
        <f>IF(AND(COUNTA($A982:$K982)=0,$L982=""),"",IF($S982="Paid","PAID",IF($S982="Closed","CLOSED",IF($W982="","",IF($W982=6,"ESCALATED TO ROXANNE",IF(TODAY()&gt;$Y982,"OVERDUE",IF($Y982&lt;=WORKDAY(TODAY(),1,Holidays),"DUE TOMORROW",IF($W982=4,"ESCALATED TO LOCAL OFFICE",IF($W982=5,"ESCALATED TO CBE",IF($X982=TODAY(),"EMAIL SENT","MONITORING"))))))))))</f>
        <v/>
      </c>
      <c r="U982" s="17">
        <f>IF($T982="",IF(AND(COUNTA($A982:$K982)&gt;0,$L982=""),"Awaiting Collection Email time stamp.",""),IF(OR($T982="PAID",$T982="CLOSED"),IF($T982="PAID","Account paid. Action completed.","Account closed. No further action required."),CHOOSE($W982,"Collection Email","1st Email Follow-up","2nd Email Follow-up","Escalation to Local Office","Escalation to CBE","Escalation to Roxanne")&amp;" sent "&amp;TEXT($X982,"dd-mmm")&amp;". "&amp;IF($W982=6,"Final escalation completed.",IF($T982="OVERDUE","Next: "&amp;$Z982&amp;" was due "&amp;TEXT($Y982,"dd-mmm")&amp;" - "&amp;(NETWORKDAYS($Y982,TODAY(),Holidays)-1)&amp;" business day(s) late. Send now.",IF($T982="DUE TOMORROW","Next: "&amp;$Z982&amp;IF($Y982&lt;=TODAY()," is due TODAY ("," is due next business day (")&amp;TEXT($Y982,"dd-mmm")&amp;").","Next: "&amp;$Z982&amp;" due "&amp;TEXT($Y982,"dd-mmm")&amp;" ("&amp;(NETWORKDAYS(TODAY(),$Y982,Holidays)-1)&amp;" business day(s) left).")))))</f>
        <v/>
      </c>
      <c r="V982" s="17">
        <f>IF($W982="","",CHOOSE($W982,"Collection Email","1st Follow-up","2nd Follow-up","Local Office","CBE","Roxanne")&amp;IF($W982=6," - Final"," - Day "&amp;MAX(0,NETWORKDAYS($X982,TODAY(),Holidays)-1)&amp;" of "&amp;CHOOSE($W982,3,3,2,2,3))&amp;" | Total Day "&amp;MAX(0,NETWORKDAYS($L982,TODAY(),Holidays)-1))</f>
        <v/>
      </c>
      <c r="W982" s="17">
        <f>IF($L982="","",COUNT($L982:$Q982))</f>
        <v/>
      </c>
      <c r="X982" s="18">
        <f>IF($W982="","",INT(INDEX($L982:$Q982,$W982)))</f>
        <v/>
      </c>
      <c r="Y982" s="18">
        <f>IF(OR($W982="",$W982=6),"",WORKDAY($X982,CHOOSE($W982,3,3,2,2,3),Holidays))</f>
        <v/>
      </c>
      <c r="Z982" s="17">
        <f>IF(OR($W982="",$W982=6),"",CHOOSE($W982,"1st Email Follow-up","2nd Email Follow-up","Escalate Local Office","Escalate to CBE","Escalate to Roxanne"))</f>
        <v/>
      </c>
    </row>
    <row r="983" spans="18:26">
      <c r="R983" s="15"/>
      <c r="S983" s="16"/>
      <c r="T983" s="17">
        <f>IF(AND(COUNTA($A983:$K983)=0,$L983=""),"",IF($S983="Paid","PAID",IF($S983="Closed","CLOSED",IF($W983="","",IF($W983=6,"ESCALATED TO ROXANNE",IF(TODAY()&gt;$Y983,"OVERDUE",IF($Y983&lt;=WORKDAY(TODAY(),1,Holidays),"DUE TOMORROW",IF($W983=4,"ESCALATED TO LOCAL OFFICE",IF($W983=5,"ESCALATED TO CBE",IF($X983=TODAY(),"EMAIL SENT","MONITORING"))))))))))</f>
        <v/>
      </c>
      <c r="U983" s="17">
        <f>IF($T983="",IF(AND(COUNTA($A983:$K983)&gt;0,$L983=""),"Awaiting Collection Email time stamp.",""),IF(OR($T983="PAID",$T983="CLOSED"),IF($T983="PAID","Account paid. Action completed.","Account closed. No further action required."),CHOOSE($W983,"Collection Email","1st Email Follow-up","2nd Email Follow-up","Escalation to Local Office","Escalation to CBE","Escalation to Roxanne")&amp;" sent "&amp;TEXT($X983,"dd-mmm")&amp;". "&amp;IF($W983=6,"Final escalation completed.",IF($T983="OVERDUE","Next: "&amp;$Z983&amp;" was due "&amp;TEXT($Y983,"dd-mmm")&amp;" - "&amp;(NETWORKDAYS($Y983,TODAY(),Holidays)-1)&amp;" business day(s) late. Send now.",IF($T983="DUE TOMORROW","Next: "&amp;$Z983&amp;IF($Y983&lt;=TODAY()," is due TODAY ("," is due next business day (")&amp;TEXT($Y983,"dd-mmm")&amp;").","Next: "&amp;$Z983&amp;" due "&amp;TEXT($Y983,"dd-mmm")&amp;" ("&amp;(NETWORKDAYS(TODAY(),$Y983,Holidays)-1)&amp;" business day(s) left).")))))</f>
        <v/>
      </c>
      <c r="V983" s="17">
        <f>IF($W983="","",CHOOSE($W983,"Collection Email","1st Follow-up","2nd Follow-up","Local Office","CBE","Roxanne")&amp;IF($W983=6," - Final"," - Day "&amp;MAX(0,NETWORKDAYS($X983,TODAY(),Holidays)-1)&amp;" of "&amp;CHOOSE($W983,3,3,2,2,3))&amp;" | Total Day "&amp;MAX(0,NETWORKDAYS($L983,TODAY(),Holidays)-1))</f>
        <v/>
      </c>
      <c r="W983" s="17">
        <f>IF($L983="","",COUNT($L983:$Q983))</f>
        <v/>
      </c>
      <c r="X983" s="18">
        <f>IF($W983="","",INT(INDEX($L983:$Q983,$W983)))</f>
        <v/>
      </c>
      <c r="Y983" s="18">
        <f>IF(OR($W983="",$W983=6),"",WORKDAY($X983,CHOOSE($W983,3,3,2,2,3),Holidays))</f>
        <v/>
      </c>
      <c r="Z983" s="17">
        <f>IF(OR($W983="",$W983=6),"",CHOOSE($W983,"1st Email Follow-up","2nd Email Follow-up","Escalate Local Office","Escalate to CBE","Escalate to Roxanne"))</f>
        <v/>
      </c>
    </row>
    <row r="984" spans="18:26">
      <c r="R984" s="15"/>
      <c r="S984" s="16"/>
      <c r="T984" s="17">
        <f>IF(AND(COUNTA($A984:$K984)=0,$L984=""),"",IF($S984="Paid","PAID",IF($S984="Closed","CLOSED",IF($W984="","",IF($W984=6,"ESCALATED TO ROXANNE",IF(TODAY()&gt;$Y984,"OVERDUE",IF($Y984&lt;=WORKDAY(TODAY(),1,Holidays),"DUE TOMORROW",IF($W984=4,"ESCALATED TO LOCAL OFFICE",IF($W984=5,"ESCALATED TO CBE",IF($X984=TODAY(),"EMAIL SENT","MONITORING"))))))))))</f>
        <v/>
      </c>
      <c r="U984" s="17">
        <f>IF($T984="",IF(AND(COUNTA($A984:$K984)&gt;0,$L984=""),"Awaiting Collection Email time stamp.",""),IF(OR($T984="PAID",$T984="CLOSED"),IF($T984="PAID","Account paid. Action completed.","Account closed. No further action required."),CHOOSE($W984,"Collection Email","1st Email Follow-up","2nd Email Follow-up","Escalation to Local Office","Escalation to CBE","Escalation to Roxanne")&amp;" sent "&amp;TEXT($X984,"dd-mmm")&amp;". "&amp;IF($W984=6,"Final escalation completed.",IF($T984="OVERDUE","Next: "&amp;$Z984&amp;" was due "&amp;TEXT($Y984,"dd-mmm")&amp;" - "&amp;(NETWORKDAYS($Y984,TODAY(),Holidays)-1)&amp;" business day(s) late. Send now.",IF($T984="DUE TOMORROW","Next: "&amp;$Z984&amp;IF($Y984&lt;=TODAY()," is due TODAY ("," is due next business day (")&amp;TEXT($Y984,"dd-mmm")&amp;").","Next: "&amp;$Z984&amp;" due "&amp;TEXT($Y984,"dd-mmm")&amp;" ("&amp;(NETWORKDAYS(TODAY(),$Y984,Holidays)-1)&amp;" business day(s) left).")))))</f>
        <v/>
      </c>
      <c r="V984" s="17">
        <f>IF($W984="","",CHOOSE($W984,"Collection Email","1st Follow-up","2nd Follow-up","Local Office","CBE","Roxanne")&amp;IF($W984=6," - Final"," - Day "&amp;MAX(0,NETWORKDAYS($X984,TODAY(),Holidays)-1)&amp;" of "&amp;CHOOSE($W984,3,3,2,2,3))&amp;" | Total Day "&amp;MAX(0,NETWORKDAYS($L984,TODAY(),Holidays)-1))</f>
        <v/>
      </c>
      <c r="W984" s="17">
        <f>IF($L984="","",COUNT($L984:$Q984))</f>
        <v/>
      </c>
      <c r="X984" s="18">
        <f>IF($W984="","",INT(INDEX($L984:$Q984,$W984)))</f>
        <v/>
      </c>
      <c r="Y984" s="18">
        <f>IF(OR($W984="",$W984=6),"",WORKDAY($X984,CHOOSE($W984,3,3,2,2,3),Holidays))</f>
        <v/>
      </c>
      <c r="Z984" s="17">
        <f>IF(OR($W984="",$W984=6),"",CHOOSE($W984,"1st Email Follow-up","2nd Email Follow-up","Escalate Local Office","Escalate to CBE","Escalate to Roxanne"))</f>
        <v/>
      </c>
    </row>
    <row r="985" spans="18:26">
      <c r="R985" s="15"/>
      <c r="S985" s="16"/>
      <c r="T985" s="17">
        <f>IF(AND(COUNTA($A985:$K985)=0,$L985=""),"",IF($S985="Paid","PAID",IF($S985="Closed","CLOSED",IF($W985="","",IF($W985=6,"ESCALATED TO ROXANNE",IF(TODAY()&gt;$Y985,"OVERDUE",IF($Y985&lt;=WORKDAY(TODAY(),1,Holidays),"DUE TOMORROW",IF($W985=4,"ESCALATED TO LOCAL OFFICE",IF($W985=5,"ESCALATED TO CBE",IF($X985=TODAY(),"EMAIL SENT","MONITORING"))))))))))</f>
        <v/>
      </c>
      <c r="U985" s="17">
        <f>IF($T985="",IF(AND(COUNTA($A985:$K985)&gt;0,$L985=""),"Awaiting Collection Email time stamp.",""),IF(OR($T985="PAID",$T985="CLOSED"),IF($T985="PAID","Account paid. Action completed.","Account closed. No further action required."),CHOOSE($W985,"Collection Email","1st Email Follow-up","2nd Email Follow-up","Escalation to Local Office","Escalation to CBE","Escalation to Roxanne")&amp;" sent "&amp;TEXT($X985,"dd-mmm")&amp;". "&amp;IF($W985=6,"Final escalation completed.",IF($T985="OVERDUE","Next: "&amp;$Z985&amp;" was due "&amp;TEXT($Y985,"dd-mmm")&amp;" - "&amp;(NETWORKDAYS($Y985,TODAY(),Holidays)-1)&amp;" business day(s) late. Send now.",IF($T985="DUE TOMORROW","Next: "&amp;$Z985&amp;IF($Y985&lt;=TODAY()," is due TODAY ("," is due next business day (")&amp;TEXT($Y985,"dd-mmm")&amp;").","Next: "&amp;$Z985&amp;" due "&amp;TEXT($Y985,"dd-mmm")&amp;" ("&amp;(NETWORKDAYS(TODAY(),$Y985,Holidays)-1)&amp;" business day(s) left).")))))</f>
        <v/>
      </c>
      <c r="V985" s="17">
        <f>IF($W985="","",CHOOSE($W985,"Collection Email","1st Follow-up","2nd Follow-up","Local Office","CBE","Roxanne")&amp;IF($W985=6," - Final"," - Day "&amp;MAX(0,NETWORKDAYS($X985,TODAY(),Holidays)-1)&amp;" of "&amp;CHOOSE($W985,3,3,2,2,3))&amp;" | Total Day "&amp;MAX(0,NETWORKDAYS($L985,TODAY(),Holidays)-1))</f>
        <v/>
      </c>
      <c r="W985" s="17">
        <f>IF($L985="","",COUNT($L985:$Q985))</f>
        <v/>
      </c>
      <c r="X985" s="18">
        <f>IF($W985="","",INT(INDEX($L985:$Q985,$W985)))</f>
        <v/>
      </c>
      <c r="Y985" s="18">
        <f>IF(OR($W985="",$W985=6),"",WORKDAY($X985,CHOOSE($W985,3,3,2,2,3),Holidays))</f>
        <v/>
      </c>
      <c r="Z985" s="17">
        <f>IF(OR($W985="",$W985=6),"",CHOOSE($W985,"1st Email Follow-up","2nd Email Follow-up","Escalate Local Office","Escalate to CBE","Escalate to Roxanne"))</f>
        <v/>
      </c>
    </row>
    <row r="986" spans="18:26">
      <c r="R986" s="15"/>
      <c r="S986" s="16"/>
      <c r="T986" s="17">
        <f>IF(AND(COUNTA($A986:$K986)=0,$L986=""),"",IF($S986="Paid","PAID",IF($S986="Closed","CLOSED",IF($W986="","",IF($W986=6,"ESCALATED TO ROXANNE",IF(TODAY()&gt;$Y986,"OVERDUE",IF($Y986&lt;=WORKDAY(TODAY(),1,Holidays),"DUE TOMORROW",IF($W986=4,"ESCALATED TO LOCAL OFFICE",IF($W986=5,"ESCALATED TO CBE",IF($X986=TODAY(),"EMAIL SENT","MONITORING"))))))))))</f>
        <v/>
      </c>
      <c r="U986" s="17">
        <f>IF($T986="",IF(AND(COUNTA($A986:$K986)&gt;0,$L986=""),"Awaiting Collection Email time stamp.",""),IF(OR($T986="PAID",$T986="CLOSED"),IF($T986="PAID","Account paid. Action completed.","Account closed. No further action required."),CHOOSE($W986,"Collection Email","1st Email Follow-up","2nd Email Follow-up","Escalation to Local Office","Escalation to CBE","Escalation to Roxanne")&amp;" sent "&amp;TEXT($X986,"dd-mmm")&amp;". "&amp;IF($W986=6,"Final escalation completed.",IF($T986="OVERDUE","Next: "&amp;$Z986&amp;" was due "&amp;TEXT($Y986,"dd-mmm")&amp;" - "&amp;(NETWORKDAYS($Y986,TODAY(),Holidays)-1)&amp;" business day(s) late. Send now.",IF($T986="DUE TOMORROW","Next: "&amp;$Z986&amp;IF($Y986&lt;=TODAY()," is due TODAY ("," is due next business day (")&amp;TEXT($Y986,"dd-mmm")&amp;").","Next: "&amp;$Z986&amp;" due "&amp;TEXT($Y986,"dd-mmm")&amp;" ("&amp;(NETWORKDAYS(TODAY(),$Y986,Holidays)-1)&amp;" business day(s) left).")))))</f>
        <v/>
      </c>
      <c r="V986" s="17">
        <f>IF($W986="","",CHOOSE($W986,"Collection Email","1st Follow-up","2nd Follow-up","Local Office","CBE","Roxanne")&amp;IF($W986=6," - Final"," - Day "&amp;MAX(0,NETWORKDAYS($X986,TODAY(),Holidays)-1)&amp;" of "&amp;CHOOSE($W986,3,3,2,2,3))&amp;" | Total Day "&amp;MAX(0,NETWORKDAYS($L986,TODAY(),Holidays)-1))</f>
        <v/>
      </c>
      <c r="W986" s="17">
        <f>IF($L986="","",COUNT($L986:$Q986))</f>
        <v/>
      </c>
      <c r="X986" s="18">
        <f>IF($W986="","",INT(INDEX($L986:$Q986,$W986)))</f>
        <v/>
      </c>
      <c r="Y986" s="18">
        <f>IF(OR($W986="",$W986=6),"",WORKDAY($X986,CHOOSE($W986,3,3,2,2,3),Holidays))</f>
        <v/>
      </c>
      <c r="Z986" s="17">
        <f>IF(OR($W986="",$W986=6),"",CHOOSE($W986,"1st Email Follow-up","2nd Email Follow-up","Escalate Local Office","Escalate to CBE","Escalate to Roxanne"))</f>
        <v/>
      </c>
    </row>
    <row r="987" spans="18:26">
      <c r="R987" s="15"/>
      <c r="S987" s="16"/>
      <c r="T987" s="17">
        <f>IF(AND(COUNTA($A987:$K987)=0,$L987=""),"",IF($S987="Paid","PAID",IF($S987="Closed","CLOSED",IF($W987="","",IF($W987=6,"ESCALATED TO ROXANNE",IF(TODAY()&gt;$Y987,"OVERDUE",IF($Y987&lt;=WORKDAY(TODAY(),1,Holidays),"DUE TOMORROW",IF($W987=4,"ESCALATED TO LOCAL OFFICE",IF($W987=5,"ESCALATED TO CBE",IF($X987=TODAY(),"EMAIL SENT","MONITORING"))))))))))</f>
        <v/>
      </c>
      <c r="U987" s="17">
        <f>IF($T987="",IF(AND(COUNTA($A987:$K987)&gt;0,$L987=""),"Awaiting Collection Email time stamp.",""),IF(OR($T987="PAID",$T987="CLOSED"),IF($T987="PAID","Account paid. Action completed.","Account closed. No further action required."),CHOOSE($W987,"Collection Email","1st Email Follow-up","2nd Email Follow-up","Escalation to Local Office","Escalation to CBE","Escalation to Roxanne")&amp;" sent "&amp;TEXT($X987,"dd-mmm")&amp;". "&amp;IF($W987=6,"Final escalation completed.",IF($T987="OVERDUE","Next: "&amp;$Z987&amp;" was due "&amp;TEXT($Y987,"dd-mmm")&amp;" - "&amp;(NETWORKDAYS($Y987,TODAY(),Holidays)-1)&amp;" business day(s) late. Send now.",IF($T987="DUE TOMORROW","Next: "&amp;$Z987&amp;IF($Y987&lt;=TODAY()," is due TODAY ("," is due next business day (")&amp;TEXT($Y987,"dd-mmm")&amp;").","Next: "&amp;$Z987&amp;" due "&amp;TEXT($Y987,"dd-mmm")&amp;" ("&amp;(NETWORKDAYS(TODAY(),$Y987,Holidays)-1)&amp;" business day(s) left).")))))</f>
        <v/>
      </c>
      <c r="V987" s="17">
        <f>IF($W987="","",CHOOSE($W987,"Collection Email","1st Follow-up","2nd Follow-up","Local Office","CBE","Roxanne")&amp;IF($W987=6," - Final"," - Day "&amp;MAX(0,NETWORKDAYS($X987,TODAY(),Holidays)-1)&amp;" of "&amp;CHOOSE($W987,3,3,2,2,3))&amp;" | Total Day "&amp;MAX(0,NETWORKDAYS($L987,TODAY(),Holidays)-1))</f>
        <v/>
      </c>
      <c r="W987" s="17">
        <f>IF($L987="","",COUNT($L987:$Q987))</f>
        <v/>
      </c>
      <c r="X987" s="18">
        <f>IF($W987="","",INT(INDEX($L987:$Q987,$W987)))</f>
        <v/>
      </c>
      <c r="Y987" s="18">
        <f>IF(OR($W987="",$W987=6),"",WORKDAY($X987,CHOOSE($W987,3,3,2,2,3),Holidays))</f>
        <v/>
      </c>
      <c r="Z987" s="17">
        <f>IF(OR($W987="",$W987=6),"",CHOOSE($W987,"1st Email Follow-up","2nd Email Follow-up","Escalate Local Office","Escalate to CBE","Escalate to Roxanne"))</f>
        <v/>
      </c>
    </row>
    <row r="988" spans="18:26">
      <c r="R988" s="15"/>
      <c r="S988" s="16"/>
      <c r="T988" s="17">
        <f>IF(AND(COUNTA($A988:$K988)=0,$L988=""),"",IF($S988="Paid","PAID",IF($S988="Closed","CLOSED",IF($W988="","",IF($W988=6,"ESCALATED TO ROXANNE",IF(TODAY()&gt;$Y988,"OVERDUE",IF($Y988&lt;=WORKDAY(TODAY(),1,Holidays),"DUE TOMORROW",IF($W988=4,"ESCALATED TO LOCAL OFFICE",IF($W988=5,"ESCALATED TO CBE",IF($X988=TODAY(),"EMAIL SENT","MONITORING"))))))))))</f>
        <v/>
      </c>
      <c r="U988" s="17">
        <f>IF($T988="",IF(AND(COUNTA($A988:$K988)&gt;0,$L988=""),"Awaiting Collection Email time stamp.",""),IF(OR($T988="PAID",$T988="CLOSED"),IF($T988="PAID","Account paid. Action completed.","Account closed. No further action required."),CHOOSE($W988,"Collection Email","1st Email Follow-up","2nd Email Follow-up","Escalation to Local Office","Escalation to CBE","Escalation to Roxanne")&amp;" sent "&amp;TEXT($X988,"dd-mmm")&amp;". "&amp;IF($W988=6,"Final escalation completed.",IF($T988="OVERDUE","Next: "&amp;$Z988&amp;" was due "&amp;TEXT($Y988,"dd-mmm")&amp;" - "&amp;(NETWORKDAYS($Y988,TODAY(),Holidays)-1)&amp;" business day(s) late. Send now.",IF($T988="DUE TOMORROW","Next: "&amp;$Z988&amp;IF($Y988&lt;=TODAY()," is due TODAY ("," is due next business day (")&amp;TEXT($Y988,"dd-mmm")&amp;").","Next: "&amp;$Z988&amp;" due "&amp;TEXT($Y988,"dd-mmm")&amp;" ("&amp;(NETWORKDAYS(TODAY(),$Y988,Holidays)-1)&amp;" business day(s) left).")))))</f>
        <v/>
      </c>
      <c r="V988" s="17">
        <f>IF($W988="","",CHOOSE($W988,"Collection Email","1st Follow-up","2nd Follow-up","Local Office","CBE","Roxanne")&amp;IF($W988=6," - Final"," - Day "&amp;MAX(0,NETWORKDAYS($X988,TODAY(),Holidays)-1)&amp;" of "&amp;CHOOSE($W988,3,3,2,2,3))&amp;" | Total Day "&amp;MAX(0,NETWORKDAYS($L988,TODAY(),Holidays)-1))</f>
        <v/>
      </c>
      <c r="W988" s="17">
        <f>IF($L988="","",COUNT($L988:$Q988))</f>
        <v/>
      </c>
      <c r="X988" s="18">
        <f>IF($W988="","",INT(INDEX($L988:$Q988,$W988)))</f>
        <v/>
      </c>
      <c r="Y988" s="18">
        <f>IF(OR($W988="",$W988=6),"",WORKDAY($X988,CHOOSE($W988,3,3,2,2,3),Holidays))</f>
        <v/>
      </c>
      <c r="Z988" s="17">
        <f>IF(OR($W988="",$W988=6),"",CHOOSE($W988,"1st Email Follow-up","2nd Email Follow-up","Escalate Local Office","Escalate to CBE","Escalate to Roxanne"))</f>
        <v/>
      </c>
    </row>
    <row r="989" spans="18:26">
      <c r="R989" s="15"/>
      <c r="S989" s="16"/>
      <c r="T989" s="17">
        <f>IF(AND(COUNTA($A989:$K989)=0,$L989=""),"",IF($S989="Paid","PAID",IF($S989="Closed","CLOSED",IF($W989="","",IF($W989=6,"ESCALATED TO ROXANNE",IF(TODAY()&gt;$Y989,"OVERDUE",IF($Y989&lt;=WORKDAY(TODAY(),1,Holidays),"DUE TOMORROW",IF($W989=4,"ESCALATED TO LOCAL OFFICE",IF($W989=5,"ESCALATED TO CBE",IF($X989=TODAY(),"EMAIL SENT","MONITORING"))))))))))</f>
        <v/>
      </c>
      <c r="U989" s="17">
        <f>IF($T989="",IF(AND(COUNTA($A989:$K989)&gt;0,$L989=""),"Awaiting Collection Email time stamp.",""),IF(OR($T989="PAID",$T989="CLOSED"),IF($T989="PAID","Account paid. Action completed.","Account closed. No further action required."),CHOOSE($W989,"Collection Email","1st Email Follow-up","2nd Email Follow-up","Escalation to Local Office","Escalation to CBE","Escalation to Roxanne")&amp;" sent "&amp;TEXT($X989,"dd-mmm")&amp;". "&amp;IF($W989=6,"Final escalation completed.",IF($T989="OVERDUE","Next: "&amp;$Z989&amp;" was due "&amp;TEXT($Y989,"dd-mmm")&amp;" - "&amp;(NETWORKDAYS($Y989,TODAY(),Holidays)-1)&amp;" business day(s) late. Send now.",IF($T989="DUE TOMORROW","Next: "&amp;$Z989&amp;IF($Y989&lt;=TODAY()," is due TODAY ("," is due next business day (")&amp;TEXT($Y989,"dd-mmm")&amp;").","Next: "&amp;$Z989&amp;" due "&amp;TEXT($Y989,"dd-mmm")&amp;" ("&amp;(NETWORKDAYS(TODAY(),$Y989,Holidays)-1)&amp;" business day(s) left).")))))</f>
        <v/>
      </c>
      <c r="V989" s="17">
        <f>IF($W989="","",CHOOSE($W989,"Collection Email","1st Follow-up","2nd Follow-up","Local Office","CBE","Roxanne")&amp;IF($W989=6," - Final"," - Day "&amp;MAX(0,NETWORKDAYS($X989,TODAY(),Holidays)-1)&amp;" of "&amp;CHOOSE($W989,3,3,2,2,3))&amp;" | Total Day "&amp;MAX(0,NETWORKDAYS($L989,TODAY(),Holidays)-1))</f>
        <v/>
      </c>
      <c r="W989" s="17">
        <f>IF($L989="","",COUNT($L989:$Q989))</f>
        <v/>
      </c>
      <c r="X989" s="18">
        <f>IF($W989="","",INT(INDEX($L989:$Q989,$W989)))</f>
        <v/>
      </c>
      <c r="Y989" s="18">
        <f>IF(OR($W989="",$W989=6),"",WORKDAY($X989,CHOOSE($W989,3,3,2,2,3),Holidays))</f>
        <v/>
      </c>
      <c r="Z989" s="17">
        <f>IF(OR($W989="",$W989=6),"",CHOOSE($W989,"1st Email Follow-up","2nd Email Follow-up","Escalate Local Office","Escalate to CBE","Escalate to Roxanne"))</f>
        <v/>
      </c>
    </row>
    <row r="990" spans="18:26">
      <c r="R990" s="15"/>
      <c r="S990" s="16"/>
      <c r="T990" s="17">
        <f>IF(AND(COUNTA($A990:$K990)=0,$L990=""),"",IF($S990="Paid","PAID",IF($S990="Closed","CLOSED",IF($W990="","",IF($W990=6,"ESCALATED TO ROXANNE",IF(TODAY()&gt;$Y990,"OVERDUE",IF($Y990&lt;=WORKDAY(TODAY(),1,Holidays),"DUE TOMORROW",IF($W990=4,"ESCALATED TO LOCAL OFFICE",IF($W990=5,"ESCALATED TO CBE",IF($X990=TODAY(),"EMAIL SENT","MONITORING"))))))))))</f>
        <v/>
      </c>
      <c r="U990" s="17">
        <f>IF($T990="",IF(AND(COUNTA($A990:$K990)&gt;0,$L990=""),"Awaiting Collection Email time stamp.",""),IF(OR($T990="PAID",$T990="CLOSED"),IF($T990="PAID","Account paid. Action completed.","Account closed. No further action required."),CHOOSE($W990,"Collection Email","1st Email Follow-up","2nd Email Follow-up","Escalation to Local Office","Escalation to CBE","Escalation to Roxanne")&amp;" sent "&amp;TEXT($X990,"dd-mmm")&amp;". "&amp;IF($W990=6,"Final escalation completed.",IF($T990="OVERDUE","Next: "&amp;$Z990&amp;" was due "&amp;TEXT($Y990,"dd-mmm")&amp;" - "&amp;(NETWORKDAYS($Y990,TODAY(),Holidays)-1)&amp;" business day(s) late. Send now.",IF($T990="DUE TOMORROW","Next: "&amp;$Z990&amp;IF($Y990&lt;=TODAY()," is due TODAY ("," is due next business day (")&amp;TEXT($Y990,"dd-mmm")&amp;").","Next: "&amp;$Z990&amp;" due "&amp;TEXT($Y990,"dd-mmm")&amp;" ("&amp;(NETWORKDAYS(TODAY(),$Y990,Holidays)-1)&amp;" business day(s) left).")))))</f>
        <v/>
      </c>
      <c r="V990" s="17">
        <f>IF($W990="","",CHOOSE($W990,"Collection Email","1st Follow-up","2nd Follow-up","Local Office","CBE","Roxanne")&amp;IF($W990=6," - Final"," - Day "&amp;MAX(0,NETWORKDAYS($X990,TODAY(),Holidays)-1)&amp;" of "&amp;CHOOSE($W990,3,3,2,2,3))&amp;" | Total Day "&amp;MAX(0,NETWORKDAYS($L990,TODAY(),Holidays)-1))</f>
        <v/>
      </c>
      <c r="W990" s="17">
        <f>IF($L990="","",COUNT($L990:$Q990))</f>
        <v/>
      </c>
      <c r="X990" s="18">
        <f>IF($W990="","",INT(INDEX($L990:$Q990,$W990)))</f>
        <v/>
      </c>
      <c r="Y990" s="18">
        <f>IF(OR($W990="",$W990=6),"",WORKDAY($X990,CHOOSE($W990,3,3,2,2,3),Holidays))</f>
        <v/>
      </c>
      <c r="Z990" s="17">
        <f>IF(OR($W990="",$W990=6),"",CHOOSE($W990,"1st Email Follow-up","2nd Email Follow-up","Escalate Local Office","Escalate to CBE","Escalate to Roxanne"))</f>
        <v/>
      </c>
    </row>
    <row r="991" spans="18:26">
      <c r="R991" s="15"/>
      <c r="S991" s="16"/>
      <c r="T991" s="17">
        <f>IF(AND(COUNTA($A991:$K991)=0,$L991=""),"",IF($S991="Paid","PAID",IF($S991="Closed","CLOSED",IF($W991="","",IF($W991=6,"ESCALATED TO ROXANNE",IF(TODAY()&gt;$Y991,"OVERDUE",IF($Y991&lt;=WORKDAY(TODAY(),1,Holidays),"DUE TOMORROW",IF($W991=4,"ESCALATED TO LOCAL OFFICE",IF($W991=5,"ESCALATED TO CBE",IF($X991=TODAY(),"EMAIL SENT","MONITORING"))))))))))</f>
        <v/>
      </c>
      <c r="U991" s="17">
        <f>IF($T991="",IF(AND(COUNTA($A991:$K991)&gt;0,$L991=""),"Awaiting Collection Email time stamp.",""),IF(OR($T991="PAID",$T991="CLOSED"),IF($T991="PAID","Account paid. Action completed.","Account closed. No further action required."),CHOOSE($W991,"Collection Email","1st Email Follow-up","2nd Email Follow-up","Escalation to Local Office","Escalation to CBE","Escalation to Roxanne")&amp;" sent "&amp;TEXT($X991,"dd-mmm")&amp;". "&amp;IF($W991=6,"Final escalation completed.",IF($T991="OVERDUE","Next: "&amp;$Z991&amp;" was due "&amp;TEXT($Y991,"dd-mmm")&amp;" - "&amp;(NETWORKDAYS($Y991,TODAY(),Holidays)-1)&amp;" business day(s) late. Send now.",IF($T991="DUE TOMORROW","Next: "&amp;$Z991&amp;IF($Y991&lt;=TODAY()," is due TODAY ("," is due next business day (")&amp;TEXT($Y991,"dd-mmm")&amp;").","Next: "&amp;$Z991&amp;" due "&amp;TEXT($Y991,"dd-mmm")&amp;" ("&amp;(NETWORKDAYS(TODAY(),$Y991,Holidays)-1)&amp;" business day(s) left).")))))</f>
        <v/>
      </c>
      <c r="V991" s="17">
        <f>IF($W991="","",CHOOSE($W991,"Collection Email","1st Follow-up","2nd Follow-up","Local Office","CBE","Roxanne")&amp;IF($W991=6," - Final"," - Day "&amp;MAX(0,NETWORKDAYS($X991,TODAY(),Holidays)-1)&amp;" of "&amp;CHOOSE($W991,3,3,2,2,3))&amp;" | Total Day "&amp;MAX(0,NETWORKDAYS($L991,TODAY(),Holidays)-1))</f>
        <v/>
      </c>
      <c r="W991" s="17">
        <f>IF($L991="","",COUNT($L991:$Q991))</f>
        <v/>
      </c>
      <c r="X991" s="18">
        <f>IF($W991="","",INT(INDEX($L991:$Q991,$W991)))</f>
        <v/>
      </c>
      <c r="Y991" s="18">
        <f>IF(OR($W991="",$W991=6),"",WORKDAY($X991,CHOOSE($W991,3,3,2,2,3),Holidays))</f>
        <v/>
      </c>
      <c r="Z991" s="17">
        <f>IF(OR($W991="",$W991=6),"",CHOOSE($W991,"1st Email Follow-up","2nd Email Follow-up","Escalate Local Office","Escalate to CBE","Escalate to Roxanne"))</f>
        <v/>
      </c>
    </row>
    <row r="992" spans="18:26">
      <c r="R992" s="15"/>
      <c r="S992" s="16"/>
      <c r="T992" s="17">
        <f>IF(AND(COUNTA($A992:$K992)=0,$L992=""),"",IF($S992="Paid","PAID",IF($S992="Closed","CLOSED",IF($W992="","",IF($W992=6,"ESCALATED TO ROXANNE",IF(TODAY()&gt;$Y992,"OVERDUE",IF($Y992&lt;=WORKDAY(TODAY(),1,Holidays),"DUE TOMORROW",IF($W992=4,"ESCALATED TO LOCAL OFFICE",IF($W992=5,"ESCALATED TO CBE",IF($X992=TODAY(),"EMAIL SENT","MONITORING"))))))))))</f>
        <v/>
      </c>
      <c r="U992" s="17">
        <f>IF($T992="",IF(AND(COUNTA($A992:$K992)&gt;0,$L992=""),"Awaiting Collection Email time stamp.",""),IF(OR($T992="PAID",$T992="CLOSED"),IF($T992="PAID","Account paid. Action completed.","Account closed. No further action required."),CHOOSE($W992,"Collection Email","1st Email Follow-up","2nd Email Follow-up","Escalation to Local Office","Escalation to CBE","Escalation to Roxanne")&amp;" sent "&amp;TEXT($X992,"dd-mmm")&amp;". "&amp;IF($W992=6,"Final escalation completed.",IF($T992="OVERDUE","Next: "&amp;$Z992&amp;" was due "&amp;TEXT($Y992,"dd-mmm")&amp;" - "&amp;(NETWORKDAYS($Y992,TODAY(),Holidays)-1)&amp;" business day(s) late. Send now.",IF($T992="DUE TOMORROW","Next: "&amp;$Z992&amp;IF($Y992&lt;=TODAY()," is due TODAY ("," is due next business day (")&amp;TEXT($Y992,"dd-mmm")&amp;").","Next: "&amp;$Z992&amp;" due "&amp;TEXT($Y992,"dd-mmm")&amp;" ("&amp;(NETWORKDAYS(TODAY(),$Y992,Holidays)-1)&amp;" business day(s) left).")))))</f>
        <v/>
      </c>
      <c r="V992" s="17">
        <f>IF($W992="","",CHOOSE($W992,"Collection Email","1st Follow-up","2nd Follow-up","Local Office","CBE","Roxanne")&amp;IF($W992=6," - Final"," - Day "&amp;MAX(0,NETWORKDAYS($X992,TODAY(),Holidays)-1)&amp;" of "&amp;CHOOSE($W992,3,3,2,2,3))&amp;" | Total Day "&amp;MAX(0,NETWORKDAYS($L992,TODAY(),Holidays)-1))</f>
        <v/>
      </c>
      <c r="W992" s="17">
        <f>IF($L992="","",COUNT($L992:$Q992))</f>
        <v/>
      </c>
      <c r="X992" s="18">
        <f>IF($W992="","",INT(INDEX($L992:$Q992,$W992)))</f>
        <v/>
      </c>
      <c r="Y992" s="18">
        <f>IF(OR($W992="",$W992=6),"",WORKDAY($X992,CHOOSE($W992,3,3,2,2,3),Holidays))</f>
        <v/>
      </c>
      <c r="Z992" s="17">
        <f>IF(OR($W992="",$W992=6),"",CHOOSE($W992,"1st Email Follow-up","2nd Email Follow-up","Escalate Local Office","Escalate to CBE","Escalate to Roxanne"))</f>
        <v/>
      </c>
    </row>
    <row r="993" spans="18:26">
      <c r="R993" s="15"/>
      <c r="S993" s="16"/>
      <c r="T993" s="17">
        <f>IF(AND(COUNTA($A993:$K993)=0,$L993=""),"",IF($S993="Paid","PAID",IF($S993="Closed","CLOSED",IF($W993="","",IF($W993=6,"ESCALATED TO ROXANNE",IF(TODAY()&gt;$Y993,"OVERDUE",IF($Y993&lt;=WORKDAY(TODAY(),1,Holidays),"DUE TOMORROW",IF($W993=4,"ESCALATED TO LOCAL OFFICE",IF($W993=5,"ESCALATED TO CBE",IF($X993=TODAY(),"EMAIL SENT","MONITORING"))))))))))</f>
        <v/>
      </c>
      <c r="U993" s="17">
        <f>IF($T993="",IF(AND(COUNTA($A993:$K993)&gt;0,$L993=""),"Awaiting Collection Email time stamp.",""),IF(OR($T993="PAID",$T993="CLOSED"),IF($T993="PAID","Account paid. Action completed.","Account closed. No further action required."),CHOOSE($W993,"Collection Email","1st Email Follow-up","2nd Email Follow-up","Escalation to Local Office","Escalation to CBE","Escalation to Roxanne")&amp;" sent "&amp;TEXT($X993,"dd-mmm")&amp;". "&amp;IF($W993=6,"Final escalation completed.",IF($T993="OVERDUE","Next: "&amp;$Z993&amp;" was due "&amp;TEXT($Y993,"dd-mmm")&amp;" - "&amp;(NETWORKDAYS($Y993,TODAY(),Holidays)-1)&amp;" business day(s) late. Send now.",IF($T993="DUE TOMORROW","Next: "&amp;$Z993&amp;IF($Y993&lt;=TODAY()," is due TODAY ("," is due next business day (")&amp;TEXT($Y993,"dd-mmm")&amp;").","Next: "&amp;$Z993&amp;" due "&amp;TEXT($Y993,"dd-mmm")&amp;" ("&amp;(NETWORKDAYS(TODAY(),$Y993,Holidays)-1)&amp;" business day(s) left).")))))</f>
        <v/>
      </c>
      <c r="V993" s="17">
        <f>IF($W993="","",CHOOSE($W993,"Collection Email","1st Follow-up","2nd Follow-up","Local Office","CBE","Roxanne")&amp;IF($W993=6," - Final"," - Day "&amp;MAX(0,NETWORKDAYS($X993,TODAY(),Holidays)-1)&amp;" of "&amp;CHOOSE($W993,3,3,2,2,3))&amp;" | Total Day "&amp;MAX(0,NETWORKDAYS($L993,TODAY(),Holidays)-1))</f>
        <v/>
      </c>
      <c r="W993" s="17">
        <f>IF($L993="","",COUNT($L993:$Q993))</f>
        <v/>
      </c>
      <c r="X993" s="18">
        <f>IF($W993="","",INT(INDEX($L993:$Q993,$W993)))</f>
        <v/>
      </c>
      <c r="Y993" s="18">
        <f>IF(OR($W993="",$W993=6),"",WORKDAY($X993,CHOOSE($W993,3,3,2,2,3),Holidays))</f>
        <v/>
      </c>
      <c r="Z993" s="17">
        <f>IF(OR($W993="",$W993=6),"",CHOOSE($W993,"1st Email Follow-up","2nd Email Follow-up","Escalate Local Office","Escalate to CBE","Escalate to Roxanne"))</f>
        <v/>
      </c>
    </row>
    <row r="994" spans="18:26">
      <c r="R994" s="15"/>
      <c r="S994" s="16"/>
      <c r="T994" s="17">
        <f>IF(AND(COUNTA($A994:$K994)=0,$L994=""),"",IF($S994="Paid","PAID",IF($S994="Closed","CLOSED",IF($W994="","",IF($W994=6,"ESCALATED TO ROXANNE",IF(TODAY()&gt;$Y994,"OVERDUE",IF($Y994&lt;=WORKDAY(TODAY(),1,Holidays),"DUE TOMORROW",IF($W994=4,"ESCALATED TO LOCAL OFFICE",IF($W994=5,"ESCALATED TO CBE",IF($X994=TODAY(),"EMAIL SENT","MONITORING"))))))))))</f>
        <v/>
      </c>
      <c r="U994" s="17">
        <f>IF($T994="",IF(AND(COUNTA($A994:$K994)&gt;0,$L994=""),"Awaiting Collection Email time stamp.",""),IF(OR($T994="PAID",$T994="CLOSED"),IF($T994="PAID","Account paid. Action completed.","Account closed. No further action required."),CHOOSE($W994,"Collection Email","1st Email Follow-up","2nd Email Follow-up","Escalation to Local Office","Escalation to CBE","Escalation to Roxanne")&amp;" sent "&amp;TEXT($X994,"dd-mmm")&amp;". "&amp;IF($W994=6,"Final escalation completed.",IF($T994="OVERDUE","Next: "&amp;$Z994&amp;" was due "&amp;TEXT($Y994,"dd-mmm")&amp;" - "&amp;(NETWORKDAYS($Y994,TODAY(),Holidays)-1)&amp;" business day(s) late. Send now.",IF($T994="DUE TOMORROW","Next: "&amp;$Z994&amp;IF($Y994&lt;=TODAY()," is due TODAY ("," is due next business day (")&amp;TEXT($Y994,"dd-mmm")&amp;").","Next: "&amp;$Z994&amp;" due "&amp;TEXT($Y994,"dd-mmm")&amp;" ("&amp;(NETWORKDAYS(TODAY(),$Y994,Holidays)-1)&amp;" business day(s) left).")))))</f>
        <v/>
      </c>
      <c r="V994" s="17">
        <f>IF($W994="","",CHOOSE($W994,"Collection Email","1st Follow-up","2nd Follow-up","Local Office","CBE","Roxanne")&amp;IF($W994=6," - Final"," - Day "&amp;MAX(0,NETWORKDAYS($X994,TODAY(),Holidays)-1)&amp;" of "&amp;CHOOSE($W994,3,3,2,2,3))&amp;" | Total Day "&amp;MAX(0,NETWORKDAYS($L994,TODAY(),Holidays)-1))</f>
        <v/>
      </c>
      <c r="W994" s="17">
        <f>IF($L994="","",COUNT($L994:$Q994))</f>
        <v/>
      </c>
      <c r="X994" s="18">
        <f>IF($W994="","",INT(INDEX($L994:$Q994,$W994)))</f>
        <v/>
      </c>
      <c r="Y994" s="18">
        <f>IF(OR($W994="",$W994=6),"",WORKDAY($X994,CHOOSE($W994,3,3,2,2,3),Holidays))</f>
        <v/>
      </c>
      <c r="Z994" s="17">
        <f>IF(OR($W994="",$W994=6),"",CHOOSE($W994,"1st Email Follow-up","2nd Email Follow-up","Escalate Local Office","Escalate to CBE","Escalate to Roxanne"))</f>
        <v/>
      </c>
    </row>
    <row r="995" spans="18:26">
      <c r="R995" s="15"/>
      <c r="S995" s="16"/>
      <c r="T995" s="17">
        <f>IF(AND(COUNTA($A995:$K995)=0,$L995=""),"",IF($S995="Paid","PAID",IF($S995="Closed","CLOSED",IF($W995="","",IF($W995=6,"ESCALATED TO ROXANNE",IF(TODAY()&gt;$Y995,"OVERDUE",IF($Y995&lt;=WORKDAY(TODAY(),1,Holidays),"DUE TOMORROW",IF($W995=4,"ESCALATED TO LOCAL OFFICE",IF($W995=5,"ESCALATED TO CBE",IF($X995=TODAY(),"EMAIL SENT","MONITORING"))))))))))</f>
        <v/>
      </c>
      <c r="U995" s="17">
        <f>IF($T995="",IF(AND(COUNTA($A995:$K995)&gt;0,$L995=""),"Awaiting Collection Email time stamp.",""),IF(OR($T995="PAID",$T995="CLOSED"),IF($T995="PAID","Account paid. Action completed.","Account closed. No further action required."),CHOOSE($W995,"Collection Email","1st Email Follow-up","2nd Email Follow-up","Escalation to Local Office","Escalation to CBE","Escalation to Roxanne")&amp;" sent "&amp;TEXT($X995,"dd-mmm")&amp;". "&amp;IF($W995=6,"Final escalation completed.",IF($T995="OVERDUE","Next: "&amp;$Z995&amp;" was due "&amp;TEXT($Y995,"dd-mmm")&amp;" - "&amp;(NETWORKDAYS($Y995,TODAY(),Holidays)-1)&amp;" business day(s) late. Send now.",IF($T995="DUE TOMORROW","Next: "&amp;$Z995&amp;IF($Y995&lt;=TODAY()," is due TODAY ("," is due next business day (")&amp;TEXT($Y995,"dd-mmm")&amp;").","Next: "&amp;$Z995&amp;" due "&amp;TEXT($Y995,"dd-mmm")&amp;" ("&amp;(NETWORKDAYS(TODAY(),$Y995,Holidays)-1)&amp;" business day(s) left).")))))</f>
        <v/>
      </c>
      <c r="V995" s="17">
        <f>IF($W995="","",CHOOSE($W995,"Collection Email","1st Follow-up","2nd Follow-up","Local Office","CBE","Roxanne")&amp;IF($W995=6," - Final"," - Day "&amp;MAX(0,NETWORKDAYS($X995,TODAY(),Holidays)-1)&amp;" of "&amp;CHOOSE($W995,3,3,2,2,3))&amp;" | Total Day "&amp;MAX(0,NETWORKDAYS($L995,TODAY(),Holidays)-1))</f>
        <v/>
      </c>
      <c r="W995" s="17">
        <f>IF($L995="","",COUNT($L995:$Q995))</f>
        <v/>
      </c>
      <c r="X995" s="18">
        <f>IF($W995="","",INT(INDEX($L995:$Q995,$W995)))</f>
        <v/>
      </c>
      <c r="Y995" s="18">
        <f>IF(OR($W995="",$W995=6),"",WORKDAY($X995,CHOOSE($W995,3,3,2,2,3),Holidays))</f>
        <v/>
      </c>
      <c r="Z995" s="17">
        <f>IF(OR($W995="",$W995=6),"",CHOOSE($W995,"1st Email Follow-up","2nd Email Follow-up","Escalate Local Office","Escalate to CBE","Escalate to Roxanne"))</f>
        <v/>
      </c>
    </row>
    <row r="996" spans="18:26">
      <c r="R996" s="15"/>
      <c r="S996" s="16"/>
      <c r="T996" s="17">
        <f>IF(AND(COUNTA($A996:$K996)=0,$L996=""),"",IF($S996="Paid","PAID",IF($S996="Closed","CLOSED",IF($W996="","",IF($W996=6,"ESCALATED TO ROXANNE",IF(TODAY()&gt;$Y996,"OVERDUE",IF($Y996&lt;=WORKDAY(TODAY(),1,Holidays),"DUE TOMORROW",IF($W996=4,"ESCALATED TO LOCAL OFFICE",IF($W996=5,"ESCALATED TO CBE",IF($X996=TODAY(),"EMAIL SENT","MONITORING"))))))))))</f>
        <v/>
      </c>
      <c r="U996" s="17">
        <f>IF($T996="",IF(AND(COUNTA($A996:$K996)&gt;0,$L996=""),"Awaiting Collection Email time stamp.",""),IF(OR($T996="PAID",$T996="CLOSED"),IF($T996="PAID","Account paid. Action completed.","Account closed. No further action required."),CHOOSE($W996,"Collection Email","1st Email Follow-up","2nd Email Follow-up","Escalation to Local Office","Escalation to CBE","Escalation to Roxanne")&amp;" sent "&amp;TEXT($X996,"dd-mmm")&amp;". "&amp;IF($W996=6,"Final escalation completed.",IF($T996="OVERDUE","Next: "&amp;$Z996&amp;" was due "&amp;TEXT($Y996,"dd-mmm")&amp;" - "&amp;(NETWORKDAYS($Y996,TODAY(),Holidays)-1)&amp;" business day(s) late. Send now.",IF($T996="DUE TOMORROW","Next: "&amp;$Z996&amp;IF($Y996&lt;=TODAY()," is due TODAY ("," is due next business day (")&amp;TEXT($Y996,"dd-mmm")&amp;").","Next: "&amp;$Z996&amp;" due "&amp;TEXT($Y996,"dd-mmm")&amp;" ("&amp;(NETWORKDAYS(TODAY(),$Y996,Holidays)-1)&amp;" business day(s) left).")))))</f>
        <v/>
      </c>
      <c r="V996" s="17">
        <f>IF($W996="","",CHOOSE($W996,"Collection Email","1st Follow-up","2nd Follow-up","Local Office","CBE","Roxanne")&amp;IF($W996=6," - Final"," - Day "&amp;MAX(0,NETWORKDAYS($X996,TODAY(),Holidays)-1)&amp;" of "&amp;CHOOSE($W996,3,3,2,2,3))&amp;" | Total Day "&amp;MAX(0,NETWORKDAYS($L996,TODAY(),Holidays)-1))</f>
        <v/>
      </c>
      <c r="W996" s="17">
        <f>IF($L996="","",COUNT($L996:$Q996))</f>
        <v/>
      </c>
      <c r="X996" s="18">
        <f>IF($W996="","",INT(INDEX($L996:$Q996,$W996)))</f>
        <v/>
      </c>
      <c r="Y996" s="18">
        <f>IF(OR($W996="",$W996=6),"",WORKDAY($X996,CHOOSE($W996,3,3,2,2,3),Holidays))</f>
        <v/>
      </c>
      <c r="Z996" s="17">
        <f>IF(OR($W996="",$W996=6),"",CHOOSE($W996,"1st Email Follow-up","2nd Email Follow-up","Escalate Local Office","Escalate to CBE","Escalate to Roxanne"))</f>
        <v/>
      </c>
    </row>
    <row r="997" spans="18:26">
      <c r="R997" s="15"/>
      <c r="S997" s="16"/>
      <c r="T997" s="17">
        <f>IF(AND(COUNTA($A997:$K997)=0,$L997=""),"",IF($S997="Paid","PAID",IF($S997="Closed","CLOSED",IF($W997="","",IF($W997=6,"ESCALATED TO ROXANNE",IF(TODAY()&gt;$Y997,"OVERDUE",IF($Y997&lt;=WORKDAY(TODAY(),1,Holidays),"DUE TOMORROW",IF($W997=4,"ESCALATED TO LOCAL OFFICE",IF($W997=5,"ESCALATED TO CBE",IF($X997=TODAY(),"EMAIL SENT","MONITORING"))))))))))</f>
        <v/>
      </c>
      <c r="U997" s="17">
        <f>IF($T997="",IF(AND(COUNTA($A997:$K997)&gt;0,$L997=""),"Awaiting Collection Email time stamp.",""),IF(OR($T997="PAID",$T997="CLOSED"),IF($T997="PAID","Account paid. Action completed.","Account closed. No further action required."),CHOOSE($W997,"Collection Email","1st Email Follow-up","2nd Email Follow-up","Escalation to Local Office","Escalation to CBE","Escalation to Roxanne")&amp;" sent "&amp;TEXT($X997,"dd-mmm")&amp;". "&amp;IF($W997=6,"Final escalation completed.",IF($T997="OVERDUE","Next: "&amp;$Z997&amp;" was due "&amp;TEXT($Y997,"dd-mmm")&amp;" - "&amp;(NETWORKDAYS($Y997,TODAY(),Holidays)-1)&amp;" business day(s) late. Send now.",IF($T997="DUE TOMORROW","Next: "&amp;$Z997&amp;IF($Y997&lt;=TODAY()," is due TODAY ("," is due next business day (")&amp;TEXT($Y997,"dd-mmm")&amp;").","Next: "&amp;$Z997&amp;" due "&amp;TEXT($Y997,"dd-mmm")&amp;" ("&amp;(NETWORKDAYS(TODAY(),$Y997,Holidays)-1)&amp;" business day(s) left).")))))</f>
        <v/>
      </c>
      <c r="V997" s="17">
        <f>IF($W997="","",CHOOSE($W997,"Collection Email","1st Follow-up","2nd Follow-up","Local Office","CBE","Roxanne")&amp;IF($W997=6," - Final"," - Day "&amp;MAX(0,NETWORKDAYS($X997,TODAY(),Holidays)-1)&amp;" of "&amp;CHOOSE($W997,3,3,2,2,3))&amp;" | Total Day "&amp;MAX(0,NETWORKDAYS($L997,TODAY(),Holidays)-1))</f>
        <v/>
      </c>
      <c r="W997" s="17">
        <f>IF($L997="","",COUNT($L997:$Q997))</f>
        <v/>
      </c>
      <c r="X997" s="18">
        <f>IF($W997="","",INT(INDEX($L997:$Q997,$W997)))</f>
        <v/>
      </c>
      <c r="Y997" s="18">
        <f>IF(OR($W997="",$W997=6),"",WORKDAY($X997,CHOOSE($W997,3,3,2,2,3),Holidays))</f>
        <v/>
      </c>
      <c r="Z997" s="17">
        <f>IF(OR($W997="",$W997=6),"",CHOOSE($W997,"1st Email Follow-up","2nd Email Follow-up","Escalate Local Office","Escalate to CBE","Escalate to Roxanne"))</f>
        <v/>
      </c>
    </row>
    <row r="998" spans="18:26">
      <c r="R998" s="15"/>
      <c r="S998" s="16"/>
      <c r="T998" s="17">
        <f>IF(AND(COUNTA($A998:$K998)=0,$L998=""),"",IF($S998="Paid","PAID",IF($S998="Closed","CLOSED",IF($W998="","",IF($W998=6,"ESCALATED TO ROXANNE",IF(TODAY()&gt;$Y998,"OVERDUE",IF($Y998&lt;=WORKDAY(TODAY(),1,Holidays),"DUE TOMORROW",IF($W998=4,"ESCALATED TO LOCAL OFFICE",IF($W998=5,"ESCALATED TO CBE",IF($X998=TODAY(),"EMAIL SENT","MONITORING"))))))))))</f>
        <v/>
      </c>
      <c r="U998" s="17">
        <f>IF($T998="",IF(AND(COUNTA($A998:$K998)&gt;0,$L998=""),"Awaiting Collection Email time stamp.",""),IF(OR($T998="PAID",$T998="CLOSED"),IF($T998="PAID","Account paid. Action completed.","Account closed. No further action required."),CHOOSE($W998,"Collection Email","1st Email Follow-up","2nd Email Follow-up","Escalation to Local Office","Escalation to CBE","Escalation to Roxanne")&amp;" sent "&amp;TEXT($X998,"dd-mmm")&amp;". "&amp;IF($W998=6,"Final escalation completed.",IF($T998="OVERDUE","Next: "&amp;$Z998&amp;" was due "&amp;TEXT($Y998,"dd-mmm")&amp;" - "&amp;(NETWORKDAYS($Y998,TODAY(),Holidays)-1)&amp;" business day(s) late. Send now.",IF($T998="DUE TOMORROW","Next: "&amp;$Z998&amp;IF($Y998&lt;=TODAY()," is due TODAY ("," is due next business day (")&amp;TEXT($Y998,"dd-mmm")&amp;").","Next: "&amp;$Z998&amp;" due "&amp;TEXT($Y998,"dd-mmm")&amp;" ("&amp;(NETWORKDAYS(TODAY(),$Y998,Holidays)-1)&amp;" business day(s) left).")))))</f>
        <v/>
      </c>
      <c r="V998" s="17">
        <f>IF($W998="","",CHOOSE($W998,"Collection Email","1st Follow-up","2nd Follow-up","Local Office","CBE","Roxanne")&amp;IF($W998=6," - Final"," - Day "&amp;MAX(0,NETWORKDAYS($X998,TODAY(),Holidays)-1)&amp;" of "&amp;CHOOSE($W998,3,3,2,2,3))&amp;" | Total Day "&amp;MAX(0,NETWORKDAYS($L998,TODAY(),Holidays)-1))</f>
        <v/>
      </c>
      <c r="W998" s="17">
        <f>IF($L998="","",COUNT($L998:$Q998))</f>
        <v/>
      </c>
      <c r="X998" s="18">
        <f>IF($W998="","",INT(INDEX($L998:$Q998,$W998)))</f>
        <v/>
      </c>
      <c r="Y998" s="18">
        <f>IF(OR($W998="",$W998=6),"",WORKDAY($X998,CHOOSE($W998,3,3,2,2,3),Holidays))</f>
        <v/>
      </c>
      <c r="Z998" s="17">
        <f>IF(OR($W998="",$W998=6),"",CHOOSE($W998,"1st Email Follow-up","2nd Email Follow-up","Escalate Local Office","Escalate to CBE","Escalate to Roxanne"))</f>
        <v/>
      </c>
    </row>
    <row r="999" spans="18:26">
      <c r="R999" s="15"/>
      <c r="S999" s="16"/>
      <c r="T999" s="17">
        <f>IF(AND(COUNTA($A999:$K999)=0,$L999=""),"",IF($S999="Paid","PAID",IF($S999="Closed","CLOSED",IF($W999="","",IF($W999=6,"ESCALATED TO ROXANNE",IF(TODAY()&gt;$Y999,"OVERDUE",IF($Y999&lt;=WORKDAY(TODAY(),1,Holidays),"DUE TOMORROW",IF($W999=4,"ESCALATED TO LOCAL OFFICE",IF($W999=5,"ESCALATED TO CBE",IF($X999=TODAY(),"EMAIL SENT","MONITORING"))))))))))</f>
        <v/>
      </c>
      <c r="U999" s="17">
        <f>IF($T999="",IF(AND(COUNTA($A999:$K999)&gt;0,$L999=""),"Awaiting Collection Email time stamp.",""),IF(OR($T999="PAID",$T999="CLOSED"),IF($T999="PAID","Account paid. Action completed.","Account closed. No further action required."),CHOOSE($W999,"Collection Email","1st Email Follow-up","2nd Email Follow-up","Escalation to Local Office","Escalation to CBE","Escalation to Roxanne")&amp;" sent "&amp;TEXT($X999,"dd-mmm")&amp;". "&amp;IF($W999=6,"Final escalation completed.",IF($T999="OVERDUE","Next: "&amp;$Z999&amp;" was due "&amp;TEXT($Y999,"dd-mmm")&amp;" - "&amp;(NETWORKDAYS($Y999,TODAY(),Holidays)-1)&amp;" business day(s) late. Send now.",IF($T999="DUE TOMORROW","Next: "&amp;$Z999&amp;IF($Y999&lt;=TODAY()," is due TODAY ("," is due next business day (")&amp;TEXT($Y999,"dd-mmm")&amp;").","Next: "&amp;$Z999&amp;" due "&amp;TEXT($Y999,"dd-mmm")&amp;" ("&amp;(NETWORKDAYS(TODAY(),$Y999,Holidays)-1)&amp;" business day(s) left).")))))</f>
        <v/>
      </c>
      <c r="V999" s="17">
        <f>IF($W999="","",CHOOSE($W999,"Collection Email","1st Follow-up","2nd Follow-up","Local Office","CBE","Roxanne")&amp;IF($W999=6," - Final"," - Day "&amp;MAX(0,NETWORKDAYS($X999,TODAY(),Holidays)-1)&amp;" of "&amp;CHOOSE($W999,3,3,2,2,3))&amp;" | Total Day "&amp;MAX(0,NETWORKDAYS($L999,TODAY(),Holidays)-1))</f>
        <v/>
      </c>
      <c r="W999" s="17">
        <f>IF($L999="","",COUNT($L999:$Q999))</f>
        <v/>
      </c>
      <c r="X999" s="18">
        <f>IF($W999="","",INT(INDEX($L999:$Q999,$W999)))</f>
        <v/>
      </c>
      <c r="Y999" s="18">
        <f>IF(OR($W999="",$W999=6),"",WORKDAY($X999,CHOOSE($W999,3,3,2,2,3),Holidays))</f>
        <v/>
      </c>
      <c r="Z999" s="17">
        <f>IF(OR($W999="",$W999=6),"",CHOOSE($W999,"1st Email Follow-up","2nd Email Follow-up","Escalate Local Office","Escalate to CBE","Escalate to Roxanne"))</f>
        <v/>
      </c>
    </row>
    <row r="1000" spans="18:26">
      <c r="R1000" s="15"/>
      <c r="S1000" s="16"/>
      <c r="T1000" s="17">
        <f>IF(AND(COUNTA($A1000:$K1000)=0,$L1000=""),"",IF($S1000="Paid","PAID",IF($S1000="Closed","CLOSED",IF($W1000="","",IF($W1000=6,"ESCALATED TO ROXANNE",IF(TODAY()&gt;$Y1000,"OVERDUE",IF($Y1000&lt;=WORKDAY(TODAY(),1,Holidays),"DUE TOMORROW",IF($W1000=4,"ESCALATED TO LOCAL OFFICE",IF($W1000=5,"ESCALATED TO CBE",IF($X1000=TODAY(),"EMAIL SENT","MONITORING"))))))))))</f>
        <v/>
      </c>
      <c r="U1000" s="17">
        <f>IF($T1000="",IF(AND(COUNTA($A1000:$K1000)&gt;0,$L1000=""),"Awaiting Collection Email time stamp.",""),IF(OR($T1000="PAID",$T1000="CLOSED"),IF($T1000="PAID","Account paid. Action completed.","Account closed. No further action required."),CHOOSE($W1000,"Collection Email","1st Email Follow-up","2nd Email Follow-up","Escalation to Local Office","Escalation to CBE","Escalation to Roxanne")&amp;" sent "&amp;TEXT($X1000,"dd-mmm")&amp;". "&amp;IF($W1000=6,"Final escalation completed.",IF($T1000="OVERDUE","Next: "&amp;$Z1000&amp;" was due "&amp;TEXT($Y1000,"dd-mmm")&amp;" - "&amp;(NETWORKDAYS($Y1000,TODAY(),Holidays)-1)&amp;" business day(s) late. Send now.",IF($T1000="DUE TOMORROW","Next: "&amp;$Z1000&amp;IF($Y1000&lt;=TODAY()," is due TODAY ("," is due next business day (")&amp;TEXT($Y1000,"dd-mmm")&amp;").","Next: "&amp;$Z1000&amp;" due "&amp;TEXT($Y1000,"dd-mmm")&amp;" ("&amp;(NETWORKDAYS(TODAY(),$Y1000,Holidays)-1)&amp;" business day(s) left).")))))</f>
        <v/>
      </c>
      <c r="V1000" s="17">
        <f>IF($W1000="","",CHOOSE($W1000,"Collection Email","1st Follow-up","2nd Follow-up","Local Office","CBE","Roxanne")&amp;IF($W1000=6," - Final"," - Day "&amp;MAX(0,NETWORKDAYS($X1000,TODAY(),Holidays)-1)&amp;" of "&amp;CHOOSE($W1000,3,3,2,2,3))&amp;" | Total Day "&amp;MAX(0,NETWORKDAYS($L1000,TODAY(),Holidays)-1))</f>
        <v/>
      </c>
      <c r="W1000" s="17">
        <f>IF($L1000="","",COUNT($L1000:$Q1000))</f>
        <v/>
      </c>
      <c r="X1000" s="18">
        <f>IF($W1000="","",INT(INDEX($L1000:$Q1000,$W1000)))</f>
        <v/>
      </c>
      <c r="Y1000" s="18">
        <f>IF(OR($W1000="",$W1000=6),"",WORKDAY($X1000,CHOOSE($W1000,3,3,2,2,3),Holidays))</f>
        <v/>
      </c>
      <c r="Z1000" s="17">
        <f>IF(OR($W1000="",$W1000=6),"",CHOOSE($W1000,"1st Email Follow-up","2nd Email Follow-up","Escalate Local Office","Escalate to CBE","Escalate to Roxanne"))</f>
        <v/>
      </c>
    </row>
    <row r="1001" spans="18:26">
      <c r="R1001" s="15"/>
      <c r="S1001" s="16"/>
      <c r="T1001" s="17">
        <f>IF(AND(COUNTA($A1001:$K1001)=0,$L1001=""),"",IF($S1001="Paid","PAID",IF($S1001="Closed","CLOSED",IF($W1001="","",IF($W1001=6,"ESCALATED TO ROXANNE",IF(TODAY()&gt;$Y1001,"OVERDUE",IF($Y1001&lt;=WORKDAY(TODAY(),1,Holidays),"DUE TOMORROW",IF($W1001=4,"ESCALATED TO LOCAL OFFICE",IF($W1001=5,"ESCALATED TO CBE",IF($X1001=TODAY(),"EMAIL SENT","MONITORING"))))))))))</f>
        <v/>
      </c>
      <c r="U1001" s="17">
        <f>IF($T1001="",IF(AND(COUNTA($A1001:$K1001)&gt;0,$L1001=""),"Awaiting Collection Email time stamp.",""),IF(OR($T1001="PAID",$T1001="CLOSED"),IF($T1001="PAID","Account paid. Action completed.","Account closed. No further action required."),CHOOSE($W1001,"Collection Email","1st Email Follow-up","2nd Email Follow-up","Escalation to Local Office","Escalation to CBE","Escalation to Roxanne")&amp;" sent "&amp;TEXT($X1001,"dd-mmm")&amp;". "&amp;IF($W1001=6,"Final escalation completed.",IF($T1001="OVERDUE","Next: "&amp;$Z1001&amp;" was due "&amp;TEXT($Y1001,"dd-mmm")&amp;" - "&amp;(NETWORKDAYS($Y1001,TODAY(),Holidays)-1)&amp;" business day(s) late. Send now.",IF($T1001="DUE TOMORROW","Next: "&amp;$Z1001&amp;IF($Y1001&lt;=TODAY()," is due TODAY ("," is due next business day (")&amp;TEXT($Y1001,"dd-mmm")&amp;").","Next: "&amp;$Z1001&amp;" due "&amp;TEXT($Y1001,"dd-mmm")&amp;" ("&amp;(NETWORKDAYS(TODAY(),$Y1001,Holidays)-1)&amp;" business day(s) left).")))))</f>
        <v/>
      </c>
      <c r="V1001" s="17">
        <f>IF($W1001="","",CHOOSE($W1001,"Collection Email","1st Follow-up","2nd Follow-up","Local Office","CBE","Roxanne")&amp;IF($W1001=6," - Final"," - Day "&amp;MAX(0,NETWORKDAYS($X1001,TODAY(),Holidays)-1)&amp;" of "&amp;CHOOSE($W1001,3,3,2,2,3))&amp;" | Total Day "&amp;MAX(0,NETWORKDAYS($L1001,TODAY(),Holidays)-1))</f>
        <v/>
      </c>
      <c r="W1001" s="17">
        <f>IF($L1001="","",COUNT($L1001:$Q1001))</f>
        <v/>
      </c>
      <c r="X1001" s="18">
        <f>IF($W1001="","",INT(INDEX($L1001:$Q1001,$W1001)))</f>
        <v/>
      </c>
      <c r="Y1001" s="18">
        <f>IF(OR($W1001="",$W1001=6),"",WORKDAY($X1001,CHOOSE($W1001,3,3,2,2,3),Holidays))</f>
        <v/>
      </c>
      <c r="Z1001" s="17">
        <f>IF(OR($W1001="",$W1001=6),"",CHOOSE($W1001,"1st Email Follow-up","2nd Email Follow-up","Escalate Local Office","Escalate to CBE","Escalate to Roxanne"))</f>
        <v/>
      </c>
    </row>
    <row r="1002" spans="18:26">
      <c r="R1002" s="15"/>
      <c r="S1002" s="16"/>
      <c r="T1002" s="17">
        <f>IF(AND(COUNTA($A1002:$K1002)=0,$L1002=""),"",IF($S1002="Paid","PAID",IF($S1002="Closed","CLOSED",IF($W1002="","",IF($W1002=6,"ESCALATED TO ROXANNE",IF(TODAY()&gt;$Y1002,"OVERDUE",IF($Y1002&lt;=WORKDAY(TODAY(),1,Holidays),"DUE TOMORROW",IF($W1002=4,"ESCALATED TO LOCAL OFFICE",IF($W1002=5,"ESCALATED TO CBE",IF($X1002=TODAY(),"EMAIL SENT","MONITORING"))))))))))</f>
        <v/>
      </c>
      <c r="U1002" s="17">
        <f>IF($T1002="",IF(AND(COUNTA($A1002:$K1002)&gt;0,$L1002=""),"Awaiting Collection Email time stamp.",""),IF(OR($T1002="PAID",$T1002="CLOSED"),IF($T1002="PAID","Account paid. Action completed.","Account closed. No further action required."),CHOOSE($W1002,"Collection Email","1st Email Follow-up","2nd Email Follow-up","Escalation to Local Office","Escalation to CBE","Escalation to Roxanne")&amp;" sent "&amp;TEXT($X1002,"dd-mmm")&amp;". "&amp;IF($W1002=6,"Final escalation completed.",IF($T1002="OVERDUE","Next: "&amp;$Z1002&amp;" was due "&amp;TEXT($Y1002,"dd-mmm")&amp;" - "&amp;(NETWORKDAYS($Y1002,TODAY(),Holidays)-1)&amp;" business day(s) late. Send now.",IF($T1002="DUE TOMORROW","Next: "&amp;$Z1002&amp;IF($Y1002&lt;=TODAY()," is due TODAY ("," is due next business day (")&amp;TEXT($Y1002,"dd-mmm")&amp;").","Next: "&amp;$Z1002&amp;" due "&amp;TEXT($Y1002,"dd-mmm")&amp;" ("&amp;(NETWORKDAYS(TODAY(),$Y1002,Holidays)-1)&amp;" business day(s) left).")))))</f>
        <v/>
      </c>
      <c r="V1002" s="17">
        <f>IF($W1002="","",CHOOSE($W1002,"Collection Email","1st Follow-up","2nd Follow-up","Local Office","CBE","Roxanne")&amp;IF($W1002=6," - Final"," - Day "&amp;MAX(0,NETWORKDAYS($X1002,TODAY(),Holidays)-1)&amp;" of "&amp;CHOOSE($W1002,3,3,2,2,3))&amp;" | Total Day "&amp;MAX(0,NETWORKDAYS($L1002,TODAY(),Holidays)-1))</f>
        <v/>
      </c>
      <c r="W1002" s="17">
        <f>IF($L1002="","",COUNT($L1002:$Q1002))</f>
        <v/>
      </c>
      <c r="X1002" s="18">
        <f>IF($W1002="","",INT(INDEX($L1002:$Q1002,$W1002)))</f>
        <v/>
      </c>
      <c r="Y1002" s="18">
        <f>IF(OR($W1002="",$W1002=6),"",WORKDAY($X1002,CHOOSE($W1002,3,3,2,2,3),Holidays))</f>
        <v/>
      </c>
      <c r="Z1002" s="17">
        <f>IF(OR($W1002="",$W1002=6),"",CHOOSE($W1002,"1st Email Follow-up","2nd Email Follow-up","Escalate Local Office","Escalate to CBE","Escalate to Roxanne"))</f>
        <v/>
      </c>
    </row>
    <row r="1003" spans="18:26">
      <c r="R1003" s="15"/>
      <c r="S1003" s="16"/>
      <c r="T1003" s="17">
        <f>IF(AND(COUNTA($A1003:$K1003)=0,$L1003=""),"",IF($S1003="Paid","PAID",IF($S1003="Closed","CLOSED",IF($W1003="","",IF($W1003=6,"ESCALATED TO ROXANNE",IF(TODAY()&gt;$Y1003,"OVERDUE",IF($Y1003&lt;=WORKDAY(TODAY(),1,Holidays),"DUE TOMORROW",IF($W1003=4,"ESCALATED TO LOCAL OFFICE",IF($W1003=5,"ESCALATED TO CBE",IF($X1003=TODAY(),"EMAIL SENT","MONITORING"))))))))))</f>
        <v/>
      </c>
      <c r="U1003" s="17">
        <f>IF($T1003="",IF(AND(COUNTA($A1003:$K1003)&gt;0,$L1003=""),"Awaiting Collection Email time stamp.",""),IF(OR($T1003="PAID",$T1003="CLOSED"),IF($T1003="PAID","Account paid. Action completed.","Account closed. No further action required."),CHOOSE($W1003,"Collection Email","1st Email Follow-up","2nd Email Follow-up","Escalation to Local Office","Escalation to CBE","Escalation to Roxanne")&amp;" sent "&amp;TEXT($X1003,"dd-mmm")&amp;". "&amp;IF($W1003=6,"Final escalation completed.",IF($T1003="OVERDUE","Next: "&amp;$Z1003&amp;" was due "&amp;TEXT($Y1003,"dd-mmm")&amp;" - "&amp;(NETWORKDAYS($Y1003,TODAY(),Holidays)-1)&amp;" business day(s) late. Send now.",IF($T1003="DUE TOMORROW","Next: "&amp;$Z1003&amp;IF($Y1003&lt;=TODAY()," is due TODAY ("," is due next business day (")&amp;TEXT($Y1003,"dd-mmm")&amp;").","Next: "&amp;$Z1003&amp;" due "&amp;TEXT($Y1003,"dd-mmm")&amp;" ("&amp;(NETWORKDAYS(TODAY(),$Y1003,Holidays)-1)&amp;" business day(s) left).")))))</f>
        <v/>
      </c>
      <c r="V1003" s="17">
        <f>IF($W1003="","",CHOOSE($W1003,"Collection Email","1st Follow-up","2nd Follow-up","Local Office","CBE","Roxanne")&amp;IF($W1003=6," - Final"," - Day "&amp;MAX(0,NETWORKDAYS($X1003,TODAY(),Holidays)-1)&amp;" of "&amp;CHOOSE($W1003,3,3,2,2,3))&amp;" | Total Day "&amp;MAX(0,NETWORKDAYS($L1003,TODAY(),Holidays)-1))</f>
        <v/>
      </c>
      <c r="W1003" s="17">
        <f>IF($L1003="","",COUNT($L1003:$Q1003))</f>
        <v/>
      </c>
      <c r="X1003" s="18">
        <f>IF($W1003="","",INT(INDEX($L1003:$Q1003,$W1003)))</f>
        <v/>
      </c>
      <c r="Y1003" s="18">
        <f>IF(OR($W1003="",$W1003=6),"",WORKDAY($X1003,CHOOSE($W1003,3,3,2,2,3),Holidays))</f>
        <v/>
      </c>
      <c r="Z1003" s="17">
        <f>IF(OR($W1003="",$W1003=6),"",CHOOSE($W1003,"1st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T4:U1003">
    <cfRule type="expression" dxfId="0" priority="1" stopIfTrue="1">
      <formula>$T4="PAID"</formula>
    </cfRule>
    <cfRule type="expression" dxfId="0" priority="2" stopIfTrue="1">
      <formula>$T4="CLOSED"</formula>
    </cfRule>
    <cfRule type="expression" dxfId="0" priority="3" stopIfTrue="1">
      <formula>$T4="EMAIL SENT"</formula>
    </cfRule>
    <cfRule type="expression" dxfId="1" priority="4" stopIfTrue="1">
      <formula>$T4="DUE TOMORROW"</formula>
    </cfRule>
    <cfRule type="expression" dxfId="2" priority="5" stopIfTrue="1">
      <formula>$T4="OVERDUE"</formula>
    </cfRule>
    <cfRule type="expression" dxfId="3" priority="6" stopIfTrue="1">
      <formula>$T4="ESCALATED TO LOCAL OFFICE"</formula>
    </cfRule>
    <cfRule type="expression" dxfId="3" priority="7" stopIfTrue="1">
      <formula>$T4="ESCALATED TO CBE"</formula>
    </cfRule>
    <cfRule type="expression" dxfId="4" priority="8" stopIfTrue="1">
      <formula>$T4="ESCALATED TO ROXANNE"</formula>
    </cfRule>
    <cfRule type="expression" dxfId="5" priority="9" stopIfTrue="1">
      <formula>$T4="MONITORING"</formula>
    </cfRule>
  </conditionalFormatting>
  <dataValidations count="1">
    <dataValidation type="list" allowBlank="1" showInputMessage="1" showErrorMessage="1" errorTitle="Resolution" error="Choose Paid or Closed from the list, or leave blank." sqref="S4:S1003">
      <formula1>"Paid,Closed"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/>
  </sheetViews>
  <sheetFormatPr defaultRowHeight="15"/>
  <cols>
    <col min="1" max="1" width="16.7109375" style="23" customWidth="1"/>
    <col min="2" max="2" width="40.7109375" customWidth="1"/>
  </cols>
  <sheetData>
    <row r="1" spans="1:4">
      <c r="A1" s="24" t="s">
        <v>28</v>
      </c>
      <c r="B1" s="24" t="s">
        <v>29</v>
      </c>
      <c r="D1" s="25" t="s">
        <v>30</v>
      </c>
    </row>
    <row r="2" spans="1:4">
      <c r="D2" s="25" t="s">
        <v>31</v>
      </c>
    </row>
  </sheetData>
  <sheetProtection password="F422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User Guide</vt:lpstr>
      <vt:lpstr>365 Days</vt:lpstr>
      <vt:lpstr>180 Days</vt:lpstr>
      <vt:lpstr>120 Days</vt:lpstr>
      <vt:lpstr>90 Days</vt:lpstr>
      <vt:lpstr>Holidays</vt:lpstr>
      <vt:lpstr>Holidays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2026-10-05T06:05:15Z</dcterms:created>
  <dcterms:modified xsi:type="dcterms:W3CDTF">2026-10-05T06:05:15Z</dcterms:modified>
</cp:coreProperties>
</file>